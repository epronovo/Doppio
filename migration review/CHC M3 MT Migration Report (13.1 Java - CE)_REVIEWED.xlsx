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24226"/>
  <mc:AlternateContent xmlns:mc="http://schemas.openxmlformats.org/markup-compatibility/2006">
    <mc:Choice Requires="x15">
      <x15ac:absPath xmlns:x15ac="http://schemas.microsoft.com/office/spreadsheetml/2010/11/ac" url="/Users/ericpronovost/Doppio/migration review/"/>
    </mc:Choice>
  </mc:AlternateContent>
  <xr:revisionPtr revIDLastSave="0" documentId="13_ncr:1_{FBDEC540-F951-464E-8F17-5D8DC14E72AC}" xr6:coauthVersionLast="47" xr6:coauthVersionMax="47" xr10:uidLastSave="{00000000-0000-0000-0000-000000000000}"/>
  <bookViews>
    <workbookView xWindow="4600" yWindow="3680" windowWidth="24500" windowHeight="12560" tabRatio="822" activeTab="5" xr2:uid="{00000000-000D-0000-FFFF-FFFF00000000}"/>
  </bookViews>
  <sheets>
    <sheet name="MIG" sheetId="1" r:id="rId1"/>
    <sheet name="Read_Me__How to use this Report" sheetId="2" r:id="rId2"/>
    <sheet name="Timings" sheetId="3" r:id="rId3"/>
    <sheet name="Time_Sum" sheetId="4" r:id="rId4"/>
    <sheet name="DTA_WIP_MVX" sheetId="5" r:id="rId5"/>
    <sheet name="DTA_FIN_MVX" sheetId="6" r:id="rId6"/>
    <sheet name="DTA_Staging_VS_M3CE" sheetId="7" r:id="rId7"/>
    <sheet name="RUNFIXPGM_FIRE" sheetId="8" r:id="rId8"/>
    <sheet name="DISABLE_INDEX" sheetId="9" r:id="rId9"/>
    <sheet name="ENABLE_INDEX" sheetId="10" r:id="rId10"/>
    <sheet name="CMNDIV Details" sheetId="11" r:id="rId11"/>
  </sheets>
  <definedNames>
    <definedName name="_xlnm._FilterDatabase" localSheetId="5" hidden="1">DTA_FIN_MVX!$A$16:$N$534</definedName>
    <definedName name="_xlnm._FilterDatabase" localSheetId="6" hidden="1">DTA_Staging_VS_M3CE!$A$16:$I$1120</definedName>
    <definedName name="_xlnm._FilterDatabase" localSheetId="4" hidden="1">DTA_WIP_MVX!$A$16:$I$1138</definedName>
    <definedName name="_xlnm._FilterDatabase" localSheetId="3" hidden="1">Time_Sum!$A$1:$H$59</definedName>
    <definedName name="_xlnm._FilterDatabase" localSheetId="2" hidden="1">Timings!$A$1:$L$182</definedName>
    <definedName name="ACode">Timings!$C$2:$C$177</definedName>
    <definedName name="ADHours">Timings!$H$2:$H$177</definedName>
    <definedName name="ANHours">Timings!$J$2:$J$177</definedName>
    <definedName name="BCode">Time_Sum!$D$2:$D$55</definedName>
    <definedName name="BDHours">Time_Sum!$F$2:$F$55</definedName>
    <definedName name="BSortSeq">Time_Sum!$C$2:$C$55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26" i="7" l="1"/>
  <c r="G526" i="7"/>
  <c r="H525" i="7"/>
  <c r="G525" i="7"/>
  <c r="H524" i="7"/>
  <c r="G524" i="7"/>
  <c r="H523" i="7"/>
  <c r="G523" i="7"/>
  <c r="H522" i="7"/>
  <c r="G522" i="7"/>
  <c r="H521" i="7"/>
  <c r="G521" i="7"/>
  <c r="H520" i="7"/>
  <c r="G520" i="7"/>
  <c r="H519" i="7"/>
  <c r="G519" i="7"/>
  <c r="H518" i="7"/>
  <c r="G518" i="7"/>
  <c r="H517" i="7"/>
  <c r="G517" i="7"/>
  <c r="H516" i="7"/>
  <c r="G516" i="7"/>
  <c r="H515" i="7"/>
  <c r="G515" i="7"/>
  <c r="H514" i="7"/>
  <c r="G514" i="7"/>
  <c r="H513" i="7"/>
  <c r="G513" i="7"/>
  <c r="H512" i="7"/>
  <c r="G512" i="7"/>
  <c r="H511" i="7"/>
  <c r="G511" i="7"/>
  <c r="H510" i="7"/>
  <c r="G510" i="7"/>
  <c r="H509" i="7"/>
  <c r="G509" i="7"/>
  <c r="H508" i="7"/>
  <c r="G508" i="7"/>
  <c r="H507" i="7"/>
  <c r="G507" i="7"/>
  <c r="H506" i="7"/>
  <c r="G506" i="7"/>
  <c r="H505" i="7"/>
  <c r="G505" i="7"/>
  <c r="H504" i="7"/>
  <c r="G504" i="7"/>
  <c r="H503" i="7"/>
  <c r="G503" i="7"/>
  <c r="H502" i="7"/>
  <c r="G502" i="7"/>
  <c r="H501" i="7"/>
  <c r="G501" i="7"/>
  <c r="H500" i="7"/>
  <c r="G500" i="7"/>
  <c r="H499" i="7"/>
  <c r="G499" i="7"/>
  <c r="H498" i="7"/>
  <c r="G498" i="7"/>
  <c r="H497" i="7"/>
  <c r="G497" i="7"/>
  <c r="H496" i="7"/>
  <c r="G496" i="7"/>
  <c r="H495" i="7"/>
  <c r="G495" i="7"/>
  <c r="H494" i="7"/>
  <c r="G494" i="7"/>
  <c r="H493" i="7"/>
  <c r="G493" i="7"/>
  <c r="H492" i="7"/>
  <c r="G492" i="7"/>
  <c r="H491" i="7"/>
  <c r="G491" i="7"/>
  <c r="H490" i="7"/>
  <c r="G490" i="7"/>
  <c r="H489" i="7"/>
  <c r="G489" i="7"/>
  <c r="H488" i="7"/>
  <c r="G488" i="7"/>
  <c r="H487" i="7"/>
  <c r="G487" i="7"/>
  <c r="H486" i="7"/>
  <c r="G486" i="7"/>
  <c r="H485" i="7"/>
  <c r="G485" i="7"/>
  <c r="H484" i="7"/>
  <c r="G484" i="7"/>
  <c r="H483" i="7"/>
  <c r="G483" i="7"/>
  <c r="H482" i="7"/>
  <c r="G482" i="7"/>
  <c r="H481" i="7"/>
  <c r="G481" i="7"/>
  <c r="H480" i="7"/>
  <c r="G480" i="7"/>
  <c r="H479" i="7"/>
  <c r="G479" i="7"/>
  <c r="H478" i="7"/>
  <c r="G478" i="7"/>
  <c r="H477" i="7"/>
  <c r="G477" i="7"/>
  <c r="H476" i="7"/>
  <c r="G476" i="7"/>
  <c r="H475" i="7"/>
  <c r="G475" i="7"/>
  <c r="H474" i="7"/>
  <c r="G474" i="7"/>
  <c r="H473" i="7"/>
  <c r="G473" i="7"/>
  <c r="H472" i="7"/>
  <c r="G472" i="7"/>
  <c r="H471" i="7"/>
  <c r="G471" i="7"/>
  <c r="H470" i="7"/>
  <c r="G470" i="7"/>
  <c r="H469" i="7"/>
  <c r="G469" i="7"/>
  <c r="H468" i="7"/>
  <c r="G468" i="7"/>
  <c r="H467" i="7"/>
  <c r="G467" i="7"/>
  <c r="H466" i="7"/>
  <c r="G466" i="7"/>
  <c r="H465" i="7"/>
  <c r="G465" i="7"/>
  <c r="H464" i="7"/>
  <c r="G464" i="7"/>
  <c r="H463" i="7"/>
  <c r="G463" i="7"/>
  <c r="H462" i="7"/>
  <c r="G462" i="7"/>
  <c r="H461" i="7"/>
  <c r="G461" i="7"/>
  <c r="H460" i="7"/>
  <c r="G460" i="7"/>
  <c r="H459" i="7"/>
  <c r="G459" i="7"/>
  <c r="H458" i="7"/>
  <c r="G458" i="7"/>
  <c r="H457" i="7"/>
  <c r="G457" i="7"/>
  <c r="H456" i="7"/>
  <c r="G456" i="7"/>
  <c r="H455" i="7"/>
  <c r="G455" i="7"/>
  <c r="H454" i="7"/>
  <c r="G454" i="7"/>
  <c r="H453" i="7"/>
  <c r="G453" i="7"/>
  <c r="H452" i="7"/>
  <c r="G452" i="7"/>
  <c r="H451" i="7"/>
  <c r="G451" i="7"/>
  <c r="H450" i="7"/>
  <c r="G450" i="7"/>
  <c r="H449" i="7"/>
  <c r="G449" i="7"/>
  <c r="H448" i="7"/>
  <c r="G448" i="7"/>
  <c r="H447" i="7"/>
  <c r="G447" i="7"/>
  <c r="H446" i="7"/>
  <c r="G446" i="7"/>
  <c r="H445" i="7"/>
  <c r="G445" i="7"/>
  <c r="H444" i="7"/>
  <c r="G444" i="7"/>
  <c r="H443" i="7"/>
  <c r="G443" i="7"/>
  <c r="H442" i="7"/>
  <c r="G442" i="7"/>
  <c r="H441" i="7"/>
  <c r="G441" i="7"/>
  <c r="H440" i="7"/>
  <c r="G440" i="7"/>
  <c r="H439" i="7"/>
  <c r="G439" i="7"/>
  <c r="H438" i="7"/>
  <c r="G438" i="7"/>
  <c r="H437" i="7"/>
  <c r="G437" i="7"/>
  <c r="H436" i="7"/>
  <c r="G436" i="7"/>
  <c r="H435" i="7"/>
  <c r="G435" i="7"/>
  <c r="H434" i="7"/>
  <c r="G434" i="7"/>
  <c r="H433" i="7"/>
  <c r="G433" i="7"/>
  <c r="H432" i="7"/>
  <c r="G432" i="7"/>
  <c r="H431" i="7"/>
  <c r="G431" i="7"/>
  <c r="H430" i="7"/>
  <c r="G430" i="7"/>
  <c r="H429" i="7"/>
  <c r="G429" i="7"/>
  <c r="H428" i="7"/>
  <c r="G428" i="7"/>
  <c r="H427" i="7"/>
  <c r="G427" i="7"/>
  <c r="H426" i="7"/>
  <c r="G426" i="7"/>
  <c r="H425" i="7"/>
  <c r="G425" i="7"/>
  <c r="H424" i="7"/>
  <c r="G424" i="7"/>
  <c r="H423" i="7"/>
  <c r="G423" i="7"/>
  <c r="H422" i="7"/>
  <c r="G422" i="7"/>
  <c r="H421" i="7"/>
  <c r="G421" i="7"/>
  <c r="H420" i="7"/>
  <c r="G420" i="7"/>
  <c r="H419" i="7"/>
  <c r="G419" i="7"/>
  <c r="H418" i="7"/>
  <c r="G418" i="7"/>
  <c r="H417" i="7"/>
  <c r="G417" i="7"/>
  <c r="H416" i="7"/>
  <c r="G416" i="7"/>
  <c r="H415" i="7"/>
  <c r="G415" i="7"/>
  <c r="H414" i="7"/>
  <c r="G414" i="7"/>
  <c r="H413" i="7"/>
  <c r="G413" i="7"/>
  <c r="H412" i="7"/>
  <c r="G412" i="7"/>
  <c r="H411" i="7"/>
  <c r="G411" i="7"/>
  <c r="H410" i="7"/>
  <c r="G410" i="7"/>
  <c r="H409" i="7"/>
  <c r="G409" i="7"/>
  <c r="H408" i="7"/>
  <c r="G408" i="7"/>
  <c r="H407" i="7"/>
  <c r="G407" i="7"/>
  <c r="H406" i="7"/>
  <c r="G406" i="7"/>
  <c r="H405" i="7"/>
  <c r="G405" i="7"/>
  <c r="H404" i="7"/>
  <c r="G404" i="7"/>
  <c r="H403" i="7"/>
  <c r="G403" i="7"/>
  <c r="H402" i="7"/>
  <c r="G402" i="7"/>
  <c r="H401" i="7"/>
  <c r="G401" i="7"/>
  <c r="H400" i="7"/>
  <c r="G400" i="7"/>
  <c r="H399" i="7"/>
  <c r="G399" i="7"/>
  <c r="H398" i="7"/>
  <c r="G398" i="7"/>
  <c r="H397" i="7"/>
  <c r="G397" i="7"/>
  <c r="H396" i="7"/>
  <c r="G396" i="7"/>
  <c r="H395" i="7"/>
  <c r="G395" i="7"/>
  <c r="H394" i="7"/>
  <c r="G394" i="7"/>
  <c r="H393" i="7"/>
  <c r="G393" i="7"/>
  <c r="H392" i="7"/>
  <c r="G392" i="7"/>
  <c r="H391" i="7"/>
  <c r="G391" i="7"/>
  <c r="H390" i="7"/>
  <c r="G390" i="7"/>
  <c r="H389" i="7"/>
  <c r="G389" i="7"/>
  <c r="H388" i="7"/>
  <c r="G388" i="7"/>
  <c r="H387" i="7"/>
  <c r="G387" i="7"/>
  <c r="H386" i="7"/>
  <c r="G386" i="7"/>
  <c r="H385" i="7"/>
  <c r="G385" i="7"/>
  <c r="H384" i="7"/>
  <c r="G384" i="7"/>
  <c r="H383" i="7"/>
  <c r="G383" i="7"/>
  <c r="H382" i="7"/>
  <c r="G382" i="7"/>
  <c r="H381" i="7"/>
  <c r="G381" i="7"/>
  <c r="H380" i="7"/>
  <c r="G380" i="7"/>
  <c r="H379" i="7"/>
  <c r="G379" i="7"/>
  <c r="H378" i="7"/>
  <c r="G378" i="7"/>
  <c r="H377" i="7"/>
  <c r="G377" i="7"/>
  <c r="H376" i="7"/>
  <c r="G376" i="7"/>
  <c r="H375" i="7"/>
  <c r="G375" i="7"/>
  <c r="H374" i="7"/>
  <c r="G374" i="7"/>
  <c r="H373" i="7"/>
  <c r="G373" i="7"/>
  <c r="H372" i="7"/>
  <c r="G372" i="7"/>
  <c r="H371" i="7"/>
  <c r="G371" i="7"/>
  <c r="H370" i="7"/>
  <c r="G370" i="7"/>
  <c r="H369" i="7"/>
  <c r="G369" i="7"/>
  <c r="H368" i="7"/>
  <c r="G368" i="7"/>
  <c r="H367" i="7"/>
  <c r="G367" i="7"/>
  <c r="H366" i="7"/>
  <c r="G366" i="7"/>
  <c r="H365" i="7"/>
  <c r="G365" i="7"/>
  <c r="H364" i="7"/>
  <c r="G364" i="7"/>
  <c r="H363" i="7"/>
  <c r="G363" i="7"/>
  <c r="H362" i="7"/>
  <c r="G362" i="7"/>
  <c r="H361" i="7"/>
  <c r="G361" i="7"/>
  <c r="H360" i="7"/>
  <c r="G360" i="7"/>
  <c r="H359" i="7"/>
  <c r="G359" i="7"/>
  <c r="H358" i="7"/>
  <c r="G358" i="7"/>
  <c r="H357" i="7"/>
  <c r="G357" i="7"/>
  <c r="H356" i="7"/>
  <c r="G356" i="7"/>
  <c r="H355" i="7"/>
  <c r="G355" i="7"/>
  <c r="H354" i="7"/>
  <c r="G354" i="7"/>
  <c r="H353" i="7"/>
  <c r="G353" i="7"/>
  <c r="H352" i="7"/>
  <c r="G352" i="7"/>
  <c r="H351" i="7"/>
  <c r="G351" i="7"/>
  <c r="H350" i="7"/>
  <c r="G350" i="7"/>
  <c r="H349" i="7"/>
  <c r="G349" i="7"/>
  <c r="H348" i="7"/>
  <c r="G348" i="7"/>
  <c r="H347" i="7"/>
  <c r="G347" i="7"/>
  <c r="H346" i="7"/>
  <c r="G346" i="7"/>
  <c r="H345" i="7"/>
  <c r="G345" i="7"/>
  <c r="H344" i="7"/>
  <c r="G344" i="7"/>
  <c r="H343" i="7"/>
  <c r="G343" i="7"/>
  <c r="H342" i="7"/>
  <c r="G342" i="7"/>
  <c r="H341" i="7"/>
  <c r="G341" i="7"/>
  <c r="H340" i="7"/>
  <c r="G340" i="7"/>
  <c r="H339" i="7"/>
  <c r="G339" i="7"/>
  <c r="H338" i="7"/>
  <c r="G338" i="7"/>
  <c r="H337" i="7"/>
  <c r="G337" i="7"/>
  <c r="H336" i="7"/>
  <c r="G336" i="7"/>
  <c r="H335" i="7"/>
  <c r="G335" i="7"/>
  <c r="H334" i="7"/>
  <c r="G334" i="7"/>
  <c r="H333" i="7"/>
  <c r="G333" i="7"/>
  <c r="H332" i="7"/>
  <c r="G332" i="7"/>
  <c r="H331" i="7"/>
  <c r="G331" i="7"/>
  <c r="H330" i="7"/>
  <c r="G330" i="7"/>
  <c r="H329" i="7"/>
  <c r="G329" i="7"/>
  <c r="H328" i="7"/>
  <c r="G328" i="7"/>
  <c r="H327" i="7"/>
  <c r="G327" i="7"/>
  <c r="H326" i="7"/>
  <c r="G326" i="7"/>
  <c r="H325" i="7"/>
  <c r="G325" i="7"/>
  <c r="H324" i="7"/>
  <c r="G324" i="7"/>
  <c r="H323" i="7"/>
  <c r="G323" i="7"/>
  <c r="H322" i="7"/>
  <c r="G322" i="7"/>
  <c r="H321" i="7"/>
  <c r="G321" i="7"/>
  <c r="H320" i="7"/>
  <c r="G320" i="7"/>
  <c r="H319" i="7"/>
  <c r="G319" i="7"/>
  <c r="H318" i="7"/>
  <c r="G318" i="7"/>
  <c r="H317" i="7"/>
  <c r="G317" i="7"/>
  <c r="H316" i="7"/>
  <c r="G316" i="7"/>
  <c r="H315" i="7"/>
  <c r="G315" i="7"/>
  <c r="H314" i="7"/>
  <c r="G314" i="7"/>
  <c r="H313" i="7"/>
  <c r="G313" i="7"/>
  <c r="H312" i="7"/>
  <c r="G312" i="7"/>
  <c r="H311" i="7"/>
  <c r="G311" i="7"/>
  <c r="H310" i="7"/>
  <c r="G310" i="7"/>
  <c r="H309" i="7"/>
  <c r="G309" i="7"/>
  <c r="H308" i="7"/>
  <c r="G308" i="7"/>
  <c r="H307" i="7"/>
  <c r="G307" i="7"/>
  <c r="H306" i="7"/>
  <c r="G306" i="7"/>
  <c r="H305" i="7"/>
  <c r="G305" i="7"/>
  <c r="H304" i="7"/>
  <c r="G304" i="7"/>
  <c r="H303" i="7"/>
  <c r="G303" i="7"/>
  <c r="H302" i="7"/>
  <c r="G302" i="7"/>
  <c r="H301" i="7"/>
  <c r="G301" i="7"/>
  <c r="H300" i="7"/>
  <c r="G300" i="7"/>
  <c r="H299" i="7"/>
  <c r="G299" i="7"/>
  <c r="H298" i="7"/>
  <c r="G298" i="7"/>
  <c r="H297" i="7"/>
  <c r="G297" i="7"/>
  <c r="H296" i="7"/>
  <c r="G296" i="7"/>
  <c r="H295" i="7"/>
  <c r="G295" i="7"/>
  <c r="H294" i="7"/>
  <c r="G294" i="7"/>
  <c r="H293" i="7"/>
  <c r="G293" i="7"/>
  <c r="H292" i="7"/>
  <c r="G292" i="7"/>
  <c r="H291" i="7"/>
  <c r="G291" i="7"/>
  <c r="H290" i="7"/>
  <c r="G290" i="7"/>
  <c r="H289" i="7"/>
  <c r="G289" i="7"/>
  <c r="H288" i="7"/>
  <c r="G288" i="7"/>
  <c r="H287" i="7"/>
  <c r="G287" i="7"/>
  <c r="H286" i="7"/>
  <c r="G286" i="7"/>
  <c r="H285" i="7"/>
  <c r="G285" i="7"/>
  <c r="H284" i="7"/>
  <c r="G284" i="7"/>
  <c r="H283" i="7"/>
  <c r="G283" i="7"/>
  <c r="H282" i="7"/>
  <c r="G282" i="7"/>
  <c r="H281" i="7"/>
  <c r="G281" i="7"/>
  <c r="H280" i="7"/>
  <c r="G280" i="7"/>
  <c r="H279" i="7"/>
  <c r="G279" i="7"/>
  <c r="H278" i="7"/>
  <c r="G278" i="7"/>
  <c r="H277" i="7"/>
  <c r="G277" i="7"/>
  <c r="H276" i="7"/>
  <c r="G276" i="7"/>
  <c r="H275" i="7"/>
  <c r="G275" i="7"/>
  <c r="H274" i="7"/>
  <c r="G274" i="7"/>
  <c r="H273" i="7"/>
  <c r="G273" i="7"/>
  <c r="H272" i="7"/>
  <c r="G272" i="7"/>
  <c r="H271" i="7"/>
  <c r="G271" i="7"/>
  <c r="H270" i="7"/>
  <c r="G270" i="7"/>
  <c r="H269" i="7"/>
  <c r="G269" i="7"/>
  <c r="H268" i="7"/>
  <c r="G268" i="7"/>
  <c r="H267" i="7"/>
  <c r="G267" i="7"/>
  <c r="H266" i="7"/>
  <c r="G266" i="7"/>
  <c r="H265" i="7"/>
  <c r="G265" i="7"/>
  <c r="H264" i="7"/>
  <c r="G264" i="7"/>
  <c r="H263" i="7"/>
  <c r="G263" i="7"/>
  <c r="H262" i="7"/>
  <c r="G262" i="7"/>
  <c r="H261" i="7"/>
  <c r="G261" i="7"/>
  <c r="H260" i="7"/>
  <c r="G260" i="7"/>
  <c r="H259" i="7"/>
  <c r="G259" i="7"/>
  <c r="H258" i="7"/>
  <c r="G258" i="7"/>
  <c r="H257" i="7"/>
  <c r="G257" i="7"/>
  <c r="H256" i="7"/>
  <c r="G256" i="7"/>
  <c r="H255" i="7"/>
  <c r="G255" i="7"/>
  <c r="H254" i="7"/>
  <c r="G254" i="7"/>
  <c r="H253" i="7"/>
  <c r="G253" i="7"/>
  <c r="H252" i="7"/>
  <c r="G252" i="7"/>
  <c r="H251" i="7"/>
  <c r="G251" i="7"/>
  <c r="H250" i="7"/>
  <c r="G250" i="7"/>
  <c r="H249" i="7"/>
  <c r="G249" i="7"/>
  <c r="H248" i="7"/>
  <c r="G248" i="7"/>
  <c r="H247" i="7"/>
  <c r="G247" i="7"/>
  <c r="H246" i="7"/>
  <c r="G246" i="7"/>
  <c r="H245" i="7"/>
  <c r="G245" i="7"/>
  <c r="H244" i="7"/>
  <c r="G244" i="7"/>
  <c r="H243" i="7"/>
  <c r="G243" i="7"/>
  <c r="H242" i="7"/>
  <c r="G242" i="7"/>
  <c r="H241" i="7"/>
  <c r="G241" i="7"/>
  <c r="H240" i="7"/>
  <c r="G240" i="7"/>
  <c r="H239" i="7"/>
  <c r="G239" i="7"/>
  <c r="H238" i="7"/>
  <c r="G238" i="7"/>
  <c r="H237" i="7"/>
  <c r="G237" i="7"/>
  <c r="H236" i="7"/>
  <c r="G236" i="7"/>
  <c r="H235" i="7"/>
  <c r="G235" i="7"/>
  <c r="H234" i="7"/>
  <c r="G234" i="7"/>
  <c r="H233" i="7"/>
  <c r="G233" i="7"/>
  <c r="H232" i="7"/>
  <c r="G232" i="7"/>
  <c r="H231" i="7"/>
  <c r="G231" i="7"/>
  <c r="H230" i="7"/>
  <c r="G230" i="7"/>
  <c r="H229" i="7"/>
  <c r="G229" i="7"/>
  <c r="H228" i="7"/>
  <c r="G228" i="7"/>
  <c r="H227" i="7"/>
  <c r="G227" i="7"/>
  <c r="H226" i="7"/>
  <c r="G226" i="7"/>
  <c r="H225" i="7"/>
  <c r="G225" i="7"/>
  <c r="H224" i="7"/>
  <c r="G224" i="7"/>
  <c r="H223" i="7"/>
  <c r="G223" i="7"/>
  <c r="H222" i="7"/>
  <c r="G222" i="7"/>
  <c r="H221" i="7"/>
  <c r="G221" i="7"/>
  <c r="H220" i="7"/>
  <c r="G220" i="7"/>
  <c r="H219" i="7"/>
  <c r="G219" i="7"/>
  <c r="H218" i="7"/>
  <c r="G218" i="7"/>
  <c r="H217" i="7"/>
  <c r="G217" i="7"/>
  <c r="H216" i="7"/>
  <c r="G216" i="7"/>
  <c r="H215" i="7"/>
  <c r="G215" i="7"/>
  <c r="H214" i="7"/>
  <c r="G214" i="7"/>
  <c r="H213" i="7"/>
  <c r="G213" i="7"/>
  <c r="H212" i="7"/>
  <c r="G212" i="7"/>
  <c r="H211" i="7"/>
  <c r="G211" i="7"/>
  <c r="H210" i="7"/>
  <c r="G210" i="7"/>
  <c r="H209" i="7"/>
  <c r="G209" i="7"/>
  <c r="H208" i="7"/>
  <c r="G208" i="7"/>
  <c r="H207" i="7"/>
  <c r="G207" i="7"/>
  <c r="H206" i="7"/>
  <c r="G206" i="7"/>
  <c r="H205" i="7"/>
  <c r="G205" i="7"/>
  <c r="H204" i="7"/>
  <c r="G204" i="7"/>
  <c r="H203" i="7"/>
  <c r="G203" i="7"/>
  <c r="H202" i="7"/>
  <c r="G202" i="7"/>
  <c r="H201" i="7"/>
  <c r="G201" i="7"/>
  <c r="H200" i="7"/>
  <c r="G200" i="7"/>
  <c r="H199" i="7"/>
  <c r="G199" i="7"/>
  <c r="H198" i="7"/>
  <c r="G198" i="7"/>
  <c r="H197" i="7"/>
  <c r="G197" i="7"/>
  <c r="H196" i="7"/>
  <c r="G196" i="7"/>
  <c r="H195" i="7"/>
  <c r="G195" i="7"/>
  <c r="H194" i="7"/>
  <c r="G194" i="7"/>
  <c r="H193" i="7"/>
  <c r="G193" i="7"/>
  <c r="H192" i="7"/>
  <c r="G192" i="7"/>
  <c r="H191" i="7"/>
  <c r="G191" i="7"/>
  <c r="H190" i="7"/>
  <c r="G190" i="7"/>
  <c r="H189" i="7"/>
  <c r="G189" i="7"/>
  <c r="H188" i="7"/>
  <c r="G188" i="7"/>
  <c r="H187" i="7"/>
  <c r="G187" i="7"/>
  <c r="H186" i="7"/>
  <c r="G186" i="7"/>
  <c r="H185" i="7"/>
  <c r="G185" i="7"/>
  <c r="H184" i="7"/>
  <c r="G184" i="7"/>
  <c r="H183" i="7"/>
  <c r="G183" i="7"/>
  <c r="H182" i="7"/>
  <c r="G182" i="7"/>
  <c r="H181" i="7"/>
  <c r="G181" i="7"/>
  <c r="H180" i="7"/>
  <c r="G180" i="7"/>
  <c r="H179" i="7"/>
  <c r="G179" i="7"/>
  <c r="H178" i="7"/>
  <c r="G178" i="7"/>
  <c r="H177" i="7"/>
  <c r="G177" i="7"/>
  <c r="H176" i="7"/>
  <c r="G176" i="7"/>
  <c r="H175" i="7"/>
  <c r="G175" i="7"/>
  <c r="H174" i="7"/>
  <c r="G174" i="7"/>
  <c r="H173" i="7"/>
  <c r="G173" i="7"/>
  <c r="H172" i="7"/>
  <c r="G172" i="7"/>
  <c r="H171" i="7"/>
  <c r="G171" i="7"/>
  <c r="H170" i="7"/>
  <c r="G170" i="7"/>
  <c r="H169" i="7"/>
  <c r="G169" i="7"/>
  <c r="H168" i="7"/>
  <c r="G168" i="7"/>
  <c r="H167" i="7"/>
  <c r="G167" i="7"/>
  <c r="H166" i="7"/>
  <c r="G166" i="7"/>
  <c r="H165" i="7"/>
  <c r="G165" i="7"/>
  <c r="H164" i="7"/>
  <c r="G164" i="7"/>
  <c r="H163" i="7"/>
  <c r="G163" i="7"/>
  <c r="H162" i="7"/>
  <c r="G162" i="7"/>
  <c r="H161" i="7"/>
  <c r="G161" i="7"/>
  <c r="H160" i="7"/>
  <c r="G160" i="7"/>
  <c r="H159" i="7"/>
  <c r="G159" i="7"/>
  <c r="H158" i="7"/>
  <c r="G158" i="7"/>
  <c r="H157" i="7"/>
  <c r="G157" i="7"/>
  <c r="H156" i="7"/>
  <c r="G156" i="7"/>
  <c r="H155" i="7"/>
  <c r="G155" i="7"/>
  <c r="H154" i="7"/>
  <c r="G154" i="7"/>
  <c r="H153" i="7"/>
  <c r="G153" i="7"/>
  <c r="H152" i="7"/>
  <c r="G152" i="7"/>
  <c r="H151" i="7"/>
  <c r="G151" i="7"/>
  <c r="H150" i="7"/>
  <c r="G150" i="7"/>
  <c r="H149" i="7"/>
  <c r="G149" i="7"/>
  <c r="H148" i="7"/>
  <c r="G148" i="7"/>
  <c r="H147" i="7"/>
  <c r="G147" i="7"/>
  <c r="H146" i="7"/>
  <c r="G146" i="7"/>
  <c r="H145" i="7"/>
  <c r="G145" i="7"/>
  <c r="H144" i="7"/>
  <c r="G144" i="7"/>
  <c r="H143" i="7"/>
  <c r="G143" i="7"/>
  <c r="H142" i="7"/>
  <c r="G142" i="7"/>
  <c r="H141" i="7"/>
  <c r="G141" i="7"/>
  <c r="H140" i="7"/>
  <c r="G140" i="7"/>
  <c r="H139" i="7"/>
  <c r="G139" i="7"/>
  <c r="H138" i="7"/>
  <c r="G138" i="7"/>
  <c r="H137" i="7"/>
  <c r="G137" i="7"/>
  <c r="H136" i="7"/>
  <c r="G136" i="7"/>
  <c r="H135" i="7"/>
  <c r="G135" i="7"/>
  <c r="H134" i="7"/>
  <c r="G134" i="7"/>
  <c r="H133" i="7"/>
  <c r="G133" i="7"/>
  <c r="H132" i="7"/>
  <c r="G132" i="7"/>
  <c r="H131" i="7"/>
  <c r="G131" i="7"/>
  <c r="H130" i="7"/>
  <c r="G130" i="7"/>
  <c r="H129" i="7"/>
  <c r="G129" i="7"/>
  <c r="H128" i="7"/>
  <c r="G128" i="7"/>
  <c r="H127" i="7"/>
  <c r="G127" i="7"/>
  <c r="H126" i="7"/>
  <c r="G126" i="7"/>
  <c r="H125" i="7"/>
  <c r="G125" i="7"/>
  <c r="H124" i="7"/>
  <c r="G124" i="7"/>
  <c r="H123" i="7"/>
  <c r="G123" i="7"/>
  <c r="H122" i="7"/>
  <c r="G122" i="7"/>
  <c r="H121" i="7"/>
  <c r="G121" i="7"/>
  <c r="H120" i="7"/>
  <c r="G120" i="7"/>
  <c r="H119" i="7"/>
  <c r="G119" i="7"/>
  <c r="H118" i="7"/>
  <c r="G118" i="7"/>
  <c r="H117" i="7"/>
  <c r="G117" i="7"/>
  <c r="H116" i="7"/>
  <c r="G116" i="7"/>
  <c r="H115" i="7"/>
  <c r="G115" i="7"/>
  <c r="H114" i="7"/>
  <c r="G114" i="7"/>
  <c r="H113" i="7"/>
  <c r="G113" i="7"/>
  <c r="H112" i="7"/>
  <c r="G112" i="7"/>
  <c r="H111" i="7"/>
  <c r="G111" i="7"/>
  <c r="H110" i="7"/>
  <c r="G110" i="7"/>
  <c r="H109" i="7"/>
  <c r="G109" i="7"/>
  <c r="H108" i="7"/>
  <c r="G108" i="7"/>
  <c r="H107" i="7"/>
  <c r="G107" i="7"/>
  <c r="H106" i="7"/>
  <c r="G106" i="7"/>
  <c r="H105" i="7"/>
  <c r="G105" i="7"/>
  <c r="H104" i="7"/>
  <c r="G104" i="7"/>
  <c r="H103" i="7"/>
  <c r="G103" i="7"/>
  <c r="H102" i="7"/>
  <c r="G102" i="7"/>
  <c r="H101" i="7"/>
  <c r="G101" i="7"/>
  <c r="H100" i="7"/>
  <c r="G100" i="7"/>
  <c r="H99" i="7"/>
  <c r="G99" i="7"/>
  <c r="H98" i="7"/>
  <c r="G98" i="7"/>
  <c r="H97" i="7"/>
  <c r="G97" i="7"/>
  <c r="H96" i="7"/>
  <c r="G96" i="7"/>
  <c r="H95" i="7"/>
  <c r="G95" i="7"/>
  <c r="H94" i="7"/>
  <c r="G94" i="7"/>
  <c r="H93" i="7"/>
  <c r="G93" i="7"/>
  <c r="H92" i="7"/>
  <c r="G92" i="7"/>
  <c r="H91" i="7"/>
  <c r="G91" i="7"/>
  <c r="H90" i="7"/>
  <c r="G90" i="7"/>
  <c r="H89" i="7"/>
  <c r="G89" i="7"/>
  <c r="H88" i="7"/>
  <c r="G88" i="7"/>
  <c r="H87" i="7"/>
  <c r="G87" i="7"/>
  <c r="H86" i="7"/>
  <c r="G86" i="7"/>
  <c r="H85" i="7"/>
  <c r="G85" i="7"/>
  <c r="H84" i="7"/>
  <c r="G84" i="7"/>
  <c r="H83" i="7"/>
  <c r="G83" i="7"/>
  <c r="H82" i="7"/>
  <c r="G82" i="7"/>
  <c r="H81" i="7"/>
  <c r="G81" i="7"/>
  <c r="H80" i="7"/>
  <c r="G80" i="7"/>
  <c r="H79" i="7"/>
  <c r="G79" i="7"/>
  <c r="H78" i="7"/>
  <c r="G78" i="7"/>
  <c r="H77" i="7"/>
  <c r="G77" i="7"/>
  <c r="H76" i="7"/>
  <c r="G76" i="7"/>
  <c r="H75" i="7"/>
  <c r="G75" i="7"/>
  <c r="H74" i="7"/>
  <c r="G74" i="7"/>
  <c r="H73" i="7"/>
  <c r="G73" i="7"/>
  <c r="H72" i="7"/>
  <c r="G72" i="7"/>
  <c r="H71" i="7"/>
  <c r="G71" i="7"/>
  <c r="H70" i="7"/>
  <c r="G70" i="7"/>
  <c r="H69" i="7"/>
  <c r="G69" i="7"/>
  <c r="H68" i="7"/>
  <c r="G68" i="7"/>
  <c r="H67" i="7"/>
  <c r="G67" i="7"/>
  <c r="H66" i="7"/>
  <c r="G66" i="7"/>
  <c r="H65" i="7"/>
  <c r="G65" i="7"/>
  <c r="H64" i="7"/>
  <c r="G64" i="7"/>
  <c r="H63" i="7"/>
  <c r="G63" i="7"/>
  <c r="H62" i="7"/>
  <c r="G62" i="7"/>
  <c r="H61" i="7"/>
  <c r="G61" i="7"/>
  <c r="H60" i="7"/>
  <c r="G60" i="7"/>
  <c r="H59" i="7"/>
  <c r="G59" i="7"/>
  <c r="H58" i="7"/>
  <c r="G58" i="7"/>
  <c r="H57" i="7"/>
  <c r="G57" i="7"/>
  <c r="H56" i="7"/>
  <c r="G56" i="7"/>
  <c r="H55" i="7"/>
  <c r="G55" i="7"/>
  <c r="H54" i="7"/>
  <c r="G54" i="7"/>
  <c r="H53" i="7"/>
  <c r="G53" i="7"/>
  <c r="H52" i="7"/>
  <c r="G52" i="7"/>
  <c r="H51" i="7"/>
  <c r="G51" i="7"/>
  <c r="H50" i="7"/>
  <c r="G50" i="7"/>
  <c r="H49" i="7"/>
  <c r="G49" i="7"/>
  <c r="H48" i="7"/>
  <c r="G48" i="7"/>
  <c r="H47" i="7"/>
  <c r="G47" i="7"/>
  <c r="H46" i="7"/>
  <c r="G46" i="7"/>
  <c r="H45" i="7"/>
  <c r="G45" i="7"/>
  <c r="H44" i="7"/>
  <c r="G44" i="7"/>
  <c r="H43" i="7"/>
  <c r="G43" i="7"/>
  <c r="H42" i="7"/>
  <c r="G42" i="7"/>
  <c r="H41" i="7"/>
  <c r="G41" i="7"/>
  <c r="H40" i="7"/>
  <c r="G40" i="7"/>
  <c r="H39" i="7"/>
  <c r="G39" i="7"/>
  <c r="H38" i="7"/>
  <c r="G38" i="7"/>
  <c r="H37" i="7"/>
  <c r="G37" i="7"/>
  <c r="H36" i="7"/>
  <c r="G36" i="7"/>
  <c r="H35" i="7"/>
  <c r="G35" i="7"/>
  <c r="H34" i="7"/>
  <c r="G34" i="7"/>
  <c r="H33" i="7"/>
  <c r="G33" i="7"/>
  <c r="H32" i="7"/>
  <c r="G32" i="7"/>
  <c r="H31" i="7"/>
  <c r="G31" i="7"/>
  <c r="H30" i="7"/>
  <c r="G30" i="7"/>
  <c r="H29" i="7"/>
  <c r="G29" i="7"/>
  <c r="H28" i="7"/>
  <c r="G28" i="7"/>
  <c r="H27" i="7"/>
  <c r="G27" i="7"/>
  <c r="H26" i="7"/>
  <c r="G26" i="7"/>
  <c r="H25" i="7"/>
  <c r="G25" i="7"/>
  <c r="H24" i="7"/>
  <c r="G24" i="7"/>
  <c r="H23" i="7"/>
  <c r="G23" i="7"/>
  <c r="H22" i="7"/>
  <c r="G22" i="7"/>
  <c r="H21" i="7"/>
  <c r="G21" i="7"/>
  <c r="H20" i="7"/>
  <c r="G20" i="7"/>
  <c r="H19" i="7"/>
  <c r="G19" i="7"/>
  <c r="H18" i="7"/>
  <c r="G18" i="7"/>
  <c r="H17" i="7"/>
  <c r="G17" i="7"/>
  <c r="L534" i="6"/>
  <c r="K534" i="6"/>
  <c r="H534" i="6"/>
  <c r="G534" i="6"/>
  <c r="L533" i="6"/>
  <c r="K533" i="6"/>
  <c r="H533" i="6"/>
  <c r="G533" i="6"/>
  <c r="L532" i="6"/>
  <c r="K532" i="6"/>
  <c r="H532" i="6"/>
  <c r="G532" i="6"/>
  <c r="L531" i="6"/>
  <c r="K531" i="6"/>
  <c r="H531" i="6"/>
  <c r="G531" i="6"/>
  <c r="L530" i="6"/>
  <c r="K530" i="6"/>
  <c r="H530" i="6"/>
  <c r="G530" i="6"/>
  <c r="L529" i="6"/>
  <c r="K529" i="6"/>
  <c r="H529" i="6"/>
  <c r="G529" i="6"/>
  <c r="L528" i="6"/>
  <c r="K528" i="6"/>
  <c r="H528" i="6"/>
  <c r="G528" i="6"/>
  <c r="L527" i="6"/>
  <c r="K527" i="6"/>
  <c r="H527" i="6"/>
  <c r="G527" i="6"/>
  <c r="L526" i="6"/>
  <c r="K526" i="6"/>
  <c r="H526" i="6"/>
  <c r="G526" i="6"/>
  <c r="L525" i="6"/>
  <c r="K525" i="6"/>
  <c r="H525" i="6"/>
  <c r="G525" i="6"/>
  <c r="L524" i="6"/>
  <c r="K524" i="6"/>
  <c r="H524" i="6"/>
  <c r="G524" i="6"/>
  <c r="L523" i="6"/>
  <c r="K523" i="6"/>
  <c r="H523" i="6"/>
  <c r="G523" i="6"/>
  <c r="L522" i="6"/>
  <c r="K522" i="6"/>
  <c r="H522" i="6"/>
  <c r="G522" i="6"/>
  <c r="L521" i="6"/>
  <c r="K521" i="6"/>
  <c r="H521" i="6"/>
  <c r="G521" i="6"/>
  <c r="L520" i="6"/>
  <c r="K520" i="6"/>
  <c r="H520" i="6"/>
  <c r="G520" i="6"/>
  <c r="L519" i="6"/>
  <c r="K519" i="6"/>
  <c r="H519" i="6"/>
  <c r="G519" i="6"/>
  <c r="L518" i="6"/>
  <c r="K518" i="6"/>
  <c r="H518" i="6"/>
  <c r="G518" i="6"/>
  <c r="L517" i="6"/>
  <c r="K517" i="6"/>
  <c r="H517" i="6"/>
  <c r="G517" i="6"/>
  <c r="L516" i="6"/>
  <c r="K516" i="6"/>
  <c r="H516" i="6"/>
  <c r="G516" i="6"/>
  <c r="L515" i="6"/>
  <c r="K515" i="6"/>
  <c r="H515" i="6"/>
  <c r="G515" i="6"/>
  <c r="L514" i="6"/>
  <c r="K514" i="6"/>
  <c r="H514" i="6"/>
  <c r="G514" i="6"/>
  <c r="L513" i="6"/>
  <c r="K513" i="6"/>
  <c r="H513" i="6"/>
  <c r="G513" i="6"/>
  <c r="L512" i="6"/>
  <c r="K512" i="6"/>
  <c r="H512" i="6"/>
  <c r="G512" i="6"/>
  <c r="L511" i="6"/>
  <c r="K511" i="6"/>
  <c r="H511" i="6"/>
  <c r="G511" i="6"/>
  <c r="L510" i="6"/>
  <c r="K510" i="6"/>
  <c r="H510" i="6"/>
  <c r="G510" i="6"/>
  <c r="L509" i="6"/>
  <c r="K509" i="6"/>
  <c r="H509" i="6"/>
  <c r="G509" i="6"/>
  <c r="L508" i="6"/>
  <c r="K508" i="6"/>
  <c r="H508" i="6"/>
  <c r="G508" i="6"/>
  <c r="L507" i="6"/>
  <c r="K507" i="6"/>
  <c r="H507" i="6"/>
  <c r="G507" i="6"/>
  <c r="L506" i="6"/>
  <c r="K506" i="6"/>
  <c r="H506" i="6"/>
  <c r="G506" i="6"/>
  <c r="L505" i="6"/>
  <c r="K505" i="6"/>
  <c r="H505" i="6"/>
  <c r="G505" i="6"/>
  <c r="L504" i="6"/>
  <c r="K504" i="6"/>
  <c r="H504" i="6"/>
  <c r="G504" i="6"/>
  <c r="L503" i="6"/>
  <c r="K503" i="6"/>
  <c r="H503" i="6"/>
  <c r="G503" i="6"/>
  <c r="L502" i="6"/>
  <c r="K502" i="6"/>
  <c r="H502" i="6"/>
  <c r="G502" i="6"/>
  <c r="L501" i="6"/>
  <c r="K501" i="6"/>
  <c r="H501" i="6"/>
  <c r="G501" i="6"/>
  <c r="L500" i="6"/>
  <c r="K500" i="6"/>
  <c r="H500" i="6"/>
  <c r="G500" i="6"/>
  <c r="L499" i="6"/>
  <c r="K499" i="6"/>
  <c r="H499" i="6"/>
  <c r="G499" i="6"/>
  <c r="L498" i="6"/>
  <c r="K498" i="6"/>
  <c r="H498" i="6"/>
  <c r="G498" i="6"/>
  <c r="L497" i="6"/>
  <c r="K497" i="6"/>
  <c r="H497" i="6"/>
  <c r="G497" i="6"/>
  <c r="L496" i="6"/>
  <c r="K496" i="6"/>
  <c r="H496" i="6"/>
  <c r="G496" i="6"/>
  <c r="L495" i="6"/>
  <c r="K495" i="6"/>
  <c r="H495" i="6"/>
  <c r="G495" i="6"/>
  <c r="L494" i="6"/>
  <c r="K494" i="6"/>
  <c r="H494" i="6"/>
  <c r="G494" i="6"/>
  <c r="L493" i="6"/>
  <c r="K493" i="6"/>
  <c r="H493" i="6"/>
  <c r="G493" i="6"/>
  <c r="L492" i="6"/>
  <c r="K492" i="6"/>
  <c r="H492" i="6"/>
  <c r="G492" i="6"/>
  <c r="L491" i="6"/>
  <c r="K491" i="6"/>
  <c r="H491" i="6"/>
  <c r="G491" i="6"/>
  <c r="L490" i="6"/>
  <c r="K490" i="6"/>
  <c r="H490" i="6"/>
  <c r="G490" i="6"/>
  <c r="L489" i="6"/>
  <c r="K489" i="6"/>
  <c r="H489" i="6"/>
  <c r="G489" i="6"/>
  <c r="L488" i="6"/>
  <c r="K488" i="6"/>
  <c r="H488" i="6"/>
  <c r="G488" i="6"/>
  <c r="L487" i="6"/>
  <c r="K487" i="6"/>
  <c r="H487" i="6"/>
  <c r="G487" i="6"/>
  <c r="L486" i="6"/>
  <c r="K486" i="6"/>
  <c r="H486" i="6"/>
  <c r="G486" i="6"/>
  <c r="L485" i="6"/>
  <c r="K485" i="6"/>
  <c r="H485" i="6"/>
  <c r="G485" i="6"/>
  <c r="L484" i="6"/>
  <c r="K484" i="6"/>
  <c r="H484" i="6"/>
  <c r="G484" i="6"/>
  <c r="L483" i="6"/>
  <c r="K483" i="6"/>
  <c r="H483" i="6"/>
  <c r="G483" i="6"/>
  <c r="L482" i="6"/>
  <c r="K482" i="6"/>
  <c r="H482" i="6"/>
  <c r="G482" i="6"/>
  <c r="L481" i="6"/>
  <c r="K481" i="6"/>
  <c r="H481" i="6"/>
  <c r="G481" i="6"/>
  <c r="L480" i="6"/>
  <c r="K480" i="6"/>
  <c r="H480" i="6"/>
  <c r="G480" i="6"/>
  <c r="L479" i="6"/>
  <c r="K479" i="6"/>
  <c r="H479" i="6"/>
  <c r="G479" i="6"/>
  <c r="L478" i="6"/>
  <c r="K478" i="6"/>
  <c r="H478" i="6"/>
  <c r="G478" i="6"/>
  <c r="L477" i="6"/>
  <c r="K477" i="6"/>
  <c r="H477" i="6"/>
  <c r="G477" i="6"/>
  <c r="L476" i="6"/>
  <c r="K476" i="6"/>
  <c r="H476" i="6"/>
  <c r="G476" i="6"/>
  <c r="L475" i="6"/>
  <c r="K475" i="6"/>
  <c r="H475" i="6"/>
  <c r="G475" i="6"/>
  <c r="L474" i="6"/>
  <c r="K474" i="6"/>
  <c r="H474" i="6"/>
  <c r="G474" i="6"/>
  <c r="L473" i="6"/>
  <c r="K473" i="6"/>
  <c r="H473" i="6"/>
  <c r="G473" i="6"/>
  <c r="L472" i="6"/>
  <c r="K472" i="6"/>
  <c r="H472" i="6"/>
  <c r="G472" i="6"/>
  <c r="L471" i="6"/>
  <c r="K471" i="6"/>
  <c r="H471" i="6"/>
  <c r="G471" i="6"/>
  <c r="L470" i="6"/>
  <c r="K470" i="6"/>
  <c r="H470" i="6"/>
  <c r="G470" i="6"/>
  <c r="L469" i="6"/>
  <c r="K469" i="6"/>
  <c r="H469" i="6"/>
  <c r="G469" i="6"/>
  <c r="L468" i="6"/>
  <c r="K468" i="6"/>
  <c r="H468" i="6"/>
  <c r="G468" i="6"/>
  <c r="L467" i="6"/>
  <c r="K467" i="6"/>
  <c r="H467" i="6"/>
  <c r="G467" i="6"/>
  <c r="L466" i="6"/>
  <c r="K466" i="6"/>
  <c r="H466" i="6"/>
  <c r="G466" i="6"/>
  <c r="L465" i="6"/>
  <c r="K465" i="6"/>
  <c r="H465" i="6"/>
  <c r="G465" i="6"/>
  <c r="L464" i="6"/>
  <c r="K464" i="6"/>
  <c r="H464" i="6"/>
  <c r="G464" i="6"/>
  <c r="L463" i="6"/>
  <c r="K463" i="6"/>
  <c r="H463" i="6"/>
  <c r="G463" i="6"/>
  <c r="L462" i="6"/>
  <c r="K462" i="6"/>
  <c r="H462" i="6"/>
  <c r="G462" i="6"/>
  <c r="L461" i="6"/>
  <c r="K461" i="6"/>
  <c r="H461" i="6"/>
  <c r="G461" i="6"/>
  <c r="L460" i="6"/>
  <c r="K460" i="6"/>
  <c r="H460" i="6"/>
  <c r="G460" i="6"/>
  <c r="L459" i="6"/>
  <c r="K459" i="6"/>
  <c r="H459" i="6"/>
  <c r="G459" i="6"/>
  <c r="L458" i="6"/>
  <c r="K458" i="6"/>
  <c r="H458" i="6"/>
  <c r="G458" i="6"/>
  <c r="L457" i="6"/>
  <c r="K457" i="6"/>
  <c r="H457" i="6"/>
  <c r="G457" i="6"/>
  <c r="L456" i="6"/>
  <c r="K456" i="6"/>
  <c r="H456" i="6"/>
  <c r="G456" i="6"/>
  <c r="L455" i="6"/>
  <c r="K455" i="6"/>
  <c r="H455" i="6"/>
  <c r="G455" i="6"/>
  <c r="L454" i="6"/>
  <c r="K454" i="6"/>
  <c r="H454" i="6"/>
  <c r="G454" i="6"/>
  <c r="L453" i="6"/>
  <c r="K453" i="6"/>
  <c r="H453" i="6"/>
  <c r="G453" i="6"/>
  <c r="L452" i="6"/>
  <c r="K452" i="6"/>
  <c r="H452" i="6"/>
  <c r="G452" i="6"/>
  <c r="L451" i="6"/>
  <c r="K451" i="6"/>
  <c r="H451" i="6"/>
  <c r="G451" i="6"/>
  <c r="L450" i="6"/>
  <c r="K450" i="6"/>
  <c r="H450" i="6"/>
  <c r="G450" i="6"/>
  <c r="L449" i="6"/>
  <c r="K449" i="6"/>
  <c r="H449" i="6"/>
  <c r="G449" i="6"/>
  <c r="L448" i="6"/>
  <c r="K448" i="6"/>
  <c r="H448" i="6"/>
  <c r="G448" i="6"/>
  <c r="L447" i="6"/>
  <c r="K447" i="6"/>
  <c r="H447" i="6"/>
  <c r="G447" i="6"/>
  <c r="L446" i="6"/>
  <c r="K446" i="6"/>
  <c r="H446" i="6"/>
  <c r="G446" i="6"/>
  <c r="L445" i="6"/>
  <c r="K445" i="6"/>
  <c r="H445" i="6"/>
  <c r="G445" i="6"/>
  <c r="L444" i="6"/>
  <c r="K444" i="6"/>
  <c r="H444" i="6"/>
  <c r="G444" i="6"/>
  <c r="L443" i="6"/>
  <c r="K443" i="6"/>
  <c r="H443" i="6"/>
  <c r="G443" i="6"/>
  <c r="L442" i="6"/>
  <c r="K442" i="6"/>
  <c r="H442" i="6"/>
  <c r="G442" i="6"/>
  <c r="L441" i="6"/>
  <c r="K441" i="6"/>
  <c r="H441" i="6"/>
  <c r="G441" i="6"/>
  <c r="L440" i="6"/>
  <c r="K440" i="6"/>
  <c r="H440" i="6"/>
  <c r="G440" i="6"/>
  <c r="L439" i="6"/>
  <c r="K439" i="6"/>
  <c r="H439" i="6"/>
  <c r="G439" i="6"/>
  <c r="L438" i="6"/>
  <c r="K438" i="6"/>
  <c r="H438" i="6"/>
  <c r="G438" i="6"/>
  <c r="L437" i="6"/>
  <c r="K437" i="6"/>
  <c r="H437" i="6"/>
  <c r="G437" i="6"/>
  <c r="L436" i="6"/>
  <c r="K436" i="6"/>
  <c r="H436" i="6"/>
  <c r="G436" i="6"/>
  <c r="L435" i="6"/>
  <c r="K435" i="6"/>
  <c r="H435" i="6"/>
  <c r="G435" i="6"/>
  <c r="L434" i="6"/>
  <c r="K434" i="6"/>
  <c r="H434" i="6"/>
  <c r="G434" i="6"/>
  <c r="L433" i="6"/>
  <c r="K433" i="6"/>
  <c r="H433" i="6"/>
  <c r="G433" i="6"/>
  <c r="L432" i="6"/>
  <c r="K432" i="6"/>
  <c r="H432" i="6"/>
  <c r="G432" i="6"/>
  <c r="L431" i="6"/>
  <c r="K431" i="6"/>
  <c r="H431" i="6"/>
  <c r="G431" i="6"/>
  <c r="L430" i="6"/>
  <c r="K430" i="6"/>
  <c r="H430" i="6"/>
  <c r="G430" i="6"/>
  <c r="L429" i="6"/>
  <c r="K429" i="6"/>
  <c r="H429" i="6"/>
  <c r="G429" i="6"/>
  <c r="L428" i="6"/>
  <c r="K428" i="6"/>
  <c r="H428" i="6"/>
  <c r="G428" i="6"/>
  <c r="L427" i="6"/>
  <c r="K427" i="6"/>
  <c r="H427" i="6"/>
  <c r="G427" i="6"/>
  <c r="L426" i="6"/>
  <c r="K426" i="6"/>
  <c r="H426" i="6"/>
  <c r="G426" i="6"/>
  <c r="L425" i="6"/>
  <c r="K425" i="6"/>
  <c r="H425" i="6"/>
  <c r="G425" i="6"/>
  <c r="L424" i="6"/>
  <c r="K424" i="6"/>
  <c r="H424" i="6"/>
  <c r="G424" i="6"/>
  <c r="L423" i="6"/>
  <c r="K423" i="6"/>
  <c r="H423" i="6"/>
  <c r="G423" i="6"/>
  <c r="L422" i="6"/>
  <c r="K422" i="6"/>
  <c r="H422" i="6"/>
  <c r="G422" i="6"/>
  <c r="L421" i="6"/>
  <c r="K421" i="6"/>
  <c r="H421" i="6"/>
  <c r="G421" i="6"/>
  <c r="L420" i="6"/>
  <c r="K420" i="6"/>
  <c r="H420" i="6"/>
  <c r="G420" i="6"/>
  <c r="L419" i="6"/>
  <c r="K419" i="6"/>
  <c r="H419" i="6"/>
  <c r="G419" i="6"/>
  <c r="L418" i="6"/>
  <c r="K418" i="6"/>
  <c r="H418" i="6"/>
  <c r="G418" i="6"/>
  <c r="L417" i="6"/>
  <c r="K417" i="6"/>
  <c r="H417" i="6"/>
  <c r="G417" i="6"/>
  <c r="L416" i="6"/>
  <c r="K416" i="6"/>
  <c r="H416" i="6"/>
  <c r="G416" i="6"/>
  <c r="L415" i="6"/>
  <c r="K415" i="6"/>
  <c r="H415" i="6"/>
  <c r="G415" i="6"/>
  <c r="L414" i="6"/>
  <c r="K414" i="6"/>
  <c r="H414" i="6"/>
  <c r="G414" i="6"/>
  <c r="L413" i="6"/>
  <c r="K413" i="6"/>
  <c r="H413" i="6"/>
  <c r="G413" i="6"/>
  <c r="L412" i="6"/>
  <c r="K412" i="6"/>
  <c r="H412" i="6"/>
  <c r="G412" i="6"/>
  <c r="L411" i="6"/>
  <c r="K411" i="6"/>
  <c r="H411" i="6"/>
  <c r="G411" i="6"/>
  <c r="L410" i="6"/>
  <c r="K410" i="6"/>
  <c r="H410" i="6"/>
  <c r="G410" i="6"/>
  <c r="L409" i="6"/>
  <c r="K409" i="6"/>
  <c r="H409" i="6"/>
  <c r="G409" i="6"/>
  <c r="L408" i="6"/>
  <c r="K408" i="6"/>
  <c r="H408" i="6"/>
  <c r="G408" i="6"/>
  <c r="L407" i="6"/>
  <c r="K407" i="6"/>
  <c r="H407" i="6"/>
  <c r="G407" i="6"/>
  <c r="L406" i="6"/>
  <c r="K406" i="6"/>
  <c r="H406" i="6"/>
  <c r="G406" i="6"/>
  <c r="L405" i="6"/>
  <c r="K405" i="6"/>
  <c r="H405" i="6"/>
  <c r="G405" i="6"/>
  <c r="L404" i="6"/>
  <c r="K404" i="6"/>
  <c r="H404" i="6"/>
  <c r="G404" i="6"/>
  <c r="L403" i="6"/>
  <c r="K403" i="6"/>
  <c r="H403" i="6"/>
  <c r="G403" i="6"/>
  <c r="L402" i="6"/>
  <c r="K402" i="6"/>
  <c r="H402" i="6"/>
  <c r="G402" i="6"/>
  <c r="L401" i="6"/>
  <c r="K401" i="6"/>
  <c r="H401" i="6"/>
  <c r="G401" i="6"/>
  <c r="L400" i="6"/>
  <c r="K400" i="6"/>
  <c r="H400" i="6"/>
  <c r="G400" i="6"/>
  <c r="L399" i="6"/>
  <c r="K399" i="6"/>
  <c r="H399" i="6"/>
  <c r="G399" i="6"/>
  <c r="L398" i="6"/>
  <c r="K398" i="6"/>
  <c r="H398" i="6"/>
  <c r="G398" i="6"/>
  <c r="L397" i="6"/>
  <c r="K397" i="6"/>
  <c r="H397" i="6"/>
  <c r="G397" i="6"/>
  <c r="L396" i="6"/>
  <c r="K396" i="6"/>
  <c r="H396" i="6"/>
  <c r="G396" i="6"/>
  <c r="L395" i="6"/>
  <c r="K395" i="6"/>
  <c r="H395" i="6"/>
  <c r="G395" i="6"/>
  <c r="L394" i="6"/>
  <c r="K394" i="6"/>
  <c r="H394" i="6"/>
  <c r="G394" i="6"/>
  <c r="L393" i="6"/>
  <c r="K393" i="6"/>
  <c r="H393" i="6"/>
  <c r="G393" i="6"/>
  <c r="L392" i="6"/>
  <c r="K392" i="6"/>
  <c r="H392" i="6"/>
  <c r="G392" i="6"/>
  <c r="L391" i="6"/>
  <c r="K391" i="6"/>
  <c r="H391" i="6"/>
  <c r="G391" i="6"/>
  <c r="L390" i="6"/>
  <c r="K390" i="6"/>
  <c r="H390" i="6"/>
  <c r="G390" i="6"/>
  <c r="L389" i="6"/>
  <c r="K389" i="6"/>
  <c r="H389" i="6"/>
  <c r="G389" i="6"/>
  <c r="L388" i="6"/>
  <c r="K388" i="6"/>
  <c r="H388" i="6"/>
  <c r="G388" i="6"/>
  <c r="L387" i="6"/>
  <c r="K387" i="6"/>
  <c r="H387" i="6"/>
  <c r="G387" i="6"/>
  <c r="L386" i="6"/>
  <c r="K386" i="6"/>
  <c r="H386" i="6"/>
  <c r="G386" i="6"/>
  <c r="L385" i="6"/>
  <c r="K385" i="6"/>
  <c r="H385" i="6"/>
  <c r="G385" i="6"/>
  <c r="L384" i="6"/>
  <c r="K384" i="6"/>
  <c r="H384" i="6"/>
  <c r="G384" i="6"/>
  <c r="L383" i="6"/>
  <c r="K383" i="6"/>
  <c r="H383" i="6"/>
  <c r="G383" i="6"/>
  <c r="L382" i="6"/>
  <c r="K382" i="6"/>
  <c r="H382" i="6"/>
  <c r="G382" i="6"/>
  <c r="L381" i="6"/>
  <c r="K381" i="6"/>
  <c r="H381" i="6"/>
  <c r="G381" i="6"/>
  <c r="L380" i="6"/>
  <c r="K380" i="6"/>
  <c r="H380" i="6"/>
  <c r="G380" i="6"/>
  <c r="L379" i="6"/>
  <c r="K379" i="6"/>
  <c r="H379" i="6"/>
  <c r="G379" i="6"/>
  <c r="L378" i="6"/>
  <c r="K378" i="6"/>
  <c r="H378" i="6"/>
  <c r="G378" i="6"/>
  <c r="L377" i="6"/>
  <c r="K377" i="6"/>
  <c r="H377" i="6"/>
  <c r="G377" i="6"/>
  <c r="L376" i="6"/>
  <c r="K376" i="6"/>
  <c r="H376" i="6"/>
  <c r="G376" i="6"/>
  <c r="L375" i="6"/>
  <c r="K375" i="6"/>
  <c r="H375" i="6"/>
  <c r="G375" i="6"/>
  <c r="L374" i="6"/>
  <c r="K374" i="6"/>
  <c r="H374" i="6"/>
  <c r="G374" i="6"/>
  <c r="L373" i="6"/>
  <c r="K373" i="6"/>
  <c r="H373" i="6"/>
  <c r="G373" i="6"/>
  <c r="L372" i="6"/>
  <c r="K372" i="6"/>
  <c r="H372" i="6"/>
  <c r="G372" i="6"/>
  <c r="L371" i="6"/>
  <c r="K371" i="6"/>
  <c r="H371" i="6"/>
  <c r="G371" i="6"/>
  <c r="L370" i="6"/>
  <c r="K370" i="6"/>
  <c r="H370" i="6"/>
  <c r="G370" i="6"/>
  <c r="L369" i="6"/>
  <c r="K369" i="6"/>
  <c r="H369" i="6"/>
  <c r="G369" i="6"/>
  <c r="L368" i="6"/>
  <c r="K368" i="6"/>
  <c r="H368" i="6"/>
  <c r="G368" i="6"/>
  <c r="L367" i="6"/>
  <c r="K367" i="6"/>
  <c r="H367" i="6"/>
  <c r="G367" i="6"/>
  <c r="L366" i="6"/>
  <c r="K366" i="6"/>
  <c r="H366" i="6"/>
  <c r="G366" i="6"/>
  <c r="L365" i="6"/>
  <c r="K365" i="6"/>
  <c r="H365" i="6"/>
  <c r="G365" i="6"/>
  <c r="L364" i="6"/>
  <c r="K364" i="6"/>
  <c r="H364" i="6"/>
  <c r="G364" i="6"/>
  <c r="L363" i="6"/>
  <c r="K363" i="6"/>
  <c r="H363" i="6"/>
  <c r="G363" i="6"/>
  <c r="L362" i="6"/>
  <c r="K362" i="6"/>
  <c r="H362" i="6"/>
  <c r="G362" i="6"/>
  <c r="L361" i="6"/>
  <c r="K361" i="6"/>
  <c r="H361" i="6"/>
  <c r="G361" i="6"/>
  <c r="L360" i="6"/>
  <c r="K360" i="6"/>
  <c r="H360" i="6"/>
  <c r="G360" i="6"/>
  <c r="L359" i="6"/>
  <c r="K359" i="6"/>
  <c r="H359" i="6"/>
  <c r="G359" i="6"/>
  <c r="L358" i="6"/>
  <c r="K358" i="6"/>
  <c r="H358" i="6"/>
  <c r="G358" i="6"/>
  <c r="L357" i="6"/>
  <c r="K357" i="6"/>
  <c r="H357" i="6"/>
  <c r="G357" i="6"/>
  <c r="L356" i="6"/>
  <c r="K356" i="6"/>
  <c r="H356" i="6"/>
  <c r="G356" i="6"/>
  <c r="L355" i="6"/>
  <c r="K355" i="6"/>
  <c r="H355" i="6"/>
  <c r="G355" i="6"/>
  <c r="L354" i="6"/>
  <c r="K354" i="6"/>
  <c r="H354" i="6"/>
  <c r="G354" i="6"/>
  <c r="L353" i="6"/>
  <c r="K353" i="6"/>
  <c r="H353" i="6"/>
  <c r="G353" i="6"/>
  <c r="L352" i="6"/>
  <c r="K352" i="6"/>
  <c r="H352" i="6"/>
  <c r="G352" i="6"/>
  <c r="L351" i="6"/>
  <c r="K351" i="6"/>
  <c r="H351" i="6"/>
  <c r="G351" i="6"/>
  <c r="L350" i="6"/>
  <c r="K350" i="6"/>
  <c r="H350" i="6"/>
  <c r="G350" i="6"/>
  <c r="L349" i="6"/>
  <c r="K349" i="6"/>
  <c r="H349" i="6"/>
  <c r="G349" i="6"/>
  <c r="L348" i="6"/>
  <c r="K348" i="6"/>
  <c r="H348" i="6"/>
  <c r="G348" i="6"/>
  <c r="L347" i="6"/>
  <c r="K347" i="6"/>
  <c r="H347" i="6"/>
  <c r="G347" i="6"/>
  <c r="L346" i="6"/>
  <c r="K346" i="6"/>
  <c r="H346" i="6"/>
  <c r="G346" i="6"/>
  <c r="L345" i="6"/>
  <c r="K345" i="6"/>
  <c r="H345" i="6"/>
  <c r="G345" i="6"/>
  <c r="L344" i="6"/>
  <c r="K344" i="6"/>
  <c r="H344" i="6"/>
  <c r="G344" i="6"/>
  <c r="L343" i="6"/>
  <c r="K343" i="6"/>
  <c r="H343" i="6"/>
  <c r="G343" i="6"/>
  <c r="L342" i="6"/>
  <c r="K342" i="6"/>
  <c r="H342" i="6"/>
  <c r="G342" i="6"/>
  <c r="L341" i="6"/>
  <c r="K341" i="6"/>
  <c r="H341" i="6"/>
  <c r="G341" i="6"/>
  <c r="L340" i="6"/>
  <c r="K340" i="6"/>
  <c r="H340" i="6"/>
  <c r="G340" i="6"/>
  <c r="L339" i="6"/>
  <c r="K339" i="6"/>
  <c r="H339" i="6"/>
  <c r="G339" i="6"/>
  <c r="L338" i="6"/>
  <c r="K338" i="6"/>
  <c r="H338" i="6"/>
  <c r="G338" i="6"/>
  <c r="L337" i="6"/>
  <c r="K337" i="6"/>
  <c r="H337" i="6"/>
  <c r="G337" i="6"/>
  <c r="L336" i="6"/>
  <c r="K336" i="6"/>
  <c r="H336" i="6"/>
  <c r="G336" i="6"/>
  <c r="L335" i="6"/>
  <c r="K335" i="6"/>
  <c r="H335" i="6"/>
  <c r="G335" i="6"/>
  <c r="L334" i="6"/>
  <c r="K334" i="6"/>
  <c r="H334" i="6"/>
  <c r="G334" i="6"/>
  <c r="L333" i="6"/>
  <c r="K333" i="6"/>
  <c r="H333" i="6"/>
  <c r="G333" i="6"/>
  <c r="L332" i="6"/>
  <c r="K332" i="6"/>
  <c r="H332" i="6"/>
  <c r="G332" i="6"/>
  <c r="L331" i="6"/>
  <c r="K331" i="6"/>
  <c r="H331" i="6"/>
  <c r="G331" i="6"/>
  <c r="L330" i="6"/>
  <c r="K330" i="6"/>
  <c r="H330" i="6"/>
  <c r="G330" i="6"/>
  <c r="L329" i="6"/>
  <c r="K329" i="6"/>
  <c r="H329" i="6"/>
  <c r="G329" i="6"/>
  <c r="L328" i="6"/>
  <c r="K328" i="6"/>
  <c r="H328" i="6"/>
  <c r="G328" i="6"/>
  <c r="L327" i="6"/>
  <c r="K327" i="6"/>
  <c r="H327" i="6"/>
  <c r="G327" i="6"/>
  <c r="L326" i="6"/>
  <c r="K326" i="6"/>
  <c r="H326" i="6"/>
  <c r="G326" i="6"/>
  <c r="L325" i="6"/>
  <c r="K325" i="6"/>
  <c r="H325" i="6"/>
  <c r="G325" i="6"/>
  <c r="L324" i="6"/>
  <c r="K324" i="6"/>
  <c r="H324" i="6"/>
  <c r="G324" i="6"/>
  <c r="L323" i="6"/>
  <c r="K323" i="6"/>
  <c r="H323" i="6"/>
  <c r="G323" i="6"/>
  <c r="L322" i="6"/>
  <c r="K322" i="6"/>
  <c r="H322" i="6"/>
  <c r="G322" i="6"/>
  <c r="L321" i="6"/>
  <c r="K321" i="6"/>
  <c r="H321" i="6"/>
  <c r="G321" i="6"/>
  <c r="L320" i="6"/>
  <c r="K320" i="6"/>
  <c r="H320" i="6"/>
  <c r="G320" i="6"/>
  <c r="L319" i="6"/>
  <c r="K319" i="6"/>
  <c r="H319" i="6"/>
  <c r="G319" i="6"/>
  <c r="L318" i="6"/>
  <c r="K318" i="6"/>
  <c r="H318" i="6"/>
  <c r="G318" i="6"/>
  <c r="L317" i="6"/>
  <c r="K317" i="6"/>
  <c r="H317" i="6"/>
  <c r="G317" i="6"/>
  <c r="L316" i="6"/>
  <c r="K316" i="6"/>
  <c r="H316" i="6"/>
  <c r="G316" i="6"/>
  <c r="L315" i="6"/>
  <c r="K315" i="6"/>
  <c r="H315" i="6"/>
  <c r="G315" i="6"/>
  <c r="L314" i="6"/>
  <c r="K314" i="6"/>
  <c r="H314" i="6"/>
  <c r="G314" i="6"/>
  <c r="L313" i="6"/>
  <c r="K313" i="6"/>
  <c r="H313" i="6"/>
  <c r="G313" i="6"/>
  <c r="L312" i="6"/>
  <c r="K312" i="6"/>
  <c r="H312" i="6"/>
  <c r="G312" i="6"/>
  <c r="L311" i="6"/>
  <c r="K311" i="6"/>
  <c r="H311" i="6"/>
  <c r="G311" i="6"/>
  <c r="L310" i="6"/>
  <c r="K310" i="6"/>
  <c r="H310" i="6"/>
  <c r="G310" i="6"/>
  <c r="L309" i="6"/>
  <c r="K309" i="6"/>
  <c r="H309" i="6"/>
  <c r="G309" i="6"/>
  <c r="L308" i="6"/>
  <c r="K308" i="6"/>
  <c r="H308" i="6"/>
  <c r="G308" i="6"/>
  <c r="L307" i="6"/>
  <c r="K307" i="6"/>
  <c r="H307" i="6"/>
  <c r="G307" i="6"/>
  <c r="L306" i="6"/>
  <c r="K306" i="6"/>
  <c r="H306" i="6"/>
  <c r="G306" i="6"/>
  <c r="L305" i="6"/>
  <c r="K305" i="6"/>
  <c r="H305" i="6"/>
  <c r="G305" i="6"/>
  <c r="L304" i="6"/>
  <c r="K304" i="6"/>
  <c r="H304" i="6"/>
  <c r="G304" i="6"/>
  <c r="L303" i="6"/>
  <c r="K303" i="6"/>
  <c r="H303" i="6"/>
  <c r="G303" i="6"/>
  <c r="L302" i="6"/>
  <c r="K302" i="6"/>
  <c r="H302" i="6"/>
  <c r="G302" i="6"/>
  <c r="L301" i="6"/>
  <c r="K301" i="6"/>
  <c r="H301" i="6"/>
  <c r="G301" i="6"/>
  <c r="L300" i="6"/>
  <c r="K300" i="6"/>
  <c r="H300" i="6"/>
  <c r="G300" i="6"/>
  <c r="L299" i="6"/>
  <c r="K299" i="6"/>
  <c r="H299" i="6"/>
  <c r="G299" i="6"/>
  <c r="L298" i="6"/>
  <c r="K298" i="6"/>
  <c r="H298" i="6"/>
  <c r="G298" i="6"/>
  <c r="L297" i="6"/>
  <c r="K297" i="6"/>
  <c r="H297" i="6"/>
  <c r="G297" i="6"/>
  <c r="L296" i="6"/>
  <c r="K296" i="6"/>
  <c r="H296" i="6"/>
  <c r="G296" i="6"/>
  <c r="L295" i="6"/>
  <c r="K295" i="6"/>
  <c r="H295" i="6"/>
  <c r="G295" i="6"/>
  <c r="L294" i="6"/>
  <c r="K294" i="6"/>
  <c r="H294" i="6"/>
  <c r="G294" i="6"/>
  <c r="L293" i="6"/>
  <c r="K293" i="6"/>
  <c r="H293" i="6"/>
  <c r="G293" i="6"/>
  <c r="L292" i="6"/>
  <c r="K292" i="6"/>
  <c r="H292" i="6"/>
  <c r="G292" i="6"/>
  <c r="L291" i="6"/>
  <c r="K291" i="6"/>
  <c r="H291" i="6"/>
  <c r="G291" i="6"/>
  <c r="L290" i="6"/>
  <c r="K290" i="6"/>
  <c r="H290" i="6"/>
  <c r="G290" i="6"/>
  <c r="L289" i="6"/>
  <c r="K289" i="6"/>
  <c r="H289" i="6"/>
  <c r="G289" i="6"/>
  <c r="L288" i="6"/>
  <c r="K288" i="6"/>
  <c r="H288" i="6"/>
  <c r="G288" i="6"/>
  <c r="L287" i="6"/>
  <c r="K287" i="6"/>
  <c r="H287" i="6"/>
  <c r="G287" i="6"/>
  <c r="L286" i="6"/>
  <c r="K286" i="6"/>
  <c r="H286" i="6"/>
  <c r="G286" i="6"/>
  <c r="L285" i="6"/>
  <c r="K285" i="6"/>
  <c r="H285" i="6"/>
  <c r="G285" i="6"/>
  <c r="L284" i="6"/>
  <c r="K284" i="6"/>
  <c r="H284" i="6"/>
  <c r="G284" i="6"/>
  <c r="L283" i="6"/>
  <c r="K283" i="6"/>
  <c r="H283" i="6"/>
  <c r="G283" i="6"/>
  <c r="L282" i="6"/>
  <c r="K282" i="6"/>
  <c r="H282" i="6"/>
  <c r="G282" i="6"/>
  <c r="L281" i="6"/>
  <c r="K281" i="6"/>
  <c r="H281" i="6"/>
  <c r="G281" i="6"/>
  <c r="L280" i="6"/>
  <c r="K280" i="6"/>
  <c r="H280" i="6"/>
  <c r="G280" i="6"/>
  <c r="L279" i="6"/>
  <c r="K279" i="6"/>
  <c r="H279" i="6"/>
  <c r="G279" i="6"/>
  <c r="L278" i="6"/>
  <c r="K278" i="6"/>
  <c r="H278" i="6"/>
  <c r="G278" i="6"/>
  <c r="L277" i="6"/>
  <c r="K277" i="6"/>
  <c r="H277" i="6"/>
  <c r="G277" i="6"/>
  <c r="L276" i="6"/>
  <c r="K276" i="6"/>
  <c r="H276" i="6"/>
  <c r="G276" i="6"/>
  <c r="L275" i="6"/>
  <c r="K275" i="6"/>
  <c r="H275" i="6"/>
  <c r="G275" i="6"/>
  <c r="L274" i="6"/>
  <c r="K274" i="6"/>
  <c r="H274" i="6"/>
  <c r="G274" i="6"/>
  <c r="L273" i="6"/>
  <c r="K273" i="6"/>
  <c r="H273" i="6"/>
  <c r="G273" i="6"/>
  <c r="L272" i="6"/>
  <c r="K272" i="6"/>
  <c r="H272" i="6"/>
  <c r="G272" i="6"/>
  <c r="L271" i="6"/>
  <c r="K271" i="6"/>
  <c r="H271" i="6"/>
  <c r="G271" i="6"/>
  <c r="L270" i="6"/>
  <c r="K270" i="6"/>
  <c r="H270" i="6"/>
  <c r="G270" i="6"/>
  <c r="L269" i="6"/>
  <c r="K269" i="6"/>
  <c r="H269" i="6"/>
  <c r="G269" i="6"/>
  <c r="L268" i="6"/>
  <c r="K268" i="6"/>
  <c r="H268" i="6"/>
  <c r="G268" i="6"/>
  <c r="L267" i="6"/>
  <c r="K267" i="6"/>
  <c r="H267" i="6"/>
  <c r="G267" i="6"/>
  <c r="L266" i="6"/>
  <c r="K266" i="6"/>
  <c r="H266" i="6"/>
  <c r="G266" i="6"/>
  <c r="L265" i="6"/>
  <c r="K265" i="6"/>
  <c r="H265" i="6"/>
  <c r="G265" i="6"/>
  <c r="L264" i="6"/>
  <c r="K264" i="6"/>
  <c r="H264" i="6"/>
  <c r="G264" i="6"/>
  <c r="L263" i="6"/>
  <c r="K263" i="6"/>
  <c r="H263" i="6"/>
  <c r="G263" i="6"/>
  <c r="L262" i="6"/>
  <c r="K262" i="6"/>
  <c r="H262" i="6"/>
  <c r="G262" i="6"/>
  <c r="L261" i="6"/>
  <c r="K261" i="6"/>
  <c r="H261" i="6"/>
  <c r="G261" i="6"/>
  <c r="L260" i="6"/>
  <c r="K260" i="6"/>
  <c r="H260" i="6"/>
  <c r="G260" i="6"/>
  <c r="L259" i="6"/>
  <c r="K259" i="6"/>
  <c r="H259" i="6"/>
  <c r="G259" i="6"/>
  <c r="L258" i="6"/>
  <c r="K258" i="6"/>
  <c r="H258" i="6"/>
  <c r="G258" i="6"/>
  <c r="L257" i="6"/>
  <c r="K257" i="6"/>
  <c r="H257" i="6"/>
  <c r="G257" i="6"/>
  <c r="L256" i="6"/>
  <c r="K256" i="6"/>
  <c r="H256" i="6"/>
  <c r="G256" i="6"/>
  <c r="L255" i="6"/>
  <c r="K255" i="6"/>
  <c r="H255" i="6"/>
  <c r="G255" i="6"/>
  <c r="L254" i="6"/>
  <c r="K254" i="6"/>
  <c r="H254" i="6"/>
  <c r="G254" i="6"/>
  <c r="L253" i="6"/>
  <c r="K253" i="6"/>
  <c r="H253" i="6"/>
  <c r="G253" i="6"/>
  <c r="L252" i="6"/>
  <c r="K252" i="6"/>
  <c r="H252" i="6"/>
  <c r="G252" i="6"/>
  <c r="L251" i="6"/>
  <c r="K251" i="6"/>
  <c r="H251" i="6"/>
  <c r="G251" i="6"/>
  <c r="L250" i="6"/>
  <c r="K250" i="6"/>
  <c r="H250" i="6"/>
  <c r="G250" i="6"/>
  <c r="L249" i="6"/>
  <c r="K249" i="6"/>
  <c r="H249" i="6"/>
  <c r="G249" i="6"/>
  <c r="L248" i="6"/>
  <c r="K248" i="6"/>
  <c r="H248" i="6"/>
  <c r="G248" i="6"/>
  <c r="L247" i="6"/>
  <c r="K247" i="6"/>
  <c r="H247" i="6"/>
  <c r="G247" i="6"/>
  <c r="L246" i="6"/>
  <c r="K246" i="6"/>
  <c r="H246" i="6"/>
  <c r="G246" i="6"/>
  <c r="L245" i="6"/>
  <c r="K245" i="6"/>
  <c r="H245" i="6"/>
  <c r="G245" i="6"/>
  <c r="L244" i="6"/>
  <c r="K244" i="6"/>
  <c r="H244" i="6"/>
  <c r="G244" i="6"/>
  <c r="L243" i="6"/>
  <c r="K243" i="6"/>
  <c r="H243" i="6"/>
  <c r="G243" i="6"/>
  <c r="L242" i="6"/>
  <c r="K242" i="6"/>
  <c r="H242" i="6"/>
  <c r="G242" i="6"/>
  <c r="L241" i="6"/>
  <c r="K241" i="6"/>
  <c r="H241" i="6"/>
  <c r="G241" i="6"/>
  <c r="L240" i="6"/>
  <c r="K240" i="6"/>
  <c r="H240" i="6"/>
  <c r="G240" i="6"/>
  <c r="L239" i="6"/>
  <c r="K239" i="6"/>
  <c r="H239" i="6"/>
  <c r="G239" i="6"/>
  <c r="L238" i="6"/>
  <c r="K238" i="6"/>
  <c r="H238" i="6"/>
  <c r="G238" i="6"/>
  <c r="L237" i="6"/>
  <c r="K237" i="6"/>
  <c r="H237" i="6"/>
  <c r="G237" i="6"/>
  <c r="L236" i="6"/>
  <c r="K236" i="6"/>
  <c r="H236" i="6"/>
  <c r="G236" i="6"/>
  <c r="L235" i="6"/>
  <c r="K235" i="6"/>
  <c r="H235" i="6"/>
  <c r="G235" i="6"/>
  <c r="L234" i="6"/>
  <c r="K234" i="6"/>
  <c r="H234" i="6"/>
  <c r="G234" i="6"/>
  <c r="L233" i="6"/>
  <c r="K233" i="6"/>
  <c r="H233" i="6"/>
  <c r="G233" i="6"/>
  <c r="L232" i="6"/>
  <c r="K232" i="6"/>
  <c r="H232" i="6"/>
  <c r="G232" i="6"/>
  <c r="L231" i="6"/>
  <c r="K231" i="6"/>
  <c r="H231" i="6"/>
  <c r="G231" i="6"/>
  <c r="L230" i="6"/>
  <c r="K230" i="6"/>
  <c r="H230" i="6"/>
  <c r="G230" i="6"/>
  <c r="L229" i="6"/>
  <c r="K229" i="6"/>
  <c r="H229" i="6"/>
  <c r="G229" i="6"/>
  <c r="L228" i="6"/>
  <c r="K228" i="6"/>
  <c r="H228" i="6"/>
  <c r="G228" i="6"/>
  <c r="L227" i="6"/>
  <c r="K227" i="6"/>
  <c r="H227" i="6"/>
  <c r="G227" i="6"/>
  <c r="L226" i="6"/>
  <c r="K226" i="6"/>
  <c r="H226" i="6"/>
  <c r="G226" i="6"/>
  <c r="L225" i="6"/>
  <c r="K225" i="6"/>
  <c r="H225" i="6"/>
  <c r="G225" i="6"/>
  <c r="L224" i="6"/>
  <c r="K224" i="6"/>
  <c r="H224" i="6"/>
  <c r="G224" i="6"/>
  <c r="L223" i="6"/>
  <c r="K223" i="6"/>
  <c r="H223" i="6"/>
  <c r="G223" i="6"/>
  <c r="L222" i="6"/>
  <c r="K222" i="6"/>
  <c r="H222" i="6"/>
  <c r="G222" i="6"/>
  <c r="L221" i="6"/>
  <c r="K221" i="6"/>
  <c r="H221" i="6"/>
  <c r="G221" i="6"/>
  <c r="L220" i="6"/>
  <c r="K220" i="6"/>
  <c r="H220" i="6"/>
  <c r="G220" i="6"/>
  <c r="L219" i="6"/>
  <c r="K219" i="6"/>
  <c r="H219" i="6"/>
  <c r="G219" i="6"/>
  <c r="L218" i="6"/>
  <c r="K218" i="6"/>
  <c r="H218" i="6"/>
  <c r="G218" i="6"/>
  <c r="L217" i="6"/>
  <c r="K217" i="6"/>
  <c r="H217" i="6"/>
  <c r="G217" i="6"/>
  <c r="L216" i="6"/>
  <c r="K216" i="6"/>
  <c r="H216" i="6"/>
  <c r="G216" i="6"/>
  <c r="L215" i="6"/>
  <c r="K215" i="6"/>
  <c r="H215" i="6"/>
  <c r="G215" i="6"/>
  <c r="L214" i="6"/>
  <c r="K214" i="6"/>
  <c r="H214" i="6"/>
  <c r="G214" i="6"/>
  <c r="L213" i="6"/>
  <c r="K213" i="6"/>
  <c r="H213" i="6"/>
  <c r="G213" i="6"/>
  <c r="L212" i="6"/>
  <c r="K212" i="6"/>
  <c r="H212" i="6"/>
  <c r="G212" i="6"/>
  <c r="L211" i="6"/>
  <c r="K211" i="6"/>
  <c r="H211" i="6"/>
  <c r="G211" i="6"/>
  <c r="L210" i="6"/>
  <c r="K210" i="6"/>
  <c r="H210" i="6"/>
  <c r="G210" i="6"/>
  <c r="L209" i="6"/>
  <c r="K209" i="6"/>
  <c r="H209" i="6"/>
  <c r="G209" i="6"/>
  <c r="L208" i="6"/>
  <c r="K208" i="6"/>
  <c r="H208" i="6"/>
  <c r="G208" i="6"/>
  <c r="L207" i="6"/>
  <c r="K207" i="6"/>
  <c r="H207" i="6"/>
  <c r="G207" i="6"/>
  <c r="L206" i="6"/>
  <c r="K206" i="6"/>
  <c r="H206" i="6"/>
  <c r="G206" i="6"/>
  <c r="L205" i="6"/>
  <c r="K205" i="6"/>
  <c r="H205" i="6"/>
  <c r="G205" i="6"/>
  <c r="L204" i="6"/>
  <c r="K204" i="6"/>
  <c r="H204" i="6"/>
  <c r="G204" i="6"/>
  <c r="L203" i="6"/>
  <c r="K203" i="6"/>
  <c r="H203" i="6"/>
  <c r="G203" i="6"/>
  <c r="L202" i="6"/>
  <c r="K202" i="6"/>
  <c r="H202" i="6"/>
  <c r="G202" i="6"/>
  <c r="L201" i="6"/>
  <c r="K201" i="6"/>
  <c r="H201" i="6"/>
  <c r="G201" i="6"/>
  <c r="L200" i="6"/>
  <c r="K200" i="6"/>
  <c r="H200" i="6"/>
  <c r="G200" i="6"/>
  <c r="L199" i="6"/>
  <c r="K199" i="6"/>
  <c r="H199" i="6"/>
  <c r="G199" i="6"/>
  <c r="L198" i="6"/>
  <c r="K198" i="6"/>
  <c r="H198" i="6"/>
  <c r="G198" i="6"/>
  <c r="L197" i="6"/>
  <c r="K197" i="6"/>
  <c r="H197" i="6"/>
  <c r="G197" i="6"/>
  <c r="L196" i="6"/>
  <c r="K196" i="6"/>
  <c r="H196" i="6"/>
  <c r="G196" i="6"/>
  <c r="L195" i="6"/>
  <c r="K195" i="6"/>
  <c r="H195" i="6"/>
  <c r="G195" i="6"/>
  <c r="L194" i="6"/>
  <c r="K194" i="6"/>
  <c r="H194" i="6"/>
  <c r="G194" i="6"/>
  <c r="L193" i="6"/>
  <c r="K193" i="6"/>
  <c r="H193" i="6"/>
  <c r="G193" i="6"/>
  <c r="L192" i="6"/>
  <c r="K192" i="6"/>
  <c r="H192" i="6"/>
  <c r="G192" i="6"/>
  <c r="L191" i="6"/>
  <c r="K191" i="6"/>
  <c r="H191" i="6"/>
  <c r="G191" i="6"/>
  <c r="L190" i="6"/>
  <c r="K190" i="6"/>
  <c r="H190" i="6"/>
  <c r="G190" i="6"/>
  <c r="L189" i="6"/>
  <c r="K189" i="6"/>
  <c r="H189" i="6"/>
  <c r="G189" i="6"/>
  <c r="L188" i="6"/>
  <c r="K188" i="6"/>
  <c r="H188" i="6"/>
  <c r="G188" i="6"/>
  <c r="L187" i="6"/>
  <c r="K187" i="6"/>
  <c r="H187" i="6"/>
  <c r="G187" i="6"/>
  <c r="L186" i="6"/>
  <c r="K186" i="6"/>
  <c r="H186" i="6"/>
  <c r="G186" i="6"/>
  <c r="L185" i="6"/>
  <c r="K185" i="6"/>
  <c r="H185" i="6"/>
  <c r="G185" i="6"/>
  <c r="L184" i="6"/>
  <c r="K184" i="6"/>
  <c r="H184" i="6"/>
  <c r="G184" i="6"/>
  <c r="L183" i="6"/>
  <c r="K183" i="6"/>
  <c r="H183" i="6"/>
  <c r="G183" i="6"/>
  <c r="L182" i="6"/>
  <c r="K182" i="6"/>
  <c r="H182" i="6"/>
  <c r="G182" i="6"/>
  <c r="L181" i="6"/>
  <c r="K181" i="6"/>
  <c r="H181" i="6"/>
  <c r="G181" i="6"/>
  <c r="L180" i="6"/>
  <c r="K180" i="6"/>
  <c r="H180" i="6"/>
  <c r="G180" i="6"/>
  <c r="L179" i="6"/>
  <c r="K179" i="6"/>
  <c r="H179" i="6"/>
  <c r="G179" i="6"/>
  <c r="L178" i="6"/>
  <c r="K178" i="6"/>
  <c r="H178" i="6"/>
  <c r="G178" i="6"/>
  <c r="L177" i="6"/>
  <c r="K177" i="6"/>
  <c r="H177" i="6"/>
  <c r="G177" i="6"/>
  <c r="L176" i="6"/>
  <c r="K176" i="6"/>
  <c r="H176" i="6"/>
  <c r="G176" i="6"/>
  <c r="L175" i="6"/>
  <c r="K175" i="6"/>
  <c r="H175" i="6"/>
  <c r="G175" i="6"/>
  <c r="L174" i="6"/>
  <c r="K174" i="6"/>
  <c r="H174" i="6"/>
  <c r="G174" i="6"/>
  <c r="L173" i="6"/>
  <c r="K173" i="6"/>
  <c r="H173" i="6"/>
  <c r="G173" i="6"/>
  <c r="L172" i="6"/>
  <c r="K172" i="6"/>
  <c r="H172" i="6"/>
  <c r="G172" i="6"/>
  <c r="L171" i="6"/>
  <c r="K171" i="6"/>
  <c r="H171" i="6"/>
  <c r="G171" i="6"/>
  <c r="L170" i="6"/>
  <c r="K170" i="6"/>
  <c r="H170" i="6"/>
  <c r="G170" i="6"/>
  <c r="L169" i="6"/>
  <c r="K169" i="6"/>
  <c r="H169" i="6"/>
  <c r="G169" i="6"/>
  <c r="L168" i="6"/>
  <c r="K168" i="6"/>
  <c r="H168" i="6"/>
  <c r="G168" i="6"/>
  <c r="L167" i="6"/>
  <c r="K167" i="6"/>
  <c r="H167" i="6"/>
  <c r="G167" i="6"/>
  <c r="L166" i="6"/>
  <c r="K166" i="6"/>
  <c r="H166" i="6"/>
  <c r="G166" i="6"/>
  <c r="L165" i="6"/>
  <c r="K165" i="6"/>
  <c r="H165" i="6"/>
  <c r="G165" i="6"/>
  <c r="L164" i="6"/>
  <c r="K164" i="6"/>
  <c r="H164" i="6"/>
  <c r="G164" i="6"/>
  <c r="L163" i="6"/>
  <c r="K163" i="6"/>
  <c r="H163" i="6"/>
  <c r="G163" i="6"/>
  <c r="L162" i="6"/>
  <c r="K162" i="6"/>
  <c r="H162" i="6"/>
  <c r="G162" i="6"/>
  <c r="L161" i="6"/>
  <c r="K161" i="6"/>
  <c r="H161" i="6"/>
  <c r="G161" i="6"/>
  <c r="L160" i="6"/>
  <c r="K160" i="6"/>
  <c r="H160" i="6"/>
  <c r="G160" i="6"/>
  <c r="L159" i="6"/>
  <c r="K159" i="6"/>
  <c r="H159" i="6"/>
  <c r="G159" i="6"/>
  <c r="L158" i="6"/>
  <c r="K158" i="6"/>
  <c r="H158" i="6"/>
  <c r="G158" i="6"/>
  <c r="L157" i="6"/>
  <c r="K157" i="6"/>
  <c r="H157" i="6"/>
  <c r="G157" i="6"/>
  <c r="L156" i="6"/>
  <c r="K156" i="6"/>
  <c r="H156" i="6"/>
  <c r="G156" i="6"/>
  <c r="L155" i="6"/>
  <c r="K155" i="6"/>
  <c r="H155" i="6"/>
  <c r="G155" i="6"/>
  <c r="L154" i="6"/>
  <c r="K154" i="6"/>
  <c r="H154" i="6"/>
  <c r="G154" i="6"/>
  <c r="L153" i="6"/>
  <c r="K153" i="6"/>
  <c r="H153" i="6"/>
  <c r="G153" i="6"/>
  <c r="L152" i="6"/>
  <c r="K152" i="6"/>
  <c r="H152" i="6"/>
  <c r="G152" i="6"/>
  <c r="L151" i="6"/>
  <c r="K151" i="6"/>
  <c r="H151" i="6"/>
  <c r="G151" i="6"/>
  <c r="L150" i="6"/>
  <c r="K150" i="6"/>
  <c r="H150" i="6"/>
  <c r="G150" i="6"/>
  <c r="L149" i="6"/>
  <c r="K149" i="6"/>
  <c r="H149" i="6"/>
  <c r="G149" i="6"/>
  <c r="L148" i="6"/>
  <c r="K148" i="6"/>
  <c r="H148" i="6"/>
  <c r="G148" i="6"/>
  <c r="L147" i="6"/>
  <c r="K147" i="6"/>
  <c r="H147" i="6"/>
  <c r="G147" i="6"/>
  <c r="L146" i="6"/>
  <c r="K146" i="6"/>
  <c r="H146" i="6"/>
  <c r="G146" i="6"/>
  <c r="L145" i="6"/>
  <c r="K145" i="6"/>
  <c r="H145" i="6"/>
  <c r="G145" i="6"/>
  <c r="L144" i="6"/>
  <c r="K144" i="6"/>
  <c r="H144" i="6"/>
  <c r="G144" i="6"/>
  <c r="L143" i="6"/>
  <c r="K143" i="6"/>
  <c r="H143" i="6"/>
  <c r="G143" i="6"/>
  <c r="L142" i="6"/>
  <c r="K142" i="6"/>
  <c r="H142" i="6"/>
  <c r="G142" i="6"/>
  <c r="L141" i="6"/>
  <c r="K141" i="6"/>
  <c r="H141" i="6"/>
  <c r="G141" i="6"/>
  <c r="L140" i="6"/>
  <c r="K140" i="6"/>
  <c r="H140" i="6"/>
  <c r="G140" i="6"/>
  <c r="L139" i="6"/>
  <c r="K139" i="6"/>
  <c r="H139" i="6"/>
  <c r="G139" i="6"/>
  <c r="L138" i="6"/>
  <c r="K138" i="6"/>
  <c r="H138" i="6"/>
  <c r="G138" i="6"/>
  <c r="L137" i="6"/>
  <c r="K137" i="6"/>
  <c r="H137" i="6"/>
  <c r="G137" i="6"/>
  <c r="L136" i="6"/>
  <c r="K136" i="6"/>
  <c r="H136" i="6"/>
  <c r="G136" i="6"/>
  <c r="L135" i="6"/>
  <c r="K135" i="6"/>
  <c r="H135" i="6"/>
  <c r="G135" i="6"/>
  <c r="L134" i="6"/>
  <c r="K134" i="6"/>
  <c r="H134" i="6"/>
  <c r="G134" i="6"/>
  <c r="L133" i="6"/>
  <c r="K133" i="6"/>
  <c r="H133" i="6"/>
  <c r="G133" i="6"/>
  <c r="L132" i="6"/>
  <c r="K132" i="6"/>
  <c r="H132" i="6"/>
  <c r="G132" i="6"/>
  <c r="L131" i="6"/>
  <c r="K131" i="6"/>
  <c r="H131" i="6"/>
  <c r="G131" i="6"/>
  <c r="L130" i="6"/>
  <c r="K130" i="6"/>
  <c r="H130" i="6"/>
  <c r="G130" i="6"/>
  <c r="L129" i="6"/>
  <c r="K129" i="6"/>
  <c r="H129" i="6"/>
  <c r="G129" i="6"/>
  <c r="L128" i="6"/>
  <c r="K128" i="6"/>
  <c r="H128" i="6"/>
  <c r="G128" i="6"/>
  <c r="L127" i="6"/>
  <c r="K127" i="6"/>
  <c r="H127" i="6"/>
  <c r="G127" i="6"/>
  <c r="L126" i="6"/>
  <c r="K126" i="6"/>
  <c r="H126" i="6"/>
  <c r="G126" i="6"/>
  <c r="L125" i="6"/>
  <c r="K125" i="6"/>
  <c r="H125" i="6"/>
  <c r="G125" i="6"/>
  <c r="L124" i="6"/>
  <c r="K124" i="6"/>
  <c r="H124" i="6"/>
  <c r="G124" i="6"/>
  <c r="L123" i="6"/>
  <c r="K123" i="6"/>
  <c r="H123" i="6"/>
  <c r="G123" i="6"/>
  <c r="L122" i="6"/>
  <c r="K122" i="6"/>
  <c r="H122" i="6"/>
  <c r="G122" i="6"/>
  <c r="L121" i="6"/>
  <c r="K121" i="6"/>
  <c r="H121" i="6"/>
  <c r="G121" i="6"/>
  <c r="L120" i="6"/>
  <c r="K120" i="6"/>
  <c r="H120" i="6"/>
  <c r="G120" i="6"/>
  <c r="L119" i="6"/>
  <c r="K119" i="6"/>
  <c r="H119" i="6"/>
  <c r="G119" i="6"/>
  <c r="L118" i="6"/>
  <c r="K118" i="6"/>
  <c r="H118" i="6"/>
  <c r="G118" i="6"/>
  <c r="L117" i="6"/>
  <c r="K117" i="6"/>
  <c r="H117" i="6"/>
  <c r="G117" i="6"/>
  <c r="L116" i="6"/>
  <c r="K116" i="6"/>
  <c r="H116" i="6"/>
  <c r="G116" i="6"/>
  <c r="L115" i="6"/>
  <c r="K115" i="6"/>
  <c r="H115" i="6"/>
  <c r="G115" i="6"/>
  <c r="L114" i="6"/>
  <c r="K114" i="6"/>
  <c r="H114" i="6"/>
  <c r="G114" i="6"/>
  <c r="L113" i="6"/>
  <c r="K113" i="6"/>
  <c r="H113" i="6"/>
  <c r="G113" i="6"/>
  <c r="L112" i="6"/>
  <c r="K112" i="6"/>
  <c r="H112" i="6"/>
  <c r="G112" i="6"/>
  <c r="L111" i="6"/>
  <c r="K111" i="6"/>
  <c r="H111" i="6"/>
  <c r="G111" i="6"/>
  <c r="L110" i="6"/>
  <c r="K110" i="6"/>
  <c r="H110" i="6"/>
  <c r="G110" i="6"/>
  <c r="L109" i="6"/>
  <c r="K109" i="6"/>
  <c r="H109" i="6"/>
  <c r="G109" i="6"/>
  <c r="L108" i="6"/>
  <c r="K108" i="6"/>
  <c r="H108" i="6"/>
  <c r="G108" i="6"/>
  <c r="L107" i="6"/>
  <c r="K107" i="6"/>
  <c r="H107" i="6"/>
  <c r="G107" i="6"/>
  <c r="L106" i="6"/>
  <c r="K106" i="6"/>
  <c r="H106" i="6"/>
  <c r="G106" i="6"/>
  <c r="L105" i="6"/>
  <c r="K105" i="6"/>
  <c r="H105" i="6"/>
  <c r="G105" i="6"/>
  <c r="L104" i="6"/>
  <c r="K104" i="6"/>
  <c r="H104" i="6"/>
  <c r="G104" i="6"/>
  <c r="L103" i="6"/>
  <c r="K103" i="6"/>
  <c r="H103" i="6"/>
  <c r="G103" i="6"/>
  <c r="L102" i="6"/>
  <c r="K102" i="6"/>
  <c r="H102" i="6"/>
  <c r="G102" i="6"/>
  <c r="L101" i="6"/>
  <c r="K101" i="6"/>
  <c r="H101" i="6"/>
  <c r="G101" i="6"/>
  <c r="L100" i="6"/>
  <c r="K100" i="6"/>
  <c r="H100" i="6"/>
  <c r="G100" i="6"/>
  <c r="L99" i="6"/>
  <c r="K99" i="6"/>
  <c r="H99" i="6"/>
  <c r="G99" i="6"/>
  <c r="L98" i="6"/>
  <c r="K98" i="6"/>
  <c r="H98" i="6"/>
  <c r="G98" i="6"/>
  <c r="L97" i="6"/>
  <c r="K97" i="6"/>
  <c r="H97" i="6"/>
  <c r="G97" i="6"/>
  <c r="L96" i="6"/>
  <c r="K96" i="6"/>
  <c r="H96" i="6"/>
  <c r="G96" i="6"/>
  <c r="L95" i="6"/>
  <c r="K95" i="6"/>
  <c r="H95" i="6"/>
  <c r="G95" i="6"/>
  <c r="L94" i="6"/>
  <c r="K94" i="6"/>
  <c r="H94" i="6"/>
  <c r="G94" i="6"/>
  <c r="L93" i="6"/>
  <c r="K93" i="6"/>
  <c r="H93" i="6"/>
  <c r="G93" i="6"/>
  <c r="L92" i="6"/>
  <c r="K92" i="6"/>
  <c r="H92" i="6"/>
  <c r="G92" i="6"/>
  <c r="L91" i="6"/>
  <c r="K91" i="6"/>
  <c r="H91" i="6"/>
  <c r="G91" i="6"/>
  <c r="L90" i="6"/>
  <c r="K90" i="6"/>
  <c r="H90" i="6"/>
  <c r="G90" i="6"/>
  <c r="L89" i="6"/>
  <c r="K89" i="6"/>
  <c r="H89" i="6"/>
  <c r="G89" i="6"/>
  <c r="L88" i="6"/>
  <c r="K88" i="6"/>
  <c r="H88" i="6"/>
  <c r="G88" i="6"/>
  <c r="L87" i="6"/>
  <c r="K87" i="6"/>
  <c r="H87" i="6"/>
  <c r="G87" i="6"/>
  <c r="L86" i="6"/>
  <c r="K86" i="6"/>
  <c r="H86" i="6"/>
  <c r="G86" i="6"/>
  <c r="L85" i="6"/>
  <c r="K85" i="6"/>
  <c r="H85" i="6"/>
  <c r="G85" i="6"/>
  <c r="L84" i="6"/>
  <c r="K84" i="6"/>
  <c r="H84" i="6"/>
  <c r="G84" i="6"/>
  <c r="L83" i="6"/>
  <c r="K83" i="6"/>
  <c r="H83" i="6"/>
  <c r="G83" i="6"/>
  <c r="L82" i="6"/>
  <c r="K82" i="6"/>
  <c r="H82" i="6"/>
  <c r="G82" i="6"/>
  <c r="L81" i="6"/>
  <c r="K81" i="6"/>
  <c r="H81" i="6"/>
  <c r="G81" i="6"/>
  <c r="L80" i="6"/>
  <c r="K80" i="6"/>
  <c r="H80" i="6"/>
  <c r="G80" i="6"/>
  <c r="L79" i="6"/>
  <c r="K79" i="6"/>
  <c r="H79" i="6"/>
  <c r="G79" i="6"/>
  <c r="L78" i="6"/>
  <c r="K78" i="6"/>
  <c r="H78" i="6"/>
  <c r="G78" i="6"/>
  <c r="L77" i="6"/>
  <c r="K77" i="6"/>
  <c r="H77" i="6"/>
  <c r="G77" i="6"/>
  <c r="L76" i="6"/>
  <c r="K76" i="6"/>
  <c r="H76" i="6"/>
  <c r="G76" i="6"/>
  <c r="L75" i="6"/>
  <c r="K75" i="6"/>
  <c r="H75" i="6"/>
  <c r="G75" i="6"/>
  <c r="L74" i="6"/>
  <c r="K74" i="6"/>
  <c r="H74" i="6"/>
  <c r="G74" i="6"/>
  <c r="L73" i="6"/>
  <c r="K73" i="6"/>
  <c r="H73" i="6"/>
  <c r="G73" i="6"/>
  <c r="L72" i="6"/>
  <c r="K72" i="6"/>
  <c r="H72" i="6"/>
  <c r="G72" i="6"/>
  <c r="L71" i="6"/>
  <c r="K71" i="6"/>
  <c r="H71" i="6"/>
  <c r="G71" i="6"/>
  <c r="L70" i="6"/>
  <c r="K70" i="6"/>
  <c r="H70" i="6"/>
  <c r="G70" i="6"/>
  <c r="L69" i="6"/>
  <c r="K69" i="6"/>
  <c r="H69" i="6"/>
  <c r="G69" i="6"/>
  <c r="L68" i="6"/>
  <c r="K68" i="6"/>
  <c r="H68" i="6"/>
  <c r="G68" i="6"/>
  <c r="L67" i="6"/>
  <c r="K67" i="6"/>
  <c r="H67" i="6"/>
  <c r="G67" i="6"/>
  <c r="L66" i="6"/>
  <c r="K66" i="6"/>
  <c r="H66" i="6"/>
  <c r="G66" i="6"/>
  <c r="L65" i="6"/>
  <c r="K65" i="6"/>
  <c r="H65" i="6"/>
  <c r="G65" i="6"/>
  <c r="L64" i="6"/>
  <c r="K64" i="6"/>
  <c r="H64" i="6"/>
  <c r="G64" i="6"/>
  <c r="L63" i="6"/>
  <c r="K63" i="6"/>
  <c r="H63" i="6"/>
  <c r="G63" i="6"/>
  <c r="L62" i="6"/>
  <c r="K62" i="6"/>
  <c r="H62" i="6"/>
  <c r="G62" i="6"/>
  <c r="L61" i="6"/>
  <c r="K61" i="6"/>
  <c r="H61" i="6"/>
  <c r="G61" i="6"/>
  <c r="L60" i="6"/>
  <c r="K60" i="6"/>
  <c r="H60" i="6"/>
  <c r="G60" i="6"/>
  <c r="L59" i="6"/>
  <c r="K59" i="6"/>
  <c r="H59" i="6"/>
  <c r="G59" i="6"/>
  <c r="L58" i="6"/>
  <c r="K58" i="6"/>
  <c r="H58" i="6"/>
  <c r="G58" i="6"/>
  <c r="L57" i="6"/>
  <c r="K57" i="6"/>
  <c r="H57" i="6"/>
  <c r="G57" i="6"/>
  <c r="L56" i="6"/>
  <c r="K56" i="6"/>
  <c r="H56" i="6"/>
  <c r="G56" i="6"/>
  <c r="L55" i="6"/>
  <c r="K55" i="6"/>
  <c r="H55" i="6"/>
  <c r="G55" i="6"/>
  <c r="L54" i="6"/>
  <c r="K54" i="6"/>
  <c r="H54" i="6"/>
  <c r="G54" i="6"/>
  <c r="L53" i="6"/>
  <c r="K53" i="6"/>
  <c r="H53" i="6"/>
  <c r="G53" i="6"/>
  <c r="L52" i="6"/>
  <c r="K52" i="6"/>
  <c r="H52" i="6"/>
  <c r="G52" i="6"/>
  <c r="L51" i="6"/>
  <c r="K51" i="6"/>
  <c r="H51" i="6"/>
  <c r="G51" i="6"/>
  <c r="L50" i="6"/>
  <c r="K50" i="6"/>
  <c r="H50" i="6"/>
  <c r="G50" i="6"/>
  <c r="L49" i="6"/>
  <c r="K49" i="6"/>
  <c r="H49" i="6"/>
  <c r="G49" i="6"/>
  <c r="L48" i="6"/>
  <c r="K48" i="6"/>
  <c r="H48" i="6"/>
  <c r="G48" i="6"/>
  <c r="L47" i="6"/>
  <c r="K47" i="6"/>
  <c r="H47" i="6"/>
  <c r="G47" i="6"/>
  <c r="L46" i="6"/>
  <c r="K46" i="6"/>
  <c r="H46" i="6"/>
  <c r="G46" i="6"/>
  <c r="L45" i="6"/>
  <c r="K45" i="6"/>
  <c r="H45" i="6"/>
  <c r="G45" i="6"/>
  <c r="L44" i="6"/>
  <c r="K44" i="6"/>
  <c r="H44" i="6"/>
  <c r="G44" i="6"/>
  <c r="L43" i="6"/>
  <c r="K43" i="6"/>
  <c r="H43" i="6"/>
  <c r="G43" i="6"/>
  <c r="L42" i="6"/>
  <c r="K42" i="6"/>
  <c r="H42" i="6"/>
  <c r="G42" i="6"/>
  <c r="L41" i="6"/>
  <c r="K41" i="6"/>
  <c r="H41" i="6"/>
  <c r="G41" i="6"/>
  <c r="L40" i="6"/>
  <c r="K40" i="6"/>
  <c r="H40" i="6"/>
  <c r="G40" i="6"/>
  <c r="L39" i="6"/>
  <c r="K39" i="6"/>
  <c r="H39" i="6"/>
  <c r="G39" i="6"/>
  <c r="L38" i="6"/>
  <c r="K38" i="6"/>
  <c r="H38" i="6"/>
  <c r="G38" i="6"/>
  <c r="L37" i="6"/>
  <c r="K37" i="6"/>
  <c r="H37" i="6"/>
  <c r="G37" i="6"/>
  <c r="L36" i="6"/>
  <c r="K36" i="6"/>
  <c r="H36" i="6"/>
  <c r="G36" i="6"/>
  <c r="L35" i="6"/>
  <c r="K35" i="6"/>
  <c r="H35" i="6"/>
  <c r="G35" i="6"/>
  <c r="L34" i="6"/>
  <c r="K34" i="6"/>
  <c r="H34" i="6"/>
  <c r="G34" i="6"/>
  <c r="L33" i="6"/>
  <c r="K33" i="6"/>
  <c r="H33" i="6"/>
  <c r="G33" i="6"/>
  <c r="L32" i="6"/>
  <c r="K32" i="6"/>
  <c r="H32" i="6"/>
  <c r="G32" i="6"/>
  <c r="L31" i="6"/>
  <c r="K31" i="6"/>
  <c r="H31" i="6"/>
  <c r="G31" i="6"/>
  <c r="L30" i="6"/>
  <c r="K30" i="6"/>
  <c r="H30" i="6"/>
  <c r="G30" i="6"/>
  <c r="L29" i="6"/>
  <c r="K29" i="6"/>
  <c r="H29" i="6"/>
  <c r="G29" i="6"/>
  <c r="L28" i="6"/>
  <c r="K28" i="6"/>
  <c r="H28" i="6"/>
  <c r="G28" i="6"/>
  <c r="L27" i="6"/>
  <c r="K27" i="6"/>
  <c r="H27" i="6"/>
  <c r="G27" i="6"/>
  <c r="L26" i="6"/>
  <c r="K26" i="6"/>
  <c r="H26" i="6"/>
  <c r="G26" i="6"/>
  <c r="L25" i="6"/>
  <c r="K25" i="6"/>
  <c r="H25" i="6"/>
  <c r="G25" i="6"/>
  <c r="L24" i="6"/>
  <c r="K24" i="6"/>
  <c r="H24" i="6"/>
  <c r="G24" i="6"/>
  <c r="L23" i="6"/>
  <c r="K23" i="6"/>
  <c r="L8" i="6" s="1"/>
  <c r="H23" i="6"/>
  <c r="G23" i="6"/>
  <c r="L22" i="6"/>
  <c r="K22" i="6"/>
  <c r="H22" i="6"/>
  <c r="G22" i="6"/>
  <c r="L21" i="6"/>
  <c r="K21" i="6"/>
  <c r="H21" i="6"/>
  <c r="G21" i="6"/>
  <c r="L20" i="6"/>
  <c r="K20" i="6"/>
  <c r="H20" i="6"/>
  <c r="G20" i="6"/>
  <c r="L19" i="6"/>
  <c r="K19" i="6"/>
  <c r="H19" i="6"/>
  <c r="G19" i="6"/>
  <c r="L18" i="6"/>
  <c r="K18" i="6"/>
  <c r="H18" i="6"/>
  <c r="G18" i="6"/>
  <c r="L17" i="6"/>
  <c r="K17" i="6"/>
  <c r="H17" i="6"/>
  <c r="G17" i="6"/>
  <c r="L6" i="6"/>
  <c r="H515" i="5"/>
  <c r="G515" i="5"/>
  <c r="H514" i="5"/>
  <c r="G514" i="5"/>
  <c r="H513" i="5"/>
  <c r="G513" i="5"/>
  <c r="H512" i="5"/>
  <c r="G512" i="5"/>
  <c r="I512" i="5" s="1"/>
  <c r="H511" i="5"/>
  <c r="G511" i="5"/>
  <c r="I511" i="5" s="1"/>
  <c r="I510" i="5"/>
  <c r="H510" i="5"/>
  <c r="G510" i="5"/>
  <c r="H509" i="5"/>
  <c r="G509" i="5"/>
  <c r="I509" i="5" s="1"/>
  <c r="I508" i="5"/>
  <c r="H508" i="5"/>
  <c r="G508" i="5"/>
  <c r="H507" i="5"/>
  <c r="G507" i="5"/>
  <c r="I507" i="5" s="1"/>
  <c r="I506" i="5"/>
  <c r="H506" i="5"/>
  <c r="G506" i="5"/>
  <c r="I505" i="5"/>
  <c r="H505" i="5"/>
  <c r="G505" i="5"/>
  <c r="H504" i="5"/>
  <c r="G504" i="5"/>
  <c r="I504" i="5" s="1"/>
  <c r="I503" i="5"/>
  <c r="H503" i="5"/>
  <c r="G503" i="5"/>
  <c r="H502" i="5"/>
  <c r="G502" i="5"/>
  <c r="I502" i="5" s="1"/>
  <c r="I501" i="5"/>
  <c r="H501" i="5"/>
  <c r="G501" i="5"/>
  <c r="H500" i="5"/>
  <c r="G500" i="5"/>
  <c r="I500" i="5" s="1"/>
  <c r="I499" i="5"/>
  <c r="H499" i="5"/>
  <c r="G499" i="5"/>
  <c r="H498" i="5"/>
  <c r="G498" i="5"/>
  <c r="I498" i="5" s="1"/>
  <c r="H497" i="5"/>
  <c r="G497" i="5"/>
  <c r="I497" i="5" s="1"/>
  <c r="I496" i="5"/>
  <c r="H496" i="5"/>
  <c r="G496" i="5"/>
  <c r="H495" i="5"/>
  <c r="G495" i="5"/>
  <c r="I495" i="5" s="1"/>
  <c r="I494" i="5"/>
  <c r="H494" i="5"/>
  <c r="G494" i="5"/>
  <c r="H493" i="5"/>
  <c r="G493" i="5"/>
  <c r="I493" i="5" s="1"/>
  <c r="I492" i="5"/>
  <c r="H492" i="5"/>
  <c r="G492" i="5"/>
  <c r="I491" i="5"/>
  <c r="H491" i="5"/>
  <c r="G491" i="5"/>
  <c r="H490" i="5"/>
  <c r="G490" i="5"/>
  <c r="I490" i="5" s="1"/>
  <c r="I489" i="5"/>
  <c r="H489" i="5"/>
  <c r="G489" i="5"/>
  <c r="H488" i="5"/>
  <c r="G488" i="5"/>
  <c r="I488" i="5" s="1"/>
  <c r="I487" i="5"/>
  <c r="H487" i="5"/>
  <c r="G487" i="5"/>
  <c r="H486" i="5"/>
  <c r="G486" i="5"/>
  <c r="H485" i="5"/>
  <c r="G485" i="5"/>
  <c r="I485" i="5" s="1"/>
  <c r="I484" i="5"/>
  <c r="H484" i="5"/>
  <c r="G484" i="5"/>
  <c r="H483" i="5"/>
  <c r="G483" i="5"/>
  <c r="I482" i="5"/>
  <c r="H482" i="5"/>
  <c r="G482" i="5"/>
  <c r="I481" i="5"/>
  <c r="H481" i="5"/>
  <c r="G481" i="5"/>
  <c r="H480" i="5"/>
  <c r="G480" i="5"/>
  <c r="I479" i="5"/>
  <c r="H479" i="5"/>
  <c r="G479" i="5"/>
  <c r="H478" i="5"/>
  <c r="G478" i="5"/>
  <c r="I478" i="5" s="1"/>
  <c r="I477" i="5"/>
  <c r="H477" i="5"/>
  <c r="G477" i="5"/>
  <c r="H476" i="5"/>
  <c r="G476" i="5"/>
  <c r="H475" i="5"/>
  <c r="G475" i="5"/>
  <c r="H474" i="5"/>
  <c r="G474" i="5"/>
  <c r="H473" i="5"/>
  <c r="G473" i="5"/>
  <c r="H472" i="5"/>
  <c r="G472" i="5"/>
  <c r="H471" i="5"/>
  <c r="G471" i="5"/>
  <c r="H470" i="5"/>
  <c r="G470" i="5"/>
  <c r="H469" i="5"/>
  <c r="G469" i="5"/>
  <c r="H468" i="5"/>
  <c r="G468" i="5"/>
  <c r="H467" i="5"/>
  <c r="G467" i="5"/>
  <c r="H466" i="5"/>
  <c r="G466" i="5"/>
  <c r="H465" i="5"/>
  <c r="G465" i="5"/>
  <c r="H464" i="5"/>
  <c r="G464" i="5"/>
  <c r="I463" i="5"/>
  <c r="H463" i="5"/>
  <c r="G463" i="5"/>
  <c r="H462" i="5"/>
  <c r="G462" i="5"/>
  <c r="H461" i="5"/>
  <c r="G461" i="5"/>
  <c r="I461" i="5" s="1"/>
  <c r="I460" i="5"/>
  <c r="H460" i="5"/>
  <c r="G460" i="5"/>
  <c r="H459" i="5"/>
  <c r="G459" i="5"/>
  <c r="I458" i="5"/>
  <c r="H458" i="5"/>
  <c r="G458" i="5"/>
  <c r="I457" i="5"/>
  <c r="H457" i="5"/>
  <c r="G457" i="5"/>
  <c r="H456" i="5"/>
  <c r="G456" i="5"/>
  <c r="I455" i="5"/>
  <c r="H455" i="5"/>
  <c r="G455" i="5"/>
  <c r="H454" i="5"/>
  <c r="G454" i="5"/>
  <c r="H453" i="5"/>
  <c r="G453" i="5"/>
  <c r="H452" i="5"/>
  <c r="G452" i="5"/>
  <c r="H451" i="5"/>
  <c r="G451" i="5"/>
  <c r="H450" i="5"/>
  <c r="G450" i="5"/>
  <c r="H449" i="5"/>
  <c r="G449" i="5"/>
  <c r="I448" i="5"/>
  <c r="H448" i="5"/>
  <c r="G448" i="5"/>
  <c r="H447" i="5"/>
  <c r="G447" i="5"/>
  <c r="I446" i="5"/>
  <c r="H446" i="5"/>
  <c r="G446" i="5"/>
  <c r="I445" i="5"/>
  <c r="H445" i="5"/>
  <c r="G445" i="5"/>
  <c r="H444" i="5"/>
  <c r="G444" i="5"/>
  <c r="I444" i="5" s="1"/>
  <c r="I443" i="5"/>
  <c r="H443" i="5"/>
  <c r="G443" i="5"/>
  <c r="H442" i="5"/>
  <c r="G442" i="5"/>
  <c r="I442" i="5" s="1"/>
  <c r="I441" i="5"/>
  <c r="H441" i="5"/>
  <c r="G441" i="5"/>
  <c r="H440" i="5"/>
  <c r="G440" i="5"/>
  <c r="I440" i="5" s="1"/>
  <c r="I439" i="5"/>
  <c r="H439" i="5"/>
  <c r="G439" i="5"/>
  <c r="H438" i="5"/>
  <c r="G438" i="5"/>
  <c r="H437" i="5"/>
  <c r="G437" i="5"/>
  <c r="I437" i="5" s="1"/>
  <c r="I436" i="5"/>
  <c r="H436" i="5"/>
  <c r="G436" i="5"/>
  <c r="H435" i="5"/>
  <c r="G435" i="5"/>
  <c r="H434" i="5"/>
  <c r="G434" i="5"/>
  <c r="I434" i="5" s="1"/>
  <c r="H433" i="5"/>
  <c r="G433" i="5"/>
  <c r="H432" i="5"/>
  <c r="G432" i="5"/>
  <c r="I432" i="5" s="1"/>
  <c r="I431" i="5"/>
  <c r="H431" i="5"/>
  <c r="G431" i="5"/>
  <c r="H430" i="5"/>
  <c r="G430" i="5"/>
  <c r="H429" i="5"/>
  <c r="G429" i="5"/>
  <c r="I429" i="5" s="1"/>
  <c r="I428" i="5"/>
  <c r="H428" i="5"/>
  <c r="G428" i="5"/>
  <c r="H427" i="5"/>
  <c r="G427" i="5"/>
  <c r="I427" i="5" s="1"/>
  <c r="I426" i="5"/>
  <c r="H426" i="5"/>
  <c r="G426" i="5"/>
  <c r="I425" i="5"/>
  <c r="H425" i="5"/>
  <c r="G425" i="5"/>
  <c r="H424" i="5"/>
  <c r="G424" i="5"/>
  <c r="I424" i="5" s="1"/>
  <c r="I423" i="5"/>
  <c r="H423" i="5"/>
  <c r="G423" i="5"/>
  <c r="H422" i="5"/>
  <c r="G422" i="5"/>
  <c r="I422" i="5" s="1"/>
  <c r="I421" i="5"/>
  <c r="H421" i="5"/>
  <c r="G421" i="5"/>
  <c r="H420" i="5"/>
  <c r="G420" i="5"/>
  <c r="H419" i="5"/>
  <c r="G419" i="5"/>
  <c r="I419" i="5" s="1"/>
  <c r="I418" i="5"/>
  <c r="H418" i="5"/>
  <c r="G418" i="5"/>
  <c r="H417" i="5"/>
  <c r="G417" i="5"/>
  <c r="I416" i="5"/>
  <c r="H416" i="5"/>
  <c r="G416" i="5"/>
  <c r="I415" i="5"/>
  <c r="H415" i="5"/>
  <c r="G415" i="5"/>
  <c r="H414" i="5"/>
  <c r="G414" i="5"/>
  <c r="I414" i="5" s="1"/>
  <c r="I413" i="5"/>
  <c r="H413" i="5"/>
  <c r="G413" i="5"/>
  <c r="H412" i="5"/>
  <c r="G412" i="5"/>
  <c r="I412" i="5" s="1"/>
  <c r="I411" i="5"/>
  <c r="H411" i="5"/>
  <c r="G411" i="5"/>
  <c r="H410" i="5"/>
  <c r="G410" i="5"/>
  <c r="I410" i="5" s="1"/>
  <c r="I409" i="5"/>
  <c r="H409" i="5"/>
  <c r="G409" i="5"/>
  <c r="H408" i="5"/>
  <c r="G408" i="5"/>
  <c r="I408" i="5" s="1"/>
  <c r="H407" i="5"/>
  <c r="G407" i="5"/>
  <c r="I407" i="5" s="1"/>
  <c r="H406" i="5"/>
  <c r="G406" i="5"/>
  <c r="H405" i="5"/>
  <c r="G405" i="5"/>
  <c r="I405" i="5" s="1"/>
  <c r="I404" i="5"/>
  <c r="H404" i="5"/>
  <c r="G404" i="5"/>
  <c r="H403" i="5"/>
  <c r="G403" i="5"/>
  <c r="H402" i="5"/>
  <c r="G402" i="5"/>
  <c r="I402" i="5" s="1"/>
  <c r="I401" i="5"/>
  <c r="H401" i="5"/>
  <c r="G401" i="5"/>
  <c r="H400" i="5"/>
  <c r="G400" i="5"/>
  <c r="I400" i="5" s="1"/>
  <c r="I399" i="5"/>
  <c r="H399" i="5"/>
  <c r="G399" i="5"/>
  <c r="H398" i="5"/>
  <c r="G398" i="5"/>
  <c r="I398" i="5" s="1"/>
  <c r="H397" i="5"/>
  <c r="G397" i="5"/>
  <c r="I396" i="5"/>
  <c r="H396" i="5"/>
  <c r="G396" i="5"/>
  <c r="H395" i="5"/>
  <c r="G395" i="5"/>
  <c r="I395" i="5" s="1"/>
  <c r="H394" i="5"/>
  <c r="G394" i="5"/>
  <c r="I393" i="5"/>
  <c r="H393" i="5"/>
  <c r="G393" i="5"/>
  <c r="H392" i="5"/>
  <c r="G392" i="5"/>
  <c r="H391" i="5"/>
  <c r="G391" i="5"/>
  <c r="H390" i="5"/>
  <c r="G390" i="5"/>
  <c r="H389" i="5"/>
  <c r="G389" i="5"/>
  <c r="H388" i="5"/>
  <c r="G388" i="5"/>
  <c r="H387" i="5"/>
  <c r="G387" i="5"/>
  <c r="H386" i="5"/>
  <c r="G386" i="5"/>
  <c r="H385" i="5"/>
  <c r="G385" i="5"/>
  <c r="I384" i="5"/>
  <c r="H384" i="5"/>
  <c r="G384" i="5"/>
  <c r="H383" i="5"/>
  <c r="G383" i="5"/>
  <c r="H382" i="5"/>
  <c r="G382" i="5"/>
  <c r="I382" i="5" s="1"/>
  <c r="I381" i="5"/>
  <c r="H381" i="5"/>
  <c r="G381" i="5"/>
  <c r="H380" i="5"/>
  <c r="G380" i="5"/>
  <c r="H379" i="5"/>
  <c r="G379" i="5"/>
  <c r="I379" i="5" s="1"/>
  <c r="I378" i="5"/>
  <c r="H378" i="5"/>
  <c r="G378" i="5"/>
  <c r="H377" i="5"/>
  <c r="G377" i="5"/>
  <c r="I377" i="5" s="1"/>
  <c r="I376" i="5"/>
  <c r="H376" i="5"/>
  <c r="G376" i="5"/>
  <c r="H375" i="5"/>
  <c r="G375" i="5"/>
  <c r="H374" i="5"/>
  <c r="G374" i="5"/>
  <c r="H373" i="5"/>
  <c r="G373" i="5"/>
  <c r="H372" i="5"/>
  <c r="G372" i="5"/>
  <c r="H371" i="5"/>
  <c r="G371" i="5"/>
  <c r="H370" i="5"/>
  <c r="G370" i="5"/>
  <c r="H369" i="5"/>
  <c r="G369" i="5"/>
  <c r="H368" i="5"/>
  <c r="G368" i="5"/>
  <c r="I368" i="5" s="1"/>
  <c r="I367" i="5"/>
  <c r="H367" i="5"/>
  <c r="G367" i="5"/>
  <c r="I366" i="5"/>
  <c r="H366" i="5"/>
  <c r="G366" i="5"/>
  <c r="H365" i="5"/>
  <c r="G365" i="5"/>
  <c r="I364" i="5"/>
  <c r="H364" i="5"/>
  <c r="G364" i="5"/>
  <c r="H363" i="5"/>
  <c r="G363" i="5"/>
  <c r="I363" i="5" s="1"/>
  <c r="H362" i="5"/>
  <c r="G362" i="5"/>
  <c r="H361" i="5"/>
  <c r="G361" i="5"/>
  <c r="H360" i="5"/>
  <c r="G360" i="5"/>
  <c r="H359" i="5"/>
  <c r="G359" i="5"/>
  <c r="H358" i="5"/>
  <c r="G358" i="5"/>
  <c r="H357" i="5"/>
  <c r="G357" i="5"/>
  <c r="H356" i="5"/>
  <c r="G356" i="5"/>
  <c r="H355" i="5"/>
  <c r="G355" i="5"/>
  <c r="H354" i="5"/>
  <c r="G354" i="5"/>
  <c r="H353" i="5"/>
  <c r="G353" i="5"/>
  <c r="H352" i="5"/>
  <c r="G352" i="5"/>
  <c r="H351" i="5"/>
  <c r="G351" i="5"/>
  <c r="H350" i="5"/>
  <c r="G350" i="5"/>
  <c r="H349" i="5"/>
  <c r="G349" i="5"/>
  <c r="H348" i="5"/>
  <c r="G348" i="5"/>
  <c r="I347" i="5"/>
  <c r="H347" i="5"/>
  <c r="G347" i="5"/>
  <c r="H346" i="5"/>
  <c r="G346" i="5"/>
  <c r="I346" i="5" s="1"/>
  <c r="I345" i="5"/>
  <c r="H345" i="5"/>
  <c r="G345" i="5"/>
  <c r="H344" i="5"/>
  <c r="G344" i="5"/>
  <c r="H343" i="5"/>
  <c r="G343" i="5"/>
  <c r="I342" i="5"/>
  <c r="H342" i="5"/>
  <c r="G342" i="5"/>
  <c r="H341" i="5"/>
  <c r="G341" i="5"/>
  <c r="H340" i="5"/>
  <c r="G340" i="5"/>
  <c r="I339" i="5"/>
  <c r="H339" i="5"/>
  <c r="G339" i="5"/>
  <c r="H338" i="5"/>
  <c r="G338" i="5"/>
  <c r="I338" i="5" s="1"/>
  <c r="H337" i="5"/>
  <c r="G337" i="5"/>
  <c r="H336" i="5"/>
  <c r="G336" i="5"/>
  <c r="H335" i="5"/>
  <c r="G335" i="5"/>
  <c r="H334" i="5"/>
  <c r="G334" i="5"/>
  <c r="H333" i="5"/>
  <c r="G333" i="5"/>
  <c r="H332" i="5"/>
  <c r="G332" i="5"/>
  <c r="H331" i="5"/>
  <c r="G331" i="5"/>
  <c r="I330" i="5"/>
  <c r="H330" i="5"/>
  <c r="G330" i="5"/>
  <c r="I329" i="5"/>
  <c r="H329" i="5"/>
  <c r="G329" i="5"/>
  <c r="H328" i="5"/>
  <c r="G328" i="5"/>
  <c r="I327" i="5"/>
  <c r="H327" i="5"/>
  <c r="G327" i="5"/>
  <c r="H326" i="5"/>
  <c r="G326" i="5"/>
  <c r="H325" i="5"/>
  <c r="G325" i="5"/>
  <c r="I324" i="5"/>
  <c r="H324" i="5"/>
  <c r="G324" i="5"/>
  <c r="H323" i="5"/>
  <c r="G323" i="5"/>
  <c r="H322" i="5"/>
  <c r="G322" i="5"/>
  <c r="I322" i="5" s="1"/>
  <c r="I321" i="5"/>
  <c r="H321" i="5"/>
  <c r="G321" i="5"/>
  <c r="H320" i="5"/>
  <c r="G320" i="5"/>
  <c r="I320" i="5" s="1"/>
  <c r="I319" i="5"/>
  <c r="H319" i="5"/>
  <c r="G319" i="5"/>
  <c r="H318" i="5"/>
  <c r="G318" i="5"/>
  <c r="I318" i="5" s="1"/>
  <c r="I317" i="5"/>
  <c r="H317" i="5"/>
  <c r="G317" i="5"/>
  <c r="H316" i="5"/>
  <c r="G316" i="5"/>
  <c r="I316" i="5" s="1"/>
  <c r="H315" i="5"/>
  <c r="G315" i="5"/>
  <c r="I315" i="5" s="1"/>
  <c r="H314" i="5"/>
  <c r="G314" i="5"/>
  <c r="H313" i="5"/>
  <c r="G313" i="5"/>
  <c r="H312" i="5"/>
  <c r="G312" i="5"/>
  <c r="H311" i="5"/>
  <c r="G311" i="5"/>
  <c r="H310" i="5"/>
  <c r="G310" i="5"/>
  <c r="H309" i="5"/>
  <c r="G309" i="5"/>
  <c r="H308" i="5"/>
  <c r="G308" i="5"/>
  <c r="H307" i="5"/>
  <c r="G307" i="5"/>
  <c r="H306" i="5"/>
  <c r="G306" i="5"/>
  <c r="H305" i="5"/>
  <c r="G305" i="5"/>
  <c r="H304" i="5"/>
  <c r="G304" i="5"/>
  <c r="H303" i="5"/>
  <c r="G303" i="5"/>
  <c r="H302" i="5"/>
  <c r="G302" i="5"/>
  <c r="H301" i="5"/>
  <c r="G301" i="5"/>
  <c r="H300" i="5"/>
  <c r="G300" i="5"/>
  <c r="H299" i="5"/>
  <c r="G299" i="5"/>
  <c r="H298" i="5"/>
  <c r="G298" i="5"/>
  <c r="H297" i="5"/>
  <c r="G297" i="5"/>
  <c r="H296" i="5"/>
  <c r="G296" i="5"/>
  <c r="H295" i="5"/>
  <c r="G295" i="5"/>
  <c r="H294" i="5"/>
  <c r="G294" i="5"/>
  <c r="H293" i="5"/>
  <c r="G293" i="5"/>
  <c r="H292" i="5"/>
  <c r="G292" i="5"/>
  <c r="H291" i="5"/>
  <c r="G291" i="5"/>
  <c r="H290" i="5"/>
  <c r="G290" i="5"/>
  <c r="H289" i="5"/>
  <c r="G289" i="5"/>
  <c r="H288" i="5"/>
  <c r="G288" i="5"/>
  <c r="I287" i="5"/>
  <c r="H287" i="5"/>
  <c r="G287" i="5"/>
  <c r="I286" i="5"/>
  <c r="H286" i="5"/>
  <c r="G286" i="5"/>
  <c r="H285" i="5"/>
  <c r="G285" i="5"/>
  <c r="H284" i="5"/>
  <c r="G284" i="5"/>
  <c r="H283" i="5"/>
  <c r="G283" i="5"/>
  <c r="H282" i="5"/>
  <c r="G282" i="5"/>
  <c r="H281" i="5"/>
  <c r="G281" i="5"/>
  <c r="H280" i="5"/>
  <c r="G280" i="5"/>
  <c r="H279" i="5"/>
  <c r="G279" i="5"/>
  <c r="I279" i="5" s="1"/>
  <c r="I278" i="5"/>
  <c r="H278" i="5"/>
  <c r="G278" i="5"/>
  <c r="H277" i="5"/>
  <c r="G277" i="5"/>
  <c r="H276" i="5"/>
  <c r="G276" i="5"/>
  <c r="I276" i="5" s="1"/>
  <c r="I275" i="5"/>
  <c r="H275" i="5"/>
  <c r="G275" i="5"/>
  <c r="H274" i="5"/>
  <c r="G274" i="5"/>
  <c r="H273" i="5"/>
  <c r="G273" i="5"/>
  <c r="I273" i="5" s="1"/>
  <c r="H272" i="5"/>
  <c r="G272" i="5"/>
  <c r="H271" i="5"/>
  <c r="G271" i="5"/>
  <c r="H270" i="5"/>
  <c r="G270" i="5"/>
  <c r="I270" i="5" s="1"/>
  <c r="H269" i="5"/>
  <c r="G269" i="5"/>
  <c r="H268" i="5"/>
  <c r="G268" i="5"/>
  <c r="H267" i="5"/>
  <c r="G267" i="5"/>
  <c r="I267" i="5" s="1"/>
  <c r="I266" i="5"/>
  <c r="H266" i="5"/>
  <c r="G266" i="5"/>
  <c r="H265" i="5"/>
  <c r="G265" i="5"/>
  <c r="I265" i="5" s="1"/>
  <c r="I264" i="5"/>
  <c r="H264" i="5"/>
  <c r="G264" i="5"/>
  <c r="H263" i="5"/>
  <c r="G263" i="5"/>
  <c r="I263" i="5" s="1"/>
  <c r="H262" i="5"/>
  <c r="G262" i="5"/>
  <c r="H261" i="5"/>
  <c r="G261" i="5"/>
  <c r="H260" i="5"/>
  <c r="G260" i="5"/>
  <c r="H259" i="5"/>
  <c r="G259" i="5"/>
  <c r="H258" i="5"/>
  <c r="G258" i="5"/>
  <c r="H257" i="5"/>
  <c r="G257" i="5"/>
  <c r="H256" i="5"/>
  <c r="G256" i="5"/>
  <c r="I256" i="5" s="1"/>
  <c r="I255" i="5"/>
  <c r="H255" i="5"/>
  <c r="G255" i="5"/>
  <c r="H254" i="5"/>
  <c r="G254" i="5"/>
  <c r="I254" i="5" s="1"/>
  <c r="I253" i="5"/>
  <c r="H253" i="5"/>
  <c r="G253" i="5"/>
  <c r="I252" i="5"/>
  <c r="H252" i="5"/>
  <c r="G252" i="5"/>
  <c r="H251" i="5"/>
  <c r="G251" i="5"/>
  <c r="I251" i="5" s="1"/>
  <c r="I250" i="5"/>
  <c r="H250" i="5"/>
  <c r="G250" i="5"/>
  <c r="H249" i="5"/>
  <c r="G249" i="5"/>
  <c r="I249" i="5" s="1"/>
  <c r="I248" i="5"/>
  <c r="H248" i="5"/>
  <c r="G248" i="5"/>
  <c r="H247" i="5"/>
  <c r="G247" i="5"/>
  <c r="I247" i="5" s="1"/>
  <c r="I246" i="5"/>
  <c r="H246" i="5"/>
  <c r="G246" i="5"/>
  <c r="H245" i="5"/>
  <c r="G245" i="5"/>
  <c r="I245" i="5" s="1"/>
  <c r="H244" i="5"/>
  <c r="G244" i="5"/>
  <c r="I244" i="5" s="1"/>
  <c r="I243" i="5"/>
  <c r="H243" i="5"/>
  <c r="G243" i="5"/>
  <c r="H242" i="5"/>
  <c r="G242" i="5"/>
  <c r="I241" i="5"/>
  <c r="H241" i="5"/>
  <c r="G241" i="5"/>
  <c r="H240" i="5"/>
  <c r="G240" i="5"/>
  <c r="I240" i="5" s="1"/>
  <c r="H239" i="5"/>
  <c r="G239" i="5"/>
  <c r="H238" i="5"/>
  <c r="G238" i="5"/>
  <c r="I237" i="5"/>
  <c r="H237" i="5"/>
  <c r="G237" i="5"/>
  <c r="H236" i="5"/>
  <c r="G236" i="5"/>
  <c r="H235" i="5"/>
  <c r="G235" i="5"/>
  <c r="H234" i="5"/>
  <c r="G234" i="5"/>
  <c r="H233" i="5"/>
  <c r="G233" i="5"/>
  <c r="H232" i="5"/>
  <c r="G232" i="5"/>
  <c r="I231" i="5"/>
  <c r="H231" i="5"/>
  <c r="G231" i="5"/>
  <c r="H230" i="5"/>
  <c r="G230" i="5"/>
  <c r="I230" i="5" s="1"/>
  <c r="I229" i="5"/>
  <c r="H229" i="5"/>
  <c r="G229" i="5"/>
  <c r="H228" i="5"/>
  <c r="G228" i="5"/>
  <c r="I228" i="5" s="1"/>
  <c r="I227" i="5"/>
  <c r="H227" i="5"/>
  <c r="G227" i="5"/>
  <c r="H226" i="5"/>
  <c r="G226" i="5"/>
  <c r="H225" i="5"/>
  <c r="G225" i="5"/>
  <c r="I225" i="5" s="1"/>
  <c r="H224" i="5"/>
  <c r="G224" i="5"/>
  <c r="H223" i="5"/>
  <c r="G223" i="5"/>
  <c r="I223" i="5" s="1"/>
  <c r="H222" i="5"/>
  <c r="G222" i="5"/>
  <c r="I222" i="5" s="1"/>
  <c r="I221" i="5"/>
  <c r="H221" i="5"/>
  <c r="G221" i="5"/>
  <c r="H220" i="5"/>
  <c r="G220" i="5"/>
  <c r="I220" i="5" s="1"/>
  <c r="I219" i="5"/>
  <c r="H219" i="5"/>
  <c r="G219" i="5"/>
  <c r="H218" i="5"/>
  <c r="G218" i="5"/>
  <c r="H217" i="5"/>
  <c r="G217" i="5"/>
  <c r="H216" i="5"/>
  <c r="G216" i="5"/>
  <c r="H215" i="5"/>
  <c r="G215" i="5"/>
  <c r="H214" i="5"/>
  <c r="G214" i="5"/>
  <c r="H213" i="5"/>
  <c r="G213" i="5"/>
  <c r="H212" i="5"/>
  <c r="G212" i="5"/>
  <c r="H211" i="5"/>
  <c r="G211" i="5"/>
  <c r="H210" i="5"/>
  <c r="G210" i="5"/>
  <c r="H209" i="5"/>
  <c r="G209" i="5"/>
  <c r="H208" i="5"/>
  <c r="G208" i="5"/>
  <c r="H207" i="5"/>
  <c r="G207" i="5"/>
  <c r="H206" i="5"/>
  <c r="G206" i="5"/>
  <c r="H205" i="5"/>
  <c r="G205" i="5"/>
  <c r="H204" i="5"/>
  <c r="G204" i="5"/>
  <c r="H203" i="5"/>
  <c r="G203" i="5"/>
  <c r="H202" i="5"/>
  <c r="G202" i="5"/>
  <c r="H201" i="5"/>
  <c r="G201" i="5"/>
  <c r="H200" i="5"/>
  <c r="G200" i="5"/>
  <c r="H199" i="5"/>
  <c r="G199" i="5"/>
  <c r="H198" i="5"/>
  <c r="G198" i="5"/>
  <c r="H197" i="5"/>
  <c r="G197" i="5"/>
  <c r="H196" i="5"/>
  <c r="G196" i="5"/>
  <c r="H195" i="5"/>
  <c r="G195" i="5"/>
  <c r="I194" i="5"/>
  <c r="H194" i="5"/>
  <c r="G194" i="5"/>
  <c r="H193" i="5"/>
  <c r="G193" i="5"/>
  <c r="I193" i="5" s="1"/>
  <c r="I192" i="5"/>
  <c r="H192" i="5"/>
  <c r="G192" i="5"/>
  <c r="H191" i="5"/>
  <c r="G191" i="5"/>
  <c r="I191" i="5" s="1"/>
  <c r="I190" i="5"/>
  <c r="H190" i="5"/>
  <c r="G190" i="5"/>
  <c r="H189" i="5"/>
  <c r="G189" i="5"/>
  <c r="H188" i="5"/>
  <c r="G188" i="5"/>
  <c r="I188" i="5" s="1"/>
  <c r="H187" i="5"/>
  <c r="G187" i="5"/>
  <c r="H186" i="5"/>
  <c r="G186" i="5"/>
  <c r="I186" i="5" s="1"/>
  <c r="I185" i="5"/>
  <c r="H185" i="5"/>
  <c r="G185" i="5"/>
  <c r="H184" i="5"/>
  <c r="G184" i="5"/>
  <c r="H183" i="5"/>
  <c r="G183" i="5"/>
  <c r="H182" i="5"/>
  <c r="G182" i="5"/>
  <c r="H181" i="5"/>
  <c r="G181" i="5"/>
  <c r="H180" i="5"/>
  <c r="G180" i="5"/>
  <c r="I180" i="5" s="1"/>
  <c r="H179" i="5"/>
  <c r="G179" i="5"/>
  <c r="I178" i="5"/>
  <c r="H178" i="5"/>
  <c r="G178" i="5"/>
  <c r="H177" i="5"/>
  <c r="G177" i="5"/>
  <c r="I176" i="5"/>
  <c r="H176" i="5"/>
  <c r="G176" i="5"/>
  <c r="H175" i="5"/>
  <c r="G175" i="5"/>
  <c r="I175" i="5" s="1"/>
  <c r="H174" i="5"/>
  <c r="G174" i="5"/>
  <c r="I173" i="5"/>
  <c r="H173" i="5"/>
  <c r="G173" i="5"/>
  <c r="H172" i="5"/>
  <c r="G172" i="5"/>
  <c r="H171" i="5"/>
  <c r="G171" i="5"/>
  <c r="H170" i="5"/>
  <c r="G170" i="5"/>
  <c r="H169" i="5"/>
  <c r="G169" i="5"/>
  <c r="H168" i="5"/>
  <c r="G168" i="5"/>
  <c r="H167" i="5"/>
  <c r="G167" i="5"/>
  <c r="I166" i="5"/>
  <c r="H166" i="5"/>
  <c r="G166" i="5"/>
  <c r="H165" i="5"/>
  <c r="G165" i="5"/>
  <c r="I164" i="5"/>
  <c r="H164" i="5"/>
  <c r="G164" i="5"/>
  <c r="H163" i="5"/>
  <c r="G163" i="5"/>
  <c r="H162" i="5"/>
  <c r="G162" i="5"/>
  <c r="I162" i="5" s="1"/>
  <c r="H161" i="5"/>
  <c r="G161" i="5"/>
  <c r="H160" i="5"/>
  <c r="G160" i="5"/>
  <c r="H159" i="5"/>
  <c r="G159" i="5"/>
  <c r="H158" i="5"/>
  <c r="G158" i="5"/>
  <c r="H157" i="5"/>
  <c r="G157" i="5"/>
  <c r="H156" i="5"/>
  <c r="G156" i="5"/>
  <c r="H155" i="5"/>
  <c r="G155" i="5"/>
  <c r="H154" i="5"/>
  <c r="G154" i="5"/>
  <c r="H153" i="5"/>
  <c r="G153" i="5"/>
  <c r="H152" i="5"/>
  <c r="G152" i="5"/>
  <c r="H151" i="5"/>
  <c r="G151" i="5"/>
  <c r="H150" i="5"/>
  <c r="G150" i="5"/>
  <c r="H149" i="5"/>
  <c r="G149" i="5"/>
  <c r="H148" i="5"/>
  <c r="G148" i="5"/>
  <c r="H147" i="5"/>
  <c r="G147" i="5"/>
  <c r="H146" i="5"/>
  <c r="G146" i="5"/>
  <c r="H145" i="5"/>
  <c r="G145" i="5"/>
  <c r="H144" i="5"/>
  <c r="G144" i="5"/>
  <c r="I143" i="5"/>
  <c r="H143" i="5"/>
  <c r="G143" i="5"/>
  <c r="H142" i="5"/>
  <c r="G142" i="5"/>
  <c r="I141" i="5"/>
  <c r="H141" i="5"/>
  <c r="G141" i="5"/>
  <c r="I140" i="5"/>
  <c r="H140" i="5"/>
  <c r="G140" i="5"/>
  <c r="H139" i="5"/>
  <c r="G139" i="5"/>
  <c r="I139" i="5" s="1"/>
  <c r="H138" i="5"/>
  <c r="G138" i="5"/>
  <c r="H137" i="5"/>
  <c r="G137" i="5"/>
  <c r="H136" i="5"/>
  <c r="G136" i="5"/>
  <c r="H135" i="5"/>
  <c r="G135" i="5"/>
  <c r="I134" i="5"/>
  <c r="H134" i="5"/>
  <c r="G134" i="5"/>
  <c r="H133" i="5"/>
  <c r="G133" i="5"/>
  <c r="I133" i="5" s="1"/>
  <c r="I132" i="5"/>
  <c r="H132" i="5"/>
  <c r="G132" i="5"/>
  <c r="H131" i="5"/>
  <c r="G131" i="5"/>
  <c r="I131" i="5" s="1"/>
  <c r="I130" i="5"/>
  <c r="H130" i="5"/>
  <c r="G130" i="5"/>
  <c r="H129" i="5"/>
  <c r="G129" i="5"/>
  <c r="I129" i="5" s="1"/>
  <c r="I128" i="5"/>
  <c r="H128" i="5"/>
  <c r="G128" i="5"/>
  <c r="H127" i="5"/>
  <c r="G127" i="5"/>
  <c r="I127" i="5" s="1"/>
  <c r="H126" i="5"/>
  <c r="G126" i="5"/>
  <c r="I125" i="5"/>
  <c r="H125" i="5"/>
  <c r="G125" i="5"/>
  <c r="H124" i="5"/>
  <c r="G124" i="5"/>
  <c r="H123" i="5"/>
  <c r="G123" i="5"/>
  <c r="I122" i="5"/>
  <c r="H122" i="5"/>
  <c r="G122" i="5"/>
  <c r="H121" i="5"/>
  <c r="G121" i="5"/>
  <c r="H120" i="5"/>
  <c r="G120" i="5"/>
  <c r="I120" i="5" s="1"/>
  <c r="I119" i="5"/>
  <c r="H119" i="5"/>
  <c r="G119" i="5"/>
  <c r="H118" i="5"/>
  <c r="G118" i="5"/>
  <c r="I118" i="5" s="1"/>
  <c r="I117" i="5"/>
  <c r="H117" i="5"/>
  <c r="G117" i="5"/>
  <c r="H116" i="5"/>
  <c r="G116" i="5"/>
  <c r="I116" i="5" s="1"/>
  <c r="I115" i="5"/>
  <c r="H115" i="5"/>
  <c r="G115" i="5"/>
  <c r="H114" i="5"/>
  <c r="G114" i="5"/>
  <c r="H113" i="5"/>
  <c r="G113" i="5"/>
  <c r="H112" i="5"/>
  <c r="G112" i="5"/>
  <c r="H111" i="5"/>
  <c r="G111" i="5"/>
  <c r="H110" i="5"/>
  <c r="G110" i="5"/>
  <c r="H109" i="5"/>
  <c r="G109" i="5"/>
  <c r="H108" i="5"/>
  <c r="G108" i="5"/>
  <c r="H107" i="5"/>
  <c r="G107" i="5"/>
  <c r="H106" i="5"/>
  <c r="G106" i="5"/>
  <c r="H105" i="5"/>
  <c r="G105" i="5"/>
  <c r="H104" i="5"/>
  <c r="G104" i="5"/>
  <c r="H103" i="5"/>
  <c r="G103" i="5"/>
  <c r="I103" i="5" s="1"/>
  <c r="H102" i="5"/>
  <c r="G102" i="5"/>
  <c r="H101" i="5"/>
  <c r="G101" i="5"/>
  <c r="H100" i="5"/>
  <c r="G100" i="5"/>
  <c r="I100" i="5" s="1"/>
  <c r="H99" i="5"/>
  <c r="G99" i="5"/>
  <c r="I98" i="5"/>
  <c r="H98" i="5"/>
  <c r="G98" i="5"/>
  <c r="H97" i="5"/>
  <c r="G97" i="5"/>
  <c r="I97" i="5" s="1"/>
  <c r="I96" i="5"/>
  <c r="H96" i="5"/>
  <c r="G96" i="5"/>
  <c r="H95" i="5"/>
  <c r="G95" i="5"/>
  <c r="I95" i="5" s="1"/>
  <c r="I94" i="5"/>
  <c r="H94" i="5"/>
  <c r="G94" i="5"/>
  <c r="H93" i="5"/>
  <c r="G93" i="5"/>
  <c r="I93" i="5" s="1"/>
  <c r="H92" i="5"/>
  <c r="G92" i="5"/>
  <c r="I91" i="5"/>
  <c r="H91" i="5"/>
  <c r="G91" i="5"/>
  <c r="H90" i="5"/>
  <c r="G90" i="5"/>
  <c r="H89" i="5"/>
  <c r="G89" i="5"/>
  <c r="I89" i="5" s="1"/>
  <c r="I88" i="5"/>
  <c r="H88" i="5"/>
  <c r="G88" i="5"/>
  <c r="H87" i="5"/>
  <c r="G87" i="5"/>
  <c r="I87" i="5" s="1"/>
  <c r="I86" i="5"/>
  <c r="H86" i="5"/>
  <c r="G86" i="5"/>
  <c r="H85" i="5"/>
  <c r="G85" i="5"/>
  <c r="I85" i="5" s="1"/>
  <c r="I84" i="5"/>
  <c r="H84" i="5"/>
  <c r="G84" i="5"/>
  <c r="H83" i="5"/>
  <c r="G83" i="5"/>
  <c r="H82" i="5"/>
  <c r="G82" i="5"/>
  <c r="H81" i="5"/>
  <c r="G81" i="5"/>
  <c r="H80" i="5"/>
  <c r="G80" i="5"/>
  <c r="H79" i="5"/>
  <c r="G79" i="5"/>
  <c r="H78" i="5"/>
  <c r="G78" i="5"/>
  <c r="H77" i="5"/>
  <c r="G77" i="5"/>
  <c r="H76" i="5"/>
  <c r="G76" i="5"/>
  <c r="I76" i="5" s="1"/>
  <c r="H75" i="5"/>
  <c r="G75" i="5"/>
  <c r="I75" i="5" s="1"/>
  <c r="I74" i="5"/>
  <c r="H74" i="5"/>
  <c r="G74" i="5"/>
  <c r="H73" i="5"/>
  <c r="G73" i="5"/>
  <c r="I73" i="5" s="1"/>
  <c r="I72" i="5"/>
  <c r="H72" i="5"/>
  <c r="G72" i="5"/>
  <c r="H71" i="5"/>
  <c r="G71" i="5"/>
  <c r="I71" i="5" s="1"/>
  <c r="H70" i="5"/>
  <c r="G70" i="5"/>
  <c r="I69" i="5"/>
  <c r="H69" i="5"/>
  <c r="G69" i="5"/>
  <c r="H68" i="5"/>
  <c r="G68" i="5"/>
  <c r="I67" i="5"/>
  <c r="H67" i="5"/>
  <c r="G67" i="5"/>
  <c r="H66" i="5"/>
  <c r="G66" i="5"/>
  <c r="H65" i="5"/>
  <c r="G65" i="5"/>
  <c r="I65" i="5" s="1"/>
  <c r="H64" i="5"/>
  <c r="G64" i="5"/>
  <c r="I63" i="5"/>
  <c r="H63" i="5"/>
  <c r="G63" i="5"/>
  <c r="H62" i="5"/>
  <c r="G62" i="5"/>
  <c r="I62" i="5" s="1"/>
  <c r="I61" i="5"/>
  <c r="H61" i="5"/>
  <c r="G61" i="5"/>
  <c r="H60" i="5"/>
  <c r="G60" i="5"/>
  <c r="H59" i="5"/>
  <c r="G59" i="5"/>
  <c r="H58" i="5"/>
  <c r="G58" i="5"/>
  <c r="H57" i="5"/>
  <c r="G57" i="5"/>
  <c r="H56" i="5"/>
  <c r="G56" i="5"/>
  <c r="I56" i="5" s="1"/>
  <c r="H55" i="5"/>
  <c r="G55" i="5"/>
  <c r="H54" i="5"/>
  <c r="G54" i="5"/>
  <c r="H53" i="5"/>
  <c r="G53" i="5"/>
  <c r="I53" i="5" s="1"/>
  <c r="H52" i="5"/>
  <c r="G52" i="5"/>
  <c r="H51" i="5"/>
  <c r="G51" i="5"/>
  <c r="H50" i="5"/>
  <c r="G50" i="5"/>
  <c r="H49" i="5"/>
  <c r="G49" i="5"/>
  <c r="H48" i="5"/>
  <c r="G48" i="5"/>
  <c r="H47" i="5"/>
  <c r="G47" i="5"/>
  <c r="I47" i="5" s="1"/>
  <c r="I46" i="5"/>
  <c r="H46" i="5"/>
  <c r="G46" i="5"/>
  <c r="H45" i="5"/>
  <c r="G45" i="5"/>
  <c r="I45" i="5" s="1"/>
  <c r="I44" i="5"/>
  <c r="H44" i="5"/>
  <c r="G44" i="5"/>
  <c r="H43" i="5"/>
  <c r="G43" i="5"/>
  <c r="I43" i="5" s="1"/>
  <c r="H42" i="5"/>
  <c r="G42" i="5"/>
  <c r="I42" i="5" s="1"/>
  <c r="H41" i="5"/>
  <c r="G41" i="5"/>
  <c r="H40" i="5"/>
  <c r="G40" i="5"/>
  <c r="I40" i="5" s="1"/>
  <c r="H39" i="5"/>
  <c r="G39" i="5"/>
  <c r="I38" i="5"/>
  <c r="H38" i="5"/>
  <c r="G38" i="5"/>
  <c r="H37" i="5"/>
  <c r="G37" i="5"/>
  <c r="I37" i="5" s="1"/>
  <c r="H36" i="5"/>
  <c r="G36" i="5"/>
  <c r="I35" i="5"/>
  <c r="H35" i="5"/>
  <c r="G35" i="5"/>
  <c r="H34" i="5"/>
  <c r="G34" i="5"/>
  <c r="I33" i="5"/>
  <c r="H33" i="5"/>
  <c r="G33" i="5"/>
  <c r="H32" i="5"/>
  <c r="G32" i="5"/>
  <c r="H31" i="5"/>
  <c r="G31" i="5"/>
  <c r="I31" i="5" s="1"/>
  <c r="H30" i="5"/>
  <c r="G30" i="5"/>
  <c r="H29" i="5"/>
  <c r="G29" i="5"/>
  <c r="I29" i="5" s="1"/>
  <c r="I28" i="5"/>
  <c r="H28" i="5"/>
  <c r="G28" i="5"/>
  <c r="H27" i="5"/>
  <c r="G27" i="5"/>
  <c r="H26" i="5"/>
  <c r="G26" i="5"/>
  <c r="I26" i="5" s="1"/>
  <c r="H25" i="5"/>
  <c r="G25" i="5"/>
  <c r="H24" i="5"/>
  <c r="G24" i="5"/>
  <c r="H23" i="5"/>
  <c r="G23" i="5"/>
  <c r="H22" i="5"/>
  <c r="G22" i="5"/>
  <c r="H21" i="5"/>
  <c r="G21" i="5"/>
  <c r="H20" i="5"/>
  <c r="G20" i="5"/>
  <c r="H19" i="5"/>
  <c r="G19" i="5"/>
  <c r="H18" i="5"/>
  <c r="G18" i="5"/>
  <c r="I17" i="5"/>
  <c r="H17" i="5"/>
  <c r="G17" i="5"/>
  <c r="H177" i="3"/>
  <c r="J177" i="3" s="1"/>
  <c r="H176" i="3"/>
  <c r="J176" i="3" s="1"/>
  <c r="H175" i="3"/>
  <c r="J175" i="3" s="1"/>
  <c r="H174" i="3"/>
  <c r="J174" i="3" s="1"/>
  <c r="H173" i="3"/>
  <c r="J173" i="3" s="1"/>
  <c r="H172" i="3"/>
  <c r="J172" i="3" s="1"/>
  <c r="H171" i="3"/>
  <c r="J171" i="3" s="1"/>
  <c r="H170" i="3"/>
  <c r="J170" i="3" s="1"/>
  <c r="H169" i="3"/>
  <c r="J169" i="3" s="1"/>
  <c r="H168" i="3"/>
  <c r="J168" i="3" s="1"/>
  <c r="H167" i="3"/>
  <c r="J167" i="3" s="1"/>
  <c r="H166" i="3"/>
  <c r="J166" i="3" s="1"/>
  <c r="H165" i="3"/>
  <c r="J165" i="3" s="1"/>
  <c r="H164" i="3"/>
  <c r="J164" i="3" s="1"/>
  <c r="H163" i="3"/>
  <c r="J163" i="3" s="1"/>
  <c r="H162" i="3"/>
  <c r="J162" i="3" s="1"/>
  <c r="H161" i="3"/>
  <c r="J161" i="3" s="1"/>
  <c r="H160" i="3"/>
  <c r="J160" i="3" s="1"/>
  <c r="H158" i="3"/>
  <c r="J158" i="3" s="1"/>
  <c r="G52" i="4" s="1"/>
  <c r="H157" i="3"/>
  <c r="J157" i="3" s="1"/>
  <c r="H156" i="3"/>
  <c r="J156" i="3" s="1"/>
  <c r="H155" i="3"/>
  <c r="J155" i="3" s="1"/>
  <c r="H154" i="3"/>
  <c r="J154" i="3" s="1"/>
  <c r="H153" i="3"/>
  <c r="J153" i="3" s="1"/>
  <c r="H152" i="3"/>
  <c r="J152" i="3" s="1"/>
  <c r="H151" i="3"/>
  <c r="J151" i="3" s="1"/>
  <c r="H150" i="3"/>
  <c r="J150" i="3" s="1"/>
  <c r="H149" i="3"/>
  <c r="J149" i="3" s="1"/>
  <c r="H148" i="3"/>
  <c r="J148" i="3" s="1"/>
  <c r="H147" i="3"/>
  <c r="J147" i="3" s="1"/>
  <c r="H146" i="3"/>
  <c r="J146" i="3" s="1"/>
  <c r="G49" i="4" s="1"/>
  <c r="H145" i="3"/>
  <c r="J145" i="3" s="1"/>
  <c r="H144" i="3"/>
  <c r="J144" i="3" s="1"/>
  <c r="H143" i="3"/>
  <c r="J143" i="3" s="1"/>
  <c r="H142" i="3"/>
  <c r="J142" i="3" s="1"/>
  <c r="G48" i="4" s="1"/>
  <c r="H141" i="3"/>
  <c r="J141" i="3" s="1"/>
  <c r="H140" i="3"/>
  <c r="J140" i="3" s="1"/>
  <c r="H139" i="3"/>
  <c r="J139" i="3" s="1"/>
  <c r="H137" i="3"/>
  <c r="J137" i="3" s="1"/>
  <c r="H136" i="3"/>
  <c r="J136" i="3" s="1"/>
  <c r="H135" i="3"/>
  <c r="J135" i="3" s="1"/>
  <c r="H134" i="3"/>
  <c r="J134" i="3" s="1"/>
  <c r="H133" i="3"/>
  <c r="J133" i="3" s="1"/>
  <c r="H132" i="3"/>
  <c r="J132" i="3" s="1"/>
  <c r="H131" i="3"/>
  <c r="J131" i="3" s="1"/>
  <c r="H130" i="3"/>
  <c r="J130" i="3" s="1"/>
  <c r="H129" i="3"/>
  <c r="J129" i="3" s="1"/>
  <c r="H128" i="3"/>
  <c r="J128" i="3" s="1"/>
  <c r="G36" i="4" s="1"/>
  <c r="H127" i="3"/>
  <c r="J127" i="3" s="1"/>
  <c r="H126" i="3"/>
  <c r="J126" i="3" s="1"/>
  <c r="H125" i="3"/>
  <c r="J125" i="3" s="1"/>
  <c r="H124" i="3"/>
  <c r="J124" i="3" s="1"/>
  <c r="H123" i="3"/>
  <c r="J123" i="3" s="1"/>
  <c r="H122" i="3"/>
  <c r="J122" i="3" s="1"/>
  <c r="H121" i="3"/>
  <c r="J121" i="3" s="1"/>
  <c r="H120" i="3"/>
  <c r="J120" i="3" s="1"/>
  <c r="G46" i="4" s="1"/>
  <c r="H119" i="3"/>
  <c r="J119" i="3" s="1"/>
  <c r="H118" i="3"/>
  <c r="J118" i="3" s="1"/>
  <c r="H117" i="3"/>
  <c r="J117" i="3" s="1"/>
  <c r="H116" i="3"/>
  <c r="J116" i="3" s="1"/>
  <c r="H115" i="3"/>
  <c r="J115" i="3" s="1"/>
  <c r="H114" i="3"/>
  <c r="J114" i="3" s="1"/>
  <c r="H113" i="3"/>
  <c r="J113" i="3" s="1"/>
  <c r="H112" i="3"/>
  <c r="J112" i="3" s="1"/>
  <c r="H111" i="3"/>
  <c r="J111" i="3" s="1"/>
  <c r="G32" i="4" s="1"/>
  <c r="H110" i="3"/>
  <c r="J110" i="3" s="1"/>
  <c r="H109" i="3"/>
  <c r="J109" i="3" s="1"/>
  <c r="H108" i="3"/>
  <c r="J108" i="3" s="1"/>
  <c r="H107" i="3"/>
  <c r="J107" i="3" s="1"/>
  <c r="H106" i="3"/>
  <c r="J106" i="3" s="1"/>
  <c r="H105" i="3"/>
  <c r="J105" i="3" s="1"/>
  <c r="H104" i="3"/>
  <c r="J104" i="3" s="1"/>
  <c r="H103" i="3"/>
  <c r="J103" i="3" s="1"/>
  <c r="H102" i="3"/>
  <c r="J102" i="3" s="1"/>
  <c r="H101" i="3"/>
  <c r="J101" i="3" s="1"/>
  <c r="H100" i="3"/>
  <c r="J100" i="3" s="1"/>
  <c r="H99" i="3"/>
  <c r="J99" i="3" s="1"/>
  <c r="H98" i="3"/>
  <c r="J98" i="3" s="1"/>
  <c r="H97" i="3"/>
  <c r="J97" i="3" s="1"/>
  <c r="H96" i="3"/>
  <c r="J96" i="3" s="1"/>
  <c r="H95" i="3"/>
  <c r="J95" i="3" s="1"/>
  <c r="H94" i="3"/>
  <c r="J94" i="3" s="1"/>
  <c r="H93" i="3"/>
  <c r="J93" i="3" s="1"/>
  <c r="H92" i="3"/>
  <c r="J92" i="3" s="1"/>
  <c r="H91" i="3"/>
  <c r="J91" i="3" s="1"/>
  <c r="H90" i="3"/>
  <c r="J90" i="3" s="1"/>
  <c r="H89" i="3"/>
  <c r="J89" i="3" s="1"/>
  <c r="H88" i="3"/>
  <c r="J88" i="3" s="1"/>
  <c r="H87" i="3"/>
  <c r="J87" i="3" s="1"/>
  <c r="H86" i="3"/>
  <c r="J86" i="3" s="1"/>
  <c r="G35" i="4" s="1"/>
  <c r="H85" i="3"/>
  <c r="J85" i="3" s="1"/>
  <c r="H84" i="3"/>
  <c r="J84" i="3" s="1"/>
  <c r="H83" i="3"/>
  <c r="H82" i="3"/>
  <c r="J82" i="3" s="1"/>
  <c r="H81" i="3"/>
  <c r="J81" i="3" s="1"/>
  <c r="H80" i="3"/>
  <c r="J80" i="3" s="1"/>
  <c r="H79" i="3"/>
  <c r="J79" i="3" s="1"/>
  <c r="G45" i="4" s="1"/>
  <c r="H78" i="3"/>
  <c r="J78" i="3" s="1"/>
  <c r="H77" i="3"/>
  <c r="J77" i="3" s="1"/>
  <c r="H76" i="3"/>
  <c r="J76" i="3" s="1"/>
  <c r="H75" i="3"/>
  <c r="J75" i="3" s="1"/>
  <c r="H74" i="3"/>
  <c r="J74" i="3" s="1"/>
  <c r="H73" i="3"/>
  <c r="J73" i="3" s="1"/>
  <c r="H72" i="3"/>
  <c r="J72" i="3" s="1"/>
  <c r="G31" i="4" s="1"/>
  <c r="H71" i="3"/>
  <c r="J71" i="3" s="1"/>
  <c r="H70" i="3"/>
  <c r="J70" i="3" s="1"/>
  <c r="H69" i="3"/>
  <c r="J69" i="3" s="1"/>
  <c r="H68" i="3"/>
  <c r="J68" i="3" s="1"/>
  <c r="H67" i="3"/>
  <c r="J67" i="3" s="1"/>
  <c r="H66" i="3"/>
  <c r="J66" i="3" s="1"/>
  <c r="H65" i="3"/>
  <c r="J65" i="3" s="1"/>
  <c r="H64" i="3"/>
  <c r="J64" i="3" s="1"/>
  <c r="H63" i="3"/>
  <c r="J63" i="3" s="1"/>
  <c r="H62" i="3"/>
  <c r="J62" i="3" s="1"/>
  <c r="H61" i="3"/>
  <c r="J61" i="3" s="1"/>
  <c r="H59" i="3"/>
  <c r="J59" i="3" s="1"/>
  <c r="H58" i="3"/>
  <c r="J58" i="3" s="1"/>
  <c r="K57" i="3"/>
  <c r="J57" i="3"/>
  <c r="H57" i="3"/>
  <c r="H56" i="3"/>
  <c r="J56" i="3" s="1"/>
  <c r="J55" i="3"/>
  <c r="H55" i="3"/>
  <c r="J54" i="3"/>
  <c r="H54" i="3"/>
  <c r="J53" i="3"/>
  <c r="H53" i="3"/>
  <c r="H52" i="3"/>
  <c r="J52" i="3" s="1"/>
  <c r="J51" i="3"/>
  <c r="H51" i="3"/>
  <c r="J50" i="3"/>
  <c r="H50" i="3"/>
  <c r="H49" i="3"/>
  <c r="J49" i="3" s="1"/>
  <c r="J48" i="3"/>
  <c r="H48" i="3"/>
  <c r="J47" i="3"/>
  <c r="H47" i="3"/>
  <c r="J46" i="3"/>
  <c r="H46" i="3"/>
  <c r="H45" i="3"/>
  <c r="J45" i="3" s="1"/>
  <c r="J44" i="3"/>
  <c r="H44" i="3"/>
  <c r="J43" i="3"/>
  <c r="H43" i="3"/>
  <c r="H42" i="3"/>
  <c r="J42" i="3" s="1"/>
  <c r="J41" i="3"/>
  <c r="H41" i="3"/>
  <c r="J40" i="3"/>
  <c r="H40" i="3"/>
  <c r="J39" i="3"/>
  <c r="H39" i="3"/>
  <c r="H38" i="3"/>
  <c r="J38" i="3" s="1"/>
  <c r="J37" i="3"/>
  <c r="H37" i="3"/>
  <c r="J36" i="3"/>
  <c r="H36" i="3"/>
  <c r="H35" i="3"/>
  <c r="J35" i="3" s="1"/>
  <c r="J34" i="3"/>
  <c r="H34" i="3"/>
  <c r="J33" i="3"/>
  <c r="H33" i="3"/>
  <c r="J32" i="3"/>
  <c r="H32" i="3"/>
  <c r="H31" i="3"/>
  <c r="J31" i="3" s="1"/>
  <c r="J30" i="3"/>
  <c r="H30" i="3"/>
  <c r="J29" i="3"/>
  <c r="H29" i="3"/>
  <c r="H28" i="3"/>
  <c r="J28" i="3" s="1"/>
  <c r="J27" i="3"/>
  <c r="H27" i="3"/>
  <c r="J26" i="3"/>
  <c r="H26" i="3"/>
  <c r="J25" i="3"/>
  <c r="H25" i="3"/>
  <c r="H24" i="3"/>
  <c r="J24" i="3" s="1"/>
  <c r="J23" i="3"/>
  <c r="H23" i="3"/>
  <c r="J22" i="3"/>
  <c r="H22" i="3"/>
  <c r="H21" i="3"/>
  <c r="H19" i="3" s="1"/>
  <c r="F3" i="4" s="1"/>
  <c r="J20" i="3"/>
  <c r="H20" i="3"/>
  <c r="J18" i="3"/>
  <c r="H18" i="3"/>
  <c r="H17" i="3"/>
  <c r="J17" i="3" s="1"/>
  <c r="G16" i="4" s="1"/>
  <c r="J16" i="3"/>
  <c r="H16" i="3"/>
  <c r="J15" i="3"/>
  <c r="J14" i="3" s="1"/>
  <c r="H15" i="3"/>
  <c r="H14" i="3"/>
  <c r="J13" i="3"/>
  <c r="H13" i="3"/>
  <c r="J12" i="3"/>
  <c r="H12" i="3"/>
  <c r="J11" i="3"/>
  <c r="H11" i="3"/>
  <c r="H10" i="3"/>
  <c r="J10" i="3" s="1"/>
  <c r="J8" i="3"/>
  <c r="H8" i="3"/>
  <c r="H7" i="3"/>
  <c r="J7" i="3" s="1"/>
  <c r="G12" i="4" s="1"/>
  <c r="J6" i="3"/>
  <c r="H6" i="3"/>
  <c r="J5" i="3"/>
  <c r="J4" i="3" s="1"/>
  <c r="H5" i="3"/>
  <c r="H4" i="3" s="1"/>
  <c r="H3" i="3"/>
  <c r="H179" i="3" s="1"/>
  <c r="F54" i="4"/>
  <c r="G53" i="4"/>
  <c r="F53" i="4"/>
  <c r="F52" i="4"/>
  <c r="F48" i="4"/>
  <c r="F46" i="4"/>
  <c r="F45" i="4"/>
  <c r="F44" i="4"/>
  <c r="G42" i="4"/>
  <c r="F42" i="4"/>
  <c r="G41" i="4"/>
  <c r="F41" i="4"/>
  <c r="G40" i="4"/>
  <c r="F40" i="4"/>
  <c r="G39" i="4"/>
  <c r="F39" i="4"/>
  <c r="G37" i="4"/>
  <c r="F37" i="4"/>
  <c r="F36" i="4"/>
  <c r="F35" i="4"/>
  <c r="G34" i="4"/>
  <c r="F34" i="4"/>
  <c r="G33" i="4"/>
  <c r="F33" i="4"/>
  <c r="F32" i="4"/>
  <c r="F31" i="4"/>
  <c r="G30" i="4"/>
  <c r="F30" i="4"/>
  <c r="G29" i="4"/>
  <c r="F29" i="4"/>
  <c r="G28" i="4"/>
  <c r="F28" i="4"/>
  <c r="G27" i="4"/>
  <c r="F27" i="4"/>
  <c r="G26" i="4"/>
  <c r="F26" i="4"/>
  <c r="G25" i="4"/>
  <c r="F25" i="4"/>
  <c r="G24" i="4"/>
  <c r="F24" i="4"/>
  <c r="G23" i="4"/>
  <c r="F23" i="4"/>
  <c r="G22" i="4"/>
  <c r="F22" i="4"/>
  <c r="G21" i="4"/>
  <c r="F21" i="4"/>
  <c r="G20" i="4"/>
  <c r="F20" i="4"/>
  <c r="G19" i="4"/>
  <c r="F19" i="4"/>
  <c r="G18" i="4"/>
  <c r="F18" i="4"/>
  <c r="F16" i="4"/>
  <c r="F15" i="4"/>
  <c r="G13" i="4"/>
  <c r="F13" i="4"/>
  <c r="F12" i="4"/>
  <c r="G11" i="4"/>
  <c r="F11" i="4"/>
  <c r="G10" i="4"/>
  <c r="F10" i="4"/>
  <c r="F9" i="4"/>
  <c r="G8" i="4"/>
  <c r="F8" i="4"/>
  <c r="F7" i="4"/>
  <c r="L5" i="6" l="1"/>
  <c r="G54" i="4"/>
  <c r="J159" i="3"/>
  <c r="G50" i="4"/>
  <c r="J19" i="3"/>
  <c r="G3" i="4" s="1"/>
  <c r="G44" i="4"/>
  <c r="G59" i="4" s="1"/>
  <c r="J60" i="3"/>
  <c r="J182" i="3" s="1"/>
  <c r="J9" i="3"/>
  <c r="G7" i="4"/>
  <c r="J138" i="3"/>
  <c r="J83" i="3"/>
  <c r="G15" i="4"/>
  <c r="J21" i="3"/>
  <c r="L7" i="6"/>
  <c r="F49" i="4"/>
  <c r="F59" i="4" s="1"/>
  <c r="H2" i="3"/>
  <c r="H9" i="3"/>
  <c r="F50" i="4"/>
  <c r="J3" i="3"/>
  <c r="H60" i="3"/>
  <c r="H182" i="3" s="1"/>
  <c r="H138" i="3"/>
  <c r="H159" i="3"/>
  <c r="F2" i="4" l="1"/>
  <c r="F56" i="4"/>
  <c r="J179" i="3"/>
  <c r="G9" i="4"/>
  <c r="G56" i="4" s="1"/>
  <c r="J2" i="3"/>
  <c r="G2" i="4" s="1"/>
  <c r="F4" i="4"/>
  <c r="G4" i="4"/>
  <c r="G5" i="4" l="1"/>
  <c r="F5" i="4"/>
</calcChain>
</file>

<file path=xl/sharedStrings.xml><?xml version="1.0" encoding="utf-8"?>
<sst xmlns="http://schemas.openxmlformats.org/spreadsheetml/2006/main" count="92933" uniqueCount="28144">
  <si>
    <t>ColA</t>
  </si>
  <si>
    <t>Select</t>
  </si>
  <si>
    <t>SortSeq</t>
  </si>
  <si>
    <t>Code</t>
  </si>
  <si>
    <t>Migration run-time summary analysis</t>
  </si>
  <si>
    <t>Duration Hours</t>
  </si>
  <si>
    <t>Net Hours</t>
  </si>
  <si>
    <t>Comments</t>
  </si>
  <si>
    <t>Y</t>
  </si>
  <si>
    <t>Sum1</t>
  </si>
  <si>
    <t xml:space="preserve">Advance preparation </t>
  </si>
  <si>
    <t>Sum2</t>
  </si>
  <si>
    <t>Run time preparation</t>
  </si>
  <si>
    <t>Sum3</t>
  </si>
  <si>
    <t>Migration activities (Analysis code &gt; 300)</t>
  </si>
  <si>
    <t>Total</t>
  </si>
  <si>
    <t>Advance preparation (100) - General</t>
  </si>
  <si>
    <t>M3CE Database Preparation (110)</t>
  </si>
  <si>
    <t xml:space="preserve">Premigration (120) data load  </t>
  </si>
  <si>
    <t>Preparation (130) Incremental load</t>
  </si>
  <si>
    <t>Incremental migration (131) - IM1 Initial load</t>
  </si>
  <si>
    <t>Incremental migration (132) - IM2 Incr update (IBMi)</t>
  </si>
  <si>
    <t>Incremental migration (133) - IM3 Incr update (Windows))</t>
  </si>
  <si>
    <t>Run-time Preparation (2)</t>
  </si>
  <si>
    <t>Source preparation (3)</t>
  </si>
  <si>
    <t>Process Execution (300) - MMM</t>
  </si>
  <si>
    <t>Process Execution (310) - TU Zip</t>
  </si>
  <si>
    <t>Process Execution (311) - TU Load</t>
  </si>
  <si>
    <t>Process Execution (320) - DB2 Export</t>
  </si>
  <si>
    <t xml:space="preserve">Process Execution (321) - DB2 Load </t>
  </si>
  <si>
    <t xml:space="preserve">Process Execution (325) - Data Transfer </t>
  </si>
  <si>
    <t>Process Execution (330) - IM3 Data Export</t>
  </si>
  <si>
    <t>Process Execution (331) - IM3 Data Transfer</t>
  </si>
  <si>
    <t>Process Execution (332) - IM3 Data Load</t>
  </si>
  <si>
    <t>Process Execution (333) - IM3 Incremental fixes</t>
  </si>
  <si>
    <t>Process Execution (340) - DMM Extract (IBMi)</t>
  </si>
  <si>
    <t>Process Execution (341) - DMM Insert   (IBMi)</t>
  </si>
  <si>
    <t>Process Execution (345) - DCM Extract</t>
  </si>
  <si>
    <t xml:space="preserve">Process Execution (346) - DCM Insert </t>
  </si>
  <si>
    <t>Process Execution (350) - Fix programs</t>
  </si>
  <si>
    <t>Process Execution (358) - Fix programs (additional)</t>
  </si>
  <si>
    <t>Process Execution (359) - Fix programs (rerun)</t>
  </si>
  <si>
    <t>Process Execution (360) - Index rebuild</t>
  </si>
  <si>
    <t xml:space="preserve">Data copy &amp; restore  - protected files etc  (370) </t>
  </si>
  <si>
    <t>Data manipulation in M3CE Stg environment (371)</t>
  </si>
  <si>
    <t>Process Execution (381) - CUS</t>
  </si>
  <si>
    <t>Process Execution (382) - Markets extract</t>
  </si>
  <si>
    <t>Process Execution (383) - Markets load</t>
  </si>
  <si>
    <t>Process Execution (384) - FAT</t>
  </si>
  <si>
    <t xml:space="preserve"> </t>
  </si>
  <si>
    <t>Total Manual Steps (4)</t>
  </si>
  <si>
    <t>Total Analysis time (5)</t>
  </si>
  <si>
    <t>Final checking and testing (6)</t>
  </si>
  <si>
    <t>Backup M3CE DB  (700)</t>
  </si>
  <si>
    <t>Upload M3CE to S3 bucket (710)</t>
  </si>
  <si>
    <t>Restore to M3CE target Environment, Cloud-ops  (750)</t>
  </si>
  <si>
    <t>M3CE Smoke test (8)</t>
  </si>
  <si>
    <t>Problems and repeat runs (9)</t>
  </si>
  <si>
    <t>Post migration task</t>
  </si>
  <si>
    <t>Summary - total hours incl preparation</t>
  </si>
  <si>
    <t xml:space="preserve">Total Excluding preparation </t>
  </si>
  <si>
    <t>M3 Data Migration report:</t>
  </si>
  <si>
    <t>Heli-One Canada ULC  Migration #3</t>
  </si>
  <si>
    <t>RPG ILE</t>
  </si>
  <si>
    <t>TU</t>
  </si>
  <si>
    <t>Migration responsible:</t>
  </si>
  <si>
    <t>jed.magdato@infor.com</t>
  </si>
  <si>
    <t>Completion Date:</t>
  </si>
  <si>
    <t>Source Platform:</t>
  </si>
  <si>
    <t>Windows/SQL</t>
  </si>
  <si>
    <t>iSeries, Oracle, Windows/SQL</t>
  </si>
  <si>
    <t>Target Platform:</t>
  </si>
  <si>
    <t>MT CE</t>
  </si>
  <si>
    <t>iSeries, Oracle, Windows/SQL, Amazon Cloud, MT CE</t>
  </si>
  <si>
    <t xml:space="preserve">Source M3 Version: </t>
  </si>
  <si>
    <t xml:space="preserve">5.2, 7.1 etc </t>
  </si>
  <si>
    <t>Target M3 Version:</t>
  </si>
  <si>
    <t>CE</t>
  </si>
  <si>
    <t>13.2, 13.3 etc</t>
  </si>
  <si>
    <t>Source dB size:</t>
  </si>
  <si>
    <t>672GB</t>
  </si>
  <si>
    <t>Target dB size:</t>
  </si>
  <si>
    <t>93GB</t>
  </si>
  <si>
    <t>Target Environment name:</t>
  </si>
  <si>
    <t>PRD</t>
  </si>
  <si>
    <t>Staging Server</t>
  </si>
  <si>
    <t>US</t>
  </si>
  <si>
    <t>EMEA, US, APAC</t>
  </si>
  <si>
    <t>CE Database Fix Pack Version</t>
  </si>
  <si>
    <t>fire-db-16.0.0.20251212201147.9</t>
  </si>
  <si>
    <t>HFix Fix Pack Version</t>
  </si>
  <si>
    <t>FiRE-20250127114600</t>
  </si>
  <si>
    <t>Type of Migration Kit used:</t>
  </si>
  <si>
    <t>DCM</t>
  </si>
  <si>
    <t>MMM, DMM, TU, DB2Export</t>
  </si>
  <si>
    <t>Fix level of DB2Export Migration Kit, if used:</t>
  </si>
  <si>
    <t>where nnnn is latest Action No in kit used</t>
  </si>
  <si>
    <t>Migration jobs failed M3 5.2 - M3 CE</t>
  </si>
  <si>
    <t>MSG-id</t>
  </si>
  <si>
    <t>Action</t>
  </si>
  <si>
    <t>Errors in the post-upgrade fixes</t>
  </si>
  <si>
    <t xml:space="preserve">Others issues from the migration </t>
  </si>
  <si>
    <t>What is this Migration report?</t>
  </si>
  <si>
    <t xml:space="preserve">This Migration report is a key deliverable out of the M3 Migration process. It is created by the Migration Consultant in the CoE Manila who runs the migration.  The objective is to document all relevant information related to the migration for validation purposes and also to act as a record to enable comparisons with subsequent migrations.  The project TPM and Customer should review this report in detail, below is a description of the content in the various Excel Worksheets and how to use. </t>
  </si>
  <si>
    <t>MIG Worksheet</t>
  </si>
  <si>
    <t xml:space="preserve">This sheet gives basic data on, and the status of the migration run, including: Name of customer, run date, who ran the migration, what type of migration tool was used and its PTF level, the hardware platforms in play, and source / target M3 versions.  It also includes detail of any problems encountered, actions taken to address, and would highlight in red any open issues on which further action is required to complete the migration or that the Project team should be aware of.  </t>
  </si>
  <si>
    <t>DTA_WIP Worksheet</t>
  </si>
  <si>
    <t xml:space="preserve">This sheet shows a file by file record count reconciliation between the source M3 database  and the  target one. It is called DTA_WIP as the data is extracted directly after the migration phase, but before the Fix program phase, therefore the record count variances of each file will usually be zero.  There will be variances in this sheet that are to be expected, for example where a file is new at the target version or one has been removed from the M3 db. Most should match though.  To review, filter the sheet on the Variance column H, selecting all non-zero lines. If there's a variance there will be an explanation. </t>
  </si>
  <si>
    <t>DTA_FIN Worksheet</t>
  </si>
  <si>
    <t xml:space="preserve">This sheet looks the same as the DTA_WIP sheet, but the data is extracted after the Fix program phase, and restoration of Protected data, so reconciliation information will be different as some fix programs legitimately write or delete records from M3 files, according to logic defined by Infor and delivered with base M3.  To review, filter the sheet on the Variance column H, selecting all non-zero lines. If there's a variance there will be an explanation.   This sheet is a System of record relating to the number of records in each file when the Migrated database is handed over to the project. If there is any doubt if data from certain file has  been migrated or not, then this sheet contains the definitive answer. </t>
  </si>
  <si>
    <t>DTA_Runtime Worksheet</t>
  </si>
  <si>
    <t xml:space="preserve">This sheet details the Start date / time, End date / time of each individual migration job in the first DTA migration phase of the migration run, i.e. where the data is moved (and transformed) into the target database.  This provides essential information for identifying any bottlenecks or long running jobs that could be optimized if the runtime needs to be shortened to fit in a limited cutover window. </t>
  </si>
  <si>
    <t>Timings Worksheet</t>
  </si>
  <si>
    <t xml:space="preserve">Details the exact timings of each stage in the migration process, the number of concurrent threads used (where appropriate)  plus detail of database size and hardware specification of the migration server. </t>
  </si>
  <si>
    <t>RUNFIXPGM Worksheet</t>
  </si>
  <si>
    <t xml:space="preserve">This sheet details the Start date / time, End date / time of each individual Fix program job in the second Fix Program phase of the migration run, i.e. where the migrated data is further transformed to target Db format. This provides essential information for identifying any bottlenecks or long running jobs that could be optimized if the runtime needs to be shortened to fit in a limited cutover window. </t>
  </si>
  <si>
    <t>BENCHMARK Worksheet</t>
  </si>
  <si>
    <t xml:space="preserve">Before and after the Migration consultant runs a migration, he / she runs an Infor migration utility program to measure the speed on the migration server, by running 15 defined and identical tasks.  This gives a basic measure of the performance of the migration server. The data on its own has little meaning, but is very useful when compared to other migration projects, if a migration server was not performing as expected for example. </t>
  </si>
  <si>
    <t>Mxx CSF Worksheets</t>
  </si>
  <si>
    <t xml:space="preserve">The migration report will include a Worksheet per M3 CSF (Country Specific Functionality database) migrated.  The names of he Worksheets will be Mxx where xx is the ISO country code so in this example Worksheet MFI refers to data in the Finnish market database. The sheet will contain file by file record reconciliations for each market database, equivalent to the DTA_FIN sheet described above, but for market related data and not Std M3 data.  Please note that for many countries, e.g. DE, UK, SE, FR, US etc.  CSF related data resides in the Std M3 database and so no separate Worksheet will be produced for these CSFs. </t>
  </si>
  <si>
    <t>CHC M3 Migration Timings</t>
  </si>
  <si>
    <t>Tag</t>
  </si>
  <si>
    <t>Analysis code</t>
  </si>
  <si>
    <t>Manila Start Date</t>
  </si>
  <si>
    <t>Manila Start Time</t>
  </si>
  <si>
    <t>Manila End Date</t>
  </si>
  <si>
    <t>Manila End Time</t>
  </si>
  <si>
    <t>Hours Consumed</t>
  </si>
  <si>
    <t>Adjust%</t>
  </si>
  <si>
    <t>Net hours</t>
  </si>
  <si>
    <t>Phase</t>
  </si>
  <si>
    <t>PRE-Migration activities</t>
  </si>
  <si>
    <t>PREPARATION</t>
  </si>
  <si>
    <t>Incremental activities</t>
  </si>
  <si>
    <t>Advance preparation tasks</t>
  </si>
  <si>
    <t>Check MT user account provided must have IFS admin authority</t>
  </si>
  <si>
    <t>Test M3CE user if can run M3 programs</t>
  </si>
  <si>
    <t>Deactivate M3CE env</t>
  </si>
  <si>
    <t>Cloud SysAdmin Task</t>
  </si>
  <si>
    <t>Backup M3CE Database</t>
  </si>
  <si>
    <t>PREPARATION source</t>
  </si>
  <si>
    <t>Backup 13.1 database</t>
  </si>
  <si>
    <t>c/o Peter.Anderson@chcheli.com</t>
  </si>
  <si>
    <t>Upload 13.1 Database backup file to corporate.ftp.infor.com</t>
  </si>
  <si>
    <t>Download 13.1 backup file from corporate.ftp.infor.com to Staging Server</t>
  </si>
  <si>
    <t>Restore 13.1 database backup file (M3FDBPRD_Full_2025.10.04_5.bak)
DB Name: CHC131</t>
  </si>
  <si>
    <t>PREPARATION cloud</t>
  </si>
  <si>
    <t>Downlload Client MT CE database from S3 Bucket to ST DB Server</t>
  </si>
  <si>
    <t>Extract Zip M3CE Backup file</t>
  </si>
  <si>
    <t>Restore MT CE database to ST DB server:
   Backup file: BRASSKINDDOVE_PRD_M3C_Fou_2_full_20251008035416_copyonly
   Destination DB: BRASSKINDDOVE_PRD_M3C_Fou_2</t>
  </si>
  <si>
    <t>TRN</t>
  </si>
  <si>
    <t>Check DB version</t>
  </si>
  <si>
    <t>CHPARF: 16.0.0.20251212201147.9</t>
  </si>
  <si>
    <t>DB Signature check</t>
  </si>
  <si>
    <t>Environment preparation / check SQL DB setup
check CJBQUE QBATCH set = 7 - M3FDBGRD
MT targetDB recovery model default value = SIMPLE
add ad hoc property &gt; runtime.log.path
SQL Server Memory: 384 GB
SQL Server Processor: Intel Xeon Platinum 8259CL
SQL Server # of CPU: 48
SQL Server Edition: MS SQL Server 2016 Enterprise Edition 64 bit
BE Server Memory: 119 GB</t>
  </si>
  <si>
    <t>Drive H(Data): 3.42TB / 14.4TB
Drive J(Indexes): 1.52TB /8.99TB
Drive K(Logs): 3.48TB / 8.99TB
sourceDB:
CHC131 (672GB)
MT targetDB:
BRASSKINDDOVE_PRD_M3C_Fou_2 (2.4GB)</t>
  </si>
  <si>
    <t>Check MECSVC and BODSVC user default company in MT (JUDFCO) must be setup to Source Company</t>
  </si>
  <si>
    <t>MECSVC JUDFCO = 750
BODSVC JUDFCO = 750</t>
  </si>
  <si>
    <t>Check JUEUID of the Tenant Grid User if it exist in CMNUSR</t>
  </si>
  <si>
    <t>MVXSECOFR=5e96d918-1c93-4eca-b7f6-a64247e04823</t>
  </si>
  <si>
    <t>Check *TEMPLADM and *TEMPLUSR from CMNUSR and CSYUSR if exist</t>
  </si>
  <si>
    <t>Update CMNUSR to correct production company</t>
  </si>
  <si>
    <t xml:space="preserve">Update CSYUSR to correct production company </t>
  </si>
  <si>
    <t>Check Service user if in the right company and division</t>
  </si>
  <si>
    <t>Delete IA data in CMNCMP and CMNDIV</t>
  </si>
  <si>
    <t>Run CSYSOR Script</t>
  </si>
  <si>
    <t>Check/Download/Install D:\DCMCopy_2022 in DB Server</t>
  </si>
  <si>
    <t>Download/upload HFix_RUNFIXPGM13xILE_MVX</t>
  </si>
  <si>
    <t>For LCM</t>
  </si>
  <si>
    <t>Check/Download/upload JT-1012149 (for F13400MM01 - Dump (Migration Program)</t>
  </si>
  <si>
    <t>Install HFix_RUNFIXPGM13xILE_MVX</t>
  </si>
  <si>
    <t>Stop TARGET env and other application except for GDBC and SAML SessionProvider</t>
  </si>
  <si>
    <t>Detach Staging env database: 
Config: jdbc:sqlserver://INFORBCM3DBW1.inforbc.com:1433;databaseName =M3FDBGRD
Attach MT database
Config: jdbc:sqlserver://INFORBCM3DBW1.inforbc.com:1433;databaseName =RUDD_PRD_M3C_Fou_h</t>
  </si>
  <si>
    <t>Set MT database DB owner = MDBUSR</t>
  </si>
  <si>
    <t>Save protected files from MT Database using Cargo - TRN
PRTM3CLR_TRN.zip - 76 tables
PRTM3KEEP_TRN.zip - 4 tables
PRTM3REP_TRN.zip - 6 tables
PRTM3CLR_PRD.zip - 6 tables
MIGRATION.BM3CHC_TRN.CSYTAB</t>
  </si>
  <si>
    <t xml:space="preserve">Save protected files from MT Database using Cargo - PRD
PRTM3CLR_PRD.zip - 6 tables
</t>
  </si>
  <si>
    <t>backup MT CSYTAB, CMNDIV and CJBQUE &gt; SQL - PRD
MIGRATION.BM3CHC.CSYTAB
MIGRATION.BM3CHC.CMNDIV
MIGRATION.BM3CHC.CJBQUE
MIGRATION.BM3CHC.CMNUSR
MIGRATION.BM3CHC.CSYUSR
MIGRATION.BM3CHC.CMNCMP
MIGRATION.BM3CHC.CMNSBJ
MIGRATION.BM3CHC.CMNCOC
MIGRATION.BM3CHC.CMNSYC</t>
  </si>
  <si>
    <t>Clear MT targetDB using SQL Script
DB:
uid=29
exclude:
MVXCON*
MVXMSG*</t>
  </si>
  <si>
    <t>Check Cleared MT Target DB
MVX uid = 29</t>
  </si>
  <si>
    <t>disable indexing in MT targetDB</t>
  </si>
  <si>
    <t>Download FIRE</t>
  </si>
  <si>
    <t>FIRE</t>
  </si>
  <si>
    <t>Install FIRE (FiRE-20250127114600)</t>
  </si>
  <si>
    <t>Extract Firedb (fire-db-16.0.0.20251212201147.9)</t>
  </si>
  <si>
    <t>Extract m3app (m3app-20230804114454)</t>
  </si>
  <si>
    <t>Extract m3app hfix (m3app-hfix-20241210154707)</t>
  </si>
  <si>
    <t>DCM DATA MIGRATION</t>
  </si>
  <si>
    <t>DATA MIGRATION</t>
  </si>
  <si>
    <t>Download DCM Tool - D:\DCMCopy_2022</t>
  </si>
  <si>
    <t>Install DCM tool - D:\DCMCopy_2022</t>
  </si>
  <si>
    <t>Delete SSCSysLog</t>
  </si>
  <si>
    <t>Delete content: \D:\DCMCopy_2022\joblog</t>
  </si>
  <si>
    <t>Configure DCM tool
Company filter in DCM</t>
  </si>
  <si>
    <t>Set DCM parameters: &gt; SSCParms.txt
src.database.name=CHC131
src.schema.name=MVXJDTA
tgt.database.name=BRASSKINDDOVE_PRD_M3C_Fou_2
tgt.schema.name=MVXJDTA
# filter by Company
# 0=Off, 1=On
filter.CONO=1
#-------------------------
# filter by GroupID
group.id=1</t>
  </si>
  <si>
    <t>Append additional table metadata &gt; DCM Menu2 &gt; Load Queue from Systables
Processing Class: GenCopy2
Exclude list: N/A</t>
  </si>
  <si>
    <t>Refresh DCM Table Maintenance &gt; Table  Maintenance &gt; Refresh</t>
  </si>
  <si>
    <t>Exclude tables from DCM Queue
Queue Maintenance &gt; Refresh</t>
  </si>
  <si>
    <t>Update DCM Queue from SMSS to run MVX tables only
UPDATE dbo.SSCQUEUE SET Status = '10' where SchemaName = 'MVXJDTA'</t>
  </si>
  <si>
    <t>Truncate SSCREPORT
TRUNCATE TABLE  M3MigrDCM_Pg_2022_Jed.dbo.SSCREPORT</t>
  </si>
  <si>
    <t>Run DCM Copy &gt; maxjob = 4</t>
  </si>
  <si>
    <t>Check/Restore MVXCONGB and MVXMSGGB from 13.1 database
      CHECK language data records = 0
      INSERT language data from 13.1 database</t>
  </si>
  <si>
    <t>Backup migrated system data from MT DB:
MIGRATION.SM1xxxAFT.* - 13 tables</t>
  </si>
  <si>
    <t>Restore system data from the CE database: tables with records &gt; 0
     DELETE system data in MT database
     CHECK system data records = 0
     INSERT system data from M3CEYYMMDD database</t>
  </si>
  <si>
    <t>Check Languange table to be copied from 13.1 database to MT DB for fix program:
SELECT DISTINCT THLNCD FROM MVXJDTA.FSYTXH</t>
  </si>
  <si>
    <t>GB
NO
PT</t>
  </si>
  <si>
    <t>Restore all Language table from 13.1 database
      CHECK language data records = 0
     INSERT language data from 13.1 database</t>
  </si>
  <si>
    <t>Create Primary index for added tables
CREATE INDEX MVXCONxx00 ON MVXJDTA.MVXCONxx (COMSID, COLANC)
CREATE INDEX MVXCONxx00 ON MVXJDTA.MVXMSGxx (COMSID, COLANC)</t>
  </si>
  <si>
    <t>Initial DB Comparison
MVX uid = 29</t>
  </si>
  <si>
    <t>Backup MT database before database file resize
G:\Migration\Alcar\M3\Backup_ALCAR_PRD_M3C_Fou_2_02072023_afterdataload.bak</t>
  </si>
  <si>
    <t>Adjust data and index database file
ALCAR_PRD_M3C_Fou_2_sd01 = 89344 (no change)
ALCAR_PRD_M3C_Fou_2_si01 = 512 (no change)</t>
  </si>
  <si>
    <t>Check the Free space % of data and index should be at least 20%</t>
  </si>
  <si>
    <t>POST UPGRADE FIXES / CHECKING</t>
  </si>
  <si>
    <t>POST UPGRADE FIX / CHECKING</t>
  </si>
  <si>
    <t>Check/stop target env</t>
  </si>
  <si>
    <t>SQL Server max memory is set from 124928 MB to 199884 MB (80%/20%)</t>
  </si>
  <si>
    <t>D:\Tools\Jed\DB2LoadR2Pg_2022\Env_1
Set Index Parm
sql.maxthread2=4</t>
  </si>
  <si>
    <t>D:\DB2LoadR2E_2022\Env_1
Truncate Index Queue
Delete from M3MigrDB2_Pg_1_2022_Jed.dbo.IDXQUEUE</t>
  </si>
  <si>
    <t>Delete IDXSysLog</t>
  </si>
  <si>
    <t>Truncate Table M3MigrDB2_Pg_1_2022_Jed.dbo.IDXREBLDLOG</t>
  </si>
  <si>
    <t>Change DB2Parms
database.name=BRASSKINDDOVE_PRD_M3C_Fou_2
schema.name=MVXJDTA</t>
  </si>
  <si>
    <t>Load index rebuild Queue</t>
  </si>
  <si>
    <t>Update 01 and 02 Pending release to 10
Update M3MigrDB2_Pg_1_2022_Jed.dbo.IDXQUEUE set Status = 10 where Status IN ('01','02')</t>
  </si>
  <si>
    <t>Index rebuild: maxjobs = 5</t>
  </si>
  <si>
    <t>Get the log of index rebuild
SELECT * FROM M3MigrDB2_Pg_1_2022_Jed.dbo.IDXREBLDLOG</t>
  </si>
  <si>
    <t>Check Indexes if all are rebuild (Count_Tables_by_Compress_Status.sql)</t>
  </si>
  <si>
    <t>Backup MT database after index rebuild
G:\Migration\CHC_Heli\M3\Backup_BRASSKINDDOVE_PRD_M3C_Fou_2_afterindexrebuild.bak</t>
  </si>
  <si>
    <t>Backup file size: 33GB</t>
  </si>
  <si>
    <t>Backup CMNDIV &gt; MIGRATION.BM3CHCAFT.CMNDIV</t>
  </si>
  <si>
    <t>Run SQL Script to MT database
UPDATE MVXJDTA.CMNSBJ SET SJSTAT = '10'
UPDATE MVXJDTA.CMNDIV SET CCLLID = ''
UPDATE MVXJDTA.CJBQUE SET J2MAJB = '7' WHERE J2JOBQ = 'QBATCH'</t>
  </si>
  <si>
    <t>Copy CJBQUE from M3FDBGRD to MT database</t>
  </si>
  <si>
    <t>Restart GRID</t>
  </si>
  <si>
    <t>Install CE_DB fix package in the ST env
CE_DB fix release: &lt;Name&gt;
(do not run UpgradeDB)</t>
  </si>
  <si>
    <t>Check/Install HFix_RUNFIXPGM13xILE_MVX</t>
  </si>
  <si>
    <t xml:space="preserve">Tables = 
Columns =  Checksum = 
Indexes = 
Message Files = </t>
  </si>
  <si>
    <t>Restart target env</t>
  </si>
  <si>
    <t>Insert MOVEX user from M3FDBGRD to MT Database:
DELETE FROM &lt;MTDB&gt;.MVXJDTA.CMNUSR WHERE JUUSID = 'MOVEX'
GO
INSERT INTO  &lt;MTDB&gt;.MVXJDTA.CMNUSR
	SELECT * FROM MIGRATION.PM1xxx.CMNUSR WHERE JUUSID = 'MOVEX'</t>
  </si>
  <si>
    <t>MTDB = Multi Tenant DB
P = Protected files
xxx = First 3 character of Client
M1 = Migration number</t>
  </si>
  <si>
    <t>Check Serverview properties</t>
  </si>
  <si>
    <t>Check CJBCTL WHERE J4JNA LIKE 'RUNFIX%'</t>
  </si>
  <si>
    <t>Copy RUNFIXPGM Script to FIRE &gt; G:\Migration\CHC_Heli\FiRE\classes\scripts</t>
  </si>
  <si>
    <t>configure config.properties FiRE
mvx.cono=1
mvx.usid=MOVEX</t>
  </si>
  <si>
    <t xml:space="preserve">configure hikari.properties
dataSource.serverName=localhost
dataSource.databaseName=BRASSKINDDOVE_PRD_M3C_Fou_2
schema=MVXJDTA
</t>
  </si>
  <si>
    <t xml:space="preserve">Run BENW001 then BEND001 to check the correct DB is attached to ST env
strfire --pgm=Z010_RUNFIXPGM_BENCHMARK.txt
</t>
  </si>
  <si>
    <t>RUNFIXPGM_CE using FiRE &gt; command line
strfire --pgm=NOMMM_060_RUNFIXPGM_132.txt</t>
  </si>
  <si>
    <t>RUNFIXPGM_CE using FiRE &gt; command line
strfire --pgm=NOMMM_070_RUNFIXPGM_133.txt</t>
  </si>
  <si>
    <t>RUNFIXPGM_CE using FiRE &gt; command line
strfire --pgm=NOMMM_080_RUNFIXPGM_134.txt</t>
  </si>
  <si>
    <t>RUNFIXPGM_CE using FiRE &gt; command line
strfire --pgm=NOMMM_090_RUNFIXPGM_CE.txt</t>
  </si>
  <si>
    <t>Update FBKDEF file</t>
  </si>
  <si>
    <t>Post Migration SQL</t>
  </si>
  <si>
    <t>Start env, UI Adapter, Mango Server, SAMLSessionProvider</t>
  </si>
  <si>
    <t>Configure IFS user to connect to MVXSECOFR</t>
  </si>
  <si>
    <t xml:space="preserve">ISO smoke test &gt;  use CMP =  DIVI = </t>
  </si>
  <si>
    <t>Revert back IFS user from MVXSECOFR</t>
  </si>
  <si>
    <t>Stop Env</t>
  </si>
  <si>
    <t>Reverse Language tables</t>
  </si>
  <si>
    <t>Backup MT database after fixes
G:\Migration\CHC_Heli\M3\Backup_BRASSKINDDOVE_PRD_M3C_Fou_2_afterfixes.bak</t>
  </si>
  <si>
    <t>Backup file size: 35GB</t>
  </si>
  <si>
    <t>Restore CSYTAB</t>
  </si>
  <si>
    <t>LEPB</t>
  </si>
  <si>
    <t>Backup protected files after fix
PRTM3AFT_CHC.zip - 86 tables</t>
  </si>
  <si>
    <t>MT Post migration script for CMNUSR and CSYUSR</t>
  </si>
  <si>
    <t>Restore protected files 
PRTM3CLR_TRN.zip - 76 tables
PRTM3KEEP_TRN.zip - 4 tables
PRTM3REP_TRN.zip - 6 tables
PRTM3CLR_PRD.zip - 6 tables
MIGRATION.BM3CHC_TRN.CSYTAB</t>
  </si>
  <si>
    <t>MT Post migration script for CMNSBJ</t>
  </si>
  <si>
    <t>Check/stop Autojobs except SJJOB IN ('CMS955','CMNGJOB','CMONASJ')</t>
  </si>
  <si>
    <t>CMS955, CMNGJOB and CMONASJ  Status must = 20</t>
  </si>
  <si>
    <t>Final DB comparison
MVX = 29</t>
  </si>
  <si>
    <t>Remove HFix_RUNFIXPGM13xILE_xxxM1_MVX</t>
  </si>
  <si>
    <t>Remove MVX DB fix package</t>
  </si>
  <si>
    <t>Detach MT database from ST env</t>
  </si>
  <si>
    <t>Attached 13.1 database to ST env:
jdbc:sqlserver://INFORBCM3DBW1.inforbc.com:1433;databaseName =M3FDBGRD</t>
  </si>
  <si>
    <t>Check CMNDIV records</t>
  </si>
  <si>
    <t>Check/Update MVXSECOFR user must have the M3 Tenant EUID</t>
  </si>
  <si>
    <t>MVXSECOFR=4ce25971-bba3-4add-9e01-513f957e6c77</t>
  </si>
  <si>
    <t>SMOKE TESTING / ENVIRONMENT CHECKING</t>
  </si>
  <si>
    <t>SMOKE TEST  ENVIRONMENT CHECKING/</t>
  </si>
  <si>
    <t>Environment check
Set MT Recovery model = FULL
Start M3BE, GDBC, H5, MUA,Mango,SAML</t>
  </si>
  <si>
    <t>Drive H(Data): 3.34TB / 14.4TB
Drive J(Indexes): 1.42TB /8.99TB
Drive K(Logs): 3.37TB / 8.99TB
sourceDB:
CHC131 (672GB)
MT targetDB:
BRASSKINDDOVE_PRD_M3C_Fou_2 (93.6GB)</t>
  </si>
  <si>
    <t>Set Compatibility level of MT Database to 160</t>
  </si>
  <si>
    <t>Backup MT Database: 
G:\Migration\CHC_Heli\M3\MIGRATED_BRASSKINDDOVE_PRD_M3C_Fou_2_20260317.bak</t>
  </si>
  <si>
    <t>Backup file size: 32.2GB</t>
  </si>
  <si>
    <t>Check Transaction logs size</t>
  </si>
  <si>
    <t>Log Size: 5GB</t>
  </si>
  <si>
    <t>Run Verify Script to the backup
     RESTORE verifyonly FROM DISK='G:\Migration\CHC_Heli\M3\MIGRATED_BRASSKINDDOVE_PRD_M3C_Fou_2_20260317.bak'</t>
  </si>
  <si>
    <t>Zip the backup file with password
Zip Filename: MIGRATED_BRASSKINDDOVE_PRD_M3C_Fou_2_20260317.7z</t>
  </si>
  <si>
    <t>Zipped size: 31.9GB</t>
  </si>
  <si>
    <t>Upload MT Database backup to S3 bucket:
S3 Bucket Region: USEAST1
S3 Bucket location: s3://infor-filetransfer-us-east-1/CHC_Heli/M3/MIGRATED_BRASSKINDDOVE_PRD_M3C_Fou_2_20260317.7z</t>
  </si>
  <si>
    <t xml:space="preserve">
</t>
  </si>
  <si>
    <t>Migration team inform DBA Team</t>
  </si>
  <si>
    <t>MT Database size including Logs: (93GB)</t>
  </si>
  <si>
    <t>Download and Extraction of backup file</t>
  </si>
  <si>
    <t>Cloud DBA Task</t>
  </si>
  <si>
    <t>Target Database backup</t>
  </si>
  <si>
    <t>Restore to Primary node</t>
  </si>
  <si>
    <t>Target database backup after restoration</t>
  </si>
  <si>
    <t>Synchronize with Secondary node</t>
  </si>
  <si>
    <t>DBA Inform Cloud Ops</t>
  </si>
  <si>
    <t>DB Analysis Restored MT DB vs Staging server DB</t>
  </si>
  <si>
    <t>Re-enable tenant </t>
  </si>
  <si>
    <t>Cloud Ops inform Migration team</t>
  </si>
  <si>
    <t>Check/generate/execute F16* fixes on CMS950</t>
  </si>
  <si>
    <t xml:space="preserve">MT ISO smoke test &gt;  use CMP = 001  DIVI = </t>
  </si>
  <si>
    <t>Post migration Task</t>
  </si>
  <si>
    <t>Set all ASJ jobs status to 20 - per client's preference</t>
  </si>
  <si>
    <t>Upon client request</t>
  </si>
  <si>
    <t>Start ASJ on MNS050 - per client's preference</t>
  </si>
  <si>
    <t>Update accounting entities for BODSVC and MECSVC users on MNS150</t>
  </si>
  <si>
    <t>Update default CMP/DIV on MEC agreement control properties</t>
  </si>
  <si>
    <t>CMP=001_</t>
  </si>
  <si>
    <t xml:space="preserve">Run "Reload" on BODProcessor </t>
  </si>
  <si>
    <t>Add new company to "SyncAccountingEntity",  "SyncPerson" and "SyncSecurityRoleMaster" BOD</t>
  </si>
  <si>
    <t xml:space="preserve">Check and take note of new accounting entities on MNS100 </t>
  </si>
  <si>
    <t xml:space="preserve">Trigger accounting entity updates in MNS100 to add new CMP/DIV to AccountingEntities list </t>
  </si>
  <si>
    <t xml:space="preserve">Check if new accounting entities added to list </t>
  </si>
  <si>
    <t xml:space="preserve">Reload Custom Detection and Custom Mappings </t>
  </si>
  <si>
    <t>Run only if Accounting Entities did not sync</t>
  </si>
  <si>
    <t>Custom Mappings &gt; M3_AccountingEntity_Sync_Out &gt; Select &gt; Revert and activate standard mappings</t>
  </si>
  <si>
    <t xml:space="preserve">Check CMS700 &gt; Set Default Output server to MVXSECOFR  </t>
  </si>
  <si>
    <t xml:space="preserve">Check MNS090 &gt; Set Out serv to MVXSECOFR </t>
  </si>
  <si>
    <t>Create M3_FEATADM role in MNS405 then add access to the CMS970, CMS973, CMS975, CMS978 and CMS700 functions in SES400</t>
  </si>
  <si>
    <t>Run CMS005 - generate standard (IDM setup)</t>
  </si>
  <si>
    <t>For Migration 1 only and Succedding migration where we protected standard default list</t>
  </si>
  <si>
    <t>Run CRS108- generate standard</t>
  </si>
  <si>
    <t>Run AHS100 - generate standard</t>
  </si>
  <si>
    <t>Check MNS060
    create the ff:
    - Document Type: M3_DEF
        - Description: M3 Layout Default
        - Name: M3 Layout Deflt
        - Doc Type ID: M3_Layout
        - Attribute ID: M3_Printer_File / Attribute Value: 2 - Current printer file
    - Document Type: M3_TEMPLATE_DEF
        - Description: M3 Layout Template Default
        - Name: M3 Layt Tmp Dft
        - Doc Type ID: M3_Layout_Template
        - Attribute ID: M3_Printer_File / Attribute Value: 2 - Current printer file</t>
  </si>
  <si>
    <t>This is already setup</t>
  </si>
  <si>
    <t>EndLine</t>
  </si>
  <si>
    <t>Summary - Total hours incl. preparation</t>
  </si>
  <si>
    <t>SUMMARY</t>
  </si>
  <si>
    <t>Summary - Total runtime hours</t>
  </si>
  <si>
    <t xml:space="preserve">MIGRATION TO M3 </t>
  </si>
  <si>
    <t>DATABASE - WIP</t>
  </si>
  <si>
    <t>Company</t>
  </si>
  <si>
    <t>Heli-One Canada ULC</t>
  </si>
  <si>
    <t>From Vers.</t>
  </si>
  <si>
    <t>13.1 Java</t>
  </si>
  <si>
    <t>To Vers.</t>
  </si>
  <si>
    <t>From dB</t>
  </si>
  <si>
    <t>CHC131</t>
  </si>
  <si>
    <t>To dB</t>
  </si>
  <si>
    <t>BRASSKINDDOVE_PRD_M3C_Fou_2</t>
  </si>
  <si>
    <t>Executed by</t>
  </si>
  <si>
    <t>Jed Magdato</t>
  </si>
  <si>
    <t>Date</t>
  </si>
  <si>
    <t>Time</t>
  </si>
  <si>
    <t>13.1 Java source library</t>
  </si>
  <si>
    <t>CE Java target library</t>
  </si>
  <si>
    <t>Library</t>
  </si>
  <si>
    <t>Filename</t>
  </si>
  <si>
    <t>Record count</t>
  </si>
  <si>
    <t>Variance</t>
  </si>
  <si>
    <t>True Variance</t>
  </si>
  <si>
    <t>Remarks</t>
  </si>
  <si>
    <t>ACUOTY</t>
  </si>
  <si>
    <t>MVXJDTA</t>
  </si>
  <si>
    <t>APDSCF</t>
  </si>
  <si>
    <t>CACCST</t>
  </si>
  <si>
    <t>CAEVEN</t>
  </si>
  <si>
    <t>Due to Company filter</t>
  </si>
  <si>
    <t>CAEXEL</t>
  </si>
  <si>
    <t>CAREPL</t>
  </si>
  <si>
    <t>CASTDV</t>
  </si>
  <si>
    <t>CATYPE</t>
  </si>
  <si>
    <t>CBANAC</t>
  </si>
  <si>
    <t>CBANBR</t>
  </si>
  <si>
    <t>CBANMA</t>
  </si>
  <si>
    <t>CBANVA</t>
  </si>
  <si>
    <t>CBMSTA</t>
  </si>
  <si>
    <t>CCTLSF</t>
  </si>
  <si>
    <t>CCTLSP</t>
  </si>
  <si>
    <t>CCUCRL</t>
  </si>
  <si>
    <t>CCUDIV</t>
  </si>
  <si>
    <t>CCURRA</t>
  </si>
  <si>
    <t>CEAEMP</t>
  </si>
  <si>
    <t>CEMAIL</t>
  </si>
  <si>
    <t>CFACIL</t>
  </si>
  <si>
    <t>CFIACP</t>
  </si>
  <si>
    <t>CFIFFD</t>
  </si>
  <si>
    <t>CFIHEA</t>
  </si>
  <si>
    <t>CFLFLX</t>
  </si>
  <si>
    <t>CFUNID</t>
  </si>
  <si>
    <t>CFUNLV</t>
  </si>
  <si>
    <t>CGEEX1</t>
  </si>
  <si>
    <t>CGEEX5</t>
  </si>
  <si>
    <t>CGEEX6</t>
  </si>
  <si>
    <t>CGETXH</t>
  </si>
  <si>
    <t>CGETXL</t>
  </si>
  <si>
    <t>CIADDR</t>
  </si>
  <si>
    <t>CIDADR</t>
  </si>
  <si>
    <t>CIDMAS</t>
  </si>
  <si>
    <t>CIDREF</t>
  </si>
  <si>
    <t>CIDVCN</t>
  </si>
  <si>
    <t>CIDVEN</t>
  </si>
  <si>
    <t>CINACC</t>
  </si>
  <si>
    <t>CINPRI</t>
  </si>
  <si>
    <t>CINXRF</t>
  </si>
  <si>
    <t>CITZON</t>
  </si>
  <si>
    <t>CJBCMD</t>
  </si>
  <si>
    <t>CJBCTL</t>
  </si>
  <si>
    <t>CJBQUE</t>
  </si>
  <si>
    <t>CJOBDF</t>
  </si>
  <si>
    <t>CLUISV</t>
  </si>
  <si>
    <t>CMAILB</t>
  </si>
  <si>
    <t>CMAILD</t>
  </si>
  <si>
    <t>CMAILE</t>
  </si>
  <si>
    <t>CMAILM</t>
  </si>
  <si>
    <t>CMAILP</t>
  </si>
  <si>
    <t>CMF610</t>
  </si>
  <si>
    <t>CMFADV</t>
  </si>
  <si>
    <t>CMIFLD</t>
  </si>
  <si>
    <t>CMIPGM</t>
  </si>
  <si>
    <t>CMITRN</t>
  </si>
  <si>
    <t>CMITXH</t>
  </si>
  <si>
    <t>CMITXL</t>
  </si>
  <si>
    <t>CMNBDC</t>
  </si>
  <si>
    <t>CMNBDF</t>
  </si>
  <si>
    <t>CMNBDK</t>
  </si>
  <si>
    <t>CMNCLD</t>
  </si>
  <si>
    <t>CMNCMP</t>
  </si>
  <si>
    <t>CMNCOC</t>
  </si>
  <si>
    <t>CMNDI1</t>
  </si>
  <si>
    <t>CMNDIV</t>
  </si>
  <si>
    <t>CMNFNG</t>
  </si>
  <si>
    <t>CMNFNL</t>
  </si>
  <si>
    <t>CMNLNG</t>
  </si>
  <si>
    <t>CMNMNU</t>
  </si>
  <si>
    <t>CMNMVX</t>
  </si>
  <si>
    <t>CMNPSU</t>
  </si>
  <si>
    <t>CMNSBJ</t>
  </si>
  <si>
    <t>CMNSBS</t>
  </si>
  <si>
    <t>CMNSEC</t>
  </si>
  <si>
    <t>CMNSYC</t>
  </si>
  <si>
    <t>CMNUQL</t>
  </si>
  <si>
    <t>CMNUSR</t>
  </si>
  <si>
    <t>CMNVER</t>
  </si>
  <si>
    <t>COSIME</t>
  </si>
  <si>
    <t>COSITY</t>
  </si>
  <si>
    <t>COSRVI</t>
  </si>
  <si>
    <t>COSRVR</t>
  </si>
  <si>
    <t>COUTSV</t>
  </si>
  <si>
    <t>COWNID</t>
  </si>
  <si>
    <t>COWNMI</t>
  </si>
  <si>
    <t>CPRDEF</t>
  </si>
  <si>
    <t>CQLICP</t>
  </si>
  <si>
    <t>CRACTR</t>
  </si>
  <si>
    <t>CREVDE</t>
  </si>
  <si>
    <t>CREVET</t>
  </si>
  <si>
    <t>CREVND</t>
  </si>
  <si>
    <t>CREVNT</t>
  </si>
  <si>
    <t>CRFNCN</t>
  </si>
  <si>
    <t>CRHOST</t>
  </si>
  <si>
    <t>CRINPA</t>
  </si>
  <si>
    <t>CRINPP</t>
  </si>
  <si>
    <t>CRLOCK</t>
  </si>
  <si>
    <t>CROBJC</t>
  </si>
  <si>
    <t>CROBJP</t>
  </si>
  <si>
    <t>CROHEA</t>
  </si>
  <si>
    <t>CSEFFG</t>
  </si>
  <si>
    <t>CSEFLG</t>
  </si>
  <si>
    <t>CSEFPU</t>
  </si>
  <si>
    <t>CSEFPX</t>
  </si>
  <si>
    <t>CSESEC</t>
  </si>
  <si>
    <t>CSESFG</t>
  </si>
  <si>
    <t>CSESTR</t>
  </si>
  <si>
    <t>CSFDEF</t>
  </si>
  <si>
    <t>CSFOUT</t>
  </si>
  <si>
    <t>CSHCTL</t>
  </si>
  <si>
    <t>CSHFLD</t>
  </si>
  <si>
    <t>CSHFNC</t>
  </si>
  <si>
    <t>CSHHED</t>
  </si>
  <si>
    <t>CSHLIN</t>
  </si>
  <si>
    <t>CSHPGM</t>
  </si>
  <si>
    <t>CSMMAS</t>
  </si>
  <si>
    <t>CSMSEL</t>
  </si>
  <si>
    <t>CSTDNC</t>
  </si>
  <si>
    <t>CSUDIV</t>
  </si>
  <si>
    <t>CSYCAL</t>
  </si>
  <si>
    <t>CSYCSN</t>
  </si>
  <si>
    <t>CSYDHI</t>
  </si>
  <si>
    <t>CSYDME</t>
  </si>
  <si>
    <t>CSYDOB</t>
  </si>
  <si>
    <t>CSYDOC</t>
  </si>
  <si>
    <t>CSYDPM</t>
  </si>
  <si>
    <t>CSYGTX</t>
  </si>
  <si>
    <t>CSYIBC</t>
  </si>
  <si>
    <t>CSYIBR</t>
  </si>
  <si>
    <t>CSYIEM</t>
  </si>
  <si>
    <t>CSYKEY</t>
  </si>
  <si>
    <t>CSYMON</t>
  </si>
  <si>
    <t>CSYNBI</t>
  </si>
  <si>
    <t>CSYNBJ</t>
  </si>
  <si>
    <t>CSYNBR</t>
  </si>
  <si>
    <t>CSYNBV</t>
  </si>
  <si>
    <t>CSYNUM</t>
  </si>
  <si>
    <t>CSYOBT</t>
  </si>
  <si>
    <t>CSYPAR</t>
  </si>
  <si>
    <t>CSYPER</t>
  </si>
  <si>
    <t>CSYPRF</t>
  </si>
  <si>
    <t>CSYPRS</t>
  </si>
  <si>
    <t>CSYREP</t>
  </si>
  <si>
    <t>CSYSCH</t>
  </si>
  <si>
    <t>CSYSCU</t>
  </si>
  <si>
    <t>CSYSEL</t>
  </si>
  <si>
    <t>CSYSET</t>
  </si>
  <si>
    <t>CSYSOR</t>
  </si>
  <si>
    <t>CSYSPF</t>
  </si>
  <si>
    <t>CSYSPI</t>
  </si>
  <si>
    <t>CSYSPV</t>
  </si>
  <si>
    <t>CSYSTF</t>
  </si>
  <si>
    <t>CSYSTP</t>
  </si>
  <si>
    <t>CSYSTR</t>
  </si>
  <si>
    <t>CSYSTS</t>
  </si>
  <si>
    <t>CSYTAB</t>
  </si>
  <si>
    <t>CSYTXC</t>
  </si>
  <si>
    <t>CSYTXH</t>
  </si>
  <si>
    <t>CSYTXL</t>
  </si>
  <si>
    <t>CSYUNL</t>
  </si>
  <si>
    <t>CSYUSR</t>
  </si>
  <si>
    <t>CSYVIF</t>
  </si>
  <si>
    <t>CSYVIG</t>
  </si>
  <si>
    <t>CSYVIS</t>
  </si>
  <si>
    <t>CSYVIU</t>
  </si>
  <si>
    <t>CVATPC</t>
  </si>
  <si>
    <t>FAACCB</t>
  </si>
  <si>
    <t>FAACCH</t>
  </si>
  <si>
    <t>FAALOC</t>
  </si>
  <si>
    <t>FAALOD</t>
  </si>
  <si>
    <t>FACCES</t>
  </si>
  <si>
    <t>FAMTDE</t>
  </si>
  <si>
    <t>FAMTHE</t>
  </si>
  <si>
    <t>FAP040</t>
  </si>
  <si>
    <t>FAP04X</t>
  </si>
  <si>
    <t>FAP100</t>
  </si>
  <si>
    <t>FAP110</t>
  </si>
  <si>
    <t>FAP131</t>
  </si>
  <si>
    <t>FAP141</t>
  </si>
  <si>
    <t>FAP151</t>
  </si>
  <si>
    <t>FAP161</t>
  </si>
  <si>
    <t>FAPBAC</t>
  </si>
  <si>
    <t>FAPBIA</t>
  </si>
  <si>
    <t>FAPBIH</t>
  </si>
  <si>
    <t>FAPBIL</t>
  </si>
  <si>
    <t>FAPCHK</t>
  </si>
  <si>
    <t>FAPIBA</t>
  </si>
  <si>
    <t>FAPIBH</t>
  </si>
  <si>
    <t>FAPIBL</t>
  </si>
  <si>
    <t>FAPRCD</t>
  </si>
  <si>
    <t>FAPRED</t>
  </si>
  <si>
    <t>FAPREH</t>
  </si>
  <si>
    <t>FAPSER</t>
  </si>
  <si>
    <t>FAR116</t>
  </si>
  <si>
    <t>FBAAER</t>
  </si>
  <si>
    <t>FBAAHE</t>
  </si>
  <si>
    <t>FBAALN</t>
  </si>
  <si>
    <t>FBAKEY</t>
  </si>
  <si>
    <t>FBANID</t>
  </si>
  <si>
    <t>FBAVAL</t>
  </si>
  <si>
    <t>FBCTDF</t>
  </si>
  <si>
    <t>FBCTEL</t>
  </si>
  <si>
    <t>FBCTLN</t>
  </si>
  <si>
    <t>FBDCTD</t>
  </si>
  <si>
    <t>FBDCTH</t>
  </si>
  <si>
    <t>FBDISE</t>
  </si>
  <si>
    <t>FBDIST</t>
  </si>
  <si>
    <t>FBKDEF</t>
  </si>
  <si>
    <t>FBNKFO</t>
  </si>
  <si>
    <t>FBREDF</t>
  </si>
  <si>
    <t>FBRESP</t>
  </si>
  <si>
    <t>FBTMPD</t>
  </si>
  <si>
    <t>FBTMPH</t>
  </si>
  <si>
    <t>FBUCNB</t>
  </si>
  <si>
    <t>FBUCUS</t>
  </si>
  <si>
    <t>FBUDEF</t>
  </si>
  <si>
    <t>FBUDET</t>
  </si>
  <si>
    <t>FBUDIH</t>
  </si>
  <si>
    <t>FBUDIS</t>
  </si>
  <si>
    <t>FBUSUM</t>
  </si>
  <si>
    <t>FCA951</t>
  </si>
  <si>
    <t>FCA95P</t>
  </si>
  <si>
    <t>FCAAVP</t>
  </si>
  <si>
    <t>FCACCV</t>
  </si>
  <si>
    <t>FCAIDL</t>
  </si>
  <si>
    <t>FCFACV</t>
  </si>
  <si>
    <t>FCFBIN</t>
  </si>
  <si>
    <t>FCFBKN</t>
  </si>
  <si>
    <t>FCFCDD</t>
  </si>
  <si>
    <t>FCFCDH</t>
  </si>
  <si>
    <t>FCFCFR</t>
  </si>
  <si>
    <t>FCFCHE</t>
  </si>
  <si>
    <t>FCFDAT</t>
  </si>
  <si>
    <t>FCFDET</t>
  </si>
  <si>
    <t>FCFELV</t>
  </si>
  <si>
    <t>FCFMDE</t>
  </si>
  <si>
    <t>FCFMDH</t>
  </si>
  <si>
    <t>FCFMDI</t>
  </si>
  <si>
    <t>FCFMDL</t>
  </si>
  <si>
    <t>FCFOIN</t>
  </si>
  <si>
    <t>FCFVER</t>
  </si>
  <si>
    <t>FCHACC</t>
  </si>
  <si>
    <t>FCHCHK</t>
  </si>
  <si>
    <t>FCR040</t>
  </si>
  <si>
    <t>FCR04X</t>
  </si>
  <si>
    <t>FCR050</t>
  </si>
  <si>
    <t>FCRMCD</t>
  </si>
  <si>
    <t>FCRMHD</t>
  </si>
  <si>
    <t>FCRMIN</t>
  </si>
  <si>
    <t>FCRMTD</t>
  </si>
  <si>
    <t>FCRMTN</t>
  </si>
  <si>
    <t>FCURTX</t>
  </si>
  <si>
    <t>FCUSCR</t>
  </si>
  <si>
    <t>FDISCU</t>
  </si>
  <si>
    <t>FERECD</t>
  </si>
  <si>
    <t>FERECH</t>
  </si>
  <si>
    <t>FFA001</t>
  </si>
  <si>
    <t>FFA101</t>
  </si>
  <si>
    <t>FFA161</t>
  </si>
  <si>
    <t>FFA180</t>
  </si>
  <si>
    <t>FFACTR</t>
  </si>
  <si>
    <t>FFAHIS</t>
  </si>
  <si>
    <t>FFAINS</t>
  </si>
  <si>
    <t>FFASDM</t>
  </si>
  <si>
    <t>FFASMA</t>
  </si>
  <si>
    <t>FFASVL</t>
  </si>
  <si>
    <t>FFCHKF</t>
  </si>
  <si>
    <t>FFDTBD</t>
  </si>
  <si>
    <t>FFDTBH</t>
  </si>
  <si>
    <t>FFDTED</t>
  </si>
  <si>
    <t>FFDTSC</t>
  </si>
  <si>
    <t>FFDTSL</t>
  </si>
  <si>
    <t>FFIHEA</t>
  </si>
  <si>
    <t>FFIHSD</t>
  </si>
  <si>
    <t>FFIHST</t>
  </si>
  <si>
    <t>FFIIRD</t>
  </si>
  <si>
    <t>FFIIRH</t>
  </si>
  <si>
    <t>FFIORD</t>
  </si>
  <si>
    <t>FFIORH</t>
  </si>
  <si>
    <t>FFPHCD</t>
  </si>
  <si>
    <t>FFPHCH</t>
  </si>
  <si>
    <t>FFRCCL</t>
  </si>
  <si>
    <t>FFRCDF</t>
  </si>
  <si>
    <t>FFRCSL</t>
  </si>
  <si>
    <t>FFRDEF</t>
  </si>
  <si>
    <t>FFRDIR</t>
  </si>
  <si>
    <t>FFRDIU</t>
  </si>
  <si>
    <t>FFRLCL</t>
  </si>
  <si>
    <t>FFRLDF</t>
  </si>
  <si>
    <t>FFRLSL</t>
  </si>
  <si>
    <t>FFRLTX</t>
  </si>
  <si>
    <t>FFRPCH</t>
  </si>
  <si>
    <t>FFRPCI</t>
  </si>
  <si>
    <t>FFRPCL</t>
  </si>
  <si>
    <t>FFRXCL</t>
  </si>
  <si>
    <t>FFRXDF</t>
  </si>
  <si>
    <t>FFSVDM</t>
  </si>
  <si>
    <t>FFSVFA</t>
  </si>
  <si>
    <t>FFSVVT</t>
  </si>
  <si>
    <t>FGDIBD</t>
  </si>
  <si>
    <t>FGDIBH</t>
  </si>
  <si>
    <t>FGDISE</t>
  </si>
  <si>
    <t>FGDISH</t>
  </si>
  <si>
    <t>FGDIST</t>
  </si>
  <si>
    <t>FGDITD</t>
  </si>
  <si>
    <t>FGDITH</t>
  </si>
  <si>
    <t>FGI350</t>
  </si>
  <si>
    <t>FGINAE</t>
  </si>
  <si>
    <t>FGINHE</t>
  </si>
  <si>
    <t>FGINLI</t>
  </si>
  <si>
    <t>FGINPA</t>
  </si>
  <si>
    <t>FGITLI</t>
  </si>
  <si>
    <t>FGL516</t>
  </si>
  <si>
    <t>This file is not required for migration</t>
  </si>
  <si>
    <t>FGL539</t>
  </si>
  <si>
    <t>FGLDIH</t>
  </si>
  <si>
    <t>FGLDIS</t>
  </si>
  <si>
    <t>FGLEDB</t>
  </si>
  <si>
    <t>FGLEDG</t>
  </si>
  <si>
    <t>FGLEDX</t>
  </si>
  <si>
    <t>FGLINH</t>
  </si>
  <si>
    <t>FGLINL</t>
  </si>
  <si>
    <t>FGRECL</t>
  </si>
  <si>
    <t>FITIHE</t>
  </si>
  <si>
    <t>FITILI</t>
  </si>
  <si>
    <t>FMINHD</t>
  </si>
  <si>
    <t>FMINTL</t>
  </si>
  <si>
    <t>FNUMTX</t>
  </si>
  <si>
    <t>FPAPRW</t>
  </si>
  <si>
    <t>FPCASH</t>
  </si>
  <si>
    <t>FPINT1</t>
  </si>
  <si>
    <t>FPINT2</t>
  </si>
  <si>
    <t>FPINT3</t>
  </si>
  <si>
    <t>FPLBAL</t>
  </si>
  <si>
    <t>FPLEDG</t>
  </si>
  <si>
    <t>FPLEDX</t>
  </si>
  <si>
    <t>FPLLOG</t>
  </si>
  <si>
    <t>FPLOPT</t>
  </si>
  <si>
    <t>FPLPCT</t>
  </si>
  <si>
    <t>FPRTDF</t>
  </si>
  <si>
    <t>FPSEUD</t>
  </si>
  <si>
    <t>FPSUGD</t>
  </si>
  <si>
    <t>FPSUGH</t>
  </si>
  <si>
    <t>FPSUGS</t>
  </si>
  <si>
    <t>FRECNO</t>
  </si>
  <si>
    <t>FRECOD</t>
  </si>
  <si>
    <t>FRECOH</t>
  </si>
  <si>
    <t>FREMD1</t>
  </si>
  <si>
    <t>FREMD2</t>
  </si>
  <si>
    <t>FREMD3</t>
  </si>
  <si>
    <t>FRJPER</t>
  </si>
  <si>
    <t>FRJVOD</t>
  </si>
  <si>
    <t>FRJVOH</t>
  </si>
  <si>
    <t>FSCASH</t>
  </si>
  <si>
    <t>FSLBAL</t>
  </si>
  <si>
    <t>FSLEDG</t>
  </si>
  <si>
    <t>FSLEDX</t>
  </si>
  <si>
    <t>FSLOPT</t>
  </si>
  <si>
    <t>FSLPCT</t>
  </si>
  <si>
    <t>FSLREF</t>
  </si>
  <si>
    <t>FSSMT1</t>
  </si>
  <si>
    <t>FSSMT2</t>
  </si>
  <si>
    <t>FSSMT3</t>
  </si>
  <si>
    <t>FSTATX</t>
  </si>
  <si>
    <t>FSTDEF</t>
  </si>
  <si>
    <t>FSTLEV</t>
  </si>
  <si>
    <t>FSTLIN</t>
  </si>
  <si>
    <t>FSTMT1</t>
  </si>
  <si>
    <t>FSTMT2</t>
  </si>
  <si>
    <t>FSTMT3</t>
  </si>
  <si>
    <t>FSTVOD</t>
  </si>
  <si>
    <t>FSTVOH</t>
  </si>
  <si>
    <t>FSYTXH</t>
  </si>
  <si>
    <t>FSYTXL</t>
  </si>
  <si>
    <t>FTVTNO</t>
  </si>
  <si>
    <t>FTX104</t>
  </si>
  <si>
    <t>FTX108</t>
  </si>
  <si>
    <t>FTX109</t>
  </si>
  <si>
    <t>FTX111</t>
  </si>
  <si>
    <t>FURGLS</t>
  </si>
  <si>
    <t>FURPLS</t>
  </si>
  <si>
    <t>FURSLS</t>
  </si>
  <si>
    <t>FVATCS</t>
  </si>
  <si>
    <t>FVATLS</t>
  </si>
  <si>
    <t>FVATRC</t>
  </si>
  <si>
    <t>FVATRH</t>
  </si>
  <si>
    <t>FVATRL</t>
  </si>
  <si>
    <t>FVATRT</t>
  </si>
  <si>
    <t>HSBCEFTFilesCounter</t>
  </si>
  <si>
    <t>MAMOHE</t>
  </si>
  <si>
    <t>MBMTRN</t>
  </si>
  <si>
    <t>MDCPAR</t>
  </si>
  <si>
    <t>MDCTYP</t>
  </si>
  <si>
    <t>MFTRND</t>
  </si>
  <si>
    <t>MFTRNS</t>
  </si>
  <si>
    <t>MGTYPE</t>
  </si>
  <si>
    <t>MHDIPO</t>
  </si>
  <si>
    <t>MHDISH</t>
  </si>
  <si>
    <t>MHDISL</t>
  </si>
  <si>
    <t>MHPICH</t>
  </si>
  <si>
    <t>MIDAAT</t>
  </si>
  <si>
    <t>MIDDSC</t>
  </si>
  <si>
    <t>MIDOTY</t>
  </si>
  <si>
    <t>MITALO</t>
  </si>
  <si>
    <t>MITARE</t>
  </si>
  <si>
    <t>MITBAL</t>
  </si>
  <si>
    <t>MITEQU</t>
  </si>
  <si>
    <t>MITFAC</t>
  </si>
  <si>
    <t>MITFCH</t>
  </si>
  <si>
    <t>MITMAS</t>
  </si>
  <si>
    <t>MITPAC</t>
  </si>
  <si>
    <t>MITPCC</t>
  </si>
  <si>
    <t>MITPCE</t>
  </si>
  <si>
    <t>MITPTY</t>
  </si>
  <si>
    <t>MITSNM</t>
  </si>
  <si>
    <t>MITTRA</t>
  </si>
  <si>
    <t>MITTTY</t>
  </si>
  <si>
    <t>MITVEM</t>
  </si>
  <si>
    <t>MITVEN</t>
  </si>
  <si>
    <t>MITVEQ</t>
  </si>
  <si>
    <t>MITWHL</t>
  </si>
  <si>
    <t>MMIPPT</t>
  </si>
  <si>
    <t>MMORDT</t>
  </si>
  <si>
    <t>MMW423</t>
  </si>
  <si>
    <t>MPACIT</t>
  </si>
  <si>
    <t>MPAUTD</t>
  </si>
  <si>
    <t>MPCCDF</t>
  </si>
  <si>
    <t>MPCCID</t>
  </si>
  <si>
    <t>MPCELE</t>
  </si>
  <si>
    <t>MPCGRP</t>
  </si>
  <si>
    <t>MPCOPE</t>
  </si>
  <si>
    <t>MPDSCF</t>
  </si>
  <si>
    <t>MPEPRR</t>
  </si>
  <si>
    <t>MPGRMT</t>
  </si>
  <si>
    <t>MPHEAD</t>
  </si>
  <si>
    <t>MPLIND</t>
  </si>
  <si>
    <t>MPLINE</t>
  </si>
  <si>
    <t>MPOPLP</t>
  </si>
  <si>
    <t>MPORDT</t>
  </si>
  <si>
    <t>MPP251</t>
  </si>
  <si>
    <t>MPPBOR</t>
  </si>
  <si>
    <t>MPPOAD</t>
  </si>
  <si>
    <t>MPRETT</t>
  </si>
  <si>
    <t>MPTRNS</t>
  </si>
  <si>
    <t>MPURST</t>
  </si>
  <si>
    <t>MRPSIM</t>
  </si>
  <si>
    <t>MSHDAT</t>
  </si>
  <si>
    <t>MSYTXH</t>
  </si>
  <si>
    <t>MSYTXL</t>
  </si>
  <si>
    <t>MVXCONGB</t>
  </si>
  <si>
    <t>MVXCONNL</t>
  </si>
  <si>
    <t>MVXCONNO</t>
  </si>
  <si>
    <t>MVXCONPL</t>
  </si>
  <si>
    <t>MVXCONPT</t>
  </si>
  <si>
    <t>MVXMSGGB</t>
  </si>
  <si>
    <t>MVXMSGNL</t>
  </si>
  <si>
    <t>MVXMSGNO</t>
  </si>
  <si>
    <t>MVXMSGPL</t>
  </si>
  <si>
    <t>MVXMSGPT</t>
  </si>
  <si>
    <t>MXBETR</t>
  </si>
  <si>
    <t>MXHEAD</t>
  </si>
  <si>
    <t>MXLINE</t>
  </si>
  <si>
    <t>OCLCVT</t>
  </si>
  <si>
    <t>OCUSAD</t>
  </si>
  <si>
    <t>OCUSCH</t>
  </si>
  <si>
    <t>OCUSMA</t>
  </si>
  <si>
    <t>ODCHRG</t>
  </si>
  <si>
    <t>ODDOCU</t>
  </si>
  <si>
    <t>ODEDOC</t>
  </si>
  <si>
    <t>ODHEAD</t>
  </si>
  <si>
    <t>ODLINE</t>
  </si>
  <si>
    <t>OICORR</t>
  </si>
  <si>
    <t>OINACC</t>
  </si>
  <si>
    <t>OINVIP</t>
  </si>
  <si>
    <t>OINVOH</t>
  </si>
  <si>
    <t>OINVOL</t>
  </si>
  <si>
    <t>OLICHA</t>
  </si>
  <si>
    <t>OLICHR</t>
  </si>
  <si>
    <t>OOADRE</t>
  </si>
  <si>
    <t>OOCHRG</t>
  </si>
  <si>
    <t>OODFLT</t>
  </si>
  <si>
    <t>OODOCU</t>
  </si>
  <si>
    <t>OOHEAC</t>
  </si>
  <si>
    <t>OOHEAD</t>
  </si>
  <si>
    <t>OOI150</t>
  </si>
  <si>
    <t>OOI380</t>
  </si>
  <si>
    <t>OOLICH</t>
  </si>
  <si>
    <t>OOLINE</t>
  </si>
  <si>
    <t>OORESC</t>
  </si>
  <si>
    <t>OOTYDO</t>
  </si>
  <si>
    <t>OOTYPE</t>
  </si>
  <si>
    <t>OSBSTD</t>
  </si>
  <si>
    <t>OSYTXH</t>
  </si>
  <si>
    <t>OSYTXL</t>
  </si>
  <si>
    <t>OXCNTR</t>
  </si>
  <si>
    <t>OXHEAD</t>
  </si>
  <si>
    <t>OXLINE</t>
  </si>
  <si>
    <t>STAXLN</t>
  </si>
  <si>
    <t xml:space="preserve">DATABASE - FIN        (FINal = after fix-pgm-run)                        </t>
  </si>
  <si>
    <t>matching table counts:</t>
  </si>
  <si>
    <t>protected:</t>
  </si>
  <si>
    <t>ok to be different:</t>
  </si>
  <si>
    <t>questionable:</t>
  </si>
  <si>
    <t>BRASSKINDDOVE_TRN_M3C_Fou_2</t>
  </si>
  <si>
    <t>MT actual</t>
  </si>
  <si>
    <t>MT count vs actual</t>
  </si>
  <si>
    <t>Precent Diff vs Actual</t>
  </si>
  <si>
    <t>Table Description</t>
  </si>
  <si>
    <t>Maintained By</t>
  </si>
  <si>
    <t>ACUEXP</t>
  </si>
  <si>
    <t>Due to post-upgrade fixes</t>
  </si>
  <si>
    <t>MF: Miscellaneous Cost        0/(AK)</t>
  </si>
  <si>
    <t>MF: Order type                              0/(OT)</t>
  </si>
  <si>
    <t>MF: Service</t>
  </si>
  <si>
    <t>ECS300</t>
  </si>
  <si>
    <t>MF: Accounting string                       1/(SC)</t>
  </si>
  <si>
    <t>MF: Accounting events                       0/(CN)</t>
  </si>
  <si>
    <t>MF: Accounting exceptions</t>
  </si>
  <si>
    <t>CRS396</t>
  </si>
  <si>
    <t>MF: Replacement values                      0/(CY)</t>
  </si>
  <si>
    <t>MF: Accounting rule</t>
  </si>
  <si>
    <t>CRS395</t>
  </si>
  <si>
    <t>MF: Accounting types                        0/(CO)</t>
  </si>
  <si>
    <t>MF: Bank accounts</t>
  </si>
  <si>
    <t>CRS692</t>
  </si>
  <si>
    <t>MF: Bank branches</t>
  </si>
  <si>
    <t>CRS691</t>
  </si>
  <si>
    <t>MF: Banks</t>
  </si>
  <si>
    <t>CRS690</t>
  </si>
  <si>
    <t>MF: Bank account values                     0/(BV)</t>
  </si>
  <si>
    <t>TF: M3 Business message - status</t>
  </si>
  <si>
    <t>Protected file</t>
  </si>
  <si>
    <t>TF: Output Jobs</t>
  </si>
  <si>
    <t>MNS206</t>
  </si>
  <si>
    <t>TF: Control Stream File - Partner</t>
  </si>
  <si>
    <t>MNS207</t>
  </si>
  <si>
    <t>TF: Customer credit limit</t>
  </si>
  <si>
    <t>MF: Customer local exceptions</t>
  </si>
  <si>
    <t>MFS610</t>
  </si>
  <si>
    <t>MF: Currency rate table                     0/(CU)</t>
  </si>
  <si>
    <t>MF: Employment file</t>
  </si>
  <si>
    <t>CRS530</t>
  </si>
  <si>
    <t>MF: E-mail address                          0/(CB)</t>
  </si>
  <si>
    <t>MF: Facility master</t>
  </si>
  <si>
    <t>CRS008</t>
  </si>
  <si>
    <t>SF: Access path information                 0/(AP)</t>
  </si>
  <si>
    <t>SF: File field information                  0/(WH)</t>
  </si>
  <si>
    <t>SF: File header information                 0/(FI)</t>
  </si>
  <si>
    <t>MF: Flexschedule                            0/(DC)</t>
  </si>
  <si>
    <t>MF: Function Area ID                        0/(UA)</t>
  </si>
  <si>
    <t>MF: Standard Numbering Level                0/(UB)</t>
  </si>
  <si>
    <t>TF: Generic extension table 1</t>
  </si>
  <si>
    <t>TF: Generic extension table 5</t>
  </si>
  <si>
    <t>TF: Generic extension table 6</t>
  </si>
  <si>
    <t>MF: General text, head                      0/(TH)</t>
  </si>
  <si>
    <t>MF: General text, line                      0/(TL)</t>
  </si>
  <si>
    <t>MF: Internal address</t>
  </si>
  <si>
    <t>CRS235</t>
  </si>
  <si>
    <t>MF: Vendor address</t>
  </si>
  <si>
    <t>CRS622</t>
  </si>
  <si>
    <t>MF: Supplier</t>
  </si>
  <si>
    <t>CRS620</t>
  </si>
  <si>
    <t>MF: Customer</t>
  </si>
  <si>
    <t>CRS623</t>
  </si>
  <si>
    <t>MF: Cust no at supplier</t>
  </si>
  <si>
    <t>CRS680</t>
  </si>
  <si>
    <t>MF: Supplier - purchase &amp; finance</t>
  </si>
  <si>
    <t>CRS624</t>
  </si>
  <si>
    <t>TF: Internal account entry</t>
  </si>
  <si>
    <t>CAS300</t>
  </si>
  <si>
    <t>MF: Internal Transfer Price                 0/(GB)</t>
  </si>
  <si>
    <t>MFS001</t>
  </si>
  <si>
    <t>TF: Invoicenumber references       1/(UH)</t>
  </si>
  <si>
    <t>MF: Time zones</t>
  </si>
  <si>
    <t>DRS045</t>
  </si>
  <si>
    <t>WF: Job command                               (CM)</t>
  </si>
  <si>
    <t>WF: Job Control                               (J4)</t>
  </si>
  <si>
    <t>MF: Job queues</t>
  </si>
  <si>
    <t>MF: Job definition (Movex Java)               (JB)</t>
  </si>
  <si>
    <t>MF: Latest User Interface Server</t>
  </si>
  <si>
    <t>CRS438</t>
  </si>
  <si>
    <t>TF: Application messages</t>
  </si>
  <si>
    <t>CRS420</t>
  </si>
  <si>
    <t>TF: App. messages - distribution list</t>
  </si>
  <si>
    <t>MF: App. messages - E-Mail parameters</t>
  </si>
  <si>
    <t>TF: Detailed Mail Message</t>
  </si>
  <si>
    <t>CMS421</t>
  </si>
  <si>
    <t>TF: App. messages - program parameters</t>
  </si>
  <si>
    <t>WF: Customer local exceptions file          1/(M1)</t>
  </si>
  <si>
    <t>MF: Allowed division file                   0/(M1)</t>
  </si>
  <si>
    <t>MF: API repository - MI-fields information    (FL)</t>
  </si>
  <si>
    <t>MF: API repository - MI-program information   (MI)</t>
  </si>
  <si>
    <t>MRS001</t>
  </si>
  <si>
    <t>MF: API repository - MI-transaction informatio(TR)</t>
  </si>
  <si>
    <t>MF: API repository - Texts header             (TH)</t>
  </si>
  <si>
    <t>MF: API repository - Texts lines              (TL)</t>
  </si>
  <si>
    <t>MF: Browse Definition Columns</t>
  </si>
  <si>
    <t>MF: Browse Definition</t>
  </si>
  <si>
    <t>MF: Browse Definition Keys</t>
  </si>
  <si>
    <t>MF: Language/Division                         (JC)</t>
  </si>
  <si>
    <t>MF: Company master</t>
  </si>
  <si>
    <t>MNS095</t>
  </si>
  <si>
    <t>MF: Configuration Component</t>
  </si>
  <si>
    <t>MNS104</t>
  </si>
  <si>
    <t>MF: Division, extension                     0/(C1)</t>
  </si>
  <si>
    <t>MF: Company/Division</t>
  </si>
  <si>
    <t>MNS100</t>
  </si>
  <si>
    <t>MF: Functions</t>
  </si>
  <si>
    <t>MNS110</t>
  </si>
  <si>
    <t>MF: Function definition, Language             (JD)</t>
  </si>
  <si>
    <t>CMNFNP</t>
  </si>
  <si>
    <t>MF: Function definition - program           0/(JS)</t>
  </si>
  <si>
    <t>MF: System language                         0/(JA)</t>
  </si>
  <si>
    <t>MF: Function definition, Menu                 (JM)</t>
  </si>
  <si>
    <t>MF: General parameter for MOVEX menu system   (JP)</t>
  </si>
  <si>
    <t>MF: Permission setup</t>
  </si>
  <si>
    <t>MF: Subsystem job                             (SJ)</t>
  </si>
  <si>
    <t>MF: Subsystem                                 (SB)</t>
  </si>
  <si>
    <t>MF: Security connections                      (JT)</t>
  </si>
  <si>
    <t>MF: System Configuration</t>
  </si>
  <si>
    <t>MNS102</t>
  </si>
  <si>
    <t>MF: User defined question and list type       (J0)</t>
  </si>
  <si>
    <t>MF: User definition file</t>
  </si>
  <si>
    <t>MNS150</t>
  </si>
  <si>
    <t>MF: Menu version                              (JV)</t>
  </si>
  <si>
    <t>MF: Output service media</t>
  </si>
  <si>
    <t>MF: Output service type</t>
  </si>
  <si>
    <t>MF: Output service</t>
  </si>
  <si>
    <t>MF: Output server</t>
  </si>
  <si>
    <t>MF: Output server definition                  (OS)</t>
  </si>
  <si>
    <t>MF: Owner ID                                0/(UW)</t>
  </si>
  <si>
    <t>MF: Owner manage identity                   0/(YW)</t>
  </si>
  <si>
    <t>MF: Printer file definition                   (PR)</t>
  </si>
  <si>
    <t>MF: Payment terms detail                    0/(C2)</t>
  </si>
  <si>
    <t>TF: Various accounting transactions</t>
  </si>
  <si>
    <t>CAS303</t>
  </si>
  <si>
    <t>MF: SCE Detailed type                       0/(DE)</t>
  </si>
  <si>
    <t>MF: SCE Event type                          0/(ET)</t>
  </si>
  <si>
    <t>MF: SCE Defined Events Documents            0/(CW)</t>
  </si>
  <si>
    <t>MF: SCE Defined Events                      0/(CV)</t>
  </si>
  <si>
    <t>MF: FAM Function connected to order type    0/(CE)</t>
  </si>
  <si>
    <t>MF: Remote server file</t>
  </si>
  <si>
    <t>MF: Defined inquiry types                   0/(TV)</t>
  </si>
  <si>
    <t>MF: Program start values - Metadata</t>
  </si>
  <si>
    <t>CRS014</t>
  </si>
  <si>
    <t>WF: Software Lock</t>
  </si>
  <si>
    <t>MF: General Object Control Table            0/(C3)</t>
  </si>
  <si>
    <t>MF: Object Control Parameters</t>
  </si>
  <si>
    <t>CMS016</t>
  </si>
  <si>
    <t>MF: Rounding tables, head                   0/(DG)</t>
  </si>
  <si>
    <t>MF: Field/Field group                       0/(J7)</t>
  </si>
  <si>
    <t>MF: Field group                             0/(J6)</t>
  </si>
  <si>
    <t>MF: Field/program detail information        0/(J3)</t>
  </si>
  <si>
    <t>MF: Field/program detail information - extra0/(J3)</t>
  </si>
  <si>
    <t>MF: Employee Transaction Authority TM/MO/PM 0/(SE)</t>
  </si>
  <si>
    <t>MF: Field group security                    0/(J8)</t>
  </si>
  <si>
    <t>MF: Field security start values             0/(J9)</t>
  </si>
  <si>
    <t>MF: Output definition                         (SF)</t>
  </si>
  <si>
    <t>TF: Header data to StreamServer</t>
  </si>
  <si>
    <t>WF: Scheduling Job Control                  1/(J5)</t>
  </si>
  <si>
    <t>MF: Job schedule program field</t>
  </si>
  <si>
    <t>MF: Job schedule functions</t>
  </si>
  <si>
    <t>TF: Job schedule header                     1/(SH)</t>
  </si>
  <si>
    <t>TF: Job schedule lines                      1/(SL)</t>
  </si>
  <si>
    <t>MF: Job schedule programs</t>
  </si>
  <si>
    <t>CSLGHN</t>
  </si>
  <si>
    <t>MF: Language Handling                       0/(JL)</t>
  </si>
  <si>
    <t>MF: System maintenance master</t>
  </si>
  <si>
    <t>SHS100</t>
  </si>
  <si>
    <t>MF: System maintenance selections       0/(SS)</t>
  </si>
  <si>
    <t>MF: Standard numbering class                0/(UC)</t>
  </si>
  <si>
    <t>MF: Supplier local exceptions</t>
  </si>
  <si>
    <t>MFS620</t>
  </si>
  <si>
    <t>MF: System calendar</t>
  </si>
  <si>
    <t>CRS900</t>
  </si>
  <si>
    <t>MF: Statistic number                        0/(CK)</t>
  </si>
  <si>
    <t>TF: Document text, History file</t>
  </si>
  <si>
    <t>MF: Standard document/Media                 0/(DM)</t>
  </si>
  <si>
    <t>MF: Partner reference/Document objects</t>
  </si>
  <si>
    <t>MF: Standard document</t>
  </si>
  <si>
    <t>CRS928</t>
  </si>
  <si>
    <t>MF: Document/Partner/Media                  0/(CG)</t>
  </si>
  <si>
    <t>CSYFTH</t>
  </si>
  <si>
    <t>MF: Feature Headers</t>
  </si>
  <si>
    <t>CMS970</t>
  </si>
  <si>
    <t>CSYFTL</t>
  </si>
  <si>
    <t>MF: Feature Lines</t>
  </si>
  <si>
    <t>CMS975</t>
  </si>
  <si>
    <t>CSYFTS</t>
  </si>
  <si>
    <t>Feature Statuses</t>
  </si>
  <si>
    <t>CMS978</t>
  </si>
  <si>
    <t>MF: General text                            0/(CG)</t>
  </si>
  <si>
    <t>CSYIBA</t>
  </si>
  <si>
    <t>MF: Information browser category MI</t>
  </si>
  <si>
    <t>CMS015</t>
  </si>
  <si>
    <t>MF: Information browser category</t>
  </si>
  <si>
    <t>CMS010</t>
  </si>
  <si>
    <t>CSYIBO</t>
  </si>
  <si>
    <t>MF: Information brw cat - Related options</t>
  </si>
  <si>
    <t>CMS012</t>
  </si>
  <si>
    <t>MF: Information browser cat - Related tables</t>
  </si>
  <si>
    <t>CMS011</t>
  </si>
  <si>
    <t>CSYIBV</t>
  </si>
  <si>
    <t>MF: Information brw cat - Virtual fields</t>
  </si>
  <si>
    <t>MF:Infor Standard Entity Mapping</t>
  </si>
  <si>
    <t>MF: Field group - Fields</t>
  </si>
  <si>
    <t>CRS109</t>
  </si>
  <si>
    <t>CSYMIG</t>
  </si>
  <si>
    <t>MF: Migration programs</t>
  </si>
  <si>
    <t>CMS950</t>
  </si>
  <si>
    <t>MF: System Application Monitor</t>
  </si>
  <si>
    <t>MF: MUF Invoice number series               2/(C2)</t>
  </si>
  <si>
    <t>MF: Number series - journal number</t>
  </si>
  <si>
    <t>MF: Number series                           2/(CN)</t>
  </si>
  <si>
    <t>MF: Number series - voucher number</t>
  </si>
  <si>
    <t>MF: Number series</t>
  </si>
  <si>
    <t>MF: Object types                            0/(IO)</t>
  </si>
  <si>
    <t>MF: System parameters                       0/(CP)</t>
  </si>
  <si>
    <t>MF: System periods                          0/(CP)</t>
  </si>
  <si>
    <t>MF: Document / partner file</t>
  </si>
  <si>
    <t>CRS945</t>
  </si>
  <si>
    <t>MF: System period status                    0/(CP)</t>
  </si>
  <si>
    <t>CSYREC</t>
  </si>
  <si>
    <t>MF: Ad hoc reports by role</t>
  </si>
  <si>
    <t>AHS120</t>
  </si>
  <si>
    <t>CSYRED</t>
  </si>
  <si>
    <t>TF: Ad hoc report on-line display view</t>
  </si>
  <si>
    <t>AHS300</t>
  </si>
  <si>
    <t>CSYREJ</t>
  </si>
  <si>
    <t>TF: Ad hoc report job</t>
  </si>
  <si>
    <t>AHS160</t>
  </si>
  <si>
    <t>MF: Ad-hoc report</t>
  </si>
  <si>
    <t>AHS100</t>
  </si>
  <si>
    <t>CSYRES</t>
  </si>
  <si>
    <t>TF: Ad hoc report on-line display</t>
  </si>
  <si>
    <t>CSYREU</t>
  </si>
  <si>
    <t>MF: Ad hoc reports by user</t>
  </si>
  <si>
    <t>CSYREV</t>
  </si>
  <si>
    <t>MF: Ad-hoc report version</t>
  </si>
  <si>
    <t>AHS110</t>
  </si>
  <si>
    <t>CSYRLS</t>
  </si>
  <si>
    <t>MF: Report Layout selections</t>
  </si>
  <si>
    <t>CSYRLY</t>
  </si>
  <si>
    <t>MF: Report layout</t>
  </si>
  <si>
    <t>CSYRPA</t>
  </si>
  <si>
    <t>MF: Configurable XML Structure - Attributes</t>
  </si>
  <si>
    <t>CSYRPB</t>
  </si>
  <si>
    <t>MF: Configurable XML Reports - Report layout blocks</t>
  </si>
  <si>
    <t>CMS007</t>
  </si>
  <si>
    <t>CSYRPC</t>
  </si>
  <si>
    <t>MF: Configurable XML Structure - Archive Attributes</t>
  </si>
  <si>
    <t>CSYRPH</t>
  </si>
  <si>
    <t>MF: Configurable XML Rep - Rep layout head</t>
  </si>
  <si>
    <t>CMS006</t>
  </si>
  <si>
    <t>CSYRPL</t>
  </si>
  <si>
    <t>MF: Configurable XML Reports - Report layout</t>
  </si>
  <si>
    <t>CSYRPT</t>
  </si>
  <si>
    <t>MF: Configurable XML Rep - Rep layout tables</t>
  </si>
  <si>
    <t>MF: System season curves, head              0/(CQ)</t>
  </si>
  <si>
    <t>MF: System season curves, detail            0/(CQ)</t>
  </si>
  <si>
    <t>MF: Selection table details                 0/(CR)</t>
  </si>
  <si>
    <t>MF: Selection table                         0/(CQ)</t>
  </si>
  <si>
    <t>MF: Sorting Options</t>
  </si>
  <si>
    <t>CRS021</t>
  </si>
  <si>
    <t>MF: Panel version meta data - field group</t>
  </si>
  <si>
    <t>MF: Panel version meta data - inquiry type</t>
  </si>
  <si>
    <t>MF: Panel Versions</t>
  </si>
  <si>
    <t>CRS020</t>
  </si>
  <si>
    <t>MF: Startvalues and parameters / files      0/(CF)</t>
  </si>
  <si>
    <t>MF: System tables file</t>
  </si>
  <si>
    <t>PPS590</t>
  </si>
  <si>
    <t>TF: Startvalues and parameters / program</t>
  </si>
  <si>
    <t>MF: States per country</t>
  </si>
  <si>
    <t>CSYSUB</t>
  </si>
  <si>
    <t>MF: Configurable XML Reports - Subtotal fields</t>
  </si>
  <si>
    <t>CMS240</t>
  </si>
  <si>
    <t>MF: Text, clipp board                       0/(TC)</t>
  </si>
  <si>
    <t>MF: Text, head                              0/(TH)</t>
  </si>
  <si>
    <t>MF: Text, line                              0/(TL)</t>
  </si>
  <si>
    <t>MF: Unit language                           0/(CU)</t>
  </si>
  <si>
    <t>MF: Users per company</t>
  </si>
  <si>
    <t>CSYVIC</t>
  </si>
  <si>
    <t>MF: Inquiry types - Key search</t>
  </si>
  <si>
    <t>CMS030</t>
  </si>
  <si>
    <t>MF: Sorting order meta data</t>
  </si>
  <si>
    <t>CSYVIP</t>
  </si>
  <si>
    <t>MF: Sorting order - Personal</t>
  </si>
  <si>
    <t>CSYVIR</t>
  </si>
  <si>
    <t>MF: Inquiry Types - Related search</t>
  </si>
  <si>
    <t>MF: Sorting Order Standard. Open</t>
  </si>
  <si>
    <t>CMS021</t>
  </si>
  <si>
    <t>MF: Sorting order</t>
  </si>
  <si>
    <t>CRS022</t>
  </si>
  <si>
    <t>MF: VAT codes percentages                   0/(CV)</t>
  </si>
  <si>
    <t>MF: Additional accounting table detail      0/(FB)</t>
  </si>
  <si>
    <t>MF: Accounts completion table header        0/(FH)</t>
  </si>
  <si>
    <t>MF: Periods accounting header</t>
  </si>
  <si>
    <t>MF: Period accounting detail</t>
  </si>
  <si>
    <t>MF: FAM access groups                       0/(FR)</t>
  </si>
  <si>
    <t>MF: Periods accounting curve details</t>
  </si>
  <si>
    <t>MF: Period accounting curve header</t>
  </si>
  <si>
    <t>TF: General payment transaction             1/(AP)</t>
  </si>
  <si>
    <t>WF: General payment transaction Voucher info1/(AQ)</t>
  </si>
  <si>
    <t>WF: Saved values for APS100                 1/(A1)</t>
  </si>
  <si>
    <t>WF: Recs for print of def.allocated invo    1/(PC)</t>
  </si>
  <si>
    <t>TF: Payment proposal                        1/(R1)</t>
  </si>
  <si>
    <t>TF: Purchase payments - suggestions         1/(EC)</t>
  </si>
  <si>
    <t>TF: EDI payments                            1/(A1)</t>
  </si>
  <si>
    <t>TF: Manual giro                             1/(A1)</t>
  </si>
  <si>
    <t>MF: Bank account connections                0/(BA)</t>
  </si>
  <si>
    <t>TF: Batch invoice - Additional information  1/(E3)</t>
  </si>
  <si>
    <t>TF: Supplier invoice - automatic process</t>
  </si>
  <si>
    <t>APS050</t>
  </si>
  <si>
    <t>TF: Batch invoice - Lines                   1/(E2)</t>
  </si>
  <si>
    <t>MF: Check -  open checkbook</t>
  </si>
  <si>
    <t>APS300</t>
  </si>
  <si>
    <t>TF: Supplier invoice batch - Additional info</t>
  </si>
  <si>
    <t>TF: Supplier invoice batch - Header</t>
  </si>
  <si>
    <t>APS450</t>
  </si>
  <si>
    <t>TF: Supplier invoice batch - Lines</t>
  </si>
  <si>
    <t>APS451</t>
  </si>
  <si>
    <t>MF: Approval code                           0/(EN)</t>
  </si>
  <si>
    <t>TF: Remittance details - invoices           1/(R2)</t>
  </si>
  <si>
    <t>TF: Remittance header                       1/(R1)</t>
  </si>
  <si>
    <t>TF: Paid amount per service code            1/(SR)</t>
  </si>
  <si>
    <t>WF: Credit memo                             1/(F2)</t>
  </si>
  <si>
    <t>TF: Balance file analysis errors</t>
  </si>
  <si>
    <t>TF: Balance file analysis header</t>
  </si>
  <si>
    <t>TF: Balance file analysis compare</t>
  </si>
  <si>
    <t>MF: Keys for balance values                 1/(RK)</t>
  </si>
  <si>
    <t>GLS215</t>
  </si>
  <si>
    <t>MF: Bank account indicator</t>
  </si>
  <si>
    <t>CRS072</t>
  </si>
  <si>
    <t>MF: GL Balance values</t>
  </si>
  <si>
    <t>MF: Budget calculation template             0/(BM)</t>
  </si>
  <si>
    <t>MF: Budget calc template - element          0/(BN)</t>
  </si>
  <si>
    <t>MF: Budget calc template - element lines    0/(BO)</t>
  </si>
  <si>
    <t>MF: Budget per budget - responsible - detail0/(BL)</t>
  </si>
  <si>
    <t>MF: Budget per budget - head                0/(BC)</t>
  </si>
  <si>
    <t>MF: Distribution elements                   0/(BV)</t>
  </si>
  <si>
    <t>MF: Distribution elements             0/(BV)</t>
  </si>
  <si>
    <t>MF: Balance keys                            0/(RI)</t>
  </si>
  <si>
    <t>TF: Bank format                             1/(FK)</t>
  </si>
  <si>
    <t>MF: Budget resource</t>
  </si>
  <si>
    <t>MF: Budget responsible                      0/(BR)</t>
  </si>
  <si>
    <t>MF: Budget template - detail                0/(BB)</t>
  </si>
  <si>
    <t>MF: Budget template - head                  0/(BA)</t>
  </si>
  <si>
    <t>MF: Create next years budget - selections   0/(BP)</t>
  </si>
  <si>
    <t>MF: Currency simulations - selections       0/(BP)</t>
  </si>
  <si>
    <t>MF: Budget</t>
  </si>
  <si>
    <t>BUS100</t>
  </si>
  <si>
    <t>MF: Budget detail                           1/(BC)</t>
  </si>
  <si>
    <t>MF: Budget distribution - selections        0/(BP)</t>
  </si>
  <si>
    <t>MF: Budget distribution detail              0/(BQ)</t>
  </si>
  <si>
    <t>MF: Budget entry</t>
  </si>
  <si>
    <t>BUS101</t>
  </si>
  <si>
    <t>WF: Transfer internal acc. to FAM - work fil1/(P5)</t>
  </si>
  <si>
    <t>WF: Printer output info (CAS951)  - work fil1/(P7)</t>
  </si>
  <si>
    <t>TF: Average cost history                    1/(A7)</t>
  </si>
  <si>
    <t>MF: Resource driver connection              0/(CB)</t>
  </si>
  <si>
    <t>MF: Accounting identity - langauge          0/(EL)</t>
  </si>
  <si>
    <t>TF: Cash flow model version - Account values1/(C2)</t>
  </si>
  <si>
    <t>TF: Cash flow model version - Blocked Invoic1/(CB)</t>
  </si>
  <si>
    <t>TF: Cash Flow bank total                    1/(CZ)</t>
  </si>
  <si>
    <t>MF: Cash distribution table details         0/(HE)</t>
  </si>
  <si>
    <t>MF: Cash distribution table head            0/(HD)</t>
  </si>
  <si>
    <t>MF: Cash flow conversion table from acco    0/(HB)</t>
  </si>
  <si>
    <t>MF: Cash flow conversion table head         0/(HA)</t>
  </si>
  <si>
    <t>TF: Cash flow model version - line and date 1/(CY)</t>
  </si>
  <si>
    <t>TF: Cash flow model version - details       1/(CG)</t>
  </si>
  <si>
    <t>TF: Cash flow model version - element values1/(C1)</t>
  </si>
  <si>
    <t>MF: Cash flow model, - elements             0/(CE)</t>
  </si>
  <si>
    <t>MF: Cash flow model - open</t>
  </si>
  <si>
    <t>CFS020</t>
  </si>
  <si>
    <t>MF: Cash flow model, - lines, acc intervals 0/(CI)</t>
  </si>
  <si>
    <t>MF: Cash flow model, - lines                0/(CL)</t>
  </si>
  <si>
    <t>TF: Cash flow model version - Overdue invoic1/(CI)</t>
  </si>
  <si>
    <t>TF: Cash flow plan - open</t>
  </si>
  <si>
    <t>CFS200</t>
  </si>
  <si>
    <t>MF: Accounting identities</t>
  </si>
  <si>
    <t>CRS630</t>
  </si>
  <si>
    <t>MF: Chart of accounts crossreference check  0/(EC)</t>
  </si>
  <si>
    <t>WF: Acc. transactions for update of GL,P    1/(AC)</t>
  </si>
  <si>
    <t>WF: Expanded extra information for FCR040 (AC)</t>
  </si>
  <si>
    <t>WF: Acc. transactions for update of FBAV    1/(AD)</t>
  </si>
  <si>
    <t>TF: Credit manager tool box - total</t>
  </si>
  <si>
    <t>RMS431</t>
  </si>
  <si>
    <t>TF: Credit manager tool box - head</t>
  </si>
  <si>
    <t>RMS420</t>
  </si>
  <si>
    <t>TF: Credit manager tool box - invoice detail1/(CI)</t>
  </si>
  <si>
    <t>TF: Payer tickler note - details</t>
  </si>
  <si>
    <t>RMS441</t>
  </si>
  <si>
    <t>TF: Tickler notes</t>
  </si>
  <si>
    <t>RMS440</t>
  </si>
  <si>
    <t>WF: Currency name per language (CX)</t>
  </si>
  <si>
    <t>MF: Customer average credit days            1/(CC)</t>
  </si>
  <si>
    <t>WF: Discount Percent Customer               1/(DI)</t>
  </si>
  <si>
    <t>MF: Bank statement detail                   0/(BD)</t>
  </si>
  <si>
    <t>MF: External reconciliation - header        1/(ER)</t>
  </si>
  <si>
    <t>WF: Movements of fixed assets (update FF    1/(F0)</t>
  </si>
  <si>
    <t>WF: Depreciations                           1/(FO)</t>
  </si>
  <si>
    <t>WF: Acc. transactions for assets in work    1/(F6)</t>
  </si>
  <si>
    <t>WF: Preliminary booked assets               1/(FA)</t>
  </si>
  <si>
    <t>MF: Acc. transactions for assets in work    1/(FQ)</t>
  </si>
  <si>
    <t>MF: FA value per period</t>
  </si>
  <si>
    <t>FAS220</t>
  </si>
  <si>
    <t>MF: Fixed assets insurances                 0/(FF)</t>
  </si>
  <si>
    <t>MF: Depreciation rules for asset f</t>
  </si>
  <si>
    <t>FAS002</t>
  </si>
  <si>
    <t>MF: Fixed assets file</t>
  </si>
  <si>
    <t>FAS001</t>
  </si>
  <si>
    <t>MF: Fixed asset connect value types</t>
  </si>
  <si>
    <t>FAS003</t>
  </si>
  <si>
    <t>MF: Check Fixed assets functions            0/(F9)</t>
  </si>
  <si>
    <t>MF: Depreciation table details              0/(FU)</t>
  </si>
  <si>
    <t>MF: Depreciation table head                 0/(FT)</t>
  </si>
  <si>
    <t>MF: Depreciation types / accelerated dep    0/(FJ)</t>
  </si>
  <si>
    <t>MF: Depreciation types / Scrap of assets    0/(FN)</t>
  </si>
  <si>
    <t>MF: Depreciation types / Sales of assets    0/(FL)</t>
  </si>
  <si>
    <t>MF: Fam Interface Definition Header         0/(DH)</t>
  </si>
  <si>
    <t>MF: FIM Interface History Detail</t>
  </si>
  <si>
    <t>MF: FAM Intreface History File              0/(DA)</t>
  </si>
  <si>
    <t>MF: FAM Interface Input Record Fields       0/(DJ)</t>
  </si>
  <si>
    <t>MF: FAM Interface Input Record Header       0/(DI)</t>
  </si>
  <si>
    <t>MF: FAM Interface Output Record Fields      0/(DP)</t>
  </si>
  <si>
    <t>MF: FAM Interface Output Record Header      0/(DO)</t>
  </si>
  <si>
    <t>TF: Physical count of assets, detail        1/(FQ)</t>
  </si>
  <si>
    <t>TF: Physical count of assets, head          1/(FP)</t>
  </si>
  <si>
    <t>MF: Report generator, Column calculations</t>
  </si>
  <si>
    <t>MF: Report generator, Column definitions</t>
  </si>
  <si>
    <t>MF: Report generator, Column selections</t>
  </si>
  <si>
    <t>MF: Report generator header</t>
  </si>
  <si>
    <t>RGS600</t>
  </si>
  <si>
    <t>MF: Reports per user                        0/(RR)</t>
  </si>
  <si>
    <t>MF: User for report distribution            0/(RU)</t>
  </si>
  <si>
    <t>MF: Report gen, Line calculations           0/(RG)</t>
  </si>
  <si>
    <t>MF: Report gen, Line definitions            0/(RE)</t>
  </si>
  <si>
    <t>MF: Report gen, Line selections             0/(RF)</t>
  </si>
  <si>
    <t>MF: Report gen, Textlines                   0/(RH)</t>
  </si>
  <si>
    <t>TF: Report gen, PC-file headings            1/(RL)</t>
  </si>
  <si>
    <t>TF: Report gen, PC-file lines, details      1/(R1)</t>
  </si>
  <si>
    <t>TF: Report gen, PC-file lines               1/(RJ)</t>
  </si>
  <si>
    <t>MF: Report gen, Cell calculations           0/(RY)</t>
  </si>
  <si>
    <t>MF: Report gen, Cell definitions            0/(RX)</t>
  </si>
  <si>
    <t>MF: Stand.value deprec. method by asset     0/(FR)</t>
  </si>
  <si>
    <t>FAS077</t>
  </si>
  <si>
    <t>MF: Standardvalue for assets by asset ty    0/(FS)</t>
  </si>
  <si>
    <t>MF: Standardvalue for values by asset ty    0/(FP)</t>
  </si>
  <si>
    <t>MF: Accounts allocation base table - detail</t>
  </si>
  <si>
    <t>MF: Accounts allocation base table - header</t>
  </si>
  <si>
    <t>MF: Accounts allocation distribution elements</t>
  </si>
  <si>
    <t>MF: Account allocation distribution selection table - header</t>
  </si>
  <si>
    <t>MF: Accounts allocation distribution template header</t>
  </si>
  <si>
    <t>MF: Account allocation distribution target table - detail</t>
  </si>
  <si>
    <t>MF: Account allocation distribution target table - header</t>
  </si>
  <si>
    <t>WF: Selected PO lines/receipts              1/(FA)</t>
  </si>
  <si>
    <t>TF: Invoice - line accounting entries       1/(F9)</t>
  </si>
  <si>
    <t>TF: Invoice - head                          1/(F4)</t>
  </si>
  <si>
    <t>TF: Invoice - lines                         1/(F5)</t>
  </si>
  <si>
    <t>MF: Settings - Supplier Invoice Match       0/(FA)</t>
  </si>
  <si>
    <t>WF: Temp original FGINLI Invoice - lines</t>
  </si>
  <si>
    <t>WF: Account specifications                  1/(FZ)</t>
  </si>
  <si>
    <t>MF: Accounts allocation - selections</t>
  </si>
  <si>
    <t>MF: Accounts allocation selections -detail</t>
  </si>
  <si>
    <t>TF: General ledger, reconciliation          1/(EG)</t>
  </si>
  <si>
    <t>TF: General ledger</t>
  </si>
  <si>
    <t>GLS211</t>
  </si>
  <si>
    <t>TF: General Ledger</t>
  </si>
  <si>
    <t>GLS251</t>
  </si>
  <si>
    <t>FGLHED</t>
  </si>
  <si>
    <t>TF: GL Voucher Header</t>
  </si>
  <si>
    <t>GLS200</t>
  </si>
  <si>
    <t>FIM interface header</t>
  </si>
  <si>
    <t>FIM interface line</t>
  </si>
  <si>
    <t>TF: Goods Receipt Lines</t>
  </si>
  <si>
    <t>APS370</t>
  </si>
  <si>
    <t>MF: Internal tax invoice header (IH)</t>
  </si>
  <si>
    <t>TF: Internal tax invoice - Detail (ID)</t>
  </si>
  <si>
    <t>TF: Customer invoice - display manual</t>
  </si>
  <si>
    <t>ARS122</t>
  </si>
  <si>
    <t>TF: Manual invoicing, Text lines            1/(EY)</t>
  </si>
  <si>
    <t>MF: Conversion of digits to text            0/(NT)</t>
  </si>
  <si>
    <t>WF: Supplier invoice - review</t>
  </si>
  <si>
    <t>APS105</t>
  </si>
  <si>
    <t>MF: Cash discount terms purchase ledger     1/(PC)</t>
  </si>
  <si>
    <t>TF: Intrest invoice - suggestions           1/(D1)</t>
  </si>
  <si>
    <t>TF: Interest invoice - suggestions (cust    1/(D2)</t>
  </si>
  <si>
    <t>TF: Intrest invoice - suggestions           1/(D3)</t>
  </si>
  <si>
    <t>TF: Balance file - Accounts payable         1/(BP)</t>
  </si>
  <si>
    <t>Accounts Payable</t>
  </si>
  <si>
    <t>APS215</t>
  </si>
  <si>
    <t>TF: Purchase ledger, extra information file 1/(EP)</t>
  </si>
  <si>
    <t>APS251</t>
  </si>
  <si>
    <t>WF: Supplier Invoice - display log</t>
  </si>
  <si>
    <t>APS235</t>
  </si>
  <si>
    <t>MF: Payment user option tabel               0/(FU)</t>
  </si>
  <si>
    <t>MF: Payment cost table                      0/(FQ)</t>
  </si>
  <si>
    <t>WF: PLS110 (Definitive booking)             1/(P1)</t>
  </si>
  <si>
    <t>MF: Pseudocode                              0/(EU)</t>
  </si>
  <si>
    <t>TF: Payment proposal - Chg/Dsp</t>
  </si>
  <si>
    <t>APS137</t>
  </si>
  <si>
    <t>TF: Purchase payments - suggestions         1/(P1)</t>
  </si>
  <si>
    <t>WF: Purchase payments - supplier level      1/(P2)</t>
  </si>
  <si>
    <t>WF: Reconciliation number                   1/(TA)</t>
  </si>
  <si>
    <t>WF: Work file automatic allocation0/(RD)</t>
  </si>
  <si>
    <t>WF: Work file automatic allocation0/(RH)</t>
  </si>
  <si>
    <t>TF: Reminders - suggestions                 1/(D1)</t>
  </si>
  <si>
    <t>TF: Reminders - suggestions (customer)      1/(D2)</t>
  </si>
  <si>
    <t>TF: Reminders - suggestions (invoices)      1/(D3)</t>
  </si>
  <si>
    <t>MF: Recurring journal entries - period      0/(FA)</t>
  </si>
  <si>
    <t>MF: Recurring journal entries - Voucher line0/(FB)</t>
  </si>
  <si>
    <t>MF: Recurring journal entries - Voucher leve0/(FD)</t>
  </si>
  <si>
    <t>MF: Cash discount terms sales ledger        1/(ES)</t>
  </si>
  <si>
    <t>TF: Accounts Receivable</t>
  </si>
  <si>
    <t>ARS225</t>
  </si>
  <si>
    <t>ARS215</t>
  </si>
  <si>
    <t>ARS251</t>
  </si>
  <si>
    <t>MF: Payment user option table               0/(FU)</t>
  </si>
  <si>
    <t>MF: Fixed refrences                         0/(FA)</t>
  </si>
  <si>
    <t>TF: Statem of acc - suggestions             1/(D1)</t>
  </si>
  <si>
    <t>TF: Statem of acc - suggestion (custome     1/(D2)</t>
  </si>
  <si>
    <t>TF: Staem of acc - suggestions (invoice     1/(D3)</t>
  </si>
  <si>
    <t>MF: Standard texts                          0/(GE)</t>
  </si>
  <si>
    <t>MF: Accounting structures</t>
  </si>
  <si>
    <t>MF: Accounting structure levels</t>
  </si>
  <si>
    <t>MF: Accounting structure lines</t>
  </si>
  <si>
    <t>TF: Statem of acc - suggestions (custome    1/(D2)</t>
  </si>
  <si>
    <t>TF: Statem of acc - suggestions (invoice    1/(D3)</t>
  </si>
  <si>
    <t>MF: Standard vouchers, detail               0/(S4)</t>
  </si>
  <si>
    <t>MF: Standard vouchers, head                 0/(S3)</t>
  </si>
  <si>
    <t>MF: Text head                               2/(TH)</t>
  </si>
  <si>
    <t>MF: Text line                               2/(TL)</t>
  </si>
  <si>
    <t>MF: Internal invoice reference number       0/(FT)</t>
  </si>
  <si>
    <t>WF: VAT control report detailed             1/(W4)</t>
  </si>
  <si>
    <t>WF: VAT template report - summarized        1/(W8)</t>
  </si>
  <si>
    <t>WF: VAT template report - detailed          1/(W9)</t>
  </si>
  <si>
    <t>WF: VAT Reconciliation template Report</t>
  </si>
  <si>
    <t>WF: Unreal curr g/l - liquid funds, list    1/(EG)</t>
  </si>
  <si>
    <t>WF: Unrealized currency gain/loss - AP      1/(EP)</t>
  </si>
  <si>
    <t>WF: Unrealized currency gain/loss - AR      1/(ES)</t>
  </si>
  <si>
    <t>MF: VAT report template, Column selections  0/(CL)</t>
  </si>
  <si>
    <t>MF: VAT rep template, Line selection /LS</t>
  </si>
  <si>
    <t>TXS009</t>
  </si>
  <si>
    <t>MF: VAT report template, Columns            0/(RC)</t>
  </si>
  <si>
    <t>MF: VAT report Head                         0/(RH)</t>
  </si>
  <si>
    <t>MF: VAT report template, Lines              0/(RL)</t>
  </si>
  <si>
    <t>MF: VAT report template                     0/(RT)</t>
  </si>
  <si>
    <t>MF: Attribute model header</t>
  </si>
  <si>
    <t>ATS050</t>
  </si>
  <si>
    <t>MF: Movex Business Message data translation 0/(TR)</t>
  </si>
  <si>
    <t>MF: Parameter for interface against DC      0/(DP)</t>
  </si>
  <si>
    <t>MF: Transaction types in DC                 0/(DT)</t>
  </si>
  <si>
    <t>TF: Package Cross referens                  1/(O0)</t>
  </si>
  <si>
    <t>TF: Package details                         1/(OS)</t>
  </si>
  <si>
    <t>MF: GST order type</t>
  </si>
  <si>
    <t>CRS200</t>
  </si>
  <si>
    <t>MF: Dispatch policy</t>
  </si>
  <si>
    <t>MWS010</t>
  </si>
  <si>
    <t>TF: Deliveries</t>
  </si>
  <si>
    <t>MWS410</t>
  </si>
  <si>
    <t>TF: Delivery lines</t>
  </si>
  <si>
    <t>MWS411</t>
  </si>
  <si>
    <t>TF: Picking list header                     1/(PI)</t>
  </si>
  <si>
    <t>MF: Vendor quality assurance audit table    0/(IA)</t>
  </si>
  <si>
    <t>MF: Vendor discount                         0/(ID)</t>
  </si>
  <si>
    <t>MF: Vendor order types                      0/(IT)</t>
  </si>
  <si>
    <t>TF: Allocation</t>
  </si>
  <si>
    <t>MMS063</t>
  </si>
  <si>
    <t>MF: Stocklocation area</t>
  </si>
  <si>
    <t>MMS040</t>
  </si>
  <si>
    <t>MF: Item - warehouse</t>
  </si>
  <si>
    <t>MMS002</t>
  </si>
  <si>
    <t>MF: Warehouse Equipment                     0/(NS)</t>
  </si>
  <si>
    <t>MF: Item - facility</t>
  </si>
  <si>
    <t>MMS003</t>
  </si>
  <si>
    <t>MF: Field Selection Per Item Type           0/(ME)</t>
  </si>
  <si>
    <t>MF: Item Master</t>
  </si>
  <si>
    <t>MMS001</t>
  </si>
  <si>
    <t>MF: Package</t>
  </si>
  <si>
    <t>MMS050</t>
  </si>
  <si>
    <t>MF: Planning calculation control            1/(MC)</t>
  </si>
  <si>
    <t>MF: Stock location</t>
  </si>
  <si>
    <t>MMS010</t>
  </si>
  <si>
    <t>MF: Stocklocation type</t>
  </si>
  <si>
    <t>MMS035</t>
  </si>
  <si>
    <t>MF: Item name free search                   0/(MF)</t>
  </si>
  <si>
    <t>TF: Stock transactions</t>
  </si>
  <si>
    <t>MWS070</t>
  </si>
  <si>
    <t>MF: Item type file                          0/(TY)</t>
  </si>
  <si>
    <t>MF: Item/Vendor Manufacturer                0/(IG)</t>
  </si>
  <si>
    <t>MF: Item/Supplier</t>
  </si>
  <si>
    <t>PPS040</t>
  </si>
  <si>
    <t>MF: Connect item</t>
  </si>
  <si>
    <t>MF: Warehouse</t>
  </si>
  <si>
    <t>MMS005</t>
  </si>
  <si>
    <t>MF: Partner parameters                      0/(I7)</t>
  </si>
  <si>
    <t>MF: Work Order Type</t>
  </si>
  <si>
    <t>MOS120</t>
  </si>
  <si>
    <t>ST: MWS423 Open package                     1/(OR)</t>
  </si>
  <si>
    <t>MF: Packing Customer/Item</t>
  </si>
  <si>
    <t>MMS053</t>
  </si>
  <si>
    <t>MF: Authorization distribution              0/(AT)</t>
  </si>
  <si>
    <t>MF: Calcul definitions</t>
  </si>
  <si>
    <t>PPS286</t>
  </si>
  <si>
    <t>MF: Purchase Costing Model</t>
  </si>
  <si>
    <t>PPS285</t>
  </si>
  <si>
    <t>MF: Costing Element</t>
  </si>
  <si>
    <t>PPS280</t>
  </si>
  <si>
    <t>MF: PO Consolidation group</t>
  </si>
  <si>
    <t>MF: Whole sale calcul operands              0/(IG)</t>
  </si>
  <si>
    <t>MF: M3 service</t>
  </si>
  <si>
    <t>MOS300</t>
  </si>
  <si>
    <t>MF: Movex e-Procurement Request</t>
  </si>
  <si>
    <t>MF: Goods recieving methods</t>
  </si>
  <si>
    <t>PPS345</t>
  </si>
  <si>
    <t>TF: Purchase order</t>
  </si>
  <si>
    <t>PPS200</t>
  </si>
  <si>
    <t>TF: PO line transactions</t>
  </si>
  <si>
    <t>PPS330</t>
  </si>
  <si>
    <t>TF: Purchase order - line</t>
  </si>
  <si>
    <t>PPS201</t>
  </si>
  <si>
    <t>TF: Planned purchase order</t>
  </si>
  <si>
    <t>PPS170</t>
  </si>
  <si>
    <t>MF: Purchase order types</t>
  </si>
  <si>
    <t>PPS095</t>
  </si>
  <si>
    <t>ST: Confirm delivery  EDI                   1/(WW)</t>
  </si>
  <si>
    <t>MF: Purchase Order Batch Origin        /(OR)</t>
  </si>
  <si>
    <t>TF: Purchase order address                  1/(AD)</t>
  </si>
  <si>
    <t>MF: Return to supplier order type   0/(RT)</t>
  </si>
  <si>
    <t>TF: Packages</t>
  </si>
  <si>
    <t>MMS470</t>
  </si>
  <si>
    <t>HF: Purchase statistic                      1/(IH)</t>
  </si>
  <si>
    <t>MF: ERP version                             0/(RY)</t>
  </si>
  <si>
    <t>ST: Job schedule date criteria</t>
  </si>
  <si>
    <t>TF: PO- batch entry transactions            1/(BE)</t>
  </si>
  <si>
    <t>TF: Purchase order batch             1/(IA)</t>
  </si>
  <si>
    <t>PPS370</t>
  </si>
  <si>
    <t>TF: Purchase order batch – line                1/(IB)</t>
  </si>
  <si>
    <t>PPS371</t>
  </si>
  <si>
    <t>VAT calculation</t>
  </si>
  <si>
    <t>MF: Customer address</t>
  </si>
  <si>
    <t>OIS002</t>
  </si>
  <si>
    <t>MF: Customer charges                        0/(OQ)</t>
  </si>
  <si>
    <t>CRS610</t>
  </si>
  <si>
    <t>MF: CO charge</t>
  </si>
  <si>
    <t>OIS030</t>
  </si>
  <si>
    <t>TF: Delivery customer order, documents      1/(UF)</t>
  </si>
  <si>
    <t>MF: Document References</t>
  </si>
  <si>
    <t>CRS027</t>
  </si>
  <si>
    <t>TF: CO delivery</t>
  </si>
  <si>
    <t>OIS150</t>
  </si>
  <si>
    <t>TF: Delivery customer order, line           1/(UB)</t>
  </si>
  <si>
    <t>TF: Invoice correction                      1/(UX)</t>
  </si>
  <si>
    <t>TF: Invoice accounting                      1/(UT)</t>
  </si>
  <si>
    <t>WF: Invoices in progress                    1/(UI)</t>
  </si>
  <si>
    <t>TF: Invoice Number File</t>
  </si>
  <si>
    <t>OIS350</t>
  </si>
  <si>
    <t>TF: Invoice, line                           1/(ON)</t>
  </si>
  <si>
    <t>MF: Customer Order Line Charges             0/(MJ)</t>
  </si>
  <si>
    <t>MF: Customer Order Line Charge Rate         0/(MI)</t>
  </si>
  <si>
    <t>TF: Customer order, address                 1/(OD)</t>
  </si>
  <si>
    <t>TF: Customer order, charges                 1/(OE)</t>
  </si>
  <si>
    <t>MF: Field select &amp; defaults per order type  0/(UJ)</t>
  </si>
  <si>
    <t>OIS014</t>
  </si>
  <si>
    <t>TF: Customer order, documents               1/(OF)</t>
  </si>
  <si>
    <t>TF: Commission receiver                     1/(BE)</t>
  </si>
  <si>
    <t>TF: CO header file</t>
  </si>
  <si>
    <t>OIS100</t>
  </si>
  <si>
    <t>WF: Invoice group                           1/(OO)</t>
  </si>
  <si>
    <t>WF: Corrective invoice                    1/(UY)</t>
  </si>
  <si>
    <t>Item charges per order line</t>
  </si>
  <si>
    <t>TF: CO line file</t>
  </si>
  <si>
    <t>OIS301</t>
  </si>
  <si>
    <t>Rescheduled CO-lines</t>
  </si>
  <si>
    <t>MF: Documents per order type and doc group  0/(UO)</t>
  </si>
  <si>
    <t>MF: Customer order - order types</t>
  </si>
  <si>
    <t>OIS010</t>
  </si>
  <si>
    <t>TF: Sales  statistic /Detail                1/(UC)</t>
  </si>
  <si>
    <t>MF: Text, head                              2/(TH)</t>
  </si>
  <si>
    <t>MF: Text, line                              2/(TL)</t>
  </si>
  <si>
    <t>Control file for batchentry orders</t>
  </si>
  <si>
    <t>TF: Batch order, head             1/(OA)</t>
  </si>
  <si>
    <t>TF: Batch order, line             1/(OB)</t>
  </si>
  <si>
    <t>TF: Tax calculation values - Purchase /(T4)</t>
  </si>
  <si>
    <t xml:space="preserve">DATABASE - M3CE           </t>
  </si>
  <si>
    <t>MT Staging DB</t>
  </si>
  <si>
    <t>M3CE DB</t>
  </si>
  <si>
    <t>CE Staging source library</t>
  </si>
  <si>
    <t>M3CE Java target library</t>
  </si>
  <si>
    <t>Program</t>
  </si>
  <si>
    <t>Status</t>
  </si>
  <si>
    <t xml:space="preserve">Runtime </t>
  </si>
  <si>
    <t>Started</t>
  </si>
  <si>
    <t>Finished</t>
  </si>
  <si>
    <t>Elapsed</t>
  </si>
  <si>
    <t>Z132MMD801</t>
  </si>
  <si>
    <t>SUCCESS</t>
  </si>
  <si>
    <t>000:00:11</t>
  </si>
  <si>
    <t>2026-03-17T03:42:31.530</t>
  </si>
  <si>
    <t>2026-03-17T03:42:42.822</t>
  </si>
  <si>
    <t>X132MMC296</t>
  </si>
  <si>
    <t>000:00:27</t>
  </si>
  <si>
    <t>2026-03-17T03:42:59.186</t>
  </si>
  <si>
    <t>X132MMC298</t>
  </si>
  <si>
    <t>000:01:13</t>
  </si>
  <si>
    <t>2026-03-17T03:42:31.550</t>
  </si>
  <si>
    <t>2026-03-17T03:43:44.678</t>
  </si>
  <si>
    <t>X132MMC299</t>
  </si>
  <si>
    <t>2026-03-17T03:42:31.551</t>
  </si>
  <si>
    <t>2026-03-17T03:43:45.049</t>
  </si>
  <si>
    <t>X132MMC297</t>
  </si>
  <si>
    <t>000:01:19</t>
  </si>
  <si>
    <t>2026-03-17T03:42:31.546</t>
  </si>
  <si>
    <t>2026-03-17T03:43:50.871</t>
  </si>
  <si>
    <t>X132MMC200</t>
  </si>
  <si>
    <t>000:01:09</t>
  </si>
  <si>
    <t>2026-03-17T03:43:51.983</t>
  </si>
  <si>
    <t>X132MMC201</t>
  </si>
  <si>
    <t>000:01:28</t>
  </si>
  <si>
    <t>2026-03-17T03:44:27.557</t>
  </si>
  <si>
    <t>X132MMC202</t>
  </si>
  <si>
    <t>000:02:05</t>
  </si>
  <si>
    <t>2026-03-17T03:45:49.795</t>
  </si>
  <si>
    <t>X132MMC203</t>
  </si>
  <si>
    <t>000:03:48</t>
  </si>
  <si>
    <t>2026-03-17T03:47:33.429</t>
  </si>
  <si>
    <t>X132MMC207</t>
  </si>
  <si>
    <t>000:02:44</t>
  </si>
  <si>
    <t>2026-03-17T03:48:34.498</t>
  </si>
  <si>
    <t>X132MMC204</t>
  </si>
  <si>
    <t>000:04:55</t>
  </si>
  <si>
    <t>2026-03-17T03:48:46.533</t>
  </si>
  <si>
    <t>X132MMC205</t>
  </si>
  <si>
    <t>000:05:49</t>
  </si>
  <si>
    <t>2026-03-17T03:49:41.887</t>
  </si>
  <si>
    <t>X132MMC206</t>
  </si>
  <si>
    <t>000:06:56</t>
  </si>
  <si>
    <t>2026-03-17T03:51:23.722</t>
  </si>
  <si>
    <t>X132MMC208</t>
  </si>
  <si>
    <t>000:07:30</t>
  </si>
  <si>
    <t>2026-03-17T03:55:04.288</t>
  </si>
  <si>
    <t>X132MMC210</t>
  </si>
  <si>
    <t>000:08:04</t>
  </si>
  <si>
    <t>2026-03-17T03:56:50.603</t>
  </si>
  <si>
    <t>X132MMC209</t>
  </si>
  <si>
    <t>000:08:25</t>
  </si>
  <si>
    <t>2026-03-17T03:57:00.329</t>
  </si>
  <si>
    <t>X132MMC211</t>
  </si>
  <si>
    <t>000:09:57</t>
  </si>
  <si>
    <t>2026-03-17T03:59:39.674</t>
  </si>
  <si>
    <t>X132MMC212</t>
  </si>
  <si>
    <t>000:10:26</t>
  </si>
  <si>
    <t>2026-03-17T04:01:49.788</t>
  </si>
  <si>
    <t>X132MMC213</t>
  </si>
  <si>
    <t>000:19:28</t>
  </si>
  <si>
    <t>2026-03-17T04:14:33.253</t>
  </si>
  <si>
    <t>X132MMC217</t>
  </si>
  <si>
    <t>000:24:43</t>
  </si>
  <si>
    <t>2026-03-17T04:26:33.655</t>
  </si>
  <si>
    <t>X132MMC215</t>
  </si>
  <si>
    <t>000:35:06</t>
  </si>
  <si>
    <t>2026-03-17T04:32:06.416</t>
  </si>
  <si>
    <t>X132MMC216</t>
  </si>
  <si>
    <t>000:36:38</t>
  </si>
  <si>
    <t>2026-03-17T04:36:18.643</t>
  </si>
  <si>
    <t>X132MMC214</t>
  </si>
  <si>
    <t>000:39:36</t>
  </si>
  <si>
    <t>2026-03-17T04:36:27.210</t>
  </si>
  <si>
    <t>X132MMC218</t>
  </si>
  <si>
    <t>000:22:41</t>
  </si>
  <si>
    <t>2026-03-17T04:37:14.778</t>
  </si>
  <si>
    <t>X132MMC219</t>
  </si>
  <si>
    <t>000:22:24</t>
  </si>
  <si>
    <t>2026-03-17T04:48:58.475</t>
  </si>
  <si>
    <t>X132MMC222</t>
  </si>
  <si>
    <t>000:15:43</t>
  </si>
  <si>
    <t>2026-03-17T04:52:11.042</t>
  </si>
  <si>
    <t>F13200MM93</t>
  </si>
  <si>
    <t>000:00:00</t>
  </si>
  <si>
    <t>2026-03-17T04:52:26.053</t>
  </si>
  <si>
    <t>2026-03-17T04:52:26.068</t>
  </si>
  <si>
    <t>F13200MM96</t>
  </si>
  <si>
    <t>2026-03-17T04:52:26.111</t>
  </si>
  <si>
    <t>2026-03-17T04:52:26.127</t>
  </si>
  <si>
    <t>F13200MM97</t>
  </si>
  <si>
    <t>2026-03-17T04:52:26.143</t>
  </si>
  <si>
    <t>F13200MM94</t>
  </si>
  <si>
    <t>2026-03-17T04:52:26.084</t>
  </si>
  <si>
    <t>F13200MM95</t>
  </si>
  <si>
    <t>F13200MM98</t>
  </si>
  <si>
    <t>2026-03-17T04:52:26.158</t>
  </si>
  <si>
    <t>X13200MMA0</t>
  </si>
  <si>
    <t>2026-03-17T04:52:26.580</t>
  </si>
  <si>
    <t>2026-03-17T04:52:26.611</t>
  </si>
  <si>
    <t>F13200MM99</t>
  </si>
  <si>
    <t>F13200MMA2</t>
  </si>
  <si>
    <t>2026-03-17T04:52:26.627</t>
  </si>
  <si>
    <t>F13200MMA1</t>
  </si>
  <si>
    <t>F13200MM46</t>
  </si>
  <si>
    <t>2026-03-17T04:52:25.971</t>
  </si>
  <si>
    <t>2026-03-17T04:52:26.021</t>
  </si>
  <si>
    <t>F13200MM88</t>
  </si>
  <si>
    <t>2026-03-17T04:52:26.037</t>
  </si>
  <si>
    <t>F13200MM77</t>
  </si>
  <si>
    <t>X132MMC221</t>
  </si>
  <si>
    <t>000:16:07</t>
  </si>
  <si>
    <t>F13200MMA3</t>
  </si>
  <si>
    <t>2026-03-17T04:52:26.736</t>
  </si>
  <si>
    <t>F13200MMA4</t>
  </si>
  <si>
    <t>2026-03-17T04:52:26.799</t>
  </si>
  <si>
    <t>F13200MMA5</t>
  </si>
  <si>
    <t>F13200MMA8</t>
  </si>
  <si>
    <t>2026-03-17T04:52:27.805</t>
  </si>
  <si>
    <t>2026-03-17T04:52:28.727</t>
  </si>
  <si>
    <t>F13200MMA6</t>
  </si>
  <si>
    <t>2026-03-17T04:52:27.790</t>
  </si>
  <si>
    <t>F13200MMA7</t>
  </si>
  <si>
    <t>F13200MMA9</t>
  </si>
  <si>
    <t>2026-03-17T04:52:28.742</t>
  </si>
  <si>
    <t>F13200MMB0</t>
  </si>
  <si>
    <t>000:00:06</t>
  </si>
  <si>
    <t>2026-03-17T04:52:34.924</t>
  </si>
  <si>
    <t>F13200MMB3</t>
  </si>
  <si>
    <t>2026-03-17T04:52:34.955</t>
  </si>
  <si>
    <t>2026-03-17T04:52:34.971</t>
  </si>
  <si>
    <t>F13200MMB4</t>
  </si>
  <si>
    <t>2026-03-17T04:52:34.986</t>
  </si>
  <si>
    <t>F13200MMB2</t>
  </si>
  <si>
    <t>F13200MMB7</t>
  </si>
  <si>
    <t>2026-03-17T04:52:35.017</t>
  </si>
  <si>
    <t>2026-03-17T04:52:35.033</t>
  </si>
  <si>
    <t>F13200MMB8</t>
  </si>
  <si>
    <t>2026-03-17T04:52:35.080</t>
  </si>
  <si>
    <t>F13200MMB5</t>
  </si>
  <si>
    <t>2026-03-17T04:52:35.002</t>
  </si>
  <si>
    <t>F13200MMB6</t>
  </si>
  <si>
    <t>Z13200MMC7</t>
  </si>
  <si>
    <t>2026-03-17T04:52:35.493</t>
  </si>
  <si>
    <t>2026-03-17T04:52:35.665</t>
  </si>
  <si>
    <t>(SQL)</t>
  </si>
  <si>
    <t>Z13200MMC6</t>
  </si>
  <si>
    <t>2026-03-17T04:52:35.301</t>
  </si>
  <si>
    <t>Z13200MMC5</t>
  </si>
  <si>
    <t>2026-03-17T04:52:35.285</t>
  </si>
  <si>
    <t>Z13200MMC4</t>
  </si>
  <si>
    <t>F13200MMD1</t>
  </si>
  <si>
    <t>2026-03-17T04:52:35.758</t>
  </si>
  <si>
    <t>2026-03-17T04:52:35.790</t>
  </si>
  <si>
    <t>F13200MMD0</t>
  </si>
  <si>
    <t>2026-03-17T04:52:35.743</t>
  </si>
  <si>
    <t>F13200MMC0</t>
  </si>
  <si>
    <t>2026-03-17T04:52:35.095</t>
  </si>
  <si>
    <t>F13200MMC1</t>
  </si>
  <si>
    <t>2026-03-17T04:52:35.263</t>
  </si>
  <si>
    <t>F13200MMC3</t>
  </si>
  <si>
    <t>J13200MMB1</t>
  </si>
  <si>
    <t>F13200MMC8</t>
  </si>
  <si>
    <t>2026-03-17T04:52:35.680</t>
  </si>
  <si>
    <t>F13200MMC9</t>
  </si>
  <si>
    <t>(optimised)</t>
  </si>
  <si>
    <t>F13200MMB9</t>
  </si>
  <si>
    <t>Z13200MT99</t>
  </si>
  <si>
    <t>2026-03-17T04:52:36.188</t>
  </si>
  <si>
    <t>2026-03-17T04:52:36.656</t>
  </si>
  <si>
    <t>F13200MMD2</t>
  </si>
  <si>
    <t>2026-03-17T04:52:35.938</t>
  </si>
  <si>
    <t>F13200MMD5</t>
  </si>
  <si>
    <t>2026-03-17T04:52:35.953</t>
  </si>
  <si>
    <t>F13200MMD6</t>
  </si>
  <si>
    <t>2026-03-17T04:52:35.969</t>
  </si>
  <si>
    <t>F13200MMD7</t>
  </si>
  <si>
    <t>2026-03-17T04:52:36.172</t>
  </si>
  <si>
    <t>Z13200MME3</t>
  </si>
  <si>
    <t>F13200MMD9</t>
  </si>
  <si>
    <t>2026-03-17T04:52:42.504</t>
  </si>
  <si>
    <t>2026-03-17T04:52:42.520</t>
  </si>
  <si>
    <t>Z132MMD802</t>
  </si>
  <si>
    <t>000:00:05</t>
  </si>
  <si>
    <t>Z132MMD803</t>
  </si>
  <si>
    <t>000:00:04</t>
  </si>
  <si>
    <t>2026-03-17T04:52:42.879</t>
  </si>
  <si>
    <t>2026-03-17T04:52:47.792</t>
  </si>
  <si>
    <t>Z132MMD804</t>
  </si>
  <si>
    <t>2026-03-17T04:52:47.933</t>
  </si>
  <si>
    <t>2026-03-17T04:52:52.894</t>
  </si>
  <si>
    <t>Z132MMD805</t>
  </si>
  <si>
    <t>000:00:09</t>
  </si>
  <si>
    <t>2026-03-17T04:52:52.978</t>
  </si>
  <si>
    <t>2026-03-17T04:53:02.651</t>
  </si>
  <si>
    <t>Z132MMD806</t>
  </si>
  <si>
    <t>2026-03-17T04:53:03.058</t>
  </si>
  <si>
    <t>2026-03-17T04:53:12.263</t>
  </si>
  <si>
    <t>X132MMC223</t>
  </si>
  <si>
    <t>000:15:58</t>
  </si>
  <si>
    <t>2026-03-17T04:53:13.567</t>
  </si>
  <si>
    <t>Z132MMD807</t>
  </si>
  <si>
    <t>000:00:07</t>
  </si>
  <si>
    <t>2026-03-17T04:53:13.145</t>
  </si>
  <si>
    <t>2026-03-17T04:53:20.806</t>
  </si>
  <si>
    <t>X132MMC220</t>
  </si>
  <si>
    <t>000:22:29</t>
  </si>
  <si>
    <t>2026-03-17T04:54:35.991</t>
  </si>
  <si>
    <t>Z132MMD808</t>
  </si>
  <si>
    <t>000:02:20</t>
  </si>
  <si>
    <t>2026-03-17T04:53:21.220</t>
  </si>
  <si>
    <t>2026-03-17T04:55:41.454</t>
  </si>
  <si>
    <t>Z132MMD809</t>
  </si>
  <si>
    <t>000:02:02</t>
  </si>
  <si>
    <t>2026-03-17T04:55:42.330</t>
  </si>
  <si>
    <t>2026-03-17T04:57:44.724</t>
  </si>
  <si>
    <t>Z132MMD810</t>
  </si>
  <si>
    <t>000:02:22</t>
  </si>
  <si>
    <t>2026-03-17T04:57:45.241</t>
  </si>
  <si>
    <t>2026-03-17T05:00:08.171</t>
  </si>
  <si>
    <t>Z132MMD811</t>
  </si>
  <si>
    <t>000:02:25</t>
  </si>
  <si>
    <t>2026-03-17T05:00:08.453</t>
  </si>
  <si>
    <t>2026-03-17T05:02:33.893</t>
  </si>
  <si>
    <t>Z132MMD812</t>
  </si>
  <si>
    <t>2026-03-17T05:02:34.330</t>
  </si>
  <si>
    <t>2026-03-17T05:04:54.911</t>
  </si>
  <si>
    <t>X132MMC224</t>
  </si>
  <si>
    <t>000:16:11</t>
  </si>
  <si>
    <t>2026-03-17T05:05:10.172</t>
  </si>
  <si>
    <t>Z132MMD813</t>
  </si>
  <si>
    <t>000:02:29</t>
  </si>
  <si>
    <t>2026-03-17T05:04:55.365</t>
  </si>
  <si>
    <t>2026-03-17T05:07:24.748</t>
  </si>
  <si>
    <t>Z132MMD814</t>
  </si>
  <si>
    <t>000:02:35</t>
  </si>
  <si>
    <t>2026-03-17T05:07:25.406</t>
  </si>
  <si>
    <t>2026-03-17T05:10:01.113</t>
  </si>
  <si>
    <t>Z132MMD815</t>
  </si>
  <si>
    <t>000:02:42</t>
  </si>
  <si>
    <t>2026-03-17T05:10:01.592</t>
  </si>
  <si>
    <t>2026-03-17T05:12:44.064</t>
  </si>
  <si>
    <t>Z132MMD816</t>
  </si>
  <si>
    <t>2026-03-17T05:12:44.820</t>
  </si>
  <si>
    <t>2026-03-17T05:15:27.591</t>
  </si>
  <si>
    <t>Z132MMD817</t>
  </si>
  <si>
    <t>000:02:40</t>
  </si>
  <si>
    <t>2026-03-17T05:15:28.048</t>
  </si>
  <si>
    <t>2026-03-17T05:18:08.759</t>
  </si>
  <si>
    <t>Z132MMD818</t>
  </si>
  <si>
    <t>000:02:39</t>
  </si>
  <si>
    <t>2026-03-17T05:18:09.260</t>
  </si>
  <si>
    <t>2026-03-17T05:20:48.855</t>
  </si>
  <si>
    <t>Z132MMD819</t>
  </si>
  <si>
    <t>000:02:41</t>
  </si>
  <si>
    <t>2026-03-17T05:20:49.559</t>
  </si>
  <si>
    <t>2026-03-17T05:23:31.382</t>
  </si>
  <si>
    <t>X132MMC225</t>
  </si>
  <si>
    <t>000:32:09</t>
  </si>
  <si>
    <t>2026-03-17T05:24:20.915</t>
  </si>
  <si>
    <t>Z132MMD820</t>
  </si>
  <si>
    <t>000:02:48</t>
  </si>
  <si>
    <t>2026-03-17T05:23:31.663</t>
  </si>
  <si>
    <t>2026-03-17T05:26:20.215</t>
  </si>
  <si>
    <t>Z132MMD821</t>
  </si>
  <si>
    <t>000:02:47</t>
  </si>
  <si>
    <t>2026-03-17T05:26:20.928</t>
  </si>
  <si>
    <t>2026-03-17T05:29:08.838</t>
  </si>
  <si>
    <t>Z132MMD822</t>
  </si>
  <si>
    <t>000:02:50</t>
  </si>
  <si>
    <t>2026-03-17T05:29:09.338</t>
  </si>
  <si>
    <t>2026-03-17T05:31:59.845</t>
  </si>
  <si>
    <t>Z132MMD823</t>
  </si>
  <si>
    <t>000:02:54</t>
  </si>
  <si>
    <t>2026-03-17T05:32:00.440</t>
  </si>
  <si>
    <t>2026-03-17T05:34:55.147</t>
  </si>
  <si>
    <t>Z132MMD824</t>
  </si>
  <si>
    <t>2026-03-17T05:34:55.709</t>
  </si>
  <si>
    <t>2026-03-17T05:37:46.647</t>
  </si>
  <si>
    <t>Z132MMD825</t>
  </si>
  <si>
    <t>000:02:53</t>
  </si>
  <si>
    <t>2026-03-17T05:37:46.960</t>
  </si>
  <si>
    <t>2026-03-17T05:40:40.770</t>
  </si>
  <si>
    <t>Z132MMD826</t>
  </si>
  <si>
    <t>000:04:32</t>
  </si>
  <si>
    <t>2026-03-17T05:40:41.287</t>
  </si>
  <si>
    <t>2026-03-17T05:45:13.566</t>
  </si>
  <si>
    <t>X13300MM07</t>
  </si>
  <si>
    <t>2026-03-17T06:08:50.519</t>
  </si>
  <si>
    <t>2026-03-17T06:08:50.569</t>
  </si>
  <si>
    <t>F13300MM09</t>
  </si>
  <si>
    <t>2026-03-17T06:08:50.532</t>
  </si>
  <si>
    <t>2026-03-17T06:08:50.600</t>
  </si>
  <si>
    <t>F13300MM08</t>
  </si>
  <si>
    <t>2026-03-17T06:08:50.520</t>
  </si>
  <si>
    <t>F13300MM03</t>
  </si>
  <si>
    <t>2026-03-17T06:08:50.280</t>
  </si>
  <si>
    <t>2026-03-17T06:08:50.513</t>
  </si>
  <si>
    <t>F13300MM02</t>
  </si>
  <si>
    <t>000:00:02</t>
  </si>
  <si>
    <t>2026-03-17T06:08:50.268</t>
  </si>
  <si>
    <t>2026-03-17T06:08:53.008</t>
  </si>
  <si>
    <t>F13300MM05</t>
  </si>
  <si>
    <t>2026-03-17T06:08:50.302</t>
  </si>
  <si>
    <t>F13300MM04</t>
  </si>
  <si>
    <t>2026-03-17T06:08:50.291</t>
  </si>
  <si>
    <t>F13300MM12</t>
  </si>
  <si>
    <t>2026-03-17T06:08:50.659</t>
  </si>
  <si>
    <t>F13300MM11</t>
  </si>
  <si>
    <t>2026-03-17T06:08:50.615</t>
  </si>
  <si>
    <t>F13300MM14</t>
  </si>
  <si>
    <t>000:00:03</t>
  </si>
  <si>
    <t>2026-03-17T06:08:53.850</t>
  </si>
  <si>
    <t>F13300MM18</t>
  </si>
  <si>
    <t>2026-03-17T06:08:54.613</t>
  </si>
  <si>
    <t>2026-03-17T06:08:54.676</t>
  </si>
  <si>
    <t>F13300MM19</t>
  </si>
  <si>
    <t>2026-03-17T06:08:54.738</t>
  </si>
  <si>
    <t>F13300MM16</t>
  </si>
  <si>
    <t>F13300MM15</t>
  </si>
  <si>
    <t>000:00:01</t>
  </si>
  <si>
    <t>2026-03-17T06:08:54.207</t>
  </si>
  <si>
    <t>F13300MM21</t>
  </si>
  <si>
    <t>2026-03-17T06:08:54.926</t>
  </si>
  <si>
    <t>2026-03-17T06:08:54.941</t>
  </si>
  <si>
    <t>F13300MM20</t>
  </si>
  <si>
    <t>F13300MM22</t>
  </si>
  <si>
    <t>2026-03-17T06:08:55.057</t>
  </si>
  <si>
    <t>F13300MM17</t>
  </si>
  <si>
    <t>2026-03-17T06:08:55.800</t>
  </si>
  <si>
    <t>F13300MM28</t>
  </si>
  <si>
    <t>2026-03-17T06:08:56.883</t>
  </si>
  <si>
    <t>2026-03-17T06:08:57.218</t>
  </si>
  <si>
    <t>F13300MM23</t>
  </si>
  <si>
    <t>2026-03-17T06:08:56.526</t>
  </si>
  <si>
    <t>F13300MM25</t>
  </si>
  <si>
    <t>2026-03-17T06:08:56.542</t>
  </si>
  <si>
    <t>F13300MM27</t>
  </si>
  <si>
    <t>2026-03-17T06:08:56.731</t>
  </si>
  <si>
    <t>F13300MM26</t>
  </si>
  <si>
    <t>F13300MM29</t>
  </si>
  <si>
    <t>2026-03-17T06:08:57.421</t>
  </si>
  <si>
    <t>F13300MM24</t>
  </si>
  <si>
    <t>2026-03-17T06:08:57.780</t>
  </si>
  <si>
    <t>F13300MM31</t>
  </si>
  <si>
    <t>2026-03-17T06:08:57.843</t>
  </si>
  <si>
    <t>F13300MM32</t>
  </si>
  <si>
    <t>2026-03-17T06:08:58.327</t>
  </si>
  <si>
    <t>F13300MM34</t>
  </si>
  <si>
    <t>2026-03-17T06:08:58.418</t>
  </si>
  <si>
    <t>2026-03-17T06:08:58.449</t>
  </si>
  <si>
    <t>F13300MM33</t>
  </si>
  <si>
    <t>F13300MM39</t>
  </si>
  <si>
    <t>2026-03-17T06:08:59.621</t>
  </si>
  <si>
    <t>F13300MM36</t>
  </si>
  <si>
    <t>2026-03-17T06:08:59.511</t>
  </si>
  <si>
    <t>2026-03-17T06:08:59.589</t>
  </si>
  <si>
    <t>F13300MM35</t>
  </si>
  <si>
    <t>F13300MM38</t>
  </si>
  <si>
    <t>2026-03-17T06:08:59.605</t>
  </si>
  <si>
    <t>F13300MM37</t>
  </si>
  <si>
    <t>F13300MM41</t>
  </si>
  <si>
    <t>2026-03-17T06:08:59.636</t>
  </si>
  <si>
    <t>2026-03-17T06:08:59.668</t>
  </si>
  <si>
    <t>F13300MM40</t>
  </si>
  <si>
    <t>F13300MM43</t>
  </si>
  <si>
    <t>2026-03-17T06:09:01.442</t>
  </si>
  <si>
    <t>2026-03-17T06:09:01.724</t>
  </si>
  <si>
    <t>F13300MM42</t>
  </si>
  <si>
    <t>F13300MM45</t>
  </si>
  <si>
    <t>2026-03-17T06:09:01.739</t>
  </si>
  <si>
    <t>F13300MM44</t>
  </si>
  <si>
    <t>F13300MM47</t>
  </si>
  <si>
    <t>2026-03-17T06:09:01.755</t>
  </si>
  <si>
    <t>2026-03-17T06:09:01.771</t>
  </si>
  <si>
    <t>F13300MM46</t>
  </si>
  <si>
    <t>F13300MM49</t>
  </si>
  <si>
    <t>2026-03-17T06:09:01.786</t>
  </si>
  <si>
    <t>F13300MM48</t>
  </si>
  <si>
    <t>F13300MM53</t>
  </si>
  <si>
    <t>2026-03-17T06:09:01.849</t>
  </si>
  <si>
    <t>2026-03-17T06:09:01.880</t>
  </si>
  <si>
    <t>F13300MM50</t>
  </si>
  <si>
    <t>2026-03-17T06:09:01.802</t>
  </si>
  <si>
    <t>F13300MM52</t>
  </si>
  <si>
    <t>2026-03-17T06:09:01.817</t>
  </si>
  <si>
    <t>F13300MM51</t>
  </si>
  <si>
    <t>F13300MM54</t>
  </si>
  <si>
    <t>2026-03-17T06:09:04.242</t>
  </si>
  <si>
    <t>F13300MM55</t>
  </si>
  <si>
    <t>2026-03-17T06:09:04.274</t>
  </si>
  <si>
    <t>F13300MM61</t>
  </si>
  <si>
    <t>2026-03-17T06:09:04.586</t>
  </si>
  <si>
    <t>2026-03-17T06:09:04.617</t>
  </si>
  <si>
    <t>F13300MM60</t>
  </si>
  <si>
    <t>2026-03-17T06:09:04.570</t>
  </si>
  <si>
    <t>F13300MM63</t>
  </si>
  <si>
    <t>2026-03-17T06:09:04.633</t>
  </si>
  <si>
    <t>2026-03-17T06:09:04.649</t>
  </si>
  <si>
    <t>F13300MM62</t>
  </si>
  <si>
    <t>F13300MM56</t>
  </si>
  <si>
    <t>2026-03-17T06:09:04.305</t>
  </si>
  <si>
    <t>F13300MM58</t>
  </si>
  <si>
    <t>2026-03-17T06:09:04.336</t>
  </si>
  <si>
    <t>2026-03-17T06:09:04.430</t>
  </si>
  <si>
    <t>F13300MM57</t>
  </si>
  <si>
    <t>F13300MM59</t>
  </si>
  <si>
    <t>F13300MM64</t>
  </si>
  <si>
    <t>2026-03-17T06:09:05.641</t>
  </si>
  <si>
    <t>F13300MM65</t>
  </si>
  <si>
    <t>2026-03-17T06:09:07.694</t>
  </si>
  <si>
    <t>F13300MM67</t>
  </si>
  <si>
    <t>2026-03-17T06:09:07.757</t>
  </si>
  <si>
    <t>F13300MM66</t>
  </si>
  <si>
    <t>F13300MM68</t>
  </si>
  <si>
    <t>2026-03-17T06:09:07.835</t>
  </si>
  <si>
    <t>F13300MM76</t>
  </si>
  <si>
    <t>2026-03-17T06:09:08.100</t>
  </si>
  <si>
    <t>2026-03-17T06:09:08.179</t>
  </si>
  <si>
    <t>F13300MM75</t>
  </si>
  <si>
    <t>2026-03-17T06:09:07.991</t>
  </si>
  <si>
    <t>F13300MM78</t>
  </si>
  <si>
    <t>2026-03-17T06:09:08.241</t>
  </si>
  <si>
    <t>2026-03-17T06:09:08.248</t>
  </si>
  <si>
    <t>F13300MM77</t>
  </si>
  <si>
    <t>F13300MM70</t>
  </si>
  <si>
    <t>2026-03-17T06:09:07.866</t>
  </si>
  <si>
    <t>F13300MM72</t>
  </si>
  <si>
    <t>2026-03-17T06:09:07.913</t>
  </si>
  <si>
    <t>2026-03-17T06:09:07.960</t>
  </si>
  <si>
    <t>F13300MM71</t>
  </si>
  <si>
    <t>F13300MM74</t>
  </si>
  <si>
    <t>2026-03-17T06:09:07.975</t>
  </si>
  <si>
    <t>F13300MM73</t>
  </si>
  <si>
    <t>F13300MM79</t>
  </si>
  <si>
    <t>2026-03-17T06:09:08.951</t>
  </si>
  <si>
    <t>F13300MM87</t>
  </si>
  <si>
    <t>2026-03-17T06:09:09.061</t>
  </si>
  <si>
    <t>2026-03-17T06:09:09.170</t>
  </si>
  <si>
    <t>F13300MM86</t>
  </si>
  <si>
    <t>2026-03-17T06:09:09.045</t>
  </si>
  <si>
    <t>F13300MM89</t>
  </si>
  <si>
    <t>2026-03-17T06:09:09.201</t>
  </si>
  <si>
    <t>2026-03-17T06:09:09.217</t>
  </si>
  <si>
    <t>F13300MM88</t>
  </si>
  <si>
    <t>F13300MM81</t>
  </si>
  <si>
    <t>2026-03-17T06:09:08.967</t>
  </si>
  <si>
    <t>F13300MM80</t>
  </si>
  <si>
    <t>F13300MM83</t>
  </si>
  <si>
    <t>2026-03-17T06:09:09.014</t>
  </si>
  <si>
    <t>2026-03-17T06:09:09.030</t>
  </si>
  <si>
    <t>F13300MM82</t>
  </si>
  <si>
    <t>F13300MM85</t>
  </si>
  <si>
    <t>F13300MM84</t>
  </si>
  <si>
    <t>F13300MM90</t>
  </si>
  <si>
    <t>2026-03-17T06:09:09.248</t>
  </si>
  <si>
    <t>F13300MM92</t>
  </si>
  <si>
    <t>2026-03-17T06:09:09.264</t>
  </si>
  <si>
    <t>2026-03-17T06:09:09.280</t>
  </si>
  <si>
    <t>F13300MM91</t>
  </si>
  <si>
    <t>F13300MM94</t>
  </si>
  <si>
    <t>2026-03-17T06:09:09.295</t>
  </si>
  <si>
    <t>F13300MM93</t>
  </si>
  <si>
    <t>F13300MM96</t>
  </si>
  <si>
    <t>2026-03-17T06:09:09.311</t>
  </si>
  <si>
    <t>2026-03-17T06:09:09.332</t>
  </si>
  <si>
    <t>F13300MM95</t>
  </si>
  <si>
    <t>F13300MM98</t>
  </si>
  <si>
    <t>2026-03-17T06:09:10.218</t>
  </si>
  <si>
    <t>F13300MM97</t>
  </si>
  <si>
    <t>F13300MM99</t>
  </si>
  <si>
    <t>2026-03-17T06:09:10.281</t>
  </si>
  <si>
    <t>F13300MMA0</t>
  </si>
  <si>
    <t>2026-03-17T06:09:10.421</t>
  </si>
  <si>
    <t>F13300MMA2</t>
  </si>
  <si>
    <t>2026-03-17T06:09:14.999</t>
  </si>
  <si>
    <t>2026-03-17T06:09:15.062</t>
  </si>
  <si>
    <t>F13300MMA6</t>
  </si>
  <si>
    <t>2026-03-17T06:09:15.077</t>
  </si>
  <si>
    <t>2026-03-17T06:09:15.093</t>
  </si>
  <si>
    <t>F13300MMA5</t>
  </si>
  <si>
    <t>F13300MMB1</t>
  </si>
  <si>
    <t>2026-03-17T06:09:15.171</t>
  </si>
  <si>
    <t>2026-03-17T06:09:15.187</t>
  </si>
  <si>
    <t>F13300MMB3</t>
  </si>
  <si>
    <t>2026-03-17T06:09:15.202</t>
  </si>
  <si>
    <t>2026-03-17T06:09:15.218</t>
  </si>
  <si>
    <t>F13300MMB2</t>
  </si>
  <si>
    <t>F13300MMB4</t>
  </si>
  <si>
    <t>2026-03-17T06:09:15.280</t>
  </si>
  <si>
    <t>F13300MMA8</t>
  </si>
  <si>
    <t>2026-03-17T06:09:15.155</t>
  </si>
  <si>
    <t>F13300MMA9</t>
  </si>
  <si>
    <t>F13300MM30</t>
  </si>
  <si>
    <t>000:00:17</t>
  </si>
  <si>
    <t>F13300MM10</t>
  </si>
  <si>
    <t>000:00:31</t>
  </si>
  <si>
    <t>2026-03-17T06:09:22.427</t>
  </si>
  <si>
    <t>F13300MMC1</t>
  </si>
  <si>
    <t>F13300MMC2</t>
  </si>
  <si>
    <t>2026-03-17T06:09:22.459</t>
  </si>
  <si>
    <t>F13300MMC3</t>
  </si>
  <si>
    <t>2026-03-17T06:09:22.521</t>
  </si>
  <si>
    <t>F13300MMC6</t>
  </si>
  <si>
    <t>2026-03-17T06:09:30.174</t>
  </si>
  <si>
    <t>2026-03-17T06:09:30.205</t>
  </si>
  <si>
    <t>F13300MMC5</t>
  </si>
  <si>
    <t>2026-03-17T06:09:30.018</t>
  </si>
  <si>
    <t>F13300MMC8</t>
  </si>
  <si>
    <t>2026-03-17T06:09:30.221</t>
  </si>
  <si>
    <t>F13300MMC7</t>
  </si>
  <si>
    <t>F13303MM01</t>
  </si>
  <si>
    <t>2026-03-17T06:09:30.268</t>
  </si>
  <si>
    <t>2026-03-17T06:09:30.283</t>
  </si>
  <si>
    <t>F13300MMD1</t>
  </si>
  <si>
    <t>2026-03-17T06:09:30.252</t>
  </si>
  <si>
    <t>F13300MMD0</t>
  </si>
  <si>
    <t>2026-03-17T06:09:30.236</t>
  </si>
  <si>
    <t>F13300MMC9</t>
  </si>
  <si>
    <t>X13300M1B7</t>
  </si>
  <si>
    <t>000:00:14</t>
  </si>
  <si>
    <t>Z13300MT01</t>
  </si>
  <si>
    <t>2026-03-17T06:09:31.321</t>
  </si>
  <si>
    <t>2026-03-17T06:09:31.368</t>
  </si>
  <si>
    <t>F13300MMD3</t>
  </si>
  <si>
    <t>2026-03-17T06:09:30.962</t>
  </si>
  <si>
    <t>F13300MMD5</t>
  </si>
  <si>
    <t>2026-03-17T06:09:31.238</t>
  </si>
  <si>
    <t>2026-03-17T06:09:31.305</t>
  </si>
  <si>
    <t>F13300MMD4</t>
  </si>
  <si>
    <t>F13300MMD7</t>
  </si>
  <si>
    <t>Z13300MMD6</t>
  </si>
  <si>
    <t>Z13300MT02</t>
  </si>
  <si>
    <t>2026-03-17T06:09:32.006</t>
  </si>
  <si>
    <t>Z13300MT03</t>
  </si>
  <si>
    <t>2026-03-17T06:09:32.474</t>
  </si>
  <si>
    <t>X13300M2B7</t>
  </si>
  <si>
    <t>2026-03-17T06:09:33.574</t>
  </si>
  <si>
    <t>F13302MM01</t>
  </si>
  <si>
    <t>2026-03-17T06:09:33.427</t>
  </si>
  <si>
    <t>2026-03-17T06:09:33.443</t>
  </si>
  <si>
    <t>F13302MM02</t>
  </si>
  <si>
    <t>2026-03-17T06:09:33.459</t>
  </si>
  <si>
    <t>F13303MM02</t>
  </si>
  <si>
    <t>2026-03-17T06:09:33.543</t>
  </si>
  <si>
    <t>F13300MMD2</t>
  </si>
  <si>
    <t>Z13300MT04</t>
  </si>
  <si>
    <t>X13300MT01</t>
  </si>
  <si>
    <t>2026-03-17T06:09:34.277</t>
  </si>
  <si>
    <t>F13300MMB8</t>
  </si>
  <si>
    <t>F13300MMA1</t>
  </si>
  <si>
    <t>000:00:26</t>
  </si>
  <si>
    <t>2026-03-17T06:09:37.028</t>
  </si>
  <si>
    <t>F13300MME1</t>
  </si>
  <si>
    <t>000:00:13</t>
  </si>
  <si>
    <t>2026-03-17T06:09:34.647</t>
  </si>
  <si>
    <t>2026-03-17T06:09:48.631</t>
  </si>
  <si>
    <t>X13300MMC4</t>
  </si>
  <si>
    <t>000:00:34</t>
  </si>
  <si>
    <t>2026-03-17T06:09:57.180</t>
  </si>
  <si>
    <t>F13300MM13</t>
  </si>
  <si>
    <t>000:01:12</t>
  </si>
  <si>
    <t>2026-03-17T06:10:02.695</t>
  </si>
  <si>
    <t>X13300MM06</t>
  </si>
  <si>
    <t>000:03:30</t>
  </si>
  <si>
    <t>2026-03-17T06:08:50.319</t>
  </si>
  <si>
    <t>2026-03-17T06:12:20.965</t>
  </si>
  <si>
    <t>Z13400MM07</t>
  </si>
  <si>
    <t>2026-03-17T06:19:30.868</t>
  </si>
  <si>
    <t>2026-03-17T06:19:31.071</t>
  </si>
  <si>
    <t>F13400MM19</t>
  </si>
  <si>
    <t>2026-03-17T06:19:31.289</t>
  </si>
  <si>
    <t>2026-03-17T06:19:31.399</t>
  </si>
  <si>
    <t>F13400MM18</t>
  </si>
  <si>
    <t>2026-03-17T06:19:31.242</t>
  </si>
  <si>
    <t>2026-03-17T06:19:31.376</t>
  </si>
  <si>
    <t>F13400MM17</t>
  </si>
  <si>
    <t>2026-03-17T06:19:31.197</t>
  </si>
  <si>
    <t>F13400MM15</t>
  </si>
  <si>
    <t>2026-03-17T06:19:31.153</t>
  </si>
  <si>
    <t>F13400MM14</t>
  </si>
  <si>
    <t>2026-03-17T06:19:31.110</t>
  </si>
  <si>
    <t>2026-03-17T06:19:31.176</t>
  </si>
  <si>
    <t>F13400MM13</t>
  </si>
  <si>
    <t>2026-03-17T06:19:31.087</t>
  </si>
  <si>
    <t>F13400MM12</t>
  </si>
  <si>
    <t>F13400MM10</t>
  </si>
  <si>
    <t>2026-03-17T06:19:31.003</t>
  </si>
  <si>
    <t>F13400MM08</t>
  </si>
  <si>
    <t>2026-03-17T06:19:30.882</t>
  </si>
  <si>
    <t>F13400MM06</t>
  </si>
  <si>
    <t>2026-03-17T06:19:30.849</t>
  </si>
  <si>
    <t>2026-03-17T06:19:31.034</t>
  </si>
  <si>
    <t>F13400MM05</t>
  </si>
  <si>
    <t>2026-03-17T06:19:30.684</t>
  </si>
  <si>
    <t>F13400MM04</t>
  </si>
  <si>
    <t>2026-03-17T06:19:30.668</t>
  </si>
  <si>
    <t>F13400MM03</t>
  </si>
  <si>
    <t>2026-03-17T06:19:30.658</t>
  </si>
  <si>
    <t>F13400MM02</t>
  </si>
  <si>
    <t>2026-03-17T06:19:30.630</t>
  </si>
  <si>
    <t>F13400MM22</t>
  </si>
  <si>
    <t>2026-03-17T06:19:31.489</t>
  </si>
  <si>
    <t>2026-03-17T06:19:31.537</t>
  </si>
  <si>
    <t>F13400MM20</t>
  </si>
  <si>
    <t>F13400MM16</t>
  </si>
  <si>
    <t>2026-03-17T06:19:31.986</t>
  </si>
  <si>
    <t>F13400MM38</t>
  </si>
  <si>
    <t>2026-03-17T06:19:32.378</t>
  </si>
  <si>
    <t>2026-03-17T06:19:32.409</t>
  </si>
  <si>
    <t>Z13400MM40</t>
  </si>
  <si>
    <t>2026-03-17T06:19:32.913</t>
  </si>
  <si>
    <t>2026-03-17T06:19:32.975</t>
  </si>
  <si>
    <t>F13400MM37</t>
  </si>
  <si>
    <t>F13400MM36</t>
  </si>
  <si>
    <t>2026-03-17T06:19:32.331</t>
  </si>
  <si>
    <t>F13400MM35</t>
  </si>
  <si>
    <t>2026-03-17T06:19:32.207</t>
  </si>
  <si>
    <t>X13400MM01</t>
  </si>
  <si>
    <t>2026-03-17T06:19:30.544</t>
  </si>
  <si>
    <t>2026-03-17T06:19:32.002</t>
  </si>
  <si>
    <t>F13400MM34</t>
  </si>
  <si>
    <t>2026-03-17T06:19:32.191</t>
  </si>
  <si>
    <t>F13400MM32</t>
  </si>
  <si>
    <t>2026-03-17T06:19:32.175</t>
  </si>
  <si>
    <t>F13400MM31</t>
  </si>
  <si>
    <t>2026-03-17T06:19:32.160</t>
  </si>
  <si>
    <t>F13400MM30</t>
  </si>
  <si>
    <t>2026-03-17T06:19:32.129</t>
  </si>
  <si>
    <t>F13400MM29</t>
  </si>
  <si>
    <t>2026-03-17T06:19:32.097</t>
  </si>
  <si>
    <t>F13400MM28</t>
  </si>
  <si>
    <t>2026-03-17T06:19:32.082</t>
  </si>
  <si>
    <t>F13400MM26</t>
  </si>
  <si>
    <t>2026-03-17T06:19:32.017</t>
  </si>
  <si>
    <t>2026-03-17T06:19:32.033</t>
  </si>
  <si>
    <t>F13400MM25</t>
  </si>
  <si>
    <t>F13400MM24</t>
  </si>
  <si>
    <t>F13400MM21</t>
  </si>
  <si>
    <t>F13400MM41</t>
  </si>
  <si>
    <t>2026-03-17T06:19:33.039</t>
  </si>
  <si>
    <t>Z13400MM11</t>
  </si>
  <si>
    <t>2026-03-17T06:19:33.034</t>
  </si>
  <si>
    <t>F13400MM45</t>
  </si>
  <si>
    <t>2026-03-17T06:19:33.180</t>
  </si>
  <si>
    <t>2026-03-17T06:19:33.242</t>
  </si>
  <si>
    <t>F13400MM44</t>
  </si>
  <si>
    <t>2026-03-17T06:19:33.117</t>
  </si>
  <si>
    <t>2026-03-17T06:19:33.226</t>
  </si>
  <si>
    <t>F13400MM43</t>
  </si>
  <si>
    <t>F13400MM42</t>
  </si>
  <si>
    <t>F13400MM27</t>
  </si>
  <si>
    <t>2026-03-17T06:19:34.493</t>
  </si>
  <si>
    <t>F13400MM23</t>
  </si>
  <si>
    <t>2026-03-17T06:19:34.134</t>
  </si>
  <si>
    <t>F13400MM33</t>
  </si>
  <si>
    <t>2026-03-17T06:19:44.473</t>
  </si>
  <si>
    <t>F13400MM46</t>
  </si>
  <si>
    <t>2026-03-17T06:19:45.148</t>
  </si>
  <si>
    <t>2026-03-17T06:19:48.787</t>
  </si>
  <si>
    <t>F13400MM39</t>
  </si>
  <si>
    <t>000:02:04</t>
  </si>
  <si>
    <t>2026-03-17T06:21:37.227</t>
  </si>
  <si>
    <t>F13400MM48</t>
  </si>
  <si>
    <t>000:28:48</t>
  </si>
  <si>
    <t>2026-03-17T06:48:22.074</t>
  </si>
  <si>
    <t>Z16MM00071</t>
  </si>
  <si>
    <t>2026-03-17T07:11:48.561</t>
  </si>
  <si>
    <t>2026-03-17T07:11:48.614</t>
  </si>
  <si>
    <t>Z16MM00082</t>
  </si>
  <si>
    <t>2026-03-17T07:11:49.083</t>
  </si>
  <si>
    <t>ZCE000003</t>
  </si>
  <si>
    <t>2026-03-17T07:11:48.313</t>
  </si>
  <si>
    <t>2026-03-17T07:11:48.550</t>
  </si>
  <si>
    <t>ZCE000002</t>
  </si>
  <si>
    <t>2026-03-17T07:11:48.310</t>
  </si>
  <si>
    <t>ZCE000001</t>
  </si>
  <si>
    <t>2026-03-17T07:11:48.288</t>
  </si>
  <si>
    <t>2026-03-17T07:11:48.559</t>
  </si>
  <si>
    <t>Z16MM00022</t>
  </si>
  <si>
    <t>2026-03-17T07:11:48.588</t>
  </si>
  <si>
    <t>Z16MM00023</t>
  </si>
  <si>
    <t>2026-03-17T07:11:48.305</t>
  </si>
  <si>
    <t>2026-03-17T07:11:48.577</t>
  </si>
  <si>
    <t>ZCE000004</t>
  </si>
  <si>
    <t>2026-03-17T07:11:49.685</t>
  </si>
  <si>
    <t>2026-03-17T07:11:49.732</t>
  </si>
  <si>
    <t>A_Key</t>
  </si>
  <si>
    <t>A_Database_name</t>
  </si>
  <si>
    <t>A_Schema_name</t>
  </si>
  <si>
    <t>A_Index_name</t>
  </si>
  <si>
    <t>A_Table_name</t>
  </si>
  <si>
    <t>A_Start_time</t>
  </si>
  <si>
    <t>A_End_time</t>
  </si>
  <si>
    <t>A_Duration</t>
  </si>
  <si>
    <t>AACFLY01</t>
  </si>
  <si>
    <t>AACFLY</t>
  </si>
  <si>
    <t>AACFLY10</t>
  </si>
  <si>
    <t>AACFLY20</t>
  </si>
  <si>
    <t>ACERTH10</t>
  </si>
  <si>
    <t>ACERTH</t>
  </si>
  <si>
    <t>ACERTH20</t>
  </si>
  <si>
    <t>ACERTH30</t>
  </si>
  <si>
    <t>ACERTH40</t>
  </si>
  <si>
    <t>ACERTH50</t>
  </si>
  <si>
    <t>ACERTH60</t>
  </si>
  <si>
    <t>ACERTH70</t>
  </si>
  <si>
    <t>ACLHED10</t>
  </si>
  <si>
    <t>ACLHED</t>
  </si>
  <si>
    <t>ACLHED20</t>
  </si>
  <si>
    <t>ACLHED30</t>
  </si>
  <si>
    <t>ACLHED40</t>
  </si>
  <si>
    <t>ACLHED50</t>
  </si>
  <si>
    <t>ACLHED60</t>
  </si>
  <si>
    <t>ACLHED70</t>
  </si>
  <si>
    <t>ACLSPC10</t>
  </si>
  <si>
    <t>ACLSPC</t>
  </si>
  <si>
    <t>ACLSPC20</t>
  </si>
  <si>
    <t>ACLSPC30</t>
  </si>
  <si>
    <t>ACSALS10</t>
  </si>
  <si>
    <t>ACSALS</t>
  </si>
  <si>
    <t>ACSALS30</t>
  </si>
  <si>
    <t>ACSALS40</t>
  </si>
  <si>
    <t>ACUACC10</t>
  </si>
  <si>
    <t>ACUACC</t>
  </si>
  <si>
    <t>ACUACC11</t>
  </si>
  <si>
    <t>ACUACC20</t>
  </si>
  <si>
    <t>ACUACC30</t>
  </si>
  <si>
    <t>ACUACC40</t>
  </si>
  <si>
    <t>ACUACC50</t>
  </si>
  <si>
    <t>ACUACC60</t>
  </si>
  <si>
    <t>ACUAEX10</t>
  </si>
  <si>
    <t>ACUAEX</t>
  </si>
  <si>
    <t>ACUAEX20</t>
  </si>
  <si>
    <t>ACUAEX30</t>
  </si>
  <si>
    <t>ACUAEX40</t>
  </si>
  <si>
    <t>ACUAEX50</t>
  </si>
  <si>
    <t>ACUAGC10</t>
  </si>
  <si>
    <t>ACUAGC</t>
  </si>
  <si>
    <t>ACUAGH10</t>
  </si>
  <si>
    <t>ACUAGH</t>
  </si>
  <si>
    <t>ACUAGH11</t>
  </si>
  <si>
    <t>ACUAGH20</t>
  </si>
  <si>
    <t>ACUAGH21</t>
  </si>
  <si>
    <t>ACUAGH30</t>
  </si>
  <si>
    <t>ACUAGH40</t>
  </si>
  <si>
    <t>ACUAGH50</t>
  </si>
  <si>
    <t>ACUAGH60</t>
  </si>
  <si>
    <t>ACUAGK10</t>
  </si>
  <si>
    <t>ACUAGK</t>
  </si>
  <si>
    <t>ACUAGL10</t>
  </si>
  <si>
    <t>ACUAGL</t>
  </si>
  <si>
    <t>ACUAGL20</t>
  </si>
  <si>
    <t>ACUAGL50</t>
  </si>
  <si>
    <t>ACUAGM10</t>
  </si>
  <si>
    <t>ACUAGM</t>
  </si>
  <si>
    <t>ACUAGR10</t>
  </si>
  <si>
    <t>ACUAGR</t>
  </si>
  <si>
    <t>ACUAGR11</t>
  </si>
  <si>
    <t>ACUAGR20</t>
  </si>
  <si>
    <t>ACUAGS01</t>
  </si>
  <si>
    <t>ACUAGS</t>
  </si>
  <si>
    <t>ACUAGS02</t>
  </si>
  <si>
    <t>ACUAGS10</t>
  </si>
  <si>
    <t>ACUAGS20</t>
  </si>
  <si>
    <t>ACUAGT10</t>
  </si>
  <si>
    <t>ACUAGT</t>
  </si>
  <si>
    <t>ACUALS10</t>
  </si>
  <si>
    <t>ACUALS</t>
  </si>
  <si>
    <t>ACUAPS10</t>
  </si>
  <si>
    <t>ACUAPS</t>
  </si>
  <si>
    <t>ACUASA10</t>
  </si>
  <si>
    <t>ACUASA</t>
  </si>
  <si>
    <t>ACUASB10</t>
  </si>
  <si>
    <t>ACUASB</t>
  </si>
  <si>
    <t>ACUAWS10</t>
  </si>
  <si>
    <t>ACUAWS</t>
  </si>
  <si>
    <t>ACUBUD10</t>
  </si>
  <si>
    <t>ACUBUD</t>
  </si>
  <si>
    <t>ACUBUD20</t>
  </si>
  <si>
    <t>ACUDTW10</t>
  </si>
  <si>
    <t>ACUDTW</t>
  </si>
  <si>
    <t>ACUHIT10</t>
  </si>
  <si>
    <t>ACUHIT</t>
  </si>
  <si>
    <t>ACUHIT20</t>
  </si>
  <si>
    <t>ACUHIT30</t>
  </si>
  <si>
    <t>ACUHIT40</t>
  </si>
  <si>
    <t>ACUHIT50</t>
  </si>
  <si>
    <t>ACUHIT60</t>
  </si>
  <si>
    <t>ACUICH10</t>
  </si>
  <si>
    <t>ACUICH</t>
  </si>
  <si>
    <t>ACUIHW01</t>
  </si>
  <si>
    <t>ACUIHW</t>
  </si>
  <si>
    <t>ACUIHW20</t>
  </si>
  <si>
    <t>ACUIHW30</t>
  </si>
  <si>
    <t>ACUILW01</t>
  </si>
  <si>
    <t>ACUILW</t>
  </si>
  <si>
    <t>ACUILW10</t>
  </si>
  <si>
    <t>ACUILW11</t>
  </si>
  <si>
    <t>ACUINV05</t>
  </si>
  <si>
    <t>ACUINV</t>
  </si>
  <si>
    <t>ACUINV10</t>
  </si>
  <si>
    <t>ACUINV15</t>
  </si>
  <si>
    <t>ACUINV20</t>
  </si>
  <si>
    <t>ACUINV30</t>
  </si>
  <si>
    <t>ACUINV35</t>
  </si>
  <si>
    <t>ACUINV40</t>
  </si>
  <si>
    <t>ACUINV50</t>
  </si>
  <si>
    <t>ACUINV51</t>
  </si>
  <si>
    <t>ACUINV52</t>
  </si>
  <si>
    <t>ACUINV53</t>
  </si>
  <si>
    <t>ACUINV55</t>
  </si>
  <si>
    <t>ACUINV60</t>
  </si>
  <si>
    <t>ACUINV70</t>
  </si>
  <si>
    <t>ACUINV80</t>
  </si>
  <si>
    <t>ACUINV85</t>
  </si>
  <si>
    <t>ACUIRW01</t>
  </si>
  <si>
    <t>ACUIRW</t>
  </si>
  <si>
    <t>ACUIRW20</t>
  </si>
  <si>
    <t>ACUIRW30</t>
  </si>
  <si>
    <t>ACUIVH01</t>
  </si>
  <si>
    <t>ACUIVH</t>
  </si>
  <si>
    <t>ACUIVH10</t>
  </si>
  <si>
    <t>ACUIVH11</t>
  </si>
  <si>
    <t>ACUIVH20</t>
  </si>
  <si>
    <t>ACUIVH30</t>
  </si>
  <si>
    <t>ACUIVH31</t>
  </si>
  <si>
    <t>ACUIVH40</t>
  </si>
  <si>
    <t>ACUIVH50</t>
  </si>
  <si>
    <t>ACUIVH60</t>
  </si>
  <si>
    <t>ACUIVL01</t>
  </si>
  <si>
    <t>ACUIVL</t>
  </si>
  <si>
    <t>ACUIVL10</t>
  </si>
  <si>
    <t>ACUIVR01</t>
  </si>
  <si>
    <t>ACUIVR</t>
  </si>
  <si>
    <t>ACUIVR20</t>
  </si>
  <si>
    <t>ACUIVR30</t>
  </si>
  <si>
    <t>ACUIVR40</t>
  </si>
  <si>
    <t>ACUIVR50</t>
  </si>
  <si>
    <t>ACULSR10</t>
  </si>
  <si>
    <t>ACULSR</t>
  </si>
  <si>
    <t>ACUMEP10</t>
  </si>
  <si>
    <t>ACUMEP</t>
  </si>
  <si>
    <t>ACUMIS10</t>
  </si>
  <si>
    <t>ACUMIS</t>
  </si>
  <si>
    <t>ACUMIS20</t>
  </si>
  <si>
    <t>ACUMIS30</t>
  </si>
  <si>
    <t>ACUMIS40</t>
  </si>
  <si>
    <t>ACUMIS50</t>
  </si>
  <si>
    <t>ACUOEX10</t>
  </si>
  <si>
    <t>ACUOEX</t>
  </si>
  <si>
    <t>ACUOEX20</t>
  </si>
  <si>
    <t>ACUOEX30</t>
  </si>
  <si>
    <t>ACUOLD20</t>
  </si>
  <si>
    <t>ACUOLD</t>
  </si>
  <si>
    <t>ACUOOS10</t>
  </si>
  <si>
    <t>ACUOOS</t>
  </si>
  <si>
    <t>ACUOOS20</t>
  </si>
  <si>
    <t>ACUOQH10</t>
  </si>
  <si>
    <t>ACUOQH</t>
  </si>
  <si>
    <t>ACUOQH20</t>
  </si>
  <si>
    <t>ACUOQH30</t>
  </si>
  <si>
    <t>ACUOQH40</t>
  </si>
  <si>
    <t>ACUOQH50</t>
  </si>
  <si>
    <t>ACUOQH60</t>
  </si>
  <si>
    <t>ACUOQH70</t>
  </si>
  <si>
    <t>ACUORA10</t>
  </si>
  <si>
    <t>ACUORA</t>
  </si>
  <si>
    <t>ACUORH01</t>
  </si>
  <si>
    <t>ACUORH</t>
  </si>
  <si>
    <t>ACUORH02</t>
  </si>
  <si>
    <t>ACUORH03</t>
  </si>
  <si>
    <t>ACUORH10</t>
  </si>
  <si>
    <t>ACUORH11</t>
  </si>
  <si>
    <t>ACUORH20</t>
  </si>
  <si>
    <t>ACUORH21</t>
  </si>
  <si>
    <t>ACUORH30</t>
  </si>
  <si>
    <t>ACUORH40</t>
  </si>
  <si>
    <t>ACUORH50</t>
  </si>
  <si>
    <t>ACUORH51</t>
  </si>
  <si>
    <t>ACUORH60</t>
  </si>
  <si>
    <t>ACUORH70</t>
  </si>
  <si>
    <t>ACUORH80</t>
  </si>
  <si>
    <t>ACUORH85</t>
  </si>
  <si>
    <t>ACUORH90</t>
  </si>
  <si>
    <t>ACUORH95</t>
  </si>
  <si>
    <t>ACUORL01</t>
  </si>
  <si>
    <t>ACUORL</t>
  </si>
  <si>
    <t>ACUORL10</t>
  </si>
  <si>
    <t>ACUORL11</t>
  </si>
  <si>
    <t>ACUORL20</t>
  </si>
  <si>
    <t>ACUORL30</t>
  </si>
  <si>
    <t>ACUORL40</t>
  </si>
  <si>
    <t>ACUORL50</t>
  </si>
  <si>
    <t>ACUORL60</t>
  </si>
  <si>
    <t>ACUORM10</t>
  </si>
  <si>
    <t>ACUORM</t>
  </si>
  <si>
    <t>ACUORP10</t>
  </si>
  <si>
    <t>ACUORP</t>
  </si>
  <si>
    <t>ACUORP20</t>
  </si>
  <si>
    <t>ACUORX10</t>
  </si>
  <si>
    <t>ACUORX</t>
  </si>
  <si>
    <t>ACUPBH10</t>
  </si>
  <si>
    <t>ACUPBH</t>
  </si>
  <si>
    <t>ACUPRT10</t>
  </si>
  <si>
    <t>ACUPRT</t>
  </si>
  <si>
    <t>ACUSCA10</t>
  </si>
  <si>
    <t>ACUSCA</t>
  </si>
  <si>
    <t>ACUSCO10</t>
  </si>
  <si>
    <t>ACUSCO</t>
  </si>
  <si>
    <t>ACUSCO20</t>
  </si>
  <si>
    <t>ACUSTE20</t>
  </si>
  <si>
    <t>ACUSTE</t>
  </si>
  <si>
    <t>ACUVIP10</t>
  </si>
  <si>
    <t>ACUVIP</t>
  </si>
  <si>
    <t>ACUVIP20</t>
  </si>
  <si>
    <t>ACUWCP10</t>
  </si>
  <si>
    <t>ACUWCP</t>
  </si>
  <si>
    <t>ADEATT10</t>
  </si>
  <si>
    <t>ADEATT</t>
  </si>
  <si>
    <t>ADECAU10</t>
  </si>
  <si>
    <t>ADECAU</t>
  </si>
  <si>
    <t>ADECPL10</t>
  </si>
  <si>
    <t>ADECPL</t>
  </si>
  <si>
    <t>ADECPL20</t>
  </si>
  <si>
    <t>ADECPL21</t>
  </si>
  <si>
    <t>ADECPL30</t>
  </si>
  <si>
    <t>ADECPL40</t>
  </si>
  <si>
    <t>ADECPL45</t>
  </si>
  <si>
    <t>ADECPL50</t>
  </si>
  <si>
    <t>ADECPL55</t>
  </si>
  <si>
    <t>ADECPL60</t>
  </si>
  <si>
    <t>ADECPL61</t>
  </si>
  <si>
    <t>ADECPL62</t>
  </si>
  <si>
    <t>ADECPL63</t>
  </si>
  <si>
    <t>ADECPL70</t>
  </si>
  <si>
    <t>ADECPL80</t>
  </si>
  <si>
    <t>ADECPL85</t>
  </si>
  <si>
    <t>ADECPL90</t>
  </si>
  <si>
    <t>ADECPL95</t>
  </si>
  <si>
    <t>ADEDDI10</t>
  </si>
  <si>
    <t>ADEDDI</t>
  </si>
  <si>
    <t>ADEDDI20</t>
  </si>
  <si>
    <t>ADEDDI30</t>
  </si>
  <si>
    <t>ADEDDI40</t>
  </si>
  <si>
    <t>ADEDDI50</t>
  </si>
  <si>
    <t>ADEDIC10</t>
  </si>
  <si>
    <t>ADEDIC</t>
  </si>
  <si>
    <t>ADEDII10</t>
  </si>
  <si>
    <t>ADEDII</t>
  </si>
  <si>
    <t>ADEERR10</t>
  </si>
  <si>
    <t>ADEERR</t>
  </si>
  <si>
    <t>ADEERR20</t>
  </si>
  <si>
    <t>ADEERR30</t>
  </si>
  <si>
    <t>ADEISO10</t>
  </si>
  <si>
    <t>ADEISO</t>
  </si>
  <si>
    <t>ADEISO20</t>
  </si>
  <si>
    <t>ADELRE10</t>
  </si>
  <si>
    <t>ADELRE</t>
  </si>
  <si>
    <t>ADELRE20</t>
  </si>
  <si>
    <t>ADELRE30</t>
  </si>
  <si>
    <t>ADESDI10</t>
  </si>
  <si>
    <t>ADESDI</t>
  </si>
  <si>
    <t>AEMERR10</t>
  </si>
  <si>
    <t>AEMERR</t>
  </si>
  <si>
    <t>AEMMES10</t>
  </si>
  <si>
    <t>AEMMES</t>
  </si>
  <si>
    <t>AEMSWI10</t>
  </si>
  <si>
    <t>AEMSWI</t>
  </si>
  <si>
    <t>AEXCHI10</t>
  </si>
  <si>
    <t>AEXCHI</t>
  </si>
  <si>
    <t>AEXCHI20</t>
  </si>
  <si>
    <t>AEXCHI30</t>
  </si>
  <si>
    <t>AEXCHI40</t>
  </si>
  <si>
    <t>AFAFLN10</t>
  </si>
  <si>
    <t>AFAFLN</t>
  </si>
  <si>
    <t>AFAFLN20</t>
  </si>
  <si>
    <t>AFAFLN30</t>
  </si>
  <si>
    <t>AFLEXM10</t>
  </si>
  <si>
    <t>AFLEXM</t>
  </si>
  <si>
    <t>AFLEXM20</t>
  </si>
  <si>
    <t>AFLEXM30</t>
  </si>
  <si>
    <t>AFLEXM40</t>
  </si>
  <si>
    <t>AFLEXM50</t>
  </si>
  <si>
    <t>AFLFLI10</t>
  </si>
  <si>
    <t>AFLFLI</t>
  </si>
  <si>
    <t>AFLFLI20</t>
  </si>
  <si>
    <t>AFLLOG10</t>
  </si>
  <si>
    <t>AFLLOG</t>
  </si>
  <si>
    <t>AFLLOG20</t>
  </si>
  <si>
    <t>AFLLOG30</t>
  </si>
  <si>
    <t>AFLLOG40</t>
  </si>
  <si>
    <t>AINUPD01</t>
  </si>
  <si>
    <t>AINUPD</t>
  </si>
  <si>
    <t>AINUPD10</t>
  </si>
  <si>
    <t>AINUPD20</t>
  </si>
  <si>
    <t>AINUPD30</t>
  </si>
  <si>
    <t>AINUPD90</t>
  </si>
  <si>
    <t>AINVRO10</t>
  </si>
  <si>
    <t>AINVRO</t>
  </si>
  <si>
    <t>AINVRO20</t>
  </si>
  <si>
    <t>AIPALT10</t>
  </si>
  <si>
    <t>AIPALT</t>
  </si>
  <si>
    <t>AIPBAI10</t>
  </si>
  <si>
    <t>AIPBAI</t>
  </si>
  <si>
    <t>AIPBOI10</t>
  </si>
  <si>
    <t>AIPBOI</t>
  </si>
  <si>
    <t>AIPBRI10</t>
  </si>
  <si>
    <t>AIPBRI</t>
  </si>
  <si>
    <t>AIPCBD10</t>
  </si>
  <si>
    <t>AIPCBD</t>
  </si>
  <si>
    <t>AIPCBD20</t>
  </si>
  <si>
    <t>AIPCOM10</t>
  </si>
  <si>
    <t>AIPCOM</t>
  </si>
  <si>
    <t>AIPDIS10</t>
  </si>
  <si>
    <t>AIPDIS</t>
  </si>
  <si>
    <t>AIPEAL10</t>
  </si>
  <si>
    <t>AIPEAL</t>
  </si>
  <si>
    <t>AIPECO10</t>
  </si>
  <si>
    <t>AIPECO</t>
  </si>
  <si>
    <t>AIPEFF10</t>
  </si>
  <si>
    <t>AIPEFF</t>
  </si>
  <si>
    <t>AIPEIT10</t>
  </si>
  <si>
    <t>AIPEIT</t>
  </si>
  <si>
    <t>AIPEIT20</t>
  </si>
  <si>
    <t>AIPEOP10</t>
  </si>
  <si>
    <t>AIPEOP</t>
  </si>
  <si>
    <t>AIPESC10</t>
  </si>
  <si>
    <t>AIPESC</t>
  </si>
  <si>
    <t>AIPHAN20</t>
  </si>
  <si>
    <t>AIPHAN</t>
  </si>
  <si>
    <t>AIPHAN30</t>
  </si>
  <si>
    <t>AIPHAN40</t>
  </si>
  <si>
    <t>AIPITN10</t>
  </si>
  <si>
    <t>AIPITN</t>
  </si>
  <si>
    <t>AIPITN20</t>
  </si>
  <si>
    <t>AIPITN40</t>
  </si>
  <si>
    <t>AIPLAN10</t>
  </si>
  <si>
    <t>AIPLAN</t>
  </si>
  <si>
    <t>AIPLIN10</t>
  </si>
  <si>
    <t>AIPLIN</t>
  </si>
  <si>
    <t>AIPLIN20</t>
  </si>
  <si>
    <t>AIPLOI10</t>
  </si>
  <si>
    <t>AIPLOI</t>
  </si>
  <si>
    <t>AIPLOS10</t>
  </si>
  <si>
    <t>AIPLOS</t>
  </si>
  <si>
    <t>AIPLRI10</t>
  </si>
  <si>
    <t>AIPLRI</t>
  </si>
  <si>
    <t>AIPOIS10</t>
  </si>
  <si>
    <t>AIPOIS</t>
  </si>
  <si>
    <t>AIPOPT10</t>
  </si>
  <si>
    <t>AIPOPT</t>
  </si>
  <si>
    <t>AIPPOS10</t>
  </si>
  <si>
    <t>AIPPOS</t>
  </si>
  <si>
    <t>AIPPRO10</t>
  </si>
  <si>
    <t>AIPPRO</t>
  </si>
  <si>
    <t>AIPPRO20</t>
  </si>
  <si>
    <t>AIPQTY10</t>
  </si>
  <si>
    <t>AIPQTY</t>
  </si>
  <si>
    <t>AIPVER10</t>
  </si>
  <si>
    <t>AIPVER</t>
  </si>
  <si>
    <t>AIPVER20</t>
  </si>
  <si>
    <t>AIPVER30</t>
  </si>
  <si>
    <t>AISELE10</t>
  </si>
  <si>
    <t>AISELE</t>
  </si>
  <si>
    <t>AISELE20</t>
  </si>
  <si>
    <t>AISELE30</t>
  </si>
  <si>
    <t>AITATA10</t>
  </si>
  <si>
    <t>AITATA</t>
  </si>
  <si>
    <t>AITATA20</t>
  </si>
  <si>
    <t>AITATA30</t>
  </si>
  <si>
    <t>AITLSP10</t>
  </si>
  <si>
    <t>AITLSP</t>
  </si>
  <si>
    <t>AITLSP20</t>
  </si>
  <si>
    <t>AITLSP30</t>
  </si>
  <si>
    <t>ALOANI10</t>
  </si>
  <si>
    <t>ALOANI</t>
  </si>
  <si>
    <t>ALOANI20</t>
  </si>
  <si>
    <t>ALOANI30</t>
  </si>
  <si>
    <t>ALOANI40</t>
  </si>
  <si>
    <t>ALOANI50</t>
  </si>
  <si>
    <t>ALOANI60</t>
  </si>
  <si>
    <t>ALOANI70</t>
  </si>
  <si>
    <t>ALOPOS10</t>
  </si>
  <si>
    <t>ALOPOS</t>
  </si>
  <si>
    <t>AMODAL10</t>
  </si>
  <si>
    <t>AMODAL</t>
  </si>
  <si>
    <t>AMOINF10</t>
  </si>
  <si>
    <t>AMOINF</t>
  </si>
  <si>
    <t>AMREIN10</t>
  </si>
  <si>
    <t>AMREIN</t>
  </si>
  <si>
    <t>AMREIN15</t>
  </si>
  <si>
    <t>AMREIN16</t>
  </si>
  <si>
    <t>AMREIN20</t>
  </si>
  <si>
    <t>AMREIN30</t>
  </si>
  <si>
    <t>AMREIN40</t>
  </si>
  <si>
    <t>AMREIN50</t>
  </si>
  <si>
    <t>AMREIN60</t>
  </si>
  <si>
    <t>AMREIN70</t>
  </si>
  <si>
    <t>AMREIN75</t>
  </si>
  <si>
    <t>AMREIN76</t>
  </si>
  <si>
    <t>AMREIN80</t>
  </si>
  <si>
    <t>AMREIN85</t>
  </si>
  <si>
    <t>AMREIN90</t>
  </si>
  <si>
    <t>AMREIN95</t>
  </si>
  <si>
    <t>AMULVL10</t>
  </si>
  <si>
    <t>AMULVL</t>
  </si>
  <si>
    <t>AMUTRA10</t>
  </si>
  <si>
    <t>AMUTRA</t>
  </si>
  <si>
    <t>AOCESE10</t>
  </si>
  <si>
    <t>AOCESE</t>
  </si>
  <si>
    <t>AOCHPN10</t>
  </si>
  <si>
    <t>AOCHPN</t>
  </si>
  <si>
    <t>AOCHPN20</t>
  </si>
  <si>
    <t>AOCHPN30</t>
  </si>
  <si>
    <t>AODACT10</t>
  </si>
  <si>
    <t>AODACT</t>
  </si>
  <si>
    <t>AODACT20</t>
  </si>
  <si>
    <t>AODACT30</t>
  </si>
  <si>
    <t>AODACT40</t>
  </si>
  <si>
    <t>AODORE10</t>
  </si>
  <si>
    <t>AODORE</t>
  </si>
  <si>
    <t>AODORE20</t>
  </si>
  <si>
    <t>AOHEAD02</t>
  </si>
  <si>
    <t>AOHEAD</t>
  </si>
  <si>
    <t>AOHEAD10</t>
  </si>
  <si>
    <t>AOHEAD20</t>
  </si>
  <si>
    <t>AOHEAD30</t>
  </si>
  <si>
    <t>AOHEAD40</t>
  </si>
  <si>
    <t>AOHEAD50</t>
  </si>
  <si>
    <t>AOHEAD60</t>
  </si>
  <si>
    <t>AOHEAD70</t>
  </si>
  <si>
    <t>AOHEAD80</t>
  </si>
  <si>
    <t>AOLINE10</t>
  </si>
  <si>
    <t>AOLINE</t>
  </si>
  <si>
    <t>AOLINE20</t>
  </si>
  <si>
    <t>AOMPGE10</t>
  </si>
  <si>
    <t>AOMPGE</t>
  </si>
  <si>
    <t>AOMPGL20</t>
  </si>
  <si>
    <t>AOMPGL</t>
  </si>
  <si>
    <t>AOMPGM10</t>
  </si>
  <si>
    <t>AOMPGM</t>
  </si>
  <si>
    <t>AOMPGM20</t>
  </si>
  <si>
    <t>AOMPGR10</t>
  </si>
  <si>
    <t>AOMPGR</t>
  </si>
  <si>
    <t>AOMPGR20</t>
  </si>
  <si>
    <t>AOOPGM10</t>
  </si>
  <si>
    <t>AOOPGM</t>
  </si>
  <si>
    <t>AOOPPL10</t>
  </si>
  <si>
    <t>AOOPPL</t>
  </si>
  <si>
    <t>AOOPPL20</t>
  </si>
  <si>
    <t>AOSCRQ10</t>
  </si>
  <si>
    <t>AOSCRQ</t>
  </si>
  <si>
    <t>APDMAT10</t>
  </si>
  <si>
    <t>APDMAT</t>
  </si>
  <si>
    <t>APDMAT60</t>
  </si>
  <si>
    <t>APDMED10</t>
  </si>
  <si>
    <t>APDMED</t>
  </si>
  <si>
    <t>APDMEO10</t>
  </si>
  <si>
    <t>APDMEO</t>
  </si>
  <si>
    <t>APDOPE10</t>
  </si>
  <si>
    <t>APDOPE</t>
  </si>
  <si>
    <t>APDOPS10</t>
  </si>
  <si>
    <t>APDOPS</t>
  </si>
  <si>
    <t>APDOPS20</t>
  </si>
  <si>
    <t>APDPMM10</t>
  </si>
  <si>
    <t>APDPMM</t>
  </si>
  <si>
    <t>APDRMA10</t>
  </si>
  <si>
    <t>APDRMA</t>
  </si>
  <si>
    <t>APDRMA20</t>
  </si>
  <si>
    <t>APDSCF10</t>
  </si>
  <si>
    <t>APDSCF20</t>
  </si>
  <si>
    <t>APDSCF30</t>
  </si>
  <si>
    <t>APDSCF40</t>
  </si>
  <si>
    <t>APDSCF60</t>
  </si>
  <si>
    <t>APDSRC10</t>
  </si>
  <si>
    <t>APDSRC</t>
  </si>
  <si>
    <t>APFEHE10</t>
  </si>
  <si>
    <t>APFEHE</t>
  </si>
  <si>
    <t>APRMAT10</t>
  </si>
  <si>
    <t>APRMAT</t>
  </si>
  <si>
    <t>APSMHE21</t>
  </si>
  <si>
    <t>APSMHE</t>
  </si>
  <si>
    <t>APSMHE30</t>
  </si>
  <si>
    <t>APSMTP10</t>
  </si>
  <si>
    <t>APSMTP</t>
  </si>
  <si>
    <t>APSOSD10</t>
  </si>
  <si>
    <t>APSOSD</t>
  </si>
  <si>
    <t>APSOSH10</t>
  </si>
  <si>
    <t>APSOSH</t>
  </si>
  <si>
    <t>APSOSH20</t>
  </si>
  <si>
    <t>APSOSH30</t>
  </si>
  <si>
    <t>APSOSH40</t>
  </si>
  <si>
    <t>APSOSH50</t>
  </si>
  <si>
    <t>APSOSH60</t>
  </si>
  <si>
    <t>APSPOR10</t>
  </si>
  <si>
    <t>APSPOR</t>
  </si>
  <si>
    <t>APSPOS10</t>
  </si>
  <si>
    <t>APSPOS</t>
  </si>
  <si>
    <t>APSPQO10</t>
  </si>
  <si>
    <t>APSPQO</t>
  </si>
  <si>
    <t>APSPQO20</t>
  </si>
  <si>
    <t>AQQVER10</t>
  </si>
  <si>
    <t>AQQVER</t>
  </si>
  <si>
    <t>AQSDRE05</t>
  </si>
  <si>
    <t>AQSDRE</t>
  </si>
  <si>
    <t>AQSDRE10</t>
  </si>
  <si>
    <t>AQSDRE15</t>
  </si>
  <si>
    <t>AQSDRE20</t>
  </si>
  <si>
    <t>AQSDRE25</t>
  </si>
  <si>
    <t>ARCDLR10</t>
  </si>
  <si>
    <t>ARCDLR</t>
  </si>
  <si>
    <t>ARCELO10</t>
  </si>
  <si>
    <t>ARCELO</t>
  </si>
  <si>
    <t>ARCELO20</t>
  </si>
  <si>
    <t>ARCHLO10</t>
  </si>
  <si>
    <t>ARCHLO</t>
  </si>
  <si>
    <t>ARCHLO20</t>
  </si>
  <si>
    <t>ARCHLO30</t>
  </si>
  <si>
    <t>ARCHLO40</t>
  </si>
  <si>
    <t>ARCSCH10</t>
  </si>
  <si>
    <t>ARCSCH</t>
  </si>
  <si>
    <t>ARCSEL10</t>
  </si>
  <si>
    <t>ARCSEL</t>
  </si>
  <si>
    <t>ARCTAB10</t>
  </si>
  <si>
    <t>ARCTAB</t>
  </si>
  <si>
    <t>ARCTAB20</t>
  </si>
  <si>
    <t>ARCTLO10</t>
  </si>
  <si>
    <t>ARCTLO</t>
  </si>
  <si>
    <t>ARCVWI10</t>
  </si>
  <si>
    <t>ARCVWI</t>
  </si>
  <si>
    <t>ARCVWI20</t>
  </si>
  <si>
    <t>ASUBCS10</t>
  </si>
  <si>
    <t>ASUBCS</t>
  </si>
  <si>
    <t>ASUBCS20</t>
  </si>
  <si>
    <t>AURESU10</t>
  </si>
  <si>
    <t>AURESU</t>
  </si>
  <si>
    <t>AURESU20</t>
  </si>
  <si>
    <t>AURESU30</t>
  </si>
  <si>
    <t>AXCNTR20</t>
  </si>
  <si>
    <t>AXCNTR</t>
  </si>
  <si>
    <t>AXCNTR30</t>
  </si>
  <si>
    <t>AXCNTR40</t>
  </si>
  <si>
    <t>AXCNTR50</t>
  </si>
  <si>
    <t>AXCNTR60</t>
  </si>
  <si>
    <t>AXUORL10</t>
  </si>
  <si>
    <t>AXUORL</t>
  </si>
  <si>
    <t>BBUTEH10</t>
  </si>
  <si>
    <t>BBUTEH</t>
  </si>
  <si>
    <t>BBUTEL10</t>
  </si>
  <si>
    <t>BBUTEL</t>
  </si>
  <si>
    <t>BCHKHE10</t>
  </si>
  <si>
    <t>BCHKHE</t>
  </si>
  <si>
    <t>BCHKLI10</t>
  </si>
  <si>
    <t>BCHKLI</t>
  </si>
  <si>
    <t>BCUPRJ10</t>
  </si>
  <si>
    <t>BCUPRJ</t>
  </si>
  <si>
    <t>BCUPRJ20</t>
  </si>
  <si>
    <t>BELEME10</t>
  </si>
  <si>
    <t>BELEME</t>
  </si>
  <si>
    <t>BELEME20</t>
  </si>
  <si>
    <t>BELEME30</t>
  </si>
  <si>
    <t>BELLAD10</t>
  </si>
  <si>
    <t>BELLAD</t>
  </si>
  <si>
    <t>BINACC01</t>
  </si>
  <si>
    <t>BINACC</t>
  </si>
  <si>
    <t>BINACC10</t>
  </si>
  <si>
    <t>BINACC20</t>
  </si>
  <si>
    <t>BINACC40</t>
  </si>
  <si>
    <t>BINACC50</t>
  </si>
  <si>
    <t>BKMSTA10</t>
  </si>
  <si>
    <t>BKMSTA</t>
  </si>
  <si>
    <t>BMOOPO20</t>
  </si>
  <si>
    <t>BMOOPO</t>
  </si>
  <si>
    <t>BMOSIM10</t>
  </si>
  <si>
    <t>BMOSIM</t>
  </si>
  <si>
    <t>BMPLAN01</t>
  </si>
  <si>
    <t>BMPLAN</t>
  </si>
  <si>
    <t>BMPLAN02</t>
  </si>
  <si>
    <t>BMPLAN03</t>
  </si>
  <si>
    <t>BMPLAN04</t>
  </si>
  <si>
    <t>BMPLAN10</t>
  </si>
  <si>
    <t>BMPLAN15</t>
  </si>
  <si>
    <t>BMPLAN30</t>
  </si>
  <si>
    <t>BMPLAN35</t>
  </si>
  <si>
    <t>BMPLAN40</t>
  </si>
  <si>
    <t>BMPLAN50</t>
  </si>
  <si>
    <t>BMPLAN60</t>
  </si>
  <si>
    <t>BMPLAN70</t>
  </si>
  <si>
    <t>BMPLAN71</t>
  </si>
  <si>
    <t>BMPLAN72</t>
  </si>
  <si>
    <t>BMPLAN80</t>
  </si>
  <si>
    <t>BMPLAN82</t>
  </si>
  <si>
    <t>BMPLAN85</t>
  </si>
  <si>
    <t>BMPLAN90</t>
  </si>
  <si>
    <t>BMPLAX10</t>
  </si>
  <si>
    <t>BMPLAX</t>
  </si>
  <si>
    <t>BMPLAX20</t>
  </si>
  <si>
    <t>BMPLAX30</t>
  </si>
  <si>
    <t>BMPLAX40</t>
  </si>
  <si>
    <t>BMPLAX50</t>
  </si>
  <si>
    <t>BMTPHE10</t>
  </si>
  <si>
    <t>BMTPHE</t>
  </si>
  <si>
    <t>BMTPLN10</t>
  </si>
  <si>
    <t>BMTPLN</t>
  </si>
  <si>
    <t>BPACTO30</t>
  </si>
  <si>
    <t>BPACTO</t>
  </si>
  <si>
    <t>BPADTX10</t>
  </si>
  <si>
    <t>BPADTX</t>
  </si>
  <si>
    <t>BPBFTY10</t>
  </si>
  <si>
    <t>BPBFTY</t>
  </si>
  <si>
    <t>BPBUAD10</t>
  </si>
  <si>
    <t>BPBUAD</t>
  </si>
  <si>
    <t>BPBUBC10</t>
  </si>
  <si>
    <t>BPBUBC</t>
  </si>
  <si>
    <t>BPBUBC30</t>
  </si>
  <si>
    <t>BPBUBC40</t>
  </si>
  <si>
    <t>BPBUEL01</t>
  </si>
  <si>
    <t>BPBUEL</t>
  </si>
  <si>
    <t>BPBUEL10</t>
  </si>
  <si>
    <t>BPBUEL20</t>
  </si>
  <si>
    <t>BPBUFO10</t>
  </si>
  <si>
    <t>BPBUFO</t>
  </si>
  <si>
    <t>BPBUFO20</t>
  </si>
  <si>
    <t>BPBUFO30</t>
  </si>
  <si>
    <t>BPBUVE10</t>
  </si>
  <si>
    <t>BPBUVE</t>
  </si>
  <si>
    <t>BPBUVE20</t>
  </si>
  <si>
    <t>BPBUVE30</t>
  </si>
  <si>
    <t>BPCHBU10</t>
  </si>
  <si>
    <t>BPCHBU</t>
  </si>
  <si>
    <t>BPCHGO10</t>
  </si>
  <si>
    <t>BPCHGO</t>
  </si>
  <si>
    <t>BPCHGO20</t>
  </si>
  <si>
    <t>BPCHGO30</t>
  </si>
  <si>
    <t>BPCHGO40</t>
  </si>
  <si>
    <t>BPCHGO50</t>
  </si>
  <si>
    <t>BPCHGO60</t>
  </si>
  <si>
    <t>BPCHGO70</t>
  </si>
  <si>
    <t>BPCHGO80</t>
  </si>
  <si>
    <t>BPCHRC10</t>
  </si>
  <si>
    <t>BPCHRC</t>
  </si>
  <si>
    <t>BPCRPC10</t>
  </si>
  <si>
    <t>BPCRPC</t>
  </si>
  <si>
    <t>BPCRPE10</t>
  </si>
  <si>
    <t>BPCRPE</t>
  </si>
  <si>
    <t>BPCRTO10</t>
  </si>
  <si>
    <t>BPCRTO</t>
  </si>
  <si>
    <t>BPCTEL10</t>
  </si>
  <si>
    <t>BPCTEL</t>
  </si>
  <si>
    <t>BPCUOR10</t>
  </si>
  <si>
    <t>BPCUOR</t>
  </si>
  <si>
    <t>BPELAD10</t>
  </si>
  <si>
    <t>BPELAD</t>
  </si>
  <si>
    <t>BPELCO10</t>
  </si>
  <si>
    <t>BPELCO</t>
  </si>
  <si>
    <t>BPELCO20</t>
  </si>
  <si>
    <t>BPELCO30</t>
  </si>
  <si>
    <t>BPELCO40</t>
  </si>
  <si>
    <t>BPELCO50</t>
  </si>
  <si>
    <t>BPERAC10</t>
  </si>
  <si>
    <t>BPERAC</t>
  </si>
  <si>
    <t>BPEROU10</t>
  </si>
  <si>
    <t>BPEROU</t>
  </si>
  <si>
    <t>BPFOVE10</t>
  </si>
  <si>
    <t>BPFOVE</t>
  </si>
  <si>
    <t>BPFOVE20</t>
  </si>
  <si>
    <t>BPFOVE30</t>
  </si>
  <si>
    <t>BPFOVE40</t>
  </si>
  <si>
    <t>BPGSTR10</t>
  </si>
  <si>
    <t>BPGSTR</t>
  </si>
  <si>
    <t>BPIDPC10</t>
  </si>
  <si>
    <t>BPIDPC</t>
  </si>
  <si>
    <t>BPIDPE10</t>
  </si>
  <si>
    <t>BPIDPE</t>
  </si>
  <si>
    <t>BPIDPR10</t>
  </si>
  <si>
    <t>BPIDPR</t>
  </si>
  <si>
    <t>BPIDTO10</t>
  </si>
  <si>
    <t>BPIDTO</t>
  </si>
  <si>
    <t>BPIDTO30</t>
  </si>
  <si>
    <t>BPIDTO40</t>
  </si>
  <si>
    <t>BPIDTO50</t>
  </si>
  <si>
    <t>BPINDE10</t>
  </si>
  <si>
    <t>BPINDE</t>
  </si>
  <si>
    <t>BPINDE20</t>
  </si>
  <si>
    <t>BPINDE30</t>
  </si>
  <si>
    <t>BPINDE40</t>
  </si>
  <si>
    <t>BPINDE50</t>
  </si>
  <si>
    <t>BPINDH40</t>
  </si>
  <si>
    <t>BPINDH</t>
  </si>
  <si>
    <t>BPINHE10</t>
  </si>
  <si>
    <t>BPINHE</t>
  </si>
  <si>
    <t>BPINHE20</t>
  </si>
  <si>
    <t>BPINHE21</t>
  </si>
  <si>
    <t>BPINHE30</t>
  </si>
  <si>
    <t>BPINHE31</t>
  </si>
  <si>
    <t>BPINHE40</t>
  </si>
  <si>
    <t>BPINHE80</t>
  </si>
  <si>
    <t>BPINHE81</t>
  </si>
  <si>
    <t>BPINHE90</t>
  </si>
  <si>
    <t>BPINHI10</t>
  </si>
  <si>
    <t>BPINHI</t>
  </si>
  <si>
    <t>BPINHI20</t>
  </si>
  <si>
    <t>BPINHI80</t>
  </si>
  <si>
    <t>BPINHI90</t>
  </si>
  <si>
    <t>BPINID10</t>
  </si>
  <si>
    <t>BPINID</t>
  </si>
  <si>
    <t>BPINLC10</t>
  </si>
  <si>
    <t>BPINLC</t>
  </si>
  <si>
    <t>BPINLN10</t>
  </si>
  <si>
    <t>BPINLN</t>
  </si>
  <si>
    <t>BPINLN30</t>
  </si>
  <si>
    <t>BPLEAD10</t>
  </si>
  <si>
    <t>BPLEAD</t>
  </si>
  <si>
    <t>BPMOPO10</t>
  </si>
  <si>
    <t>BPMOPO</t>
  </si>
  <si>
    <t>BPMOPO20</t>
  </si>
  <si>
    <t>BPO65100</t>
  </si>
  <si>
    <t>BPO651</t>
  </si>
  <si>
    <t>BPO65120</t>
  </si>
  <si>
    <t>BPO65200</t>
  </si>
  <si>
    <t>BPO652</t>
  </si>
  <si>
    <t>BPO91600</t>
  </si>
  <si>
    <t>BPO916</t>
  </si>
  <si>
    <t>BPO91P00</t>
  </si>
  <si>
    <t>BPO91P</t>
  </si>
  <si>
    <t>BPO95020</t>
  </si>
  <si>
    <t>BPO950</t>
  </si>
  <si>
    <t>BPO95090</t>
  </si>
  <si>
    <t>BPOCHK10</t>
  </si>
  <si>
    <t>BPOCHK</t>
  </si>
  <si>
    <t>BPOCHK20</t>
  </si>
  <si>
    <t>BPOCHK30</t>
  </si>
  <si>
    <t>BPOTYP10</t>
  </si>
  <si>
    <t>BPOTYP</t>
  </si>
  <si>
    <t>BPPCLI10</t>
  </si>
  <si>
    <t>BPPCLI</t>
  </si>
  <si>
    <t>BPPCLI20</t>
  </si>
  <si>
    <t>BPPCTO20</t>
  </si>
  <si>
    <t>BPPCTO</t>
  </si>
  <si>
    <t>BPPCVE10</t>
  </si>
  <si>
    <t>BPPCVE</t>
  </si>
  <si>
    <t>BPPCVE20</t>
  </si>
  <si>
    <t>BPPCVE30</t>
  </si>
  <si>
    <t>BPPEBU10</t>
  </si>
  <si>
    <t>BPPEBU</t>
  </si>
  <si>
    <t>BPPETC10</t>
  </si>
  <si>
    <t>BPPETC</t>
  </si>
  <si>
    <t>BPPETO10</t>
  </si>
  <si>
    <t>BPPETO</t>
  </si>
  <si>
    <t>BPPMPD50</t>
  </si>
  <si>
    <t>BPPMPD</t>
  </si>
  <si>
    <t>BPPMPH10</t>
  </si>
  <si>
    <t>BPPMPH</t>
  </si>
  <si>
    <t>BPPUOR10</t>
  </si>
  <si>
    <t>BPPUOR</t>
  </si>
  <si>
    <t>BPREDE10</t>
  </si>
  <si>
    <t>BPREDE</t>
  </si>
  <si>
    <t>BPROJH10</t>
  </si>
  <si>
    <t>BPROJH</t>
  </si>
  <si>
    <t>BPROJH20</t>
  </si>
  <si>
    <t>BPROJI10</t>
  </si>
  <si>
    <t>BPROJI</t>
  </si>
  <si>
    <t>BPROJS01</t>
  </si>
  <si>
    <t>BPROJS</t>
  </si>
  <si>
    <t>BPROJS10</t>
  </si>
  <si>
    <t>BPROJS11</t>
  </si>
  <si>
    <t>BPROJS12</t>
  </si>
  <si>
    <t>BPROJS13</t>
  </si>
  <si>
    <t>BPROJS14</t>
  </si>
  <si>
    <t>BPROJS15</t>
  </si>
  <si>
    <t>BPROJS16</t>
  </si>
  <si>
    <t>BPROJS17</t>
  </si>
  <si>
    <t>BPROJS18</t>
  </si>
  <si>
    <t>BPROJS19</t>
  </si>
  <si>
    <t>BPROJS20</t>
  </si>
  <si>
    <t>BPROJS30</t>
  </si>
  <si>
    <t>BPROJS40</t>
  </si>
  <si>
    <t>BPROJS41</t>
  </si>
  <si>
    <t>BPROJS50</t>
  </si>
  <si>
    <t>BPROJS51</t>
  </si>
  <si>
    <t>BPROJS60</t>
  </si>
  <si>
    <t>BPROJS65</t>
  </si>
  <si>
    <t>BPROJS70</t>
  </si>
  <si>
    <t>BPROJS75</t>
  </si>
  <si>
    <t>BPROJS80</t>
  </si>
  <si>
    <t>BPROJS85</t>
  </si>
  <si>
    <t>BPROJS86</t>
  </si>
  <si>
    <t>BPROJS90</t>
  </si>
  <si>
    <t>BPRPRE10</t>
  </si>
  <si>
    <t>BPRPRE</t>
  </si>
  <si>
    <t>BPRPRE20</t>
  </si>
  <si>
    <t>BPRPRE30</t>
  </si>
  <si>
    <t>BPRPRE40</t>
  </si>
  <si>
    <t>BPRPRE50</t>
  </si>
  <si>
    <t>BPSETL10</t>
  </si>
  <si>
    <t>BPSETL</t>
  </si>
  <si>
    <t>BPSETP10</t>
  </si>
  <si>
    <t>BPSETP</t>
  </si>
  <si>
    <t>BPSTEL10</t>
  </si>
  <si>
    <t>BPSTEL</t>
  </si>
  <si>
    <t>BPTASK10</t>
  </si>
  <si>
    <t>BPTASK</t>
  </si>
  <si>
    <t>BPTASK20</t>
  </si>
  <si>
    <t>BPTASK30</t>
  </si>
  <si>
    <t>BPTIME10</t>
  </si>
  <si>
    <t>BPTIME</t>
  </si>
  <si>
    <t>BPTIME20</t>
  </si>
  <si>
    <t>BPTIME30</t>
  </si>
  <si>
    <t>BPTIME40</t>
  </si>
  <si>
    <t>BPTIME50</t>
  </si>
  <si>
    <t>BPTIME60</t>
  </si>
  <si>
    <t>BPTPLI10</t>
  </si>
  <si>
    <t>BPTPLI</t>
  </si>
  <si>
    <t>BPTPLI15</t>
  </si>
  <si>
    <t>BPTPLI20</t>
  </si>
  <si>
    <t>BPTPLI25</t>
  </si>
  <si>
    <t>BPTPLI30</t>
  </si>
  <si>
    <t>BPTPLI35</t>
  </si>
  <si>
    <t>BPTPLI40</t>
  </si>
  <si>
    <t>BPTPLI45</t>
  </si>
  <si>
    <t>BPTPLI50</t>
  </si>
  <si>
    <t>BPTPLI60</t>
  </si>
  <si>
    <t>BPTPVE10</t>
  </si>
  <si>
    <t>BPTPVE</t>
  </si>
  <si>
    <t>BPTPVE20</t>
  </si>
  <si>
    <t>BSASTD90</t>
  </si>
  <si>
    <t>BSASTD</t>
  </si>
  <si>
    <t>BSETAD10</t>
  </si>
  <si>
    <t>BSETAD</t>
  </si>
  <si>
    <t>BSETGL20</t>
  </si>
  <si>
    <t>BSETGL</t>
  </si>
  <si>
    <t>BSETGL25</t>
  </si>
  <si>
    <t>BSETHI10</t>
  </si>
  <si>
    <t>BSETHI</t>
  </si>
  <si>
    <t>BULKMI10</t>
  </si>
  <si>
    <t>BULKMI</t>
  </si>
  <si>
    <t>CAAAGG10</t>
  </si>
  <si>
    <t>CAAAGG</t>
  </si>
  <si>
    <t>CAABAL10</t>
  </si>
  <si>
    <t>CAABAL</t>
  </si>
  <si>
    <t>CAABAL20</t>
  </si>
  <si>
    <t>CAABAL30</t>
  </si>
  <si>
    <t>CAABAL40</t>
  </si>
  <si>
    <t>CAABAL50</t>
  </si>
  <si>
    <t>CAABAL60</t>
  </si>
  <si>
    <t>CAABAL70</t>
  </si>
  <si>
    <t>CAABAL71</t>
  </si>
  <si>
    <t>CAABAL80</t>
  </si>
  <si>
    <t>CAABAL90</t>
  </si>
  <si>
    <t>CAACTL10</t>
  </si>
  <si>
    <t>CAACTL</t>
  </si>
  <si>
    <t>CAAEMP10</t>
  </si>
  <si>
    <t>CAAEMP</t>
  </si>
  <si>
    <t>CAAKDF10</t>
  </si>
  <si>
    <t>CAAKDF</t>
  </si>
  <si>
    <t>CAAKDF20</t>
  </si>
  <si>
    <t>CAAKEY10</t>
  </si>
  <si>
    <t>CAAKEY</t>
  </si>
  <si>
    <t>CAAMAN10</t>
  </si>
  <si>
    <t>CAAMAN</t>
  </si>
  <si>
    <t>CAATRA10</t>
  </si>
  <si>
    <t>CAATRA</t>
  </si>
  <si>
    <t>CAATRA20</t>
  </si>
  <si>
    <t>CAATRA30</t>
  </si>
  <si>
    <t>CAATRA40</t>
  </si>
  <si>
    <t>CAATRA50</t>
  </si>
  <si>
    <t>CAAWFH10</t>
  </si>
  <si>
    <t>CAAWFH</t>
  </si>
  <si>
    <t>CAAWFH20</t>
  </si>
  <si>
    <t>CAAWFV10</t>
  </si>
  <si>
    <t>CAAWFV</t>
  </si>
  <si>
    <t>CAAWRK10</t>
  </si>
  <si>
    <t>CAAWRK</t>
  </si>
  <si>
    <t>CAAWRK20</t>
  </si>
  <si>
    <t>CACSCD10</t>
  </si>
  <si>
    <t>CACSCD</t>
  </si>
  <si>
    <t>CAEMPD10</t>
  </si>
  <si>
    <t>CAEMPD</t>
  </si>
  <si>
    <t>CAEMPD20</t>
  </si>
  <si>
    <t>CAEMPS10</t>
  </si>
  <si>
    <t>CAEMPS</t>
  </si>
  <si>
    <t>CAEMPS20</t>
  </si>
  <si>
    <t>CAMCON10</t>
  </si>
  <si>
    <t>CAMCON</t>
  </si>
  <si>
    <t>CAMHEA10</t>
  </si>
  <si>
    <t>CAMHEA</t>
  </si>
  <si>
    <t>CAMRUL10</t>
  </si>
  <si>
    <t>CAMRUL</t>
  </si>
  <si>
    <t>CASTDV10</t>
  </si>
  <si>
    <t>CBANAC10</t>
  </si>
  <si>
    <t>CBANAC20</t>
  </si>
  <si>
    <t>CBANAC30</t>
  </si>
  <si>
    <t>CBANAC40</t>
  </si>
  <si>
    <t>CBANAC50</t>
  </si>
  <si>
    <t>CBANAC60</t>
  </si>
  <si>
    <t>CBANAC70</t>
  </si>
  <si>
    <t>CBANAC80</t>
  </si>
  <si>
    <t>CBANAC90</t>
  </si>
  <si>
    <t>CBANAC91</t>
  </si>
  <si>
    <t>CBANAC92</t>
  </si>
  <si>
    <t>CBANACX0#MNO</t>
  </si>
  <si>
    <t>CBANBR10</t>
  </si>
  <si>
    <t>CBANBR20</t>
  </si>
  <si>
    <t>CBANMA10</t>
  </si>
  <si>
    <t>CBANMA20</t>
  </si>
  <si>
    <t>CBANVA10</t>
  </si>
  <si>
    <t>CBANVA20</t>
  </si>
  <si>
    <t>CBMINH10</t>
  </si>
  <si>
    <t>CBMINH</t>
  </si>
  <si>
    <t>CBMINH20</t>
  </si>
  <si>
    <t>CBMLOG10</t>
  </si>
  <si>
    <t>CBMLOG</t>
  </si>
  <si>
    <t>CBMSTA10</t>
  </si>
  <si>
    <t>CBMSTA20</t>
  </si>
  <si>
    <t>CBMSTA30</t>
  </si>
  <si>
    <t>CBMSTA40</t>
  </si>
  <si>
    <t>CBUSTP10</t>
  </si>
  <si>
    <t>CBUSTP</t>
  </si>
  <si>
    <t>CCACAP10</t>
  </si>
  <si>
    <t>CCACAP</t>
  </si>
  <si>
    <t>CCACAP30</t>
  </si>
  <si>
    <t>CCACAP40</t>
  </si>
  <si>
    <t>CCACAP50</t>
  </si>
  <si>
    <t>CCACAP60</t>
  </si>
  <si>
    <t>CCADEF10</t>
  </si>
  <si>
    <t>CCADEF</t>
  </si>
  <si>
    <t>CCAHIS10</t>
  </si>
  <si>
    <t>CCAHIS</t>
  </si>
  <si>
    <t>CCAHIS20</t>
  </si>
  <si>
    <t>CCALVR05</t>
  </si>
  <si>
    <t>CCALVR</t>
  </si>
  <si>
    <t>CCALVR10</t>
  </si>
  <si>
    <t>CCALVR15</t>
  </si>
  <si>
    <t>CCALVR20</t>
  </si>
  <si>
    <t>CCALVR30</t>
  </si>
  <si>
    <t>CCALVR40</t>
  </si>
  <si>
    <t>CCALVR50</t>
  </si>
  <si>
    <t>CCALVR60</t>
  </si>
  <si>
    <t>CCALVR70</t>
  </si>
  <si>
    <t>CCALVR80</t>
  </si>
  <si>
    <t>CCALVR90</t>
  </si>
  <si>
    <t>CCALVR95</t>
  </si>
  <si>
    <t>CCAOBJ10</t>
  </si>
  <si>
    <t>CCAOBJ</t>
  </si>
  <si>
    <t>CCCSET10</t>
  </si>
  <si>
    <t>CCCSET</t>
  </si>
  <si>
    <t>CCIDIH10</t>
  </si>
  <si>
    <t>CCIDIH</t>
  </si>
  <si>
    <t>CCIITE10</t>
  </si>
  <si>
    <t>CCIITE</t>
  </si>
  <si>
    <t>CCIITU10</t>
  </si>
  <si>
    <t>CCIITU</t>
  </si>
  <si>
    <t>CCM10010</t>
  </si>
  <si>
    <t>CCM100</t>
  </si>
  <si>
    <t>CCM10020</t>
  </si>
  <si>
    <t>CCM10110</t>
  </si>
  <si>
    <t>CCM101</t>
  </si>
  <si>
    <t>CCM10210</t>
  </si>
  <si>
    <t>CCM102</t>
  </si>
  <si>
    <t>CCM10510</t>
  </si>
  <si>
    <t>CCM105</t>
  </si>
  <si>
    <t>CCM10610</t>
  </si>
  <si>
    <t>CCM106</t>
  </si>
  <si>
    <t>CCM10620</t>
  </si>
  <si>
    <t>CCM10630</t>
  </si>
  <si>
    <t>CCM10640</t>
  </si>
  <si>
    <t>CCM10810</t>
  </si>
  <si>
    <t>CCM108</t>
  </si>
  <si>
    <t>CCM10910</t>
  </si>
  <si>
    <t>CCM109</t>
  </si>
  <si>
    <t>CCM11010</t>
  </si>
  <si>
    <t>CCM110</t>
  </si>
  <si>
    <t>CCM11020</t>
  </si>
  <si>
    <t>CCM11030</t>
  </si>
  <si>
    <t>CCM11310</t>
  </si>
  <si>
    <t>CCM113</t>
  </si>
  <si>
    <t>CCM50010</t>
  </si>
  <si>
    <t>CCM500</t>
  </si>
  <si>
    <t>CCR01610</t>
  </si>
  <si>
    <t>CCR016</t>
  </si>
  <si>
    <t>CCR02010</t>
  </si>
  <si>
    <t>CCR020</t>
  </si>
  <si>
    <t>CCR20610</t>
  </si>
  <si>
    <t>CCR206</t>
  </si>
  <si>
    <t>CCR20620</t>
  </si>
  <si>
    <t>CCR20705</t>
  </si>
  <si>
    <t>CCR207</t>
  </si>
  <si>
    <t>CCR20710</t>
  </si>
  <si>
    <t>CCR50010</t>
  </si>
  <si>
    <t>CCR500</t>
  </si>
  <si>
    <t>CCR60210</t>
  </si>
  <si>
    <t>CCR602</t>
  </si>
  <si>
    <t>CCR60230</t>
  </si>
  <si>
    <t>CCR64900</t>
  </si>
  <si>
    <t>CCR649</t>
  </si>
  <si>
    <t>CCR80000</t>
  </si>
  <si>
    <t>CCR800</t>
  </si>
  <si>
    <t>CCREFE10</t>
  </si>
  <si>
    <t>CCREFE</t>
  </si>
  <si>
    <t>CCRFMI10</t>
  </si>
  <si>
    <t>CCRFMI</t>
  </si>
  <si>
    <t>CCRFMI20</t>
  </si>
  <si>
    <t>CCRFMI30</t>
  </si>
  <si>
    <t>CCRFMI40</t>
  </si>
  <si>
    <t>CCTKEF20</t>
  </si>
  <si>
    <t>CCTKEF</t>
  </si>
  <si>
    <t>CCTLSF10</t>
  </si>
  <si>
    <t>CCTLSF20</t>
  </si>
  <si>
    <t>CCTLSF30</t>
  </si>
  <si>
    <t>CCTLSF40</t>
  </si>
  <si>
    <t>CCTLSF50</t>
  </si>
  <si>
    <t>CCTLSF60</t>
  </si>
  <si>
    <t>CCTLSP10</t>
  </si>
  <si>
    <t>CCTLSP20</t>
  </si>
  <si>
    <t>CCTLSP30</t>
  </si>
  <si>
    <t>CCUCHA10</t>
  </si>
  <si>
    <t>CCUCHA</t>
  </si>
  <si>
    <t>CCUCHA20</t>
  </si>
  <si>
    <t>CCUCHA30</t>
  </si>
  <si>
    <t>CCUCHA40</t>
  </si>
  <si>
    <t>CCUCHA50</t>
  </si>
  <si>
    <t>CCUCON10</t>
  </si>
  <si>
    <t>CCUCON</t>
  </si>
  <si>
    <t>CCUCRG10</t>
  </si>
  <si>
    <t>CCUCRG</t>
  </si>
  <si>
    <t>CCUCRL10</t>
  </si>
  <si>
    <t>CCUDIV10</t>
  </si>
  <si>
    <t>CCURRA01</t>
  </si>
  <si>
    <t>CCURRA10</t>
  </si>
  <si>
    <t>CCURRA12</t>
  </si>
  <si>
    <t>CCUSTX10</t>
  </si>
  <si>
    <t>CCUSTX</t>
  </si>
  <si>
    <t>CCUSTX20</t>
  </si>
  <si>
    <t>CCUTXS10</t>
  </si>
  <si>
    <t>CCUTXS</t>
  </si>
  <si>
    <t>CCUTXS20</t>
  </si>
  <si>
    <t>CCUTXS30</t>
  </si>
  <si>
    <t>CCUTXS40</t>
  </si>
  <si>
    <t>CDARKY10</t>
  </si>
  <si>
    <t>CDARKY</t>
  </si>
  <si>
    <t>CDARUN10</t>
  </si>
  <si>
    <t>CDARUN</t>
  </si>
  <si>
    <t>CDBJBA10</t>
  </si>
  <si>
    <t>CDBJBA</t>
  </si>
  <si>
    <t>CDBJBA20</t>
  </si>
  <si>
    <t>CDPELG10</t>
  </si>
  <si>
    <t>CDPELG</t>
  </si>
  <si>
    <t>CDPELG20</t>
  </si>
  <si>
    <t>CDPKEY10</t>
  </si>
  <si>
    <t>CDPKEY</t>
  </si>
  <si>
    <t>CDPRLN01</t>
  </si>
  <si>
    <t>CDPRLN</t>
  </si>
  <si>
    <t>CDPRLN10</t>
  </si>
  <si>
    <t>CDPRLN20</t>
  </si>
  <si>
    <t>CDPRLN21</t>
  </si>
  <si>
    <t>CDPRSH01</t>
  </si>
  <si>
    <t>CDPRSH</t>
  </si>
  <si>
    <t>CDPRSH10</t>
  </si>
  <si>
    <t>CDPRSL01</t>
  </si>
  <si>
    <t>CDPRSL</t>
  </si>
  <si>
    <t>CDPRSL10</t>
  </si>
  <si>
    <t>CDPRSL20</t>
  </si>
  <si>
    <t>CDPRSL30</t>
  </si>
  <si>
    <t>CDPRSL31</t>
  </si>
  <si>
    <t>CDPRSL40</t>
  </si>
  <si>
    <t>CDPRUN01</t>
  </si>
  <si>
    <t>CDPRUN</t>
  </si>
  <si>
    <t>CDPRUN10</t>
  </si>
  <si>
    <t>CDPRUN20</t>
  </si>
  <si>
    <t>CDPSDA01</t>
  </si>
  <si>
    <t>CDPSDA</t>
  </si>
  <si>
    <t>CDPSDA10</t>
  </si>
  <si>
    <t>CDPSDA20</t>
  </si>
  <si>
    <t>CDPSDA30</t>
  </si>
  <si>
    <t>CDPSDF10</t>
  </si>
  <si>
    <t>CDPSDF</t>
  </si>
  <si>
    <t>CDPSDF20</t>
  </si>
  <si>
    <t>CDPSRF01</t>
  </si>
  <si>
    <t>CDPSRF</t>
  </si>
  <si>
    <t>CDPSRF10</t>
  </si>
  <si>
    <t>CDPSRF20</t>
  </si>
  <si>
    <t>CDWIMA10</t>
  </si>
  <si>
    <t>CDWIMA</t>
  </si>
  <si>
    <t>CDYSHE10</t>
  </si>
  <si>
    <t>CDYSHE</t>
  </si>
  <si>
    <t>CDYSLN10</t>
  </si>
  <si>
    <t>CDYSLN</t>
  </si>
  <si>
    <t>CDYSLN20</t>
  </si>
  <si>
    <t>CEACOS10</t>
  </si>
  <si>
    <t>CEACOS</t>
  </si>
  <si>
    <t>CEAEMP01</t>
  </si>
  <si>
    <t>CEAEMP02</t>
  </si>
  <si>
    <t>CEAEMP04</t>
  </si>
  <si>
    <t>CEAEMP05</t>
  </si>
  <si>
    <t>CEAEMP06</t>
  </si>
  <si>
    <t>CEAEMP10</t>
  </si>
  <si>
    <t>CEAEMP11</t>
  </si>
  <si>
    <t>CEAEMP15</t>
  </si>
  <si>
    <t>CEAEMP20</t>
  </si>
  <si>
    <t>CEAEMP21</t>
  </si>
  <si>
    <t>CEAEMP25</t>
  </si>
  <si>
    <t>CEAEMP30</t>
  </si>
  <si>
    <t>CEAEMP31</t>
  </si>
  <si>
    <t>CEAEMP32</t>
  </si>
  <si>
    <t>CEAEMP33</t>
  </si>
  <si>
    <t>CEAEMP35</t>
  </si>
  <si>
    <t>CEAEMP40</t>
  </si>
  <si>
    <t>CEAEMP41</t>
  </si>
  <si>
    <t>CEAEMP42</t>
  </si>
  <si>
    <t>CEAEMP43</t>
  </si>
  <si>
    <t>CEAEMP50</t>
  </si>
  <si>
    <t>CEAEMP60</t>
  </si>
  <si>
    <t>CEAEMP61</t>
  </si>
  <si>
    <t>CEAEMP70</t>
  </si>
  <si>
    <t>CEAEMP80</t>
  </si>
  <si>
    <t>CEAEMP90</t>
  </si>
  <si>
    <t>CECOCC10</t>
  </si>
  <si>
    <t>CECOCC</t>
  </si>
  <si>
    <t>CECOCI10</t>
  </si>
  <si>
    <t>CECOCI</t>
  </si>
  <si>
    <t>CECOCI20</t>
  </si>
  <si>
    <t>CECOCI30</t>
  </si>
  <si>
    <t>CECOCI40</t>
  </si>
  <si>
    <t>CECOPC10</t>
  </si>
  <si>
    <t>CECOPC</t>
  </si>
  <si>
    <t>CECOPC20</t>
  </si>
  <si>
    <t>CECOPC30</t>
  </si>
  <si>
    <t>CECORG10</t>
  </si>
  <si>
    <t>CECORG</t>
  </si>
  <si>
    <t>CECOTR10</t>
  </si>
  <si>
    <t>CECOTR</t>
  </si>
  <si>
    <t>CECOTR20</t>
  </si>
  <si>
    <t>CECOTR30</t>
  </si>
  <si>
    <t>CECOTR31</t>
  </si>
  <si>
    <t>CECOTR40</t>
  </si>
  <si>
    <t>CECOTR50</t>
  </si>
  <si>
    <t>CECOTR60</t>
  </si>
  <si>
    <t>CECOTR70</t>
  </si>
  <si>
    <t>CELOCK10</t>
  </si>
  <si>
    <t>CELOCK</t>
  </si>
  <si>
    <t>CELOCK20</t>
  </si>
  <si>
    <t>CELOCK30</t>
  </si>
  <si>
    <t>CEMAGL10</t>
  </si>
  <si>
    <t>CEMAGL</t>
  </si>
  <si>
    <t>CEMAIL10</t>
  </si>
  <si>
    <t>CEMLOG10</t>
  </si>
  <si>
    <t>CEMLOG</t>
  </si>
  <si>
    <t>CERECD10</t>
  </si>
  <si>
    <t>CERECD</t>
  </si>
  <si>
    <t>CESAPI20</t>
  </si>
  <si>
    <t>CESAPI</t>
  </si>
  <si>
    <t>CESBIZ10</t>
  </si>
  <si>
    <t>CESBIZ</t>
  </si>
  <si>
    <t>CESELG10</t>
  </si>
  <si>
    <t>CESELG</t>
  </si>
  <si>
    <t>CESELG20</t>
  </si>
  <si>
    <t>CESGTR10</t>
  </si>
  <si>
    <t>CESGTR</t>
  </si>
  <si>
    <t>CESGTR20</t>
  </si>
  <si>
    <t>CESILD10</t>
  </si>
  <si>
    <t>CESILD</t>
  </si>
  <si>
    <t>CESILE10</t>
  </si>
  <si>
    <t>CESILE</t>
  </si>
  <si>
    <t>CESPGM10</t>
  </si>
  <si>
    <t>CESPGM</t>
  </si>
  <si>
    <t>CESRCD10</t>
  </si>
  <si>
    <t>CESRCD</t>
  </si>
  <si>
    <t>CESREC10</t>
  </si>
  <si>
    <t>CESREC</t>
  </si>
  <si>
    <t>CESSGN10</t>
  </si>
  <si>
    <t>CESSGN</t>
  </si>
  <si>
    <t>CESSGN20</t>
  </si>
  <si>
    <t>CESSGN30</t>
  </si>
  <si>
    <t>CESSIG10</t>
  </si>
  <si>
    <t>CESSIG</t>
  </si>
  <si>
    <t>CESSIG20</t>
  </si>
  <si>
    <t>CESSIG30</t>
  </si>
  <si>
    <t>CESVIF10</t>
  </si>
  <si>
    <t>CESVIF</t>
  </si>
  <si>
    <t>CEVSUB20</t>
  </si>
  <si>
    <t>CEVSUB</t>
  </si>
  <si>
    <t>CEVTST10</t>
  </si>
  <si>
    <t>CEVTST</t>
  </si>
  <si>
    <t>CEVTST20</t>
  </si>
  <si>
    <t>CFACIL10</t>
  </si>
  <si>
    <t>CFACIL20</t>
  </si>
  <si>
    <t>CFACIL30</t>
  </si>
  <si>
    <t>CFIACP10</t>
  </si>
  <si>
    <t>CFIFFD05</t>
  </si>
  <si>
    <t>CFIFFD10</t>
  </si>
  <si>
    <t>CFIFFD20</t>
  </si>
  <si>
    <t>CFIFFD30</t>
  </si>
  <si>
    <t>CFIFFD40</t>
  </si>
  <si>
    <t>CFIFFD50</t>
  </si>
  <si>
    <t>CFIFFD60</t>
  </si>
  <si>
    <t>CFIFFX01</t>
  </si>
  <si>
    <t>CFIFFX</t>
  </si>
  <si>
    <t>CFIFFX40</t>
  </si>
  <si>
    <t>CFIFFX98</t>
  </si>
  <si>
    <t>CFIHEA10</t>
  </si>
  <si>
    <t>CFIHEA20</t>
  </si>
  <si>
    <t>CFIHEA30</t>
  </si>
  <si>
    <t>CFIHEA40</t>
  </si>
  <si>
    <t>CFIMBX01</t>
  </si>
  <si>
    <t>CFIMBX</t>
  </si>
  <si>
    <t>CFUEXC20</t>
  </si>
  <si>
    <t>CFUEXC</t>
  </si>
  <si>
    <t>CFUNID10</t>
  </si>
  <si>
    <t>CFUNID20</t>
  </si>
  <si>
    <t>CGEEX110</t>
  </si>
  <si>
    <t>CGEEX120</t>
  </si>
  <si>
    <t>CGEEX210</t>
  </si>
  <si>
    <t>CGEEX2</t>
  </si>
  <si>
    <t>CGEEX220</t>
  </si>
  <si>
    <t>CGEEX310</t>
  </si>
  <si>
    <t>CGEEX3</t>
  </si>
  <si>
    <t>CGEEX320</t>
  </si>
  <si>
    <t>CGEEX410</t>
  </si>
  <si>
    <t>CGEEX4</t>
  </si>
  <si>
    <t>CGEEX420</t>
  </si>
  <si>
    <t>CGEEX430</t>
  </si>
  <si>
    <t>CGEEX510</t>
  </si>
  <si>
    <t>CGEEX520</t>
  </si>
  <si>
    <t>CGEEX530</t>
  </si>
  <si>
    <t>CGEEX610</t>
  </si>
  <si>
    <t>CGEEX620</t>
  </si>
  <si>
    <t>CGEEX630</t>
  </si>
  <si>
    <t>CGEEX710</t>
  </si>
  <si>
    <t>CGEEX7</t>
  </si>
  <si>
    <t>CGEEX720</t>
  </si>
  <si>
    <t>CGEEX810</t>
  </si>
  <si>
    <t>CGEEX8</t>
  </si>
  <si>
    <t>CGEEX820</t>
  </si>
  <si>
    <t>CGEEX830</t>
  </si>
  <si>
    <t>CGEOEX10</t>
  </si>
  <si>
    <t>CGEOEX</t>
  </si>
  <si>
    <t>CGEOJU10</t>
  </si>
  <si>
    <t>CGEOJU</t>
  </si>
  <si>
    <t>CGETXH10</t>
  </si>
  <si>
    <t>CIADDR10</t>
  </si>
  <si>
    <t>CIARBO10</t>
  </si>
  <si>
    <t>CIARBO</t>
  </si>
  <si>
    <t>CIDADR10</t>
  </si>
  <si>
    <t>CIDADR20</t>
  </si>
  <si>
    <t>CIDADR30</t>
  </si>
  <si>
    <t>CIDADR40</t>
  </si>
  <si>
    <t>CIDALH10</t>
  </si>
  <si>
    <t>CIDALH</t>
  </si>
  <si>
    <t>CIDALL10</t>
  </si>
  <si>
    <t>CIDALL</t>
  </si>
  <si>
    <t>CIDALL20</t>
  </si>
  <si>
    <t>CIDALL30</t>
  </si>
  <si>
    <t>CIDMAS10</t>
  </si>
  <si>
    <t>CIDMAS20</t>
  </si>
  <si>
    <t>CIDMAS30</t>
  </si>
  <si>
    <t>CIDMAS40</t>
  </si>
  <si>
    <t>CIDMAS50</t>
  </si>
  <si>
    <t>CIDMAS60</t>
  </si>
  <si>
    <t>CIDMAS70</t>
  </si>
  <si>
    <t>CIDMAS90</t>
  </si>
  <si>
    <t>CIDMASX5#MPL</t>
  </si>
  <si>
    <t>CIDREF10</t>
  </si>
  <si>
    <t>CIDSUB10</t>
  </si>
  <si>
    <t>CIDSUB</t>
  </si>
  <si>
    <t>CIDSUB20</t>
  </si>
  <si>
    <t>CIDSUB30</t>
  </si>
  <si>
    <t>CIDVEN10</t>
  </si>
  <si>
    <t>CIDVEN20</t>
  </si>
  <si>
    <t>CIDVEN30</t>
  </si>
  <si>
    <t>CIDVEN31</t>
  </si>
  <si>
    <t>CIDVEN40</t>
  </si>
  <si>
    <t>CIMACD10</t>
  </si>
  <si>
    <t>CIMACD</t>
  </si>
  <si>
    <t>CIMACD20</t>
  </si>
  <si>
    <t>CIMACL10</t>
  </si>
  <si>
    <t>CIMACL</t>
  </si>
  <si>
    <t>CIMACT10</t>
  </si>
  <si>
    <t>CIMACT</t>
  </si>
  <si>
    <t>CIMACT20</t>
  </si>
  <si>
    <t>CIMACT30</t>
  </si>
  <si>
    <t>CIMACT40</t>
  </si>
  <si>
    <t>CIMADI10</t>
  </si>
  <si>
    <t>CIMADI</t>
  </si>
  <si>
    <t>CIMHEA10</t>
  </si>
  <si>
    <t>CIMHEA</t>
  </si>
  <si>
    <t>CIMHEA20</t>
  </si>
  <si>
    <t>CIMHEA30</t>
  </si>
  <si>
    <t>CIMHEA40</t>
  </si>
  <si>
    <t>CIMLIN10</t>
  </si>
  <si>
    <t>CIMLIN</t>
  </si>
  <si>
    <t>CIMLIN20</t>
  </si>
  <si>
    <t>CIMLIN30</t>
  </si>
  <si>
    <t>CIMRCD10</t>
  </si>
  <si>
    <t>CIMRCD</t>
  </si>
  <si>
    <t>CIMRCL10</t>
  </si>
  <si>
    <t>CIMRCL</t>
  </si>
  <si>
    <t>CIMRLN10</t>
  </si>
  <si>
    <t>CIMRLN</t>
  </si>
  <si>
    <t>CIMTPL10</t>
  </si>
  <si>
    <t>CIMTPL</t>
  </si>
  <si>
    <t>CIMWTC10</t>
  </si>
  <si>
    <t>CIMWTC</t>
  </si>
  <si>
    <t>CINACC10</t>
  </si>
  <si>
    <t>CINACC11</t>
  </si>
  <si>
    <t>CINACC20</t>
  </si>
  <si>
    <t>CINACC21</t>
  </si>
  <si>
    <t>CINACC30</t>
  </si>
  <si>
    <t>CINACC40</t>
  </si>
  <si>
    <t>CINACC50</t>
  </si>
  <si>
    <t>CINACC60</t>
  </si>
  <si>
    <t>CINAIN10</t>
  </si>
  <si>
    <t>CINAIN</t>
  </si>
  <si>
    <t>CINCAL10</t>
  </si>
  <si>
    <t>CINCAL</t>
  </si>
  <si>
    <t>CINERL01</t>
  </si>
  <si>
    <t>CINERL</t>
  </si>
  <si>
    <t>CINHEA10</t>
  </si>
  <si>
    <t>CINHEA</t>
  </si>
  <si>
    <t>CINHEA20</t>
  </si>
  <si>
    <t>CINPRI10</t>
  </si>
  <si>
    <t>CINTEG10</t>
  </si>
  <si>
    <t>CINTEG</t>
  </si>
  <si>
    <t>CINXRF10</t>
  </si>
  <si>
    <t>CJBCMD01</t>
  </si>
  <si>
    <t>CJBCMD10</t>
  </si>
  <si>
    <t>CJBCMD20</t>
  </si>
  <si>
    <t>CJBCMD30</t>
  </si>
  <si>
    <t>CJBCMD40</t>
  </si>
  <si>
    <t>CJBCMD50</t>
  </si>
  <si>
    <t>CJBCTL00</t>
  </si>
  <si>
    <t>CJBCTL01</t>
  </si>
  <si>
    <t>CJBCTL10</t>
  </si>
  <si>
    <t>CJBCTL20</t>
  </si>
  <si>
    <t>CJBCTL21</t>
  </si>
  <si>
    <t>CJBCTL40</t>
  </si>
  <si>
    <t>CJBCTL41</t>
  </si>
  <si>
    <t>CJBCTL50</t>
  </si>
  <si>
    <t>CJBCTL60</t>
  </si>
  <si>
    <t>CJBCTL70</t>
  </si>
  <si>
    <t>CJBDEF10</t>
  </si>
  <si>
    <t>CJBDEF</t>
  </si>
  <si>
    <t>CJBDEF20</t>
  </si>
  <si>
    <t>CJBLOG10</t>
  </si>
  <si>
    <t>CJBLOG</t>
  </si>
  <si>
    <t>CJBLOG20</t>
  </si>
  <si>
    <t>CJBLOG30</t>
  </si>
  <si>
    <t>CJBTRN10</t>
  </si>
  <si>
    <t>CJBTRN</t>
  </si>
  <si>
    <t>CJBTRN20</t>
  </si>
  <si>
    <t>CJOBDF10</t>
  </si>
  <si>
    <t>CLOMAS10</t>
  </si>
  <si>
    <t>CLOMAS</t>
  </si>
  <si>
    <t>CLOMAS20</t>
  </si>
  <si>
    <t>CLOORD10</t>
  </si>
  <si>
    <t>CLOORD</t>
  </si>
  <si>
    <t>CLOTMP10</t>
  </si>
  <si>
    <t>CLOTMP</t>
  </si>
  <si>
    <t>CMAILA10</t>
  </si>
  <si>
    <t>CMAILA</t>
  </si>
  <si>
    <t>CMAILB10</t>
  </si>
  <si>
    <t>CMAILB20</t>
  </si>
  <si>
    <t>CMAILB30</t>
  </si>
  <si>
    <t>CMAILE10</t>
  </si>
  <si>
    <t>CMAILP10</t>
  </si>
  <si>
    <t>CMARAU10</t>
  </si>
  <si>
    <t>CMARAU</t>
  </si>
  <si>
    <t>CMFADV10</t>
  </si>
  <si>
    <t>CMFSE110</t>
  </si>
  <si>
    <t>CMFSE1</t>
  </si>
  <si>
    <t>CMFSE300</t>
  </si>
  <si>
    <t>CMFSE3</t>
  </si>
  <si>
    <t>CMFSE310</t>
  </si>
  <si>
    <t>CMFSE410</t>
  </si>
  <si>
    <t>CMFSE4</t>
  </si>
  <si>
    <t>CMFSE420</t>
  </si>
  <si>
    <t>CMFSE510</t>
  </si>
  <si>
    <t>CMFSE5</t>
  </si>
  <si>
    <t>CMIFLD10</t>
  </si>
  <si>
    <t>CMIFLD20</t>
  </si>
  <si>
    <t>CMIFRM10</t>
  </si>
  <si>
    <t>CMIFRM</t>
  </si>
  <si>
    <t>CMIFRM20</t>
  </si>
  <si>
    <t>CMIPGM10</t>
  </si>
  <si>
    <t>CMIPGM20</t>
  </si>
  <si>
    <t>CMITRM10</t>
  </si>
  <si>
    <t>CMITRM</t>
  </si>
  <si>
    <t>CMITRM20</t>
  </si>
  <si>
    <t>CMITRN10</t>
  </si>
  <si>
    <t>CMITRN20</t>
  </si>
  <si>
    <t>CMIWFL10</t>
  </si>
  <si>
    <t>CMIWFL</t>
  </si>
  <si>
    <t>CMIWFL20</t>
  </si>
  <si>
    <t>CMM24010</t>
  </si>
  <si>
    <t>CMM240</t>
  </si>
  <si>
    <t>CMNBDC10</t>
  </si>
  <si>
    <t>CMNBDK10</t>
  </si>
  <si>
    <t>CMNCLC10</t>
  </si>
  <si>
    <t>CMNCLC</t>
  </si>
  <si>
    <t>CMNCLD10</t>
  </si>
  <si>
    <t>CMNDBA10</t>
  </si>
  <si>
    <t>CMNDBA</t>
  </si>
  <si>
    <t>CMNDBA20</t>
  </si>
  <si>
    <t>CMNDIR00</t>
  </si>
  <si>
    <t>CMNDIR</t>
  </si>
  <si>
    <t>CMNDIR10</t>
  </si>
  <si>
    <t>CMNFBD10</t>
  </si>
  <si>
    <t>CMNFBD</t>
  </si>
  <si>
    <t>CMNFBD20</t>
  </si>
  <si>
    <t>CMNFBP10</t>
  </si>
  <si>
    <t>CMNFBP</t>
  </si>
  <si>
    <t>CMNFBP20</t>
  </si>
  <si>
    <t>CMNFNG01</t>
  </si>
  <si>
    <t>CMNFNG10</t>
  </si>
  <si>
    <t>CMNFNG20</t>
  </si>
  <si>
    <t>CMNFNG30</t>
  </si>
  <si>
    <t>CMNFNG40</t>
  </si>
  <si>
    <t>CMNFNG50</t>
  </si>
  <si>
    <t>CMNFNG60</t>
  </si>
  <si>
    <t>CMNFNL10</t>
  </si>
  <si>
    <t>CMNFNL20</t>
  </si>
  <si>
    <t>CMNFNL30</t>
  </si>
  <si>
    <t>CMNFNL40</t>
  </si>
  <si>
    <t>CMNFNP10</t>
  </si>
  <si>
    <t>CMNMNU10</t>
  </si>
  <si>
    <t>CMNMNU20</t>
  </si>
  <si>
    <t>CMNMNU30</t>
  </si>
  <si>
    <t>CMNMRH10</t>
  </si>
  <si>
    <t>CMNMRH</t>
  </si>
  <si>
    <t>CMNMRH20</t>
  </si>
  <si>
    <t>CMNMRH30</t>
  </si>
  <si>
    <t>CMNOPT10</t>
  </si>
  <si>
    <t>CMNOPT</t>
  </si>
  <si>
    <t>CMNPGM10</t>
  </si>
  <si>
    <t>CMNPGM</t>
  </si>
  <si>
    <t>CMNPRL10</t>
  </si>
  <si>
    <t>CMNPRL</t>
  </si>
  <si>
    <t>CMNPSU10</t>
  </si>
  <si>
    <t>CMNPSU11</t>
  </si>
  <si>
    <t>CMNPSU20</t>
  </si>
  <si>
    <t>CMNPSU30</t>
  </si>
  <si>
    <t>CMNPSU40</t>
  </si>
  <si>
    <t>CMNPUS10</t>
  </si>
  <si>
    <t>CMNPUS</t>
  </si>
  <si>
    <t>CMNPUS20</t>
  </si>
  <si>
    <t>CMNPUS30</t>
  </si>
  <si>
    <t>CMNPUS40</t>
  </si>
  <si>
    <t>CMNRSC10</t>
  </si>
  <si>
    <t>CMNRSC</t>
  </si>
  <si>
    <t>CMNRUS10</t>
  </si>
  <si>
    <t>CMNRUS</t>
  </si>
  <si>
    <t>CMNRUS20</t>
  </si>
  <si>
    <t>CMNSAU10</t>
  </si>
  <si>
    <t>CMNSAU</t>
  </si>
  <si>
    <t>CMNSAU20</t>
  </si>
  <si>
    <t>CMNSAU30</t>
  </si>
  <si>
    <t>CMNSAU40</t>
  </si>
  <si>
    <t>CMNSBJ01</t>
  </si>
  <si>
    <t>CMNSBJ10</t>
  </si>
  <si>
    <t>CMNSBJ20</t>
  </si>
  <si>
    <t>CMNSBS10</t>
  </si>
  <si>
    <t>CMNSEC10</t>
  </si>
  <si>
    <t>CMNSFL10</t>
  </si>
  <si>
    <t>CMNSFL</t>
  </si>
  <si>
    <t>CMNSMI10</t>
  </si>
  <si>
    <t>CMNSMI</t>
  </si>
  <si>
    <t>CMNTBD10</t>
  </si>
  <si>
    <t>CMNTBD</t>
  </si>
  <si>
    <t>CMNTBD20</t>
  </si>
  <si>
    <t>CMNUFK10</t>
  </si>
  <si>
    <t>CMNUFK</t>
  </si>
  <si>
    <t>CMNUFK20</t>
  </si>
  <si>
    <t>CMNUFK30</t>
  </si>
  <si>
    <t>CMNUFK40</t>
  </si>
  <si>
    <t>CMNUFK50</t>
  </si>
  <si>
    <t>CMNUFK60</t>
  </si>
  <si>
    <t>CMNUFK70</t>
  </si>
  <si>
    <t>CMNUFK80</t>
  </si>
  <si>
    <t>CMNUFK90</t>
  </si>
  <si>
    <t>CMNULO10</t>
  </si>
  <si>
    <t>CMNULO</t>
  </si>
  <si>
    <t>CMNUOL10</t>
  </si>
  <si>
    <t>CMNUOL</t>
  </si>
  <si>
    <t>CMNUPC10</t>
  </si>
  <si>
    <t>CMNUPC</t>
  </si>
  <si>
    <t>CMNUPP10</t>
  </si>
  <si>
    <t>CMNUPP</t>
  </si>
  <si>
    <t>CMNUQL10</t>
  </si>
  <si>
    <t>CMNUQL20</t>
  </si>
  <si>
    <t>CMNUQL30</t>
  </si>
  <si>
    <t>CMNUSR02</t>
  </si>
  <si>
    <t>CMNUSR10</t>
  </si>
  <si>
    <t>CMRFIL10</t>
  </si>
  <si>
    <t>CMRFIL</t>
  </si>
  <si>
    <t>CMRFIL20</t>
  </si>
  <si>
    <t>CMUCPR10</t>
  </si>
  <si>
    <t>CMUCPR</t>
  </si>
  <si>
    <t>CMUCPR20</t>
  </si>
  <si>
    <t>CMUCPR30</t>
  </si>
  <si>
    <t>CMUCPR40</t>
  </si>
  <si>
    <t>CMUFTR10</t>
  </si>
  <si>
    <t>CMUFTR</t>
  </si>
  <si>
    <t>CMUFTR20</t>
  </si>
  <si>
    <t>CMUFTR30</t>
  </si>
  <si>
    <t>CMUFTR40</t>
  </si>
  <si>
    <t>CMUFTRA1#MPL</t>
  </si>
  <si>
    <t>COPSHA10</t>
  </si>
  <si>
    <t>COPSHA</t>
  </si>
  <si>
    <t>COPSHA20</t>
  </si>
  <si>
    <t>COPSHA30</t>
  </si>
  <si>
    <t>COPSHA40</t>
  </si>
  <si>
    <t>CORECR10</t>
  </si>
  <si>
    <t>CORECR</t>
  </si>
  <si>
    <t>CORECR20</t>
  </si>
  <si>
    <t>CORETR10</t>
  </si>
  <si>
    <t>CORETR</t>
  </si>
  <si>
    <t>CORETR20</t>
  </si>
  <si>
    <t>CORETR30</t>
  </si>
  <si>
    <t>CORETR40</t>
  </si>
  <si>
    <t>CORETR50</t>
  </si>
  <si>
    <t>CORETR60</t>
  </si>
  <si>
    <t>CORETR70</t>
  </si>
  <si>
    <t>COSIME10</t>
  </si>
  <si>
    <t>COSITY10</t>
  </si>
  <si>
    <t>COSRVI10</t>
  </si>
  <si>
    <t>COSRVI20</t>
  </si>
  <si>
    <t>COSRVI30</t>
  </si>
  <si>
    <t>COUTSV10</t>
  </si>
  <si>
    <t>COUTSV20</t>
  </si>
  <si>
    <t>COUTSV30</t>
  </si>
  <si>
    <t>COWNID10</t>
  </si>
  <si>
    <t>COWNMI10</t>
  </si>
  <si>
    <t>CPAALI10</t>
  </si>
  <si>
    <t>CPAALI</t>
  </si>
  <si>
    <t>CPAALI20</t>
  </si>
  <si>
    <t>CPAALI30</t>
  </si>
  <si>
    <t>CPAALI40</t>
  </si>
  <si>
    <t>CPAALI50</t>
  </si>
  <si>
    <t>CPAALT10</t>
  </si>
  <si>
    <t>CPAALT</t>
  </si>
  <si>
    <t>CPARTN10</t>
  </si>
  <si>
    <t>CPARTN</t>
  </si>
  <si>
    <t>CPARTN20</t>
  </si>
  <si>
    <t>CPARTN30</t>
  </si>
  <si>
    <t>CPEACC10</t>
  </si>
  <si>
    <t>CPEACC</t>
  </si>
  <si>
    <t>CPEACC20</t>
  </si>
  <si>
    <t>CPEACC30</t>
  </si>
  <si>
    <t>CPEACC40</t>
  </si>
  <si>
    <t>CPEACC50</t>
  </si>
  <si>
    <t>CPEACC60</t>
  </si>
  <si>
    <t>CPEACC70</t>
  </si>
  <si>
    <t>CPEACC80</t>
  </si>
  <si>
    <t>CPGEX110</t>
  </si>
  <si>
    <t>CPGEX1</t>
  </si>
  <si>
    <t>CPGEX120</t>
  </si>
  <si>
    <t>CPGEX130</t>
  </si>
  <si>
    <t>CPMTVA10</t>
  </si>
  <si>
    <t>CPMTVA</t>
  </si>
  <si>
    <t>CPMTVA20</t>
  </si>
  <si>
    <t>CPNMAS10</t>
  </si>
  <si>
    <t>CPNMAS</t>
  </si>
  <si>
    <t>CPNREL10</t>
  </si>
  <si>
    <t>CPNREL</t>
  </si>
  <si>
    <t>CPNREL20</t>
  </si>
  <si>
    <t>CPNREL30</t>
  </si>
  <si>
    <t>CPNREL40</t>
  </si>
  <si>
    <t>CPNREL50</t>
  </si>
  <si>
    <t>CPNREL60</t>
  </si>
  <si>
    <t>CPOCAW10</t>
  </si>
  <si>
    <t>CPOCAW</t>
  </si>
  <si>
    <t>CPOCAW21</t>
  </si>
  <si>
    <t>CPOCAW30</t>
  </si>
  <si>
    <t>CPOCAW40</t>
  </si>
  <si>
    <t>CPOCOA10</t>
  </si>
  <si>
    <t>CPOCOA</t>
  </si>
  <si>
    <t>CPOCOM10</t>
  </si>
  <si>
    <t>CPOCOM</t>
  </si>
  <si>
    <t>CPOCOS10</t>
  </si>
  <si>
    <t>CPOCOS</t>
  </si>
  <si>
    <t>CPOHED10</t>
  </si>
  <si>
    <t>CPOHED</t>
  </si>
  <si>
    <t>CPOHED11</t>
  </si>
  <si>
    <t>CPOHED20</t>
  </si>
  <si>
    <t>CPOHED30</t>
  </si>
  <si>
    <t>CPOKDF10</t>
  </si>
  <si>
    <t>CPOKDF</t>
  </si>
  <si>
    <t>CPOKDF20</t>
  </si>
  <si>
    <t>CPOKEY10</t>
  </si>
  <si>
    <t>CPOKEY</t>
  </si>
  <si>
    <t>CPOMAT10</t>
  </si>
  <si>
    <t>CPOMAT</t>
  </si>
  <si>
    <t>CPOMAT20</t>
  </si>
  <si>
    <t>CPOMAT30</t>
  </si>
  <si>
    <t>CPOMAT40</t>
  </si>
  <si>
    <t>CPOMAT50</t>
  </si>
  <si>
    <t>CPOMAT60</t>
  </si>
  <si>
    <t>CPOOPE10</t>
  </si>
  <si>
    <t>CPOOPE</t>
  </si>
  <si>
    <t>CPOOPE20</t>
  </si>
  <si>
    <t>CPOOPE30</t>
  </si>
  <si>
    <t>CPOOPE40</t>
  </si>
  <si>
    <t>CPOOPE50</t>
  </si>
  <si>
    <t>CPOPRO10</t>
  </si>
  <si>
    <t>CPOPRO</t>
  </si>
  <si>
    <t>CPOPRO20</t>
  </si>
  <si>
    <t>CPOTRA10</t>
  </si>
  <si>
    <t>CPOTRA</t>
  </si>
  <si>
    <t>CPRDEF10</t>
  </si>
  <si>
    <t>CPRDEF20</t>
  </si>
  <si>
    <t>CPRTAX10</t>
  </si>
  <si>
    <t>CPRTAX</t>
  </si>
  <si>
    <t>CRACTR10</t>
  </si>
  <si>
    <t>CRACTR20</t>
  </si>
  <si>
    <t>CRACTR30</t>
  </si>
  <si>
    <t>CRACTR40</t>
  </si>
  <si>
    <t>CRACTR50</t>
  </si>
  <si>
    <t>CRACTR51</t>
  </si>
  <si>
    <t>CRACTR60</t>
  </si>
  <si>
    <t>CRACTR70</t>
  </si>
  <si>
    <t>CRACTR80</t>
  </si>
  <si>
    <t>CRACTR90</t>
  </si>
  <si>
    <t>CRACTR91</t>
  </si>
  <si>
    <t>CRBDET10</t>
  </si>
  <si>
    <t>CRBDET</t>
  </si>
  <si>
    <t>CRBHEA10</t>
  </si>
  <si>
    <t>CRBHEA</t>
  </si>
  <si>
    <t>CRCCCT10</t>
  </si>
  <si>
    <t>CRCCCT</t>
  </si>
  <si>
    <t>CRCCCT20</t>
  </si>
  <si>
    <t>CRCCCT30</t>
  </si>
  <si>
    <t>CRCCCT40</t>
  </si>
  <si>
    <t>CRCCHH10</t>
  </si>
  <si>
    <t>CRCCHH</t>
  </si>
  <si>
    <t>CRCCLL10</t>
  </si>
  <si>
    <t>CRCCLL</t>
  </si>
  <si>
    <t>CRCCTR10</t>
  </si>
  <si>
    <t>CRCCTR</t>
  </si>
  <si>
    <t>CREASO10</t>
  </si>
  <si>
    <t>CREASO</t>
  </si>
  <si>
    <t>CREETR10</t>
  </si>
  <si>
    <t>CREETR</t>
  </si>
  <si>
    <t>CREETR20</t>
  </si>
  <si>
    <t>CREETR40</t>
  </si>
  <si>
    <t>CRFNCN10</t>
  </si>
  <si>
    <t>CRFNCN20</t>
  </si>
  <si>
    <t>CRINPA10</t>
  </si>
  <si>
    <t>CRINPA20</t>
  </si>
  <si>
    <t>CRLOCK10</t>
  </si>
  <si>
    <t>CRLOCK20</t>
  </si>
  <si>
    <t>CROBJP10</t>
  </si>
  <si>
    <t>CROCAP10</t>
  </si>
  <si>
    <t>CROCAP</t>
  </si>
  <si>
    <t>CROEMP10</t>
  </si>
  <si>
    <t>CROEMP</t>
  </si>
  <si>
    <t>CROEMP20</t>
  </si>
  <si>
    <t>CRPTNB10</t>
  </si>
  <si>
    <t>CRPTNB</t>
  </si>
  <si>
    <t>CRRCRC10</t>
  </si>
  <si>
    <t>CRRCRC</t>
  </si>
  <si>
    <t>CRSSUB10</t>
  </si>
  <si>
    <t>CRSSUB</t>
  </si>
  <si>
    <t>CRSSUB20</t>
  </si>
  <si>
    <t>CRSSUB90</t>
  </si>
  <si>
    <t>CRSYNO10</t>
  </si>
  <si>
    <t>CRSYNO</t>
  </si>
  <si>
    <t>CSAPRO10</t>
  </si>
  <si>
    <t>CSAPRO</t>
  </si>
  <si>
    <t>CSAPRO20</t>
  </si>
  <si>
    <t>CSAPRO30</t>
  </si>
  <si>
    <t>CSAPRO40</t>
  </si>
  <si>
    <t>CSAPRO41</t>
  </si>
  <si>
    <t>CSAPRO42</t>
  </si>
  <si>
    <t>CSAPRO43</t>
  </si>
  <si>
    <t>CSAPRO50</t>
  </si>
  <si>
    <t>CSAPRO60</t>
  </si>
  <si>
    <t>CSAPRO70</t>
  </si>
  <si>
    <t>CSAPRO80</t>
  </si>
  <si>
    <t>CSAPRO90</t>
  </si>
  <si>
    <t>CSAPRO91</t>
  </si>
  <si>
    <t>CSCCND30</t>
  </si>
  <si>
    <t>CSCCND</t>
  </si>
  <si>
    <t>CSDTID10</t>
  </si>
  <si>
    <t>CSDTID</t>
  </si>
  <si>
    <t>CSEAMA10</t>
  </si>
  <si>
    <t>CSEAMA</t>
  </si>
  <si>
    <t>CSEFFG10</t>
  </si>
  <si>
    <t>CSEFPU10</t>
  </si>
  <si>
    <t>CSEFPU20</t>
  </si>
  <si>
    <t>CSEFPU40</t>
  </si>
  <si>
    <t>CSEFPU80</t>
  </si>
  <si>
    <t>CSEFPU81</t>
  </si>
  <si>
    <t>CSEFPX01</t>
  </si>
  <si>
    <t>CSEFPX10</t>
  </si>
  <si>
    <t>CSEFPX30</t>
  </si>
  <si>
    <t>CSEFPX90</t>
  </si>
  <si>
    <t>CSESEC01</t>
  </si>
  <si>
    <t>CSESEC02</t>
  </si>
  <si>
    <t>CSESEC03</t>
  </si>
  <si>
    <t>CSESFG10</t>
  </si>
  <si>
    <t>CSESFG20</t>
  </si>
  <si>
    <t>CSESTR10</t>
  </si>
  <si>
    <t>CSESTR20</t>
  </si>
  <si>
    <t>CSFDEF10</t>
  </si>
  <si>
    <t>CSFDEF20</t>
  </si>
  <si>
    <t>CSHCAT10</t>
  </si>
  <si>
    <t>CSHCAT</t>
  </si>
  <si>
    <t>CSHCLD10</t>
  </si>
  <si>
    <t>CSHCLD</t>
  </si>
  <si>
    <t>CSHCTL10</t>
  </si>
  <si>
    <t>CSHCTL20</t>
  </si>
  <si>
    <t>CSHFLD10</t>
  </si>
  <si>
    <t>CSHFNC10</t>
  </si>
  <si>
    <t>CSHFNC20</t>
  </si>
  <si>
    <t>CSHFNC30</t>
  </si>
  <si>
    <t>CSHFNC40</t>
  </si>
  <si>
    <t>CSHHED10</t>
  </si>
  <si>
    <t>CSHHED20</t>
  </si>
  <si>
    <t>CSHHED30</t>
  </si>
  <si>
    <t>CSHHED40</t>
  </si>
  <si>
    <t>CSHHED50</t>
  </si>
  <si>
    <t>CSIAAG10</t>
  </si>
  <si>
    <t>CSIAAG</t>
  </si>
  <si>
    <t>CSIAAG20</t>
  </si>
  <si>
    <t>CSIACA10</t>
  </si>
  <si>
    <t>CSIACA</t>
  </si>
  <si>
    <t>CSIACA20</t>
  </si>
  <si>
    <t>CSIACO10</t>
  </si>
  <si>
    <t>CSIACO</t>
  </si>
  <si>
    <t>CSIACO20</t>
  </si>
  <si>
    <t>CSIAFG10</t>
  </si>
  <si>
    <t>CSIAFG</t>
  </si>
  <si>
    <t>CSIAFP10</t>
  </si>
  <si>
    <t>CSIAFP</t>
  </si>
  <si>
    <t>CSIAFP20</t>
  </si>
  <si>
    <t>CSIAFP30</t>
  </si>
  <si>
    <t>CSIAFR10</t>
  </si>
  <si>
    <t>CSIAFR</t>
  </si>
  <si>
    <t>CSIAFR20</t>
  </si>
  <si>
    <t>CSIAGA10</t>
  </si>
  <si>
    <t>CSIAGA</t>
  </si>
  <si>
    <t>CSIAGA20</t>
  </si>
  <si>
    <t>CSIAGR10</t>
  </si>
  <si>
    <t>CSIAGR</t>
  </si>
  <si>
    <t>CSIAGR20</t>
  </si>
  <si>
    <t>CSIAGR30</t>
  </si>
  <si>
    <t>CSIARF10</t>
  </si>
  <si>
    <t>CSIARF</t>
  </si>
  <si>
    <t>CSIARF20</t>
  </si>
  <si>
    <t>CSIARG10</t>
  </si>
  <si>
    <t>CSIARG</t>
  </si>
  <si>
    <t>CSIARG20</t>
  </si>
  <si>
    <t>CSIARG30</t>
  </si>
  <si>
    <t>CSIARP10</t>
  </si>
  <si>
    <t>CSIARP</t>
  </si>
  <si>
    <t>CSIARP20</t>
  </si>
  <si>
    <t>CSIARP30</t>
  </si>
  <si>
    <t>CSINLO10</t>
  </si>
  <si>
    <t>CSINLO</t>
  </si>
  <si>
    <t>CSINLO20</t>
  </si>
  <si>
    <t>CSINLO30</t>
  </si>
  <si>
    <t>CSINLO40</t>
  </si>
  <si>
    <t>CSINLO50</t>
  </si>
  <si>
    <t>CSLGHN10</t>
  </si>
  <si>
    <t>CSMTRH10</t>
  </si>
  <si>
    <t>CSMTRH</t>
  </si>
  <si>
    <t>CSMTRH20</t>
  </si>
  <si>
    <t>CSMTRL10</t>
  </si>
  <si>
    <t>CSMTRL</t>
  </si>
  <si>
    <t>CSMTRL20</t>
  </si>
  <si>
    <t>CSMTRL30</t>
  </si>
  <si>
    <t>CSRENP10</t>
  </si>
  <si>
    <t>CSRENP</t>
  </si>
  <si>
    <t>CSRENP20</t>
  </si>
  <si>
    <t>CSRENR10</t>
  </si>
  <si>
    <t>CSRENR</t>
  </si>
  <si>
    <t>CSRENR20</t>
  </si>
  <si>
    <t>CSSEII10</t>
  </si>
  <si>
    <t>CSSEII</t>
  </si>
  <si>
    <t>CSSEII20</t>
  </si>
  <si>
    <t>CSSEII30</t>
  </si>
  <si>
    <t>CSSEIN10</t>
  </si>
  <si>
    <t>CSSEIN</t>
  </si>
  <si>
    <t>CSSEIN20</t>
  </si>
  <si>
    <t>CSSEIN30</t>
  </si>
  <si>
    <t>CSSPIP10</t>
  </si>
  <si>
    <t>CSSPIP</t>
  </si>
  <si>
    <t>CSSPIR10</t>
  </si>
  <si>
    <t>CSSPIR</t>
  </si>
  <si>
    <t>CSSPIR20</t>
  </si>
  <si>
    <t>CSSPIS10</t>
  </si>
  <si>
    <t>CSSPIS</t>
  </si>
  <si>
    <t>CSSPIS20</t>
  </si>
  <si>
    <t>CSSPUL10</t>
  </si>
  <si>
    <t>CSSPUL</t>
  </si>
  <si>
    <t>CSSPUO10</t>
  </si>
  <si>
    <t>CSSPUO</t>
  </si>
  <si>
    <t>CSSPUS10</t>
  </si>
  <si>
    <t>CSSPUS</t>
  </si>
  <si>
    <t>CSYCAL05</t>
  </si>
  <si>
    <t>CSYCAL10</t>
  </si>
  <si>
    <t>CSYCAL15</t>
  </si>
  <si>
    <t>CSYCAL20</t>
  </si>
  <si>
    <t>CSYCAL25</t>
  </si>
  <si>
    <t>CSYCAL30</t>
  </si>
  <si>
    <t>CSYCAL40</t>
  </si>
  <si>
    <t>CSYCAL50</t>
  </si>
  <si>
    <t>CSYCAL60</t>
  </si>
  <si>
    <t>CSYCAL70</t>
  </si>
  <si>
    <t>CSYCAL80</t>
  </si>
  <si>
    <t>CSYCAL90</t>
  </si>
  <si>
    <t>CSYCAL95</t>
  </si>
  <si>
    <t>CSYCDJ10</t>
  </si>
  <si>
    <t>CSYCDJ</t>
  </si>
  <si>
    <t>CSYCDJ20</t>
  </si>
  <si>
    <t>CSYCDJ30</t>
  </si>
  <si>
    <t>CSYDHI10</t>
  </si>
  <si>
    <t>CSYDMP10</t>
  </si>
  <si>
    <t>CSYDMP</t>
  </si>
  <si>
    <t>CSYDOC10</t>
  </si>
  <si>
    <t>CSYDOF10</t>
  </si>
  <si>
    <t>CSYDOF</t>
  </si>
  <si>
    <t>CSYDOH10</t>
  </si>
  <si>
    <t>CSYDOH</t>
  </si>
  <si>
    <t>CSYDOH20</t>
  </si>
  <si>
    <t>CSYDOL10</t>
  </si>
  <si>
    <t>CSYDOL</t>
  </si>
  <si>
    <t>CSYDPM10</t>
  </si>
  <si>
    <t>CSYDPM20</t>
  </si>
  <si>
    <t>CSYECT10</t>
  </si>
  <si>
    <t>CSYECT</t>
  </si>
  <si>
    <t>CSYECT20</t>
  </si>
  <si>
    <t>CSYECT30</t>
  </si>
  <si>
    <t>CSYECT40</t>
  </si>
  <si>
    <t>CSYECT51</t>
  </si>
  <si>
    <t>CSYECT54</t>
  </si>
  <si>
    <t>CSYECT60</t>
  </si>
  <si>
    <t>CSYECT70</t>
  </si>
  <si>
    <t>CSYECT80</t>
  </si>
  <si>
    <t>CSYECT90</t>
  </si>
  <si>
    <t>CSYECT91</t>
  </si>
  <si>
    <t>CSYECT92</t>
  </si>
  <si>
    <t>CSYECT93</t>
  </si>
  <si>
    <t>CSYECTX1#MPL</t>
  </si>
  <si>
    <t>CSYEFR10</t>
  </si>
  <si>
    <t>CSYEFR</t>
  </si>
  <si>
    <t>CSYEFR30</t>
  </si>
  <si>
    <t>CSYEFR40</t>
  </si>
  <si>
    <t>CSYEPR10</t>
  </si>
  <si>
    <t>CSYEPR</t>
  </si>
  <si>
    <t>CSYEVF10</t>
  </si>
  <si>
    <t>CSYEVF</t>
  </si>
  <si>
    <t>CSYEVS01</t>
  </si>
  <si>
    <t>CSYEVS</t>
  </si>
  <si>
    <t>CSYEVS10</t>
  </si>
  <si>
    <t>CSYEVS20</t>
  </si>
  <si>
    <t>CSYFAD10</t>
  </si>
  <si>
    <t>CSYFAD</t>
  </si>
  <si>
    <t>CSYFEX10</t>
  </si>
  <si>
    <t>CSYFEX</t>
  </si>
  <si>
    <t>CSYFFR10</t>
  </si>
  <si>
    <t>CSYFFR</t>
  </si>
  <si>
    <t>CSYFFR20</t>
  </si>
  <si>
    <t>CSYFID10</t>
  </si>
  <si>
    <t>CSYFID</t>
  </si>
  <si>
    <t>CSYFID20</t>
  </si>
  <si>
    <t>CSYFID30</t>
  </si>
  <si>
    <t>CSYFLN10</t>
  </si>
  <si>
    <t>CSYFLN</t>
  </si>
  <si>
    <t>CSYFOB10</t>
  </si>
  <si>
    <t>CSYFOB</t>
  </si>
  <si>
    <t>CSYFOC10</t>
  </si>
  <si>
    <t>CSYFOC</t>
  </si>
  <si>
    <t>CSYFTH10</t>
  </si>
  <si>
    <t>CSYFTL10</t>
  </si>
  <si>
    <t>CSYFTL20</t>
  </si>
  <si>
    <t>CSYFTL30</t>
  </si>
  <si>
    <t>CSYFTL40</t>
  </si>
  <si>
    <t>CSYFTL50</t>
  </si>
  <si>
    <t>CSYFTL60</t>
  </si>
  <si>
    <t>CSYFUG10</t>
  </si>
  <si>
    <t>CSYFUG</t>
  </si>
  <si>
    <t>CSYGTX10</t>
  </si>
  <si>
    <t>CSYHBM10</t>
  </si>
  <si>
    <t>CSYHBM</t>
  </si>
  <si>
    <t>CSYIBA10</t>
  </si>
  <si>
    <t>CSYIBA20</t>
  </si>
  <si>
    <t>CSYIBA30</t>
  </si>
  <si>
    <t>CSYIBC10</t>
  </si>
  <si>
    <t>CSYIBC20</t>
  </si>
  <si>
    <t>CSYIBC30</t>
  </si>
  <si>
    <t>CSYIBC40</t>
  </si>
  <si>
    <t>CSYIBC50</t>
  </si>
  <si>
    <t>CSYIBC60</t>
  </si>
  <si>
    <t>CSYIBC70</t>
  </si>
  <si>
    <t>CSYIBR10</t>
  </si>
  <si>
    <t>CSYIBR20</t>
  </si>
  <si>
    <t>CSYIBR30</t>
  </si>
  <si>
    <t>CSYIBV10</t>
  </si>
  <si>
    <t>CSYIEM10</t>
  </si>
  <si>
    <t>CSYIEM11</t>
  </si>
  <si>
    <t>CSYIMS10</t>
  </si>
  <si>
    <t>CSYIMS</t>
  </si>
  <si>
    <t>CSYKEY10</t>
  </si>
  <si>
    <t>CSYKEY20</t>
  </si>
  <si>
    <t>CSYKEY30</t>
  </si>
  <si>
    <t>CSYKEY40</t>
  </si>
  <si>
    <t>CSYLOG10</t>
  </si>
  <si>
    <t>CSYLOG</t>
  </si>
  <si>
    <t>CSYLOG20</t>
  </si>
  <si>
    <t>CSYLOG30</t>
  </si>
  <si>
    <t>CSYMIG10</t>
  </si>
  <si>
    <t>CSYMIG20</t>
  </si>
  <si>
    <t>CSYMIG30</t>
  </si>
  <si>
    <t>CSYNBF10</t>
  </si>
  <si>
    <t>CSYNBF</t>
  </si>
  <si>
    <t>CSYNBI10</t>
  </si>
  <si>
    <t>CSYNBJ10</t>
  </si>
  <si>
    <t>CSYNBM10</t>
  </si>
  <si>
    <t>CSYNBM</t>
  </si>
  <si>
    <t>CSYNBM20</t>
  </si>
  <si>
    <t>CSYNBR10</t>
  </si>
  <si>
    <t>CSYNBV10</t>
  </si>
  <si>
    <t>CSYNUM10</t>
  </si>
  <si>
    <t>CSYOBT10</t>
  </si>
  <si>
    <t>CSYOBT11</t>
  </si>
  <si>
    <t>CSYOBT12</t>
  </si>
  <si>
    <t>CSYOBT13</t>
  </si>
  <si>
    <t>CSYOBT20</t>
  </si>
  <si>
    <t>CSYOBT21</t>
  </si>
  <si>
    <t>CSYOBT22</t>
  </si>
  <si>
    <t>CSYOBT23</t>
  </si>
  <si>
    <t>CSYPAM10</t>
  </si>
  <si>
    <t>CSYPAM</t>
  </si>
  <si>
    <t>CSYPAR10</t>
  </si>
  <si>
    <t>CSYPAR40</t>
  </si>
  <si>
    <t>CSYPDS10</t>
  </si>
  <si>
    <t>CSYPDS</t>
  </si>
  <si>
    <t>CSYPER10</t>
  </si>
  <si>
    <t>CSYPRF10</t>
  </si>
  <si>
    <t>CSYPRT10</t>
  </si>
  <si>
    <t>CSYPRT</t>
  </si>
  <si>
    <t>CSYPRT20</t>
  </si>
  <si>
    <t>CSYREA10</t>
  </si>
  <si>
    <t>CSYREA</t>
  </si>
  <si>
    <t>CSYREC10</t>
  </si>
  <si>
    <t>CSYREC20</t>
  </si>
  <si>
    <t>CSYRED10</t>
  </si>
  <si>
    <t>CSYRED20</t>
  </si>
  <si>
    <t>CSYREJ10</t>
  </si>
  <si>
    <t>CSYREJ20</t>
  </si>
  <si>
    <t>CSYREJ30</t>
  </si>
  <si>
    <t>CSYREJ40</t>
  </si>
  <si>
    <t>CSYREJ50</t>
  </si>
  <si>
    <t>CSYREJ60</t>
  </si>
  <si>
    <t>CSYREM10</t>
  </si>
  <si>
    <t>CSYREM</t>
  </si>
  <si>
    <t>CSYREP10</t>
  </si>
  <si>
    <t>CSYREU10</t>
  </si>
  <si>
    <t>CSYREV10</t>
  </si>
  <si>
    <t>CSYREV20</t>
  </si>
  <si>
    <t>CSYRLS10</t>
  </si>
  <si>
    <t>CSYRLY10</t>
  </si>
  <si>
    <t>CSYRPB10</t>
  </si>
  <si>
    <t>CSYRPB20</t>
  </si>
  <si>
    <t>CSYRPB30</t>
  </si>
  <si>
    <t>CSYRPB40</t>
  </si>
  <si>
    <t>CSYRPC10</t>
  </si>
  <si>
    <t>CSYRPH10</t>
  </si>
  <si>
    <t>CSYRPL10</t>
  </si>
  <si>
    <t>CSYRPL20</t>
  </si>
  <si>
    <t>CSYRPT10</t>
  </si>
  <si>
    <t>CSYRSE10</t>
  </si>
  <si>
    <t>CSYRSE</t>
  </si>
  <si>
    <t>CSYRSE20</t>
  </si>
  <si>
    <t>CSYSEL10</t>
  </si>
  <si>
    <t>CSYSOR10</t>
  </si>
  <si>
    <t>CSYSOR20</t>
  </si>
  <si>
    <t>CSYSPF10</t>
  </si>
  <si>
    <t>CSYSPI10</t>
  </si>
  <si>
    <t>CSYSPP10</t>
  </si>
  <si>
    <t>CSYSPP</t>
  </si>
  <si>
    <t>CSYSPV10</t>
  </si>
  <si>
    <t>CSYSPV20</t>
  </si>
  <si>
    <t>CSYSTP20</t>
  </si>
  <si>
    <t>CSYSTP40</t>
  </si>
  <si>
    <t>CSYSTP50</t>
  </si>
  <si>
    <t>CSYSTR10</t>
  </si>
  <si>
    <t>CSYSTR40</t>
  </si>
  <si>
    <t>CSYSTR50</t>
  </si>
  <si>
    <t>CSYSTS10</t>
  </si>
  <si>
    <t>CSYSTS20</t>
  </si>
  <si>
    <t>CSYSUB10</t>
  </si>
  <si>
    <t>CSYTAB10</t>
  </si>
  <si>
    <t>CSYTAB20</t>
  </si>
  <si>
    <t>CSYTAB30</t>
  </si>
  <si>
    <t>CSYTAB40</t>
  </si>
  <si>
    <t>CSYTAB50</t>
  </si>
  <si>
    <t>CSYTAB60</t>
  </si>
  <si>
    <t>CSYTAB65</t>
  </si>
  <si>
    <t>CSYTAM10</t>
  </si>
  <si>
    <t>CSYTAM</t>
  </si>
  <si>
    <t>CSYTGL10</t>
  </si>
  <si>
    <t>CSYTGL</t>
  </si>
  <si>
    <t>CSYTGL20</t>
  </si>
  <si>
    <t>CSYUNL10</t>
  </si>
  <si>
    <t>CSYUSR10</t>
  </si>
  <si>
    <t>CSYUSR20</t>
  </si>
  <si>
    <t>CSYVIC10</t>
  </si>
  <si>
    <t>CSYVIU10</t>
  </si>
  <si>
    <t>CSYVIU20</t>
  </si>
  <si>
    <t>CSYVIU30</t>
  </si>
  <si>
    <t>CTARCD10</t>
  </si>
  <si>
    <t>CTARCD</t>
  </si>
  <si>
    <t>CTARTX10</t>
  </si>
  <si>
    <t>CTARTX</t>
  </si>
  <si>
    <t>CTAXBM20</t>
  </si>
  <si>
    <t>CTAXBM</t>
  </si>
  <si>
    <t>CTAXLN01</t>
  </si>
  <si>
    <t>CTAXLN</t>
  </si>
  <si>
    <t>CTAXLN10</t>
  </si>
  <si>
    <t>CTDSCL10</t>
  </si>
  <si>
    <t>CTDSCL</t>
  </si>
  <si>
    <t>CTDSCL20</t>
  </si>
  <si>
    <t>CTRFI210</t>
  </si>
  <si>
    <t>CTRFI2</t>
  </si>
  <si>
    <t>CTRFI220</t>
  </si>
  <si>
    <t>CTSUPD10</t>
  </si>
  <si>
    <t>CTSUPD</t>
  </si>
  <si>
    <t>CTSUPD20</t>
  </si>
  <si>
    <t>CTSUPD30</t>
  </si>
  <si>
    <t>CTSUPD40</t>
  </si>
  <si>
    <t>CTSUPD50</t>
  </si>
  <si>
    <t>CTSUPD60</t>
  </si>
  <si>
    <t>CTSUPD70</t>
  </si>
  <si>
    <t>CTSUPL10</t>
  </si>
  <si>
    <t>CTSUPL</t>
  </si>
  <si>
    <t>CTSUPL20</t>
  </si>
  <si>
    <t>CTSUPL30</t>
  </si>
  <si>
    <t>CTSUPT10</t>
  </si>
  <si>
    <t>CTSUPT</t>
  </si>
  <si>
    <t>CTW20010</t>
  </si>
  <si>
    <t>CTW200</t>
  </si>
  <si>
    <t>CTW20020</t>
  </si>
  <si>
    <t>CUDFLV10</t>
  </si>
  <si>
    <t>CUDFLV</t>
  </si>
  <si>
    <t>CUDFVM10</t>
  </si>
  <si>
    <t>CUDFVM</t>
  </si>
  <si>
    <t>CUGEEA20</t>
  </si>
  <si>
    <t>CUGEEA</t>
  </si>
  <si>
    <t>CUGEEM10</t>
  </si>
  <si>
    <t>CUGEEM</t>
  </si>
  <si>
    <t>CUGEEM20</t>
  </si>
  <si>
    <t>CUGEES10</t>
  </si>
  <si>
    <t>CUGEES</t>
  </si>
  <si>
    <t>CUGEVM10</t>
  </si>
  <si>
    <t>CUGEVM</t>
  </si>
  <si>
    <t>CUGEX110</t>
  </si>
  <si>
    <t>CUGEX1</t>
  </si>
  <si>
    <t>CUGEX120</t>
  </si>
  <si>
    <t>CUGEX130</t>
  </si>
  <si>
    <t>CVATET10</t>
  </si>
  <si>
    <t>CVATET</t>
  </si>
  <si>
    <t>CVATPC10</t>
  </si>
  <si>
    <t>CWKFLK10</t>
  </si>
  <si>
    <t>CWKFLK</t>
  </si>
  <si>
    <t>CWKFLK20</t>
  </si>
  <si>
    <t>CWKFLK30</t>
  </si>
  <si>
    <t>CWKFLK40</t>
  </si>
  <si>
    <t>CWKFLK50</t>
  </si>
  <si>
    <t>CXCCST10</t>
  </si>
  <si>
    <t>CXCCST</t>
  </si>
  <si>
    <t>CXNAIN10</t>
  </si>
  <si>
    <t>CXNAIN</t>
  </si>
  <si>
    <t>DCONSI10</t>
  </si>
  <si>
    <t>DCONSI</t>
  </si>
  <si>
    <t>DCONSI20</t>
  </si>
  <si>
    <t>DCONSI30</t>
  </si>
  <si>
    <t>DCONSI40</t>
  </si>
  <si>
    <t>DCONSI50</t>
  </si>
  <si>
    <t>DCONSI60</t>
  </si>
  <si>
    <t>DCRESC10</t>
  </si>
  <si>
    <t>DCRESC</t>
  </si>
  <si>
    <t>DCRESS10</t>
  </si>
  <si>
    <t>DCRESS</t>
  </si>
  <si>
    <t>DDOCUX10</t>
  </si>
  <si>
    <t>DDOCUX</t>
  </si>
  <si>
    <t>DDR67210</t>
  </si>
  <si>
    <t>DDR672</t>
  </si>
  <si>
    <t>DDR67610</t>
  </si>
  <si>
    <t>DDR676</t>
  </si>
  <si>
    <t>DDR67620</t>
  </si>
  <si>
    <t>DDRPCO10</t>
  </si>
  <si>
    <t>DDRPCO</t>
  </si>
  <si>
    <t>DDRPDE10</t>
  </si>
  <si>
    <t>DDRPDE</t>
  </si>
  <si>
    <t>DDRPDE20</t>
  </si>
  <si>
    <t>DDRPRO10</t>
  </si>
  <si>
    <t>DDRPRO</t>
  </si>
  <si>
    <t>DLIDEX10</t>
  </si>
  <si>
    <t>DLIDEX</t>
  </si>
  <si>
    <t>DRCLFC10</t>
  </si>
  <si>
    <t>DRCLFC</t>
  </si>
  <si>
    <t>DRD90110</t>
  </si>
  <si>
    <t>DRD901</t>
  </si>
  <si>
    <t>DRD90190</t>
  </si>
  <si>
    <t>DRDRFC10</t>
  </si>
  <si>
    <t>DRDRFC</t>
  </si>
  <si>
    <t>DRDRFC20</t>
  </si>
  <si>
    <t>DRDRFC30</t>
  </si>
  <si>
    <t>DRDRFC40</t>
  </si>
  <si>
    <t>DRODPR01</t>
  </si>
  <si>
    <t>DRODPR</t>
  </si>
  <si>
    <t>DROUDI10</t>
  </si>
  <si>
    <t>DROUDI</t>
  </si>
  <si>
    <t>DROUDI20</t>
  </si>
  <si>
    <t>DROUTE10</t>
  </si>
  <si>
    <t>DROUTE</t>
  </si>
  <si>
    <t>DROUTE20</t>
  </si>
  <si>
    <t>DROUTE30</t>
  </si>
  <si>
    <t>DROUTE40</t>
  </si>
  <si>
    <t>DRSPAC10</t>
  </si>
  <si>
    <t>DRSPAC</t>
  </si>
  <si>
    <t>DRSPAC20</t>
  </si>
  <si>
    <t>DRSPAC30</t>
  </si>
  <si>
    <t>DRSPAC40</t>
  </si>
  <si>
    <t>DRSPAC50</t>
  </si>
  <si>
    <t>DRTIFI10</t>
  </si>
  <si>
    <t>DRTIFI</t>
  </si>
  <si>
    <t>DSPACK10</t>
  </si>
  <si>
    <t>DSPACK</t>
  </si>
  <si>
    <t>DSPACK20</t>
  </si>
  <si>
    <t>DUNFCZ10</t>
  </si>
  <si>
    <t>DUNFCZ</t>
  </si>
  <si>
    <t>DWFCCC10</t>
  </si>
  <si>
    <t>DWFCCC</t>
  </si>
  <si>
    <t>EAADDR10</t>
  </si>
  <si>
    <t>EAADDR</t>
  </si>
  <si>
    <t>EDITMX10</t>
  </si>
  <si>
    <t>EDITMX</t>
  </si>
  <si>
    <t>EDITMX20</t>
  </si>
  <si>
    <t>EDITMX30</t>
  </si>
  <si>
    <t>EDITMX40</t>
  </si>
  <si>
    <t>EDU00110</t>
  </si>
  <si>
    <t>EDU001</t>
  </si>
  <si>
    <t>EDU00130</t>
  </si>
  <si>
    <t>EDU00140</t>
  </si>
  <si>
    <t>EDU00170</t>
  </si>
  <si>
    <t>EDU00180</t>
  </si>
  <si>
    <t>EDUTOO10</t>
  </si>
  <si>
    <t>EDUTOO</t>
  </si>
  <si>
    <t>EDUTOO20</t>
  </si>
  <si>
    <t>EIMLOG10</t>
  </si>
  <si>
    <t>EIMLOG</t>
  </si>
  <si>
    <t>FAAAC110</t>
  </si>
  <si>
    <t>FAAAC1</t>
  </si>
  <si>
    <t>FAACCB10</t>
  </si>
  <si>
    <t>FAACCB20</t>
  </si>
  <si>
    <t>FAACCB30</t>
  </si>
  <si>
    <t>FAACCB40</t>
  </si>
  <si>
    <t>FAACCB50</t>
  </si>
  <si>
    <t>FAACCB60</t>
  </si>
  <si>
    <t>FAACCB70</t>
  </si>
  <si>
    <t>FAALOD05</t>
  </si>
  <si>
    <t>FAALOD10</t>
  </si>
  <si>
    <t>FAALOD20</t>
  </si>
  <si>
    <t>FAB18010</t>
  </si>
  <si>
    <t>FAB180</t>
  </si>
  <si>
    <t>FAB18015</t>
  </si>
  <si>
    <t>FAB18020</t>
  </si>
  <si>
    <t>FAB18025</t>
  </si>
  <si>
    <t>FAB18030</t>
  </si>
  <si>
    <t>FAB18035</t>
  </si>
  <si>
    <t>FAB18040</t>
  </si>
  <si>
    <t>FAB18045</t>
  </si>
  <si>
    <t>FAB18050</t>
  </si>
  <si>
    <t>FAB18055</t>
  </si>
  <si>
    <t>FAB18B10</t>
  </si>
  <si>
    <t>FAB18B</t>
  </si>
  <si>
    <t>FABDET10</t>
  </si>
  <si>
    <t>FABDET</t>
  </si>
  <si>
    <t>FABDET20</t>
  </si>
  <si>
    <t>FABDET30</t>
  </si>
  <si>
    <t>FABERR10</t>
  </si>
  <si>
    <t>FABERR</t>
  </si>
  <si>
    <t>FABHED10</t>
  </si>
  <si>
    <t>FABHED</t>
  </si>
  <si>
    <t>FABHED20</t>
  </si>
  <si>
    <t>FABLOG10</t>
  </si>
  <si>
    <t>FABLOG</t>
  </si>
  <si>
    <t>FABLOG20</t>
  </si>
  <si>
    <t>FABTAB10</t>
  </si>
  <si>
    <t>FABTAB</t>
  </si>
  <si>
    <t>FACCES10</t>
  </si>
  <si>
    <t>FACGRC10</t>
  </si>
  <si>
    <t>FACGRC</t>
  </si>
  <si>
    <t>FACGRP10</t>
  </si>
  <si>
    <t>FACGRP</t>
  </si>
  <si>
    <t>FADTSL10</t>
  </si>
  <si>
    <t>FADTSL</t>
  </si>
  <si>
    <t>FADVI101</t>
  </si>
  <si>
    <t>FADVI1</t>
  </si>
  <si>
    <t>FADVI102</t>
  </si>
  <si>
    <t>FADVI210</t>
  </si>
  <si>
    <t>FADVI2</t>
  </si>
  <si>
    <t>FADVI310</t>
  </si>
  <si>
    <t>FADVI3</t>
  </si>
  <si>
    <t>FAMTHE10</t>
  </si>
  <si>
    <t>FAMTHE20</t>
  </si>
  <si>
    <t>FANDET10</t>
  </si>
  <si>
    <t>FANDET</t>
  </si>
  <si>
    <t>FANLI110</t>
  </si>
  <si>
    <t>FANLI1</t>
  </si>
  <si>
    <t>FANLI310</t>
  </si>
  <si>
    <t>FANLI3</t>
  </si>
  <si>
    <t>FANRVD10</t>
  </si>
  <si>
    <t>FANRVD</t>
  </si>
  <si>
    <t>FANRVD20</t>
  </si>
  <si>
    <t>FANRVD30</t>
  </si>
  <si>
    <t>FANRVD40</t>
  </si>
  <si>
    <t>FANSUG10</t>
  </si>
  <si>
    <t>FANSUG</t>
  </si>
  <si>
    <t>FAP04010</t>
  </si>
  <si>
    <t>FAP04020</t>
  </si>
  <si>
    <t>FAP04030</t>
  </si>
  <si>
    <t>FAP04040</t>
  </si>
  <si>
    <t>FAP11010</t>
  </si>
  <si>
    <t>FAP11020</t>
  </si>
  <si>
    <t>FAP13110</t>
  </si>
  <si>
    <t>FAP13120</t>
  </si>
  <si>
    <t>FAP13130</t>
  </si>
  <si>
    <t>FAP13140</t>
  </si>
  <si>
    <t>FAP13150</t>
  </si>
  <si>
    <t>FAP13160</t>
  </si>
  <si>
    <t>FAP13170</t>
  </si>
  <si>
    <t>FAP14110</t>
  </si>
  <si>
    <t>FAP16100</t>
  </si>
  <si>
    <t>FAP16110</t>
  </si>
  <si>
    <t>FAP16120</t>
  </si>
  <si>
    <t>FAP16130</t>
  </si>
  <si>
    <t>FAP16150</t>
  </si>
  <si>
    <t>FAP30510</t>
  </si>
  <si>
    <t>FAP305</t>
  </si>
  <si>
    <t>FAP30520</t>
  </si>
  <si>
    <t>FAP30610</t>
  </si>
  <si>
    <t>FAP306</t>
  </si>
  <si>
    <t>FAP30620</t>
  </si>
  <si>
    <t>FAP51601</t>
  </si>
  <si>
    <t>FAP516</t>
  </si>
  <si>
    <t>FAP51A01</t>
  </si>
  <si>
    <t>FAP51A</t>
  </si>
  <si>
    <t>FAP54500</t>
  </si>
  <si>
    <t>FAP545</t>
  </si>
  <si>
    <t>FAP54510</t>
  </si>
  <si>
    <t>FAP54520</t>
  </si>
  <si>
    <t>FAP60610</t>
  </si>
  <si>
    <t>FAP606</t>
  </si>
  <si>
    <t>FAP61110</t>
  </si>
  <si>
    <t>FAP611</t>
  </si>
  <si>
    <t>FAP61120</t>
  </si>
  <si>
    <t>FAP61130</t>
  </si>
  <si>
    <t>FAP99910</t>
  </si>
  <si>
    <t>FAP999</t>
  </si>
  <si>
    <t>FAP99920</t>
  </si>
  <si>
    <t>FAPARL10</t>
  </si>
  <si>
    <t>FAPARL</t>
  </si>
  <si>
    <t>FAPARL20</t>
  </si>
  <si>
    <t>FAPARL30</t>
  </si>
  <si>
    <t>FAPBAC10</t>
  </si>
  <si>
    <t>FAPBAC20</t>
  </si>
  <si>
    <t>FAPBIH10</t>
  </si>
  <si>
    <t>FAPBIH20</t>
  </si>
  <si>
    <t>FAPBIH30</t>
  </si>
  <si>
    <t>FAPBIH40</t>
  </si>
  <si>
    <t>FAPBIH50</t>
  </si>
  <si>
    <t>FAPBIH60</t>
  </si>
  <si>
    <t>FAPBIL10</t>
  </si>
  <si>
    <t>FAPBIL20</t>
  </si>
  <si>
    <t>FAPBIL30</t>
  </si>
  <si>
    <t>FAPBIL40</t>
  </si>
  <si>
    <t>FAPBIL50</t>
  </si>
  <si>
    <t>FAPBKQ10</t>
  </si>
  <si>
    <t>FAPBKQ</t>
  </si>
  <si>
    <t>FAPBKQ20</t>
  </si>
  <si>
    <t>FAPBKQ30</t>
  </si>
  <si>
    <t>FAPBKQ40</t>
  </si>
  <si>
    <t>FAPBKQ50</t>
  </si>
  <si>
    <t>FAPCHK10</t>
  </si>
  <si>
    <t>FAPCHK20</t>
  </si>
  <si>
    <t>FAPCHK30</t>
  </si>
  <si>
    <t>FAPCHK50</t>
  </si>
  <si>
    <t>FAPDRF10</t>
  </si>
  <si>
    <t>FAPDRF</t>
  </si>
  <si>
    <t>FAPDRF20</t>
  </si>
  <si>
    <t>FAPDRF30</t>
  </si>
  <si>
    <t>FAPDRF40</t>
  </si>
  <si>
    <t>FAPDRF50</t>
  </si>
  <si>
    <t>FAPIBH10</t>
  </si>
  <si>
    <t>FAPIBH20</t>
  </si>
  <si>
    <t>FAPIBH30</t>
  </si>
  <si>
    <t>FAPIBH40</t>
  </si>
  <si>
    <t>FAPIBH50</t>
  </si>
  <si>
    <t>FAPIBL10</t>
  </si>
  <si>
    <t>FAPIBL20</t>
  </si>
  <si>
    <t>FAPIBL30</t>
  </si>
  <si>
    <t>FAPIBL40</t>
  </si>
  <si>
    <t>FAPIBL50</t>
  </si>
  <si>
    <t>FAPPER10</t>
  </si>
  <si>
    <t>FAPPER</t>
  </si>
  <si>
    <t>FAPPTL10</t>
  </si>
  <si>
    <t>FAPPTL</t>
  </si>
  <si>
    <t>FAPPTL20</t>
  </si>
  <si>
    <t>FAPRCD10</t>
  </si>
  <si>
    <t>FAPREC10</t>
  </si>
  <si>
    <t>FAPREC</t>
  </si>
  <si>
    <t>FAPREC20</t>
  </si>
  <si>
    <t>FAPREC40</t>
  </si>
  <si>
    <t>FAPRED10</t>
  </si>
  <si>
    <t>FAPRED20</t>
  </si>
  <si>
    <t>FAPRED30</t>
  </si>
  <si>
    <t>FAPREDX0#MNO</t>
  </si>
  <si>
    <t>FAPREDX1#MNO</t>
  </si>
  <si>
    <t>FAPREDX2#MNO</t>
  </si>
  <si>
    <t>FAPREDX3#MNO</t>
  </si>
  <si>
    <t>FAPREDX4#MNO</t>
  </si>
  <si>
    <t>FAPREH10</t>
  </si>
  <si>
    <t>FAPREH20</t>
  </si>
  <si>
    <t>FAPREH30</t>
  </si>
  <si>
    <t>FAPREH40</t>
  </si>
  <si>
    <t>FAPREH50</t>
  </si>
  <si>
    <t>FAPREHX0#MNO</t>
  </si>
  <si>
    <t>FAPREHX1#MNO</t>
  </si>
  <si>
    <t>FAPREL10</t>
  </si>
  <si>
    <t>FAPREL</t>
  </si>
  <si>
    <t>FAPRET10</t>
  </si>
  <si>
    <t>FAPRET</t>
  </si>
  <si>
    <t>FAPSER10</t>
  </si>
  <si>
    <t>FAPSER20</t>
  </si>
  <si>
    <t>FAPSER30</t>
  </si>
  <si>
    <t>FAPSER40</t>
  </si>
  <si>
    <t>FAPSER50</t>
  </si>
  <si>
    <t>FAPSER60</t>
  </si>
  <si>
    <t>FAPSPD00</t>
  </si>
  <si>
    <t>FAPSPD</t>
  </si>
  <si>
    <t>FAPSPD10</t>
  </si>
  <si>
    <t>FAPSPD20</t>
  </si>
  <si>
    <t>FAPSPD30</t>
  </si>
  <si>
    <t>FAPSPD40</t>
  </si>
  <si>
    <t>FAPSPH10</t>
  </si>
  <si>
    <t>FAPSPH</t>
  </si>
  <si>
    <t>FAPSPH20</t>
  </si>
  <si>
    <t>FAPSPH30</t>
  </si>
  <si>
    <t>FAPSSE10</t>
  </si>
  <si>
    <t>FAPSSE</t>
  </si>
  <si>
    <t>FAPSSH10</t>
  </si>
  <si>
    <t>FAPSSH</t>
  </si>
  <si>
    <t>FAPSSL10</t>
  </si>
  <si>
    <t>FAPSSL</t>
  </si>
  <si>
    <t>FAPSSL20</t>
  </si>
  <si>
    <t>FAPWH110</t>
  </si>
  <si>
    <t>FAPWH1</t>
  </si>
  <si>
    <t>FAPWHE10</t>
  </si>
  <si>
    <t>FAPWHE</t>
  </si>
  <si>
    <t>FAPWHP10</t>
  </si>
  <si>
    <t>FAPWHP</t>
  </si>
  <si>
    <t>FAPWHP20</t>
  </si>
  <si>
    <t>FAPWHT10</t>
  </si>
  <si>
    <t>FAPWHT</t>
  </si>
  <si>
    <t>FAR10610</t>
  </si>
  <si>
    <t>FAR106</t>
  </si>
  <si>
    <t>FAR11610</t>
  </si>
  <si>
    <t>FAR20310</t>
  </si>
  <si>
    <t>FAR203</t>
  </si>
  <si>
    <t>FAR32210</t>
  </si>
  <si>
    <t>FAR322</t>
  </si>
  <si>
    <t>FAR40010</t>
  </si>
  <si>
    <t>FAR400</t>
  </si>
  <si>
    <t>FAR41010</t>
  </si>
  <si>
    <t>FAR410</t>
  </si>
  <si>
    <t>FAR51601</t>
  </si>
  <si>
    <t>FAR516</t>
  </si>
  <si>
    <t>FAR51S01</t>
  </si>
  <si>
    <t>FAR51S</t>
  </si>
  <si>
    <t>FAR52101</t>
  </si>
  <si>
    <t>FAR521</t>
  </si>
  <si>
    <t>FAR52102</t>
  </si>
  <si>
    <t>FAR52103</t>
  </si>
  <si>
    <t>FAR52111</t>
  </si>
  <si>
    <t>FAR52112</t>
  </si>
  <si>
    <t>FAR52113</t>
  </si>
  <si>
    <t>FAR54500</t>
  </si>
  <si>
    <t>FAR545</t>
  </si>
  <si>
    <t>FAR54510</t>
  </si>
  <si>
    <t>FAR54520</t>
  </si>
  <si>
    <t>FAR61110</t>
  </si>
  <si>
    <t>FAR611</t>
  </si>
  <si>
    <t>FAR61120</t>
  </si>
  <si>
    <t>FAR61130</t>
  </si>
  <si>
    <t>FAR99910</t>
  </si>
  <si>
    <t>FAR999</t>
  </si>
  <si>
    <t>FARBKQ10</t>
  </si>
  <si>
    <t>FARBKQ</t>
  </si>
  <si>
    <t>FARBKQ20</t>
  </si>
  <si>
    <t>FARBKQ30</t>
  </si>
  <si>
    <t>FARBKQ40</t>
  </si>
  <si>
    <t>FARBKQ50</t>
  </si>
  <si>
    <t>FARBPB10</t>
  </si>
  <si>
    <t>FARBPB</t>
  </si>
  <si>
    <t>FARBPI10</t>
  </si>
  <si>
    <t>FARBPI</t>
  </si>
  <si>
    <t>FARBPIX0#MNO</t>
  </si>
  <si>
    <t>FARBPTX1#MBR</t>
  </si>
  <si>
    <t>FARBPT</t>
  </si>
  <si>
    <t>FARCOD10</t>
  </si>
  <si>
    <t>FARCOD</t>
  </si>
  <si>
    <t>FARCOH10</t>
  </si>
  <si>
    <t>FARCOH</t>
  </si>
  <si>
    <t>FARCOH20</t>
  </si>
  <si>
    <t>FARCOH30</t>
  </si>
  <si>
    <t>FARCOI10</t>
  </si>
  <si>
    <t>FARCOI</t>
  </si>
  <si>
    <t>FARCOI20</t>
  </si>
  <si>
    <t>FARCOI30</t>
  </si>
  <si>
    <t>FARCOI40</t>
  </si>
  <si>
    <t>FARDAD10</t>
  </si>
  <si>
    <t>FARDAD</t>
  </si>
  <si>
    <t>FARDAH10</t>
  </si>
  <si>
    <t>FARDAH</t>
  </si>
  <si>
    <t>FARDAI10</t>
  </si>
  <si>
    <t>FARDAI</t>
  </si>
  <si>
    <t>FARDDR10</t>
  </si>
  <si>
    <t>FARDDR</t>
  </si>
  <si>
    <t>FARDDR20</t>
  </si>
  <si>
    <t>FARDDT10</t>
  </si>
  <si>
    <t>FARDDT</t>
  </si>
  <si>
    <t>FARHED10</t>
  </si>
  <si>
    <t>FARHED</t>
  </si>
  <si>
    <t>FARHED20</t>
  </si>
  <si>
    <t>FARIID10</t>
  </si>
  <si>
    <t>FARIID</t>
  </si>
  <si>
    <t>FARIID20</t>
  </si>
  <si>
    <t>FARIID30</t>
  </si>
  <si>
    <t>FARIID40</t>
  </si>
  <si>
    <t>FARIIH10</t>
  </si>
  <si>
    <t>FARIIH</t>
  </si>
  <si>
    <t>FARIIH20</t>
  </si>
  <si>
    <t>FARIIH30</t>
  </si>
  <si>
    <t>FARIII10</t>
  </si>
  <si>
    <t>FARIII</t>
  </si>
  <si>
    <t>FARIII20</t>
  </si>
  <si>
    <t>FARP4010</t>
  </si>
  <si>
    <t>FARP40</t>
  </si>
  <si>
    <t>FARPCR10</t>
  </si>
  <si>
    <t>FARPCR</t>
  </si>
  <si>
    <t>FARPPD10</t>
  </si>
  <si>
    <t>FARPPD</t>
  </si>
  <si>
    <t>FARPPH10</t>
  </si>
  <si>
    <t>FARPPH</t>
  </si>
  <si>
    <t>FARPRD10</t>
  </si>
  <si>
    <t>FARPRD</t>
  </si>
  <si>
    <t>FARPRD20</t>
  </si>
  <si>
    <t>FARPRD30</t>
  </si>
  <si>
    <t>FARPRH10</t>
  </si>
  <si>
    <t>FARPRH</t>
  </si>
  <si>
    <t>FARPRH20</t>
  </si>
  <si>
    <t>FARPRL10</t>
  </si>
  <si>
    <t>FARPRL</t>
  </si>
  <si>
    <t>FARPRL20</t>
  </si>
  <si>
    <t>FARPTL10</t>
  </si>
  <si>
    <t>FARPTL</t>
  </si>
  <si>
    <t>FARPTL20</t>
  </si>
  <si>
    <t>FARREC10</t>
  </si>
  <si>
    <t>FARREC</t>
  </si>
  <si>
    <t>FARRED10</t>
  </si>
  <si>
    <t>FARRED</t>
  </si>
  <si>
    <t>FARRED11</t>
  </si>
  <si>
    <t>FARRED15</t>
  </si>
  <si>
    <t>FARRED20</t>
  </si>
  <si>
    <t>FARRED21</t>
  </si>
  <si>
    <t>FARRED25</t>
  </si>
  <si>
    <t>FARRED26</t>
  </si>
  <si>
    <t>FARRED27</t>
  </si>
  <si>
    <t>FARRED30</t>
  </si>
  <si>
    <t>FARRED40</t>
  </si>
  <si>
    <t>FARRED50</t>
  </si>
  <si>
    <t>FARRED55</t>
  </si>
  <si>
    <t>FARRED56</t>
  </si>
  <si>
    <t>FARRED57</t>
  </si>
  <si>
    <t>FARRED60</t>
  </si>
  <si>
    <t>FARRED65</t>
  </si>
  <si>
    <t>FARRED70</t>
  </si>
  <si>
    <t>FARRED80</t>
  </si>
  <si>
    <t>FARRED90</t>
  </si>
  <si>
    <t>FARRED91</t>
  </si>
  <si>
    <t>FARREM01</t>
  </si>
  <si>
    <t>FARREM</t>
  </si>
  <si>
    <t>FARREM10</t>
  </si>
  <si>
    <t>FARREM20</t>
  </si>
  <si>
    <t>FARREM30</t>
  </si>
  <si>
    <t>FARRES10</t>
  </si>
  <si>
    <t>FARRES</t>
  </si>
  <si>
    <t>FARRMD10</t>
  </si>
  <si>
    <t>FARRMD</t>
  </si>
  <si>
    <t>FARRMD20</t>
  </si>
  <si>
    <t>FARRMD30</t>
  </si>
  <si>
    <t>FARRMH10</t>
  </si>
  <si>
    <t>FARRMH</t>
  </si>
  <si>
    <t>FARRMH20</t>
  </si>
  <si>
    <t>FARRMH30</t>
  </si>
  <si>
    <t>FARRMI10</t>
  </si>
  <si>
    <t>FARRMI</t>
  </si>
  <si>
    <t>FARRMI20</t>
  </si>
  <si>
    <t>FARRMI30</t>
  </si>
  <si>
    <t>FARRMI40</t>
  </si>
  <si>
    <t>FARRMI50</t>
  </si>
  <si>
    <t>FARRMI55</t>
  </si>
  <si>
    <t>FARRMI60</t>
  </si>
  <si>
    <t>FARRMI70</t>
  </si>
  <si>
    <t>FARRMI90</t>
  </si>
  <si>
    <t>FARRPD10</t>
  </si>
  <si>
    <t>FARRPD</t>
  </si>
  <si>
    <t>FARRPD20</t>
  </si>
  <si>
    <t>FARRPD30</t>
  </si>
  <si>
    <t>FARRPD40</t>
  </si>
  <si>
    <t>FARRPD50</t>
  </si>
  <si>
    <t>FARRPH01</t>
  </si>
  <si>
    <t>FARRPH</t>
  </si>
  <si>
    <t>FARRPH10</t>
  </si>
  <si>
    <t>FARRPI10</t>
  </si>
  <si>
    <t>FARRPI</t>
  </si>
  <si>
    <t>FARRPI20</t>
  </si>
  <si>
    <t>FARRPP10</t>
  </si>
  <si>
    <t>FARRPP</t>
  </si>
  <si>
    <t>FARRPT10</t>
  </si>
  <si>
    <t>FARRPT</t>
  </si>
  <si>
    <t>FARSAD10</t>
  </si>
  <si>
    <t>FARSAD</t>
  </si>
  <si>
    <t>FARSAD20</t>
  </si>
  <si>
    <t>FARSAH10</t>
  </si>
  <si>
    <t>FARSAH</t>
  </si>
  <si>
    <t>FARSAH20</t>
  </si>
  <si>
    <t>FARSAH30</t>
  </si>
  <si>
    <t>FARSAI10</t>
  </si>
  <si>
    <t>FARSAI</t>
  </si>
  <si>
    <t>FARSAI20</t>
  </si>
  <si>
    <t>FARSAI30</t>
  </si>
  <si>
    <t>FARSAI40</t>
  </si>
  <si>
    <t>FARSAI50</t>
  </si>
  <si>
    <t>FARSAI60</t>
  </si>
  <si>
    <t>FARWTI10</t>
  </si>
  <si>
    <t>FARWTI</t>
  </si>
  <si>
    <t>FARWTS10</t>
  </si>
  <si>
    <t>FARWTS</t>
  </si>
  <si>
    <t>FBAAHE10</t>
  </si>
  <si>
    <t>FBAKEY01</t>
  </si>
  <si>
    <t>FBAKEY02</t>
  </si>
  <si>
    <t>FBAKEY03</t>
  </si>
  <si>
    <t>FBAKEY04</t>
  </si>
  <si>
    <t>FBAKEY05</t>
  </si>
  <si>
    <t>FBAKEY06</t>
  </si>
  <si>
    <t>FBAKEY07</t>
  </si>
  <si>
    <t>FBAKEY30</t>
  </si>
  <si>
    <t>FBAKEY40</t>
  </si>
  <si>
    <t>FBAPLH10</t>
  </si>
  <si>
    <t>FBAPLH</t>
  </si>
  <si>
    <t>FBAVAL10</t>
  </si>
  <si>
    <t>FBDCTH10</t>
  </si>
  <si>
    <t>FBDISE10</t>
  </si>
  <si>
    <t>FBKDEF10</t>
  </si>
  <si>
    <t>FBKDEF20</t>
  </si>
  <si>
    <t>FBKDEF40</t>
  </si>
  <si>
    <t>FBNKFO10</t>
  </si>
  <si>
    <t>FBRPLH10</t>
  </si>
  <si>
    <t>FBRPLH</t>
  </si>
  <si>
    <t>FBSREC10</t>
  </si>
  <si>
    <t>FBSREC</t>
  </si>
  <si>
    <t>FBSREH10</t>
  </si>
  <si>
    <t>FBSREH</t>
  </si>
  <si>
    <t>FBSREH20</t>
  </si>
  <si>
    <t>FBSREH30</t>
  </si>
  <si>
    <t>FBSREL10</t>
  </si>
  <si>
    <t>FBSREL</t>
  </si>
  <si>
    <t>FBSREM10</t>
  </si>
  <si>
    <t>FBSREM</t>
  </si>
  <si>
    <t>FBSREM20</t>
  </si>
  <si>
    <t>FBSREM30</t>
  </si>
  <si>
    <t>FBTMPH10</t>
  </si>
  <si>
    <t>FBU04001</t>
  </si>
  <si>
    <t>FBU040</t>
  </si>
  <si>
    <t>FBU04020</t>
  </si>
  <si>
    <t>FBU12110</t>
  </si>
  <si>
    <t>FBU121</t>
  </si>
  <si>
    <t>FBU18110</t>
  </si>
  <si>
    <t>FBU181</t>
  </si>
  <si>
    <t>FBU18210</t>
  </si>
  <si>
    <t>FBU182</t>
  </si>
  <si>
    <t>FBUDAY20</t>
  </si>
  <si>
    <t>FBUDAY</t>
  </si>
  <si>
    <t>FBUDEF10</t>
  </si>
  <si>
    <t>FBUDEF30</t>
  </si>
  <si>
    <t>FBUDET10</t>
  </si>
  <si>
    <t>FBUDET20</t>
  </si>
  <si>
    <t>FBUDET21</t>
  </si>
  <si>
    <t>FBUDET22</t>
  </si>
  <si>
    <t>FBUDET23</t>
  </si>
  <si>
    <t>FBUDET24</t>
  </si>
  <si>
    <t>FBUDET25</t>
  </si>
  <si>
    <t>FBUDET26</t>
  </si>
  <si>
    <t>FBUDET27</t>
  </si>
  <si>
    <t>FBUDET70</t>
  </si>
  <si>
    <t>FBUDET80</t>
  </si>
  <si>
    <t>FBUDIS10</t>
  </si>
  <si>
    <t>FBUSUM01</t>
  </si>
  <si>
    <t>FBUSUM10</t>
  </si>
  <si>
    <t>FBUSUM20</t>
  </si>
  <si>
    <t>FBUSUM30</t>
  </si>
  <si>
    <t>FBUSUM40</t>
  </si>
  <si>
    <t>FBUSUM50</t>
  </si>
  <si>
    <t>FBUSUM60</t>
  </si>
  <si>
    <t>FBUSUM70</t>
  </si>
  <si>
    <t>FCA17D10</t>
  </si>
  <si>
    <t>FCA17D</t>
  </si>
  <si>
    <t>FCA17H10</t>
  </si>
  <si>
    <t>FCA17H</t>
  </si>
  <si>
    <t>FCA17T10</t>
  </si>
  <si>
    <t>FCA17T</t>
  </si>
  <si>
    <t>FCA51110</t>
  </si>
  <si>
    <t>FCA511</t>
  </si>
  <si>
    <t>FCA51600</t>
  </si>
  <si>
    <t>FCA516</t>
  </si>
  <si>
    <t>FCA53110</t>
  </si>
  <si>
    <t>FCA531</t>
  </si>
  <si>
    <t>FCA53610</t>
  </si>
  <si>
    <t>FCA536</t>
  </si>
  <si>
    <t>FCA53620</t>
  </si>
  <si>
    <t>FCA53630</t>
  </si>
  <si>
    <t>FCA54110</t>
  </si>
  <si>
    <t>FCA541</t>
  </si>
  <si>
    <t>FCAAVC10</t>
  </si>
  <si>
    <t>FCAAVC</t>
  </si>
  <si>
    <t>FCAAVP10</t>
  </si>
  <si>
    <t>FCAAVP20</t>
  </si>
  <si>
    <t>FCACCV10</t>
  </si>
  <si>
    <t>FCACCV20</t>
  </si>
  <si>
    <t>FCACCV30</t>
  </si>
  <si>
    <t>FCAIDL10</t>
  </si>
  <si>
    <t>FCAIDL20</t>
  </si>
  <si>
    <t>FCAIDL30</t>
  </si>
  <si>
    <t>FCARRD10</t>
  </si>
  <si>
    <t>FCARRD</t>
  </si>
  <si>
    <t>FCARRD20</t>
  </si>
  <si>
    <t>FCARUD10</t>
  </si>
  <si>
    <t>FCARUD</t>
  </si>
  <si>
    <t>FCARUD20</t>
  </si>
  <si>
    <t>FCARUD30</t>
  </si>
  <si>
    <t>FCARUD40</t>
  </si>
  <si>
    <t>FCAVDF10</t>
  </si>
  <si>
    <t>FCAVDF</t>
  </si>
  <si>
    <t>FCF10010</t>
  </si>
  <si>
    <t>FCF100</t>
  </si>
  <si>
    <t>FCF10015</t>
  </si>
  <si>
    <t>FCF10020</t>
  </si>
  <si>
    <t>FCF10100</t>
  </si>
  <si>
    <t>FCF101</t>
  </si>
  <si>
    <t>FCF10110</t>
  </si>
  <si>
    <t>FCFACV10</t>
  </si>
  <si>
    <t>FCFACV20</t>
  </si>
  <si>
    <t>FCFACV30</t>
  </si>
  <si>
    <t>FCFBIN10</t>
  </si>
  <si>
    <t>FCFBIN20</t>
  </si>
  <si>
    <t>FCFBIN30</t>
  </si>
  <si>
    <t>FCFBIN40</t>
  </si>
  <si>
    <t>FCFBIN50</t>
  </si>
  <si>
    <t>FCFBIN60</t>
  </si>
  <si>
    <t>FCFBIN70</t>
  </si>
  <si>
    <t>FCFBIN80</t>
  </si>
  <si>
    <t>FCFBIN85</t>
  </si>
  <si>
    <t>FCFBIN90</t>
  </si>
  <si>
    <t>FCFBIN95</t>
  </si>
  <si>
    <t>FCFBKN10</t>
  </si>
  <si>
    <t>FCFCDD10</t>
  </si>
  <si>
    <t>FCFCDH10</t>
  </si>
  <si>
    <t>FCFDAT10</t>
  </si>
  <si>
    <t>FCFDAT20</t>
  </si>
  <si>
    <t>FCFDAT30</t>
  </si>
  <si>
    <t>FCFDAT40</t>
  </si>
  <si>
    <t>FCFDAT50</t>
  </si>
  <si>
    <t>FCFDAT60</t>
  </si>
  <si>
    <t>FCFDAT70</t>
  </si>
  <si>
    <t>FCFDAT80</t>
  </si>
  <si>
    <t>FCFDET10</t>
  </si>
  <si>
    <t>FCFDET20</t>
  </si>
  <si>
    <t>FCFDET30</t>
  </si>
  <si>
    <t>FCFDET40</t>
  </si>
  <si>
    <t>FCFDET50</t>
  </si>
  <si>
    <t>FCFELV10</t>
  </si>
  <si>
    <t>FCFELV20</t>
  </si>
  <si>
    <t>FCFELV30</t>
  </si>
  <si>
    <t>FCFELV40</t>
  </si>
  <si>
    <t>FCFELV50</t>
  </si>
  <si>
    <t>FCFOIN05</t>
  </si>
  <si>
    <t>FCFOIN10</t>
  </si>
  <si>
    <t>FCFOIN15</t>
  </si>
  <si>
    <t>FCFOIN20</t>
  </si>
  <si>
    <t>FCFOIN25</t>
  </si>
  <si>
    <t>FCFOIN30</t>
  </si>
  <si>
    <t>FCFOIN35</t>
  </si>
  <si>
    <t>FCFOIN40</t>
  </si>
  <si>
    <t>FCFOIN45</t>
  </si>
  <si>
    <t>FCFOIN50</t>
  </si>
  <si>
    <t>FCFOIN55</t>
  </si>
  <si>
    <t>FCFOIN60</t>
  </si>
  <si>
    <t>FCFOIN65</t>
  </si>
  <si>
    <t>FCFOIN70</t>
  </si>
  <si>
    <t>FCFOIN75</t>
  </si>
  <si>
    <t>FCFOIN80</t>
  </si>
  <si>
    <t>FCFOIN85</t>
  </si>
  <si>
    <t>FCFOIN90</t>
  </si>
  <si>
    <t>FCFOIN95</t>
  </si>
  <si>
    <t>FCGCRL10</t>
  </si>
  <si>
    <t>FCGCRL</t>
  </si>
  <si>
    <t>FCHACC20</t>
  </si>
  <si>
    <t>FCHKMA10</t>
  </si>
  <si>
    <t>FCHKMA</t>
  </si>
  <si>
    <t>FCHKMA20</t>
  </si>
  <si>
    <t>FCHKMA30</t>
  </si>
  <si>
    <t>FCHREC10</t>
  </si>
  <si>
    <t>FCHREC</t>
  </si>
  <si>
    <t>FCHSEC10</t>
  </si>
  <si>
    <t>FCHSEC</t>
  </si>
  <si>
    <t>FCHSEC20</t>
  </si>
  <si>
    <t>FCINAP10</t>
  </si>
  <si>
    <t>FCINAP</t>
  </si>
  <si>
    <t>FCINAP20</t>
  </si>
  <si>
    <t>FCM71210</t>
  </si>
  <si>
    <t>FCM712</t>
  </si>
  <si>
    <t>FCOLL101</t>
  </si>
  <si>
    <t>FCOLL1</t>
  </si>
  <si>
    <t>FCOLL102</t>
  </si>
  <si>
    <t>FCOLL200</t>
  </si>
  <si>
    <t>FCOLL2</t>
  </si>
  <si>
    <t>FCOLL210</t>
  </si>
  <si>
    <t>FCOLL300</t>
  </si>
  <si>
    <t>FCOLL3</t>
  </si>
  <si>
    <t>FCOLL310</t>
  </si>
  <si>
    <t>FCR04001</t>
  </si>
  <si>
    <t>FCR04002</t>
  </si>
  <si>
    <t>FCR04003</t>
  </si>
  <si>
    <t>FCR04004</t>
  </si>
  <si>
    <t>FCR04006</t>
  </si>
  <si>
    <t>FCR04007</t>
  </si>
  <si>
    <t>FCR04008</t>
  </si>
  <si>
    <t>FCR04009</t>
  </si>
  <si>
    <t>FCR04010</t>
  </si>
  <si>
    <t>FCR04011</t>
  </si>
  <si>
    <t>FCR04012</t>
  </si>
  <si>
    <t>FCR04013</t>
  </si>
  <si>
    <t>FCR04014</t>
  </si>
  <si>
    <t>FCR04015</t>
  </si>
  <si>
    <t>FCR04020</t>
  </si>
  <si>
    <t>FCR04022</t>
  </si>
  <si>
    <t>FCR04030</t>
  </si>
  <si>
    <t>FCR04040</t>
  </si>
  <si>
    <t>FCR04041</t>
  </si>
  <si>
    <t>FCR04042</t>
  </si>
  <si>
    <t>FCR04050</t>
  </si>
  <si>
    <t>FCR04051</t>
  </si>
  <si>
    <t>FCR04060</t>
  </si>
  <si>
    <t>FCR04061</t>
  </si>
  <si>
    <t>FCR04062</t>
  </si>
  <si>
    <t>FCR04070</t>
  </si>
  <si>
    <t>FCR04080</t>
  </si>
  <si>
    <t>FCR04090</t>
  </si>
  <si>
    <t>FCR04W10</t>
  </si>
  <si>
    <t>FCR04W</t>
  </si>
  <si>
    <t>FCR04W11</t>
  </si>
  <si>
    <t>FCR04W98</t>
  </si>
  <si>
    <t>FCR04W99</t>
  </si>
  <si>
    <t>FCR04X10</t>
  </si>
  <si>
    <t>FCR04X20</t>
  </si>
  <si>
    <t>FCRMCD10</t>
  </si>
  <si>
    <t>FCRMCD20</t>
  </si>
  <si>
    <t>FCRMCD30</t>
  </si>
  <si>
    <t>FCRMHD10</t>
  </si>
  <si>
    <t>FCRMHD20</t>
  </si>
  <si>
    <t>FCRMIN10</t>
  </si>
  <si>
    <t>FCRMIN20</t>
  </si>
  <si>
    <t>FCRMIN30</t>
  </si>
  <si>
    <t>FCRMTD10</t>
  </si>
  <si>
    <t>FCRMTD20</t>
  </si>
  <si>
    <t>FCRMTN10</t>
  </si>
  <si>
    <t>FCRMTN20</t>
  </si>
  <si>
    <t>FCRMTN30</t>
  </si>
  <si>
    <t>FCRMTN40</t>
  </si>
  <si>
    <t>FCRMTN50</t>
  </si>
  <si>
    <t>FCRMTN60</t>
  </si>
  <si>
    <t>FCURTX10</t>
  </si>
  <si>
    <t>FCUSCR10</t>
  </si>
  <si>
    <t>FDDAGD10</t>
  </si>
  <si>
    <t>FDDAGD</t>
  </si>
  <si>
    <t>FDDAGH10</t>
  </si>
  <si>
    <t>FDDAGH</t>
  </si>
  <si>
    <t>FDDAGH20</t>
  </si>
  <si>
    <t>FDDAGR10</t>
  </si>
  <si>
    <t>FDDAGR</t>
  </si>
  <si>
    <t>FDDAGR20</t>
  </si>
  <si>
    <t>FDDAGR30</t>
  </si>
  <si>
    <t>FDDAGR50</t>
  </si>
  <si>
    <t>FDDAGR60</t>
  </si>
  <si>
    <t>FDOCFO10</t>
  </si>
  <si>
    <t>FDOCFO</t>
  </si>
  <si>
    <t>FDPINV00</t>
  </si>
  <si>
    <t>FDPINV</t>
  </si>
  <si>
    <t>FDPINV01</t>
  </si>
  <si>
    <t>FDRFMA10</t>
  </si>
  <si>
    <t>FDRFMA</t>
  </si>
  <si>
    <t>FDRFMA20</t>
  </si>
  <si>
    <t>FDRFMA30</t>
  </si>
  <si>
    <t>FDRTRA10</t>
  </si>
  <si>
    <t>FDRTRA</t>
  </si>
  <si>
    <t>FDRTRA20</t>
  </si>
  <si>
    <t>FDRTRA30</t>
  </si>
  <si>
    <t>FDRTRA40</t>
  </si>
  <si>
    <t>FDRTRA50</t>
  </si>
  <si>
    <t>FERECD00</t>
  </si>
  <si>
    <t>FERECD10</t>
  </si>
  <si>
    <t>FERECD30</t>
  </si>
  <si>
    <t>FERECD40</t>
  </si>
  <si>
    <t>FERECD50</t>
  </si>
  <si>
    <t>FERECD60</t>
  </si>
  <si>
    <t>FERECD70</t>
  </si>
  <si>
    <t>FERECD80</t>
  </si>
  <si>
    <t>FERECH10</t>
  </si>
  <si>
    <t>FERECH20</t>
  </si>
  <si>
    <t>FERECH30</t>
  </si>
  <si>
    <t>FERECH40</t>
  </si>
  <si>
    <t>FERECH50</t>
  </si>
  <si>
    <t>FFA01000</t>
  </si>
  <si>
    <t>FFA010</t>
  </si>
  <si>
    <t>FFA12100</t>
  </si>
  <si>
    <t>FFA121</t>
  </si>
  <si>
    <t>FFA13000</t>
  </si>
  <si>
    <t>FFA130</t>
  </si>
  <si>
    <t>FFA13200</t>
  </si>
  <si>
    <t>FFA132</t>
  </si>
  <si>
    <t>FFA13210</t>
  </si>
  <si>
    <t>FFA16100</t>
  </si>
  <si>
    <t>FFA16110</t>
  </si>
  <si>
    <t>FFA16130</t>
  </si>
  <si>
    <t>FFA17100</t>
  </si>
  <si>
    <t>FFA171</t>
  </si>
  <si>
    <t>FFA17110</t>
  </si>
  <si>
    <t>FFA17600</t>
  </si>
  <si>
    <t>FFA176</t>
  </si>
  <si>
    <t>FFA52010</t>
  </si>
  <si>
    <t>FFA520</t>
  </si>
  <si>
    <t>FFA53100</t>
  </si>
  <si>
    <t>FFA531</t>
  </si>
  <si>
    <t>FFA53101</t>
  </si>
  <si>
    <t>FFA53120</t>
  </si>
  <si>
    <t>FFA53710</t>
  </si>
  <si>
    <t>FFA537</t>
  </si>
  <si>
    <t>FFA53720</t>
  </si>
  <si>
    <t>FFAACC10</t>
  </si>
  <si>
    <t>FFAACC</t>
  </si>
  <si>
    <t>FFAACC20</t>
  </si>
  <si>
    <t>FFAACC21</t>
  </si>
  <si>
    <t>FFAAMT10</t>
  </si>
  <si>
    <t>FFAAMT</t>
  </si>
  <si>
    <t>FFACAD10</t>
  </si>
  <si>
    <t>FFACAD</t>
  </si>
  <si>
    <t>FFACAD20</t>
  </si>
  <si>
    <t>FFACAH10</t>
  </si>
  <si>
    <t>FFACAH</t>
  </si>
  <si>
    <t>FFACAH20</t>
  </si>
  <si>
    <t>FFACAH30</t>
  </si>
  <si>
    <t>FFACAH40</t>
  </si>
  <si>
    <t>FFACTR10</t>
  </si>
  <si>
    <t>FFADSP10</t>
  </si>
  <si>
    <t>FFADSP</t>
  </si>
  <si>
    <t>FFADUS01</t>
  </si>
  <si>
    <t>FFADUS</t>
  </si>
  <si>
    <t>FFAHIS10</t>
  </si>
  <si>
    <t>FFAHIS20</t>
  </si>
  <si>
    <t>FFAHIS30</t>
  </si>
  <si>
    <t>FFAHIS31</t>
  </si>
  <si>
    <t>FFAHIS32</t>
  </si>
  <si>
    <t>FFAHIS40</t>
  </si>
  <si>
    <t>FFAHIS41</t>
  </si>
  <si>
    <t>FFAHIS50</t>
  </si>
  <si>
    <t>FFAHIS70</t>
  </si>
  <si>
    <t>FFAHIS71</t>
  </si>
  <si>
    <t>FFALIN10</t>
  </si>
  <si>
    <t>FFALIN</t>
  </si>
  <si>
    <t>FFALIN20</t>
  </si>
  <si>
    <t>FFAMAS10</t>
  </si>
  <si>
    <t>FFAMAS</t>
  </si>
  <si>
    <t>FFAPAY10</t>
  </si>
  <si>
    <t>FFAPAY</t>
  </si>
  <si>
    <t>FFAPAY20</t>
  </si>
  <si>
    <t>FFAPAY30</t>
  </si>
  <si>
    <t>FFARAT10</t>
  </si>
  <si>
    <t>FFARAT</t>
  </si>
  <si>
    <t>FFASDM20</t>
  </si>
  <si>
    <t>FFASDM30</t>
  </si>
  <si>
    <t>FFASDM40</t>
  </si>
  <si>
    <t>FFASDM50</t>
  </si>
  <si>
    <t>FFASIN10</t>
  </si>
  <si>
    <t>FFASIN</t>
  </si>
  <si>
    <t>FFASMA01</t>
  </si>
  <si>
    <t>FFASMA02</t>
  </si>
  <si>
    <t>FFASMA05</t>
  </si>
  <si>
    <t>FFASMA11</t>
  </si>
  <si>
    <t>FFASMA12</t>
  </si>
  <si>
    <t>FFASMA13</t>
  </si>
  <si>
    <t>FFASMA14</t>
  </si>
  <si>
    <t>FFASMA15</t>
  </si>
  <si>
    <t>FFASMA16</t>
  </si>
  <si>
    <t>FFASMA17</t>
  </si>
  <si>
    <t>FFASMA20</t>
  </si>
  <si>
    <t>FFASMA32</t>
  </si>
  <si>
    <t>FFASMA33</t>
  </si>
  <si>
    <t>FFASMA34</t>
  </si>
  <si>
    <t>FFASMA35</t>
  </si>
  <si>
    <t>FFASMA36</t>
  </si>
  <si>
    <t>FFASMA37</t>
  </si>
  <si>
    <t>FFASMA40</t>
  </si>
  <si>
    <t>FFASMA41</t>
  </si>
  <si>
    <t>FFASMA50</t>
  </si>
  <si>
    <t>FFASMA51</t>
  </si>
  <si>
    <t>FFASMA52</t>
  </si>
  <si>
    <t>FFASVL10</t>
  </si>
  <si>
    <t>FFASVL20</t>
  </si>
  <si>
    <t>FFATBF01</t>
  </si>
  <si>
    <t>FFATBF</t>
  </si>
  <si>
    <t>FFATBF10</t>
  </si>
  <si>
    <t>FFDTED10</t>
  </si>
  <si>
    <t>FFDTSC10</t>
  </si>
  <si>
    <t>FFDTSL10</t>
  </si>
  <si>
    <t>FFDTSL20</t>
  </si>
  <si>
    <t>FFIHSD10</t>
  </si>
  <si>
    <t>FFIHST10</t>
  </si>
  <si>
    <t>FFIHST20</t>
  </si>
  <si>
    <t>FFIIRD10</t>
  </si>
  <si>
    <t>FFIORD10</t>
  </si>
  <si>
    <t>FFPHCH10</t>
  </si>
  <si>
    <t>FFRCDF10</t>
  </si>
  <si>
    <t>FFRDEF10</t>
  </si>
  <si>
    <t>FFRLDF10</t>
  </si>
  <si>
    <t>FFRPCI10</t>
  </si>
  <si>
    <t>FFRPCL10</t>
  </si>
  <si>
    <t>FFRPCL20</t>
  </si>
  <si>
    <t>FFRXCL10</t>
  </si>
  <si>
    <t>FFRXDF10</t>
  </si>
  <si>
    <t>FFSVDM10</t>
  </si>
  <si>
    <t>FFSVDM20</t>
  </si>
  <si>
    <t>FFSVDM30</t>
  </si>
  <si>
    <t>FGDISE10</t>
  </si>
  <si>
    <t>FGDITD10</t>
  </si>
  <si>
    <t>FGDNIL10</t>
  </si>
  <si>
    <t>FGDNIL</t>
  </si>
  <si>
    <t>FGDNIL20</t>
  </si>
  <si>
    <t>FGDNIL30</t>
  </si>
  <si>
    <t>FGDNIL40</t>
  </si>
  <si>
    <t>FGI35020</t>
  </si>
  <si>
    <t>FGI35030</t>
  </si>
  <si>
    <t>FGI35040</t>
  </si>
  <si>
    <t>FGI35050</t>
  </si>
  <si>
    <t>FGINAE10</t>
  </si>
  <si>
    <t>FGINAE20</t>
  </si>
  <si>
    <t>FGINAE30</t>
  </si>
  <si>
    <t>FGINAE40</t>
  </si>
  <si>
    <t>FGINAE50</t>
  </si>
  <si>
    <t>FGINDH10</t>
  </si>
  <si>
    <t>FGINDH</t>
  </si>
  <si>
    <t>FGINHC10</t>
  </si>
  <si>
    <t>FGINHC</t>
  </si>
  <si>
    <t>FGINHE10</t>
  </si>
  <si>
    <t>FGINHE20</t>
  </si>
  <si>
    <t>FGINLC10</t>
  </si>
  <si>
    <t>FGINLC</t>
  </si>
  <si>
    <t>FGINLC20</t>
  </si>
  <si>
    <t>FGINLI10</t>
  </si>
  <si>
    <t>FGINLI20</t>
  </si>
  <si>
    <t>FGINLI30</t>
  </si>
  <si>
    <t>FGL13110</t>
  </si>
  <si>
    <t>FGL131</t>
  </si>
  <si>
    <t>FGL13120</t>
  </si>
  <si>
    <t>FGL13130</t>
  </si>
  <si>
    <t>FGL13210</t>
  </si>
  <si>
    <t>FGL132</t>
  </si>
  <si>
    <t>FGL13220</t>
  </si>
  <si>
    <t>FGL15110</t>
  </si>
  <si>
    <t>FGL151</t>
  </si>
  <si>
    <t>FGL18300</t>
  </si>
  <si>
    <t>FGL183</t>
  </si>
  <si>
    <t>FGL18301</t>
  </si>
  <si>
    <t>FGL18302</t>
  </si>
  <si>
    <t>FGL18303</t>
  </si>
  <si>
    <t>FGL18304</t>
  </si>
  <si>
    <t>FGL18305</t>
  </si>
  <si>
    <t>FGL18320</t>
  </si>
  <si>
    <t>FGL38010</t>
  </si>
  <si>
    <t>FGL380</t>
  </si>
  <si>
    <t>FGL51102</t>
  </si>
  <si>
    <t>FGL511</t>
  </si>
  <si>
    <t>FGL51510</t>
  </si>
  <si>
    <t>FGL515</t>
  </si>
  <si>
    <t>FGL51520</t>
  </si>
  <si>
    <t>FGL51600</t>
  </si>
  <si>
    <t>FGL51610</t>
  </si>
  <si>
    <t>FGL52102</t>
  </si>
  <si>
    <t>FGL521</t>
  </si>
  <si>
    <t>FGL52700</t>
  </si>
  <si>
    <t>FGL527</t>
  </si>
  <si>
    <t>FGL53501</t>
  </si>
  <si>
    <t>FGL535</t>
  </si>
  <si>
    <t>FGL53502</t>
  </si>
  <si>
    <t>FGL53510</t>
  </si>
  <si>
    <t>FGL53511</t>
  </si>
  <si>
    <t>FGL53900</t>
  </si>
  <si>
    <t>FGL53910</t>
  </si>
  <si>
    <t>FGL63110</t>
  </si>
  <si>
    <t>FGL631</t>
  </si>
  <si>
    <t>FGL64110</t>
  </si>
  <si>
    <t>FGL641</t>
  </si>
  <si>
    <t>FGL64120</t>
  </si>
  <si>
    <t>FGL80010</t>
  </si>
  <si>
    <t>FGL800</t>
  </si>
  <si>
    <t>FGL80050</t>
  </si>
  <si>
    <t>FGL80101</t>
  </si>
  <si>
    <t>FGL801</t>
  </si>
  <si>
    <t>FGL80610</t>
  </si>
  <si>
    <t>FGL806</t>
  </si>
  <si>
    <t>FGL80620</t>
  </si>
  <si>
    <t>FGL80700</t>
  </si>
  <si>
    <t>FGL807</t>
  </si>
  <si>
    <t>FGL80705</t>
  </si>
  <si>
    <t>FGL80710</t>
  </si>
  <si>
    <t>FGL80720</t>
  </si>
  <si>
    <t>FGL80910</t>
  </si>
  <si>
    <t>FGL809</t>
  </si>
  <si>
    <t>FGL81200</t>
  </si>
  <si>
    <t>FGL812</t>
  </si>
  <si>
    <t>FGL81205</t>
  </si>
  <si>
    <t>FGL81210</t>
  </si>
  <si>
    <t>FGL81220</t>
  </si>
  <si>
    <t>FGLDIS10</t>
  </si>
  <si>
    <t>FGLEDD01</t>
  </si>
  <si>
    <t>FGLEDD</t>
  </si>
  <si>
    <t>FGLEDD05</t>
  </si>
  <si>
    <t>FGLEDD07</t>
  </si>
  <si>
    <t>FGLEDD28</t>
  </si>
  <si>
    <t>FGLEDD99</t>
  </si>
  <si>
    <t>FGLEDG03</t>
  </si>
  <si>
    <t>FGLEDG04</t>
  </si>
  <si>
    <t>FGLEDG07</t>
  </si>
  <si>
    <t>FGLEDG10</t>
  </si>
  <si>
    <t>FGLEDG11</t>
  </si>
  <si>
    <t>FGLEDG21</t>
  </si>
  <si>
    <t>FGLEDG22</t>
  </si>
  <si>
    <t>FGLEDG23</t>
  </si>
  <si>
    <t>FGLEDG24</t>
  </si>
  <si>
    <t>FGLEDG25</t>
  </si>
  <si>
    <t>FGLEDG26</t>
  </si>
  <si>
    <t>FGLEDG27</t>
  </si>
  <si>
    <t>FGLEDG28</t>
  </si>
  <si>
    <t>FGLEDG30</t>
  </si>
  <si>
    <t>FGLEDG31</t>
  </si>
  <si>
    <t>FGLEDG40</t>
  </si>
  <si>
    <t>FGLEDG50</t>
  </si>
  <si>
    <t>FGLEDG90</t>
  </si>
  <si>
    <t>FGLEDX10</t>
  </si>
  <si>
    <t>FGLEDX20</t>
  </si>
  <si>
    <t>FGLHED10</t>
  </si>
  <si>
    <t>FGLINF10</t>
  </si>
  <si>
    <t>FGLINF</t>
  </si>
  <si>
    <t>FGLINF20</t>
  </si>
  <si>
    <t>FGLINH10</t>
  </si>
  <si>
    <t>FGLSAV01</t>
  </si>
  <si>
    <t>FGLSAV</t>
  </si>
  <si>
    <t>FGPADT10</t>
  </si>
  <si>
    <t>FGPADT</t>
  </si>
  <si>
    <t>FGR52100</t>
  </si>
  <si>
    <t>FGR521</t>
  </si>
  <si>
    <t>FGR58100</t>
  </si>
  <si>
    <t>FGR581</t>
  </si>
  <si>
    <t>FGRECH10</t>
  </si>
  <si>
    <t>FGRECH</t>
  </si>
  <si>
    <t>FGRECL10</t>
  </si>
  <si>
    <t>FGRECL20</t>
  </si>
  <si>
    <t>FGRECL30</t>
  </si>
  <si>
    <t>FGRECL40</t>
  </si>
  <si>
    <t>FGRECL50</t>
  </si>
  <si>
    <t>FGRECL60</t>
  </si>
  <si>
    <t>FGRECL70</t>
  </si>
  <si>
    <t>FGRECL80</t>
  </si>
  <si>
    <t>FGRECL85</t>
  </si>
  <si>
    <t>FGRECL90</t>
  </si>
  <si>
    <t>FGRECL95</t>
  </si>
  <si>
    <t>FGRECL96</t>
  </si>
  <si>
    <t>FGRNIL10</t>
  </si>
  <si>
    <t>FGRNIL</t>
  </si>
  <si>
    <t>FGRNIL20</t>
  </si>
  <si>
    <t>FGRNIL30</t>
  </si>
  <si>
    <t>FGRNIL40</t>
  </si>
  <si>
    <t>FGRPCL10</t>
  </si>
  <si>
    <t>FGRPCL</t>
  </si>
  <si>
    <t>FITIHE10</t>
  </si>
  <si>
    <t>FITIHE20</t>
  </si>
  <si>
    <t>FITIHE30</t>
  </si>
  <si>
    <t>FITILI10</t>
  </si>
  <si>
    <t>FMFPPD10</t>
  </si>
  <si>
    <t>FMFPPD</t>
  </si>
  <si>
    <t>FMFPPI10</t>
  </si>
  <si>
    <t>FMFPPI</t>
  </si>
  <si>
    <t>FMFPPI20</t>
  </si>
  <si>
    <t>FMFPPI30</t>
  </si>
  <si>
    <t>FMFPPP20</t>
  </si>
  <si>
    <t>FMFPPP</t>
  </si>
  <si>
    <t>FMFPPP30</t>
  </si>
  <si>
    <t>FMINHD00</t>
  </si>
  <si>
    <t>FMINHD10</t>
  </si>
  <si>
    <t>FMINHD20</t>
  </si>
  <si>
    <t>FMINHD40</t>
  </si>
  <si>
    <t>FMINTL00</t>
  </si>
  <si>
    <t>FMINTL10</t>
  </si>
  <si>
    <t>FMINTL30</t>
  </si>
  <si>
    <t>FMINTL40</t>
  </si>
  <si>
    <t>FNADP110</t>
  </si>
  <si>
    <t>FNADP1</t>
  </si>
  <si>
    <t>FNADP120</t>
  </si>
  <si>
    <t>FNADT110</t>
  </si>
  <si>
    <t>FNADT1</t>
  </si>
  <si>
    <t>FNADT120</t>
  </si>
  <si>
    <t>FNBTRC10</t>
  </si>
  <si>
    <t>FNBTRC</t>
  </si>
  <si>
    <t>FNBTRC20</t>
  </si>
  <si>
    <t>FNBTRC30</t>
  </si>
  <si>
    <t>FNBTRC40</t>
  </si>
  <si>
    <t>FNBTRH10</t>
  </si>
  <si>
    <t>FNBTRH</t>
  </si>
  <si>
    <t>FNBTRV10</t>
  </si>
  <si>
    <t>FNBTRV</t>
  </si>
  <si>
    <t>FNBTRV20</t>
  </si>
  <si>
    <t>FNBTRV90</t>
  </si>
  <si>
    <t>FONINS10</t>
  </si>
  <si>
    <t>FONINS</t>
  </si>
  <si>
    <t>FONINT10</t>
  </si>
  <si>
    <t>FONINT</t>
  </si>
  <si>
    <t>FONINT20</t>
  </si>
  <si>
    <t>FONINT30</t>
  </si>
  <si>
    <t>FONINT40</t>
  </si>
  <si>
    <t>FONINT50</t>
  </si>
  <si>
    <t>FONINT60</t>
  </si>
  <si>
    <t>FONINW10</t>
  </si>
  <si>
    <t>FONINW</t>
  </si>
  <si>
    <t>FONINW20</t>
  </si>
  <si>
    <t>FPAPCD10</t>
  </si>
  <si>
    <t>FPAPCD</t>
  </si>
  <si>
    <t>FPAPCD20</t>
  </si>
  <si>
    <t>FPAPCD30</t>
  </si>
  <si>
    <t>FPAPRN10</t>
  </si>
  <si>
    <t>FPAPRN</t>
  </si>
  <si>
    <t>FPAPRN20</t>
  </si>
  <si>
    <t>FPAPRW10</t>
  </si>
  <si>
    <t>FPAPRW20</t>
  </si>
  <si>
    <t>FPAPRW30</t>
  </si>
  <si>
    <t>FPCASH00</t>
  </si>
  <si>
    <t>FPCASH10</t>
  </si>
  <si>
    <t>FPDCP110</t>
  </si>
  <si>
    <t>FPDCP1</t>
  </si>
  <si>
    <t>FPDCP120</t>
  </si>
  <si>
    <t>FPECAS00</t>
  </si>
  <si>
    <t>FPECAS</t>
  </si>
  <si>
    <t>FPECAS10</t>
  </si>
  <si>
    <t>FPECASX2#MPL</t>
  </si>
  <si>
    <t>FPINGV10</t>
  </si>
  <si>
    <t>FPINGV</t>
  </si>
  <si>
    <t>FPINHD10</t>
  </si>
  <si>
    <t>FPINHD</t>
  </si>
  <si>
    <t>FPINT101</t>
  </si>
  <si>
    <t>FPINT102</t>
  </si>
  <si>
    <t>FPINT210</t>
  </si>
  <si>
    <t>FPINT220</t>
  </si>
  <si>
    <t>FPINT302</t>
  </si>
  <si>
    <t>FPINT305</t>
  </si>
  <si>
    <t>FPINT310</t>
  </si>
  <si>
    <t>FPINT320</t>
  </si>
  <si>
    <t>FPIOIN10</t>
  </si>
  <si>
    <t>FPIOIN</t>
  </si>
  <si>
    <t>FPIOIN30</t>
  </si>
  <si>
    <t>FPIOIN40</t>
  </si>
  <si>
    <t>FPIOIN60</t>
  </si>
  <si>
    <t>FPIOIN70</t>
  </si>
  <si>
    <t>FPL53110</t>
  </si>
  <si>
    <t>FPL531</t>
  </si>
  <si>
    <t>FPL53120</t>
  </si>
  <si>
    <t>FPL53130</t>
  </si>
  <si>
    <t>FPL55120</t>
  </si>
  <si>
    <t>FPL551</t>
  </si>
  <si>
    <t>FPL55130</t>
  </si>
  <si>
    <t>FPLBAL01</t>
  </si>
  <si>
    <t>FPLBAL10</t>
  </si>
  <si>
    <t>FPLBAL11</t>
  </si>
  <si>
    <t>FPLBAL20</t>
  </si>
  <si>
    <t>FPLBAL21</t>
  </si>
  <si>
    <t>FPLBAL30</t>
  </si>
  <si>
    <t>FPLBAL40</t>
  </si>
  <si>
    <t>FPLBAL41</t>
  </si>
  <si>
    <t>FPLBAL50</t>
  </si>
  <si>
    <t>FPLBAL51</t>
  </si>
  <si>
    <t>FPLBAL60</t>
  </si>
  <si>
    <t>FPLEDG05</t>
  </si>
  <si>
    <t>FPLEDG10</t>
  </si>
  <si>
    <t>FPLEDG11</t>
  </si>
  <si>
    <t>FPLEDG12</t>
  </si>
  <si>
    <t>FPLEDG13</t>
  </si>
  <si>
    <t>FPLEDG14</t>
  </si>
  <si>
    <t>FPLEDG15</t>
  </si>
  <si>
    <t>FPLEDG16</t>
  </si>
  <si>
    <t>FPLEDG17</t>
  </si>
  <si>
    <t>FPLEDG19</t>
  </si>
  <si>
    <t>FPLEDG20</t>
  </si>
  <si>
    <t>FPLEDG25</t>
  </si>
  <si>
    <t>FPLEDG26</t>
  </si>
  <si>
    <t>FPLEDG30</t>
  </si>
  <si>
    <t>FPLEDG31</t>
  </si>
  <si>
    <t>FPLEDG32</t>
  </si>
  <si>
    <t>FPLEDG37</t>
  </si>
  <si>
    <t>FPLEDG39</t>
  </si>
  <si>
    <t>FPLEDG40</t>
  </si>
  <si>
    <t>FPLEDG42</t>
  </si>
  <si>
    <t>FPLEDG43</t>
  </si>
  <si>
    <t>FPLEDG52</t>
  </si>
  <si>
    <t>FPLEDG53</t>
  </si>
  <si>
    <t>FPLEDG71</t>
  </si>
  <si>
    <t>FPLEDG80</t>
  </si>
  <si>
    <t>FPLEDG82</t>
  </si>
  <si>
    <t>FPLEDG91</t>
  </si>
  <si>
    <t>FPLEDG94</t>
  </si>
  <si>
    <t>FPLEDH10</t>
  </si>
  <si>
    <t>FPLEDH</t>
  </si>
  <si>
    <t>FPLEDH20</t>
  </si>
  <si>
    <t>FPLEDH30</t>
  </si>
  <si>
    <t>FPLEDH40</t>
  </si>
  <si>
    <t>FPLEDH50</t>
  </si>
  <si>
    <t>FPLEDH60</t>
  </si>
  <si>
    <t>FPLEDX10</t>
  </si>
  <si>
    <t>FPLEDX20</t>
  </si>
  <si>
    <t>FPLLOG10</t>
  </si>
  <si>
    <t>FPLLOG20</t>
  </si>
  <si>
    <t>FPLREC10</t>
  </si>
  <si>
    <t>FPLREC</t>
  </si>
  <si>
    <t>FPPIN110</t>
  </si>
  <si>
    <t>FPPIN1</t>
  </si>
  <si>
    <t>FPPIN120</t>
  </si>
  <si>
    <t>FPPIN130</t>
  </si>
  <si>
    <t>FPPIN210</t>
  </si>
  <si>
    <t>FPPIN2</t>
  </si>
  <si>
    <t>FPPIN310</t>
  </si>
  <si>
    <t>FPPIN3</t>
  </si>
  <si>
    <t>FPPIN320</t>
  </si>
  <si>
    <t>FPPPAY10</t>
  </si>
  <si>
    <t>FPPPAY</t>
  </si>
  <si>
    <t>FPPPAY20</t>
  </si>
  <si>
    <t>FPPPAY30</t>
  </si>
  <si>
    <t>FPPPAY40</t>
  </si>
  <si>
    <t>FPPPAY50</t>
  </si>
  <si>
    <t>FPPPAY60</t>
  </si>
  <si>
    <t>FPPPAY70</t>
  </si>
  <si>
    <t>FPPPAY80</t>
  </si>
  <si>
    <t>FPRTDF00</t>
  </si>
  <si>
    <t>FPSPPA10</t>
  </si>
  <si>
    <t>FPSPPA</t>
  </si>
  <si>
    <t>FPSUGD20</t>
  </si>
  <si>
    <t>FPSUGD30</t>
  </si>
  <si>
    <t>FPSUGD50</t>
  </si>
  <si>
    <t>FPSUGD60</t>
  </si>
  <si>
    <t>FPSUGDX1#MNO</t>
  </si>
  <si>
    <t>FPSUGDX2#MNO</t>
  </si>
  <si>
    <t>FPSUGH02</t>
  </si>
  <si>
    <t>FPSUGH10</t>
  </si>
  <si>
    <t>FPSUGH20</t>
  </si>
  <si>
    <t>FPSUGH30</t>
  </si>
  <si>
    <t>FPSUGS10</t>
  </si>
  <si>
    <t>FPWAUT10</t>
  </si>
  <si>
    <t>FPWAUT</t>
  </si>
  <si>
    <t>FQRADF10</t>
  </si>
  <si>
    <t>FQRADF</t>
  </si>
  <si>
    <t>FQRSUG10</t>
  </si>
  <si>
    <t>FQRSUG</t>
  </si>
  <si>
    <t>FRCALA10</t>
  </si>
  <si>
    <t>FRCALA</t>
  </si>
  <si>
    <t>FRCALA20</t>
  </si>
  <si>
    <t>FRCALB10</t>
  </si>
  <si>
    <t>FRCALB</t>
  </si>
  <si>
    <t>FRCALC10</t>
  </si>
  <si>
    <t>FRCALC</t>
  </si>
  <si>
    <t>FRCALC20</t>
  </si>
  <si>
    <t>FRCALQ10</t>
  </si>
  <si>
    <t>FRCALQ</t>
  </si>
  <si>
    <t>FRCALQ20</t>
  </si>
  <si>
    <t>FRCALQ30</t>
  </si>
  <si>
    <t>FRCALT10</t>
  </si>
  <si>
    <t>FRCALT</t>
  </si>
  <si>
    <t>FRECDT10</t>
  </si>
  <si>
    <t>FRECDT</t>
  </si>
  <si>
    <t>FRECHE10</t>
  </si>
  <si>
    <t>FRECHE</t>
  </si>
  <si>
    <t>FRECOA10</t>
  </si>
  <si>
    <t>FRECOA</t>
  </si>
  <si>
    <t>FREDHE20</t>
  </si>
  <si>
    <t>FREDHE</t>
  </si>
  <si>
    <t>FREDSE10</t>
  </si>
  <si>
    <t>FREDSE</t>
  </si>
  <si>
    <t>FREFAH10</t>
  </si>
  <si>
    <t>FREFAH</t>
  </si>
  <si>
    <t>FREFAM10</t>
  </si>
  <si>
    <t>FREFAM</t>
  </si>
  <si>
    <t>FREGLD10</t>
  </si>
  <si>
    <t>FREGLD</t>
  </si>
  <si>
    <t>FREGPD10</t>
  </si>
  <si>
    <t>FREGPD</t>
  </si>
  <si>
    <t>FREGPH10</t>
  </si>
  <si>
    <t>FREGPH</t>
  </si>
  <si>
    <t>FREGRD10</t>
  </si>
  <si>
    <t>FREGRD</t>
  </si>
  <si>
    <t>FREGRH10</t>
  </si>
  <si>
    <t>FREGRH</t>
  </si>
  <si>
    <t>FREHED10</t>
  </si>
  <si>
    <t>FREHED</t>
  </si>
  <si>
    <t>FREITM10</t>
  </si>
  <si>
    <t>FREITM</t>
  </si>
  <si>
    <t>FREIVA10</t>
  </si>
  <si>
    <t>FREIVA</t>
  </si>
  <si>
    <t>FREMD101</t>
  </si>
  <si>
    <t>FREMD102</t>
  </si>
  <si>
    <t>FREMD205</t>
  </si>
  <si>
    <t>FREMD210</t>
  </si>
  <si>
    <t>FREMD220</t>
  </si>
  <si>
    <t>FREMD225</t>
  </si>
  <si>
    <t>FREMD300</t>
  </si>
  <si>
    <t>FREMD301</t>
  </si>
  <si>
    <t>FREMD305</t>
  </si>
  <si>
    <t>FREMD310</t>
  </si>
  <si>
    <t>FREMD315</t>
  </si>
  <si>
    <t>FREMD320</t>
  </si>
  <si>
    <t>FREMD325</t>
  </si>
  <si>
    <t>FREMD330</t>
  </si>
  <si>
    <t>FREMD335</t>
  </si>
  <si>
    <t>FREPAY10</t>
  </si>
  <si>
    <t>FREPAY</t>
  </si>
  <si>
    <t>FREPIH10</t>
  </si>
  <si>
    <t>FREPIH</t>
  </si>
  <si>
    <t>FREPIL10</t>
  </si>
  <si>
    <t>FREPIL</t>
  </si>
  <si>
    <t>FREPRD10</t>
  </si>
  <si>
    <t>FREPRD</t>
  </si>
  <si>
    <t>FREPRH10</t>
  </si>
  <si>
    <t>FREPRH</t>
  </si>
  <si>
    <t>FRESEC10</t>
  </si>
  <si>
    <t>FRESEC</t>
  </si>
  <si>
    <t>FRESIC10</t>
  </si>
  <si>
    <t>FRESIC</t>
  </si>
  <si>
    <t>FRESIH10</t>
  </si>
  <si>
    <t>FRESIH</t>
  </si>
  <si>
    <t>FRESIL10</t>
  </si>
  <si>
    <t>FRESIL</t>
  </si>
  <si>
    <t>FRESTK10</t>
  </si>
  <si>
    <t>FRESTK</t>
  </si>
  <si>
    <t>FREVTP10</t>
  </si>
  <si>
    <t>FREVTP</t>
  </si>
  <si>
    <t>FREWHT10</t>
  </si>
  <si>
    <t>FREWHT</t>
  </si>
  <si>
    <t>FRG22400</t>
  </si>
  <si>
    <t>FRG224</t>
  </si>
  <si>
    <t>FRG65100</t>
  </si>
  <si>
    <t>FRG651</t>
  </si>
  <si>
    <t>FRG65120</t>
  </si>
  <si>
    <t>FRG65130</t>
  </si>
  <si>
    <t>FRG65140</t>
  </si>
  <si>
    <t>FRG65150</t>
  </si>
  <si>
    <t>FRJVOH20</t>
  </si>
  <si>
    <t>FRM40100</t>
  </si>
  <si>
    <t>FRM401</t>
  </si>
  <si>
    <t>FRM56602</t>
  </si>
  <si>
    <t>FRM566</t>
  </si>
  <si>
    <t>FRRPDH10</t>
  </si>
  <si>
    <t>FRRPDH</t>
  </si>
  <si>
    <t>FRRPDH20</t>
  </si>
  <si>
    <t>FRRPDL10</t>
  </si>
  <si>
    <t>FRRPDL</t>
  </si>
  <si>
    <t>FRRPDL20</t>
  </si>
  <si>
    <t>FRRPDL30</t>
  </si>
  <si>
    <t>FRRRCB10</t>
  </si>
  <si>
    <t>FRRRCB</t>
  </si>
  <si>
    <t>FSAPRN10</t>
  </si>
  <si>
    <t>FSAPRN</t>
  </si>
  <si>
    <t>FSAPRN20</t>
  </si>
  <si>
    <t>FSAPRN30</t>
  </si>
  <si>
    <t>FSCASH00</t>
  </si>
  <si>
    <t>FSCASH10</t>
  </si>
  <si>
    <t>FSL55120</t>
  </si>
  <si>
    <t>FSL551</t>
  </si>
  <si>
    <t>FSL55130</t>
  </si>
  <si>
    <t>FSLBAL10</t>
  </si>
  <si>
    <t>FSLBAL20</t>
  </si>
  <si>
    <t>FSLBAL21</t>
  </si>
  <si>
    <t>FSLBAL30</t>
  </si>
  <si>
    <t>FSLBAL31</t>
  </si>
  <si>
    <t>FSLBAL40</t>
  </si>
  <si>
    <t>FSLBAL41</t>
  </si>
  <si>
    <t>FSLBAL50</t>
  </si>
  <si>
    <t>FSLBAL51</t>
  </si>
  <si>
    <t>FSLBAL70</t>
  </si>
  <si>
    <t>FSLBAL71</t>
  </si>
  <si>
    <t>FSLEDG04</t>
  </si>
  <si>
    <t>FSLEDG05</t>
  </si>
  <si>
    <t>FSLEDG10</t>
  </si>
  <si>
    <t>FSLEDG12</t>
  </si>
  <si>
    <t>FSLEDG13</t>
  </si>
  <si>
    <t>FSLEDG14</t>
  </si>
  <si>
    <t>FSLEDG15</t>
  </si>
  <si>
    <t>FSLEDG18</t>
  </si>
  <si>
    <t>FSLEDG19</t>
  </si>
  <si>
    <t>FSLEDG20</t>
  </si>
  <si>
    <t>FSLEDG25</t>
  </si>
  <si>
    <t>FSLEDG26</t>
  </si>
  <si>
    <t>FSLEDG30</t>
  </si>
  <si>
    <t>FSLEDG31</t>
  </si>
  <si>
    <t>FSLEDG36</t>
  </si>
  <si>
    <t>FSLEDG37</t>
  </si>
  <si>
    <t>FSLEDG39</t>
  </si>
  <si>
    <t>FSLEDG40</t>
  </si>
  <si>
    <t>FSLEDG71</t>
  </si>
  <si>
    <t>FSLEDG75</t>
  </si>
  <si>
    <t>FSLEDG76</t>
  </si>
  <si>
    <t>FSLEDG91</t>
  </si>
  <si>
    <t>FSLEDX10</t>
  </si>
  <si>
    <t>FSLEDX20</t>
  </si>
  <si>
    <t>FSLEDX30</t>
  </si>
  <si>
    <t>FSLEDXX0#MNO</t>
  </si>
  <si>
    <t>FSLGP110</t>
  </si>
  <si>
    <t>FSLGP1</t>
  </si>
  <si>
    <t>FSLGP120</t>
  </si>
  <si>
    <t>FSLGP210</t>
  </si>
  <si>
    <t>FSLGP2</t>
  </si>
  <si>
    <t>FSLGP220</t>
  </si>
  <si>
    <t>FSLGP300</t>
  </si>
  <si>
    <t>FSLGP3</t>
  </si>
  <si>
    <t>FSLGP315</t>
  </si>
  <si>
    <t>FSLGP330</t>
  </si>
  <si>
    <t>FSLGP3X0#MNO</t>
  </si>
  <si>
    <t>FSLREC10</t>
  </si>
  <si>
    <t>FSLREC</t>
  </si>
  <si>
    <t>FSSMT101</t>
  </si>
  <si>
    <t>FSSMT102</t>
  </si>
  <si>
    <t>FSSMT200</t>
  </si>
  <si>
    <t>FSSMT210</t>
  </si>
  <si>
    <t>FSSMT300</t>
  </si>
  <si>
    <t>FSSMT310</t>
  </si>
  <si>
    <t>FSTDEF20</t>
  </si>
  <si>
    <t>FSTLEV10</t>
  </si>
  <si>
    <t>FSTLIN10</t>
  </si>
  <si>
    <t>FSTLIN20</t>
  </si>
  <si>
    <t>FSTLIN30</t>
  </si>
  <si>
    <t>FSTLIN40</t>
  </si>
  <si>
    <t>FSTLIN50</t>
  </si>
  <si>
    <t>FSTMT101</t>
  </si>
  <si>
    <t>FSTMT102</t>
  </si>
  <si>
    <t>FSTMT200</t>
  </si>
  <si>
    <t>FSTMT205</t>
  </si>
  <si>
    <t>FSTMT210</t>
  </si>
  <si>
    <t>FSTMT300</t>
  </si>
  <si>
    <t>FSTMT305</t>
  </si>
  <si>
    <t>FSTMT310</t>
  </si>
  <si>
    <t>FSTMT315</t>
  </si>
  <si>
    <t>FTAJSN10</t>
  </si>
  <si>
    <t>FTAJSN</t>
  </si>
  <si>
    <t>FTAVNO10</t>
  </si>
  <si>
    <t>FTAVNO</t>
  </si>
  <si>
    <t>FTAXAD10</t>
  </si>
  <si>
    <t>FTAXAD</t>
  </si>
  <si>
    <t>FTAXAD20</t>
  </si>
  <si>
    <t>FTAXR110</t>
  </si>
  <si>
    <t>FTAXR1</t>
  </si>
  <si>
    <t>FTAXR120</t>
  </si>
  <si>
    <t>FTAXR510</t>
  </si>
  <si>
    <t>FTAXR5</t>
  </si>
  <si>
    <t>FTAXTR10</t>
  </si>
  <si>
    <t>FTAXTR</t>
  </si>
  <si>
    <t>FTRSCD10</t>
  </si>
  <si>
    <t>FTRSCD</t>
  </si>
  <si>
    <t>FTRSCH10</t>
  </si>
  <si>
    <t>FTRSCH</t>
  </si>
  <si>
    <t>FTX10101</t>
  </si>
  <si>
    <t>FTX101</t>
  </si>
  <si>
    <t>FTX10111</t>
  </si>
  <si>
    <t>FTX10121</t>
  </si>
  <si>
    <t>FTX10401</t>
  </si>
  <si>
    <t>FTX10402</t>
  </si>
  <si>
    <t>FTX10403</t>
  </si>
  <si>
    <t>FTX10430</t>
  </si>
  <si>
    <t>FTX10440</t>
  </si>
  <si>
    <t>FTX10450</t>
  </si>
  <si>
    <t>FTX10701</t>
  </si>
  <si>
    <t>FTX107</t>
  </si>
  <si>
    <t>FTX10801</t>
  </si>
  <si>
    <t>FTX10821</t>
  </si>
  <si>
    <t>FTX10901</t>
  </si>
  <si>
    <t>FTX11110</t>
  </si>
  <si>
    <t>FTX11120</t>
  </si>
  <si>
    <t>FTX11130</t>
  </si>
  <si>
    <t>FTX11140</t>
  </si>
  <si>
    <t>FTX11150</t>
  </si>
  <si>
    <t>FTX13110</t>
  </si>
  <si>
    <t>FTX131</t>
  </si>
  <si>
    <t>FTX14110</t>
  </si>
  <si>
    <t>FTX141</t>
  </si>
  <si>
    <t>FTX90010</t>
  </si>
  <si>
    <t>FTX900</t>
  </si>
  <si>
    <t>FTXEXT10</t>
  </si>
  <si>
    <t>FTXEXT</t>
  </si>
  <si>
    <t>FTXGLL10</t>
  </si>
  <si>
    <t>FTXGLL</t>
  </si>
  <si>
    <t>FTXGLL20</t>
  </si>
  <si>
    <t>FTXGLR10</t>
  </si>
  <si>
    <t>FTXGLR</t>
  </si>
  <si>
    <t>FTXGLV10</t>
  </si>
  <si>
    <t>FTXGLV</t>
  </si>
  <si>
    <t>FTXIAP10</t>
  </si>
  <si>
    <t>FTXIAP</t>
  </si>
  <si>
    <t>FTXIAP20</t>
  </si>
  <si>
    <t>FTXIAR10</t>
  </si>
  <si>
    <t>FTXIAR</t>
  </si>
  <si>
    <t>FTXIAR20</t>
  </si>
  <si>
    <t>FTXIAR30</t>
  </si>
  <si>
    <t>FTXILL10</t>
  </si>
  <si>
    <t>FTXILL</t>
  </si>
  <si>
    <t>FTXILL20</t>
  </si>
  <si>
    <t>FTXIRD10</t>
  </si>
  <si>
    <t>FTXIRD</t>
  </si>
  <si>
    <t>FTXIRH10</t>
  </si>
  <si>
    <t>FTXIRH</t>
  </si>
  <si>
    <t>FTXIRH20</t>
  </si>
  <si>
    <t>FTXIRL10</t>
  </si>
  <si>
    <t>FTXIRL</t>
  </si>
  <si>
    <t>FTXITC10</t>
  </si>
  <si>
    <t>FTXITC</t>
  </si>
  <si>
    <t>FTXITC20</t>
  </si>
  <si>
    <t>FTXITH10</t>
  </si>
  <si>
    <t>FTXITH</t>
  </si>
  <si>
    <t>FTXITI05</t>
  </si>
  <si>
    <t>FTXITI</t>
  </si>
  <si>
    <t>FTXITI10</t>
  </si>
  <si>
    <t>FTXITI20</t>
  </si>
  <si>
    <t>FTXITL10</t>
  </si>
  <si>
    <t>FTXITL</t>
  </si>
  <si>
    <t>FTXITR10</t>
  </si>
  <si>
    <t>FTXITR</t>
  </si>
  <si>
    <t>FTXJSN10</t>
  </si>
  <si>
    <t>FTXJSN</t>
  </si>
  <si>
    <t>FTXVCT10</t>
  </si>
  <si>
    <t>FTXVCT</t>
  </si>
  <si>
    <t>FTXVCT20</t>
  </si>
  <si>
    <t>FTXVCT30</t>
  </si>
  <si>
    <t>FTXVNO10</t>
  </si>
  <si>
    <t>FTXVNO</t>
  </si>
  <si>
    <t>FTXVPD10</t>
  </si>
  <si>
    <t>FTXVPD</t>
  </si>
  <si>
    <t>FTXVPW10</t>
  </si>
  <si>
    <t>FTXVPW</t>
  </si>
  <si>
    <t>FTXVPW20</t>
  </si>
  <si>
    <t>FTXVRN10</t>
  </si>
  <si>
    <t>FTXVRN</t>
  </si>
  <si>
    <t>FTXVVP10</t>
  </si>
  <si>
    <t>FTXVVP</t>
  </si>
  <si>
    <t>FURPLS00</t>
  </si>
  <si>
    <t>FURSLS00</t>
  </si>
  <si>
    <t>FVATGL10</t>
  </si>
  <si>
    <t>FVATGL</t>
  </si>
  <si>
    <t>FVATIN10</t>
  </si>
  <si>
    <t>FVATIN</t>
  </si>
  <si>
    <t>FVATMI10</t>
  </si>
  <si>
    <t>FVATMI</t>
  </si>
  <si>
    <t>FVATRT10</t>
  </si>
  <si>
    <t>FVATTX00</t>
  </si>
  <si>
    <t>FVATTX</t>
  </si>
  <si>
    <t>FVATTX10</t>
  </si>
  <si>
    <t>FVEASL10</t>
  </si>
  <si>
    <t>FVEASL</t>
  </si>
  <si>
    <t>FVEATL10</t>
  </si>
  <si>
    <t>FVEATL</t>
  </si>
  <si>
    <t>FVTUDL10</t>
  </si>
  <si>
    <t>FVTUDL</t>
  </si>
  <si>
    <t>FVTUDL20</t>
  </si>
  <si>
    <t>FVTUDT10</t>
  </si>
  <si>
    <t>FVTUDT</t>
  </si>
  <si>
    <t>FVTUDT20</t>
  </si>
  <si>
    <t>FVTUDT30</t>
  </si>
  <si>
    <t>FVTUDT40</t>
  </si>
  <si>
    <t>FVTUDW10</t>
  </si>
  <si>
    <t>FVTUDW</t>
  </si>
  <si>
    <t>FVTXGE10</t>
  </si>
  <si>
    <t>FVTXGE</t>
  </si>
  <si>
    <t>FWCDFJ10</t>
  </si>
  <si>
    <t>FWCDFJ</t>
  </si>
  <si>
    <t>FWDCNI10</t>
  </si>
  <si>
    <t>FWDCNI</t>
  </si>
  <si>
    <t>FWTCTD10</t>
  </si>
  <si>
    <t>FWTCTD</t>
  </si>
  <si>
    <t>FWTCTH10</t>
  </si>
  <si>
    <t>FWTCTH</t>
  </si>
  <si>
    <t>GMMCFC00</t>
  </si>
  <si>
    <t>GMMCFC</t>
  </si>
  <si>
    <t>GMMCFC20</t>
  </si>
  <si>
    <t>GMMCFC30</t>
  </si>
  <si>
    <t>GMMCFC40</t>
  </si>
  <si>
    <t>GMMCFC50</t>
  </si>
  <si>
    <t>GMMCFC60</t>
  </si>
  <si>
    <t>GMMCFC70</t>
  </si>
  <si>
    <t>GMMCGL00</t>
  </si>
  <si>
    <t>GMMCGL</t>
  </si>
  <si>
    <t>GMMCGL20</t>
  </si>
  <si>
    <t>GMMCGL30</t>
  </si>
  <si>
    <t>GMMCGL40</t>
  </si>
  <si>
    <t>GMMCGL50</t>
  </si>
  <si>
    <t>GMMCGL60</t>
  </si>
  <si>
    <t>GMMCGL70</t>
  </si>
  <si>
    <t>GMMCST01</t>
  </si>
  <si>
    <t>GMMCST</t>
  </si>
  <si>
    <t>GMMCST11</t>
  </si>
  <si>
    <t>HCLSOP10</t>
  </si>
  <si>
    <t>HCLSOP</t>
  </si>
  <si>
    <t>HCLSSC10</t>
  </si>
  <si>
    <t>HCLSSC</t>
  </si>
  <si>
    <t>HKYCON10</t>
  </si>
  <si>
    <t>HKYCON</t>
  </si>
  <si>
    <t>HKYCON20</t>
  </si>
  <si>
    <t>HKYCON30</t>
  </si>
  <si>
    <t>HMSMOP10</t>
  </si>
  <si>
    <t>HMSMOP</t>
  </si>
  <si>
    <t>HMSMSG10</t>
  </si>
  <si>
    <t>HMSMSG</t>
  </si>
  <si>
    <t>HPNFLD10</t>
  </si>
  <si>
    <t>HPNFLD</t>
  </si>
  <si>
    <t>HPNFLD20</t>
  </si>
  <si>
    <t>HSCFID10</t>
  </si>
  <si>
    <t>HSCFID</t>
  </si>
  <si>
    <t>HSCFID20</t>
  </si>
  <si>
    <t>HSCFID30</t>
  </si>
  <si>
    <t>HTPFLD10</t>
  </si>
  <si>
    <t>HTPFLD</t>
  </si>
  <si>
    <t>HTPFLD20</t>
  </si>
  <si>
    <t>HTPFLD30</t>
  </si>
  <si>
    <t>HTPFLD40</t>
  </si>
  <si>
    <t>IPPVER10</t>
  </si>
  <si>
    <t>IPPVER</t>
  </si>
  <si>
    <t>IPPVER20</t>
  </si>
  <si>
    <t>IPPVER30</t>
  </si>
  <si>
    <t>ITREVT10</t>
  </si>
  <si>
    <t>ITREVT</t>
  </si>
  <si>
    <t>ITREVT20</t>
  </si>
  <si>
    <t>ITRPGM10</t>
  </si>
  <si>
    <t>ITRPGM</t>
  </si>
  <si>
    <t>LT110810</t>
  </si>
  <si>
    <t>LT1108</t>
  </si>
  <si>
    <t>LT135001</t>
  </si>
  <si>
    <t>LT1350</t>
  </si>
  <si>
    <t>LT167000</t>
  </si>
  <si>
    <t>LT1670</t>
  </si>
  <si>
    <t>LT820110</t>
  </si>
  <si>
    <t>LT8201</t>
  </si>
  <si>
    <t>LTADCH10</t>
  </si>
  <si>
    <t>LTADCH</t>
  </si>
  <si>
    <t>LTAGHD01</t>
  </si>
  <si>
    <t>LTAGHD</t>
  </si>
  <si>
    <t>LTAGHD10</t>
  </si>
  <si>
    <t>LTAGHD20</t>
  </si>
  <si>
    <t>LTAGHE20</t>
  </si>
  <si>
    <t>LTAGHE</t>
  </si>
  <si>
    <t>LTAGHH01</t>
  </si>
  <si>
    <t>LTAGHH</t>
  </si>
  <si>
    <t>LTAGHH10</t>
  </si>
  <si>
    <t>LTAGHH20</t>
  </si>
  <si>
    <t>LTAGHH30</t>
  </si>
  <si>
    <t>LTAGHH60</t>
  </si>
  <si>
    <t>LTAGHL01</t>
  </si>
  <si>
    <t>LTAGHL</t>
  </si>
  <si>
    <t>LTAGHL10</t>
  </si>
  <si>
    <t>LTAGHL20</t>
  </si>
  <si>
    <t>LTAGHL21</t>
  </si>
  <si>
    <t>LTAGHL30</t>
  </si>
  <si>
    <t>LTAGHL31</t>
  </si>
  <si>
    <t>LTAGHL40</t>
  </si>
  <si>
    <t>LTAGHL41</t>
  </si>
  <si>
    <t>LTAGHL60</t>
  </si>
  <si>
    <t>LTAGHL61</t>
  </si>
  <si>
    <t>LTAGHT01</t>
  </si>
  <si>
    <t>LTAGHT</t>
  </si>
  <si>
    <t>LTAGHT10</t>
  </si>
  <si>
    <t>LTAGHT11</t>
  </si>
  <si>
    <t>LTAGHT20</t>
  </si>
  <si>
    <t>LTAGHT21</t>
  </si>
  <si>
    <t>LTAGLI20</t>
  </si>
  <si>
    <t>LTAGLI</t>
  </si>
  <si>
    <t>LTAGLI30</t>
  </si>
  <si>
    <t>LTAGLI40</t>
  </si>
  <si>
    <t>LTAGLI42</t>
  </si>
  <si>
    <t>LTAGLI50</t>
  </si>
  <si>
    <t>LTAGLI60</t>
  </si>
  <si>
    <t>LTAGLI70</t>
  </si>
  <si>
    <t>LTAGLI80</t>
  </si>
  <si>
    <t>LTAGLI82</t>
  </si>
  <si>
    <t>LTAGLI90</t>
  </si>
  <si>
    <t>LTAGLI94</t>
  </si>
  <si>
    <t>LTAGPD10</t>
  </si>
  <si>
    <t>LTAGPD</t>
  </si>
  <si>
    <t>LTAGPD20</t>
  </si>
  <si>
    <t>LTAGPL10</t>
  </si>
  <si>
    <t>LTAGPL</t>
  </si>
  <si>
    <t>LTAGPL11</t>
  </si>
  <si>
    <t>LTCURV10</t>
  </si>
  <si>
    <t>LTCURV</t>
  </si>
  <si>
    <t>LTCURV20</t>
  </si>
  <si>
    <t>LTCURV30</t>
  </si>
  <si>
    <t>LTCURV40</t>
  </si>
  <si>
    <t>LTCURV50</t>
  </si>
  <si>
    <t>LTEXTE10</t>
  </si>
  <si>
    <t>LTEXTE</t>
  </si>
  <si>
    <t>LTFUCO10</t>
  </si>
  <si>
    <t>LTFUCO</t>
  </si>
  <si>
    <t>LTFUND10</t>
  </si>
  <si>
    <t>LTFUND</t>
  </si>
  <si>
    <t>LTFUND11</t>
  </si>
  <si>
    <t>LTFUND20</t>
  </si>
  <si>
    <t>LTFUND21</t>
  </si>
  <si>
    <t>LTFUND30</t>
  </si>
  <si>
    <t>LTFUND40</t>
  </si>
  <si>
    <t>LTFUND50</t>
  </si>
  <si>
    <t>LTFUND60</t>
  </si>
  <si>
    <t>LTFUND61</t>
  </si>
  <si>
    <t>LTFUND70</t>
  </si>
  <si>
    <t>LTIXVD10</t>
  </si>
  <si>
    <t>LTIXVD</t>
  </si>
  <si>
    <t>LTKITV10</t>
  </si>
  <si>
    <t>LTKITV</t>
  </si>
  <si>
    <t>LTLEAS10</t>
  </si>
  <si>
    <t>LTLEAS</t>
  </si>
  <si>
    <t>LTLEAS20</t>
  </si>
  <si>
    <t>LTLEPR10</t>
  </si>
  <si>
    <t>LTLEPR</t>
  </si>
  <si>
    <t>LTLIDO10</t>
  </si>
  <si>
    <t>LTLIDO</t>
  </si>
  <si>
    <t>LTLIDO20</t>
  </si>
  <si>
    <t>LTLIIN20</t>
  </si>
  <si>
    <t>LTLIIN</t>
  </si>
  <si>
    <t>LTPOCA00</t>
  </si>
  <si>
    <t>LTPOCA</t>
  </si>
  <si>
    <t>LTPRCA10</t>
  </si>
  <si>
    <t>LTPRCA</t>
  </si>
  <si>
    <t>LTSINF10</t>
  </si>
  <si>
    <t>LTSINF</t>
  </si>
  <si>
    <t>LTSPCA10</t>
  </si>
  <si>
    <t>LTSPCA</t>
  </si>
  <si>
    <t>MACHED05</t>
  </si>
  <si>
    <t>MACHED</t>
  </si>
  <si>
    <t>MACHED10</t>
  </si>
  <si>
    <t>MACHED20</t>
  </si>
  <si>
    <t>MACMAA10</t>
  </si>
  <si>
    <t>MACMAA</t>
  </si>
  <si>
    <t>MACMAT10</t>
  </si>
  <si>
    <t>MACMAT</t>
  </si>
  <si>
    <t>MACOPA10</t>
  </si>
  <si>
    <t>MACOPA</t>
  </si>
  <si>
    <t>MACOPE10</t>
  </si>
  <si>
    <t>MACOPE</t>
  </si>
  <si>
    <t>MACWCT10</t>
  </si>
  <si>
    <t>MACWCT</t>
  </si>
  <si>
    <t>MADDIN10</t>
  </si>
  <si>
    <t>MADDIN</t>
  </si>
  <si>
    <t>MADJNT10</t>
  </si>
  <si>
    <t>MADJNT</t>
  </si>
  <si>
    <t>MAHEAD10</t>
  </si>
  <si>
    <t>MAHEAD</t>
  </si>
  <si>
    <t>MAHEAD20</t>
  </si>
  <si>
    <t>MALACT10</t>
  </si>
  <si>
    <t>MALACT</t>
  </si>
  <si>
    <t>MALACT20</t>
  </si>
  <si>
    <t>MALACT30</t>
  </si>
  <si>
    <t>MALACT40</t>
  </si>
  <si>
    <t>MALACT50</t>
  </si>
  <si>
    <t>MALACT60</t>
  </si>
  <si>
    <t>MALIAL10</t>
  </si>
  <si>
    <t>MALIAL</t>
  </si>
  <si>
    <t>MALIAL20</t>
  </si>
  <si>
    <t>MAMOLI10</t>
  </si>
  <si>
    <t>MAMOLI</t>
  </si>
  <si>
    <t>MAMOLI20</t>
  </si>
  <si>
    <t>MAMOLI30</t>
  </si>
  <si>
    <t>MAMOLI40</t>
  </si>
  <si>
    <t>MAMOLI50</t>
  </si>
  <si>
    <t>MAMOLI60</t>
  </si>
  <si>
    <t>MAMOLI70</t>
  </si>
  <si>
    <t>MAMOLI80</t>
  </si>
  <si>
    <t>MAPRHE10</t>
  </si>
  <si>
    <t>MAPRHE</t>
  </si>
  <si>
    <t>MAPRHE20</t>
  </si>
  <si>
    <t>MAPRHE30</t>
  </si>
  <si>
    <t>MAPRHE40</t>
  </si>
  <si>
    <t>MAPRVA30</t>
  </si>
  <si>
    <t>MAPRVA</t>
  </si>
  <si>
    <t>MAT10110</t>
  </si>
  <si>
    <t>MAT101</t>
  </si>
  <si>
    <t>MAT10120</t>
  </si>
  <si>
    <t>MAT10210</t>
  </si>
  <si>
    <t>MAT102</t>
  </si>
  <si>
    <t>MAT10220</t>
  </si>
  <si>
    <t>MATDPI10</t>
  </si>
  <si>
    <t>MATDPI</t>
  </si>
  <si>
    <t>MATDPI20</t>
  </si>
  <si>
    <t>MATDPI30</t>
  </si>
  <si>
    <t>MATDPV20</t>
  </si>
  <si>
    <t>MATDPV</t>
  </si>
  <si>
    <t>MATORL10</t>
  </si>
  <si>
    <t>MATORL</t>
  </si>
  <si>
    <t>MATPMT10</t>
  </si>
  <si>
    <t>MATPMT</t>
  </si>
  <si>
    <t>MATRMA10</t>
  </si>
  <si>
    <t>MATRMA</t>
  </si>
  <si>
    <t>MATRMA20</t>
  </si>
  <si>
    <t>MATVAV10</t>
  </si>
  <si>
    <t>MATVAV</t>
  </si>
  <si>
    <t>MATVAV20</t>
  </si>
  <si>
    <t>MATVAV30</t>
  </si>
  <si>
    <t>MBCFGL10</t>
  </si>
  <si>
    <t>MBCFGL</t>
  </si>
  <si>
    <t>MBCFGL20</t>
  </si>
  <si>
    <t>MBCHED05</t>
  </si>
  <si>
    <t>MBCHED</t>
  </si>
  <si>
    <t>MBCHED10</t>
  </si>
  <si>
    <t>MBCHED20</t>
  </si>
  <si>
    <t>MBCHED30</t>
  </si>
  <si>
    <t>MBCHED40</t>
  </si>
  <si>
    <t>MBCHED50</t>
  </si>
  <si>
    <t>MBCHED60</t>
  </si>
  <si>
    <t>MBCHED61</t>
  </si>
  <si>
    <t>MBCMAA10</t>
  </si>
  <si>
    <t>MBCMAA</t>
  </si>
  <si>
    <t>MBCMAP10</t>
  </si>
  <si>
    <t>MBCMAP</t>
  </si>
  <si>
    <t>MBCMAT10</t>
  </si>
  <si>
    <t>MBCMAT</t>
  </si>
  <si>
    <t>MBCOPA10</t>
  </si>
  <si>
    <t>MBCOPA</t>
  </si>
  <si>
    <t>MBCOPE10</t>
  </si>
  <si>
    <t>MBCOPE</t>
  </si>
  <si>
    <t>MBCOPP10</t>
  </si>
  <si>
    <t>MBCOPP</t>
  </si>
  <si>
    <t>MBCWCT10</t>
  </si>
  <si>
    <t>MBCWCT</t>
  </si>
  <si>
    <t>MBMTRD10</t>
  </si>
  <si>
    <t>MBMTRD</t>
  </si>
  <si>
    <t>MBMTRD20</t>
  </si>
  <si>
    <t>MBMTRD30</t>
  </si>
  <si>
    <t>MBMTRD40</t>
  </si>
  <si>
    <t>MBMTRN10</t>
  </si>
  <si>
    <t>MBMTRN20</t>
  </si>
  <si>
    <t>MBREDI10</t>
  </si>
  <si>
    <t>MBREDI</t>
  </si>
  <si>
    <t>MBREDI20</t>
  </si>
  <si>
    <t>MCATTR10</t>
  </si>
  <si>
    <t>MCATTR</t>
  </si>
  <si>
    <t>MCATTR20</t>
  </si>
  <si>
    <t>MCBOEL10</t>
  </si>
  <si>
    <t>MCBOEL</t>
  </si>
  <si>
    <t>MCBOMS10</t>
  </si>
  <si>
    <t>MCBOMS</t>
  </si>
  <si>
    <t>MCBOMS20</t>
  </si>
  <si>
    <t>MCCCDF10</t>
  </si>
  <si>
    <t>MCCCDF</t>
  </si>
  <si>
    <t>MCCELE10</t>
  </si>
  <si>
    <t>MCCELE</t>
  </si>
  <si>
    <t>MCCMAT10</t>
  </si>
  <si>
    <t>MCCMAT</t>
  </si>
  <si>
    <t>MCCODA10</t>
  </si>
  <si>
    <t>MCCODA</t>
  </si>
  <si>
    <t>MCCOMA10</t>
  </si>
  <si>
    <t>MCCOMA</t>
  </si>
  <si>
    <t>MCCOSA10</t>
  </si>
  <si>
    <t>MCCOSA</t>
  </si>
  <si>
    <t>MCCSDF10</t>
  </si>
  <si>
    <t>MCCSDF</t>
  </si>
  <si>
    <t>MCCSEM10</t>
  </si>
  <si>
    <t>MCCSEM</t>
  </si>
  <si>
    <t>MCCSID10</t>
  </si>
  <si>
    <t>MCCSID</t>
  </si>
  <si>
    <t>MCCWAR00</t>
  </si>
  <si>
    <t>MCCWAR</t>
  </si>
  <si>
    <t>MCCWAR11</t>
  </si>
  <si>
    <t>MCCWAR20</t>
  </si>
  <si>
    <t>MCCWAR30</t>
  </si>
  <si>
    <t>MCCWRN10</t>
  </si>
  <si>
    <t>MCCWRN</t>
  </si>
  <si>
    <t>MCCWRN20</t>
  </si>
  <si>
    <t>MCCWRN30</t>
  </si>
  <si>
    <t>MCCWRN40</t>
  </si>
  <si>
    <t>MCFCOE10</t>
  </si>
  <si>
    <t>MCFCOE</t>
  </si>
  <si>
    <t>MCFCOF10</t>
  </si>
  <si>
    <t>MCFCOF</t>
  </si>
  <si>
    <t>MCFCOG10</t>
  </si>
  <si>
    <t>MCFCOG</t>
  </si>
  <si>
    <t>MCFCOH10</t>
  </si>
  <si>
    <t>MCFCOH</t>
  </si>
  <si>
    <t>MCFCOM10</t>
  </si>
  <si>
    <t>MCFCOM</t>
  </si>
  <si>
    <t>MCFCOO10</t>
  </si>
  <si>
    <t>MCFCOO</t>
  </si>
  <si>
    <t>MCFCOP10</t>
  </si>
  <si>
    <t>MCFCOP</t>
  </si>
  <si>
    <t>MCFCRE10</t>
  </si>
  <si>
    <t>MCFCRE</t>
  </si>
  <si>
    <t>MCFCVA10</t>
  </si>
  <si>
    <t>MCFCVA</t>
  </si>
  <si>
    <t>MCFCVA20</t>
  </si>
  <si>
    <t>MCFCVX10</t>
  </si>
  <si>
    <t>MCFCVX</t>
  </si>
  <si>
    <t>MCFICD10</t>
  </si>
  <si>
    <t>MCFICD</t>
  </si>
  <si>
    <t>MCFICR10</t>
  </si>
  <si>
    <t>MCFICR</t>
  </si>
  <si>
    <t>MCFICR20</t>
  </si>
  <si>
    <t>MCFICR30</t>
  </si>
  <si>
    <t>MCFICT10</t>
  </si>
  <si>
    <t>MCFICT</t>
  </si>
  <si>
    <t>MCFICT20</t>
  </si>
  <si>
    <t>MCFITE10</t>
  </si>
  <si>
    <t>MCFITE</t>
  </si>
  <si>
    <t>MCFITF10</t>
  </si>
  <si>
    <t>MCFITF</t>
  </si>
  <si>
    <t>MCFITG10</t>
  </si>
  <si>
    <t>MCFITG</t>
  </si>
  <si>
    <t>MCFITH10</t>
  </si>
  <si>
    <t>MCFITH</t>
  </si>
  <si>
    <t>MCFLOC05</t>
  </si>
  <si>
    <t>MCFLOC</t>
  </si>
  <si>
    <t>MCFLOC07</t>
  </si>
  <si>
    <t>MCFLOC10</t>
  </si>
  <si>
    <t>MCFLOC20</t>
  </si>
  <si>
    <t>MCFLOC30</t>
  </si>
  <si>
    <t>MCFLOD10</t>
  </si>
  <si>
    <t>MCFLOD</t>
  </si>
  <si>
    <t>MCFLOP10</t>
  </si>
  <si>
    <t>MCFLOP</t>
  </si>
  <si>
    <t>MCFLVA10</t>
  </si>
  <si>
    <t>MCFLVA</t>
  </si>
  <si>
    <t>MCFLVA20</t>
  </si>
  <si>
    <t>MCFLVA30</t>
  </si>
  <si>
    <t>MCFMEC10</t>
  </si>
  <si>
    <t>MCFMEC</t>
  </si>
  <si>
    <t>MCFMET10</t>
  </si>
  <si>
    <t>MCFMET</t>
  </si>
  <si>
    <t>MCFMOA10</t>
  </si>
  <si>
    <t>MCFMOA</t>
  </si>
  <si>
    <t>MCFMPO10</t>
  </si>
  <si>
    <t>MCFMPO</t>
  </si>
  <si>
    <t>MCFMPO20</t>
  </si>
  <si>
    <t>MCFMSL10</t>
  </si>
  <si>
    <t>MCFMSL</t>
  </si>
  <si>
    <t>MCFMVL10</t>
  </si>
  <si>
    <t>MCFMVL</t>
  </si>
  <si>
    <t>MCFPNQ10</t>
  </si>
  <si>
    <t>MCFPNQ</t>
  </si>
  <si>
    <t>MCFPOP10</t>
  </si>
  <si>
    <t>MCFPOP</t>
  </si>
  <si>
    <t>MCFREL10</t>
  </si>
  <si>
    <t>MCFREL</t>
  </si>
  <si>
    <t>MCFSMR10</t>
  </si>
  <si>
    <t>MCFSMR</t>
  </si>
  <si>
    <t>MCFSMR20</t>
  </si>
  <si>
    <t>MCFSTR10</t>
  </si>
  <si>
    <t>MCFSTR</t>
  </si>
  <si>
    <t>MCFSTR20</t>
  </si>
  <si>
    <t>MCFSTR30</t>
  </si>
  <si>
    <t>MCFVMR10</t>
  </si>
  <si>
    <t>MCFVMR</t>
  </si>
  <si>
    <t>MCFVMR20</t>
  </si>
  <si>
    <t>MCHEAD10</t>
  </si>
  <si>
    <t>MCHEAD</t>
  </si>
  <si>
    <t>MCHEAD20</t>
  </si>
  <si>
    <t>MCHEAD40</t>
  </si>
  <si>
    <t>MCHEAD50</t>
  </si>
  <si>
    <t>MCHHED10</t>
  </si>
  <si>
    <t>MCHHED</t>
  </si>
  <si>
    <t>MCHMOH10</t>
  </si>
  <si>
    <t>MCHMOH</t>
  </si>
  <si>
    <t>MCHMOH20</t>
  </si>
  <si>
    <t>MCHMOH30</t>
  </si>
  <si>
    <t>MCHMOP10</t>
  </si>
  <si>
    <t>MCHMOP</t>
  </si>
  <si>
    <t>MCHMOP20</t>
  </si>
  <si>
    <t>MCHMOP30</t>
  </si>
  <si>
    <t>MCHMPH10</t>
  </si>
  <si>
    <t>MCHMPH</t>
  </si>
  <si>
    <t>MCHMPH20</t>
  </si>
  <si>
    <t>MCHMPH30</t>
  </si>
  <si>
    <t>MCIMAT10</t>
  </si>
  <si>
    <t>MCIMAT</t>
  </si>
  <si>
    <t>MCISHL10</t>
  </si>
  <si>
    <t>MCISHL</t>
  </si>
  <si>
    <t>MCISUM10</t>
  </si>
  <si>
    <t>MCISUM</t>
  </si>
  <si>
    <t>MCMACO10</t>
  </si>
  <si>
    <t>MCMACO</t>
  </si>
  <si>
    <t>MCOHED10</t>
  </si>
  <si>
    <t>MCOHED</t>
  </si>
  <si>
    <t>MCOHED20</t>
  </si>
  <si>
    <t>MCOHED30</t>
  </si>
  <si>
    <t>MCOHED40</t>
  </si>
  <si>
    <t>MCOMBL10</t>
  </si>
  <si>
    <t>MCOMBL</t>
  </si>
  <si>
    <t>MCONMA10</t>
  </si>
  <si>
    <t>MCONMA</t>
  </si>
  <si>
    <t>MCONMA20</t>
  </si>
  <si>
    <t>MCONMA30</t>
  </si>
  <si>
    <t>MCP11000</t>
  </si>
  <si>
    <t>MCP110</t>
  </si>
  <si>
    <t>MCPAPE10</t>
  </si>
  <si>
    <t>MCPAPE</t>
  </si>
  <si>
    <t>MCPAPE20</t>
  </si>
  <si>
    <t>MCPAPE30</t>
  </si>
  <si>
    <t>MCPAPE40</t>
  </si>
  <si>
    <t>MCPAPE50</t>
  </si>
  <si>
    <t>MCPAPE60</t>
  </si>
  <si>
    <t>MCPAPS10</t>
  </si>
  <si>
    <t>MCPAPS</t>
  </si>
  <si>
    <t>MCPRCO10</t>
  </si>
  <si>
    <t>MCPRCO</t>
  </si>
  <si>
    <t>MCPRCO20</t>
  </si>
  <si>
    <t>MCPSPE10</t>
  </si>
  <si>
    <t>MCPSPE</t>
  </si>
  <si>
    <t>MCPSPE20</t>
  </si>
  <si>
    <t>MCPSPE30</t>
  </si>
  <si>
    <t>MCPSUM10</t>
  </si>
  <si>
    <t>MCPSUM</t>
  </si>
  <si>
    <t>MCPSUM20</t>
  </si>
  <si>
    <t>MCPWSL10</t>
  </si>
  <si>
    <t>MCPWSL</t>
  </si>
  <si>
    <t>MCTARG10</t>
  </si>
  <si>
    <t>MCTARG</t>
  </si>
  <si>
    <t>MCTARG20</t>
  </si>
  <si>
    <t>MCTOCO10</t>
  </si>
  <si>
    <t>MCTOCO</t>
  </si>
  <si>
    <t>MCTOCO20</t>
  </si>
  <si>
    <t>MCWCCO10</t>
  </si>
  <si>
    <t>MCWCCO</t>
  </si>
  <si>
    <t>MCWCCO20</t>
  </si>
  <si>
    <t>MDCERR10</t>
  </si>
  <si>
    <t>MDCERR</t>
  </si>
  <si>
    <t>MDCERR20</t>
  </si>
  <si>
    <t>MDCERR30</t>
  </si>
  <si>
    <t>MDCEXT10</t>
  </si>
  <si>
    <t>MDCEXT</t>
  </si>
  <si>
    <t>MDCEXT90</t>
  </si>
  <si>
    <t>MDCPAR10</t>
  </si>
  <si>
    <t>MDCTYP10</t>
  </si>
  <si>
    <t>MDEOHE10</t>
  </si>
  <si>
    <t>MDEOHE</t>
  </si>
  <si>
    <t>MDEOHE11</t>
  </si>
  <si>
    <t>MDEOHE20</t>
  </si>
  <si>
    <t>MDEOHE30</t>
  </si>
  <si>
    <t>MDEOHE40</t>
  </si>
  <si>
    <t>MDEOHE50</t>
  </si>
  <si>
    <t>MDEORE10</t>
  </si>
  <si>
    <t>MDEORE</t>
  </si>
  <si>
    <t>MDOCEV10</t>
  </si>
  <si>
    <t>MDOCEV</t>
  </si>
  <si>
    <t>MDOPLA10</t>
  </si>
  <si>
    <t>MDOPLA</t>
  </si>
  <si>
    <t>MDOPLP10</t>
  </si>
  <si>
    <t>MDOPLP</t>
  </si>
  <si>
    <t>MDOPLP20</t>
  </si>
  <si>
    <t>MDOPLP30</t>
  </si>
  <si>
    <t>MDOPLP41</t>
  </si>
  <si>
    <t>MDOPLP50</t>
  </si>
  <si>
    <t>MDOPLP60</t>
  </si>
  <si>
    <t>MDPREL10</t>
  </si>
  <si>
    <t>MDPREL</t>
  </si>
  <si>
    <t>MDXDPL10</t>
  </si>
  <si>
    <t>MDXDPL</t>
  </si>
  <si>
    <t>MECECM30</t>
  </si>
  <si>
    <t>MECECM</t>
  </si>
  <si>
    <t>MECMAT30</t>
  </si>
  <si>
    <t>MECMAT</t>
  </si>
  <si>
    <t>METRTR10</t>
  </si>
  <si>
    <t>METRTR</t>
  </si>
  <si>
    <t>MFC42610</t>
  </si>
  <si>
    <t>MFC426</t>
  </si>
  <si>
    <t>MFC42620</t>
  </si>
  <si>
    <t>MFC42630</t>
  </si>
  <si>
    <t>MFIREM10</t>
  </si>
  <si>
    <t>MFIREM</t>
  </si>
  <si>
    <t>MFTRND10</t>
  </si>
  <si>
    <t>MFTRNS01</t>
  </si>
  <si>
    <t>MFTRNS10</t>
  </si>
  <si>
    <t>MFTRNS30</t>
  </si>
  <si>
    <t>MFTRNS31</t>
  </si>
  <si>
    <t>MFTRNS32</t>
  </si>
  <si>
    <t>MFTRNS40</t>
  </si>
  <si>
    <t>MFTRNS50</t>
  </si>
  <si>
    <t>MFTRNS51</t>
  </si>
  <si>
    <t>MFTRNS60</t>
  </si>
  <si>
    <t>MFTRNS70</t>
  </si>
  <si>
    <t>MFTRNS80</t>
  </si>
  <si>
    <t>MGHEAD10</t>
  </si>
  <si>
    <t>MGHEAD</t>
  </si>
  <si>
    <t>MGHEAD20</t>
  </si>
  <si>
    <t>MGHEAD30</t>
  </si>
  <si>
    <t>MGHEAD40</t>
  </si>
  <si>
    <t>MGHEAD50</t>
  </si>
  <si>
    <t>MGHEAD60</t>
  </si>
  <si>
    <t>MGHEAD70</t>
  </si>
  <si>
    <t>MGHEAD80</t>
  </si>
  <si>
    <t>MGHEAD90</t>
  </si>
  <si>
    <t>MGHEAD95</t>
  </si>
  <si>
    <t>MGITTR10</t>
  </si>
  <si>
    <t>MGITTR</t>
  </si>
  <si>
    <t>MGITTR20</t>
  </si>
  <si>
    <t>MGITTR30</t>
  </si>
  <si>
    <t>MGITTR40</t>
  </si>
  <si>
    <t>MGITTR50</t>
  </si>
  <si>
    <t>MGITTR60</t>
  </si>
  <si>
    <t>MGITTR70</t>
  </si>
  <si>
    <t>MGLINE01</t>
  </si>
  <si>
    <t>MGLINE</t>
  </si>
  <si>
    <t>MGLINE10</t>
  </si>
  <si>
    <t>MGLINE20</t>
  </si>
  <si>
    <t>MGLINE30</t>
  </si>
  <si>
    <t>MGLINE40</t>
  </si>
  <si>
    <t>MGLINE51</t>
  </si>
  <si>
    <t>MGLINE60</t>
  </si>
  <si>
    <t>MGLINE61</t>
  </si>
  <si>
    <t>MGLINE70</t>
  </si>
  <si>
    <t>MGLINE80</t>
  </si>
  <si>
    <t>MGLINE90</t>
  </si>
  <si>
    <t>MGLLOG10</t>
  </si>
  <si>
    <t>MGLLOG</t>
  </si>
  <si>
    <t>MGTYPE10</t>
  </si>
  <si>
    <t>MHAATR10</t>
  </si>
  <si>
    <t>MHAATR</t>
  </si>
  <si>
    <t>MHAATR20</t>
  </si>
  <si>
    <t>MHAATR30</t>
  </si>
  <si>
    <t>MHAHED01</t>
  </si>
  <si>
    <t>MHAHED</t>
  </si>
  <si>
    <t>MHAHED10</t>
  </si>
  <si>
    <t>MHAHED11</t>
  </si>
  <si>
    <t>MHAHED20</t>
  </si>
  <si>
    <t>MHAHED21</t>
  </si>
  <si>
    <t>MHAHED30</t>
  </si>
  <si>
    <t>MHAHED31</t>
  </si>
  <si>
    <t>MHALIN01</t>
  </si>
  <si>
    <t>MHALIN</t>
  </si>
  <si>
    <t>MHALIN10</t>
  </si>
  <si>
    <t>MHALIN11</t>
  </si>
  <si>
    <t>MHALIN20</t>
  </si>
  <si>
    <t>MHALIN21</t>
  </si>
  <si>
    <t>MHALIN30</t>
  </si>
  <si>
    <t>MHALIN31</t>
  </si>
  <si>
    <t>MHALIN40</t>
  </si>
  <si>
    <t>MHALIN41</t>
  </si>
  <si>
    <t>MHAPAC01</t>
  </si>
  <si>
    <t>MHAPAC</t>
  </si>
  <si>
    <t>MHAPAC10</t>
  </si>
  <si>
    <t>MHAPAC11</t>
  </si>
  <si>
    <t>MHAPAC20</t>
  </si>
  <si>
    <t>MHAPAC21</t>
  </si>
  <si>
    <t>MHAPAC30</t>
  </si>
  <si>
    <t>MHAPAC31</t>
  </si>
  <si>
    <t>MHASUB10</t>
  </si>
  <si>
    <t>MHASUB</t>
  </si>
  <si>
    <t>MHCRAT10</t>
  </si>
  <si>
    <t>MHCRAT</t>
  </si>
  <si>
    <t>MHDIAC10</t>
  </si>
  <si>
    <t>MHDIAC</t>
  </si>
  <si>
    <t>MHDIAC20</t>
  </si>
  <si>
    <t>MHDISA10</t>
  </si>
  <si>
    <t>MHDISA</t>
  </si>
  <si>
    <t>MHDISA20</t>
  </si>
  <si>
    <t>MHDISA30</t>
  </si>
  <si>
    <t>MHDISH05</t>
  </si>
  <si>
    <t>MHDISH10</t>
  </si>
  <si>
    <t>MHDISH11</t>
  </si>
  <si>
    <t>MHDISH15</t>
  </si>
  <si>
    <t>MHDISH20</t>
  </si>
  <si>
    <t>MHDISH30</t>
  </si>
  <si>
    <t>MHDISH40</t>
  </si>
  <si>
    <t>MHDISH50</t>
  </si>
  <si>
    <t>MHDISH60</t>
  </si>
  <si>
    <t>MHDISH70</t>
  </si>
  <si>
    <t>MHDISH80</t>
  </si>
  <si>
    <t>MHDISH90</t>
  </si>
  <si>
    <t>MHDISH91</t>
  </si>
  <si>
    <t>MHDISH92</t>
  </si>
  <si>
    <t>MHDISH93</t>
  </si>
  <si>
    <t>MHDISH94</t>
  </si>
  <si>
    <t>MHDISH96</t>
  </si>
  <si>
    <t>MHDISL10</t>
  </si>
  <si>
    <t>MHDISL20</t>
  </si>
  <si>
    <t>MHDISL30</t>
  </si>
  <si>
    <t>MHDISL40</t>
  </si>
  <si>
    <t>MHDISL50</t>
  </si>
  <si>
    <t>MHEXRD01</t>
  </si>
  <si>
    <t>MHEXRD</t>
  </si>
  <si>
    <t>MHEXRD10</t>
  </si>
  <si>
    <t>MHEXRD20</t>
  </si>
  <si>
    <t>MHEXRD30</t>
  </si>
  <si>
    <t>MHEXRD40</t>
  </si>
  <si>
    <t>MHEXRD41</t>
  </si>
  <si>
    <t>MHEXRD50</t>
  </si>
  <si>
    <t>MHEXRD60</t>
  </si>
  <si>
    <t>MHEXRH01</t>
  </si>
  <si>
    <t>MHEXRH</t>
  </si>
  <si>
    <t>MHEXRH10</t>
  </si>
  <si>
    <t>MHEXRH20</t>
  </si>
  <si>
    <t>MHEXRH30</t>
  </si>
  <si>
    <t>MHEXRH40</t>
  </si>
  <si>
    <t>MHEXRH50</t>
  </si>
  <si>
    <t>MHEXRH60</t>
  </si>
  <si>
    <t>MHFRNS10</t>
  </si>
  <si>
    <t>MHFRNS</t>
  </si>
  <si>
    <t>MHFRNS20</t>
  </si>
  <si>
    <t>MHFRNS30</t>
  </si>
  <si>
    <t>MHFRNS40</t>
  </si>
  <si>
    <t>MHFRNS50</t>
  </si>
  <si>
    <t>MHIALI10</t>
  </si>
  <si>
    <t>MHIALI</t>
  </si>
  <si>
    <t>MHIALI30</t>
  </si>
  <si>
    <t>MHIALI40</t>
  </si>
  <si>
    <t>MHIALI50</t>
  </si>
  <si>
    <t>MHIALT20</t>
  </si>
  <si>
    <t>MHIALT</t>
  </si>
  <si>
    <t>MHIATR10</t>
  </si>
  <si>
    <t>MHIATR</t>
  </si>
  <si>
    <t>MHIATR20</t>
  </si>
  <si>
    <t>MHIATR30</t>
  </si>
  <si>
    <t>MHIAUN10</t>
  </si>
  <si>
    <t>MHIAUN</t>
  </si>
  <si>
    <t>MHIAUN20</t>
  </si>
  <si>
    <t>MHIAUN30</t>
  </si>
  <si>
    <t>MHIBAL10</t>
  </si>
  <si>
    <t>MHIBAL</t>
  </si>
  <si>
    <t>MHIBAL20</t>
  </si>
  <si>
    <t>MHICON10</t>
  </si>
  <si>
    <t>MHICON</t>
  </si>
  <si>
    <t>MHICUS10</t>
  </si>
  <si>
    <t>MHICUS</t>
  </si>
  <si>
    <t>MHICUS20</t>
  </si>
  <si>
    <t>MHIFAC10</t>
  </si>
  <si>
    <t>MHIFAC</t>
  </si>
  <si>
    <t>MHIFAC20</t>
  </si>
  <si>
    <t>MHIHED01</t>
  </si>
  <si>
    <t>MHIHED</t>
  </si>
  <si>
    <t>MHIHED10</t>
  </si>
  <si>
    <t>MHIHED11</t>
  </si>
  <si>
    <t>MHIHED20</t>
  </si>
  <si>
    <t>MHIHED21</t>
  </si>
  <si>
    <t>MHIHED30</t>
  </si>
  <si>
    <t>MHIHED31</t>
  </si>
  <si>
    <t>MHIHED40</t>
  </si>
  <si>
    <t>MHIHED50</t>
  </si>
  <si>
    <t>MHIHED51</t>
  </si>
  <si>
    <t>MHIHED60</t>
  </si>
  <si>
    <t>MHIHED65</t>
  </si>
  <si>
    <t>MHIIPC10</t>
  </si>
  <si>
    <t>MHIIPC</t>
  </si>
  <si>
    <t>MHILIN01</t>
  </si>
  <si>
    <t>MHILIN</t>
  </si>
  <si>
    <t>MHILIN10</t>
  </si>
  <si>
    <t>MHILIN11</t>
  </si>
  <si>
    <t>MHILIN12</t>
  </si>
  <si>
    <t>MHILIN13</t>
  </si>
  <si>
    <t>MHILIN20</t>
  </si>
  <si>
    <t>MHILIN21</t>
  </si>
  <si>
    <t>MHILIN30</t>
  </si>
  <si>
    <t>MHILIN31</t>
  </si>
  <si>
    <t>MHILIN41</t>
  </si>
  <si>
    <t>MHILIN50</t>
  </si>
  <si>
    <t>MHILIN60</t>
  </si>
  <si>
    <t>MHILIN61</t>
  </si>
  <si>
    <t>MHILIN70</t>
  </si>
  <si>
    <t>MHILOG10</t>
  </si>
  <si>
    <t>MHILOG</t>
  </si>
  <si>
    <t>MHILOG20</t>
  </si>
  <si>
    <t>MHIMAH10</t>
  </si>
  <si>
    <t>MHIMAH</t>
  </si>
  <si>
    <t>MHIMAH20</t>
  </si>
  <si>
    <t>MHIMAH30</t>
  </si>
  <si>
    <t>MHIMAS10</t>
  </si>
  <si>
    <t>MHIMAS</t>
  </si>
  <si>
    <t>MHIMAS20</t>
  </si>
  <si>
    <t>MHIMAS30</t>
  </si>
  <si>
    <t>MHIMAS40</t>
  </si>
  <si>
    <t>MHIMAS50</t>
  </si>
  <si>
    <t>MHIMAS60</t>
  </si>
  <si>
    <t>MHIPAC01</t>
  </si>
  <si>
    <t>MHIPAC</t>
  </si>
  <si>
    <t>MHIPAC10</t>
  </si>
  <si>
    <t>MHIPAC11</t>
  </si>
  <si>
    <t>MHIPAC20</t>
  </si>
  <si>
    <t>MHIPAC21</t>
  </si>
  <si>
    <t>MHIPAC30</t>
  </si>
  <si>
    <t>MHIPAC31</t>
  </si>
  <si>
    <t>MHIPAC40</t>
  </si>
  <si>
    <t>MHIPAC50</t>
  </si>
  <si>
    <t>MHIPAC70</t>
  </si>
  <si>
    <t>MHIPAC75</t>
  </si>
  <si>
    <t>MHIPOP40</t>
  </si>
  <si>
    <t>MHIPOP</t>
  </si>
  <si>
    <t>MHIQLF10</t>
  </si>
  <si>
    <t>MHIQLF</t>
  </si>
  <si>
    <t>MHISUB10</t>
  </si>
  <si>
    <t>MHISUB</t>
  </si>
  <si>
    <t>MHITMA10</t>
  </si>
  <si>
    <t>MHITMA</t>
  </si>
  <si>
    <t>MHITMA20</t>
  </si>
  <si>
    <t>MHIVEN10</t>
  </si>
  <si>
    <t>MHIVEN</t>
  </si>
  <si>
    <t>MHIVEN20</t>
  </si>
  <si>
    <t>MHM25010</t>
  </si>
  <si>
    <t>MHM250</t>
  </si>
  <si>
    <t>MHM25090</t>
  </si>
  <si>
    <t>MHM85510</t>
  </si>
  <si>
    <t>MHM855</t>
  </si>
  <si>
    <t>MHM85590</t>
  </si>
  <si>
    <t>MHMT0110</t>
  </si>
  <si>
    <t>MHMT01</t>
  </si>
  <si>
    <t>MHMT0190</t>
  </si>
  <si>
    <t>MHMT0210</t>
  </si>
  <si>
    <t>MHMT02</t>
  </si>
  <si>
    <t>MHMT0290</t>
  </si>
  <si>
    <t>MHMT0310</t>
  </si>
  <si>
    <t>MHMT03</t>
  </si>
  <si>
    <t>MHMT0390</t>
  </si>
  <si>
    <t>MHMT0410</t>
  </si>
  <si>
    <t>MHMT04</t>
  </si>
  <si>
    <t>MHMT0490</t>
  </si>
  <si>
    <t>MHMT0510</t>
  </si>
  <si>
    <t>MHMT05</t>
  </si>
  <si>
    <t>MHMT0590</t>
  </si>
  <si>
    <t>MHMT0610</t>
  </si>
  <si>
    <t>MHMT06</t>
  </si>
  <si>
    <t>MHMT0690</t>
  </si>
  <si>
    <t>MHMT0710</t>
  </si>
  <si>
    <t>MHMT07</t>
  </si>
  <si>
    <t>MHMT0790</t>
  </si>
  <si>
    <t>MHMT0810</t>
  </si>
  <si>
    <t>MHMT08</t>
  </si>
  <si>
    <t>MHMT0890</t>
  </si>
  <si>
    <t>MHMT0910</t>
  </si>
  <si>
    <t>MHMT09</t>
  </si>
  <si>
    <t>MHMT0990</t>
  </si>
  <si>
    <t>MHMT0A10</t>
  </si>
  <si>
    <t>MHMT0A</t>
  </si>
  <si>
    <t>MHMT0A90</t>
  </si>
  <si>
    <t>MHMT0B10</t>
  </si>
  <si>
    <t>MHMT0B</t>
  </si>
  <si>
    <t>MHMT0B90</t>
  </si>
  <si>
    <t>MHOTID10</t>
  </si>
  <si>
    <t>MHOTID</t>
  </si>
  <si>
    <t>MHOTID20</t>
  </si>
  <si>
    <t>MHOTID30</t>
  </si>
  <si>
    <t>MHOTID40</t>
  </si>
  <si>
    <t>MHOTID50</t>
  </si>
  <si>
    <t>MHOTID60</t>
  </si>
  <si>
    <t>MHPICA10</t>
  </si>
  <si>
    <t>MHPICA</t>
  </si>
  <si>
    <t>MHPICD01</t>
  </si>
  <si>
    <t>MHPICD</t>
  </si>
  <si>
    <t>MHPICD10</t>
  </si>
  <si>
    <t>MHPICD20</t>
  </si>
  <si>
    <t>MHPICD30</t>
  </si>
  <si>
    <t>MHPICD40</t>
  </si>
  <si>
    <t>MHPICH10</t>
  </si>
  <si>
    <t>MHPICH20</t>
  </si>
  <si>
    <t>MHPICH30</t>
  </si>
  <si>
    <t>MHPICH40</t>
  </si>
  <si>
    <t>MHPICH50</t>
  </si>
  <si>
    <t>MHPICH60</t>
  </si>
  <si>
    <t>MHPICH70</t>
  </si>
  <si>
    <t>MHPICH80</t>
  </si>
  <si>
    <t>MHPICH90</t>
  </si>
  <si>
    <t>MHPICH91</t>
  </si>
  <si>
    <t>MHPICL01</t>
  </si>
  <si>
    <t>MHPICL</t>
  </si>
  <si>
    <t>MHPICL10</t>
  </si>
  <si>
    <t>MHPICL20</t>
  </si>
  <si>
    <t>MHPICL30</t>
  </si>
  <si>
    <t>MHPICL40</t>
  </si>
  <si>
    <t>MHPICT01</t>
  </si>
  <si>
    <t>MHPICT</t>
  </si>
  <si>
    <t>MHPICT10</t>
  </si>
  <si>
    <t>MHPREA10</t>
  </si>
  <si>
    <t>MHPREA</t>
  </si>
  <si>
    <t>MHPRNS10</t>
  </si>
  <si>
    <t>MHPRNS</t>
  </si>
  <si>
    <t>MHPRNS20</t>
  </si>
  <si>
    <t>MHPRNS30</t>
  </si>
  <si>
    <t>MHPRNS40</t>
  </si>
  <si>
    <t>MHPRNS50</t>
  </si>
  <si>
    <t>MHSEST10</t>
  </si>
  <si>
    <t>MHSEST</t>
  </si>
  <si>
    <t>MHTASK01</t>
  </si>
  <si>
    <t>MHTASK</t>
  </si>
  <si>
    <t>MHTASK10</t>
  </si>
  <si>
    <t>MHTASK20</t>
  </si>
  <si>
    <t>MIATTR01</t>
  </si>
  <si>
    <t>MIATTR</t>
  </si>
  <si>
    <t>MIATTR20</t>
  </si>
  <si>
    <t>MIATTR40</t>
  </si>
  <si>
    <t>MIATTR60</t>
  </si>
  <si>
    <t>MIATTR70</t>
  </si>
  <si>
    <t>MIATTR80</t>
  </si>
  <si>
    <t>MIATTR90</t>
  </si>
  <si>
    <t>MIATTR95</t>
  </si>
  <si>
    <t>MIDQCG10</t>
  </si>
  <si>
    <t>MIDQCG</t>
  </si>
  <si>
    <t>MIDSCP10</t>
  </si>
  <si>
    <t>MIDSCP</t>
  </si>
  <si>
    <t>MIDTLE20</t>
  </si>
  <si>
    <t>MIDTLE</t>
  </si>
  <si>
    <t>MIDTLE30</t>
  </si>
  <si>
    <t>MIEQGR10</t>
  </si>
  <si>
    <t>MIEQGR</t>
  </si>
  <si>
    <t>MILIFE10</t>
  </si>
  <si>
    <t>MILIFE</t>
  </si>
  <si>
    <t>MILOID10</t>
  </si>
  <si>
    <t>MILOID</t>
  </si>
  <si>
    <t>MILOIN01</t>
  </si>
  <si>
    <t>MILOIN</t>
  </si>
  <si>
    <t>MILOIN02</t>
  </si>
  <si>
    <t>MILOIN10</t>
  </si>
  <si>
    <t>MILOIN11</t>
  </si>
  <si>
    <t>MILOIN12</t>
  </si>
  <si>
    <t>MILOIN20</t>
  </si>
  <si>
    <t>MILOIN21</t>
  </si>
  <si>
    <t>MILOIN30</t>
  </si>
  <si>
    <t>MILOIN31</t>
  </si>
  <si>
    <t>MILOIN32</t>
  </si>
  <si>
    <t>MILOIN40</t>
  </si>
  <si>
    <t>MILOIN41</t>
  </si>
  <si>
    <t>MILOIN50</t>
  </si>
  <si>
    <t>MILOIN51</t>
  </si>
  <si>
    <t>MILOIN60</t>
  </si>
  <si>
    <t>MILOIN70</t>
  </si>
  <si>
    <t>MILOIN80</t>
  </si>
  <si>
    <t>MILOIN81</t>
  </si>
  <si>
    <t>MILOIN90</t>
  </si>
  <si>
    <t>MILOIN91</t>
  </si>
  <si>
    <t>MILOIN92</t>
  </si>
  <si>
    <t>MILOIN93</t>
  </si>
  <si>
    <t>MILOIN95</t>
  </si>
  <si>
    <t>MILOIN96</t>
  </si>
  <si>
    <t>MILOIP10</t>
  </si>
  <si>
    <t>MILOIP</t>
  </si>
  <si>
    <t>MILOMA10</t>
  </si>
  <si>
    <t>MILOMA</t>
  </si>
  <si>
    <t>MILOMA11</t>
  </si>
  <si>
    <t>MILOMA20</t>
  </si>
  <si>
    <t>MILOMA30</t>
  </si>
  <si>
    <t>MILOMA40</t>
  </si>
  <si>
    <t>MILOMA50</t>
  </si>
  <si>
    <t>MILOMA60</t>
  </si>
  <si>
    <t>MILOMA70</t>
  </si>
  <si>
    <t>MILOMA75</t>
  </si>
  <si>
    <t>MILOMA80</t>
  </si>
  <si>
    <t>MILOMA85</t>
  </si>
  <si>
    <t>MILOMC10</t>
  </si>
  <si>
    <t>MILOMC</t>
  </si>
  <si>
    <t>MILOME10</t>
  </si>
  <si>
    <t>MILOME</t>
  </si>
  <si>
    <t>MILOME20</t>
  </si>
  <si>
    <t>MILOME30</t>
  </si>
  <si>
    <t>MILOME40</t>
  </si>
  <si>
    <t>MILOME50</t>
  </si>
  <si>
    <t>MILOME60</t>
  </si>
  <si>
    <t>MILOME70</t>
  </si>
  <si>
    <t>MILOME80</t>
  </si>
  <si>
    <t>MILOMN10</t>
  </si>
  <si>
    <t>MILOMN</t>
  </si>
  <si>
    <t>MILOMR10</t>
  </si>
  <si>
    <t>MILOMR</t>
  </si>
  <si>
    <t>MILOSW01</t>
  </si>
  <si>
    <t>MILOSW</t>
  </si>
  <si>
    <t>MILOSW10</t>
  </si>
  <si>
    <t>MILOSW11</t>
  </si>
  <si>
    <t>MILOSW20</t>
  </si>
  <si>
    <t>MILOSW21</t>
  </si>
  <si>
    <t>MILOSW30</t>
  </si>
  <si>
    <t>MILOSW40</t>
  </si>
  <si>
    <t>MILOSW50</t>
  </si>
  <si>
    <t>MILOSW60</t>
  </si>
  <si>
    <t>MILOTW11</t>
  </si>
  <si>
    <t>MILOTW</t>
  </si>
  <si>
    <t>MILOTW20</t>
  </si>
  <si>
    <t>MINVSH10</t>
  </si>
  <si>
    <t>MINVSH</t>
  </si>
  <si>
    <t>MINVSH20</t>
  </si>
  <si>
    <t>MINVSH30</t>
  </si>
  <si>
    <t>MINVSH40</t>
  </si>
  <si>
    <t>MINVSH50</t>
  </si>
  <si>
    <t>MIPWSL10</t>
  </si>
  <si>
    <t>MIPWSL</t>
  </si>
  <si>
    <t>MISCOR10</t>
  </si>
  <si>
    <t>MISCOR</t>
  </si>
  <si>
    <t>MISCOR20</t>
  </si>
  <si>
    <t>MISCOR30</t>
  </si>
  <si>
    <t>MISCOR40</t>
  </si>
  <si>
    <t>MISCOR50</t>
  </si>
  <si>
    <t>MISCOR60</t>
  </si>
  <si>
    <t>MISCOR70</t>
  </si>
  <si>
    <t>MISCOR80</t>
  </si>
  <si>
    <t>MITAFO10</t>
  </si>
  <si>
    <t>MITAFO</t>
  </si>
  <si>
    <t>MITAFO30</t>
  </si>
  <si>
    <t>MITAFW10</t>
  </si>
  <si>
    <t>MITAFW</t>
  </si>
  <si>
    <t>MITALG10</t>
  </si>
  <si>
    <t>MITALG</t>
  </si>
  <si>
    <t>MITALO10</t>
  </si>
  <si>
    <t>MITALO20</t>
  </si>
  <si>
    <t>MITALO30</t>
  </si>
  <si>
    <t>MITALO40</t>
  </si>
  <si>
    <t>MITALO50</t>
  </si>
  <si>
    <t>MITALO60</t>
  </si>
  <si>
    <t>MITALO70</t>
  </si>
  <si>
    <t>MITALO80</t>
  </si>
  <si>
    <t>MITALO81</t>
  </si>
  <si>
    <t>MITALO90</t>
  </si>
  <si>
    <t>MITALT01</t>
  </si>
  <si>
    <t>MITALT</t>
  </si>
  <si>
    <t>MITALT10</t>
  </si>
  <si>
    <t>MITALT20</t>
  </si>
  <si>
    <t>MITALT30</t>
  </si>
  <si>
    <t>MITALT40</t>
  </si>
  <si>
    <t>MITALT50</t>
  </si>
  <si>
    <t>MITARE10</t>
  </si>
  <si>
    <t>MITASO10</t>
  </si>
  <si>
    <t>MITASO</t>
  </si>
  <si>
    <t>MITATO10</t>
  </si>
  <si>
    <t>MITATO</t>
  </si>
  <si>
    <t>MITATY10</t>
  </si>
  <si>
    <t>MITATY</t>
  </si>
  <si>
    <t>MITAUN10</t>
  </si>
  <si>
    <t>MITAUN</t>
  </si>
  <si>
    <t>MITAUN11</t>
  </si>
  <si>
    <t>MITAUN21</t>
  </si>
  <si>
    <t>MITAUN22</t>
  </si>
  <si>
    <t>MITAUN23</t>
  </si>
  <si>
    <t>MITAUN24</t>
  </si>
  <si>
    <t>MITAUN25</t>
  </si>
  <si>
    <t>MITAUN26</t>
  </si>
  <si>
    <t>MITAUN29</t>
  </si>
  <si>
    <t>MITAUN30</t>
  </si>
  <si>
    <t>MITAUN40</t>
  </si>
  <si>
    <t>MITBAC10</t>
  </si>
  <si>
    <t>MITBAC</t>
  </si>
  <si>
    <t>MITBAL10</t>
  </si>
  <si>
    <t>MITBAL11</t>
  </si>
  <si>
    <t>MITBAL20</t>
  </si>
  <si>
    <t>MITBAL30</t>
  </si>
  <si>
    <t>MITBAL40</t>
  </si>
  <si>
    <t>MITBAL50</t>
  </si>
  <si>
    <t>MITBAL60</t>
  </si>
  <si>
    <t>MITBAL61</t>
  </si>
  <si>
    <t>MITBAL70</t>
  </si>
  <si>
    <t>MITBAM10</t>
  </si>
  <si>
    <t>MITBAM</t>
  </si>
  <si>
    <t>MITBAM20</t>
  </si>
  <si>
    <t>MITBIL01</t>
  </si>
  <si>
    <t>MITBIL</t>
  </si>
  <si>
    <t>MITBIL10</t>
  </si>
  <si>
    <t>MITBIL20</t>
  </si>
  <si>
    <t>MITBIL30</t>
  </si>
  <si>
    <t>MITBLA10</t>
  </si>
  <si>
    <t>MITBLA</t>
  </si>
  <si>
    <t>MITBLA20</t>
  </si>
  <si>
    <t>MITBLA30</t>
  </si>
  <si>
    <t>MITBLA40</t>
  </si>
  <si>
    <t>MITCAT10</t>
  </si>
  <si>
    <t>MITCAT</t>
  </si>
  <si>
    <t>MITCCD10</t>
  </si>
  <si>
    <t>MITCCD</t>
  </si>
  <si>
    <t>MITCCD20</t>
  </si>
  <si>
    <t>MITCCD40</t>
  </si>
  <si>
    <t>MITCCL10</t>
  </si>
  <si>
    <t>MITCCL</t>
  </si>
  <si>
    <t>MITCCL20</t>
  </si>
  <si>
    <t>MITCEN10</t>
  </si>
  <si>
    <t>MITCEN</t>
  </si>
  <si>
    <t>MITCEN15</t>
  </si>
  <si>
    <t>MITCEN20</t>
  </si>
  <si>
    <t>MITCEN25</t>
  </si>
  <si>
    <t>MITCEN30</t>
  </si>
  <si>
    <t>MITCEN35</t>
  </si>
  <si>
    <t>MITCEN40</t>
  </si>
  <si>
    <t>MITCEN44</t>
  </si>
  <si>
    <t>MITCEN45</t>
  </si>
  <si>
    <t>MITCEN46</t>
  </si>
  <si>
    <t>MITCEN47</t>
  </si>
  <si>
    <t>MITCEN48</t>
  </si>
  <si>
    <t>MITCEN50</t>
  </si>
  <si>
    <t>MITCEN55</t>
  </si>
  <si>
    <t>MITCEN60</t>
  </si>
  <si>
    <t>MITCEN70</t>
  </si>
  <si>
    <t>MITCEN75</t>
  </si>
  <si>
    <t>MITCEN80</t>
  </si>
  <si>
    <t>MITCOD10</t>
  </si>
  <si>
    <t>MITCOD</t>
  </si>
  <si>
    <t>MITCOD20</t>
  </si>
  <si>
    <t>MITCSE10</t>
  </si>
  <si>
    <t>MITCSE</t>
  </si>
  <si>
    <t>MITCUH10</t>
  </si>
  <si>
    <t>MITCUH</t>
  </si>
  <si>
    <t>MITCUM10</t>
  </si>
  <si>
    <t>MITCUM</t>
  </si>
  <si>
    <t>MITCUM20</t>
  </si>
  <si>
    <t>MITDAH10</t>
  </si>
  <si>
    <t>MITDAH</t>
  </si>
  <si>
    <t>MITDAY10</t>
  </si>
  <si>
    <t>MITDAY</t>
  </si>
  <si>
    <t>MITDES10</t>
  </si>
  <si>
    <t>MITDES</t>
  </si>
  <si>
    <t>MITDES20</t>
  </si>
  <si>
    <t>MITDPR10</t>
  </si>
  <si>
    <t>MITDPR</t>
  </si>
  <si>
    <t>MITDPR20</t>
  </si>
  <si>
    <t>MITDPR30</t>
  </si>
  <si>
    <t>MITETR10</t>
  </si>
  <si>
    <t>MITETR</t>
  </si>
  <si>
    <t>MITETR20</t>
  </si>
  <si>
    <t>MITEXO10</t>
  </si>
  <si>
    <t>MITEXO</t>
  </si>
  <si>
    <t>MITEXO20</t>
  </si>
  <si>
    <t>MITFAC10</t>
  </si>
  <si>
    <t>MITFAC11</t>
  </si>
  <si>
    <t>MITFAC20</t>
  </si>
  <si>
    <t>MITFAG10</t>
  </si>
  <si>
    <t>MITFAG</t>
  </si>
  <si>
    <t>MITFAM10</t>
  </si>
  <si>
    <t>MITFAM</t>
  </si>
  <si>
    <t>MITFFO10</t>
  </si>
  <si>
    <t>MITFFO</t>
  </si>
  <si>
    <t>MITFIR10</t>
  </si>
  <si>
    <t>MITFIR</t>
  </si>
  <si>
    <t>MITFPD10</t>
  </si>
  <si>
    <t>MITFPD</t>
  </si>
  <si>
    <t>MITFPD20</t>
  </si>
  <si>
    <t>MITFPL10</t>
  </si>
  <si>
    <t>MITFPL</t>
  </si>
  <si>
    <t>MITFPL20</t>
  </si>
  <si>
    <t>MITHAZ10</t>
  </si>
  <si>
    <t>MITHAZ</t>
  </si>
  <si>
    <t>MITHRY10</t>
  </si>
  <si>
    <t>MITHRY</t>
  </si>
  <si>
    <t>MITHRY20</t>
  </si>
  <si>
    <t>MITHRY30</t>
  </si>
  <si>
    <t>MITILS01</t>
  </si>
  <si>
    <t>MITILS</t>
  </si>
  <si>
    <t>MITILS10</t>
  </si>
  <si>
    <t>MITILS20</t>
  </si>
  <si>
    <t>MITITP10</t>
  </si>
  <si>
    <t>MITITP</t>
  </si>
  <si>
    <t>MITITR10</t>
  </si>
  <si>
    <t>MITITR</t>
  </si>
  <si>
    <t>MITITR20</t>
  </si>
  <si>
    <t>MITLAD10</t>
  </si>
  <si>
    <t>MITLAD</t>
  </si>
  <si>
    <t>MITLAD20</t>
  </si>
  <si>
    <t>MITLOC05</t>
  </si>
  <si>
    <t>MITLOC</t>
  </si>
  <si>
    <t>MITLOC10</t>
  </si>
  <si>
    <t>MITLOC11</t>
  </si>
  <si>
    <t>MITLOC15</t>
  </si>
  <si>
    <t>MITLOC20</t>
  </si>
  <si>
    <t>MITLOC25</t>
  </si>
  <si>
    <t>MITLOC30</t>
  </si>
  <si>
    <t>MITLOC35</t>
  </si>
  <si>
    <t>MITLOC36</t>
  </si>
  <si>
    <t>MITLOC37</t>
  </si>
  <si>
    <t>MITLOC38</t>
  </si>
  <si>
    <t>MITLOC40</t>
  </si>
  <si>
    <t>MITLOC41</t>
  </si>
  <si>
    <t>MITLOC51</t>
  </si>
  <si>
    <t>MITLOC60</t>
  </si>
  <si>
    <t>MITLOC61</t>
  </si>
  <si>
    <t>MITLOC65</t>
  </si>
  <si>
    <t>MITLOC71</t>
  </si>
  <si>
    <t>MITLOC75</t>
  </si>
  <si>
    <t>MITLOC80</t>
  </si>
  <si>
    <t>MITLOC98</t>
  </si>
  <si>
    <t>MITLOC99</t>
  </si>
  <si>
    <t>MITLOW10</t>
  </si>
  <si>
    <t>MITLOW</t>
  </si>
  <si>
    <t>MITLOW20</t>
  </si>
  <si>
    <t>MITLOW30</t>
  </si>
  <si>
    <t>MITLOW40</t>
  </si>
  <si>
    <t>MITMAH10</t>
  </si>
  <si>
    <t>MITMAH</t>
  </si>
  <si>
    <t>MITMAH20</t>
  </si>
  <si>
    <t>MITMAH30</t>
  </si>
  <si>
    <t>MITMAH31</t>
  </si>
  <si>
    <t>MITMAH32</t>
  </si>
  <si>
    <t>MITMAH40</t>
  </si>
  <si>
    <t>MITMAH41</t>
  </si>
  <si>
    <t>MITMAH50</t>
  </si>
  <si>
    <t>MITMAH51</t>
  </si>
  <si>
    <t>MITMAH52</t>
  </si>
  <si>
    <t>MITMAH53</t>
  </si>
  <si>
    <t>MITMAH54</t>
  </si>
  <si>
    <t>MITMAH55</t>
  </si>
  <si>
    <t>MITMAH60</t>
  </si>
  <si>
    <t>MITMAS01</t>
  </si>
  <si>
    <t>MITMAS02</t>
  </si>
  <si>
    <t>MITMAS10</t>
  </si>
  <si>
    <t>MITMAS11</t>
  </si>
  <si>
    <t>MITMAS15</t>
  </si>
  <si>
    <t>MITMAS20</t>
  </si>
  <si>
    <t>MITMAS21</t>
  </si>
  <si>
    <t>MITMAS30</t>
  </si>
  <si>
    <t>MITMAS40</t>
  </si>
  <si>
    <t>MITMAS50</t>
  </si>
  <si>
    <t>MITMAS60</t>
  </si>
  <si>
    <t>MITMAS70</t>
  </si>
  <si>
    <t>MITMAS80</t>
  </si>
  <si>
    <t>MITMAS90</t>
  </si>
  <si>
    <t>MITMCV10</t>
  </si>
  <si>
    <t>MITMCV</t>
  </si>
  <si>
    <t>MITMDS10</t>
  </si>
  <si>
    <t>MITMDS</t>
  </si>
  <si>
    <t>MITMDS20</t>
  </si>
  <si>
    <t>MITNUM10</t>
  </si>
  <si>
    <t>MITNUM</t>
  </si>
  <si>
    <t>MITOCC10</t>
  </si>
  <si>
    <t>MITOCC</t>
  </si>
  <si>
    <t>MITPAC10</t>
  </si>
  <si>
    <t>MITPAC20</t>
  </si>
  <si>
    <t>MITPAC30</t>
  </si>
  <si>
    <t>MITPAC40</t>
  </si>
  <si>
    <t>MITPAK10</t>
  </si>
  <si>
    <t>MITPAK</t>
  </si>
  <si>
    <t>MITPCC10</t>
  </si>
  <si>
    <t>MITPCE10</t>
  </si>
  <si>
    <t>MITPCE11</t>
  </si>
  <si>
    <t>MITPCE20</t>
  </si>
  <si>
    <t>MITPCE30</t>
  </si>
  <si>
    <t>MITPCE40</t>
  </si>
  <si>
    <t>MITPCE41</t>
  </si>
  <si>
    <t>MITPCE50</t>
  </si>
  <si>
    <t>MITPCE70</t>
  </si>
  <si>
    <t>MITPCE80</t>
  </si>
  <si>
    <t>MITPCL10</t>
  </si>
  <si>
    <t>MITPCL</t>
  </si>
  <si>
    <t>MITPCL20</t>
  </si>
  <si>
    <t>MITPHR10</t>
  </si>
  <si>
    <t>MITPHR</t>
  </si>
  <si>
    <t>MITPHR20</t>
  </si>
  <si>
    <t>MITPHY10</t>
  </si>
  <si>
    <t>MITPHY</t>
  </si>
  <si>
    <t>MITPIC10</t>
  </si>
  <si>
    <t>MITPIC</t>
  </si>
  <si>
    <t>MITPIC20</t>
  </si>
  <si>
    <t>MITPIC30</t>
  </si>
  <si>
    <t>MITPLG10</t>
  </si>
  <si>
    <t>MITPLG</t>
  </si>
  <si>
    <t>MITPLG20</t>
  </si>
  <si>
    <t>MITPLO01</t>
  </si>
  <si>
    <t>MITPLO</t>
  </si>
  <si>
    <t>MITPLO10</t>
  </si>
  <si>
    <t>MITPLO20</t>
  </si>
  <si>
    <t>MITPLO30</t>
  </si>
  <si>
    <t>MITPLO40</t>
  </si>
  <si>
    <t>MITPLO50</t>
  </si>
  <si>
    <t>MITPLO60</t>
  </si>
  <si>
    <t>MITPLO70</t>
  </si>
  <si>
    <t>MITPLO75</t>
  </si>
  <si>
    <t>MITPLO80</t>
  </si>
  <si>
    <t>MITPLO90</t>
  </si>
  <si>
    <t>MITPLS10</t>
  </si>
  <si>
    <t>MITPLS</t>
  </si>
  <si>
    <t>MITPOP10</t>
  </si>
  <si>
    <t>MITPOP</t>
  </si>
  <si>
    <t>MITPOP20</t>
  </si>
  <si>
    <t>MITPOP30</t>
  </si>
  <si>
    <t>MITPOP40</t>
  </si>
  <si>
    <t>MITPOP50</t>
  </si>
  <si>
    <t>MITPOP55</t>
  </si>
  <si>
    <t>MITPOP56</t>
  </si>
  <si>
    <t>MITPOP60</t>
  </si>
  <si>
    <t>MITPOP70</t>
  </si>
  <si>
    <t>MITPOP80</t>
  </si>
  <si>
    <t>MITPOP90</t>
  </si>
  <si>
    <t>MITPRN10</t>
  </si>
  <si>
    <t>MITPRN</t>
  </si>
  <si>
    <t>MITPRN20</t>
  </si>
  <si>
    <t>MITPRN30</t>
  </si>
  <si>
    <t>MITPRN40</t>
  </si>
  <si>
    <t>MITPRN50</t>
  </si>
  <si>
    <t>MITPSN10</t>
  </si>
  <si>
    <t>MITPSN</t>
  </si>
  <si>
    <t>MITPTI10</t>
  </si>
  <si>
    <t>MITPTI</t>
  </si>
  <si>
    <t>MITPTI20</t>
  </si>
  <si>
    <t>MITPWL01</t>
  </si>
  <si>
    <t>MITPWL</t>
  </si>
  <si>
    <t>MITRES10</t>
  </si>
  <si>
    <t>MITRES</t>
  </si>
  <si>
    <t>MITRES20</t>
  </si>
  <si>
    <t>MITRES30</t>
  </si>
  <si>
    <t>MITRES40</t>
  </si>
  <si>
    <t>MITRES50</t>
  </si>
  <si>
    <t>MITRES60</t>
  </si>
  <si>
    <t>MITRES70</t>
  </si>
  <si>
    <t>MITRES80</t>
  </si>
  <si>
    <t>MITRES90</t>
  </si>
  <si>
    <t>MITRES95</t>
  </si>
  <si>
    <t>MITSCH10</t>
  </si>
  <si>
    <t>MITSCH</t>
  </si>
  <si>
    <t>MITSNM10</t>
  </si>
  <si>
    <t>MITSOR10</t>
  </si>
  <si>
    <t>MITSOR</t>
  </si>
  <si>
    <t>MITSOR20</t>
  </si>
  <si>
    <t>MITSOR30</t>
  </si>
  <si>
    <t>MITSTA10</t>
  </si>
  <si>
    <t>MITSTA</t>
  </si>
  <si>
    <t>MITSTA20</t>
  </si>
  <si>
    <t>MITSTP10</t>
  </si>
  <si>
    <t>MITSTP</t>
  </si>
  <si>
    <t>MITSTP20</t>
  </si>
  <si>
    <t>MITSTP30</t>
  </si>
  <si>
    <t>MITSTP40</t>
  </si>
  <si>
    <t>MITSTR10</t>
  </si>
  <si>
    <t>MITSTR</t>
  </si>
  <si>
    <t>MITSTS10</t>
  </si>
  <si>
    <t>MITSTS</t>
  </si>
  <si>
    <t>MITSTS20</t>
  </si>
  <si>
    <t>MITSUB10</t>
  </si>
  <si>
    <t>MITSUB</t>
  </si>
  <si>
    <t>MITSUB20</t>
  </si>
  <si>
    <t>MITSUB30</t>
  </si>
  <si>
    <t>MITSUB40</t>
  </si>
  <si>
    <t>MITSUB50</t>
  </si>
  <si>
    <t>MITSUB60</t>
  </si>
  <si>
    <t>MITSUB65</t>
  </si>
  <si>
    <t>MITSUB70</t>
  </si>
  <si>
    <t>MITSUB80</t>
  </si>
  <si>
    <t>MITSUB90</t>
  </si>
  <si>
    <t>MITSUG10</t>
  </si>
  <si>
    <t>MITSUG</t>
  </si>
  <si>
    <t>MITSUG20</t>
  </si>
  <si>
    <t>MITSUG30</t>
  </si>
  <si>
    <t>MITSUG40</t>
  </si>
  <si>
    <t>MITSUG50</t>
  </si>
  <si>
    <t>MITSUG60</t>
  </si>
  <si>
    <t>MITSUG70</t>
  </si>
  <si>
    <t>MITSUG80</t>
  </si>
  <si>
    <t>MITSUG81</t>
  </si>
  <si>
    <t>MITSUG82</t>
  </si>
  <si>
    <t>MITSUG90</t>
  </si>
  <si>
    <t>MITSUG91</t>
  </si>
  <si>
    <t>MITTCD10</t>
  </si>
  <si>
    <t>MITTCD</t>
  </si>
  <si>
    <t>MITTCD20</t>
  </si>
  <si>
    <t>MITTCD30</t>
  </si>
  <si>
    <t>MITTEM10</t>
  </si>
  <si>
    <t>MITTEM</t>
  </si>
  <si>
    <t>MITTKD10</t>
  </si>
  <si>
    <t>MITTKD</t>
  </si>
  <si>
    <t>MITTKD15</t>
  </si>
  <si>
    <t>MITTKD20</t>
  </si>
  <si>
    <t>MITTKD30</t>
  </si>
  <si>
    <t>MITTKD40</t>
  </si>
  <si>
    <t>MITTKD50</t>
  </si>
  <si>
    <t>MITTKD60</t>
  </si>
  <si>
    <t>MITTKD70</t>
  </si>
  <si>
    <t>MITTKD80</t>
  </si>
  <si>
    <t>MITTKH10</t>
  </si>
  <si>
    <t>MITTKH</t>
  </si>
  <si>
    <t>MITTKH20</t>
  </si>
  <si>
    <t>MITTKH30</t>
  </si>
  <si>
    <t>MITTKS10</t>
  </si>
  <si>
    <t>MITTKS</t>
  </si>
  <si>
    <t>MITTKV10</t>
  </si>
  <si>
    <t>MITTKV</t>
  </si>
  <si>
    <t>MITTKV20</t>
  </si>
  <si>
    <t>MITTKV30</t>
  </si>
  <si>
    <t>MITTKV40</t>
  </si>
  <si>
    <t>MITTKV50</t>
  </si>
  <si>
    <t>MITTRA10</t>
  </si>
  <si>
    <t>MITTRA20</t>
  </si>
  <si>
    <t>MITTRA25</t>
  </si>
  <si>
    <t>MITTRA30</t>
  </si>
  <si>
    <t>MITTRA35</t>
  </si>
  <si>
    <t>MITTRA40</t>
  </si>
  <si>
    <t>MITTRA50</t>
  </si>
  <si>
    <t>MITTRA60</t>
  </si>
  <si>
    <t>MITTRA70</t>
  </si>
  <si>
    <t>MITTRA80</t>
  </si>
  <si>
    <t>MITTRA81</t>
  </si>
  <si>
    <t>MITTRA90</t>
  </si>
  <si>
    <t>MITTRA91</t>
  </si>
  <si>
    <t>MITTRA95</t>
  </si>
  <si>
    <t>MITTRAA1#MBR</t>
  </si>
  <si>
    <t>MITTRF10</t>
  </si>
  <si>
    <t>MITTRF</t>
  </si>
  <si>
    <t>MITTRF20</t>
  </si>
  <si>
    <t>MITTRF30</t>
  </si>
  <si>
    <t>MITTRF40</t>
  </si>
  <si>
    <t>MITTRF50</t>
  </si>
  <si>
    <t>MITTRF60</t>
  </si>
  <si>
    <t>MITTRF80</t>
  </si>
  <si>
    <t>MITTRF90</t>
  </si>
  <si>
    <t>MITUCV10</t>
  </si>
  <si>
    <t>MITUCV</t>
  </si>
  <si>
    <t>MITVEM10</t>
  </si>
  <si>
    <t>MITVEM20</t>
  </si>
  <si>
    <t>MITVEM30</t>
  </si>
  <si>
    <t>MITVEN10</t>
  </si>
  <si>
    <t>MITVEN20</t>
  </si>
  <si>
    <t>MITWHG10</t>
  </si>
  <si>
    <t>MITWHG</t>
  </si>
  <si>
    <t>MITWHL10</t>
  </si>
  <si>
    <t>MITWHL20</t>
  </si>
  <si>
    <t>MITWHL30</t>
  </si>
  <si>
    <t>MITWHL40</t>
  </si>
  <si>
    <t>MITWHL50</t>
  </si>
  <si>
    <t>MITWHL60</t>
  </si>
  <si>
    <t>MITWHP10</t>
  </si>
  <si>
    <t>MITWHP</t>
  </si>
  <si>
    <t>MITWHP20</t>
  </si>
  <si>
    <t>MITWLT10</t>
  </si>
  <si>
    <t>MITWLT</t>
  </si>
  <si>
    <t>MITWLT20</t>
  </si>
  <si>
    <t>MITWLT21</t>
  </si>
  <si>
    <t>MITWLT30</t>
  </si>
  <si>
    <t>MITWLT31</t>
  </si>
  <si>
    <t>MITWLT40</t>
  </si>
  <si>
    <t>MITYAL10</t>
  </si>
  <si>
    <t>MITYAL</t>
  </si>
  <si>
    <t>MITYWC10</t>
  </si>
  <si>
    <t>MITYWC</t>
  </si>
  <si>
    <t>MIWLAL10</t>
  </si>
  <si>
    <t>MIWLAL</t>
  </si>
  <si>
    <t>MIWRRT10</t>
  </si>
  <si>
    <t>MIWRRT</t>
  </si>
  <si>
    <t>MIWRRT20</t>
  </si>
  <si>
    <t>MLESUM10</t>
  </si>
  <si>
    <t>MLESUM</t>
  </si>
  <si>
    <t>MLIADE05</t>
  </si>
  <si>
    <t>MLIADE</t>
  </si>
  <si>
    <t>MLIADE10</t>
  </si>
  <si>
    <t>MLIADE20</t>
  </si>
  <si>
    <t>MLIADE30</t>
  </si>
  <si>
    <t>MLIADE50</t>
  </si>
  <si>
    <t>MLIAHE10</t>
  </si>
  <si>
    <t>MLIAHE</t>
  </si>
  <si>
    <t>MLIAHE20</t>
  </si>
  <si>
    <t>MLIAHE30</t>
  </si>
  <si>
    <t>MLIAHE40</t>
  </si>
  <si>
    <t>MLIAHL10</t>
  </si>
  <si>
    <t>MLIAHL</t>
  </si>
  <si>
    <t>MLIHED10</t>
  </si>
  <si>
    <t>MLIHED</t>
  </si>
  <si>
    <t>MLIHED20</t>
  </si>
  <si>
    <t>MLIHED30</t>
  </si>
  <si>
    <t>MLIHED40</t>
  </si>
  <si>
    <t>MLIHEL10</t>
  </si>
  <si>
    <t>MLIHEL</t>
  </si>
  <si>
    <t>MLLIFE10</t>
  </si>
  <si>
    <t>MLLIFE</t>
  </si>
  <si>
    <t>MLLIFE20</t>
  </si>
  <si>
    <t>MMAHED20</t>
  </si>
  <si>
    <t>MMAHED</t>
  </si>
  <si>
    <t>MMAINS10</t>
  </si>
  <si>
    <t>MMAINS</t>
  </si>
  <si>
    <t>MMALAD10</t>
  </si>
  <si>
    <t>MMALAD</t>
  </si>
  <si>
    <t>MMAODE10</t>
  </si>
  <si>
    <t>MMAODE</t>
  </si>
  <si>
    <t>MMAODM10</t>
  </si>
  <si>
    <t>MMAODM</t>
  </si>
  <si>
    <t>MMAODO10</t>
  </si>
  <si>
    <t>MMAODO</t>
  </si>
  <si>
    <t>MMAODR10</t>
  </si>
  <si>
    <t>MMAODR</t>
  </si>
  <si>
    <t>MMAODR20</t>
  </si>
  <si>
    <t>MMAODR30</t>
  </si>
  <si>
    <t>MMAOHE10</t>
  </si>
  <si>
    <t>MMAOHE</t>
  </si>
  <si>
    <t>MMAOHE20</t>
  </si>
  <si>
    <t>MMASER10</t>
  </si>
  <si>
    <t>MMASER</t>
  </si>
  <si>
    <t>MMASER20</t>
  </si>
  <si>
    <t>MMASUB10</t>
  </si>
  <si>
    <t>MMASUB</t>
  </si>
  <si>
    <t>MMC30310</t>
  </si>
  <si>
    <t>MMC303</t>
  </si>
  <si>
    <t>MMCINQ30</t>
  </si>
  <si>
    <t>MMCINQ</t>
  </si>
  <si>
    <t>MMDFAD10</t>
  </si>
  <si>
    <t>MMDFAD</t>
  </si>
  <si>
    <t>MMERPL10</t>
  </si>
  <si>
    <t>MMERPL</t>
  </si>
  <si>
    <t>MMETER10</t>
  </si>
  <si>
    <t>MMETER</t>
  </si>
  <si>
    <t>MMFADD10</t>
  </si>
  <si>
    <t>MMFADD</t>
  </si>
  <si>
    <t>MMIHED20</t>
  </si>
  <si>
    <t>MMIHED</t>
  </si>
  <si>
    <t>MMIHED30</t>
  </si>
  <si>
    <t>MMIHED40</t>
  </si>
  <si>
    <t>MMIHED50</t>
  </si>
  <si>
    <t>MMIIDE30</t>
  </si>
  <si>
    <t>MMIIDE</t>
  </si>
  <si>
    <t>MMIIDE40</t>
  </si>
  <si>
    <t>MMIINS10</t>
  </si>
  <si>
    <t>MMIINS</t>
  </si>
  <si>
    <t>MMIINS30</t>
  </si>
  <si>
    <t>MMIINS40</t>
  </si>
  <si>
    <t>MMIINS41</t>
  </si>
  <si>
    <t>MMIPPT10</t>
  </si>
  <si>
    <t>MMISUB10</t>
  </si>
  <si>
    <t>MMISUB</t>
  </si>
  <si>
    <t>MMLFAD10</t>
  </si>
  <si>
    <t>MMLFAD</t>
  </si>
  <si>
    <t>MMLPRC10</t>
  </si>
  <si>
    <t>MMLPRC</t>
  </si>
  <si>
    <t>MMLPRC20</t>
  </si>
  <si>
    <t>MMLPRC30</t>
  </si>
  <si>
    <t>MMLPSC10</t>
  </si>
  <si>
    <t>MMLPSC</t>
  </si>
  <si>
    <t>MMLPSC20</t>
  </si>
  <si>
    <t>MMM07610</t>
  </si>
  <si>
    <t>MMM076</t>
  </si>
  <si>
    <t>MMM07620</t>
  </si>
  <si>
    <t>MMM07630</t>
  </si>
  <si>
    <t>MMM45210</t>
  </si>
  <si>
    <t>MMM452</t>
  </si>
  <si>
    <t>MMM47010</t>
  </si>
  <si>
    <t>MMM470</t>
  </si>
  <si>
    <t>MMM47020</t>
  </si>
  <si>
    <t>MMM47030</t>
  </si>
  <si>
    <t>MMM47040</t>
  </si>
  <si>
    <t>MMM47050</t>
  </si>
  <si>
    <t>MMM47201</t>
  </si>
  <si>
    <t>MMM472</t>
  </si>
  <si>
    <t>MMM47210</t>
  </si>
  <si>
    <t>MMM47220</t>
  </si>
  <si>
    <t>MMM47610</t>
  </si>
  <si>
    <t>MMM476</t>
  </si>
  <si>
    <t>MMM47620</t>
  </si>
  <si>
    <t>MMM47630</t>
  </si>
  <si>
    <t>MMM48010</t>
  </si>
  <si>
    <t>MMM480</t>
  </si>
  <si>
    <t>MMM48210</t>
  </si>
  <si>
    <t>MMM482</t>
  </si>
  <si>
    <t>MMM48510</t>
  </si>
  <si>
    <t>MMM485</t>
  </si>
  <si>
    <t>MMM48520</t>
  </si>
  <si>
    <t>MMM49110</t>
  </si>
  <si>
    <t>MMM491</t>
  </si>
  <si>
    <t>MMM49210</t>
  </si>
  <si>
    <t>MMM492</t>
  </si>
  <si>
    <t>MMM49410</t>
  </si>
  <si>
    <t>MMM494</t>
  </si>
  <si>
    <t>MMM49420</t>
  </si>
  <si>
    <t>MMM49430</t>
  </si>
  <si>
    <t>MMM49440</t>
  </si>
  <si>
    <t>MMM62010</t>
  </si>
  <si>
    <t>MMM620</t>
  </si>
  <si>
    <t>MMM85510</t>
  </si>
  <si>
    <t>MMM855</t>
  </si>
  <si>
    <t>MMM85590</t>
  </si>
  <si>
    <t>MMM90110</t>
  </si>
  <si>
    <t>MMM901</t>
  </si>
  <si>
    <t>MMM90190</t>
  </si>
  <si>
    <t>MMM90220</t>
  </si>
  <si>
    <t>MMM902</t>
  </si>
  <si>
    <t>MMM90230</t>
  </si>
  <si>
    <t>MMM90290</t>
  </si>
  <si>
    <t>MMM91100</t>
  </si>
  <si>
    <t>MMM911</t>
  </si>
  <si>
    <t>MMM91110</t>
  </si>
  <si>
    <t>MMM91420</t>
  </si>
  <si>
    <t>MMM914</t>
  </si>
  <si>
    <t>MMM92010</t>
  </si>
  <si>
    <t>MMM920</t>
  </si>
  <si>
    <t>MMM92020</t>
  </si>
  <si>
    <t>MMM92090</t>
  </si>
  <si>
    <t>MMM93010</t>
  </si>
  <si>
    <t>MMM930</t>
  </si>
  <si>
    <t>MMM93090</t>
  </si>
  <si>
    <t>MMMATR10</t>
  </si>
  <si>
    <t>MMMATR</t>
  </si>
  <si>
    <t>MMMATR20</t>
  </si>
  <si>
    <t>MMO00110</t>
  </si>
  <si>
    <t>MMO001</t>
  </si>
  <si>
    <t>MMO00130</t>
  </si>
  <si>
    <t>MMO00140</t>
  </si>
  <si>
    <t>MMO00150</t>
  </si>
  <si>
    <t>MMO00160</t>
  </si>
  <si>
    <t>MMO00170</t>
  </si>
  <si>
    <t>MMO00520</t>
  </si>
  <si>
    <t>MMO005</t>
  </si>
  <si>
    <t>MMO00590</t>
  </si>
  <si>
    <t>MMO01010</t>
  </si>
  <si>
    <t>MMO010</t>
  </si>
  <si>
    <t>MMO01015</t>
  </si>
  <si>
    <t>MMO01110</t>
  </si>
  <si>
    <t>MMO011</t>
  </si>
  <si>
    <t>MMO01190</t>
  </si>
  <si>
    <t>MMO01520</t>
  </si>
  <si>
    <t>MMO015</t>
  </si>
  <si>
    <t>MMO01590</t>
  </si>
  <si>
    <t>MMO03520</t>
  </si>
  <si>
    <t>MMO035</t>
  </si>
  <si>
    <t>MMO03590</t>
  </si>
  <si>
    <t>MMO06510</t>
  </si>
  <si>
    <t>MMO065</t>
  </si>
  <si>
    <t>MMO13000</t>
  </si>
  <si>
    <t>MMO130</t>
  </si>
  <si>
    <t>MMO13010</t>
  </si>
  <si>
    <t>MMO13700</t>
  </si>
  <si>
    <t>MMO137</t>
  </si>
  <si>
    <t>MMO13710</t>
  </si>
  <si>
    <t>MMO34510</t>
  </si>
  <si>
    <t>MMO345</t>
  </si>
  <si>
    <t>MMO44610</t>
  </si>
  <si>
    <t>MMO446</t>
  </si>
  <si>
    <t>MMO60110</t>
  </si>
  <si>
    <t>MMO601</t>
  </si>
  <si>
    <t>MMO93020</t>
  </si>
  <si>
    <t>MMO930</t>
  </si>
  <si>
    <t>MMO93090</t>
  </si>
  <si>
    <t>MMO96020</t>
  </si>
  <si>
    <t>MMO960</t>
  </si>
  <si>
    <t>MMO96090</t>
  </si>
  <si>
    <t>MMOAME10</t>
  </si>
  <si>
    <t>MMOAME</t>
  </si>
  <si>
    <t>MMODAL10</t>
  </si>
  <si>
    <t>MMODAL</t>
  </si>
  <si>
    <t>MMODAY10</t>
  </si>
  <si>
    <t>MMODAY</t>
  </si>
  <si>
    <t>MMODCO10</t>
  </si>
  <si>
    <t>MMODCO</t>
  </si>
  <si>
    <t>MMODDI10</t>
  </si>
  <si>
    <t>MMODDI</t>
  </si>
  <si>
    <t>MMODDI30</t>
  </si>
  <si>
    <t>MMODFE10</t>
  </si>
  <si>
    <t>MMODFE</t>
  </si>
  <si>
    <t>MMODFE20</t>
  </si>
  <si>
    <t>MMOEMT10</t>
  </si>
  <si>
    <t>MMOEMT</t>
  </si>
  <si>
    <t>MMOHED01</t>
  </si>
  <si>
    <t>MMOHED</t>
  </si>
  <si>
    <t>MMOHED10</t>
  </si>
  <si>
    <t>MMOHED11</t>
  </si>
  <si>
    <t>MMOHED20</t>
  </si>
  <si>
    <t>MMOHED25</t>
  </si>
  <si>
    <t>MMOHED30</t>
  </si>
  <si>
    <t>MMOHED35</t>
  </si>
  <si>
    <t>MMOHED40</t>
  </si>
  <si>
    <t>MMOHED42</t>
  </si>
  <si>
    <t>MMOHED50</t>
  </si>
  <si>
    <t>MMOHED54</t>
  </si>
  <si>
    <t>MMOHED55</t>
  </si>
  <si>
    <t>MMOHED56</t>
  </si>
  <si>
    <t>MMOHED60</t>
  </si>
  <si>
    <t>MMOHED64</t>
  </si>
  <si>
    <t>MMOHED65</t>
  </si>
  <si>
    <t>MMOHED70</t>
  </si>
  <si>
    <t>MMOHED80</t>
  </si>
  <si>
    <t>MMOHED89</t>
  </si>
  <si>
    <t>MMOHED90</t>
  </si>
  <si>
    <t>MMOHED91</t>
  </si>
  <si>
    <t>MMOHED93</t>
  </si>
  <si>
    <t>MMOHED94</t>
  </si>
  <si>
    <t>MMOHED95</t>
  </si>
  <si>
    <t>MMOHED96</t>
  </si>
  <si>
    <t>MMOHED97</t>
  </si>
  <si>
    <t>MMOHED98</t>
  </si>
  <si>
    <t>MMOLGE10</t>
  </si>
  <si>
    <t>MMOLGE</t>
  </si>
  <si>
    <t>MMOLOG10</t>
  </si>
  <si>
    <t>MMOLOG</t>
  </si>
  <si>
    <t>MMOLOG20</t>
  </si>
  <si>
    <t>MMOLOG30</t>
  </si>
  <si>
    <t>MMOMAA20</t>
  </si>
  <si>
    <t>MMOMAA</t>
  </si>
  <si>
    <t>MMOMAT01</t>
  </si>
  <si>
    <t>MMOMAT</t>
  </si>
  <si>
    <t>MMOMAT02</t>
  </si>
  <si>
    <t>MMOMAT05</t>
  </si>
  <si>
    <t>MMOMAT10</t>
  </si>
  <si>
    <t>MMOMAT11</t>
  </si>
  <si>
    <t>MMOMAT12</t>
  </si>
  <si>
    <t>MMOMAT20</t>
  </si>
  <si>
    <t>MMOMAT21</t>
  </si>
  <si>
    <t>MMOMAT30</t>
  </si>
  <si>
    <t>MMOMAT50</t>
  </si>
  <si>
    <t>MMOMAT60</t>
  </si>
  <si>
    <t>MMOMAT70</t>
  </si>
  <si>
    <t>MMOMAT80</t>
  </si>
  <si>
    <t>MMOMAT85</t>
  </si>
  <si>
    <t>MMOMAT90</t>
  </si>
  <si>
    <t>MMOMAT91</t>
  </si>
  <si>
    <t>MMOMAT95</t>
  </si>
  <si>
    <t>MMOMATA1</t>
  </si>
  <si>
    <t>MMONET10</t>
  </si>
  <si>
    <t>MMONET</t>
  </si>
  <si>
    <t>MMONET20</t>
  </si>
  <si>
    <t>MMOOPE01</t>
  </si>
  <si>
    <t>MMOOPE</t>
  </si>
  <si>
    <t>MMOOPE02</t>
  </si>
  <si>
    <t>MMOOPE03</t>
  </si>
  <si>
    <t>MMOOPE04</t>
  </si>
  <si>
    <t>MMOOPE06</t>
  </si>
  <si>
    <t>MMOOPE10</t>
  </si>
  <si>
    <t>MMOOPE11</t>
  </si>
  <si>
    <t>MMOOPE15</t>
  </si>
  <si>
    <t>MMOOPE20</t>
  </si>
  <si>
    <t>MMOOPE30</t>
  </si>
  <si>
    <t>MMOOPE35</t>
  </si>
  <si>
    <t>MMOOPE40</t>
  </si>
  <si>
    <t>MMOOPE45</t>
  </si>
  <si>
    <t>MMOOPE50</t>
  </si>
  <si>
    <t>MMOOPE55</t>
  </si>
  <si>
    <t>MMOOPE57</t>
  </si>
  <si>
    <t>MMOOPE60</t>
  </si>
  <si>
    <t>MMOOPE67</t>
  </si>
  <si>
    <t>MMOOPE70</t>
  </si>
  <si>
    <t>MMOOPE71</t>
  </si>
  <si>
    <t>MMOOPE75</t>
  </si>
  <si>
    <t>MMOOPE80</t>
  </si>
  <si>
    <t>MMOOPE85</t>
  </si>
  <si>
    <t>MMOOPE90</t>
  </si>
  <si>
    <t>MMOOPE91</t>
  </si>
  <si>
    <t>MMOOPE92</t>
  </si>
  <si>
    <t>MMOOPE95</t>
  </si>
  <si>
    <t>MMOOPL20</t>
  </si>
  <si>
    <t>MMOOPL</t>
  </si>
  <si>
    <t>MMOOPS01</t>
  </si>
  <si>
    <t>MMOOPS</t>
  </si>
  <si>
    <t>MMOOPS10</t>
  </si>
  <si>
    <t>MMOOPS12</t>
  </si>
  <si>
    <t>MMOOPS20</t>
  </si>
  <si>
    <t>MMOOPS30</t>
  </si>
  <si>
    <t>MMOOPS40</t>
  </si>
  <si>
    <t>MMOOPS45</t>
  </si>
  <si>
    <t>MMOOPS50</t>
  </si>
  <si>
    <t>MMOOPS60</t>
  </si>
  <si>
    <t>MMOPLP10</t>
  </si>
  <si>
    <t>MMOPLP</t>
  </si>
  <si>
    <t>MMOPLP20</t>
  </si>
  <si>
    <t>MMOPLP30</t>
  </si>
  <si>
    <t>MMOPLP31</t>
  </si>
  <si>
    <t>MMOPLP40</t>
  </si>
  <si>
    <t>MMOPLP50</t>
  </si>
  <si>
    <t>MMOPLP60</t>
  </si>
  <si>
    <t>MMOPLP70</t>
  </si>
  <si>
    <t>MMOPLP80</t>
  </si>
  <si>
    <t>MMOPLP85</t>
  </si>
  <si>
    <t>MMOPLP90</t>
  </si>
  <si>
    <t>MMOPLP95</t>
  </si>
  <si>
    <t>MMOPLP96</t>
  </si>
  <si>
    <t>MMOPLX40</t>
  </si>
  <si>
    <t>MMOPLX</t>
  </si>
  <si>
    <t>MMOPMA10</t>
  </si>
  <si>
    <t>MMOPMA</t>
  </si>
  <si>
    <t>MMOPMA30</t>
  </si>
  <si>
    <t>MMOPPO10</t>
  </si>
  <si>
    <t>MMOPPO</t>
  </si>
  <si>
    <t>MMOPPO20</t>
  </si>
  <si>
    <t>MMOPPO30</t>
  </si>
  <si>
    <t>MMOPTR01</t>
  </si>
  <si>
    <t>MMOPTR</t>
  </si>
  <si>
    <t>MMOPTR15</t>
  </si>
  <si>
    <t>MMOPTR16</t>
  </si>
  <si>
    <t>MMOPTR20</t>
  </si>
  <si>
    <t>MMOPTR25</t>
  </si>
  <si>
    <t>MMOPTR30</t>
  </si>
  <si>
    <t>MMOPTR40</t>
  </si>
  <si>
    <t>MMOPTR45</t>
  </si>
  <si>
    <t>MMOPTR50</t>
  </si>
  <si>
    <t>MMOPTR56</t>
  </si>
  <si>
    <t>MMOPTR60</t>
  </si>
  <si>
    <t>MMOPTR61</t>
  </si>
  <si>
    <t>MMOPTR62</t>
  </si>
  <si>
    <t>MMOPTR65</t>
  </si>
  <si>
    <t>MMOPTR66</t>
  </si>
  <si>
    <t>MMOPTR70</t>
  </si>
  <si>
    <t>MMOPTR71</t>
  </si>
  <si>
    <t>MMOPTR72</t>
  </si>
  <si>
    <t>MMOPTR74</t>
  </si>
  <si>
    <t>MMOPTR75</t>
  </si>
  <si>
    <t>MMOPTR76</t>
  </si>
  <si>
    <t>MMOPTR77</t>
  </si>
  <si>
    <t>MMOPTR78</t>
  </si>
  <si>
    <t>MMOPTR79</t>
  </si>
  <si>
    <t>MMOPTR80</t>
  </si>
  <si>
    <t>MMOPTR81</t>
  </si>
  <si>
    <t>MMOPTR91</t>
  </si>
  <si>
    <t>MMOPTR92</t>
  </si>
  <si>
    <t>MMOPTR93</t>
  </si>
  <si>
    <t>MMORID10</t>
  </si>
  <si>
    <t>MMORID</t>
  </si>
  <si>
    <t>MMOSER10</t>
  </si>
  <si>
    <t>MMOSER</t>
  </si>
  <si>
    <t>MMOSER20</t>
  </si>
  <si>
    <t>MMOSER21</t>
  </si>
  <si>
    <t>MMOSER22</t>
  </si>
  <si>
    <t>MMOSER30</t>
  </si>
  <si>
    <t>MMOTOP10</t>
  </si>
  <si>
    <t>MMOTOP</t>
  </si>
  <si>
    <t>MMOWSO10</t>
  </si>
  <si>
    <t>MMOWSO</t>
  </si>
  <si>
    <t>MMOWST10</t>
  </si>
  <si>
    <t>MMOWST</t>
  </si>
  <si>
    <t>MMOWST90</t>
  </si>
  <si>
    <t>MMOWSV10</t>
  </si>
  <si>
    <t>MMOWSV</t>
  </si>
  <si>
    <t>MMOWSV20</t>
  </si>
  <si>
    <t>MMPDRA10</t>
  </si>
  <si>
    <t>MMPDRA</t>
  </si>
  <si>
    <t>MMPDRA20</t>
  </si>
  <si>
    <t>MMPMAT05</t>
  </si>
  <si>
    <t>MMPMAT</t>
  </si>
  <si>
    <t>MMPMAT10</t>
  </si>
  <si>
    <t>MMPMAT11</t>
  </si>
  <si>
    <t>MMPMAT20</t>
  </si>
  <si>
    <t>MMPMAT30</t>
  </si>
  <si>
    <t>MMPMAT40</t>
  </si>
  <si>
    <t>MMPMAT60</t>
  </si>
  <si>
    <t>MMPMAT91</t>
  </si>
  <si>
    <t>MMPOPE01</t>
  </si>
  <si>
    <t>MMPOPE</t>
  </si>
  <si>
    <t>MMPOPE10</t>
  </si>
  <si>
    <t>MMPOPE11</t>
  </si>
  <si>
    <t>MMPOPE15</t>
  </si>
  <si>
    <t>MMPOPE20</t>
  </si>
  <si>
    <t>MMPOPE30</t>
  </si>
  <si>
    <t>MMPOPE35</t>
  </si>
  <si>
    <t>MMPOPE40</t>
  </si>
  <si>
    <t>MMPOPE45</t>
  </si>
  <si>
    <t>MMPOPE50</t>
  </si>
  <si>
    <t>MMPOPE67</t>
  </si>
  <si>
    <t>MMPOPE70</t>
  </si>
  <si>
    <t>MMPOPE80</t>
  </si>
  <si>
    <t>MMPOPE85</t>
  </si>
  <si>
    <t>MMPOPE90</t>
  </si>
  <si>
    <t>MMPOPE91</t>
  </si>
  <si>
    <t>MMPOPS10</t>
  </si>
  <si>
    <t>MMPOPS</t>
  </si>
  <si>
    <t>MMPOPS12</t>
  </si>
  <si>
    <t>MMPOPS40</t>
  </si>
  <si>
    <t>MMQIRS01</t>
  </si>
  <si>
    <t>MMQIRS</t>
  </si>
  <si>
    <t>MMQIRS10</t>
  </si>
  <si>
    <t>MMRREM10</t>
  </si>
  <si>
    <t>MMRREM</t>
  </si>
  <si>
    <t>MMSTDE01</t>
  </si>
  <si>
    <t>MMSTDE</t>
  </si>
  <si>
    <t>MMSTDE10</t>
  </si>
  <si>
    <t>MMSTFI10</t>
  </si>
  <si>
    <t>MMSTFI</t>
  </si>
  <si>
    <t>MMSVAD10</t>
  </si>
  <si>
    <t>MMSVAD</t>
  </si>
  <si>
    <t>MMSVAH10</t>
  </si>
  <si>
    <t>MMSVAH</t>
  </si>
  <si>
    <t>MMTOTR10</t>
  </si>
  <si>
    <t>MMTOTR</t>
  </si>
  <si>
    <t>MMTOTR20</t>
  </si>
  <si>
    <t>MMTOTR30</t>
  </si>
  <si>
    <t>MMTPLP10</t>
  </si>
  <si>
    <t>MMTPLP</t>
  </si>
  <si>
    <t>MMTPLP30</t>
  </si>
  <si>
    <t>MMTTAB10</t>
  </si>
  <si>
    <t>MMTTAB</t>
  </si>
  <si>
    <t>MMW15010</t>
  </si>
  <si>
    <t>MMW150</t>
  </si>
  <si>
    <t>MMW20010</t>
  </si>
  <si>
    <t>MMW200</t>
  </si>
  <si>
    <t>MMW30110</t>
  </si>
  <si>
    <t>MMW301</t>
  </si>
  <si>
    <t>MMW41010</t>
  </si>
  <si>
    <t>MMW410</t>
  </si>
  <si>
    <t>MMW41020</t>
  </si>
  <si>
    <t>MMW41030</t>
  </si>
  <si>
    <t>MMW41040</t>
  </si>
  <si>
    <t>MMW41110</t>
  </si>
  <si>
    <t>MMW411</t>
  </si>
  <si>
    <t>MMW41120</t>
  </si>
  <si>
    <t>MMW42010</t>
  </si>
  <si>
    <t>MMW420</t>
  </si>
  <si>
    <t>MMW42020</t>
  </si>
  <si>
    <t>MMW42030</t>
  </si>
  <si>
    <t>MMW42040</t>
  </si>
  <si>
    <t>MMW42050</t>
  </si>
  <si>
    <t>MMW42060</t>
  </si>
  <si>
    <t>MMW42070</t>
  </si>
  <si>
    <t>MMW42080</t>
  </si>
  <si>
    <t>MMW42310</t>
  </si>
  <si>
    <t>MMW42320</t>
  </si>
  <si>
    <t>MMW42330</t>
  </si>
  <si>
    <t>MMW42340</t>
  </si>
  <si>
    <t>MMW42350</t>
  </si>
  <si>
    <t>MMW42360</t>
  </si>
  <si>
    <t>MMW42810</t>
  </si>
  <si>
    <t>MMW428</t>
  </si>
  <si>
    <t>MMW42820</t>
  </si>
  <si>
    <t>MMW42830</t>
  </si>
  <si>
    <t>MMW42840</t>
  </si>
  <si>
    <t>MMW44210</t>
  </si>
  <si>
    <t>MMW442</t>
  </si>
  <si>
    <t>MMW44220</t>
  </si>
  <si>
    <t>MMW48510</t>
  </si>
  <si>
    <t>MMW485</t>
  </si>
  <si>
    <t>MMW48520</t>
  </si>
  <si>
    <t>MMW64010</t>
  </si>
  <si>
    <t>MMW640</t>
  </si>
  <si>
    <t>MMW64210</t>
  </si>
  <si>
    <t>MMW642</t>
  </si>
  <si>
    <t>MMW64220</t>
  </si>
  <si>
    <t>MMW64230</t>
  </si>
  <si>
    <t>MMW64310</t>
  </si>
  <si>
    <t>MMW643</t>
  </si>
  <si>
    <t>MMW91010</t>
  </si>
  <si>
    <t>MMW910</t>
  </si>
  <si>
    <t>MMW91090</t>
  </si>
  <si>
    <t>MMW97110</t>
  </si>
  <si>
    <t>MMW971</t>
  </si>
  <si>
    <t>MMW97120</t>
  </si>
  <si>
    <t>MMW97190</t>
  </si>
  <si>
    <t>MMW97210</t>
  </si>
  <si>
    <t>MMW972</t>
  </si>
  <si>
    <t>MMW97290</t>
  </si>
  <si>
    <t>MMW97310</t>
  </si>
  <si>
    <t>MMW973</t>
  </si>
  <si>
    <t>MMW97390</t>
  </si>
  <si>
    <t>MMW97410</t>
  </si>
  <si>
    <t>MMW974</t>
  </si>
  <si>
    <t>MMW97490</t>
  </si>
  <si>
    <t>MMW97510</t>
  </si>
  <si>
    <t>MMW975</t>
  </si>
  <si>
    <t>MMW97590</t>
  </si>
  <si>
    <t>MMW97610</t>
  </si>
  <si>
    <t>MMW976</t>
  </si>
  <si>
    <t>MMW97690</t>
  </si>
  <si>
    <t>MMWCRZ10</t>
  </si>
  <si>
    <t>MMWCRZ</t>
  </si>
  <si>
    <t>MMXHED10</t>
  </si>
  <si>
    <t>MMXHED</t>
  </si>
  <si>
    <t>MMXHED11</t>
  </si>
  <si>
    <t>MMXOPE10</t>
  </si>
  <si>
    <t>MMXOPE</t>
  </si>
  <si>
    <t>MMXOPE11</t>
  </si>
  <si>
    <t>MNOMAS10</t>
  </si>
  <si>
    <t>MNOMAS</t>
  </si>
  <si>
    <t>MOADDR10</t>
  </si>
  <si>
    <t>MOADDR</t>
  </si>
  <si>
    <t>MOADDR20</t>
  </si>
  <si>
    <t>MOADDR30</t>
  </si>
  <si>
    <t>MOASCO10</t>
  </si>
  <si>
    <t>MOASCO</t>
  </si>
  <si>
    <t>MOASCO20</t>
  </si>
  <si>
    <t>MOATTH10</t>
  </si>
  <si>
    <t>MOATTH</t>
  </si>
  <si>
    <t>MOATTR01</t>
  </si>
  <si>
    <t>MOATTR</t>
  </si>
  <si>
    <t>MOATTR20</t>
  </si>
  <si>
    <t>MOATTR25</t>
  </si>
  <si>
    <t>MOATTR26</t>
  </si>
  <si>
    <t>MOATTR30</t>
  </si>
  <si>
    <t>MOATTR40</t>
  </si>
  <si>
    <t>MOATTR50</t>
  </si>
  <si>
    <t>MOATTR60</t>
  </si>
  <si>
    <t>MOATTR65</t>
  </si>
  <si>
    <t>MOATTR70</t>
  </si>
  <si>
    <t>MOATTR80</t>
  </si>
  <si>
    <t>MOATTR90</t>
  </si>
  <si>
    <t>MOATTR95</t>
  </si>
  <si>
    <t>MOCESE10</t>
  </si>
  <si>
    <t>MOCESE</t>
  </si>
  <si>
    <t>MOCHPN10</t>
  </si>
  <si>
    <t>MOCHPN</t>
  </si>
  <si>
    <t>MOCHPN20</t>
  </si>
  <si>
    <t>MOCHPN30</t>
  </si>
  <si>
    <t>MODACT10</t>
  </si>
  <si>
    <t>MODACT</t>
  </si>
  <si>
    <t>MODACT20</t>
  </si>
  <si>
    <t>MODACT30</t>
  </si>
  <si>
    <t>MODACT40</t>
  </si>
  <si>
    <t>MODORE10</t>
  </si>
  <si>
    <t>MODORE</t>
  </si>
  <si>
    <t>MODORE20</t>
  </si>
  <si>
    <t>MOFACI10</t>
  </si>
  <si>
    <t>MOFACI</t>
  </si>
  <si>
    <t>MOHEAD02</t>
  </si>
  <si>
    <t>MOHEAD</t>
  </si>
  <si>
    <t>MOHEAD10</t>
  </si>
  <si>
    <t>MOHEAD20</t>
  </si>
  <si>
    <t>MOHEAD30</t>
  </si>
  <si>
    <t>MOHEAD40</t>
  </si>
  <si>
    <t>MOHEAD50</t>
  </si>
  <si>
    <t>MOHEAD60</t>
  </si>
  <si>
    <t>MOHEAD70</t>
  </si>
  <si>
    <t>MOHEAD80</t>
  </si>
  <si>
    <t>MOHEAR10</t>
  </si>
  <si>
    <t>MOHEAR</t>
  </si>
  <si>
    <t>MOLINE10</t>
  </si>
  <si>
    <t>MOLINE</t>
  </si>
  <si>
    <t>MOLINE20</t>
  </si>
  <si>
    <t>MOLINE30</t>
  </si>
  <si>
    <t>MOMPGE10</t>
  </si>
  <si>
    <t>MOMPGE</t>
  </si>
  <si>
    <t>MOMPGL10</t>
  </si>
  <si>
    <t>MOMPGL</t>
  </si>
  <si>
    <t>MOMPGL20</t>
  </si>
  <si>
    <t>MOMPGL30</t>
  </si>
  <si>
    <t>MOMPGM10</t>
  </si>
  <si>
    <t>MOMPGM</t>
  </si>
  <si>
    <t>MOMPGM20</t>
  </si>
  <si>
    <t>MOMPGR01</t>
  </si>
  <si>
    <t>MOMPGR</t>
  </si>
  <si>
    <t>MOMPGR02</t>
  </si>
  <si>
    <t>MOMPGR10</t>
  </si>
  <si>
    <t>MOMPGR20</t>
  </si>
  <si>
    <t>MOMPGS10</t>
  </si>
  <si>
    <t>MOMPGS</t>
  </si>
  <si>
    <t>MOMPGS20</t>
  </si>
  <si>
    <t>MOMWHL10</t>
  </si>
  <si>
    <t>MOMWHL</t>
  </si>
  <si>
    <t>MOOPGM10</t>
  </si>
  <si>
    <t>MOOPGM</t>
  </si>
  <si>
    <t>MOOPPL10</t>
  </si>
  <si>
    <t>MOOPPL</t>
  </si>
  <si>
    <t>MOOPPL20</t>
  </si>
  <si>
    <t>MOOPPS10</t>
  </si>
  <si>
    <t>MOOPPS</t>
  </si>
  <si>
    <t>MOOPPS20</t>
  </si>
  <si>
    <t>MOPERM10</t>
  </si>
  <si>
    <t>MOPERM</t>
  </si>
  <si>
    <t>MOSCRQ10</t>
  </si>
  <si>
    <t>MOSCRQ</t>
  </si>
  <si>
    <t>MOSEDT10</t>
  </si>
  <si>
    <t>MOSEDT</t>
  </si>
  <si>
    <t>MOSEPR10</t>
  </si>
  <si>
    <t>MOSEPR</t>
  </si>
  <si>
    <t>MOTOOL05</t>
  </si>
  <si>
    <t>MOTOOL</t>
  </si>
  <si>
    <t>MOTOOL10</t>
  </si>
  <si>
    <t>MOTOOL15</t>
  </si>
  <si>
    <t>MOTOOL20</t>
  </si>
  <si>
    <t>MOTOOL25</t>
  </si>
  <si>
    <t>MPACIL10</t>
  </si>
  <si>
    <t>MPACIL</t>
  </si>
  <si>
    <t>MPACIT10</t>
  </si>
  <si>
    <t>MPACIT20</t>
  </si>
  <si>
    <t>MPACIT30</t>
  </si>
  <si>
    <t>MPACIT40</t>
  </si>
  <si>
    <t>MPAGRB10</t>
  </si>
  <si>
    <t>MPAGRB</t>
  </si>
  <si>
    <t>MPAGRE10</t>
  </si>
  <si>
    <t>MPAGRE</t>
  </si>
  <si>
    <t>MPAGRF10</t>
  </si>
  <si>
    <t>MPAGRF</t>
  </si>
  <si>
    <t>MPAGRH10</t>
  </si>
  <si>
    <t>MPAGRH</t>
  </si>
  <si>
    <t>MPAGRH20</t>
  </si>
  <si>
    <t>MPAGRH30</t>
  </si>
  <si>
    <t>MPAGRH40</t>
  </si>
  <si>
    <t>MPAGRH50</t>
  </si>
  <si>
    <t>MPAGRH60</t>
  </si>
  <si>
    <t>MPAGRH70</t>
  </si>
  <si>
    <t>MPAGRL10</t>
  </si>
  <si>
    <t>MPAGRL</t>
  </si>
  <si>
    <t>MPAGRL20</t>
  </si>
  <si>
    <t>MPAGRL30</t>
  </si>
  <si>
    <t>MPAGRL40</t>
  </si>
  <si>
    <t>MPAGRL50</t>
  </si>
  <si>
    <t>MPAGRL60</t>
  </si>
  <si>
    <t>MPAGRP30</t>
  </si>
  <si>
    <t>MPAGRP</t>
  </si>
  <si>
    <t>MPAGRS10</t>
  </si>
  <si>
    <t>MPAGRS</t>
  </si>
  <si>
    <t>MPAGRS20</t>
  </si>
  <si>
    <t>MPAGRS30</t>
  </si>
  <si>
    <t>MPAPMA10</t>
  </si>
  <si>
    <t>MPAPMA</t>
  </si>
  <si>
    <t>MPAPMA20</t>
  </si>
  <si>
    <t>MPAUTD10</t>
  </si>
  <si>
    <t>MPAUTD20</t>
  </si>
  <si>
    <t>MPAUTW10</t>
  </si>
  <si>
    <t>MPAUTW</t>
  </si>
  <si>
    <t>MPAUTW20</t>
  </si>
  <si>
    <t>MPC25010</t>
  </si>
  <si>
    <t>MPC250</t>
  </si>
  <si>
    <t>MPC30400</t>
  </si>
  <si>
    <t>MPC304</t>
  </si>
  <si>
    <t>MPC44100</t>
  </si>
  <si>
    <t>MPC441</t>
  </si>
  <si>
    <t>MPC45100</t>
  </si>
  <si>
    <t>MPC451</t>
  </si>
  <si>
    <t>MPC45200</t>
  </si>
  <si>
    <t>MPC452</t>
  </si>
  <si>
    <t>MPC46100</t>
  </si>
  <si>
    <t>MPC461</t>
  </si>
  <si>
    <t>MPC46200</t>
  </si>
  <si>
    <t>MPC462</t>
  </si>
  <si>
    <t>MPC47100</t>
  </si>
  <si>
    <t>MPC471</t>
  </si>
  <si>
    <t>MPCCDF10</t>
  </si>
  <si>
    <t>MPCCID10</t>
  </si>
  <si>
    <t>MPCELE10</t>
  </si>
  <si>
    <t>MPCELE20</t>
  </si>
  <si>
    <t>MPCELE30</t>
  </si>
  <si>
    <t>MPCELN10</t>
  </si>
  <si>
    <t>MPCELN</t>
  </si>
  <si>
    <t>MPCKLG10</t>
  </si>
  <si>
    <t>MPCKLG</t>
  </si>
  <si>
    <t>MPCKLG20</t>
  </si>
  <si>
    <t>MPCKLT10</t>
  </si>
  <si>
    <t>MPCKLT</t>
  </si>
  <si>
    <t>MPCKLT20</t>
  </si>
  <si>
    <t>MPCKLT30</t>
  </si>
  <si>
    <t>MPCKLT40</t>
  </si>
  <si>
    <t>MPCLAH10</t>
  </si>
  <si>
    <t>MPCLAH</t>
  </si>
  <si>
    <t>MPCLAH20</t>
  </si>
  <si>
    <t>MPCLAH30</t>
  </si>
  <si>
    <t>MPCLAH40</t>
  </si>
  <si>
    <t>MPCLAH50</t>
  </si>
  <si>
    <t>MPCLAL10</t>
  </si>
  <si>
    <t>MPCLAL</t>
  </si>
  <si>
    <t>MPCLAL20</t>
  </si>
  <si>
    <t>MPCLAL30</t>
  </si>
  <si>
    <t>MPCLAL40</t>
  </si>
  <si>
    <t>MPCLAL50</t>
  </si>
  <si>
    <t>MPCLAL60</t>
  </si>
  <si>
    <t>MPCLAL70</t>
  </si>
  <si>
    <t>MPCMFO10</t>
  </si>
  <si>
    <t>MPCMFO</t>
  </si>
  <si>
    <t>MPCMFO20</t>
  </si>
  <si>
    <t>MPCSDF10</t>
  </si>
  <si>
    <t>MPCSDF</t>
  </si>
  <si>
    <t>MPD00110</t>
  </si>
  <si>
    <t>MPD001</t>
  </si>
  <si>
    <t>MPD00120</t>
  </si>
  <si>
    <t>MPD00130</t>
  </si>
  <si>
    <t>MPD01710</t>
  </si>
  <si>
    <t>MPD017</t>
  </si>
  <si>
    <t>MPD01720</t>
  </si>
  <si>
    <t>MPD017RR</t>
  </si>
  <si>
    <t>MPD01810</t>
  </si>
  <si>
    <t>MPD018</t>
  </si>
  <si>
    <t>MPD06110</t>
  </si>
  <si>
    <t>MPD061</t>
  </si>
  <si>
    <t>MPD07310</t>
  </si>
  <si>
    <t>MPD073</t>
  </si>
  <si>
    <t>MPD10010</t>
  </si>
  <si>
    <t>MPD100</t>
  </si>
  <si>
    <t>MPD10020</t>
  </si>
  <si>
    <t>MPD35D10</t>
  </si>
  <si>
    <t>MPD35D</t>
  </si>
  <si>
    <t>MPD35P10</t>
  </si>
  <si>
    <t>MPD35P</t>
  </si>
  <si>
    <t>MPD35P20</t>
  </si>
  <si>
    <t>MPD60B20</t>
  </si>
  <si>
    <t>MPD60B</t>
  </si>
  <si>
    <t>MPD60C10</t>
  </si>
  <si>
    <t>MPD60C</t>
  </si>
  <si>
    <t>MPD60C20</t>
  </si>
  <si>
    <t>MPD60E20</t>
  </si>
  <si>
    <t>MPD60E</t>
  </si>
  <si>
    <t>MPD60F20</t>
  </si>
  <si>
    <t>MPD60F</t>
  </si>
  <si>
    <t>MPD60O10</t>
  </si>
  <si>
    <t>MPD60O</t>
  </si>
  <si>
    <t>MPD61P00</t>
  </si>
  <si>
    <t>MPD61P</t>
  </si>
  <si>
    <t>MPD91110</t>
  </si>
  <si>
    <t>MPD911</t>
  </si>
  <si>
    <t>MPD91190</t>
  </si>
  <si>
    <t>MPDACT10</t>
  </si>
  <si>
    <t>MPDACT</t>
  </si>
  <si>
    <t>MPDACT20</t>
  </si>
  <si>
    <t>MPDALI10</t>
  </si>
  <si>
    <t>MPDALI</t>
  </si>
  <si>
    <t>MPDCAD01</t>
  </si>
  <si>
    <t>MPDCAD</t>
  </si>
  <si>
    <t>MPDCAP10</t>
  </si>
  <si>
    <t>MPDCAP</t>
  </si>
  <si>
    <t>MPDCD110</t>
  </si>
  <si>
    <t>MPDCD1</t>
  </si>
  <si>
    <t>MPDCD120</t>
  </si>
  <si>
    <t>MPDCD130</t>
  </si>
  <si>
    <t>MPDCDF10</t>
  </si>
  <si>
    <t>MPDCDF</t>
  </si>
  <si>
    <t>MPDCDF20</t>
  </si>
  <si>
    <t>MPDCDF30</t>
  </si>
  <si>
    <t>MPDCDL10</t>
  </si>
  <si>
    <t>MPDCDL</t>
  </si>
  <si>
    <t>MPDCDL20</t>
  </si>
  <si>
    <t>MPDCDL30</t>
  </si>
  <si>
    <t>MPDCDM10</t>
  </si>
  <si>
    <t>MPDCDM</t>
  </si>
  <si>
    <t>MPDCDX10</t>
  </si>
  <si>
    <t>MPDCDX</t>
  </si>
  <si>
    <t>MPDCDX20</t>
  </si>
  <si>
    <t>MPDCHF10</t>
  </si>
  <si>
    <t>MPDCHF</t>
  </si>
  <si>
    <t>MPDCHF15</t>
  </si>
  <si>
    <t>MPDCHF16</t>
  </si>
  <si>
    <t>MPDCHF20</t>
  </si>
  <si>
    <t>MPDCHF30</t>
  </si>
  <si>
    <t>MPDCHF40</t>
  </si>
  <si>
    <t>MPDCHF50</t>
  </si>
  <si>
    <t>MPDCHF60</t>
  </si>
  <si>
    <t>MPDCHF70</t>
  </si>
  <si>
    <t>MPDCHF80</t>
  </si>
  <si>
    <t>MPDCHF85</t>
  </si>
  <si>
    <t>MPDCHG10</t>
  </si>
  <si>
    <t>MPDCHG</t>
  </si>
  <si>
    <t>MPDCPA10</t>
  </si>
  <si>
    <t>MPDCPA</t>
  </si>
  <si>
    <t>MPDCPN10</t>
  </si>
  <si>
    <t>MPDCPN</t>
  </si>
  <si>
    <t>MPDCPN20</t>
  </si>
  <si>
    <t>MPDCPR10</t>
  </si>
  <si>
    <t>MPDCPR</t>
  </si>
  <si>
    <t>MPDCPR20</t>
  </si>
  <si>
    <t>MPDDAL10</t>
  </si>
  <si>
    <t>MPDDAL</t>
  </si>
  <si>
    <t>MPDDAL20</t>
  </si>
  <si>
    <t>MPDDAL30</t>
  </si>
  <si>
    <t>MPDDAL40</t>
  </si>
  <si>
    <t>MPDDIS10</t>
  </si>
  <si>
    <t>MPDDIS</t>
  </si>
  <si>
    <t>MPDDOC10</t>
  </si>
  <si>
    <t>MPDDOC</t>
  </si>
  <si>
    <t>MPDDOC20</t>
  </si>
  <si>
    <t>MPDDOC30</t>
  </si>
  <si>
    <t>MPDDOC40</t>
  </si>
  <si>
    <t>MPDDOC50</t>
  </si>
  <si>
    <t>MPDDOC60</t>
  </si>
  <si>
    <t>MPDDOC70</t>
  </si>
  <si>
    <t>MPDDOC75</t>
  </si>
  <si>
    <t>MPDDOC80</t>
  </si>
  <si>
    <t>MPDDOC90</t>
  </si>
  <si>
    <t>MPDDOC95</t>
  </si>
  <si>
    <t>MPDDOH10</t>
  </si>
  <si>
    <t>MPDDOH</t>
  </si>
  <si>
    <t>MPDDOL10</t>
  </si>
  <si>
    <t>MPDDOL</t>
  </si>
  <si>
    <t>MPDECD10</t>
  </si>
  <si>
    <t>MPDECD</t>
  </si>
  <si>
    <t>MPDECH10</t>
  </si>
  <si>
    <t>MPDECH</t>
  </si>
  <si>
    <t>MPDECH20</t>
  </si>
  <si>
    <t>MPDECH30</t>
  </si>
  <si>
    <t>MPDECL10</t>
  </si>
  <si>
    <t>MPDECL</t>
  </si>
  <si>
    <t>MPDECL11</t>
  </si>
  <si>
    <t>MPDECL12</t>
  </si>
  <si>
    <t>MPDECL20</t>
  </si>
  <si>
    <t>MPDECL30</t>
  </si>
  <si>
    <t>MPDEND10</t>
  </si>
  <si>
    <t>MPDEND</t>
  </si>
  <si>
    <t>MPDEND20</t>
  </si>
  <si>
    <t>MPDEPR10</t>
  </si>
  <si>
    <t>MPDEPR</t>
  </si>
  <si>
    <t>MPDEPR20</t>
  </si>
  <si>
    <t>MPDEPR30</t>
  </si>
  <si>
    <t>MPDEPR40</t>
  </si>
  <si>
    <t>MPDEPR99</t>
  </si>
  <si>
    <t>MPDFDF10</t>
  </si>
  <si>
    <t>MPDFDF</t>
  </si>
  <si>
    <t>MPDFHE10</t>
  </si>
  <si>
    <t>MPDFHE</t>
  </si>
  <si>
    <t>MPDFHE20</t>
  </si>
  <si>
    <t>MPDFHE30</t>
  </si>
  <si>
    <t>MPDFHE50</t>
  </si>
  <si>
    <t>MPDFHL10</t>
  </si>
  <si>
    <t>MPDFHL</t>
  </si>
  <si>
    <t>MPDGDH10</t>
  </si>
  <si>
    <t>MPDGDH</t>
  </si>
  <si>
    <t>MPDGDL10</t>
  </si>
  <si>
    <t>MPDGDL</t>
  </si>
  <si>
    <t>MPDHED01</t>
  </si>
  <si>
    <t>MPDHED</t>
  </si>
  <si>
    <t>MPDHED10</t>
  </si>
  <si>
    <t>MPDHED11</t>
  </si>
  <si>
    <t>MPDHED20</t>
  </si>
  <si>
    <t>MPDHED30</t>
  </si>
  <si>
    <t>MPDHED31</t>
  </si>
  <si>
    <t>MPDHED40</t>
  </si>
  <si>
    <t>MPDHED50</t>
  </si>
  <si>
    <t>MPDHED51</t>
  </si>
  <si>
    <t>MPDHED60</t>
  </si>
  <si>
    <t>MPDHED70</t>
  </si>
  <si>
    <t>MPDHED80</t>
  </si>
  <si>
    <t>MPDHED90</t>
  </si>
  <si>
    <t>MPDMAA10</t>
  </si>
  <si>
    <t>MPDMAA</t>
  </si>
  <si>
    <t>MPDMAP10</t>
  </si>
  <si>
    <t>MPDMAP</t>
  </si>
  <si>
    <t>MPDMAP50</t>
  </si>
  <si>
    <t>MPDMAT01</t>
  </si>
  <si>
    <t>MPDMAT</t>
  </si>
  <si>
    <t>MPDMAT02</t>
  </si>
  <si>
    <t>MPDMAT03</t>
  </si>
  <si>
    <t>MPDMAT05</t>
  </si>
  <si>
    <t>MPDMAT10</t>
  </si>
  <si>
    <t>MPDMAT13</t>
  </si>
  <si>
    <t>MPDMAT20</t>
  </si>
  <si>
    <t>MPDMAT21</t>
  </si>
  <si>
    <t>MPDMAT26</t>
  </si>
  <si>
    <t>MPDMAT30</t>
  </si>
  <si>
    <t>MPDMAT40</t>
  </si>
  <si>
    <t>MPDMAT50</t>
  </si>
  <si>
    <t>MPDMAT60</t>
  </si>
  <si>
    <t>MPDMAT70</t>
  </si>
  <si>
    <t>MPDMAT80</t>
  </si>
  <si>
    <t>MPDMAT90</t>
  </si>
  <si>
    <t>MPDMCO10</t>
  </si>
  <si>
    <t>MPDMCO</t>
  </si>
  <si>
    <t>MPDMCO20</t>
  </si>
  <si>
    <t>MPDMCO30</t>
  </si>
  <si>
    <t>MPDMEA10</t>
  </si>
  <si>
    <t>MPDMEA</t>
  </si>
  <si>
    <t>MPDMEA20</t>
  </si>
  <si>
    <t>MPDMEA50</t>
  </si>
  <si>
    <t>MPDMED10</t>
  </si>
  <si>
    <t>MPDMED</t>
  </si>
  <si>
    <t>MPDMEO10</t>
  </si>
  <si>
    <t>MPDMEO</t>
  </si>
  <si>
    <t>MPDMFD10</t>
  </si>
  <si>
    <t>MPDMFD</t>
  </si>
  <si>
    <t>MPDMFD20</t>
  </si>
  <si>
    <t>MPDMFD30</t>
  </si>
  <si>
    <t>MPDMFD40</t>
  </si>
  <si>
    <t>MPDMFD50</t>
  </si>
  <si>
    <t>MPDMFD60</t>
  </si>
  <si>
    <t>MPDMOV10</t>
  </si>
  <si>
    <t>MPDMOV</t>
  </si>
  <si>
    <t>MPDNAO10</t>
  </si>
  <si>
    <t>MPDNAO</t>
  </si>
  <si>
    <t>MPDNAO20</t>
  </si>
  <si>
    <t>MPDNAO30</t>
  </si>
  <si>
    <t>MPDODS10</t>
  </si>
  <si>
    <t>MPDODS</t>
  </si>
  <si>
    <t>MPDODS20</t>
  </si>
  <si>
    <t>MPDOMA10</t>
  </si>
  <si>
    <t>MPDOMA</t>
  </si>
  <si>
    <t>MPDOMA20</t>
  </si>
  <si>
    <t>MPDOMA30</t>
  </si>
  <si>
    <t>MPDOPA10</t>
  </si>
  <si>
    <t>MPDOPA</t>
  </si>
  <si>
    <t>MPDOPE01</t>
  </si>
  <si>
    <t>MPDOPE</t>
  </si>
  <si>
    <t>MPDOPE02</t>
  </si>
  <si>
    <t>MPDOPE03</t>
  </si>
  <si>
    <t>MPDOPE10</t>
  </si>
  <si>
    <t>MPDOPE20</t>
  </si>
  <si>
    <t>MPDOPE30</t>
  </si>
  <si>
    <t>MPDOPE40</t>
  </si>
  <si>
    <t>MPDOPE50</t>
  </si>
  <si>
    <t>MPDOPE60</t>
  </si>
  <si>
    <t>MPDOPS10</t>
  </si>
  <si>
    <t>MPDOPS</t>
  </si>
  <si>
    <t>MPDOPS20</t>
  </si>
  <si>
    <t>MPDOPS30</t>
  </si>
  <si>
    <t>MPDOPS40</t>
  </si>
  <si>
    <t>MPDOPT10</t>
  </si>
  <si>
    <t>MPDOPT</t>
  </si>
  <si>
    <t>MPDOPT11</t>
  </si>
  <si>
    <t>MPDOUT10</t>
  </si>
  <si>
    <t>MPDOUT</t>
  </si>
  <si>
    <t>MPDOUT20</t>
  </si>
  <si>
    <t>MPDPAP10</t>
  </si>
  <si>
    <t>MPDPAP</t>
  </si>
  <si>
    <t>MPDPMM10</t>
  </si>
  <si>
    <t>MPDPMM</t>
  </si>
  <si>
    <t>MPDPMM20</t>
  </si>
  <si>
    <t>MPDPMM30</t>
  </si>
  <si>
    <t>MPDPMM40</t>
  </si>
  <si>
    <t>MPDPMM50</t>
  </si>
  <si>
    <t>MPDRCO10</t>
  </si>
  <si>
    <t>MPDRCO</t>
  </si>
  <si>
    <t>MPDREL10</t>
  </si>
  <si>
    <t>MPDREL</t>
  </si>
  <si>
    <t>MPDREQ10</t>
  </si>
  <si>
    <t>MPDREQ</t>
  </si>
  <si>
    <t>MPDRER10</t>
  </si>
  <si>
    <t>MPDRER</t>
  </si>
  <si>
    <t>MPDREV10</t>
  </si>
  <si>
    <t>MPDREV</t>
  </si>
  <si>
    <t>MPDSCA10</t>
  </si>
  <si>
    <t>MPDSCA</t>
  </si>
  <si>
    <t>MPDSCA20</t>
  </si>
  <si>
    <t>MPDSCA30</t>
  </si>
  <si>
    <t>MPDSCF02</t>
  </si>
  <si>
    <t>MPDSCF10</t>
  </si>
  <si>
    <t>MPDSCF20</t>
  </si>
  <si>
    <t>MPDSCF30</t>
  </si>
  <si>
    <t>MPDSCF40</t>
  </si>
  <si>
    <t>MPDSCF60</t>
  </si>
  <si>
    <t>MPDSCF70</t>
  </si>
  <si>
    <t>MPDSDM60</t>
  </si>
  <si>
    <t>MPDSDM</t>
  </si>
  <si>
    <t>MPDSHP01</t>
  </si>
  <si>
    <t>MPDSHP</t>
  </si>
  <si>
    <t>MPDSHT10</t>
  </si>
  <si>
    <t>MPDSHT</t>
  </si>
  <si>
    <t>MPDSIH10</t>
  </si>
  <si>
    <t>MPDSIH</t>
  </si>
  <si>
    <t>MPDSIH20</t>
  </si>
  <si>
    <t>MPDSIM01</t>
  </si>
  <si>
    <t>MPDSIM</t>
  </si>
  <si>
    <t>MPDSIM02</t>
  </si>
  <si>
    <t>MPDSIM10</t>
  </si>
  <si>
    <t>MPDSIM20</t>
  </si>
  <si>
    <t>MPDSOP10</t>
  </si>
  <si>
    <t>MPDSOP</t>
  </si>
  <si>
    <t>MPDSOP20</t>
  </si>
  <si>
    <t>MPDSOP30</t>
  </si>
  <si>
    <t>MPDSRC10</t>
  </si>
  <si>
    <t>MPDSRC</t>
  </si>
  <si>
    <t>MPDSRC20</t>
  </si>
  <si>
    <t>MPDSRD10</t>
  </si>
  <si>
    <t>MPDSRD</t>
  </si>
  <si>
    <t>MPDSRE10</t>
  </si>
  <si>
    <t>MPDSRE</t>
  </si>
  <si>
    <t>MPDSRF10</t>
  </si>
  <si>
    <t>MPDSRF</t>
  </si>
  <si>
    <t>MPDSRF11</t>
  </si>
  <si>
    <t>MPDSRF20</t>
  </si>
  <si>
    <t>MPDSRF30</t>
  </si>
  <si>
    <t>MPDSUM00</t>
  </si>
  <si>
    <t>MPDSUM</t>
  </si>
  <si>
    <t>MPDSUM01</t>
  </si>
  <si>
    <t>MPDSUM02</t>
  </si>
  <si>
    <t>MPDSUM10</t>
  </si>
  <si>
    <t>MPDSUM20</t>
  </si>
  <si>
    <t>MPDTRT10</t>
  </si>
  <si>
    <t>MPDTRT</t>
  </si>
  <si>
    <t>MPDTRT20</t>
  </si>
  <si>
    <t>MPDVAN10</t>
  </si>
  <si>
    <t>MPDVAN</t>
  </si>
  <si>
    <t>MPDVAN30</t>
  </si>
  <si>
    <t>MPDVAN40</t>
  </si>
  <si>
    <t>MPDVAN50</t>
  </si>
  <si>
    <t>MPDVAN60</t>
  </si>
  <si>
    <t>MPDVER10</t>
  </si>
  <si>
    <t>MPDVER</t>
  </si>
  <si>
    <t>MPDVOF10</t>
  </si>
  <si>
    <t>MPDVOF</t>
  </si>
  <si>
    <t>MPDVOF20</t>
  </si>
  <si>
    <t>MPDWCM10</t>
  </si>
  <si>
    <t>MPDWCM</t>
  </si>
  <si>
    <t>MPDWCM20</t>
  </si>
  <si>
    <t>MPDWCS10</t>
  </si>
  <si>
    <t>MPDWCS</t>
  </si>
  <si>
    <t>MPDWCS20</t>
  </si>
  <si>
    <t>MPDWCT10</t>
  </si>
  <si>
    <t>MPDWCT</t>
  </si>
  <si>
    <t>MPDWCT20</t>
  </si>
  <si>
    <t>MPDWCT30</t>
  </si>
  <si>
    <t>MPDWCT40</t>
  </si>
  <si>
    <t>MPDWCT50</t>
  </si>
  <si>
    <t>MPDWCT60</t>
  </si>
  <si>
    <t>MPEPRR10</t>
  </si>
  <si>
    <t>MPEPRR20</t>
  </si>
  <si>
    <t>MPEPRR30</t>
  </si>
  <si>
    <t>MPEXOR10</t>
  </si>
  <si>
    <t>MPEXOR</t>
  </si>
  <si>
    <t>MPFAMF10</t>
  </si>
  <si>
    <t>MPFAMF</t>
  </si>
  <si>
    <t>MPFAMF20</t>
  </si>
  <si>
    <t>MPFEHE10</t>
  </si>
  <si>
    <t>MPFEHE</t>
  </si>
  <si>
    <t>MPFEHE20</t>
  </si>
  <si>
    <t>MPFEHE30</t>
  </si>
  <si>
    <t>MPFRPT10</t>
  </si>
  <si>
    <t>MPFRPT</t>
  </si>
  <si>
    <t>MPFRPT20</t>
  </si>
  <si>
    <t>MPFRPT30</t>
  </si>
  <si>
    <t>MPFRPT40</t>
  </si>
  <si>
    <t>MPFRPT50</t>
  </si>
  <si>
    <t>MPGSET10</t>
  </si>
  <si>
    <t>MPGSET</t>
  </si>
  <si>
    <t>MPHEAD10</t>
  </si>
  <si>
    <t>MPHEAD20</t>
  </si>
  <si>
    <t>MPHEAD30</t>
  </si>
  <si>
    <t>MPHEAD40</t>
  </si>
  <si>
    <t>MPHEAD41</t>
  </si>
  <si>
    <t>MPHEAD50</t>
  </si>
  <si>
    <t>MPHEAD60</t>
  </si>
  <si>
    <t>MPHEAD99</t>
  </si>
  <si>
    <t>MPHRAS10</t>
  </si>
  <si>
    <t>MPHRAS</t>
  </si>
  <si>
    <t>MPHRAS20</t>
  </si>
  <si>
    <t>MPHRAS30</t>
  </si>
  <si>
    <t>MPLINC10</t>
  </si>
  <si>
    <t>MPLINC</t>
  </si>
  <si>
    <t>MPLIND10</t>
  </si>
  <si>
    <t>MPLIND20</t>
  </si>
  <si>
    <t>MPLIND30</t>
  </si>
  <si>
    <t>MPLIND40</t>
  </si>
  <si>
    <t>MPLIND50</t>
  </si>
  <si>
    <t>MPLIND60</t>
  </si>
  <si>
    <t>MPLIND70</t>
  </si>
  <si>
    <t>MPLIND80</t>
  </si>
  <si>
    <t>MPLINE05</t>
  </si>
  <si>
    <t>MPLINE06</t>
  </si>
  <si>
    <t>MPLINE10</t>
  </si>
  <si>
    <t>MPLINE15</t>
  </si>
  <si>
    <t>MPLINE20</t>
  </si>
  <si>
    <t>MPLINE25</t>
  </si>
  <si>
    <t>MPLINE30</t>
  </si>
  <si>
    <t>MPLINE40</t>
  </si>
  <si>
    <t>MPLINE41</t>
  </si>
  <si>
    <t>MPLINE42</t>
  </si>
  <si>
    <t>MPLINE43</t>
  </si>
  <si>
    <t>MPLINE44</t>
  </si>
  <si>
    <t>MPLINE45</t>
  </si>
  <si>
    <t>MPLINE46</t>
  </si>
  <si>
    <t>MPLINE50</t>
  </si>
  <si>
    <t>MPLINE55</t>
  </si>
  <si>
    <t>MPLINE56</t>
  </si>
  <si>
    <t>MPLINE57</t>
  </si>
  <si>
    <t>MPLINE60</t>
  </si>
  <si>
    <t>MPLINE61</t>
  </si>
  <si>
    <t>MPLINE70</t>
  </si>
  <si>
    <t>MPLINE80</t>
  </si>
  <si>
    <t>MPLINE81</t>
  </si>
  <si>
    <t>MPLINE82</t>
  </si>
  <si>
    <t>MPLINE83</t>
  </si>
  <si>
    <t>MPLINE85</t>
  </si>
  <si>
    <t>MPLINE86</t>
  </si>
  <si>
    <t>MPLINE87</t>
  </si>
  <si>
    <t>MPLINE90</t>
  </si>
  <si>
    <t>MPLINE91</t>
  </si>
  <si>
    <t>MPLINE99</t>
  </si>
  <si>
    <t>MPLINT81</t>
  </si>
  <si>
    <t>MPLINT</t>
  </si>
  <si>
    <t>MPLIRE10</t>
  </si>
  <si>
    <t>MPLIRE</t>
  </si>
  <si>
    <t>MPLIRE20</t>
  </si>
  <si>
    <t>MPM00110</t>
  </si>
  <si>
    <t>MPM001</t>
  </si>
  <si>
    <t>MPM00130</t>
  </si>
  <si>
    <t>MPM00140</t>
  </si>
  <si>
    <t>MPM00150</t>
  </si>
  <si>
    <t>MPM00520</t>
  </si>
  <si>
    <t>MPM005</t>
  </si>
  <si>
    <t>MPM00590</t>
  </si>
  <si>
    <t>MPM01010</t>
  </si>
  <si>
    <t>MPM010</t>
  </si>
  <si>
    <t>MPM01015</t>
  </si>
  <si>
    <t>MPM01200</t>
  </si>
  <si>
    <t>MPM012</t>
  </si>
  <si>
    <t>MPM01210</t>
  </si>
  <si>
    <t>MPM01300</t>
  </si>
  <si>
    <t>MPM013</t>
  </si>
  <si>
    <t>MPM01310</t>
  </si>
  <si>
    <t>MPM01400</t>
  </si>
  <si>
    <t>MPM014</t>
  </si>
  <si>
    <t>MPM01410</t>
  </si>
  <si>
    <t>MPM01520</t>
  </si>
  <si>
    <t>MPM015</t>
  </si>
  <si>
    <t>MPM01590</t>
  </si>
  <si>
    <t>MPM03520</t>
  </si>
  <si>
    <t>MPM035</t>
  </si>
  <si>
    <t>MPM03590</t>
  </si>
  <si>
    <t>MPM05010</t>
  </si>
  <si>
    <t>MPM050</t>
  </si>
  <si>
    <t>MPM06000</t>
  </si>
  <si>
    <t>MPM060</t>
  </si>
  <si>
    <t>MPM06510</t>
  </si>
  <si>
    <t>MPM065</t>
  </si>
  <si>
    <t>MPM06610</t>
  </si>
  <si>
    <t>MPM066</t>
  </si>
  <si>
    <t>MPM07010</t>
  </si>
  <si>
    <t>MPM070</t>
  </si>
  <si>
    <t>MPM07020</t>
  </si>
  <si>
    <t>MPM14W01</t>
  </si>
  <si>
    <t>MPM14W</t>
  </si>
  <si>
    <t>MPM14W10</t>
  </si>
  <si>
    <t>MPM16010</t>
  </si>
  <si>
    <t>MPM160</t>
  </si>
  <si>
    <t>MPM17010</t>
  </si>
  <si>
    <t>MPM170</t>
  </si>
  <si>
    <t>MPM17210</t>
  </si>
  <si>
    <t>MPM172</t>
  </si>
  <si>
    <t>MPM17220</t>
  </si>
  <si>
    <t>MPM23010</t>
  </si>
  <si>
    <t>MPM230</t>
  </si>
  <si>
    <t>MPM26000</t>
  </si>
  <si>
    <t>MPM260</t>
  </si>
  <si>
    <t>MPM30310</t>
  </si>
  <si>
    <t>MPM303</t>
  </si>
  <si>
    <t>MPM68210</t>
  </si>
  <si>
    <t>MPM682</t>
  </si>
  <si>
    <t>MPM91200</t>
  </si>
  <si>
    <t>MPM912</t>
  </si>
  <si>
    <t>MPM91P00</t>
  </si>
  <si>
    <t>MPM91P</t>
  </si>
  <si>
    <t>MPM93020</t>
  </si>
  <si>
    <t>MPM930</t>
  </si>
  <si>
    <t>MPM93090</t>
  </si>
  <si>
    <t>MPM96020</t>
  </si>
  <si>
    <t>MPM960</t>
  </si>
  <si>
    <t>MPM96090</t>
  </si>
  <si>
    <t>MPMREQ10</t>
  </si>
  <si>
    <t>MPMREQ</t>
  </si>
  <si>
    <t>MPMREQ20</t>
  </si>
  <si>
    <t>MPMREQ21</t>
  </si>
  <si>
    <t>MPMREQ22</t>
  </si>
  <si>
    <t>MPMREQ23</t>
  </si>
  <si>
    <t>MPMREQ24</t>
  </si>
  <si>
    <t>MPMREQ25</t>
  </si>
  <si>
    <t>MPMREQ26</t>
  </si>
  <si>
    <t>MPMREQ27</t>
  </si>
  <si>
    <t>MPMREQ28</t>
  </si>
  <si>
    <t>MPMREQ29</t>
  </si>
  <si>
    <t>MPMREQ40</t>
  </si>
  <si>
    <t>MPMREQ41</t>
  </si>
  <si>
    <t>MPMREQ42</t>
  </si>
  <si>
    <t>MPMREQ43</t>
  </si>
  <si>
    <t>MPMREQ44</t>
  </si>
  <si>
    <t>MPMREQ45</t>
  </si>
  <si>
    <t>MPMREQ46</t>
  </si>
  <si>
    <t>MPMREQ47</t>
  </si>
  <si>
    <t>MPMXID10</t>
  </si>
  <si>
    <t>MPMXID</t>
  </si>
  <si>
    <t>MPMXID20</t>
  </si>
  <si>
    <t>MPMXID30</t>
  </si>
  <si>
    <t>MPMXVA10</t>
  </si>
  <si>
    <t>MPMXVA</t>
  </si>
  <si>
    <t>MPMXVA20</t>
  </si>
  <si>
    <t>MPMXVA30</t>
  </si>
  <si>
    <t>MPMXVA40</t>
  </si>
  <si>
    <t>MPMXVA50</t>
  </si>
  <si>
    <t>MPMXVA60</t>
  </si>
  <si>
    <t>MPODOL10</t>
  </si>
  <si>
    <t>MPODOL</t>
  </si>
  <si>
    <t>MPOEXP10</t>
  </si>
  <si>
    <t>MPOEXP</t>
  </si>
  <si>
    <t>MPOEXP20</t>
  </si>
  <si>
    <t>MPOEXP30</t>
  </si>
  <si>
    <t>MPOEXP40</t>
  </si>
  <si>
    <t>MPOEXX10</t>
  </si>
  <si>
    <t>MPOEXX</t>
  </si>
  <si>
    <t>MPOEXX20</t>
  </si>
  <si>
    <t>MPOEXX30</t>
  </si>
  <si>
    <t>MPOISS10</t>
  </si>
  <si>
    <t>MPOISS</t>
  </si>
  <si>
    <t>MPOPLA10</t>
  </si>
  <si>
    <t>MPOPLA</t>
  </si>
  <si>
    <t>MPOPLA20</t>
  </si>
  <si>
    <t>MPOPLA21</t>
  </si>
  <si>
    <t>MPOPLA22</t>
  </si>
  <si>
    <t>MPOPLA23</t>
  </si>
  <si>
    <t>MPOPLA30</t>
  </si>
  <si>
    <t>MPOPLA50</t>
  </si>
  <si>
    <t>MPOPLA71</t>
  </si>
  <si>
    <t>MPOPLA75</t>
  </si>
  <si>
    <t>MPOPLA76</t>
  </si>
  <si>
    <t>MPOPLA85</t>
  </si>
  <si>
    <t>MPOPLA92</t>
  </si>
  <si>
    <t>MPOPLP10</t>
  </si>
  <si>
    <t>MPOPLP20</t>
  </si>
  <si>
    <t>MPOPLP21</t>
  </si>
  <si>
    <t>MPOPLP22</t>
  </si>
  <si>
    <t>MPOPLP23</t>
  </si>
  <si>
    <t>MPOPLP30</t>
  </si>
  <si>
    <t>MPOPLP40</t>
  </si>
  <si>
    <t>MPOPLP50</t>
  </si>
  <si>
    <t>MPOPLP60</t>
  </si>
  <si>
    <t>MPOPLP61</t>
  </si>
  <si>
    <t>MPOPLP62</t>
  </si>
  <si>
    <t>MPOPLP63</t>
  </si>
  <si>
    <t>MPOPLP64</t>
  </si>
  <si>
    <t>MPOPLP65</t>
  </si>
  <si>
    <t>MPOPLP66</t>
  </si>
  <si>
    <t>MPOPLP67</t>
  </si>
  <si>
    <t>MPOPLP70</t>
  </si>
  <si>
    <t>MPOPLP71</t>
  </si>
  <si>
    <t>MPOPLP72</t>
  </si>
  <si>
    <t>MPOPLP80</t>
  </si>
  <si>
    <t>MPOPLP90</t>
  </si>
  <si>
    <t>MPOPLP91</t>
  </si>
  <si>
    <t>MPOPLP92</t>
  </si>
  <si>
    <t>MPOPLP95</t>
  </si>
  <si>
    <t>MPOREF10</t>
  </si>
  <si>
    <t>MPOREF</t>
  </si>
  <si>
    <t>MPOREF20</t>
  </si>
  <si>
    <t>MPOREF30</t>
  </si>
  <si>
    <t>MPP14510</t>
  </si>
  <si>
    <t>MPP145</t>
  </si>
  <si>
    <t>MPP14520</t>
  </si>
  <si>
    <t>MPP22010</t>
  </si>
  <si>
    <t>MPP220</t>
  </si>
  <si>
    <t>MPP30210</t>
  </si>
  <si>
    <t>MPP302</t>
  </si>
  <si>
    <t>MPP39010</t>
  </si>
  <si>
    <t>MPP390</t>
  </si>
  <si>
    <t>MPP39020</t>
  </si>
  <si>
    <t>MPP47710</t>
  </si>
  <si>
    <t>MPP477</t>
  </si>
  <si>
    <t>MPP47790</t>
  </si>
  <si>
    <t>MPP55610</t>
  </si>
  <si>
    <t>MPP556</t>
  </si>
  <si>
    <t>MPP55620</t>
  </si>
  <si>
    <t>MPP55630</t>
  </si>
  <si>
    <t>MPP60800</t>
  </si>
  <si>
    <t>MPP608</t>
  </si>
  <si>
    <t>MPP63110</t>
  </si>
  <si>
    <t>MPP631</t>
  </si>
  <si>
    <t>MPP97110</t>
  </si>
  <si>
    <t>MPP971</t>
  </si>
  <si>
    <t>MPP97120</t>
  </si>
  <si>
    <t>MPPACH10</t>
  </si>
  <si>
    <t>MPPACH</t>
  </si>
  <si>
    <t>MPPACH20</t>
  </si>
  <si>
    <t>MPPACH30</t>
  </si>
  <si>
    <t>MPPACL10</t>
  </si>
  <si>
    <t>MPPACL</t>
  </si>
  <si>
    <t>MPPACL20</t>
  </si>
  <si>
    <t>MPPACL30</t>
  </si>
  <si>
    <t>MPPEXX10</t>
  </si>
  <si>
    <t>MPPEXX</t>
  </si>
  <si>
    <t>MPPEXX20</t>
  </si>
  <si>
    <t>MPPLSD10</t>
  </si>
  <si>
    <t>MPPLSD</t>
  </si>
  <si>
    <t>MPPOEX10</t>
  </si>
  <si>
    <t>MPPOEX</t>
  </si>
  <si>
    <t>MPPOEX20</t>
  </si>
  <si>
    <t>MPPOEX30</t>
  </si>
  <si>
    <t>MPPQTH10</t>
  </si>
  <si>
    <t>MPPQTH</t>
  </si>
  <si>
    <t>MPPQTH20</t>
  </si>
  <si>
    <t>MPPQTH30</t>
  </si>
  <si>
    <t>MPPQTL10</t>
  </si>
  <si>
    <t>MPPQTL</t>
  </si>
  <si>
    <t>MPQDCA10</t>
  </si>
  <si>
    <t>MPQDCA</t>
  </si>
  <si>
    <t>MPQFUH10</t>
  </si>
  <si>
    <t>MPQFUH</t>
  </si>
  <si>
    <t>MPQFUH20</t>
  </si>
  <si>
    <t>MPREAL10</t>
  </si>
  <si>
    <t>MPREAL</t>
  </si>
  <si>
    <t>MPREAL20</t>
  </si>
  <si>
    <t>MPREAL30</t>
  </si>
  <si>
    <t>MPREAL40</t>
  </si>
  <si>
    <t>MPREAL50</t>
  </si>
  <si>
    <t>MPREAL60</t>
  </si>
  <si>
    <t>MPREAL70</t>
  </si>
  <si>
    <t>MPREAL71</t>
  </si>
  <si>
    <t>MPREAL72</t>
  </si>
  <si>
    <t>MPREAT10</t>
  </si>
  <si>
    <t>MPREAT</t>
  </si>
  <si>
    <t>MPREAT20</t>
  </si>
  <si>
    <t>MPREAT30</t>
  </si>
  <si>
    <t>MPREAT40</t>
  </si>
  <si>
    <t>MPREAT50</t>
  </si>
  <si>
    <t>MPRELO04</t>
  </si>
  <si>
    <t>MPRELO</t>
  </si>
  <si>
    <t>MPRELO10</t>
  </si>
  <si>
    <t>MPRELO11</t>
  </si>
  <si>
    <t>MPRELO20</t>
  </si>
  <si>
    <t>MPRENT10</t>
  </si>
  <si>
    <t>MPRENT</t>
  </si>
  <si>
    <t>MPRETT10</t>
  </si>
  <si>
    <t>MPRFLD10</t>
  </si>
  <si>
    <t>MPRFLD</t>
  </si>
  <si>
    <t>MPRMAT10</t>
  </si>
  <si>
    <t>MPRMAT</t>
  </si>
  <si>
    <t>MPRRCO10</t>
  </si>
  <si>
    <t>MPRRCO</t>
  </si>
  <si>
    <t>MPSPER10</t>
  </si>
  <si>
    <t>MPSPER</t>
  </si>
  <si>
    <t>MPSUAG10</t>
  </si>
  <si>
    <t>MPSUAG</t>
  </si>
  <si>
    <t>MPSUAG20</t>
  </si>
  <si>
    <t>MPSUAG30</t>
  </si>
  <si>
    <t>MPSUAG40</t>
  </si>
  <si>
    <t>MPSUAG50</t>
  </si>
  <si>
    <t>MPSUAG60</t>
  </si>
  <si>
    <t>MPSUAG70</t>
  </si>
  <si>
    <t>MPSUAG80</t>
  </si>
  <si>
    <t>MPSUAG90</t>
  </si>
  <si>
    <t>MPSUAH10</t>
  </si>
  <si>
    <t>MPSUAH</t>
  </si>
  <si>
    <t>MPSUAH20</t>
  </si>
  <si>
    <t>MPSUAS10</t>
  </si>
  <si>
    <t>MPSUAS</t>
  </si>
  <si>
    <t>MPSUAS20</t>
  </si>
  <si>
    <t>MPSUCL10</t>
  </si>
  <si>
    <t>MPSUCL</t>
  </si>
  <si>
    <t>MPSUCL20</t>
  </si>
  <si>
    <t>MPSUML10</t>
  </si>
  <si>
    <t>MPSUML</t>
  </si>
  <si>
    <t>MPSUML20</t>
  </si>
  <si>
    <t>MPSUML30</t>
  </si>
  <si>
    <t>MPSUMX40</t>
  </si>
  <si>
    <t>MPSUMX</t>
  </si>
  <si>
    <t>MPSUMX50</t>
  </si>
  <si>
    <t>MPSUMX90</t>
  </si>
  <si>
    <t>MPSUMX91</t>
  </si>
  <si>
    <t>MPSUMX92</t>
  </si>
  <si>
    <t>MPSUPR10</t>
  </si>
  <si>
    <t>MPSUPR</t>
  </si>
  <si>
    <t>MPSUPR20</t>
  </si>
  <si>
    <t>MPSUPR30</t>
  </si>
  <si>
    <t>MPSUPR40</t>
  </si>
  <si>
    <t>MPSUPR50</t>
  </si>
  <si>
    <t>MPSUPR51</t>
  </si>
  <si>
    <t>MPSUPR60</t>
  </si>
  <si>
    <t>MPSUPR70</t>
  </si>
  <si>
    <t>MPSUPR80</t>
  </si>
  <si>
    <t>MPSUPR90</t>
  </si>
  <si>
    <t>MPSUPS10</t>
  </si>
  <si>
    <t>MPSUPS</t>
  </si>
  <si>
    <t>MPSURL10</t>
  </si>
  <si>
    <t>MPSURL</t>
  </si>
  <si>
    <t>MPSURL20</t>
  </si>
  <si>
    <t>MPSURL30</t>
  </si>
  <si>
    <t>MPSURL40</t>
  </si>
  <si>
    <t>MPSUSC10</t>
  </si>
  <si>
    <t>MPSUSC</t>
  </si>
  <si>
    <t>MPSUTR10</t>
  </si>
  <si>
    <t>MPSUTR</t>
  </si>
  <si>
    <t>MPSUTR20</t>
  </si>
  <si>
    <t>MPSUTR30</t>
  </si>
  <si>
    <t>MPSUTR40</t>
  </si>
  <si>
    <t>MPSUTR41</t>
  </si>
  <si>
    <t>MPSUTR42</t>
  </si>
  <si>
    <t>MPSUTR50</t>
  </si>
  <si>
    <t>MPSUTR51</t>
  </si>
  <si>
    <t>MPSUTR60</t>
  </si>
  <si>
    <t>MPSUTR61</t>
  </si>
  <si>
    <t>MPSUTR62</t>
  </si>
  <si>
    <t>MPSUTR70</t>
  </si>
  <si>
    <t>MPSUTR80</t>
  </si>
  <si>
    <t>MPSUTR90</t>
  </si>
  <si>
    <t>MPSUTR91</t>
  </si>
  <si>
    <t>MPSUTR92</t>
  </si>
  <si>
    <t>MPSWSL10</t>
  </si>
  <si>
    <t>MPSWSL</t>
  </si>
  <si>
    <t>MPTAWY01</t>
  </si>
  <si>
    <t>MPTAWY</t>
  </si>
  <si>
    <t>MPTAWY10</t>
  </si>
  <si>
    <t>MPTAWY11</t>
  </si>
  <si>
    <t>MPTAWY20</t>
  </si>
  <si>
    <t>MPTAWY30</t>
  </si>
  <si>
    <t>MPTAWY40</t>
  </si>
  <si>
    <t>MPTAWY41</t>
  </si>
  <si>
    <t>MPTAWY60</t>
  </si>
  <si>
    <t>MPTAWY70</t>
  </si>
  <si>
    <t>MPTAWY80</t>
  </si>
  <si>
    <t>MPTAWY90</t>
  </si>
  <si>
    <t>MPTAWY91</t>
  </si>
  <si>
    <t>MPTRNS01</t>
  </si>
  <si>
    <t>MPTRNS03</t>
  </si>
  <si>
    <t>MPTRNS05</t>
  </si>
  <si>
    <t>MPTRNS10</t>
  </si>
  <si>
    <t>MPTRNS21</t>
  </si>
  <si>
    <t>MPTRNS22</t>
  </si>
  <si>
    <t>MPTRNS24</t>
  </si>
  <si>
    <t>MPTRNS25</t>
  </si>
  <si>
    <t>MPTRNS26</t>
  </si>
  <si>
    <t>MPTRNS27</t>
  </si>
  <si>
    <t>MPTRNS28</t>
  </si>
  <si>
    <t>MPTRNS40</t>
  </si>
  <si>
    <t>MPTRNS45</t>
  </si>
  <si>
    <t>MPTRNS50</t>
  </si>
  <si>
    <t>MPTRNS70</t>
  </si>
  <si>
    <t>MPTRNS80</t>
  </si>
  <si>
    <t>MPTRNS85</t>
  </si>
  <si>
    <t>MPTRNS86</t>
  </si>
  <si>
    <t>MPTRNS90</t>
  </si>
  <si>
    <t>MPTRNS91</t>
  </si>
  <si>
    <t>MPTRNS92</t>
  </si>
  <si>
    <t>MPURST10</t>
  </si>
  <si>
    <t>MPURST20</t>
  </si>
  <si>
    <t>MPURST21</t>
  </si>
  <si>
    <t>MPURST30</t>
  </si>
  <si>
    <t>MPURST31</t>
  </si>
  <si>
    <t>MPURST40</t>
  </si>
  <si>
    <t>MPURST51</t>
  </si>
  <si>
    <t>MPURST60</t>
  </si>
  <si>
    <t>MPWORE10</t>
  </si>
  <si>
    <t>MPWORE</t>
  </si>
  <si>
    <t>MPWORE20</t>
  </si>
  <si>
    <t>MPWORE30</t>
  </si>
  <si>
    <t>MPWORE40</t>
  </si>
  <si>
    <t>MPXPLP10</t>
  </si>
  <si>
    <t>MPXPLP</t>
  </si>
  <si>
    <t>MQM40010</t>
  </si>
  <si>
    <t>MQM400</t>
  </si>
  <si>
    <t>MQM40020</t>
  </si>
  <si>
    <t>MQM60210</t>
  </si>
  <si>
    <t>MQM602</t>
  </si>
  <si>
    <t>MQM60220</t>
  </si>
  <si>
    <t>MRC60110</t>
  </si>
  <si>
    <t>MRC601</t>
  </si>
  <si>
    <t>MRC95010</t>
  </si>
  <si>
    <t>MRC950</t>
  </si>
  <si>
    <t>MRC95020</t>
  </si>
  <si>
    <t>MRCHED10</t>
  </si>
  <si>
    <t>MRCHED</t>
  </si>
  <si>
    <t>MRCSPE10</t>
  </si>
  <si>
    <t>MRCSPE</t>
  </si>
  <si>
    <t>MRCSPE20</t>
  </si>
  <si>
    <t>MRCSPE30</t>
  </si>
  <si>
    <t>MRCSPE40</t>
  </si>
  <si>
    <t>MRCSPE50</t>
  </si>
  <si>
    <t>MRCSPE60</t>
  </si>
  <si>
    <t>MRCSPE70</t>
  </si>
  <si>
    <t>MRCSUM10</t>
  </si>
  <si>
    <t>MRCSUM</t>
  </si>
  <si>
    <t>MRCSUM20</t>
  </si>
  <si>
    <t>MRCSUM30</t>
  </si>
  <si>
    <t>MRCSUM40</t>
  </si>
  <si>
    <t>MREALO10</t>
  </si>
  <si>
    <t>MREALO</t>
  </si>
  <si>
    <t>MREALO20</t>
  </si>
  <si>
    <t>MREALO30</t>
  </si>
  <si>
    <t>MREALO40</t>
  </si>
  <si>
    <t>MREALO50</t>
  </si>
  <si>
    <t>MREALO60</t>
  </si>
  <si>
    <t>MROABL10</t>
  </si>
  <si>
    <t>MROABL</t>
  </si>
  <si>
    <t>MROABL20</t>
  </si>
  <si>
    <t>MROABL30</t>
  </si>
  <si>
    <t>MROABL40</t>
  </si>
  <si>
    <t>MROABS10</t>
  </si>
  <si>
    <t>MROABS</t>
  </si>
  <si>
    <t>MROCUM10</t>
  </si>
  <si>
    <t>MROCUM</t>
  </si>
  <si>
    <t>MROICL10</t>
  </si>
  <si>
    <t>MROICL</t>
  </si>
  <si>
    <t>MROICL20</t>
  </si>
  <si>
    <t>MROICL30</t>
  </si>
  <si>
    <t>MROICL40</t>
  </si>
  <si>
    <t>MROLOC01</t>
  </si>
  <si>
    <t>MROLOC</t>
  </si>
  <si>
    <t>MROLOC10</t>
  </si>
  <si>
    <t>MROLOC11</t>
  </si>
  <si>
    <t>MROLOC12</t>
  </si>
  <si>
    <t>MROLOC20</t>
  </si>
  <si>
    <t>MROLOC21</t>
  </si>
  <si>
    <t>MROLOC30</t>
  </si>
  <si>
    <t>MROLOC40</t>
  </si>
  <si>
    <t>MROLOC41</t>
  </si>
  <si>
    <t>MROMIN10</t>
  </si>
  <si>
    <t>MROMIN</t>
  </si>
  <si>
    <t>MROMIN11</t>
  </si>
  <si>
    <t>MROMIN20</t>
  </si>
  <si>
    <t>MROMIN30</t>
  </si>
  <si>
    <t>MROMIN40</t>
  </si>
  <si>
    <t>MROMIN50</t>
  </si>
  <si>
    <t>MROMIN60</t>
  </si>
  <si>
    <t>MROMIN70</t>
  </si>
  <si>
    <t>MROMIN80</t>
  </si>
  <si>
    <t>MROMIN90</t>
  </si>
  <si>
    <t>MROMOS10</t>
  </si>
  <si>
    <t>MROMOS</t>
  </si>
  <si>
    <t>MROMOS20</t>
  </si>
  <si>
    <t>MROMOS30</t>
  </si>
  <si>
    <t>MROMOS40</t>
  </si>
  <si>
    <t>MROOPC10</t>
  </si>
  <si>
    <t>MROOPC</t>
  </si>
  <si>
    <t>MROOPC20</t>
  </si>
  <si>
    <t>MROOPC30</t>
  </si>
  <si>
    <t>MROOPC40</t>
  </si>
  <si>
    <t>MROOPC50</t>
  </si>
  <si>
    <t>MROOPM10</t>
  </si>
  <si>
    <t>MROOPM</t>
  </si>
  <si>
    <t>MROOPS10</t>
  </si>
  <si>
    <t>MROOPS</t>
  </si>
  <si>
    <t>MROUHI05</t>
  </si>
  <si>
    <t>MROUHI</t>
  </si>
  <si>
    <t>MROUHI10</t>
  </si>
  <si>
    <t>MROUHI15</t>
  </si>
  <si>
    <t>MROUHI20</t>
  </si>
  <si>
    <t>MROUHI30</t>
  </si>
  <si>
    <t>MROUHI40</t>
  </si>
  <si>
    <t>MROUHI50</t>
  </si>
  <si>
    <t>MROUHI60</t>
  </si>
  <si>
    <t>MROUHI70</t>
  </si>
  <si>
    <t>MROUHI80</t>
  </si>
  <si>
    <t>MROUHI90</t>
  </si>
  <si>
    <t>MRP65100</t>
  </si>
  <si>
    <t>MRP651</t>
  </si>
  <si>
    <t>MRP91190</t>
  </si>
  <si>
    <t>MRP911</t>
  </si>
  <si>
    <t>MRP99910</t>
  </si>
  <si>
    <t>MRP999</t>
  </si>
  <si>
    <t>MRPAME10</t>
  </si>
  <si>
    <t>MRPAME</t>
  </si>
  <si>
    <t>MRPDTH10</t>
  </si>
  <si>
    <t>MRPDTH</t>
  </si>
  <si>
    <t>MRPDTH20</t>
  </si>
  <si>
    <t>MRPDTL10</t>
  </si>
  <si>
    <t>MRPDTL</t>
  </si>
  <si>
    <t>MRPDTL20</t>
  </si>
  <si>
    <t>MRPSIM10</t>
  </si>
  <si>
    <t>MRPSTA10</t>
  </si>
  <si>
    <t>MRPSTA</t>
  </si>
  <si>
    <t>MSCBSS10</t>
  </si>
  <si>
    <t>MSCBSS</t>
  </si>
  <si>
    <t>MSCBSS20</t>
  </si>
  <si>
    <t>MSCDAT10</t>
  </si>
  <si>
    <t>MSCDAT</t>
  </si>
  <si>
    <t>MSCHED10</t>
  </si>
  <si>
    <t>MSCHED</t>
  </si>
  <si>
    <t>MSCITC10</t>
  </si>
  <si>
    <t>MSCITC</t>
  </si>
  <si>
    <t>MSCMDS10</t>
  </si>
  <si>
    <t>MSCMDS</t>
  </si>
  <si>
    <t>MSCMDS20</t>
  </si>
  <si>
    <t>MSCQTY10</t>
  </si>
  <si>
    <t>MSCQTY</t>
  </si>
  <si>
    <t>MSCQTY20</t>
  </si>
  <si>
    <t>MSCREL10</t>
  </si>
  <si>
    <t>MSCREL</t>
  </si>
  <si>
    <t>MSCREL20</t>
  </si>
  <si>
    <t>MSCSAL10</t>
  </si>
  <si>
    <t>MSCSAL</t>
  </si>
  <si>
    <t>MSCSOR10</t>
  </si>
  <si>
    <t>MSCSOR</t>
  </si>
  <si>
    <t>MSCSOR20</t>
  </si>
  <si>
    <t>MSCSOR30</t>
  </si>
  <si>
    <t>MSCSOR40</t>
  </si>
  <si>
    <t>MSCTRA10</t>
  </si>
  <si>
    <t>MSCTRA</t>
  </si>
  <si>
    <t>MSCTRA20</t>
  </si>
  <si>
    <t>MSCTRA30</t>
  </si>
  <si>
    <t>MSCTRA40</t>
  </si>
  <si>
    <t>MSCYOP10</t>
  </si>
  <si>
    <t>MSCYOP</t>
  </si>
  <si>
    <t>MSDCUS10</t>
  </si>
  <si>
    <t>MSDCUS</t>
  </si>
  <si>
    <t>MSDCUS20</t>
  </si>
  <si>
    <t>MSDCUS30</t>
  </si>
  <si>
    <t>MSDPRT10</t>
  </si>
  <si>
    <t>MSDPRT</t>
  </si>
  <si>
    <t>MSDSBU10</t>
  </si>
  <si>
    <t>MSDSBU</t>
  </si>
  <si>
    <t>MSDSHE01</t>
  </si>
  <si>
    <t>MSDSHE</t>
  </si>
  <si>
    <t>MSDSHE10</t>
  </si>
  <si>
    <t>MSDSHE20</t>
  </si>
  <si>
    <t>MSDSTH01</t>
  </si>
  <si>
    <t>MSDSTH</t>
  </si>
  <si>
    <t>MSDSTH10</t>
  </si>
  <si>
    <t>MSDTXH01</t>
  </si>
  <si>
    <t>MSDTXH</t>
  </si>
  <si>
    <t>MSDTXH10</t>
  </si>
  <si>
    <t>MSE90001</t>
  </si>
  <si>
    <t>MSE900</t>
  </si>
  <si>
    <t>MSE90090</t>
  </si>
  <si>
    <t>MSELOC10</t>
  </si>
  <si>
    <t>MSELOC</t>
  </si>
  <si>
    <t>MSELOC20</t>
  </si>
  <si>
    <t>MSELOC40</t>
  </si>
  <si>
    <t>MSELOC50</t>
  </si>
  <si>
    <t>MSPLMX10</t>
  </si>
  <si>
    <t>MSPLMX</t>
  </si>
  <si>
    <t>MSPLMX20</t>
  </si>
  <si>
    <t>MSPLMX50</t>
  </si>
  <si>
    <t>MSTEDE10</t>
  </si>
  <si>
    <t>MSTEDE</t>
  </si>
  <si>
    <t>MSTEDL10</t>
  </si>
  <si>
    <t>MSTEDL</t>
  </si>
  <si>
    <t>MSTEHL10</t>
  </si>
  <si>
    <t>MSTEHL</t>
  </si>
  <si>
    <t>MSTXGE10</t>
  </si>
  <si>
    <t>MSTXGE</t>
  </si>
  <si>
    <t>MSUBCS10</t>
  </si>
  <si>
    <t>MSUBCS</t>
  </si>
  <si>
    <t>MSUBCS20</t>
  </si>
  <si>
    <t>MSUIRF10</t>
  </si>
  <si>
    <t>MSUIRF</t>
  </si>
  <si>
    <t>MSUIRF20</t>
  </si>
  <si>
    <t>MSUIRF30</t>
  </si>
  <si>
    <t>MSUIRW10</t>
  </si>
  <si>
    <t>MSUIRW</t>
  </si>
  <si>
    <t>MSUPFC10</t>
  </si>
  <si>
    <t>MSUPFC</t>
  </si>
  <si>
    <t>MSUPHI10</t>
  </si>
  <si>
    <t>MSUPHI</t>
  </si>
  <si>
    <t>MSUPHI20</t>
  </si>
  <si>
    <t>MSUPHI30</t>
  </si>
  <si>
    <t>MSUPHI50</t>
  </si>
  <si>
    <t>MSYTXH10</t>
  </si>
  <si>
    <t>MTATTR10</t>
  </si>
  <si>
    <t>MTATTR</t>
  </si>
  <si>
    <t>MTATTR20</t>
  </si>
  <si>
    <t>MTEFHS10</t>
  </si>
  <si>
    <t>MTEFHS</t>
  </si>
  <si>
    <t>MTEFHS20</t>
  </si>
  <si>
    <t>MTEFLG10</t>
  </si>
  <si>
    <t>MTEFLG</t>
  </si>
  <si>
    <t>MTEGCN10</t>
  </si>
  <si>
    <t>MTEGCN</t>
  </si>
  <si>
    <t>MTEGCN20</t>
  </si>
  <si>
    <t>MTEINF10</t>
  </si>
  <si>
    <t>MTEINF</t>
  </si>
  <si>
    <t>MTITDE10</t>
  </si>
  <si>
    <t>MTITDE</t>
  </si>
  <si>
    <t>MTITHE10</t>
  </si>
  <si>
    <t>MTITHE</t>
  </si>
  <si>
    <t>MTITHE20</t>
  </si>
  <si>
    <t>MTITHE30</t>
  </si>
  <si>
    <t>MTMABS50</t>
  </si>
  <si>
    <t>MTMABS</t>
  </si>
  <si>
    <t>MTMABT20</t>
  </si>
  <si>
    <t>MTMABT</t>
  </si>
  <si>
    <t>MTMACD20</t>
  </si>
  <si>
    <t>MTMACD</t>
  </si>
  <si>
    <t>MTMAIT10</t>
  </si>
  <si>
    <t>MTMAIT</t>
  </si>
  <si>
    <t>MTMDAB02</t>
  </si>
  <si>
    <t>MTMDAB</t>
  </si>
  <si>
    <t>MTMDAB10</t>
  </si>
  <si>
    <t>MTMDAB20</t>
  </si>
  <si>
    <t>MTMDAB30</t>
  </si>
  <si>
    <t>MTMHS110</t>
  </si>
  <si>
    <t>MTMHS1</t>
  </si>
  <si>
    <t>MTMHS120</t>
  </si>
  <si>
    <t>MTMHS130</t>
  </si>
  <si>
    <t>MTMHS205</t>
  </si>
  <si>
    <t>MTMHS2</t>
  </si>
  <si>
    <t>MTMHS210</t>
  </si>
  <si>
    <t>MTMHS211</t>
  </si>
  <si>
    <t>MTMHS220</t>
  </si>
  <si>
    <t>MTMHS221</t>
  </si>
  <si>
    <t>MTMHS310</t>
  </si>
  <si>
    <t>MTMHS3</t>
  </si>
  <si>
    <t>MTMHS320</t>
  </si>
  <si>
    <t>MTMPBL10</t>
  </si>
  <si>
    <t>MTMPBL</t>
  </si>
  <si>
    <t>MTMPBL20</t>
  </si>
  <si>
    <t>MTMPRE10</t>
  </si>
  <si>
    <t>MTMPRE</t>
  </si>
  <si>
    <t>MTMPRE20</t>
  </si>
  <si>
    <t>MTMPRE30</t>
  </si>
  <si>
    <t>MTMPRE40</t>
  </si>
  <si>
    <t>MTMSEM10</t>
  </si>
  <si>
    <t>MTMSEM</t>
  </si>
  <si>
    <t>MTMSEM20</t>
  </si>
  <si>
    <t>MTMTEM10</t>
  </si>
  <si>
    <t>MTMTEM</t>
  </si>
  <si>
    <t>MTMTMP10</t>
  </si>
  <si>
    <t>MTMTMP</t>
  </si>
  <si>
    <t>MTMTPR10</t>
  </si>
  <si>
    <t>MTMTPR</t>
  </si>
  <si>
    <t>MTMTPR20</t>
  </si>
  <si>
    <t>MTMTPR30</t>
  </si>
  <si>
    <t>MTMTR110</t>
  </si>
  <si>
    <t>MTMTR1</t>
  </si>
  <si>
    <t>MTMTR120</t>
  </si>
  <si>
    <t>MTMTR130</t>
  </si>
  <si>
    <t>MTMTR150</t>
  </si>
  <si>
    <t>MTMTTR05</t>
  </si>
  <si>
    <t>MTMTTR</t>
  </si>
  <si>
    <t>MTMTTR10</t>
  </si>
  <si>
    <t>MTMTTR11</t>
  </si>
  <si>
    <t>MTMTTR20</t>
  </si>
  <si>
    <t>MTMTTR21</t>
  </si>
  <si>
    <t>MTMTTR41</t>
  </si>
  <si>
    <t>MTMTTR70</t>
  </si>
  <si>
    <t>MTMTTY10</t>
  </si>
  <si>
    <t>MTMTTY</t>
  </si>
  <si>
    <t>MTMTTY20</t>
  </si>
  <si>
    <t>MTROLU10</t>
  </si>
  <si>
    <t>MTROLU</t>
  </si>
  <si>
    <t>MTROLU20</t>
  </si>
  <si>
    <t>MTROLU30</t>
  </si>
  <si>
    <t>MTRSUB10</t>
  </si>
  <si>
    <t>MTRSUB</t>
  </si>
  <si>
    <t>MTRSUB20</t>
  </si>
  <si>
    <t>MTSREF10</t>
  </si>
  <si>
    <t>MTSREF</t>
  </si>
  <si>
    <t>MTSREF20</t>
  </si>
  <si>
    <t>MTSRSP10</t>
  </si>
  <si>
    <t>MTSRSP</t>
  </si>
  <si>
    <t>MTUNNA10</t>
  </si>
  <si>
    <t>MTUNNA</t>
  </si>
  <si>
    <t>MTUNNA20</t>
  </si>
  <si>
    <t>MVARDS10</t>
  </si>
  <si>
    <t>MVARDS</t>
  </si>
  <si>
    <t>MVARDS30</t>
  </si>
  <si>
    <t>MVENST10</t>
  </si>
  <si>
    <t>MVENST</t>
  </si>
  <si>
    <t>MVENST20</t>
  </si>
  <si>
    <t>MVXCONGB10</t>
  </si>
  <si>
    <t>MVXMSGGB10</t>
  </si>
  <si>
    <t>MWAROP10</t>
  </si>
  <si>
    <t>MWAROP</t>
  </si>
  <si>
    <t>MWASMG10</t>
  </si>
  <si>
    <t>MWASMG</t>
  </si>
  <si>
    <t>MWASRO10</t>
  </si>
  <si>
    <t>MWASRO</t>
  </si>
  <si>
    <t>MWFRDE10</t>
  </si>
  <si>
    <t>MWFRDE</t>
  </si>
  <si>
    <t>MWFRDO10</t>
  </si>
  <si>
    <t>MWFRDO</t>
  </si>
  <si>
    <t>MWFRSH10</t>
  </si>
  <si>
    <t>MWFRSH</t>
  </si>
  <si>
    <t>MWGRET10</t>
  </si>
  <si>
    <t>MWGRET</t>
  </si>
  <si>
    <t>MWHTAB10</t>
  </si>
  <si>
    <t>MWHTAB</t>
  </si>
  <si>
    <t>MWINSC10</t>
  </si>
  <si>
    <t>MWINSC</t>
  </si>
  <si>
    <t>MWINSC20</t>
  </si>
  <si>
    <t>MWINSH10</t>
  </si>
  <si>
    <t>MWINSH</t>
  </si>
  <si>
    <t>MWINSL10</t>
  </si>
  <si>
    <t>MWINSL</t>
  </si>
  <si>
    <t>MWINSL20</t>
  </si>
  <si>
    <t>MWINSM10</t>
  </si>
  <si>
    <t>MWINSM</t>
  </si>
  <si>
    <t>MWINSP10</t>
  </si>
  <si>
    <t>MWINSP</t>
  </si>
  <si>
    <t>MWINSQ10</t>
  </si>
  <si>
    <t>MWINSQ</t>
  </si>
  <si>
    <t>MWIPLT10</t>
  </si>
  <si>
    <t>MWIPLT</t>
  </si>
  <si>
    <t>MWLEVL10</t>
  </si>
  <si>
    <t>MWLEVL</t>
  </si>
  <si>
    <t>MWLEVL20</t>
  </si>
  <si>
    <t>MWLEVL30</t>
  </si>
  <si>
    <t>MWLEVL40</t>
  </si>
  <si>
    <t>MWLEVL50</t>
  </si>
  <si>
    <t>MWM18110</t>
  </si>
  <si>
    <t>MWM181</t>
  </si>
  <si>
    <t>MWM18120</t>
  </si>
  <si>
    <t>MWM18130</t>
  </si>
  <si>
    <t>MWM18140</t>
  </si>
  <si>
    <t>MWM18150</t>
  </si>
  <si>
    <t>MWM41010</t>
  </si>
  <si>
    <t>MWM410</t>
  </si>
  <si>
    <t>MWM41020</t>
  </si>
  <si>
    <t>MWM41040</t>
  </si>
  <si>
    <t>MWM42210</t>
  </si>
  <si>
    <t>MWM422</t>
  </si>
  <si>
    <t>MWM43610</t>
  </si>
  <si>
    <t>MWM436</t>
  </si>
  <si>
    <t>MWM43620</t>
  </si>
  <si>
    <t>MWM43630</t>
  </si>
  <si>
    <t>MWM44410</t>
  </si>
  <si>
    <t>MWM444</t>
  </si>
  <si>
    <t>MWMCRE10</t>
  </si>
  <si>
    <t>MWMCRE</t>
  </si>
  <si>
    <t>MWMCRE20</t>
  </si>
  <si>
    <t>MWMCRE30</t>
  </si>
  <si>
    <t>MWMCSN10</t>
  </si>
  <si>
    <t>MWMCSN</t>
  </si>
  <si>
    <t>MWMPAG10</t>
  </si>
  <si>
    <t>MWMPAG</t>
  </si>
  <si>
    <t>MWMTDG10</t>
  </si>
  <si>
    <t>MWMTDG</t>
  </si>
  <si>
    <t>MWOAPP10</t>
  </si>
  <si>
    <t>MWOAPP</t>
  </si>
  <si>
    <t>MWOCPN01</t>
  </si>
  <si>
    <t>MWOCPN</t>
  </si>
  <si>
    <t>MWOCPN10</t>
  </si>
  <si>
    <t>MWOCPN20</t>
  </si>
  <si>
    <t>MWOCPN50</t>
  </si>
  <si>
    <t>MWODAY10</t>
  </si>
  <si>
    <t>MWODAY</t>
  </si>
  <si>
    <t>MWOEMT10</t>
  </si>
  <si>
    <t>MWOEMT</t>
  </si>
  <si>
    <t>MWOHED05</t>
  </si>
  <si>
    <t>MWOHED</t>
  </si>
  <si>
    <t>MWOHED10</t>
  </si>
  <si>
    <t>MWOHED15</t>
  </si>
  <si>
    <t>MWOHED20</t>
  </si>
  <si>
    <t>MWOHED22</t>
  </si>
  <si>
    <t>MWOHED25</t>
  </si>
  <si>
    <t>MWOHED30</t>
  </si>
  <si>
    <t>MWOHED35</t>
  </si>
  <si>
    <t>MWOHED40</t>
  </si>
  <si>
    <t>MWOHED50</t>
  </si>
  <si>
    <t>MWOHED55</t>
  </si>
  <si>
    <t>MWOHED56</t>
  </si>
  <si>
    <t>MWOHED65</t>
  </si>
  <si>
    <t>MWOHED66</t>
  </si>
  <si>
    <t>MWOHED70</t>
  </si>
  <si>
    <t>MWOHED75</t>
  </si>
  <si>
    <t>MWOHED80</t>
  </si>
  <si>
    <t>MWOHED85</t>
  </si>
  <si>
    <t>MWOHED90</t>
  </si>
  <si>
    <t>MWOHED95</t>
  </si>
  <si>
    <t>MWOHED96</t>
  </si>
  <si>
    <t>MWOHED97</t>
  </si>
  <si>
    <t>MWOHEHA1</t>
  </si>
  <si>
    <t>MWOHEH</t>
  </si>
  <si>
    <t>MWOHEHA3</t>
  </si>
  <si>
    <t>MWOHEHA8</t>
  </si>
  <si>
    <t>MWOHEHA9</t>
  </si>
  <si>
    <t>MWOHEHB0</t>
  </si>
  <si>
    <t>MWOHEHB1</t>
  </si>
  <si>
    <t>MWOHEHB2</t>
  </si>
  <si>
    <t>MWOHEHB3</t>
  </si>
  <si>
    <t>MWOHEHB4</t>
  </si>
  <si>
    <t>MWOHEHB5</t>
  </si>
  <si>
    <t>MWOHEHB6</t>
  </si>
  <si>
    <t>MWOHEHB7</t>
  </si>
  <si>
    <t>MWOISI10</t>
  </si>
  <si>
    <t>MWOISI</t>
  </si>
  <si>
    <t>MWOMAA10</t>
  </si>
  <si>
    <t>MWOMAA</t>
  </si>
  <si>
    <t>MWOMAA20</t>
  </si>
  <si>
    <t>MWOMAT01</t>
  </si>
  <si>
    <t>MWOMAT</t>
  </si>
  <si>
    <t>MWOMAT02</t>
  </si>
  <si>
    <t>MWOMAT10</t>
  </si>
  <si>
    <t>MWOMAT11</t>
  </si>
  <si>
    <t>MWOMAT12</t>
  </si>
  <si>
    <t>MWOMAT20</t>
  </si>
  <si>
    <t>MWOMAT30</t>
  </si>
  <si>
    <t>MWOMAT50</t>
  </si>
  <si>
    <t>MWOMAT60</t>
  </si>
  <si>
    <t>MWOMAT70</t>
  </si>
  <si>
    <t>MWOMAT80</t>
  </si>
  <si>
    <t>MWOMAT85</t>
  </si>
  <si>
    <t>MWOMAT90</t>
  </si>
  <si>
    <t>MWOMAT91</t>
  </si>
  <si>
    <t>MWOMAT95</t>
  </si>
  <si>
    <t>MWOMAT96</t>
  </si>
  <si>
    <t>MWOMAT97</t>
  </si>
  <si>
    <t>MWOMATA1</t>
  </si>
  <si>
    <t>MWOMATA3</t>
  </si>
  <si>
    <t>MWOOPA10</t>
  </si>
  <si>
    <t>MWOOPA</t>
  </si>
  <si>
    <t>MWOOPE01</t>
  </si>
  <si>
    <t>MWOOPE</t>
  </si>
  <si>
    <t>MWOOPE02</t>
  </si>
  <si>
    <t>MWOOPE04</t>
  </si>
  <si>
    <t>MWOOPE10</t>
  </si>
  <si>
    <t>MWOOPE20</t>
  </si>
  <si>
    <t>MWOOPE30</t>
  </si>
  <si>
    <t>MWOOPE40</t>
  </si>
  <si>
    <t>MWOOPE50</t>
  </si>
  <si>
    <t>MWOOPE60</t>
  </si>
  <si>
    <t>MWOOPE70</t>
  </si>
  <si>
    <t>MWOOPE80</t>
  </si>
  <si>
    <t>MWOOPE90</t>
  </si>
  <si>
    <t>MWOOPE95</t>
  </si>
  <si>
    <t>MWOOPL20</t>
  </si>
  <si>
    <t>MWOOPL</t>
  </si>
  <si>
    <t>MWOOPS01</t>
  </si>
  <si>
    <t>MWOOPS</t>
  </si>
  <si>
    <t>MWOOPS10</t>
  </si>
  <si>
    <t>MWOOPS20</t>
  </si>
  <si>
    <t>MWOPHA00</t>
  </si>
  <si>
    <t>MWOPHA</t>
  </si>
  <si>
    <t>MWOPLA10</t>
  </si>
  <si>
    <t>MWOPLA</t>
  </si>
  <si>
    <t>MWOPLA11</t>
  </si>
  <si>
    <t>MWOPLA20</t>
  </si>
  <si>
    <t>MWOPLA30</t>
  </si>
  <si>
    <t>MWOPLA35</t>
  </si>
  <si>
    <t>MWOPLA40</t>
  </si>
  <si>
    <t>MWOPLA50</t>
  </si>
  <si>
    <t>MWOPLA60</t>
  </si>
  <si>
    <t>MWOPLA66</t>
  </si>
  <si>
    <t>MWOPLA67</t>
  </si>
  <si>
    <t>MWOPLA68</t>
  </si>
  <si>
    <t>MWOPLA70</t>
  </si>
  <si>
    <t>MWOPLA71</t>
  </si>
  <si>
    <t>MWOPLA75</t>
  </si>
  <si>
    <t>MWOPLA76</t>
  </si>
  <si>
    <t>MWOPLA77</t>
  </si>
  <si>
    <t>MWOPLA80</t>
  </si>
  <si>
    <t>MWOPLA85</t>
  </si>
  <si>
    <t>MWOPLA90</t>
  </si>
  <si>
    <t>MWOPLA92</t>
  </si>
  <si>
    <t>MWOPLA93</t>
  </si>
  <si>
    <t>MWOPLP05</t>
  </si>
  <si>
    <t>MWOPLP</t>
  </si>
  <si>
    <t>MWOPLP10</t>
  </si>
  <si>
    <t>MWOPLP11</t>
  </si>
  <si>
    <t>MWOPLP20</t>
  </si>
  <si>
    <t>MWOPLP30</t>
  </si>
  <si>
    <t>MWOPLP31</t>
  </si>
  <si>
    <t>MWOPLP35</t>
  </si>
  <si>
    <t>MWOPLP40</t>
  </si>
  <si>
    <t>MWOPLP50</t>
  </si>
  <si>
    <t>MWOPLP60</t>
  </si>
  <si>
    <t>MWOPLP65</t>
  </si>
  <si>
    <t>MWOPLP70</t>
  </si>
  <si>
    <t>MWOPLP72</t>
  </si>
  <si>
    <t>MWOPLP80</t>
  </si>
  <si>
    <t>MWOPLP85</t>
  </si>
  <si>
    <t>MWOPLP90</t>
  </si>
  <si>
    <t>MWOPLP92</t>
  </si>
  <si>
    <t>MWOPLP93</t>
  </si>
  <si>
    <t>MWOPLP96</t>
  </si>
  <si>
    <t>MWOPLW10</t>
  </si>
  <si>
    <t>MWOPLW</t>
  </si>
  <si>
    <t>MWOPOL10</t>
  </si>
  <si>
    <t>MWOPOL</t>
  </si>
  <si>
    <t>MWOPTP10</t>
  </si>
  <si>
    <t>MWOPTP</t>
  </si>
  <si>
    <t>MWOPTR10</t>
  </si>
  <si>
    <t>MWOPTR</t>
  </si>
  <si>
    <t>MWOPTR20</t>
  </si>
  <si>
    <t>MWOPTR40</t>
  </si>
  <si>
    <t>MWOPTR50</t>
  </si>
  <si>
    <t>MWOPTR60</t>
  </si>
  <si>
    <t>MWOPTR61</t>
  </si>
  <si>
    <t>MWOPTR62</t>
  </si>
  <si>
    <t>MWOPTR65</t>
  </si>
  <si>
    <t>MWOPTR66</t>
  </si>
  <si>
    <t>MWOPTR67</t>
  </si>
  <si>
    <t>MWOPTR70</t>
  </si>
  <si>
    <t>MWOPTR71</t>
  </si>
  <si>
    <t>MWOPTR72</t>
  </si>
  <si>
    <t>MWOPTR75</t>
  </si>
  <si>
    <t>MWOPTR76</t>
  </si>
  <si>
    <t>MWOPTR77</t>
  </si>
  <si>
    <t>MWOPTR78</t>
  </si>
  <si>
    <t>MWOPTR79</t>
  </si>
  <si>
    <t>MWOPTR80</t>
  </si>
  <si>
    <t>MWOPTR81</t>
  </si>
  <si>
    <t>MWOPTR91</t>
  </si>
  <si>
    <t>MWOPTR92</t>
  </si>
  <si>
    <t>MWOPTS10</t>
  </si>
  <si>
    <t>MWOPTS</t>
  </si>
  <si>
    <t>MWOPTS20</t>
  </si>
  <si>
    <t>MWOPTS30</t>
  </si>
  <si>
    <t>MWOPTS40</t>
  </si>
  <si>
    <t>MWOPTS50</t>
  </si>
  <si>
    <t>MWOPTS60</t>
  </si>
  <si>
    <t>MWOPTS70</t>
  </si>
  <si>
    <t>MWOPTS80</t>
  </si>
  <si>
    <t>MWOPTS90</t>
  </si>
  <si>
    <t>MWORCO10</t>
  </si>
  <si>
    <t>MWORCO</t>
  </si>
  <si>
    <t>MWORID10</t>
  </si>
  <si>
    <t>MWORID</t>
  </si>
  <si>
    <t>MWOROU10</t>
  </si>
  <si>
    <t>MWOROU</t>
  </si>
  <si>
    <t>MWOTEA10</t>
  </si>
  <si>
    <t>MWOTEA</t>
  </si>
  <si>
    <t>MWOTEA20</t>
  </si>
  <si>
    <t>MWOTOP10</t>
  </si>
  <si>
    <t>MWOTOP</t>
  </si>
  <si>
    <t>MWPREL10</t>
  </si>
  <si>
    <t>MWPREL</t>
  </si>
  <si>
    <t>MWPREL20</t>
  </si>
  <si>
    <t>MWPREL30</t>
  </si>
  <si>
    <t>MWPROP10</t>
  </si>
  <si>
    <t>MWPROP</t>
  </si>
  <si>
    <t>MWPROP20</t>
  </si>
  <si>
    <t>MWQIRS10</t>
  </si>
  <si>
    <t>MWQIRS</t>
  </si>
  <si>
    <t>MWQIRS20</t>
  </si>
  <si>
    <t>MWROLU10</t>
  </si>
  <si>
    <t>MWROLU</t>
  </si>
  <si>
    <t>MWROLU30</t>
  </si>
  <si>
    <t>MWSCRE10</t>
  </si>
  <si>
    <t>MWSCRE</t>
  </si>
  <si>
    <t>MWSCRE20</t>
  </si>
  <si>
    <t>MWTDIV10</t>
  </si>
  <si>
    <t>MWTDIV</t>
  </si>
  <si>
    <t>MWTDIV20</t>
  </si>
  <si>
    <t>MWTDIV30</t>
  </si>
  <si>
    <t>MWTDIV40</t>
  </si>
  <si>
    <t>MWTOTR10</t>
  </si>
  <si>
    <t>MWTOTR</t>
  </si>
  <si>
    <t>MWTOTR20</t>
  </si>
  <si>
    <t>MWTOTR30</t>
  </si>
  <si>
    <t>MWW42810</t>
  </si>
  <si>
    <t>MWW428</t>
  </si>
  <si>
    <t>MWW42820</t>
  </si>
  <si>
    <t>MWW42830</t>
  </si>
  <si>
    <t>MWW42840</t>
  </si>
  <si>
    <t>MWWCSP10</t>
  </si>
  <si>
    <t>MWWCSP</t>
  </si>
  <si>
    <t>MWXHED10</t>
  </si>
  <si>
    <t>MWXHED</t>
  </si>
  <si>
    <t>MWXOPE10</t>
  </si>
  <si>
    <t>MWXOPE</t>
  </si>
  <si>
    <t>MWXOPE16</t>
  </si>
  <si>
    <t>MXHEAD10</t>
  </si>
  <si>
    <t>MXHEAD20</t>
  </si>
  <si>
    <t>MXHEAD30</t>
  </si>
  <si>
    <t>MXHEAD40</t>
  </si>
  <si>
    <t>MXHEAD50</t>
  </si>
  <si>
    <t>MXHEAD70</t>
  </si>
  <si>
    <t>MXLINE10</t>
  </si>
  <si>
    <t>MXLINE20</t>
  </si>
  <si>
    <t>MXOEXP10</t>
  </si>
  <si>
    <t>MXOEXP</t>
  </si>
  <si>
    <t>MXOEXP20</t>
  </si>
  <si>
    <t>MYOPAD10</t>
  </si>
  <si>
    <t>MYOPAD</t>
  </si>
  <si>
    <t>MYOPID10</t>
  </si>
  <si>
    <t>MYOPID</t>
  </si>
  <si>
    <t>MYOPID20</t>
  </si>
  <si>
    <t>MYOPIH10</t>
  </si>
  <si>
    <t>MYOPIH</t>
  </si>
  <si>
    <t>MYOPIH11</t>
  </si>
  <si>
    <t>MYOPIH20</t>
  </si>
  <si>
    <t>MYOPIH30</t>
  </si>
  <si>
    <t>MYOPIH31</t>
  </si>
  <si>
    <t>MYOPIU10</t>
  </si>
  <si>
    <t>MYOPIU</t>
  </si>
  <si>
    <t>OADDTX10</t>
  </si>
  <si>
    <t>OADDTX</t>
  </si>
  <si>
    <t>OAEXOR10</t>
  </si>
  <si>
    <t>OAEXOR</t>
  </si>
  <si>
    <t>OAGMCL10</t>
  </si>
  <si>
    <t>OAGMCL</t>
  </si>
  <si>
    <t>OAGRHE01</t>
  </si>
  <si>
    <t>OAGRHE</t>
  </si>
  <si>
    <t>OAGRHE10</t>
  </si>
  <si>
    <t>OAGRHE20</t>
  </si>
  <si>
    <t>OAGRHE21</t>
  </si>
  <si>
    <t>OAGRHE25</t>
  </si>
  <si>
    <t>OAGRHE30</t>
  </si>
  <si>
    <t>OAGRHE40</t>
  </si>
  <si>
    <t>OAGRHE60</t>
  </si>
  <si>
    <t>OAGRLN11</t>
  </si>
  <si>
    <t>OAGRLN</t>
  </si>
  <si>
    <t>OAGRLN20</t>
  </si>
  <si>
    <t>OAGRLN31</t>
  </si>
  <si>
    <t>OAGRLN40</t>
  </si>
  <si>
    <t>OAGRLN50</t>
  </si>
  <si>
    <t>OAGRLN51</t>
  </si>
  <si>
    <t>OAGRLN60</t>
  </si>
  <si>
    <t>OAGRLN71</t>
  </si>
  <si>
    <t>OAGRLN81</t>
  </si>
  <si>
    <t>OAGRLN90</t>
  </si>
  <si>
    <t>OAGRPR10</t>
  </si>
  <si>
    <t>OAGRPR</t>
  </si>
  <si>
    <t>OAGRTP01</t>
  </si>
  <si>
    <t>OAGRTP</t>
  </si>
  <si>
    <t>OASCOL10</t>
  </si>
  <si>
    <t>OASCOL</t>
  </si>
  <si>
    <t>OASCUS10</t>
  </si>
  <si>
    <t>OASCUS</t>
  </si>
  <si>
    <t>OASCUS20</t>
  </si>
  <si>
    <t>OASITN10</t>
  </si>
  <si>
    <t>OASITN</t>
  </si>
  <si>
    <t>OASITN20</t>
  </si>
  <si>
    <t>OBACSC10</t>
  </si>
  <si>
    <t>OBACSC</t>
  </si>
  <si>
    <t>OBONAG10</t>
  </si>
  <si>
    <t>OBONAG</t>
  </si>
  <si>
    <t>OBONAG30</t>
  </si>
  <si>
    <t>OBONAG40</t>
  </si>
  <si>
    <t>OBONAG50</t>
  </si>
  <si>
    <t>OBONAG60</t>
  </si>
  <si>
    <t>OBONST10</t>
  </si>
  <si>
    <t>OBONST</t>
  </si>
  <si>
    <t>OBONST20</t>
  </si>
  <si>
    <t>OBONSU10</t>
  </si>
  <si>
    <t>OBONSU</t>
  </si>
  <si>
    <t>OBONSU20</t>
  </si>
  <si>
    <t>OBOPAY10</t>
  </si>
  <si>
    <t>OBOPAY</t>
  </si>
  <si>
    <t>OBOPAY20</t>
  </si>
  <si>
    <t>OBOPER10</t>
  </si>
  <si>
    <t>OBOPER</t>
  </si>
  <si>
    <t>OBOPER20</t>
  </si>
  <si>
    <t>OBOTRA10</t>
  </si>
  <si>
    <t>OBOTRA</t>
  </si>
  <si>
    <t>OBOTRA20</t>
  </si>
  <si>
    <t>OBOTRA21</t>
  </si>
  <si>
    <t>OBOTRA30</t>
  </si>
  <si>
    <t>OBOTRA40</t>
  </si>
  <si>
    <t>OBOTRA50</t>
  </si>
  <si>
    <t>OBOWRK10</t>
  </si>
  <si>
    <t>OBOWRK</t>
  </si>
  <si>
    <t>OBPSCH10</t>
  </si>
  <si>
    <t>OBPSCH</t>
  </si>
  <si>
    <t>OBTAST10</t>
  </si>
  <si>
    <t>OBTAST</t>
  </si>
  <si>
    <t>OBTAST20</t>
  </si>
  <si>
    <t>OBTAST30</t>
  </si>
  <si>
    <t>OBTAST40</t>
  </si>
  <si>
    <t>OBTAST50</t>
  </si>
  <si>
    <t>OBTMTX40</t>
  </si>
  <si>
    <t>OBTMTX</t>
  </si>
  <si>
    <t>OBTMTX50</t>
  </si>
  <si>
    <t>OBTMTX90</t>
  </si>
  <si>
    <t>OBTMTX91</t>
  </si>
  <si>
    <t>OBTMTX92</t>
  </si>
  <si>
    <t>OBTNST10</t>
  </si>
  <si>
    <t>OBTNST</t>
  </si>
  <si>
    <t>OBTNST20</t>
  </si>
  <si>
    <t>OBTPAH10</t>
  </si>
  <si>
    <t>OBTPAH</t>
  </si>
  <si>
    <t>OBTPAL10</t>
  </si>
  <si>
    <t>OBTPAL</t>
  </si>
  <si>
    <t>OBTPER10</t>
  </si>
  <si>
    <t>OBTPER</t>
  </si>
  <si>
    <t>OBTPER20</t>
  </si>
  <si>
    <t>OBTRAG10</t>
  </si>
  <si>
    <t>OBTRAG</t>
  </si>
  <si>
    <t>OBTRAG20</t>
  </si>
  <si>
    <t>OBTRAG30</t>
  </si>
  <si>
    <t>OBTRAG40</t>
  </si>
  <si>
    <t>OBTRAG50</t>
  </si>
  <si>
    <t>OBTRAG60</t>
  </si>
  <si>
    <t>OBTRAG70</t>
  </si>
  <si>
    <t>OBTRAG80</t>
  </si>
  <si>
    <t>OBTREC10</t>
  </si>
  <si>
    <t>OBTREC</t>
  </si>
  <si>
    <t>OBTTRA10</t>
  </si>
  <si>
    <t>OBTTRA</t>
  </si>
  <si>
    <t>OBTTRA11</t>
  </si>
  <si>
    <t>OBTTRA20</t>
  </si>
  <si>
    <t>OBTTRA21</t>
  </si>
  <si>
    <t>OBTTRA30</t>
  </si>
  <si>
    <t>OBTTRA40</t>
  </si>
  <si>
    <t>OBTTRA50</t>
  </si>
  <si>
    <t>OBTTRA60</t>
  </si>
  <si>
    <t>OBTTRA65</t>
  </si>
  <si>
    <t>OBTTRA70</t>
  </si>
  <si>
    <t>OBTTRA80</t>
  </si>
  <si>
    <t>OBTTRA90</t>
  </si>
  <si>
    <t>OBTTRA95</t>
  </si>
  <si>
    <t>OBTWRK10</t>
  </si>
  <si>
    <t>OBTWRK</t>
  </si>
  <si>
    <t>OBTWRK20</t>
  </si>
  <si>
    <t>OBTYPE10</t>
  </si>
  <si>
    <t>OBTYPE</t>
  </si>
  <si>
    <t>OBTYPE20</t>
  </si>
  <si>
    <t>OCARCR10</t>
  </si>
  <si>
    <t>OCARCR</t>
  </si>
  <si>
    <t>OCASHA10</t>
  </si>
  <si>
    <t>OCASHA</t>
  </si>
  <si>
    <t>OCASHB10</t>
  </si>
  <si>
    <t>OCASHB</t>
  </si>
  <si>
    <t>OCASHD10</t>
  </si>
  <si>
    <t>OCASHD</t>
  </si>
  <si>
    <t>OCASHD11</t>
  </si>
  <si>
    <t>OCASHP10</t>
  </si>
  <si>
    <t>OCASHP</t>
  </si>
  <si>
    <t>OCHCUS10</t>
  </si>
  <si>
    <t>OCHCUS</t>
  </si>
  <si>
    <t>OCHCUS20</t>
  </si>
  <si>
    <t>OCHCUS30</t>
  </si>
  <si>
    <t>OCHEAD10</t>
  </si>
  <si>
    <t>OCHEAD</t>
  </si>
  <si>
    <t>OCHEAD20</t>
  </si>
  <si>
    <t>OCHEAD30</t>
  </si>
  <si>
    <t>OCHEAD40</t>
  </si>
  <si>
    <t>OCHEAD50</t>
  </si>
  <si>
    <t>OCHEAD60</t>
  </si>
  <si>
    <t>OCHSTR10</t>
  </si>
  <si>
    <t>OCHSTR</t>
  </si>
  <si>
    <t>OCHSTR20</t>
  </si>
  <si>
    <t>OCITAD10</t>
  </si>
  <si>
    <t>OCITAD</t>
  </si>
  <si>
    <t>OCLINE10</t>
  </si>
  <si>
    <t>OCLINE</t>
  </si>
  <si>
    <t>OCLINE30</t>
  </si>
  <si>
    <t>OCLINE40</t>
  </si>
  <si>
    <t>OCLINE50</t>
  </si>
  <si>
    <t>OCLINE60</t>
  </si>
  <si>
    <t>OCLINE70</t>
  </si>
  <si>
    <t>OCLINE80</t>
  </si>
  <si>
    <t>OCSREF10</t>
  </si>
  <si>
    <t>OCSREF</t>
  </si>
  <si>
    <t>OCSREF20</t>
  </si>
  <si>
    <t>OCUINS10</t>
  </si>
  <si>
    <t>OCUINS</t>
  </si>
  <si>
    <t>OCUSAC10</t>
  </si>
  <si>
    <t>OCUSAC</t>
  </si>
  <si>
    <t>OCUSAC20</t>
  </si>
  <si>
    <t>OCUSAC30</t>
  </si>
  <si>
    <t>OCUSAC40</t>
  </si>
  <si>
    <t>OCUSAC50</t>
  </si>
  <si>
    <t>OCUSAD10</t>
  </si>
  <si>
    <t>OCUSAD11</t>
  </si>
  <si>
    <t>OCUSAD12</t>
  </si>
  <si>
    <t>OCUSAD13</t>
  </si>
  <si>
    <t>OCUSAD14</t>
  </si>
  <si>
    <t>OCUSAD15</t>
  </si>
  <si>
    <t>OCUSAD20</t>
  </si>
  <si>
    <t>OCUSAD21</t>
  </si>
  <si>
    <t>OCUSAD30</t>
  </si>
  <si>
    <t>OCUSCH10</t>
  </si>
  <si>
    <t>OCUSCO10</t>
  </si>
  <si>
    <t>OCUSCO</t>
  </si>
  <si>
    <t>OCUSCO20</t>
  </si>
  <si>
    <t>OCUSCP10</t>
  </si>
  <si>
    <t>OCUSCP</t>
  </si>
  <si>
    <t>OCUSCP20</t>
  </si>
  <si>
    <t>OCUSEX10</t>
  </si>
  <si>
    <t>OCUSEX</t>
  </si>
  <si>
    <t>OCUSEX20</t>
  </si>
  <si>
    <t>OCUSIN10</t>
  </si>
  <si>
    <t>OCUSIN</t>
  </si>
  <si>
    <t>OCUSIN20</t>
  </si>
  <si>
    <t>OCUSIT10</t>
  </si>
  <si>
    <t>OCUSIT</t>
  </si>
  <si>
    <t>OCUSIT20</t>
  </si>
  <si>
    <t>OCUSIT50</t>
  </si>
  <si>
    <t>OCUSMA01</t>
  </si>
  <si>
    <t>OCUSMA10</t>
  </si>
  <si>
    <t>OCUSMA11</t>
  </si>
  <si>
    <t>OCUSMA20</t>
  </si>
  <si>
    <t>OCUSMA21</t>
  </si>
  <si>
    <t>OCUSMA25</t>
  </si>
  <si>
    <t>OCUSMA30</t>
  </si>
  <si>
    <t>OCUSMA40</t>
  </si>
  <si>
    <t>OCUSMA50</t>
  </si>
  <si>
    <t>OCUSMA60</t>
  </si>
  <si>
    <t>OCUSMA70</t>
  </si>
  <si>
    <t>OCUSMA85</t>
  </si>
  <si>
    <t>OCUSMA87</t>
  </si>
  <si>
    <t>OCUSMA88</t>
  </si>
  <si>
    <t>OCUSMA89</t>
  </si>
  <si>
    <t>OCUSMA90</t>
  </si>
  <si>
    <t>OCUSMAX5#MPL</t>
  </si>
  <si>
    <t>OCUSMS10</t>
  </si>
  <si>
    <t>OCUSMS</t>
  </si>
  <si>
    <t>OCUSMS20</t>
  </si>
  <si>
    <t>OCUSMS30</t>
  </si>
  <si>
    <t>OCUSPL10</t>
  </si>
  <si>
    <t>OCUSPL</t>
  </si>
  <si>
    <t>OCUSPL20</t>
  </si>
  <si>
    <t>OCUTAB10</t>
  </si>
  <si>
    <t>OCUTAB</t>
  </si>
  <si>
    <t>ODCHRG01</t>
  </si>
  <si>
    <t>ODCHRL10</t>
  </si>
  <si>
    <t>ODCHRL</t>
  </si>
  <si>
    <t>ODCIDN10</t>
  </si>
  <si>
    <t>ODCIDN</t>
  </si>
  <si>
    <t>ODCIDN20</t>
  </si>
  <si>
    <t>ODHEAD05</t>
  </si>
  <si>
    <t>ODHEAD10</t>
  </si>
  <si>
    <t>ODHEAD11</t>
  </si>
  <si>
    <t>ODHEAD12</t>
  </si>
  <si>
    <t>ODHEAD20</t>
  </si>
  <si>
    <t>ODHEAD21</t>
  </si>
  <si>
    <t>ODHEAD22</t>
  </si>
  <si>
    <t>ODHEAD23</t>
  </si>
  <si>
    <t>ODHEAD30</t>
  </si>
  <si>
    <t>ODHEAD31</t>
  </si>
  <si>
    <t>ODHEAD32</t>
  </si>
  <si>
    <t>ODHEAD35</t>
  </si>
  <si>
    <t>ODHEAD40</t>
  </si>
  <si>
    <t>ODHEAD41</t>
  </si>
  <si>
    <t>ODHEAD42</t>
  </si>
  <si>
    <t>ODHEAD43</t>
  </si>
  <si>
    <t>ODHEAD50</t>
  </si>
  <si>
    <t>ODHEAD60</t>
  </si>
  <si>
    <t>ODHEAD61</t>
  </si>
  <si>
    <t>ODHEAD70</t>
  </si>
  <si>
    <t>ODHEAD75</t>
  </si>
  <si>
    <t>ODHEAD80</t>
  </si>
  <si>
    <t>ODHEAD81</t>
  </si>
  <si>
    <t>ODHEAD82</t>
  </si>
  <si>
    <t>ODHEAD90</t>
  </si>
  <si>
    <t>ODHEAD91</t>
  </si>
  <si>
    <t>ODHEAD92</t>
  </si>
  <si>
    <t>ODHEAD93</t>
  </si>
  <si>
    <t>ODLINE10</t>
  </si>
  <si>
    <t>ODLINE20</t>
  </si>
  <si>
    <t>ODLINE30</t>
  </si>
  <si>
    <t>ODLINE40</t>
  </si>
  <si>
    <t>ODLINE50</t>
  </si>
  <si>
    <t>ODLINE90</t>
  </si>
  <si>
    <t>ODOUTQ10</t>
  </si>
  <si>
    <t>ODOUTQ</t>
  </si>
  <si>
    <t>ODTXTH01</t>
  </si>
  <si>
    <t>ODTXTH</t>
  </si>
  <si>
    <t>OEXFEE10</t>
  </si>
  <si>
    <t>OEXFEE</t>
  </si>
  <si>
    <t>OEXFEL10</t>
  </si>
  <si>
    <t>OEXFEL</t>
  </si>
  <si>
    <t>OEXSMS10</t>
  </si>
  <si>
    <t>OEXSMS</t>
  </si>
  <si>
    <t>OGCLNG10</t>
  </si>
  <si>
    <t>OGCLNG</t>
  </si>
  <si>
    <t>OGCMTX10</t>
  </si>
  <si>
    <t>OGCMTX</t>
  </si>
  <si>
    <t>OGCMTX20</t>
  </si>
  <si>
    <t>OGCMTX30</t>
  </si>
  <si>
    <t>OGCMTX40</t>
  </si>
  <si>
    <t>OGCMTX50</t>
  </si>
  <si>
    <t>OGDLNG10</t>
  </si>
  <si>
    <t>OGDLNG</t>
  </si>
  <si>
    <t>OGDMTX40</t>
  </si>
  <si>
    <t>OGDMTX</t>
  </si>
  <si>
    <t>OGTAPO10</t>
  </si>
  <si>
    <t>OGTAPO</t>
  </si>
  <si>
    <t>OGTAPO20</t>
  </si>
  <si>
    <t>OGTAPO30</t>
  </si>
  <si>
    <t>OIDPRE10</t>
  </si>
  <si>
    <t>OIDPRE</t>
  </si>
  <si>
    <t>OIDPRE20</t>
  </si>
  <si>
    <t>OIDPRE30</t>
  </si>
  <si>
    <t>OIDTRL10</t>
  </si>
  <si>
    <t>OIDTRL</t>
  </si>
  <si>
    <t>OIDTRL20</t>
  </si>
  <si>
    <t>OIDTRL30</t>
  </si>
  <si>
    <t>OIDTRL40</t>
  </si>
  <si>
    <t>OIDTRL50</t>
  </si>
  <si>
    <t>OIDTRL60</t>
  </si>
  <si>
    <t>OIDTRS10</t>
  </si>
  <si>
    <t>OIDTRS</t>
  </si>
  <si>
    <t>OIDTRS20</t>
  </si>
  <si>
    <t>OINACC01</t>
  </si>
  <si>
    <t>OINACC10</t>
  </si>
  <si>
    <t>OINACC11</t>
  </si>
  <si>
    <t>OINACC20</t>
  </si>
  <si>
    <t>OINACC30</t>
  </si>
  <si>
    <t>OINACC40</t>
  </si>
  <si>
    <t>OINACC50</t>
  </si>
  <si>
    <t>OINACC90</t>
  </si>
  <si>
    <t>OINREF10</t>
  </si>
  <si>
    <t>OINREF</t>
  </si>
  <si>
    <t>OINREF11</t>
  </si>
  <si>
    <t>OINREF12</t>
  </si>
  <si>
    <t>OINVIP10</t>
  </si>
  <si>
    <t>OINVIP20</t>
  </si>
  <si>
    <t>OINVLL10</t>
  </si>
  <si>
    <t>OINVLL</t>
  </si>
  <si>
    <t>OINVOH01</t>
  </si>
  <si>
    <t>OINVOH20</t>
  </si>
  <si>
    <t>OINVOH30</t>
  </si>
  <si>
    <t>OINVOH31</t>
  </si>
  <si>
    <t>OINVOH32</t>
  </si>
  <si>
    <t>OINVOH40</t>
  </si>
  <si>
    <t>OINVOH41</t>
  </si>
  <si>
    <t>OINVOH42</t>
  </si>
  <si>
    <t>OINVOH43</t>
  </si>
  <si>
    <t>OINVOH50</t>
  </si>
  <si>
    <t>OINVOH51</t>
  </si>
  <si>
    <t>OINVOH60</t>
  </si>
  <si>
    <t>OINVOH61</t>
  </si>
  <si>
    <t>OINVOH70</t>
  </si>
  <si>
    <t>OINVOH71</t>
  </si>
  <si>
    <t>OINVOH72</t>
  </si>
  <si>
    <t>OINVOH73</t>
  </si>
  <si>
    <t>OINVOH80</t>
  </si>
  <si>
    <t>OINVOH90</t>
  </si>
  <si>
    <t>OINVOH91</t>
  </si>
  <si>
    <t>OINVOH92</t>
  </si>
  <si>
    <t>OINVOH93</t>
  </si>
  <si>
    <t>OINVOH94</t>
  </si>
  <si>
    <t>OINVOH95</t>
  </si>
  <si>
    <t>OINVOH96</t>
  </si>
  <si>
    <t>OINVOH97</t>
  </si>
  <si>
    <t>OINVOL00</t>
  </si>
  <si>
    <t>OINVOL11</t>
  </si>
  <si>
    <t>OINVOL20</t>
  </si>
  <si>
    <t>OINVOL30</t>
  </si>
  <si>
    <t>OINVOL40</t>
  </si>
  <si>
    <t>OINVOL41</t>
  </si>
  <si>
    <t>OINVTX01</t>
  </si>
  <si>
    <t>OINVTX</t>
  </si>
  <si>
    <t>OIPRTD10</t>
  </si>
  <si>
    <t>OIPRTD</t>
  </si>
  <si>
    <t>OISIPP10</t>
  </si>
  <si>
    <t>OISIPP</t>
  </si>
  <si>
    <t>OISIPP20</t>
  </si>
  <si>
    <t>OISIPP30</t>
  </si>
  <si>
    <t>OKITXP10</t>
  </si>
  <si>
    <t>OKITXP</t>
  </si>
  <si>
    <t>OLICHL10</t>
  </si>
  <si>
    <t>OLICHL</t>
  </si>
  <si>
    <t>OLICHM10</t>
  </si>
  <si>
    <t>OLICHM</t>
  </si>
  <si>
    <t>OOACKH10</t>
  </si>
  <si>
    <t>OOACKH</t>
  </si>
  <si>
    <t>OOACKL10</t>
  </si>
  <si>
    <t>OOACKL</t>
  </si>
  <si>
    <t>OOACKL20</t>
  </si>
  <si>
    <t>OOALIN10</t>
  </si>
  <si>
    <t>OOALIN</t>
  </si>
  <si>
    <t>OOAPMT00</t>
  </si>
  <si>
    <t>OOAPMT</t>
  </si>
  <si>
    <t>OOAPRO10</t>
  </si>
  <si>
    <t>OOAPRO</t>
  </si>
  <si>
    <t>OOASPR10</t>
  </si>
  <si>
    <t>OOASPR</t>
  </si>
  <si>
    <t>OOC34510</t>
  </si>
  <si>
    <t>OOC345</t>
  </si>
  <si>
    <t>OOCHRG10</t>
  </si>
  <si>
    <t>OOCOLI10</t>
  </si>
  <si>
    <t>OOCOLI</t>
  </si>
  <si>
    <t>OOEMSG10</t>
  </si>
  <si>
    <t>OOEMSG</t>
  </si>
  <si>
    <t>OOFPRD10</t>
  </si>
  <si>
    <t>OOFPRD</t>
  </si>
  <si>
    <t>OOFPRD20</t>
  </si>
  <si>
    <t>OOFPRD30</t>
  </si>
  <si>
    <t>OOFPRD40</t>
  </si>
  <si>
    <t>OOHDCG10</t>
  </si>
  <si>
    <t>OOHDCG</t>
  </si>
  <si>
    <t>OOHEAD01</t>
  </si>
  <si>
    <t>OOHEAD10</t>
  </si>
  <si>
    <t>OOHEAD20</t>
  </si>
  <si>
    <t>OOHEAD30</t>
  </si>
  <si>
    <t>OOHEAD40</t>
  </si>
  <si>
    <t>OOHEAD50</t>
  </si>
  <si>
    <t>OOHEAD60</t>
  </si>
  <si>
    <t>OOHEAD70</t>
  </si>
  <si>
    <t>OOHEAD87</t>
  </si>
  <si>
    <t>OOHEAD88</t>
  </si>
  <si>
    <t>OOI15010</t>
  </si>
  <si>
    <t>OOI15020</t>
  </si>
  <si>
    <t>OOI19300</t>
  </si>
  <si>
    <t>OOI193</t>
  </si>
  <si>
    <t>OOI22700</t>
  </si>
  <si>
    <t>OOI227</t>
  </si>
  <si>
    <t>OOI28010</t>
  </si>
  <si>
    <t>OOI280</t>
  </si>
  <si>
    <t>OOI28020</t>
  </si>
  <si>
    <t>OOI28030</t>
  </si>
  <si>
    <t>OOI31110</t>
  </si>
  <si>
    <t>OOI311</t>
  </si>
  <si>
    <t>OOI31510</t>
  </si>
  <si>
    <t>OOI315</t>
  </si>
  <si>
    <t>OOI31520</t>
  </si>
  <si>
    <t>OOI31530</t>
  </si>
  <si>
    <t>OOI31540</t>
  </si>
  <si>
    <t>OOI31550</t>
  </si>
  <si>
    <t>OOI31560</t>
  </si>
  <si>
    <t>OOI31570</t>
  </si>
  <si>
    <t>OOI31580</t>
  </si>
  <si>
    <t>OOI32010</t>
  </si>
  <si>
    <t>OOI320</t>
  </si>
  <si>
    <t>OOI32011</t>
  </si>
  <si>
    <t>OOI32020</t>
  </si>
  <si>
    <t>OOI32025</t>
  </si>
  <si>
    <t>OOI32030</t>
  </si>
  <si>
    <t>OOI32050</t>
  </si>
  <si>
    <t>OOI32060</t>
  </si>
  <si>
    <t>OOI32070</t>
  </si>
  <si>
    <t>OOI32080</t>
  </si>
  <si>
    <t>OOI32090</t>
  </si>
  <si>
    <t>OOI38010</t>
  </si>
  <si>
    <t>OOI38020</t>
  </si>
  <si>
    <t>OOI38030</t>
  </si>
  <si>
    <t>OOI38040</t>
  </si>
  <si>
    <t>OOI38050</t>
  </si>
  <si>
    <t>OOI60710</t>
  </si>
  <si>
    <t>OOI607</t>
  </si>
  <si>
    <t>OOI60810</t>
  </si>
  <si>
    <t>OOI608</t>
  </si>
  <si>
    <t>OOI64210</t>
  </si>
  <si>
    <t>OOI642</t>
  </si>
  <si>
    <t>OOI64300</t>
  </si>
  <si>
    <t>OOI643</t>
  </si>
  <si>
    <t>OOI64310</t>
  </si>
  <si>
    <t>OOI64A10</t>
  </si>
  <si>
    <t>OOI64A</t>
  </si>
  <si>
    <t>OOI86910</t>
  </si>
  <si>
    <t>OOI869</t>
  </si>
  <si>
    <t>OOI95000</t>
  </si>
  <si>
    <t>OOI950</t>
  </si>
  <si>
    <t>OOI95010</t>
  </si>
  <si>
    <t>OOI96010</t>
  </si>
  <si>
    <t>OOI960</t>
  </si>
  <si>
    <t>OOI96090</t>
  </si>
  <si>
    <t>OOIPOL10</t>
  </si>
  <si>
    <t>OOIPOL</t>
  </si>
  <si>
    <t>OOIPOL20</t>
  </si>
  <si>
    <t>OOIPOL30</t>
  </si>
  <si>
    <t>OOIPOL40</t>
  </si>
  <si>
    <t>OOIPOS10</t>
  </si>
  <si>
    <t>OOIPOS</t>
  </si>
  <si>
    <t>OOIPOS20</t>
  </si>
  <si>
    <t>OOIPOS30</t>
  </si>
  <si>
    <t>OOLIAR10</t>
  </si>
  <si>
    <t>OOLIAR</t>
  </si>
  <si>
    <t>OOLIAR20</t>
  </si>
  <si>
    <t>OOLICH10</t>
  </si>
  <si>
    <t>OOLINE11</t>
  </si>
  <si>
    <t>OOLINE21</t>
  </si>
  <si>
    <t>OOLINE30</t>
  </si>
  <si>
    <t>OOLINE31</t>
  </si>
  <si>
    <t>OOLINE40</t>
  </si>
  <si>
    <t>OOLINE50</t>
  </si>
  <si>
    <t>OOLINE54</t>
  </si>
  <si>
    <t>OOLINE60</t>
  </si>
  <si>
    <t>OOLINE70</t>
  </si>
  <si>
    <t>OOLINE71</t>
  </si>
  <si>
    <t>OOLINE75</t>
  </si>
  <si>
    <t>OOLINE80</t>
  </si>
  <si>
    <t>OOLINE85</t>
  </si>
  <si>
    <t>OOLINE90</t>
  </si>
  <si>
    <t>OOLINE94</t>
  </si>
  <si>
    <t>OOLINE95</t>
  </si>
  <si>
    <t>OOLINE96</t>
  </si>
  <si>
    <t>OOLINE97</t>
  </si>
  <si>
    <t>OOLIPI10</t>
  </si>
  <si>
    <t>OOLIPI</t>
  </si>
  <si>
    <t>OOLIUD10</t>
  </si>
  <si>
    <t>OOLIUD</t>
  </si>
  <si>
    <t>OOOREF10</t>
  </si>
  <si>
    <t>OOOREF</t>
  </si>
  <si>
    <t>OOOREF20</t>
  </si>
  <si>
    <t>OOPAYH10</t>
  </si>
  <si>
    <t>OOPAYH</t>
  </si>
  <si>
    <t>OOPAYL10</t>
  </si>
  <si>
    <t>OOPAYL</t>
  </si>
  <si>
    <t>OOPAYP10</t>
  </si>
  <si>
    <t>OOPAYP</t>
  </si>
  <si>
    <t>OOPAYT10</t>
  </si>
  <si>
    <t>OOPAYT</t>
  </si>
  <si>
    <t>OOPINH10</t>
  </si>
  <si>
    <t>OOPINH</t>
  </si>
  <si>
    <t>OOPINH20</t>
  </si>
  <si>
    <t>OOPINH30</t>
  </si>
  <si>
    <t>OOPINH40</t>
  </si>
  <si>
    <t>OOPINH50</t>
  </si>
  <si>
    <t>OOPINH60</t>
  </si>
  <si>
    <t>OOPINH70</t>
  </si>
  <si>
    <t>OOPINH80</t>
  </si>
  <si>
    <t>OOPINV10</t>
  </si>
  <si>
    <t>OOPINV</t>
  </si>
  <si>
    <t>OOPINV20</t>
  </si>
  <si>
    <t>OOPINV30</t>
  </si>
  <si>
    <t>OOPINV40</t>
  </si>
  <si>
    <t>OOPINV41</t>
  </si>
  <si>
    <t>OOPINV42</t>
  </si>
  <si>
    <t>OOPINV43</t>
  </si>
  <si>
    <t>OOPINV50</t>
  </si>
  <si>
    <t>OOPINV51</t>
  </si>
  <si>
    <t>OOPINV52</t>
  </si>
  <si>
    <t>OOPINV53</t>
  </si>
  <si>
    <t>OOPINV54</t>
  </si>
  <si>
    <t>OOPINV60</t>
  </si>
  <si>
    <t>OOPRED10</t>
  </si>
  <si>
    <t>OOPRED</t>
  </si>
  <si>
    <t>OOPRED20</t>
  </si>
  <si>
    <t>OOQUOH01</t>
  </si>
  <si>
    <t>OOQUOH</t>
  </si>
  <si>
    <t>OOQUOH10</t>
  </si>
  <si>
    <t>OOQUOH11</t>
  </si>
  <si>
    <t>OOQUOH20</t>
  </si>
  <si>
    <t>OOQUOH21</t>
  </si>
  <si>
    <t>OOQUOH30</t>
  </si>
  <si>
    <t>OOQUOH31</t>
  </si>
  <si>
    <t>OOQUOH40</t>
  </si>
  <si>
    <t>OOQUOH41</t>
  </si>
  <si>
    <t>OOQUOH50</t>
  </si>
  <si>
    <t>OOQUOH51</t>
  </si>
  <si>
    <t>OOQUOH60</t>
  </si>
  <si>
    <t>OOQUOH61</t>
  </si>
  <si>
    <t>OORESC10</t>
  </si>
  <si>
    <t>OOS27100</t>
  </si>
  <si>
    <t>OOS271</t>
  </si>
  <si>
    <t>OOS42500</t>
  </si>
  <si>
    <t>OOS425</t>
  </si>
  <si>
    <t>OOS44110</t>
  </si>
  <si>
    <t>OOS441</t>
  </si>
  <si>
    <t>OOS65400</t>
  </si>
  <si>
    <t>OOS654</t>
  </si>
  <si>
    <t>OOS90000</t>
  </si>
  <si>
    <t>OOS900</t>
  </si>
  <si>
    <t>OOS90001</t>
  </si>
  <si>
    <t>OOS90090</t>
  </si>
  <si>
    <t>OOS93100</t>
  </si>
  <si>
    <t>OOS931</t>
  </si>
  <si>
    <t>OOS98010</t>
  </si>
  <si>
    <t>OOS980</t>
  </si>
  <si>
    <t>OOS98090</t>
  </si>
  <si>
    <t>OOTYCH10</t>
  </si>
  <si>
    <t>OOTYCH</t>
  </si>
  <si>
    <t>OOTYDO10</t>
  </si>
  <si>
    <t>OOTYPE20</t>
  </si>
  <si>
    <t>OOTYPG10</t>
  </si>
  <si>
    <t>OOTYPG</t>
  </si>
  <si>
    <t>OPACLH10</t>
  </si>
  <si>
    <t>OPACLH</t>
  </si>
  <si>
    <t>OPACLL10</t>
  </si>
  <si>
    <t>OPACLL</t>
  </si>
  <si>
    <t>OPAYMD10</t>
  </si>
  <si>
    <t>OPAYMD</t>
  </si>
  <si>
    <t>OPAYMD20</t>
  </si>
  <si>
    <t>OPAYMD30</t>
  </si>
  <si>
    <t>OPAYMH10</t>
  </si>
  <si>
    <t>OPAYMH</t>
  </si>
  <si>
    <t>OPAYMH20</t>
  </si>
  <si>
    <t>OPAYMH25</t>
  </si>
  <si>
    <t>OPAYMH30</t>
  </si>
  <si>
    <t>OPAYMH40</t>
  </si>
  <si>
    <t>OPAYMH50</t>
  </si>
  <si>
    <t>OPAYMH60</t>
  </si>
  <si>
    <t>OPAYMH70</t>
  </si>
  <si>
    <t>OPAYMH80</t>
  </si>
  <si>
    <t>OPAYMH90</t>
  </si>
  <si>
    <t>OPAYMH92</t>
  </si>
  <si>
    <t>OPAYMH93</t>
  </si>
  <si>
    <t>OPAYMH94</t>
  </si>
  <si>
    <t>OPAYMH95</t>
  </si>
  <si>
    <t>OPAYMH96</t>
  </si>
  <si>
    <t>OPAYMH97</t>
  </si>
  <si>
    <t>OPAYMH98</t>
  </si>
  <si>
    <t>OPAYML10</t>
  </si>
  <si>
    <t>OPAYML</t>
  </si>
  <si>
    <t>OPAYMR10</t>
  </si>
  <si>
    <t>OPAYMR</t>
  </si>
  <si>
    <t>OPAYMT10</t>
  </si>
  <si>
    <t>OPAYMT</t>
  </si>
  <si>
    <t>OPAYMT20</t>
  </si>
  <si>
    <t>OPAYMT30</t>
  </si>
  <si>
    <t>OPAYMT40</t>
  </si>
  <si>
    <t>OPAYMT50</t>
  </si>
  <si>
    <t>OPCARD10</t>
  </si>
  <si>
    <t>OPCARD</t>
  </si>
  <si>
    <t>OPEXTI10</t>
  </si>
  <si>
    <t>OPEXTI</t>
  </si>
  <si>
    <t>OPEXTI20</t>
  </si>
  <si>
    <t>OPINVH10</t>
  </si>
  <si>
    <t>OPINVH</t>
  </si>
  <si>
    <t>OPINVL10</t>
  </si>
  <si>
    <t>OPINVL</t>
  </si>
  <si>
    <t>OPINVL20</t>
  </si>
  <si>
    <t>OPLABL10</t>
  </si>
  <si>
    <t>OPLABL</t>
  </si>
  <si>
    <t>OPLAMA10</t>
  </si>
  <si>
    <t>OPLAMA</t>
  </si>
  <si>
    <t>OPLAMA20</t>
  </si>
  <si>
    <t>OPLAMA30</t>
  </si>
  <si>
    <t>OPLAMA40</t>
  </si>
  <si>
    <t>OPLAMA50</t>
  </si>
  <si>
    <t>OPOTAB10</t>
  </si>
  <si>
    <t>OPOTAB</t>
  </si>
  <si>
    <t>OPRBAS20</t>
  </si>
  <si>
    <t>OPRBAS</t>
  </si>
  <si>
    <t>OPRBAS30</t>
  </si>
  <si>
    <t>OPRCEL10</t>
  </si>
  <si>
    <t>OPRCEL</t>
  </si>
  <si>
    <t>OPRCEL20</t>
  </si>
  <si>
    <t>OPRCEL30</t>
  </si>
  <si>
    <t>OPRCLI10</t>
  </si>
  <si>
    <t>OPRCLI</t>
  </si>
  <si>
    <t>OPRCLI20</t>
  </si>
  <si>
    <t>OPRCLI30</t>
  </si>
  <si>
    <t>OPRCLN10</t>
  </si>
  <si>
    <t>OPRCLN</t>
  </si>
  <si>
    <t>OPRCMO10</t>
  </si>
  <si>
    <t>OPRCMO</t>
  </si>
  <si>
    <t>OPRELE10</t>
  </si>
  <si>
    <t>OPRELE</t>
  </si>
  <si>
    <t>OPRICH10</t>
  </si>
  <si>
    <t>OPRICH</t>
  </si>
  <si>
    <t>OPRICH20</t>
  </si>
  <si>
    <t>OPRICH30</t>
  </si>
  <si>
    <t>OPRICH40</t>
  </si>
  <si>
    <t>OPRICH50</t>
  </si>
  <si>
    <t>OPRICL11</t>
  </si>
  <si>
    <t>OPRICL</t>
  </si>
  <si>
    <t>OPRICL20</t>
  </si>
  <si>
    <t>OPRICL30</t>
  </si>
  <si>
    <t>OPRICL40</t>
  </si>
  <si>
    <t>OPRICL50</t>
  </si>
  <si>
    <t>OPRICL60</t>
  </si>
  <si>
    <t>OPRLRP10</t>
  </si>
  <si>
    <t>OPRLRP</t>
  </si>
  <si>
    <t>OPRMTX90</t>
  </si>
  <si>
    <t>OPRMTX</t>
  </si>
  <si>
    <t>OPROMC10</t>
  </si>
  <si>
    <t>OPROMC</t>
  </si>
  <si>
    <t>OPROMH10</t>
  </si>
  <si>
    <t>OPROMH</t>
  </si>
  <si>
    <t>OPROMH20</t>
  </si>
  <si>
    <t>OPROMH30</t>
  </si>
  <si>
    <t>OPROMH40</t>
  </si>
  <si>
    <t>OPROMH50</t>
  </si>
  <si>
    <t>OPROMS10</t>
  </si>
  <si>
    <t>OPROMS</t>
  </si>
  <si>
    <t>OPROMT10</t>
  </si>
  <si>
    <t>OPROMT</t>
  </si>
  <si>
    <t>OPROMW20</t>
  </si>
  <si>
    <t>OPROMW</t>
  </si>
  <si>
    <t>OPRPLN10</t>
  </si>
  <si>
    <t>OPRPLN</t>
  </si>
  <si>
    <t>OPRREC10</t>
  </si>
  <si>
    <t>OPRREC</t>
  </si>
  <si>
    <t>OPRREC20</t>
  </si>
  <si>
    <t>OPRREC30</t>
  </si>
  <si>
    <t>OPRSTM10</t>
  </si>
  <si>
    <t>OPRSTM</t>
  </si>
  <si>
    <t>OPSALE10</t>
  </si>
  <si>
    <t>OPSALE</t>
  </si>
  <si>
    <t>OPSALE20</t>
  </si>
  <si>
    <t>OPSALE21</t>
  </si>
  <si>
    <t>OPSALE22</t>
  </si>
  <si>
    <t>OPSALE25</t>
  </si>
  <si>
    <t>OPSALE30</t>
  </si>
  <si>
    <t>OPSALE31</t>
  </si>
  <si>
    <t>OPSALE40</t>
  </si>
  <si>
    <t>OPSALE50</t>
  </si>
  <si>
    <t>OPSALE60</t>
  </si>
  <si>
    <t>OPSALE61</t>
  </si>
  <si>
    <t>OPSALE62</t>
  </si>
  <si>
    <t>OPSALE63</t>
  </si>
  <si>
    <t>OPSALE64</t>
  </si>
  <si>
    <t>OPSALE65</t>
  </si>
  <si>
    <t>OPSALE70</t>
  </si>
  <si>
    <t>OPSALE90</t>
  </si>
  <si>
    <t>OPSDMO10</t>
  </si>
  <si>
    <t>OPSDMO</t>
  </si>
  <si>
    <t>OPSFAC10</t>
  </si>
  <si>
    <t>OPSFAC</t>
  </si>
  <si>
    <t>OPSITY10</t>
  </si>
  <si>
    <t>OPSITY</t>
  </si>
  <si>
    <t>OPSPTY10</t>
  </si>
  <si>
    <t>OPSPTY</t>
  </si>
  <si>
    <t>OPSTAT01</t>
  </si>
  <si>
    <t>OPSTAT</t>
  </si>
  <si>
    <t>OPSTAT10</t>
  </si>
  <si>
    <t>OPSTED10</t>
  </si>
  <si>
    <t>OPSTED</t>
  </si>
  <si>
    <t>OPTMFI10</t>
  </si>
  <si>
    <t>OPTMFI</t>
  </si>
  <si>
    <t>OPTMFI20</t>
  </si>
  <si>
    <t>OPVCHD10</t>
  </si>
  <si>
    <t>OPVCHD</t>
  </si>
  <si>
    <t>OPVCLN10</t>
  </si>
  <si>
    <t>OPVCLN</t>
  </si>
  <si>
    <t>OPWFIN10</t>
  </si>
  <si>
    <t>OPWFIN</t>
  </si>
  <si>
    <t>OPWFIN20</t>
  </si>
  <si>
    <t>ORADNR00</t>
  </si>
  <si>
    <t>ORADNR</t>
  </si>
  <si>
    <t>ORAHED10</t>
  </si>
  <si>
    <t>ORAHED</t>
  </si>
  <si>
    <t>ORDELD10</t>
  </si>
  <si>
    <t>ORDELD</t>
  </si>
  <si>
    <t>ORDELD20</t>
  </si>
  <si>
    <t>ORHEAD10</t>
  </si>
  <si>
    <t>ORHEAD</t>
  </si>
  <si>
    <t>ORHEAD20</t>
  </si>
  <si>
    <t>ORHEAD30</t>
  </si>
  <si>
    <t>ORHIST10</t>
  </si>
  <si>
    <t>ORHIST</t>
  </si>
  <si>
    <t>ORHIST20</t>
  </si>
  <si>
    <t>ORHIST30</t>
  </si>
  <si>
    <t>ORHIST40</t>
  </si>
  <si>
    <t>ORHIST50</t>
  </si>
  <si>
    <t>ORINSP10</t>
  </si>
  <si>
    <t>ORINSP</t>
  </si>
  <si>
    <t>ORINSP20</t>
  </si>
  <si>
    <t>ORINSP30</t>
  </si>
  <si>
    <t>ORJDCD00</t>
  </si>
  <si>
    <t>ORJDCD</t>
  </si>
  <si>
    <t>ORLINE10</t>
  </si>
  <si>
    <t>ORLINE</t>
  </si>
  <si>
    <t>ORLINE80</t>
  </si>
  <si>
    <t>ORSADR10</t>
  </si>
  <si>
    <t>ORSADR</t>
  </si>
  <si>
    <t>ORSCCO00</t>
  </si>
  <si>
    <t>ORSCCO</t>
  </si>
  <si>
    <t>ORSCCQ10</t>
  </si>
  <si>
    <t>ORSCCQ</t>
  </si>
  <si>
    <t>ORSCIA10</t>
  </si>
  <si>
    <t>ORSCIA</t>
  </si>
  <si>
    <t>ORSCIA20</t>
  </si>
  <si>
    <t>ORSCRA10</t>
  </si>
  <si>
    <t>ORSCRA</t>
  </si>
  <si>
    <t>ORSDNR00</t>
  </si>
  <si>
    <t>ORSDNR</t>
  </si>
  <si>
    <t>ORSDNR10</t>
  </si>
  <si>
    <t>ORSDOC00</t>
  </si>
  <si>
    <t>ORSDOC</t>
  </si>
  <si>
    <t>ORSDOC10</t>
  </si>
  <si>
    <t>ORSDPA10</t>
  </si>
  <si>
    <t>ORSDPA</t>
  </si>
  <si>
    <t>ORSHED01</t>
  </si>
  <si>
    <t>ORSHED</t>
  </si>
  <si>
    <t>ORSHED10</t>
  </si>
  <si>
    <t>ORSHED20</t>
  </si>
  <si>
    <t>ORSHED30</t>
  </si>
  <si>
    <t>ORSHED40</t>
  </si>
  <si>
    <t>ORSHED50</t>
  </si>
  <si>
    <t>ORSHED60</t>
  </si>
  <si>
    <t>ORSHED70</t>
  </si>
  <si>
    <t>ORSHED80</t>
  </si>
  <si>
    <t>ORSHED90</t>
  </si>
  <si>
    <t>ORSINS10</t>
  </si>
  <si>
    <t>ORSINS</t>
  </si>
  <si>
    <t>ORSINS20</t>
  </si>
  <si>
    <t>ORSINS30</t>
  </si>
  <si>
    <t>ORSINS40</t>
  </si>
  <si>
    <t>ORSINS50</t>
  </si>
  <si>
    <t>ORSINS53</t>
  </si>
  <si>
    <t>ORSINS60</t>
  </si>
  <si>
    <t>ORSINS90</t>
  </si>
  <si>
    <t>ORSITM01</t>
  </si>
  <si>
    <t>ORSITM</t>
  </si>
  <si>
    <t>ORSITM02</t>
  </si>
  <si>
    <t>ORSITM10</t>
  </si>
  <si>
    <t>ORSITM11</t>
  </si>
  <si>
    <t>ORSITM20</t>
  </si>
  <si>
    <t>ORSITM53</t>
  </si>
  <si>
    <t>ORSITM54</t>
  </si>
  <si>
    <t>ORSITM55</t>
  </si>
  <si>
    <t>ORSITM70</t>
  </si>
  <si>
    <t>ORSITM71</t>
  </si>
  <si>
    <t>ORSITM90</t>
  </si>
  <si>
    <t>ORSNET10</t>
  </si>
  <si>
    <t>ORSNET</t>
  </si>
  <si>
    <t>ORSNET20</t>
  </si>
  <si>
    <t>ORSNET30</t>
  </si>
  <si>
    <t>ORSNET40</t>
  </si>
  <si>
    <t>ORSNET60</t>
  </si>
  <si>
    <t>ORSNTN10</t>
  </si>
  <si>
    <t>ORSNTN</t>
  </si>
  <si>
    <t>ORSNTN20</t>
  </si>
  <si>
    <t>ORSNTN30</t>
  </si>
  <si>
    <t>ORSNTN40</t>
  </si>
  <si>
    <t>ORSNTN60</t>
  </si>
  <si>
    <t>ORSNTN70</t>
  </si>
  <si>
    <t>ORSORD10</t>
  </si>
  <si>
    <t>ORSORD</t>
  </si>
  <si>
    <t>ORSPAC10</t>
  </si>
  <si>
    <t>ORSPAC</t>
  </si>
  <si>
    <t>ORSPAC20</t>
  </si>
  <si>
    <t>ORSPAC30</t>
  </si>
  <si>
    <t>ORSPCO01</t>
  </si>
  <si>
    <t>ORSPCO</t>
  </si>
  <si>
    <t>ORSPCO02</t>
  </si>
  <si>
    <t>ORSPCO05</t>
  </si>
  <si>
    <t>ORSPCO10</t>
  </si>
  <si>
    <t>ORSPCO20</t>
  </si>
  <si>
    <t>ORSPCO30</t>
  </si>
  <si>
    <t>ORSPCO40</t>
  </si>
  <si>
    <t>ORSPCO50</t>
  </si>
  <si>
    <t>ORSPCO60</t>
  </si>
  <si>
    <t>ORSPCO70</t>
  </si>
  <si>
    <t>ORSPCO80</t>
  </si>
  <si>
    <t>ORSPCO90</t>
  </si>
  <si>
    <t>ORSPPT10</t>
  </si>
  <si>
    <t>ORSPPT</t>
  </si>
  <si>
    <t>ORSPPT20</t>
  </si>
  <si>
    <t>ORSTRH10</t>
  </si>
  <si>
    <t>ORSTRH</t>
  </si>
  <si>
    <t>ORSTRH20</t>
  </si>
  <si>
    <t>OSARBS10</t>
  </si>
  <si>
    <t>OSARBS</t>
  </si>
  <si>
    <t>OSARTD10</t>
  </si>
  <si>
    <t>OSARTD</t>
  </si>
  <si>
    <t>OSASTD10</t>
  </si>
  <si>
    <t>OSASTD</t>
  </si>
  <si>
    <t>OSASTD90</t>
  </si>
  <si>
    <t>OSBDIS10</t>
  </si>
  <si>
    <t>OSBDIS</t>
  </si>
  <si>
    <t>OSBSTD10</t>
  </si>
  <si>
    <t>OSBSTD20</t>
  </si>
  <si>
    <t>OSBSTD51</t>
  </si>
  <si>
    <t>OSBSTD90</t>
  </si>
  <si>
    <t>OSBUID10</t>
  </si>
  <si>
    <t>OSBUID</t>
  </si>
  <si>
    <t>OSLOST10</t>
  </si>
  <si>
    <t>OSLOST</t>
  </si>
  <si>
    <t>OSLOST20</t>
  </si>
  <si>
    <t>OSLOST30</t>
  </si>
  <si>
    <t>OSLTPG10</t>
  </si>
  <si>
    <t>OSLTPG</t>
  </si>
  <si>
    <t>OSRACC10</t>
  </si>
  <si>
    <t>OSRACC</t>
  </si>
  <si>
    <t>OSRASH10</t>
  </si>
  <si>
    <t>OSRASH</t>
  </si>
  <si>
    <t>OSRASH20</t>
  </si>
  <si>
    <t>OSRASH30</t>
  </si>
  <si>
    <t>OSRASH40</t>
  </si>
  <si>
    <t>OSRASH50</t>
  </si>
  <si>
    <t>OSRASH60</t>
  </si>
  <si>
    <t>OSRASL10</t>
  </si>
  <si>
    <t>OSRASL</t>
  </si>
  <si>
    <t>OSRAST10</t>
  </si>
  <si>
    <t>OSRAST</t>
  </si>
  <si>
    <t>OSRASV10</t>
  </si>
  <si>
    <t>OSRASV</t>
  </si>
  <si>
    <t>OSRASV50</t>
  </si>
  <si>
    <t>OSRESL10</t>
  </si>
  <si>
    <t>OSRESL</t>
  </si>
  <si>
    <t>OSSELE10</t>
  </si>
  <si>
    <t>OSSELE</t>
  </si>
  <si>
    <t>OSSREC10</t>
  </si>
  <si>
    <t>OSSREC</t>
  </si>
  <si>
    <t>OSSREC20</t>
  </si>
  <si>
    <t>OSSREC30</t>
  </si>
  <si>
    <t>OSSRES10</t>
  </si>
  <si>
    <t>OSSRES</t>
  </si>
  <si>
    <t>OSSSEL10</t>
  </si>
  <si>
    <t>OSSSEL</t>
  </si>
  <si>
    <t>OSSSET10</t>
  </si>
  <si>
    <t>OSSSET</t>
  </si>
  <si>
    <t>OSSSET20</t>
  </si>
  <si>
    <t>OSSSET30</t>
  </si>
  <si>
    <t>OSTORE10</t>
  </si>
  <si>
    <t>OSTORE</t>
  </si>
  <si>
    <t>OSTORE20</t>
  </si>
  <si>
    <t>OSTORE30</t>
  </si>
  <si>
    <t>OSTORE40</t>
  </si>
  <si>
    <t>OSTORE50</t>
  </si>
  <si>
    <t>OSTORE60</t>
  </si>
  <si>
    <t>OSTORE70</t>
  </si>
  <si>
    <t>OSYTXH10</t>
  </si>
  <si>
    <t>OTA10500</t>
  </si>
  <si>
    <t>OTA105</t>
  </si>
  <si>
    <t>OTA13110</t>
  </si>
  <si>
    <t>OTA131</t>
  </si>
  <si>
    <t>OTA13310</t>
  </si>
  <si>
    <t>OTA133</t>
  </si>
  <si>
    <t>OTA13320</t>
  </si>
  <si>
    <t>OTA51001</t>
  </si>
  <si>
    <t>OTA510</t>
  </si>
  <si>
    <t>OTA51002</t>
  </si>
  <si>
    <t>OTA51003</t>
  </si>
  <si>
    <t>OTA52001</t>
  </si>
  <si>
    <t>OTA520</t>
  </si>
  <si>
    <t>OTA52002</t>
  </si>
  <si>
    <t>OTA52003</t>
  </si>
  <si>
    <t>OTA52501</t>
  </si>
  <si>
    <t>OTA525</t>
  </si>
  <si>
    <t>OTA52502</t>
  </si>
  <si>
    <t>OTA52503</t>
  </si>
  <si>
    <t>OTBSTD00</t>
  </si>
  <si>
    <t>OTBSTD</t>
  </si>
  <si>
    <t>OTBSTD10</t>
  </si>
  <si>
    <t>OTHEAD10</t>
  </si>
  <si>
    <t>OTHEAD</t>
  </si>
  <si>
    <t>OTHEAD20</t>
  </si>
  <si>
    <t>OTHISD10</t>
  </si>
  <si>
    <t>OTHISD</t>
  </si>
  <si>
    <t>OTHISH10</t>
  </si>
  <si>
    <t>OTHISH</t>
  </si>
  <si>
    <t>OTICPY00</t>
  </si>
  <si>
    <t>OTICPY</t>
  </si>
  <si>
    <t>OTICPY10</t>
  </si>
  <si>
    <t>OTOPLP10</t>
  </si>
  <si>
    <t>OTOPLP</t>
  </si>
  <si>
    <t>OTPCON10</t>
  </si>
  <si>
    <t>OTPCON</t>
  </si>
  <si>
    <t>OTPRAC10</t>
  </si>
  <si>
    <t>OTPRAC</t>
  </si>
  <si>
    <t>OTPRID10</t>
  </si>
  <si>
    <t>OTPRID</t>
  </si>
  <si>
    <t>OTPRID20</t>
  </si>
  <si>
    <t>OTPROJ10</t>
  </si>
  <si>
    <t>OTPROJ</t>
  </si>
  <si>
    <t>OTPROJ20</t>
  </si>
  <si>
    <t>OTRSMS10</t>
  </si>
  <si>
    <t>OTRSMS</t>
  </si>
  <si>
    <t>OTRSMS20</t>
  </si>
  <si>
    <t>OTSALD10</t>
  </si>
  <si>
    <t>OTSALD</t>
  </si>
  <si>
    <t>OTSALD20</t>
  </si>
  <si>
    <t>OTSALD30</t>
  </si>
  <si>
    <t>OTSALD40</t>
  </si>
  <si>
    <t>OTSALD70</t>
  </si>
  <si>
    <t>OTTRAN01</t>
  </si>
  <si>
    <t>OTTRAN</t>
  </si>
  <si>
    <t>OTTRAN10</t>
  </si>
  <si>
    <t>OTTRAN11</t>
  </si>
  <si>
    <t>OTTRAN12</t>
  </si>
  <si>
    <t>OTTRAN13</t>
  </si>
  <si>
    <t>OTTRAN15</t>
  </si>
  <si>
    <t>OTTRAN16</t>
  </si>
  <si>
    <t>OTTRAN20</t>
  </si>
  <si>
    <t>OTTRAN21</t>
  </si>
  <si>
    <t>OTTRAN22</t>
  </si>
  <si>
    <t>OTTRAN31</t>
  </si>
  <si>
    <t>OTTRAN32</t>
  </si>
  <si>
    <t>OTTRAN40</t>
  </si>
  <si>
    <t>OTWRCD10</t>
  </si>
  <si>
    <t>OTWRCD</t>
  </si>
  <si>
    <t>OWRKSU00</t>
  </si>
  <si>
    <t>OWRKSU</t>
  </si>
  <si>
    <t>OXBORE10</t>
  </si>
  <si>
    <t>OXBORE</t>
  </si>
  <si>
    <t>OXCHRG10</t>
  </si>
  <si>
    <t>OXCHRG</t>
  </si>
  <si>
    <t>OXCNTR20</t>
  </si>
  <si>
    <t>OXCNTR30</t>
  </si>
  <si>
    <t>OXCNTR40</t>
  </si>
  <si>
    <t>OXCNTR50</t>
  </si>
  <si>
    <t>OXCNTR60</t>
  </si>
  <si>
    <t>OXCNTR70</t>
  </si>
  <si>
    <t>OXCNTR80</t>
  </si>
  <si>
    <t>OXCOLI10</t>
  </si>
  <si>
    <t>OXCOLI</t>
  </si>
  <si>
    <t>OXGRHE10</t>
  </si>
  <si>
    <t>OXGRHE</t>
  </si>
  <si>
    <t>OXGRHE20</t>
  </si>
  <si>
    <t>OXGRHE30</t>
  </si>
  <si>
    <t>OXGRLN10</t>
  </si>
  <si>
    <t>OXGRLN</t>
  </si>
  <si>
    <t>OXGRLN40</t>
  </si>
  <si>
    <t>OXGRPR10</t>
  </si>
  <si>
    <t>OXGRPR</t>
  </si>
  <si>
    <t>OXLINE10</t>
  </si>
  <si>
    <t>OXLINE11</t>
  </si>
  <si>
    <t>OXLINE20</t>
  </si>
  <si>
    <t>OXLINE60</t>
  </si>
  <si>
    <t>OXLINE80</t>
  </si>
  <si>
    <t>OXSALE10</t>
  </si>
  <si>
    <t>OXSALE</t>
  </si>
  <si>
    <t>OXSALE30</t>
  </si>
  <si>
    <t>OXSALE40</t>
  </si>
  <si>
    <t>OXSALE50</t>
  </si>
  <si>
    <t>OXSALE60</t>
  </si>
  <si>
    <t>OXXINF10</t>
  </si>
  <si>
    <t>OXXINF</t>
  </si>
  <si>
    <t>PAIWSC10</t>
  </si>
  <si>
    <t>PAIWSC</t>
  </si>
  <si>
    <t>PAIWSC20</t>
  </si>
  <si>
    <t>PAJWCD10</t>
  </si>
  <si>
    <t>PAJWCD</t>
  </si>
  <si>
    <t>PDIROL10</t>
  </si>
  <si>
    <t>PDIROL</t>
  </si>
  <si>
    <t>PDIROL20</t>
  </si>
  <si>
    <t>PDIROL30</t>
  </si>
  <si>
    <t>PDIROL40</t>
  </si>
  <si>
    <t>PDIROL50</t>
  </si>
  <si>
    <t>PDNHEA10</t>
  </si>
  <si>
    <t>PDNHEA</t>
  </si>
  <si>
    <t>PDNHEA30</t>
  </si>
  <si>
    <t>PDNHEA40</t>
  </si>
  <si>
    <t>PDNHEA50</t>
  </si>
  <si>
    <t>PDNHEA60</t>
  </si>
  <si>
    <t>PDNHEA70</t>
  </si>
  <si>
    <t>PDNLIN10</t>
  </si>
  <si>
    <t>PDNLIN</t>
  </si>
  <si>
    <t>PDNLIN30</t>
  </si>
  <si>
    <t>PDNSUB10</t>
  </si>
  <si>
    <t>PDNSUB</t>
  </si>
  <si>
    <t>PEECAL10</t>
  </si>
  <si>
    <t>PEECAL</t>
  </si>
  <si>
    <t>PFTRNS10</t>
  </si>
  <si>
    <t>PFTRNS</t>
  </si>
  <si>
    <t>PFTRNS20</t>
  </si>
  <si>
    <t>PFTRNS30</t>
  </si>
  <si>
    <t>PFTRNS40</t>
  </si>
  <si>
    <t>PFTRNS50</t>
  </si>
  <si>
    <t>PFTRNS60</t>
  </si>
  <si>
    <t>PMARCO00</t>
  </si>
  <si>
    <t>PMARCO</t>
  </si>
  <si>
    <t>PPP36210</t>
  </si>
  <si>
    <t>PPP362</t>
  </si>
  <si>
    <t>PPP36310</t>
  </si>
  <si>
    <t>PPP363</t>
  </si>
  <si>
    <t>PPP36320</t>
  </si>
  <si>
    <t>PPP90090</t>
  </si>
  <si>
    <t>PPP900</t>
  </si>
  <si>
    <t>PPPSUB10</t>
  </si>
  <si>
    <t>PPPSUB</t>
  </si>
  <si>
    <t>PPPWHL10</t>
  </si>
  <si>
    <t>PPPWHL</t>
  </si>
  <si>
    <t>PPPWHL20</t>
  </si>
  <si>
    <t>PPTRNS10</t>
  </si>
  <si>
    <t>PPTRNS</t>
  </si>
  <si>
    <t>PPTRNS20</t>
  </si>
  <si>
    <t>PPTRNS30</t>
  </si>
  <si>
    <t>PPTRNS40</t>
  </si>
  <si>
    <t>PPTRNS50</t>
  </si>
  <si>
    <t>PPW19010</t>
  </si>
  <si>
    <t>PPW190</t>
  </si>
  <si>
    <t>PPW19020</t>
  </si>
  <si>
    <t>PPW19025</t>
  </si>
  <si>
    <t>PPW19110</t>
  </si>
  <si>
    <t>PPW191</t>
  </si>
  <si>
    <t>PPW19120</t>
  </si>
  <si>
    <t>PPW19125</t>
  </si>
  <si>
    <t>PPW19210</t>
  </si>
  <si>
    <t>PPW192</t>
  </si>
  <si>
    <t>PPW19220</t>
  </si>
  <si>
    <t>PPW19225</t>
  </si>
  <si>
    <t>PPW19230</t>
  </si>
  <si>
    <t>PPW19240</t>
  </si>
  <si>
    <t>PPW19310</t>
  </si>
  <si>
    <t>PPW193</t>
  </si>
  <si>
    <t>QMSDLE10</t>
  </si>
  <si>
    <t>QMSDLE</t>
  </si>
  <si>
    <t>QMSDOC10</t>
  </si>
  <si>
    <t>QMSDOC</t>
  </si>
  <si>
    <t>QMSDOC20</t>
  </si>
  <si>
    <t>QMSDOC30</t>
  </si>
  <si>
    <t>QMSENT10</t>
  </si>
  <si>
    <t>QMSENT</t>
  </si>
  <si>
    <t>QMSENT20</t>
  </si>
  <si>
    <t>QMSENT30</t>
  </si>
  <si>
    <t>QMSOSP10</t>
  </si>
  <si>
    <t>QMSOSP</t>
  </si>
  <si>
    <t>QMSOSP20</t>
  </si>
  <si>
    <t>QMSOSP30</t>
  </si>
  <si>
    <t>QMSOTS10</t>
  </si>
  <si>
    <t>QMSOTS</t>
  </si>
  <si>
    <t>QMSOTS20</t>
  </si>
  <si>
    <t>QMSQGP10</t>
  </si>
  <si>
    <t>QMSQGP</t>
  </si>
  <si>
    <t>QMSQPL10</t>
  </si>
  <si>
    <t>QMSQPL</t>
  </si>
  <si>
    <t>QMSQPW10</t>
  </si>
  <si>
    <t>QMSQPW</t>
  </si>
  <si>
    <t>QMSQPW20</t>
  </si>
  <si>
    <t>QMSRQH10</t>
  </si>
  <si>
    <t>QMSRQH</t>
  </si>
  <si>
    <t>QMSRQH20</t>
  </si>
  <si>
    <t>QMSRQH30</t>
  </si>
  <si>
    <t>QMSRQH40</t>
  </si>
  <si>
    <t>QMSRQH50</t>
  </si>
  <si>
    <t>QMSRQH60</t>
  </si>
  <si>
    <t>QMSRQH70</t>
  </si>
  <si>
    <t>QMSRQH80</t>
  </si>
  <si>
    <t>QMSRQH85</t>
  </si>
  <si>
    <t>QMSRQH88</t>
  </si>
  <si>
    <t>QMSRQH90</t>
  </si>
  <si>
    <t>QMSRQH95</t>
  </si>
  <si>
    <t>QMSRQS20</t>
  </si>
  <si>
    <t>QMSRQS</t>
  </si>
  <si>
    <t>QMSRQS30</t>
  </si>
  <si>
    <t>QMSRQS40</t>
  </si>
  <si>
    <t>QMSRQT10</t>
  </si>
  <si>
    <t>QMSRQT</t>
  </si>
  <si>
    <t>QMSRQT20</t>
  </si>
  <si>
    <t>QMSRQT30</t>
  </si>
  <si>
    <t>QMSRQT40</t>
  </si>
  <si>
    <t>QMSSAP10</t>
  </si>
  <si>
    <t>QMSSAP</t>
  </si>
  <si>
    <t>QMSSET10</t>
  </si>
  <si>
    <t>QMSSET</t>
  </si>
  <si>
    <t>QMSSPE10</t>
  </si>
  <si>
    <t>QMSSPE</t>
  </si>
  <si>
    <t>QMSSPE20</t>
  </si>
  <si>
    <t>QMSSPE30</t>
  </si>
  <si>
    <t>QMSSPE40</t>
  </si>
  <si>
    <t>QMSSPE50</t>
  </si>
  <si>
    <t>QMSTRE01</t>
  </si>
  <si>
    <t>QMSTRE</t>
  </si>
  <si>
    <t>QMSTRE30</t>
  </si>
  <si>
    <t>QMSTRE40</t>
  </si>
  <si>
    <t>QMSTRE50</t>
  </si>
  <si>
    <t>QMSTRE60</t>
  </si>
  <si>
    <t>QMSTRE70</t>
  </si>
  <si>
    <t>QMSTRE80</t>
  </si>
  <si>
    <t>QMSTRE90</t>
  </si>
  <si>
    <t>QMSTRE95</t>
  </si>
  <si>
    <t>QMSTRS10</t>
  </si>
  <si>
    <t>QMSTRS</t>
  </si>
  <si>
    <t>QMSTST10</t>
  </si>
  <si>
    <t>QMSTST</t>
  </si>
  <si>
    <t>QMSTST20</t>
  </si>
  <si>
    <t>QMSTST30</t>
  </si>
  <si>
    <t>QMSTST40</t>
  </si>
  <si>
    <t>QMSTST50</t>
  </si>
  <si>
    <t>QMSTST60</t>
  </si>
  <si>
    <t>QMSTST70</t>
  </si>
  <si>
    <t>QMSTST80</t>
  </si>
  <si>
    <t>QMSTTP10</t>
  </si>
  <si>
    <t>QMSTTP</t>
  </si>
  <si>
    <t>QMSTTP20</t>
  </si>
  <si>
    <t>QMSTTP30</t>
  </si>
  <si>
    <t>QQARTI10</t>
  </si>
  <si>
    <t>QQARTI</t>
  </si>
  <si>
    <t>QQTMIT10</t>
  </si>
  <si>
    <t>QQTMIT</t>
  </si>
  <si>
    <t>QQTOOL10</t>
  </si>
  <si>
    <t>QQTOOL</t>
  </si>
  <si>
    <t>QQTOTI10</t>
  </si>
  <si>
    <t>QQTOTI</t>
  </si>
  <si>
    <t>QUADDI10</t>
  </si>
  <si>
    <t>QUADDI</t>
  </si>
  <si>
    <t>QUAKIT20</t>
  </si>
  <si>
    <t>QUAKIT</t>
  </si>
  <si>
    <t>QUCADD10</t>
  </si>
  <si>
    <t>QUCADD</t>
  </si>
  <si>
    <t>QUCAMP10</t>
  </si>
  <si>
    <t>QUCAMP</t>
  </si>
  <si>
    <t>QUCFIN10</t>
  </si>
  <si>
    <t>QUCFIN</t>
  </si>
  <si>
    <t>QUCFIN20</t>
  </si>
  <si>
    <t>QUCMAI10</t>
  </si>
  <si>
    <t>QUCMAI</t>
  </si>
  <si>
    <t>QUCMAI20</t>
  </si>
  <si>
    <t>QUCONF10</t>
  </si>
  <si>
    <t>QUCONF</t>
  </si>
  <si>
    <t>QUCONF20</t>
  </si>
  <si>
    <t>QUCONF30</t>
  </si>
  <si>
    <t>QUCONT10</t>
  </si>
  <si>
    <t>QUCONT</t>
  </si>
  <si>
    <t>QUCONT20</t>
  </si>
  <si>
    <t>QUCSER10</t>
  </si>
  <si>
    <t>QUCSER</t>
  </si>
  <si>
    <t>QUCSER20</t>
  </si>
  <si>
    <t>QUFINA10</t>
  </si>
  <si>
    <t>QUFINA</t>
  </si>
  <si>
    <t>QUGROP10</t>
  </si>
  <si>
    <t>QUGROP</t>
  </si>
  <si>
    <t>QUHEAD10</t>
  </si>
  <si>
    <t>QUHEAD</t>
  </si>
  <si>
    <t>QUHEAD11</t>
  </si>
  <si>
    <t>QUHEAD20</t>
  </si>
  <si>
    <t>QUHEAD30</t>
  </si>
  <si>
    <t>QUHEAD40</t>
  </si>
  <si>
    <t>QUHEAD50</t>
  </si>
  <si>
    <t>QUHEAD60</t>
  </si>
  <si>
    <t>QUHEAD70</t>
  </si>
  <si>
    <t>QUHEAD80</t>
  </si>
  <si>
    <t>QULINE10</t>
  </si>
  <si>
    <t>QULINE</t>
  </si>
  <si>
    <t>QULINE11</t>
  </si>
  <si>
    <t>QULINE20</t>
  </si>
  <si>
    <t>QULINE30</t>
  </si>
  <si>
    <t>QULINE40</t>
  </si>
  <si>
    <t>QULINE50</t>
  </si>
  <si>
    <t>QULINE60</t>
  </si>
  <si>
    <t>QUMAIA10</t>
  </si>
  <si>
    <t>QUMAIA</t>
  </si>
  <si>
    <t>QUPRCO10</t>
  </si>
  <si>
    <t>QUPRCO</t>
  </si>
  <si>
    <t>QUPROS01</t>
  </si>
  <si>
    <t>QUPROS</t>
  </si>
  <si>
    <t>QUPROS10</t>
  </si>
  <si>
    <t>QUPROS20</t>
  </si>
  <si>
    <t>QUPROS30</t>
  </si>
  <si>
    <t>QUPROS40</t>
  </si>
  <si>
    <t>QURELA10</t>
  </si>
  <si>
    <t>QURELA</t>
  </si>
  <si>
    <t>QUSERV10</t>
  </si>
  <si>
    <t>QUSERV</t>
  </si>
  <si>
    <t>QUSMPS10</t>
  </si>
  <si>
    <t>QUSMPS</t>
  </si>
  <si>
    <t>QUTAMA10</t>
  </si>
  <si>
    <t>QUTAMA</t>
  </si>
  <si>
    <t>QUWARR10</t>
  </si>
  <si>
    <t>QUWARR</t>
  </si>
  <si>
    <t>SAAGPR10</t>
  </si>
  <si>
    <t>SAAGPR</t>
  </si>
  <si>
    <t>SAAGPR20</t>
  </si>
  <si>
    <t>SAGCON10</t>
  </si>
  <si>
    <t>SAGCON</t>
  </si>
  <si>
    <t>SAGCON20</t>
  </si>
  <si>
    <t>SAGCON30</t>
  </si>
  <si>
    <t>SAGITM10</t>
  </si>
  <si>
    <t>SAGITM</t>
  </si>
  <si>
    <t>SAGITM20</t>
  </si>
  <si>
    <t>SAGITM30</t>
  </si>
  <si>
    <t>SAGITM40</t>
  </si>
  <si>
    <t>SAGOTP10</t>
  </si>
  <si>
    <t>SAGOTP</t>
  </si>
  <si>
    <t>SAGTYP10</t>
  </si>
  <si>
    <t>SAGTYP</t>
  </si>
  <si>
    <t>SAGTYP20</t>
  </si>
  <si>
    <t>SAHEAD10</t>
  </si>
  <si>
    <t>SAHEAD</t>
  </si>
  <si>
    <t>SAHEAD20</t>
  </si>
  <si>
    <t>SAHEAD30</t>
  </si>
  <si>
    <t>SAHEAD40</t>
  </si>
  <si>
    <t>SAHEAD50</t>
  </si>
  <si>
    <t>SAHEAD60</t>
  </si>
  <si>
    <t>SAHEAD95</t>
  </si>
  <si>
    <t>SALINE10</t>
  </si>
  <si>
    <t>SALINE</t>
  </si>
  <si>
    <t>SALINE30</t>
  </si>
  <si>
    <t>SALINE40</t>
  </si>
  <si>
    <t>SALINE50</t>
  </si>
  <si>
    <t>SALINE60</t>
  </si>
  <si>
    <t>SALOCA10</t>
  </si>
  <si>
    <t>SALOCA</t>
  </si>
  <si>
    <t>SALOCA20</t>
  </si>
  <si>
    <t>SALOCA30</t>
  </si>
  <si>
    <t>SAMPSD10</t>
  </si>
  <si>
    <t>SAMPSD</t>
  </si>
  <si>
    <t>SAMPSH10</t>
  </si>
  <si>
    <t>SAMPSH</t>
  </si>
  <si>
    <t>SAPRIL10</t>
  </si>
  <si>
    <t>SAPRIL</t>
  </si>
  <si>
    <t>SAPRIL20</t>
  </si>
  <si>
    <t>SAQUOH10</t>
  </si>
  <si>
    <t>SAQUOH</t>
  </si>
  <si>
    <t>SAQUOH20</t>
  </si>
  <si>
    <t>SAQUOH30</t>
  </si>
  <si>
    <t>SAQUOH40</t>
  </si>
  <si>
    <t>SAQUOH50</t>
  </si>
  <si>
    <t>SAQUOH60</t>
  </si>
  <si>
    <t>SARLAD10</t>
  </si>
  <si>
    <t>SARLAD</t>
  </si>
  <si>
    <t>SARPIT10</t>
  </si>
  <si>
    <t>SARPIT</t>
  </si>
  <si>
    <t>SARTEC10</t>
  </si>
  <si>
    <t>SARTEC</t>
  </si>
  <si>
    <t>SARTEC20</t>
  </si>
  <si>
    <t>SASSTP10</t>
  </si>
  <si>
    <t>SASSTP</t>
  </si>
  <si>
    <t>SASSTP20</t>
  </si>
  <si>
    <t>SATLAD10</t>
  </si>
  <si>
    <t>SATLAD</t>
  </si>
  <si>
    <t>SAVLCD20</t>
  </si>
  <si>
    <t>SAVLCD</t>
  </si>
  <si>
    <t>SAVLCD30</t>
  </si>
  <si>
    <t>SBTYPE10</t>
  </si>
  <si>
    <t>SBTYPE</t>
  </si>
  <si>
    <t>SBTYPE20</t>
  </si>
  <si>
    <t>SCMPSH10</t>
  </si>
  <si>
    <t>SCMPSH</t>
  </si>
  <si>
    <t>SCOMPE10</t>
  </si>
  <si>
    <t>SCOMPE</t>
  </si>
  <si>
    <t>SDHEAD02</t>
  </si>
  <si>
    <t>SDHEAD</t>
  </si>
  <si>
    <t>SDHEAD20</t>
  </si>
  <si>
    <t>SDHEAD80</t>
  </si>
  <si>
    <t>SDHEAD81</t>
  </si>
  <si>
    <t>SDLINE10</t>
  </si>
  <si>
    <t>SDLINE</t>
  </si>
  <si>
    <t>SDLINE20</t>
  </si>
  <si>
    <t>SDLOCA10</t>
  </si>
  <si>
    <t>SDLOCA</t>
  </si>
  <si>
    <t>SDOADR10</t>
  </si>
  <si>
    <t>SDOADR</t>
  </si>
  <si>
    <t>SEQUIP10</t>
  </si>
  <si>
    <t>SEQUIP</t>
  </si>
  <si>
    <t>SEQUIP20</t>
  </si>
  <si>
    <t>SEQUIP30</t>
  </si>
  <si>
    <t>SEQUIP40</t>
  </si>
  <si>
    <t>SERACT10</t>
  </si>
  <si>
    <t>SERACT</t>
  </si>
  <si>
    <t>SERCOD10</t>
  </si>
  <si>
    <t>SERCOD</t>
  </si>
  <si>
    <t>SERCOD20</t>
  </si>
  <si>
    <t>SERCOD30</t>
  </si>
  <si>
    <t>SERCOD40</t>
  </si>
  <si>
    <t>SERCOD50</t>
  </si>
  <si>
    <t>SERSYM10</t>
  </si>
  <si>
    <t>SERSYM</t>
  </si>
  <si>
    <t>SERSYM20</t>
  </si>
  <si>
    <t>SERSYM30</t>
  </si>
  <si>
    <t>SERSYM40</t>
  </si>
  <si>
    <t>SERSYM50</t>
  </si>
  <si>
    <t>SESLAD10</t>
  </si>
  <si>
    <t>SESLAD</t>
  </si>
  <si>
    <t>SESTRG10</t>
  </si>
  <si>
    <t>SESTRG</t>
  </si>
  <si>
    <t>SEXCHG10</t>
  </si>
  <si>
    <t>SEXCHG</t>
  </si>
  <si>
    <t>SEXCHG20</t>
  </si>
  <si>
    <t>SEXCHG30</t>
  </si>
  <si>
    <t>SEXCHG40</t>
  </si>
  <si>
    <t>SEXCHG60</t>
  </si>
  <si>
    <t>SFALOC10</t>
  </si>
  <si>
    <t>SFALOC</t>
  </si>
  <si>
    <t>SFALOC11</t>
  </si>
  <si>
    <t>SFALOD05</t>
  </si>
  <si>
    <t>SFALOD</t>
  </si>
  <si>
    <t>SFALOD10</t>
  </si>
  <si>
    <t>SGDIPO10</t>
  </si>
  <si>
    <t>SGDIPO</t>
  </si>
  <si>
    <t>SGDISY10</t>
  </si>
  <si>
    <t>SGDISY</t>
  </si>
  <si>
    <t>SGDLNG10</t>
  </si>
  <si>
    <t>SGDLNG</t>
  </si>
  <si>
    <t>SGDMTX10</t>
  </si>
  <si>
    <t>SGDMTX</t>
  </si>
  <si>
    <t>SGDMTX20</t>
  </si>
  <si>
    <t>SGDMTX40</t>
  </si>
  <si>
    <t>SGDMTX50</t>
  </si>
  <si>
    <t>SIDMAT10</t>
  </si>
  <si>
    <t>SIDMAT</t>
  </si>
  <si>
    <t>SIDMAT20</t>
  </si>
  <si>
    <t>SIDMAT30</t>
  </si>
  <si>
    <t>SIDMAT40</t>
  </si>
  <si>
    <t>SIDMAT50</t>
  </si>
  <si>
    <t>SIIRPT10</t>
  </si>
  <si>
    <t>SIIRPT</t>
  </si>
  <si>
    <t>SINACC10</t>
  </si>
  <si>
    <t>SINACC</t>
  </si>
  <si>
    <t>SINACC20</t>
  </si>
  <si>
    <t>SINACC40</t>
  </si>
  <si>
    <t>SINACC50</t>
  </si>
  <si>
    <t>SINACC90</t>
  </si>
  <si>
    <t>SINACC91</t>
  </si>
  <si>
    <t>SINDII30</t>
  </si>
  <si>
    <t>SINDII</t>
  </si>
  <si>
    <t>SINDIV05</t>
  </si>
  <si>
    <t>SINDIV</t>
  </si>
  <si>
    <t>SINDIV10</t>
  </si>
  <si>
    <t>SINDIV11</t>
  </si>
  <si>
    <t>SINDIV12</t>
  </si>
  <si>
    <t>SINDIV20</t>
  </si>
  <si>
    <t>SINDIV21</t>
  </si>
  <si>
    <t>SINDIV30</t>
  </si>
  <si>
    <t>SINDIV39</t>
  </si>
  <si>
    <t>SINDIV40</t>
  </si>
  <si>
    <t>SINDIV41</t>
  </si>
  <si>
    <t>SINDIV42</t>
  </si>
  <si>
    <t>SINDIV43</t>
  </si>
  <si>
    <t>SINDIV44</t>
  </si>
  <si>
    <t>SINDIV45</t>
  </si>
  <si>
    <t>SINDIV46</t>
  </si>
  <si>
    <t>SINDIV50</t>
  </si>
  <si>
    <t>SINDIV51</t>
  </si>
  <si>
    <t>SINDIV52</t>
  </si>
  <si>
    <t>SINDIV60</t>
  </si>
  <si>
    <t>SINDIV70</t>
  </si>
  <si>
    <t>SINDIV80</t>
  </si>
  <si>
    <t>SINDIV82</t>
  </si>
  <si>
    <t>SINDIV90</t>
  </si>
  <si>
    <t>SINDIV91</t>
  </si>
  <si>
    <t>SINDIV92</t>
  </si>
  <si>
    <t>SINDIV95</t>
  </si>
  <si>
    <t>SINDIV96</t>
  </si>
  <si>
    <t>SINDIV97</t>
  </si>
  <si>
    <t>SINDIV98</t>
  </si>
  <si>
    <t>SINMOD10</t>
  </si>
  <si>
    <t>SINMOD</t>
  </si>
  <si>
    <t>SINMRD10</t>
  </si>
  <si>
    <t>SINMRD</t>
  </si>
  <si>
    <t>SINMTR01</t>
  </si>
  <si>
    <t>SINMTR</t>
  </si>
  <si>
    <t>SINMTR10</t>
  </si>
  <si>
    <t>SINMTR11</t>
  </si>
  <si>
    <t>SINMTR20</t>
  </si>
  <si>
    <t>SINMTR30</t>
  </si>
  <si>
    <t>SINSLD10</t>
  </si>
  <si>
    <t>SINSLD</t>
  </si>
  <si>
    <t>SINTRA10</t>
  </si>
  <si>
    <t>SINTRA</t>
  </si>
  <si>
    <t>SINTRA20</t>
  </si>
  <si>
    <t>SINTRA30</t>
  </si>
  <si>
    <t>SINTRA40</t>
  </si>
  <si>
    <t>SINTRA50</t>
  </si>
  <si>
    <t>SINTRA60</t>
  </si>
  <si>
    <t>SINTRA70</t>
  </si>
  <si>
    <t>SINTRA80</t>
  </si>
  <si>
    <t>SINTRA90</t>
  </si>
  <si>
    <t>SINTRA91</t>
  </si>
  <si>
    <t>SINVER10</t>
  </si>
  <si>
    <t>SINVER</t>
  </si>
  <si>
    <t>SINVER20</t>
  </si>
  <si>
    <t>SINVMT10</t>
  </si>
  <si>
    <t>SINVMT</t>
  </si>
  <si>
    <t>SINVMT20</t>
  </si>
  <si>
    <t>SIPRIL10</t>
  </si>
  <si>
    <t>SIPRIL</t>
  </si>
  <si>
    <t>SIPRIL20</t>
  </si>
  <si>
    <t>SITCMD10</t>
  </si>
  <si>
    <t>SITCMD</t>
  </si>
  <si>
    <t>SITCME20</t>
  </si>
  <si>
    <t>SITCME</t>
  </si>
  <si>
    <t>SITCOM10</t>
  </si>
  <si>
    <t>SITCOM</t>
  </si>
  <si>
    <t>SITLAD10</t>
  </si>
  <si>
    <t>SITLAD</t>
  </si>
  <si>
    <t>SITMOD10</t>
  </si>
  <si>
    <t>SITMOD</t>
  </si>
  <si>
    <t>SITPOP10</t>
  </si>
  <si>
    <t>SITPOP</t>
  </si>
  <si>
    <t>SITPOP20</t>
  </si>
  <si>
    <t>SKITHE10</t>
  </si>
  <si>
    <t>SKITHE</t>
  </si>
  <si>
    <t>SKITLN10</t>
  </si>
  <si>
    <t>SKITLN</t>
  </si>
  <si>
    <t>SKITLN20</t>
  </si>
  <si>
    <t>SKITVA10</t>
  </si>
  <si>
    <t>SKITVA</t>
  </si>
  <si>
    <t>SMECOD10</t>
  </si>
  <si>
    <t>SMECOD</t>
  </si>
  <si>
    <t>SMECOD20</t>
  </si>
  <si>
    <t>SMECOD30</t>
  </si>
  <si>
    <t>SMECOD40</t>
  </si>
  <si>
    <t>SMECOD50</t>
  </si>
  <si>
    <t>SMETXT10</t>
  </si>
  <si>
    <t>SMETXT</t>
  </si>
  <si>
    <t>SMETXT20</t>
  </si>
  <si>
    <t>SMETXT30</t>
  </si>
  <si>
    <t>SMETXT40</t>
  </si>
  <si>
    <t>SMETXT50</t>
  </si>
  <si>
    <t>SMWCON10</t>
  </si>
  <si>
    <t>SMWCON</t>
  </si>
  <si>
    <t>SMWCON20</t>
  </si>
  <si>
    <t>SOQUOH10</t>
  </si>
  <si>
    <t>SOQUOH</t>
  </si>
  <si>
    <t>SOQUOH20</t>
  </si>
  <si>
    <t>SOQUOH30</t>
  </si>
  <si>
    <t>SOQUOH40</t>
  </si>
  <si>
    <t>SOQUOH50</t>
  </si>
  <si>
    <t>SOQUOH60</t>
  </si>
  <si>
    <t>SOSTME10</t>
  </si>
  <si>
    <t>SOSTME</t>
  </si>
  <si>
    <t>SOWAST10</t>
  </si>
  <si>
    <t>SOWAST</t>
  </si>
  <si>
    <t>SPICLI10</t>
  </si>
  <si>
    <t>SPICLI</t>
  </si>
  <si>
    <t>SPICLI20</t>
  </si>
  <si>
    <t>SPICLI30</t>
  </si>
  <si>
    <t>SPITTP10</t>
  </si>
  <si>
    <t>SPITTP</t>
  </si>
  <si>
    <t>SPITTP20</t>
  </si>
  <si>
    <t>SPMACT10</t>
  </si>
  <si>
    <t>SPMACT</t>
  </si>
  <si>
    <t>SPMACT20</t>
  </si>
  <si>
    <t>SPMINF10</t>
  </si>
  <si>
    <t>SPMINF</t>
  </si>
  <si>
    <t>SPRICE10</t>
  </si>
  <si>
    <t>SPRICE</t>
  </si>
  <si>
    <t>SPRICE20</t>
  </si>
  <si>
    <t>SPRICH10</t>
  </si>
  <si>
    <t>SPRICH</t>
  </si>
  <si>
    <t>SPRICH20</t>
  </si>
  <si>
    <t>SPRICH30</t>
  </si>
  <si>
    <t>SPRICL10</t>
  </si>
  <si>
    <t>SPRICL</t>
  </si>
  <si>
    <t>SPRICL20</t>
  </si>
  <si>
    <t>SPWCON10</t>
  </si>
  <si>
    <t>SPWCON</t>
  </si>
  <si>
    <t>SQUTEM10</t>
  </si>
  <si>
    <t>SQUTEM</t>
  </si>
  <si>
    <t>SQUTEM20</t>
  </si>
  <si>
    <t>SQUTEM30</t>
  </si>
  <si>
    <t>SQUTEM40</t>
  </si>
  <si>
    <t>SQUTEM50</t>
  </si>
  <si>
    <t>SQUTEM60</t>
  </si>
  <si>
    <t>SQUTEM70</t>
  </si>
  <si>
    <t>SSADRE20</t>
  </si>
  <si>
    <t>SSADRE</t>
  </si>
  <si>
    <t>SSADTX10</t>
  </si>
  <si>
    <t>SSADTX</t>
  </si>
  <si>
    <t>SSCUAD10</t>
  </si>
  <si>
    <t>SSCUAD</t>
  </si>
  <si>
    <t>SSDVID10</t>
  </si>
  <si>
    <t>SSDVID</t>
  </si>
  <si>
    <t>SSE44510</t>
  </si>
  <si>
    <t>SSE445</t>
  </si>
  <si>
    <t>SSEITM10</t>
  </si>
  <si>
    <t>SSEITM</t>
  </si>
  <si>
    <t>SSEITM20</t>
  </si>
  <si>
    <t>SSEITM30</t>
  </si>
  <si>
    <t>SSHEAD01</t>
  </si>
  <si>
    <t>SSHEAD</t>
  </si>
  <si>
    <t>SSHEAD02</t>
  </si>
  <si>
    <t>SSHEAD03</t>
  </si>
  <si>
    <t>SSHEAD10</t>
  </si>
  <si>
    <t>SSHEAD11</t>
  </si>
  <si>
    <t>SSHEAD15</t>
  </si>
  <si>
    <t>SSHEAD20</t>
  </si>
  <si>
    <t>SSHEAD21</t>
  </si>
  <si>
    <t>SSHEAD30</t>
  </si>
  <si>
    <t>SSHEAD35</t>
  </si>
  <si>
    <t>SSHEAD40</t>
  </si>
  <si>
    <t>SSHEAD41</t>
  </si>
  <si>
    <t>SSHEAD46</t>
  </si>
  <si>
    <t>SSHEAD50</t>
  </si>
  <si>
    <t>SSHEAD55</t>
  </si>
  <si>
    <t>SSHEAD60</t>
  </si>
  <si>
    <t>SSHEAD65</t>
  </si>
  <si>
    <t>SSHEAD70</t>
  </si>
  <si>
    <t>SSHEAD75</t>
  </si>
  <si>
    <t>SSHEAD76</t>
  </si>
  <si>
    <t>SSHEAD80</t>
  </si>
  <si>
    <t>SSHEAD86</t>
  </si>
  <si>
    <t>SSHEAD90</t>
  </si>
  <si>
    <t>SSHEAD95</t>
  </si>
  <si>
    <t>SSILAD10</t>
  </si>
  <si>
    <t>SSILAD</t>
  </si>
  <si>
    <t>SSINID10</t>
  </si>
  <si>
    <t>SSINID</t>
  </si>
  <si>
    <t>SSISID10</t>
  </si>
  <si>
    <t>SSISID</t>
  </si>
  <si>
    <t>SSJOBH10</t>
  </si>
  <si>
    <t>SSJOBH</t>
  </si>
  <si>
    <t>SSJOBH11</t>
  </si>
  <si>
    <t>SSJOBH12</t>
  </si>
  <si>
    <t>SSJOBH20</t>
  </si>
  <si>
    <t>SSJOBH21</t>
  </si>
  <si>
    <t>SSJOBH22</t>
  </si>
  <si>
    <t>SSJOBH23</t>
  </si>
  <si>
    <t>SSJOBH26</t>
  </si>
  <si>
    <t>SSJOBH27</t>
  </si>
  <si>
    <t>SSJOBH28</t>
  </si>
  <si>
    <t>SSJOBH29</t>
  </si>
  <si>
    <t>SSJOBH31</t>
  </si>
  <si>
    <t>SSJOBH41</t>
  </si>
  <si>
    <t>SSJOBH42</t>
  </si>
  <si>
    <t>SSJOBH44</t>
  </si>
  <si>
    <t>SSJOBH51</t>
  </si>
  <si>
    <t>SSJOBH55</t>
  </si>
  <si>
    <t>SSJOBH62</t>
  </si>
  <si>
    <t>SSJOBH65</t>
  </si>
  <si>
    <t>SSJOBH66</t>
  </si>
  <si>
    <t>SSJOBH70</t>
  </si>
  <si>
    <t>SSJOBH75</t>
  </si>
  <si>
    <t>SSJOBH76</t>
  </si>
  <si>
    <t>SSJOBH80</t>
  </si>
  <si>
    <t>SSJOBH87</t>
  </si>
  <si>
    <t>SSJOBH88</t>
  </si>
  <si>
    <t>SSJOBH89</t>
  </si>
  <si>
    <t>SSJOBH90</t>
  </si>
  <si>
    <t>SSJOBH91</t>
  </si>
  <si>
    <t>SSJOBH92</t>
  </si>
  <si>
    <t>SSJOBH93</t>
  </si>
  <si>
    <t>SSJOBH94</t>
  </si>
  <si>
    <t>SSJOBH95</t>
  </si>
  <si>
    <t>SSJOBH96</t>
  </si>
  <si>
    <t>SSJOBH97</t>
  </si>
  <si>
    <t>SSJOBH98</t>
  </si>
  <si>
    <t>SSLICH10</t>
  </si>
  <si>
    <t>SSLICH</t>
  </si>
  <si>
    <t>SSLINE01</t>
  </si>
  <si>
    <t>SSLINE</t>
  </si>
  <si>
    <t>SSLINE05</t>
  </si>
  <si>
    <t>SSLINE10</t>
  </si>
  <si>
    <t>SSLINE20</t>
  </si>
  <si>
    <t>SSLINE40</t>
  </si>
  <si>
    <t>SSLINE50</t>
  </si>
  <si>
    <t>SSLINE60</t>
  </si>
  <si>
    <t>SSLINE70</t>
  </si>
  <si>
    <t>SSLINE80</t>
  </si>
  <si>
    <t>SSLINE87</t>
  </si>
  <si>
    <t>SSLINE90</t>
  </si>
  <si>
    <t>SSO18010</t>
  </si>
  <si>
    <t>SSO180</t>
  </si>
  <si>
    <t>SSO18110</t>
  </si>
  <si>
    <t>SSO181</t>
  </si>
  <si>
    <t>SSO18120</t>
  </si>
  <si>
    <t>SSO18130</t>
  </si>
  <si>
    <t>SSO18210</t>
  </si>
  <si>
    <t>SSO182</t>
  </si>
  <si>
    <t>SSPRPH10</t>
  </si>
  <si>
    <t>SSPRPH</t>
  </si>
  <si>
    <t>SSPRPH20</t>
  </si>
  <si>
    <t>SSPRPH30</t>
  </si>
  <si>
    <t>SSRESP10</t>
  </si>
  <si>
    <t>SSRESP</t>
  </si>
  <si>
    <t>SSRETM10</t>
  </si>
  <si>
    <t>SSRETM</t>
  </si>
  <si>
    <t>SST30010</t>
  </si>
  <si>
    <t>SST300</t>
  </si>
  <si>
    <t>SST48510</t>
  </si>
  <si>
    <t>SST485</t>
  </si>
  <si>
    <t>SST48520</t>
  </si>
  <si>
    <t>SST49510</t>
  </si>
  <si>
    <t>SST495</t>
  </si>
  <si>
    <t>SST49520</t>
  </si>
  <si>
    <t>SST49530</t>
  </si>
  <si>
    <t>SST49540</t>
  </si>
  <si>
    <t>SST49550</t>
  </si>
  <si>
    <t>SST81110</t>
  </si>
  <si>
    <t>SST811</t>
  </si>
  <si>
    <t>SSTECH20</t>
  </si>
  <si>
    <t>SSTECH</t>
  </si>
  <si>
    <t>SSTRAL10</t>
  </si>
  <si>
    <t>SSTRAL</t>
  </si>
  <si>
    <t>SSTRAL20</t>
  </si>
  <si>
    <t>SSTYCH10</t>
  </si>
  <si>
    <t>SSTYCH</t>
  </si>
  <si>
    <t>SSTYPE10</t>
  </si>
  <si>
    <t>SSTYPE</t>
  </si>
  <si>
    <t>SSZONE10</t>
  </si>
  <si>
    <t>SSZONE</t>
  </si>
  <si>
    <t>SSZONE20</t>
  </si>
  <si>
    <t>ST650210</t>
  </si>
  <si>
    <t>ST6502</t>
  </si>
  <si>
    <t>ST820110</t>
  </si>
  <si>
    <t>ST8201</t>
  </si>
  <si>
    <t>STACON10</t>
  </si>
  <si>
    <t>STACON</t>
  </si>
  <si>
    <t>STADCH00</t>
  </si>
  <si>
    <t>STADCH</t>
  </si>
  <si>
    <t>STADCM10</t>
  </si>
  <si>
    <t>STADCM</t>
  </si>
  <si>
    <t>STADCM20</t>
  </si>
  <si>
    <t>STAGDN10</t>
  </si>
  <si>
    <t>STAGDN</t>
  </si>
  <si>
    <t>STAGHD01</t>
  </si>
  <si>
    <t>STAGHD</t>
  </si>
  <si>
    <t>STAGHD02</t>
  </si>
  <si>
    <t>STAGHE03</t>
  </si>
  <si>
    <t>STAGHE</t>
  </si>
  <si>
    <t>STAGHE10</t>
  </si>
  <si>
    <t>STAGHE11</t>
  </si>
  <si>
    <t>STAGHE20</t>
  </si>
  <si>
    <t>STAGHE30</t>
  </si>
  <si>
    <t>STAGHE40</t>
  </si>
  <si>
    <t>STAGHE50</t>
  </si>
  <si>
    <t>STAGHE60</t>
  </si>
  <si>
    <t>STAGHE70</t>
  </si>
  <si>
    <t>STAGHH01</t>
  </si>
  <si>
    <t>STAGHH</t>
  </si>
  <si>
    <t>STAGHH10</t>
  </si>
  <si>
    <t>STAGHH11</t>
  </si>
  <si>
    <t>STAGHH20</t>
  </si>
  <si>
    <t>STAGHH21</t>
  </si>
  <si>
    <t>STAGHH30</t>
  </si>
  <si>
    <t>STAGHH31</t>
  </si>
  <si>
    <t>STAGHH40</t>
  </si>
  <si>
    <t>STAGHH41</t>
  </si>
  <si>
    <t>STAGHH60</t>
  </si>
  <si>
    <t>STAGHL01</t>
  </si>
  <si>
    <t>STAGHL</t>
  </si>
  <si>
    <t>STAGHL10</t>
  </si>
  <si>
    <t>STAGHL20</t>
  </si>
  <si>
    <t>STAGHL21</t>
  </si>
  <si>
    <t>STAGHL30</t>
  </si>
  <si>
    <t>STAGHL31</t>
  </si>
  <si>
    <t>STAGHL40</t>
  </si>
  <si>
    <t>STAGHL41</t>
  </si>
  <si>
    <t>STAGHL50</t>
  </si>
  <si>
    <t>STAGHT01</t>
  </si>
  <si>
    <t>STAGHT</t>
  </si>
  <si>
    <t>STAGHT10</t>
  </si>
  <si>
    <t>STAGHT11</t>
  </si>
  <si>
    <t>STAGHT20</t>
  </si>
  <si>
    <t>STAGHT21</t>
  </si>
  <si>
    <t>STAGHT30</t>
  </si>
  <si>
    <t>STAGHT31</t>
  </si>
  <si>
    <t>STAGLI01</t>
  </si>
  <si>
    <t>STAGLI</t>
  </si>
  <si>
    <t>STAGLI10</t>
  </si>
  <si>
    <t>STAGLI11</t>
  </si>
  <si>
    <t>STAGLI20</t>
  </si>
  <si>
    <t>STAGLI30</t>
  </si>
  <si>
    <t>STAGLI31</t>
  </si>
  <si>
    <t>STAGLI40</t>
  </si>
  <si>
    <t>STAGLI41</t>
  </si>
  <si>
    <t>STAGLI42</t>
  </si>
  <si>
    <t>STAGLI43</t>
  </si>
  <si>
    <t>STAGLI44</t>
  </si>
  <si>
    <t>STAGLI50</t>
  </si>
  <si>
    <t>STAGLI60</t>
  </si>
  <si>
    <t>STAGLI61</t>
  </si>
  <si>
    <t>STAGLI65</t>
  </si>
  <si>
    <t>STAGLI70</t>
  </si>
  <si>
    <t>STAGLI75</t>
  </si>
  <si>
    <t>STAGLI80</t>
  </si>
  <si>
    <t>STAGLI85</t>
  </si>
  <si>
    <t>STAGLI90</t>
  </si>
  <si>
    <t>STAGLI95</t>
  </si>
  <si>
    <t>STAGLI96</t>
  </si>
  <si>
    <t>STAGLI97</t>
  </si>
  <si>
    <t>STAGPD10</t>
  </si>
  <si>
    <t>STAGPD</t>
  </si>
  <si>
    <t>STAGPD20</t>
  </si>
  <si>
    <t>STAGPL10</t>
  </si>
  <si>
    <t>STAGPL</t>
  </si>
  <si>
    <t>STAGPL11</t>
  </si>
  <si>
    <t>STALIA10</t>
  </si>
  <si>
    <t>STALIA</t>
  </si>
  <si>
    <t>STALIA20</t>
  </si>
  <si>
    <t>STALIN10</t>
  </si>
  <si>
    <t>STALIN</t>
  </si>
  <si>
    <t>STARUT10</t>
  </si>
  <si>
    <t>STARUT</t>
  </si>
  <si>
    <t>STBOIN10</t>
  </si>
  <si>
    <t>STBOIN</t>
  </si>
  <si>
    <t>STBOIN20</t>
  </si>
  <si>
    <t>STBOIN30</t>
  </si>
  <si>
    <t>STBOIN40</t>
  </si>
  <si>
    <t>STBOIN50</t>
  </si>
  <si>
    <t>STBOIN60</t>
  </si>
  <si>
    <t>STBOIN70</t>
  </si>
  <si>
    <t>STBOUT10</t>
  </si>
  <si>
    <t>STBOUT</t>
  </si>
  <si>
    <t>STBOUT11</t>
  </si>
  <si>
    <t>STBOUT20</t>
  </si>
  <si>
    <t>STBOUT30</t>
  </si>
  <si>
    <t>STBOUT40</t>
  </si>
  <si>
    <t>STBOUT50</t>
  </si>
  <si>
    <t>STBOUT60</t>
  </si>
  <si>
    <t>STCFCU10</t>
  </si>
  <si>
    <t>STCFCU</t>
  </si>
  <si>
    <t>STCFCU20</t>
  </si>
  <si>
    <t>STCFPL10</t>
  </si>
  <si>
    <t>STCFPL</t>
  </si>
  <si>
    <t>STCFPL20</t>
  </si>
  <si>
    <t>STCFPL30</t>
  </si>
  <si>
    <t>STCHCU10</t>
  </si>
  <si>
    <t>STCHCU</t>
  </si>
  <si>
    <t>STCHCU20</t>
  </si>
  <si>
    <t>STCURV10</t>
  </si>
  <si>
    <t>STCURV</t>
  </si>
  <si>
    <t>STDEPO10</t>
  </si>
  <si>
    <t>STDEPO</t>
  </si>
  <si>
    <t>STDEPO20</t>
  </si>
  <si>
    <t>STDIAR10</t>
  </si>
  <si>
    <t>STDIAR</t>
  </si>
  <si>
    <t>STDIAR20</t>
  </si>
  <si>
    <t>STDIAR30</t>
  </si>
  <si>
    <t>STDIAR40</t>
  </si>
  <si>
    <t>STDIAR50</t>
  </si>
  <si>
    <t>STDIAR60</t>
  </si>
  <si>
    <t>STDIAR70</t>
  </si>
  <si>
    <t>STDIAR80</t>
  </si>
  <si>
    <t>STDPOT10</t>
  </si>
  <si>
    <t>STDPOT</t>
  </si>
  <si>
    <t>STDPOT20</t>
  </si>
  <si>
    <t>STDPOT25</t>
  </si>
  <si>
    <t>STDPOT30</t>
  </si>
  <si>
    <t>STEXCH10</t>
  </si>
  <si>
    <t>STEXCH</t>
  </si>
  <si>
    <t>STGECO10</t>
  </si>
  <si>
    <t>STGECO</t>
  </si>
  <si>
    <t>STGECO20</t>
  </si>
  <si>
    <t>STHLCH01</t>
  </si>
  <si>
    <t>STHLCH</t>
  </si>
  <si>
    <t>STINDE00</t>
  </si>
  <si>
    <t>STINDE</t>
  </si>
  <si>
    <t>STINHS10</t>
  </si>
  <si>
    <t>STINHS</t>
  </si>
  <si>
    <t>STINTH10</t>
  </si>
  <si>
    <t>STINTH</t>
  </si>
  <si>
    <t>STINTH20</t>
  </si>
  <si>
    <t>STLICH10</t>
  </si>
  <si>
    <t>STLICH</t>
  </si>
  <si>
    <t>STLICP10</t>
  </si>
  <si>
    <t>STLICP</t>
  </si>
  <si>
    <t>STLID110</t>
  </si>
  <si>
    <t>STLID1</t>
  </si>
  <si>
    <t>STLID120</t>
  </si>
  <si>
    <t>STLID140</t>
  </si>
  <si>
    <t>STLID150</t>
  </si>
  <si>
    <t>STLIDE10</t>
  </si>
  <si>
    <t>STLIDE</t>
  </si>
  <si>
    <t>STLIDE20</t>
  </si>
  <si>
    <t>STLIDE30</t>
  </si>
  <si>
    <t>STLIDE40</t>
  </si>
  <si>
    <t>STLIDE50</t>
  </si>
  <si>
    <t>STLIDE60</t>
  </si>
  <si>
    <t>STLIDE70</t>
  </si>
  <si>
    <t>STLIDO10</t>
  </si>
  <si>
    <t>STLIDO</t>
  </si>
  <si>
    <t>STLIDO20</t>
  </si>
  <si>
    <t>STLINK01</t>
  </si>
  <si>
    <t>STLINK</t>
  </si>
  <si>
    <t>STLINK10</t>
  </si>
  <si>
    <t>STLITR10</t>
  </si>
  <si>
    <t>STLITR</t>
  </si>
  <si>
    <t>STPINV10</t>
  </si>
  <si>
    <t>STPINV</t>
  </si>
  <si>
    <t>STPINV20</t>
  </si>
  <si>
    <t>STPRIH10</t>
  </si>
  <si>
    <t>STPRIH</t>
  </si>
  <si>
    <t>STPRIH20</t>
  </si>
  <si>
    <t>STPRIH30</t>
  </si>
  <si>
    <t>STPRIH40</t>
  </si>
  <si>
    <t>STPRIL10</t>
  </si>
  <si>
    <t>STPRIL</t>
  </si>
  <si>
    <t>STPRIL20</t>
  </si>
  <si>
    <t>STPRIL30</t>
  </si>
  <si>
    <t>STPRSP10</t>
  </si>
  <si>
    <t>STPRSP</t>
  </si>
  <si>
    <t>STPSDH10</t>
  </si>
  <si>
    <t>STPSDH</t>
  </si>
  <si>
    <t>STPSDH20</t>
  </si>
  <si>
    <t>STPSHE10</t>
  </si>
  <si>
    <t>STPSHE</t>
  </si>
  <si>
    <t>STPSHE20</t>
  </si>
  <si>
    <t>STPSLN10</t>
  </si>
  <si>
    <t>STPSLN</t>
  </si>
  <si>
    <t>STRDRY10</t>
  </si>
  <si>
    <t>STRDRY</t>
  </si>
  <si>
    <t>STRDRY20</t>
  </si>
  <si>
    <t>STRDRY30</t>
  </si>
  <si>
    <t>STRDRY40</t>
  </si>
  <si>
    <t>STRERE10</t>
  </si>
  <si>
    <t>STRERE</t>
  </si>
  <si>
    <t>STRERE20</t>
  </si>
  <si>
    <t>STRERE30</t>
  </si>
  <si>
    <t>STRERE40</t>
  </si>
  <si>
    <t>STRERE50</t>
  </si>
  <si>
    <t>STRERE60</t>
  </si>
  <si>
    <t>STRERE70</t>
  </si>
  <si>
    <t>STRHIS10</t>
  </si>
  <si>
    <t>STRHIS</t>
  </si>
  <si>
    <t>STRMTR01</t>
  </si>
  <si>
    <t>STRMTR</t>
  </si>
  <si>
    <t>STRMTR10</t>
  </si>
  <si>
    <t>STRMTR20</t>
  </si>
  <si>
    <t>STRPLN10</t>
  </si>
  <si>
    <t>STRPLN</t>
  </si>
  <si>
    <t>STRVCD10</t>
  </si>
  <si>
    <t>STRVCD</t>
  </si>
  <si>
    <t>STSHIS10</t>
  </si>
  <si>
    <t>STSHIS</t>
  </si>
  <si>
    <t>STSHIS11</t>
  </si>
  <si>
    <t>STTRAN10</t>
  </si>
  <si>
    <t>STTRAN</t>
  </si>
  <si>
    <t>STTRAN12</t>
  </si>
  <si>
    <t>STTRAN20</t>
  </si>
  <si>
    <t>STTRAN30</t>
  </si>
  <si>
    <t>STTRAN40</t>
  </si>
  <si>
    <t>STTRAN50</t>
  </si>
  <si>
    <t>STUFVA10</t>
  </si>
  <si>
    <t>STUFVA</t>
  </si>
  <si>
    <t>STUFVA20</t>
  </si>
  <si>
    <t>STUFVA30</t>
  </si>
  <si>
    <t>STUTIL10</t>
  </si>
  <si>
    <t>STUTIL</t>
  </si>
  <si>
    <t>STUTIL20</t>
  </si>
  <si>
    <t>STUTIL30</t>
  </si>
  <si>
    <t>STUTIL40</t>
  </si>
  <si>
    <t>STUTIL50</t>
  </si>
  <si>
    <t>STUTIL60</t>
  </si>
  <si>
    <t>SWCHCU10</t>
  </si>
  <si>
    <t>SWCHCU</t>
  </si>
  <si>
    <t>SXADRE10</t>
  </si>
  <si>
    <t>SXADRE</t>
  </si>
  <si>
    <t>SXCNTR20</t>
  </si>
  <si>
    <t>SXCNTR</t>
  </si>
  <si>
    <t>SXCNTR30</t>
  </si>
  <si>
    <t>SXCNTR40</t>
  </si>
  <si>
    <t>SXCNTR50</t>
  </si>
  <si>
    <t>SXJOBH10</t>
  </si>
  <si>
    <t>SXJOBH</t>
  </si>
  <si>
    <t>SXLINE10</t>
  </si>
  <si>
    <t>SXLINE</t>
  </si>
  <si>
    <t>TCCCRS10</t>
  </si>
  <si>
    <t>TCCCRS</t>
  </si>
  <si>
    <t>TCCHKH10</t>
  </si>
  <si>
    <t>TCCHKH</t>
  </si>
  <si>
    <t>TCCHKH20</t>
  </si>
  <si>
    <t>TCCSIN10</t>
  </si>
  <si>
    <t>TCCSIN</t>
  </si>
  <si>
    <t>TCERRM30</t>
  </si>
  <si>
    <t>TCERRM</t>
  </si>
  <si>
    <t>TCMSGT10</t>
  </si>
  <si>
    <t>TCMSGT</t>
  </si>
  <si>
    <t>TCPAID10</t>
  </si>
  <si>
    <t>TCPAID</t>
  </si>
  <si>
    <t>TCPAID20</t>
  </si>
  <si>
    <t>TCPARM10</t>
  </si>
  <si>
    <t>TCPARM</t>
  </si>
  <si>
    <t>TRANMI10</t>
  </si>
  <si>
    <t>TRANMI</t>
  </si>
  <si>
    <t>USCNTY10</t>
  </si>
  <si>
    <t>USCNTY</t>
  </si>
  <si>
    <t>USCNTY20</t>
  </si>
  <si>
    <t>VTSXRF06</t>
  </si>
  <si>
    <t>VTSXRF</t>
  </si>
  <si>
    <t>X3142020</t>
  </si>
  <si>
    <t>X31420</t>
  </si>
  <si>
    <t>X3142030</t>
  </si>
  <si>
    <t>X3142040</t>
  </si>
  <si>
    <t>XPRBAS20</t>
  </si>
  <si>
    <t>XPRBAS</t>
  </si>
  <si>
    <t>XPRICL11</t>
  </si>
  <si>
    <t>XPRICL</t>
  </si>
  <si>
    <t>XPRICL20</t>
  </si>
  <si>
    <t>XPRICL30</t>
  </si>
  <si>
    <t>XPRICL40</t>
  </si>
  <si>
    <t>XPRICL50</t>
  </si>
  <si>
    <t>XPRICL60</t>
  </si>
  <si>
    <t>XSYDOF10</t>
  </si>
  <si>
    <t>XSYDOF</t>
  </si>
  <si>
    <t>ZWLPSC10</t>
  </si>
  <si>
    <t>ZWLPSC</t>
  </si>
  <si>
    <t>ZWLPSC20</t>
  </si>
  <si>
    <t>DatbaseName</t>
  </si>
  <si>
    <t>SchemaName</t>
  </si>
  <si>
    <t>IndexName</t>
  </si>
  <si>
    <t>StartTime</t>
  </si>
  <si>
    <t>EndTime</t>
  </si>
  <si>
    <t>Duration</t>
  </si>
  <si>
    <t>JobNo</t>
  </si>
  <si>
    <t>Type</t>
  </si>
  <si>
    <t xml:space="preserve">BRASSKINDDOVE_PRD_M3C_Fou_2             </t>
  </si>
  <si>
    <t xml:space="preserve">MVXJDTA   </t>
  </si>
  <si>
    <t xml:space="preserve">AACFLY01            </t>
  </si>
  <si>
    <t>2026-03-16 14:12:32.710</t>
  </si>
  <si>
    <t>0</t>
  </si>
  <si>
    <t xml:space="preserve">IDX05902  </t>
  </si>
  <si>
    <t xml:space="preserve">REBUILD   </t>
  </si>
  <si>
    <t xml:space="preserve">AACFLY10            </t>
  </si>
  <si>
    <t>2026-03-16 14:12:32.743</t>
  </si>
  <si>
    <t xml:space="preserve">AACFLY20            </t>
  </si>
  <si>
    <t>2026-03-16 14:12:32.757</t>
  </si>
  <si>
    <t>2026-03-16 14:12:32.773</t>
  </si>
  <si>
    <t>16</t>
  </si>
  <si>
    <t xml:space="preserve">ACERTH70            </t>
  </si>
  <si>
    <t>2026-03-16 14:12:33.007</t>
  </si>
  <si>
    <t>2026-03-16 14:12:33.023</t>
  </si>
  <si>
    <t xml:space="preserve">ACERTH20            </t>
  </si>
  <si>
    <t>2026-03-16 14:12:33.040</t>
  </si>
  <si>
    <t xml:space="preserve">ACERTH10            </t>
  </si>
  <si>
    <t>2026-03-16 14:12:33.053</t>
  </si>
  <si>
    <t xml:space="preserve">ACERTH30            </t>
  </si>
  <si>
    <t>2026-03-16 14:12:33.083</t>
  </si>
  <si>
    <t xml:space="preserve">ACERTH40            </t>
  </si>
  <si>
    <t>2026-03-16 14:12:33.100</t>
  </si>
  <si>
    <t xml:space="preserve">ACERTH50            </t>
  </si>
  <si>
    <t>2026-03-16 14:12:33.117</t>
  </si>
  <si>
    <t xml:space="preserve">ACERTH60            </t>
  </si>
  <si>
    <t>2026-03-16 14:12:33.130</t>
  </si>
  <si>
    <t>2026-03-16 14:12:33.147</t>
  </si>
  <si>
    <t xml:space="preserve">ACLHED30            </t>
  </si>
  <si>
    <t>2026-03-16 14:12:33.380</t>
  </si>
  <si>
    <t>2026-03-16 14:12:33.397</t>
  </si>
  <si>
    <t xml:space="preserve">ACLHED20            </t>
  </si>
  <si>
    <t>2026-03-16 14:12:33.410</t>
  </si>
  <si>
    <t xml:space="preserve">ACLHED10            </t>
  </si>
  <si>
    <t>2026-03-16 14:12:33.427</t>
  </si>
  <si>
    <t xml:space="preserve">ACLHED70            </t>
  </si>
  <si>
    <t>2026-03-16 14:12:33.443</t>
  </si>
  <si>
    <t>2026-03-16 14:12:33.457</t>
  </si>
  <si>
    <t>15</t>
  </si>
  <si>
    <t xml:space="preserve">ACLHED40            </t>
  </si>
  <si>
    <t>2026-03-16 14:12:33.473</t>
  </si>
  <si>
    <t xml:space="preserve">ACLHED50            </t>
  </si>
  <si>
    <t>2026-03-16 14:12:33.490</t>
  </si>
  <si>
    <t xml:space="preserve">ACLHED60            </t>
  </si>
  <si>
    <t>2026-03-16 14:12:33.507</t>
  </si>
  <si>
    <t xml:space="preserve">ACLSPC10            </t>
  </si>
  <si>
    <t>2026-03-16 14:12:33.740</t>
  </si>
  <si>
    <t>2026-03-16 14:12:33.757</t>
  </si>
  <si>
    <t xml:space="preserve">ACLSPC20            </t>
  </si>
  <si>
    <t>2026-03-16 14:12:33.770</t>
  </si>
  <si>
    <t xml:space="preserve">ACLSPC30            </t>
  </si>
  <si>
    <t>2026-03-16 14:12:33.787</t>
  </si>
  <si>
    <t xml:space="preserve">ACSALS30            </t>
  </si>
  <si>
    <t>2026-03-16 14:12:34.020</t>
  </si>
  <si>
    <t>2026-03-16 14:12:34.037</t>
  </si>
  <si>
    <t xml:space="preserve">ACSALS40            </t>
  </si>
  <si>
    <t>2026-03-16 14:12:34.053</t>
  </si>
  <si>
    <t xml:space="preserve">ACSALS10            </t>
  </si>
  <si>
    <t>2026-03-16 14:12:34.067</t>
  </si>
  <si>
    <t xml:space="preserve">ACUACC11            </t>
  </si>
  <si>
    <t>2026-03-16 14:12:34.303</t>
  </si>
  <si>
    <t>2026-03-16 14:12:34.317</t>
  </si>
  <si>
    <t xml:space="preserve">ACUACC30            </t>
  </si>
  <si>
    <t>2026-03-16 14:12:34.333</t>
  </si>
  <si>
    <t xml:space="preserve">ACUACC60            </t>
  </si>
  <si>
    <t>2026-03-16 14:12:34.350</t>
  </si>
  <si>
    <t xml:space="preserve">ACUACC20            </t>
  </si>
  <si>
    <t>2026-03-16 14:12:34.367</t>
  </si>
  <si>
    <t xml:space="preserve">ACUACC40            </t>
  </si>
  <si>
    <t>2026-03-16 14:12:34.380</t>
  </si>
  <si>
    <t>2026-03-16 14:12:34.397</t>
  </si>
  <si>
    <t xml:space="preserve">ACUACC10            </t>
  </si>
  <si>
    <t>2026-03-16 14:12:34.410</t>
  </si>
  <si>
    <t xml:space="preserve">ACUACC50            </t>
  </si>
  <si>
    <t>2026-03-16 14:12:34.427</t>
  </si>
  <si>
    <t xml:space="preserve">ACUAEX40            </t>
  </si>
  <si>
    <t>2026-03-16 14:12:34.660</t>
  </si>
  <si>
    <t xml:space="preserve">ACUAEX10            </t>
  </si>
  <si>
    <t>2026-03-16 14:12:34.677</t>
  </si>
  <si>
    <t>2026-03-16 14:12:34.693</t>
  </si>
  <si>
    <t xml:space="preserve">ACUAEX20            </t>
  </si>
  <si>
    <t>2026-03-16 14:12:34.707</t>
  </si>
  <si>
    <t xml:space="preserve">ACUAEX30            </t>
  </si>
  <si>
    <t>2026-03-16 14:12:34.723</t>
  </si>
  <si>
    <t xml:space="preserve">ACUAEX50            </t>
  </si>
  <si>
    <t>2026-03-16 14:12:34.740</t>
  </si>
  <si>
    <t xml:space="preserve">ACUAGC10            </t>
  </si>
  <si>
    <t>2026-03-16 14:12:34.973</t>
  </si>
  <si>
    <t xml:space="preserve">ACUAGH60            </t>
  </si>
  <si>
    <t>2026-03-16 14:12:35.207</t>
  </si>
  <si>
    <t xml:space="preserve">ACUAGH11            </t>
  </si>
  <si>
    <t>2026-03-16 14:12:35.223</t>
  </si>
  <si>
    <t xml:space="preserve">ACUAGH50            </t>
  </si>
  <si>
    <t>2026-03-16 14:12:35.240</t>
  </si>
  <si>
    <t>2026-03-16 14:12:35.257</t>
  </si>
  <si>
    <t xml:space="preserve">ACUAGH30            </t>
  </si>
  <si>
    <t>2026-03-16 14:12:35.270</t>
  </si>
  <si>
    <t xml:space="preserve">ACUAGH40            </t>
  </si>
  <si>
    <t>2026-03-16 14:12:35.287</t>
  </si>
  <si>
    <t xml:space="preserve">ACUAGH10            </t>
  </si>
  <si>
    <t>2026-03-16 14:12:35.303</t>
  </si>
  <si>
    <t xml:space="preserve">ACUAGH21            </t>
  </si>
  <si>
    <t>2026-03-16 14:12:35.317</t>
  </si>
  <si>
    <t xml:space="preserve">ACUAGH20            </t>
  </si>
  <si>
    <t>2026-03-16 14:12:35.333</t>
  </si>
  <si>
    <t xml:space="preserve">ACUAGK10            </t>
  </si>
  <si>
    <t>2026-03-16 14:12:35.593</t>
  </si>
  <si>
    <t xml:space="preserve">ACUAGL50            </t>
  </si>
  <si>
    <t>2026-03-16 14:12:35.827</t>
  </si>
  <si>
    <t xml:space="preserve">ACUAGL10            </t>
  </si>
  <si>
    <t>2026-03-16 14:12:35.843</t>
  </si>
  <si>
    <t xml:space="preserve">ACUAGL20            </t>
  </si>
  <si>
    <t>2026-03-16 14:12:35.857</t>
  </si>
  <si>
    <t>2026-03-16 14:12:35.873</t>
  </si>
  <si>
    <t xml:space="preserve">ACUAGM10            </t>
  </si>
  <si>
    <t>2026-03-16 14:12:36.107</t>
  </si>
  <si>
    <t xml:space="preserve">ACUAGR10            </t>
  </si>
  <si>
    <t>2026-03-16 14:12:36.343</t>
  </si>
  <si>
    <t xml:space="preserve">ACUAGR11            </t>
  </si>
  <si>
    <t>2026-03-16 14:12:36.357</t>
  </si>
  <si>
    <t xml:space="preserve">ACUAGR20            </t>
  </si>
  <si>
    <t>2026-03-16 14:12:36.373</t>
  </si>
  <si>
    <t>2026-03-16 14:12:36.390</t>
  </si>
  <si>
    <t xml:space="preserve">ACUAGS02            </t>
  </si>
  <si>
    <t>2026-03-16 14:12:36.623</t>
  </si>
  <si>
    <t xml:space="preserve">ACUAGS01            </t>
  </si>
  <si>
    <t>2026-03-16 14:12:36.640</t>
  </si>
  <si>
    <t>2026-03-16 14:12:36.657</t>
  </si>
  <si>
    <t xml:space="preserve">ACUAGS10            </t>
  </si>
  <si>
    <t>2026-03-16 14:12:36.670</t>
  </si>
  <si>
    <t xml:space="preserve">ACUAGS20            </t>
  </si>
  <si>
    <t>2026-03-16 14:12:36.687</t>
  </si>
  <si>
    <t xml:space="preserve">ACUAGT10            </t>
  </si>
  <si>
    <t>2026-03-16 14:12:36.920</t>
  </si>
  <si>
    <t xml:space="preserve">ACUALS10            </t>
  </si>
  <si>
    <t>2026-03-16 14:12:37.157</t>
  </si>
  <si>
    <t xml:space="preserve">ACUAPS10            </t>
  </si>
  <si>
    <t>2026-03-16 14:12:37.390</t>
  </si>
  <si>
    <t xml:space="preserve">ACUASA10            </t>
  </si>
  <si>
    <t>2026-03-16 14:12:37.630</t>
  </si>
  <si>
    <t xml:space="preserve">ACUASB10            </t>
  </si>
  <si>
    <t>2026-03-16 14:12:37.867</t>
  </si>
  <si>
    <t xml:space="preserve">ACUAWS10            </t>
  </si>
  <si>
    <t>2026-03-16 14:12:38.117</t>
  </si>
  <si>
    <t xml:space="preserve">ACUBUD20            </t>
  </si>
  <si>
    <t>2026-03-16 14:12:38.350</t>
  </si>
  <si>
    <t xml:space="preserve">ACUBUD10            </t>
  </si>
  <si>
    <t>2026-03-16 14:12:38.367</t>
  </si>
  <si>
    <t xml:space="preserve">ACUDTW10            </t>
  </si>
  <si>
    <t>2026-03-16 14:12:38.600</t>
  </si>
  <si>
    <t xml:space="preserve">ACUHIT20            </t>
  </si>
  <si>
    <t>2026-03-16 14:12:38.837</t>
  </si>
  <si>
    <t xml:space="preserve">ACUHIT40            </t>
  </si>
  <si>
    <t>2026-03-16 14:12:38.850</t>
  </si>
  <si>
    <t>2026-03-16 14:12:38.867</t>
  </si>
  <si>
    <t xml:space="preserve">ACUHIT60            </t>
  </si>
  <si>
    <t>2026-03-16 14:12:38.883</t>
  </si>
  <si>
    <t xml:space="preserve">ACUHIT10            </t>
  </si>
  <si>
    <t>2026-03-16 14:12:38.897</t>
  </si>
  <si>
    <t xml:space="preserve">ACUHIT30            </t>
  </si>
  <si>
    <t>2026-03-16 14:12:38.913</t>
  </si>
  <si>
    <t xml:space="preserve">ACUHIT50            </t>
  </si>
  <si>
    <t>2026-03-16 14:12:38.930</t>
  </si>
  <si>
    <t xml:space="preserve">ACUICH10            </t>
  </si>
  <si>
    <t>2026-03-16 14:12:39.163</t>
  </si>
  <si>
    <t xml:space="preserve">ACUIHW01            </t>
  </si>
  <si>
    <t>2026-03-16 14:12:39.397</t>
  </si>
  <si>
    <t xml:space="preserve">ACUIHW30            </t>
  </si>
  <si>
    <t>2026-03-16 14:12:39.413</t>
  </si>
  <si>
    <t>2026-03-16 14:12:39.430</t>
  </si>
  <si>
    <t xml:space="preserve">ACUIHW20            </t>
  </si>
  <si>
    <t>2026-03-16 14:12:39.447</t>
  </si>
  <si>
    <t xml:space="preserve">ACUILW01            </t>
  </si>
  <si>
    <t>2026-03-16 14:12:39.680</t>
  </si>
  <si>
    <t xml:space="preserve">ACUILW11            </t>
  </si>
  <si>
    <t>2026-03-16 14:12:39.697</t>
  </si>
  <si>
    <t>2026-03-16 14:12:39.710</t>
  </si>
  <si>
    <t xml:space="preserve">ACUILW10            </t>
  </si>
  <si>
    <t>2026-03-16 14:12:39.727</t>
  </si>
  <si>
    <t xml:space="preserve">ACUINV85            </t>
  </si>
  <si>
    <t>2026-03-16 14:12:39.963</t>
  </si>
  <si>
    <t xml:space="preserve">ACUINV80            </t>
  </si>
  <si>
    <t>2026-03-16 14:12:39.980</t>
  </si>
  <si>
    <t xml:space="preserve">ACUINV20            </t>
  </si>
  <si>
    <t>2026-03-16 14:12:39.997</t>
  </si>
  <si>
    <t>2026-03-16 14:12:40.010</t>
  </si>
  <si>
    <t xml:space="preserve">ACUINV10            </t>
  </si>
  <si>
    <t>2026-03-16 14:12:40.027</t>
  </si>
  <si>
    <t xml:space="preserve">ACUINV50            </t>
  </si>
  <si>
    <t>2026-03-16 14:12:40.043</t>
  </si>
  <si>
    <t xml:space="preserve">ACUINV40            </t>
  </si>
  <si>
    <t>2026-03-16 14:12:40.057</t>
  </si>
  <si>
    <t xml:space="preserve">ACUINV52            </t>
  </si>
  <si>
    <t>2026-03-16 14:12:40.073</t>
  </si>
  <si>
    <t xml:space="preserve">ACUINV51            </t>
  </si>
  <si>
    <t>2026-03-16 14:12:40.090</t>
  </si>
  <si>
    <t xml:space="preserve">ACUINV53            </t>
  </si>
  <si>
    <t>2026-03-16 14:12:40.103</t>
  </si>
  <si>
    <t>2026-03-16 14:12:40.120</t>
  </si>
  <si>
    <t xml:space="preserve">ACUINV55            </t>
  </si>
  <si>
    <t>2026-03-16 14:12:40.137</t>
  </si>
  <si>
    <t xml:space="preserve">ACUINV60            </t>
  </si>
  <si>
    <t>2026-03-16 14:12:40.150</t>
  </si>
  <si>
    <t xml:space="preserve">ACUINV15            </t>
  </si>
  <si>
    <t>2026-03-16 14:12:40.167</t>
  </si>
  <si>
    <t xml:space="preserve">ACUINV70            </t>
  </si>
  <si>
    <t>2026-03-16 14:12:40.183</t>
  </si>
  <si>
    <t xml:space="preserve">ACUINV30            </t>
  </si>
  <si>
    <t>2026-03-16 14:12:40.197</t>
  </si>
  <si>
    <t xml:space="preserve">ACUINV35            </t>
  </si>
  <si>
    <t>2026-03-16 14:12:40.213</t>
  </si>
  <si>
    <t xml:space="preserve">ACUINV05            </t>
  </si>
  <si>
    <t>2026-03-16 14:12:40.230</t>
  </si>
  <si>
    <t>2026-03-16 14:12:40.247</t>
  </si>
  <si>
    <t xml:space="preserve">ACUIRW20            </t>
  </si>
  <si>
    <t>2026-03-16 14:12:40.480</t>
  </si>
  <si>
    <t xml:space="preserve">ACUIRW30            </t>
  </si>
  <si>
    <t>2026-03-16 14:12:40.497</t>
  </si>
  <si>
    <t xml:space="preserve">ACUIVH11            </t>
  </si>
  <si>
    <t xml:space="preserve">IDX05903  </t>
  </si>
  <si>
    <t xml:space="preserve">ACUIRW01            </t>
  </si>
  <si>
    <t>2026-03-16 14:12:40.510</t>
  </si>
  <si>
    <t xml:space="preserve">ACUIVH31            </t>
  </si>
  <si>
    <t>2026-03-16 14:12:40.527</t>
  </si>
  <si>
    <t xml:space="preserve">ACUIVH40            </t>
  </si>
  <si>
    <t>2026-03-16 14:12:40.543</t>
  </si>
  <si>
    <t>2026-03-16 14:12:40.557</t>
  </si>
  <si>
    <t xml:space="preserve">ACUIVH01            </t>
  </si>
  <si>
    <t>2026-03-16 14:12:40.573</t>
  </si>
  <si>
    <t xml:space="preserve">ACUIVH60            </t>
  </si>
  <si>
    <t>2026-03-16 14:12:40.590</t>
  </si>
  <si>
    <t xml:space="preserve">ACUIVH50            </t>
  </si>
  <si>
    <t>2026-03-16 14:12:40.620</t>
  </si>
  <si>
    <t xml:space="preserve">ACUIVH10            </t>
  </si>
  <si>
    <t>2026-03-16 14:12:40.650</t>
  </si>
  <si>
    <t xml:space="preserve">ACUIVH30            </t>
  </si>
  <si>
    <t>2026-03-16 14:12:40.667</t>
  </si>
  <si>
    <t xml:space="preserve">ACUIVH20            </t>
  </si>
  <si>
    <t>2026-03-16 14:12:40.683</t>
  </si>
  <si>
    <t xml:space="preserve">ACUIVL01            </t>
  </si>
  <si>
    <t>2026-03-16 14:12:40.747</t>
  </si>
  <si>
    <t xml:space="preserve">ACUIVL10            </t>
  </si>
  <si>
    <t>2026-03-16 14:12:40.760</t>
  </si>
  <si>
    <t xml:space="preserve">ACUIVR20            </t>
  </si>
  <si>
    <t>2026-03-16 14:12:40.933</t>
  </si>
  <si>
    <t>2026-03-16 14:12:40.947</t>
  </si>
  <si>
    <t xml:space="preserve">ACUIVR50            </t>
  </si>
  <si>
    <t>2026-03-16 14:12:40.963</t>
  </si>
  <si>
    <t xml:space="preserve">ACUIVR01            </t>
  </si>
  <si>
    <t>2026-03-16 14:12:40.980</t>
  </si>
  <si>
    <t xml:space="preserve">ACUIVR30            </t>
  </si>
  <si>
    <t>2026-03-16 14:12:40.997</t>
  </si>
  <si>
    <t>2026-03-16 14:12:41.010</t>
  </si>
  <si>
    <t xml:space="preserve">ACULSR10            </t>
  </si>
  <si>
    <t>2026-03-16 14:12:41.027</t>
  </si>
  <si>
    <t xml:space="preserve">ACUIVR40            </t>
  </si>
  <si>
    <t xml:space="preserve">ACUMEP10            </t>
  </si>
  <si>
    <t>2026-03-16 14:12:41.270</t>
  </si>
  <si>
    <t xml:space="preserve">ACUMIS30            </t>
  </si>
  <si>
    <t xml:space="preserve">ACUMIS40            </t>
  </si>
  <si>
    <t>2026-03-16 14:12:41.287</t>
  </si>
  <si>
    <t>2026-03-16 14:12:41.303</t>
  </si>
  <si>
    <t xml:space="preserve">ACUMIS50            </t>
  </si>
  <si>
    <t>2026-03-16 14:12:41.313</t>
  </si>
  <si>
    <t xml:space="preserve">ACUMIS10            </t>
  </si>
  <si>
    <t>2026-03-16 14:12:41.330</t>
  </si>
  <si>
    <t xml:space="preserve">ACUMIS20            </t>
  </si>
  <si>
    <t>2026-03-16 14:12:41.347</t>
  </si>
  <si>
    <t>2026-03-16 14:12:41.360</t>
  </si>
  <si>
    <t xml:space="preserve">ACUOEX20            </t>
  </si>
  <si>
    <t>2026-03-16 14:12:41.507</t>
  </si>
  <si>
    <t xml:space="preserve">ACUOEX30            </t>
  </si>
  <si>
    <t>2026-03-16 14:12:41.523</t>
  </si>
  <si>
    <t>2026-03-16 14:12:41.540</t>
  </si>
  <si>
    <t xml:space="preserve">ACUOEX10            </t>
  </si>
  <si>
    <t>2026-03-16 14:12:41.557</t>
  </si>
  <si>
    <t xml:space="preserve">ACUOLD20            </t>
  </si>
  <si>
    <t>2026-03-16 14:12:41.587</t>
  </si>
  <si>
    <t xml:space="preserve">ACUOOS20            </t>
  </si>
  <si>
    <t>2026-03-16 14:12:41.790</t>
  </si>
  <si>
    <t xml:space="preserve">ACUOOS10            </t>
  </si>
  <si>
    <t>2026-03-16 14:12:41.807</t>
  </si>
  <si>
    <t>2026-03-16 14:12:41.820</t>
  </si>
  <si>
    <t xml:space="preserve">ACUOQH60            </t>
  </si>
  <si>
    <t>2026-03-16 14:12:41.837</t>
  </si>
  <si>
    <t xml:space="preserve">ACUOQH30            </t>
  </si>
  <si>
    <t>2026-03-16 14:12:41.853</t>
  </si>
  <si>
    <t xml:space="preserve">ACUOQH40            </t>
  </si>
  <si>
    <t>2026-03-16 14:12:41.867</t>
  </si>
  <si>
    <t>2026-03-16 14:12:41.883</t>
  </si>
  <si>
    <t xml:space="preserve">ACUOQH50            </t>
  </si>
  <si>
    <t>2026-03-16 14:12:41.900</t>
  </si>
  <si>
    <t xml:space="preserve">ACUOQH70            </t>
  </si>
  <si>
    <t>2026-03-16 14:12:41.913</t>
  </si>
  <si>
    <t xml:space="preserve">ACUOQH10            </t>
  </si>
  <si>
    <t>2026-03-16 14:12:41.930</t>
  </si>
  <si>
    <t xml:space="preserve">ACUOQH20            </t>
  </si>
  <si>
    <t>2026-03-16 14:12:41.947</t>
  </si>
  <si>
    <t xml:space="preserve">ACUORA10            </t>
  </si>
  <si>
    <t>2026-03-16 14:12:42.057</t>
  </si>
  <si>
    <t xml:space="preserve">ACUORH95            </t>
  </si>
  <si>
    <t>2026-03-16 14:12:42.180</t>
  </si>
  <si>
    <t xml:space="preserve">ACUORH30            </t>
  </si>
  <si>
    <t>2026-03-16 14:12:42.197</t>
  </si>
  <si>
    <t xml:space="preserve">ACUORH70            </t>
  </si>
  <si>
    <t>2026-03-16 14:12:42.210</t>
  </si>
  <si>
    <t>2026-03-16 14:12:42.227</t>
  </si>
  <si>
    <t xml:space="preserve">ACUORH50            </t>
  </si>
  <si>
    <t>2026-03-16 14:12:42.243</t>
  </si>
  <si>
    <t xml:space="preserve">ACUORH51            </t>
  </si>
  <si>
    <t>2026-03-16 14:12:42.257</t>
  </si>
  <si>
    <t xml:space="preserve">ACUORH60            </t>
  </si>
  <si>
    <t>2026-03-16 14:12:42.273</t>
  </si>
  <si>
    <t xml:space="preserve">ACUORH40            </t>
  </si>
  <si>
    <t>2026-03-16 14:12:42.290</t>
  </si>
  <si>
    <t xml:space="preserve">ACUORL30            </t>
  </si>
  <si>
    <t xml:space="preserve">ACUORH90            </t>
  </si>
  <si>
    <t>2026-03-16 14:12:42.307</t>
  </si>
  <si>
    <t xml:space="preserve">ACUORL50            </t>
  </si>
  <si>
    <t xml:space="preserve">ACUORH21            </t>
  </si>
  <si>
    <t>2026-03-16 14:12:42.323</t>
  </si>
  <si>
    <t xml:space="preserve">ACUORL60            </t>
  </si>
  <si>
    <t xml:space="preserve">ACUORH85            </t>
  </si>
  <si>
    <t>2026-03-16 14:12:42.337</t>
  </si>
  <si>
    <t xml:space="preserve">ACUORL20            </t>
  </si>
  <si>
    <t xml:space="preserve">ACUORH11            </t>
  </si>
  <si>
    <t>2026-03-16 14:12:42.353</t>
  </si>
  <si>
    <t>2026-03-16 14:12:42.370</t>
  </si>
  <si>
    <t xml:space="preserve">ACUORL11            </t>
  </si>
  <si>
    <t xml:space="preserve">ACUORL40            </t>
  </si>
  <si>
    <t xml:space="preserve">ACUORH03            </t>
  </si>
  <si>
    <t>2026-03-16 14:12:42.383</t>
  </si>
  <si>
    <t xml:space="preserve">ACUORL10            </t>
  </si>
  <si>
    <t>2026-03-16 14:12:42.400</t>
  </si>
  <si>
    <t xml:space="preserve">ACUORH10            </t>
  </si>
  <si>
    <t xml:space="preserve">ACUORL01            </t>
  </si>
  <si>
    <t>2026-03-16 14:12:42.417</t>
  </si>
  <si>
    <t xml:space="preserve">ACUORH20            </t>
  </si>
  <si>
    <t xml:space="preserve">ACUORH80            </t>
  </si>
  <si>
    <t>2026-03-16 14:12:42.430</t>
  </si>
  <si>
    <t xml:space="preserve">ACUORH02            </t>
  </si>
  <si>
    <t>2026-03-16 14:12:42.447</t>
  </si>
  <si>
    <t xml:space="preserve">ACUORH01            </t>
  </si>
  <si>
    <t>2026-03-16 14:12:42.463</t>
  </si>
  <si>
    <t xml:space="preserve">ACUORM10            </t>
  </si>
  <si>
    <t>2026-03-16 14:12:42.650</t>
  </si>
  <si>
    <t xml:space="preserve">ACUORP10            </t>
  </si>
  <si>
    <t>2026-03-16 14:12:42.697</t>
  </si>
  <si>
    <t xml:space="preserve">ACUORP20            </t>
  </si>
  <si>
    <t>2026-03-16 14:12:42.713</t>
  </si>
  <si>
    <t xml:space="preserve">ACUORX10            </t>
  </si>
  <si>
    <t>2026-03-16 14:12:42.900</t>
  </si>
  <si>
    <t xml:space="preserve">ACUPBH10            </t>
  </si>
  <si>
    <t>2026-03-16 14:12:42.947</t>
  </si>
  <si>
    <t xml:space="preserve">ACUPRT10            </t>
  </si>
  <si>
    <t>2026-03-16 14:12:43.150</t>
  </si>
  <si>
    <t xml:space="preserve">ACUSCA10            </t>
  </si>
  <si>
    <t>2026-03-16 14:12:43.180</t>
  </si>
  <si>
    <t xml:space="preserve">ACUSCO10            </t>
  </si>
  <si>
    <t>2026-03-16 14:12:43.383</t>
  </si>
  <si>
    <t xml:space="preserve">ACUSCO20            </t>
  </si>
  <si>
    <t>2026-03-16 14:12:43.400</t>
  </si>
  <si>
    <t>2026-03-16 14:12:43.417</t>
  </si>
  <si>
    <t xml:space="preserve">ACUSTE20            </t>
  </si>
  <si>
    <t xml:space="preserve">ACUVIP10            </t>
  </si>
  <si>
    <t>2026-03-16 14:12:43.667</t>
  </si>
  <si>
    <t>2026-03-16 14:12:43.680</t>
  </si>
  <si>
    <t xml:space="preserve">ACUWCP10            </t>
  </si>
  <si>
    <t xml:space="preserve">ACUVIP20            </t>
  </si>
  <si>
    <t>2026-03-16 14:12:43.697</t>
  </si>
  <si>
    <t xml:space="preserve">ADEATT10            </t>
  </si>
  <si>
    <t>2026-03-16 14:12:43.900</t>
  </si>
  <si>
    <t>2026-03-16 14:12:43.917</t>
  </si>
  <si>
    <t xml:space="preserve">ADECAU10            </t>
  </si>
  <si>
    <t>2026-03-16 14:12:43.930</t>
  </si>
  <si>
    <t xml:space="preserve">ADECPL30            </t>
  </si>
  <si>
    <t>2026-03-16 14:12:44.150</t>
  </si>
  <si>
    <t xml:space="preserve">ADECPL45            </t>
  </si>
  <si>
    <t>2026-03-16 14:12:44.167</t>
  </si>
  <si>
    <t>2026-03-16 14:12:44.180</t>
  </si>
  <si>
    <t xml:space="preserve">ADEDDI40            </t>
  </si>
  <si>
    <t xml:space="preserve">ADECPL21            </t>
  </si>
  <si>
    <t>2026-03-16 14:12:44.197</t>
  </si>
  <si>
    <t xml:space="preserve">ADEDDI50            </t>
  </si>
  <si>
    <t xml:space="preserve">ADECPL20            </t>
  </si>
  <si>
    <t>2026-03-16 14:12:44.213</t>
  </si>
  <si>
    <t xml:space="preserve">ADEDDI20            </t>
  </si>
  <si>
    <t xml:space="preserve">ADECPL55            </t>
  </si>
  <si>
    <t>2026-03-16 14:12:44.227</t>
  </si>
  <si>
    <t xml:space="preserve">ADEDDI10            </t>
  </si>
  <si>
    <t xml:space="preserve">ADECPL60            </t>
  </si>
  <si>
    <t>2026-03-16 14:12:44.243</t>
  </si>
  <si>
    <t xml:space="preserve">ADEDDI30            </t>
  </si>
  <si>
    <t xml:space="preserve">ADECPL80            </t>
  </si>
  <si>
    <t>2026-03-16 14:12:44.260</t>
  </si>
  <si>
    <t xml:space="preserve">ADECPL62            </t>
  </si>
  <si>
    <t>2026-03-16 14:12:44.277</t>
  </si>
  <si>
    <t xml:space="preserve">ADECPL63            </t>
  </si>
  <si>
    <t>2026-03-16 14:12:44.290</t>
  </si>
  <si>
    <t xml:space="preserve">ADECPL61            </t>
  </si>
  <si>
    <t>2026-03-16 14:12:44.307</t>
  </si>
  <si>
    <t xml:space="preserve">ADECPL50            </t>
  </si>
  <si>
    <t>2026-03-16 14:12:44.323</t>
  </si>
  <si>
    <t xml:space="preserve">ADECPL40            </t>
  </si>
  <si>
    <t>2026-03-16 14:12:44.337</t>
  </si>
  <si>
    <t>2026-03-16 14:12:44.353</t>
  </si>
  <si>
    <t xml:space="preserve">ADECPL70            </t>
  </si>
  <si>
    <t>2026-03-16 14:12:44.370</t>
  </si>
  <si>
    <t xml:space="preserve">ADECPL90            </t>
  </si>
  <si>
    <t>2026-03-16 14:12:44.383</t>
  </si>
  <si>
    <t xml:space="preserve">ADECPL95            </t>
  </si>
  <si>
    <t>2026-03-16 14:12:44.400</t>
  </si>
  <si>
    <t xml:space="preserve">ADECPL85            </t>
  </si>
  <si>
    <t>2026-03-16 14:12:44.417</t>
  </si>
  <si>
    <t xml:space="preserve">ADECPL10            </t>
  </si>
  <si>
    <t>2026-03-16 14:12:44.430</t>
  </si>
  <si>
    <t xml:space="preserve">ADEDIC10            </t>
  </si>
  <si>
    <t>2026-03-16 14:12:44.493</t>
  </si>
  <si>
    <t xml:space="preserve">ADEDII10            </t>
  </si>
  <si>
    <t>2026-03-16 14:12:44.660</t>
  </si>
  <si>
    <t>2026-03-16 14:12:44.673</t>
  </si>
  <si>
    <t xml:space="preserve">ADEERR10            </t>
  </si>
  <si>
    <t>2026-03-16 14:12:44.720</t>
  </si>
  <si>
    <t xml:space="preserve">ADEERR30            </t>
  </si>
  <si>
    <t>2026-03-16 14:12:44.737</t>
  </si>
  <si>
    <t xml:space="preserve">ADEERR20            </t>
  </si>
  <si>
    <t>2026-03-16 14:12:44.753</t>
  </si>
  <si>
    <t xml:space="preserve">ADEISO10            </t>
  </si>
  <si>
    <t>2026-03-16 14:12:44.910</t>
  </si>
  <si>
    <t xml:space="preserve">ADEISO20            </t>
  </si>
  <si>
    <t>2026-03-16 14:12:44.923</t>
  </si>
  <si>
    <t xml:space="preserve">ADELRE20            </t>
  </si>
  <si>
    <t>2026-03-16 14:12:44.987</t>
  </si>
  <si>
    <t xml:space="preserve">ADELRE30            </t>
  </si>
  <si>
    <t>2026-03-16 14:12:45.003</t>
  </si>
  <si>
    <t xml:space="preserve">ADELRE10            </t>
  </si>
  <si>
    <t>2026-03-16 14:12:45.017</t>
  </si>
  <si>
    <t xml:space="preserve">ADESDI10            </t>
  </si>
  <si>
    <t>2026-03-16 14:12:45.173</t>
  </si>
  <si>
    <t xml:space="preserve">AEMERR10            </t>
  </si>
  <si>
    <t>2026-03-16 14:12:45.267</t>
  </si>
  <si>
    <t xml:space="preserve">AEMMES10            </t>
  </si>
  <si>
    <t>2026-03-16 14:12:45.410</t>
  </si>
  <si>
    <t xml:space="preserve">AEMSWI10            </t>
  </si>
  <si>
    <t>2026-03-16 14:12:45.510</t>
  </si>
  <si>
    <t xml:space="preserve">AEXCHI10            </t>
  </si>
  <si>
    <t>2026-03-16 14:12:45.637</t>
  </si>
  <si>
    <t xml:space="preserve">AEXCHI20            </t>
  </si>
  <si>
    <t>2026-03-16 14:12:45.650</t>
  </si>
  <si>
    <t>2026-03-16 14:12:45.667</t>
  </si>
  <si>
    <t xml:space="preserve">AEXCHI40            </t>
  </si>
  <si>
    <t>2026-03-16 14:12:45.683</t>
  </si>
  <si>
    <t xml:space="preserve">AEXCHI30            </t>
  </si>
  <si>
    <t>2026-03-16 14:12:45.697</t>
  </si>
  <si>
    <t xml:space="preserve">AFAFLN20            </t>
  </si>
  <si>
    <t>2026-03-16 14:12:45.743</t>
  </si>
  <si>
    <t xml:space="preserve">AFAFLN10            </t>
  </si>
  <si>
    <t>2026-03-16 14:12:45.760</t>
  </si>
  <si>
    <t xml:space="preserve">AFAFLN30            </t>
  </si>
  <si>
    <t>2026-03-16 14:12:45.777</t>
  </si>
  <si>
    <t xml:space="preserve">AFLEXM50            </t>
  </si>
  <si>
    <t>2026-03-16 14:12:45.933</t>
  </si>
  <si>
    <t xml:space="preserve">AFLEXM30            </t>
  </si>
  <si>
    <t>2026-03-16 14:12:45.947</t>
  </si>
  <si>
    <t>2026-03-16 14:12:45.963</t>
  </si>
  <si>
    <t xml:space="preserve">AFLEXM40            </t>
  </si>
  <si>
    <t>2026-03-16 14:12:45.980</t>
  </si>
  <si>
    <t xml:space="preserve">AFLEXM10            </t>
  </si>
  <si>
    <t>2026-03-16 14:12:45.993</t>
  </si>
  <si>
    <t xml:space="preserve">AFLEXM20            </t>
  </si>
  <si>
    <t>2026-03-16 14:12:46.010</t>
  </si>
  <si>
    <t xml:space="preserve">AFLFLI10            </t>
  </si>
  <si>
    <t xml:space="preserve">AFLFLI20            </t>
  </si>
  <si>
    <t>2026-03-16 14:12:46.027</t>
  </si>
  <si>
    <t xml:space="preserve">AFLLOG20            </t>
  </si>
  <si>
    <t>2026-03-16 14:12:46.243</t>
  </si>
  <si>
    <t>2026-03-16 14:12:46.260</t>
  </si>
  <si>
    <t xml:space="preserve">AFLLOG30            </t>
  </si>
  <si>
    <t>2026-03-16 14:12:46.277</t>
  </si>
  <si>
    <t xml:space="preserve">AINUPD20            </t>
  </si>
  <si>
    <t xml:space="preserve">AFLLOG40            </t>
  </si>
  <si>
    <t>2026-03-16 14:12:46.290</t>
  </si>
  <si>
    <t xml:space="preserve">AINUPD10            </t>
  </si>
  <si>
    <t xml:space="preserve">AFLLOG10            </t>
  </si>
  <si>
    <t>2026-03-16 14:12:46.307</t>
  </si>
  <si>
    <t xml:space="preserve">AINUPD30            </t>
  </si>
  <si>
    <t xml:space="preserve">AINUPD90            </t>
  </si>
  <si>
    <t>2026-03-16 14:12:46.323</t>
  </si>
  <si>
    <t>2026-03-16 14:12:46.337</t>
  </si>
  <si>
    <t xml:space="preserve">AINVRO20            </t>
  </si>
  <si>
    <t xml:space="preserve">IDX05904  </t>
  </si>
  <si>
    <t xml:space="preserve">AINUPD01            </t>
  </si>
  <si>
    <t>2026-03-16 14:12:46.353</t>
  </si>
  <si>
    <t xml:space="preserve">AINVRO10            </t>
  </si>
  <si>
    <t xml:space="preserve">AIPALT10            </t>
  </si>
  <si>
    <t>2026-03-16 14:12:46.540</t>
  </si>
  <si>
    <t>2026-03-16 14:12:46.557</t>
  </si>
  <si>
    <t xml:space="preserve">AIPBAI10            </t>
  </si>
  <si>
    <t>2026-03-16 14:12:46.587</t>
  </si>
  <si>
    <t>2026-03-16 14:12:46.603</t>
  </si>
  <si>
    <t xml:space="preserve">AIPBOI10            </t>
  </si>
  <si>
    <t xml:space="preserve">AIPBRI10            </t>
  </si>
  <si>
    <t>2026-03-16 14:12:46.797</t>
  </si>
  <si>
    <t xml:space="preserve">AIPCBD20            </t>
  </si>
  <si>
    <t>2026-03-16 14:12:46.843</t>
  </si>
  <si>
    <t xml:space="preserve">AIPCOM10            </t>
  </si>
  <si>
    <t>2026-03-16 14:12:46.857</t>
  </si>
  <si>
    <t xml:space="preserve">AIPCBD10            </t>
  </si>
  <si>
    <t>2026-03-16 14:12:46.873</t>
  </si>
  <si>
    <t xml:space="preserve">AIPDIS10            </t>
  </si>
  <si>
    <t>2026-03-16 14:12:47.030</t>
  </si>
  <si>
    <t xml:space="preserve">AIPEAL10            </t>
  </si>
  <si>
    <t>2026-03-16 14:12:47.093</t>
  </si>
  <si>
    <t xml:space="preserve">AIPECO10            </t>
  </si>
  <si>
    <t>2026-03-16 14:12:47.107</t>
  </si>
  <si>
    <t xml:space="preserve">AIPEFF10            </t>
  </si>
  <si>
    <t>2026-03-16 14:12:47.263</t>
  </si>
  <si>
    <t xml:space="preserve">AIPEIT20            </t>
  </si>
  <si>
    <t>2026-03-16 14:12:47.343</t>
  </si>
  <si>
    <t>2026-03-16 14:12:47.357</t>
  </si>
  <si>
    <t xml:space="preserve">AIPEOP10            </t>
  </si>
  <si>
    <t xml:space="preserve">AIPEIT10            </t>
  </si>
  <si>
    <t>2026-03-16 14:12:47.373</t>
  </si>
  <si>
    <t xml:space="preserve">AIPESC10            </t>
  </si>
  <si>
    <t>2026-03-16 14:12:47.513</t>
  </si>
  <si>
    <t xml:space="preserve">AIPHAN40            </t>
  </si>
  <si>
    <t>2026-03-16 14:12:47.593</t>
  </si>
  <si>
    <t>2026-03-16 14:12:47.607</t>
  </si>
  <si>
    <t xml:space="preserve">AIPITN40            </t>
  </si>
  <si>
    <t xml:space="preserve">AIPHAN20            </t>
  </si>
  <si>
    <t>2026-03-16 14:12:47.623</t>
  </si>
  <si>
    <t xml:space="preserve">AIPITN20            </t>
  </si>
  <si>
    <t xml:space="preserve">AIPHAN30            </t>
  </si>
  <si>
    <t>2026-03-16 14:12:47.640</t>
  </si>
  <si>
    <t xml:space="preserve">AIPITN10            </t>
  </si>
  <si>
    <t xml:space="preserve">AIPLAN10            </t>
  </si>
  <si>
    <t>2026-03-16 14:12:47.747</t>
  </si>
  <si>
    <t xml:space="preserve">AIPLIN20            </t>
  </si>
  <si>
    <t>2026-03-16 14:12:47.890</t>
  </si>
  <si>
    <t xml:space="preserve">AIPLOI10            </t>
  </si>
  <si>
    <t>2026-03-16 14:12:47.897</t>
  </si>
  <si>
    <t>8</t>
  </si>
  <si>
    <t xml:space="preserve">AIPLIN10            </t>
  </si>
  <si>
    <t xml:space="preserve">AIPLOS10            </t>
  </si>
  <si>
    <t>2026-03-16 14:12:47.977</t>
  </si>
  <si>
    <t>2026-03-16 14:12:47.990</t>
  </si>
  <si>
    <t xml:space="preserve">AIPLRI10            </t>
  </si>
  <si>
    <t>2026-03-16 14:12:48.130</t>
  </si>
  <si>
    <t>2026-03-16 14:12:48.147</t>
  </si>
  <si>
    <t xml:space="preserve">AIPOIS10            </t>
  </si>
  <si>
    <t xml:space="preserve">AIPOPT10            </t>
  </si>
  <si>
    <t>2026-03-16 14:12:48.227</t>
  </si>
  <si>
    <t xml:space="preserve">AIPPOS10            </t>
  </si>
  <si>
    <t>2026-03-16 14:12:48.397</t>
  </si>
  <si>
    <t xml:space="preserve">AIPPRO20            </t>
  </si>
  <si>
    <t>2026-03-16 14:12:48.413</t>
  </si>
  <si>
    <t xml:space="preserve">AIPPRO10            </t>
  </si>
  <si>
    <t>2026-03-16 14:12:48.427</t>
  </si>
  <si>
    <t xml:space="preserve">AIPQTY10            </t>
  </si>
  <si>
    <t>2026-03-16 14:12:48.477</t>
  </si>
  <si>
    <t xml:space="preserve">AIPVER10            </t>
  </si>
  <si>
    <t>2026-03-16 14:12:48.663</t>
  </si>
  <si>
    <t xml:space="preserve">AISELE10            </t>
  </si>
  <si>
    <t xml:space="preserve">AIPVER30            </t>
  </si>
  <si>
    <t>2026-03-16 14:12:48.677</t>
  </si>
  <si>
    <t xml:space="preserve">AISELE20            </t>
  </si>
  <si>
    <t xml:space="preserve">AIPVER20            </t>
  </si>
  <si>
    <t>2026-03-16 14:12:48.693</t>
  </si>
  <si>
    <t xml:space="preserve">AISELE30            </t>
  </si>
  <si>
    <t>2026-03-16 14:12:48.710</t>
  </si>
  <si>
    <t xml:space="preserve">AITATA10            </t>
  </si>
  <si>
    <t xml:space="preserve">AITATA20            </t>
  </si>
  <si>
    <t>2026-03-16 14:12:48.727</t>
  </si>
  <si>
    <t>2026-03-16 14:12:48.740</t>
  </si>
  <si>
    <t xml:space="preserve">AITATA30            </t>
  </si>
  <si>
    <t>2026-03-16 14:12:48.757</t>
  </si>
  <si>
    <t xml:space="preserve">AITLSP10            </t>
  </si>
  <si>
    <t>2026-03-16 14:12:48.927</t>
  </si>
  <si>
    <t>2026-03-16 14:12:48.943</t>
  </si>
  <si>
    <t xml:space="preserve">ALOANI10            </t>
  </si>
  <si>
    <t xml:space="preserve">AITLSP20            </t>
  </si>
  <si>
    <t>2026-03-16 14:12:48.960</t>
  </si>
  <si>
    <t xml:space="preserve">ALOANI30            </t>
  </si>
  <si>
    <t xml:space="preserve">AITLSP30            </t>
  </si>
  <si>
    <t>2026-03-16 14:12:48.977</t>
  </si>
  <si>
    <t xml:space="preserve">ALOANI60            </t>
  </si>
  <si>
    <t>2026-03-16 14:12:48.990</t>
  </si>
  <si>
    <t xml:space="preserve">ALOPOS10            </t>
  </si>
  <si>
    <t xml:space="preserve">ALOANI70            </t>
  </si>
  <si>
    <t>2026-03-16 14:12:49.007</t>
  </si>
  <si>
    <t xml:space="preserve">ALOANI20            </t>
  </si>
  <si>
    <t>2026-03-16 14:12:49.023</t>
  </si>
  <si>
    <t xml:space="preserve">ALOANI40            </t>
  </si>
  <si>
    <t>2026-03-16 14:12:49.037</t>
  </si>
  <si>
    <t xml:space="preserve">ALOANI50            </t>
  </si>
  <si>
    <t>2026-03-16 14:12:49.053</t>
  </si>
  <si>
    <t xml:space="preserve">AMODAL10            </t>
  </si>
  <si>
    <t>2026-03-16 14:12:49.210</t>
  </si>
  <si>
    <t>2026-03-16 14:12:49.227</t>
  </si>
  <si>
    <t xml:space="preserve">AMOINF10            </t>
  </si>
  <si>
    <t>2026-03-16 14:12:49.233</t>
  </si>
  <si>
    <t xml:space="preserve">AMREIN76            </t>
  </si>
  <si>
    <t>2026-03-16 14:12:49.310</t>
  </si>
  <si>
    <t xml:space="preserve">AMREIN75            </t>
  </si>
  <si>
    <t>2026-03-16 14:12:49.327</t>
  </si>
  <si>
    <t xml:space="preserve">AMREIN85            </t>
  </si>
  <si>
    <t>2026-03-16 14:12:49.343</t>
  </si>
  <si>
    <t xml:space="preserve">AMREIN15            </t>
  </si>
  <si>
    <t>2026-03-16 14:12:49.357</t>
  </si>
  <si>
    <t>2026-03-16 14:12:49.373</t>
  </si>
  <si>
    <t xml:space="preserve">AMREIN16            </t>
  </si>
  <si>
    <t>2026-03-16 14:12:49.390</t>
  </si>
  <si>
    <t xml:space="preserve">AMREIN90            </t>
  </si>
  <si>
    <t>2026-03-16 14:12:49.403</t>
  </si>
  <si>
    <t xml:space="preserve">AMREIN95            </t>
  </si>
  <si>
    <t>2026-03-16 14:12:49.420</t>
  </si>
  <si>
    <t xml:space="preserve">AMREIN10            </t>
  </si>
  <si>
    <t>2026-03-16 14:12:49.437</t>
  </si>
  <si>
    <t>2026-03-16 14:12:49.450</t>
  </si>
  <si>
    <t xml:space="preserve">AMULVL10            </t>
  </si>
  <si>
    <t xml:space="preserve">AMREIN70            </t>
  </si>
  <si>
    <t>2026-03-16 14:12:49.467</t>
  </si>
  <si>
    <t xml:space="preserve">AMREIN80            </t>
  </si>
  <si>
    <t>2026-03-16 14:12:49.483</t>
  </si>
  <si>
    <t xml:space="preserve">AMUTRA10            </t>
  </si>
  <si>
    <t xml:space="preserve">AMREIN50            </t>
  </si>
  <si>
    <t>2026-03-16 14:12:49.497</t>
  </si>
  <si>
    <t xml:space="preserve">AMREIN20            </t>
  </si>
  <si>
    <t>2026-03-16 14:12:49.513</t>
  </si>
  <si>
    <t xml:space="preserve">AMREIN30            </t>
  </si>
  <si>
    <t>2026-03-16 14:12:49.530</t>
  </si>
  <si>
    <t xml:space="preserve">AMREIN40            </t>
  </si>
  <si>
    <t>2026-03-16 14:12:49.547</t>
  </si>
  <si>
    <t>2026-03-16 14:12:49.560</t>
  </si>
  <si>
    <t xml:space="preserve">AMREIN60            </t>
  </si>
  <si>
    <t>2026-03-16 14:12:49.577</t>
  </si>
  <si>
    <t xml:space="preserve">AOCESE10            </t>
  </si>
  <si>
    <t>2026-03-16 14:12:49.687</t>
  </si>
  <si>
    <t xml:space="preserve">AOCHPN30            </t>
  </si>
  <si>
    <t>2026-03-16 14:12:49.717</t>
  </si>
  <si>
    <t xml:space="preserve">AOCHPN10            </t>
  </si>
  <si>
    <t>2026-03-16 14:12:49.733</t>
  </si>
  <si>
    <t xml:space="preserve">AOCHPN20            </t>
  </si>
  <si>
    <t>2026-03-16 14:12:49.747</t>
  </si>
  <si>
    <t xml:space="preserve">AODACT30            </t>
  </si>
  <si>
    <t>2026-03-16 14:12:49.810</t>
  </si>
  <si>
    <t xml:space="preserve">AODACT10            </t>
  </si>
  <si>
    <t>2026-03-16 14:12:49.827</t>
  </si>
  <si>
    <t xml:space="preserve">AODACT20            </t>
  </si>
  <si>
    <t>2026-03-16 14:12:49.843</t>
  </si>
  <si>
    <t>2026-03-16 14:12:49.857</t>
  </si>
  <si>
    <t xml:space="preserve">AODACT40            </t>
  </si>
  <si>
    <t>2026-03-16 14:12:49.873</t>
  </si>
  <si>
    <t xml:space="preserve">AODORE10            </t>
  </si>
  <si>
    <t>2026-03-16 14:12:49.917</t>
  </si>
  <si>
    <t>2026-03-16 14:12:49.930</t>
  </si>
  <si>
    <t xml:space="preserve">AODORE20            </t>
  </si>
  <si>
    <t>2026-03-16 14:12:49.947</t>
  </si>
  <si>
    <t xml:space="preserve">AOHEAD60            </t>
  </si>
  <si>
    <t>2026-03-16 14:12:49.997</t>
  </si>
  <si>
    <t xml:space="preserve">AOHEAD10            </t>
  </si>
  <si>
    <t>2026-03-16 14:12:50.013</t>
  </si>
  <si>
    <t>2026-03-16 14:12:50.027</t>
  </si>
  <si>
    <t xml:space="preserve">AOHEAD80            </t>
  </si>
  <si>
    <t>2026-03-16 14:12:50.043</t>
  </si>
  <si>
    <t xml:space="preserve">AOHEAD50            </t>
  </si>
  <si>
    <t>2026-03-16 14:12:50.057</t>
  </si>
  <si>
    <t xml:space="preserve">AOHEAD70            </t>
  </si>
  <si>
    <t>2026-03-16 14:12:50.077</t>
  </si>
  <si>
    <t>2026-03-16 14:12:50.080</t>
  </si>
  <si>
    <t>3</t>
  </si>
  <si>
    <t xml:space="preserve">AOHEAD20            </t>
  </si>
  <si>
    <t>2026-03-16 14:12:50.087</t>
  </si>
  <si>
    <t xml:space="preserve">AOHEAD30            </t>
  </si>
  <si>
    <t>2026-03-16 14:12:50.103</t>
  </si>
  <si>
    <t xml:space="preserve">AOLINE10            </t>
  </si>
  <si>
    <t>2026-03-16 14:12:50.117</t>
  </si>
  <si>
    <t xml:space="preserve">AOHEAD40            </t>
  </si>
  <si>
    <t xml:space="preserve">AOHEAD02            </t>
  </si>
  <si>
    <t>2026-03-16 14:12:50.133</t>
  </si>
  <si>
    <t>2026-03-16 14:12:50.150</t>
  </si>
  <si>
    <t xml:space="preserve">AOLINE20            </t>
  </si>
  <si>
    <t xml:space="preserve">AOMPGE10            </t>
  </si>
  <si>
    <t>2026-03-16 14:12:50.180</t>
  </si>
  <si>
    <t xml:space="preserve">AOMPGL20            </t>
  </si>
  <si>
    <t>2026-03-16 14:12:50.380</t>
  </si>
  <si>
    <t xml:space="preserve">AOMPGM10            </t>
  </si>
  <si>
    <t xml:space="preserve">AOMPGM20            </t>
  </si>
  <si>
    <t>2026-03-16 14:12:50.397</t>
  </si>
  <si>
    <t xml:space="preserve">AOMPGR20            </t>
  </si>
  <si>
    <t>2026-03-16 14:12:50.427</t>
  </si>
  <si>
    <t xml:space="preserve">AOMPGR10            </t>
  </si>
  <si>
    <t>2026-03-16 14:12:50.443</t>
  </si>
  <si>
    <t xml:space="preserve">AOOPGM10            </t>
  </si>
  <si>
    <t>2026-03-16 14:12:50.617</t>
  </si>
  <si>
    <t>2026-03-16 14:12:50.630</t>
  </si>
  <si>
    <t xml:space="preserve">AOOPPL10            </t>
  </si>
  <si>
    <t xml:space="preserve">AOOPPL20            </t>
  </si>
  <si>
    <t>2026-03-16 14:12:50.647</t>
  </si>
  <si>
    <t xml:space="preserve">AOSCRQ10            </t>
  </si>
  <si>
    <t>2026-03-16 14:12:50.677</t>
  </si>
  <si>
    <t xml:space="preserve">APDMAT60            </t>
  </si>
  <si>
    <t>2026-03-16 14:12:50.867</t>
  </si>
  <si>
    <t xml:space="preserve">APDMAT10            </t>
  </si>
  <si>
    <t>2026-03-16 14:12:50.880</t>
  </si>
  <si>
    <t>2026-03-16 14:12:50.897</t>
  </si>
  <si>
    <t xml:space="preserve">APDMED10            </t>
  </si>
  <si>
    <t>2026-03-16 14:12:50.903</t>
  </si>
  <si>
    <t>2026-03-16 14:12:50.910</t>
  </si>
  <si>
    <t>5</t>
  </si>
  <si>
    <t xml:space="preserve">APDMEO10            </t>
  </si>
  <si>
    <t>2026-03-16 14:12:50.913</t>
  </si>
  <si>
    <t xml:space="preserve">APDOPE10            </t>
  </si>
  <si>
    <t>2026-03-16 14:12:51.133</t>
  </si>
  <si>
    <t>2026-03-16 14:12:51.147</t>
  </si>
  <si>
    <t xml:space="preserve">APDOPS20            </t>
  </si>
  <si>
    <t>2026-03-16 14:12:51.163</t>
  </si>
  <si>
    <t xml:space="preserve">APDPMM10            </t>
  </si>
  <si>
    <t xml:space="preserve">APDOPS10            </t>
  </si>
  <si>
    <t>2026-03-16 14:12:51.180</t>
  </si>
  <si>
    <t xml:space="preserve">APDRMA20            </t>
  </si>
  <si>
    <t>2026-03-16 14:12:51.383</t>
  </si>
  <si>
    <t>2026-03-16 14:12:51.397</t>
  </si>
  <si>
    <t xml:space="preserve">APDRMA10            </t>
  </si>
  <si>
    <t>2026-03-16 14:12:51.410</t>
  </si>
  <si>
    <t xml:space="preserve">APDSCF60            </t>
  </si>
  <si>
    <t>2026-03-16 14:12:52.510</t>
  </si>
  <si>
    <t>1101</t>
  </si>
  <si>
    <t xml:space="preserve">APDSRC10            </t>
  </si>
  <si>
    <t>2026-03-16 14:12:51.427</t>
  </si>
  <si>
    <t xml:space="preserve">APFEHE10            </t>
  </si>
  <si>
    <t>2026-03-16 14:12:51.507</t>
  </si>
  <si>
    <t xml:space="preserve">IDX05905  </t>
  </si>
  <si>
    <t xml:space="preserve">APRMAT10            </t>
  </si>
  <si>
    <t>2026-03-16 14:12:51.647</t>
  </si>
  <si>
    <t>2026-03-16 14:12:51.663</t>
  </si>
  <si>
    <t xml:space="preserve">APSMHE21            </t>
  </si>
  <si>
    <t xml:space="preserve">APSMHE30            </t>
  </si>
  <si>
    <t>2026-03-16 14:12:51.680</t>
  </si>
  <si>
    <t xml:space="preserve">APSMTP10            </t>
  </si>
  <si>
    <t>2026-03-16 14:12:51.770</t>
  </si>
  <si>
    <t xml:space="preserve">APSOSD10            </t>
  </si>
  <si>
    <t>2026-03-16 14:12:51.900</t>
  </si>
  <si>
    <t xml:space="preserve">APSOSH40            </t>
  </si>
  <si>
    <t xml:space="preserve">APSOSH50            </t>
  </si>
  <si>
    <t>2026-03-16 14:12:51.917</t>
  </si>
  <si>
    <t>2026-03-16 14:12:51.933</t>
  </si>
  <si>
    <t xml:space="preserve">APSOSH30            </t>
  </si>
  <si>
    <t>2026-03-16 14:12:51.947</t>
  </si>
  <si>
    <t xml:space="preserve">APSOSH60            </t>
  </si>
  <si>
    <t>2026-03-16 14:12:51.963</t>
  </si>
  <si>
    <t xml:space="preserve">APSOSH10            </t>
  </si>
  <si>
    <t>2026-03-16 14:12:51.980</t>
  </si>
  <si>
    <t xml:space="preserve">APSOSH20            </t>
  </si>
  <si>
    <t>2026-03-16 14:12:51.993</t>
  </si>
  <si>
    <t xml:space="preserve">APSPOR10            </t>
  </si>
  <si>
    <t xml:space="preserve">APSPOS10            </t>
  </si>
  <si>
    <t>2026-03-16 14:12:52.137</t>
  </si>
  <si>
    <t>2026-03-16 14:12:52.150</t>
  </si>
  <si>
    <t xml:space="preserve">APSPQO20            </t>
  </si>
  <si>
    <t>2026-03-16 14:12:52.230</t>
  </si>
  <si>
    <t xml:space="preserve">APSPQO10            </t>
  </si>
  <si>
    <t>2026-03-16 14:12:52.243</t>
  </si>
  <si>
    <t xml:space="preserve">AQQVER10            </t>
  </si>
  <si>
    <t xml:space="preserve">AQSDRE15            </t>
  </si>
  <si>
    <t>2026-03-16 14:12:52.387</t>
  </si>
  <si>
    <t xml:space="preserve">AQSDRE25            </t>
  </si>
  <si>
    <t>2026-03-16 14:12:52.400</t>
  </si>
  <si>
    <t>2026-03-16 14:12:52.417</t>
  </si>
  <si>
    <t xml:space="preserve">AQSDRE20            </t>
  </si>
  <si>
    <t>2026-03-16 14:12:52.433</t>
  </si>
  <si>
    <t xml:space="preserve">AQSDRE10            </t>
  </si>
  <si>
    <t>2026-03-16 14:12:52.447</t>
  </si>
  <si>
    <t xml:space="preserve">AQSDRE05            </t>
  </si>
  <si>
    <t>2026-03-16 14:12:52.463</t>
  </si>
  <si>
    <t xml:space="preserve">ARCDLR10            </t>
  </si>
  <si>
    <t>2026-03-16 14:12:52.493</t>
  </si>
  <si>
    <t xml:space="preserve">ARCELO10            </t>
  </si>
  <si>
    <t xml:space="preserve">ARCELO20            </t>
  </si>
  <si>
    <t xml:space="preserve">APDSCF20            </t>
  </si>
  <si>
    <t>2026-03-16 14:12:52.527</t>
  </si>
  <si>
    <t>2026-03-16 14:12:54.057</t>
  </si>
  <si>
    <t>1531</t>
  </si>
  <si>
    <t xml:space="preserve">ARCHLO30            </t>
  </si>
  <si>
    <t>2026-03-16 14:12:52.697</t>
  </si>
  <si>
    <t xml:space="preserve">ARCHLO20            </t>
  </si>
  <si>
    <t>2026-03-16 14:12:52.730</t>
  </si>
  <si>
    <t xml:space="preserve">ARCSCH10            </t>
  </si>
  <si>
    <t xml:space="preserve">ARCHLO10            </t>
  </si>
  <si>
    <t>2026-03-16 14:12:52.743</t>
  </si>
  <si>
    <t xml:space="preserve">ARCSEL10            </t>
  </si>
  <si>
    <t>2026-03-16 14:12:52.760</t>
  </si>
  <si>
    <t xml:space="preserve">ARCHLO40            </t>
  </si>
  <si>
    <t xml:space="preserve">ARCTAB20            </t>
  </si>
  <si>
    <t>2026-03-16 14:12:52.963</t>
  </si>
  <si>
    <t xml:space="preserve">ARCTAB10            </t>
  </si>
  <si>
    <t>2026-03-16 14:12:52.980</t>
  </si>
  <si>
    <t>2026-03-16 14:12:52.993</t>
  </si>
  <si>
    <t xml:space="preserve">ARCTLO10            </t>
  </si>
  <si>
    <t>2026-03-16 14:12:53.010</t>
  </si>
  <si>
    <t xml:space="preserve">ARCVWI10            </t>
  </si>
  <si>
    <t xml:space="preserve">ARCVWI20            </t>
  </si>
  <si>
    <t>2026-03-16 14:12:53.027</t>
  </si>
  <si>
    <t xml:space="preserve">ASUBCS20            </t>
  </si>
  <si>
    <t>2026-03-16 14:12:53.230</t>
  </si>
  <si>
    <t>2026-03-16 14:12:53.243</t>
  </si>
  <si>
    <t xml:space="preserve">ASUBCS10            </t>
  </si>
  <si>
    <t>2026-03-16 14:12:53.260</t>
  </si>
  <si>
    <t xml:space="preserve">AURESU20            </t>
  </si>
  <si>
    <t xml:space="preserve">AURESU30            </t>
  </si>
  <si>
    <t xml:space="preserve">AXCNTR60            </t>
  </si>
  <si>
    <t xml:space="preserve">AURESU10            </t>
  </si>
  <si>
    <t>2026-03-16 14:12:53.277</t>
  </si>
  <si>
    <t>2026-03-16 14:12:53.290</t>
  </si>
  <si>
    <t xml:space="preserve">AXCNTR20            </t>
  </si>
  <si>
    <t xml:space="preserve">AXCNTR30            </t>
  </si>
  <si>
    <t>2026-03-16 14:12:53.307</t>
  </si>
  <si>
    <t xml:space="preserve">AXCNTR50            </t>
  </si>
  <si>
    <t>2026-03-16 14:12:53.323</t>
  </si>
  <si>
    <t xml:space="preserve">AXCNTR40            </t>
  </si>
  <si>
    <t>2026-03-16 14:12:53.337</t>
  </si>
  <si>
    <t xml:space="preserve">AXUORL10            </t>
  </si>
  <si>
    <t>2026-03-16 14:12:53.493</t>
  </si>
  <si>
    <t>2026-03-16 14:12:53.510</t>
  </si>
  <si>
    <t xml:space="preserve">BBUTEH10            </t>
  </si>
  <si>
    <t>2026-03-16 14:12:53.527</t>
  </si>
  <si>
    <t xml:space="preserve">BBUTEL10            </t>
  </si>
  <si>
    <t>2026-03-16 14:12:53.573</t>
  </si>
  <si>
    <t xml:space="preserve">BCHKHE10            </t>
  </si>
  <si>
    <t>2026-03-16 14:12:53.747</t>
  </si>
  <si>
    <t xml:space="preserve">BCHKLI10            </t>
  </si>
  <si>
    <t>2026-03-16 14:12:53.760</t>
  </si>
  <si>
    <t xml:space="preserve">BCUPRJ20            </t>
  </si>
  <si>
    <t>2026-03-16 14:12:53.823</t>
  </si>
  <si>
    <t>2026-03-16 14:12:53.840</t>
  </si>
  <si>
    <t xml:space="preserve">BCUPRJ10            </t>
  </si>
  <si>
    <t>2026-03-16 14:12:53.853</t>
  </si>
  <si>
    <t xml:space="preserve">BELEME20            </t>
  </si>
  <si>
    <t>2026-03-16 14:12:53.980</t>
  </si>
  <si>
    <t>2026-03-16 14:12:53.997</t>
  </si>
  <si>
    <t xml:space="preserve">BELEME10            </t>
  </si>
  <si>
    <t>2026-03-16 14:12:54.010</t>
  </si>
  <si>
    <t xml:space="preserve">BELLAD10            </t>
  </si>
  <si>
    <t xml:space="preserve">BELEME30            </t>
  </si>
  <si>
    <t>2026-03-16 14:12:54.027</t>
  </si>
  <si>
    <t xml:space="preserve">APDSCF30            </t>
  </si>
  <si>
    <t>2026-03-16 14:12:54.073</t>
  </si>
  <si>
    <t>2026-03-16 14:12:54.807</t>
  </si>
  <si>
    <t>735</t>
  </si>
  <si>
    <t xml:space="preserve">BINACC20            </t>
  </si>
  <si>
    <t>2026-03-16 14:12:54.090</t>
  </si>
  <si>
    <t xml:space="preserve">BINACC40            </t>
  </si>
  <si>
    <t>2026-03-16 14:12:54.103</t>
  </si>
  <si>
    <t>2026-03-16 14:12:54.120</t>
  </si>
  <si>
    <t xml:space="preserve">BINACC50            </t>
  </si>
  <si>
    <t>2026-03-16 14:12:54.137</t>
  </si>
  <si>
    <t xml:space="preserve">BINACC10            </t>
  </si>
  <si>
    <t>2026-03-16 14:12:54.150</t>
  </si>
  <si>
    <t xml:space="preserve">BINACC01            </t>
  </si>
  <si>
    <t>2026-03-16 14:12:54.167</t>
  </si>
  <si>
    <t xml:space="preserve">BKMSTA10            </t>
  </si>
  <si>
    <t>2026-03-16 14:12:54.230</t>
  </si>
  <si>
    <t xml:space="preserve">BMOOPO20            </t>
  </si>
  <si>
    <t>2026-03-16 14:12:54.260</t>
  </si>
  <si>
    <t xml:space="preserve">BMOSIM10            </t>
  </si>
  <si>
    <t>2026-03-16 14:12:54.417</t>
  </si>
  <si>
    <t xml:space="preserve">BMPLAN80            </t>
  </si>
  <si>
    <t>2026-03-16 14:12:54.480</t>
  </si>
  <si>
    <t>2026-03-16 14:12:54.497</t>
  </si>
  <si>
    <t xml:space="preserve">BMPLAX10            </t>
  </si>
  <si>
    <t xml:space="preserve">BMPLAN85            </t>
  </si>
  <si>
    <t>2026-03-16 14:12:54.510</t>
  </si>
  <si>
    <t xml:space="preserve">BMPLAX20            </t>
  </si>
  <si>
    <t xml:space="preserve">BMPLAN10            </t>
  </si>
  <si>
    <t>2026-03-16 14:12:54.527</t>
  </si>
  <si>
    <t xml:space="preserve">BMPLAX30            </t>
  </si>
  <si>
    <t xml:space="preserve">BMPLAN30            </t>
  </si>
  <si>
    <t>2026-03-16 14:12:54.543</t>
  </si>
  <si>
    <t xml:space="preserve">BMPLAX40            </t>
  </si>
  <si>
    <t xml:space="preserve">BMPLAN35            </t>
  </si>
  <si>
    <t>2026-03-16 14:12:54.557</t>
  </si>
  <si>
    <t xml:space="preserve">BMPLAX50            </t>
  </si>
  <si>
    <t xml:space="preserve">BMPLAN50            </t>
  </si>
  <si>
    <t>2026-03-16 14:12:54.573</t>
  </si>
  <si>
    <t xml:space="preserve">BMPLAN60            </t>
  </si>
  <si>
    <t>2026-03-16 14:12:54.590</t>
  </si>
  <si>
    <t>2026-03-16 14:12:54.603</t>
  </si>
  <si>
    <t xml:space="preserve">BMPLAN02            </t>
  </si>
  <si>
    <t>2026-03-16 14:12:54.620</t>
  </si>
  <si>
    <t xml:space="preserve">BMPLAN03            </t>
  </si>
  <si>
    <t>2026-03-16 14:12:54.637</t>
  </si>
  <si>
    <t xml:space="preserve">BMPLAN71            </t>
  </si>
  <si>
    <t>2026-03-16 14:12:54.650</t>
  </si>
  <si>
    <t xml:space="preserve">BMTPHE10            </t>
  </si>
  <si>
    <t xml:space="preserve">BMPLAN72            </t>
  </si>
  <si>
    <t>2026-03-16 14:12:54.667</t>
  </si>
  <si>
    <t>2026-03-16 14:12:54.683</t>
  </si>
  <si>
    <t xml:space="preserve">BMPLAN82            </t>
  </si>
  <si>
    <t>2026-03-16 14:12:54.697</t>
  </si>
  <si>
    <t xml:space="preserve">BMPLAN90            </t>
  </si>
  <si>
    <t>2026-03-16 14:12:54.713</t>
  </si>
  <si>
    <t xml:space="preserve">BMPLAN01            </t>
  </si>
  <si>
    <t>2026-03-16 14:12:54.730</t>
  </si>
  <si>
    <t xml:space="preserve">BMPLAN04            </t>
  </si>
  <si>
    <t>2026-03-16 14:12:54.747</t>
  </si>
  <si>
    <t xml:space="preserve">BMPLAN15            </t>
  </si>
  <si>
    <t>2026-03-16 14:12:54.760</t>
  </si>
  <si>
    <t xml:space="preserve">BMPLAN70            </t>
  </si>
  <si>
    <t>2026-03-16 14:12:54.777</t>
  </si>
  <si>
    <t>2026-03-16 14:12:54.793</t>
  </si>
  <si>
    <t xml:space="preserve">BMPLAN40            </t>
  </si>
  <si>
    <t xml:space="preserve">BMTPLN10            </t>
  </si>
  <si>
    <t xml:space="preserve">APDSCF40            </t>
  </si>
  <si>
    <t>2026-03-16 14:12:54.823</t>
  </si>
  <si>
    <t>2026-03-16 14:12:55.847</t>
  </si>
  <si>
    <t>1023</t>
  </si>
  <si>
    <t xml:space="preserve">BPACTO30            </t>
  </si>
  <si>
    <t>2026-03-16 14:12:54.900</t>
  </si>
  <si>
    <t xml:space="preserve">BPADTX10            </t>
  </si>
  <si>
    <t>2026-03-16 14:12:55.043</t>
  </si>
  <si>
    <t xml:space="preserve">BPBFTY10            </t>
  </si>
  <si>
    <t>2026-03-16 14:12:55.057</t>
  </si>
  <si>
    <t xml:space="preserve">BPBUAD10            </t>
  </si>
  <si>
    <t>2026-03-16 14:12:55.150</t>
  </si>
  <si>
    <t xml:space="preserve">BPBUBC40            </t>
  </si>
  <si>
    <t>2026-03-16 14:12:55.277</t>
  </si>
  <si>
    <t xml:space="preserve">BPBUBC10            </t>
  </si>
  <si>
    <t>2026-03-16 14:12:55.293</t>
  </si>
  <si>
    <t>2026-03-16 14:12:55.307</t>
  </si>
  <si>
    <t xml:space="preserve">BPBUEL20            </t>
  </si>
  <si>
    <t xml:space="preserve">BPBUBC30            </t>
  </si>
  <si>
    <t>2026-03-16 14:12:55.323</t>
  </si>
  <si>
    <t xml:space="preserve">BPBUEL10            </t>
  </si>
  <si>
    <t xml:space="preserve">BPBUEL01            </t>
  </si>
  <si>
    <t xml:space="preserve">BPBUFO10            </t>
  </si>
  <si>
    <t>2026-03-16 14:12:55.387</t>
  </si>
  <si>
    <t xml:space="preserve">BPBUFO20            </t>
  </si>
  <si>
    <t>2026-03-16 14:12:55.400</t>
  </si>
  <si>
    <t>2026-03-16 14:12:55.417</t>
  </si>
  <si>
    <t xml:space="preserve">BPBUFO30            </t>
  </si>
  <si>
    <t>2026-03-16 14:12:55.433</t>
  </si>
  <si>
    <t xml:space="preserve">BPBUVE10            </t>
  </si>
  <si>
    <t>2026-03-16 14:12:55.557</t>
  </si>
  <si>
    <t>2026-03-16 14:12:55.573</t>
  </si>
  <si>
    <t xml:space="preserve">BPCHBU10            </t>
  </si>
  <si>
    <t>2026-03-16 14:12:55.590</t>
  </si>
  <si>
    <t xml:space="preserve">BPBUVE20            </t>
  </si>
  <si>
    <t xml:space="preserve">BPBUVE30            </t>
  </si>
  <si>
    <t>2026-03-16 14:12:55.607</t>
  </si>
  <si>
    <t xml:space="preserve">BPCHGO30            </t>
  </si>
  <si>
    <t>2026-03-16 14:12:55.667</t>
  </si>
  <si>
    <t xml:space="preserve">BPCHGO50            </t>
  </si>
  <si>
    <t>2026-03-16 14:12:55.683</t>
  </si>
  <si>
    <t xml:space="preserve">BPCHGO70            </t>
  </si>
  <si>
    <t>2026-03-16 14:12:55.697</t>
  </si>
  <si>
    <t>2026-03-16 14:12:55.713</t>
  </si>
  <si>
    <t xml:space="preserve">BPCHGO60            </t>
  </si>
  <si>
    <t>2026-03-16 14:12:55.720</t>
  </si>
  <si>
    <t xml:space="preserve">BPCHGO40            </t>
  </si>
  <si>
    <t>2026-03-16 14:12:55.737</t>
  </si>
  <si>
    <t>2026-03-16 14:12:55.753</t>
  </si>
  <si>
    <t xml:space="preserve">BPCHGO10            </t>
  </si>
  <si>
    <t>2026-03-16 14:12:55.767</t>
  </si>
  <si>
    <t xml:space="preserve">BPCHGO20            </t>
  </si>
  <si>
    <t>2026-03-16 14:12:55.783</t>
  </si>
  <si>
    <t xml:space="preserve">BPCHGO80            </t>
  </si>
  <si>
    <t>2026-03-16 14:12:55.800</t>
  </si>
  <si>
    <t xml:space="preserve">BPCHRC10            </t>
  </si>
  <si>
    <t>2026-03-16 14:12:55.830</t>
  </si>
  <si>
    <t xml:space="preserve">BPCRPC10            </t>
  </si>
  <si>
    <t xml:space="preserve">APDSCF10            </t>
  </si>
  <si>
    <t>2026-03-16 14:12:56.550</t>
  </si>
  <si>
    <t>703</t>
  </si>
  <si>
    <t xml:space="preserve">BPCRPE10            </t>
  </si>
  <si>
    <t>2026-03-16 14:12:56.033</t>
  </si>
  <si>
    <t>2026-03-16 14:12:56.050</t>
  </si>
  <si>
    <t xml:space="preserve">BPCRTO10            </t>
  </si>
  <si>
    <t>2026-03-16 14:12:56.067</t>
  </si>
  <si>
    <t xml:space="preserve">BPCTEL10            </t>
  </si>
  <si>
    <t>2026-03-16 14:12:56.080</t>
  </si>
  <si>
    <t xml:space="preserve">BPCUOR10            </t>
  </si>
  <si>
    <t>2026-03-16 14:12:56.283</t>
  </si>
  <si>
    <t>2026-03-16 14:12:56.300</t>
  </si>
  <si>
    <t xml:space="preserve">BPELAD10            </t>
  </si>
  <si>
    <t xml:space="preserve">BPELCO10            </t>
  </si>
  <si>
    <t>2026-03-16 14:12:56.317</t>
  </si>
  <si>
    <t xml:space="preserve">BPELCO20            </t>
  </si>
  <si>
    <t>2026-03-16 14:12:56.330</t>
  </si>
  <si>
    <t xml:space="preserve">BPELCO30            </t>
  </si>
  <si>
    <t>2026-03-16 14:12:56.347</t>
  </si>
  <si>
    <t xml:space="preserve">BPELCO40            </t>
  </si>
  <si>
    <t>2026-03-16 14:12:56.360</t>
  </si>
  <si>
    <t xml:space="preserve">BPELCO50            </t>
  </si>
  <si>
    <t>2026-03-16 14:12:56.377</t>
  </si>
  <si>
    <t xml:space="preserve">BPERAC10            </t>
  </si>
  <si>
    <t xml:space="preserve">BPEROU10            </t>
  </si>
  <si>
    <t xml:space="preserve">BPFOVE10            </t>
  </si>
  <si>
    <t>2026-03-16 14:12:56.610</t>
  </si>
  <si>
    <t xml:space="preserve">BPFOVE20            </t>
  </si>
  <si>
    <t>2026-03-16 14:12:56.627</t>
  </si>
  <si>
    <t xml:space="preserve">BPFOVE30            </t>
  </si>
  <si>
    <t>2026-03-16 14:12:56.643</t>
  </si>
  <si>
    <t xml:space="preserve">BPFOVE40            </t>
  </si>
  <si>
    <t>2026-03-16 14:12:56.657</t>
  </si>
  <si>
    <t xml:space="preserve">BPGSTR10            </t>
  </si>
  <si>
    <t>2026-03-16 14:12:56.800</t>
  </si>
  <si>
    <t xml:space="preserve">BPIDPE10            </t>
  </si>
  <si>
    <t>2026-03-16 14:12:56.817</t>
  </si>
  <si>
    <t xml:space="preserve">BPIDPC10            </t>
  </si>
  <si>
    <t>2026-03-16 14:12:56.830</t>
  </si>
  <si>
    <t xml:space="preserve">BPIDPR10            </t>
  </si>
  <si>
    <t>2026-03-16 14:12:56.907</t>
  </si>
  <si>
    <t>2026-03-16 14:12:56.923</t>
  </si>
  <si>
    <t xml:space="preserve">BPIDTO10            </t>
  </si>
  <si>
    <t>2026-03-16 14:12:57.067</t>
  </si>
  <si>
    <t xml:space="preserve">BPINDE20            </t>
  </si>
  <si>
    <t xml:space="preserve">BPINDH40            </t>
  </si>
  <si>
    <t xml:space="preserve">BPIDTO30            </t>
  </si>
  <si>
    <t>2026-03-16 14:12:57.080</t>
  </si>
  <si>
    <t>2026-03-16 14:12:57.097</t>
  </si>
  <si>
    <t xml:space="preserve">BPINDE30            </t>
  </si>
  <si>
    <t xml:space="preserve">BPIDTO40            </t>
  </si>
  <si>
    <t>2026-03-16 14:12:57.110</t>
  </si>
  <si>
    <t xml:space="preserve">BPINDE50            </t>
  </si>
  <si>
    <t xml:space="preserve">BPIDTO50            </t>
  </si>
  <si>
    <t>2026-03-16 14:12:57.127</t>
  </si>
  <si>
    <t xml:space="preserve">BPINDE10            </t>
  </si>
  <si>
    <t xml:space="preserve">BPINDE40            </t>
  </si>
  <si>
    <t>2026-03-16 14:12:57.143</t>
  </si>
  <si>
    <t xml:space="preserve">BPINHE81            </t>
  </si>
  <si>
    <t>2026-03-16 14:12:57.157</t>
  </si>
  <si>
    <t xml:space="preserve">BPINHE80            </t>
  </si>
  <si>
    <t>2026-03-16 14:12:57.173</t>
  </si>
  <si>
    <t xml:space="preserve">BPINHE21            </t>
  </si>
  <si>
    <t>2026-03-16 14:12:57.190</t>
  </si>
  <si>
    <t>2026-03-16 14:12:57.207</t>
  </si>
  <si>
    <t xml:space="preserve">BPINHE90            </t>
  </si>
  <si>
    <t>2026-03-16 14:12:57.220</t>
  </si>
  <si>
    <t xml:space="preserve">BPINHE31            </t>
  </si>
  <si>
    <t>2026-03-16 14:12:57.237</t>
  </si>
  <si>
    <t xml:space="preserve">BPINHE30            </t>
  </si>
  <si>
    <t>2026-03-16 14:12:57.253</t>
  </si>
  <si>
    <t xml:space="preserve">BPINHE20            </t>
  </si>
  <si>
    <t>2026-03-16 14:12:57.267</t>
  </si>
  <si>
    <t xml:space="preserve">BPINHE10            </t>
  </si>
  <si>
    <t>2026-03-16 14:12:57.283</t>
  </si>
  <si>
    <t xml:space="preserve">BPINHE40            </t>
  </si>
  <si>
    <t>2026-03-16 14:12:57.300</t>
  </si>
  <si>
    <t xml:space="preserve">BPINHI90            </t>
  </si>
  <si>
    <t>2026-03-16 14:12:57.317</t>
  </si>
  <si>
    <t>2026-03-16 14:12:57.330</t>
  </si>
  <si>
    <t xml:space="preserve">BPINHI20            </t>
  </si>
  <si>
    <t>2026-03-16 14:12:57.347</t>
  </si>
  <si>
    <t xml:space="preserve">BPINHI80            </t>
  </si>
  <si>
    <t>2026-03-16 14:12:57.360</t>
  </si>
  <si>
    <t xml:space="preserve">BPINID10            </t>
  </si>
  <si>
    <t xml:space="preserve">BPINHI10            </t>
  </si>
  <si>
    <t>2026-03-16 14:12:57.377</t>
  </si>
  <si>
    <t xml:space="preserve">BPINLC10            </t>
  </si>
  <si>
    <t xml:space="preserve">BPINLN30            </t>
  </si>
  <si>
    <t>2026-03-16 14:12:57.533</t>
  </si>
  <si>
    <t xml:space="preserve">BPINLN10            </t>
  </si>
  <si>
    <t>2026-03-16 14:12:57.550</t>
  </si>
  <si>
    <t xml:space="preserve">BPLEAD10            </t>
  </si>
  <si>
    <t>2026-03-16 14:12:57.597</t>
  </si>
  <si>
    <t xml:space="preserve">BPMOPO10            </t>
  </si>
  <si>
    <t>2026-03-16 14:12:57.610</t>
  </si>
  <si>
    <t>2026-03-16 14:12:57.627</t>
  </si>
  <si>
    <t xml:space="preserve">BPO65100            </t>
  </si>
  <si>
    <t xml:space="preserve">BPMOPO20            </t>
  </si>
  <si>
    <t>2026-03-16 14:12:57.643</t>
  </si>
  <si>
    <t xml:space="preserve">BPO65120            </t>
  </si>
  <si>
    <t xml:space="preserve">BPO65200            </t>
  </si>
  <si>
    <t>2026-03-16 14:12:57.800</t>
  </si>
  <si>
    <t xml:space="preserve">BPO91600            </t>
  </si>
  <si>
    <t>2026-03-16 14:12:57.847</t>
  </si>
  <si>
    <t xml:space="preserve">BPO91P00            </t>
  </si>
  <si>
    <t>2026-03-16 14:12:57.877</t>
  </si>
  <si>
    <t>2026-03-16 14:12:57.893</t>
  </si>
  <si>
    <t xml:space="preserve">BPO95020            </t>
  </si>
  <si>
    <t xml:space="preserve">BPO95090            </t>
  </si>
  <si>
    <t>2026-03-16 14:12:57.907</t>
  </si>
  <si>
    <t xml:space="preserve">BPOCHK20            </t>
  </si>
  <si>
    <t>2026-03-16 14:12:58.050</t>
  </si>
  <si>
    <t>2026-03-16 14:12:58.067</t>
  </si>
  <si>
    <t xml:space="preserve">BPOCHK30            </t>
  </si>
  <si>
    <t>2026-03-16 14:12:58.080</t>
  </si>
  <si>
    <t xml:space="preserve">BPOCHK10            </t>
  </si>
  <si>
    <t>2026-03-16 14:12:58.090</t>
  </si>
  <si>
    <t xml:space="preserve">BPOTYP10            </t>
  </si>
  <si>
    <t xml:space="preserve">BPPCLI10            </t>
  </si>
  <si>
    <t>2026-03-16 14:12:58.137</t>
  </si>
  <si>
    <t xml:space="preserve">BPPCLI20            </t>
  </si>
  <si>
    <t>2026-03-16 14:12:58.147</t>
  </si>
  <si>
    <t xml:space="preserve">BPPCTO20            </t>
  </si>
  <si>
    <t xml:space="preserve">BPPCVE30            </t>
  </si>
  <si>
    <t>2026-03-16 14:12:58.337</t>
  </si>
  <si>
    <t xml:space="preserve">BPPCVE10            </t>
  </si>
  <si>
    <t>2026-03-16 14:12:58.350</t>
  </si>
  <si>
    <t xml:space="preserve">BPPEBU10            </t>
  </si>
  <si>
    <t>2026-03-16 14:12:58.367</t>
  </si>
  <si>
    <t xml:space="preserve">BPPCVE20            </t>
  </si>
  <si>
    <t xml:space="preserve">BPPETC10            </t>
  </si>
  <si>
    <t>2026-03-16 14:12:58.397</t>
  </si>
  <si>
    <t xml:space="preserve">BPPETO10            </t>
  </si>
  <si>
    <t xml:space="preserve">BPPMPD50            </t>
  </si>
  <si>
    <t>2026-03-16 14:12:58.617</t>
  </si>
  <si>
    <t xml:space="preserve">BPPMPH10            </t>
  </si>
  <si>
    <t xml:space="preserve">BPPUOR10            </t>
  </si>
  <si>
    <t>2026-03-16 14:12:58.647</t>
  </si>
  <si>
    <t xml:space="preserve">BPREDE10            </t>
  </si>
  <si>
    <t xml:space="preserve">BPROJH10            </t>
  </si>
  <si>
    <t>2026-03-16 14:12:58.867</t>
  </si>
  <si>
    <t xml:space="preserve">BPROJH20            </t>
  </si>
  <si>
    <t>2026-03-16 14:12:58.883</t>
  </si>
  <si>
    <t xml:space="preserve">BPROJI10            </t>
  </si>
  <si>
    <t>2026-03-16 14:12:58.897</t>
  </si>
  <si>
    <t xml:space="preserve">BPROJS75            </t>
  </si>
  <si>
    <t xml:space="preserve">BPRPRE50            </t>
  </si>
  <si>
    <t xml:space="preserve">BPROJS30            </t>
  </si>
  <si>
    <t>2026-03-16 14:12:58.913</t>
  </si>
  <si>
    <t xml:space="preserve">BPRPRE30            </t>
  </si>
  <si>
    <t xml:space="preserve">BPROJS19            </t>
  </si>
  <si>
    <t>2026-03-16 14:12:58.930</t>
  </si>
  <si>
    <t xml:space="preserve">BPRPRE40            </t>
  </si>
  <si>
    <t xml:space="preserve">BPROJS11            </t>
  </si>
  <si>
    <t>2026-03-16 14:12:58.943</t>
  </si>
  <si>
    <t xml:space="preserve">BPRPRE10            </t>
  </si>
  <si>
    <t xml:space="preserve">BPROJS12            </t>
  </si>
  <si>
    <t>2026-03-16 14:12:58.960</t>
  </si>
  <si>
    <t xml:space="preserve">BPRPRE20            </t>
  </si>
  <si>
    <t xml:space="preserve">BPROJS13            </t>
  </si>
  <si>
    <t>2026-03-16 14:12:58.977</t>
  </si>
  <si>
    <t>2026-03-16 14:12:58.990</t>
  </si>
  <si>
    <t xml:space="preserve">BPROJS14            </t>
  </si>
  <si>
    <t>2026-03-16 14:12:59.007</t>
  </si>
  <si>
    <t xml:space="preserve">BPROJS16            </t>
  </si>
  <si>
    <t>2026-03-16 14:12:59.023</t>
  </si>
  <si>
    <t xml:space="preserve">BPROJS70            </t>
  </si>
  <si>
    <t>2026-03-16 14:12:59.037</t>
  </si>
  <si>
    <t xml:space="preserve">BPROJS86            </t>
  </si>
  <si>
    <t>2026-03-16 14:12:59.053</t>
  </si>
  <si>
    <t xml:space="preserve">BPROJS17            </t>
  </si>
  <si>
    <t>2026-03-16 14:12:59.070</t>
  </si>
  <si>
    <t>2026-03-16 14:12:59.087</t>
  </si>
  <si>
    <t xml:space="preserve">BPROJS18            </t>
  </si>
  <si>
    <t>2026-03-16 14:12:59.100</t>
  </si>
  <si>
    <t xml:space="preserve">BPSETL10            </t>
  </si>
  <si>
    <t xml:space="preserve">IDX05906  </t>
  </si>
  <si>
    <t xml:space="preserve">BPROJS10            </t>
  </si>
  <si>
    <t>2026-03-16 14:12:59.117</t>
  </si>
  <si>
    <t xml:space="preserve">BPSETP10            </t>
  </si>
  <si>
    <t xml:space="preserve">BPROJS20            </t>
  </si>
  <si>
    <t>2026-03-16 14:12:59.133</t>
  </si>
  <si>
    <t xml:space="preserve">BPSTEL10            </t>
  </si>
  <si>
    <t xml:space="preserve">BPROJS90            </t>
  </si>
  <si>
    <t>2026-03-16 14:12:59.147</t>
  </si>
  <si>
    <t xml:space="preserve">BPROJS65            </t>
  </si>
  <si>
    <t>2026-03-16 14:12:59.163</t>
  </si>
  <si>
    <t xml:space="preserve">BPROJS80            </t>
  </si>
  <si>
    <t>2026-03-16 14:12:59.180</t>
  </si>
  <si>
    <t xml:space="preserve">BPROJS51            </t>
  </si>
  <si>
    <t>2026-03-16 14:12:59.193</t>
  </si>
  <si>
    <t>2026-03-16 14:12:59.210</t>
  </si>
  <si>
    <t xml:space="preserve">BPTASK30            </t>
  </si>
  <si>
    <t xml:space="preserve">BPROJS60            </t>
  </si>
  <si>
    <t>2026-03-16 14:12:59.227</t>
  </si>
  <si>
    <t xml:space="preserve">BPTASK20            </t>
  </si>
  <si>
    <t xml:space="preserve">BPROJS40            </t>
  </si>
  <si>
    <t>2026-03-16 14:12:59.240</t>
  </si>
  <si>
    <t xml:space="preserve">BPTASK10            </t>
  </si>
  <si>
    <t xml:space="preserve">BPROJS41            </t>
  </si>
  <si>
    <t>2026-03-16 14:12:59.260</t>
  </si>
  <si>
    <t>2026-03-16 14:12:59.263</t>
  </si>
  <si>
    <t>2</t>
  </si>
  <si>
    <t xml:space="preserve">BPROJS01            </t>
  </si>
  <si>
    <t>2026-03-16 14:12:59.280</t>
  </si>
  <si>
    <t xml:space="preserve">BPROJS15            </t>
  </si>
  <si>
    <t>2026-03-16 14:12:59.297</t>
  </si>
  <si>
    <t xml:space="preserve">BPROJS85            </t>
  </si>
  <si>
    <t>2026-03-16 14:12:59.310</t>
  </si>
  <si>
    <t xml:space="preserve">BPROJS50            </t>
  </si>
  <si>
    <t>2026-03-16 14:12:59.327</t>
  </si>
  <si>
    <t xml:space="preserve">BPTIME60            </t>
  </si>
  <si>
    <t>2026-03-16 14:12:59.357</t>
  </si>
  <si>
    <t>2026-03-16 14:12:59.373</t>
  </si>
  <si>
    <t xml:space="preserve">BPTIME10            </t>
  </si>
  <si>
    <t>2026-03-16 14:12:59.387</t>
  </si>
  <si>
    <t xml:space="preserve">BPTPLI10            </t>
  </si>
  <si>
    <t xml:space="preserve">BPTPVE10            </t>
  </si>
  <si>
    <t xml:space="preserve">BPTPLI15            </t>
  </si>
  <si>
    <t xml:space="preserve">BPTPVE20            </t>
  </si>
  <si>
    <t xml:space="preserve">BPTIME20            </t>
  </si>
  <si>
    <t>2026-03-16 14:12:59.403</t>
  </si>
  <si>
    <t xml:space="preserve">BPTPLI20            </t>
  </si>
  <si>
    <t>2026-03-16 14:12:59.420</t>
  </si>
  <si>
    <t xml:space="preserve">BPTIME30            </t>
  </si>
  <si>
    <t xml:space="preserve">BPTPLI25            </t>
  </si>
  <si>
    <t>2026-03-16 14:12:59.437</t>
  </si>
  <si>
    <t xml:space="preserve">BPTPLI30            </t>
  </si>
  <si>
    <t>2026-03-16 14:12:59.450</t>
  </si>
  <si>
    <t xml:space="preserve">BPTIME40            </t>
  </si>
  <si>
    <t>2026-03-16 14:12:59.467</t>
  </si>
  <si>
    <t xml:space="preserve">BPTIME50            </t>
  </si>
  <si>
    <t>2026-03-16 14:12:59.483</t>
  </si>
  <si>
    <t xml:space="preserve">BPTPLI35            </t>
  </si>
  <si>
    <t xml:space="preserve">BSASTD90            </t>
  </si>
  <si>
    <t xml:space="preserve">BPTPLI40            </t>
  </si>
  <si>
    <t>2026-03-16 14:12:59.497</t>
  </si>
  <si>
    <t xml:space="preserve">BPTPLI45            </t>
  </si>
  <si>
    <t>2026-03-16 14:12:59.513</t>
  </si>
  <si>
    <t xml:space="preserve">BPTPLI50            </t>
  </si>
  <si>
    <t>2026-03-16 14:12:59.547</t>
  </si>
  <si>
    <t xml:space="preserve">BPTPLI60            </t>
  </si>
  <si>
    <t>2026-03-16 14:12:59.560</t>
  </si>
  <si>
    <t xml:space="preserve">BSETAD10            </t>
  </si>
  <si>
    <t>2026-03-16 14:12:59.577</t>
  </si>
  <si>
    <t xml:space="preserve">BSETGL25            </t>
  </si>
  <si>
    <t>2026-03-16 14:12:59.623</t>
  </si>
  <si>
    <t xml:space="preserve">BSETGL20            </t>
  </si>
  <si>
    <t>2026-03-16 14:12:59.637</t>
  </si>
  <si>
    <t xml:space="preserve">BSETHI10            </t>
  </si>
  <si>
    <t>2026-03-16 14:12:59.733</t>
  </si>
  <si>
    <t xml:space="preserve">BULKMI10            </t>
  </si>
  <si>
    <t xml:space="preserve">CAAAGG10            </t>
  </si>
  <si>
    <t>2026-03-16 14:12:59.797</t>
  </si>
  <si>
    <t>2026-03-16 14:12:59.810</t>
  </si>
  <si>
    <t xml:space="preserve">CAABAL80            </t>
  </si>
  <si>
    <t xml:space="preserve">CAABAL90            </t>
  </si>
  <si>
    <t>2026-03-16 14:12:59.827</t>
  </si>
  <si>
    <t xml:space="preserve">CAABAL10            </t>
  </si>
  <si>
    <t>2026-03-16 14:12:59.840</t>
  </si>
  <si>
    <t xml:space="preserve">CAABAL20            </t>
  </si>
  <si>
    <t>2026-03-16 14:12:59.857</t>
  </si>
  <si>
    <t>2026-03-16 14:12:59.873</t>
  </si>
  <si>
    <t xml:space="preserve">CAABAL30            </t>
  </si>
  <si>
    <t>2026-03-16 14:12:59.887</t>
  </si>
  <si>
    <t xml:space="preserve">CAACTL10            </t>
  </si>
  <si>
    <t>2026-03-16 14:12:59.903</t>
  </si>
  <si>
    <t xml:space="preserve">CAABAL40            </t>
  </si>
  <si>
    <t xml:space="preserve">CAABAL50            </t>
  </si>
  <si>
    <t>2026-03-16 14:12:59.920</t>
  </si>
  <si>
    <t xml:space="preserve">CAABAL60            </t>
  </si>
  <si>
    <t>2026-03-16 14:12:59.937</t>
  </si>
  <si>
    <t xml:space="preserve">CAABAL70            </t>
  </si>
  <si>
    <t>2026-03-16 14:12:59.963</t>
  </si>
  <si>
    <t xml:space="preserve">CAABAL71            </t>
  </si>
  <si>
    <t>2026-03-16 14:12:59.980</t>
  </si>
  <si>
    <t xml:space="preserve">CAAEMP10            </t>
  </si>
  <si>
    <t xml:space="preserve">CAAKDF10            </t>
  </si>
  <si>
    <t xml:space="preserve">CAAKDF20            </t>
  </si>
  <si>
    <t>2026-03-16 14:12:59.997</t>
  </si>
  <si>
    <t xml:space="preserve">CAAKEY10            </t>
  </si>
  <si>
    <t>2026-03-16 14:13:00.060</t>
  </si>
  <si>
    <t xml:space="preserve">CAAMAN10            </t>
  </si>
  <si>
    <t>2026-03-16 14:13:00.137</t>
  </si>
  <si>
    <t>2026-03-16 14:13:00.153</t>
  </si>
  <si>
    <t xml:space="preserve">CAATRA30            </t>
  </si>
  <si>
    <t>2026-03-16 14:13:00.230</t>
  </si>
  <si>
    <t xml:space="preserve">CAAWFH20            </t>
  </si>
  <si>
    <t xml:space="preserve">CAAWFV10            </t>
  </si>
  <si>
    <t xml:space="preserve">CAATRA10            </t>
  </si>
  <si>
    <t>2026-03-16 14:13:00.247</t>
  </si>
  <si>
    <t xml:space="preserve">CAAWFH10            </t>
  </si>
  <si>
    <t xml:space="preserve">CAATRA20            </t>
  </si>
  <si>
    <t>2026-03-16 14:13:00.263</t>
  </si>
  <si>
    <t xml:space="preserve">CAATRA40            </t>
  </si>
  <si>
    <t>2026-03-16 14:13:00.277</t>
  </si>
  <si>
    <t xml:space="preserve">CAATRA50            </t>
  </si>
  <si>
    <t>2026-03-16 14:13:00.293</t>
  </si>
  <si>
    <t>2026-03-16 14:13:00.310</t>
  </si>
  <si>
    <t xml:space="preserve">CAAWRK10            </t>
  </si>
  <si>
    <t xml:space="preserve">CAAWRK20            </t>
  </si>
  <si>
    <t>2026-03-16 14:13:00.327</t>
  </si>
  <si>
    <t xml:space="preserve">CACSCD10            </t>
  </si>
  <si>
    <t>2026-03-16 14:13:00.387</t>
  </si>
  <si>
    <t>2026-03-16 14:13:00.403</t>
  </si>
  <si>
    <t xml:space="preserve">CAEMPD20            </t>
  </si>
  <si>
    <t>2026-03-16 14:13:00.467</t>
  </si>
  <si>
    <t>2026-03-16 14:13:00.483</t>
  </si>
  <si>
    <t xml:space="preserve">CAEMPS10            </t>
  </si>
  <si>
    <t xml:space="preserve">CAEMPD10            </t>
  </si>
  <si>
    <t>2026-03-16 14:13:00.497</t>
  </si>
  <si>
    <t xml:space="preserve">CAEMPS20            </t>
  </si>
  <si>
    <t xml:space="preserve">CAMCON10            </t>
  </si>
  <si>
    <t>2026-03-16 14:13:00.543</t>
  </si>
  <si>
    <t>2026-03-16 14:13:00.560</t>
  </si>
  <si>
    <t xml:space="preserve">CAMHEA10            </t>
  </si>
  <si>
    <t xml:space="preserve">CAMRUL10            </t>
  </si>
  <si>
    <t>2026-03-16 14:13:00.637</t>
  </si>
  <si>
    <t xml:space="preserve">CASTDV10            </t>
  </si>
  <si>
    <t>2026-03-16 14:13:00.747</t>
  </si>
  <si>
    <t>2026-03-16 14:13:04.390</t>
  </si>
  <si>
    <t>3644</t>
  </si>
  <si>
    <t xml:space="preserve">CBANAC80            </t>
  </si>
  <si>
    <t>2026-03-16 14:13:00.997</t>
  </si>
  <si>
    <t>250</t>
  </si>
  <si>
    <t xml:space="preserve">CBANBR20            </t>
  </si>
  <si>
    <t>2026-03-16 14:13:00.810</t>
  </si>
  <si>
    <t xml:space="preserve">CBANMA20            </t>
  </si>
  <si>
    <t>2026-03-16 14:13:00.827</t>
  </si>
  <si>
    <t xml:space="preserve">CBANBR10            </t>
  </si>
  <si>
    <t>2026-03-16 14:13:00.840</t>
  </si>
  <si>
    <t xml:space="preserve">CBANMA10            </t>
  </si>
  <si>
    <t xml:space="preserve">CBANVA20            </t>
  </si>
  <si>
    <t>2026-03-16 14:13:00.873</t>
  </si>
  <si>
    <t>2026-03-16 14:13:00.920</t>
  </si>
  <si>
    <t>47</t>
  </si>
  <si>
    <t xml:space="preserve">CBANVA10            </t>
  </si>
  <si>
    <t>2026-03-16 14:13:00.937</t>
  </si>
  <si>
    <t>2026-03-16 14:13:00.983</t>
  </si>
  <si>
    <t xml:space="preserve">CBANAC90            </t>
  </si>
  <si>
    <t>2026-03-16 14:13:01.013</t>
  </si>
  <si>
    <t>2026-03-16 14:13:01.327</t>
  </si>
  <si>
    <t>312</t>
  </si>
  <si>
    <t xml:space="preserve">CBMINH20            </t>
  </si>
  <si>
    <t>2026-03-16 14:13:01.077</t>
  </si>
  <si>
    <t xml:space="preserve">CBMLOG10            </t>
  </si>
  <si>
    <t>2026-03-16 14:13:01.090</t>
  </si>
  <si>
    <t xml:space="preserve">CBMINH10            </t>
  </si>
  <si>
    <t xml:space="preserve">CBMSTA20            </t>
  </si>
  <si>
    <t>2026-03-16 14:13:01.217</t>
  </si>
  <si>
    <t>2026-03-16 14:13:14.337</t>
  </si>
  <si>
    <t>13122</t>
  </si>
  <si>
    <t xml:space="preserve">CBUSTP10            </t>
  </si>
  <si>
    <t xml:space="preserve">CBANAC91            </t>
  </si>
  <si>
    <t>2026-03-16 14:13:01.340</t>
  </si>
  <si>
    <t>2026-03-16 14:13:01.543</t>
  </si>
  <si>
    <t>203</t>
  </si>
  <si>
    <t xml:space="preserve">CCACAP50            </t>
  </si>
  <si>
    <t xml:space="preserve">CCACAP60            </t>
  </si>
  <si>
    <t>2026-03-16 14:13:01.357</t>
  </si>
  <si>
    <t xml:space="preserve">CCACAP10            </t>
  </si>
  <si>
    <t>2026-03-16 14:13:01.373</t>
  </si>
  <si>
    <t xml:space="preserve">CCACAP30            </t>
  </si>
  <si>
    <t>2026-03-16 14:13:01.387</t>
  </si>
  <si>
    <t xml:space="preserve">CCACAP40            </t>
  </si>
  <si>
    <t>2026-03-16 14:13:01.403</t>
  </si>
  <si>
    <t>2026-03-16 14:13:01.420</t>
  </si>
  <si>
    <t xml:space="preserve">CBANAC92            </t>
  </si>
  <si>
    <t>2026-03-16 14:13:01.560</t>
  </si>
  <si>
    <t>2026-03-16 14:13:01.700</t>
  </si>
  <si>
    <t>140</t>
  </si>
  <si>
    <t xml:space="preserve">CCADEF10            </t>
  </si>
  <si>
    <t>2026-03-16 14:13:01.577</t>
  </si>
  <si>
    <t xml:space="preserve">CCAHIS20            </t>
  </si>
  <si>
    <t>2026-03-16 14:13:01.653</t>
  </si>
  <si>
    <t xml:space="preserve">CCAHIS10            </t>
  </si>
  <si>
    <t>2026-03-16 14:13:01.670</t>
  </si>
  <si>
    <t xml:space="preserve">CBANAC10            </t>
  </si>
  <si>
    <t>2026-03-16 14:13:01.903</t>
  </si>
  <si>
    <t xml:space="preserve">CCALVR60            </t>
  </si>
  <si>
    <t>2026-03-16 14:13:01.827</t>
  </si>
  <si>
    <t xml:space="preserve">CCALVR70            </t>
  </si>
  <si>
    <t>2026-03-16 14:13:01.840</t>
  </si>
  <si>
    <t xml:space="preserve">CCALVR90            </t>
  </si>
  <si>
    <t>2026-03-16 14:13:01.873</t>
  </si>
  <si>
    <t xml:space="preserve">CCALVR95            </t>
  </si>
  <si>
    <t>2026-03-16 14:13:01.887</t>
  </si>
  <si>
    <t xml:space="preserve">CCAOBJ10            </t>
  </si>
  <si>
    <t xml:space="preserve">CBANAC20            </t>
  </si>
  <si>
    <t>2026-03-16 14:13:01.920</t>
  </si>
  <si>
    <t>2026-03-16 14:13:02.087</t>
  </si>
  <si>
    <t>166</t>
  </si>
  <si>
    <t xml:space="preserve">CCALVR80            </t>
  </si>
  <si>
    <t xml:space="preserve">CCALVR05            </t>
  </si>
  <si>
    <t>2026-03-16 14:13:01.937</t>
  </si>
  <si>
    <t xml:space="preserve">CCALVR10            </t>
  </si>
  <si>
    <t>2026-03-16 14:13:01.950</t>
  </si>
  <si>
    <t>2026-03-16 14:13:01.967</t>
  </si>
  <si>
    <t xml:space="preserve">CCALVR15            </t>
  </si>
  <si>
    <t>2026-03-16 14:13:01.980</t>
  </si>
  <si>
    <t xml:space="preserve">CCALVR20            </t>
  </si>
  <si>
    <t>2026-03-16 14:13:02.007</t>
  </si>
  <si>
    <t xml:space="preserve">CCALVR30            </t>
  </si>
  <si>
    <t>2026-03-16 14:13:02.023</t>
  </si>
  <si>
    <t xml:space="preserve">CCALVR40            </t>
  </si>
  <si>
    <t>2026-03-16 14:13:02.037</t>
  </si>
  <si>
    <t xml:space="preserve">CCALVR50            </t>
  </si>
  <si>
    <t>2026-03-16 14:13:02.070</t>
  </si>
  <si>
    <t xml:space="preserve">CBANAC30            </t>
  </si>
  <si>
    <t>2026-03-16 14:13:02.097</t>
  </si>
  <si>
    <t>2026-03-16 14:13:02.307</t>
  </si>
  <si>
    <t>210</t>
  </si>
  <si>
    <t xml:space="preserve">CCCSET10            </t>
  </si>
  <si>
    <t>2026-03-16 14:13:02.160</t>
  </si>
  <si>
    <t xml:space="preserve">CCIDIH10            </t>
  </si>
  <si>
    <t xml:space="preserve">CBANAC50            </t>
  </si>
  <si>
    <t>2026-03-16 14:13:02.323</t>
  </si>
  <si>
    <t>2026-03-16 14:13:02.463</t>
  </si>
  <si>
    <t xml:space="preserve">CCIITE10            </t>
  </si>
  <si>
    <t>2026-03-16 14:13:02.383</t>
  </si>
  <si>
    <t xml:space="preserve">CBANACX0#MNO        </t>
  </si>
  <si>
    <t>2026-03-16 14:13:02.477</t>
  </si>
  <si>
    <t>2026-03-16 14:13:02.640</t>
  </si>
  <si>
    <t>162</t>
  </si>
  <si>
    <t xml:space="preserve">CCIITU10            </t>
  </si>
  <si>
    <t>2026-03-16 14:13:02.540</t>
  </si>
  <si>
    <t>2026-03-16 14:13:02.557</t>
  </si>
  <si>
    <t xml:space="preserve">CBANAC70            </t>
  </si>
  <si>
    <t>2026-03-16 14:13:02.797</t>
  </si>
  <si>
    <t>157</t>
  </si>
  <si>
    <t xml:space="preserve">CCM10020            </t>
  </si>
  <si>
    <t xml:space="preserve">CCM10010            </t>
  </si>
  <si>
    <t>2026-03-16 14:13:02.657</t>
  </si>
  <si>
    <t xml:space="preserve">CCM10110            </t>
  </si>
  <si>
    <t>2026-03-16 14:13:02.780</t>
  </si>
  <si>
    <t xml:space="preserve">CBANAC60            </t>
  </si>
  <si>
    <t>2026-03-16 14:13:02.813</t>
  </si>
  <si>
    <t>2026-03-16 14:13:02.953</t>
  </si>
  <si>
    <t>141</t>
  </si>
  <si>
    <t xml:space="preserve">CCM10210            </t>
  </si>
  <si>
    <t>2026-03-16 14:13:02.890</t>
  </si>
  <si>
    <t xml:space="preserve">CBANAC40            </t>
  </si>
  <si>
    <t>2026-03-16 14:13:02.970</t>
  </si>
  <si>
    <t>2026-03-16 14:13:03.140</t>
  </si>
  <si>
    <t>172</t>
  </si>
  <si>
    <t xml:space="preserve">CCM10510            </t>
  </si>
  <si>
    <t>2026-03-16 14:13:03.017</t>
  </si>
  <si>
    <t>2026-03-16 14:13:03.030</t>
  </si>
  <si>
    <t xml:space="preserve">CCM10640            </t>
  </si>
  <si>
    <t>2026-03-16 14:13:03.127</t>
  </si>
  <si>
    <t xml:space="preserve">CCM10630            </t>
  </si>
  <si>
    <t xml:space="preserve">CCM10610            </t>
  </si>
  <si>
    <t>2026-03-16 14:13:03.157</t>
  </si>
  <si>
    <t xml:space="preserve">CCM10620            </t>
  </si>
  <si>
    <t>2026-03-16 14:13:03.173</t>
  </si>
  <si>
    <t xml:space="preserve">CCM10810            </t>
  </si>
  <si>
    <t>2026-03-16 14:13:03.267</t>
  </si>
  <si>
    <t xml:space="preserve">CCM10910            </t>
  </si>
  <si>
    <t>2026-03-16 14:13:03.377</t>
  </si>
  <si>
    <t xml:space="preserve">CCM11020            </t>
  </si>
  <si>
    <t>2026-03-16 14:13:03.423</t>
  </si>
  <si>
    <t xml:space="preserve">CCM11030            </t>
  </si>
  <si>
    <t>2026-03-16 14:13:03.437</t>
  </si>
  <si>
    <t xml:space="preserve">CCM11010            </t>
  </si>
  <si>
    <t>2026-03-16 14:13:03.453</t>
  </si>
  <si>
    <t xml:space="preserve">CCM11310            </t>
  </si>
  <si>
    <t>2026-03-16 14:13:03.530</t>
  </si>
  <si>
    <t xml:space="preserve">CCM50010            </t>
  </si>
  <si>
    <t>2026-03-16 14:13:03.610</t>
  </si>
  <si>
    <t xml:space="preserve">CCR01610            </t>
  </si>
  <si>
    <t>2026-03-16 14:13:03.687</t>
  </si>
  <si>
    <t xml:space="preserve">CCR02010            </t>
  </si>
  <si>
    <t>2026-03-16 14:13:03.780</t>
  </si>
  <si>
    <t xml:space="preserve">CCR20620            </t>
  </si>
  <si>
    <t>2026-03-16 14:13:03.843</t>
  </si>
  <si>
    <t>2026-03-16 14:13:03.860</t>
  </si>
  <si>
    <t xml:space="preserve">CCR20610            </t>
  </si>
  <si>
    <t>2026-03-16 14:13:03.877</t>
  </si>
  <si>
    <t xml:space="preserve">CCR20705            </t>
  </si>
  <si>
    <t>2026-03-16 14:13:03.923</t>
  </si>
  <si>
    <t xml:space="preserve">CCR20710            </t>
  </si>
  <si>
    <t>2026-03-16 14:13:03.937</t>
  </si>
  <si>
    <t xml:space="preserve">CCR50010            </t>
  </si>
  <si>
    <t>2026-03-16 14:13:04.017</t>
  </si>
  <si>
    <t xml:space="preserve">CCR60210            </t>
  </si>
  <si>
    <t>2026-03-16 14:13:04.110</t>
  </si>
  <si>
    <t xml:space="preserve">CCR60230            </t>
  </si>
  <si>
    <t>2026-03-16 14:13:04.127</t>
  </si>
  <si>
    <t>2026-03-16 14:13:04.140</t>
  </si>
  <si>
    <t xml:space="preserve">CCR64900            </t>
  </si>
  <si>
    <t>2026-03-16 14:13:04.173</t>
  </si>
  <si>
    <t xml:space="preserve">CCR80000            </t>
  </si>
  <si>
    <t>2026-03-16 14:13:04.250</t>
  </si>
  <si>
    <t>2026-03-16 14:13:04.267</t>
  </si>
  <si>
    <t xml:space="preserve">CCREFE10            </t>
  </si>
  <si>
    <t>2026-03-16 14:13:04.377</t>
  </si>
  <si>
    <t xml:space="preserve">CCRFMI10            </t>
  </si>
  <si>
    <t>2026-03-16 14:13:04.407</t>
  </si>
  <si>
    <t xml:space="preserve">CCRFMI20            </t>
  </si>
  <si>
    <t>2026-03-16 14:13:04.423</t>
  </si>
  <si>
    <t xml:space="preserve">CCRFMI30            </t>
  </si>
  <si>
    <t>2026-03-16 14:13:04.437</t>
  </si>
  <si>
    <t xml:space="preserve">CCRFMI40            </t>
  </si>
  <si>
    <t>2026-03-16 14:13:04.453</t>
  </si>
  <si>
    <t xml:space="preserve">CCTKEF20            </t>
  </si>
  <si>
    <t>2026-03-16 14:13:04.500</t>
  </si>
  <si>
    <t xml:space="preserve">CCTLSF30            </t>
  </si>
  <si>
    <t>2026-03-16 14:13:04.610</t>
  </si>
  <si>
    <t>2026-03-16 14:15:34.470</t>
  </si>
  <si>
    <t>149861</t>
  </si>
  <si>
    <t xml:space="preserve">CRT_STD   </t>
  </si>
  <si>
    <t xml:space="preserve">CCTLSF40            </t>
  </si>
  <si>
    <t>2026-03-16 14:15:58.683</t>
  </si>
  <si>
    <t>174074</t>
  </si>
  <si>
    <t xml:space="preserve">CCTLSF50            </t>
  </si>
  <si>
    <t xml:space="preserve">CCTLSF60            </t>
  </si>
  <si>
    <t xml:space="preserve">CCTLSP30            </t>
  </si>
  <si>
    <t>2026-03-16 14:13:04.627</t>
  </si>
  <si>
    <t>2026-03-16 14:13:24.167</t>
  </si>
  <si>
    <t>19541</t>
  </si>
  <si>
    <t xml:space="preserve">CCUCHA10            </t>
  </si>
  <si>
    <t>2026-03-16 14:13:04.687</t>
  </si>
  <si>
    <t xml:space="preserve">CCUCHA20            </t>
  </si>
  <si>
    <t>2026-03-16 14:13:04.703</t>
  </si>
  <si>
    <t>2026-03-16 14:13:04.720</t>
  </si>
  <si>
    <t xml:space="preserve">CCUCHA30            </t>
  </si>
  <si>
    <t>2026-03-16 14:13:04.733</t>
  </si>
  <si>
    <t xml:space="preserve">CCUCHA40            </t>
  </si>
  <si>
    <t>2026-03-16 14:13:04.750</t>
  </si>
  <si>
    <t xml:space="preserve">CCUCON10            </t>
  </si>
  <si>
    <t xml:space="preserve">CCUCHA50            </t>
  </si>
  <si>
    <t>2026-03-16 14:13:04.767</t>
  </si>
  <si>
    <t xml:space="preserve">CCUCRG10            </t>
  </si>
  <si>
    <t>2026-03-16 14:13:04.983</t>
  </si>
  <si>
    <t xml:space="preserve">CCUCRL10            </t>
  </si>
  <si>
    <t>2026-03-16 14:13:05.000</t>
  </si>
  <si>
    <t>2026-03-16 14:13:05.017</t>
  </si>
  <si>
    <t xml:space="preserve">CCUDIV10            </t>
  </si>
  <si>
    <t>2026-03-16 14:13:05.223</t>
  </si>
  <si>
    <t>2026-03-16 14:13:05.237</t>
  </si>
  <si>
    <t xml:space="preserve">CCURRA01            </t>
  </si>
  <si>
    <t>2026-03-16 14:13:05.253</t>
  </si>
  <si>
    <t>2026-03-16 14:17:27.947</t>
  </si>
  <si>
    <t>262691</t>
  </si>
  <si>
    <t xml:space="preserve">CCURRA10            </t>
  </si>
  <si>
    <t xml:space="preserve">CCURRA12            </t>
  </si>
  <si>
    <t xml:space="preserve">CCUSTX10            </t>
  </si>
  <si>
    <t>2026-03-16 14:13:05.467</t>
  </si>
  <si>
    <t xml:space="preserve">CCUSTX20            </t>
  </si>
  <si>
    <t>2026-03-16 14:13:05.480</t>
  </si>
  <si>
    <t>2026-03-16 14:13:05.497</t>
  </si>
  <si>
    <t xml:space="preserve">CCUTXS30            </t>
  </si>
  <si>
    <t>2026-03-16 14:13:05.730</t>
  </si>
  <si>
    <t xml:space="preserve">CCUTXS40            </t>
  </si>
  <si>
    <t>2026-03-16 14:13:05.747</t>
  </si>
  <si>
    <t>2026-03-16 14:13:05.763</t>
  </si>
  <si>
    <t xml:space="preserve">CCUTXS10            </t>
  </si>
  <si>
    <t>2026-03-16 14:13:05.777</t>
  </si>
  <si>
    <t xml:space="preserve">CCUTXS20            </t>
  </si>
  <si>
    <t>2026-03-16 14:13:05.793</t>
  </si>
  <si>
    <t xml:space="preserve">CDARKY10            </t>
  </si>
  <si>
    <t>2026-03-16 14:13:06.027</t>
  </si>
  <si>
    <t xml:space="preserve">CDARUN10            </t>
  </si>
  <si>
    <t>2026-03-16 14:13:06.277</t>
  </si>
  <si>
    <t xml:space="preserve">CDBJBA10            </t>
  </si>
  <si>
    <t>2026-03-16 14:13:06.513</t>
  </si>
  <si>
    <t xml:space="preserve">CDBJBA20            </t>
  </si>
  <si>
    <t>2026-03-16 14:13:06.543</t>
  </si>
  <si>
    <t xml:space="preserve">CDPELG10            </t>
  </si>
  <si>
    <t>2026-03-16 14:13:06.777</t>
  </si>
  <si>
    <t xml:space="preserve">CDPELG20            </t>
  </si>
  <si>
    <t>2026-03-16 14:13:06.810</t>
  </si>
  <si>
    <t xml:space="preserve">CDPKEY10            </t>
  </si>
  <si>
    <t>2026-03-16 14:13:07.043</t>
  </si>
  <si>
    <t>2026-03-16 14:13:07.060</t>
  </si>
  <si>
    <t xml:space="preserve">CDPRLN10            </t>
  </si>
  <si>
    <t>2026-03-16 14:13:07.293</t>
  </si>
  <si>
    <t xml:space="preserve">CDPRLN20            </t>
  </si>
  <si>
    <t>2026-03-16 14:13:07.323</t>
  </si>
  <si>
    <t xml:space="preserve">CDPRLN21            </t>
  </si>
  <si>
    <t>2026-03-16 14:13:07.340</t>
  </si>
  <si>
    <t xml:space="preserve">CDPRLN01            </t>
  </si>
  <si>
    <t>2026-03-16 14:13:07.363</t>
  </si>
  <si>
    <t xml:space="preserve">CDPRSH10            </t>
  </si>
  <si>
    <t>2026-03-16 14:13:07.597</t>
  </si>
  <si>
    <t xml:space="preserve">CDPRSH01            </t>
  </si>
  <si>
    <t>2026-03-16 14:13:07.630</t>
  </si>
  <si>
    <t xml:space="preserve">CDPRSL10            </t>
  </si>
  <si>
    <t>2026-03-16 14:13:07.863</t>
  </si>
  <si>
    <t>2026-03-16 14:13:07.880</t>
  </si>
  <si>
    <t xml:space="preserve">CDPRSL20            </t>
  </si>
  <si>
    <t>2026-03-16 14:13:07.897</t>
  </si>
  <si>
    <t xml:space="preserve">CDPRSL30            </t>
  </si>
  <si>
    <t>2026-03-16 14:13:07.910</t>
  </si>
  <si>
    <t xml:space="preserve">CDPRSL31            </t>
  </si>
  <si>
    <t>2026-03-16 14:13:07.927</t>
  </si>
  <si>
    <t xml:space="preserve">CDPRSL40            </t>
  </si>
  <si>
    <t>2026-03-16 14:13:07.943</t>
  </si>
  <si>
    <t xml:space="preserve">CDPRSL01            </t>
  </si>
  <si>
    <t>2026-03-16 14:13:07.973</t>
  </si>
  <si>
    <t xml:space="preserve">CDPRUN20            </t>
  </si>
  <si>
    <t>2026-03-16 14:13:08.207</t>
  </si>
  <si>
    <t>2026-03-16 14:13:08.223</t>
  </si>
  <si>
    <t xml:space="preserve">CDPRUN10            </t>
  </si>
  <si>
    <t>2026-03-16 14:13:08.240</t>
  </si>
  <si>
    <t xml:space="preserve">CDPRUN01            </t>
  </si>
  <si>
    <t>2026-03-16 14:13:08.253</t>
  </si>
  <si>
    <t xml:space="preserve">CDPSDA10            </t>
  </si>
  <si>
    <t>2026-03-16 14:13:08.490</t>
  </si>
  <si>
    <t xml:space="preserve">CDPSDA20            </t>
  </si>
  <si>
    <t>2026-03-16 14:13:08.507</t>
  </si>
  <si>
    <t>2026-03-16 14:13:08.523</t>
  </si>
  <si>
    <t xml:space="preserve">CDPSDA30            </t>
  </si>
  <si>
    <t>2026-03-16 14:13:08.537</t>
  </si>
  <si>
    <t xml:space="preserve">CDPSDA01            </t>
  </si>
  <si>
    <t>2026-03-16 14:13:08.553</t>
  </si>
  <si>
    <t xml:space="preserve">CDPSDF10            </t>
  </si>
  <si>
    <t>2026-03-16 14:13:08.820</t>
  </si>
  <si>
    <t xml:space="preserve">CDPSDF20            </t>
  </si>
  <si>
    <t>2026-03-16 14:13:08.837</t>
  </si>
  <si>
    <t xml:space="preserve">CDPSRF10            </t>
  </si>
  <si>
    <t>2026-03-16 14:13:09.087</t>
  </si>
  <si>
    <t>2026-03-16 14:13:09.100</t>
  </si>
  <si>
    <t xml:space="preserve">CDPSRF20            </t>
  </si>
  <si>
    <t>2026-03-16 14:13:09.117</t>
  </si>
  <si>
    <t xml:space="preserve">CDPSRF01            </t>
  </si>
  <si>
    <t>2026-03-16 14:13:09.133</t>
  </si>
  <si>
    <t xml:space="preserve">CDWIMA10            </t>
  </si>
  <si>
    <t>2026-03-16 14:13:09.367</t>
  </si>
  <si>
    <t>2026-03-16 14:13:09.383</t>
  </si>
  <si>
    <t xml:space="preserve">CDYSHE10            </t>
  </si>
  <si>
    <t>2026-03-16 14:13:09.613</t>
  </si>
  <si>
    <t>2026-03-16 14:13:09.627</t>
  </si>
  <si>
    <t xml:space="preserve">CDYSLN10            </t>
  </si>
  <si>
    <t>2026-03-16 14:13:09.863</t>
  </si>
  <si>
    <t xml:space="preserve">CDYSLN20            </t>
  </si>
  <si>
    <t>2026-03-16 14:13:09.893</t>
  </si>
  <si>
    <t xml:space="preserve">CEACOS10            </t>
  </si>
  <si>
    <t>2026-03-16 14:13:10.120</t>
  </si>
  <si>
    <t>2026-03-16 14:13:10.137</t>
  </si>
  <si>
    <t xml:space="preserve">CEAEMP42            </t>
  </si>
  <si>
    <t>2026-03-16 14:13:10.370</t>
  </si>
  <si>
    <t>2026-03-16 14:13:10.387</t>
  </si>
  <si>
    <t xml:space="preserve">CEAEMP80            </t>
  </si>
  <si>
    <t>2026-03-16 14:13:10.417</t>
  </si>
  <si>
    <t>2026-03-16 14:13:10.433</t>
  </si>
  <si>
    <t xml:space="preserve">CEAEMP61            </t>
  </si>
  <si>
    <t>2026-03-16 14:13:10.450</t>
  </si>
  <si>
    <t>2026-03-16 14:13:10.467</t>
  </si>
  <si>
    <t xml:space="preserve">CEAEMP31            </t>
  </si>
  <si>
    <t>2026-03-16 14:13:10.480</t>
  </si>
  <si>
    <t>2026-03-16 14:13:10.497</t>
  </si>
  <si>
    <t xml:space="preserve">CEAEMP32            </t>
  </si>
  <si>
    <t>2026-03-16 14:13:10.513</t>
  </si>
  <si>
    <t>2026-03-16 14:13:10.527</t>
  </si>
  <si>
    <t xml:space="preserve">CEAEMP33            </t>
  </si>
  <si>
    <t>2026-03-16 14:13:10.543</t>
  </si>
  <si>
    <t>2026-03-16 14:13:10.560</t>
  </si>
  <si>
    <t xml:space="preserve">CEAEMP11            </t>
  </si>
  <si>
    <t>2026-03-16 14:13:10.577</t>
  </si>
  <si>
    <t>2026-03-16 14:13:10.590</t>
  </si>
  <si>
    <t xml:space="preserve">CEAEMP21            </t>
  </si>
  <si>
    <t>2026-03-16 14:13:10.607</t>
  </si>
  <si>
    <t>2026-03-16 14:13:10.620</t>
  </si>
  <si>
    <t xml:space="preserve">CEAEMP70            </t>
  </si>
  <si>
    <t>2026-03-16 14:13:10.637</t>
  </si>
  <si>
    <t>2026-03-16 14:13:10.653</t>
  </si>
  <si>
    <t xml:space="preserve">CEAEMP41            </t>
  </si>
  <si>
    <t>2026-03-16 14:13:10.667</t>
  </si>
  <si>
    <t>2026-03-16 14:13:10.683</t>
  </si>
  <si>
    <t xml:space="preserve">CEAEMP60            </t>
  </si>
  <si>
    <t>2026-03-16 14:13:10.700</t>
  </si>
  <si>
    <t>2026-03-16 14:13:10.717</t>
  </si>
  <si>
    <t xml:space="preserve">CEAEMP01            </t>
  </si>
  <si>
    <t>2026-03-16 14:13:10.730</t>
  </si>
  <si>
    <t>2026-03-16 14:13:10.747</t>
  </si>
  <si>
    <t xml:space="preserve">CEAEMP04            </t>
  </si>
  <si>
    <t>2026-03-16 14:13:10.763</t>
  </si>
  <si>
    <t xml:space="preserve">CEAEMP05            </t>
  </si>
  <si>
    <t>2026-03-16 14:13:10.793</t>
  </si>
  <si>
    <t xml:space="preserve">CEAEMP35            </t>
  </si>
  <si>
    <t>2026-03-16 14:13:10.827</t>
  </si>
  <si>
    <t xml:space="preserve">CEAEMP30            </t>
  </si>
  <si>
    <t>2026-03-16 14:13:10.840</t>
  </si>
  <si>
    <t>2026-03-16 14:13:10.857</t>
  </si>
  <si>
    <t xml:space="preserve">CEAEMP90            </t>
  </si>
  <si>
    <t>2026-03-16 14:13:10.870</t>
  </si>
  <si>
    <t>2026-03-16 14:13:10.887</t>
  </si>
  <si>
    <t xml:space="preserve">CEAEMP43            </t>
  </si>
  <si>
    <t>2026-03-16 14:13:10.903</t>
  </si>
  <si>
    <t>2026-03-16 14:13:10.917</t>
  </si>
  <si>
    <t xml:space="preserve">CEAEMP50            </t>
  </si>
  <si>
    <t>2026-03-16 14:13:10.933</t>
  </si>
  <si>
    <t>2026-03-16 14:13:10.950</t>
  </si>
  <si>
    <t xml:space="preserve">CEAEMP40            </t>
  </si>
  <si>
    <t>2026-03-16 14:13:10.967</t>
  </si>
  <si>
    <t>2026-03-16 14:13:10.980</t>
  </si>
  <si>
    <t xml:space="preserve">CEAEMP15            </t>
  </si>
  <si>
    <t>2026-03-16 14:13:10.997</t>
  </si>
  <si>
    <t>2026-03-16 14:13:11.013</t>
  </si>
  <si>
    <t xml:space="preserve">CEAEMP20            </t>
  </si>
  <si>
    <t>2026-03-16 14:13:11.027</t>
  </si>
  <si>
    <t>2026-03-16 14:13:11.043</t>
  </si>
  <si>
    <t xml:space="preserve">CEAEMP25            </t>
  </si>
  <si>
    <t>2026-03-16 14:13:11.060</t>
  </si>
  <si>
    <t>2026-03-16 14:13:11.077</t>
  </si>
  <si>
    <t xml:space="preserve">CEAEMP10            </t>
  </si>
  <si>
    <t>2026-03-16 14:13:11.090</t>
  </si>
  <si>
    <t xml:space="preserve">CEAEMP06            </t>
  </si>
  <si>
    <t>2026-03-16 14:13:11.120</t>
  </si>
  <si>
    <t xml:space="preserve">CEAEMP02            </t>
  </si>
  <si>
    <t>2026-03-16 14:13:11.153</t>
  </si>
  <si>
    <t xml:space="preserve">CECOCC10            </t>
  </si>
  <si>
    <t>2026-03-16 14:13:11.387</t>
  </si>
  <si>
    <t>2026-03-16 14:13:11.403</t>
  </si>
  <si>
    <t xml:space="preserve">CECOCI10            </t>
  </si>
  <si>
    <t>2026-03-16 14:13:11.637</t>
  </si>
  <si>
    <t>2026-03-16 14:13:11.653</t>
  </si>
  <si>
    <t xml:space="preserve">CECOCI20            </t>
  </si>
  <si>
    <t>2026-03-16 14:13:11.667</t>
  </si>
  <si>
    <t xml:space="preserve">CECOCI30            </t>
  </si>
  <si>
    <t>2026-03-16 14:13:11.683</t>
  </si>
  <si>
    <t xml:space="preserve">CECOCI40            </t>
  </si>
  <si>
    <t>2026-03-16 14:13:11.717</t>
  </si>
  <si>
    <t xml:space="preserve">CECOPC20            </t>
  </si>
  <si>
    <t>2026-03-16 14:13:11.953</t>
  </si>
  <si>
    <t>2026-03-16 14:13:11.970</t>
  </si>
  <si>
    <t xml:space="preserve">CECOPC10            </t>
  </si>
  <si>
    <t>2026-03-16 14:13:11.983</t>
  </si>
  <si>
    <t xml:space="preserve">CECOPC30            </t>
  </si>
  <si>
    <t>2026-03-16 14:13:12.000</t>
  </si>
  <si>
    <t xml:space="preserve">CECORG10            </t>
  </si>
  <si>
    <t>2026-03-16 14:13:12.233</t>
  </si>
  <si>
    <t>2026-03-16 14:13:12.250</t>
  </si>
  <si>
    <t xml:space="preserve">CECOTR30            </t>
  </si>
  <si>
    <t>2026-03-16 14:13:12.487</t>
  </si>
  <si>
    <t xml:space="preserve">CECOTR10            </t>
  </si>
  <si>
    <t>2026-03-16 14:13:12.533</t>
  </si>
  <si>
    <t xml:space="preserve">CECOTR20            </t>
  </si>
  <si>
    <t>2026-03-16 14:13:12.550</t>
  </si>
  <si>
    <t xml:space="preserve">CECOTR40            </t>
  </si>
  <si>
    <t>2026-03-16 14:13:12.573</t>
  </si>
  <si>
    <t xml:space="preserve">CECOTR50            </t>
  </si>
  <si>
    <t>2026-03-16 14:13:12.587</t>
  </si>
  <si>
    <t xml:space="preserve">CECOTR70            </t>
  </si>
  <si>
    <t>2026-03-16 14:13:12.603</t>
  </si>
  <si>
    <t xml:space="preserve">CECOTR31            </t>
  </si>
  <si>
    <t>2026-03-16 14:13:12.620</t>
  </si>
  <si>
    <t>2026-03-16 14:13:12.637</t>
  </si>
  <si>
    <t xml:space="preserve">CECOTR60            </t>
  </si>
  <si>
    <t>2026-03-16 14:13:12.650</t>
  </si>
  <si>
    <t xml:space="preserve">CELOCK20            </t>
  </si>
  <si>
    <t>2026-03-16 14:13:12.887</t>
  </si>
  <si>
    <t xml:space="preserve">CELOCK30            </t>
  </si>
  <si>
    <t>2026-03-16 14:13:12.917</t>
  </si>
  <si>
    <t xml:space="preserve">CELOCK10            </t>
  </si>
  <si>
    <t>2026-03-16 14:13:12.933</t>
  </si>
  <si>
    <t xml:space="preserve">CEMAGL10            </t>
  </si>
  <si>
    <t>2026-03-16 14:13:13.183</t>
  </si>
  <si>
    <t xml:space="preserve">CEMAIL10            </t>
  </si>
  <si>
    <t>2026-03-16 14:13:13.417</t>
  </si>
  <si>
    <t>2026-03-16 14:13:13.433</t>
  </si>
  <si>
    <t xml:space="preserve">CEMLOG10            </t>
  </si>
  <si>
    <t>2026-03-16 14:13:13.667</t>
  </si>
  <si>
    <t>2026-03-16 14:13:13.683</t>
  </si>
  <si>
    <t xml:space="preserve">CERECD10            </t>
  </si>
  <si>
    <t>2026-03-16 14:13:13.917</t>
  </si>
  <si>
    <t>2026-03-16 14:13:13.933</t>
  </si>
  <si>
    <t xml:space="preserve">CESAPI20            </t>
  </si>
  <si>
    <t>2026-03-16 14:13:14.167</t>
  </si>
  <si>
    <t>2026-03-16 14:13:14.183</t>
  </si>
  <si>
    <t xml:space="preserve">CBMSTA30            </t>
  </si>
  <si>
    <t>2026-03-16 14:13:14.353</t>
  </si>
  <si>
    <t>2026-03-16 14:13:18.207</t>
  </si>
  <si>
    <t>3851</t>
  </si>
  <si>
    <t xml:space="preserve">CESBIZ10            </t>
  </si>
  <si>
    <t>2026-03-16 14:13:14.417</t>
  </si>
  <si>
    <t>2026-03-16 14:13:14.433</t>
  </si>
  <si>
    <t xml:space="preserve">CESELG10            </t>
  </si>
  <si>
    <t>2026-03-16 14:13:14.667</t>
  </si>
  <si>
    <t xml:space="preserve">CESELG20            </t>
  </si>
  <si>
    <t>2026-03-16 14:13:14.697</t>
  </si>
  <si>
    <t xml:space="preserve">CESGTR10            </t>
  </si>
  <si>
    <t>2026-03-16 14:13:14.933</t>
  </si>
  <si>
    <t>2026-03-16 14:13:14.947</t>
  </si>
  <si>
    <t xml:space="preserve">CESGTR20            </t>
  </si>
  <si>
    <t>2026-03-16 14:13:14.963</t>
  </si>
  <si>
    <t xml:space="preserve">CESILD10            </t>
  </si>
  <si>
    <t>2026-03-16 14:13:15.197</t>
  </si>
  <si>
    <t>2026-03-16 14:13:15.213</t>
  </si>
  <si>
    <t xml:space="preserve">CESILE10            </t>
  </si>
  <si>
    <t>2026-03-16 14:13:15.450</t>
  </si>
  <si>
    <t>2026-03-16 14:13:15.467</t>
  </si>
  <si>
    <t xml:space="preserve">CESPGM10            </t>
  </si>
  <si>
    <t>2026-03-16 14:13:15.707</t>
  </si>
  <si>
    <t xml:space="preserve">CESRCD10            </t>
  </si>
  <si>
    <t>2026-03-16 14:13:15.943</t>
  </si>
  <si>
    <t>2026-03-16 14:13:15.957</t>
  </si>
  <si>
    <t xml:space="preserve">CESREC10            </t>
  </si>
  <si>
    <t>2026-03-16 14:13:16.193</t>
  </si>
  <si>
    <t>2026-03-16 14:13:16.207</t>
  </si>
  <si>
    <t xml:space="preserve">CESSGN10            </t>
  </si>
  <si>
    <t>2026-03-16 14:13:16.440</t>
  </si>
  <si>
    <t>2026-03-16 14:13:16.457</t>
  </si>
  <si>
    <t xml:space="preserve">CESSGN20            </t>
  </si>
  <si>
    <t>2026-03-16 14:13:16.470</t>
  </si>
  <si>
    <t xml:space="preserve">CESSGN30            </t>
  </si>
  <si>
    <t>2026-03-16 14:13:16.487</t>
  </si>
  <si>
    <t xml:space="preserve">CESSIG10            </t>
  </si>
  <si>
    <t>2026-03-16 14:13:16.720</t>
  </si>
  <si>
    <t>2026-03-16 14:13:16.737</t>
  </si>
  <si>
    <t xml:space="preserve">CESSIG20            </t>
  </si>
  <si>
    <t>2026-03-16 14:13:16.753</t>
  </si>
  <si>
    <t xml:space="preserve">CESSIG30            </t>
  </si>
  <si>
    <t>2026-03-16 14:13:16.767</t>
  </si>
  <si>
    <t xml:space="preserve">CESVIF10            </t>
  </si>
  <si>
    <t>2026-03-16 14:13:17.003</t>
  </si>
  <si>
    <t>2026-03-16 14:13:17.017</t>
  </si>
  <si>
    <t xml:space="preserve">CEVSUB20            </t>
  </si>
  <si>
    <t>2026-03-16 14:13:17.253</t>
  </si>
  <si>
    <t>2026-03-16 14:13:17.283</t>
  </si>
  <si>
    <t>31</t>
  </si>
  <si>
    <t xml:space="preserve">CEVTST10            </t>
  </si>
  <si>
    <t>2026-03-16 14:13:17.517</t>
  </si>
  <si>
    <t xml:space="preserve">CEVTST20            </t>
  </si>
  <si>
    <t>2026-03-16 14:13:17.550</t>
  </si>
  <si>
    <t xml:space="preserve">CFACIL10            </t>
  </si>
  <si>
    <t>2026-03-16 14:13:17.800</t>
  </si>
  <si>
    <t xml:space="preserve">CFACIL20            </t>
  </si>
  <si>
    <t>2026-03-16 14:13:17.813</t>
  </si>
  <si>
    <t>2026-03-16 14:13:17.830</t>
  </si>
  <si>
    <t xml:space="preserve">CFACIL30            </t>
  </si>
  <si>
    <t>2026-03-16 14:13:17.847</t>
  </si>
  <si>
    <t xml:space="preserve">CFIACP10            </t>
  </si>
  <si>
    <t>2026-03-16 14:13:18.080</t>
  </si>
  <si>
    <t>2026-03-16 14:13:18.237</t>
  </si>
  <si>
    <t>156</t>
  </si>
  <si>
    <t xml:space="preserve">CBMSTA40            </t>
  </si>
  <si>
    <t>2026-03-16 14:13:18.220</t>
  </si>
  <si>
    <t>2026-03-16 14:13:26.263</t>
  </si>
  <si>
    <t>8043</t>
  </si>
  <si>
    <t xml:space="preserve">CFIFFD10            </t>
  </si>
  <si>
    <t>2026-03-16 14:13:18.470</t>
  </si>
  <si>
    <t>2026-03-16 14:13:18.627</t>
  </si>
  <si>
    <t>155</t>
  </si>
  <si>
    <t xml:space="preserve">CFIFFD50            </t>
  </si>
  <si>
    <t>2026-03-16 14:13:18.640</t>
  </si>
  <si>
    <t>2026-03-16 14:13:18.787</t>
  </si>
  <si>
    <t>147</t>
  </si>
  <si>
    <t xml:space="preserve">CFIFFD05            </t>
  </si>
  <si>
    <t>2026-03-16 14:13:18.803</t>
  </si>
  <si>
    <t>2026-03-16 14:13:18.897</t>
  </si>
  <si>
    <t>93</t>
  </si>
  <si>
    <t xml:space="preserve">CFIFFD30            </t>
  </si>
  <si>
    <t>2026-03-16 14:13:18.913</t>
  </si>
  <si>
    <t>2026-03-16 14:13:19.023</t>
  </si>
  <si>
    <t>109</t>
  </si>
  <si>
    <t xml:space="preserve">CFIFFD20            </t>
  </si>
  <si>
    <t>2026-03-16 14:13:19.037</t>
  </si>
  <si>
    <t>2026-03-16 14:13:19.163</t>
  </si>
  <si>
    <t>125</t>
  </si>
  <si>
    <t xml:space="preserve">CFIFFD60            </t>
  </si>
  <si>
    <t>2026-03-16 14:13:19.180</t>
  </si>
  <si>
    <t>2026-03-16 14:13:19.303</t>
  </si>
  <si>
    <t xml:space="preserve">CFIFFD40            </t>
  </si>
  <si>
    <t>2026-03-16 14:13:19.320</t>
  </si>
  <si>
    <t>2026-03-16 14:13:19.430</t>
  </si>
  <si>
    <t>110</t>
  </si>
  <si>
    <t xml:space="preserve">CFIFFX01            </t>
  </si>
  <si>
    <t>2026-03-16 14:13:19.663</t>
  </si>
  <si>
    <t xml:space="preserve">CFIFFX98            </t>
  </si>
  <si>
    <t>2026-03-16 14:13:19.693</t>
  </si>
  <si>
    <t xml:space="preserve">CFIFFX40            </t>
  </si>
  <si>
    <t>2026-03-16 14:13:19.710</t>
  </si>
  <si>
    <t xml:space="preserve">CFIHEA20            </t>
  </si>
  <si>
    <t>2026-03-16 14:13:19.943</t>
  </si>
  <si>
    <t>2026-03-16 14:13:19.997</t>
  </si>
  <si>
    <t>52</t>
  </si>
  <si>
    <t xml:space="preserve">CFIHEA10            </t>
  </si>
  <si>
    <t>2026-03-16 14:13:20.027</t>
  </si>
  <si>
    <t>2026-03-16 14:13:20.043</t>
  </si>
  <si>
    <t xml:space="preserve">CFIHEA40            </t>
  </si>
  <si>
    <t>2026-03-16 14:13:20.060</t>
  </si>
  <si>
    <t>2026-03-16 14:13:20.090</t>
  </si>
  <si>
    <t xml:space="preserve">CFIHEA30            </t>
  </si>
  <si>
    <t>2026-03-16 14:13:20.107</t>
  </si>
  <si>
    <t>2026-03-16 14:13:20.120</t>
  </si>
  <si>
    <t xml:space="preserve">CFIMBX01            </t>
  </si>
  <si>
    <t>2026-03-16 14:13:20.357</t>
  </si>
  <si>
    <t xml:space="preserve">CFUEXC20            </t>
  </si>
  <si>
    <t>2026-03-16 14:13:20.590</t>
  </si>
  <si>
    <t xml:space="preserve">CFUNID20            </t>
  </si>
  <si>
    <t>2026-03-16 14:13:20.823</t>
  </si>
  <si>
    <t>2026-03-16 14:13:20.840</t>
  </si>
  <si>
    <t xml:space="preserve">CFUNID10            </t>
  </si>
  <si>
    <t>2026-03-16 14:13:20.857</t>
  </si>
  <si>
    <t>2026-03-16 14:13:20.870</t>
  </si>
  <si>
    <t>13</t>
  </si>
  <si>
    <t xml:space="preserve">CGEEX120            </t>
  </si>
  <si>
    <t>2026-03-16 14:13:21.103</t>
  </si>
  <si>
    <t>2026-03-16 14:13:21.387</t>
  </si>
  <si>
    <t>282</t>
  </si>
  <si>
    <t xml:space="preserve">CGEEX110            </t>
  </si>
  <si>
    <t>2026-03-16 14:13:21.400</t>
  </si>
  <si>
    <t>2026-03-16 14:13:21.680</t>
  </si>
  <si>
    <t>281</t>
  </si>
  <si>
    <t xml:space="preserve">CGEEX220            </t>
  </si>
  <si>
    <t>2026-03-16 14:13:21.917</t>
  </si>
  <si>
    <t xml:space="preserve">CGEEX210            </t>
  </si>
  <si>
    <t>2026-03-16 14:13:21.947</t>
  </si>
  <si>
    <t xml:space="preserve">CGEEX320            </t>
  </si>
  <si>
    <t>2026-03-16 14:13:22.180</t>
  </si>
  <si>
    <t>2026-03-16 14:13:22.197</t>
  </si>
  <si>
    <t xml:space="preserve">CGEEX310            </t>
  </si>
  <si>
    <t>2026-03-16 14:13:22.213</t>
  </si>
  <si>
    <t xml:space="preserve">CGEEX410            </t>
  </si>
  <si>
    <t>2026-03-16 14:13:22.463</t>
  </si>
  <si>
    <t xml:space="preserve">CGEEX420            </t>
  </si>
  <si>
    <t>2026-03-16 14:13:22.477</t>
  </si>
  <si>
    <t xml:space="preserve">CGEEX430            </t>
  </si>
  <si>
    <t>2026-03-16 14:13:22.493</t>
  </si>
  <si>
    <t xml:space="preserve">CGEEX510            </t>
  </si>
  <si>
    <t>2026-03-16 14:13:22.743</t>
  </si>
  <si>
    <t xml:space="preserve">CGEEX520            </t>
  </si>
  <si>
    <t>2026-03-16 14:13:22.757</t>
  </si>
  <si>
    <t>2026-03-16 14:13:22.773</t>
  </si>
  <si>
    <t xml:space="preserve">CGEEX530            </t>
  </si>
  <si>
    <t>2026-03-16 14:13:22.787</t>
  </si>
  <si>
    <t xml:space="preserve">CGEEX610            </t>
  </si>
  <si>
    <t>2026-03-16 14:13:23.040</t>
  </si>
  <si>
    <t>2026-03-16 14:13:24.790</t>
  </si>
  <si>
    <t>1750</t>
  </si>
  <si>
    <t xml:space="preserve">CCTLSP10            </t>
  </si>
  <si>
    <t>2026-03-16 14:13:24.183</t>
  </si>
  <si>
    <t>2026-03-16 14:13:39.867</t>
  </si>
  <si>
    <t>15685</t>
  </si>
  <si>
    <t xml:space="preserve">CGEEX620            </t>
  </si>
  <si>
    <t>2026-03-16 14:13:24.807</t>
  </si>
  <si>
    <t>2026-03-16 14:13:26.967</t>
  </si>
  <si>
    <t>2160</t>
  </si>
  <si>
    <t xml:space="preserve">CBMSTA10            </t>
  </si>
  <si>
    <t>2026-03-16 14:13:26.310</t>
  </si>
  <si>
    <t>2026-03-16 14:13:38.540</t>
  </si>
  <si>
    <t>12230</t>
  </si>
  <si>
    <t xml:space="preserve">CGEEX630            </t>
  </si>
  <si>
    <t>2026-03-16 14:13:26.983</t>
  </si>
  <si>
    <t>2026-03-16 14:13:28.803</t>
  </si>
  <si>
    <t>1819</t>
  </si>
  <si>
    <t xml:space="preserve">CGEEX720            </t>
  </si>
  <si>
    <t>2026-03-16 14:13:29.040</t>
  </si>
  <si>
    <t>2026-03-16 14:13:29.057</t>
  </si>
  <si>
    <t xml:space="preserve">CGEEX710            </t>
  </si>
  <si>
    <t>2026-03-16 14:13:29.070</t>
  </si>
  <si>
    <t xml:space="preserve">CGEEX810            </t>
  </si>
  <si>
    <t>2026-03-16 14:13:29.310</t>
  </si>
  <si>
    <t>2026-03-16 14:13:29.327</t>
  </si>
  <si>
    <t xml:space="preserve">CGEEX820            </t>
  </si>
  <si>
    <t>2026-03-16 14:13:29.340</t>
  </si>
  <si>
    <t xml:space="preserve">CGEEX830            </t>
  </si>
  <si>
    <t>2026-03-16 14:13:29.357</t>
  </si>
  <si>
    <t xml:space="preserve">CGEOEX10            </t>
  </si>
  <si>
    <t>2026-03-16 14:13:29.590</t>
  </si>
  <si>
    <t>2026-03-16 14:13:29.607</t>
  </si>
  <si>
    <t xml:space="preserve">CGEOJU10            </t>
  </si>
  <si>
    <t>2026-03-16 14:13:29.840</t>
  </si>
  <si>
    <t>2026-03-16 14:13:29.857</t>
  </si>
  <si>
    <t xml:space="preserve">CGETXH10            </t>
  </si>
  <si>
    <t>2026-03-16 14:13:30.090</t>
  </si>
  <si>
    <t>2026-03-16 14:13:30.107</t>
  </si>
  <si>
    <t xml:space="preserve">CIADDR10            </t>
  </si>
  <si>
    <t>2026-03-16 14:13:30.357</t>
  </si>
  <si>
    <t>2026-03-16 14:13:30.373</t>
  </si>
  <si>
    <t xml:space="preserve">CIARBO10            </t>
  </si>
  <si>
    <t>2026-03-16 14:13:30.607</t>
  </si>
  <si>
    <t>2026-03-16 14:13:30.623</t>
  </si>
  <si>
    <t xml:space="preserve">CIDADR20            </t>
  </si>
  <si>
    <t>2026-03-16 14:13:30.857</t>
  </si>
  <si>
    <t>2026-03-16 14:13:31.183</t>
  </si>
  <si>
    <t>328</t>
  </si>
  <si>
    <t xml:space="preserve">CIDADR30            </t>
  </si>
  <si>
    <t>2026-03-16 14:13:31.200</t>
  </si>
  <si>
    <t>2026-03-16 14:13:31.480</t>
  </si>
  <si>
    <t xml:space="preserve">CIDADR40            </t>
  </si>
  <si>
    <t>2026-03-16 14:13:31.497</t>
  </si>
  <si>
    <t>2026-03-16 14:13:31.810</t>
  </si>
  <si>
    <t>314</t>
  </si>
  <si>
    <t xml:space="preserve">CIDADR10            </t>
  </si>
  <si>
    <t>2026-03-16 14:13:31.827</t>
  </si>
  <si>
    <t>2026-03-16 14:13:32.107</t>
  </si>
  <si>
    <t xml:space="preserve">CIDALH10            </t>
  </si>
  <si>
    <t>2026-03-16 14:13:32.357</t>
  </si>
  <si>
    <t xml:space="preserve">CIDALL10            </t>
  </si>
  <si>
    <t>2026-03-16 14:13:32.607</t>
  </si>
  <si>
    <t xml:space="preserve">CIDALL30            </t>
  </si>
  <si>
    <t>2026-03-16 14:13:32.623</t>
  </si>
  <si>
    <t xml:space="preserve">CIDALL20            </t>
  </si>
  <si>
    <t>2026-03-16 14:13:32.640</t>
  </si>
  <si>
    <t>2026-03-16 14:13:32.657</t>
  </si>
  <si>
    <t xml:space="preserve">CIDMASX5#MPL        </t>
  </si>
  <si>
    <t>2026-03-16 14:13:32.907</t>
  </si>
  <si>
    <t>2026-03-16 14:13:33.197</t>
  </si>
  <si>
    <t>290</t>
  </si>
  <si>
    <t xml:space="preserve">CIDMAS90            </t>
  </si>
  <si>
    <t>2026-03-16 14:13:33.210</t>
  </si>
  <si>
    <t>2026-03-16 14:13:33.400</t>
  </si>
  <si>
    <t>190</t>
  </si>
  <si>
    <t xml:space="preserve">CIDMAS60            </t>
  </si>
  <si>
    <t>2026-03-16 14:13:33.417</t>
  </si>
  <si>
    <t>2026-03-16 14:13:33.697</t>
  </si>
  <si>
    <t xml:space="preserve">CIDMAS20            </t>
  </si>
  <si>
    <t>2026-03-16 14:13:33.713</t>
  </si>
  <si>
    <t>2026-03-16 14:13:33.947</t>
  </si>
  <si>
    <t>234</t>
  </si>
  <si>
    <t xml:space="preserve">CIDMAS40            </t>
  </si>
  <si>
    <t>2026-03-16 14:13:33.963</t>
  </si>
  <si>
    <t>2026-03-16 14:13:34.103</t>
  </si>
  <si>
    <t xml:space="preserve">CIDMAS70            </t>
  </si>
  <si>
    <t>2026-03-16 14:13:34.120</t>
  </si>
  <si>
    <t>2026-03-16 14:13:34.267</t>
  </si>
  <si>
    <t>145</t>
  </si>
  <si>
    <t xml:space="preserve">CIDMAS10            </t>
  </si>
  <si>
    <t>2026-03-16 14:13:34.280</t>
  </si>
  <si>
    <t>2026-03-16 14:13:34.437</t>
  </si>
  <si>
    <t xml:space="preserve">CIDMAS50            </t>
  </si>
  <si>
    <t>2026-03-16 14:13:34.453</t>
  </si>
  <si>
    <t>2026-03-16 14:13:34.657</t>
  </si>
  <si>
    <t xml:space="preserve">CIDMAS30            </t>
  </si>
  <si>
    <t>2026-03-16 14:13:34.673</t>
  </si>
  <si>
    <t>2026-03-16 14:13:34.780</t>
  </si>
  <si>
    <t xml:space="preserve">CIDREF10            </t>
  </si>
  <si>
    <t>2026-03-16 14:13:35.030</t>
  </si>
  <si>
    <t>2026-03-16 14:13:35.047</t>
  </si>
  <si>
    <t xml:space="preserve">CIDSUB20            </t>
  </si>
  <si>
    <t>2026-03-16 14:13:35.280</t>
  </si>
  <si>
    <t>2026-03-16 14:13:35.297</t>
  </si>
  <si>
    <t xml:space="preserve">CIDSUB30            </t>
  </si>
  <si>
    <t>2026-03-16 14:13:35.313</t>
  </si>
  <si>
    <t xml:space="preserve">CIDSUB10            </t>
  </si>
  <si>
    <t>2026-03-16 14:13:35.327</t>
  </si>
  <si>
    <t xml:space="preserve">CIDVEN20            </t>
  </si>
  <si>
    <t>2026-03-16 14:13:35.563</t>
  </si>
  <si>
    <t>2026-03-16 14:13:35.720</t>
  </si>
  <si>
    <t xml:space="preserve">CIDVEN30            </t>
  </si>
  <si>
    <t>2026-03-16 14:13:35.733</t>
  </si>
  <si>
    <t>2026-03-16 14:13:35.843</t>
  </si>
  <si>
    <t xml:space="preserve">CIDVEN31            </t>
  </si>
  <si>
    <t>2026-03-16 14:13:35.860</t>
  </si>
  <si>
    <t>2026-03-16 14:13:35.953</t>
  </si>
  <si>
    <t>94</t>
  </si>
  <si>
    <t xml:space="preserve">CIDVEN40            </t>
  </si>
  <si>
    <t>2026-03-16 14:13:35.970</t>
  </si>
  <si>
    <t>2026-03-16 14:13:36.127</t>
  </si>
  <si>
    <t xml:space="preserve">CIDVEN10            </t>
  </si>
  <si>
    <t>2026-03-16 14:13:36.140</t>
  </si>
  <si>
    <t>2026-03-16 14:13:36.267</t>
  </si>
  <si>
    <t xml:space="preserve">CIMACD20            </t>
  </si>
  <si>
    <t>2026-03-16 14:13:36.497</t>
  </si>
  <si>
    <t>2026-03-16 14:13:36.527</t>
  </si>
  <si>
    <t xml:space="preserve">CIMACD10            </t>
  </si>
  <si>
    <t>2026-03-16 14:13:36.540</t>
  </si>
  <si>
    <t xml:space="preserve">CIMACL10            </t>
  </si>
  <si>
    <t>2026-03-16 14:13:36.777</t>
  </si>
  <si>
    <t xml:space="preserve">CIMACT30            </t>
  </si>
  <si>
    <t>2026-03-16 14:13:37.027</t>
  </si>
  <si>
    <t>2026-03-16 14:13:37.040</t>
  </si>
  <si>
    <t xml:space="preserve">CIMACT20            </t>
  </si>
  <si>
    <t>2026-03-16 14:13:37.057</t>
  </si>
  <si>
    <t xml:space="preserve">CIMACT40            </t>
  </si>
  <si>
    <t>2026-03-16 14:13:37.073</t>
  </si>
  <si>
    <t xml:space="preserve">CIMACT10            </t>
  </si>
  <si>
    <t>2026-03-16 14:13:37.087</t>
  </si>
  <si>
    <t xml:space="preserve">CIMADI10            </t>
  </si>
  <si>
    <t>2026-03-16 14:13:37.323</t>
  </si>
  <si>
    <t>2026-03-16 14:13:37.337</t>
  </si>
  <si>
    <t xml:space="preserve">CIMHEA30            </t>
  </si>
  <si>
    <t>2026-03-16 14:13:37.573</t>
  </si>
  <si>
    <t xml:space="preserve">CIMHEA40            </t>
  </si>
  <si>
    <t>2026-03-16 14:13:37.587</t>
  </si>
  <si>
    <t>2026-03-16 14:13:37.603</t>
  </si>
  <si>
    <t xml:space="preserve">CIMHEA10            </t>
  </si>
  <si>
    <t>2026-03-16 14:13:37.620</t>
  </si>
  <si>
    <t xml:space="preserve">CIMHEA20            </t>
  </si>
  <si>
    <t>2026-03-16 14:13:37.637</t>
  </si>
  <si>
    <t xml:space="preserve">CIMLIN10            </t>
  </si>
  <si>
    <t>2026-03-16 14:13:37.870</t>
  </si>
  <si>
    <t xml:space="preserve">CIMLIN20            </t>
  </si>
  <si>
    <t>2026-03-16 14:13:37.887</t>
  </si>
  <si>
    <t>2026-03-16 14:13:37.900</t>
  </si>
  <si>
    <t xml:space="preserve">CIMLIN30            </t>
  </si>
  <si>
    <t>2026-03-16 14:13:37.933</t>
  </si>
  <si>
    <t xml:space="preserve">CIMRCD10            </t>
  </si>
  <si>
    <t>2026-03-16 14:13:38.167</t>
  </si>
  <si>
    <t xml:space="preserve">CIMRCL10            </t>
  </si>
  <si>
    <t>2026-03-16 14:13:38.400</t>
  </si>
  <si>
    <t xml:space="preserve">CIMRLN10            </t>
  </si>
  <si>
    <t>2026-03-16 14:13:38.637</t>
  </si>
  <si>
    <t>2026-03-16 14:13:38.650</t>
  </si>
  <si>
    <t xml:space="preserve">CIMTPL10            </t>
  </si>
  <si>
    <t>2026-03-16 14:13:38.777</t>
  </si>
  <si>
    <t xml:space="preserve">CIMWTC10            </t>
  </si>
  <si>
    <t>2026-03-16 14:13:38.887</t>
  </si>
  <si>
    <t xml:space="preserve">CINACC21            </t>
  </si>
  <si>
    <t>2026-03-16 14:13:39.010</t>
  </si>
  <si>
    <t>2026-03-16 14:13:45.393</t>
  </si>
  <si>
    <t>6381</t>
  </si>
  <si>
    <t xml:space="preserve">CINAIN10            </t>
  </si>
  <si>
    <t>2026-03-16 14:13:39.147</t>
  </si>
  <si>
    <t xml:space="preserve">CINCAL10            </t>
  </si>
  <si>
    <t>2026-03-16 14:13:39.383</t>
  </si>
  <si>
    <t>2026-03-16 14:13:39.397</t>
  </si>
  <si>
    <t xml:space="preserve">CINERL01            </t>
  </si>
  <si>
    <t>2026-03-16 14:13:39.633</t>
  </si>
  <si>
    <t>2026-03-16 14:13:39.647</t>
  </si>
  <si>
    <t xml:space="preserve">CCTLSP20            </t>
  </si>
  <si>
    <t>2026-03-16 14:13:39.883</t>
  </si>
  <si>
    <t>2026-03-16 14:13:49.380</t>
  </si>
  <si>
    <t>9499</t>
  </si>
  <si>
    <t xml:space="preserve">CINHEA10            </t>
  </si>
  <si>
    <t xml:space="preserve">CINHEA20            </t>
  </si>
  <si>
    <t>2026-03-16 14:13:39.897</t>
  </si>
  <si>
    <t>2026-03-16 14:13:39.913</t>
  </si>
  <si>
    <t xml:space="preserve">CINPRI10            </t>
  </si>
  <si>
    <t>2026-03-16 14:13:40.153</t>
  </si>
  <si>
    <t>2026-03-16 14:13:40.170</t>
  </si>
  <si>
    <t xml:space="preserve">CINTEG10            </t>
  </si>
  <si>
    <t>2026-03-16 14:13:40.403</t>
  </si>
  <si>
    <t>2026-03-16 14:13:40.420</t>
  </si>
  <si>
    <t xml:space="preserve">CINXRF10            </t>
  </si>
  <si>
    <t>2026-03-16 14:13:40.653</t>
  </si>
  <si>
    <t>2026-03-16 14:13:41.640</t>
  </si>
  <si>
    <t>985</t>
  </si>
  <si>
    <t xml:space="preserve">CJBCMD40            </t>
  </si>
  <si>
    <t>2026-03-16 14:13:41.873</t>
  </si>
  <si>
    <t>2026-03-16 14:13:44.970</t>
  </si>
  <si>
    <t>3097</t>
  </si>
  <si>
    <t xml:space="preserve">CJBCMD50            </t>
  </si>
  <si>
    <t>2026-03-16 14:13:44.987</t>
  </si>
  <si>
    <t>2026-03-16 14:13:47.753</t>
  </si>
  <si>
    <t>2767</t>
  </si>
  <si>
    <t xml:space="preserve">CINACC60            </t>
  </si>
  <si>
    <t>2026-03-16 14:13:45.423</t>
  </si>
  <si>
    <t>2026-03-16 14:13:50.153</t>
  </si>
  <si>
    <t>4732</t>
  </si>
  <si>
    <t xml:space="preserve">CJBCMD10            </t>
  </si>
  <si>
    <t>2026-03-16 14:13:47.770</t>
  </si>
  <si>
    <t>2026-03-16 14:13:50.967</t>
  </si>
  <si>
    <t>3196</t>
  </si>
  <si>
    <t xml:space="preserve">CJBCTL20            </t>
  </si>
  <si>
    <t>2026-03-16 14:13:49.617</t>
  </si>
  <si>
    <t>2026-03-16 14:13:58.007</t>
  </si>
  <si>
    <t>8392</t>
  </si>
  <si>
    <t xml:space="preserve">CINACC40            </t>
  </si>
  <si>
    <t>2026-03-16 14:13:50.170</t>
  </si>
  <si>
    <t>2026-03-16 14:13:55.487</t>
  </si>
  <si>
    <t>5317</t>
  </si>
  <si>
    <t xml:space="preserve">CJBCMD30            </t>
  </si>
  <si>
    <t>2026-03-16 14:13:50.983</t>
  </si>
  <si>
    <t>2026-03-16 14:13:53.010</t>
  </si>
  <si>
    <t>2028</t>
  </si>
  <si>
    <t xml:space="preserve">CJBCMD20            </t>
  </si>
  <si>
    <t>2026-03-16 14:13:53.027</t>
  </si>
  <si>
    <t>2026-03-16 14:13:54.737</t>
  </si>
  <si>
    <t>1711</t>
  </si>
  <si>
    <t xml:space="preserve">CJBCMD01            </t>
  </si>
  <si>
    <t>2026-03-16 14:13:54.753</t>
  </si>
  <si>
    <t>2026-03-16 14:13:56.413</t>
  </si>
  <si>
    <t>1661</t>
  </si>
  <si>
    <t xml:space="preserve">CINACC20            </t>
  </si>
  <si>
    <t>2026-03-16 14:13:55.503</t>
  </si>
  <si>
    <t>2026-03-16 14:13:59.310</t>
  </si>
  <si>
    <t>3807</t>
  </si>
  <si>
    <t xml:space="preserve">CJBDEF10            </t>
  </si>
  <si>
    <t>2026-03-16 14:13:56.647</t>
  </si>
  <si>
    <t>2026-03-16 14:13:56.663</t>
  </si>
  <si>
    <t xml:space="preserve">CJBDEF20            </t>
  </si>
  <si>
    <t>2026-03-16 14:13:56.680</t>
  </si>
  <si>
    <t xml:space="preserve">CJBLOG10            </t>
  </si>
  <si>
    <t>2026-03-16 14:13:56.913</t>
  </si>
  <si>
    <t>2026-03-16 14:13:56.930</t>
  </si>
  <si>
    <t xml:space="preserve">CJBLOG20            </t>
  </si>
  <si>
    <t>2026-03-16 14:13:56.947</t>
  </si>
  <si>
    <t xml:space="preserve">CJBLOG30            </t>
  </si>
  <si>
    <t>2026-03-16 14:13:56.960</t>
  </si>
  <si>
    <t xml:space="preserve">CJBTRN10            </t>
  </si>
  <si>
    <t>2026-03-16 14:13:57.197</t>
  </si>
  <si>
    <t>2026-03-16 14:13:57.210</t>
  </si>
  <si>
    <t xml:space="preserve">CJBTRN20            </t>
  </si>
  <si>
    <t>2026-03-16 14:13:57.227</t>
  </si>
  <si>
    <t xml:space="preserve">CJOBDF10            </t>
  </si>
  <si>
    <t>2026-03-16 14:13:57.460</t>
  </si>
  <si>
    <t>2026-03-16 14:13:57.477</t>
  </si>
  <si>
    <t xml:space="preserve">CLOMAS20            </t>
  </si>
  <si>
    <t>2026-03-16 14:13:57.710</t>
  </si>
  <si>
    <t>2026-03-16 14:13:57.727</t>
  </si>
  <si>
    <t xml:space="preserve">CLOMAS10            </t>
  </si>
  <si>
    <t>2026-03-16 14:13:57.743</t>
  </si>
  <si>
    <t xml:space="preserve">CLOORD10            </t>
  </si>
  <si>
    <t>2026-03-16 14:13:57.977</t>
  </si>
  <si>
    <t>2026-03-16 14:13:57.993</t>
  </si>
  <si>
    <t xml:space="preserve">CJBCTL21            </t>
  </si>
  <si>
    <t>2026-03-16 14:13:58.023</t>
  </si>
  <si>
    <t>2026-03-16 14:14:02.563</t>
  </si>
  <si>
    <t>4539</t>
  </si>
  <si>
    <t xml:space="preserve">CLOTMP10            </t>
  </si>
  <si>
    <t>2026-03-16 14:13:58.243</t>
  </si>
  <si>
    <t xml:space="preserve">CMAILA10            </t>
  </si>
  <si>
    <t>2026-03-16 14:13:58.477</t>
  </si>
  <si>
    <t xml:space="preserve">CMAILB10            </t>
  </si>
  <si>
    <t>2026-03-16 14:13:58.733</t>
  </si>
  <si>
    <t>2026-03-16 14:13:59.157</t>
  </si>
  <si>
    <t>422</t>
  </si>
  <si>
    <t xml:space="preserve">CMAILB20            </t>
  </si>
  <si>
    <t>2026-03-16 14:13:59.173</t>
  </si>
  <si>
    <t>2026-03-16 14:13:59.623</t>
  </si>
  <si>
    <t>452</t>
  </si>
  <si>
    <t xml:space="preserve">CINACC50            </t>
  </si>
  <si>
    <t>2026-03-16 14:13:59.327</t>
  </si>
  <si>
    <t>2026-03-16 14:14:04.590</t>
  </si>
  <si>
    <t>5264</t>
  </si>
  <si>
    <t xml:space="preserve">CMAILB30            </t>
  </si>
  <si>
    <t>2026-03-16 14:13:59.640</t>
  </si>
  <si>
    <t>2026-03-16 14:13:59.843</t>
  </si>
  <si>
    <t xml:space="preserve">CMAILE10            </t>
  </si>
  <si>
    <t>2026-03-16 14:14:00.090</t>
  </si>
  <si>
    <t xml:space="preserve">CMAILP10            </t>
  </si>
  <si>
    <t>2026-03-16 14:14:00.340</t>
  </si>
  <si>
    <t>2026-03-16 14:14:00.827</t>
  </si>
  <si>
    <t>487</t>
  </si>
  <si>
    <t xml:space="preserve">CMARAU10            </t>
  </si>
  <si>
    <t>2026-03-16 14:14:01.063</t>
  </si>
  <si>
    <t>2026-03-16 14:14:01.077</t>
  </si>
  <si>
    <t xml:space="preserve">CMFADV10            </t>
  </si>
  <si>
    <t>2026-03-16 14:14:01.313</t>
  </si>
  <si>
    <t>2026-03-16 14:14:01.767</t>
  </si>
  <si>
    <t>453</t>
  </si>
  <si>
    <t xml:space="preserve">CMFSE110            </t>
  </si>
  <si>
    <t>2026-03-16 14:14:02.000</t>
  </si>
  <si>
    <t xml:space="preserve">CMFSE310            </t>
  </si>
  <si>
    <t>2026-03-16 14:14:02.233</t>
  </si>
  <si>
    <t>2026-03-16 14:14:02.250</t>
  </si>
  <si>
    <t xml:space="preserve">CMFSE300            </t>
  </si>
  <si>
    <t>2026-03-16 14:14:02.267</t>
  </si>
  <si>
    <t xml:space="preserve">CMFSE420            </t>
  </si>
  <si>
    <t>2026-03-16 14:14:02.500</t>
  </si>
  <si>
    <t xml:space="preserve">CMFSE410            </t>
  </si>
  <si>
    <t>2026-03-16 14:14:02.517</t>
  </si>
  <si>
    <t>2026-03-16 14:14:02.530</t>
  </si>
  <si>
    <t xml:space="preserve">CJBCTL50            </t>
  </si>
  <si>
    <t>2026-03-16 14:14:02.577</t>
  </si>
  <si>
    <t>2026-03-16 14:14:07.840</t>
  </si>
  <si>
    <t>5262</t>
  </si>
  <si>
    <t xml:space="preserve">CMFSE510            </t>
  </si>
  <si>
    <t>2026-03-16 14:14:02.767</t>
  </si>
  <si>
    <t>2026-03-16 14:14:02.780</t>
  </si>
  <si>
    <t xml:space="preserve">CMIFLD10            </t>
  </si>
  <si>
    <t>2026-03-16 14:14:03.017</t>
  </si>
  <si>
    <t>2026-03-16 14:14:03.687</t>
  </si>
  <si>
    <t>669</t>
  </si>
  <si>
    <t xml:space="preserve">CMIFLD20            </t>
  </si>
  <si>
    <t>2026-03-16 14:14:03.700</t>
  </si>
  <si>
    <t>2026-03-16 14:14:04.260</t>
  </si>
  <si>
    <t>559</t>
  </si>
  <si>
    <t xml:space="preserve">CMIFRM10            </t>
  </si>
  <si>
    <t>2026-03-16 14:14:04.497</t>
  </si>
  <si>
    <t xml:space="preserve">CMIFRM20            </t>
  </si>
  <si>
    <t>2026-03-16 14:14:04.513</t>
  </si>
  <si>
    <t xml:space="preserve">CINACC30            </t>
  </si>
  <si>
    <t>2026-03-16 14:14:04.607</t>
  </si>
  <si>
    <t>2026-03-16 14:14:08.073</t>
  </si>
  <si>
    <t>3468</t>
  </si>
  <si>
    <t xml:space="preserve">CMIPGM10            </t>
  </si>
  <si>
    <t>2026-03-16 14:14:04.747</t>
  </si>
  <si>
    <t>2026-03-16 14:14:04.763</t>
  </si>
  <si>
    <t xml:space="preserve">CMIPGM20            </t>
  </si>
  <si>
    <t>2026-03-16 14:14:04.777</t>
  </si>
  <si>
    <t>2026-03-16 14:14:04.793</t>
  </si>
  <si>
    <t xml:space="preserve">CMITRM10            </t>
  </si>
  <si>
    <t>2026-03-16 14:14:05.027</t>
  </si>
  <si>
    <t xml:space="preserve">CMITRM20            </t>
  </si>
  <si>
    <t>2026-03-16 14:14:05.060</t>
  </si>
  <si>
    <t xml:space="preserve">CMITRN10            </t>
  </si>
  <si>
    <t>2026-03-16 14:14:05.293</t>
  </si>
  <si>
    <t>2026-03-16 14:14:05.327</t>
  </si>
  <si>
    <t xml:space="preserve">CMITRN20            </t>
  </si>
  <si>
    <t>2026-03-16 14:14:05.340</t>
  </si>
  <si>
    <t>2026-03-16 14:14:05.357</t>
  </si>
  <si>
    <t xml:space="preserve">CMIWFL10            </t>
  </si>
  <si>
    <t>2026-03-16 14:14:05.580</t>
  </si>
  <si>
    <t>2026-03-16 14:14:05.597</t>
  </si>
  <si>
    <t xml:space="preserve">CMIWFL20            </t>
  </si>
  <si>
    <t>2026-03-16 14:14:05.610</t>
  </si>
  <si>
    <t xml:space="preserve">CMM24010            </t>
  </si>
  <si>
    <t>2026-03-16 14:14:05.847</t>
  </si>
  <si>
    <t>2026-03-16 14:14:05.860</t>
  </si>
  <si>
    <t xml:space="preserve">CMNBDC10            </t>
  </si>
  <si>
    <t>2026-03-16 14:14:06.097</t>
  </si>
  <si>
    <t>2026-03-16 14:14:06.110</t>
  </si>
  <si>
    <t xml:space="preserve">CMNBDK10            </t>
  </si>
  <si>
    <t>2026-03-16 14:14:06.347</t>
  </si>
  <si>
    <t>2026-03-16 14:14:06.360</t>
  </si>
  <si>
    <t xml:space="preserve">CMNCLC10            </t>
  </si>
  <si>
    <t>2026-03-16 14:14:06.597</t>
  </si>
  <si>
    <t xml:space="preserve">CMNCLD10            </t>
  </si>
  <si>
    <t>2026-03-16 14:14:06.847</t>
  </si>
  <si>
    <t>2026-03-16 14:14:06.860</t>
  </si>
  <si>
    <t xml:space="preserve">CMNDBA10            </t>
  </si>
  <si>
    <t>2026-03-16 14:14:07.097</t>
  </si>
  <si>
    <t xml:space="preserve">CMNDBA20            </t>
  </si>
  <si>
    <t>2026-03-16 14:14:07.110</t>
  </si>
  <si>
    <t xml:space="preserve">CMNDIR00            </t>
  </si>
  <si>
    <t>2026-03-16 14:14:07.347</t>
  </si>
  <si>
    <t xml:space="preserve">CMNDIR10            </t>
  </si>
  <si>
    <t>2026-03-16 14:14:07.360</t>
  </si>
  <si>
    <t xml:space="preserve">CMNFBD10            </t>
  </si>
  <si>
    <t>2026-03-16 14:14:07.597</t>
  </si>
  <si>
    <t xml:space="preserve">CMNFBD20            </t>
  </si>
  <si>
    <t>2026-03-16 14:14:07.610</t>
  </si>
  <si>
    <t xml:space="preserve">CJBCTL60            </t>
  </si>
  <si>
    <t>2026-03-16 14:14:07.857</t>
  </si>
  <si>
    <t>2026-03-16 14:14:12.943</t>
  </si>
  <si>
    <t>5086</t>
  </si>
  <si>
    <t xml:space="preserve">CMNFBP10            </t>
  </si>
  <si>
    <t xml:space="preserve">CMNFBP20            </t>
  </si>
  <si>
    <t>2026-03-16 14:14:07.870</t>
  </si>
  <si>
    <t xml:space="preserve">CINACC10            </t>
  </si>
  <si>
    <t>2026-03-16 14:14:09.883</t>
  </si>
  <si>
    <t>1809</t>
  </si>
  <si>
    <t xml:space="preserve">CMNFNG30            </t>
  </si>
  <si>
    <t>2026-03-16 14:14:08.107</t>
  </si>
  <si>
    <t>2026-03-16 14:14:08.137</t>
  </si>
  <si>
    <t xml:space="preserve">CMNFNG40            </t>
  </si>
  <si>
    <t>2026-03-16 14:14:08.153</t>
  </si>
  <si>
    <t>2026-03-16 14:14:08.183</t>
  </si>
  <si>
    <t xml:space="preserve">CMNFNG50            </t>
  </si>
  <si>
    <t>2026-03-16 14:14:08.200</t>
  </si>
  <si>
    <t>2026-03-16 14:14:08.217</t>
  </si>
  <si>
    <t xml:space="preserve">CMNFNG60            </t>
  </si>
  <si>
    <t>2026-03-16 14:14:08.230</t>
  </si>
  <si>
    <t>2026-03-16 14:14:08.263</t>
  </si>
  <si>
    <t xml:space="preserve">CMNFNG01            </t>
  </si>
  <si>
    <t>2026-03-16 14:14:08.277</t>
  </si>
  <si>
    <t>2026-03-16 14:14:08.293</t>
  </si>
  <si>
    <t xml:space="preserve">CMNFNG10            </t>
  </si>
  <si>
    <t>2026-03-16 14:14:08.310</t>
  </si>
  <si>
    <t>2026-03-16 14:14:08.340</t>
  </si>
  <si>
    <t xml:space="preserve">CMNFNG20            </t>
  </si>
  <si>
    <t>2026-03-16 14:14:08.357</t>
  </si>
  <si>
    <t>2026-03-16 14:14:08.387</t>
  </si>
  <si>
    <t xml:space="preserve">CMNFNL40            </t>
  </si>
  <si>
    <t>2026-03-16 14:14:08.620</t>
  </si>
  <si>
    <t>2026-03-16 14:14:08.823</t>
  </si>
  <si>
    <t xml:space="preserve">CMNFNL20            </t>
  </si>
  <si>
    <t>2026-03-16 14:14:08.840</t>
  </si>
  <si>
    <t>2026-03-16 14:14:08.997</t>
  </si>
  <si>
    <t xml:space="preserve">CMNFNL30            </t>
  </si>
  <si>
    <t>2026-03-16 14:14:09.013</t>
  </si>
  <si>
    <t>2026-03-16 14:14:09.137</t>
  </si>
  <si>
    <t xml:space="preserve">CMNFNL10            </t>
  </si>
  <si>
    <t>2026-03-16 14:14:09.153</t>
  </si>
  <si>
    <t>2026-03-16 14:14:09.293</t>
  </si>
  <si>
    <t xml:space="preserve">CMNFNP10            </t>
  </si>
  <si>
    <t>2026-03-16 14:14:09.527</t>
  </si>
  <si>
    <t xml:space="preserve">CMNMNU10            </t>
  </si>
  <si>
    <t>2026-03-16 14:14:09.763</t>
  </si>
  <si>
    <t>2026-03-16 14:14:09.793</t>
  </si>
  <si>
    <t xml:space="preserve">CMNMNU30            </t>
  </si>
  <si>
    <t>2026-03-16 14:14:09.810</t>
  </si>
  <si>
    <t>2026-03-16 14:14:09.840</t>
  </si>
  <si>
    <t xml:space="preserve">CMNMNU20            </t>
  </si>
  <si>
    <t>2026-03-16 14:14:09.857</t>
  </si>
  <si>
    <t>27</t>
  </si>
  <si>
    <t xml:space="preserve">CINACC11            </t>
  </si>
  <si>
    <t>2026-03-16 14:14:09.900</t>
  </si>
  <si>
    <t>2026-03-16 14:14:12.053</t>
  </si>
  <si>
    <t>2153</t>
  </si>
  <si>
    <t xml:space="preserve">CMNMRH10            </t>
  </si>
  <si>
    <t>2026-03-16 14:14:10.123</t>
  </si>
  <si>
    <t xml:space="preserve">CMNMRH20            </t>
  </si>
  <si>
    <t>2026-03-16 14:14:10.140</t>
  </si>
  <si>
    <t xml:space="preserve">CMNMRH30            </t>
  </si>
  <si>
    <t>2026-03-16 14:14:10.153</t>
  </si>
  <si>
    <t xml:space="preserve">CMNOPT10            </t>
  </si>
  <si>
    <t>2026-03-16 14:14:10.403</t>
  </si>
  <si>
    <t xml:space="preserve">CMNPGM10            </t>
  </si>
  <si>
    <t>2026-03-16 14:14:10.640</t>
  </si>
  <si>
    <t xml:space="preserve">CMNPRL10            </t>
  </si>
  <si>
    <t>2026-03-16 14:14:10.873</t>
  </si>
  <si>
    <t xml:space="preserve">CMNPSU11            </t>
  </si>
  <si>
    <t>2026-03-16 14:14:11.107</t>
  </si>
  <si>
    <t>2026-03-16 14:14:11.123</t>
  </si>
  <si>
    <t xml:space="preserve">CMNPSU20            </t>
  </si>
  <si>
    <t>2026-03-16 14:14:11.140</t>
  </si>
  <si>
    <t>2026-03-16 14:14:11.153</t>
  </si>
  <si>
    <t xml:space="preserve">CMNPSU30            </t>
  </si>
  <si>
    <t>2026-03-16 14:14:11.170</t>
  </si>
  <si>
    <t>2026-03-16 14:14:11.187</t>
  </si>
  <si>
    <t xml:space="preserve">CMNPSU40            </t>
  </si>
  <si>
    <t>2026-03-16 14:14:11.200</t>
  </si>
  <si>
    <t xml:space="preserve">CMNPSU10            </t>
  </si>
  <si>
    <t>2026-03-16 14:14:11.217</t>
  </si>
  <si>
    <t>2026-03-16 14:14:11.233</t>
  </si>
  <si>
    <t xml:space="preserve">CMNPUS10            </t>
  </si>
  <si>
    <t>2026-03-16 14:14:11.467</t>
  </si>
  <si>
    <t xml:space="preserve">CMNPUS20            </t>
  </si>
  <si>
    <t>2026-03-16 14:14:11.483</t>
  </si>
  <si>
    <t xml:space="preserve">CMNPUS30            </t>
  </si>
  <si>
    <t>2026-03-16 14:14:11.497</t>
  </si>
  <si>
    <t xml:space="preserve">CMNPUS40            </t>
  </si>
  <si>
    <t>2026-03-16 14:14:11.513</t>
  </si>
  <si>
    <t xml:space="preserve">CMNRSC10            </t>
  </si>
  <si>
    <t>2026-03-16 14:14:11.747</t>
  </si>
  <si>
    <t xml:space="preserve">CMNRUS20            </t>
  </si>
  <si>
    <t>2026-03-16 14:14:11.990</t>
  </si>
  <si>
    <t xml:space="preserve">CMNRUS10            </t>
  </si>
  <si>
    <t>2026-03-16 14:14:12.007</t>
  </si>
  <si>
    <t xml:space="preserve">CMNSAU10            </t>
  </si>
  <si>
    <t>2026-03-16 14:14:12.240</t>
  </si>
  <si>
    <t xml:space="preserve">CMNSAU20            </t>
  </si>
  <si>
    <t>2026-03-16 14:14:12.257</t>
  </si>
  <si>
    <t xml:space="preserve">CMNSAU30            </t>
  </si>
  <si>
    <t>2026-03-16 14:14:12.270</t>
  </si>
  <si>
    <t>2026-03-16 14:14:12.287</t>
  </si>
  <si>
    <t xml:space="preserve">CMNSAU40            </t>
  </si>
  <si>
    <t>2026-03-16 14:14:12.303</t>
  </si>
  <si>
    <t xml:space="preserve">CMNSBJ10            </t>
  </si>
  <si>
    <t xml:space="preserve">CMNSBJ01            </t>
  </si>
  <si>
    <t>2026-03-16 14:14:12.317</t>
  </si>
  <si>
    <t xml:space="preserve">CMNSBJ20            </t>
  </si>
  <si>
    <t>2026-03-16 14:14:12.333</t>
  </si>
  <si>
    <t xml:space="preserve">CMNSBS10            </t>
  </si>
  <si>
    <t>2026-03-16 14:14:12.537</t>
  </si>
  <si>
    <t>2026-03-16 14:14:12.553</t>
  </si>
  <si>
    <t xml:space="preserve">CMNSEC10            </t>
  </si>
  <si>
    <t>2026-03-16 14:14:12.567</t>
  </si>
  <si>
    <t>2026-03-16 14:14:12.660</t>
  </si>
  <si>
    <t xml:space="preserve">CMNSFL10            </t>
  </si>
  <si>
    <t>2026-03-16 14:14:12.787</t>
  </si>
  <si>
    <t xml:space="preserve">CMNSMI10            </t>
  </si>
  <si>
    <t>2026-03-16 14:14:12.897</t>
  </si>
  <si>
    <t xml:space="preserve">CJBCTL10            </t>
  </si>
  <si>
    <t>2026-03-16 14:14:12.957</t>
  </si>
  <si>
    <t>2026-03-16 14:14:19.400</t>
  </si>
  <si>
    <t>6443</t>
  </si>
  <si>
    <t xml:space="preserve">CMNTBD10            </t>
  </si>
  <si>
    <t>2026-03-16 14:14:13.020</t>
  </si>
  <si>
    <t xml:space="preserve">CMNTBD20            </t>
  </si>
  <si>
    <t>2026-03-16 14:14:13.037</t>
  </si>
  <si>
    <t xml:space="preserve">CMNUFK30            </t>
  </si>
  <si>
    <t>2026-03-16 14:14:13.130</t>
  </si>
  <si>
    <t xml:space="preserve">CMNUFK40            </t>
  </si>
  <si>
    <t>2026-03-16 14:14:13.147</t>
  </si>
  <si>
    <t>2026-03-16 14:14:13.160</t>
  </si>
  <si>
    <t xml:space="preserve">CMNUFK50            </t>
  </si>
  <si>
    <t>2026-03-16 14:14:13.177</t>
  </si>
  <si>
    <t xml:space="preserve">CMNUFK60            </t>
  </si>
  <si>
    <t>2026-03-16 14:14:13.193</t>
  </si>
  <si>
    <t xml:space="preserve">CMNUFK70            </t>
  </si>
  <si>
    <t>2026-03-16 14:14:13.207</t>
  </si>
  <si>
    <t xml:space="preserve">CMNUFK80            </t>
  </si>
  <si>
    <t>2026-03-16 14:14:13.223</t>
  </si>
  <si>
    <t xml:space="preserve">CMNUFK90            </t>
  </si>
  <si>
    <t>2026-03-16 14:14:13.240</t>
  </si>
  <si>
    <t xml:space="preserve">CMNUFK10            </t>
  </si>
  <si>
    <t>2026-03-16 14:14:13.257</t>
  </si>
  <si>
    <t xml:space="preserve">CMNUFK20            </t>
  </si>
  <si>
    <t>2026-03-16 14:14:13.270</t>
  </si>
  <si>
    <t xml:space="preserve">CMNULO10            </t>
  </si>
  <si>
    <t xml:space="preserve">CMNUOL10            </t>
  </si>
  <si>
    <t>2026-03-16 14:14:13.520</t>
  </si>
  <si>
    <t xml:space="preserve">CMNUPC10            </t>
  </si>
  <si>
    <t xml:space="preserve">CMNUPP10            </t>
  </si>
  <si>
    <t>2026-03-16 14:14:13.770</t>
  </si>
  <si>
    <t xml:space="preserve">CMNUQL10            </t>
  </si>
  <si>
    <t>2026-03-16 14:14:13.787</t>
  </si>
  <si>
    <t xml:space="preserve">CMNUQL20            </t>
  </si>
  <si>
    <t>2026-03-16 14:14:13.803</t>
  </si>
  <si>
    <t xml:space="preserve">CMNUQL30            </t>
  </si>
  <si>
    <t>2026-03-16 14:14:13.817</t>
  </si>
  <si>
    <t xml:space="preserve">CMNUSR10            </t>
  </si>
  <si>
    <t>2026-03-16 14:14:14.007</t>
  </si>
  <si>
    <t>2026-03-16 14:14:14.020</t>
  </si>
  <si>
    <t xml:space="preserve">CMNUSR02            </t>
  </si>
  <si>
    <t>2026-03-16 14:14:14.037</t>
  </si>
  <si>
    <t>2026-03-16 14:14:14.067</t>
  </si>
  <si>
    <t xml:space="preserve">CMRFIL20            </t>
  </si>
  <si>
    <t xml:space="preserve">CMRFIL10            </t>
  </si>
  <si>
    <t>2026-03-16 14:14:14.083</t>
  </si>
  <si>
    <t>2026-03-16 14:14:14.100</t>
  </si>
  <si>
    <t xml:space="preserve">CMUCPR10            </t>
  </si>
  <si>
    <t>2026-03-16 14:14:14.307</t>
  </si>
  <si>
    <t xml:space="preserve">CMUCPR20            </t>
  </si>
  <si>
    <t>2026-03-16 14:14:14.323</t>
  </si>
  <si>
    <t xml:space="preserve">CMUCPR30            </t>
  </si>
  <si>
    <t>2026-03-16 14:14:14.340</t>
  </si>
  <si>
    <t xml:space="preserve">CMUFTRA1#MPL        </t>
  </si>
  <si>
    <t xml:space="preserve">CMUCPR40            </t>
  </si>
  <si>
    <t>2026-03-16 14:14:14.357</t>
  </si>
  <si>
    <t xml:space="preserve">CMUFTR20            </t>
  </si>
  <si>
    <t xml:space="preserve">CMUFTR40            </t>
  </si>
  <si>
    <t>2026-03-16 14:14:14.370</t>
  </si>
  <si>
    <t xml:space="preserve">CMUFTR10            </t>
  </si>
  <si>
    <t>2026-03-16 14:14:14.387</t>
  </si>
  <si>
    <t>2026-03-16 14:14:14.403</t>
  </si>
  <si>
    <t xml:space="preserve">CMUFTR30            </t>
  </si>
  <si>
    <t>2026-03-16 14:14:14.417</t>
  </si>
  <si>
    <t xml:space="preserve">COPSHA10            </t>
  </si>
  <si>
    <t>2026-03-16 14:14:14.590</t>
  </si>
  <si>
    <t>2026-03-16 14:14:14.607</t>
  </si>
  <si>
    <t xml:space="preserve">COPSHA20            </t>
  </si>
  <si>
    <t>2026-03-16 14:14:14.620</t>
  </si>
  <si>
    <t xml:space="preserve">COPSHA30            </t>
  </si>
  <si>
    <t>2026-03-16 14:14:14.640</t>
  </si>
  <si>
    <t>2026-03-16 14:14:14.643</t>
  </si>
  <si>
    <t>4</t>
  </si>
  <si>
    <t xml:space="preserve">COPSHA40            </t>
  </si>
  <si>
    <t xml:space="preserve">CORECR20            </t>
  </si>
  <si>
    <t>2026-03-16 14:14:14.660</t>
  </si>
  <si>
    <t xml:space="preserve">CORECR10            </t>
  </si>
  <si>
    <t>2026-03-16 14:14:14.677</t>
  </si>
  <si>
    <t xml:space="preserve">CORETR10            </t>
  </si>
  <si>
    <t>2026-03-16 14:14:14.897</t>
  </si>
  <si>
    <t xml:space="preserve">CORETR50            </t>
  </si>
  <si>
    <t>2026-03-16 14:14:14.913</t>
  </si>
  <si>
    <t xml:space="preserve">COSIME10            </t>
  </si>
  <si>
    <t xml:space="preserve">CORETR20            </t>
  </si>
  <si>
    <t>2026-03-16 14:14:14.927</t>
  </si>
  <si>
    <t xml:space="preserve">CORETR70            </t>
  </si>
  <si>
    <t>2026-03-16 14:14:14.943</t>
  </si>
  <si>
    <t xml:space="preserve">CORETR40            </t>
  </si>
  <si>
    <t>2026-03-16 14:14:14.960</t>
  </si>
  <si>
    <t xml:space="preserve">CORETR30            </t>
  </si>
  <si>
    <t>2026-03-16 14:14:14.977</t>
  </si>
  <si>
    <t xml:space="preserve">CORETR60            </t>
  </si>
  <si>
    <t>2026-03-16 14:14:14.990</t>
  </si>
  <si>
    <t xml:space="preserve">COSITY10            </t>
  </si>
  <si>
    <t>2026-03-16 14:14:15.147</t>
  </si>
  <si>
    <t>2026-03-16 14:14:15.163</t>
  </si>
  <si>
    <t xml:space="preserve">COSRVI10            </t>
  </si>
  <si>
    <t>2026-03-16 14:14:15.227</t>
  </si>
  <si>
    <t xml:space="preserve">COSRVI20            </t>
  </si>
  <si>
    <t>2026-03-16 14:14:15.240</t>
  </si>
  <si>
    <t>2026-03-16 14:14:15.257</t>
  </si>
  <si>
    <t xml:space="preserve">COSRVI30            </t>
  </si>
  <si>
    <t>2026-03-16 14:14:15.270</t>
  </si>
  <si>
    <t xml:space="preserve">COUTSV30            </t>
  </si>
  <si>
    <t>2026-03-16 14:14:15.397</t>
  </si>
  <si>
    <t>2026-03-16 14:14:15.413</t>
  </si>
  <si>
    <t xml:space="preserve">COUTSV10            </t>
  </si>
  <si>
    <t>2026-03-16 14:14:15.427</t>
  </si>
  <si>
    <t>2026-03-16 14:14:15.460</t>
  </si>
  <si>
    <t xml:space="preserve">COUTSV20            </t>
  </si>
  <si>
    <t>2026-03-16 14:14:15.473</t>
  </si>
  <si>
    <t>2026-03-16 14:14:15.490</t>
  </si>
  <si>
    <t xml:space="preserve">COWNID10            </t>
  </si>
  <si>
    <t>2026-03-16 14:14:15.520</t>
  </si>
  <si>
    <t>2026-03-16 14:14:15.553</t>
  </si>
  <si>
    <t>32</t>
  </si>
  <si>
    <t xml:space="preserve">COWNMI10            </t>
  </si>
  <si>
    <t>2026-03-16 14:14:15.740</t>
  </si>
  <si>
    <t>2026-03-16 14:14:15.757</t>
  </si>
  <si>
    <t xml:space="preserve">CPAALI20            </t>
  </si>
  <si>
    <t>2026-03-16 14:14:15.787</t>
  </si>
  <si>
    <t xml:space="preserve">CPAALI30            </t>
  </si>
  <si>
    <t>2026-03-16 14:14:15.803</t>
  </si>
  <si>
    <t>2026-03-16 14:14:15.817</t>
  </si>
  <si>
    <t xml:space="preserve">CPAALI40            </t>
  </si>
  <si>
    <t>2026-03-16 14:14:15.833</t>
  </si>
  <si>
    <t xml:space="preserve">CPAALI50            </t>
  </si>
  <si>
    <t>2026-03-16 14:14:15.850</t>
  </si>
  <si>
    <t xml:space="preserve">CPAALI10            </t>
  </si>
  <si>
    <t>2026-03-16 14:14:15.867</t>
  </si>
  <si>
    <t xml:space="preserve">CPAALT10            </t>
  </si>
  <si>
    <t>2026-03-16 14:14:15.990</t>
  </si>
  <si>
    <t xml:space="preserve">CPARTN10            </t>
  </si>
  <si>
    <t>2026-03-16 14:14:16.100</t>
  </si>
  <si>
    <t xml:space="preserve">CPARTN20            </t>
  </si>
  <si>
    <t>2026-03-16 14:14:16.117</t>
  </si>
  <si>
    <t xml:space="preserve">CPARTN30            </t>
  </si>
  <si>
    <t>2026-03-16 14:14:16.130</t>
  </si>
  <si>
    <t xml:space="preserve">CPEACC70            </t>
  </si>
  <si>
    <t>2026-03-16 14:14:16.227</t>
  </si>
  <si>
    <t>2026-03-16 14:14:16.257</t>
  </si>
  <si>
    <t xml:space="preserve">CPEACC60            </t>
  </si>
  <si>
    <t>2026-03-16 14:14:16.273</t>
  </si>
  <si>
    <t xml:space="preserve">CPEACC80            </t>
  </si>
  <si>
    <t>2026-03-16 14:14:16.287</t>
  </si>
  <si>
    <t xml:space="preserve">CPEACC30            </t>
  </si>
  <si>
    <t>2026-03-16 14:14:16.303</t>
  </si>
  <si>
    <t xml:space="preserve">CPEACC10            </t>
  </si>
  <si>
    <t>2026-03-16 14:14:16.317</t>
  </si>
  <si>
    <t xml:space="preserve">CPEACC20            </t>
  </si>
  <si>
    <t>2026-03-16 14:14:16.333</t>
  </si>
  <si>
    <t xml:space="preserve">CPEACC40            </t>
  </si>
  <si>
    <t>2026-03-16 14:14:16.350</t>
  </si>
  <si>
    <t>2026-03-16 14:14:16.367</t>
  </si>
  <si>
    <t xml:space="preserve">CPEACC50            </t>
  </si>
  <si>
    <t>2026-03-16 14:14:16.380</t>
  </si>
  <si>
    <t xml:space="preserve">CPGEX110            </t>
  </si>
  <si>
    <t xml:space="preserve">CPGEX120            </t>
  </si>
  <si>
    <t>2026-03-16 14:14:16.397</t>
  </si>
  <si>
    <t xml:space="preserve">CPGEX130            </t>
  </si>
  <si>
    <t>2026-03-16 14:14:16.413</t>
  </si>
  <si>
    <t xml:space="preserve">CPMTVA10            </t>
  </si>
  <si>
    <t>2026-03-16 14:14:16.613</t>
  </si>
  <si>
    <t xml:space="preserve">CPMTVA20            </t>
  </si>
  <si>
    <t>2026-03-16 14:14:16.630</t>
  </si>
  <si>
    <t>2026-03-16 14:14:16.647</t>
  </si>
  <si>
    <t xml:space="preserve">CPNMAS10            </t>
  </si>
  <si>
    <t xml:space="preserve">CPNREL60            </t>
  </si>
  <si>
    <t>2026-03-16 14:14:16.897</t>
  </si>
  <si>
    <t xml:space="preserve">CPOCAW30            </t>
  </si>
  <si>
    <t xml:space="preserve">CPNREL50            </t>
  </si>
  <si>
    <t>2026-03-16 14:14:16.910</t>
  </si>
  <si>
    <t xml:space="preserve">CPOCAW40            </t>
  </si>
  <si>
    <t>2026-03-16 14:14:16.927</t>
  </si>
  <si>
    <t xml:space="preserve">CPNREL10            </t>
  </si>
  <si>
    <t xml:space="preserve">CPNREL20            </t>
  </si>
  <si>
    <t>2026-03-16 14:14:16.943</t>
  </si>
  <si>
    <t xml:space="preserve">CPOCAW21            </t>
  </si>
  <si>
    <t>2026-03-16 14:14:16.957</t>
  </si>
  <si>
    <t xml:space="preserve">CPNREL30            </t>
  </si>
  <si>
    <t xml:space="preserve">CPNREL40            </t>
  </si>
  <si>
    <t>2026-03-16 14:14:16.973</t>
  </si>
  <si>
    <t xml:space="preserve">CPOCAW10            </t>
  </si>
  <si>
    <t>2026-03-16 14:14:17.007</t>
  </si>
  <si>
    <t xml:space="preserve">CPOCOA10            </t>
  </si>
  <si>
    <t>2026-03-16 14:14:17.207</t>
  </si>
  <si>
    <t xml:space="preserve">CPOCOM10            </t>
  </si>
  <si>
    <t>2026-03-16 14:14:17.240</t>
  </si>
  <si>
    <t xml:space="preserve">CPOCOS10            </t>
  </si>
  <si>
    <t>2026-03-16 14:14:17.443</t>
  </si>
  <si>
    <t xml:space="preserve">CPOHED11            </t>
  </si>
  <si>
    <t>2026-03-16 14:14:17.473</t>
  </si>
  <si>
    <t xml:space="preserve">CPOHED20            </t>
  </si>
  <si>
    <t>2026-03-16 14:14:17.490</t>
  </si>
  <si>
    <t>2026-03-16 14:14:17.507</t>
  </si>
  <si>
    <t xml:space="preserve">CPOHED30            </t>
  </si>
  <si>
    <t>2026-03-16 14:14:17.537</t>
  </si>
  <si>
    <t xml:space="preserve">CPOHED10            </t>
  </si>
  <si>
    <t>2026-03-16 14:14:17.553</t>
  </si>
  <si>
    <t xml:space="preserve">CPOKDF10            </t>
  </si>
  <si>
    <t>2026-03-16 14:14:17.677</t>
  </si>
  <si>
    <t>2026-03-16 14:14:17.693</t>
  </si>
  <si>
    <t xml:space="preserve">CPOKDF20            </t>
  </si>
  <si>
    <t>2026-03-16 14:14:17.707</t>
  </si>
  <si>
    <t xml:space="preserve">CPOKEY10            </t>
  </si>
  <si>
    <t>2026-03-16 14:14:17.787</t>
  </si>
  <si>
    <t xml:space="preserve">CPOMAT30            </t>
  </si>
  <si>
    <t>2026-03-16 14:14:17.943</t>
  </si>
  <si>
    <t>2026-03-16 14:14:17.973</t>
  </si>
  <si>
    <t xml:space="preserve">CPOMAT40            </t>
  </si>
  <si>
    <t>2026-03-16 14:14:17.990</t>
  </si>
  <si>
    <t xml:space="preserve">CPOMAT50            </t>
  </si>
  <si>
    <t>2026-03-16 14:14:18.007</t>
  </si>
  <si>
    <t xml:space="preserve">CPOMAT60            </t>
  </si>
  <si>
    <t>2026-03-16 14:14:18.020</t>
  </si>
  <si>
    <t xml:space="preserve">CPOOPE20            </t>
  </si>
  <si>
    <t xml:space="preserve">CPOMAT20            </t>
  </si>
  <si>
    <t>2026-03-16 14:14:18.037</t>
  </si>
  <si>
    <t xml:space="preserve">CPOOPE30            </t>
  </si>
  <si>
    <t>2026-03-16 14:14:18.053</t>
  </si>
  <si>
    <t xml:space="preserve">CPOMAT10            </t>
  </si>
  <si>
    <t>2026-03-16 14:14:18.067</t>
  </si>
  <si>
    <t xml:space="preserve">CPOOPE40            </t>
  </si>
  <si>
    <t>2026-03-16 14:14:18.100</t>
  </si>
  <si>
    <t xml:space="preserve">CPOOPE50            </t>
  </si>
  <si>
    <t>2026-03-16 14:14:18.113</t>
  </si>
  <si>
    <t xml:space="preserve">CPOOPE10            </t>
  </si>
  <si>
    <t>2026-03-16 14:14:18.130</t>
  </si>
  <si>
    <t>2026-03-16 14:14:18.160</t>
  </si>
  <si>
    <t xml:space="preserve">CPOPRO20            </t>
  </si>
  <si>
    <t>2026-03-16 14:14:18.303</t>
  </si>
  <si>
    <t>2026-03-16 14:14:18.317</t>
  </si>
  <si>
    <t xml:space="preserve">CPOPRO10            </t>
  </si>
  <si>
    <t>2026-03-16 14:14:18.333</t>
  </si>
  <si>
    <t xml:space="preserve">CPOTRA10            </t>
  </si>
  <si>
    <t>2026-03-16 14:14:18.397</t>
  </si>
  <si>
    <t xml:space="preserve">CPRDEF10            </t>
  </si>
  <si>
    <t>2026-03-16 14:14:18.567</t>
  </si>
  <si>
    <t>2026-03-16 14:14:18.583</t>
  </si>
  <si>
    <t xml:space="preserve">CPRDEF20            </t>
  </si>
  <si>
    <t>2026-03-16 14:14:18.600</t>
  </si>
  <si>
    <t xml:space="preserve">CPRTAX10            </t>
  </si>
  <si>
    <t>2026-03-16 14:14:18.630</t>
  </si>
  <si>
    <t>2026-03-16 14:14:18.647</t>
  </si>
  <si>
    <t xml:space="preserve">CRACTR70            </t>
  </si>
  <si>
    <t>2026-03-16 14:14:18.833</t>
  </si>
  <si>
    <t>2026-03-16 14:14:18.880</t>
  </si>
  <si>
    <t xml:space="preserve">CRBDET10            </t>
  </si>
  <si>
    <t xml:space="preserve">CRACTR30            </t>
  </si>
  <si>
    <t>2026-03-16 14:14:18.897</t>
  </si>
  <si>
    <t>2026-03-16 14:14:18.943</t>
  </si>
  <si>
    <t xml:space="preserve">CRACTR60            </t>
  </si>
  <si>
    <t>2026-03-16 14:14:18.957</t>
  </si>
  <si>
    <t>2026-03-16 14:14:18.993</t>
  </si>
  <si>
    <t>36</t>
  </si>
  <si>
    <t xml:space="preserve">CRACTR40            </t>
  </si>
  <si>
    <t>2026-03-16 14:14:19.010</t>
  </si>
  <si>
    <t>2026-03-16 14:14:19.073</t>
  </si>
  <si>
    <t>62</t>
  </si>
  <si>
    <t xml:space="preserve">CRACTR90            </t>
  </si>
  <si>
    <t>2026-03-16 14:14:19.120</t>
  </si>
  <si>
    <t xml:space="preserve">CRBHEA10            </t>
  </si>
  <si>
    <t xml:space="preserve">CRACTR91            </t>
  </si>
  <si>
    <t>2026-03-16 14:14:19.137</t>
  </si>
  <si>
    <t>2026-03-16 14:14:19.167</t>
  </si>
  <si>
    <t xml:space="preserve">CRACTR50            </t>
  </si>
  <si>
    <t>2026-03-16 14:14:19.183</t>
  </si>
  <si>
    <t>2026-03-16 14:14:19.213</t>
  </si>
  <si>
    <t xml:space="preserve">CRACTR80            </t>
  </si>
  <si>
    <t>2026-03-16 14:14:19.230</t>
  </si>
  <si>
    <t>2026-03-16 14:14:19.277</t>
  </si>
  <si>
    <t>46</t>
  </si>
  <si>
    <t xml:space="preserve">CRACTR10            </t>
  </si>
  <si>
    <t>2026-03-16 14:14:19.290</t>
  </si>
  <si>
    <t>2026-03-16 14:14:19.323</t>
  </si>
  <si>
    <t xml:space="preserve">CRACTR20            </t>
  </si>
  <si>
    <t>2026-03-16 14:14:19.337</t>
  </si>
  <si>
    <t>2026-03-16 14:14:19.370</t>
  </si>
  <si>
    <t xml:space="preserve">CRCCCT10            </t>
  </si>
  <si>
    <t>2026-03-16 14:14:19.353</t>
  </si>
  <si>
    <t xml:space="preserve">CRCCCT30            </t>
  </si>
  <si>
    <t xml:space="preserve">CRACTR51            </t>
  </si>
  <si>
    <t>2026-03-16 14:14:19.387</t>
  </si>
  <si>
    <t>2026-03-16 14:14:19.417</t>
  </si>
  <si>
    <t xml:space="preserve">CRCCCT40            </t>
  </si>
  <si>
    <t xml:space="preserve">CRCCCT20            </t>
  </si>
  <si>
    <t xml:space="preserve">CJBCTL40            </t>
  </si>
  <si>
    <t>2026-03-16 14:14:23.953</t>
  </si>
  <si>
    <t>4538</t>
  </si>
  <si>
    <t xml:space="preserve">CRCCHH10            </t>
  </si>
  <si>
    <t>2026-03-16 14:14:19.667</t>
  </si>
  <si>
    <t xml:space="preserve">CRCCLL10            </t>
  </si>
  <si>
    <t xml:space="preserve">CRCCTR10            </t>
  </si>
  <si>
    <t>2026-03-16 14:14:19.900</t>
  </si>
  <si>
    <t xml:space="preserve">CREASO10            </t>
  </si>
  <si>
    <t>2026-03-16 14:14:19.917</t>
  </si>
  <si>
    <t xml:space="preserve">CREETR40            </t>
  </si>
  <si>
    <t>2026-03-16 14:14:20.170</t>
  </si>
  <si>
    <t xml:space="preserve">CREETR20            </t>
  </si>
  <si>
    <t>2026-03-16 14:14:20.187</t>
  </si>
  <si>
    <t xml:space="preserve">CRFNCN10            </t>
  </si>
  <si>
    <t>2026-03-16 14:14:20.200</t>
  </si>
  <si>
    <t xml:space="preserve">CREETR10            </t>
  </si>
  <si>
    <t xml:space="preserve">CRFNCN20            </t>
  </si>
  <si>
    <t>2026-03-16 14:14:20.217</t>
  </si>
  <si>
    <t xml:space="preserve">CRINPA10            </t>
  </si>
  <si>
    <t>2026-03-16 14:14:20.437</t>
  </si>
  <si>
    <t>2026-03-16 14:14:20.450</t>
  </si>
  <si>
    <t xml:space="preserve">CRINPA20            </t>
  </si>
  <si>
    <t>2026-03-16 14:14:20.467</t>
  </si>
  <si>
    <t xml:space="preserve">CRLOCK10            </t>
  </si>
  <si>
    <t>2026-03-16 14:14:20.700</t>
  </si>
  <si>
    <t xml:space="preserve">CROBJP10            </t>
  </si>
  <si>
    <t>2026-03-16 14:14:20.717</t>
  </si>
  <si>
    <t xml:space="preserve">CRLOCK20            </t>
  </si>
  <si>
    <t>2026-03-16 14:14:21.080</t>
  </si>
  <si>
    <t>364</t>
  </si>
  <si>
    <t xml:space="preserve">CROCAP10            </t>
  </si>
  <si>
    <t>2026-03-16 14:14:20.950</t>
  </si>
  <si>
    <t xml:space="preserve">CROEMP10            </t>
  </si>
  <si>
    <t>2026-03-16 14:14:21.190</t>
  </si>
  <si>
    <t xml:space="preserve">CROEMP20            </t>
  </si>
  <si>
    <t>2026-03-16 14:14:21.207</t>
  </si>
  <si>
    <t xml:space="preserve">CRPTNB10            </t>
  </si>
  <si>
    <t>2026-03-16 14:14:21.317</t>
  </si>
  <si>
    <t xml:space="preserve">CRRCRC10            </t>
  </si>
  <si>
    <t>2026-03-16 14:14:21.440</t>
  </si>
  <si>
    <t xml:space="preserve">CRSSUB20            </t>
  </si>
  <si>
    <t>2026-03-16 14:14:21.550</t>
  </si>
  <si>
    <t>2026-03-16 14:14:21.567</t>
  </si>
  <si>
    <t xml:space="preserve">CRSSUB10            </t>
  </si>
  <si>
    <t>2026-03-16 14:14:21.580</t>
  </si>
  <si>
    <t xml:space="preserve">CRSSUB90            </t>
  </si>
  <si>
    <t>2026-03-16 14:14:21.597</t>
  </si>
  <si>
    <t xml:space="preserve">CRSYNO10            </t>
  </si>
  <si>
    <t>2026-03-16 14:14:21.673</t>
  </si>
  <si>
    <t xml:space="preserve">CSAPRO91            </t>
  </si>
  <si>
    <t>2026-03-16 14:14:21.830</t>
  </si>
  <si>
    <t xml:space="preserve">CSAPRO70            </t>
  </si>
  <si>
    <t>2026-03-16 14:14:21.847</t>
  </si>
  <si>
    <t xml:space="preserve">CSAPRO60            </t>
  </si>
  <si>
    <t>2026-03-16 14:14:21.863</t>
  </si>
  <si>
    <t>2026-03-16 14:14:21.877</t>
  </si>
  <si>
    <t xml:space="preserve">CSAPRO90            </t>
  </si>
  <si>
    <t>2026-03-16 14:14:21.893</t>
  </si>
  <si>
    <t xml:space="preserve">CSAPRO50            </t>
  </si>
  <si>
    <t>2026-03-16 14:14:21.910</t>
  </si>
  <si>
    <t xml:space="preserve">CSAPRO10            </t>
  </si>
  <si>
    <t>2026-03-16 14:14:21.923</t>
  </si>
  <si>
    <t xml:space="preserve">CSCCND30            </t>
  </si>
  <si>
    <t xml:space="preserve">CSAPRO40            </t>
  </si>
  <si>
    <t>2026-03-16 14:14:21.940</t>
  </si>
  <si>
    <t xml:space="preserve">CSAPRO20            </t>
  </si>
  <si>
    <t>2026-03-16 14:14:21.957</t>
  </si>
  <si>
    <t xml:space="preserve">CSAPRO43            </t>
  </si>
  <si>
    <t>2026-03-16 14:14:21.970</t>
  </si>
  <si>
    <t xml:space="preserve">CSAPRO80            </t>
  </si>
  <si>
    <t>2026-03-16 14:14:21.987</t>
  </si>
  <si>
    <t>2026-03-16 14:14:22.003</t>
  </si>
  <si>
    <t xml:space="preserve">CSAPRO30            </t>
  </si>
  <si>
    <t>2026-03-16 14:14:22.017</t>
  </si>
  <si>
    <t xml:space="preserve">CSAPRO41            </t>
  </si>
  <si>
    <t>2026-03-16 14:14:22.033</t>
  </si>
  <si>
    <t xml:space="preserve">CSAPRO42            </t>
  </si>
  <si>
    <t>2026-03-16 14:14:22.050</t>
  </si>
  <si>
    <t xml:space="preserve">CSDTID10            </t>
  </si>
  <si>
    <t>2026-03-16 14:14:22.143</t>
  </si>
  <si>
    <t xml:space="preserve">CSEAMA10            </t>
  </si>
  <si>
    <t>2026-03-16 14:14:22.300</t>
  </si>
  <si>
    <t xml:space="preserve">CSEFFG10            </t>
  </si>
  <si>
    <t>2026-03-16 14:14:22.377</t>
  </si>
  <si>
    <t xml:space="preserve">CSEFPU40            </t>
  </si>
  <si>
    <t>2026-03-16 14:14:22.533</t>
  </si>
  <si>
    <t>2026-03-16 14:14:23.487</t>
  </si>
  <si>
    <t>953</t>
  </si>
  <si>
    <t xml:space="preserve">CSEFPX01            </t>
  </si>
  <si>
    <t>2026-03-16 14:14:22.627</t>
  </si>
  <si>
    <t>2026-03-16 14:14:22.643</t>
  </si>
  <si>
    <t xml:space="preserve">CSEFPX30            </t>
  </si>
  <si>
    <t>2026-03-16 14:14:22.660</t>
  </si>
  <si>
    <t xml:space="preserve">CSEFPX90            </t>
  </si>
  <si>
    <t>2026-03-16 14:14:22.673</t>
  </si>
  <si>
    <t xml:space="preserve">CSEFPX10            </t>
  </si>
  <si>
    <t>2026-03-16 14:14:22.690</t>
  </si>
  <si>
    <t>2026-03-16 14:14:22.707</t>
  </si>
  <si>
    <t xml:space="preserve">CSESEC01            </t>
  </si>
  <si>
    <t>2026-03-16 14:14:22.940</t>
  </si>
  <si>
    <t>2026-03-16 14:14:22.970</t>
  </si>
  <si>
    <t xml:space="preserve">CSESEC02            </t>
  </si>
  <si>
    <t>2026-03-16 14:14:22.987</t>
  </si>
  <si>
    <t>2026-03-16 14:14:23.017</t>
  </si>
  <si>
    <t xml:space="preserve">CSESEC03            </t>
  </si>
  <si>
    <t>2026-03-16 14:14:23.033</t>
  </si>
  <si>
    <t xml:space="preserve">CSESFG20            </t>
  </si>
  <si>
    <t>2026-03-16 14:14:23.267</t>
  </si>
  <si>
    <t>2026-03-16 14:14:23.300</t>
  </si>
  <si>
    <t xml:space="preserve">CSESFG10            </t>
  </si>
  <si>
    <t>2026-03-16 14:14:23.317</t>
  </si>
  <si>
    <t xml:space="preserve">CSEFPU80            </t>
  </si>
  <si>
    <t>2026-03-16 14:14:23.503</t>
  </si>
  <si>
    <t>2026-03-16 14:14:24.377</t>
  </si>
  <si>
    <t>873</t>
  </si>
  <si>
    <t xml:space="preserve">CSESTR10            </t>
  </si>
  <si>
    <t>2026-03-16 14:14:23.547</t>
  </si>
  <si>
    <t>2026-03-16 14:14:23.580</t>
  </si>
  <si>
    <t xml:space="preserve">CSESTR20            </t>
  </si>
  <si>
    <t>2026-03-16 14:14:23.597</t>
  </si>
  <si>
    <t>2026-03-16 14:14:23.610</t>
  </si>
  <si>
    <t xml:space="preserve">CSFDEF10            </t>
  </si>
  <si>
    <t>2026-03-16 14:14:23.847</t>
  </si>
  <si>
    <t>2026-03-16 14:14:23.877</t>
  </si>
  <si>
    <t xml:space="preserve">CSFDEF20            </t>
  </si>
  <si>
    <t>2026-03-16 14:14:23.893</t>
  </si>
  <si>
    <t>2026-03-16 14:14:23.907</t>
  </si>
  <si>
    <t xml:space="preserve">CJBCTL41            </t>
  </si>
  <si>
    <t>2026-03-16 14:14:23.970</t>
  </si>
  <si>
    <t>2026-03-16 14:14:28.327</t>
  </si>
  <si>
    <t>4358</t>
  </si>
  <si>
    <t xml:space="preserve">CSHCAT10            </t>
  </si>
  <si>
    <t>2026-03-16 14:14:24.143</t>
  </si>
  <si>
    <t xml:space="preserve">CSHCLD10            </t>
  </si>
  <si>
    <t xml:space="preserve">CSEFPU81            </t>
  </si>
  <si>
    <t>2026-03-16 14:14:24.393</t>
  </si>
  <si>
    <t>2026-03-16 14:14:25.243</t>
  </si>
  <si>
    <t>850</t>
  </si>
  <si>
    <t xml:space="preserve">CSHCTL10            </t>
  </si>
  <si>
    <t>2026-03-16 14:14:24.627</t>
  </si>
  <si>
    <t>2026-03-16 14:14:24.643</t>
  </si>
  <si>
    <t xml:space="preserve">CSHCTL20            </t>
  </si>
  <si>
    <t>2026-03-16 14:14:24.657</t>
  </si>
  <si>
    <t>2026-03-16 14:14:24.673</t>
  </si>
  <si>
    <t xml:space="preserve">CSHFLD10            </t>
  </si>
  <si>
    <t>2026-03-16 14:14:24.907</t>
  </si>
  <si>
    <t>2026-03-16 14:14:24.923</t>
  </si>
  <si>
    <t xml:space="preserve">CSHFNC20            </t>
  </si>
  <si>
    <t>2026-03-16 14:14:25.157</t>
  </si>
  <si>
    <t>2026-03-16 14:14:25.190</t>
  </si>
  <si>
    <t xml:space="preserve">CSHFNC30            </t>
  </si>
  <si>
    <t>2026-03-16 14:14:25.203</t>
  </si>
  <si>
    <t>2026-03-16 14:14:25.210</t>
  </si>
  <si>
    <t>6</t>
  </si>
  <si>
    <t xml:space="preserve">CSHFNC40            </t>
  </si>
  <si>
    <t>2026-03-16 14:14:25.227</t>
  </si>
  <si>
    <t xml:space="preserve">CSHFNC10            </t>
  </si>
  <si>
    <t xml:space="preserve">CSEFPU10            </t>
  </si>
  <si>
    <t>2026-03-16 14:14:25.257</t>
  </si>
  <si>
    <t>2026-03-16 14:14:25.950</t>
  </si>
  <si>
    <t>691</t>
  </si>
  <si>
    <t xml:space="preserve">CSHHED10            </t>
  </si>
  <si>
    <t>2026-03-16 14:14:25.490</t>
  </si>
  <si>
    <t>2026-03-16 14:14:25.507</t>
  </si>
  <si>
    <t xml:space="preserve">CSHHED30            </t>
  </si>
  <si>
    <t>2026-03-16 14:14:25.523</t>
  </si>
  <si>
    <t xml:space="preserve">CSHHED50            </t>
  </si>
  <si>
    <t>2026-03-16 14:14:25.537</t>
  </si>
  <si>
    <t xml:space="preserve">CSHHED40            </t>
  </si>
  <si>
    <t>2026-03-16 14:14:25.553</t>
  </si>
  <si>
    <t>2026-03-16 14:14:25.570</t>
  </si>
  <si>
    <t xml:space="preserve">CSHHED20            </t>
  </si>
  <si>
    <t>2026-03-16 14:14:25.587</t>
  </si>
  <si>
    <t>2026-03-16 14:14:25.590</t>
  </si>
  <si>
    <t xml:space="preserve">CSIAAG10            </t>
  </si>
  <si>
    <t>2026-03-16 14:14:25.823</t>
  </si>
  <si>
    <t xml:space="preserve">CSIAAG20            </t>
  </si>
  <si>
    <t>2026-03-16 14:14:25.870</t>
  </si>
  <si>
    <t xml:space="preserve">CSEFPU20            </t>
  </si>
  <si>
    <t>2026-03-16 14:14:25.967</t>
  </si>
  <si>
    <t>2026-03-16 14:14:26.747</t>
  </si>
  <si>
    <t>781</t>
  </si>
  <si>
    <t xml:space="preserve">CSIACA10            </t>
  </si>
  <si>
    <t>2026-03-16 14:14:26.107</t>
  </si>
  <si>
    <t xml:space="preserve">CSIACA20            </t>
  </si>
  <si>
    <t>2026-03-16 14:14:26.120</t>
  </si>
  <si>
    <t xml:space="preserve">CSIACO10            </t>
  </si>
  <si>
    <t>2026-03-16 14:14:26.357</t>
  </si>
  <si>
    <t xml:space="preserve">CSIACO20            </t>
  </si>
  <si>
    <t>2026-03-16 14:14:26.370</t>
  </si>
  <si>
    <t xml:space="preserve">CSIAFG10            </t>
  </si>
  <si>
    <t>2026-03-16 14:14:26.607</t>
  </si>
  <si>
    <t>2026-03-16 14:14:26.637</t>
  </si>
  <si>
    <t xml:space="preserve">CSIAFP10            </t>
  </si>
  <si>
    <t>2026-03-16 14:14:26.870</t>
  </si>
  <si>
    <t xml:space="preserve">CSIAFP20            </t>
  </si>
  <si>
    <t>2026-03-16 14:14:26.903</t>
  </si>
  <si>
    <t xml:space="preserve">CSIAFP30            </t>
  </si>
  <si>
    <t>2026-03-16 14:14:26.917</t>
  </si>
  <si>
    <t xml:space="preserve">CSIAFR10            </t>
  </si>
  <si>
    <t>2026-03-16 14:14:26.980</t>
  </si>
  <si>
    <t xml:space="preserve">CSIAFR20            </t>
  </si>
  <si>
    <t>2026-03-16 14:14:26.997</t>
  </si>
  <si>
    <t xml:space="preserve">CSIAGA10            </t>
  </si>
  <si>
    <t>2026-03-16 14:14:27.153</t>
  </si>
  <si>
    <t xml:space="preserve">CSIAGA20            </t>
  </si>
  <si>
    <t>2026-03-16 14:14:27.167</t>
  </si>
  <si>
    <t>2026-03-16 14:14:27.183</t>
  </si>
  <si>
    <t xml:space="preserve">CSIAGR10            </t>
  </si>
  <si>
    <t>2026-03-16 14:14:27.230</t>
  </si>
  <si>
    <t xml:space="preserve">CSIAGR20            </t>
  </si>
  <si>
    <t>2026-03-16 14:14:27.247</t>
  </si>
  <si>
    <t xml:space="preserve">CSIAGR30            </t>
  </si>
  <si>
    <t>2026-03-16 14:14:27.263</t>
  </si>
  <si>
    <t xml:space="preserve">CSIARF10            </t>
  </si>
  <si>
    <t>2026-03-16 14:14:27.417</t>
  </si>
  <si>
    <t xml:space="preserve">CSIARF20            </t>
  </si>
  <si>
    <t>2026-03-16 14:14:27.433</t>
  </si>
  <si>
    <t>2026-03-16 14:14:27.450</t>
  </si>
  <si>
    <t xml:space="preserve">CSIARG10            </t>
  </si>
  <si>
    <t>2026-03-16 14:14:27.513</t>
  </si>
  <si>
    <t xml:space="preserve">CSIARG20            </t>
  </si>
  <si>
    <t>2026-03-16 14:14:27.527</t>
  </si>
  <si>
    <t xml:space="preserve">CSIARG30            </t>
  </si>
  <si>
    <t>2026-03-16 14:14:27.543</t>
  </si>
  <si>
    <t xml:space="preserve">CSIARP10            </t>
  </si>
  <si>
    <t>2026-03-16 14:14:27.687</t>
  </si>
  <si>
    <t xml:space="preserve">CSIARP20            </t>
  </si>
  <si>
    <t>2026-03-16 14:14:27.703</t>
  </si>
  <si>
    <t xml:space="preserve">CSIARP30            </t>
  </si>
  <si>
    <t>2026-03-16 14:14:27.717</t>
  </si>
  <si>
    <t xml:space="preserve">CSINLO40            </t>
  </si>
  <si>
    <t>2026-03-16 14:14:27.780</t>
  </si>
  <si>
    <t xml:space="preserve">CSINLO30            </t>
  </si>
  <si>
    <t>2026-03-16 14:14:27.797</t>
  </si>
  <si>
    <t xml:space="preserve">CSINLO50            </t>
  </si>
  <si>
    <t>2026-03-16 14:14:27.813</t>
  </si>
  <si>
    <t xml:space="preserve">CSINLO20            </t>
  </si>
  <si>
    <t>2026-03-16 14:14:27.827</t>
  </si>
  <si>
    <t xml:space="preserve">CSINLO10            </t>
  </si>
  <si>
    <t>2026-03-16 14:14:27.843</t>
  </si>
  <si>
    <t xml:space="preserve">CSLGHN10            </t>
  </si>
  <si>
    <t>2026-03-16 14:14:27.967</t>
  </si>
  <si>
    <t xml:space="preserve">CSMTRH10            </t>
  </si>
  <si>
    <t>2026-03-16 14:14:28.077</t>
  </si>
  <si>
    <t xml:space="preserve">CSMTRH20            </t>
  </si>
  <si>
    <t>2026-03-16 14:14:28.093</t>
  </si>
  <si>
    <t xml:space="preserve">CSMTRL10            </t>
  </si>
  <si>
    <t>2026-03-16 14:14:28.203</t>
  </si>
  <si>
    <t xml:space="preserve">CSMTRL20            </t>
  </si>
  <si>
    <t>2026-03-16 14:14:28.217</t>
  </si>
  <si>
    <t xml:space="preserve">CSMTRL30            </t>
  </si>
  <si>
    <t>2026-03-16 14:14:28.233</t>
  </si>
  <si>
    <t xml:space="preserve">CSRENP20            </t>
  </si>
  <si>
    <t xml:space="preserve">CJBCTL70            </t>
  </si>
  <si>
    <t>2026-03-16 14:14:28.343</t>
  </si>
  <si>
    <t>2026-03-16 14:14:34.703</t>
  </si>
  <si>
    <t>6359</t>
  </si>
  <si>
    <t xml:space="preserve">CSRENP10            </t>
  </si>
  <si>
    <t xml:space="preserve">CSRENR20            </t>
  </si>
  <si>
    <t>2026-03-16 14:14:28.467</t>
  </si>
  <si>
    <t xml:space="preserve">CSRENR10            </t>
  </si>
  <si>
    <t>2026-03-16 14:14:28.483</t>
  </si>
  <si>
    <t xml:space="preserve">CSSEII30            </t>
  </si>
  <si>
    <t>2026-03-16 14:14:28.577</t>
  </si>
  <si>
    <t xml:space="preserve">CSSEII10            </t>
  </si>
  <si>
    <t>2026-03-16 14:14:28.593</t>
  </si>
  <si>
    <t>2026-03-16 14:14:28.610</t>
  </si>
  <si>
    <t xml:space="preserve">CSSEII20            </t>
  </si>
  <si>
    <t>2026-03-16 14:14:28.623</t>
  </si>
  <si>
    <t xml:space="preserve">CSSEIN10            </t>
  </si>
  <si>
    <t>2026-03-16 14:14:28.717</t>
  </si>
  <si>
    <t xml:space="preserve">CSSEIN20            </t>
  </si>
  <si>
    <t>2026-03-16 14:14:28.733</t>
  </si>
  <si>
    <t xml:space="preserve">CSSEIN30            </t>
  </si>
  <si>
    <t>2026-03-16 14:14:28.750</t>
  </si>
  <si>
    <t>2026-03-16 14:14:28.780</t>
  </si>
  <si>
    <t xml:space="preserve">CSSPIP10            </t>
  </si>
  <si>
    <t>2026-03-16 14:14:28.860</t>
  </si>
  <si>
    <t xml:space="preserve">CSSPIR10            </t>
  </si>
  <si>
    <t>2026-03-16 14:14:29.017</t>
  </si>
  <si>
    <t>2026-03-16 14:14:29.030</t>
  </si>
  <si>
    <t xml:space="preserve">CSSPIR20            </t>
  </si>
  <si>
    <t>2026-03-16 14:14:29.047</t>
  </si>
  <si>
    <t>2026-03-16 14:14:29.077</t>
  </si>
  <si>
    <t xml:space="preserve">CSSPIS20            </t>
  </si>
  <si>
    <t>2026-03-16 14:14:29.093</t>
  </si>
  <si>
    <t xml:space="preserve">CSSPIS10            </t>
  </si>
  <si>
    <t>2026-03-16 14:14:29.110</t>
  </si>
  <si>
    <t xml:space="preserve">CSSPUL10            </t>
  </si>
  <si>
    <t>2026-03-16 14:14:29.313</t>
  </si>
  <si>
    <t xml:space="preserve">CSSPUO10            </t>
  </si>
  <si>
    <t>2026-03-16 14:14:29.343</t>
  </si>
  <si>
    <t>2026-03-16 14:14:29.360</t>
  </si>
  <si>
    <t xml:space="preserve">CSSPUS10            </t>
  </si>
  <si>
    <t>2026-03-16 14:14:29.547</t>
  </si>
  <si>
    <t>2026-03-16 14:14:29.563</t>
  </si>
  <si>
    <t xml:space="preserve">CSYCAL10            </t>
  </si>
  <si>
    <t>2026-03-16 14:14:29.610</t>
  </si>
  <si>
    <t>2026-03-16 14:15:18.153</t>
  </si>
  <si>
    <t>48545</t>
  </si>
  <si>
    <t xml:space="preserve">CSYCAL20            </t>
  </si>
  <si>
    <t xml:space="preserve">CSYCAL30            </t>
  </si>
  <si>
    <t xml:space="preserve">CSYCAL40            </t>
  </si>
  <si>
    <t>2026-03-16 14:15:15.543</t>
  </si>
  <si>
    <t>45935</t>
  </si>
  <si>
    <t xml:space="preserve">CSYCDJ30            </t>
  </si>
  <si>
    <t>2026-03-16 14:14:29.797</t>
  </si>
  <si>
    <t xml:space="preserve">CSYCDJ10            </t>
  </si>
  <si>
    <t>2026-03-16 14:14:29.813</t>
  </si>
  <si>
    <t xml:space="preserve">CSYCDJ20            </t>
  </si>
  <si>
    <t>2026-03-16 14:14:29.827</t>
  </si>
  <si>
    <t xml:space="preserve">CSYDHI10            </t>
  </si>
  <si>
    <t>2026-03-16 14:14:30.060</t>
  </si>
  <si>
    <t xml:space="preserve">CSYDMP10            </t>
  </si>
  <si>
    <t>2026-03-16 14:14:30.310</t>
  </si>
  <si>
    <t xml:space="preserve">CSYDOC10            </t>
  </si>
  <si>
    <t>2026-03-16 14:14:30.547</t>
  </si>
  <si>
    <t>2026-03-16 14:14:30.563</t>
  </si>
  <si>
    <t xml:space="preserve">CSYDOF10            </t>
  </si>
  <si>
    <t>2026-03-16 14:14:30.797</t>
  </si>
  <si>
    <t xml:space="preserve">CSYDOH10            </t>
  </si>
  <si>
    <t>2026-03-16 14:14:31.030</t>
  </si>
  <si>
    <t xml:space="preserve">CSYDOH20            </t>
  </si>
  <si>
    <t>2026-03-16 14:14:31.047</t>
  </si>
  <si>
    <t xml:space="preserve">CSYDOL10            </t>
  </si>
  <si>
    <t>2026-03-16 14:14:31.280</t>
  </si>
  <si>
    <t xml:space="preserve">CSYDPM20            </t>
  </si>
  <si>
    <t>2026-03-16 14:14:31.517</t>
  </si>
  <si>
    <t>2026-03-16 14:14:31.610</t>
  </si>
  <si>
    <t xml:space="preserve">CSYDPM10            </t>
  </si>
  <si>
    <t>2026-03-16 14:14:31.627</t>
  </si>
  <si>
    <t>2026-03-16 14:14:31.703</t>
  </si>
  <si>
    <t>78</t>
  </si>
  <si>
    <t xml:space="preserve">CSYECT70            </t>
  </si>
  <si>
    <t>2026-03-16 14:14:31.937</t>
  </si>
  <si>
    <t xml:space="preserve">CSYECT51            </t>
  </si>
  <si>
    <t>2026-03-16 14:14:31.953</t>
  </si>
  <si>
    <t xml:space="preserve">CSYECT54            </t>
  </si>
  <si>
    <t>2026-03-16 14:14:31.973</t>
  </si>
  <si>
    <t xml:space="preserve">CSYECT80            </t>
  </si>
  <si>
    <t>2026-03-16 14:14:31.990</t>
  </si>
  <si>
    <t xml:space="preserve">CSYECT60            </t>
  </si>
  <si>
    <t>2026-03-16 14:14:32.007</t>
  </si>
  <si>
    <t xml:space="preserve">CSYECT90            </t>
  </si>
  <si>
    <t>2026-03-16 14:14:32.020</t>
  </si>
  <si>
    <t xml:space="preserve">CSYECT91            </t>
  </si>
  <si>
    <t>2026-03-16 14:14:32.037</t>
  </si>
  <si>
    <t xml:space="preserve">CSYECT20            </t>
  </si>
  <si>
    <t>2026-03-16 14:14:32.053</t>
  </si>
  <si>
    <t xml:space="preserve">CSYECT40            </t>
  </si>
  <si>
    <t>2026-03-16 14:14:32.067</t>
  </si>
  <si>
    <t xml:space="preserve">CSYECTX1#MPL        </t>
  </si>
  <si>
    <t>2026-03-16 14:14:32.083</t>
  </si>
  <si>
    <t xml:space="preserve">CSYECT10            </t>
  </si>
  <si>
    <t>2026-03-16 14:14:32.100</t>
  </si>
  <si>
    <t xml:space="preserve">CSYECT92            </t>
  </si>
  <si>
    <t>2026-03-16 14:14:32.117</t>
  </si>
  <si>
    <t xml:space="preserve">CSYECT93            </t>
  </si>
  <si>
    <t>2026-03-16 14:14:32.130</t>
  </si>
  <si>
    <t>2026-03-16 14:14:32.147</t>
  </si>
  <si>
    <t xml:space="preserve">CSYECT30            </t>
  </si>
  <si>
    <t>2026-03-16 14:14:32.163</t>
  </si>
  <si>
    <t xml:space="preserve">CSYEFR10            </t>
  </si>
  <si>
    <t>2026-03-16 14:14:32.397</t>
  </si>
  <si>
    <t xml:space="preserve">CSYEFR30            </t>
  </si>
  <si>
    <t>2026-03-16 14:14:32.413</t>
  </si>
  <si>
    <t xml:space="preserve">CSYEFR40            </t>
  </si>
  <si>
    <t>2026-03-16 14:14:32.427</t>
  </si>
  <si>
    <t>2026-03-16 14:14:32.443</t>
  </si>
  <si>
    <t xml:space="preserve">CSYEPR10            </t>
  </si>
  <si>
    <t>2026-03-16 14:14:32.677</t>
  </si>
  <si>
    <t xml:space="preserve">CSYEVF10            </t>
  </si>
  <si>
    <t>2026-03-16 14:14:32.913</t>
  </si>
  <si>
    <t xml:space="preserve">CSYEVS01            </t>
  </si>
  <si>
    <t>2026-03-16 14:14:33.147</t>
  </si>
  <si>
    <t xml:space="preserve">CSYEVS10            </t>
  </si>
  <si>
    <t>2026-03-16 14:14:33.163</t>
  </si>
  <si>
    <t xml:space="preserve">CSYEVS20            </t>
  </si>
  <si>
    <t>2026-03-16 14:14:33.177</t>
  </si>
  <si>
    <t xml:space="preserve">CSYFAD10            </t>
  </si>
  <si>
    <t>2026-03-16 14:14:33.427</t>
  </si>
  <si>
    <t xml:space="preserve">CSYFEX10            </t>
  </si>
  <si>
    <t>2026-03-16 14:14:33.663</t>
  </si>
  <si>
    <t xml:space="preserve">CSYFFR10            </t>
  </si>
  <si>
    <t>2026-03-16 14:14:33.897</t>
  </si>
  <si>
    <t xml:space="preserve">CSYFFR20            </t>
  </si>
  <si>
    <t>2026-03-16 14:14:33.913</t>
  </si>
  <si>
    <t xml:space="preserve">CSYFID30            </t>
  </si>
  <si>
    <t>2026-03-16 14:14:34.147</t>
  </si>
  <si>
    <t xml:space="preserve">CSYFID20            </t>
  </si>
  <si>
    <t>2026-03-16 14:14:34.163</t>
  </si>
  <si>
    <t xml:space="preserve">CSYFID10            </t>
  </si>
  <si>
    <t>2026-03-16 14:14:34.177</t>
  </si>
  <si>
    <t xml:space="preserve">CSYFLN10            </t>
  </si>
  <si>
    <t>2026-03-16 14:14:34.407</t>
  </si>
  <si>
    <t xml:space="preserve">CSYFOB10            </t>
  </si>
  <si>
    <t>2026-03-16 14:14:34.657</t>
  </si>
  <si>
    <t>2026-03-16 14:14:34.687</t>
  </si>
  <si>
    <t xml:space="preserve">CJBCTL00            </t>
  </si>
  <si>
    <t>2026-03-16 14:14:34.717</t>
  </si>
  <si>
    <t>2026-03-16 14:14:38.590</t>
  </si>
  <si>
    <t>3872</t>
  </si>
  <si>
    <t xml:space="preserve">CSYFOC10            </t>
  </si>
  <si>
    <t>2026-03-16 14:14:34.920</t>
  </si>
  <si>
    <t xml:space="preserve">CSYFTH10            </t>
  </si>
  <si>
    <t>2026-03-16 14:14:35.157</t>
  </si>
  <si>
    <t>2026-03-16 14:14:35.187</t>
  </si>
  <si>
    <t xml:space="preserve">CSYFTL30            </t>
  </si>
  <si>
    <t>2026-03-16 14:14:35.427</t>
  </si>
  <si>
    <t xml:space="preserve">CSYFTL60            </t>
  </si>
  <si>
    <t>2026-03-16 14:14:35.443</t>
  </si>
  <si>
    <t xml:space="preserve">CSYFTL40            </t>
  </si>
  <si>
    <t>2026-03-16 14:14:35.460</t>
  </si>
  <si>
    <t xml:space="preserve">CSYFTL50            </t>
  </si>
  <si>
    <t>2026-03-16 14:14:35.480</t>
  </si>
  <si>
    <t xml:space="preserve">CSYFTL20            </t>
  </si>
  <si>
    <t>2026-03-16 14:14:35.497</t>
  </si>
  <si>
    <t>2026-03-16 14:14:35.513</t>
  </si>
  <si>
    <t xml:space="preserve">CSYFTL10            </t>
  </si>
  <si>
    <t>2026-03-16 14:14:35.527</t>
  </si>
  <si>
    <t xml:space="preserve">CSYFUG10            </t>
  </si>
  <si>
    <t>2026-03-16 14:14:35.753</t>
  </si>
  <si>
    <t xml:space="preserve">CSYGTX10            </t>
  </si>
  <si>
    <t>2026-03-16 14:14:35.987</t>
  </si>
  <si>
    <t>2026-03-16 14:14:36.020</t>
  </si>
  <si>
    <t xml:space="preserve">CSYHBM10            </t>
  </si>
  <si>
    <t>2026-03-16 14:14:36.253</t>
  </si>
  <si>
    <t>2026-03-16 14:14:36.270</t>
  </si>
  <si>
    <t xml:space="preserve">CSYIBA10            </t>
  </si>
  <si>
    <t>2026-03-16 14:14:36.503</t>
  </si>
  <si>
    <t xml:space="preserve">CSYIBA20            </t>
  </si>
  <si>
    <t>2026-03-16 14:14:36.520</t>
  </si>
  <si>
    <t xml:space="preserve">CSYIBA30            </t>
  </si>
  <si>
    <t>2026-03-16 14:14:36.537</t>
  </si>
  <si>
    <t xml:space="preserve">CSYIBC70            </t>
  </si>
  <si>
    <t>2026-03-16 14:14:36.777</t>
  </si>
  <si>
    <t>2026-03-16 14:14:36.810</t>
  </si>
  <si>
    <t xml:space="preserve">CSYIBC40            </t>
  </si>
  <si>
    <t>2026-03-16 14:14:36.823</t>
  </si>
  <si>
    <t>2026-03-16 14:14:36.840</t>
  </si>
  <si>
    <t xml:space="preserve">CSYIBC20            </t>
  </si>
  <si>
    <t>2026-03-16 14:14:36.857</t>
  </si>
  <si>
    <t>2026-03-16 14:14:36.887</t>
  </si>
  <si>
    <t xml:space="preserve">CSYIBC30            </t>
  </si>
  <si>
    <t>2026-03-16 14:14:36.903</t>
  </si>
  <si>
    <t xml:space="preserve">CSYIBC60            </t>
  </si>
  <si>
    <t>2026-03-16 14:14:36.917</t>
  </si>
  <si>
    <t>2026-03-16 14:14:36.933</t>
  </si>
  <si>
    <t xml:space="preserve">CSYIBC10            </t>
  </si>
  <si>
    <t>2026-03-16 14:14:36.950</t>
  </si>
  <si>
    <t>2026-03-16 14:14:36.967</t>
  </si>
  <si>
    <t xml:space="preserve">CSYIBC50            </t>
  </si>
  <si>
    <t>2026-03-16 14:14:36.980</t>
  </si>
  <si>
    <t>2026-03-16 14:14:36.997</t>
  </si>
  <si>
    <t xml:space="preserve">CSYIBR10            </t>
  </si>
  <si>
    <t>2026-03-16 14:14:37.230</t>
  </si>
  <si>
    <t>2026-03-16 14:14:37.263</t>
  </si>
  <si>
    <t xml:space="preserve">CSYIBR30            </t>
  </si>
  <si>
    <t>2026-03-16 14:14:37.277</t>
  </si>
  <si>
    <t>2026-03-16 14:14:37.293</t>
  </si>
  <si>
    <t xml:space="preserve">CSYIBR20            </t>
  </si>
  <si>
    <t>2026-03-16 14:14:37.310</t>
  </si>
  <si>
    <t xml:space="preserve">CSYIBV10            </t>
  </si>
  <si>
    <t>2026-03-16 14:14:37.543</t>
  </si>
  <si>
    <t xml:space="preserve">CSYIEM11            </t>
  </si>
  <si>
    <t>2026-03-16 14:14:37.777</t>
  </si>
  <si>
    <t>2026-03-16 14:14:37.793</t>
  </si>
  <si>
    <t xml:space="preserve">CSYIEM10            </t>
  </si>
  <si>
    <t>2026-03-16 14:14:37.810</t>
  </si>
  <si>
    <t xml:space="preserve">CSYIMS10            </t>
  </si>
  <si>
    <t>2026-03-16 14:14:38.043</t>
  </si>
  <si>
    <t xml:space="preserve">CSYKEY10            </t>
  </si>
  <si>
    <t>2026-03-16 14:14:38.277</t>
  </si>
  <si>
    <t>2026-03-16 14:14:38.810</t>
  </si>
  <si>
    <t>532</t>
  </si>
  <si>
    <t xml:space="preserve">CJBCTL01            </t>
  </si>
  <si>
    <t>2026-03-16 14:14:38.607</t>
  </si>
  <si>
    <t>2026-03-16 14:14:42.463</t>
  </si>
  <si>
    <t>3858</t>
  </si>
  <si>
    <t xml:space="preserve">CSYKEY40            </t>
  </si>
  <si>
    <t>2026-03-16 14:14:38.823</t>
  </si>
  <si>
    <t>2026-03-16 14:14:39.230</t>
  </si>
  <si>
    <t>406</t>
  </si>
  <si>
    <t xml:space="preserve">CSYKEY20            </t>
  </si>
  <si>
    <t>2026-03-16 14:14:39.247</t>
  </si>
  <si>
    <t>2026-03-16 14:14:39.510</t>
  </si>
  <si>
    <t>265</t>
  </si>
  <si>
    <t xml:space="preserve">CSYKEY30            </t>
  </si>
  <si>
    <t>2026-03-16 14:14:39.840</t>
  </si>
  <si>
    <t xml:space="preserve">CSYLOG20            </t>
  </si>
  <si>
    <t>2026-03-16 14:14:40.077</t>
  </si>
  <si>
    <t xml:space="preserve">CSYLOG10            </t>
  </si>
  <si>
    <t>2026-03-16 14:14:40.093</t>
  </si>
  <si>
    <t xml:space="preserve">CSYLOG30            </t>
  </si>
  <si>
    <t>2026-03-16 14:14:40.107</t>
  </si>
  <si>
    <t xml:space="preserve">CSYMIG20            </t>
  </si>
  <si>
    <t>2026-03-16 14:14:40.343</t>
  </si>
  <si>
    <t xml:space="preserve">CSYMIG10            </t>
  </si>
  <si>
    <t>2026-03-16 14:14:40.357</t>
  </si>
  <si>
    <t xml:space="preserve">CSYMIG30            </t>
  </si>
  <si>
    <t>2026-03-16 14:14:40.373</t>
  </si>
  <si>
    <t xml:space="preserve">CSYNBF10            </t>
  </si>
  <si>
    <t>2026-03-16 14:14:40.600</t>
  </si>
  <si>
    <t>2026-03-16 14:14:40.617</t>
  </si>
  <si>
    <t xml:space="preserve">CSYNBI10            </t>
  </si>
  <si>
    <t>2026-03-16 14:14:40.850</t>
  </si>
  <si>
    <t>2026-03-16 14:14:40.900</t>
  </si>
  <si>
    <t>50</t>
  </si>
  <si>
    <t xml:space="preserve">CSYNBJ10            </t>
  </si>
  <si>
    <t>2026-03-16 14:14:41.137</t>
  </si>
  <si>
    <t>2026-03-16 14:14:41.183</t>
  </si>
  <si>
    <t xml:space="preserve">CSYNBM10            </t>
  </si>
  <si>
    <t>2026-03-16 14:14:41.417</t>
  </si>
  <si>
    <t>2026-03-16 14:14:41.433</t>
  </si>
  <si>
    <t xml:space="preserve">CSYNBM20            </t>
  </si>
  <si>
    <t>2026-03-16 14:14:41.447</t>
  </si>
  <si>
    <t>2026-03-16 14:14:41.463</t>
  </si>
  <si>
    <t xml:space="preserve">CSYNBR10            </t>
  </si>
  <si>
    <t>2026-03-16 14:14:41.697</t>
  </si>
  <si>
    <t>2026-03-16 14:14:41.777</t>
  </si>
  <si>
    <t xml:space="preserve">CSYNBV10            </t>
  </si>
  <si>
    <t>2026-03-16 14:14:42.010</t>
  </si>
  <si>
    <t>2026-03-16 14:14:42.040</t>
  </si>
  <si>
    <t xml:space="preserve">CSYNUM10            </t>
  </si>
  <si>
    <t>2026-03-16 14:14:42.277</t>
  </si>
  <si>
    <t>2026-03-16 14:14:42.290</t>
  </si>
  <si>
    <t xml:space="preserve">CSYOBT21            </t>
  </si>
  <si>
    <t>2026-03-16 14:14:42.527</t>
  </si>
  <si>
    <t>2026-03-16 14:14:42.540</t>
  </si>
  <si>
    <t xml:space="preserve">CSYOBT22            </t>
  </si>
  <si>
    <t>2026-03-16 14:14:42.557</t>
  </si>
  <si>
    <t xml:space="preserve">CSYOBT23            </t>
  </si>
  <si>
    <t>2026-03-16 14:14:42.573</t>
  </si>
  <si>
    <t xml:space="preserve">CSYOBT20            </t>
  </si>
  <si>
    <t>2026-03-16 14:14:42.587</t>
  </si>
  <si>
    <t xml:space="preserve">CSYOBT11            </t>
  </si>
  <si>
    <t>2026-03-16 14:14:42.603</t>
  </si>
  <si>
    <t>2026-03-16 14:14:42.620</t>
  </si>
  <si>
    <t xml:space="preserve">CSYOBT12            </t>
  </si>
  <si>
    <t>2026-03-16 14:14:42.637</t>
  </si>
  <si>
    <t xml:space="preserve">CSYOBT13            </t>
  </si>
  <si>
    <t>2026-03-16 14:14:42.650</t>
  </si>
  <si>
    <t xml:space="preserve">CSYOBT10            </t>
  </si>
  <si>
    <t>2026-03-16 14:14:42.667</t>
  </si>
  <si>
    <t xml:space="preserve">CSYPAM10            </t>
  </si>
  <si>
    <t>2026-03-16 14:14:42.697</t>
  </si>
  <si>
    <t xml:space="preserve">CSYPAR10            </t>
  </si>
  <si>
    <t>2026-03-16 14:14:42.900</t>
  </si>
  <si>
    <t>2026-03-16 14:14:42.933</t>
  </si>
  <si>
    <t xml:space="preserve">CSYPAR40            </t>
  </si>
  <si>
    <t>2026-03-16 14:14:42.947</t>
  </si>
  <si>
    <t>2026-03-16 14:14:42.980</t>
  </si>
  <si>
    <t xml:space="preserve">CSYPDS10            </t>
  </si>
  <si>
    <t xml:space="preserve">CSYPER10            </t>
  </si>
  <si>
    <t>2026-03-16 14:14:43.183</t>
  </si>
  <si>
    <t>2026-03-16 14:14:45.547</t>
  </si>
  <si>
    <t>2365</t>
  </si>
  <si>
    <t xml:space="preserve">CSYPRF10            </t>
  </si>
  <si>
    <t>2026-03-16 14:14:43.213</t>
  </si>
  <si>
    <t>2026-03-16 14:14:43.243</t>
  </si>
  <si>
    <t xml:space="preserve">CSYPRT20            </t>
  </si>
  <si>
    <t>2026-03-16 14:14:43.473</t>
  </si>
  <si>
    <t xml:space="preserve">CSYPRT10            </t>
  </si>
  <si>
    <t>2026-03-16 14:14:43.490</t>
  </si>
  <si>
    <t xml:space="preserve">CSYREA10            </t>
  </si>
  <si>
    <t>2026-03-16 14:14:43.723</t>
  </si>
  <si>
    <t xml:space="preserve">CSYREC10            </t>
  </si>
  <si>
    <t>2026-03-16 14:14:43.957</t>
  </si>
  <si>
    <t>2026-03-16 14:14:43.973</t>
  </si>
  <si>
    <t xml:space="preserve">CSYREC20            </t>
  </si>
  <si>
    <t>2026-03-16 14:14:43.990</t>
  </si>
  <si>
    <t xml:space="preserve">CSYRED20            </t>
  </si>
  <si>
    <t>2026-03-16 14:14:44.223</t>
  </si>
  <si>
    <t>2026-03-16 14:14:44.240</t>
  </si>
  <si>
    <t xml:space="preserve">CSYRED10            </t>
  </si>
  <si>
    <t>2026-03-16 14:14:44.253</t>
  </si>
  <si>
    <t xml:space="preserve">CSYREJ40            </t>
  </si>
  <si>
    <t>2026-03-16 14:14:44.490</t>
  </si>
  <si>
    <t xml:space="preserve">CSYREJ30            </t>
  </si>
  <si>
    <t>2026-03-16 14:14:44.503</t>
  </si>
  <si>
    <t>2026-03-16 14:14:44.520</t>
  </si>
  <si>
    <t xml:space="preserve">CSYREJ20            </t>
  </si>
  <si>
    <t>2026-03-16 14:14:44.537</t>
  </si>
  <si>
    <t xml:space="preserve">CSYREJ10            </t>
  </si>
  <si>
    <t>2026-03-16 14:14:44.550</t>
  </si>
  <si>
    <t>2026-03-16 14:14:44.567</t>
  </si>
  <si>
    <t xml:space="preserve">CSYREJ50            </t>
  </si>
  <si>
    <t>2026-03-16 14:14:44.583</t>
  </si>
  <si>
    <t xml:space="preserve">CSYREJ60            </t>
  </si>
  <si>
    <t>2026-03-16 14:14:44.597</t>
  </si>
  <si>
    <t xml:space="preserve">CSYREM10            </t>
  </si>
  <si>
    <t>2026-03-16 14:14:44.833</t>
  </si>
  <si>
    <t>2026-03-16 14:14:44.847</t>
  </si>
  <si>
    <t xml:space="preserve">CSYREP10            </t>
  </si>
  <si>
    <t>2026-03-16 14:14:45.083</t>
  </si>
  <si>
    <t>2026-03-16 14:14:45.097</t>
  </si>
  <si>
    <t xml:space="preserve">CSYREU10            </t>
  </si>
  <si>
    <t>2026-03-16 14:14:45.333</t>
  </si>
  <si>
    <t>2026-03-16 14:14:45.347</t>
  </si>
  <si>
    <t xml:space="preserve">CSYREV10            </t>
  </si>
  <si>
    <t>2026-03-16 14:14:45.577</t>
  </si>
  <si>
    <t>2026-03-16 14:14:45.593</t>
  </si>
  <si>
    <t xml:space="preserve">CSYREV20            </t>
  </si>
  <si>
    <t>2026-03-16 14:14:45.610</t>
  </si>
  <si>
    <t xml:space="preserve">CSYRLS10            </t>
  </si>
  <si>
    <t>2026-03-16 14:14:45.793</t>
  </si>
  <si>
    <t xml:space="preserve">CSYRLY10            </t>
  </si>
  <si>
    <t>2026-03-16 14:14:45.840</t>
  </si>
  <si>
    <t>2026-03-16 14:14:45.853</t>
  </si>
  <si>
    <t xml:space="preserve">CSYRPB40            </t>
  </si>
  <si>
    <t>2026-03-16 14:14:46.030</t>
  </si>
  <si>
    <t xml:space="preserve">CSYRPB30            </t>
  </si>
  <si>
    <t>2026-03-16 14:14:46.043</t>
  </si>
  <si>
    <t xml:space="preserve">CSYRPB10            </t>
  </si>
  <si>
    <t>2026-03-16 14:14:46.060</t>
  </si>
  <si>
    <t xml:space="preserve">CSYRPB20            </t>
  </si>
  <si>
    <t>2026-03-16 14:14:46.077</t>
  </si>
  <si>
    <t xml:space="preserve">CSYRPC10            </t>
  </si>
  <si>
    <t>2026-03-16 14:14:46.090</t>
  </si>
  <si>
    <t xml:space="preserve">CSYRPH10            </t>
  </si>
  <si>
    <t>2026-03-16 14:14:46.310</t>
  </si>
  <si>
    <t xml:space="preserve">CSYRPL20            </t>
  </si>
  <si>
    <t>2026-03-16 14:14:46.327</t>
  </si>
  <si>
    <t xml:space="preserve">CSYRPL10            </t>
  </si>
  <si>
    <t>2026-03-16 14:14:46.340</t>
  </si>
  <si>
    <t xml:space="preserve">CSYRPT10            </t>
  </si>
  <si>
    <t>2026-03-16 14:14:46.560</t>
  </si>
  <si>
    <t xml:space="preserve">CSYRSE10            </t>
  </si>
  <si>
    <t>2026-03-16 14:14:46.577</t>
  </si>
  <si>
    <t xml:space="preserve">CSYRSE20            </t>
  </si>
  <si>
    <t>2026-03-16 14:14:46.590</t>
  </si>
  <si>
    <t xml:space="preserve">CSYSEL10            </t>
  </si>
  <si>
    <t>2026-03-16 14:14:46.793</t>
  </si>
  <si>
    <t>2026-03-16 14:14:46.810</t>
  </si>
  <si>
    <t xml:space="preserve">CSYSOR10            </t>
  </si>
  <si>
    <t>2026-03-16 14:14:46.827</t>
  </si>
  <si>
    <t>2026-03-16 14:14:46.873</t>
  </si>
  <si>
    <t xml:space="preserve">CSYSOR20            </t>
  </si>
  <si>
    <t>2026-03-16 14:14:46.887</t>
  </si>
  <si>
    <t>2026-03-16 14:14:46.903</t>
  </si>
  <si>
    <t xml:space="preserve">CSYSPF10            </t>
  </si>
  <si>
    <t>2026-03-16 14:14:47.043</t>
  </si>
  <si>
    <t>2026-03-16 14:14:47.060</t>
  </si>
  <si>
    <t xml:space="preserve">CSYSPI10            </t>
  </si>
  <si>
    <t>2026-03-16 14:14:47.137</t>
  </si>
  <si>
    <t>2026-03-16 14:14:47.153</t>
  </si>
  <si>
    <t xml:space="preserve">CSYSPP10            </t>
  </si>
  <si>
    <t>2026-03-16 14:14:47.293</t>
  </si>
  <si>
    <t>2026-03-16 14:14:47.310</t>
  </si>
  <si>
    <t xml:space="preserve">CSYSPV20            </t>
  </si>
  <si>
    <t>2026-03-16 14:14:47.387</t>
  </si>
  <si>
    <t>2026-03-16 14:14:47.417</t>
  </si>
  <si>
    <t xml:space="preserve">CSYSPV10            </t>
  </si>
  <si>
    <t>2026-03-16 14:14:47.450</t>
  </si>
  <si>
    <t xml:space="preserve">CSYSTP20            </t>
  </si>
  <si>
    <t>2026-03-16 14:14:47.543</t>
  </si>
  <si>
    <t>2026-03-16 14:14:47.903</t>
  </si>
  <si>
    <t>360</t>
  </si>
  <si>
    <t xml:space="preserve">CSYSTR10            </t>
  </si>
  <si>
    <t>2026-03-16 14:14:47.683</t>
  </si>
  <si>
    <t>2026-03-16 14:14:52.170</t>
  </si>
  <si>
    <t>4485</t>
  </si>
  <si>
    <t xml:space="preserve">CSYSTP40            </t>
  </si>
  <si>
    <t>2026-03-16 14:14:47.917</t>
  </si>
  <si>
    <t>2026-03-16 14:14:48.263</t>
  </si>
  <si>
    <t>344</t>
  </si>
  <si>
    <t xml:space="preserve">CSYSTP50            </t>
  </si>
  <si>
    <t>2026-03-16 14:14:48.277</t>
  </si>
  <si>
    <t>2026-03-16 14:14:48.560</t>
  </si>
  <si>
    <t xml:space="preserve">CSYSTS20            </t>
  </si>
  <si>
    <t>2026-03-16 14:14:48.793</t>
  </si>
  <si>
    <t xml:space="preserve">CSYSTS10            </t>
  </si>
  <si>
    <t>2026-03-16 14:14:48.840</t>
  </si>
  <si>
    <t xml:space="preserve">CSYSUB10            </t>
  </si>
  <si>
    <t>2026-03-16 14:14:49.077</t>
  </si>
  <si>
    <t xml:space="preserve">CSYTAB60            </t>
  </si>
  <si>
    <t>2026-03-16 14:14:49.327</t>
  </si>
  <si>
    <t>2026-03-16 14:14:50.670</t>
  </si>
  <si>
    <t>1346</t>
  </si>
  <si>
    <t xml:space="preserve">CSYTAB65            </t>
  </si>
  <si>
    <t>2026-03-16 14:14:50.687</t>
  </si>
  <si>
    <t>2026-03-16 14:14:51.713</t>
  </si>
  <si>
    <t>1026</t>
  </si>
  <si>
    <t xml:space="preserve">CSYTAB30            </t>
  </si>
  <si>
    <t>2026-03-16 14:14:51.727</t>
  </si>
  <si>
    <t>2026-03-16 14:14:53.150</t>
  </si>
  <si>
    <t>1424</t>
  </si>
  <si>
    <t xml:space="preserve">CSYSTR40            </t>
  </si>
  <si>
    <t>2026-03-16 14:14:52.183</t>
  </si>
  <si>
    <t>2026-03-16 14:14:56.787</t>
  </si>
  <si>
    <t>4603</t>
  </si>
  <si>
    <t xml:space="preserve">CSYTAB50            </t>
  </si>
  <si>
    <t>2026-03-16 14:14:53.183</t>
  </si>
  <si>
    <t>2026-03-16 14:14:54.487</t>
  </si>
  <si>
    <t>1304</t>
  </si>
  <si>
    <t xml:space="preserve">CSYTAB40            </t>
  </si>
  <si>
    <t>2026-03-16 14:14:54.500</t>
  </si>
  <si>
    <t>2026-03-16 14:14:55.683</t>
  </si>
  <si>
    <t>1182</t>
  </si>
  <si>
    <t xml:space="preserve">CSYTAB10            </t>
  </si>
  <si>
    <t>2026-03-16 14:14:55.697</t>
  </si>
  <si>
    <t>2026-03-16 14:14:56.693</t>
  </si>
  <si>
    <t>995</t>
  </si>
  <si>
    <t xml:space="preserve">CSYTAB20            </t>
  </si>
  <si>
    <t>2026-03-16 14:14:56.707</t>
  </si>
  <si>
    <t>2026-03-16 14:14:58.030</t>
  </si>
  <si>
    <t>1323</t>
  </si>
  <si>
    <t xml:space="preserve">CSYSTR50            </t>
  </si>
  <si>
    <t>2026-03-16 14:14:56.803</t>
  </si>
  <si>
    <t>2026-03-16 14:14:59.817</t>
  </si>
  <si>
    <t>3013</t>
  </si>
  <si>
    <t xml:space="preserve">CSYTAM10            </t>
  </si>
  <si>
    <t>2026-03-16 14:14:58.280</t>
  </si>
  <si>
    <t xml:space="preserve">CSYTGL20            </t>
  </si>
  <si>
    <t>2026-03-16 14:14:58.517</t>
  </si>
  <si>
    <t xml:space="preserve">CSYTGL10            </t>
  </si>
  <si>
    <t>2026-03-16 14:14:58.530</t>
  </si>
  <si>
    <t xml:space="preserve">CSYUNL10            </t>
  </si>
  <si>
    <t>2026-03-16 14:14:58.780</t>
  </si>
  <si>
    <t xml:space="preserve">CSYUSR20            </t>
  </si>
  <si>
    <t>2026-03-16 14:14:59.033</t>
  </si>
  <si>
    <t>2026-03-16 14:15:00.407</t>
  </si>
  <si>
    <t>1372</t>
  </si>
  <si>
    <t xml:space="preserve">CSYVIC10            </t>
  </si>
  <si>
    <t>2026-03-16 14:15:00.047</t>
  </si>
  <si>
    <t>2026-03-16 14:15:00.063</t>
  </si>
  <si>
    <t xml:space="preserve">CSYVIU10            </t>
  </si>
  <si>
    <t>2026-03-16 14:15:00.297</t>
  </si>
  <si>
    <t>2026-03-16 14:15:00.343</t>
  </si>
  <si>
    <t xml:space="preserve">CSYVIU20            </t>
  </si>
  <si>
    <t>2026-03-16 14:15:00.360</t>
  </si>
  <si>
    <t>2026-03-16 14:15:00.390</t>
  </si>
  <si>
    <t xml:space="preserve">CSYVIU30            </t>
  </si>
  <si>
    <t>2026-03-16 14:15:00.437</t>
  </si>
  <si>
    <t xml:space="preserve">CSYUSR10            </t>
  </si>
  <si>
    <t>2026-03-16 14:15:00.420</t>
  </si>
  <si>
    <t>2026-03-16 14:15:01.577</t>
  </si>
  <si>
    <t>1155</t>
  </si>
  <si>
    <t xml:space="preserve">CTARCD10            </t>
  </si>
  <si>
    <t>2026-03-16 14:15:00.670</t>
  </si>
  <si>
    <t>2026-03-16 14:15:00.687</t>
  </si>
  <si>
    <t xml:space="preserve">CTARTX10            </t>
  </si>
  <si>
    <t>2026-03-16 14:15:00.920</t>
  </si>
  <si>
    <t xml:space="preserve">CTAXBM20            </t>
  </si>
  <si>
    <t>2026-03-16 14:15:01.153</t>
  </si>
  <si>
    <t xml:space="preserve">CTAXLN01            </t>
  </si>
  <si>
    <t>2026-03-16 14:15:01.387</t>
  </si>
  <si>
    <t xml:space="preserve">CTAXLN10            </t>
  </si>
  <si>
    <t>2026-03-16 14:15:01.403</t>
  </si>
  <si>
    <t xml:space="preserve">CTDSCL20            </t>
  </si>
  <si>
    <t>2026-03-16 14:15:01.637</t>
  </si>
  <si>
    <t xml:space="preserve">CTDSCL10            </t>
  </si>
  <si>
    <t>2026-03-16 14:15:01.653</t>
  </si>
  <si>
    <t xml:space="preserve">CTRFI220            </t>
  </si>
  <si>
    <t>2026-03-16 14:15:01.810</t>
  </si>
  <si>
    <t>2026-03-16 14:15:01.827</t>
  </si>
  <si>
    <t xml:space="preserve">CTRFI210            </t>
  </si>
  <si>
    <t>2026-03-16 14:15:01.840</t>
  </si>
  <si>
    <t xml:space="preserve">CTSUPD60            </t>
  </si>
  <si>
    <t>2026-03-16 14:15:01.887</t>
  </si>
  <si>
    <t xml:space="preserve">CTSUPD20            </t>
  </si>
  <si>
    <t>2026-03-16 14:15:01.903</t>
  </si>
  <si>
    <t>2026-03-16 14:15:01.920</t>
  </si>
  <si>
    <t xml:space="preserve">CTSUPD30            </t>
  </si>
  <si>
    <t>2026-03-16 14:15:01.937</t>
  </si>
  <si>
    <t xml:space="preserve">CTSUPD10            </t>
  </si>
  <si>
    <t>2026-03-16 14:15:01.950</t>
  </si>
  <si>
    <t xml:space="preserve">CTSUPD70            </t>
  </si>
  <si>
    <t>2026-03-16 14:15:01.967</t>
  </si>
  <si>
    <t>2026-03-16 14:15:01.983</t>
  </si>
  <si>
    <t xml:space="preserve">CTSUPD40            </t>
  </si>
  <si>
    <t>2026-03-16 14:15:01.997</t>
  </si>
  <si>
    <t xml:space="preserve">CTSUPD50            </t>
  </si>
  <si>
    <t>2026-03-16 14:15:02.013</t>
  </si>
  <si>
    <t xml:space="preserve">CTSUPL10            </t>
  </si>
  <si>
    <t>2026-03-16 14:15:02.077</t>
  </si>
  <si>
    <t>2026-03-16 14:15:02.090</t>
  </si>
  <si>
    <t xml:space="preserve">CTSUPL20            </t>
  </si>
  <si>
    <t>2026-03-16 14:15:02.107</t>
  </si>
  <si>
    <t xml:space="preserve">CTSUPL30            </t>
  </si>
  <si>
    <t>2026-03-16 14:15:02.123</t>
  </si>
  <si>
    <t>2026-03-16 14:15:02.137</t>
  </si>
  <si>
    <t xml:space="preserve">CTSUPT10            </t>
  </si>
  <si>
    <t>2026-03-16 14:15:02.263</t>
  </si>
  <si>
    <t xml:space="preserve">CTW20010            </t>
  </si>
  <si>
    <t>2026-03-16 14:15:02.373</t>
  </si>
  <si>
    <t xml:space="preserve">CTW20020            </t>
  </si>
  <si>
    <t>2026-03-16 14:15:02.387</t>
  </si>
  <si>
    <t>2026-03-16 14:15:02.403</t>
  </si>
  <si>
    <t xml:space="preserve">CUDFLV10            </t>
  </si>
  <si>
    <t>2026-03-16 14:15:02.497</t>
  </si>
  <si>
    <t xml:space="preserve">CUDFVM10            </t>
  </si>
  <si>
    <t>2026-03-16 14:15:02.637</t>
  </si>
  <si>
    <t>2026-03-16 14:15:02.653</t>
  </si>
  <si>
    <t xml:space="preserve">CUGEEA20            </t>
  </si>
  <si>
    <t>2026-03-16 14:15:02.733</t>
  </si>
  <si>
    <t xml:space="preserve">CUGEEM10            </t>
  </si>
  <si>
    <t>2026-03-16 14:15:02.887</t>
  </si>
  <si>
    <t>2026-03-16 14:15:02.903</t>
  </si>
  <si>
    <t xml:space="preserve">CUGEEM20            </t>
  </si>
  <si>
    <t>2026-03-16 14:15:02.920</t>
  </si>
  <si>
    <t xml:space="preserve">CUGEES10            </t>
  </si>
  <si>
    <t>2026-03-16 14:15:02.967</t>
  </si>
  <si>
    <t xml:space="preserve">CUGEVM10            </t>
  </si>
  <si>
    <t>2026-03-16 14:15:03.153</t>
  </si>
  <si>
    <t>2026-03-16 14:15:03.170</t>
  </si>
  <si>
    <t xml:space="preserve">CUGEX110            </t>
  </si>
  <si>
    <t>2026-03-16 14:15:03.207</t>
  </si>
  <si>
    <t>2026-03-16 14:15:03.223</t>
  </si>
  <si>
    <t xml:space="preserve">CUGEX120            </t>
  </si>
  <si>
    <t>2026-03-16 14:15:03.237</t>
  </si>
  <si>
    <t xml:space="preserve">CUGEX130            </t>
  </si>
  <si>
    <t>2026-03-16 14:15:03.253</t>
  </si>
  <si>
    <t>2026-03-16 14:15:03.270</t>
  </si>
  <si>
    <t xml:space="preserve">CVATET10            </t>
  </si>
  <si>
    <t>2026-03-16 14:15:03.410</t>
  </si>
  <si>
    <t>2026-03-16 14:15:03.427</t>
  </si>
  <si>
    <t xml:space="preserve">CVATPC10            </t>
  </si>
  <si>
    <t>2026-03-16 14:15:03.503</t>
  </si>
  <si>
    <t>2026-03-16 14:15:03.520</t>
  </si>
  <si>
    <t xml:space="preserve">CWKFLK40            </t>
  </si>
  <si>
    <t>2026-03-16 14:15:03.660</t>
  </si>
  <si>
    <t>2026-03-16 14:15:03.677</t>
  </si>
  <si>
    <t xml:space="preserve">CWKFLK20            </t>
  </si>
  <si>
    <t>2026-03-16 14:15:03.690</t>
  </si>
  <si>
    <t xml:space="preserve">CWKFLK30            </t>
  </si>
  <si>
    <t>2026-03-16 14:15:03.707</t>
  </si>
  <si>
    <t>2026-03-16 14:15:03.723</t>
  </si>
  <si>
    <t xml:space="preserve">CWKFLK50            </t>
  </si>
  <si>
    <t>2026-03-16 14:15:03.737</t>
  </si>
  <si>
    <t xml:space="preserve">CWKFLK10            </t>
  </si>
  <si>
    <t>2026-03-16 14:15:03.753</t>
  </si>
  <si>
    <t>2026-03-16 14:15:03.770</t>
  </si>
  <si>
    <t xml:space="preserve">CXCCST10            </t>
  </si>
  <si>
    <t xml:space="preserve">CXNAIN10            </t>
  </si>
  <si>
    <t>2026-03-16 14:15:04.020</t>
  </si>
  <si>
    <t xml:space="preserve">DCONSI30            </t>
  </si>
  <si>
    <t xml:space="preserve">DCONSI50            </t>
  </si>
  <si>
    <t>2026-03-16 14:15:04.033</t>
  </si>
  <si>
    <t xml:space="preserve">DCONSI10            </t>
  </si>
  <si>
    <t>2026-03-16 14:15:04.050</t>
  </si>
  <si>
    <t xml:space="preserve">DCONSI40            </t>
  </si>
  <si>
    <t>2026-03-16 14:15:04.067</t>
  </si>
  <si>
    <t xml:space="preserve">DCONSI20            </t>
  </si>
  <si>
    <t>2026-03-16 14:15:04.080</t>
  </si>
  <si>
    <t xml:space="preserve">DCONSI60            </t>
  </si>
  <si>
    <t>2026-03-16 14:15:04.097</t>
  </si>
  <si>
    <t xml:space="preserve">DCRESC10            </t>
  </si>
  <si>
    <t>2026-03-16 14:15:04.253</t>
  </si>
  <si>
    <t xml:space="preserve">DCRESS10            </t>
  </si>
  <si>
    <t>2026-03-16 14:15:04.330</t>
  </si>
  <si>
    <t xml:space="preserve">DDOCUX10            </t>
  </si>
  <si>
    <t>2026-03-16 14:15:04.487</t>
  </si>
  <si>
    <t xml:space="preserve">DDR67210            </t>
  </si>
  <si>
    <t>2026-03-16 14:15:04.567</t>
  </si>
  <si>
    <t xml:space="preserve">DDR67620            </t>
  </si>
  <si>
    <t>2026-03-16 14:15:04.723</t>
  </si>
  <si>
    <t xml:space="preserve">DDR67610            </t>
  </si>
  <si>
    <t>2026-03-16 14:15:04.737</t>
  </si>
  <si>
    <t>2026-03-16 14:15:04.753</t>
  </si>
  <si>
    <t xml:space="preserve">DDRPCO10            </t>
  </si>
  <si>
    <t>2026-03-16 14:15:04.800</t>
  </si>
  <si>
    <t xml:space="preserve">DDRPDE10            </t>
  </si>
  <si>
    <t>2026-03-16 14:15:04.987</t>
  </si>
  <si>
    <t>2026-03-16 14:15:05.003</t>
  </si>
  <si>
    <t xml:space="preserve">DDRPDE20            </t>
  </si>
  <si>
    <t>2026-03-16 14:15:05.020</t>
  </si>
  <si>
    <t xml:space="preserve">DDRPRO10            </t>
  </si>
  <si>
    <t>2026-03-16 14:15:05.033</t>
  </si>
  <si>
    <t xml:space="preserve">DLIDEX10            </t>
  </si>
  <si>
    <t>2026-03-16 14:15:05.253</t>
  </si>
  <si>
    <t>2026-03-16 14:15:05.270</t>
  </si>
  <si>
    <t xml:space="preserve">DRCLFC10            </t>
  </si>
  <si>
    <t xml:space="preserve">DRD90110            </t>
  </si>
  <si>
    <t>2026-03-16 14:15:05.510</t>
  </si>
  <si>
    <t xml:space="preserve">DRDRFC20            </t>
  </si>
  <si>
    <t xml:space="preserve">DRD90190            </t>
  </si>
  <si>
    <t>2026-03-16 14:15:05.523</t>
  </si>
  <si>
    <t>2026-03-16 14:15:05.540</t>
  </si>
  <si>
    <t xml:space="preserve">DRDRFC30            </t>
  </si>
  <si>
    <t xml:space="preserve">DRDRFC40            </t>
  </si>
  <si>
    <t>2026-03-16 14:15:05.557</t>
  </si>
  <si>
    <t xml:space="preserve">DRDRFC10            </t>
  </si>
  <si>
    <t>2026-03-16 14:15:05.570</t>
  </si>
  <si>
    <t>2026-03-16 14:15:05.587</t>
  </si>
  <si>
    <t xml:space="preserve">DRODPR01            </t>
  </si>
  <si>
    <t>2026-03-16 14:15:05.773</t>
  </si>
  <si>
    <t>2026-03-16 14:15:05.790</t>
  </si>
  <si>
    <t xml:space="preserve">DROUDI10            </t>
  </si>
  <si>
    <t>2026-03-16 14:15:05.820</t>
  </si>
  <si>
    <t>2026-03-16 14:15:05.837</t>
  </si>
  <si>
    <t xml:space="preserve">DROUDI20            </t>
  </si>
  <si>
    <t>2026-03-16 14:15:05.853</t>
  </si>
  <si>
    <t>2026-03-16 14:15:05.867</t>
  </si>
  <si>
    <t xml:space="preserve">DROUTE10            </t>
  </si>
  <si>
    <t>2026-03-16 14:15:06.023</t>
  </si>
  <si>
    <t>2026-03-16 14:15:06.040</t>
  </si>
  <si>
    <t xml:space="preserve">DROUTE20            </t>
  </si>
  <si>
    <t>2026-03-16 14:15:06.057</t>
  </si>
  <si>
    <t xml:space="preserve">DROUTE30            </t>
  </si>
  <si>
    <t>2026-03-16 14:15:06.070</t>
  </si>
  <si>
    <t xml:space="preserve">DROUTE40            </t>
  </si>
  <si>
    <t>2026-03-16 14:15:06.087</t>
  </si>
  <si>
    <t xml:space="preserve">DRSPAC10            </t>
  </si>
  <si>
    <t>2026-03-16 14:15:06.103</t>
  </si>
  <si>
    <t xml:space="preserve">DRSPAC30            </t>
  </si>
  <si>
    <t>2026-03-16 14:15:06.117</t>
  </si>
  <si>
    <t>2026-03-16 14:15:06.133</t>
  </si>
  <si>
    <t xml:space="preserve">DRSPAC20            </t>
  </si>
  <si>
    <t>2026-03-16 14:15:06.150</t>
  </si>
  <si>
    <t xml:space="preserve">DRSPAC50            </t>
  </si>
  <si>
    <t>2026-03-16 14:15:06.167</t>
  </si>
  <si>
    <t xml:space="preserve">DRSPAC40            </t>
  </si>
  <si>
    <t>2026-03-16 14:15:06.180</t>
  </si>
  <si>
    <t xml:space="preserve">DRTIFI10            </t>
  </si>
  <si>
    <t>2026-03-16 14:15:06.320</t>
  </si>
  <si>
    <t xml:space="preserve">DSPACK20            </t>
  </si>
  <si>
    <t>2026-03-16 14:15:06.417</t>
  </si>
  <si>
    <t xml:space="preserve">DSPACK10            </t>
  </si>
  <si>
    <t>2026-03-16 14:15:06.430</t>
  </si>
  <si>
    <t>2026-03-16 14:15:06.447</t>
  </si>
  <si>
    <t xml:space="preserve">DUNFCZ10            </t>
  </si>
  <si>
    <t>2026-03-16 14:15:06.567</t>
  </si>
  <si>
    <t>2026-03-16 14:15:06.583</t>
  </si>
  <si>
    <t xml:space="preserve">DWFCCC10            </t>
  </si>
  <si>
    <t>2026-03-16 14:15:06.683</t>
  </si>
  <si>
    <t xml:space="preserve">EAADDR10            </t>
  </si>
  <si>
    <t>2026-03-16 14:15:06.817</t>
  </si>
  <si>
    <t xml:space="preserve">EDITMX40            </t>
  </si>
  <si>
    <t>2026-03-16 14:15:06.910</t>
  </si>
  <si>
    <t xml:space="preserve">EDITMX10            </t>
  </si>
  <si>
    <t>2026-03-16 14:15:06.927</t>
  </si>
  <si>
    <t>2026-03-16 14:15:06.940</t>
  </si>
  <si>
    <t xml:space="preserve">EDITMX20            </t>
  </si>
  <si>
    <t>2026-03-16 14:15:06.957</t>
  </si>
  <si>
    <t xml:space="preserve">EDITMX30            </t>
  </si>
  <si>
    <t>2026-03-16 14:15:06.973</t>
  </si>
  <si>
    <t xml:space="preserve">EDU00170            </t>
  </si>
  <si>
    <t>2026-03-16 14:15:07.050</t>
  </si>
  <si>
    <t>2026-03-16 14:15:07.067</t>
  </si>
  <si>
    <t xml:space="preserve">EDU00180            </t>
  </si>
  <si>
    <t>2026-03-16 14:15:07.080</t>
  </si>
  <si>
    <t xml:space="preserve">EDU00110            </t>
  </si>
  <si>
    <t>2026-03-16 14:15:07.097</t>
  </si>
  <si>
    <t>2026-03-16 14:15:07.113</t>
  </si>
  <si>
    <t xml:space="preserve">EDU00130            </t>
  </si>
  <si>
    <t>2026-03-16 14:15:07.127</t>
  </si>
  <si>
    <t xml:space="preserve">EDU00140            </t>
  </si>
  <si>
    <t>2026-03-16 14:15:07.143</t>
  </si>
  <si>
    <t>2026-03-16 14:15:07.160</t>
  </si>
  <si>
    <t xml:space="preserve">EDUTOO20            </t>
  </si>
  <si>
    <t>2026-03-16 14:15:07.223</t>
  </si>
  <si>
    <t>2026-03-16 14:15:07.237</t>
  </si>
  <si>
    <t xml:space="preserve">EDUTOO10            </t>
  </si>
  <si>
    <t>2026-03-16 14:15:07.253</t>
  </si>
  <si>
    <t xml:space="preserve">EIMLOG10            </t>
  </si>
  <si>
    <t>2026-03-16 14:15:07.393</t>
  </si>
  <si>
    <t>2026-03-16 14:15:07.410</t>
  </si>
  <si>
    <t xml:space="preserve">FAAAC110            </t>
  </si>
  <si>
    <t>2026-03-16 14:15:07.487</t>
  </si>
  <si>
    <t>2026-03-16 14:15:07.503</t>
  </si>
  <si>
    <t xml:space="preserve">FAACCB10            </t>
  </si>
  <si>
    <t>2026-03-16 14:15:07.643</t>
  </si>
  <si>
    <t>2026-03-16 14:15:07.660</t>
  </si>
  <si>
    <t xml:space="preserve">FAACCB20            </t>
  </si>
  <si>
    <t>2026-03-16 14:15:07.677</t>
  </si>
  <si>
    <t>2026-03-16 14:15:07.690</t>
  </si>
  <si>
    <t xml:space="preserve">FAACCB30            </t>
  </si>
  <si>
    <t>2026-03-16 14:15:07.707</t>
  </si>
  <si>
    <t xml:space="preserve">FAACCB40            </t>
  </si>
  <si>
    <t>2026-03-16 14:15:07.723</t>
  </si>
  <si>
    <t>2026-03-16 14:15:07.737</t>
  </si>
  <si>
    <t xml:space="preserve">FAALOD05            </t>
  </si>
  <si>
    <t>2026-03-16 14:15:07.753</t>
  </si>
  <si>
    <t xml:space="preserve">FAACCB50            </t>
  </si>
  <si>
    <t>2026-03-16 14:15:07.767</t>
  </si>
  <si>
    <t xml:space="preserve">FAALOD20            </t>
  </si>
  <si>
    <t>2026-03-16 14:15:07.783</t>
  </si>
  <si>
    <t xml:space="preserve">FAACCB60            </t>
  </si>
  <si>
    <t xml:space="preserve">FAACCB70            </t>
  </si>
  <si>
    <t>2026-03-16 14:15:07.800</t>
  </si>
  <si>
    <t xml:space="preserve">FAALOD10            </t>
  </si>
  <si>
    <t>2026-03-16 14:15:07.817</t>
  </si>
  <si>
    <t xml:space="preserve">FAB18010            </t>
  </si>
  <si>
    <t>2026-03-16 14:15:08.067</t>
  </si>
  <si>
    <t xml:space="preserve">FAB18B10            </t>
  </si>
  <si>
    <t xml:space="preserve">FAB18015            </t>
  </si>
  <si>
    <t>2026-03-16 14:15:08.083</t>
  </si>
  <si>
    <t xml:space="preserve">FAB18020            </t>
  </si>
  <si>
    <t>2026-03-16 14:15:08.100</t>
  </si>
  <si>
    <t xml:space="preserve">FAB18025            </t>
  </si>
  <si>
    <t>2026-03-16 14:15:08.117</t>
  </si>
  <si>
    <t>2026-03-16 14:15:08.130</t>
  </si>
  <si>
    <t xml:space="preserve">FAB18030            </t>
  </si>
  <si>
    <t>2026-03-16 14:15:08.147</t>
  </si>
  <si>
    <t xml:space="preserve">FAB18035            </t>
  </si>
  <si>
    <t>2026-03-16 14:15:08.160</t>
  </si>
  <si>
    <t>2026-03-16 14:15:08.177</t>
  </si>
  <si>
    <t xml:space="preserve">FAB18040            </t>
  </si>
  <si>
    <t>2026-03-16 14:15:08.193</t>
  </si>
  <si>
    <t xml:space="preserve">FAB18045            </t>
  </si>
  <si>
    <t>2026-03-16 14:15:08.207</t>
  </si>
  <si>
    <t xml:space="preserve">FAB18050            </t>
  </si>
  <si>
    <t>2026-03-16 14:15:08.223</t>
  </si>
  <si>
    <t xml:space="preserve">FAB18055            </t>
  </si>
  <si>
    <t>2026-03-16 14:15:08.240</t>
  </si>
  <si>
    <t>2026-03-16 14:15:08.257</t>
  </si>
  <si>
    <t xml:space="preserve">FABDET20            </t>
  </si>
  <si>
    <t>2026-03-16 14:15:08.303</t>
  </si>
  <si>
    <t>2026-03-16 14:15:08.317</t>
  </si>
  <si>
    <t xml:space="preserve">FABDET30            </t>
  </si>
  <si>
    <t>2026-03-16 14:15:08.333</t>
  </si>
  <si>
    <t xml:space="preserve">FABDET10            </t>
  </si>
  <si>
    <t>2026-03-16 14:15:08.350</t>
  </si>
  <si>
    <t>2026-03-16 14:15:08.367</t>
  </si>
  <si>
    <t xml:space="preserve">FABERR10            </t>
  </si>
  <si>
    <t>2026-03-16 14:15:08.507</t>
  </si>
  <si>
    <t xml:space="preserve">FABHED20            </t>
  </si>
  <si>
    <t>2026-03-16 14:15:08.600</t>
  </si>
  <si>
    <t xml:space="preserve">FABHED10            </t>
  </si>
  <si>
    <t>2026-03-16 14:15:08.617</t>
  </si>
  <si>
    <t>2026-03-16 14:15:08.630</t>
  </si>
  <si>
    <t xml:space="preserve">FABLOG20            </t>
  </si>
  <si>
    <t>2026-03-16 14:15:08.740</t>
  </si>
  <si>
    <t>2026-03-16 14:15:08.757</t>
  </si>
  <si>
    <t xml:space="preserve">FABLOG10            </t>
  </si>
  <si>
    <t>2026-03-16 14:15:08.770</t>
  </si>
  <si>
    <t xml:space="preserve">FABTAB10            </t>
  </si>
  <si>
    <t>2026-03-16 14:15:08.867</t>
  </si>
  <si>
    <t>2026-03-16 14:15:08.880</t>
  </si>
  <si>
    <t xml:space="preserve">FACCES10            </t>
  </si>
  <si>
    <t>2026-03-16 14:15:09.007</t>
  </si>
  <si>
    <t>2026-03-16 14:15:09.067</t>
  </si>
  <si>
    <t>63</t>
  </si>
  <si>
    <t xml:space="preserve">FACGRC10            </t>
  </si>
  <si>
    <t>2026-03-16 14:15:09.117</t>
  </si>
  <si>
    <t>2026-03-16 14:15:09.130</t>
  </si>
  <si>
    <t xml:space="preserve">FACGRP10            </t>
  </si>
  <si>
    <t>2026-03-16 14:15:09.303</t>
  </si>
  <si>
    <t>2026-03-16 14:15:09.317</t>
  </si>
  <si>
    <t xml:space="preserve">FADTSL10            </t>
  </si>
  <si>
    <t>2026-03-16 14:15:09.367</t>
  </si>
  <si>
    <t>2026-03-16 14:15:09.380</t>
  </si>
  <si>
    <t xml:space="preserve">FADVI101            </t>
  </si>
  <si>
    <t>2026-03-16 14:15:09.553</t>
  </si>
  <si>
    <t>2026-03-16 14:15:09.567</t>
  </si>
  <si>
    <t xml:space="preserve">FADVI102            </t>
  </si>
  <si>
    <t>2026-03-16 14:15:09.583</t>
  </si>
  <si>
    <t>2026-03-16 14:15:09.600</t>
  </si>
  <si>
    <t xml:space="preserve">FADVI210            </t>
  </si>
  <si>
    <t>2026-03-16 14:15:09.617</t>
  </si>
  <si>
    <t>2026-03-16 14:15:09.630</t>
  </si>
  <si>
    <t xml:space="preserve">FADVI310            </t>
  </si>
  <si>
    <t>2026-03-16 14:15:09.880</t>
  </si>
  <si>
    <t xml:space="preserve">FAMTHE10            </t>
  </si>
  <si>
    <t xml:space="preserve">FAMTHE20            </t>
  </si>
  <si>
    <t>2026-03-16 14:15:09.897</t>
  </si>
  <si>
    <t>2026-03-16 14:15:09.910</t>
  </si>
  <si>
    <t xml:space="preserve">FANDET10            </t>
  </si>
  <si>
    <t>2026-03-16 14:15:10.123</t>
  </si>
  <si>
    <t xml:space="preserve">FANLI110            </t>
  </si>
  <si>
    <t>2026-03-16 14:15:10.140</t>
  </si>
  <si>
    <t xml:space="preserve">FANLI310            </t>
  </si>
  <si>
    <t>2026-03-16 14:15:10.350</t>
  </si>
  <si>
    <t>2026-03-16 14:15:10.367</t>
  </si>
  <si>
    <t xml:space="preserve">FANRVD10            </t>
  </si>
  <si>
    <t>2026-03-16 14:15:10.380</t>
  </si>
  <si>
    <t xml:space="preserve">FANRVD20            </t>
  </si>
  <si>
    <t>2026-03-16 14:15:10.397</t>
  </si>
  <si>
    <t xml:space="preserve">FANRVD30            </t>
  </si>
  <si>
    <t>2026-03-16 14:15:10.413</t>
  </si>
  <si>
    <t xml:space="preserve">FANRVD40            </t>
  </si>
  <si>
    <t>2026-03-16 14:15:10.427</t>
  </si>
  <si>
    <t xml:space="preserve">FANSUG10            </t>
  </si>
  <si>
    <t>2026-03-16 14:15:10.600</t>
  </si>
  <si>
    <t xml:space="preserve">FAP04030            </t>
  </si>
  <si>
    <t>2026-03-16 14:15:10.663</t>
  </si>
  <si>
    <t>2026-03-16 14:15:11.100</t>
  </si>
  <si>
    <t>437</t>
  </si>
  <si>
    <t xml:space="preserve">FAP11020            </t>
  </si>
  <si>
    <t>2026-03-16 14:15:10.837</t>
  </si>
  <si>
    <t>2026-03-16 14:15:11.303</t>
  </si>
  <si>
    <t>468</t>
  </si>
  <si>
    <t xml:space="preserve">FAP04020            </t>
  </si>
  <si>
    <t>2026-03-16 14:15:11.117</t>
  </si>
  <si>
    <t>2026-03-16 14:15:11.447</t>
  </si>
  <si>
    <t>331</t>
  </si>
  <si>
    <t xml:space="preserve">FAP11010            </t>
  </si>
  <si>
    <t>2026-03-16 14:15:11.320</t>
  </si>
  <si>
    <t>2026-03-16 14:15:11.697</t>
  </si>
  <si>
    <t>378</t>
  </si>
  <si>
    <t xml:space="preserve">FAP04040            </t>
  </si>
  <si>
    <t>2026-03-16 14:15:11.463</t>
  </si>
  <si>
    <t>2026-03-16 14:15:11.760</t>
  </si>
  <si>
    <t>297</t>
  </si>
  <si>
    <t xml:space="preserve">FAP04010            </t>
  </si>
  <si>
    <t>2026-03-16 14:15:11.777</t>
  </si>
  <si>
    <t>2026-03-16 14:15:12.027</t>
  </si>
  <si>
    <t xml:space="preserve">FAP13160            </t>
  </si>
  <si>
    <t>2026-03-16 14:15:11.933</t>
  </si>
  <si>
    <t>2026-03-16 14:15:12.010</t>
  </si>
  <si>
    <t xml:space="preserve">FAP13110            </t>
  </si>
  <si>
    <t>2026-03-16 14:15:12.120</t>
  </si>
  <si>
    <t xml:space="preserve">FAP13170            </t>
  </si>
  <si>
    <t>2026-03-16 14:15:12.137</t>
  </si>
  <si>
    <t>2026-03-16 14:15:12.197</t>
  </si>
  <si>
    <t xml:space="preserve">FAP13120            </t>
  </si>
  <si>
    <t>2026-03-16 14:15:12.213</t>
  </si>
  <si>
    <t>2026-03-16 14:15:12.260</t>
  </si>
  <si>
    <t xml:space="preserve">FAP14110            </t>
  </si>
  <si>
    <t xml:space="preserve">FAP13130            </t>
  </si>
  <si>
    <t>2026-03-16 14:15:12.277</t>
  </si>
  <si>
    <t>2026-03-16 14:15:12.337</t>
  </si>
  <si>
    <t xml:space="preserve">FAP13140            </t>
  </si>
  <si>
    <t>2026-03-16 14:15:12.360</t>
  </si>
  <si>
    <t>2026-03-16 14:15:12.407</t>
  </si>
  <si>
    <t xml:space="preserve">FAP13150            </t>
  </si>
  <si>
    <t>2026-03-16 14:15:12.423</t>
  </si>
  <si>
    <t>2026-03-16 14:15:12.453</t>
  </si>
  <si>
    <t xml:space="preserve">FAP16110            </t>
  </si>
  <si>
    <t>2026-03-16 14:15:12.517</t>
  </si>
  <si>
    <t>2026-03-16 14:15:12.533</t>
  </si>
  <si>
    <t xml:space="preserve">FAP16150            </t>
  </si>
  <si>
    <t>2026-03-16 14:15:12.547</t>
  </si>
  <si>
    <t>2026-03-16 14:15:12.577</t>
  </si>
  <si>
    <t xml:space="preserve">FAP16120            </t>
  </si>
  <si>
    <t>2026-03-16 14:15:12.593</t>
  </si>
  <si>
    <t>2026-03-16 14:15:12.610</t>
  </si>
  <si>
    <t xml:space="preserve">FAP16100            </t>
  </si>
  <si>
    <t>2026-03-16 14:15:12.627</t>
  </si>
  <si>
    <t>2026-03-16 14:15:12.640</t>
  </si>
  <si>
    <t xml:space="preserve">FAP16130            </t>
  </si>
  <si>
    <t>2026-03-16 14:15:12.657</t>
  </si>
  <si>
    <t xml:space="preserve">FAP30520            </t>
  </si>
  <si>
    <t>2026-03-16 14:15:12.687</t>
  </si>
  <si>
    <t>2026-03-16 14:15:12.703</t>
  </si>
  <si>
    <t xml:space="preserve">FAP30510            </t>
  </si>
  <si>
    <t>2026-03-16 14:15:12.720</t>
  </si>
  <si>
    <t>2026-03-16 14:15:12.737</t>
  </si>
  <si>
    <t xml:space="preserve">FAP30620            </t>
  </si>
  <si>
    <t>2026-03-16 14:15:12.890</t>
  </si>
  <si>
    <t xml:space="preserve">FAP30610            </t>
  </si>
  <si>
    <t>2026-03-16 14:15:12.907</t>
  </si>
  <si>
    <t xml:space="preserve">FAP51601            </t>
  </si>
  <si>
    <t>2026-03-16 14:15:12.970</t>
  </si>
  <si>
    <t xml:space="preserve">FAP51A01            </t>
  </si>
  <si>
    <t>2026-03-16 14:15:13.157</t>
  </si>
  <si>
    <t xml:space="preserve">FAP54500            </t>
  </si>
  <si>
    <t>2026-03-16 14:15:13.203</t>
  </si>
  <si>
    <t>2026-03-16 14:15:13.220</t>
  </si>
  <si>
    <t xml:space="preserve">FAP54510            </t>
  </si>
  <si>
    <t>2026-03-16 14:15:13.237</t>
  </si>
  <si>
    <t xml:space="preserve">FAP54520            </t>
  </si>
  <si>
    <t>2026-03-16 14:15:13.250</t>
  </si>
  <si>
    <t xml:space="preserve">FAP60610            </t>
  </si>
  <si>
    <t>2026-03-16 14:15:13.390</t>
  </si>
  <si>
    <t>2026-03-16 14:15:13.407</t>
  </si>
  <si>
    <t xml:space="preserve">FAP61130            </t>
  </si>
  <si>
    <t>2026-03-16 14:15:13.487</t>
  </si>
  <si>
    <t xml:space="preserve">FAP61110            </t>
  </si>
  <si>
    <t>2026-03-16 14:15:13.500</t>
  </si>
  <si>
    <t xml:space="preserve">FAP61120            </t>
  </si>
  <si>
    <t>2026-03-16 14:15:13.517</t>
  </si>
  <si>
    <t>2026-03-16 14:15:13.533</t>
  </si>
  <si>
    <t xml:space="preserve">FAP99920            </t>
  </si>
  <si>
    <t>2026-03-16 14:15:13.640</t>
  </si>
  <si>
    <t xml:space="preserve">FAP99910            </t>
  </si>
  <si>
    <t>2026-03-16 14:15:13.657</t>
  </si>
  <si>
    <t>2026-03-16 14:15:13.673</t>
  </si>
  <si>
    <t xml:space="preserve">FAPARL20            </t>
  </si>
  <si>
    <t>2026-03-16 14:15:13.767</t>
  </si>
  <si>
    <t>2026-03-16 14:15:13.780</t>
  </si>
  <si>
    <t xml:space="preserve">FAPARL10            </t>
  </si>
  <si>
    <t>2026-03-16 14:15:13.797</t>
  </si>
  <si>
    <t>2026-03-16 14:15:13.813</t>
  </si>
  <si>
    <t xml:space="preserve">FAPARL30            </t>
  </si>
  <si>
    <t>2026-03-16 14:15:13.827</t>
  </si>
  <si>
    <t xml:space="preserve">FAPBAC20            </t>
  </si>
  <si>
    <t>2026-03-16 14:15:13.907</t>
  </si>
  <si>
    <t>2026-03-16 14:15:13.923</t>
  </si>
  <si>
    <t xml:space="preserve">FAPBAC10            </t>
  </si>
  <si>
    <t>2026-03-16 14:15:13.937</t>
  </si>
  <si>
    <t>2026-03-16 14:15:13.953</t>
  </si>
  <si>
    <t xml:space="preserve">FAPBIH60            </t>
  </si>
  <si>
    <t>2026-03-16 14:15:14.063</t>
  </si>
  <si>
    <t>2026-03-16 14:15:15.887</t>
  </si>
  <si>
    <t>1825</t>
  </si>
  <si>
    <t xml:space="preserve">FAPBIL50            </t>
  </si>
  <si>
    <t>2026-03-16 14:15:14.187</t>
  </si>
  <si>
    <t>2026-03-16 14:15:16.030</t>
  </si>
  <si>
    <t>1841</t>
  </si>
  <si>
    <t xml:space="preserve">FAPBIH10            </t>
  </si>
  <si>
    <t>2026-03-16 14:15:15.903</t>
  </si>
  <si>
    <t>2026-03-16 14:15:17.810</t>
  </si>
  <si>
    <t>1906</t>
  </si>
  <si>
    <t xml:space="preserve">FAPBIL40            </t>
  </si>
  <si>
    <t>2026-03-16 14:15:16.043</t>
  </si>
  <si>
    <t>2026-03-16 14:15:18.047</t>
  </si>
  <si>
    <t>2001</t>
  </si>
  <si>
    <t xml:space="preserve">FAPBIH50            </t>
  </si>
  <si>
    <t>2026-03-16 14:15:17.827</t>
  </si>
  <si>
    <t>2026-03-16 14:15:19.450</t>
  </si>
  <si>
    <t>1625</t>
  </si>
  <si>
    <t xml:space="preserve">FAPBIL10            </t>
  </si>
  <si>
    <t>2026-03-16 14:15:18.060</t>
  </si>
  <si>
    <t>2026-03-16 14:15:19.387</t>
  </si>
  <si>
    <t>1328</t>
  </si>
  <si>
    <t xml:space="preserve">CSYCAL60            </t>
  </si>
  <si>
    <t>2026-03-16 14:15:18.263</t>
  </si>
  <si>
    <t>2026-03-16 14:16:08.463</t>
  </si>
  <si>
    <t>50200</t>
  </si>
  <si>
    <t xml:space="preserve">CSYCAL70            </t>
  </si>
  <si>
    <t xml:space="preserve">CSYCAL90            </t>
  </si>
  <si>
    <t>2026-03-16 14:16:07.917</t>
  </si>
  <si>
    <t>49655</t>
  </si>
  <si>
    <t xml:space="preserve">CSYCAL95            </t>
  </si>
  <si>
    <t xml:space="preserve">FAPBIL20            </t>
  </si>
  <si>
    <t>2026-03-16 14:15:19.403</t>
  </si>
  <si>
    <t>2026-03-16 14:15:20.767</t>
  </si>
  <si>
    <t>1362</t>
  </si>
  <si>
    <t xml:space="preserve">FAPBIH20            </t>
  </si>
  <si>
    <t>2026-03-16 14:15:19.467</t>
  </si>
  <si>
    <t>2026-03-16 14:15:20.780</t>
  </si>
  <si>
    <t>1315</t>
  </si>
  <si>
    <t xml:space="preserve">FAPBIL30            </t>
  </si>
  <si>
    <t>2026-03-16 14:15:22.033</t>
  </si>
  <si>
    <t>1268</t>
  </si>
  <si>
    <t xml:space="preserve">FAPBIH30            </t>
  </si>
  <si>
    <t>2026-03-16 14:15:20.797</t>
  </si>
  <si>
    <t>2026-03-16 14:15:22.080</t>
  </si>
  <si>
    <t>1284</t>
  </si>
  <si>
    <t xml:space="preserve">FAPBIH40            </t>
  </si>
  <si>
    <t>2026-03-16 14:15:22.097</t>
  </si>
  <si>
    <t>2026-03-16 14:15:23.737</t>
  </si>
  <si>
    <t>1641</t>
  </si>
  <si>
    <t xml:space="preserve">FAPBKQ10            </t>
  </si>
  <si>
    <t>2026-03-16 14:15:22.267</t>
  </si>
  <si>
    <t xml:space="preserve">FAPBKQ20            </t>
  </si>
  <si>
    <t>2026-03-16 14:15:22.283</t>
  </si>
  <si>
    <t>2026-03-16 14:15:22.300</t>
  </si>
  <si>
    <t xml:space="preserve">FAPBKQ30            </t>
  </si>
  <si>
    <t>2026-03-16 14:15:22.317</t>
  </si>
  <si>
    <t xml:space="preserve">FAPBKQ40            </t>
  </si>
  <si>
    <t>2026-03-16 14:15:22.330</t>
  </si>
  <si>
    <t>2026-03-16 14:15:22.347</t>
  </si>
  <si>
    <t xml:space="preserve">FAPBKQ50            </t>
  </si>
  <si>
    <t>2026-03-16 14:15:22.363</t>
  </si>
  <si>
    <t xml:space="preserve">FAPCHK30            </t>
  </si>
  <si>
    <t>2026-03-16 14:15:22.597</t>
  </si>
  <si>
    <t>2026-03-16 14:15:23.503</t>
  </si>
  <si>
    <t>906</t>
  </si>
  <si>
    <t xml:space="preserve">FAPCHK50            </t>
  </si>
  <si>
    <t>2026-03-16 14:15:23.517</t>
  </si>
  <si>
    <t>2026-03-16 14:15:24.170</t>
  </si>
  <si>
    <t>651</t>
  </si>
  <si>
    <t xml:space="preserve">FAPDRF30            </t>
  </si>
  <si>
    <t>2026-03-16 14:15:23.983</t>
  </si>
  <si>
    <t>2026-03-16 14:15:23.997</t>
  </si>
  <si>
    <t xml:space="preserve">FAPDRF40            </t>
  </si>
  <si>
    <t>2026-03-16 14:15:24.013</t>
  </si>
  <si>
    <t xml:space="preserve">FAPDRF50            </t>
  </si>
  <si>
    <t>2026-03-16 14:15:24.043</t>
  </si>
  <si>
    <t xml:space="preserve">FAPDRF20            </t>
  </si>
  <si>
    <t>2026-03-16 14:15:24.060</t>
  </si>
  <si>
    <t>2026-03-16 14:15:24.077</t>
  </si>
  <si>
    <t xml:space="preserve">FAPDRF10            </t>
  </si>
  <si>
    <t>2026-03-16 14:15:24.090</t>
  </si>
  <si>
    <t xml:space="preserve">FAPCHK10            </t>
  </si>
  <si>
    <t>2026-03-16 14:15:24.187</t>
  </si>
  <si>
    <t>2026-03-16 14:15:24.920</t>
  </si>
  <si>
    <t>734</t>
  </si>
  <si>
    <t xml:space="preserve">FAPIBH50            </t>
  </si>
  <si>
    <t>2026-03-16 14:15:24.327</t>
  </si>
  <si>
    <t>2026-03-16 14:15:39.017</t>
  </si>
  <si>
    <t>14689</t>
  </si>
  <si>
    <t xml:space="preserve">FAPCHK20            </t>
  </si>
  <si>
    <t>2026-03-16 14:15:25.983</t>
  </si>
  <si>
    <t>1064</t>
  </si>
  <si>
    <t xml:space="preserve">FAPIBL40            </t>
  </si>
  <si>
    <t>2026-03-16 14:15:26.217</t>
  </si>
  <si>
    <t>2026-03-16 14:15:30.993</t>
  </si>
  <si>
    <t>4777</t>
  </si>
  <si>
    <t xml:space="preserve">FAPIBL20            </t>
  </si>
  <si>
    <t>2026-03-16 14:15:31.010</t>
  </si>
  <si>
    <t>2026-03-16 14:15:33.470</t>
  </si>
  <si>
    <t>2460</t>
  </si>
  <si>
    <t xml:space="preserve">FAPIBL30            </t>
  </si>
  <si>
    <t>2026-03-16 14:15:33.503</t>
  </si>
  <si>
    <t>2026-03-16 14:15:35.517</t>
  </si>
  <si>
    <t>2014</t>
  </si>
  <si>
    <t xml:space="preserve">FAPIBL50            </t>
  </si>
  <si>
    <t>2026-03-16 14:15:35.530</t>
  </si>
  <si>
    <t>2026-03-16 14:15:38.077</t>
  </si>
  <si>
    <t>2546</t>
  </si>
  <si>
    <t xml:space="preserve">FAPIBL10            </t>
  </si>
  <si>
    <t>2026-03-16 14:15:38.093</t>
  </si>
  <si>
    <t>2026-03-16 14:15:40.227</t>
  </si>
  <si>
    <t>2134</t>
  </si>
  <si>
    <t xml:space="preserve">FAPIBH20            </t>
  </si>
  <si>
    <t>2026-03-16 14:15:39.030</t>
  </si>
  <si>
    <t>2026-03-16 14:15:51.410</t>
  </si>
  <si>
    <t>12379</t>
  </si>
  <si>
    <t xml:space="preserve">FAPPER10            </t>
  </si>
  <si>
    <t>2026-03-16 14:15:40.460</t>
  </si>
  <si>
    <t xml:space="preserve">FAPPTL10            </t>
  </si>
  <si>
    <t>2026-03-16 14:15:40.710</t>
  </si>
  <si>
    <t>2026-03-16 14:15:40.727</t>
  </si>
  <si>
    <t xml:space="preserve">FAPPTL20            </t>
  </si>
  <si>
    <t>2026-03-16 14:15:40.740</t>
  </si>
  <si>
    <t xml:space="preserve">FAPRCD10            </t>
  </si>
  <si>
    <t>2026-03-16 14:15:40.983</t>
  </si>
  <si>
    <t>2026-03-16 14:15:41.000</t>
  </si>
  <si>
    <t xml:space="preserve">FAPREC10            </t>
  </si>
  <si>
    <t>2026-03-16 14:15:41.257</t>
  </si>
  <si>
    <t>2026-03-16 14:15:41.260</t>
  </si>
  <si>
    <t xml:space="preserve">FAPREC20            </t>
  </si>
  <si>
    <t>2026-03-16 14:15:41.277</t>
  </si>
  <si>
    <t xml:space="preserve">FAPREC40            </t>
  </si>
  <si>
    <t>2026-03-16 14:15:41.293</t>
  </si>
  <si>
    <t xml:space="preserve">FAPREDX2#MNO        </t>
  </si>
  <si>
    <t>2026-03-16 14:15:41.527</t>
  </si>
  <si>
    <t>2026-03-16 14:15:41.557</t>
  </si>
  <si>
    <t xml:space="preserve">FAPRED20            </t>
  </si>
  <si>
    <t>2026-03-16 14:15:41.573</t>
  </si>
  <si>
    <t>2026-03-16 14:15:41.590</t>
  </si>
  <si>
    <t xml:space="preserve">FAPREDX4#MNO        </t>
  </si>
  <si>
    <t>2026-03-16 14:15:41.607</t>
  </si>
  <si>
    <t>2026-03-16 14:15:41.620</t>
  </si>
  <si>
    <t xml:space="preserve">FAPREDX3#MNO        </t>
  </si>
  <si>
    <t>2026-03-16 14:15:41.637</t>
  </si>
  <si>
    <t>2026-03-16 14:15:41.653</t>
  </si>
  <si>
    <t xml:space="preserve">FAPREDX1#MNO        </t>
  </si>
  <si>
    <t>2026-03-16 14:15:41.667</t>
  </si>
  <si>
    <t>2026-03-16 14:15:41.683</t>
  </si>
  <si>
    <t xml:space="preserve">FAPRED30            </t>
  </si>
  <si>
    <t>2026-03-16 14:15:41.700</t>
  </si>
  <si>
    <t>2026-03-16 14:15:41.717</t>
  </si>
  <si>
    <t xml:space="preserve">FAPREDX0#MNO        </t>
  </si>
  <si>
    <t>2026-03-16 14:15:41.730</t>
  </si>
  <si>
    <t>2026-03-16 14:15:41.760</t>
  </si>
  <si>
    <t xml:space="preserve">FAPRED10            </t>
  </si>
  <si>
    <t>2026-03-16 14:15:41.777</t>
  </si>
  <si>
    <t>2026-03-16 14:15:41.793</t>
  </si>
  <si>
    <t xml:space="preserve">FAPREHX1#MNO        </t>
  </si>
  <si>
    <t>2026-03-16 14:15:42.030</t>
  </si>
  <si>
    <t xml:space="preserve">FAPREH10            </t>
  </si>
  <si>
    <t>2026-03-16 14:15:42.047</t>
  </si>
  <si>
    <t xml:space="preserve">FAPREH20            </t>
  </si>
  <si>
    <t>2026-03-16 14:15:42.063</t>
  </si>
  <si>
    <t>2026-03-16 14:15:42.077</t>
  </si>
  <si>
    <t xml:space="preserve">FAPREH30            </t>
  </si>
  <si>
    <t>2026-03-16 14:15:42.093</t>
  </si>
  <si>
    <t xml:space="preserve">FAPREH40            </t>
  </si>
  <si>
    <t>2026-03-16 14:15:42.110</t>
  </si>
  <si>
    <t xml:space="preserve">FAPREH50            </t>
  </si>
  <si>
    <t>2026-03-16 14:15:42.127</t>
  </si>
  <si>
    <t xml:space="preserve">FAPREHX0#MNO        </t>
  </si>
  <si>
    <t>2026-03-16 14:15:42.140</t>
  </si>
  <si>
    <t xml:space="preserve">FAPREL10            </t>
  </si>
  <si>
    <t>2026-03-16 14:15:42.390</t>
  </si>
  <si>
    <t>2026-03-16 14:15:42.407</t>
  </si>
  <si>
    <t xml:space="preserve">FAPRET10            </t>
  </si>
  <si>
    <t>2026-03-16 14:15:42.643</t>
  </si>
  <si>
    <t>2026-03-16 14:15:42.660</t>
  </si>
  <si>
    <t xml:space="preserve">FAPSER10            </t>
  </si>
  <si>
    <t>2026-03-16 14:15:42.893</t>
  </si>
  <si>
    <t>2026-03-16 14:15:42.910</t>
  </si>
  <si>
    <t xml:space="preserve">FAPSER60            </t>
  </si>
  <si>
    <t>2026-03-16 14:15:42.923</t>
  </si>
  <si>
    <t xml:space="preserve">FAPSER30            </t>
  </si>
  <si>
    <t>2026-03-16 14:15:42.937</t>
  </si>
  <si>
    <t>2026-03-16 14:15:42.953</t>
  </si>
  <si>
    <t xml:space="preserve">FAPSER40            </t>
  </si>
  <si>
    <t>2026-03-16 14:15:42.970</t>
  </si>
  <si>
    <t>2026-03-16 14:15:42.987</t>
  </si>
  <si>
    <t xml:space="preserve">FAPSER50            </t>
  </si>
  <si>
    <t>2026-03-16 14:15:43.000</t>
  </si>
  <si>
    <t xml:space="preserve">FAPSER20            </t>
  </si>
  <si>
    <t>2026-03-16 14:15:43.017</t>
  </si>
  <si>
    <t>2026-03-16 14:15:43.033</t>
  </si>
  <si>
    <t xml:space="preserve">FAPSPD40            </t>
  </si>
  <si>
    <t>2026-03-16 14:15:43.267</t>
  </si>
  <si>
    <t xml:space="preserve">FAPSPD10            </t>
  </si>
  <si>
    <t>2026-03-16 14:15:43.283</t>
  </si>
  <si>
    <t xml:space="preserve">FAPSPD20            </t>
  </si>
  <si>
    <t>2026-03-16 14:15:43.297</t>
  </si>
  <si>
    <t xml:space="preserve">FAPSPD00            </t>
  </si>
  <si>
    <t>2026-03-16 14:15:43.313</t>
  </si>
  <si>
    <t xml:space="preserve">FAPSPD30            </t>
  </si>
  <si>
    <t>2026-03-16 14:15:43.330</t>
  </si>
  <si>
    <t xml:space="preserve">FAPSPH10            </t>
  </si>
  <si>
    <t>2026-03-16 14:15:43.563</t>
  </si>
  <si>
    <t xml:space="preserve">FAPSPH20            </t>
  </si>
  <si>
    <t>2026-03-16 14:15:43.577</t>
  </si>
  <si>
    <t xml:space="preserve">FAPSPH30            </t>
  </si>
  <si>
    <t>2026-03-16 14:15:43.593</t>
  </si>
  <si>
    <t xml:space="preserve">FAPSSE10            </t>
  </si>
  <si>
    <t>2026-03-16 14:15:43.830</t>
  </si>
  <si>
    <t xml:space="preserve">FAPSSH10            </t>
  </si>
  <si>
    <t>2026-03-16 14:15:44.063</t>
  </si>
  <si>
    <t xml:space="preserve">FAPSSL10            </t>
  </si>
  <si>
    <t>2026-03-16 14:15:44.297</t>
  </si>
  <si>
    <t xml:space="preserve">FAPSSL20            </t>
  </si>
  <si>
    <t>2026-03-16 14:15:44.313</t>
  </si>
  <si>
    <t xml:space="preserve">FAPWH110            </t>
  </si>
  <si>
    <t>2026-03-16 14:15:44.547</t>
  </si>
  <si>
    <t xml:space="preserve">FAPWHE10            </t>
  </si>
  <si>
    <t>2026-03-16 14:15:44.787</t>
  </si>
  <si>
    <t>2026-03-16 14:15:44.800</t>
  </si>
  <si>
    <t xml:space="preserve">FAPWHP10            </t>
  </si>
  <si>
    <t>2026-03-16 14:15:45.037</t>
  </si>
  <si>
    <t>2026-03-16 14:15:45.050</t>
  </si>
  <si>
    <t xml:space="preserve">FAPWHP20            </t>
  </si>
  <si>
    <t>2026-03-16 14:15:45.067</t>
  </si>
  <si>
    <t>2026-03-16 14:15:45.083</t>
  </si>
  <si>
    <t xml:space="preserve">FAPWHT10            </t>
  </si>
  <si>
    <t>2026-03-16 14:15:45.317</t>
  </si>
  <si>
    <t xml:space="preserve">FAR10610            </t>
  </si>
  <si>
    <t>2026-03-16 14:15:45.547</t>
  </si>
  <si>
    <t xml:space="preserve">FAR11610            </t>
  </si>
  <si>
    <t>2026-03-16 14:15:45.797</t>
  </si>
  <si>
    <t>2026-03-16 14:15:45.813</t>
  </si>
  <si>
    <t xml:space="preserve">FAR20310            </t>
  </si>
  <si>
    <t>2026-03-16 14:15:46.047</t>
  </si>
  <si>
    <t xml:space="preserve">FAR32210            </t>
  </si>
  <si>
    <t>2026-03-16 14:15:46.283</t>
  </si>
  <si>
    <t xml:space="preserve">FAR40010            </t>
  </si>
  <si>
    <t>2026-03-16 14:15:46.517</t>
  </si>
  <si>
    <t xml:space="preserve">FAR41010            </t>
  </si>
  <si>
    <t>2026-03-16 14:15:46.750</t>
  </si>
  <si>
    <t xml:space="preserve">FAR51601            </t>
  </si>
  <si>
    <t>2026-03-16 14:15:46.987</t>
  </si>
  <si>
    <t xml:space="preserve">FAR51S01            </t>
  </si>
  <si>
    <t>2026-03-16 14:15:47.227</t>
  </si>
  <si>
    <t xml:space="preserve">FAR52112            </t>
  </si>
  <si>
    <t>2026-03-16 14:15:47.463</t>
  </si>
  <si>
    <t xml:space="preserve">FAR52113            </t>
  </si>
  <si>
    <t>2026-03-16 14:15:47.480</t>
  </si>
  <si>
    <t xml:space="preserve">FAR52111            </t>
  </si>
  <si>
    <t>2026-03-16 14:15:47.493</t>
  </si>
  <si>
    <t xml:space="preserve">FAR52102            </t>
  </si>
  <si>
    <t>2026-03-16 14:15:47.510</t>
  </si>
  <si>
    <t>2026-03-16 14:15:47.527</t>
  </si>
  <si>
    <t xml:space="preserve">FAR52103            </t>
  </si>
  <si>
    <t>2026-03-16 14:15:47.540</t>
  </si>
  <si>
    <t>2026-03-16 14:15:47.573</t>
  </si>
  <si>
    <t xml:space="preserve">FAR52101            </t>
  </si>
  <si>
    <t>2026-03-16 14:15:47.587</t>
  </si>
  <si>
    <t xml:space="preserve">FAR54500            </t>
  </si>
  <si>
    <t>2026-03-16 14:15:47.823</t>
  </si>
  <si>
    <t xml:space="preserve">FAR54510            </t>
  </si>
  <si>
    <t>2026-03-16 14:15:47.837</t>
  </si>
  <si>
    <t>2026-03-16 14:15:47.853</t>
  </si>
  <si>
    <t xml:space="preserve">FAR54520            </t>
  </si>
  <si>
    <t>2026-03-16 14:15:47.870</t>
  </si>
  <si>
    <t xml:space="preserve">FAR61130            </t>
  </si>
  <si>
    <t>2026-03-16 14:15:48.097</t>
  </si>
  <si>
    <t>2026-03-16 14:15:48.107</t>
  </si>
  <si>
    <t>11</t>
  </si>
  <si>
    <t xml:space="preserve">FAR61120            </t>
  </si>
  <si>
    <t>2026-03-16 14:15:48.123</t>
  </si>
  <si>
    <t xml:space="preserve">FAR61110            </t>
  </si>
  <si>
    <t>2026-03-16 14:15:48.140</t>
  </si>
  <si>
    <t xml:space="preserve">FAR99910            </t>
  </si>
  <si>
    <t>2026-03-16 14:15:48.367</t>
  </si>
  <si>
    <t>2026-03-16 14:15:48.380</t>
  </si>
  <si>
    <t xml:space="preserve">FARBKQ10            </t>
  </si>
  <si>
    <t>2026-03-16 14:15:48.617</t>
  </si>
  <si>
    <t>2026-03-16 14:15:48.630</t>
  </si>
  <si>
    <t xml:space="preserve">FARBKQ20            </t>
  </si>
  <si>
    <t>2026-03-16 14:15:48.647</t>
  </si>
  <si>
    <t xml:space="preserve">FARBKQ30            </t>
  </si>
  <si>
    <t>2026-03-16 14:15:48.660</t>
  </si>
  <si>
    <t xml:space="preserve">FARBKQ40            </t>
  </si>
  <si>
    <t>2026-03-16 14:15:48.677</t>
  </si>
  <si>
    <t>2026-03-16 14:15:48.693</t>
  </si>
  <si>
    <t xml:space="preserve">FARBKQ50            </t>
  </si>
  <si>
    <t>2026-03-16 14:15:48.707</t>
  </si>
  <si>
    <t>2026-03-16 14:15:48.723</t>
  </si>
  <si>
    <t xml:space="preserve">FARBPB10            </t>
  </si>
  <si>
    <t>2026-03-16 14:15:48.957</t>
  </si>
  <si>
    <t>2026-03-16 14:15:48.987</t>
  </si>
  <si>
    <t xml:space="preserve">FARBPI10            </t>
  </si>
  <si>
    <t>2026-03-16 14:15:49.220</t>
  </si>
  <si>
    <t xml:space="preserve">FARBPIX0#MNO        </t>
  </si>
  <si>
    <t>2026-03-16 14:15:49.237</t>
  </si>
  <si>
    <t>2026-03-16 14:15:49.253</t>
  </si>
  <si>
    <t xml:space="preserve">FARBPTX1#MBR        </t>
  </si>
  <si>
    <t>2026-03-16 14:15:49.480</t>
  </si>
  <si>
    <t xml:space="preserve">FARCOD10            </t>
  </si>
  <si>
    <t>2026-03-16 14:15:49.713</t>
  </si>
  <si>
    <t xml:space="preserve">FARCOH10            </t>
  </si>
  <si>
    <t>2026-03-16 14:15:49.957</t>
  </si>
  <si>
    <t xml:space="preserve">FARCOH20            </t>
  </si>
  <si>
    <t>2026-03-16 14:15:49.970</t>
  </si>
  <si>
    <t xml:space="preserve">FARCOH30            </t>
  </si>
  <si>
    <t>2026-03-16 14:15:49.987</t>
  </si>
  <si>
    <t xml:space="preserve">FARCOI10            </t>
  </si>
  <si>
    <t>2026-03-16 14:15:50.220</t>
  </si>
  <si>
    <t xml:space="preserve">FARCOI20            </t>
  </si>
  <si>
    <t>2026-03-16 14:15:50.237</t>
  </si>
  <si>
    <t xml:space="preserve">FARCOI30            </t>
  </si>
  <si>
    <t>2026-03-16 14:15:50.250</t>
  </si>
  <si>
    <t xml:space="preserve">FARCOI40            </t>
  </si>
  <si>
    <t>2026-03-16 14:15:50.267</t>
  </si>
  <si>
    <t xml:space="preserve">FARDAD10            </t>
  </si>
  <si>
    <t>2026-03-16 14:15:50.500</t>
  </si>
  <si>
    <t xml:space="preserve">FARDAH10            </t>
  </si>
  <si>
    <t>2026-03-16 14:15:50.737</t>
  </si>
  <si>
    <t xml:space="preserve">FARDAI10            </t>
  </si>
  <si>
    <t>2026-03-16 14:15:50.973</t>
  </si>
  <si>
    <t xml:space="preserve">FARDDR10            </t>
  </si>
  <si>
    <t>2026-03-16 14:15:51.207</t>
  </si>
  <si>
    <t xml:space="preserve">FARDDR20            </t>
  </si>
  <si>
    <t>2026-03-16 14:15:51.223</t>
  </si>
  <si>
    <t xml:space="preserve">FAPIBH40            </t>
  </si>
  <si>
    <t>2026-03-16 14:15:51.427</t>
  </si>
  <si>
    <t>2026-03-16 14:16:00.893</t>
  </si>
  <si>
    <t>9468</t>
  </si>
  <si>
    <t xml:space="preserve">FARDDT10            </t>
  </si>
  <si>
    <t>2026-03-16 14:15:51.457</t>
  </si>
  <si>
    <t xml:space="preserve">FARHED20            </t>
  </si>
  <si>
    <t>2026-03-16 14:15:51.690</t>
  </si>
  <si>
    <t xml:space="preserve">FARHED10            </t>
  </si>
  <si>
    <t>2026-03-16 14:15:51.707</t>
  </si>
  <si>
    <t xml:space="preserve">FARIID10            </t>
  </si>
  <si>
    <t>2026-03-16 14:15:51.940</t>
  </si>
  <si>
    <t xml:space="preserve">FARIID30            </t>
  </si>
  <si>
    <t>2026-03-16 14:15:51.957</t>
  </si>
  <si>
    <t xml:space="preserve">FARIID40            </t>
  </si>
  <si>
    <t>2026-03-16 14:15:51.973</t>
  </si>
  <si>
    <t xml:space="preserve">FARIID20            </t>
  </si>
  <si>
    <t>2026-03-16 14:15:51.987</t>
  </si>
  <si>
    <t xml:space="preserve">FARIIH10            </t>
  </si>
  <si>
    <t>2026-03-16 14:15:52.223</t>
  </si>
  <si>
    <t xml:space="preserve">FARIIH20            </t>
  </si>
  <si>
    <t>2026-03-16 14:15:52.237</t>
  </si>
  <si>
    <t xml:space="preserve">FARIIH30            </t>
  </si>
  <si>
    <t>2026-03-16 14:15:52.253</t>
  </si>
  <si>
    <t xml:space="preserve">FARIII20            </t>
  </si>
  <si>
    <t>2026-03-16 14:15:52.487</t>
  </si>
  <si>
    <t xml:space="preserve">FARIII10            </t>
  </si>
  <si>
    <t>2026-03-16 14:15:52.503</t>
  </si>
  <si>
    <t>2026-03-16 14:15:52.520</t>
  </si>
  <si>
    <t xml:space="preserve">FARP4010            </t>
  </si>
  <si>
    <t>2026-03-16 14:15:52.753</t>
  </si>
  <si>
    <t xml:space="preserve">FARPCR10            </t>
  </si>
  <si>
    <t>2026-03-16 14:15:52.987</t>
  </si>
  <si>
    <t>2026-03-16 14:15:53.003</t>
  </si>
  <si>
    <t xml:space="preserve">FARPPD10            </t>
  </si>
  <si>
    <t>2026-03-16 14:15:53.237</t>
  </si>
  <si>
    <t xml:space="preserve">FARPPH10            </t>
  </si>
  <si>
    <t>2026-03-16 14:15:53.473</t>
  </si>
  <si>
    <t xml:space="preserve">FARPRD30            </t>
  </si>
  <si>
    <t>2026-03-16 14:15:53.707</t>
  </si>
  <si>
    <t xml:space="preserve">FARPRD20            </t>
  </si>
  <si>
    <t>2026-03-16 14:15:53.723</t>
  </si>
  <si>
    <t xml:space="preserve">FARPRD10            </t>
  </si>
  <si>
    <t>2026-03-16 14:15:53.740</t>
  </si>
  <si>
    <t xml:space="preserve">FARPRH20            </t>
  </si>
  <si>
    <t>2026-03-16 14:15:53.973</t>
  </si>
  <si>
    <t xml:space="preserve">FARPRH10            </t>
  </si>
  <si>
    <t>2026-03-16 14:15:53.987</t>
  </si>
  <si>
    <t xml:space="preserve">FARPRL10            </t>
  </si>
  <si>
    <t>2026-03-16 14:15:54.223</t>
  </si>
  <si>
    <t xml:space="preserve">FARPRL20            </t>
  </si>
  <si>
    <t>2026-03-16 14:15:54.237</t>
  </si>
  <si>
    <t xml:space="preserve">FARPTL10            </t>
  </si>
  <si>
    <t>2026-03-16 14:15:54.467</t>
  </si>
  <si>
    <t>2026-03-16 14:15:54.483</t>
  </si>
  <si>
    <t xml:space="preserve">FARPTL20            </t>
  </si>
  <si>
    <t>2026-03-16 14:15:54.497</t>
  </si>
  <si>
    <t xml:space="preserve">FARREC10            </t>
  </si>
  <si>
    <t>2026-03-16 14:15:54.730</t>
  </si>
  <si>
    <t xml:space="preserve">FARRED25            </t>
  </si>
  <si>
    <t>2026-03-16 14:15:54.957</t>
  </si>
  <si>
    <t xml:space="preserve">FARRED26            </t>
  </si>
  <si>
    <t>2026-03-16 14:15:54.973</t>
  </si>
  <si>
    <t xml:space="preserve">FARRED57            </t>
  </si>
  <si>
    <t>2026-03-16 14:15:54.990</t>
  </si>
  <si>
    <t xml:space="preserve">FARRED20            </t>
  </si>
  <si>
    <t>2026-03-16 14:15:55.003</t>
  </si>
  <si>
    <t xml:space="preserve">FARRED56            </t>
  </si>
  <si>
    <t>2026-03-16 14:15:55.020</t>
  </si>
  <si>
    <t xml:space="preserve">FARRED50            </t>
  </si>
  <si>
    <t>2026-03-16 14:15:55.037</t>
  </si>
  <si>
    <t xml:space="preserve">FARRED65            </t>
  </si>
  <si>
    <t>2026-03-16 14:15:55.050</t>
  </si>
  <si>
    <t xml:space="preserve">FARRED80            </t>
  </si>
  <si>
    <t>2026-03-16 14:15:55.067</t>
  </si>
  <si>
    <t xml:space="preserve">FARRED91            </t>
  </si>
  <si>
    <t>2026-03-16 14:15:55.083</t>
  </si>
  <si>
    <t xml:space="preserve">FARRED27            </t>
  </si>
  <si>
    <t>2026-03-16 14:15:55.097</t>
  </si>
  <si>
    <t xml:space="preserve">FARRED60            </t>
  </si>
  <si>
    <t>2026-03-16 14:15:55.113</t>
  </si>
  <si>
    <t xml:space="preserve">FARRED55            </t>
  </si>
  <si>
    <t>2026-03-16 14:15:55.130</t>
  </si>
  <si>
    <t xml:space="preserve">FARRED21            </t>
  </si>
  <si>
    <t>2026-03-16 14:15:55.147</t>
  </si>
  <si>
    <t xml:space="preserve">FARRED10            </t>
  </si>
  <si>
    <t>2026-03-16 14:15:55.160</t>
  </si>
  <si>
    <t xml:space="preserve">FARRED11            </t>
  </si>
  <si>
    <t>2026-03-16 14:15:55.177</t>
  </si>
  <si>
    <t xml:space="preserve">FARRED15            </t>
  </si>
  <si>
    <t>2026-03-16 14:15:55.193</t>
  </si>
  <si>
    <t xml:space="preserve">FARRED90            </t>
  </si>
  <si>
    <t>2026-03-16 14:15:55.207</t>
  </si>
  <si>
    <t xml:space="preserve">FARRED70            </t>
  </si>
  <si>
    <t>2026-03-16 14:15:55.223</t>
  </si>
  <si>
    <t xml:space="preserve">FARRED30            </t>
  </si>
  <si>
    <t>2026-03-16 14:15:55.240</t>
  </si>
  <si>
    <t xml:space="preserve">FARRED40            </t>
  </si>
  <si>
    <t>2026-03-16 14:15:55.253</t>
  </si>
  <si>
    <t xml:space="preserve">FARREM10            </t>
  </si>
  <si>
    <t>2026-03-16 14:15:55.487</t>
  </si>
  <si>
    <t>2026-03-16 14:15:55.517</t>
  </si>
  <si>
    <t xml:space="preserve">FARREM01            </t>
  </si>
  <si>
    <t>2026-03-16 14:15:55.533</t>
  </si>
  <si>
    <t xml:space="preserve">FARREM30            </t>
  </si>
  <si>
    <t>2026-03-16 14:15:55.550</t>
  </si>
  <si>
    <t xml:space="preserve">FARREM20            </t>
  </si>
  <si>
    <t>2026-03-16 14:15:55.563</t>
  </si>
  <si>
    <t xml:space="preserve">FARRES10            </t>
  </si>
  <si>
    <t>2026-03-16 14:15:55.817</t>
  </si>
  <si>
    <t>2026-03-16 14:15:55.830</t>
  </si>
  <si>
    <t xml:space="preserve">FARRMD30            </t>
  </si>
  <si>
    <t>2026-03-16 14:15:56.057</t>
  </si>
  <si>
    <t xml:space="preserve">FARRMD10            </t>
  </si>
  <si>
    <t>2026-03-16 14:15:56.070</t>
  </si>
  <si>
    <t>2026-03-16 14:15:56.087</t>
  </si>
  <si>
    <t xml:space="preserve">FARRMD20            </t>
  </si>
  <si>
    <t>2026-03-16 14:15:56.103</t>
  </si>
  <si>
    <t xml:space="preserve">FARRMH10            </t>
  </si>
  <si>
    <t>2026-03-16 14:15:56.340</t>
  </si>
  <si>
    <t>2026-03-16 14:15:56.357</t>
  </si>
  <si>
    <t xml:space="preserve">FARRMH20            </t>
  </si>
  <si>
    <t>2026-03-16 14:15:56.370</t>
  </si>
  <si>
    <t>2026-03-16 14:15:56.387</t>
  </si>
  <si>
    <t xml:space="preserve">FARRMH30            </t>
  </si>
  <si>
    <t>2026-03-16 14:15:56.403</t>
  </si>
  <si>
    <t>2026-03-16 14:15:56.417</t>
  </si>
  <si>
    <t xml:space="preserve">FARRMI30            </t>
  </si>
  <si>
    <t>2026-03-16 14:15:56.653</t>
  </si>
  <si>
    <t>2026-03-16 14:15:56.667</t>
  </si>
  <si>
    <t xml:space="preserve">FARRMI40            </t>
  </si>
  <si>
    <t>2026-03-16 14:15:56.683</t>
  </si>
  <si>
    <t>2026-03-16 14:15:56.700</t>
  </si>
  <si>
    <t xml:space="preserve">FARRMI60            </t>
  </si>
  <si>
    <t>2026-03-16 14:15:56.717</t>
  </si>
  <si>
    <t xml:space="preserve">FARRMI70            </t>
  </si>
  <si>
    <t>2026-03-16 14:15:56.730</t>
  </si>
  <si>
    <t xml:space="preserve">FARRMI10            </t>
  </si>
  <si>
    <t>2026-03-16 14:15:56.763</t>
  </si>
  <si>
    <t xml:space="preserve">FARRMI50            </t>
  </si>
  <si>
    <t>2026-03-16 14:15:56.777</t>
  </si>
  <si>
    <t xml:space="preserve">FARRMI55            </t>
  </si>
  <si>
    <t>2026-03-16 14:15:56.793</t>
  </si>
  <si>
    <t xml:space="preserve">FARRMI20            </t>
  </si>
  <si>
    <t>2026-03-16 14:15:56.810</t>
  </si>
  <si>
    <t xml:space="preserve">FARRMI90            </t>
  </si>
  <si>
    <t>2026-03-16 14:15:56.827</t>
  </si>
  <si>
    <t>2026-03-16 14:15:56.840</t>
  </si>
  <si>
    <t xml:space="preserve">FARRPD20            </t>
  </si>
  <si>
    <t>2026-03-16 14:15:57.067</t>
  </si>
  <si>
    <t xml:space="preserve">FARRPD50            </t>
  </si>
  <si>
    <t>2026-03-16 14:15:57.083</t>
  </si>
  <si>
    <t>2026-03-16 14:15:57.100</t>
  </si>
  <si>
    <t xml:space="preserve">FARRPD40            </t>
  </si>
  <si>
    <t>2026-03-16 14:15:57.113</t>
  </si>
  <si>
    <t>2026-03-16 14:15:57.130</t>
  </si>
  <si>
    <t xml:space="preserve">FARRPD10            </t>
  </si>
  <si>
    <t>2026-03-16 14:15:57.147</t>
  </si>
  <si>
    <t xml:space="preserve">FARRPD30            </t>
  </si>
  <si>
    <t>2026-03-16 14:15:57.160</t>
  </si>
  <si>
    <t>2026-03-16 14:15:57.177</t>
  </si>
  <si>
    <t xml:space="preserve">FARRPH10            </t>
  </si>
  <si>
    <t>2026-03-16 14:15:57.410</t>
  </si>
  <si>
    <t>2026-03-16 14:15:57.427</t>
  </si>
  <si>
    <t xml:space="preserve">FARRPH01            </t>
  </si>
  <si>
    <t>2026-03-16 14:15:57.443</t>
  </si>
  <si>
    <t xml:space="preserve">FARRPI20            </t>
  </si>
  <si>
    <t>2026-03-16 14:15:57.677</t>
  </si>
  <si>
    <t>2026-03-16 14:15:57.693</t>
  </si>
  <si>
    <t xml:space="preserve">FARRPI10            </t>
  </si>
  <si>
    <t>2026-03-16 14:15:57.707</t>
  </si>
  <si>
    <t xml:space="preserve">FARRPP10            </t>
  </si>
  <si>
    <t>2026-03-16 14:15:57.943</t>
  </si>
  <si>
    <t xml:space="preserve">FARRPT10            </t>
  </si>
  <si>
    <t>2026-03-16 14:15:58.177</t>
  </si>
  <si>
    <t xml:space="preserve">FARSAD20            </t>
  </si>
  <si>
    <t>2026-03-16 14:15:58.430</t>
  </si>
  <si>
    <t xml:space="preserve">FARSAD10            </t>
  </si>
  <si>
    <t>2026-03-16 14:15:58.447</t>
  </si>
  <si>
    <t xml:space="preserve">FARSAH10            </t>
  </si>
  <si>
    <t xml:space="preserve">FARSAH20            </t>
  </si>
  <si>
    <t>2026-03-16 14:15:58.700</t>
  </si>
  <si>
    <t xml:space="preserve">FARSAH30            </t>
  </si>
  <si>
    <t>2026-03-16 14:15:58.713</t>
  </si>
  <si>
    <t xml:space="preserve">CCTLSF10            </t>
  </si>
  <si>
    <t>2026-03-16 14:15:58.793</t>
  </si>
  <si>
    <t>2026-03-16 14:18:01.503</t>
  </si>
  <si>
    <t>122711</t>
  </si>
  <si>
    <t xml:space="preserve">CCTLSF20            </t>
  </si>
  <si>
    <t xml:space="preserve">FARSAI30            </t>
  </si>
  <si>
    <t>2026-03-16 14:15:58.943</t>
  </si>
  <si>
    <t>2026-03-16 14:15:58.960</t>
  </si>
  <si>
    <t xml:space="preserve">FARSAI40            </t>
  </si>
  <si>
    <t>2026-03-16 14:15:58.977</t>
  </si>
  <si>
    <t xml:space="preserve">FARSAI50            </t>
  </si>
  <si>
    <t>2026-03-16 14:15:58.990</t>
  </si>
  <si>
    <t xml:space="preserve">FARSAI60            </t>
  </si>
  <si>
    <t>2026-03-16 14:15:59.007</t>
  </si>
  <si>
    <t xml:space="preserve">FARSAI10            </t>
  </si>
  <si>
    <t>2026-03-16 14:15:59.023</t>
  </si>
  <si>
    <t xml:space="preserve">FARSAI20            </t>
  </si>
  <si>
    <t>2026-03-16 14:15:59.037</t>
  </si>
  <si>
    <t xml:space="preserve">FARWTI10            </t>
  </si>
  <si>
    <t>2026-03-16 14:15:59.273</t>
  </si>
  <si>
    <t xml:space="preserve">FARWTS10            </t>
  </si>
  <si>
    <t>2026-03-16 14:15:59.507</t>
  </si>
  <si>
    <t>2026-03-16 14:15:59.520</t>
  </si>
  <si>
    <t xml:space="preserve">FBAAHE10            </t>
  </si>
  <si>
    <t>2026-03-16 14:15:59.757</t>
  </si>
  <si>
    <t>2026-03-16 14:15:59.803</t>
  </si>
  <si>
    <t xml:space="preserve">FBAKEY01            </t>
  </si>
  <si>
    <t>2026-03-16 14:16:00.127</t>
  </si>
  <si>
    <t>2026-03-16 14:18:20.967</t>
  </si>
  <si>
    <t>140841</t>
  </si>
  <si>
    <t xml:space="preserve">FBAKEY02            </t>
  </si>
  <si>
    <t xml:space="preserve">FBAKEY03            </t>
  </si>
  <si>
    <t>2026-03-16 14:18:17.480</t>
  </si>
  <si>
    <t>137354</t>
  </si>
  <si>
    <t xml:space="preserve">FBAKEY40            </t>
  </si>
  <si>
    <t xml:space="preserve">FAPIBH30            </t>
  </si>
  <si>
    <t>2026-03-16 14:16:00.910</t>
  </si>
  <si>
    <t>2026-03-16 14:16:07.683</t>
  </si>
  <si>
    <t>6775</t>
  </si>
  <si>
    <t xml:space="preserve">FAPIBH10            </t>
  </si>
  <si>
    <t>2026-03-16 14:16:07.700</t>
  </si>
  <si>
    <t>2026-03-16 14:16:13.200</t>
  </si>
  <si>
    <t>5500</t>
  </si>
  <si>
    <t xml:space="preserve">CSYCAL05            </t>
  </si>
  <si>
    <t>2026-03-16 14:16:08.573</t>
  </si>
  <si>
    <t>2026-03-16 14:16:51.570</t>
  </si>
  <si>
    <t>42999</t>
  </si>
  <si>
    <t xml:space="preserve">CSYCAL25            </t>
  </si>
  <si>
    <t>2026-03-16 14:16:46.540</t>
  </si>
  <si>
    <t>37968</t>
  </si>
  <si>
    <t xml:space="preserve">CSYCAL50            </t>
  </si>
  <si>
    <t xml:space="preserve">CSYCAL80            </t>
  </si>
  <si>
    <t xml:space="preserve">FBAPLH10            </t>
  </si>
  <si>
    <t>2026-03-16 14:16:13.433</t>
  </si>
  <si>
    <t>2026-03-16 14:16:13.450</t>
  </si>
  <si>
    <t xml:space="preserve">FBAVAL10            </t>
  </si>
  <si>
    <t>2026-03-16 14:16:13.683</t>
  </si>
  <si>
    <t>2026-03-16 14:51:55.710</t>
  </si>
  <si>
    <t>2142026</t>
  </si>
  <si>
    <t xml:space="preserve">CSYCAL15            </t>
  </si>
  <si>
    <t>2026-03-16 14:16:51.680</t>
  </si>
  <si>
    <t>2026-03-16 14:17:33.267</t>
  </si>
  <si>
    <t>41585</t>
  </si>
  <si>
    <t xml:space="preserve">FBDCTH10            </t>
  </si>
  <si>
    <t>2026-03-16 14:17:28.290</t>
  </si>
  <si>
    <t>2026-03-16 14:17:28.303</t>
  </si>
  <si>
    <t xml:space="preserve">FBDISE10            </t>
  </si>
  <si>
    <t>2026-03-16 14:17:28.540</t>
  </si>
  <si>
    <t xml:space="preserve">FBKDEF10            </t>
  </si>
  <si>
    <t>2026-03-16 14:17:28.767</t>
  </si>
  <si>
    <t>2026-03-16 14:17:28.780</t>
  </si>
  <si>
    <t xml:space="preserve">FBKDEF20            </t>
  </si>
  <si>
    <t>2026-03-16 14:17:28.797</t>
  </si>
  <si>
    <t xml:space="preserve">FBKDEF40            </t>
  </si>
  <si>
    <t>2026-03-16 14:17:28.813</t>
  </si>
  <si>
    <t xml:space="preserve">FBNKFO10            </t>
  </si>
  <si>
    <t>2026-03-16 14:17:29.047</t>
  </si>
  <si>
    <t>2026-03-16 14:17:29.063</t>
  </si>
  <si>
    <t xml:space="preserve">FBRPLH10            </t>
  </si>
  <si>
    <t>2026-03-16 14:17:29.290</t>
  </si>
  <si>
    <t>2026-03-16 14:17:29.307</t>
  </si>
  <si>
    <t xml:space="preserve">FBSREC10            </t>
  </si>
  <si>
    <t>2026-03-16 14:17:29.540</t>
  </si>
  <si>
    <t xml:space="preserve">FBSREH20            </t>
  </si>
  <si>
    <t>2026-03-16 14:17:29.777</t>
  </si>
  <si>
    <t xml:space="preserve">FBSREH30            </t>
  </si>
  <si>
    <t>2026-03-16 14:17:29.790</t>
  </si>
  <si>
    <t xml:space="preserve">FBSREH10            </t>
  </si>
  <si>
    <t>2026-03-16 14:17:29.807</t>
  </si>
  <si>
    <t xml:space="preserve">FBSREL10            </t>
  </si>
  <si>
    <t>2026-03-16 14:17:30.033</t>
  </si>
  <si>
    <t>2026-03-16 14:17:30.050</t>
  </si>
  <si>
    <t xml:space="preserve">FBSREM30            </t>
  </si>
  <si>
    <t>2026-03-16 14:17:30.283</t>
  </si>
  <si>
    <t xml:space="preserve">FBSREM20            </t>
  </si>
  <si>
    <t>2026-03-16 14:17:30.300</t>
  </si>
  <si>
    <t xml:space="preserve">FBSREM10            </t>
  </si>
  <si>
    <t>2026-03-16 14:17:30.317</t>
  </si>
  <si>
    <t xml:space="preserve">FBTMPH10            </t>
  </si>
  <si>
    <t>2026-03-16 14:17:30.550</t>
  </si>
  <si>
    <t xml:space="preserve">FBU04020            </t>
  </si>
  <si>
    <t>2026-03-16 14:17:30.783</t>
  </si>
  <si>
    <t xml:space="preserve">FBU04001            </t>
  </si>
  <si>
    <t>2026-03-16 14:17:30.800</t>
  </si>
  <si>
    <t xml:space="preserve">FBU12110            </t>
  </si>
  <si>
    <t>2026-03-16 14:17:31.037</t>
  </si>
  <si>
    <t xml:space="preserve">FBU18110            </t>
  </si>
  <si>
    <t>2026-03-16 14:17:31.270</t>
  </si>
  <si>
    <t xml:space="preserve">FBU18210            </t>
  </si>
  <si>
    <t>2026-03-16 14:17:31.507</t>
  </si>
  <si>
    <t xml:space="preserve">FBUDAY20            </t>
  </si>
  <si>
    <t>2026-03-16 14:17:31.750</t>
  </si>
  <si>
    <t>2026-03-16 14:17:31.753</t>
  </si>
  <si>
    <t xml:space="preserve">FBUDEF10            </t>
  </si>
  <si>
    <t>2026-03-16 14:17:31.973</t>
  </si>
  <si>
    <t>2026-03-16 14:17:32.037</t>
  </si>
  <si>
    <t xml:space="preserve">FBUDEF30            </t>
  </si>
  <si>
    <t>2026-03-16 14:17:32.100</t>
  </si>
  <si>
    <t xml:space="preserve">FBUDET10            </t>
  </si>
  <si>
    <t>2026-03-16 14:17:32.333</t>
  </si>
  <si>
    <t>2026-03-16 14:17:52.373</t>
  </si>
  <si>
    <t>20041</t>
  </si>
  <si>
    <t xml:space="preserve">FBUDIS10            </t>
  </si>
  <si>
    <t>2026-03-16 14:17:33.610</t>
  </si>
  <si>
    <t>2026-03-16 14:17:33.860</t>
  </si>
  <si>
    <t xml:space="preserve">FBUSUM01            </t>
  </si>
  <si>
    <t>2026-03-16 14:17:34.093</t>
  </si>
  <si>
    <t>2026-03-16 14:17:35.877</t>
  </si>
  <si>
    <t>1781</t>
  </si>
  <si>
    <t xml:space="preserve">FBUSUM10            </t>
  </si>
  <si>
    <t>2026-03-16 14:17:35.890</t>
  </si>
  <si>
    <t>2026-03-16 14:17:37.850</t>
  </si>
  <si>
    <t>1960</t>
  </si>
  <si>
    <t xml:space="preserve">FBUSUM20            </t>
  </si>
  <si>
    <t>2026-03-16 14:17:39.837</t>
  </si>
  <si>
    <t>1984</t>
  </si>
  <si>
    <t xml:space="preserve">FBUSUM30            </t>
  </si>
  <si>
    <t>2026-03-16 14:17:39.850</t>
  </si>
  <si>
    <t>2026-03-16 14:17:41.780</t>
  </si>
  <si>
    <t>1930</t>
  </si>
  <si>
    <t xml:space="preserve">FBUSUM40            </t>
  </si>
  <si>
    <t>2026-03-16 14:17:41.797</t>
  </si>
  <si>
    <t>2026-03-16 14:17:43.550</t>
  </si>
  <si>
    <t>1755</t>
  </si>
  <si>
    <t xml:space="preserve">FBUSUM50            </t>
  </si>
  <si>
    <t>2026-03-16 14:17:43.567</t>
  </si>
  <si>
    <t>2026-03-16 14:17:45.327</t>
  </si>
  <si>
    <t>1762</t>
  </si>
  <si>
    <t xml:space="preserve">FBUSUM60            </t>
  </si>
  <si>
    <t>2026-03-16 14:17:47.087</t>
  </si>
  <si>
    <t>1758</t>
  </si>
  <si>
    <t xml:space="preserve">FBUSUM70            </t>
  </si>
  <si>
    <t>2026-03-16 14:17:47.100</t>
  </si>
  <si>
    <t>2026-03-16 14:17:48.893</t>
  </si>
  <si>
    <t>1794</t>
  </si>
  <si>
    <t xml:space="preserve">FCA17D10            </t>
  </si>
  <si>
    <t>2026-03-16 14:17:49.130</t>
  </si>
  <si>
    <t xml:space="preserve">FCA17H10            </t>
  </si>
  <si>
    <t>2026-03-16 14:17:49.360</t>
  </si>
  <si>
    <t xml:space="preserve">FCA17T10            </t>
  </si>
  <si>
    <t>2026-03-16 14:17:49.597</t>
  </si>
  <si>
    <t xml:space="preserve">FCA51110            </t>
  </si>
  <si>
    <t>2026-03-16 14:17:49.830</t>
  </si>
  <si>
    <t xml:space="preserve">FCA51600            </t>
  </si>
  <si>
    <t>2026-03-16 14:17:50.067</t>
  </si>
  <si>
    <t xml:space="preserve">FCA53110            </t>
  </si>
  <si>
    <t>2026-03-16 14:17:50.300</t>
  </si>
  <si>
    <t xml:space="preserve">FCA53620            </t>
  </si>
  <si>
    <t>2026-03-16 14:17:50.533</t>
  </si>
  <si>
    <t xml:space="preserve">FCA53610            </t>
  </si>
  <si>
    <t>2026-03-16 14:17:50.550</t>
  </si>
  <si>
    <t xml:space="preserve">FCA53630            </t>
  </si>
  <si>
    <t>2026-03-16 14:17:50.567</t>
  </si>
  <si>
    <t xml:space="preserve">FCA54110            </t>
  </si>
  <si>
    <t>2026-03-16 14:17:50.800</t>
  </si>
  <si>
    <t xml:space="preserve">FCAAVC10            </t>
  </si>
  <si>
    <t>2026-03-16 14:17:51.050</t>
  </si>
  <si>
    <t xml:space="preserve">FCAAVP20            </t>
  </si>
  <si>
    <t>2026-03-16 14:17:51.283</t>
  </si>
  <si>
    <t>2026-03-16 14:17:51.300</t>
  </si>
  <si>
    <t xml:space="preserve">FCAAVP10            </t>
  </si>
  <si>
    <t>2026-03-16 14:17:51.317</t>
  </si>
  <si>
    <t xml:space="preserve">FCACCV30            </t>
  </si>
  <si>
    <t>2026-03-16 14:17:51.550</t>
  </si>
  <si>
    <t>2026-03-16 14:17:51.580</t>
  </si>
  <si>
    <t xml:space="preserve">FCACCV10            </t>
  </si>
  <si>
    <t>2026-03-16 14:17:51.597</t>
  </si>
  <si>
    <t>2026-03-16 14:17:51.623</t>
  </si>
  <si>
    <t xml:space="preserve">FCACCV20            </t>
  </si>
  <si>
    <t>2026-03-16 14:17:51.640</t>
  </si>
  <si>
    <t>2026-03-16 14:17:51.670</t>
  </si>
  <si>
    <t xml:space="preserve">FCAIDL10            </t>
  </si>
  <si>
    <t>2026-03-16 14:17:51.907</t>
  </si>
  <si>
    <t>2026-03-16 14:17:51.920</t>
  </si>
  <si>
    <t xml:space="preserve">FCAIDL20            </t>
  </si>
  <si>
    <t>2026-03-16 14:17:51.937</t>
  </si>
  <si>
    <t>2026-03-16 14:17:51.967</t>
  </si>
  <si>
    <t xml:space="preserve">FCAIDL30            </t>
  </si>
  <si>
    <t>2026-03-16 14:17:51.983</t>
  </si>
  <si>
    <t>2026-03-16 14:17:52.013</t>
  </si>
  <si>
    <t xml:space="preserve">FCARRD10            </t>
  </si>
  <si>
    <t>2026-03-16 14:17:52.250</t>
  </si>
  <si>
    <t xml:space="preserve">FCARRD20            </t>
  </si>
  <si>
    <t>2026-03-16 14:17:52.263</t>
  </si>
  <si>
    <t xml:space="preserve">FBUDET20            </t>
  </si>
  <si>
    <t>2026-03-16 14:17:52.390</t>
  </si>
  <si>
    <t>2026-03-16 14:18:14.660</t>
  </si>
  <si>
    <t>22272</t>
  </si>
  <si>
    <t xml:space="preserve">FCARUD10            </t>
  </si>
  <si>
    <t>2026-03-16 14:17:52.500</t>
  </si>
  <si>
    <t xml:space="preserve">FCARUD20            </t>
  </si>
  <si>
    <t>2026-03-16 14:17:52.517</t>
  </si>
  <si>
    <t xml:space="preserve">FCARUD30            </t>
  </si>
  <si>
    <t>2026-03-16 14:17:52.547</t>
  </si>
  <si>
    <t xml:space="preserve">FCARUD40            </t>
  </si>
  <si>
    <t>2026-03-16 14:17:52.563</t>
  </si>
  <si>
    <t>2026-03-16 14:17:52.577</t>
  </si>
  <si>
    <t>12</t>
  </si>
  <si>
    <t xml:space="preserve">FCAVDF10            </t>
  </si>
  <si>
    <t>2026-03-16 14:17:52.817</t>
  </si>
  <si>
    <t xml:space="preserve">FCF10010            </t>
  </si>
  <si>
    <t>2026-03-16 14:17:53.050</t>
  </si>
  <si>
    <t xml:space="preserve">FCF10015            </t>
  </si>
  <si>
    <t>2026-03-16 14:17:53.067</t>
  </si>
  <si>
    <t xml:space="preserve">FCF10020            </t>
  </si>
  <si>
    <t>2026-03-16 14:17:53.080</t>
  </si>
  <si>
    <t xml:space="preserve">FCF10110            </t>
  </si>
  <si>
    <t>2026-03-16 14:17:53.317</t>
  </si>
  <si>
    <t xml:space="preserve">FCF10100            </t>
  </si>
  <si>
    <t>2026-03-16 14:17:53.330</t>
  </si>
  <si>
    <t xml:space="preserve">FCFACV20            </t>
  </si>
  <si>
    <t>2026-03-16 14:17:53.567</t>
  </si>
  <si>
    <t xml:space="preserve">FCFACV30            </t>
  </si>
  <si>
    <t>2026-03-16 14:17:53.580</t>
  </si>
  <si>
    <t>2026-03-16 14:17:53.597</t>
  </si>
  <si>
    <t xml:space="preserve">FCFACV10            </t>
  </si>
  <si>
    <t>2026-03-16 14:17:53.613</t>
  </si>
  <si>
    <t xml:space="preserve">FCFBIN20            </t>
  </si>
  <si>
    <t>2026-03-16 14:17:53.847</t>
  </si>
  <si>
    <t>2026-03-16 14:17:53.863</t>
  </si>
  <si>
    <t xml:space="preserve">FCFBIN30            </t>
  </si>
  <si>
    <t>2026-03-16 14:17:53.877</t>
  </si>
  <si>
    <t xml:space="preserve">FCFBIN80            </t>
  </si>
  <si>
    <t>2026-03-16 14:17:53.893</t>
  </si>
  <si>
    <t xml:space="preserve">FCFBIN85            </t>
  </si>
  <si>
    <t>2026-03-16 14:17:53.910</t>
  </si>
  <si>
    <t>2026-03-16 14:17:53.927</t>
  </si>
  <si>
    <t xml:space="preserve">FCFBIN90            </t>
  </si>
  <si>
    <t>2026-03-16 14:17:53.940</t>
  </si>
  <si>
    <t>2026-03-16 14:17:53.950</t>
  </si>
  <si>
    <t>10</t>
  </si>
  <si>
    <t xml:space="preserve">FCFBIN95            </t>
  </si>
  <si>
    <t>2026-03-16 14:17:53.967</t>
  </si>
  <si>
    <t xml:space="preserve">FCFBIN40            </t>
  </si>
  <si>
    <t>2026-03-16 14:17:53.983</t>
  </si>
  <si>
    <t xml:space="preserve">FCFBIN50            </t>
  </si>
  <si>
    <t>2026-03-16 14:17:53.997</t>
  </si>
  <si>
    <t>2026-03-16 14:17:54.013</t>
  </si>
  <si>
    <t xml:space="preserve">FCFBIN60            </t>
  </si>
  <si>
    <t>2026-03-16 14:17:54.030</t>
  </si>
  <si>
    <t xml:space="preserve">FCFBIN70            </t>
  </si>
  <si>
    <t>2026-03-16 14:17:54.043</t>
  </si>
  <si>
    <t xml:space="preserve">FCFBIN10            </t>
  </si>
  <si>
    <t>2026-03-16 14:17:54.060</t>
  </si>
  <si>
    <t>2026-03-16 14:17:54.077</t>
  </si>
  <si>
    <t xml:space="preserve">FCFBKN10            </t>
  </si>
  <si>
    <t>2026-03-16 14:17:54.310</t>
  </si>
  <si>
    <t xml:space="preserve">FCFCDD10            </t>
  </si>
  <si>
    <t>2026-03-16 14:17:54.560</t>
  </si>
  <si>
    <t xml:space="preserve">FCFCDH10            </t>
  </si>
  <si>
    <t>2026-03-16 14:17:54.793</t>
  </si>
  <si>
    <t xml:space="preserve">FCFDAT10            </t>
  </si>
  <si>
    <t>2026-03-16 14:17:55.030</t>
  </si>
  <si>
    <t>2026-03-16 14:17:56.033</t>
  </si>
  <si>
    <t>1003</t>
  </si>
  <si>
    <t xml:space="preserve">FCFDAT20            </t>
  </si>
  <si>
    <t>2026-03-16 14:17:56.047</t>
  </si>
  <si>
    <t>2026-03-16 14:17:56.920</t>
  </si>
  <si>
    <t>871</t>
  </si>
  <si>
    <t xml:space="preserve">FCFDAT30            </t>
  </si>
  <si>
    <t>2026-03-16 14:17:56.933</t>
  </si>
  <si>
    <t>2026-03-16 14:17:57.900</t>
  </si>
  <si>
    <t>967</t>
  </si>
  <si>
    <t xml:space="preserve">FCFDAT40            </t>
  </si>
  <si>
    <t>2026-03-16 14:17:57.917</t>
  </si>
  <si>
    <t>2026-03-16 14:17:58.877</t>
  </si>
  <si>
    <t>961</t>
  </si>
  <si>
    <t xml:space="preserve">FCFDAT50            </t>
  </si>
  <si>
    <t>2026-03-16 14:17:58.893</t>
  </si>
  <si>
    <t>2026-03-16 14:17:59.867</t>
  </si>
  <si>
    <t>976</t>
  </si>
  <si>
    <t xml:space="preserve">FCFDAT60            </t>
  </si>
  <si>
    <t>2026-03-16 14:17:59.883</t>
  </si>
  <si>
    <t>2026-03-16 14:18:00.580</t>
  </si>
  <si>
    <t>697</t>
  </si>
  <si>
    <t xml:space="preserve">FCFDAT70            </t>
  </si>
  <si>
    <t>2026-03-16 14:18:00.597</t>
  </si>
  <si>
    <t>2026-03-16 14:18:01.550</t>
  </si>
  <si>
    <t>955</t>
  </si>
  <si>
    <t xml:space="preserve">FCFDAT80            </t>
  </si>
  <si>
    <t>2026-03-16 14:18:01.567</t>
  </si>
  <si>
    <t>2026-03-16 14:18:02.347</t>
  </si>
  <si>
    <t xml:space="preserve">FCFDET10            </t>
  </si>
  <si>
    <t>2026-03-16 14:18:01.847</t>
  </si>
  <si>
    <t>2026-03-16 14:18:02.503</t>
  </si>
  <si>
    <t>656</t>
  </si>
  <si>
    <t xml:space="preserve">FCFDET20            </t>
  </si>
  <si>
    <t>2026-03-16 14:18:02.520</t>
  </si>
  <si>
    <t>2026-03-16 14:18:03.133</t>
  </si>
  <si>
    <t>614</t>
  </si>
  <si>
    <t xml:space="preserve">FCFELV10            </t>
  </si>
  <si>
    <t>2026-03-16 14:18:02.583</t>
  </si>
  <si>
    <t xml:space="preserve">FCFELV20            </t>
  </si>
  <si>
    <t>2026-03-16 14:18:02.597</t>
  </si>
  <si>
    <t>2026-03-16 14:18:02.613</t>
  </si>
  <si>
    <t xml:space="preserve">FCFELV30            </t>
  </si>
  <si>
    <t>2026-03-16 14:18:02.630</t>
  </si>
  <si>
    <t xml:space="preserve">FCFELV40            </t>
  </si>
  <si>
    <t>2026-03-16 14:18:02.647</t>
  </si>
  <si>
    <t xml:space="preserve">FCFELV50            </t>
  </si>
  <si>
    <t>2026-03-16 14:18:02.660</t>
  </si>
  <si>
    <t xml:space="preserve">FCFOIN20            </t>
  </si>
  <si>
    <t>2026-03-16 14:18:02.897</t>
  </si>
  <si>
    <t>2026-03-16 14:18:03.070</t>
  </si>
  <si>
    <t>174</t>
  </si>
  <si>
    <t xml:space="preserve">FCFOIN25            </t>
  </si>
  <si>
    <t>2026-03-16 14:18:03.087</t>
  </si>
  <si>
    <t>2026-03-16 14:18:03.260</t>
  </si>
  <si>
    <t xml:space="preserve">FCFDET30            </t>
  </si>
  <si>
    <t>2026-03-16 14:18:03.150</t>
  </si>
  <si>
    <t>2026-03-16 14:18:03.820</t>
  </si>
  <si>
    <t>672</t>
  </si>
  <si>
    <t xml:space="preserve">FCFOIN30            </t>
  </si>
  <si>
    <t>2026-03-16 14:18:03.273</t>
  </si>
  <si>
    <t>2026-03-16 14:18:03.463</t>
  </si>
  <si>
    <t>188</t>
  </si>
  <si>
    <t xml:space="preserve">FCFOIN35            </t>
  </si>
  <si>
    <t>2026-03-16 14:18:03.633</t>
  </si>
  <si>
    <t xml:space="preserve">FCFOIN40            </t>
  </si>
  <si>
    <t>2026-03-16 14:18:03.650</t>
  </si>
  <si>
    <t>2026-03-16 14:18:03.837</t>
  </si>
  <si>
    <t xml:space="preserve">FCFDET40            </t>
  </si>
  <si>
    <t>2026-03-16 14:18:04.477</t>
  </si>
  <si>
    <t>641</t>
  </si>
  <si>
    <t xml:space="preserve">FCFOIN45            </t>
  </si>
  <si>
    <t>2026-03-16 14:18:04.010</t>
  </si>
  <si>
    <t xml:space="preserve">FCFOIN70            </t>
  </si>
  <si>
    <t>2026-03-16 14:18:04.023</t>
  </si>
  <si>
    <t>2026-03-16 14:18:04.180</t>
  </si>
  <si>
    <t xml:space="preserve">FCFOIN75            </t>
  </si>
  <si>
    <t>2026-03-16 14:18:04.307</t>
  </si>
  <si>
    <t xml:space="preserve">FCFOIN80            </t>
  </si>
  <si>
    <t>2026-03-16 14:18:04.320</t>
  </si>
  <si>
    <t>2026-03-16 14:18:04.463</t>
  </si>
  <si>
    <t xml:space="preserve">FCFOIN85            </t>
  </si>
  <si>
    <t>2026-03-16 14:18:04.603</t>
  </si>
  <si>
    <t xml:space="preserve">FCFDET50            </t>
  </si>
  <si>
    <t>2026-03-16 14:18:04.493</t>
  </si>
  <si>
    <t>2026-03-16 14:18:05.147</t>
  </si>
  <si>
    <t>653</t>
  </si>
  <si>
    <t xml:space="preserve">FCFOIN90            </t>
  </si>
  <si>
    <t>2026-03-16 14:18:04.617</t>
  </si>
  <si>
    <t>2026-03-16 14:18:04.760</t>
  </si>
  <si>
    <t xml:space="preserve">FCFOIN95            </t>
  </si>
  <si>
    <t>2026-03-16 14:18:04.773</t>
  </si>
  <si>
    <t>2026-03-16 14:18:04.900</t>
  </si>
  <si>
    <t xml:space="preserve">FCFOIN10            </t>
  </si>
  <si>
    <t>2026-03-16 14:18:04.910</t>
  </si>
  <si>
    <t>2026-03-16 14:18:05.100</t>
  </si>
  <si>
    <t xml:space="preserve">FCFOIN15            </t>
  </si>
  <si>
    <t>2026-03-16 14:18:05.113</t>
  </si>
  <si>
    <t>2026-03-16 14:18:05.287</t>
  </si>
  <si>
    <t xml:space="preserve">FCFOIN60            </t>
  </si>
  <si>
    <t>2026-03-16 14:18:05.303</t>
  </si>
  <si>
    <t>2026-03-16 14:18:05.443</t>
  </si>
  <si>
    <t xml:space="preserve">FCGCRL10            </t>
  </si>
  <si>
    <t>2026-03-16 14:18:05.380</t>
  </si>
  <si>
    <t xml:space="preserve">FCFOIN65            </t>
  </si>
  <si>
    <t>2026-03-16 14:18:05.457</t>
  </si>
  <si>
    <t>2026-03-16 14:18:05.580</t>
  </si>
  <si>
    <t>123</t>
  </si>
  <si>
    <t xml:space="preserve">FCFOIN50            </t>
  </si>
  <si>
    <t>2026-03-16 14:18:05.597</t>
  </si>
  <si>
    <t>2026-03-16 14:18:05.783</t>
  </si>
  <si>
    <t xml:space="preserve">FCHACC20            </t>
  </si>
  <si>
    <t>2026-03-16 14:18:05.613</t>
  </si>
  <si>
    <t>2026-03-16 14:18:07.860</t>
  </si>
  <si>
    <t>2249</t>
  </si>
  <si>
    <t xml:space="preserve">FCFOIN55            </t>
  </si>
  <si>
    <t>2026-03-16 14:18:05.940</t>
  </si>
  <si>
    <t xml:space="preserve">FCFOIN05            </t>
  </si>
  <si>
    <t>2026-03-16 14:18:05.957</t>
  </si>
  <si>
    <t>2026-03-16 14:18:06.080</t>
  </si>
  <si>
    <t xml:space="preserve">FCHKMA30            </t>
  </si>
  <si>
    <t>2026-03-16 14:18:06.317</t>
  </si>
  <si>
    <t xml:space="preserve">FCHKMA10            </t>
  </si>
  <si>
    <t>2026-03-16 14:18:06.330</t>
  </si>
  <si>
    <t xml:space="preserve">FCHKMA20            </t>
  </si>
  <si>
    <t>2026-03-16 14:18:06.347</t>
  </si>
  <si>
    <t xml:space="preserve">FCHREC10            </t>
  </si>
  <si>
    <t>2026-03-16 14:18:06.580</t>
  </si>
  <si>
    <t xml:space="preserve">FCHSEC20            </t>
  </si>
  <si>
    <t>2026-03-16 14:18:06.817</t>
  </si>
  <si>
    <t xml:space="preserve">FCHSEC10            </t>
  </si>
  <si>
    <t>2026-03-16 14:18:06.830</t>
  </si>
  <si>
    <t xml:space="preserve">FCINAP10            </t>
  </si>
  <si>
    <t>2026-03-16 14:18:07.067</t>
  </si>
  <si>
    <t xml:space="preserve">FCINAP20            </t>
  </si>
  <si>
    <t>2026-03-16 14:18:07.080</t>
  </si>
  <si>
    <t xml:space="preserve">FCM71210            </t>
  </si>
  <si>
    <t>2026-03-16 14:18:07.313</t>
  </si>
  <si>
    <t xml:space="preserve">FCOLL101            </t>
  </si>
  <si>
    <t>2026-03-16 14:18:07.547</t>
  </si>
  <si>
    <t xml:space="preserve">FCOLL102            </t>
  </si>
  <si>
    <t>2026-03-16 14:18:07.563</t>
  </si>
  <si>
    <t xml:space="preserve">FCOLL200            </t>
  </si>
  <si>
    <t>2026-03-16 14:18:07.797</t>
  </si>
  <si>
    <t xml:space="preserve">FCOLL210            </t>
  </si>
  <si>
    <t>2026-03-16 14:18:07.813</t>
  </si>
  <si>
    <t xml:space="preserve">FCOLL300            </t>
  </si>
  <si>
    <t>2026-03-16 14:18:08.047</t>
  </si>
  <si>
    <t xml:space="preserve">FCOLL310            </t>
  </si>
  <si>
    <t>2026-03-16 14:18:08.063</t>
  </si>
  <si>
    <t xml:space="preserve">FCR04070            </t>
  </si>
  <si>
    <t>2026-03-16 14:18:08.110</t>
  </si>
  <si>
    <t>2026-03-16 14:18:09.177</t>
  </si>
  <si>
    <t xml:space="preserve">FCR04W98            </t>
  </si>
  <si>
    <t>2026-03-16 14:18:08.300</t>
  </si>
  <si>
    <t xml:space="preserve">FCR04W10            </t>
  </si>
  <si>
    <t>2026-03-16 14:18:08.317</t>
  </si>
  <si>
    <t xml:space="preserve">FCR04W11            </t>
  </si>
  <si>
    <t>2026-03-16 14:18:08.330</t>
  </si>
  <si>
    <t xml:space="preserve">FCR04W99            </t>
  </si>
  <si>
    <t>2026-03-16 14:18:08.347</t>
  </si>
  <si>
    <t xml:space="preserve">FCR04X20            </t>
  </si>
  <si>
    <t>2026-03-16 14:18:08.580</t>
  </si>
  <si>
    <t>2026-03-16 14:18:08.597</t>
  </si>
  <si>
    <t xml:space="preserve">FCR04X10            </t>
  </si>
  <si>
    <t>2026-03-16 14:18:08.613</t>
  </si>
  <si>
    <t>2026-03-16 14:18:08.627</t>
  </si>
  <si>
    <t xml:space="preserve">FCRMCD20            </t>
  </si>
  <si>
    <t>2026-03-16 14:18:08.877</t>
  </si>
  <si>
    <t xml:space="preserve">FCRMCD30            </t>
  </si>
  <si>
    <t>2026-03-16 14:18:08.893</t>
  </si>
  <si>
    <t>2026-03-16 14:18:08.910</t>
  </si>
  <si>
    <t xml:space="preserve">FCRMCD10            </t>
  </si>
  <si>
    <t>2026-03-16 14:18:08.927</t>
  </si>
  <si>
    <t xml:space="preserve">FCRMHD20            </t>
  </si>
  <si>
    <t>2026-03-16 14:18:09.160</t>
  </si>
  <si>
    <t xml:space="preserve">FCRMHD10            </t>
  </si>
  <si>
    <t>2026-03-16 14:18:09.190</t>
  </si>
  <si>
    <t xml:space="preserve">FCR04015            </t>
  </si>
  <si>
    <t>2026-03-16 14:18:10.127</t>
  </si>
  <si>
    <t>938</t>
  </si>
  <si>
    <t xml:space="preserve">FCRMIN30            </t>
  </si>
  <si>
    <t>2026-03-16 14:18:09.430</t>
  </si>
  <si>
    <t>2026-03-16 14:18:09.460</t>
  </si>
  <si>
    <t xml:space="preserve">FCRMIN10            </t>
  </si>
  <si>
    <t>2026-03-16 14:18:09.477</t>
  </si>
  <si>
    <t>2026-03-16 14:18:09.507</t>
  </si>
  <si>
    <t xml:space="preserve">FCRMIN20            </t>
  </si>
  <si>
    <t>2026-03-16 14:18:09.523</t>
  </si>
  <si>
    <t>2026-03-16 14:18:09.557</t>
  </si>
  <si>
    <t xml:space="preserve">FCRMTD20            </t>
  </si>
  <si>
    <t>2026-03-16 14:18:09.790</t>
  </si>
  <si>
    <t xml:space="preserve">FCRMTD10            </t>
  </si>
  <si>
    <t>2026-03-16 14:18:09.807</t>
  </si>
  <si>
    <t>2026-03-16 14:18:09.820</t>
  </si>
  <si>
    <t xml:space="preserve">FCRMTN30            </t>
  </si>
  <si>
    <t>2026-03-16 14:18:10.050</t>
  </si>
  <si>
    <t>2026-03-16 14:18:10.067</t>
  </si>
  <si>
    <t xml:space="preserve">FCRMTN40            </t>
  </si>
  <si>
    <t>2026-03-16 14:18:10.080</t>
  </si>
  <si>
    <t xml:space="preserve">FCRMTN60            </t>
  </si>
  <si>
    <t>2026-03-16 14:18:10.097</t>
  </si>
  <si>
    <t xml:space="preserve">FCRMTN10            </t>
  </si>
  <si>
    <t>2026-03-16 14:18:10.113</t>
  </si>
  <si>
    <t xml:space="preserve">FCRMTN20            </t>
  </si>
  <si>
    <t xml:space="preserve">FCR04010            </t>
  </si>
  <si>
    <t>2026-03-16 14:18:10.143</t>
  </si>
  <si>
    <t>2026-03-16 14:18:11.097</t>
  </si>
  <si>
    <t>954</t>
  </si>
  <si>
    <t xml:space="preserve">FCRMTN50            </t>
  </si>
  <si>
    <t>2026-03-16 14:18:10.160</t>
  </si>
  <si>
    <t xml:space="preserve">FCURTX10            </t>
  </si>
  <si>
    <t>2026-03-16 14:18:10.393</t>
  </si>
  <si>
    <t xml:space="preserve">FCUSCR10            </t>
  </si>
  <si>
    <t>2026-03-16 14:18:10.627</t>
  </si>
  <si>
    <t>2026-03-16 14:18:10.660</t>
  </si>
  <si>
    <t xml:space="preserve">FDDAGD10            </t>
  </si>
  <si>
    <t>2026-03-16 14:18:10.893</t>
  </si>
  <si>
    <t xml:space="preserve">FCR04012            </t>
  </si>
  <si>
    <t>2026-03-16 14:18:11.113</t>
  </si>
  <si>
    <t>2026-03-16 14:18:11.963</t>
  </si>
  <si>
    <t xml:space="preserve">FDDAGH20            </t>
  </si>
  <si>
    <t>2026-03-16 14:18:11.127</t>
  </si>
  <si>
    <t xml:space="preserve">FDDAGH10            </t>
  </si>
  <si>
    <t>2026-03-16 14:18:11.143</t>
  </si>
  <si>
    <t xml:space="preserve">FDDAGR60            </t>
  </si>
  <si>
    <t>2026-03-16 14:18:11.377</t>
  </si>
  <si>
    <t xml:space="preserve">FDDAGR10            </t>
  </si>
  <si>
    <t>2026-03-16 14:18:11.393</t>
  </si>
  <si>
    <t xml:space="preserve">FDDAGR20            </t>
  </si>
  <si>
    <t>2026-03-16 14:18:11.410</t>
  </si>
  <si>
    <t xml:space="preserve">FDDAGR30            </t>
  </si>
  <si>
    <t>2026-03-16 14:18:11.427</t>
  </si>
  <si>
    <t xml:space="preserve">FDDAGR50            </t>
  </si>
  <si>
    <t>2026-03-16 14:18:11.440</t>
  </si>
  <si>
    <t xml:space="preserve">FDOCFO10            </t>
  </si>
  <si>
    <t>2026-03-16 14:18:11.667</t>
  </si>
  <si>
    <t>2026-03-16 14:18:11.680</t>
  </si>
  <si>
    <t xml:space="preserve">FDPINV01            </t>
  </si>
  <si>
    <t>2026-03-16 14:18:11.917</t>
  </si>
  <si>
    <t xml:space="preserve">FDPINV00            </t>
  </si>
  <si>
    <t>2026-03-16 14:18:11.930</t>
  </si>
  <si>
    <t xml:space="preserve">FCR04050            </t>
  </si>
  <si>
    <t>2026-03-16 14:18:11.977</t>
  </si>
  <si>
    <t>2026-03-16 14:18:12.617</t>
  </si>
  <si>
    <t>640</t>
  </si>
  <si>
    <t xml:space="preserve">FDRFMA30            </t>
  </si>
  <si>
    <t>2026-03-16 14:18:12.167</t>
  </si>
  <si>
    <t xml:space="preserve">FDRFMA20            </t>
  </si>
  <si>
    <t>2026-03-16 14:18:12.180</t>
  </si>
  <si>
    <t xml:space="preserve">FDRFMA10            </t>
  </si>
  <si>
    <t>2026-03-16 14:18:12.197</t>
  </si>
  <si>
    <t xml:space="preserve">FDRTRA50            </t>
  </si>
  <si>
    <t>2026-03-16 14:18:12.430</t>
  </si>
  <si>
    <t>2026-03-16 14:18:12.463</t>
  </si>
  <si>
    <t xml:space="preserve">FDRTRA40            </t>
  </si>
  <si>
    <t>2026-03-16 14:18:12.477</t>
  </si>
  <si>
    <t xml:space="preserve">FDRTRA10            </t>
  </si>
  <si>
    <t>2026-03-16 14:18:12.493</t>
  </si>
  <si>
    <t xml:space="preserve">FDRTRA30            </t>
  </si>
  <si>
    <t>2026-03-16 14:18:12.510</t>
  </si>
  <si>
    <t xml:space="preserve">FDRTRA20            </t>
  </si>
  <si>
    <t>2026-03-16 14:18:12.527</t>
  </si>
  <si>
    <t xml:space="preserve">FCR04051            </t>
  </si>
  <si>
    <t>2026-03-16 14:18:12.633</t>
  </si>
  <si>
    <t>2026-03-16 14:18:13.133</t>
  </si>
  <si>
    <t>500</t>
  </si>
  <si>
    <t xml:space="preserve">FERECD40            </t>
  </si>
  <si>
    <t>2026-03-16 14:18:12.760</t>
  </si>
  <si>
    <t>2026-03-16 14:18:12.883</t>
  </si>
  <si>
    <t xml:space="preserve">FERECD50            </t>
  </si>
  <si>
    <t>2026-03-16 14:18:12.900</t>
  </si>
  <si>
    <t>2026-03-16 14:18:13.027</t>
  </si>
  <si>
    <t xml:space="preserve">FERECD60            </t>
  </si>
  <si>
    <t>2026-03-16 14:18:13.040</t>
  </si>
  <si>
    <t>2026-03-16 14:18:13.167</t>
  </si>
  <si>
    <t xml:space="preserve">FCR04090            </t>
  </si>
  <si>
    <t>2026-03-16 14:18:13.150</t>
  </si>
  <si>
    <t>2026-03-16 14:18:13.943</t>
  </si>
  <si>
    <t>792</t>
  </si>
  <si>
    <t xml:space="preserve">FERECD30            </t>
  </si>
  <si>
    <t>2026-03-16 14:18:13.180</t>
  </si>
  <si>
    <t>2026-03-16 14:18:13.287</t>
  </si>
  <si>
    <t>107</t>
  </si>
  <si>
    <t xml:space="preserve">FERECD80            </t>
  </si>
  <si>
    <t>2026-03-16 14:18:13.410</t>
  </si>
  <si>
    <t>121</t>
  </si>
  <si>
    <t xml:space="preserve">FERECD70            </t>
  </si>
  <si>
    <t>2026-03-16 14:18:13.527</t>
  </si>
  <si>
    <t>117</t>
  </si>
  <si>
    <t xml:space="preserve">FERECD10            </t>
  </si>
  <si>
    <t>2026-03-16 14:18:13.540</t>
  </si>
  <si>
    <t>2026-03-16 14:18:13.637</t>
  </si>
  <si>
    <t xml:space="preserve">FERECD00            </t>
  </si>
  <si>
    <t>2026-03-16 14:18:13.650</t>
  </si>
  <si>
    <t>2026-03-16 14:18:13.743</t>
  </si>
  <si>
    <t xml:space="preserve">FCR04030            </t>
  </si>
  <si>
    <t>2026-03-16 14:18:13.957</t>
  </si>
  <si>
    <t>2026-03-16 14:18:14.583</t>
  </si>
  <si>
    <t>625</t>
  </si>
  <si>
    <t xml:space="preserve">FERECH50            </t>
  </si>
  <si>
    <t>2026-03-16 14:18:13.973</t>
  </si>
  <si>
    <t>2026-03-16 14:18:14.097</t>
  </si>
  <si>
    <t xml:space="preserve">FERECH30            </t>
  </si>
  <si>
    <t>2026-03-16 14:18:14.113</t>
  </si>
  <si>
    <t>2026-03-16 14:18:14.223</t>
  </si>
  <si>
    <t xml:space="preserve">FERECH40            </t>
  </si>
  <si>
    <t>2026-03-16 14:18:14.240</t>
  </si>
  <si>
    <t>2026-03-16 14:18:14.333</t>
  </si>
  <si>
    <t xml:space="preserve">FERECH10            </t>
  </si>
  <si>
    <t>2026-03-16 14:18:14.347</t>
  </si>
  <si>
    <t>2026-03-16 14:18:14.443</t>
  </si>
  <si>
    <t xml:space="preserve">FERECH20            </t>
  </si>
  <si>
    <t>2026-03-16 14:18:14.457</t>
  </si>
  <si>
    <t>2026-03-16 14:18:14.550</t>
  </si>
  <si>
    <t xml:space="preserve">FCR04060            </t>
  </si>
  <si>
    <t>2026-03-16 14:18:14.597</t>
  </si>
  <si>
    <t>2026-03-16 14:18:15.147</t>
  </si>
  <si>
    <t>547</t>
  </si>
  <si>
    <t xml:space="preserve">FBUDET21            </t>
  </si>
  <si>
    <t>2026-03-16 14:18:14.677</t>
  </si>
  <si>
    <t>2026-03-16 14:18:38.823</t>
  </si>
  <si>
    <t>24146</t>
  </si>
  <si>
    <t xml:space="preserve">FFA01000            </t>
  </si>
  <si>
    <t>2026-03-16 14:18:14.800</t>
  </si>
  <si>
    <t xml:space="preserve">FFA12100            </t>
  </si>
  <si>
    <t>2026-03-16 14:18:15.037</t>
  </si>
  <si>
    <t xml:space="preserve">FCR04061            </t>
  </si>
  <si>
    <t>2026-03-16 14:18:15.160</t>
  </si>
  <si>
    <t>2026-03-16 14:18:15.643</t>
  </si>
  <si>
    <t>481</t>
  </si>
  <si>
    <t xml:space="preserve">FFA13000            </t>
  </si>
  <si>
    <t>2026-03-16 14:18:15.270</t>
  </si>
  <si>
    <t xml:space="preserve">FFA13210            </t>
  </si>
  <si>
    <t>2026-03-16 14:18:15.503</t>
  </si>
  <si>
    <t xml:space="preserve">FFA13200            </t>
  </si>
  <si>
    <t>2026-03-16 14:18:15.520</t>
  </si>
  <si>
    <t xml:space="preserve">FCR04011            </t>
  </si>
  <si>
    <t>2026-03-16 14:18:15.657</t>
  </si>
  <si>
    <t>2026-03-16 14:18:16.267</t>
  </si>
  <si>
    <t>609</t>
  </si>
  <si>
    <t xml:space="preserve">FFA16110            </t>
  </si>
  <si>
    <t>2026-03-16 14:18:15.753</t>
  </si>
  <si>
    <t xml:space="preserve">FFA16130            </t>
  </si>
  <si>
    <t>2026-03-16 14:18:15.767</t>
  </si>
  <si>
    <t xml:space="preserve">FFA16100            </t>
  </si>
  <si>
    <t>2026-03-16 14:18:15.783</t>
  </si>
  <si>
    <t>2026-03-16 14:18:15.797</t>
  </si>
  <si>
    <t xml:space="preserve">FFA17110            </t>
  </si>
  <si>
    <t>2026-03-16 14:18:16.033</t>
  </si>
  <si>
    <t xml:space="preserve">FFA17100            </t>
  </si>
  <si>
    <t>2026-03-16 14:18:16.047</t>
  </si>
  <si>
    <t xml:space="preserve">FCR04006            </t>
  </si>
  <si>
    <t>2026-03-16 14:18:16.283</t>
  </si>
  <si>
    <t>2026-03-16 14:18:16.903</t>
  </si>
  <si>
    <t>619</t>
  </si>
  <si>
    <t xml:space="preserve">FFA17600            </t>
  </si>
  <si>
    <t xml:space="preserve">FFA52010            </t>
  </si>
  <si>
    <t>2026-03-16 14:18:16.510</t>
  </si>
  <si>
    <t xml:space="preserve">FFA53120            </t>
  </si>
  <si>
    <t>2026-03-16 14:18:16.747</t>
  </si>
  <si>
    <t xml:space="preserve">FFA53100            </t>
  </si>
  <si>
    <t>2026-03-16 14:18:16.760</t>
  </si>
  <si>
    <t xml:space="preserve">FFA53101            </t>
  </si>
  <si>
    <t>2026-03-16 14:18:16.777</t>
  </si>
  <si>
    <t xml:space="preserve">FCR04022            </t>
  </si>
  <si>
    <t>2026-03-16 14:18:16.917</t>
  </si>
  <si>
    <t>2026-03-16 14:18:17.590</t>
  </si>
  <si>
    <t>671</t>
  </si>
  <si>
    <t xml:space="preserve">FFA53710            </t>
  </si>
  <si>
    <t>2026-03-16 14:18:17.010</t>
  </si>
  <si>
    <t xml:space="preserve">FFA53720            </t>
  </si>
  <si>
    <t>2026-03-16 14:18:17.027</t>
  </si>
  <si>
    <t xml:space="preserve">FFAACC21            </t>
  </si>
  <si>
    <t>2026-03-16 14:18:17.260</t>
  </si>
  <si>
    <t>2026-03-16 14:18:17.293</t>
  </si>
  <si>
    <t xml:space="preserve">FFAACC20            </t>
  </si>
  <si>
    <t>2026-03-16 14:18:17.307</t>
  </si>
  <si>
    <t xml:space="preserve">FFAACC10            </t>
  </si>
  <si>
    <t>2026-03-16 14:18:17.323</t>
  </si>
  <si>
    <t xml:space="preserve">FFAAMT10            </t>
  </si>
  <si>
    <t>2026-03-16 14:18:17.557</t>
  </si>
  <si>
    <t xml:space="preserve">FCR04080            </t>
  </si>
  <si>
    <t>2026-03-16 14:18:17.607</t>
  </si>
  <si>
    <t>2026-03-16 14:18:18.260</t>
  </si>
  <si>
    <t xml:space="preserve">FFACAD20            </t>
  </si>
  <si>
    <t>2026-03-16 14:18:17.793</t>
  </si>
  <si>
    <t xml:space="preserve">FFACAD10            </t>
  </si>
  <si>
    <t>2026-03-16 14:18:17.807</t>
  </si>
  <si>
    <t xml:space="preserve">FFACAH40            </t>
  </si>
  <si>
    <t>2026-03-16 14:18:18.043</t>
  </si>
  <si>
    <t xml:space="preserve">FFACAH10            </t>
  </si>
  <si>
    <t>2026-03-16 14:18:18.057</t>
  </si>
  <si>
    <t xml:space="preserve">FFACAH20            </t>
  </si>
  <si>
    <t>2026-03-16 14:18:18.073</t>
  </si>
  <si>
    <t xml:space="preserve">FFACAH30            </t>
  </si>
  <si>
    <t>2026-03-16 14:18:18.090</t>
  </si>
  <si>
    <t xml:space="preserve">FCR04040            </t>
  </si>
  <si>
    <t>2026-03-16 14:18:18.277</t>
  </si>
  <si>
    <t>2026-03-16 14:18:18.793</t>
  </si>
  <si>
    <t>516</t>
  </si>
  <si>
    <t xml:space="preserve">FFACTR10            </t>
  </si>
  <si>
    <t>2026-03-16 14:18:18.323</t>
  </si>
  <si>
    <t>2026-03-16 14:18:18.357</t>
  </si>
  <si>
    <t xml:space="preserve">FFADSP10            </t>
  </si>
  <si>
    <t>2026-03-16 14:18:18.590</t>
  </si>
  <si>
    <t xml:space="preserve">FCR04041            </t>
  </si>
  <si>
    <t>2026-03-16 14:18:18.810</t>
  </si>
  <si>
    <t>2026-03-16 14:18:19.263</t>
  </si>
  <si>
    <t xml:space="preserve">FFADUS01            </t>
  </si>
  <si>
    <t>2026-03-16 14:18:18.827</t>
  </si>
  <si>
    <t xml:space="preserve">FFAHIS50            </t>
  </si>
  <si>
    <t>2026-03-16 14:18:19.060</t>
  </si>
  <si>
    <t>2026-03-16 14:18:22.920</t>
  </si>
  <si>
    <t>3862</t>
  </si>
  <si>
    <t xml:space="preserve">FCR04003            </t>
  </si>
  <si>
    <t>2026-03-16 14:18:19.277</t>
  </si>
  <si>
    <t>2026-03-16 14:18:19.823</t>
  </si>
  <si>
    <t>546</t>
  </si>
  <si>
    <t xml:space="preserve">FCR04002            </t>
  </si>
  <si>
    <t>2026-03-16 14:18:19.840</t>
  </si>
  <si>
    <t>2026-03-16 14:18:20.317</t>
  </si>
  <si>
    <t>475</t>
  </si>
  <si>
    <t xml:space="preserve">FCR04042            </t>
  </si>
  <si>
    <t>2026-03-16 14:18:20.330</t>
  </si>
  <si>
    <t>2026-03-16 14:18:20.857</t>
  </si>
  <si>
    <t>527</t>
  </si>
  <si>
    <t xml:space="preserve">FCR04020            </t>
  </si>
  <si>
    <t>2026-03-16 14:18:20.873</t>
  </si>
  <si>
    <t>2026-03-16 14:18:21.483</t>
  </si>
  <si>
    <t xml:space="preserve">FBAKEY04            </t>
  </si>
  <si>
    <t>2026-03-16 14:18:21.077</t>
  </si>
  <si>
    <t>2026-03-16 14:20:47.307</t>
  </si>
  <si>
    <t>146231</t>
  </si>
  <si>
    <t xml:space="preserve">FBAKEY05            </t>
  </si>
  <si>
    <t>2026-03-16 14:20:47.200</t>
  </si>
  <si>
    <t>146122</t>
  </si>
  <si>
    <t xml:space="preserve">FBAKEY06            </t>
  </si>
  <si>
    <t xml:space="preserve">FBAKEY07            </t>
  </si>
  <si>
    <t xml:space="preserve">FCR04007            </t>
  </si>
  <si>
    <t>2026-03-16 14:18:21.500</t>
  </si>
  <si>
    <t>2026-03-16 14:18:21.920</t>
  </si>
  <si>
    <t xml:space="preserve">FCR04009            </t>
  </si>
  <si>
    <t>2026-03-16 14:18:21.937</t>
  </si>
  <si>
    <t>2026-03-16 14:18:22.453</t>
  </si>
  <si>
    <t xml:space="preserve">FCR04008            </t>
  </si>
  <si>
    <t>2026-03-16 14:18:22.467</t>
  </si>
  <si>
    <t>2026-03-16 14:18:22.890</t>
  </si>
  <si>
    <t xml:space="preserve">FCR04001            </t>
  </si>
  <si>
    <t>2026-03-16 14:18:22.907</t>
  </si>
  <si>
    <t>2026-03-16 14:18:23.367</t>
  </si>
  <si>
    <t>463</t>
  </si>
  <si>
    <t xml:space="preserve">FFAHIS32            </t>
  </si>
  <si>
    <t>2026-03-16 14:18:22.937</t>
  </si>
  <si>
    <t>2026-03-16 14:18:27.867</t>
  </si>
  <si>
    <t>4932</t>
  </si>
  <si>
    <t xml:space="preserve">FCR04013            </t>
  </si>
  <si>
    <t>2026-03-16 14:18:23.383</t>
  </si>
  <si>
    <t>2026-03-16 14:18:23.773</t>
  </si>
  <si>
    <t>389</t>
  </si>
  <si>
    <t xml:space="preserve">FCR04014            </t>
  </si>
  <si>
    <t>2026-03-16 14:18:23.797</t>
  </si>
  <si>
    <t>2026-03-16 14:18:24.203</t>
  </si>
  <si>
    <t>407</t>
  </si>
  <si>
    <t xml:space="preserve">FCR04062            </t>
  </si>
  <si>
    <t>2026-03-16 14:18:24.217</t>
  </si>
  <si>
    <t>2026-03-16 14:18:24.657</t>
  </si>
  <si>
    <t>438</t>
  </si>
  <si>
    <t xml:space="preserve">FCR04004            </t>
  </si>
  <si>
    <t>2026-03-16 14:18:24.670</t>
  </si>
  <si>
    <t>2026-03-16 14:18:25.047</t>
  </si>
  <si>
    <t>375</t>
  </si>
  <si>
    <t xml:space="preserve">FFALIN20            </t>
  </si>
  <si>
    <t>2026-03-16 14:18:25.270</t>
  </si>
  <si>
    <t xml:space="preserve">FFALIN10            </t>
  </si>
  <si>
    <t>2026-03-16 14:18:25.287</t>
  </si>
  <si>
    <t xml:space="preserve">FFAMAS10            </t>
  </si>
  <si>
    <t>2026-03-16 14:18:25.537</t>
  </si>
  <si>
    <t xml:space="preserve">FFAPAY10            </t>
  </si>
  <si>
    <t>2026-03-16 14:18:25.770</t>
  </si>
  <si>
    <t xml:space="preserve">FFAPAY30            </t>
  </si>
  <si>
    <t>2026-03-16 14:18:25.787</t>
  </si>
  <si>
    <t>2026-03-16 14:18:25.803</t>
  </si>
  <si>
    <t xml:space="preserve">FFAPAY20            </t>
  </si>
  <si>
    <t>2026-03-16 14:18:25.817</t>
  </si>
  <si>
    <t xml:space="preserve">FFARAT10            </t>
  </si>
  <si>
    <t>2026-03-16 14:18:26.053</t>
  </si>
  <si>
    <t xml:space="preserve">FFASDM20            </t>
  </si>
  <si>
    <t>2026-03-16 14:18:26.287</t>
  </si>
  <si>
    <t>2026-03-16 14:18:26.350</t>
  </si>
  <si>
    <t xml:space="preserve">FFASDM40            </t>
  </si>
  <si>
    <t>2026-03-16 14:18:26.363</t>
  </si>
  <si>
    <t>2026-03-16 14:18:26.410</t>
  </si>
  <si>
    <t xml:space="preserve">FFASDM50            </t>
  </si>
  <si>
    <t>2026-03-16 14:18:26.427</t>
  </si>
  <si>
    <t>2026-03-16 14:18:26.490</t>
  </si>
  <si>
    <t xml:space="preserve">FFASDM30            </t>
  </si>
  <si>
    <t>2026-03-16 14:18:26.507</t>
  </si>
  <si>
    <t>2026-03-16 14:18:26.553</t>
  </si>
  <si>
    <t xml:space="preserve">FFASIN10            </t>
  </si>
  <si>
    <t>2026-03-16 14:18:26.787</t>
  </si>
  <si>
    <t xml:space="preserve">FFASMA40            </t>
  </si>
  <si>
    <t>2026-03-16 14:18:27.020</t>
  </si>
  <si>
    <t>2026-03-16 14:18:27.083</t>
  </si>
  <si>
    <t xml:space="preserve">FFASMA41            </t>
  </si>
  <si>
    <t>2026-03-16 14:18:27.100</t>
  </si>
  <si>
    <t>2026-03-16 14:18:27.150</t>
  </si>
  <si>
    <t>51</t>
  </si>
  <si>
    <t xml:space="preserve">FFASMA17            </t>
  </si>
  <si>
    <t>2026-03-16 14:18:27.167</t>
  </si>
  <si>
    <t>2026-03-16 14:18:27.227</t>
  </si>
  <si>
    <t xml:space="preserve">FFASMA51            </t>
  </si>
  <si>
    <t>2026-03-16 14:18:27.243</t>
  </si>
  <si>
    <t>2026-03-16 14:18:27.307</t>
  </si>
  <si>
    <t xml:space="preserve">FFASMA52            </t>
  </si>
  <si>
    <t>2026-03-16 14:18:27.323</t>
  </si>
  <si>
    <t>2026-03-16 14:18:27.383</t>
  </si>
  <si>
    <t xml:space="preserve">FFASMA32            </t>
  </si>
  <si>
    <t>2026-03-16 14:18:27.400</t>
  </si>
  <si>
    <t>2026-03-16 14:18:27.463</t>
  </si>
  <si>
    <t xml:space="preserve">FFASMA33            </t>
  </si>
  <si>
    <t>2026-03-16 14:18:27.477</t>
  </si>
  <si>
    <t>2026-03-16 14:18:27.557</t>
  </si>
  <si>
    <t xml:space="preserve">FFASMA34            </t>
  </si>
  <si>
    <t>2026-03-16 14:18:27.573</t>
  </si>
  <si>
    <t>2026-03-16 14:18:27.633</t>
  </si>
  <si>
    <t xml:space="preserve">FFASMA35            </t>
  </si>
  <si>
    <t>2026-03-16 14:18:27.680</t>
  </si>
  <si>
    <t>2026-03-16 14:18:27.837</t>
  </si>
  <si>
    <t xml:space="preserve">FFASMA36            </t>
  </si>
  <si>
    <t>2026-03-16 14:18:27.917</t>
  </si>
  <si>
    <t xml:space="preserve">FFAHIS40            </t>
  </si>
  <si>
    <t>2026-03-16 14:18:27.883</t>
  </si>
  <si>
    <t>2026-03-16 14:18:30.177</t>
  </si>
  <si>
    <t>2292</t>
  </si>
  <si>
    <t xml:space="preserve">FFASMA37            </t>
  </si>
  <si>
    <t>2026-03-16 14:18:27.947</t>
  </si>
  <si>
    <t>2026-03-16 14:18:28.010</t>
  </si>
  <si>
    <t xml:space="preserve">FFASMA05            </t>
  </si>
  <si>
    <t>2026-03-16 14:18:28.027</t>
  </si>
  <si>
    <t>2026-03-16 14:18:28.073</t>
  </si>
  <si>
    <t xml:space="preserve">FFASMA11            </t>
  </si>
  <si>
    <t>2026-03-16 14:18:28.087</t>
  </si>
  <si>
    <t>2026-03-16 14:18:28.150</t>
  </si>
  <si>
    <t xml:space="preserve">FFASMA12            </t>
  </si>
  <si>
    <t>2026-03-16 14:18:28.167</t>
  </si>
  <si>
    <t>2026-03-16 14:18:28.227</t>
  </si>
  <si>
    <t xml:space="preserve">FFASMA13            </t>
  </si>
  <si>
    <t>2026-03-16 14:18:28.243</t>
  </si>
  <si>
    <t>2026-03-16 14:18:28.307</t>
  </si>
  <si>
    <t xml:space="preserve">FFASMA14            </t>
  </si>
  <si>
    <t>2026-03-16 14:18:28.323</t>
  </si>
  <si>
    <t>2026-03-16 14:18:28.383</t>
  </si>
  <si>
    <t xml:space="preserve">FFASMA15            </t>
  </si>
  <si>
    <t>2026-03-16 14:18:28.400</t>
  </si>
  <si>
    <t>2026-03-16 14:18:28.447</t>
  </si>
  <si>
    <t xml:space="preserve">FFASMA16            </t>
  </si>
  <si>
    <t>2026-03-16 14:18:28.463</t>
  </si>
  <si>
    <t>2026-03-16 14:18:28.527</t>
  </si>
  <si>
    <t xml:space="preserve">FFASMA50            </t>
  </si>
  <si>
    <t>2026-03-16 14:18:28.540</t>
  </si>
  <si>
    <t>2026-03-16 14:18:28.587</t>
  </si>
  <si>
    <t xml:space="preserve">FFASMA20            </t>
  </si>
  <si>
    <t>2026-03-16 14:18:28.603</t>
  </si>
  <si>
    <t>2026-03-16 14:18:28.667</t>
  </si>
  <si>
    <t>64</t>
  </si>
  <si>
    <t xml:space="preserve">FFASMA01            </t>
  </si>
  <si>
    <t>2026-03-16 14:18:28.683</t>
  </si>
  <si>
    <t>2026-03-16 14:18:28.730</t>
  </si>
  <si>
    <t xml:space="preserve">FFASMA02            </t>
  </si>
  <si>
    <t>2026-03-16 14:18:28.747</t>
  </si>
  <si>
    <t>2026-03-16 14:18:28.807</t>
  </si>
  <si>
    <t xml:space="preserve">FFASVL10            </t>
  </si>
  <si>
    <t>2026-03-16 14:18:29.043</t>
  </si>
  <si>
    <t>2026-03-16 14:18:29.627</t>
  </si>
  <si>
    <t>584</t>
  </si>
  <si>
    <t xml:space="preserve">FFASVL20            </t>
  </si>
  <si>
    <t>2026-03-16 14:18:29.643</t>
  </si>
  <si>
    <t>2026-03-16 14:18:30.147</t>
  </si>
  <si>
    <t>503</t>
  </si>
  <si>
    <t xml:space="preserve">FFAHIS41            </t>
  </si>
  <si>
    <t>2026-03-16 14:18:30.193</t>
  </si>
  <si>
    <t>2026-03-16 14:18:32.523</t>
  </si>
  <si>
    <t>2332</t>
  </si>
  <si>
    <t xml:space="preserve">FFATBF01            </t>
  </si>
  <si>
    <t>2026-03-16 14:18:30.380</t>
  </si>
  <si>
    <t xml:space="preserve">FFATBF10            </t>
  </si>
  <si>
    <t>2026-03-16 14:18:30.397</t>
  </si>
  <si>
    <t xml:space="preserve">FFDTED10            </t>
  </si>
  <si>
    <t>2026-03-16 14:18:30.630</t>
  </si>
  <si>
    <t xml:space="preserve">FFDTSC10            </t>
  </si>
  <si>
    <t>2026-03-16 14:18:30.880</t>
  </si>
  <si>
    <t xml:space="preserve">FFDTSL10            </t>
  </si>
  <si>
    <t>2026-03-16 14:18:31.113</t>
  </si>
  <si>
    <t>2026-03-16 14:18:31.130</t>
  </si>
  <si>
    <t xml:space="preserve">FFDTSL20            </t>
  </si>
  <si>
    <t>2026-03-16 14:18:31.147</t>
  </si>
  <si>
    <t xml:space="preserve">FFIHSD10            </t>
  </si>
  <si>
    <t>2026-03-16 14:18:31.380</t>
  </si>
  <si>
    <t>2026-03-16 14:18:41.353</t>
  </si>
  <si>
    <t>9975</t>
  </si>
  <si>
    <t xml:space="preserve">FFAHIS20            </t>
  </si>
  <si>
    <t>2026-03-16 14:18:32.540</t>
  </si>
  <si>
    <t>2026-03-16 14:18:35.383</t>
  </si>
  <si>
    <t>2842</t>
  </si>
  <si>
    <t xml:space="preserve">FFAHIS30            </t>
  </si>
  <si>
    <t>2026-03-16 14:18:35.397</t>
  </si>
  <si>
    <t>2026-03-16 14:18:38.697</t>
  </si>
  <si>
    <t>3301</t>
  </si>
  <si>
    <t xml:space="preserve">FFAHIS31            </t>
  </si>
  <si>
    <t>2026-03-16 14:18:38.713</t>
  </si>
  <si>
    <t>2026-03-16 14:18:41.683</t>
  </si>
  <si>
    <t>2968</t>
  </si>
  <si>
    <t xml:space="preserve">FBUDET22            </t>
  </si>
  <si>
    <t>2026-03-16 14:18:38.840</t>
  </si>
  <si>
    <t>2026-03-16 14:19:04.463</t>
  </si>
  <si>
    <t>25624</t>
  </si>
  <si>
    <t xml:space="preserve">FFIHST20            </t>
  </si>
  <si>
    <t>2026-03-16 14:18:41.603</t>
  </si>
  <si>
    <t>2026-03-16 14:18:46.930</t>
  </si>
  <si>
    <t>5326</t>
  </si>
  <si>
    <t xml:space="preserve">FFAHIS71            </t>
  </si>
  <si>
    <t>2026-03-16 14:18:41.697</t>
  </si>
  <si>
    <t>2026-03-16 14:18:44.673</t>
  </si>
  <si>
    <t>2975</t>
  </si>
  <si>
    <t xml:space="preserve">FFAHIS10            </t>
  </si>
  <si>
    <t>2026-03-16 14:18:44.690</t>
  </si>
  <si>
    <t>2026-03-16 14:18:47.367</t>
  </si>
  <si>
    <t>2679</t>
  </si>
  <si>
    <t xml:space="preserve">FFIHST10            </t>
  </si>
  <si>
    <t>2026-03-16 14:18:46.947</t>
  </si>
  <si>
    <t>2026-03-16 14:18:52.547</t>
  </si>
  <si>
    <t>5600</t>
  </si>
  <si>
    <t xml:space="preserve">FFAHIS70            </t>
  </si>
  <si>
    <t>2026-03-16 14:18:47.383</t>
  </si>
  <si>
    <t>2026-03-16 14:18:49.870</t>
  </si>
  <si>
    <t>2488</t>
  </si>
  <si>
    <t xml:space="preserve">FFIIRD10            </t>
  </si>
  <si>
    <t>2026-03-16 14:18:50.113</t>
  </si>
  <si>
    <t>2026-03-16 14:18:50.363</t>
  </si>
  <si>
    <t xml:space="preserve">FFIORD10            </t>
  </si>
  <si>
    <t>2026-03-16 14:18:50.597</t>
  </si>
  <si>
    <t>2026-03-16 14:18:52.607</t>
  </si>
  <si>
    <t>2010</t>
  </si>
  <si>
    <t xml:space="preserve">FFPHCH10            </t>
  </si>
  <si>
    <t>2026-03-16 14:18:52.780</t>
  </si>
  <si>
    <t xml:space="preserve">FFRCDF10            </t>
  </si>
  <si>
    <t>2026-03-16 14:18:52.843</t>
  </si>
  <si>
    <t>2026-03-16 14:18:53.047</t>
  </si>
  <si>
    <t xml:space="preserve">FFRDEF10            </t>
  </si>
  <si>
    <t>2026-03-16 14:18:53.017</t>
  </si>
  <si>
    <t xml:space="preserve">FFRLDF10            </t>
  </si>
  <si>
    <t>2026-03-16 14:18:53.250</t>
  </si>
  <si>
    <t>2026-03-16 14:18:53.703</t>
  </si>
  <si>
    <t xml:space="preserve">FFRPCI10            </t>
  </si>
  <si>
    <t>2026-03-16 14:18:53.267</t>
  </si>
  <si>
    <t>2026-03-16 14:22:14.500</t>
  </si>
  <si>
    <t>201236</t>
  </si>
  <si>
    <t xml:space="preserve">FFRPCL20            </t>
  </si>
  <si>
    <t>2026-03-16 14:18:53.937</t>
  </si>
  <si>
    <t>2026-03-16 14:18:59.800</t>
  </si>
  <si>
    <t>5863</t>
  </si>
  <si>
    <t xml:space="preserve">FFRPCL10            </t>
  </si>
  <si>
    <t>2026-03-16 14:18:59.817</t>
  </si>
  <si>
    <t>2026-03-16 14:19:05.217</t>
  </si>
  <si>
    <t>5401</t>
  </si>
  <si>
    <t xml:space="preserve">FBUDET23            </t>
  </si>
  <si>
    <t>2026-03-16 14:19:04.480</t>
  </si>
  <si>
    <t>2026-03-16 14:19:29.383</t>
  </si>
  <si>
    <t>24903</t>
  </si>
  <si>
    <t xml:space="preserve">FFRXCL10            </t>
  </si>
  <si>
    <t>2026-03-16 14:19:05.443</t>
  </si>
  <si>
    <t>2026-03-16 14:19:05.823</t>
  </si>
  <si>
    <t>381</t>
  </si>
  <si>
    <t xml:space="preserve">FFRXDF10            </t>
  </si>
  <si>
    <t>2026-03-16 14:19:06.063</t>
  </si>
  <si>
    <t>2026-03-16 14:19:06.267</t>
  </si>
  <si>
    <t xml:space="preserve">FFSVDM10            </t>
  </si>
  <si>
    <t>2026-03-16 14:19:06.500</t>
  </si>
  <si>
    <t>2026-03-16 14:19:06.517</t>
  </si>
  <si>
    <t xml:space="preserve">FFSVDM20            </t>
  </si>
  <si>
    <t>2026-03-16 14:19:06.530</t>
  </si>
  <si>
    <t>2026-03-16 14:19:06.547</t>
  </si>
  <si>
    <t xml:space="preserve">FFSVDM30            </t>
  </si>
  <si>
    <t>2026-03-16 14:19:06.563</t>
  </si>
  <si>
    <t xml:space="preserve">FGDISE10            </t>
  </si>
  <si>
    <t>2026-03-16 14:19:06.797</t>
  </si>
  <si>
    <t xml:space="preserve">FGDITD10            </t>
  </si>
  <si>
    <t>2026-03-16 14:19:07.047</t>
  </si>
  <si>
    <t>2026-03-16 14:19:07.063</t>
  </si>
  <si>
    <t xml:space="preserve">FGDNIL20            </t>
  </si>
  <si>
    <t>2026-03-16 14:19:07.297</t>
  </si>
  <si>
    <t xml:space="preserve">FGDNIL30            </t>
  </si>
  <si>
    <t>2026-03-16 14:19:07.313</t>
  </si>
  <si>
    <t xml:space="preserve">FGDNIL40            </t>
  </si>
  <si>
    <t>2026-03-16 14:19:07.327</t>
  </si>
  <si>
    <t>2026-03-16 14:19:07.343</t>
  </si>
  <si>
    <t xml:space="preserve">FGDNIL10            </t>
  </si>
  <si>
    <t>2026-03-16 14:19:07.360</t>
  </si>
  <si>
    <t xml:space="preserve">FGI35020            </t>
  </si>
  <si>
    <t>2026-03-16 14:19:07.593</t>
  </si>
  <si>
    <t xml:space="preserve">FGI35030            </t>
  </si>
  <si>
    <t>2026-03-16 14:19:07.610</t>
  </si>
  <si>
    <t>2026-03-16 14:19:07.623</t>
  </si>
  <si>
    <t xml:space="preserve">FGI35040            </t>
  </si>
  <si>
    <t>2026-03-16 14:19:07.640</t>
  </si>
  <si>
    <t xml:space="preserve">FGI35050            </t>
  </si>
  <si>
    <t>2026-03-16 14:19:07.657</t>
  </si>
  <si>
    <t xml:space="preserve">FGINAE50            </t>
  </si>
  <si>
    <t>2026-03-16 14:19:07.890</t>
  </si>
  <si>
    <t>2026-03-16 14:19:12.693</t>
  </si>
  <si>
    <t>4804</t>
  </si>
  <si>
    <t xml:space="preserve">FGINAE20            </t>
  </si>
  <si>
    <t>2026-03-16 14:19:12.710</t>
  </si>
  <si>
    <t>2026-03-16 14:19:16.447</t>
  </si>
  <si>
    <t>3738</t>
  </si>
  <si>
    <t xml:space="preserve">FGINAE40            </t>
  </si>
  <si>
    <t>2026-03-16 14:19:16.463</t>
  </si>
  <si>
    <t>2026-03-16 14:19:20.223</t>
  </si>
  <si>
    <t>3761</t>
  </si>
  <si>
    <t xml:space="preserve">FGINAE10            </t>
  </si>
  <si>
    <t>2026-03-16 14:19:20.237</t>
  </si>
  <si>
    <t>2026-03-16 14:19:23.523</t>
  </si>
  <si>
    <t>3284</t>
  </si>
  <si>
    <t xml:space="preserve">FGINAE30            </t>
  </si>
  <si>
    <t>2026-03-16 14:19:27.490</t>
  </si>
  <si>
    <t>3969</t>
  </si>
  <si>
    <t xml:space="preserve">FGINDH10            </t>
  </si>
  <si>
    <t>2026-03-16 14:19:27.740</t>
  </si>
  <si>
    <t>2026-03-16 14:19:27.773</t>
  </si>
  <si>
    <t xml:space="preserve">FGINHC10            </t>
  </si>
  <si>
    <t>2026-03-16 14:19:28.007</t>
  </si>
  <si>
    <t xml:space="preserve">FGINHE10            </t>
  </si>
  <si>
    <t>2026-03-16 14:19:28.240</t>
  </si>
  <si>
    <t>2026-03-16 14:19:28.820</t>
  </si>
  <si>
    <t>578</t>
  </si>
  <si>
    <t xml:space="preserve">FGINHE20            </t>
  </si>
  <si>
    <t>2026-03-16 14:19:28.837</t>
  </si>
  <si>
    <t>2026-03-16 14:19:29.507</t>
  </si>
  <si>
    <t xml:space="preserve">FBUDET24            </t>
  </si>
  <si>
    <t>2026-03-16 14:19:29.397</t>
  </si>
  <si>
    <t>2026-03-16 14:19:56.633</t>
  </si>
  <si>
    <t>27236</t>
  </si>
  <si>
    <t xml:space="preserve">FGINLC10            </t>
  </si>
  <si>
    <t>2026-03-16 14:19:29.740</t>
  </si>
  <si>
    <t xml:space="preserve">FGINLC20            </t>
  </si>
  <si>
    <t>2026-03-16 14:19:29.757</t>
  </si>
  <si>
    <t xml:space="preserve">FGINLI10            </t>
  </si>
  <si>
    <t>2026-03-16 14:19:29.987</t>
  </si>
  <si>
    <t>2026-03-16 14:19:32.727</t>
  </si>
  <si>
    <t>2738</t>
  </si>
  <si>
    <t xml:space="preserve">FGINLI30            </t>
  </si>
  <si>
    <t>2026-03-16 14:19:35.810</t>
  </si>
  <si>
    <t>3085</t>
  </si>
  <si>
    <t xml:space="preserve">FGINLI20            </t>
  </si>
  <si>
    <t>2026-03-16 14:19:35.827</t>
  </si>
  <si>
    <t>2026-03-16 14:19:38.263</t>
  </si>
  <si>
    <t>2436</t>
  </si>
  <si>
    <t xml:space="preserve">FGL13110            </t>
  </si>
  <si>
    <t>2026-03-16 14:19:38.497</t>
  </si>
  <si>
    <t>2026-03-16 14:19:38.527</t>
  </si>
  <si>
    <t xml:space="preserve">FGL13120            </t>
  </si>
  <si>
    <t>2026-03-16 14:19:38.543</t>
  </si>
  <si>
    <t xml:space="preserve">FGL13130            </t>
  </si>
  <si>
    <t>2026-03-16 14:19:38.557</t>
  </si>
  <si>
    <t xml:space="preserve">FGL13210            </t>
  </si>
  <si>
    <t>2026-03-16 14:19:38.793</t>
  </si>
  <si>
    <t xml:space="preserve">FGL13220            </t>
  </si>
  <si>
    <t>2026-03-16 14:19:38.807</t>
  </si>
  <si>
    <t xml:space="preserve">FGL15110            </t>
  </si>
  <si>
    <t>2026-03-16 14:19:39.043</t>
  </si>
  <si>
    <t xml:space="preserve">FGL18300            </t>
  </si>
  <si>
    <t>2026-03-16 14:19:39.277</t>
  </si>
  <si>
    <t xml:space="preserve">FGL18301            </t>
  </si>
  <si>
    <t>2026-03-16 14:19:39.293</t>
  </si>
  <si>
    <t xml:space="preserve">FGL18303            </t>
  </si>
  <si>
    <t>2026-03-16 14:19:39.307</t>
  </si>
  <si>
    <t xml:space="preserve">FGL18320            </t>
  </si>
  <si>
    <t>2026-03-16 14:19:39.323</t>
  </si>
  <si>
    <t xml:space="preserve">FGL18304            </t>
  </si>
  <si>
    <t>2026-03-16 14:19:39.340</t>
  </si>
  <si>
    <t xml:space="preserve">FGL18302            </t>
  </si>
  <si>
    <t>2026-03-16 14:19:39.357</t>
  </si>
  <si>
    <t xml:space="preserve">FGL18305            </t>
  </si>
  <si>
    <t>2026-03-16 14:19:39.370</t>
  </si>
  <si>
    <t xml:space="preserve">FGL38010            </t>
  </si>
  <si>
    <t>2026-03-16 14:19:39.607</t>
  </si>
  <si>
    <t xml:space="preserve">FGL51102            </t>
  </si>
  <si>
    <t>2026-03-16 14:19:39.840</t>
  </si>
  <si>
    <t>2026-03-16 14:19:39.870</t>
  </si>
  <si>
    <t xml:space="preserve">FGL51520            </t>
  </si>
  <si>
    <t>2026-03-16 14:19:40.097</t>
  </si>
  <si>
    <t xml:space="preserve">FGL51510            </t>
  </si>
  <si>
    <t>2026-03-16 14:19:40.113</t>
  </si>
  <si>
    <t xml:space="preserve">FGL51600            </t>
  </si>
  <si>
    <t>2026-03-16 14:19:40.347</t>
  </si>
  <si>
    <t xml:space="preserve">FGL51610            </t>
  </si>
  <si>
    <t>2026-03-16 14:19:40.363</t>
  </si>
  <si>
    <t xml:space="preserve">FGL52102            </t>
  </si>
  <si>
    <t>2026-03-16 14:19:40.597</t>
  </si>
  <si>
    <t xml:space="preserve">FGL52700            </t>
  </si>
  <si>
    <t>2026-03-16 14:19:40.833</t>
  </si>
  <si>
    <t xml:space="preserve">FGL53501            </t>
  </si>
  <si>
    <t>2026-03-16 14:19:41.067</t>
  </si>
  <si>
    <t xml:space="preserve">FGL53502            </t>
  </si>
  <si>
    <t>2026-03-16 14:19:41.083</t>
  </si>
  <si>
    <t xml:space="preserve">FGL53510            </t>
  </si>
  <si>
    <t>2026-03-16 14:19:41.097</t>
  </si>
  <si>
    <t xml:space="preserve">FGL53511            </t>
  </si>
  <si>
    <t>2026-03-16 14:19:41.113</t>
  </si>
  <si>
    <t xml:space="preserve">FGL53900            </t>
  </si>
  <si>
    <t>2026-03-16 14:19:41.347</t>
  </si>
  <si>
    <t>2026-03-16 14:20:32.220</t>
  </si>
  <si>
    <t>50872</t>
  </si>
  <si>
    <t xml:space="preserve">FBUDET25            </t>
  </si>
  <si>
    <t>2026-03-16 14:19:56.650</t>
  </si>
  <si>
    <t>2026-03-16 14:20:23.467</t>
  </si>
  <si>
    <t>26818</t>
  </si>
  <si>
    <t xml:space="preserve">FBUDET26            </t>
  </si>
  <si>
    <t>2026-03-16 14:20:23.483</t>
  </si>
  <si>
    <t>2026-03-16 14:20:50.833</t>
  </si>
  <si>
    <t>27351</t>
  </si>
  <si>
    <t xml:space="preserve">FGL53910            </t>
  </si>
  <si>
    <t>2026-03-16 14:20:32.237</t>
  </si>
  <si>
    <t>2026-03-16 14:21:07.237</t>
  </si>
  <si>
    <t>35003</t>
  </si>
  <si>
    <t xml:space="preserve">FBAKEY30            </t>
  </si>
  <si>
    <t>2026-03-16 14:20:47.417</t>
  </si>
  <si>
    <t>2026-03-16 14:23:02.047</t>
  </si>
  <si>
    <t>134628</t>
  </si>
  <si>
    <t xml:space="preserve">FBUDET27            </t>
  </si>
  <si>
    <t>2026-03-16 14:20:50.850</t>
  </si>
  <si>
    <t>2026-03-16 14:21:17.987</t>
  </si>
  <si>
    <t>27138</t>
  </si>
  <si>
    <t xml:space="preserve">FGL63110            </t>
  </si>
  <si>
    <t>2026-03-16 14:21:07.473</t>
  </si>
  <si>
    <t xml:space="preserve">FGL64120            </t>
  </si>
  <si>
    <t>2026-03-16 14:21:07.723</t>
  </si>
  <si>
    <t xml:space="preserve">FGL64110            </t>
  </si>
  <si>
    <t>2026-03-16 14:21:07.737</t>
  </si>
  <si>
    <t xml:space="preserve">FGL80010            </t>
  </si>
  <si>
    <t>2026-03-16 14:21:07.973</t>
  </si>
  <si>
    <t xml:space="preserve">FGL80050            </t>
  </si>
  <si>
    <t>2026-03-16 14:21:07.987</t>
  </si>
  <si>
    <t xml:space="preserve">FGL80101            </t>
  </si>
  <si>
    <t>2026-03-16 14:21:08.223</t>
  </si>
  <si>
    <t xml:space="preserve">FGL80610            </t>
  </si>
  <si>
    <t>2026-03-16 14:21:08.457</t>
  </si>
  <si>
    <t xml:space="preserve">FGL80620            </t>
  </si>
  <si>
    <t>2026-03-16 14:21:08.473</t>
  </si>
  <si>
    <t xml:space="preserve">FGL80705            </t>
  </si>
  <si>
    <t>2026-03-16 14:21:08.707</t>
  </si>
  <si>
    <t xml:space="preserve">FGL80710            </t>
  </si>
  <si>
    <t>2026-03-16 14:21:08.723</t>
  </si>
  <si>
    <t xml:space="preserve">FGL80700            </t>
  </si>
  <si>
    <t>2026-03-16 14:21:08.737</t>
  </si>
  <si>
    <t xml:space="preserve">FGL80720            </t>
  </si>
  <si>
    <t>2026-03-16 14:21:08.753</t>
  </si>
  <si>
    <t xml:space="preserve">FGL80910            </t>
  </si>
  <si>
    <t>2026-03-16 14:21:08.987</t>
  </si>
  <si>
    <t xml:space="preserve">FGL81200            </t>
  </si>
  <si>
    <t>2026-03-16 14:21:09.223</t>
  </si>
  <si>
    <t xml:space="preserve">FGL81205            </t>
  </si>
  <si>
    <t>2026-03-16 14:21:09.240</t>
  </si>
  <si>
    <t xml:space="preserve">FGL81210            </t>
  </si>
  <si>
    <t>2026-03-16 14:21:09.257</t>
  </si>
  <si>
    <t xml:space="preserve">FGL81220            </t>
  </si>
  <si>
    <t>2026-03-16 14:21:09.270</t>
  </si>
  <si>
    <t xml:space="preserve">FGLDIS10            </t>
  </si>
  <si>
    <t>2026-03-16 14:21:09.523</t>
  </si>
  <si>
    <t>2026-03-16 14:21:12.257</t>
  </si>
  <si>
    <t>2731</t>
  </si>
  <si>
    <t xml:space="preserve">FGLEDD05            </t>
  </si>
  <si>
    <t>2026-03-16 14:21:12.490</t>
  </si>
  <si>
    <t xml:space="preserve">FGLEDD07            </t>
  </si>
  <si>
    <t>2026-03-16 14:21:12.507</t>
  </si>
  <si>
    <t xml:space="preserve">FGLEDD28            </t>
  </si>
  <si>
    <t>2026-03-16 14:21:12.520</t>
  </si>
  <si>
    <t xml:space="preserve">FGLEDD99            </t>
  </si>
  <si>
    <t>2026-03-16 14:21:12.537</t>
  </si>
  <si>
    <t xml:space="preserve">FGLEDD01            </t>
  </si>
  <si>
    <t>2026-03-16 14:21:12.553</t>
  </si>
  <si>
    <t xml:space="preserve">FGLEDG04            </t>
  </si>
  <si>
    <t>2026-03-16 14:21:12.817</t>
  </si>
  <si>
    <t>2026-03-16 14:41:00.013</t>
  </si>
  <si>
    <t>1187196</t>
  </si>
  <si>
    <t xml:space="preserve">FGLEDG10            </t>
  </si>
  <si>
    <t xml:space="preserve">FGLEDG11            </t>
  </si>
  <si>
    <t>2026-03-16 14:40:53.793</t>
  </si>
  <si>
    <t>1180976</t>
  </si>
  <si>
    <t xml:space="preserve">FGLEDG90            </t>
  </si>
  <si>
    <t xml:space="preserve">FBUDET70            </t>
  </si>
  <si>
    <t>2026-03-16 14:21:18.003</t>
  </si>
  <si>
    <t>2026-03-16 14:21:45.840</t>
  </si>
  <si>
    <t>27837</t>
  </si>
  <si>
    <t xml:space="preserve">FBUDET80            </t>
  </si>
  <si>
    <t>2026-03-16 14:21:45.857</t>
  </si>
  <si>
    <t>2026-03-16 14:22:12.310</t>
  </si>
  <si>
    <t>26452</t>
  </si>
  <si>
    <t xml:space="preserve">FGLEDX10            </t>
  </si>
  <si>
    <t>2026-03-16 14:22:12.543</t>
  </si>
  <si>
    <t>2026-03-16 14:50:23.537</t>
  </si>
  <si>
    <t>1690995</t>
  </si>
  <si>
    <t xml:space="preserve">FGLEDX20            </t>
  </si>
  <si>
    <t>2026-03-16 14:49:10.357</t>
  </si>
  <si>
    <t>1617813</t>
  </si>
  <si>
    <t xml:space="preserve">FGLHED10            </t>
  </si>
  <si>
    <t>2026-03-16 14:22:14.847</t>
  </si>
  <si>
    <t xml:space="preserve">FGLINF20            </t>
  </si>
  <si>
    <t>2026-03-16 14:22:15.080</t>
  </si>
  <si>
    <t xml:space="preserve">FGLINF10            </t>
  </si>
  <si>
    <t>2026-03-16 14:22:15.093</t>
  </si>
  <si>
    <t xml:space="preserve">FGLINH10            </t>
  </si>
  <si>
    <t>2026-03-16 14:22:15.327</t>
  </si>
  <si>
    <t>2026-03-16 14:22:15.407</t>
  </si>
  <si>
    <t xml:space="preserve">FGLSAV01            </t>
  </si>
  <si>
    <t>2026-03-16 14:22:15.643</t>
  </si>
  <si>
    <t xml:space="preserve">FGPADT10            </t>
  </si>
  <si>
    <t>2026-03-16 14:22:15.877</t>
  </si>
  <si>
    <t xml:space="preserve">FGR52100            </t>
  </si>
  <si>
    <t>2026-03-16 14:22:16.120</t>
  </si>
  <si>
    <t xml:space="preserve">FGR58100            </t>
  </si>
  <si>
    <t>2026-03-16 14:22:16.353</t>
  </si>
  <si>
    <t xml:space="preserve">FGRECH10            </t>
  </si>
  <si>
    <t>2026-03-16 14:22:16.587</t>
  </si>
  <si>
    <t xml:space="preserve">FGRECL96            </t>
  </si>
  <si>
    <t>2026-03-16 14:22:16.823</t>
  </si>
  <si>
    <t>2026-03-16 14:22:20.227</t>
  </si>
  <si>
    <t>3406</t>
  </si>
  <si>
    <t xml:space="preserve">FGRECL95            </t>
  </si>
  <si>
    <t>2026-03-16 14:22:20.243</t>
  </si>
  <si>
    <t>2026-03-16 14:22:23.347</t>
  </si>
  <si>
    <t>3101</t>
  </si>
  <si>
    <t xml:space="preserve">FGRECL50            </t>
  </si>
  <si>
    <t>2026-03-16 14:22:23.360</t>
  </si>
  <si>
    <t>2026-03-16 14:22:26.803</t>
  </si>
  <si>
    <t>3441</t>
  </si>
  <si>
    <t xml:space="preserve">FGRECL60            </t>
  </si>
  <si>
    <t>2026-03-16 14:22:26.817</t>
  </si>
  <si>
    <t>2026-03-16 14:22:29.680</t>
  </si>
  <si>
    <t>2861</t>
  </si>
  <si>
    <t xml:space="preserve">FGRECL40            </t>
  </si>
  <si>
    <t>2026-03-16 14:22:29.693</t>
  </si>
  <si>
    <t>2026-03-16 14:22:32.523</t>
  </si>
  <si>
    <t>2828</t>
  </si>
  <si>
    <t xml:space="preserve">FGRECL70            </t>
  </si>
  <si>
    <t>2026-03-16 14:22:32.530</t>
  </si>
  <si>
    <t>2026-03-16 14:22:36.327</t>
  </si>
  <si>
    <t>3797</t>
  </si>
  <si>
    <t xml:space="preserve">FGRECL90            </t>
  </si>
  <si>
    <t>2026-03-16 14:22:36.343</t>
  </si>
  <si>
    <t>2026-03-16 14:22:38.690</t>
  </si>
  <si>
    <t>2347</t>
  </si>
  <si>
    <t xml:space="preserve">FGRECL85            </t>
  </si>
  <si>
    <t>2026-03-16 14:22:38.707</t>
  </si>
  <si>
    <t>2026-03-16 14:22:41.590</t>
  </si>
  <si>
    <t>2883</t>
  </si>
  <si>
    <t xml:space="preserve">FGRECL30            </t>
  </si>
  <si>
    <t>2026-03-16 14:22:41.607</t>
  </si>
  <si>
    <t>2026-03-16 14:22:43.827</t>
  </si>
  <si>
    <t>2222</t>
  </si>
  <si>
    <t xml:space="preserve">FGRECL10            </t>
  </si>
  <si>
    <t>2026-03-16 14:22:43.843</t>
  </si>
  <si>
    <t>2026-03-16 14:22:46.537</t>
  </si>
  <si>
    <t>2694</t>
  </si>
  <si>
    <t xml:space="preserve">FGRECL20            </t>
  </si>
  <si>
    <t>2026-03-16 14:22:46.553</t>
  </si>
  <si>
    <t>2026-03-16 14:22:48.677</t>
  </si>
  <si>
    <t>2125</t>
  </si>
  <si>
    <t xml:space="preserve">FGRECL80            </t>
  </si>
  <si>
    <t>2026-03-16 14:22:48.693</t>
  </si>
  <si>
    <t>2026-03-16 14:22:50.963</t>
  </si>
  <si>
    <t>2269</t>
  </si>
  <si>
    <t xml:space="preserve">FGRNIL20            </t>
  </si>
  <si>
    <t>2026-03-16 14:22:51.213</t>
  </si>
  <si>
    <t xml:space="preserve">FGRNIL30            </t>
  </si>
  <si>
    <t>2026-03-16 14:22:51.230</t>
  </si>
  <si>
    <t xml:space="preserve">FGRNIL40            </t>
  </si>
  <si>
    <t>2026-03-16 14:22:51.243</t>
  </si>
  <si>
    <t xml:space="preserve">FGRNIL10            </t>
  </si>
  <si>
    <t>2026-03-16 14:22:51.260</t>
  </si>
  <si>
    <t xml:space="preserve">FGRPCL10            </t>
  </si>
  <si>
    <t>2026-03-16 14:22:51.493</t>
  </si>
  <si>
    <t xml:space="preserve">FITIHE20            </t>
  </si>
  <si>
    <t>2026-03-16 14:22:51.730</t>
  </si>
  <si>
    <t xml:space="preserve">FITIHE30            </t>
  </si>
  <si>
    <t>2026-03-16 14:22:51.743</t>
  </si>
  <si>
    <t>2026-03-16 14:22:51.760</t>
  </si>
  <si>
    <t xml:space="preserve">FITIHE10            </t>
  </si>
  <si>
    <t>2026-03-16 14:22:51.777</t>
  </si>
  <si>
    <t xml:space="preserve">FITILI10            </t>
  </si>
  <si>
    <t>2026-03-16 14:22:52.010</t>
  </si>
  <si>
    <t>2026-03-16 14:22:52.020</t>
  </si>
  <si>
    <t xml:space="preserve">FMFPPD10            </t>
  </si>
  <si>
    <t>2026-03-16 14:22:52.253</t>
  </si>
  <si>
    <t xml:space="preserve">FMFPPI30            </t>
  </si>
  <si>
    <t>2026-03-16 14:22:52.487</t>
  </si>
  <si>
    <t xml:space="preserve">FMFPPI10            </t>
  </si>
  <si>
    <t>2026-03-16 14:22:52.503</t>
  </si>
  <si>
    <t xml:space="preserve">FMFPPI20            </t>
  </si>
  <si>
    <t>2026-03-16 14:22:52.520</t>
  </si>
  <si>
    <t xml:space="preserve">FMFPPP20            </t>
  </si>
  <si>
    <t>2026-03-16 14:22:52.753</t>
  </si>
  <si>
    <t xml:space="preserve">FMFPPP30            </t>
  </si>
  <si>
    <t>2026-03-16 14:22:52.770</t>
  </si>
  <si>
    <t xml:space="preserve">FMINHD20            </t>
  </si>
  <si>
    <t>2026-03-16 14:22:53.003</t>
  </si>
  <si>
    <t>2026-03-16 14:22:54.180</t>
  </si>
  <si>
    <t>1175</t>
  </si>
  <si>
    <t xml:space="preserve">FMINHD00            </t>
  </si>
  <si>
    <t>2026-03-16 14:22:55.087</t>
  </si>
  <si>
    <t xml:space="preserve">FMINHD10            </t>
  </si>
  <si>
    <t>2026-03-16 14:22:55.100</t>
  </si>
  <si>
    <t>2026-03-16 14:22:55.990</t>
  </si>
  <si>
    <t>890</t>
  </si>
  <si>
    <t xml:space="preserve">FMINHD40            </t>
  </si>
  <si>
    <t>2026-03-16 14:22:56.007</t>
  </si>
  <si>
    <t>2026-03-16 14:22:56.657</t>
  </si>
  <si>
    <t xml:space="preserve">FMINTL00            </t>
  </si>
  <si>
    <t>2026-03-16 14:22:56.893</t>
  </si>
  <si>
    <t>2026-03-16 14:23:01.123</t>
  </si>
  <si>
    <t>4231</t>
  </si>
  <si>
    <t xml:space="preserve">FMINTL10            </t>
  </si>
  <si>
    <t>2026-03-16 14:23:01.140</t>
  </si>
  <si>
    <t>2026-03-16 14:23:05.240</t>
  </si>
  <si>
    <t>4102</t>
  </si>
  <si>
    <t xml:space="preserve">FNADP110            </t>
  </si>
  <si>
    <t>2026-03-16 14:23:02.390</t>
  </si>
  <si>
    <t xml:space="preserve">FNADP120            </t>
  </si>
  <si>
    <t>2026-03-16 14:23:02.403</t>
  </si>
  <si>
    <t xml:space="preserve">FNADT110            </t>
  </si>
  <si>
    <t>2026-03-16 14:23:02.640</t>
  </si>
  <si>
    <t xml:space="preserve">FNADT120            </t>
  </si>
  <si>
    <t>2026-03-16 14:23:02.653</t>
  </si>
  <si>
    <t xml:space="preserve">FNBTRC10            </t>
  </si>
  <si>
    <t>2026-03-16 14:23:02.890</t>
  </si>
  <si>
    <t xml:space="preserve">FNBTRC20            </t>
  </si>
  <si>
    <t>2026-03-16 14:23:02.903</t>
  </si>
  <si>
    <t xml:space="preserve">FNBTRC30            </t>
  </si>
  <si>
    <t>2026-03-16 14:23:02.920</t>
  </si>
  <si>
    <t xml:space="preserve">FNBTRC40            </t>
  </si>
  <si>
    <t>2026-03-16 14:23:02.937</t>
  </si>
  <si>
    <t xml:space="preserve">FNBTRH10            </t>
  </si>
  <si>
    <t>2026-03-16 14:23:03.170</t>
  </si>
  <si>
    <t xml:space="preserve">FNBTRV10            </t>
  </si>
  <si>
    <t>2026-03-16 14:23:03.403</t>
  </si>
  <si>
    <t>2026-03-16 14:23:03.420</t>
  </si>
  <si>
    <t xml:space="preserve">FNBTRV20            </t>
  </si>
  <si>
    <t>2026-03-16 14:23:03.437</t>
  </si>
  <si>
    <t xml:space="preserve">FNBTRV90            </t>
  </si>
  <si>
    <t>2026-03-16 14:23:03.450</t>
  </si>
  <si>
    <t xml:space="preserve">FONINS10            </t>
  </si>
  <si>
    <t>2026-03-16 14:23:03.683</t>
  </si>
  <si>
    <t>2026-03-16 14:23:03.697</t>
  </si>
  <si>
    <t xml:space="preserve">FONINT30            </t>
  </si>
  <si>
    <t>2026-03-16 14:23:03.923</t>
  </si>
  <si>
    <t xml:space="preserve">FONINT50            </t>
  </si>
  <si>
    <t>2026-03-16 14:23:03.940</t>
  </si>
  <si>
    <t xml:space="preserve">FONINT60            </t>
  </si>
  <si>
    <t>2026-03-16 14:23:03.957</t>
  </si>
  <si>
    <t xml:space="preserve">FONINT40            </t>
  </si>
  <si>
    <t>2026-03-16 14:23:03.970</t>
  </si>
  <si>
    <t xml:space="preserve">FONINT20            </t>
  </si>
  <si>
    <t>2026-03-16 14:23:03.987</t>
  </si>
  <si>
    <t xml:space="preserve">FONINT10            </t>
  </si>
  <si>
    <t>2026-03-16 14:23:04.003</t>
  </si>
  <si>
    <t xml:space="preserve">FONINW10            </t>
  </si>
  <si>
    <t>2026-03-16 14:23:04.237</t>
  </si>
  <si>
    <t xml:space="preserve">FONINW20            </t>
  </si>
  <si>
    <t>2026-03-16 14:23:04.253</t>
  </si>
  <si>
    <t xml:space="preserve">FPAPCD10            </t>
  </si>
  <si>
    <t>2026-03-16 14:23:04.487</t>
  </si>
  <si>
    <t xml:space="preserve">FPAPCD30            </t>
  </si>
  <si>
    <t>2026-03-16 14:23:04.503</t>
  </si>
  <si>
    <t xml:space="preserve">FPAPCD20            </t>
  </si>
  <si>
    <t>2026-03-16 14:23:04.517</t>
  </si>
  <si>
    <t xml:space="preserve">FPAPRN20            </t>
  </si>
  <si>
    <t>2026-03-16 14:23:04.753</t>
  </si>
  <si>
    <t xml:space="preserve">FPAPRN10            </t>
  </si>
  <si>
    <t>2026-03-16 14:23:04.767</t>
  </si>
  <si>
    <t xml:space="preserve">FPAPRW10            </t>
  </si>
  <si>
    <t>2026-03-16 14:23:05.003</t>
  </si>
  <si>
    <t xml:space="preserve">FPAPRW20            </t>
  </si>
  <si>
    <t>2026-03-16 14:23:05.020</t>
  </si>
  <si>
    <t xml:space="preserve">FPAPRW30            </t>
  </si>
  <si>
    <t>2026-03-16 14:23:05.037</t>
  </si>
  <si>
    <t>2026-03-16 14:23:05.050</t>
  </si>
  <si>
    <t xml:space="preserve">FMINTL40            </t>
  </si>
  <si>
    <t>2026-03-16 14:23:05.257</t>
  </si>
  <si>
    <t>2026-03-16 14:23:08.783</t>
  </si>
  <si>
    <t>3527</t>
  </si>
  <si>
    <t xml:space="preserve">FPCASH00            </t>
  </si>
  <si>
    <t>2026-03-16 14:23:05.273</t>
  </si>
  <si>
    <t>2026-03-16 14:23:05.287</t>
  </si>
  <si>
    <t xml:space="preserve">FPCASH10            </t>
  </si>
  <si>
    <t>2026-03-16 14:23:05.303</t>
  </si>
  <si>
    <t xml:space="preserve">FPDCP120            </t>
  </si>
  <si>
    <t>2026-03-16 14:23:05.540</t>
  </si>
  <si>
    <t xml:space="preserve">FPDCP110            </t>
  </si>
  <si>
    <t>2026-03-16 14:23:05.557</t>
  </si>
  <si>
    <t xml:space="preserve">FPECAS10            </t>
  </si>
  <si>
    <t>2026-03-16 14:23:05.790</t>
  </si>
  <si>
    <t xml:space="preserve">FPECAS00            </t>
  </si>
  <si>
    <t>2026-03-16 14:23:05.807</t>
  </si>
  <si>
    <t xml:space="preserve">FPECASX2#MPL        </t>
  </si>
  <si>
    <t>2026-03-16 14:23:05.820</t>
  </si>
  <si>
    <t xml:space="preserve">FPINGV10            </t>
  </si>
  <si>
    <t>2026-03-16 14:23:06.050</t>
  </si>
  <si>
    <t>2026-03-16 14:23:06.067</t>
  </si>
  <si>
    <t xml:space="preserve">FPINHD10            </t>
  </si>
  <si>
    <t>2026-03-16 14:23:06.300</t>
  </si>
  <si>
    <t xml:space="preserve">FPINT101            </t>
  </si>
  <si>
    <t>2026-03-16 14:23:06.530</t>
  </si>
  <si>
    <t>2026-03-16 14:23:06.547</t>
  </si>
  <si>
    <t xml:space="preserve">FPINT102            </t>
  </si>
  <si>
    <t>2026-03-16 14:23:06.563</t>
  </si>
  <si>
    <t xml:space="preserve">FPINT210            </t>
  </si>
  <si>
    <t>2026-03-16 14:23:06.797</t>
  </si>
  <si>
    <t xml:space="preserve">FPINT220            </t>
  </si>
  <si>
    <t>2026-03-16 14:23:06.813</t>
  </si>
  <si>
    <t>2026-03-16 14:23:06.827</t>
  </si>
  <si>
    <t xml:space="preserve">FPINT302            </t>
  </si>
  <si>
    <t>2026-03-16 14:23:07.063</t>
  </si>
  <si>
    <t>2026-03-16 14:23:07.157</t>
  </si>
  <si>
    <t xml:space="preserve">FPINT320            </t>
  </si>
  <si>
    <t>2026-03-16 14:23:07.250</t>
  </si>
  <si>
    <t xml:space="preserve">FPINT305            </t>
  </si>
  <si>
    <t>2026-03-16 14:23:07.343</t>
  </si>
  <si>
    <t xml:space="preserve">FPINT310            </t>
  </si>
  <si>
    <t>2026-03-16 14:23:07.357</t>
  </si>
  <si>
    <t>2026-03-16 14:23:07.423</t>
  </si>
  <si>
    <t>69</t>
  </si>
  <si>
    <t xml:space="preserve">FPIOIN40            </t>
  </si>
  <si>
    <t>2026-03-16 14:23:07.657</t>
  </si>
  <si>
    <t xml:space="preserve">FPIOIN70            </t>
  </si>
  <si>
    <t>2026-03-16 14:23:07.673</t>
  </si>
  <si>
    <t xml:space="preserve">FPIOIN60            </t>
  </si>
  <si>
    <t>2026-03-16 14:23:07.690</t>
  </si>
  <si>
    <t xml:space="preserve">FPIOIN10            </t>
  </si>
  <si>
    <t>2026-03-16 14:23:07.707</t>
  </si>
  <si>
    <t xml:space="preserve">FPIOIN30            </t>
  </si>
  <si>
    <t>2026-03-16 14:23:07.720</t>
  </si>
  <si>
    <t xml:space="preserve">FPL53130            </t>
  </si>
  <si>
    <t>2026-03-16 14:23:07.957</t>
  </si>
  <si>
    <t xml:space="preserve">FPL53110            </t>
  </si>
  <si>
    <t>2026-03-16 14:23:07.970</t>
  </si>
  <si>
    <t xml:space="preserve">FPL53120            </t>
  </si>
  <si>
    <t>2026-03-16 14:23:07.987</t>
  </si>
  <si>
    <t xml:space="preserve">FPL55130            </t>
  </si>
  <si>
    <t>2026-03-16 14:23:08.220</t>
  </si>
  <si>
    <t xml:space="preserve">FPL55120            </t>
  </si>
  <si>
    <t>2026-03-16 14:23:08.237</t>
  </si>
  <si>
    <t xml:space="preserve">FPLBAL01            </t>
  </si>
  <si>
    <t>2026-03-16 14:23:08.470</t>
  </si>
  <si>
    <t>2026-03-16 14:23:15.623</t>
  </si>
  <si>
    <t>7152</t>
  </si>
  <si>
    <t xml:space="preserve">FMINTL30            </t>
  </si>
  <si>
    <t>2026-03-16 14:23:08.800</t>
  </si>
  <si>
    <t>2026-03-16 14:23:12.847</t>
  </si>
  <si>
    <t>4046</t>
  </si>
  <si>
    <t xml:space="preserve">FPLEDG14            </t>
  </si>
  <si>
    <t>2026-03-16 14:23:13.127</t>
  </si>
  <si>
    <t>2026-03-16 14:25:00.637</t>
  </si>
  <si>
    <t>107509</t>
  </si>
  <si>
    <t xml:space="preserve">FPLEDG17            </t>
  </si>
  <si>
    <t xml:space="preserve">FPLEDG52            </t>
  </si>
  <si>
    <t>2026-03-16 14:25:02.827</t>
  </si>
  <si>
    <t>109700</t>
  </si>
  <si>
    <t xml:space="preserve">FPLEDG71            </t>
  </si>
  <si>
    <t xml:space="preserve">FPLBAL10            </t>
  </si>
  <si>
    <t>2026-03-16 14:23:15.640</t>
  </si>
  <si>
    <t>2026-03-16 14:23:22.277</t>
  </si>
  <si>
    <t>6638</t>
  </si>
  <si>
    <t xml:space="preserve">FPLBAL11            </t>
  </si>
  <si>
    <t>2026-03-16 14:23:22.293</t>
  </si>
  <si>
    <t>2026-03-16 14:23:28.763</t>
  </si>
  <si>
    <t>6472</t>
  </si>
  <si>
    <t xml:space="preserve">FPLBAL20            </t>
  </si>
  <si>
    <t>2026-03-16 14:23:28.780</t>
  </si>
  <si>
    <t>2026-03-16 14:23:35.387</t>
  </si>
  <si>
    <t>6607</t>
  </si>
  <si>
    <t xml:space="preserve">FPLBAL21            </t>
  </si>
  <si>
    <t>2026-03-16 14:23:35.403</t>
  </si>
  <si>
    <t>2026-03-16 14:23:41.840</t>
  </si>
  <si>
    <t>6437</t>
  </si>
  <si>
    <t xml:space="preserve">FPLBAL30            </t>
  </si>
  <si>
    <t>2026-03-16 14:23:41.857</t>
  </si>
  <si>
    <t>2026-03-16 14:23:48.987</t>
  </si>
  <si>
    <t>7130</t>
  </si>
  <si>
    <t xml:space="preserve">FPLBAL40            </t>
  </si>
  <si>
    <t>2026-03-16 14:23:55.857</t>
  </si>
  <si>
    <t>6871</t>
  </si>
  <si>
    <t xml:space="preserve">FPLBAL41            </t>
  </si>
  <si>
    <t>2026-03-16 14:23:55.873</t>
  </si>
  <si>
    <t>2026-03-16 14:24:02.530</t>
  </si>
  <si>
    <t>6659</t>
  </si>
  <si>
    <t xml:space="preserve">FPLBAL50            </t>
  </si>
  <si>
    <t>2026-03-16 14:24:02.547</t>
  </si>
  <si>
    <t>2026-03-16 14:24:09.457</t>
  </si>
  <si>
    <t>6911</t>
  </si>
  <si>
    <t xml:space="preserve">FPLBAL51            </t>
  </si>
  <si>
    <t>2026-03-16 14:24:16.137</t>
  </si>
  <si>
    <t>6680</t>
  </si>
  <si>
    <t xml:space="preserve">FPLBAL60            </t>
  </si>
  <si>
    <t>2026-03-16 14:24:16.153</t>
  </si>
  <si>
    <t>2026-03-16 14:24:23.360</t>
  </si>
  <si>
    <t>7208</t>
  </si>
  <si>
    <t xml:space="preserve">FPLEDH60            </t>
  </si>
  <si>
    <t>2026-03-16 14:24:23.597</t>
  </si>
  <si>
    <t xml:space="preserve">FPLEDH20            </t>
  </si>
  <si>
    <t>2026-03-16 14:24:23.610</t>
  </si>
  <si>
    <t xml:space="preserve">FPLEDH30            </t>
  </si>
  <si>
    <t>2026-03-16 14:24:23.627</t>
  </si>
  <si>
    <t xml:space="preserve">FPLEDH40            </t>
  </si>
  <si>
    <t>2026-03-16 14:24:23.643</t>
  </si>
  <si>
    <t xml:space="preserve">FPLEDH50            </t>
  </si>
  <si>
    <t>2026-03-16 14:24:23.657</t>
  </si>
  <si>
    <t xml:space="preserve">FPLEDH10            </t>
  </si>
  <si>
    <t>2026-03-16 14:24:23.673</t>
  </si>
  <si>
    <t xml:space="preserve">FPLEDX10            </t>
  </si>
  <si>
    <t>2026-03-16 14:24:23.907</t>
  </si>
  <si>
    <t>2026-03-16 14:28:20.283</t>
  </si>
  <si>
    <t>236376</t>
  </si>
  <si>
    <t xml:space="preserve">FPLEDX20            </t>
  </si>
  <si>
    <t>2026-03-16 14:28:12.623</t>
  </si>
  <si>
    <t>228716</t>
  </si>
  <si>
    <t xml:space="preserve">FPLEDG16            </t>
  </si>
  <si>
    <t>2026-03-16 14:25:02.937</t>
  </si>
  <si>
    <t>2026-03-16 14:26:42.633</t>
  </si>
  <si>
    <t>99699</t>
  </si>
  <si>
    <t xml:space="preserve">FPLEDG26            </t>
  </si>
  <si>
    <t>2026-03-16 14:26:56.500</t>
  </si>
  <si>
    <t>113566</t>
  </si>
  <si>
    <t xml:space="preserve">FPLEDG31            </t>
  </si>
  <si>
    <t xml:space="preserve">FPLEDG53            </t>
  </si>
  <si>
    <t xml:space="preserve">FPLEDG11            </t>
  </si>
  <si>
    <t>2026-03-16 14:26:56.610</t>
  </si>
  <si>
    <t>2026-03-16 14:28:27.683</t>
  </si>
  <si>
    <t>91072</t>
  </si>
  <si>
    <t xml:space="preserve">FPLEDG12            </t>
  </si>
  <si>
    <t xml:space="preserve">FPLEDG32            </t>
  </si>
  <si>
    <t>2026-03-16 14:29:02.937</t>
  </si>
  <si>
    <t>126326</t>
  </si>
  <si>
    <t xml:space="preserve">FPLEDG37            </t>
  </si>
  <si>
    <t>2026-03-16 14:28:33.917</t>
  </si>
  <si>
    <t>97305</t>
  </si>
  <si>
    <t xml:space="preserve">FPLLOG10            </t>
  </si>
  <si>
    <t>2026-03-16 14:28:20.660</t>
  </si>
  <si>
    <t>2026-03-16 14:29:07.437</t>
  </si>
  <si>
    <t>46777</t>
  </si>
  <si>
    <t xml:space="preserve">FPLEDG15            </t>
  </si>
  <si>
    <t>2026-03-16 14:29:03.047</t>
  </si>
  <si>
    <t>2026-03-16 14:31:14.813</t>
  </si>
  <si>
    <t>131765</t>
  </si>
  <si>
    <t xml:space="preserve">FPLEDG25            </t>
  </si>
  <si>
    <t xml:space="preserve">FPLEDG42            </t>
  </si>
  <si>
    <t xml:space="preserve">FPLEDG94            </t>
  </si>
  <si>
    <t xml:space="preserve">FPLLOG20            </t>
  </si>
  <si>
    <t>2026-03-16 14:29:07.450</t>
  </si>
  <si>
    <t>2026-03-16 14:29:53.203</t>
  </si>
  <si>
    <t>45752</t>
  </si>
  <si>
    <t xml:space="preserve">FPLREC10            </t>
  </si>
  <si>
    <t>2026-03-16 14:29:53.453</t>
  </si>
  <si>
    <t>2026-03-16 14:29:53.470</t>
  </si>
  <si>
    <t xml:space="preserve">FPPIN110            </t>
  </si>
  <si>
    <t>2026-03-16 14:29:53.703</t>
  </si>
  <si>
    <t>2026-03-16 14:29:53.720</t>
  </si>
  <si>
    <t xml:space="preserve">FPPIN120            </t>
  </si>
  <si>
    <t>2026-03-16 14:29:53.737</t>
  </si>
  <si>
    <t xml:space="preserve">FPPIN130            </t>
  </si>
  <si>
    <t>2026-03-16 14:29:53.750</t>
  </si>
  <si>
    <t xml:space="preserve">FPPIN210            </t>
  </si>
  <si>
    <t>2026-03-16 14:29:54.000</t>
  </si>
  <si>
    <t xml:space="preserve">FPPIN310            </t>
  </si>
  <si>
    <t>2026-03-16 14:29:54.267</t>
  </si>
  <si>
    <t xml:space="preserve">FPPIN320            </t>
  </si>
  <si>
    <t>2026-03-16 14:29:54.283</t>
  </si>
  <si>
    <t xml:space="preserve">FPPPAY20            </t>
  </si>
  <si>
    <t>2026-03-16 14:29:54.533</t>
  </si>
  <si>
    <t xml:space="preserve">FPPPAY30            </t>
  </si>
  <si>
    <t>2026-03-16 14:29:54.550</t>
  </si>
  <si>
    <t xml:space="preserve">FPPPAY40            </t>
  </si>
  <si>
    <t>2026-03-16 14:29:54.563</t>
  </si>
  <si>
    <t xml:space="preserve">FPPPAY60            </t>
  </si>
  <si>
    <t>2026-03-16 14:29:54.580</t>
  </si>
  <si>
    <t xml:space="preserve">FPPPAY50            </t>
  </si>
  <si>
    <t>2026-03-16 14:29:54.597</t>
  </si>
  <si>
    <t xml:space="preserve">FPPPAY70            </t>
  </si>
  <si>
    <t>2026-03-16 14:29:54.610</t>
  </si>
  <si>
    <t xml:space="preserve">FPPPAY80            </t>
  </si>
  <si>
    <t>2026-03-16 14:29:54.627</t>
  </si>
  <si>
    <t xml:space="preserve">FPPPAY10            </t>
  </si>
  <si>
    <t>2026-03-16 14:29:54.643</t>
  </si>
  <si>
    <t xml:space="preserve">FPRTDF00            </t>
  </si>
  <si>
    <t>2026-03-16 14:29:54.893</t>
  </si>
  <si>
    <t>2026-03-16 14:29:54.907</t>
  </si>
  <si>
    <t xml:space="preserve">FPSPPA10            </t>
  </si>
  <si>
    <t>2026-03-16 14:29:55.157</t>
  </si>
  <si>
    <t>2026-03-16 14:29:55.173</t>
  </si>
  <si>
    <t xml:space="preserve">FPSUGD60            </t>
  </si>
  <si>
    <t>2026-03-16 14:29:55.440</t>
  </si>
  <si>
    <t>2026-03-16 14:29:59.307</t>
  </si>
  <si>
    <t>3868</t>
  </si>
  <si>
    <t xml:space="preserve">FPSUGDX2#MNO        </t>
  </si>
  <si>
    <t>2026-03-16 14:29:59.323</t>
  </si>
  <si>
    <t>2026-03-16 14:30:03.153</t>
  </si>
  <si>
    <t>3832</t>
  </si>
  <si>
    <t xml:space="preserve">FPSUGD50            </t>
  </si>
  <si>
    <t>2026-03-16 14:30:03.170</t>
  </si>
  <si>
    <t>2026-03-16 14:30:06.647</t>
  </si>
  <si>
    <t>3477</t>
  </si>
  <si>
    <t xml:space="preserve">FPSUGDX1#MNO        </t>
  </si>
  <si>
    <t>2026-03-16 14:30:06.663</t>
  </si>
  <si>
    <t>2026-03-16 14:30:10.153</t>
  </si>
  <si>
    <t>3491</t>
  </si>
  <si>
    <t xml:space="preserve">FPSUGD20            </t>
  </si>
  <si>
    <t>2026-03-16 14:30:10.170</t>
  </si>
  <si>
    <t>2026-03-16 14:30:13.367</t>
  </si>
  <si>
    <t>3199</t>
  </si>
  <si>
    <t xml:space="preserve">FPSUGD30            </t>
  </si>
  <si>
    <t>2026-03-16 14:30:13.383</t>
  </si>
  <si>
    <t>2026-03-16 14:30:16.773</t>
  </si>
  <si>
    <t>3389</t>
  </si>
  <si>
    <t xml:space="preserve">FPSUGH02            </t>
  </si>
  <si>
    <t>2026-03-16 14:30:17.033</t>
  </si>
  <si>
    <t>2026-03-16 14:30:17.110</t>
  </si>
  <si>
    <t xml:space="preserve">FPSUGH20            </t>
  </si>
  <si>
    <t>2026-03-16 14:30:17.127</t>
  </si>
  <si>
    <t>2026-03-16 14:30:17.190</t>
  </si>
  <si>
    <t xml:space="preserve">FPSUGH30            </t>
  </si>
  <si>
    <t>2026-03-16 14:30:17.207</t>
  </si>
  <si>
    <t>2026-03-16 14:30:17.330</t>
  </si>
  <si>
    <t xml:space="preserve">FPSUGH10            </t>
  </si>
  <si>
    <t>2026-03-16 14:30:17.457</t>
  </si>
  <si>
    <t xml:space="preserve">FPSUGS10            </t>
  </si>
  <si>
    <t>2026-03-16 14:30:17.707</t>
  </si>
  <si>
    <t>2026-03-16 14:30:18.813</t>
  </si>
  <si>
    <t>1109</t>
  </si>
  <si>
    <t xml:space="preserve">FPWAUT10            </t>
  </si>
  <si>
    <t>2026-03-16 14:30:19.073</t>
  </si>
  <si>
    <t xml:space="preserve">FQRADF10            </t>
  </si>
  <si>
    <t>2026-03-16 14:30:19.333</t>
  </si>
  <si>
    <t xml:space="preserve">FQRSUG10            </t>
  </si>
  <si>
    <t>2026-03-16 14:30:19.583</t>
  </si>
  <si>
    <t xml:space="preserve">FRCALA10            </t>
  </si>
  <si>
    <t>2026-03-16 14:30:19.833</t>
  </si>
  <si>
    <t xml:space="preserve">FRCALA20            </t>
  </si>
  <si>
    <t>2026-03-16 14:30:19.847</t>
  </si>
  <si>
    <t xml:space="preserve">FRCALB10            </t>
  </si>
  <si>
    <t>2026-03-16 14:30:20.093</t>
  </si>
  <si>
    <t xml:space="preserve">FRCALC10            </t>
  </si>
  <si>
    <t>2026-03-16 14:30:20.343</t>
  </si>
  <si>
    <t xml:space="preserve">FRCALC20            </t>
  </si>
  <si>
    <t>2026-03-16 14:30:20.360</t>
  </si>
  <si>
    <t xml:space="preserve">FRCALQ30            </t>
  </si>
  <si>
    <t>2026-03-16 14:30:20.593</t>
  </si>
  <si>
    <t>2026-03-16 14:30:20.767</t>
  </si>
  <si>
    <t>171</t>
  </si>
  <si>
    <t xml:space="preserve">FRCALQ20            </t>
  </si>
  <si>
    <t>2026-03-16 14:30:20.780</t>
  </si>
  <si>
    <t xml:space="preserve">FRCALQ10            </t>
  </si>
  <si>
    <t>2026-03-16 14:30:20.797</t>
  </si>
  <si>
    <t xml:space="preserve">FRCALT10            </t>
  </si>
  <si>
    <t>2026-03-16 14:30:21.040</t>
  </si>
  <si>
    <t>2026-03-16 14:30:21.057</t>
  </si>
  <si>
    <t xml:space="preserve">FRECDT10            </t>
  </si>
  <si>
    <t>2026-03-16 14:30:21.307</t>
  </si>
  <si>
    <t xml:space="preserve">FRECHE10            </t>
  </si>
  <si>
    <t>2026-03-16 14:30:21.557</t>
  </si>
  <si>
    <t xml:space="preserve">FRECOA10            </t>
  </si>
  <si>
    <t>2026-03-16 14:30:21.807</t>
  </si>
  <si>
    <t xml:space="preserve">FREDHE20            </t>
  </si>
  <si>
    <t>2026-03-16 14:30:22.057</t>
  </si>
  <si>
    <t>2026-03-16 14:30:22.073</t>
  </si>
  <si>
    <t xml:space="preserve">FREDSE10            </t>
  </si>
  <si>
    <t>2026-03-16 14:30:22.323</t>
  </si>
  <si>
    <t xml:space="preserve">FREFAH10            </t>
  </si>
  <si>
    <t>2026-03-16 14:30:22.573</t>
  </si>
  <si>
    <t xml:space="preserve">FREFAM10            </t>
  </si>
  <si>
    <t>2026-03-16 14:30:22.823</t>
  </si>
  <si>
    <t xml:space="preserve">FREGLD10            </t>
  </si>
  <si>
    <t>2026-03-16 14:30:23.073</t>
  </si>
  <si>
    <t xml:space="preserve">FREGPD10            </t>
  </si>
  <si>
    <t>2026-03-16 14:30:23.327</t>
  </si>
  <si>
    <t xml:space="preserve">FREGPH10            </t>
  </si>
  <si>
    <t>2026-03-16 14:30:23.577</t>
  </si>
  <si>
    <t>2026-03-16 14:30:23.593</t>
  </si>
  <si>
    <t xml:space="preserve">FREGRD10            </t>
  </si>
  <si>
    <t>2026-03-16 14:30:23.843</t>
  </si>
  <si>
    <t xml:space="preserve">FREGRH10            </t>
  </si>
  <si>
    <t>2026-03-16 14:30:24.093</t>
  </si>
  <si>
    <t>2026-03-16 14:30:24.107</t>
  </si>
  <si>
    <t xml:space="preserve">FREHED10            </t>
  </si>
  <si>
    <t>2026-03-16 14:30:24.357</t>
  </si>
  <si>
    <t xml:space="preserve">FREITM10            </t>
  </si>
  <si>
    <t>2026-03-16 14:30:24.607</t>
  </si>
  <si>
    <t>2026-03-16 14:30:24.623</t>
  </si>
  <si>
    <t xml:space="preserve">FREIVA10            </t>
  </si>
  <si>
    <t>2026-03-16 14:30:24.873</t>
  </si>
  <si>
    <t>2026-03-16 14:30:24.890</t>
  </si>
  <si>
    <t xml:space="preserve">FREMD101            </t>
  </si>
  <si>
    <t>2026-03-16 14:30:25.157</t>
  </si>
  <si>
    <t xml:space="preserve">FREMD102            </t>
  </si>
  <si>
    <t>2026-03-16 14:30:25.170</t>
  </si>
  <si>
    <t xml:space="preserve">FREMD220            </t>
  </si>
  <si>
    <t>2026-03-16 14:30:25.420</t>
  </si>
  <si>
    <t>2026-03-16 14:30:25.437</t>
  </si>
  <si>
    <t xml:space="preserve">FREMD225            </t>
  </si>
  <si>
    <t>2026-03-16 14:30:25.453</t>
  </si>
  <si>
    <t xml:space="preserve">FREMD205            </t>
  </si>
  <si>
    <t>2026-03-16 14:30:25.467</t>
  </si>
  <si>
    <t xml:space="preserve">FREMD210            </t>
  </si>
  <si>
    <t>2026-03-16 14:30:25.483</t>
  </si>
  <si>
    <t>2026-03-16 14:30:25.500</t>
  </si>
  <si>
    <t xml:space="preserve">FREMD300            </t>
  </si>
  <si>
    <t>2026-03-16 14:30:25.743</t>
  </si>
  <si>
    <t>2026-03-16 14:30:25.790</t>
  </si>
  <si>
    <t xml:space="preserve">FREMD325            </t>
  </si>
  <si>
    <t>2026-03-16 14:30:25.837</t>
  </si>
  <si>
    <t xml:space="preserve">FREMD335            </t>
  </si>
  <si>
    <t>2026-03-16 14:30:25.883</t>
  </si>
  <si>
    <t xml:space="preserve">FREMD330            </t>
  </si>
  <si>
    <t>2026-03-16 14:30:25.913</t>
  </si>
  <si>
    <t xml:space="preserve">FREMD315            </t>
  </si>
  <si>
    <t>2026-03-16 14:30:25.930</t>
  </si>
  <si>
    <t>2026-03-16 14:30:25.947</t>
  </si>
  <si>
    <t xml:space="preserve">FREMD320            </t>
  </si>
  <si>
    <t>2026-03-16 14:30:25.960</t>
  </si>
  <si>
    <t>2026-03-16 14:30:25.977</t>
  </si>
  <si>
    <t xml:space="preserve">FREMD305            </t>
  </si>
  <si>
    <t>2026-03-16 14:30:25.993</t>
  </si>
  <si>
    <t>2026-03-16 14:30:26.007</t>
  </si>
  <si>
    <t xml:space="preserve">FREMD310            </t>
  </si>
  <si>
    <t>2026-03-16 14:30:26.053</t>
  </si>
  <si>
    <t xml:space="preserve">FREMD301            </t>
  </si>
  <si>
    <t>2026-03-16 14:30:26.100</t>
  </si>
  <si>
    <t xml:space="preserve">FREPAY10            </t>
  </si>
  <si>
    <t>2026-03-16 14:30:26.350</t>
  </si>
  <si>
    <t>2026-03-16 14:30:26.367</t>
  </si>
  <si>
    <t xml:space="preserve">FREPIH10            </t>
  </si>
  <si>
    <t>2026-03-16 14:30:26.617</t>
  </si>
  <si>
    <t>2026-03-16 14:30:26.647</t>
  </si>
  <si>
    <t xml:space="preserve">FREPIL10            </t>
  </si>
  <si>
    <t>2026-03-16 14:30:26.897</t>
  </si>
  <si>
    <t>2026-03-16 14:30:26.913</t>
  </si>
  <si>
    <t xml:space="preserve">FREPRD10            </t>
  </si>
  <si>
    <t>2026-03-16 14:30:27.163</t>
  </si>
  <si>
    <t>2026-03-16 14:30:27.180</t>
  </si>
  <si>
    <t xml:space="preserve">FREPRH10            </t>
  </si>
  <si>
    <t>2026-03-16 14:30:27.430</t>
  </si>
  <si>
    <t>2026-03-16 14:30:27.460</t>
  </si>
  <si>
    <t xml:space="preserve">FRESEC10            </t>
  </si>
  <si>
    <t>2026-03-16 14:30:27.710</t>
  </si>
  <si>
    <t>2026-03-16 14:30:27.727</t>
  </si>
  <si>
    <t xml:space="preserve">FRESIC10            </t>
  </si>
  <si>
    <t>2026-03-16 14:30:27.980</t>
  </si>
  <si>
    <t xml:space="preserve">FRESIH10            </t>
  </si>
  <si>
    <t>2026-03-16 14:30:28.243</t>
  </si>
  <si>
    <t>2026-03-16 14:30:28.260</t>
  </si>
  <si>
    <t xml:space="preserve">FRESIL10            </t>
  </si>
  <si>
    <t>2026-03-16 14:30:28.510</t>
  </si>
  <si>
    <t>2026-03-16 14:30:28.527</t>
  </si>
  <si>
    <t xml:space="preserve">FRESTK10            </t>
  </si>
  <si>
    <t>2026-03-16 14:30:28.777</t>
  </si>
  <si>
    <t>2026-03-16 14:30:28.790</t>
  </si>
  <si>
    <t xml:space="preserve">FREVTP10            </t>
  </si>
  <si>
    <t>2026-03-16 14:30:29.040</t>
  </si>
  <si>
    <t>2026-03-16 14:30:29.073</t>
  </si>
  <si>
    <t xml:space="preserve">FREWHT10            </t>
  </si>
  <si>
    <t>2026-03-16 14:30:29.323</t>
  </si>
  <si>
    <t>2026-03-16 14:30:29.353</t>
  </si>
  <si>
    <t xml:space="preserve">FRG22400            </t>
  </si>
  <si>
    <t>2026-03-16 14:30:29.610</t>
  </si>
  <si>
    <t>2026-03-16 14:30:29.627</t>
  </si>
  <si>
    <t xml:space="preserve">FRG65100            </t>
  </si>
  <si>
    <t>2026-03-16 14:30:29.867</t>
  </si>
  <si>
    <t>2026-03-16 14:30:29.897</t>
  </si>
  <si>
    <t xml:space="preserve">FRG65120            </t>
  </si>
  <si>
    <t>2026-03-16 14:30:29.913</t>
  </si>
  <si>
    <t xml:space="preserve">FRG65140            </t>
  </si>
  <si>
    <t>2026-03-16 14:30:29.927</t>
  </si>
  <si>
    <t xml:space="preserve">FRG65150            </t>
  </si>
  <si>
    <t>2026-03-16 14:30:29.943</t>
  </si>
  <si>
    <t xml:space="preserve">FRG65130            </t>
  </si>
  <si>
    <t>2026-03-16 14:30:29.960</t>
  </si>
  <si>
    <t xml:space="preserve">FRJVOH20            </t>
  </si>
  <si>
    <t>2026-03-16 14:30:30.210</t>
  </si>
  <si>
    <t>2026-03-16 14:30:30.223</t>
  </si>
  <si>
    <t xml:space="preserve">FRM40100            </t>
  </si>
  <si>
    <t>2026-03-16 14:30:30.470</t>
  </si>
  <si>
    <t>2026-03-16 14:30:30.487</t>
  </si>
  <si>
    <t xml:space="preserve">FRM56602            </t>
  </si>
  <si>
    <t>2026-03-16 14:30:30.737</t>
  </si>
  <si>
    <t xml:space="preserve">FRRPDH10            </t>
  </si>
  <si>
    <t>2026-03-16 14:30:31.003</t>
  </si>
  <si>
    <t>2026-03-16 14:30:31.017</t>
  </si>
  <si>
    <t xml:space="preserve">FRRPDH20            </t>
  </si>
  <si>
    <t>2026-03-16 14:30:31.033</t>
  </si>
  <si>
    <t xml:space="preserve">FRRPDL10            </t>
  </si>
  <si>
    <t>2026-03-16 14:30:31.283</t>
  </si>
  <si>
    <t>2026-03-16 14:30:31.313</t>
  </si>
  <si>
    <t xml:space="preserve">FRRPDL30            </t>
  </si>
  <si>
    <t>2026-03-16 14:30:31.330</t>
  </si>
  <si>
    <t xml:space="preserve">FRRPDL20            </t>
  </si>
  <si>
    <t>2026-03-16 14:30:31.347</t>
  </si>
  <si>
    <t xml:space="preserve">FRRRCB10            </t>
  </si>
  <si>
    <t>2026-03-16 14:30:31.597</t>
  </si>
  <si>
    <t>2026-03-16 14:30:31.627</t>
  </si>
  <si>
    <t xml:space="preserve">FSAPRN10            </t>
  </si>
  <si>
    <t>2026-03-16 14:30:31.877</t>
  </si>
  <si>
    <t>2026-03-16 14:30:31.893</t>
  </si>
  <si>
    <t xml:space="preserve">FSAPRN20            </t>
  </si>
  <si>
    <t>2026-03-16 14:30:31.907</t>
  </si>
  <si>
    <t xml:space="preserve">FSAPRN30            </t>
  </si>
  <si>
    <t>2026-03-16 14:30:31.923</t>
  </si>
  <si>
    <t xml:space="preserve">FSCASH00            </t>
  </si>
  <si>
    <t>2026-03-16 14:30:32.180</t>
  </si>
  <si>
    <t>2026-03-16 14:30:32.210</t>
  </si>
  <si>
    <t xml:space="preserve">FSCASH10            </t>
  </si>
  <si>
    <t>2026-03-16 14:30:32.240</t>
  </si>
  <si>
    <t xml:space="preserve">FSL55120            </t>
  </si>
  <si>
    <t>2026-03-16 14:30:32.490</t>
  </si>
  <si>
    <t>2026-03-16 14:30:32.523</t>
  </si>
  <si>
    <t xml:space="preserve">FSL55130            </t>
  </si>
  <si>
    <t>2026-03-16 14:30:32.537</t>
  </si>
  <si>
    <t xml:space="preserve">FSLBAL10            </t>
  </si>
  <si>
    <t>2026-03-16 14:30:32.787</t>
  </si>
  <si>
    <t>2026-03-16 14:30:34.397</t>
  </si>
  <si>
    <t>1609</t>
  </si>
  <si>
    <t xml:space="preserve">FSLBAL20            </t>
  </si>
  <si>
    <t>2026-03-16 14:30:34.413</t>
  </si>
  <si>
    <t>2026-03-16 14:30:35.917</t>
  </si>
  <si>
    <t>1502</t>
  </si>
  <si>
    <t xml:space="preserve">FSLBAL21            </t>
  </si>
  <si>
    <t>2026-03-16 14:30:35.930</t>
  </si>
  <si>
    <t>2026-03-16 14:30:37.517</t>
  </si>
  <si>
    <t>1587</t>
  </si>
  <si>
    <t xml:space="preserve">FSLBAL30            </t>
  </si>
  <si>
    <t>2026-03-16 14:30:39.203</t>
  </si>
  <si>
    <t>1685</t>
  </si>
  <si>
    <t xml:space="preserve">FSLBAL31            </t>
  </si>
  <si>
    <t>2026-03-16 14:30:39.217</t>
  </si>
  <si>
    <t>2026-03-16 14:30:40.963</t>
  </si>
  <si>
    <t>1746</t>
  </si>
  <si>
    <t xml:space="preserve">FSLBAL40            </t>
  </si>
  <si>
    <t>2026-03-16 14:30:40.980</t>
  </si>
  <si>
    <t>2026-03-16 14:30:42.483</t>
  </si>
  <si>
    <t>1504</t>
  </si>
  <si>
    <t xml:space="preserve">FSLBAL41            </t>
  </si>
  <si>
    <t>2026-03-16 14:30:42.500</t>
  </si>
  <si>
    <t>2026-03-16 14:30:44.117</t>
  </si>
  <si>
    <t>1618</t>
  </si>
  <si>
    <t xml:space="preserve">FSLBAL50            </t>
  </si>
  <si>
    <t>2026-03-16 14:30:44.133</t>
  </si>
  <si>
    <t>2026-03-16 14:30:45.407</t>
  </si>
  <si>
    <t>1272</t>
  </si>
  <si>
    <t xml:space="preserve">FSLBAL51            </t>
  </si>
  <si>
    <t>2026-03-16 14:30:45.420</t>
  </si>
  <si>
    <t>2026-03-16 14:30:46.927</t>
  </si>
  <si>
    <t>1506</t>
  </si>
  <si>
    <t xml:space="preserve">FSLBAL70            </t>
  </si>
  <si>
    <t>2026-03-16 14:30:46.943</t>
  </si>
  <si>
    <t>2026-03-16 14:30:48.540</t>
  </si>
  <si>
    <t>1597</t>
  </si>
  <si>
    <t xml:space="preserve">FSLBAL71            </t>
  </si>
  <si>
    <t>2026-03-16 14:30:48.557</t>
  </si>
  <si>
    <t>2026-03-16 14:30:50.303</t>
  </si>
  <si>
    <t>1748</t>
  </si>
  <si>
    <t xml:space="preserve">FSLEDG26            </t>
  </si>
  <si>
    <t>2026-03-16 14:30:50.537</t>
  </si>
  <si>
    <t>2026-03-16 14:31:00.743</t>
  </si>
  <si>
    <t>10208</t>
  </si>
  <si>
    <t xml:space="preserve">FSLEDG31            </t>
  </si>
  <si>
    <t>2026-03-16 14:31:00.760</t>
  </si>
  <si>
    <t>2026-03-16 14:31:09.990</t>
  </si>
  <si>
    <t>9231</t>
  </si>
  <si>
    <t xml:space="preserve">FSLEDG37            </t>
  </si>
  <si>
    <t>2026-03-16 14:31:10.007</t>
  </si>
  <si>
    <t>2026-03-16 14:31:18.903</t>
  </si>
  <si>
    <t>8898</t>
  </si>
  <si>
    <t xml:space="preserve">FPLEDG10            </t>
  </si>
  <si>
    <t>2026-03-16 14:31:14.923</t>
  </si>
  <si>
    <t>2026-03-16 14:32:56.587</t>
  </si>
  <si>
    <t>101666</t>
  </si>
  <si>
    <t xml:space="preserve">FPLEDG13            </t>
  </si>
  <si>
    <t xml:space="preserve">FPLEDG39            </t>
  </si>
  <si>
    <t xml:space="preserve">FPLEDG40            </t>
  </si>
  <si>
    <t xml:space="preserve">FSLEDG12            </t>
  </si>
  <si>
    <t>2026-03-16 14:31:18.920</t>
  </si>
  <si>
    <t>2026-03-16 14:31:28.067</t>
  </si>
  <si>
    <t>9146</t>
  </si>
  <si>
    <t xml:space="preserve">FSLEDG13            </t>
  </si>
  <si>
    <t>2026-03-16 14:31:28.080</t>
  </si>
  <si>
    <t>2026-03-16 14:31:37.383</t>
  </si>
  <si>
    <t>9304</t>
  </si>
  <si>
    <t xml:space="preserve">FSLEDG14            </t>
  </si>
  <si>
    <t>2026-03-16 14:31:37.400</t>
  </si>
  <si>
    <t>2026-03-16 14:31:46.157</t>
  </si>
  <si>
    <t>8756</t>
  </si>
  <si>
    <t xml:space="preserve">FSLEDG71            </t>
  </si>
  <si>
    <t>2026-03-16 14:31:46.170</t>
  </si>
  <si>
    <t>2026-03-16 14:31:57.117</t>
  </si>
  <si>
    <t>10945</t>
  </si>
  <si>
    <t xml:space="preserve">FSLEDG76            </t>
  </si>
  <si>
    <t>2026-03-16 14:31:57.133</t>
  </si>
  <si>
    <t>2026-03-16 14:32:07.467</t>
  </si>
  <si>
    <t>10334</t>
  </si>
  <si>
    <t xml:space="preserve">FSLEDG75            </t>
  </si>
  <si>
    <t>2026-03-16 14:32:07.480</t>
  </si>
  <si>
    <t>2026-03-16 14:32:17.620</t>
  </si>
  <si>
    <t>10139</t>
  </si>
  <si>
    <t xml:space="preserve">FSLEDG25            </t>
  </si>
  <si>
    <t>2026-03-16 14:32:17.637</t>
  </si>
  <si>
    <t>2026-03-16 14:32:29.577</t>
  </si>
  <si>
    <t>11939</t>
  </si>
  <si>
    <t xml:space="preserve">FSLEDG36            </t>
  </si>
  <si>
    <t>2026-03-16 14:32:29.590</t>
  </si>
  <si>
    <t>2026-03-16 14:32:38.733</t>
  </si>
  <si>
    <t>9141</t>
  </si>
  <si>
    <t xml:space="preserve">FSLEDG39            </t>
  </si>
  <si>
    <t>2026-03-16 14:32:38.747</t>
  </si>
  <si>
    <t>2026-03-16 14:32:46.370</t>
  </si>
  <si>
    <t>7622</t>
  </si>
  <si>
    <t xml:space="preserve">FSLEDG40            </t>
  </si>
  <si>
    <t>2026-03-16 14:32:46.387</t>
  </si>
  <si>
    <t>2026-03-16 14:32:54.150</t>
  </si>
  <si>
    <t>7765</t>
  </si>
  <si>
    <t xml:space="preserve">FSLEDG30            </t>
  </si>
  <si>
    <t>2026-03-16 14:32:54.167</t>
  </si>
  <si>
    <t>2026-03-16 14:33:02.080</t>
  </si>
  <si>
    <t>7913</t>
  </si>
  <si>
    <t xml:space="preserve">FPLEDG19            </t>
  </si>
  <si>
    <t>2026-03-16 14:32:56.697</t>
  </si>
  <si>
    <t>2026-03-16 14:34:45.170</t>
  </si>
  <si>
    <t>108473</t>
  </si>
  <si>
    <t xml:space="preserve">FPLEDG20            </t>
  </si>
  <si>
    <t xml:space="preserve">FPLEDG30            </t>
  </si>
  <si>
    <t xml:space="preserve">FPLEDG43            </t>
  </si>
  <si>
    <t xml:space="preserve">FSLEDG10            </t>
  </si>
  <si>
    <t>2026-03-16 14:33:02.097</t>
  </si>
  <si>
    <t>2026-03-16 14:33:09.897</t>
  </si>
  <si>
    <t>7800</t>
  </si>
  <si>
    <t xml:space="preserve">FSLEDG20            </t>
  </si>
  <si>
    <t>2026-03-16 14:33:09.913</t>
  </si>
  <si>
    <t>2026-03-16 14:33:20.373</t>
  </si>
  <si>
    <t>10461</t>
  </si>
  <si>
    <t xml:space="preserve">FSLEDG18            </t>
  </si>
  <si>
    <t>2026-03-16 14:33:20.390</t>
  </si>
  <si>
    <t>2026-03-16 14:33:28.143</t>
  </si>
  <si>
    <t>7754</t>
  </si>
  <si>
    <t xml:space="preserve">FSLEDG19            </t>
  </si>
  <si>
    <t>2026-03-16 14:33:28.160</t>
  </si>
  <si>
    <t>2026-03-16 14:33:36.140</t>
  </si>
  <si>
    <t>7982</t>
  </si>
  <si>
    <t xml:space="preserve">FSLEDG91            </t>
  </si>
  <si>
    <t>2026-03-16 14:33:36.147</t>
  </si>
  <si>
    <t>2026-03-16 14:33:45.520</t>
  </si>
  <si>
    <t>9376</t>
  </si>
  <si>
    <t xml:space="preserve">FSLEDG15            </t>
  </si>
  <si>
    <t>2026-03-16 14:33:45.537</t>
  </si>
  <si>
    <t>2026-03-16 14:33:54.067</t>
  </si>
  <si>
    <t>8529</t>
  </si>
  <si>
    <t xml:space="preserve">FSLEDG05            </t>
  </si>
  <si>
    <t>2026-03-16 14:33:54.080</t>
  </si>
  <si>
    <t>2026-03-16 14:34:02.067</t>
  </si>
  <si>
    <t>7987</t>
  </si>
  <si>
    <t xml:space="preserve">FSLEDG04            </t>
  </si>
  <si>
    <t>2026-03-16 14:34:02.083</t>
  </si>
  <si>
    <t>2026-03-16 14:34:09.657</t>
  </si>
  <si>
    <t>7573</t>
  </si>
  <si>
    <t xml:space="preserve">FSLEDX30            </t>
  </si>
  <si>
    <t>2026-03-16 14:34:09.920</t>
  </si>
  <si>
    <t>2026-03-16 14:34:17.137</t>
  </si>
  <si>
    <t>7216</t>
  </si>
  <si>
    <t xml:space="preserve">FSLEDXX0#MNO        </t>
  </si>
  <si>
    <t>2026-03-16 14:34:17.153</t>
  </si>
  <si>
    <t>2026-03-16 14:34:26.863</t>
  </si>
  <si>
    <t>9712</t>
  </si>
  <si>
    <t xml:space="preserve">FSLEDX10            </t>
  </si>
  <si>
    <t>2026-03-16 14:34:26.880</t>
  </si>
  <si>
    <t>2026-03-16 14:34:37.657</t>
  </si>
  <si>
    <t>10778</t>
  </si>
  <si>
    <t xml:space="preserve">FSLEDX20            </t>
  </si>
  <si>
    <t>2026-03-16 14:34:45.407</t>
  </si>
  <si>
    <t>7748</t>
  </si>
  <si>
    <t xml:space="preserve">FPLEDG05            </t>
  </si>
  <si>
    <t>2026-03-16 14:34:45.280</t>
  </si>
  <si>
    <t>2026-03-16 14:36:16.127</t>
  </si>
  <si>
    <t>90846</t>
  </si>
  <si>
    <t xml:space="preserve">FPLEDG80            </t>
  </si>
  <si>
    <t xml:space="preserve">FPLEDG82            </t>
  </si>
  <si>
    <t xml:space="preserve">FPLEDG91            </t>
  </si>
  <si>
    <t>2026-03-16 14:36:28.973</t>
  </si>
  <si>
    <t>103692</t>
  </si>
  <si>
    <t xml:space="preserve">FSLGP110            </t>
  </si>
  <si>
    <t>2026-03-16 14:34:45.647</t>
  </si>
  <si>
    <t xml:space="preserve">FSLGP120            </t>
  </si>
  <si>
    <t>2026-03-16 14:34:45.663</t>
  </si>
  <si>
    <t xml:space="preserve">FSLGP220            </t>
  </si>
  <si>
    <t>2026-03-16 14:34:45.897</t>
  </si>
  <si>
    <t xml:space="preserve">FSLGP210            </t>
  </si>
  <si>
    <t>2026-03-16 14:34:45.913</t>
  </si>
  <si>
    <t xml:space="preserve">FSLGP330            </t>
  </si>
  <si>
    <t>2026-03-16 14:34:46.147</t>
  </si>
  <si>
    <t xml:space="preserve">FSLGP300            </t>
  </si>
  <si>
    <t>2026-03-16 14:34:46.163</t>
  </si>
  <si>
    <t xml:space="preserve">FSLGP315            </t>
  </si>
  <si>
    <t>2026-03-16 14:34:46.180</t>
  </si>
  <si>
    <t xml:space="preserve">FSLGP3X0#MNO        </t>
  </si>
  <si>
    <t>2026-03-16 14:34:46.197</t>
  </si>
  <si>
    <t xml:space="preserve">FSLREC10            </t>
  </si>
  <si>
    <t>2026-03-16 14:34:46.447</t>
  </si>
  <si>
    <t>2026-03-16 14:34:46.460</t>
  </si>
  <si>
    <t xml:space="preserve">FSSMT101            </t>
  </si>
  <si>
    <t>2026-03-16 14:34:46.697</t>
  </si>
  <si>
    <t xml:space="preserve">FSSMT102            </t>
  </si>
  <si>
    <t>2026-03-16 14:34:46.713</t>
  </si>
  <si>
    <t>2026-03-16 14:34:46.727</t>
  </si>
  <si>
    <t xml:space="preserve">FSSMT200            </t>
  </si>
  <si>
    <t>2026-03-16 14:34:46.957</t>
  </si>
  <si>
    <t>2026-03-16 14:34:47.003</t>
  </si>
  <si>
    <t xml:space="preserve">FSSMT210            </t>
  </si>
  <si>
    <t>2026-03-16 14:34:47.050</t>
  </si>
  <si>
    <t xml:space="preserve">FSSMT300            </t>
  </si>
  <si>
    <t>2026-03-16 14:34:47.283</t>
  </si>
  <si>
    <t>2026-03-16 14:34:47.317</t>
  </si>
  <si>
    <t xml:space="preserve">FSSMT310            </t>
  </si>
  <si>
    <t>2026-03-16 14:34:47.330</t>
  </si>
  <si>
    <t>2026-03-16 14:34:47.377</t>
  </si>
  <si>
    <t xml:space="preserve">FSTDEF20            </t>
  </si>
  <si>
    <t>2026-03-16 14:34:47.613</t>
  </si>
  <si>
    <t xml:space="preserve">FSTLEV10            </t>
  </si>
  <si>
    <t>2026-03-16 14:34:47.857</t>
  </si>
  <si>
    <t>2026-03-16 14:34:47.890</t>
  </si>
  <si>
    <t xml:space="preserve">FSTLIN20            </t>
  </si>
  <si>
    <t>2026-03-16 14:34:48.123</t>
  </si>
  <si>
    <t>2026-03-16 14:34:48.157</t>
  </si>
  <si>
    <t xml:space="preserve">FSTLIN30            </t>
  </si>
  <si>
    <t>2026-03-16 14:34:48.170</t>
  </si>
  <si>
    <t>2026-03-16 14:34:48.187</t>
  </si>
  <si>
    <t xml:space="preserve">FSTLIN40            </t>
  </si>
  <si>
    <t>2026-03-16 14:34:48.203</t>
  </si>
  <si>
    <t>2026-03-16 14:34:48.233</t>
  </si>
  <si>
    <t xml:space="preserve">FSTLIN50            </t>
  </si>
  <si>
    <t>2026-03-16 14:34:48.250</t>
  </si>
  <si>
    <t>2026-03-16 14:34:48.280</t>
  </si>
  <si>
    <t xml:space="preserve">FSTLIN10            </t>
  </si>
  <si>
    <t>2026-03-16 14:34:48.297</t>
  </si>
  <si>
    <t>2026-03-16 14:34:48.310</t>
  </si>
  <si>
    <t xml:space="preserve">FSTMT101            </t>
  </si>
  <si>
    <t>2026-03-16 14:34:48.560</t>
  </si>
  <si>
    <t>2026-03-16 14:34:48.623</t>
  </si>
  <si>
    <t xml:space="preserve">FSTMT102            </t>
  </si>
  <si>
    <t>2026-03-16 14:34:48.640</t>
  </si>
  <si>
    <t>2026-03-16 14:34:48.700</t>
  </si>
  <si>
    <t xml:space="preserve">FSTMT200            </t>
  </si>
  <si>
    <t>2026-03-16 14:34:48.937</t>
  </si>
  <si>
    <t>2026-03-16 14:34:49.143</t>
  </si>
  <si>
    <t>205</t>
  </si>
  <si>
    <t xml:space="preserve">FSTMT205            </t>
  </si>
  <si>
    <t>2026-03-16 14:34:49.160</t>
  </si>
  <si>
    <t>2026-03-16 14:34:49.377</t>
  </si>
  <si>
    <t>219</t>
  </si>
  <si>
    <t xml:space="preserve">FSTMT210            </t>
  </si>
  <si>
    <t>2026-03-16 14:34:49.393</t>
  </si>
  <si>
    <t>2026-03-16 14:34:49.597</t>
  </si>
  <si>
    <t>204</t>
  </si>
  <si>
    <t xml:space="preserve">FSTMT300            </t>
  </si>
  <si>
    <t>2026-03-16 14:34:49.830</t>
  </si>
  <si>
    <t>2026-03-16 14:34:53.217</t>
  </si>
  <si>
    <t>3387</t>
  </si>
  <si>
    <t xml:space="preserve">FSTMT305            </t>
  </si>
  <si>
    <t>2026-03-16 14:34:53.233</t>
  </si>
  <si>
    <t>2026-03-16 14:34:56.667</t>
  </si>
  <si>
    <t>3431</t>
  </si>
  <si>
    <t xml:space="preserve">FSTMT310            </t>
  </si>
  <si>
    <t>2026-03-16 14:34:56.680</t>
  </si>
  <si>
    <t>2026-03-16 14:34:59.890</t>
  </si>
  <si>
    <t>3210</t>
  </si>
  <si>
    <t xml:space="preserve">FSTMT315            </t>
  </si>
  <si>
    <t>2026-03-16 14:34:59.907</t>
  </si>
  <si>
    <t>2026-03-16 14:35:03.323</t>
  </si>
  <si>
    <t>3416</t>
  </si>
  <si>
    <t xml:space="preserve">FTAJSN10            </t>
  </si>
  <si>
    <t>2026-03-16 14:35:03.557</t>
  </si>
  <si>
    <t xml:space="preserve">FTAVNO10            </t>
  </si>
  <si>
    <t>2026-03-16 14:35:03.790</t>
  </si>
  <si>
    <t xml:space="preserve">FTAXAD10            </t>
  </si>
  <si>
    <t>2026-03-16 14:35:04.027</t>
  </si>
  <si>
    <t xml:space="preserve">FTAXAD20            </t>
  </si>
  <si>
    <t>2026-03-16 14:35:04.040</t>
  </si>
  <si>
    <t xml:space="preserve">FTAXR110            </t>
  </si>
  <si>
    <t>2026-03-16 14:35:04.273</t>
  </si>
  <si>
    <t xml:space="preserve">FTAXR120            </t>
  </si>
  <si>
    <t>2026-03-16 14:35:04.287</t>
  </si>
  <si>
    <t>2026-03-16 14:35:04.303</t>
  </si>
  <si>
    <t xml:space="preserve">FTAXR510            </t>
  </si>
  <si>
    <t>2026-03-16 14:35:04.537</t>
  </si>
  <si>
    <t xml:space="preserve">FTAXTR10            </t>
  </si>
  <si>
    <t>2026-03-16 14:35:04.773</t>
  </si>
  <si>
    <t xml:space="preserve">FTRSCD10            </t>
  </si>
  <si>
    <t>2026-03-16 14:35:05.007</t>
  </si>
  <si>
    <t xml:space="preserve">FTRSCH10            </t>
  </si>
  <si>
    <t>2026-03-16 14:35:05.240</t>
  </si>
  <si>
    <t xml:space="preserve">FTX10111            </t>
  </si>
  <si>
    <t>2026-03-16 14:35:05.477</t>
  </si>
  <si>
    <t>2026-03-16 14:35:05.507</t>
  </si>
  <si>
    <t xml:space="preserve">FTX10101            </t>
  </si>
  <si>
    <t>2026-03-16 14:35:05.523</t>
  </si>
  <si>
    <t xml:space="preserve">FTX10121            </t>
  </si>
  <si>
    <t>2026-03-16 14:35:05.537</t>
  </si>
  <si>
    <t xml:space="preserve">FTX10403            </t>
  </si>
  <si>
    <t>2026-03-16 14:35:05.853</t>
  </si>
  <si>
    <t>2026-03-16 14:42:26.083</t>
  </si>
  <si>
    <t>440230</t>
  </si>
  <si>
    <t xml:space="preserve">FTX10430            </t>
  </si>
  <si>
    <t>2026-03-16 14:40:34.370</t>
  </si>
  <si>
    <t>328515</t>
  </si>
  <si>
    <t xml:space="preserve">FTX10440            </t>
  </si>
  <si>
    <t xml:space="preserve">FTX10450            </t>
  </si>
  <si>
    <t xml:space="preserve">FTX10701            </t>
  </si>
  <si>
    <t>2026-03-16 14:36:29.317</t>
  </si>
  <si>
    <t>2026-03-16 14:36:29.333</t>
  </si>
  <si>
    <t xml:space="preserve">FTX10801            </t>
  </si>
  <si>
    <t>2026-03-16 14:36:29.567</t>
  </si>
  <si>
    <t>2026-03-16 14:37:31.433</t>
  </si>
  <si>
    <t>61867</t>
  </si>
  <si>
    <t xml:space="preserve">FTX10821            </t>
  </si>
  <si>
    <t>2026-03-16 14:37:31.450</t>
  </si>
  <si>
    <t>2026-03-16 14:38:30.107</t>
  </si>
  <si>
    <t>58657</t>
  </si>
  <si>
    <t xml:space="preserve">FTX10901            </t>
  </si>
  <si>
    <t>2026-03-16 14:38:30.340</t>
  </si>
  <si>
    <t>2026-03-16 14:38:53.250</t>
  </si>
  <si>
    <t>22910</t>
  </si>
  <si>
    <t xml:space="preserve">FTX11150            </t>
  </si>
  <si>
    <t>2026-03-16 14:38:53.487</t>
  </si>
  <si>
    <t>2026-03-16 14:38:53.517</t>
  </si>
  <si>
    <t xml:space="preserve">FTX11110            </t>
  </si>
  <si>
    <t>2026-03-16 14:38:53.533</t>
  </si>
  <si>
    <t>2026-03-16 14:38:53.563</t>
  </si>
  <si>
    <t xml:space="preserve">FTX11120            </t>
  </si>
  <si>
    <t>2026-03-16 14:38:53.580</t>
  </si>
  <si>
    <t>2026-03-16 14:38:53.597</t>
  </si>
  <si>
    <t xml:space="preserve">FTX11130            </t>
  </si>
  <si>
    <t>2026-03-16 14:38:53.610</t>
  </si>
  <si>
    <t>2026-03-16 14:38:53.643</t>
  </si>
  <si>
    <t xml:space="preserve">FTX11140            </t>
  </si>
  <si>
    <t>2026-03-16 14:38:53.673</t>
  </si>
  <si>
    <t xml:space="preserve">FTX13110            </t>
  </si>
  <si>
    <t>2026-03-16 14:38:53.907</t>
  </si>
  <si>
    <t xml:space="preserve">FTX14110            </t>
  </si>
  <si>
    <t>2026-03-16 14:38:54.143</t>
  </si>
  <si>
    <t xml:space="preserve">FTX90010            </t>
  </si>
  <si>
    <t>2026-03-16 14:38:54.377</t>
  </si>
  <si>
    <t xml:space="preserve">FTXEXT10            </t>
  </si>
  <si>
    <t>2026-03-16 14:38:54.610</t>
  </si>
  <si>
    <t xml:space="preserve">FTXGLL10            </t>
  </si>
  <si>
    <t>2026-03-16 14:38:54.847</t>
  </si>
  <si>
    <t xml:space="preserve">FTXGLL20            </t>
  </si>
  <si>
    <t>2026-03-16 14:38:54.860</t>
  </si>
  <si>
    <t xml:space="preserve">FTXGLR10            </t>
  </si>
  <si>
    <t>2026-03-16 14:38:55.090</t>
  </si>
  <si>
    <t xml:space="preserve">FTXGLV10            </t>
  </si>
  <si>
    <t>2026-03-16 14:38:55.323</t>
  </si>
  <si>
    <t xml:space="preserve">FTXIAP20            </t>
  </si>
  <si>
    <t>2026-03-16 14:38:55.573</t>
  </si>
  <si>
    <t xml:space="preserve">FTXIAP10            </t>
  </si>
  <si>
    <t>2026-03-16 14:38:55.590</t>
  </si>
  <si>
    <t xml:space="preserve">FTXIAR10            </t>
  </si>
  <si>
    <t>2026-03-16 14:38:55.817</t>
  </si>
  <si>
    <t xml:space="preserve">FTXIAR30            </t>
  </si>
  <si>
    <t>2026-03-16 14:38:55.833</t>
  </si>
  <si>
    <t xml:space="preserve">FTXIAR20            </t>
  </si>
  <si>
    <t>2026-03-16 14:38:55.847</t>
  </si>
  <si>
    <t xml:space="preserve">FTXILL10            </t>
  </si>
  <si>
    <t>2026-03-16 14:38:56.083</t>
  </si>
  <si>
    <t>2026-03-16 14:38:56.097</t>
  </si>
  <si>
    <t xml:space="preserve">FTXILL20            </t>
  </si>
  <si>
    <t>2026-03-16 14:38:56.113</t>
  </si>
  <si>
    <t>2026-03-16 14:38:56.130</t>
  </si>
  <si>
    <t xml:space="preserve">FTXIRD10            </t>
  </si>
  <si>
    <t>2026-03-16 14:38:56.363</t>
  </si>
  <si>
    <t xml:space="preserve">FTXIRH10            </t>
  </si>
  <si>
    <t>2026-03-16 14:38:56.597</t>
  </si>
  <si>
    <t xml:space="preserve">FTXIRH20            </t>
  </si>
  <si>
    <t>2026-03-16 14:38:56.613</t>
  </si>
  <si>
    <t xml:space="preserve">FTXIRL10            </t>
  </si>
  <si>
    <t>2026-03-16 14:38:56.847</t>
  </si>
  <si>
    <t xml:space="preserve">FTXITC10            </t>
  </si>
  <si>
    <t>2026-03-16 14:38:57.083</t>
  </si>
  <si>
    <t xml:space="preserve">FTXITC20            </t>
  </si>
  <si>
    <t>2026-03-16 14:38:57.097</t>
  </si>
  <si>
    <t xml:space="preserve">FTXITH10            </t>
  </si>
  <si>
    <t>2026-03-16 14:38:57.337</t>
  </si>
  <si>
    <t xml:space="preserve">FTXITI05            </t>
  </si>
  <si>
    <t>2026-03-16 14:38:57.570</t>
  </si>
  <si>
    <t>2026-03-16 14:38:57.587</t>
  </si>
  <si>
    <t xml:space="preserve">FTXITI10            </t>
  </si>
  <si>
    <t>2026-03-16 14:38:57.597</t>
  </si>
  <si>
    <t xml:space="preserve">FTXITI20            </t>
  </si>
  <si>
    <t>2026-03-16 14:38:57.613</t>
  </si>
  <si>
    <t>2026-03-16 14:38:57.630</t>
  </si>
  <si>
    <t xml:space="preserve">FTXITL10            </t>
  </si>
  <si>
    <t>2026-03-16 14:38:57.857</t>
  </si>
  <si>
    <t xml:space="preserve">FTXITR10            </t>
  </si>
  <si>
    <t>2026-03-16 14:38:58.090</t>
  </si>
  <si>
    <t>2026-03-16 14:38:58.107</t>
  </si>
  <si>
    <t xml:space="preserve">FTXJSN10            </t>
  </si>
  <si>
    <t>2026-03-16 14:38:58.340</t>
  </si>
  <si>
    <t>2026-03-16 14:38:58.357</t>
  </si>
  <si>
    <t xml:space="preserve">FTXVCT30            </t>
  </si>
  <si>
    <t>2026-03-16 14:38:58.590</t>
  </si>
  <si>
    <t xml:space="preserve">FTXVCT10            </t>
  </si>
  <si>
    <t>2026-03-16 14:38:58.607</t>
  </si>
  <si>
    <t xml:space="preserve">FTXVCT20            </t>
  </si>
  <si>
    <t>2026-03-16 14:38:58.620</t>
  </si>
  <si>
    <t xml:space="preserve">FTXVNO10            </t>
  </si>
  <si>
    <t>2026-03-16 14:38:58.857</t>
  </si>
  <si>
    <t xml:space="preserve">FTXVPD10            </t>
  </si>
  <si>
    <t>2026-03-16 14:38:59.090</t>
  </si>
  <si>
    <t xml:space="preserve">FTXVPW20            </t>
  </si>
  <si>
    <t>2026-03-16 14:38:59.323</t>
  </si>
  <si>
    <t xml:space="preserve">FTXVPW10            </t>
  </si>
  <si>
    <t>2026-03-16 14:38:59.340</t>
  </si>
  <si>
    <t xml:space="preserve">FTXVRN10            </t>
  </si>
  <si>
    <t>2026-03-16 14:38:59.570</t>
  </si>
  <si>
    <t xml:space="preserve">FTXVVP10            </t>
  </si>
  <si>
    <t>2026-03-16 14:38:59.820</t>
  </si>
  <si>
    <t xml:space="preserve">FURPLS00            </t>
  </si>
  <si>
    <t>2026-03-16 14:39:00.060</t>
  </si>
  <si>
    <t>2026-03-16 14:39:00.653</t>
  </si>
  <si>
    <t>594</t>
  </si>
  <si>
    <t xml:space="preserve">FURSLS00            </t>
  </si>
  <si>
    <t>2026-03-16 14:39:00.887</t>
  </si>
  <si>
    <t>2026-03-16 14:39:00.903</t>
  </si>
  <si>
    <t xml:space="preserve">FVATGL10            </t>
  </si>
  <si>
    <t>2026-03-16 14:39:01.137</t>
  </si>
  <si>
    <t xml:space="preserve">FVATIN10            </t>
  </si>
  <si>
    <t>2026-03-16 14:39:01.373</t>
  </si>
  <si>
    <t xml:space="preserve">FVATMI10            </t>
  </si>
  <si>
    <t>2026-03-16 14:39:01.607</t>
  </si>
  <si>
    <t xml:space="preserve">FVATRT10            </t>
  </si>
  <si>
    <t>2026-03-16 14:39:01.840</t>
  </si>
  <si>
    <t xml:space="preserve">FVATTX10            </t>
  </si>
  <si>
    <t>2026-03-16 14:39:02.067</t>
  </si>
  <si>
    <t xml:space="preserve">FVATTX00            </t>
  </si>
  <si>
    <t>2026-03-16 14:39:02.083</t>
  </si>
  <si>
    <t xml:space="preserve">FVEASL10            </t>
  </si>
  <si>
    <t>2026-03-16 14:39:02.317</t>
  </si>
  <si>
    <t xml:space="preserve">FVEATL10            </t>
  </si>
  <si>
    <t>2026-03-16 14:39:02.553</t>
  </si>
  <si>
    <t xml:space="preserve">FVTUDL10            </t>
  </si>
  <si>
    <t>2026-03-16 14:39:02.787</t>
  </si>
  <si>
    <t xml:space="preserve">FVTUDL20            </t>
  </si>
  <si>
    <t>2026-03-16 14:39:02.803</t>
  </si>
  <si>
    <t xml:space="preserve">FVTUDT10            </t>
  </si>
  <si>
    <t>2026-03-16 14:39:03.037</t>
  </si>
  <si>
    <t xml:space="preserve">FVTUDT20            </t>
  </si>
  <si>
    <t>2026-03-16 14:39:03.053</t>
  </si>
  <si>
    <t xml:space="preserve">FVTUDT30            </t>
  </si>
  <si>
    <t>2026-03-16 14:39:03.067</t>
  </si>
  <si>
    <t xml:space="preserve">FVTUDT40            </t>
  </si>
  <si>
    <t>2026-03-16 14:39:03.083</t>
  </si>
  <si>
    <t xml:space="preserve">FVTUDW10            </t>
  </si>
  <si>
    <t>2026-03-16 14:39:03.317</t>
  </si>
  <si>
    <t xml:space="preserve">FVTXGE10            </t>
  </si>
  <si>
    <t>2026-03-16 14:39:03.553</t>
  </si>
  <si>
    <t xml:space="preserve">FWCDFJ10            </t>
  </si>
  <si>
    <t>2026-03-16 14:39:03.787</t>
  </si>
  <si>
    <t xml:space="preserve">FWDCNI10            </t>
  </si>
  <si>
    <t>2026-03-16 14:39:04.020</t>
  </si>
  <si>
    <t xml:space="preserve">FWTCTD10            </t>
  </si>
  <si>
    <t>2026-03-16 14:39:04.253</t>
  </si>
  <si>
    <t xml:space="preserve">FWTCTH10            </t>
  </si>
  <si>
    <t>2026-03-16 14:39:04.490</t>
  </si>
  <si>
    <t xml:space="preserve">GMMCFC20            </t>
  </si>
  <si>
    <t>2026-03-16 14:39:04.723</t>
  </si>
  <si>
    <t xml:space="preserve">GMMCFC30            </t>
  </si>
  <si>
    <t>2026-03-16 14:39:04.740</t>
  </si>
  <si>
    <t xml:space="preserve">GMMCFC40            </t>
  </si>
  <si>
    <t>2026-03-16 14:39:04.753</t>
  </si>
  <si>
    <t xml:space="preserve">GMMCFC50            </t>
  </si>
  <si>
    <t>2026-03-16 14:39:04.770</t>
  </si>
  <si>
    <t xml:space="preserve">GMMCFC60            </t>
  </si>
  <si>
    <t>2026-03-16 14:39:04.787</t>
  </si>
  <si>
    <t xml:space="preserve">GMMCFC70            </t>
  </si>
  <si>
    <t>2026-03-16 14:39:04.800</t>
  </si>
  <si>
    <t xml:space="preserve">GMMCFC00            </t>
  </si>
  <si>
    <t>2026-03-16 14:39:04.817</t>
  </si>
  <si>
    <t xml:space="preserve">GMMCGL00            </t>
  </si>
  <si>
    <t>2026-03-16 14:39:05.050</t>
  </si>
  <si>
    <t xml:space="preserve">GMMCGL20            </t>
  </si>
  <si>
    <t>2026-03-16 14:39:05.067</t>
  </si>
  <si>
    <t xml:space="preserve">GMMCGL30            </t>
  </si>
  <si>
    <t>2026-03-16 14:39:05.083</t>
  </si>
  <si>
    <t xml:space="preserve">GMMCGL40            </t>
  </si>
  <si>
    <t>2026-03-16 14:39:05.097</t>
  </si>
  <si>
    <t xml:space="preserve">GMMCGL50            </t>
  </si>
  <si>
    <t>2026-03-16 14:39:05.113</t>
  </si>
  <si>
    <t xml:space="preserve">GMMCGL60            </t>
  </si>
  <si>
    <t>2026-03-16 14:39:05.130</t>
  </si>
  <si>
    <t xml:space="preserve">GMMCGL70            </t>
  </si>
  <si>
    <t>2026-03-16 14:39:05.147</t>
  </si>
  <si>
    <t xml:space="preserve">GMMCST01            </t>
  </si>
  <si>
    <t>2026-03-16 14:39:05.380</t>
  </si>
  <si>
    <t xml:space="preserve">GMMCST11            </t>
  </si>
  <si>
    <t>2026-03-16 14:39:05.397</t>
  </si>
  <si>
    <t xml:space="preserve">HCLSOP10            </t>
  </si>
  <si>
    <t>2026-03-16 14:39:05.630</t>
  </si>
  <si>
    <t xml:space="preserve">HCLSSC10            </t>
  </si>
  <si>
    <t>2026-03-16 14:39:05.863</t>
  </si>
  <si>
    <t xml:space="preserve">HKYCON10            </t>
  </si>
  <si>
    <t>2026-03-16 14:39:06.100</t>
  </si>
  <si>
    <t xml:space="preserve">HKYCON20            </t>
  </si>
  <si>
    <t>2026-03-16 14:39:06.113</t>
  </si>
  <si>
    <t xml:space="preserve">HKYCON30            </t>
  </si>
  <si>
    <t>2026-03-16 14:39:06.130</t>
  </si>
  <si>
    <t xml:space="preserve">HMSMOP10            </t>
  </si>
  <si>
    <t>2026-03-16 14:39:06.357</t>
  </si>
  <si>
    <t xml:space="preserve">HMSMSG10            </t>
  </si>
  <si>
    <t>2026-03-16 14:39:06.590</t>
  </si>
  <si>
    <t xml:space="preserve">HPNFLD10            </t>
  </si>
  <si>
    <t>2026-03-16 14:39:06.823</t>
  </si>
  <si>
    <t xml:space="preserve">HPNFLD20            </t>
  </si>
  <si>
    <t>2026-03-16 14:39:06.840</t>
  </si>
  <si>
    <t xml:space="preserve">HSCFID30            </t>
  </si>
  <si>
    <t>2026-03-16 14:39:07.073</t>
  </si>
  <si>
    <t xml:space="preserve">HSCFID10            </t>
  </si>
  <si>
    <t>2026-03-16 14:39:07.090</t>
  </si>
  <si>
    <t xml:space="preserve">HSCFID20            </t>
  </si>
  <si>
    <t>2026-03-16 14:39:07.107</t>
  </si>
  <si>
    <t xml:space="preserve">HTPFLD30            </t>
  </si>
  <si>
    <t>2026-03-16 14:39:07.340</t>
  </si>
  <si>
    <t xml:space="preserve">HTPFLD40            </t>
  </si>
  <si>
    <t>2026-03-16 14:39:07.357</t>
  </si>
  <si>
    <t xml:space="preserve">HTPFLD10            </t>
  </si>
  <si>
    <t>2026-03-16 14:39:07.370</t>
  </si>
  <si>
    <t xml:space="preserve">HTPFLD20            </t>
  </si>
  <si>
    <t>2026-03-16 14:39:07.387</t>
  </si>
  <si>
    <t xml:space="preserve">IPPVER10            </t>
  </si>
  <si>
    <t>2026-03-16 14:39:07.620</t>
  </si>
  <si>
    <t xml:space="preserve">IPPVER20            </t>
  </si>
  <si>
    <t>2026-03-16 14:39:07.637</t>
  </si>
  <si>
    <t xml:space="preserve">IPPVER30            </t>
  </si>
  <si>
    <t>2026-03-16 14:39:07.653</t>
  </si>
  <si>
    <t xml:space="preserve">ITREVT20            </t>
  </si>
  <si>
    <t>2026-03-16 14:39:07.907</t>
  </si>
  <si>
    <t xml:space="preserve">ITREVT10            </t>
  </si>
  <si>
    <t>2026-03-16 14:39:07.920</t>
  </si>
  <si>
    <t xml:space="preserve">ITRPGM10            </t>
  </si>
  <si>
    <t>2026-03-16 14:39:08.157</t>
  </si>
  <si>
    <t xml:space="preserve">LT110810            </t>
  </si>
  <si>
    <t>2026-03-16 14:39:08.393</t>
  </si>
  <si>
    <t xml:space="preserve">LT135001            </t>
  </si>
  <si>
    <t>2026-03-16 14:39:08.627</t>
  </si>
  <si>
    <t xml:space="preserve">LT167000            </t>
  </si>
  <si>
    <t>2026-03-16 14:39:08.860</t>
  </si>
  <si>
    <t xml:space="preserve">LT820110            </t>
  </si>
  <si>
    <t>2026-03-16 14:39:09.093</t>
  </si>
  <si>
    <t xml:space="preserve">LTADCH10            </t>
  </si>
  <si>
    <t>2026-03-16 14:39:09.327</t>
  </si>
  <si>
    <t xml:space="preserve">LTAGHD01            </t>
  </si>
  <si>
    <t>2026-03-16 14:39:09.563</t>
  </si>
  <si>
    <t xml:space="preserve">LTAGHD10            </t>
  </si>
  <si>
    <t>2026-03-16 14:39:09.577</t>
  </si>
  <si>
    <t xml:space="preserve">LTAGHD20            </t>
  </si>
  <si>
    <t>2026-03-16 14:39:09.593</t>
  </si>
  <si>
    <t xml:space="preserve">LTAGHE20            </t>
  </si>
  <si>
    <t>2026-03-16 14:39:09.827</t>
  </si>
  <si>
    <t xml:space="preserve">LTAGHH01            </t>
  </si>
  <si>
    <t>2026-03-16 14:39:10.060</t>
  </si>
  <si>
    <t xml:space="preserve">LTAGHH60            </t>
  </si>
  <si>
    <t>2026-03-16 14:39:10.077</t>
  </si>
  <si>
    <t xml:space="preserve">LTAGHH30            </t>
  </si>
  <si>
    <t>2026-03-16 14:39:10.090</t>
  </si>
  <si>
    <t xml:space="preserve">LTAGHH10            </t>
  </si>
  <si>
    <t>2026-03-16 14:39:10.107</t>
  </si>
  <si>
    <t xml:space="preserve">LTAGHH20            </t>
  </si>
  <si>
    <t>2026-03-16 14:39:10.123</t>
  </si>
  <si>
    <t xml:space="preserve">LTAGHL61            </t>
  </si>
  <si>
    <t>2026-03-16 14:39:10.373</t>
  </si>
  <si>
    <t xml:space="preserve">LTAGHL40            </t>
  </si>
  <si>
    <t>2026-03-16 14:39:10.387</t>
  </si>
  <si>
    <t xml:space="preserve">LTAGHL30            </t>
  </si>
  <si>
    <t>2026-03-16 14:39:10.403</t>
  </si>
  <si>
    <t xml:space="preserve">LTAGHL20            </t>
  </si>
  <si>
    <t>2026-03-16 14:39:10.420</t>
  </si>
  <si>
    <t xml:space="preserve">LTAGHL01            </t>
  </si>
  <si>
    <t>2026-03-16 14:39:10.437</t>
  </si>
  <si>
    <t xml:space="preserve">LTAGHL41            </t>
  </si>
  <si>
    <t>2026-03-16 14:39:10.450</t>
  </si>
  <si>
    <t xml:space="preserve">LTAGHL60            </t>
  </si>
  <si>
    <t>2026-03-16 14:39:10.467</t>
  </si>
  <si>
    <t xml:space="preserve">LTAGHL31            </t>
  </si>
  <si>
    <t>2026-03-16 14:39:10.483</t>
  </si>
  <si>
    <t>2026-03-16 14:39:10.497</t>
  </si>
  <si>
    <t xml:space="preserve">LTAGHL21            </t>
  </si>
  <si>
    <t>2026-03-16 14:39:10.513</t>
  </si>
  <si>
    <t xml:space="preserve">LTAGHL10            </t>
  </si>
  <si>
    <t xml:space="preserve">LTAGHT11            </t>
  </si>
  <si>
    <t>2026-03-16 14:39:10.760</t>
  </si>
  <si>
    <t xml:space="preserve">LTAGHT21            </t>
  </si>
  <si>
    <t>2026-03-16 14:39:10.777</t>
  </si>
  <si>
    <t xml:space="preserve">LTAGHT01            </t>
  </si>
  <si>
    <t>2026-03-16 14:39:10.793</t>
  </si>
  <si>
    <t xml:space="preserve">LTAGHT10            </t>
  </si>
  <si>
    <t>2026-03-16 14:39:10.807</t>
  </si>
  <si>
    <t xml:space="preserve">LTAGHT20            </t>
  </si>
  <si>
    <t>2026-03-16 14:39:10.823</t>
  </si>
  <si>
    <t xml:space="preserve">LTAGLI94            </t>
  </si>
  <si>
    <t>2026-03-16 14:39:11.057</t>
  </si>
  <si>
    <t xml:space="preserve">LTAGLI82            </t>
  </si>
  <si>
    <t>2026-03-16 14:39:11.073</t>
  </si>
  <si>
    <t xml:space="preserve">LTAGLI42            </t>
  </si>
  <si>
    <t>2026-03-16 14:39:11.090</t>
  </si>
  <si>
    <t xml:space="preserve">LTAGLI90            </t>
  </si>
  <si>
    <t>2026-03-16 14:39:11.107</t>
  </si>
  <si>
    <t xml:space="preserve">LTAGLI80            </t>
  </si>
  <si>
    <t>2026-03-16 14:39:11.120</t>
  </si>
  <si>
    <t xml:space="preserve">LTAGLI30            </t>
  </si>
  <si>
    <t>2026-03-16 14:39:11.137</t>
  </si>
  <si>
    <t xml:space="preserve">LTAGLI40            </t>
  </si>
  <si>
    <t>2026-03-16 14:39:11.153</t>
  </si>
  <si>
    <t xml:space="preserve">LTAGLI70            </t>
  </si>
  <si>
    <t>2026-03-16 14:39:11.167</t>
  </si>
  <si>
    <t xml:space="preserve">LTAGLI20            </t>
  </si>
  <si>
    <t>2026-03-16 14:39:11.183</t>
  </si>
  <si>
    <t xml:space="preserve">LTAGLI50            </t>
  </si>
  <si>
    <t>2026-03-16 14:39:11.200</t>
  </si>
  <si>
    <t xml:space="preserve">LTAGLI60            </t>
  </si>
  <si>
    <t>2026-03-16 14:39:11.213</t>
  </si>
  <si>
    <t xml:space="preserve">LTAGPD10            </t>
  </si>
  <si>
    <t>2026-03-16 14:39:11.457</t>
  </si>
  <si>
    <t xml:space="preserve">LTAGPD20            </t>
  </si>
  <si>
    <t>2026-03-16 14:39:11.473</t>
  </si>
  <si>
    <t xml:space="preserve">LTAGPL11            </t>
  </si>
  <si>
    <t>2026-03-16 14:39:11.707</t>
  </si>
  <si>
    <t xml:space="preserve">LTAGPL10            </t>
  </si>
  <si>
    <t>2026-03-16 14:39:11.723</t>
  </si>
  <si>
    <t xml:space="preserve">LTCURV40            </t>
  </si>
  <si>
    <t>2026-03-16 14:39:11.957</t>
  </si>
  <si>
    <t xml:space="preserve">LTCURV50            </t>
  </si>
  <si>
    <t>2026-03-16 14:39:11.973</t>
  </si>
  <si>
    <t xml:space="preserve">LTCURV20            </t>
  </si>
  <si>
    <t>2026-03-16 14:39:11.987</t>
  </si>
  <si>
    <t xml:space="preserve">LTCURV30            </t>
  </si>
  <si>
    <t>2026-03-16 14:39:12.003</t>
  </si>
  <si>
    <t xml:space="preserve">LTCURV10            </t>
  </si>
  <si>
    <t>2026-03-16 14:39:12.020</t>
  </si>
  <si>
    <t xml:space="preserve">LTEXTE10            </t>
  </si>
  <si>
    <t>2026-03-16 14:39:12.270</t>
  </si>
  <si>
    <t xml:space="preserve">LTFUCO10            </t>
  </si>
  <si>
    <t>2026-03-16 14:39:12.503</t>
  </si>
  <si>
    <t xml:space="preserve">LTFUND11            </t>
  </si>
  <si>
    <t>2026-03-16 14:39:12.737</t>
  </si>
  <si>
    <t xml:space="preserve">LTFUND21            </t>
  </si>
  <si>
    <t>2026-03-16 14:39:12.753</t>
  </si>
  <si>
    <t xml:space="preserve">LTFUND61            </t>
  </si>
  <si>
    <t>2026-03-16 14:39:12.770</t>
  </si>
  <si>
    <t xml:space="preserve">LTFUND70            </t>
  </si>
  <si>
    <t>2026-03-16 14:39:12.787</t>
  </si>
  <si>
    <t xml:space="preserve">LTFUND50            </t>
  </si>
  <si>
    <t>2026-03-16 14:39:12.800</t>
  </si>
  <si>
    <t xml:space="preserve">LTFUND40            </t>
  </si>
  <si>
    <t>2026-03-16 14:39:12.817</t>
  </si>
  <si>
    <t xml:space="preserve">LTFUND10            </t>
  </si>
  <si>
    <t>2026-03-16 14:39:12.833</t>
  </si>
  <si>
    <t xml:space="preserve">LTFUND30            </t>
  </si>
  <si>
    <t>2026-03-16 14:39:12.847</t>
  </si>
  <si>
    <t xml:space="preserve">LTFUND20            </t>
  </si>
  <si>
    <t>2026-03-16 14:39:12.863</t>
  </si>
  <si>
    <t xml:space="preserve">LTFUND60            </t>
  </si>
  <si>
    <t>2026-03-16 14:39:12.880</t>
  </si>
  <si>
    <t xml:space="preserve">LTIXVD10            </t>
  </si>
  <si>
    <t>2026-03-16 14:39:13.107</t>
  </si>
  <si>
    <t xml:space="preserve">LTKITV10            </t>
  </si>
  <si>
    <t>2026-03-16 14:39:13.340</t>
  </si>
  <si>
    <t xml:space="preserve">LTLEAS10            </t>
  </si>
  <si>
    <t>2026-03-16 14:39:13.577</t>
  </si>
  <si>
    <t xml:space="preserve">LTLEAS20            </t>
  </si>
  <si>
    <t>2026-03-16 14:39:13.590</t>
  </si>
  <si>
    <t xml:space="preserve">LTLEPR10            </t>
  </si>
  <si>
    <t>2026-03-16 14:39:13.827</t>
  </si>
  <si>
    <t xml:space="preserve">LTLIDO10            </t>
  </si>
  <si>
    <t>2026-03-16 14:39:14.060</t>
  </si>
  <si>
    <t xml:space="preserve">LTLIDO20            </t>
  </si>
  <si>
    <t>2026-03-16 14:39:14.077</t>
  </si>
  <si>
    <t xml:space="preserve">LTLIIN20            </t>
  </si>
  <si>
    <t>2026-03-16 14:39:14.317</t>
  </si>
  <si>
    <t xml:space="preserve">LTPOCA00            </t>
  </si>
  <si>
    <t>2026-03-16 14:39:14.550</t>
  </si>
  <si>
    <t xml:space="preserve">LTPRCA10            </t>
  </si>
  <si>
    <t>2026-03-16 14:39:14.787</t>
  </si>
  <si>
    <t xml:space="preserve">LTSINF10            </t>
  </si>
  <si>
    <t>2026-03-16 14:39:15.037</t>
  </si>
  <si>
    <t>2026-03-16 14:39:15.050</t>
  </si>
  <si>
    <t xml:space="preserve">LTSPCA10            </t>
  </si>
  <si>
    <t>2026-03-16 14:39:15.287</t>
  </si>
  <si>
    <t xml:space="preserve">MACHED05            </t>
  </si>
  <si>
    <t>2026-03-16 14:39:15.520</t>
  </si>
  <si>
    <t xml:space="preserve">MACHED10            </t>
  </si>
  <si>
    <t>2026-03-16 14:39:15.537</t>
  </si>
  <si>
    <t xml:space="preserve">MACHED20            </t>
  </si>
  <si>
    <t>2026-03-16 14:39:15.550</t>
  </si>
  <si>
    <t xml:space="preserve">MACMAA10            </t>
  </si>
  <si>
    <t>2026-03-16 14:39:15.773</t>
  </si>
  <si>
    <t>2026-03-16 14:39:15.787</t>
  </si>
  <si>
    <t xml:space="preserve">MACMAT10            </t>
  </si>
  <si>
    <t>2026-03-16 14:39:16.023</t>
  </si>
  <si>
    <t xml:space="preserve">MACOPA10            </t>
  </si>
  <si>
    <t>2026-03-16 14:39:16.257</t>
  </si>
  <si>
    <t xml:space="preserve">MACOPE10            </t>
  </si>
  <si>
    <t>2026-03-16 14:39:16.490</t>
  </si>
  <si>
    <t xml:space="preserve">MACWCT10            </t>
  </si>
  <si>
    <t>2026-03-16 14:39:16.727</t>
  </si>
  <si>
    <t xml:space="preserve">MADDIN10            </t>
  </si>
  <si>
    <t>2026-03-16 14:39:16.960</t>
  </si>
  <si>
    <t xml:space="preserve">MADJNT10            </t>
  </si>
  <si>
    <t>2026-03-16 14:39:17.193</t>
  </si>
  <si>
    <t xml:space="preserve">MAHEAD20            </t>
  </si>
  <si>
    <t>2026-03-16 14:39:17.427</t>
  </si>
  <si>
    <t xml:space="preserve">MAHEAD10            </t>
  </si>
  <si>
    <t>2026-03-16 14:39:17.443</t>
  </si>
  <si>
    <t xml:space="preserve">MALACT60            </t>
  </si>
  <si>
    <t>2026-03-16 14:39:17.677</t>
  </si>
  <si>
    <t>2026-03-16 14:39:17.817</t>
  </si>
  <si>
    <t xml:space="preserve">MALACT10            </t>
  </si>
  <si>
    <t>2026-03-16 14:39:17.830</t>
  </si>
  <si>
    <t xml:space="preserve">MALACT40            </t>
  </si>
  <si>
    <t>2026-03-16 14:39:17.847</t>
  </si>
  <si>
    <t xml:space="preserve">MALACT50            </t>
  </si>
  <si>
    <t>2026-03-16 14:39:17.863</t>
  </si>
  <si>
    <t xml:space="preserve">MALACT30            </t>
  </si>
  <si>
    <t>2026-03-16 14:39:17.877</t>
  </si>
  <si>
    <t xml:space="preserve">MALACT20            </t>
  </si>
  <si>
    <t>2026-03-16 14:39:17.893</t>
  </si>
  <si>
    <t xml:space="preserve">MALIAL20            </t>
  </si>
  <si>
    <t>2026-03-16 14:39:18.127</t>
  </si>
  <si>
    <t xml:space="preserve">MALIAL10            </t>
  </si>
  <si>
    <t>2026-03-16 14:39:18.143</t>
  </si>
  <si>
    <t xml:space="preserve">MAMOLI30            </t>
  </si>
  <si>
    <t>2026-03-16 14:39:18.373</t>
  </si>
  <si>
    <t xml:space="preserve">MAMOLI70            </t>
  </si>
  <si>
    <t>2026-03-16 14:39:18.390</t>
  </si>
  <si>
    <t xml:space="preserve">MAMOLI80            </t>
  </si>
  <si>
    <t>2026-03-16 14:39:18.407</t>
  </si>
  <si>
    <t xml:space="preserve">MAMOLI40            </t>
  </si>
  <si>
    <t>2026-03-16 14:39:18.420</t>
  </si>
  <si>
    <t xml:space="preserve">MAMOLI20            </t>
  </si>
  <si>
    <t>2026-03-16 14:39:18.437</t>
  </si>
  <si>
    <t>2026-03-16 14:39:18.453</t>
  </si>
  <si>
    <t xml:space="preserve">MAMOLI10            </t>
  </si>
  <si>
    <t>2026-03-16 14:39:18.457</t>
  </si>
  <si>
    <t xml:space="preserve">MAMOLI60            </t>
  </si>
  <si>
    <t>2026-03-16 14:39:18.473</t>
  </si>
  <si>
    <t xml:space="preserve">MAMOLI50            </t>
  </si>
  <si>
    <t>2026-03-16 14:39:18.490</t>
  </si>
  <si>
    <t xml:space="preserve">MAPRHE40            </t>
  </si>
  <si>
    <t>2026-03-16 14:39:18.723</t>
  </si>
  <si>
    <t xml:space="preserve">MAPRHE10            </t>
  </si>
  <si>
    <t>2026-03-16 14:39:18.740</t>
  </si>
  <si>
    <t xml:space="preserve">MAPRHE20            </t>
  </si>
  <si>
    <t>2026-03-16 14:39:18.757</t>
  </si>
  <si>
    <t xml:space="preserve">MAPRHE30            </t>
  </si>
  <si>
    <t>2026-03-16 14:39:18.770</t>
  </si>
  <si>
    <t xml:space="preserve">MAPRVA30            </t>
  </si>
  <si>
    <t>2026-03-16 14:39:19.007</t>
  </si>
  <si>
    <t xml:space="preserve">MAT10110            </t>
  </si>
  <si>
    <t>2026-03-16 14:39:19.240</t>
  </si>
  <si>
    <t xml:space="preserve">MAT10120            </t>
  </si>
  <si>
    <t>2026-03-16 14:39:19.257</t>
  </si>
  <si>
    <t xml:space="preserve">MAT10220            </t>
  </si>
  <si>
    <t>2026-03-16 14:39:19.490</t>
  </si>
  <si>
    <t xml:space="preserve">MAT10210            </t>
  </si>
  <si>
    <t>2026-03-16 14:39:19.507</t>
  </si>
  <si>
    <t xml:space="preserve">MATDPI10            </t>
  </si>
  <si>
    <t>2026-03-16 14:39:19.733</t>
  </si>
  <si>
    <t xml:space="preserve">MATDPI20            </t>
  </si>
  <si>
    <t>2026-03-16 14:39:19.750</t>
  </si>
  <si>
    <t xml:space="preserve">MATDPI30            </t>
  </si>
  <si>
    <t>2026-03-16 14:39:19.763</t>
  </si>
  <si>
    <t xml:space="preserve">MATDPV20            </t>
  </si>
  <si>
    <t>2026-03-16 14:39:19.997</t>
  </si>
  <si>
    <t xml:space="preserve">MATORL10            </t>
  </si>
  <si>
    <t>2026-03-16 14:39:20.233</t>
  </si>
  <si>
    <t xml:space="preserve">MATPMT10            </t>
  </si>
  <si>
    <t>2026-03-16 14:39:20.467</t>
  </si>
  <si>
    <t xml:space="preserve">MATRMA20            </t>
  </si>
  <si>
    <t>2026-03-16 14:39:20.700</t>
  </si>
  <si>
    <t xml:space="preserve">MATRMA10            </t>
  </si>
  <si>
    <t>2026-03-16 14:39:20.717</t>
  </si>
  <si>
    <t xml:space="preserve">MATVAV20            </t>
  </si>
  <si>
    <t>2026-03-16 14:39:20.950</t>
  </si>
  <si>
    <t xml:space="preserve">MATVAV30            </t>
  </si>
  <si>
    <t>2026-03-16 14:39:20.967</t>
  </si>
  <si>
    <t xml:space="preserve">MATVAV10            </t>
  </si>
  <si>
    <t>2026-03-16 14:39:20.983</t>
  </si>
  <si>
    <t xml:space="preserve">MBCFGL10            </t>
  </si>
  <si>
    <t>2026-03-16 14:39:21.217</t>
  </si>
  <si>
    <t xml:space="preserve">MBCFGL20            </t>
  </si>
  <si>
    <t>2026-03-16 14:39:21.233</t>
  </si>
  <si>
    <t xml:space="preserve">MBCHED61            </t>
  </si>
  <si>
    <t>2026-03-16 14:39:21.467</t>
  </si>
  <si>
    <t xml:space="preserve">MBCHED60            </t>
  </si>
  <si>
    <t>2026-03-16 14:39:21.483</t>
  </si>
  <si>
    <t xml:space="preserve">MBCHED40            </t>
  </si>
  <si>
    <t>2026-03-16 14:39:21.497</t>
  </si>
  <si>
    <t xml:space="preserve">MBCHED05            </t>
  </si>
  <si>
    <t>2026-03-16 14:39:21.513</t>
  </si>
  <si>
    <t xml:space="preserve">MBCHED10            </t>
  </si>
  <si>
    <t>2026-03-16 14:39:21.530</t>
  </si>
  <si>
    <t xml:space="preserve">MBCHED20            </t>
  </si>
  <si>
    <t>2026-03-16 14:39:21.547</t>
  </si>
  <si>
    <t xml:space="preserve">MBCHED30            </t>
  </si>
  <si>
    <t>2026-03-16 14:39:21.560</t>
  </si>
  <si>
    <t xml:space="preserve">MBCHED50            </t>
  </si>
  <si>
    <t>2026-03-16 14:39:21.577</t>
  </si>
  <si>
    <t xml:space="preserve">MBCMAA10            </t>
  </si>
  <si>
    <t>2026-03-16 14:39:21.810</t>
  </si>
  <si>
    <t xml:space="preserve">MBCMAP10            </t>
  </si>
  <si>
    <t>2026-03-16 14:39:22.050</t>
  </si>
  <si>
    <t xml:space="preserve">MBCMAT10            </t>
  </si>
  <si>
    <t>2026-03-16 14:39:22.287</t>
  </si>
  <si>
    <t xml:space="preserve">MBCOPA10            </t>
  </si>
  <si>
    <t>2026-03-16 14:39:22.520</t>
  </si>
  <si>
    <t xml:space="preserve">MBCOPE10            </t>
  </si>
  <si>
    <t>2026-03-16 14:39:22.753</t>
  </si>
  <si>
    <t xml:space="preserve">MBCOPP10            </t>
  </si>
  <si>
    <t>2026-03-16 14:39:22.987</t>
  </si>
  <si>
    <t xml:space="preserve">MBCWCT10            </t>
  </si>
  <si>
    <t>2026-03-16 14:39:23.223</t>
  </si>
  <si>
    <t xml:space="preserve">MBMTRD10            </t>
  </si>
  <si>
    <t>2026-03-16 14:39:23.457</t>
  </si>
  <si>
    <t xml:space="preserve">MBMTRD20            </t>
  </si>
  <si>
    <t>2026-03-16 14:39:23.473</t>
  </si>
  <si>
    <t xml:space="preserve">MBMTRD30            </t>
  </si>
  <si>
    <t>2026-03-16 14:39:23.487</t>
  </si>
  <si>
    <t xml:space="preserve">MBMTRD40            </t>
  </si>
  <si>
    <t>2026-03-16 14:39:23.503</t>
  </si>
  <si>
    <t xml:space="preserve">MBMTRN10            </t>
  </si>
  <si>
    <t>2026-03-16 14:39:23.737</t>
  </si>
  <si>
    <t xml:space="preserve">MBMTRN20            </t>
  </si>
  <si>
    <t>2026-03-16 14:39:23.753</t>
  </si>
  <si>
    <t>2026-03-16 14:39:23.770</t>
  </si>
  <si>
    <t xml:space="preserve">MBREDI10            </t>
  </si>
  <si>
    <t>2026-03-16 14:39:24.003</t>
  </si>
  <si>
    <t xml:space="preserve">MBREDI20            </t>
  </si>
  <si>
    <t>2026-03-16 14:39:24.020</t>
  </si>
  <si>
    <t xml:space="preserve">MCATTR20            </t>
  </si>
  <si>
    <t>2026-03-16 14:39:24.260</t>
  </si>
  <si>
    <t xml:space="preserve">MCATTR10            </t>
  </si>
  <si>
    <t>2026-03-16 14:39:24.277</t>
  </si>
  <si>
    <t xml:space="preserve">MCBOEL10            </t>
  </si>
  <si>
    <t>2026-03-16 14:39:24.517</t>
  </si>
  <si>
    <t xml:space="preserve">MCBOMS10            </t>
  </si>
  <si>
    <t>2026-03-16 14:39:24.750</t>
  </si>
  <si>
    <t xml:space="preserve">MCBOMS20            </t>
  </si>
  <si>
    <t>2026-03-16 14:39:24.767</t>
  </si>
  <si>
    <t xml:space="preserve">MCCCDF10            </t>
  </si>
  <si>
    <t>2026-03-16 14:39:25.000</t>
  </si>
  <si>
    <t xml:space="preserve">MCCELE10            </t>
  </si>
  <si>
    <t>2026-03-16 14:39:25.233</t>
  </si>
  <si>
    <t xml:space="preserve">MCCMAT10            </t>
  </si>
  <si>
    <t>2026-03-16 14:39:25.467</t>
  </si>
  <si>
    <t xml:space="preserve">MCCODA10            </t>
  </si>
  <si>
    <t>2026-03-16 14:39:25.703</t>
  </si>
  <si>
    <t xml:space="preserve">MCCOMA10            </t>
  </si>
  <si>
    <t>2026-03-16 14:39:25.937</t>
  </si>
  <si>
    <t xml:space="preserve">MCCOSA10            </t>
  </si>
  <si>
    <t>2026-03-16 14:39:26.170</t>
  </si>
  <si>
    <t xml:space="preserve">MCCSDF10            </t>
  </si>
  <si>
    <t>2026-03-16 14:39:26.413</t>
  </si>
  <si>
    <t xml:space="preserve">MCCSEM10            </t>
  </si>
  <si>
    <t>2026-03-16 14:39:26.650</t>
  </si>
  <si>
    <t xml:space="preserve">MCCSID10            </t>
  </si>
  <si>
    <t>2026-03-16 14:39:26.883</t>
  </si>
  <si>
    <t xml:space="preserve">MCCWAR00            </t>
  </si>
  <si>
    <t>2026-03-16 14:39:27.117</t>
  </si>
  <si>
    <t xml:space="preserve">MCCWAR11            </t>
  </si>
  <si>
    <t>2026-03-16 14:39:27.133</t>
  </si>
  <si>
    <t xml:space="preserve">MCCWAR20            </t>
  </si>
  <si>
    <t>2026-03-16 14:39:27.150</t>
  </si>
  <si>
    <t xml:space="preserve">MCCWAR30            </t>
  </si>
  <si>
    <t>2026-03-16 14:39:27.163</t>
  </si>
  <si>
    <t xml:space="preserve">MCCWRN30            </t>
  </si>
  <si>
    <t>2026-03-16 14:39:27.400</t>
  </si>
  <si>
    <t xml:space="preserve">MCCWRN40            </t>
  </si>
  <si>
    <t>2026-03-16 14:39:27.413</t>
  </si>
  <si>
    <t xml:space="preserve">MCCWRN10            </t>
  </si>
  <si>
    <t>2026-03-16 14:39:27.430</t>
  </si>
  <si>
    <t xml:space="preserve">MCCWRN20            </t>
  </si>
  <si>
    <t>2026-03-16 14:39:27.447</t>
  </si>
  <si>
    <t xml:space="preserve">MCFCOE10            </t>
  </si>
  <si>
    <t>2026-03-16 14:39:27.680</t>
  </si>
  <si>
    <t xml:space="preserve">MCFCOF10            </t>
  </si>
  <si>
    <t>2026-03-16 14:39:27.913</t>
  </si>
  <si>
    <t xml:space="preserve">MCFCOG10            </t>
  </si>
  <si>
    <t>2026-03-16 14:39:28.150</t>
  </si>
  <si>
    <t xml:space="preserve">MCFCOH10            </t>
  </si>
  <si>
    <t>2026-03-16 14:39:28.383</t>
  </si>
  <si>
    <t xml:space="preserve">MCFCOM10            </t>
  </si>
  <si>
    <t>2026-03-16 14:39:28.617</t>
  </si>
  <si>
    <t xml:space="preserve">MCFCOO10            </t>
  </si>
  <si>
    <t>2026-03-16 14:39:28.840</t>
  </si>
  <si>
    <t xml:space="preserve">MCFCOP10            </t>
  </si>
  <si>
    <t>2026-03-16 14:39:29.073</t>
  </si>
  <si>
    <t>2026-03-16 14:39:29.087</t>
  </si>
  <si>
    <t xml:space="preserve">MCFCRE10            </t>
  </si>
  <si>
    <t>2026-03-16 14:39:29.320</t>
  </si>
  <si>
    <t xml:space="preserve">MCFCVA10            </t>
  </si>
  <si>
    <t>2026-03-16 14:39:29.547</t>
  </si>
  <si>
    <t>2026-03-16 14:39:29.563</t>
  </si>
  <si>
    <t xml:space="preserve">MCFCVA20            </t>
  </si>
  <si>
    <t>2026-03-16 14:39:29.580</t>
  </si>
  <si>
    <t xml:space="preserve">MCFCVX10            </t>
  </si>
  <si>
    <t>2026-03-16 14:39:29.813</t>
  </si>
  <si>
    <t xml:space="preserve">MCFICD10            </t>
  </si>
  <si>
    <t>2026-03-16 14:39:30.043</t>
  </si>
  <si>
    <t xml:space="preserve">MCFICR20            </t>
  </si>
  <si>
    <t>2026-03-16 14:39:30.290</t>
  </si>
  <si>
    <t xml:space="preserve">MCFICR30            </t>
  </si>
  <si>
    <t>2026-03-16 14:39:30.307</t>
  </si>
  <si>
    <t xml:space="preserve">MCFICR10            </t>
  </si>
  <si>
    <t>2026-03-16 14:39:30.323</t>
  </si>
  <si>
    <t xml:space="preserve">MCFICT20            </t>
  </si>
  <si>
    <t>2026-03-16 14:39:30.557</t>
  </si>
  <si>
    <t xml:space="preserve">MCFICT10            </t>
  </si>
  <si>
    <t>2026-03-16 14:39:30.573</t>
  </si>
  <si>
    <t xml:space="preserve">MCFITE10            </t>
  </si>
  <si>
    <t>2026-03-16 14:39:30.797</t>
  </si>
  <si>
    <t xml:space="preserve">MCFITF10            </t>
  </si>
  <si>
    <t>2026-03-16 14:39:31.027</t>
  </si>
  <si>
    <t xml:space="preserve">MCFITG10            </t>
  </si>
  <si>
    <t>2026-03-16 14:39:31.260</t>
  </si>
  <si>
    <t xml:space="preserve">MCFITH10            </t>
  </si>
  <si>
    <t>2026-03-16 14:39:31.493</t>
  </si>
  <si>
    <t xml:space="preserve">MCFLOC10            </t>
  </si>
  <si>
    <t>2026-03-16 14:39:31.730</t>
  </si>
  <si>
    <t xml:space="preserve">MCFLOC20            </t>
  </si>
  <si>
    <t>2026-03-16 14:39:31.743</t>
  </si>
  <si>
    <t xml:space="preserve">MCFLOC05            </t>
  </si>
  <si>
    <t>2026-03-16 14:39:31.760</t>
  </si>
  <si>
    <t xml:space="preserve">MCFLOC07            </t>
  </si>
  <si>
    <t>2026-03-16 14:39:31.777</t>
  </si>
  <si>
    <t xml:space="preserve">MCFLOC30            </t>
  </si>
  <si>
    <t>2026-03-16 14:39:31.790</t>
  </si>
  <si>
    <t xml:space="preserve">MCFLOD10            </t>
  </si>
  <si>
    <t>2026-03-16 14:39:32.027</t>
  </si>
  <si>
    <t xml:space="preserve">MCFLOP10            </t>
  </si>
  <si>
    <t>2026-03-16 14:39:32.260</t>
  </si>
  <si>
    <t xml:space="preserve">MCFLVA10            </t>
  </si>
  <si>
    <t>2026-03-16 14:39:32.493</t>
  </si>
  <si>
    <t xml:space="preserve">MCFLVA20            </t>
  </si>
  <si>
    <t>2026-03-16 14:39:32.510</t>
  </si>
  <si>
    <t xml:space="preserve">MCFLVA30            </t>
  </si>
  <si>
    <t>2026-03-16 14:39:32.527</t>
  </si>
  <si>
    <t xml:space="preserve">MCFMEC10            </t>
  </si>
  <si>
    <t>2026-03-16 14:39:32.760</t>
  </si>
  <si>
    <t xml:space="preserve">MCFMET10            </t>
  </si>
  <si>
    <t>2026-03-16 14:39:32.993</t>
  </si>
  <si>
    <t xml:space="preserve">MCFMOA10            </t>
  </si>
  <si>
    <t>2026-03-16 14:39:33.230</t>
  </si>
  <si>
    <t xml:space="preserve">MCFMPO10            </t>
  </si>
  <si>
    <t>2026-03-16 14:39:33.463</t>
  </si>
  <si>
    <t xml:space="preserve">MCFMPO20            </t>
  </si>
  <si>
    <t>2026-03-16 14:39:33.480</t>
  </si>
  <si>
    <t xml:space="preserve">MCFMSL10            </t>
  </si>
  <si>
    <t>2026-03-16 14:39:33.713</t>
  </si>
  <si>
    <t xml:space="preserve">MCFMVL10            </t>
  </si>
  <si>
    <t>2026-03-16 14:39:33.947</t>
  </si>
  <si>
    <t xml:space="preserve">MCFPNQ10            </t>
  </si>
  <si>
    <t>2026-03-16 14:39:34.183</t>
  </si>
  <si>
    <t xml:space="preserve">MCFPOP10            </t>
  </si>
  <si>
    <t>2026-03-16 14:39:34.417</t>
  </si>
  <si>
    <t xml:space="preserve">MCFREL10            </t>
  </si>
  <si>
    <t>2026-03-16 14:39:34.657</t>
  </si>
  <si>
    <t xml:space="preserve">MCFSMR20            </t>
  </si>
  <si>
    <t>2026-03-16 14:39:34.893</t>
  </si>
  <si>
    <t xml:space="preserve">MCFSMR10            </t>
  </si>
  <si>
    <t>2026-03-16 14:39:34.907</t>
  </si>
  <si>
    <t xml:space="preserve">MCFSTR10            </t>
  </si>
  <si>
    <t>2026-03-16 14:39:35.143</t>
  </si>
  <si>
    <t xml:space="preserve">MCFSTR20            </t>
  </si>
  <si>
    <t>2026-03-16 14:39:35.157</t>
  </si>
  <si>
    <t xml:space="preserve">MCFSTR30            </t>
  </si>
  <si>
    <t>2026-03-16 14:39:35.173</t>
  </si>
  <si>
    <t xml:space="preserve">MCFVMR20            </t>
  </si>
  <si>
    <t>2026-03-16 14:39:35.400</t>
  </si>
  <si>
    <t xml:space="preserve">MCFVMR10            </t>
  </si>
  <si>
    <t>2026-03-16 14:39:35.417</t>
  </si>
  <si>
    <t xml:space="preserve">MCHEAD10            </t>
  </si>
  <si>
    <t>2026-03-16 14:39:35.657</t>
  </si>
  <si>
    <t xml:space="preserve">MCHEAD20            </t>
  </si>
  <si>
    <t>2026-03-16 14:39:35.673</t>
  </si>
  <si>
    <t xml:space="preserve">MCHEAD40            </t>
  </si>
  <si>
    <t>2026-03-16 14:39:35.687</t>
  </si>
  <si>
    <t xml:space="preserve">MCHEAD50            </t>
  </si>
  <si>
    <t>2026-03-16 14:39:35.703</t>
  </si>
  <si>
    <t xml:space="preserve">MCHHED10            </t>
  </si>
  <si>
    <t>2026-03-16 14:39:35.937</t>
  </si>
  <si>
    <t xml:space="preserve">MCHMOH20            </t>
  </si>
  <si>
    <t>2026-03-16 14:39:36.173</t>
  </si>
  <si>
    <t xml:space="preserve">MCHMOH30            </t>
  </si>
  <si>
    <t>2026-03-16 14:39:36.187</t>
  </si>
  <si>
    <t xml:space="preserve">MCHMOH10            </t>
  </si>
  <si>
    <t>2026-03-16 14:39:36.203</t>
  </si>
  <si>
    <t>2026-03-16 14:39:36.220</t>
  </si>
  <si>
    <t xml:space="preserve">MCHMOP20            </t>
  </si>
  <si>
    <t>2026-03-16 14:39:36.453</t>
  </si>
  <si>
    <t xml:space="preserve">MCHMOP30            </t>
  </si>
  <si>
    <t>2026-03-16 14:39:36.470</t>
  </si>
  <si>
    <t>2026-03-16 14:39:36.487</t>
  </si>
  <si>
    <t xml:space="preserve">MCHMOP10            </t>
  </si>
  <si>
    <t>2026-03-16 14:39:36.500</t>
  </si>
  <si>
    <t xml:space="preserve">MCHMPH20            </t>
  </si>
  <si>
    <t>2026-03-16 14:39:36.750</t>
  </si>
  <si>
    <t xml:space="preserve">MCHMPH30            </t>
  </si>
  <si>
    <t>2026-03-16 14:39:36.767</t>
  </si>
  <si>
    <t xml:space="preserve">MCHMPH10            </t>
  </si>
  <si>
    <t>2026-03-16 14:39:36.783</t>
  </si>
  <si>
    <t xml:space="preserve">MCIMAT10            </t>
  </si>
  <si>
    <t>2026-03-16 14:39:37.033</t>
  </si>
  <si>
    <t xml:space="preserve">MCISHL10            </t>
  </si>
  <si>
    <t>2026-03-16 14:39:37.267</t>
  </si>
  <si>
    <t xml:space="preserve">MCISUM10            </t>
  </si>
  <si>
    <t>2026-03-16 14:39:37.500</t>
  </si>
  <si>
    <t xml:space="preserve">MCMACO10            </t>
  </si>
  <si>
    <t>2026-03-16 14:39:37.737</t>
  </si>
  <si>
    <t xml:space="preserve">MCOHED20            </t>
  </si>
  <si>
    <t>2026-03-16 14:39:37.970</t>
  </si>
  <si>
    <t xml:space="preserve">MCOHED40            </t>
  </si>
  <si>
    <t>2026-03-16 14:39:37.987</t>
  </si>
  <si>
    <t xml:space="preserve">MCOHED30            </t>
  </si>
  <si>
    <t>2026-03-16 14:39:38.000</t>
  </si>
  <si>
    <t xml:space="preserve">MCOHED10            </t>
  </si>
  <si>
    <t>2026-03-16 14:39:38.017</t>
  </si>
  <si>
    <t xml:space="preserve">MCOMBL10            </t>
  </si>
  <si>
    <t>2026-03-16 14:39:38.250</t>
  </si>
  <si>
    <t xml:space="preserve">MCONMA20            </t>
  </si>
  <si>
    <t>2026-03-16 14:39:38.487</t>
  </si>
  <si>
    <t xml:space="preserve">MCONMA30            </t>
  </si>
  <si>
    <t>2026-03-16 14:39:38.500</t>
  </si>
  <si>
    <t xml:space="preserve">MCONMA10            </t>
  </si>
  <si>
    <t>2026-03-16 14:39:38.517</t>
  </si>
  <si>
    <t xml:space="preserve">MCP11000            </t>
  </si>
  <si>
    <t>2026-03-16 14:39:38.750</t>
  </si>
  <si>
    <t xml:space="preserve">MCPAPE40            </t>
  </si>
  <si>
    <t>2026-03-16 14:39:38.987</t>
  </si>
  <si>
    <t xml:space="preserve">MCPAPE60            </t>
  </si>
  <si>
    <t>2026-03-16 14:39:39.013</t>
  </si>
  <si>
    <t>2026-03-16 14:39:39.017</t>
  </si>
  <si>
    <t xml:space="preserve">MCPAPE10            </t>
  </si>
  <si>
    <t>2026-03-16 14:39:39.020</t>
  </si>
  <si>
    <t xml:space="preserve">MCPAPE20            </t>
  </si>
  <si>
    <t>2026-03-16 14:39:39.033</t>
  </si>
  <si>
    <t xml:space="preserve">MCPAPE30            </t>
  </si>
  <si>
    <t>2026-03-16 14:39:39.050</t>
  </si>
  <si>
    <t xml:space="preserve">MCPAPE50            </t>
  </si>
  <si>
    <t>2026-03-16 14:39:39.067</t>
  </si>
  <si>
    <t xml:space="preserve">MCPAPS10            </t>
  </si>
  <si>
    <t>2026-03-16 14:39:39.317</t>
  </si>
  <si>
    <t xml:space="preserve">MCPRCO10            </t>
  </si>
  <si>
    <t>2026-03-16 14:39:39.553</t>
  </si>
  <si>
    <t xml:space="preserve">MCPRCO20            </t>
  </si>
  <si>
    <t>2026-03-16 14:39:39.567</t>
  </si>
  <si>
    <t xml:space="preserve">MCPSPE10            </t>
  </si>
  <si>
    <t>2026-03-16 14:39:39.797</t>
  </si>
  <si>
    <t>2026-03-16 14:39:39.813</t>
  </si>
  <si>
    <t xml:space="preserve">MCPSPE20            </t>
  </si>
  <si>
    <t>2026-03-16 14:39:39.827</t>
  </si>
  <si>
    <t xml:space="preserve">MCPSPE30            </t>
  </si>
  <si>
    <t>2026-03-16 14:39:39.843</t>
  </si>
  <si>
    <t xml:space="preserve">MCPSUM10            </t>
  </si>
  <si>
    <t>2026-03-16 14:39:40.077</t>
  </si>
  <si>
    <t>2026-03-16 14:39:40.093</t>
  </si>
  <si>
    <t xml:space="preserve">MCPSUM20            </t>
  </si>
  <si>
    <t>2026-03-16 14:39:40.107</t>
  </si>
  <si>
    <t xml:space="preserve">MCPWSL10            </t>
  </si>
  <si>
    <t>2026-03-16 14:39:40.343</t>
  </si>
  <si>
    <t xml:space="preserve">MCTARG20            </t>
  </si>
  <si>
    <t>2026-03-16 14:39:40.623</t>
  </si>
  <si>
    <t>2026-03-16 14:39:40.700</t>
  </si>
  <si>
    <t xml:space="preserve">MCTARG10            </t>
  </si>
  <si>
    <t>2026-03-16 14:39:40.717</t>
  </si>
  <si>
    <t xml:space="preserve">MCTOCO10            </t>
  </si>
  <si>
    <t>2026-03-16 14:39:40.950</t>
  </si>
  <si>
    <t xml:space="preserve">MCTOCO20            </t>
  </si>
  <si>
    <t>2026-03-16 14:39:40.967</t>
  </si>
  <si>
    <t xml:space="preserve">MCWCCO10            </t>
  </si>
  <si>
    <t>2026-03-16 14:39:41.217</t>
  </si>
  <si>
    <t xml:space="preserve">MCWCCO20            </t>
  </si>
  <si>
    <t>2026-03-16 14:39:41.233</t>
  </si>
  <si>
    <t xml:space="preserve">MDCERR30            </t>
  </si>
  <si>
    <t>2026-03-16 14:39:41.467</t>
  </si>
  <si>
    <t xml:space="preserve">MDCERR20            </t>
  </si>
  <si>
    <t>2026-03-16 14:39:41.483</t>
  </si>
  <si>
    <t xml:space="preserve">MDCERR10            </t>
  </si>
  <si>
    <t>2026-03-16 14:39:41.497</t>
  </si>
  <si>
    <t xml:space="preserve">MDCEXT90            </t>
  </si>
  <si>
    <t>2026-03-16 14:39:41.747</t>
  </si>
  <si>
    <t xml:space="preserve">MDCEXT10            </t>
  </si>
  <si>
    <t>2026-03-16 14:39:41.763</t>
  </si>
  <si>
    <t xml:space="preserve">MDCPAR10            </t>
  </si>
  <si>
    <t>2026-03-16 14:39:41.990</t>
  </si>
  <si>
    <t xml:space="preserve">MDCTYP10            </t>
  </si>
  <si>
    <t>2026-03-16 14:39:42.223</t>
  </si>
  <si>
    <t xml:space="preserve">MDEOHE40            </t>
  </si>
  <si>
    <t>2026-03-16 14:39:42.473</t>
  </si>
  <si>
    <t xml:space="preserve">MDEOHE11            </t>
  </si>
  <si>
    <t>2026-03-16 14:39:42.490</t>
  </si>
  <si>
    <t xml:space="preserve">MDEOHE20            </t>
  </si>
  <si>
    <t>2026-03-16 14:39:42.507</t>
  </si>
  <si>
    <t xml:space="preserve">MDEOHE10            </t>
  </si>
  <si>
    <t>2026-03-16 14:39:42.520</t>
  </si>
  <si>
    <t xml:space="preserve">MDEOHE50            </t>
  </si>
  <si>
    <t>2026-03-16 14:39:42.537</t>
  </si>
  <si>
    <t xml:space="preserve">MDEOHE30            </t>
  </si>
  <si>
    <t>2026-03-16 14:39:42.553</t>
  </si>
  <si>
    <t xml:space="preserve">MDEORE10            </t>
  </si>
  <si>
    <t>2026-03-16 14:39:42.803</t>
  </si>
  <si>
    <t xml:space="preserve">MDOCEV10            </t>
  </si>
  <si>
    <t>2026-03-16 14:39:43.037</t>
  </si>
  <si>
    <t xml:space="preserve">MDOPLA10            </t>
  </si>
  <si>
    <t>2026-03-16 14:39:43.270</t>
  </si>
  <si>
    <t xml:space="preserve">MDOPLP41            </t>
  </si>
  <si>
    <t>2026-03-16 14:39:43.507</t>
  </si>
  <si>
    <t xml:space="preserve">MDOPLP60            </t>
  </si>
  <si>
    <t>2026-03-16 14:39:43.520</t>
  </si>
  <si>
    <t xml:space="preserve">MDOPLP30            </t>
  </si>
  <si>
    <t>2026-03-16 14:39:43.537</t>
  </si>
  <si>
    <t xml:space="preserve">MDOPLP10            </t>
  </si>
  <si>
    <t>2026-03-16 14:39:43.553</t>
  </si>
  <si>
    <t xml:space="preserve">MDOPLP20            </t>
  </si>
  <si>
    <t>2026-03-16 14:39:43.567</t>
  </si>
  <si>
    <t xml:space="preserve">MDOPLP50            </t>
  </si>
  <si>
    <t>2026-03-16 14:39:43.583</t>
  </si>
  <si>
    <t xml:space="preserve">MDPREL10            </t>
  </si>
  <si>
    <t>2026-03-16 14:39:43.817</t>
  </si>
  <si>
    <t xml:space="preserve">MDXDPL10            </t>
  </si>
  <si>
    <t>2026-03-16 14:39:44.053</t>
  </si>
  <si>
    <t xml:space="preserve">MECECM30            </t>
  </si>
  <si>
    <t>2026-03-16 14:39:44.287</t>
  </si>
  <si>
    <t xml:space="preserve">MECMAT30            </t>
  </si>
  <si>
    <t>2026-03-16 14:39:44.520</t>
  </si>
  <si>
    <t xml:space="preserve">METRTR10            </t>
  </si>
  <si>
    <t>2026-03-16 14:39:44.757</t>
  </si>
  <si>
    <t xml:space="preserve">MFC42610            </t>
  </si>
  <si>
    <t>2026-03-16 14:39:45.010</t>
  </si>
  <si>
    <t xml:space="preserve">MFC42620            </t>
  </si>
  <si>
    <t>2026-03-16 14:39:45.027</t>
  </si>
  <si>
    <t xml:space="preserve">MFC42630            </t>
  </si>
  <si>
    <t>2026-03-16 14:39:45.043</t>
  </si>
  <si>
    <t xml:space="preserve">MFIREM10            </t>
  </si>
  <si>
    <t>2026-03-16 14:39:45.277</t>
  </si>
  <si>
    <t xml:space="preserve">MFTRND10            </t>
  </si>
  <si>
    <t>2026-03-16 14:39:45.510</t>
  </si>
  <si>
    <t>2026-03-16 14:39:47.727</t>
  </si>
  <si>
    <t>2214</t>
  </si>
  <si>
    <t xml:space="preserve">MFTRNS40            </t>
  </si>
  <si>
    <t>2026-03-16 14:39:47.957</t>
  </si>
  <si>
    <t>2026-03-16 14:39:50.787</t>
  </si>
  <si>
    <t>2830</t>
  </si>
  <si>
    <t xml:space="preserve">MFTRNS31            </t>
  </si>
  <si>
    <t>2026-03-16 14:39:50.800</t>
  </si>
  <si>
    <t>2026-03-16 14:39:53.050</t>
  </si>
  <si>
    <t>2250</t>
  </si>
  <si>
    <t xml:space="preserve">MFTRNS32            </t>
  </si>
  <si>
    <t>2026-03-16 14:39:53.067</t>
  </si>
  <si>
    <t>2026-03-16 14:39:55.237</t>
  </si>
  <si>
    <t>2172</t>
  </si>
  <si>
    <t xml:space="preserve">MFTRNS80            </t>
  </si>
  <si>
    <t>2026-03-16 14:39:55.253</t>
  </si>
  <si>
    <t>2026-03-16 14:39:58.927</t>
  </si>
  <si>
    <t>3674</t>
  </si>
  <si>
    <t xml:space="preserve">MFTRNS30            </t>
  </si>
  <si>
    <t>2026-03-16 14:40:01.497</t>
  </si>
  <si>
    <t>2570</t>
  </si>
  <si>
    <t xml:space="preserve">MFTRNS51            </t>
  </si>
  <si>
    <t>2026-03-16 14:40:01.513</t>
  </si>
  <si>
    <t>2026-03-16 14:40:03.453</t>
  </si>
  <si>
    <t>1938</t>
  </si>
  <si>
    <t xml:space="preserve">MFTRNS60            </t>
  </si>
  <si>
    <t>2026-03-16 14:40:06.113</t>
  </si>
  <si>
    <t>2662</t>
  </si>
  <si>
    <t xml:space="preserve">MFTRNS70            </t>
  </si>
  <si>
    <t>2026-03-16 14:40:06.130</t>
  </si>
  <si>
    <t>2026-03-16 14:40:08.723</t>
  </si>
  <si>
    <t>2593</t>
  </si>
  <si>
    <t xml:space="preserve">MFTRNS01            </t>
  </si>
  <si>
    <t>2026-03-16 14:40:08.737</t>
  </si>
  <si>
    <t>2026-03-16 14:40:10.727</t>
  </si>
  <si>
    <t>1990</t>
  </si>
  <si>
    <t xml:space="preserve">MFTRNS10            </t>
  </si>
  <si>
    <t>2026-03-16 14:40:10.743</t>
  </si>
  <si>
    <t>2026-03-16 14:40:12.580</t>
  </si>
  <si>
    <t>1837</t>
  </si>
  <si>
    <t xml:space="preserve">MFTRNS50            </t>
  </si>
  <si>
    <t>2026-03-16 14:40:12.597</t>
  </si>
  <si>
    <t>2026-03-16 14:40:14.633</t>
  </si>
  <si>
    <t>2039</t>
  </si>
  <si>
    <t xml:space="preserve">MGHEAD95            </t>
  </si>
  <si>
    <t>2026-03-16 14:40:14.870</t>
  </si>
  <si>
    <t>2026-03-16 14:40:14.883</t>
  </si>
  <si>
    <t xml:space="preserve">MGHEAD10            </t>
  </si>
  <si>
    <t>2026-03-16 14:40:14.900</t>
  </si>
  <si>
    <t>2026-03-16 14:40:14.917</t>
  </si>
  <si>
    <t xml:space="preserve">MGHEAD80            </t>
  </si>
  <si>
    <t>2026-03-16 14:40:14.947</t>
  </si>
  <si>
    <t xml:space="preserve">MGHEAD70            </t>
  </si>
  <si>
    <t>2026-03-16 14:40:14.963</t>
  </si>
  <si>
    <t xml:space="preserve">MGHEAD40            </t>
  </si>
  <si>
    <t>2026-03-16 14:40:14.977</t>
  </si>
  <si>
    <t xml:space="preserve">MGHEAD60            </t>
  </si>
  <si>
    <t>2026-03-16 14:40:15.010</t>
  </si>
  <si>
    <t xml:space="preserve">MGHEAD30            </t>
  </si>
  <si>
    <t>2026-03-16 14:40:15.027</t>
  </si>
  <si>
    <t xml:space="preserve">MGHEAD90            </t>
  </si>
  <si>
    <t>2026-03-16 14:40:15.040</t>
  </si>
  <si>
    <t xml:space="preserve">MGHEAD20            </t>
  </si>
  <si>
    <t>2026-03-16 14:40:15.057</t>
  </si>
  <si>
    <t>2026-03-16 14:40:15.073</t>
  </si>
  <si>
    <t xml:space="preserve">MGHEAD50            </t>
  </si>
  <si>
    <t>2026-03-16 14:40:15.103</t>
  </si>
  <si>
    <t xml:space="preserve">MGITTR30            </t>
  </si>
  <si>
    <t>2026-03-16 14:40:15.337</t>
  </si>
  <si>
    <t xml:space="preserve">MGITTR10            </t>
  </si>
  <si>
    <t>2026-03-16 14:40:15.350</t>
  </si>
  <si>
    <t xml:space="preserve">MGITTR50            </t>
  </si>
  <si>
    <t>2026-03-16 14:40:15.367</t>
  </si>
  <si>
    <t xml:space="preserve">MGITTR60            </t>
  </si>
  <si>
    <t>2026-03-16 14:40:15.383</t>
  </si>
  <si>
    <t xml:space="preserve">MGITTR20            </t>
  </si>
  <si>
    <t>2026-03-16 14:40:15.397</t>
  </si>
  <si>
    <t xml:space="preserve">MGITTR40            </t>
  </si>
  <si>
    <t>2026-03-16 14:40:15.413</t>
  </si>
  <si>
    <t xml:space="preserve">MGITTR70            </t>
  </si>
  <si>
    <t>2026-03-16 14:40:15.427</t>
  </si>
  <si>
    <t xml:space="preserve">MGLINE61            </t>
  </si>
  <si>
    <t>2026-03-16 14:40:15.677</t>
  </si>
  <si>
    <t xml:space="preserve">MGLINE90            </t>
  </si>
  <si>
    <t>2026-03-16 14:40:15.693</t>
  </si>
  <si>
    <t xml:space="preserve">MGLINE30            </t>
  </si>
  <si>
    <t>2026-03-16 14:40:15.710</t>
  </si>
  <si>
    <t xml:space="preserve">MGLINE40            </t>
  </si>
  <si>
    <t>2026-03-16 14:40:15.723</t>
  </si>
  <si>
    <t xml:space="preserve">MGLINE51            </t>
  </si>
  <si>
    <t>2026-03-16 14:40:15.740</t>
  </si>
  <si>
    <t xml:space="preserve">MGLINE70            </t>
  </si>
  <si>
    <t>2026-03-16 14:40:15.757</t>
  </si>
  <si>
    <t xml:space="preserve">MGLINE60            </t>
  </si>
  <si>
    <t>2026-03-16 14:40:15.770</t>
  </si>
  <si>
    <t xml:space="preserve">MGLINE20            </t>
  </si>
  <si>
    <t>2026-03-16 14:40:15.787</t>
  </si>
  <si>
    <t xml:space="preserve">MGLINE80            </t>
  </si>
  <si>
    <t>2026-03-16 14:40:15.803</t>
  </si>
  <si>
    <t xml:space="preserve">MGLINE01            </t>
  </si>
  <si>
    <t>2026-03-16 14:40:15.817</t>
  </si>
  <si>
    <t xml:space="preserve">MGLINE10            </t>
  </si>
  <si>
    <t>2026-03-16 14:40:15.833</t>
  </si>
  <si>
    <t xml:space="preserve">MGLLOG10            </t>
  </si>
  <si>
    <t>2026-03-16 14:40:16.067</t>
  </si>
  <si>
    <t xml:space="preserve">MGTYPE10            </t>
  </si>
  <si>
    <t>2026-03-16 14:40:16.303</t>
  </si>
  <si>
    <t xml:space="preserve">MHAATR10            </t>
  </si>
  <si>
    <t>2026-03-16 14:40:16.553</t>
  </si>
  <si>
    <t xml:space="preserve">MHAATR20            </t>
  </si>
  <si>
    <t>2026-03-16 14:40:16.567</t>
  </si>
  <si>
    <t xml:space="preserve">MHAATR30            </t>
  </si>
  <si>
    <t>2026-03-16 14:40:16.583</t>
  </si>
  <si>
    <t xml:space="preserve">MHAHED11            </t>
  </si>
  <si>
    <t>2026-03-16 14:40:16.817</t>
  </si>
  <si>
    <t xml:space="preserve">MHAHED10            </t>
  </si>
  <si>
    <t>2026-03-16 14:40:16.833</t>
  </si>
  <si>
    <t xml:space="preserve">MHAHED21            </t>
  </si>
  <si>
    <t>2026-03-16 14:40:16.850</t>
  </si>
  <si>
    <t xml:space="preserve">MHAHED20            </t>
  </si>
  <si>
    <t>2026-03-16 14:40:16.867</t>
  </si>
  <si>
    <t xml:space="preserve">MHAHED31            </t>
  </si>
  <si>
    <t>2026-03-16 14:40:16.880</t>
  </si>
  <si>
    <t xml:space="preserve">MHAHED30            </t>
  </si>
  <si>
    <t>2026-03-16 14:40:16.897</t>
  </si>
  <si>
    <t xml:space="preserve">MHAHED01            </t>
  </si>
  <si>
    <t>2026-03-16 14:40:16.913</t>
  </si>
  <si>
    <t xml:space="preserve">MHALIN11            </t>
  </si>
  <si>
    <t>2026-03-16 14:40:17.163</t>
  </si>
  <si>
    <t xml:space="preserve">MHALIN10            </t>
  </si>
  <si>
    <t>2026-03-16 14:40:17.177</t>
  </si>
  <si>
    <t xml:space="preserve">MHALIN21            </t>
  </si>
  <si>
    <t>2026-03-16 14:40:17.193</t>
  </si>
  <si>
    <t xml:space="preserve">MHALIN31            </t>
  </si>
  <si>
    <t>2026-03-16 14:40:17.210</t>
  </si>
  <si>
    <t xml:space="preserve">MHALIN20            </t>
  </si>
  <si>
    <t>2026-03-16 14:40:17.223</t>
  </si>
  <si>
    <t xml:space="preserve">MHALIN30            </t>
  </si>
  <si>
    <t>2026-03-16 14:40:17.240</t>
  </si>
  <si>
    <t xml:space="preserve">MHALIN41            </t>
  </si>
  <si>
    <t>2026-03-16 14:40:17.257</t>
  </si>
  <si>
    <t xml:space="preserve">MHALIN40            </t>
  </si>
  <si>
    <t>2026-03-16 14:40:17.270</t>
  </si>
  <si>
    <t xml:space="preserve">MHALIN01            </t>
  </si>
  <si>
    <t>2026-03-16 14:40:17.287</t>
  </si>
  <si>
    <t xml:space="preserve">MHAPAC21            </t>
  </si>
  <si>
    <t>2026-03-16 14:40:17.527</t>
  </si>
  <si>
    <t xml:space="preserve">MHAPAC31            </t>
  </si>
  <si>
    <t>2026-03-16 14:40:17.543</t>
  </si>
  <si>
    <t xml:space="preserve">MHAPAC30            </t>
  </si>
  <si>
    <t>2026-03-16 14:40:17.557</t>
  </si>
  <si>
    <t xml:space="preserve">MHAPAC20            </t>
  </si>
  <si>
    <t>2026-03-16 14:40:17.573</t>
  </si>
  <si>
    <t xml:space="preserve">MHAPAC11            </t>
  </si>
  <si>
    <t>2026-03-16 14:40:17.590</t>
  </si>
  <si>
    <t xml:space="preserve">MHAPAC01            </t>
  </si>
  <si>
    <t>2026-03-16 14:40:17.603</t>
  </si>
  <si>
    <t xml:space="preserve">MHAPAC10            </t>
  </si>
  <si>
    <t>2026-03-16 14:40:17.620</t>
  </si>
  <si>
    <t xml:space="preserve">MHASUB10            </t>
  </si>
  <si>
    <t>2026-03-16 14:40:17.857</t>
  </si>
  <si>
    <t xml:space="preserve">MHCRAT10            </t>
  </si>
  <si>
    <t>2026-03-16 14:40:18.093</t>
  </si>
  <si>
    <t xml:space="preserve">MHDIAC10            </t>
  </si>
  <si>
    <t>2026-03-16 14:40:18.327</t>
  </si>
  <si>
    <t xml:space="preserve">MHDIAC20            </t>
  </si>
  <si>
    <t>2026-03-16 14:40:18.343</t>
  </si>
  <si>
    <t xml:space="preserve">MHDISA30            </t>
  </si>
  <si>
    <t>2026-03-16 14:40:18.577</t>
  </si>
  <si>
    <t xml:space="preserve">MHDISA10            </t>
  </si>
  <si>
    <t>2026-03-16 14:40:18.607</t>
  </si>
  <si>
    <t xml:space="preserve">MHDISA20            </t>
  </si>
  <si>
    <t>2026-03-16 14:40:18.623</t>
  </si>
  <si>
    <t xml:space="preserve">MHDISH15            </t>
  </si>
  <si>
    <t>2026-03-16 14:40:18.857</t>
  </si>
  <si>
    <t>2026-03-16 14:40:19.683</t>
  </si>
  <si>
    <t>824</t>
  </si>
  <si>
    <t xml:space="preserve">MHDISH05            </t>
  </si>
  <si>
    <t>2026-03-16 14:40:20.610</t>
  </si>
  <si>
    <t>928</t>
  </si>
  <si>
    <t xml:space="preserve">MHDISH11            </t>
  </si>
  <si>
    <t>2026-03-16 14:40:20.627</t>
  </si>
  <si>
    <t>2026-03-16 14:40:21.447</t>
  </si>
  <si>
    <t>819</t>
  </si>
  <si>
    <t xml:space="preserve">MHDISH80            </t>
  </si>
  <si>
    <t>2026-03-16 14:40:22.373</t>
  </si>
  <si>
    <t>929</t>
  </si>
  <si>
    <t xml:space="preserve">MHDISH10            </t>
  </si>
  <si>
    <t>2026-03-16 14:40:22.390</t>
  </si>
  <si>
    <t>2026-03-16 14:40:23.327</t>
  </si>
  <si>
    <t xml:space="preserve">MHDISH96            </t>
  </si>
  <si>
    <t>2026-03-16 14:40:23.800</t>
  </si>
  <si>
    <t>471</t>
  </si>
  <si>
    <t xml:space="preserve">MHDISH50            </t>
  </si>
  <si>
    <t>2026-03-16 14:40:23.817</t>
  </si>
  <si>
    <t>2026-03-16 14:40:24.157</t>
  </si>
  <si>
    <t>343</t>
  </si>
  <si>
    <t xml:space="preserve">MHDISH60            </t>
  </si>
  <si>
    <t>2026-03-16 14:40:24.173</t>
  </si>
  <si>
    <t>2026-03-16 14:40:24.503</t>
  </si>
  <si>
    <t xml:space="preserve">MHDISH30            </t>
  </si>
  <si>
    <t>2026-03-16 14:40:24.517</t>
  </si>
  <si>
    <t>2026-03-16 14:40:24.893</t>
  </si>
  <si>
    <t xml:space="preserve">MHDISH70            </t>
  </si>
  <si>
    <t>2026-03-16 14:40:24.907</t>
  </si>
  <si>
    <t>2026-03-16 14:40:25.097</t>
  </si>
  <si>
    <t xml:space="preserve">MHDISH93            </t>
  </si>
  <si>
    <t>2026-03-16 14:40:25.113</t>
  </si>
  <si>
    <t>2026-03-16 14:40:25.317</t>
  </si>
  <si>
    <t xml:space="preserve">MHDISH91            </t>
  </si>
  <si>
    <t>2026-03-16 14:40:25.330</t>
  </si>
  <si>
    <t>2026-03-16 14:40:25.643</t>
  </si>
  <si>
    <t>313</t>
  </si>
  <si>
    <t xml:space="preserve">MHDISH40            </t>
  </si>
  <si>
    <t>2026-03-16 14:40:25.917</t>
  </si>
  <si>
    <t>274</t>
  </si>
  <si>
    <t xml:space="preserve">MHDISH92            </t>
  </si>
  <si>
    <t>2026-03-16 14:40:25.933</t>
  </si>
  <si>
    <t>2026-03-16 14:40:26.213</t>
  </si>
  <si>
    <t xml:space="preserve">MHDISH90            </t>
  </si>
  <si>
    <t>2026-03-16 14:40:26.230</t>
  </si>
  <si>
    <t>2026-03-16 14:40:26.463</t>
  </si>
  <si>
    <t xml:space="preserve">MHDISH20            </t>
  </si>
  <si>
    <t>2026-03-16 14:40:26.480</t>
  </si>
  <si>
    <t>2026-03-16 14:40:26.637</t>
  </si>
  <si>
    <t xml:space="preserve">MHDISH94            </t>
  </si>
  <si>
    <t>2026-03-16 14:40:26.653</t>
  </si>
  <si>
    <t>2026-03-16 14:40:26.857</t>
  </si>
  <si>
    <t xml:space="preserve">MHDISL40            </t>
  </si>
  <si>
    <t>2026-03-16 14:40:27.090</t>
  </si>
  <si>
    <t>2026-03-16 14:40:28.887</t>
  </si>
  <si>
    <t>1798</t>
  </si>
  <si>
    <t xml:space="preserve">MHDISL30            </t>
  </si>
  <si>
    <t>2026-03-16 14:40:28.903</t>
  </si>
  <si>
    <t>2026-03-16 14:40:30.473</t>
  </si>
  <si>
    <t>1570</t>
  </si>
  <si>
    <t xml:space="preserve">MHDISL50            </t>
  </si>
  <si>
    <t>2026-03-16 14:40:30.490</t>
  </si>
  <si>
    <t>2026-03-16 14:40:32.147</t>
  </si>
  <si>
    <t>1659</t>
  </si>
  <si>
    <t xml:space="preserve">MHDISL10            </t>
  </si>
  <si>
    <t>2026-03-16 14:40:32.163</t>
  </si>
  <si>
    <t>2026-03-16 14:40:33.620</t>
  </si>
  <si>
    <t>1455</t>
  </si>
  <si>
    <t xml:space="preserve">MHDISL20            </t>
  </si>
  <si>
    <t>2026-03-16 14:40:33.633</t>
  </si>
  <si>
    <t>2026-03-16 14:40:35.213</t>
  </si>
  <si>
    <t>1578</t>
  </si>
  <si>
    <t xml:space="preserve">MHEXRD20            </t>
  </si>
  <si>
    <t>2026-03-16 14:40:35.447</t>
  </si>
  <si>
    <t>2026-03-16 14:40:35.463</t>
  </si>
  <si>
    <t xml:space="preserve">MHEXRD30            </t>
  </si>
  <si>
    <t>2026-03-16 14:40:35.477</t>
  </si>
  <si>
    <t xml:space="preserve">MHEXRD01            </t>
  </si>
  <si>
    <t>2026-03-16 14:40:35.493</t>
  </si>
  <si>
    <t>2026-03-16 14:40:35.510</t>
  </si>
  <si>
    <t xml:space="preserve">MHEXRD60            </t>
  </si>
  <si>
    <t>2026-03-16 14:40:35.527</t>
  </si>
  <si>
    <t xml:space="preserve">MHEXRD10            </t>
  </si>
  <si>
    <t>2026-03-16 14:40:35.540</t>
  </si>
  <si>
    <t>2026-03-16 14:40:35.570</t>
  </si>
  <si>
    <t xml:space="preserve">MHEXRD40            </t>
  </si>
  <si>
    <t>2026-03-16 14:40:35.587</t>
  </si>
  <si>
    <t xml:space="preserve">MHEXRD41            </t>
  </si>
  <si>
    <t>2026-03-16 14:40:35.603</t>
  </si>
  <si>
    <t xml:space="preserve">MHEXRD50            </t>
  </si>
  <si>
    <t>2026-03-16 14:40:35.617</t>
  </si>
  <si>
    <t xml:space="preserve">MHEXRH30            </t>
  </si>
  <si>
    <t>2026-03-16 14:40:35.853</t>
  </si>
  <si>
    <t xml:space="preserve">MHEXRH20            </t>
  </si>
  <si>
    <t>2026-03-16 14:40:35.867</t>
  </si>
  <si>
    <t xml:space="preserve">MHEXRH60            </t>
  </si>
  <si>
    <t>2026-03-16 14:40:35.883</t>
  </si>
  <si>
    <t xml:space="preserve">MHEXRH01            </t>
  </si>
  <si>
    <t>2026-03-16 14:40:35.900</t>
  </si>
  <si>
    <t xml:space="preserve">MHEXRH10            </t>
  </si>
  <si>
    <t>2026-03-16 14:40:35.913</t>
  </si>
  <si>
    <t xml:space="preserve">MHEXRH40            </t>
  </si>
  <si>
    <t>2026-03-16 14:40:35.930</t>
  </si>
  <si>
    <t xml:space="preserve">MHEXRH50            </t>
  </si>
  <si>
    <t>2026-03-16 14:40:35.947</t>
  </si>
  <si>
    <t xml:space="preserve">MHFRNS50            </t>
  </si>
  <si>
    <t>2026-03-16 14:40:36.180</t>
  </si>
  <si>
    <t xml:space="preserve">MHFRNS40            </t>
  </si>
  <si>
    <t>2026-03-16 14:40:36.197</t>
  </si>
  <si>
    <t>2026-03-16 14:40:36.210</t>
  </si>
  <si>
    <t xml:space="preserve">MHFRNS30            </t>
  </si>
  <si>
    <t>2026-03-16 14:40:36.227</t>
  </si>
  <si>
    <t xml:space="preserve">MHFRNS10            </t>
  </si>
  <si>
    <t>2026-03-16 14:40:36.243</t>
  </si>
  <si>
    <t xml:space="preserve">MHFRNS20            </t>
  </si>
  <si>
    <t>2026-03-16 14:40:36.257</t>
  </si>
  <si>
    <t xml:space="preserve">MHIALI50            </t>
  </si>
  <si>
    <t>2026-03-16 14:40:36.493</t>
  </si>
  <si>
    <t xml:space="preserve">MHIALI10            </t>
  </si>
  <si>
    <t>2026-03-16 14:40:36.507</t>
  </si>
  <si>
    <t xml:space="preserve">MHIALI30            </t>
  </si>
  <si>
    <t>2026-03-16 14:40:36.523</t>
  </si>
  <si>
    <t xml:space="preserve">MHIALI40            </t>
  </si>
  <si>
    <t>2026-03-16 14:40:36.540</t>
  </si>
  <si>
    <t xml:space="preserve">MHIALT20            </t>
  </si>
  <si>
    <t>2026-03-16 14:40:36.787</t>
  </si>
  <si>
    <t xml:space="preserve">MHIATR10            </t>
  </si>
  <si>
    <t>2026-03-16 14:40:37.013</t>
  </si>
  <si>
    <t xml:space="preserve">MHIATR20            </t>
  </si>
  <si>
    <t>2026-03-16 14:40:37.030</t>
  </si>
  <si>
    <t xml:space="preserve">MHIATR30            </t>
  </si>
  <si>
    <t>2026-03-16 14:40:37.047</t>
  </si>
  <si>
    <t xml:space="preserve">MHIAUN20            </t>
  </si>
  <si>
    <t>2026-03-16 14:40:37.283</t>
  </si>
  <si>
    <t xml:space="preserve">MHIAUN30            </t>
  </si>
  <si>
    <t>2026-03-16 14:40:37.300</t>
  </si>
  <si>
    <t xml:space="preserve">MHIAUN10            </t>
  </si>
  <si>
    <t>2026-03-16 14:40:37.317</t>
  </si>
  <si>
    <t xml:space="preserve">MHIBAL20            </t>
  </si>
  <si>
    <t>2026-03-16 14:40:37.550</t>
  </si>
  <si>
    <t xml:space="preserve">MHIBAL10            </t>
  </si>
  <si>
    <t>2026-03-16 14:40:37.567</t>
  </si>
  <si>
    <t xml:space="preserve">MHICON10            </t>
  </si>
  <si>
    <t>2026-03-16 14:40:37.817</t>
  </si>
  <si>
    <t>2026-03-16 14:40:37.830</t>
  </si>
  <si>
    <t xml:space="preserve">MHICUS20            </t>
  </si>
  <si>
    <t>2026-03-16 14:40:38.067</t>
  </si>
  <si>
    <t>2026-03-16 14:40:38.080</t>
  </si>
  <si>
    <t xml:space="preserve">MHICUS10            </t>
  </si>
  <si>
    <t>2026-03-16 14:40:38.097</t>
  </si>
  <si>
    <t>2026-03-16 14:40:38.127</t>
  </si>
  <si>
    <t xml:space="preserve">MHIFAC20            </t>
  </si>
  <si>
    <t>2026-03-16 14:40:38.367</t>
  </si>
  <si>
    <t xml:space="preserve">MHIFAC10            </t>
  </si>
  <si>
    <t>2026-03-16 14:40:38.383</t>
  </si>
  <si>
    <t xml:space="preserve">MHIHED60            </t>
  </si>
  <si>
    <t>2026-03-16 14:40:38.617</t>
  </si>
  <si>
    <t xml:space="preserve">MHIHED11            </t>
  </si>
  <si>
    <t>2026-03-16 14:40:38.633</t>
  </si>
  <si>
    <t>2026-03-16 14:40:38.647</t>
  </si>
  <si>
    <t xml:space="preserve">MHIHED10            </t>
  </si>
  <si>
    <t>2026-03-16 14:40:38.663</t>
  </si>
  <si>
    <t xml:space="preserve">MHIHED21            </t>
  </si>
  <si>
    <t>2026-03-16 14:40:38.680</t>
  </si>
  <si>
    <t xml:space="preserve">MHIHED40            </t>
  </si>
  <si>
    <t>2026-03-16 14:40:38.697</t>
  </si>
  <si>
    <t>2026-03-16 14:40:38.710</t>
  </si>
  <si>
    <t xml:space="preserve">MHIHED20            </t>
  </si>
  <si>
    <t>2026-03-16 14:40:38.727</t>
  </si>
  <si>
    <t>2026-03-16 14:40:38.757</t>
  </si>
  <si>
    <t xml:space="preserve">MHIHED31            </t>
  </si>
  <si>
    <t>2026-03-16 14:40:38.773</t>
  </si>
  <si>
    <t xml:space="preserve">MHIHED51            </t>
  </si>
  <si>
    <t>2026-03-16 14:40:38.787</t>
  </si>
  <si>
    <t xml:space="preserve">MHIHED50            </t>
  </si>
  <si>
    <t>2026-03-16 14:40:38.803</t>
  </si>
  <si>
    <t xml:space="preserve">MHIHED30            </t>
  </si>
  <si>
    <t>2026-03-16 14:40:38.820</t>
  </si>
  <si>
    <t xml:space="preserve">MHIHED65            </t>
  </si>
  <si>
    <t>2026-03-16 14:40:38.837</t>
  </si>
  <si>
    <t xml:space="preserve">MHIHED01            </t>
  </si>
  <si>
    <t>2026-03-16 14:40:38.850</t>
  </si>
  <si>
    <t xml:space="preserve">MHIIPC10            </t>
  </si>
  <si>
    <t>2026-03-16 14:40:39.087</t>
  </si>
  <si>
    <t xml:space="preserve">MHILIN70            </t>
  </si>
  <si>
    <t>2026-03-16 14:40:39.320</t>
  </si>
  <si>
    <t xml:space="preserve">MHILIN11            </t>
  </si>
  <si>
    <t>2026-03-16 14:40:39.337</t>
  </si>
  <si>
    <t>2026-03-16 14:40:39.350</t>
  </si>
  <si>
    <t xml:space="preserve">MHILIN12            </t>
  </si>
  <si>
    <t>2026-03-16 14:40:39.367</t>
  </si>
  <si>
    <t xml:space="preserve">MHILIN13            </t>
  </si>
  <si>
    <t>2026-03-16 14:40:39.383</t>
  </si>
  <si>
    <t>2026-03-16 14:40:39.413</t>
  </si>
  <si>
    <t xml:space="preserve">MHILIN10            </t>
  </si>
  <si>
    <t>2026-03-16 14:40:39.430</t>
  </si>
  <si>
    <t xml:space="preserve">MHILIN50            </t>
  </si>
  <si>
    <t>2026-03-16 14:40:39.447</t>
  </si>
  <si>
    <t xml:space="preserve">MHILIN61            </t>
  </si>
  <si>
    <t>2026-03-16 14:40:39.460</t>
  </si>
  <si>
    <t xml:space="preserve">MHILIN60            </t>
  </si>
  <si>
    <t>2026-03-16 14:40:39.477</t>
  </si>
  <si>
    <t xml:space="preserve">MHILIN21            </t>
  </si>
  <si>
    <t>2026-03-16 14:40:39.493</t>
  </si>
  <si>
    <t>2026-03-16 14:40:39.507</t>
  </si>
  <si>
    <t xml:space="preserve">MHILIN31            </t>
  </si>
  <si>
    <t>2026-03-16 14:40:39.523</t>
  </si>
  <si>
    <t xml:space="preserve">MHILIN20            </t>
  </si>
  <si>
    <t>2026-03-16 14:40:39.553</t>
  </si>
  <si>
    <t xml:space="preserve">MHILIN30            </t>
  </si>
  <si>
    <t>2026-03-16 14:40:39.570</t>
  </si>
  <si>
    <t xml:space="preserve">MHILIN41            </t>
  </si>
  <si>
    <t>2026-03-16 14:40:39.600</t>
  </si>
  <si>
    <t xml:space="preserve">MHILIN01            </t>
  </si>
  <si>
    <t>2026-03-16 14:40:39.617</t>
  </si>
  <si>
    <t xml:space="preserve">MHILOG10            </t>
  </si>
  <si>
    <t>2026-03-16 14:40:39.850</t>
  </si>
  <si>
    <t>2026-03-16 14:40:39.867</t>
  </si>
  <si>
    <t xml:space="preserve">MHILOG20            </t>
  </si>
  <si>
    <t>2026-03-16 14:40:39.883</t>
  </si>
  <si>
    <t xml:space="preserve">MHIMAH20            </t>
  </si>
  <si>
    <t>2026-03-16 14:40:40.107</t>
  </si>
  <si>
    <t>2026-03-16 14:40:40.123</t>
  </si>
  <si>
    <t xml:space="preserve">MHIMAH30            </t>
  </si>
  <si>
    <t>2026-03-16 14:40:40.140</t>
  </si>
  <si>
    <t xml:space="preserve">MHIMAH10            </t>
  </si>
  <si>
    <t>2026-03-16 14:40:40.157</t>
  </si>
  <si>
    <t xml:space="preserve">MHIMAS30            </t>
  </si>
  <si>
    <t>2026-03-16 14:40:40.390</t>
  </si>
  <si>
    <t xml:space="preserve">MHIMAS40            </t>
  </si>
  <si>
    <t>2026-03-16 14:40:40.407</t>
  </si>
  <si>
    <t xml:space="preserve">MHIMAS10            </t>
  </si>
  <si>
    <t>2026-03-16 14:40:40.420</t>
  </si>
  <si>
    <t xml:space="preserve">MHIMAS20            </t>
  </si>
  <si>
    <t>2026-03-16 14:40:40.437</t>
  </si>
  <si>
    <t>2026-03-16 14:40:40.467</t>
  </si>
  <si>
    <t xml:space="preserve">MHIMAS50            </t>
  </si>
  <si>
    <t>2026-03-16 14:40:40.500</t>
  </si>
  <si>
    <t xml:space="preserve">MHIMAS60            </t>
  </si>
  <si>
    <t>2026-03-16 14:40:40.513</t>
  </si>
  <si>
    <t xml:space="preserve">MHIPAC75            </t>
  </si>
  <si>
    <t>2026-03-16 14:40:40.750</t>
  </si>
  <si>
    <t>2026-03-16 14:40:40.763</t>
  </si>
  <si>
    <t xml:space="preserve">MHIPAC70            </t>
  </si>
  <si>
    <t>2026-03-16 14:40:40.780</t>
  </si>
  <si>
    <t xml:space="preserve">MHIPAC21            </t>
  </si>
  <si>
    <t>2026-03-16 14:40:40.797</t>
  </si>
  <si>
    <t>2026-03-16 14:40:40.810</t>
  </si>
  <si>
    <t xml:space="preserve">MHIPAC31            </t>
  </si>
  <si>
    <t>2026-03-16 14:40:40.827</t>
  </si>
  <si>
    <t xml:space="preserve">MHIPAC40            </t>
  </si>
  <si>
    <t>2026-03-16 14:40:40.843</t>
  </si>
  <si>
    <t xml:space="preserve">MHIPAC30            </t>
  </si>
  <si>
    <t>2026-03-16 14:40:40.857</t>
  </si>
  <si>
    <t xml:space="preserve">MHIPAC20            </t>
  </si>
  <si>
    <t>2026-03-16 14:40:40.873</t>
  </si>
  <si>
    <t>2026-03-16 14:40:40.890</t>
  </si>
  <si>
    <t xml:space="preserve">MHIPAC50            </t>
  </si>
  <si>
    <t>2026-03-16 14:40:40.907</t>
  </si>
  <si>
    <t xml:space="preserve">MHIPAC11            </t>
  </si>
  <si>
    <t>2026-03-16 14:40:40.920</t>
  </si>
  <si>
    <t xml:space="preserve">MHIPAC01            </t>
  </si>
  <si>
    <t>2026-03-16 14:40:40.937</t>
  </si>
  <si>
    <t xml:space="preserve">MHIPAC10            </t>
  </si>
  <si>
    <t>2026-03-16 14:40:40.953</t>
  </si>
  <si>
    <t>2026-03-16 14:40:40.967</t>
  </si>
  <si>
    <t xml:space="preserve">MHIPOP40            </t>
  </si>
  <si>
    <t>2026-03-16 14:40:41.203</t>
  </si>
  <si>
    <t>2026-03-16 14:40:41.217</t>
  </si>
  <si>
    <t xml:space="preserve">MHIQLF10            </t>
  </si>
  <si>
    <t>2026-03-16 14:40:41.460</t>
  </si>
  <si>
    <t>2026-03-16 14:40:41.477</t>
  </si>
  <si>
    <t xml:space="preserve">MHISUB10            </t>
  </si>
  <si>
    <t>2026-03-16 14:40:41.717</t>
  </si>
  <si>
    <t xml:space="preserve">MHITMA10            </t>
  </si>
  <si>
    <t>2026-03-16 14:40:41.950</t>
  </si>
  <si>
    <t xml:space="preserve">MHITMA20            </t>
  </si>
  <si>
    <t>2026-03-16 14:40:41.967</t>
  </si>
  <si>
    <t>2026-03-16 14:40:41.980</t>
  </si>
  <si>
    <t xml:space="preserve">MHIVEN20            </t>
  </si>
  <si>
    <t>2026-03-16 14:40:42.217</t>
  </si>
  <si>
    <t xml:space="preserve">MHIVEN10            </t>
  </si>
  <si>
    <t>2026-03-16 14:40:42.230</t>
  </si>
  <si>
    <t xml:space="preserve">MHM25010            </t>
  </si>
  <si>
    <t>2026-03-16 14:40:42.467</t>
  </si>
  <si>
    <t>2026-03-16 14:40:42.480</t>
  </si>
  <si>
    <t xml:space="preserve">MHM25090            </t>
  </si>
  <si>
    <t>2026-03-16 14:40:42.497</t>
  </si>
  <si>
    <t xml:space="preserve">MHM85510            </t>
  </si>
  <si>
    <t>2026-03-16 14:40:42.730</t>
  </si>
  <si>
    <t xml:space="preserve">MHM85590            </t>
  </si>
  <si>
    <t>2026-03-16 14:40:42.747</t>
  </si>
  <si>
    <t xml:space="preserve">MHMT0110            </t>
  </si>
  <si>
    <t>2026-03-16 14:40:42.980</t>
  </si>
  <si>
    <t xml:space="preserve">MHMT0190            </t>
  </si>
  <si>
    <t>2026-03-16 14:40:42.997</t>
  </si>
  <si>
    <t xml:space="preserve">MHMT0210            </t>
  </si>
  <si>
    <t>2026-03-16 14:40:43.230</t>
  </si>
  <si>
    <t xml:space="preserve">MHMT0290            </t>
  </si>
  <si>
    <t>2026-03-16 14:40:43.247</t>
  </si>
  <si>
    <t xml:space="preserve">MHMT0310            </t>
  </si>
  <si>
    <t>2026-03-16 14:40:43.480</t>
  </si>
  <si>
    <t xml:space="preserve">MHMT0390            </t>
  </si>
  <si>
    <t>2026-03-16 14:40:43.497</t>
  </si>
  <si>
    <t xml:space="preserve">MHMT0410            </t>
  </si>
  <si>
    <t>2026-03-16 14:40:43.730</t>
  </si>
  <si>
    <t xml:space="preserve">MHMT0490            </t>
  </si>
  <si>
    <t>2026-03-16 14:40:43.747</t>
  </si>
  <si>
    <t xml:space="preserve">MHMT0510            </t>
  </si>
  <si>
    <t>2026-03-16 14:40:43.980</t>
  </si>
  <si>
    <t>2026-03-16 14:40:43.997</t>
  </si>
  <si>
    <t xml:space="preserve">MHMT0590            </t>
  </si>
  <si>
    <t>2026-03-16 14:40:44.013</t>
  </si>
  <si>
    <t xml:space="preserve">MHMT0610            </t>
  </si>
  <si>
    <t>2026-03-16 14:40:44.247</t>
  </si>
  <si>
    <t xml:space="preserve">MHMT0690            </t>
  </si>
  <si>
    <t>2026-03-16 14:40:44.263</t>
  </si>
  <si>
    <t xml:space="preserve">MHMT0710            </t>
  </si>
  <si>
    <t>2026-03-16 14:40:44.497</t>
  </si>
  <si>
    <t xml:space="preserve">MHMT0790            </t>
  </si>
  <si>
    <t>2026-03-16 14:40:44.513</t>
  </si>
  <si>
    <t xml:space="preserve">MHMT0810            </t>
  </si>
  <si>
    <t>2026-03-16 14:40:44.747</t>
  </si>
  <si>
    <t xml:space="preserve">MHMT0890            </t>
  </si>
  <si>
    <t>2026-03-16 14:40:44.763</t>
  </si>
  <si>
    <t xml:space="preserve">MHMT0910            </t>
  </si>
  <si>
    <t>2026-03-16 14:40:44.997</t>
  </si>
  <si>
    <t>2026-03-16 14:40:45.013</t>
  </si>
  <si>
    <t xml:space="preserve">MHMT0990            </t>
  </si>
  <si>
    <t>2026-03-16 14:40:45.027</t>
  </si>
  <si>
    <t xml:space="preserve">MHMT0A10            </t>
  </si>
  <si>
    <t>2026-03-16 14:40:45.277</t>
  </si>
  <si>
    <t>2026-03-16 14:40:45.293</t>
  </si>
  <si>
    <t xml:space="preserve">MHMT0A90            </t>
  </si>
  <si>
    <t>2026-03-16 14:40:45.310</t>
  </si>
  <si>
    <t xml:space="preserve">MHMT0B10            </t>
  </si>
  <si>
    <t>2026-03-16 14:40:45.543</t>
  </si>
  <si>
    <t>2026-03-16 14:40:45.577</t>
  </si>
  <si>
    <t xml:space="preserve">MHMT0B90            </t>
  </si>
  <si>
    <t>2026-03-16 14:40:45.590</t>
  </si>
  <si>
    <t xml:space="preserve">MHOTID50            </t>
  </si>
  <si>
    <t>2026-03-16 14:40:45.823</t>
  </si>
  <si>
    <t>2026-03-16 14:40:45.837</t>
  </si>
  <si>
    <t xml:space="preserve">MHOTID10            </t>
  </si>
  <si>
    <t>2026-03-16 14:40:45.853</t>
  </si>
  <si>
    <t>2026-03-16 14:40:45.870</t>
  </si>
  <si>
    <t xml:space="preserve">MHOTID20            </t>
  </si>
  <si>
    <t>2026-03-16 14:40:45.883</t>
  </si>
  <si>
    <t xml:space="preserve">MHOTID60            </t>
  </si>
  <si>
    <t>2026-03-16 14:40:45.900</t>
  </si>
  <si>
    <t>2026-03-16 14:40:45.917</t>
  </si>
  <si>
    <t xml:space="preserve">MHOTID30            </t>
  </si>
  <si>
    <t>2026-03-16 14:40:45.947</t>
  </si>
  <si>
    <t xml:space="preserve">MHOTID40            </t>
  </si>
  <si>
    <t>2026-03-16 14:40:45.963</t>
  </si>
  <si>
    <t xml:space="preserve">MHPICA10            </t>
  </si>
  <si>
    <t>2026-03-16 14:40:46.197</t>
  </si>
  <si>
    <t xml:space="preserve">MHPICD10            </t>
  </si>
  <si>
    <t>2026-03-16 14:40:46.423</t>
  </si>
  <si>
    <t xml:space="preserve">MHPICD40            </t>
  </si>
  <si>
    <t>2026-03-16 14:40:46.437</t>
  </si>
  <si>
    <t>2026-03-16 14:40:46.453</t>
  </si>
  <si>
    <t xml:space="preserve">MHPICD30            </t>
  </si>
  <si>
    <t>2026-03-16 14:40:46.470</t>
  </si>
  <si>
    <t xml:space="preserve">MHPICD01            </t>
  </si>
  <si>
    <t>2026-03-16 14:40:46.487</t>
  </si>
  <si>
    <t xml:space="preserve">MHPICD20            </t>
  </si>
  <si>
    <t>2026-03-16 14:40:46.500</t>
  </si>
  <si>
    <t>2026-03-16 14:40:46.533</t>
  </si>
  <si>
    <t xml:space="preserve">MHPICH91            </t>
  </si>
  <si>
    <t>2026-03-16 14:40:46.783</t>
  </si>
  <si>
    <t>2026-03-16 14:40:47.297</t>
  </si>
  <si>
    <t xml:space="preserve">MHPICH90            </t>
  </si>
  <si>
    <t>2026-03-16 14:40:47.313</t>
  </si>
  <si>
    <t>2026-03-16 14:40:47.640</t>
  </si>
  <si>
    <t xml:space="preserve">MHPICH50            </t>
  </si>
  <si>
    <t>2026-03-16 14:40:48.187</t>
  </si>
  <si>
    <t xml:space="preserve">MHPICH80            </t>
  </si>
  <si>
    <t>2026-03-16 14:40:48.653</t>
  </si>
  <si>
    <t>464</t>
  </si>
  <si>
    <t xml:space="preserve">MHPICH20            </t>
  </si>
  <si>
    <t>2026-03-16 14:40:48.920</t>
  </si>
  <si>
    <t>268</t>
  </si>
  <si>
    <t xml:space="preserve">MHPICH30            </t>
  </si>
  <si>
    <t>2026-03-16 14:40:48.937</t>
  </si>
  <si>
    <t>2026-03-16 14:40:49.153</t>
  </si>
  <si>
    <t xml:space="preserve">MHPICH40            </t>
  </si>
  <si>
    <t>2026-03-16 14:40:49.170</t>
  </si>
  <si>
    <t>2026-03-16 14:40:49.373</t>
  </si>
  <si>
    <t xml:space="preserve">MHPICH10            </t>
  </si>
  <si>
    <t>2026-03-16 14:40:49.387</t>
  </si>
  <si>
    <t>2026-03-16 14:40:49.653</t>
  </si>
  <si>
    <t>266</t>
  </si>
  <si>
    <t xml:space="preserve">MHPICH70            </t>
  </si>
  <si>
    <t>2026-03-16 14:40:49.670</t>
  </si>
  <si>
    <t>2026-03-16 14:40:49.840</t>
  </si>
  <si>
    <t xml:space="preserve">MHPICH60            </t>
  </si>
  <si>
    <t>2026-03-16 14:40:49.857</t>
  </si>
  <si>
    <t>2026-03-16 14:40:50.013</t>
  </si>
  <si>
    <t xml:space="preserve">MHPICL01            </t>
  </si>
  <si>
    <t>2026-03-16 14:40:50.250</t>
  </si>
  <si>
    <t xml:space="preserve">MHPICL10            </t>
  </si>
  <si>
    <t>2026-03-16 14:40:50.267</t>
  </si>
  <si>
    <t xml:space="preserve">MHPICL40            </t>
  </si>
  <si>
    <t>2026-03-16 14:40:50.280</t>
  </si>
  <si>
    <t xml:space="preserve">MHPICL30            </t>
  </si>
  <si>
    <t>2026-03-16 14:40:50.297</t>
  </si>
  <si>
    <t xml:space="preserve">MHPICL20            </t>
  </si>
  <si>
    <t>2026-03-16 14:40:50.310</t>
  </si>
  <si>
    <t xml:space="preserve">MHPICT01            </t>
  </si>
  <si>
    <t>2026-03-16 14:40:50.547</t>
  </si>
  <si>
    <t xml:space="preserve">MHPICT10            </t>
  </si>
  <si>
    <t>2026-03-16 14:40:50.560</t>
  </si>
  <si>
    <t xml:space="preserve">MHPREA10            </t>
  </si>
  <si>
    <t>2026-03-16 14:40:50.797</t>
  </si>
  <si>
    <t xml:space="preserve">MHPRNS40            </t>
  </si>
  <si>
    <t>2026-03-16 14:40:51.030</t>
  </si>
  <si>
    <t xml:space="preserve">MHPRNS50            </t>
  </si>
  <si>
    <t>2026-03-16 14:40:51.050</t>
  </si>
  <si>
    <t xml:space="preserve">MHPRNS10            </t>
  </si>
  <si>
    <t>2026-03-16 14:40:51.067</t>
  </si>
  <si>
    <t xml:space="preserve">MHPRNS30            </t>
  </si>
  <si>
    <t>2026-03-16 14:40:51.083</t>
  </si>
  <si>
    <t xml:space="preserve">MHPRNS20            </t>
  </si>
  <si>
    <t>2026-03-16 14:40:51.097</t>
  </si>
  <si>
    <t xml:space="preserve">MHSEST10            </t>
  </si>
  <si>
    <t>2026-03-16 14:40:51.333</t>
  </si>
  <si>
    <t xml:space="preserve">MHTASK10            </t>
  </si>
  <si>
    <t>2026-03-16 14:40:51.567</t>
  </si>
  <si>
    <t xml:space="preserve">MHTASK01            </t>
  </si>
  <si>
    <t>2026-03-16 14:40:51.583</t>
  </si>
  <si>
    <t xml:space="preserve">MHTASK20            </t>
  </si>
  <si>
    <t>2026-03-16 14:40:51.607</t>
  </si>
  <si>
    <t>2026-03-16 14:40:51.610</t>
  </si>
  <si>
    <t xml:space="preserve">MIATTR40            </t>
  </si>
  <si>
    <t>2026-03-16 14:40:51.837</t>
  </si>
  <si>
    <t>2026-03-16 14:40:51.850</t>
  </si>
  <si>
    <t xml:space="preserve">MIATTR70            </t>
  </si>
  <si>
    <t>2026-03-16 14:40:51.867</t>
  </si>
  <si>
    <t xml:space="preserve">MIATTR80            </t>
  </si>
  <si>
    <t>2026-03-16 14:40:51.883</t>
  </si>
  <si>
    <t xml:space="preserve">MIATTR90            </t>
  </si>
  <si>
    <t>2026-03-16 14:40:51.897</t>
  </si>
  <si>
    <t xml:space="preserve">MIATTR20            </t>
  </si>
  <si>
    <t>2026-03-16 14:40:51.913</t>
  </si>
  <si>
    <t xml:space="preserve">MIATTR95            </t>
  </si>
  <si>
    <t>2026-03-16 14:40:51.943</t>
  </si>
  <si>
    <t>30</t>
  </si>
  <si>
    <t xml:space="preserve">MIATTR01            </t>
  </si>
  <si>
    <t>2026-03-16 14:40:51.960</t>
  </si>
  <si>
    <t xml:space="preserve">MIATTR60            </t>
  </si>
  <si>
    <t>2026-03-16 14:40:51.977</t>
  </si>
  <si>
    <t xml:space="preserve">MIDQCG10            </t>
  </si>
  <si>
    <t>2026-03-16 14:40:52.210</t>
  </si>
  <si>
    <t>2026-03-16 14:40:52.240</t>
  </si>
  <si>
    <t xml:space="preserve">MIDSCP10            </t>
  </si>
  <si>
    <t>2026-03-16 14:40:52.477</t>
  </si>
  <si>
    <t xml:space="preserve">MIDTLE20            </t>
  </si>
  <si>
    <t>2026-03-16 14:40:52.710</t>
  </si>
  <si>
    <t>2026-03-16 14:40:52.727</t>
  </si>
  <si>
    <t xml:space="preserve">MIDTLE30            </t>
  </si>
  <si>
    <t>2026-03-16 14:40:52.740</t>
  </si>
  <si>
    <t>2026-03-16 14:40:52.773</t>
  </si>
  <si>
    <t xml:space="preserve">MIEQGR10            </t>
  </si>
  <si>
    <t>2026-03-16 14:40:53.007</t>
  </si>
  <si>
    <t>2026-03-16 14:40:53.023</t>
  </si>
  <si>
    <t xml:space="preserve">MILIFE10            </t>
  </si>
  <si>
    <t>2026-03-16 14:40:53.253</t>
  </si>
  <si>
    <t>2026-03-16 14:40:53.270</t>
  </si>
  <si>
    <t xml:space="preserve">MILOID10            </t>
  </si>
  <si>
    <t>2026-03-16 14:40:53.503</t>
  </si>
  <si>
    <t>2026-03-16 14:40:53.520</t>
  </si>
  <si>
    <t xml:space="preserve">MILOIN60            </t>
  </si>
  <si>
    <t>2026-03-16 14:40:53.747</t>
  </si>
  <si>
    <t xml:space="preserve">MILOIN02            </t>
  </si>
  <si>
    <t>2026-03-16 14:40:53.763</t>
  </si>
  <si>
    <t xml:space="preserve">MILOIN81            </t>
  </si>
  <si>
    <t>2026-03-16 14:40:53.777</t>
  </si>
  <si>
    <t xml:space="preserve">MILOIN51            </t>
  </si>
  <si>
    <t xml:space="preserve">MILOIN12            </t>
  </si>
  <si>
    <t>2026-03-16 14:40:53.810</t>
  </si>
  <si>
    <t xml:space="preserve">MILOIN20            </t>
  </si>
  <si>
    <t>2026-03-16 14:40:53.827</t>
  </si>
  <si>
    <t>2026-03-16 14:40:53.840</t>
  </si>
  <si>
    <t xml:space="preserve">MILOIN40            </t>
  </si>
  <si>
    <t>2026-03-16 14:40:53.857</t>
  </si>
  <si>
    <t>2026-03-16 14:40:53.873</t>
  </si>
  <si>
    <t xml:space="preserve">MILOIN80            </t>
  </si>
  <si>
    <t>2026-03-16 14:40:53.887</t>
  </si>
  <si>
    <t>2026-03-16 14:40:53.920</t>
  </si>
  <si>
    <t xml:space="preserve">MILOIN91            </t>
  </si>
  <si>
    <t>2026-03-16 14:40:53.937</t>
  </si>
  <si>
    <t xml:space="preserve">MILOIN92            </t>
  </si>
  <si>
    <t>2026-03-16 14:40:53.950</t>
  </si>
  <si>
    <t xml:space="preserve">MILOIN93            </t>
  </si>
  <si>
    <t>2026-03-16 14:40:53.967</t>
  </si>
  <si>
    <t xml:space="preserve">MILOIN41            </t>
  </si>
  <si>
    <t>2026-03-16 14:40:53.980</t>
  </si>
  <si>
    <t xml:space="preserve">MILOIN90            </t>
  </si>
  <si>
    <t>2026-03-16 14:40:53.997</t>
  </si>
  <si>
    <t xml:space="preserve">MILOIN95            </t>
  </si>
  <si>
    <t>2026-03-16 14:40:54.013</t>
  </si>
  <si>
    <t xml:space="preserve">MILOIN96            </t>
  </si>
  <si>
    <t>2026-03-16 14:40:54.027</t>
  </si>
  <si>
    <t xml:space="preserve">MILOIN70            </t>
  </si>
  <si>
    <t>2026-03-16 14:40:54.043</t>
  </si>
  <si>
    <t>2026-03-16 14:40:54.060</t>
  </si>
  <si>
    <t xml:space="preserve">MILOIN10            </t>
  </si>
  <si>
    <t>2026-03-16 14:40:54.077</t>
  </si>
  <si>
    <t xml:space="preserve">MILOIN11            </t>
  </si>
  <si>
    <t>2026-03-16 14:40:54.090</t>
  </si>
  <si>
    <t xml:space="preserve">MILOIN31            </t>
  </si>
  <si>
    <t>2026-03-16 14:40:54.107</t>
  </si>
  <si>
    <t xml:space="preserve">MILOIN32            </t>
  </si>
  <si>
    <t>2026-03-16 14:40:54.137</t>
  </si>
  <si>
    <t xml:space="preserve">MILOIN21            </t>
  </si>
  <si>
    <t>2026-03-16 14:40:54.153</t>
  </si>
  <si>
    <t xml:space="preserve">MILOIN50            </t>
  </si>
  <si>
    <t>2026-03-16 14:40:54.170</t>
  </si>
  <si>
    <t xml:space="preserve">MILOIN01            </t>
  </si>
  <si>
    <t>2026-03-16 14:40:54.187</t>
  </si>
  <si>
    <t xml:space="preserve">MILOIN30            </t>
  </si>
  <si>
    <t>2026-03-16 14:40:54.200</t>
  </si>
  <si>
    <t xml:space="preserve">MILOIP10            </t>
  </si>
  <si>
    <t>2026-03-16 14:40:54.437</t>
  </si>
  <si>
    <t xml:space="preserve">MILOMA30            </t>
  </si>
  <si>
    <t>2026-03-16 14:40:54.670</t>
  </si>
  <si>
    <t xml:space="preserve">MILOMA85            </t>
  </si>
  <si>
    <t>2026-03-16 14:40:54.687</t>
  </si>
  <si>
    <t xml:space="preserve">MILOMA20            </t>
  </si>
  <si>
    <t>2026-03-16 14:40:54.700</t>
  </si>
  <si>
    <t xml:space="preserve">MILOMA70            </t>
  </si>
  <si>
    <t>2026-03-16 14:40:54.717</t>
  </si>
  <si>
    <t xml:space="preserve">MILOMA75            </t>
  </si>
  <si>
    <t>2026-03-16 14:40:54.730</t>
  </si>
  <si>
    <t xml:space="preserve">MILOMA60            </t>
  </si>
  <si>
    <t>2026-03-16 14:40:54.747</t>
  </si>
  <si>
    <t xml:space="preserve">MILOMA11            </t>
  </si>
  <si>
    <t>2026-03-16 14:40:54.763</t>
  </si>
  <si>
    <t xml:space="preserve">MILOMA80            </t>
  </si>
  <si>
    <t>2026-03-16 14:40:54.777</t>
  </si>
  <si>
    <t xml:space="preserve">MILOMA40            </t>
  </si>
  <si>
    <t>2026-03-16 14:40:54.793</t>
  </si>
  <si>
    <t xml:space="preserve">MILOMA50            </t>
  </si>
  <si>
    <t>2026-03-16 14:40:54.810</t>
  </si>
  <si>
    <t xml:space="preserve">MILOMA10            </t>
  </si>
  <si>
    <t>2026-03-16 14:40:54.827</t>
  </si>
  <si>
    <t xml:space="preserve">MILOMC10            </t>
  </si>
  <si>
    <t>2026-03-16 14:40:55.060</t>
  </si>
  <si>
    <t xml:space="preserve">MILOME80            </t>
  </si>
  <si>
    <t>2026-03-16 14:40:55.293</t>
  </si>
  <si>
    <t>2026-03-16 14:40:55.327</t>
  </si>
  <si>
    <t xml:space="preserve">MILOME70            </t>
  </si>
  <si>
    <t>2026-03-16 14:40:55.340</t>
  </si>
  <si>
    <t xml:space="preserve">MILOME10            </t>
  </si>
  <si>
    <t>2026-03-16 14:40:55.357</t>
  </si>
  <si>
    <t xml:space="preserve">MILOME40            </t>
  </si>
  <si>
    <t>2026-03-16 14:40:55.373</t>
  </si>
  <si>
    <t xml:space="preserve">MILOME50            </t>
  </si>
  <si>
    <t>2026-03-16 14:40:55.387</t>
  </si>
  <si>
    <t xml:space="preserve">MILOME60            </t>
  </si>
  <si>
    <t>2026-03-16 14:40:55.403</t>
  </si>
  <si>
    <t xml:space="preserve">MILOME20            </t>
  </si>
  <si>
    <t>2026-03-16 14:40:55.437</t>
  </si>
  <si>
    <t xml:space="preserve">MILOME30            </t>
  </si>
  <si>
    <t>2026-03-16 14:40:55.450</t>
  </si>
  <si>
    <t xml:space="preserve">MILOMN10            </t>
  </si>
  <si>
    <t>2026-03-16 14:40:55.683</t>
  </si>
  <si>
    <t xml:space="preserve">MILOMR10            </t>
  </si>
  <si>
    <t>2026-03-16 14:40:55.917</t>
  </si>
  <si>
    <t>2026-03-16 14:40:55.933</t>
  </si>
  <si>
    <t xml:space="preserve">MILOSW30            </t>
  </si>
  <si>
    <t>2026-03-16 14:40:56.167</t>
  </si>
  <si>
    <t xml:space="preserve">MILOSW60            </t>
  </si>
  <si>
    <t>2026-03-16 14:40:56.180</t>
  </si>
  <si>
    <t xml:space="preserve">MILOSW50            </t>
  </si>
  <si>
    <t>2026-03-16 14:40:56.197</t>
  </si>
  <si>
    <t xml:space="preserve">MILOSW21            </t>
  </si>
  <si>
    <t>2026-03-16 14:40:56.213</t>
  </si>
  <si>
    <t xml:space="preserve">MILOSW11            </t>
  </si>
  <si>
    <t>2026-03-16 14:40:56.227</t>
  </si>
  <si>
    <t xml:space="preserve">MILOSW20            </t>
  </si>
  <si>
    <t>2026-03-16 14:40:56.243</t>
  </si>
  <si>
    <t xml:space="preserve">MILOSW01            </t>
  </si>
  <si>
    <t>2026-03-16 14:40:56.260</t>
  </si>
  <si>
    <t xml:space="preserve">MILOSW40            </t>
  </si>
  <si>
    <t>2026-03-16 14:40:56.277</t>
  </si>
  <si>
    <t xml:space="preserve">MILOSW10            </t>
  </si>
  <si>
    <t>2026-03-16 14:40:56.290</t>
  </si>
  <si>
    <t xml:space="preserve">MILOTW11            </t>
  </si>
  <si>
    <t>2026-03-16 14:40:56.527</t>
  </si>
  <si>
    <t xml:space="preserve">MILOTW20            </t>
  </si>
  <si>
    <t>2026-03-16 14:40:56.540</t>
  </si>
  <si>
    <t xml:space="preserve">MINVSH10            </t>
  </si>
  <si>
    <t>2026-03-16 14:40:56.777</t>
  </si>
  <si>
    <t xml:space="preserve">MINVSH20            </t>
  </si>
  <si>
    <t>2026-03-16 14:40:56.790</t>
  </si>
  <si>
    <t xml:space="preserve">MINVSH30            </t>
  </si>
  <si>
    <t>2026-03-16 14:40:56.807</t>
  </si>
  <si>
    <t xml:space="preserve">MINVSH40            </t>
  </si>
  <si>
    <t>2026-03-16 14:40:56.823</t>
  </si>
  <si>
    <t xml:space="preserve">MINVSH50            </t>
  </si>
  <si>
    <t>2026-03-16 14:40:56.837</t>
  </si>
  <si>
    <t xml:space="preserve">MIPWSL10            </t>
  </si>
  <si>
    <t>2026-03-16 14:40:57.073</t>
  </si>
  <si>
    <t xml:space="preserve">MISCOR20            </t>
  </si>
  <si>
    <t>2026-03-16 14:40:57.307</t>
  </si>
  <si>
    <t xml:space="preserve">MISCOR30            </t>
  </si>
  <si>
    <t>2026-03-16 14:40:57.323</t>
  </si>
  <si>
    <t xml:space="preserve">MISCOR10            </t>
  </si>
  <si>
    <t>2026-03-16 14:40:57.337</t>
  </si>
  <si>
    <t xml:space="preserve">MISCOR70            </t>
  </si>
  <si>
    <t>2026-03-16 14:40:57.353</t>
  </si>
  <si>
    <t xml:space="preserve">MISCOR80            </t>
  </si>
  <si>
    <t>2026-03-16 14:40:57.370</t>
  </si>
  <si>
    <t xml:space="preserve">MISCOR40            </t>
  </si>
  <si>
    <t>2026-03-16 14:40:57.383</t>
  </si>
  <si>
    <t xml:space="preserve">MISCOR50            </t>
  </si>
  <si>
    <t>2026-03-16 14:40:57.400</t>
  </si>
  <si>
    <t xml:space="preserve">MISCOR60            </t>
  </si>
  <si>
    <t>2026-03-16 14:40:57.417</t>
  </si>
  <si>
    <t xml:space="preserve">MITAFO10            </t>
  </si>
  <si>
    <t>2026-03-16 14:40:57.667</t>
  </si>
  <si>
    <t xml:space="preserve">MITAFO30            </t>
  </si>
  <si>
    <t>2026-03-16 14:40:57.680</t>
  </si>
  <si>
    <t xml:space="preserve">MITAFW10            </t>
  </si>
  <si>
    <t>2026-03-16 14:40:57.917</t>
  </si>
  <si>
    <t xml:space="preserve">MITALG10            </t>
  </si>
  <si>
    <t>2026-03-16 14:40:58.153</t>
  </si>
  <si>
    <t xml:space="preserve">MITALO30            </t>
  </si>
  <si>
    <t>2026-03-16 14:40:58.387</t>
  </si>
  <si>
    <t>2026-03-16 14:40:58.653</t>
  </si>
  <si>
    <t xml:space="preserve">MITALO81            </t>
  </si>
  <si>
    <t>2026-03-16 14:40:58.667</t>
  </si>
  <si>
    <t>2026-03-16 14:40:58.883</t>
  </si>
  <si>
    <t>217</t>
  </si>
  <si>
    <t xml:space="preserve">MITALO50            </t>
  </si>
  <si>
    <t>2026-03-16 14:40:58.900</t>
  </si>
  <si>
    <t>2026-03-16 14:40:59.103</t>
  </si>
  <si>
    <t xml:space="preserve">MITALO60            </t>
  </si>
  <si>
    <t>2026-03-16 14:40:59.117</t>
  </si>
  <si>
    <t>2026-03-16 14:40:59.313</t>
  </si>
  <si>
    <t>196</t>
  </si>
  <si>
    <t xml:space="preserve">MITALO40            </t>
  </si>
  <si>
    <t>2026-03-16 14:40:59.330</t>
  </si>
  <si>
    <t>2026-03-16 14:40:59.597</t>
  </si>
  <si>
    <t xml:space="preserve">MITALO20            </t>
  </si>
  <si>
    <t>2026-03-16 14:40:59.610</t>
  </si>
  <si>
    <t>2026-03-16 14:40:59.923</t>
  </si>
  <si>
    <t xml:space="preserve">MITALO10            </t>
  </si>
  <si>
    <t>2026-03-16 14:40:59.940</t>
  </si>
  <si>
    <t>2026-03-16 14:41:00.170</t>
  </si>
  <si>
    <t>232</t>
  </si>
  <si>
    <t xml:space="preserve">FGLEDG21            </t>
  </si>
  <si>
    <t>2026-03-16 14:41:00.123</t>
  </si>
  <si>
    <t>2026-03-16 14:53:25.307</t>
  </si>
  <si>
    <t>745182</t>
  </si>
  <si>
    <t xml:space="preserve">FGLEDG22            </t>
  </si>
  <si>
    <t xml:space="preserve">FGLEDG23            </t>
  </si>
  <si>
    <t xml:space="preserve">FGLEDG24            </t>
  </si>
  <si>
    <t>2026-03-16 14:53:24.650</t>
  </si>
  <si>
    <t>744526</t>
  </si>
  <si>
    <t xml:space="preserve">MITALO70            </t>
  </si>
  <si>
    <t>2026-03-16 14:41:00.187</t>
  </si>
  <si>
    <t>2026-03-16 14:41:00.443</t>
  </si>
  <si>
    <t>256</t>
  </si>
  <si>
    <t xml:space="preserve">MITALO80            </t>
  </si>
  <si>
    <t>2026-03-16 14:41:00.457</t>
  </si>
  <si>
    <t>2026-03-16 14:41:00.693</t>
  </si>
  <si>
    <t>235</t>
  </si>
  <si>
    <t xml:space="preserve">MITALO90            </t>
  </si>
  <si>
    <t>2026-03-16 14:41:00.707</t>
  </si>
  <si>
    <t>2026-03-16 14:41:00.927</t>
  </si>
  <si>
    <t xml:space="preserve">MITALT30            </t>
  </si>
  <si>
    <t>2026-03-16 14:41:01.160</t>
  </si>
  <si>
    <t xml:space="preserve">MITALT01            </t>
  </si>
  <si>
    <t>2026-03-16 14:41:01.177</t>
  </si>
  <si>
    <t xml:space="preserve">MITALT50            </t>
  </si>
  <si>
    <t>2026-03-16 14:41:01.193</t>
  </si>
  <si>
    <t xml:space="preserve">MITALT10            </t>
  </si>
  <si>
    <t>2026-03-16 14:41:01.207</t>
  </si>
  <si>
    <t xml:space="preserve">MITALT20            </t>
  </si>
  <si>
    <t>2026-03-16 14:41:01.223</t>
  </si>
  <si>
    <t xml:space="preserve">MITALT40            </t>
  </si>
  <si>
    <t>2026-03-16 14:41:01.237</t>
  </si>
  <si>
    <t xml:space="preserve">MITARE10            </t>
  </si>
  <si>
    <t>2026-03-16 14:41:01.473</t>
  </si>
  <si>
    <t xml:space="preserve">MITASO10            </t>
  </si>
  <si>
    <t>2026-03-16 14:41:01.707</t>
  </si>
  <si>
    <t xml:space="preserve">MITATO10            </t>
  </si>
  <si>
    <t>2026-03-16 14:41:01.957</t>
  </si>
  <si>
    <t>2026-03-16 14:41:01.973</t>
  </si>
  <si>
    <t xml:space="preserve">MITATY10            </t>
  </si>
  <si>
    <t>2026-03-16 14:41:02.213</t>
  </si>
  <si>
    <t xml:space="preserve">MITAUN40            </t>
  </si>
  <si>
    <t>2026-03-16 14:41:02.447</t>
  </si>
  <si>
    <t xml:space="preserve">MITAUN11            </t>
  </si>
  <si>
    <t>2026-03-16 14:41:02.463</t>
  </si>
  <si>
    <t xml:space="preserve">MITAUN21            </t>
  </si>
  <si>
    <t>2026-03-16 14:41:02.480</t>
  </si>
  <si>
    <t xml:space="preserve">MITAUN22            </t>
  </si>
  <si>
    <t>2026-03-16 14:41:02.497</t>
  </si>
  <si>
    <t xml:space="preserve">MITAUN23            </t>
  </si>
  <si>
    <t>2026-03-16 14:41:02.510</t>
  </si>
  <si>
    <t xml:space="preserve">MITAUN24            </t>
  </si>
  <si>
    <t>2026-03-16 14:41:02.527</t>
  </si>
  <si>
    <t xml:space="preserve">MITAUN25            </t>
  </si>
  <si>
    <t>2026-03-16 14:41:02.543</t>
  </si>
  <si>
    <t xml:space="preserve">MITAUN26            </t>
  </si>
  <si>
    <t>2026-03-16 14:41:02.557</t>
  </si>
  <si>
    <t xml:space="preserve">MITAUN29            </t>
  </si>
  <si>
    <t>2026-03-16 14:41:02.573</t>
  </si>
  <si>
    <t xml:space="preserve">MITAUN30            </t>
  </si>
  <si>
    <t>2026-03-16 14:41:02.590</t>
  </si>
  <si>
    <t xml:space="preserve">MITAUN10            </t>
  </si>
  <si>
    <t>2026-03-16 14:41:02.613</t>
  </si>
  <si>
    <t xml:space="preserve">MITBAC10            </t>
  </si>
  <si>
    <t>2026-03-16 14:41:02.847</t>
  </si>
  <si>
    <t xml:space="preserve">MITBAL61            </t>
  </si>
  <si>
    <t>2026-03-16 14:41:03.083</t>
  </si>
  <si>
    <t xml:space="preserve">MITBAL11            </t>
  </si>
  <si>
    <t>2026-03-16 14:41:03.097</t>
  </si>
  <si>
    <t>2026-03-16 14:41:03.113</t>
  </si>
  <si>
    <t xml:space="preserve">MITBAL20            </t>
  </si>
  <si>
    <t>2026-03-16 14:41:03.130</t>
  </si>
  <si>
    <t xml:space="preserve">MITBAL50            </t>
  </si>
  <si>
    <t>2026-03-16 14:41:03.143</t>
  </si>
  <si>
    <t xml:space="preserve">MITBAL60            </t>
  </si>
  <si>
    <t>2026-03-16 14:41:03.160</t>
  </si>
  <si>
    <t>2026-03-16 14:41:03.190</t>
  </si>
  <si>
    <t xml:space="preserve">MITBAL70            </t>
  </si>
  <si>
    <t>2026-03-16 14:41:03.223</t>
  </si>
  <si>
    <t xml:space="preserve">MITBAL30            </t>
  </si>
  <si>
    <t>2026-03-16 14:41:03.237</t>
  </si>
  <si>
    <t xml:space="preserve">MITBAL40            </t>
  </si>
  <si>
    <t>2026-03-16 14:41:03.253</t>
  </si>
  <si>
    <t xml:space="preserve">MITBAL10            </t>
  </si>
  <si>
    <t>2026-03-16 14:41:03.270</t>
  </si>
  <si>
    <t>2026-03-16 14:41:03.287</t>
  </si>
  <si>
    <t xml:space="preserve">MITBAM20            </t>
  </si>
  <si>
    <t>2026-03-16 14:41:03.520</t>
  </si>
  <si>
    <t>2026-03-16 14:41:03.537</t>
  </si>
  <si>
    <t xml:space="preserve">MITBAM10            </t>
  </si>
  <si>
    <t>2026-03-16 14:41:03.550</t>
  </si>
  <si>
    <t>2026-03-16 14:41:03.567</t>
  </si>
  <si>
    <t xml:space="preserve">MITBIL01            </t>
  </si>
  <si>
    <t>2026-03-16 14:41:03.800</t>
  </si>
  <si>
    <t xml:space="preserve">MITBIL10            </t>
  </si>
  <si>
    <t>2026-03-16 14:41:03.817</t>
  </si>
  <si>
    <t xml:space="preserve">MITBIL20            </t>
  </si>
  <si>
    <t>2026-03-16 14:41:03.833</t>
  </si>
  <si>
    <t xml:space="preserve">MITBIL30            </t>
  </si>
  <si>
    <t>2026-03-16 14:41:03.847</t>
  </si>
  <si>
    <t xml:space="preserve">MITBLA30            </t>
  </si>
  <si>
    <t>2026-03-16 14:41:04.097</t>
  </si>
  <si>
    <t xml:space="preserve">MITBLA40            </t>
  </si>
  <si>
    <t>2026-03-16 14:41:04.113</t>
  </si>
  <si>
    <t xml:space="preserve">MITBLA10            </t>
  </si>
  <si>
    <t>2026-03-16 14:41:04.130</t>
  </si>
  <si>
    <t xml:space="preserve">MITBLA20            </t>
  </si>
  <si>
    <t>2026-03-16 14:41:04.143</t>
  </si>
  <si>
    <t xml:space="preserve">MITCAT10            </t>
  </si>
  <si>
    <t>2026-03-16 14:41:04.380</t>
  </si>
  <si>
    <t xml:space="preserve">MITCCD10            </t>
  </si>
  <si>
    <t>2026-03-16 14:41:04.613</t>
  </si>
  <si>
    <t xml:space="preserve">MITCCD20            </t>
  </si>
  <si>
    <t>2026-03-16 14:41:04.630</t>
  </si>
  <si>
    <t xml:space="preserve">MITCCD40            </t>
  </si>
  <si>
    <t>2026-03-16 14:41:04.643</t>
  </si>
  <si>
    <t xml:space="preserve">MITCCL10            </t>
  </si>
  <si>
    <t>2026-03-16 14:41:04.877</t>
  </si>
  <si>
    <t>2026-03-16 14:41:04.910</t>
  </si>
  <si>
    <t xml:space="preserve">MITCCL20            </t>
  </si>
  <si>
    <t>2026-03-16 14:41:04.923</t>
  </si>
  <si>
    <t xml:space="preserve">MITCEN48            </t>
  </si>
  <si>
    <t>2026-03-16 14:41:05.160</t>
  </si>
  <si>
    <t xml:space="preserve">MITCEN50            </t>
  </si>
  <si>
    <t>2026-03-16 14:41:05.173</t>
  </si>
  <si>
    <t xml:space="preserve">MITCEN55            </t>
  </si>
  <si>
    <t>2026-03-16 14:41:05.190</t>
  </si>
  <si>
    <t xml:space="preserve">MITCEN10            </t>
  </si>
  <si>
    <t>2026-03-16 14:41:05.207</t>
  </si>
  <si>
    <t xml:space="preserve">MITCEN15            </t>
  </si>
  <si>
    <t>2026-03-16 14:41:05.220</t>
  </si>
  <si>
    <t xml:space="preserve">MITCEN40            </t>
  </si>
  <si>
    <t>2026-03-16 14:41:05.237</t>
  </si>
  <si>
    <t>2026-03-16 14:41:05.253</t>
  </si>
  <si>
    <t xml:space="preserve">MITCEN45            </t>
  </si>
  <si>
    <t>2026-03-16 14:41:05.267</t>
  </si>
  <si>
    <t xml:space="preserve">MITCEN44            </t>
  </si>
  <si>
    <t>2026-03-16 14:41:05.283</t>
  </si>
  <si>
    <t xml:space="preserve">MITCEN47            </t>
  </si>
  <si>
    <t>2026-03-16 14:41:05.300</t>
  </si>
  <si>
    <t xml:space="preserve">MITCEN20            </t>
  </si>
  <si>
    <t>2026-03-16 14:41:05.317</t>
  </si>
  <si>
    <t xml:space="preserve">MITCEN25            </t>
  </si>
  <si>
    <t>2026-03-16 14:41:05.330</t>
  </si>
  <si>
    <t xml:space="preserve">MITCEN30            </t>
  </si>
  <si>
    <t>2026-03-16 14:41:05.347</t>
  </si>
  <si>
    <t xml:space="preserve">MITCEN35            </t>
  </si>
  <si>
    <t>2026-03-16 14:41:05.363</t>
  </si>
  <si>
    <t xml:space="preserve">MITCEN80            </t>
  </si>
  <si>
    <t>2026-03-16 14:41:05.377</t>
  </si>
  <si>
    <t xml:space="preserve">MITCEN60            </t>
  </si>
  <si>
    <t>2026-03-16 14:41:05.393</t>
  </si>
  <si>
    <t xml:space="preserve">MITCEN70            </t>
  </si>
  <si>
    <t>2026-03-16 14:41:05.410</t>
  </si>
  <si>
    <t xml:space="preserve">MITCEN46            </t>
  </si>
  <si>
    <t>2026-03-16 14:41:05.423</t>
  </si>
  <si>
    <t xml:space="preserve">MITCEN75            </t>
  </si>
  <si>
    <t>2026-03-16 14:41:05.440</t>
  </si>
  <si>
    <t xml:space="preserve">MITCOD10            </t>
  </si>
  <si>
    <t>2026-03-16 14:41:05.667</t>
  </si>
  <si>
    <t>2026-03-16 14:41:05.683</t>
  </si>
  <si>
    <t xml:space="preserve">MITCOD20            </t>
  </si>
  <si>
    <t>2026-03-16 14:41:05.700</t>
  </si>
  <si>
    <t xml:space="preserve">MITCSE10            </t>
  </si>
  <si>
    <t>2026-03-16 14:41:05.933</t>
  </si>
  <si>
    <t xml:space="preserve">MITCUH10            </t>
  </si>
  <si>
    <t>2026-03-16 14:41:06.167</t>
  </si>
  <si>
    <t xml:space="preserve">MITCUM10            </t>
  </si>
  <si>
    <t>2026-03-16 14:41:06.403</t>
  </si>
  <si>
    <t xml:space="preserve">MITCUM20            </t>
  </si>
  <si>
    <t>2026-03-16 14:41:06.417</t>
  </si>
  <si>
    <t xml:space="preserve">MITDAH10            </t>
  </si>
  <si>
    <t>2026-03-16 14:41:06.653</t>
  </si>
  <si>
    <t xml:space="preserve">MITDAY10            </t>
  </si>
  <si>
    <t>2026-03-16 14:41:06.887</t>
  </si>
  <si>
    <t xml:space="preserve">MITDES20            </t>
  </si>
  <si>
    <t>2026-03-16 14:41:07.120</t>
  </si>
  <si>
    <t xml:space="preserve">MITDES10            </t>
  </si>
  <si>
    <t>2026-03-16 14:41:07.137</t>
  </si>
  <si>
    <t xml:space="preserve">MITDPR30            </t>
  </si>
  <si>
    <t>2026-03-16 14:41:07.377</t>
  </si>
  <si>
    <t xml:space="preserve">MITDPR20            </t>
  </si>
  <si>
    <t>2026-03-16 14:41:07.390</t>
  </si>
  <si>
    <t xml:space="preserve">MITDPR10            </t>
  </si>
  <si>
    <t>2026-03-16 14:41:07.407</t>
  </si>
  <si>
    <t xml:space="preserve">MITETR10            </t>
  </si>
  <si>
    <t>2026-03-16 14:41:07.640</t>
  </si>
  <si>
    <t>2026-03-16 14:41:07.657</t>
  </si>
  <si>
    <t xml:space="preserve">MITETR20            </t>
  </si>
  <si>
    <t>2026-03-16 14:41:07.673</t>
  </si>
  <si>
    <t xml:space="preserve">MITEXO10            </t>
  </si>
  <si>
    <t>2026-03-16 14:41:07.907</t>
  </si>
  <si>
    <t xml:space="preserve">MITEXO20            </t>
  </si>
  <si>
    <t>2026-03-16 14:41:07.923</t>
  </si>
  <si>
    <t xml:space="preserve">MITFAC11            </t>
  </si>
  <si>
    <t>2026-03-16 14:41:08.157</t>
  </si>
  <si>
    <t>2026-03-16 14:41:08.360</t>
  </si>
  <si>
    <t xml:space="preserve">MITFAC20            </t>
  </si>
  <si>
    <t>2026-03-16 14:41:08.377</t>
  </si>
  <si>
    <t>2026-03-16 14:41:08.517</t>
  </si>
  <si>
    <t xml:space="preserve">MITFAC10            </t>
  </si>
  <si>
    <t>2026-03-16 14:41:08.533</t>
  </si>
  <si>
    <t>2026-03-16 14:41:08.767</t>
  </si>
  <si>
    <t xml:space="preserve">MITFAG10            </t>
  </si>
  <si>
    <t>2026-03-16 14:41:09.010</t>
  </si>
  <si>
    <t xml:space="preserve">MITFAM10            </t>
  </si>
  <si>
    <t>2026-03-16 14:41:09.243</t>
  </si>
  <si>
    <t xml:space="preserve">MITFFO10            </t>
  </si>
  <si>
    <t>2026-03-16 14:41:09.477</t>
  </si>
  <si>
    <t xml:space="preserve">MITFIR10            </t>
  </si>
  <si>
    <t>2026-03-16 14:41:09.713</t>
  </si>
  <si>
    <t xml:space="preserve">MITFPD20            </t>
  </si>
  <si>
    <t>2026-03-16 14:41:09.947</t>
  </si>
  <si>
    <t xml:space="preserve">MITFPD10            </t>
  </si>
  <si>
    <t>2026-03-16 14:41:09.963</t>
  </si>
  <si>
    <t xml:space="preserve">MITFPL10            </t>
  </si>
  <si>
    <t>2026-03-16 14:41:10.187</t>
  </si>
  <si>
    <t xml:space="preserve">MITFPL20            </t>
  </si>
  <si>
    <t>2026-03-16 14:41:10.203</t>
  </si>
  <si>
    <t xml:space="preserve">MITHAZ10            </t>
  </si>
  <si>
    <t>2026-03-16 14:41:10.437</t>
  </si>
  <si>
    <t xml:space="preserve">MITHRY20            </t>
  </si>
  <si>
    <t>2026-03-16 14:41:10.670</t>
  </si>
  <si>
    <t xml:space="preserve">MITHRY30            </t>
  </si>
  <si>
    <t>2026-03-16 14:41:10.687</t>
  </si>
  <si>
    <t xml:space="preserve">MITHRY10            </t>
  </si>
  <si>
    <t>2026-03-16 14:41:10.703</t>
  </si>
  <si>
    <t xml:space="preserve">MITILS10            </t>
  </si>
  <si>
    <t>2026-03-16 14:41:10.937</t>
  </si>
  <si>
    <t xml:space="preserve">MITILS20            </t>
  </si>
  <si>
    <t>2026-03-16 14:41:10.953</t>
  </si>
  <si>
    <t xml:space="preserve">MITILS01            </t>
  </si>
  <si>
    <t>2026-03-16 14:41:10.967</t>
  </si>
  <si>
    <t xml:space="preserve">MITITP10            </t>
  </si>
  <si>
    <t>2026-03-16 14:41:11.203</t>
  </si>
  <si>
    <t xml:space="preserve">MITITR10            </t>
  </si>
  <si>
    <t>2026-03-16 14:41:11.430</t>
  </si>
  <si>
    <t>2026-03-16 14:41:11.447</t>
  </si>
  <si>
    <t xml:space="preserve">MITITR20            </t>
  </si>
  <si>
    <t>2026-03-16 14:41:11.460</t>
  </si>
  <si>
    <t xml:space="preserve">MITLAD20            </t>
  </si>
  <si>
    <t>2026-03-16 14:41:11.697</t>
  </si>
  <si>
    <t xml:space="preserve">MITLAD10            </t>
  </si>
  <si>
    <t>2026-03-16 14:41:11.710</t>
  </si>
  <si>
    <t xml:space="preserve">MITLOC51            </t>
  </si>
  <si>
    <t>2026-03-16 14:41:11.947</t>
  </si>
  <si>
    <t xml:space="preserve">MITLOC65            </t>
  </si>
  <si>
    <t>2026-03-16 14:41:11.960</t>
  </si>
  <si>
    <t xml:space="preserve">MITLOC75            </t>
  </si>
  <si>
    <t>2026-03-16 14:41:11.977</t>
  </si>
  <si>
    <t xml:space="preserve">MITLOC11            </t>
  </si>
  <si>
    <t>2026-03-16 14:41:11.993</t>
  </si>
  <si>
    <t xml:space="preserve">MITLOC30            </t>
  </si>
  <si>
    <t>2026-03-16 14:41:12.007</t>
  </si>
  <si>
    <t xml:space="preserve">MITLOC20            </t>
  </si>
  <si>
    <t>2026-03-16 14:41:12.023</t>
  </si>
  <si>
    <t xml:space="preserve">MITLOC25            </t>
  </si>
  <si>
    <t>2026-03-16 14:41:12.040</t>
  </si>
  <si>
    <t xml:space="preserve">MITLOC60            </t>
  </si>
  <si>
    <t>2026-03-16 14:41:12.057</t>
  </si>
  <si>
    <t xml:space="preserve">MITLOC35            </t>
  </si>
  <si>
    <t>2026-03-16 14:41:12.070</t>
  </si>
  <si>
    <t>2026-03-16 14:41:12.087</t>
  </si>
  <si>
    <t xml:space="preserve">MITLOC36            </t>
  </si>
  <si>
    <t>2026-03-16 14:41:12.103</t>
  </si>
  <si>
    <t xml:space="preserve">MITLOC37            </t>
  </si>
  <si>
    <t>2026-03-16 14:41:12.117</t>
  </si>
  <si>
    <t xml:space="preserve">MITLOC38            </t>
  </si>
  <si>
    <t>2026-03-16 14:41:12.133</t>
  </si>
  <si>
    <t xml:space="preserve">MITLOC05            </t>
  </si>
  <si>
    <t>2026-03-16 14:41:12.150</t>
  </si>
  <si>
    <t xml:space="preserve">MITLOC40            </t>
  </si>
  <si>
    <t>2026-03-16 14:41:12.163</t>
  </si>
  <si>
    <t xml:space="preserve">MITLOC41            </t>
  </si>
  <si>
    <t>2026-03-16 14:41:12.180</t>
  </si>
  <si>
    <t xml:space="preserve">MITLOC10            </t>
  </si>
  <si>
    <t>2026-03-16 14:41:12.197</t>
  </si>
  <si>
    <t xml:space="preserve">MITLOC15            </t>
  </si>
  <si>
    <t>2026-03-16 14:41:12.210</t>
  </si>
  <si>
    <t xml:space="preserve">MITLOC61            </t>
  </si>
  <si>
    <t>2026-03-16 14:41:12.227</t>
  </si>
  <si>
    <t xml:space="preserve">MITLOC80            </t>
  </si>
  <si>
    <t>2026-03-16 14:41:12.243</t>
  </si>
  <si>
    <t xml:space="preserve">MITLOC98            </t>
  </si>
  <si>
    <t>2026-03-16 14:41:12.257</t>
  </si>
  <si>
    <t xml:space="preserve">MITLOC99            </t>
  </si>
  <si>
    <t>2026-03-16 14:41:12.273</t>
  </si>
  <si>
    <t xml:space="preserve">MITLOC71            </t>
  </si>
  <si>
    <t>2026-03-16 14:41:12.290</t>
  </si>
  <si>
    <t xml:space="preserve">MITLOW10            </t>
  </si>
  <si>
    <t>2026-03-16 14:41:12.523</t>
  </si>
  <si>
    <t>2026-03-16 14:41:12.540</t>
  </si>
  <si>
    <t xml:space="preserve">MITLOW20            </t>
  </si>
  <si>
    <t>2026-03-16 14:41:12.557</t>
  </si>
  <si>
    <t xml:space="preserve">MITLOW30            </t>
  </si>
  <si>
    <t>2026-03-16 14:41:12.563</t>
  </si>
  <si>
    <t xml:space="preserve">MITLOW40            </t>
  </si>
  <si>
    <t>2026-03-16 14:41:12.577</t>
  </si>
  <si>
    <t xml:space="preserve">MITMAH40            </t>
  </si>
  <si>
    <t>2026-03-16 14:41:12.813</t>
  </si>
  <si>
    <t xml:space="preserve">MITMAH41            </t>
  </si>
  <si>
    <t>2026-03-16 14:41:12.827</t>
  </si>
  <si>
    <t xml:space="preserve">MITMAH53            </t>
  </si>
  <si>
    <t>2026-03-16 14:41:12.843</t>
  </si>
  <si>
    <t xml:space="preserve">MITMAH54            </t>
  </si>
  <si>
    <t>2026-03-16 14:41:12.860</t>
  </si>
  <si>
    <t xml:space="preserve">MITMAH20            </t>
  </si>
  <si>
    <t>2026-03-16 14:41:12.877</t>
  </si>
  <si>
    <t xml:space="preserve">MITMAH50            </t>
  </si>
  <si>
    <t>2026-03-16 14:41:12.890</t>
  </si>
  <si>
    <t xml:space="preserve">MITMAH51            </t>
  </si>
  <si>
    <t>2026-03-16 14:41:12.907</t>
  </si>
  <si>
    <t xml:space="preserve">MITMAH52            </t>
  </si>
  <si>
    <t>2026-03-16 14:41:12.920</t>
  </si>
  <si>
    <t xml:space="preserve">MITMAH30            </t>
  </si>
  <si>
    <t>2026-03-16 14:41:12.937</t>
  </si>
  <si>
    <t xml:space="preserve">MITMAH31            </t>
  </si>
  <si>
    <t>2026-03-16 14:41:12.953</t>
  </si>
  <si>
    <t xml:space="preserve">MITMAH32            </t>
  </si>
  <si>
    <t>2026-03-16 14:41:12.967</t>
  </si>
  <si>
    <t>2026-03-16 14:41:12.983</t>
  </si>
  <si>
    <t xml:space="preserve">MITMAH60            </t>
  </si>
  <si>
    <t>2026-03-16 14:41:13.000</t>
  </si>
  <si>
    <t xml:space="preserve">MITMAH55            </t>
  </si>
  <si>
    <t>2026-03-16 14:41:13.017</t>
  </si>
  <si>
    <t xml:space="preserve">MITMAH10            </t>
  </si>
  <si>
    <t>2026-03-16 14:41:13.030</t>
  </si>
  <si>
    <t xml:space="preserve">MITMAS10            </t>
  </si>
  <si>
    <t>2026-03-16 14:41:13.267</t>
  </si>
  <si>
    <t>2026-03-16 14:41:13.377</t>
  </si>
  <si>
    <t xml:space="preserve">MITMAS15            </t>
  </si>
  <si>
    <t>2026-03-16 14:41:13.390</t>
  </si>
  <si>
    <t>2026-03-16 14:41:13.453</t>
  </si>
  <si>
    <t xml:space="preserve">MITMAS30            </t>
  </si>
  <si>
    <t>2026-03-16 14:41:13.467</t>
  </si>
  <si>
    <t>2026-03-16 14:41:13.513</t>
  </si>
  <si>
    <t xml:space="preserve">MITMAS11            </t>
  </si>
  <si>
    <t>2026-03-16 14:41:13.530</t>
  </si>
  <si>
    <t>2026-03-16 14:41:13.593</t>
  </si>
  <si>
    <t xml:space="preserve">MITMAS02            </t>
  </si>
  <si>
    <t>2026-03-16 14:41:13.607</t>
  </si>
  <si>
    <t>2026-03-16 14:41:13.657</t>
  </si>
  <si>
    <t xml:space="preserve">MITMAS21            </t>
  </si>
  <si>
    <t>2026-03-16 14:41:13.670</t>
  </si>
  <si>
    <t>2026-03-16 14:41:13.717</t>
  </si>
  <si>
    <t xml:space="preserve">MITMAS40            </t>
  </si>
  <si>
    <t>2026-03-16 14:41:13.733</t>
  </si>
  <si>
    <t>2026-03-16 14:41:13.797</t>
  </si>
  <si>
    <t xml:space="preserve">MITMAS01            </t>
  </si>
  <si>
    <t>2026-03-16 14:41:13.810</t>
  </si>
  <si>
    <t>2026-03-16 14:41:13.873</t>
  </si>
  <si>
    <t xml:space="preserve">MITMAS60            </t>
  </si>
  <si>
    <t>2026-03-16 14:41:13.890</t>
  </si>
  <si>
    <t>2026-03-16 14:41:13.937</t>
  </si>
  <si>
    <t xml:space="preserve">MITMAS90            </t>
  </si>
  <si>
    <t>2026-03-16 14:41:13.950</t>
  </si>
  <si>
    <t>2026-03-16 14:41:14.030</t>
  </si>
  <si>
    <t>79</t>
  </si>
  <si>
    <t xml:space="preserve">MITMAS50            </t>
  </si>
  <si>
    <t>2026-03-16 14:41:14.047</t>
  </si>
  <si>
    <t>2026-03-16 14:41:14.093</t>
  </si>
  <si>
    <t xml:space="preserve">MITMAS80            </t>
  </si>
  <si>
    <t>2026-03-16 14:41:14.107</t>
  </si>
  <si>
    <t>2026-03-16 14:41:14.200</t>
  </si>
  <si>
    <t xml:space="preserve">MITMAS70            </t>
  </si>
  <si>
    <t>2026-03-16 14:41:14.217</t>
  </si>
  <si>
    <t>2026-03-16 14:41:14.263</t>
  </si>
  <si>
    <t xml:space="preserve">MITMAS20            </t>
  </si>
  <si>
    <t>2026-03-16 14:41:14.280</t>
  </si>
  <si>
    <t>2026-03-16 14:41:14.343</t>
  </si>
  <si>
    <t xml:space="preserve">MITMCV10            </t>
  </si>
  <si>
    <t>2026-03-16 14:41:14.577</t>
  </si>
  <si>
    <t xml:space="preserve">MITMDS10            </t>
  </si>
  <si>
    <t>2026-03-16 14:41:14.810</t>
  </si>
  <si>
    <t xml:space="preserve">MITMDS20            </t>
  </si>
  <si>
    <t>2026-03-16 14:41:14.827</t>
  </si>
  <si>
    <t xml:space="preserve">MITNUM10            </t>
  </si>
  <si>
    <t>2026-03-16 14:41:15.060</t>
  </si>
  <si>
    <t xml:space="preserve">MITOCC10            </t>
  </si>
  <si>
    <t>2026-03-16 14:41:15.297</t>
  </si>
  <si>
    <t xml:space="preserve">MITPAC20            </t>
  </si>
  <si>
    <t>2026-03-16 14:41:15.530</t>
  </si>
  <si>
    <t xml:space="preserve">MITPAC30            </t>
  </si>
  <si>
    <t>2026-03-16 14:41:15.547</t>
  </si>
  <si>
    <t>2026-03-16 14:41:15.560</t>
  </si>
  <si>
    <t xml:space="preserve">MITPAC40            </t>
  </si>
  <si>
    <t>2026-03-16 14:41:15.577</t>
  </si>
  <si>
    <t xml:space="preserve">MITPAC10            </t>
  </si>
  <si>
    <t>2026-03-16 14:41:15.593</t>
  </si>
  <si>
    <t xml:space="preserve">MITPAK10            </t>
  </si>
  <si>
    <t>2026-03-16 14:41:15.827</t>
  </si>
  <si>
    <t xml:space="preserve">MITPCC10            </t>
  </si>
  <si>
    <t>2026-03-16 14:41:16.077</t>
  </si>
  <si>
    <t>2026-03-16 14:41:16.090</t>
  </si>
  <si>
    <t xml:space="preserve">MITPCE70            </t>
  </si>
  <si>
    <t>2026-03-16 14:41:16.327</t>
  </si>
  <si>
    <t xml:space="preserve">MITPCE80            </t>
  </si>
  <si>
    <t>2026-03-16 14:41:16.340</t>
  </si>
  <si>
    <t>2026-03-16 14:41:16.357</t>
  </si>
  <si>
    <t xml:space="preserve">MITPCE50            </t>
  </si>
  <si>
    <t>2026-03-16 14:41:16.373</t>
  </si>
  <si>
    <t xml:space="preserve">MITPCE10            </t>
  </si>
  <si>
    <t>2026-03-16 14:41:16.387</t>
  </si>
  <si>
    <t xml:space="preserve">MITPCE30            </t>
  </si>
  <si>
    <t>2026-03-16 14:41:16.403</t>
  </si>
  <si>
    <t xml:space="preserve">MITPCE41            </t>
  </si>
  <si>
    <t>2026-03-16 14:41:16.420</t>
  </si>
  <si>
    <t>2026-03-16 14:41:16.433</t>
  </si>
  <si>
    <t xml:space="preserve">MITPCE20            </t>
  </si>
  <si>
    <t>2026-03-16 14:41:16.450</t>
  </si>
  <si>
    <t xml:space="preserve">MITPCE11            </t>
  </si>
  <si>
    <t>2026-03-16 14:41:16.467</t>
  </si>
  <si>
    <t xml:space="preserve">MITPCE40            </t>
  </si>
  <si>
    <t>2026-03-16 14:41:16.480</t>
  </si>
  <si>
    <t xml:space="preserve">MITPCL20            </t>
  </si>
  <si>
    <t>2026-03-16 14:41:16.717</t>
  </si>
  <si>
    <t xml:space="preserve">MITPCL10            </t>
  </si>
  <si>
    <t>2026-03-16 14:41:16.730</t>
  </si>
  <si>
    <t xml:space="preserve">MITPHR10            </t>
  </si>
  <si>
    <t>2026-03-16 14:41:16.967</t>
  </si>
  <si>
    <t xml:space="preserve">MITPHR20            </t>
  </si>
  <si>
    <t>2026-03-16 14:41:16.980</t>
  </si>
  <si>
    <t xml:space="preserve">MITPHY10            </t>
  </si>
  <si>
    <t>2026-03-16 14:41:17.217</t>
  </si>
  <si>
    <t xml:space="preserve">MITPIC20            </t>
  </si>
  <si>
    <t>2026-03-16 14:41:17.450</t>
  </si>
  <si>
    <t xml:space="preserve">MITPIC30            </t>
  </si>
  <si>
    <t>2026-03-16 14:41:17.467</t>
  </si>
  <si>
    <t xml:space="preserve">MITPIC10            </t>
  </si>
  <si>
    <t>2026-03-16 14:41:17.480</t>
  </si>
  <si>
    <t xml:space="preserve">MITPLG20            </t>
  </si>
  <si>
    <t>2026-03-16 14:41:17.717</t>
  </si>
  <si>
    <t xml:space="preserve">MITPLG10            </t>
  </si>
  <si>
    <t>2026-03-16 14:41:17.730</t>
  </si>
  <si>
    <t xml:space="preserve">MITPLO70            </t>
  </si>
  <si>
    <t>2026-03-16 14:41:17.967</t>
  </si>
  <si>
    <t xml:space="preserve">MITPLO75            </t>
  </si>
  <si>
    <t>2026-03-16 14:41:17.980</t>
  </si>
  <si>
    <t xml:space="preserve">MITPLO01            </t>
  </si>
  <si>
    <t>2026-03-16 14:41:17.997</t>
  </si>
  <si>
    <t xml:space="preserve">MITPLO50            </t>
  </si>
  <si>
    <t>2026-03-16 14:41:18.013</t>
  </si>
  <si>
    <t xml:space="preserve">MITPLO80            </t>
  </si>
  <si>
    <t>2026-03-16 14:41:18.027</t>
  </si>
  <si>
    <t xml:space="preserve">MITPLO90            </t>
  </si>
  <si>
    <t>2026-03-16 14:41:18.043</t>
  </si>
  <si>
    <t xml:space="preserve">MITPLO10            </t>
  </si>
  <si>
    <t>2026-03-16 14:41:18.060</t>
  </si>
  <si>
    <t xml:space="preserve">MITPLO20            </t>
  </si>
  <si>
    <t>2026-03-16 14:41:18.077</t>
  </si>
  <si>
    <t xml:space="preserve">MITPLO30            </t>
  </si>
  <si>
    <t>2026-03-16 14:41:18.090</t>
  </si>
  <si>
    <t xml:space="preserve">MITPLO40            </t>
  </si>
  <si>
    <t>2026-03-16 14:41:18.107</t>
  </si>
  <si>
    <t xml:space="preserve">MITPLO60            </t>
  </si>
  <si>
    <t>2026-03-16 14:41:18.123</t>
  </si>
  <si>
    <t xml:space="preserve">MITPLS10            </t>
  </si>
  <si>
    <t>2026-03-16 14:41:18.380</t>
  </si>
  <si>
    <t xml:space="preserve">MITPOP56            </t>
  </si>
  <si>
    <t>2026-03-16 14:41:18.613</t>
  </si>
  <si>
    <t xml:space="preserve">MITPOP90            </t>
  </si>
  <si>
    <t>2026-03-16 14:41:18.630</t>
  </si>
  <si>
    <t xml:space="preserve">MITPOP80            </t>
  </si>
  <si>
    <t>2026-03-16 14:41:18.643</t>
  </si>
  <si>
    <t xml:space="preserve">MITPOP60            </t>
  </si>
  <si>
    <t>2026-03-16 14:41:18.660</t>
  </si>
  <si>
    <t xml:space="preserve">MITPOP70            </t>
  </si>
  <si>
    <t>2026-03-16 14:41:18.677</t>
  </si>
  <si>
    <t xml:space="preserve">MITPOP10            </t>
  </si>
  <si>
    <t>2026-03-16 14:41:18.690</t>
  </si>
  <si>
    <t xml:space="preserve">MITPOP20            </t>
  </si>
  <si>
    <t>2026-03-16 14:41:18.707</t>
  </si>
  <si>
    <t xml:space="preserve">MITPOP30            </t>
  </si>
  <si>
    <t>2026-03-16 14:41:18.723</t>
  </si>
  <si>
    <t xml:space="preserve">MITPOP40            </t>
  </si>
  <si>
    <t>2026-03-16 14:41:18.737</t>
  </si>
  <si>
    <t xml:space="preserve">MITPOP50            </t>
  </si>
  <si>
    <t>2026-03-16 14:41:18.753</t>
  </si>
  <si>
    <t xml:space="preserve">MITPOP55            </t>
  </si>
  <si>
    <t>2026-03-16 14:41:18.770</t>
  </si>
  <si>
    <t xml:space="preserve">MITPRN30            </t>
  </si>
  <si>
    <t>2026-03-16 14:41:19.003</t>
  </si>
  <si>
    <t xml:space="preserve">MITPRN40            </t>
  </si>
  <si>
    <t>2026-03-16 14:41:19.020</t>
  </si>
  <si>
    <t xml:space="preserve">MITPRN50            </t>
  </si>
  <si>
    <t>2026-03-16 14:41:19.037</t>
  </si>
  <si>
    <t xml:space="preserve">MITPRN10            </t>
  </si>
  <si>
    <t>2026-03-16 14:41:19.050</t>
  </si>
  <si>
    <t xml:space="preserve">MITPRN20            </t>
  </si>
  <si>
    <t>2026-03-16 14:41:19.067</t>
  </si>
  <si>
    <t xml:space="preserve">MITPSN10            </t>
  </si>
  <si>
    <t>2026-03-16 14:41:19.303</t>
  </si>
  <si>
    <t xml:space="preserve">MITPTI10            </t>
  </si>
  <si>
    <t>2026-03-16 14:41:19.537</t>
  </si>
  <si>
    <t xml:space="preserve">MITPTI20            </t>
  </si>
  <si>
    <t>2026-03-16 14:41:19.553</t>
  </si>
  <si>
    <t xml:space="preserve">MITPWL01            </t>
  </si>
  <si>
    <t>2026-03-16 14:41:19.787</t>
  </si>
  <si>
    <t xml:space="preserve">MITRES10            </t>
  </si>
  <si>
    <t>2026-03-16 14:41:20.017</t>
  </si>
  <si>
    <t>2026-03-16 14:41:20.030</t>
  </si>
  <si>
    <t xml:space="preserve">MITRES40            </t>
  </si>
  <si>
    <t>2026-03-16 14:41:20.047</t>
  </si>
  <si>
    <t xml:space="preserve">MITRES20            </t>
  </si>
  <si>
    <t>2026-03-16 14:41:20.063</t>
  </si>
  <si>
    <t xml:space="preserve">MITRES80            </t>
  </si>
  <si>
    <t>2026-03-16 14:41:20.077</t>
  </si>
  <si>
    <t xml:space="preserve">MITRES95            </t>
  </si>
  <si>
    <t>2026-03-16 14:41:20.093</t>
  </si>
  <si>
    <t xml:space="preserve">MITRES90            </t>
  </si>
  <si>
    <t>2026-03-16 14:41:20.110</t>
  </si>
  <si>
    <t xml:space="preserve">MITRES70            </t>
  </si>
  <si>
    <t>2026-03-16 14:41:20.127</t>
  </si>
  <si>
    <t xml:space="preserve">MITRES30            </t>
  </si>
  <si>
    <t>2026-03-16 14:41:20.140</t>
  </si>
  <si>
    <t xml:space="preserve">MITRES60            </t>
  </si>
  <si>
    <t>2026-03-16 14:41:20.157</t>
  </si>
  <si>
    <t xml:space="preserve">MITRES50            </t>
  </si>
  <si>
    <t>2026-03-16 14:41:20.173</t>
  </si>
  <si>
    <t xml:space="preserve">MITSCH10            </t>
  </si>
  <si>
    <t>2026-03-16 14:41:20.400</t>
  </si>
  <si>
    <t xml:space="preserve">MITSNM10            </t>
  </si>
  <si>
    <t>2026-03-16 14:41:20.650</t>
  </si>
  <si>
    <t>2026-03-16 14:41:20.887</t>
  </si>
  <si>
    <t xml:space="preserve">MITSOR10            </t>
  </si>
  <si>
    <t>2026-03-16 14:41:21.137</t>
  </si>
  <si>
    <t xml:space="preserve">MITSOR20            </t>
  </si>
  <si>
    <t>2026-03-16 14:41:21.150</t>
  </si>
  <si>
    <t xml:space="preserve">MITSOR30            </t>
  </si>
  <si>
    <t>2026-03-16 14:41:21.167</t>
  </si>
  <si>
    <t xml:space="preserve">MITSTA10            </t>
  </si>
  <si>
    <t>2026-03-16 14:41:21.400</t>
  </si>
  <si>
    <t xml:space="preserve">MITSTA20            </t>
  </si>
  <si>
    <t>2026-03-16 14:41:21.417</t>
  </si>
  <si>
    <t xml:space="preserve">MITSTP20            </t>
  </si>
  <si>
    <t>2026-03-16 14:41:21.650</t>
  </si>
  <si>
    <t xml:space="preserve">MITSTP30            </t>
  </si>
  <si>
    <t>2026-03-16 14:41:21.667</t>
  </si>
  <si>
    <t xml:space="preserve">MITSTP40            </t>
  </si>
  <si>
    <t>2026-03-16 14:41:21.683</t>
  </si>
  <si>
    <t xml:space="preserve">MITSTP10            </t>
  </si>
  <si>
    <t>2026-03-16 14:41:21.697</t>
  </si>
  <si>
    <t xml:space="preserve">MITSTR10            </t>
  </si>
  <si>
    <t>2026-03-16 14:41:21.933</t>
  </si>
  <si>
    <t xml:space="preserve">MITSTS10            </t>
  </si>
  <si>
    <t>2026-03-16 14:41:22.167</t>
  </si>
  <si>
    <t xml:space="preserve">MITSTS20            </t>
  </si>
  <si>
    <t>2026-03-16 14:41:22.183</t>
  </si>
  <si>
    <t xml:space="preserve">MITSUB50            </t>
  </si>
  <si>
    <t>2026-03-16 14:41:22.417</t>
  </si>
  <si>
    <t xml:space="preserve">MITSUB60            </t>
  </si>
  <si>
    <t>2026-03-16 14:41:22.433</t>
  </si>
  <si>
    <t xml:space="preserve">MITSUB65            </t>
  </si>
  <si>
    <t>2026-03-16 14:41:22.447</t>
  </si>
  <si>
    <t xml:space="preserve">MITSUB80            </t>
  </si>
  <si>
    <t>2026-03-16 14:41:22.463</t>
  </si>
  <si>
    <t xml:space="preserve">MITSUB30            </t>
  </si>
  <si>
    <t>2026-03-16 14:41:22.480</t>
  </si>
  <si>
    <t xml:space="preserve">MITSUB20            </t>
  </si>
  <si>
    <t>2026-03-16 14:41:22.497</t>
  </si>
  <si>
    <t xml:space="preserve">MITSUB10            </t>
  </si>
  <si>
    <t>2026-03-16 14:41:22.510</t>
  </si>
  <si>
    <t xml:space="preserve">MITSUB40            </t>
  </si>
  <si>
    <t>2026-03-16 14:41:22.527</t>
  </si>
  <si>
    <t xml:space="preserve">MITSUB70            </t>
  </si>
  <si>
    <t>2026-03-16 14:41:22.543</t>
  </si>
  <si>
    <t xml:space="preserve">MITSUB90            </t>
  </si>
  <si>
    <t>2026-03-16 14:41:22.557</t>
  </si>
  <si>
    <t xml:space="preserve">MITSUG80            </t>
  </si>
  <si>
    <t>2026-03-16 14:41:22.810</t>
  </si>
  <si>
    <t xml:space="preserve">MITSUG81            </t>
  </si>
  <si>
    <t>2026-03-16 14:41:22.827</t>
  </si>
  <si>
    <t xml:space="preserve">MITSUG90            </t>
  </si>
  <si>
    <t>2026-03-16 14:41:22.837</t>
  </si>
  <si>
    <t xml:space="preserve">MITSUG91            </t>
  </si>
  <si>
    <t>2026-03-16 14:41:22.853</t>
  </si>
  <si>
    <t xml:space="preserve">MITSUG82            </t>
  </si>
  <si>
    <t>2026-03-16 14:41:22.867</t>
  </si>
  <si>
    <t xml:space="preserve">MITSUG10            </t>
  </si>
  <si>
    <t>2026-03-16 14:41:22.883</t>
  </si>
  <si>
    <t xml:space="preserve">MITSUG20            </t>
  </si>
  <si>
    <t>2026-03-16 14:41:22.900</t>
  </si>
  <si>
    <t xml:space="preserve">MITSUG30            </t>
  </si>
  <si>
    <t>2026-03-16 14:41:22.913</t>
  </si>
  <si>
    <t xml:space="preserve">MITSUG40            </t>
  </si>
  <si>
    <t>2026-03-16 14:41:22.937</t>
  </si>
  <si>
    <t xml:space="preserve">MITSUG50            </t>
  </si>
  <si>
    <t>2026-03-16 14:41:22.953</t>
  </si>
  <si>
    <t xml:space="preserve">MITSUG60            </t>
  </si>
  <si>
    <t>2026-03-16 14:41:22.967</t>
  </si>
  <si>
    <t xml:space="preserve">MITSUG70            </t>
  </si>
  <si>
    <t>2026-03-16 14:41:22.983</t>
  </si>
  <si>
    <t xml:space="preserve">MITTCD10            </t>
  </si>
  <si>
    <t>2026-03-16 14:41:23.217</t>
  </si>
  <si>
    <t xml:space="preserve">MITTCD20            </t>
  </si>
  <si>
    <t>2026-03-16 14:41:23.233</t>
  </si>
  <si>
    <t xml:space="preserve">MITTCD30            </t>
  </si>
  <si>
    <t>2026-03-16 14:41:23.250</t>
  </si>
  <si>
    <t xml:space="preserve">MITTEM10            </t>
  </si>
  <si>
    <t>2026-03-16 14:41:23.483</t>
  </si>
  <si>
    <t xml:space="preserve">MITTKD40            </t>
  </si>
  <si>
    <t>2026-03-16 14:41:23.717</t>
  </si>
  <si>
    <t xml:space="preserve">MITTKD15            </t>
  </si>
  <si>
    <t>2026-03-16 14:41:23.733</t>
  </si>
  <si>
    <t xml:space="preserve">MITTKD70            </t>
  </si>
  <si>
    <t>2026-03-16 14:41:23.750</t>
  </si>
  <si>
    <t xml:space="preserve">MITTKD10            </t>
  </si>
  <si>
    <t>2026-03-16 14:41:23.767</t>
  </si>
  <si>
    <t xml:space="preserve">MITTKD20            </t>
  </si>
  <si>
    <t>2026-03-16 14:41:23.780</t>
  </si>
  <si>
    <t xml:space="preserve">MITTKD30            </t>
  </si>
  <si>
    <t>2026-03-16 14:41:23.797</t>
  </si>
  <si>
    <t xml:space="preserve">MITTKD50            </t>
  </si>
  <si>
    <t>2026-03-16 14:41:23.813</t>
  </si>
  <si>
    <t xml:space="preserve">MITTKD60            </t>
  </si>
  <si>
    <t>2026-03-16 14:41:23.827</t>
  </si>
  <si>
    <t xml:space="preserve">MITTKD80            </t>
  </si>
  <si>
    <t>2026-03-16 14:41:23.843</t>
  </si>
  <si>
    <t xml:space="preserve">MITTKH10            </t>
  </si>
  <si>
    <t>2026-03-16 14:41:24.077</t>
  </si>
  <si>
    <t xml:space="preserve">MITTKH20            </t>
  </si>
  <si>
    <t>2026-03-16 14:41:24.093</t>
  </si>
  <si>
    <t xml:space="preserve">MITTKH30            </t>
  </si>
  <si>
    <t>2026-03-16 14:41:24.110</t>
  </si>
  <si>
    <t xml:space="preserve">MITTKS10            </t>
  </si>
  <si>
    <t>2026-03-16 14:41:24.343</t>
  </si>
  <si>
    <t xml:space="preserve">MITTKV20            </t>
  </si>
  <si>
    <t>2026-03-16 14:41:24.577</t>
  </si>
  <si>
    <t xml:space="preserve">MITTKV30            </t>
  </si>
  <si>
    <t>2026-03-16 14:41:24.593</t>
  </si>
  <si>
    <t xml:space="preserve">MITTKV40            </t>
  </si>
  <si>
    <t>2026-03-16 14:41:24.610</t>
  </si>
  <si>
    <t xml:space="preserve">MITTKV50            </t>
  </si>
  <si>
    <t>2026-03-16 14:41:24.623</t>
  </si>
  <si>
    <t xml:space="preserve">MITTKV10            </t>
  </si>
  <si>
    <t>2026-03-16 14:41:24.640</t>
  </si>
  <si>
    <t xml:space="preserve">MITTRA70            </t>
  </si>
  <si>
    <t>2026-03-16 14:41:24.877</t>
  </si>
  <si>
    <t>2026-03-16 14:41:29.510</t>
  </si>
  <si>
    <t>4635</t>
  </si>
  <si>
    <t xml:space="preserve">MITTRA30            </t>
  </si>
  <si>
    <t>2026-03-16 14:41:29.527</t>
  </si>
  <si>
    <t>2026-03-16 14:41:33.457</t>
  </si>
  <si>
    <t>3931</t>
  </si>
  <si>
    <t xml:space="preserve">MITTRA35            </t>
  </si>
  <si>
    <t>2026-03-16 14:41:33.473</t>
  </si>
  <si>
    <t>2026-03-16 14:41:39.517</t>
  </si>
  <si>
    <t>6041</t>
  </si>
  <si>
    <t xml:space="preserve">MITTRA20            </t>
  </si>
  <si>
    <t>2026-03-16 14:41:39.530</t>
  </si>
  <si>
    <t>2026-03-16 14:41:43.143</t>
  </si>
  <si>
    <t>3611</t>
  </si>
  <si>
    <t xml:space="preserve">MITTRA25            </t>
  </si>
  <si>
    <t>2026-03-16 14:41:43.157</t>
  </si>
  <si>
    <t>2026-03-16 14:41:46.700</t>
  </si>
  <si>
    <t>3542</t>
  </si>
  <si>
    <t xml:space="preserve">MITTRA60            </t>
  </si>
  <si>
    <t>2026-03-16 14:41:46.717</t>
  </si>
  <si>
    <t>2026-03-16 14:41:49.817</t>
  </si>
  <si>
    <t>3100</t>
  </si>
  <si>
    <t xml:space="preserve">MITTRA40            </t>
  </si>
  <si>
    <t>2026-03-16 14:41:49.830</t>
  </si>
  <si>
    <t>2026-03-16 14:41:52.683</t>
  </si>
  <si>
    <t>2852</t>
  </si>
  <si>
    <t xml:space="preserve">MITTRAA1#MBR        </t>
  </si>
  <si>
    <t>2026-03-16 14:41:52.700</t>
  </si>
  <si>
    <t>2026-03-16 14:41:55.800</t>
  </si>
  <si>
    <t xml:space="preserve">MITTRA90            </t>
  </si>
  <si>
    <t>2026-03-16 14:41:55.817</t>
  </si>
  <si>
    <t>2026-03-16 14:41:59.250</t>
  </si>
  <si>
    <t>3436</t>
  </si>
  <si>
    <t xml:space="preserve">MITTRA80            </t>
  </si>
  <si>
    <t>2026-03-16 14:41:59.267</t>
  </si>
  <si>
    <t>2026-03-16 14:42:02.497</t>
  </si>
  <si>
    <t>3231</t>
  </si>
  <si>
    <t xml:space="preserve">MITTRA81            </t>
  </si>
  <si>
    <t>2026-03-16 14:42:06.003</t>
  </si>
  <si>
    <t>3506</t>
  </si>
  <si>
    <t xml:space="preserve">MITTRA50            </t>
  </si>
  <si>
    <t>2026-03-16 14:42:06.020</t>
  </si>
  <si>
    <t>2026-03-16 14:42:10.557</t>
  </si>
  <si>
    <t xml:space="preserve">MITTRA95            </t>
  </si>
  <si>
    <t>2026-03-16 14:42:13.367</t>
  </si>
  <si>
    <t>2808</t>
  </si>
  <si>
    <t xml:space="preserve">MITTRA10            </t>
  </si>
  <si>
    <t>2026-03-16 14:42:13.377</t>
  </si>
  <si>
    <t>2026-03-16 14:42:16.207</t>
  </si>
  <si>
    <t>2827</t>
  </si>
  <si>
    <t xml:space="preserve">MITTRA91            </t>
  </si>
  <si>
    <t>2026-03-16 14:42:16.220</t>
  </si>
  <si>
    <t>2026-03-16 14:42:19.170</t>
  </si>
  <si>
    <t>2949</t>
  </si>
  <si>
    <t xml:space="preserve">MITTRF30            </t>
  </si>
  <si>
    <t>2026-03-16 14:42:19.407</t>
  </si>
  <si>
    <t xml:space="preserve">MITTRF20            </t>
  </si>
  <si>
    <t>2026-03-16 14:42:19.420</t>
  </si>
  <si>
    <t xml:space="preserve">MITTRF50            </t>
  </si>
  <si>
    <t>2026-03-16 14:42:19.437</t>
  </si>
  <si>
    <t xml:space="preserve">MITTRF90            </t>
  </si>
  <si>
    <t>2026-03-16 14:42:19.450</t>
  </si>
  <si>
    <t xml:space="preserve">MITTRF80            </t>
  </si>
  <si>
    <t>2026-03-16 14:42:19.467</t>
  </si>
  <si>
    <t xml:space="preserve">MITTRF40            </t>
  </si>
  <si>
    <t>2026-03-16 14:42:19.483</t>
  </si>
  <si>
    <t>2026-03-16 14:42:19.497</t>
  </si>
  <si>
    <t xml:space="preserve">MITTRF10            </t>
  </si>
  <si>
    <t>2026-03-16 14:42:19.513</t>
  </si>
  <si>
    <t xml:space="preserve">MITTRF60            </t>
  </si>
  <si>
    <t xml:space="preserve">MITUCV10            </t>
  </si>
  <si>
    <t>2026-03-16 14:42:19.763</t>
  </si>
  <si>
    <t xml:space="preserve">MITVEM20            </t>
  </si>
  <si>
    <t>2026-03-16 14:42:20.000</t>
  </si>
  <si>
    <t xml:space="preserve">MITVEM10            </t>
  </si>
  <si>
    <t>2026-03-16 14:42:20.017</t>
  </si>
  <si>
    <t xml:space="preserve">MITVEM30            </t>
  </si>
  <si>
    <t>2026-03-16 14:42:20.033</t>
  </si>
  <si>
    <t xml:space="preserve">MITVEN20            </t>
  </si>
  <si>
    <t>2026-03-16 14:42:20.290</t>
  </si>
  <si>
    <t xml:space="preserve">MITVEN10            </t>
  </si>
  <si>
    <t>2026-03-16 14:42:20.303</t>
  </si>
  <si>
    <t xml:space="preserve">MITWHG10            </t>
  </si>
  <si>
    <t>2026-03-16 14:42:20.540</t>
  </si>
  <si>
    <t xml:space="preserve">MITWHL60            </t>
  </si>
  <si>
    <t>2026-03-16 14:42:20.767</t>
  </si>
  <si>
    <t>2026-03-16 14:42:20.783</t>
  </si>
  <si>
    <t xml:space="preserve">MITWHL10            </t>
  </si>
  <si>
    <t>2026-03-16 14:42:20.800</t>
  </si>
  <si>
    <t xml:space="preserve">MITWHL30            </t>
  </si>
  <si>
    <t>2026-03-16 14:42:20.817</t>
  </si>
  <si>
    <t xml:space="preserve">MITWHL40            </t>
  </si>
  <si>
    <t>2026-03-16 14:42:20.830</t>
  </si>
  <si>
    <t>2026-03-16 14:42:20.847</t>
  </si>
  <si>
    <t xml:space="preserve">MITWHL50            </t>
  </si>
  <si>
    <t>2026-03-16 14:42:20.860</t>
  </si>
  <si>
    <t xml:space="preserve">MITWHL20            </t>
  </si>
  <si>
    <t>2026-03-16 14:42:20.877</t>
  </si>
  <si>
    <t xml:space="preserve">MITWHP10            </t>
  </si>
  <si>
    <t>2026-03-16 14:42:21.110</t>
  </si>
  <si>
    <t xml:space="preserve">MITWHP20            </t>
  </si>
  <si>
    <t>2026-03-16 14:42:21.127</t>
  </si>
  <si>
    <t xml:space="preserve">MITWLT21            </t>
  </si>
  <si>
    <t>2026-03-16 14:42:21.360</t>
  </si>
  <si>
    <t xml:space="preserve">MITWLT31            </t>
  </si>
  <si>
    <t>2026-03-16 14:42:21.377</t>
  </si>
  <si>
    <t xml:space="preserve">MITWLT40            </t>
  </si>
  <si>
    <t>2026-03-16 14:42:21.393</t>
  </si>
  <si>
    <t xml:space="preserve">MITWLT30            </t>
  </si>
  <si>
    <t>2026-03-16 14:42:21.407</t>
  </si>
  <si>
    <t xml:space="preserve">MITWLT20            </t>
  </si>
  <si>
    <t>2026-03-16 14:42:21.423</t>
  </si>
  <si>
    <t xml:space="preserve">MITWLT10            </t>
  </si>
  <si>
    <t>2026-03-16 14:42:21.440</t>
  </si>
  <si>
    <t xml:space="preserve">MITYAL10            </t>
  </si>
  <si>
    <t>2026-03-16 14:42:21.690</t>
  </si>
  <si>
    <t xml:space="preserve">MITYWC10            </t>
  </si>
  <si>
    <t>2026-03-16 14:42:21.923</t>
  </si>
  <si>
    <t xml:space="preserve">MIWLAL10            </t>
  </si>
  <si>
    <t>2026-03-16 14:42:22.157</t>
  </si>
  <si>
    <t xml:space="preserve">MIWRRT10            </t>
  </si>
  <si>
    <t>2026-03-16 14:42:22.393</t>
  </si>
  <si>
    <t xml:space="preserve">MIWRRT20            </t>
  </si>
  <si>
    <t>2026-03-16 14:42:22.407</t>
  </si>
  <si>
    <t xml:space="preserve">MLESUM10            </t>
  </si>
  <si>
    <t>2026-03-16 14:42:22.640</t>
  </si>
  <si>
    <t>2026-03-16 14:42:22.657</t>
  </si>
  <si>
    <t xml:space="preserve">MLIADE30            </t>
  </si>
  <si>
    <t>2026-03-16 14:42:22.890</t>
  </si>
  <si>
    <t xml:space="preserve">MLIADE20            </t>
  </si>
  <si>
    <t>2026-03-16 14:42:22.907</t>
  </si>
  <si>
    <t xml:space="preserve">MLIADE10            </t>
  </si>
  <si>
    <t>2026-03-16 14:42:22.920</t>
  </si>
  <si>
    <t xml:space="preserve">MLIADE05            </t>
  </si>
  <si>
    <t>2026-03-16 14:42:22.937</t>
  </si>
  <si>
    <t xml:space="preserve">MLIADE50            </t>
  </si>
  <si>
    <t>2026-03-16 14:42:22.953</t>
  </si>
  <si>
    <t xml:space="preserve">MLIAHE20            </t>
  </si>
  <si>
    <t>2026-03-16 14:42:23.187</t>
  </si>
  <si>
    <t xml:space="preserve">MLIAHE30            </t>
  </si>
  <si>
    <t>2026-03-16 14:42:23.203</t>
  </si>
  <si>
    <t xml:space="preserve">MLIAHE40            </t>
  </si>
  <si>
    <t>2026-03-16 14:42:23.217</t>
  </si>
  <si>
    <t xml:space="preserve">MLIAHE10            </t>
  </si>
  <si>
    <t>2026-03-16 14:42:23.233</t>
  </si>
  <si>
    <t>2026-03-16 14:42:23.250</t>
  </si>
  <si>
    <t xml:space="preserve">MLIAHL10            </t>
  </si>
  <si>
    <t>2026-03-16 14:42:23.483</t>
  </si>
  <si>
    <t xml:space="preserve">MLIHED40            </t>
  </si>
  <si>
    <t>2026-03-16 14:42:23.717</t>
  </si>
  <si>
    <t xml:space="preserve">MLIHED20            </t>
  </si>
  <si>
    <t>2026-03-16 14:42:23.733</t>
  </si>
  <si>
    <t xml:space="preserve">MLIHED30            </t>
  </si>
  <si>
    <t>2026-03-16 14:42:23.750</t>
  </si>
  <si>
    <t xml:space="preserve">MLIHED10            </t>
  </si>
  <si>
    <t>2026-03-16 14:42:23.767</t>
  </si>
  <si>
    <t xml:space="preserve">MLIHEL10            </t>
  </si>
  <si>
    <t>2026-03-16 14:42:24.000</t>
  </si>
  <si>
    <t xml:space="preserve">MLLIFE10            </t>
  </si>
  <si>
    <t>2026-03-16 14:42:24.233</t>
  </si>
  <si>
    <t xml:space="preserve">MLLIFE20            </t>
  </si>
  <si>
    <t>2026-03-16 14:42:24.250</t>
  </si>
  <si>
    <t xml:space="preserve">MMAHED20            </t>
  </si>
  <si>
    <t>2026-03-16 14:42:24.483</t>
  </si>
  <si>
    <t xml:space="preserve">MMAINS10            </t>
  </si>
  <si>
    <t>2026-03-16 14:42:24.717</t>
  </si>
  <si>
    <t>2026-03-16 14:42:24.733</t>
  </si>
  <si>
    <t xml:space="preserve">MMALAD10            </t>
  </si>
  <si>
    <t>2026-03-16 14:42:24.977</t>
  </si>
  <si>
    <t xml:space="preserve">MMAODE10            </t>
  </si>
  <si>
    <t>2026-03-16 14:42:25.213</t>
  </si>
  <si>
    <t xml:space="preserve">MMAODM10            </t>
  </si>
  <si>
    <t>2026-03-16 14:42:25.447</t>
  </si>
  <si>
    <t>2026-03-16 14:42:25.463</t>
  </si>
  <si>
    <t xml:space="preserve">MMAODO10            </t>
  </si>
  <si>
    <t>2026-03-16 14:42:25.693</t>
  </si>
  <si>
    <t xml:space="preserve">MMAODR10            </t>
  </si>
  <si>
    <t>2026-03-16 14:42:25.943</t>
  </si>
  <si>
    <t xml:space="preserve">MMAODR20            </t>
  </si>
  <si>
    <t>2026-03-16 14:42:25.960</t>
  </si>
  <si>
    <t xml:space="preserve">MMAODR30            </t>
  </si>
  <si>
    <t>2026-03-16 14:42:25.973</t>
  </si>
  <si>
    <t xml:space="preserve">FTX10401            </t>
  </si>
  <si>
    <t>2026-03-16 14:42:26.193</t>
  </si>
  <si>
    <t>2026-03-16 14:47:02.927</t>
  </si>
  <si>
    <t>276732</t>
  </si>
  <si>
    <t xml:space="preserve">FTX10402            </t>
  </si>
  <si>
    <t xml:space="preserve">MMAOHE10            </t>
  </si>
  <si>
    <t>2026-03-16 14:42:26.210</t>
  </si>
  <si>
    <t xml:space="preserve">MMAOHE20            </t>
  </si>
  <si>
    <t>2026-03-16 14:42:26.223</t>
  </si>
  <si>
    <t xml:space="preserve">MMASER10            </t>
  </si>
  <si>
    <t>2026-03-16 14:42:26.473</t>
  </si>
  <si>
    <t xml:space="preserve">MMASER20            </t>
  </si>
  <si>
    <t>2026-03-16 14:42:26.490</t>
  </si>
  <si>
    <t xml:space="preserve">MMASUB10            </t>
  </si>
  <si>
    <t>2026-03-16 14:42:26.723</t>
  </si>
  <si>
    <t xml:space="preserve">MMC30310            </t>
  </si>
  <si>
    <t>2026-03-16 14:42:26.960</t>
  </si>
  <si>
    <t xml:space="preserve">MMCINQ30            </t>
  </si>
  <si>
    <t>2026-03-16 14:42:27.187</t>
  </si>
  <si>
    <t>2026-03-16 14:42:27.203</t>
  </si>
  <si>
    <t xml:space="preserve">MMDFAD10            </t>
  </si>
  <si>
    <t>2026-03-16 14:42:27.437</t>
  </si>
  <si>
    <t xml:space="preserve">MMERPL10            </t>
  </si>
  <si>
    <t>2026-03-16 14:42:27.673</t>
  </si>
  <si>
    <t xml:space="preserve">MMETER10            </t>
  </si>
  <si>
    <t>2026-03-16 14:42:27.907</t>
  </si>
  <si>
    <t xml:space="preserve">MMFADD10            </t>
  </si>
  <si>
    <t>2026-03-16 14:42:28.140</t>
  </si>
  <si>
    <t xml:space="preserve">MMIHED30            </t>
  </si>
  <si>
    <t>2026-03-16 14:42:28.377</t>
  </si>
  <si>
    <t xml:space="preserve">MMIHED40            </t>
  </si>
  <si>
    <t>2026-03-16 14:42:28.390</t>
  </si>
  <si>
    <t xml:space="preserve">MMIHED50            </t>
  </si>
  <si>
    <t>2026-03-16 14:42:28.407</t>
  </si>
  <si>
    <t xml:space="preserve">MMIHED20            </t>
  </si>
  <si>
    <t>2026-03-16 14:42:28.423</t>
  </si>
  <si>
    <t xml:space="preserve">MMIIDE40            </t>
  </si>
  <si>
    <t>2026-03-16 14:42:28.657</t>
  </si>
  <si>
    <t xml:space="preserve">MMIIDE30            </t>
  </si>
  <si>
    <t>2026-03-16 14:42:28.673</t>
  </si>
  <si>
    <t xml:space="preserve">MMIINS10            </t>
  </si>
  <si>
    <t>2026-03-16 14:42:28.907</t>
  </si>
  <si>
    <t xml:space="preserve">MMIINS41            </t>
  </si>
  <si>
    <t>2026-03-16 14:42:28.923</t>
  </si>
  <si>
    <t xml:space="preserve">MMIINS30            </t>
  </si>
  <si>
    <t>2026-03-16 14:42:28.937</t>
  </si>
  <si>
    <t xml:space="preserve">MMIINS40            </t>
  </si>
  <si>
    <t>2026-03-16 14:42:28.953</t>
  </si>
  <si>
    <t xml:space="preserve">MMIPPT10            </t>
  </si>
  <si>
    <t>2026-03-16 14:42:29.187</t>
  </si>
  <si>
    <t xml:space="preserve">MMISUB10            </t>
  </si>
  <si>
    <t>2026-03-16 14:42:29.423</t>
  </si>
  <si>
    <t xml:space="preserve">MMLFAD10            </t>
  </si>
  <si>
    <t>2026-03-16 14:42:29.650</t>
  </si>
  <si>
    <t xml:space="preserve">MMLPRC20            </t>
  </si>
  <si>
    <t>2026-03-16 14:42:29.887</t>
  </si>
  <si>
    <t xml:space="preserve">MMLPRC10            </t>
  </si>
  <si>
    <t>2026-03-16 14:42:29.900</t>
  </si>
  <si>
    <t xml:space="preserve">MMLPRC30            </t>
  </si>
  <si>
    <t>2026-03-16 14:42:29.917</t>
  </si>
  <si>
    <t xml:space="preserve">MMLPSC20            </t>
  </si>
  <si>
    <t>2026-03-16 14:42:30.143</t>
  </si>
  <si>
    <t xml:space="preserve">MMLPSC10            </t>
  </si>
  <si>
    <t>2026-03-16 14:42:30.157</t>
  </si>
  <si>
    <t xml:space="preserve">MMM07630            </t>
  </si>
  <si>
    <t>2026-03-16 14:42:30.393</t>
  </si>
  <si>
    <t xml:space="preserve">MMM07610            </t>
  </si>
  <si>
    <t>2026-03-16 14:42:30.407</t>
  </si>
  <si>
    <t xml:space="preserve">MMM07620            </t>
  </si>
  <si>
    <t>2026-03-16 14:42:30.423</t>
  </si>
  <si>
    <t xml:space="preserve">MMM45210            </t>
  </si>
  <si>
    <t>2026-03-16 14:42:30.657</t>
  </si>
  <si>
    <t xml:space="preserve">MMM47020            </t>
  </si>
  <si>
    <t>2026-03-16 14:42:30.893</t>
  </si>
  <si>
    <t xml:space="preserve">MMM47040            </t>
  </si>
  <si>
    <t>2026-03-16 14:42:30.907</t>
  </si>
  <si>
    <t xml:space="preserve">MMM47010            </t>
  </si>
  <si>
    <t>2026-03-16 14:42:30.923</t>
  </si>
  <si>
    <t xml:space="preserve">MMM47050            </t>
  </si>
  <si>
    <t>2026-03-16 14:42:30.943</t>
  </si>
  <si>
    <t xml:space="preserve">MMM47030            </t>
  </si>
  <si>
    <t>2026-03-16 14:42:30.957</t>
  </si>
  <si>
    <t xml:space="preserve">MMM47220            </t>
  </si>
  <si>
    <t>2026-03-16 14:42:31.193</t>
  </si>
  <si>
    <t xml:space="preserve">MMM47201            </t>
  </si>
  <si>
    <t>2026-03-16 14:42:31.207</t>
  </si>
  <si>
    <t xml:space="preserve">MMM47210            </t>
  </si>
  <si>
    <t>2026-03-16 14:42:31.223</t>
  </si>
  <si>
    <t xml:space="preserve">MMM47610            </t>
  </si>
  <si>
    <t>2026-03-16 14:42:31.457</t>
  </si>
  <si>
    <t xml:space="preserve">MMM47630            </t>
  </si>
  <si>
    <t>2026-03-16 14:42:31.473</t>
  </si>
  <si>
    <t xml:space="preserve">MMM47620            </t>
  </si>
  <si>
    <t>2026-03-16 14:42:31.490</t>
  </si>
  <si>
    <t xml:space="preserve">MMM48010            </t>
  </si>
  <si>
    <t>2026-03-16 14:42:31.723</t>
  </si>
  <si>
    <t xml:space="preserve">MMM48210            </t>
  </si>
  <si>
    <t>2026-03-16 14:42:31.957</t>
  </si>
  <si>
    <t>2026-03-16 14:42:31.970</t>
  </si>
  <si>
    <t xml:space="preserve">MMM48510            </t>
  </si>
  <si>
    <t>2026-03-16 14:42:32.207</t>
  </si>
  <si>
    <t xml:space="preserve">MMM48520            </t>
  </si>
  <si>
    <t>2026-03-16 14:42:32.220</t>
  </si>
  <si>
    <t xml:space="preserve">MMM49110            </t>
  </si>
  <si>
    <t>2026-03-16 14:42:32.457</t>
  </si>
  <si>
    <t xml:space="preserve">MMM49210            </t>
  </si>
  <si>
    <t>2026-03-16 14:42:32.690</t>
  </si>
  <si>
    <t xml:space="preserve">MMM49410            </t>
  </si>
  <si>
    <t>2026-03-16 14:42:32.923</t>
  </si>
  <si>
    <t xml:space="preserve">MMM49420            </t>
  </si>
  <si>
    <t>2026-03-16 14:42:32.940</t>
  </si>
  <si>
    <t xml:space="preserve">MMM49430            </t>
  </si>
  <si>
    <t>2026-03-16 14:42:32.957</t>
  </si>
  <si>
    <t xml:space="preserve">MMM49440            </t>
  </si>
  <si>
    <t>2026-03-16 14:42:32.970</t>
  </si>
  <si>
    <t xml:space="preserve">MMM62010            </t>
  </si>
  <si>
    <t>2026-03-16 14:42:33.207</t>
  </si>
  <si>
    <t xml:space="preserve">MMM85510            </t>
  </si>
  <si>
    <t>2026-03-16 14:42:33.440</t>
  </si>
  <si>
    <t xml:space="preserve">MMM85590            </t>
  </si>
  <si>
    <t>2026-03-16 14:42:33.457</t>
  </si>
  <si>
    <t xml:space="preserve">MMM90110            </t>
  </si>
  <si>
    <t>2026-03-16 14:42:33.700</t>
  </si>
  <si>
    <t xml:space="preserve">MMM90190            </t>
  </si>
  <si>
    <t>2026-03-16 14:42:33.713</t>
  </si>
  <si>
    <t xml:space="preserve">MMM90230            </t>
  </si>
  <si>
    <t>2026-03-16 14:42:33.950</t>
  </si>
  <si>
    <t xml:space="preserve">MMM90220            </t>
  </si>
  <si>
    <t>2026-03-16 14:42:33.967</t>
  </si>
  <si>
    <t xml:space="preserve">MMM90290            </t>
  </si>
  <si>
    <t>2026-03-16 14:42:33.980</t>
  </si>
  <si>
    <t xml:space="preserve">MMM91110            </t>
  </si>
  <si>
    <t>2026-03-16 14:42:34.210</t>
  </si>
  <si>
    <t xml:space="preserve">MMM91100            </t>
  </si>
  <si>
    <t>2026-03-16 14:42:34.227</t>
  </si>
  <si>
    <t xml:space="preserve">MMM91420            </t>
  </si>
  <si>
    <t>2026-03-16 14:42:34.460</t>
  </si>
  <si>
    <t xml:space="preserve">MMM92020            </t>
  </si>
  <si>
    <t>2026-03-16 14:42:34.697</t>
  </si>
  <si>
    <t xml:space="preserve">MMM92010            </t>
  </si>
  <si>
    <t>2026-03-16 14:42:34.713</t>
  </si>
  <si>
    <t xml:space="preserve">MMM92090            </t>
  </si>
  <si>
    <t>2026-03-16 14:42:34.727</t>
  </si>
  <si>
    <t xml:space="preserve">MMM93090            </t>
  </si>
  <si>
    <t>2026-03-16 14:42:34.963</t>
  </si>
  <si>
    <t xml:space="preserve">MMM93010            </t>
  </si>
  <si>
    <t>2026-03-16 14:42:34.977</t>
  </si>
  <si>
    <t xml:space="preserve">MMMATR10            </t>
  </si>
  <si>
    <t>2026-03-16 14:42:35.223</t>
  </si>
  <si>
    <t xml:space="preserve">MMMATR20            </t>
  </si>
  <si>
    <t>2026-03-16 14:42:35.240</t>
  </si>
  <si>
    <t xml:space="preserve">MMO00110            </t>
  </si>
  <si>
    <t>2026-03-16 14:42:35.473</t>
  </si>
  <si>
    <t>2026-03-16 14:42:35.490</t>
  </si>
  <si>
    <t xml:space="preserve">MMO00130            </t>
  </si>
  <si>
    <t>2026-03-16 14:42:35.507</t>
  </si>
  <si>
    <t xml:space="preserve">MMO00150            </t>
  </si>
  <si>
    <t>2026-03-16 14:42:35.510</t>
  </si>
  <si>
    <t xml:space="preserve">MMO00140            </t>
  </si>
  <si>
    <t>2026-03-16 14:42:35.527</t>
  </si>
  <si>
    <t xml:space="preserve">MMO00170            </t>
  </si>
  <si>
    <t>2026-03-16 14:42:35.543</t>
  </si>
  <si>
    <t xml:space="preserve">MMO00160            </t>
  </si>
  <si>
    <t>2026-03-16 14:42:35.557</t>
  </si>
  <si>
    <t xml:space="preserve">MMO00520            </t>
  </si>
  <si>
    <t>2026-03-16 14:42:35.787</t>
  </si>
  <si>
    <t xml:space="preserve">MMO00590            </t>
  </si>
  <si>
    <t>2026-03-16 14:42:35.803</t>
  </si>
  <si>
    <t xml:space="preserve">MMO01010            </t>
  </si>
  <si>
    <t>2026-03-16 14:42:36.053</t>
  </si>
  <si>
    <t xml:space="preserve">MMO01015            </t>
  </si>
  <si>
    <t>2026-03-16 14:42:36.070</t>
  </si>
  <si>
    <t xml:space="preserve">MMO01190            </t>
  </si>
  <si>
    <t>2026-03-16 14:42:36.303</t>
  </si>
  <si>
    <t xml:space="preserve">MMO01110            </t>
  </si>
  <si>
    <t>2026-03-16 14:42:36.320</t>
  </si>
  <si>
    <t xml:space="preserve">MMO01520            </t>
  </si>
  <si>
    <t>2026-03-16 14:42:36.563</t>
  </si>
  <si>
    <t xml:space="preserve">MMO01590            </t>
  </si>
  <si>
    <t>2026-03-16 14:42:36.580</t>
  </si>
  <si>
    <t xml:space="preserve">MMO03520            </t>
  </si>
  <si>
    <t>2026-03-16 14:42:36.813</t>
  </si>
  <si>
    <t xml:space="preserve">MMO03590            </t>
  </si>
  <si>
    <t>2026-03-16 14:42:36.830</t>
  </si>
  <si>
    <t xml:space="preserve">MMO06510            </t>
  </si>
  <si>
    <t>2026-03-16 14:42:37.080</t>
  </si>
  <si>
    <t>2026-03-16 14:42:37.097</t>
  </si>
  <si>
    <t xml:space="preserve">MMO13010            </t>
  </si>
  <si>
    <t>2026-03-16 14:42:37.330</t>
  </si>
  <si>
    <t>2026-03-16 14:42:37.347</t>
  </si>
  <si>
    <t xml:space="preserve">MMO13000            </t>
  </si>
  <si>
    <t>2026-03-16 14:42:37.360</t>
  </si>
  <si>
    <t xml:space="preserve">MMO13700            </t>
  </si>
  <si>
    <t>2026-03-16 14:42:37.597</t>
  </si>
  <si>
    <t xml:space="preserve">MMO13710            </t>
  </si>
  <si>
    <t>2026-03-16 14:42:37.610</t>
  </si>
  <si>
    <t xml:space="preserve">MMO34510            </t>
  </si>
  <si>
    <t>2026-03-16 14:42:37.847</t>
  </si>
  <si>
    <t xml:space="preserve">MMO44610            </t>
  </si>
  <si>
    <t>2026-03-16 14:42:38.080</t>
  </si>
  <si>
    <t xml:space="preserve">MMO60110            </t>
  </si>
  <si>
    <t>2026-03-16 14:42:38.313</t>
  </si>
  <si>
    <t xml:space="preserve">MMO93020            </t>
  </si>
  <si>
    <t>2026-03-16 14:42:38.573</t>
  </si>
  <si>
    <t xml:space="preserve">MMO93090            </t>
  </si>
  <si>
    <t>2026-03-16 14:42:38.587</t>
  </si>
  <si>
    <t xml:space="preserve">MMO96020            </t>
  </si>
  <si>
    <t>2026-03-16 14:42:38.823</t>
  </si>
  <si>
    <t xml:space="preserve">MMO96090            </t>
  </si>
  <si>
    <t>2026-03-16 14:42:38.837</t>
  </si>
  <si>
    <t xml:space="preserve">MMOAME10            </t>
  </si>
  <si>
    <t>2026-03-16 14:42:39.073</t>
  </si>
  <si>
    <t xml:space="preserve">MMODAL10            </t>
  </si>
  <si>
    <t>2026-03-16 14:42:39.307</t>
  </si>
  <si>
    <t xml:space="preserve">MMODAY10            </t>
  </si>
  <si>
    <t>2026-03-16 14:42:39.540</t>
  </si>
  <si>
    <t xml:space="preserve">MMODCO10            </t>
  </si>
  <si>
    <t>2026-03-16 14:42:39.777</t>
  </si>
  <si>
    <t xml:space="preserve">MMODDI10            </t>
  </si>
  <si>
    <t>2026-03-16 14:42:40.017</t>
  </si>
  <si>
    <t xml:space="preserve">MMODDI30            </t>
  </si>
  <si>
    <t>2026-03-16 14:42:40.033</t>
  </si>
  <si>
    <t xml:space="preserve">MMODFE10            </t>
  </si>
  <si>
    <t>2026-03-16 14:42:40.267</t>
  </si>
  <si>
    <t xml:space="preserve">MMODFE20            </t>
  </si>
  <si>
    <t>2026-03-16 14:42:40.283</t>
  </si>
  <si>
    <t xml:space="preserve">MMOEMT10            </t>
  </si>
  <si>
    <t>2026-03-16 14:42:40.517</t>
  </si>
  <si>
    <t xml:space="preserve">MMOHED93            </t>
  </si>
  <si>
    <t>2026-03-16 14:42:40.753</t>
  </si>
  <si>
    <t xml:space="preserve">MMOHED94            </t>
  </si>
  <si>
    <t>2026-03-16 14:42:40.767</t>
  </si>
  <si>
    <t xml:space="preserve">MMOHED40            </t>
  </si>
  <si>
    <t>2026-03-16 14:42:40.783</t>
  </si>
  <si>
    <t xml:space="preserve">MMOHED25            </t>
  </si>
  <si>
    <t>2026-03-16 14:42:40.800</t>
  </si>
  <si>
    <t xml:space="preserve">MMOHED30            </t>
  </si>
  <si>
    <t>2026-03-16 14:42:40.813</t>
  </si>
  <si>
    <t xml:space="preserve">MMOHED20            </t>
  </si>
  <si>
    <t>2026-03-16 14:42:40.830</t>
  </si>
  <si>
    <t xml:space="preserve">MMOHED60            </t>
  </si>
  <si>
    <t>2026-03-16 14:42:40.847</t>
  </si>
  <si>
    <t xml:space="preserve">MMOHED96            </t>
  </si>
  <si>
    <t>2026-03-16 14:42:40.860</t>
  </si>
  <si>
    <t xml:space="preserve">MMOHED80            </t>
  </si>
  <si>
    <t>2026-03-16 14:42:40.877</t>
  </si>
  <si>
    <t xml:space="preserve">MMOHED70            </t>
  </si>
  <si>
    <t>2026-03-16 14:42:40.893</t>
  </si>
  <si>
    <t xml:space="preserve">MMOHED95            </t>
  </si>
  <si>
    <t>2026-03-16 14:42:40.907</t>
  </si>
  <si>
    <t xml:space="preserve">MMOHED89            </t>
  </si>
  <si>
    <t>2026-03-16 14:42:40.923</t>
  </si>
  <si>
    <t xml:space="preserve">MMOHED42            </t>
  </si>
  <si>
    <t>2026-03-16 14:42:40.940</t>
  </si>
  <si>
    <t xml:space="preserve">MMOHED35            </t>
  </si>
  <si>
    <t>2026-03-16 14:42:40.957</t>
  </si>
  <si>
    <t xml:space="preserve">MMOHED90            </t>
  </si>
  <si>
    <t>2026-03-16 14:42:40.970</t>
  </si>
  <si>
    <t xml:space="preserve">MMOHED10            </t>
  </si>
  <si>
    <t>2026-03-16 14:42:40.987</t>
  </si>
  <si>
    <t xml:space="preserve">MMOHED01            </t>
  </si>
  <si>
    <t>2026-03-16 14:42:41.003</t>
  </si>
  <si>
    <t>2026-03-16 14:42:41.010</t>
  </si>
  <si>
    <t>9</t>
  </si>
  <si>
    <t xml:space="preserve">MMOHED91            </t>
  </si>
  <si>
    <t>2026-03-16 14:42:41.027</t>
  </si>
  <si>
    <t xml:space="preserve">MMOHED64            </t>
  </si>
  <si>
    <t>2026-03-16 14:42:41.043</t>
  </si>
  <si>
    <t xml:space="preserve">MMOHED11            </t>
  </si>
  <si>
    <t>2026-03-16 14:42:41.057</t>
  </si>
  <si>
    <t xml:space="preserve">MMOHED50            </t>
  </si>
  <si>
    <t>2026-03-16 14:42:41.073</t>
  </si>
  <si>
    <t xml:space="preserve">MMOHED97            </t>
  </si>
  <si>
    <t>2026-03-16 14:42:41.090</t>
  </si>
  <si>
    <t xml:space="preserve">MMOHED98            </t>
  </si>
  <si>
    <t>2026-03-16 14:42:41.107</t>
  </si>
  <si>
    <t xml:space="preserve">MMOHED65            </t>
  </si>
  <si>
    <t>2026-03-16 14:42:41.120</t>
  </si>
  <si>
    <t xml:space="preserve">MMOHED54            </t>
  </si>
  <si>
    <t>2026-03-16 14:42:41.137</t>
  </si>
  <si>
    <t xml:space="preserve">MMOHED55            </t>
  </si>
  <si>
    <t>2026-03-16 14:42:41.153</t>
  </si>
  <si>
    <t xml:space="preserve">MMOHED56            </t>
  </si>
  <si>
    <t>2026-03-16 14:42:41.167</t>
  </si>
  <si>
    <t xml:space="preserve">MMOLGE10            </t>
  </si>
  <si>
    <t>2026-03-16 14:42:41.400</t>
  </si>
  <si>
    <t xml:space="preserve">MMOLOG10            </t>
  </si>
  <si>
    <t>2026-03-16 14:42:41.633</t>
  </si>
  <si>
    <t xml:space="preserve">MMOLOG20            </t>
  </si>
  <si>
    <t>2026-03-16 14:42:41.650</t>
  </si>
  <si>
    <t xml:space="preserve">MMOLOG30            </t>
  </si>
  <si>
    <t>2026-03-16 14:42:41.667</t>
  </si>
  <si>
    <t xml:space="preserve">MMOMAA20            </t>
  </si>
  <si>
    <t>2026-03-16 14:42:41.900</t>
  </si>
  <si>
    <t xml:space="preserve">MMOMATA1            </t>
  </si>
  <si>
    <t>2026-03-16 14:42:42.133</t>
  </si>
  <si>
    <t xml:space="preserve">MMOMAT80            </t>
  </si>
  <si>
    <t>2026-03-16 14:42:42.150</t>
  </si>
  <si>
    <t xml:space="preserve">MMOMAT90            </t>
  </si>
  <si>
    <t>2026-03-16 14:42:42.167</t>
  </si>
  <si>
    <t xml:space="preserve">MMOMAT95            </t>
  </si>
  <si>
    <t>2026-03-16 14:42:42.180</t>
  </si>
  <si>
    <t xml:space="preserve">MMOMAT30            </t>
  </si>
  <si>
    <t>2026-03-16 14:42:42.197</t>
  </si>
  <si>
    <t xml:space="preserve">MMOMAT02            </t>
  </si>
  <si>
    <t>2026-03-16 14:42:42.213</t>
  </si>
  <si>
    <t xml:space="preserve">MMOMAT11            </t>
  </si>
  <si>
    <t>2026-03-16 14:42:42.227</t>
  </si>
  <si>
    <t xml:space="preserve">MMOMAT12            </t>
  </si>
  <si>
    <t>2026-03-16 14:42:42.243</t>
  </si>
  <si>
    <t xml:space="preserve">MMOMAT70            </t>
  </si>
  <si>
    <t>2026-03-16 14:42:42.260</t>
  </si>
  <si>
    <t xml:space="preserve">MMOMAT20            </t>
  </si>
  <si>
    <t>2026-03-16 14:42:42.277</t>
  </si>
  <si>
    <t xml:space="preserve">MMOMAT21            </t>
  </si>
  <si>
    <t>2026-03-16 14:42:42.290</t>
  </si>
  <si>
    <t xml:space="preserve">MMOMAT05            </t>
  </si>
  <si>
    <t>2026-03-16 14:42:42.307</t>
  </si>
  <si>
    <t xml:space="preserve">MMOMAT50            </t>
  </si>
  <si>
    <t>2026-03-16 14:42:42.323</t>
  </si>
  <si>
    <t xml:space="preserve">MMOMAT60            </t>
  </si>
  <si>
    <t>2026-03-16 14:42:42.337</t>
  </si>
  <si>
    <t xml:space="preserve">MMOMAT10            </t>
  </si>
  <si>
    <t>2026-03-16 14:42:42.353</t>
  </si>
  <si>
    <t xml:space="preserve">MMOMAT01            </t>
  </si>
  <si>
    <t>2026-03-16 14:42:42.370</t>
  </si>
  <si>
    <t xml:space="preserve">MMOMAT91            </t>
  </si>
  <si>
    <t>2026-03-16 14:42:42.383</t>
  </si>
  <si>
    <t xml:space="preserve">MMOMAT85            </t>
  </si>
  <si>
    <t>2026-03-16 14:42:42.400</t>
  </si>
  <si>
    <t xml:space="preserve">MMONET10            </t>
  </si>
  <si>
    <t>2026-03-16 14:42:42.633</t>
  </si>
  <si>
    <t xml:space="preserve">MMONET20            </t>
  </si>
  <si>
    <t>2026-03-16 14:42:42.650</t>
  </si>
  <si>
    <t xml:space="preserve">MMOOPE75            </t>
  </si>
  <si>
    <t>2026-03-16 14:42:42.883</t>
  </si>
  <si>
    <t xml:space="preserve">MMOOPE70            </t>
  </si>
  <si>
    <t>2026-03-16 14:42:42.900</t>
  </si>
  <si>
    <t xml:space="preserve">MMOOPE90            </t>
  </si>
  <si>
    <t>2026-03-16 14:42:42.917</t>
  </si>
  <si>
    <t xml:space="preserve">MMOOPE04            </t>
  </si>
  <si>
    <t>2026-03-16 14:42:42.930</t>
  </si>
  <si>
    <t xml:space="preserve">MMOOPE80            </t>
  </si>
  <si>
    <t>2026-03-16 14:42:42.947</t>
  </si>
  <si>
    <t xml:space="preserve">MMOOPE20            </t>
  </si>
  <si>
    <t>2026-03-16 14:42:42.963</t>
  </si>
  <si>
    <t xml:space="preserve">MMOOPE60            </t>
  </si>
  <si>
    <t>2026-03-16 14:42:42.977</t>
  </si>
  <si>
    <t xml:space="preserve">MMOOPE03            </t>
  </si>
  <si>
    <t>2026-03-16 14:42:42.993</t>
  </si>
  <si>
    <t xml:space="preserve">MMOOPE92            </t>
  </si>
  <si>
    <t>2026-03-16 14:42:43.010</t>
  </si>
  <si>
    <t xml:space="preserve">MMOOPE15            </t>
  </si>
  <si>
    <t>2026-03-16 14:42:43.027</t>
  </si>
  <si>
    <t xml:space="preserve">MMOOPE10            </t>
  </si>
  <si>
    <t>2026-03-16 14:42:43.040</t>
  </si>
  <si>
    <t>2026-03-16 14:42:43.057</t>
  </si>
  <si>
    <t xml:space="preserve">MMOOPE30            </t>
  </si>
  <si>
    <t>2026-03-16 14:42:43.073</t>
  </si>
  <si>
    <t xml:space="preserve">MMOOPE06            </t>
  </si>
  <si>
    <t>2026-03-16 14:42:43.087</t>
  </si>
  <si>
    <t xml:space="preserve">MMOOPE57            </t>
  </si>
  <si>
    <t>2026-03-16 14:42:43.103</t>
  </si>
  <si>
    <t xml:space="preserve">MMOOPE35            </t>
  </si>
  <si>
    <t>2026-03-16 14:42:43.120</t>
  </si>
  <si>
    <t xml:space="preserve">MMOOPE67            </t>
  </si>
  <si>
    <t>2026-03-16 14:42:43.133</t>
  </si>
  <si>
    <t xml:space="preserve">MMOOPE55            </t>
  </si>
  <si>
    <t>2026-03-16 14:42:43.150</t>
  </si>
  <si>
    <t xml:space="preserve">MMOOPE50            </t>
  </si>
  <si>
    <t>2026-03-16 14:42:43.167</t>
  </si>
  <si>
    <t xml:space="preserve">MMOOPE11            </t>
  </si>
  <si>
    <t>2026-03-16 14:42:43.180</t>
  </si>
  <si>
    <t xml:space="preserve">MMOOPE85            </t>
  </si>
  <si>
    <t>2026-03-16 14:42:43.197</t>
  </si>
  <si>
    <t xml:space="preserve">MMOOPE40            </t>
  </si>
  <si>
    <t>2026-03-16 14:42:43.210</t>
  </si>
  <si>
    <t xml:space="preserve">MMOOPE45            </t>
  </si>
  <si>
    <t>2026-03-16 14:42:43.227</t>
  </si>
  <si>
    <t xml:space="preserve">MMOOPE01            </t>
  </si>
  <si>
    <t>2026-03-16 14:42:43.243</t>
  </si>
  <si>
    <t xml:space="preserve">MMOOPE02            </t>
  </si>
  <si>
    <t>2026-03-16 14:42:43.257</t>
  </si>
  <si>
    <t xml:space="preserve">MMOOPE95            </t>
  </si>
  <si>
    <t>2026-03-16 14:42:43.273</t>
  </si>
  <si>
    <t xml:space="preserve">MMOOPE91            </t>
  </si>
  <si>
    <t>2026-03-16 14:42:43.290</t>
  </si>
  <si>
    <t xml:space="preserve">MMOOPE71            </t>
  </si>
  <si>
    <t>2026-03-16 14:42:43.303</t>
  </si>
  <si>
    <t xml:space="preserve">MMOOPL20            </t>
  </si>
  <si>
    <t>2026-03-16 14:42:43.540</t>
  </si>
  <si>
    <t xml:space="preserve">MMOOPS20            </t>
  </si>
  <si>
    <t>2026-03-16 14:42:43.773</t>
  </si>
  <si>
    <t xml:space="preserve">MMOOPS50            </t>
  </si>
  <si>
    <t>2026-03-16 14:42:43.790</t>
  </si>
  <si>
    <t xml:space="preserve">MMOOPS60            </t>
  </si>
  <si>
    <t>2026-03-16 14:42:43.803</t>
  </si>
  <si>
    <t xml:space="preserve">MMOOPS12            </t>
  </si>
  <si>
    <t>2026-03-16 14:42:43.820</t>
  </si>
  <si>
    <t xml:space="preserve">MMOOPS40            </t>
  </si>
  <si>
    <t>2026-03-16 14:42:43.837</t>
  </si>
  <si>
    <t xml:space="preserve">MMOOPS45            </t>
  </si>
  <si>
    <t>2026-03-16 14:42:43.850</t>
  </si>
  <si>
    <t xml:space="preserve">MMOOPS30            </t>
  </si>
  <si>
    <t>2026-03-16 14:42:43.867</t>
  </si>
  <si>
    <t xml:space="preserve">MMOOPS01            </t>
  </si>
  <si>
    <t>2026-03-16 14:42:43.883</t>
  </si>
  <si>
    <t xml:space="preserve">MMOOPS10            </t>
  </si>
  <si>
    <t>2026-03-16 14:42:43.897</t>
  </si>
  <si>
    <t xml:space="preserve">MMOPLP40            </t>
  </si>
  <si>
    <t>2026-03-16 14:42:44.133</t>
  </si>
  <si>
    <t xml:space="preserve">MMOPLP70            </t>
  </si>
  <si>
    <t>2026-03-16 14:42:44.147</t>
  </si>
  <si>
    <t xml:space="preserve">MMOPLP10            </t>
  </si>
  <si>
    <t>2026-03-16 14:42:44.163</t>
  </si>
  <si>
    <t xml:space="preserve">MMOPLP80            </t>
  </si>
  <si>
    <t>2026-03-16 14:42:44.180</t>
  </si>
  <si>
    <t xml:space="preserve">MMOPLP60            </t>
  </si>
  <si>
    <t>2026-03-16 14:42:44.197</t>
  </si>
  <si>
    <t xml:space="preserve">MMOPLP20            </t>
  </si>
  <si>
    <t>2026-03-16 14:42:44.210</t>
  </si>
  <si>
    <t xml:space="preserve">MMOPLP85            </t>
  </si>
  <si>
    <t>2026-03-16 14:42:44.227</t>
  </si>
  <si>
    <t xml:space="preserve">MMOPLP90            </t>
  </si>
  <si>
    <t>2026-03-16 14:42:44.243</t>
  </si>
  <si>
    <t xml:space="preserve">MMOPLP31            </t>
  </si>
  <si>
    <t>2026-03-16 14:42:44.257</t>
  </si>
  <si>
    <t xml:space="preserve">MMOPLP30            </t>
  </si>
  <si>
    <t>2026-03-16 14:42:44.273</t>
  </si>
  <si>
    <t xml:space="preserve">MMOPLP96            </t>
  </si>
  <si>
    <t>2026-03-16 14:42:44.290</t>
  </si>
  <si>
    <t xml:space="preserve">MMOPLP95            </t>
  </si>
  <si>
    <t>2026-03-16 14:42:44.303</t>
  </si>
  <si>
    <t xml:space="preserve">MMOPLP50            </t>
  </si>
  <si>
    <t>2026-03-16 14:42:44.320</t>
  </si>
  <si>
    <t xml:space="preserve">MMOPLX40            </t>
  </si>
  <si>
    <t>2026-03-16 14:42:44.553</t>
  </si>
  <si>
    <t xml:space="preserve">MMOPMA30            </t>
  </si>
  <si>
    <t>2026-03-16 14:42:44.790</t>
  </si>
  <si>
    <t xml:space="preserve">MMOPMA10            </t>
  </si>
  <si>
    <t>2026-03-16 14:42:44.803</t>
  </si>
  <si>
    <t xml:space="preserve">MMOPPO20            </t>
  </si>
  <si>
    <t>2026-03-16 14:42:45.040</t>
  </si>
  <si>
    <t xml:space="preserve">MMOPPO30            </t>
  </si>
  <si>
    <t>2026-03-16 14:42:45.053</t>
  </si>
  <si>
    <t xml:space="preserve">MMOPPO10            </t>
  </si>
  <si>
    <t>2026-03-16 14:42:45.070</t>
  </si>
  <si>
    <t xml:space="preserve">MMOPTR71            </t>
  </si>
  <si>
    <t>2026-03-16 14:42:45.303</t>
  </si>
  <si>
    <t xml:space="preserve">MMOPTR75            </t>
  </si>
  <si>
    <t>2026-03-16 14:42:45.330</t>
  </si>
  <si>
    <t xml:space="preserve">MMOPTR78            </t>
  </si>
  <si>
    <t>2026-03-16 14:42:45.343</t>
  </si>
  <si>
    <t xml:space="preserve">MMOPTR80            </t>
  </si>
  <si>
    <t>2026-03-16 14:42:45.360</t>
  </si>
  <si>
    <t xml:space="preserve">MMOPTR81            </t>
  </si>
  <si>
    <t>2026-03-16 14:42:45.377</t>
  </si>
  <si>
    <t xml:space="preserve">MMOPTR91            </t>
  </si>
  <si>
    <t>2026-03-16 14:42:45.390</t>
  </si>
  <si>
    <t xml:space="preserve">MMOPTR70            </t>
  </si>
  <si>
    <t>2026-03-16 14:42:45.407</t>
  </si>
  <si>
    <t xml:space="preserve">MMOPTR79            </t>
  </si>
  <si>
    <t>2026-03-16 14:42:45.423</t>
  </si>
  <si>
    <t xml:space="preserve">MMOPTR60            </t>
  </si>
  <si>
    <t>2026-03-16 14:42:45.437</t>
  </si>
  <si>
    <t xml:space="preserve">MMOPTR61            </t>
  </si>
  <si>
    <t>2026-03-16 14:42:45.453</t>
  </si>
  <si>
    <t xml:space="preserve">MMOPTR20            </t>
  </si>
  <si>
    <t>2026-03-16 14:42:45.470</t>
  </si>
  <si>
    <t xml:space="preserve">MMOPTR62            </t>
  </si>
  <si>
    <t>2026-03-16 14:42:45.487</t>
  </si>
  <si>
    <t xml:space="preserve">MMOPTR65            </t>
  </si>
  <si>
    <t>2026-03-16 14:42:45.500</t>
  </si>
  <si>
    <t xml:space="preserve">MMOPTR50            </t>
  </si>
  <si>
    <t>2026-03-16 14:42:45.517</t>
  </si>
  <si>
    <t xml:space="preserve">MMOPTR72            </t>
  </si>
  <si>
    <t>2026-03-16 14:42:45.533</t>
  </si>
  <si>
    <t xml:space="preserve">MMOPTR15            </t>
  </si>
  <si>
    <t>2026-03-16 14:42:45.547</t>
  </si>
  <si>
    <t xml:space="preserve">MMOPTR92            </t>
  </si>
  <si>
    <t>2026-03-16 14:42:45.563</t>
  </si>
  <si>
    <t xml:space="preserve">MMOPTR76            </t>
  </si>
  <si>
    <t>2026-03-16 14:42:45.580</t>
  </si>
  <si>
    <t xml:space="preserve">MMOPTR77            </t>
  </si>
  <si>
    <t>2026-03-16 14:42:45.593</t>
  </si>
  <si>
    <t xml:space="preserve">MMOPTR45            </t>
  </si>
  <si>
    <t>2026-03-16 14:42:45.610</t>
  </si>
  <si>
    <t xml:space="preserve">MMOPTR56            </t>
  </si>
  <si>
    <t>2026-03-16 14:42:45.627</t>
  </si>
  <si>
    <t xml:space="preserve">MMOPTR66            </t>
  </si>
  <si>
    <t>2026-03-16 14:42:45.640</t>
  </si>
  <si>
    <t xml:space="preserve">MMOPTR74            </t>
  </si>
  <si>
    <t>2026-03-16 14:42:45.657</t>
  </si>
  <si>
    <t>2026-03-16 14:42:45.673</t>
  </si>
  <si>
    <t xml:space="preserve">MMOPTR16            </t>
  </si>
  <si>
    <t>2026-03-16 14:42:45.687</t>
  </si>
  <si>
    <t>2026-03-16 14:42:45.690</t>
  </si>
  <si>
    <t xml:space="preserve">MMOPTR01            </t>
  </si>
  <si>
    <t>2026-03-16 14:42:45.697</t>
  </si>
  <si>
    <t xml:space="preserve">MMOPTR25            </t>
  </si>
  <si>
    <t>2026-03-16 14:42:45.713</t>
  </si>
  <si>
    <t xml:space="preserve">MMOPTR30            </t>
  </si>
  <si>
    <t>2026-03-16 14:42:45.730</t>
  </si>
  <si>
    <t xml:space="preserve">MMOPTR40            </t>
  </si>
  <si>
    <t>2026-03-16 14:42:45.743</t>
  </si>
  <si>
    <t xml:space="preserve">MMOPTR93            </t>
  </si>
  <si>
    <t>2026-03-16 14:42:45.760</t>
  </si>
  <si>
    <t xml:space="preserve">MMORID10            </t>
  </si>
  <si>
    <t>2026-03-16 14:42:45.997</t>
  </si>
  <si>
    <t xml:space="preserve">MMOSER21            </t>
  </si>
  <si>
    <t>2026-03-16 14:42:46.233</t>
  </si>
  <si>
    <t xml:space="preserve">MMOSER20            </t>
  </si>
  <si>
    <t>2026-03-16 14:42:46.247</t>
  </si>
  <si>
    <t xml:space="preserve">MMOSER30            </t>
  </si>
  <si>
    <t>2026-03-16 14:42:46.263</t>
  </si>
  <si>
    <t xml:space="preserve">MMOSER22            </t>
  </si>
  <si>
    <t>2026-03-16 14:42:46.277</t>
  </si>
  <si>
    <t xml:space="preserve">MMOSER10            </t>
  </si>
  <si>
    <t>2026-03-16 14:42:46.293</t>
  </si>
  <si>
    <t xml:space="preserve">MMOTOP10            </t>
  </si>
  <si>
    <t>2026-03-16 14:42:46.543</t>
  </si>
  <si>
    <t xml:space="preserve">MMOWSO10            </t>
  </si>
  <si>
    <t>2026-03-16 14:42:46.777</t>
  </si>
  <si>
    <t xml:space="preserve">MMOWST10            </t>
  </si>
  <si>
    <t>2026-03-16 14:42:47.013</t>
  </si>
  <si>
    <t xml:space="preserve">MMOWST90            </t>
  </si>
  <si>
    <t>2026-03-16 14:42:47.027</t>
  </si>
  <si>
    <t>2026-03-16 14:42:47.043</t>
  </si>
  <si>
    <t xml:space="preserve">MMOWSV10            </t>
  </si>
  <si>
    <t>2026-03-16 14:42:47.280</t>
  </si>
  <si>
    <t xml:space="preserve">MMOWSV20            </t>
  </si>
  <si>
    <t>2026-03-16 14:42:47.297</t>
  </si>
  <si>
    <t xml:space="preserve">MMPDRA20            </t>
  </si>
  <si>
    <t>2026-03-16 14:42:47.527</t>
  </si>
  <si>
    <t>2026-03-16 14:42:47.540</t>
  </si>
  <si>
    <t xml:space="preserve">MMPDRA10            </t>
  </si>
  <si>
    <t>2026-03-16 14:42:47.557</t>
  </si>
  <si>
    <t xml:space="preserve">MMPMAT30            </t>
  </si>
  <si>
    <t>2026-03-16 14:42:47.790</t>
  </si>
  <si>
    <t xml:space="preserve">MMPMAT05            </t>
  </si>
  <si>
    <t>2026-03-16 14:42:47.807</t>
  </si>
  <si>
    <t xml:space="preserve">MMPMAT11            </t>
  </si>
  <si>
    <t>2026-03-16 14:42:47.823</t>
  </si>
  <si>
    <t xml:space="preserve">MMPMAT60            </t>
  </si>
  <si>
    <t>2026-03-16 14:42:47.837</t>
  </si>
  <si>
    <t xml:space="preserve">MMPMAT91            </t>
  </si>
  <si>
    <t>2026-03-16 14:42:47.853</t>
  </si>
  <si>
    <t xml:space="preserve">MMPMAT40            </t>
  </si>
  <si>
    <t>2026-03-16 14:42:47.870</t>
  </si>
  <si>
    <t xml:space="preserve">MMPMAT10            </t>
  </si>
  <si>
    <t>2026-03-16 14:42:47.887</t>
  </si>
  <si>
    <t xml:space="preserve">MMPMAT20            </t>
  </si>
  <si>
    <t>2026-03-16 14:42:47.900</t>
  </si>
  <si>
    <t xml:space="preserve">MMPOPE70            </t>
  </si>
  <si>
    <t>2026-03-16 14:42:48.137</t>
  </si>
  <si>
    <t xml:space="preserve">MMPOPE90            </t>
  </si>
  <si>
    <t>2026-03-16 14:42:48.150</t>
  </si>
  <si>
    <t xml:space="preserve">MMPOPE80            </t>
  </si>
  <si>
    <t>2026-03-16 14:42:48.167</t>
  </si>
  <si>
    <t xml:space="preserve">MMPOPE20            </t>
  </si>
  <si>
    <t>2026-03-16 14:42:48.183</t>
  </si>
  <si>
    <t xml:space="preserve">MMPOPE30            </t>
  </si>
  <si>
    <t>2026-03-16 14:42:48.197</t>
  </si>
  <si>
    <t xml:space="preserve">MMPOPE10            </t>
  </si>
  <si>
    <t>2026-03-16 14:42:48.213</t>
  </si>
  <si>
    <t xml:space="preserve">MMPOPE15            </t>
  </si>
  <si>
    <t>2026-03-16 14:42:48.230</t>
  </si>
  <si>
    <t xml:space="preserve">MMPOPE35            </t>
  </si>
  <si>
    <t>2026-03-16 14:42:48.247</t>
  </si>
  <si>
    <t xml:space="preserve">MMPOPE67            </t>
  </si>
  <si>
    <t>2026-03-16 14:42:48.260</t>
  </si>
  <si>
    <t xml:space="preserve">MMPOPE11            </t>
  </si>
  <si>
    <t>2026-03-16 14:42:48.277</t>
  </si>
  <si>
    <t xml:space="preserve">MMPOPE85            </t>
  </si>
  <si>
    <t>2026-03-16 14:42:48.290</t>
  </si>
  <si>
    <t xml:space="preserve">MMPOPE40            </t>
  </si>
  <si>
    <t>2026-03-16 14:42:48.307</t>
  </si>
  <si>
    <t xml:space="preserve">MMPOPE45            </t>
  </si>
  <si>
    <t>2026-03-16 14:42:48.323</t>
  </si>
  <si>
    <t xml:space="preserve">MMPOPE01            </t>
  </si>
  <si>
    <t>2026-03-16 14:42:48.337</t>
  </si>
  <si>
    <t xml:space="preserve">MMPOPE91            </t>
  </si>
  <si>
    <t>2026-03-16 14:42:48.353</t>
  </si>
  <si>
    <t xml:space="preserve">MMPOPE50            </t>
  </si>
  <si>
    <t>2026-03-16 14:42:48.370</t>
  </si>
  <si>
    <t xml:space="preserve">MMPOPS12            </t>
  </si>
  <si>
    <t>2026-03-16 14:42:48.620</t>
  </si>
  <si>
    <t xml:space="preserve">MMPOPS40            </t>
  </si>
  <si>
    <t>2026-03-16 14:42:48.637</t>
  </si>
  <si>
    <t xml:space="preserve">MMPOPS10            </t>
  </si>
  <si>
    <t>2026-03-16 14:42:48.650</t>
  </si>
  <si>
    <t xml:space="preserve">MMQIRS10            </t>
  </si>
  <si>
    <t>2026-03-16 14:42:48.893</t>
  </si>
  <si>
    <t xml:space="preserve">MMQIRS01            </t>
  </si>
  <si>
    <t>2026-03-16 14:42:48.907</t>
  </si>
  <si>
    <t xml:space="preserve">MMRREM10            </t>
  </si>
  <si>
    <t>2026-03-16 14:42:49.153</t>
  </si>
  <si>
    <t>2026-03-16 14:42:49.157</t>
  </si>
  <si>
    <t xml:space="preserve">MMSTDE10            </t>
  </si>
  <si>
    <t>2026-03-16 14:42:49.387</t>
  </si>
  <si>
    <t xml:space="preserve">MMSTDE01            </t>
  </si>
  <si>
    <t>2026-03-16 14:42:49.403</t>
  </si>
  <si>
    <t xml:space="preserve">MMSTFI10            </t>
  </si>
  <si>
    <t>2026-03-16 14:42:49.647</t>
  </si>
  <si>
    <t xml:space="preserve">MMSVAD10            </t>
  </si>
  <si>
    <t>2026-03-16 14:42:49.887</t>
  </si>
  <si>
    <t xml:space="preserve">MMSVAH10            </t>
  </si>
  <si>
    <t>2026-03-16 14:42:50.133</t>
  </si>
  <si>
    <t xml:space="preserve">MMTOTR10            </t>
  </si>
  <si>
    <t>2026-03-16 14:42:50.377</t>
  </si>
  <si>
    <t xml:space="preserve">MMTOTR20            </t>
  </si>
  <si>
    <t>2026-03-16 14:42:50.393</t>
  </si>
  <si>
    <t xml:space="preserve">MMTOTR30            </t>
  </si>
  <si>
    <t>2026-03-16 14:42:50.407</t>
  </si>
  <si>
    <t xml:space="preserve">MMTPLP30            </t>
  </si>
  <si>
    <t>2026-03-16 14:42:50.643</t>
  </si>
  <si>
    <t>2026-03-16 14:42:50.657</t>
  </si>
  <si>
    <t xml:space="preserve">MMTPLP10            </t>
  </si>
  <si>
    <t>2026-03-16 14:42:50.673</t>
  </si>
  <si>
    <t xml:space="preserve">MMTTAB10            </t>
  </si>
  <si>
    <t>2026-03-16 14:42:50.917</t>
  </si>
  <si>
    <t>2026-03-16 14:42:50.923</t>
  </si>
  <si>
    <t xml:space="preserve">MMW15010            </t>
  </si>
  <si>
    <t>2026-03-16 14:42:51.170</t>
  </si>
  <si>
    <t xml:space="preserve">MMW20010            </t>
  </si>
  <si>
    <t>2026-03-16 14:42:51.403</t>
  </si>
  <si>
    <t xml:space="preserve">MMW30110            </t>
  </si>
  <si>
    <t>2026-03-16 14:42:51.630</t>
  </si>
  <si>
    <t xml:space="preserve">MMW41010            </t>
  </si>
  <si>
    <t>2026-03-16 14:42:51.867</t>
  </si>
  <si>
    <t xml:space="preserve">MMW41040            </t>
  </si>
  <si>
    <t>2026-03-16 14:42:51.880</t>
  </si>
  <si>
    <t xml:space="preserve">MMW41020            </t>
  </si>
  <si>
    <t>2026-03-16 14:42:51.897</t>
  </si>
  <si>
    <t xml:space="preserve">MMW41030            </t>
  </si>
  <si>
    <t>2026-03-16 14:42:51.913</t>
  </si>
  <si>
    <t xml:space="preserve">MMW41110            </t>
  </si>
  <si>
    <t>2026-03-16 14:42:52.147</t>
  </si>
  <si>
    <t xml:space="preserve">MMW41120            </t>
  </si>
  <si>
    <t>2026-03-16 14:42:52.163</t>
  </si>
  <si>
    <t xml:space="preserve">MMW42080            </t>
  </si>
  <si>
    <t>2026-03-16 14:42:52.397</t>
  </si>
  <si>
    <t xml:space="preserve">MMW42050            </t>
  </si>
  <si>
    <t>2026-03-16 14:42:52.413</t>
  </si>
  <si>
    <t xml:space="preserve">MMW42060            </t>
  </si>
  <si>
    <t>2026-03-16 14:42:52.427</t>
  </si>
  <si>
    <t xml:space="preserve">MMW42030            </t>
  </si>
  <si>
    <t>2026-03-16 14:42:52.443</t>
  </si>
  <si>
    <t xml:space="preserve">MMW42040            </t>
  </si>
  <si>
    <t>2026-03-16 14:42:52.460</t>
  </si>
  <si>
    <t xml:space="preserve">MMW42010            </t>
  </si>
  <si>
    <t>2026-03-16 14:42:52.477</t>
  </si>
  <si>
    <t xml:space="preserve">MMW42020            </t>
  </si>
  <si>
    <t>2026-03-16 14:42:52.490</t>
  </si>
  <si>
    <t xml:space="preserve">MMW42070            </t>
  </si>
  <si>
    <t>2026-03-16 14:42:52.507</t>
  </si>
  <si>
    <t xml:space="preserve">MMW42320            </t>
  </si>
  <si>
    <t>2026-03-16 14:42:52.740</t>
  </si>
  <si>
    <t>2026-03-16 14:42:52.943</t>
  </si>
  <si>
    <t xml:space="preserve">MMW42350            </t>
  </si>
  <si>
    <t>2026-03-16 14:42:52.960</t>
  </si>
  <si>
    <t>2026-03-16 14:42:53.177</t>
  </si>
  <si>
    <t xml:space="preserve">MMW42360            </t>
  </si>
  <si>
    <t>2026-03-16 14:42:53.193</t>
  </si>
  <si>
    <t>2026-03-16 14:42:53.413</t>
  </si>
  <si>
    <t>218</t>
  </si>
  <si>
    <t xml:space="preserve">MMW42340            </t>
  </si>
  <si>
    <t>2026-03-16 14:42:53.427</t>
  </si>
  <si>
    <t>2026-03-16 14:42:53.630</t>
  </si>
  <si>
    <t xml:space="preserve">MMW42310            </t>
  </si>
  <si>
    <t>2026-03-16 14:42:53.647</t>
  </si>
  <si>
    <t>2026-03-16 14:42:53.787</t>
  </si>
  <si>
    <t xml:space="preserve">MMW42330            </t>
  </si>
  <si>
    <t>2026-03-16 14:42:53.803</t>
  </si>
  <si>
    <t>2026-03-16 14:42:53.970</t>
  </si>
  <si>
    <t>168</t>
  </si>
  <si>
    <t xml:space="preserve">MMW42840            </t>
  </si>
  <si>
    <t>2026-03-16 14:42:54.207</t>
  </si>
  <si>
    <t xml:space="preserve">MMW42830            </t>
  </si>
  <si>
    <t>2026-03-16 14:42:54.220</t>
  </si>
  <si>
    <t xml:space="preserve">MMW42810            </t>
  </si>
  <si>
    <t>2026-03-16 14:42:54.237</t>
  </si>
  <si>
    <t xml:space="preserve">MMW42820            </t>
  </si>
  <si>
    <t>2026-03-16 14:42:54.253</t>
  </si>
  <si>
    <t xml:space="preserve">MMW44210            </t>
  </si>
  <si>
    <t>2026-03-16 14:42:54.503</t>
  </si>
  <si>
    <t xml:space="preserve">MMW44220            </t>
  </si>
  <si>
    <t>2026-03-16 14:42:54.517</t>
  </si>
  <si>
    <t xml:space="preserve">MMW48520            </t>
  </si>
  <si>
    <t>2026-03-16 14:42:54.753</t>
  </si>
  <si>
    <t xml:space="preserve">MMW48510            </t>
  </si>
  <si>
    <t>2026-03-16 14:42:54.767</t>
  </si>
  <si>
    <t xml:space="preserve">MMW64010            </t>
  </si>
  <si>
    <t>2026-03-16 14:42:55.003</t>
  </si>
  <si>
    <t xml:space="preserve">MMW64230            </t>
  </si>
  <si>
    <t>2026-03-16 14:42:55.237</t>
  </si>
  <si>
    <t xml:space="preserve">MMW64210            </t>
  </si>
  <si>
    <t>2026-03-16 14:42:55.253</t>
  </si>
  <si>
    <t xml:space="preserve">MMW64220            </t>
  </si>
  <si>
    <t>2026-03-16 14:42:55.267</t>
  </si>
  <si>
    <t xml:space="preserve">MMW64310            </t>
  </si>
  <si>
    <t>2026-03-16 14:42:55.503</t>
  </si>
  <si>
    <t xml:space="preserve">MMW91010            </t>
  </si>
  <si>
    <t>2026-03-16 14:42:55.743</t>
  </si>
  <si>
    <t xml:space="preserve">MMW91090            </t>
  </si>
  <si>
    <t>2026-03-16 14:42:55.760</t>
  </si>
  <si>
    <t xml:space="preserve">MMW97120            </t>
  </si>
  <si>
    <t>2026-03-16 14:42:55.993</t>
  </si>
  <si>
    <t xml:space="preserve">MMW97110            </t>
  </si>
  <si>
    <t>2026-03-16 14:42:56.010</t>
  </si>
  <si>
    <t xml:space="preserve">MMW97190            </t>
  </si>
  <si>
    <t>2026-03-16 14:42:56.027</t>
  </si>
  <si>
    <t xml:space="preserve">MMW97290            </t>
  </si>
  <si>
    <t>2026-03-16 14:42:56.263</t>
  </si>
  <si>
    <t xml:space="preserve">MMW97210            </t>
  </si>
  <si>
    <t>2026-03-16 14:42:56.277</t>
  </si>
  <si>
    <t xml:space="preserve">MMW97310            </t>
  </si>
  <si>
    <t>2026-03-16 14:42:56.513</t>
  </si>
  <si>
    <t xml:space="preserve">MMW97390            </t>
  </si>
  <si>
    <t>2026-03-16 14:42:56.527</t>
  </si>
  <si>
    <t xml:space="preserve">MMW97410            </t>
  </si>
  <si>
    <t>2026-03-16 14:42:56.763</t>
  </si>
  <si>
    <t xml:space="preserve">MMW97490            </t>
  </si>
  <si>
    <t>2026-03-16 14:42:56.777</t>
  </si>
  <si>
    <t xml:space="preserve">MMW97510            </t>
  </si>
  <si>
    <t>2026-03-16 14:42:57.013</t>
  </si>
  <si>
    <t xml:space="preserve">MMW97590            </t>
  </si>
  <si>
    <t>2026-03-16 14:42:57.027</t>
  </si>
  <si>
    <t xml:space="preserve">MMW97610            </t>
  </si>
  <si>
    <t>2026-03-16 14:42:57.263</t>
  </si>
  <si>
    <t xml:space="preserve">MMW97690            </t>
  </si>
  <si>
    <t>2026-03-16 14:42:57.277</t>
  </si>
  <si>
    <t xml:space="preserve">MMWCRZ10            </t>
  </si>
  <si>
    <t>2026-03-16 14:42:57.513</t>
  </si>
  <si>
    <t xml:space="preserve">MMXHED10            </t>
  </si>
  <si>
    <t>2026-03-16 14:42:57.747</t>
  </si>
  <si>
    <t xml:space="preserve">MMXHED11            </t>
  </si>
  <si>
    <t>2026-03-16 14:42:57.763</t>
  </si>
  <si>
    <t xml:space="preserve">MMXOPE10            </t>
  </si>
  <si>
    <t>2026-03-16 14:42:57.997</t>
  </si>
  <si>
    <t xml:space="preserve">MMXOPE11            </t>
  </si>
  <si>
    <t>2026-03-16 14:42:58.013</t>
  </si>
  <si>
    <t xml:space="preserve">MNOMAS10            </t>
  </si>
  <si>
    <t>2026-03-16 14:42:58.247</t>
  </si>
  <si>
    <t xml:space="preserve">MOADDR10            </t>
  </si>
  <si>
    <t>2026-03-16 14:42:58.480</t>
  </si>
  <si>
    <t xml:space="preserve">MOADDR20            </t>
  </si>
  <si>
    <t>2026-03-16 14:42:58.497</t>
  </si>
  <si>
    <t xml:space="preserve">MOADDR30            </t>
  </si>
  <si>
    <t>2026-03-16 14:42:58.513</t>
  </si>
  <si>
    <t xml:space="preserve">MOASCO10            </t>
  </si>
  <si>
    <t>2026-03-16 14:42:58.743</t>
  </si>
  <si>
    <t xml:space="preserve">MOASCO20            </t>
  </si>
  <si>
    <t>2026-03-16 14:42:58.760</t>
  </si>
  <si>
    <t xml:space="preserve">MOATTH10            </t>
  </si>
  <si>
    <t>2026-03-16 14:42:58.993</t>
  </si>
  <si>
    <t xml:space="preserve">MOATTR70            </t>
  </si>
  <si>
    <t>2026-03-16 14:42:59.227</t>
  </si>
  <si>
    <t xml:space="preserve">MOATTR30            </t>
  </si>
  <si>
    <t>2026-03-16 14:42:59.243</t>
  </si>
  <si>
    <t xml:space="preserve">MOATTR50            </t>
  </si>
  <si>
    <t>2026-03-16 14:42:59.260</t>
  </si>
  <si>
    <t xml:space="preserve">MOATTR40            </t>
  </si>
  <si>
    <t>2026-03-16 14:42:59.277</t>
  </si>
  <si>
    <t xml:space="preserve">MOATTR20            </t>
  </si>
  <si>
    <t>2026-03-16 14:42:59.290</t>
  </si>
  <si>
    <t xml:space="preserve">MOATTR25            </t>
  </si>
  <si>
    <t>2026-03-16 14:42:59.307</t>
  </si>
  <si>
    <t xml:space="preserve">MOATTR26            </t>
  </si>
  <si>
    <t>2026-03-16 14:42:59.323</t>
  </si>
  <si>
    <t xml:space="preserve">MOATTR80            </t>
  </si>
  <si>
    <t>2026-03-16 14:42:59.337</t>
  </si>
  <si>
    <t xml:space="preserve">MOATTR90            </t>
  </si>
  <si>
    <t>2026-03-16 14:42:59.353</t>
  </si>
  <si>
    <t xml:space="preserve">MOATTR60            </t>
  </si>
  <si>
    <t>2026-03-16 14:42:59.383</t>
  </si>
  <si>
    <t xml:space="preserve">MOATTR65            </t>
  </si>
  <si>
    <t>2026-03-16 14:42:59.400</t>
  </si>
  <si>
    <t xml:space="preserve">MOATTR95            </t>
  </si>
  <si>
    <t>2026-03-16 14:42:59.417</t>
  </si>
  <si>
    <t xml:space="preserve">MOATTR01            </t>
  </si>
  <si>
    <t>2026-03-16 14:42:59.430</t>
  </si>
  <si>
    <t xml:space="preserve">MOCESE10            </t>
  </si>
  <si>
    <t>2026-03-16 14:42:59.667</t>
  </si>
  <si>
    <t xml:space="preserve">MOCHPN30            </t>
  </si>
  <si>
    <t>2026-03-16 14:42:59.900</t>
  </si>
  <si>
    <t xml:space="preserve">MOCHPN10            </t>
  </si>
  <si>
    <t>2026-03-16 14:42:59.917</t>
  </si>
  <si>
    <t xml:space="preserve">MOCHPN20            </t>
  </si>
  <si>
    <t>2026-03-16 14:42:59.933</t>
  </si>
  <si>
    <t xml:space="preserve">MODACT30            </t>
  </si>
  <si>
    <t>2026-03-16 14:43:00.157</t>
  </si>
  <si>
    <t>2026-03-16 14:43:00.173</t>
  </si>
  <si>
    <t xml:space="preserve">MODACT10            </t>
  </si>
  <si>
    <t>2026-03-16 14:43:00.190</t>
  </si>
  <si>
    <t xml:space="preserve">MODACT20            </t>
  </si>
  <si>
    <t>2026-03-16 14:43:00.207</t>
  </si>
  <si>
    <t xml:space="preserve">MODACT40            </t>
  </si>
  <si>
    <t>2026-03-16 14:43:00.220</t>
  </si>
  <si>
    <t xml:space="preserve">MODORE10            </t>
  </si>
  <si>
    <t>2026-03-16 14:43:00.457</t>
  </si>
  <si>
    <t xml:space="preserve">MODORE20            </t>
  </si>
  <si>
    <t>2026-03-16 14:43:00.470</t>
  </si>
  <si>
    <t xml:space="preserve">MOFACI10            </t>
  </si>
  <si>
    <t>2026-03-16 14:43:00.707</t>
  </si>
  <si>
    <t xml:space="preserve">MOHEAD60            </t>
  </si>
  <si>
    <t>2026-03-16 14:43:00.940</t>
  </si>
  <si>
    <t xml:space="preserve">MOHEAD10            </t>
  </si>
  <si>
    <t>2026-03-16 14:43:00.957</t>
  </si>
  <si>
    <t xml:space="preserve">MOHEAD80            </t>
  </si>
  <si>
    <t>2026-03-16 14:43:00.970</t>
  </si>
  <si>
    <t xml:space="preserve">MOHEAD50            </t>
  </si>
  <si>
    <t>2026-03-16 14:43:00.987</t>
  </si>
  <si>
    <t xml:space="preserve">MOHEAD70            </t>
  </si>
  <si>
    <t>2026-03-16 14:43:01.003</t>
  </si>
  <si>
    <t xml:space="preserve">MOHEAD20            </t>
  </si>
  <si>
    <t>2026-03-16 14:43:01.017</t>
  </si>
  <si>
    <t xml:space="preserve">MOHEAD30            </t>
  </si>
  <si>
    <t>2026-03-16 14:43:01.033</t>
  </si>
  <si>
    <t xml:space="preserve">MOHEAD40            </t>
  </si>
  <si>
    <t>2026-03-16 14:43:01.050</t>
  </si>
  <si>
    <t xml:space="preserve">MOHEAD02            </t>
  </si>
  <si>
    <t>2026-03-16 14:43:01.067</t>
  </si>
  <si>
    <t xml:space="preserve">MOHEAR10            </t>
  </si>
  <si>
    <t>2026-03-16 14:43:01.317</t>
  </si>
  <si>
    <t xml:space="preserve">MOLINE10            </t>
  </si>
  <si>
    <t>2026-03-16 14:43:01.550</t>
  </si>
  <si>
    <t xml:space="preserve">MOLINE20            </t>
  </si>
  <si>
    <t>2026-03-16 14:43:01.567</t>
  </si>
  <si>
    <t xml:space="preserve">MOLINE30            </t>
  </si>
  <si>
    <t>2026-03-16 14:43:01.580</t>
  </si>
  <si>
    <t xml:space="preserve">MOMPGE10            </t>
  </si>
  <si>
    <t>2026-03-16 14:43:01.817</t>
  </si>
  <si>
    <t xml:space="preserve">MOMPGL10            </t>
  </si>
  <si>
    <t>2026-03-16 14:43:02.050</t>
  </si>
  <si>
    <t xml:space="preserve">MOMPGL20            </t>
  </si>
  <si>
    <t>2026-03-16 14:43:02.067</t>
  </si>
  <si>
    <t xml:space="preserve">MOMPGL30            </t>
  </si>
  <si>
    <t>2026-03-16 14:43:02.083</t>
  </si>
  <si>
    <t xml:space="preserve">MOMPGM10            </t>
  </si>
  <si>
    <t>2026-03-16 14:43:02.333</t>
  </si>
  <si>
    <t xml:space="preserve">MOMPGM20            </t>
  </si>
  <si>
    <t>2026-03-16 14:43:02.347</t>
  </si>
  <si>
    <t xml:space="preserve">MOMPGR20            </t>
  </si>
  <si>
    <t>2026-03-16 14:43:02.583</t>
  </si>
  <si>
    <t xml:space="preserve">MOMPGR01            </t>
  </si>
  <si>
    <t>2026-03-16 14:43:02.597</t>
  </si>
  <si>
    <t xml:space="preserve">MOMPGR02            </t>
  </si>
  <si>
    <t>2026-03-16 14:43:02.613</t>
  </si>
  <si>
    <t xml:space="preserve">MOMPGR10            </t>
  </si>
  <si>
    <t>2026-03-16 14:43:02.627</t>
  </si>
  <si>
    <t xml:space="preserve">MOMPGS10            </t>
  </si>
  <si>
    <t>2026-03-16 14:43:02.863</t>
  </si>
  <si>
    <t xml:space="preserve">MOMPGS20            </t>
  </si>
  <si>
    <t>2026-03-16 14:43:02.877</t>
  </si>
  <si>
    <t xml:space="preserve">MOMWHL10            </t>
  </si>
  <si>
    <t>2026-03-16 14:43:03.113</t>
  </si>
  <si>
    <t xml:space="preserve">MOOPGM10            </t>
  </si>
  <si>
    <t>2026-03-16 14:43:03.347</t>
  </si>
  <si>
    <t xml:space="preserve">MOOPPL10            </t>
  </si>
  <si>
    <t>2026-03-16 14:43:03.583</t>
  </si>
  <si>
    <t xml:space="preserve">MOOPPL20            </t>
  </si>
  <si>
    <t>2026-03-16 14:43:03.597</t>
  </si>
  <si>
    <t xml:space="preserve">MOOPPS20            </t>
  </si>
  <si>
    <t>2026-03-16 14:43:03.833</t>
  </si>
  <si>
    <t xml:space="preserve">MOOPPS10            </t>
  </si>
  <si>
    <t>2026-03-16 14:43:03.847</t>
  </si>
  <si>
    <t xml:space="preserve">MOPERM10            </t>
  </si>
  <si>
    <t>2026-03-16 14:43:04.083</t>
  </si>
  <si>
    <t xml:space="preserve">MOSCRQ10            </t>
  </si>
  <si>
    <t>2026-03-16 14:43:04.317</t>
  </si>
  <si>
    <t xml:space="preserve">MOSEDT10            </t>
  </si>
  <si>
    <t>2026-03-16 14:43:04.550</t>
  </si>
  <si>
    <t xml:space="preserve">MOSEPR10            </t>
  </si>
  <si>
    <t>2026-03-16 14:43:04.787</t>
  </si>
  <si>
    <t xml:space="preserve">MOTOOL15            </t>
  </si>
  <si>
    <t>2026-03-16 14:43:05.020</t>
  </si>
  <si>
    <t xml:space="preserve">MOTOOL10            </t>
  </si>
  <si>
    <t>2026-03-16 14:43:05.037</t>
  </si>
  <si>
    <t xml:space="preserve">MOTOOL25            </t>
  </si>
  <si>
    <t>2026-03-16 14:43:05.050</t>
  </si>
  <si>
    <t xml:space="preserve">MOTOOL20            </t>
  </si>
  <si>
    <t>2026-03-16 14:43:05.067</t>
  </si>
  <si>
    <t xml:space="preserve">MOTOOL05            </t>
  </si>
  <si>
    <t>2026-03-16 14:43:05.083</t>
  </si>
  <si>
    <t xml:space="preserve">MPACIL10            </t>
  </si>
  <si>
    <t>2026-03-16 14:43:05.323</t>
  </si>
  <si>
    <t xml:space="preserve">MPACIT10            </t>
  </si>
  <si>
    <t>2026-03-16 14:43:05.557</t>
  </si>
  <si>
    <t xml:space="preserve">MPACIT20            </t>
  </si>
  <si>
    <t>2026-03-16 14:43:05.573</t>
  </si>
  <si>
    <t>2026-03-16 14:43:05.587</t>
  </si>
  <si>
    <t xml:space="preserve">MPACIT30            </t>
  </si>
  <si>
    <t>2026-03-16 14:43:05.603</t>
  </si>
  <si>
    <t xml:space="preserve">MPACIT40            </t>
  </si>
  <si>
    <t>2026-03-16 14:43:05.620</t>
  </si>
  <si>
    <t xml:space="preserve">MPAGRB10            </t>
  </si>
  <si>
    <t>2026-03-16 14:43:05.853</t>
  </si>
  <si>
    <t xml:space="preserve">MPAGRE10            </t>
  </si>
  <si>
    <t>2026-03-16 14:43:06.087</t>
  </si>
  <si>
    <t xml:space="preserve">MPAGRF10            </t>
  </si>
  <si>
    <t>2026-03-16 14:43:06.323</t>
  </si>
  <si>
    <t>2026-03-16 14:43:06.337</t>
  </si>
  <si>
    <t xml:space="preserve">MPAGRH50            </t>
  </si>
  <si>
    <t>2026-03-16 14:43:06.570</t>
  </si>
  <si>
    <t xml:space="preserve">MPAGRH30            </t>
  </si>
  <si>
    <t>2026-03-16 14:43:06.587</t>
  </si>
  <si>
    <t xml:space="preserve">MPAGRH60            </t>
  </si>
  <si>
    <t>2026-03-16 14:43:06.603</t>
  </si>
  <si>
    <t xml:space="preserve">MPAGRH70            </t>
  </si>
  <si>
    <t>2026-03-16 14:43:06.617</t>
  </si>
  <si>
    <t xml:space="preserve">MPAGRH20            </t>
  </si>
  <si>
    <t>2026-03-16 14:43:06.640</t>
  </si>
  <si>
    <t xml:space="preserve">MPAGRH40            </t>
  </si>
  <si>
    <t>2026-03-16 14:43:06.657</t>
  </si>
  <si>
    <t xml:space="preserve">MPAGRH10            </t>
  </si>
  <si>
    <t>2026-03-16 14:43:06.670</t>
  </si>
  <si>
    <t xml:space="preserve">MPAGRL60            </t>
  </si>
  <si>
    <t>2026-03-16 14:43:06.907</t>
  </si>
  <si>
    <t xml:space="preserve">MPAGRL50            </t>
  </si>
  <si>
    <t>2026-03-16 14:43:06.920</t>
  </si>
  <si>
    <t xml:space="preserve">MPAGRL10            </t>
  </si>
  <si>
    <t>2026-03-16 14:43:06.937</t>
  </si>
  <si>
    <t xml:space="preserve">MPAGRL20            </t>
  </si>
  <si>
    <t>2026-03-16 14:43:06.953</t>
  </si>
  <si>
    <t xml:space="preserve">MPAGRL30            </t>
  </si>
  <si>
    <t>2026-03-16 14:43:06.967</t>
  </si>
  <si>
    <t xml:space="preserve">MPAGRL40            </t>
  </si>
  <si>
    <t>2026-03-16 14:43:06.983</t>
  </si>
  <si>
    <t>2026-03-16 14:43:07.000</t>
  </si>
  <si>
    <t xml:space="preserve">MPAGRP30            </t>
  </si>
  <si>
    <t>2026-03-16 14:43:07.233</t>
  </si>
  <si>
    <t xml:space="preserve">MPAGRS20            </t>
  </si>
  <si>
    <t>2026-03-16 14:43:07.467</t>
  </si>
  <si>
    <t xml:space="preserve">MPAGRS30            </t>
  </si>
  <si>
    <t>2026-03-16 14:43:07.483</t>
  </si>
  <si>
    <t xml:space="preserve">MPAGRS10            </t>
  </si>
  <si>
    <t>2026-03-16 14:43:07.500</t>
  </si>
  <si>
    <t xml:space="preserve">MPAPMA10            </t>
  </si>
  <si>
    <t>2026-03-16 14:43:07.740</t>
  </si>
  <si>
    <t xml:space="preserve">MPAPMA20            </t>
  </si>
  <si>
    <t>2026-03-16 14:43:07.753</t>
  </si>
  <si>
    <t xml:space="preserve">MPAUTD10            </t>
  </si>
  <si>
    <t>2026-03-16 14:43:07.990</t>
  </si>
  <si>
    <t xml:space="preserve">MPAUTD20            </t>
  </si>
  <si>
    <t>2026-03-16 14:43:08.003</t>
  </si>
  <si>
    <t>2026-03-16 14:43:08.020</t>
  </si>
  <si>
    <t xml:space="preserve">MPAUTW10            </t>
  </si>
  <si>
    <t>2026-03-16 14:43:08.253</t>
  </si>
  <si>
    <t xml:space="preserve">MPAUTW20            </t>
  </si>
  <si>
    <t>2026-03-16 14:43:08.270</t>
  </si>
  <si>
    <t xml:space="preserve">MPC25010            </t>
  </si>
  <si>
    <t>2026-03-16 14:43:08.503</t>
  </si>
  <si>
    <t xml:space="preserve">MPC30400            </t>
  </si>
  <si>
    <t>2026-03-16 14:43:08.740</t>
  </si>
  <si>
    <t xml:space="preserve">MPC44100            </t>
  </si>
  <si>
    <t>2026-03-16 14:43:08.973</t>
  </si>
  <si>
    <t xml:space="preserve">MPC45100            </t>
  </si>
  <si>
    <t>2026-03-16 14:43:09.207</t>
  </si>
  <si>
    <t xml:space="preserve">MPC45200            </t>
  </si>
  <si>
    <t>2026-03-16 14:43:09.443</t>
  </si>
  <si>
    <t xml:space="preserve">MPC46100            </t>
  </si>
  <si>
    <t>2026-03-16 14:43:09.677</t>
  </si>
  <si>
    <t xml:space="preserve">MPC46200            </t>
  </si>
  <si>
    <t>2026-03-16 14:43:09.910</t>
  </si>
  <si>
    <t xml:space="preserve">MPC47100            </t>
  </si>
  <si>
    <t>2026-03-16 14:43:10.140</t>
  </si>
  <si>
    <t xml:space="preserve">MPCCDF10            </t>
  </si>
  <si>
    <t>2026-03-16 14:43:10.390</t>
  </si>
  <si>
    <t>2026-03-16 14:43:10.407</t>
  </si>
  <si>
    <t xml:space="preserve">MPCCID10            </t>
  </si>
  <si>
    <t>2026-03-16 14:43:10.640</t>
  </si>
  <si>
    <t>2026-03-16 14:43:10.657</t>
  </si>
  <si>
    <t xml:space="preserve">MPCELE30            </t>
  </si>
  <si>
    <t>2026-03-16 14:43:10.890</t>
  </si>
  <si>
    <t>2026-03-16 14:43:10.907</t>
  </si>
  <si>
    <t xml:space="preserve">MPCELE10            </t>
  </si>
  <si>
    <t>2026-03-16 14:43:10.923</t>
  </si>
  <si>
    <t xml:space="preserve">MPCELE20            </t>
  </si>
  <si>
    <t>2026-03-16 14:43:10.937</t>
  </si>
  <si>
    <t xml:space="preserve">MPCELN10            </t>
  </si>
  <si>
    <t>2026-03-16 14:43:11.173</t>
  </si>
  <si>
    <t xml:space="preserve">MPCKLG20            </t>
  </si>
  <si>
    <t>2026-03-16 14:43:11.423</t>
  </si>
  <si>
    <t>2026-03-16 14:43:11.437</t>
  </si>
  <si>
    <t xml:space="preserve">MPCKLG10            </t>
  </si>
  <si>
    <t>2026-03-16 14:43:11.453</t>
  </si>
  <si>
    <t xml:space="preserve">MPCKLT20            </t>
  </si>
  <si>
    <t>2026-03-16 14:43:11.687</t>
  </si>
  <si>
    <t xml:space="preserve">MPCKLT40            </t>
  </si>
  <si>
    <t>2026-03-16 14:43:11.703</t>
  </si>
  <si>
    <t xml:space="preserve">MPCKLT30            </t>
  </si>
  <si>
    <t>2026-03-16 14:43:11.720</t>
  </si>
  <si>
    <t xml:space="preserve">MPCKLT10            </t>
  </si>
  <si>
    <t>2026-03-16 14:43:11.737</t>
  </si>
  <si>
    <t xml:space="preserve">MPCLAH50            </t>
  </si>
  <si>
    <t>2026-03-16 14:43:11.970</t>
  </si>
  <si>
    <t xml:space="preserve">MPCLAH20            </t>
  </si>
  <si>
    <t>2026-03-16 14:43:11.983</t>
  </si>
  <si>
    <t xml:space="preserve">MPCLAH30            </t>
  </si>
  <si>
    <t>2026-03-16 14:43:12.000</t>
  </si>
  <si>
    <t xml:space="preserve">MPCLAH40            </t>
  </si>
  <si>
    <t>2026-03-16 14:43:12.017</t>
  </si>
  <si>
    <t xml:space="preserve">MPCLAH10            </t>
  </si>
  <si>
    <t>2026-03-16 14:43:12.030</t>
  </si>
  <si>
    <t xml:space="preserve">MPCLAL30            </t>
  </si>
  <si>
    <t>2026-03-16 14:43:12.267</t>
  </si>
  <si>
    <t xml:space="preserve">MPCLAL40            </t>
  </si>
  <si>
    <t>2026-03-16 14:43:12.280</t>
  </si>
  <si>
    <t xml:space="preserve">MPCLAL10            </t>
  </si>
  <si>
    <t>2026-03-16 14:43:12.297</t>
  </si>
  <si>
    <t xml:space="preserve">MPCLAL20            </t>
  </si>
  <si>
    <t>2026-03-16 14:43:12.310</t>
  </si>
  <si>
    <t xml:space="preserve">MPCLAL50            </t>
  </si>
  <si>
    <t>2026-03-16 14:43:12.327</t>
  </si>
  <si>
    <t xml:space="preserve">MPCLAL70            </t>
  </si>
  <si>
    <t>2026-03-16 14:43:12.343</t>
  </si>
  <si>
    <t xml:space="preserve">MPCLAL60            </t>
  </si>
  <si>
    <t>2026-03-16 14:43:12.357</t>
  </si>
  <si>
    <t xml:space="preserve">MPCMFO10            </t>
  </si>
  <si>
    <t>2026-03-16 14:43:12.593</t>
  </si>
  <si>
    <t xml:space="preserve">MPCMFO20            </t>
  </si>
  <si>
    <t>2026-03-16 14:43:12.607</t>
  </si>
  <si>
    <t xml:space="preserve">MPCSDF10            </t>
  </si>
  <si>
    <t>2026-03-16 14:43:12.843</t>
  </si>
  <si>
    <t xml:space="preserve">MPD00110            </t>
  </si>
  <si>
    <t>2026-03-16 14:43:13.077</t>
  </si>
  <si>
    <t xml:space="preserve">MPD00120            </t>
  </si>
  <si>
    <t>2026-03-16 14:43:13.093</t>
  </si>
  <si>
    <t xml:space="preserve">MPD00130            </t>
  </si>
  <si>
    <t>2026-03-16 14:43:13.107</t>
  </si>
  <si>
    <t xml:space="preserve">MPD01720            </t>
  </si>
  <si>
    <t>2026-03-16 14:43:13.343</t>
  </si>
  <si>
    <t xml:space="preserve">MPD017RR            </t>
  </si>
  <si>
    <t>2026-03-16 14:43:13.357</t>
  </si>
  <si>
    <t xml:space="preserve">MPD01710            </t>
  </si>
  <si>
    <t>2026-03-16 14:43:13.373</t>
  </si>
  <si>
    <t xml:space="preserve">MPD01810            </t>
  </si>
  <si>
    <t>2026-03-16 14:43:13.623</t>
  </si>
  <si>
    <t xml:space="preserve">MPD06110            </t>
  </si>
  <si>
    <t>2026-03-16 14:43:13.857</t>
  </si>
  <si>
    <t xml:space="preserve">MPD07310            </t>
  </si>
  <si>
    <t>2026-03-16 14:43:14.093</t>
  </si>
  <si>
    <t xml:space="preserve">MPD10010            </t>
  </si>
  <si>
    <t>2026-03-16 14:43:14.327</t>
  </si>
  <si>
    <t xml:space="preserve">MPD10020            </t>
  </si>
  <si>
    <t>2026-03-16 14:43:14.343</t>
  </si>
  <si>
    <t xml:space="preserve">MPD35D10            </t>
  </si>
  <si>
    <t>2026-03-16 14:43:14.573</t>
  </si>
  <si>
    <t>2026-03-16 14:43:14.587</t>
  </si>
  <si>
    <t xml:space="preserve">MPD35P10            </t>
  </si>
  <si>
    <t>2026-03-16 14:43:14.823</t>
  </si>
  <si>
    <t xml:space="preserve">MPD35P20            </t>
  </si>
  <si>
    <t>2026-03-16 14:43:14.837</t>
  </si>
  <si>
    <t xml:space="preserve">MPD60B20            </t>
  </si>
  <si>
    <t>2026-03-16 14:43:15.073</t>
  </si>
  <si>
    <t xml:space="preserve">MPD60C20            </t>
  </si>
  <si>
    <t>2026-03-16 14:43:15.307</t>
  </si>
  <si>
    <t xml:space="preserve">MPD60C10            </t>
  </si>
  <si>
    <t>2026-03-16 14:43:15.323</t>
  </si>
  <si>
    <t xml:space="preserve">MPD60E20            </t>
  </si>
  <si>
    <t>2026-03-16 14:43:15.557</t>
  </si>
  <si>
    <t xml:space="preserve">MPD60F20            </t>
  </si>
  <si>
    <t>2026-03-16 14:43:15.793</t>
  </si>
  <si>
    <t xml:space="preserve">MPD60O10            </t>
  </si>
  <si>
    <t>2026-03-16 14:43:16.027</t>
  </si>
  <si>
    <t xml:space="preserve">MPD61P00            </t>
  </si>
  <si>
    <t>2026-03-16 14:43:16.260</t>
  </si>
  <si>
    <t xml:space="preserve">MPD91190            </t>
  </si>
  <si>
    <t>2026-03-16 14:43:16.497</t>
  </si>
  <si>
    <t xml:space="preserve">MPD91110            </t>
  </si>
  <si>
    <t>2026-03-16 14:43:16.510</t>
  </si>
  <si>
    <t xml:space="preserve">MPDACT10            </t>
  </si>
  <si>
    <t>2026-03-16 14:43:16.760</t>
  </si>
  <si>
    <t xml:space="preserve">MPDACT20            </t>
  </si>
  <si>
    <t>2026-03-16 14:43:16.777</t>
  </si>
  <si>
    <t xml:space="preserve">MPDALI10            </t>
  </si>
  <si>
    <t>2026-03-16 14:43:17.030</t>
  </si>
  <si>
    <t xml:space="preserve">MPDCAD01            </t>
  </si>
  <si>
    <t>2026-03-16 14:43:17.263</t>
  </si>
  <si>
    <t xml:space="preserve">MPDCAP10            </t>
  </si>
  <si>
    <t>2026-03-16 14:43:17.500</t>
  </si>
  <si>
    <t xml:space="preserve">MPDCD120            </t>
  </si>
  <si>
    <t>2026-03-16 14:43:17.733</t>
  </si>
  <si>
    <t xml:space="preserve">MPDCD130            </t>
  </si>
  <si>
    <t>2026-03-16 14:43:17.750</t>
  </si>
  <si>
    <t xml:space="preserve">MPDCD110            </t>
  </si>
  <si>
    <t>2026-03-16 14:43:17.763</t>
  </si>
  <si>
    <t xml:space="preserve">MPDCDF30            </t>
  </si>
  <si>
    <t>2026-03-16 14:43:18.000</t>
  </si>
  <si>
    <t xml:space="preserve">MPDCDF10            </t>
  </si>
  <si>
    <t>2026-03-16 14:43:18.013</t>
  </si>
  <si>
    <t xml:space="preserve">MPDCDF20            </t>
  </si>
  <si>
    <t>2026-03-16 14:43:18.030</t>
  </si>
  <si>
    <t xml:space="preserve">MPDCDL20            </t>
  </si>
  <si>
    <t>2026-03-16 14:43:18.263</t>
  </si>
  <si>
    <t xml:space="preserve">MPDCDL30            </t>
  </si>
  <si>
    <t>2026-03-16 14:43:18.280</t>
  </si>
  <si>
    <t xml:space="preserve">MPDCDL10            </t>
  </si>
  <si>
    <t>2026-03-16 14:43:18.297</t>
  </si>
  <si>
    <t xml:space="preserve">MPDCDM10            </t>
  </si>
  <si>
    <t>2026-03-16 14:43:18.530</t>
  </si>
  <si>
    <t xml:space="preserve">MPDCDX20            </t>
  </si>
  <si>
    <t>2026-03-16 14:43:18.763</t>
  </si>
  <si>
    <t xml:space="preserve">MPDCDX10            </t>
  </si>
  <si>
    <t>2026-03-16 14:43:18.780</t>
  </si>
  <si>
    <t xml:space="preserve">MPDCHF10            </t>
  </si>
  <si>
    <t>2026-03-16 14:43:19.020</t>
  </si>
  <si>
    <t xml:space="preserve">MPDCHF15            </t>
  </si>
  <si>
    <t>2026-03-16 14:43:19.037</t>
  </si>
  <si>
    <t xml:space="preserve">MPDCHF80            </t>
  </si>
  <si>
    <t>2026-03-16 14:43:19.050</t>
  </si>
  <si>
    <t xml:space="preserve">MPDCHF85            </t>
  </si>
  <si>
    <t>2026-03-16 14:43:19.067</t>
  </si>
  <si>
    <t xml:space="preserve">MPDCHF30            </t>
  </si>
  <si>
    <t>2026-03-16 14:43:19.083</t>
  </si>
  <si>
    <t xml:space="preserve">MPDCHF40            </t>
  </si>
  <si>
    <t>2026-03-16 14:43:19.097</t>
  </si>
  <si>
    <t xml:space="preserve">MPDCHF50            </t>
  </si>
  <si>
    <t>2026-03-16 14:43:19.113</t>
  </si>
  <si>
    <t xml:space="preserve">MPDCHF16            </t>
  </si>
  <si>
    <t>2026-03-16 14:43:19.130</t>
  </si>
  <si>
    <t xml:space="preserve">MPDCHF70            </t>
  </si>
  <si>
    <t>2026-03-16 14:43:19.147</t>
  </si>
  <si>
    <t xml:space="preserve">MPDCHF20            </t>
  </si>
  <si>
    <t>2026-03-16 14:43:19.160</t>
  </si>
  <si>
    <t xml:space="preserve">MPDCHF60            </t>
  </si>
  <si>
    <t>2026-03-16 14:43:19.177</t>
  </si>
  <si>
    <t xml:space="preserve">MPDCHG10            </t>
  </si>
  <si>
    <t>2026-03-16 14:43:19.410</t>
  </si>
  <si>
    <t xml:space="preserve">MPDCPA10            </t>
  </si>
  <si>
    <t>2026-03-16 14:43:19.660</t>
  </si>
  <si>
    <t xml:space="preserve">MPDCPN10            </t>
  </si>
  <si>
    <t>2026-03-16 14:43:19.897</t>
  </si>
  <si>
    <t xml:space="preserve">MPDCPN20            </t>
  </si>
  <si>
    <t>2026-03-16 14:43:19.910</t>
  </si>
  <si>
    <t xml:space="preserve">MPDCPR20            </t>
  </si>
  <si>
    <t>2026-03-16 14:43:20.143</t>
  </si>
  <si>
    <t xml:space="preserve">MPDCPR10            </t>
  </si>
  <si>
    <t>2026-03-16 14:43:20.157</t>
  </si>
  <si>
    <t xml:space="preserve">MPDDAL30            </t>
  </si>
  <si>
    <t>2026-03-16 14:43:20.400</t>
  </si>
  <si>
    <t xml:space="preserve">MPDDAL10            </t>
  </si>
  <si>
    <t>2026-03-16 14:43:20.417</t>
  </si>
  <si>
    <t xml:space="preserve">MPDDAL20            </t>
  </si>
  <si>
    <t>2026-03-16 14:43:20.433</t>
  </si>
  <si>
    <t xml:space="preserve">MPDDAL40            </t>
  </si>
  <si>
    <t>2026-03-16 14:43:20.447</t>
  </si>
  <si>
    <t xml:space="preserve">MPDDIS10            </t>
  </si>
  <si>
    <t>2026-03-16 14:43:20.677</t>
  </si>
  <si>
    <t xml:space="preserve">MPDDOC30            </t>
  </si>
  <si>
    <t>2026-03-16 14:43:20.930</t>
  </si>
  <si>
    <t xml:space="preserve">MPDDOC60            </t>
  </si>
  <si>
    <t>2026-03-16 14:43:20.950</t>
  </si>
  <si>
    <t xml:space="preserve">MPDDOC50            </t>
  </si>
  <si>
    <t>2026-03-16 14:43:20.967</t>
  </si>
  <si>
    <t xml:space="preserve">MPDDOC40            </t>
  </si>
  <si>
    <t>2026-03-16 14:43:20.980</t>
  </si>
  <si>
    <t xml:space="preserve">MPDDOC10            </t>
  </si>
  <si>
    <t>2026-03-16 14:43:21.003</t>
  </si>
  <si>
    <t xml:space="preserve">MPDDOC20            </t>
  </si>
  <si>
    <t>2026-03-16 14:43:21.017</t>
  </si>
  <si>
    <t xml:space="preserve">MPDDOC90            </t>
  </si>
  <si>
    <t>2026-03-16 14:43:21.030</t>
  </si>
  <si>
    <t xml:space="preserve">MPDDOC80            </t>
  </si>
  <si>
    <t>2026-03-16 14:43:21.047</t>
  </si>
  <si>
    <t xml:space="preserve">MPDDOC70            </t>
  </si>
  <si>
    <t>2026-03-16 14:43:21.063</t>
  </si>
  <si>
    <t xml:space="preserve">MPDDOC75            </t>
  </si>
  <si>
    <t>2026-03-16 14:43:21.077</t>
  </si>
  <si>
    <t xml:space="preserve">MPDDOC95            </t>
  </si>
  <si>
    <t>2026-03-16 14:43:21.097</t>
  </si>
  <si>
    <t>2026-03-16 14:43:21.100</t>
  </si>
  <si>
    <t xml:space="preserve">MPDDOH10            </t>
  </si>
  <si>
    <t>2026-03-16 14:43:21.327</t>
  </si>
  <si>
    <t xml:space="preserve">MPDDOL10            </t>
  </si>
  <si>
    <t>2026-03-16 14:43:21.567</t>
  </si>
  <si>
    <t xml:space="preserve">MPDECD10            </t>
  </si>
  <si>
    <t>2026-03-16 14:43:21.797</t>
  </si>
  <si>
    <t>2026-03-16 14:43:21.810</t>
  </si>
  <si>
    <t xml:space="preserve">MPDECH30            </t>
  </si>
  <si>
    <t>2026-03-16 14:43:22.047</t>
  </si>
  <si>
    <t xml:space="preserve">MPDECH20            </t>
  </si>
  <si>
    <t>2026-03-16 14:43:22.060</t>
  </si>
  <si>
    <t xml:space="preserve">MPDECH10            </t>
  </si>
  <si>
    <t>2026-03-16 14:43:22.083</t>
  </si>
  <si>
    <t xml:space="preserve">MPDECL20            </t>
  </si>
  <si>
    <t>2026-03-16 14:43:22.317</t>
  </si>
  <si>
    <t xml:space="preserve">MPDECL11            </t>
  </si>
  <si>
    <t>2026-03-16 14:43:22.333</t>
  </si>
  <si>
    <t xml:space="preserve">MPDECL12            </t>
  </si>
  <si>
    <t>2026-03-16 14:43:22.350</t>
  </si>
  <si>
    <t xml:space="preserve">MPDECL10            </t>
  </si>
  <si>
    <t>2026-03-16 14:43:22.363</t>
  </si>
  <si>
    <t xml:space="preserve">MPDECL30            </t>
  </si>
  <si>
    <t>2026-03-16 14:43:22.380</t>
  </si>
  <si>
    <t xml:space="preserve">MPDEND10            </t>
  </si>
  <si>
    <t>2026-03-16 14:43:22.617</t>
  </si>
  <si>
    <t xml:space="preserve">MPDEND20            </t>
  </si>
  <si>
    <t>2026-03-16 14:43:22.630</t>
  </si>
  <si>
    <t xml:space="preserve">MPDEPR99            </t>
  </si>
  <si>
    <t>2026-03-16 14:43:22.870</t>
  </si>
  <si>
    <t xml:space="preserve">MPDEPR10            </t>
  </si>
  <si>
    <t>2026-03-16 14:43:22.883</t>
  </si>
  <si>
    <t xml:space="preserve">MPDEPR20            </t>
  </si>
  <si>
    <t>2026-03-16 14:43:22.900</t>
  </si>
  <si>
    <t xml:space="preserve">MPDEPR30            </t>
  </si>
  <si>
    <t>2026-03-16 14:43:22.917</t>
  </si>
  <si>
    <t xml:space="preserve">MPDEPR40            </t>
  </si>
  <si>
    <t>2026-03-16 14:43:22.933</t>
  </si>
  <si>
    <t xml:space="preserve">MPDFDF10            </t>
  </si>
  <si>
    <t>2026-03-16 14:43:23.170</t>
  </si>
  <si>
    <t xml:space="preserve">MPDFHE50            </t>
  </si>
  <si>
    <t>2026-03-16 14:43:23.413</t>
  </si>
  <si>
    <t xml:space="preserve">MPDFHE20            </t>
  </si>
  <si>
    <t>2026-03-16 14:43:23.430</t>
  </si>
  <si>
    <t xml:space="preserve">MPDFHE30            </t>
  </si>
  <si>
    <t>2026-03-16 14:43:23.443</t>
  </si>
  <si>
    <t xml:space="preserve">MPDFHE10            </t>
  </si>
  <si>
    <t>2026-03-16 14:43:23.460</t>
  </si>
  <si>
    <t xml:space="preserve">MPDFHL10            </t>
  </si>
  <si>
    <t>2026-03-16 14:43:23.703</t>
  </si>
  <si>
    <t xml:space="preserve">MPDGDH10            </t>
  </si>
  <si>
    <t>2026-03-16 14:43:23.947</t>
  </si>
  <si>
    <t xml:space="preserve">MPDGDL10            </t>
  </si>
  <si>
    <t>2026-03-16 14:43:24.190</t>
  </si>
  <si>
    <t xml:space="preserve">MPDHED11            </t>
  </si>
  <si>
    <t>2026-03-16 14:43:24.433</t>
  </si>
  <si>
    <t xml:space="preserve">MPDHED01            </t>
  </si>
  <si>
    <t>2026-03-16 14:43:24.450</t>
  </si>
  <si>
    <t xml:space="preserve">MPDHED31            </t>
  </si>
  <si>
    <t>2026-03-16 14:43:24.467</t>
  </si>
  <si>
    <t xml:space="preserve">MPDHED40            </t>
  </si>
  <si>
    <t>2026-03-16 14:43:24.480</t>
  </si>
  <si>
    <t>2026-03-16 14:43:24.487</t>
  </si>
  <si>
    <t xml:space="preserve">MPDHED51            </t>
  </si>
  <si>
    <t>2026-03-16 14:43:24.503</t>
  </si>
  <si>
    <t xml:space="preserve">MPDHED90            </t>
  </si>
  <si>
    <t>2026-03-16 14:43:24.517</t>
  </si>
  <si>
    <t xml:space="preserve">MPDHED10            </t>
  </si>
  <si>
    <t xml:space="preserve">MPDHED70            </t>
  </si>
  <si>
    <t>2026-03-16 14:43:24.533</t>
  </si>
  <si>
    <t xml:space="preserve">MPDHED80            </t>
  </si>
  <si>
    <t>2026-03-16 14:43:24.550</t>
  </si>
  <si>
    <t xml:space="preserve">MPDHED20            </t>
  </si>
  <si>
    <t>2026-03-16 14:43:24.563</t>
  </si>
  <si>
    <t xml:space="preserve">MPDHED30            </t>
  </si>
  <si>
    <t>2026-03-16 14:43:24.583</t>
  </si>
  <si>
    <t xml:space="preserve">MPDHED60            </t>
  </si>
  <si>
    <t>2026-03-16 14:43:24.600</t>
  </si>
  <si>
    <t xml:space="preserve">MPDHED50            </t>
  </si>
  <si>
    <t>2026-03-16 14:43:24.620</t>
  </si>
  <si>
    <t xml:space="preserve">MPDMAA10            </t>
  </si>
  <si>
    <t>2026-03-16 14:43:24.860</t>
  </si>
  <si>
    <t xml:space="preserve">MPDMAP50            </t>
  </si>
  <si>
    <t>2026-03-16 14:43:25.097</t>
  </si>
  <si>
    <t>2026-03-16 14:43:25.113</t>
  </si>
  <si>
    <t xml:space="preserve">MPDMAP10            </t>
  </si>
  <si>
    <t>2026-03-16 14:43:25.127</t>
  </si>
  <si>
    <t xml:space="preserve">MPDMAT70            </t>
  </si>
  <si>
    <t>2026-03-16 14:43:25.360</t>
  </si>
  <si>
    <t xml:space="preserve">MPDMAT80            </t>
  </si>
  <si>
    <t>2026-03-16 14:43:25.377</t>
  </si>
  <si>
    <t>2026-03-16 14:43:25.380</t>
  </si>
  <si>
    <t xml:space="preserve">MPDMAT50            </t>
  </si>
  <si>
    <t>2026-03-16 14:43:25.397</t>
  </si>
  <si>
    <t xml:space="preserve">MPDMAT03            </t>
  </si>
  <si>
    <t>2026-03-16 14:43:25.413</t>
  </si>
  <si>
    <t xml:space="preserve">MPDMAT20            </t>
  </si>
  <si>
    <t>2026-03-16 14:43:25.427</t>
  </si>
  <si>
    <t xml:space="preserve">MPDMAT21            </t>
  </si>
  <si>
    <t xml:space="preserve">MPDMAT26            </t>
  </si>
  <si>
    <t>2026-03-16 14:43:25.443</t>
  </si>
  <si>
    <t xml:space="preserve">MPDMAT30            </t>
  </si>
  <si>
    <t>2026-03-16 14:43:25.460</t>
  </si>
  <si>
    <t xml:space="preserve">MPDMAT13            </t>
  </si>
  <si>
    <t>2026-03-16 14:43:25.480</t>
  </si>
  <si>
    <t xml:space="preserve">MPDMAT90            </t>
  </si>
  <si>
    <t>2026-03-16 14:43:25.497</t>
  </si>
  <si>
    <t xml:space="preserve">MPDMAT40            </t>
  </si>
  <si>
    <t>2026-03-16 14:43:25.513</t>
  </si>
  <si>
    <t xml:space="preserve">MPDMAT60            </t>
  </si>
  <si>
    <t>2026-03-16 14:43:25.527</t>
  </si>
  <si>
    <t xml:space="preserve">MPDMAT10            </t>
  </si>
  <si>
    <t>2026-03-16 14:43:25.543</t>
  </si>
  <si>
    <t xml:space="preserve">MPDMAT01            </t>
  </si>
  <si>
    <t>2026-03-16 14:43:25.560</t>
  </si>
  <si>
    <t xml:space="preserve">MPDMAT02            </t>
  </si>
  <si>
    <t>2026-03-16 14:43:25.577</t>
  </si>
  <si>
    <t xml:space="preserve">MPDMAT05            </t>
  </si>
  <si>
    <t>2026-03-16 14:43:25.583</t>
  </si>
  <si>
    <t xml:space="preserve">MPDMCO10            </t>
  </si>
  <si>
    <t>2026-03-16 14:43:25.827</t>
  </si>
  <si>
    <t xml:space="preserve">MPDMCO20            </t>
  </si>
  <si>
    <t>2026-03-16 14:43:25.840</t>
  </si>
  <si>
    <t xml:space="preserve">MPDMCO30            </t>
  </si>
  <si>
    <t>2026-03-16 14:43:25.857</t>
  </si>
  <si>
    <t xml:space="preserve">MPDMEA50            </t>
  </si>
  <si>
    <t>2026-03-16 14:43:26.090</t>
  </si>
  <si>
    <t xml:space="preserve">MPDMEA20            </t>
  </si>
  <si>
    <t>2026-03-16 14:43:26.107</t>
  </si>
  <si>
    <t xml:space="preserve">MPDMEA10            </t>
  </si>
  <si>
    <t>2026-03-16 14:43:26.123</t>
  </si>
  <si>
    <t xml:space="preserve">MPDMED10            </t>
  </si>
  <si>
    <t>2026-03-16 14:43:26.357</t>
  </si>
  <si>
    <t xml:space="preserve">MPDMEO10            </t>
  </si>
  <si>
    <t>2026-03-16 14:43:26.590</t>
  </si>
  <si>
    <t xml:space="preserve">MPDMFD30            </t>
  </si>
  <si>
    <t>2026-03-16 14:43:26.827</t>
  </si>
  <si>
    <t xml:space="preserve">MPDMFD10            </t>
  </si>
  <si>
    <t>2026-03-16 14:43:26.840</t>
  </si>
  <si>
    <t xml:space="preserve">MPDMFD20            </t>
  </si>
  <si>
    <t>2026-03-16 14:43:26.857</t>
  </si>
  <si>
    <t xml:space="preserve">MPDMFD40            </t>
  </si>
  <si>
    <t>2026-03-16 14:43:26.873</t>
  </si>
  <si>
    <t xml:space="preserve">MPDMFD50            </t>
  </si>
  <si>
    <t>2026-03-16 14:43:26.887</t>
  </si>
  <si>
    <t xml:space="preserve">MPDMFD60            </t>
  </si>
  <si>
    <t>2026-03-16 14:43:26.903</t>
  </si>
  <si>
    <t xml:space="preserve">MPDMOV10            </t>
  </si>
  <si>
    <t>2026-03-16 14:43:27.137</t>
  </si>
  <si>
    <t>2026-03-16 14:43:27.153</t>
  </si>
  <si>
    <t xml:space="preserve">MPDNAO10            </t>
  </si>
  <si>
    <t>2026-03-16 14:43:27.393</t>
  </si>
  <si>
    <t xml:space="preserve">MPDNAO20            </t>
  </si>
  <si>
    <t>2026-03-16 14:43:27.410</t>
  </si>
  <si>
    <t xml:space="preserve">MPDNAO30            </t>
  </si>
  <si>
    <t>2026-03-16 14:43:27.423</t>
  </si>
  <si>
    <t xml:space="preserve">MPDODS10            </t>
  </si>
  <si>
    <t>2026-03-16 14:43:27.660</t>
  </si>
  <si>
    <t xml:space="preserve">MPDODS20            </t>
  </si>
  <si>
    <t>2026-03-16 14:43:27.673</t>
  </si>
  <si>
    <t xml:space="preserve">MPDOMA10            </t>
  </si>
  <si>
    <t>2026-03-16 14:43:27.910</t>
  </si>
  <si>
    <t xml:space="preserve">MPDOMA20            </t>
  </si>
  <si>
    <t>2026-03-16 14:43:27.923</t>
  </si>
  <si>
    <t xml:space="preserve">MPDOMA30            </t>
  </si>
  <si>
    <t>2026-03-16 14:43:27.940</t>
  </si>
  <si>
    <t xml:space="preserve">MPDOPA10            </t>
  </si>
  <si>
    <t>2026-03-16 14:43:28.170</t>
  </si>
  <si>
    <t>2026-03-16 14:43:28.187</t>
  </si>
  <si>
    <t xml:space="preserve">MPDOPE20            </t>
  </si>
  <si>
    <t>2026-03-16 14:43:28.437</t>
  </si>
  <si>
    <t xml:space="preserve">MPDOPE30            </t>
  </si>
  <si>
    <t>2026-03-16 14:43:28.450</t>
  </si>
  <si>
    <t xml:space="preserve">MPDOPE50            </t>
  </si>
  <si>
    <t>2026-03-16 14:43:28.467</t>
  </si>
  <si>
    <t xml:space="preserve">MPDOPE60            </t>
  </si>
  <si>
    <t>2026-03-16 14:43:28.483</t>
  </si>
  <si>
    <t xml:space="preserve">MPDOPE03            </t>
  </si>
  <si>
    <t>2026-03-16 14:43:28.497</t>
  </si>
  <si>
    <t xml:space="preserve">MPDOPE02            </t>
  </si>
  <si>
    <t>2026-03-16 14:43:28.513</t>
  </si>
  <si>
    <t xml:space="preserve">MPDOPE10            </t>
  </si>
  <si>
    <t>2026-03-16 14:43:28.530</t>
  </si>
  <si>
    <t xml:space="preserve">MPDOPE01            </t>
  </si>
  <si>
    <t>2026-03-16 14:43:28.543</t>
  </si>
  <si>
    <t xml:space="preserve">MPDOPE40            </t>
  </si>
  <si>
    <t>2026-03-16 14:43:28.560</t>
  </si>
  <si>
    <t xml:space="preserve">MPDOPS20            </t>
  </si>
  <si>
    <t>2026-03-16 14:43:28.793</t>
  </si>
  <si>
    <t xml:space="preserve">MPDOPS40            </t>
  </si>
  <si>
    <t>2026-03-16 14:43:28.810</t>
  </si>
  <si>
    <t xml:space="preserve">MPDOPS30            </t>
  </si>
  <si>
    <t>2026-03-16 14:43:28.827</t>
  </si>
  <si>
    <t xml:space="preserve">MPDOPS10            </t>
  </si>
  <si>
    <t>2026-03-16 14:43:28.840</t>
  </si>
  <si>
    <t xml:space="preserve">MPDOPT10            </t>
  </si>
  <si>
    <t>2026-03-16 14:43:29.077</t>
  </si>
  <si>
    <t xml:space="preserve">MPDOPT11            </t>
  </si>
  <si>
    <t>2026-03-16 14:43:29.090</t>
  </si>
  <si>
    <t xml:space="preserve">MPDOUT10            </t>
  </si>
  <si>
    <t>2026-03-16 14:43:29.327</t>
  </si>
  <si>
    <t xml:space="preserve">MPDOUT20            </t>
  </si>
  <si>
    <t>2026-03-16 14:43:29.340</t>
  </si>
  <si>
    <t xml:space="preserve">MPDPAP10            </t>
  </si>
  <si>
    <t>2026-03-16 14:43:29.577</t>
  </si>
  <si>
    <t xml:space="preserve">MPDPMM20            </t>
  </si>
  <si>
    <t>2026-03-16 14:43:29.810</t>
  </si>
  <si>
    <t xml:space="preserve">MPDPMM30            </t>
  </si>
  <si>
    <t>2026-03-16 14:43:29.827</t>
  </si>
  <si>
    <t xml:space="preserve">MPDPMM40            </t>
  </si>
  <si>
    <t>2026-03-16 14:43:29.840</t>
  </si>
  <si>
    <t xml:space="preserve">MPDPMM50            </t>
  </si>
  <si>
    <t>2026-03-16 14:43:29.857</t>
  </si>
  <si>
    <t xml:space="preserve">MPDPMM10            </t>
  </si>
  <si>
    <t>2026-03-16 14:43:29.873</t>
  </si>
  <si>
    <t xml:space="preserve">MPDRCO10            </t>
  </si>
  <si>
    <t>2026-03-16 14:43:30.110</t>
  </si>
  <si>
    <t xml:space="preserve">MPDREL10            </t>
  </si>
  <si>
    <t>2026-03-16 14:43:30.347</t>
  </si>
  <si>
    <t xml:space="preserve">MPDREQ10            </t>
  </si>
  <si>
    <t>2026-03-16 14:43:30.573</t>
  </si>
  <si>
    <t xml:space="preserve">MPDRER10            </t>
  </si>
  <si>
    <t>2026-03-16 14:43:30.807</t>
  </si>
  <si>
    <t xml:space="preserve">MPDREV10            </t>
  </si>
  <si>
    <t>2026-03-16 14:43:31.043</t>
  </si>
  <si>
    <t xml:space="preserve">MPDSCA10            </t>
  </si>
  <si>
    <t>2026-03-16 14:43:31.277</t>
  </si>
  <si>
    <t xml:space="preserve">MPDSCA20            </t>
  </si>
  <si>
    <t>2026-03-16 14:43:31.293</t>
  </si>
  <si>
    <t xml:space="preserve">MPDSCA30            </t>
  </si>
  <si>
    <t>2026-03-16 14:43:31.307</t>
  </si>
  <si>
    <t xml:space="preserve">MPDSCF60            </t>
  </si>
  <si>
    <t>2026-03-16 14:43:31.543</t>
  </si>
  <si>
    <t>2026-03-16 14:43:31.887</t>
  </si>
  <si>
    <t xml:space="preserve">MPDSCF02            </t>
  </si>
  <si>
    <t>2026-03-16 14:43:31.903</t>
  </si>
  <si>
    <t>2026-03-16 14:43:32.183</t>
  </si>
  <si>
    <t xml:space="preserve">MPDSCF20            </t>
  </si>
  <si>
    <t>2026-03-16 14:43:32.197</t>
  </si>
  <si>
    <t>2026-03-16 14:43:32.733</t>
  </si>
  <si>
    <t>535</t>
  </si>
  <si>
    <t xml:space="preserve">MPDSCF70            </t>
  </si>
  <si>
    <t>2026-03-16 14:43:32.750</t>
  </si>
  <si>
    <t>2026-03-16 14:43:33.047</t>
  </si>
  <si>
    <t xml:space="preserve">MPDSCF30            </t>
  </si>
  <si>
    <t>2026-03-16 14:43:33.063</t>
  </si>
  <si>
    <t>2026-03-16 14:43:33.280</t>
  </si>
  <si>
    <t xml:space="preserve">MPDSCF40            </t>
  </si>
  <si>
    <t>2026-03-16 14:43:33.297</t>
  </si>
  <si>
    <t>2026-03-16 14:43:33.607</t>
  </si>
  <si>
    <t xml:space="preserve">MPDSCF10            </t>
  </si>
  <si>
    <t>2026-03-16 14:43:33.843</t>
  </si>
  <si>
    <t xml:space="preserve">MPDSDM60            </t>
  </si>
  <si>
    <t>2026-03-16 14:43:34.077</t>
  </si>
  <si>
    <t xml:space="preserve">MPDSHP01            </t>
  </si>
  <si>
    <t>2026-03-16 14:43:34.313</t>
  </si>
  <si>
    <t xml:space="preserve">MPDSHT10            </t>
  </si>
  <si>
    <t>2026-03-16 14:43:34.547</t>
  </si>
  <si>
    <t xml:space="preserve">MPDSIH10            </t>
  </si>
  <si>
    <t>2026-03-16 14:43:34.780</t>
  </si>
  <si>
    <t xml:space="preserve">MPDSIH20            </t>
  </si>
  <si>
    <t>2026-03-16 14:43:34.797</t>
  </si>
  <si>
    <t xml:space="preserve">MPDSIM10            </t>
  </si>
  <si>
    <t>2026-03-16 14:43:35.030</t>
  </si>
  <si>
    <t xml:space="preserve">MPDSIM20            </t>
  </si>
  <si>
    <t>2026-03-16 14:43:35.047</t>
  </si>
  <si>
    <t xml:space="preserve">MPDSIM02            </t>
  </si>
  <si>
    <t>2026-03-16 14:43:35.063</t>
  </si>
  <si>
    <t xml:space="preserve">MPDSIM01            </t>
  </si>
  <si>
    <t>2026-03-16 14:43:35.077</t>
  </si>
  <si>
    <t xml:space="preserve">MPDSOP10            </t>
  </si>
  <si>
    <t>2026-03-16 14:43:35.313</t>
  </si>
  <si>
    <t>2026-03-16 14:43:35.320</t>
  </si>
  <si>
    <t xml:space="preserve">MPDSOP20            </t>
  </si>
  <si>
    <t>2026-03-16 14:43:35.330</t>
  </si>
  <si>
    <t xml:space="preserve">MPDSOP30            </t>
  </si>
  <si>
    <t>2026-03-16 14:43:35.347</t>
  </si>
  <si>
    <t xml:space="preserve">MPDSRC20            </t>
  </si>
  <si>
    <t>2026-03-16 14:43:35.580</t>
  </si>
  <si>
    <t xml:space="preserve">MPDSRC10            </t>
  </si>
  <si>
    <t>2026-03-16 14:43:35.597</t>
  </si>
  <si>
    <t xml:space="preserve">MPDSRD10            </t>
  </si>
  <si>
    <t>2026-03-16 14:43:35.827</t>
  </si>
  <si>
    <t xml:space="preserve">MPDSRE10            </t>
  </si>
  <si>
    <t>2026-03-16 14:43:36.060</t>
  </si>
  <si>
    <t xml:space="preserve">MPDSRF30            </t>
  </si>
  <si>
    <t>2026-03-16 14:43:36.297</t>
  </si>
  <si>
    <t xml:space="preserve">MPDSRF10            </t>
  </si>
  <si>
    <t>2026-03-16 14:43:36.313</t>
  </si>
  <si>
    <t xml:space="preserve">MPDSRF11            </t>
  </si>
  <si>
    <t>2026-03-16 14:43:36.330</t>
  </si>
  <si>
    <t xml:space="preserve">MPDSRF20            </t>
  </si>
  <si>
    <t>2026-03-16 14:43:36.343</t>
  </si>
  <si>
    <t xml:space="preserve">MPDSUM10            </t>
  </si>
  <si>
    <t>2026-03-16 14:43:36.580</t>
  </si>
  <si>
    <t xml:space="preserve">MPDSUM20            </t>
  </si>
  <si>
    <t>2026-03-16 14:43:36.593</t>
  </si>
  <si>
    <t xml:space="preserve">MPDSUM01            </t>
  </si>
  <si>
    <t>2026-03-16 14:43:36.617</t>
  </si>
  <si>
    <t>2026-03-16 14:43:36.620</t>
  </si>
  <si>
    <t xml:space="preserve">MPDSUM02            </t>
  </si>
  <si>
    <t xml:space="preserve">MPDSUM00            </t>
  </si>
  <si>
    <t>2026-03-16 14:43:36.637</t>
  </si>
  <si>
    <t xml:space="preserve">MPDTRT10            </t>
  </si>
  <si>
    <t>2026-03-16 14:43:36.887</t>
  </si>
  <si>
    <t xml:space="preserve">MPDTRT20            </t>
  </si>
  <si>
    <t>2026-03-16 14:43:36.903</t>
  </si>
  <si>
    <t xml:space="preserve">MPDVAN10            </t>
  </si>
  <si>
    <t>2026-03-16 14:43:37.137</t>
  </si>
  <si>
    <t xml:space="preserve">MPDVAN30            </t>
  </si>
  <si>
    <t>2026-03-16 14:43:37.153</t>
  </si>
  <si>
    <t xml:space="preserve">MPDVAN40            </t>
  </si>
  <si>
    <t>2026-03-16 14:43:37.167</t>
  </si>
  <si>
    <t xml:space="preserve">MPDVAN50            </t>
  </si>
  <si>
    <t>2026-03-16 14:43:37.183</t>
  </si>
  <si>
    <t xml:space="preserve">MPDVAN60            </t>
  </si>
  <si>
    <t>2026-03-16 14:43:37.200</t>
  </si>
  <si>
    <t xml:space="preserve">MPDVER10            </t>
  </si>
  <si>
    <t>2026-03-16 14:43:37.450</t>
  </si>
  <si>
    <t xml:space="preserve">MPDVOF10            </t>
  </si>
  <si>
    <t>2026-03-16 14:43:37.687</t>
  </si>
  <si>
    <t xml:space="preserve">MPDVOF20            </t>
  </si>
  <si>
    <t>2026-03-16 14:43:37.703</t>
  </si>
  <si>
    <t xml:space="preserve">MPDWCM10            </t>
  </si>
  <si>
    <t>2026-03-16 14:43:37.927</t>
  </si>
  <si>
    <t xml:space="preserve">MPDWCM20            </t>
  </si>
  <si>
    <t>2026-03-16 14:43:37.943</t>
  </si>
  <si>
    <t xml:space="preserve">MPDWCS20            </t>
  </si>
  <si>
    <t>2026-03-16 14:43:38.177</t>
  </si>
  <si>
    <t xml:space="preserve">MPDWCS10            </t>
  </si>
  <si>
    <t>2026-03-16 14:43:38.193</t>
  </si>
  <si>
    <t xml:space="preserve">MPDWCT60            </t>
  </si>
  <si>
    <t>2026-03-16 14:43:38.427</t>
  </si>
  <si>
    <t xml:space="preserve">MPDWCT10            </t>
  </si>
  <si>
    <t>2026-03-16 14:43:38.443</t>
  </si>
  <si>
    <t xml:space="preserve">MPDWCT20            </t>
  </si>
  <si>
    <t>2026-03-16 14:43:38.460</t>
  </si>
  <si>
    <t xml:space="preserve">MPDWCT30            </t>
  </si>
  <si>
    <t>2026-03-16 14:43:38.473</t>
  </si>
  <si>
    <t xml:space="preserve">MPDWCT40            </t>
  </si>
  <si>
    <t>2026-03-16 14:43:38.490</t>
  </si>
  <si>
    <t xml:space="preserve">MPDWCT50            </t>
  </si>
  <si>
    <t>2026-03-16 14:43:38.507</t>
  </si>
  <si>
    <t xml:space="preserve">MPEPRR30            </t>
  </si>
  <si>
    <t>2026-03-16 14:43:38.740</t>
  </si>
  <si>
    <t>2026-03-16 14:43:40.613</t>
  </si>
  <si>
    <t>1872</t>
  </si>
  <si>
    <t xml:space="preserve">MPEPRR10            </t>
  </si>
  <si>
    <t>2026-03-16 14:43:40.627</t>
  </si>
  <si>
    <t>2026-03-16 14:43:41.910</t>
  </si>
  <si>
    <t>1283</t>
  </si>
  <si>
    <t xml:space="preserve">MPEPRR20            </t>
  </si>
  <si>
    <t>2026-03-16 14:43:41.927</t>
  </si>
  <si>
    <t>2026-03-16 14:43:43.527</t>
  </si>
  <si>
    <t>1599</t>
  </si>
  <si>
    <t xml:space="preserve">MPEXOR10            </t>
  </si>
  <si>
    <t>2026-03-16 14:43:43.760</t>
  </si>
  <si>
    <t xml:space="preserve">MPFAMF10            </t>
  </si>
  <si>
    <t>2026-03-16 14:43:43.990</t>
  </si>
  <si>
    <t xml:space="preserve">MPFAMF20            </t>
  </si>
  <si>
    <t>2026-03-16 14:43:44.007</t>
  </si>
  <si>
    <t xml:space="preserve">MPFEHE10            </t>
  </si>
  <si>
    <t>2026-03-16 14:43:44.240</t>
  </si>
  <si>
    <t xml:space="preserve">MPFEHE20            </t>
  </si>
  <si>
    <t>2026-03-16 14:43:44.257</t>
  </si>
  <si>
    <t xml:space="preserve">MPFEHE30            </t>
  </si>
  <si>
    <t>2026-03-16 14:43:44.270</t>
  </si>
  <si>
    <t xml:space="preserve">MPFRPT10            </t>
  </si>
  <si>
    <t>2026-03-16 14:43:44.520</t>
  </si>
  <si>
    <t xml:space="preserve">MPFRPT30            </t>
  </si>
  <si>
    <t>2026-03-16 14:43:44.537</t>
  </si>
  <si>
    <t xml:space="preserve">MPFRPT40            </t>
  </si>
  <si>
    <t>2026-03-16 14:43:44.550</t>
  </si>
  <si>
    <t xml:space="preserve">MPFRPT50            </t>
  </si>
  <si>
    <t>2026-03-16 14:43:44.567</t>
  </si>
  <si>
    <t xml:space="preserve">MPFRPT20            </t>
  </si>
  <si>
    <t>2026-03-16 14:43:44.583</t>
  </si>
  <si>
    <t xml:space="preserve">MPGSET10            </t>
  </si>
  <si>
    <t>2026-03-16 14:43:44.817</t>
  </si>
  <si>
    <t xml:space="preserve">MPHEAD30            </t>
  </si>
  <si>
    <t>2026-03-16 14:43:45.050</t>
  </si>
  <si>
    <t>2026-03-16 14:43:46.197</t>
  </si>
  <si>
    <t>1144</t>
  </si>
  <si>
    <t xml:space="preserve">MPHEAD41            </t>
  </si>
  <si>
    <t>2026-03-16 14:43:46.210</t>
  </si>
  <si>
    <t>2026-03-16 14:43:47.087</t>
  </si>
  <si>
    <t>875</t>
  </si>
  <si>
    <t xml:space="preserve">MPHEAD40            </t>
  </si>
  <si>
    <t>2026-03-16 14:43:47.100</t>
  </si>
  <si>
    <t>2026-03-16 14:43:48.093</t>
  </si>
  <si>
    <t>993</t>
  </si>
  <si>
    <t xml:space="preserve">MPHEAD10            </t>
  </si>
  <si>
    <t>2026-03-16 14:43:48.110</t>
  </si>
  <si>
    <t>2026-03-16 14:43:48.663</t>
  </si>
  <si>
    <t>553</t>
  </si>
  <si>
    <t xml:space="preserve">MPHEAD60            </t>
  </si>
  <si>
    <t>2026-03-16 14:43:48.677</t>
  </si>
  <si>
    <t>2026-03-16 14:43:49.523</t>
  </si>
  <si>
    <t>844</t>
  </si>
  <si>
    <t xml:space="preserve">MPHEAD20            </t>
  </si>
  <si>
    <t>2026-03-16 14:43:49.537</t>
  </si>
  <si>
    <t>2026-03-16 14:43:49.990</t>
  </si>
  <si>
    <t xml:space="preserve">MPHEAD50            </t>
  </si>
  <si>
    <t>2026-03-16 14:43:50.003</t>
  </si>
  <si>
    <t>2026-03-16 14:43:50.623</t>
  </si>
  <si>
    <t>620</t>
  </si>
  <si>
    <t xml:space="preserve">MPHEAD99            </t>
  </si>
  <si>
    <t>2026-03-16 14:43:50.640</t>
  </si>
  <si>
    <t>2026-03-16 14:43:50.937</t>
  </si>
  <si>
    <t xml:space="preserve">MPHRAS10            </t>
  </si>
  <si>
    <t>2026-03-16 14:43:51.170</t>
  </si>
  <si>
    <t xml:space="preserve">MPHRAS20            </t>
  </si>
  <si>
    <t>2026-03-16 14:43:51.187</t>
  </si>
  <si>
    <t xml:space="preserve">MPHRAS30            </t>
  </si>
  <si>
    <t>2026-03-16 14:43:51.200</t>
  </si>
  <si>
    <t xml:space="preserve">MPLINC10            </t>
  </si>
  <si>
    <t>2026-03-16 14:43:51.450</t>
  </si>
  <si>
    <t xml:space="preserve">MPLIND70            </t>
  </si>
  <si>
    <t>2026-03-16 14:43:51.687</t>
  </si>
  <si>
    <t>2026-03-16 14:43:54.013</t>
  </si>
  <si>
    <t>2328</t>
  </si>
  <si>
    <t xml:space="preserve">MPLIND40            </t>
  </si>
  <si>
    <t>2026-03-16 14:43:54.030</t>
  </si>
  <si>
    <t>2026-03-16 14:43:56.593</t>
  </si>
  <si>
    <t>2564</t>
  </si>
  <si>
    <t xml:space="preserve">MPLIND50            </t>
  </si>
  <si>
    <t>2026-03-16 14:43:56.610</t>
  </si>
  <si>
    <t>2026-03-16 14:43:59.010</t>
  </si>
  <si>
    <t>2399</t>
  </si>
  <si>
    <t xml:space="preserve">MPLIND20            </t>
  </si>
  <si>
    <t>2026-03-16 14:43:59.023</t>
  </si>
  <si>
    <t>2026-03-16 14:44:01.893</t>
  </si>
  <si>
    <t>2870</t>
  </si>
  <si>
    <t xml:space="preserve">MPLIND60            </t>
  </si>
  <si>
    <t>2026-03-16 14:44:01.910</t>
  </si>
  <si>
    <t>2026-03-16 14:44:04.077</t>
  </si>
  <si>
    <t>2167</t>
  </si>
  <si>
    <t xml:space="preserve">MPLIND10            </t>
  </si>
  <si>
    <t>2026-03-16 14:44:05.907</t>
  </si>
  <si>
    <t>1828</t>
  </si>
  <si>
    <t xml:space="preserve">MPLIND80            </t>
  </si>
  <si>
    <t>2026-03-16 14:44:05.920</t>
  </si>
  <si>
    <t>2026-03-16 14:44:07.950</t>
  </si>
  <si>
    <t>2031</t>
  </si>
  <si>
    <t xml:space="preserve">MPLIND30            </t>
  </si>
  <si>
    <t>2026-03-16 14:44:07.967</t>
  </si>
  <si>
    <t>2026-03-16 14:44:09.850</t>
  </si>
  <si>
    <t>1882</t>
  </si>
  <si>
    <t xml:space="preserve">MPLINE57            </t>
  </si>
  <si>
    <t>2026-03-16 14:44:10.083</t>
  </si>
  <si>
    <t>2026-03-16 14:44:13.887</t>
  </si>
  <si>
    <t>3806</t>
  </si>
  <si>
    <t xml:space="preserve">MPLINE61            </t>
  </si>
  <si>
    <t>2026-03-16 14:44:13.903</t>
  </si>
  <si>
    <t>2026-03-16 14:44:18.197</t>
  </si>
  <si>
    <t>4294</t>
  </si>
  <si>
    <t xml:space="preserve">MPLINE90            </t>
  </si>
  <si>
    <t>2026-03-16 14:44:18.213</t>
  </si>
  <si>
    <t>2026-03-16 14:44:22.863</t>
  </si>
  <si>
    <t>4650</t>
  </si>
  <si>
    <t xml:space="preserve">MPLINE81            </t>
  </si>
  <si>
    <t>2026-03-16 14:44:22.897</t>
  </si>
  <si>
    <t>2026-03-16 14:44:26.630</t>
  </si>
  <si>
    <t>3734</t>
  </si>
  <si>
    <t xml:space="preserve">MPLINE60            </t>
  </si>
  <si>
    <t>2026-03-16 14:44:26.647</t>
  </si>
  <si>
    <t>2026-03-16 14:44:29.770</t>
  </si>
  <si>
    <t>3126</t>
  </si>
  <si>
    <t xml:space="preserve">MPLINE20            </t>
  </si>
  <si>
    <t>2026-03-16 14:44:29.787</t>
  </si>
  <si>
    <t>2026-03-16 14:44:33.660</t>
  </si>
  <si>
    <t>3874</t>
  </si>
  <si>
    <t xml:space="preserve">MPLINE56            </t>
  </si>
  <si>
    <t>2026-03-16 14:44:33.677</t>
  </si>
  <si>
    <t>2026-03-16 14:44:35.957</t>
  </si>
  <si>
    <t>2282</t>
  </si>
  <si>
    <t xml:space="preserve">MPLINE46            </t>
  </si>
  <si>
    <t>2026-03-16 14:44:37.750</t>
  </si>
  <si>
    <t>1792</t>
  </si>
  <si>
    <t xml:space="preserve">MPLINE83            </t>
  </si>
  <si>
    <t>2026-03-16 14:44:37.767</t>
  </si>
  <si>
    <t>2026-03-16 14:44:41.127</t>
  </si>
  <si>
    <t>3360</t>
  </si>
  <si>
    <t xml:space="preserve">MPLINE82            </t>
  </si>
  <si>
    <t>2026-03-16 14:44:41.143</t>
  </si>
  <si>
    <t>2026-03-16 14:44:44.167</t>
  </si>
  <si>
    <t>3024</t>
  </si>
  <si>
    <t xml:space="preserve">MPLINE42            </t>
  </si>
  <si>
    <t>2026-03-16 14:44:44.180</t>
  </si>
  <si>
    <t>2026-03-16 14:44:47.870</t>
  </si>
  <si>
    <t>3688</t>
  </si>
  <si>
    <t xml:space="preserve">MPLINE30            </t>
  </si>
  <si>
    <t>2026-03-16 14:44:47.883</t>
  </si>
  <si>
    <t>2026-03-16 14:44:51.063</t>
  </si>
  <si>
    <t>3179</t>
  </si>
  <si>
    <t xml:space="preserve">MPLINE10            </t>
  </si>
  <si>
    <t>2026-03-16 14:44:51.080</t>
  </si>
  <si>
    <t>2026-03-16 14:44:54.423</t>
  </si>
  <si>
    <t>3344</t>
  </si>
  <si>
    <t xml:space="preserve">MPLINE40            </t>
  </si>
  <si>
    <t>2026-03-16 14:44:54.440</t>
  </si>
  <si>
    <t>2026-03-16 14:44:58.143</t>
  </si>
  <si>
    <t>3703</t>
  </si>
  <si>
    <t xml:space="preserve">MPLINE85            </t>
  </si>
  <si>
    <t>2026-03-16 14:44:58.157</t>
  </si>
  <si>
    <t>2026-03-16 14:45:01.993</t>
  </si>
  <si>
    <t>3836</t>
  </si>
  <si>
    <t xml:space="preserve">MPLINE15            </t>
  </si>
  <si>
    <t>2026-03-16 14:45:02.010</t>
  </si>
  <si>
    <t>2026-03-16 14:45:04.853</t>
  </si>
  <si>
    <t xml:space="preserve">MPLINE44            </t>
  </si>
  <si>
    <t>2026-03-16 14:45:04.867</t>
  </si>
  <si>
    <t>2026-03-16 14:45:08.567</t>
  </si>
  <si>
    <t>3700</t>
  </si>
  <si>
    <t xml:space="preserve">MPLINE43            </t>
  </si>
  <si>
    <t>2026-03-16 14:45:08.583</t>
  </si>
  <si>
    <t>2026-03-16 14:45:12.407</t>
  </si>
  <si>
    <t>3826</t>
  </si>
  <si>
    <t xml:space="preserve">MPLINE70            </t>
  </si>
  <si>
    <t>2026-03-16 14:45:12.423</t>
  </si>
  <si>
    <t>2026-03-16 14:45:15.350</t>
  </si>
  <si>
    <t>2926</t>
  </si>
  <si>
    <t xml:space="preserve">MPLINE80            </t>
  </si>
  <si>
    <t>2026-03-16 14:45:15.367</t>
  </si>
  <si>
    <t>2026-03-16 14:45:18.593</t>
  </si>
  <si>
    <t>3228</t>
  </si>
  <si>
    <t xml:space="preserve">MPLINE25            </t>
  </si>
  <si>
    <t>2026-03-16 14:45:21.770</t>
  </si>
  <si>
    <t>3177</t>
  </si>
  <si>
    <t xml:space="preserve">MPLINE41            </t>
  </si>
  <si>
    <t>2026-03-16 14:45:21.787</t>
  </si>
  <si>
    <t>2026-03-16 14:45:25.390</t>
  </si>
  <si>
    <t>3604</t>
  </si>
  <si>
    <t xml:space="preserve">MPLINE45            </t>
  </si>
  <si>
    <t>2026-03-16 14:45:25.407</t>
  </si>
  <si>
    <t>2026-03-16 14:45:26.993</t>
  </si>
  <si>
    <t xml:space="preserve">MPLINE50            </t>
  </si>
  <si>
    <t>2026-03-16 14:45:29.480</t>
  </si>
  <si>
    <t xml:space="preserve">MPLINE91            </t>
  </si>
  <si>
    <t>2026-03-16 14:45:29.497</t>
  </si>
  <si>
    <t>2026-03-16 14:45:31.117</t>
  </si>
  <si>
    <t>1620</t>
  </si>
  <si>
    <t xml:space="preserve">MPLINE55            </t>
  </si>
  <si>
    <t>2026-03-16 14:45:31.133</t>
  </si>
  <si>
    <t>2026-03-16 14:45:32.737</t>
  </si>
  <si>
    <t>1605</t>
  </si>
  <si>
    <t xml:space="preserve">MPLINE87            </t>
  </si>
  <si>
    <t>2026-03-16 14:45:32.753</t>
  </si>
  <si>
    <t>2026-03-16 14:45:35.213</t>
  </si>
  <si>
    <t>2459</t>
  </si>
  <si>
    <t xml:space="preserve">MPLINE86            </t>
  </si>
  <si>
    <t>2026-03-16 14:45:35.227</t>
  </si>
  <si>
    <t>2026-03-16 14:45:36.930</t>
  </si>
  <si>
    <t>1703</t>
  </si>
  <si>
    <t xml:space="preserve">MPLINE05            </t>
  </si>
  <si>
    <t>2026-03-16 14:45:36.947</t>
  </si>
  <si>
    <t>2026-03-16 14:45:38.843</t>
  </si>
  <si>
    <t>1895</t>
  </si>
  <si>
    <t xml:space="preserve">MPLINE06            </t>
  </si>
  <si>
    <t>2026-03-16 14:45:38.857</t>
  </si>
  <si>
    <t>2026-03-16 14:45:40.920</t>
  </si>
  <si>
    <t>2062</t>
  </si>
  <si>
    <t xml:space="preserve">MPLINE99            </t>
  </si>
  <si>
    <t>2026-03-16 14:45:40.937</t>
  </si>
  <si>
    <t>2026-03-16 14:45:42.370</t>
  </si>
  <si>
    <t>1433</t>
  </si>
  <si>
    <t xml:space="preserve">MPLINT81            </t>
  </si>
  <si>
    <t>2026-03-16 14:45:42.603</t>
  </si>
  <si>
    <t>2026-03-16 14:45:42.620</t>
  </si>
  <si>
    <t xml:space="preserve">MPLIRE10            </t>
  </si>
  <si>
    <t>2026-03-16 14:45:42.853</t>
  </si>
  <si>
    <t xml:space="preserve">MPLIRE20            </t>
  </si>
  <si>
    <t>2026-03-16 14:45:42.870</t>
  </si>
  <si>
    <t xml:space="preserve">MPM00130            </t>
  </si>
  <si>
    <t>2026-03-16 14:45:43.107</t>
  </si>
  <si>
    <t xml:space="preserve">MPM00140            </t>
  </si>
  <si>
    <t>2026-03-16 14:45:43.120</t>
  </si>
  <si>
    <t xml:space="preserve">MPM00110            </t>
  </si>
  <si>
    <t>2026-03-16 14:45:43.137</t>
  </si>
  <si>
    <t xml:space="preserve">MPM00150            </t>
  </si>
  <si>
    <t>2026-03-16 14:45:43.153</t>
  </si>
  <si>
    <t xml:space="preserve">MPM00520            </t>
  </si>
  <si>
    <t>2026-03-16 14:45:43.387</t>
  </si>
  <si>
    <t xml:space="preserve">MPM00590            </t>
  </si>
  <si>
    <t>2026-03-16 14:45:43.403</t>
  </si>
  <si>
    <t xml:space="preserve">MPM01010            </t>
  </si>
  <si>
    <t>2026-03-16 14:45:43.653</t>
  </si>
  <si>
    <t xml:space="preserve">MPM01015            </t>
  </si>
  <si>
    <t>2026-03-16 14:45:43.667</t>
  </si>
  <si>
    <t xml:space="preserve">MPM01210            </t>
  </si>
  <si>
    <t>2026-03-16 14:45:43.903</t>
  </si>
  <si>
    <t>2026-03-16 14:45:43.933</t>
  </si>
  <si>
    <t xml:space="preserve">MPM01200            </t>
  </si>
  <si>
    <t>2026-03-16 14:45:43.950</t>
  </si>
  <si>
    <t xml:space="preserve">MPM01310            </t>
  </si>
  <si>
    <t>2026-03-16 14:45:44.183</t>
  </si>
  <si>
    <t>2026-03-16 14:45:44.217</t>
  </si>
  <si>
    <t xml:space="preserve">MPM01300            </t>
  </si>
  <si>
    <t>2026-03-16 14:45:44.230</t>
  </si>
  <si>
    <t xml:space="preserve">MPM01400            </t>
  </si>
  <si>
    <t>2026-03-16 14:45:44.467</t>
  </si>
  <si>
    <t xml:space="preserve">MPM01410            </t>
  </si>
  <si>
    <t>2026-03-16 14:45:44.480</t>
  </si>
  <si>
    <t xml:space="preserve">MPM01520            </t>
  </si>
  <si>
    <t>2026-03-16 14:45:44.763</t>
  </si>
  <si>
    <t>2026-03-16 14:45:44.823</t>
  </si>
  <si>
    <t xml:space="preserve">MPM01590            </t>
  </si>
  <si>
    <t>2026-03-16 14:45:44.840</t>
  </si>
  <si>
    <t xml:space="preserve">MPM03520            </t>
  </si>
  <si>
    <t>2026-03-16 14:45:45.090</t>
  </si>
  <si>
    <t xml:space="preserve">MPM03590            </t>
  </si>
  <si>
    <t>2026-03-16 14:45:45.107</t>
  </si>
  <si>
    <t xml:space="preserve">MPM05010            </t>
  </si>
  <si>
    <t>2026-03-16 14:45:45.340</t>
  </si>
  <si>
    <t xml:space="preserve">MPM06000            </t>
  </si>
  <si>
    <t>2026-03-16 14:45:45.577</t>
  </si>
  <si>
    <t xml:space="preserve">MPM06510            </t>
  </si>
  <si>
    <t>2026-03-16 14:45:45.807</t>
  </si>
  <si>
    <t xml:space="preserve">MPM06610            </t>
  </si>
  <si>
    <t>2026-03-16 14:45:46.043</t>
  </si>
  <si>
    <t xml:space="preserve">MPM07010            </t>
  </si>
  <si>
    <t>2026-03-16 14:45:46.277</t>
  </si>
  <si>
    <t xml:space="preserve">MPM07020            </t>
  </si>
  <si>
    <t>2026-03-16 14:45:46.293</t>
  </si>
  <si>
    <t xml:space="preserve">MPM14W01            </t>
  </si>
  <si>
    <t>2026-03-16 14:45:46.527</t>
  </si>
  <si>
    <t xml:space="preserve">MPM14W10            </t>
  </si>
  <si>
    <t>2026-03-16 14:45:46.543</t>
  </si>
  <si>
    <t xml:space="preserve">MPM16010            </t>
  </si>
  <si>
    <t>2026-03-16 14:45:46.777</t>
  </si>
  <si>
    <t xml:space="preserve">MPM17010            </t>
  </si>
  <si>
    <t>2026-03-16 14:45:47.013</t>
  </si>
  <si>
    <t xml:space="preserve">MPM17210            </t>
  </si>
  <si>
    <t>2026-03-16 14:45:47.253</t>
  </si>
  <si>
    <t xml:space="preserve">MPM17220            </t>
  </si>
  <si>
    <t>2026-03-16 14:45:47.270</t>
  </si>
  <si>
    <t xml:space="preserve">MPM23010            </t>
  </si>
  <si>
    <t>2026-03-16 14:45:47.503</t>
  </si>
  <si>
    <t xml:space="preserve">MPM26000            </t>
  </si>
  <si>
    <t>2026-03-16 14:45:47.753</t>
  </si>
  <si>
    <t xml:space="preserve">MPM30310            </t>
  </si>
  <si>
    <t>2026-03-16 14:45:47.983</t>
  </si>
  <si>
    <t>2026-03-16 14:45:47.997</t>
  </si>
  <si>
    <t xml:space="preserve">MPM68210            </t>
  </si>
  <si>
    <t>2026-03-16 14:45:48.233</t>
  </si>
  <si>
    <t xml:space="preserve">MPM91200            </t>
  </si>
  <si>
    <t>2026-03-16 14:45:48.467</t>
  </si>
  <si>
    <t xml:space="preserve">MPM91P00            </t>
  </si>
  <si>
    <t>2026-03-16 14:45:48.700</t>
  </si>
  <si>
    <t xml:space="preserve">MPM93090            </t>
  </si>
  <si>
    <t>2026-03-16 14:45:48.937</t>
  </si>
  <si>
    <t xml:space="preserve">MPM93020            </t>
  </si>
  <si>
    <t>2026-03-16 14:45:48.950</t>
  </si>
  <si>
    <t xml:space="preserve">MPM96020            </t>
  </si>
  <si>
    <t>2026-03-16 14:45:49.187</t>
  </si>
  <si>
    <t xml:space="preserve">MPM96090            </t>
  </si>
  <si>
    <t>2026-03-16 14:45:49.200</t>
  </si>
  <si>
    <t xml:space="preserve">MPMREQ10            </t>
  </si>
  <si>
    <t>2026-03-16 14:45:49.437</t>
  </si>
  <si>
    <t xml:space="preserve">MPMREQ41            </t>
  </si>
  <si>
    <t>2026-03-16 14:45:49.453</t>
  </si>
  <si>
    <t xml:space="preserve">MPMREQ23            </t>
  </si>
  <si>
    <t>2026-03-16 14:45:49.470</t>
  </si>
  <si>
    <t xml:space="preserve">MPMREQ42            </t>
  </si>
  <si>
    <t>2026-03-16 14:45:49.487</t>
  </si>
  <si>
    <t xml:space="preserve">MPMREQ43            </t>
  </si>
  <si>
    <t>2026-03-16 14:45:49.500</t>
  </si>
  <si>
    <t xml:space="preserve">MPMREQ24            </t>
  </si>
  <si>
    <t>2026-03-16 14:45:49.517</t>
  </si>
  <si>
    <t xml:space="preserve">MPMREQ47            </t>
  </si>
  <si>
    <t>2026-03-16 14:45:49.533</t>
  </si>
  <si>
    <t xml:space="preserve">MPMREQ45            </t>
  </si>
  <si>
    <t>2026-03-16 14:45:49.547</t>
  </si>
  <si>
    <t xml:space="preserve">MPMREQ46            </t>
  </si>
  <si>
    <t>2026-03-16 14:45:49.563</t>
  </si>
  <si>
    <t xml:space="preserve">MPMREQ25            </t>
  </si>
  <si>
    <t>2026-03-16 14:45:49.580</t>
  </si>
  <si>
    <t xml:space="preserve">MPMREQ29            </t>
  </si>
  <si>
    <t>2026-03-16 14:45:49.593</t>
  </si>
  <si>
    <t xml:space="preserve">MPMREQ27            </t>
  </si>
  <si>
    <t>2026-03-16 14:45:49.610</t>
  </si>
  <si>
    <t xml:space="preserve">MPMREQ21            </t>
  </si>
  <si>
    <t>2026-03-16 14:45:49.627</t>
  </si>
  <si>
    <t xml:space="preserve">MPMREQ44            </t>
  </si>
  <si>
    <t>2026-03-16 14:45:49.640</t>
  </si>
  <si>
    <t xml:space="preserve">MPMREQ26            </t>
  </si>
  <si>
    <t>2026-03-16 14:45:49.657</t>
  </si>
  <si>
    <t xml:space="preserve">MPMREQ20            </t>
  </si>
  <si>
    <t>2026-03-16 14:45:49.673</t>
  </si>
  <si>
    <t xml:space="preserve">MPMREQ40            </t>
  </si>
  <si>
    <t>2026-03-16 14:45:49.687</t>
  </si>
  <si>
    <t xml:space="preserve">MPMREQ28            </t>
  </si>
  <si>
    <t>2026-03-16 14:45:49.703</t>
  </si>
  <si>
    <t xml:space="preserve">MPMREQ22            </t>
  </si>
  <si>
    <t>2026-03-16 14:45:49.720</t>
  </si>
  <si>
    <t xml:space="preserve">MPMXID20            </t>
  </si>
  <si>
    <t>2026-03-16 14:45:49.953</t>
  </si>
  <si>
    <t xml:space="preserve">MPMXID30            </t>
  </si>
  <si>
    <t>2026-03-16 14:45:49.970</t>
  </si>
  <si>
    <t xml:space="preserve">MPMXID10            </t>
  </si>
  <si>
    <t>2026-03-16 14:45:49.987</t>
  </si>
  <si>
    <t xml:space="preserve">MPMXVA10            </t>
  </si>
  <si>
    <t>2026-03-16 14:45:50.217</t>
  </si>
  <si>
    <t>2026-03-16 14:45:50.233</t>
  </si>
  <si>
    <t xml:space="preserve">MPMXVA20            </t>
  </si>
  <si>
    <t>2026-03-16 14:45:50.267</t>
  </si>
  <si>
    <t xml:space="preserve">MPMXVA30            </t>
  </si>
  <si>
    <t>2026-03-16 14:45:50.280</t>
  </si>
  <si>
    <t xml:space="preserve">MPMXVA40            </t>
  </si>
  <si>
    <t>2026-03-16 14:45:50.297</t>
  </si>
  <si>
    <t xml:space="preserve">MPMXVA50            </t>
  </si>
  <si>
    <t>2026-03-16 14:45:50.310</t>
  </si>
  <si>
    <t xml:space="preserve">MPMXVA60            </t>
  </si>
  <si>
    <t>2026-03-16 14:45:50.327</t>
  </si>
  <si>
    <t xml:space="preserve">MPODOL10            </t>
  </si>
  <si>
    <t>2026-03-16 14:45:50.560</t>
  </si>
  <si>
    <t>2026-03-16 14:45:50.593</t>
  </si>
  <si>
    <t xml:space="preserve">MPOEXP40            </t>
  </si>
  <si>
    <t>2026-03-16 14:45:50.827</t>
  </si>
  <si>
    <t xml:space="preserve">MPOEXP10            </t>
  </si>
  <si>
    <t>2026-03-16 14:45:50.857</t>
  </si>
  <si>
    <t xml:space="preserve">MPOEXP20            </t>
  </si>
  <si>
    <t>2026-03-16 14:45:50.873</t>
  </si>
  <si>
    <t xml:space="preserve">MPOEXP30            </t>
  </si>
  <si>
    <t>2026-03-16 14:45:50.890</t>
  </si>
  <si>
    <t xml:space="preserve">MPOEXX10            </t>
  </si>
  <si>
    <t>2026-03-16 14:45:51.123</t>
  </si>
  <si>
    <t>2026-03-16 14:45:51.140</t>
  </si>
  <si>
    <t xml:space="preserve">MPOEXX20            </t>
  </si>
  <si>
    <t>2026-03-16 14:45:51.157</t>
  </si>
  <si>
    <t xml:space="preserve">MPOEXX30            </t>
  </si>
  <si>
    <t>2026-03-16 14:45:51.170</t>
  </si>
  <si>
    <t xml:space="preserve">MPOISS10            </t>
  </si>
  <si>
    <t>2026-03-16 14:45:51.407</t>
  </si>
  <si>
    <t xml:space="preserve">MPOPLA92            </t>
  </si>
  <si>
    <t>2026-03-16 14:45:51.640</t>
  </si>
  <si>
    <t xml:space="preserve">MPOPLA30            </t>
  </si>
  <si>
    <t>2026-03-16 14:45:51.657</t>
  </si>
  <si>
    <t xml:space="preserve">MPOPLA21            </t>
  </si>
  <si>
    <t>2026-03-16 14:45:51.670</t>
  </si>
  <si>
    <t xml:space="preserve">MPOPLA23            </t>
  </si>
  <si>
    <t>2026-03-16 14:45:51.687</t>
  </si>
  <si>
    <t>2026-03-16 14:45:51.703</t>
  </si>
  <si>
    <t xml:space="preserve">MPOPLA22            </t>
  </si>
  <si>
    <t>2026-03-16 14:45:51.717</t>
  </si>
  <si>
    <t xml:space="preserve">MPOPLA85            </t>
  </si>
  <si>
    <t>2026-03-16 14:45:51.733</t>
  </si>
  <si>
    <t xml:space="preserve">MPOPLA50            </t>
  </si>
  <si>
    <t>2026-03-16 14:45:51.750</t>
  </si>
  <si>
    <t xml:space="preserve">MPOPLA10            </t>
  </si>
  <si>
    <t>2026-03-16 14:45:51.763</t>
  </si>
  <si>
    <t xml:space="preserve">MPOPLA71            </t>
  </si>
  <si>
    <t>2026-03-16 14:45:51.780</t>
  </si>
  <si>
    <t xml:space="preserve">MPOPLA75            </t>
  </si>
  <si>
    <t>2026-03-16 14:45:51.797</t>
  </si>
  <si>
    <t xml:space="preserve">MPOPLA76            </t>
  </si>
  <si>
    <t>2026-03-16 14:45:51.810</t>
  </si>
  <si>
    <t xml:space="preserve">MPOPLA20            </t>
  </si>
  <si>
    <t>2026-03-16 14:45:51.827</t>
  </si>
  <si>
    <t>2026-03-16 14:45:51.830</t>
  </si>
  <si>
    <t xml:space="preserve">MPOPLP92            </t>
  </si>
  <si>
    <t>2026-03-16 14:45:52.077</t>
  </si>
  <si>
    <t>2026-03-16 14:45:52.093</t>
  </si>
  <si>
    <t xml:space="preserve">MPOPLP91            </t>
  </si>
  <si>
    <t>2026-03-16 14:45:52.107</t>
  </si>
  <si>
    <t xml:space="preserve">MPOPLP23            </t>
  </si>
  <si>
    <t>2026-03-16 14:45:52.123</t>
  </si>
  <si>
    <t>2026-03-16 14:45:52.140</t>
  </si>
  <si>
    <t xml:space="preserve">MPOPLP22            </t>
  </si>
  <si>
    <t>2026-03-16 14:45:52.157</t>
  </si>
  <si>
    <t>2026-03-16 14:45:52.170</t>
  </si>
  <si>
    <t xml:space="preserve">MPOPLP67            </t>
  </si>
  <si>
    <t>2026-03-16 14:45:52.187</t>
  </si>
  <si>
    <t>2026-03-16 14:45:52.203</t>
  </si>
  <si>
    <t xml:space="preserve">MPOPLP61            </t>
  </si>
  <si>
    <t>2026-03-16 14:45:52.217</t>
  </si>
  <si>
    <t>2026-03-16 14:45:52.233</t>
  </si>
  <si>
    <t xml:space="preserve">MPOPLP64            </t>
  </si>
  <si>
    <t>2026-03-16 14:45:52.250</t>
  </si>
  <si>
    <t>2026-03-16 14:45:52.267</t>
  </si>
  <si>
    <t xml:space="preserve">MPOPLP21            </t>
  </si>
  <si>
    <t>2026-03-16 14:45:52.280</t>
  </si>
  <si>
    <t>2026-03-16 14:45:52.297</t>
  </si>
  <si>
    <t xml:space="preserve">MPOPLP72            </t>
  </si>
  <si>
    <t>2026-03-16 14:45:52.310</t>
  </si>
  <si>
    <t>2026-03-16 14:45:52.327</t>
  </si>
  <si>
    <t xml:space="preserve">MPOPLP63            </t>
  </si>
  <si>
    <t>2026-03-16 14:45:52.343</t>
  </si>
  <si>
    <t>2026-03-16 14:45:52.370</t>
  </si>
  <si>
    <t>26</t>
  </si>
  <si>
    <t xml:space="preserve">MPOPLP66            </t>
  </si>
  <si>
    <t>2026-03-16 14:45:52.377</t>
  </si>
  <si>
    <t>2026-03-16 14:45:52.390</t>
  </si>
  <si>
    <t xml:space="preserve">MPOPLP90            </t>
  </si>
  <si>
    <t>2026-03-16 14:45:52.407</t>
  </si>
  <si>
    <t>2026-03-16 14:45:52.423</t>
  </si>
  <si>
    <t xml:space="preserve">MPOPLP95            </t>
  </si>
  <si>
    <t>2026-03-16 14:45:52.437</t>
  </si>
  <si>
    <t>2026-03-16 14:45:52.453</t>
  </si>
  <si>
    <t xml:space="preserve">MPOPLP10            </t>
  </si>
  <si>
    <t>2026-03-16 14:45:52.463</t>
  </si>
  <si>
    <t>2026-03-16 14:45:52.480</t>
  </si>
  <si>
    <t xml:space="preserve">MPOPLP20            </t>
  </si>
  <si>
    <t>2026-03-16 14:45:52.497</t>
  </si>
  <si>
    <t>2026-03-16 14:45:52.510</t>
  </si>
  <si>
    <t xml:space="preserve">MPOPLP50            </t>
  </si>
  <si>
    <t>2026-03-16 14:45:52.527</t>
  </si>
  <si>
    <t>2026-03-16 14:45:52.543</t>
  </si>
  <si>
    <t xml:space="preserve">MPOPLP30            </t>
  </si>
  <si>
    <t>2026-03-16 14:45:52.567</t>
  </si>
  <si>
    <t>23</t>
  </si>
  <si>
    <t xml:space="preserve">MPOPLP40            </t>
  </si>
  <si>
    <t>2026-03-16 14:45:52.580</t>
  </si>
  <si>
    <t xml:space="preserve">MPOPLP71            </t>
  </si>
  <si>
    <t>2026-03-16 14:45:52.597</t>
  </si>
  <si>
    <t>2026-03-16 14:45:52.613</t>
  </si>
  <si>
    <t xml:space="preserve">MPOPLP70            </t>
  </si>
  <si>
    <t>2026-03-16 14:45:52.627</t>
  </si>
  <si>
    <t>2026-03-16 14:45:52.643</t>
  </si>
  <si>
    <t xml:space="preserve">MPOPLP65            </t>
  </si>
  <si>
    <t>2026-03-16 14:45:52.660</t>
  </si>
  <si>
    <t>2026-03-16 14:45:52.673</t>
  </si>
  <si>
    <t xml:space="preserve">MPOPLP80            </t>
  </si>
  <si>
    <t>2026-03-16 14:45:52.690</t>
  </si>
  <si>
    <t xml:space="preserve">MPOPLP60            </t>
  </si>
  <si>
    <t>2026-03-16 14:45:52.707</t>
  </si>
  <si>
    <t>2026-03-16 14:45:52.720</t>
  </si>
  <si>
    <t xml:space="preserve">MPOPLP62            </t>
  </si>
  <si>
    <t>2026-03-16 14:45:52.737</t>
  </si>
  <si>
    <t>2026-03-16 14:45:52.753</t>
  </si>
  <si>
    <t xml:space="preserve">MPOREF20            </t>
  </si>
  <si>
    <t>2026-03-16 14:45:52.987</t>
  </si>
  <si>
    <t xml:space="preserve">MPOREF30            </t>
  </si>
  <si>
    <t>2026-03-16 14:45:53.003</t>
  </si>
  <si>
    <t>2026-03-16 14:45:53.017</t>
  </si>
  <si>
    <t xml:space="preserve">MPOREF10            </t>
  </si>
  <si>
    <t>2026-03-16 14:45:53.030</t>
  </si>
  <si>
    <t xml:space="preserve">MPP14510            </t>
  </si>
  <si>
    <t>2026-03-16 14:45:53.267</t>
  </si>
  <si>
    <t xml:space="preserve">MPP14520            </t>
  </si>
  <si>
    <t>2026-03-16 14:45:53.280</t>
  </si>
  <si>
    <t xml:space="preserve">MPP22010            </t>
  </si>
  <si>
    <t>2026-03-16 14:45:53.530</t>
  </si>
  <si>
    <t xml:space="preserve">MPP30210            </t>
  </si>
  <si>
    <t>2026-03-16 14:45:53.767</t>
  </si>
  <si>
    <t xml:space="preserve">MPP39020            </t>
  </si>
  <si>
    <t>2026-03-16 14:45:54.000</t>
  </si>
  <si>
    <t xml:space="preserve">MPP39010            </t>
  </si>
  <si>
    <t>2026-03-16 14:45:54.017</t>
  </si>
  <si>
    <t xml:space="preserve">MPP47710            </t>
  </si>
  <si>
    <t>2026-03-16 14:45:54.250</t>
  </si>
  <si>
    <t xml:space="preserve">MPP47790            </t>
  </si>
  <si>
    <t>2026-03-16 14:45:54.267</t>
  </si>
  <si>
    <t xml:space="preserve">MPP55610            </t>
  </si>
  <si>
    <t>2026-03-16 14:45:54.500</t>
  </si>
  <si>
    <t xml:space="preserve">MPP55620            </t>
  </si>
  <si>
    <t>2026-03-16 14:45:54.517</t>
  </si>
  <si>
    <t xml:space="preserve">MPP55630            </t>
  </si>
  <si>
    <t>2026-03-16 14:45:54.530</t>
  </si>
  <si>
    <t xml:space="preserve">MPP60800            </t>
  </si>
  <si>
    <t>2026-03-16 14:45:54.767</t>
  </si>
  <si>
    <t xml:space="preserve">MPP63110            </t>
  </si>
  <si>
    <t>2026-03-16 14:45:55.000</t>
  </si>
  <si>
    <t xml:space="preserve">MPP97110            </t>
  </si>
  <si>
    <t>2026-03-16 14:45:55.233</t>
  </si>
  <si>
    <t xml:space="preserve">MPP97120            </t>
  </si>
  <si>
    <t>2026-03-16 14:45:55.250</t>
  </si>
  <si>
    <t xml:space="preserve">MPPACH20            </t>
  </si>
  <si>
    <t>2026-03-16 14:45:55.500</t>
  </si>
  <si>
    <t xml:space="preserve">MPPACH30            </t>
  </si>
  <si>
    <t>2026-03-16 14:45:55.517</t>
  </si>
  <si>
    <t xml:space="preserve">MPPACH10            </t>
  </si>
  <si>
    <t>2026-03-16 14:45:55.530</t>
  </si>
  <si>
    <t xml:space="preserve">MPPACL30            </t>
  </si>
  <si>
    <t>2026-03-16 14:45:55.767</t>
  </si>
  <si>
    <t xml:space="preserve">MPPACL20            </t>
  </si>
  <si>
    <t>2026-03-16 14:45:55.780</t>
  </si>
  <si>
    <t xml:space="preserve">MPPACL10            </t>
  </si>
  <si>
    <t>2026-03-16 14:45:55.797</t>
  </si>
  <si>
    <t xml:space="preserve">MPPEXX10            </t>
  </si>
  <si>
    <t>2026-03-16 14:45:56.047</t>
  </si>
  <si>
    <t xml:space="preserve">MPPEXX20            </t>
  </si>
  <si>
    <t>2026-03-16 14:45:56.077</t>
  </si>
  <si>
    <t xml:space="preserve">MPPLSD10            </t>
  </si>
  <si>
    <t>2026-03-16 14:45:56.313</t>
  </si>
  <si>
    <t xml:space="preserve">MPPOEX20            </t>
  </si>
  <si>
    <t>2026-03-16 14:45:56.563</t>
  </si>
  <si>
    <t xml:space="preserve">MPPOEX30            </t>
  </si>
  <si>
    <t>2026-03-16 14:45:56.577</t>
  </si>
  <si>
    <t xml:space="preserve">MPPOEX10            </t>
  </si>
  <si>
    <t>2026-03-16 14:45:56.593</t>
  </si>
  <si>
    <t xml:space="preserve">MPPQTH30            </t>
  </si>
  <si>
    <t>2026-03-16 14:45:56.823</t>
  </si>
  <si>
    <t>2026-03-16 14:45:56.837</t>
  </si>
  <si>
    <t xml:space="preserve">MPPQTH20            </t>
  </si>
  <si>
    <t>2026-03-16 14:45:56.853</t>
  </si>
  <si>
    <t xml:space="preserve">MPPQTH10            </t>
  </si>
  <si>
    <t>2026-03-16 14:45:56.870</t>
  </si>
  <si>
    <t xml:space="preserve">MPPQTL10            </t>
  </si>
  <si>
    <t>2026-03-16 14:45:57.110</t>
  </si>
  <si>
    <t xml:space="preserve">MPQDCA10            </t>
  </si>
  <si>
    <t>2026-03-16 14:45:57.343</t>
  </si>
  <si>
    <t xml:space="preserve">MPQFUH10            </t>
  </si>
  <si>
    <t>2026-03-16 14:45:57.577</t>
  </si>
  <si>
    <t xml:space="preserve">MPQFUH20            </t>
  </si>
  <si>
    <t>2026-03-16 14:45:57.593</t>
  </si>
  <si>
    <t xml:space="preserve">MPREAL60            </t>
  </si>
  <si>
    <t>2026-03-16 14:45:57.827</t>
  </si>
  <si>
    <t xml:space="preserve">MPREAL40            </t>
  </si>
  <si>
    <t>2026-03-16 14:45:57.843</t>
  </si>
  <si>
    <t xml:space="preserve">MPREAL50            </t>
  </si>
  <si>
    <t>2026-03-16 14:45:57.860</t>
  </si>
  <si>
    <t xml:space="preserve">MPREAL72            </t>
  </si>
  <si>
    <t>2026-03-16 14:45:57.877</t>
  </si>
  <si>
    <t xml:space="preserve">MPREAL70            </t>
  </si>
  <si>
    <t>2026-03-16 14:45:57.890</t>
  </si>
  <si>
    <t xml:space="preserve">MPREAL71            </t>
  </si>
  <si>
    <t>2026-03-16 14:45:57.907</t>
  </si>
  <si>
    <t xml:space="preserve">MPREAL10            </t>
  </si>
  <si>
    <t>2026-03-16 14:45:57.923</t>
  </si>
  <si>
    <t xml:space="preserve">MPREAL20            </t>
  </si>
  <si>
    <t>2026-03-16 14:45:57.937</t>
  </si>
  <si>
    <t xml:space="preserve">MPREAL30            </t>
  </si>
  <si>
    <t>2026-03-16 14:45:57.953</t>
  </si>
  <si>
    <t xml:space="preserve">MPREAT20            </t>
  </si>
  <si>
    <t>2026-03-16 14:45:58.190</t>
  </si>
  <si>
    <t xml:space="preserve">MPREAT50            </t>
  </si>
  <si>
    <t>2026-03-16 14:45:58.207</t>
  </si>
  <si>
    <t xml:space="preserve">MPREAT10            </t>
  </si>
  <si>
    <t>2026-03-16 14:45:58.223</t>
  </si>
  <si>
    <t xml:space="preserve">MPREAT30            </t>
  </si>
  <si>
    <t>2026-03-16 14:45:58.237</t>
  </si>
  <si>
    <t xml:space="preserve">MPREAT40            </t>
  </si>
  <si>
    <t>2026-03-16 14:45:58.253</t>
  </si>
  <si>
    <t xml:space="preserve">MPRELO20            </t>
  </si>
  <si>
    <t>2026-03-16 14:45:58.487</t>
  </si>
  <si>
    <t xml:space="preserve">MPRELO04            </t>
  </si>
  <si>
    <t>2026-03-16 14:45:58.503</t>
  </si>
  <si>
    <t xml:space="preserve">MPRELO10            </t>
  </si>
  <si>
    <t>2026-03-16 14:45:58.520</t>
  </si>
  <si>
    <t xml:space="preserve">MPRELO11            </t>
  </si>
  <si>
    <t>2026-03-16 14:45:58.537</t>
  </si>
  <si>
    <t xml:space="preserve">MPRENT10            </t>
  </si>
  <si>
    <t>2026-03-16 14:45:58.770</t>
  </si>
  <si>
    <t>2026-03-16 14:45:58.777</t>
  </si>
  <si>
    <t xml:space="preserve">MPRETT10            </t>
  </si>
  <si>
    <t>2026-03-16 14:45:59.017</t>
  </si>
  <si>
    <t xml:space="preserve">MPRFLD10            </t>
  </si>
  <si>
    <t>2026-03-16 14:45:59.253</t>
  </si>
  <si>
    <t xml:space="preserve">MPRMAT10            </t>
  </si>
  <si>
    <t>2026-03-16 14:45:59.487</t>
  </si>
  <si>
    <t xml:space="preserve">MPRRCO10            </t>
  </si>
  <si>
    <t>2026-03-16 14:45:59.720</t>
  </si>
  <si>
    <t xml:space="preserve">MPSPER10            </t>
  </si>
  <si>
    <t>2026-03-16 14:45:59.957</t>
  </si>
  <si>
    <t xml:space="preserve">MPSUAG30            </t>
  </si>
  <si>
    <t>2026-03-16 14:46:00.190</t>
  </si>
  <si>
    <t>2026-03-16 14:46:00.207</t>
  </si>
  <si>
    <t xml:space="preserve">MPSUAG40            </t>
  </si>
  <si>
    <t>2026-03-16 14:46:00.220</t>
  </si>
  <si>
    <t xml:space="preserve">MPSUAG70            </t>
  </si>
  <si>
    <t>2026-03-16 14:46:00.237</t>
  </si>
  <si>
    <t xml:space="preserve">MPSUAG80            </t>
  </si>
  <si>
    <t>2026-03-16 14:46:00.253</t>
  </si>
  <si>
    <t xml:space="preserve">MPSUAG10            </t>
  </si>
  <si>
    <t>2026-03-16 14:46:00.267</t>
  </si>
  <si>
    <t xml:space="preserve">MPSUAG20            </t>
  </si>
  <si>
    <t>2026-03-16 14:46:00.283</t>
  </si>
  <si>
    <t xml:space="preserve">MPSUAG60            </t>
  </si>
  <si>
    <t>2026-03-16 14:46:00.300</t>
  </si>
  <si>
    <t xml:space="preserve">MPSUAG90            </t>
  </si>
  <si>
    <t>2026-03-16 14:46:00.317</t>
  </si>
  <si>
    <t xml:space="preserve">MPSUAG50            </t>
  </si>
  <si>
    <t>2026-03-16 14:46:00.330</t>
  </si>
  <si>
    <t xml:space="preserve">MPSUAH20            </t>
  </si>
  <si>
    <t>2026-03-16 14:46:00.567</t>
  </si>
  <si>
    <t xml:space="preserve">MPSUAH10            </t>
  </si>
  <si>
    <t>2026-03-16 14:46:00.580</t>
  </si>
  <si>
    <t xml:space="preserve">MPSUAS10            </t>
  </si>
  <si>
    <t>2026-03-16 14:46:00.817</t>
  </si>
  <si>
    <t xml:space="preserve">MPSUAS20            </t>
  </si>
  <si>
    <t>2026-03-16 14:46:00.830</t>
  </si>
  <si>
    <t xml:space="preserve">MPSUCL10            </t>
  </si>
  <si>
    <t>2026-03-16 14:46:01.067</t>
  </si>
  <si>
    <t xml:space="preserve">MPSUCL20            </t>
  </si>
  <si>
    <t>2026-03-16 14:46:01.080</t>
  </si>
  <si>
    <t xml:space="preserve">MPSUML20            </t>
  </si>
  <si>
    <t>2026-03-16 14:46:01.330</t>
  </si>
  <si>
    <t xml:space="preserve">MPSUML30            </t>
  </si>
  <si>
    <t>2026-03-16 14:46:01.347</t>
  </si>
  <si>
    <t xml:space="preserve">MPSUML10            </t>
  </si>
  <si>
    <t>2026-03-16 14:46:01.363</t>
  </si>
  <si>
    <t xml:space="preserve">MPSUMX50            </t>
  </si>
  <si>
    <t>2026-03-16 14:46:01.597</t>
  </si>
  <si>
    <t xml:space="preserve">MPSUMX90            </t>
  </si>
  <si>
    <t>2026-03-16 14:46:01.613</t>
  </si>
  <si>
    <t xml:space="preserve">MPSUMX92            </t>
  </si>
  <si>
    <t>2026-03-16 14:46:01.627</t>
  </si>
  <si>
    <t xml:space="preserve">MPSUMX91            </t>
  </si>
  <si>
    <t>2026-03-16 14:46:01.643</t>
  </si>
  <si>
    <t xml:space="preserve">MPSUMX40            </t>
  </si>
  <si>
    <t>2026-03-16 14:46:01.660</t>
  </si>
  <si>
    <t xml:space="preserve">MPSUPR10            </t>
  </si>
  <si>
    <t>2026-03-16 14:46:01.893</t>
  </si>
  <si>
    <t xml:space="preserve">MPSUPR80            </t>
  </si>
  <si>
    <t>2026-03-16 14:46:01.910</t>
  </si>
  <si>
    <t xml:space="preserve">MPSUPR40            </t>
  </si>
  <si>
    <t>2026-03-16 14:46:01.923</t>
  </si>
  <si>
    <t xml:space="preserve">MPSUPR20            </t>
  </si>
  <si>
    <t>2026-03-16 14:46:01.940</t>
  </si>
  <si>
    <t xml:space="preserve">MPSUPR90            </t>
  </si>
  <si>
    <t>2026-03-16 14:46:01.957</t>
  </si>
  <si>
    <t xml:space="preserve">MPSUPR51            </t>
  </si>
  <si>
    <t>2026-03-16 14:46:01.970</t>
  </si>
  <si>
    <t xml:space="preserve">MPSUPR60            </t>
  </si>
  <si>
    <t>2026-03-16 14:46:01.987</t>
  </si>
  <si>
    <t xml:space="preserve">MPSUPR30            </t>
  </si>
  <si>
    <t>2026-03-16 14:46:02.003</t>
  </si>
  <si>
    <t xml:space="preserve">MPSUPR50            </t>
  </si>
  <si>
    <t>2026-03-16 14:46:02.020</t>
  </si>
  <si>
    <t xml:space="preserve">MPSUPR70            </t>
  </si>
  <si>
    <t>2026-03-16 14:46:02.033</t>
  </si>
  <si>
    <t xml:space="preserve">MPSUPS10            </t>
  </si>
  <si>
    <t>2026-03-16 14:46:02.270</t>
  </si>
  <si>
    <t xml:space="preserve">MPSURL10            </t>
  </si>
  <si>
    <t>2026-03-16 14:46:02.503</t>
  </si>
  <si>
    <t>2026-03-16 14:46:02.520</t>
  </si>
  <si>
    <t xml:space="preserve">MPSURL20            </t>
  </si>
  <si>
    <t>2026-03-16 14:46:02.533</t>
  </si>
  <si>
    <t xml:space="preserve">MPSURL40            </t>
  </si>
  <si>
    <t>2026-03-16 14:46:02.550</t>
  </si>
  <si>
    <t xml:space="preserve">MPSURL30            </t>
  </si>
  <si>
    <t>2026-03-16 14:46:02.567</t>
  </si>
  <si>
    <t xml:space="preserve">MPSUSC10            </t>
  </si>
  <si>
    <t>2026-03-16 14:46:02.803</t>
  </si>
  <si>
    <t xml:space="preserve">MPSUTR42            </t>
  </si>
  <si>
    <t>2026-03-16 14:46:03.037</t>
  </si>
  <si>
    <t xml:space="preserve">MPSUTR10            </t>
  </si>
  <si>
    <t>2026-03-16 14:46:03.050</t>
  </si>
  <si>
    <t xml:space="preserve">MPSUTR80            </t>
  </si>
  <si>
    <t>2026-03-16 14:46:03.067</t>
  </si>
  <si>
    <t xml:space="preserve">MPSUTR90            </t>
  </si>
  <si>
    <t>2026-03-16 14:46:03.083</t>
  </si>
  <si>
    <t xml:space="preserve">MPSUTR70            </t>
  </si>
  <si>
    <t>2026-03-16 14:46:03.097</t>
  </si>
  <si>
    <t xml:space="preserve">MPSUTR91            </t>
  </si>
  <si>
    <t>2026-03-16 14:46:03.113</t>
  </si>
  <si>
    <t xml:space="preserve">MPSUTR92            </t>
  </si>
  <si>
    <t>2026-03-16 14:46:03.127</t>
  </si>
  <si>
    <t xml:space="preserve">MPSUTR40            </t>
  </si>
  <si>
    <t>2026-03-16 14:46:03.143</t>
  </si>
  <si>
    <t xml:space="preserve">MPSUTR41            </t>
  </si>
  <si>
    <t>2026-03-16 14:46:03.160</t>
  </si>
  <si>
    <t xml:space="preserve">MPSUTR50            </t>
  </si>
  <si>
    <t>2026-03-16 14:46:03.177</t>
  </si>
  <si>
    <t xml:space="preserve">MPSUTR60            </t>
  </si>
  <si>
    <t>2026-03-16 14:46:03.190</t>
  </si>
  <si>
    <t xml:space="preserve">MPSUTR61            </t>
  </si>
  <si>
    <t>2026-03-16 14:46:03.207</t>
  </si>
  <si>
    <t>2026-03-16 14:46:03.223</t>
  </si>
  <si>
    <t xml:space="preserve">MPSUTR30            </t>
  </si>
  <si>
    <t>2026-03-16 14:46:03.237</t>
  </si>
  <si>
    <t xml:space="preserve">MPSUTR62            </t>
  </si>
  <si>
    <t xml:space="preserve">MPSUTR51            </t>
  </si>
  <si>
    <t>2026-03-16 14:46:03.253</t>
  </si>
  <si>
    <t>2026-03-16 14:46:03.270</t>
  </si>
  <si>
    <t xml:space="preserve">MPSUTR20            </t>
  </si>
  <si>
    <t>2026-03-16 14:46:03.287</t>
  </si>
  <si>
    <t xml:space="preserve">MPSWSL10            </t>
  </si>
  <si>
    <t>2026-03-16 14:46:03.520</t>
  </si>
  <si>
    <t xml:space="preserve">MPTAWY40            </t>
  </si>
  <si>
    <t>2026-03-16 14:46:03.750</t>
  </si>
  <si>
    <t>2026-03-16 14:46:03.767</t>
  </si>
  <si>
    <t xml:space="preserve">MPTAWY60            </t>
  </si>
  <si>
    <t>2026-03-16 14:46:03.780</t>
  </si>
  <si>
    <t xml:space="preserve">MPTAWY10            </t>
  </si>
  <si>
    <t>2026-03-16 14:46:03.797</t>
  </si>
  <si>
    <t xml:space="preserve">MPTAWY11            </t>
  </si>
  <si>
    <t>2026-03-16 14:46:03.810</t>
  </si>
  <si>
    <t xml:space="preserve">MPTAWY91            </t>
  </si>
  <si>
    <t>2026-03-16 14:46:03.827</t>
  </si>
  <si>
    <t xml:space="preserve">MPTAWY30            </t>
  </si>
  <si>
    <t>2026-03-16 14:46:03.843</t>
  </si>
  <si>
    <t xml:space="preserve">MPTAWY41            </t>
  </si>
  <si>
    <t>2026-03-16 14:46:03.857</t>
  </si>
  <si>
    <t xml:space="preserve">MPTAWY80            </t>
  </si>
  <si>
    <t>2026-03-16 14:46:03.873</t>
  </si>
  <si>
    <t>2026-03-16 14:46:03.890</t>
  </si>
  <si>
    <t xml:space="preserve">MPTAWY90            </t>
  </si>
  <si>
    <t xml:space="preserve">MPTAWY70            </t>
  </si>
  <si>
    <t>2026-03-16 14:46:03.907</t>
  </si>
  <si>
    <t xml:space="preserve">MPTAWY20            </t>
  </si>
  <si>
    <t>2026-03-16 14:46:03.920</t>
  </si>
  <si>
    <t xml:space="preserve">MPTAWY01            </t>
  </si>
  <si>
    <t>2026-03-16 14:46:03.937</t>
  </si>
  <si>
    <t xml:space="preserve">MPTRNS24            </t>
  </si>
  <si>
    <t>2026-03-16 14:46:04.177</t>
  </si>
  <si>
    <t>2026-03-16 14:46:06.770</t>
  </si>
  <si>
    <t>2594</t>
  </si>
  <si>
    <t xml:space="preserve">MPTRNS92            </t>
  </si>
  <si>
    <t>2026-03-16 14:46:06.787</t>
  </si>
  <si>
    <t>2026-03-16 14:46:08.693</t>
  </si>
  <si>
    <t xml:space="preserve">MPTRNS45            </t>
  </si>
  <si>
    <t>2026-03-16 14:46:08.707</t>
  </si>
  <si>
    <t>2026-03-16 14:46:10.877</t>
  </si>
  <si>
    <t>2170</t>
  </si>
  <si>
    <t xml:space="preserve">MPTRNS50            </t>
  </si>
  <si>
    <t>2026-03-16 14:46:10.893</t>
  </si>
  <si>
    <t>2026-03-16 14:46:13.087</t>
  </si>
  <si>
    <t>2191</t>
  </si>
  <si>
    <t xml:space="preserve">MPTRNS22            </t>
  </si>
  <si>
    <t>2026-03-16 14:46:13.113</t>
  </si>
  <si>
    <t>2026-03-16 14:46:14.907</t>
  </si>
  <si>
    <t>1796</t>
  </si>
  <si>
    <t xml:space="preserve">MPTRNS90            </t>
  </si>
  <si>
    <t>2026-03-16 14:46:14.923</t>
  </si>
  <si>
    <t>2026-03-16 14:46:17.040</t>
  </si>
  <si>
    <t>2116</t>
  </si>
  <si>
    <t xml:space="preserve">MPTRNS05            </t>
  </si>
  <si>
    <t>2026-03-16 14:46:17.057</t>
  </si>
  <si>
    <t>2026-03-16 14:46:18.730</t>
  </si>
  <si>
    <t>1675</t>
  </si>
  <si>
    <t xml:space="preserve">MPTRNS25            </t>
  </si>
  <si>
    <t>2026-03-16 14:46:18.747</t>
  </si>
  <si>
    <t>2026-03-16 14:46:20.213</t>
  </si>
  <si>
    <t>1468</t>
  </si>
  <si>
    <t xml:space="preserve">MPTRNS26            </t>
  </si>
  <si>
    <t>2026-03-16 14:46:20.227</t>
  </si>
  <si>
    <t>2026-03-16 14:46:21.697</t>
  </si>
  <si>
    <t>1469</t>
  </si>
  <si>
    <t xml:space="preserve">MPTRNS70            </t>
  </si>
  <si>
    <t>2026-03-16 14:46:21.713</t>
  </si>
  <si>
    <t>2026-03-16 14:46:23.310</t>
  </si>
  <si>
    <t>1596</t>
  </si>
  <si>
    <t xml:space="preserve">MPTRNS28            </t>
  </si>
  <si>
    <t>2026-03-16 14:46:23.327</t>
  </si>
  <si>
    <t>2026-03-16 14:46:25.323</t>
  </si>
  <si>
    <t>1999</t>
  </si>
  <si>
    <t xml:space="preserve">MPTRNS85            </t>
  </si>
  <si>
    <t>2026-03-16 14:46:25.340</t>
  </si>
  <si>
    <t>2026-03-16 14:46:27.637</t>
  </si>
  <si>
    <t>2298</t>
  </si>
  <si>
    <t xml:space="preserve">MPTRNS86            </t>
  </si>
  <si>
    <t>2026-03-16 14:46:27.653</t>
  </si>
  <si>
    <t>2026-03-16 14:46:29.573</t>
  </si>
  <si>
    <t>1922</t>
  </si>
  <si>
    <t xml:space="preserve">MPTRNS40            </t>
  </si>
  <si>
    <t>2026-03-16 14:46:29.590</t>
  </si>
  <si>
    <t>2026-03-16 14:46:30.840</t>
  </si>
  <si>
    <t>1250</t>
  </si>
  <si>
    <t xml:space="preserve">MPTRNS27            </t>
  </si>
  <si>
    <t>2026-03-16 14:46:30.857</t>
  </si>
  <si>
    <t>2026-03-16 14:46:32.450</t>
  </si>
  <si>
    <t>1594</t>
  </si>
  <si>
    <t xml:space="preserve">MPTRNS91            </t>
  </si>
  <si>
    <t>2026-03-16 14:46:32.467</t>
  </si>
  <si>
    <t>2026-03-16 14:46:33.690</t>
  </si>
  <si>
    <t>1225</t>
  </si>
  <si>
    <t xml:space="preserve">MPTRNS10            </t>
  </si>
  <si>
    <t>2026-03-16 14:46:33.723</t>
  </si>
  <si>
    <t>2026-03-16 14:46:34.937</t>
  </si>
  <si>
    <t>1213</t>
  </si>
  <si>
    <t xml:space="preserve">MPTRNS21            </t>
  </si>
  <si>
    <t>2026-03-16 14:46:34.950</t>
  </si>
  <si>
    <t>2026-03-16 14:46:36.280</t>
  </si>
  <si>
    <t xml:space="preserve">MPTRNS01            </t>
  </si>
  <si>
    <t>2026-03-16 14:46:36.297</t>
  </si>
  <si>
    <t>2026-03-16 14:46:37.587</t>
  </si>
  <si>
    <t>1290</t>
  </si>
  <si>
    <t xml:space="preserve">MPTRNS03            </t>
  </si>
  <si>
    <t>2026-03-16 14:46:37.600</t>
  </si>
  <si>
    <t>2026-03-16 14:46:38.920</t>
  </si>
  <si>
    <t>1321</t>
  </si>
  <si>
    <t xml:space="preserve">MPTRNS80            </t>
  </si>
  <si>
    <t>2026-03-16 14:46:38.937</t>
  </si>
  <si>
    <t>2026-03-16 14:46:40.220</t>
  </si>
  <si>
    <t xml:space="preserve">MPURST20            </t>
  </si>
  <si>
    <t>2026-03-16 14:46:40.453</t>
  </si>
  <si>
    <t>2026-03-16 14:46:42.750</t>
  </si>
  <si>
    <t xml:space="preserve">MPURST21            </t>
  </si>
  <si>
    <t>2026-03-16 14:46:42.767</t>
  </si>
  <si>
    <t>2026-03-16 14:46:45.047</t>
  </si>
  <si>
    <t>2281</t>
  </si>
  <si>
    <t xml:space="preserve">MPURST60            </t>
  </si>
  <si>
    <t>2026-03-16 14:46:45.063</t>
  </si>
  <si>
    <t>2026-03-16 14:46:47.800</t>
  </si>
  <si>
    <t>2735</t>
  </si>
  <si>
    <t xml:space="preserve">MPURST10            </t>
  </si>
  <si>
    <t>2026-03-16 14:46:47.817</t>
  </si>
  <si>
    <t>2026-03-16 14:46:49.457</t>
  </si>
  <si>
    <t xml:space="preserve">MPURST40            </t>
  </si>
  <si>
    <t>2026-03-16 14:46:51.440</t>
  </si>
  <si>
    <t>1985</t>
  </si>
  <si>
    <t xml:space="preserve">MPURST51            </t>
  </si>
  <si>
    <t>2026-03-16 14:46:51.457</t>
  </si>
  <si>
    <t>2026-03-16 14:46:53.427</t>
  </si>
  <si>
    <t>1969</t>
  </si>
  <si>
    <t xml:space="preserve">MPURST30            </t>
  </si>
  <si>
    <t>2026-03-16 14:46:53.443</t>
  </si>
  <si>
    <t>2026-03-16 14:46:54.897</t>
  </si>
  <si>
    <t>1454</t>
  </si>
  <si>
    <t xml:space="preserve">MPURST31            </t>
  </si>
  <si>
    <t>2026-03-16 14:46:54.913</t>
  </si>
  <si>
    <t>2026-03-16 14:46:56.380</t>
  </si>
  <si>
    <t xml:space="preserve">MPWORE10            </t>
  </si>
  <si>
    <t>2026-03-16 14:46:56.617</t>
  </si>
  <si>
    <t>2026-03-16 14:46:56.630</t>
  </si>
  <si>
    <t xml:space="preserve">MPWORE20            </t>
  </si>
  <si>
    <t>2026-03-16 14:46:56.647</t>
  </si>
  <si>
    <t xml:space="preserve">MPWORE40            </t>
  </si>
  <si>
    <t>2026-03-16 14:46:56.663</t>
  </si>
  <si>
    <t>2026-03-16 14:46:56.677</t>
  </si>
  <si>
    <t xml:space="preserve">MPWORE30            </t>
  </si>
  <si>
    <t>2026-03-16 14:46:56.693</t>
  </si>
  <si>
    <t xml:space="preserve">MPXPLP10            </t>
  </si>
  <si>
    <t>2026-03-16 14:46:56.927</t>
  </si>
  <si>
    <t>2026-03-16 14:46:56.943</t>
  </si>
  <si>
    <t xml:space="preserve">MQM40010            </t>
  </si>
  <si>
    <t>2026-03-16 14:46:57.177</t>
  </si>
  <si>
    <t>2026-03-16 14:46:57.193</t>
  </si>
  <si>
    <t xml:space="preserve">MQM40020            </t>
  </si>
  <si>
    <t>2026-03-16 14:46:57.210</t>
  </si>
  <si>
    <t xml:space="preserve">MQM60220            </t>
  </si>
  <si>
    <t>2026-03-16 14:46:57.440</t>
  </si>
  <si>
    <t xml:space="preserve">MQM60210            </t>
  </si>
  <si>
    <t>2026-03-16 14:46:57.457</t>
  </si>
  <si>
    <t>2026-03-16 14:46:57.470</t>
  </si>
  <si>
    <t xml:space="preserve">MRC60110            </t>
  </si>
  <si>
    <t>2026-03-16 14:46:57.707</t>
  </si>
  <si>
    <t xml:space="preserve">MRC95010            </t>
  </si>
  <si>
    <t>2026-03-16 14:46:57.940</t>
  </si>
  <si>
    <t xml:space="preserve">MRC95020            </t>
  </si>
  <si>
    <t>2026-03-16 14:46:57.957</t>
  </si>
  <si>
    <t>2026-03-16 14:46:57.970</t>
  </si>
  <si>
    <t xml:space="preserve">MRCHED10            </t>
  </si>
  <si>
    <t>2026-03-16 14:46:58.220</t>
  </si>
  <si>
    <t xml:space="preserve">MRCSPE50            </t>
  </si>
  <si>
    <t>2026-03-16 14:46:58.457</t>
  </si>
  <si>
    <t xml:space="preserve">MRCSPE30            </t>
  </si>
  <si>
    <t>2026-03-16 14:46:58.470</t>
  </si>
  <si>
    <t>2026-03-16 14:46:58.487</t>
  </si>
  <si>
    <t xml:space="preserve">MRCSPE40            </t>
  </si>
  <si>
    <t>2026-03-16 14:46:58.503</t>
  </si>
  <si>
    <t>2026-03-16 14:46:58.517</t>
  </si>
  <si>
    <t xml:space="preserve">MRCSPE10            </t>
  </si>
  <si>
    <t>2026-03-16 14:46:58.533</t>
  </si>
  <si>
    <t xml:space="preserve">MRCSPE20            </t>
  </si>
  <si>
    <t>2026-03-16 14:46:58.550</t>
  </si>
  <si>
    <t>2026-03-16 14:46:58.567</t>
  </si>
  <si>
    <t xml:space="preserve">MRCSPE60            </t>
  </si>
  <si>
    <t>2026-03-16 14:46:58.580</t>
  </si>
  <si>
    <t xml:space="preserve">MRCSPE70            </t>
  </si>
  <si>
    <t>2026-03-16 14:46:58.597</t>
  </si>
  <si>
    <t>2026-03-16 14:46:58.610</t>
  </si>
  <si>
    <t xml:space="preserve">MRCSUM10            </t>
  </si>
  <si>
    <t>2026-03-16 14:46:58.847</t>
  </si>
  <si>
    <t xml:space="preserve">MRCSUM20            </t>
  </si>
  <si>
    <t>2026-03-16 14:46:58.860</t>
  </si>
  <si>
    <t>2026-03-16 14:46:58.893</t>
  </si>
  <si>
    <t xml:space="preserve">MRCSUM40            </t>
  </si>
  <si>
    <t>2026-03-16 14:46:58.907</t>
  </si>
  <si>
    <t xml:space="preserve">MRCSUM30            </t>
  </si>
  <si>
    <t>2026-03-16 14:46:58.923</t>
  </si>
  <si>
    <t xml:space="preserve">MREALO60            </t>
  </si>
  <si>
    <t>2026-03-16 14:46:59.157</t>
  </si>
  <si>
    <t>2026-03-16 14:46:59.190</t>
  </si>
  <si>
    <t xml:space="preserve">MREALO30            </t>
  </si>
  <si>
    <t>2026-03-16 14:46:59.207</t>
  </si>
  <si>
    <t xml:space="preserve">MREALO40            </t>
  </si>
  <si>
    <t>2026-03-16 14:46:59.220</t>
  </si>
  <si>
    <t xml:space="preserve">MREALO50            </t>
  </si>
  <si>
    <t>2026-03-16 14:46:59.237</t>
  </si>
  <si>
    <t>2026-03-16 14:46:59.253</t>
  </si>
  <si>
    <t xml:space="preserve">MREALO20            </t>
  </si>
  <si>
    <t>2026-03-16 14:46:59.267</t>
  </si>
  <si>
    <t xml:space="preserve">MREALO10            </t>
  </si>
  <si>
    <t>2026-03-16 14:46:59.283</t>
  </si>
  <si>
    <t>2026-03-16 14:46:59.300</t>
  </si>
  <si>
    <t xml:space="preserve">MROABL10            </t>
  </si>
  <si>
    <t>2026-03-16 14:46:59.543</t>
  </si>
  <si>
    <t>2026-03-16 14:46:59.557</t>
  </si>
  <si>
    <t xml:space="preserve">MROABL20            </t>
  </si>
  <si>
    <t>2026-03-16 14:46:59.573</t>
  </si>
  <si>
    <t xml:space="preserve">MROABL30            </t>
  </si>
  <si>
    <t>2026-03-16 14:46:59.590</t>
  </si>
  <si>
    <t xml:space="preserve">MROABL40            </t>
  </si>
  <si>
    <t>2026-03-16 14:46:59.607</t>
  </si>
  <si>
    <t xml:space="preserve">MROABS10            </t>
  </si>
  <si>
    <t>2026-03-16 14:46:59.840</t>
  </si>
  <si>
    <t>2026-03-16 14:46:59.857</t>
  </si>
  <si>
    <t xml:space="preserve">MROCUM10            </t>
  </si>
  <si>
    <t>2026-03-16 14:47:00.087</t>
  </si>
  <si>
    <t>2026-03-16 14:47:00.103</t>
  </si>
  <si>
    <t xml:space="preserve">MROICL10            </t>
  </si>
  <si>
    <t>2026-03-16 14:47:00.337</t>
  </si>
  <si>
    <t xml:space="preserve">MROICL20            </t>
  </si>
  <si>
    <t>2026-03-16 14:47:00.353</t>
  </si>
  <si>
    <t>2026-03-16 14:47:00.387</t>
  </si>
  <si>
    <t xml:space="preserve">MROICL30            </t>
  </si>
  <si>
    <t>2026-03-16 14:47:00.400</t>
  </si>
  <si>
    <t xml:space="preserve">MROICL40            </t>
  </si>
  <si>
    <t>2026-03-16 14:47:00.417</t>
  </si>
  <si>
    <t xml:space="preserve">MROLOC12            </t>
  </si>
  <si>
    <t>2026-03-16 14:47:00.650</t>
  </si>
  <si>
    <t>2026-03-16 14:47:00.667</t>
  </si>
  <si>
    <t xml:space="preserve">MROLOC10            </t>
  </si>
  <si>
    <t>2026-03-16 14:47:00.683</t>
  </si>
  <si>
    <t xml:space="preserve">MROLOC21            </t>
  </si>
  <si>
    <t>2026-03-16 14:47:00.697</t>
  </si>
  <si>
    <t>2026-03-16 14:47:00.713</t>
  </si>
  <si>
    <t xml:space="preserve">MROLOC30            </t>
  </si>
  <si>
    <t>2026-03-16 14:47:00.730</t>
  </si>
  <si>
    <t xml:space="preserve">MROLOC20            </t>
  </si>
  <si>
    <t>2026-03-16 14:47:00.747</t>
  </si>
  <si>
    <t xml:space="preserve">MROLOC11            </t>
  </si>
  <si>
    <t>2026-03-16 14:47:00.760</t>
  </si>
  <si>
    <t>2026-03-16 14:47:00.777</t>
  </si>
  <si>
    <t xml:space="preserve">MROLOC41            </t>
  </si>
  <si>
    <t>2026-03-16 14:47:00.790</t>
  </si>
  <si>
    <t xml:space="preserve">MROLOC40            </t>
  </si>
  <si>
    <t>2026-03-16 14:47:00.807</t>
  </si>
  <si>
    <t xml:space="preserve">MROLOC01            </t>
  </si>
  <si>
    <t>2026-03-16 14:47:00.823</t>
  </si>
  <si>
    <t xml:space="preserve">MROMIN40            </t>
  </si>
  <si>
    <t>2026-03-16 14:47:01.057</t>
  </si>
  <si>
    <t>2026-03-16 14:47:01.087</t>
  </si>
  <si>
    <t xml:space="preserve">MROMIN90            </t>
  </si>
  <si>
    <t>2026-03-16 14:47:01.120</t>
  </si>
  <si>
    <t xml:space="preserve">MROMIN30            </t>
  </si>
  <si>
    <t>2026-03-16 14:47:01.137</t>
  </si>
  <si>
    <t xml:space="preserve">MROMIN11            </t>
  </si>
  <si>
    <t>2026-03-16 14:47:01.150</t>
  </si>
  <si>
    <t xml:space="preserve">MROMIN80            </t>
  </si>
  <si>
    <t>2026-03-16 14:47:01.167</t>
  </si>
  <si>
    <t xml:space="preserve">MROMIN60            </t>
  </si>
  <si>
    <t>2026-03-16 14:47:01.183</t>
  </si>
  <si>
    <t>2026-03-16 14:47:01.197</t>
  </si>
  <si>
    <t xml:space="preserve">MROMIN20            </t>
  </si>
  <si>
    <t>2026-03-16 14:47:01.213</t>
  </si>
  <si>
    <t>2026-03-16 14:47:01.230</t>
  </si>
  <si>
    <t xml:space="preserve">MROMIN70            </t>
  </si>
  <si>
    <t>2026-03-16 14:47:01.243</t>
  </si>
  <si>
    <t xml:space="preserve">MROMIN50            </t>
  </si>
  <si>
    <t>2026-03-16 14:47:01.260</t>
  </si>
  <si>
    <t xml:space="preserve">MROMIN10            </t>
  </si>
  <si>
    <t>2026-03-16 14:47:01.290</t>
  </si>
  <si>
    <t xml:space="preserve">MROMOS10            </t>
  </si>
  <si>
    <t>2026-03-16 14:47:01.527</t>
  </si>
  <si>
    <t xml:space="preserve">MROMOS20            </t>
  </si>
  <si>
    <t>2026-03-16 14:47:01.540</t>
  </si>
  <si>
    <t xml:space="preserve">MROMOS30            </t>
  </si>
  <si>
    <t>2026-03-16 14:47:01.557</t>
  </si>
  <si>
    <t xml:space="preserve">MROMOS40            </t>
  </si>
  <si>
    <t>2026-03-16 14:47:01.573</t>
  </si>
  <si>
    <t xml:space="preserve">MROOPC40            </t>
  </si>
  <si>
    <t>2026-03-16 14:47:01.807</t>
  </si>
  <si>
    <t>2026-03-16 14:47:01.817</t>
  </si>
  <si>
    <t xml:space="preserve">MROOPC10            </t>
  </si>
  <si>
    <t>2026-03-16 14:47:01.830</t>
  </si>
  <si>
    <t xml:space="preserve">MROOPC50            </t>
  </si>
  <si>
    <t>2026-03-16 14:47:01.847</t>
  </si>
  <si>
    <t xml:space="preserve">MROOPC20            </t>
  </si>
  <si>
    <t>2026-03-16 14:47:01.863</t>
  </si>
  <si>
    <t xml:space="preserve">MROOPC30            </t>
  </si>
  <si>
    <t>2026-03-16 14:47:01.877</t>
  </si>
  <si>
    <t xml:space="preserve">MROOPM10            </t>
  </si>
  <si>
    <t>2026-03-16 14:47:02.113</t>
  </si>
  <si>
    <t xml:space="preserve">MROOPS10            </t>
  </si>
  <si>
    <t>2026-03-16 14:47:02.347</t>
  </si>
  <si>
    <t xml:space="preserve">MROUHI40            </t>
  </si>
  <si>
    <t>2026-03-16 14:47:02.580</t>
  </si>
  <si>
    <t>2026-03-16 14:47:02.597</t>
  </si>
  <si>
    <t xml:space="preserve">MROUHI60            </t>
  </si>
  <si>
    <t>2026-03-16 14:47:02.613</t>
  </si>
  <si>
    <t xml:space="preserve">MROUHI70            </t>
  </si>
  <si>
    <t>2026-03-16 14:47:02.627</t>
  </si>
  <si>
    <t xml:space="preserve">MROUHI05            </t>
  </si>
  <si>
    <t>2026-03-16 14:47:02.643</t>
  </si>
  <si>
    <t xml:space="preserve">MROUHI15            </t>
  </si>
  <si>
    <t>2026-03-16 14:47:02.660</t>
  </si>
  <si>
    <t xml:space="preserve">MROUHI20            </t>
  </si>
  <si>
    <t>2026-03-16 14:47:02.677</t>
  </si>
  <si>
    <t>2026-03-16 14:47:02.690</t>
  </si>
  <si>
    <t xml:space="preserve">MROUHI30            </t>
  </si>
  <si>
    <t>2026-03-16 14:47:02.707</t>
  </si>
  <si>
    <t xml:space="preserve">MROUHI10            </t>
  </si>
  <si>
    <t>2026-03-16 14:47:02.720</t>
  </si>
  <si>
    <t xml:space="preserve">MROUHI80            </t>
  </si>
  <si>
    <t>2026-03-16 14:47:02.737</t>
  </si>
  <si>
    <t xml:space="preserve">MROUHI90            </t>
  </si>
  <si>
    <t>2026-03-16 14:47:02.753</t>
  </si>
  <si>
    <t xml:space="preserve">MROUHI50            </t>
  </si>
  <si>
    <t>2026-03-16 14:47:02.767</t>
  </si>
  <si>
    <t xml:space="preserve">MRP65100            </t>
  </si>
  <si>
    <t>2026-03-16 14:47:03.003</t>
  </si>
  <si>
    <t xml:space="preserve">MRP91190            </t>
  </si>
  <si>
    <t>2026-03-16 14:47:03.237</t>
  </si>
  <si>
    <t xml:space="preserve">MRP99910            </t>
  </si>
  <si>
    <t>2026-03-16 14:47:03.283</t>
  </si>
  <si>
    <t xml:space="preserve">MRPAME10            </t>
  </si>
  <si>
    <t>2026-03-16 14:47:03.470</t>
  </si>
  <si>
    <t xml:space="preserve">MRPDTH10            </t>
  </si>
  <si>
    <t>2026-03-16 14:47:03.550</t>
  </si>
  <si>
    <t xml:space="preserve">MRPDTH20            </t>
  </si>
  <si>
    <t>2026-03-16 14:47:03.567</t>
  </si>
  <si>
    <t xml:space="preserve">MRPDTL10            </t>
  </si>
  <si>
    <t>2026-03-16 14:47:03.707</t>
  </si>
  <si>
    <t xml:space="preserve">MRPDTL20            </t>
  </si>
  <si>
    <t>2026-03-16 14:47:03.720</t>
  </si>
  <si>
    <t xml:space="preserve">MRPSIM10            </t>
  </si>
  <si>
    <t>2026-03-16 14:47:03.817</t>
  </si>
  <si>
    <t xml:space="preserve">MRPSTA10            </t>
  </si>
  <si>
    <t>2026-03-16 14:47:03.957</t>
  </si>
  <si>
    <t xml:space="preserve">MSCBSS10            </t>
  </si>
  <si>
    <t>2026-03-16 14:47:04.067</t>
  </si>
  <si>
    <t xml:space="preserve">MSCBSS20            </t>
  </si>
  <si>
    <t>2026-03-16 14:47:04.080</t>
  </si>
  <si>
    <t xml:space="preserve">MSCDAT10            </t>
  </si>
  <si>
    <t>2026-03-16 14:47:04.197</t>
  </si>
  <si>
    <t xml:space="preserve">MSCHED10            </t>
  </si>
  <si>
    <t>2026-03-16 14:47:04.337</t>
  </si>
  <si>
    <t xml:space="preserve">MSCITC10            </t>
  </si>
  <si>
    <t>2026-03-16 14:47:04.430</t>
  </si>
  <si>
    <t xml:space="preserve">MSCMDS10            </t>
  </si>
  <si>
    <t>2026-03-16 14:47:04.587</t>
  </si>
  <si>
    <t>2026-03-16 14:47:04.617</t>
  </si>
  <si>
    <t xml:space="preserve">MSCMDS20            </t>
  </si>
  <si>
    <t>2026-03-16 14:47:04.633</t>
  </si>
  <si>
    <t xml:space="preserve">MSCQTY10            </t>
  </si>
  <si>
    <t>2026-03-16 14:47:04.663</t>
  </si>
  <si>
    <t>2026-03-16 14:47:04.680</t>
  </si>
  <si>
    <t xml:space="preserve">MSCQTY20            </t>
  </si>
  <si>
    <t>2026-03-16 14:47:04.710</t>
  </si>
  <si>
    <t xml:space="preserve">MSCREL10            </t>
  </si>
  <si>
    <t>2026-03-16 14:47:04.883</t>
  </si>
  <si>
    <t>2026-03-16 14:47:04.897</t>
  </si>
  <si>
    <t xml:space="preserve">MSCREL20            </t>
  </si>
  <si>
    <t>2026-03-16 14:47:04.913</t>
  </si>
  <si>
    <t xml:space="preserve">MSCSAL10            </t>
  </si>
  <si>
    <t>2026-03-16 14:47:04.953</t>
  </si>
  <si>
    <t>2026-03-16 14:47:04.980</t>
  </si>
  <si>
    <t xml:space="preserve">MSCSOR30            </t>
  </si>
  <si>
    <t>2026-03-16 14:47:05.170</t>
  </si>
  <si>
    <t>2026-03-16 14:47:05.203</t>
  </si>
  <si>
    <t xml:space="preserve">MSCSOR40            </t>
  </si>
  <si>
    <t>2026-03-16 14:47:05.217</t>
  </si>
  <si>
    <t xml:space="preserve">MSCSOR10            </t>
  </si>
  <si>
    <t>2026-03-16 14:47:05.247</t>
  </si>
  <si>
    <t xml:space="preserve">MSCTRA10            </t>
  </si>
  <si>
    <t>2026-03-16 14:47:05.233</t>
  </si>
  <si>
    <t xml:space="preserve">MSCTRA20            </t>
  </si>
  <si>
    <t>2026-03-16 14:47:05.263</t>
  </si>
  <si>
    <t xml:space="preserve">MSCSOR20            </t>
  </si>
  <si>
    <t>2026-03-16 14:47:05.280</t>
  </si>
  <si>
    <t xml:space="preserve">MSCTRA30            </t>
  </si>
  <si>
    <t xml:space="preserve">MSCTRA40            </t>
  </si>
  <si>
    <t>2026-03-16 14:47:05.297</t>
  </si>
  <si>
    <t xml:space="preserve">MSCYOP10            </t>
  </si>
  <si>
    <t>2026-03-16 14:47:05.530</t>
  </si>
  <si>
    <t xml:space="preserve">MSDCUS10            </t>
  </si>
  <si>
    <t>2026-03-16 14:47:05.560</t>
  </si>
  <si>
    <t xml:space="preserve">MSDCUS20            </t>
  </si>
  <si>
    <t>2026-03-16 14:47:05.577</t>
  </si>
  <si>
    <t xml:space="preserve">MSDCUS30            </t>
  </si>
  <si>
    <t>2026-03-16 14:47:05.593</t>
  </si>
  <si>
    <t xml:space="preserve">MSDPRT10            </t>
  </si>
  <si>
    <t>2026-03-16 14:47:05.773</t>
  </si>
  <si>
    <t>2026-03-16 14:47:05.803</t>
  </si>
  <si>
    <t xml:space="preserve">MSDSBU10            </t>
  </si>
  <si>
    <t>2026-03-16 14:47:05.820</t>
  </si>
  <si>
    <t>2026-03-16 14:47:05.837</t>
  </si>
  <si>
    <t xml:space="preserve">MSDSHE01            </t>
  </si>
  <si>
    <t>2026-03-16 14:47:06.053</t>
  </si>
  <si>
    <t>2026-03-16 14:47:06.070</t>
  </si>
  <si>
    <t xml:space="preserve">MSDSTH10            </t>
  </si>
  <si>
    <t xml:space="preserve">MSDSHE10            </t>
  </si>
  <si>
    <t>2026-03-16 14:47:06.087</t>
  </si>
  <si>
    <t>2026-03-16 14:47:06.117</t>
  </si>
  <si>
    <t xml:space="preserve">MSDSTH01            </t>
  </si>
  <si>
    <t xml:space="preserve">MSDSHE20            </t>
  </si>
  <si>
    <t>2026-03-16 14:47:06.133</t>
  </si>
  <si>
    <t xml:space="preserve">MSDTXH10            </t>
  </si>
  <si>
    <t>2026-03-16 14:47:06.320</t>
  </si>
  <si>
    <t xml:space="preserve">MSDTXH01            </t>
  </si>
  <si>
    <t>2026-03-16 14:47:06.337</t>
  </si>
  <si>
    <t xml:space="preserve">MSE90001            </t>
  </si>
  <si>
    <t>2026-03-16 14:47:06.380</t>
  </si>
  <si>
    <t xml:space="preserve">MSE90090            </t>
  </si>
  <si>
    <t>2026-03-16 14:47:06.397</t>
  </si>
  <si>
    <t>2026-03-16 14:47:06.410</t>
  </si>
  <si>
    <t xml:space="preserve">MSELOC20            </t>
  </si>
  <si>
    <t>2026-03-16 14:47:06.567</t>
  </si>
  <si>
    <t>2026-03-16 14:47:06.583</t>
  </si>
  <si>
    <t xml:space="preserve">MSELOC40            </t>
  </si>
  <si>
    <t>2026-03-16 14:47:06.597</t>
  </si>
  <si>
    <t xml:space="preserve">MSELOC50            </t>
  </si>
  <si>
    <t>2026-03-16 14:47:06.613</t>
  </si>
  <si>
    <t xml:space="preserve">MSELOC10            </t>
  </si>
  <si>
    <t>2026-03-16 14:47:06.630</t>
  </si>
  <si>
    <t xml:space="preserve">MSPLMX10            </t>
  </si>
  <si>
    <t>2026-03-16 14:47:06.647</t>
  </si>
  <si>
    <t>2026-03-16 14:47:06.677</t>
  </si>
  <si>
    <t xml:space="preserve">MSPLMX50            </t>
  </si>
  <si>
    <t>2026-03-16 14:47:06.707</t>
  </si>
  <si>
    <t xml:space="preserve">MSPLMX20            </t>
  </si>
  <si>
    <t>2026-03-16 14:47:06.723</t>
  </si>
  <si>
    <t xml:space="preserve">MSTEDE10            </t>
  </si>
  <si>
    <t>2026-03-16 14:47:06.863</t>
  </si>
  <si>
    <t>2026-03-16 14:47:06.897</t>
  </si>
  <si>
    <t xml:space="preserve">MSTEDL10            </t>
  </si>
  <si>
    <t>2026-03-16 14:47:06.973</t>
  </si>
  <si>
    <t>2026-03-16 14:47:07.003</t>
  </si>
  <si>
    <t xml:space="preserve">MSTEHL10            </t>
  </si>
  <si>
    <t>2026-03-16 14:47:07.130</t>
  </si>
  <si>
    <t>2026-03-16 14:47:07.160</t>
  </si>
  <si>
    <t xml:space="preserve">MSTXGE10            </t>
  </si>
  <si>
    <t>2026-03-16 14:47:07.253</t>
  </si>
  <si>
    <t>2026-03-16 14:47:07.287</t>
  </si>
  <si>
    <t xml:space="preserve">MSUBCS20            </t>
  </si>
  <si>
    <t>2026-03-16 14:47:07.397</t>
  </si>
  <si>
    <t xml:space="preserve">MSUBCS10            </t>
  </si>
  <si>
    <t>2026-03-16 14:47:07.410</t>
  </si>
  <si>
    <t xml:space="preserve">MSUIRF10            </t>
  </si>
  <si>
    <t>2026-03-16 14:47:07.537</t>
  </si>
  <si>
    <t>2026-03-16 14:47:07.567</t>
  </si>
  <si>
    <t xml:space="preserve">MSUIRF20            </t>
  </si>
  <si>
    <t>2026-03-16 14:47:07.583</t>
  </si>
  <si>
    <t xml:space="preserve">MSUIRF30            </t>
  </si>
  <si>
    <t>2026-03-16 14:47:07.597</t>
  </si>
  <si>
    <t xml:space="preserve">MSUIRW10            </t>
  </si>
  <si>
    <t>2026-03-16 14:47:07.647</t>
  </si>
  <si>
    <t xml:space="preserve">MSUPFC10            </t>
  </si>
  <si>
    <t>2026-03-16 14:47:07.847</t>
  </si>
  <si>
    <t xml:space="preserve">MSUPHI30            </t>
  </si>
  <si>
    <t>2026-03-16 14:47:07.880</t>
  </si>
  <si>
    <t xml:space="preserve">MSUPHI50            </t>
  </si>
  <si>
    <t>2026-03-16 14:47:07.897</t>
  </si>
  <si>
    <t xml:space="preserve">MSUPHI10            </t>
  </si>
  <si>
    <t>2026-03-16 14:47:07.910</t>
  </si>
  <si>
    <t xml:space="preserve">MSUPHI20            </t>
  </si>
  <si>
    <t>2026-03-16 14:47:07.927</t>
  </si>
  <si>
    <t xml:space="preserve">MSYTXH10            </t>
  </si>
  <si>
    <t>2026-03-16 14:47:08.097</t>
  </si>
  <si>
    <t>2026-03-16 14:47:08.857</t>
  </si>
  <si>
    <t>760</t>
  </si>
  <si>
    <t xml:space="preserve">MTATTR20            </t>
  </si>
  <si>
    <t>2026-03-16 14:47:08.160</t>
  </si>
  <si>
    <t>2026-03-16 14:47:08.193</t>
  </si>
  <si>
    <t xml:space="preserve">MTATTR10            </t>
  </si>
  <si>
    <t>2026-03-16 14:47:08.207</t>
  </si>
  <si>
    <t xml:space="preserve">MTEFHS10            </t>
  </si>
  <si>
    <t>2026-03-16 14:47:08.443</t>
  </si>
  <si>
    <t xml:space="preserve">MTEFHS20            </t>
  </si>
  <si>
    <t>2026-03-16 14:47:08.457</t>
  </si>
  <si>
    <t xml:space="preserve">MTEFLG10            </t>
  </si>
  <si>
    <t>2026-03-16 14:47:08.693</t>
  </si>
  <si>
    <t>2026-03-16 14:47:08.717</t>
  </si>
  <si>
    <t xml:space="preserve">MTEGCN10            </t>
  </si>
  <si>
    <t>2026-03-16 14:47:08.953</t>
  </si>
  <si>
    <t>2026-03-16 14:47:08.967</t>
  </si>
  <si>
    <t xml:space="preserve">MTEGCN20            </t>
  </si>
  <si>
    <t>2026-03-16 14:47:08.983</t>
  </si>
  <si>
    <t xml:space="preserve">MTEINF10            </t>
  </si>
  <si>
    <t>2026-03-16 14:47:09.107</t>
  </si>
  <si>
    <t>2026-03-16 14:47:09.140</t>
  </si>
  <si>
    <t xml:space="preserve">MTITDE10            </t>
  </si>
  <si>
    <t>2026-03-16 14:47:09.217</t>
  </si>
  <si>
    <t xml:space="preserve">MTITHE20            </t>
  </si>
  <si>
    <t>2026-03-16 14:47:09.390</t>
  </si>
  <si>
    <t>2026-03-16 14:47:09.420</t>
  </si>
  <si>
    <t xml:space="preserve">MTITHE30            </t>
  </si>
  <si>
    <t>2026-03-16 14:47:09.437</t>
  </si>
  <si>
    <t xml:space="preserve">MTITHE10            </t>
  </si>
  <si>
    <t>2026-03-16 14:47:09.453</t>
  </si>
  <si>
    <t xml:space="preserve">MTMABS50            </t>
  </si>
  <si>
    <t>2026-03-16 14:47:09.483</t>
  </si>
  <si>
    <t xml:space="preserve">MTMABT20            </t>
  </si>
  <si>
    <t>2026-03-16 14:47:09.703</t>
  </si>
  <si>
    <t xml:space="preserve">MTMACD20            </t>
  </si>
  <si>
    <t>2026-03-16 14:47:09.717</t>
  </si>
  <si>
    <t>2026-03-16 14:47:09.733</t>
  </si>
  <si>
    <t xml:space="preserve">MTMAIT10            </t>
  </si>
  <si>
    <t>2026-03-16 14:47:09.953</t>
  </si>
  <si>
    <t xml:space="preserve">MTMDAB30            </t>
  </si>
  <si>
    <t>2026-03-16 14:47:09.967</t>
  </si>
  <si>
    <t xml:space="preserve">MTMDAB10            </t>
  </si>
  <si>
    <t>2026-03-16 14:47:09.983</t>
  </si>
  <si>
    <t xml:space="preserve">MTMDAB20            </t>
  </si>
  <si>
    <t>2026-03-16 14:47:10.000</t>
  </si>
  <si>
    <t>2026-03-16 14:47:10.010</t>
  </si>
  <si>
    <t xml:space="preserve">MTMDAB02            </t>
  </si>
  <si>
    <t>2026-03-16 14:47:10.027</t>
  </si>
  <si>
    <t xml:space="preserve">MTMHS110            </t>
  </si>
  <si>
    <t>2026-03-16 14:47:10.197</t>
  </si>
  <si>
    <t>2026-03-16 14:47:10.230</t>
  </si>
  <si>
    <t xml:space="preserve">MTMHS120            </t>
  </si>
  <si>
    <t>2026-03-16 14:47:10.247</t>
  </si>
  <si>
    <t xml:space="preserve">MTMHS130            </t>
  </si>
  <si>
    <t>2026-03-16 14:47:10.260</t>
  </si>
  <si>
    <t xml:space="preserve">MTMHS211            </t>
  </si>
  <si>
    <t>2026-03-16 14:47:10.293</t>
  </si>
  <si>
    <t xml:space="preserve">MTMHS221            </t>
  </si>
  <si>
    <t>2026-03-16 14:47:10.307</t>
  </si>
  <si>
    <t xml:space="preserve">MTMHS220            </t>
  </si>
  <si>
    <t>2026-03-16 14:47:10.323</t>
  </si>
  <si>
    <t xml:space="preserve">MTMHS210            </t>
  </si>
  <si>
    <t>2026-03-16 14:47:10.337</t>
  </si>
  <si>
    <t xml:space="preserve">MTMHS205            </t>
  </si>
  <si>
    <t>2026-03-16 14:47:10.353</t>
  </si>
  <si>
    <t xml:space="preserve">MTMHS310            </t>
  </si>
  <si>
    <t>2026-03-16 14:47:10.510</t>
  </si>
  <si>
    <t>2026-03-16 14:47:10.527</t>
  </si>
  <si>
    <t xml:space="preserve">MTMHS320            </t>
  </si>
  <si>
    <t>2026-03-16 14:47:10.543</t>
  </si>
  <si>
    <t>2026-03-16 14:47:10.557</t>
  </si>
  <si>
    <t xml:space="preserve">MTMPBL10            </t>
  </si>
  <si>
    <t>2026-03-16 14:47:10.587</t>
  </si>
  <si>
    <t>2026-03-16 14:47:10.620</t>
  </si>
  <si>
    <t xml:space="preserve">MTMPBL20            </t>
  </si>
  <si>
    <t>2026-03-16 14:47:10.637</t>
  </si>
  <si>
    <t xml:space="preserve">MTMPRE30            </t>
  </si>
  <si>
    <t>2026-03-16 14:47:10.807</t>
  </si>
  <si>
    <t>2026-03-16 14:47:10.840</t>
  </si>
  <si>
    <t xml:space="preserve">MTMPRE40            </t>
  </si>
  <si>
    <t>2026-03-16 14:47:10.853</t>
  </si>
  <si>
    <t xml:space="preserve">MTMPRE10            </t>
  </si>
  <si>
    <t>2026-03-16 14:47:10.870</t>
  </si>
  <si>
    <t xml:space="preserve">MTMSEM10            </t>
  </si>
  <si>
    <t xml:space="preserve">MTMPRE20            </t>
  </si>
  <si>
    <t>2026-03-16 14:47:10.887</t>
  </si>
  <si>
    <t xml:space="preserve">MTMSEM20            </t>
  </si>
  <si>
    <t>2026-03-16 14:47:10.900</t>
  </si>
  <si>
    <t xml:space="preserve">MTMTEM10            </t>
  </si>
  <si>
    <t>2026-03-16 14:47:11.137</t>
  </si>
  <si>
    <t xml:space="preserve">MTMTMP10            </t>
  </si>
  <si>
    <t>2026-03-16 14:47:11.150</t>
  </si>
  <si>
    <t xml:space="preserve">MTMTPR10            </t>
  </si>
  <si>
    <t>2026-03-16 14:47:11.373</t>
  </si>
  <si>
    <t xml:space="preserve">MTMTPR20            </t>
  </si>
  <si>
    <t>2026-03-16 14:47:11.387</t>
  </si>
  <si>
    <t xml:space="preserve">MTMTPR30            </t>
  </si>
  <si>
    <t>2026-03-16 14:47:11.403</t>
  </si>
  <si>
    <t>2026-03-16 14:47:11.420</t>
  </si>
  <si>
    <t xml:space="preserve">MTMTR150            </t>
  </si>
  <si>
    <t xml:space="preserve">MTMTR110            </t>
  </si>
  <si>
    <t xml:space="preserve">MTMTR120            </t>
  </si>
  <si>
    <t>2026-03-16 14:47:11.437</t>
  </si>
  <si>
    <t xml:space="preserve">MTMTR130            </t>
  </si>
  <si>
    <t>2026-03-16 14:47:11.450</t>
  </si>
  <si>
    <t xml:space="preserve">MTMTTR70            </t>
  </si>
  <si>
    <t>2026-03-16 14:47:11.653</t>
  </si>
  <si>
    <t xml:space="preserve">MTMTTR21            </t>
  </si>
  <si>
    <t>2026-03-16 14:47:11.670</t>
  </si>
  <si>
    <t xml:space="preserve">MTMTTR11            </t>
  </si>
  <si>
    <t>2026-03-16 14:47:11.687</t>
  </si>
  <si>
    <t xml:space="preserve">MTMTTR41            </t>
  </si>
  <si>
    <t>2026-03-16 14:47:11.700</t>
  </si>
  <si>
    <t xml:space="preserve">MTMTTY20            </t>
  </si>
  <si>
    <t xml:space="preserve">MTMTTR20            </t>
  </si>
  <si>
    <t>2026-03-16 14:47:11.717</t>
  </si>
  <si>
    <t xml:space="preserve">MTMTTY10            </t>
  </si>
  <si>
    <t xml:space="preserve">MTMTTR10            </t>
  </si>
  <si>
    <t>2026-03-16 14:47:11.733</t>
  </si>
  <si>
    <t xml:space="preserve">MTMTTR05            </t>
  </si>
  <si>
    <t>2026-03-16 14:47:11.747</t>
  </si>
  <si>
    <t xml:space="preserve">MTROLU20            </t>
  </si>
  <si>
    <t>2026-03-16 14:47:11.967</t>
  </si>
  <si>
    <t>2026-03-16 14:47:11.983</t>
  </si>
  <si>
    <t xml:space="preserve">MTRSUB20            </t>
  </si>
  <si>
    <t xml:space="preserve">MTROLU10            </t>
  </si>
  <si>
    <t>2026-03-16 14:47:11.997</t>
  </si>
  <si>
    <t>2026-03-16 14:47:12.013</t>
  </si>
  <si>
    <t xml:space="preserve">MTROLU30            </t>
  </si>
  <si>
    <t xml:space="preserve">MTRSUB10            </t>
  </si>
  <si>
    <t xml:space="preserve">MTSREF20            </t>
  </si>
  <si>
    <t>2026-03-16 14:47:12.233</t>
  </si>
  <si>
    <t xml:space="preserve">MTSREF10            </t>
  </si>
  <si>
    <t>2026-03-16 14:47:12.247</t>
  </si>
  <si>
    <t xml:space="preserve">MTSRSP10            </t>
  </si>
  <si>
    <t>2026-03-16 14:47:12.263</t>
  </si>
  <si>
    <t xml:space="preserve">MTUNNA20            </t>
  </si>
  <si>
    <t>2026-03-16 14:47:12.483</t>
  </si>
  <si>
    <t xml:space="preserve">MTUNNA10            </t>
  </si>
  <si>
    <t>2026-03-16 14:47:12.497</t>
  </si>
  <si>
    <t xml:space="preserve">MVARDS10            </t>
  </si>
  <si>
    <t>2026-03-16 14:47:12.513</t>
  </si>
  <si>
    <t xml:space="preserve">MVARDS30            </t>
  </si>
  <si>
    <t>2026-03-16 14:47:12.530</t>
  </si>
  <si>
    <t xml:space="preserve">MVENST10            </t>
  </si>
  <si>
    <t>2026-03-16 14:47:12.733</t>
  </si>
  <si>
    <t xml:space="preserve">MVENST20            </t>
  </si>
  <si>
    <t>2026-03-16 14:47:12.747</t>
  </si>
  <si>
    <t xml:space="preserve">MVXCONGB10          </t>
  </si>
  <si>
    <t>2026-03-16 14:47:12.780</t>
  </si>
  <si>
    <t>2026-03-16 14:47:13.793</t>
  </si>
  <si>
    <t>1014</t>
  </si>
  <si>
    <t xml:space="preserve">MVXMSGGB10          </t>
  </si>
  <si>
    <t>2026-03-16 14:47:12.983</t>
  </si>
  <si>
    <t>2026-03-16 14:47:13.637</t>
  </si>
  <si>
    <t>655</t>
  </si>
  <si>
    <t xml:space="preserve">MWAROP10            </t>
  </si>
  <si>
    <t>2026-03-16 14:47:13.870</t>
  </si>
  <si>
    <t xml:space="preserve">MWASMG10            </t>
  </si>
  <si>
    <t>2026-03-16 14:47:14.043</t>
  </si>
  <si>
    <t xml:space="preserve">MWASRO10            </t>
  </si>
  <si>
    <t>2026-03-16 14:47:14.107</t>
  </si>
  <si>
    <t xml:space="preserve">MWFRDE10            </t>
  </si>
  <si>
    <t>2026-03-16 14:47:14.293</t>
  </si>
  <si>
    <t xml:space="preserve">MWFRDO10            </t>
  </si>
  <si>
    <t>2026-03-16 14:47:14.340</t>
  </si>
  <si>
    <t xml:space="preserve">MWFRSH10            </t>
  </si>
  <si>
    <t>2026-03-16 14:47:14.543</t>
  </si>
  <si>
    <t xml:space="preserve">MWGRET10            </t>
  </si>
  <si>
    <t>2026-03-16 14:47:14.573</t>
  </si>
  <si>
    <t xml:space="preserve">MWHTAB10            </t>
  </si>
  <si>
    <t>2026-03-16 14:47:14.793</t>
  </si>
  <si>
    <t>2026-03-16 14:47:14.810</t>
  </si>
  <si>
    <t xml:space="preserve">MWINSC20            </t>
  </si>
  <si>
    <t xml:space="preserve">MWINSC10            </t>
  </si>
  <si>
    <t>2026-03-16 14:47:14.823</t>
  </si>
  <si>
    <t xml:space="preserve">MWINSH10            </t>
  </si>
  <si>
    <t>2026-03-16 14:47:15.060</t>
  </si>
  <si>
    <t>2026-03-16 14:47:15.073</t>
  </si>
  <si>
    <t xml:space="preserve">MWINSL20            </t>
  </si>
  <si>
    <t xml:space="preserve">MWINSL10            </t>
  </si>
  <si>
    <t>2026-03-16 14:47:15.090</t>
  </si>
  <si>
    <t xml:space="preserve">MWINSM10            </t>
  </si>
  <si>
    <t>2026-03-16 14:47:15.323</t>
  </si>
  <si>
    <t xml:space="preserve">MWINSP10            </t>
  </si>
  <si>
    <t>2026-03-16 14:47:15.337</t>
  </si>
  <si>
    <t xml:space="preserve">MWINSQ10            </t>
  </si>
  <si>
    <t>2026-03-16 14:47:15.553</t>
  </si>
  <si>
    <t xml:space="preserve">MWIPLT10            </t>
  </si>
  <si>
    <t>2026-03-16 14:47:15.587</t>
  </si>
  <si>
    <t>2026-03-16 14:47:15.600</t>
  </si>
  <si>
    <t xml:space="preserve">MWLEVL10            </t>
  </si>
  <si>
    <t>2026-03-16 14:47:15.790</t>
  </si>
  <si>
    <t>2026-03-16 14:47:15.820</t>
  </si>
  <si>
    <t xml:space="preserve">MWLEVL20            </t>
  </si>
  <si>
    <t>2026-03-16 14:47:15.837</t>
  </si>
  <si>
    <t xml:space="preserve">MWLEVL50            </t>
  </si>
  <si>
    <t>2026-03-16 14:47:15.853</t>
  </si>
  <si>
    <t xml:space="preserve">MWLEVL30            </t>
  </si>
  <si>
    <t>2026-03-16 14:47:15.867</t>
  </si>
  <si>
    <t xml:space="preserve">MWM18110            </t>
  </si>
  <si>
    <t xml:space="preserve">MWM18140            </t>
  </si>
  <si>
    <t>2026-03-16 14:47:15.883</t>
  </si>
  <si>
    <t xml:space="preserve">MWLEVL40            </t>
  </si>
  <si>
    <t>2026-03-16 14:47:15.900</t>
  </si>
  <si>
    <t xml:space="preserve">MWM18150            </t>
  </si>
  <si>
    <t xml:space="preserve">MWM18130            </t>
  </si>
  <si>
    <t>2026-03-16 14:47:15.913</t>
  </si>
  <si>
    <t>2026-03-16 14:47:15.947</t>
  </si>
  <si>
    <t xml:space="preserve">MWM18120            </t>
  </si>
  <si>
    <t>2026-03-16 14:47:15.960</t>
  </si>
  <si>
    <t xml:space="preserve">MWM41010            </t>
  </si>
  <si>
    <t>2026-03-16 14:47:16.133</t>
  </si>
  <si>
    <t xml:space="preserve">MWM41020            </t>
  </si>
  <si>
    <t>2026-03-16 14:47:16.150</t>
  </si>
  <si>
    <t>2026-03-16 14:47:16.163</t>
  </si>
  <si>
    <t xml:space="preserve">MWM41040            </t>
  </si>
  <si>
    <t>2026-03-16 14:47:16.180</t>
  </si>
  <si>
    <t xml:space="preserve">MWM42210            </t>
  </si>
  <si>
    <t>2026-03-16 14:47:16.210</t>
  </si>
  <si>
    <t>2026-03-16 14:47:16.227</t>
  </si>
  <si>
    <t xml:space="preserve">MWM43610            </t>
  </si>
  <si>
    <t>2026-03-16 14:47:16.413</t>
  </si>
  <si>
    <t>2026-03-16 14:47:16.430</t>
  </si>
  <si>
    <t xml:space="preserve">MWM43620            </t>
  </si>
  <si>
    <t>2026-03-16 14:47:16.447</t>
  </si>
  <si>
    <t xml:space="preserve">MWM43630            </t>
  </si>
  <si>
    <t>2026-03-16 14:47:16.460</t>
  </si>
  <si>
    <t xml:space="preserve">MWM44410            </t>
  </si>
  <si>
    <t>2026-03-16 14:47:16.477</t>
  </si>
  <si>
    <t>2026-03-16 14:47:16.507</t>
  </si>
  <si>
    <t xml:space="preserve">MWMCRE10            </t>
  </si>
  <si>
    <t>2026-03-16 14:47:16.697</t>
  </si>
  <si>
    <t xml:space="preserve">MWMCRE30            </t>
  </si>
  <si>
    <t>2026-03-16 14:47:16.710</t>
  </si>
  <si>
    <t xml:space="preserve">MWMCRE20            </t>
  </si>
  <si>
    <t>2026-03-16 14:47:16.727</t>
  </si>
  <si>
    <t xml:space="preserve">MWMCSN10            </t>
  </si>
  <si>
    <t>2026-03-16 14:47:16.757</t>
  </si>
  <si>
    <t xml:space="preserve">MWMPAG10            </t>
  </si>
  <si>
    <t>2026-03-16 14:47:16.960</t>
  </si>
  <si>
    <t xml:space="preserve">MWMTDG10            </t>
  </si>
  <si>
    <t>2026-03-16 14:47:17.007</t>
  </si>
  <si>
    <t xml:space="preserve">MWOAPP10            </t>
  </si>
  <si>
    <t>2026-03-16 14:47:17.197</t>
  </si>
  <si>
    <t xml:space="preserve">MWOCPN50            </t>
  </si>
  <si>
    <t>2026-03-16 14:47:17.263</t>
  </si>
  <si>
    <t xml:space="preserve">MWOCPN01            </t>
  </si>
  <si>
    <t>2026-03-16 14:47:17.277</t>
  </si>
  <si>
    <t xml:space="preserve">MWOCPN10            </t>
  </si>
  <si>
    <t>2026-03-16 14:47:17.293</t>
  </si>
  <si>
    <t xml:space="preserve">MWOCPN20            </t>
  </si>
  <si>
    <t>2026-03-16 14:47:17.310</t>
  </si>
  <si>
    <t xml:space="preserve">MWODAY10            </t>
  </si>
  <si>
    <t>2026-03-16 14:47:17.450</t>
  </si>
  <si>
    <t xml:space="preserve">MWOEMT10            </t>
  </si>
  <si>
    <t>2026-03-16 14:47:17.560</t>
  </si>
  <si>
    <t xml:space="preserve">MWOHED40            </t>
  </si>
  <si>
    <t>2026-03-16 14:47:17.700</t>
  </si>
  <si>
    <t xml:space="preserve">MWOHED35            </t>
  </si>
  <si>
    <t>2026-03-16 14:47:17.717</t>
  </si>
  <si>
    <t xml:space="preserve">MWOHED25            </t>
  </si>
  <si>
    <t>2026-03-16 14:47:17.730</t>
  </si>
  <si>
    <t xml:space="preserve">MWOHED30            </t>
  </si>
  <si>
    <t>2026-03-16 14:47:17.747</t>
  </si>
  <si>
    <t xml:space="preserve">MWOHED20            </t>
  </si>
  <si>
    <t>2026-03-16 14:47:17.763</t>
  </si>
  <si>
    <t>2026-03-16 14:47:17.777</t>
  </si>
  <si>
    <t xml:space="preserve">MWOHED22            </t>
  </si>
  <si>
    <t xml:space="preserve">MWOHED85            </t>
  </si>
  <si>
    <t>2026-03-16 14:47:17.790</t>
  </si>
  <si>
    <t xml:space="preserve">MWOHED75            </t>
  </si>
  <si>
    <t>2026-03-16 14:47:17.807</t>
  </si>
  <si>
    <t xml:space="preserve">MWOHEHB1            </t>
  </si>
  <si>
    <t xml:space="preserve">MWOHED15            </t>
  </si>
  <si>
    <t>2026-03-16 14:47:17.823</t>
  </si>
  <si>
    <t xml:space="preserve">MWOHEHA8            </t>
  </si>
  <si>
    <t xml:space="preserve">MWOHED05            </t>
  </si>
  <si>
    <t>2026-03-16 14:47:17.837</t>
  </si>
  <si>
    <t xml:space="preserve">MWOHEHA9            </t>
  </si>
  <si>
    <t xml:space="preserve">MWOHED95            </t>
  </si>
  <si>
    <t>2026-03-16 14:47:17.853</t>
  </si>
  <si>
    <t xml:space="preserve">MWOHEHB0            </t>
  </si>
  <si>
    <t xml:space="preserve">MWOHED90            </t>
  </si>
  <si>
    <t>2026-03-16 14:47:17.870</t>
  </si>
  <si>
    <t xml:space="preserve">MWOHEHB2            </t>
  </si>
  <si>
    <t>2026-03-16 14:47:17.887</t>
  </si>
  <si>
    <t xml:space="preserve">MWOHED96            </t>
  </si>
  <si>
    <t xml:space="preserve">MWOHED97            </t>
  </si>
  <si>
    <t>2026-03-16 14:47:17.900</t>
  </si>
  <si>
    <t xml:space="preserve">MWOHEHA1            </t>
  </si>
  <si>
    <t xml:space="preserve">MWOHED80            </t>
  </si>
  <si>
    <t>2026-03-16 14:47:17.917</t>
  </si>
  <si>
    <t xml:space="preserve">MWOHEHB4            </t>
  </si>
  <si>
    <t>2026-03-16 14:47:17.933</t>
  </si>
  <si>
    <t xml:space="preserve">MWOHED65            </t>
  </si>
  <si>
    <t xml:space="preserve">MWOHED66            </t>
  </si>
  <si>
    <t>2026-03-16 14:47:17.947</t>
  </si>
  <si>
    <t xml:space="preserve">MWOHEHB5            </t>
  </si>
  <si>
    <t>2026-03-16 14:47:17.963</t>
  </si>
  <si>
    <t xml:space="preserve">MWOHED50            </t>
  </si>
  <si>
    <t xml:space="preserve">MWOHED70            </t>
  </si>
  <si>
    <t>2026-03-16 14:47:17.977</t>
  </si>
  <si>
    <t>2026-03-16 14:47:17.993</t>
  </si>
  <si>
    <t xml:space="preserve">MWOHEHB3            </t>
  </si>
  <si>
    <t xml:space="preserve">MWOHED10            </t>
  </si>
  <si>
    <t xml:space="preserve">MWOHEHB6            </t>
  </si>
  <si>
    <t xml:space="preserve">MWOHED55            </t>
  </si>
  <si>
    <t>2026-03-16 14:47:18.010</t>
  </si>
  <si>
    <t>2026-03-16 14:47:18.027</t>
  </si>
  <si>
    <t xml:space="preserve">MWOHEHB7            </t>
  </si>
  <si>
    <t xml:space="preserve">MWOHED56            </t>
  </si>
  <si>
    <t>2026-03-16 14:47:18.040</t>
  </si>
  <si>
    <t xml:space="preserve">MWOHEHA3            </t>
  </si>
  <si>
    <t xml:space="preserve">MWOISI10            </t>
  </si>
  <si>
    <t>2026-03-16 14:47:18.277</t>
  </si>
  <si>
    <t>2026-03-16 14:47:18.290</t>
  </si>
  <si>
    <t xml:space="preserve">MWOMAA20            </t>
  </si>
  <si>
    <t>2026-03-16 14:47:18.323</t>
  </si>
  <si>
    <t xml:space="preserve">MWOMAA10            </t>
  </si>
  <si>
    <t>2026-03-16 14:47:18.337</t>
  </si>
  <si>
    <t xml:space="preserve">MWOMATA1            </t>
  </si>
  <si>
    <t>2026-03-16 14:47:18.527</t>
  </si>
  <si>
    <t xml:space="preserve">MWOMAT80            </t>
  </si>
  <si>
    <t>2026-03-16 14:47:18.540</t>
  </si>
  <si>
    <t xml:space="preserve">MWOMAT97            </t>
  </si>
  <si>
    <t>2026-03-16 14:47:18.557</t>
  </si>
  <si>
    <t xml:space="preserve">MWOMAT90            </t>
  </si>
  <si>
    <t>2026-03-16 14:47:18.573</t>
  </si>
  <si>
    <t xml:space="preserve">MWOMAT95            </t>
  </si>
  <si>
    <t>2026-03-16 14:47:18.587</t>
  </si>
  <si>
    <t xml:space="preserve">MWOOPA10            </t>
  </si>
  <si>
    <t xml:space="preserve">MWOMATA3            </t>
  </si>
  <si>
    <t>2026-03-16 14:47:18.603</t>
  </si>
  <si>
    <t xml:space="preserve">MWOMAT30            </t>
  </si>
  <si>
    <t>2026-03-16 14:47:18.620</t>
  </si>
  <si>
    <t xml:space="preserve">MWOMAT70            </t>
  </si>
  <si>
    <t>2026-03-16 14:47:18.637</t>
  </si>
  <si>
    <t xml:space="preserve">MWOMAT11            </t>
  </si>
  <si>
    <t>2026-03-16 14:47:18.650</t>
  </si>
  <si>
    <t xml:space="preserve">MWOMAT12            </t>
  </si>
  <si>
    <t>2026-03-16 14:47:18.667</t>
  </si>
  <si>
    <t xml:space="preserve">MWOMAT20            </t>
  </si>
  <si>
    <t>2026-03-16 14:47:18.683</t>
  </si>
  <si>
    <t xml:space="preserve">MWOMAT50            </t>
  </si>
  <si>
    <t>2026-03-16 14:47:18.697</t>
  </si>
  <si>
    <t xml:space="preserve">MWOMAT60            </t>
  </si>
  <si>
    <t>2026-03-16 14:47:18.713</t>
  </si>
  <si>
    <t xml:space="preserve">MWOMAT02            </t>
  </si>
  <si>
    <t>2026-03-16 14:47:18.727</t>
  </si>
  <si>
    <t xml:space="preserve">MWOMAT10            </t>
  </si>
  <si>
    <t>2026-03-16 14:47:18.743</t>
  </si>
  <si>
    <t xml:space="preserve">MWOMAT01            </t>
  </si>
  <si>
    <t>2026-03-16 14:47:18.760</t>
  </si>
  <si>
    <t xml:space="preserve">MWOMAT96            </t>
  </si>
  <si>
    <t>2026-03-16 14:47:18.777</t>
  </si>
  <si>
    <t xml:space="preserve">MWOMAT91            </t>
  </si>
  <si>
    <t>2026-03-16 14:47:18.790</t>
  </si>
  <si>
    <t xml:space="preserve">MWOMAT85            </t>
  </si>
  <si>
    <t>2026-03-16 14:47:18.807</t>
  </si>
  <si>
    <t xml:space="preserve">MWOOPE70            </t>
  </si>
  <si>
    <t>2026-03-16 14:47:18.837</t>
  </si>
  <si>
    <t>2026-03-16 14:47:18.870</t>
  </si>
  <si>
    <t xml:space="preserve">MWOOPE90            </t>
  </si>
  <si>
    <t>2026-03-16 14:47:18.887</t>
  </si>
  <si>
    <t xml:space="preserve">MWOOPE60            </t>
  </si>
  <si>
    <t>2026-03-16 14:47:18.900</t>
  </si>
  <si>
    <t xml:space="preserve">MWOOPE10            </t>
  </si>
  <si>
    <t>2026-03-16 14:47:18.933</t>
  </si>
  <si>
    <t xml:space="preserve">MWOOPE20            </t>
  </si>
  <si>
    <t>2026-03-16 14:47:18.963</t>
  </si>
  <si>
    <t xml:space="preserve">MWOOPE30            </t>
  </si>
  <si>
    <t>2026-03-16 14:47:18.977</t>
  </si>
  <si>
    <t xml:space="preserve">MWOOPE95            </t>
  </si>
  <si>
    <t>2026-03-16 14:47:18.993</t>
  </si>
  <si>
    <t xml:space="preserve">MWOOPE50            </t>
  </si>
  <si>
    <t>2026-03-16 14:47:19.010</t>
  </si>
  <si>
    <t xml:space="preserve">MWOOPE04            </t>
  </si>
  <si>
    <t>2026-03-16 14:47:19.027</t>
  </si>
  <si>
    <t xml:space="preserve">MWOOPE40            </t>
  </si>
  <si>
    <t>2026-03-16 14:47:19.040</t>
  </si>
  <si>
    <t xml:space="preserve">MWOOPE01            </t>
  </si>
  <si>
    <t>2026-03-16 14:47:19.057</t>
  </si>
  <si>
    <t xml:space="preserve">MWOOPL20            </t>
  </si>
  <si>
    <t xml:space="preserve">MWOOPE02            </t>
  </si>
  <si>
    <t>2026-03-16 14:47:19.087</t>
  </si>
  <si>
    <t xml:space="preserve">MWOOPE80            </t>
  </si>
  <si>
    <t>2026-03-16 14:47:19.103</t>
  </si>
  <si>
    <t xml:space="preserve">MWOOPS01            </t>
  </si>
  <si>
    <t>2026-03-16 14:47:19.307</t>
  </si>
  <si>
    <t xml:space="preserve">MWOOPS10            </t>
  </si>
  <si>
    <t>2026-03-16 14:47:19.323</t>
  </si>
  <si>
    <t xml:space="preserve">MWOOPS20            </t>
  </si>
  <si>
    <t>2026-03-16 14:47:19.337</t>
  </si>
  <si>
    <t xml:space="preserve">MWOPHA00            </t>
  </si>
  <si>
    <t>2026-03-16 14:47:19.353</t>
  </si>
  <si>
    <t xml:space="preserve">MWOPLA92            </t>
  </si>
  <si>
    <t>2026-03-16 14:47:19.587</t>
  </si>
  <si>
    <t>2026-03-16 14:47:19.603</t>
  </si>
  <si>
    <t xml:space="preserve">MWOPLP92            </t>
  </si>
  <si>
    <t>2026-03-16 14:47:19.620</t>
  </si>
  <si>
    <t xml:space="preserve">MWOPLA90            </t>
  </si>
  <si>
    <t xml:space="preserve">MWOPLP93            </t>
  </si>
  <si>
    <t>2026-03-16 14:47:19.637</t>
  </si>
  <si>
    <t xml:space="preserve">MWOPLA40            </t>
  </si>
  <si>
    <t>2026-03-16 14:47:19.650</t>
  </si>
  <si>
    <t xml:space="preserve">MWOPLP90            </t>
  </si>
  <si>
    <t xml:space="preserve">MWOPLP72            </t>
  </si>
  <si>
    <t>2026-03-16 14:47:19.667</t>
  </si>
  <si>
    <t xml:space="preserve">MWOPLA10            </t>
  </si>
  <si>
    <t>2026-03-16 14:47:19.683</t>
  </si>
  <si>
    <t xml:space="preserve">MWOPLP40            </t>
  </si>
  <si>
    <t>2026-03-16 14:47:19.697</t>
  </si>
  <si>
    <t xml:space="preserve">MWOPLA80            </t>
  </si>
  <si>
    <t>2026-03-16 14:47:19.713</t>
  </si>
  <si>
    <t xml:space="preserve">MWOPLP10            </t>
  </si>
  <si>
    <t>2026-03-16 14:47:19.727</t>
  </si>
  <si>
    <t xml:space="preserve">MWOPLA20            </t>
  </si>
  <si>
    <t xml:space="preserve">MWOPLA30            </t>
  </si>
  <si>
    <t>2026-03-16 14:47:19.743</t>
  </si>
  <si>
    <t>2026-03-16 14:47:19.760</t>
  </si>
  <si>
    <t xml:space="preserve">MWOPLA85            </t>
  </si>
  <si>
    <t>2026-03-16 14:47:19.777</t>
  </si>
  <si>
    <t xml:space="preserve">MWOPLP80            </t>
  </si>
  <si>
    <t xml:space="preserve">MWOPLA50            </t>
  </si>
  <si>
    <t>2026-03-16 14:47:19.790</t>
  </si>
  <si>
    <t xml:space="preserve">MWOPLA77            </t>
  </si>
  <si>
    <t>2026-03-16 14:47:19.807</t>
  </si>
  <si>
    <t xml:space="preserve">MWOPLP85            </t>
  </si>
  <si>
    <t xml:space="preserve">MWOPLP20            </t>
  </si>
  <si>
    <t>2026-03-16 14:47:19.823</t>
  </si>
  <si>
    <t xml:space="preserve">MWOPLA60            </t>
  </si>
  <si>
    <t xml:space="preserve">MWOPLA70            </t>
  </si>
  <si>
    <t>2026-03-16 14:47:19.837</t>
  </si>
  <si>
    <t xml:space="preserve">MWOPLP31            </t>
  </si>
  <si>
    <t xml:space="preserve">MWOPLA71            </t>
  </si>
  <si>
    <t>2026-03-16 14:47:19.853</t>
  </si>
  <si>
    <t xml:space="preserve">MWOPLA75            </t>
  </si>
  <si>
    <t>2026-03-16 14:47:19.870</t>
  </si>
  <si>
    <t xml:space="preserve">MWOPLP70            </t>
  </si>
  <si>
    <t xml:space="preserve">MWOPLA76            </t>
  </si>
  <si>
    <t>2026-03-16 14:47:19.887</t>
  </si>
  <si>
    <t xml:space="preserve">MWOPLA93            </t>
  </si>
  <si>
    <t>2026-03-16 14:47:19.900</t>
  </si>
  <si>
    <t xml:space="preserve">MWOPLP60            </t>
  </si>
  <si>
    <t xml:space="preserve">MWOPLA67            </t>
  </si>
  <si>
    <t>2026-03-16 14:47:19.917</t>
  </si>
  <si>
    <t xml:space="preserve">MWOPLA35            </t>
  </si>
  <si>
    <t>2026-03-16 14:47:19.933</t>
  </si>
  <si>
    <t xml:space="preserve">MWOPLP35            </t>
  </si>
  <si>
    <t xml:space="preserve">MWOPLA66            </t>
  </si>
  <si>
    <t>2026-03-16 14:47:19.947</t>
  </si>
  <si>
    <t xml:space="preserve">MWOPLA11            </t>
  </si>
  <si>
    <t>2026-03-16 14:47:19.963</t>
  </si>
  <si>
    <t xml:space="preserve">MWOPLP30            </t>
  </si>
  <si>
    <t xml:space="preserve">MWOPLA68            </t>
  </si>
  <si>
    <t>2026-03-16 14:47:19.977</t>
  </si>
  <si>
    <t xml:space="preserve">MWOPLP96            </t>
  </si>
  <si>
    <t xml:space="preserve">MWOPLP65            </t>
  </si>
  <si>
    <t>2026-03-16 14:47:19.993</t>
  </si>
  <si>
    <t xml:space="preserve">MWOPLP11            </t>
  </si>
  <si>
    <t>2026-03-16 14:47:20.010</t>
  </si>
  <si>
    <t xml:space="preserve">MWOPLP50            </t>
  </si>
  <si>
    <t>2026-03-16 14:47:20.027</t>
  </si>
  <si>
    <t xml:space="preserve">MWOPLP05            </t>
  </si>
  <si>
    <t>2026-03-16 14:47:20.040</t>
  </si>
  <si>
    <t xml:space="preserve">MWOPLW10            </t>
  </si>
  <si>
    <t>2026-03-16 14:47:20.220</t>
  </si>
  <si>
    <t xml:space="preserve">MWOPOL10            </t>
  </si>
  <si>
    <t>2026-03-16 14:47:20.297</t>
  </si>
  <si>
    <t xml:space="preserve">MWOPTP10            </t>
  </si>
  <si>
    <t>2026-03-16 14:47:20.453</t>
  </si>
  <si>
    <t>2026-03-16 14:47:20.470</t>
  </si>
  <si>
    <t xml:space="preserve">MWOPTR71            </t>
  </si>
  <si>
    <t>2026-03-16 14:47:20.547</t>
  </si>
  <si>
    <t xml:space="preserve">MWOPTR75            </t>
  </si>
  <si>
    <t>2026-03-16 14:47:20.563</t>
  </si>
  <si>
    <t xml:space="preserve">MWOPTR80            </t>
  </si>
  <si>
    <t>2026-03-16 14:47:20.580</t>
  </si>
  <si>
    <t xml:space="preserve">MWOPTR81            </t>
  </si>
  <si>
    <t>2026-03-16 14:47:20.597</t>
  </si>
  <si>
    <t xml:space="preserve">MWOPTR91            </t>
  </si>
  <si>
    <t>2026-03-16 14:47:20.610</t>
  </si>
  <si>
    <t xml:space="preserve">MWOPTR78            </t>
  </si>
  <si>
    <t>2026-03-16 14:47:20.627</t>
  </si>
  <si>
    <t xml:space="preserve">MWOPTR70            </t>
  </si>
  <si>
    <t>2026-03-16 14:47:20.643</t>
  </si>
  <si>
    <t xml:space="preserve">MWOPTR20            </t>
  </si>
  <si>
    <t>2026-03-16 14:47:20.657</t>
  </si>
  <si>
    <t xml:space="preserve">MWOPTR60            </t>
  </si>
  <si>
    <t>2026-03-16 14:47:20.673</t>
  </si>
  <si>
    <t xml:space="preserve">MWOPTR61            </t>
  </si>
  <si>
    <t>2026-03-16 14:47:20.690</t>
  </si>
  <si>
    <t xml:space="preserve">MWOPTR79            </t>
  </si>
  <si>
    <t>2026-03-16 14:47:20.703</t>
  </si>
  <si>
    <t xml:space="preserve">MWOPTS20            </t>
  </si>
  <si>
    <t xml:space="preserve">MWOPTR62            </t>
  </si>
  <si>
    <t>2026-03-16 14:47:20.720</t>
  </si>
  <si>
    <t xml:space="preserve">MWOPTS40            </t>
  </si>
  <si>
    <t xml:space="preserve">MWOPTR65            </t>
  </si>
  <si>
    <t>2026-03-16 14:47:20.737</t>
  </si>
  <si>
    <t xml:space="preserve">MWOPTS60            </t>
  </si>
  <si>
    <t xml:space="preserve">MWOPTR50            </t>
  </si>
  <si>
    <t>2026-03-16 14:47:20.750</t>
  </si>
  <si>
    <t xml:space="preserve">MWOPTS70            </t>
  </si>
  <si>
    <t xml:space="preserve">MWOPTR72            </t>
  </si>
  <si>
    <t>2026-03-16 14:47:20.767</t>
  </si>
  <si>
    <t xml:space="preserve">MWOPTS30            </t>
  </si>
  <si>
    <t xml:space="preserve">MWOPTR92            </t>
  </si>
  <si>
    <t>2026-03-16 14:47:20.783</t>
  </si>
  <si>
    <t xml:space="preserve">MWOPTS10            </t>
  </si>
  <si>
    <t xml:space="preserve">MWOPTR76            </t>
  </si>
  <si>
    <t>2026-03-16 14:47:20.797</t>
  </si>
  <si>
    <t xml:space="preserve">MWOPTS80            </t>
  </si>
  <si>
    <t xml:space="preserve">MWOPTR77            </t>
  </si>
  <si>
    <t>2026-03-16 14:47:20.813</t>
  </si>
  <si>
    <t xml:space="preserve">MWOPTS90            </t>
  </si>
  <si>
    <t xml:space="preserve">MWOPTR66            </t>
  </si>
  <si>
    <t>2026-03-16 14:47:20.830</t>
  </si>
  <si>
    <t xml:space="preserve">MWOPTS50            </t>
  </si>
  <si>
    <t xml:space="preserve">MWOPTR67            </t>
  </si>
  <si>
    <t>2026-03-16 14:47:20.847</t>
  </si>
  <si>
    <t xml:space="preserve">MWOPTR10            </t>
  </si>
  <si>
    <t>2026-03-16 14:47:20.860</t>
  </si>
  <si>
    <t xml:space="preserve">MWOPTR40            </t>
  </si>
  <si>
    <t>2026-03-16 14:47:20.877</t>
  </si>
  <si>
    <t xml:space="preserve">MWORCO10            </t>
  </si>
  <si>
    <t>2026-03-16 14:47:21.063</t>
  </si>
  <si>
    <t xml:space="preserve">MWORID10            </t>
  </si>
  <si>
    <t>2026-03-16 14:47:21.123</t>
  </si>
  <si>
    <t xml:space="preserve">MWOROU10            </t>
  </si>
  <si>
    <t>2026-03-16 14:47:21.297</t>
  </si>
  <si>
    <t xml:space="preserve">MWOTEA10            </t>
  </si>
  <si>
    <t>2026-03-16 14:47:21.373</t>
  </si>
  <si>
    <t xml:space="preserve">MWOTEA20            </t>
  </si>
  <si>
    <t>2026-03-16 14:47:21.390</t>
  </si>
  <si>
    <t xml:space="preserve">MWOTOP10            </t>
  </si>
  <si>
    <t>2026-03-16 14:47:21.530</t>
  </si>
  <si>
    <t xml:space="preserve">MWPREL10            </t>
  </si>
  <si>
    <t>2026-03-16 14:47:21.640</t>
  </si>
  <si>
    <t xml:space="preserve">MWPREL20            </t>
  </si>
  <si>
    <t>2026-03-16 14:47:21.657</t>
  </si>
  <si>
    <t xml:space="preserve">MWPREL30            </t>
  </si>
  <si>
    <t>2026-03-16 14:47:21.670</t>
  </si>
  <si>
    <t xml:space="preserve">MWPROP20            </t>
  </si>
  <si>
    <t>2026-03-16 14:47:21.767</t>
  </si>
  <si>
    <t xml:space="preserve">MWPROP10            </t>
  </si>
  <si>
    <t>2026-03-16 14:47:21.780</t>
  </si>
  <si>
    <t xml:space="preserve">MWQIRS10            </t>
  </si>
  <si>
    <t>2026-03-16 14:47:21.920</t>
  </si>
  <si>
    <t>2026-03-16 14:47:21.953</t>
  </si>
  <si>
    <t xml:space="preserve">MWQIRS20            </t>
  </si>
  <si>
    <t>2026-03-16 14:47:21.967</t>
  </si>
  <si>
    <t xml:space="preserve">MWROLU10            </t>
  </si>
  <si>
    <t>2026-03-16 14:47:22.017</t>
  </si>
  <si>
    <t xml:space="preserve">MWROLU30            </t>
  </si>
  <si>
    <t>2026-03-16 14:47:22.030</t>
  </si>
  <si>
    <t>2026-03-16 14:47:22.047</t>
  </si>
  <si>
    <t xml:space="preserve">MWSCRE20            </t>
  </si>
  <si>
    <t>2026-03-16 14:47:22.217</t>
  </si>
  <si>
    <t>2026-03-16 14:47:22.233</t>
  </si>
  <si>
    <t xml:space="preserve">MWSCRE10            </t>
  </si>
  <si>
    <t>2026-03-16 14:47:22.250</t>
  </si>
  <si>
    <t xml:space="preserve">MWTDIV30            </t>
  </si>
  <si>
    <t>2026-03-16 14:47:22.280</t>
  </si>
  <si>
    <t xml:space="preserve">MWTDIV40            </t>
  </si>
  <si>
    <t>2026-03-16 14:47:22.297</t>
  </si>
  <si>
    <t xml:space="preserve">MWTDIV10            </t>
  </si>
  <si>
    <t>2026-03-16 14:47:22.313</t>
  </si>
  <si>
    <t xml:space="preserve">MWTDIV20            </t>
  </si>
  <si>
    <t>2026-03-16 14:47:22.327</t>
  </si>
  <si>
    <t xml:space="preserve">MWTOTR10            </t>
  </si>
  <si>
    <t>2026-03-16 14:47:22.500</t>
  </si>
  <si>
    <t>2026-03-16 14:47:22.530</t>
  </si>
  <si>
    <t xml:space="preserve">MWTOTR20            </t>
  </si>
  <si>
    <t>2026-03-16 14:47:22.547</t>
  </si>
  <si>
    <t xml:space="preserve">MWTOTR30            </t>
  </si>
  <si>
    <t>2026-03-16 14:47:22.563</t>
  </si>
  <si>
    <t xml:space="preserve">MWW42840            </t>
  </si>
  <si>
    <t>2026-03-16 14:47:22.593</t>
  </si>
  <si>
    <t xml:space="preserve">MWW42830            </t>
  </si>
  <si>
    <t>2026-03-16 14:47:22.610</t>
  </si>
  <si>
    <t xml:space="preserve">MWW42810            </t>
  </si>
  <si>
    <t>2026-03-16 14:47:22.627</t>
  </si>
  <si>
    <t xml:space="preserve">MWW42820            </t>
  </si>
  <si>
    <t>2026-03-16 14:47:22.640</t>
  </si>
  <si>
    <t xml:space="preserve">MWWCSP10            </t>
  </si>
  <si>
    <t>2026-03-16 14:47:22.813</t>
  </si>
  <si>
    <t xml:space="preserve">MWXHED10            </t>
  </si>
  <si>
    <t>2026-03-16 14:47:22.877</t>
  </si>
  <si>
    <t xml:space="preserve">MWXOPE16            </t>
  </si>
  <si>
    <t>2026-03-16 14:47:23.063</t>
  </si>
  <si>
    <t xml:space="preserve">MWXOPE10            </t>
  </si>
  <si>
    <t>2026-03-16 14:47:23.077</t>
  </si>
  <si>
    <t xml:space="preserve">MXHEAD30            </t>
  </si>
  <si>
    <t>2026-03-16 14:47:23.110</t>
  </si>
  <si>
    <t xml:space="preserve">MXHEAD10            </t>
  </si>
  <si>
    <t>2026-03-16 14:47:23.127</t>
  </si>
  <si>
    <t>2026-03-16 14:47:23.140</t>
  </si>
  <si>
    <t xml:space="preserve">MXHEAD50            </t>
  </si>
  <si>
    <t>2026-03-16 14:47:23.157</t>
  </si>
  <si>
    <t xml:space="preserve">MXHEAD70            </t>
  </si>
  <si>
    <t>2026-03-16 14:47:23.173</t>
  </si>
  <si>
    <t xml:space="preserve">MXHEAD40            </t>
  </si>
  <si>
    <t>2026-03-16 14:47:23.187</t>
  </si>
  <si>
    <t>2026-03-16 14:47:23.203</t>
  </si>
  <si>
    <t xml:space="preserve">MXHEAD20            </t>
  </si>
  <si>
    <t>2026-03-16 14:47:23.220</t>
  </si>
  <si>
    <t xml:space="preserve">MXLINE10            </t>
  </si>
  <si>
    <t>2026-03-16 14:47:23.327</t>
  </si>
  <si>
    <t>2026-03-16 14:47:23.360</t>
  </si>
  <si>
    <t xml:space="preserve">MXLINE20            </t>
  </si>
  <si>
    <t>2026-03-16 14:47:23.377</t>
  </si>
  <si>
    <t xml:space="preserve">MXOEXP20            </t>
  </si>
  <si>
    <t>2026-03-16 14:47:23.453</t>
  </si>
  <si>
    <t>2026-03-16 14:47:23.470</t>
  </si>
  <si>
    <t xml:space="preserve">MXOEXP10            </t>
  </si>
  <si>
    <t>2026-03-16 14:47:23.483</t>
  </si>
  <si>
    <t>2026-03-16 14:47:23.500</t>
  </si>
  <si>
    <t xml:space="preserve">MYOPAD10            </t>
  </si>
  <si>
    <t>2026-03-16 14:47:23.627</t>
  </si>
  <si>
    <t xml:space="preserve">MYOPID10            </t>
  </si>
  <si>
    <t>2026-03-16 14:47:23.733</t>
  </si>
  <si>
    <t xml:space="preserve">MYOPID20            </t>
  </si>
  <si>
    <t>2026-03-16 14:47:23.750</t>
  </si>
  <si>
    <t xml:space="preserve">MYOPIH31            </t>
  </si>
  <si>
    <t>2026-03-16 14:47:23.877</t>
  </si>
  <si>
    <t xml:space="preserve">MYOPIH30            </t>
  </si>
  <si>
    <t>2026-03-16 14:47:23.890</t>
  </si>
  <si>
    <t xml:space="preserve">MYOPIH11            </t>
  </si>
  <si>
    <t>2026-03-16 14:47:23.907</t>
  </si>
  <si>
    <t xml:space="preserve">MYOPIH20            </t>
  </si>
  <si>
    <t>2026-03-16 14:47:23.923</t>
  </si>
  <si>
    <t xml:space="preserve">MYOPIH10            </t>
  </si>
  <si>
    <t>2026-03-16 14:47:23.937</t>
  </si>
  <si>
    <t xml:space="preserve">MYOPIU10            </t>
  </si>
  <si>
    <t>2026-03-16 14:47:24.000</t>
  </si>
  <si>
    <t xml:space="preserve">OADDTX10            </t>
  </si>
  <si>
    <t>2026-03-16 14:47:24.187</t>
  </si>
  <si>
    <t xml:space="preserve">OAEXOR10            </t>
  </si>
  <si>
    <t>2026-03-16 14:47:24.233</t>
  </si>
  <si>
    <t xml:space="preserve">OAGMCL10            </t>
  </si>
  <si>
    <t>2026-03-16 14:47:24.437</t>
  </si>
  <si>
    <t xml:space="preserve">OAGRHE60            </t>
  </si>
  <si>
    <t>2026-03-16 14:47:24.470</t>
  </si>
  <si>
    <t xml:space="preserve">OAGRHE30            </t>
  </si>
  <si>
    <t>2026-03-16 14:47:24.487</t>
  </si>
  <si>
    <t xml:space="preserve">OAGRHE25            </t>
  </si>
  <si>
    <t>2026-03-16 14:47:24.500</t>
  </si>
  <si>
    <t xml:space="preserve">OAGRHE40            </t>
  </si>
  <si>
    <t>2026-03-16 14:47:24.517</t>
  </si>
  <si>
    <t xml:space="preserve">OAGRHE21            </t>
  </si>
  <si>
    <t>2026-03-16 14:47:24.533</t>
  </si>
  <si>
    <t xml:space="preserve">OAGRHE01            </t>
  </si>
  <si>
    <t>2026-03-16 14:47:24.547</t>
  </si>
  <si>
    <t xml:space="preserve">OAGRHE10            </t>
  </si>
  <si>
    <t>2026-03-16 14:47:24.563</t>
  </si>
  <si>
    <t xml:space="preserve">OAGRHE20            </t>
  </si>
  <si>
    <t>2026-03-16 14:47:24.580</t>
  </si>
  <si>
    <t xml:space="preserve">OAGRLN51            </t>
  </si>
  <si>
    <t>2026-03-16 14:47:24.687</t>
  </si>
  <si>
    <t xml:space="preserve">OAGRLN40            </t>
  </si>
  <si>
    <t>2026-03-16 14:47:24.703</t>
  </si>
  <si>
    <t xml:space="preserve">OAGRLN11            </t>
  </si>
  <si>
    <t>2026-03-16 14:47:24.720</t>
  </si>
  <si>
    <t xml:space="preserve">OAGRLN71            </t>
  </si>
  <si>
    <t>2026-03-16 14:47:24.737</t>
  </si>
  <si>
    <t xml:space="preserve">OAGRLN81            </t>
  </si>
  <si>
    <t>2026-03-16 14:47:24.750</t>
  </si>
  <si>
    <t xml:space="preserve">OAGRLN31            </t>
  </si>
  <si>
    <t>2026-03-16 14:47:24.767</t>
  </si>
  <si>
    <t xml:space="preserve">OAGRLN90            </t>
  </si>
  <si>
    <t>2026-03-16 14:47:24.783</t>
  </si>
  <si>
    <t xml:space="preserve">OAGRLN60            </t>
  </si>
  <si>
    <t>2026-03-16 14:47:24.797</t>
  </si>
  <si>
    <t xml:space="preserve">OAGRLN20            </t>
  </si>
  <si>
    <t>2026-03-16 14:47:24.813</t>
  </si>
  <si>
    <t xml:space="preserve">OAGRLN50            </t>
  </si>
  <si>
    <t>2026-03-16 14:47:24.830</t>
  </si>
  <si>
    <t xml:space="preserve">OAGRPR10            </t>
  </si>
  <si>
    <t xml:space="preserve">OAGRTP01            </t>
  </si>
  <si>
    <t>2026-03-16 14:47:25.063</t>
  </si>
  <si>
    <t>2026-03-16 14:47:25.080</t>
  </si>
  <si>
    <t xml:space="preserve">OASCOL10            </t>
  </si>
  <si>
    <t xml:space="preserve">OASCUS10            </t>
  </si>
  <si>
    <t>2026-03-16 14:47:25.330</t>
  </si>
  <si>
    <t xml:space="preserve">OASCUS20            </t>
  </si>
  <si>
    <t>2026-03-16 14:47:25.347</t>
  </si>
  <si>
    <t>2026-03-16 14:47:25.360</t>
  </si>
  <si>
    <t xml:space="preserve">OASITN10            </t>
  </si>
  <si>
    <t xml:space="preserve">OASITN20            </t>
  </si>
  <si>
    <t xml:space="preserve">OBACSC10            </t>
  </si>
  <si>
    <t>2026-03-16 14:47:25.593</t>
  </si>
  <si>
    <t>2026-03-16 14:47:25.610</t>
  </si>
  <si>
    <t xml:space="preserve">OBONAG10            </t>
  </si>
  <si>
    <t>2026-03-16 14:47:25.640</t>
  </si>
  <si>
    <t xml:space="preserve">OBONAG40            </t>
  </si>
  <si>
    <t>2026-03-16 14:47:25.657</t>
  </si>
  <si>
    <t xml:space="preserve">OBONAG50            </t>
  </si>
  <si>
    <t>2026-03-16 14:47:25.673</t>
  </si>
  <si>
    <t>2026-03-16 14:47:25.687</t>
  </si>
  <si>
    <t xml:space="preserve">OBONAG60            </t>
  </si>
  <si>
    <t>2026-03-16 14:47:25.703</t>
  </si>
  <si>
    <t xml:space="preserve">OBONAG30            </t>
  </si>
  <si>
    <t>2026-03-16 14:47:25.723</t>
  </si>
  <si>
    <t>2026-03-16 14:47:25.727</t>
  </si>
  <si>
    <t xml:space="preserve">OBONST20            </t>
  </si>
  <si>
    <t>2026-03-16 14:47:25.843</t>
  </si>
  <si>
    <t xml:space="preserve">OBONST10            </t>
  </si>
  <si>
    <t>2026-03-16 14:47:25.857</t>
  </si>
  <si>
    <t xml:space="preserve">OBONSU10            </t>
  </si>
  <si>
    <t>2026-03-16 14:47:25.973</t>
  </si>
  <si>
    <t xml:space="preserve">OBONSU20            </t>
  </si>
  <si>
    <t>2026-03-16 14:47:25.990</t>
  </si>
  <si>
    <t xml:space="preserve">OBOPAY20            </t>
  </si>
  <si>
    <t>2026-03-16 14:47:26.083</t>
  </si>
  <si>
    <t xml:space="preserve">OBOPAY10            </t>
  </si>
  <si>
    <t>2026-03-16 14:47:26.100</t>
  </si>
  <si>
    <t xml:space="preserve">OBOPER10            </t>
  </si>
  <si>
    <t>2026-03-16 14:47:26.240</t>
  </si>
  <si>
    <t xml:space="preserve">OBOPER20            </t>
  </si>
  <si>
    <t>2026-03-16 14:47:26.257</t>
  </si>
  <si>
    <t xml:space="preserve">OBOTRA21            </t>
  </si>
  <si>
    <t>2026-03-16 14:47:26.333</t>
  </si>
  <si>
    <t xml:space="preserve">OBOTRA10            </t>
  </si>
  <si>
    <t>2026-03-16 14:47:26.350</t>
  </si>
  <si>
    <t xml:space="preserve">OBOTRA20            </t>
  </si>
  <si>
    <t>2026-03-16 14:47:26.367</t>
  </si>
  <si>
    <t xml:space="preserve">OBOTRA30            </t>
  </si>
  <si>
    <t>2026-03-16 14:47:26.380</t>
  </si>
  <si>
    <t xml:space="preserve">OBOTRA40            </t>
  </si>
  <si>
    <t>2026-03-16 14:47:26.397</t>
  </si>
  <si>
    <t xml:space="preserve">OBOTRA50            </t>
  </si>
  <si>
    <t>2026-03-16 14:47:26.413</t>
  </si>
  <si>
    <t xml:space="preserve">OBOWRK10            </t>
  </si>
  <si>
    <t>2026-03-16 14:47:26.507</t>
  </si>
  <si>
    <t xml:space="preserve">OBPSCH10            </t>
  </si>
  <si>
    <t>2026-03-16 14:47:26.663</t>
  </si>
  <si>
    <t xml:space="preserve">OBTAST20            </t>
  </si>
  <si>
    <t>2026-03-16 14:47:26.757</t>
  </si>
  <si>
    <t xml:space="preserve">OBTAST50            </t>
  </si>
  <si>
    <t>2026-03-16 14:47:26.773</t>
  </si>
  <si>
    <t xml:space="preserve">OBTAST10            </t>
  </si>
  <si>
    <t>2026-03-16 14:47:26.790</t>
  </si>
  <si>
    <t xml:space="preserve">OBTAST30            </t>
  </si>
  <si>
    <t>2026-03-16 14:47:26.807</t>
  </si>
  <si>
    <t xml:space="preserve">OBTAST40            </t>
  </si>
  <si>
    <t>2026-03-16 14:47:26.820</t>
  </si>
  <si>
    <t xml:space="preserve">OBTMTX50            </t>
  </si>
  <si>
    <t>2026-03-16 14:47:26.913</t>
  </si>
  <si>
    <t xml:space="preserve">OBTMTX91            </t>
  </si>
  <si>
    <t>2026-03-16 14:47:26.930</t>
  </si>
  <si>
    <t xml:space="preserve">OBTMTX92            </t>
  </si>
  <si>
    <t>2026-03-16 14:47:26.947</t>
  </si>
  <si>
    <t xml:space="preserve">OBTMTX90            </t>
  </si>
  <si>
    <t>2026-03-16 14:47:26.960</t>
  </si>
  <si>
    <t xml:space="preserve">OBTMTX40            </t>
  </si>
  <si>
    <t>2026-03-16 14:47:26.977</t>
  </si>
  <si>
    <t xml:space="preserve">OBTNST20            </t>
  </si>
  <si>
    <t>2026-03-16 14:47:27.070</t>
  </si>
  <si>
    <t xml:space="preserve">OBTNST10            </t>
  </si>
  <si>
    <t>2026-03-16 14:47:27.087</t>
  </si>
  <si>
    <t xml:space="preserve">OBTPAH10            </t>
  </si>
  <si>
    <t>2026-03-16 14:47:27.210</t>
  </si>
  <si>
    <t xml:space="preserve">OBTPAL10            </t>
  </si>
  <si>
    <t>2026-03-16 14:47:27.337</t>
  </si>
  <si>
    <t xml:space="preserve">OBTPER10            </t>
  </si>
  <si>
    <t>2026-03-16 14:47:27.447</t>
  </si>
  <si>
    <t xml:space="preserve">OBTPER20            </t>
  </si>
  <si>
    <t>2026-03-16 14:47:27.460</t>
  </si>
  <si>
    <t xml:space="preserve">OBTRAG30            </t>
  </si>
  <si>
    <t>2026-03-16 14:47:27.587</t>
  </si>
  <si>
    <t xml:space="preserve">OBTRAG40            </t>
  </si>
  <si>
    <t>2026-03-16 14:47:27.603</t>
  </si>
  <si>
    <t xml:space="preserve">OBTRAG70            </t>
  </si>
  <si>
    <t>2026-03-16 14:47:27.617</t>
  </si>
  <si>
    <t xml:space="preserve">OBTRAG80            </t>
  </si>
  <si>
    <t>2026-03-16 14:47:27.633</t>
  </si>
  <si>
    <t xml:space="preserve">OBTRAG10            </t>
  </si>
  <si>
    <t>2026-03-16 14:47:27.650</t>
  </si>
  <si>
    <t xml:space="preserve">OBTRAG20            </t>
  </si>
  <si>
    <t>2026-03-16 14:47:27.667</t>
  </si>
  <si>
    <t xml:space="preserve">OBTRAG60            </t>
  </si>
  <si>
    <t>2026-03-16 14:47:27.680</t>
  </si>
  <si>
    <t xml:space="preserve">OBTRAG50            </t>
  </si>
  <si>
    <t>2026-03-16 14:47:27.697</t>
  </si>
  <si>
    <t xml:space="preserve">OBTREC10            </t>
  </si>
  <si>
    <t xml:space="preserve">OBTTRA21            </t>
  </si>
  <si>
    <t>2026-03-16 14:47:27.930</t>
  </si>
  <si>
    <t>2026-03-16 14:47:27.947</t>
  </si>
  <si>
    <t xml:space="preserve">OBTWRK10            </t>
  </si>
  <si>
    <t xml:space="preserve">OBTTRA11            </t>
  </si>
  <si>
    <t>2026-03-16 14:47:27.960</t>
  </si>
  <si>
    <t>2026-03-16 14:47:27.977</t>
  </si>
  <si>
    <t xml:space="preserve">OBTWRK20            </t>
  </si>
  <si>
    <t xml:space="preserve">OBTTRA10            </t>
  </si>
  <si>
    <t>2026-03-16 14:47:27.993</t>
  </si>
  <si>
    <t xml:space="preserve">OBTTRA20            </t>
  </si>
  <si>
    <t>2026-03-16 14:47:28.007</t>
  </si>
  <si>
    <t>2026-03-16 14:47:28.023</t>
  </si>
  <si>
    <t xml:space="preserve">OBTTRA30            </t>
  </si>
  <si>
    <t>2026-03-16 14:47:28.040</t>
  </si>
  <si>
    <t xml:space="preserve">OBTTRA65            </t>
  </si>
  <si>
    <t>2026-03-16 14:47:28.057</t>
  </si>
  <si>
    <t xml:space="preserve">OBTTRA60            </t>
  </si>
  <si>
    <t>2026-03-16 14:47:28.070</t>
  </si>
  <si>
    <t xml:space="preserve">OBTTRA95            </t>
  </si>
  <si>
    <t>2026-03-16 14:47:28.103</t>
  </si>
  <si>
    <t xml:space="preserve">OBTTRA70            </t>
  </si>
  <si>
    <t>2026-03-16 14:47:28.117</t>
  </si>
  <si>
    <t xml:space="preserve">OBTTRA80            </t>
  </si>
  <si>
    <t>2026-03-16 14:47:28.133</t>
  </si>
  <si>
    <t xml:space="preserve">OBTTRA90            </t>
  </si>
  <si>
    <t>2026-03-16 14:47:28.150</t>
  </si>
  <si>
    <t xml:space="preserve">OBTTRA40            </t>
  </si>
  <si>
    <t>2026-03-16 14:47:28.167</t>
  </si>
  <si>
    <t xml:space="preserve">OBTTRA50            </t>
  </si>
  <si>
    <t>2026-03-16 14:47:28.180</t>
  </si>
  <si>
    <t xml:space="preserve">OBTYPE10            </t>
  </si>
  <si>
    <t>2026-03-16 14:47:28.210</t>
  </si>
  <si>
    <t xml:space="preserve">OBTYPE20            </t>
  </si>
  <si>
    <t>2026-03-16 14:47:28.227</t>
  </si>
  <si>
    <t xml:space="preserve">OCARCR10            </t>
  </si>
  <si>
    <t>2026-03-16 14:47:28.417</t>
  </si>
  <si>
    <t xml:space="preserve">OCASHA10            </t>
  </si>
  <si>
    <t>2026-03-16 14:47:28.477</t>
  </si>
  <si>
    <t xml:space="preserve">OCASHB10            </t>
  </si>
  <si>
    <t>2026-03-16 14:47:28.650</t>
  </si>
  <si>
    <t xml:space="preserve">OCASHD11            </t>
  </si>
  <si>
    <t>2026-03-16 14:47:28.727</t>
  </si>
  <si>
    <t xml:space="preserve">OCASHD10            </t>
  </si>
  <si>
    <t>2026-03-16 14:47:28.743</t>
  </si>
  <si>
    <t xml:space="preserve">OCASHP10            </t>
  </si>
  <si>
    <t>2026-03-16 14:47:28.883</t>
  </si>
  <si>
    <t xml:space="preserve">OCHCUS30            </t>
  </si>
  <si>
    <t>2026-03-16 14:47:28.990</t>
  </si>
  <si>
    <t xml:space="preserve">OCHCUS10            </t>
  </si>
  <si>
    <t>2026-03-16 14:47:29.003</t>
  </si>
  <si>
    <t xml:space="preserve">OCHCUS20            </t>
  </si>
  <si>
    <t>2026-03-16 14:47:29.020</t>
  </si>
  <si>
    <t xml:space="preserve">OCHEAD20            </t>
  </si>
  <si>
    <t>2026-03-16 14:47:29.113</t>
  </si>
  <si>
    <t xml:space="preserve">OCHEAD30            </t>
  </si>
  <si>
    <t>2026-03-16 14:47:29.130</t>
  </si>
  <si>
    <t xml:space="preserve">OCHEAD60            </t>
  </si>
  <si>
    <t>2026-03-16 14:47:29.147</t>
  </si>
  <si>
    <t xml:space="preserve">OCHEAD40            </t>
  </si>
  <si>
    <t>2026-03-16 14:47:29.160</t>
  </si>
  <si>
    <t xml:space="preserve">OCHEAD50            </t>
  </si>
  <si>
    <t>2026-03-16 14:47:29.177</t>
  </si>
  <si>
    <t xml:space="preserve">OCHEAD10            </t>
  </si>
  <si>
    <t>2026-03-16 14:47:29.193</t>
  </si>
  <si>
    <t xml:space="preserve">OCHSTR20            </t>
  </si>
  <si>
    <t>2026-03-16 14:47:29.270</t>
  </si>
  <si>
    <t>2026-03-16 14:47:29.287</t>
  </si>
  <si>
    <t xml:space="preserve">OCHSTR10            </t>
  </si>
  <si>
    <t>2026-03-16 14:47:29.300</t>
  </si>
  <si>
    <t xml:space="preserve">OCITAD10            </t>
  </si>
  <si>
    <t>2026-03-16 14:47:29.443</t>
  </si>
  <si>
    <t xml:space="preserve">OCLINE70            </t>
  </si>
  <si>
    <t>2026-03-16 14:47:29.583</t>
  </si>
  <si>
    <t>2026-03-16 14:47:29.597</t>
  </si>
  <si>
    <t xml:space="preserve">OCLINE60            </t>
  </si>
  <si>
    <t>2026-03-16 14:47:29.613</t>
  </si>
  <si>
    <t xml:space="preserve">OCLINE50            </t>
  </si>
  <si>
    <t>2026-03-16 14:47:29.630</t>
  </si>
  <si>
    <t xml:space="preserve">OCLINE10            </t>
  </si>
  <si>
    <t>2026-03-16 14:47:29.647</t>
  </si>
  <si>
    <t xml:space="preserve">OCLINE40            </t>
  </si>
  <si>
    <t>2026-03-16 14:47:29.660</t>
  </si>
  <si>
    <t>2026-03-16 14:47:29.677</t>
  </si>
  <si>
    <t xml:space="preserve">OCLINE30            </t>
  </si>
  <si>
    <t>2026-03-16 14:47:29.693</t>
  </si>
  <si>
    <t xml:space="preserve">OCLINE80            </t>
  </si>
  <si>
    <t>2026-03-16 14:47:29.707</t>
  </si>
  <si>
    <t xml:space="preserve">OCSREF20            </t>
  </si>
  <si>
    <t xml:space="preserve">OCSREF10            </t>
  </si>
  <si>
    <t>2026-03-16 14:47:29.723</t>
  </si>
  <si>
    <t xml:space="preserve">OCUINS10            </t>
  </si>
  <si>
    <t>2026-03-16 14:47:29.957</t>
  </si>
  <si>
    <t xml:space="preserve">OCUSAC50            </t>
  </si>
  <si>
    <t>2026-03-16 14:47:29.973</t>
  </si>
  <si>
    <t xml:space="preserve">OCUSAC30            </t>
  </si>
  <si>
    <t>2026-03-16 14:47:29.990</t>
  </si>
  <si>
    <t xml:space="preserve">OCUSAC40            </t>
  </si>
  <si>
    <t>2026-03-16 14:47:30.010</t>
  </si>
  <si>
    <t xml:space="preserve">OCUSAC10            </t>
  </si>
  <si>
    <t>2026-03-16 14:47:30.027</t>
  </si>
  <si>
    <t xml:space="preserve">OCUSAC20            </t>
  </si>
  <si>
    <t>2026-03-16 14:47:30.043</t>
  </si>
  <si>
    <t xml:space="preserve">OCUSAD13            </t>
  </si>
  <si>
    <t>2026-03-16 14:47:30.183</t>
  </si>
  <si>
    <t>2026-03-16 14:47:30.230</t>
  </si>
  <si>
    <t xml:space="preserve">OCUSAD21            </t>
  </si>
  <si>
    <t>2026-03-16 14:47:30.247</t>
  </si>
  <si>
    <t>2026-03-16 14:47:30.277</t>
  </si>
  <si>
    <t xml:space="preserve">OCUSAD30            </t>
  </si>
  <si>
    <t>2026-03-16 14:47:30.293</t>
  </si>
  <si>
    <t>2026-03-16 14:47:30.323</t>
  </si>
  <si>
    <t xml:space="preserve">OCUSCH10            </t>
  </si>
  <si>
    <t xml:space="preserve">OCUSAD11            </t>
  </si>
  <si>
    <t>2026-03-16 14:47:30.340</t>
  </si>
  <si>
    <t>2026-03-16 14:47:30.387</t>
  </si>
  <si>
    <t xml:space="preserve">OCUSAD12            </t>
  </si>
  <si>
    <t>2026-03-16 14:47:30.400</t>
  </si>
  <si>
    <t>2026-03-16 14:47:30.447</t>
  </si>
  <si>
    <t xml:space="preserve">OCUSAD20            </t>
  </si>
  <si>
    <t>2026-03-16 14:47:30.463</t>
  </si>
  <si>
    <t>2026-03-16 14:47:30.510</t>
  </si>
  <si>
    <t xml:space="preserve">OCUSAD15            </t>
  </si>
  <si>
    <t>2026-03-16 14:47:30.527</t>
  </si>
  <si>
    <t>2026-03-16 14:47:30.557</t>
  </si>
  <si>
    <t xml:space="preserve">OCUSCO10            </t>
  </si>
  <si>
    <t>2026-03-16 14:47:30.543</t>
  </si>
  <si>
    <t xml:space="preserve">OCUSCO20            </t>
  </si>
  <si>
    <t xml:space="preserve">OCUSAD14            </t>
  </si>
  <si>
    <t>2026-03-16 14:47:30.573</t>
  </si>
  <si>
    <t>2026-03-16 14:47:30.603</t>
  </si>
  <si>
    <t xml:space="preserve">OCUSAD10            </t>
  </si>
  <si>
    <t>2026-03-16 14:47:30.620</t>
  </si>
  <si>
    <t>2026-03-16 14:47:30.650</t>
  </si>
  <si>
    <t xml:space="preserve">OCUSCP10            </t>
  </si>
  <si>
    <t>2026-03-16 14:47:30.807</t>
  </si>
  <si>
    <t xml:space="preserve">OCUSCP20            </t>
  </si>
  <si>
    <t>2026-03-16 14:47:30.823</t>
  </si>
  <si>
    <t xml:space="preserve">OCUSEX20            </t>
  </si>
  <si>
    <t>2026-03-16 14:47:30.887</t>
  </si>
  <si>
    <t xml:space="preserve">OCUSEX10            </t>
  </si>
  <si>
    <t>2026-03-16 14:47:30.900</t>
  </si>
  <si>
    <t xml:space="preserve">OCUSIN10            </t>
  </si>
  <si>
    <t>2026-03-16 14:47:31.073</t>
  </si>
  <si>
    <t xml:space="preserve">OCUSIN20            </t>
  </si>
  <si>
    <t>2026-03-16 14:47:31.090</t>
  </si>
  <si>
    <t xml:space="preserve">OCUSIT20            </t>
  </si>
  <si>
    <t>2026-03-16 14:47:31.137</t>
  </si>
  <si>
    <t xml:space="preserve">OCUSIT50            </t>
  </si>
  <si>
    <t>2026-03-16 14:47:31.153</t>
  </si>
  <si>
    <t xml:space="preserve">OCUSIT10            </t>
  </si>
  <si>
    <t>2026-03-16 14:47:31.170</t>
  </si>
  <si>
    <t xml:space="preserve">OCUSMAX5#MPL        </t>
  </si>
  <si>
    <t>2026-03-16 14:47:31.340</t>
  </si>
  <si>
    <t>2026-03-16 14:47:31.403</t>
  </si>
  <si>
    <t xml:space="preserve">OCUSMS10            </t>
  </si>
  <si>
    <t xml:space="preserve">OCUSMA90            </t>
  </si>
  <si>
    <t>2026-03-16 14:47:31.420</t>
  </si>
  <si>
    <t>2026-03-16 14:47:31.450</t>
  </si>
  <si>
    <t xml:space="preserve">OCUSMS30            </t>
  </si>
  <si>
    <t xml:space="preserve">OCUSMS20            </t>
  </si>
  <si>
    <t>2026-03-16 14:47:31.437</t>
  </si>
  <si>
    <t xml:space="preserve">OCUSMA20            </t>
  </si>
  <si>
    <t>2026-03-16 14:47:31.497</t>
  </si>
  <si>
    <t xml:space="preserve">OCUSMA25            </t>
  </si>
  <si>
    <t>2026-03-16 14:47:31.530</t>
  </si>
  <si>
    <t xml:space="preserve">OCUSMA89            </t>
  </si>
  <si>
    <t>2026-03-16 14:47:31.543</t>
  </si>
  <si>
    <t>2026-03-16 14:47:31.577</t>
  </si>
  <si>
    <t xml:space="preserve">OCUSMA50            </t>
  </si>
  <si>
    <t>2026-03-16 14:47:31.590</t>
  </si>
  <si>
    <t>2026-03-16 14:47:31.637</t>
  </si>
  <si>
    <t xml:space="preserve">OCUSMA60            </t>
  </si>
  <si>
    <t>2026-03-16 14:47:31.653</t>
  </si>
  <si>
    <t>2026-03-16 14:47:31.687</t>
  </si>
  <si>
    <t xml:space="preserve">OCUSPL10            </t>
  </si>
  <si>
    <t xml:space="preserve">OCUSMA70            </t>
  </si>
  <si>
    <t>2026-03-16 14:47:31.700</t>
  </si>
  <si>
    <t>2026-03-16 14:47:31.733</t>
  </si>
  <si>
    <t xml:space="preserve">OCUSPL20            </t>
  </si>
  <si>
    <t xml:space="preserve">OCUSMA85            </t>
  </si>
  <si>
    <t>2026-03-16 14:47:31.763</t>
  </si>
  <si>
    <t xml:space="preserve">OCUSMA11            </t>
  </si>
  <si>
    <t>2026-03-16 14:47:31.780</t>
  </si>
  <si>
    <t>2026-03-16 14:47:31.810</t>
  </si>
  <si>
    <t xml:space="preserve">OCUSMA40            </t>
  </si>
  <si>
    <t>2026-03-16 14:47:31.827</t>
  </si>
  <si>
    <t>2026-03-16 14:47:31.840</t>
  </si>
  <si>
    <t xml:space="preserve">OCUSMA21            </t>
  </si>
  <si>
    <t>2026-03-16 14:47:31.857</t>
  </si>
  <si>
    <t>2026-03-16 14:47:31.887</t>
  </si>
  <si>
    <t xml:space="preserve">OCUSMA10            </t>
  </si>
  <si>
    <t>2026-03-16 14:47:31.903</t>
  </si>
  <si>
    <t>2026-03-16 14:47:31.937</t>
  </si>
  <si>
    <t xml:space="preserve">OCUTAB10            </t>
  </si>
  <si>
    <t xml:space="preserve">OCUSMA87            </t>
  </si>
  <si>
    <t>2026-03-16 14:47:31.967</t>
  </si>
  <si>
    <t>2026-03-16 14:47:31.997</t>
  </si>
  <si>
    <t xml:space="preserve">OCUSMA88            </t>
  </si>
  <si>
    <t>2026-03-16 14:47:32.013</t>
  </si>
  <si>
    <t>2026-03-16 14:47:32.043</t>
  </si>
  <si>
    <t xml:space="preserve">OCUSMA01            </t>
  </si>
  <si>
    <t>2026-03-16 14:47:32.060</t>
  </si>
  <si>
    <t>2026-03-16 14:47:32.077</t>
  </si>
  <si>
    <t xml:space="preserve">OCUSMA30            </t>
  </si>
  <si>
    <t>2026-03-16 14:47:32.090</t>
  </si>
  <si>
    <t>2026-03-16 14:47:32.123</t>
  </si>
  <si>
    <t xml:space="preserve">ODCHRG01            </t>
  </si>
  <si>
    <t>2026-03-16 14:47:32.170</t>
  </si>
  <si>
    <t xml:space="preserve">ODCHRL10            </t>
  </si>
  <si>
    <t>2026-03-16 14:47:32.373</t>
  </si>
  <si>
    <t xml:space="preserve">ODCIDN20            </t>
  </si>
  <si>
    <t>2026-03-16 14:47:32.403</t>
  </si>
  <si>
    <t xml:space="preserve">ODCIDN10            </t>
  </si>
  <si>
    <t>2026-03-16 14:47:32.420</t>
  </si>
  <si>
    <t xml:space="preserve">ODHEAD43            </t>
  </si>
  <si>
    <t>2026-03-16 14:47:32.623</t>
  </si>
  <si>
    <t>2026-03-16 14:47:33.183</t>
  </si>
  <si>
    <t>561</t>
  </si>
  <si>
    <t xml:space="preserve">ODLINE20            </t>
  </si>
  <si>
    <t>2026-03-16 14:47:32.653</t>
  </si>
  <si>
    <t>2026-03-16 14:47:36.380</t>
  </si>
  <si>
    <t>3727</t>
  </si>
  <si>
    <t xml:space="preserve">ODHEAD42            </t>
  </si>
  <si>
    <t>2026-03-16 14:47:33.197</t>
  </si>
  <si>
    <t>2026-03-16 14:47:33.683</t>
  </si>
  <si>
    <t>485</t>
  </si>
  <si>
    <t xml:space="preserve">ODHEAD92            </t>
  </si>
  <si>
    <t>2026-03-16 14:47:33.697</t>
  </si>
  <si>
    <t>2026-03-16 14:47:34.167</t>
  </si>
  <si>
    <t>469</t>
  </si>
  <si>
    <t xml:space="preserve">ODHEAD81            </t>
  </si>
  <si>
    <t>2026-03-16 14:47:34.183</t>
  </si>
  <si>
    <t>2026-03-16 14:47:34.590</t>
  </si>
  <si>
    <t xml:space="preserve">ODHEAD41            </t>
  </si>
  <si>
    <t>2026-03-16 14:47:34.603</t>
  </si>
  <si>
    <t>2026-03-16 14:47:35.043</t>
  </si>
  <si>
    <t xml:space="preserve">ODHEAD40            </t>
  </si>
  <si>
    <t>2026-03-16 14:47:35.057</t>
  </si>
  <si>
    <t>2026-03-16 14:47:35.450</t>
  </si>
  <si>
    <t>392</t>
  </si>
  <si>
    <t xml:space="preserve">ODHEAD91            </t>
  </si>
  <si>
    <t>2026-03-16 14:47:35.467</t>
  </si>
  <si>
    <t>2026-03-16 14:47:35.933</t>
  </si>
  <si>
    <t>467</t>
  </si>
  <si>
    <t xml:space="preserve">ODHEAD80            </t>
  </si>
  <si>
    <t>2026-03-16 14:47:35.947</t>
  </si>
  <si>
    <t>2026-03-16 14:47:36.287</t>
  </si>
  <si>
    <t>340</t>
  </si>
  <si>
    <t xml:space="preserve">ODHEAD90            </t>
  </si>
  <si>
    <t>2026-03-16 14:47:36.303</t>
  </si>
  <si>
    <t>2026-03-16 14:47:36.787</t>
  </si>
  <si>
    <t xml:space="preserve">ODLINE90            </t>
  </si>
  <si>
    <t>2026-03-16 14:47:39.137</t>
  </si>
  <si>
    <t>2757</t>
  </si>
  <si>
    <t xml:space="preserve">ODHEAD32            </t>
  </si>
  <si>
    <t>2026-03-16 14:47:36.803</t>
  </si>
  <si>
    <t>2026-03-16 14:47:37.163</t>
  </si>
  <si>
    <t xml:space="preserve">ODHEAD31            </t>
  </si>
  <si>
    <t>2026-03-16 14:47:37.717</t>
  </si>
  <si>
    <t>554</t>
  </si>
  <si>
    <t xml:space="preserve">ODHEAD11            </t>
  </si>
  <si>
    <t>2026-03-16 14:47:37.733</t>
  </si>
  <si>
    <t>2026-03-16 14:47:38.077</t>
  </si>
  <si>
    <t xml:space="preserve">ODHEAD05            </t>
  </si>
  <si>
    <t>2026-03-16 14:47:38.327</t>
  </si>
  <si>
    <t xml:space="preserve">ODHEAD30            </t>
  </si>
  <si>
    <t>2026-03-16 14:47:38.343</t>
  </si>
  <si>
    <t>2026-03-16 14:47:38.670</t>
  </si>
  <si>
    <t xml:space="preserve">ODHEAD10            </t>
  </si>
  <si>
    <t>2026-03-16 14:47:38.687</t>
  </si>
  <si>
    <t>2026-03-16 14:47:38.983</t>
  </si>
  <si>
    <t xml:space="preserve">ODHEAD12            </t>
  </si>
  <si>
    <t>2026-03-16 14:47:38.997</t>
  </si>
  <si>
    <t>2026-03-16 14:47:39.577</t>
  </si>
  <si>
    <t>579</t>
  </si>
  <si>
    <t xml:space="preserve">ODLINE40            </t>
  </si>
  <si>
    <t>2026-03-16 14:47:39.153</t>
  </si>
  <si>
    <t>2026-03-16 14:47:41.153</t>
  </si>
  <si>
    <t>1998</t>
  </si>
  <si>
    <t xml:space="preserve">ODHEAD50            </t>
  </si>
  <si>
    <t>2026-03-16 14:47:39.593</t>
  </si>
  <si>
    <t>2026-03-16 14:47:40.010</t>
  </si>
  <si>
    <t>418</t>
  </si>
  <si>
    <t xml:space="preserve">ODHEAD82            </t>
  </si>
  <si>
    <t>2026-03-16 14:47:40.027</t>
  </si>
  <si>
    <t>2026-03-16 14:47:40.447</t>
  </si>
  <si>
    <t xml:space="preserve">ODHEAD70            </t>
  </si>
  <si>
    <t>2026-03-16 14:47:40.463</t>
  </si>
  <si>
    <t>2026-03-16 14:47:40.887</t>
  </si>
  <si>
    <t xml:space="preserve">ODHEAD75            </t>
  </si>
  <si>
    <t>2026-03-16 14:47:41.313</t>
  </si>
  <si>
    <t>426</t>
  </si>
  <si>
    <t xml:space="preserve">ODLINE30            </t>
  </si>
  <si>
    <t>2026-03-16 14:47:41.157</t>
  </si>
  <si>
    <t>2026-03-16 14:47:43.213</t>
  </si>
  <si>
    <t>2057</t>
  </si>
  <si>
    <t xml:space="preserve">ODHEAD23            </t>
  </si>
  <si>
    <t>2026-03-16 14:47:41.327</t>
  </si>
  <si>
    <t>2026-03-16 14:47:41.707</t>
  </si>
  <si>
    <t>377</t>
  </si>
  <si>
    <t xml:space="preserve">ODHEAD93            </t>
  </si>
  <si>
    <t>2026-03-16 14:47:41.720</t>
  </si>
  <si>
    <t>2026-03-16 14:47:42.003</t>
  </si>
  <si>
    <t xml:space="preserve">ODHEAD21            </t>
  </si>
  <si>
    <t>2026-03-16 14:47:42.020</t>
  </si>
  <si>
    <t>2026-03-16 14:47:42.347</t>
  </si>
  <si>
    <t>326</t>
  </si>
  <si>
    <t xml:space="preserve">ODHEAD60            </t>
  </si>
  <si>
    <t>2026-03-16 14:47:42.360</t>
  </si>
  <si>
    <t>2026-03-16 14:47:42.647</t>
  </si>
  <si>
    <t>285</t>
  </si>
  <si>
    <t xml:space="preserve">ODHEAD61            </t>
  </si>
  <si>
    <t>2026-03-16 14:47:42.650</t>
  </si>
  <si>
    <t>2026-03-16 14:47:42.947</t>
  </si>
  <si>
    <t xml:space="preserve">ODHEAD35            </t>
  </si>
  <si>
    <t>2026-03-16 14:47:42.963</t>
  </si>
  <si>
    <t>2026-03-16 14:47:43.277</t>
  </si>
  <si>
    <t xml:space="preserve">ODLINE50            </t>
  </si>
  <si>
    <t>2026-03-16 14:47:43.227</t>
  </si>
  <si>
    <t>2026-03-16 14:47:44.920</t>
  </si>
  <si>
    <t>1692</t>
  </si>
  <si>
    <t xml:space="preserve">ODHEAD22            </t>
  </si>
  <si>
    <t>2026-03-16 14:47:43.290</t>
  </si>
  <si>
    <t>2026-03-16 14:47:43.557</t>
  </si>
  <si>
    <t xml:space="preserve">ODHEAD20            </t>
  </si>
  <si>
    <t>2026-03-16 14:47:43.573</t>
  </si>
  <si>
    <t>2026-03-16 14:47:43.930</t>
  </si>
  <si>
    <t>359</t>
  </si>
  <si>
    <t xml:space="preserve">ODOUTQ10            </t>
  </si>
  <si>
    <t>2026-03-16 14:47:44.187</t>
  </si>
  <si>
    <t xml:space="preserve">ODTXTH01            </t>
  </si>
  <si>
    <t>2026-03-16 14:47:44.437</t>
  </si>
  <si>
    <t>2026-03-16 14:47:44.467</t>
  </si>
  <si>
    <t xml:space="preserve">OEXFEE10            </t>
  </si>
  <si>
    <t>2026-03-16 14:47:44.717</t>
  </si>
  <si>
    <t>2026-03-16 14:47:44.733</t>
  </si>
  <si>
    <t xml:space="preserve">ODLINE10            </t>
  </si>
  <si>
    <t>2026-03-16 14:47:44.937</t>
  </si>
  <si>
    <t>2026-03-16 14:47:46.613</t>
  </si>
  <si>
    <t>1678</t>
  </si>
  <si>
    <t xml:space="preserve">OEXFEL10            </t>
  </si>
  <si>
    <t>2026-03-16 14:47:44.983</t>
  </si>
  <si>
    <t>2026-03-16 14:47:45.013</t>
  </si>
  <si>
    <t xml:space="preserve">OEXSMS10            </t>
  </si>
  <si>
    <t>2026-03-16 14:47:45.263</t>
  </si>
  <si>
    <t xml:space="preserve">OGCLNG10            </t>
  </si>
  <si>
    <t>2026-03-16 14:47:45.513</t>
  </si>
  <si>
    <t xml:space="preserve">OGCMTX10            </t>
  </si>
  <si>
    <t>2026-03-16 14:47:45.763</t>
  </si>
  <si>
    <t xml:space="preserve">OGCMTX20            </t>
  </si>
  <si>
    <t>2026-03-16 14:47:45.777</t>
  </si>
  <si>
    <t>2026-03-16 14:47:45.787</t>
  </si>
  <si>
    <t xml:space="preserve">OGCMTX40            </t>
  </si>
  <si>
    <t>2026-03-16 14:47:45.790</t>
  </si>
  <si>
    <t xml:space="preserve">OGCMTX50            </t>
  </si>
  <si>
    <t>2026-03-16 14:47:45.807</t>
  </si>
  <si>
    <t xml:space="preserve">OGCMTX30            </t>
  </si>
  <si>
    <t>2026-03-16 14:47:45.820</t>
  </si>
  <si>
    <t xml:space="preserve">OGDLNG10            </t>
  </si>
  <si>
    <t>2026-03-16 14:47:46.070</t>
  </si>
  <si>
    <t xml:space="preserve">OGDMTX40            </t>
  </si>
  <si>
    <t>2026-03-16 14:47:46.320</t>
  </si>
  <si>
    <t xml:space="preserve">OGTAPO20            </t>
  </si>
  <si>
    <t>2026-03-16 14:47:46.580</t>
  </si>
  <si>
    <t>2026-03-16 14:47:46.597</t>
  </si>
  <si>
    <t xml:space="preserve">OGTAPO10            </t>
  </si>
  <si>
    <t>2026-03-16 14:47:46.627</t>
  </si>
  <si>
    <t xml:space="preserve">OGTAPO30            </t>
  </si>
  <si>
    <t xml:space="preserve">OIDPRE10            </t>
  </si>
  <si>
    <t>2026-03-16 14:47:46.837</t>
  </si>
  <si>
    <t>2026-03-16 14:47:46.870</t>
  </si>
  <si>
    <t xml:space="preserve">OIDPRE20            </t>
  </si>
  <si>
    <t>2026-03-16 14:47:46.887</t>
  </si>
  <si>
    <t xml:space="preserve">OIDTRL50            </t>
  </si>
  <si>
    <t xml:space="preserve">OIDPRE30            </t>
  </si>
  <si>
    <t>2026-03-16 14:47:46.900</t>
  </si>
  <si>
    <t xml:space="preserve">OIDTRL60            </t>
  </si>
  <si>
    <t>2026-03-16 14:47:46.917</t>
  </si>
  <si>
    <t xml:space="preserve">OIDTRL10            </t>
  </si>
  <si>
    <t>2026-03-16 14:47:46.933</t>
  </si>
  <si>
    <t xml:space="preserve">OIDTRL20            </t>
  </si>
  <si>
    <t>2026-03-16 14:47:46.947</t>
  </si>
  <si>
    <t xml:space="preserve">OIDTRL30            </t>
  </si>
  <si>
    <t>2026-03-16 14:47:46.963</t>
  </si>
  <si>
    <t xml:space="preserve">OIDTRL40            </t>
  </si>
  <si>
    <t>2026-03-16 14:47:46.980</t>
  </si>
  <si>
    <t>2026-03-16 14:47:47.010</t>
  </si>
  <si>
    <t xml:space="preserve">OIDTRS20            </t>
  </si>
  <si>
    <t>2026-03-16 14:47:47.137</t>
  </si>
  <si>
    <t xml:space="preserve">OIDTRS10            </t>
  </si>
  <si>
    <t>2026-03-16 14:47:47.150</t>
  </si>
  <si>
    <t>2026-03-16 14:47:47.183</t>
  </si>
  <si>
    <t xml:space="preserve">OINACC11            </t>
  </si>
  <si>
    <t>2026-03-16 14:47:47.260</t>
  </si>
  <si>
    <t>2026-03-16 14:47:58.950</t>
  </si>
  <si>
    <t>11689</t>
  </si>
  <si>
    <t xml:space="preserve">OINREF12            </t>
  </si>
  <si>
    <t>2026-03-16 14:47:47.417</t>
  </si>
  <si>
    <t xml:space="preserve">OINREF10            </t>
  </si>
  <si>
    <t>2026-03-16 14:47:47.433</t>
  </si>
  <si>
    <t xml:space="preserve">OINREF11            </t>
  </si>
  <si>
    <t>2026-03-16 14:47:47.447</t>
  </si>
  <si>
    <t xml:space="preserve">OINVIP10            </t>
  </si>
  <si>
    <t>2026-03-16 14:47:47.683</t>
  </si>
  <si>
    <t>2026-03-16 14:47:47.697</t>
  </si>
  <si>
    <t xml:space="preserve">OINVIP20            </t>
  </si>
  <si>
    <t>2026-03-16 14:47:47.713</t>
  </si>
  <si>
    <t xml:space="preserve">OINVLL10            </t>
  </si>
  <si>
    <t>2026-03-16 14:47:47.950</t>
  </si>
  <si>
    <t xml:space="preserve">OINVOH94            </t>
  </si>
  <si>
    <t>2026-03-16 14:47:48.187</t>
  </si>
  <si>
    <t>2026-03-16 14:47:48.513</t>
  </si>
  <si>
    <t xml:space="preserve">OINVOH95            </t>
  </si>
  <si>
    <t>2026-03-16 14:47:48.527</t>
  </si>
  <si>
    <t>2026-03-16 14:47:48.927</t>
  </si>
  <si>
    <t>400</t>
  </si>
  <si>
    <t xml:space="preserve">OINVOH73            </t>
  </si>
  <si>
    <t>2026-03-16 14:47:48.943</t>
  </si>
  <si>
    <t>2026-03-16 14:47:49.350</t>
  </si>
  <si>
    <t xml:space="preserve">OINVOH80            </t>
  </si>
  <si>
    <t>2026-03-16 14:47:49.367</t>
  </si>
  <si>
    <t>2026-03-16 14:47:49.710</t>
  </si>
  <si>
    <t xml:space="preserve">OINVOH43            </t>
  </si>
  <si>
    <t>2026-03-16 14:47:49.727</t>
  </si>
  <si>
    <t>2026-03-16 14:47:50.073</t>
  </si>
  <si>
    <t>348</t>
  </si>
  <si>
    <t xml:space="preserve">OINVOH72            </t>
  </si>
  <si>
    <t>2026-03-16 14:47:50.417</t>
  </si>
  <si>
    <t xml:space="preserve">OINVOH93            </t>
  </si>
  <si>
    <t>2026-03-16 14:47:50.433</t>
  </si>
  <si>
    <t>2026-03-16 14:47:50.747</t>
  </si>
  <si>
    <t xml:space="preserve">OINVOH96            </t>
  </si>
  <si>
    <t>2026-03-16 14:47:50.760</t>
  </si>
  <si>
    <t>2026-03-16 14:47:51.097</t>
  </si>
  <si>
    <t>337</t>
  </si>
  <si>
    <t xml:space="preserve">OINVOH97            </t>
  </si>
  <si>
    <t>2026-03-16 14:47:51.473</t>
  </si>
  <si>
    <t xml:space="preserve">OINVOH42            </t>
  </si>
  <si>
    <t>2026-03-16 14:47:51.490</t>
  </si>
  <si>
    <t>2026-03-16 14:47:51.787</t>
  </si>
  <si>
    <t xml:space="preserve">OINVOH61            </t>
  </si>
  <si>
    <t>2026-03-16 14:47:51.800</t>
  </si>
  <si>
    <t>2026-03-16 14:47:52.117</t>
  </si>
  <si>
    <t>315</t>
  </si>
  <si>
    <t xml:space="preserve">OINVOH32            </t>
  </si>
  <si>
    <t>2026-03-16 14:47:52.133</t>
  </si>
  <si>
    <t>2026-03-16 14:47:52.367</t>
  </si>
  <si>
    <t xml:space="preserve">OINVOH90            </t>
  </si>
  <si>
    <t>2026-03-16 14:47:52.633</t>
  </si>
  <si>
    <t xml:space="preserve">OINVOH92            </t>
  </si>
  <si>
    <t>2026-03-16 14:47:52.647</t>
  </si>
  <si>
    <t>2026-03-16 14:47:52.947</t>
  </si>
  <si>
    <t xml:space="preserve">OINVOH71            </t>
  </si>
  <si>
    <t>2026-03-16 14:47:52.960</t>
  </si>
  <si>
    <t>2026-03-16 14:47:53.303</t>
  </si>
  <si>
    <t xml:space="preserve">OINVOH51            </t>
  </si>
  <si>
    <t>2026-03-16 14:47:53.320</t>
  </si>
  <si>
    <t>2026-03-16 14:47:53.647</t>
  </si>
  <si>
    <t xml:space="preserve">OINVOH41            </t>
  </si>
  <si>
    <t>2026-03-16 14:47:53.663</t>
  </si>
  <si>
    <t>2026-03-16 14:47:53.960</t>
  </si>
  <si>
    <t xml:space="preserve">OINVOH91            </t>
  </si>
  <si>
    <t>2026-03-16 14:47:53.977</t>
  </si>
  <si>
    <t>2026-03-16 14:47:54.197</t>
  </si>
  <si>
    <t xml:space="preserve">OINVOH31            </t>
  </si>
  <si>
    <t>2026-03-16 14:47:54.210</t>
  </si>
  <si>
    <t>2026-03-16 14:47:54.430</t>
  </si>
  <si>
    <t xml:space="preserve">OINVOH70            </t>
  </si>
  <si>
    <t>2026-03-16 14:47:54.447</t>
  </si>
  <si>
    <t>2026-03-16 14:47:54.757</t>
  </si>
  <si>
    <t xml:space="preserve">OINVOH20            </t>
  </si>
  <si>
    <t>2026-03-16 14:47:55.227</t>
  </si>
  <si>
    <t xml:space="preserve">OINVOH40            </t>
  </si>
  <si>
    <t>2026-03-16 14:47:55.243</t>
  </si>
  <si>
    <t>2026-03-16 14:47:55.520</t>
  </si>
  <si>
    <t>277</t>
  </si>
  <si>
    <t xml:space="preserve">OINVOH60            </t>
  </si>
  <si>
    <t>2026-03-16 14:47:55.533</t>
  </si>
  <si>
    <t>2026-03-16 14:47:55.763</t>
  </si>
  <si>
    <t>229</t>
  </si>
  <si>
    <t xml:space="preserve">OINVOH30            </t>
  </si>
  <si>
    <t>2026-03-16 14:47:55.780</t>
  </si>
  <si>
    <t>2026-03-16 14:47:55.983</t>
  </si>
  <si>
    <t xml:space="preserve">OINVOH01            </t>
  </si>
  <si>
    <t>2026-03-16 14:47:55.997</t>
  </si>
  <si>
    <t>2026-03-16 14:47:56.263</t>
  </si>
  <si>
    <t xml:space="preserve">OINVOH50            </t>
  </si>
  <si>
    <t>2026-03-16 14:47:56.280</t>
  </si>
  <si>
    <t>2026-03-16 14:47:56.577</t>
  </si>
  <si>
    <t xml:space="preserve">OINVOL11            </t>
  </si>
  <si>
    <t>2026-03-16 14:47:56.813</t>
  </si>
  <si>
    <t>2026-03-16 14:48:01.930</t>
  </si>
  <si>
    <t>5119</t>
  </si>
  <si>
    <t xml:space="preserve">OINACC10            </t>
  </si>
  <si>
    <t>2026-03-16 14:47:58.963</t>
  </si>
  <si>
    <t>2026-03-16 14:48:08.680</t>
  </si>
  <si>
    <t>9715</t>
  </si>
  <si>
    <t xml:space="preserve">OINVOL41            </t>
  </si>
  <si>
    <t>2026-03-16 14:48:07.413</t>
  </si>
  <si>
    <t>5483</t>
  </si>
  <si>
    <t xml:space="preserve">OINVOL00            </t>
  </si>
  <si>
    <t>2026-03-16 14:48:07.430</t>
  </si>
  <si>
    <t>2026-03-16 14:48:12.227</t>
  </si>
  <si>
    <t>4798</t>
  </si>
  <si>
    <t xml:space="preserve">OINACC90            </t>
  </si>
  <si>
    <t>2026-03-16 14:48:08.697</t>
  </si>
  <si>
    <t>2026-03-16 14:48:19.353</t>
  </si>
  <si>
    <t>10658</t>
  </si>
  <si>
    <t xml:space="preserve">OINVOL20            </t>
  </si>
  <si>
    <t>2026-03-16 14:48:17.240</t>
  </si>
  <si>
    <t>5012</t>
  </si>
  <si>
    <t xml:space="preserve">OINVOL30            </t>
  </si>
  <si>
    <t>2026-03-16 14:48:17.257</t>
  </si>
  <si>
    <t>2026-03-16 14:48:22.427</t>
  </si>
  <si>
    <t>5170</t>
  </si>
  <si>
    <t xml:space="preserve">OINACC01            </t>
  </si>
  <si>
    <t>2026-03-16 14:48:19.370</t>
  </si>
  <si>
    <t>2026-03-16 14:48:27.480</t>
  </si>
  <si>
    <t>8110</t>
  </si>
  <si>
    <t xml:space="preserve">OINVOL40            </t>
  </si>
  <si>
    <t>2026-03-16 14:48:22.440</t>
  </si>
  <si>
    <t>2026-03-16 14:48:28.380</t>
  </si>
  <si>
    <t>5940</t>
  </si>
  <si>
    <t xml:space="preserve">OINACC30            </t>
  </si>
  <si>
    <t>2026-03-16 14:48:27.497</t>
  </si>
  <si>
    <t>2026-03-16 14:48:35.367</t>
  </si>
  <si>
    <t>7870</t>
  </si>
  <si>
    <t xml:space="preserve">OINVTX01            </t>
  </si>
  <si>
    <t>2026-03-16 14:48:28.617</t>
  </si>
  <si>
    <t xml:space="preserve">OIPRTD10            </t>
  </si>
  <si>
    <t>2026-03-16 14:48:28.867</t>
  </si>
  <si>
    <t xml:space="preserve">OISIPP30            </t>
  </si>
  <si>
    <t>2026-03-16 14:48:29.100</t>
  </si>
  <si>
    <t xml:space="preserve">OISIPP20            </t>
  </si>
  <si>
    <t>2026-03-16 14:48:29.117</t>
  </si>
  <si>
    <t xml:space="preserve">OISIPP10            </t>
  </si>
  <si>
    <t>2026-03-16 14:48:29.130</t>
  </si>
  <si>
    <t xml:space="preserve">OKITXP10            </t>
  </si>
  <si>
    <t>2026-03-16 14:48:29.390</t>
  </si>
  <si>
    <t xml:space="preserve">OLICHL10            </t>
  </si>
  <si>
    <t>2026-03-16 14:48:29.627</t>
  </si>
  <si>
    <t xml:space="preserve">OLICHM10            </t>
  </si>
  <si>
    <t>2026-03-16 14:48:29.860</t>
  </si>
  <si>
    <t>2026-03-16 14:48:29.877</t>
  </si>
  <si>
    <t xml:space="preserve">OOACKH10            </t>
  </si>
  <si>
    <t>2026-03-16 14:48:30.107</t>
  </si>
  <si>
    <t>2026-03-16 14:48:30.120</t>
  </si>
  <si>
    <t xml:space="preserve">OOACKL10            </t>
  </si>
  <si>
    <t>2026-03-16 14:48:30.357</t>
  </si>
  <si>
    <t xml:space="preserve">OOACKL20            </t>
  </si>
  <si>
    <t>2026-03-16 14:48:30.370</t>
  </si>
  <si>
    <t xml:space="preserve">OOALIN10            </t>
  </si>
  <si>
    <t>2026-03-16 14:48:30.607</t>
  </si>
  <si>
    <t xml:space="preserve">OOAPMT00            </t>
  </si>
  <si>
    <t>2026-03-16 14:48:30.840</t>
  </si>
  <si>
    <t xml:space="preserve">OOAPRO10            </t>
  </si>
  <si>
    <t>2026-03-16 14:48:31.073</t>
  </si>
  <si>
    <t xml:space="preserve">OOASPR10            </t>
  </si>
  <si>
    <t>2026-03-16 14:48:31.307</t>
  </si>
  <si>
    <t xml:space="preserve">OOC34510            </t>
  </si>
  <si>
    <t>2026-03-16 14:48:31.547</t>
  </si>
  <si>
    <t>2026-03-16 14:48:31.563</t>
  </si>
  <si>
    <t xml:space="preserve">OOCHRG10            </t>
  </si>
  <si>
    <t>2026-03-16 14:48:31.797</t>
  </si>
  <si>
    <t>2026-03-16 14:48:31.877</t>
  </si>
  <si>
    <t xml:space="preserve">OOCOLI10            </t>
  </si>
  <si>
    <t>2026-03-16 14:48:32.110</t>
  </si>
  <si>
    <t xml:space="preserve">OOEMSG10            </t>
  </si>
  <si>
    <t>2026-03-16 14:48:32.343</t>
  </si>
  <si>
    <t>2026-03-16 14:48:32.377</t>
  </si>
  <si>
    <t xml:space="preserve">OOFPRD30            </t>
  </si>
  <si>
    <t>2026-03-16 14:48:32.610</t>
  </si>
  <si>
    <t xml:space="preserve">OOFPRD20            </t>
  </si>
  <si>
    <t>2026-03-16 14:48:32.627</t>
  </si>
  <si>
    <t xml:space="preserve">OOFPRD10            </t>
  </si>
  <si>
    <t>2026-03-16 14:48:32.640</t>
  </si>
  <si>
    <t xml:space="preserve">OOFPRD40            </t>
  </si>
  <si>
    <t>2026-03-16 14:48:32.657</t>
  </si>
  <si>
    <t xml:space="preserve">OOHDCG10            </t>
  </si>
  <si>
    <t>2026-03-16 14:48:32.890</t>
  </si>
  <si>
    <t xml:space="preserve">OOHEAD50            </t>
  </si>
  <si>
    <t>2026-03-16 14:48:33.130</t>
  </si>
  <si>
    <t>2026-03-16 14:48:33.613</t>
  </si>
  <si>
    <t>484</t>
  </si>
  <si>
    <t xml:space="preserve">OOHEAD60            </t>
  </si>
  <si>
    <t>2026-03-16 14:48:33.630</t>
  </si>
  <si>
    <t>2026-03-16 14:48:34.100</t>
  </si>
  <si>
    <t>470</t>
  </si>
  <si>
    <t xml:space="preserve">OOHEAD87            </t>
  </si>
  <si>
    <t>2026-03-16 14:48:34.413</t>
  </si>
  <si>
    <t xml:space="preserve">OOHEAD30            </t>
  </si>
  <si>
    <t>2026-03-16 14:48:34.427</t>
  </si>
  <si>
    <t>2026-03-16 14:48:34.677</t>
  </si>
  <si>
    <t xml:space="preserve">OOHEAD70            </t>
  </si>
  <si>
    <t>2026-03-16 14:48:35.053</t>
  </si>
  <si>
    <t xml:space="preserve">OOHEAD20            </t>
  </si>
  <si>
    <t>2026-03-16 14:48:35.067</t>
  </si>
  <si>
    <t>2026-03-16 14:48:35.443</t>
  </si>
  <si>
    <t xml:space="preserve">OINACC50            </t>
  </si>
  <si>
    <t>2026-03-16 14:48:35.380</t>
  </si>
  <si>
    <t>2026-03-16 14:48:44.220</t>
  </si>
  <si>
    <t>8839</t>
  </si>
  <si>
    <t xml:space="preserve">OOHEAD10            </t>
  </si>
  <si>
    <t>2026-03-16 14:48:35.830</t>
  </si>
  <si>
    <t>386</t>
  </si>
  <si>
    <t xml:space="preserve">OOHEAD88            </t>
  </si>
  <si>
    <t>2026-03-16 14:48:35.843</t>
  </si>
  <si>
    <t>2026-03-16 14:48:36.173</t>
  </si>
  <si>
    <t xml:space="preserve">OOHEAD01            </t>
  </si>
  <si>
    <t>2026-03-16 14:48:36.187</t>
  </si>
  <si>
    <t>2026-03-16 14:48:36.377</t>
  </si>
  <si>
    <t xml:space="preserve">OOHEAD40            </t>
  </si>
  <si>
    <t>2026-03-16 14:48:36.390</t>
  </si>
  <si>
    <t>2026-03-16 14:48:36.610</t>
  </si>
  <si>
    <t xml:space="preserve">OOI15010            </t>
  </si>
  <si>
    <t>2026-03-16 14:48:36.843</t>
  </si>
  <si>
    <t xml:space="preserve">OOI15020            </t>
  </si>
  <si>
    <t>2026-03-16 14:48:36.860</t>
  </si>
  <si>
    <t>2026-03-16 14:48:36.877</t>
  </si>
  <si>
    <t xml:space="preserve">OOI19300            </t>
  </si>
  <si>
    <t>2026-03-16 14:48:37.110</t>
  </si>
  <si>
    <t xml:space="preserve">OOI22700            </t>
  </si>
  <si>
    <t>2026-03-16 14:48:37.343</t>
  </si>
  <si>
    <t xml:space="preserve">OOI28010            </t>
  </si>
  <si>
    <t>2026-03-16 14:48:37.580</t>
  </si>
  <si>
    <t xml:space="preserve">OOI28020            </t>
  </si>
  <si>
    <t>2026-03-16 14:48:37.593</t>
  </si>
  <si>
    <t xml:space="preserve">OOI28030            </t>
  </si>
  <si>
    <t>2026-03-16 14:48:37.610</t>
  </si>
  <si>
    <t>2026-03-16 14:48:37.640</t>
  </si>
  <si>
    <t xml:space="preserve">OOI31110            </t>
  </si>
  <si>
    <t>2026-03-16 14:48:37.873</t>
  </si>
  <si>
    <t>2026-03-16 14:48:37.887</t>
  </si>
  <si>
    <t xml:space="preserve">OOI31510            </t>
  </si>
  <si>
    <t>2026-03-16 14:48:38.123</t>
  </si>
  <si>
    <t>2026-03-16 14:48:38.137</t>
  </si>
  <si>
    <t xml:space="preserve">OOI31550            </t>
  </si>
  <si>
    <t>2026-03-16 14:48:38.153</t>
  </si>
  <si>
    <t xml:space="preserve">OOI31520            </t>
  </si>
  <si>
    <t>2026-03-16 14:48:38.170</t>
  </si>
  <si>
    <t xml:space="preserve">OOI31530            </t>
  </si>
  <si>
    <t>2026-03-16 14:48:38.187</t>
  </si>
  <si>
    <t xml:space="preserve">OOI31540            </t>
  </si>
  <si>
    <t>2026-03-16 14:48:38.200</t>
  </si>
  <si>
    <t xml:space="preserve">OOI31570            </t>
  </si>
  <si>
    <t>2026-03-16 14:48:38.217</t>
  </si>
  <si>
    <t>2026-03-16 14:48:38.233</t>
  </si>
  <si>
    <t xml:space="preserve">OOI31560            </t>
  </si>
  <si>
    <t>2026-03-16 14:48:38.247</t>
  </si>
  <si>
    <t xml:space="preserve">OOI31580            </t>
  </si>
  <si>
    <t>2026-03-16 14:48:38.263</t>
  </si>
  <si>
    <t xml:space="preserve">OOI32050            </t>
  </si>
  <si>
    <t>2026-03-16 14:48:38.487</t>
  </si>
  <si>
    <t>2026-03-16 14:48:38.517</t>
  </si>
  <si>
    <t xml:space="preserve">OOI32070            </t>
  </si>
  <si>
    <t>2026-03-16 14:48:38.533</t>
  </si>
  <si>
    <t xml:space="preserve">OOI32080            </t>
  </si>
  <si>
    <t>2026-03-16 14:48:38.550</t>
  </si>
  <si>
    <t xml:space="preserve">OOI32030            </t>
  </si>
  <si>
    <t>2026-03-16 14:48:38.567</t>
  </si>
  <si>
    <t xml:space="preserve">OOI32090            </t>
  </si>
  <si>
    <t>2026-03-16 14:48:38.580</t>
  </si>
  <si>
    <t xml:space="preserve">OOI32060            </t>
  </si>
  <si>
    <t>2026-03-16 14:48:38.597</t>
  </si>
  <si>
    <t xml:space="preserve">OOI32010            </t>
  </si>
  <si>
    <t>2026-03-16 14:48:38.610</t>
  </si>
  <si>
    <t xml:space="preserve">OOI32011            </t>
  </si>
  <si>
    <t>2026-03-16 14:48:38.627</t>
  </si>
  <si>
    <t xml:space="preserve">OOI32020            </t>
  </si>
  <si>
    <t>2026-03-16 14:48:38.643</t>
  </si>
  <si>
    <t xml:space="preserve">OOI32025            </t>
  </si>
  <si>
    <t>2026-03-16 14:48:38.657</t>
  </si>
  <si>
    <t xml:space="preserve">OOI38030            </t>
  </si>
  <si>
    <t>2026-03-16 14:48:38.893</t>
  </si>
  <si>
    <t xml:space="preserve">OOI38040            </t>
  </si>
  <si>
    <t>2026-03-16 14:48:38.907</t>
  </si>
  <si>
    <t>2026-03-16 14:48:38.923</t>
  </si>
  <si>
    <t xml:space="preserve">OOI38050            </t>
  </si>
  <si>
    <t>2026-03-16 14:48:38.957</t>
  </si>
  <si>
    <t xml:space="preserve">OOI38010            </t>
  </si>
  <si>
    <t>2026-03-16 14:48:38.970</t>
  </si>
  <si>
    <t xml:space="preserve">OOI38020            </t>
  </si>
  <si>
    <t>2026-03-16 14:48:38.987</t>
  </si>
  <si>
    <t xml:space="preserve">OOI60710            </t>
  </si>
  <si>
    <t>2026-03-16 14:48:39.220</t>
  </si>
  <si>
    <t xml:space="preserve">OOI60810            </t>
  </si>
  <si>
    <t>2026-03-16 14:48:39.457</t>
  </si>
  <si>
    <t xml:space="preserve">OOI64210            </t>
  </si>
  <si>
    <t>2026-03-16 14:48:39.690</t>
  </si>
  <si>
    <t xml:space="preserve">OOI64300            </t>
  </si>
  <si>
    <t>2026-03-16 14:48:39.940</t>
  </si>
  <si>
    <t xml:space="preserve">OOI64310            </t>
  </si>
  <si>
    <t>2026-03-16 14:48:39.957</t>
  </si>
  <si>
    <t xml:space="preserve">OOI64A10            </t>
  </si>
  <si>
    <t>2026-03-16 14:48:40.177</t>
  </si>
  <si>
    <t>2026-03-16 14:48:40.210</t>
  </si>
  <si>
    <t xml:space="preserve">OOI86910            </t>
  </si>
  <si>
    <t>2026-03-16 14:48:40.443</t>
  </si>
  <si>
    <t xml:space="preserve">OOI95000            </t>
  </si>
  <si>
    <t>2026-03-16 14:48:40.677</t>
  </si>
  <si>
    <t xml:space="preserve">OOI95010            </t>
  </si>
  <si>
    <t>2026-03-16 14:48:40.693</t>
  </si>
  <si>
    <t xml:space="preserve">OOI96010            </t>
  </si>
  <si>
    <t>2026-03-16 14:48:40.927</t>
  </si>
  <si>
    <t xml:space="preserve">OOI96090            </t>
  </si>
  <si>
    <t>2026-03-16 14:48:40.943</t>
  </si>
  <si>
    <t xml:space="preserve">OOIPOL20            </t>
  </si>
  <si>
    <t>2026-03-16 14:48:41.177</t>
  </si>
  <si>
    <t xml:space="preserve">OOIPOL40            </t>
  </si>
  <si>
    <t>2026-03-16 14:48:41.193</t>
  </si>
  <si>
    <t xml:space="preserve">OOIPOL30            </t>
  </si>
  <si>
    <t>2026-03-16 14:48:41.210</t>
  </si>
  <si>
    <t xml:space="preserve">OOIPOL10            </t>
  </si>
  <si>
    <t>2026-03-16 14:48:41.223</t>
  </si>
  <si>
    <t xml:space="preserve">OOIPOS20            </t>
  </si>
  <si>
    <t>2026-03-16 14:48:41.460</t>
  </si>
  <si>
    <t xml:space="preserve">OOIPOS30            </t>
  </si>
  <si>
    <t>2026-03-16 14:48:41.473</t>
  </si>
  <si>
    <t xml:space="preserve">OOIPOS10            </t>
  </si>
  <si>
    <t>2026-03-16 14:48:41.490</t>
  </si>
  <si>
    <t xml:space="preserve">OOLIAR20            </t>
  </si>
  <si>
    <t>2026-03-16 14:48:41.740</t>
  </si>
  <si>
    <t>2026-03-16 14:48:41.757</t>
  </si>
  <si>
    <t xml:space="preserve">OOLIAR10            </t>
  </si>
  <si>
    <t>2026-03-16 14:48:41.770</t>
  </si>
  <si>
    <t xml:space="preserve">OOLICH10            </t>
  </si>
  <si>
    <t>2026-03-16 14:48:42.007</t>
  </si>
  <si>
    <t>2026-03-16 14:48:42.100</t>
  </si>
  <si>
    <t xml:space="preserve">OOLINE75            </t>
  </si>
  <si>
    <t>2026-03-16 14:48:42.333</t>
  </si>
  <si>
    <t>2026-03-16 14:48:45.050</t>
  </si>
  <si>
    <t>2716</t>
  </si>
  <si>
    <t xml:space="preserve">OINACC20            </t>
  </si>
  <si>
    <t>2026-03-16 14:48:44.237</t>
  </si>
  <si>
    <t>2026-03-16 14:48:53.517</t>
  </si>
  <si>
    <t>9279</t>
  </si>
  <si>
    <t xml:space="preserve">OOLINE90            </t>
  </si>
  <si>
    <t>2026-03-16 14:48:45.067</t>
  </si>
  <si>
    <t>2026-03-16 14:48:48.610</t>
  </si>
  <si>
    <t>3544</t>
  </si>
  <si>
    <t xml:space="preserve">OOLINE21            </t>
  </si>
  <si>
    <t>2026-03-16 14:48:48.627</t>
  </si>
  <si>
    <t>2026-03-16 14:48:50.967</t>
  </si>
  <si>
    <t>2339</t>
  </si>
  <si>
    <t xml:space="preserve">OOLINE11            </t>
  </si>
  <si>
    <t>2026-03-16 14:48:50.980</t>
  </si>
  <si>
    <t>2026-03-16 14:48:53.890</t>
  </si>
  <si>
    <t>2909</t>
  </si>
  <si>
    <t xml:space="preserve">OINACC40            </t>
  </si>
  <si>
    <t>2026-03-16 14:48:53.530</t>
  </si>
  <si>
    <t>2026-03-16 14:49:01.283</t>
  </si>
  <si>
    <t>7751</t>
  </si>
  <si>
    <t xml:space="preserve">OOLINE71            </t>
  </si>
  <si>
    <t>2026-03-16 14:48:53.907</t>
  </si>
  <si>
    <t>2026-03-16 14:48:56.927</t>
  </si>
  <si>
    <t>3020</t>
  </si>
  <si>
    <t xml:space="preserve">OOLINE95            </t>
  </si>
  <si>
    <t>2026-03-16 14:48:56.943</t>
  </si>
  <si>
    <t>2026-03-16 14:48:58.550</t>
  </si>
  <si>
    <t>1608</t>
  </si>
  <si>
    <t xml:space="preserve">OOLINE96            </t>
  </si>
  <si>
    <t>2026-03-16 14:48:58.567</t>
  </si>
  <si>
    <t>2026-03-16 14:49:00.673</t>
  </si>
  <si>
    <t>2107</t>
  </si>
  <si>
    <t xml:space="preserve">OOLINE97            </t>
  </si>
  <si>
    <t>2026-03-16 14:49:00.687</t>
  </si>
  <si>
    <t>2026-03-16 14:49:02.017</t>
  </si>
  <si>
    <t>1329</t>
  </si>
  <si>
    <t xml:space="preserve">OOLIPI10            </t>
  </si>
  <si>
    <t>2026-03-16 14:49:01.533</t>
  </si>
  <si>
    <t xml:space="preserve">OOLIUD10            </t>
  </si>
  <si>
    <t>2026-03-16 14:49:01.783</t>
  </si>
  <si>
    <t xml:space="preserve">OOLINE30            </t>
  </si>
  <si>
    <t>2026-03-16 14:49:02.033</t>
  </si>
  <si>
    <t>2026-03-16 14:49:03.777</t>
  </si>
  <si>
    <t>1744</t>
  </si>
  <si>
    <t xml:space="preserve">OOOREF20            </t>
  </si>
  <si>
    <t>2026-03-16 14:49:02.047</t>
  </si>
  <si>
    <t xml:space="preserve">OOOREF10            </t>
  </si>
  <si>
    <t>2026-03-16 14:49:02.063</t>
  </si>
  <si>
    <t xml:space="preserve">OOPAYH10            </t>
  </si>
  <si>
    <t>2026-03-16 14:49:02.310</t>
  </si>
  <si>
    <t>2026-03-16 14:49:02.327</t>
  </si>
  <si>
    <t xml:space="preserve">OOPAYL10            </t>
  </si>
  <si>
    <t>2026-03-16 14:49:02.577</t>
  </si>
  <si>
    <t xml:space="preserve">OOPAYP10            </t>
  </si>
  <si>
    <t>2026-03-16 14:49:02.827</t>
  </si>
  <si>
    <t xml:space="preserve">OOPAYT10            </t>
  </si>
  <si>
    <t>2026-03-16 14:49:03.077</t>
  </si>
  <si>
    <t xml:space="preserve">OOPINH10            </t>
  </si>
  <si>
    <t>2026-03-16 14:49:03.327</t>
  </si>
  <si>
    <t xml:space="preserve">OOPINH40            </t>
  </si>
  <si>
    <t>2026-03-16 14:49:03.343</t>
  </si>
  <si>
    <t xml:space="preserve">OOPINH70            </t>
  </si>
  <si>
    <t>2026-03-16 14:49:03.357</t>
  </si>
  <si>
    <t xml:space="preserve">OOPINH30            </t>
  </si>
  <si>
    <t>2026-03-16 14:49:03.373</t>
  </si>
  <si>
    <t xml:space="preserve">OOPINH20            </t>
  </si>
  <si>
    <t>2026-03-16 14:49:03.390</t>
  </si>
  <si>
    <t xml:space="preserve">OOPINH50            </t>
  </si>
  <si>
    <t>2026-03-16 14:49:03.407</t>
  </si>
  <si>
    <t>2026-03-16 14:49:03.420</t>
  </si>
  <si>
    <t xml:space="preserve">OOPINH60            </t>
  </si>
  <si>
    <t>2026-03-16 14:49:03.437</t>
  </si>
  <si>
    <t>2026-03-16 14:49:03.453</t>
  </si>
  <si>
    <t xml:space="preserve">OOPINH80            </t>
  </si>
  <si>
    <t>2026-03-16 14:49:03.467</t>
  </si>
  <si>
    <t xml:space="preserve">OOPINV54            </t>
  </si>
  <si>
    <t>2026-03-16 14:49:03.713</t>
  </si>
  <si>
    <t>2026-03-16 14:49:03.747</t>
  </si>
  <si>
    <t xml:space="preserve">OOPINV41            </t>
  </si>
  <si>
    <t>2026-03-16 14:49:03.760</t>
  </si>
  <si>
    <t xml:space="preserve">OOPINV60            </t>
  </si>
  <si>
    <t xml:space="preserve">OOLINE70            </t>
  </si>
  <si>
    <t>2026-03-16 14:49:05.913</t>
  </si>
  <si>
    <t>2136</t>
  </si>
  <si>
    <t xml:space="preserve">OOPINV52            </t>
  </si>
  <si>
    <t>2026-03-16 14:49:03.793</t>
  </si>
  <si>
    <t xml:space="preserve">OOPINV50            </t>
  </si>
  <si>
    <t>2026-03-16 14:49:03.807</t>
  </si>
  <si>
    <t xml:space="preserve">OOPINV51            </t>
  </si>
  <si>
    <t>2026-03-16 14:49:03.823</t>
  </si>
  <si>
    <t xml:space="preserve">OOPINV30            </t>
  </si>
  <si>
    <t>2026-03-16 14:49:03.837</t>
  </si>
  <si>
    <t xml:space="preserve">OOPINV40            </t>
  </si>
  <si>
    <t xml:space="preserve">OOPINV42            </t>
  </si>
  <si>
    <t>2026-03-16 14:49:03.853</t>
  </si>
  <si>
    <t xml:space="preserve">OOPINV43            </t>
  </si>
  <si>
    <t>2026-03-16 14:49:03.870</t>
  </si>
  <si>
    <t xml:space="preserve">OOPINV53            </t>
  </si>
  <si>
    <t>2026-03-16 14:49:03.887</t>
  </si>
  <si>
    <t xml:space="preserve">OOPINV10            </t>
  </si>
  <si>
    <t>2026-03-16 14:49:03.900</t>
  </si>
  <si>
    <t xml:space="preserve">OOPINV20            </t>
  </si>
  <si>
    <t>2026-03-16 14:49:03.917</t>
  </si>
  <si>
    <t xml:space="preserve">OOPRED10            </t>
  </si>
  <si>
    <t>2026-03-16 14:49:04.167</t>
  </si>
  <si>
    <t xml:space="preserve">OOPRED20            </t>
  </si>
  <si>
    <t>2026-03-16 14:49:04.183</t>
  </si>
  <si>
    <t xml:space="preserve">OOQUOH61            </t>
  </si>
  <si>
    <t>2026-03-16 14:49:04.433</t>
  </si>
  <si>
    <t xml:space="preserve">OOQUOH60            </t>
  </si>
  <si>
    <t>2026-03-16 14:49:04.447</t>
  </si>
  <si>
    <t xml:space="preserve">OOQUOH51            </t>
  </si>
  <si>
    <t>2026-03-16 14:49:04.463</t>
  </si>
  <si>
    <t xml:space="preserve">OOQUOH41            </t>
  </si>
  <si>
    <t>2026-03-16 14:49:04.480</t>
  </si>
  <si>
    <t xml:space="preserve">OOQUOH31            </t>
  </si>
  <si>
    <t>2026-03-16 14:49:04.497</t>
  </si>
  <si>
    <t xml:space="preserve">OOQUOH40            </t>
  </si>
  <si>
    <t>2026-03-16 14:49:04.510</t>
  </si>
  <si>
    <t xml:space="preserve">OOQUOH30            </t>
  </si>
  <si>
    <t>2026-03-16 14:49:04.527</t>
  </si>
  <si>
    <t xml:space="preserve">OOQUOH50            </t>
  </si>
  <si>
    <t>2026-03-16 14:49:04.543</t>
  </si>
  <si>
    <t xml:space="preserve">OOQUOH21            </t>
  </si>
  <si>
    <t>2026-03-16 14:49:04.557</t>
  </si>
  <si>
    <t xml:space="preserve">OOQUOH01            </t>
  </si>
  <si>
    <t>2026-03-16 14:49:04.573</t>
  </si>
  <si>
    <t xml:space="preserve">OOQUOH11            </t>
  </si>
  <si>
    <t>2026-03-16 14:49:04.587</t>
  </si>
  <si>
    <t xml:space="preserve">OOQUOH20            </t>
  </si>
  <si>
    <t>2026-03-16 14:49:04.603</t>
  </si>
  <si>
    <t xml:space="preserve">OOQUOH10            </t>
  </si>
  <si>
    <t>2026-03-16 14:49:04.620</t>
  </si>
  <si>
    <t xml:space="preserve">OORESC10            </t>
  </si>
  <si>
    <t>2026-03-16 14:49:04.870</t>
  </si>
  <si>
    <t xml:space="preserve">OOS27100            </t>
  </si>
  <si>
    <t>2026-03-16 14:49:05.120</t>
  </si>
  <si>
    <t>2026-03-16 14:49:05.150</t>
  </si>
  <si>
    <t xml:space="preserve">OOS42500            </t>
  </si>
  <si>
    <t>2026-03-16 14:49:05.400</t>
  </si>
  <si>
    <t xml:space="preserve">OOS44110            </t>
  </si>
  <si>
    <t>2026-03-16 14:49:05.650</t>
  </si>
  <si>
    <t xml:space="preserve">OOS65400            </t>
  </si>
  <si>
    <t>2026-03-16 14:49:05.897</t>
  </si>
  <si>
    <t xml:space="preserve">OOLINE94            </t>
  </si>
  <si>
    <t>2026-03-16 14:49:05.927</t>
  </si>
  <si>
    <t>2026-03-16 14:49:07.870</t>
  </si>
  <si>
    <t>1943</t>
  </si>
  <si>
    <t xml:space="preserve">OOS90001            </t>
  </si>
  <si>
    <t>2026-03-16 14:49:06.147</t>
  </si>
  <si>
    <t xml:space="preserve">OOS90000            </t>
  </si>
  <si>
    <t>2026-03-16 14:49:06.163</t>
  </si>
  <si>
    <t xml:space="preserve">OOS90090            </t>
  </si>
  <si>
    <t>2026-03-16 14:49:06.177</t>
  </si>
  <si>
    <t xml:space="preserve">OOS93100            </t>
  </si>
  <si>
    <t>2026-03-16 14:49:06.447</t>
  </si>
  <si>
    <t>2026-03-16 14:49:06.463</t>
  </si>
  <si>
    <t xml:space="preserve">OOS98010            </t>
  </si>
  <si>
    <t>2026-03-16 14:49:06.713</t>
  </si>
  <si>
    <t>2026-03-16 14:49:06.747</t>
  </si>
  <si>
    <t xml:space="preserve">OOS98090            </t>
  </si>
  <si>
    <t>2026-03-16 14:49:06.760</t>
  </si>
  <si>
    <t xml:space="preserve">OOTYCH10            </t>
  </si>
  <si>
    <t>2026-03-16 14:49:07.010</t>
  </si>
  <si>
    <t xml:space="preserve">OOTYDO10            </t>
  </si>
  <si>
    <t>2026-03-16 14:49:07.260</t>
  </si>
  <si>
    <t>2026-03-16 14:49:07.277</t>
  </si>
  <si>
    <t xml:space="preserve">OOTYPE20            </t>
  </si>
  <si>
    <t>2026-03-16 14:49:07.527</t>
  </si>
  <si>
    <t>2026-03-16 14:49:07.557</t>
  </si>
  <si>
    <t xml:space="preserve">OOTYPG10            </t>
  </si>
  <si>
    <t>2026-03-16 14:49:07.807</t>
  </si>
  <si>
    <t>2026-03-16 14:49:07.840</t>
  </si>
  <si>
    <t xml:space="preserve">OOLINE80            </t>
  </si>
  <si>
    <t>2026-03-16 14:49:07.887</t>
  </si>
  <si>
    <t>2026-03-16 14:49:09.470</t>
  </si>
  <si>
    <t>1583</t>
  </si>
  <si>
    <t xml:space="preserve">OPACLH10            </t>
  </si>
  <si>
    <t>2026-03-16 14:49:08.090</t>
  </si>
  <si>
    <t xml:space="preserve">OPACLL10            </t>
  </si>
  <si>
    <t>2026-03-16 14:49:08.340</t>
  </si>
  <si>
    <t xml:space="preserve">OPAYMD20            </t>
  </si>
  <si>
    <t>2026-03-16 14:49:08.590</t>
  </si>
  <si>
    <t xml:space="preserve">OPAYMD30            </t>
  </si>
  <si>
    <t>2026-03-16 14:49:08.603</t>
  </si>
  <si>
    <t xml:space="preserve">OPAYMD10            </t>
  </si>
  <si>
    <t>2026-03-16 14:49:08.620</t>
  </si>
  <si>
    <t xml:space="preserve">OPAYMH30            </t>
  </si>
  <si>
    <t>2026-03-16 14:49:08.873</t>
  </si>
  <si>
    <t xml:space="preserve">OPAYMH80            </t>
  </si>
  <si>
    <t>2026-03-16 14:49:08.890</t>
  </si>
  <si>
    <t xml:space="preserve">OPAYMH92            </t>
  </si>
  <si>
    <t>2026-03-16 14:49:08.907</t>
  </si>
  <si>
    <t xml:space="preserve">OPAYMH93            </t>
  </si>
  <si>
    <t>2026-03-16 14:49:08.920</t>
  </si>
  <si>
    <t xml:space="preserve">OPAYMH10            </t>
  </si>
  <si>
    <t>2026-03-16 14:49:08.937</t>
  </si>
  <si>
    <t xml:space="preserve">OPAYMH20            </t>
  </si>
  <si>
    <t>2026-03-16 14:49:08.950</t>
  </si>
  <si>
    <t xml:space="preserve">OPAYMH40            </t>
  </si>
  <si>
    <t>2026-03-16 14:49:08.967</t>
  </si>
  <si>
    <t xml:space="preserve">OPAYMH50            </t>
  </si>
  <si>
    <t>2026-03-16 14:49:08.983</t>
  </si>
  <si>
    <t xml:space="preserve">OPAYMH97            </t>
  </si>
  <si>
    <t>2026-03-16 14:49:08.997</t>
  </si>
  <si>
    <t xml:space="preserve">OPAYMH98            </t>
  </si>
  <si>
    <t>2026-03-16 14:49:09.013</t>
  </si>
  <si>
    <t xml:space="preserve">OPAYMH96            </t>
  </si>
  <si>
    <t>2026-03-16 14:49:09.030</t>
  </si>
  <si>
    <t xml:space="preserve">OPAYMH94            </t>
  </si>
  <si>
    <t>2026-03-16 14:49:09.047</t>
  </si>
  <si>
    <t xml:space="preserve">OPAYMH95            </t>
  </si>
  <si>
    <t>2026-03-16 14:49:09.060</t>
  </si>
  <si>
    <t xml:space="preserve">OPAYMH25            </t>
  </si>
  <si>
    <t>2026-03-16 14:49:09.077</t>
  </si>
  <si>
    <t xml:space="preserve">OPAYMH70            </t>
  </si>
  <si>
    <t>2026-03-16 14:49:09.093</t>
  </si>
  <si>
    <t xml:space="preserve">OPAYMH60            </t>
  </si>
  <si>
    <t>2026-03-16 14:49:09.107</t>
  </si>
  <si>
    <t xml:space="preserve">OPAYMH90            </t>
  </si>
  <si>
    <t>2026-03-16 14:49:09.123</t>
  </si>
  <si>
    <t xml:space="preserve">OPAYML10            </t>
  </si>
  <si>
    <t>2026-03-16 14:49:09.373</t>
  </si>
  <si>
    <t xml:space="preserve">OOLINE85            </t>
  </si>
  <si>
    <t>2026-03-16 14:49:09.487</t>
  </si>
  <si>
    <t>2026-03-16 14:49:10.793</t>
  </si>
  <si>
    <t>1309</t>
  </si>
  <si>
    <t xml:space="preserve">OPAYMR10            </t>
  </si>
  <si>
    <t>2026-03-16 14:49:09.627</t>
  </si>
  <si>
    <t xml:space="preserve">OPAYMT40            </t>
  </si>
  <si>
    <t>2026-03-16 14:49:09.877</t>
  </si>
  <si>
    <t xml:space="preserve">OPAYMT50            </t>
  </si>
  <si>
    <t>2026-03-16 14:49:09.893</t>
  </si>
  <si>
    <t xml:space="preserve">OPAYMT10            </t>
  </si>
  <si>
    <t>2026-03-16 14:49:09.910</t>
  </si>
  <si>
    <t xml:space="preserve">OPAYMT20            </t>
  </si>
  <si>
    <t>2026-03-16 14:49:09.927</t>
  </si>
  <si>
    <t xml:space="preserve">OPAYMT30            </t>
  </si>
  <si>
    <t>2026-03-16 14:49:09.940</t>
  </si>
  <si>
    <t xml:space="preserve">OPCARD10            </t>
  </si>
  <si>
    <t>2026-03-16 14:49:10.183</t>
  </si>
  <si>
    <t xml:space="preserve">OPEXTI10            </t>
  </si>
  <si>
    <t>2026-03-16 14:49:10.433</t>
  </si>
  <si>
    <t>2026-03-16 14:49:10.450</t>
  </si>
  <si>
    <t xml:space="preserve">OPEXTI20            </t>
  </si>
  <si>
    <t>2026-03-16 14:49:10.467</t>
  </si>
  <si>
    <t xml:space="preserve">OPINVH10            </t>
  </si>
  <si>
    <t>2026-03-16 14:49:10.717</t>
  </si>
  <si>
    <t xml:space="preserve">OOLINE40            </t>
  </si>
  <si>
    <t>2026-03-16 14:49:10.810</t>
  </si>
  <si>
    <t>2026-03-16 14:49:11.997</t>
  </si>
  <si>
    <t>1186</t>
  </si>
  <si>
    <t xml:space="preserve">OPINVL20            </t>
  </si>
  <si>
    <t>2026-03-16 14:49:10.963</t>
  </si>
  <si>
    <t xml:space="preserve">OPINVL10            </t>
  </si>
  <si>
    <t>2026-03-16 14:49:10.980</t>
  </si>
  <si>
    <t>2026-03-16 14:49:10.997</t>
  </si>
  <si>
    <t xml:space="preserve">OPLABL10            </t>
  </si>
  <si>
    <t>2026-03-16 14:49:11.260</t>
  </si>
  <si>
    <t xml:space="preserve">OPLAMA10            </t>
  </si>
  <si>
    <t>2026-03-16 14:49:11.510</t>
  </si>
  <si>
    <t xml:space="preserve">OPLAMA20            </t>
  </si>
  <si>
    <t>2026-03-16 14:49:11.527</t>
  </si>
  <si>
    <t xml:space="preserve">OPLAMA30            </t>
  </si>
  <si>
    <t>2026-03-16 14:49:11.543</t>
  </si>
  <si>
    <t xml:space="preserve">OPLAMA40            </t>
  </si>
  <si>
    <t>2026-03-16 14:49:11.557</t>
  </si>
  <si>
    <t xml:space="preserve">OPLAMA50            </t>
  </si>
  <si>
    <t>2026-03-16 14:49:11.573</t>
  </si>
  <si>
    <t xml:space="preserve">OPOTAB10            </t>
  </si>
  <si>
    <t>2026-03-16 14:49:11.823</t>
  </si>
  <si>
    <t xml:space="preserve">OOLINE31            </t>
  </si>
  <si>
    <t>2026-03-16 14:49:12.010</t>
  </si>
  <si>
    <t>2026-03-16 14:49:13.277</t>
  </si>
  <si>
    <t>1266</t>
  </si>
  <si>
    <t xml:space="preserve">OPRBAS30            </t>
  </si>
  <si>
    <t>2026-03-16 14:49:12.073</t>
  </si>
  <si>
    <t xml:space="preserve">OPRBAS20            </t>
  </si>
  <si>
    <t>2026-03-16 14:49:12.087</t>
  </si>
  <si>
    <t xml:space="preserve">OPRCEL30            </t>
  </si>
  <si>
    <t>2026-03-16 14:49:12.337</t>
  </si>
  <si>
    <t xml:space="preserve">OPRCEL10            </t>
  </si>
  <si>
    <t>2026-03-16 14:49:12.353</t>
  </si>
  <si>
    <t xml:space="preserve">OPRCEL20            </t>
  </si>
  <si>
    <t>2026-03-16 14:49:12.370</t>
  </si>
  <si>
    <t xml:space="preserve">OPRCLI10            </t>
  </si>
  <si>
    <t>2026-03-16 14:49:12.620</t>
  </si>
  <si>
    <t xml:space="preserve">OPRCLI30            </t>
  </si>
  <si>
    <t>2026-03-16 14:49:12.637</t>
  </si>
  <si>
    <t xml:space="preserve">OPRCLI20            </t>
  </si>
  <si>
    <t>2026-03-16 14:49:12.650</t>
  </si>
  <si>
    <t xml:space="preserve">OPRCLN10            </t>
  </si>
  <si>
    <t>2026-03-16 14:49:12.900</t>
  </si>
  <si>
    <t xml:space="preserve">OPRCMO10            </t>
  </si>
  <si>
    <t>2026-03-16 14:49:13.150</t>
  </si>
  <si>
    <t xml:space="preserve">OOLINE60            </t>
  </si>
  <si>
    <t>2026-03-16 14:49:13.293</t>
  </si>
  <si>
    <t>2026-03-16 14:49:14.790</t>
  </si>
  <si>
    <t>1497</t>
  </si>
  <si>
    <t xml:space="preserve">OPRELE10            </t>
  </si>
  <si>
    <t>2026-03-16 14:49:13.400</t>
  </si>
  <si>
    <t>2026-03-16 14:49:13.430</t>
  </si>
  <si>
    <t xml:space="preserve">OPRICH30            </t>
  </si>
  <si>
    <t>2026-03-16 14:49:13.680</t>
  </si>
  <si>
    <t>2026-03-16 14:49:13.697</t>
  </si>
  <si>
    <t xml:space="preserve">OPRICH40            </t>
  </si>
  <si>
    <t>2026-03-16 14:49:13.713</t>
  </si>
  <si>
    <t xml:space="preserve">OPRICH50            </t>
  </si>
  <si>
    <t>2026-03-16 14:49:13.727</t>
  </si>
  <si>
    <t xml:space="preserve">OPRICH10            </t>
  </si>
  <si>
    <t>2026-03-16 14:49:13.743</t>
  </si>
  <si>
    <t xml:space="preserve">OPRICH20            </t>
  </si>
  <si>
    <t xml:space="preserve">OPRICL40            </t>
  </si>
  <si>
    <t>2026-03-16 14:49:14.007</t>
  </si>
  <si>
    <t>2026-03-16 14:49:14.023</t>
  </si>
  <si>
    <t xml:space="preserve">OPRICL11            </t>
  </si>
  <si>
    <t>2026-03-16 14:49:14.040</t>
  </si>
  <si>
    <t xml:space="preserve">OPRICL30            </t>
  </si>
  <si>
    <t>2026-03-16 14:49:14.053</t>
  </si>
  <si>
    <t xml:space="preserve">OPRICL50            </t>
  </si>
  <si>
    <t>2026-03-16 14:49:14.070</t>
  </si>
  <si>
    <t xml:space="preserve">OPRICL60            </t>
  </si>
  <si>
    <t>2026-03-16 14:49:14.087</t>
  </si>
  <si>
    <t xml:space="preserve">OPRICL20            </t>
  </si>
  <si>
    <t>2026-03-16 14:49:14.100</t>
  </si>
  <si>
    <t xml:space="preserve">OPRLRP10            </t>
  </si>
  <si>
    <t>2026-03-16 14:49:14.367</t>
  </si>
  <si>
    <t>2026-03-16 14:49:14.383</t>
  </si>
  <si>
    <t xml:space="preserve">OPRMTX90            </t>
  </si>
  <si>
    <t>2026-03-16 14:49:14.633</t>
  </si>
  <si>
    <t xml:space="preserve">OOLINE50            </t>
  </si>
  <si>
    <t>2026-03-16 14:49:14.803</t>
  </si>
  <si>
    <t>2026-03-16 14:49:16.337</t>
  </si>
  <si>
    <t xml:space="preserve">OPROMC10            </t>
  </si>
  <si>
    <t>2026-03-16 14:49:14.883</t>
  </si>
  <si>
    <t xml:space="preserve">OPROMH30            </t>
  </si>
  <si>
    <t>2026-03-16 14:49:15.133</t>
  </si>
  <si>
    <t>2026-03-16 14:49:15.147</t>
  </si>
  <si>
    <t xml:space="preserve">OPROMH40            </t>
  </si>
  <si>
    <t>2026-03-16 14:49:15.163</t>
  </si>
  <si>
    <t>2026-03-16 14:49:15.197</t>
  </si>
  <si>
    <t xml:space="preserve">OPROMH20            </t>
  </si>
  <si>
    <t>2026-03-16 14:49:15.210</t>
  </si>
  <si>
    <t xml:space="preserve">OPROMH50            </t>
  </si>
  <si>
    <t>2026-03-16 14:49:15.227</t>
  </si>
  <si>
    <t xml:space="preserve">OPROMH10            </t>
  </si>
  <si>
    <t>2026-03-16 14:49:15.243</t>
  </si>
  <si>
    <t xml:space="preserve">OPROMS10            </t>
  </si>
  <si>
    <t>2026-03-16 14:49:15.493</t>
  </si>
  <si>
    <t xml:space="preserve">OPROMT10            </t>
  </si>
  <si>
    <t>2026-03-16 14:49:15.740</t>
  </si>
  <si>
    <t xml:space="preserve">OPROMW20            </t>
  </si>
  <si>
    <t>2026-03-16 14:49:15.990</t>
  </si>
  <si>
    <t xml:space="preserve">OPRPLN10            </t>
  </si>
  <si>
    <t>2026-03-16 14:49:16.240</t>
  </si>
  <si>
    <t xml:space="preserve">OOLINE54            </t>
  </si>
  <si>
    <t>2026-03-16 14:49:16.350</t>
  </si>
  <si>
    <t>2026-03-16 14:49:17.753</t>
  </si>
  <si>
    <t>1402</t>
  </si>
  <si>
    <t xml:space="preserve">OPRREC20            </t>
  </si>
  <si>
    <t>2026-03-16 14:49:16.490</t>
  </si>
  <si>
    <t xml:space="preserve">OPRREC30            </t>
  </si>
  <si>
    <t>2026-03-16 14:49:16.507</t>
  </si>
  <si>
    <t xml:space="preserve">OPRREC10            </t>
  </si>
  <si>
    <t>2026-03-16 14:49:16.523</t>
  </si>
  <si>
    <t xml:space="preserve">OPRSTM10            </t>
  </si>
  <si>
    <t>2026-03-16 14:49:16.773</t>
  </si>
  <si>
    <t xml:space="preserve">OPSALE10            </t>
  </si>
  <si>
    <t>2026-03-16 14:49:17.023</t>
  </si>
  <si>
    <t xml:space="preserve">OPSALE20            </t>
  </si>
  <si>
    <t>2026-03-16 14:49:17.037</t>
  </si>
  <si>
    <t xml:space="preserve">OPSALE21            </t>
  </si>
  <si>
    <t>2026-03-16 14:49:17.053</t>
  </si>
  <si>
    <t xml:space="preserve">OPSALE22            </t>
  </si>
  <si>
    <t>2026-03-16 14:49:17.070</t>
  </si>
  <si>
    <t xml:space="preserve">OPSALE62            </t>
  </si>
  <si>
    <t>2026-03-16 14:49:17.083</t>
  </si>
  <si>
    <t xml:space="preserve">OPSALE70            </t>
  </si>
  <si>
    <t>2026-03-16 14:49:17.100</t>
  </si>
  <si>
    <t xml:space="preserve">OPSALE64            </t>
  </si>
  <si>
    <t>2026-03-16 14:49:17.117</t>
  </si>
  <si>
    <t xml:space="preserve">OPSALE61            </t>
  </si>
  <si>
    <t>2026-03-16 14:49:17.130</t>
  </si>
  <si>
    <t xml:space="preserve">OPSALE90            </t>
  </si>
  <si>
    <t>2026-03-16 14:49:17.147</t>
  </si>
  <si>
    <t xml:space="preserve">OPSALE25            </t>
  </si>
  <si>
    <t>2026-03-16 14:49:17.163</t>
  </si>
  <si>
    <t xml:space="preserve">OPSALE31            </t>
  </si>
  <si>
    <t>2026-03-16 14:49:17.177</t>
  </si>
  <si>
    <t xml:space="preserve">OPSALE65            </t>
  </si>
  <si>
    <t>2026-03-16 14:49:17.193</t>
  </si>
  <si>
    <t xml:space="preserve">OPSALE30            </t>
  </si>
  <si>
    <t>2026-03-16 14:49:17.210</t>
  </si>
  <si>
    <t xml:space="preserve">OPSALE40            </t>
  </si>
  <si>
    <t>2026-03-16 14:49:17.227</t>
  </si>
  <si>
    <t xml:space="preserve">OPSALE50            </t>
  </si>
  <si>
    <t>2026-03-16 14:49:17.240</t>
  </si>
  <si>
    <t>2026-03-16 14:49:17.257</t>
  </si>
  <si>
    <t xml:space="preserve">OPSALE60            </t>
  </si>
  <si>
    <t>2026-03-16 14:49:17.273</t>
  </si>
  <si>
    <t xml:space="preserve">OPSALE63            </t>
  </si>
  <si>
    <t>2026-03-16 14:49:17.287</t>
  </si>
  <si>
    <t xml:space="preserve">OPSDMO10            </t>
  </si>
  <si>
    <t>2026-03-16 14:49:17.533</t>
  </si>
  <si>
    <t>2026-03-16 14:49:17.547</t>
  </si>
  <si>
    <t xml:space="preserve">OPSFAC10            </t>
  </si>
  <si>
    <t>2026-03-16 14:49:17.797</t>
  </si>
  <si>
    <t xml:space="preserve">OPSITY10            </t>
  </si>
  <si>
    <t>2026-03-16 14:49:17.987</t>
  </si>
  <si>
    <t>2026-03-16 14:49:18.017</t>
  </si>
  <si>
    <t xml:space="preserve">OPSPTY10            </t>
  </si>
  <si>
    <t>2026-03-16 14:49:18.047</t>
  </si>
  <si>
    <t xml:space="preserve">OPSTAT01            </t>
  </si>
  <si>
    <t>2026-03-16 14:49:18.253</t>
  </si>
  <si>
    <t xml:space="preserve">OPSTAT10            </t>
  </si>
  <si>
    <t>2026-03-16 14:49:18.267</t>
  </si>
  <si>
    <t xml:space="preserve">OPSTED10            </t>
  </si>
  <si>
    <t>2026-03-16 14:49:18.297</t>
  </si>
  <si>
    <t xml:space="preserve">OPTMFI20            </t>
  </si>
  <si>
    <t>2026-03-16 14:49:18.517</t>
  </si>
  <si>
    <t>2026-03-16 14:49:18.547</t>
  </si>
  <si>
    <t xml:space="preserve">OPTMFI10            </t>
  </si>
  <si>
    <t>2026-03-16 14:49:18.563</t>
  </si>
  <si>
    <t xml:space="preserve">OPVCHD10            </t>
  </si>
  <si>
    <t xml:space="preserve">OPVCLN10            </t>
  </si>
  <si>
    <t>2026-03-16 14:49:18.797</t>
  </si>
  <si>
    <t xml:space="preserve">OPWFIN10            </t>
  </si>
  <si>
    <t>2026-03-16 14:49:18.813</t>
  </si>
  <si>
    <t xml:space="preserve">OPWFIN20            </t>
  </si>
  <si>
    <t>2026-03-16 14:49:18.830</t>
  </si>
  <si>
    <t xml:space="preserve">ORADNR00            </t>
  </si>
  <si>
    <t>2026-03-16 14:49:19.033</t>
  </si>
  <si>
    <t>2026-03-16 14:49:19.063</t>
  </si>
  <si>
    <t xml:space="preserve">ORAHED10            </t>
  </si>
  <si>
    <t>2026-03-16 14:49:19.080</t>
  </si>
  <si>
    <t xml:space="preserve">ORDELD20            </t>
  </si>
  <si>
    <t>2026-03-16 14:49:19.297</t>
  </si>
  <si>
    <t>2026-03-16 14:49:19.330</t>
  </si>
  <si>
    <t xml:space="preserve">ORDELD10            </t>
  </si>
  <si>
    <t>2026-03-16 14:49:19.347</t>
  </si>
  <si>
    <t xml:space="preserve">ORHEAD10            </t>
  </si>
  <si>
    <t xml:space="preserve">ORHEAD20            </t>
  </si>
  <si>
    <t>2026-03-16 14:49:19.360</t>
  </si>
  <si>
    <t xml:space="preserve">ORHEAD30            </t>
  </si>
  <si>
    <t>2026-03-16 14:49:19.377</t>
  </si>
  <si>
    <t xml:space="preserve">ORHIST50            </t>
  </si>
  <si>
    <t>2026-03-16 14:49:19.580</t>
  </si>
  <si>
    <t>2026-03-16 14:49:19.597</t>
  </si>
  <si>
    <t xml:space="preserve">ORHIST10            </t>
  </si>
  <si>
    <t>2026-03-16 14:49:19.610</t>
  </si>
  <si>
    <t xml:space="preserve">ORHIST20            </t>
  </si>
  <si>
    <t>2026-03-16 14:49:19.627</t>
  </si>
  <si>
    <t>2026-03-16 14:49:19.643</t>
  </si>
  <si>
    <t xml:space="preserve">ORINSP20            </t>
  </si>
  <si>
    <t xml:space="preserve">ORINSP10            </t>
  </si>
  <si>
    <t xml:space="preserve">ORHIST30            </t>
  </si>
  <si>
    <t>2026-03-16 14:49:19.657</t>
  </si>
  <si>
    <t>2026-03-16 14:49:19.690</t>
  </si>
  <si>
    <t xml:space="preserve">ORINSP30            </t>
  </si>
  <si>
    <t xml:space="preserve">ORHIST40            </t>
  </si>
  <si>
    <t>2026-03-16 14:49:19.707</t>
  </si>
  <si>
    <t xml:space="preserve">ORJDCD00            </t>
  </si>
  <si>
    <t>2026-03-16 14:49:19.913</t>
  </si>
  <si>
    <t>2026-03-16 14:49:19.930</t>
  </si>
  <si>
    <t xml:space="preserve">ORLINE10            </t>
  </si>
  <si>
    <t>2026-03-16 14:49:19.947</t>
  </si>
  <si>
    <t xml:space="preserve">ORLINE80            </t>
  </si>
  <si>
    <t>2026-03-16 14:49:19.960</t>
  </si>
  <si>
    <t xml:space="preserve">ORSADR10            </t>
  </si>
  <si>
    <t>2026-03-16 14:49:20.170</t>
  </si>
  <si>
    <t>2026-03-16 14:49:20.187</t>
  </si>
  <si>
    <t xml:space="preserve">ORSCCO00            </t>
  </si>
  <si>
    <t xml:space="preserve">ORSCCQ10            </t>
  </si>
  <si>
    <t>2026-03-16 14:49:20.420</t>
  </si>
  <si>
    <t xml:space="preserve">ORSCIA10            </t>
  </si>
  <si>
    <t>2026-03-16 14:49:20.437</t>
  </si>
  <si>
    <t xml:space="preserve">ORSCIA20            </t>
  </si>
  <si>
    <t>2026-03-16 14:49:20.450</t>
  </si>
  <si>
    <t xml:space="preserve">ORSCRA10            </t>
  </si>
  <si>
    <t>2026-03-16 14:49:20.670</t>
  </si>
  <si>
    <t xml:space="preserve">ORSDNR10            </t>
  </si>
  <si>
    <t>2026-03-16 14:49:20.700</t>
  </si>
  <si>
    <t xml:space="preserve">ORSDNR00            </t>
  </si>
  <si>
    <t>2026-03-16 14:49:20.717</t>
  </si>
  <si>
    <t xml:space="preserve">ORSDOC00            </t>
  </si>
  <si>
    <t>2026-03-16 14:49:20.903</t>
  </si>
  <si>
    <t xml:space="preserve">ORSDOC10            </t>
  </si>
  <si>
    <t>2026-03-16 14:49:20.920</t>
  </si>
  <si>
    <t xml:space="preserve">ORSDPA10            </t>
  </si>
  <si>
    <t>2026-03-16 14:49:20.967</t>
  </si>
  <si>
    <t xml:space="preserve">ORSHED80            </t>
  </si>
  <si>
    <t>2026-03-16 14:49:21.153</t>
  </si>
  <si>
    <t xml:space="preserve">ORSHED10            </t>
  </si>
  <si>
    <t>2026-03-16 14:49:21.170</t>
  </si>
  <si>
    <t xml:space="preserve">ORSHED40            </t>
  </si>
  <si>
    <t>2026-03-16 14:49:21.187</t>
  </si>
  <si>
    <t xml:space="preserve">ORSHED30            </t>
  </si>
  <si>
    <t>2026-03-16 14:49:21.200</t>
  </si>
  <si>
    <t xml:space="preserve">ORSHED20            </t>
  </si>
  <si>
    <t>2026-03-16 14:49:21.217</t>
  </si>
  <si>
    <t xml:space="preserve">ORSINS60            </t>
  </si>
  <si>
    <t xml:space="preserve">ORSHED50            </t>
  </si>
  <si>
    <t>2026-03-16 14:49:21.233</t>
  </si>
  <si>
    <t xml:space="preserve">ORSINS53            </t>
  </si>
  <si>
    <t xml:space="preserve">ORSHED60            </t>
  </si>
  <si>
    <t>2026-03-16 14:49:21.247</t>
  </si>
  <si>
    <t xml:space="preserve">ORSINS20            </t>
  </si>
  <si>
    <t xml:space="preserve">ORSHED70            </t>
  </si>
  <si>
    <t>2026-03-16 14:49:21.263</t>
  </si>
  <si>
    <t xml:space="preserve">ORSINS40            </t>
  </si>
  <si>
    <t xml:space="preserve">ORSHED90            </t>
  </si>
  <si>
    <t>2026-03-16 14:49:21.280</t>
  </si>
  <si>
    <t xml:space="preserve">ORSINS50            </t>
  </si>
  <si>
    <t xml:space="preserve">ORSHED01            </t>
  </si>
  <si>
    <t>2026-03-16 14:49:21.297</t>
  </si>
  <si>
    <t xml:space="preserve">ORSINS10            </t>
  </si>
  <si>
    <t xml:space="preserve">ORSINS30            </t>
  </si>
  <si>
    <t>2026-03-16 14:49:21.310</t>
  </si>
  <si>
    <t xml:space="preserve">ORSINS90            </t>
  </si>
  <si>
    <t>2026-03-16 14:49:21.327</t>
  </si>
  <si>
    <t xml:space="preserve">ORSITM54            </t>
  </si>
  <si>
    <t>2026-03-16 14:49:21.530</t>
  </si>
  <si>
    <t xml:space="preserve">ORSITM20            </t>
  </si>
  <si>
    <t>2026-03-16 14:49:21.547</t>
  </si>
  <si>
    <t xml:space="preserve">ORSITM55            </t>
  </si>
  <si>
    <t>2026-03-16 14:49:21.560</t>
  </si>
  <si>
    <t xml:space="preserve">ORSITM53            </t>
  </si>
  <si>
    <t>2026-03-16 14:49:21.577</t>
  </si>
  <si>
    <t xml:space="preserve">ORSNET20            </t>
  </si>
  <si>
    <t xml:space="preserve">ORSITM11            </t>
  </si>
  <si>
    <t>2026-03-16 14:49:21.593</t>
  </si>
  <si>
    <t xml:space="preserve">ORSNET30            </t>
  </si>
  <si>
    <t xml:space="preserve">ORSITM10            </t>
  </si>
  <si>
    <t>2026-03-16 14:49:21.607</t>
  </si>
  <si>
    <t xml:space="preserve">ORSNET10            </t>
  </si>
  <si>
    <t xml:space="preserve">ORSITM02            </t>
  </si>
  <si>
    <t>2026-03-16 14:49:21.623</t>
  </si>
  <si>
    <t xml:space="preserve">ORSNET60            </t>
  </si>
  <si>
    <t xml:space="preserve">ORSITM01            </t>
  </si>
  <si>
    <t>2026-03-16 14:49:21.640</t>
  </si>
  <si>
    <t xml:space="preserve">ORSNET40            </t>
  </si>
  <si>
    <t xml:space="preserve">ORSITM70            </t>
  </si>
  <si>
    <t>2026-03-16 14:49:21.653</t>
  </si>
  <si>
    <t xml:space="preserve">ORSITM71            </t>
  </si>
  <si>
    <t>2026-03-16 14:49:21.670</t>
  </si>
  <si>
    <t xml:space="preserve">ORSITM90            </t>
  </si>
  <si>
    <t>2026-03-16 14:49:21.687</t>
  </si>
  <si>
    <t xml:space="preserve">ORSNTN70            </t>
  </si>
  <si>
    <t>2026-03-16 14:49:21.890</t>
  </si>
  <si>
    <t xml:space="preserve">ORSNTN10            </t>
  </si>
  <si>
    <t>2026-03-16 14:49:21.903</t>
  </si>
  <si>
    <t xml:space="preserve">ORSNTN20            </t>
  </si>
  <si>
    <t>2026-03-16 14:49:21.920</t>
  </si>
  <si>
    <t xml:space="preserve">ORSORD10            </t>
  </si>
  <si>
    <t xml:space="preserve">ORSNTN30            </t>
  </si>
  <si>
    <t>2026-03-16 14:49:21.937</t>
  </si>
  <si>
    <t xml:space="preserve">ORSNTN40            </t>
  </si>
  <si>
    <t>2026-03-16 14:49:21.950</t>
  </si>
  <si>
    <t xml:space="preserve">ORSNTN60            </t>
  </si>
  <si>
    <t>2026-03-16 14:49:21.967</t>
  </si>
  <si>
    <t xml:space="preserve">ORSPAC30            </t>
  </si>
  <si>
    <t>2026-03-16 14:49:22.153</t>
  </si>
  <si>
    <t xml:space="preserve">ORSPAC10            </t>
  </si>
  <si>
    <t>2026-03-16 14:49:22.170</t>
  </si>
  <si>
    <t xml:space="preserve">ORSPAC20            </t>
  </si>
  <si>
    <t>2026-03-16 14:49:22.187</t>
  </si>
  <si>
    <t xml:space="preserve">ORSPCO60            </t>
  </si>
  <si>
    <t>2026-03-16 14:49:22.217</t>
  </si>
  <si>
    <t xml:space="preserve">ORSPCO80            </t>
  </si>
  <si>
    <t>2026-03-16 14:49:22.233</t>
  </si>
  <si>
    <t xml:space="preserve">ORSPCO90            </t>
  </si>
  <si>
    <t>2026-03-16 14:49:22.247</t>
  </si>
  <si>
    <t>2026-03-16 14:49:22.263</t>
  </si>
  <si>
    <t xml:space="preserve">ORSPCO70            </t>
  </si>
  <si>
    <t>2026-03-16 14:49:22.280</t>
  </si>
  <si>
    <t xml:space="preserve">ORSPCO01            </t>
  </si>
  <si>
    <t>2026-03-16 14:49:22.297</t>
  </si>
  <si>
    <t xml:space="preserve">ORSPCO05            </t>
  </si>
  <si>
    <t>2026-03-16 14:49:22.310</t>
  </si>
  <si>
    <t xml:space="preserve">ORSPCO10            </t>
  </si>
  <si>
    <t>2026-03-16 14:49:22.327</t>
  </si>
  <si>
    <t xml:space="preserve">ORSPCO20            </t>
  </si>
  <si>
    <t>2026-03-16 14:49:22.343</t>
  </si>
  <si>
    <t xml:space="preserve">ORSPCO50            </t>
  </si>
  <si>
    <t>2026-03-16 14:49:22.357</t>
  </si>
  <si>
    <t xml:space="preserve">ORSPCO30            </t>
  </si>
  <si>
    <t>2026-03-16 14:49:22.373</t>
  </si>
  <si>
    <t>2026-03-16 14:49:22.377</t>
  </si>
  <si>
    <t xml:space="preserve">ORSPCO40            </t>
  </si>
  <si>
    <t>2026-03-16 14:49:22.393</t>
  </si>
  <si>
    <t xml:space="preserve">ORSPCO02            </t>
  </si>
  <si>
    <t>2026-03-16 14:49:22.410</t>
  </si>
  <si>
    <t xml:space="preserve">ORSPPT20            </t>
  </si>
  <si>
    <t>2026-03-16 14:49:22.427</t>
  </si>
  <si>
    <t xml:space="preserve">ORSPPT10            </t>
  </si>
  <si>
    <t>2026-03-16 14:49:22.440</t>
  </si>
  <si>
    <t xml:space="preserve">ORSTRH20            </t>
  </si>
  <si>
    <t>2026-03-16 14:49:22.660</t>
  </si>
  <si>
    <t xml:space="preserve">ORSTRH10            </t>
  </si>
  <si>
    <t>2026-03-16 14:49:22.677</t>
  </si>
  <si>
    <t xml:space="preserve">OSARBS10            </t>
  </si>
  <si>
    <t xml:space="preserve">OSARTD10            </t>
  </si>
  <si>
    <t>2026-03-16 14:49:22.910</t>
  </si>
  <si>
    <t xml:space="preserve">OSASTD10            </t>
  </si>
  <si>
    <t>2026-03-16 14:49:22.927</t>
  </si>
  <si>
    <t xml:space="preserve">OSASTD90            </t>
  </si>
  <si>
    <t>2026-03-16 14:49:22.940</t>
  </si>
  <si>
    <t xml:space="preserve">OSBDIS10            </t>
  </si>
  <si>
    <t>2026-03-16 14:49:23.143</t>
  </si>
  <si>
    <t xml:space="preserve">OSBSTD90            </t>
  </si>
  <si>
    <t>2026-03-16 14:49:23.190</t>
  </si>
  <si>
    <t>2026-03-16 14:49:25.620</t>
  </si>
  <si>
    <t>2429</t>
  </si>
  <si>
    <t xml:space="preserve">OSBUID10            </t>
  </si>
  <si>
    <t>2026-03-16 14:49:23.377</t>
  </si>
  <si>
    <t xml:space="preserve">OSLOST30            </t>
  </si>
  <si>
    <t>2026-03-16 14:49:23.613</t>
  </si>
  <si>
    <t xml:space="preserve">OSLOST10            </t>
  </si>
  <si>
    <t>2026-03-16 14:49:23.627</t>
  </si>
  <si>
    <t xml:space="preserve">OSLOST20            </t>
  </si>
  <si>
    <t>2026-03-16 14:49:23.643</t>
  </si>
  <si>
    <t xml:space="preserve">OSLTPG10            </t>
  </si>
  <si>
    <t>2026-03-16 14:49:23.893</t>
  </si>
  <si>
    <t xml:space="preserve">OSRACC10            </t>
  </si>
  <si>
    <t>2026-03-16 14:49:24.127</t>
  </si>
  <si>
    <t xml:space="preserve">OSRASH20            </t>
  </si>
  <si>
    <t>2026-03-16 14:49:24.363</t>
  </si>
  <si>
    <t>2026-03-16 14:49:24.380</t>
  </si>
  <si>
    <t xml:space="preserve">OSRASH30            </t>
  </si>
  <si>
    <t>2026-03-16 14:49:24.397</t>
  </si>
  <si>
    <t>2026-03-16 14:49:24.410</t>
  </si>
  <si>
    <t xml:space="preserve">OSRASH60            </t>
  </si>
  <si>
    <t>2026-03-16 14:49:24.427</t>
  </si>
  <si>
    <t xml:space="preserve">OSRASH10            </t>
  </si>
  <si>
    <t>2026-03-16 14:49:24.443</t>
  </si>
  <si>
    <t xml:space="preserve">OSRASH40            </t>
  </si>
  <si>
    <t>2026-03-16 14:49:24.447</t>
  </si>
  <si>
    <t xml:space="preserve">OSRASH50            </t>
  </si>
  <si>
    <t>2026-03-16 14:49:24.463</t>
  </si>
  <si>
    <t xml:space="preserve">OSRASL10            </t>
  </si>
  <si>
    <t>2026-03-16 14:49:24.697</t>
  </si>
  <si>
    <t>2026-03-16 14:49:24.727</t>
  </si>
  <si>
    <t xml:space="preserve">OSRAST10            </t>
  </si>
  <si>
    <t>2026-03-16 14:49:24.963</t>
  </si>
  <si>
    <t xml:space="preserve">OSRASV50            </t>
  </si>
  <si>
    <t>2026-03-16 14:49:25.197</t>
  </si>
  <si>
    <t>2026-03-16 14:49:25.227</t>
  </si>
  <si>
    <t xml:space="preserve">OSRASV10            </t>
  </si>
  <si>
    <t>2026-03-16 14:49:25.243</t>
  </si>
  <si>
    <t xml:space="preserve">OSRESL10            </t>
  </si>
  <si>
    <t>2026-03-16 14:49:25.477</t>
  </si>
  <si>
    <t xml:space="preserve">OSBSTD10            </t>
  </si>
  <si>
    <t>2026-03-16 14:49:25.637</t>
  </si>
  <si>
    <t>2026-03-16 14:49:28.203</t>
  </si>
  <si>
    <t>2569</t>
  </si>
  <si>
    <t xml:space="preserve">OSSELE10            </t>
  </si>
  <si>
    <t>2026-03-16 14:49:25.713</t>
  </si>
  <si>
    <t>2026-03-16 14:49:25.743</t>
  </si>
  <si>
    <t>29</t>
  </si>
  <si>
    <t xml:space="preserve">OSSREC20            </t>
  </si>
  <si>
    <t>2026-03-16 14:49:25.977</t>
  </si>
  <si>
    <t xml:space="preserve">OSSREC30            </t>
  </si>
  <si>
    <t>2026-03-16 14:49:25.993</t>
  </si>
  <si>
    <t xml:space="preserve">OSSREC10            </t>
  </si>
  <si>
    <t>2026-03-16 14:49:26.007</t>
  </si>
  <si>
    <t xml:space="preserve">OSSRES10            </t>
  </si>
  <si>
    <t>2026-03-16 14:49:26.243</t>
  </si>
  <si>
    <t xml:space="preserve">OSSSEL10            </t>
  </si>
  <si>
    <t>2026-03-16 14:49:26.477</t>
  </si>
  <si>
    <t xml:space="preserve">OSSSET30            </t>
  </si>
  <si>
    <t>2026-03-16 14:49:26.710</t>
  </si>
  <si>
    <t xml:space="preserve">OSSSET10            </t>
  </si>
  <si>
    <t>2026-03-16 14:49:26.727</t>
  </si>
  <si>
    <t xml:space="preserve">OSSSET20            </t>
  </si>
  <si>
    <t>2026-03-16 14:49:26.743</t>
  </si>
  <si>
    <t xml:space="preserve">OSTORE70            </t>
  </si>
  <si>
    <t>2026-03-16 14:49:26.987</t>
  </si>
  <si>
    <t xml:space="preserve">OSTORE60            </t>
  </si>
  <si>
    <t>2026-03-16 14:49:27.000</t>
  </si>
  <si>
    <t xml:space="preserve">OSTORE30            </t>
  </si>
  <si>
    <t>2026-03-16 14:49:27.017</t>
  </si>
  <si>
    <t>2026-03-16 14:49:27.033</t>
  </si>
  <si>
    <t xml:space="preserve">OSTORE50            </t>
  </si>
  <si>
    <t xml:space="preserve">OSTORE40            </t>
  </si>
  <si>
    <t>2026-03-16 14:49:27.047</t>
  </si>
  <si>
    <t xml:space="preserve">OSTORE20            </t>
  </si>
  <si>
    <t>2026-03-16 14:49:27.063</t>
  </si>
  <si>
    <t xml:space="preserve">OSTORE10            </t>
  </si>
  <si>
    <t>2026-03-16 14:49:27.080</t>
  </si>
  <si>
    <t xml:space="preserve">OSYTXH10            </t>
  </si>
  <si>
    <t>2026-03-16 14:49:27.313</t>
  </si>
  <si>
    <t>2026-03-16 14:49:27.987</t>
  </si>
  <si>
    <t xml:space="preserve">OSBSTD20            </t>
  </si>
  <si>
    <t>2026-03-16 14:49:28.220</t>
  </si>
  <si>
    <t>2026-03-16 14:49:30.220</t>
  </si>
  <si>
    <t>2000</t>
  </si>
  <si>
    <t xml:space="preserve">OTA10500            </t>
  </si>
  <si>
    <t xml:space="preserve">OTA13110            </t>
  </si>
  <si>
    <t>2026-03-16 14:49:28.453</t>
  </si>
  <si>
    <t xml:space="preserve">OTA13310            </t>
  </si>
  <si>
    <t>2026-03-16 14:49:28.687</t>
  </si>
  <si>
    <t xml:space="preserve">OTA13320            </t>
  </si>
  <si>
    <t>2026-03-16 14:49:28.703</t>
  </si>
  <si>
    <t xml:space="preserve">OTA51003            </t>
  </si>
  <si>
    <t>2026-03-16 14:49:28.937</t>
  </si>
  <si>
    <t xml:space="preserve">OTA51002            </t>
  </si>
  <si>
    <t>2026-03-16 14:49:28.953</t>
  </si>
  <si>
    <t xml:space="preserve">OTA51001            </t>
  </si>
  <si>
    <t>2026-03-16 14:49:28.970</t>
  </si>
  <si>
    <t xml:space="preserve">OTA52003            </t>
  </si>
  <si>
    <t>2026-03-16 14:49:29.203</t>
  </si>
  <si>
    <t>2026-03-16 14:49:29.470</t>
  </si>
  <si>
    <t xml:space="preserve">OTA52002            </t>
  </si>
  <si>
    <t>2026-03-16 14:49:29.487</t>
  </si>
  <si>
    <t xml:space="preserve">OTA52001            </t>
  </si>
  <si>
    <t>2026-03-16 14:49:29.500</t>
  </si>
  <si>
    <t>2026-03-16 14:49:29.533</t>
  </si>
  <si>
    <t xml:space="preserve">OTA52503            </t>
  </si>
  <si>
    <t>2026-03-16 14:49:29.767</t>
  </si>
  <si>
    <t xml:space="preserve">OTA52502            </t>
  </si>
  <si>
    <t>2026-03-16 14:49:29.783</t>
  </si>
  <si>
    <t xml:space="preserve">OTA52501            </t>
  </si>
  <si>
    <t>2026-03-16 14:49:29.797</t>
  </si>
  <si>
    <t xml:space="preserve">OTBSTD10            </t>
  </si>
  <si>
    <t>2026-03-16 14:49:30.043</t>
  </si>
  <si>
    <t xml:space="preserve">OTBSTD00            </t>
  </si>
  <si>
    <t>2026-03-16 14:49:30.060</t>
  </si>
  <si>
    <t xml:space="preserve">OSBSTD51            </t>
  </si>
  <si>
    <t>2026-03-16 14:49:30.237</t>
  </si>
  <si>
    <t>2026-03-16 14:49:32.270</t>
  </si>
  <si>
    <t>2035</t>
  </si>
  <si>
    <t xml:space="preserve">OTHEAD20            </t>
  </si>
  <si>
    <t>2026-03-16 14:49:30.293</t>
  </si>
  <si>
    <t xml:space="preserve">OTHEAD10            </t>
  </si>
  <si>
    <t>2026-03-16 14:49:30.307</t>
  </si>
  <si>
    <t xml:space="preserve">OTHISD10            </t>
  </si>
  <si>
    <t>2026-03-16 14:49:30.533</t>
  </si>
  <si>
    <t xml:space="preserve">OTHISH10            </t>
  </si>
  <si>
    <t>2026-03-16 14:49:30.767</t>
  </si>
  <si>
    <t xml:space="preserve">OTICPY10            </t>
  </si>
  <si>
    <t>2026-03-16 14:49:31.003</t>
  </si>
  <si>
    <t xml:space="preserve">OTICPY00            </t>
  </si>
  <si>
    <t>2026-03-16 14:49:31.017</t>
  </si>
  <si>
    <t xml:space="preserve">OTOPLP10            </t>
  </si>
  <si>
    <t>2026-03-16 14:49:31.257</t>
  </si>
  <si>
    <t xml:space="preserve">OTPCON10            </t>
  </si>
  <si>
    <t>2026-03-16 14:49:31.490</t>
  </si>
  <si>
    <t>2026-03-16 14:49:31.503</t>
  </si>
  <si>
    <t xml:space="preserve">OTPRAC10            </t>
  </si>
  <si>
    <t>2026-03-16 14:49:31.740</t>
  </si>
  <si>
    <t xml:space="preserve">OTPRID10            </t>
  </si>
  <si>
    <t>2026-03-16 14:49:31.973</t>
  </si>
  <si>
    <t>2026-03-16 14:49:31.990</t>
  </si>
  <si>
    <t xml:space="preserve">OTPRID20            </t>
  </si>
  <si>
    <t>2026-03-16 14:49:32.007</t>
  </si>
  <si>
    <t xml:space="preserve">OTPROJ20            </t>
  </si>
  <si>
    <t>2026-03-16 14:49:32.240</t>
  </si>
  <si>
    <t>2026-03-16 14:49:32.253</t>
  </si>
  <si>
    <t xml:space="preserve">OTPROJ10            </t>
  </si>
  <si>
    <t xml:space="preserve">OTRSMS10            </t>
  </si>
  <si>
    <t>2026-03-16 14:49:32.507</t>
  </si>
  <si>
    <t xml:space="preserve">OTRSMS20            </t>
  </si>
  <si>
    <t>2026-03-16 14:49:32.520</t>
  </si>
  <si>
    <t xml:space="preserve">OTSALD10            </t>
  </si>
  <si>
    <t>2026-03-16 14:49:32.537</t>
  </si>
  <si>
    <t>2026-03-16 14:49:32.550</t>
  </si>
  <si>
    <t xml:space="preserve">OTSALD20            </t>
  </si>
  <si>
    <t>2026-03-16 14:49:32.567</t>
  </si>
  <si>
    <t xml:space="preserve">OTSALD30            </t>
  </si>
  <si>
    <t>2026-03-16 14:49:32.583</t>
  </si>
  <si>
    <t xml:space="preserve">OTSALD40            </t>
  </si>
  <si>
    <t>2026-03-16 14:49:32.597</t>
  </si>
  <si>
    <t xml:space="preserve">OTSALD70            </t>
  </si>
  <si>
    <t>2026-03-16 14:49:32.613</t>
  </si>
  <si>
    <t>2026-03-16 14:49:32.630</t>
  </si>
  <si>
    <t xml:space="preserve">OTTRAN40            </t>
  </si>
  <si>
    <t>2026-03-16 14:49:32.757</t>
  </si>
  <si>
    <t xml:space="preserve">OTTRAN15            </t>
  </si>
  <si>
    <t>2026-03-16 14:49:32.770</t>
  </si>
  <si>
    <t xml:space="preserve">OTTRAN16            </t>
  </si>
  <si>
    <t>2026-03-16 14:49:32.787</t>
  </si>
  <si>
    <t xml:space="preserve">OTTRAN10            </t>
  </si>
  <si>
    <t>2026-03-16 14:49:32.800</t>
  </si>
  <si>
    <t xml:space="preserve">OTTRAN11            </t>
  </si>
  <si>
    <t>2026-03-16 14:49:32.817</t>
  </si>
  <si>
    <t xml:space="preserve">OTTRAN32            </t>
  </si>
  <si>
    <t>2026-03-16 14:49:32.833</t>
  </si>
  <si>
    <t xml:space="preserve">OTTRAN22            </t>
  </si>
  <si>
    <t>2026-03-16 14:49:32.847</t>
  </si>
  <si>
    <t xml:space="preserve">OTTRAN31            </t>
  </si>
  <si>
    <t>2026-03-16 14:49:32.863</t>
  </si>
  <si>
    <t xml:space="preserve">OTTRAN12            </t>
  </si>
  <si>
    <t>2026-03-16 14:49:32.880</t>
  </si>
  <si>
    <t xml:space="preserve">OTWRCD10            </t>
  </si>
  <si>
    <t xml:space="preserve">OTTRAN13            </t>
  </si>
  <si>
    <t>2026-03-16 14:49:32.897</t>
  </si>
  <si>
    <t xml:space="preserve">OTTRAN20            </t>
  </si>
  <si>
    <t>2026-03-16 14:49:32.910</t>
  </si>
  <si>
    <t xml:space="preserve">OTTRAN21            </t>
  </si>
  <si>
    <t>2026-03-16 14:49:32.927</t>
  </si>
  <si>
    <t xml:space="preserve">OTTRAN01            </t>
  </si>
  <si>
    <t>2026-03-16 14:49:32.943</t>
  </si>
  <si>
    <t xml:space="preserve">OWRKSU00            </t>
  </si>
  <si>
    <t>2026-03-16 14:49:33.130</t>
  </si>
  <si>
    <t xml:space="preserve">OXBORE10            </t>
  </si>
  <si>
    <t>2026-03-16 14:49:33.177</t>
  </si>
  <si>
    <t xml:space="preserve">OXCHRG10            </t>
  </si>
  <si>
    <t>2026-03-16 14:49:33.380</t>
  </si>
  <si>
    <t>2026-03-16 14:49:33.387</t>
  </si>
  <si>
    <t xml:space="preserve">OXCNTR60            </t>
  </si>
  <si>
    <t>2026-03-16 14:49:33.403</t>
  </si>
  <si>
    <t>2026-03-16 14:49:33.420</t>
  </si>
  <si>
    <t xml:space="preserve">OXCNTR70            </t>
  </si>
  <si>
    <t>2026-03-16 14:49:33.437</t>
  </si>
  <si>
    <t xml:space="preserve">OXCNTR80            </t>
  </si>
  <si>
    <t>2026-03-16 14:49:33.450</t>
  </si>
  <si>
    <t xml:space="preserve">OXCNTR20            </t>
  </si>
  <si>
    <t>2026-03-16 14:49:33.467</t>
  </si>
  <si>
    <t xml:space="preserve">OXCNTR30            </t>
  </si>
  <si>
    <t>2026-03-16 14:49:33.483</t>
  </si>
  <si>
    <t>2026-03-16 14:49:33.497</t>
  </si>
  <si>
    <t xml:space="preserve">OXCNTR50            </t>
  </si>
  <si>
    <t>2026-03-16 14:49:33.513</t>
  </si>
  <si>
    <t xml:space="preserve">OXCNTR40            </t>
  </si>
  <si>
    <t>2026-03-16 14:49:33.530</t>
  </si>
  <si>
    <t xml:space="preserve">OXCOLI10            </t>
  </si>
  <si>
    <t>2026-03-16 14:49:33.637</t>
  </si>
  <si>
    <t xml:space="preserve">OXGRHE10            </t>
  </si>
  <si>
    <t>2026-03-16 14:49:33.763</t>
  </si>
  <si>
    <t xml:space="preserve">OXGRHE30            </t>
  </si>
  <si>
    <t>2026-03-16 14:49:33.780</t>
  </si>
  <si>
    <t xml:space="preserve">OXGRHE20            </t>
  </si>
  <si>
    <t>2026-03-16 14:49:33.797</t>
  </si>
  <si>
    <t xml:space="preserve">OXGRLN10            </t>
  </si>
  <si>
    <t>2026-03-16 14:49:33.887</t>
  </si>
  <si>
    <t xml:space="preserve">OXGRLN40            </t>
  </si>
  <si>
    <t>2026-03-16 14:49:33.903</t>
  </si>
  <si>
    <t xml:space="preserve">OXGRPR10            </t>
  </si>
  <si>
    <t>2026-03-16 14:49:34.030</t>
  </si>
  <si>
    <t xml:space="preserve">OXLINE20            </t>
  </si>
  <si>
    <t>2026-03-16 14:49:34.153</t>
  </si>
  <si>
    <t>2026-03-16 14:49:34.187</t>
  </si>
  <si>
    <t xml:space="preserve">OXLINE11            </t>
  </si>
  <si>
    <t>2026-03-16 14:49:34.200</t>
  </si>
  <si>
    <t>2026-03-16 14:49:34.217</t>
  </si>
  <si>
    <t xml:space="preserve">OXLINE80            </t>
  </si>
  <si>
    <t>2026-03-16 14:49:34.247</t>
  </si>
  <si>
    <t>2026-03-16 14:49:34.263</t>
  </si>
  <si>
    <t xml:space="preserve">OXSALE40            </t>
  </si>
  <si>
    <t xml:space="preserve">OXLINE60            </t>
  </si>
  <si>
    <t>2026-03-16 14:49:34.280</t>
  </si>
  <si>
    <t>2026-03-16 14:49:34.297</t>
  </si>
  <si>
    <t xml:space="preserve">OXSALE10            </t>
  </si>
  <si>
    <t xml:space="preserve">OXSALE30            </t>
  </si>
  <si>
    <t xml:space="preserve">OXLINE10            </t>
  </si>
  <si>
    <t>2026-03-16 14:49:34.310</t>
  </si>
  <si>
    <t>2026-03-16 14:49:34.327</t>
  </si>
  <si>
    <t xml:space="preserve">OXSALE50            </t>
  </si>
  <si>
    <t xml:space="preserve">OXSALE60            </t>
  </si>
  <si>
    <t xml:space="preserve">OXXINF10            </t>
  </si>
  <si>
    <t>2026-03-16 14:49:34.553</t>
  </si>
  <si>
    <t xml:space="preserve">PAIWSC20            </t>
  </si>
  <si>
    <t>2026-03-16 14:49:34.583</t>
  </si>
  <si>
    <t xml:space="preserve">PAIWSC10            </t>
  </si>
  <si>
    <t>2026-03-16 14:49:34.600</t>
  </si>
  <si>
    <t xml:space="preserve">PAJWCD10            </t>
  </si>
  <si>
    <t>2026-03-16 14:49:34.787</t>
  </si>
  <si>
    <t xml:space="preserve">PDIROL10            </t>
  </si>
  <si>
    <t>2026-03-16 14:49:34.850</t>
  </si>
  <si>
    <t xml:space="preserve">PDIROL20            </t>
  </si>
  <si>
    <t>2026-03-16 14:49:34.867</t>
  </si>
  <si>
    <t xml:space="preserve">PDIROL30            </t>
  </si>
  <si>
    <t>2026-03-16 14:49:34.880</t>
  </si>
  <si>
    <t xml:space="preserve">PDIROL40            </t>
  </si>
  <si>
    <t>2026-03-16 14:49:34.897</t>
  </si>
  <si>
    <t xml:space="preserve">PDIROL50            </t>
  </si>
  <si>
    <t>2026-03-16 14:49:34.913</t>
  </si>
  <si>
    <t xml:space="preserve">PDNHEA70            </t>
  </si>
  <si>
    <t>2026-03-16 14:49:35.020</t>
  </si>
  <si>
    <t xml:space="preserve">PDNHEA60            </t>
  </si>
  <si>
    <t>2026-03-16 14:49:35.037</t>
  </si>
  <si>
    <t xml:space="preserve">PDNHEA10            </t>
  </si>
  <si>
    <t>2026-03-16 14:49:35.053</t>
  </si>
  <si>
    <t xml:space="preserve">PDNHEA40            </t>
  </si>
  <si>
    <t>2026-03-16 14:49:35.067</t>
  </si>
  <si>
    <t xml:space="preserve">PDNHEA50            </t>
  </si>
  <si>
    <t>2026-03-16 14:49:35.083</t>
  </si>
  <si>
    <t xml:space="preserve">PDNHEA30            </t>
  </si>
  <si>
    <t>2026-03-16 14:49:35.100</t>
  </si>
  <si>
    <t xml:space="preserve">PDNLIN10            </t>
  </si>
  <si>
    <t>2026-03-16 14:49:35.163</t>
  </si>
  <si>
    <t xml:space="preserve">PDNLIN30            </t>
  </si>
  <si>
    <t>2026-03-16 14:49:35.177</t>
  </si>
  <si>
    <t xml:space="preserve">PDNSUB10            </t>
  </si>
  <si>
    <t>2026-03-16 14:49:35.333</t>
  </si>
  <si>
    <t xml:space="preserve">PEECAL10            </t>
  </si>
  <si>
    <t>2026-03-16 14:49:35.443</t>
  </si>
  <si>
    <t xml:space="preserve">PFTRNS30            </t>
  </si>
  <si>
    <t>2026-03-16 14:49:35.567</t>
  </si>
  <si>
    <t xml:space="preserve">PFTRNS40            </t>
  </si>
  <si>
    <t>2026-03-16 14:49:35.583</t>
  </si>
  <si>
    <t xml:space="preserve">PFTRNS60            </t>
  </si>
  <si>
    <t>2026-03-16 14:49:35.600</t>
  </si>
  <si>
    <t xml:space="preserve">PFTRNS20            </t>
  </si>
  <si>
    <t>2026-03-16 14:49:35.617</t>
  </si>
  <si>
    <t xml:space="preserve">PFTRNS10            </t>
  </si>
  <si>
    <t>2026-03-16 14:49:35.630</t>
  </si>
  <si>
    <t xml:space="preserve">PFTRNS50            </t>
  </si>
  <si>
    <t>2026-03-16 14:49:35.647</t>
  </si>
  <si>
    <t xml:space="preserve">PMARCO00            </t>
  </si>
  <si>
    <t>2026-03-16 14:49:35.693</t>
  </si>
  <si>
    <t xml:space="preserve">PPP36210            </t>
  </si>
  <si>
    <t>2026-03-16 14:49:35.883</t>
  </si>
  <si>
    <t xml:space="preserve">PPP36310            </t>
  </si>
  <si>
    <t>2026-03-16 14:49:35.947</t>
  </si>
  <si>
    <t xml:space="preserve">PPP36320            </t>
  </si>
  <si>
    <t>2026-03-16 14:49:35.960</t>
  </si>
  <si>
    <t xml:space="preserve">PPP90090            </t>
  </si>
  <si>
    <t>2026-03-16 14:49:36.117</t>
  </si>
  <si>
    <t>2026-03-16 14:49:36.133</t>
  </si>
  <si>
    <t xml:space="preserve">PPPSUB10            </t>
  </si>
  <si>
    <t>2026-03-16 14:49:36.210</t>
  </si>
  <si>
    <t xml:space="preserve">PPPWHL10            </t>
  </si>
  <si>
    <t>2026-03-16 14:49:36.367</t>
  </si>
  <si>
    <t xml:space="preserve">PPPWHL20            </t>
  </si>
  <si>
    <t>2026-03-16 14:49:36.383</t>
  </si>
  <si>
    <t xml:space="preserve">PPTRNS10            </t>
  </si>
  <si>
    <t>2026-03-16 14:49:36.460</t>
  </si>
  <si>
    <t xml:space="preserve">PPTRNS20            </t>
  </si>
  <si>
    <t>2026-03-16 14:49:36.477</t>
  </si>
  <si>
    <t xml:space="preserve">PPTRNS40            </t>
  </si>
  <si>
    <t>2026-03-16 14:49:36.493</t>
  </si>
  <si>
    <t xml:space="preserve">PPTRNS50            </t>
  </si>
  <si>
    <t>2026-03-16 14:49:36.507</t>
  </si>
  <si>
    <t xml:space="preserve">PPTRNS30            </t>
  </si>
  <si>
    <t>2026-03-16 14:49:36.523</t>
  </si>
  <si>
    <t xml:space="preserve">PPW19025            </t>
  </si>
  <si>
    <t>2026-03-16 14:49:36.633</t>
  </si>
  <si>
    <t>2026-03-16 14:49:36.663</t>
  </si>
  <si>
    <t xml:space="preserve">PPW19010            </t>
  </si>
  <si>
    <t>2026-03-16 14:49:36.680</t>
  </si>
  <si>
    <t xml:space="preserve">PPW19020            </t>
  </si>
  <si>
    <t>2026-03-16 14:49:36.697</t>
  </si>
  <si>
    <t xml:space="preserve">PPW19125            </t>
  </si>
  <si>
    <t>2026-03-16 14:49:36.773</t>
  </si>
  <si>
    <t xml:space="preserve">PPW19110            </t>
  </si>
  <si>
    <t>2026-03-16 14:49:36.790</t>
  </si>
  <si>
    <t xml:space="preserve">PPW19120            </t>
  </si>
  <si>
    <t>2026-03-16 14:49:36.807</t>
  </si>
  <si>
    <t xml:space="preserve">PPW19225            </t>
  </si>
  <si>
    <t>2026-03-16 14:49:36.930</t>
  </si>
  <si>
    <t>2026-03-16 14:49:36.960</t>
  </si>
  <si>
    <t xml:space="preserve">PPW19210            </t>
  </si>
  <si>
    <t>2026-03-16 14:49:36.977</t>
  </si>
  <si>
    <t xml:space="preserve">PPW19220            </t>
  </si>
  <si>
    <t>2026-03-16 14:49:36.993</t>
  </si>
  <si>
    <t xml:space="preserve">PPW19240            </t>
  </si>
  <si>
    <t>2026-03-16 14:49:37.007</t>
  </si>
  <si>
    <t xml:space="preserve">PPW19230            </t>
  </si>
  <si>
    <t>2026-03-16 14:49:37.023</t>
  </si>
  <si>
    <t xml:space="preserve">PPW19310            </t>
  </si>
  <si>
    <t>2026-03-16 14:49:37.057</t>
  </si>
  <si>
    <t xml:space="preserve">QMSDLE10            </t>
  </si>
  <si>
    <t>2026-03-16 14:49:37.307</t>
  </si>
  <si>
    <t>2026-03-16 14:49:37.320</t>
  </si>
  <si>
    <t xml:space="preserve">QMSDOC10            </t>
  </si>
  <si>
    <t>2026-03-16 14:49:37.337</t>
  </si>
  <si>
    <t xml:space="preserve">QMSDOC20            </t>
  </si>
  <si>
    <t>2026-03-16 14:49:37.353</t>
  </si>
  <si>
    <t xml:space="preserve">QMSDOC30            </t>
  </si>
  <si>
    <t>2026-03-16 14:49:37.367</t>
  </si>
  <si>
    <t xml:space="preserve">QMSENT10            </t>
  </si>
  <si>
    <t>2026-03-16 14:49:37.557</t>
  </si>
  <si>
    <t xml:space="preserve">QMSENT20            </t>
  </si>
  <si>
    <t>2026-03-16 14:49:37.570</t>
  </si>
  <si>
    <t xml:space="preserve">QMSENT30            </t>
  </si>
  <si>
    <t>2026-03-16 14:49:37.587</t>
  </si>
  <si>
    <t xml:space="preserve">QMSOSP10            </t>
  </si>
  <si>
    <t>2026-03-16 14:49:37.617</t>
  </si>
  <si>
    <t xml:space="preserve">QMSOSP20            </t>
  </si>
  <si>
    <t>2026-03-16 14:49:37.633</t>
  </si>
  <si>
    <t xml:space="preserve">QMSOSP30            </t>
  </si>
  <si>
    <t>2026-03-16 14:49:37.650</t>
  </si>
  <si>
    <t xml:space="preserve">QMSOTS10            </t>
  </si>
  <si>
    <t>2026-03-16 14:49:37.820</t>
  </si>
  <si>
    <t>2026-03-16 14:49:37.837</t>
  </si>
  <si>
    <t xml:space="preserve">QMSOTS20            </t>
  </si>
  <si>
    <t>2026-03-16 14:49:37.853</t>
  </si>
  <si>
    <t>2026-03-16 14:49:37.883</t>
  </si>
  <si>
    <t xml:space="preserve">QMSQGP10            </t>
  </si>
  <si>
    <t>2026-03-16 14:49:37.900</t>
  </si>
  <si>
    <t xml:space="preserve">QMSQPL10            </t>
  </si>
  <si>
    <t>2026-03-16 14:49:38.123</t>
  </si>
  <si>
    <t xml:space="preserve">QMSQPW10            </t>
  </si>
  <si>
    <t>2026-03-16 14:49:38.157</t>
  </si>
  <si>
    <t xml:space="preserve">QMSQPW20            </t>
  </si>
  <si>
    <t>2026-03-16 14:49:38.170</t>
  </si>
  <si>
    <t xml:space="preserve">QMSRQH70            </t>
  </si>
  <si>
    <t>2026-03-16 14:49:38.373</t>
  </si>
  <si>
    <t xml:space="preserve">QMSRQH30            </t>
  </si>
  <si>
    <t>2026-03-16 14:49:38.390</t>
  </si>
  <si>
    <t xml:space="preserve">QMSRQH40            </t>
  </si>
  <si>
    <t>2026-03-16 14:49:38.407</t>
  </si>
  <si>
    <t xml:space="preserve">QMSRQH50            </t>
  </si>
  <si>
    <t>2026-03-16 14:49:38.420</t>
  </si>
  <si>
    <t xml:space="preserve">QMSRQS40            </t>
  </si>
  <si>
    <t xml:space="preserve">QMSRQH88            </t>
  </si>
  <si>
    <t>2026-03-16 14:49:38.437</t>
  </si>
  <si>
    <t xml:space="preserve">QMSRQS20            </t>
  </si>
  <si>
    <t xml:space="preserve">QMSRQH60            </t>
  </si>
  <si>
    <t>2026-03-16 14:49:38.453</t>
  </si>
  <si>
    <t xml:space="preserve">QMSRQS30            </t>
  </si>
  <si>
    <t xml:space="preserve">QMSRQH85            </t>
  </si>
  <si>
    <t>2026-03-16 14:49:38.467</t>
  </si>
  <si>
    <t xml:space="preserve">QMSRQH95            </t>
  </si>
  <si>
    <t>2026-03-16 14:49:38.483</t>
  </si>
  <si>
    <t xml:space="preserve">QMSRQH10            </t>
  </si>
  <si>
    <t>2026-03-16 14:49:38.497</t>
  </si>
  <si>
    <t xml:space="preserve">QMSRQH20            </t>
  </si>
  <si>
    <t>2026-03-16 14:49:38.513</t>
  </si>
  <si>
    <t xml:space="preserve">QMSRQH80            </t>
  </si>
  <si>
    <t>2026-03-16 14:49:38.530</t>
  </si>
  <si>
    <t xml:space="preserve">QMSRQH90            </t>
  </si>
  <si>
    <t>2026-03-16 14:49:38.547</t>
  </si>
  <si>
    <t xml:space="preserve">QMSRQT20            </t>
  </si>
  <si>
    <t>2026-03-16 14:49:38.703</t>
  </si>
  <si>
    <t xml:space="preserve">QMSRQT30            </t>
  </si>
  <si>
    <t>2026-03-16 14:49:38.717</t>
  </si>
  <si>
    <t xml:space="preserve">QMSRQT40            </t>
  </si>
  <si>
    <t>2026-03-16 14:49:38.733</t>
  </si>
  <si>
    <t xml:space="preserve">QMSRQT10            </t>
  </si>
  <si>
    <t>2026-03-16 14:49:38.747</t>
  </si>
  <si>
    <t xml:space="preserve">QMSSAP10            </t>
  </si>
  <si>
    <t>2026-03-16 14:49:38.780</t>
  </si>
  <si>
    <t xml:space="preserve">QMSSET10            </t>
  </si>
  <si>
    <t>2026-03-16 14:49:39.000</t>
  </si>
  <si>
    <t xml:space="preserve">QMSSPE40            </t>
  </si>
  <si>
    <t>2026-03-16 14:49:39.013</t>
  </si>
  <si>
    <t xml:space="preserve">QMSSPE50            </t>
  </si>
  <si>
    <t>2026-03-16 14:49:39.030</t>
  </si>
  <si>
    <t xml:space="preserve">QMSSPE10            </t>
  </si>
  <si>
    <t>2026-03-16 14:49:39.047</t>
  </si>
  <si>
    <t xml:space="preserve">QMSSPE20            </t>
  </si>
  <si>
    <t>2026-03-16 14:49:39.060</t>
  </si>
  <si>
    <t xml:space="preserve">QMSSPE30            </t>
  </si>
  <si>
    <t>2026-03-16 14:49:39.077</t>
  </si>
  <si>
    <t xml:space="preserve">QMSTRE90            </t>
  </si>
  <si>
    <t>2026-03-16 14:49:39.247</t>
  </si>
  <si>
    <t xml:space="preserve">QMSTRE95            </t>
  </si>
  <si>
    <t>2026-03-16 14:49:39.280</t>
  </si>
  <si>
    <t xml:space="preserve">QMSTRE01            </t>
  </si>
  <si>
    <t>2026-03-16 14:49:39.297</t>
  </si>
  <si>
    <t xml:space="preserve">QMSTRE50            </t>
  </si>
  <si>
    <t>2026-03-16 14:49:39.310</t>
  </si>
  <si>
    <t xml:space="preserve">QMSTRS10            </t>
  </si>
  <si>
    <t xml:space="preserve">QMSTRE60            </t>
  </si>
  <si>
    <t>2026-03-16 14:49:39.327</t>
  </si>
  <si>
    <t xml:space="preserve">QMSTRE70            </t>
  </si>
  <si>
    <t>2026-03-16 14:49:39.343</t>
  </si>
  <si>
    <t xml:space="preserve">QMSTRE80            </t>
  </si>
  <si>
    <t>2026-03-16 14:49:39.357</t>
  </si>
  <si>
    <t xml:space="preserve">QMSTRE30            </t>
  </si>
  <si>
    <t>2026-03-16 14:49:39.373</t>
  </si>
  <si>
    <t xml:space="preserve">QMSTRE40            </t>
  </si>
  <si>
    <t>2026-03-16 14:49:39.390</t>
  </si>
  <si>
    <t xml:space="preserve">QMSTST10            </t>
  </si>
  <si>
    <t>2026-03-16 14:49:39.547</t>
  </si>
  <si>
    <t>2026-03-16 14:49:39.560</t>
  </si>
  <si>
    <t xml:space="preserve">QMSTST20            </t>
  </si>
  <si>
    <t>2026-03-16 14:49:39.577</t>
  </si>
  <si>
    <t xml:space="preserve">QMSTST30            </t>
  </si>
  <si>
    <t>2026-03-16 14:49:39.593</t>
  </si>
  <si>
    <t xml:space="preserve">QMSTST40            </t>
  </si>
  <si>
    <t>2026-03-16 14:49:39.607</t>
  </si>
  <si>
    <t xml:space="preserve">QMSTST50            </t>
  </si>
  <si>
    <t>2026-03-16 14:49:39.623</t>
  </si>
  <si>
    <t xml:space="preserve">QMSTST60            </t>
  </si>
  <si>
    <t>2026-03-16 14:49:39.640</t>
  </si>
  <si>
    <t xml:space="preserve">QMSTST70            </t>
  </si>
  <si>
    <t>2026-03-16 14:49:39.657</t>
  </si>
  <si>
    <t xml:space="preserve">QMSTTP30            </t>
  </si>
  <si>
    <t xml:space="preserve">QMSTST80            </t>
  </si>
  <si>
    <t>2026-03-16 14:49:39.670</t>
  </si>
  <si>
    <t xml:space="preserve">QMSTTP10            </t>
  </si>
  <si>
    <t xml:space="preserve">QMSTTP20            </t>
  </si>
  <si>
    <t xml:space="preserve">QQARTI10            </t>
  </si>
  <si>
    <t>2026-03-16 14:49:39.907</t>
  </si>
  <si>
    <t xml:space="preserve">QQTMIT10            </t>
  </si>
  <si>
    <t>2026-03-16 14:49:39.920</t>
  </si>
  <si>
    <t xml:space="preserve">QQTOOL10            </t>
  </si>
  <si>
    <t>2026-03-16 14:49:40.140</t>
  </si>
  <si>
    <t xml:space="preserve">QQTOTI10            </t>
  </si>
  <si>
    <t>2026-03-16 14:49:40.173</t>
  </si>
  <si>
    <t xml:space="preserve">QUADDI10            </t>
  </si>
  <si>
    <t>2026-03-16 14:49:40.380</t>
  </si>
  <si>
    <t xml:space="preserve">QUAKIT20            </t>
  </si>
  <si>
    <t>2026-03-16 14:49:40.427</t>
  </si>
  <si>
    <t xml:space="preserve">QUCADD10            </t>
  </si>
  <si>
    <t>2026-03-16 14:49:40.613</t>
  </si>
  <si>
    <t xml:space="preserve">QUCAMP10            </t>
  </si>
  <si>
    <t>2026-03-16 14:49:40.670</t>
  </si>
  <si>
    <t xml:space="preserve">QUCFIN10            </t>
  </si>
  <si>
    <t>2026-03-16 14:49:40.850</t>
  </si>
  <si>
    <t xml:space="preserve">QUCFIN20            </t>
  </si>
  <si>
    <t>2026-03-16 14:49:40.867</t>
  </si>
  <si>
    <t xml:space="preserve">QUCMAI10            </t>
  </si>
  <si>
    <t>2026-03-16 14:49:40.913</t>
  </si>
  <si>
    <t xml:space="preserve">QUCMAI20            </t>
  </si>
  <si>
    <t>2026-03-16 14:49:40.927</t>
  </si>
  <si>
    <t xml:space="preserve">QUCONF20            </t>
  </si>
  <si>
    <t>2026-03-16 14:49:41.100</t>
  </si>
  <si>
    <t>2026-03-16 14:49:41.130</t>
  </si>
  <si>
    <t xml:space="preserve">QUCONF10            </t>
  </si>
  <si>
    <t>2026-03-16 14:49:41.147</t>
  </si>
  <si>
    <t xml:space="preserve">QUCONF30            </t>
  </si>
  <si>
    <t>2026-03-16 14:49:41.163</t>
  </si>
  <si>
    <t xml:space="preserve">QUCONT10            </t>
  </si>
  <si>
    <t>2026-03-16 14:49:41.177</t>
  </si>
  <si>
    <t xml:space="preserve">QUCONT20            </t>
  </si>
  <si>
    <t>2026-03-16 14:49:41.193</t>
  </si>
  <si>
    <t xml:space="preserve">QUCSER10            </t>
  </si>
  <si>
    <t>2026-03-16 14:49:41.397</t>
  </si>
  <si>
    <t xml:space="preserve">QUCSER20            </t>
  </si>
  <si>
    <t>2026-03-16 14:49:41.413</t>
  </si>
  <si>
    <t>2026-03-16 14:49:41.427</t>
  </si>
  <si>
    <t xml:space="preserve">QUFINA10            </t>
  </si>
  <si>
    <t>2026-03-16 14:49:41.443</t>
  </si>
  <si>
    <t xml:space="preserve">QUGROP10            </t>
  </si>
  <si>
    <t>2026-03-16 14:49:41.663</t>
  </si>
  <si>
    <t>2026-03-16 14:49:41.677</t>
  </si>
  <si>
    <t xml:space="preserve">QUHEAD50            </t>
  </si>
  <si>
    <t xml:space="preserve">QUHEAD10            </t>
  </si>
  <si>
    <t>2026-03-16 14:49:41.693</t>
  </si>
  <si>
    <t xml:space="preserve">QUHEAD80            </t>
  </si>
  <si>
    <t>2026-03-16 14:49:41.710</t>
  </si>
  <si>
    <t xml:space="preserve">QUHEAD11            </t>
  </si>
  <si>
    <t>2026-03-16 14:49:41.727</t>
  </si>
  <si>
    <t>2026-03-16 14:49:41.740</t>
  </si>
  <si>
    <t xml:space="preserve">QUHEAD20            </t>
  </si>
  <si>
    <t>2026-03-16 14:49:41.757</t>
  </si>
  <si>
    <t xml:space="preserve">QUHEAD30            </t>
  </si>
  <si>
    <t>2026-03-16 14:49:41.773</t>
  </si>
  <si>
    <t xml:space="preserve">QUHEAD60            </t>
  </si>
  <si>
    <t>2026-03-16 14:49:41.787</t>
  </si>
  <si>
    <t xml:space="preserve">QUHEAD70            </t>
  </si>
  <si>
    <t>2026-03-16 14:49:41.803</t>
  </si>
  <si>
    <t xml:space="preserve">QUHEAD40            </t>
  </si>
  <si>
    <t>2026-03-16 14:49:41.817</t>
  </si>
  <si>
    <t xml:space="preserve">QULINE10            </t>
  </si>
  <si>
    <t>2026-03-16 14:49:41.913</t>
  </si>
  <si>
    <t xml:space="preserve">QULINE20            </t>
  </si>
  <si>
    <t>2026-03-16 14:49:41.927</t>
  </si>
  <si>
    <t xml:space="preserve">QULINE30            </t>
  </si>
  <si>
    <t>2026-03-16 14:49:41.943</t>
  </si>
  <si>
    <t xml:space="preserve">QULINE40            </t>
  </si>
  <si>
    <t>2026-03-16 14:49:41.960</t>
  </si>
  <si>
    <t xml:space="preserve">QULINE11            </t>
  </si>
  <si>
    <t>2026-03-16 14:49:41.977</t>
  </si>
  <si>
    <t xml:space="preserve">QULINE50            </t>
  </si>
  <si>
    <t>2026-03-16 14:49:41.990</t>
  </si>
  <si>
    <t xml:space="preserve">QULINE60            </t>
  </si>
  <si>
    <t>2026-03-16 14:49:42.007</t>
  </si>
  <si>
    <t xml:space="preserve">QUMAIA10            </t>
  </si>
  <si>
    <t>2026-03-16 14:49:42.067</t>
  </si>
  <si>
    <t xml:space="preserve">QUPRCO10            </t>
  </si>
  <si>
    <t>2026-03-16 14:49:42.257</t>
  </si>
  <si>
    <t xml:space="preserve">QUPROS20            </t>
  </si>
  <si>
    <t>2026-03-16 14:49:42.333</t>
  </si>
  <si>
    <t xml:space="preserve">QUPROS30            </t>
  </si>
  <si>
    <t>2026-03-16 14:49:42.350</t>
  </si>
  <si>
    <t xml:space="preserve">QUPROS40            </t>
  </si>
  <si>
    <t>2026-03-16 14:49:42.367</t>
  </si>
  <si>
    <t xml:space="preserve">QUPROS10            </t>
  </si>
  <si>
    <t>2026-03-16 14:49:42.380</t>
  </si>
  <si>
    <t xml:space="preserve">QUPROS01            </t>
  </si>
  <si>
    <t>2026-03-16 14:49:42.397</t>
  </si>
  <si>
    <t xml:space="preserve">QURELA10            </t>
  </si>
  <si>
    <t>2026-03-16 14:49:42.490</t>
  </si>
  <si>
    <t xml:space="preserve">QUSERV10            </t>
  </si>
  <si>
    <t>2026-03-16 14:49:42.647</t>
  </si>
  <si>
    <t xml:space="preserve">QUSMPS10            </t>
  </si>
  <si>
    <t>2026-03-16 14:49:42.727</t>
  </si>
  <si>
    <t xml:space="preserve">QUTAMA10            </t>
  </si>
  <si>
    <t>2026-03-16 14:49:42.903</t>
  </si>
  <si>
    <t xml:space="preserve">QUWARR10            </t>
  </si>
  <si>
    <t>2026-03-16 14:49:42.967</t>
  </si>
  <si>
    <t>2026-03-16 14:49:42.980</t>
  </si>
  <si>
    <t xml:space="preserve">SAAGPR20            </t>
  </si>
  <si>
    <t>2026-03-16 14:49:43.153</t>
  </si>
  <si>
    <t>2026-03-16 14:49:43.167</t>
  </si>
  <si>
    <t xml:space="preserve">SAAGPR10            </t>
  </si>
  <si>
    <t>2026-03-16 14:49:43.183</t>
  </si>
  <si>
    <t xml:space="preserve">SAGCON30            </t>
  </si>
  <si>
    <t>2026-03-16 14:49:43.217</t>
  </si>
  <si>
    <t xml:space="preserve">SAGCON10            </t>
  </si>
  <si>
    <t>2026-03-16 14:49:43.230</t>
  </si>
  <si>
    <t xml:space="preserve">SAGCON20            </t>
  </si>
  <si>
    <t>2026-03-16 14:49:43.247</t>
  </si>
  <si>
    <t xml:space="preserve">SAGITM10            </t>
  </si>
  <si>
    <t>2026-03-16 14:49:43.417</t>
  </si>
  <si>
    <t>2026-03-16 14:49:43.433</t>
  </si>
  <si>
    <t xml:space="preserve">SAGITM40            </t>
  </si>
  <si>
    <t>2026-03-16 14:49:43.450</t>
  </si>
  <si>
    <t xml:space="preserve">SAGITM20            </t>
  </si>
  <si>
    <t>2026-03-16 14:49:43.467</t>
  </si>
  <si>
    <t xml:space="preserve">SAGITM30            </t>
  </si>
  <si>
    <t>2026-03-16 14:49:43.480</t>
  </si>
  <si>
    <t xml:space="preserve">SAGOTP10            </t>
  </si>
  <si>
    <t xml:space="preserve">SAGTYP10            </t>
  </si>
  <si>
    <t>2026-03-16 14:49:43.717</t>
  </si>
  <si>
    <t xml:space="preserve">SAGTYP20            </t>
  </si>
  <si>
    <t>2026-03-16 14:49:43.730</t>
  </si>
  <si>
    <t xml:space="preserve">SAHEAD60            </t>
  </si>
  <si>
    <t xml:space="preserve">SAHEAD95            </t>
  </si>
  <si>
    <t>2026-03-16 14:49:43.747</t>
  </si>
  <si>
    <t xml:space="preserve">SAHEAD40            </t>
  </si>
  <si>
    <t>2026-03-16 14:49:43.763</t>
  </si>
  <si>
    <t xml:space="preserve">SAHEAD50            </t>
  </si>
  <si>
    <t>2026-03-16 14:49:43.777</t>
  </si>
  <si>
    <t xml:space="preserve">SAHEAD10            </t>
  </si>
  <si>
    <t>2026-03-16 14:49:43.793</t>
  </si>
  <si>
    <t xml:space="preserve">SAHEAD20            </t>
  </si>
  <si>
    <t>2026-03-16 14:49:43.810</t>
  </si>
  <si>
    <t xml:space="preserve">SAHEAD30            </t>
  </si>
  <si>
    <t>2026-03-16 14:49:43.827</t>
  </si>
  <si>
    <t xml:space="preserve">SALINE40            </t>
  </si>
  <si>
    <t>2026-03-16 14:49:43.967</t>
  </si>
  <si>
    <t>2026-03-16 14:49:43.980</t>
  </si>
  <si>
    <t xml:space="preserve">SALINE50            </t>
  </si>
  <si>
    <t>2026-03-16 14:49:43.997</t>
  </si>
  <si>
    <t xml:space="preserve">SALINE10            </t>
  </si>
  <si>
    <t>2026-03-16 14:49:44.013</t>
  </si>
  <si>
    <t xml:space="preserve">SALINE30            </t>
  </si>
  <si>
    <t xml:space="preserve">SALINE60            </t>
  </si>
  <si>
    <t>2026-03-16 14:49:44.027</t>
  </si>
  <si>
    <t xml:space="preserve">SALOCA30            </t>
  </si>
  <si>
    <t>2026-03-16 14:49:44.077</t>
  </si>
  <si>
    <t xml:space="preserve">SALOCA10            </t>
  </si>
  <si>
    <t>2026-03-16 14:49:44.090</t>
  </si>
  <si>
    <t xml:space="preserve">SALOCA20            </t>
  </si>
  <si>
    <t>2026-03-16 14:49:44.107</t>
  </si>
  <si>
    <t xml:space="preserve">SAMPSD10            </t>
  </si>
  <si>
    <t>2026-03-16 14:49:44.280</t>
  </si>
  <si>
    <t xml:space="preserve">SAMPSH10            </t>
  </si>
  <si>
    <t>2026-03-16 14:49:44.357</t>
  </si>
  <si>
    <t xml:space="preserve">SAPRIL20            </t>
  </si>
  <si>
    <t>2026-03-16 14:49:44.513</t>
  </si>
  <si>
    <t xml:space="preserve">SAPRIL10            </t>
  </si>
  <si>
    <t>2026-03-16 14:49:44.530</t>
  </si>
  <si>
    <t xml:space="preserve">SAQUOH60            </t>
  </si>
  <si>
    <t>2026-03-16 14:49:44.603</t>
  </si>
  <si>
    <t xml:space="preserve">SAQUOH30            </t>
  </si>
  <si>
    <t>2026-03-16 14:49:44.620</t>
  </si>
  <si>
    <t xml:space="preserve">SAQUOH40            </t>
  </si>
  <si>
    <t>2026-03-16 14:49:44.637</t>
  </si>
  <si>
    <t>2026-03-16 14:49:44.647</t>
  </si>
  <si>
    <t xml:space="preserve">SAQUOH50            </t>
  </si>
  <si>
    <t xml:space="preserve">SAQUOH10            </t>
  </si>
  <si>
    <t>2026-03-16 14:49:44.663</t>
  </si>
  <si>
    <t xml:space="preserve">SAQUOH20            </t>
  </si>
  <si>
    <t>2026-03-16 14:49:44.677</t>
  </si>
  <si>
    <t xml:space="preserve">SARLAD10            </t>
  </si>
  <si>
    <t>2026-03-16 14:49:44.757</t>
  </si>
  <si>
    <t>2026-03-16 14:49:44.773</t>
  </si>
  <si>
    <t xml:space="preserve">SARPIT10            </t>
  </si>
  <si>
    <t>2026-03-16 14:49:44.943</t>
  </si>
  <si>
    <t xml:space="preserve">SARTEC20            </t>
  </si>
  <si>
    <t>2026-03-16 14:49:45.000</t>
  </si>
  <si>
    <t>2026-03-16 14:49:45.013</t>
  </si>
  <si>
    <t xml:space="preserve">SARTEC10            </t>
  </si>
  <si>
    <t>2026-03-16 14:49:45.030</t>
  </si>
  <si>
    <t xml:space="preserve">SASSTP10            </t>
  </si>
  <si>
    <t>2026-03-16 14:49:45.187</t>
  </si>
  <si>
    <t xml:space="preserve">SASSTP20            </t>
  </si>
  <si>
    <t>2026-03-16 14:49:45.200</t>
  </si>
  <si>
    <t xml:space="preserve">SATLAD10            </t>
  </si>
  <si>
    <t>2026-03-16 14:49:45.263</t>
  </si>
  <si>
    <t>2026-03-16 14:49:45.277</t>
  </si>
  <si>
    <t xml:space="preserve">SAVLCD30            </t>
  </si>
  <si>
    <t>2026-03-16 14:49:45.450</t>
  </si>
  <si>
    <t xml:space="preserve">SAVLCD20            </t>
  </si>
  <si>
    <t>2026-03-16 14:49:45.467</t>
  </si>
  <si>
    <t xml:space="preserve">SBTYPE10            </t>
  </si>
  <si>
    <t>2026-03-16 14:49:45.513</t>
  </si>
  <si>
    <t xml:space="preserve">SBTYPE20            </t>
  </si>
  <si>
    <t>2026-03-16 14:49:45.527</t>
  </si>
  <si>
    <t xml:space="preserve">SCMPSH10            </t>
  </si>
  <si>
    <t>2026-03-16 14:49:45.710</t>
  </si>
  <si>
    <t>2026-03-16 14:49:45.727</t>
  </si>
  <si>
    <t xml:space="preserve">SCOMPE10            </t>
  </si>
  <si>
    <t>2026-03-16 14:49:45.760</t>
  </si>
  <si>
    <t xml:space="preserve">SDHEAD81            </t>
  </si>
  <si>
    <t>2026-03-16 14:49:45.977</t>
  </si>
  <si>
    <t>2026-03-16 14:49:45.990</t>
  </si>
  <si>
    <t xml:space="preserve">SDLINE20            </t>
  </si>
  <si>
    <t xml:space="preserve">SDHEAD80            </t>
  </si>
  <si>
    <t>2026-03-16 14:49:46.007</t>
  </si>
  <si>
    <t>2026-03-16 14:49:46.023</t>
  </si>
  <si>
    <t xml:space="preserve">SDLINE10            </t>
  </si>
  <si>
    <t xml:space="preserve">SDHEAD20            </t>
  </si>
  <si>
    <t>2026-03-16 14:49:46.053</t>
  </si>
  <si>
    <t xml:space="preserve">SDHEAD02            </t>
  </si>
  <si>
    <t>2026-03-16 14:49:46.070</t>
  </si>
  <si>
    <t xml:space="preserve">SDLOCA10            </t>
  </si>
  <si>
    <t>2026-03-16 14:49:46.240</t>
  </si>
  <si>
    <t>2026-03-16 14:49:46.273</t>
  </si>
  <si>
    <t xml:space="preserve">SDOADR10            </t>
  </si>
  <si>
    <t>2026-03-16 14:49:46.320</t>
  </si>
  <si>
    <t xml:space="preserve">SEQUIP10            </t>
  </si>
  <si>
    <t>2026-03-16 14:49:46.507</t>
  </si>
  <si>
    <t xml:space="preserve">SEQUIP20            </t>
  </si>
  <si>
    <t>2026-03-16 14:49:46.523</t>
  </si>
  <si>
    <t xml:space="preserve">SEQUIP40            </t>
  </si>
  <si>
    <t>2026-03-16 14:49:46.537</t>
  </si>
  <si>
    <t xml:space="preserve">SEQUIP30            </t>
  </si>
  <si>
    <t>2026-03-16 14:49:46.553</t>
  </si>
  <si>
    <t xml:space="preserve">SERACT10            </t>
  </si>
  <si>
    <t>2026-03-16 14:49:46.570</t>
  </si>
  <si>
    <t xml:space="preserve">SERCOD20            </t>
  </si>
  <si>
    <t>2026-03-16 14:49:46.787</t>
  </si>
  <si>
    <t>2026-03-16 14:49:46.803</t>
  </si>
  <si>
    <t xml:space="preserve">SERCOD30            </t>
  </si>
  <si>
    <t>2026-03-16 14:49:46.820</t>
  </si>
  <si>
    <t xml:space="preserve">SERSYM20            </t>
  </si>
  <si>
    <t>2026-03-16 14:49:46.837</t>
  </si>
  <si>
    <t xml:space="preserve">SERCOD40            </t>
  </si>
  <si>
    <t xml:space="preserve">SERCOD50            </t>
  </si>
  <si>
    <t>2026-03-16 14:49:46.850</t>
  </si>
  <si>
    <t xml:space="preserve">SERSYM30            </t>
  </si>
  <si>
    <t xml:space="preserve">SERCOD10            </t>
  </si>
  <si>
    <t>2026-03-16 14:49:46.867</t>
  </si>
  <si>
    <t xml:space="preserve">SERSYM40            </t>
  </si>
  <si>
    <t xml:space="preserve">SERSYM50            </t>
  </si>
  <si>
    <t>2026-03-16 14:49:46.883</t>
  </si>
  <si>
    <t xml:space="preserve">SERSYM10            </t>
  </si>
  <si>
    <t>2026-03-16 14:49:46.897</t>
  </si>
  <si>
    <t xml:space="preserve">SESLAD10            </t>
  </si>
  <si>
    <t>2026-03-16 14:49:47.100</t>
  </si>
  <si>
    <t xml:space="preserve">SESTRG10            </t>
  </si>
  <si>
    <t>2026-03-16 14:49:47.147</t>
  </si>
  <si>
    <t xml:space="preserve">SEXCHG30            </t>
  </si>
  <si>
    <t>2026-03-16 14:49:47.333</t>
  </si>
  <si>
    <t xml:space="preserve">SEXCHG10            </t>
  </si>
  <si>
    <t>2026-03-16 14:49:47.350</t>
  </si>
  <si>
    <t xml:space="preserve">SEXCHG20            </t>
  </si>
  <si>
    <t>2026-03-16 14:49:47.367</t>
  </si>
  <si>
    <t xml:space="preserve">SEXCHG40            </t>
  </si>
  <si>
    <t>2026-03-16 14:49:47.380</t>
  </si>
  <si>
    <t xml:space="preserve">SEXCHG60            </t>
  </si>
  <si>
    <t>2026-03-16 14:49:47.397</t>
  </si>
  <si>
    <t xml:space="preserve">SFALOC11            </t>
  </si>
  <si>
    <t xml:space="preserve">SFALOC10            </t>
  </si>
  <si>
    <t>2026-03-16 14:49:47.413</t>
  </si>
  <si>
    <t xml:space="preserve">SFALOD05            </t>
  </si>
  <si>
    <t>2026-03-16 14:49:47.647</t>
  </si>
  <si>
    <t xml:space="preserve">SFALOD10            </t>
  </si>
  <si>
    <t>2026-03-16 14:49:47.663</t>
  </si>
  <si>
    <t xml:space="preserve">SGDIPO10            </t>
  </si>
  <si>
    <t>2026-03-16 14:49:47.677</t>
  </si>
  <si>
    <t xml:space="preserve">SGDISY10            </t>
  </si>
  <si>
    <t>2026-03-16 14:49:47.897</t>
  </si>
  <si>
    <t xml:space="preserve">SGDLNG10            </t>
  </si>
  <si>
    <t>2026-03-16 14:49:47.927</t>
  </si>
  <si>
    <t xml:space="preserve">SGDMTX10            </t>
  </si>
  <si>
    <t>2026-03-16 14:49:48.137</t>
  </si>
  <si>
    <t xml:space="preserve">SGDMTX20            </t>
  </si>
  <si>
    <t>2026-03-16 14:49:48.153</t>
  </si>
  <si>
    <t xml:space="preserve">SGDMTX40            </t>
  </si>
  <si>
    <t>2026-03-16 14:49:48.167</t>
  </si>
  <si>
    <t xml:space="preserve">SGDMTX50            </t>
  </si>
  <si>
    <t>2026-03-16 14:49:48.183</t>
  </si>
  <si>
    <t xml:space="preserve">SIDMAT30            </t>
  </si>
  <si>
    <t xml:space="preserve">SIDMAT40            </t>
  </si>
  <si>
    <t>2026-03-16 14:49:48.200</t>
  </si>
  <si>
    <t xml:space="preserve">SIDMAT10            </t>
  </si>
  <si>
    <t>2026-03-16 14:49:48.217</t>
  </si>
  <si>
    <t xml:space="preserve">SIDMAT20            </t>
  </si>
  <si>
    <t>2026-03-16 14:49:48.230</t>
  </si>
  <si>
    <t xml:space="preserve">SIDMAT50            </t>
  </si>
  <si>
    <t>2026-03-16 14:49:48.247</t>
  </si>
  <si>
    <t xml:space="preserve">SIIRPT10            </t>
  </si>
  <si>
    <t>2026-03-16 14:49:48.417</t>
  </si>
  <si>
    <t xml:space="preserve">SINACC91            </t>
  </si>
  <si>
    <t>2026-03-16 14:49:48.497</t>
  </si>
  <si>
    <t xml:space="preserve">SINACC90            </t>
  </si>
  <si>
    <t>2026-03-16 14:49:48.513</t>
  </si>
  <si>
    <t xml:space="preserve">SINACC10            </t>
  </si>
  <si>
    <t>2026-03-16 14:49:48.527</t>
  </si>
  <si>
    <t xml:space="preserve">SINACC50            </t>
  </si>
  <si>
    <t>2026-03-16 14:49:48.543</t>
  </si>
  <si>
    <t xml:space="preserve">SINACC40            </t>
  </si>
  <si>
    <t>2026-03-16 14:49:48.560</t>
  </si>
  <si>
    <t xml:space="preserve">SINACC20            </t>
  </si>
  <si>
    <t>2026-03-16 14:49:48.573</t>
  </si>
  <si>
    <t xml:space="preserve">SINDII30            </t>
  </si>
  <si>
    <t>2026-03-16 14:49:48.653</t>
  </si>
  <si>
    <t xml:space="preserve">SINDIV91            </t>
  </si>
  <si>
    <t>2026-03-16 14:49:48.823</t>
  </si>
  <si>
    <t xml:space="preserve">SINDIV82            </t>
  </si>
  <si>
    <t>2026-03-16 14:49:48.840</t>
  </si>
  <si>
    <t xml:space="preserve">SINDIV90            </t>
  </si>
  <si>
    <t>2026-03-16 14:49:48.857</t>
  </si>
  <si>
    <t xml:space="preserve">SINDIV39            </t>
  </si>
  <si>
    <t>2026-03-16 14:49:48.870</t>
  </si>
  <si>
    <t xml:space="preserve">SINDIV21            </t>
  </si>
  <si>
    <t>2026-03-16 14:49:48.887</t>
  </si>
  <si>
    <t xml:space="preserve">SINMOD10            </t>
  </si>
  <si>
    <t xml:space="preserve">SINDIV05            </t>
  </si>
  <si>
    <t>2026-03-16 14:49:48.903</t>
  </si>
  <si>
    <t xml:space="preserve">SINDIV11            </t>
  </si>
  <si>
    <t>2026-03-16 14:49:48.917</t>
  </si>
  <si>
    <t xml:space="preserve">SINDIV51            </t>
  </si>
  <si>
    <t>2026-03-16 14:49:48.933</t>
  </si>
  <si>
    <t xml:space="preserve">SINDIV52            </t>
  </si>
  <si>
    <t>2026-03-16 14:49:48.950</t>
  </si>
  <si>
    <t xml:space="preserve">SINDIV70            </t>
  </si>
  <si>
    <t>2026-03-16 14:49:48.967</t>
  </si>
  <si>
    <t xml:space="preserve">SINDIV41            </t>
  </si>
  <si>
    <t>2026-03-16 14:49:48.980</t>
  </si>
  <si>
    <t xml:space="preserve">SINDIV45            </t>
  </si>
  <si>
    <t>2026-03-16 14:49:48.997</t>
  </si>
  <si>
    <t xml:space="preserve">SINDIV42            </t>
  </si>
  <si>
    <t>2026-03-16 14:49:49.013</t>
  </si>
  <si>
    <t xml:space="preserve">SINDIV43            </t>
  </si>
  <si>
    <t>2026-03-16 14:49:49.027</t>
  </si>
  <si>
    <t xml:space="preserve">SINDIV44            </t>
  </si>
  <si>
    <t>2026-03-16 14:49:49.043</t>
  </si>
  <si>
    <t xml:space="preserve">SINDIV92            </t>
  </si>
  <si>
    <t>2026-03-16 14:49:49.060</t>
  </si>
  <si>
    <t xml:space="preserve">SINDIV80            </t>
  </si>
  <si>
    <t>2026-03-16 14:49:49.073</t>
  </si>
  <si>
    <t xml:space="preserve">SINDIV60            </t>
  </si>
  <si>
    <t>2026-03-16 14:49:49.090</t>
  </si>
  <si>
    <t xml:space="preserve">SINDIV50            </t>
  </si>
  <si>
    <t>2026-03-16 14:49:49.107</t>
  </si>
  <si>
    <t xml:space="preserve">SINDIV40            </t>
  </si>
  <si>
    <t>2026-03-16 14:49:49.120</t>
  </si>
  <si>
    <t xml:space="preserve">SINDIV10            </t>
  </si>
  <si>
    <t>2026-03-16 14:49:49.137</t>
  </si>
  <si>
    <t xml:space="preserve">SINMRD10            </t>
  </si>
  <si>
    <t xml:space="preserve">SINDIV20            </t>
  </si>
  <si>
    <t xml:space="preserve">SINDIV12            </t>
  </si>
  <si>
    <t>2026-03-16 14:49:49.153</t>
  </si>
  <si>
    <t xml:space="preserve">SINDIV30            </t>
  </si>
  <si>
    <t>2026-03-16 14:49:49.167</t>
  </si>
  <si>
    <t xml:space="preserve">SINDIV95            </t>
  </si>
  <si>
    <t>2026-03-16 14:49:49.183</t>
  </si>
  <si>
    <t xml:space="preserve">SINDIV96            </t>
  </si>
  <si>
    <t>2026-03-16 14:49:49.217</t>
  </si>
  <si>
    <t>2026-03-16 14:49:49.230</t>
  </si>
  <si>
    <t xml:space="preserve">SINDIV97            </t>
  </si>
  <si>
    <t>2026-03-16 14:49:49.247</t>
  </si>
  <si>
    <t xml:space="preserve">SINDIV98            </t>
  </si>
  <si>
    <t>2026-03-16 14:49:49.263</t>
  </si>
  <si>
    <t xml:space="preserve">SINDIV46            </t>
  </si>
  <si>
    <t>2026-03-16 14:49:49.280</t>
  </si>
  <si>
    <t>18</t>
  </si>
  <si>
    <t xml:space="preserve">SINMTR20            </t>
  </si>
  <si>
    <t>2026-03-16 14:49:49.360</t>
  </si>
  <si>
    <t xml:space="preserve">SINMTR30            </t>
  </si>
  <si>
    <t>2026-03-16 14:49:49.373</t>
  </si>
  <si>
    <t xml:space="preserve">SINMTR11            </t>
  </si>
  <si>
    <t>2026-03-16 14:49:49.390</t>
  </si>
  <si>
    <t xml:space="preserve">SINMTR10            </t>
  </si>
  <si>
    <t>2026-03-16 14:49:49.407</t>
  </si>
  <si>
    <t xml:space="preserve">SINMTR01            </t>
  </si>
  <si>
    <t>2026-03-16 14:49:49.420</t>
  </si>
  <si>
    <t xml:space="preserve">SINSLD10            </t>
  </si>
  <si>
    <t>2026-03-16 14:49:49.530</t>
  </si>
  <si>
    <t xml:space="preserve">SINTRA91            </t>
  </si>
  <si>
    <t>2026-03-16 14:49:49.657</t>
  </si>
  <si>
    <t xml:space="preserve">SINTRA80            </t>
  </si>
  <si>
    <t>2026-03-16 14:49:49.670</t>
  </si>
  <si>
    <t xml:space="preserve">SINTRA90            </t>
  </si>
  <si>
    <t>2026-03-16 14:49:49.687</t>
  </si>
  <si>
    <t xml:space="preserve">SINTRA20            </t>
  </si>
  <si>
    <t>2026-03-16 14:49:49.703</t>
  </si>
  <si>
    <t xml:space="preserve">SINTRA30            </t>
  </si>
  <si>
    <t>2026-03-16 14:49:49.717</t>
  </si>
  <si>
    <t xml:space="preserve">SINTRA40            </t>
  </si>
  <si>
    <t>2026-03-16 14:49:49.733</t>
  </si>
  <si>
    <t xml:space="preserve">SINTRA50            </t>
  </si>
  <si>
    <t>2026-03-16 14:49:49.750</t>
  </si>
  <si>
    <t xml:space="preserve">SINTRA60            </t>
  </si>
  <si>
    <t>2026-03-16 14:49:49.767</t>
  </si>
  <si>
    <t xml:space="preserve">SINTRA70            </t>
  </si>
  <si>
    <t>2026-03-16 14:49:49.780</t>
  </si>
  <si>
    <t xml:space="preserve">SINVER10            </t>
  </si>
  <si>
    <t xml:space="preserve">SINTRA10            </t>
  </si>
  <si>
    <t>2026-03-16 14:49:49.797</t>
  </si>
  <si>
    <t xml:space="preserve">SINVER20            </t>
  </si>
  <si>
    <t xml:space="preserve">SINVMT10            </t>
  </si>
  <si>
    <t>2026-03-16 14:49:50.030</t>
  </si>
  <si>
    <t xml:space="preserve">SINVMT20            </t>
  </si>
  <si>
    <t>2026-03-16 14:49:50.047</t>
  </si>
  <si>
    <t xml:space="preserve">SIPRIL20            </t>
  </si>
  <si>
    <t xml:space="preserve">SIPRIL10            </t>
  </si>
  <si>
    <t>2026-03-16 14:49:50.060</t>
  </si>
  <si>
    <t xml:space="preserve">SITCMD10            </t>
  </si>
  <si>
    <t>2026-03-16 14:49:50.280</t>
  </si>
  <si>
    <t xml:space="preserve">SITCME20            </t>
  </si>
  <si>
    <t>2026-03-16 14:49:50.310</t>
  </si>
  <si>
    <t xml:space="preserve">SITCOM10            </t>
  </si>
  <si>
    <t>2026-03-16 14:49:50.513</t>
  </si>
  <si>
    <t xml:space="preserve">SITLAD10            </t>
  </si>
  <si>
    <t>2026-03-16 14:49:50.560</t>
  </si>
  <si>
    <t xml:space="preserve">SITMOD10            </t>
  </si>
  <si>
    <t>2026-03-16 14:49:50.747</t>
  </si>
  <si>
    <t>2026-03-16 14:49:50.763</t>
  </si>
  <si>
    <t xml:space="preserve">SITPOP20            </t>
  </si>
  <si>
    <t>2026-03-16 14:49:50.810</t>
  </si>
  <si>
    <t xml:space="preserve">SITPOP10            </t>
  </si>
  <si>
    <t>2026-03-16 14:49:50.827</t>
  </si>
  <si>
    <t xml:space="preserve">SKITHE10            </t>
  </si>
  <si>
    <t>2026-03-16 14:49:51.003</t>
  </si>
  <si>
    <t xml:space="preserve">SKITLN10            </t>
  </si>
  <si>
    <t>2026-03-16 14:49:51.077</t>
  </si>
  <si>
    <t xml:space="preserve">SKITLN20            </t>
  </si>
  <si>
    <t>2026-03-16 14:49:51.093</t>
  </si>
  <si>
    <t xml:space="preserve">SKITVA10            </t>
  </si>
  <si>
    <t>2026-03-16 14:49:51.240</t>
  </si>
  <si>
    <t>2026-03-16 14:49:51.270</t>
  </si>
  <si>
    <t xml:space="preserve">SMECOD20            </t>
  </si>
  <si>
    <t>2026-03-16 14:49:51.333</t>
  </si>
  <si>
    <t>2026-03-16 14:49:51.350</t>
  </si>
  <si>
    <t xml:space="preserve">SMECOD30            </t>
  </si>
  <si>
    <t>2026-03-16 14:49:51.367</t>
  </si>
  <si>
    <t xml:space="preserve">SMECOD40            </t>
  </si>
  <si>
    <t>2026-03-16 14:49:51.380</t>
  </si>
  <si>
    <t>2026-03-16 14:49:51.397</t>
  </si>
  <si>
    <t xml:space="preserve">SMECOD50            </t>
  </si>
  <si>
    <t>2026-03-16 14:49:51.413</t>
  </si>
  <si>
    <t xml:space="preserve">SMECOD10            </t>
  </si>
  <si>
    <t>2026-03-16 14:49:51.427</t>
  </si>
  <si>
    <t xml:space="preserve">SMETXT20            </t>
  </si>
  <si>
    <t>2026-03-16 14:49:51.507</t>
  </si>
  <si>
    <t xml:space="preserve">SMETXT30            </t>
  </si>
  <si>
    <t>2026-03-16 14:49:51.523</t>
  </si>
  <si>
    <t xml:space="preserve">SMETXT40            </t>
  </si>
  <si>
    <t>2026-03-16 14:49:51.540</t>
  </si>
  <si>
    <t xml:space="preserve">SMETXT50            </t>
  </si>
  <si>
    <t>2026-03-16 14:49:51.557</t>
  </si>
  <si>
    <t xml:space="preserve">SMETXT10            </t>
  </si>
  <si>
    <t>2026-03-16 14:49:51.570</t>
  </si>
  <si>
    <t xml:space="preserve">SMWCON20            </t>
  </si>
  <si>
    <t>2026-03-16 14:49:51.680</t>
  </si>
  <si>
    <t xml:space="preserve">SMWCON10            </t>
  </si>
  <si>
    <t>2026-03-16 14:49:51.697</t>
  </si>
  <si>
    <t xml:space="preserve">SOQUOH60            </t>
  </si>
  <si>
    <t>2026-03-16 14:49:51.807</t>
  </si>
  <si>
    <t xml:space="preserve">SOQUOH30            </t>
  </si>
  <si>
    <t>2026-03-16 14:49:51.820</t>
  </si>
  <si>
    <t xml:space="preserve">SOQUOH40            </t>
  </si>
  <si>
    <t>2026-03-16 14:49:51.837</t>
  </si>
  <si>
    <t xml:space="preserve">SOQUOH50            </t>
  </si>
  <si>
    <t>2026-03-16 14:49:51.853</t>
  </si>
  <si>
    <t xml:space="preserve">SOQUOH10            </t>
  </si>
  <si>
    <t>2026-03-16 14:49:51.867</t>
  </si>
  <si>
    <t xml:space="preserve">SOQUOH20            </t>
  </si>
  <si>
    <t>2026-03-16 14:49:51.883</t>
  </si>
  <si>
    <t xml:space="preserve">SOSTME10            </t>
  </si>
  <si>
    <t>2026-03-16 14:49:51.947</t>
  </si>
  <si>
    <t xml:space="preserve">SOWAST10            </t>
  </si>
  <si>
    <t>2026-03-16 14:49:52.117</t>
  </si>
  <si>
    <t xml:space="preserve">SPICLI30            </t>
  </si>
  <si>
    <t>2026-03-16 14:49:52.197</t>
  </si>
  <si>
    <t xml:space="preserve">SPICLI10            </t>
  </si>
  <si>
    <t>2026-03-16 14:49:52.210</t>
  </si>
  <si>
    <t xml:space="preserve">SPICLI20            </t>
  </si>
  <si>
    <t>2026-03-16 14:49:52.227</t>
  </si>
  <si>
    <t xml:space="preserve">SPITTP10            </t>
  </si>
  <si>
    <t>2026-03-16 14:49:52.353</t>
  </si>
  <si>
    <t xml:space="preserve">SPITTP20            </t>
  </si>
  <si>
    <t>2026-03-16 14:49:52.367</t>
  </si>
  <si>
    <t xml:space="preserve">SPMACT20            </t>
  </si>
  <si>
    <t>2026-03-16 14:49:52.477</t>
  </si>
  <si>
    <t xml:space="preserve">SPMACT10            </t>
  </si>
  <si>
    <t>2026-03-16 14:49:52.493</t>
  </si>
  <si>
    <t xml:space="preserve">SPMINF10            </t>
  </si>
  <si>
    <t>2026-03-16 14:49:52.603</t>
  </si>
  <si>
    <t xml:space="preserve">SPRICE10            </t>
  </si>
  <si>
    <t>2026-03-16 14:49:52.743</t>
  </si>
  <si>
    <t xml:space="preserve">SPRICE20            </t>
  </si>
  <si>
    <t>2026-03-16 14:49:52.757</t>
  </si>
  <si>
    <t xml:space="preserve">SPRICH30            </t>
  </si>
  <si>
    <t>2026-03-16 14:49:52.837</t>
  </si>
  <si>
    <t xml:space="preserve">SPRICH10            </t>
  </si>
  <si>
    <t>2026-03-16 14:49:52.853</t>
  </si>
  <si>
    <t xml:space="preserve">SPRICH20            </t>
  </si>
  <si>
    <t>2026-03-16 14:49:52.867</t>
  </si>
  <si>
    <t xml:space="preserve">SPRICL20            </t>
  </si>
  <si>
    <t>2026-03-16 14:49:53.007</t>
  </si>
  <si>
    <t xml:space="preserve">SPRICL10            </t>
  </si>
  <si>
    <t>2026-03-16 14:49:53.023</t>
  </si>
  <si>
    <t xml:space="preserve">SPWCON10            </t>
  </si>
  <si>
    <t>2026-03-16 14:49:53.103</t>
  </si>
  <si>
    <t xml:space="preserve">SQUTEM40            </t>
  </si>
  <si>
    <t>2026-03-16 14:49:53.277</t>
  </si>
  <si>
    <t xml:space="preserve">SQUTEM60            </t>
  </si>
  <si>
    <t>2026-03-16 14:49:53.293</t>
  </si>
  <si>
    <t xml:space="preserve">SQUTEM50            </t>
  </si>
  <si>
    <t>2026-03-16 14:49:53.310</t>
  </si>
  <si>
    <t xml:space="preserve">SQUTEM20            </t>
  </si>
  <si>
    <t>2026-03-16 14:49:53.327</t>
  </si>
  <si>
    <t xml:space="preserve">SQUTEM30            </t>
  </si>
  <si>
    <t>2026-03-16 14:49:53.340</t>
  </si>
  <si>
    <t xml:space="preserve">SSADRE20            </t>
  </si>
  <si>
    <t xml:space="preserve">SQUTEM70            </t>
  </si>
  <si>
    <t>2026-03-16 14:49:53.357</t>
  </si>
  <si>
    <t xml:space="preserve">SQUTEM10            </t>
  </si>
  <si>
    <t>2026-03-16 14:49:53.373</t>
  </si>
  <si>
    <t xml:space="preserve">SSADTX10            </t>
  </si>
  <si>
    <t>2026-03-16 14:49:53.577</t>
  </si>
  <si>
    <t xml:space="preserve">SSCUAD10            </t>
  </si>
  <si>
    <t>2026-03-16 14:49:53.620</t>
  </si>
  <si>
    <t xml:space="preserve">SSDVID10            </t>
  </si>
  <si>
    <t>2026-03-16 14:49:53.833</t>
  </si>
  <si>
    <t xml:space="preserve">SSE44510            </t>
  </si>
  <si>
    <t>2026-03-16 14:49:53.863</t>
  </si>
  <si>
    <t xml:space="preserve">SSEITM10            </t>
  </si>
  <si>
    <t>2026-03-16 14:49:54.067</t>
  </si>
  <si>
    <t xml:space="preserve">SSEITM30            </t>
  </si>
  <si>
    <t>2026-03-16 14:49:54.083</t>
  </si>
  <si>
    <t xml:space="preserve">SSEITM20            </t>
  </si>
  <si>
    <t>2026-03-16 14:49:54.100</t>
  </si>
  <si>
    <t xml:space="preserve">SSHEAD90            </t>
  </si>
  <si>
    <t>2026-03-16 14:49:54.113</t>
  </si>
  <si>
    <t xml:space="preserve">SSHEAD80            </t>
  </si>
  <si>
    <t>2026-03-16 14:49:54.130</t>
  </si>
  <si>
    <t xml:space="preserve">SSHEAD70            </t>
  </si>
  <si>
    <t>2026-03-16 14:49:54.147</t>
  </si>
  <si>
    <t xml:space="preserve">SSHEAD20            </t>
  </si>
  <si>
    <t>2026-03-16 14:49:54.160</t>
  </si>
  <si>
    <t xml:space="preserve">SSHEAD15            </t>
  </si>
  <si>
    <t>2026-03-16 14:49:54.177</t>
  </si>
  <si>
    <t xml:space="preserve">SSHEAD86            </t>
  </si>
  <si>
    <t>2026-03-16 14:49:54.193</t>
  </si>
  <si>
    <t xml:space="preserve">SSHEAD65            </t>
  </si>
  <si>
    <t>2026-03-16 14:49:54.207</t>
  </si>
  <si>
    <t xml:space="preserve">SSHEAD76            </t>
  </si>
  <si>
    <t>2026-03-16 14:49:54.223</t>
  </si>
  <si>
    <t xml:space="preserve">SSHEAD30            </t>
  </si>
  <si>
    <t>2026-03-16 14:49:54.240</t>
  </si>
  <si>
    <t xml:space="preserve">SSHEAD60            </t>
  </si>
  <si>
    <t>2026-03-16 14:49:54.257</t>
  </si>
  <si>
    <t xml:space="preserve">SSHEAD10            </t>
  </si>
  <si>
    <t>2026-03-16 14:49:54.270</t>
  </si>
  <si>
    <t xml:space="preserve">SSHEAD95            </t>
  </si>
  <si>
    <t>2026-03-16 14:49:54.287</t>
  </si>
  <si>
    <t xml:space="preserve">SSHEAD21            </t>
  </si>
  <si>
    <t>2026-03-16 14:49:54.303</t>
  </si>
  <si>
    <t xml:space="preserve">SSHEAD50            </t>
  </si>
  <si>
    <t>2026-03-16 14:49:54.317</t>
  </si>
  <si>
    <t xml:space="preserve">SSHEAD55            </t>
  </si>
  <si>
    <t>2026-03-16 14:49:54.333</t>
  </si>
  <si>
    <t xml:space="preserve">SSILAD10            </t>
  </si>
  <si>
    <t xml:space="preserve">SSHEAD41            </t>
  </si>
  <si>
    <t>2026-03-16 14:49:54.350</t>
  </si>
  <si>
    <t xml:space="preserve">SSHEAD46            </t>
  </si>
  <si>
    <t>2026-03-16 14:49:54.363</t>
  </si>
  <si>
    <t xml:space="preserve">SSHEAD11            </t>
  </si>
  <si>
    <t>2026-03-16 14:49:54.380</t>
  </si>
  <si>
    <t xml:space="preserve">SSHEAD40            </t>
  </si>
  <si>
    <t>2026-03-16 14:49:54.397</t>
  </si>
  <si>
    <t xml:space="preserve">SSHEAD75            </t>
  </si>
  <si>
    <t>2026-03-16 14:49:54.410</t>
  </si>
  <si>
    <t xml:space="preserve">SSHEAD35            </t>
  </si>
  <si>
    <t>2026-03-16 14:49:54.427</t>
  </si>
  <si>
    <t xml:space="preserve">SSHEAD03            </t>
  </si>
  <si>
    <t>2026-03-16 14:49:54.443</t>
  </si>
  <si>
    <t xml:space="preserve">SSHEAD01            </t>
  </si>
  <si>
    <t>2026-03-16 14:49:54.457</t>
  </si>
  <si>
    <t xml:space="preserve">SSHEAD02            </t>
  </si>
  <si>
    <t>2026-03-16 14:49:54.473</t>
  </si>
  <si>
    <t xml:space="preserve">SSINID10            </t>
  </si>
  <si>
    <t>2026-03-16 14:49:54.567</t>
  </si>
  <si>
    <t xml:space="preserve">SSISID10            </t>
  </si>
  <si>
    <t>2026-03-16 14:49:54.723</t>
  </si>
  <si>
    <t xml:space="preserve">SSJOBH93            </t>
  </si>
  <si>
    <t>2026-03-16 14:49:54.803</t>
  </si>
  <si>
    <t>2026-03-16 14:49:54.817</t>
  </si>
  <si>
    <t xml:space="preserve">SSJOBH87            </t>
  </si>
  <si>
    <t>2026-03-16 14:49:54.833</t>
  </si>
  <si>
    <t xml:space="preserve">SSJOBH96            </t>
  </si>
  <si>
    <t>2026-03-16 14:49:54.850</t>
  </si>
  <si>
    <t xml:space="preserve">SSJOBH44            </t>
  </si>
  <si>
    <t>2026-03-16 14:49:54.863</t>
  </si>
  <si>
    <t xml:space="preserve">SSJOBH42            </t>
  </si>
  <si>
    <t>2026-03-16 14:49:54.880</t>
  </si>
  <si>
    <t xml:space="preserve">SSJOBH21            </t>
  </si>
  <si>
    <t>2026-03-16 14:49:54.897</t>
  </si>
  <si>
    <t>2026-03-16 14:49:54.913</t>
  </si>
  <si>
    <t xml:space="preserve">SSJOBH26            </t>
  </si>
  <si>
    <t>2026-03-16 14:49:54.927</t>
  </si>
  <si>
    <t xml:space="preserve">SSJOBH91            </t>
  </si>
  <si>
    <t>2026-03-16 14:49:54.943</t>
  </si>
  <si>
    <t xml:space="preserve">SSJOBH92            </t>
  </si>
  <si>
    <t>2026-03-16 14:49:54.960</t>
  </si>
  <si>
    <t xml:space="preserve">SSJOBH97            </t>
  </si>
  <si>
    <t>2026-03-16 14:49:54.973</t>
  </si>
  <si>
    <t xml:space="preserve">SSLICH10            </t>
  </si>
  <si>
    <t>2026-03-16 14:49:54.990</t>
  </si>
  <si>
    <t xml:space="preserve">SSJOBH88            </t>
  </si>
  <si>
    <t>2026-03-16 14:49:55.020</t>
  </si>
  <si>
    <t xml:space="preserve">SSJOBH89            </t>
  </si>
  <si>
    <t>2026-03-16 14:49:55.053</t>
  </si>
  <si>
    <t xml:space="preserve">SSJOBH28            </t>
  </si>
  <si>
    <t>2026-03-16 14:49:55.067</t>
  </si>
  <si>
    <t xml:space="preserve">SSJOBH29            </t>
  </si>
  <si>
    <t>2026-03-16 14:49:55.083</t>
  </si>
  <si>
    <t>2026-03-16 14:49:55.117</t>
  </si>
  <si>
    <t xml:space="preserve">SSJOBH10            </t>
  </si>
  <si>
    <t>2026-03-16 14:49:55.130</t>
  </si>
  <si>
    <t xml:space="preserve">SSJOBH98            </t>
  </si>
  <si>
    <t>2026-03-16 14:49:55.147</t>
  </si>
  <si>
    <t xml:space="preserve">SSJOBH95            </t>
  </si>
  <si>
    <t>2026-03-16 14:49:55.163</t>
  </si>
  <si>
    <t xml:space="preserve">SSJOBH51            </t>
  </si>
  <si>
    <t>2026-03-16 14:49:55.177</t>
  </si>
  <si>
    <t xml:space="preserve">SSJOBH27            </t>
  </si>
  <si>
    <t>2026-03-16 14:49:55.193</t>
  </si>
  <si>
    <t xml:space="preserve">SSJOBH22            </t>
  </si>
  <si>
    <t>2026-03-16 14:49:55.210</t>
  </si>
  <si>
    <t xml:space="preserve">SSJOBH23            </t>
  </si>
  <si>
    <t>2026-03-16 14:49:55.223</t>
  </si>
  <si>
    <t xml:space="preserve">SSJOBH41            </t>
  </si>
  <si>
    <t>2026-03-16 14:49:55.240</t>
  </si>
  <si>
    <t>2026-03-16 14:49:55.257</t>
  </si>
  <si>
    <t xml:space="preserve">SSJOBH55            </t>
  </si>
  <si>
    <t xml:space="preserve">SSLINE90            </t>
  </si>
  <si>
    <t xml:space="preserve">SSJOBH70            </t>
  </si>
  <si>
    <t>2026-03-16 14:49:55.287</t>
  </si>
  <si>
    <t xml:space="preserve">SSLINE05            </t>
  </si>
  <si>
    <t>2026-03-16 14:49:55.270</t>
  </si>
  <si>
    <t xml:space="preserve">SSLINE60            </t>
  </si>
  <si>
    <t>2026-03-16 14:49:55.303</t>
  </si>
  <si>
    <t xml:space="preserve">SSJOBH75            </t>
  </si>
  <si>
    <t xml:space="preserve">SSJOBH76            </t>
  </si>
  <si>
    <t>2026-03-16 14:49:55.333</t>
  </si>
  <si>
    <t xml:space="preserve">SSLINE20            </t>
  </si>
  <si>
    <t>2026-03-16 14:49:55.317</t>
  </si>
  <si>
    <t xml:space="preserve">SSLINE70            </t>
  </si>
  <si>
    <t>2026-03-16 14:49:55.350</t>
  </si>
  <si>
    <t xml:space="preserve">SSJOBH94            </t>
  </si>
  <si>
    <t xml:space="preserve">SSJOBH31            </t>
  </si>
  <si>
    <t>2026-03-16 14:49:55.380</t>
  </si>
  <si>
    <t xml:space="preserve">SSLINE87            </t>
  </si>
  <si>
    <t>2026-03-16 14:49:55.367</t>
  </si>
  <si>
    <t xml:space="preserve">SSLINE10            </t>
  </si>
  <si>
    <t xml:space="preserve">SSJOBH62            </t>
  </si>
  <si>
    <t>2026-03-16 14:49:55.413</t>
  </si>
  <si>
    <t xml:space="preserve">SSLINE01            </t>
  </si>
  <si>
    <t>2026-03-16 14:49:55.397</t>
  </si>
  <si>
    <t xml:space="preserve">SSLINE50            </t>
  </si>
  <si>
    <t xml:space="preserve">SSJOBH11            </t>
  </si>
  <si>
    <t>2026-03-16 14:49:55.427</t>
  </si>
  <si>
    <t xml:space="preserve">SSLINE80            </t>
  </si>
  <si>
    <t xml:space="preserve">SSLINE40            </t>
  </si>
  <si>
    <t xml:space="preserve">SSJOBH12            </t>
  </si>
  <si>
    <t>2026-03-16 14:49:55.443</t>
  </si>
  <si>
    <t xml:space="preserve">SSJOBH65            </t>
  </si>
  <si>
    <t>2026-03-16 14:49:55.460</t>
  </si>
  <si>
    <t xml:space="preserve">SSJOBH66            </t>
  </si>
  <si>
    <t>2026-03-16 14:49:55.473</t>
  </si>
  <si>
    <t xml:space="preserve">SSJOBH20            </t>
  </si>
  <si>
    <t>2026-03-16 14:49:55.490</t>
  </si>
  <si>
    <t xml:space="preserve">SSJOBH80            </t>
  </si>
  <si>
    <t>2026-03-16 14:49:55.507</t>
  </si>
  <si>
    <t>2026-03-16 14:49:55.537</t>
  </si>
  <si>
    <t xml:space="preserve">SSJOBH90            </t>
  </si>
  <si>
    <t>2026-03-16 14:49:55.553</t>
  </si>
  <si>
    <t xml:space="preserve">SSO18010            </t>
  </si>
  <si>
    <t>2026-03-16 14:49:55.693</t>
  </si>
  <si>
    <t xml:space="preserve">SSO18120            </t>
  </si>
  <si>
    <t>2026-03-16 14:49:55.793</t>
  </si>
  <si>
    <t xml:space="preserve">SSO18130            </t>
  </si>
  <si>
    <t>2026-03-16 14:49:55.807</t>
  </si>
  <si>
    <t xml:space="preserve">SSO18110            </t>
  </si>
  <si>
    <t>2026-03-16 14:49:55.823</t>
  </si>
  <si>
    <t xml:space="preserve">SSO18210            </t>
  </si>
  <si>
    <t>2026-03-16 14:49:55.950</t>
  </si>
  <si>
    <t>2026-03-16 14:49:55.980</t>
  </si>
  <si>
    <t xml:space="preserve">SSPRPH10            </t>
  </si>
  <si>
    <t>2026-03-16 14:49:56.057</t>
  </si>
  <si>
    <t xml:space="preserve">SSPRPH30            </t>
  </si>
  <si>
    <t>2026-03-16 14:49:56.073</t>
  </si>
  <si>
    <t xml:space="preserve">SSPRPH20            </t>
  </si>
  <si>
    <t>2026-03-16 14:49:56.090</t>
  </si>
  <si>
    <t xml:space="preserve">SSRESP10            </t>
  </si>
  <si>
    <t>2026-03-16 14:49:56.230</t>
  </si>
  <si>
    <t xml:space="preserve">SSRETM10            </t>
  </si>
  <si>
    <t>2026-03-16 14:49:56.323</t>
  </si>
  <si>
    <t>2026-03-16 14:49:56.340</t>
  </si>
  <si>
    <t xml:space="preserve">SST30010            </t>
  </si>
  <si>
    <t>2026-03-16 14:49:56.480</t>
  </si>
  <si>
    <t>2026-03-16 14:49:56.510</t>
  </si>
  <si>
    <t xml:space="preserve">SST48510            </t>
  </si>
  <si>
    <t>2026-03-16 14:49:56.573</t>
  </si>
  <si>
    <t xml:space="preserve">SST48520            </t>
  </si>
  <si>
    <t>2026-03-16 14:49:56.590</t>
  </si>
  <si>
    <t xml:space="preserve">SST49530            </t>
  </si>
  <si>
    <t>2026-03-16 14:49:56.760</t>
  </si>
  <si>
    <t xml:space="preserve">SST49540            </t>
  </si>
  <si>
    <t>2026-03-16 14:49:56.777</t>
  </si>
  <si>
    <t xml:space="preserve">SST49550            </t>
  </si>
  <si>
    <t>2026-03-16 14:49:56.793</t>
  </si>
  <si>
    <t xml:space="preserve">SST49510            </t>
  </si>
  <si>
    <t>2026-03-16 14:49:56.807</t>
  </si>
  <si>
    <t>2026-03-16 14:49:56.823</t>
  </si>
  <si>
    <t xml:space="preserve">SST49520            </t>
  </si>
  <si>
    <t>2026-03-16 14:49:56.857</t>
  </si>
  <si>
    <t xml:space="preserve">SST81110            </t>
  </si>
  <si>
    <t xml:space="preserve">SSTECH20            </t>
  </si>
  <si>
    <t>2026-03-16 14:49:57.057</t>
  </si>
  <si>
    <t xml:space="preserve">SSTRAL10            </t>
  </si>
  <si>
    <t>2026-03-16 14:49:57.107</t>
  </si>
  <si>
    <t>2026-03-16 14:49:57.137</t>
  </si>
  <si>
    <t xml:space="preserve">SSTRAL20            </t>
  </si>
  <si>
    <t>2026-03-16 14:49:57.153</t>
  </si>
  <si>
    <t xml:space="preserve">SSTYCH10            </t>
  </si>
  <si>
    <t>2026-03-16 14:49:57.293</t>
  </si>
  <si>
    <t xml:space="preserve">SSTYPE10            </t>
  </si>
  <si>
    <t>2026-03-16 14:49:57.403</t>
  </si>
  <si>
    <t>2026-03-16 14:49:57.433</t>
  </si>
  <si>
    <t xml:space="preserve">SSZONE10            </t>
  </si>
  <si>
    <t>2026-03-16 14:49:57.527</t>
  </si>
  <si>
    <t xml:space="preserve">SSZONE20            </t>
  </si>
  <si>
    <t>2026-03-16 14:49:57.543</t>
  </si>
  <si>
    <t xml:space="preserve">ST650210            </t>
  </si>
  <si>
    <t>2026-03-16 14:49:57.683</t>
  </si>
  <si>
    <t xml:space="preserve">ST820110            </t>
  </si>
  <si>
    <t>2026-03-16 14:49:57.777</t>
  </si>
  <si>
    <t>2026-03-16 14:49:57.807</t>
  </si>
  <si>
    <t xml:space="preserve">STACON10            </t>
  </si>
  <si>
    <t>2026-03-16 14:49:57.933</t>
  </si>
  <si>
    <t xml:space="preserve">STADCH00            </t>
  </si>
  <si>
    <t>2026-03-16 14:49:58.043</t>
  </si>
  <si>
    <t xml:space="preserve">STADCM10            </t>
  </si>
  <si>
    <t>2026-03-16 14:49:58.180</t>
  </si>
  <si>
    <t>2026-03-16 14:49:58.197</t>
  </si>
  <si>
    <t xml:space="preserve">STADCM20            </t>
  </si>
  <si>
    <t>2026-03-16 14:49:58.213</t>
  </si>
  <si>
    <t xml:space="preserve">STAGDN10            </t>
  </si>
  <si>
    <t>2026-03-16 14:49:58.273</t>
  </si>
  <si>
    <t xml:space="preserve">STAGHD01            </t>
  </si>
  <si>
    <t>2026-03-16 14:49:58.463</t>
  </si>
  <si>
    <t xml:space="preserve">STAGHD02            </t>
  </si>
  <si>
    <t>2026-03-16 14:49:58.477</t>
  </si>
  <si>
    <t xml:space="preserve">STAGHE10            </t>
  </si>
  <si>
    <t>2026-03-16 14:49:58.507</t>
  </si>
  <si>
    <t xml:space="preserve">STAGHE40            </t>
  </si>
  <si>
    <t>2026-03-16 14:49:58.523</t>
  </si>
  <si>
    <t xml:space="preserve">STAGHE60            </t>
  </si>
  <si>
    <t>2026-03-16 14:49:58.540</t>
  </si>
  <si>
    <t xml:space="preserve">STAGHE11            </t>
  </si>
  <si>
    <t>2026-03-16 14:49:58.557</t>
  </si>
  <si>
    <t xml:space="preserve">STAGHE20            </t>
  </si>
  <si>
    <t>2026-03-16 14:49:58.570</t>
  </si>
  <si>
    <t xml:space="preserve">STAGHE70            </t>
  </si>
  <si>
    <t>2026-03-16 14:49:58.587</t>
  </si>
  <si>
    <t xml:space="preserve">STAGHE50            </t>
  </si>
  <si>
    <t>2026-03-16 14:49:58.603</t>
  </si>
  <si>
    <t xml:space="preserve">STAGHE30            </t>
  </si>
  <si>
    <t>2026-03-16 14:49:58.617</t>
  </si>
  <si>
    <t xml:space="preserve">STAGHE03            </t>
  </si>
  <si>
    <t>2026-03-16 14:49:58.633</t>
  </si>
  <si>
    <t xml:space="preserve">STAGHH31            </t>
  </si>
  <si>
    <t>2026-03-16 14:49:58.727</t>
  </si>
  <si>
    <t xml:space="preserve">STAGHH21            </t>
  </si>
  <si>
    <t>2026-03-16 14:49:58.743</t>
  </si>
  <si>
    <t xml:space="preserve">STAGHH01            </t>
  </si>
  <si>
    <t>2026-03-16 14:49:58.757</t>
  </si>
  <si>
    <t xml:space="preserve">STAGHH11            </t>
  </si>
  <si>
    <t>2026-03-16 14:49:58.773</t>
  </si>
  <si>
    <t xml:space="preserve">STAGHH41            </t>
  </si>
  <si>
    <t>2026-03-16 14:49:58.790</t>
  </si>
  <si>
    <t xml:space="preserve">STAGHH60            </t>
  </si>
  <si>
    <t>2026-03-16 14:49:58.807</t>
  </si>
  <si>
    <t xml:space="preserve">STAGHH30            </t>
  </si>
  <si>
    <t>2026-03-16 14:49:58.820</t>
  </si>
  <si>
    <t>2026-03-16 14:49:58.837</t>
  </si>
  <si>
    <t xml:space="preserve">STAGHH40            </t>
  </si>
  <si>
    <t>2026-03-16 14:49:58.853</t>
  </si>
  <si>
    <t xml:space="preserve">STAGHH20            </t>
  </si>
  <si>
    <t>2026-03-16 14:49:58.867</t>
  </si>
  <si>
    <t xml:space="preserve">STAGHH10            </t>
  </si>
  <si>
    <t>2026-03-16 14:49:58.883</t>
  </si>
  <si>
    <t xml:space="preserve">STAGHL50            </t>
  </si>
  <si>
    <t xml:space="preserve">STAGHL40            </t>
  </si>
  <si>
    <t>2026-03-16 14:49:58.900</t>
  </si>
  <si>
    <t xml:space="preserve">STAGHL10            </t>
  </si>
  <si>
    <t xml:space="preserve">STAGHL20            </t>
  </si>
  <si>
    <t>2026-03-16 14:49:58.917</t>
  </si>
  <si>
    <t xml:space="preserve">STAGHL30            </t>
  </si>
  <si>
    <t>2026-03-16 14:49:58.930</t>
  </si>
  <si>
    <t xml:space="preserve">STAGHL01            </t>
  </si>
  <si>
    <t>2026-03-16 14:49:58.947</t>
  </si>
  <si>
    <t>2026-03-16 14:49:58.977</t>
  </si>
  <si>
    <t xml:space="preserve">STAGHL41            </t>
  </si>
  <si>
    <t>2026-03-16 14:49:58.993</t>
  </si>
  <si>
    <t xml:space="preserve">STAGHL31            </t>
  </si>
  <si>
    <t>2026-03-16 14:49:59.007</t>
  </si>
  <si>
    <t xml:space="preserve">STAGHL21            </t>
  </si>
  <si>
    <t>2026-03-16 14:49:59.040</t>
  </si>
  <si>
    <t xml:space="preserve">STAGHT11            </t>
  </si>
  <si>
    <t>2026-03-16 14:49:59.133</t>
  </si>
  <si>
    <t xml:space="preserve">STAGHT31            </t>
  </si>
  <si>
    <t>2026-03-16 14:49:59.150</t>
  </si>
  <si>
    <t xml:space="preserve">STAGHT21            </t>
  </si>
  <si>
    <t>2026-03-16 14:49:59.167</t>
  </si>
  <si>
    <t xml:space="preserve">STAGHT01            </t>
  </si>
  <si>
    <t>2026-03-16 14:49:59.180</t>
  </si>
  <si>
    <t xml:space="preserve">STAGHT10            </t>
  </si>
  <si>
    <t>2026-03-16 14:49:59.197</t>
  </si>
  <si>
    <t xml:space="preserve">STAGHT30            </t>
  </si>
  <si>
    <t>2026-03-16 14:49:59.213</t>
  </si>
  <si>
    <t xml:space="preserve">STAGHT20            </t>
  </si>
  <si>
    <t>2026-03-16 14:49:59.230</t>
  </si>
  <si>
    <t xml:space="preserve">STAGLI43            </t>
  </si>
  <si>
    <t>2026-03-16 14:49:59.277</t>
  </si>
  <si>
    <t xml:space="preserve">STAGLI96            </t>
  </si>
  <si>
    <t>2026-03-16 14:49:59.293</t>
  </si>
  <si>
    <t xml:space="preserve">STAGLI42            </t>
  </si>
  <si>
    <t>2026-03-16 14:49:59.307</t>
  </si>
  <si>
    <t xml:space="preserve">STAGLI60            </t>
  </si>
  <si>
    <t>2026-03-16 14:49:59.323</t>
  </si>
  <si>
    <t>2026-03-16 14:49:59.340</t>
  </si>
  <si>
    <t xml:space="preserve">STAGLI90            </t>
  </si>
  <si>
    <t>2026-03-16 14:49:59.357</t>
  </si>
  <si>
    <t xml:space="preserve">STAGLI31            </t>
  </si>
  <si>
    <t>2026-03-16 14:49:59.370</t>
  </si>
  <si>
    <t xml:space="preserve">STAGLI41            </t>
  </si>
  <si>
    <t>2026-03-16 14:49:59.387</t>
  </si>
  <si>
    <t xml:space="preserve">STAGLI80            </t>
  </si>
  <si>
    <t>2026-03-16 14:49:59.400</t>
  </si>
  <si>
    <t xml:space="preserve">STAGLI40            </t>
  </si>
  <si>
    <t>2026-03-16 14:49:59.417</t>
  </si>
  <si>
    <t xml:space="preserve">STAGLI20            </t>
  </si>
  <si>
    <t>2026-03-16 14:49:59.433</t>
  </si>
  <si>
    <t xml:space="preserve">STAGLI30            </t>
  </si>
  <si>
    <t>2026-03-16 14:49:59.447</t>
  </si>
  <si>
    <t xml:space="preserve">STAGLI44            </t>
  </si>
  <si>
    <t>2026-03-16 14:49:59.463</t>
  </si>
  <si>
    <t xml:space="preserve">STAGLI75            </t>
  </si>
  <si>
    <t>2026-03-16 14:49:59.480</t>
  </si>
  <si>
    <t>2026-03-16 14:49:59.497</t>
  </si>
  <si>
    <t xml:space="preserve">STAGPD10            </t>
  </si>
  <si>
    <t xml:space="preserve">STAGLI85            </t>
  </si>
  <si>
    <t>2026-03-16 14:49:59.527</t>
  </si>
  <si>
    <t xml:space="preserve">STAGPD20            </t>
  </si>
  <si>
    <t xml:space="preserve">STAGLI95            </t>
  </si>
  <si>
    <t>2026-03-16 14:49:59.543</t>
  </si>
  <si>
    <t xml:space="preserve">STAGLI11            </t>
  </si>
  <si>
    <t>2026-03-16 14:49:59.557</t>
  </si>
  <si>
    <t xml:space="preserve">STAGLI10            </t>
  </si>
  <si>
    <t>2026-03-16 14:49:59.573</t>
  </si>
  <si>
    <t xml:space="preserve">STAGLI50            </t>
  </si>
  <si>
    <t>2026-03-16 14:49:59.590</t>
  </si>
  <si>
    <t xml:space="preserve">STAGLI61            </t>
  </si>
  <si>
    <t>2026-03-16 14:49:59.607</t>
  </si>
  <si>
    <t xml:space="preserve">STAGLI65            </t>
  </si>
  <si>
    <t>2026-03-16 14:49:59.620</t>
  </si>
  <si>
    <t xml:space="preserve">STAGLI97            </t>
  </si>
  <si>
    <t>2026-03-16 14:49:59.637</t>
  </si>
  <si>
    <t xml:space="preserve">STAGLI70            </t>
  </si>
  <si>
    <t>2026-03-16 14:49:59.650</t>
  </si>
  <si>
    <t xml:space="preserve">STAGLI01            </t>
  </si>
  <si>
    <t>2026-03-16 14:49:59.667</t>
  </si>
  <si>
    <t xml:space="preserve">STAGPL11            </t>
  </si>
  <si>
    <t>2026-03-16 14:49:59.730</t>
  </si>
  <si>
    <t>2026-03-16 14:49:59.760</t>
  </si>
  <si>
    <t xml:space="preserve">STAGPL10            </t>
  </si>
  <si>
    <t>2026-03-16 14:49:59.777</t>
  </si>
  <si>
    <t xml:space="preserve">STALIA20            </t>
  </si>
  <si>
    <t>2026-03-16 14:49:59.900</t>
  </si>
  <si>
    <t xml:space="preserve">STALIA10            </t>
  </si>
  <si>
    <t>2026-03-16 14:49:59.917</t>
  </si>
  <si>
    <t xml:space="preserve">STALIN10            </t>
  </si>
  <si>
    <t>2026-03-16 14:50:00.030</t>
  </si>
  <si>
    <t xml:space="preserve">STARUT10            </t>
  </si>
  <si>
    <t>2026-03-16 14:50:00.157</t>
  </si>
  <si>
    <t xml:space="preserve">STBOIN50            </t>
  </si>
  <si>
    <t>2026-03-16 14:50:00.280</t>
  </si>
  <si>
    <t xml:space="preserve">STBOIN60            </t>
  </si>
  <si>
    <t>2026-03-16 14:50:00.297</t>
  </si>
  <si>
    <t xml:space="preserve">STBOIN70            </t>
  </si>
  <si>
    <t>2026-03-16 14:50:00.313</t>
  </si>
  <si>
    <t xml:space="preserve">STBOIN10            </t>
  </si>
  <si>
    <t>2026-03-16 14:50:00.327</t>
  </si>
  <si>
    <t xml:space="preserve">STBOIN40            </t>
  </si>
  <si>
    <t>2026-03-16 14:50:00.343</t>
  </si>
  <si>
    <t xml:space="preserve">STBOIN30            </t>
  </si>
  <si>
    <t>2026-03-16 14:50:00.357</t>
  </si>
  <si>
    <t xml:space="preserve">STBOIN20            </t>
  </si>
  <si>
    <t>2026-03-16 14:50:00.373</t>
  </si>
  <si>
    <t xml:space="preserve">STBOUT40            </t>
  </si>
  <si>
    <t>2026-03-16 14:50:00.390</t>
  </si>
  <si>
    <t xml:space="preserve">STBOUT60            </t>
  </si>
  <si>
    <t>2026-03-16 14:50:00.407</t>
  </si>
  <si>
    <t xml:space="preserve">STBOUT30            </t>
  </si>
  <si>
    <t>2026-03-16 14:50:00.420</t>
  </si>
  <si>
    <t xml:space="preserve">STBOUT20            </t>
  </si>
  <si>
    <t>2026-03-16 14:50:00.437</t>
  </si>
  <si>
    <t xml:space="preserve">STBOUT11            </t>
  </si>
  <si>
    <t>2026-03-16 14:50:00.453</t>
  </si>
  <si>
    <t xml:space="preserve">STBOUT50            </t>
  </si>
  <si>
    <t>2026-03-16 14:50:00.467</t>
  </si>
  <si>
    <t xml:space="preserve">STBOUT10            </t>
  </si>
  <si>
    <t>2026-03-16 14:50:00.483</t>
  </si>
  <si>
    <t xml:space="preserve">STCFCU10            </t>
  </si>
  <si>
    <t>2026-03-16 14:50:00.623</t>
  </si>
  <si>
    <t xml:space="preserve">STCFCU20            </t>
  </si>
  <si>
    <t>2026-03-16 14:50:00.640</t>
  </si>
  <si>
    <t xml:space="preserve">STCFPL10            </t>
  </si>
  <si>
    <t>2026-03-16 14:50:00.717</t>
  </si>
  <si>
    <t xml:space="preserve">STCFPL20            </t>
  </si>
  <si>
    <t>2026-03-16 14:50:00.733</t>
  </si>
  <si>
    <t xml:space="preserve">STCFPL30            </t>
  </si>
  <si>
    <t>2026-03-16 14:50:00.750</t>
  </si>
  <si>
    <t xml:space="preserve">STCHCU10            </t>
  </si>
  <si>
    <t>2026-03-16 14:50:00.907</t>
  </si>
  <si>
    <t xml:space="preserve">STCHCU20            </t>
  </si>
  <si>
    <t>2026-03-16 14:50:00.920</t>
  </si>
  <si>
    <t xml:space="preserve">STCURV10            </t>
  </si>
  <si>
    <t>2026-03-16 14:50:00.983</t>
  </si>
  <si>
    <t>2026-03-16 14:50:01.017</t>
  </si>
  <si>
    <t xml:space="preserve">STDEPO20            </t>
  </si>
  <si>
    <t>2026-03-16 14:50:01.170</t>
  </si>
  <si>
    <t>2026-03-16 14:50:01.187</t>
  </si>
  <si>
    <t xml:space="preserve">STDEPO10            </t>
  </si>
  <si>
    <t>2026-03-16 14:50:01.203</t>
  </si>
  <si>
    <t xml:space="preserve">STDIAR20            </t>
  </si>
  <si>
    <t>2026-03-16 14:50:01.250</t>
  </si>
  <si>
    <t>2026-03-16 14:50:01.267</t>
  </si>
  <si>
    <t xml:space="preserve">STDIAR10            </t>
  </si>
  <si>
    <t>2026-03-16 14:50:01.280</t>
  </si>
  <si>
    <t xml:space="preserve">STDIAR60            </t>
  </si>
  <si>
    <t>2026-03-16 14:50:01.297</t>
  </si>
  <si>
    <t>2026-03-16 14:50:01.303</t>
  </si>
  <si>
    <t xml:space="preserve">STDIAR80            </t>
  </si>
  <si>
    <t>2026-03-16 14:50:01.320</t>
  </si>
  <si>
    <t xml:space="preserve">STDIAR40            </t>
  </si>
  <si>
    <t>2026-03-16 14:50:01.337</t>
  </si>
  <si>
    <t xml:space="preserve">STDIAR70            </t>
  </si>
  <si>
    <t>2026-03-16 14:50:01.350</t>
  </si>
  <si>
    <t xml:space="preserve">STDIAR50            </t>
  </si>
  <si>
    <t>2026-03-16 14:50:01.367</t>
  </si>
  <si>
    <t>2026-03-16 14:50:01.383</t>
  </si>
  <si>
    <t xml:space="preserve">STDIAR30            </t>
  </si>
  <si>
    <t>2026-03-16 14:50:01.393</t>
  </si>
  <si>
    <t xml:space="preserve">STDPOT10            </t>
  </si>
  <si>
    <t>2026-03-16 14:50:01.457</t>
  </si>
  <si>
    <t>2026-03-16 14:50:01.470</t>
  </si>
  <si>
    <t xml:space="preserve">STDPOT30            </t>
  </si>
  <si>
    <t>2026-03-16 14:50:01.487</t>
  </si>
  <si>
    <t xml:space="preserve">STDPOT20            </t>
  </si>
  <si>
    <t>2026-03-16 14:50:01.493</t>
  </si>
  <si>
    <t xml:space="preserve">STDPOT25            </t>
  </si>
  <si>
    <t>2026-03-16 14:50:01.510</t>
  </si>
  <si>
    <t xml:space="preserve">STEXCH10            </t>
  </si>
  <si>
    <t>2026-03-16 14:50:01.617</t>
  </si>
  <si>
    <t>2026-03-16 14:50:01.650</t>
  </si>
  <si>
    <t xml:space="preserve">STGECO10            </t>
  </si>
  <si>
    <t>2026-03-16 14:50:01.760</t>
  </si>
  <si>
    <t xml:space="preserve">STGECO20            </t>
  </si>
  <si>
    <t>2026-03-16 14:50:01.777</t>
  </si>
  <si>
    <t xml:space="preserve">STHLCH01            </t>
  </si>
  <si>
    <t>2026-03-16 14:50:01.883</t>
  </si>
  <si>
    <t xml:space="preserve">STINDE00            </t>
  </si>
  <si>
    <t>2026-03-16 14:50:02.027</t>
  </si>
  <si>
    <t>2026-03-16 14:50:02.057</t>
  </si>
  <si>
    <t xml:space="preserve">STINHS10            </t>
  </si>
  <si>
    <t>2026-03-16 14:50:02.117</t>
  </si>
  <si>
    <t>2026-03-16 14:50:02.150</t>
  </si>
  <si>
    <t xml:space="preserve">STINTH10            </t>
  </si>
  <si>
    <t>2026-03-16 14:50:02.307</t>
  </si>
  <si>
    <t xml:space="preserve">STINTH20            </t>
  </si>
  <si>
    <t>2026-03-16 14:50:02.323</t>
  </si>
  <si>
    <t xml:space="preserve">STLICH10            </t>
  </si>
  <si>
    <t>2026-03-16 14:50:02.383</t>
  </si>
  <si>
    <t xml:space="preserve">STLICP10            </t>
  </si>
  <si>
    <t>2026-03-16 14:50:02.587</t>
  </si>
  <si>
    <t>2026-03-16 14:50:02.617</t>
  </si>
  <si>
    <t xml:space="preserve">STLID140            </t>
  </si>
  <si>
    <t xml:space="preserve">STLID150            </t>
  </si>
  <si>
    <t>2026-03-16 14:50:02.633</t>
  </si>
  <si>
    <t xml:space="preserve">STLID110            </t>
  </si>
  <si>
    <t>2026-03-16 14:50:02.650</t>
  </si>
  <si>
    <t xml:space="preserve">STLID120            </t>
  </si>
  <si>
    <t>2026-03-16 14:50:02.667</t>
  </si>
  <si>
    <t xml:space="preserve">STLIDE70            </t>
  </si>
  <si>
    <t>2026-03-16 14:50:02.863</t>
  </si>
  <si>
    <t xml:space="preserve">STLIDE40            </t>
  </si>
  <si>
    <t>2026-03-16 14:50:02.880</t>
  </si>
  <si>
    <t xml:space="preserve">STLIDE50            </t>
  </si>
  <si>
    <t>2026-03-16 14:50:02.893</t>
  </si>
  <si>
    <t xml:space="preserve">STLIDO10            </t>
  </si>
  <si>
    <t>2026-03-16 14:50:02.910</t>
  </si>
  <si>
    <t xml:space="preserve">STLIDE60            </t>
  </si>
  <si>
    <t xml:space="preserve">STLIDE10            </t>
  </si>
  <si>
    <t>2026-03-16 14:50:02.927</t>
  </si>
  <si>
    <t xml:space="preserve">STLIDO20            </t>
  </si>
  <si>
    <t>2026-03-16 14:50:02.940</t>
  </si>
  <si>
    <t xml:space="preserve">STLIDE20            </t>
  </si>
  <si>
    <t xml:space="preserve">STLIDE30            </t>
  </si>
  <si>
    <t>2026-03-16 14:50:02.957</t>
  </si>
  <si>
    <t xml:space="preserve">STLINK01            </t>
  </si>
  <si>
    <t>2026-03-16 14:50:03.177</t>
  </si>
  <si>
    <t xml:space="preserve">STLINK10            </t>
  </si>
  <si>
    <t>2026-03-16 14:50:03.190</t>
  </si>
  <si>
    <t>2026-03-16 14:50:03.207</t>
  </si>
  <si>
    <t xml:space="preserve">STLITR10            </t>
  </si>
  <si>
    <t>2026-03-16 14:50:03.223</t>
  </si>
  <si>
    <t xml:space="preserve">STPINV20            </t>
  </si>
  <si>
    <t>2026-03-16 14:50:03.440</t>
  </si>
  <si>
    <t>2026-03-16 14:50:03.473</t>
  </si>
  <si>
    <t xml:space="preserve">STPINV10            </t>
  </si>
  <si>
    <t>2026-03-16 14:50:03.487</t>
  </si>
  <si>
    <t xml:space="preserve">STPRIH10            </t>
  </si>
  <si>
    <t xml:space="preserve">STPRIH20            </t>
  </si>
  <si>
    <t>2026-03-16 14:50:03.520</t>
  </si>
  <si>
    <t xml:space="preserve">STPRIH30            </t>
  </si>
  <si>
    <t>2026-03-16 14:50:03.537</t>
  </si>
  <si>
    <t xml:space="preserve">STPRIH40            </t>
  </si>
  <si>
    <t>2026-03-16 14:50:03.550</t>
  </si>
  <si>
    <t xml:space="preserve">STPRIL10            </t>
  </si>
  <si>
    <t>2026-03-16 14:50:03.723</t>
  </si>
  <si>
    <t>2026-03-16 14:50:03.753</t>
  </si>
  <si>
    <t xml:space="preserve">STPRIL20            </t>
  </si>
  <si>
    <t>2026-03-16 14:50:03.770</t>
  </si>
  <si>
    <t xml:space="preserve">STPRIL30            </t>
  </si>
  <si>
    <t>2026-03-16 14:50:03.787</t>
  </si>
  <si>
    <t xml:space="preserve">STPRSP10            </t>
  </si>
  <si>
    <t>2026-03-16 14:50:03.800</t>
  </si>
  <si>
    <t xml:space="preserve">STPSDH10            </t>
  </si>
  <si>
    <t>2026-03-16 14:50:04.020</t>
  </si>
  <si>
    <t xml:space="preserve">STPSDH20            </t>
  </si>
  <si>
    <t>2026-03-16 14:50:04.037</t>
  </si>
  <si>
    <t xml:space="preserve">STPSHE10            </t>
  </si>
  <si>
    <t>2026-03-16 14:50:04.067</t>
  </si>
  <si>
    <t xml:space="preserve">STPSHE20            </t>
  </si>
  <si>
    <t>2026-03-16 14:50:04.083</t>
  </si>
  <si>
    <t xml:space="preserve">STPSLN10            </t>
  </si>
  <si>
    <t>2026-03-16 14:50:04.270</t>
  </si>
  <si>
    <t xml:space="preserve">STRDRY40            </t>
  </si>
  <si>
    <t>2026-03-16 14:50:04.333</t>
  </si>
  <si>
    <t xml:space="preserve">STRDRY20            </t>
  </si>
  <si>
    <t>2026-03-16 14:50:04.347</t>
  </si>
  <si>
    <t xml:space="preserve">STRDRY10            </t>
  </si>
  <si>
    <t>2026-03-16 14:50:04.363</t>
  </si>
  <si>
    <t xml:space="preserve">STRDRY30            </t>
  </si>
  <si>
    <t>2026-03-16 14:50:04.380</t>
  </si>
  <si>
    <t xml:space="preserve">STRERE10            </t>
  </si>
  <si>
    <t>2026-03-16 14:50:04.520</t>
  </si>
  <si>
    <t xml:space="preserve">STRERE20            </t>
  </si>
  <si>
    <t>2026-03-16 14:50:04.537</t>
  </si>
  <si>
    <t xml:space="preserve">STRERE30            </t>
  </si>
  <si>
    <t>2026-03-16 14:50:04.550</t>
  </si>
  <si>
    <t xml:space="preserve">STRERE40            </t>
  </si>
  <si>
    <t>2026-03-16 14:50:04.567</t>
  </si>
  <si>
    <t xml:space="preserve">STRERE50            </t>
  </si>
  <si>
    <t>2026-03-16 14:50:04.583</t>
  </si>
  <si>
    <t xml:space="preserve">STRERE60            </t>
  </si>
  <si>
    <t>2026-03-16 14:50:04.597</t>
  </si>
  <si>
    <t xml:space="preserve">STRERE70            </t>
  </si>
  <si>
    <t>2026-03-16 14:50:04.613</t>
  </si>
  <si>
    <t xml:space="preserve">STRHIS10            </t>
  </si>
  <si>
    <t>2026-03-16 14:50:04.630</t>
  </si>
  <si>
    <t xml:space="preserve">STRMTR20            </t>
  </si>
  <si>
    <t>2026-03-16 14:50:04.863</t>
  </si>
  <si>
    <t xml:space="preserve">STRMTR10            </t>
  </si>
  <si>
    <t>2026-03-16 14:50:04.880</t>
  </si>
  <si>
    <t xml:space="preserve">STRPLN10            </t>
  </si>
  <si>
    <t xml:space="preserve">STRMTR01            </t>
  </si>
  <si>
    <t>2026-03-16 14:50:04.893</t>
  </si>
  <si>
    <t xml:space="preserve">STRVCD10            </t>
  </si>
  <si>
    <t>2026-03-16 14:50:05.130</t>
  </si>
  <si>
    <t xml:space="preserve">STSHIS11            </t>
  </si>
  <si>
    <t xml:space="preserve">STSHIS10            </t>
  </si>
  <si>
    <t>2026-03-16 14:50:05.147</t>
  </si>
  <si>
    <t xml:space="preserve">STTRAN50            </t>
  </si>
  <si>
    <t>2026-03-16 14:50:05.363</t>
  </si>
  <si>
    <t xml:space="preserve">STTRAN30            </t>
  </si>
  <si>
    <t>2026-03-16 14:50:05.380</t>
  </si>
  <si>
    <t xml:space="preserve">STTRAN20            </t>
  </si>
  <si>
    <t>2026-03-16 14:50:05.397</t>
  </si>
  <si>
    <t xml:space="preserve">STUFVA20            </t>
  </si>
  <si>
    <t xml:space="preserve">STTRAN40            </t>
  </si>
  <si>
    <t>2026-03-16 14:50:05.410</t>
  </si>
  <si>
    <t xml:space="preserve">STUFVA30            </t>
  </si>
  <si>
    <t xml:space="preserve">STTRAN12            </t>
  </si>
  <si>
    <t>2026-03-16 14:50:05.427</t>
  </si>
  <si>
    <t xml:space="preserve">STUFVA10            </t>
  </si>
  <si>
    <t xml:space="preserve">STTRAN10            </t>
  </si>
  <si>
    <t>2026-03-16 14:50:05.443</t>
  </si>
  <si>
    <t xml:space="preserve">STUTIL20            </t>
  </si>
  <si>
    <t>2026-03-16 14:50:05.677</t>
  </si>
  <si>
    <t xml:space="preserve">SWCHCU10            </t>
  </si>
  <si>
    <t xml:space="preserve">STUTIL50            </t>
  </si>
  <si>
    <t>2026-03-16 14:50:05.693</t>
  </si>
  <si>
    <t xml:space="preserve">STUTIL10            </t>
  </si>
  <si>
    <t>2026-03-16 14:50:05.707</t>
  </si>
  <si>
    <t xml:space="preserve">STUTIL30            </t>
  </si>
  <si>
    <t>2026-03-16 14:50:05.723</t>
  </si>
  <si>
    <t xml:space="preserve">STUTIL60            </t>
  </si>
  <si>
    <t>2026-03-16 14:50:05.737</t>
  </si>
  <si>
    <t xml:space="preserve">STUTIL40            </t>
  </si>
  <si>
    <t>2026-03-16 14:50:05.747</t>
  </si>
  <si>
    <t xml:space="preserve">SXADRE10            </t>
  </si>
  <si>
    <t>2026-03-16 14:50:05.917</t>
  </si>
  <si>
    <t xml:space="preserve">SXCNTR20            </t>
  </si>
  <si>
    <t>2026-03-16 14:50:05.980</t>
  </si>
  <si>
    <t xml:space="preserve">SXCNTR30            </t>
  </si>
  <si>
    <t>2026-03-16 14:50:05.997</t>
  </si>
  <si>
    <t xml:space="preserve">SXCNTR50            </t>
  </si>
  <si>
    <t>2026-03-16 14:50:06.010</t>
  </si>
  <si>
    <t xml:space="preserve">SXCNTR40            </t>
  </si>
  <si>
    <t>2026-03-16 14:50:06.027</t>
  </si>
  <si>
    <t xml:space="preserve">SXJOBH10            </t>
  </si>
  <si>
    <t>2026-03-16 14:50:06.167</t>
  </si>
  <si>
    <t>2026-03-16 14:50:06.183</t>
  </si>
  <si>
    <t xml:space="preserve">SXLINE10            </t>
  </si>
  <si>
    <t>2026-03-16 14:50:06.263</t>
  </si>
  <si>
    <t xml:space="preserve">TCCCRS10            </t>
  </si>
  <si>
    <t>2026-03-16 14:50:06.433</t>
  </si>
  <si>
    <t xml:space="preserve">TCCHKH20            </t>
  </si>
  <si>
    <t>2026-03-16 14:50:06.497</t>
  </si>
  <si>
    <t>2026-03-16 14:50:06.510</t>
  </si>
  <si>
    <t xml:space="preserve">TCCHKH10            </t>
  </si>
  <si>
    <t>2026-03-16 14:50:06.527</t>
  </si>
  <si>
    <t xml:space="preserve">TCCSIN10            </t>
  </si>
  <si>
    <t>2026-03-16 14:50:06.683</t>
  </si>
  <si>
    <t xml:space="preserve">TCERRM30            </t>
  </si>
  <si>
    <t>2026-03-16 14:50:06.763</t>
  </si>
  <si>
    <t>2026-03-16 14:50:06.793</t>
  </si>
  <si>
    <t xml:space="preserve">TCMSGT10            </t>
  </si>
  <si>
    <t>2026-03-16 14:50:06.933</t>
  </si>
  <si>
    <t xml:space="preserve">TCPAID10            </t>
  </si>
  <si>
    <t>2026-03-16 14:50:07.027</t>
  </si>
  <si>
    <t xml:space="preserve">TCPAID20            </t>
  </si>
  <si>
    <t>2026-03-16 14:50:07.043</t>
  </si>
  <si>
    <t xml:space="preserve">TCPARM10            </t>
  </si>
  <si>
    <t>2026-03-16 14:50:07.197</t>
  </si>
  <si>
    <t xml:space="preserve">TRANMI10            </t>
  </si>
  <si>
    <t>2026-03-16 14:50:07.287</t>
  </si>
  <si>
    <t xml:space="preserve">USCNTY10            </t>
  </si>
  <si>
    <t>2026-03-16 14:50:07.443</t>
  </si>
  <si>
    <t xml:space="preserve">USCNTY20            </t>
  </si>
  <si>
    <t>2026-03-16 14:50:07.457</t>
  </si>
  <si>
    <t xml:space="preserve">VTSXRF06            </t>
  </si>
  <si>
    <t>2026-03-16 14:50:07.520</t>
  </si>
  <si>
    <t xml:space="preserve">X3142020            </t>
  </si>
  <si>
    <t>2026-03-16 14:50:07.707</t>
  </si>
  <si>
    <t xml:space="preserve">X3142040            </t>
  </si>
  <si>
    <t>2026-03-16 14:50:07.723</t>
  </si>
  <si>
    <t xml:space="preserve">X3142030            </t>
  </si>
  <si>
    <t>2026-03-16 14:50:07.740</t>
  </si>
  <si>
    <t xml:space="preserve">XPRBAS20            </t>
  </si>
  <si>
    <t>2026-03-16 14:50:07.753</t>
  </si>
  <si>
    <t xml:space="preserve">XPRICL40            </t>
  </si>
  <si>
    <t>2026-03-16 14:50:07.990</t>
  </si>
  <si>
    <t>2026-03-16 14:50:08.003</t>
  </si>
  <si>
    <t xml:space="preserve">XPRICL11            </t>
  </si>
  <si>
    <t>2026-03-16 14:50:08.020</t>
  </si>
  <si>
    <t xml:space="preserve">XSYDOF10            </t>
  </si>
  <si>
    <t xml:space="preserve">XPRICL30            </t>
  </si>
  <si>
    <t>2026-03-16 14:50:08.037</t>
  </si>
  <si>
    <t xml:space="preserve">XPRICL50            </t>
  </si>
  <si>
    <t>2026-03-16 14:50:08.050</t>
  </si>
  <si>
    <t xml:space="preserve">XPRICL60            </t>
  </si>
  <si>
    <t>2026-03-16 14:50:08.067</t>
  </si>
  <si>
    <t xml:space="preserve">XPRICL20            </t>
  </si>
  <si>
    <t>2026-03-16 14:50:08.083</t>
  </si>
  <si>
    <t xml:space="preserve">ZWLPSC20            </t>
  </si>
  <si>
    <t>2026-03-16 14:50:08.253</t>
  </si>
  <si>
    <t xml:space="preserve">ZWLPSC10            </t>
  </si>
  <si>
    <t>2026-03-16 14:50:08.270</t>
  </si>
  <si>
    <t xml:space="preserve">FGLEDG25            </t>
  </si>
  <si>
    <t>2026-03-16 14:53:25.417</t>
  </si>
  <si>
    <t>2026-03-16 15:07:04.727</t>
  </si>
  <si>
    <t>819310</t>
  </si>
  <si>
    <t xml:space="preserve">FGLEDG26            </t>
  </si>
  <si>
    <t xml:space="preserve">FGLEDG27            </t>
  </si>
  <si>
    <t xml:space="preserve">FGLEDG30            </t>
  </si>
  <si>
    <t xml:space="preserve">FGLEDG03            </t>
  </si>
  <si>
    <t>2026-03-16 15:07:04.837</t>
  </si>
  <si>
    <t>2026-03-16 15:19:57.640</t>
  </si>
  <si>
    <t>772804</t>
  </si>
  <si>
    <t xml:space="preserve">FGLEDG31            </t>
  </si>
  <si>
    <t xml:space="preserve">FGLEDG40            </t>
  </si>
  <si>
    <t>2026-03-16 15:17:24.200</t>
  </si>
  <si>
    <t>619364</t>
  </si>
  <si>
    <t xml:space="preserve">FGLEDG50            </t>
  </si>
  <si>
    <t xml:space="preserve">FGLEDG07            </t>
  </si>
  <si>
    <t>2026-03-16 15:19:57.750</t>
  </si>
  <si>
    <t>2026-03-16 15:28:42.480</t>
  </si>
  <si>
    <t>524729</t>
  </si>
  <si>
    <t xml:space="preserve">FGLEDG28            </t>
  </si>
  <si>
    <t>2026-03-16 15:27:43.137</t>
  </si>
  <si>
    <t>465387</t>
  </si>
  <si>
    <t>Source CMNDIV</t>
  </si>
  <si>
    <t>CCCONO</t>
  </si>
  <si>
    <t>CCDIVI</t>
  </si>
  <si>
    <t>CCCONM</t>
  </si>
  <si>
    <t xml:space="preserve">   </t>
  </si>
  <si>
    <t>MOVEX V12.x   - General Division</t>
  </si>
  <si>
    <t>001 CHC ** BLANK / No Division **</t>
  </si>
  <si>
    <t>001/099 CHC MGT ADJUSTMENTS</t>
  </si>
  <si>
    <t>001/100 Heli-One (Norway) AS</t>
  </si>
  <si>
    <t>001/101 Heli-One (Norway) AS UK</t>
  </si>
  <si>
    <t>001/102 PPE Astec Helikopter Service</t>
  </si>
  <si>
    <t>001/103 Whirlybird Services Limited</t>
  </si>
  <si>
    <t>001/104 PPE Whirlybird</t>
  </si>
  <si>
    <t>001/105 Survival-One Ltd.</t>
  </si>
  <si>
    <t>001/106 PPE Survival-One Ltd.</t>
  </si>
  <si>
    <t>001/107 Aero Turbine Support Ltd.</t>
  </si>
  <si>
    <t>001/108 ATS Ltd. PPE</t>
  </si>
  <si>
    <t>001/109 Heli-One CAD-**DO NOT USE**</t>
  </si>
  <si>
    <t>001/111 Norway NOK PPE</t>
  </si>
  <si>
    <t>001 112 Heli One Canada ULC.</t>
  </si>
  <si>
    <t>001/113 Vancouver USD PPE</t>
  </si>
  <si>
    <t>001/114 Heli-One Canada ULC</t>
  </si>
  <si>
    <t>001/115 HeliOne American Leasing Inc</t>
  </si>
  <si>
    <t>001/116 HeliOne (US) Inc.</t>
  </si>
  <si>
    <t>001/117 PPE HeliOne (US) Inc.</t>
  </si>
  <si>
    <t>001/118 Heli-One USA Inc.</t>
  </si>
  <si>
    <t>001/119 PPE Heli-Dyne Systems</t>
  </si>
  <si>
    <t>001/120 Heli-One (Europe) AS</t>
  </si>
  <si>
    <t>001/122 Helicopter Service Group ASA</t>
  </si>
  <si>
    <t>001/124 Heli-One Leasing (Norway) AS</t>
  </si>
  <si>
    <t>001/125 PPE Heliwest AS</t>
  </si>
  <si>
    <t>001/126 PPE Heli-One Canada Inc.</t>
  </si>
  <si>
    <t>001/127 PPE H1 American Leasing Inc</t>
  </si>
  <si>
    <t>001/128 Scancopter AS</t>
  </si>
  <si>
    <t>001/129 PPE Scancopter AS</t>
  </si>
  <si>
    <t>001/130 Integra Leasing AS</t>
  </si>
  <si>
    <t>001/131 PPE Integra Leasing AS</t>
  </si>
  <si>
    <t>001/132 DNU Heli-One (Europe) AS</t>
  </si>
  <si>
    <t>001/133 *DO NOT USE* PPE Vinland Hel</t>
  </si>
  <si>
    <t>001/134 CHC Helicopters (Barbados)Lt</t>
  </si>
  <si>
    <t>001/135 CHC Leasing (Barbados)Ltd</t>
  </si>
  <si>
    <t>001/136 CHC Capital (Barbados)Ltd</t>
  </si>
  <si>
    <t>001/137 Barbados USD PPE</t>
  </si>
  <si>
    <t>001/138 Vancouver USD Eliminations</t>
  </si>
  <si>
    <t>001/139 Norway NOK Eliminiations</t>
  </si>
  <si>
    <t>001/140 Heli-One Leasing ULC</t>
  </si>
  <si>
    <t>001/141 Vancouver USD PPE</t>
  </si>
  <si>
    <t>001/142 Heli-One Canada Inc.Composit</t>
  </si>
  <si>
    <t>001/143 CHC Scotia Limited PPE</t>
  </si>
  <si>
    <t>001/144 Lloyd Helicopter Services</t>
  </si>
  <si>
    <t>001/145 CHC Norway Acquisition CO AS</t>
  </si>
  <si>
    <t>001/146 CHC Norway Acquisition CO AS</t>
  </si>
  <si>
    <t>001/147 Court Air and Pty PPE</t>
  </si>
  <si>
    <t>001/149 CHC Mauritius PPE</t>
  </si>
  <si>
    <t>001/150 CHC Reinsurance S.A.</t>
  </si>
  <si>
    <t>001/151 PPE Reinsurance AS</t>
  </si>
  <si>
    <t>001/152 Lloyd Off-shore Helicopters</t>
  </si>
  <si>
    <t>001/153 H1 Australia Pty Ltd PPE</t>
  </si>
  <si>
    <t>001/154 CHC Helicopters(Barbados)SRL</t>
  </si>
  <si>
    <t>001/155 CHC Barbados SRL-PPE</t>
  </si>
  <si>
    <t>001/160 H1 American Support</t>
  </si>
  <si>
    <t>001/161 H1 American Support</t>
  </si>
  <si>
    <t>001/162 Heli-One (Poland) sp. z.o.o.</t>
  </si>
  <si>
    <t>001/163 US GAAP Adj H1-Poland Sp zoo</t>
  </si>
  <si>
    <t>001/164 Heli-One (Poland) NL Branch</t>
  </si>
  <si>
    <t>001/167 H1 eliminations</t>
  </si>
  <si>
    <t>001/168 H1 eliminations</t>
  </si>
  <si>
    <t>001/169 H1 eliminations</t>
  </si>
  <si>
    <t>001/170 CHC Helikopter Service AS</t>
  </si>
  <si>
    <t>001/171 PPE Helikopter Service AS</t>
  </si>
  <si>
    <t>001/172 PPA EO Norway</t>
  </si>
  <si>
    <t>001/179 Norway Eliminations</t>
  </si>
  <si>
    <t>001/180 CHC Helicop. Netherlands BV</t>
  </si>
  <si>
    <t>001/181 **NOT USED SNH PPE**</t>
  </si>
  <si>
    <t>001/182 CHC Den Helder BV</t>
  </si>
  <si>
    <t>001/183 PPE CHC Den Helder BV</t>
  </si>
  <si>
    <t>001/184 PPA EO Netherlands</t>
  </si>
  <si>
    <t>001/200 CHC Scotia Limited</t>
  </si>
  <si>
    <t>001/201 PPE Scotia Limited</t>
  </si>
  <si>
    <t>001/202 North Denes Aerodrome Ltd.</t>
  </si>
  <si>
    <t>001/203 PPE North Denes Aerodrome</t>
  </si>
  <si>
    <t>001/204 Bond Helicopter Services Ltd</t>
  </si>
  <si>
    <t>001/205 PPE Bond Helicopter Services</t>
  </si>
  <si>
    <t>001/206 Bond Rotary Wing Limited</t>
  </si>
  <si>
    <t>001/207 PPE Rotary Wing Limited</t>
  </si>
  <si>
    <t>001/208 Brintel Helicopters Limited</t>
  </si>
  <si>
    <t>001/209 PPE Brintel Helicopters Ltd</t>
  </si>
  <si>
    <t>001/210 Heli-One (UK) Ltd</t>
  </si>
  <si>
    <t>001/211 PPE Heli-One (UK) Ltd</t>
  </si>
  <si>
    <t>001/212 Scotia / Heliworld Eliminati</t>
  </si>
  <si>
    <t>001/214 CHC Holding (UK) Ltd</t>
  </si>
  <si>
    <t>001/215 PPE CHC Holding (UK) Ltd</t>
  </si>
  <si>
    <t>001/216 PPE Heli-One Holdings(UK)Lmt</t>
  </si>
  <si>
    <t>001/217 PPE Helideck Certification A</t>
  </si>
  <si>
    <t>001/218 Flight Handling Ltd.</t>
  </si>
  <si>
    <t>001/219 PPE Flight Handling Ltd.</t>
  </si>
  <si>
    <t>001/220 Lloyd Helicopter Services Li</t>
  </si>
  <si>
    <t>001/221 PPE Lloyd Helicopter Service</t>
  </si>
  <si>
    <t>001/222 Management Aviation Limited</t>
  </si>
  <si>
    <t>001/223 PPE Management Aviation Ltd.</t>
  </si>
  <si>
    <t>001/224 Aberdeen GBP Eliminations</t>
  </si>
  <si>
    <t>001/225 Heliworld Leasing Limited</t>
  </si>
  <si>
    <t>001/226 PPE Heliworld</t>
  </si>
  <si>
    <t>001/227 Helideck Certification Agenc</t>
  </si>
  <si>
    <t>001/228 PPE Helideck Certification A</t>
  </si>
  <si>
    <t>001/229 Aberdeen GBP Eliminations</t>
  </si>
  <si>
    <t>001/230 EEA Helicopters Operation BV</t>
  </si>
  <si>
    <t>001/231 PPA EEA</t>
  </si>
  <si>
    <t>001/232 CHC Holding (UK) Ltd PPE</t>
  </si>
  <si>
    <t>001/233 CHC Holding (UK) Ltd PPE</t>
  </si>
  <si>
    <t>001/234 Trinity Helicopters Limited</t>
  </si>
  <si>
    <t>001/235 PPE-Non-Guarantor</t>
  </si>
  <si>
    <t>001/239 Consolidadion: GBP Eliminat</t>
  </si>
  <si>
    <t>001/240 CHC Scotia Ltd Ireland</t>
  </si>
  <si>
    <t>001/242 Offshore Helicopter Services</t>
  </si>
  <si>
    <t>001/243 PPE Offshore Helicopter Serv</t>
  </si>
  <si>
    <t>001/244 Offshore Helicopter Services</t>
  </si>
  <si>
    <t>001/245 PPE Offshore Helicopter Serv</t>
  </si>
  <si>
    <t>001/249 UK Eliminations</t>
  </si>
  <si>
    <t>001/250 CHC Denmark Aps</t>
  </si>
  <si>
    <t>001/251 PPE Denmark Aps</t>
  </si>
  <si>
    <t>001/252 Vinland Denmark AS</t>
  </si>
  <si>
    <t>001/259 PPA EO Denmark</t>
  </si>
  <si>
    <t>001/260 CHC Ireland DAC</t>
  </si>
  <si>
    <t>001/261 PPE Ireland DAC</t>
  </si>
  <si>
    <t>001/269 PPA EO Ireland</t>
  </si>
  <si>
    <t>001/270 DO NOT USE</t>
  </si>
  <si>
    <t>001/271 Do not use</t>
  </si>
  <si>
    <t>001/275 Trademarks USD PPE EO</t>
  </si>
  <si>
    <t>001/280 Heli-One Holdings (UK) Lmt</t>
  </si>
  <si>
    <t>001/290 CHC Scotia Eliminations</t>
  </si>
  <si>
    <t>001/298 EEA Helicopters Ops BV Elim</t>
  </si>
  <si>
    <t>001/299 CHC Europe Eliminations</t>
  </si>
  <si>
    <t>001/300 Australian Helic. Trust</t>
  </si>
  <si>
    <t>001/301 Lloyd Helicopters Intl. Pty</t>
  </si>
  <si>
    <t>001/302 Lloyd Helicopters Intl. Pty</t>
  </si>
  <si>
    <t>001/303 CHC Capital(Barbados)Ltd PPE</t>
  </si>
  <si>
    <t>001/304 Heli-One Leasing Inc PPE</t>
  </si>
  <si>
    <t>001/305 Capital Aviation Services BV</t>
  </si>
  <si>
    <t>001/306 Heli-One Netherlands BV PPE</t>
  </si>
  <si>
    <t>001/307 Lloyd Helicopters Pty PPE</t>
  </si>
  <si>
    <t>001/308 Lloyd Helicopters Pty</t>
  </si>
  <si>
    <t>001/309 CHC Helicopter Australia Pty</t>
  </si>
  <si>
    <t>001/310 Australia AUD PPE GO</t>
  </si>
  <si>
    <t>001/312 PPE Australian Helic. Trust</t>
  </si>
  <si>
    <t>001/313 CHC Heli AUS Pty IFRS16</t>
  </si>
  <si>
    <t>001/314 PPE CHC Heli AUS Pty IFRP16</t>
  </si>
  <si>
    <t>Offshore Services Australasia PtyLtd</t>
  </si>
  <si>
    <t>001/316 PPE Offshore Services Austra</t>
  </si>
  <si>
    <t>001/317 Offshore Services Australasi</t>
  </si>
  <si>
    <t>001/318 PPE IFRS Offshore Services A</t>
  </si>
  <si>
    <t>001/320 CHC Helicopter (New Zealand)</t>
  </si>
  <si>
    <t>001/321 PPE CHCHelicopter NewZealand</t>
  </si>
  <si>
    <t>001/349 CHC Helicopters (AU) Elimin.</t>
  </si>
  <si>
    <t>001/399 Vancouver AUD Elimination</t>
  </si>
  <si>
    <t>001/416 CHC Helicopter Africa PTY</t>
  </si>
  <si>
    <t>001/417 PPE Court Air and Pty Ltd.</t>
  </si>
  <si>
    <t>001/418 PPE CHC South Africa</t>
  </si>
  <si>
    <t>001/420 CHC South Africa</t>
  </si>
  <si>
    <t>001/422 CHC Namibia</t>
  </si>
  <si>
    <t>001/423 CHC Namibia PPE</t>
  </si>
  <si>
    <t>001/450 SA Eliminations - Vancouver</t>
  </si>
  <si>
    <t>001/451 Africa ZAR PPE GO</t>
  </si>
  <si>
    <t>001/452 PPE CHC Mauritius</t>
  </si>
  <si>
    <t>001/453 Court Air&amp;Pty Ltd PPE Timing</t>
  </si>
  <si>
    <t>001/460 CHC Mauritius</t>
  </si>
  <si>
    <t>001/461 CHC Helicopteros Lda</t>
  </si>
  <si>
    <t>001/462 PPE CHC Heli.Ltda Mozambique</t>
  </si>
  <si>
    <t>001/464 CHC Tchad SA PPE</t>
  </si>
  <si>
    <t>001/465 CHC Helicopters (Tchad) SA</t>
  </si>
  <si>
    <t>001/500 CHC Helicopters (Barbados) L</t>
  </si>
  <si>
    <t>001/504 6922767 Holding S.A.R.L</t>
  </si>
  <si>
    <t>001/505 6922767 Holding SARL PPE</t>
  </si>
  <si>
    <t>001/506 Swiss Branch 4</t>
  </si>
  <si>
    <t>001/507 CHC Helicopter holding SARL</t>
  </si>
  <si>
    <t>001/508 CHC Helicopter SARL Holding</t>
  </si>
  <si>
    <t>001/509 CHC Helicopter SARL PPE</t>
  </si>
  <si>
    <t>001/510 CHC Leasing S.a.r.l.</t>
  </si>
  <si>
    <t>001/511 CHC Helicopter SA PPE</t>
  </si>
  <si>
    <t>001/512 Swiss Branch 1</t>
  </si>
  <si>
    <t>001/513 CHC Helicopters S.A.</t>
  </si>
  <si>
    <t>001/514 Swiss Branch 2</t>
  </si>
  <si>
    <t>001/515 CHCHelicopter SARL US branch</t>
  </si>
  <si>
    <t>001/516 Cayman Investments II Ltd.</t>
  </si>
  <si>
    <t>001/518 CHC Financial Holdings Sarl</t>
  </si>
  <si>
    <t>001/519 PPE CHC Financial Holdings S</t>
  </si>
  <si>
    <t>001/520 CHC Helicopter Corporation</t>
  </si>
  <si>
    <t>001/521 CHC Helicopter Holdings Ltd.</t>
  </si>
  <si>
    <t>001/522 Canadian Helicopters Int Ltd</t>
  </si>
  <si>
    <t>001/523 PPE Heli-One Inc. Corporate</t>
  </si>
  <si>
    <t>001/525 Heli One Middle East Aviatio</t>
  </si>
  <si>
    <t>001/526 PPE H1 Middle East Aviation</t>
  </si>
  <si>
    <t>001/527 CHC Cayman Borrower II Ltd</t>
  </si>
  <si>
    <t>001/528 PPE Cayman Borrower II Ltd</t>
  </si>
  <si>
    <t>001/530 PPE Cayman Investments I Ltd</t>
  </si>
  <si>
    <t>001/531 Heli-One Inc. Corporate</t>
  </si>
  <si>
    <t>001/532 Swiss Branch 3</t>
  </si>
  <si>
    <t>001/534 Cayman Investments I Ltd</t>
  </si>
  <si>
    <t>001/536 CHC Helicopter Holding (Caym</t>
  </si>
  <si>
    <t>001/537 PPE FR Horizon Swap Co Ltd.</t>
  </si>
  <si>
    <t>001/538 CHC Asset Holding Cayman</t>
  </si>
  <si>
    <t>001/539 PPE CHC Asset Holding Cayman</t>
  </si>
  <si>
    <t>001/540 6248276 Canada Inc.</t>
  </si>
  <si>
    <t>001/542 Heli-One (Europe) AS</t>
  </si>
  <si>
    <t>001/543 CHC Financing (UK) Limited</t>
  </si>
  <si>
    <t>001/544 PPE CHC Financing (UK) Ltd</t>
  </si>
  <si>
    <t>001/545 Helicopter Service Group ASA</t>
  </si>
  <si>
    <t>001 546-CHC Cayman Borrower III Ltd.</t>
  </si>
  <si>
    <t>001 547-PPE CHC Cayman Borrower III</t>
  </si>
  <si>
    <t>001/549 Heli-One Canada Inc.</t>
  </si>
  <si>
    <t>001/550 Heli-One Canada ULC.</t>
  </si>
  <si>
    <t>001/551 Heli-One Canada ULC. PPE</t>
  </si>
  <si>
    <t>001/552 Cayman Investments II LtdPPE</t>
  </si>
  <si>
    <t>001/553 Heli-One (Europe) AS PPE</t>
  </si>
  <si>
    <t>001/554 Helicopter Service Group ASA</t>
  </si>
  <si>
    <t>555 CHC Cayman Borrower IV Limited</t>
  </si>
  <si>
    <t>556 PPE CHC Cayman Borrower IV Ltd</t>
  </si>
  <si>
    <t>001/557 Vinland Denmark AS</t>
  </si>
  <si>
    <t>001/558 PPE Vinland Denmark AS</t>
  </si>
  <si>
    <t>001/561 CHC Helicopter (1) S.a r.l.</t>
  </si>
  <si>
    <t>001/562 CHC Helicopter (2) S.a r.l.</t>
  </si>
  <si>
    <t>001/563 CHC Helicopter (3) S.a r.l.</t>
  </si>
  <si>
    <t>001/564 CHC Helicopter (4) S.a r.l.</t>
  </si>
  <si>
    <t>001/565 CHC Helicopter (5) S.a r.l.</t>
  </si>
  <si>
    <t>001/566 CHC Cayman ABL Parent Ltd</t>
  </si>
  <si>
    <t>001/567 CHC Cayman ABL  Holdings Ltd</t>
  </si>
  <si>
    <t>001/568 CHC Cayman ABL Borrower Ltd</t>
  </si>
  <si>
    <t>001/569 CHC Helicopter (6) S.a r.l.</t>
  </si>
  <si>
    <t>001/570 CHC Composites Inc.</t>
  </si>
  <si>
    <t>001/571 Heli-One Canada Inc. PPE</t>
  </si>
  <si>
    <t>001/572 CHC Leasing (Ireland) DAC</t>
  </si>
  <si>
    <t>001/573 CHC Leasing(Ireland) DAC PPE</t>
  </si>
  <si>
    <t>001/576 PPECHC Cayman ABL Parent Ltd</t>
  </si>
  <si>
    <t>001/577 PPE CHC Cayman ABL Holdings</t>
  </si>
  <si>
    <t>001/578 PPE CHC Cayman ABL Borrower</t>
  </si>
  <si>
    <t>001/581 PPE CHC Helicopter Sarl (1)</t>
  </si>
  <si>
    <t>001/582 PPE CHC Helicopter Sarl (2)</t>
  </si>
  <si>
    <t>001/583 PPE CHC Helicopter Sarl (3)</t>
  </si>
  <si>
    <t>001/584 PPE CHC Helicopter Sarl (4)</t>
  </si>
  <si>
    <t>001/585 PPE CHC Helicopter Sarl (5)</t>
  </si>
  <si>
    <t>001/586 PPE CHC Helicopter Sarl (6)</t>
  </si>
  <si>
    <t>001/587 CHC Holding NL BV</t>
  </si>
  <si>
    <t>001/590 CHC Holding NL BV</t>
  </si>
  <si>
    <t>001/591 CHC Holding NL BV PPE</t>
  </si>
  <si>
    <t>001/592 PPE CHC Holding NL BV</t>
  </si>
  <si>
    <t>001/593 CHC Sweden AB</t>
  </si>
  <si>
    <t>001/595 CHC Sweden AB PPE</t>
  </si>
  <si>
    <t>001/596 CHC Netherlands BV</t>
  </si>
  <si>
    <t>001/597 CHC Netherlands BV PPE</t>
  </si>
  <si>
    <t>001/598 CHC Netherlands BV PPE</t>
  </si>
  <si>
    <t>001/599 CHC Corporate Segment Elim</t>
  </si>
  <si>
    <t>001/600 CHC Sweden AB</t>
  </si>
  <si>
    <t>001/601 PPE CHC Netherlands BV</t>
  </si>
  <si>
    <t>001/602 CHC Netherlands BV</t>
  </si>
  <si>
    <t>001/603 CHC Hoofddorp B.V.</t>
  </si>
  <si>
    <t>001/604 Schreiner Aviation Group BV</t>
  </si>
  <si>
    <t>001/605 CHC Hoofddorp B.V. PPE</t>
  </si>
  <si>
    <t>001/610 Capital Aviation Services BV</t>
  </si>
  <si>
    <t>001/611 Cap Aviation Services BV PPE</t>
  </si>
  <si>
    <t>001/612 CHC Capital(Barbados)Ltd PPE</t>
  </si>
  <si>
    <t>001/613 CHC Capital(Barbados)Ltd PPE</t>
  </si>
  <si>
    <t>001/614 CHC Leasing(Barbados)Ltd PPE</t>
  </si>
  <si>
    <t>001/615 Heli-One Netherlands BV</t>
  </si>
  <si>
    <t>001/616 PPE Heli-One Netherlands BV</t>
  </si>
  <si>
    <t>001/617 Heli-One Components B.V.</t>
  </si>
  <si>
    <t>001/618 Netherlands EUR PPE</t>
  </si>
  <si>
    <t>001/619 Heli-One Defence B.V.</t>
  </si>
  <si>
    <t>001/670 IAS</t>
  </si>
  <si>
    <t>001/672 AIRMARS</t>
  </si>
  <si>
    <t>001/674 APAC</t>
  </si>
  <si>
    <t>001/675 CHC GO (Netherlands) B.V.</t>
  </si>
  <si>
    <t>001/676 APRAM</t>
  </si>
  <si>
    <t>001/677 IAS PPE</t>
  </si>
  <si>
    <t>001/678 CHC GO (Cyprus) Ltd.</t>
  </si>
  <si>
    <t>001/683 CTC - Cameroon</t>
  </si>
  <si>
    <t>001/684 EuroEliminations</t>
  </si>
  <si>
    <t>001/686 PPE Schreiner Aviation Group</t>
  </si>
  <si>
    <t>001/699 **NOT USED Schreiner Elim**</t>
  </si>
  <si>
    <t>001/700CHC Helic Intl **DO NOT USE**</t>
  </si>
  <si>
    <t>001/702 4083423 Canada *DO NOT USE*</t>
  </si>
  <si>
    <t>001/703 APAC PPE</t>
  </si>
  <si>
    <t>001/704 APRAM PPE</t>
  </si>
  <si>
    <t>001/705 PPE CHII International Elim</t>
  </si>
  <si>
    <t>001/706 GO PPE First Reserve Euro</t>
  </si>
  <si>
    <t>001/708 CHC GO (Cyprus) Ltd. PPE</t>
  </si>
  <si>
    <t>001/709 Heli-One Canada Inc (GO)</t>
  </si>
  <si>
    <t>001/710 Heli-One Canada Inc.</t>
  </si>
  <si>
    <t>001/711 CHII International Elim</t>
  </si>
  <si>
    <t>001/712 Vancouver USD PPE GO</t>
  </si>
  <si>
    <t>001/715 4083423 Canada Inc.</t>
  </si>
  <si>
    <t>001/716 CHC Helicopter Support Serv</t>
  </si>
  <si>
    <t>001/717 PPE CHC Helicopter Support</t>
  </si>
  <si>
    <t>001/718 Cougar Helicopters JV</t>
  </si>
  <si>
    <t>001/719 BHS 720-723 Contra</t>
  </si>
  <si>
    <t>001/720 BHS Aereo LTDA</t>
  </si>
  <si>
    <t>001/721 BHS PPE Adjustments</t>
  </si>
  <si>
    <t>001/722 BHH Brazilian Helicopter Hol</t>
  </si>
  <si>
    <t>001/723 BHH PPE Adjustments</t>
  </si>
  <si>
    <t>001/724 BHS Eliminations</t>
  </si>
  <si>
    <t>001/725 BHS Aereo LTDA</t>
  </si>
  <si>
    <t>001/726 BHS PPE Adjustments</t>
  </si>
  <si>
    <t>001/727 BHH Brazilian Helicopter Hol</t>
  </si>
  <si>
    <t>001/728 BHH PPE Adjustments</t>
  </si>
  <si>
    <t>001/729 BHS Aereo LTDA PPE-Timing</t>
  </si>
  <si>
    <t>001/730 TAS (VIE)</t>
  </si>
  <si>
    <t>001/731 TAS (VIE) Elimination DIV</t>
  </si>
  <si>
    <t>001/732 TAS PPE</t>
  </si>
  <si>
    <t>001/733 TAS (GOP) VIE Eliminations</t>
  </si>
  <si>
    <t>001/734 TAS (USD) VIE Eliminations</t>
  </si>
  <si>
    <t>001/735 CTC - Cameroon PPE</t>
  </si>
  <si>
    <t>001/736 Horizon I Participacoes Ltda</t>
  </si>
  <si>
    <t>001/737 HELICOPTER OPERATION MEXICO</t>
  </si>
  <si>
    <t>001/738 PPE HELICOPTER MEXICO</t>
  </si>
  <si>
    <t>001/739 4357825 Canada Inc.</t>
  </si>
  <si>
    <t>001/740 CHC Global Ops.(Canada) Inc.</t>
  </si>
  <si>
    <t>001/741 CHC Global Ops.(Canada) PPE</t>
  </si>
  <si>
    <t>001/742 CHC GO Intl SEZC Ltd (EG)</t>
  </si>
  <si>
    <t>001/744 CHC GLOBAL OPS INTL SEZC LTD</t>
  </si>
  <si>
    <t>001/745 CHC Global Ops. (2008) ULC.</t>
  </si>
  <si>
    <t>001/746 CHC Global Ops. (2008) PPE</t>
  </si>
  <si>
    <t>001/747 CHC Philippines. Inc</t>
  </si>
  <si>
    <t>001/748 CHC Labuan Inc.</t>
  </si>
  <si>
    <t>001/749 Myanmar Helicopters INTL LTD</t>
  </si>
  <si>
    <t>001/750 CDN Helicop. Philippines PPE</t>
  </si>
  <si>
    <t>001/751 Brazil BRL PPE GO</t>
  </si>
  <si>
    <t>001/752 Brazil USD PPE GO</t>
  </si>
  <si>
    <t>001/748 CHC Labuan Inc.PPE</t>
  </si>
  <si>
    <t>001/754 PPE CHC Helicopters Canada</t>
  </si>
  <si>
    <t>001/755 CHC WHIRLYBIRD MEXICO</t>
  </si>
  <si>
    <t>001/756 PPE CHC WHIRLYBIRD MEXICO</t>
  </si>
  <si>
    <t>001/757 US GAAP CHC South East Asia</t>
  </si>
  <si>
    <t>001/758 CHC South East Asia Co. Ltd.</t>
  </si>
  <si>
    <t>001/759 CHC Helicopters Canada Inc.</t>
  </si>
  <si>
    <t>001/760 CHC GLOBAL OPS INTL LTD</t>
  </si>
  <si>
    <t>001/761 CHC GLOBAL OPS INTL LTD PPE</t>
  </si>
  <si>
    <t>001/762 CHC Global Ops Canada(2008)</t>
  </si>
  <si>
    <t>001/763 CHC GLOBAL OPS INTL SEZC</t>
  </si>
  <si>
    <t>001/764 PPE CHCGlobalOpsCanada(2008)</t>
  </si>
  <si>
    <t>001/765 CHC GO Canada 2008 (EG)</t>
  </si>
  <si>
    <t>001/766 CHC Global Ops Canada (2008)</t>
  </si>
  <si>
    <t>001/767 CHC GO Canada 2008 (MZ)</t>
  </si>
  <si>
    <t>001/768 PPE 38286 Bermuda Ltd.</t>
  </si>
  <si>
    <t>001/770 38286 Bermuda Ltd.</t>
  </si>
  <si>
    <t>001/772 Heli-One (Aruba) AVV</t>
  </si>
  <si>
    <t>001/775 Atlantic Aviation Ltd.</t>
  </si>
  <si>
    <t>001/776 Atlantic Aviation Free Zone</t>
  </si>
  <si>
    <t>001/777 PPE Atlantic Aviation Ltd.</t>
  </si>
  <si>
    <t>001/780 CHC GO Canada 2008 (TK)</t>
  </si>
  <si>
    <t>001/781 The branch of CHC Global</t>
  </si>
  <si>
    <t>001/782 CHC GO Canada 2008 (AZ)</t>
  </si>
  <si>
    <t>001/783 CHC Global OPS INTL SEZ LTD</t>
  </si>
  <si>
    <t>001/784 CHC Global Ops Can 2008(Tan)</t>
  </si>
  <si>
    <t>001/785 CHC GO Canada 2008 (Senegal)</t>
  </si>
  <si>
    <t>001/786 CHC GO Canada 2008 (Liberia)</t>
  </si>
  <si>
    <t>001/787 CHC GO Canada 2008 (Namibia)</t>
  </si>
  <si>
    <t>001/788 CHC GO OPS INTL SEZC LTD GAB</t>
  </si>
  <si>
    <t>001/789 CHC GLOBAL OPS INTL LTD</t>
  </si>
  <si>
    <t>001/790 CHC GO OPS INTL SEZC LTD-Mor</t>
  </si>
  <si>
    <t>001/791 CHC Helicopter Tanzania Ltd</t>
  </si>
  <si>
    <t>792 CHC GO OPS INTL SEZC LTD -Turkey</t>
  </si>
  <si>
    <t>001/793 CHC Helicopteros Lda</t>
  </si>
  <si>
    <t>001/794 CHC Helicopter (Ghana) Ltd</t>
  </si>
  <si>
    <t>001/795 PPE CHC Helicopter Ghana</t>
  </si>
  <si>
    <t>001/565 PPE CHC Heli.Tanzania Ltd.</t>
  </si>
  <si>
    <t>001/797 CHC Helicopt.Khazakhstan LLP</t>
  </si>
  <si>
    <t>001/800 CHC Search and Rescue Limt</t>
  </si>
  <si>
    <t>001/801 CHC DO BRASIL TAXI AEREO S/A</t>
  </si>
  <si>
    <t>001/802 CHC DO BRASIL TAXI AEREO S/A</t>
  </si>
  <si>
    <t>001/803 CHC DO BRASIL TAXI AEREO S/A</t>
  </si>
  <si>
    <t>001/804 CHC DO BRASIL TAXI AEREO S/A</t>
  </si>
  <si>
    <t>001/805 CHC DO BRASIL TAXI AEREO S/A</t>
  </si>
  <si>
    <t>001/806 CHC DO BRASIL TAXI AEREO S/A</t>
  </si>
  <si>
    <t>001/807 CHC DO BRASIL TAXI AEREO S/A</t>
  </si>
  <si>
    <t>808 CHC DO BRASIL TAXI AEREO IFRS16</t>
  </si>
  <si>
    <t>809 PPE BRASIL TAXI AEREO S/A IFRS16</t>
  </si>
  <si>
    <t>001/810 CHC DO Brazil Taxi Aereo S/A</t>
  </si>
  <si>
    <t>001/880 BHH - Brazilian Helicopter H</t>
  </si>
  <si>
    <t>001/885 BHH-Horizon I Participacoes</t>
  </si>
  <si>
    <t>001 900 CHC Group LLC (Cayman)</t>
  </si>
  <si>
    <t>001 901 PPE CHC Group LLC (Cayman)</t>
  </si>
  <si>
    <t>001 902 CHC Intermed Hldg LLC(Cayman</t>
  </si>
  <si>
    <t>001-903 PPE CHC Interm Hldg LLC(Cay)</t>
  </si>
  <si>
    <t>001 904 Helicopter Finance Ltd</t>
  </si>
  <si>
    <t>001 905 PPE Helicopter Finance Ltd</t>
  </si>
  <si>
    <t>001/990 CHC Elimination (USD)</t>
  </si>
  <si>
    <t>001/991 Financial Statement Reclass</t>
  </si>
  <si>
    <t>001/992 Elim – Guarantor</t>
  </si>
  <si>
    <t>001/993 Elim – Non Guarantor</t>
  </si>
  <si>
    <t>001/994 CHC Elimination (EUR)</t>
  </si>
  <si>
    <t>001/995 CHC Elimination (GBP)</t>
  </si>
  <si>
    <t>001/996 CHC Elimination (NOK)</t>
  </si>
  <si>
    <t>001/997 CHC Elimination (THB)</t>
  </si>
  <si>
    <t>001/998 CHC Elimination (ZAR)</t>
  </si>
  <si>
    <t>001/999 CHC Consolidation Eliminat.</t>
  </si>
  <si>
    <t>A41</t>
  </si>
  <si>
    <t>001/A41 Vancouver USD PPE</t>
  </si>
  <si>
    <t>I90</t>
  </si>
  <si>
    <t>001/I90 CHC Elimination (USD)</t>
  </si>
  <si>
    <t>P10</t>
  </si>
  <si>
    <t>001/P10 Presentation H1 Guarantor</t>
  </si>
  <si>
    <t>P11</t>
  </si>
  <si>
    <t>001/P11 Presentation H1 NonGuarantor</t>
  </si>
  <si>
    <t>P20</t>
  </si>
  <si>
    <t>001/P20 Presentation EO Guarantor</t>
  </si>
  <si>
    <t>P21</t>
  </si>
  <si>
    <t>001/P21 Presentation EO NONGuarantor</t>
  </si>
  <si>
    <t>P30</t>
  </si>
  <si>
    <t>001/P30 Presentation Fleet Guarantor</t>
  </si>
  <si>
    <t>P31</t>
  </si>
  <si>
    <t>001/P31 Present Fleet NONGuarantor</t>
  </si>
  <si>
    <t>P40</t>
  </si>
  <si>
    <t>001/P40 Presentation GO Guarantor</t>
  </si>
  <si>
    <t>P41</t>
  </si>
  <si>
    <t>001/P41 Presentation GO NONGuarantor</t>
  </si>
  <si>
    <t>P50</t>
  </si>
  <si>
    <t>001/P50 Presentation Corp Guarantor</t>
  </si>
  <si>
    <t>P51</t>
  </si>
  <si>
    <t>001/P51 Presentatn Corp NONGuarantor</t>
  </si>
  <si>
    <t>P52</t>
  </si>
  <si>
    <t>01/P52 Elimination Division</t>
  </si>
  <si>
    <t>P98</t>
  </si>
  <si>
    <t>001/P98 Elimination Corporate-</t>
  </si>
  <si>
    <t>P99</t>
  </si>
  <si>
    <t>001/P99 Elimination Corporate-Revers</t>
  </si>
  <si>
    <t>TMP</t>
  </si>
  <si>
    <t>DIVISION TEMPLATE</t>
  </si>
  <si>
    <t>U10</t>
  </si>
  <si>
    <t>001/U10 US GAAP HELI-ONE (NORWAY) AS</t>
  </si>
  <si>
    <t>U11</t>
  </si>
  <si>
    <t>001/U11 US GAAP TRANSITION ADJUST</t>
  </si>
  <si>
    <t>U12</t>
  </si>
  <si>
    <t>01/U12 US GAAP American Support</t>
  </si>
  <si>
    <t>U20</t>
  </si>
  <si>
    <t>001/U20 US GAAP Heli-One Canada</t>
  </si>
  <si>
    <t>U21</t>
  </si>
  <si>
    <t>001/U21 US GAAP CHC DEN HELDER BV</t>
  </si>
  <si>
    <t>U30</t>
  </si>
  <si>
    <t>001/U30 US GAAP CHC HELIKOPTER SERV</t>
  </si>
  <si>
    <t>U31</t>
  </si>
  <si>
    <t>001/U31 US GAAP CHC HELICOPTER- NETH</t>
  </si>
  <si>
    <t>U40</t>
  </si>
  <si>
    <t>001/U40 US GAAP CHC SCOTIA LIMITED</t>
  </si>
  <si>
    <t>U41</t>
  </si>
  <si>
    <t>001/U41 US GAAP HELI-ONE LEASING INC</t>
  </si>
  <si>
    <t>U42</t>
  </si>
  <si>
    <t>001/U42 US GAAP HELI-ONE (UK) LIMITE</t>
  </si>
  <si>
    <t>U43</t>
  </si>
  <si>
    <t>001/U43 US GAAP CAPITAL AVIATION SER</t>
  </si>
  <si>
    <t>U44</t>
  </si>
  <si>
    <t>001/U44 GAAP Transition Adjustm</t>
  </si>
  <si>
    <t>U45</t>
  </si>
  <si>
    <t>001/U45 US GAAP H1 Canada Inc Fleet</t>
  </si>
  <si>
    <t>U46</t>
  </si>
  <si>
    <t>001/U46 US GAAP Norway NOK Elim</t>
  </si>
  <si>
    <t>U50</t>
  </si>
  <si>
    <t>001/U50 US GAAP HELI-ONE LEASING -NO</t>
  </si>
  <si>
    <t>U51</t>
  </si>
  <si>
    <t>001/U51 US GAAP CHC HELICOPTERS-BBD</t>
  </si>
  <si>
    <t>U61</t>
  </si>
  <si>
    <t>001/U61 US GAAP CHC HELICOPTER LLC</t>
  </si>
  <si>
    <t>U62</t>
  </si>
  <si>
    <t>001/U62 US GAAP THAI AVIATION SERV</t>
  </si>
  <si>
    <t>U63</t>
  </si>
  <si>
    <t>001/U63 US GAAP Transition Adjustm</t>
  </si>
  <si>
    <t>U64</t>
  </si>
  <si>
    <t>001/U64 US GAAP Transition Adjustmen</t>
  </si>
  <si>
    <t>U65</t>
  </si>
  <si>
    <t>001/U65 US GAAP Transition Adjustm</t>
  </si>
  <si>
    <t>U66</t>
  </si>
  <si>
    <t>001/U66 GAAP Transition Adjustm</t>
  </si>
  <si>
    <t>U67</t>
  </si>
  <si>
    <t>001/U67 GAAP Transition Adjustm</t>
  </si>
  <si>
    <t>U68</t>
  </si>
  <si>
    <t>001/U68 GAAP Transition Adjustm</t>
  </si>
  <si>
    <t>U69</t>
  </si>
  <si>
    <t>001/U69 US GAAP HELI-ONE CANADA Inc.</t>
  </si>
  <si>
    <t>U71</t>
  </si>
  <si>
    <t>001/U71 US GAAP BHS PPE Adj</t>
  </si>
  <si>
    <t>U81</t>
  </si>
  <si>
    <t>001/U81 US GAAP CHC HELICOPTER SARL</t>
  </si>
  <si>
    <t>U82</t>
  </si>
  <si>
    <t>001/U82 US GAAP HELI-ONE CANADA INC</t>
  </si>
  <si>
    <t>U83</t>
  </si>
  <si>
    <t>001/U83 US GAAP CHC HELICOPTER SARL</t>
  </si>
  <si>
    <t>U91</t>
  </si>
  <si>
    <t>001/U91 US GAAP CHC ELIMINATIONS</t>
  </si>
  <si>
    <t>X10</t>
  </si>
  <si>
    <t>001 X10-CHC Group Ltd.</t>
  </si>
  <si>
    <t>X11</t>
  </si>
  <si>
    <t>001 X11-CHC Group Ltd PPE</t>
  </si>
  <si>
    <t>X12</t>
  </si>
  <si>
    <t>001 X12-FR Horizon Holding SARL-Stat</t>
  </si>
  <si>
    <t>X13</t>
  </si>
  <si>
    <t>001 X13-FR Horizon Holding Sarl PPE</t>
  </si>
  <si>
    <t>X14</t>
  </si>
  <si>
    <t>001 X14-Horizon Newco Sarl-Stat</t>
  </si>
  <si>
    <t>X15</t>
  </si>
  <si>
    <t>001 X15-Horizon Newco Sarl PPE</t>
  </si>
  <si>
    <t>X16</t>
  </si>
  <si>
    <t>001 X16-FR Horizon Topco Sarl-Stat</t>
  </si>
  <si>
    <t>X17</t>
  </si>
  <si>
    <t>001 X17-FR Horizon Topco Sarl-PPE</t>
  </si>
  <si>
    <t>X99</t>
  </si>
  <si>
    <t>Topco elimination division</t>
  </si>
  <si>
    <t>Z01</t>
  </si>
  <si>
    <t>001/Z01 Norway MRO</t>
  </si>
  <si>
    <t>Z02</t>
  </si>
  <si>
    <t>001/Z02 Norway GAAP</t>
  </si>
  <si>
    <t>Z03</t>
  </si>
  <si>
    <t>001/Z03 HS reclass</t>
  </si>
  <si>
    <t>Z04</t>
  </si>
  <si>
    <t>001/Z04 Elim H1/HS realignment</t>
  </si>
  <si>
    <t>002 CHC ** PRODUCTION FINANCIAL **</t>
  </si>
  <si>
    <t>002/100 6922767 Holding (Cayman) Inc</t>
  </si>
  <si>
    <t>002/200 FR Horizon Holding(Cayman)In</t>
  </si>
  <si>
    <t>002/300 FR Horizon S.A.R.L.</t>
  </si>
  <si>
    <t>002/350 Horizon NEWCO S.A.R.L.</t>
  </si>
  <si>
    <t>002/400 FR Horizon Topco S.A.R.L.</t>
  </si>
  <si>
    <t>002/500 Swiss Branch 5</t>
  </si>
  <si>
    <t>002/504 6922767 Holding SARL</t>
  </si>
  <si>
    <t>002/508 CHC Helicopter SARL Holding</t>
  </si>
  <si>
    <t>002/509 CHC Helicopter SARL PPE</t>
  </si>
  <si>
    <t>002/510 CHC Helicopter S.A.</t>
  </si>
  <si>
    <t>002/511 CHC Helicopter SA PPE</t>
  </si>
  <si>
    <t>002/513 CHC Helicopters S.A.</t>
  </si>
  <si>
    <t>002/514 CHC Swiss Branch 2</t>
  </si>
  <si>
    <t>2/515 CHC Helicopter SARL US Branch</t>
  </si>
  <si>
    <t>002/520 Swiss Branch 1</t>
  </si>
  <si>
    <t>002/530 Swiss Branch 3</t>
  </si>
  <si>
    <t>002/535 Swiss Branch 4</t>
  </si>
  <si>
    <t>002/561 CHC Helicopter (1) S.a r.l.</t>
  </si>
  <si>
    <t>002/562 CHC Helicopter (2) S.a r.l.</t>
  </si>
  <si>
    <t>002/563 CHC Helicopter (3) S.a r.l.</t>
  </si>
  <si>
    <t>002/564 CHC Helicopter (4) S.a r.l.</t>
  </si>
  <si>
    <t>002/565 CHC Helicopter (5) S.a r.l.</t>
  </si>
  <si>
    <t>300 Pensjonskassen basisfirma</t>
  </si>
  <si>
    <t>300/300 Pensjonskassen</t>
  </si>
  <si>
    <t>801 CHC ** PRODUCTION **</t>
  </si>
  <si>
    <t>801/099 CHC MGT ADJUSTMENTS</t>
  </si>
  <si>
    <t>801/100 Heli-One (Norway) AS</t>
  </si>
  <si>
    <t>801/101 Heli-One (Norway) AS UK</t>
  </si>
  <si>
    <t>801/102 PPE Astec Helikopter Service</t>
  </si>
  <si>
    <t>801/103 Whirlybird Services Limited</t>
  </si>
  <si>
    <t>801/104 PPE Whirlybird</t>
  </si>
  <si>
    <t>801/105 Survival-One Ltd.</t>
  </si>
  <si>
    <t>801/106 PPE Survival-One Ltd.</t>
  </si>
  <si>
    <t>801/107 Aero Turbine Support Ltd.</t>
  </si>
  <si>
    <t>801/108 ATS Ltd. PPE</t>
  </si>
  <si>
    <t>801/109 Heli-One CAD-**DO NOT USE**</t>
  </si>
  <si>
    <t>801/110 **DO NOT USE** Coulson PPE</t>
  </si>
  <si>
    <t>801/111 Norway NOK PPE</t>
  </si>
  <si>
    <t>801/112 Heli-One Canada Inc.</t>
  </si>
  <si>
    <t>801/113 Vancouver USD PPE</t>
  </si>
  <si>
    <t>801/114 Heli-One Canada Inc.</t>
  </si>
  <si>
    <t>801/115 HeliOne American Leasing Inc</t>
  </si>
  <si>
    <t>801/116 HeliOne (US) Inc.</t>
  </si>
  <si>
    <t>801/117 PPE HeliOne (US) Inc.</t>
  </si>
  <si>
    <t>801/118 Heli-One USA Inc.</t>
  </si>
  <si>
    <t>801/119 PPE Heli-Dyne Systems</t>
  </si>
  <si>
    <t>801/120 Heli-One (Europe) AS</t>
  </si>
  <si>
    <t>801/121 PPE Vinland Holding AS</t>
  </si>
  <si>
    <t>801/122 Helicopter Service Group ASA</t>
  </si>
  <si>
    <t>801/123 PPE Helicopter Serv Grp ASA</t>
  </si>
  <si>
    <t>801/124 Heli-One Leasing (Norway) AS</t>
  </si>
  <si>
    <t>801/125 PPE Heliwest AS</t>
  </si>
  <si>
    <t>801/126 PPE Heli-One Canada Inc.</t>
  </si>
  <si>
    <t>801/127 PPE H1 American Leasing Inc</t>
  </si>
  <si>
    <t>801/128 Scancopter AS</t>
  </si>
  <si>
    <t>801/129 PPE Scancopter AS</t>
  </si>
  <si>
    <t>801/130 Integra Leasing AS</t>
  </si>
  <si>
    <t>801/131 PPE Integra Leasing AS</t>
  </si>
  <si>
    <t>801/132 DNU Heli-One (Europe) AS</t>
  </si>
  <si>
    <t>801/133 *DO NOT USE* PPE Vinland Hel</t>
  </si>
  <si>
    <t>801/134 CHC Helicopters (Barbados)Lt</t>
  </si>
  <si>
    <t>801/135 CHC Leasing (Barbados)Ltd</t>
  </si>
  <si>
    <t>801/136 CHC Capital (Barbados)Ltd</t>
  </si>
  <si>
    <t>801/137 Barbados USD PPE</t>
  </si>
  <si>
    <t>801/138 Vancouver USD Eliminations</t>
  </si>
  <si>
    <t>801/139 Norway NOK Eliminiations</t>
  </si>
  <si>
    <t>801/140 Heli-One Leasing Inc</t>
  </si>
  <si>
    <t>801/141 Vancouver USD PPE</t>
  </si>
  <si>
    <t>801/142 Heli-One Canada Inc.Composit</t>
  </si>
  <si>
    <t>801/143 CHC Scotia Limited PPE</t>
  </si>
  <si>
    <t>801/144 Lloyd Helicopter Services</t>
  </si>
  <si>
    <t>801/145 CHC Norway Acquisition CO AS</t>
  </si>
  <si>
    <t>801/146 CHC Norway Acquisition CO AS</t>
  </si>
  <si>
    <t>801/147 Court Air and Pty PPE</t>
  </si>
  <si>
    <t>801/148 CHC Norway Acquisition CO AS</t>
  </si>
  <si>
    <t>801/149 CHC Mauritius PPE</t>
  </si>
  <si>
    <t>801/150 CHC Reinsurance S.A.</t>
  </si>
  <si>
    <t>801/151 PPE Reinsurance AS</t>
  </si>
  <si>
    <t>801/160 H1 American Support</t>
  </si>
  <si>
    <t>801/161 H1 American Support</t>
  </si>
  <si>
    <t>801/167 H1 eliminations</t>
  </si>
  <si>
    <t>801/168 H1 eliminations</t>
  </si>
  <si>
    <t>801/169 H1 eliminations</t>
  </si>
  <si>
    <t>801/170 CHC Norway AS</t>
  </si>
  <si>
    <t>801/171 PPE Helikopter Service AS</t>
  </si>
  <si>
    <t>801/172 PPA EO Norway</t>
  </si>
  <si>
    <t>801/179 Norway Eliminations</t>
  </si>
  <si>
    <t>801/180 CHC Helicop. Netherlands BV</t>
  </si>
  <si>
    <t>801/181 **NOT USED SNH PPE**</t>
  </si>
  <si>
    <t>801/182 CHC Den Helder BV</t>
  </si>
  <si>
    <t>801/183 PPE CHC Den Helder BV</t>
  </si>
  <si>
    <t>801/184 PPA EO Netherlands</t>
  </si>
  <si>
    <t>801/199 DO NOT USE Norw. elim.</t>
  </si>
  <si>
    <t>801/200 CHC Scotia Limited</t>
  </si>
  <si>
    <t>801/201 PPE Scotia Limited</t>
  </si>
  <si>
    <t>801/202 North Denes Aerodrome Ltd.</t>
  </si>
  <si>
    <t>801/203 PPE North Denes Aerodrome</t>
  </si>
  <si>
    <t>801/204 Bond Helicopter Services Ltd</t>
  </si>
  <si>
    <t>801/205 PPE Bond Helicopter Services</t>
  </si>
  <si>
    <t>801/206 Bond Rotary Wing Limited</t>
  </si>
  <si>
    <t>801/207 PPE Rotary Wing Limited</t>
  </si>
  <si>
    <t>801/208 Brintel Helicopters Limited</t>
  </si>
  <si>
    <t>801/209 PPE Brintel Helicopters Ltd</t>
  </si>
  <si>
    <t>801/210 Heli-One (UK) Ltd</t>
  </si>
  <si>
    <t>801/211 PPE Heli-One (UK) Ltd</t>
  </si>
  <si>
    <t>801/212 Scotia / Heliworld Eliminati</t>
  </si>
  <si>
    <t>801/213 PPE Scotia / Heliworld Elim</t>
  </si>
  <si>
    <t>801/214 CHC Holding (UK) Ltd</t>
  </si>
  <si>
    <t>801/215 PPE CHC Holding (UK) Ltd</t>
  </si>
  <si>
    <t>801/216 PPE Heli-One Holdings(UK)Lmt</t>
  </si>
  <si>
    <t>801/217 PPE Helideck Certification A</t>
  </si>
  <si>
    <t>801/218 Flight Handling Ltd.</t>
  </si>
  <si>
    <t>801/219 PPE Flight Handling Ltd.</t>
  </si>
  <si>
    <t>801/220 Lloyd Helicopter Services Li</t>
  </si>
  <si>
    <t>801/221 PPE Lloyd Helicopter Service</t>
  </si>
  <si>
    <t>801/222 Management Aviation Limited</t>
  </si>
  <si>
    <t>801/223 PPE Management Aviation Ltd.</t>
  </si>
  <si>
    <t>801/224 Aberdeen GBP Eliminations</t>
  </si>
  <si>
    <t>801/225 Heliworld Leasing Limited</t>
  </si>
  <si>
    <t>801/226 PPE Heliworld</t>
  </si>
  <si>
    <t>801/227 Helideck Certification Agenc</t>
  </si>
  <si>
    <t>801/228 PPE Helideck Certification A</t>
  </si>
  <si>
    <t>801/229 Aberdeen GBP Eliminations</t>
  </si>
  <si>
    <t>801/230 EEA Helicopters Operation BV</t>
  </si>
  <si>
    <t>801/231 PPA EEA</t>
  </si>
  <si>
    <t>801/232 CHC Holding (UK) Ltd PPE</t>
  </si>
  <si>
    <t>801/233 CHC Holding (UK) Ltd PPE</t>
  </si>
  <si>
    <t>801/248 UK PPA</t>
  </si>
  <si>
    <t>801/249 UK Eliminations</t>
  </si>
  <si>
    <t>801/250 CHC Denmark Aps</t>
  </si>
  <si>
    <t>801/251 PPE Denmark Aps</t>
  </si>
  <si>
    <t>801/252 Vinland Denmark AS</t>
  </si>
  <si>
    <t>801/253 PPE Vinland Denmark AS</t>
  </si>
  <si>
    <t>801/259 PPA EO Denmark</t>
  </si>
  <si>
    <t>801/260 CHC Ireland Limited</t>
  </si>
  <si>
    <t>801/261 PPE Ireland Limited</t>
  </si>
  <si>
    <t>801/269 PPA EO Ireland</t>
  </si>
  <si>
    <t>801/270 DO NOT USE</t>
  </si>
  <si>
    <t>801/271 Do not use</t>
  </si>
  <si>
    <t>801/275 Trademarks USD PPE EO</t>
  </si>
  <si>
    <t>801/280 Heli-One Holdings (UK) Lmt</t>
  </si>
  <si>
    <t>801/290 CHC Scotia Eliminations</t>
  </si>
  <si>
    <t>801/298 EEA Helicopters Ops BV Elim</t>
  </si>
  <si>
    <t>801/299 CHC Europe Eliminations</t>
  </si>
  <si>
    <t>801/300 Australian Helic. Trust</t>
  </si>
  <si>
    <t>801/301 Lloyd Helicopters Intl. Pty</t>
  </si>
  <si>
    <t>801/302 Lloyd Helicopters Intl. Pty</t>
  </si>
  <si>
    <t>801/303 CHC Capital(Barbados)Ltd PPE</t>
  </si>
  <si>
    <t>801/304 Heli-One Leasing Inc PPE</t>
  </si>
  <si>
    <t>801/305 Capital Aviation Services BV</t>
  </si>
  <si>
    <t>801/306 Heli-One Netherlands BV PPE</t>
  </si>
  <si>
    <t>801/307 Lloyd Helicopters Pty PPE</t>
  </si>
  <si>
    <t>801/308 Lloyd Helicopters Pty</t>
  </si>
  <si>
    <t>801/309 Lloyd Helicopter Services</t>
  </si>
  <si>
    <t>801/310 Australia AUD PPE GO</t>
  </si>
  <si>
    <t>801/312 PPE Australian Helic. Trust</t>
  </si>
  <si>
    <t>801/349 CHC Helicopters (AU) Elimin.</t>
  </si>
  <si>
    <t>801/416 Court Air and Pty</t>
  </si>
  <si>
    <t>801/417 PPE Court Air and Pty Ltd.</t>
  </si>
  <si>
    <t>801/418 PPE CHC South Africa</t>
  </si>
  <si>
    <t>801/420 CHC South Africa</t>
  </si>
  <si>
    <t>801/422 CHC Namibia</t>
  </si>
  <si>
    <t>801/423 CHC Namibia PPE</t>
  </si>
  <si>
    <t>801/449 CHC Helicopters Africa Elim.</t>
  </si>
  <si>
    <t>801/450 SA Eliminations - Vancouver</t>
  </si>
  <si>
    <t>801/451 Africa ZAR PPE GO</t>
  </si>
  <si>
    <t>801/452 PPE CHC Mauritius</t>
  </si>
  <si>
    <t>801/453 Court Air&amp;Pty Ltd PPE Timing</t>
  </si>
  <si>
    <t>801/460 CHC Mauritius</t>
  </si>
  <si>
    <t>801/464 CHC Tchad SA PPE</t>
  </si>
  <si>
    <t>801/465 CHC Tchad SA</t>
  </si>
  <si>
    <t>801/500 CHC Helicopters (Barbados) L</t>
  </si>
  <si>
    <t>801/501 CHC Leasing (Barbados) Limit</t>
  </si>
  <si>
    <t>801/502 CHC Capital (Barbados) Limit</t>
  </si>
  <si>
    <t>801/504 6922767 Holding S.A.R.L</t>
  </si>
  <si>
    <t>801/505 6922767 Holding SARL PPE</t>
  </si>
  <si>
    <t>801/506 Swiss Branch 4</t>
  </si>
  <si>
    <t>801/508 CHC Helicopter LLC</t>
  </si>
  <si>
    <t>801/509 CHC Helicopter LLC PPE</t>
  </si>
  <si>
    <t>801/510 CHC Helicopter S.A.R.L.</t>
  </si>
  <si>
    <t>801/511 CHC Helicopter S.A.R.L.PPE</t>
  </si>
  <si>
    <t>801/512 CHC Helicopter S.A.R.L.</t>
  </si>
  <si>
    <t>801/514 Swiss Branch 2</t>
  </si>
  <si>
    <t>801/516 Cayman Investments II Ltd.</t>
  </si>
  <si>
    <t>801/520 CHC Helicopter Corporation</t>
  </si>
  <si>
    <t>801/521 CHC Helicopter Holdings Ltd.</t>
  </si>
  <si>
    <t>801/522 Canadian Helicopters Int Ltd</t>
  </si>
  <si>
    <t>801/523 PPE Heli-One Inc. Corporate</t>
  </si>
  <si>
    <t>801/524 Viking Helicopters Limited</t>
  </si>
  <si>
    <t>801/525 Pacific Aerospace Services</t>
  </si>
  <si>
    <t>801/526 PPE 0770436 B.C. Ltd</t>
  </si>
  <si>
    <t>801/529 Vinland Denmark CAD</t>
  </si>
  <si>
    <t>801/530 PPE Cayman Investments I Ltd</t>
  </si>
  <si>
    <t>801/531 Heli-One Inc. Corporate</t>
  </si>
  <si>
    <t>801/532 Swiss Branch 3</t>
  </si>
  <si>
    <t>801/534 Cayman Investments I Ltd</t>
  </si>
  <si>
    <t>801/536 FR Horizon Swap Co Ltd.</t>
  </si>
  <si>
    <t>801/537 PPE FR Horizon Swap Co Ltd.</t>
  </si>
  <si>
    <t>801/540 6248276 Canada Inc.</t>
  </si>
  <si>
    <t>801/541 #0733526 BC Ltd.</t>
  </si>
  <si>
    <t>801/542 Heli-One (Europe) AS</t>
  </si>
  <si>
    <t>801/545 Helicopter Service Group ASA</t>
  </si>
  <si>
    <t>801/548 CHC Corporate Eliminations</t>
  </si>
  <si>
    <t>801/549 Heli-One Canada Inc.</t>
  </si>
  <si>
    <t>801/550 Heli-One Canada Inc.</t>
  </si>
  <si>
    <t>801/551 Heli-One Canada Inc. PPE</t>
  </si>
  <si>
    <t>801/552 Cayman Investments II LtdPPE</t>
  </si>
  <si>
    <t>801/553 Heli-One (Europe) AS PPE</t>
  </si>
  <si>
    <t>801/554 Helicopter Service Group ASA</t>
  </si>
  <si>
    <t>801/557 Vinland Denmark AS</t>
  </si>
  <si>
    <t>801/558 PPE Vinland Denmark AS</t>
  </si>
  <si>
    <t>801/560 0770436 B.C. Ltd</t>
  </si>
  <si>
    <t>801/570 CHC Composites Inc.</t>
  </si>
  <si>
    <t>801/571 Heli-One Canada Inc. PPE</t>
  </si>
  <si>
    <t>801/587 CHC Holding NL BV</t>
  </si>
  <si>
    <t>801/590 CHC Holding NL BV</t>
  </si>
  <si>
    <t>801/591 CHC Holding NL BV PPE</t>
  </si>
  <si>
    <t>801/593 CHC Sweden AB</t>
  </si>
  <si>
    <t>801/594 CHC Sweden AB PPE</t>
  </si>
  <si>
    <t>801/595 CHC Sweden AB PPE</t>
  </si>
  <si>
    <t>801/596 CHC Netherlands BV</t>
  </si>
  <si>
    <t>801/597 CHC Netherlands BV PPE</t>
  </si>
  <si>
    <t>801/598 CHC Netherlands BV PPE</t>
  </si>
  <si>
    <t>801/599 CHC Corporate Segment Elim</t>
  </si>
  <si>
    <t>801/600 CHC Sweden AB</t>
  </si>
  <si>
    <t>801/601 AIRMARS PPE</t>
  </si>
  <si>
    <t>801/602 CHC Netherlands BV</t>
  </si>
  <si>
    <t>801/603 CHC Hoofddorp B.V.</t>
  </si>
  <si>
    <t>801/604 Schreiner Aviation Group BV</t>
  </si>
  <si>
    <t>801/605 CHC Hoofddorp B.V. PPE</t>
  </si>
  <si>
    <t>801/610 Capital Aviation Services BV</t>
  </si>
  <si>
    <t>801/611 Cap Aviation Services BV PPE</t>
  </si>
  <si>
    <t>801/612 CHC Capital(Barbados)Ltd PPE</t>
  </si>
  <si>
    <t>801/613 CHC Capital(Barbados)Ltd PPE</t>
  </si>
  <si>
    <t>801/614 CHC Leasing(Barbados)Ltd PPE</t>
  </si>
  <si>
    <t>801/615 Heli-One Netherlands BV</t>
  </si>
  <si>
    <t>801/616 PPE Heli-One Netherlands BV</t>
  </si>
  <si>
    <t>801/617 Heli-One Components B.V.</t>
  </si>
  <si>
    <t>801/618 Netherlands EUR PPE</t>
  </si>
  <si>
    <t>801/619 **NOT USED SATS**</t>
  </si>
  <si>
    <t>801/621 **NOT USED SDC**</t>
  </si>
  <si>
    <t>801/624 **NOT USED PPE SAMCO**</t>
  </si>
  <si>
    <t>801/625 **NOT USED STSC**</t>
  </si>
  <si>
    <t>801/627 **NOT USED ATAC**</t>
  </si>
  <si>
    <t>801/629 ACN NIGERIA</t>
  </si>
  <si>
    <t>801/631 SOG</t>
  </si>
  <si>
    <t>801/634 **NOT USED PPE AEROCOOP**</t>
  </si>
  <si>
    <t>801/670 IAS</t>
  </si>
  <si>
    <t>801/672 AIRMARS</t>
  </si>
  <si>
    <t>801/674 APAC</t>
  </si>
  <si>
    <t>801/676 APRAM</t>
  </si>
  <si>
    <t>801/677 IAS PPE</t>
  </si>
  <si>
    <t>801/678 CHC GO (Cyprus) Ltd.</t>
  </si>
  <si>
    <t>801/680 Schreiner Airways BV - OLD</t>
  </si>
  <si>
    <t>801/681 Schreiner Airways BV</t>
  </si>
  <si>
    <t>801/682 Schreiner Airways BV Cameroo</t>
  </si>
  <si>
    <t>801/683 CTC - Cameroon</t>
  </si>
  <si>
    <t>801/684 Schreiner Eliminations</t>
  </si>
  <si>
    <t>801/685 CTC - Tchad</t>
  </si>
  <si>
    <t>801/686 PPE Schreiner Aviation Group</t>
  </si>
  <si>
    <t>801/699 **NOT USED Schreiner Elim**</t>
  </si>
  <si>
    <t>801/700CHC Helic Intl **DO NOT USE**</t>
  </si>
  <si>
    <t>801/701 CHII Intl Elim  *DO NOT USE*</t>
  </si>
  <si>
    <t>801/702 4083423 Canada *DO NOT USE*</t>
  </si>
  <si>
    <t>801/703 APAC PPE</t>
  </si>
  <si>
    <t>801/704 APRAM PPE</t>
  </si>
  <si>
    <t>801/705 PPE CHII International Elim</t>
  </si>
  <si>
    <t>801/706 GO PPE First Reserve Euro</t>
  </si>
  <si>
    <t>801/708 CHC GO (Cyprus) Ltd. PPE</t>
  </si>
  <si>
    <t>801/709 Heli-One Canada Inc (GO)</t>
  </si>
  <si>
    <t>801/710 Heli-One Canada Inc.</t>
  </si>
  <si>
    <t>801/711 CHII International Elim</t>
  </si>
  <si>
    <t>801/712 Vancouver USD PPE GO</t>
  </si>
  <si>
    <t>801/713 CHC Global Operations Inc</t>
  </si>
  <si>
    <t>801/714 CHC Global Operations CA Inc</t>
  </si>
  <si>
    <t>801/715 4083423 Canada Inc.</t>
  </si>
  <si>
    <t>801/718 Cougar Helicopters JV</t>
  </si>
  <si>
    <t>801/719 BHS 720-723 Contra</t>
  </si>
  <si>
    <t>801/720 BHS Aereo LTDA</t>
  </si>
  <si>
    <t>801/721 BHS PPE Adjustments</t>
  </si>
  <si>
    <t>801/722 BHH Brazilian Helicopter Hol</t>
  </si>
  <si>
    <t>801/723 BHH PPE Adjustments</t>
  </si>
  <si>
    <t>801/724 BHS Eliminations</t>
  </si>
  <si>
    <t>801/725 BHS Aereo LTDA</t>
  </si>
  <si>
    <t>801/726 BHS PPE Adjustments</t>
  </si>
  <si>
    <t>801/727 BHH Brazilian Helicopter Hol</t>
  </si>
  <si>
    <t>801/728 BHH PPE Adjustments</t>
  </si>
  <si>
    <t>801/729 BHS Aereo LTDA PPE-Timing</t>
  </si>
  <si>
    <t>801/730 TAS (VIE)</t>
  </si>
  <si>
    <t>801/731 TAS (VIE) Elimination DIV</t>
  </si>
  <si>
    <t>801/732 TAS PPE</t>
  </si>
  <si>
    <t>801/733 TAS (GOP) VIE Eliminations</t>
  </si>
  <si>
    <t>801/734 TAS (USD) VIE Eliminations</t>
  </si>
  <si>
    <t>801/735 CTC - Cameroon PPE</t>
  </si>
  <si>
    <t>801/739 4357825 Canada Inc.</t>
  </si>
  <si>
    <t>801/740 CHC Global Ops.(Canada) Inc.</t>
  </si>
  <si>
    <t>801/741 CHC Global Ops.(Canada) PPE</t>
  </si>
  <si>
    <t>801/745 CHC Global Ops. (2008) Inc.</t>
  </si>
  <si>
    <t>801/746 CHC Global Ops. (2008) PPE</t>
  </si>
  <si>
    <t>801/747 CDN Helicop. Philippines Int</t>
  </si>
  <si>
    <t>801/748 CHC Labuan Inc.</t>
  </si>
  <si>
    <t>801/749 Myanmar Helicopters INTL LTD</t>
  </si>
  <si>
    <t>801/750 CDN Helicop. Philippines PPE</t>
  </si>
  <si>
    <t>801/751 Brazil BRL PPE GO</t>
  </si>
  <si>
    <t>801/752 Brazil USD PPE GO</t>
  </si>
  <si>
    <t>801/748 CHC Labuan Inc.PPE</t>
  </si>
  <si>
    <t>801/758 CHC South East Asia Co. Ltd.</t>
  </si>
  <si>
    <t>801/760 CHC Global Ops Int'l Inc.</t>
  </si>
  <si>
    <t>801/761 CHC Global Ops Int'l Inc.PPE</t>
  </si>
  <si>
    <t>801/762 CHC Global Ops Canada(2008)</t>
  </si>
  <si>
    <t>801/764 PPE CHCGlobalOpsCanada(2008)</t>
  </si>
  <si>
    <t>801/765 CHC Global Ops Can 2008 (EG)</t>
  </si>
  <si>
    <t>801/766 CHC Global Ops (2008)-Mozamb</t>
  </si>
  <si>
    <t>801/768 PPE 38286 Bermuda Ltd.</t>
  </si>
  <si>
    <t>801/770 38286 Bermuda Ltd.</t>
  </si>
  <si>
    <t>801/780 CHC Global Ops Can 2008 (TK)</t>
  </si>
  <si>
    <t>801/781 CHC Global Ops Can 2008(Kaz)</t>
  </si>
  <si>
    <t>801/782 CHC GO 2008 (Azerbaijan)</t>
  </si>
  <si>
    <t>801/783 CHC Global Ops Can 2008(Grg)</t>
  </si>
  <si>
    <t>801/990 CHC Elimination (USD)</t>
  </si>
  <si>
    <t>801/991 CHC Elimination (AUD)</t>
  </si>
  <si>
    <t>801/992 CHC Elimination (BRL)</t>
  </si>
  <si>
    <t>801/993 CHC Elimination (DKK)</t>
  </si>
  <si>
    <t>801/994 CHC Elimination (EUR)</t>
  </si>
  <si>
    <t>801/995 CHC Elimination (GBP)</t>
  </si>
  <si>
    <t>801/996 CHC Elimination (NOK)</t>
  </si>
  <si>
    <t>801/997 CHC Elimination (THB)</t>
  </si>
  <si>
    <t>801/998 CHC Elimination (ZAR)</t>
  </si>
  <si>
    <t>801/999 CHC Consolidation Eliminat.</t>
  </si>
  <si>
    <t>A00</t>
  </si>
  <si>
    <t>801/A00 Heli-One (Norway) AS</t>
  </si>
  <si>
    <t>A01</t>
  </si>
  <si>
    <t>801/A01 Heli-One (Norway) AS UK</t>
  </si>
  <si>
    <t>A02</t>
  </si>
  <si>
    <t>801/A02 PPE Astec Helikopter Service</t>
  </si>
  <si>
    <t>A03</t>
  </si>
  <si>
    <t>801/A03 Whirlybird Services Limited</t>
  </si>
  <si>
    <t>A04</t>
  </si>
  <si>
    <t>801/A04 PPE Whirlybird</t>
  </si>
  <si>
    <t>A07</t>
  </si>
  <si>
    <t>801/A07 Aero Turbine Support Ltd.</t>
  </si>
  <si>
    <t>A08</t>
  </si>
  <si>
    <t>801/A08 Aero Turbine Support Ltd PPE</t>
  </si>
  <si>
    <t>A12</t>
  </si>
  <si>
    <t>801/A12 Heli-One Canada Inc.</t>
  </si>
  <si>
    <t>A15</t>
  </si>
  <si>
    <t>801/A15 Heli-One American Lease Inc.</t>
  </si>
  <si>
    <t>A18</t>
  </si>
  <si>
    <t>801/A18 Heli-One USA Inc.</t>
  </si>
  <si>
    <t>A19</t>
  </si>
  <si>
    <t>801/A19 PPE Heli-Dyne Systems</t>
  </si>
  <si>
    <t>A20</t>
  </si>
  <si>
    <t>801/A20 Heli-One (Europe) AS</t>
  </si>
  <si>
    <t>A21</t>
  </si>
  <si>
    <t>801/A21 PPE Vinland Holding AS</t>
  </si>
  <si>
    <t>A22</t>
  </si>
  <si>
    <t>801/A22 Helicopter Service Group ASA</t>
  </si>
  <si>
    <t>A23</t>
  </si>
  <si>
    <t>801/A23 PPE Helicopter Serv Grp ASA</t>
  </si>
  <si>
    <t>A24</t>
  </si>
  <si>
    <t>801/A24 Heli-One Leasing (Norway) AS</t>
  </si>
  <si>
    <t>A25</t>
  </si>
  <si>
    <t>801/A25 PPE Heliwest AS</t>
  </si>
  <si>
    <t>A28</t>
  </si>
  <si>
    <t>801/A28 Scancopter AS</t>
  </si>
  <si>
    <t>A30</t>
  </si>
  <si>
    <t>801/A30 Integra Leasing AS</t>
  </si>
  <si>
    <t>A34</t>
  </si>
  <si>
    <t>801/A34 CHC Helicopters (Barbados)Lt</t>
  </si>
  <si>
    <t>A36</t>
  </si>
  <si>
    <t>801/A36 CHC Capital (Barbados)Ltd</t>
  </si>
  <si>
    <t>A37</t>
  </si>
  <si>
    <t>801/A37 Barbados USD PPE</t>
  </si>
  <si>
    <t>A40</t>
  </si>
  <si>
    <t>801/A40 Heli-One Leasing Inc</t>
  </si>
  <si>
    <t>801/A41 Vancouver USD PPE</t>
  </si>
  <si>
    <t>A50</t>
  </si>
  <si>
    <t>801/A50 CHC Reinsurance S.A.</t>
  </si>
  <si>
    <t>A51</t>
  </si>
  <si>
    <t>801/A51 PPE Reinsurance AS</t>
  </si>
  <si>
    <t>A67</t>
  </si>
  <si>
    <t>801/A67 H1 eliminations</t>
  </si>
  <si>
    <t>A68</t>
  </si>
  <si>
    <t>801/A68 H1 eliminations</t>
  </si>
  <si>
    <t>A69</t>
  </si>
  <si>
    <t>801/A69 H1 eliminations</t>
  </si>
  <si>
    <t>A70</t>
  </si>
  <si>
    <t>801/A70 CHC Helikopter Service AS</t>
  </si>
  <si>
    <t>A71</t>
  </si>
  <si>
    <t>801/A71 PPE Helikopter Service AS</t>
  </si>
  <si>
    <t>A80</t>
  </si>
  <si>
    <t>801/A80 CHC Helicop. Netherlands BV</t>
  </si>
  <si>
    <t>A81</t>
  </si>
  <si>
    <t>801/A81 SNH PPE</t>
  </si>
  <si>
    <t>A82</t>
  </si>
  <si>
    <t>801/A82 CHC Den Helder BV</t>
  </si>
  <si>
    <t>B00</t>
  </si>
  <si>
    <t>801/B00 CHC Scotia Limited</t>
  </si>
  <si>
    <t>B01</t>
  </si>
  <si>
    <t>B02</t>
  </si>
  <si>
    <t>801/B02 North Denes Aerodrome Ltd.</t>
  </si>
  <si>
    <t>B04</t>
  </si>
  <si>
    <t>801/B04 Bond Helicopter Services Ltd</t>
  </si>
  <si>
    <t>B08</t>
  </si>
  <si>
    <t>801/B08 Brintel Helicopters Limited</t>
  </si>
  <si>
    <t>B10</t>
  </si>
  <si>
    <t>801/B10 Heli-One (UK) Ltd</t>
  </si>
  <si>
    <t>B11</t>
  </si>
  <si>
    <t>801/B11 PPE Heli-One (UK) Ltd</t>
  </si>
  <si>
    <t>B12</t>
  </si>
  <si>
    <t>801/B12 Scotia / Heliworld Eliminati</t>
  </si>
  <si>
    <t>B14</t>
  </si>
  <si>
    <t>801/B14 Canadian Helicopters (U.K.)</t>
  </si>
  <si>
    <t>B25</t>
  </si>
  <si>
    <t>801/B25 Heliworld Leasing Limited</t>
  </si>
  <si>
    <t>B26</t>
  </si>
  <si>
    <t>801/B26 PPE Heliworld</t>
  </si>
  <si>
    <t>B27</t>
  </si>
  <si>
    <t>801/B27 Helideck Certification Agenc</t>
  </si>
  <si>
    <t>B28</t>
  </si>
  <si>
    <t>801/B28 PPE Helideck Certification A</t>
  </si>
  <si>
    <t>B30</t>
  </si>
  <si>
    <t>801/B30 EEA Helicopters Operation BV</t>
  </si>
  <si>
    <t>B49</t>
  </si>
  <si>
    <t>801/B49 UK Eliminations</t>
  </si>
  <si>
    <t>B50</t>
  </si>
  <si>
    <t>801/B50 CHC Denmark Aps</t>
  </si>
  <si>
    <t>B52</t>
  </si>
  <si>
    <t>801/B52 Vinland Denmark AS</t>
  </si>
  <si>
    <t>B53</t>
  </si>
  <si>
    <t>801/B53 PPE Vinland Denmark AS</t>
  </si>
  <si>
    <t>B60</t>
  </si>
  <si>
    <t>801/B60 CHC Ireland Limited</t>
  </si>
  <si>
    <t>B80</t>
  </si>
  <si>
    <t>801/B80 Heli-One Holdings (UK) Lmt</t>
  </si>
  <si>
    <t>B90</t>
  </si>
  <si>
    <t>801/B90 CHC Scotia Eliminations</t>
  </si>
  <si>
    <t>B98</t>
  </si>
  <si>
    <t>801/B98 EEA Helicopters Ops BV Elim</t>
  </si>
  <si>
    <t>C09</t>
  </si>
  <si>
    <t>801/C09 Lloyd Helicopter Services</t>
  </si>
  <si>
    <t>C49</t>
  </si>
  <si>
    <t>801/C49 CHC Helicopters (AU) Elimin.</t>
  </si>
  <si>
    <t>D16</t>
  </si>
  <si>
    <t>801/D16 Court Air and Pty</t>
  </si>
  <si>
    <t>D17</t>
  </si>
  <si>
    <t>801/D17 PPE Court Air and Pty Ltd.</t>
  </si>
  <si>
    <t>D20</t>
  </si>
  <si>
    <t>801/D20 CHC South Africa</t>
  </si>
  <si>
    <t>D22</t>
  </si>
  <si>
    <t>801/D22 CHC Namibia</t>
  </si>
  <si>
    <t>D50</t>
  </si>
  <si>
    <t>801/D50 SA Eliminations - Vancouver</t>
  </si>
  <si>
    <t>D60</t>
  </si>
  <si>
    <t>801/D60 CHC Mauritius</t>
  </si>
  <si>
    <t>D65</t>
  </si>
  <si>
    <t>801/D65 CHC Tchad SA</t>
  </si>
  <si>
    <t>E00</t>
  </si>
  <si>
    <t>801/E00 CHC Helicopters (Barbados) L</t>
  </si>
  <si>
    <t>E01</t>
  </si>
  <si>
    <t>801/E01 CHC Leasing (Barbados) Limit</t>
  </si>
  <si>
    <t>E02</t>
  </si>
  <si>
    <t>801/E02 CHC Capital (Barbados) Limit</t>
  </si>
  <si>
    <t>E04</t>
  </si>
  <si>
    <t>801/E04 6922767 Holding S.A.R.L</t>
  </si>
  <si>
    <t>E06</t>
  </si>
  <si>
    <t>801/E06 Swiss Branch 4</t>
  </si>
  <si>
    <t>E08</t>
  </si>
  <si>
    <t>801/E08 CHC Helicopter LLC</t>
  </si>
  <si>
    <t>E09</t>
  </si>
  <si>
    <t>801/E09 CHC Helicopter LLC PPE</t>
  </si>
  <si>
    <t>E10</t>
  </si>
  <si>
    <t>801/E10 CHC Helicopter S.A.R.L.</t>
  </si>
  <si>
    <t>E12</t>
  </si>
  <si>
    <t>801/E12 Swiss Branch 1</t>
  </si>
  <si>
    <t>E20</t>
  </si>
  <si>
    <t>801/E20 CHC Helicopter Corporation</t>
  </si>
  <si>
    <t>E21</t>
  </si>
  <si>
    <t>801/E21 CHC Helicopter Holdings Ltd.</t>
  </si>
  <si>
    <t>E24</t>
  </si>
  <si>
    <t>801/E24 Viking Helicopters Limited</t>
  </si>
  <si>
    <t>E31</t>
  </si>
  <si>
    <t>801/E31 Heli-One Inc. Corporate</t>
  </si>
  <si>
    <t>E32</t>
  </si>
  <si>
    <t>801/E32 Swiss Branch 3</t>
  </si>
  <si>
    <t>E41</t>
  </si>
  <si>
    <t>801/E41 #0733526 BC Ltd.</t>
  </si>
  <si>
    <t>E49</t>
  </si>
  <si>
    <t>801/E49 Heli-One Canada Inc.</t>
  </si>
  <si>
    <t>E50</t>
  </si>
  <si>
    <t>801/E50 Heli-One Canada Inc.</t>
  </si>
  <si>
    <t>E70</t>
  </si>
  <si>
    <t>801/E70 CHC Composites Inc.</t>
  </si>
  <si>
    <t>E90</t>
  </si>
  <si>
    <t>801/E90 CHC Holding NL BV</t>
  </si>
  <si>
    <t>F00</t>
  </si>
  <si>
    <t>801/F00 CHC Sweden AB</t>
  </si>
  <si>
    <t>F02</t>
  </si>
  <si>
    <t>801/F02 CHC Netherlands BV</t>
  </si>
  <si>
    <t>F03</t>
  </si>
  <si>
    <t>801/F03 CHC Hoofddorp B.V.</t>
  </si>
  <si>
    <t>F10</t>
  </si>
  <si>
    <t>801/F10 Capital Aviation Services BV</t>
  </si>
  <si>
    <t>F15</t>
  </si>
  <si>
    <t>801/F15 Heli-One Netherlands BV</t>
  </si>
  <si>
    <t>F17</t>
  </si>
  <si>
    <t>801/F17 Heli-One Components B.V.</t>
  </si>
  <si>
    <t>F19</t>
  </si>
  <si>
    <t>801/F19 **NOT USED SATS**</t>
  </si>
  <si>
    <t>F70</t>
  </si>
  <si>
    <t>801/F70 IAS</t>
  </si>
  <si>
    <t>F76</t>
  </si>
  <si>
    <t>801/F76 APRAM</t>
  </si>
  <si>
    <t>F83</t>
  </si>
  <si>
    <t>801/F83 CTC - Cameroon</t>
  </si>
  <si>
    <t>F84</t>
  </si>
  <si>
    <t>801/F84 Schreiner Eliminations</t>
  </si>
  <si>
    <t>F86</t>
  </si>
  <si>
    <t>801/F86 PPE Schreiner Aviation Group</t>
  </si>
  <si>
    <t>G09</t>
  </si>
  <si>
    <t>801/G09 Heli-One Canada Inc (GO)</t>
  </si>
  <si>
    <t>G10</t>
  </si>
  <si>
    <t>801/G10 Heli-One Canada Inc.</t>
  </si>
  <si>
    <t>G11</t>
  </si>
  <si>
    <t>801/G11 CHII International Elim</t>
  </si>
  <si>
    <t>G15</t>
  </si>
  <si>
    <t>801/G15 4083423 Canada Inc.</t>
  </si>
  <si>
    <t>G18</t>
  </si>
  <si>
    <t>801/G18 Cougar Helicopters JV</t>
  </si>
  <si>
    <t>G20</t>
  </si>
  <si>
    <t>801/G20 BHS Aereo LTDA</t>
  </si>
  <si>
    <t>G21</t>
  </si>
  <si>
    <t>801/G21 BHS PPE Adjustments</t>
  </si>
  <si>
    <t>G22</t>
  </si>
  <si>
    <t>801/G22 BHH Brazilian Helicopter Hol</t>
  </si>
  <si>
    <t>G23</t>
  </si>
  <si>
    <t>801/G23 BHH PPE Adjustments</t>
  </si>
  <si>
    <t>G24</t>
  </si>
  <si>
    <t>801/G24 BHS Eliminations</t>
  </si>
  <si>
    <t>G30</t>
  </si>
  <si>
    <t>801/G30 TAS (VIE)</t>
  </si>
  <si>
    <t>G32</t>
  </si>
  <si>
    <t>801/G32 TAS PPE</t>
  </si>
  <si>
    <t>G33</t>
  </si>
  <si>
    <t>801/G33 TAS (GOP) VIE Eliminations</t>
  </si>
  <si>
    <t>G34</t>
  </si>
  <si>
    <t>801/G34 TAS (USD) VIE Eliminations</t>
  </si>
  <si>
    <t>G39</t>
  </si>
  <si>
    <t>801/G39 4357825 Canada Inc.</t>
  </si>
  <si>
    <t>G40</t>
  </si>
  <si>
    <t>801/G40 CHC Global Ops.(Canada) Inc.</t>
  </si>
  <si>
    <t>G45</t>
  </si>
  <si>
    <t>801/G45 CHC Global Ops. (2008) Inc.</t>
  </si>
  <si>
    <t>G47</t>
  </si>
  <si>
    <t>801/G47 CDN Helicop. Philippines Int</t>
  </si>
  <si>
    <t>G48</t>
  </si>
  <si>
    <t>801/G48 CHC Labuan Inc.</t>
  </si>
  <si>
    <t>G49</t>
  </si>
  <si>
    <t>801/G49 Myanmar Helicopters INTL LTD</t>
  </si>
  <si>
    <t>G60</t>
  </si>
  <si>
    <t>801/G60 CHC Global Ops Int'l Inc.</t>
  </si>
  <si>
    <t>G62</t>
  </si>
  <si>
    <t>801/G62 CHC Global Ops Canada(2008)</t>
  </si>
  <si>
    <t>G70</t>
  </si>
  <si>
    <t>801/G70 38286 Bermuda Ltd.</t>
  </si>
  <si>
    <t>801/I90 CHC Elimination (USD)</t>
  </si>
  <si>
    <t>I99</t>
  </si>
  <si>
    <t>801/I99 CHC Consolidation Eliminat.</t>
  </si>
  <si>
    <t>901 CHC ** TEST **</t>
  </si>
  <si>
    <t>901/100 Astec Helicopter Services AS</t>
  </si>
  <si>
    <t>901/101 Astec UK</t>
  </si>
  <si>
    <t>901/102 PPE Astec Helikopter Service</t>
  </si>
  <si>
    <t>001/105 Multifabs Survival Ltd.</t>
  </si>
  <si>
    <t>001/106 PPE Multifabs</t>
  </si>
  <si>
    <t>901/109 HELI-ONE TEST CAD-&gt;USD</t>
  </si>
  <si>
    <t>901/110 Heli-One Conversion CAD-USD</t>
  </si>
  <si>
    <t>901/112 Heli-One Conversion CAD-USD</t>
  </si>
  <si>
    <t>001/117 Coulson PPE</t>
  </si>
  <si>
    <t>901/120 Vinland Helicopters AS</t>
  </si>
  <si>
    <t>901/121 PPE Vinland Helicopters AS</t>
  </si>
  <si>
    <t>901/122 Helicopter Service Group ASA</t>
  </si>
  <si>
    <t>901/123 PPE Helicopter Serv Grp ASA</t>
  </si>
  <si>
    <t>901/124 Heliwest AS</t>
  </si>
  <si>
    <t>901/125 PPE Heliwest AS</t>
  </si>
  <si>
    <t>901/126 Helimatic AS</t>
  </si>
  <si>
    <t>901/127 PPE Helimatic AS</t>
  </si>
  <si>
    <t>901/128 Scancopter AS</t>
  </si>
  <si>
    <t>901/129 PPE Scancopter AS</t>
  </si>
  <si>
    <t>901/130 Integra Leasing AS</t>
  </si>
  <si>
    <t>901/131 PPE Integra Leasing AS</t>
  </si>
  <si>
    <t>001/132 Vinland Helikopter AS</t>
  </si>
  <si>
    <t>001/133 PPE Vinland Helikopter AS</t>
  </si>
  <si>
    <t>901/150 CHC Reinsurance AS</t>
  </si>
  <si>
    <t>901/151 PPE Reinsurance AS</t>
  </si>
  <si>
    <t>901/170 Helicopter Service AS</t>
  </si>
  <si>
    <t>901/171 PPE Helicopter Service AS</t>
  </si>
  <si>
    <t>901/180 Schreiner Northsea Helicopt.</t>
  </si>
  <si>
    <t>001/181 PPE Schreiner Northsea</t>
  </si>
  <si>
    <t>901/199 Norwegian elimin/adjustments</t>
  </si>
  <si>
    <t>901/200 CHC Scotia Limited</t>
  </si>
  <si>
    <t>901/201 PPE Scotia Limited</t>
  </si>
  <si>
    <t>901/202 North Denes Aerodrome Ltd.</t>
  </si>
  <si>
    <t>901/203 PPE North Denes Aerodrome</t>
  </si>
  <si>
    <t>901/204 Bond Helicopter Services Ltd</t>
  </si>
  <si>
    <t>901/205 PPE Bond Helicopter Services</t>
  </si>
  <si>
    <t>901/206 Bond Rotary Wing Limited</t>
  </si>
  <si>
    <t>901/207 PPE Rotary Wing Limited</t>
  </si>
  <si>
    <t>901/208 Brintel Helicopters Limited</t>
  </si>
  <si>
    <t>901/209 PPE Brintel Helicopters Ltd</t>
  </si>
  <si>
    <t>901/210 Brintel Holdings Limited</t>
  </si>
  <si>
    <t>901/211 PPE Brintel Holdings Limited</t>
  </si>
  <si>
    <t>901/212 Ben's CF Testing Company</t>
  </si>
  <si>
    <t>901/213 PPE Reserve for future use</t>
  </si>
  <si>
    <t>901/214 Canadian Helicopters (U.K.)</t>
  </si>
  <si>
    <t>901/215 PPE Canadian Helicopters UK</t>
  </si>
  <si>
    <t>901/216 Reserve for future use</t>
  </si>
  <si>
    <t>901/217 PPE Reserve for future use</t>
  </si>
  <si>
    <t>901/218 Flight Handling Ltd.</t>
  </si>
  <si>
    <t>901/219 PPE Flight Handling Ltd.</t>
  </si>
  <si>
    <t>901/220 Lloyd Helicopter Services Li</t>
  </si>
  <si>
    <t>901/221 PPE Lloyd Helicopter Service</t>
  </si>
  <si>
    <t>901/222 Management Aviation Limited</t>
  </si>
  <si>
    <t>901/223 PPE Management Aviation Ltd.</t>
  </si>
  <si>
    <t>901/225 Heliworld</t>
  </si>
  <si>
    <t>901/226 PPE Heliworld</t>
  </si>
  <si>
    <t>901/248 CHC Ireland Ltd GBP</t>
  </si>
  <si>
    <t>901/249 Misc Scotia Cmp/GBP</t>
  </si>
  <si>
    <t>901/250 CHC Denmark Aps</t>
  </si>
  <si>
    <t>901/251 PPE Denmark Aps</t>
  </si>
  <si>
    <t>901/252 Vinland Denmark AS</t>
  </si>
  <si>
    <t>901/253 PPE Vinland Denmark AS</t>
  </si>
  <si>
    <t>901/260 CHC Ireland Limited</t>
  </si>
  <si>
    <t>901/261 PPE Ireland Limited</t>
  </si>
  <si>
    <t>901/270 Schreiner Northsea Helicopt.</t>
  </si>
  <si>
    <t>901/271 PPE Schreiner Northsea Heli.</t>
  </si>
  <si>
    <t>901/290 CHC Scotia Eliminations</t>
  </si>
  <si>
    <t>901/299 CHC Scotia Eliminations</t>
  </si>
  <si>
    <t>901/300 Australian Helic. Trust</t>
  </si>
  <si>
    <t>901/301 Australian Helic. Trust</t>
  </si>
  <si>
    <t>901/308 Lloyd Helicopters Pty</t>
  </si>
  <si>
    <t>901/309 PPE Lloyd Helicopters Pty</t>
  </si>
  <si>
    <t>901/349 CHC Helicopters (AU) Elimin.</t>
  </si>
  <si>
    <t>901/416 Court Air and Pty</t>
  </si>
  <si>
    <t>901/417 PPE Court Air and Pty Ltd.</t>
  </si>
  <si>
    <t>901/449 CHC Helicopters Africa Elim.</t>
  </si>
  <si>
    <t>901/500 CHC Helicopters (Barbados) L</t>
  </si>
  <si>
    <t>901/501 CHC Leasing (Barbados) Limit</t>
  </si>
  <si>
    <t>001/502 CHC Capital (Barbados) Limit</t>
  </si>
  <si>
    <t>901/520 CHC Helicopter Corporation</t>
  </si>
  <si>
    <t>901/521 CHC Helicopter Holdings Ltd.</t>
  </si>
  <si>
    <t>901/522 Canadian Helicopters Int Ltd</t>
  </si>
  <si>
    <t>901/523 297303 BC Limited</t>
  </si>
  <si>
    <t>901/524 Viking Helicopters Limited</t>
  </si>
  <si>
    <t>901/525 Pacific Aerospace Services</t>
  </si>
  <si>
    <t>901/526 4083423 Canada Inc.</t>
  </si>
  <si>
    <t>901/529 Vinland Denmark CAD</t>
  </si>
  <si>
    <t>901/530 Misc. Informatec/CAD</t>
  </si>
  <si>
    <t>901/541 #0733526 BC Ltd.</t>
  </si>
  <si>
    <t>901/548 CHC Corporate Eliminations</t>
  </si>
  <si>
    <t>901/549 CHC Helicopters Int'l Inc..</t>
  </si>
  <si>
    <t>901/550CHC Helicopters International</t>
  </si>
  <si>
    <t>901/551 CHII International Elim</t>
  </si>
  <si>
    <t>901/570 CHC Composites Inc.</t>
  </si>
  <si>
    <t>901/579 Copy of Corp for CF test</t>
  </si>
  <si>
    <t>901/604 Schreiner</t>
  </si>
  <si>
    <t>901/605 PPE Schreiner Aviation Group</t>
  </si>
  <si>
    <t>001/611 PPE CAS</t>
  </si>
  <si>
    <t>901/615 Schreiner &amp; Co.</t>
  </si>
  <si>
    <t>001/616 PPE Schreiner &amp; Co.</t>
  </si>
  <si>
    <t>001/617 Schriener Components</t>
  </si>
  <si>
    <t>001/618 PPE Schreiner Components</t>
  </si>
  <si>
    <t>001/619 SATS</t>
  </si>
  <si>
    <t>001/620 PPE SATS</t>
  </si>
  <si>
    <t>001/621 SDC</t>
  </si>
  <si>
    <t>001/622 PPE SDC</t>
  </si>
  <si>
    <t>001/623 SAMCO</t>
  </si>
  <si>
    <t>001/624 PPE SAMCO</t>
  </si>
  <si>
    <t>001/625 STSC</t>
  </si>
  <si>
    <t>001/626 PPE STSC</t>
  </si>
  <si>
    <t>001/627 ATAC</t>
  </si>
  <si>
    <t>001/628 PPE ATAC</t>
  </si>
  <si>
    <t>001/629 SATCO</t>
  </si>
  <si>
    <t>001/630 PPE SATCO</t>
  </si>
  <si>
    <t>001/631 SOG</t>
  </si>
  <si>
    <t>001/630 PPE SOG</t>
  </si>
  <si>
    <t>001/633 AEROCOOP</t>
  </si>
  <si>
    <t>001/634 PPE AEROCOOP</t>
  </si>
  <si>
    <t>001/671 PPE IAS</t>
  </si>
  <si>
    <t>001/673 PPE AIRMARS</t>
  </si>
  <si>
    <t>001/675 PPE APAC</t>
  </si>
  <si>
    <t>001/677 PPE APRAM</t>
  </si>
  <si>
    <t>001/679 PPE Schriener Airways BV</t>
  </si>
  <si>
    <t>001/680 Schreiner Airways BV - OLD</t>
  </si>
  <si>
    <t>001/681 Schreiner Airways BV</t>
  </si>
  <si>
    <t>001/682 Schreiner Airways BV Cameroo</t>
  </si>
  <si>
    <t>001/684 PPE CTC - Cameroon</t>
  </si>
  <si>
    <t>001/685 CTC - Tchad</t>
  </si>
  <si>
    <t>001/686 PPE CTC - Tchad</t>
  </si>
  <si>
    <t>Bart's division</t>
  </si>
  <si>
    <t>Ronalds company</t>
  </si>
  <si>
    <t>Bart's company</t>
  </si>
  <si>
    <t>001/701 CHII Intl Elim  *DO NOT USE*</t>
  </si>
  <si>
    <t>901/710CHC Helicopters International</t>
  </si>
  <si>
    <t>901/999 CHC Consolidation Eliminat.</t>
  </si>
  <si>
    <t>H1V</t>
  </si>
  <si>
    <t>901/H1V Heli-One copy from live env.</t>
  </si>
  <si>
    <t>001/110 **DO NOT USE** Coulson PPE</t>
  </si>
  <si>
    <t>001/121 PPE Vinland Holding AS</t>
  </si>
  <si>
    <t>001/123 PPE Helicopter Serv Grp ASA</t>
  </si>
  <si>
    <t>001/148 CHC Norway Acquisition CO AS</t>
  </si>
  <si>
    <t>001/199 DO NOT USE Norw. elim.</t>
  </si>
  <si>
    <t>001/213 PPE Scotia / Heliworld Elim</t>
  </si>
  <si>
    <t>001/248 UK PPA</t>
  </si>
  <si>
    <t>001/253 PPE Vinland Denmark AS</t>
  </si>
  <si>
    <t>001/449 CHC Helicopters Africa Elim.</t>
  </si>
  <si>
    <t>001/501 CHC Leasing (Barbados) Limit</t>
  </si>
  <si>
    <t>001/524 Viking Helicopters Limited</t>
  </si>
  <si>
    <t>001/525 Pacific Aerospace Services</t>
  </si>
  <si>
    <t>001/529 Vinland Denmark CAD</t>
  </si>
  <si>
    <t>001/541 #0733526 BC Ltd.</t>
  </si>
  <si>
    <t>001/548 CHC Corporate Eliminations</t>
  </si>
  <si>
    <t>001/560 0770436 B.C. Ltd</t>
  </si>
  <si>
    <t>001/594 CHC Sweden AB PPE</t>
  </si>
  <si>
    <t>001/621 **NOT USED SDC**</t>
  </si>
  <si>
    <t>001/624 **NOT USED PPE SAMCO**</t>
  </si>
  <si>
    <t>001/625 **NOT USED STSC**</t>
  </si>
  <si>
    <t>001/627 **NOT USED ATAC**</t>
  </si>
  <si>
    <t>001/629 ACN NIGERIA</t>
  </si>
  <si>
    <t>001/634 **NOT USED PPE AEROCOOP**</t>
  </si>
  <si>
    <t>001/713 CHC Global Operations Inc</t>
  </si>
  <si>
    <t>001/714 CHC Global Operations CA Inc</t>
  </si>
  <si>
    <t>001/A00 Heli-One (Norway) AS</t>
  </si>
  <si>
    <t>001/A01 Heli-One (Norway) AS UK</t>
  </si>
  <si>
    <t>001/A02 PPE Astec Helikopter Service</t>
  </si>
  <si>
    <t>001/A03 Whirlybird Services Limited</t>
  </si>
  <si>
    <t>001/A04 PPE Whirlybird</t>
  </si>
  <si>
    <t>001/A07 Aero Turbine Support Ltd.</t>
  </si>
  <si>
    <t>001/A08 Aero Turbine Support Ltd PPE</t>
  </si>
  <si>
    <t>001/A12 Heli-One Canada Inc.</t>
  </si>
  <si>
    <t>001/A15 Heli-One American Lease Inc.</t>
  </si>
  <si>
    <t>001/A18 Heli-One USA Inc.</t>
  </si>
  <si>
    <t>001/A19 PPE Heli-Dyne Systems</t>
  </si>
  <si>
    <t>001/A20 Heli-One (Europe) AS</t>
  </si>
  <si>
    <t>001/A21 PPE Vinland Holding AS</t>
  </si>
  <si>
    <t>001/A22 Helicopter Service Group ASA</t>
  </si>
  <si>
    <t>001/A23 PPE Helicopter Serv Grp ASA</t>
  </si>
  <si>
    <t>001/A24 Heli-One Leasing (Norway) AS</t>
  </si>
  <si>
    <t>001/A25 PPE Heliwest AS</t>
  </si>
  <si>
    <t>001/A28 Scancopter AS</t>
  </si>
  <si>
    <t>001/A30 Integra Leasing AS</t>
  </si>
  <si>
    <t>001/A34 CHC Helicopters (Barbados)Lt</t>
  </si>
  <si>
    <t>001/A36 CHC Capital (Barbados)Ltd</t>
  </si>
  <si>
    <t>001/A37 Barbados USD PPE</t>
  </si>
  <si>
    <t>001/A40 Heli-One Leasing Inc</t>
  </si>
  <si>
    <t>001/A50 CHC Reinsurance S.A.</t>
  </si>
  <si>
    <t>001/A51 PPE Reinsurance AS</t>
  </si>
  <si>
    <t>001/A67 H1 eliminations</t>
  </si>
  <si>
    <t>001/A68 H1 eliminations</t>
  </si>
  <si>
    <t>001/A69 H1 eliminations</t>
  </si>
  <si>
    <t>001/A70 CHC Helikopter Service AS</t>
  </si>
  <si>
    <t>001/A71 PPE Helikopter Service AS</t>
  </si>
  <si>
    <t>001/A80 CHC Helicop. Netherlands BV</t>
  </si>
  <si>
    <t>001/A81 SNH PPE</t>
  </si>
  <si>
    <t>001/A82 CHC Den Helder BV</t>
  </si>
  <si>
    <t>001/B00 CHC Scotia Limited</t>
  </si>
  <si>
    <t>001/B02 North Denes Aerodrome Ltd.</t>
  </si>
  <si>
    <t>001/B04 Bond Helicopter Services Ltd</t>
  </si>
  <si>
    <t>001/B08 Brintel Helicopters Limited</t>
  </si>
  <si>
    <t>001/B10 Heli-One (UK) Ltd</t>
  </si>
  <si>
    <t>001/B11 PPE Heli-One (UK) Ltd</t>
  </si>
  <si>
    <t>001/B12 Scotia / Heliworld Eliminati</t>
  </si>
  <si>
    <t>001/B14 Canadian Helicopters (U.K.)</t>
  </si>
  <si>
    <t>001/B25 Heliworld Leasing Limited</t>
  </si>
  <si>
    <t>001/B26 PPE Heliworld</t>
  </si>
  <si>
    <t>001/B27 Helideck Certification Agenc</t>
  </si>
  <si>
    <t>001/B28 PPE Helideck Certification A</t>
  </si>
  <si>
    <t>001/B30 EEA Helicopters Operation BV</t>
  </si>
  <si>
    <t>001/B49 UK Eliminations</t>
  </si>
  <si>
    <t>001/B50 CHC Denmark Aps</t>
  </si>
  <si>
    <t>001/B52 Vinland Denmark AS</t>
  </si>
  <si>
    <t>001/B53 PPE Vinland Denmark AS</t>
  </si>
  <si>
    <t>001/B60 CHC Ireland Limited</t>
  </si>
  <si>
    <t>001/B80 Heli-One Holdings (UK) Lmt</t>
  </si>
  <si>
    <t>001/B90 CHC Scotia Eliminations</t>
  </si>
  <si>
    <t>001/B98 EEA Helicopters Ops BV Elim</t>
  </si>
  <si>
    <t>001/C09 Lloyd Helicopter Services</t>
  </si>
  <si>
    <t>001/C49 CHC Helicopters (AU) Elimin.</t>
  </si>
  <si>
    <t>001/D16 Court Air and Pty</t>
  </si>
  <si>
    <t>001/D17 PPE Court Air and Pty Ltd.</t>
  </si>
  <si>
    <t>001/D20 CHC South Africa</t>
  </si>
  <si>
    <t>001/D22 CHC Namibia</t>
  </si>
  <si>
    <t>001/D50 SA Eliminations - Vancouver</t>
  </si>
  <si>
    <t>001/D60 CHC Mauritius</t>
  </si>
  <si>
    <t>001/D65 CHC Tchad SA</t>
  </si>
  <si>
    <t>001/E00 CHC Helicopters (Barbados) L</t>
  </si>
  <si>
    <t>001/E01 CHC Leasing (Barbados) Limit</t>
  </si>
  <si>
    <t>001/E02 CHC Capital (Barbados) Limit</t>
  </si>
  <si>
    <t>001/E04 6922767 Holding S.A.R.L</t>
  </si>
  <si>
    <t>001/E06 Swiss Branch 4</t>
  </si>
  <si>
    <t>001/E08 CHC Helicopter LLC</t>
  </si>
  <si>
    <t>001/E09 CHC Helicopter LLC PPE</t>
  </si>
  <si>
    <t>001/E10 CHC Helicopter S.A.R.L.</t>
  </si>
  <si>
    <t>001/E12 Swiss Branch 1</t>
  </si>
  <si>
    <t>001/E20 CHC Helicopter Corporation</t>
  </si>
  <si>
    <t>001/E21 CHC Helicopter Holdings Ltd.</t>
  </si>
  <si>
    <t>001/E24 Viking Helicopters Limited</t>
  </si>
  <si>
    <t>001/E31 Heli-One Inc. Corporate</t>
  </si>
  <si>
    <t>001/E32 Swiss Branch 3</t>
  </si>
  <si>
    <t>001/E41 #0733526 BC Ltd.</t>
  </si>
  <si>
    <t>001/E49 Heli-One Canada Inc.</t>
  </si>
  <si>
    <t>001/E50 Heli-One Canada Inc.</t>
  </si>
  <si>
    <t>001/E70 CHC Composites Inc.</t>
  </si>
  <si>
    <t>001/E90 CHC Holding NL BV</t>
  </si>
  <si>
    <t>001/F00 CHC Sweden AB</t>
  </si>
  <si>
    <t>001/F02 CHC Netherlands BV</t>
  </si>
  <si>
    <t>001/F03 CHC Hoofddorp B.V.</t>
  </si>
  <si>
    <t>001/F10 Capital Aviation Services BV</t>
  </si>
  <si>
    <t>001/F15 Heli-One Netherlands BV</t>
  </si>
  <si>
    <t>001/F17 Heli-One Components B.V.</t>
  </si>
  <si>
    <t>001/F19 **NOT USED SATS**</t>
  </si>
  <si>
    <t>001/F70 IAS</t>
  </si>
  <si>
    <t>001/F76 APRAM</t>
  </si>
  <si>
    <t>001/F83 CTC - Cameroon</t>
  </si>
  <si>
    <t>001/F84 Schreiner Eliminations</t>
  </si>
  <si>
    <t>001/F86 PPE Schreiner Aviation Group</t>
  </si>
  <si>
    <t>001/G09 Heli-One Canada Inc (GO)</t>
  </si>
  <si>
    <t>001/G10 Heli-One Canada Inc.</t>
  </si>
  <si>
    <t>001/G11 CHII International Elim</t>
  </si>
  <si>
    <t>001/G15 4083423 Canada Inc.</t>
  </si>
  <si>
    <t>001/G18 Cougar Helicopters JV</t>
  </si>
  <si>
    <t>001/G20 BHS Aereo LTDA</t>
  </si>
  <si>
    <t>001/G21 BHS PPE Adjustments</t>
  </si>
  <si>
    <t>001/G22 BHH Brazilian Helicopter Hol</t>
  </si>
  <si>
    <t>001/G23 BHH PPE Adjustments</t>
  </si>
  <si>
    <t>001/G24 BHS Eliminations</t>
  </si>
  <si>
    <t>001/G30 TAS (VIE)</t>
  </si>
  <si>
    <t>001/G32 TAS PPE</t>
  </si>
  <si>
    <t>001/G33 TAS (GOP) VIE Eliminations</t>
  </si>
  <si>
    <t>001/G34 TAS (USD) VIE Eliminations</t>
  </si>
  <si>
    <t>001/G39 4357825 Canada Inc.</t>
  </si>
  <si>
    <t>001/G40 CHC Global Ops.(Canada) Inc.</t>
  </si>
  <si>
    <t>001/G45 CHC Global Ops. (2008) Inc.</t>
  </si>
  <si>
    <t>001/G47 CDN Helicop. Philippines Int</t>
  </si>
  <si>
    <t>001/G48 CHC Labuan Inc.</t>
  </si>
  <si>
    <t>001/G49 Myanmar Helicopters INTL LTD</t>
  </si>
  <si>
    <t>001/G60 CHC Global Ops Int'l Inc.</t>
  </si>
  <si>
    <t>001/G62 CHC Global Ops Canada(2008)</t>
  </si>
  <si>
    <t>001/G70 38286 Bermuda Ltd.</t>
  </si>
  <si>
    <t>001/I99 CHC Consolidation Eliminat.</t>
  </si>
  <si>
    <t>J01</t>
  </si>
  <si>
    <t>001/J01 CHC Helikopter Serv AS EHOB</t>
  </si>
  <si>
    <t>J02</t>
  </si>
  <si>
    <t>001/J02CHC Helik ServiceAS EHOB Rvsd</t>
  </si>
  <si>
    <t>J03</t>
  </si>
  <si>
    <t>001/J03 CHC Helicop. Neth BV EHOB</t>
  </si>
  <si>
    <t>J04</t>
  </si>
  <si>
    <t>001/J04CHC Helicop Neth BV EHOB Rsvd</t>
  </si>
  <si>
    <t>J05</t>
  </si>
  <si>
    <t>001/J05 CHC Scotia Limited EHOB</t>
  </si>
  <si>
    <t>J06</t>
  </si>
  <si>
    <t>001/J06 CHC Scotia Limited EHOB Rvsd</t>
  </si>
  <si>
    <t>J07</t>
  </si>
  <si>
    <t>001/J07 EEA Helicopters Op BV EHOB</t>
  </si>
  <si>
    <t>J08</t>
  </si>
  <si>
    <t>001/J08 EEA Helicopters Op BV EHOB R</t>
  </si>
  <si>
    <t>J09</t>
  </si>
  <si>
    <t>001/J09 CHC Denmark Aps EHOB</t>
  </si>
  <si>
    <t>J10</t>
  </si>
  <si>
    <t>001/250 CHC Denmark Aps EHOB Rvsd</t>
  </si>
  <si>
    <t>J11</t>
  </si>
  <si>
    <t>001/J11 CHC Ireland Limited EHOB</t>
  </si>
  <si>
    <t>J12</t>
  </si>
  <si>
    <t>001/J12 CHC Ireland Limitd EHOB Rvsd</t>
  </si>
  <si>
    <t>U22</t>
  </si>
  <si>
    <t>001/U22 US GAAP HELIDECK CERT AGENCY</t>
  </si>
  <si>
    <t>U70</t>
  </si>
  <si>
    <t>001/U70 US GAAP SA Elimination</t>
  </si>
  <si>
    <t>Z10</t>
  </si>
  <si>
    <t>001 Z10-6922767 Holding (Cayman)ELIM</t>
  </si>
  <si>
    <t>Z99</t>
  </si>
  <si>
    <t>001 Z99-6922767 Holding(Cayman)-Stat</t>
  </si>
  <si>
    <t>002/525 Swiss Branch 2</t>
  </si>
  <si>
    <t>Target CMNDIV</t>
  </si>
  <si>
    <t>&gt;NO ADMITTANCE !&lt;</t>
  </si>
  <si>
    <t xml:space="preserve"> LLC</t>
  </si>
  <si>
    <t xml:space="preserve"> LLC PPA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</si>
</sst>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mm/yyyy\ hh:mm:ss"/>
    <numFmt numFmtId="165" formatCode="hh:mm:ss.000"/>
    <numFmt numFmtId="166" formatCode="[h]:mm:ss.000"/>
    <numFmt numFmtId="167" formatCode="dd\-mmm\-yyyy"/>
    <numFmt numFmtId="168" formatCode="[h]:mm"/>
    <numFmt numFmtId="169" formatCode="[$-409]dd\-mmm\-yy;@"/>
    <numFmt numFmtId="170" formatCode="[h]:mm:ss;@"/>
  </numFmts>
  <fonts count="35" x14ac:knownFonts="1">
    <font>
      <sz val="10"/>
      <name val="Arial"/>
    </font>
    <font>
      <sz val="11"/>
      <color theme="1"/>
      <name val="Calibri"/>
      <family val="2"/>
      <scheme val="minor"/>
    </font>
    <font>
      <b/>
      <sz val="10"/>
      <name val="Arial"/>
      <family val="2"/>
      <charset val="238"/>
    </font>
    <font>
      <u/>
      <sz val="10"/>
      <color indexed="12"/>
      <name val="Arial"/>
      <family val="2"/>
    </font>
    <font>
      <sz val="10"/>
      <name val="Arial"/>
      <family val="2"/>
      <charset val="238"/>
    </font>
    <font>
      <b/>
      <i/>
      <sz val="10"/>
      <name val="Arial"/>
      <family val="2"/>
      <charset val="238"/>
    </font>
    <font>
      <sz val="8"/>
      <color indexed="8"/>
      <name val="Verdana"/>
      <family val="2"/>
      <charset val="238"/>
    </font>
    <font>
      <b/>
      <sz val="20"/>
      <name val="Arial"/>
      <family val="2"/>
    </font>
    <font>
      <b/>
      <i/>
      <sz val="10"/>
      <name val="Arial"/>
      <family val="2"/>
    </font>
    <font>
      <u/>
      <sz val="10"/>
      <name val="Arial"/>
      <family val="2"/>
    </font>
    <font>
      <b/>
      <sz val="10"/>
      <name val="Arial"/>
      <family val="2"/>
    </font>
    <font>
      <sz val="10"/>
      <name val="Arial"/>
      <family val="2"/>
    </font>
    <font>
      <b/>
      <sz val="12"/>
      <name val="Arial"/>
      <family val="2"/>
    </font>
    <font>
      <sz val="12"/>
      <name val="Arial"/>
      <family val="2"/>
    </font>
    <font>
      <sz val="10"/>
      <color theme="4"/>
      <name val="Arial"/>
      <family val="2"/>
    </font>
    <font>
      <sz val="10"/>
      <color theme="0"/>
      <name val="Arial"/>
      <family val="2"/>
    </font>
    <font>
      <sz val="10"/>
      <color rgb="FFFF0000"/>
      <name val="Arial"/>
      <family val="2"/>
    </font>
    <font>
      <b/>
      <sz val="14"/>
      <color theme="1"/>
      <name val="Arial"/>
      <family val="2"/>
      <charset val="238"/>
    </font>
    <font>
      <b/>
      <sz val="14"/>
      <color rgb="FF0066FF"/>
      <name val="Arial"/>
      <family val="2"/>
    </font>
    <font>
      <b/>
      <sz val="10"/>
      <color rgb="FF0066FF"/>
      <name val="Arial"/>
      <family val="2"/>
    </font>
    <font>
      <sz val="11"/>
      <name val="Arial"/>
      <family val="2"/>
    </font>
    <font>
      <sz val="10"/>
      <name val="Arial"/>
      <family val="2"/>
    </font>
    <font>
      <b/>
      <sz val="10"/>
      <name val="Arial"/>
      <family val="2"/>
    </font>
    <font>
      <sz val="10"/>
      <name val="Arial"/>
      <family val="2"/>
    </font>
    <font>
      <b/>
      <sz val="12"/>
      <name val="Arial"/>
      <family val="2"/>
    </font>
    <font>
      <b/>
      <sz val="11"/>
      <name val="Arial"/>
      <family val="2"/>
    </font>
    <font>
      <sz val="12"/>
      <color rgb="FFFF0000"/>
      <name val="Arial"/>
      <family val="2"/>
    </font>
    <font>
      <sz val="11"/>
      <name val="Calibri"/>
      <family val="2"/>
      <scheme val="minor"/>
    </font>
    <font>
      <b/>
      <sz val="11"/>
      <color theme="1"/>
      <name val="Arial"/>
      <family val="2"/>
    </font>
    <font>
      <b/>
      <sz val="14"/>
      <name val="Arial"/>
      <family val="2"/>
    </font>
    <font>
      <sz val="10"/>
      <color theme="0" tint="-0.499984740745262"/>
      <name val="Arial"/>
      <family val="2"/>
    </font>
    <font>
      <b/>
      <sz val="11"/>
      <color rgb="FFFF0000"/>
      <name val="Arial"/>
      <family val="2"/>
    </font>
    <font>
      <sz val="11"/>
      <color theme="1"/>
      <name val="Arial"/>
      <family val="2"/>
    </font>
    <font>
      <sz val="10"/>
      <color theme="1"/>
      <name val="Arial"/>
      <family val="2"/>
    </font>
    <font>
      <b/>
      <sz val="10"/>
      <color rgb="FF000000"/>
      <name val="Arial"/>
      <family val="2"/>
    </font>
  </fonts>
  <fills count="27">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13"/>
        <bgColor indexed="64"/>
      </patternFill>
    </fill>
    <fill>
      <patternFill patternType="solid">
        <fgColor indexed="44"/>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808080"/>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rgb="FF00B0F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C000"/>
        <bgColor indexed="64"/>
      </patternFill>
    </fill>
    <fill>
      <patternFill patternType="solid">
        <fgColor rgb="FFCFE11F"/>
        <bgColor indexed="64"/>
      </patternFill>
    </fill>
    <fill>
      <patternFill patternType="solid">
        <fgColor rgb="FF92D050"/>
        <bgColor indexed="64"/>
      </patternFill>
    </fill>
    <fill>
      <patternFill patternType="solid">
        <fgColor rgb="FFFFCC99"/>
        <bgColor indexed="64"/>
      </patternFill>
    </fill>
    <fill>
      <patternFill patternType="solid">
        <fgColor rgb="FF99CCFF"/>
        <bgColor indexed="64"/>
      </patternFill>
    </fill>
    <fill>
      <patternFill patternType="solid">
        <fgColor rgb="FFFFFFCC"/>
        <bgColor indexed="64"/>
      </patternFill>
    </fill>
    <fill>
      <patternFill patternType="solid">
        <fgColor theme="9" tint="0.39994506668294322"/>
        <bgColor indexed="64"/>
      </patternFill>
    </fill>
    <fill>
      <patternFill patternType="solid">
        <fgColor rgb="FFD9D9D9"/>
        <bgColor rgb="FFD9D9D9"/>
      </patternFill>
    </fill>
    <fill>
      <patternFill patternType="solid">
        <fgColor theme="7"/>
        <bgColor indexed="64"/>
      </patternFill>
    </fill>
    <fill>
      <patternFill patternType="solid">
        <fgColor theme="9"/>
        <bgColor indexed="64"/>
      </patternFill>
    </fill>
    <fill>
      <patternFill patternType="solid">
        <fgColor theme="7" tint="-0.249977111117893"/>
        <bgColor indexed="64"/>
      </patternFill>
    </fill>
  </fills>
  <borders count="36">
    <border>
      <left/>
      <right/>
      <top/>
      <bottom/>
      <diagonal/>
    </border>
    <border>
      <left style="medium">
        <color indexed="22"/>
      </left>
      <right style="medium">
        <color indexed="22"/>
      </right>
      <top style="medium">
        <color indexed="22"/>
      </top>
      <bottom style="medium">
        <color indexed="2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top style="medium">
        <color theme="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thin">
        <color indexed="64"/>
      </top>
      <bottom style="medium">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7">
    <xf numFmtId="0" fontId="0" fillId="0" borderId="0"/>
    <xf numFmtId="0" fontId="3" fillId="0" borderId="0">
      <alignment vertical="top"/>
      <protection locked="0"/>
    </xf>
    <xf numFmtId="0" fontId="23" fillId="0" borderId="0"/>
    <xf numFmtId="0" fontId="23" fillId="0" borderId="0"/>
    <xf numFmtId="0" fontId="1" fillId="0" borderId="0"/>
    <xf numFmtId="0" fontId="1" fillId="0" borderId="0"/>
    <xf numFmtId="0" fontId="1" fillId="0" borderId="0"/>
  </cellStyleXfs>
  <cellXfs count="242">
    <xf numFmtId="0" fontId="0" fillId="0" borderId="0" xfId="0"/>
    <xf numFmtId="0" fontId="3" fillId="0" borderId="0" xfId="1" applyAlignment="1" applyProtection="1"/>
    <xf numFmtId="0" fontId="0" fillId="0" borderId="0" xfId="0" applyAlignment="1">
      <alignment horizontal="left"/>
    </xf>
    <xf numFmtId="0" fontId="7" fillId="0" borderId="0" xfId="0" applyFont="1" applyAlignment="1">
      <alignment horizontal="left"/>
    </xf>
    <xf numFmtId="0" fontId="8" fillId="0" borderId="0" xfId="0" applyFont="1" applyAlignment="1">
      <alignment horizontal="center"/>
    </xf>
    <xf numFmtId="0" fontId="8" fillId="0" borderId="0" xfId="0" applyFont="1" applyAlignment="1">
      <alignment horizontal="left"/>
    </xf>
    <xf numFmtId="0" fontId="12" fillId="0" borderId="0" xfId="0" applyFont="1" applyAlignment="1">
      <alignment horizontal="left"/>
    </xf>
    <xf numFmtId="0" fontId="13" fillId="0" borderId="0" xfId="0" applyFont="1"/>
    <xf numFmtId="0" fontId="13" fillId="0" borderId="0" xfId="0" applyFont="1" applyAlignment="1">
      <alignment horizontal="left"/>
    </xf>
    <xf numFmtId="18" fontId="9" fillId="3" borderId="0" xfId="0" applyNumberFormat="1" applyFont="1" applyFill="1" applyAlignment="1">
      <alignment horizontal="left"/>
    </xf>
    <xf numFmtId="0" fontId="10" fillId="0" borderId="0" xfId="0" applyFont="1" applyAlignment="1">
      <alignment horizontal="center"/>
    </xf>
    <xf numFmtId="164" fontId="0" fillId="0" borderId="0" xfId="0" applyNumberFormat="1"/>
    <xf numFmtId="165" fontId="0" fillId="0" borderId="0" xfId="0" applyNumberFormat="1"/>
    <xf numFmtId="0" fontId="11" fillId="0" borderId="0" xfId="0" applyFont="1"/>
    <xf numFmtId="166" fontId="0" fillId="0" borderId="0" xfId="0" applyNumberFormat="1"/>
    <xf numFmtId="0" fontId="17" fillId="0" borderId="0" xfId="2" applyFont="1"/>
    <xf numFmtId="167" fontId="18" fillId="0" borderId="0" xfId="2" applyNumberFormat="1" applyFont="1" applyAlignment="1">
      <alignment horizontal="left"/>
    </xf>
    <xf numFmtId="0" fontId="11" fillId="0" borderId="0" xfId="2" applyFont="1"/>
    <xf numFmtId="0" fontId="15" fillId="0" borderId="0" xfId="2" applyFont="1"/>
    <xf numFmtId="0" fontId="2" fillId="0" borderId="0" xfId="2" applyFont="1" applyAlignment="1">
      <alignment horizontal="left"/>
    </xf>
    <xf numFmtId="0" fontId="11" fillId="0" borderId="0" xfId="2" applyFont="1" applyAlignment="1">
      <alignment horizontal="left"/>
    </xf>
    <xf numFmtId="0" fontId="10" fillId="0" borderId="0" xfId="2" applyFont="1" applyAlignment="1">
      <alignment horizontal="left"/>
    </xf>
    <xf numFmtId="167" fontId="19" fillId="0" borderId="0" xfId="2" applyNumberFormat="1" applyFont="1" applyAlignment="1">
      <alignment horizontal="left"/>
    </xf>
    <xf numFmtId="0" fontId="14" fillId="0" borderId="0" xfId="2" applyFont="1"/>
    <xf numFmtId="0" fontId="10" fillId="0" borderId="0" xfId="2" applyFont="1"/>
    <xf numFmtId="49" fontId="19" fillId="0" borderId="0" xfId="2" applyNumberFormat="1" applyFont="1" applyAlignment="1">
      <alignment horizontal="left"/>
    </xf>
    <xf numFmtId="0" fontId="2" fillId="0" borderId="0" xfId="2" applyFont="1"/>
    <xf numFmtId="0" fontId="4" fillId="0" borderId="0" xfId="2" applyFont="1"/>
    <xf numFmtId="0" fontId="5" fillId="0" borderId="0" xfId="2" applyFont="1"/>
    <xf numFmtId="22" fontId="6" fillId="2" borderId="1" xfId="2" applyNumberFormat="1" applyFont="1" applyFill="1" applyBorder="1"/>
    <xf numFmtId="0" fontId="6" fillId="2" borderId="1" xfId="2" applyFont="1" applyFill="1" applyBorder="1" applyAlignment="1">
      <alignment wrapText="1"/>
    </xf>
    <xf numFmtId="0" fontId="19" fillId="0" borderId="0" xfId="2" applyFont="1" applyAlignment="1">
      <alignment horizontal="left"/>
    </xf>
    <xf numFmtId="0" fontId="10" fillId="4" borderId="0" xfId="0" applyFont="1" applyFill="1" applyAlignment="1">
      <alignment horizontal="center"/>
    </xf>
    <xf numFmtId="0" fontId="11" fillId="0" borderId="0" xfId="3" applyFont="1"/>
    <xf numFmtId="0" fontId="11" fillId="0" borderId="0" xfId="3" applyFont="1" applyAlignment="1">
      <alignment horizontal="left"/>
    </xf>
    <xf numFmtId="0" fontId="7" fillId="0" borderId="0" xfId="3" applyFont="1" applyAlignment="1">
      <alignment horizontal="left"/>
    </xf>
    <xf numFmtId="0" fontId="12" fillId="0" borderId="0" xfId="3" applyFont="1" applyAlignment="1">
      <alignment horizontal="left"/>
    </xf>
    <xf numFmtId="0" fontId="13" fillId="0" borderId="0" xfId="3" applyFont="1"/>
    <xf numFmtId="0" fontId="13" fillId="0" borderId="0" xfId="3" applyFont="1" applyAlignment="1">
      <alignment horizontal="left"/>
    </xf>
    <xf numFmtId="0" fontId="8" fillId="0" borderId="0" xfId="3" applyFont="1" applyAlignment="1">
      <alignment horizontal="center"/>
    </xf>
    <xf numFmtId="0" fontId="8" fillId="0" borderId="0" xfId="3" applyFont="1" applyAlignment="1">
      <alignment horizontal="left"/>
    </xf>
    <xf numFmtId="0" fontId="9" fillId="3" borderId="0" xfId="3" applyFont="1" applyFill="1" applyAlignment="1">
      <alignment horizontal="left"/>
    </xf>
    <xf numFmtId="15" fontId="9" fillId="3" borderId="0" xfId="3" applyNumberFormat="1" applyFont="1" applyFill="1" applyAlignment="1">
      <alignment horizontal="left"/>
    </xf>
    <xf numFmtId="0" fontId="10" fillId="0" borderId="0" xfId="3" applyFont="1"/>
    <xf numFmtId="0" fontId="10" fillId="0" borderId="0" xfId="3" applyFont="1" applyAlignment="1">
      <alignment horizontal="center"/>
    </xf>
    <xf numFmtId="0" fontId="20" fillId="0" borderId="0" xfId="0" applyFont="1" applyAlignment="1">
      <alignment horizontal="left" wrapText="1"/>
    </xf>
    <xf numFmtId="47" fontId="0" fillId="0" borderId="0" xfId="0" applyNumberFormat="1"/>
    <xf numFmtId="0" fontId="21" fillId="0" borderId="0" xfId="0" applyFont="1" applyAlignment="1">
      <alignment vertical="top"/>
    </xf>
    <xf numFmtId="0" fontId="21" fillId="0" borderId="0" xfId="0" applyFont="1" applyAlignment="1">
      <alignment horizontal="center" vertical="center"/>
    </xf>
    <xf numFmtId="168" fontId="21" fillId="0" borderId="0" xfId="0" applyNumberFormat="1" applyFont="1" applyAlignment="1">
      <alignment horizontal="center" vertical="center"/>
    </xf>
    <xf numFmtId="0" fontId="21" fillId="0" borderId="0" xfId="0" applyFont="1"/>
    <xf numFmtId="0" fontId="22" fillId="5" borderId="8" xfId="0" quotePrefix="1" applyFont="1" applyFill="1" applyBorder="1" applyAlignment="1">
      <alignment horizontal="left" vertical="top"/>
    </xf>
    <xf numFmtId="0" fontId="22" fillId="5" borderId="3" xfId="0" applyFont="1" applyFill="1" applyBorder="1" applyAlignment="1">
      <alignment horizontal="left" vertical="top"/>
    </xf>
    <xf numFmtId="168" fontId="22" fillId="5" borderId="3" xfId="0" applyNumberFormat="1" applyFont="1" applyFill="1" applyBorder="1" applyAlignment="1">
      <alignment horizontal="left" vertical="top"/>
    </xf>
    <xf numFmtId="0" fontId="22" fillId="5" borderId="24" xfId="0" applyFont="1" applyFill="1" applyBorder="1" applyAlignment="1">
      <alignment horizontal="left" vertical="top"/>
    </xf>
    <xf numFmtId="0" fontId="22" fillId="5" borderId="25" xfId="0" applyFont="1" applyFill="1" applyBorder="1" applyAlignment="1">
      <alignment horizontal="left" vertical="top"/>
    </xf>
    <xf numFmtId="0" fontId="22" fillId="6" borderId="4" xfId="0" applyFont="1" applyFill="1" applyBorder="1" applyAlignment="1">
      <alignment horizontal="left" vertical="top" wrapText="1"/>
    </xf>
    <xf numFmtId="169" fontId="21" fillId="6" borderId="5" xfId="0" applyNumberFormat="1" applyFont="1" applyFill="1" applyBorder="1" applyAlignment="1">
      <alignment horizontal="center" vertical="center"/>
    </xf>
    <xf numFmtId="0" fontId="21" fillId="6" borderId="5" xfId="0" applyFont="1" applyFill="1" applyBorder="1" applyAlignment="1">
      <alignment horizontal="center" vertical="center"/>
    </xf>
    <xf numFmtId="18" fontId="21" fillId="6" borderId="5" xfId="0" applyNumberFormat="1" applyFont="1" applyFill="1" applyBorder="1" applyAlignment="1">
      <alignment horizontal="center" vertical="center"/>
    </xf>
    <xf numFmtId="168" fontId="23" fillId="6" borderId="5" xfId="0" applyNumberFormat="1" applyFont="1" applyFill="1" applyBorder="1" applyAlignment="1">
      <alignment horizontal="center" vertical="center"/>
    </xf>
    <xf numFmtId="0" fontId="21" fillId="6" borderId="23" xfId="0" applyFont="1" applyFill="1" applyBorder="1" applyAlignment="1">
      <alignment horizontal="left" vertical="top" wrapText="1"/>
    </xf>
    <xf numFmtId="18" fontId="23" fillId="6" borderId="5" xfId="0" applyNumberFormat="1" applyFont="1" applyFill="1" applyBorder="1" applyAlignment="1">
      <alignment horizontal="center" vertical="center"/>
    </xf>
    <xf numFmtId="0" fontId="23" fillId="6" borderId="23" xfId="0" applyFont="1" applyFill="1" applyBorder="1" applyAlignment="1">
      <alignment horizontal="left" vertical="top" wrapText="1"/>
    </xf>
    <xf numFmtId="169" fontId="23" fillId="6" borderId="5" xfId="0" applyNumberFormat="1" applyFont="1" applyFill="1" applyBorder="1" applyAlignment="1">
      <alignment horizontal="center" vertical="center"/>
    </xf>
    <xf numFmtId="0" fontId="22" fillId="6" borderId="5" xfId="0" applyFont="1" applyFill="1" applyBorder="1" applyAlignment="1">
      <alignment horizontal="center" vertical="center"/>
    </xf>
    <xf numFmtId="169" fontId="22" fillId="6" borderId="5" xfId="0" applyNumberFormat="1" applyFont="1" applyFill="1" applyBorder="1" applyAlignment="1">
      <alignment horizontal="center" vertical="center"/>
    </xf>
    <xf numFmtId="18" fontId="22" fillId="6" borderId="5" xfId="0" applyNumberFormat="1" applyFont="1" applyFill="1" applyBorder="1" applyAlignment="1">
      <alignment horizontal="center" vertical="center"/>
    </xf>
    <xf numFmtId="0" fontId="22" fillId="6" borderId="23" xfId="0" applyFont="1" applyFill="1" applyBorder="1" applyAlignment="1">
      <alignment horizontal="left" vertical="top"/>
    </xf>
    <xf numFmtId="168" fontId="22" fillId="6" borderId="5" xfId="0" applyNumberFormat="1" applyFont="1" applyFill="1" applyBorder="1" applyAlignment="1">
      <alignment horizontal="center" vertical="center"/>
    </xf>
    <xf numFmtId="168" fontId="24" fillId="6" borderId="13" xfId="0" applyNumberFormat="1" applyFont="1" applyFill="1" applyBorder="1" applyAlignment="1">
      <alignment horizontal="center" vertical="center"/>
    </xf>
    <xf numFmtId="18" fontId="11" fillId="0" borderId="5" xfId="0" applyNumberFormat="1" applyFont="1" applyBorder="1" applyAlignment="1">
      <alignment horizontal="center" vertical="center"/>
    </xf>
    <xf numFmtId="0" fontId="11" fillId="0" borderId="4" xfId="0" applyFont="1" applyBorder="1" applyAlignment="1">
      <alignment vertical="top" wrapText="1"/>
    </xf>
    <xf numFmtId="0" fontId="11" fillId="0" borderId="4" xfId="0" applyFont="1" applyBorder="1" applyAlignment="1">
      <alignment horizontal="left" vertical="top" wrapText="1"/>
    </xf>
    <xf numFmtId="0" fontId="11" fillId="0" borderId="23" xfId="0" applyFont="1" applyBorder="1" applyAlignment="1">
      <alignment horizontal="left" vertical="top" wrapText="1"/>
    </xf>
    <xf numFmtId="0" fontId="16" fillId="0" borderId="23" xfId="0" applyFont="1" applyBorder="1" applyAlignment="1">
      <alignment horizontal="left" vertical="top" wrapText="1"/>
    </xf>
    <xf numFmtId="169" fontId="11" fillId="0" borderId="4" xfId="0" applyNumberFormat="1" applyFont="1" applyBorder="1" applyAlignment="1">
      <alignment horizontal="left" vertical="center" wrapText="1"/>
    </xf>
    <xf numFmtId="0" fontId="0" fillId="19" borderId="0" xfId="0" applyFill="1"/>
    <xf numFmtId="0" fontId="11" fillId="0" borderId="7" xfId="0" applyFont="1" applyBorder="1" applyAlignment="1">
      <alignment horizontal="center" vertical="center" wrapText="1"/>
    </xf>
    <xf numFmtId="169" fontId="11" fillId="0" borderId="5" xfId="0" applyNumberFormat="1" applyFont="1" applyBorder="1" applyAlignment="1">
      <alignment horizontal="center" vertical="center"/>
    </xf>
    <xf numFmtId="0" fontId="10" fillId="6" borderId="7" xfId="0" applyFont="1" applyFill="1" applyBorder="1" applyAlignment="1">
      <alignment horizontal="center" vertical="center" wrapText="1"/>
    </xf>
    <xf numFmtId="3" fontId="11" fillId="0" borderId="0" xfId="3" applyNumberFormat="1" applyFont="1"/>
    <xf numFmtId="3" fontId="13" fillId="0" borderId="0" xfId="3" applyNumberFormat="1" applyFont="1"/>
    <xf numFmtId="3" fontId="10" fillId="0" borderId="0" xfId="3" applyNumberFormat="1" applyFont="1" applyAlignment="1">
      <alignment horizontal="center"/>
    </xf>
    <xf numFmtId="0" fontId="21" fillId="0" borderId="27" xfId="0" applyFont="1" applyBorder="1" applyAlignment="1">
      <alignment horizontal="center" vertical="center"/>
    </xf>
    <xf numFmtId="0" fontId="10" fillId="6" borderId="4" xfId="0" applyFont="1" applyFill="1" applyBorder="1" applyAlignment="1">
      <alignment horizontal="left" vertical="top" wrapText="1"/>
    </xf>
    <xf numFmtId="168" fontId="20" fillId="21" borderId="28" xfId="3" applyNumberFormat="1" applyFont="1" applyFill="1" applyBorder="1" applyAlignment="1">
      <alignment horizontal="center" vertical="top"/>
    </xf>
    <xf numFmtId="0" fontId="20" fillId="21" borderId="28" xfId="3" applyFont="1" applyFill="1" applyBorder="1"/>
    <xf numFmtId="16" fontId="20" fillId="21" borderId="28" xfId="3" applyNumberFormat="1" applyFont="1" applyFill="1" applyBorder="1"/>
    <xf numFmtId="168" fontId="12" fillId="20" borderId="28" xfId="3" applyNumberFormat="1" applyFont="1" applyFill="1" applyBorder="1" applyAlignment="1">
      <alignment horizontal="center" vertical="center"/>
    </xf>
    <xf numFmtId="0" fontId="26" fillId="21" borderId="28" xfId="3" applyFont="1" applyFill="1" applyBorder="1" applyAlignment="1">
      <alignment vertical="center"/>
    </xf>
    <xf numFmtId="0" fontId="11" fillId="0" borderId="7" xfId="0" applyFont="1" applyBorder="1" applyAlignment="1">
      <alignment horizontal="center" vertical="center"/>
    </xf>
    <xf numFmtId="0" fontId="11" fillId="0" borderId="5" xfId="0" applyFont="1" applyBorder="1" applyAlignment="1">
      <alignment horizontal="center" vertical="center"/>
    </xf>
    <xf numFmtId="0" fontId="10" fillId="0" borderId="0" xfId="0" applyFont="1"/>
    <xf numFmtId="169" fontId="11" fillId="6" borderId="5" xfId="0" applyNumberFormat="1" applyFont="1" applyFill="1" applyBorder="1" applyAlignment="1">
      <alignment horizontal="center" vertical="center"/>
    </xf>
    <xf numFmtId="0" fontId="11" fillId="6" borderId="5" xfId="0" applyFont="1" applyFill="1" applyBorder="1" applyAlignment="1">
      <alignment horizontal="center" vertical="center"/>
    </xf>
    <xf numFmtId="168" fontId="11" fillId="0" borderId="23" xfId="0" applyNumberFormat="1" applyFont="1" applyBorder="1" applyAlignment="1">
      <alignment horizontal="center" vertical="center"/>
    </xf>
    <xf numFmtId="0" fontId="21" fillId="6" borderId="23" xfId="0" applyFont="1" applyFill="1" applyBorder="1" applyAlignment="1">
      <alignment horizontal="center" vertical="top"/>
    </xf>
    <xf numFmtId="0" fontId="21" fillId="6" borderId="29" xfId="0" applyFont="1" applyFill="1" applyBorder="1"/>
    <xf numFmtId="0" fontId="25" fillId="6" borderId="7" xfId="0" applyFont="1" applyFill="1" applyBorder="1" applyAlignment="1">
      <alignment horizontal="center" vertical="center" wrapText="1"/>
    </xf>
    <xf numFmtId="9" fontId="10" fillId="5" borderId="3" xfId="0" applyNumberFormat="1" applyFont="1" applyFill="1" applyBorder="1" applyAlignment="1">
      <alignment horizontal="left" vertical="top"/>
    </xf>
    <xf numFmtId="168" fontId="10" fillId="5" borderId="3" xfId="0" applyNumberFormat="1" applyFont="1" applyFill="1" applyBorder="1" applyAlignment="1">
      <alignment horizontal="center" vertical="top"/>
    </xf>
    <xf numFmtId="9" fontId="23" fillId="6" borderId="23" xfId="0" applyNumberFormat="1" applyFont="1" applyFill="1" applyBorder="1" applyAlignment="1">
      <alignment horizontal="center" vertical="center"/>
    </xf>
    <xf numFmtId="9" fontId="22" fillId="6" borderId="5" xfId="0" applyNumberFormat="1" applyFont="1" applyFill="1" applyBorder="1" applyAlignment="1">
      <alignment horizontal="center" vertical="center"/>
    </xf>
    <xf numFmtId="9" fontId="21" fillId="0" borderId="0" xfId="0" applyNumberFormat="1" applyFont="1" applyAlignment="1">
      <alignment horizontal="center" vertical="center"/>
    </xf>
    <xf numFmtId="9" fontId="24" fillId="6" borderId="13" xfId="0" applyNumberFormat="1" applyFont="1" applyFill="1" applyBorder="1" applyAlignment="1">
      <alignment horizontal="center" vertical="center"/>
    </xf>
    <xf numFmtId="0" fontId="12" fillId="20" borderId="30" xfId="2" quotePrefix="1" applyFont="1" applyFill="1" applyBorder="1" applyAlignment="1">
      <alignment horizontal="left" vertical="center" wrapText="1"/>
    </xf>
    <xf numFmtId="0" fontId="25" fillId="20" borderId="30" xfId="2" quotePrefix="1" applyFont="1" applyFill="1" applyBorder="1" applyAlignment="1">
      <alignment horizontal="left" vertical="center" wrapText="1"/>
    </xf>
    <xf numFmtId="0" fontId="28" fillId="20" borderId="30" xfId="2" quotePrefix="1" applyFont="1" applyFill="1" applyBorder="1" applyAlignment="1">
      <alignment horizontal="left" vertical="center" wrapText="1"/>
    </xf>
    <xf numFmtId="0" fontId="12" fillId="20" borderId="30" xfId="2" quotePrefix="1" applyFont="1" applyFill="1" applyBorder="1" applyAlignment="1">
      <alignment horizontal="center" vertical="center" wrapText="1"/>
    </xf>
    <xf numFmtId="0" fontId="29" fillId="20" borderId="31" xfId="2" quotePrefix="1" applyFont="1" applyFill="1" applyBorder="1" applyAlignment="1">
      <alignment vertical="center" wrapText="1"/>
    </xf>
    <xf numFmtId="0" fontId="12" fillId="20" borderId="28" xfId="2" quotePrefix="1" applyFont="1" applyFill="1" applyBorder="1" applyAlignment="1">
      <alignment horizontal="center" vertical="center" wrapText="1"/>
    </xf>
    <xf numFmtId="0" fontId="30" fillId="0" borderId="0" xfId="2" applyFont="1" applyAlignment="1">
      <alignment horizontal="center"/>
    </xf>
    <xf numFmtId="168" fontId="12" fillId="21" borderId="28" xfId="3" applyNumberFormat="1" applyFont="1" applyFill="1" applyBorder="1" applyAlignment="1">
      <alignment horizontal="center" vertical="top"/>
    </xf>
    <xf numFmtId="0" fontId="31" fillId="0" borderId="0" xfId="2" applyFont="1"/>
    <xf numFmtId="0" fontId="11" fillId="0" borderId="0" xfId="2" applyFont="1" applyAlignment="1">
      <alignment horizontal="left" indent="1"/>
    </xf>
    <xf numFmtId="0" fontId="16" fillId="0" borderId="0" xfId="2" applyFont="1"/>
    <xf numFmtId="0" fontId="16" fillId="21" borderId="28" xfId="2" applyFont="1" applyFill="1" applyBorder="1" applyAlignment="1">
      <alignment horizontal="center" vertical="center"/>
    </xf>
    <xf numFmtId="0" fontId="12" fillId="20" borderId="28" xfId="2" quotePrefix="1" applyFont="1" applyFill="1" applyBorder="1" applyAlignment="1">
      <alignment vertical="center" wrapText="1"/>
    </xf>
    <xf numFmtId="168" fontId="25" fillId="20" borderId="28" xfId="3" applyNumberFormat="1" applyFont="1" applyFill="1" applyBorder="1" applyAlignment="1">
      <alignment horizontal="center" vertical="center"/>
    </xf>
    <xf numFmtId="0" fontId="27" fillId="21" borderId="28" xfId="2" applyFont="1" applyFill="1" applyBorder="1" applyAlignment="1">
      <alignment vertical="top"/>
    </xf>
    <xf numFmtId="168" fontId="27" fillId="21" borderId="28" xfId="2" applyNumberFormat="1" applyFont="1" applyFill="1" applyBorder="1" applyAlignment="1">
      <alignment vertical="top"/>
    </xf>
    <xf numFmtId="0" fontId="11" fillId="0" borderId="0" xfId="2" applyFont="1" applyAlignment="1">
      <alignment horizontal="center"/>
    </xf>
    <xf numFmtId="169" fontId="11" fillId="0" borderId="23" xfId="0" applyNumberFormat="1" applyFont="1" applyBorder="1" applyAlignment="1">
      <alignment horizontal="left" vertical="center" wrapText="1"/>
    </xf>
    <xf numFmtId="168" fontId="11" fillId="0" borderId="5" xfId="0" applyNumberFormat="1" applyFont="1" applyBorder="1" applyAlignment="1">
      <alignment horizontal="center" vertical="center"/>
    </xf>
    <xf numFmtId="9" fontId="11" fillId="0" borderId="23" xfId="0" applyNumberFormat="1" applyFont="1" applyBorder="1" applyAlignment="1">
      <alignment horizontal="center" vertical="center"/>
    </xf>
    <xf numFmtId="9" fontId="11" fillId="0" borderId="5" xfId="0" applyNumberFormat="1" applyFont="1" applyBorder="1" applyAlignment="1">
      <alignment horizontal="center" vertical="center"/>
    </xf>
    <xf numFmtId="0" fontId="10" fillId="5" borderId="2" xfId="0" quotePrefix="1" applyFont="1" applyFill="1" applyBorder="1" applyAlignment="1">
      <alignment horizontal="left" vertical="top" wrapText="1"/>
    </xf>
    <xf numFmtId="0" fontId="11" fillId="0" borderId="4" xfId="3" applyFont="1" applyBorder="1" applyAlignment="1">
      <alignment horizontal="left" vertical="top" wrapText="1"/>
    </xf>
    <xf numFmtId="0" fontId="22" fillId="4" borderId="4" xfId="0" applyFont="1" applyFill="1" applyBorder="1" applyAlignment="1">
      <alignment vertical="top" wrapText="1"/>
    </xf>
    <xf numFmtId="0" fontId="21" fillId="0" borderId="10" xfId="0" applyFont="1" applyBorder="1" applyAlignment="1">
      <alignment wrapText="1"/>
    </xf>
    <xf numFmtId="0" fontId="21" fillId="0" borderId="27" xfId="0" applyFont="1" applyBorder="1" applyAlignment="1">
      <alignment horizontal="center" vertical="center" wrapText="1"/>
    </xf>
    <xf numFmtId="0" fontId="21" fillId="0" borderId="0" xfId="0" applyFont="1" applyAlignment="1">
      <alignment vertical="top" wrapText="1"/>
    </xf>
    <xf numFmtId="18" fontId="11" fillId="0" borderId="23" xfId="0" applyNumberFormat="1" applyFont="1" applyBorder="1" applyAlignment="1">
      <alignment horizontal="left" vertical="top" wrapText="1"/>
    </xf>
    <xf numFmtId="18" fontId="16" fillId="0" borderId="23" xfId="0" applyNumberFormat="1" applyFont="1" applyBorder="1" applyAlignment="1">
      <alignment horizontal="left" vertical="center"/>
    </xf>
    <xf numFmtId="0" fontId="25" fillId="6" borderId="7" xfId="0" applyFont="1" applyFill="1" applyBorder="1" applyAlignment="1">
      <alignment horizontal="center" vertical="center"/>
    </xf>
    <xf numFmtId="169" fontId="11" fillId="0" borderId="7" xfId="0" applyNumberFormat="1" applyFont="1" applyBorder="1" applyAlignment="1">
      <alignment horizontal="center" vertical="center"/>
    </xf>
    <xf numFmtId="0" fontId="11" fillId="0" borderId="5" xfId="0" applyFont="1" applyBorder="1" applyAlignment="1">
      <alignment horizontal="center" vertical="center" wrapText="1"/>
    </xf>
    <xf numFmtId="0" fontId="11" fillId="0" borderId="23" xfId="0" applyFont="1" applyBorder="1" applyAlignment="1">
      <alignment vertical="top"/>
    </xf>
    <xf numFmtId="0" fontId="11" fillId="0" borderId="23" xfId="0" applyFont="1" applyBorder="1" applyAlignment="1">
      <alignment horizontal="left" vertical="top"/>
    </xf>
    <xf numFmtId="0" fontId="16" fillId="0" borderId="23" xfId="0" quotePrefix="1" applyFont="1" applyBorder="1" applyAlignment="1">
      <alignment horizontal="left" vertical="top" wrapText="1"/>
    </xf>
    <xf numFmtId="168" fontId="11" fillId="0" borderId="23" xfId="0" applyNumberFormat="1" applyFont="1" applyBorder="1" applyAlignment="1">
      <alignment horizontal="left" vertical="top" wrapText="1"/>
    </xf>
    <xf numFmtId="1" fontId="20" fillId="21" borderId="32" xfId="6" applyNumberFormat="1" applyFont="1" applyFill="1" applyBorder="1" applyAlignment="1">
      <alignment horizontal="left"/>
    </xf>
    <xf numFmtId="1" fontId="25" fillId="21" borderId="32" xfId="6" applyNumberFormat="1" applyFont="1" applyFill="1" applyBorder="1" applyAlignment="1">
      <alignment horizontal="center"/>
    </xf>
    <xf numFmtId="15" fontId="20" fillId="21" borderId="28" xfId="6" applyNumberFormat="1" applyFont="1" applyFill="1" applyBorder="1"/>
    <xf numFmtId="1" fontId="20" fillId="21" borderId="32" xfId="6" applyNumberFormat="1" applyFont="1" applyFill="1" applyBorder="1" applyAlignment="1">
      <alignment horizontal="center"/>
    </xf>
    <xf numFmtId="15" fontId="25" fillId="21" borderId="28" xfId="6" applyNumberFormat="1" applyFont="1" applyFill="1" applyBorder="1"/>
    <xf numFmtId="169" fontId="11" fillId="0" borderId="4" xfId="0" applyNumberFormat="1" applyFont="1" applyBorder="1" applyAlignment="1">
      <alignment horizontal="left" vertical="top" wrapText="1"/>
    </xf>
    <xf numFmtId="0" fontId="11" fillId="0" borderId="7" xfId="0" applyFont="1" applyBorder="1"/>
    <xf numFmtId="0" fontId="21" fillId="0" borderId="23" xfId="0" applyFont="1" applyBorder="1"/>
    <xf numFmtId="0" fontId="24" fillId="9" borderId="15" xfId="0" applyFont="1" applyFill="1" applyBorder="1" applyAlignment="1">
      <alignment horizontal="center" vertical="center" textRotation="90" wrapText="1" shrinkToFit="1" readingOrder="2"/>
    </xf>
    <xf numFmtId="18" fontId="16" fillId="0" borderId="33" xfId="0" applyNumberFormat="1" applyFont="1" applyBorder="1" applyAlignment="1">
      <alignment horizontal="left" vertical="center"/>
    </xf>
    <xf numFmtId="0" fontId="21" fillId="6" borderId="33" xfId="0" applyFont="1" applyFill="1" applyBorder="1" applyAlignment="1">
      <alignment horizontal="left" vertical="top" wrapText="1"/>
    </xf>
    <xf numFmtId="0" fontId="10" fillId="4" borderId="4" xfId="0" applyFont="1" applyFill="1" applyBorder="1" applyAlignment="1">
      <alignment vertical="top" wrapText="1"/>
    </xf>
    <xf numFmtId="0" fontId="10" fillId="6" borderId="5" xfId="0" applyFont="1" applyFill="1" applyBorder="1" applyAlignment="1">
      <alignment horizontal="center" vertical="center"/>
    </xf>
    <xf numFmtId="169" fontId="10" fillId="6" borderId="5" xfId="0" applyNumberFormat="1" applyFont="1" applyFill="1" applyBorder="1" applyAlignment="1">
      <alignment horizontal="center" vertical="center"/>
    </xf>
    <xf numFmtId="18" fontId="10" fillId="6" borderId="5" xfId="0" applyNumberFormat="1" applyFont="1" applyFill="1" applyBorder="1" applyAlignment="1">
      <alignment horizontal="center" vertical="center"/>
    </xf>
    <xf numFmtId="168" fontId="11" fillId="6" borderId="5" xfId="0" applyNumberFormat="1" applyFont="1" applyFill="1" applyBorder="1" applyAlignment="1">
      <alignment horizontal="center" vertical="center"/>
    </xf>
    <xf numFmtId="9" fontId="11" fillId="6" borderId="23" xfId="0" applyNumberFormat="1" applyFont="1" applyFill="1" applyBorder="1" applyAlignment="1">
      <alignment horizontal="center" vertical="center"/>
    </xf>
    <xf numFmtId="0" fontId="10" fillId="6" borderId="23" xfId="0" applyFont="1" applyFill="1" applyBorder="1" applyAlignment="1">
      <alignment horizontal="left" vertical="top"/>
    </xf>
    <xf numFmtId="0" fontId="0" fillId="0" borderId="5" xfId="0" applyBorder="1" applyAlignment="1">
      <alignment wrapText="1" shrinkToFit="1"/>
    </xf>
    <xf numFmtId="0" fontId="11" fillId="0" borderId="23" xfId="0" applyFont="1" applyBorder="1" applyAlignment="1">
      <alignment vertical="top" wrapText="1"/>
    </xf>
    <xf numFmtId="0" fontId="16" fillId="0" borderId="23" xfId="0" applyFont="1" applyBorder="1" applyAlignment="1">
      <alignment vertical="top" wrapText="1"/>
    </xf>
    <xf numFmtId="0" fontId="32" fillId="21" borderId="28" xfId="3" applyFont="1" applyFill="1" applyBorder="1"/>
    <xf numFmtId="0" fontId="24" fillId="7" borderId="15" xfId="0" applyFont="1" applyFill="1" applyBorder="1" applyAlignment="1">
      <alignment horizontal="center" vertical="center" textRotation="90" wrapText="1" shrinkToFit="1" readingOrder="2"/>
    </xf>
    <xf numFmtId="0" fontId="24" fillId="8" borderId="15" xfId="0" applyFont="1" applyFill="1" applyBorder="1" applyAlignment="1">
      <alignment horizontal="center" vertical="center" textRotation="90" wrapText="1" shrinkToFit="1" readingOrder="2"/>
    </xf>
    <xf numFmtId="164" fontId="11" fillId="0" borderId="0" xfId="0" applyNumberFormat="1" applyFont="1"/>
    <xf numFmtId="165" fontId="11" fillId="0" borderId="0" xfId="0" applyNumberFormat="1" applyFont="1"/>
    <xf numFmtId="0" fontId="16" fillId="0" borderId="23" xfId="3" applyFont="1" applyBorder="1" applyAlignment="1">
      <alignment vertical="top" wrapText="1"/>
    </xf>
    <xf numFmtId="0" fontId="16" fillId="0" borderId="23" xfId="3" applyFont="1" applyBorder="1" applyAlignment="1">
      <alignment vertical="top"/>
    </xf>
    <xf numFmtId="0" fontId="16" fillId="0" borderId="23" xfId="3" applyFont="1" applyBorder="1" applyAlignment="1">
      <alignment horizontal="left" vertical="top"/>
    </xf>
    <xf numFmtId="20" fontId="11" fillId="0" borderId="23" xfId="0" quotePrefix="1" applyNumberFormat="1" applyFont="1" applyBorder="1" applyAlignment="1">
      <alignment horizontal="left" vertical="top"/>
    </xf>
    <xf numFmtId="0" fontId="10" fillId="5" borderId="8" xfId="0" quotePrefix="1" applyFont="1" applyFill="1" applyBorder="1" applyAlignment="1">
      <alignment horizontal="left" vertical="top" wrapText="1"/>
    </xf>
    <xf numFmtId="0" fontId="10" fillId="6" borderId="7" xfId="0" applyFont="1" applyFill="1" applyBorder="1" applyAlignment="1">
      <alignment horizontal="left" vertical="top" wrapText="1"/>
    </xf>
    <xf numFmtId="0" fontId="11" fillId="0" borderId="7" xfId="0" applyFont="1" applyBorder="1" applyAlignment="1">
      <alignment horizontal="left" vertical="top" wrapText="1"/>
    </xf>
    <xf numFmtId="0" fontId="22" fillId="6" borderId="7" xfId="0" applyFont="1" applyFill="1" applyBorder="1" applyAlignment="1">
      <alignment horizontal="left" vertical="top" wrapText="1"/>
    </xf>
    <xf numFmtId="0" fontId="11" fillId="0" borderId="7" xfId="0" applyFont="1" applyBorder="1" applyAlignment="1">
      <alignment vertical="top" wrapText="1"/>
    </xf>
    <xf numFmtId="169" fontId="11" fillId="0" borderId="7" xfId="0" applyNumberFormat="1" applyFont="1" applyBorder="1" applyAlignment="1">
      <alignment horizontal="left" vertical="center" wrapText="1"/>
    </xf>
    <xf numFmtId="169" fontId="11" fillId="0" borderId="7" xfId="0" applyNumberFormat="1" applyFont="1" applyBorder="1" applyAlignment="1">
      <alignment horizontal="left" vertical="top" wrapText="1"/>
    </xf>
    <xf numFmtId="0" fontId="11" fillId="0" borderId="7" xfId="3" applyFont="1" applyBorder="1" applyAlignment="1">
      <alignment horizontal="left" vertical="top" wrapText="1"/>
    </xf>
    <xf numFmtId="0" fontId="22" fillId="4" borderId="7" xfId="0" applyFont="1" applyFill="1" applyBorder="1" applyAlignment="1">
      <alignment vertical="top" wrapText="1"/>
    </xf>
    <xf numFmtId="0" fontId="10" fillId="4" borderId="7" xfId="0" applyFont="1" applyFill="1" applyBorder="1" applyAlignment="1">
      <alignment vertical="top" wrapText="1"/>
    </xf>
    <xf numFmtId="0" fontId="21" fillId="0" borderId="0" xfId="0" applyFont="1" applyAlignment="1">
      <alignment wrapText="1"/>
    </xf>
    <xf numFmtId="0" fontId="11" fillId="0" borderId="5" xfId="0" applyFont="1" applyBorder="1" applyAlignment="1">
      <alignment wrapText="1" shrinkToFit="1"/>
    </xf>
    <xf numFmtId="0" fontId="11" fillId="0" borderId="23" xfId="0" applyFont="1" applyBorder="1"/>
    <xf numFmtId="0" fontId="11" fillId="0" borderId="7" xfId="0" applyFont="1" applyBorder="1" applyAlignment="1">
      <alignment wrapText="1"/>
    </xf>
    <xf numFmtId="0" fontId="11" fillId="0" borderId="4" xfId="0" applyFont="1" applyBorder="1" applyAlignment="1">
      <alignment vertical="top"/>
    </xf>
    <xf numFmtId="0" fontId="33" fillId="0" borderId="4" xfId="0" applyFont="1" applyBorder="1" applyAlignment="1">
      <alignment horizontal="left" vertical="top" wrapText="1"/>
    </xf>
    <xf numFmtId="0" fontId="33" fillId="0" borderId="7" xfId="0" applyFont="1" applyBorder="1" applyAlignment="1">
      <alignment horizontal="left" vertical="top" wrapText="1"/>
    </xf>
    <xf numFmtId="0" fontId="33" fillId="0" borderId="7" xfId="0" applyFont="1" applyBorder="1" applyAlignment="1">
      <alignment horizontal="center" vertical="center"/>
    </xf>
    <xf numFmtId="168" fontId="33" fillId="0" borderId="5" xfId="0" applyNumberFormat="1" applyFont="1" applyBorder="1" applyAlignment="1">
      <alignment horizontal="center" vertical="center"/>
    </xf>
    <xf numFmtId="9" fontId="33" fillId="0" borderId="23" xfId="0" applyNumberFormat="1" applyFont="1" applyBorder="1" applyAlignment="1">
      <alignment horizontal="center" vertical="center"/>
    </xf>
    <xf numFmtId="168" fontId="33" fillId="0" borderId="23" xfId="0" applyNumberFormat="1" applyFont="1" applyBorder="1" applyAlignment="1">
      <alignment horizontal="center" vertical="center"/>
    </xf>
    <xf numFmtId="0" fontId="33" fillId="0" borderId="23" xfId="0" applyFont="1" applyBorder="1" applyAlignment="1">
      <alignment horizontal="left" vertical="top" wrapText="1"/>
    </xf>
    <xf numFmtId="169" fontId="11" fillId="0" borderId="23" xfId="0" applyNumberFormat="1" applyFont="1" applyBorder="1" applyAlignment="1">
      <alignment horizontal="left" vertical="center"/>
    </xf>
    <xf numFmtId="20" fontId="16" fillId="0" borderId="23" xfId="0" applyNumberFormat="1" applyFont="1" applyBorder="1" applyAlignment="1">
      <alignment horizontal="left" vertical="top" wrapText="1"/>
    </xf>
    <xf numFmtId="49" fontId="0" fillId="0" borderId="0" xfId="0" applyNumberFormat="1"/>
    <xf numFmtId="170" fontId="0" fillId="0" borderId="0" xfId="0" applyNumberFormat="1"/>
    <xf numFmtId="20" fontId="33" fillId="0" borderId="23" xfId="0" applyNumberFormat="1" applyFont="1" applyBorder="1" applyAlignment="1">
      <alignment horizontal="left" vertical="top" wrapText="1"/>
    </xf>
    <xf numFmtId="0" fontId="34" fillId="23" borderId="0" xfId="0" applyFont="1" applyFill="1"/>
    <xf numFmtId="9" fontId="0" fillId="0" borderId="0" xfId="0" applyNumberFormat="1"/>
    <xf numFmtId="0" fontId="15" fillId="24" borderId="0" xfId="0" applyFont="1" applyFill="1"/>
    <xf numFmtId="0" fontId="15" fillId="24" borderId="0" xfId="0" applyFont="1" applyFill="1" applyAlignment="1">
      <alignment horizontal="center" vertical="center" textRotation="90"/>
    </xf>
    <xf numFmtId="0" fontId="10" fillId="25" borderId="0" xfId="3" applyFont="1" applyFill="1"/>
    <xf numFmtId="0" fontId="10" fillId="4" borderId="0" xfId="0" applyFont="1" applyFill="1" applyAlignment="1">
      <alignment horizontal="center"/>
    </xf>
    <xf numFmtId="0" fontId="11" fillId="0" borderId="0" xfId="3" applyFont="1"/>
    <xf numFmtId="0" fontId="10" fillId="4" borderId="0" xfId="3" applyFont="1" applyFill="1" applyAlignment="1">
      <alignment horizontal="center"/>
    </xf>
    <xf numFmtId="3" fontId="11" fillId="0" borderId="0" xfId="3" applyNumberFormat="1" applyFont="1"/>
    <xf numFmtId="0" fontId="12" fillId="18" borderId="0" xfId="0" applyFont="1" applyFill="1" applyAlignment="1">
      <alignment horizontal="center" vertical="center" wrapText="1"/>
    </xf>
    <xf numFmtId="0" fontId="0" fillId="0" borderId="0" xfId="0"/>
    <xf numFmtId="0" fontId="12" fillId="12" borderId="0" xfId="0" applyFont="1" applyFill="1" applyAlignment="1">
      <alignment horizontal="center" vertical="center" wrapText="1"/>
    </xf>
    <xf numFmtId="0" fontId="13" fillId="0" borderId="7" xfId="0" applyFont="1" applyBorder="1" applyAlignment="1">
      <alignment horizontal="center" vertical="center" wrapText="1"/>
    </xf>
    <xf numFmtId="0" fontId="0" fillId="0" borderId="16" xfId="0" applyBorder="1"/>
    <xf numFmtId="0" fontId="0" fillId="0" borderId="17" xfId="0" applyBorder="1"/>
    <xf numFmtId="0" fontId="0" fillId="0" borderId="19" xfId="0" applyBorder="1"/>
    <xf numFmtId="0" fontId="0" fillId="0" borderId="21" xfId="0" applyBorder="1"/>
    <xf numFmtId="0" fontId="0" fillId="0" borderId="22" xfId="0" applyBorder="1"/>
    <xf numFmtId="0" fontId="12" fillId="11" borderId="0" xfId="0" applyFont="1" applyFill="1" applyAlignment="1">
      <alignment horizontal="center" vertical="center" wrapText="1"/>
    </xf>
    <xf numFmtId="0" fontId="12" fillId="13" borderId="0" xfId="0" applyFont="1" applyFill="1" applyAlignment="1">
      <alignment horizontal="center" vertical="center" wrapText="1"/>
    </xf>
    <xf numFmtId="0" fontId="13" fillId="0" borderId="5" xfId="0" applyFont="1" applyBorder="1" applyAlignment="1">
      <alignment horizontal="center" vertical="center" wrapText="1"/>
    </xf>
    <xf numFmtId="0" fontId="0" fillId="0" borderId="18" xfId="0" applyBorder="1"/>
    <xf numFmtId="0" fontId="0" fillId="0" borderId="20" xfId="0" applyBorder="1"/>
    <xf numFmtId="0" fontId="12" fillId="8" borderId="0" xfId="0" applyFont="1" applyFill="1" applyAlignment="1">
      <alignment horizontal="center" vertical="center" wrapText="1"/>
    </xf>
    <xf numFmtId="0" fontId="12" fillId="15" borderId="0" xfId="0" applyFont="1" applyFill="1" applyAlignment="1">
      <alignment horizontal="center" vertical="center" wrapText="1"/>
    </xf>
    <xf numFmtId="0" fontId="12" fillId="17" borderId="0" xfId="0" applyFont="1" applyFill="1" applyAlignment="1">
      <alignment horizontal="center" vertical="center" wrapText="1"/>
    </xf>
    <xf numFmtId="0" fontId="12" fillId="14" borderId="0" xfId="0" applyFont="1" applyFill="1" applyAlignment="1">
      <alignment horizontal="center" vertical="center" wrapText="1"/>
    </xf>
    <xf numFmtId="0" fontId="12" fillId="16" borderId="0" xfId="0" applyFont="1" applyFill="1" applyAlignment="1">
      <alignment horizontal="center" vertical="center" wrapText="1"/>
    </xf>
    <xf numFmtId="0" fontId="10" fillId="6" borderId="4" xfId="0" applyFont="1" applyFill="1" applyBorder="1" applyAlignment="1">
      <alignment horizontal="left" vertical="top"/>
    </xf>
    <xf numFmtId="0" fontId="0" fillId="0" borderId="6" xfId="0" applyBorder="1"/>
    <xf numFmtId="0" fontId="0" fillId="0" borderId="7" xfId="0" applyBorder="1"/>
    <xf numFmtId="0" fontId="10" fillId="22" borderId="9" xfId="0" applyFont="1" applyFill="1" applyBorder="1" applyAlignment="1">
      <alignment horizontal="center" vertical="center"/>
    </xf>
    <xf numFmtId="0" fontId="24" fillId="6" borderId="34" xfId="0" applyFont="1" applyFill="1" applyBorder="1" applyAlignment="1">
      <alignment horizontal="left" vertical="center"/>
    </xf>
    <xf numFmtId="0" fontId="0" fillId="0" borderId="11" xfId="0" applyBorder="1"/>
    <xf numFmtId="0" fontId="0" fillId="0" borderId="12" xfId="0" applyBorder="1"/>
    <xf numFmtId="0" fontId="24" fillId="7" borderId="14" xfId="0" applyFont="1" applyFill="1" applyBorder="1" applyAlignment="1">
      <alignment horizontal="center" vertical="center" textRotation="90" wrapText="1" shrinkToFit="1" readingOrder="2"/>
    </xf>
    <xf numFmtId="0" fontId="0" fillId="0" borderId="15" xfId="0" applyBorder="1"/>
    <xf numFmtId="0" fontId="24" fillId="8" borderId="14" xfId="0" applyFont="1" applyFill="1" applyBorder="1" applyAlignment="1">
      <alignment horizontal="center" vertical="center" textRotation="90" wrapText="1" shrinkToFit="1" readingOrder="2"/>
    </xf>
    <xf numFmtId="0" fontId="24" fillId="9" borderId="14" xfId="0" applyFont="1" applyFill="1" applyBorder="1" applyAlignment="1">
      <alignment horizontal="center" vertical="center" textRotation="90" wrapText="1" shrinkToFit="1" readingOrder="2"/>
    </xf>
    <xf numFmtId="0" fontId="24" fillId="10" borderId="35" xfId="0" applyFont="1" applyFill="1" applyBorder="1" applyAlignment="1">
      <alignment horizontal="center" vertical="center" textRotation="90" wrapText="1" shrinkToFit="1" readingOrder="2"/>
    </xf>
    <xf numFmtId="0" fontId="0" fillId="0" borderId="26" xfId="0" applyBorder="1"/>
    <xf numFmtId="0" fontId="25" fillId="6" borderId="26" xfId="0" applyFont="1" applyFill="1" applyBorder="1" applyAlignment="1">
      <alignment horizontal="center" vertical="center" textRotation="55"/>
    </xf>
    <xf numFmtId="0" fontId="15" fillId="26" borderId="0" xfId="0" applyFont="1" applyFill="1" applyAlignment="1">
      <alignment horizontal="center" vertical="center" textRotation="90"/>
    </xf>
  </cellXfs>
  <cellStyles count="7">
    <cellStyle name="Hyperlink" xfId="1" builtinId="8"/>
    <cellStyle name="Normal" xfId="0" builtinId="0"/>
    <cellStyle name="Normal 2" xfId="2" xr:uid="{00000000-0005-0000-0000-000002000000}"/>
    <cellStyle name="Normal 2 2" xfId="3" xr:uid="{00000000-0005-0000-0000-000003000000}"/>
    <cellStyle name="Normal 3" xfId="4" xr:uid="{00000000-0005-0000-0000-000004000000}"/>
    <cellStyle name="Normal 3 2" xfId="5" xr:uid="{00000000-0005-0000-0000-000005000000}"/>
    <cellStyle name="Normal 3 2 2" xfId="6" xr:uid="{00000000-0005-0000-0000-000006000000}"/>
  </cellStyles>
  <dxfs count="11">
    <dxf>
      <font>
        <color rgb="FF9C0006"/>
      </font>
      <fill>
        <patternFill>
          <bgColor rgb="FFFFC7CE"/>
        </patternFill>
      </fill>
    </dxf>
    <dxf>
      <font>
        <b/>
        <color rgb="FFFF0000"/>
      </font>
    </dxf>
    <dxf>
      <font>
        <b/>
        <color auto="1"/>
      </font>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numFmt numFmtId="166" formatCode="[h]:mm:ss.000"/>
    </dxf>
    <dxf>
      <numFmt numFmtId="164" formatCode="dd/mm/yyyy\ hh:mm:ss"/>
    </dxf>
    <dxf>
      <numFmt numFmtId="164" formatCode="dd/mm/yyyy\ h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17</xdr:col>
      <xdr:colOff>19051</xdr:colOff>
      <xdr:row>9</xdr:row>
      <xdr:rowOff>9525</xdr:rowOff>
    </xdr:from>
    <xdr:to>
      <xdr:col>20</xdr:col>
      <xdr:colOff>76201</xdr:colOff>
      <xdr:row>16</xdr:row>
      <xdr:rowOff>13167</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0397491" y="1480185"/>
          <a:ext cx="1885950" cy="1139022"/>
        </a:xfrm>
        <a:prstGeom prst="rect">
          <a:avLst/>
        </a:prstGeom>
        <a:ln>
          <a:prstDash val="solid"/>
        </a:ln>
      </xdr:spPr>
    </xdr:pic>
    <xdr:clientData/>
  </xdr:twoCellAnchor>
  <xdr:twoCellAnchor editAs="oneCell">
    <xdr:from>
      <xdr:col>17</xdr:col>
      <xdr:colOff>19050</xdr:colOff>
      <xdr:row>18</xdr:row>
      <xdr:rowOff>1</xdr:rowOff>
    </xdr:from>
    <xdr:to>
      <xdr:col>21</xdr:col>
      <xdr:colOff>85725</xdr:colOff>
      <xdr:row>25</xdr:row>
      <xdr:rowOff>2848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0397490" y="2941321"/>
          <a:ext cx="2505075" cy="1138227"/>
        </a:xfrm>
        <a:prstGeom prst="rect">
          <a:avLst/>
        </a:prstGeom>
        <a:ln>
          <a:prstDash val="solid"/>
        </a:ln>
      </xdr:spPr>
    </xdr:pic>
    <xdr:clientData/>
  </xdr:twoCellAnchor>
  <xdr:twoCellAnchor editAs="oneCell">
    <xdr:from>
      <xdr:col>17</xdr:col>
      <xdr:colOff>38099</xdr:colOff>
      <xdr:row>27</xdr:row>
      <xdr:rowOff>0</xdr:rowOff>
    </xdr:from>
    <xdr:to>
      <xdr:col>20</xdr:col>
      <xdr:colOff>514350</xdr:colOff>
      <xdr:row>34</xdr:row>
      <xdr:rowOff>6918</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0416539" y="4411980"/>
          <a:ext cx="2305051" cy="1180398"/>
        </a:xfrm>
        <a:prstGeom prst="rect">
          <a:avLst/>
        </a:prstGeom>
        <a:ln>
          <a:prstDash val="solid"/>
        </a:ln>
      </xdr:spPr>
    </xdr:pic>
    <xdr:clientData/>
  </xdr:twoCellAnchor>
  <xdr:twoCellAnchor editAs="oneCell">
    <xdr:from>
      <xdr:col>17</xdr:col>
      <xdr:colOff>9525</xdr:colOff>
      <xdr:row>35</xdr:row>
      <xdr:rowOff>161924</xdr:rowOff>
    </xdr:from>
    <xdr:to>
      <xdr:col>23</xdr:col>
      <xdr:colOff>41441</xdr:colOff>
      <xdr:row>43</xdr:row>
      <xdr:rowOff>28575</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0387965" y="5915024"/>
          <a:ext cx="3689516" cy="1207771"/>
        </a:xfrm>
        <a:prstGeom prst="rect">
          <a:avLst/>
        </a:prstGeom>
        <a:ln>
          <a:prstDash val="solid"/>
        </a:ln>
      </xdr:spPr>
    </xdr:pic>
    <xdr:clientData/>
  </xdr:twoCellAnchor>
  <xdr:twoCellAnchor editAs="oneCell">
    <xdr:from>
      <xdr:col>17</xdr:col>
      <xdr:colOff>9526</xdr:colOff>
      <xdr:row>45</xdr:row>
      <xdr:rowOff>0</xdr:rowOff>
    </xdr:from>
    <xdr:to>
      <xdr:col>20</xdr:col>
      <xdr:colOff>390526</xdr:colOff>
      <xdr:row>52</xdr:row>
      <xdr:rowOff>8668</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10387966" y="7429500"/>
          <a:ext cx="2209800" cy="1182148"/>
        </a:xfrm>
        <a:prstGeom prst="rect">
          <a:avLst/>
        </a:prstGeom>
        <a:ln>
          <a:prstDash val="solid"/>
        </a:ln>
      </xdr:spPr>
    </xdr:pic>
    <xdr:clientData/>
  </xdr:twoCellAnchor>
  <xdr:twoCellAnchor editAs="oneCell">
    <xdr:from>
      <xdr:col>17</xdr:col>
      <xdr:colOff>9525</xdr:colOff>
      <xdr:row>53</xdr:row>
      <xdr:rowOff>161924</xdr:rowOff>
    </xdr:from>
    <xdr:to>
      <xdr:col>21</xdr:col>
      <xdr:colOff>524761</xdr:colOff>
      <xdr:row>60</xdr:row>
      <xdr:rowOff>152400</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10387965" y="8932544"/>
          <a:ext cx="2953636" cy="1163956"/>
        </a:xfrm>
        <a:prstGeom prst="rect">
          <a:avLst/>
        </a:prstGeom>
        <a:ln>
          <a:prstDash val="solid"/>
        </a:ln>
      </xdr:spPr>
    </xdr:pic>
    <xdr:clientData/>
  </xdr:twoCellAnchor>
  <xdr:twoCellAnchor editAs="oneCell">
    <xdr:from>
      <xdr:col>17</xdr:col>
      <xdr:colOff>9524</xdr:colOff>
      <xdr:row>62</xdr:row>
      <xdr:rowOff>123824</xdr:rowOff>
    </xdr:from>
    <xdr:to>
      <xdr:col>22</xdr:col>
      <xdr:colOff>144691</xdr:colOff>
      <xdr:row>69</xdr:row>
      <xdr:rowOff>142875</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10387964" y="10403204"/>
          <a:ext cx="3183167" cy="1192531"/>
        </a:xfrm>
        <a:prstGeom prst="rect">
          <a:avLst/>
        </a:prstGeom>
        <a:ln>
          <a:prstDash val="solid"/>
        </a:ln>
      </xdr:spPr>
    </xdr:pic>
    <xdr:clientData/>
  </xdr:twoCellAnchor>
  <xdr:twoCellAnchor editAs="oneCell">
    <xdr:from>
      <xdr:col>17</xdr:col>
      <xdr:colOff>28575</xdr:colOff>
      <xdr:row>71</xdr:row>
      <xdr:rowOff>95249</xdr:rowOff>
    </xdr:from>
    <xdr:to>
      <xdr:col>20</xdr:col>
      <xdr:colOff>219075</xdr:colOff>
      <xdr:row>79</xdr:row>
      <xdr:rowOff>125014</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10407015" y="11883389"/>
          <a:ext cx="2019300" cy="1370885"/>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4" displayName="Table14" ref="A1:G360" totalsRowShown="0">
  <autoFilter ref="A1:G360" xr:uid="{00000000-0009-0000-0100-000001000000}"/>
  <sortState xmlns:xlrd2="http://schemas.microsoft.com/office/spreadsheetml/2017/richdata2" ref="A2:G360">
    <sortCondition ref="G1:G360"/>
  </sortState>
  <tableColumns count="7">
    <tableColumn id="1" xr3:uid="{00000000-0010-0000-0000-000001000000}" name="Program"/>
    <tableColumn id="2" xr3:uid="{00000000-0010-0000-0000-000002000000}" name="Status"/>
    <tableColumn id="3" xr3:uid="{00000000-0010-0000-0000-000003000000}" name="Runtime " dataDxfId="10"/>
    <tableColumn id="4" xr3:uid="{00000000-0010-0000-0000-000004000000}" name="Started" dataDxfId="9"/>
    <tableColumn id="5" xr3:uid="{00000000-0010-0000-0000-000005000000}" name="Finished" dataDxfId="8"/>
    <tableColumn id="6" xr3:uid="{00000000-0010-0000-0000-000006000000}" name="Elapsed"/>
    <tableColumn id="7" xr3:uid="{00000000-0010-0000-0000-000007000000}" name="Comments"/>
  </tableColumns>
  <tableStyleInfo name="TableStyleLight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jed.magdato@infor.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5"/>
  <sheetViews>
    <sheetView workbookViewId="0">
      <selection activeCell="B17" sqref="B17"/>
    </sheetView>
  </sheetViews>
  <sheetFormatPr baseColWidth="10" defaultColWidth="8.83203125" defaultRowHeight="13" x14ac:dyDescent="0.15"/>
  <cols>
    <col min="1" max="1" width="40.33203125" style="17" bestFit="1" customWidth="1"/>
    <col min="2" max="2" width="38.83203125" style="17" bestFit="1" customWidth="1"/>
    <col min="3" max="3" width="50.33203125" style="17" customWidth="1"/>
    <col min="4" max="4" width="43.5" style="17" customWidth="1"/>
    <col min="5" max="5" width="8.83203125" style="17" customWidth="1"/>
    <col min="6" max="16384" width="8.83203125" style="17"/>
  </cols>
  <sheetData>
    <row r="1" spans="1:5" ht="26.25" customHeight="1" x14ac:dyDescent="0.2">
      <c r="A1" s="15" t="s">
        <v>61</v>
      </c>
      <c r="B1" s="16" t="s">
        <v>62</v>
      </c>
      <c r="C1" s="16"/>
      <c r="E1" s="18" t="s">
        <v>63</v>
      </c>
    </row>
    <row r="2" spans="1:5" x14ac:dyDescent="0.15">
      <c r="E2" s="18" t="s">
        <v>64</v>
      </c>
    </row>
    <row r="3" spans="1:5" x14ac:dyDescent="0.15">
      <c r="A3" s="19" t="s">
        <v>65</v>
      </c>
      <c r="B3" s="1" t="s">
        <v>66</v>
      </c>
    </row>
    <row r="4" spans="1:5" x14ac:dyDescent="0.15">
      <c r="A4" s="20"/>
    </row>
    <row r="5" spans="1:5" x14ac:dyDescent="0.15">
      <c r="A5" s="21" t="s">
        <v>67</v>
      </c>
      <c r="B5" s="22">
        <v>46099</v>
      </c>
    </row>
    <row r="6" spans="1:5" x14ac:dyDescent="0.15">
      <c r="C6" s="23" t="s">
        <v>49</v>
      </c>
    </row>
    <row r="7" spans="1:5" x14ac:dyDescent="0.15">
      <c r="A7" s="24" t="s">
        <v>68</v>
      </c>
      <c r="B7" s="22" t="s">
        <v>69</v>
      </c>
      <c r="C7" s="23" t="s">
        <v>70</v>
      </c>
    </row>
    <row r="8" spans="1:5" x14ac:dyDescent="0.15">
      <c r="A8" s="24" t="s">
        <v>71</v>
      </c>
      <c r="B8" s="22" t="s">
        <v>72</v>
      </c>
      <c r="C8" s="23" t="s">
        <v>73</v>
      </c>
    </row>
    <row r="9" spans="1:5" x14ac:dyDescent="0.15">
      <c r="A9" s="24"/>
      <c r="B9" s="22"/>
      <c r="C9" s="23"/>
    </row>
    <row r="10" spans="1:5" x14ac:dyDescent="0.15">
      <c r="A10" s="24" t="s">
        <v>74</v>
      </c>
      <c r="B10" s="31">
        <v>13.1</v>
      </c>
      <c r="C10" s="23" t="s">
        <v>75</v>
      </c>
    </row>
    <row r="11" spans="1:5" x14ac:dyDescent="0.15">
      <c r="A11" s="24" t="s">
        <v>76</v>
      </c>
      <c r="B11" s="31" t="s">
        <v>77</v>
      </c>
      <c r="C11" s="23" t="s">
        <v>78</v>
      </c>
    </row>
    <row r="12" spans="1:5" x14ac:dyDescent="0.15">
      <c r="A12" s="24" t="s">
        <v>79</v>
      </c>
      <c r="B12" s="31" t="s">
        <v>80</v>
      </c>
      <c r="C12" s="23"/>
    </row>
    <row r="13" spans="1:5" x14ac:dyDescent="0.15">
      <c r="A13" s="24" t="s">
        <v>81</v>
      </c>
      <c r="B13" s="31" t="s">
        <v>82</v>
      </c>
      <c r="C13" s="23"/>
    </row>
    <row r="14" spans="1:5" x14ac:dyDescent="0.15">
      <c r="A14" s="24" t="s">
        <v>83</v>
      </c>
      <c r="B14" s="31" t="s">
        <v>84</v>
      </c>
      <c r="C14" s="23"/>
    </row>
    <row r="15" spans="1:5" x14ac:dyDescent="0.15">
      <c r="A15" s="24"/>
      <c r="B15" s="31"/>
      <c r="C15" s="23"/>
    </row>
    <row r="16" spans="1:5" x14ac:dyDescent="0.15">
      <c r="A16" s="24" t="s">
        <v>85</v>
      </c>
      <c r="B16" s="31" t="s">
        <v>86</v>
      </c>
      <c r="C16" s="23" t="s">
        <v>87</v>
      </c>
    </row>
    <row r="17" spans="1:4" x14ac:dyDescent="0.15">
      <c r="A17" s="24" t="s">
        <v>88</v>
      </c>
      <c r="B17" s="31" t="s">
        <v>89</v>
      </c>
      <c r="C17" s="23"/>
    </row>
    <row r="18" spans="1:4" x14ac:dyDescent="0.15">
      <c r="A18" s="24" t="s">
        <v>90</v>
      </c>
      <c r="B18" s="31" t="s">
        <v>91</v>
      </c>
      <c r="C18" s="23"/>
    </row>
    <row r="19" spans="1:4" x14ac:dyDescent="0.15">
      <c r="A19" s="24"/>
      <c r="C19" s="23"/>
    </row>
    <row r="20" spans="1:4" x14ac:dyDescent="0.15">
      <c r="A20" s="24" t="s">
        <v>92</v>
      </c>
      <c r="B20" s="25" t="s">
        <v>93</v>
      </c>
      <c r="C20" s="23" t="s">
        <v>94</v>
      </c>
    </row>
    <row r="21" spans="1:4" x14ac:dyDescent="0.15">
      <c r="A21" s="24" t="s">
        <v>95</v>
      </c>
      <c r="B21" s="25" t="s">
        <v>49</v>
      </c>
      <c r="C21" s="23" t="s">
        <v>96</v>
      </c>
    </row>
    <row r="22" spans="1:4" x14ac:dyDescent="0.15">
      <c r="C22" s="23"/>
    </row>
    <row r="23" spans="1:4" x14ac:dyDescent="0.15">
      <c r="A23" s="24"/>
      <c r="B23" s="21"/>
      <c r="C23" s="23"/>
    </row>
    <row r="24" spans="1:4" x14ac:dyDescent="0.15">
      <c r="A24" s="24"/>
      <c r="B24" s="21"/>
      <c r="C24" s="23"/>
    </row>
    <row r="25" spans="1:4" x14ac:dyDescent="0.15">
      <c r="A25" s="24"/>
      <c r="B25" s="24"/>
      <c r="C25" s="23"/>
    </row>
    <row r="26" spans="1:4" x14ac:dyDescent="0.15">
      <c r="A26" s="26" t="s">
        <v>97</v>
      </c>
      <c r="B26" s="26" t="s">
        <v>98</v>
      </c>
      <c r="C26" s="26" t="s">
        <v>99</v>
      </c>
      <c r="D26" s="26" t="s">
        <v>7</v>
      </c>
    </row>
    <row r="31" spans="1:4" x14ac:dyDescent="0.15">
      <c r="A31" s="24" t="s">
        <v>100</v>
      </c>
    </row>
    <row r="36" spans="1:4" x14ac:dyDescent="0.15">
      <c r="A36" s="26" t="s">
        <v>101</v>
      </c>
    </row>
    <row r="37" spans="1:4" x14ac:dyDescent="0.15">
      <c r="A37" s="26"/>
    </row>
    <row r="38" spans="1:4" x14ac:dyDescent="0.15">
      <c r="A38" s="28"/>
      <c r="B38" s="28"/>
      <c r="C38" s="28"/>
      <c r="D38" s="28"/>
    </row>
    <row r="39" spans="1:4" x14ac:dyDescent="0.15">
      <c r="A39" s="28"/>
      <c r="B39" s="28"/>
      <c r="C39" s="28"/>
      <c r="D39" s="28"/>
    </row>
    <row r="40" spans="1:4" x14ac:dyDescent="0.15">
      <c r="A40" s="27"/>
    </row>
    <row r="41" spans="1:4" x14ac:dyDescent="0.15">
      <c r="A41" s="27"/>
    </row>
    <row r="42" spans="1:4" x14ac:dyDescent="0.15">
      <c r="A42" s="28"/>
      <c r="B42" s="28"/>
      <c r="C42" s="28"/>
      <c r="D42" s="28"/>
    </row>
    <row r="43" spans="1:4" x14ac:dyDescent="0.15">
      <c r="A43" s="26"/>
    </row>
    <row r="44" spans="1:4" x14ac:dyDescent="0.15">
      <c r="A44" s="26"/>
    </row>
    <row r="45" spans="1:4" x14ac:dyDescent="0.15">
      <c r="A45" s="26"/>
    </row>
    <row r="46" spans="1:4" x14ac:dyDescent="0.15">
      <c r="A46" s="27"/>
      <c r="B46" s="27"/>
      <c r="D46" s="27"/>
    </row>
    <row r="47" spans="1:4" x14ac:dyDescent="0.15">
      <c r="A47" s="27"/>
      <c r="B47" s="27"/>
      <c r="D47" s="27"/>
    </row>
    <row r="48" spans="1:4" x14ac:dyDescent="0.15">
      <c r="A48" s="27"/>
      <c r="B48" s="27"/>
      <c r="D48" s="27"/>
    </row>
    <row r="49" spans="1:4" x14ac:dyDescent="0.15">
      <c r="A49" s="27"/>
      <c r="B49" s="27"/>
      <c r="D49" s="27"/>
    </row>
    <row r="50" spans="1:4" x14ac:dyDescent="0.15">
      <c r="A50" s="27"/>
      <c r="B50" s="27"/>
      <c r="D50" s="27"/>
    </row>
    <row r="51" spans="1:4" x14ac:dyDescent="0.15">
      <c r="A51" s="26"/>
      <c r="B51" s="27"/>
      <c r="D51" s="27"/>
    </row>
    <row r="52" spans="1:4" x14ac:dyDescent="0.15">
      <c r="A52" s="26"/>
      <c r="B52" s="27"/>
      <c r="D52" s="27"/>
    </row>
    <row r="53" spans="1:4" x14ac:dyDescent="0.15">
      <c r="A53" s="27"/>
      <c r="B53" s="27"/>
      <c r="D53" s="27"/>
    </row>
    <row r="54" spans="1:4" x14ac:dyDescent="0.15">
      <c r="A54" s="27"/>
      <c r="B54" s="27"/>
      <c r="D54" s="27"/>
    </row>
    <row r="55" spans="1:4" x14ac:dyDescent="0.15">
      <c r="A55" s="26"/>
      <c r="B55" s="27"/>
      <c r="C55" s="27"/>
      <c r="D55" s="28"/>
    </row>
    <row r="56" spans="1:4" ht="13.75" customHeight="1" thickBot="1" x14ac:dyDescent="0.2">
      <c r="C56" s="27"/>
    </row>
    <row r="57" spans="1:4" ht="12" customHeight="1" thickBot="1" x14ac:dyDescent="0.2">
      <c r="A57" s="29"/>
      <c r="B57" s="30"/>
      <c r="C57" s="30"/>
      <c r="D57" s="30"/>
    </row>
    <row r="58" spans="1:4" ht="13.5" customHeight="1" thickBot="1" x14ac:dyDescent="0.2">
      <c r="A58" s="29"/>
      <c r="B58" s="30"/>
      <c r="C58" s="30"/>
      <c r="D58" s="30"/>
    </row>
    <row r="59" spans="1:4" ht="13.5" customHeight="1" thickBot="1" x14ac:dyDescent="0.2">
      <c r="A59" s="29"/>
      <c r="B59" s="30"/>
      <c r="C59" s="30"/>
      <c r="D59" s="30"/>
    </row>
    <row r="60" spans="1:4" ht="12" customHeight="1" thickBot="1" x14ac:dyDescent="0.2">
      <c r="A60" s="29"/>
      <c r="B60" s="30"/>
      <c r="C60" s="30"/>
      <c r="D60" s="30"/>
    </row>
    <row r="61" spans="1:4" ht="15.75" customHeight="1" thickBot="1" x14ac:dyDescent="0.2">
      <c r="A61" s="29"/>
      <c r="B61" s="30"/>
      <c r="C61" s="30"/>
      <c r="D61" s="30"/>
    </row>
    <row r="62" spans="1:4" ht="13.5" customHeight="1" thickBot="1" x14ac:dyDescent="0.2">
      <c r="A62" s="29"/>
      <c r="B62" s="30"/>
      <c r="C62" s="30"/>
      <c r="D62" s="30"/>
    </row>
    <row r="65" spans="2:2" x14ac:dyDescent="0.15">
      <c r="B65" s="1"/>
    </row>
  </sheetData>
  <hyperlinks>
    <hyperlink ref="B3" r:id="rId1" xr:uid="{00000000-0004-0000-0000-000000000000}"/>
  </hyperlink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9"/>
  <sheetViews>
    <sheetView zoomScale="85" zoomScaleNormal="85" workbookViewId="0">
      <selection activeCell="C55" sqref="C55:Q61"/>
    </sheetView>
  </sheetViews>
  <sheetFormatPr baseColWidth="10" defaultColWidth="8.83203125" defaultRowHeight="13" x14ac:dyDescent="0.15"/>
  <cols>
    <col min="17" max="17" width="9.1640625" customWidth="1"/>
  </cols>
  <sheetData>
    <row r="1" spans="1:18" x14ac:dyDescent="0.15">
      <c r="A1" s="217" t="s">
        <v>102</v>
      </c>
      <c r="B1" s="209"/>
      <c r="C1" s="219" t="s">
        <v>103</v>
      </c>
      <c r="D1" s="212"/>
      <c r="E1" s="212"/>
      <c r="F1" s="212"/>
      <c r="G1" s="212"/>
      <c r="H1" s="212"/>
      <c r="I1" s="212"/>
      <c r="J1" s="212"/>
      <c r="K1" s="212"/>
      <c r="L1" s="212"/>
      <c r="M1" s="212"/>
      <c r="N1" s="212"/>
      <c r="O1" s="212"/>
      <c r="P1" s="212"/>
      <c r="Q1" s="213"/>
    </row>
    <row r="2" spans="1:18" ht="12.75" customHeight="1" x14ac:dyDescent="0.15">
      <c r="A2" s="209"/>
      <c r="B2" s="209"/>
      <c r="C2" s="220"/>
      <c r="D2" s="209"/>
      <c r="E2" s="209"/>
      <c r="F2" s="209"/>
      <c r="G2" s="209"/>
      <c r="H2" s="209"/>
      <c r="I2" s="209"/>
      <c r="J2" s="209"/>
      <c r="K2" s="209"/>
      <c r="L2" s="209"/>
      <c r="M2" s="209"/>
      <c r="N2" s="209"/>
      <c r="O2" s="209"/>
      <c r="P2" s="209"/>
      <c r="Q2" s="214"/>
    </row>
    <row r="3" spans="1:18" ht="12.75" customHeight="1" x14ac:dyDescent="0.15">
      <c r="A3" s="209"/>
      <c r="B3" s="209"/>
      <c r="C3" s="220"/>
      <c r="D3" s="209"/>
      <c r="E3" s="209"/>
      <c r="F3" s="209"/>
      <c r="G3" s="209"/>
      <c r="H3" s="209"/>
      <c r="I3" s="209"/>
      <c r="J3" s="209"/>
      <c r="K3" s="209"/>
      <c r="L3" s="209"/>
      <c r="M3" s="209"/>
      <c r="N3" s="209"/>
      <c r="O3" s="209"/>
      <c r="P3" s="209"/>
      <c r="Q3" s="214"/>
      <c r="R3" s="2"/>
    </row>
    <row r="4" spans="1:18" ht="12.75" customHeight="1" x14ac:dyDescent="0.15">
      <c r="A4" s="209"/>
      <c r="B4" s="209"/>
      <c r="C4" s="220"/>
      <c r="D4" s="209"/>
      <c r="E4" s="209"/>
      <c r="F4" s="209"/>
      <c r="G4" s="209"/>
      <c r="H4" s="209"/>
      <c r="I4" s="209"/>
      <c r="J4" s="209"/>
      <c r="K4" s="209"/>
      <c r="L4" s="209"/>
      <c r="M4" s="209"/>
      <c r="N4" s="209"/>
      <c r="O4" s="209"/>
      <c r="P4" s="209"/>
      <c r="Q4" s="214"/>
      <c r="R4" s="45"/>
    </row>
    <row r="5" spans="1:18" ht="12.75" customHeight="1" x14ac:dyDescent="0.15">
      <c r="A5" s="209"/>
      <c r="B5" s="209"/>
      <c r="C5" s="220"/>
      <c r="D5" s="209"/>
      <c r="E5" s="209"/>
      <c r="F5" s="209"/>
      <c r="G5" s="209"/>
      <c r="H5" s="209"/>
      <c r="I5" s="209"/>
      <c r="J5" s="209"/>
      <c r="K5" s="209"/>
      <c r="L5" s="209"/>
      <c r="M5" s="209"/>
      <c r="N5" s="209"/>
      <c r="O5" s="209"/>
      <c r="P5" s="209"/>
      <c r="Q5" s="214"/>
      <c r="R5" s="45"/>
    </row>
    <row r="6" spans="1:18" ht="12.75" customHeight="1" x14ac:dyDescent="0.15">
      <c r="A6" s="209"/>
      <c r="B6" s="209"/>
      <c r="C6" s="220"/>
      <c r="D6" s="209"/>
      <c r="E6" s="209"/>
      <c r="F6" s="209"/>
      <c r="G6" s="209"/>
      <c r="H6" s="209"/>
      <c r="I6" s="209"/>
      <c r="J6" s="209"/>
      <c r="K6" s="209"/>
      <c r="L6" s="209"/>
      <c r="M6" s="209"/>
      <c r="N6" s="209"/>
      <c r="O6" s="209"/>
      <c r="P6" s="209"/>
      <c r="Q6" s="214"/>
    </row>
    <row r="7" spans="1:18" x14ac:dyDescent="0.15">
      <c r="A7" s="209"/>
      <c r="B7" s="209"/>
      <c r="C7" s="221"/>
      <c r="D7" s="215"/>
      <c r="E7" s="215"/>
      <c r="F7" s="215"/>
      <c r="G7" s="215"/>
      <c r="H7" s="215"/>
      <c r="I7" s="215"/>
      <c r="J7" s="215"/>
      <c r="K7" s="215"/>
      <c r="L7" s="215"/>
      <c r="M7" s="215"/>
      <c r="N7" s="215"/>
      <c r="O7" s="215"/>
      <c r="P7" s="215"/>
      <c r="Q7" s="216"/>
    </row>
    <row r="10" spans="1:18" x14ac:dyDescent="0.15">
      <c r="A10" s="210" t="s">
        <v>104</v>
      </c>
      <c r="B10" s="209"/>
      <c r="C10" s="219" t="s">
        <v>105</v>
      </c>
      <c r="D10" s="212"/>
      <c r="E10" s="212"/>
      <c r="F10" s="212"/>
      <c r="G10" s="212"/>
      <c r="H10" s="212"/>
      <c r="I10" s="212"/>
      <c r="J10" s="212"/>
      <c r="K10" s="212"/>
      <c r="L10" s="212"/>
      <c r="M10" s="212"/>
      <c r="N10" s="212"/>
      <c r="O10" s="212"/>
      <c r="P10" s="212"/>
      <c r="Q10" s="213"/>
    </row>
    <row r="11" spans="1:18" ht="12.75" customHeight="1" x14ac:dyDescent="0.15">
      <c r="A11" s="209"/>
      <c r="B11" s="209"/>
      <c r="C11" s="220"/>
      <c r="D11" s="209"/>
      <c r="E11" s="209"/>
      <c r="F11" s="209"/>
      <c r="G11" s="209"/>
      <c r="H11" s="209"/>
      <c r="I11" s="209"/>
      <c r="J11" s="209"/>
      <c r="K11" s="209"/>
      <c r="L11" s="209"/>
      <c r="M11" s="209"/>
      <c r="N11" s="209"/>
      <c r="O11" s="209"/>
      <c r="P11" s="209"/>
      <c r="Q11" s="214"/>
    </row>
    <row r="12" spans="1:18" ht="12.75" customHeight="1" x14ac:dyDescent="0.15">
      <c r="A12" s="209"/>
      <c r="B12" s="209"/>
      <c r="C12" s="220"/>
      <c r="D12" s="209"/>
      <c r="E12" s="209"/>
      <c r="F12" s="209"/>
      <c r="G12" s="209"/>
      <c r="H12" s="209"/>
      <c r="I12" s="209"/>
      <c r="J12" s="209"/>
      <c r="K12" s="209"/>
      <c r="L12" s="209"/>
      <c r="M12" s="209"/>
      <c r="N12" s="209"/>
      <c r="O12" s="209"/>
      <c r="P12" s="209"/>
      <c r="Q12" s="214"/>
    </row>
    <row r="13" spans="1:18" ht="12.75" customHeight="1" x14ac:dyDescent="0.15">
      <c r="A13" s="209"/>
      <c r="B13" s="209"/>
      <c r="C13" s="220"/>
      <c r="D13" s="209"/>
      <c r="E13" s="209"/>
      <c r="F13" s="209"/>
      <c r="G13" s="209"/>
      <c r="H13" s="209"/>
      <c r="I13" s="209"/>
      <c r="J13" s="209"/>
      <c r="K13" s="209"/>
      <c r="L13" s="209"/>
      <c r="M13" s="209"/>
      <c r="N13" s="209"/>
      <c r="O13" s="209"/>
      <c r="P13" s="209"/>
      <c r="Q13" s="214"/>
    </row>
    <row r="14" spans="1:18" ht="12.75" customHeight="1" x14ac:dyDescent="0.15">
      <c r="A14" s="209"/>
      <c r="B14" s="209"/>
      <c r="C14" s="220"/>
      <c r="D14" s="209"/>
      <c r="E14" s="209"/>
      <c r="F14" s="209"/>
      <c r="G14" s="209"/>
      <c r="H14" s="209"/>
      <c r="I14" s="209"/>
      <c r="J14" s="209"/>
      <c r="K14" s="209"/>
      <c r="L14" s="209"/>
      <c r="M14" s="209"/>
      <c r="N14" s="209"/>
      <c r="O14" s="209"/>
      <c r="P14" s="209"/>
      <c r="Q14" s="214"/>
    </row>
    <row r="15" spans="1:18" ht="12.75" customHeight="1" x14ac:dyDescent="0.15">
      <c r="A15" s="209"/>
      <c r="B15" s="209"/>
      <c r="C15" s="220"/>
      <c r="D15" s="209"/>
      <c r="E15" s="209"/>
      <c r="F15" s="209"/>
      <c r="G15" s="209"/>
      <c r="H15" s="209"/>
      <c r="I15" s="209"/>
      <c r="J15" s="209"/>
      <c r="K15" s="209"/>
      <c r="L15" s="209"/>
      <c r="M15" s="209"/>
      <c r="N15" s="209"/>
      <c r="O15" s="209"/>
      <c r="P15" s="209"/>
      <c r="Q15" s="214"/>
    </row>
    <row r="16" spans="1:18" x14ac:dyDescent="0.15">
      <c r="A16" s="209"/>
      <c r="B16" s="209"/>
      <c r="C16" s="221"/>
      <c r="D16" s="215"/>
      <c r="E16" s="215"/>
      <c r="F16" s="215"/>
      <c r="G16" s="215"/>
      <c r="H16" s="215"/>
      <c r="I16" s="215"/>
      <c r="J16" s="215"/>
      <c r="K16" s="215"/>
      <c r="L16" s="215"/>
      <c r="M16" s="215"/>
      <c r="N16" s="215"/>
      <c r="O16" s="215"/>
      <c r="P16" s="215"/>
      <c r="Q16" s="216"/>
    </row>
    <row r="19" spans="1:17" x14ac:dyDescent="0.15">
      <c r="A19" s="218" t="s">
        <v>106</v>
      </c>
      <c r="B19" s="209"/>
      <c r="C19" s="211" t="s">
        <v>107</v>
      </c>
      <c r="D19" s="212"/>
      <c r="E19" s="212"/>
      <c r="F19" s="212"/>
      <c r="G19" s="212"/>
      <c r="H19" s="212"/>
      <c r="I19" s="212"/>
      <c r="J19" s="212"/>
      <c r="K19" s="212"/>
      <c r="L19" s="212"/>
      <c r="M19" s="212"/>
      <c r="N19" s="212"/>
      <c r="O19" s="212"/>
      <c r="P19" s="212"/>
      <c r="Q19" s="213"/>
    </row>
    <row r="20" spans="1:17" ht="12.75" customHeight="1" x14ac:dyDescent="0.15">
      <c r="A20" s="209"/>
      <c r="B20" s="209"/>
      <c r="C20" s="209"/>
      <c r="D20" s="209"/>
      <c r="E20" s="209"/>
      <c r="F20" s="209"/>
      <c r="G20" s="209"/>
      <c r="H20" s="209"/>
      <c r="I20" s="209"/>
      <c r="J20" s="209"/>
      <c r="K20" s="209"/>
      <c r="L20" s="209"/>
      <c r="M20" s="209"/>
      <c r="N20" s="209"/>
      <c r="O20" s="209"/>
      <c r="P20" s="209"/>
      <c r="Q20" s="214"/>
    </row>
    <row r="21" spans="1:17" ht="12.75" customHeight="1" x14ac:dyDescent="0.15">
      <c r="A21" s="209"/>
      <c r="B21" s="209"/>
      <c r="C21" s="209"/>
      <c r="D21" s="209"/>
      <c r="E21" s="209"/>
      <c r="F21" s="209"/>
      <c r="G21" s="209"/>
      <c r="H21" s="209"/>
      <c r="I21" s="209"/>
      <c r="J21" s="209"/>
      <c r="K21" s="209"/>
      <c r="L21" s="209"/>
      <c r="M21" s="209"/>
      <c r="N21" s="209"/>
      <c r="O21" s="209"/>
      <c r="P21" s="209"/>
      <c r="Q21" s="214"/>
    </row>
    <row r="22" spans="1:17" ht="12.75" customHeight="1" x14ac:dyDescent="0.15">
      <c r="A22" s="209"/>
      <c r="B22" s="209"/>
      <c r="C22" s="209"/>
      <c r="D22" s="209"/>
      <c r="E22" s="209"/>
      <c r="F22" s="209"/>
      <c r="G22" s="209"/>
      <c r="H22" s="209"/>
      <c r="I22" s="209"/>
      <c r="J22" s="209"/>
      <c r="K22" s="209"/>
      <c r="L22" s="209"/>
      <c r="M22" s="209"/>
      <c r="N22" s="209"/>
      <c r="O22" s="209"/>
      <c r="P22" s="209"/>
      <c r="Q22" s="214"/>
    </row>
    <row r="23" spans="1:17" ht="12.75" customHeight="1" x14ac:dyDescent="0.15">
      <c r="A23" s="209"/>
      <c r="B23" s="209"/>
      <c r="C23" s="209"/>
      <c r="D23" s="209"/>
      <c r="E23" s="209"/>
      <c r="F23" s="209"/>
      <c r="G23" s="209"/>
      <c r="H23" s="209"/>
      <c r="I23" s="209"/>
      <c r="J23" s="209"/>
      <c r="K23" s="209"/>
      <c r="L23" s="209"/>
      <c r="M23" s="209"/>
      <c r="N23" s="209"/>
      <c r="O23" s="209"/>
      <c r="P23" s="209"/>
      <c r="Q23" s="214"/>
    </row>
    <row r="24" spans="1:17" ht="12.75" customHeight="1" x14ac:dyDescent="0.15">
      <c r="A24" s="209"/>
      <c r="B24" s="209"/>
      <c r="C24" s="209"/>
      <c r="D24" s="209"/>
      <c r="E24" s="209"/>
      <c r="F24" s="209"/>
      <c r="G24" s="209"/>
      <c r="H24" s="209"/>
      <c r="I24" s="209"/>
      <c r="J24" s="209"/>
      <c r="K24" s="209"/>
      <c r="L24" s="209"/>
      <c r="M24" s="209"/>
      <c r="N24" s="209"/>
      <c r="O24" s="209"/>
      <c r="P24" s="209"/>
      <c r="Q24" s="214"/>
    </row>
    <row r="25" spans="1:17" x14ac:dyDescent="0.15">
      <c r="A25" s="209"/>
      <c r="B25" s="209"/>
      <c r="C25" s="215"/>
      <c r="D25" s="215"/>
      <c r="E25" s="215"/>
      <c r="F25" s="215"/>
      <c r="G25" s="215"/>
      <c r="H25" s="215"/>
      <c r="I25" s="215"/>
      <c r="J25" s="215"/>
      <c r="K25" s="215"/>
      <c r="L25" s="215"/>
      <c r="M25" s="215"/>
      <c r="N25" s="215"/>
      <c r="O25" s="215"/>
      <c r="P25" s="215"/>
      <c r="Q25" s="216"/>
    </row>
    <row r="28" spans="1:17" x14ac:dyDescent="0.15">
      <c r="A28" s="225" t="s">
        <v>108</v>
      </c>
      <c r="B28" s="209"/>
      <c r="C28" s="211" t="s">
        <v>109</v>
      </c>
      <c r="D28" s="212"/>
      <c r="E28" s="212"/>
      <c r="F28" s="212"/>
      <c r="G28" s="212"/>
      <c r="H28" s="212"/>
      <c r="I28" s="212"/>
      <c r="J28" s="212"/>
      <c r="K28" s="212"/>
      <c r="L28" s="212"/>
      <c r="M28" s="212"/>
      <c r="N28" s="212"/>
      <c r="O28" s="212"/>
      <c r="P28" s="212"/>
      <c r="Q28" s="213"/>
    </row>
    <row r="29" spans="1:17" x14ac:dyDescent="0.15">
      <c r="A29" s="209"/>
      <c r="B29" s="209"/>
      <c r="C29" s="209"/>
      <c r="D29" s="209"/>
      <c r="E29" s="209"/>
      <c r="F29" s="209"/>
      <c r="G29" s="209"/>
      <c r="H29" s="209"/>
      <c r="I29" s="209"/>
      <c r="J29" s="209"/>
      <c r="K29" s="209"/>
      <c r="L29" s="209"/>
      <c r="M29" s="209"/>
      <c r="N29" s="209"/>
      <c r="O29" s="209"/>
      <c r="P29" s="209"/>
      <c r="Q29" s="214"/>
    </row>
    <row r="30" spans="1:17" x14ac:dyDescent="0.15">
      <c r="A30" s="209"/>
      <c r="B30" s="209"/>
      <c r="C30" s="209"/>
      <c r="D30" s="209"/>
      <c r="E30" s="209"/>
      <c r="F30" s="209"/>
      <c r="G30" s="209"/>
      <c r="H30" s="209"/>
      <c r="I30" s="209"/>
      <c r="J30" s="209"/>
      <c r="K30" s="209"/>
      <c r="L30" s="209"/>
      <c r="M30" s="209"/>
      <c r="N30" s="209"/>
      <c r="O30" s="209"/>
      <c r="P30" s="209"/>
      <c r="Q30" s="214"/>
    </row>
    <row r="31" spans="1:17" x14ac:dyDescent="0.15">
      <c r="A31" s="209"/>
      <c r="B31" s="209"/>
      <c r="C31" s="209"/>
      <c r="D31" s="209"/>
      <c r="E31" s="209"/>
      <c r="F31" s="209"/>
      <c r="G31" s="209"/>
      <c r="H31" s="209"/>
      <c r="I31" s="209"/>
      <c r="J31" s="209"/>
      <c r="K31" s="209"/>
      <c r="L31" s="209"/>
      <c r="M31" s="209"/>
      <c r="N31" s="209"/>
      <c r="O31" s="209"/>
      <c r="P31" s="209"/>
      <c r="Q31" s="214"/>
    </row>
    <row r="32" spans="1:17" x14ac:dyDescent="0.15">
      <c r="A32" s="209"/>
      <c r="B32" s="209"/>
      <c r="C32" s="209"/>
      <c r="D32" s="209"/>
      <c r="E32" s="209"/>
      <c r="F32" s="209"/>
      <c r="G32" s="209"/>
      <c r="H32" s="209"/>
      <c r="I32" s="209"/>
      <c r="J32" s="209"/>
      <c r="K32" s="209"/>
      <c r="L32" s="209"/>
      <c r="M32" s="209"/>
      <c r="N32" s="209"/>
      <c r="O32" s="209"/>
      <c r="P32" s="209"/>
      <c r="Q32" s="214"/>
    </row>
    <row r="33" spans="1:17" x14ac:dyDescent="0.15">
      <c r="A33" s="209"/>
      <c r="B33" s="209"/>
      <c r="C33" s="209"/>
      <c r="D33" s="209"/>
      <c r="E33" s="209"/>
      <c r="F33" s="209"/>
      <c r="G33" s="209"/>
      <c r="H33" s="209"/>
      <c r="I33" s="209"/>
      <c r="J33" s="209"/>
      <c r="K33" s="209"/>
      <c r="L33" s="209"/>
      <c r="M33" s="209"/>
      <c r="N33" s="209"/>
      <c r="O33" s="209"/>
      <c r="P33" s="209"/>
      <c r="Q33" s="214"/>
    </row>
    <row r="34" spans="1:17" x14ac:dyDescent="0.15">
      <c r="A34" s="209"/>
      <c r="B34" s="209"/>
      <c r="C34" s="215"/>
      <c r="D34" s="215"/>
      <c r="E34" s="215"/>
      <c r="F34" s="215"/>
      <c r="G34" s="215"/>
      <c r="H34" s="215"/>
      <c r="I34" s="215"/>
      <c r="J34" s="215"/>
      <c r="K34" s="215"/>
      <c r="L34" s="215"/>
      <c r="M34" s="215"/>
      <c r="N34" s="215"/>
      <c r="O34" s="215"/>
      <c r="P34" s="215"/>
      <c r="Q34" s="216"/>
    </row>
    <row r="37" spans="1:17" x14ac:dyDescent="0.15">
      <c r="A37" s="223" t="s">
        <v>110</v>
      </c>
      <c r="B37" s="209"/>
      <c r="C37" s="211" t="s">
        <v>111</v>
      </c>
      <c r="D37" s="212"/>
      <c r="E37" s="212"/>
      <c r="F37" s="212"/>
      <c r="G37" s="212"/>
      <c r="H37" s="212"/>
      <c r="I37" s="212"/>
      <c r="J37" s="212"/>
      <c r="K37" s="212"/>
      <c r="L37" s="212"/>
      <c r="M37" s="212"/>
      <c r="N37" s="212"/>
      <c r="O37" s="212"/>
      <c r="P37" s="212"/>
      <c r="Q37" s="213"/>
    </row>
    <row r="38" spans="1:17" x14ac:dyDescent="0.15">
      <c r="A38" s="209"/>
      <c r="B38" s="209"/>
      <c r="C38" s="209"/>
      <c r="D38" s="209"/>
      <c r="E38" s="209"/>
      <c r="F38" s="209"/>
      <c r="G38" s="209"/>
      <c r="H38" s="209"/>
      <c r="I38" s="209"/>
      <c r="J38" s="209"/>
      <c r="K38" s="209"/>
      <c r="L38" s="209"/>
      <c r="M38" s="209"/>
      <c r="N38" s="209"/>
      <c r="O38" s="209"/>
      <c r="P38" s="209"/>
      <c r="Q38" s="214"/>
    </row>
    <row r="39" spans="1:17" x14ac:dyDescent="0.15">
      <c r="A39" s="209"/>
      <c r="B39" s="209"/>
      <c r="C39" s="209"/>
      <c r="D39" s="209"/>
      <c r="E39" s="209"/>
      <c r="F39" s="209"/>
      <c r="G39" s="209"/>
      <c r="H39" s="209"/>
      <c r="I39" s="209"/>
      <c r="J39" s="209"/>
      <c r="K39" s="209"/>
      <c r="L39" s="209"/>
      <c r="M39" s="209"/>
      <c r="N39" s="209"/>
      <c r="O39" s="209"/>
      <c r="P39" s="209"/>
      <c r="Q39" s="214"/>
    </row>
    <row r="40" spans="1:17" x14ac:dyDescent="0.15">
      <c r="A40" s="209"/>
      <c r="B40" s="209"/>
      <c r="C40" s="209"/>
      <c r="D40" s="209"/>
      <c r="E40" s="209"/>
      <c r="F40" s="209"/>
      <c r="G40" s="209"/>
      <c r="H40" s="209"/>
      <c r="I40" s="209"/>
      <c r="J40" s="209"/>
      <c r="K40" s="209"/>
      <c r="L40" s="209"/>
      <c r="M40" s="209"/>
      <c r="N40" s="209"/>
      <c r="O40" s="209"/>
      <c r="P40" s="209"/>
      <c r="Q40" s="214"/>
    </row>
    <row r="41" spans="1:17" x14ac:dyDescent="0.15">
      <c r="A41" s="209"/>
      <c r="B41" s="209"/>
      <c r="C41" s="209"/>
      <c r="D41" s="209"/>
      <c r="E41" s="209"/>
      <c r="F41" s="209"/>
      <c r="G41" s="209"/>
      <c r="H41" s="209"/>
      <c r="I41" s="209"/>
      <c r="J41" s="209"/>
      <c r="K41" s="209"/>
      <c r="L41" s="209"/>
      <c r="M41" s="209"/>
      <c r="N41" s="209"/>
      <c r="O41" s="209"/>
      <c r="P41" s="209"/>
      <c r="Q41" s="214"/>
    </row>
    <row r="42" spans="1:17" x14ac:dyDescent="0.15">
      <c r="A42" s="209"/>
      <c r="B42" s="209"/>
      <c r="C42" s="209"/>
      <c r="D42" s="209"/>
      <c r="E42" s="209"/>
      <c r="F42" s="209"/>
      <c r="G42" s="209"/>
      <c r="H42" s="209"/>
      <c r="I42" s="209"/>
      <c r="J42" s="209"/>
      <c r="K42" s="209"/>
      <c r="L42" s="209"/>
      <c r="M42" s="209"/>
      <c r="N42" s="209"/>
      <c r="O42" s="209"/>
      <c r="P42" s="209"/>
      <c r="Q42" s="214"/>
    </row>
    <row r="43" spans="1:17" x14ac:dyDescent="0.15">
      <c r="A43" s="209"/>
      <c r="B43" s="209"/>
      <c r="C43" s="215"/>
      <c r="D43" s="215"/>
      <c r="E43" s="215"/>
      <c r="F43" s="215"/>
      <c r="G43" s="215"/>
      <c r="H43" s="215"/>
      <c r="I43" s="215"/>
      <c r="J43" s="215"/>
      <c r="K43" s="215"/>
      <c r="L43" s="215"/>
      <c r="M43" s="215"/>
      <c r="N43" s="215"/>
      <c r="O43" s="215"/>
      <c r="P43" s="215"/>
      <c r="Q43" s="216"/>
    </row>
    <row r="46" spans="1:17" x14ac:dyDescent="0.15">
      <c r="A46" s="226" t="s">
        <v>112</v>
      </c>
      <c r="B46" s="209"/>
      <c r="C46" s="211" t="s">
        <v>113</v>
      </c>
      <c r="D46" s="212"/>
      <c r="E46" s="212"/>
      <c r="F46" s="212"/>
      <c r="G46" s="212"/>
      <c r="H46" s="212"/>
      <c r="I46" s="212"/>
      <c r="J46" s="212"/>
      <c r="K46" s="212"/>
      <c r="L46" s="212"/>
      <c r="M46" s="212"/>
      <c r="N46" s="212"/>
      <c r="O46" s="212"/>
      <c r="P46" s="212"/>
      <c r="Q46" s="213"/>
    </row>
    <row r="47" spans="1:17" x14ac:dyDescent="0.15">
      <c r="A47" s="209"/>
      <c r="B47" s="209"/>
      <c r="C47" s="209"/>
      <c r="D47" s="209"/>
      <c r="E47" s="209"/>
      <c r="F47" s="209"/>
      <c r="G47" s="209"/>
      <c r="H47" s="209"/>
      <c r="I47" s="209"/>
      <c r="J47" s="209"/>
      <c r="K47" s="209"/>
      <c r="L47" s="209"/>
      <c r="M47" s="209"/>
      <c r="N47" s="209"/>
      <c r="O47" s="209"/>
      <c r="P47" s="209"/>
      <c r="Q47" s="214"/>
    </row>
    <row r="48" spans="1:17" x14ac:dyDescent="0.15">
      <c r="A48" s="209"/>
      <c r="B48" s="209"/>
      <c r="C48" s="209"/>
      <c r="D48" s="209"/>
      <c r="E48" s="209"/>
      <c r="F48" s="209"/>
      <c r="G48" s="209"/>
      <c r="H48" s="209"/>
      <c r="I48" s="209"/>
      <c r="J48" s="209"/>
      <c r="K48" s="209"/>
      <c r="L48" s="209"/>
      <c r="M48" s="209"/>
      <c r="N48" s="209"/>
      <c r="O48" s="209"/>
      <c r="P48" s="209"/>
      <c r="Q48" s="214"/>
    </row>
    <row r="49" spans="1:17" x14ac:dyDescent="0.15">
      <c r="A49" s="209"/>
      <c r="B49" s="209"/>
      <c r="C49" s="209"/>
      <c r="D49" s="209"/>
      <c r="E49" s="209"/>
      <c r="F49" s="209"/>
      <c r="G49" s="209"/>
      <c r="H49" s="209"/>
      <c r="I49" s="209"/>
      <c r="J49" s="209"/>
      <c r="K49" s="209"/>
      <c r="L49" s="209"/>
      <c r="M49" s="209"/>
      <c r="N49" s="209"/>
      <c r="O49" s="209"/>
      <c r="P49" s="209"/>
      <c r="Q49" s="214"/>
    </row>
    <row r="50" spans="1:17" x14ac:dyDescent="0.15">
      <c r="A50" s="209"/>
      <c r="B50" s="209"/>
      <c r="C50" s="209"/>
      <c r="D50" s="209"/>
      <c r="E50" s="209"/>
      <c r="F50" s="209"/>
      <c r="G50" s="209"/>
      <c r="H50" s="209"/>
      <c r="I50" s="209"/>
      <c r="J50" s="209"/>
      <c r="K50" s="209"/>
      <c r="L50" s="209"/>
      <c r="M50" s="209"/>
      <c r="N50" s="209"/>
      <c r="O50" s="209"/>
      <c r="P50" s="209"/>
      <c r="Q50" s="214"/>
    </row>
    <row r="51" spans="1:17" x14ac:dyDescent="0.15">
      <c r="A51" s="209"/>
      <c r="B51" s="209"/>
      <c r="C51" s="209"/>
      <c r="D51" s="209"/>
      <c r="E51" s="209"/>
      <c r="F51" s="209"/>
      <c r="G51" s="209"/>
      <c r="H51" s="209"/>
      <c r="I51" s="209"/>
      <c r="J51" s="209"/>
      <c r="K51" s="209"/>
      <c r="L51" s="209"/>
      <c r="M51" s="209"/>
      <c r="N51" s="209"/>
      <c r="O51" s="209"/>
      <c r="P51" s="209"/>
      <c r="Q51" s="214"/>
    </row>
    <row r="52" spans="1:17" x14ac:dyDescent="0.15">
      <c r="A52" s="209"/>
      <c r="B52" s="209"/>
      <c r="C52" s="215"/>
      <c r="D52" s="215"/>
      <c r="E52" s="215"/>
      <c r="F52" s="215"/>
      <c r="G52" s="215"/>
      <c r="H52" s="215"/>
      <c r="I52" s="215"/>
      <c r="J52" s="215"/>
      <c r="K52" s="215"/>
      <c r="L52" s="215"/>
      <c r="M52" s="215"/>
      <c r="N52" s="215"/>
      <c r="O52" s="215"/>
      <c r="P52" s="215"/>
      <c r="Q52" s="216"/>
    </row>
    <row r="55" spans="1:17" x14ac:dyDescent="0.15">
      <c r="A55" s="224" t="s">
        <v>114</v>
      </c>
      <c r="B55" s="209"/>
      <c r="C55" s="211" t="s">
        <v>115</v>
      </c>
      <c r="D55" s="212"/>
      <c r="E55" s="212"/>
      <c r="F55" s="212"/>
      <c r="G55" s="212"/>
      <c r="H55" s="212"/>
      <c r="I55" s="212"/>
      <c r="J55" s="212"/>
      <c r="K55" s="212"/>
      <c r="L55" s="212"/>
      <c r="M55" s="212"/>
      <c r="N55" s="212"/>
      <c r="O55" s="212"/>
      <c r="P55" s="212"/>
      <c r="Q55" s="213"/>
    </row>
    <row r="56" spans="1:17" x14ac:dyDescent="0.15">
      <c r="A56" s="209"/>
      <c r="B56" s="209"/>
      <c r="C56" s="209"/>
      <c r="D56" s="209"/>
      <c r="E56" s="209"/>
      <c r="F56" s="209"/>
      <c r="G56" s="209"/>
      <c r="H56" s="209"/>
      <c r="I56" s="209"/>
      <c r="J56" s="209"/>
      <c r="K56" s="209"/>
      <c r="L56" s="209"/>
      <c r="M56" s="209"/>
      <c r="N56" s="209"/>
      <c r="O56" s="209"/>
      <c r="P56" s="209"/>
      <c r="Q56" s="214"/>
    </row>
    <row r="57" spans="1:17" x14ac:dyDescent="0.15">
      <c r="A57" s="209"/>
      <c r="B57" s="209"/>
      <c r="C57" s="209"/>
      <c r="D57" s="209"/>
      <c r="E57" s="209"/>
      <c r="F57" s="209"/>
      <c r="G57" s="209"/>
      <c r="H57" s="209"/>
      <c r="I57" s="209"/>
      <c r="J57" s="209"/>
      <c r="K57" s="209"/>
      <c r="L57" s="209"/>
      <c r="M57" s="209"/>
      <c r="N57" s="209"/>
      <c r="O57" s="209"/>
      <c r="P57" s="209"/>
      <c r="Q57" s="214"/>
    </row>
    <row r="58" spans="1:17" x14ac:dyDescent="0.15">
      <c r="A58" s="209"/>
      <c r="B58" s="209"/>
      <c r="C58" s="209"/>
      <c r="D58" s="209"/>
      <c r="E58" s="209"/>
      <c r="F58" s="209"/>
      <c r="G58" s="209"/>
      <c r="H58" s="209"/>
      <c r="I58" s="209"/>
      <c r="J58" s="209"/>
      <c r="K58" s="209"/>
      <c r="L58" s="209"/>
      <c r="M58" s="209"/>
      <c r="N58" s="209"/>
      <c r="O58" s="209"/>
      <c r="P58" s="209"/>
      <c r="Q58" s="214"/>
    </row>
    <row r="59" spans="1:17" x14ac:dyDescent="0.15">
      <c r="A59" s="209"/>
      <c r="B59" s="209"/>
      <c r="C59" s="209"/>
      <c r="D59" s="209"/>
      <c r="E59" s="209"/>
      <c r="F59" s="209"/>
      <c r="G59" s="209"/>
      <c r="H59" s="209"/>
      <c r="I59" s="209"/>
      <c r="J59" s="209"/>
      <c r="K59" s="209"/>
      <c r="L59" s="209"/>
      <c r="M59" s="209"/>
      <c r="N59" s="209"/>
      <c r="O59" s="209"/>
      <c r="P59" s="209"/>
      <c r="Q59" s="214"/>
    </row>
    <row r="60" spans="1:17" x14ac:dyDescent="0.15">
      <c r="A60" s="209"/>
      <c r="B60" s="209"/>
      <c r="C60" s="209"/>
      <c r="D60" s="209"/>
      <c r="E60" s="209"/>
      <c r="F60" s="209"/>
      <c r="G60" s="209"/>
      <c r="H60" s="209"/>
      <c r="I60" s="209"/>
      <c r="J60" s="209"/>
      <c r="K60" s="209"/>
      <c r="L60" s="209"/>
      <c r="M60" s="209"/>
      <c r="N60" s="209"/>
      <c r="O60" s="209"/>
      <c r="P60" s="209"/>
      <c r="Q60" s="214"/>
    </row>
    <row r="61" spans="1:17" x14ac:dyDescent="0.15">
      <c r="A61" s="209"/>
      <c r="B61" s="209"/>
      <c r="C61" s="215"/>
      <c r="D61" s="215"/>
      <c r="E61" s="215"/>
      <c r="F61" s="215"/>
      <c r="G61" s="215"/>
      <c r="H61" s="215"/>
      <c r="I61" s="215"/>
      <c r="J61" s="215"/>
      <c r="K61" s="215"/>
      <c r="L61" s="215"/>
      <c r="M61" s="215"/>
      <c r="N61" s="215"/>
      <c r="O61" s="215"/>
      <c r="P61" s="215"/>
      <c r="Q61" s="216"/>
    </row>
    <row r="64" spans="1:17" x14ac:dyDescent="0.15">
      <c r="A64" s="222" t="s">
        <v>116</v>
      </c>
      <c r="B64" s="209"/>
      <c r="C64" s="211" t="s">
        <v>117</v>
      </c>
      <c r="D64" s="212"/>
      <c r="E64" s="212"/>
      <c r="F64" s="212"/>
      <c r="G64" s="212"/>
      <c r="H64" s="212"/>
      <c r="I64" s="212"/>
      <c r="J64" s="212"/>
      <c r="K64" s="212"/>
      <c r="L64" s="212"/>
      <c r="M64" s="212"/>
      <c r="N64" s="212"/>
      <c r="O64" s="212"/>
      <c r="P64" s="212"/>
      <c r="Q64" s="213"/>
    </row>
    <row r="65" spans="1:17" x14ac:dyDescent="0.15">
      <c r="A65" s="209"/>
      <c r="B65" s="209"/>
      <c r="C65" s="209"/>
      <c r="D65" s="209"/>
      <c r="E65" s="209"/>
      <c r="F65" s="209"/>
      <c r="G65" s="209"/>
      <c r="H65" s="209"/>
      <c r="I65" s="209"/>
      <c r="J65" s="209"/>
      <c r="K65" s="209"/>
      <c r="L65" s="209"/>
      <c r="M65" s="209"/>
      <c r="N65" s="209"/>
      <c r="O65" s="209"/>
      <c r="P65" s="209"/>
      <c r="Q65" s="214"/>
    </row>
    <row r="66" spans="1:17" x14ac:dyDescent="0.15">
      <c r="A66" s="209"/>
      <c r="B66" s="209"/>
      <c r="C66" s="209"/>
      <c r="D66" s="209"/>
      <c r="E66" s="209"/>
      <c r="F66" s="209"/>
      <c r="G66" s="209"/>
      <c r="H66" s="209"/>
      <c r="I66" s="209"/>
      <c r="J66" s="209"/>
      <c r="K66" s="209"/>
      <c r="L66" s="209"/>
      <c r="M66" s="209"/>
      <c r="N66" s="209"/>
      <c r="O66" s="209"/>
      <c r="P66" s="209"/>
      <c r="Q66" s="214"/>
    </row>
    <row r="67" spans="1:17" x14ac:dyDescent="0.15">
      <c r="A67" s="209"/>
      <c r="B67" s="209"/>
      <c r="C67" s="209"/>
      <c r="D67" s="209"/>
      <c r="E67" s="209"/>
      <c r="F67" s="209"/>
      <c r="G67" s="209"/>
      <c r="H67" s="209"/>
      <c r="I67" s="209"/>
      <c r="J67" s="209"/>
      <c r="K67" s="209"/>
      <c r="L67" s="209"/>
      <c r="M67" s="209"/>
      <c r="N67" s="209"/>
      <c r="O67" s="209"/>
      <c r="P67" s="209"/>
      <c r="Q67" s="214"/>
    </row>
    <row r="68" spans="1:17" x14ac:dyDescent="0.15">
      <c r="A68" s="209"/>
      <c r="B68" s="209"/>
      <c r="C68" s="209"/>
      <c r="D68" s="209"/>
      <c r="E68" s="209"/>
      <c r="F68" s="209"/>
      <c r="G68" s="209"/>
      <c r="H68" s="209"/>
      <c r="I68" s="209"/>
      <c r="J68" s="209"/>
      <c r="K68" s="209"/>
      <c r="L68" s="209"/>
      <c r="M68" s="209"/>
      <c r="N68" s="209"/>
      <c r="O68" s="209"/>
      <c r="P68" s="209"/>
      <c r="Q68" s="214"/>
    </row>
    <row r="69" spans="1:17" x14ac:dyDescent="0.15">
      <c r="A69" s="209"/>
      <c r="B69" s="209"/>
      <c r="C69" s="209"/>
      <c r="D69" s="209"/>
      <c r="E69" s="209"/>
      <c r="F69" s="209"/>
      <c r="G69" s="209"/>
      <c r="H69" s="209"/>
      <c r="I69" s="209"/>
      <c r="J69" s="209"/>
      <c r="K69" s="209"/>
      <c r="L69" s="209"/>
      <c r="M69" s="209"/>
      <c r="N69" s="209"/>
      <c r="O69" s="209"/>
      <c r="P69" s="209"/>
      <c r="Q69" s="214"/>
    </row>
    <row r="70" spans="1:17" x14ac:dyDescent="0.15">
      <c r="A70" s="209"/>
      <c r="B70" s="209"/>
      <c r="C70" s="215"/>
      <c r="D70" s="215"/>
      <c r="E70" s="215"/>
      <c r="F70" s="215"/>
      <c r="G70" s="215"/>
      <c r="H70" s="215"/>
      <c r="I70" s="215"/>
      <c r="J70" s="215"/>
      <c r="K70" s="215"/>
      <c r="L70" s="215"/>
      <c r="M70" s="215"/>
      <c r="N70" s="215"/>
      <c r="O70" s="215"/>
      <c r="P70" s="215"/>
      <c r="Q70" s="216"/>
    </row>
    <row r="73" spans="1:17" x14ac:dyDescent="0.15">
      <c r="A73" s="208" t="s">
        <v>118</v>
      </c>
      <c r="B73" s="209"/>
      <c r="C73" s="211" t="s">
        <v>119</v>
      </c>
      <c r="D73" s="212"/>
      <c r="E73" s="212"/>
      <c r="F73" s="212"/>
      <c r="G73" s="212"/>
      <c r="H73" s="212"/>
      <c r="I73" s="212"/>
      <c r="J73" s="212"/>
      <c r="K73" s="212"/>
      <c r="L73" s="212"/>
      <c r="M73" s="212"/>
      <c r="N73" s="212"/>
      <c r="O73" s="212"/>
      <c r="P73" s="212"/>
      <c r="Q73" s="213"/>
    </row>
    <row r="74" spans="1:17" x14ac:dyDescent="0.15">
      <c r="A74" s="209"/>
      <c r="B74" s="209"/>
      <c r="C74" s="209"/>
      <c r="D74" s="209"/>
      <c r="E74" s="209"/>
      <c r="F74" s="209"/>
      <c r="G74" s="209"/>
      <c r="H74" s="209"/>
      <c r="I74" s="209"/>
      <c r="J74" s="209"/>
      <c r="K74" s="209"/>
      <c r="L74" s="209"/>
      <c r="M74" s="209"/>
      <c r="N74" s="209"/>
      <c r="O74" s="209"/>
      <c r="P74" s="209"/>
      <c r="Q74" s="214"/>
    </row>
    <row r="75" spans="1:17" x14ac:dyDescent="0.15">
      <c r="A75" s="209"/>
      <c r="B75" s="209"/>
      <c r="C75" s="209"/>
      <c r="D75" s="209"/>
      <c r="E75" s="209"/>
      <c r="F75" s="209"/>
      <c r="G75" s="209"/>
      <c r="H75" s="209"/>
      <c r="I75" s="209"/>
      <c r="J75" s="209"/>
      <c r="K75" s="209"/>
      <c r="L75" s="209"/>
      <c r="M75" s="209"/>
      <c r="N75" s="209"/>
      <c r="O75" s="209"/>
      <c r="P75" s="209"/>
      <c r="Q75" s="214"/>
    </row>
    <row r="76" spans="1:17" x14ac:dyDescent="0.15">
      <c r="A76" s="209"/>
      <c r="B76" s="209"/>
      <c r="C76" s="209"/>
      <c r="D76" s="209"/>
      <c r="E76" s="209"/>
      <c r="F76" s="209"/>
      <c r="G76" s="209"/>
      <c r="H76" s="209"/>
      <c r="I76" s="209"/>
      <c r="J76" s="209"/>
      <c r="K76" s="209"/>
      <c r="L76" s="209"/>
      <c r="M76" s="209"/>
      <c r="N76" s="209"/>
      <c r="O76" s="209"/>
      <c r="P76" s="209"/>
      <c r="Q76" s="214"/>
    </row>
    <row r="77" spans="1:17" x14ac:dyDescent="0.15">
      <c r="A77" s="209"/>
      <c r="B77" s="209"/>
      <c r="C77" s="209"/>
      <c r="D77" s="209"/>
      <c r="E77" s="209"/>
      <c r="F77" s="209"/>
      <c r="G77" s="209"/>
      <c r="H77" s="209"/>
      <c r="I77" s="209"/>
      <c r="J77" s="209"/>
      <c r="K77" s="209"/>
      <c r="L77" s="209"/>
      <c r="M77" s="209"/>
      <c r="N77" s="209"/>
      <c r="O77" s="209"/>
      <c r="P77" s="209"/>
      <c r="Q77" s="214"/>
    </row>
    <row r="78" spans="1:17" x14ac:dyDescent="0.15">
      <c r="A78" s="209"/>
      <c r="B78" s="209"/>
      <c r="C78" s="209"/>
      <c r="D78" s="209"/>
      <c r="E78" s="209"/>
      <c r="F78" s="209"/>
      <c r="G78" s="209"/>
      <c r="H78" s="209"/>
      <c r="I78" s="209"/>
      <c r="J78" s="209"/>
      <c r="K78" s="209"/>
      <c r="L78" s="209"/>
      <c r="M78" s="209"/>
      <c r="N78" s="209"/>
      <c r="O78" s="209"/>
      <c r="P78" s="209"/>
      <c r="Q78" s="214"/>
    </row>
    <row r="79" spans="1:17" x14ac:dyDescent="0.15">
      <c r="A79" s="209"/>
      <c r="B79" s="209"/>
      <c r="C79" s="215"/>
      <c r="D79" s="215"/>
      <c r="E79" s="215"/>
      <c r="F79" s="215"/>
      <c r="G79" s="215"/>
      <c r="H79" s="215"/>
      <c r="I79" s="215"/>
      <c r="J79" s="215"/>
      <c r="K79" s="215"/>
      <c r="L79" s="215"/>
      <c r="M79" s="215"/>
      <c r="N79" s="215"/>
      <c r="O79" s="215"/>
      <c r="P79" s="215"/>
      <c r="Q79" s="216"/>
    </row>
  </sheetData>
  <mergeCells count="18">
    <mergeCell ref="C37:Q43"/>
    <mergeCell ref="C55:Q61"/>
    <mergeCell ref="A73:B79"/>
    <mergeCell ref="A10:B16"/>
    <mergeCell ref="C19:Q25"/>
    <mergeCell ref="A1:B7"/>
    <mergeCell ref="C73:Q79"/>
    <mergeCell ref="A19:B25"/>
    <mergeCell ref="C1:Q7"/>
    <mergeCell ref="C46:Q52"/>
    <mergeCell ref="A64:B70"/>
    <mergeCell ref="C10:Q16"/>
    <mergeCell ref="A37:B43"/>
    <mergeCell ref="C64:Q70"/>
    <mergeCell ref="C28:Q34"/>
    <mergeCell ref="A55:B61"/>
    <mergeCell ref="A28:B34"/>
    <mergeCell ref="A46:B5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83"/>
  <sheetViews>
    <sheetView zoomScale="80" zoomScaleNormal="80" workbookViewId="0">
      <selection activeCell="A28" sqref="A28"/>
    </sheetView>
  </sheetViews>
  <sheetFormatPr baseColWidth="10" defaultColWidth="8.83203125" defaultRowHeight="13" x14ac:dyDescent="0.15"/>
  <cols>
    <col min="1" max="1" width="71.33203125" style="132" customWidth="1"/>
    <col min="2" max="2" width="7.5" style="132" customWidth="1"/>
    <col min="3" max="3" width="9.1640625" style="48" customWidth="1"/>
    <col min="4" max="5" width="15.33203125" style="48" customWidth="1"/>
    <col min="6" max="6" width="14.5" style="48" customWidth="1"/>
    <col min="7" max="7" width="13.1640625" style="48" customWidth="1"/>
    <col min="8" max="8" width="12" style="49" customWidth="1"/>
    <col min="9" max="9" width="8.33203125" style="104" customWidth="1"/>
    <col min="10" max="10" width="12.5" style="49" customWidth="1"/>
    <col min="11" max="11" width="51.5" style="47" bestFit="1" customWidth="1"/>
    <col min="12" max="229" width="8.83203125" style="50" customWidth="1"/>
    <col min="230" max="230" width="3.5" style="50" customWidth="1"/>
    <col min="231" max="231" width="56" style="50" bestFit="1" customWidth="1"/>
    <col min="232" max="232" width="16.83203125" style="50" bestFit="1" customWidth="1"/>
    <col min="233" max="233" width="17.5" style="50" bestFit="1" customWidth="1"/>
    <col min="234" max="234" width="16" style="50" bestFit="1" customWidth="1"/>
    <col min="235" max="236" width="16.5" style="50" bestFit="1" customWidth="1"/>
    <col min="237" max="237" width="44" style="50" bestFit="1" customWidth="1"/>
    <col min="238" max="485" width="8.83203125" style="50" customWidth="1"/>
    <col min="486" max="486" width="3.5" style="50" customWidth="1"/>
    <col min="487" max="487" width="56" style="50" bestFit="1" customWidth="1"/>
    <col min="488" max="488" width="16.83203125" style="50" bestFit="1" customWidth="1"/>
    <col min="489" max="489" width="17.5" style="50" bestFit="1" customWidth="1"/>
    <col min="490" max="490" width="16" style="50" bestFit="1" customWidth="1"/>
    <col min="491" max="492" width="16.5" style="50" bestFit="1" customWidth="1"/>
    <col min="493" max="493" width="44" style="50" bestFit="1" customWidth="1"/>
    <col min="494" max="741" width="8.83203125" style="50" customWidth="1"/>
    <col min="742" max="742" width="3.5" style="50" customWidth="1"/>
    <col min="743" max="743" width="56" style="50" bestFit="1" customWidth="1"/>
    <col min="744" max="744" width="16.83203125" style="50" bestFit="1" customWidth="1"/>
    <col min="745" max="745" width="17.5" style="50" bestFit="1" customWidth="1"/>
    <col min="746" max="746" width="16" style="50" bestFit="1" customWidth="1"/>
    <col min="747" max="748" width="16.5" style="50" bestFit="1" customWidth="1"/>
    <col min="749" max="749" width="44" style="50" bestFit="1" customWidth="1"/>
    <col min="750" max="997" width="8.83203125" style="50" customWidth="1"/>
    <col min="998" max="998" width="3.5" style="50" customWidth="1"/>
    <col min="999" max="999" width="56" style="50" bestFit="1" customWidth="1"/>
    <col min="1000" max="1000" width="16.83203125" style="50" bestFit="1" customWidth="1"/>
    <col min="1001" max="1001" width="17.5" style="50" bestFit="1" customWidth="1"/>
    <col min="1002" max="1002" width="16" style="50" bestFit="1" customWidth="1"/>
    <col min="1003" max="1004" width="16.5" style="50" bestFit="1" customWidth="1"/>
    <col min="1005" max="1005" width="44" style="50" bestFit="1" customWidth="1"/>
    <col min="1006" max="1253" width="8.83203125" style="50" customWidth="1"/>
    <col min="1254" max="1254" width="3.5" style="50" customWidth="1"/>
    <col min="1255" max="1255" width="56" style="50" bestFit="1" customWidth="1"/>
    <col min="1256" max="1256" width="16.83203125" style="50" bestFit="1" customWidth="1"/>
    <col min="1257" max="1257" width="17.5" style="50" bestFit="1" customWidth="1"/>
    <col min="1258" max="1258" width="16" style="50" bestFit="1" customWidth="1"/>
    <col min="1259" max="1260" width="16.5" style="50" bestFit="1" customWidth="1"/>
    <col min="1261" max="1261" width="44" style="50" bestFit="1" customWidth="1"/>
    <col min="1262" max="1509" width="8.83203125" style="50" customWidth="1"/>
    <col min="1510" max="1510" width="3.5" style="50" customWidth="1"/>
    <col min="1511" max="1511" width="56" style="50" bestFit="1" customWidth="1"/>
    <col min="1512" max="1512" width="16.83203125" style="50" bestFit="1" customWidth="1"/>
    <col min="1513" max="1513" width="17.5" style="50" bestFit="1" customWidth="1"/>
    <col min="1514" max="1514" width="16" style="50" bestFit="1" customWidth="1"/>
    <col min="1515" max="1516" width="16.5" style="50" bestFit="1" customWidth="1"/>
    <col min="1517" max="1517" width="44" style="50" bestFit="1" customWidth="1"/>
    <col min="1518" max="1765" width="8.83203125" style="50" customWidth="1"/>
    <col min="1766" max="1766" width="3.5" style="50" customWidth="1"/>
    <col min="1767" max="1767" width="56" style="50" bestFit="1" customWidth="1"/>
    <col min="1768" max="1768" width="16.83203125" style="50" bestFit="1" customWidth="1"/>
    <col min="1769" max="1769" width="17.5" style="50" bestFit="1" customWidth="1"/>
    <col min="1770" max="1770" width="16" style="50" bestFit="1" customWidth="1"/>
    <col min="1771" max="1772" width="16.5" style="50" bestFit="1" customWidth="1"/>
    <col min="1773" max="1773" width="44" style="50" bestFit="1" customWidth="1"/>
    <col min="1774" max="2021" width="8.83203125" style="50" customWidth="1"/>
    <col min="2022" max="2022" width="3.5" style="50" customWidth="1"/>
    <col min="2023" max="2023" width="56" style="50" bestFit="1" customWidth="1"/>
    <col min="2024" max="2024" width="16.83203125" style="50" bestFit="1" customWidth="1"/>
    <col min="2025" max="2025" width="17.5" style="50" bestFit="1" customWidth="1"/>
    <col min="2026" max="2026" width="16" style="50" bestFit="1" customWidth="1"/>
    <col min="2027" max="2028" width="16.5" style="50" bestFit="1" customWidth="1"/>
    <col min="2029" max="2029" width="44" style="50" bestFit="1" customWidth="1"/>
    <col min="2030" max="2277" width="8.83203125" style="50" customWidth="1"/>
    <col min="2278" max="2278" width="3.5" style="50" customWidth="1"/>
    <col min="2279" max="2279" width="56" style="50" bestFit="1" customWidth="1"/>
    <col min="2280" max="2280" width="16.83203125" style="50" bestFit="1" customWidth="1"/>
    <col min="2281" max="2281" width="17.5" style="50" bestFit="1" customWidth="1"/>
    <col min="2282" max="2282" width="16" style="50" bestFit="1" customWidth="1"/>
    <col min="2283" max="2284" width="16.5" style="50" bestFit="1" customWidth="1"/>
    <col min="2285" max="2285" width="44" style="50" bestFit="1" customWidth="1"/>
    <col min="2286" max="2533" width="8.83203125" style="50" customWidth="1"/>
    <col min="2534" max="2534" width="3.5" style="50" customWidth="1"/>
    <col min="2535" max="2535" width="56" style="50" bestFit="1" customWidth="1"/>
    <col min="2536" max="2536" width="16.83203125" style="50" bestFit="1" customWidth="1"/>
    <col min="2537" max="2537" width="17.5" style="50" bestFit="1" customWidth="1"/>
    <col min="2538" max="2538" width="16" style="50" bestFit="1" customWidth="1"/>
    <col min="2539" max="2540" width="16.5" style="50" bestFit="1" customWidth="1"/>
    <col min="2541" max="2541" width="44" style="50" bestFit="1" customWidth="1"/>
    <col min="2542" max="2789" width="8.83203125" style="50" customWidth="1"/>
    <col min="2790" max="2790" width="3.5" style="50" customWidth="1"/>
    <col min="2791" max="2791" width="56" style="50" bestFit="1" customWidth="1"/>
    <col min="2792" max="2792" width="16.83203125" style="50" bestFit="1" customWidth="1"/>
    <col min="2793" max="2793" width="17.5" style="50" bestFit="1" customWidth="1"/>
    <col min="2794" max="2794" width="16" style="50" bestFit="1" customWidth="1"/>
    <col min="2795" max="2796" width="16.5" style="50" bestFit="1" customWidth="1"/>
    <col min="2797" max="2797" width="44" style="50" bestFit="1" customWidth="1"/>
    <col min="2798" max="3045" width="8.83203125" style="50" customWidth="1"/>
    <col min="3046" max="3046" width="3.5" style="50" customWidth="1"/>
    <col min="3047" max="3047" width="56" style="50" bestFit="1" customWidth="1"/>
    <col min="3048" max="3048" width="16.83203125" style="50" bestFit="1" customWidth="1"/>
    <col min="3049" max="3049" width="17.5" style="50" bestFit="1" customWidth="1"/>
    <col min="3050" max="3050" width="16" style="50" bestFit="1" customWidth="1"/>
    <col min="3051" max="3052" width="16.5" style="50" bestFit="1" customWidth="1"/>
    <col min="3053" max="3053" width="44" style="50" bestFit="1" customWidth="1"/>
    <col min="3054" max="3301" width="8.83203125" style="50" customWidth="1"/>
    <col min="3302" max="3302" width="3.5" style="50" customWidth="1"/>
    <col min="3303" max="3303" width="56" style="50" bestFit="1" customWidth="1"/>
    <col min="3304" max="3304" width="16.83203125" style="50" bestFit="1" customWidth="1"/>
    <col min="3305" max="3305" width="17.5" style="50" bestFit="1" customWidth="1"/>
    <col min="3306" max="3306" width="16" style="50" bestFit="1" customWidth="1"/>
    <col min="3307" max="3308" width="16.5" style="50" bestFit="1" customWidth="1"/>
    <col min="3309" max="3309" width="44" style="50" bestFit="1" customWidth="1"/>
    <col min="3310" max="3557" width="8.83203125" style="50" customWidth="1"/>
    <col min="3558" max="3558" width="3.5" style="50" customWidth="1"/>
    <col min="3559" max="3559" width="56" style="50" bestFit="1" customWidth="1"/>
    <col min="3560" max="3560" width="16.83203125" style="50" bestFit="1" customWidth="1"/>
    <col min="3561" max="3561" width="17.5" style="50" bestFit="1" customWidth="1"/>
    <col min="3562" max="3562" width="16" style="50" bestFit="1" customWidth="1"/>
    <col min="3563" max="3564" width="16.5" style="50" bestFit="1" customWidth="1"/>
    <col min="3565" max="3565" width="44" style="50" bestFit="1" customWidth="1"/>
    <col min="3566" max="3813" width="8.83203125" style="50" customWidth="1"/>
    <col min="3814" max="3814" width="3.5" style="50" customWidth="1"/>
    <col min="3815" max="3815" width="56" style="50" bestFit="1" customWidth="1"/>
    <col min="3816" max="3816" width="16.83203125" style="50" bestFit="1" customWidth="1"/>
    <col min="3817" max="3817" width="17.5" style="50" bestFit="1" customWidth="1"/>
    <col min="3818" max="3818" width="16" style="50" bestFit="1" customWidth="1"/>
    <col min="3819" max="3820" width="16.5" style="50" bestFit="1" customWidth="1"/>
    <col min="3821" max="3821" width="44" style="50" bestFit="1" customWidth="1"/>
    <col min="3822" max="4069" width="8.83203125" style="50" customWidth="1"/>
    <col min="4070" max="4070" width="3.5" style="50" customWidth="1"/>
    <col min="4071" max="4071" width="56" style="50" bestFit="1" customWidth="1"/>
    <col min="4072" max="4072" width="16.83203125" style="50" bestFit="1" customWidth="1"/>
    <col min="4073" max="4073" width="17.5" style="50" bestFit="1" customWidth="1"/>
    <col min="4074" max="4074" width="16" style="50" bestFit="1" customWidth="1"/>
    <col min="4075" max="4076" width="16.5" style="50" bestFit="1" customWidth="1"/>
    <col min="4077" max="4077" width="44" style="50" bestFit="1" customWidth="1"/>
    <col min="4078" max="4325" width="8.83203125" style="50" customWidth="1"/>
    <col min="4326" max="4326" width="3.5" style="50" customWidth="1"/>
    <col min="4327" max="4327" width="56" style="50" bestFit="1" customWidth="1"/>
    <col min="4328" max="4328" width="16.83203125" style="50" bestFit="1" customWidth="1"/>
    <col min="4329" max="4329" width="17.5" style="50" bestFit="1" customWidth="1"/>
    <col min="4330" max="4330" width="16" style="50" bestFit="1" customWidth="1"/>
    <col min="4331" max="4332" width="16.5" style="50" bestFit="1" customWidth="1"/>
    <col min="4333" max="4333" width="44" style="50" bestFit="1" customWidth="1"/>
    <col min="4334" max="4581" width="8.83203125" style="50" customWidth="1"/>
    <col min="4582" max="4582" width="3.5" style="50" customWidth="1"/>
    <col min="4583" max="4583" width="56" style="50" bestFit="1" customWidth="1"/>
    <col min="4584" max="4584" width="16.83203125" style="50" bestFit="1" customWidth="1"/>
    <col min="4585" max="4585" width="17.5" style="50" bestFit="1" customWidth="1"/>
    <col min="4586" max="4586" width="16" style="50" bestFit="1" customWidth="1"/>
    <col min="4587" max="4588" width="16.5" style="50" bestFit="1" customWidth="1"/>
    <col min="4589" max="4589" width="44" style="50" bestFit="1" customWidth="1"/>
    <col min="4590" max="4837" width="8.83203125" style="50" customWidth="1"/>
    <col min="4838" max="4838" width="3.5" style="50" customWidth="1"/>
    <col min="4839" max="4839" width="56" style="50" bestFit="1" customWidth="1"/>
    <col min="4840" max="4840" width="16.83203125" style="50" bestFit="1" customWidth="1"/>
    <col min="4841" max="4841" width="17.5" style="50" bestFit="1" customWidth="1"/>
    <col min="4842" max="4842" width="16" style="50" bestFit="1" customWidth="1"/>
    <col min="4843" max="4844" width="16.5" style="50" bestFit="1" customWidth="1"/>
    <col min="4845" max="4845" width="44" style="50" bestFit="1" customWidth="1"/>
    <col min="4846" max="5093" width="8.83203125" style="50" customWidth="1"/>
    <col min="5094" max="5094" width="3.5" style="50" customWidth="1"/>
    <col min="5095" max="5095" width="56" style="50" bestFit="1" customWidth="1"/>
    <col min="5096" max="5096" width="16.83203125" style="50" bestFit="1" customWidth="1"/>
    <col min="5097" max="5097" width="17.5" style="50" bestFit="1" customWidth="1"/>
    <col min="5098" max="5098" width="16" style="50" bestFit="1" customWidth="1"/>
    <col min="5099" max="5100" width="16.5" style="50" bestFit="1" customWidth="1"/>
    <col min="5101" max="5101" width="44" style="50" bestFit="1" customWidth="1"/>
    <col min="5102" max="5349" width="8.83203125" style="50" customWidth="1"/>
    <col min="5350" max="5350" width="3.5" style="50" customWidth="1"/>
    <col min="5351" max="5351" width="56" style="50" bestFit="1" customWidth="1"/>
    <col min="5352" max="5352" width="16.83203125" style="50" bestFit="1" customWidth="1"/>
    <col min="5353" max="5353" width="17.5" style="50" bestFit="1" customWidth="1"/>
    <col min="5354" max="5354" width="16" style="50" bestFit="1" customWidth="1"/>
    <col min="5355" max="5356" width="16.5" style="50" bestFit="1" customWidth="1"/>
    <col min="5357" max="5357" width="44" style="50" bestFit="1" customWidth="1"/>
    <col min="5358" max="5605" width="8.83203125" style="50" customWidth="1"/>
    <col min="5606" max="5606" width="3.5" style="50" customWidth="1"/>
    <col min="5607" max="5607" width="56" style="50" bestFit="1" customWidth="1"/>
    <col min="5608" max="5608" width="16.83203125" style="50" bestFit="1" customWidth="1"/>
    <col min="5609" max="5609" width="17.5" style="50" bestFit="1" customWidth="1"/>
    <col min="5610" max="5610" width="16" style="50" bestFit="1" customWidth="1"/>
    <col min="5611" max="5612" width="16.5" style="50" bestFit="1" customWidth="1"/>
    <col min="5613" max="5613" width="44" style="50" bestFit="1" customWidth="1"/>
    <col min="5614" max="5861" width="8.83203125" style="50" customWidth="1"/>
    <col min="5862" max="5862" width="3.5" style="50" customWidth="1"/>
    <col min="5863" max="5863" width="56" style="50" bestFit="1" customWidth="1"/>
    <col min="5864" max="5864" width="16.83203125" style="50" bestFit="1" customWidth="1"/>
    <col min="5865" max="5865" width="17.5" style="50" bestFit="1" customWidth="1"/>
    <col min="5866" max="5866" width="16" style="50" bestFit="1" customWidth="1"/>
    <col min="5867" max="5868" width="16.5" style="50" bestFit="1" customWidth="1"/>
    <col min="5869" max="5869" width="44" style="50" bestFit="1" customWidth="1"/>
    <col min="5870" max="6117" width="8.83203125" style="50" customWidth="1"/>
    <col min="6118" max="6118" width="3.5" style="50" customWidth="1"/>
    <col min="6119" max="6119" width="56" style="50" bestFit="1" customWidth="1"/>
    <col min="6120" max="6120" width="16.83203125" style="50" bestFit="1" customWidth="1"/>
    <col min="6121" max="6121" width="17.5" style="50" bestFit="1" customWidth="1"/>
    <col min="6122" max="6122" width="16" style="50" bestFit="1" customWidth="1"/>
    <col min="6123" max="6124" width="16.5" style="50" bestFit="1" customWidth="1"/>
    <col min="6125" max="6125" width="44" style="50" bestFit="1" customWidth="1"/>
    <col min="6126" max="6373" width="8.83203125" style="50" customWidth="1"/>
    <col min="6374" max="6374" width="3.5" style="50" customWidth="1"/>
    <col min="6375" max="6375" width="56" style="50" bestFit="1" customWidth="1"/>
    <col min="6376" max="6376" width="16.83203125" style="50" bestFit="1" customWidth="1"/>
    <col min="6377" max="6377" width="17.5" style="50" bestFit="1" customWidth="1"/>
    <col min="6378" max="6378" width="16" style="50" bestFit="1" customWidth="1"/>
    <col min="6379" max="6380" width="16.5" style="50" bestFit="1" customWidth="1"/>
    <col min="6381" max="6381" width="44" style="50" bestFit="1" customWidth="1"/>
    <col min="6382" max="6629" width="8.83203125" style="50" customWidth="1"/>
    <col min="6630" max="6630" width="3.5" style="50" customWidth="1"/>
    <col min="6631" max="6631" width="56" style="50" bestFit="1" customWidth="1"/>
    <col min="6632" max="6632" width="16.83203125" style="50" bestFit="1" customWidth="1"/>
    <col min="6633" max="6633" width="17.5" style="50" bestFit="1" customWidth="1"/>
    <col min="6634" max="6634" width="16" style="50" bestFit="1" customWidth="1"/>
    <col min="6635" max="6636" width="16.5" style="50" bestFit="1" customWidth="1"/>
    <col min="6637" max="6637" width="44" style="50" bestFit="1" customWidth="1"/>
    <col min="6638" max="6885" width="8.83203125" style="50" customWidth="1"/>
    <col min="6886" max="6886" width="3.5" style="50" customWidth="1"/>
    <col min="6887" max="6887" width="56" style="50" bestFit="1" customWidth="1"/>
    <col min="6888" max="6888" width="16.83203125" style="50" bestFit="1" customWidth="1"/>
    <col min="6889" max="6889" width="17.5" style="50" bestFit="1" customWidth="1"/>
    <col min="6890" max="6890" width="16" style="50" bestFit="1" customWidth="1"/>
    <col min="6891" max="6892" width="16.5" style="50" bestFit="1" customWidth="1"/>
    <col min="6893" max="6893" width="44" style="50" bestFit="1" customWidth="1"/>
    <col min="6894" max="7141" width="8.83203125" style="50" customWidth="1"/>
    <col min="7142" max="7142" width="3.5" style="50" customWidth="1"/>
    <col min="7143" max="7143" width="56" style="50" bestFit="1" customWidth="1"/>
    <col min="7144" max="7144" width="16.83203125" style="50" bestFit="1" customWidth="1"/>
    <col min="7145" max="7145" width="17.5" style="50" bestFit="1" customWidth="1"/>
    <col min="7146" max="7146" width="16" style="50" bestFit="1" customWidth="1"/>
    <col min="7147" max="7148" width="16.5" style="50" bestFit="1" customWidth="1"/>
    <col min="7149" max="7149" width="44" style="50" bestFit="1" customWidth="1"/>
    <col min="7150" max="7397" width="8.83203125" style="50" customWidth="1"/>
    <col min="7398" max="7398" width="3.5" style="50" customWidth="1"/>
    <col min="7399" max="7399" width="56" style="50" bestFit="1" customWidth="1"/>
    <col min="7400" max="7400" width="16.83203125" style="50" bestFit="1" customWidth="1"/>
    <col min="7401" max="7401" width="17.5" style="50" bestFit="1" customWidth="1"/>
    <col min="7402" max="7402" width="16" style="50" bestFit="1" customWidth="1"/>
    <col min="7403" max="7404" width="16.5" style="50" bestFit="1" customWidth="1"/>
    <col min="7405" max="7405" width="44" style="50" bestFit="1" customWidth="1"/>
    <col min="7406" max="7653" width="8.83203125" style="50" customWidth="1"/>
    <col min="7654" max="7654" width="3.5" style="50" customWidth="1"/>
    <col min="7655" max="7655" width="56" style="50" bestFit="1" customWidth="1"/>
    <col min="7656" max="7656" width="16.83203125" style="50" bestFit="1" customWidth="1"/>
    <col min="7657" max="7657" width="17.5" style="50" bestFit="1" customWidth="1"/>
    <col min="7658" max="7658" width="16" style="50" bestFit="1" customWidth="1"/>
    <col min="7659" max="7660" width="16.5" style="50" bestFit="1" customWidth="1"/>
    <col min="7661" max="7661" width="44" style="50" bestFit="1" customWidth="1"/>
    <col min="7662" max="7909" width="8.83203125" style="50" customWidth="1"/>
    <col min="7910" max="7910" width="3.5" style="50" customWidth="1"/>
    <col min="7911" max="7911" width="56" style="50" bestFit="1" customWidth="1"/>
    <col min="7912" max="7912" width="16.83203125" style="50" bestFit="1" customWidth="1"/>
    <col min="7913" max="7913" width="17.5" style="50" bestFit="1" customWidth="1"/>
    <col min="7914" max="7914" width="16" style="50" bestFit="1" customWidth="1"/>
    <col min="7915" max="7916" width="16.5" style="50" bestFit="1" customWidth="1"/>
    <col min="7917" max="7917" width="44" style="50" bestFit="1" customWidth="1"/>
    <col min="7918" max="8165" width="8.83203125" style="50" customWidth="1"/>
    <col min="8166" max="8166" width="3.5" style="50" customWidth="1"/>
    <col min="8167" max="8167" width="56" style="50" bestFit="1" customWidth="1"/>
    <col min="8168" max="8168" width="16.83203125" style="50" bestFit="1" customWidth="1"/>
    <col min="8169" max="8169" width="17.5" style="50" bestFit="1" customWidth="1"/>
    <col min="8170" max="8170" width="16" style="50" bestFit="1" customWidth="1"/>
    <col min="8171" max="8172" width="16.5" style="50" bestFit="1" customWidth="1"/>
    <col min="8173" max="8173" width="44" style="50" bestFit="1" customWidth="1"/>
    <col min="8174" max="8421" width="8.83203125" style="50" customWidth="1"/>
    <col min="8422" max="8422" width="3.5" style="50" customWidth="1"/>
    <col min="8423" max="8423" width="56" style="50" bestFit="1" customWidth="1"/>
    <col min="8424" max="8424" width="16.83203125" style="50" bestFit="1" customWidth="1"/>
    <col min="8425" max="8425" width="17.5" style="50" bestFit="1" customWidth="1"/>
    <col min="8426" max="8426" width="16" style="50" bestFit="1" customWidth="1"/>
    <col min="8427" max="8428" width="16.5" style="50" bestFit="1" customWidth="1"/>
    <col min="8429" max="8429" width="44" style="50" bestFit="1" customWidth="1"/>
    <col min="8430" max="8677" width="8.83203125" style="50" customWidth="1"/>
    <col min="8678" max="8678" width="3.5" style="50" customWidth="1"/>
    <col min="8679" max="8679" width="56" style="50" bestFit="1" customWidth="1"/>
    <col min="8680" max="8680" width="16.83203125" style="50" bestFit="1" customWidth="1"/>
    <col min="8681" max="8681" width="17.5" style="50" bestFit="1" customWidth="1"/>
    <col min="8682" max="8682" width="16" style="50" bestFit="1" customWidth="1"/>
    <col min="8683" max="8684" width="16.5" style="50" bestFit="1" customWidth="1"/>
    <col min="8685" max="8685" width="44" style="50" bestFit="1" customWidth="1"/>
    <col min="8686" max="8933" width="8.83203125" style="50" customWidth="1"/>
    <col min="8934" max="8934" width="3.5" style="50" customWidth="1"/>
    <col min="8935" max="8935" width="56" style="50" bestFit="1" customWidth="1"/>
    <col min="8936" max="8936" width="16.83203125" style="50" bestFit="1" customWidth="1"/>
    <col min="8937" max="8937" width="17.5" style="50" bestFit="1" customWidth="1"/>
    <col min="8938" max="8938" width="16" style="50" bestFit="1" customWidth="1"/>
    <col min="8939" max="8940" width="16.5" style="50" bestFit="1" customWidth="1"/>
    <col min="8941" max="8941" width="44" style="50" bestFit="1" customWidth="1"/>
    <col min="8942" max="9189" width="8.83203125" style="50" customWidth="1"/>
    <col min="9190" max="9190" width="3.5" style="50" customWidth="1"/>
    <col min="9191" max="9191" width="56" style="50" bestFit="1" customWidth="1"/>
    <col min="9192" max="9192" width="16.83203125" style="50" bestFit="1" customWidth="1"/>
    <col min="9193" max="9193" width="17.5" style="50" bestFit="1" customWidth="1"/>
    <col min="9194" max="9194" width="16" style="50" bestFit="1" customWidth="1"/>
    <col min="9195" max="9196" width="16.5" style="50" bestFit="1" customWidth="1"/>
    <col min="9197" max="9197" width="44" style="50" bestFit="1" customWidth="1"/>
    <col min="9198" max="9445" width="8.83203125" style="50" customWidth="1"/>
    <col min="9446" max="9446" width="3.5" style="50" customWidth="1"/>
    <col min="9447" max="9447" width="56" style="50" bestFit="1" customWidth="1"/>
    <col min="9448" max="9448" width="16.83203125" style="50" bestFit="1" customWidth="1"/>
    <col min="9449" max="9449" width="17.5" style="50" bestFit="1" customWidth="1"/>
    <col min="9450" max="9450" width="16" style="50" bestFit="1" customWidth="1"/>
    <col min="9451" max="9452" width="16.5" style="50" bestFit="1" customWidth="1"/>
    <col min="9453" max="9453" width="44" style="50" bestFit="1" customWidth="1"/>
    <col min="9454" max="9701" width="8.83203125" style="50" customWidth="1"/>
    <col min="9702" max="9702" width="3.5" style="50" customWidth="1"/>
    <col min="9703" max="9703" width="56" style="50" bestFit="1" customWidth="1"/>
    <col min="9704" max="9704" width="16.83203125" style="50" bestFit="1" customWidth="1"/>
    <col min="9705" max="9705" width="17.5" style="50" bestFit="1" customWidth="1"/>
    <col min="9706" max="9706" width="16" style="50" bestFit="1" customWidth="1"/>
    <col min="9707" max="9708" width="16.5" style="50" bestFit="1" customWidth="1"/>
    <col min="9709" max="9709" width="44" style="50" bestFit="1" customWidth="1"/>
    <col min="9710" max="9957" width="8.83203125" style="50" customWidth="1"/>
    <col min="9958" max="9958" width="3.5" style="50" customWidth="1"/>
    <col min="9959" max="9959" width="56" style="50" bestFit="1" customWidth="1"/>
    <col min="9960" max="9960" width="16.83203125" style="50" bestFit="1" customWidth="1"/>
    <col min="9961" max="9961" width="17.5" style="50" bestFit="1" customWidth="1"/>
    <col min="9962" max="9962" width="16" style="50" bestFit="1" customWidth="1"/>
    <col min="9963" max="9964" width="16.5" style="50" bestFit="1" customWidth="1"/>
    <col min="9965" max="9965" width="44" style="50" bestFit="1" customWidth="1"/>
    <col min="9966" max="10213" width="8.83203125" style="50" customWidth="1"/>
    <col min="10214" max="10214" width="3.5" style="50" customWidth="1"/>
    <col min="10215" max="10215" width="56" style="50" bestFit="1" customWidth="1"/>
    <col min="10216" max="10216" width="16.83203125" style="50" bestFit="1" customWidth="1"/>
    <col min="10217" max="10217" width="17.5" style="50" bestFit="1" customWidth="1"/>
    <col min="10218" max="10218" width="16" style="50" bestFit="1" customWidth="1"/>
    <col min="10219" max="10220" width="16.5" style="50" bestFit="1" customWidth="1"/>
    <col min="10221" max="10221" width="44" style="50" bestFit="1" customWidth="1"/>
    <col min="10222" max="10469" width="8.83203125" style="50" customWidth="1"/>
    <col min="10470" max="10470" width="3.5" style="50" customWidth="1"/>
    <col min="10471" max="10471" width="56" style="50" bestFit="1" customWidth="1"/>
    <col min="10472" max="10472" width="16.83203125" style="50" bestFit="1" customWidth="1"/>
    <col min="10473" max="10473" width="17.5" style="50" bestFit="1" customWidth="1"/>
    <col min="10474" max="10474" width="16" style="50" bestFit="1" customWidth="1"/>
    <col min="10475" max="10476" width="16.5" style="50" bestFit="1" customWidth="1"/>
    <col min="10477" max="10477" width="44" style="50" bestFit="1" customWidth="1"/>
    <col min="10478" max="10725" width="8.83203125" style="50" customWidth="1"/>
    <col min="10726" max="10726" width="3.5" style="50" customWidth="1"/>
    <col min="10727" max="10727" width="56" style="50" bestFit="1" customWidth="1"/>
    <col min="10728" max="10728" width="16.83203125" style="50" bestFit="1" customWidth="1"/>
    <col min="10729" max="10729" width="17.5" style="50" bestFit="1" customWidth="1"/>
    <col min="10730" max="10730" width="16" style="50" bestFit="1" customWidth="1"/>
    <col min="10731" max="10732" width="16.5" style="50" bestFit="1" customWidth="1"/>
    <col min="10733" max="10733" width="44" style="50" bestFit="1" customWidth="1"/>
    <col min="10734" max="10981" width="8.83203125" style="50" customWidth="1"/>
    <col min="10982" max="10982" width="3.5" style="50" customWidth="1"/>
    <col min="10983" max="10983" width="56" style="50" bestFit="1" customWidth="1"/>
    <col min="10984" max="10984" width="16.83203125" style="50" bestFit="1" customWidth="1"/>
    <col min="10985" max="10985" width="17.5" style="50" bestFit="1" customWidth="1"/>
    <col min="10986" max="10986" width="16" style="50" bestFit="1" customWidth="1"/>
    <col min="10987" max="10988" width="16.5" style="50" bestFit="1" customWidth="1"/>
    <col min="10989" max="10989" width="44" style="50" bestFit="1" customWidth="1"/>
    <col min="10990" max="11237" width="8.83203125" style="50" customWidth="1"/>
    <col min="11238" max="11238" width="3.5" style="50" customWidth="1"/>
    <col min="11239" max="11239" width="56" style="50" bestFit="1" customWidth="1"/>
    <col min="11240" max="11240" width="16.83203125" style="50" bestFit="1" customWidth="1"/>
    <col min="11241" max="11241" width="17.5" style="50" bestFit="1" customWidth="1"/>
    <col min="11242" max="11242" width="16" style="50" bestFit="1" customWidth="1"/>
    <col min="11243" max="11244" width="16.5" style="50" bestFit="1" customWidth="1"/>
    <col min="11245" max="11245" width="44" style="50" bestFit="1" customWidth="1"/>
    <col min="11246" max="11493" width="8.83203125" style="50" customWidth="1"/>
    <col min="11494" max="11494" width="3.5" style="50" customWidth="1"/>
    <col min="11495" max="11495" width="56" style="50" bestFit="1" customWidth="1"/>
    <col min="11496" max="11496" width="16.83203125" style="50" bestFit="1" customWidth="1"/>
    <col min="11497" max="11497" width="17.5" style="50" bestFit="1" customWidth="1"/>
    <col min="11498" max="11498" width="16" style="50" bestFit="1" customWidth="1"/>
    <col min="11499" max="11500" width="16.5" style="50" bestFit="1" customWidth="1"/>
    <col min="11501" max="11501" width="44" style="50" bestFit="1" customWidth="1"/>
    <col min="11502" max="11749" width="8.83203125" style="50" customWidth="1"/>
    <col min="11750" max="11750" width="3.5" style="50" customWidth="1"/>
    <col min="11751" max="11751" width="56" style="50" bestFit="1" customWidth="1"/>
    <col min="11752" max="11752" width="16.83203125" style="50" bestFit="1" customWidth="1"/>
    <col min="11753" max="11753" width="17.5" style="50" bestFit="1" customWidth="1"/>
    <col min="11754" max="11754" width="16" style="50" bestFit="1" customWidth="1"/>
    <col min="11755" max="11756" width="16.5" style="50" bestFit="1" customWidth="1"/>
    <col min="11757" max="11757" width="44" style="50" bestFit="1" customWidth="1"/>
    <col min="11758" max="12005" width="8.83203125" style="50" customWidth="1"/>
    <col min="12006" max="12006" width="3.5" style="50" customWidth="1"/>
    <col min="12007" max="12007" width="56" style="50" bestFit="1" customWidth="1"/>
    <col min="12008" max="12008" width="16.83203125" style="50" bestFit="1" customWidth="1"/>
    <col min="12009" max="12009" width="17.5" style="50" bestFit="1" customWidth="1"/>
    <col min="12010" max="12010" width="16" style="50" bestFit="1" customWidth="1"/>
    <col min="12011" max="12012" width="16.5" style="50" bestFit="1" customWidth="1"/>
    <col min="12013" max="12013" width="44" style="50" bestFit="1" customWidth="1"/>
    <col min="12014" max="12261" width="8.83203125" style="50" customWidth="1"/>
    <col min="12262" max="12262" width="3.5" style="50" customWidth="1"/>
    <col min="12263" max="12263" width="56" style="50" bestFit="1" customWidth="1"/>
    <col min="12264" max="12264" width="16.83203125" style="50" bestFit="1" customWidth="1"/>
    <col min="12265" max="12265" width="17.5" style="50" bestFit="1" customWidth="1"/>
    <col min="12266" max="12266" width="16" style="50" bestFit="1" customWidth="1"/>
    <col min="12267" max="12268" width="16.5" style="50" bestFit="1" customWidth="1"/>
    <col min="12269" max="12269" width="44" style="50" bestFit="1" customWidth="1"/>
    <col min="12270" max="12517" width="8.83203125" style="50" customWidth="1"/>
    <col min="12518" max="12518" width="3.5" style="50" customWidth="1"/>
    <col min="12519" max="12519" width="56" style="50" bestFit="1" customWidth="1"/>
    <col min="12520" max="12520" width="16.83203125" style="50" bestFit="1" customWidth="1"/>
    <col min="12521" max="12521" width="17.5" style="50" bestFit="1" customWidth="1"/>
    <col min="12522" max="12522" width="16" style="50" bestFit="1" customWidth="1"/>
    <col min="12523" max="12524" width="16.5" style="50" bestFit="1" customWidth="1"/>
    <col min="12525" max="12525" width="44" style="50" bestFit="1" customWidth="1"/>
    <col min="12526" max="12773" width="8.83203125" style="50" customWidth="1"/>
    <col min="12774" max="12774" width="3.5" style="50" customWidth="1"/>
    <col min="12775" max="12775" width="56" style="50" bestFit="1" customWidth="1"/>
    <col min="12776" max="12776" width="16.83203125" style="50" bestFit="1" customWidth="1"/>
    <col min="12777" max="12777" width="17.5" style="50" bestFit="1" customWidth="1"/>
    <col min="12778" max="12778" width="16" style="50" bestFit="1" customWidth="1"/>
    <col min="12779" max="12780" width="16.5" style="50" bestFit="1" customWidth="1"/>
    <col min="12781" max="12781" width="44" style="50" bestFit="1" customWidth="1"/>
    <col min="12782" max="13029" width="8.83203125" style="50" customWidth="1"/>
    <col min="13030" max="13030" width="3.5" style="50" customWidth="1"/>
    <col min="13031" max="13031" width="56" style="50" bestFit="1" customWidth="1"/>
    <col min="13032" max="13032" width="16.83203125" style="50" bestFit="1" customWidth="1"/>
    <col min="13033" max="13033" width="17.5" style="50" bestFit="1" customWidth="1"/>
    <col min="13034" max="13034" width="16" style="50" bestFit="1" customWidth="1"/>
    <col min="13035" max="13036" width="16.5" style="50" bestFit="1" customWidth="1"/>
    <col min="13037" max="13037" width="44" style="50" bestFit="1" customWidth="1"/>
    <col min="13038" max="13285" width="8.83203125" style="50" customWidth="1"/>
    <col min="13286" max="13286" width="3.5" style="50" customWidth="1"/>
    <col min="13287" max="13287" width="56" style="50" bestFit="1" customWidth="1"/>
    <col min="13288" max="13288" width="16.83203125" style="50" bestFit="1" customWidth="1"/>
    <col min="13289" max="13289" width="17.5" style="50" bestFit="1" customWidth="1"/>
    <col min="13290" max="13290" width="16" style="50" bestFit="1" customWidth="1"/>
    <col min="13291" max="13292" width="16.5" style="50" bestFit="1" customWidth="1"/>
    <col min="13293" max="13293" width="44" style="50" bestFit="1" customWidth="1"/>
    <col min="13294" max="13541" width="8.83203125" style="50" customWidth="1"/>
    <col min="13542" max="13542" width="3.5" style="50" customWidth="1"/>
    <col min="13543" max="13543" width="56" style="50" bestFit="1" customWidth="1"/>
    <col min="13544" max="13544" width="16.83203125" style="50" bestFit="1" customWidth="1"/>
    <col min="13545" max="13545" width="17.5" style="50" bestFit="1" customWidth="1"/>
    <col min="13546" max="13546" width="16" style="50" bestFit="1" customWidth="1"/>
    <col min="13547" max="13548" width="16.5" style="50" bestFit="1" customWidth="1"/>
    <col min="13549" max="13549" width="44" style="50" bestFit="1" customWidth="1"/>
    <col min="13550" max="13797" width="8.83203125" style="50" customWidth="1"/>
    <col min="13798" max="13798" width="3.5" style="50" customWidth="1"/>
    <col min="13799" max="13799" width="56" style="50" bestFit="1" customWidth="1"/>
    <col min="13800" max="13800" width="16.83203125" style="50" bestFit="1" customWidth="1"/>
    <col min="13801" max="13801" width="17.5" style="50" bestFit="1" customWidth="1"/>
    <col min="13802" max="13802" width="16" style="50" bestFit="1" customWidth="1"/>
    <col min="13803" max="13804" width="16.5" style="50" bestFit="1" customWidth="1"/>
    <col min="13805" max="13805" width="44" style="50" bestFit="1" customWidth="1"/>
    <col min="13806" max="14053" width="8.83203125" style="50" customWidth="1"/>
    <col min="14054" max="14054" width="3.5" style="50" customWidth="1"/>
    <col min="14055" max="14055" width="56" style="50" bestFit="1" customWidth="1"/>
    <col min="14056" max="14056" width="16.83203125" style="50" bestFit="1" customWidth="1"/>
    <col min="14057" max="14057" width="17.5" style="50" bestFit="1" customWidth="1"/>
    <col min="14058" max="14058" width="16" style="50" bestFit="1" customWidth="1"/>
    <col min="14059" max="14060" width="16.5" style="50" bestFit="1" customWidth="1"/>
    <col min="14061" max="14061" width="44" style="50" bestFit="1" customWidth="1"/>
    <col min="14062" max="14309" width="8.83203125" style="50" customWidth="1"/>
    <col min="14310" max="14310" width="3.5" style="50" customWidth="1"/>
    <col min="14311" max="14311" width="56" style="50" bestFit="1" customWidth="1"/>
    <col min="14312" max="14312" width="16.83203125" style="50" bestFit="1" customWidth="1"/>
    <col min="14313" max="14313" width="17.5" style="50" bestFit="1" customWidth="1"/>
    <col min="14314" max="14314" width="16" style="50" bestFit="1" customWidth="1"/>
    <col min="14315" max="14316" width="16.5" style="50" bestFit="1" customWidth="1"/>
    <col min="14317" max="14317" width="44" style="50" bestFit="1" customWidth="1"/>
    <col min="14318" max="14565" width="8.83203125" style="50" customWidth="1"/>
    <col min="14566" max="14566" width="3.5" style="50" customWidth="1"/>
    <col min="14567" max="14567" width="56" style="50" bestFit="1" customWidth="1"/>
    <col min="14568" max="14568" width="16.83203125" style="50" bestFit="1" customWidth="1"/>
    <col min="14569" max="14569" width="17.5" style="50" bestFit="1" customWidth="1"/>
    <col min="14570" max="14570" width="16" style="50" bestFit="1" customWidth="1"/>
    <col min="14571" max="14572" width="16.5" style="50" bestFit="1" customWidth="1"/>
    <col min="14573" max="14573" width="44" style="50" bestFit="1" customWidth="1"/>
    <col min="14574" max="14821" width="8.83203125" style="50" customWidth="1"/>
    <col min="14822" max="14822" width="3.5" style="50" customWidth="1"/>
    <col min="14823" max="14823" width="56" style="50" bestFit="1" customWidth="1"/>
    <col min="14824" max="14824" width="16.83203125" style="50" bestFit="1" customWidth="1"/>
    <col min="14825" max="14825" width="17.5" style="50" bestFit="1" customWidth="1"/>
    <col min="14826" max="14826" width="16" style="50" bestFit="1" customWidth="1"/>
    <col min="14827" max="14828" width="16.5" style="50" bestFit="1" customWidth="1"/>
    <col min="14829" max="14829" width="44" style="50" bestFit="1" customWidth="1"/>
    <col min="14830" max="15077" width="8.83203125" style="50" customWidth="1"/>
    <col min="15078" max="15078" width="3.5" style="50" customWidth="1"/>
    <col min="15079" max="15079" width="56" style="50" bestFit="1" customWidth="1"/>
    <col min="15080" max="15080" width="16.83203125" style="50" bestFit="1" customWidth="1"/>
    <col min="15081" max="15081" width="17.5" style="50" bestFit="1" customWidth="1"/>
    <col min="15082" max="15082" width="16" style="50" bestFit="1" customWidth="1"/>
    <col min="15083" max="15084" width="16.5" style="50" bestFit="1" customWidth="1"/>
    <col min="15085" max="15085" width="44" style="50" bestFit="1" customWidth="1"/>
    <col min="15086" max="15333" width="8.83203125" style="50" customWidth="1"/>
    <col min="15334" max="15334" width="3.5" style="50" customWidth="1"/>
    <col min="15335" max="15335" width="56" style="50" bestFit="1" customWidth="1"/>
    <col min="15336" max="15336" width="16.83203125" style="50" bestFit="1" customWidth="1"/>
    <col min="15337" max="15337" width="17.5" style="50" bestFit="1" customWidth="1"/>
    <col min="15338" max="15338" width="16" style="50" bestFit="1" customWidth="1"/>
    <col min="15339" max="15340" width="16.5" style="50" bestFit="1" customWidth="1"/>
    <col min="15341" max="15341" width="44" style="50" bestFit="1" customWidth="1"/>
    <col min="15342" max="15589" width="8.83203125" style="50" customWidth="1"/>
    <col min="15590" max="15590" width="3.5" style="50" customWidth="1"/>
    <col min="15591" max="15591" width="56" style="50" bestFit="1" customWidth="1"/>
    <col min="15592" max="15592" width="16.83203125" style="50" bestFit="1" customWidth="1"/>
    <col min="15593" max="15593" width="17.5" style="50" bestFit="1" customWidth="1"/>
    <col min="15594" max="15594" width="16" style="50" bestFit="1" customWidth="1"/>
    <col min="15595" max="15596" width="16.5" style="50" bestFit="1" customWidth="1"/>
    <col min="15597" max="15597" width="44" style="50" bestFit="1" customWidth="1"/>
    <col min="15598" max="15845" width="8.83203125" style="50" customWidth="1"/>
    <col min="15846" max="15846" width="3.5" style="50" customWidth="1"/>
    <col min="15847" max="15847" width="56" style="50" bestFit="1" customWidth="1"/>
    <col min="15848" max="15848" width="16.83203125" style="50" bestFit="1" customWidth="1"/>
    <col min="15849" max="15849" width="17.5" style="50" bestFit="1" customWidth="1"/>
    <col min="15850" max="15850" width="16" style="50" bestFit="1" customWidth="1"/>
    <col min="15851" max="15852" width="16.5" style="50" bestFit="1" customWidth="1"/>
    <col min="15853" max="15853" width="44" style="50" bestFit="1" customWidth="1"/>
    <col min="15854" max="16101" width="8.83203125" style="50" customWidth="1"/>
    <col min="16102" max="16102" width="3.5" style="50" customWidth="1"/>
    <col min="16103" max="16103" width="56" style="50" bestFit="1" customWidth="1"/>
    <col min="16104" max="16104" width="16.83203125" style="50" bestFit="1" customWidth="1"/>
    <col min="16105" max="16105" width="17.5" style="50" bestFit="1" customWidth="1"/>
    <col min="16106" max="16106" width="16" style="50" bestFit="1" customWidth="1"/>
    <col min="16107" max="16108" width="16.5" style="50" bestFit="1" customWidth="1"/>
    <col min="16109" max="16109" width="44" style="50" bestFit="1" customWidth="1"/>
    <col min="16110" max="16384" width="8.83203125" style="50" customWidth="1"/>
  </cols>
  <sheetData>
    <row r="1" spans="1:12" ht="14" x14ac:dyDescent="0.15">
      <c r="A1" s="127" t="s">
        <v>120</v>
      </c>
      <c r="B1" s="172" t="s">
        <v>121</v>
      </c>
      <c r="C1" s="51" t="s">
        <v>122</v>
      </c>
      <c r="D1" s="52" t="s">
        <v>123</v>
      </c>
      <c r="E1" s="52" t="s">
        <v>124</v>
      </c>
      <c r="F1" s="52" t="s">
        <v>125</v>
      </c>
      <c r="G1" s="52" t="s">
        <v>126</v>
      </c>
      <c r="H1" s="53" t="s">
        <v>127</v>
      </c>
      <c r="I1" s="100" t="s">
        <v>128</v>
      </c>
      <c r="J1" s="101" t="s">
        <v>129</v>
      </c>
      <c r="K1" s="54" t="s">
        <v>7</v>
      </c>
      <c r="L1" s="55" t="s">
        <v>130</v>
      </c>
    </row>
    <row r="2" spans="1:12" ht="13.75" hidden="1" customHeight="1" x14ac:dyDescent="0.15">
      <c r="A2" s="85" t="s">
        <v>131</v>
      </c>
      <c r="B2" s="173"/>
      <c r="C2" s="99" t="s">
        <v>9</v>
      </c>
      <c r="D2" s="80"/>
      <c r="E2" s="94"/>
      <c r="F2" s="95"/>
      <c r="G2" s="94"/>
      <c r="H2" s="60">
        <f>SUM(H3)</f>
        <v>0</v>
      </c>
      <c r="I2" s="102"/>
      <c r="J2" s="60">
        <f>SUM(J3)</f>
        <v>0</v>
      </c>
      <c r="K2" s="61"/>
      <c r="L2" s="234" t="s">
        <v>132</v>
      </c>
    </row>
    <row r="3" spans="1:12" ht="13.25" hidden="1" customHeight="1" x14ac:dyDescent="0.15">
      <c r="A3" s="73" t="s">
        <v>18</v>
      </c>
      <c r="B3" s="174"/>
      <c r="C3" s="78">
        <v>120</v>
      </c>
      <c r="D3" s="79"/>
      <c r="E3" s="71"/>
      <c r="F3" s="79"/>
      <c r="G3" s="71"/>
      <c r="H3" s="124">
        <f>IF(COUNTBLANK(C3:G3)&gt;0,0,IF(C3=3,0,IF(COUNTBLANK(C3:G3)=0,(F3+G3)-(D3+E3))))</f>
        <v>0</v>
      </c>
      <c r="I3" s="125"/>
      <c r="J3" s="96">
        <f>H3*(1-I3)</f>
        <v>0</v>
      </c>
      <c r="K3" s="96"/>
      <c r="L3" s="235"/>
    </row>
    <row r="4" spans="1:12" ht="13.25" hidden="1" customHeight="1" x14ac:dyDescent="0.15">
      <c r="A4" s="85" t="s">
        <v>133</v>
      </c>
      <c r="B4" s="173"/>
      <c r="C4" s="99" t="s">
        <v>9</v>
      </c>
      <c r="D4" s="80"/>
      <c r="E4" s="94"/>
      <c r="F4" s="95"/>
      <c r="G4" s="94"/>
      <c r="H4" s="60">
        <f>SUM(H5:H8)</f>
        <v>0</v>
      </c>
      <c r="I4" s="102"/>
      <c r="J4" s="60">
        <f>SUM(J5:J8)</f>
        <v>0</v>
      </c>
      <c r="K4" s="61"/>
      <c r="L4" s="235"/>
    </row>
    <row r="5" spans="1:12" ht="14" hidden="1" x14ac:dyDescent="0.15">
      <c r="A5" s="73" t="s">
        <v>19</v>
      </c>
      <c r="B5" s="174"/>
      <c r="C5" s="78">
        <v>130</v>
      </c>
      <c r="D5" s="79"/>
      <c r="E5" s="71"/>
      <c r="F5" s="79"/>
      <c r="G5" s="71"/>
      <c r="H5" s="124">
        <f>IF(COUNTBLANK(C5:G5)&gt;0,0,IF(C5=3,0,IF(COUNTBLANK(C5:G5)=0,(F5+G5)-(D5+E5))))</f>
        <v>0</v>
      </c>
      <c r="I5" s="125"/>
      <c r="J5" s="96">
        <f>H5*(1-I5)</f>
        <v>0</v>
      </c>
      <c r="K5" s="96"/>
      <c r="L5" s="235"/>
    </row>
    <row r="6" spans="1:12" ht="14" hidden="1" x14ac:dyDescent="0.15">
      <c r="A6" s="73" t="s">
        <v>20</v>
      </c>
      <c r="B6" s="174"/>
      <c r="C6" s="78">
        <v>131</v>
      </c>
      <c r="D6" s="136"/>
      <c r="E6" s="71"/>
      <c r="F6" s="79"/>
      <c r="G6" s="71"/>
      <c r="H6" s="124">
        <f>IF(COUNTBLANK(C6:G6)&gt;0,0,IF(C6=3,0,IF(COUNTBLANK(C6:G6)=0,(F6+G6)-(D6+E6))))</f>
        <v>0</v>
      </c>
      <c r="I6" s="125"/>
      <c r="J6" s="96">
        <f>H6*(1-I6)</f>
        <v>0</v>
      </c>
      <c r="K6" s="96"/>
      <c r="L6" s="235"/>
    </row>
    <row r="7" spans="1:12" ht="14" hidden="1" x14ac:dyDescent="0.15">
      <c r="A7" s="73" t="s">
        <v>21</v>
      </c>
      <c r="B7" s="174"/>
      <c r="C7" s="78">
        <v>132</v>
      </c>
      <c r="D7" s="136"/>
      <c r="E7" s="71"/>
      <c r="F7" s="79"/>
      <c r="G7" s="71"/>
      <c r="H7" s="124">
        <f>IF(COUNTBLANK(C7:G7)&gt;0,0,IF(C7=3,0,IF(COUNTBLANK(C7:G7)=0,(F7+G7)-(D7+E7))))</f>
        <v>0</v>
      </c>
      <c r="I7" s="125"/>
      <c r="J7" s="96">
        <f>H7*(1-I7)</f>
        <v>0</v>
      </c>
      <c r="K7" s="96"/>
      <c r="L7" s="235"/>
    </row>
    <row r="8" spans="1:12" ht="14" hidden="1" x14ac:dyDescent="0.15">
      <c r="A8" s="73" t="s">
        <v>22</v>
      </c>
      <c r="B8" s="174"/>
      <c r="C8" s="78">
        <v>133</v>
      </c>
      <c r="D8" s="136"/>
      <c r="E8" s="71"/>
      <c r="F8" s="79"/>
      <c r="G8" s="71"/>
      <c r="H8" s="124">
        <f>IF(COUNTBLANK(C8:G8)&gt;0,0,IF(C8=3,0,IF(COUNTBLANK(C8:G8)=0,(F8+G8)-(D8+E8))))</f>
        <v>0</v>
      </c>
      <c r="I8" s="125"/>
      <c r="J8" s="96">
        <f>H8*(1-I8)</f>
        <v>0</v>
      </c>
      <c r="K8" s="96"/>
      <c r="L8" s="235"/>
    </row>
    <row r="9" spans="1:12" ht="13.75" customHeight="1" x14ac:dyDescent="0.15">
      <c r="A9" s="85" t="s">
        <v>134</v>
      </c>
      <c r="B9" s="173"/>
      <c r="C9" s="99" t="s">
        <v>9</v>
      </c>
      <c r="D9" s="80"/>
      <c r="E9" s="94"/>
      <c r="F9" s="95"/>
      <c r="G9" s="94"/>
      <c r="H9" s="60">
        <f>SUM(H10:H13)</f>
        <v>1.7361111109494232E-2</v>
      </c>
      <c r="I9" s="102"/>
      <c r="J9" s="60">
        <f>SUM(J10:J13)</f>
        <v>1.7361111109494232E-2</v>
      </c>
      <c r="K9" s="61"/>
      <c r="L9" s="235"/>
    </row>
    <row r="10" spans="1:12" ht="14" hidden="1" x14ac:dyDescent="0.15">
      <c r="A10" s="73" t="s">
        <v>135</v>
      </c>
      <c r="B10" s="174"/>
      <c r="C10" s="78">
        <v>100</v>
      </c>
      <c r="D10" s="79"/>
      <c r="E10" s="71"/>
      <c r="F10" s="79"/>
      <c r="G10" s="71"/>
      <c r="H10" s="124">
        <f>IF(COUNTBLANK(C10:G10)&gt;0,0,IF(C10=3,0,IF(COUNTBLANK(C10:G10)=0,(F10+G10)-(D10+E10))))</f>
        <v>0</v>
      </c>
      <c r="I10" s="125"/>
      <c r="J10" s="96">
        <f>H10*(1-I10)</f>
        <v>0</v>
      </c>
      <c r="K10" s="96"/>
      <c r="L10" s="235"/>
    </row>
    <row r="11" spans="1:12" ht="14" hidden="1" x14ac:dyDescent="0.15">
      <c r="A11" s="73" t="s">
        <v>136</v>
      </c>
      <c r="B11" s="174"/>
      <c r="C11" s="78">
        <v>100</v>
      </c>
      <c r="D11" s="79"/>
      <c r="E11" s="71"/>
      <c r="F11" s="79"/>
      <c r="G11" s="71"/>
      <c r="H11" s="124">
        <f>IF(COUNTBLANK(C11:G11)&gt;0,0,IF(C11=3,0,IF(COUNTBLANK(C11:G11)=0,(F11+G11)-(D11+E11))))</f>
        <v>0</v>
      </c>
      <c r="I11" s="125"/>
      <c r="J11" s="96">
        <f>H11*(1-I11)</f>
        <v>0</v>
      </c>
      <c r="K11" s="96"/>
      <c r="L11" s="235"/>
    </row>
    <row r="12" spans="1:12" x14ac:dyDescent="0.15">
      <c r="A12" s="148" t="s">
        <v>137</v>
      </c>
      <c r="B12" s="148"/>
      <c r="C12" s="78">
        <v>110</v>
      </c>
      <c r="D12" s="79">
        <v>46097</v>
      </c>
      <c r="E12" s="71">
        <v>0.4375</v>
      </c>
      <c r="F12" s="79">
        <v>46097</v>
      </c>
      <c r="G12" s="71">
        <v>0.44097222222222221</v>
      </c>
      <c r="H12" s="124">
        <f>IF(COUNTBLANK(C12:G12)&gt;0,0,IF(C12=3,0,IF(COUNTBLANK(C12:G12)=0,(F12+G12)-(D12+E12))))</f>
        <v>3.4722222189884633E-3</v>
      </c>
      <c r="I12" s="149"/>
      <c r="J12" s="124">
        <f>H12*(1-I12)</f>
        <v>3.4722222189884633E-3</v>
      </c>
      <c r="K12" s="151" t="s">
        <v>138</v>
      </c>
      <c r="L12" s="235"/>
    </row>
    <row r="13" spans="1:12" x14ac:dyDescent="0.15">
      <c r="A13" s="148" t="s">
        <v>139</v>
      </c>
      <c r="B13" s="148"/>
      <c r="C13" s="78">
        <v>110</v>
      </c>
      <c r="D13" s="79">
        <v>46097</v>
      </c>
      <c r="E13" s="71">
        <v>0.44097222222222221</v>
      </c>
      <c r="F13" s="79">
        <v>46097</v>
      </c>
      <c r="G13" s="71">
        <v>0.4548611111111111</v>
      </c>
      <c r="H13" s="124">
        <f>IF(COUNTBLANK(C13:G13)&gt;0,0,IF(C13=3,0,IF(COUNTBLANK(C13:G13)=0,(F13+G13)-(D13+E13))))</f>
        <v>1.3888888890505768E-2</v>
      </c>
      <c r="I13" s="149"/>
      <c r="J13" s="124">
        <f>H13*(1-I13)</f>
        <v>1.3888888890505768E-2</v>
      </c>
      <c r="K13" s="151"/>
      <c r="L13" s="235"/>
    </row>
    <row r="14" spans="1:12" ht="13.25" customHeight="1" x14ac:dyDescent="0.15">
      <c r="A14" s="56" t="s">
        <v>140</v>
      </c>
      <c r="B14" s="175"/>
      <c r="C14" s="99" t="s">
        <v>13</v>
      </c>
      <c r="D14" s="57"/>
      <c r="E14" s="58"/>
      <c r="F14" s="57"/>
      <c r="G14" s="59"/>
      <c r="H14" s="60">
        <f>SUM(H15:H18)</f>
        <v>2.0833333335758653E-2</v>
      </c>
      <c r="I14" s="102"/>
      <c r="J14" s="60">
        <f>SUM(J15:J18)</f>
        <v>2.0833333335758653E-2</v>
      </c>
      <c r="K14" s="152"/>
      <c r="L14" s="235"/>
    </row>
    <row r="15" spans="1:12" x14ac:dyDescent="0.15">
      <c r="A15" s="148" t="s">
        <v>141</v>
      </c>
      <c r="B15" s="176"/>
      <c r="C15" s="78">
        <v>210</v>
      </c>
      <c r="D15" s="79"/>
      <c r="E15" s="71"/>
      <c r="F15" s="79"/>
      <c r="G15" s="71"/>
      <c r="H15" s="124">
        <f>IF(COUNTBLANK(C15:G15)&gt;0,0,IF(C15=3,0,IF(COUNTBLANK(C15:G15)=0,(F15+G15)-(D15+E15))))</f>
        <v>0</v>
      </c>
      <c r="I15" s="184"/>
      <c r="J15" s="124">
        <f>H15*(1-I15)</f>
        <v>0</v>
      </c>
      <c r="K15" s="138" t="s">
        <v>142</v>
      </c>
      <c r="L15" s="235"/>
    </row>
    <row r="16" spans="1:12" x14ac:dyDescent="0.15">
      <c r="A16" s="148" t="s">
        <v>143</v>
      </c>
      <c r="B16" s="174"/>
      <c r="C16" s="78">
        <v>210</v>
      </c>
      <c r="D16" s="79"/>
      <c r="E16" s="71"/>
      <c r="F16" s="79"/>
      <c r="G16" s="71"/>
      <c r="H16" s="124">
        <f>IF(COUNTBLANK(C16:G16)&gt;0,0,IF(C16=3,0,IF(COUNTBLANK(C16:G16)=0,(F16+G16)-(D16+E16))))</f>
        <v>0</v>
      </c>
      <c r="I16" s="184"/>
      <c r="J16" s="124">
        <f>H16*(1-I16)</f>
        <v>0</v>
      </c>
      <c r="K16" s="138" t="s">
        <v>142</v>
      </c>
      <c r="L16" s="235"/>
    </row>
    <row r="17" spans="1:12" ht="13.25" customHeight="1" x14ac:dyDescent="0.15">
      <c r="A17" s="148" t="s">
        <v>144</v>
      </c>
      <c r="B17" s="174"/>
      <c r="C17" s="78">
        <v>210</v>
      </c>
      <c r="D17" s="79">
        <v>46097</v>
      </c>
      <c r="E17" s="71">
        <v>0.4375</v>
      </c>
      <c r="F17" s="79">
        <v>46097</v>
      </c>
      <c r="G17" s="71">
        <v>0.44791666666666669</v>
      </c>
      <c r="H17" s="124">
        <f>IF(COUNTBLANK(C17:G17)&gt;0,0,IF(C17=3,0,IF(COUNTBLANK(C17:G17)=0,(F17+G17)-(D17+E17))))</f>
        <v>1.0416666664241347E-2</v>
      </c>
      <c r="I17" s="184"/>
      <c r="J17" s="124">
        <f>H17*(1-I17)</f>
        <v>1.0416666664241347E-2</v>
      </c>
      <c r="K17" s="138"/>
      <c r="L17" s="235"/>
    </row>
    <row r="18" spans="1:12" ht="26.5" customHeight="1" x14ac:dyDescent="0.15">
      <c r="A18" s="185" t="s">
        <v>145</v>
      </c>
      <c r="B18" s="176"/>
      <c r="C18" s="78">
        <v>210</v>
      </c>
      <c r="D18" s="79">
        <v>46097</v>
      </c>
      <c r="E18" s="71">
        <v>0.44791666666666669</v>
      </c>
      <c r="F18" s="79">
        <v>46097</v>
      </c>
      <c r="G18" s="71">
        <v>0.45833333333333331</v>
      </c>
      <c r="H18" s="124">
        <f>IF(COUNTBLANK(C18:G18)&gt;0,0,IF(C18=3,0,IF(COUNTBLANK(C18:G18)=0,(F18+G18)-(D18+E18))))</f>
        <v>1.0416666671517305E-2</v>
      </c>
      <c r="I18" s="184"/>
      <c r="J18" s="124">
        <f>H18*(1-I18)</f>
        <v>1.0416666671517305E-2</v>
      </c>
      <c r="K18" s="138"/>
      <c r="L18" s="235"/>
    </row>
    <row r="19" spans="1:12" ht="13.25" customHeight="1" x14ac:dyDescent="0.15">
      <c r="A19" s="85" t="s">
        <v>146</v>
      </c>
      <c r="B19" s="173"/>
      <c r="C19" s="99" t="s">
        <v>11</v>
      </c>
      <c r="D19" s="57"/>
      <c r="E19" s="58"/>
      <c r="F19" s="57"/>
      <c r="G19" s="59"/>
      <c r="H19" s="60">
        <f>SUM(H20:H59)</f>
        <v>0.13888888888322981</v>
      </c>
      <c r="I19" s="102"/>
      <c r="J19" s="60">
        <f>SUM(J20:J59)</f>
        <v>0.13888888888322981</v>
      </c>
      <c r="K19" s="61"/>
      <c r="L19" s="234" t="s">
        <v>132</v>
      </c>
    </row>
    <row r="20" spans="1:12" ht="13.25" customHeight="1" x14ac:dyDescent="0.15">
      <c r="A20" s="76" t="s">
        <v>147</v>
      </c>
      <c r="B20" s="177"/>
      <c r="C20" s="78">
        <v>2</v>
      </c>
      <c r="D20" s="79">
        <v>46097</v>
      </c>
      <c r="E20" s="71">
        <v>0.45833333333333331</v>
      </c>
      <c r="F20" s="79">
        <v>46097</v>
      </c>
      <c r="G20" s="71">
        <v>0.46527777777777779</v>
      </c>
      <c r="H20" s="124">
        <f t="shared" ref="H20:H59" si="0">IF(COUNTBLANK(C20:G20)&gt;0,0,IF(C20=3,0,IF(COUNTBLANK(C20:G20)=0,(F20+G20)-(D20+E20))))</f>
        <v>6.9444444452528842E-3</v>
      </c>
      <c r="I20" s="125"/>
      <c r="J20" s="96">
        <f t="shared" ref="J20:J59" si="1">H20*(1-I20)</f>
        <v>6.9444444452528842E-3</v>
      </c>
      <c r="K20" s="194" t="s">
        <v>84</v>
      </c>
      <c r="L20" s="235"/>
    </row>
    <row r="21" spans="1:12" ht="13.25" customHeight="1" x14ac:dyDescent="0.15">
      <c r="A21" s="76" t="s">
        <v>148</v>
      </c>
      <c r="B21" s="177"/>
      <c r="C21" s="78">
        <v>2</v>
      </c>
      <c r="D21" s="79">
        <v>46097</v>
      </c>
      <c r="E21" s="71">
        <v>0.46527777777777779</v>
      </c>
      <c r="F21" s="79">
        <v>46097</v>
      </c>
      <c r="G21" s="71">
        <v>0.46875</v>
      </c>
      <c r="H21" s="124">
        <f t="shared" si="0"/>
        <v>3.4722222189884633E-3</v>
      </c>
      <c r="I21" s="125"/>
      <c r="J21" s="96">
        <f t="shared" si="1"/>
        <v>3.4722222189884633E-3</v>
      </c>
      <c r="K21" s="194" t="s">
        <v>84</v>
      </c>
      <c r="L21" s="235"/>
    </row>
    <row r="22" spans="1:12" ht="52.75" customHeight="1" x14ac:dyDescent="0.15">
      <c r="A22" s="76" t="s">
        <v>149</v>
      </c>
      <c r="B22" s="177"/>
      <c r="C22" s="78">
        <v>2</v>
      </c>
      <c r="D22" s="79">
        <v>46097</v>
      </c>
      <c r="E22" s="71">
        <v>0.46875</v>
      </c>
      <c r="F22" s="79">
        <v>46097</v>
      </c>
      <c r="G22" s="71">
        <v>0.47569444444444442</v>
      </c>
      <c r="H22" s="124">
        <f t="shared" si="0"/>
        <v>6.9444444452528842E-3</v>
      </c>
      <c r="I22" s="125"/>
      <c r="J22" s="96">
        <f t="shared" si="1"/>
        <v>6.9444444452528842E-3</v>
      </c>
      <c r="K22" s="194" t="s">
        <v>84</v>
      </c>
      <c r="L22" s="235"/>
    </row>
    <row r="23" spans="1:12" ht="14" x14ac:dyDescent="0.15">
      <c r="A23" s="76" t="s">
        <v>147</v>
      </c>
      <c r="B23" s="177"/>
      <c r="C23" s="78">
        <v>2</v>
      </c>
      <c r="D23" s="79">
        <v>46097</v>
      </c>
      <c r="E23" s="71">
        <v>0.47569444444444442</v>
      </c>
      <c r="F23" s="79">
        <v>46097</v>
      </c>
      <c r="G23" s="71">
        <v>0.48958333333333331</v>
      </c>
      <c r="H23" s="124">
        <f t="shared" si="0"/>
        <v>1.3888888890505768E-2</v>
      </c>
      <c r="I23" s="125"/>
      <c r="J23" s="96">
        <f t="shared" si="1"/>
        <v>1.3888888890505768E-2</v>
      </c>
      <c r="K23" s="194" t="s">
        <v>150</v>
      </c>
      <c r="L23" s="235"/>
    </row>
    <row r="24" spans="1:12" ht="14" x14ac:dyDescent="0.15">
      <c r="A24" s="76" t="s">
        <v>148</v>
      </c>
      <c r="B24" s="177"/>
      <c r="C24" s="78">
        <v>2</v>
      </c>
      <c r="D24" s="79">
        <v>46097</v>
      </c>
      <c r="E24" s="71">
        <v>0.48958333333333331</v>
      </c>
      <c r="F24" s="79">
        <v>46097</v>
      </c>
      <c r="G24" s="71">
        <v>0.49305555555555558</v>
      </c>
      <c r="H24" s="124">
        <f t="shared" si="0"/>
        <v>3.4722222189884633E-3</v>
      </c>
      <c r="I24" s="125"/>
      <c r="J24" s="96">
        <f t="shared" si="1"/>
        <v>3.4722222189884633E-3</v>
      </c>
      <c r="K24" s="194" t="s">
        <v>150</v>
      </c>
      <c r="L24" s="235"/>
    </row>
    <row r="25" spans="1:12" ht="52.75" customHeight="1" x14ac:dyDescent="0.15">
      <c r="A25" s="76" t="s">
        <v>149</v>
      </c>
      <c r="B25" s="177"/>
      <c r="C25" s="78">
        <v>2</v>
      </c>
      <c r="D25" s="79">
        <v>46097</v>
      </c>
      <c r="E25" s="71">
        <v>0.49305555555555558</v>
      </c>
      <c r="F25" s="79">
        <v>46097</v>
      </c>
      <c r="G25" s="71">
        <v>0.5</v>
      </c>
      <c r="H25" s="124">
        <f t="shared" si="0"/>
        <v>6.9444444452528842E-3</v>
      </c>
      <c r="I25" s="125"/>
      <c r="J25" s="96">
        <f t="shared" si="1"/>
        <v>6.9444444452528842E-3</v>
      </c>
      <c r="K25" s="194" t="s">
        <v>150</v>
      </c>
      <c r="L25" s="235"/>
    </row>
    <row r="26" spans="1:12" ht="14" x14ac:dyDescent="0.15">
      <c r="A26" s="76" t="s">
        <v>151</v>
      </c>
      <c r="B26" s="177"/>
      <c r="C26" s="78">
        <v>2</v>
      </c>
      <c r="D26" s="79">
        <v>46097</v>
      </c>
      <c r="E26" s="71">
        <v>0.5</v>
      </c>
      <c r="F26" s="79">
        <v>46097</v>
      </c>
      <c r="G26" s="71">
        <v>0.50347222222222221</v>
      </c>
      <c r="H26" s="124">
        <f t="shared" si="0"/>
        <v>3.4722222189884633E-3</v>
      </c>
      <c r="I26" s="125"/>
      <c r="J26" s="96">
        <f t="shared" si="1"/>
        <v>3.4722222189884633E-3</v>
      </c>
      <c r="K26" s="194" t="s">
        <v>152</v>
      </c>
      <c r="L26" s="235"/>
    </row>
    <row r="27" spans="1:12" ht="14" x14ac:dyDescent="0.15">
      <c r="A27" s="147" t="s">
        <v>153</v>
      </c>
      <c r="B27" s="178"/>
      <c r="C27" s="78">
        <v>2</v>
      </c>
      <c r="D27" s="79">
        <v>46097</v>
      </c>
      <c r="E27" s="71">
        <v>0.50347222222222221</v>
      </c>
      <c r="F27" s="79">
        <v>46097</v>
      </c>
      <c r="G27" s="71">
        <v>0.50694444444444442</v>
      </c>
      <c r="H27" s="124">
        <f t="shared" si="0"/>
        <v>3.4722222262644209E-3</v>
      </c>
      <c r="I27" s="125"/>
      <c r="J27" s="96">
        <f t="shared" si="1"/>
        <v>3.4722222262644209E-3</v>
      </c>
      <c r="K27" s="123"/>
      <c r="L27" s="235"/>
    </row>
    <row r="28" spans="1:12" ht="134.5" customHeight="1" x14ac:dyDescent="0.15">
      <c r="A28" s="73" t="s">
        <v>154</v>
      </c>
      <c r="B28" s="174"/>
      <c r="C28" s="78">
        <v>2</v>
      </c>
      <c r="D28" s="79">
        <v>46097</v>
      </c>
      <c r="E28" s="71">
        <v>0.50694444444444442</v>
      </c>
      <c r="F28" s="79">
        <v>46097</v>
      </c>
      <c r="G28" s="71">
        <v>0.51736111111111116</v>
      </c>
      <c r="H28" s="124">
        <f t="shared" si="0"/>
        <v>1.0416666664241347E-2</v>
      </c>
      <c r="I28" s="125"/>
      <c r="J28" s="96">
        <f t="shared" si="1"/>
        <v>1.0416666664241347E-2</v>
      </c>
      <c r="K28" s="74" t="s">
        <v>155</v>
      </c>
      <c r="L28" s="235"/>
    </row>
    <row r="29" spans="1:12" ht="26.5" customHeight="1" x14ac:dyDescent="0.15">
      <c r="A29" s="73" t="s">
        <v>156</v>
      </c>
      <c r="B29" s="174"/>
      <c r="C29" s="78">
        <v>2</v>
      </c>
      <c r="D29" s="79">
        <v>46097</v>
      </c>
      <c r="E29" s="71">
        <v>0.51736111111111116</v>
      </c>
      <c r="F29" s="79">
        <v>46097</v>
      </c>
      <c r="G29" s="71">
        <v>0.52083333333333337</v>
      </c>
      <c r="H29" s="124">
        <f t="shared" si="0"/>
        <v>3.4722222262644209E-3</v>
      </c>
      <c r="I29" s="125"/>
      <c r="J29" s="96">
        <f t="shared" si="1"/>
        <v>3.4722222262644209E-3</v>
      </c>
      <c r="K29" s="141" t="s">
        <v>157</v>
      </c>
      <c r="L29" s="235"/>
    </row>
    <row r="30" spans="1:12" ht="14" x14ac:dyDescent="0.15">
      <c r="A30" s="73" t="s">
        <v>158</v>
      </c>
      <c r="B30" s="174"/>
      <c r="C30" s="78">
        <v>2</v>
      </c>
      <c r="D30" s="79">
        <v>46097</v>
      </c>
      <c r="E30" s="71">
        <v>0.52083333333333337</v>
      </c>
      <c r="F30" s="79">
        <v>46097</v>
      </c>
      <c r="G30" s="71">
        <v>0.52430555555555558</v>
      </c>
      <c r="H30" s="124">
        <f t="shared" si="0"/>
        <v>3.4722222189884633E-3</v>
      </c>
      <c r="I30" s="125"/>
      <c r="J30" s="96">
        <f t="shared" si="1"/>
        <v>3.4722222189884633E-3</v>
      </c>
      <c r="K30" s="141" t="s">
        <v>159</v>
      </c>
      <c r="L30" s="235"/>
    </row>
    <row r="31" spans="1:12" ht="14" x14ac:dyDescent="0.15">
      <c r="A31" s="73" t="s">
        <v>160</v>
      </c>
      <c r="B31" s="174"/>
      <c r="C31" s="78">
        <v>2</v>
      </c>
      <c r="D31" s="79">
        <v>46097</v>
      </c>
      <c r="E31" s="71">
        <v>0.52430555555555558</v>
      </c>
      <c r="F31" s="79">
        <v>46097</v>
      </c>
      <c r="G31" s="71">
        <v>0.52777777777777779</v>
      </c>
      <c r="H31" s="124">
        <f t="shared" si="0"/>
        <v>3.4722222262644209E-3</v>
      </c>
      <c r="I31" s="125"/>
      <c r="J31" s="96">
        <f t="shared" si="1"/>
        <v>3.4722222262644209E-3</v>
      </c>
      <c r="K31" s="141"/>
      <c r="L31" s="235"/>
    </row>
    <row r="32" spans="1:12" ht="14" x14ac:dyDescent="0.15">
      <c r="A32" s="73" t="s">
        <v>161</v>
      </c>
      <c r="B32" s="177"/>
      <c r="C32" s="78">
        <v>2</v>
      </c>
      <c r="D32" s="79">
        <v>46097</v>
      </c>
      <c r="E32" s="71">
        <v>0.52777777777777779</v>
      </c>
      <c r="F32" s="79">
        <v>46097</v>
      </c>
      <c r="G32" s="71">
        <v>0.53472222222222221</v>
      </c>
      <c r="H32" s="124">
        <f t="shared" si="0"/>
        <v>6.9444444379769266E-3</v>
      </c>
      <c r="I32" s="125"/>
      <c r="J32" s="96">
        <f t="shared" si="1"/>
        <v>6.9444444379769266E-3</v>
      </c>
      <c r="K32" s="75"/>
      <c r="L32" s="235"/>
    </row>
    <row r="33" spans="1:12" ht="14" x14ac:dyDescent="0.15">
      <c r="A33" s="73" t="s">
        <v>162</v>
      </c>
      <c r="B33" s="177"/>
      <c r="C33" s="78">
        <v>2</v>
      </c>
      <c r="D33" s="79">
        <v>46097</v>
      </c>
      <c r="E33" s="71">
        <v>0.53472222222222221</v>
      </c>
      <c r="F33" s="79">
        <v>46097</v>
      </c>
      <c r="G33" s="71">
        <v>0.53819444444444442</v>
      </c>
      <c r="H33" s="124">
        <f t="shared" si="0"/>
        <v>3.4722222262644209E-3</v>
      </c>
      <c r="I33" s="125"/>
      <c r="J33" s="96">
        <f t="shared" si="1"/>
        <v>3.4722222262644209E-3</v>
      </c>
      <c r="K33" s="75"/>
      <c r="L33" s="235"/>
    </row>
    <row r="34" spans="1:12" ht="14" x14ac:dyDescent="0.15">
      <c r="A34" s="73" t="s">
        <v>163</v>
      </c>
      <c r="B34" s="177"/>
      <c r="C34" s="78">
        <v>2</v>
      </c>
      <c r="D34" s="79">
        <v>46097</v>
      </c>
      <c r="E34" s="71">
        <v>0.53819444444444442</v>
      </c>
      <c r="F34" s="79">
        <v>46097</v>
      </c>
      <c r="G34" s="71">
        <v>0.54166666666666663</v>
      </c>
      <c r="H34" s="124">
        <f t="shared" si="0"/>
        <v>3.4722222189884633E-3</v>
      </c>
      <c r="I34" s="125"/>
      <c r="J34" s="96">
        <f t="shared" si="1"/>
        <v>3.4722222189884633E-3</v>
      </c>
      <c r="K34" s="75"/>
      <c r="L34" s="235"/>
    </row>
    <row r="35" spans="1:12" ht="14" x14ac:dyDescent="0.15">
      <c r="A35" s="72" t="s">
        <v>164</v>
      </c>
      <c r="B35" s="177"/>
      <c r="C35" s="78">
        <v>2</v>
      </c>
      <c r="D35" s="79">
        <v>46097</v>
      </c>
      <c r="E35" s="71"/>
      <c r="F35" s="79">
        <v>46097</v>
      </c>
      <c r="G35" s="71"/>
      <c r="H35" s="124">
        <f t="shared" si="0"/>
        <v>0</v>
      </c>
      <c r="I35" s="125"/>
      <c r="J35" s="96">
        <f t="shared" si="1"/>
        <v>0</v>
      </c>
      <c r="K35" s="75"/>
      <c r="L35" s="235"/>
    </row>
    <row r="36" spans="1:12" ht="14" x14ac:dyDescent="0.15">
      <c r="A36" s="73" t="s">
        <v>165</v>
      </c>
      <c r="B36" s="177"/>
      <c r="C36" s="78">
        <v>2</v>
      </c>
      <c r="D36" s="79">
        <v>46097</v>
      </c>
      <c r="E36" s="71"/>
      <c r="F36" s="79">
        <v>46097</v>
      </c>
      <c r="G36" s="71"/>
      <c r="H36" s="124">
        <f t="shared" si="0"/>
        <v>0</v>
      </c>
      <c r="I36" s="125"/>
      <c r="J36" s="96">
        <f t="shared" si="1"/>
        <v>0</v>
      </c>
      <c r="K36" s="75"/>
      <c r="L36" s="235"/>
    </row>
    <row r="37" spans="1:12" ht="14" x14ac:dyDescent="0.15">
      <c r="A37" s="72" t="s">
        <v>166</v>
      </c>
      <c r="B37" s="176"/>
      <c r="C37" s="78">
        <v>2</v>
      </c>
      <c r="D37" s="79">
        <v>46097</v>
      </c>
      <c r="E37" s="71">
        <v>0.54166666666666663</v>
      </c>
      <c r="F37" s="79">
        <v>46097</v>
      </c>
      <c r="G37" s="71">
        <v>0.54513888888888884</v>
      </c>
      <c r="H37" s="124">
        <f t="shared" si="0"/>
        <v>3.4722222262644209E-3</v>
      </c>
      <c r="I37" s="125"/>
      <c r="J37" s="96">
        <f t="shared" si="1"/>
        <v>3.4722222262644209E-3</v>
      </c>
      <c r="K37" s="74"/>
      <c r="L37" s="235"/>
    </row>
    <row r="38" spans="1:12" ht="14" hidden="1" x14ac:dyDescent="0.15">
      <c r="A38" s="73" t="s">
        <v>167</v>
      </c>
      <c r="B38" s="174"/>
      <c r="C38" s="78">
        <v>2</v>
      </c>
      <c r="D38" s="79">
        <v>46097</v>
      </c>
      <c r="E38" s="71"/>
      <c r="F38" s="79">
        <v>46097</v>
      </c>
      <c r="G38" s="71"/>
      <c r="H38" s="124">
        <f t="shared" si="0"/>
        <v>0</v>
      </c>
      <c r="I38" s="125"/>
      <c r="J38" s="96">
        <f t="shared" si="1"/>
        <v>0</v>
      </c>
      <c r="K38" s="75" t="s">
        <v>168</v>
      </c>
      <c r="L38" s="235"/>
    </row>
    <row r="39" spans="1:12" ht="14" hidden="1" x14ac:dyDescent="0.15">
      <c r="A39" s="73" t="s">
        <v>169</v>
      </c>
      <c r="B39" s="174"/>
      <c r="C39" s="78">
        <v>2</v>
      </c>
      <c r="D39" s="79">
        <v>46097</v>
      </c>
      <c r="E39" s="71"/>
      <c r="F39" s="79">
        <v>46097</v>
      </c>
      <c r="G39" s="71"/>
      <c r="H39" s="124">
        <f t="shared" si="0"/>
        <v>0</v>
      </c>
      <c r="I39" s="125"/>
      <c r="J39" s="96">
        <f t="shared" si="1"/>
        <v>0</v>
      </c>
      <c r="K39" s="75" t="s">
        <v>168</v>
      </c>
      <c r="L39" s="235"/>
    </row>
    <row r="40" spans="1:12" ht="14" hidden="1" x14ac:dyDescent="0.15">
      <c r="A40" s="73" t="s">
        <v>170</v>
      </c>
      <c r="B40" s="174"/>
      <c r="C40" s="78">
        <v>2</v>
      </c>
      <c r="D40" s="79">
        <v>46097</v>
      </c>
      <c r="E40" s="71"/>
      <c r="F40" s="79">
        <v>46097</v>
      </c>
      <c r="G40" s="71"/>
      <c r="H40" s="124">
        <f t="shared" si="0"/>
        <v>0</v>
      </c>
      <c r="I40" s="125"/>
      <c r="J40" s="96">
        <f t="shared" si="1"/>
        <v>0</v>
      </c>
      <c r="K40" s="75" t="s">
        <v>168</v>
      </c>
      <c r="L40" s="235"/>
    </row>
    <row r="41" spans="1:12" ht="26.5" hidden="1" customHeight="1" x14ac:dyDescent="0.15">
      <c r="A41" s="73" t="s">
        <v>171</v>
      </c>
      <c r="B41" s="174"/>
      <c r="C41" s="78">
        <v>2</v>
      </c>
      <c r="D41" s="79">
        <v>46097</v>
      </c>
      <c r="E41" s="71"/>
      <c r="F41" s="79">
        <v>46097</v>
      </c>
      <c r="G41" s="71"/>
      <c r="H41" s="124">
        <f t="shared" si="0"/>
        <v>0</v>
      </c>
      <c r="I41" s="125"/>
      <c r="J41" s="96">
        <f t="shared" si="1"/>
        <v>0</v>
      </c>
      <c r="K41" s="74"/>
      <c r="L41" s="235"/>
    </row>
    <row r="42" spans="1:12" ht="92.5" hidden="1" customHeight="1" x14ac:dyDescent="0.15">
      <c r="A42" s="72" t="s">
        <v>172</v>
      </c>
      <c r="B42" s="176"/>
      <c r="C42" s="78">
        <v>2</v>
      </c>
      <c r="D42" s="79">
        <v>46097</v>
      </c>
      <c r="E42" s="71"/>
      <c r="F42" s="79">
        <v>46097</v>
      </c>
      <c r="G42" s="71"/>
      <c r="H42" s="124">
        <f t="shared" si="0"/>
        <v>0</v>
      </c>
      <c r="I42" s="125"/>
      <c r="J42" s="96">
        <f t="shared" si="1"/>
        <v>0</v>
      </c>
      <c r="K42" s="74"/>
      <c r="L42" s="235"/>
    </row>
    <row r="43" spans="1:12" ht="14" hidden="1" x14ac:dyDescent="0.15">
      <c r="A43" s="72" t="s">
        <v>173</v>
      </c>
      <c r="B43" s="176"/>
      <c r="C43" s="78">
        <v>2</v>
      </c>
      <c r="D43" s="79">
        <v>46097</v>
      </c>
      <c r="E43" s="71"/>
      <c r="F43" s="79">
        <v>46097</v>
      </c>
      <c r="G43" s="71"/>
      <c r="H43" s="124">
        <f t="shared" si="0"/>
        <v>0</v>
      </c>
      <c r="I43" s="125"/>
      <c r="J43" s="96">
        <f t="shared" si="1"/>
        <v>0</v>
      </c>
      <c r="K43" s="74"/>
      <c r="L43" s="235"/>
    </row>
    <row r="44" spans="1:12" ht="14" hidden="1" x14ac:dyDescent="0.15">
      <c r="A44" s="73" t="s">
        <v>161</v>
      </c>
      <c r="B44" s="174"/>
      <c r="C44" s="78">
        <v>2</v>
      </c>
      <c r="D44" s="79">
        <v>46097</v>
      </c>
      <c r="E44" s="71"/>
      <c r="F44" s="79">
        <v>46097</v>
      </c>
      <c r="G44" s="71"/>
      <c r="H44" s="124">
        <f t="shared" si="0"/>
        <v>0</v>
      </c>
      <c r="I44" s="125"/>
      <c r="J44" s="96">
        <f t="shared" si="1"/>
        <v>0</v>
      </c>
      <c r="K44" s="74"/>
      <c r="L44" s="235"/>
    </row>
    <row r="45" spans="1:12" ht="14" hidden="1" x14ac:dyDescent="0.15">
      <c r="A45" s="73" t="s">
        <v>162</v>
      </c>
      <c r="B45" s="174"/>
      <c r="C45" s="78">
        <v>2</v>
      </c>
      <c r="D45" s="79">
        <v>46097</v>
      </c>
      <c r="E45" s="71"/>
      <c r="F45" s="79">
        <v>46097</v>
      </c>
      <c r="G45" s="71"/>
      <c r="H45" s="124">
        <f t="shared" si="0"/>
        <v>0</v>
      </c>
      <c r="I45" s="125"/>
      <c r="J45" s="96">
        <f t="shared" si="1"/>
        <v>0</v>
      </c>
      <c r="K45" s="74"/>
      <c r="L45" s="235"/>
    </row>
    <row r="46" spans="1:12" ht="14" hidden="1" x14ac:dyDescent="0.15">
      <c r="A46" s="73" t="s">
        <v>163</v>
      </c>
      <c r="B46" s="174"/>
      <c r="C46" s="78">
        <v>2</v>
      </c>
      <c r="D46" s="79">
        <v>46097</v>
      </c>
      <c r="E46" s="71"/>
      <c r="F46" s="79">
        <v>46097</v>
      </c>
      <c r="G46" s="71"/>
      <c r="H46" s="124">
        <f t="shared" si="0"/>
        <v>0</v>
      </c>
      <c r="I46" s="125"/>
      <c r="J46" s="96">
        <f t="shared" si="1"/>
        <v>0</v>
      </c>
      <c r="K46" s="75"/>
      <c r="L46" s="235"/>
    </row>
    <row r="47" spans="1:12" ht="14" hidden="1" x14ac:dyDescent="0.15">
      <c r="A47" s="72" t="s">
        <v>164</v>
      </c>
      <c r="B47" s="176"/>
      <c r="C47" s="78">
        <v>2</v>
      </c>
      <c r="D47" s="79">
        <v>46097</v>
      </c>
      <c r="E47" s="71"/>
      <c r="F47" s="79">
        <v>46097</v>
      </c>
      <c r="G47" s="71"/>
      <c r="H47" s="124">
        <f t="shared" si="0"/>
        <v>0</v>
      </c>
      <c r="I47" s="125"/>
      <c r="J47" s="96">
        <f t="shared" si="1"/>
        <v>0</v>
      </c>
      <c r="K47" s="74"/>
      <c r="L47" s="235"/>
    </row>
    <row r="48" spans="1:12" ht="14" hidden="1" x14ac:dyDescent="0.15">
      <c r="A48" s="73" t="s">
        <v>165</v>
      </c>
      <c r="B48" s="174"/>
      <c r="C48" s="78">
        <v>2</v>
      </c>
      <c r="D48" s="79">
        <v>46097</v>
      </c>
      <c r="E48" s="71"/>
      <c r="F48" s="79">
        <v>46097</v>
      </c>
      <c r="G48" s="71"/>
      <c r="H48" s="124">
        <f t="shared" si="0"/>
        <v>0</v>
      </c>
      <c r="I48" s="125"/>
      <c r="J48" s="96">
        <f t="shared" si="1"/>
        <v>0</v>
      </c>
      <c r="K48" s="75"/>
      <c r="L48" s="235"/>
    </row>
    <row r="49" spans="1:12" ht="135.5" customHeight="1" x14ac:dyDescent="0.15">
      <c r="A49" s="72" t="s">
        <v>174</v>
      </c>
      <c r="B49" s="176"/>
      <c r="C49" s="78">
        <v>2</v>
      </c>
      <c r="D49" s="79">
        <v>46097</v>
      </c>
      <c r="E49" s="71">
        <v>0.54513888888888884</v>
      </c>
      <c r="F49" s="79">
        <v>46097</v>
      </c>
      <c r="G49" s="71">
        <v>0.55555555555555558</v>
      </c>
      <c r="H49" s="124">
        <f t="shared" si="0"/>
        <v>1.0416666664241347E-2</v>
      </c>
      <c r="I49" s="125"/>
      <c r="J49" s="96">
        <f t="shared" si="1"/>
        <v>1.0416666664241347E-2</v>
      </c>
      <c r="K49" s="75"/>
      <c r="L49" s="235"/>
    </row>
    <row r="50" spans="1:12" ht="61.75" customHeight="1" x14ac:dyDescent="0.15">
      <c r="A50" s="72" t="s">
        <v>175</v>
      </c>
      <c r="B50" s="176"/>
      <c r="C50" s="78">
        <v>2</v>
      </c>
      <c r="D50" s="79">
        <v>46097</v>
      </c>
      <c r="E50" s="71">
        <v>0.55555555555555558</v>
      </c>
      <c r="F50" s="79">
        <v>46097</v>
      </c>
      <c r="G50" s="71">
        <v>0.5625</v>
      </c>
      <c r="H50" s="124">
        <f t="shared" si="0"/>
        <v>6.9444444452528842E-3</v>
      </c>
      <c r="I50" s="125"/>
      <c r="J50" s="96">
        <f t="shared" si="1"/>
        <v>6.9444444452528842E-3</v>
      </c>
      <c r="K50" s="75"/>
      <c r="L50" s="235"/>
    </row>
    <row r="51" spans="1:12" ht="137.5" customHeight="1" x14ac:dyDescent="0.15">
      <c r="A51" s="73" t="s">
        <v>176</v>
      </c>
      <c r="B51" s="174"/>
      <c r="C51" s="78">
        <v>2</v>
      </c>
      <c r="D51" s="79">
        <v>46097</v>
      </c>
      <c r="E51" s="71">
        <v>0.5625</v>
      </c>
      <c r="F51" s="79">
        <v>46097</v>
      </c>
      <c r="G51" s="71">
        <v>0.56597222222222221</v>
      </c>
      <c r="H51" s="124">
        <f t="shared" si="0"/>
        <v>3.4722222189884633E-3</v>
      </c>
      <c r="I51" s="125"/>
      <c r="J51" s="96">
        <f t="shared" si="1"/>
        <v>3.4722222189884633E-3</v>
      </c>
      <c r="K51" s="75"/>
      <c r="L51" s="235"/>
    </row>
    <row r="52" spans="1:12" ht="92.5" customHeight="1" x14ac:dyDescent="0.15">
      <c r="A52" s="73" t="s">
        <v>177</v>
      </c>
      <c r="B52" s="174"/>
      <c r="C52" s="78">
        <v>2</v>
      </c>
      <c r="D52" s="79">
        <v>46097</v>
      </c>
      <c r="E52" s="71">
        <v>0.56597222222222221</v>
      </c>
      <c r="F52" s="79">
        <v>46097</v>
      </c>
      <c r="G52" s="71">
        <v>0.57291666666666663</v>
      </c>
      <c r="H52" s="124">
        <f t="shared" si="0"/>
        <v>6.9444444452528842E-3</v>
      </c>
      <c r="I52" s="125"/>
      <c r="J52" s="96">
        <f t="shared" si="1"/>
        <v>6.9444444452528842E-3</v>
      </c>
      <c r="K52" s="75"/>
      <c r="L52" s="235"/>
    </row>
    <row r="53" spans="1:12" ht="26.5" customHeight="1" x14ac:dyDescent="0.15">
      <c r="A53" s="73" t="s">
        <v>178</v>
      </c>
      <c r="B53" s="174"/>
      <c r="C53" s="78">
        <v>2</v>
      </c>
      <c r="D53" s="79">
        <v>46097</v>
      </c>
      <c r="E53" s="71">
        <v>0.57291666666666663</v>
      </c>
      <c r="F53" s="79">
        <v>46097</v>
      </c>
      <c r="G53" s="71">
        <v>0.57638888888888884</v>
      </c>
      <c r="H53" s="124">
        <f t="shared" si="0"/>
        <v>3.4722222262644209E-3</v>
      </c>
      <c r="I53" s="125"/>
      <c r="J53" s="96">
        <f t="shared" si="1"/>
        <v>3.4722222262644209E-3</v>
      </c>
      <c r="K53" s="74"/>
      <c r="L53" s="235"/>
    </row>
    <row r="54" spans="1:12" ht="14" x14ac:dyDescent="0.15">
      <c r="A54" s="73" t="s">
        <v>179</v>
      </c>
      <c r="B54" s="174"/>
      <c r="C54" s="78">
        <v>2</v>
      </c>
      <c r="D54" s="79">
        <v>46097</v>
      </c>
      <c r="E54" s="71">
        <v>0.57638888888888884</v>
      </c>
      <c r="F54" s="79">
        <v>46097</v>
      </c>
      <c r="G54" s="71">
        <v>0.57986111111111116</v>
      </c>
      <c r="H54" s="124">
        <f t="shared" si="0"/>
        <v>3.4722222189884633E-3</v>
      </c>
      <c r="I54" s="125"/>
      <c r="J54" s="96">
        <f t="shared" si="1"/>
        <v>3.4722222189884633E-3</v>
      </c>
      <c r="K54" s="74"/>
      <c r="L54" s="235"/>
    </row>
    <row r="55" spans="1:12" ht="14" x14ac:dyDescent="0.15">
      <c r="A55" s="73" t="s">
        <v>180</v>
      </c>
      <c r="B55" s="174" t="s">
        <v>181</v>
      </c>
      <c r="C55" s="78">
        <v>2</v>
      </c>
      <c r="D55" s="79">
        <v>46097</v>
      </c>
      <c r="E55" s="71">
        <v>0.57986111111111116</v>
      </c>
      <c r="F55" s="79">
        <v>46097</v>
      </c>
      <c r="G55" s="71">
        <v>0.58333333333333337</v>
      </c>
      <c r="H55" s="124">
        <f t="shared" si="0"/>
        <v>3.4722222262644209E-3</v>
      </c>
      <c r="I55" s="125"/>
      <c r="J55" s="96">
        <f t="shared" si="1"/>
        <v>3.4722222262644209E-3</v>
      </c>
      <c r="K55" s="74"/>
      <c r="L55" s="164"/>
    </row>
    <row r="56" spans="1:12" ht="14" x14ac:dyDescent="0.15">
      <c r="A56" s="73" t="s">
        <v>182</v>
      </c>
      <c r="B56" s="174" t="s">
        <v>181</v>
      </c>
      <c r="C56" s="78">
        <v>2</v>
      </c>
      <c r="D56" s="79">
        <v>46097</v>
      </c>
      <c r="E56" s="71">
        <v>0.58333333333333337</v>
      </c>
      <c r="F56" s="79">
        <v>46097</v>
      </c>
      <c r="G56" s="71">
        <v>0.58680555555555558</v>
      </c>
      <c r="H56" s="124">
        <f t="shared" si="0"/>
        <v>3.4722222189884633E-3</v>
      </c>
      <c r="I56" s="125"/>
      <c r="J56" s="96">
        <f t="shared" si="1"/>
        <v>3.4722222189884633E-3</v>
      </c>
      <c r="K56" s="74"/>
      <c r="L56" s="164"/>
    </row>
    <row r="57" spans="1:12" ht="14" x14ac:dyDescent="0.15">
      <c r="A57" s="73" t="s">
        <v>183</v>
      </c>
      <c r="B57" s="174" t="s">
        <v>181</v>
      </c>
      <c r="C57" s="78">
        <v>2</v>
      </c>
      <c r="D57" s="79">
        <v>46097</v>
      </c>
      <c r="E57" s="71">
        <v>0.58680555555555558</v>
      </c>
      <c r="F57" s="79">
        <v>46097</v>
      </c>
      <c r="G57" s="71">
        <v>0.59027777777777779</v>
      </c>
      <c r="H57" s="124">
        <f t="shared" si="0"/>
        <v>3.4722222262644209E-3</v>
      </c>
      <c r="I57" s="125"/>
      <c r="J57" s="96">
        <f t="shared" si="1"/>
        <v>3.4722222262644209E-3</v>
      </c>
      <c r="K57" s="194" t="str">
        <f>K26</f>
        <v>CHPARF: 16.0.0.20251212201147.9</v>
      </c>
      <c r="L57" s="164"/>
    </row>
    <row r="58" spans="1:12" ht="14" x14ac:dyDescent="0.15">
      <c r="A58" s="73" t="s">
        <v>184</v>
      </c>
      <c r="B58" s="174" t="s">
        <v>181</v>
      </c>
      <c r="C58" s="78">
        <v>2</v>
      </c>
      <c r="D58" s="79">
        <v>46097</v>
      </c>
      <c r="E58" s="71">
        <v>0.59027777777777779</v>
      </c>
      <c r="F58" s="79">
        <v>46097</v>
      </c>
      <c r="G58" s="71">
        <v>0.59375</v>
      </c>
      <c r="H58" s="124">
        <f t="shared" si="0"/>
        <v>3.4722222189884633E-3</v>
      </c>
      <c r="I58" s="125"/>
      <c r="J58" s="96">
        <f t="shared" si="1"/>
        <v>3.4722222189884633E-3</v>
      </c>
      <c r="K58" s="74"/>
      <c r="L58" s="164"/>
    </row>
    <row r="59" spans="1:12" ht="14" x14ac:dyDescent="0.15">
      <c r="A59" s="73" t="s">
        <v>185</v>
      </c>
      <c r="B59" s="174" t="s">
        <v>181</v>
      </c>
      <c r="C59" s="78">
        <v>2</v>
      </c>
      <c r="D59" s="79">
        <v>46097</v>
      </c>
      <c r="E59" s="71">
        <v>0.59375</v>
      </c>
      <c r="F59" s="79">
        <v>46097</v>
      </c>
      <c r="G59" s="71">
        <v>0.59722222222222221</v>
      </c>
      <c r="H59" s="124">
        <f t="shared" si="0"/>
        <v>3.4722222189884633E-3</v>
      </c>
      <c r="I59" s="125"/>
      <c r="J59" s="96">
        <f t="shared" si="1"/>
        <v>3.4722222189884633E-3</v>
      </c>
      <c r="K59" s="74"/>
      <c r="L59" s="164"/>
    </row>
    <row r="60" spans="1:12" ht="12.75" customHeight="1" x14ac:dyDescent="0.15">
      <c r="A60" s="85" t="s">
        <v>186</v>
      </c>
      <c r="B60" s="173"/>
      <c r="C60" s="99" t="s">
        <v>13</v>
      </c>
      <c r="D60" s="64"/>
      <c r="E60" s="62"/>
      <c r="F60" s="64"/>
      <c r="G60" s="62"/>
      <c r="H60" s="60">
        <f>SUM(H61:H79)</f>
        <v>0.19444444445252884</v>
      </c>
      <c r="I60" s="102"/>
      <c r="J60" s="60">
        <f>SUM(J61:J79)</f>
        <v>0.19444444445252884</v>
      </c>
      <c r="K60" s="63"/>
      <c r="L60" s="236" t="s">
        <v>187</v>
      </c>
    </row>
    <row r="61" spans="1:12" x14ac:dyDescent="0.15">
      <c r="A61" s="186" t="s">
        <v>188</v>
      </c>
      <c r="B61" s="174"/>
      <c r="C61" s="78">
        <v>4</v>
      </c>
      <c r="D61" s="79">
        <v>46097</v>
      </c>
      <c r="E61" s="71">
        <v>0.60069444444444442</v>
      </c>
      <c r="F61" s="79">
        <v>46097</v>
      </c>
      <c r="G61" s="71">
        <v>0.60416666666666663</v>
      </c>
      <c r="H61" s="124">
        <f t="shared" ref="H61:H82" si="2">IF(COUNTBLANK(C61:G61)&gt;0,0,IF(C61=3,0,IF(COUNTBLANK(C61:G61)=0,(F61+G61)-(D61+E61))))</f>
        <v>3.4722222189884633E-3</v>
      </c>
      <c r="I61" s="125"/>
      <c r="J61" s="96">
        <f t="shared" ref="J61:J82" si="3">H61*(1-I61)</f>
        <v>3.4722222189884633E-3</v>
      </c>
      <c r="K61" s="74"/>
      <c r="L61" s="235"/>
    </row>
    <row r="62" spans="1:12" x14ac:dyDescent="0.15">
      <c r="A62" s="186" t="s">
        <v>189</v>
      </c>
      <c r="B62" s="174"/>
      <c r="C62" s="78">
        <v>4</v>
      </c>
      <c r="D62" s="79">
        <v>46097</v>
      </c>
      <c r="E62" s="71">
        <v>0.60416666666666663</v>
      </c>
      <c r="F62" s="79">
        <v>46097</v>
      </c>
      <c r="G62" s="71">
        <v>0.60763888888888884</v>
      </c>
      <c r="H62" s="124">
        <f t="shared" si="2"/>
        <v>3.4722222262644209E-3</v>
      </c>
      <c r="I62" s="125"/>
      <c r="J62" s="96">
        <f t="shared" si="3"/>
        <v>3.4722222262644209E-3</v>
      </c>
      <c r="K62" s="75"/>
      <c r="L62" s="235"/>
    </row>
    <row r="63" spans="1:12" ht="14" x14ac:dyDescent="0.15">
      <c r="A63" s="73" t="s">
        <v>190</v>
      </c>
      <c r="B63" s="174"/>
      <c r="C63" s="78">
        <v>4</v>
      </c>
      <c r="D63" s="79">
        <v>46097</v>
      </c>
      <c r="E63" s="71">
        <v>0.60763888888888884</v>
      </c>
      <c r="F63" s="79">
        <v>46097</v>
      </c>
      <c r="G63" s="71">
        <v>0.61111111111111116</v>
      </c>
      <c r="H63" s="124">
        <f t="shared" si="2"/>
        <v>3.4722222189884633E-3</v>
      </c>
      <c r="I63" s="125"/>
      <c r="J63" s="96">
        <f t="shared" si="3"/>
        <v>3.4722222189884633E-3</v>
      </c>
      <c r="K63" s="75"/>
      <c r="L63" s="235"/>
    </row>
    <row r="64" spans="1:12" ht="12.75" customHeight="1" x14ac:dyDescent="0.15">
      <c r="A64" s="73" t="s">
        <v>191</v>
      </c>
      <c r="B64" s="174"/>
      <c r="C64" s="78">
        <v>4</v>
      </c>
      <c r="D64" s="79">
        <v>46097</v>
      </c>
      <c r="E64" s="71">
        <v>0.61111111111111116</v>
      </c>
      <c r="F64" s="79">
        <v>46097</v>
      </c>
      <c r="G64" s="71">
        <v>0.61458333333333337</v>
      </c>
      <c r="H64" s="124">
        <f t="shared" si="2"/>
        <v>3.4722222262644209E-3</v>
      </c>
      <c r="I64" s="125"/>
      <c r="J64" s="96">
        <f t="shared" si="3"/>
        <v>3.4722222262644209E-3</v>
      </c>
      <c r="K64" s="74"/>
      <c r="L64" s="235"/>
    </row>
    <row r="65" spans="1:12" ht="26.5" customHeight="1" x14ac:dyDescent="0.15">
      <c r="A65" s="73" t="s">
        <v>192</v>
      </c>
      <c r="B65" s="174"/>
      <c r="C65" s="78">
        <v>4</v>
      </c>
      <c r="D65" s="79">
        <v>46097</v>
      </c>
      <c r="E65" s="71">
        <v>0.625</v>
      </c>
      <c r="F65" s="79">
        <v>46097</v>
      </c>
      <c r="G65" s="71">
        <v>0.62847222222222221</v>
      </c>
      <c r="H65" s="124">
        <f t="shared" si="2"/>
        <v>3.4722222189884633E-3</v>
      </c>
      <c r="I65" s="125"/>
      <c r="J65" s="96">
        <f t="shared" si="3"/>
        <v>3.4722222189884633E-3</v>
      </c>
      <c r="K65" s="74"/>
      <c r="L65" s="235"/>
    </row>
    <row r="66" spans="1:12" ht="192.5" customHeight="1" x14ac:dyDescent="0.15">
      <c r="A66" s="73" t="s">
        <v>193</v>
      </c>
      <c r="B66" s="174"/>
      <c r="C66" s="78">
        <v>4</v>
      </c>
      <c r="D66" s="79">
        <v>46097</v>
      </c>
      <c r="E66" s="71">
        <v>0.62847222222222221</v>
      </c>
      <c r="F66" s="79">
        <v>46097</v>
      </c>
      <c r="G66" s="71">
        <v>0.63194444444444442</v>
      </c>
      <c r="H66" s="124">
        <f t="shared" si="2"/>
        <v>3.4722222262644209E-3</v>
      </c>
      <c r="I66" s="125"/>
      <c r="J66" s="96">
        <f t="shared" si="3"/>
        <v>3.4722222262644209E-3</v>
      </c>
      <c r="K66" s="74"/>
      <c r="L66" s="235"/>
    </row>
    <row r="67" spans="1:12" ht="39.5" customHeight="1" x14ac:dyDescent="0.15">
      <c r="A67" s="73" t="s">
        <v>194</v>
      </c>
      <c r="B67" s="174"/>
      <c r="C67" s="78">
        <v>4</v>
      </c>
      <c r="D67" s="79">
        <v>46097</v>
      </c>
      <c r="E67" s="71">
        <v>0.65625</v>
      </c>
      <c r="F67" s="79">
        <v>46097</v>
      </c>
      <c r="G67" s="71">
        <v>0.65972222222222221</v>
      </c>
      <c r="H67" s="124">
        <f t="shared" si="2"/>
        <v>3.4722222189884633E-3</v>
      </c>
      <c r="I67" s="125"/>
      <c r="J67" s="96">
        <f t="shared" si="3"/>
        <v>3.4722222189884633E-3</v>
      </c>
      <c r="K67" s="74"/>
      <c r="L67" s="235"/>
    </row>
    <row r="68" spans="1:12" x14ac:dyDescent="0.15">
      <c r="A68" s="186" t="s">
        <v>195</v>
      </c>
      <c r="B68" s="174"/>
      <c r="C68" s="78">
        <v>4</v>
      </c>
      <c r="D68" s="79">
        <v>46097</v>
      </c>
      <c r="E68" s="71">
        <v>0.65972222222222221</v>
      </c>
      <c r="F68" s="79">
        <v>46097</v>
      </c>
      <c r="G68" s="71">
        <v>0.66319444444444442</v>
      </c>
      <c r="H68" s="124">
        <f t="shared" si="2"/>
        <v>3.4722222262644209E-3</v>
      </c>
      <c r="I68" s="125"/>
      <c r="J68" s="96">
        <f t="shared" si="3"/>
        <v>3.4722222262644209E-3</v>
      </c>
      <c r="K68" s="74"/>
      <c r="L68" s="235"/>
    </row>
    <row r="69" spans="1:12" ht="26.5" customHeight="1" x14ac:dyDescent="0.15">
      <c r="A69" s="72" t="s">
        <v>196</v>
      </c>
      <c r="B69" s="174"/>
      <c r="C69" s="78">
        <v>4</v>
      </c>
      <c r="D69" s="79">
        <v>46097</v>
      </c>
      <c r="E69" s="71">
        <v>0.66319444444444442</v>
      </c>
      <c r="F69" s="79">
        <v>46097</v>
      </c>
      <c r="G69" s="71">
        <v>0.66666666666666663</v>
      </c>
      <c r="H69" s="124">
        <f t="shared" si="2"/>
        <v>3.4722222189884633E-3</v>
      </c>
      <c r="I69" s="125"/>
      <c r="J69" s="96">
        <f t="shared" si="3"/>
        <v>3.4722222189884633E-3</v>
      </c>
      <c r="K69" s="74"/>
      <c r="L69" s="235"/>
    </row>
    <row r="70" spans="1:12" ht="26.5" hidden="1" customHeight="1" x14ac:dyDescent="0.15">
      <c r="A70" s="72" t="s">
        <v>197</v>
      </c>
      <c r="B70" s="174"/>
      <c r="C70" s="78">
        <v>4</v>
      </c>
      <c r="D70" s="79">
        <v>46097</v>
      </c>
      <c r="E70" s="71"/>
      <c r="F70" s="79">
        <v>46097</v>
      </c>
      <c r="G70" s="71"/>
      <c r="H70" s="124">
        <f t="shared" si="2"/>
        <v>0</v>
      </c>
      <c r="I70" s="125"/>
      <c r="J70" s="96">
        <f t="shared" si="3"/>
        <v>0</v>
      </c>
      <c r="K70" s="74"/>
      <c r="L70" s="235"/>
    </row>
    <row r="71" spans="1:12" ht="26.5" customHeight="1" x14ac:dyDescent="0.15">
      <c r="A71" s="72" t="s">
        <v>198</v>
      </c>
      <c r="B71" s="174"/>
      <c r="C71" s="78">
        <v>4</v>
      </c>
      <c r="D71" s="79">
        <v>46097</v>
      </c>
      <c r="E71" s="71">
        <v>0.66666666666666663</v>
      </c>
      <c r="F71" s="79">
        <v>46097</v>
      </c>
      <c r="G71" s="71">
        <v>0.67013888888888884</v>
      </c>
      <c r="H71" s="124">
        <f t="shared" si="2"/>
        <v>3.4722222262644209E-3</v>
      </c>
      <c r="I71" s="125"/>
      <c r="J71" s="96">
        <f t="shared" si="3"/>
        <v>3.4722222262644209E-3</v>
      </c>
      <c r="K71" s="75"/>
      <c r="L71" s="235"/>
    </row>
    <row r="72" spans="1:12" x14ac:dyDescent="0.15">
      <c r="A72" s="186" t="s">
        <v>199</v>
      </c>
      <c r="B72" s="177"/>
      <c r="C72" s="78">
        <v>346</v>
      </c>
      <c r="D72" s="79">
        <v>46097</v>
      </c>
      <c r="E72" s="71">
        <v>0.67013888888888884</v>
      </c>
      <c r="F72" s="79">
        <v>46097</v>
      </c>
      <c r="G72" s="71">
        <v>0.78125</v>
      </c>
      <c r="H72" s="124">
        <f t="shared" si="2"/>
        <v>0.11111111110949423</v>
      </c>
      <c r="I72" s="125"/>
      <c r="J72" s="96">
        <f t="shared" si="3"/>
        <v>0.11111111110949423</v>
      </c>
      <c r="K72" s="195"/>
      <c r="L72" s="235"/>
    </row>
    <row r="73" spans="1:12" ht="39.5" customHeight="1" x14ac:dyDescent="0.15">
      <c r="A73" s="73" t="s">
        <v>200</v>
      </c>
      <c r="B73" s="174"/>
      <c r="C73" s="78">
        <v>4</v>
      </c>
      <c r="D73" s="79">
        <v>46097</v>
      </c>
      <c r="E73" s="71">
        <v>0.78125</v>
      </c>
      <c r="F73" s="79">
        <v>46097</v>
      </c>
      <c r="G73" s="71">
        <v>0.78472222222222221</v>
      </c>
      <c r="H73" s="124">
        <f t="shared" si="2"/>
        <v>3.4722222189884633E-3</v>
      </c>
      <c r="I73" s="125"/>
      <c r="J73" s="96">
        <f t="shared" si="3"/>
        <v>3.4722222189884633E-3</v>
      </c>
      <c r="K73" s="75"/>
      <c r="L73" s="235"/>
    </row>
    <row r="74" spans="1:12" ht="26.5" hidden="1" customHeight="1" x14ac:dyDescent="0.15">
      <c r="A74" s="73" t="s">
        <v>201</v>
      </c>
      <c r="B74" s="174"/>
      <c r="C74" s="78">
        <v>4</v>
      </c>
      <c r="D74" s="79">
        <v>46097</v>
      </c>
      <c r="E74" s="71"/>
      <c r="F74" s="79">
        <v>46097</v>
      </c>
      <c r="G74" s="71"/>
      <c r="H74" s="124">
        <f t="shared" si="2"/>
        <v>0</v>
      </c>
      <c r="I74" s="125"/>
      <c r="J74" s="96">
        <f t="shared" si="3"/>
        <v>0</v>
      </c>
      <c r="K74" s="75"/>
      <c r="L74" s="235"/>
    </row>
    <row r="75" spans="1:12" ht="52.75" hidden="1" customHeight="1" x14ac:dyDescent="0.15">
      <c r="A75" s="73" t="s">
        <v>202</v>
      </c>
      <c r="B75" s="174"/>
      <c r="C75" s="78">
        <v>4</v>
      </c>
      <c r="D75" s="79">
        <v>46097</v>
      </c>
      <c r="E75" s="71"/>
      <c r="F75" s="79">
        <v>46097</v>
      </c>
      <c r="G75" s="71"/>
      <c r="H75" s="124">
        <f t="shared" si="2"/>
        <v>0</v>
      </c>
      <c r="I75" s="125"/>
      <c r="J75" s="96">
        <f t="shared" si="3"/>
        <v>0</v>
      </c>
      <c r="K75" s="75"/>
      <c r="L75" s="235"/>
    </row>
    <row r="76" spans="1:12" ht="39.5" customHeight="1" x14ac:dyDescent="0.15">
      <c r="A76" s="76" t="s">
        <v>203</v>
      </c>
      <c r="B76" s="174"/>
      <c r="C76" s="78">
        <v>4</v>
      </c>
      <c r="D76" s="79">
        <v>46097</v>
      </c>
      <c r="E76" s="71">
        <v>0.78472222222222221</v>
      </c>
      <c r="F76" s="79">
        <v>46097</v>
      </c>
      <c r="G76" s="71">
        <v>0.78819444444444442</v>
      </c>
      <c r="H76" s="124">
        <f t="shared" si="2"/>
        <v>3.4722222262644209E-3</v>
      </c>
      <c r="I76" s="125"/>
      <c r="J76" s="96">
        <f t="shared" si="3"/>
        <v>3.4722222262644209E-3</v>
      </c>
      <c r="K76" s="75" t="s">
        <v>204</v>
      </c>
      <c r="L76" s="235"/>
    </row>
    <row r="77" spans="1:12" ht="39.5" hidden="1" customHeight="1" x14ac:dyDescent="0.15">
      <c r="A77" s="73" t="s">
        <v>205</v>
      </c>
      <c r="B77" s="174"/>
      <c r="C77" s="78">
        <v>4</v>
      </c>
      <c r="D77" s="79">
        <v>46097</v>
      </c>
      <c r="E77" s="71"/>
      <c r="F77" s="79">
        <v>46097</v>
      </c>
      <c r="G77" s="71"/>
      <c r="H77" s="124">
        <f t="shared" si="2"/>
        <v>0</v>
      </c>
      <c r="I77" s="125"/>
      <c r="J77" s="96">
        <f t="shared" si="3"/>
        <v>0</v>
      </c>
      <c r="K77" s="75"/>
      <c r="L77" s="235"/>
    </row>
    <row r="78" spans="1:12" ht="52.75" customHeight="1" x14ac:dyDescent="0.15">
      <c r="A78" s="76" t="s">
        <v>206</v>
      </c>
      <c r="B78" s="174"/>
      <c r="C78" s="78">
        <v>4</v>
      </c>
      <c r="D78" s="79">
        <v>46097</v>
      </c>
      <c r="E78" s="71"/>
      <c r="F78" s="79">
        <v>46097</v>
      </c>
      <c r="G78" s="71"/>
      <c r="H78" s="124">
        <f t="shared" si="2"/>
        <v>0</v>
      </c>
      <c r="I78" s="125"/>
      <c r="J78" s="96">
        <f t="shared" si="3"/>
        <v>0</v>
      </c>
      <c r="K78" s="75"/>
      <c r="L78" s="235"/>
    </row>
    <row r="79" spans="1:12" ht="26.5" customHeight="1" x14ac:dyDescent="0.15">
      <c r="A79" s="73" t="s">
        <v>207</v>
      </c>
      <c r="B79" s="174"/>
      <c r="C79" s="78">
        <v>5</v>
      </c>
      <c r="D79" s="79">
        <v>46097</v>
      </c>
      <c r="E79" s="71">
        <v>0.79166666666666663</v>
      </c>
      <c r="F79" s="79">
        <v>46097</v>
      </c>
      <c r="G79" s="71">
        <v>0.83333333333333337</v>
      </c>
      <c r="H79" s="124">
        <f t="shared" si="2"/>
        <v>4.1666666671517305E-2</v>
      </c>
      <c r="I79" s="125"/>
      <c r="J79" s="96">
        <f t="shared" si="3"/>
        <v>4.1666666671517305E-2</v>
      </c>
      <c r="K79" s="74"/>
      <c r="L79" s="235"/>
    </row>
    <row r="80" spans="1:12" ht="39.5" hidden="1" customHeight="1" x14ac:dyDescent="0.15">
      <c r="A80" s="73" t="s">
        <v>208</v>
      </c>
      <c r="B80" s="174"/>
      <c r="C80" s="78">
        <v>4</v>
      </c>
      <c r="D80" s="79"/>
      <c r="E80" s="71"/>
      <c r="F80" s="79"/>
      <c r="G80" s="71"/>
      <c r="H80" s="124">
        <f t="shared" si="2"/>
        <v>0</v>
      </c>
      <c r="I80" s="125"/>
      <c r="J80" s="96">
        <f t="shared" si="3"/>
        <v>0</v>
      </c>
      <c r="K80" s="74"/>
      <c r="L80" s="165"/>
    </row>
    <row r="81" spans="1:12" ht="39.5" hidden="1" customHeight="1" x14ac:dyDescent="0.15">
      <c r="A81" s="73" t="s">
        <v>209</v>
      </c>
      <c r="B81" s="174"/>
      <c r="C81" s="78">
        <v>4</v>
      </c>
      <c r="D81" s="79"/>
      <c r="E81" s="71"/>
      <c r="F81" s="79"/>
      <c r="G81" s="71"/>
      <c r="H81" s="124">
        <f t="shared" si="2"/>
        <v>0</v>
      </c>
      <c r="I81" s="125"/>
      <c r="J81" s="96">
        <f t="shared" si="3"/>
        <v>0</v>
      </c>
      <c r="K81" s="74"/>
      <c r="L81" s="165"/>
    </row>
    <row r="82" spans="1:12" ht="14" hidden="1" x14ac:dyDescent="0.15">
      <c r="A82" s="73" t="s">
        <v>210</v>
      </c>
      <c r="B82" s="174"/>
      <c r="C82" s="78">
        <v>4</v>
      </c>
      <c r="D82" s="79"/>
      <c r="E82" s="71"/>
      <c r="F82" s="79"/>
      <c r="G82" s="71"/>
      <c r="H82" s="124">
        <f t="shared" si="2"/>
        <v>0</v>
      </c>
      <c r="I82" s="125"/>
      <c r="J82" s="96">
        <f t="shared" si="3"/>
        <v>0</v>
      </c>
      <c r="K82" s="74"/>
      <c r="L82" s="165"/>
    </row>
    <row r="83" spans="1:12" ht="12.75" customHeight="1" x14ac:dyDescent="0.15">
      <c r="A83" s="56" t="s">
        <v>211</v>
      </c>
      <c r="B83" s="175"/>
      <c r="C83" s="99" t="s">
        <v>13</v>
      </c>
      <c r="D83" s="65"/>
      <c r="E83" s="65"/>
      <c r="F83" s="66"/>
      <c r="G83" s="67"/>
      <c r="H83" s="60">
        <f>SUM(H84:H137)</f>
        <v>0.34027777778101154</v>
      </c>
      <c r="I83" s="102"/>
      <c r="J83" s="60">
        <f>SUM(J84:J137)</f>
        <v>0.34027777778101154</v>
      </c>
      <c r="K83" s="68"/>
      <c r="L83" s="237" t="s">
        <v>212</v>
      </c>
    </row>
    <row r="84" spans="1:12" ht="14" x14ac:dyDescent="0.15">
      <c r="A84" s="73" t="s">
        <v>213</v>
      </c>
      <c r="B84" s="174"/>
      <c r="C84" s="91">
        <v>4</v>
      </c>
      <c r="D84" s="79"/>
      <c r="E84" s="71"/>
      <c r="F84" s="79"/>
      <c r="G84" s="71"/>
      <c r="H84" s="124">
        <f t="shared" ref="H84:H115" si="4">IF(COUNTBLANK(C84:G84)&gt;0,0,IF(C84=3,0,IF(COUNTBLANK(C84:G84)=0,(F84+G84)-(D84+E84))))</f>
        <v>0</v>
      </c>
      <c r="I84" s="125"/>
      <c r="J84" s="96">
        <f t="shared" ref="J84:J115" si="5">H84*(1-I84)</f>
        <v>0</v>
      </c>
      <c r="K84" s="139"/>
      <c r="L84" s="235"/>
    </row>
    <row r="85" spans="1:12" ht="14" x14ac:dyDescent="0.15">
      <c r="A85" s="73" t="s">
        <v>214</v>
      </c>
      <c r="B85" s="174"/>
      <c r="C85" s="91">
        <v>4</v>
      </c>
      <c r="D85" s="79"/>
      <c r="E85" s="71"/>
      <c r="F85" s="79"/>
      <c r="G85" s="71"/>
      <c r="H85" s="124">
        <f t="shared" si="4"/>
        <v>0</v>
      </c>
      <c r="I85" s="125"/>
      <c r="J85" s="96">
        <f t="shared" si="5"/>
        <v>0</v>
      </c>
      <c r="K85" s="139"/>
      <c r="L85" s="235"/>
    </row>
    <row r="86" spans="1:12" ht="52.75" customHeight="1" x14ac:dyDescent="0.15">
      <c r="A86" s="73" t="s">
        <v>215</v>
      </c>
      <c r="B86" s="174"/>
      <c r="C86" s="91">
        <v>360</v>
      </c>
      <c r="D86" s="79">
        <v>46097</v>
      </c>
      <c r="E86" s="71">
        <v>0.83333333333333337</v>
      </c>
      <c r="F86" s="79">
        <v>46097</v>
      </c>
      <c r="G86" s="71">
        <v>0.83680555555555558</v>
      </c>
      <c r="H86" s="124">
        <f t="shared" si="4"/>
        <v>3.4722222189884633E-3</v>
      </c>
      <c r="I86" s="125"/>
      <c r="J86" s="96">
        <f t="shared" si="5"/>
        <v>3.4722222189884633E-3</v>
      </c>
      <c r="K86" s="139"/>
      <c r="L86" s="235"/>
    </row>
    <row r="87" spans="1:12" ht="52.75" customHeight="1" x14ac:dyDescent="0.15">
      <c r="A87" s="73" t="s">
        <v>216</v>
      </c>
      <c r="B87" s="174"/>
      <c r="C87" s="91">
        <v>360</v>
      </c>
      <c r="D87" s="79">
        <v>46097</v>
      </c>
      <c r="E87" s="71">
        <v>0.83680555555555558</v>
      </c>
      <c r="F87" s="79">
        <v>46097</v>
      </c>
      <c r="G87" s="71">
        <v>0.84027777777777779</v>
      </c>
      <c r="H87" s="124">
        <f t="shared" si="4"/>
        <v>3.4722222262644209E-3</v>
      </c>
      <c r="I87" s="125"/>
      <c r="J87" s="96">
        <f t="shared" si="5"/>
        <v>3.4722222262644209E-3</v>
      </c>
      <c r="K87" s="168"/>
      <c r="L87" s="235"/>
    </row>
    <row r="88" spans="1:12" ht="14" x14ac:dyDescent="0.15">
      <c r="A88" s="73" t="s">
        <v>217</v>
      </c>
      <c r="B88" s="174"/>
      <c r="C88" s="91">
        <v>360</v>
      </c>
      <c r="D88" s="79">
        <v>46097</v>
      </c>
      <c r="E88" s="71">
        <v>0.84027777777777779</v>
      </c>
      <c r="F88" s="79">
        <v>46097</v>
      </c>
      <c r="G88" s="71">
        <v>0.84375</v>
      </c>
      <c r="H88" s="124">
        <f t="shared" si="4"/>
        <v>3.4722222189884633E-3</v>
      </c>
      <c r="I88" s="125"/>
      <c r="J88" s="96">
        <f t="shared" si="5"/>
        <v>3.4722222189884633E-3</v>
      </c>
      <c r="K88" s="169"/>
      <c r="L88" s="235"/>
    </row>
    <row r="89" spans="1:12" ht="14" x14ac:dyDescent="0.15">
      <c r="A89" s="73" t="s">
        <v>218</v>
      </c>
      <c r="B89" s="174"/>
      <c r="C89" s="91">
        <v>360</v>
      </c>
      <c r="D89" s="79">
        <v>46097</v>
      </c>
      <c r="E89" s="71">
        <v>0.84375</v>
      </c>
      <c r="F89" s="79">
        <v>46097</v>
      </c>
      <c r="G89" s="71">
        <v>0.84722222222222221</v>
      </c>
      <c r="H89" s="124">
        <f t="shared" si="4"/>
        <v>3.4722222189884633E-3</v>
      </c>
      <c r="I89" s="125"/>
      <c r="J89" s="96">
        <f t="shared" si="5"/>
        <v>3.4722222189884633E-3</v>
      </c>
      <c r="K89" s="169"/>
      <c r="L89" s="235"/>
    </row>
    <row r="90" spans="1:12" ht="39.5" customHeight="1" x14ac:dyDescent="0.15">
      <c r="A90" s="73" t="s">
        <v>219</v>
      </c>
      <c r="B90" s="174"/>
      <c r="C90" s="91">
        <v>360</v>
      </c>
      <c r="D90" s="79">
        <v>46097</v>
      </c>
      <c r="E90" s="71">
        <v>0.85069444444444442</v>
      </c>
      <c r="F90" s="79">
        <v>46097</v>
      </c>
      <c r="G90" s="71">
        <v>0.85416666666666663</v>
      </c>
      <c r="H90" s="124">
        <f t="shared" si="4"/>
        <v>3.4722222189884633E-3</v>
      </c>
      <c r="I90" s="125"/>
      <c r="J90" s="96">
        <f t="shared" si="5"/>
        <v>3.4722222189884633E-3</v>
      </c>
      <c r="K90" s="170"/>
      <c r="L90" s="235"/>
    </row>
    <row r="91" spans="1:12" ht="14" x14ac:dyDescent="0.15">
      <c r="A91" s="73" t="s">
        <v>220</v>
      </c>
      <c r="B91" s="174"/>
      <c r="C91" s="91">
        <v>360</v>
      </c>
      <c r="D91" s="79">
        <v>46097</v>
      </c>
      <c r="E91" s="71">
        <v>0.85416666666666663</v>
      </c>
      <c r="F91" s="79">
        <v>46097</v>
      </c>
      <c r="G91" s="71">
        <v>0.85763888888888884</v>
      </c>
      <c r="H91" s="124">
        <f t="shared" si="4"/>
        <v>3.4722222262644209E-3</v>
      </c>
      <c r="I91" s="125"/>
      <c r="J91" s="96">
        <f t="shared" si="5"/>
        <v>3.4722222262644209E-3</v>
      </c>
      <c r="K91" s="170"/>
      <c r="L91" s="235"/>
    </row>
    <row r="92" spans="1:12" ht="52.75" customHeight="1" x14ac:dyDescent="0.15">
      <c r="A92" s="73" t="s">
        <v>221</v>
      </c>
      <c r="B92" s="174"/>
      <c r="C92" s="91">
        <v>360</v>
      </c>
      <c r="D92" s="79">
        <v>46097</v>
      </c>
      <c r="E92" s="71">
        <v>0.85763888888888884</v>
      </c>
      <c r="F92" s="79">
        <v>46097</v>
      </c>
      <c r="G92" s="71">
        <v>0.86111111111111116</v>
      </c>
      <c r="H92" s="124">
        <f t="shared" si="4"/>
        <v>3.4722222189884633E-3</v>
      </c>
      <c r="I92" s="125"/>
      <c r="J92" s="96">
        <f t="shared" si="5"/>
        <v>3.4722222189884633E-3</v>
      </c>
      <c r="K92" s="139"/>
      <c r="L92" s="235"/>
    </row>
    <row r="93" spans="1:12" ht="14" x14ac:dyDescent="0.15">
      <c r="A93" s="73" t="s">
        <v>222</v>
      </c>
      <c r="B93" s="174"/>
      <c r="C93" s="91">
        <v>360</v>
      </c>
      <c r="D93" s="79">
        <v>46097</v>
      </c>
      <c r="E93" s="71">
        <v>0.88194444444444442</v>
      </c>
      <c r="F93" s="79">
        <v>46097</v>
      </c>
      <c r="G93" s="71">
        <v>0.94444444444444442</v>
      </c>
      <c r="H93" s="124">
        <f t="shared" si="4"/>
        <v>6.25E-2</v>
      </c>
      <c r="I93" s="125"/>
      <c r="J93" s="96">
        <f t="shared" si="5"/>
        <v>6.25E-2</v>
      </c>
      <c r="K93" s="171"/>
      <c r="L93" s="235"/>
    </row>
    <row r="94" spans="1:12" ht="26.5" customHeight="1" x14ac:dyDescent="0.15">
      <c r="A94" s="73" t="s">
        <v>223</v>
      </c>
      <c r="B94" s="174"/>
      <c r="C94" s="91">
        <v>360</v>
      </c>
      <c r="D94" s="79">
        <v>46098</v>
      </c>
      <c r="E94" s="71">
        <v>0.41666666666666669</v>
      </c>
      <c r="F94" s="79">
        <v>46098</v>
      </c>
      <c r="G94" s="71">
        <v>0.4201388888888889</v>
      </c>
      <c r="H94" s="124">
        <f t="shared" si="4"/>
        <v>3.4722222262644209E-3</v>
      </c>
      <c r="I94" s="125"/>
      <c r="J94" s="96">
        <f t="shared" si="5"/>
        <v>3.4722222262644209E-3</v>
      </c>
      <c r="K94" s="169"/>
      <c r="L94" s="235"/>
    </row>
    <row r="95" spans="1:12" ht="14" x14ac:dyDescent="0.15">
      <c r="A95" s="73" t="s">
        <v>224</v>
      </c>
      <c r="B95" s="174"/>
      <c r="C95" s="91">
        <v>360</v>
      </c>
      <c r="D95" s="79">
        <v>46098</v>
      </c>
      <c r="E95" s="71">
        <v>0.4201388888888889</v>
      </c>
      <c r="F95" s="79">
        <v>46098</v>
      </c>
      <c r="G95" s="71">
        <v>0.4236111111111111</v>
      </c>
      <c r="H95" s="124">
        <f t="shared" si="4"/>
        <v>3.4722222189884633E-3</v>
      </c>
      <c r="I95" s="125"/>
      <c r="J95" s="96">
        <f t="shared" si="5"/>
        <v>3.4722222189884633E-3</v>
      </c>
      <c r="K95" s="170"/>
      <c r="L95" s="235"/>
    </row>
    <row r="96" spans="1:12" ht="39.5" customHeight="1" x14ac:dyDescent="0.15">
      <c r="A96" s="73" t="s">
        <v>225</v>
      </c>
      <c r="B96" s="174"/>
      <c r="C96" s="78">
        <v>4</v>
      </c>
      <c r="D96" s="79">
        <v>46098</v>
      </c>
      <c r="E96" s="71">
        <v>0.4236111111111111</v>
      </c>
      <c r="F96" s="79">
        <v>46098</v>
      </c>
      <c r="G96" s="71">
        <v>0.43055555555555558</v>
      </c>
      <c r="H96" s="124">
        <f t="shared" si="4"/>
        <v>6.9444444452528842E-3</v>
      </c>
      <c r="I96" s="125"/>
      <c r="J96" s="96">
        <f t="shared" si="5"/>
        <v>6.9444444452528842E-3</v>
      </c>
      <c r="K96" s="74" t="s">
        <v>226</v>
      </c>
      <c r="L96" s="235"/>
    </row>
    <row r="97" spans="1:12" ht="14" x14ac:dyDescent="0.15">
      <c r="A97" s="128" t="s">
        <v>227</v>
      </c>
      <c r="B97" s="179"/>
      <c r="C97" s="91">
        <v>4</v>
      </c>
      <c r="D97" s="79">
        <v>46098</v>
      </c>
      <c r="E97" s="71">
        <v>0.43055555555555558</v>
      </c>
      <c r="F97" s="79">
        <v>46098</v>
      </c>
      <c r="G97" s="71">
        <v>0.43402777777777779</v>
      </c>
      <c r="H97" s="124">
        <f t="shared" si="4"/>
        <v>3.4722222262644209E-3</v>
      </c>
      <c r="I97" s="125"/>
      <c r="J97" s="96">
        <f t="shared" si="5"/>
        <v>3.4722222262644209E-3</v>
      </c>
      <c r="K97" s="75"/>
      <c r="L97" s="235"/>
    </row>
    <row r="98" spans="1:12" ht="52.75" customHeight="1" x14ac:dyDescent="0.15">
      <c r="A98" s="73" t="s">
        <v>228</v>
      </c>
      <c r="B98" s="174"/>
      <c r="C98" s="78">
        <v>4</v>
      </c>
      <c r="D98" s="79">
        <v>46098</v>
      </c>
      <c r="E98" s="71">
        <v>0.43402777777777779</v>
      </c>
      <c r="F98" s="79">
        <v>46098</v>
      </c>
      <c r="G98" s="71">
        <v>0.4375</v>
      </c>
      <c r="H98" s="124">
        <f t="shared" si="4"/>
        <v>3.4722222189884633E-3</v>
      </c>
      <c r="I98" s="125"/>
      <c r="J98" s="96">
        <f t="shared" si="5"/>
        <v>3.4722222189884633E-3</v>
      </c>
      <c r="K98" s="139"/>
      <c r="L98" s="235"/>
    </row>
    <row r="99" spans="1:12" ht="14" hidden="1" x14ac:dyDescent="0.15">
      <c r="A99" s="73" t="s">
        <v>229</v>
      </c>
      <c r="B99" s="174"/>
      <c r="C99" s="78">
        <v>4</v>
      </c>
      <c r="D99" s="79">
        <v>46098</v>
      </c>
      <c r="E99" s="71"/>
      <c r="F99" s="79">
        <v>46098</v>
      </c>
      <c r="G99" s="71"/>
      <c r="H99" s="124">
        <f t="shared" si="4"/>
        <v>0</v>
      </c>
      <c r="I99" s="125"/>
      <c r="J99" s="96">
        <f t="shared" si="5"/>
        <v>0</v>
      </c>
      <c r="K99" s="139"/>
      <c r="L99" s="235"/>
    </row>
    <row r="100" spans="1:12" ht="14" hidden="1" x14ac:dyDescent="0.15">
      <c r="A100" s="73" t="s">
        <v>230</v>
      </c>
      <c r="B100" s="174"/>
      <c r="C100" s="91">
        <v>4</v>
      </c>
      <c r="D100" s="79">
        <v>46098</v>
      </c>
      <c r="E100" s="71"/>
      <c r="F100" s="79">
        <v>46098</v>
      </c>
      <c r="G100" s="71"/>
      <c r="H100" s="124">
        <f t="shared" si="4"/>
        <v>0</v>
      </c>
      <c r="I100" s="125"/>
      <c r="J100" s="96">
        <f t="shared" si="5"/>
        <v>0</v>
      </c>
      <c r="K100" s="139"/>
      <c r="L100" s="235"/>
    </row>
    <row r="101" spans="1:12" ht="39.5" hidden="1" customHeight="1" x14ac:dyDescent="0.15">
      <c r="A101" s="76" t="s">
        <v>231</v>
      </c>
      <c r="B101" s="177"/>
      <c r="C101" s="91">
        <v>4</v>
      </c>
      <c r="D101" s="79">
        <v>46098</v>
      </c>
      <c r="E101" s="71"/>
      <c r="F101" s="79">
        <v>46098</v>
      </c>
      <c r="G101" s="71"/>
      <c r="H101" s="124">
        <f t="shared" si="4"/>
        <v>0</v>
      </c>
      <c r="I101" s="125"/>
      <c r="J101" s="96">
        <f t="shared" si="5"/>
        <v>0</v>
      </c>
      <c r="K101" s="139"/>
      <c r="L101" s="235"/>
    </row>
    <row r="102" spans="1:12" ht="14" hidden="1" x14ac:dyDescent="0.15">
      <c r="A102" s="73" t="s">
        <v>232</v>
      </c>
      <c r="B102" s="174"/>
      <c r="C102" s="91">
        <v>4</v>
      </c>
      <c r="D102" s="79">
        <v>46098</v>
      </c>
      <c r="E102" s="71"/>
      <c r="F102" s="79">
        <v>46098</v>
      </c>
      <c r="G102" s="71"/>
      <c r="H102" s="124">
        <f t="shared" si="4"/>
        <v>0</v>
      </c>
      <c r="I102" s="125"/>
      <c r="J102" s="96">
        <f t="shared" si="5"/>
        <v>0</v>
      </c>
      <c r="K102" s="75"/>
      <c r="L102" s="235"/>
    </row>
    <row r="103" spans="1:12" ht="52.75" hidden="1" customHeight="1" x14ac:dyDescent="0.15">
      <c r="A103" s="147" t="s">
        <v>153</v>
      </c>
      <c r="B103" s="178"/>
      <c r="C103" s="78">
        <v>4</v>
      </c>
      <c r="D103" s="79">
        <v>46098</v>
      </c>
      <c r="E103" s="71"/>
      <c r="F103" s="79">
        <v>46098</v>
      </c>
      <c r="G103" s="71"/>
      <c r="H103" s="124">
        <f t="shared" si="4"/>
        <v>0</v>
      </c>
      <c r="I103" s="125"/>
      <c r="J103" s="96">
        <f t="shared" si="5"/>
        <v>0</v>
      </c>
      <c r="K103" s="123" t="s">
        <v>233</v>
      </c>
      <c r="L103" s="235"/>
    </row>
    <row r="104" spans="1:12" ht="14" hidden="1" x14ac:dyDescent="0.15">
      <c r="A104" s="73" t="s">
        <v>234</v>
      </c>
      <c r="B104" s="174"/>
      <c r="C104" s="91">
        <v>4</v>
      </c>
      <c r="D104" s="79">
        <v>46098</v>
      </c>
      <c r="E104" s="71"/>
      <c r="F104" s="79">
        <v>46098</v>
      </c>
      <c r="G104" s="71"/>
      <c r="H104" s="124">
        <f t="shared" si="4"/>
        <v>0</v>
      </c>
      <c r="I104" s="125"/>
      <c r="J104" s="96">
        <f t="shared" si="5"/>
        <v>0</v>
      </c>
      <c r="K104" s="139"/>
      <c r="L104" s="235"/>
    </row>
    <row r="105" spans="1:12" ht="66" hidden="1" customHeight="1" x14ac:dyDescent="0.15">
      <c r="A105" s="73" t="s">
        <v>235</v>
      </c>
      <c r="B105" s="174"/>
      <c r="C105" s="91">
        <v>4</v>
      </c>
      <c r="D105" s="79">
        <v>46098</v>
      </c>
      <c r="E105" s="71"/>
      <c r="F105" s="79">
        <v>46098</v>
      </c>
      <c r="G105" s="71"/>
      <c r="H105" s="124">
        <f t="shared" si="4"/>
        <v>0</v>
      </c>
      <c r="I105" s="125"/>
      <c r="J105" s="96">
        <f t="shared" si="5"/>
        <v>0</v>
      </c>
      <c r="K105" s="75" t="s">
        <v>236</v>
      </c>
      <c r="L105" s="235"/>
    </row>
    <row r="106" spans="1:12" ht="14" hidden="1" x14ac:dyDescent="0.15">
      <c r="A106" s="73" t="s">
        <v>237</v>
      </c>
      <c r="B106" s="174"/>
      <c r="C106" s="91">
        <v>4</v>
      </c>
      <c r="D106" s="79">
        <v>46098</v>
      </c>
      <c r="E106" s="71"/>
      <c r="F106" s="79">
        <v>46098</v>
      </c>
      <c r="G106" s="71"/>
      <c r="H106" s="124">
        <f t="shared" si="4"/>
        <v>0</v>
      </c>
      <c r="I106" s="125"/>
      <c r="J106" s="96">
        <f t="shared" si="5"/>
        <v>0</v>
      </c>
      <c r="K106" s="139"/>
      <c r="L106" s="235"/>
    </row>
    <row r="107" spans="1:12" ht="14" x14ac:dyDescent="0.15">
      <c r="A107" s="73" t="s">
        <v>238</v>
      </c>
      <c r="B107" s="174"/>
      <c r="C107" s="78">
        <v>4</v>
      </c>
      <c r="D107" s="79">
        <v>46098</v>
      </c>
      <c r="E107" s="71">
        <v>0.4375</v>
      </c>
      <c r="F107" s="79">
        <v>46098</v>
      </c>
      <c r="G107" s="71">
        <v>0.44097222222222221</v>
      </c>
      <c r="H107" s="124">
        <f t="shared" si="4"/>
        <v>3.4722222189884633E-3</v>
      </c>
      <c r="I107" s="125"/>
      <c r="J107" s="96">
        <f t="shared" si="5"/>
        <v>3.4722222189884633E-3</v>
      </c>
      <c r="K107" s="139"/>
      <c r="L107" s="235"/>
    </row>
    <row r="108" spans="1:12" ht="14" x14ac:dyDescent="0.15">
      <c r="A108" s="187" t="s">
        <v>239</v>
      </c>
      <c r="B108" s="188" t="s">
        <v>181</v>
      </c>
      <c r="C108" s="189">
        <v>4</v>
      </c>
      <c r="D108" s="79">
        <v>46098</v>
      </c>
      <c r="E108" s="71">
        <v>0.44097222222222221</v>
      </c>
      <c r="F108" s="79">
        <v>46098</v>
      </c>
      <c r="G108" s="71">
        <v>0.44444444444444442</v>
      </c>
      <c r="H108" s="190">
        <f t="shared" si="4"/>
        <v>3.4722222262644209E-3</v>
      </c>
      <c r="I108" s="191"/>
      <c r="J108" s="192">
        <f t="shared" si="5"/>
        <v>3.4722222262644209E-3</v>
      </c>
      <c r="K108" s="193"/>
      <c r="L108" s="235"/>
    </row>
    <row r="109" spans="1:12" ht="39.5" customHeight="1" x14ac:dyDescent="0.15">
      <c r="A109" s="187" t="s">
        <v>240</v>
      </c>
      <c r="B109" s="188" t="s">
        <v>181</v>
      </c>
      <c r="C109" s="189">
        <v>4</v>
      </c>
      <c r="D109" s="79">
        <v>46098</v>
      </c>
      <c r="E109" s="71">
        <v>0.4513888888888889</v>
      </c>
      <c r="F109" s="79">
        <v>46098</v>
      </c>
      <c r="G109" s="71">
        <v>0.4548611111111111</v>
      </c>
      <c r="H109" s="190">
        <f t="shared" si="4"/>
        <v>3.4722222189884633E-3</v>
      </c>
      <c r="I109" s="191"/>
      <c r="J109" s="192">
        <f t="shared" si="5"/>
        <v>3.4722222189884633E-3</v>
      </c>
      <c r="K109" s="193"/>
      <c r="L109" s="235"/>
    </row>
    <row r="110" spans="1:12" ht="66" customHeight="1" x14ac:dyDescent="0.15">
      <c r="A110" s="187" t="s">
        <v>241</v>
      </c>
      <c r="B110" s="188" t="s">
        <v>181</v>
      </c>
      <c r="C110" s="189">
        <v>4</v>
      </c>
      <c r="D110" s="79">
        <v>46098</v>
      </c>
      <c r="E110" s="71">
        <v>0.4548611111111111</v>
      </c>
      <c r="F110" s="79">
        <v>46098</v>
      </c>
      <c r="G110" s="71">
        <v>0.45833333333333331</v>
      </c>
      <c r="H110" s="190">
        <f t="shared" si="4"/>
        <v>3.4722222262644209E-3</v>
      </c>
      <c r="I110" s="191"/>
      <c r="J110" s="192">
        <f t="shared" si="5"/>
        <v>3.4722222262644209E-3</v>
      </c>
      <c r="K110" s="193"/>
      <c r="L110" s="235"/>
    </row>
    <row r="111" spans="1:12" ht="39.5" customHeight="1" x14ac:dyDescent="0.15">
      <c r="A111" s="187" t="s">
        <v>242</v>
      </c>
      <c r="B111" s="188" t="s">
        <v>181</v>
      </c>
      <c r="C111" s="189">
        <v>350</v>
      </c>
      <c r="D111" s="79">
        <v>46098</v>
      </c>
      <c r="E111" s="71">
        <v>0.45833333333333331</v>
      </c>
      <c r="F111" s="79">
        <v>46098</v>
      </c>
      <c r="G111" s="71">
        <v>0.46180555555555558</v>
      </c>
      <c r="H111" s="190">
        <f t="shared" si="4"/>
        <v>3.4722222189884633E-3</v>
      </c>
      <c r="I111" s="191"/>
      <c r="J111" s="192">
        <f t="shared" si="5"/>
        <v>3.4722222189884633E-3</v>
      </c>
      <c r="K111" s="193"/>
      <c r="L111" s="235"/>
    </row>
    <row r="112" spans="1:12" ht="26.5" customHeight="1" x14ac:dyDescent="0.15">
      <c r="A112" s="187" t="s">
        <v>243</v>
      </c>
      <c r="B112" s="188" t="s">
        <v>181</v>
      </c>
      <c r="C112" s="189">
        <v>350</v>
      </c>
      <c r="D112" s="79">
        <v>46098</v>
      </c>
      <c r="E112" s="71">
        <v>0.47222222222222221</v>
      </c>
      <c r="F112" s="79">
        <v>46098</v>
      </c>
      <c r="G112" s="71">
        <v>0.55555555555555558</v>
      </c>
      <c r="H112" s="190">
        <f t="shared" si="4"/>
        <v>8.3333333335758653E-2</v>
      </c>
      <c r="I112" s="191"/>
      <c r="J112" s="192">
        <f t="shared" si="5"/>
        <v>8.3333333335758653E-2</v>
      </c>
      <c r="K112" s="193"/>
      <c r="L112" s="235"/>
    </row>
    <row r="113" spans="1:12" ht="26.5" customHeight="1" x14ac:dyDescent="0.15">
      <c r="A113" s="187" t="s">
        <v>244</v>
      </c>
      <c r="B113" s="188" t="s">
        <v>181</v>
      </c>
      <c r="C113" s="189">
        <v>350</v>
      </c>
      <c r="D113" s="79">
        <v>46098</v>
      </c>
      <c r="E113" s="71">
        <v>0.5625</v>
      </c>
      <c r="F113" s="79">
        <v>46098</v>
      </c>
      <c r="G113" s="71">
        <v>0.56944444444444442</v>
      </c>
      <c r="H113" s="190">
        <f t="shared" si="4"/>
        <v>6.9444444452528842E-3</v>
      </c>
      <c r="I113" s="191"/>
      <c r="J113" s="192">
        <f t="shared" si="5"/>
        <v>6.9444444452528842E-3</v>
      </c>
      <c r="K113" s="198"/>
      <c r="L113" s="235"/>
    </row>
    <row r="114" spans="1:12" ht="26.5" customHeight="1" x14ac:dyDescent="0.15">
      <c r="A114" s="187" t="s">
        <v>245</v>
      </c>
      <c r="B114" s="188" t="s">
        <v>181</v>
      </c>
      <c r="C114" s="189">
        <v>350</v>
      </c>
      <c r="D114" s="79">
        <v>46098</v>
      </c>
      <c r="E114" s="71">
        <v>0.56944444444444442</v>
      </c>
      <c r="F114" s="79">
        <v>46098</v>
      </c>
      <c r="G114" s="71">
        <v>0.59375</v>
      </c>
      <c r="H114" s="190">
        <f t="shared" si="4"/>
        <v>2.4305555554747116E-2</v>
      </c>
      <c r="I114" s="191"/>
      <c r="J114" s="192">
        <f t="shared" si="5"/>
        <v>2.4305555554747116E-2</v>
      </c>
      <c r="K114" s="193"/>
      <c r="L114" s="235"/>
    </row>
    <row r="115" spans="1:12" ht="26.5" customHeight="1" x14ac:dyDescent="0.15">
      <c r="A115" s="187" t="s">
        <v>246</v>
      </c>
      <c r="B115" s="188" t="s">
        <v>181</v>
      </c>
      <c r="C115" s="189">
        <v>350</v>
      </c>
      <c r="D115" s="79">
        <v>46098</v>
      </c>
      <c r="E115" s="71">
        <v>0.59375</v>
      </c>
      <c r="F115" s="79">
        <v>46098</v>
      </c>
      <c r="G115" s="71">
        <v>0.59722222222222221</v>
      </c>
      <c r="H115" s="190">
        <f t="shared" si="4"/>
        <v>3.4722222189884633E-3</v>
      </c>
      <c r="I115" s="191"/>
      <c r="J115" s="192">
        <f t="shared" si="5"/>
        <v>3.4722222189884633E-3</v>
      </c>
      <c r="K115" s="193"/>
      <c r="L115" s="235"/>
    </row>
    <row r="116" spans="1:12" ht="14" x14ac:dyDescent="0.15">
      <c r="A116" s="72" t="s">
        <v>247</v>
      </c>
      <c r="B116" s="176"/>
      <c r="C116" s="92">
        <v>4</v>
      </c>
      <c r="D116" s="79">
        <v>46098</v>
      </c>
      <c r="E116" s="71">
        <v>0.59722222222222221</v>
      </c>
      <c r="F116" s="79">
        <v>46098</v>
      </c>
      <c r="G116" s="71">
        <v>0.60069444444444442</v>
      </c>
      <c r="H116" s="124">
        <f t="shared" ref="H116:H137" si="6">IF(COUNTBLANK(C116:G116)&gt;0,0,IF(C116=3,0,IF(COUNTBLANK(C116:G116)=0,(F116+G116)-(D116+E116))))</f>
        <v>3.4722222262644209E-3</v>
      </c>
      <c r="I116" s="125"/>
      <c r="J116" s="96">
        <f t="shared" ref="J116:J137" si="7">H116*(1-I116)</f>
        <v>3.4722222262644209E-3</v>
      </c>
      <c r="K116" s="74"/>
      <c r="L116" s="235"/>
    </row>
    <row r="117" spans="1:12" ht="14" x14ac:dyDescent="0.15">
      <c r="A117" s="72" t="s">
        <v>248</v>
      </c>
      <c r="B117" s="176"/>
      <c r="C117" s="92">
        <v>4</v>
      </c>
      <c r="D117" s="79">
        <v>46098</v>
      </c>
      <c r="E117" s="71">
        <v>0.60069444444444442</v>
      </c>
      <c r="F117" s="79">
        <v>46098</v>
      </c>
      <c r="G117" s="71">
        <v>0.60416666666666663</v>
      </c>
      <c r="H117" s="124">
        <f t="shared" si="6"/>
        <v>3.4722222189884633E-3</v>
      </c>
      <c r="I117" s="125"/>
      <c r="J117" s="96">
        <f t="shared" si="7"/>
        <v>3.4722222189884633E-3</v>
      </c>
      <c r="K117" s="74"/>
      <c r="L117" s="235"/>
    </row>
    <row r="118" spans="1:12" ht="14" hidden="1" x14ac:dyDescent="0.15">
      <c r="A118" s="73" t="s">
        <v>249</v>
      </c>
      <c r="B118" s="174"/>
      <c r="C118" s="91">
        <v>4</v>
      </c>
      <c r="D118" s="79">
        <v>46098</v>
      </c>
      <c r="E118" s="71"/>
      <c r="F118" s="79">
        <v>46098</v>
      </c>
      <c r="G118" s="71"/>
      <c r="H118" s="124">
        <f t="shared" si="6"/>
        <v>0</v>
      </c>
      <c r="I118" s="125"/>
      <c r="J118" s="96">
        <f t="shared" si="7"/>
        <v>0</v>
      </c>
      <c r="K118" s="74"/>
      <c r="L118" s="235"/>
    </row>
    <row r="119" spans="1:12" ht="14" hidden="1" x14ac:dyDescent="0.15">
      <c r="A119" s="73" t="s">
        <v>250</v>
      </c>
      <c r="B119" s="174"/>
      <c r="C119" s="91">
        <v>4</v>
      </c>
      <c r="D119" s="79">
        <v>46098</v>
      </c>
      <c r="E119" s="71"/>
      <c r="F119" s="79">
        <v>46098</v>
      </c>
      <c r="G119" s="71"/>
      <c r="H119" s="124">
        <f t="shared" si="6"/>
        <v>0</v>
      </c>
      <c r="I119" s="125"/>
      <c r="J119" s="96">
        <f t="shared" si="7"/>
        <v>0</v>
      </c>
      <c r="K119" s="74"/>
      <c r="L119" s="235"/>
    </row>
    <row r="120" spans="1:12" ht="14" hidden="1" x14ac:dyDescent="0.15">
      <c r="A120" s="73" t="s">
        <v>251</v>
      </c>
      <c r="B120" s="174"/>
      <c r="C120" s="137">
        <v>6</v>
      </c>
      <c r="D120" s="79">
        <v>46098</v>
      </c>
      <c r="E120" s="71"/>
      <c r="F120" s="79">
        <v>46098</v>
      </c>
      <c r="G120" s="71"/>
      <c r="H120" s="124">
        <f t="shared" si="6"/>
        <v>0</v>
      </c>
      <c r="I120" s="125"/>
      <c r="J120" s="96">
        <f t="shared" si="7"/>
        <v>0</v>
      </c>
      <c r="K120" s="74"/>
      <c r="L120" s="235"/>
    </row>
    <row r="121" spans="1:12" ht="14" hidden="1" x14ac:dyDescent="0.15">
      <c r="A121" s="73" t="s">
        <v>252</v>
      </c>
      <c r="B121" s="174"/>
      <c r="C121" s="137">
        <v>4</v>
      </c>
      <c r="D121" s="79">
        <v>46098</v>
      </c>
      <c r="E121" s="71"/>
      <c r="F121" s="79">
        <v>46098</v>
      </c>
      <c r="G121" s="71"/>
      <c r="H121" s="124">
        <f t="shared" si="6"/>
        <v>0</v>
      </c>
      <c r="I121" s="125"/>
      <c r="J121" s="96">
        <f t="shared" si="7"/>
        <v>0</v>
      </c>
      <c r="K121" s="74"/>
      <c r="L121" s="235"/>
    </row>
    <row r="122" spans="1:12" ht="14" hidden="1" x14ac:dyDescent="0.15">
      <c r="A122" s="73" t="s">
        <v>253</v>
      </c>
      <c r="B122" s="174"/>
      <c r="C122" s="137">
        <v>4</v>
      </c>
      <c r="D122" s="79">
        <v>46098</v>
      </c>
      <c r="E122" s="71"/>
      <c r="F122" s="79">
        <v>46098</v>
      </c>
      <c r="G122" s="71"/>
      <c r="H122" s="124">
        <f t="shared" si="6"/>
        <v>0</v>
      </c>
      <c r="I122" s="125"/>
      <c r="J122" s="96">
        <f t="shared" si="7"/>
        <v>0</v>
      </c>
      <c r="K122" s="74"/>
      <c r="L122" s="235"/>
    </row>
    <row r="123" spans="1:12" ht="14" x14ac:dyDescent="0.15">
      <c r="A123" s="73" t="s">
        <v>254</v>
      </c>
      <c r="B123" s="174"/>
      <c r="C123" s="137">
        <v>4</v>
      </c>
      <c r="D123" s="79">
        <v>46098</v>
      </c>
      <c r="E123" s="71">
        <v>0.60416666666666663</v>
      </c>
      <c r="F123" s="79">
        <v>46098</v>
      </c>
      <c r="G123" s="71">
        <v>0.60763888888888884</v>
      </c>
      <c r="H123" s="124">
        <f t="shared" si="6"/>
        <v>3.4722222262644209E-3</v>
      </c>
      <c r="I123" s="125"/>
      <c r="J123" s="96">
        <f t="shared" si="7"/>
        <v>3.4722222262644209E-3</v>
      </c>
      <c r="K123" s="74"/>
      <c r="L123" s="235"/>
    </row>
    <row r="124" spans="1:12" ht="39.5" customHeight="1" x14ac:dyDescent="0.15">
      <c r="A124" s="72" t="s">
        <v>255</v>
      </c>
      <c r="B124" s="176"/>
      <c r="C124" s="92">
        <v>4</v>
      </c>
      <c r="D124" s="79">
        <v>46098</v>
      </c>
      <c r="E124" s="71">
        <v>0.60763888888888884</v>
      </c>
      <c r="F124" s="79">
        <v>46098</v>
      </c>
      <c r="G124" s="71">
        <v>0.61458333333333337</v>
      </c>
      <c r="H124" s="124">
        <f t="shared" si="6"/>
        <v>6.9444444452528842E-3</v>
      </c>
      <c r="I124" s="125"/>
      <c r="J124" s="96">
        <f t="shared" si="7"/>
        <v>6.9444444452528842E-3</v>
      </c>
      <c r="K124" s="74" t="s">
        <v>256</v>
      </c>
      <c r="L124" s="235"/>
    </row>
    <row r="125" spans="1:12" ht="14" x14ac:dyDescent="0.15">
      <c r="A125" s="72" t="s">
        <v>257</v>
      </c>
      <c r="B125" s="176"/>
      <c r="C125" s="92">
        <v>4</v>
      </c>
      <c r="D125" s="79">
        <v>46098</v>
      </c>
      <c r="E125" s="71">
        <v>0.61458333333333337</v>
      </c>
      <c r="F125" s="79">
        <v>46098</v>
      </c>
      <c r="G125" s="71">
        <v>0.61805555555555558</v>
      </c>
      <c r="H125" s="124">
        <f t="shared" si="6"/>
        <v>3.4722222189884633E-3</v>
      </c>
      <c r="I125" s="125"/>
      <c r="J125" s="96">
        <f t="shared" si="7"/>
        <v>3.4722222189884633E-3</v>
      </c>
      <c r="K125" s="74" t="s">
        <v>258</v>
      </c>
      <c r="L125" s="235"/>
    </row>
    <row r="126" spans="1:12" ht="26.5" customHeight="1" x14ac:dyDescent="0.15">
      <c r="A126" s="72" t="s">
        <v>259</v>
      </c>
      <c r="B126" s="176"/>
      <c r="C126" s="92">
        <v>4</v>
      </c>
      <c r="D126" s="79">
        <v>46098</v>
      </c>
      <c r="E126" s="71">
        <v>0.61805555555555558</v>
      </c>
      <c r="F126" s="79">
        <v>46098</v>
      </c>
      <c r="G126" s="71">
        <v>0.625</v>
      </c>
      <c r="H126" s="124">
        <f t="shared" si="6"/>
        <v>6.9444444452528842E-3</v>
      </c>
      <c r="I126" s="125"/>
      <c r="J126" s="96">
        <f t="shared" si="7"/>
        <v>6.9444444452528842E-3</v>
      </c>
      <c r="K126" s="75"/>
      <c r="L126" s="235"/>
    </row>
    <row r="127" spans="1:12" ht="14" x14ac:dyDescent="0.15">
      <c r="A127" s="72" t="s">
        <v>260</v>
      </c>
      <c r="B127" s="176"/>
      <c r="C127" s="92">
        <v>4</v>
      </c>
      <c r="D127" s="79">
        <v>46098</v>
      </c>
      <c r="E127" s="71">
        <v>0.625</v>
      </c>
      <c r="F127" s="79">
        <v>46098</v>
      </c>
      <c r="G127" s="71">
        <v>0.62847222222222221</v>
      </c>
      <c r="H127" s="124">
        <f t="shared" si="6"/>
        <v>3.4722222189884633E-3</v>
      </c>
      <c r="I127" s="125"/>
      <c r="J127" s="96">
        <f t="shared" si="7"/>
        <v>3.4722222189884633E-3</v>
      </c>
      <c r="K127" s="75"/>
      <c r="L127" s="235"/>
    </row>
    <row r="128" spans="1:12" ht="116.5" customHeight="1" x14ac:dyDescent="0.15">
      <c r="A128" s="72" t="s">
        <v>261</v>
      </c>
      <c r="B128" s="176"/>
      <c r="C128" s="92">
        <v>370</v>
      </c>
      <c r="D128" s="79">
        <v>46098</v>
      </c>
      <c r="E128" s="71">
        <v>0.62847222222222221</v>
      </c>
      <c r="F128" s="79">
        <v>46098</v>
      </c>
      <c r="G128" s="71">
        <v>0.63888888888888884</v>
      </c>
      <c r="H128" s="124">
        <f t="shared" si="6"/>
        <v>1.0416666671517305E-2</v>
      </c>
      <c r="I128" s="125"/>
      <c r="J128" s="96">
        <f t="shared" si="7"/>
        <v>1.0416666671517305E-2</v>
      </c>
      <c r="K128" s="75"/>
      <c r="L128" s="235"/>
    </row>
    <row r="129" spans="1:12" ht="14" x14ac:dyDescent="0.15">
      <c r="A129" s="72" t="s">
        <v>262</v>
      </c>
      <c r="B129" s="176"/>
      <c r="C129" s="92">
        <v>4</v>
      </c>
      <c r="D129" s="79">
        <v>46098</v>
      </c>
      <c r="E129" s="71">
        <v>0.63888888888888884</v>
      </c>
      <c r="F129" s="79">
        <v>46098</v>
      </c>
      <c r="G129" s="71">
        <v>0.64236111111111116</v>
      </c>
      <c r="H129" s="124">
        <f t="shared" si="6"/>
        <v>3.4722222189884633E-3</v>
      </c>
      <c r="I129" s="125"/>
      <c r="J129" s="96">
        <f t="shared" si="7"/>
        <v>3.4722222189884633E-3</v>
      </c>
      <c r="K129" s="140"/>
      <c r="L129" s="235"/>
    </row>
    <row r="130" spans="1:12" ht="14" x14ac:dyDescent="0.15">
      <c r="A130" s="73" t="s">
        <v>263</v>
      </c>
      <c r="B130" s="174"/>
      <c r="C130" s="92">
        <v>4</v>
      </c>
      <c r="D130" s="79">
        <v>46098</v>
      </c>
      <c r="E130" s="71">
        <v>0.64236111111111116</v>
      </c>
      <c r="F130" s="79">
        <v>46098</v>
      </c>
      <c r="G130" s="71">
        <v>0.64583333333333337</v>
      </c>
      <c r="H130" s="124">
        <f t="shared" si="6"/>
        <v>3.4722222262644209E-3</v>
      </c>
      <c r="I130" s="125"/>
      <c r="J130" s="96">
        <f t="shared" si="7"/>
        <v>3.4722222262644209E-3</v>
      </c>
      <c r="K130" s="140" t="s">
        <v>264</v>
      </c>
      <c r="L130" s="235"/>
    </row>
    <row r="131" spans="1:12" ht="26.5" customHeight="1" x14ac:dyDescent="0.15">
      <c r="A131" s="73" t="s">
        <v>265</v>
      </c>
      <c r="B131" s="174"/>
      <c r="C131" s="78">
        <v>5</v>
      </c>
      <c r="D131" s="79">
        <v>46098</v>
      </c>
      <c r="E131" s="71">
        <v>0.66666666666666663</v>
      </c>
      <c r="F131" s="79">
        <v>46098</v>
      </c>
      <c r="G131" s="71">
        <v>0.70833333333333337</v>
      </c>
      <c r="H131" s="124">
        <f t="shared" si="6"/>
        <v>4.1666666671517305E-2</v>
      </c>
      <c r="I131" s="125"/>
      <c r="J131" s="96">
        <f t="shared" si="7"/>
        <v>4.1666666671517305E-2</v>
      </c>
      <c r="K131" s="74"/>
      <c r="L131" s="235"/>
    </row>
    <row r="132" spans="1:12" ht="14" hidden="1" x14ac:dyDescent="0.15">
      <c r="A132" s="73" t="s">
        <v>266</v>
      </c>
      <c r="B132" s="174"/>
      <c r="C132" s="78">
        <v>4</v>
      </c>
      <c r="D132" s="79">
        <v>46098</v>
      </c>
      <c r="E132" s="71"/>
      <c r="F132" s="79">
        <v>46098</v>
      </c>
      <c r="G132" s="71"/>
      <c r="H132" s="124">
        <f t="shared" si="6"/>
        <v>0</v>
      </c>
      <c r="I132" s="125"/>
      <c r="J132" s="96">
        <f t="shared" si="7"/>
        <v>0</v>
      </c>
      <c r="K132" s="75"/>
      <c r="L132" s="235"/>
    </row>
    <row r="133" spans="1:12" ht="14" hidden="1" x14ac:dyDescent="0.15">
      <c r="A133" s="76" t="s">
        <v>267</v>
      </c>
      <c r="B133" s="177"/>
      <c r="C133" s="78">
        <v>4</v>
      </c>
      <c r="D133" s="79">
        <v>46098</v>
      </c>
      <c r="E133" s="71"/>
      <c r="F133" s="79">
        <v>46098</v>
      </c>
      <c r="G133" s="71"/>
      <c r="H133" s="124">
        <f t="shared" si="6"/>
        <v>0</v>
      </c>
      <c r="I133" s="125"/>
      <c r="J133" s="96">
        <f t="shared" si="7"/>
        <v>0</v>
      </c>
      <c r="K133" s="74"/>
      <c r="L133" s="235"/>
    </row>
    <row r="134" spans="1:12" ht="14" hidden="1" x14ac:dyDescent="0.15">
      <c r="A134" s="73" t="s">
        <v>268</v>
      </c>
      <c r="B134" s="174"/>
      <c r="C134" s="78">
        <v>4</v>
      </c>
      <c r="D134" s="79">
        <v>46098</v>
      </c>
      <c r="E134" s="71"/>
      <c r="F134" s="79">
        <v>46098</v>
      </c>
      <c r="G134" s="71"/>
      <c r="H134" s="124">
        <f t="shared" si="6"/>
        <v>0</v>
      </c>
      <c r="I134" s="125"/>
      <c r="J134" s="96">
        <f t="shared" si="7"/>
        <v>0</v>
      </c>
      <c r="K134" s="74"/>
      <c r="L134" s="235"/>
    </row>
    <row r="135" spans="1:12" ht="26.5" hidden="1" customHeight="1" x14ac:dyDescent="0.15">
      <c r="A135" s="73" t="s">
        <v>269</v>
      </c>
      <c r="B135" s="174"/>
      <c r="C135" s="78">
        <v>4</v>
      </c>
      <c r="D135" s="79">
        <v>46098</v>
      </c>
      <c r="E135" s="71"/>
      <c r="F135" s="79">
        <v>46098</v>
      </c>
      <c r="G135" s="71"/>
      <c r="H135" s="124">
        <f t="shared" si="6"/>
        <v>0</v>
      </c>
      <c r="I135" s="125"/>
      <c r="J135" s="96">
        <f t="shared" si="7"/>
        <v>0</v>
      </c>
      <c r="K135" s="74"/>
      <c r="L135" s="235"/>
    </row>
    <row r="136" spans="1:12" ht="14" x14ac:dyDescent="0.15">
      <c r="A136" s="73" t="s">
        <v>270</v>
      </c>
      <c r="B136" s="174"/>
      <c r="C136" s="78">
        <v>4</v>
      </c>
      <c r="D136" s="79">
        <v>46098</v>
      </c>
      <c r="E136" s="71">
        <v>0.70833333333333337</v>
      </c>
      <c r="F136" s="79">
        <v>46098</v>
      </c>
      <c r="G136" s="71">
        <v>0.71180555555555558</v>
      </c>
      <c r="H136" s="124">
        <f t="shared" si="6"/>
        <v>3.4722222189884633E-3</v>
      </c>
      <c r="I136" s="125"/>
      <c r="J136" s="96">
        <f t="shared" si="7"/>
        <v>3.4722222189884633E-3</v>
      </c>
      <c r="K136" s="74"/>
      <c r="L136" s="235"/>
    </row>
    <row r="137" spans="1:12" ht="13.75" customHeight="1" thickBot="1" x14ac:dyDescent="0.2">
      <c r="A137" s="73" t="s">
        <v>271</v>
      </c>
      <c r="B137" s="174"/>
      <c r="C137" s="78">
        <v>4</v>
      </c>
      <c r="D137" s="79">
        <v>46098</v>
      </c>
      <c r="E137" s="71">
        <v>0.71180555555555558</v>
      </c>
      <c r="F137" s="79">
        <v>46098</v>
      </c>
      <c r="G137" s="71">
        <v>0.71527777777777779</v>
      </c>
      <c r="H137" s="124">
        <f t="shared" si="6"/>
        <v>3.4722222262644209E-3</v>
      </c>
      <c r="I137" s="125"/>
      <c r="J137" s="96">
        <f t="shared" si="7"/>
        <v>3.4722222262644209E-3</v>
      </c>
      <c r="K137" s="141" t="s">
        <v>272</v>
      </c>
      <c r="L137" s="150"/>
    </row>
    <row r="138" spans="1:12" ht="13.25" customHeight="1" x14ac:dyDescent="0.15">
      <c r="A138" s="129" t="s">
        <v>273</v>
      </c>
      <c r="B138" s="180"/>
      <c r="C138" s="135" t="s">
        <v>13</v>
      </c>
      <c r="D138" s="65"/>
      <c r="E138" s="65"/>
      <c r="F138" s="66"/>
      <c r="G138" s="67"/>
      <c r="H138" s="60">
        <f>SUM(H139:H158)</f>
        <v>7.9861111102218274E-2</v>
      </c>
      <c r="I138" s="102"/>
      <c r="J138" s="60">
        <f>SUM(J139:J158)</f>
        <v>7.9861111102218274E-2</v>
      </c>
      <c r="K138" s="68"/>
      <c r="L138" s="238" t="s">
        <v>274</v>
      </c>
    </row>
    <row r="139" spans="1:12" ht="125.5" customHeight="1" x14ac:dyDescent="0.15">
      <c r="A139" s="72" t="s">
        <v>275</v>
      </c>
      <c r="B139" s="176"/>
      <c r="C139" s="92">
        <v>4</v>
      </c>
      <c r="D139" s="79">
        <v>46098</v>
      </c>
      <c r="E139" s="71">
        <v>0.71527777777777779</v>
      </c>
      <c r="F139" s="79">
        <v>46098</v>
      </c>
      <c r="G139" s="71">
        <v>0.72222222222222221</v>
      </c>
      <c r="H139" s="124">
        <f t="shared" ref="H139:H158" si="8">IF(COUNTBLANK(C139:G139)&gt;0,0,IF(C139=3,0,IF(COUNTBLANK(C139:G139)=0,(F139+G139)-(D139+E139))))</f>
        <v>6.9444444379769266E-3</v>
      </c>
      <c r="I139" s="125"/>
      <c r="J139" s="96">
        <f t="shared" ref="J139:J158" si="9">H139*(1-I139)</f>
        <v>6.9444444379769266E-3</v>
      </c>
      <c r="K139" s="74" t="s">
        <v>276</v>
      </c>
      <c r="L139" s="235"/>
    </row>
    <row r="140" spans="1:12" ht="14" x14ac:dyDescent="0.15">
      <c r="A140" s="72" t="s">
        <v>277</v>
      </c>
      <c r="B140" s="176"/>
      <c r="C140" s="92">
        <v>4</v>
      </c>
      <c r="D140" s="79">
        <v>46098</v>
      </c>
      <c r="E140" s="71">
        <v>0.72222222222222221</v>
      </c>
      <c r="F140" s="79">
        <v>46098</v>
      </c>
      <c r="G140" s="71">
        <v>0.72569444444444442</v>
      </c>
      <c r="H140" s="124">
        <f t="shared" si="8"/>
        <v>3.4722222262644209E-3</v>
      </c>
      <c r="I140" s="125"/>
      <c r="J140" s="96">
        <f t="shared" si="9"/>
        <v>3.4722222262644209E-3</v>
      </c>
      <c r="K140" s="74"/>
      <c r="L140" s="235"/>
    </row>
    <row r="141" spans="1:12" ht="14" x14ac:dyDescent="0.15">
      <c r="A141" s="147" t="s">
        <v>153</v>
      </c>
      <c r="B141" s="178"/>
      <c r="C141" s="78">
        <v>4</v>
      </c>
      <c r="D141" s="79">
        <v>46098</v>
      </c>
      <c r="E141" s="71">
        <v>0.72569444444444442</v>
      </c>
      <c r="F141" s="79">
        <v>46098</v>
      </c>
      <c r="G141" s="71">
        <v>0.72916666666666663</v>
      </c>
      <c r="H141" s="124">
        <f t="shared" si="8"/>
        <v>3.4722222189884633E-3</v>
      </c>
      <c r="I141" s="125"/>
      <c r="J141" s="96">
        <f t="shared" si="9"/>
        <v>3.4722222189884633E-3</v>
      </c>
      <c r="K141" s="123"/>
      <c r="L141" s="235"/>
    </row>
    <row r="142" spans="1:12" ht="39.5" customHeight="1" x14ac:dyDescent="0.15">
      <c r="A142" s="72" t="s">
        <v>278</v>
      </c>
      <c r="B142" s="176"/>
      <c r="C142" s="92">
        <v>700</v>
      </c>
      <c r="D142" s="79">
        <v>46098</v>
      </c>
      <c r="E142" s="71">
        <v>0.72916666666666663</v>
      </c>
      <c r="F142" s="79">
        <v>46098</v>
      </c>
      <c r="G142" s="71">
        <v>0.73611111111111116</v>
      </c>
      <c r="H142" s="124">
        <f t="shared" si="8"/>
        <v>6.9444444452528842E-3</v>
      </c>
      <c r="I142" s="125"/>
      <c r="J142" s="96">
        <f t="shared" si="9"/>
        <v>6.9444444452528842E-3</v>
      </c>
      <c r="K142" s="74" t="s">
        <v>279</v>
      </c>
      <c r="L142" s="235"/>
    </row>
    <row r="143" spans="1:12" ht="14" x14ac:dyDescent="0.15">
      <c r="A143" s="72" t="s">
        <v>280</v>
      </c>
      <c r="B143" s="176"/>
      <c r="C143" s="92">
        <v>700</v>
      </c>
      <c r="D143" s="79">
        <v>46098</v>
      </c>
      <c r="E143" s="71">
        <v>0.73611111111111116</v>
      </c>
      <c r="F143" s="79">
        <v>46098</v>
      </c>
      <c r="G143" s="71">
        <v>0.73958333333333337</v>
      </c>
      <c r="H143" s="124">
        <f t="shared" si="8"/>
        <v>3.4722222262644209E-3</v>
      </c>
      <c r="I143" s="125"/>
      <c r="J143" s="96">
        <f t="shared" si="9"/>
        <v>3.4722222262644209E-3</v>
      </c>
      <c r="K143" s="74" t="s">
        <v>281</v>
      </c>
      <c r="L143" s="235"/>
    </row>
    <row r="144" spans="1:12" ht="52.75" customHeight="1" x14ac:dyDescent="0.15">
      <c r="A144" s="72" t="s">
        <v>282</v>
      </c>
      <c r="B144" s="176"/>
      <c r="C144" s="92">
        <v>700</v>
      </c>
      <c r="D144" s="79">
        <v>46098</v>
      </c>
      <c r="E144" s="71">
        <v>0.73958333333333337</v>
      </c>
      <c r="F144" s="79">
        <v>46098</v>
      </c>
      <c r="G144" s="71">
        <v>0.74305555555555558</v>
      </c>
      <c r="H144" s="124">
        <f t="shared" si="8"/>
        <v>3.4722222189884633E-3</v>
      </c>
      <c r="I144" s="125"/>
      <c r="J144" s="96">
        <f t="shared" si="9"/>
        <v>3.4722222189884633E-3</v>
      </c>
      <c r="K144" s="74"/>
      <c r="L144" s="235"/>
    </row>
    <row r="145" spans="1:12" ht="26.5" customHeight="1" x14ac:dyDescent="0.15">
      <c r="A145" s="72" t="s">
        <v>283</v>
      </c>
      <c r="B145" s="176"/>
      <c r="C145" s="92">
        <v>700</v>
      </c>
      <c r="D145" s="79">
        <v>46098</v>
      </c>
      <c r="E145" s="71">
        <v>0.75</v>
      </c>
      <c r="F145" s="79">
        <v>46098</v>
      </c>
      <c r="G145" s="71">
        <v>0.75347222222222221</v>
      </c>
      <c r="H145" s="124">
        <f t="shared" si="8"/>
        <v>3.4722222189884633E-3</v>
      </c>
      <c r="I145" s="125"/>
      <c r="J145" s="96">
        <f t="shared" si="9"/>
        <v>3.4722222189884633E-3</v>
      </c>
      <c r="K145" s="74" t="s">
        <v>284</v>
      </c>
      <c r="L145" s="235"/>
    </row>
    <row r="146" spans="1:12" ht="52.75" customHeight="1" x14ac:dyDescent="0.15">
      <c r="A146" s="72" t="s">
        <v>285</v>
      </c>
      <c r="B146" s="176"/>
      <c r="C146" s="92">
        <v>710</v>
      </c>
      <c r="D146" s="79">
        <v>46098</v>
      </c>
      <c r="E146" s="71">
        <v>0.75347222222222221</v>
      </c>
      <c r="F146" s="79">
        <v>46098</v>
      </c>
      <c r="G146" s="71">
        <v>0.76041666666666663</v>
      </c>
      <c r="H146" s="124">
        <f t="shared" si="8"/>
        <v>6.9444444452528842E-3</v>
      </c>
      <c r="I146" s="125"/>
      <c r="J146" s="96">
        <f t="shared" si="9"/>
        <v>6.9444444452528842E-3</v>
      </c>
      <c r="K146" s="133" t="s">
        <v>286</v>
      </c>
      <c r="L146" s="235"/>
    </row>
    <row r="147" spans="1:12" ht="14" x14ac:dyDescent="0.15">
      <c r="A147" s="72" t="s">
        <v>287</v>
      </c>
      <c r="B147" s="176"/>
      <c r="C147" s="92">
        <v>4</v>
      </c>
      <c r="D147" s="79"/>
      <c r="E147" s="71"/>
      <c r="F147" s="79"/>
      <c r="G147" s="71"/>
      <c r="H147" s="124">
        <f t="shared" si="8"/>
        <v>0</v>
      </c>
      <c r="I147" s="125"/>
      <c r="J147" s="96">
        <f t="shared" si="9"/>
        <v>0</v>
      </c>
      <c r="K147" s="133" t="s">
        <v>288</v>
      </c>
      <c r="L147" s="235"/>
    </row>
    <row r="148" spans="1:12" ht="14" x14ac:dyDescent="0.15">
      <c r="A148" s="72" t="s">
        <v>289</v>
      </c>
      <c r="B148" s="176"/>
      <c r="C148" s="92">
        <v>750</v>
      </c>
      <c r="D148" s="79">
        <v>46099</v>
      </c>
      <c r="E148" s="71">
        <v>0.33333333333333331</v>
      </c>
      <c r="F148" s="79">
        <v>46099</v>
      </c>
      <c r="G148" s="71">
        <v>0.34722222222222221</v>
      </c>
      <c r="H148" s="124">
        <f t="shared" si="8"/>
        <v>1.3888888883229811E-2</v>
      </c>
      <c r="I148" s="126"/>
      <c r="J148" s="96">
        <f t="shared" si="9"/>
        <v>1.3888888883229811E-2</v>
      </c>
      <c r="K148" s="134" t="s">
        <v>290</v>
      </c>
      <c r="L148" s="235"/>
    </row>
    <row r="149" spans="1:12" ht="14" x14ac:dyDescent="0.15">
      <c r="A149" s="72" t="s">
        <v>291</v>
      </c>
      <c r="B149" s="176"/>
      <c r="C149" s="92">
        <v>750</v>
      </c>
      <c r="D149" s="79">
        <v>46099</v>
      </c>
      <c r="E149" s="71">
        <v>0.34722222222222221</v>
      </c>
      <c r="F149" s="79">
        <v>46099</v>
      </c>
      <c r="G149" s="71">
        <v>0.34861111111111109</v>
      </c>
      <c r="H149" s="124">
        <f t="shared" si="8"/>
        <v>1.3888888934161514E-3</v>
      </c>
      <c r="I149" s="126"/>
      <c r="J149" s="96">
        <f t="shared" si="9"/>
        <v>1.3888888934161514E-3</v>
      </c>
      <c r="K149" s="134" t="s">
        <v>290</v>
      </c>
      <c r="L149" s="235"/>
    </row>
    <row r="150" spans="1:12" ht="14" x14ac:dyDescent="0.15">
      <c r="A150" s="72" t="s">
        <v>292</v>
      </c>
      <c r="B150" s="176"/>
      <c r="C150" s="92">
        <v>750</v>
      </c>
      <c r="D150" s="79">
        <v>46099</v>
      </c>
      <c r="E150" s="71">
        <v>0.34861111111111109</v>
      </c>
      <c r="F150" s="79">
        <v>46099</v>
      </c>
      <c r="G150" s="71">
        <v>0.35069444444444442</v>
      </c>
      <c r="H150" s="124">
        <f t="shared" si="8"/>
        <v>2.0833333328482695E-3</v>
      </c>
      <c r="I150" s="126"/>
      <c r="J150" s="96">
        <f t="shared" si="9"/>
        <v>2.0833333328482695E-3</v>
      </c>
      <c r="K150" s="134" t="s">
        <v>290</v>
      </c>
      <c r="L150" s="235"/>
    </row>
    <row r="151" spans="1:12" ht="14" x14ac:dyDescent="0.15">
      <c r="A151" s="72" t="s">
        <v>293</v>
      </c>
      <c r="B151" s="176"/>
      <c r="C151" s="92">
        <v>750</v>
      </c>
      <c r="D151" s="79">
        <v>46099</v>
      </c>
      <c r="E151" s="71">
        <v>0.35069444444444442</v>
      </c>
      <c r="F151" s="79">
        <v>46099</v>
      </c>
      <c r="G151" s="71">
        <v>0.35208333333333341</v>
      </c>
      <c r="H151" s="124">
        <f t="shared" si="8"/>
        <v>1.3888888861401938E-3</v>
      </c>
      <c r="I151" s="126"/>
      <c r="J151" s="96">
        <f t="shared" si="9"/>
        <v>1.3888888861401938E-3</v>
      </c>
      <c r="K151" s="134" t="s">
        <v>290</v>
      </c>
      <c r="L151" s="235"/>
    </row>
    <row r="152" spans="1:12" ht="14" x14ac:dyDescent="0.15">
      <c r="A152" s="72" t="s">
        <v>294</v>
      </c>
      <c r="B152" s="176"/>
      <c r="C152" s="92">
        <v>750</v>
      </c>
      <c r="D152" s="79">
        <v>46099</v>
      </c>
      <c r="E152" s="71">
        <v>0.35208333333333341</v>
      </c>
      <c r="F152" s="79">
        <v>46099</v>
      </c>
      <c r="G152" s="71">
        <v>0.35416666666666669</v>
      </c>
      <c r="H152" s="124">
        <f t="shared" si="8"/>
        <v>2.0833333328482695E-3</v>
      </c>
      <c r="I152" s="126"/>
      <c r="J152" s="96">
        <f t="shared" si="9"/>
        <v>2.0833333328482695E-3</v>
      </c>
      <c r="K152" s="134" t="s">
        <v>290</v>
      </c>
      <c r="L152" s="235"/>
    </row>
    <row r="153" spans="1:12" ht="14" x14ac:dyDescent="0.15">
      <c r="A153" s="72" t="s">
        <v>295</v>
      </c>
      <c r="B153" s="176"/>
      <c r="C153" s="92">
        <v>750</v>
      </c>
      <c r="D153" s="79">
        <v>46099</v>
      </c>
      <c r="E153" s="71"/>
      <c r="F153" s="79">
        <v>46099</v>
      </c>
      <c r="G153" s="71"/>
      <c r="H153" s="124">
        <f t="shared" si="8"/>
        <v>0</v>
      </c>
      <c r="I153" s="126"/>
      <c r="J153" s="96">
        <f t="shared" si="9"/>
        <v>0</v>
      </c>
      <c r="K153" s="134" t="s">
        <v>290</v>
      </c>
      <c r="L153" s="235"/>
    </row>
    <row r="154" spans="1:12" ht="14" x14ac:dyDescent="0.15">
      <c r="A154" s="72" t="s">
        <v>296</v>
      </c>
      <c r="B154" s="176"/>
      <c r="C154" s="92">
        <v>4</v>
      </c>
      <c r="D154" s="79">
        <v>46099</v>
      </c>
      <c r="E154" s="71"/>
      <c r="F154" s="79">
        <v>46099</v>
      </c>
      <c r="G154" s="71"/>
      <c r="H154" s="124">
        <f t="shared" si="8"/>
        <v>0</v>
      </c>
      <c r="I154" s="126">
        <v>1</v>
      </c>
      <c r="J154" s="96">
        <f t="shared" si="9"/>
        <v>0</v>
      </c>
      <c r="K154" s="134"/>
      <c r="L154" s="235"/>
    </row>
    <row r="155" spans="1:12" ht="14" x14ac:dyDescent="0.15">
      <c r="A155" s="72" t="s">
        <v>297</v>
      </c>
      <c r="B155" s="176"/>
      <c r="C155" s="92">
        <v>750</v>
      </c>
      <c r="D155" s="79">
        <v>46099</v>
      </c>
      <c r="E155" s="71">
        <v>0.41666666666666669</v>
      </c>
      <c r="F155" s="79">
        <v>46099</v>
      </c>
      <c r="G155" s="71">
        <v>0.4236111111111111</v>
      </c>
      <c r="H155" s="124">
        <f t="shared" si="8"/>
        <v>6.9444444452528842E-3</v>
      </c>
      <c r="I155" s="126"/>
      <c r="J155" s="96">
        <f t="shared" si="9"/>
        <v>6.9444444452528842E-3</v>
      </c>
      <c r="K155" s="134" t="s">
        <v>138</v>
      </c>
      <c r="L155" s="235"/>
    </row>
    <row r="156" spans="1:12" ht="14" x14ac:dyDescent="0.15">
      <c r="A156" s="72" t="s">
        <v>298</v>
      </c>
      <c r="B156" s="176"/>
      <c r="C156" s="92">
        <v>750</v>
      </c>
      <c r="D156" s="79">
        <v>46099</v>
      </c>
      <c r="E156" s="71"/>
      <c r="F156" s="79">
        <v>46099</v>
      </c>
      <c r="G156" s="71"/>
      <c r="H156" s="124">
        <f t="shared" si="8"/>
        <v>0</v>
      </c>
      <c r="I156" s="126"/>
      <c r="J156" s="96">
        <f t="shared" si="9"/>
        <v>0</v>
      </c>
      <c r="K156" s="134" t="s">
        <v>138</v>
      </c>
      <c r="L156" s="235"/>
    </row>
    <row r="157" spans="1:12" ht="14" x14ac:dyDescent="0.15">
      <c r="A157" s="160" t="s">
        <v>299</v>
      </c>
      <c r="B157" s="176"/>
      <c r="C157" s="92">
        <v>4</v>
      </c>
      <c r="D157" s="79">
        <v>46099</v>
      </c>
      <c r="E157" s="71">
        <v>0.4236111111111111</v>
      </c>
      <c r="F157" s="79">
        <v>46099</v>
      </c>
      <c r="G157" s="71">
        <v>0.42708333333333331</v>
      </c>
      <c r="H157" s="124">
        <f t="shared" si="8"/>
        <v>3.4722222262644209E-3</v>
      </c>
      <c r="I157" s="126"/>
      <c r="J157" s="96">
        <f t="shared" si="9"/>
        <v>3.4722222262644209E-3</v>
      </c>
      <c r="K157" s="134"/>
      <c r="L157" s="235"/>
    </row>
    <row r="158" spans="1:12" ht="14" x14ac:dyDescent="0.15">
      <c r="A158" s="73" t="s">
        <v>300</v>
      </c>
      <c r="B158" s="174"/>
      <c r="C158" s="137">
        <v>8</v>
      </c>
      <c r="D158" s="79">
        <v>46099</v>
      </c>
      <c r="E158" s="71">
        <v>0.42708333333333331</v>
      </c>
      <c r="F158" s="79">
        <v>46099</v>
      </c>
      <c r="G158" s="71">
        <v>0.4375</v>
      </c>
      <c r="H158" s="124">
        <f t="shared" si="8"/>
        <v>1.0416666664241347E-2</v>
      </c>
      <c r="I158" s="125"/>
      <c r="J158" s="96">
        <f t="shared" si="9"/>
        <v>1.0416666664241347E-2</v>
      </c>
      <c r="K158" s="138"/>
      <c r="L158" s="235"/>
    </row>
    <row r="159" spans="1:12" ht="13.75" customHeight="1" x14ac:dyDescent="0.15">
      <c r="A159" s="153" t="s">
        <v>301</v>
      </c>
      <c r="B159" s="181"/>
      <c r="C159" s="135" t="s">
        <v>13</v>
      </c>
      <c r="D159" s="154"/>
      <c r="E159" s="154"/>
      <c r="F159" s="155"/>
      <c r="G159" s="156"/>
      <c r="H159" s="157">
        <f>SUM(H160:H177)</f>
        <v>4.5138888883229811E-2</v>
      </c>
      <c r="I159" s="158"/>
      <c r="J159" s="157">
        <f>SUM(J160:J177)</f>
        <v>4.5138888883229811E-2</v>
      </c>
      <c r="K159" s="159"/>
      <c r="L159" s="235"/>
    </row>
    <row r="160" spans="1:12" ht="14" x14ac:dyDescent="0.15">
      <c r="A160" s="160" t="s">
        <v>302</v>
      </c>
      <c r="B160" s="160"/>
      <c r="C160" s="137">
        <v>10</v>
      </c>
      <c r="D160" s="79"/>
      <c r="E160" s="71"/>
      <c r="F160" s="79"/>
      <c r="G160" s="71"/>
      <c r="H160" s="124">
        <f t="shared" ref="H160:H177" si="10">IF(COUNTBLANK(C160:G160)&gt;0,0,IF(C160=3,0,IF(COUNTBLANK(C160:G160)=0,(F160+G160)-(D160+E160))))</f>
        <v>0</v>
      </c>
      <c r="I160" s="126"/>
      <c r="J160" s="124">
        <f t="shared" ref="J160:J177" si="11">H160*(1-I160)</f>
        <v>0</v>
      </c>
      <c r="K160" s="162" t="s">
        <v>303</v>
      </c>
      <c r="L160" s="235"/>
    </row>
    <row r="161" spans="1:12" ht="14" x14ac:dyDescent="0.15">
      <c r="A161" s="160" t="s">
        <v>304</v>
      </c>
      <c r="B161" s="160"/>
      <c r="C161" s="137">
        <v>10</v>
      </c>
      <c r="D161" s="79"/>
      <c r="E161" s="71"/>
      <c r="F161" s="79"/>
      <c r="G161" s="71"/>
      <c r="H161" s="124">
        <f t="shared" si="10"/>
        <v>0</v>
      </c>
      <c r="I161" s="126"/>
      <c r="J161" s="124">
        <f t="shared" si="11"/>
        <v>0</v>
      </c>
      <c r="K161" s="162" t="s">
        <v>303</v>
      </c>
      <c r="L161" s="235"/>
    </row>
    <row r="162" spans="1:12" ht="14" x14ac:dyDescent="0.15">
      <c r="A162" s="160" t="s">
        <v>305</v>
      </c>
      <c r="B162" s="160"/>
      <c r="C162" s="137">
        <v>10</v>
      </c>
      <c r="D162" s="79">
        <v>46099</v>
      </c>
      <c r="E162" s="71">
        <v>0.45833333333333331</v>
      </c>
      <c r="F162" s="79">
        <v>46099</v>
      </c>
      <c r="G162" s="71">
        <v>0.46180555555555558</v>
      </c>
      <c r="H162" s="124">
        <f t="shared" si="10"/>
        <v>3.4722222189884633E-3</v>
      </c>
      <c r="I162" s="126"/>
      <c r="J162" s="124">
        <f t="shared" si="11"/>
        <v>3.4722222189884633E-3</v>
      </c>
      <c r="K162" s="161"/>
      <c r="L162" s="235"/>
    </row>
    <row r="163" spans="1:12" ht="14" x14ac:dyDescent="0.15">
      <c r="A163" s="160" t="s">
        <v>306</v>
      </c>
      <c r="B163" s="160"/>
      <c r="C163" s="137">
        <v>10</v>
      </c>
      <c r="D163" s="79">
        <v>46099</v>
      </c>
      <c r="E163" s="71">
        <v>0.46180555555555558</v>
      </c>
      <c r="F163" s="79">
        <v>46099</v>
      </c>
      <c r="G163" s="71">
        <v>0.46527777777777779</v>
      </c>
      <c r="H163" s="124">
        <f t="shared" si="10"/>
        <v>3.4722222262644209E-3</v>
      </c>
      <c r="I163" s="126"/>
      <c r="J163" s="124">
        <f t="shared" si="11"/>
        <v>3.4722222262644209E-3</v>
      </c>
      <c r="K163" s="161" t="s">
        <v>307</v>
      </c>
      <c r="L163" s="235"/>
    </row>
    <row r="164" spans="1:12" ht="14" x14ac:dyDescent="0.15">
      <c r="A164" s="160" t="s">
        <v>308</v>
      </c>
      <c r="B164" s="160"/>
      <c r="C164" s="137">
        <v>10</v>
      </c>
      <c r="D164" s="79">
        <v>46099</v>
      </c>
      <c r="E164" s="71">
        <v>0.46527777777777779</v>
      </c>
      <c r="F164" s="79">
        <v>46099</v>
      </c>
      <c r="G164" s="71">
        <v>0.46875</v>
      </c>
      <c r="H164" s="124">
        <f t="shared" si="10"/>
        <v>3.4722222189884633E-3</v>
      </c>
      <c r="I164" s="126"/>
      <c r="J164" s="124">
        <f t="shared" si="11"/>
        <v>3.4722222189884633E-3</v>
      </c>
      <c r="K164" s="161"/>
      <c r="L164" s="235"/>
    </row>
    <row r="165" spans="1:12" ht="26.5" customHeight="1" x14ac:dyDescent="0.15">
      <c r="A165" s="160" t="s">
        <v>309</v>
      </c>
      <c r="B165" s="160"/>
      <c r="C165" s="137">
        <v>10</v>
      </c>
      <c r="D165" s="79">
        <v>46099</v>
      </c>
      <c r="E165" s="71">
        <v>0.46875</v>
      </c>
      <c r="F165" s="79">
        <v>46099</v>
      </c>
      <c r="G165" s="71">
        <v>0.47222222222222221</v>
      </c>
      <c r="H165" s="124">
        <f t="shared" si="10"/>
        <v>3.4722222189884633E-3</v>
      </c>
      <c r="I165" s="126"/>
      <c r="J165" s="124">
        <f t="shared" si="11"/>
        <v>3.4722222189884633E-3</v>
      </c>
      <c r="K165" s="161"/>
      <c r="L165" s="235"/>
    </row>
    <row r="166" spans="1:12" ht="14" x14ac:dyDescent="0.15">
      <c r="A166" s="160" t="s">
        <v>310</v>
      </c>
      <c r="B166" s="160"/>
      <c r="C166" s="137">
        <v>10</v>
      </c>
      <c r="D166" s="79">
        <v>46099</v>
      </c>
      <c r="E166" s="71">
        <v>0.47222222222222221</v>
      </c>
      <c r="F166" s="79">
        <v>46099</v>
      </c>
      <c r="G166" s="71">
        <v>0.47569444444444442</v>
      </c>
      <c r="H166" s="124">
        <f t="shared" si="10"/>
        <v>3.4722222262644209E-3</v>
      </c>
      <c r="I166" s="126"/>
      <c r="J166" s="124">
        <f t="shared" si="11"/>
        <v>3.4722222262644209E-3</v>
      </c>
      <c r="K166" s="161"/>
      <c r="L166" s="235"/>
    </row>
    <row r="167" spans="1:12" ht="26.5" customHeight="1" x14ac:dyDescent="0.15">
      <c r="A167" s="160" t="s">
        <v>311</v>
      </c>
      <c r="B167" s="160"/>
      <c r="C167" s="137">
        <v>10</v>
      </c>
      <c r="D167" s="79">
        <v>46099</v>
      </c>
      <c r="E167" s="71">
        <v>0.47569444444444442</v>
      </c>
      <c r="F167" s="79">
        <v>46099</v>
      </c>
      <c r="G167" s="71">
        <v>0.4861111111111111</v>
      </c>
      <c r="H167" s="124">
        <f t="shared" si="10"/>
        <v>1.0416666664241347E-2</v>
      </c>
      <c r="I167" s="126"/>
      <c r="J167" s="124">
        <f t="shared" si="11"/>
        <v>1.0416666664241347E-2</v>
      </c>
      <c r="K167" s="161"/>
      <c r="L167" s="235"/>
    </row>
    <row r="168" spans="1:12" ht="14" x14ac:dyDescent="0.15">
      <c r="A168" s="160" t="s">
        <v>312</v>
      </c>
      <c r="B168" s="160"/>
      <c r="C168" s="137">
        <v>10</v>
      </c>
      <c r="D168" s="79">
        <v>46099</v>
      </c>
      <c r="E168" s="71">
        <v>0.4861111111111111</v>
      </c>
      <c r="F168" s="79">
        <v>46099</v>
      </c>
      <c r="G168" s="71">
        <v>0.48958333333333331</v>
      </c>
      <c r="H168" s="124">
        <f t="shared" si="10"/>
        <v>3.4722222262644209E-3</v>
      </c>
      <c r="I168" s="126"/>
      <c r="J168" s="124">
        <f t="shared" si="11"/>
        <v>3.4722222262644209E-3</v>
      </c>
      <c r="K168" s="161"/>
      <c r="L168" s="235"/>
    </row>
    <row r="169" spans="1:12" ht="14" x14ac:dyDescent="0.15">
      <c r="A169" s="160" t="s">
        <v>313</v>
      </c>
      <c r="B169" s="160"/>
      <c r="C169" s="137">
        <v>10</v>
      </c>
      <c r="D169" s="79"/>
      <c r="E169" s="71"/>
      <c r="F169" s="79"/>
      <c r="G169" s="71"/>
      <c r="H169" s="124">
        <f t="shared" si="10"/>
        <v>0</v>
      </c>
      <c r="I169" s="126"/>
      <c r="J169" s="124">
        <f t="shared" si="11"/>
        <v>0</v>
      </c>
      <c r="K169" s="162" t="s">
        <v>314</v>
      </c>
      <c r="L169" s="235"/>
    </row>
    <row r="170" spans="1:12" ht="26.5" customHeight="1" x14ac:dyDescent="0.15">
      <c r="A170" s="183" t="s">
        <v>315</v>
      </c>
      <c r="B170" s="160"/>
      <c r="C170" s="137">
        <v>10</v>
      </c>
      <c r="D170" s="79"/>
      <c r="E170" s="71"/>
      <c r="F170" s="79"/>
      <c r="G170" s="71"/>
      <c r="H170" s="124">
        <f t="shared" si="10"/>
        <v>0</v>
      </c>
      <c r="I170" s="126"/>
      <c r="J170" s="124">
        <f t="shared" si="11"/>
        <v>0</v>
      </c>
      <c r="K170" s="162" t="s">
        <v>314</v>
      </c>
      <c r="L170" s="235"/>
    </row>
    <row r="171" spans="1:12" ht="14" x14ac:dyDescent="0.15">
      <c r="A171" s="160" t="s">
        <v>316</v>
      </c>
      <c r="B171" s="160"/>
      <c r="C171" s="137">
        <v>10</v>
      </c>
      <c r="D171" s="79">
        <v>46099</v>
      </c>
      <c r="E171" s="71">
        <v>0.48958333333333331</v>
      </c>
      <c r="F171" s="79">
        <v>46099</v>
      </c>
      <c r="G171" s="71">
        <v>0.49305555555555558</v>
      </c>
      <c r="H171" s="124">
        <f t="shared" si="10"/>
        <v>3.4722222189884633E-3</v>
      </c>
      <c r="I171" s="126"/>
      <c r="J171" s="124">
        <f t="shared" si="11"/>
        <v>3.4722222189884633E-3</v>
      </c>
      <c r="K171" s="161"/>
      <c r="L171" s="235"/>
    </row>
    <row r="172" spans="1:12" ht="14" x14ac:dyDescent="0.15">
      <c r="A172" s="183" t="s">
        <v>317</v>
      </c>
      <c r="B172" s="160"/>
      <c r="C172" s="137">
        <v>10</v>
      </c>
      <c r="D172" s="79">
        <v>46099</v>
      </c>
      <c r="E172" s="71">
        <v>0.49305555555555558</v>
      </c>
      <c r="F172" s="79">
        <v>46099</v>
      </c>
      <c r="G172" s="71">
        <v>0.49652777777777779</v>
      </c>
      <c r="H172" s="124">
        <f t="shared" si="10"/>
        <v>3.4722222262644209E-3</v>
      </c>
      <c r="I172" s="126"/>
      <c r="J172" s="124">
        <f t="shared" si="11"/>
        <v>3.4722222262644209E-3</v>
      </c>
      <c r="K172" s="162"/>
      <c r="L172" s="235"/>
    </row>
    <row r="173" spans="1:12" ht="26.5" customHeight="1" x14ac:dyDescent="0.15">
      <c r="A173" s="183" t="s">
        <v>318</v>
      </c>
      <c r="B173" s="160"/>
      <c r="C173" s="137">
        <v>10</v>
      </c>
      <c r="D173" s="79">
        <v>46099</v>
      </c>
      <c r="E173" s="71">
        <v>0.49652777777777779</v>
      </c>
      <c r="F173" s="79">
        <v>46099</v>
      </c>
      <c r="G173" s="71">
        <v>0.5</v>
      </c>
      <c r="H173" s="124">
        <f t="shared" si="10"/>
        <v>3.4722222189884633E-3</v>
      </c>
      <c r="I173" s="126"/>
      <c r="J173" s="124">
        <f t="shared" si="11"/>
        <v>3.4722222189884633E-3</v>
      </c>
      <c r="K173" s="161"/>
      <c r="L173" s="235"/>
    </row>
    <row r="174" spans="1:12" ht="26.5" customHeight="1" x14ac:dyDescent="0.15">
      <c r="A174" s="183" t="s">
        <v>319</v>
      </c>
      <c r="B174" s="160"/>
      <c r="C174" s="137">
        <v>10</v>
      </c>
      <c r="D174" s="79">
        <v>46099</v>
      </c>
      <c r="E174" s="71"/>
      <c r="F174" s="79">
        <v>46099</v>
      </c>
      <c r="G174" s="71"/>
      <c r="H174" s="124">
        <f t="shared" si="10"/>
        <v>0</v>
      </c>
      <c r="I174" s="126"/>
      <c r="J174" s="124">
        <f t="shared" si="11"/>
        <v>0</v>
      </c>
      <c r="K174" s="162" t="s">
        <v>320</v>
      </c>
      <c r="L174" s="235"/>
    </row>
    <row r="175" spans="1:12" ht="26.5" customHeight="1" x14ac:dyDescent="0.15">
      <c r="A175" s="183" t="s">
        <v>321</v>
      </c>
      <c r="B175" s="160"/>
      <c r="C175" s="137">
        <v>10</v>
      </c>
      <c r="D175" s="79">
        <v>46099</v>
      </c>
      <c r="E175" s="71"/>
      <c r="F175" s="79">
        <v>46099</v>
      </c>
      <c r="G175" s="71"/>
      <c r="H175" s="124">
        <f t="shared" si="10"/>
        <v>0</v>
      </c>
      <c r="I175" s="126"/>
      <c r="J175" s="124">
        <f t="shared" si="11"/>
        <v>0</v>
      </c>
      <c r="K175" s="162" t="s">
        <v>320</v>
      </c>
      <c r="L175" s="235"/>
    </row>
    <row r="176" spans="1:12" ht="26.5" customHeight="1" x14ac:dyDescent="0.15">
      <c r="A176" s="183" t="s">
        <v>322</v>
      </c>
      <c r="B176" s="160"/>
      <c r="C176" s="137">
        <v>10</v>
      </c>
      <c r="D176" s="79">
        <v>46099</v>
      </c>
      <c r="E176" s="71"/>
      <c r="F176" s="79">
        <v>46099</v>
      </c>
      <c r="G176" s="71"/>
      <c r="H176" s="124">
        <f t="shared" si="10"/>
        <v>0</v>
      </c>
      <c r="I176" s="126"/>
      <c r="J176" s="124">
        <f t="shared" si="11"/>
        <v>0</v>
      </c>
      <c r="K176" s="162" t="s">
        <v>320</v>
      </c>
      <c r="L176" s="235"/>
    </row>
    <row r="177" spans="1:12" ht="158.5" customHeight="1" x14ac:dyDescent="0.15">
      <c r="A177" s="160" t="s">
        <v>323</v>
      </c>
      <c r="B177" s="160"/>
      <c r="C177" s="137">
        <v>10</v>
      </c>
      <c r="D177" s="79">
        <v>46099</v>
      </c>
      <c r="E177" s="71">
        <v>0.5</v>
      </c>
      <c r="F177" s="79">
        <v>46099</v>
      </c>
      <c r="G177" s="71">
        <v>0.50347222222222221</v>
      </c>
      <c r="H177" s="124">
        <f t="shared" si="10"/>
        <v>3.4722222189884633E-3</v>
      </c>
      <c r="I177" s="126"/>
      <c r="J177" s="124">
        <f t="shared" si="11"/>
        <v>3.4722222189884633E-3</v>
      </c>
      <c r="K177" s="162" t="s">
        <v>324</v>
      </c>
      <c r="L177" s="235"/>
    </row>
    <row r="178" spans="1:12" ht="13.75" customHeight="1" thickBot="1" x14ac:dyDescent="0.2">
      <c r="A178" s="230" t="s">
        <v>325</v>
      </c>
      <c r="B178" s="228"/>
      <c r="C178" s="228"/>
      <c r="D178" s="228"/>
      <c r="E178" s="228"/>
      <c r="F178" s="228"/>
      <c r="G178" s="228"/>
      <c r="H178" s="228"/>
      <c r="I178" s="228"/>
      <c r="J178" s="228"/>
      <c r="K178" s="228"/>
      <c r="L178" s="239"/>
    </row>
    <row r="179" spans="1:12" ht="21" customHeight="1" x14ac:dyDescent="0.15">
      <c r="A179" s="227" t="s">
        <v>326</v>
      </c>
      <c r="B179" s="228"/>
      <c r="C179" s="228"/>
      <c r="D179" s="228"/>
      <c r="E179" s="228"/>
      <c r="F179" s="228"/>
      <c r="G179" s="229"/>
      <c r="H179" s="69">
        <f>SUMIFS(ADHours,ACode,"&lt;&gt;Sum*")</f>
        <v>0.83680555554747116</v>
      </c>
      <c r="I179" s="103"/>
      <c r="J179" s="69">
        <f>SUMIFS(ANHours,ACode,"&lt;&gt;Sum*")</f>
        <v>0.83680555554747116</v>
      </c>
      <c r="K179" s="97"/>
      <c r="L179" s="240" t="s">
        <v>327</v>
      </c>
    </row>
    <row r="180" spans="1:12" x14ac:dyDescent="0.15">
      <c r="A180" s="130"/>
      <c r="B180" s="182"/>
      <c r="K180" s="50"/>
      <c r="L180" s="235"/>
    </row>
    <row r="181" spans="1:12" x14ac:dyDescent="0.15">
      <c r="A181" s="130"/>
      <c r="B181" s="182"/>
      <c r="K181" s="50"/>
      <c r="L181" s="235"/>
    </row>
    <row r="182" spans="1:12" ht="26.25" customHeight="1" thickBot="1" x14ac:dyDescent="0.2">
      <c r="A182" s="231" t="s">
        <v>328</v>
      </c>
      <c r="B182" s="232"/>
      <c r="C182" s="232"/>
      <c r="D182" s="232"/>
      <c r="E182" s="232"/>
      <c r="F182" s="232"/>
      <c r="G182" s="233"/>
      <c r="H182" s="70">
        <f>SUMIFS(ADHours,ACode,"=Sum3")</f>
        <v>0.68055555555474712</v>
      </c>
      <c r="I182" s="105"/>
      <c r="J182" s="70">
        <f>SUMIFS(ANHours,ACode,"=Sum3")</f>
        <v>0.68055555555474712</v>
      </c>
      <c r="K182" s="98"/>
      <c r="L182" s="239"/>
    </row>
    <row r="183" spans="1:12" ht="24.5" customHeight="1" x14ac:dyDescent="0.15">
      <c r="A183" s="131"/>
      <c r="B183" s="131"/>
      <c r="C183" s="84"/>
      <c r="D183" s="84"/>
    </row>
  </sheetData>
  <autoFilter ref="A1:L182" xr:uid="{00000000-0009-0000-0000-000002000000}"/>
  <mergeCells count="9">
    <mergeCell ref="A179:G179"/>
    <mergeCell ref="A178:K178"/>
    <mergeCell ref="A182:G182"/>
    <mergeCell ref="L2:L18"/>
    <mergeCell ref="L60:L79"/>
    <mergeCell ref="L83:L136"/>
    <mergeCell ref="L138:L178"/>
    <mergeCell ref="L179:L182"/>
    <mergeCell ref="L19:L54"/>
  </mergeCells>
  <conditionalFormatting sqref="C2">
    <cfRule type="expression" dxfId="7" priority="6">
      <formula>IF(ISBLANK($C2),TRUE,NOT(IFERROR((MATCH($C2,BCode,0)),FALSE)))</formula>
    </cfRule>
  </conditionalFormatting>
  <conditionalFormatting sqref="C4">
    <cfRule type="expression" dxfId="6" priority="1">
      <formula>IF(ISBLANK($C4),TRUE,NOT(IFERROR((MATCH($C4,BCode,0)),FALSE)))</formula>
    </cfRule>
  </conditionalFormatting>
  <conditionalFormatting sqref="C9">
    <cfRule type="expression" dxfId="5" priority="5">
      <formula>IF(ISBLANK($C9),TRUE,NOT(IFERROR((MATCH($C9,BCode,0)),FALSE)))</formula>
    </cfRule>
  </conditionalFormatting>
  <conditionalFormatting sqref="C14">
    <cfRule type="expression" dxfId="4" priority="4">
      <formula>IF(ISBLANK($C14),TRUE,NOT(IFERROR((MATCH($C14,BCode,0)),FALSE)))</formula>
    </cfRule>
  </conditionalFormatting>
  <conditionalFormatting sqref="C19">
    <cfRule type="expression" dxfId="3" priority="2">
      <formula>IF(ISBLANK($C19),TRUE,NOT(IFERROR((MATCH($C19,BCode,0)),FALSE)))</formula>
    </cfRule>
  </conditionalFormatting>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N59"/>
  <sheetViews>
    <sheetView zoomScaleNormal="100" workbookViewId="0">
      <pane ySplit="1" topLeftCell="A2" activePane="bottomLeft" state="frozen"/>
      <selection pane="bottomLeft" activeCell="E36" sqref="E36"/>
    </sheetView>
  </sheetViews>
  <sheetFormatPr baseColWidth="10" defaultColWidth="8.83203125" defaultRowHeight="13" x14ac:dyDescent="0.15"/>
  <cols>
    <col min="1" max="1" width="7.33203125" style="20" customWidth="1"/>
    <col min="2" max="2" width="10.6640625" style="112" customWidth="1"/>
    <col min="3" max="3" width="12.6640625" style="112" customWidth="1"/>
    <col min="4" max="4" width="11" style="122" customWidth="1"/>
    <col min="5" max="5" width="62.83203125" style="17" customWidth="1"/>
    <col min="6" max="6" width="16.6640625" style="17" customWidth="1"/>
    <col min="7" max="7" width="20.6640625" style="17" customWidth="1"/>
    <col min="8" max="8" width="41.1640625" style="17" customWidth="1"/>
    <col min="9" max="9" width="8.83203125" style="17" customWidth="1"/>
    <col min="10" max="16384" width="8.83203125" style="17"/>
  </cols>
  <sheetData>
    <row r="1" spans="1:11" ht="33.5" customHeight="1" x14ac:dyDescent="0.15">
      <c r="A1" s="106" t="s">
        <v>0</v>
      </c>
      <c r="B1" s="107" t="s">
        <v>1</v>
      </c>
      <c r="C1" s="108" t="s">
        <v>2</v>
      </c>
      <c r="D1" s="109" t="s">
        <v>3</v>
      </c>
      <c r="E1" s="110" t="s">
        <v>4</v>
      </c>
      <c r="F1" s="111" t="s">
        <v>5</v>
      </c>
      <c r="G1" s="111" t="s">
        <v>6</v>
      </c>
      <c r="H1" s="111" t="s">
        <v>7</v>
      </c>
    </row>
    <row r="2" spans="1:11" ht="13.75" customHeight="1" x14ac:dyDescent="0.15">
      <c r="A2" s="142">
        <v>110</v>
      </c>
      <c r="B2" s="112" t="s">
        <v>8</v>
      </c>
      <c r="C2" s="112">
        <v>110</v>
      </c>
      <c r="D2" s="143" t="s">
        <v>9</v>
      </c>
      <c r="E2" s="144" t="s">
        <v>10</v>
      </c>
      <c r="F2" s="86">
        <f>SUMIFS(ADHours,ACode,D2)</f>
        <v>1.7361111109494232E-2</v>
      </c>
      <c r="G2" s="86">
        <f>SUMIFS(ANHours,ACode,D2)</f>
        <v>1.7361111109494232E-2</v>
      </c>
      <c r="H2" s="86"/>
    </row>
    <row r="3" spans="1:11" ht="13.75" customHeight="1" x14ac:dyDescent="0.15">
      <c r="A3" s="142">
        <v>120</v>
      </c>
      <c r="B3" s="112" t="s">
        <v>8</v>
      </c>
      <c r="C3" s="112">
        <v>120</v>
      </c>
      <c r="D3" s="143" t="s">
        <v>11</v>
      </c>
      <c r="E3" s="144" t="s">
        <v>12</v>
      </c>
      <c r="F3" s="86">
        <f>SUMIFS(ADHours,ACode,D3)</f>
        <v>0.13888888888322981</v>
      </c>
      <c r="G3" s="86">
        <f>SUMIFS(ANHours,ACode,D3)</f>
        <v>0.13888888888322981</v>
      </c>
      <c r="H3" s="86"/>
    </row>
    <row r="4" spans="1:11" ht="13.75" customHeight="1" x14ac:dyDescent="0.15">
      <c r="A4" s="142">
        <v>130</v>
      </c>
      <c r="B4" s="112" t="s">
        <v>8</v>
      </c>
      <c r="C4" s="112">
        <v>130</v>
      </c>
      <c r="D4" s="143" t="s">
        <v>13</v>
      </c>
      <c r="E4" s="144" t="s">
        <v>14</v>
      </c>
      <c r="F4" s="86">
        <f>SUMIFS(ADHours,ACode,D4)</f>
        <v>0.68055555555474712</v>
      </c>
      <c r="G4" s="86">
        <f>SUMIFS(ANHours,ACode,D4)</f>
        <v>0.68055555555474712</v>
      </c>
      <c r="H4" s="86"/>
    </row>
    <row r="5" spans="1:11" ht="15.5" customHeight="1" x14ac:dyDescent="0.15">
      <c r="A5" s="142">
        <v>198</v>
      </c>
      <c r="B5" s="112" t="s">
        <v>8</v>
      </c>
      <c r="C5" s="112">
        <v>198</v>
      </c>
      <c r="D5" s="145"/>
      <c r="E5" s="146" t="s">
        <v>15</v>
      </c>
      <c r="F5" s="113">
        <f>SUM(F2:F4)</f>
        <v>0.83680555554747116</v>
      </c>
      <c r="G5" s="113">
        <f>SUM(G2:G4)</f>
        <v>0.83680555554747116</v>
      </c>
      <c r="H5" s="86"/>
    </row>
    <row r="6" spans="1:11" ht="13.75" customHeight="1" x14ac:dyDescent="0.15">
      <c r="A6" s="142">
        <v>999</v>
      </c>
      <c r="B6" s="112" t="s">
        <v>8</v>
      </c>
      <c r="C6" s="112">
        <v>999</v>
      </c>
      <c r="D6" s="145"/>
      <c r="E6" s="144"/>
      <c r="F6" s="86"/>
      <c r="G6" s="86"/>
      <c r="H6" s="86"/>
    </row>
    <row r="7" spans="1:11" ht="13.75" customHeight="1" x14ac:dyDescent="0.15">
      <c r="A7" s="142">
        <v>1000</v>
      </c>
      <c r="B7" s="112" t="s">
        <v>8</v>
      </c>
      <c r="C7" s="112">
        <v>1000</v>
      </c>
      <c r="D7" s="145">
        <v>100</v>
      </c>
      <c r="E7" s="144" t="s">
        <v>16</v>
      </c>
      <c r="F7" s="86">
        <f t="shared" ref="F7:F13" si="0">SUMIFS(ADHours,ACode,D7)</f>
        <v>0</v>
      </c>
      <c r="G7" s="86">
        <f t="shared" ref="G7:G13" si="1">SUMIFS(ANHours,ACode,D7)</f>
        <v>0</v>
      </c>
      <c r="H7" s="86"/>
    </row>
    <row r="8" spans="1:11" ht="13.75" customHeight="1" x14ac:dyDescent="0.15">
      <c r="A8" s="142">
        <v>1100</v>
      </c>
      <c r="B8" s="112" t="s">
        <v>8</v>
      </c>
      <c r="C8" s="112">
        <v>1100</v>
      </c>
      <c r="D8" s="145">
        <v>110</v>
      </c>
      <c r="E8" s="144" t="s">
        <v>17</v>
      </c>
      <c r="F8" s="86">
        <f t="shared" si="0"/>
        <v>1.7361111109494232E-2</v>
      </c>
      <c r="G8" s="86">
        <f t="shared" si="1"/>
        <v>1.7361111109494232E-2</v>
      </c>
      <c r="H8" s="86"/>
    </row>
    <row r="9" spans="1:11" ht="13.75" hidden="1" customHeight="1" x14ac:dyDescent="0.15">
      <c r="A9" s="142">
        <v>1200</v>
      </c>
      <c r="C9" s="112">
        <v>1200</v>
      </c>
      <c r="D9" s="145">
        <v>120</v>
      </c>
      <c r="E9" s="144" t="s">
        <v>18</v>
      </c>
      <c r="F9" s="86">
        <f t="shared" si="0"/>
        <v>0</v>
      </c>
      <c r="G9" s="86">
        <f t="shared" si="1"/>
        <v>0</v>
      </c>
      <c r="H9" s="86"/>
    </row>
    <row r="10" spans="1:11" ht="13.75" hidden="1" customHeight="1" x14ac:dyDescent="0.15">
      <c r="A10" s="142">
        <v>1300</v>
      </c>
      <c r="C10" s="112">
        <v>1300</v>
      </c>
      <c r="D10" s="145">
        <v>130</v>
      </c>
      <c r="E10" s="144" t="s">
        <v>19</v>
      </c>
      <c r="F10" s="86">
        <f t="shared" si="0"/>
        <v>0</v>
      </c>
      <c r="G10" s="86">
        <f t="shared" si="1"/>
        <v>0</v>
      </c>
      <c r="H10" s="86"/>
      <c r="K10" s="114"/>
    </row>
    <row r="11" spans="1:11" ht="13.75" hidden="1" customHeight="1" x14ac:dyDescent="0.15">
      <c r="A11" s="142">
        <v>1310</v>
      </c>
      <c r="C11" s="112">
        <v>1310</v>
      </c>
      <c r="D11" s="145">
        <v>131</v>
      </c>
      <c r="E11" s="144" t="s">
        <v>20</v>
      </c>
      <c r="F11" s="86">
        <f t="shared" si="0"/>
        <v>0</v>
      </c>
      <c r="G11" s="86">
        <f t="shared" si="1"/>
        <v>0</v>
      </c>
      <c r="H11" s="86"/>
      <c r="K11" s="114"/>
    </row>
    <row r="12" spans="1:11" ht="13.75" hidden="1" customHeight="1" x14ac:dyDescent="0.15">
      <c r="A12" s="142">
        <v>1320</v>
      </c>
      <c r="C12" s="112">
        <v>1320</v>
      </c>
      <c r="D12" s="145">
        <v>132</v>
      </c>
      <c r="E12" s="144" t="s">
        <v>21</v>
      </c>
      <c r="F12" s="86">
        <f t="shared" si="0"/>
        <v>0</v>
      </c>
      <c r="G12" s="86">
        <f t="shared" si="1"/>
        <v>0</v>
      </c>
      <c r="H12" s="86"/>
      <c r="K12" s="114"/>
    </row>
    <row r="13" spans="1:11" ht="13.75" hidden="1" customHeight="1" x14ac:dyDescent="0.15">
      <c r="A13" s="142">
        <v>1330</v>
      </c>
      <c r="C13" s="112">
        <v>1330</v>
      </c>
      <c r="D13" s="145">
        <v>133</v>
      </c>
      <c r="E13" s="144" t="s">
        <v>22</v>
      </c>
      <c r="F13" s="86">
        <f t="shared" si="0"/>
        <v>0</v>
      </c>
      <c r="G13" s="86">
        <f t="shared" si="1"/>
        <v>0</v>
      </c>
      <c r="H13" s="86"/>
      <c r="K13" s="114"/>
    </row>
    <row r="14" spans="1:11" ht="13.75" customHeight="1" x14ac:dyDescent="0.15">
      <c r="A14" s="142">
        <v>1399</v>
      </c>
      <c r="B14" s="112" t="s">
        <v>8</v>
      </c>
      <c r="C14" s="112">
        <v>1399</v>
      </c>
      <c r="D14" s="145"/>
      <c r="E14" s="144"/>
      <c r="F14" s="86"/>
      <c r="G14" s="86"/>
      <c r="H14" s="86"/>
    </row>
    <row r="15" spans="1:11" ht="13.75" customHeight="1" x14ac:dyDescent="0.15">
      <c r="A15" s="142">
        <v>2000</v>
      </c>
      <c r="B15" s="112" t="s">
        <v>8</v>
      </c>
      <c r="C15" s="112">
        <v>2000</v>
      </c>
      <c r="D15" s="145">
        <v>2</v>
      </c>
      <c r="E15" s="87" t="s">
        <v>23</v>
      </c>
      <c r="F15" s="86">
        <f>SUMIFS(ADHours,ACode,D15)</f>
        <v>0.13888888888322981</v>
      </c>
      <c r="G15" s="86">
        <f>SUMIFS(ANHours,ACode,D15)</f>
        <v>0.13888888888322981</v>
      </c>
      <c r="H15" s="86"/>
    </row>
    <row r="16" spans="1:11" ht="13.75" customHeight="1" x14ac:dyDescent="0.15">
      <c r="A16" s="142">
        <v>2100</v>
      </c>
      <c r="B16" s="112" t="s">
        <v>8</v>
      </c>
      <c r="C16" s="112">
        <v>2100</v>
      </c>
      <c r="D16" s="145">
        <v>210</v>
      </c>
      <c r="E16" s="87" t="s">
        <v>24</v>
      </c>
      <c r="F16" s="86">
        <f>SUMIFS(ADHours,ACode,D16)</f>
        <v>2.0833333335758653E-2</v>
      </c>
      <c r="G16" s="86">
        <f>SUMIFS(ANHours,ACode,D16)</f>
        <v>2.0833333335758653E-2</v>
      </c>
      <c r="H16" s="86"/>
    </row>
    <row r="17" spans="1:14" ht="13.75" customHeight="1" x14ac:dyDescent="0.15">
      <c r="A17" s="142">
        <v>2999</v>
      </c>
      <c r="B17" s="112" t="s">
        <v>8</v>
      </c>
      <c r="C17" s="112">
        <v>2999</v>
      </c>
      <c r="D17" s="145"/>
      <c r="E17" s="144"/>
      <c r="F17" s="86"/>
      <c r="G17" s="86"/>
      <c r="H17" s="86"/>
    </row>
    <row r="18" spans="1:14" ht="13.75" hidden="1" customHeight="1" x14ac:dyDescent="0.15">
      <c r="A18" s="142">
        <v>3000</v>
      </c>
      <c r="B18" s="112" t="s">
        <v>8</v>
      </c>
      <c r="C18" s="112">
        <v>3000</v>
      </c>
      <c r="D18" s="145">
        <v>300</v>
      </c>
      <c r="E18" s="87" t="s">
        <v>25</v>
      </c>
      <c r="F18" s="86">
        <f t="shared" ref="F18:F37" si="2">SUMIFS(ADHours,ACode,D18)</f>
        <v>0</v>
      </c>
      <c r="G18" s="86">
        <f t="shared" ref="G18:G37" si="3">SUMIFS(ANHours,ACode,D18)</f>
        <v>0</v>
      </c>
      <c r="H18" s="86"/>
    </row>
    <row r="19" spans="1:14" ht="13.75" hidden="1" customHeight="1" x14ac:dyDescent="0.15">
      <c r="A19" s="142">
        <v>3100</v>
      </c>
      <c r="C19" s="112">
        <v>3100</v>
      </c>
      <c r="D19" s="145">
        <v>310</v>
      </c>
      <c r="E19" s="87" t="s">
        <v>26</v>
      </c>
      <c r="F19" s="86">
        <f t="shared" si="2"/>
        <v>0</v>
      </c>
      <c r="G19" s="86">
        <f t="shared" si="3"/>
        <v>0</v>
      </c>
      <c r="H19" s="86"/>
    </row>
    <row r="20" spans="1:14" ht="13.75" hidden="1" customHeight="1" x14ac:dyDescent="0.15">
      <c r="A20" s="142">
        <v>3110</v>
      </c>
      <c r="C20" s="112">
        <v>3110</v>
      </c>
      <c r="D20" s="145">
        <v>311</v>
      </c>
      <c r="E20" s="87" t="s">
        <v>27</v>
      </c>
      <c r="F20" s="86">
        <f t="shared" si="2"/>
        <v>0</v>
      </c>
      <c r="G20" s="86">
        <f t="shared" si="3"/>
        <v>0</v>
      </c>
      <c r="H20" s="86"/>
    </row>
    <row r="21" spans="1:14" ht="13.75" hidden="1" customHeight="1" x14ac:dyDescent="0.15">
      <c r="A21" s="142">
        <v>3200</v>
      </c>
      <c r="B21" s="112" t="s">
        <v>8</v>
      </c>
      <c r="C21" s="112">
        <v>3200</v>
      </c>
      <c r="D21" s="145">
        <v>320</v>
      </c>
      <c r="E21" s="87" t="s">
        <v>28</v>
      </c>
      <c r="F21" s="86">
        <f t="shared" si="2"/>
        <v>0</v>
      </c>
      <c r="G21" s="86">
        <f t="shared" si="3"/>
        <v>0</v>
      </c>
      <c r="H21" s="86"/>
    </row>
    <row r="22" spans="1:14" ht="13.75" hidden="1" customHeight="1" x14ac:dyDescent="0.15">
      <c r="A22" s="142">
        <v>3210</v>
      </c>
      <c r="B22" s="112" t="s">
        <v>8</v>
      </c>
      <c r="C22" s="112">
        <v>3210</v>
      </c>
      <c r="D22" s="145">
        <v>321</v>
      </c>
      <c r="E22" s="87" t="s">
        <v>29</v>
      </c>
      <c r="F22" s="86">
        <f t="shared" si="2"/>
        <v>0</v>
      </c>
      <c r="G22" s="86">
        <f t="shared" si="3"/>
        <v>0</v>
      </c>
      <c r="H22" s="86"/>
      <c r="N22" s="115"/>
    </row>
    <row r="23" spans="1:14" ht="13.75" hidden="1" customHeight="1" x14ac:dyDescent="0.15">
      <c r="A23" s="142">
        <v>3250</v>
      </c>
      <c r="C23" s="112">
        <v>3250</v>
      </c>
      <c r="D23" s="145">
        <v>325</v>
      </c>
      <c r="E23" s="87" t="s">
        <v>30</v>
      </c>
      <c r="F23" s="86">
        <f t="shared" si="2"/>
        <v>0</v>
      </c>
      <c r="G23" s="86">
        <f t="shared" si="3"/>
        <v>0</v>
      </c>
      <c r="H23" s="86"/>
    </row>
    <row r="24" spans="1:14" ht="13.75" hidden="1" customHeight="1" x14ac:dyDescent="0.15">
      <c r="A24" s="142">
        <v>3300</v>
      </c>
      <c r="C24" s="112">
        <v>3300</v>
      </c>
      <c r="D24" s="145">
        <v>330</v>
      </c>
      <c r="E24" s="87" t="s">
        <v>31</v>
      </c>
      <c r="F24" s="86">
        <f t="shared" si="2"/>
        <v>0</v>
      </c>
      <c r="G24" s="86">
        <f t="shared" si="3"/>
        <v>0</v>
      </c>
      <c r="H24" s="86"/>
    </row>
    <row r="25" spans="1:14" ht="13.75" hidden="1" customHeight="1" x14ac:dyDescent="0.15">
      <c r="A25" s="142">
        <v>3310</v>
      </c>
      <c r="C25" s="112">
        <v>3310</v>
      </c>
      <c r="D25" s="145">
        <v>331</v>
      </c>
      <c r="E25" s="87" t="s">
        <v>32</v>
      </c>
      <c r="F25" s="86">
        <f t="shared" si="2"/>
        <v>0</v>
      </c>
      <c r="G25" s="86">
        <f t="shared" si="3"/>
        <v>0</v>
      </c>
      <c r="H25" s="86"/>
    </row>
    <row r="26" spans="1:14" ht="13.75" hidden="1" customHeight="1" x14ac:dyDescent="0.15">
      <c r="A26" s="142">
        <v>3320</v>
      </c>
      <c r="C26" s="112">
        <v>3320</v>
      </c>
      <c r="D26" s="145">
        <v>332</v>
      </c>
      <c r="E26" s="87" t="s">
        <v>33</v>
      </c>
      <c r="F26" s="86">
        <f t="shared" si="2"/>
        <v>0</v>
      </c>
      <c r="G26" s="86">
        <f t="shared" si="3"/>
        <v>0</v>
      </c>
      <c r="H26" s="86"/>
    </row>
    <row r="27" spans="1:14" ht="13.75" hidden="1" customHeight="1" x14ac:dyDescent="0.15">
      <c r="A27" s="142">
        <v>3330</v>
      </c>
      <c r="C27" s="112">
        <v>3330</v>
      </c>
      <c r="D27" s="145">
        <v>333</v>
      </c>
      <c r="E27" s="87" t="s">
        <v>34</v>
      </c>
      <c r="F27" s="86">
        <f t="shared" si="2"/>
        <v>0</v>
      </c>
      <c r="G27" s="86">
        <f t="shared" si="3"/>
        <v>0</v>
      </c>
      <c r="H27" s="86"/>
    </row>
    <row r="28" spans="1:14" ht="13.75" hidden="1" customHeight="1" x14ac:dyDescent="0.15">
      <c r="A28" s="142">
        <v>3400</v>
      </c>
      <c r="C28" s="112">
        <v>3400</v>
      </c>
      <c r="D28" s="145">
        <v>340</v>
      </c>
      <c r="E28" s="87" t="s">
        <v>35</v>
      </c>
      <c r="F28" s="86">
        <f t="shared" si="2"/>
        <v>0</v>
      </c>
      <c r="G28" s="86">
        <f t="shared" si="3"/>
        <v>0</v>
      </c>
      <c r="H28" s="86"/>
    </row>
    <row r="29" spans="1:14" ht="13.75" hidden="1" customHeight="1" x14ac:dyDescent="0.15">
      <c r="A29" s="142">
        <v>3410</v>
      </c>
      <c r="C29" s="112">
        <v>3410</v>
      </c>
      <c r="D29" s="145">
        <v>341</v>
      </c>
      <c r="E29" s="87" t="s">
        <v>36</v>
      </c>
      <c r="F29" s="86">
        <f t="shared" si="2"/>
        <v>0</v>
      </c>
      <c r="G29" s="86">
        <f t="shared" si="3"/>
        <v>0</v>
      </c>
      <c r="H29" s="86"/>
    </row>
    <row r="30" spans="1:14" ht="13.75" hidden="1" customHeight="1" x14ac:dyDescent="0.15">
      <c r="A30" s="142">
        <v>3450</v>
      </c>
      <c r="C30" s="112">
        <v>3450</v>
      </c>
      <c r="D30" s="145">
        <v>345</v>
      </c>
      <c r="E30" s="87" t="s">
        <v>37</v>
      </c>
      <c r="F30" s="86">
        <f t="shared" si="2"/>
        <v>0</v>
      </c>
      <c r="G30" s="86">
        <f t="shared" si="3"/>
        <v>0</v>
      </c>
      <c r="H30" s="86"/>
      <c r="K30" s="114"/>
    </row>
    <row r="31" spans="1:14" ht="13.75" customHeight="1" x14ac:dyDescent="0.15">
      <c r="A31" s="142">
        <v>3460</v>
      </c>
      <c r="B31" s="112" t="s">
        <v>8</v>
      </c>
      <c r="C31" s="112">
        <v>3460</v>
      </c>
      <c r="D31" s="145">
        <v>346</v>
      </c>
      <c r="E31" s="87" t="s">
        <v>38</v>
      </c>
      <c r="F31" s="86">
        <f t="shared" si="2"/>
        <v>0.11111111110949423</v>
      </c>
      <c r="G31" s="86">
        <f t="shared" si="3"/>
        <v>0.11111111110949423</v>
      </c>
      <c r="H31" s="86"/>
      <c r="K31" s="114"/>
    </row>
    <row r="32" spans="1:14" ht="13.75" customHeight="1" x14ac:dyDescent="0.15">
      <c r="A32" s="142">
        <v>3500</v>
      </c>
      <c r="B32" s="112" t="s">
        <v>8</v>
      </c>
      <c r="C32" s="112">
        <v>3500</v>
      </c>
      <c r="D32" s="145">
        <v>350</v>
      </c>
      <c r="E32" s="87" t="s">
        <v>39</v>
      </c>
      <c r="F32" s="86">
        <f t="shared" si="2"/>
        <v>0.12152777777373558</v>
      </c>
      <c r="G32" s="86">
        <f t="shared" si="3"/>
        <v>0.12152777777373558</v>
      </c>
      <c r="H32" s="86"/>
    </row>
    <row r="33" spans="1:11" ht="13.75" hidden="1" customHeight="1" x14ac:dyDescent="0.15">
      <c r="A33" s="142">
        <v>3580</v>
      </c>
      <c r="C33" s="112">
        <v>3580</v>
      </c>
      <c r="D33" s="145">
        <v>358</v>
      </c>
      <c r="E33" s="87" t="s">
        <v>40</v>
      </c>
      <c r="F33" s="86">
        <f t="shared" si="2"/>
        <v>0</v>
      </c>
      <c r="G33" s="86">
        <f t="shared" si="3"/>
        <v>0</v>
      </c>
      <c r="H33" s="86"/>
    </row>
    <row r="34" spans="1:11" ht="13.75" hidden="1" customHeight="1" x14ac:dyDescent="0.15">
      <c r="A34" s="142">
        <v>3590</v>
      </c>
      <c r="C34" s="112">
        <v>3590</v>
      </c>
      <c r="D34" s="145">
        <v>359</v>
      </c>
      <c r="E34" s="87" t="s">
        <v>41</v>
      </c>
      <c r="F34" s="86">
        <f t="shared" si="2"/>
        <v>0</v>
      </c>
      <c r="G34" s="86">
        <f t="shared" si="3"/>
        <v>0</v>
      </c>
      <c r="H34" s="86"/>
    </row>
    <row r="35" spans="1:11" ht="13.75" customHeight="1" x14ac:dyDescent="0.15">
      <c r="A35" s="142">
        <v>3600</v>
      </c>
      <c r="B35" s="112" t="s">
        <v>8</v>
      </c>
      <c r="C35" s="112">
        <v>3600</v>
      </c>
      <c r="D35" s="145">
        <v>360</v>
      </c>
      <c r="E35" s="87" t="s">
        <v>42</v>
      </c>
      <c r="F35" s="86">
        <f t="shared" si="2"/>
        <v>9.3749999992724042E-2</v>
      </c>
      <c r="G35" s="86">
        <f t="shared" si="3"/>
        <v>9.3749999992724042E-2</v>
      </c>
      <c r="H35" s="86"/>
    </row>
    <row r="36" spans="1:11" ht="13.75" customHeight="1" x14ac:dyDescent="0.15">
      <c r="A36" s="142">
        <v>3700</v>
      </c>
      <c r="B36" s="112" t="s">
        <v>8</v>
      </c>
      <c r="C36" s="112">
        <v>3700</v>
      </c>
      <c r="D36" s="145">
        <v>370</v>
      </c>
      <c r="E36" s="87" t="s">
        <v>43</v>
      </c>
      <c r="F36" s="86">
        <f t="shared" si="2"/>
        <v>1.0416666671517305E-2</v>
      </c>
      <c r="G36" s="86">
        <f t="shared" si="3"/>
        <v>1.0416666671517305E-2</v>
      </c>
      <c r="H36" s="86"/>
    </row>
    <row r="37" spans="1:11" ht="13.75" hidden="1" customHeight="1" x14ac:dyDescent="0.15">
      <c r="A37" s="142">
        <v>3710</v>
      </c>
      <c r="B37" s="112" t="s">
        <v>8</v>
      </c>
      <c r="C37" s="112">
        <v>3710</v>
      </c>
      <c r="D37" s="145">
        <v>371</v>
      </c>
      <c r="E37" s="87" t="s">
        <v>44</v>
      </c>
      <c r="F37" s="86">
        <f t="shared" si="2"/>
        <v>0</v>
      </c>
      <c r="G37" s="86">
        <f t="shared" si="3"/>
        <v>0</v>
      </c>
      <c r="H37" s="86"/>
    </row>
    <row r="38" spans="1:11" ht="13.75" customHeight="1" x14ac:dyDescent="0.15">
      <c r="A38" s="142">
        <v>3799</v>
      </c>
      <c r="B38" s="112" t="s">
        <v>8</v>
      </c>
      <c r="C38" s="112">
        <v>3799</v>
      </c>
      <c r="D38" s="145"/>
      <c r="E38" s="87"/>
      <c r="F38" s="86"/>
      <c r="G38" s="86"/>
      <c r="H38" s="86"/>
    </row>
    <row r="39" spans="1:11" ht="13.75" hidden="1" customHeight="1" x14ac:dyDescent="0.15">
      <c r="A39" s="142">
        <v>3810</v>
      </c>
      <c r="C39" s="112">
        <v>3810</v>
      </c>
      <c r="D39" s="145">
        <v>381</v>
      </c>
      <c r="E39" s="87" t="s">
        <v>45</v>
      </c>
      <c r="F39" s="86">
        <f>SUMIFS(ADHours,ACode,D39)</f>
        <v>0</v>
      </c>
      <c r="G39" s="86">
        <f>SUMIFS(ANHours,ACode,D39)</f>
        <v>0</v>
      </c>
      <c r="H39" s="86"/>
    </row>
    <row r="40" spans="1:11" ht="13.75" hidden="1" customHeight="1" x14ac:dyDescent="0.15">
      <c r="A40" s="142">
        <v>3820</v>
      </c>
      <c r="C40" s="112">
        <v>3820</v>
      </c>
      <c r="D40" s="145">
        <v>382</v>
      </c>
      <c r="E40" s="87" t="s">
        <v>46</v>
      </c>
      <c r="F40" s="86">
        <f>SUMIFS(ADHours,ACode,D40)</f>
        <v>0</v>
      </c>
      <c r="G40" s="86">
        <f>SUMIFS(ANHours,ACode,D40)</f>
        <v>0</v>
      </c>
      <c r="H40" s="86"/>
    </row>
    <row r="41" spans="1:11" ht="13.75" hidden="1" customHeight="1" x14ac:dyDescent="0.15">
      <c r="A41" s="142">
        <v>3830</v>
      </c>
      <c r="C41" s="112">
        <v>3830</v>
      </c>
      <c r="D41" s="145">
        <v>383</v>
      </c>
      <c r="E41" s="87" t="s">
        <v>47</v>
      </c>
      <c r="F41" s="86">
        <f>SUMIFS(ADHours,ACode,D41)</f>
        <v>0</v>
      </c>
      <c r="G41" s="86">
        <f>SUMIFS(ANHours,ACode,D41)</f>
        <v>0</v>
      </c>
      <c r="H41" s="86"/>
    </row>
    <row r="42" spans="1:11" ht="13.75" hidden="1" customHeight="1" x14ac:dyDescent="0.15">
      <c r="A42" s="142">
        <v>3840</v>
      </c>
      <c r="C42" s="112">
        <v>3840</v>
      </c>
      <c r="D42" s="145">
        <v>384</v>
      </c>
      <c r="E42" s="87" t="s">
        <v>48</v>
      </c>
      <c r="F42" s="86">
        <f>SUMIFS(ADHours,ACode,D42)</f>
        <v>0</v>
      </c>
      <c r="G42" s="86">
        <f>SUMIFS(ANHours,ACode,D42)</f>
        <v>0</v>
      </c>
      <c r="H42" s="86"/>
      <c r="J42" s="17" t="s">
        <v>49</v>
      </c>
      <c r="K42" s="114"/>
    </row>
    <row r="43" spans="1:11" ht="13.75" customHeight="1" x14ac:dyDescent="0.15">
      <c r="A43" s="142">
        <v>3999</v>
      </c>
      <c r="B43" s="112" t="s">
        <v>8</v>
      </c>
      <c r="C43" s="112">
        <v>3999</v>
      </c>
      <c r="D43" s="145"/>
      <c r="E43" s="144"/>
      <c r="F43" s="86"/>
      <c r="G43" s="86"/>
      <c r="H43" s="86"/>
      <c r="K43" s="114"/>
    </row>
    <row r="44" spans="1:11" ht="13.75" customHeight="1" x14ac:dyDescent="0.15">
      <c r="A44" s="142">
        <v>4000</v>
      </c>
      <c r="B44" s="112" t="s">
        <v>8</v>
      </c>
      <c r="C44" s="112">
        <v>4000</v>
      </c>
      <c r="D44" s="145">
        <v>4</v>
      </c>
      <c r="E44" s="88" t="s">
        <v>50</v>
      </c>
      <c r="F44" s="86">
        <f>SUMIFS(ADHours,ACode,D44)</f>
        <v>0.13194444445252884</v>
      </c>
      <c r="G44" s="86">
        <f>SUMIFS(ANHours,ACode,D44)</f>
        <v>0.13194444445252884</v>
      </c>
      <c r="H44" s="86"/>
      <c r="K44" s="116"/>
    </row>
    <row r="45" spans="1:11" ht="13.75" customHeight="1" x14ac:dyDescent="0.15">
      <c r="A45" s="142">
        <v>5000</v>
      </c>
      <c r="B45" s="112" t="s">
        <v>8</v>
      </c>
      <c r="C45" s="112">
        <v>5000</v>
      </c>
      <c r="D45" s="145">
        <v>5</v>
      </c>
      <c r="E45" s="88" t="s">
        <v>51</v>
      </c>
      <c r="F45" s="86">
        <f>SUMIFS(ADHours,ACode,D45)</f>
        <v>8.333333334303461E-2</v>
      </c>
      <c r="G45" s="86">
        <f>SUMIFS(ANHours,ACode,D45)</f>
        <v>8.333333334303461E-2</v>
      </c>
      <c r="H45" s="86"/>
    </row>
    <row r="46" spans="1:11" ht="13.75" hidden="1" customHeight="1" x14ac:dyDescent="0.15">
      <c r="A46" s="142">
        <v>6000</v>
      </c>
      <c r="B46" s="112" t="s">
        <v>8</v>
      </c>
      <c r="C46" s="112">
        <v>6000</v>
      </c>
      <c r="D46" s="145">
        <v>6</v>
      </c>
      <c r="E46" s="87" t="s">
        <v>52</v>
      </c>
      <c r="F46" s="86">
        <f>SUMIFS(ADHours,ACode,D46)</f>
        <v>0</v>
      </c>
      <c r="G46" s="86">
        <f>SUMIFS(ANHours,ACode,D46)</f>
        <v>0</v>
      </c>
      <c r="H46" s="86"/>
    </row>
    <row r="47" spans="1:11" ht="13.75" customHeight="1" x14ac:dyDescent="0.15">
      <c r="A47" s="142">
        <v>6999</v>
      </c>
      <c r="B47" s="112" t="s">
        <v>8</v>
      </c>
      <c r="C47" s="112">
        <v>6999</v>
      </c>
      <c r="D47" s="145"/>
      <c r="E47" s="87"/>
      <c r="F47" s="86"/>
      <c r="G47" s="86"/>
      <c r="H47" s="86"/>
    </row>
    <row r="48" spans="1:11" ht="13.75" customHeight="1" x14ac:dyDescent="0.15">
      <c r="A48" s="142">
        <v>7000</v>
      </c>
      <c r="B48" s="112" t="s">
        <v>8</v>
      </c>
      <c r="C48" s="112">
        <v>7000</v>
      </c>
      <c r="D48" s="145">
        <v>700</v>
      </c>
      <c r="E48" s="87" t="s">
        <v>53</v>
      </c>
      <c r="F48" s="86">
        <f>SUMIFS(ADHours,ACode,D48)</f>
        <v>1.7361111109494232E-2</v>
      </c>
      <c r="G48" s="86">
        <f>SUMIFS(ANHours,ACode,D48)</f>
        <v>1.7361111109494232E-2</v>
      </c>
      <c r="H48" s="86"/>
    </row>
    <row r="49" spans="1:8" ht="13.75" customHeight="1" x14ac:dyDescent="0.15">
      <c r="A49" s="142">
        <v>7100</v>
      </c>
      <c r="B49" s="112" t="s">
        <v>8</v>
      </c>
      <c r="C49" s="112">
        <v>7100</v>
      </c>
      <c r="D49" s="145">
        <v>710</v>
      </c>
      <c r="E49" s="87" t="s">
        <v>54</v>
      </c>
      <c r="F49" s="86">
        <f>SUMIFS(ADHours,ACode,D49)</f>
        <v>6.9444444452528842E-3</v>
      </c>
      <c r="G49" s="86">
        <f>SUMIFS(ANHours,ACode,D49)</f>
        <v>6.9444444452528842E-3</v>
      </c>
      <c r="H49" s="86"/>
    </row>
    <row r="50" spans="1:8" ht="13.75" customHeight="1" x14ac:dyDescent="0.15">
      <c r="A50" s="142">
        <v>7500</v>
      </c>
      <c r="B50" s="112" t="s">
        <v>8</v>
      </c>
      <c r="C50" s="112">
        <v>7500</v>
      </c>
      <c r="D50" s="145">
        <v>750</v>
      </c>
      <c r="E50" s="87" t="s">
        <v>55</v>
      </c>
      <c r="F50" s="86">
        <f>SUMIFS(ADHours,ACode,D50)</f>
        <v>2.7777777773735579E-2</v>
      </c>
      <c r="G50" s="86">
        <f>SUMIFS(ANHours,ACode,D50)</f>
        <v>2.7777777773735579E-2</v>
      </c>
      <c r="H50" s="86"/>
    </row>
    <row r="51" spans="1:8" ht="13.75" customHeight="1" x14ac:dyDescent="0.15">
      <c r="A51" s="142">
        <v>7999</v>
      </c>
      <c r="B51" s="112" t="s">
        <v>8</v>
      </c>
      <c r="C51" s="112">
        <v>7999</v>
      </c>
      <c r="D51" s="145"/>
      <c r="E51" s="87"/>
      <c r="F51" s="86"/>
      <c r="G51" s="86"/>
      <c r="H51" s="86"/>
    </row>
    <row r="52" spans="1:8" ht="13.75" customHeight="1" x14ac:dyDescent="0.15">
      <c r="A52" s="142">
        <v>8000</v>
      </c>
      <c r="B52" s="112" t="s">
        <v>8</v>
      </c>
      <c r="C52" s="112">
        <v>8000</v>
      </c>
      <c r="D52" s="145">
        <v>8</v>
      </c>
      <c r="E52" s="87" t="s">
        <v>56</v>
      </c>
      <c r="F52" s="86">
        <f>SUMIFS(ADHours,ACode,D52)</f>
        <v>1.0416666664241347E-2</v>
      </c>
      <c r="G52" s="86">
        <f>SUMIFS(ANHours,ACode,D52)</f>
        <v>1.0416666664241347E-2</v>
      </c>
      <c r="H52" s="86"/>
    </row>
    <row r="53" spans="1:8" ht="13.75" hidden="1" customHeight="1" x14ac:dyDescent="0.15">
      <c r="A53" s="142">
        <v>9000</v>
      </c>
      <c r="B53" s="112" t="s">
        <v>8</v>
      </c>
      <c r="C53" s="112">
        <v>9000</v>
      </c>
      <c r="D53" s="145">
        <v>9</v>
      </c>
      <c r="E53" s="87" t="s">
        <v>57</v>
      </c>
      <c r="F53" s="86">
        <f>SUMIFS(ADHours,ACode,D53)</f>
        <v>0</v>
      </c>
      <c r="G53" s="86">
        <f>SUMIFS(ANHours,ACode,D53)</f>
        <v>0</v>
      </c>
      <c r="H53" s="86"/>
    </row>
    <row r="54" spans="1:8" ht="13.75" customHeight="1" x14ac:dyDescent="0.15">
      <c r="A54" s="142">
        <v>9999</v>
      </c>
      <c r="B54" s="112" t="s">
        <v>8</v>
      </c>
      <c r="C54" s="112">
        <v>9999</v>
      </c>
      <c r="D54" s="145">
        <v>10</v>
      </c>
      <c r="E54" s="163" t="s">
        <v>58</v>
      </c>
      <c r="F54" s="86">
        <f>SUMIFS(ADHours,ACode,D54)</f>
        <v>4.5138888883229811E-2</v>
      </c>
      <c r="G54" s="86">
        <f>SUMIFS(ANHours,ACode,D54)</f>
        <v>4.5138888883229811E-2</v>
      </c>
      <c r="H54" s="86"/>
    </row>
    <row r="55" spans="1:8" ht="15" customHeight="1" x14ac:dyDescent="0.15">
      <c r="A55" s="142">
        <v>10000</v>
      </c>
      <c r="B55" s="112" t="s">
        <v>8</v>
      </c>
      <c r="C55" s="112">
        <v>10000</v>
      </c>
      <c r="D55" s="145"/>
      <c r="E55" s="90"/>
      <c r="F55" s="117"/>
      <c r="G55" s="117"/>
      <c r="H55" s="86"/>
    </row>
    <row r="56" spans="1:8" ht="31.25" customHeight="1" x14ac:dyDescent="0.15">
      <c r="A56" s="142">
        <v>12000</v>
      </c>
      <c r="B56" s="112" t="s">
        <v>8</v>
      </c>
      <c r="C56" s="112">
        <v>12000</v>
      </c>
      <c r="D56" s="111"/>
      <c r="E56" s="118" t="s">
        <v>59</v>
      </c>
      <c r="F56" s="119">
        <f>SUM(F7:F55)</f>
        <v>0.83680555554747116</v>
      </c>
      <c r="G56" s="119">
        <f>SUM(G7:G55)</f>
        <v>0.83680555554747116</v>
      </c>
      <c r="H56" s="119"/>
    </row>
    <row r="57" spans="1:8" ht="15" customHeight="1" x14ac:dyDescent="0.15">
      <c r="A57" s="142">
        <v>13000</v>
      </c>
      <c r="B57" s="112" t="s">
        <v>8</v>
      </c>
      <c r="C57" s="112">
        <v>13000</v>
      </c>
      <c r="D57" s="145"/>
      <c r="E57" s="120"/>
      <c r="F57" s="121"/>
      <c r="G57" s="121"/>
      <c r="H57" s="121"/>
    </row>
    <row r="58" spans="1:8" ht="15" customHeight="1" x14ac:dyDescent="0.15">
      <c r="A58" s="142">
        <v>14000</v>
      </c>
      <c r="C58" s="112">
        <v>14000</v>
      </c>
      <c r="D58" s="145"/>
      <c r="E58" s="120"/>
      <c r="F58" s="121"/>
      <c r="G58" s="121"/>
      <c r="H58" s="121"/>
    </row>
    <row r="59" spans="1:8" ht="27" customHeight="1" x14ac:dyDescent="0.15">
      <c r="A59" s="142">
        <v>15000</v>
      </c>
      <c r="B59" s="112" t="s">
        <v>8</v>
      </c>
      <c r="C59" s="112">
        <v>15000</v>
      </c>
      <c r="D59" s="111"/>
      <c r="E59" s="118" t="s">
        <v>60</v>
      </c>
      <c r="F59" s="89">
        <f>SUM(F16:F55)</f>
        <v>0.68055555555474712</v>
      </c>
      <c r="G59" s="89">
        <f>SUM(G16:G55)</f>
        <v>0.68055555555474712</v>
      </c>
      <c r="H59" s="89"/>
    </row>
  </sheetData>
  <autoFilter ref="A1:H59" xr:uid="{00000000-0009-0000-0000-000003000000}">
    <filterColumn colId="6">
      <filters blank="1">
        <filter val="0:10"/>
        <filter val="0:15"/>
        <filter val="0:20"/>
        <filter val="0:35"/>
        <filter val="0:45"/>
        <filter val="1:05"/>
        <filter val="1:20"/>
        <filter val="10:50"/>
        <filter val="2:00"/>
        <filter val="3:30"/>
        <filter val="3:50"/>
        <filter val="3:55"/>
        <filter val="35:10"/>
        <filter val="41:50"/>
        <filter val="6:20"/>
        <filter val="6:55"/>
      </filters>
    </filterColumn>
    <sortState xmlns:xlrd2="http://schemas.microsoft.com/office/spreadsheetml/2017/richdata2" ref="A2:H59">
      <sortCondition ref="C1:C59"/>
    </sortState>
  </autoFilter>
  <conditionalFormatting sqref="C2:C68">
    <cfRule type="expression" dxfId="2" priority="5">
      <formula>C2&lt;&gt;A2</formula>
    </cfRule>
  </conditionalFormatting>
  <conditionalFormatting sqref="F2:F68">
    <cfRule type="expression" dxfId="1" priority="1">
      <formula>F2&lt;&gt;G2</formula>
    </cfRule>
  </conditionalFormatting>
  <pageMargins left="0.7" right="0.7" top="0.75" bottom="0.75" header="0.3" footer="0.3"/>
  <pageSetup paperSize="9" orientation="portrait"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I1138"/>
  <sheetViews>
    <sheetView topLeftCell="D1" zoomScale="85" zoomScaleNormal="85" workbookViewId="0">
      <pane ySplit="12" topLeftCell="A13" activePane="bottomLeft" state="frozen"/>
      <selection activeCell="C36" sqref="C36"/>
      <selection pane="bottomLeft" activeCell="G507" sqref="G507"/>
    </sheetView>
  </sheetViews>
  <sheetFormatPr baseColWidth="10" defaultColWidth="8.83203125" defaultRowHeight="13" x14ac:dyDescent="0.15"/>
  <cols>
    <col min="1" max="1" width="13.1640625" customWidth="1"/>
    <col min="2" max="2" width="15.6640625" customWidth="1"/>
    <col min="3" max="3" width="22.33203125" customWidth="1"/>
    <col min="4" max="4" width="36.83203125" bestFit="1" customWidth="1"/>
    <col min="5" max="5" width="14.5" bestFit="1" customWidth="1"/>
    <col min="6" max="6" width="18.5" bestFit="1" customWidth="1"/>
    <col min="7" max="7" width="14.5" customWidth="1"/>
    <col min="8" max="8" width="18.83203125" bestFit="1" customWidth="1"/>
    <col min="9" max="9" width="43.33203125" customWidth="1"/>
    <col min="10" max="10" width="16" bestFit="1" customWidth="1"/>
    <col min="12" max="12" width="57.5" customWidth="1"/>
  </cols>
  <sheetData>
    <row r="1" spans="1:9" x14ac:dyDescent="0.15">
      <c r="C1" s="2"/>
    </row>
    <row r="2" spans="1:9" ht="33" customHeight="1" x14ac:dyDescent="0.25">
      <c r="A2" s="3" t="s">
        <v>329</v>
      </c>
      <c r="C2" s="2"/>
      <c r="D2" s="2"/>
    </row>
    <row r="3" spans="1:9" s="7" customFormat="1" ht="21" customHeight="1" x14ac:dyDescent="0.2">
      <c r="A3" s="6" t="s">
        <v>330</v>
      </c>
      <c r="C3" s="8"/>
      <c r="D3" s="8"/>
    </row>
    <row r="4" spans="1:9" x14ac:dyDescent="0.15">
      <c r="A4" s="4" t="s">
        <v>49</v>
      </c>
      <c r="C4" s="2" t="s">
        <v>49</v>
      </c>
    </row>
    <row r="5" spans="1:9" x14ac:dyDescent="0.15">
      <c r="A5" s="5" t="s">
        <v>331</v>
      </c>
      <c r="B5" s="41" t="s">
        <v>332</v>
      </c>
      <c r="C5" s="77"/>
    </row>
    <row r="6" spans="1:9" x14ac:dyDescent="0.15">
      <c r="A6" s="5" t="s">
        <v>333</v>
      </c>
      <c r="B6" s="41" t="s">
        <v>334</v>
      </c>
      <c r="C6" s="77"/>
    </row>
    <row r="7" spans="1:9" x14ac:dyDescent="0.15">
      <c r="A7" s="5" t="s">
        <v>335</v>
      </c>
      <c r="B7" s="41" t="s">
        <v>77</v>
      </c>
      <c r="C7" s="77"/>
    </row>
    <row r="8" spans="1:9" x14ac:dyDescent="0.15">
      <c r="A8" s="5" t="s">
        <v>336</v>
      </c>
      <c r="B8" s="41" t="s">
        <v>337</v>
      </c>
      <c r="C8" s="77"/>
    </row>
    <row r="9" spans="1:9" x14ac:dyDescent="0.15">
      <c r="A9" s="5" t="s">
        <v>338</v>
      </c>
      <c r="B9" s="41" t="s">
        <v>339</v>
      </c>
      <c r="C9" s="77"/>
    </row>
    <row r="10" spans="1:9" x14ac:dyDescent="0.15">
      <c r="A10" s="5" t="s">
        <v>340</v>
      </c>
      <c r="B10" s="41" t="s">
        <v>341</v>
      </c>
      <c r="C10" s="77"/>
    </row>
    <row r="11" spans="1:9" x14ac:dyDescent="0.15">
      <c r="A11" s="5" t="s">
        <v>342</v>
      </c>
      <c r="B11" s="42">
        <v>46097</v>
      </c>
      <c r="C11" s="77"/>
    </row>
    <row r="12" spans="1:9" x14ac:dyDescent="0.15">
      <c r="A12" s="5" t="s">
        <v>343</v>
      </c>
      <c r="B12" s="9"/>
      <c r="C12" s="77"/>
    </row>
    <row r="14" spans="1:9" x14ac:dyDescent="0.15">
      <c r="A14" s="204" t="s">
        <v>344</v>
      </c>
      <c r="B14" s="209"/>
      <c r="C14" s="209"/>
      <c r="D14" s="204" t="s">
        <v>345</v>
      </c>
      <c r="E14" s="209"/>
      <c r="F14" s="209"/>
      <c r="G14" s="32"/>
      <c r="H14" s="32"/>
    </row>
    <row r="16" spans="1:9" x14ac:dyDescent="0.15">
      <c r="A16" s="10" t="s">
        <v>346</v>
      </c>
      <c r="B16" s="10" t="s">
        <v>347</v>
      </c>
      <c r="C16" s="10" t="s">
        <v>348</v>
      </c>
      <c r="D16" s="10" t="s">
        <v>346</v>
      </c>
      <c r="E16" s="10" t="s">
        <v>347</v>
      </c>
      <c r="F16" s="10" t="s">
        <v>348</v>
      </c>
      <c r="G16" s="10" t="s">
        <v>349</v>
      </c>
      <c r="H16" s="10" t="s">
        <v>350</v>
      </c>
      <c r="I16" s="10" t="s">
        <v>351</v>
      </c>
    </row>
    <row r="17" spans="1:9" x14ac:dyDescent="0.15">
      <c r="A17" t="s">
        <v>337</v>
      </c>
      <c r="B17" t="s">
        <v>352</v>
      </c>
      <c r="C17">
        <v>22</v>
      </c>
      <c r="D17" t="s">
        <v>353</v>
      </c>
      <c r="E17" t="s">
        <v>352</v>
      </c>
      <c r="F17">
        <v>22</v>
      </c>
      <c r="G17">
        <f t="shared" ref="G17:G80" si="0">C17-F17</f>
        <v>0</v>
      </c>
      <c r="H17">
        <f t="shared" ref="H17:H80" si="1">IF(OR(C17=0, F17=0), 0, C17-F17)</f>
        <v>0</v>
      </c>
      <c r="I17" t="str">
        <f>IF(G17&lt;&gt;0,"Due to CMP filter","")</f>
        <v/>
      </c>
    </row>
    <row r="18" spans="1:9" x14ac:dyDescent="0.15">
      <c r="A18" t="s">
        <v>337</v>
      </c>
      <c r="B18" t="s">
        <v>354</v>
      </c>
      <c r="C18">
        <v>142642</v>
      </c>
      <c r="D18" t="s">
        <v>353</v>
      </c>
      <c r="E18" t="s">
        <v>354</v>
      </c>
      <c r="F18">
        <v>142642</v>
      </c>
      <c r="G18">
        <f t="shared" si="0"/>
        <v>0</v>
      </c>
      <c r="H18">
        <f t="shared" si="1"/>
        <v>0</v>
      </c>
    </row>
    <row r="19" spans="1:9" x14ac:dyDescent="0.15">
      <c r="A19" t="s">
        <v>337</v>
      </c>
      <c r="B19" t="s">
        <v>355</v>
      </c>
      <c r="C19">
        <v>427521</v>
      </c>
      <c r="D19" t="s">
        <v>353</v>
      </c>
      <c r="E19" t="s">
        <v>355</v>
      </c>
      <c r="F19">
        <v>427521</v>
      </c>
      <c r="G19">
        <f t="shared" si="0"/>
        <v>0</v>
      </c>
      <c r="H19">
        <f t="shared" si="1"/>
        <v>0</v>
      </c>
    </row>
    <row r="20" spans="1:9" x14ac:dyDescent="0.15">
      <c r="A20" t="s">
        <v>337</v>
      </c>
      <c r="B20" t="s">
        <v>356</v>
      </c>
      <c r="C20">
        <v>336</v>
      </c>
      <c r="D20" t="s">
        <v>353</v>
      </c>
      <c r="E20" t="s">
        <v>356</v>
      </c>
      <c r="F20">
        <v>119</v>
      </c>
      <c r="G20">
        <f t="shared" si="0"/>
        <v>217</v>
      </c>
      <c r="H20">
        <f t="shared" si="1"/>
        <v>217</v>
      </c>
      <c r="I20" s="13" t="s">
        <v>357</v>
      </c>
    </row>
    <row r="21" spans="1:9" x14ac:dyDescent="0.15">
      <c r="A21" t="s">
        <v>337</v>
      </c>
      <c r="B21" t="s">
        <v>358</v>
      </c>
      <c r="C21">
        <v>8239638</v>
      </c>
      <c r="D21" t="s">
        <v>353</v>
      </c>
      <c r="E21" t="s">
        <v>358</v>
      </c>
      <c r="F21">
        <v>7970712</v>
      </c>
      <c r="G21">
        <f t="shared" si="0"/>
        <v>268926</v>
      </c>
      <c r="H21">
        <f t="shared" si="1"/>
        <v>268926</v>
      </c>
      <c r="I21" s="13" t="s">
        <v>357</v>
      </c>
    </row>
    <row r="22" spans="1:9" x14ac:dyDescent="0.15">
      <c r="A22" t="s">
        <v>337</v>
      </c>
      <c r="B22" t="s">
        <v>359</v>
      </c>
      <c r="C22">
        <v>524995</v>
      </c>
      <c r="D22" t="s">
        <v>353</v>
      </c>
      <c r="E22" t="s">
        <v>359</v>
      </c>
      <c r="F22">
        <v>499458</v>
      </c>
      <c r="G22">
        <f t="shared" si="0"/>
        <v>25537</v>
      </c>
      <c r="H22">
        <f t="shared" si="1"/>
        <v>25537</v>
      </c>
      <c r="I22" s="13" t="s">
        <v>357</v>
      </c>
    </row>
    <row r="23" spans="1:9" x14ac:dyDescent="0.15">
      <c r="A23" t="s">
        <v>337</v>
      </c>
      <c r="B23" t="s">
        <v>360</v>
      </c>
      <c r="C23">
        <v>603116</v>
      </c>
      <c r="D23" t="s">
        <v>353</v>
      </c>
      <c r="E23" t="s">
        <v>360</v>
      </c>
      <c r="F23">
        <v>568925</v>
      </c>
      <c r="G23">
        <f t="shared" si="0"/>
        <v>34191</v>
      </c>
      <c r="H23">
        <f t="shared" si="1"/>
        <v>34191</v>
      </c>
      <c r="I23" s="13" t="s">
        <v>357</v>
      </c>
    </row>
    <row r="24" spans="1:9" x14ac:dyDescent="0.15">
      <c r="A24" t="s">
        <v>337</v>
      </c>
      <c r="B24" t="s">
        <v>361</v>
      </c>
      <c r="C24">
        <v>411</v>
      </c>
      <c r="D24" t="s">
        <v>353</v>
      </c>
      <c r="E24" t="s">
        <v>361</v>
      </c>
      <c r="F24">
        <v>250</v>
      </c>
      <c r="G24">
        <f t="shared" si="0"/>
        <v>161</v>
      </c>
      <c r="H24">
        <f t="shared" si="1"/>
        <v>161</v>
      </c>
      <c r="I24" s="13" t="s">
        <v>357</v>
      </c>
    </row>
    <row r="25" spans="1:9" x14ac:dyDescent="0.15">
      <c r="A25" t="s">
        <v>337</v>
      </c>
      <c r="B25" t="s">
        <v>362</v>
      </c>
      <c r="C25">
        <v>31564</v>
      </c>
      <c r="D25" t="s">
        <v>353</v>
      </c>
      <c r="E25" t="s">
        <v>362</v>
      </c>
      <c r="F25">
        <v>31019</v>
      </c>
      <c r="G25">
        <f t="shared" si="0"/>
        <v>545</v>
      </c>
      <c r="H25">
        <f t="shared" si="1"/>
        <v>545</v>
      </c>
      <c r="I25" s="13" t="s">
        <v>357</v>
      </c>
    </row>
    <row r="26" spans="1:9" x14ac:dyDescent="0.15">
      <c r="A26" t="s">
        <v>337</v>
      </c>
      <c r="B26" t="s">
        <v>363</v>
      </c>
      <c r="C26">
        <v>18</v>
      </c>
      <c r="D26" t="s">
        <v>353</v>
      </c>
      <c r="E26" t="s">
        <v>363</v>
      </c>
      <c r="F26">
        <v>18</v>
      </c>
      <c r="G26">
        <f t="shared" si="0"/>
        <v>0</v>
      </c>
      <c r="H26">
        <f t="shared" si="1"/>
        <v>0</v>
      </c>
      <c r="I26" t="str">
        <f>IF(G26&lt;&gt;0,"Due to CMP filter","")</f>
        <v/>
      </c>
    </row>
    <row r="27" spans="1:9" x14ac:dyDescent="0.15">
      <c r="A27" t="s">
        <v>337</v>
      </c>
      <c r="B27" t="s">
        <v>364</v>
      </c>
      <c r="C27">
        <v>527</v>
      </c>
      <c r="D27" t="s">
        <v>353</v>
      </c>
      <c r="E27" t="s">
        <v>364</v>
      </c>
      <c r="F27">
        <v>526</v>
      </c>
      <c r="G27">
        <f t="shared" si="0"/>
        <v>1</v>
      </c>
      <c r="H27">
        <f t="shared" si="1"/>
        <v>1</v>
      </c>
      <c r="I27" s="13" t="s">
        <v>357</v>
      </c>
    </row>
    <row r="28" spans="1:9" x14ac:dyDescent="0.15">
      <c r="A28" t="s">
        <v>337</v>
      </c>
      <c r="B28" t="s">
        <v>365</v>
      </c>
      <c r="C28">
        <v>6480</v>
      </c>
      <c r="D28" t="s">
        <v>353</v>
      </c>
      <c r="E28" t="s">
        <v>365</v>
      </c>
      <c r="F28">
        <v>6480</v>
      </c>
      <c r="G28">
        <f t="shared" si="0"/>
        <v>0</v>
      </c>
      <c r="H28">
        <f t="shared" si="1"/>
        <v>0</v>
      </c>
      <c r="I28" t="str">
        <f>IF(G28&lt;&gt;0,"Due to CMP filter","")</f>
        <v/>
      </c>
    </row>
    <row r="29" spans="1:9" x14ac:dyDescent="0.15">
      <c r="A29" t="s">
        <v>337</v>
      </c>
      <c r="B29" t="s">
        <v>366</v>
      </c>
      <c r="C29">
        <v>2006670</v>
      </c>
      <c r="D29" t="s">
        <v>353</v>
      </c>
      <c r="E29" t="s">
        <v>366</v>
      </c>
      <c r="F29">
        <v>2006670</v>
      </c>
      <c r="G29">
        <f t="shared" si="0"/>
        <v>0</v>
      </c>
      <c r="H29">
        <f t="shared" si="1"/>
        <v>0</v>
      </c>
      <c r="I29" t="str">
        <f>IF(G29&lt;&gt;0,"Due to CMP filter","")</f>
        <v/>
      </c>
    </row>
    <row r="30" spans="1:9" x14ac:dyDescent="0.15">
      <c r="A30" t="s">
        <v>337</v>
      </c>
      <c r="B30" t="s">
        <v>367</v>
      </c>
      <c r="C30">
        <v>14438210</v>
      </c>
      <c r="D30" t="s">
        <v>353</v>
      </c>
      <c r="E30" t="s">
        <v>367</v>
      </c>
      <c r="F30">
        <v>14438210</v>
      </c>
      <c r="G30">
        <f t="shared" si="0"/>
        <v>0</v>
      </c>
      <c r="H30">
        <f t="shared" si="1"/>
        <v>0</v>
      </c>
    </row>
    <row r="31" spans="1:9" x14ac:dyDescent="0.15">
      <c r="A31" t="s">
        <v>337</v>
      </c>
      <c r="B31" t="s">
        <v>368</v>
      </c>
      <c r="C31">
        <v>2164930</v>
      </c>
      <c r="D31" t="s">
        <v>353</v>
      </c>
      <c r="E31" t="s">
        <v>368</v>
      </c>
      <c r="F31">
        <v>2164930</v>
      </c>
      <c r="G31">
        <f t="shared" si="0"/>
        <v>0</v>
      </c>
      <c r="H31">
        <f t="shared" si="1"/>
        <v>0</v>
      </c>
      <c r="I31" t="str">
        <f>IF(G31&lt;&gt;0,"Due to CMP filter","")</f>
        <v/>
      </c>
    </row>
    <row r="32" spans="1:9" x14ac:dyDescent="0.15">
      <c r="A32" t="s">
        <v>337</v>
      </c>
      <c r="B32" t="s">
        <v>369</v>
      </c>
      <c r="C32">
        <v>6889</v>
      </c>
      <c r="D32" t="s">
        <v>353</v>
      </c>
      <c r="E32" t="s">
        <v>369</v>
      </c>
      <c r="F32">
        <v>6885</v>
      </c>
      <c r="G32">
        <f t="shared" si="0"/>
        <v>4</v>
      </c>
      <c r="H32">
        <f t="shared" si="1"/>
        <v>4</v>
      </c>
      <c r="I32" s="13" t="s">
        <v>357</v>
      </c>
    </row>
    <row r="33" spans="1:9" x14ac:dyDescent="0.15">
      <c r="A33" t="s">
        <v>337</v>
      </c>
      <c r="B33" t="s">
        <v>370</v>
      </c>
      <c r="C33">
        <v>2255</v>
      </c>
      <c r="D33" t="s">
        <v>353</v>
      </c>
      <c r="E33" t="s">
        <v>370</v>
      </c>
      <c r="F33">
        <v>2255</v>
      </c>
      <c r="G33">
        <f t="shared" si="0"/>
        <v>0</v>
      </c>
      <c r="H33">
        <f t="shared" si="1"/>
        <v>0</v>
      </c>
      <c r="I33" t="str">
        <f>IF(G33&lt;&gt;0,"Due to CMP filter","")</f>
        <v/>
      </c>
    </row>
    <row r="34" spans="1:9" x14ac:dyDescent="0.15">
      <c r="A34" t="s">
        <v>337</v>
      </c>
      <c r="B34" t="s">
        <v>371</v>
      </c>
      <c r="C34">
        <v>31094022</v>
      </c>
      <c r="D34" t="s">
        <v>353</v>
      </c>
      <c r="E34" t="s">
        <v>371</v>
      </c>
      <c r="F34">
        <v>30007026</v>
      </c>
      <c r="G34">
        <f t="shared" si="0"/>
        <v>1086996</v>
      </c>
      <c r="H34">
        <f t="shared" si="1"/>
        <v>1086996</v>
      </c>
      <c r="I34" s="13" t="s">
        <v>357</v>
      </c>
    </row>
    <row r="35" spans="1:9" x14ac:dyDescent="0.15">
      <c r="A35" t="s">
        <v>337</v>
      </c>
      <c r="B35" t="s">
        <v>372</v>
      </c>
      <c r="C35">
        <v>1117</v>
      </c>
      <c r="D35" t="s">
        <v>353</v>
      </c>
      <c r="E35" t="s">
        <v>372</v>
      </c>
      <c r="F35">
        <v>1117</v>
      </c>
      <c r="G35">
        <f t="shared" si="0"/>
        <v>0</v>
      </c>
      <c r="H35">
        <f t="shared" si="1"/>
        <v>0</v>
      </c>
      <c r="I35" t="str">
        <f>IF(G35&lt;&gt;0,"Due to CMP filter","")</f>
        <v/>
      </c>
    </row>
    <row r="36" spans="1:9" x14ac:dyDescent="0.15">
      <c r="A36" t="s">
        <v>337</v>
      </c>
      <c r="B36" t="s">
        <v>373</v>
      </c>
      <c r="C36">
        <v>3338</v>
      </c>
      <c r="D36" t="s">
        <v>353</v>
      </c>
      <c r="E36" t="s">
        <v>373</v>
      </c>
      <c r="F36">
        <v>2309</v>
      </c>
      <c r="G36">
        <f t="shared" si="0"/>
        <v>1029</v>
      </c>
      <c r="H36">
        <f t="shared" si="1"/>
        <v>1029</v>
      </c>
      <c r="I36" s="13" t="s">
        <v>357</v>
      </c>
    </row>
    <row r="37" spans="1:9" x14ac:dyDescent="0.15">
      <c r="A37" t="s">
        <v>337</v>
      </c>
      <c r="B37" t="s">
        <v>374</v>
      </c>
      <c r="C37">
        <v>43</v>
      </c>
      <c r="D37" t="s">
        <v>353</v>
      </c>
      <c r="E37" t="s">
        <v>374</v>
      </c>
      <c r="F37">
        <v>43</v>
      </c>
      <c r="G37">
        <f t="shared" si="0"/>
        <v>0</v>
      </c>
      <c r="H37">
        <f t="shared" si="1"/>
        <v>0</v>
      </c>
      <c r="I37" t="str">
        <f>IF(G37&lt;&gt;0,"Due to CMP filter","")</f>
        <v/>
      </c>
    </row>
    <row r="38" spans="1:9" x14ac:dyDescent="0.15">
      <c r="A38" t="s">
        <v>337</v>
      </c>
      <c r="B38" t="s">
        <v>375</v>
      </c>
      <c r="C38">
        <v>24876</v>
      </c>
      <c r="D38" t="s">
        <v>353</v>
      </c>
      <c r="E38" t="s">
        <v>375</v>
      </c>
      <c r="F38">
        <v>24876</v>
      </c>
      <c r="G38">
        <f t="shared" si="0"/>
        <v>0</v>
      </c>
      <c r="H38">
        <f t="shared" si="1"/>
        <v>0</v>
      </c>
      <c r="I38" t="str">
        <f>IF(G38&lt;&gt;0,"Due to CMP filter","")</f>
        <v/>
      </c>
    </row>
    <row r="39" spans="1:9" x14ac:dyDescent="0.15">
      <c r="A39" t="s">
        <v>337</v>
      </c>
      <c r="B39" t="s">
        <v>376</v>
      </c>
      <c r="C39">
        <v>30119</v>
      </c>
      <c r="D39" t="s">
        <v>353</v>
      </c>
      <c r="E39" t="s">
        <v>376</v>
      </c>
      <c r="F39">
        <v>30119</v>
      </c>
      <c r="G39">
        <f t="shared" si="0"/>
        <v>0</v>
      </c>
      <c r="H39">
        <f t="shared" si="1"/>
        <v>0</v>
      </c>
    </row>
    <row r="40" spans="1:9" x14ac:dyDescent="0.15">
      <c r="A40" t="s">
        <v>337</v>
      </c>
      <c r="B40" t="s">
        <v>377</v>
      </c>
      <c r="C40">
        <v>4846</v>
      </c>
      <c r="D40" t="s">
        <v>353</v>
      </c>
      <c r="E40" t="s">
        <v>377</v>
      </c>
      <c r="F40">
        <v>4846</v>
      </c>
      <c r="G40">
        <f t="shared" si="0"/>
        <v>0</v>
      </c>
      <c r="H40">
        <f t="shared" si="1"/>
        <v>0</v>
      </c>
      <c r="I40" t="str">
        <f>IF(G40&lt;&gt;0,"Due to CMP filter","")</f>
        <v/>
      </c>
    </row>
    <row r="41" spans="1:9" x14ac:dyDescent="0.15">
      <c r="A41" t="s">
        <v>337</v>
      </c>
      <c r="B41" t="s">
        <v>378</v>
      </c>
      <c r="C41">
        <v>20</v>
      </c>
      <c r="D41" t="s">
        <v>353</v>
      </c>
      <c r="E41" t="s">
        <v>378</v>
      </c>
      <c r="F41">
        <v>10</v>
      </c>
      <c r="G41">
        <f t="shared" si="0"/>
        <v>10</v>
      </c>
      <c r="H41">
        <f t="shared" si="1"/>
        <v>10</v>
      </c>
      <c r="I41" s="13" t="s">
        <v>357</v>
      </c>
    </row>
    <row r="42" spans="1:9" x14ac:dyDescent="0.15">
      <c r="A42" t="s">
        <v>337</v>
      </c>
      <c r="B42" t="s">
        <v>379</v>
      </c>
      <c r="C42">
        <v>638</v>
      </c>
      <c r="D42" t="s">
        <v>353</v>
      </c>
      <c r="E42" t="s">
        <v>379</v>
      </c>
      <c r="F42">
        <v>638</v>
      </c>
      <c r="G42">
        <f t="shared" si="0"/>
        <v>0</v>
      </c>
      <c r="H42">
        <f t="shared" si="1"/>
        <v>0</v>
      </c>
      <c r="I42" t="str">
        <f t="shared" ref="I42:I47" si="2">IF(G42&lt;&gt;0,"Due to CMP filter","")</f>
        <v/>
      </c>
    </row>
    <row r="43" spans="1:9" x14ac:dyDescent="0.15">
      <c r="A43" t="s">
        <v>337</v>
      </c>
      <c r="B43" t="s">
        <v>380</v>
      </c>
      <c r="C43">
        <v>20</v>
      </c>
      <c r="D43" t="s">
        <v>353</v>
      </c>
      <c r="E43" t="s">
        <v>380</v>
      </c>
      <c r="F43">
        <v>20</v>
      </c>
      <c r="G43">
        <f t="shared" si="0"/>
        <v>0</v>
      </c>
      <c r="H43">
        <f t="shared" si="1"/>
        <v>0</v>
      </c>
      <c r="I43" t="str">
        <f t="shared" si="2"/>
        <v/>
      </c>
    </row>
    <row r="44" spans="1:9" x14ac:dyDescent="0.15">
      <c r="A44" t="s">
        <v>337</v>
      </c>
      <c r="B44" t="s">
        <v>381</v>
      </c>
      <c r="C44">
        <v>45255</v>
      </c>
      <c r="D44" t="s">
        <v>353</v>
      </c>
      <c r="E44" t="s">
        <v>381</v>
      </c>
      <c r="F44">
        <v>45255</v>
      </c>
      <c r="G44">
        <f t="shared" si="0"/>
        <v>0</v>
      </c>
      <c r="H44">
        <f t="shared" si="1"/>
        <v>0</v>
      </c>
      <c r="I44" t="str">
        <f t="shared" si="2"/>
        <v/>
      </c>
    </row>
    <row r="45" spans="1:9" x14ac:dyDescent="0.15">
      <c r="A45" t="s">
        <v>337</v>
      </c>
      <c r="B45" t="s">
        <v>382</v>
      </c>
      <c r="C45">
        <v>11</v>
      </c>
      <c r="D45" t="s">
        <v>353</v>
      </c>
      <c r="E45" t="s">
        <v>382</v>
      </c>
      <c r="F45">
        <v>11</v>
      </c>
      <c r="G45">
        <f t="shared" si="0"/>
        <v>0</v>
      </c>
      <c r="H45">
        <f t="shared" si="1"/>
        <v>0</v>
      </c>
      <c r="I45" t="str">
        <f t="shared" si="2"/>
        <v/>
      </c>
    </row>
    <row r="46" spans="1:9" x14ac:dyDescent="0.15">
      <c r="A46" t="s">
        <v>337</v>
      </c>
      <c r="B46" t="s">
        <v>383</v>
      </c>
      <c r="C46">
        <v>147499</v>
      </c>
      <c r="D46" t="s">
        <v>353</v>
      </c>
      <c r="E46" t="s">
        <v>383</v>
      </c>
      <c r="F46">
        <v>147499</v>
      </c>
      <c r="G46">
        <f t="shared" si="0"/>
        <v>0</v>
      </c>
      <c r="H46">
        <f t="shared" si="1"/>
        <v>0</v>
      </c>
      <c r="I46" t="str">
        <f t="shared" si="2"/>
        <v/>
      </c>
    </row>
    <row r="47" spans="1:9" x14ac:dyDescent="0.15">
      <c r="A47" t="s">
        <v>337</v>
      </c>
      <c r="B47" t="s">
        <v>384</v>
      </c>
      <c r="C47">
        <v>477</v>
      </c>
      <c r="D47" t="s">
        <v>353</v>
      </c>
      <c r="E47" t="s">
        <v>384</v>
      </c>
      <c r="F47">
        <v>477</v>
      </c>
      <c r="G47">
        <f t="shared" si="0"/>
        <v>0</v>
      </c>
      <c r="H47">
        <f t="shared" si="1"/>
        <v>0</v>
      </c>
      <c r="I47" t="str">
        <f t="shared" si="2"/>
        <v/>
      </c>
    </row>
    <row r="48" spans="1:9" x14ac:dyDescent="0.15">
      <c r="A48" t="s">
        <v>337</v>
      </c>
      <c r="B48" t="s">
        <v>385</v>
      </c>
      <c r="C48">
        <v>11207</v>
      </c>
      <c r="D48" t="s">
        <v>353</v>
      </c>
      <c r="E48" t="s">
        <v>385</v>
      </c>
      <c r="F48">
        <v>11207</v>
      </c>
      <c r="G48">
        <f t="shared" si="0"/>
        <v>0</v>
      </c>
      <c r="H48">
        <f t="shared" si="1"/>
        <v>0</v>
      </c>
    </row>
    <row r="49" spans="1:9" x14ac:dyDescent="0.15">
      <c r="A49" t="s">
        <v>337</v>
      </c>
      <c r="B49" t="s">
        <v>386</v>
      </c>
      <c r="C49">
        <v>1214</v>
      </c>
      <c r="D49" t="s">
        <v>353</v>
      </c>
      <c r="E49" t="s">
        <v>386</v>
      </c>
      <c r="F49">
        <v>1214</v>
      </c>
      <c r="G49">
        <f t="shared" si="0"/>
        <v>0</v>
      </c>
      <c r="H49">
        <f t="shared" si="1"/>
        <v>0</v>
      </c>
    </row>
    <row r="50" spans="1:9" x14ac:dyDescent="0.15">
      <c r="A50" t="s">
        <v>337</v>
      </c>
      <c r="B50" t="s">
        <v>387</v>
      </c>
      <c r="C50">
        <v>99159</v>
      </c>
      <c r="D50" t="s">
        <v>353</v>
      </c>
      <c r="E50" t="s">
        <v>387</v>
      </c>
      <c r="F50">
        <v>59483</v>
      </c>
      <c r="G50">
        <f t="shared" si="0"/>
        <v>39676</v>
      </c>
      <c r="H50">
        <f t="shared" si="1"/>
        <v>39676</v>
      </c>
      <c r="I50" s="13" t="s">
        <v>357</v>
      </c>
    </row>
    <row r="51" spans="1:9" x14ac:dyDescent="0.15">
      <c r="A51" t="s">
        <v>337</v>
      </c>
      <c r="B51" t="s">
        <v>388</v>
      </c>
      <c r="C51">
        <v>68126</v>
      </c>
      <c r="D51" t="s">
        <v>353</v>
      </c>
      <c r="E51" t="s">
        <v>388</v>
      </c>
      <c r="F51">
        <v>46728</v>
      </c>
      <c r="G51">
        <f t="shared" si="0"/>
        <v>21398</v>
      </c>
      <c r="H51">
        <f t="shared" si="1"/>
        <v>21398</v>
      </c>
      <c r="I51" s="13" t="s">
        <v>357</v>
      </c>
    </row>
    <row r="52" spans="1:9" x14ac:dyDescent="0.15">
      <c r="A52" t="s">
        <v>337</v>
      </c>
      <c r="B52" t="s">
        <v>389</v>
      </c>
      <c r="C52">
        <v>7947</v>
      </c>
      <c r="D52" t="s">
        <v>353</v>
      </c>
      <c r="E52" t="s">
        <v>389</v>
      </c>
      <c r="F52">
        <v>4968</v>
      </c>
      <c r="G52">
        <f t="shared" si="0"/>
        <v>2979</v>
      </c>
      <c r="H52">
        <f t="shared" si="1"/>
        <v>2979</v>
      </c>
      <c r="I52" s="13" t="s">
        <v>357</v>
      </c>
    </row>
    <row r="53" spans="1:9" x14ac:dyDescent="0.15">
      <c r="A53" t="s">
        <v>337</v>
      </c>
      <c r="B53" t="s">
        <v>390</v>
      </c>
      <c r="C53">
        <v>1</v>
      </c>
      <c r="D53" t="s">
        <v>353</v>
      </c>
      <c r="E53" t="s">
        <v>390</v>
      </c>
      <c r="F53">
        <v>1</v>
      </c>
      <c r="G53">
        <f t="shared" si="0"/>
        <v>0</v>
      </c>
      <c r="H53">
        <f t="shared" si="1"/>
        <v>0</v>
      </c>
      <c r="I53" t="str">
        <f>IF(G53&lt;&gt;0,"Due to CMP filter","")</f>
        <v/>
      </c>
    </row>
    <row r="54" spans="1:9" x14ac:dyDescent="0.15">
      <c r="A54" t="s">
        <v>337</v>
      </c>
      <c r="B54" t="s">
        <v>391</v>
      </c>
      <c r="C54">
        <v>67805</v>
      </c>
      <c r="D54" t="s">
        <v>353</v>
      </c>
      <c r="E54" t="s">
        <v>391</v>
      </c>
      <c r="F54">
        <v>46561</v>
      </c>
      <c r="G54">
        <f t="shared" si="0"/>
        <v>21244</v>
      </c>
      <c r="H54">
        <f t="shared" si="1"/>
        <v>21244</v>
      </c>
      <c r="I54" s="13" t="s">
        <v>357</v>
      </c>
    </row>
    <row r="55" spans="1:9" x14ac:dyDescent="0.15">
      <c r="A55" t="s">
        <v>337</v>
      </c>
      <c r="B55" t="s">
        <v>392</v>
      </c>
      <c r="C55">
        <v>536092</v>
      </c>
      <c r="D55" t="s">
        <v>353</v>
      </c>
      <c r="E55" t="s">
        <v>392</v>
      </c>
      <c r="F55">
        <v>536092</v>
      </c>
      <c r="G55">
        <f t="shared" si="0"/>
        <v>0</v>
      </c>
      <c r="H55">
        <f t="shared" si="1"/>
        <v>0</v>
      </c>
    </row>
    <row r="56" spans="1:9" x14ac:dyDescent="0.15">
      <c r="A56" t="s">
        <v>337</v>
      </c>
      <c r="B56" t="s">
        <v>393</v>
      </c>
      <c r="C56">
        <v>53</v>
      </c>
      <c r="D56" t="s">
        <v>353</v>
      </c>
      <c r="E56" t="s">
        <v>393</v>
      </c>
      <c r="F56">
        <v>53</v>
      </c>
      <c r="G56">
        <f t="shared" si="0"/>
        <v>0</v>
      </c>
      <c r="H56">
        <f t="shared" si="1"/>
        <v>0</v>
      </c>
      <c r="I56" t="str">
        <f>IF(G56&lt;&gt;0,"Due to CMP filter","")</f>
        <v/>
      </c>
    </row>
    <row r="57" spans="1:9" x14ac:dyDescent="0.15">
      <c r="A57" t="s">
        <v>337</v>
      </c>
      <c r="B57" t="s">
        <v>394</v>
      </c>
      <c r="C57">
        <v>250906</v>
      </c>
      <c r="D57" t="s">
        <v>353</v>
      </c>
      <c r="E57" t="s">
        <v>394</v>
      </c>
      <c r="F57">
        <v>250900</v>
      </c>
      <c r="G57">
        <f t="shared" si="0"/>
        <v>6</v>
      </c>
      <c r="H57">
        <f t="shared" si="1"/>
        <v>6</v>
      </c>
      <c r="I57" s="13" t="s">
        <v>357</v>
      </c>
    </row>
    <row r="58" spans="1:9" x14ac:dyDescent="0.15">
      <c r="A58" t="s">
        <v>337</v>
      </c>
      <c r="B58" t="s">
        <v>395</v>
      </c>
      <c r="C58">
        <v>63</v>
      </c>
      <c r="D58" t="s">
        <v>353</v>
      </c>
      <c r="E58" t="s">
        <v>395</v>
      </c>
      <c r="F58">
        <v>63</v>
      </c>
      <c r="G58">
        <f t="shared" si="0"/>
        <v>0</v>
      </c>
      <c r="H58">
        <f t="shared" si="1"/>
        <v>0</v>
      </c>
    </row>
    <row r="59" spans="1:9" x14ac:dyDescent="0.15">
      <c r="A59" t="s">
        <v>337</v>
      </c>
      <c r="B59" t="s">
        <v>396</v>
      </c>
      <c r="C59">
        <v>403740</v>
      </c>
      <c r="D59" t="s">
        <v>353</v>
      </c>
      <c r="E59" t="s">
        <v>396</v>
      </c>
      <c r="F59">
        <v>403689</v>
      </c>
      <c r="G59">
        <f t="shared" si="0"/>
        <v>51</v>
      </c>
      <c r="H59">
        <f t="shared" si="1"/>
        <v>51</v>
      </c>
      <c r="I59" s="13" t="s">
        <v>357</v>
      </c>
    </row>
    <row r="60" spans="1:9" x14ac:dyDescent="0.15">
      <c r="A60" t="s">
        <v>337</v>
      </c>
      <c r="B60" t="s">
        <v>397</v>
      </c>
      <c r="C60">
        <v>819593</v>
      </c>
      <c r="D60" t="s">
        <v>353</v>
      </c>
      <c r="E60" t="s">
        <v>397</v>
      </c>
      <c r="F60">
        <v>818508</v>
      </c>
      <c r="G60">
        <f t="shared" si="0"/>
        <v>1085</v>
      </c>
      <c r="H60">
        <f t="shared" si="1"/>
        <v>1085</v>
      </c>
      <c r="I60" s="13" t="s">
        <v>357</v>
      </c>
    </row>
    <row r="61" spans="1:9" x14ac:dyDescent="0.15">
      <c r="A61" t="s">
        <v>337</v>
      </c>
      <c r="B61" t="s">
        <v>398</v>
      </c>
      <c r="C61">
        <v>4</v>
      </c>
      <c r="D61" t="s">
        <v>353</v>
      </c>
      <c r="E61" t="s">
        <v>398</v>
      </c>
      <c r="F61">
        <v>4</v>
      </c>
      <c r="G61">
        <f t="shared" si="0"/>
        <v>0</v>
      </c>
      <c r="H61">
        <f t="shared" si="1"/>
        <v>0</v>
      </c>
      <c r="I61" t="str">
        <f>IF(G61&lt;&gt;0,"Due to CMP filter","")</f>
        <v/>
      </c>
    </row>
    <row r="62" spans="1:9" x14ac:dyDescent="0.15">
      <c r="A62" t="s">
        <v>337</v>
      </c>
      <c r="B62" t="s">
        <v>399</v>
      </c>
      <c r="C62">
        <v>3</v>
      </c>
      <c r="D62" t="s">
        <v>353</v>
      </c>
      <c r="E62" t="s">
        <v>399</v>
      </c>
      <c r="F62">
        <v>3</v>
      </c>
      <c r="G62">
        <f t="shared" si="0"/>
        <v>0</v>
      </c>
      <c r="H62">
        <f t="shared" si="1"/>
        <v>0</v>
      </c>
      <c r="I62" t="str">
        <f>IF(G62&lt;&gt;0,"Due to CMP filter","")</f>
        <v/>
      </c>
    </row>
    <row r="63" spans="1:9" x14ac:dyDescent="0.15">
      <c r="A63" t="s">
        <v>337</v>
      </c>
      <c r="B63" t="s">
        <v>400</v>
      </c>
      <c r="C63">
        <v>777</v>
      </c>
      <c r="D63" t="s">
        <v>353</v>
      </c>
      <c r="E63" t="s">
        <v>400</v>
      </c>
      <c r="F63">
        <v>777</v>
      </c>
      <c r="G63">
        <f t="shared" si="0"/>
        <v>0</v>
      </c>
      <c r="H63">
        <f t="shared" si="1"/>
        <v>0</v>
      </c>
      <c r="I63" t="str">
        <f>IF(G63&lt;&gt;0,"Due to CMP filter","")</f>
        <v/>
      </c>
    </row>
    <row r="64" spans="1:9" x14ac:dyDescent="0.15">
      <c r="A64" t="s">
        <v>337</v>
      </c>
      <c r="B64" t="s">
        <v>401</v>
      </c>
      <c r="C64">
        <v>70654</v>
      </c>
      <c r="D64" t="s">
        <v>353</v>
      </c>
      <c r="E64" t="s">
        <v>401</v>
      </c>
      <c r="F64">
        <v>70654</v>
      </c>
      <c r="G64">
        <f t="shared" si="0"/>
        <v>0</v>
      </c>
      <c r="H64">
        <f t="shared" si="1"/>
        <v>0</v>
      </c>
    </row>
    <row r="65" spans="1:9" x14ac:dyDescent="0.15">
      <c r="A65" t="s">
        <v>337</v>
      </c>
      <c r="B65" t="s">
        <v>402</v>
      </c>
      <c r="C65">
        <v>2</v>
      </c>
      <c r="D65" t="s">
        <v>353</v>
      </c>
      <c r="E65" t="s">
        <v>402</v>
      </c>
      <c r="F65">
        <v>2</v>
      </c>
      <c r="G65">
        <f t="shared" si="0"/>
        <v>0</v>
      </c>
      <c r="H65">
        <f t="shared" si="1"/>
        <v>0</v>
      </c>
      <c r="I65" t="str">
        <f>IF(G65&lt;&gt;0,"Due to CMP filter","")</f>
        <v/>
      </c>
    </row>
    <row r="66" spans="1:9" x14ac:dyDescent="0.15">
      <c r="A66" t="s">
        <v>337</v>
      </c>
      <c r="B66" t="s">
        <v>403</v>
      </c>
      <c r="C66">
        <v>1493</v>
      </c>
      <c r="D66" t="s">
        <v>353</v>
      </c>
      <c r="E66" t="s">
        <v>403</v>
      </c>
      <c r="F66">
        <v>897</v>
      </c>
      <c r="G66">
        <f t="shared" si="0"/>
        <v>596</v>
      </c>
      <c r="H66">
        <f t="shared" si="1"/>
        <v>596</v>
      </c>
      <c r="I66" s="13" t="s">
        <v>357</v>
      </c>
    </row>
    <row r="67" spans="1:9" x14ac:dyDescent="0.15">
      <c r="A67" t="s">
        <v>337</v>
      </c>
      <c r="B67" t="s">
        <v>404</v>
      </c>
      <c r="C67">
        <v>4382</v>
      </c>
      <c r="D67" t="s">
        <v>353</v>
      </c>
      <c r="E67" t="s">
        <v>404</v>
      </c>
      <c r="F67">
        <v>4382</v>
      </c>
      <c r="G67">
        <f t="shared" si="0"/>
        <v>0</v>
      </c>
      <c r="H67">
        <f t="shared" si="1"/>
        <v>0</v>
      </c>
      <c r="I67" t="str">
        <f>IF(G67&lt;&gt;0,"Due to CMP filter","")</f>
        <v/>
      </c>
    </row>
    <row r="68" spans="1:9" x14ac:dyDescent="0.15">
      <c r="A68" t="s">
        <v>337</v>
      </c>
      <c r="B68" t="s">
        <v>405</v>
      </c>
      <c r="C68">
        <v>132089</v>
      </c>
      <c r="D68" t="s">
        <v>353</v>
      </c>
      <c r="E68" t="s">
        <v>405</v>
      </c>
      <c r="F68">
        <v>132089</v>
      </c>
      <c r="G68">
        <f t="shared" si="0"/>
        <v>0</v>
      </c>
      <c r="H68">
        <f t="shared" si="1"/>
        <v>0</v>
      </c>
    </row>
    <row r="69" spans="1:9" x14ac:dyDescent="0.15">
      <c r="A69" t="s">
        <v>337</v>
      </c>
      <c r="B69" t="s">
        <v>406</v>
      </c>
      <c r="C69">
        <v>6032</v>
      </c>
      <c r="D69" t="s">
        <v>353</v>
      </c>
      <c r="E69" t="s">
        <v>406</v>
      </c>
      <c r="F69">
        <v>6032</v>
      </c>
      <c r="G69">
        <f t="shared" si="0"/>
        <v>0</v>
      </c>
      <c r="H69">
        <f t="shared" si="1"/>
        <v>0</v>
      </c>
      <c r="I69" t="str">
        <f>IF(G69&lt;&gt;0,"Due to CMP filter","")</f>
        <v/>
      </c>
    </row>
    <row r="70" spans="1:9" x14ac:dyDescent="0.15">
      <c r="A70" t="s">
        <v>337</v>
      </c>
      <c r="B70" t="s">
        <v>407</v>
      </c>
      <c r="C70">
        <v>119170</v>
      </c>
      <c r="D70" t="s">
        <v>353</v>
      </c>
      <c r="E70" t="s">
        <v>407</v>
      </c>
      <c r="F70">
        <v>119165</v>
      </c>
      <c r="G70">
        <f t="shared" si="0"/>
        <v>5</v>
      </c>
      <c r="H70">
        <f t="shared" si="1"/>
        <v>5</v>
      </c>
      <c r="I70" s="13" t="s">
        <v>357</v>
      </c>
    </row>
    <row r="71" spans="1:9" x14ac:dyDescent="0.15">
      <c r="A71" t="s">
        <v>337</v>
      </c>
      <c r="B71" t="s">
        <v>408</v>
      </c>
      <c r="C71">
        <v>78179</v>
      </c>
      <c r="D71" t="s">
        <v>353</v>
      </c>
      <c r="E71" t="s">
        <v>408</v>
      </c>
      <c r="F71">
        <v>78179</v>
      </c>
      <c r="G71">
        <f t="shared" si="0"/>
        <v>0</v>
      </c>
      <c r="H71">
        <f t="shared" si="1"/>
        <v>0</v>
      </c>
      <c r="I71" t="str">
        <f t="shared" ref="I71:I76" si="3">IF(G71&lt;&gt;0,"Due to CMP filter","")</f>
        <v/>
      </c>
    </row>
    <row r="72" spans="1:9" x14ac:dyDescent="0.15">
      <c r="A72" t="s">
        <v>337</v>
      </c>
      <c r="B72" t="s">
        <v>409</v>
      </c>
      <c r="C72">
        <v>484</v>
      </c>
      <c r="D72" t="s">
        <v>353</v>
      </c>
      <c r="E72" t="s">
        <v>409</v>
      </c>
      <c r="F72">
        <v>484</v>
      </c>
      <c r="G72">
        <f t="shared" si="0"/>
        <v>0</v>
      </c>
      <c r="H72">
        <f t="shared" si="1"/>
        <v>0</v>
      </c>
      <c r="I72" t="str">
        <f t="shared" si="3"/>
        <v/>
      </c>
    </row>
    <row r="73" spans="1:9" x14ac:dyDescent="0.15">
      <c r="A73" t="s">
        <v>337</v>
      </c>
      <c r="B73" t="s">
        <v>410</v>
      </c>
      <c r="C73">
        <v>3334</v>
      </c>
      <c r="D73" t="s">
        <v>353</v>
      </c>
      <c r="E73" t="s">
        <v>410</v>
      </c>
      <c r="F73">
        <v>3334</v>
      </c>
      <c r="G73">
        <f t="shared" si="0"/>
        <v>0</v>
      </c>
      <c r="H73">
        <f t="shared" si="1"/>
        <v>0</v>
      </c>
      <c r="I73" t="str">
        <f t="shared" si="3"/>
        <v/>
      </c>
    </row>
    <row r="74" spans="1:9" x14ac:dyDescent="0.15">
      <c r="A74" t="s">
        <v>337</v>
      </c>
      <c r="B74" t="s">
        <v>411</v>
      </c>
      <c r="C74">
        <v>20618</v>
      </c>
      <c r="D74" t="s">
        <v>353</v>
      </c>
      <c r="E74" t="s">
        <v>411</v>
      </c>
      <c r="F74">
        <v>20618</v>
      </c>
      <c r="G74">
        <f t="shared" si="0"/>
        <v>0</v>
      </c>
      <c r="H74">
        <f t="shared" si="1"/>
        <v>0</v>
      </c>
      <c r="I74" t="str">
        <f t="shared" si="3"/>
        <v/>
      </c>
    </row>
    <row r="75" spans="1:9" x14ac:dyDescent="0.15">
      <c r="A75" t="s">
        <v>337</v>
      </c>
      <c r="B75" t="s">
        <v>412</v>
      </c>
      <c r="C75">
        <v>44373</v>
      </c>
      <c r="D75" t="s">
        <v>353</v>
      </c>
      <c r="E75" t="s">
        <v>412</v>
      </c>
      <c r="F75">
        <v>44373</v>
      </c>
      <c r="G75">
        <f t="shared" si="0"/>
        <v>0</v>
      </c>
      <c r="H75">
        <f t="shared" si="1"/>
        <v>0</v>
      </c>
      <c r="I75" t="str">
        <f t="shared" si="3"/>
        <v/>
      </c>
    </row>
    <row r="76" spans="1:9" x14ac:dyDescent="0.15">
      <c r="A76" t="s">
        <v>337</v>
      </c>
      <c r="B76" t="s">
        <v>413</v>
      </c>
      <c r="C76">
        <v>270</v>
      </c>
      <c r="D76" t="s">
        <v>353</v>
      </c>
      <c r="E76" t="s">
        <v>413</v>
      </c>
      <c r="F76">
        <v>270</v>
      </c>
      <c r="G76">
        <f t="shared" si="0"/>
        <v>0</v>
      </c>
      <c r="H76">
        <f t="shared" si="1"/>
        <v>0</v>
      </c>
      <c r="I76" t="str">
        <f t="shared" si="3"/>
        <v/>
      </c>
    </row>
    <row r="77" spans="1:9" x14ac:dyDescent="0.15">
      <c r="A77" t="s">
        <v>337</v>
      </c>
      <c r="B77" t="s">
        <v>414</v>
      </c>
      <c r="C77">
        <v>83</v>
      </c>
      <c r="D77" t="s">
        <v>353</v>
      </c>
      <c r="E77" t="s">
        <v>414</v>
      </c>
      <c r="F77">
        <v>83</v>
      </c>
      <c r="G77">
        <f t="shared" si="0"/>
        <v>0</v>
      </c>
      <c r="H77">
        <f t="shared" si="1"/>
        <v>0</v>
      </c>
    </row>
    <row r="78" spans="1:9" x14ac:dyDescent="0.15">
      <c r="A78" t="s">
        <v>337</v>
      </c>
      <c r="B78" t="s">
        <v>415</v>
      </c>
      <c r="C78">
        <v>352</v>
      </c>
      <c r="D78" t="s">
        <v>353</v>
      </c>
      <c r="E78" t="s">
        <v>415</v>
      </c>
      <c r="F78">
        <v>352</v>
      </c>
      <c r="G78">
        <f t="shared" si="0"/>
        <v>0</v>
      </c>
      <c r="H78">
        <f t="shared" si="1"/>
        <v>0</v>
      </c>
    </row>
    <row r="79" spans="1:9" x14ac:dyDescent="0.15">
      <c r="A79" t="s">
        <v>337</v>
      </c>
      <c r="B79" t="s">
        <v>416</v>
      </c>
      <c r="C79">
        <v>932</v>
      </c>
      <c r="D79" t="s">
        <v>353</v>
      </c>
      <c r="E79" t="s">
        <v>416</v>
      </c>
      <c r="F79">
        <v>485</v>
      </c>
      <c r="G79">
        <f t="shared" si="0"/>
        <v>447</v>
      </c>
      <c r="H79">
        <f t="shared" si="1"/>
        <v>447</v>
      </c>
      <c r="I79" s="13" t="s">
        <v>357</v>
      </c>
    </row>
    <row r="80" spans="1:9" x14ac:dyDescent="0.15">
      <c r="A80" t="s">
        <v>337</v>
      </c>
      <c r="B80" t="s">
        <v>417</v>
      </c>
      <c r="C80">
        <v>6</v>
      </c>
      <c r="D80" t="s">
        <v>353</v>
      </c>
      <c r="E80" t="s">
        <v>417</v>
      </c>
      <c r="F80">
        <v>2</v>
      </c>
      <c r="G80">
        <f t="shared" si="0"/>
        <v>4</v>
      </c>
      <c r="H80">
        <f t="shared" si="1"/>
        <v>4</v>
      </c>
      <c r="I80" s="13" t="s">
        <v>357</v>
      </c>
    </row>
    <row r="81" spans="1:9" x14ac:dyDescent="0.15">
      <c r="A81" t="s">
        <v>337</v>
      </c>
      <c r="B81" t="s">
        <v>418</v>
      </c>
      <c r="C81">
        <v>8</v>
      </c>
      <c r="D81" t="s">
        <v>353</v>
      </c>
      <c r="E81" t="s">
        <v>418</v>
      </c>
      <c r="F81">
        <v>8</v>
      </c>
      <c r="G81">
        <f t="shared" ref="G81:G144" si="4">C81-F81</f>
        <v>0</v>
      </c>
      <c r="H81">
        <f t="shared" ref="H81:H144" si="5">IF(OR(C81=0, F81=0), 0, C81-F81)</f>
        <v>0</v>
      </c>
    </row>
    <row r="82" spans="1:9" x14ac:dyDescent="0.15">
      <c r="A82" t="s">
        <v>337</v>
      </c>
      <c r="B82" t="s">
        <v>419</v>
      </c>
      <c r="C82">
        <v>657</v>
      </c>
      <c r="D82" t="s">
        <v>353</v>
      </c>
      <c r="E82" t="s">
        <v>419</v>
      </c>
      <c r="F82">
        <v>528</v>
      </c>
      <c r="G82">
        <f t="shared" si="4"/>
        <v>129</v>
      </c>
      <c r="H82">
        <f t="shared" si="5"/>
        <v>129</v>
      </c>
      <c r="I82" s="13" t="s">
        <v>357</v>
      </c>
    </row>
    <row r="83" spans="1:9" x14ac:dyDescent="0.15">
      <c r="A83" t="s">
        <v>337</v>
      </c>
      <c r="B83" t="s">
        <v>420</v>
      </c>
      <c r="C83">
        <v>1225</v>
      </c>
      <c r="D83" t="s">
        <v>353</v>
      </c>
      <c r="E83" t="s">
        <v>420</v>
      </c>
      <c r="F83">
        <v>448</v>
      </c>
      <c r="G83">
        <f t="shared" si="4"/>
        <v>777</v>
      </c>
      <c r="H83">
        <f t="shared" si="5"/>
        <v>777</v>
      </c>
      <c r="I83" s="13" t="s">
        <v>357</v>
      </c>
    </row>
    <row r="84" spans="1:9" x14ac:dyDescent="0.15">
      <c r="A84" t="s">
        <v>337</v>
      </c>
      <c r="B84" t="s">
        <v>421</v>
      </c>
      <c r="C84">
        <v>5587</v>
      </c>
      <c r="D84" t="s">
        <v>353</v>
      </c>
      <c r="E84" t="s">
        <v>421</v>
      </c>
      <c r="F84">
        <v>5587</v>
      </c>
      <c r="G84">
        <f t="shared" si="4"/>
        <v>0</v>
      </c>
      <c r="H84">
        <f t="shared" si="5"/>
        <v>0</v>
      </c>
      <c r="I84" t="str">
        <f t="shared" ref="I84:I89" si="6">IF(G84&lt;&gt;0,"Due to CMP filter","")</f>
        <v/>
      </c>
    </row>
    <row r="85" spans="1:9" x14ac:dyDescent="0.15">
      <c r="A85" t="s">
        <v>337</v>
      </c>
      <c r="B85" t="s">
        <v>422</v>
      </c>
      <c r="C85">
        <v>25243</v>
      </c>
      <c r="D85" t="s">
        <v>353</v>
      </c>
      <c r="E85" t="s">
        <v>422</v>
      </c>
      <c r="F85">
        <v>25243</v>
      </c>
      <c r="G85">
        <f t="shared" si="4"/>
        <v>0</v>
      </c>
      <c r="H85">
        <f t="shared" si="5"/>
        <v>0</v>
      </c>
      <c r="I85" t="str">
        <f t="shared" si="6"/>
        <v/>
      </c>
    </row>
    <row r="86" spans="1:9" x14ac:dyDescent="0.15">
      <c r="A86" t="s">
        <v>337</v>
      </c>
      <c r="B86" t="s">
        <v>423</v>
      </c>
      <c r="C86">
        <v>5</v>
      </c>
      <c r="D86" t="s">
        <v>353</v>
      </c>
      <c r="E86" t="s">
        <v>423</v>
      </c>
      <c r="F86">
        <v>5</v>
      </c>
      <c r="G86">
        <f t="shared" si="4"/>
        <v>0</v>
      </c>
      <c r="H86">
        <f t="shared" si="5"/>
        <v>0</v>
      </c>
      <c r="I86" t="str">
        <f t="shared" si="6"/>
        <v/>
      </c>
    </row>
    <row r="87" spans="1:9" x14ac:dyDescent="0.15">
      <c r="A87" t="s">
        <v>337</v>
      </c>
      <c r="B87" t="s">
        <v>424</v>
      </c>
      <c r="C87">
        <v>3866</v>
      </c>
      <c r="D87" t="s">
        <v>353</v>
      </c>
      <c r="E87" t="s">
        <v>424</v>
      </c>
      <c r="F87">
        <v>3866</v>
      </c>
      <c r="G87">
        <f t="shared" si="4"/>
        <v>0</v>
      </c>
      <c r="H87">
        <f t="shared" si="5"/>
        <v>0</v>
      </c>
      <c r="I87" t="str">
        <f t="shared" si="6"/>
        <v/>
      </c>
    </row>
    <row r="88" spans="1:9" x14ac:dyDescent="0.15">
      <c r="A88" t="s">
        <v>337</v>
      </c>
      <c r="B88" t="s">
        <v>425</v>
      </c>
      <c r="C88">
        <v>1</v>
      </c>
      <c r="D88" t="s">
        <v>353</v>
      </c>
      <c r="E88" t="s">
        <v>425</v>
      </c>
      <c r="F88">
        <v>1</v>
      </c>
      <c r="G88">
        <f t="shared" si="4"/>
        <v>0</v>
      </c>
      <c r="H88">
        <f t="shared" si="5"/>
        <v>0</v>
      </c>
      <c r="I88" t="str">
        <f t="shared" si="6"/>
        <v/>
      </c>
    </row>
    <row r="89" spans="1:9" x14ac:dyDescent="0.15">
      <c r="A89" t="s">
        <v>337</v>
      </c>
      <c r="B89" t="s">
        <v>426</v>
      </c>
      <c r="C89">
        <v>847</v>
      </c>
      <c r="D89" t="s">
        <v>353</v>
      </c>
      <c r="E89" t="s">
        <v>426</v>
      </c>
      <c r="F89">
        <v>847</v>
      </c>
      <c r="G89">
        <f t="shared" si="4"/>
        <v>0</v>
      </c>
      <c r="H89">
        <f t="shared" si="5"/>
        <v>0</v>
      </c>
      <c r="I89" t="str">
        <f t="shared" si="6"/>
        <v/>
      </c>
    </row>
    <row r="90" spans="1:9" x14ac:dyDescent="0.15">
      <c r="A90" t="s">
        <v>337</v>
      </c>
      <c r="B90" t="s">
        <v>427</v>
      </c>
      <c r="C90">
        <v>49</v>
      </c>
      <c r="D90" t="s">
        <v>353</v>
      </c>
      <c r="E90" t="s">
        <v>427</v>
      </c>
      <c r="F90">
        <v>49</v>
      </c>
      <c r="G90">
        <f t="shared" si="4"/>
        <v>0</v>
      </c>
      <c r="H90">
        <f t="shared" si="5"/>
        <v>0</v>
      </c>
    </row>
    <row r="91" spans="1:9" x14ac:dyDescent="0.15">
      <c r="A91" t="s">
        <v>337</v>
      </c>
      <c r="B91" t="s">
        <v>428</v>
      </c>
      <c r="C91">
        <v>1</v>
      </c>
      <c r="D91" t="s">
        <v>353</v>
      </c>
      <c r="E91" t="s">
        <v>428</v>
      </c>
      <c r="F91">
        <v>1</v>
      </c>
      <c r="G91">
        <f t="shared" si="4"/>
        <v>0</v>
      </c>
      <c r="H91">
        <f t="shared" si="5"/>
        <v>0</v>
      </c>
      <c r="I91" t="str">
        <f>IF(G91&lt;&gt;0,"Due to CMP filter","")</f>
        <v/>
      </c>
    </row>
    <row r="92" spans="1:9" x14ac:dyDescent="0.15">
      <c r="A92" t="s">
        <v>337</v>
      </c>
      <c r="B92" t="s">
        <v>429</v>
      </c>
      <c r="C92">
        <v>24239</v>
      </c>
      <c r="D92" t="s">
        <v>353</v>
      </c>
      <c r="E92" t="s">
        <v>429</v>
      </c>
      <c r="F92">
        <v>11474</v>
      </c>
      <c r="G92">
        <f t="shared" si="4"/>
        <v>12765</v>
      </c>
      <c r="H92">
        <f t="shared" si="5"/>
        <v>12765</v>
      </c>
      <c r="I92" s="13" t="s">
        <v>357</v>
      </c>
    </row>
    <row r="93" spans="1:9" x14ac:dyDescent="0.15">
      <c r="A93" t="s">
        <v>337</v>
      </c>
      <c r="B93" t="s">
        <v>430</v>
      </c>
      <c r="C93">
        <v>8</v>
      </c>
      <c r="D93" t="s">
        <v>353</v>
      </c>
      <c r="E93" t="s">
        <v>430</v>
      </c>
      <c r="F93">
        <v>8</v>
      </c>
      <c r="G93">
        <f t="shared" si="4"/>
        <v>0</v>
      </c>
      <c r="H93">
        <f t="shared" si="5"/>
        <v>0</v>
      </c>
      <c r="I93" t="str">
        <f t="shared" ref="I93:I98" si="7">IF(G93&lt;&gt;0,"Due to CMP filter","")</f>
        <v/>
      </c>
    </row>
    <row r="94" spans="1:9" x14ac:dyDescent="0.15">
      <c r="A94" t="s">
        <v>337</v>
      </c>
      <c r="B94" t="s">
        <v>431</v>
      </c>
      <c r="C94">
        <v>36</v>
      </c>
      <c r="D94" t="s">
        <v>353</v>
      </c>
      <c r="E94" t="s">
        <v>431</v>
      </c>
      <c r="F94">
        <v>36</v>
      </c>
      <c r="G94">
        <f t="shared" si="4"/>
        <v>0</v>
      </c>
      <c r="H94">
        <f t="shared" si="5"/>
        <v>0</v>
      </c>
      <c r="I94" t="str">
        <f t="shared" si="7"/>
        <v/>
      </c>
    </row>
    <row r="95" spans="1:9" x14ac:dyDescent="0.15">
      <c r="A95" t="s">
        <v>337</v>
      </c>
      <c r="B95" t="s">
        <v>432</v>
      </c>
      <c r="C95">
        <v>4180</v>
      </c>
      <c r="D95" t="s">
        <v>353</v>
      </c>
      <c r="E95" t="s">
        <v>432</v>
      </c>
      <c r="F95">
        <v>4180</v>
      </c>
      <c r="G95">
        <f t="shared" si="4"/>
        <v>0</v>
      </c>
      <c r="H95">
        <f t="shared" si="5"/>
        <v>0</v>
      </c>
      <c r="I95" t="str">
        <f t="shared" si="7"/>
        <v/>
      </c>
    </row>
    <row r="96" spans="1:9" x14ac:dyDescent="0.15">
      <c r="A96" t="s">
        <v>337</v>
      </c>
      <c r="B96" t="s">
        <v>433</v>
      </c>
      <c r="C96">
        <v>1</v>
      </c>
      <c r="D96" t="s">
        <v>353</v>
      </c>
      <c r="E96" t="s">
        <v>433</v>
      </c>
      <c r="F96">
        <v>1</v>
      </c>
      <c r="G96">
        <f t="shared" si="4"/>
        <v>0</v>
      </c>
      <c r="H96">
        <f t="shared" si="5"/>
        <v>0</v>
      </c>
      <c r="I96" t="str">
        <f t="shared" si="7"/>
        <v/>
      </c>
    </row>
    <row r="97" spans="1:9" x14ac:dyDescent="0.15">
      <c r="A97" t="s">
        <v>337</v>
      </c>
      <c r="B97" t="s">
        <v>434</v>
      </c>
      <c r="C97">
        <v>3</v>
      </c>
      <c r="D97" t="s">
        <v>353</v>
      </c>
      <c r="E97" t="s">
        <v>434</v>
      </c>
      <c r="F97">
        <v>3</v>
      </c>
      <c r="G97">
        <f t="shared" si="4"/>
        <v>0</v>
      </c>
      <c r="H97">
        <f t="shared" si="5"/>
        <v>0</v>
      </c>
      <c r="I97" t="str">
        <f t="shared" si="7"/>
        <v/>
      </c>
    </row>
    <row r="98" spans="1:9" x14ac:dyDescent="0.15">
      <c r="A98" t="s">
        <v>337</v>
      </c>
      <c r="B98" t="s">
        <v>435</v>
      </c>
      <c r="C98">
        <v>3</v>
      </c>
      <c r="D98" t="s">
        <v>353</v>
      </c>
      <c r="E98" t="s">
        <v>435</v>
      </c>
      <c r="F98">
        <v>3</v>
      </c>
      <c r="G98">
        <f t="shared" si="4"/>
        <v>0</v>
      </c>
      <c r="H98">
        <f t="shared" si="5"/>
        <v>0</v>
      </c>
      <c r="I98" t="str">
        <f t="shared" si="7"/>
        <v/>
      </c>
    </row>
    <row r="99" spans="1:9" x14ac:dyDescent="0.15">
      <c r="A99" t="s">
        <v>337</v>
      </c>
      <c r="B99" t="s">
        <v>436</v>
      </c>
      <c r="C99">
        <v>13</v>
      </c>
      <c r="D99" t="s">
        <v>353</v>
      </c>
      <c r="E99" t="s">
        <v>436</v>
      </c>
      <c r="F99">
        <v>13</v>
      </c>
      <c r="G99">
        <f t="shared" si="4"/>
        <v>0</v>
      </c>
      <c r="H99">
        <f t="shared" si="5"/>
        <v>0</v>
      </c>
    </row>
    <row r="100" spans="1:9" x14ac:dyDescent="0.15">
      <c r="A100" t="s">
        <v>337</v>
      </c>
      <c r="B100" t="s">
        <v>437</v>
      </c>
      <c r="C100">
        <v>7</v>
      </c>
      <c r="D100" t="s">
        <v>353</v>
      </c>
      <c r="E100" t="s">
        <v>437</v>
      </c>
      <c r="F100">
        <v>7</v>
      </c>
      <c r="G100">
        <f t="shared" si="4"/>
        <v>0</v>
      </c>
      <c r="H100">
        <f t="shared" si="5"/>
        <v>0</v>
      </c>
      <c r="I100" t="str">
        <f>IF(G100&lt;&gt;0,"Due to CMP filter","")</f>
        <v/>
      </c>
    </row>
    <row r="101" spans="1:9" x14ac:dyDescent="0.15">
      <c r="A101" t="s">
        <v>337</v>
      </c>
      <c r="B101" t="s">
        <v>438</v>
      </c>
      <c r="C101">
        <v>1297</v>
      </c>
      <c r="D101" t="s">
        <v>353</v>
      </c>
      <c r="E101" t="s">
        <v>438</v>
      </c>
      <c r="F101">
        <v>1148</v>
      </c>
      <c r="G101">
        <f t="shared" si="4"/>
        <v>149</v>
      </c>
      <c r="H101">
        <f t="shared" si="5"/>
        <v>149</v>
      </c>
      <c r="I101" s="13" t="s">
        <v>357</v>
      </c>
    </row>
    <row r="102" spans="1:9" x14ac:dyDescent="0.15">
      <c r="A102" t="s">
        <v>337</v>
      </c>
      <c r="B102" t="s">
        <v>439</v>
      </c>
      <c r="C102">
        <v>1355</v>
      </c>
      <c r="D102" t="s">
        <v>353</v>
      </c>
      <c r="E102" t="s">
        <v>439</v>
      </c>
      <c r="F102">
        <v>1355</v>
      </c>
      <c r="G102">
        <f t="shared" si="4"/>
        <v>0</v>
      </c>
      <c r="H102">
        <f t="shared" si="5"/>
        <v>0</v>
      </c>
    </row>
    <row r="103" spans="1:9" x14ac:dyDescent="0.15">
      <c r="A103" t="s">
        <v>337</v>
      </c>
      <c r="B103" t="s">
        <v>440</v>
      </c>
      <c r="C103">
        <v>1362</v>
      </c>
      <c r="D103" t="s">
        <v>353</v>
      </c>
      <c r="E103" t="s">
        <v>440</v>
      </c>
      <c r="F103">
        <v>1362</v>
      </c>
      <c r="G103">
        <f t="shared" si="4"/>
        <v>0</v>
      </c>
      <c r="H103">
        <f t="shared" si="5"/>
        <v>0</v>
      </c>
      <c r="I103" t="str">
        <f>IF(G103&lt;&gt;0,"Due to CMP filter","")</f>
        <v/>
      </c>
    </row>
    <row r="104" spans="1:9" x14ac:dyDescent="0.15">
      <c r="A104" t="s">
        <v>337</v>
      </c>
      <c r="B104" t="s">
        <v>441</v>
      </c>
      <c r="C104">
        <v>281</v>
      </c>
      <c r="D104" t="s">
        <v>353</v>
      </c>
      <c r="E104" t="s">
        <v>441</v>
      </c>
      <c r="F104">
        <v>103</v>
      </c>
      <c r="G104">
        <f t="shared" si="4"/>
        <v>178</v>
      </c>
      <c r="H104">
        <f t="shared" si="5"/>
        <v>178</v>
      </c>
      <c r="I104" s="13" t="s">
        <v>357</v>
      </c>
    </row>
    <row r="105" spans="1:9" x14ac:dyDescent="0.15">
      <c r="A105" t="s">
        <v>337</v>
      </c>
      <c r="B105" t="s">
        <v>442</v>
      </c>
      <c r="C105">
        <v>2</v>
      </c>
      <c r="D105" t="s">
        <v>353</v>
      </c>
      <c r="E105" t="s">
        <v>442</v>
      </c>
      <c r="F105">
        <v>2</v>
      </c>
      <c r="G105">
        <f t="shared" si="4"/>
        <v>0</v>
      </c>
      <c r="H105">
        <f t="shared" si="5"/>
        <v>0</v>
      </c>
    </row>
    <row r="106" spans="1:9" x14ac:dyDescent="0.15">
      <c r="A106" t="s">
        <v>337</v>
      </c>
      <c r="B106" t="s">
        <v>443</v>
      </c>
      <c r="C106">
        <v>5125</v>
      </c>
      <c r="D106" t="s">
        <v>353</v>
      </c>
      <c r="E106" t="s">
        <v>443</v>
      </c>
      <c r="F106">
        <v>5125</v>
      </c>
      <c r="G106">
        <f t="shared" si="4"/>
        <v>0</v>
      </c>
      <c r="H106">
        <f t="shared" si="5"/>
        <v>0</v>
      </c>
    </row>
    <row r="107" spans="1:9" x14ac:dyDescent="0.15">
      <c r="A107" t="s">
        <v>337</v>
      </c>
      <c r="B107" t="s">
        <v>444</v>
      </c>
      <c r="C107">
        <v>24</v>
      </c>
      <c r="D107" t="s">
        <v>353</v>
      </c>
      <c r="E107" t="s">
        <v>444</v>
      </c>
      <c r="F107">
        <v>8</v>
      </c>
      <c r="G107">
        <f t="shared" si="4"/>
        <v>16</v>
      </c>
      <c r="H107">
        <f t="shared" si="5"/>
        <v>16</v>
      </c>
      <c r="I107" s="13" t="s">
        <v>357</v>
      </c>
    </row>
    <row r="108" spans="1:9" x14ac:dyDescent="0.15">
      <c r="A108" t="s">
        <v>337</v>
      </c>
      <c r="B108" t="s">
        <v>445</v>
      </c>
      <c r="C108">
        <v>30</v>
      </c>
      <c r="D108" t="s">
        <v>353</v>
      </c>
      <c r="E108" t="s">
        <v>445</v>
      </c>
      <c r="F108">
        <v>10</v>
      </c>
      <c r="G108">
        <f t="shared" si="4"/>
        <v>20</v>
      </c>
      <c r="H108">
        <f t="shared" si="5"/>
        <v>20</v>
      </c>
      <c r="I108" s="13" t="s">
        <v>357</v>
      </c>
    </row>
    <row r="109" spans="1:9" x14ac:dyDescent="0.15">
      <c r="A109" t="s">
        <v>337</v>
      </c>
      <c r="B109" t="s">
        <v>446</v>
      </c>
      <c r="C109">
        <v>132</v>
      </c>
      <c r="D109" t="s">
        <v>353</v>
      </c>
      <c r="E109" t="s">
        <v>446</v>
      </c>
      <c r="F109">
        <v>44</v>
      </c>
      <c r="G109">
        <f t="shared" si="4"/>
        <v>88</v>
      </c>
      <c r="H109">
        <f t="shared" si="5"/>
        <v>88</v>
      </c>
      <c r="I109" s="13" t="s">
        <v>357</v>
      </c>
    </row>
    <row r="110" spans="1:9" x14ac:dyDescent="0.15">
      <c r="A110" t="s">
        <v>337</v>
      </c>
      <c r="B110" t="s">
        <v>447</v>
      </c>
      <c r="C110">
        <v>72</v>
      </c>
      <c r="D110" t="s">
        <v>353</v>
      </c>
      <c r="E110" t="s">
        <v>447</v>
      </c>
      <c r="F110">
        <v>24</v>
      </c>
      <c r="G110">
        <f t="shared" si="4"/>
        <v>48</v>
      </c>
      <c r="H110">
        <f t="shared" si="5"/>
        <v>48</v>
      </c>
      <c r="I110" s="13" t="s">
        <v>357</v>
      </c>
    </row>
    <row r="111" spans="1:9" x14ac:dyDescent="0.15">
      <c r="A111" t="s">
        <v>337</v>
      </c>
      <c r="B111" t="s">
        <v>448</v>
      </c>
      <c r="C111">
        <v>46</v>
      </c>
      <c r="D111" t="s">
        <v>353</v>
      </c>
      <c r="E111" t="s">
        <v>448</v>
      </c>
      <c r="F111">
        <v>46</v>
      </c>
      <c r="G111">
        <f t="shared" si="4"/>
        <v>0</v>
      </c>
      <c r="H111">
        <f t="shared" si="5"/>
        <v>0</v>
      </c>
    </row>
    <row r="112" spans="1:9" x14ac:dyDescent="0.15">
      <c r="A112" t="s">
        <v>337</v>
      </c>
      <c r="B112" t="s">
        <v>449</v>
      </c>
      <c r="C112">
        <v>2</v>
      </c>
      <c r="D112" t="s">
        <v>353</v>
      </c>
      <c r="E112" t="s">
        <v>449</v>
      </c>
      <c r="F112">
        <v>2</v>
      </c>
      <c r="G112">
        <f t="shared" si="4"/>
        <v>0</v>
      </c>
      <c r="H112">
        <f t="shared" si="5"/>
        <v>0</v>
      </c>
    </row>
    <row r="113" spans="1:9" x14ac:dyDescent="0.15">
      <c r="A113" t="s">
        <v>337</v>
      </c>
      <c r="B113" t="s">
        <v>450</v>
      </c>
      <c r="C113">
        <v>384</v>
      </c>
      <c r="D113" t="s">
        <v>353</v>
      </c>
      <c r="E113" t="s">
        <v>450</v>
      </c>
      <c r="F113">
        <v>128</v>
      </c>
      <c r="G113">
        <f t="shared" si="4"/>
        <v>256</v>
      </c>
      <c r="H113">
        <f t="shared" si="5"/>
        <v>256</v>
      </c>
      <c r="I113" s="13" t="s">
        <v>357</v>
      </c>
    </row>
    <row r="114" spans="1:9" x14ac:dyDescent="0.15">
      <c r="A114" t="s">
        <v>337</v>
      </c>
      <c r="B114" t="s">
        <v>451</v>
      </c>
      <c r="C114">
        <v>583</v>
      </c>
      <c r="D114" t="s">
        <v>353</v>
      </c>
      <c r="E114" t="s">
        <v>451</v>
      </c>
      <c r="F114">
        <v>195</v>
      </c>
      <c r="G114">
        <f t="shared" si="4"/>
        <v>388</v>
      </c>
      <c r="H114">
        <f t="shared" si="5"/>
        <v>388</v>
      </c>
      <c r="I114" s="13" t="s">
        <v>357</v>
      </c>
    </row>
    <row r="115" spans="1:9" x14ac:dyDescent="0.15">
      <c r="A115" t="s">
        <v>337</v>
      </c>
      <c r="B115" t="s">
        <v>452</v>
      </c>
      <c r="C115">
        <v>33463</v>
      </c>
      <c r="D115" t="s">
        <v>353</v>
      </c>
      <c r="E115" t="s">
        <v>452</v>
      </c>
      <c r="F115">
        <v>33463</v>
      </c>
      <c r="G115">
        <f t="shared" si="4"/>
        <v>0</v>
      </c>
      <c r="H115">
        <f t="shared" si="5"/>
        <v>0</v>
      </c>
      <c r="I115" t="str">
        <f t="shared" ref="I115:I120" si="8">IF(G115&lt;&gt;0,"Due to CMP filter","")</f>
        <v/>
      </c>
    </row>
    <row r="116" spans="1:9" x14ac:dyDescent="0.15">
      <c r="A116" t="s">
        <v>337</v>
      </c>
      <c r="B116" t="s">
        <v>453</v>
      </c>
      <c r="C116">
        <v>67</v>
      </c>
      <c r="D116" t="s">
        <v>353</v>
      </c>
      <c r="E116" t="s">
        <v>453</v>
      </c>
      <c r="F116">
        <v>67</v>
      </c>
      <c r="G116">
        <f t="shared" si="4"/>
        <v>0</v>
      </c>
      <c r="H116">
        <f t="shared" si="5"/>
        <v>0</v>
      </c>
      <c r="I116" t="str">
        <f t="shared" si="8"/>
        <v/>
      </c>
    </row>
    <row r="117" spans="1:9" x14ac:dyDescent="0.15">
      <c r="A117" t="s">
        <v>337</v>
      </c>
      <c r="B117" t="s">
        <v>454</v>
      </c>
      <c r="C117">
        <v>32</v>
      </c>
      <c r="D117" t="s">
        <v>353</v>
      </c>
      <c r="E117" t="s">
        <v>454</v>
      </c>
      <c r="F117">
        <v>32</v>
      </c>
      <c r="G117">
        <f t="shared" si="4"/>
        <v>0</v>
      </c>
      <c r="H117">
        <f t="shared" si="5"/>
        <v>0</v>
      </c>
      <c r="I117" t="str">
        <f t="shared" si="8"/>
        <v/>
      </c>
    </row>
    <row r="118" spans="1:9" x14ac:dyDescent="0.15">
      <c r="A118" t="s">
        <v>337</v>
      </c>
      <c r="B118" t="s">
        <v>455</v>
      </c>
      <c r="C118">
        <v>4</v>
      </c>
      <c r="D118" t="s">
        <v>353</v>
      </c>
      <c r="E118" t="s">
        <v>455</v>
      </c>
      <c r="F118">
        <v>4</v>
      </c>
      <c r="G118">
        <f t="shared" si="4"/>
        <v>0</v>
      </c>
      <c r="H118">
        <f t="shared" si="5"/>
        <v>0</v>
      </c>
      <c r="I118" t="str">
        <f t="shared" si="8"/>
        <v/>
      </c>
    </row>
    <row r="119" spans="1:9" x14ac:dyDescent="0.15">
      <c r="A119" t="s">
        <v>337</v>
      </c>
      <c r="B119" t="s">
        <v>456</v>
      </c>
      <c r="C119">
        <v>83</v>
      </c>
      <c r="D119" t="s">
        <v>353</v>
      </c>
      <c r="E119" t="s">
        <v>456</v>
      </c>
      <c r="F119">
        <v>83</v>
      </c>
      <c r="G119">
        <f t="shared" si="4"/>
        <v>0</v>
      </c>
      <c r="H119">
        <f t="shared" si="5"/>
        <v>0</v>
      </c>
      <c r="I119" t="str">
        <f t="shared" si="8"/>
        <v/>
      </c>
    </row>
    <row r="120" spans="1:9" x14ac:dyDescent="0.15">
      <c r="A120" t="s">
        <v>337</v>
      </c>
      <c r="B120" t="s">
        <v>457</v>
      </c>
      <c r="C120">
        <v>18</v>
      </c>
      <c r="D120" t="s">
        <v>353</v>
      </c>
      <c r="E120" t="s">
        <v>457</v>
      </c>
      <c r="F120">
        <v>18</v>
      </c>
      <c r="G120">
        <f t="shared" si="4"/>
        <v>0</v>
      </c>
      <c r="H120">
        <f t="shared" si="5"/>
        <v>0</v>
      </c>
      <c r="I120" t="str">
        <f t="shared" si="8"/>
        <v/>
      </c>
    </row>
    <row r="121" spans="1:9" x14ac:dyDescent="0.15">
      <c r="A121" t="s">
        <v>337</v>
      </c>
      <c r="B121" t="s">
        <v>458</v>
      </c>
      <c r="C121">
        <v>158724</v>
      </c>
      <c r="D121" t="s">
        <v>353</v>
      </c>
      <c r="E121" t="s">
        <v>458</v>
      </c>
      <c r="F121">
        <v>158724</v>
      </c>
      <c r="G121">
        <f t="shared" si="4"/>
        <v>0</v>
      </c>
      <c r="H121">
        <f t="shared" si="5"/>
        <v>0</v>
      </c>
    </row>
    <row r="122" spans="1:9" x14ac:dyDescent="0.15">
      <c r="A122" t="s">
        <v>337</v>
      </c>
      <c r="B122" t="s">
        <v>459</v>
      </c>
      <c r="C122">
        <v>90</v>
      </c>
      <c r="D122" t="s">
        <v>353</v>
      </c>
      <c r="E122" t="s">
        <v>459</v>
      </c>
      <c r="F122">
        <v>90</v>
      </c>
      <c r="G122">
        <f t="shared" si="4"/>
        <v>0</v>
      </c>
      <c r="H122">
        <f t="shared" si="5"/>
        <v>0</v>
      </c>
      <c r="I122" t="str">
        <f>IF(G122&lt;&gt;0,"Due to CMP filter","")</f>
        <v/>
      </c>
    </row>
    <row r="123" spans="1:9" x14ac:dyDescent="0.15">
      <c r="A123" t="s">
        <v>337</v>
      </c>
      <c r="B123" t="s">
        <v>460</v>
      </c>
      <c r="C123">
        <v>19</v>
      </c>
      <c r="D123" t="s">
        <v>353</v>
      </c>
      <c r="E123" t="s">
        <v>460</v>
      </c>
      <c r="F123">
        <v>12</v>
      </c>
      <c r="G123">
        <f t="shared" si="4"/>
        <v>7</v>
      </c>
      <c r="H123">
        <f t="shared" si="5"/>
        <v>7</v>
      </c>
      <c r="I123" s="13" t="s">
        <v>357</v>
      </c>
    </row>
    <row r="124" spans="1:9" x14ac:dyDescent="0.15">
      <c r="A124" t="s">
        <v>337</v>
      </c>
      <c r="B124" t="s">
        <v>461</v>
      </c>
      <c r="C124">
        <v>290</v>
      </c>
      <c r="D124" t="s">
        <v>353</v>
      </c>
      <c r="E124" t="s">
        <v>461</v>
      </c>
      <c r="F124">
        <v>290</v>
      </c>
      <c r="G124">
        <f t="shared" si="4"/>
        <v>0</v>
      </c>
      <c r="H124">
        <f t="shared" si="5"/>
        <v>0</v>
      </c>
    </row>
    <row r="125" spans="1:9" x14ac:dyDescent="0.15">
      <c r="A125" t="s">
        <v>337</v>
      </c>
      <c r="B125" t="s">
        <v>462</v>
      </c>
      <c r="C125">
        <v>2704</v>
      </c>
      <c r="D125" t="s">
        <v>353</v>
      </c>
      <c r="E125" t="s">
        <v>462</v>
      </c>
      <c r="F125">
        <v>2704</v>
      </c>
      <c r="G125">
        <f t="shared" si="4"/>
        <v>0</v>
      </c>
      <c r="H125">
        <f t="shared" si="5"/>
        <v>0</v>
      </c>
      <c r="I125" t="str">
        <f>IF(G125&lt;&gt;0,"Due to CMP filter","")</f>
        <v/>
      </c>
    </row>
    <row r="126" spans="1:9" x14ac:dyDescent="0.15">
      <c r="A126" t="s">
        <v>337</v>
      </c>
      <c r="B126" t="s">
        <v>463</v>
      </c>
      <c r="C126">
        <v>6004</v>
      </c>
      <c r="D126" t="s">
        <v>353</v>
      </c>
      <c r="E126" t="s">
        <v>463</v>
      </c>
      <c r="F126">
        <v>2521</v>
      </c>
      <c r="G126">
        <f t="shared" si="4"/>
        <v>3483</v>
      </c>
      <c r="H126">
        <f t="shared" si="5"/>
        <v>3483</v>
      </c>
      <c r="I126" s="13" t="s">
        <v>357</v>
      </c>
    </row>
    <row r="127" spans="1:9" x14ac:dyDescent="0.15">
      <c r="A127" t="s">
        <v>337</v>
      </c>
      <c r="B127" t="s">
        <v>464</v>
      </c>
      <c r="C127">
        <v>12220773</v>
      </c>
      <c r="D127" t="s">
        <v>353</v>
      </c>
      <c r="E127" t="s">
        <v>464</v>
      </c>
      <c r="F127">
        <v>12220773</v>
      </c>
      <c r="G127">
        <f t="shared" si="4"/>
        <v>0</v>
      </c>
      <c r="H127">
        <f t="shared" si="5"/>
        <v>0</v>
      </c>
      <c r="I127" t="str">
        <f t="shared" ref="I127:I134" si="9">IF(G127&lt;&gt;0,"Due to CMP filter","")</f>
        <v/>
      </c>
    </row>
    <row r="128" spans="1:9" x14ac:dyDescent="0.15">
      <c r="A128" t="s">
        <v>337</v>
      </c>
      <c r="B128" t="s">
        <v>465</v>
      </c>
      <c r="C128">
        <v>161</v>
      </c>
      <c r="D128" t="s">
        <v>353</v>
      </c>
      <c r="E128" t="s">
        <v>465</v>
      </c>
      <c r="F128">
        <v>161</v>
      </c>
      <c r="G128">
        <f t="shared" si="4"/>
        <v>0</v>
      </c>
      <c r="H128">
        <f t="shared" si="5"/>
        <v>0</v>
      </c>
      <c r="I128" t="str">
        <f t="shared" si="9"/>
        <v/>
      </c>
    </row>
    <row r="129" spans="1:9" x14ac:dyDescent="0.15">
      <c r="A129" t="s">
        <v>337</v>
      </c>
      <c r="B129" t="s">
        <v>466</v>
      </c>
      <c r="C129">
        <v>82</v>
      </c>
      <c r="D129" t="s">
        <v>353</v>
      </c>
      <c r="E129" t="s">
        <v>466</v>
      </c>
      <c r="F129">
        <v>82</v>
      </c>
      <c r="G129">
        <f t="shared" si="4"/>
        <v>0</v>
      </c>
      <c r="H129">
        <f t="shared" si="5"/>
        <v>0</v>
      </c>
      <c r="I129" t="str">
        <f t="shared" si="9"/>
        <v/>
      </c>
    </row>
    <row r="130" spans="1:9" x14ac:dyDescent="0.15">
      <c r="A130" t="s">
        <v>337</v>
      </c>
      <c r="B130" t="s">
        <v>467</v>
      </c>
      <c r="C130">
        <v>10</v>
      </c>
      <c r="D130" t="s">
        <v>353</v>
      </c>
      <c r="E130" t="s">
        <v>467</v>
      </c>
      <c r="F130">
        <v>10</v>
      </c>
      <c r="G130">
        <f t="shared" si="4"/>
        <v>0</v>
      </c>
      <c r="H130">
        <f t="shared" si="5"/>
        <v>0</v>
      </c>
      <c r="I130" t="str">
        <f t="shared" si="9"/>
        <v/>
      </c>
    </row>
    <row r="131" spans="1:9" x14ac:dyDescent="0.15">
      <c r="A131" t="s">
        <v>337</v>
      </c>
      <c r="B131" t="s">
        <v>468</v>
      </c>
      <c r="C131">
        <v>161</v>
      </c>
      <c r="D131" t="s">
        <v>353</v>
      </c>
      <c r="E131" t="s">
        <v>468</v>
      </c>
      <c r="F131">
        <v>161</v>
      </c>
      <c r="G131">
        <f t="shared" si="4"/>
        <v>0</v>
      </c>
      <c r="H131">
        <f t="shared" si="5"/>
        <v>0</v>
      </c>
      <c r="I131" t="str">
        <f t="shared" si="9"/>
        <v/>
      </c>
    </row>
    <row r="132" spans="1:9" x14ac:dyDescent="0.15">
      <c r="A132" t="s">
        <v>337</v>
      </c>
      <c r="B132" t="s">
        <v>469</v>
      </c>
      <c r="C132">
        <v>1251</v>
      </c>
      <c r="D132" t="s">
        <v>353</v>
      </c>
      <c r="E132" t="s">
        <v>469</v>
      </c>
      <c r="F132">
        <v>1251</v>
      </c>
      <c r="G132">
        <f t="shared" si="4"/>
        <v>0</v>
      </c>
      <c r="H132">
        <f t="shared" si="5"/>
        <v>0</v>
      </c>
      <c r="I132" t="str">
        <f t="shared" si="9"/>
        <v/>
      </c>
    </row>
    <row r="133" spans="1:9" x14ac:dyDescent="0.15">
      <c r="A133" t="s">
        <v>337</v>
      </c>
      <c r="B133" t="s">
        <v>470</v>
      </c>
      <c r="C133">
        <v>6</v>
      </c>
      <c r="D133" t="s">
        <v>353</v>
      </c>
      <c r="E133" t="s">
        <v>470</v>
      </c>
      <c r="F133">
        <v>6</v>
      </c>
      <c r="G133">
        <f t="shared" si="4"/>
        <v>0</v>
      </c>
      <c r="H133">
        <f t="shared" si="5"/>
        <v>0</v>
      </c>
      <c r="I133" t="str">
        <f t="shared" si="9"/>
        <v/>
      </c>
    </row>
    <row r="134" spans="1:9" x14ac:dyDescent="0.15">
      <c r="A134" t="s">
        <v>337</v>
      </c>
      <c r="B134" t="s">
        <v>471</v>
      </c>
      <c r="C134">
        <v>1</v>
      </c>
      <c r="D134" t="s">
        <v>353</v>
      </c>
      <c r="E134" t="s">
        <v>471</v>
      </c>
      <c r="F134">
        <v>1</v>
      </c>
      <c r="G134">
        <f t="shared" si="4"/>
        <v>0</v>
      </c>
      <c r="H134">
        <f t="shared" si="5"/>
        <v>0</v>
      </c>
      <c r="I134" t="str">
        <f t="shared" si="9"/>
        <v/>
      </c>
    </row>
    <row r="135" spans="1:9" x14ac:dyDescent="0.15">
      <c r="A135" t="s">
        <v>337</v>
      </c>
      <c r="B135" t="s">
        <v>472</v>
      </c>
      <c r="C135">
        <v>1</v>
      </c>
      <c r="D135" t="s">
        <v>353</v>
      </c>
      <c r="E135" t="s">
        <v>472</v>
      </c>
      <c r="F135">
        <v>1</v>
      </c>
      <c r="G135">
        <f t="shared" si="4"/>
        <v>0</v>
      </c>
      <c r="H135">
        <f t="shared" si="5"/>
        <v>0</v>
      </c>
    </row>
    <row r="136" spans="1:9" x14ac:dyDescent="0.15">
      <c r="A136" t="s">
        <v>337</v>
      </c>
      <c r="B136" t="s">
        <v>473</v>
      </c>
      <c r="C136">
        <v>5</v>
      </c>
      <c r="D136" t="s">
        <v>353</v>
      </c>
      <c r="E136" t="s">
        <v>473</v>
      </c>
      <c r="F136">
        <v>5</v>
      </c>
      <c r="G136">
        <f t="shared" si="4"/>
        <v>0</v>
      </c>
      <c r="H136">
        <f t="shared" si="5"/>
        <v>0</v>
      </c>
    </row>
    <row r="137" spans="1:9" x14ac:dyDescent="0.15">
      <c r="A137" t="s">
        <v>337</v>
      </c>
      <c r="B137" t="s">
        <v>474</v>
      </c>
      <c r="C137">
        <v>4489</v>
      </c>
      <c r="D137" t="s">
        <v>353</v>
      </c>
      <c r="E137" t="s">
        <v>474</v>
      </c>
      <c r="F137">
        <v>3777</v>
      </c>
      <c r="G137">
        <f t="shared" si="4"/>
        <v>712</v>
      </c>
      <c r="H137">
        <f t="shared" si="5"/>
        <v>712</v>
      </c>
      <c r="I137" s="13" t="s">
        <v>357</v>
      </c>
    </row>
    <row r="138" spans="1:9" x14ac:dyDescent="0.15">
      <c r="A138" t="s">
        <v>337</v>
      </c>
      <c r="B138" t="s">
        <v>475</v>
      </c>
      <c r="C138">
        <v>14705021</v>
      </c>
      <c r="D138" t="s">
        <v>353</v>
      </c>
      <c r="E138" t="s">
        <v>475</v>
      </c>
      <c r="F138">
        <v>8427495</v>
      </c>
      <c r="G138">
        <f t="shared" si="4"/>
        <v>6277526</v>
      </c>
      <c r="H138">
        <f t="shared" si="5"/>
        <v>6277526</v>
      </c>
      <c r="I138" s="13" t="s">
        <v>357</v>
      </c>
    </row>
    <row r="139" spans="1:9" x14ac:dyDescent="0.15">
      <c r="A139" t="s">
        <v>337</v>
      </c>
      <c r="B139" t="s">
        <v>476</v>
      </c>
      <c r="C139">
        <v>1103</v>
      </c>
      <c r="D139" t="s">
        <v>353</v>
      </c>
      <c r="E139" t="s">
        <v>476</v>
      </c>
      <c r="F139">
        <v>1103</v>
      </c>
      <c r="G139">
        <f t="shared" si="4"/>
        <v>0</v>
      </c>
      <c r="H139">
        <f t="shared" si="5"/>
        <v>0</v>
      </c>
      <c r="I139" t="str">
        <f>IF(G139&lt;&gt;0,"Due to CMP filter","")</f>
        <v/>
      </c>
    </row>
    <row r="140" spans="1:9" x14ac:dyDescent="0.15">
      <c r="A140" t="s">
        <v>337</v>
      </c>
      <c r="B140" t="s">
        <v>477</v>
      </c>
      <c r="C140">
        <v>5</v>
      </c>
      <c r="D140" t="s">
        <v>353</v>
      </c>
      <c r="E140" t="s">
        <v>477</v>
      </c>
      <c r="F140">
        <v>5</v>
      </c>
      <c r="G140">
        <f t="shared" si="4"/>
        <v>0</v>
      </c>
      <c r="H140">
        <f t="shared" si="5"/>
        <v>0</v>
      </c>
      <c r="I140" t="str">
        <f>IF(G140&lt;&gt;0,"Due to CMP filter","")</f>
        <v/>
      </c>
    </row>
    <row r="141" spans="1:9" x14ac:dyDescent="0.15">
      <c r="A141" t="s">
        <v>337</v>
      </c>
      <c r="B141" t="s">
        <v>478</v>
      </c>
      <c r="C141">
        <v>551</v>
      </c>
      <c r="D141" t="s">
        <v>353</v>
      </c>
      <c r="E141" t="s">
        <v>478</v>
      </c>
      <c r="F141">
        <v>551</v>
      </c>
      <c r="G141">
        <f t="shared" si="4"/>
        <v>0</v>
      </c>
      <c r="H141">
        <f t="shared" si="5"/>
        <v>0</v>
      </c>
      <c r="I141" t="str">
        <f>IF(G141&lt;&gt;0,"Due to CMP filter","")</f>
        <v/>
      </c>
    </row>
    <row r="142" spans="1:9" x14ac:dyDescent="0.15">
      <c r="A142" t="s">
        <v>337</v>
      </c>
      <c r="B142" t="s">
        <v>479</v>
      </c>
      <c r="C142">
        <v>185</v>
      </c>
      <c r="D142" t="s">
        <v>353</v>
      </c>
      <c r="E142" t="s">
        <v>479</v>
      </c>
      <c r="F142">
        <v>185</v>
      </c>
      <c r="G142">
        <f t="shared" si="4"/>
        <v>0</v>
      </c>
      <c r="H142">
        <f t="shared" si="5"/>
        <v>0</v>
      </c>
    </row>
    <row r="143" spans="1:9" x14ac:dyDescent="0.15">
      <c r="A143" t="s">
        <v>337</v>
      </c>
      <c r="B143" t="s">
        <v>480</v>
      </c>
      <c r="C143">
        <v>181</v>
      </c>
      <c r="D143" t="s">
        <v>353</v>
      </c>
      <c r="E143" t="s">
        <v>480</v>
      </c>
      <c r="F143">
        <v>181</v>
      </c>
      <c r="G143">
        <f t="shared" si="4"/>
        <v>0</v>
      </c>
      <c r="H143">
        <f t="shared" si="5"/>
        <v>0</v>
      </c>
      <c r="I143" t="str">
        <f>IF(G143&lt;&gt;0,"Due to CMP filter","")</f>
        <v/>
      </c>
    </row>
    <row r="144" spans="1:9" x14ac:dyDescent="0.15">
      <c r="A144" t="s">
        <v>337</v>
      </c>
      <c r="B144" t="s">
        <v>481</v>
      </c>
      <c r="C144">
        <v>10416</v>
      </c>
      <c r="D144" t="s">
        <v>353</v>
      </c>
      <c r="E144" t="s">
        <v>481</v>
      </c>
      <c r="F144">
        <v>10414</v>
      </c>
      <c r="G144">
        <f t="shared" si="4"/>
        <v>2</v>
      </c>
      <c r="H144">
        <f t="shared" si="5"/>
        <v>2</v>
      </c>
      <c r="I144" s="13" t="s">
        <v>357</v>
      </c>
    </row>
    <row r="145" spans="1:9" x14ac:dyDescent="0.15">
      <c r="A145" t="s">
        <v>337</v>
      </c>
      <c r="B145" t="s">
        <v>482</v>
      </c>
      <c r="C145">
        <v>497</v>
      </c>
      <c r="D145" t="s">
        <v>353</v>
      </c>
      <c r="E145" t="s">
        <v>482</v>
      </c>
      <c r="F145">
        <v>497</v>
      </c>
      <c r="G145">
        <f t="shared" ref="G145:G208" si="10">C145-F145</f>
        <v>0</v>
      </c>
      <c r="H145">
        <f t="shared" ref="H145:H208" si="11">IF(OR(C145=0, F145=0), 0, C145-F145)</f>
        <v>0</v>
      </c>
    </row>
    <row r="146" spans="1:9" x14ac:dyDescent="0.15">
      <c r="A146" t="s">
        <v>337</v>
      </c>
      <c r="B146" t="s">
        <v>483</v>
      </c>
      <c r="C146">
        <v>3799</v>
      </c>
      <c r="D146" t="s">
        <v>353</v>
      </c>
      <c r="E146" t="s">
        <v>483</v>
      </c>
      <c r="F146">
        <v>1267</v>
      </c>
      <c r="G146">
        <f t="shared" si="10"/>
        <v>2532</v>
      </c>
      <c r="H146">
        <f t="shared" si="11"/>
        <v>2532</v>
      </c>
      <c r="I146" s="13" t="s">
        <v>357</v>
      </c>
    </row>
    <row r="147" spans="1:9" x14ac:dyDescent="0.15">
      <c r="A147" t="s">
        <v>337</v>
      </c>
      <c r="B147" t="s">
        <v>484</v>
      </c>
      <c r="C147">
        <v>534</v>
      </c>
      <c r="D147" t="s">
        <v>353</v>
      </c>
      <c r="E147" t="s">
        <v>484</v>
      </c>
      <c r="F147">
        <v>178</v>
      </c>
      <c r="G147">
        <f t="shared" si="10"/>
        <v>356</v>
      </c>
      <c r="H147">
        <f t="shared" si="11"/>
        <v>356</v>
      </c>
      <c r="I147" s="13" t="s">
        <v>357</v>
      </c>
    </row>
    <row r="148" spans="1:9" x14ac:dyDescent="0.15">
      <c r="A148" t="s">
        <v>337</v>
      </c>
      <c r="B148" t="s">
        <v>485</v>
      </c>
      <c r="C148">
        <v>39</v>
      </c>
      <c r="D148" t="s">
        <v>353</v>
      </c>
      <c r="E148" t="s">
        <v>485</v>
      </c>
      <c r="F148">
        <v>39</v>
      </c>
      <c r="G148">
        <f t="shared" si="10"/>
        <v>0</v>
      </c>
      <c r="H148">
        <f t="shared" si="11"/>
        <v>0</v>
      </c>
    </row>
    <row r="149" spans="1:9" x14ac:dyDescent="0.15">
      <c r="A149" t="s">
        <v>337</v>
      </c>
      <c r="B149" t="s">
        <v>486</v>
      </c>
      <c r="C149">
        <v>230261</v>
      </c>
      <c r="D149" t="s">
        <v>353</v>
      </c>
      <c r="E149" t="s">
        <v>486</v>
      </c>
      <c r="F149">
        <v>73804</v>
      </c>
      <c r="G149">
        <f t="shared" si="10"/>
        <v>156457</v>
      </c>
      <c r="H149">
        <f t="shared" si="11"/>
        <v>156457</v>
      </c>
      <c r="I149" s="13" t="s">
        <v>357</v>
      </c>
    </row>
    <row r="150" spans="1:9" x14ac:dyDescent="0.15">
      <c r="A150" t="s">
        <v>337</v>
      </c>
      <c r="B150" t="s">
        <v>487</v>
      </c>
      <c r="C150">
        <v>456</v>
      </c>
      <c r="D150" t="s">
        <v>353</v>
      </c>
      <c r="E150" t="s">
        <v>487</v>
      </c>
      <c r="F150">
        <v>152</v>
      </c>
      <c r="G150">
        <f t="shared" si="10"/>
        <v>304</v>
      </c>
      <c r="H150">
        <f t="shared" si="11"/>
        <v>304</v>
      </c>
      <c r="I150" s="13" t="s">
        <v>357</v>
      </c>
    </row>
    <row r="151" spans="1:9" x14ac:dyDescent="0.15">
      <c r="A151" t="s">
        <v>337</v>
      </c>
      <c r="B151" t="s">
        <v>488</v>
      </c>
      <c r="C151">
        <v>6646</v>
      </c>
      <c r="D151" t="s">
        <v>353</v>
      </c>
      <c r="E151" t="s">
        <v>488</v>
      </c>
      <c r="F151">
        <v>6372</v>
      </c>
      <c r="G151">
        <f t="shared" si="10"/>
        <v>274</v>
      </c>
      <c r="H151">
        <f t="shared" si="11"/>
        <v>274</v>
      </c>
      <c r="I151" s="13" t="s">
        <v>357</v>
      </c>
    </row>
    <row r="152" spans="1:9" x14ac:dyDescent="0.15">
      <c r="A152" t="s">
        <v>337</v>
      </c>
      <c r="B152" t="s">
        <v>489</v>
      </c>
      <c r="C152">
        <v>7820</v>
      </c>
      <c r="D152" t="s">
        <v>353</v>
      </c>
      <c r="E152" t="s">
        <v>489</v>
      </c>
      <c r="F152">
        <v>7542</v>
      </c>
      <c r="G152">
        <f t="shared" si="10"/>
        <v>278</v>
      </c>
      <c r="H152">
        <f t="shared" si="11"/>
        <v>278</v>
      </c>
      <c r="I152" s="13" t="s">
        <v>357</v>
      </c>
    </row>
    <row r="153" spans="1:9" x14ac:dyDescent="0.15">
      <c r="A153" t="s">
        <v>337</v>
      </c>
      <c r="B153" t="s">
        <v>490</v>
      </c>
      <c r="C153">
        <v>13506</v>
      </c>
      <c r="D153" t="s">
        <v>353</v>
      </c>
      <c r="E153" t="s">
        <v>490</v>
      </c>
      <c r="F153">
        <v>12195</v>
      </c>
      <c r="G153">
        <f t="shared" si="10"/>
        <v>1311</v>
      </c>
      <c r="H153">
        <f t="shared" si="11"/>
        <v>1311</v>
      </c>
      <c r="I153" s="13" t="s">
        <v>357</v>
      </c>
    </row>
    <row r="154" spans="1:9" x14ac:dyDescent="0.15">
      <c r="A154" t="s">
        <v>337</v>
      </c>
      <c r="B154" t="s">
        <v>491</v>
      </c>
      <c r="C154">
        <v>3486</v>
      </c>
      <c r="D154" t="s">
        <v>353</v>
      </c>
      <c r="E154" t="s">
        <v>491</v>
      </c>
      <c r="F154">
        <v>3168</v>
      </c>
      <c r="G154">
        <f t="shared" si="10"/>
        <v>318</v>
      </c>
      <c r="H154">
        <f t="shared" si="11"/>
        <v>318</v>
      </c>
      <c r="I154" s="13" t="s">
        <v>357</v>
      </c>
    </row>
    <row r="155" spans="1:9" x14ac:dyDescent="0.15">
      <c r="A155" t="s">
        <v>337</v>
      </c>
      <c r="B155" t="s">
        <v>492</v>
      </c>
      <c r="C155">
        <v>12</v>
      </c>
      <c r="D155" t="s">
        <v>353</v>
      </c>
      <c r="E155" t="s">
        <v>492</v>
      </c>
      <c r="F155">
        <v>8</v>
      </c>
      <c r="G155">
        <f t="shared" si="10"/>
        <v>4</v>
      </c>
      <c r="H155">
        <f t="shared" si="11"/>
        <v>4</v>
      </c>
      <c r="I155" s="13" t="s">
        <v>357</v>
      </c>
    </row>
    <row r="156" spans="1:9" x14ac:dyDescent="0.15">
      <c r="A156" t="s">
        <v>337</v>
      </c>
      <c r="B156" t="s">
        <v>493</v>
      </c>
      <c r="C156">
        <v>108</v>
      </c>
      <c r="D156" t="s">
        <v>353</v>
      </c>
      <c r="E156" t="s">
        <v>493</v>
      </c>
      <c r="F156">
        <v>54</v>
      </c>
      <c r="G156">
        <f t="shared" si="10"/>
        <v>54</v>
      </c>
      <c r="H156">
        <f t="shared" si="11"/>
        <v>54</v>
      </c>
      <c r="I156" s="13" t="s">
        <v>357</v>
      </c>
    </row>
    <row r="157" spans="1:9" x14ac:dyDescent="0.15">
      <c r="A157" t="s">
        <v>337</v>
      </c>
      <c r="B157" t="s">
        <v>494</v>
      </c>
      <c r="C157">
        <v>8883</v>
      </c>
      <c r="D157" t="s">
        <v>353</v>
      </c>
      <c r="E157" t="s">
        <v>494</v>
      </c>
      <c r="F157">
        <v>5466</v>
      </c>
      <c r="G157">
        <f t="shared" si="10"/>
        <v>3417</v>
      </c>
      <c r="H157">
        <f t="shared" si="11"/>
        <v>3417</v>
      </c>
      <c r="I157" s="13" t="s">
        <v>357</v>
      </c>
    </row>
    <row r="158" spans="1:9" x14ac:dyDescent="0.15">
      <c r="A158" t="s">
        <v>337</v>
      </c>
      <c r="B158" t="s">
        <v>495</v>
      </c>
      <c r="C158">
        <v>520226</v>
      </c>
      <c r="D158" t="s">
        <v>353</v>
      </c>
      <c r="E158" t="s">
        <v>495</v>
      </c>
      <c r="F158">
        <v>408667</v>
      </c>
      <c r="G158">
        <f t="shared" si="10"/>
        <v>111559</v>
      </c>
      <c r="H158">
        <f t="shared" si="11"/>
        <v>111559</v>
      </c>
      <c r="I158" s="13" t="s">
        <v>357</v>
      </c>
    </row>
    <row r="159" spans="1:9" x14ac:dyDescent="0.15">
      <c r="A159" t="s">
        <v>337</v>
      </c>
      <c r="B159" t="s">
        <v>496</v>
      </c>
      <c r="C159">
        <v>6213</v>
      </c>
      <c r="D159" t="s">
        <v>353</v>
      </c>
      <c r="E159" t="s">
        <v>496</v>
      </c>
      <c r="F159">
        <v>6212</v>
      </c>
      <c r="G159">
        <f t="shared" si="10"/>
        <v>1</v>
      </c>
      <c r="H159">
        <f t="shared" si="11"/>
        <v>1</v>
      </c>
      <c r="I159" s="13" t="s">
        <v>357</v>
      </c>
    </row>
    <row r="160" spans="1:9" x14ac:dyDescent="0.15">
      <c r="A160" t="s">
        <v>337</v>
      </c>
      <c r="B160" t="s">
        <v>497</v>
      </c>
      <c r="C160">
        <v>96725</v>
      </c>
      <c r="D160" t="s">
        <v>353</v>
      </c>
      <c r="E160" t="s">
        <v>497</v>
      </c>
      <c r="F160">
        <v>95279</v>
      </c>
      <c r="G160">
        <f t="shared" si="10"/>
        <v>1446</v>
      </c>
      <c r="H160">
        <f t="shared" si="11"/>
        <v>1446</v>
      </c>
      <c r="I160" s="13" t="s">
        <v>357</v>
      </c>
    </row>
    <row r="161" spans="1:9" x14ac:dyDescent="0.15">
      <c r="A161" t="s">
        <v>337</v>
      </c>
      <c r="B161" t="s">
        <v>498</v>
      </c>
      <c r="C161">
        <v>3216</v>
      </c>
      <c r="D161" t="s">
        <v>353</v>
      </c>
      <c r="E161" t="s">
        <v>498</v>
      </c>
      <c r="F161">
        <v>1072</v>
      </c>
      <c r="G161">
        <f t="shared" si="10"/>
        <v>2144</v>
      </c>
      <c r="H161">
        <f t="shared" si="11"/>
        <v>2144</v>
      </c>
      <c r="I161" s="13" t="s">
        <v>357</v>
      </c>
    </row>
    <row r="162" spans="1:9" x14ac:dyDescent="0.15">
      <c r="A162" t="s">
        <v>337</v>
      </c>
      <c r="B162" t="s">
        <v>499</v>
      </c>
      <c r="C162">
        <v>5</v>
      </c>
      <c r="D162" t="s">
        <v>353</v>
      </c>
      <c r="E162" t="s">
        <v>499</v>
      </c>
      <c r="F162">
        <v>5</v>
      </c>
      <c r="G162">
        <f t="shared" si="10"/>
        <v>0</v>
      </c>
      <c r="H162">
        <f t="shared" si="11"/>
        <v>0</v>
      </c>
      <c r="I162" t="str">
        <f>IF(G162&lt;&gt;0,"Due to CMP filter","")</f>
        <v/>
      </c>
    </row>
    <row r="163" spans="1:9" x14ac:dyDescent="0.15">
      <c r="A163" t="s">
        <v>337</v>
      </c>
      <c r="B163" t="s">
        <v>500</v>
      </c>
      <c r="C163">
        <v>60</v>
      </c>
      <c r="D163" t="s">
        <v>353</v>
      </c>
      <c r="E163" t="s">
        <v>500</v>
      </c>
      <c r="F163">
        <v>60</v>
      </c>
      <c r="G163">
        <f t="shared" si="10"/>
        <v>0</v>
      </c>
      <c r="H163">
        <f t="shared" si="11"/>
        <v>0</v>
      </c>
    </row>
    <row r="164" spans="1:9" x14ac:dyDescent="0.15">
      <c r="A164" t="s">
        <v>337</v>
      </c>
      <c r="B164" t="s">
        <v>501</v>
      </c>
      <c r="C164">
        <v>22</v>
      </c>
      <c r="D164" t="s">
        <v>353</v>
      </c>
      <c r="E164" t="s">
        <v>501</v>
      </c>
      <c r="F164">
        <v>22</v>
      </c>
      <c r="G164">
        <f t="shared" si="10"/>
        <v>0</v>
      </c>
      <c r="H164">
        <f t="shared" si="11"/>
        <v>0</v>
      </c>
      <c r="I164" t="str">
        <f>IF(G164&lt;&gt;0,"Due to CMP filter","")</f>
        <v/>
      </c>
    </row>
    <row r="165" spans="1:9" x14ac:dyDescent="0.15">
      <c r="A165" t="s">
        <v>337</v>
      </c>
      <c r="B165" t="s">
        <v>502</v>
      </c>
      <c r="C165">
        <v>20</v>
      </c>
      <c r="D165" t="s">
        <v>353</v>
      </c>
      <c r="E165" t="s">
        <v>502</v>
      </c>
      <c r="F165">
        <v>19</v>
      </c>
      <c r="G165">
        <f t="shared" si="10"/>
        <v>1</v>
      </c>
      <c r="H165">
        <f t="shared" si="11"/>
        <v>1</v>
      </c>
      <c r="I165" s="13" t="s">
        <v>357</v>
      </c>
    </row>
    <row r="166" spans="1:9" x14ac:dyDescent="0.15">
      <c r="A166" t="s">
        <v>337</v>
      </c>
      <c r="B166" t="s">
        <v>503</v>
      </c>
      <c r="C166">
        <v>2678</v>
      </c>
      <c r="D166" t="s">
        <v>353</v>
      </c>
      <c r="E166" t="s">
        <v>503</v>
      </c>
      <c r="F166">
        <v>2678</v>
      </c>
      <c r="G166">
        <f t="shared" si="10"/>
        <v>0</v>
      </c>
      <c r="H166">
        <f t="shared" si="11"/>
        <v>0</v>
      </c>
      <c r="I166" t="str">
        <f>IF(G166&lt;&gt;0,"Due to CMP filter","")</f>
        <v/>
      </c>
    </row>
    <row r="167" spans="1:9" x14ac:dyDescent="0.15">
      <c r="A167" t="s">
        <v>337</v>
      </c>
      <c r="B167" t="s">
        <v>504</v>
      </c>
      <c r="C167">
        <v>214</v>
      </c>
      <c r="D167" t="s">
        <v>353</v>
      </c>
      <c r="E167" t="s">
        <v>504</v>
      </c>
      <c r="F167">
        <v>214</v>
      </c>
      <c r="G167">
        <f t="shared" si="10"/>
        <v>0</v>
      </c>
      <c r="H167">
        <f t="shared" si="11"/>
        <v>0</v>
      </c>
    </row>
    <row r="168" spans="1:9" x14ac:dyDescent="0.15">
      <c r="A168" t="s">
        <v>337</v>
      </c>
      <c r="B168" t="s">
        <v>505</v>
      </c>
      <c r="C168">
        <v>532</v>
      </c>
      <c r="D168" t="s">
        <v>353</v>
      </c>
      <c r="E168" t="s">
        <v>505</v>
      </c>
      <c r="F168">
        <v>532</v>
      </c>
      <c r="G168">
        <f t="shared" si="10"/>
        <v>0</v>
      </c>
      <c r="H168">
        <f t="shared" si="11"/>
        <v>0</v>
      </c>
    </row>
    <row r="169" spans="1:9" x14ac:dyDescent="0.15">
      <c r="A169" t="s">
        <v>337</v>
      </c>
      <c r="B169" t="s">
        <v>506</v>
      </c>
      <c r="C169">
        <v>2916</v>
      </c>
      <c r="D169" t="s">
        <v>353</v>
      </c>
      <c r="E169" t="s">
        <v>506</v>
      </c>
      <c r="F169">
        <v>1366</v>
      </c>
      <c r="G169">
        <f t="shared" si="10"/>
        <v>1550</v>
      </c>
      <c r="H169">
        <f t="shared" si="11"/>
        <v>1550</v>
      </c>
      <c r="I169" s="13" t="s">
        <v>357</v>
      </c>
    </row>
    <row r="170" spans="1:9" x14ac:dyDescent="0.15">
      <c r="A170" t="s">
        <v>337</v>
      </c>
      <c r="B170" t="s">
        <v>507</v>
      </c>
      <c r="C170">
        <v>16739</v>
      </c>
      <c r="D170" t="s">
        <v>353</v>
      </c>
      <c r="E170" t="s">
        <v>507</v>
      </c>
      <c r="F170">
        <v>16630</v>
      </c>
      <c r="G170">
        <f t="shared" si="10"/>
        <v>109</v>
      </c>
      <c r="H170">
        <f t="shared" si="11"/>
        <v>109</v>
      </c>
      <c r="I170" s="13" t="s">
        <v>357</v>
      </c>
    </row>
    <row r="171" spans="1:9" x14ac:dyDescent="0.15">
      <c r="A171" t="s">
        <v>337</v>
      </c>
      <c r="B171" t="s">
        <v>508</v>
      </c>
      <c r="C171">
        <v>45824</v>
      </c>
      <c r="D171" t="s">
        <v>353</v>
      </c>
      <c r="E171" t="s">
        <v>508</v>
      </c>
      <c r="F171">
        <v>45726</v>
      </c>
      <c r="G171">
        <f t="shared" si="10"/>
        <v>98</v>
      </c>
      <c r="H171">
        <f t="shared" si="11"/>
        <v>98</v>
      </c>
      <c r="I171" s="13" t="s">
        <v>357</v>
      </c>
    </row>
    <row r="172" spans="1:9" x14ac:dyDescent="0.15">
      <c r="A172" t="s">
        <v>337</v>
      </c>
      <c r="B172" t="s">
        <v>509</v>
      </c>
      <c r="C172">
        <v>697228</v>
      </c>
      <c r="D172" t="s">
        <v>353</v>
      </c>
      <c r="E172" t="s">
        <v>509</v>
      </c>
      <c r="F172">
        <v>663360</v>
      </c>
      <c r="G172">
        <f t="shared" si="10"/>
        <v>33868</v>
      </c>
      <c r="H172">
        <f t="shared" si="11"/>
        <v>33868</v>
      </c>
      <c r="I172" s="13" t="s">
        <v>357</v>
      </c>
    </row>
    <row r="173" spans="1:9" x14ac:dyDescent="0.15">
      <c r="A173" t="s">
        <v>337</v>
      </c>
      <c r="B173" t="s">
        <v>510</v>
      </c>
      <c r="C173">
        <v>37</v>
      </c>
      <c r="D173" t="s">
        <v>353</v>
      </c>
      <c r="E173" t="s">
        <v>510</v>
      </c>
      <c r="F173">
        <v>37</v>
      </c>
      <c r="G173">
        <f t="shared" si="10"/>
        <v>0</v>
      </c>
      <c r="H173">
        <f t="shared" si="11"/>
        <v>0</v>
      </c>
      <c r="I173" t="str">
        <f>IF(G173&lt;&gt;0,"Due to CMP filter","")</f>
        <v/>
      </c>
    </row>
    <row r="174" spans="1:9" x14ac:dyDescent="0.15">
      <c r="A174" t="s">
        <v>337</v>
      </c>
      <c r="B174" t="s">
        <v>511</v>
      </c>
      <c r="C174">
        <v>344707</v>
      </c>
      <c r="D174" t="s">
        <v>353</v>
      </c>
      <c r="E174" t="s">
        <v>511</v>
      </c>
      <c r="F174">
        <v>212655</v>
      </c>
      <c r="G174">
        <f t="shared" si="10"/>
        <v>132052</v>
      </c>
      <c r="H174">
        <f t="shared" si="11"/>
        <v>132052</v>
      </c>
      <c r="I174" s="13" t="s">
        <v>357</v>
      </c>
    </row>
    <row r="175" spans="1:9" x14ac:dyDescent="0.15">
      <c r="A175" t="s">
        <v>337</v>
      </c>
      <c r="B175" t="s">
        <v>512</v>
      </c>
      <c r="C175">
        <v>1</v>
      </c>
      <c r="D175" t="s">
        <v>353</v>
      </c>
      <c r="E175" t="s">
        <v>512</v>
      </c>
      <c r="F175">
        <v>1</v>
      </c>
      <c r="G175">
        <f t="shared" si="10"/>
        <v>0</v>
      </c>
      <c r="H175">
        <f t="shared" si="11"/>
        <v>0</v>
      </c>
      <c r="I175" t="str">
        <f>IF(G175&lt;&gt;0,"Due to CMP filter","")</f>
        <v/>
      </c>
    </row>
    <row r="176" spans="1:9" x14ac:dyDescent="0.15">
      <c r="A176" t="s">
        <v>337</v>
      </c>
      <c r="B176" t="s">
        <v>513</v>
      </c>
      <c r="C176">
        <v>292</v>
      </c>
      <c r="D176" t="s">
        <v>353</v>
      </c>
      <c r="E176" t="s">
        <v>513</v>
      </c>
      <c r="F176">
        <v>292</v>
      </c>
      <c r="G176">
        <f t="shared" si="10"/>
        <v>0</v>
      </c>
      <c r="H176">
        <f t="shared" si="11"/>
        <v>0</v>
      </c>
      <c r="I176" t="str">
        <f>IF(G176&lt;&gt;0,"Due to CMP filter","")</f>
        <v/>
      </c>
    </row>
    <row r="177" spans="1:9" x14ac:dyDescent="0.15">
      <c r="A177" t="s">
        <v>337</v>
      </c>
      <c r="B177" t="s">
        <v>514</v>
      </c>
      <c r="C177">
        <v>1660</v>
      </c>
      <c r="D177" t="s">
        <v>353</v>
      </c>
      <c r="E177" t="s">
        <v>514</v>
      </c>
      <c r="F177">
        <v>1660</v>
      </c>
      <c r="G177">
        <f t="shared" si="10"/>
        <v>0</v>
      </c>
      <c r="H177">
        <f t="shared" si="11"/>
        <v>0</v>
      </c>
    </row>
    <row r="178" spans="1:9" x14ac:dyDescent="0.15">
      <c r="A178" t="s">
        <v>337</v>
      </c>
      <c r="B178" t="s">
        <v>515</v>
      </c>
      <c r="C178">
        <v>1</v>
      </c>
      <c r="D178" t="s">
        <v>353</v>
      </c>
      <c r="E178" t="s">
        <v>515</v>
      </c>
      <c r="F178">
        <v>1</v>
      </c>
      <c r="G178">
        <f t="shared" si="10"/>
        <v>0</v>
      </c>
      <c r="H178">
        <f t="shared" si="11"/>
        <v>0</v>
      </c>
      <c r="I178" t="str">
        <f>IF(G178&lt;&gt;0,"Due to CMP filter","")</f>
        <v/>
      </c>
    </row>
    <row r="179" spans="1:9" x14ac:dyDescent="0.15">
      <c r="A179" t="s">
        <v>337</v>
      </c>
      <c r="B179" t="s">
        <v>516</v>
      </c>
      <c r="C179">
        <v>611374</v>
      </c>
      <c r="D179" t="s">
        <v>353</v>
      </c>
      <c r="E179" t="s">
        <v>516</v>
      </c>
      <c r="F179">
        <v>257115</v>
      </c>
      <c r="G179">
        <f t="shared" si="10"/>
        <v>354259</v>
      </c>
      <c r="H179">
        <f t="shared" si="11"/>
        <v>354259</v>
      </c>
      <c r="I179" s="13" t="s">
        <v>357</v>
      </c>
    </row>
    <row r="180" spans="1:9" x14ac:dyDescent="0.15">
      <c r="A180" t="s">
        <v>337</v>
      </c>
      <c r="B180" t="s">
        <v>517</v>
      </c>
      <c r="C180">
        <v>116</v>
      </c>
      <c r="D180" t="s">
        <v>353</v>
      </c>
      <c r="E180" t="s">
        <v>517</v>
      </c>
      <c r="F180">
        <v>116</v>
      </c>
      <c r="G180">
        <f t="shared" si="10"/>
        <v>0</v>
      </c>
      <c r="H180">
        <f t="shared" si="11"/>
        <v>0</v>
      </c>
      <c r="I180" t="str">
        <f>IF(G180&lt;&gt;0,"Due to CMP filter","")</f>
        <v/>
      </c>
    </row>
    <row r="181" spans="1:9" x14ac:dyDescent="0.15">
      <c r="A181" t="s">
        <v>337</v>
      </c>
      <c r="B181" t="s">
        <v>518</v>
      </c>
      <c r="C181">
        <v>115</v>
      </c>
      <c r="D181" t="s">
        <v>353</v>
      </c>
      <c r="E181" t="s">
        <v>518</v>
      </c>
      <c r="F181">
        <v>115</v>
      </c>
      <c r="G181">
        <f t="shared" si="10"/>
        <v>0</v>
      </c>
      <c r="H181">
        <f t="shared" si="11"/>
        <v>0</v>
      </c>
    </row>
    <row r="182" spans="1:9" x14ac:dyDescent="0.15">
      <c r="A182" t="s">
        <v>337</v>
      </c>
      <c r="B182" t="s">
        <v>519</v>
      </c>
      <c r="C182">
        <v>303</v>
      </c>
      <c r="D182" t="s">
        <v>353</v>
      </c>
      <c r="E182" t="s">
        <v>519</v>
      </c>
      <c r="F182">
        <v>303</v>
      </c>
      <c r="G182">
        <f t="shared" si="10"/>
        <v>0</v>
      </c>
      <c r="H182">
        <f t="shared" si="11"/>
        <v>0</v>
      </c>
    </row>
    <row r="183" spans="1:9" x14ac:dyDescent="0.15">
      <c r="A183" t="s">
        <v>337</v>
      </c>
      <c r="B183" t="s">
        <v>520</v>
      </c>
      <c r="C183">
        <v>13629</v>
      </c>
      <c r="D183" t="s">
        <v>353</v>
      </c>
      <c r="E183" t="s">
        <v>520</v>
      </c>
      <c r="F183">
        <v>3029</v>
      </c>
      <c r="G183">
        <f t="shared" si="10"/>
        <v>10600</v>
      </c>
      <c r="H183">
        <f t="shared" si="11"/>
        <v>10600</v>
      </c>
      <c r="I183" s="13" t="s">
        <v>357</v>
      </c>
    </row>
    <row r="184" spans="1:9" x14ac:dyDescent="0.15">
      <c r="A184" t="s">
        <v>337</v>
      </c>
      <c r="B184" t="s">
        <v>521</v>
      </c>
      <c r="C184">
        <v>278</v>
      </c>
      <c r="D184" t="s">
        <v>353</v>
      </c>
      <c r="E184" t="s">
        <v>521</v>
      </c>
      <c r="F184">
        <v>276</v>
      </c>
      <c r="G184">
        <f t="shared" si="10"/>
        <v>2</v>
      </c>
      <c r="H184">
        <f t="shared" si="11"/>
        <v>2</v>
      </c>
      <c r="I184" s="13" t="s">
        <v>357</v>
      </c>
    </row>
    <row r="185" spans="1:9" x14ac:dyDescent="0.15">
      <c r="A185" t="s">
        <v>337</v>
      </c>
      <c r="B185" t="s">
        <v>522</v>
      </c>
      <c r="C185">
        <v>350</v>
      </c>
      <c r="D185" t="s">
        <v>353</v>
      </c>
      <c r="E185" t="s">
        <v>522</v>
      </c>
      <c r="F185">
        <v>350</v>
      </c>
      <c r="G185">
        <f t="shared" si="10"/>
        <v>0</v>
      </c>
      <c r="H185">
        <f t="shared" si="11"/>
        <v>0</v>
      </c>
      <c r="I185" t="str">
        <f>IF(G185&lt;&gt;0,"Due to CMP filter","")</f>
        <v/>
      </c>
    </row>
    <row r="186" spans="1:9" x14ac:dyDescent="0.15">
      <c r="A186" t="s">
        <v>337</v>
      </c>
      <c r="B186" t="s">
        <v>523</v>
      </c>
      <c r="C186">
        <v>40</v>
      </c>
      <c r="D186" t="s">
        <v>353</v>
      </c>
      <c r="E186" t="s">
        <v>523</v>
      </c>
      <c r="F186">
        <v>40</v>
      </c>
      <c r="G186">
        <f t="shared" si="10"/>
        <v>0</v>
      </c>
      <c r="H186">
        <f t="shared" si="11"/>
        <v>0</v>
      </c>
      <c r="I186" t="str">
        <f>IF(G186&lt;&gt;0,"Due to CMP filter","")</f>
        <v/>
      </c>
    </row>
    <row r="187" spans="1:9" x14ac:dyDescent="0.15">
      <c r="A187" t="s">
        <v>337</v>
      </c>
      <c r="B187" t="s">
        <v>524</v>
      </c>
      <c r="C187">
        <v>64</v>
      </c>
      <c r="D187" t="s">
        <v>353</v>
      </c>
      <c r="E187" t="s">
        <v>524</v>
      </c>
      <c r="F187">
        <v>64</v>
      </c>
      <c r="G187">
        <f t="shared" si="10"/>
        <v>0</v>
      </c>
      <c r="H187">
        <f t="shared" si="11"/>
        <v>0</v>
      </c>
    </row>
    <row r="188" spans="1:9" x14ac:dyDescent="0.15">
      <c r="A188" t="s">
        <v>337</v>
      </c>
      <c r="B188" t="s">
        <v>525</v>
      </c>
      <c r="C188">
        <v>764</v>
      </c>
      <c r="D188" t="s">
        <v>353</v>
      </c>
      <c r="E188" t="s">
        <v>525</v>
      </c>
      <c r="F188">
        <v>764</v>
      </c>
      <c r="G188">
        <f t="shared" si="10"/>
        <v>0</v>
      </c>
      <c r="H188">
        <f t="shared" si="11"/>
        <v>0</v>
      </c>
      <c r="I188" t="str">
        <f>IF(G188&lt;&gt;0,"Due to CMP filter","")</f>
        <v/>
      </c>
    </row>
    <row r="189" spans="1:9" x14ac:dyDescent="0.15">
      <c r="A189" t="s">
        <v>337</v>
      </c>
      <c r="B189" t="s">
        <v>526</v>
      </c>
      <c r="C189">
        <v>17065</v>
      </c>
      <c r="D189" t="s">
        <v>353</v>
      </c>
      <c r="E189" t="s">
        <v>526</v>
      </c>
      <c r="F189">
        <v>10137</v>
      </c>
      <c r="G189">
        <f t="shared" si="10"/>
        <v>6928</v>
      </c>
      <c r="H189">
        <f t="shared" si="11"/>
        <v>6928</v>
      </c>
      <c r="I189" s="13" t="s">
        <v>357</v>
      </c>
    </row>
    <row r="190" spans="1:9" x14ac:dyDescent="0.15">
      <c r="A190" t="s">
        <v>337</v>
      </c>
      <c r="B190" t="s">
        <v>527</v>
      </c>
      <c r="C190">
        <v>36</v>
      </c>
      <c r="D190" t="s">
        <v>353</v>
      </c>
      <c r="E190" t="s">
        <v>527</v>
      </c>
      <c r="F190">
        <v>36</v>
      </c>
      <c r="G190">
        <f t="shared" si="10"/>
        <v>0</v>
      </c>
      <c r="H190">
        <f t="shared" si="11"/>
        <v>0</v>
      </c>
      <c r="I190" t="str">
        <f>IF(G190&lt;&gt;0,"Due to CMP filter","")</f>
        <v/>
      </c>
    </row>
    <row r="191" spans="1:9" x14ac:dyDescent="0.15">
      <c r="A191" t="s">
        <v>337</v>
      </c>
      <c r="B191" t="s">
        <v>528</v>
      </c>
      <c r="C191">
        <v>3</v>
      </c>
      <c r="D191" t="s">
        <v>353</v>
      </c>
      <c r="E191" t="s">
        <v>528</v>
      </c>
      <c r="F191">
        <v>3</v>
      </c>
      <c r="G191">
        <f t="shared" si="10"/>
        <v>0</v>
      </c>
      <c r="H191">
        <f t="shared" si="11"/>
        <v>0</v>
      </c>
      <c r="I191" t="str">
        <f>IF(G191&lt;&gt;0,"Due to CMP filter","")</f>
        <v/>
      </c>
    </row>
    <row r="192" spans="1:9" x14ac:dyDescent="0.15">
      <c r="A192" t="s">
        <v>337</v>
      </c>
      <c r="B192" t="s">
        <v>529</v>
      </c>
      <c r="C192">
        <v>28572</v>
      </c>
      <c r="D192" t="s">
        <v>353</v>
      </c>
      <c r="E192" t="s">
        <v>529</v>
      </c>
      <c r="F192">
        <v>28572</v>
      </c>
      <c r="G192">
        <f t="shared" si="10"/>
        <v>0</v>
      </c>
      <c r="H192">
        <f t="shared" si="11"/>
        <v>0</v>
      </c>
      <c r="I192" t="str">
        <f>IF(G192&lt;&gt;0,"Due to CMP filter","")</f>
        <v/>
      </c>
    </row>
    <row r="193" spans="1:9" x14ac:dyDescent="0.15">
      <c r="A193" t="s">
        <v>337</v>
      </c>
      <c r="B193" t="s">
        <v>530</v>
      </c>
      <c r="C193">
        <v>11</v>
      </c>
      <c r="D193" t="s">
        <v>353</v>
      </c>
      <c r="E193" t="s">
        <v>530</v>
      </c>
      <c r="F193">
        <v>11</v>
      </c>
      <c r="G193">
        <f t="shared" si="10"/>
        <v>0</v>
      </c>
      <c r="H193">
        <f t="shared" si="11"/>
        <v>0</v>
      </c>
      <c r="I193" t="str">
        <f>IF(G193&lt;&gt;0,"Due to CMP filter","")</f>
        <v/>
      </c>
    </row>
    <row r="194" spans="1:9" x14ac:dyDescent="0.15">
      <c r="A194" t="s">
        <v>337</v>
      </c>
      <c r="B194" t="s">
        <v>531</v>
      </c>
      <c r="C194">
        <v>3608</v>
      </c>
      <c r="D194" t="s">
        <v>353</v>
      </c>
      <c r="E194" t="s">
        <v>531</v>
      </c>
      <c r="F194">
        <v>3608</v>
      </c>
      <c r="G194">
        <f t="shared" si="10"/>
        <v>0</v>
      </c>
      <c r="H194">
        <f t="shared" si="11"/>
        <v>0</v>
      </c>
      <c r="I194" t="str">
        <f>IF(G194&lt;&gt;0,"Due to CMP filter","")</f>
        <v/>
      </c>
    </row>
    <row r="195" spans="1:9" x14ac:dyDescent="0.15">
      <c r="A195" t="s">
        <v>337</v>
      </c>
      <c r="B195" t="s">
        <v>532</v>
      </c>
      <c r="C195">
        <v>61630</v>
      </c>
      <c r="D195" t="s">
        <v>353</v>
      </c>
      <c r="E195" t="s">
        <v>532</v>
      </c>
      <c r="F195">
        <v>61630</v>
      </c>
      <c r="G195">
        <f t="shared" si="10"/>
        <v>0</v>
      </c>
      <c r="H195">
        <f t="shared" si="11"/>
        <v>0</v>
      </c>
    </row>
    <row r="196" spans="1:9" x14ac:dyDescent="0.15">
      <c r="A196" t="s">
        <v>337</v>
      </c>
      <c r="B196" t="s">
        <v>533</v>
      </c>
      <c r="C196">
        <v>5092</v>
      </c>
      <c r="D196" t="s">
        <v>353</v>
      </c>
      <c r="E196" t="s">
        <v>533</v>
      </c>
      <c r="F196">
        <v>5092</v>
      </c>
      <c r="G196">
        <f t="shared" si="10"/>
        <v>0</v>
      </c>
      <c r="H196">
        <f t="shared" si="11"/>
        <v>0</v>
      </c>
    </row>
    <row r="197" spans="1:9" x14ac:dyDescent="0.15">
      <c r="A197" t="s">
        <v>337</v>
      </c>
      <c r="B197" t="s">
        <v>534</v>
      </c>
      <c r="C197">
        <v>162</v>
      </c>
      <c r="D197" t="s">
        <v>353</v>
      </c>
      <c r="E197" t="s">
        <v>534</v>
      </c>
      <c r="F197">
        <v>35</v>
      </c>
      <c r="G197">
        <f t="shared" si="10"/>
        <v>127</v>
      </c>
      <c r="H197">
        <f t="shared" si="11"/>
        <v>127</v>
      </c>
      <c r="I197" s="13" t="s">
        <v>357</v>
      </c>
    </row>
    <row r="198" spans="1:9" x14ac:dyDescent="0.15">
      <c r="A198" t="s">
        <v>337</v>
      </c>
      <c r="B198" t="s">
        <v>535</v>
      </c>
      <c r="C198">
        <v>1051492</v>
      </c>
      <c r="D198" t="s">
        <v>353</v>
      </c>
      <c r="E198" t="s">
        <v>535</v>
      </c>
      <c r="F198">
        <v>1046926</v>
      </c>
      <c r="G198">
        <f t="shared" si="10"/>
        <v>4566</v>
      </c>
      <c r="H198">
        <f t="shared" si="11"/>
        <v>4566</v>
      </c>
      <c r="I198" s="13" t="s">
        <v>357</v>
      </c>
    </row>
    <row r="199" spans="1:9" x14ac:dyDescent="0.15">
      <c r="A199" t="s">
        <v>337</v>
      </c>
      <c r="B199" t="s">
        <v>536</v>
      </c>
      <c r="C199">
        <v>537</v>
      </c>
      <c r="D199" t="s">
        <v>353</v>
      </c>
      <c r="E199" t="s">
        <v>536</v>
      </c>
      <c r="F199">
        <v>537</v>
      </c>
      <c r="G199">
        <f t="shared" si="10"/>
        <v>0</v>
      </c>
      <c r="H199">
        <f t="shared" si="11"/>
        <v>0</v>
      </c>
    </row>
    <row r="200" spans="1:9" x14ac:dyDescent="0.15">
      <c r="A200" t="s">
        <v>337</v>
      </c>
      <c r="B200" t="s">
        <v>537</v>
      </c>
      <c r="C200">
        <v>4</v>
      </c>
      <c r="D200" t="s">
        <v>353</v>
      </c>
      <c r="E200" t="s">
        <v>537</v>
      </c>
      <c r="F200">
        <v>4</v>
      </c>
      <c r="G200">
        <f t="shared" si="10"/>
        <v>0</v>
      </c>
      <c r="H200">
        <f t="shared" si="11"/>
        <v>0</v>
      </c>
    </row>
    <row r="201" spans="1:9" x14ac:dyDescent="0.15">
      <c r="A201" t="s">
        <v>337</v>
      </c>
      <c r="B201" t="s">
        <v>538</v>
      </c>
      <c r="C201">
        <v>551397</v>
      </c>
      <c r="D201" t="s">
        <v>353</v>
      </c>
      <c r="E201" t="s">
        <v>538</v>
      </c>
      <c r="F201">
        <v>551209</v>
      </c>
      <c r="G201">
        <f t="shared" si="10"/>
        <v>188</v>
      </c>
      <c r="H201">
        <f t="shared" si="11"/>
        <v>188</v>
      </c>
      <c r="I201" s="13" t="s">
        <v>357</v>
      </c>
    </row>
    <row r="202" spans="1:9" x14ac:dyDescent="0.15">
      <c r="A202" t="s">
        <v>337</v>
      </c>
      <c r="B202" t="s">
        <v>539</v>
      </c>
      <c r="C202">
        <v>251212</v>
      </c>
      <c r="D202" t="s">
        <v>353</v>
      </c>
      <c r="E202" t="s">
        <v>539</v>
      </c>
      <c r="F202">
        <v>251096</v>
      </c>
      <c r="G202">
        <f t="shared" si="10"/>
        <v>116</v>
      </c>
      <c r="H202">
        <f t="shared" si="11"/>
        <v>116</v>
      </c>
      <c r="I202" s="13" t="s">
        <v>357</v>
      </c>
    </row>
    <row r="203" spans="1:9" x14ac:dyDescent="0.15">
      <c r="A203" t="s">
        <v>337</v>
      </c>
      <c r="B203" t="s">
        <v>540</v>
      </c>
      <c r="C203">
        <v>251017</v>
      </c>
      <c r="D203" t="s">
        <v>353</v>
      </c>
      <c r="E203" t="s">
        <v>540</v>
      </c>
      <c r="F203">
        <v>250924</v>
      </c>
      <c r="G203">
        <f t="shared" si="10"/>
        <v>93</v>
      </c>
      <c r="H203">
        <f t="shared" si="11"/>
        <v>93</v>
      </c>
      <c r="I203" s="13" t="s">
        <v>357</v>
      </c>
    </row>
    <row r="204" spans="1:9" x14ac:dyDescent="0.15">
      <c r="A204" t="s">
        <v>337</v>
      </c>
      <c r="B204" t="s">
        <v>541</v>
      </c>
      <c r="C204">
        <v>136673</v>
      </c>
      <c r="D204" t="s">
        <v>353</v>
      </c>
      <c r="E204" t="s">
        <v>541</v>
      </c>
      <c r="F204">
        <v>136670</v>
      </c>
      <c r="G204">
        <f t="shared" si="10"/>
        <v>3</v>
      </c>
      <c r="H204">
        <f t="shared" si="11"/>
        <v>3</v>
      </c>
      <c r="I204" s="13" t="s">
        <v>357</v>
      </c>
    </row>
    <row r="205" spans="1:9" x14ac:dyDescent="0.15">
      <c r="A205" t="s">
        <v>337</v>
      </c>
      <c r="B205" t="s">
        <v>542</v>
      </c>
      <c r="C205">
        <v>3639066</v>
      </c>
      <c r="D205" t="s">
        <v>353</v>
      </c>
      <c r="E205" t="s">
        <v>542</v>
      </c>
      <c r="F205">
        <v>3638878</v>
      </c>
      <c r="G205">
        <f t="shared" si="10"/>
        <v>188</v>
      </c>
      <c r="H205">
        <f t="shared" si="11"/>
        <v>188</v>
      </c>
      <c r="I205" s="13" t="s">
        <v>357</v>
      </c>
    </row>
    <row r="206" spans="1:9" x14ac:dyDescent="0.15">
      <c r="A206" t="s">
        <v>337</v>
      </c>
      <c r="B206" t="s">
        <v>543</v>
      </c>
      <c r="C206">
        <v>1141242</v>
      </c>
      <c r="D206" t="s">
        <v>353</v>
      </c>
      <c r="E206" t="s">
        <v>543</v>
      </c>
      <c r="F206">
        <v>1139762</v>
      </c>
      <c r="G206">
        <f t="shared" si="10"/>
        <v>1480</v>
      </c>
      <c r="H206">
        <f t="shared" si="11"/>
        <v>1480</v>
      </c>
      <c r="I206" s="13" t="s">
        <v>357</v>
      </c>
    </row>
    <row r="207" spans="1:9" x14ac:dyDescent="0.15">
      <c r="A207" t="s">
        <v>337</v>
      </c>
      <c r="B207" t="s">
        <v>544</v>
      </c>
      <c r="C207">
        <v>709224</v>
      </c>
      <c r="D207" t="s">
        <v>353</v>
      </c>
      <c r="E207" t="s">
        <v>544</v>
      </c>
      <c r="F207">
        <v>709128</v>
      </c>
      <c r="G207">
        <f t="shared" si="10"/>
        <v>96</v>
      </c>
      <c r="H207">
        <f t="shared" si="11"/>
        <v>96</v>
      </c>
      <c r="I207" s="13" t="s">
        <v>357</v>
      </c>
    </row>
    <row r="208" spans="1:9" x14ac:dyDescent="0.15">
      <c r="A208" t="s">
        <v>337</v>
      </c>
      <c r="B208" t="s">
        <v>545</v>
      </c>
      <c r="C208">
        <v>818</v>
      </c>
      <c r="D208" t="s">
        <v>353</v>
      </c>
      <c r="E208" t="s">
        <v>545</v>
      </c>
      <c r="F208">
        <v>737</v>
      </c>
      <c r="G208">
        <f t="shared" si="10"/>
        <v>81</v>
      </c>
      <c r="H208">
        <f t="shared" si="11"/>
        <v>81</v>
      </c>
      <c r="I208" s="13" t="s">
        <v>357</v>
      </c>
    </row>
    <row r="209" spans="1:9" x14ac:dyDescent="0.15">
      <c r="A209" t="s">
        <v>337</v>
      </c>
      <c r="B209" t="s">
        <v>546</v>
      </c>
      <c r="C209">
        <v>1321</v>
      </c>
      <c r="D209" t="s">
        <v>353</v>
      </c>
      <c r="E209" t="s">
        <v>546</v>
      </c>
      <c r="F209">
        <v>1289</v>
      </c>
      <c r="G209">
        <f t="shared" ref="G209:G272" si="12">C209-F209</f>
        <v>32</v>
      </c>
      <c r="H209">
        <f t="shared" ref="H209:H272" si="13">IF(OR(C209=0, F209=0), 0, C209-F209)</f>
        <v>32</v>
      </c>
      <c r="I209" s="13" t="s">
        <v>357</v>
      </c>
    </row>
    <row r="210" spans="1:9" x14ac:dyDescent="0.15">
      <c r="A210" t="s">
        <v>337</v>
      </c>
      <c r="B210" t="s">
        <v>547</v>
      </c>
      <c r="C210">
        <v>77</v>
      </c>
      <c r="D210" t="s">
        <v>353</v>
      </c>
      <c r="E210" t="s">
        <v>547</v>
      </c>
      <c r="F210">
        <v>71</v>
      </c>
      <c r="G210">
        <f t="shared" si="12"/>
        <v>6</v>
      </c>
      <c r="H210">
        <f t="shared" si="13"/>
        <v>6</v>
      </c>
      <c r="I210" s="13" t="s">
        <v>357</v>
      </c>
    </row>
    <row r="211" spans="1:9" x14ac:dyDescent="0.15">
      <c r="A211" t="s">
        <v>337</v>
      </c>
      <c r="B211" t="s">
        <v>548</v>
      </c>
      <c r="C211">
        <v>208</v>
      </c>
      <c r="D211" t="s">
        <v>353</v>
      </c>
      <c r="E211" t="s">
        <v>548</v>
      </c>
      <c r="F211">
        <v>208</v>
      </c>
      <c r="G211">
        <f t="shared" si="12"/>
        <v>0</v>
      </c>
      <c r="H211">
        <f t="shared" si="13"/>
        <v>0</v>
      </c>
    </row>
    <row r="212" spans="1:9" x14ac:dyDescent="0.15">
      <c r="A212" t="s">
        <v>337</v>
      </c>
      <c r="B212" t="s">
        <v>549</v>
      </c>
      <c r="C212">
        <v>11</v>
      </c>
      <c r="D212" t="s">
        <v>353</v>
      </c>
      <c r="E212" t="s">
        <v>549</v>
      </c>
      <c r="F212">
        <v>11</v>
      </c>
      <c r="G212">
        <f t="shared" si="12"/>
        <v>0</v>
      </c>
      <c r="H212">
        <f t="shared" si="13"/>
        <v>0</v>
      </c>
    </row>
    <row r="213" spans="1:9" x14ac:dyDescent="0.15">
      <c r="A213" t="s">
        <v>337</v>
      </c>
      <c r="B213" t="s">
        <v>550</v>
      </c>
      <c r="C213">
        <v>302061</v>
      </c>
      <c r="D213" t="s">
        <v>353</v>
      </c>
      <c r="E213" t="s">
        <v>550</v>
      </c>
      <c r="F213">
        <v>301271</v>
      </c>
      <c r="G213">
        <f t="shared" si="12"/>
        <v>790</v>
      </c>
      <c r="H213">
        <f t="shared" si="13"/>
        <v>790</v>
      </c>
      <c r="I213" s="13" t="s">
        <v>357</v>
      </c>
    </row>
    <row r="214" spans="1:9" x14ac:dyDescent="0.15">
      <c r="A214" t="s">
        <v>337</v>
      </c>
      <c r="B214" t="s">
        <v>551</v>
      </c>
      <c r="C214">
        <v>2634</v>
      </c>
      <c r="D214" t="s">
        <v>353</v>
      </c>
      <c r="E214" t="s">
        <v>551</v>
      </c>
      <c r="F214">
        <v>2618</v>
      </c>
      <c r="G214">
        <f t="shared" si="12"/>
        <v>16</v>
      </c>
      <c r="H214">
        <f t="shared" si="13"/>
        <v>16</v>
      </c>
      <c r="I214" s="13" t="s">
        <v>357</v>
      </c>
    </row>
    <row r="215" spans="1:9" x14ac:dyDescent="0.15">
      <c r="A215" t="s">
        <v>337</v>
      </c>
      <c r="B215" t="s">
        <v>552</v>
      </c>
      <c r="C215">
        <v>23649986</v>
      </c>
      <c r="D215" t="s">
        <v>353</v>
      </c>
      <c r="E215" t="s">
        <v>552</v>
      </c>
      <c r="F215">
        <v>23597533</v>
      </c>
      <c r="G215">
        <f t="shared" si="12"/>
        <v>52453</v>
      </c>
      <c r="H215">
        <f t="shared" si="13"/>
        <v>52453</v>
      </c>
      <c r="I215" s="13" t="s">
        <v>357</v>
      </c>
    </row>
    <row r="216" spans="1:9" x14ac:dyDescent="0.15">
      <c r="A216" t="s">
        <v>337</v>
      </c>
      <c r="B216" t="s">
        <v>553</v>
      </c>
      <c r="C216">
        <v>10953038</v>
      </c>
      <c r="D216" t="s">
        <v>353</v>
      </c>
      <c r="E216" t="s">
        <v>553</v>
      </c>
      <c r="F216">
        <v>10789578</v>
      </c>
      <c r="G216">
        <f t="shared" si="12"/>
        <v>163460</v>
      </c>
      <c r="H216">
        <f t="shared" si="13"/>
        <v>163460</v>
      </c>
      <c r="I216" s="13" t="s">
        <v>357</v>
      </c>
    </row>
    <row r="217" spans="1:9" x14ac:dyDescent="0.15">
      <c r="A217" t="s">
        <v>337</v>
      </c>
      <c r="B217" t="s">
        <v>554</v>
      </c>
      <c r="C217">
        <v>84</v>
      </c>
      <c r="D217" t="s">
        <v>353</v>
      </c>
      <c r="E217" t="s">
        <v>554</v>
      </c>
      <c r="F217">
        <v>83</v>
      </c>
      <c r="G217">
        <f t="shared" si="12"/>
        <v>1</v>
      </c>
      <c r="H217">
        <f t="shared" si="13"/>
        <v>1</v>
      </c>
      <c r="I217" s="13" t="s">
        <v>357</v>
      </c>
    </row>
    <row r="218" spans="1:9" x14ac:dyDescent="0.15">
      <c r="A218" t="s">
        <v>337</v>
      </c>
      <c r="B218" t="s">
        <v>555</v>
      </c>
      <c r="C218">
        <v>224083142</v>
      </c>
      <c r="D218" t="s">
        <v>353</v>
      </c>
      <c r="E218" t="s">
        <v>555</v>
      </c>
      <c r="F218">
        <v>221968287</v>
      </c>
      <c r="G218">
        <f t="shared" si="12"/>
        <v>2114855</v>
      </c>
      <c r="H218">
        <f t="shared" si="13"/>
        <v>2114855</v>
      </c>
      <c r="I218" s="13" t="s">
        <v>357</v>
      </c>
    </row>
    <row r="219" spans="1:9" x14ac:dyDescent="0.15">
      <c r="A219" t="s">
        <v>337</v>
      </c>
      <c r="B219" t="s">
        <v>556</v>
      </c>
      <c r="C219">
        <v>2</v>
      </c>
      <c r="D219" t="s">
        <v>353</v>
      </c>
      <c r="E219" t="s">
        <v>556</v>
      </c>
      <c r="F219">
        <v>2</v>
      </c>
      <c r="G219">
        <f t="shared" si="12"/>
        <v>0</v>
      </c>
      <c r="H219">
        <f t="shared" si="13"/>
        <v>0</v>
      </c>
      <c r="I219" t="str">
        <f>IF(G219&lt;&gt;0,"Due to CMP filter","")</f>
        <v/>
      </c>
    </row>
    <row r="220" spans="1:9" x14ac:dyDescent="0.15">
      <c r="A220" t="s">
        <v>337</v>
      </c>
      <c r="B220" t="s">
        <v>557</v>
      </c>
      <c r="C220">
        <v>2</v>
      </c>
      <c r="D220" t="s">
        <v>353</v>
      </c>
      <c r="E220" t="s">
        <v>557</v>
      </c>
      <c r="F220">
        <v>2</v>
      </c>
      <c r="G220">
        <f t="shared" si="12"/>
        <v>0</v>
      </c>
      <c r="H220">
        <f t="shared" si="13"/>
        <v>0</v>
      </c>
      <c r="I220" t="str">
        <f>IF(G220&lt;&gt;0,"Due to CMP filter","")</f>
        <v/>
      </c>
    </row>
    <row r="221" spans="1:9" x14ac:dyDescent="0.15">
      <c r="A221" t="s">
        <v>337</v>
      </c>
      <c r="B221" t="s">
        <v>558</v>
      </c>
      <c r="C221">
        <v>2</v>
      </c>
      <c r="D221" t="s">
        <v>353</v>
      </c>
      <c r="E221" t="s">
        <v>558</v>
      </c>
      <c r="F221">
        <v>2</v>
      </c>
      <c r="G221">
        <f t="shared" si="12"/>
        <v>0</v>
      </c>
      <c r="H221">
        <f t="shared" si="13"/>
        <v>0</v>
      </c>
      <c r="I221" t="str">
        <f>IF(G221&lt;&gt;0,"Due to CMP filter","")</f>
        <v/>
      </c>
    </row>
    <row r="222" spans="1:9" x14ac:dyDescent="0.15">
      <c r="A222" t="s">
        <v>337</v>
      </c>
      <c r="B222" t="s">
        <v>559</v>
      </c>
      <c r="C222">
        <v>1</v>
      </c>
      <c r="D222" t="s">
        <v>353</v>
      </c>
      <c r="E222" t="s">
        <v>559</v>
      </c>
      <c r="F222">
        <v>1</v>
      </c>
      <c r="G222">
        <f t="shared" si="12"/>
        <v>0</v>
      </c>
      <c r="H222">
        <f t="shared" si="13"/>
        <v>0</v>
      </c>
      <c r="I222" t="str">
        <f>IF(G222&lt;&gt;0,"Due to CMP filter","")</f>
        <v/>
      </c>
    </row>
    <row r="223" spans="1:9" x14ac:dyDescent="0.15">
      <c r="A223" t="s">
        <v>337</v>
      </c>
      <c r="B223" t="s">
        <v>560</v>
      </c>
      <c r="C223">
        <v>2</v>
      </c>
      <c r="D223" t="s">
        <v>353</v>
      </c>
      <c r="E223" t="s">
        <v>560</v>
      </c>
      <c r="F223">
        <v>2</v>
      </c>
      <c r="G223">
        <f t="shared" si="12"/>
        <v>0</v>
      </c>
      <c r="H223">
        <f t="shared" si="13"/>
        <v>0</v>
      </c>
      <c r="I223" t="str">
        <f>IF(G223&lt;&gt;0,"Due to CMP filter","")</f>
        <v/>
      </c>
    </row>
    <row r="224" spans="1:9" x14ac:dyDescent="0.15">
      <c r="A224" t="s">
        <v>337</v>
      </c>
      <c r="B224" t="s">
        <v>561</v>
      </c>
      <c r="C224">
        <v>17</v>
      </c>
      <c r="D224" t="s">
        <v>353</v>
      </c>
      <c r="E224" t="s">
        <v>561</v>
      </c>
      <c r="F224">
        <v>17</v>
      </c>
      <c r="G224">
        <f t="shared" si="12"/>
        <v>0</v>
      </c>
      <c r="H224">
        <f t="shared" si="13"/>
        <v>0</v>
      </c>
    </row>
    <row r="225" spans="1:9" x14ac:dyDescent="0.15">
      <c r="A225" t="s">
        <v>337</v>
      </c>
      <c r="B225" t="s">
        <v>562</v>
      </c>
      <c r="C225">
        <v>13</v>
      </c>
      <c r="D225" t="s">
        <v>353</v>
      </c>
      <c r="E225" t="s">
        <v>562</v>
      </c>
      <c r="F225">
        <v>13</v>
      </c>
      <c r="G225">
        <f t="shared" si="12"/>
        <v>0</v>
      </c>
      <c r="H225">
        <f t="shared" si="13"/>
        <v>0</v>
      </c>
      <c r="I225" t="str">
        <f>IF(G225&lt;&gt;0,"Due to CMP filter","")</f>
        <v/>
      </c>
    </row>
    <row r="226" spans="1:9" x14ac:dyDescent="0.15">
      <c r="A226" t="s">
        <v>337</v>
      </c>
      <c r="B226" t="s">
        <v>563</v>
      </c>
      <c r="C226">
        <v>65</v>
      </c>
      <c r="D226" t="s">
        <v>353</v>
      </c>
      <c r="E226" t="s">
        <v>563</v>
      </c>
      <c r="F226">
        <v>16</v>
      </c>
      <c r="G226">
        <f t="shared" si="12"/>
        <v>49</v>
      </c>
      <c r="H226">
        <f t="shared" si="13"/>
        <v>49</v>
      </c>
      <c r="I226" s="13" t="s">
        <v>357</v>
      </c>
    </row>
    <row r="227" spans="1:9" x14ac:dyDescent="0.15">
      <c r="A227" t="s">
        <v>337</v>
      </c>
      <c r="B227" t="s">
        <v>564</v>
      </c>
      <c r="C227">
        <v>115</v>
      </c>
      <c r="D227" t="s">
        <v>353</v>
      </c>
      <c r="E227" t="s">
        <v>564</v>
      </c>
      <c r="F227">
        <v>115</v>
      </c>
      <c r="G227">
        <f t="shared" si="12"/>
        <v>0</v>
      </c>
      <c r="H227">
        <f t="shared" si="13"/>
        <v>0</v>
      </c>
      <c r="I227" t="str">
        <f>IF(G227&lt;&gt;0,"Due to CMP filter","")</f>
        <v/>
      </c>
    </row>
    <row r="228" spans="1:9" x14ac:dyDescent="0.15">
      <c r="A228" t="s">
        <v>337</v>
      </c>
      <c r="B228" t="s">
        <v>565</v>
      </c>
      <c r="C228">
        <v>1</v>
      </c>
      <c r="D228" t="s">
        <v>353</v>
      </c>
      <c r="E228" t="s">
        <v>565</v>
      </c>
      <c r="F228">
        <v>1</v>
      </c>
      <c r="G228">
        <f t="shared" si="12"/>
        <v>0</v>
      </c>
      <c r="H228">
        <f t="shared" si="13"/>
        <v>0</v>
      </c>
      <c r="I228" t="str">
        <f>IF(G228&lt;&gt;0,"Due to CMP filter","")</f>
        <v/>
      </c>
    </row>
    <row r="229" spans="1:9" x14ac:dyDescent="0.15">
      <c r="A229" t="s">
        <v>337</v>
      </c>
      <c r="B229" t="s">
        <v>566</v>
      </c>
      <c r="C229">
        <v>2</v>
      </c>
      <c r="D229" t="s">
        <v>353</v>
      </c>
      <c r="E229" t="s">
        <v>566</v>
      </c>
      <c r="F229">
        <v>2</v>
      </c>
      <c r="G229">
        <f t="shared" si="12"/>
        <v>0</v>
      </c>
      <c r="H229">
        <f t="shared" si="13"/>
        <v>0</v>
      </c>
      <c r="I229" t="str">
        <f>IF(G229&lt;&gt;0,"Due to CMP filter","")</f>
        <v/>
      </c>
    </row>
    <row r="230" spans="1:9" x14ac:dyDescent="0.15">
      <c r="A230" t="s">
        <v>337</v>
      </c>
      <c r="B230" t="s">
        <v>567</v>
      </c>
      <c r="C230">
        <v>1</v>
      </c>
      <c r="D230" t="s">
        <v>353</v>
      </c>
      <c r="E230" t="s">
        <v>567</v>
      </c>
      <c r="F230">
        <v>1</v>
      </c>
      <c r="G230">
        <f t="shared" si="12"/>
        <v>0</v>
      </c>
      <c r="H230">
        <f t="shared" si="13"/>
        <v>0</v>
      </c>
      <c r="I230" t="str">
        <f>IF(G230&lt;&gt;0,"Due to CMP filter","")</f>
        <v/>
      </c>
    </row>
    <row r="231" spans="1:9" x14ac:dyDescent="0.15">
      <c r="A231" t="s">
        <v>337</v>
      </c>
      <c r="B231" t="s">
        <v>568</v>
      </c>
      <c r="C231">
        <v>2</v>
      </c>
      <c r="D231" t="s">
        <v>353</v>
      </c>
      <c r="E231" t="s">
        <v>568</v>
      </c>
      <c r="F231">
        <v>2</v>
      </c>
      <c r="G231">
        <f t="shared" si="12"/>
        <v>0</v>
      </c>
      <c r="H231">
        <f t="shared" si="13"/>
        <v>0</v>
      </c>
      <c r="I231" t="str">
        <f>IF(G231&lt;&gt;0,"Due to CMP filter","")</f>
        <v/>
      </c>
    </row>
    <row r="232" spans="1:9" x14ac:dyDescent="0.15">
      <c r="A232" t="s">
        <v>337</v>
      </c>
      <c r="B232" t="s">
        <v>569</v>
      </c>
      <c r="C232">
        <v>7</v>
      </c>
      <c r="D232" t="s">
        <v>353</v>
      </c>
      <c r="E232" t="s">
        <v>569</v>
      </c>
      <c r="F232">
        <v>7</v>
      </c>
      <c r="G232">
        <f t="shared" si="12"/>
        <v>0</v>
      </c>
      <c r="H232">
        <f t="shared" si="13"/>
        <v>0</v>
      </c>
    </row>
    <row r="233" spans="1:9" x14ac:dyDescent="0.15">
      <c r="A233" t="s">
        <v>337</v>
      </c>
      <c r="B233" t="s">
        <v>570</v>
      </c>
      <c r="C233">
        <v>3</v>
      </c>
      <c r="D233" t="s">
        <v>353</v>
      </c>
      <c r="E233" t="s">
        <v>570</v>
      </c>
      <c r="F233">
        <v>3</v>
      </c>
      <c r="G233">
        <f t="shared" si="12"/>
        <v>0</v>
      </c>
      <c r="H233">
        <f t="shared" si="13"/>
        <v>0</v>
      </c>
    </row>
    <row r="234" spans="1:9" x14ac:dyDescent="0.15">
      <c r="A234" t="s">
        <v>337</v>
      </c>
      <c r="B234" t="s">
        <v>571</v>
      </c>
      <c r="C234">
        <v>6203</v>
      </c>
      <c r="D234" t="s">
        <v>353</v>
      </c>
      <c r="E234" t="s">
        <v>571</v>
      </c>
      <c r="F234">
        <v>5795</v>
      </c>
      <c r="G234">
        <f t="shared" si="12"/>
        <v>408</v>
      </c>
      <c r="H234">
        <f t="shared" si="13"/>
        <v>408</v>
      </c>
      <c r="I234" s="13" t="s">
        <v>357</v>
      </c>
    </row>
    <row r="235" spans="1:9" x14ac:dyDescent="0.15">
      <c r="A235" t="s">
        <v>337</v>
      </c>
      <c r="B235" t="s">
        <v>572</v>
      </c>
      <c r="C235">
        <v>1959754</v>
      </c>
      <c r="D235" t="s">
        <v>353</v>
      </c>
      <c r="E235" t="s">
        <v>572</v>
      </c>
      <c r="F235">
        <v>1814265</v>
      </c>
      <c r="G235">
        <f t="shared" si="12"/>
        <v>145489</v>
      </c>
      <c r="H235">
        <f t="shared" si="13"/>
        <v>145489</v>
      </c>
      <c r="I235" s="13" t="s">
        <v>357</v>
      </c>
    </row>
    <row r="236" spans="1:9" x14ac:dyDescent="0.15">
      <c r="A236" t="s">
        <v>337</v>
      </c>
      <c r="B236" t="s">
        <v>573</v>
      </c>
      <c r="C236">
        <v>23</v>
      </c>
      <c r="D236" t="s">
        <v>353</v>
      </c>
      <c r="E236" t="s">
        <v>573</v>
      </c>
      <c r="F236">
        <v>23</v>
      </c>
      <c r="G236">
        <f t="shared" si="12"/>
        <v>0</v>
      </c>
      <c r="H236">
        <f t="shared" si="13"/>
        <v>0</v>
      </c>
    </row>
    <row r="237" spans="1:9" x14ac:dyDescent="0.15">
      <c r="A237" t="s">
        <v>337</v>
      </c>
      <c r="B237" t="s">
        <v>574</v>
      </c>
      <c r="C237">
        <v>17537</v>
      </c>
      <c r="D237" t="s">
        <v>353</v>
      </c>
      <c r="E237" t="s">
        <v>574</v>
      </c>
      <c r="F237">
        <v>17537</v>
      </c>
      <c r="G237">
        <f t="shared" si="12"/>
        <v>0</v>
      </c>
      <c r="H237">
        <f t="shared" si="13"/>
        <v>0</v>
      </c>
      <c r="I237" t="str">
        <f>IF(G237&lt;&gt;0,"Due to CMP filter","")</f>
        <v/>
      </c>
    </row>
    <row r="238" spans="1:9" x14ac:dyDescent="0.15">
      <c r="A238" t="s">
        <v>337</v>
      </c>
      <c r="B238" t="s">
        <v>575</v>
      </c>
      <c r="C238">
        <v>171457</v>
      </c>
      <c r="D238" t="s">
        <v>353</v>
      </c>
      <c r="E238" t="s">
        <v>575</v>
      </c>
      <c r="F238">
        <v>158923</v>
      </c>
      <c r="G238">
        <f t="shared" si="12"/>
        <v>12534</v>
      </c>
      <c r="H238">
        <f t="shared" si="13"/>
        <v>12534</v>
      </c>
      <c r="I238" s="13" t="s">
        <v>357</v>
      </c>
    </row>
    <row r="239" spans="1:9" x14ac:dyDescent="0.15">
      <c r="A239" t="s">
        <v>337</v>
      </c>
      <c r="B239" t="s">
        <v>576</v>
      </c>
      <c r="C239">
        <v>244125</v>
      </c>
      <c r="D239" t="s">
        <v>353</v>
      </c>
      <c r="E239" t="s">
        <v>576</v>
      </c>
      <c r="F239">
        <v>244125</v>
      </c>
      <c r="G239">
        <f t="shared" si="12"/>
        <v>0</v>
      </c>
      <c r="H239">
        <f t="shared" si="13"/>
        <v>0</v>
      </c>
    </row>
    <row r="240" spans="1:9" x14ac:dyDescent="0.15">
      <c r="A240" t="s">
        <v>337</v>
      </c>
      <c r="B240" t="s">
        <v>577</v>
      </c>
      <c r="C240">
        <v>3</v>
      </c>
      <c r="D240" t="s">
        <v>353</v>
      </c>
      <c r="E240" t="s">
        <v>577</v>
      </c>
      <c r="F240">
        <v>3</v>
      </c>
      <c r="G240">
        <f t="shared" si="12"/>
        <v>0</v>
      </c>
      <c r="H240">
        <f t="shared" si="13"/>
        <v>0</v>
      </c>
      <c r="I240" t="str">
        <f>IF(G240&lt;&gt;0,"Due to CMP filter","")</f>
        <v/>
      </c>
    </row>
    <row r="241" spans="1:9" x14ac:dyDescent="0.15">
      <c r="A241" t="s">
        <v>337</v>
      </c>
      <c r="B241" t="s">
        <v>578</v>
      </c>
      <c r="C241">
        <v>4</v>
      </c>
      <c r="D241" t="s">
        <v>353</v>
      </c>
      <c r="E241" t="s">
        <v>578</v>
      </c>
      <c r="F241">
        <v>4</v>
      </c>
      <c r="G241">
        <f t="shared" si="12"/>
        <v>0</v>
      </c>
      <c r="H241">
        <f t="shared" si="13"/>
        <v>0</v>
      </c>
      <c r="I241" t="str">
        <f>IF(G241&lt;&gt;0,"Due to CMP filter","")</f>
        <v/>
      </c>
    </row>
    <row r="242" spans="1:9" x14ac:dyDescent="0.15">
      <c r="A242" t="s">
        <v>337</v>
      </c>
      <c r="B242" t="s">
        <v>579</v>
      </c>
      <c r="C242">
        <v>3769</v>
      </c>
      <c r="D242" t="s">
        <v>353</v>
      </c>
      <c r="E242" t="s">
        <v>579</v>
      </c>
      <c r="F242">
        <v>3740</v>
      </c>
      <c r="G242">
        <f t="shared" si="12"/>
        <v>29</v>
      </c>
      <c r="H242">
        <f t="shared" si="13"/>
        <v>29</v>
      </c>
      <c r="I242" s="13" t="s">
        <v>357</v>
      </c>
    </row>
    <row r="243" spans="1:9" x14ac:dyDescent="0.15">
      <c r="A243" t="s">
        <v>337</v>
      </c>
      <c r="B243" t="s">
        <v>580</v>
      </c>
      <c r="C243">
        <v>3853</v>
      </c>
      <c r="D243" t="s">
        <v>353</v>
      </c>
      <c r="E243" t="s">
        <v>580</v>
      </c>
      <c r="F243">
        <v>3853</v>
      </c>
      <c r="G243">
        <f t="shared" si="12"/>
        <v>0</v>
      </c>
      <c r="H243">
        <f t="shared" si="13"/>
        <v>0</v>
      </c>
      <c r="I243" t="str">
        <f t="shared" ref="I243:I256" si="14">IF(G243&lt;&gt;0,"Due to CMP filter","")</f>
        <v/>
      </c>
    </row>
    <row r="244" spans="1:9" x14ac:dyDescent="0.15">
      <c r="A244" t="s">
        <v>337</v>
      </c>
      <c r="B244" t="s">
        <v>581</v>
      </c>
      <c r="C244">
        <v>94</v>
      </c>
      <c r="D244" t="s">
        <v>353</v>
      </c>
      <c r="E244" t="s">
        <v>581</v>
      </c>
      <c r="F244">
        <v>94</v>
      </c>
      <c r="G244">
        <f t="shared" si="12"/>
        <v>0</v>
      </c>
      <c r="H244">
        <f t="shared" si="13"/>
        <v>0</v>
      </c>
      <c r="I244" t="str">
        <f t="shared" si="14"/>
        <v/>
      </c>
    </row>
    <row r="245" spans="1:9" x14ac:dyDescent="0.15">
      <c r="A245" t="s">
        <v>337</v>
      </c>
      <c r="B245" t="s">
        <v>582</v>
      </c>
      <c r="C245">
        <v>207</v>
      </c>
      <c r="D245" t="s">
        <v>353</v>
      </c>
      <c r="E245" t="s">
        <v>582</v>
      </c>
      <c r="F245">
        <v>207</v>
      </c>
      <c r="G245">
        <f t="shared" si="12"/>
        <v>0</v>
      </c>
      <c r="H245">
        <f t="shared" si="13"/>
        <v>0</v>
      </c>
      <c r="I245" t="str">
        <f t="shared" si="14"/>
        <v/>
      </c>
    </row>
    <row r="246" spans="1:9" x14ac:dyDescent="0.15">
      <c r="A246" t="s">
        <v>337</v>
      </c>
      <c r="B246" t="s">
        <v>583</v>
      </c>
      <c r="C246">
        <v>112</v>
      </c>
      <c r="D246" t="s">
        <v>353</v>
      </c>
      <c r="E246" t="s">
        <v>583</v>
      </c>
      <c r="F246">
        <v>112</v>
      </c>
      <c r="G246">
        <f t="shared" si="12"/>
        <v>0</v>
      </c>
      <c r="H246">
        <f t="shared" si="13"/>
        <v>0</v>
      </c>
      <c r="I246" t="str">
        <f t="shared" si="14"/>
        <v/>
      </c>
    </row>
    <row r="247" spans="1:9" x14ac:dyDescent="0.15">
      <c r="A247" t="s">
        <v>337</v>
      </c>
      <c r="B247" t="s">
        <v>584</v>
      </c>
      <c r="C247">
        <v>2</v>
      </c>
      <c r="D247" t="s">
        <v>353</v>
      </c>
      <c r="E247" t="s">
        <v>584</v>
      </c>
      <c r="F247">
        <v>2</v>
      </c>
      <c r="G247">
        <f t="shared" si="12"/>
        <v>0</v>
      </c>
      <c r="H247">
        <f t="shared" si="13"/>
        <v>0</v>
      </c>
      <c r="I247" t="str">
        <f t="shared" si="14"/>
        <v/>
      </c>
    </row>
    <row r="248" spans="1:9" x14ac:dyDescent="0.15">
      <c r="A248" t="s">
        <v>337</v>
      </c>
      <c r="B248" t="s">
        <v>585</v>
      </c>
      <c r="C248">
        <v>2</v>
      </c>
      <c r="D248" t="s">
        <v>353</v>
      </c>
      <c r="E248" t="s">
        <v>585</v>
      </c>
      <c r="F248">
        <v>2</v>
      </c>
      <c r="G248">
        <f t="shared" si="12"/>
        <v>0</v>
      </c>
      <c r="H248">
        <f t="shared" si="13"/>
        <v>0</v>
      </c>
      <c r="I248" t="str">
        <f t="shared" si="14"/>
        <v/>
      </c>
    </row>
    <row r="249" spans="1:9" x14ac:dyDescent="0.15">
      <c r="A249" t="s">
        <v>337</v>
      </c>
      <c r="B249" t="s">
        <v>586</v>
      </c>
      <c r="C249">
        <v>2</v>
      </c>
      <c r="D249" t="s">
        <v>353</v>
      </c>
      <c r="E249" t="s">
        <v>586</v>
      </c>
      <c r="F249">
        <v>2</v>
      </c>
      <c r="G249">
        <f t="shared" si="12"/>
        <v>0</v>
      </c>
      <c r="H249">
        <f t="shared" si="13"/>
        <v>0</v>
      </c>
      <c r="I249" t="str">
        <f t="shared" si="14"/>
        <v/>
      </c>
    </row>
    <row r="250" spans="1:9" x14ac:dyDescent="0.15">
      <c r="A250" t="s">
        <v>337</v>
      </c>
      <c r="B250" t="s">
        <v>587</v>
      </c>
      <c r="C250">
        <v>2</v>
      </c>
      <c r="D250" t="s">
        <v>353</v>
      </c>
      <c r="E250" t="s">
        <v>587</v>
      </c>
      <c r="F250">
        <v>2</v>
      </c>
      <c r="G250">
        <f t="shared" si="12"/>
        <v>0</v>
      </c>
      <c r="H250">
        <f t="shared" si="13"/>
        <v>0</v>
      </c>
      <c r="I250" t="str">
        <f t="shared" si="14"/>
        <v/>
      </c>
    </row>
    <row r="251" spans="1:9" x14ac:dyDescent="0.15">
      <c r="A251" t="s">
        <v>337</v>
      </c>
      <c r="B251" t="s">
        <v>588</v>
      </c>
      <c r="C251">
        <v>86096</v>
      </c>
      <c r="D251" t="s">
        <v>353</v>
      </c>
      <c r="E251" t="s">
        <v>588</v>
      </c>
      <c r="F251">
        <v>86096</v>
      </c>
      <c r="G251">
        <f t="shared" si="12"/>
        <v>0</v>
      </c>
      <c r="H251">
        <f t="shared" si="13"/>
        <v>0</v>
      </c>
      <c r="I251" t="str">
        <f t="shared" si="14"/>
        <v/>
      </c>
    </row>
    <row r="252" spans="1:9" x14ac:dyDescent="0.15">
      <c r="A252" t="s">
        <v>337</v>
      </c>
      <c r="B252" t="s">
        <v>589</v>
      </c>
      <c r="C252">
        <v>65762</v>
      </c>
      <c r="D252" t="s">
        <v>353</v>
      </c>
      <c r="E252" t="s">
        <v>589</v>
      </c>
      <c r="F252">
        <v>65762</v>
      </c>
      <c r="G252">
        <f t="shared" si="12"/>
        <v>0</v>
      </c>
      <c r="H252">
        <f t="shared" si="13"/>
        <v>0</v>
      </c>
      <c r="I252" t="str">
        <f t="shared" si="14"/>
        <v/>
      </c>
    </row>
    <row r="253" spans="1:9" x14ac:dyDescent="0.15">
      <c r="A253" t="s">
        <v>337</v>
      </c>
      <c r="B253" t="s">
        <v>590</v>
      </c>
      <c r="C253">
        <v>89</v>
      </c>
      <c r="D253" t="s">
        <v>353</v>
      </c>
      <c r="E253" t="s">
        <v>590</v>
      </c>
      <c r="F253">
        <v>89</v>
      </c>
      <c r="G253">
        <f t="shared" si="12"/>
        <v>0</v>
      </c>
      <c r="H253">
        <f t="shared" si="13"/>
        <v>0</v>
      </c>
      <c r="I253" t="str">
        <f t="shared" si="14"/>
        <v/>
      </c>
    </row>
    <row r="254" spans="1:9" x14ac:dyDescent="0.15">
      <c r="A254" t="s">
        <v>337</v>
      </c>
      <c r="B254" t="s">
        <v>591</v>
      </c>
      <c r="C254">
        <v>4</v>
      </c>
      <c r="D254" t="s">
        <v>353</v>
      </c>
      <c r="E254" t="s">
        <v>591</v>
      </c>
      <c r="F254">
        <v>4</v>
      </c>
      <c r="G254">
        <f t="shared" si="12"/>
        <v>0</v>
      </c>
      <c r="H254">
        <f t="shared" si="13"/>
        <v>0</v>
      </c>
      <c r="I254" t="str">
        <f t="shared" si="14"/>
        <v/>
      </c>
    </row>
    <row r="255" spans="1:9" x14ac:dyDescent="0.15">
      <c r="A255" t="s">
        <v>337</v>
      </c>
      <c r="B255" t="s">
        <v>592</v>
      </c>
      <c r="C255">
        <v>7</v>
      </c>
      <c r="D255" t="s">
        <v>353</v>
      </c>
      <c r="E255" t="s">
        <v>592</v>
      </c>
      <c r="F255">
        <v>7</v>
      </c>
      <c r="G255">
        <f t="shared" si="12"/>
        <v>0</v>
      </c>
      <c r="H255">
        <f t="shared" si="13"/>
        <v>0</v>
      </c>
      <c r="I255" t="str">
        <f t="shared" si="14"/>
        <v/>
      </c>
    </row>
    <row r="256" spans="1:9" x14ac:dyDescent="0.15">
      <c r="A256" t="s">
        <v>337</v>
      </c>
      <c r="B256" t="s">
        <v>593</v>
      </c>
      <c r="C256">
        <v>4</v>
      </c>
      <c r="D256" t="s">
        <v>353</v>
      </c>
      <c r="E256" t="s">
        <v>593</v>
      </c>
      <c r="F256">
        <v>4</v>
      </c>
      <c r="G256">
        <f t="shared" si="12"/>
        <v>0</v>
      </c>
      <c r="H256">
        <f t="shared" si="13"/>
        <v>0</v>
      </c>
      <c r="I256" t="str">
        <f t="shared" si="14"/>
        <v/>
      </c>
    </row>
    <row r="257" spans="1:9" x14ac:dyDescent="0.15">
      <c r="A257" t="s">
        <v>337</v>
      </c>
      <c r="B257" t="s">
        <v>594</v>
      </c>
      <c r="C257">
        <v>161</v>
      </c>
      <c r="D257" t="s">
        <v>353</v>
      </c>
      <c r="E257" t="s">
        <v>594</v>
      </c>
      <c r="F257">
        <v>161</v>
      </c>
      <c r="G257">
        <f t="shared" si="12"/>
        <v>0</v>
      </c>
      <c r="H257">
        <f t="shared" si="13"/>
        <v>0</v>
      </c>
    </row>
    <row r="258" spans="1:9" x14ac:dyDescent="0.15">
      <c r="A258" t="s">
        <v>337</v>
      </c>
      <c r="B258" t="s">
        <v>595</v>
      </c>
      <c r="C258">
        <v>14998</v>
      </c>
      <c r="D258" t="s">
        <v>353</v>
      </c>
      <c r="E258" t="s">
        <v>595</v>
      </c>
      <c r="F258">
        <v>14998</v>
      </c>
      <c r="G258">
        <f t="shared" si="12"/>
        <v>0</v>
      </c>
      <c r="H258">
        <f t="shared" si="13"/>
        <v>0</v>
      </c>
    </row>
    <row r="259" spans="1:9" x14ac:dyDescent="0.15">
      <c r="A259" t="s">
        <v>337</v>
      </c>
      <c r="B259" t="s">
        <v>596</v>
      </c>
      <c r="C259">
        <v>12</v>
      </c>
      <c r="D259" t="s">
        <v>353</v>
      </c>
      <c r="E259" t="s">
        <v>596</v>
      </c>
      <c r="F259">
        <v>12</v>
      </c>
      <c r="G259">
        <f t="shared" si="12"/>
        <v>0</v>
      </c>
      <c r="H259">
        <f t="shared" si="13"/>
        <v>0</v>
      </c>
    </row>
    <row r="260" spans="1:9" x14ac:dyDescent="0.15">
      <c r="A260" t="s">
        <v>337</v>
      </c>
      <c r="B260" t="s">
        <v>597</v>
      </c>
      <c r="C260">
        <v>946315</v>
      </c>
      <c r="D260" t="s">
        <v>353</v>
      </c>
      <c r="E260" t="s">
        <v>597</v>
      </c>
      <c r="F260">
        <v>613744</v>
      </c>
      <c r="G260">
        <f t="shared" si="12"/>
        <v>332571</v>
      </c>
      <c r="H260">
        <f t="shared" si="13"/>
        <v>332571</v>
      </c>
      <c r="I260" s="13" t="s">
        <v>357</v>
      </c>
    </row>
    <row r="261" spans="1:9" x14ac:dyDescent="0.15">
      <c r="A261" t="s">
        <v>337</v>
      </c>
      <c r="B261" t="s">
        <v>598</v>
      </c>
      <c r="C261">
        <v>32106</v>
      </c>
      <c r="D261" t="s">
        <v>353</v>
      </c>
      <c r="E261" t="s">
        <v>598</v>
      </c>
      <c r="F261">
        <v>24144</v>
      </c>
      <c r="G261">
        <f t="shared" si="12"/>
        <v>7962</v>
      </c>
      <c r="H261">
        <f t="shared" si="13"/>
        <v>7962</v>
      </c>
      <c r="I261" s="13" t="s">
        <v>357</v>
      </c>
    </row>
    <row r="262" spans="1:9" x14ac:dyDescent="0.15">
      <c r="A262" t="s">
        <v>337</v>
      </c>
      <c r="B262" t="s">
        <v>599</v>
      </c>
      <c r="C262">
        <v>131999</v>
      </c>
      <c r="D262" t="s">
        <v>353</v>
      </c>
      <c r="E262" t="s">
        <v>599</v>
      </c>
      <c r="F262">
        <v>61840</v>
      </c>
      <c r="G262">
        <f t="shared" si="12"/>
        <v>70159</v>
      </c>
      <c r="H262">
        <f t="shared" si="13"/>
        <v>70159</v>
      </c>
      <c r="I262" s="13" t="s">
        <v>357</v>
      </c>
    </row>
    <row r="263" spans="1:9" x14ac:dyDescent="0.15">
      <c r="A263" t="s">
        <v>337</v>
      </c>
      <c r="B263" t="s">
        <v>600</v>
      </c>
      <c r="C263">
        <v>1667</v>
      </c>
      <c r="D263" t="s">
        <v>353</v>
      </c>
      <c r="E263" t="s">
        <v>600</v>
      </c>
      <c r="F263">
        <v>1667</v>
      </c>
      <c r="G263">
        <f t="shared" si="12"/>
        <v>0</v>
      </c>
      <c r="H263">
        <f t="shared" si="13"/>
        <v>0</v>
      </c>
      <c r="I263" t="str">
        <f>IF(G263&lt;&gt;0,"Due to CMP filter","")</f>
        <v/>
      </c>
    </row>
    <row r="264" spans="1:9" x14ac:dyDescent="0.15">
      <c r="A264" t="s">
        <v>337</v>
      </c>
      <c r="B264" t="s">
        <v>601</v>
      </c>
      <c r="C264">
        <v>2570999</v>
      </c>
      <c r="D264" t="s">
        <v>353</v>
      </c>
      <c r="E264" t="s">
        <v>601</v>
      </c>
      <c r="F264">
        <v>2570999</v>
      </c>
      <c r="G264">
        <f t="shared" si="12"/>
        <v>0</v>
      </c>
      <c r="H264">
        <f t="shared" si="13"/>
        <v>0</v>
      </c>
      <c r="I264" t="str">
        <f>IF(G264&lt;&gt;0,"Due to CMP filter","")</f>
        <v/>
      </c>
    </row>
    <row r="265" spans="1:9" x14ac:dyDescent="0.15">
      <c r="A265" t="s">
        <v>337</v>
      </c>
      <c r="B265" t="s">
        <v>602</v>
      </c>
      <c r="C265">
        <v>517</v>
      </c>
      <c r="D265" t="s">
        <v>353</v>
      </c>
      <c r="E265" t="s">
        <v>602</v>
      </c>
      <c r="F265">
        <v>517</v>
      </c>
      <c r="G265">
        <f t="shared" si="12"/>
        <v>0</v>
      </c>
      <c r="H265">
        <f t="shared" si="13"/>
        <v>0</v>
      </c>
      <c r="I265" t="str">
        <f>IF(G265&lt;&gt;0,"Due to CMP filter","")</f>
        <v/>
      </c>
    </row>
    <row r="266" spans="1:9" x14ac:dyDescent="0.15">
      <c r="A266" t="s">
        <v>337</v>
      </c>
      <c r="B266" t="s">
        <v>603</v>
      </c>
      <c r="C266">
        <v>297</v>
      </c>
      <c r="D266" t="s">
        <v>353</v>
      </c>
      <c r="E266" t="s">
        <v>603</v>
      </c>
      <c r="F266">
        <v>297</v>
      </c>
      <c r="G266">
        <f t="shared" si="12"/>
        <v>0</v>
      </c>
      <c r="H266">
        <f t="shared" si="13"/>
        <v>0</v>
      </c>
      <c r="I266" t="str">
        <f>IF(G266&lt;&gt;0,"Due to CMP filter","")</f>
        <v/>
      </c>
    </row>
    <row r="267" spans="1:9" x14ac:dyDescent="0.15">
      <c r="A267" t="s">
        <v>337</v>
      </c>
      <c r="B267" t="s">
        <v>604</v>
      </c>
      <c r="C267">
        <v>4307</v>
      </c>
      <c r="D267" t="s">
        <v>353</v>
      </c>
      <c r="E267" t="s">
        <v>604</v>
      </c>
      <c r="F267">
        <v>4307</v>
      </c>
      <c r="G267">
        <f t="shared" si="12"/>
        <v>0</v>
      </c>
      <c r="H267">
        <f t="shared" si="13"/>
        <v>0</v>
      </c>
      <c r="I267" t="str">
        <f>IF(G267&lt;&gt;0,"Due to CMP filter","")</f>
        <v/>
      </c>
    </row>
    <row r="268" spans="1:9" x14ac:dyDescent="0.15">
      <c r="A268" t="s">
        <v>337</v>
      </c>
      <c r="B268" t="s">
        <v>605</v>
      </c>
      <c r="C268">
        <v>9</v>
      </c>
      <c r="D268" t="s">
        <v>353</v>
      </c>
      <c r="E268" t="s">
        <v>605</v>
      </c>
      <c r="F268">
        <v>9</v>
      </c>
      <c r="G268">
        <f t="shared" si="12"/>
        <v>0</v>
      </c>
      <c r="H268">
        <f t="shared" si="13"/>
        <v>0</v>
      </c>
    </row>
    <row r="269" spans="1:9" x14ac:dyDescent="0.15">
      <c r="A269" t="s">
        <v>337</v>
      </c>
      <c r="B269" t="s">
        <v>606</v>
      </c>
      <c r="C269">
        <v>2</v>
      </c>
      <c r="D269" t="s">
        <v>353</v>
      </c>
      <c r="E269" t="s">
        <v>606</v>
      </c>
      <c r="F269">
        <v>2</v>
      </c>
      <c r="G269">
        <f t="shared" si="12"/>
        <v>0</v>
      </c>
      <c r="H269">
        <f t="shared" si="13"/>
        <v>0</v>
      </c>
    </row>
    <row r="270" spans="1:9" x14ac:dyDescent="0.15">
      <c r="A270" t="s">
        <v>337</v>
      </c>
      <c r="B270" t="s">
        <v>607</v>
      </c>
      <c r="C270">
        <v>2</v>
      </c>
      <c r="D270" t="s">
        <v>353</v>
      </c>
      <c r="E270" t="s">
        <v>607</v>
      </c>
      <c r="F270">
        <v>2</v>
      </c>
      <c r="G270">
        <f t="shared" si="12"/>
        <v>0</v>
      </c>
      <c r="H270">
        <f t="shared" si="13"/>
        <v>0</v>
      </c>
      <c r="I270" t="str">
        <f>IF(G270&lt;&gt;0,"Due to CMP filter","")</f>
        <v/>
      </c>
    </row>
    <row r="271" spans="1:9" x14ac:dyDescent="0.15">
      <c r="A271" t="s">
        <v>337</v>
      </c>
      <c r="B271" t="s">
        <v>608</v>
      </c>
      <c r="C271">
        <v>9079</v>
      </c>
      <c r="D271" t="s">
        <v>353</v>
      </c>
      <c r="E271" t="s">
        <v>608</v>
      </c>
      <c r="F271">
        <v>9069</v>
      </c>
      <c r="G271">
        <f t="shared" si="12"/>
        <v>10</v>
      </c>
      <c r="H271">
        <f t="shared" si="13"/>
        <v>10</v>
      </c>
      <c r="I271" s="13" t="s">
        <v>357</v>
      </c>
    </row>
    <row r="272" spans="1:9" x14ac:dyDescent="0.15">
      <c r="A272" t="s">
        <v>337</v>
      </c>
      <c r="B272" t="s">
        <v>609</v>
      </c>
      <c r="C272">
        <v>3044</v>
      </c>
      <c r="D272" t="s">
        <v>353</v>
      </c>
      <c r="E272" t="s">
        <v>609</v>
      </c>
      <c r="F272">
        <v>3043</v>
      </c>
      <c r="G272">
        <f t="shared" si="12"/>
        <v>1</v>
      </c>
      <c r="H272">
        <f t="shared" si="13"/>
        <v>1</v>
      </c>
      <c r="I272" s="13" t="s">
        <v>357</v>
      </c>
    </row>
    <row r="273" spans="1:9" x14ac:dyDescent="0.15">
      <c r="A273" t="s">
        <v>337</v>
      </c>
      <c r="B273" t="s">
        <v>610</v>
      </c>
      <c r="C273">
        <v>11547</v>
      </c>
      <c r="D273" t="s">
        <v>353</v>
      </c>
      <c r="E273" t="s">
        <v>610</v>
      </c>
      <c r="F273">
        <v>11547</v>
      </c>
      <c r="G273">
        <f t="shared" ref="G273:G336" si="15">C273-F273</f>
        <v>0</v>
      </c>
      <c r="H273">
        <f t="shared" ref="H273:H336" si="16">IF(OR(C273=0, F273=0), 0, C273-F273)</f>
        <v>0</v>
      </c>
      <c r="I273" t="str">
        <f>IF(G273&lt;&gt;0,"Due to CMP filter","")</f>
        <v/>
      </c>
    </row>
    <row r="274" spans="1:9" x14ac:dyDescent="0.15">
      <c r="A274" t="s">
        <v>337</v>
      </c>
      <c r="B274" t="s">
        <v>611</v>
      </c>
      <c r="C274">
        <v>12586</v>
      </c>
      <c r="D274" t="s">
        <v>353</v>
      </c>
      <c r="E274" t="s">
        <v>611</v>
      </c>
      <c r="F274">
        <v>12407</v>
      </c>
      <c r="G274">
        <f t="shared" si="15"/>
        <v>179</v>
      </c>
      <c r="H274">
        <f t="shared" si="16"/>
        <v>179</v>
      </c>
      <c r="I274" s="13" t="s">
        <v>357</v>
      </c>
    </row>
    <row r="275" spans="1:9" x14ac:dyDescent="0.15">
      <c r="A275" t="s">
        <v>337</v>
      </c>
      <c r="B275" t="s">
        <v>612</v>
      </c>
      <c r="C275">
        <v>934</v>
      </c>
      <c r="D275" t="s">
        <v>353</v>
      </c>
      <c r="E275" t="s">
        <v>612</v>
      </c>
      <c r="F275">
        <v>934</v>
      </c>
      <c r="G275">
        <f t="shared" si="15"/>
        <v>0</v>
      </c>
      <c r="H275">
        <f t="shared" si="16"/>
        <v>0</v>
      </c>
      <c r="I275" t="str">
        <f>IF(G275&lt;&gt;0,"Due to CMP filter","")</f>
        <v/>
      </c>
    </row>
    <row r="276" spans="1:9" x14ac:dyDescent="0.15">
      <c r="A276" t="s">
        <v>337</v>
      </c>
      <c r="B276" t="s">
        <v>613</v>
      </c>
      <c r="C276">
        <v>238163</v>
      </c>
      <c r="D276" t="s">
        <v>353</v>
      </c>
      <c r="E276" t="s">
        <v>613</v>
      </c>
      <c r="F276">
        <v>238163</v>
      </c>
      <c r="G276">
        <f t="shared" si="15"/>
        <v>0</v>
      </c>
      <c r="H276">
        <f t="shared" si="16"/>
        <v>0</v>
      </c>
      <c r="I276" t="str">
        <f>IF(G276&lt;&gt;0,"Due to CMP filter","")</f>
        <v/>
      </c>
    </row>
    <row r="277" spans="1:9" x14ac:dyDescent="0.15">
      <c r="A277" t="s">
        <v>337</v>
      </c>
      <c r="B277" t="s">
        <v>614</v>
      </c>
      <c r="C277">
        <v>26</v>
      </c>
      <c r="D277" t="s">
        <v>353</v>
      </c>
      <c r="E277" t="s">
        <v>614</v>
      </c>
      <c r="F277">
        <v>26</v>
      </c>
      <c r="G277">
        <f t="shared" si="15"/>
        <v>0</v>
      </c>
      <c r="H277">
        <f t="shared" si="16"/>
        <v>0</v>
      </c>
    </row>
    <row r="278" spans="1:9" x14ac:dyDescent="0.15">
      <c r="A278" t="s">
        <v>337</v>
      </c>
      <c r="B278" t="s">
        <v>615</v>
      </c>
      <c r="C278">
        <v>11</v>
      </c>
      <c r="D278" t="s">
        <v>353</v>
      </c>
      <c r="E278" t="s">
        <v>615</v>
      </c>
      <c r="F278">
        <v>11</v>
      </c>
      <c r="G278">
        <f t="shared" si="15"/>
        <v>0</v>
      </c>
      <c r="H278">
        <f t="shared" si="16"/>
        <v>0</v>
      </c>
      <c r="I278" t="str">
        <f>IF(G278&lt;&gt;0,"Due to CMP filter","")</f>
        <v/>
      </c>
    </row>
    <row r="279" spans="1:9" x14ac:dyDescent="0.15">
      <c r="A279" t="s">
        <v>337</v>
      </c>
      <c r="B279" t="s">
        <v>616</v>
      </c>
      <c r="C279">
        <v>3446</v>
      </c>
      <c r="D279" t="s">
        <v>353</v>
      </c>
      <c r="E279" t="s">
        <v>616</v>
      </c>
      <c r="F279">
        <v>3446</v>
      </c>
      <c r="G279">
        <f t="shared" si="15"/>
        <v>0</v>
      </c>
      <c r="H279">
        <f t="shared" si="16"/>
        <v>0</v>
      </c>
      <c r="I279" t="str">
        <f>IF(G279&lt;&gt;0,"Due to CMP filter","")</f>
        <v/>
      </c>
    </row>
    <row r="280" spans="1:9" x14ac:dyDescent="0.15">
      <c r="A280" t="s">
        <v>337</v>
      </c>
      <c r="B280" t="s">
        <v>617</v>
      </c>
      <c r="C280">
        <v>327392</v>
      </c>
      <c r="D280" t="s">
        <v>353</v>
      </c>
      <c r="E280" t="s">
        <v>617</v>
      </c>
      <c r="F280">
        <v>326229</v>
      </c>
      <c r="G280">
        <f t="shared" si="15"/>
        <v>1163</v>
      </c>
      <c r="H280">
        <f t="shared" si="16"/>
        <v>1163</v>
      </c>
      <c r="I280" s="13" t="s">
        <v>357</v>
      </c>
    </row>
    <row r="281" spans="1:9" x14ac:dyDescent="0.15">
      <c r="A281" t="s">
        <v>337</v>
      </c>
      <c r="B281" t="s">
        <v>618</v>
      </c>
      <c r="C281">
        <v>153</v>
      </c>
      <c r="D281" t="s">
        <v>353</v>
      </c>
      <c r="E281" t="s">
        <v>618</v>
      </c>
      <c r="F281">
        <v>153</v>
      </c>
      <c r="G281">
        <f t="shared" si="15"/>
        <v>0</v>
      </c>
      <c r="H281">
        <f t="shared" si="16"/>
        <v>0</v>
      </c>
    </row>
    <row r="282" spans="1:9" x14ac:dyDescent="0.15">
      <c r="A282" t="s">
        <v>337</v>
      </c>
      <c r="B282" t="s">
        <v>619</v>
      </c>
      <c r="C282">
        <v>9015</v>
      </c>
      <c r="D282" t="s">
        <v>353</v>
      </c>
      <c r="E282" t="s">
        <v>619</v>
      </c>
      <c r="F282">
        <v>9015</v>
      </c>
      <c r="G282">
        <f t="shared" si="15"/>
        <v>0</v>
      </c>
      <c r="H282">
        <f t="shared" si="16"/>
        <v>0</v>
      </c>
    </row>
    <row r="283" spans="1:9" x14ac:dyDescent="0.15">
      <c r="A283" t="s">
        <v>337</v>
      </c>
      <c r="B283" t="s">
        <v>620</v>
      </c>
      <c r="C283">
        <v>8717</v>
      </c>
      <c r="D283" t="s">
        <v>353</v>
      </c>
      <c r="E283" t="s">
        <v>620</v>
      </c>
      <c r="F283">
        <v>8656</v>
      </c>
      <c r="G283">
        <f t="shared" si="15"/>
        <v>61</v>
      </c>
      <c r="H283">
        <f t="shared" si="16"/>
        <v>61</v>
      </c>
      <c r="I283" s="13" t="s">
        <v>357</v>
      </c>
    </row>
    <row r="284" spans="1:9" x14ac:dyDescent="0.15">
      <c r="A284" t="s">
        <v>337</v>
      </c>
      <c r="B284" t="s">
        <v>621</v>
      </c>
      <c r="C284">
        <v>75906</v>
      </c>
      <c r="D284" t="s">
        <v>353</v>
      </c>
      <c r="E284" t="s">
        <v>621</v>
      </c>
      <c r="F284">
        <v>75901</v>
      </c>
      <c r="G284">
        <f t="shared" si="15"/>
        <v>5</v>
      </c>
      <c r="H284">
        <f t="shared" si="16"/>
        <v>5</v>
      </c>
      <c r="I284" s="13" t="s">
        <v>357</v>
      </c>
    </row>
    <row r="285" spans="1:9" x14ac:dyDescent="0.15">
      <c r="A285" t="s">
        <v>337</v>
      </c>
      <c r="B285" t="s">
        <v>622</v>
      </c>
      <c r="C285">
        <v>85</v>
      </c>
      <c r="D285" t="s">
        <v>353</v>
      </c>
      <c r="E285" t="s">
        <v>622</v>
      </c>
      <c r="F285">
        <v>79</v>
      </c>
      <c r="G285">
        <f t="shared" si="15"/>
        <v>6</v>
      </c>
      <c r="H285">
        <f t="shared" si="16"/>
        <v>6</v>
      </c>
      <c r="I285" s="13" t="s">
        <v>357</v>
      </c>
    </row>
    <row r="286" spans="1:9" x14ac:dyDescent="0.15">
      <c r="A286" t="s">
        <v>337</v>
      </c>
      <c r="B286" t="s">
        <v>623</v>
      </c>
      <c r="C286">
        <v>14013</v>
      </c>
      <c r="D286" t="s">
        <v>353</v>
      </c>
      <c r="E286" t="s">
        <v>623</v>
      </c>
      <c r="F286">
        <v>14013</v>
      </c>
      <c r="G286">
        <f t="shared" si="15"/>
        <v>0</v>
      </c>
      <c r="H286">
        <f t="shared" si="16"/>
        <v>0</v>
      </c>
      <c r="I286" t="str">
        <f>IF(G286&lt;&gt;0,"Due to CMP filter","")</f>
        <v/>
      </c>
    </row>
    <row r="287" spans="1:9" x14ac:dyDescent="0.15">
      <c r="A287" t="s">
        <v>337</v>
      </c>
      <c r="B287" t="s">
        <v>624</v>
      </c>
      <c r="C287">
        <v>203</v>
      </c>
      <c r="D287" t="s">
        <v>353</v>
      </c>
      <c r="E287" t="s">
        <v>624</v>
      </c>
      <c r="F287">
        <v>203</v>
      </c>
      <c r="G287">
        <f t="shared" si="15"/>
        <v>0</v>
      </c>
      <c r="H287">
        <f t="shared" si="16"/>
        <v>0</v>
      </c>
      <c r="I287" t="str">
        <f>IF(G287&lt;&gt;0,"Due to CMP filter","")</f>
        <v/>
      </c>
    </row>
    <row r="288" spans="1:9" x14ac:dyDescent="0.15">
      <c r="A288" t="s">
        <v>337</v>
      </c>
      <c r="B288" t="s">
        <v>625</v>
      </c>
      <c r="C288">
        <v>100</v>
      </c>
      <c r="D288" t="s">
        <v>353</v>
      </c>
      <c r="E288" t="s">
        <v>625</v>
      </c>
      <c r="F288">
        <v>100</v>
      </c>
      <c r="G288">
        <f t="shared" si="15"/>
        <v>0</v>
      </c>
      <c r="H288">
        <f t="shared" si="16"/>
        <v>0</v>
      </c>
    </row>
    <row r="289" spans="1:9" x14ac:dyDescent="0.15">
      <c r="A289" t="s">
        <v>337</v>
      </c>
      <c r="B289" t="s">
        <v>626</v>
      </c>
      <c r="C289">
        <v>102</v>
      </c>
      <c r="D289" t="s">
        <v>353</v>
      </c>
      <c r="E289" t="s">
        <v>626</v>
      </c>
      <c r="F289">
        <v>102</v>
      </c>
      <c r="G289">
        <f t="shared" si="15"/>
        <v>0</v>
      </c>
      <c r="H289">
        <f t="shared" si="16"/>
        <v>0</v>
      </c>
    </row>
    <row r="290" spans="1:9" x14ac:dyDescent="0.15">
      <c r="A290" t="s">
        <v>337</v>
      </c>
      <c r="B290" t="s">
        <v>627</v>
      </c>
      <c r="C290">
        <v>24</v>
      </c>
      <c r="D290" t="s">
        <v>353</v>
      </c>
      <c r="E290" t="s">
        <v>627</v>
      </c>
      <c r="F290">
        <v>24</v>
      </c>
      <c r="G290">
        <f t="shared" si="15"/>
        <v>0</v>
      </c>
      <c r="H290">
        <f t="shared" si="16"/>
        <v>0</v>
      </c>
    </row>
    <row r="291" spans="1:9" x14ac:dyDescent="0.15">
      <c r="A291" t="s">
        <v>337</v>
      </c>
      <c r="B291" t="s">
        <v>628</v>
      </c>
      <c r="C291">
        <v>1527</v>
      </c>
      <c r="D291" t="s">
        <v>353</v>
      </c>
      <c r="E291" t="s">
        <v>628</v>
      </c>
      <c r="F291">
        <v>1494</v>
      </c>
      <c r="G291">
        <f t="shared" si="15"/>
        <v>33</v>
      </c>
      <c r="H291">
        <f t="shared" si="16"/>
        <v>33</v>
      </c>
      <c r="I291" s="13" t="s">
        <v>357</v>
      </c>
    </row>
    <row r="292" spans="1:9" x14ac:dyDescent="0.15">
      <c r="A292" t="s">
        <v>337</v>
      </c>
      <c r="B292" t="s">
        <v>629</v>
      </c>
      <c r="C292">
        <v>1336161</v>
      </c>
      <c r="D292" t="s">
        <v>353</v>
      </c>
      <c r="E292" t="s">
        <v>629</v>
      </c>
      <c r="F292">
        <v>1333848</v>
      </c>
      <c r="G292">
        <f t="shared" si="15"/>
        <v>2313</v>
      </c>
      <c r="H292">
        <f t="shared" si="16"/>
        <v>2313</v>
      </c>
      <c r="I292" s="13" t="s">
        <v>357</v>
      </c>
    </row>
    <row r="293" spans="1:9" x14ac:dyDescent="0.15">
      <c r="A293" t="s">
        <v>337</v>
      </c>
      <c r="B293" t="s">
        <v>630</v>
      </c>
      <c r="C293">
        <v>811593</v>
      </c>
      <c r="D293" t="s">
        <v>353</v>
      </c>
      <c r="E293" t="s">
        <v>630</v>
      </c>
      <c r="F293">
        <v>809888</v>
      </c>
      <c r="G293">
        <f t="shared" si="15"/>
        <v>1705</v>
      </c>
      <c r="H293">
        <f t="shared" si="16"/>
        <v>1705</v>
      </c>
      <c r="I293" s="13" t="s">
        <v>357</v>
      </c>
    </row>
    <row r="294" spans="1:9" x14ac:dyDescent="0.15">
      <c r="A294" t="s">
        <v>337</v>
      </c>
      <c r="B294" t="s">
        <v>631</v>
      </c>
      <c r="C294">
        <v>31730</v>
      </c>
      <c r="D294" t="s">
        <v>353</v>
      </c>
      <c r="E294" t="s">
        <v>631</v>
      </c>
      <c r="F294">
        <v>31064</v>
      </c>
      <c r="G294">
        <f t="shared" si="15"/>
        <v>666</v>
      </c>
      <c r="H294">
        <f t="shared" si="16"/>
        <v>666</v>
      </c>
      <c r="I294" s="13" t="s">
        <v>357</v>
      </c>
    </row>
    <row r="295" spans="1:9" x14ac:dyDescent="0.15">
      <c r="A295" t="s">
        <v>337</v>
      </c>
      <c r="B295" t="s">
        <v>632</v>
      </c>
      <c r="C295">
        <v>1584</v>
      </c>
      <c r="D295" t="s">
        <v>353</v>
      </c>
      <c r="E295" t="s">
        <v>632</v>
      </c>
      <c r="F295">
        <v>1550</v>
      </c>
      <c r="G295">
        <f t="shared" si="15"/>
        <v>34</v>
      </c>
      <c r="H295">
        <f t="shared" si="16"/>
        <v>34</v>
      </c>
      <c r="I295" s="13" t="s">
        <v>357</v>
      </c>
    </row>
    <row r="296" spans="1:9" x14ac:dyDescent="0.15">
      <c r="A296" t="s">
        <v>337</v>
      </c>
      <c r="B296" t="s">
        <v>633</v>
      </c>
      <c r="C296">
        <v>221458</v>
      </c>
      <c r="D296" t="s">
        <v>353</v>
      </c>
      <c r="E296" t="s">
        <v>633</v>
      </c>
      <c r="F296">
        <v>217251</v>
      </c>
      <c r="G296">
        <f t="shared" si="15"/>
        <v>4207</v>
      </c>
      <c r="H296">
        <f t="shared" si="16"/>
        <v>4207</v>
      </c>
      <c r="I296" s="13" t="s">
        <v>357</v>
      </c>
    </row>
    <row r="297" spans="1:9" x14ac:dyDescent="0.15">
      <c r="A297" t="s">
        <v>337</v>
      </c>
      <c r="B297" t="s">
        <v>634</v>
      </c>
      <c r="C297">
        <v>1900</v>
      </c>
      <c r="D297" t="s">
        <v>353</v>
      </c>
      <c r="E297" t="s">
        <v>634</v>
      </c>
      <c r="F297">
        <v>1866</v>
      </c>
      <c r="G297">
        <f t="shared" si="15"/>
        <v>34</v>
      </c>
      <c r="H297">
        <f t="shared" si="16"/>
        <v>34</v>
      </c>
      <c r="I297" s="13" t="s">
        <v>357</v>
      </c>
    </row>
    <row r="298" spans="1:9" x14ac:dyDescent="0.15">
      <c r="A298" t="s">
        <v>337</v>
      </c>
      <c r="B298" t="s">
        <v>635</v>
      </c>
      <c r="C298">
        <v>15</v>
      </c>
      <c r="D298" t="s">
        <v>353</v>
      </c>
      <c r="E298" t="s">
        <v>635</v>
      </c>
      <c r="F298">
        <v>15</v>
      </c>
      <c r="G298">
        <f t="shared" si="15"/>
        <v>0</v>
      </c>
      <c r="H298">
        <f t="shared" si="16"/>
        <v>0</v>
      </c>
    </row>
    <row r="299" spans="1:9" x14ac:dyDescent="0.15">
      <c r="A299" t="s">
        <v>337</v>
      </c>
      <c r="B299" t="s">
        <v>636</v>
      </c>
      <c r="C299">
        <v>1</v>
      </c>
      <c r="D299" t="s">
        <v>353</v>
      </c>
      <c r="E299" t="s">
        <v>636</v>
      </c>
      <c r="F299">
        <v>1</v>
      </c>
      <c r="G299">
        <f t="shared" si="15"/>
        <v>0</v>
      </c>
      <c r="H299">
        <f t="shared" si="16"/>
        <v>0</v>
      </c>
    </row>
    <row r="300" spans="1:9" x14ac:dyDescent="0.15">
      <c r="A300" t="s">
        <v>337</v>
      </c>
      <c r="B300" t="s">
        <v>637</v>
      </c>
      <c r="C300">
        <v>43606</v>
      </c>
      <c r="D300" t="s">
        <v>353</v>
      </c>
      <c r="E300" t="s">
        <v>637</v>
      </c>
      <c r="F300">
        <v>22978</v>
      </c>
      <c r="G300">
        <f t="shared" si="15"/>
        <v>20628</v>
      </c>
      <c r="H300">
        <f t="shared" si="16"/>
        <v>20628</v>
      </c>
      <c r="I300" s="13" t="s">
        <v>357</v>
      </c>
    </row>
    <row r="301" spans="1:9" x14ac:dyDescent="0.15">
      <c r="A301" t="s">
        <v>337</v>
      </c>
      <c r="B301" t="s">
        <v>638</v>
      </c>
      <c r="C301">
        <v>59086</v>
      </c>
      <c r="D301" t="s">
        <v>353</v>
      </c>
      <c r="E301" t="s">
        <v>638</v>
      </c>
      <c r="F301">
        <v>31038</v>
      </c>
      <c r="G301">
        <f t="shared" si="15"/>
        <v>28048</v>
      </c>
      <c r="H301">
        <f t="shared" si="16"/>
        <v>28048</v>
      </c>
      <c r="I301" s="13" t="s">
        <v>357</v>
      </c>
    </row>
    <row r="302" spans="1:9" x14ac:dyDescent="0.15">
      <c r="A302" t="s">
        <v>337</v>
      </c>
      <c r="B302" t="s">
        <v>639</v>
      </c>
      <c r="C302">
        <v>74762</v>
      </c>
      <c r="D302" t="s">
        <v>353</v>
      </c>
      <c r="E302" t="s">
        <v>639</v>
      </c>
      <c r="F302">
        <v>47071</v>
      </c>
      <c r="G302">
        <f t="shared" si="15"/>
        <v>27691</v>
      </c>
      <c r="H302">
        <f t="shared" si="16"/>
        <v>27691</v>
      </c>
      <c r="I302" s="13" t="s">
        <v>357</v>
      </c>
    </row>
    <row r="303" spans="1:9" x14ac:dyDescent="0.15">
      <c r="A303" t="s">
        <v>337</v>
      </c>
      <c r="B303" t="s">
        <v>640</v>
      </c>
      <c r="C303">
        <v>2027</v>
      </c>
      <c r="D303" t="s">
        <v>353</v>
      </c>
      <c r="E303" t="s">
        <v>640</v>
      </c>
      <c r="F303">
        <v>150</v>
      </c>
      <c r="G303">
        <f t="shared" si="15"/>
        <v>1877</v>
      </c>
      <c r="H303">
        <f t="shared" si="16"/>
        <v>1877</v>
      </c>
      <c r="I303" s="13" t="s">
        <v>357</v>
      </c>
    </row>
    <row r="304" spans="1:9" x14ac:dyDescent="0.15">
      <c r="A304" t="s">
        <v>337</v>
      </c>
      <c r="B304" t="s">
        <v>641</v>
      </c>
      <c r="C304">
        <v>46</v>
      </c>
      <c r="D304" t="s">
        <v>353</v>
      </c>
      <c r="E304" t="s">
        <v>641</v>
      </c>
      <c r="F304">
        <v>46</v>
      </c>
      <c r="G304">
        <f t="shared" si="15"/>
        <v>0</v>
      </c>
      <c r="H304">
        <f t="shared" si="16"/>
        <v>0</v>
      </c>
    </row>
    <row r="305" spans="1:9" x14ac:dyDescent="0.15">
      <c r="A305" t="s">
        <v>337</v>
      </c>
      <c r="B305" t="s">
        <v>642</v>
      </c>
      <c r="C305">
        <v>18</v>
      </c>
      <c r="D305" t="s">
        <v>353</v>
      </c>
      <c r="E305" t="s">
        <v>642</v>
      </c>
      <c r="F305">
        <v>18</v>
      </c>
      <c r="G305">
        <f t="shared" si="15"/>
        <v>0</v>
      </c>
      <c r="H305">
        <f t="shared" si="16"/>
        <v>0</v>
      </c>
    </row>
    <row r="306" spans="1:9" x14ac:dyDescent="0.15">
      <c r="A306" t="s">
        <v>337</v>
      </c>
      <c r="B306" t="s">
        <v>643</v>
      </c>
      <c r="C306">
        <v>61612</v>
      </c>
      <c r="D306" t="s">
        <v>353</v>
      </c>
      <c r="E306" t="s">
        <v>643</v>
      </c>
      <c r="F306">
        <v>32492</v>
      </c>
      <c r="G306">
        <f t="shared" si="15"/>
        <v>29120</v>
      </c>
      <c r="H306">
        <f t="shared" si="16"/>
        <v>29120</v>
      </c>
      <c r="I306" s="13" t="s">
        <v>357</v>
      </c>
    </row>
    <row r="307" spans="1:9" x14ac:dyDescent="0.15">
      <c r="A307" t="s">
        <v>337</v>
      </c>
      <c r="B307" t="s">
        <v>644</v>
      </c>
      <c r="C307">
        <v>134037</v>
      </c>
      <c r="D307" t="s">
        <v>353</v>
      </c>
      <c r="E307" t="s">
        <v>644</v>
      </c>
      <c r="F307">
        <v>71393</v>
      </c>
      <c r="G307">
        <f t="shared" si="15"/>
        <v>62644</v>
      </c>
      <c r="H307">
        <f t="shared" si="16"/>
        <v>62644</v>
      </c>
      <c r="I307" s="13" t="s">
        <v>357</v>
      </c>
    </row>
    <row r="308" spans="1:9" x14ac:dyDescent="0.15">
      <c r="A308" t="s">
        <v>337</v>
      </c>
      <c r="B308" t="s">
        <v>645</v>
      </c>
      <c r="C308">
        <v>146731</v>
      </c>
      <c r="D308" t="s">
        <v>353</v>
      </c>
      <c r="E308" t="s">
        <v>645</v>
      </c>
      <c r="F308">
        <v>81761</v>
      </c>
      <c r="G308">
        <f t="shared" si="15"/>
        <v>64970</v>
      </c>
      <c r="H308">
        <f t="shared" si="16"/>
        <v>64970</v>
      </c>
      <c r="I308" s="13" t="s">
        <v>357</v>
      </c>
    </row>
    <row r="309" spans="1:9" x14ac:dyDescent="0.15">
      <c r="A309" t="s">
        <v>337</v>
      </c>
      <c r="B309" t="s">
        <v>646</v>
      </c>
      <c r="C309">
        <v>12264</v>
      </c>
      <c r="D309" t="s">
        <v>353</v>
      </c>
      <c r="E309" t="s">
        <v>646</v>
      </c>
      <c r="F309">
        <v>6485</v>
      </c>
      <c r="G309">
        <f t="shared" si="15"/>
        <v>5779</v>
      </c>
      <c r="H309">
        <f t="shared" si="16"/>
        <v>5779</v>
      </c>
      <c r="I309" s="13" t="s">
        <v>357</v>
      </c>
    </row>
    <row r="310" spans="1:9" x14ac:dyDescent="0.15">
      <c r="A310" t="s">
        <v>337</v>
      </c>
      <c r="B310" t="s">
        <v>647</v>
      </c>
      <c r="C310">
        <v>1528</v>
      </c>
      <c r="D310" t="s">
        <v>353</v>
      </c>
      <c r="E310" t="s">
        <v>647</v>
      </c>
      <c r="F310">
        <v>1527</v>
      </c>
      <c r="G310">
        <f t="shared" si="15"/>
        <v>1</v>
      </c>
      <c r="H310">
        <f t="shared" si="16"/>
        <v>1</v>
      </c>
      <c r="I310" s="13" t="s">
        <v>357</v>
      </c>
    </row>
    <row r="311" spans="1:9" x14ac:dyDescent="0.15">
      <c r="A311" t="s">
        <v>337</v>
      </c>
      <c r="B311" t="s">
        <v>648</v>
      </c>
      <c r="C311">
        <v>18038167</v>
      </c>
      <c r="D311" t="s">
        <v>353</v>
      </c>
      <c r="E311" t="s">
        <v>648</v>
      </c>
      <c r="F311">
        <v>18038086</v>
      </c>
      <c r="G311">
        <f t="shared" si="15"/>
        <v>81</v>
      </c>
      <c r="H311">
        <f t="shared" si="16"/>
        <v>81</v>
      </c>
      <c r="I311" s="13" t="s">
        <v>357</v>
      </c>
    </row>
    <row r="312" spans="1:9" x14ac:dyDescent="0.15">
      <c r="A312" t="s">
        <v>337</v>
      </c>
      <c r="B312" t="s">
        <v>649</v>
      </c>
      <c r="C312">
        <v>1101078</v>
      </c>
      <c r="D312" t="s">
        <v>353</v>
      </c>
      <c r="E312" t="s">
        <v>649</v>
      </c>
      <c r="F312">
        <v>1101049</v>
      </c>
      <c r="G312">
        <f t="shared" si="15"/>
        <v>29</v>
      </c>
      <c r="H312">
        <f t="shared" si="16"/>
        <v>29</v>
      </c>
      <c r="I312" s="13" t="s">
        <v>357</v>
      </c>
    </row>
    <row r="313" spans="1:9" x14ac:dyDescent="0.15">
      <c r="A313" t="s">
        <v>337</v>
      </c>
      <c r="B313" t="s">
        <v>650</v>
      </c>
      <c r="C313">
        <v>92145</v>
      </c>
      <c r="D313" t="s">
        <v>353</v>
      </c>
      <c r="E313" t="s">
        <v>650</v>
      </c>
      <c r="F313">
        <v>50295</v>
      </c>
      <c r="G313">
        <f t="shared" si="15"/>
        <v>41850</v>
      </c>
      <c r="H313">
        <f t="shared" si="16"/>
        <v>41850</v>
      </c>
      <c r="I313" s="13" t="s">
        <v>357</v>
      </c>
    </row>
    <row r="314" spans="1:9" x14ac:dyDescent="0.15">
      <c r="A314" t="s">
        <v>337</v>
      </c>
      <c r="B314" t="s">
        <v>651</v>
      </c>
      <c r="C314">
        <v>51999</v>
      </c>
      <c r="D314" t="s">
        <v>353</v>
      </c>
      <c r="E314" t="s">
        <v>651</v>
      </c>
      <c r="F314">
        <v>28116</v>
      </c>
      <c r="G314">
        <f t="shared" si="15"/>
        <v>23883</v>
      </c>
      <c r="H314">
        <f t="shared" si="16"/>
        <v>23883</v>
      </c>
      <c r="I314" s="13" t="s">
        <v>357</v>
      </c>
    </row>
    <row r="315" spans="1:9" x14ac:dyDescent="0.15">
      <c r="A315" t="s">
        <v>337</v>
      </c>
      <c r="B315" t="s">
        <v>652</v>
      </c>
      <c r="C315">
        <v>881</v>
      </c>
      <c r="D315" t="s">
        <v>353</v>
      </c>
      <c r="E315" t="s">
        <v>652</v>
      </c>
      <c r="F315">
        <v>881</v>
      </c>
      <c r="G315">
        <f t="shared" si="15"/>
        <v>0</v>
      </c>
      <c r="H315">
        <f t="shared" si="16"/>
        <v>0</v>
      </c>
      <c r="I315" t="str">
        <f t="shared" ref="I315:I322" si="17">IF(G315&lt;&gt;0,"Due to CMP filter","")</f>
        <v/>
      </c>
    </row>
    <row r="316" spans="1:9" x14ac:dyDescent="0.15">
      <c r="A316" t="s">
        <v>337</v>
      </c>
      <c r="B316" t="s">
        <v>653</v>
      </c>
      <c r="C316">
        <v>534</v>
      </c>
      <c r="D316" t="s">
        <v>353</v>
      </c>
      <c r="E316" t="s">
        <v>653</v>
      </c>
      <c r="F316">
        <v>534</v>
      </c>
      <c r="G316">
        <f t="shared" si="15"/>
        <v>0</v>
      </c>
      <c r="H316">
        <f t="shared" si="16"/>
        <v>0</v>
      </c>
      <c r="I316" t="str">
        <f t="shared" si="17"/>
        <v/>
      </c>
    </row>
    <row r="317" spans="1:9" x14ac:dyDescent="0.15">
      <c r="A317" t="s">
        <v>337</v>
      </c>
      <c r="B317" t="s">
        <v>654</v>
      </c>
      <c r="C317">
        <v>7863</v>
      </c>
      <c r="D317" t="s">
        <v>353</v>
      </c>
      <c r="E317" t="s">
        <v>654</v>
      </c>
      <c r="F317">
        <v>7863</v>
      </c>
      <c r="G317">
        <f t="shared" si="15"/>
        <v>0</v>
      </c>
      <c r="H317">
        <f t="shared" si="16"/>
        <v>0</v>
      </c>
      <c r="I317" t="str">
        <f t="shared" si="17"/>
        <v/>
      </c>
    </row>
    <row r="318" spans="1:9" x14ac:dyDescent="0.15">
      <c r="A318" t="s">
        <v>337</v>
      </c>
      <c r="B318" t="s">
        <v>655</v>
      </c>
      <c r="C318">
        <v>345</v>
      </c>
      <c r="D318" t="s">
        <v>353</v>
      </c>
      <c r="E318" t="s">
        <v>655</v>
      </c>
      <c r="F318">
        <v>345</v>
      </c>
      <c r="G318">
        <f t="shared" si="15"/>
        <v>0</v>
      </c>
      <c r="H318">
        <f t="shared" si="16"/>
        <v>0</v>
      </c>
      <c r="I318" t="str">
        <f t="shared" si="17"/>
        <v/>
      </c>
    </row>
    <row r="319" spans="1:9" x14ac:dyDescent="0.15">
      <c r="A319" t="s">
        <v>337</v>
      </c>
      <c r="B319" t="s">
        <v>656</v>
      </c>
      <c r="C319">
        <v>334</v>
      </c>
      <c r="D319" t="s">
        <v>353</v>
      </c>
      <c r="E319" t="s">
        <v>656</v>
      </c>
      <c r="F319">
        <v>334</v>
      </c>
      <c r="G319">
        <f t="shared" si="15"/>
        <v>0</v>
      </c>
      <c r="H319">
        <f t="shared" si="16"/>
        <v>0</v>
      </c>
      <c r="I319" t="str">
        <f t="shared" si="17"/>
        <v/>
      </c>
    </row>
    <row r="320" spans="1:9" x14ac:dyDescent="0.15">
      <c r="A320" t="s">
        <v>337</v>
      </c>
      <c r="B320" t="s">
        <v>657</v>
      </c>
      <c r="C320">
        <v>262</v>
      </c>
      <c r="D320" t="s">
        <v>353</v>
      </c>
      <c r="E320" t="s">
        <v>657</v>
      </c>
      <c r="F320">
        <v>262</v>
      </c>
      <c r="G320">
        <f t="shared" si="15"/>
        <v>0</v>
      </c>
      <c r="H320">
        <f t="shared" si="16"/>
        <v>0</v>
      </c>
      <c r="I320" t="str">
        <f t="shared" si="17"/>
        <v/>
      </c>
    </row>
    <row r="321" spans="1:9" x14ac:dyDescent="0.15">
      <c r="A321" t="s">
        <v>337</v>
      </c>
      <c r="B321" t="s">
        <v>658</v>
      </c>
      <c r="C321">
        <v>1</v>
      </c>
      <c r="D321" t="s">
        <v>353</v>
      </c>
      <c r="E321" t="s">
        <v>658</v>
      </c>
      <c r="F321">
        <v>1</v>
      </c>
      <c r="G321">
        <f t="shared" si="15"/>
        <v>0</v>
      </c>
      <c r="H321">
        <f t="shared" si="16"/>
        <v>0</v>
      </c>
      <c r="I321" t="str">
        <f t="shared" si="17"/>
        <v/>
      </c>
    </row>
    <row r="322" spans="1:9" x14ac:dyDescent="0.15">
      <c r="A322" t="s">
        <v>337</v>
      </c>
      <c r="B322" t="s">
        <v>659</v>
      </c>
      <c r="C322">
        <v>14</v>
      </c>
      <c r="D322" t="s">
        <v>353</v>
      </c>
      <c r="E322" t="s">
        <v>659</v>
      </c>
      <c r="F322">
        <v>14</v>
      </c>
      <c r="G322">
        <f t="shared" si="15"/>
        <v>0</v>
      </c>
      <c r="H322">
        <f t="shared" si="16"/>
        <v>0</v>
      </c>
      <c r="I322" t="str">
        <f t="shared" si="17"/>
        <v/>
      </c>
    </row>
    <row r="323" spans="1:9" x14ac:dyDescent="0.15">
      <c r="A323" t="s">
        <v>337</v>
      </c>
      <c r="B323" t="s">
        <v>660</v>
      </c>
      <c r="C323">
        <v>549</v>
      </c>
      <c r="D323" t="s">
        <v>353</v>
      </c>
      <c r="E323" t="s">
        <v>660</v>
      </c>
      <c r="F323">
        <v>549</v>
      </c>
      <c r="G323">
        <f t="shared" si="15"/>
        <v>0</v>
      </c>
      <c r="H323">
        <f t="shared" si="16"/>
        <v>0</v>
      </c>
    </row>
    <row r="324" spans="1:9" x14ac:dyDescent="0.15">
      <c r="A324" t="s">
        <v>337</v>
      </c>
      <c r="B324" t="s">
        <v>661</v>
      </c>
      <c r="C324">
        <v>279</v>
      </c>
      <c r="D324" t="s">
        <v>353</v>
      </c>
      <c r="E324" t="s">
        <v>661</v>
      </c>
      <c r="F324">
        <v>279</v>
      </c>
      <c r="G324">
        <f t="shared" si="15"/>
        <v>0</v>
      </c>
      <c r="H324">
        <f t="shared" si="16"/>
        <v>0</v>
      </c>
      <c r="I324" t="str">
        <f>IF(G324&lt;&gt;0,"Due to CMP filter","")</f>
        <v/>
      </c>
    </row>
    <row r="325" spans="1:9" x14ac:dyDescent="0.15">
      <c r="A325" t="s">
        <v>337</v>
      </c>
      <c r="B325" t="s">
        <v>662</v>
      </c>
      <c r="C325">
        <v>69</v>
      </c>
      <c r="D325" t="s">
        <v>353</v>
      </c>
      <c r="E325" t="s">
        <v>662</v>
      </c>
      <c r="F325">
        <v>69</v>
      </c>
      <c r="G325">
        <f t="shared" si="15"/>
        <v>0</v>
      </c>
      <c r="H325">
        <f t="shared" si="16"/>
        <v>0</v>
      </c>
    </row>
    <row r="326" spans="1:9" x14ac:dyDescent="0.15">
      <c r="A326" t="s">
        <v>337</v>
      </c>
      <c r="B326" t="s">
        <v>663</v>
      </c>
      <c r="C326">
        <v>325111</v>
      </c>
      <c r="D326" t="s">
        <v>353</v>
      </c>
      <c r="E326" t="s">
        <v>663</v>
      </c>
      <c r="F326">
        <v>325097</v>
      </c>
      <c r="G326">
        <f t="shared" si="15"/>
        <v>14</v>
      </c>
      <c r="H326">
        <f t="shared" si="16"/>
        <v>14</v>
      </c>
      <c r="I326" s="13" t="s">
        <v>357</v>
      </c>
    </row>
    <row r="327" spans="1:9" x14ac:dyDescent="0.15">
      <c r="A327" t="s">
        <v>337</v>
      </c>
      <c r="B327" t="s">
        <v>664</v>
      </c>
      <c r="C327">
        <v>133376</v>
      </c>
      <c r="D327" t="s">
        <v>353</v>
      </c>
      <c r="E327" t="s">
        <v>664</v>
      </c>
      <c r="F327">
        <v>133376</v>
      </c>
      <c r="G327">
        <f t="shared" si="15"/>
        <v>0</v>
      </c>
      <c r="H327">
        <f t="shared" si="16"/>
        <v>0</v>
      </c>
      <c r="I327" t="str">
        <f>IF(G327&lt;&gt;0,"Due to CMP filter","")</f>
        <v/>
      </c>
    </row>
    <row r="328" spans="1:9" x14ac:dyDescent="0.15">
      <c r="A328" t="s">
        <v>337</v>
      </c>
      <c r="B328" t="s">
        <v>665</v>
      </c>
      <c r="C328">
        <v>274195</v>
      </c>
      <c r="D328" t="s">
        <v>353</v>
      </c>
      <c r="E328" t="s">
        <v>665</v>
      </c>
      <c r="F328">
        <v>274191</v>
      </c>
      <c r="G328">
        <f t="shared" si="15"/>
        <v>4</v>
      </c>
      <c r="H328">
        <f t="shared" si="16"/>
        <v>4</v>
      </c>
      <c r="I328" s="13" t="s">
        <v>357</v>
      </c>
    </row>
    <row r="329" spans="1:9" x14ac:dyDescent="0.15">
      <c r="A329" t="s">
        <v>337</v>
      </c>
      <c r="B329" t="s">
        <v>666</v>
      </c>
      <c r="C329">
        <v>107</v>
      </c>
      <c r="D329" t="s">
        <v>353</v>
      </c>
      <c r="E329" t="s">
        <v>666</v>
      </c>
      <c r="F329">
        <v>107</v>
      </c>
      <c r="G329">
        <f t="shared" si="15"/>
        <v>0</v>
      </c>
      <c r="H329">
        <f t="shared" si="16"/>
        <v>0</v>
      </c>
      <c r="I329" t="str">
        <f>IF(G329&lt;&gt;0,"Due to CMP filter","")</f>
        <v/>
      </c>
    </row>
    <row r="330" spans="1:9" x14ac:dyDescent="0.15">
      <c r="A330" t="s">
        <v>337</v>
      </c>
      <c r="B330" t="s">
        <v>667</v>
      </c>
      <c r="C330">
        <v>1</v>
      </c>
      <c r="D330" t="s">
        <v>353</v>
      </c>
      <c r="E330" t="s">
        <v>667</v>
      </c>
      <c r="F330">
        <v>1</v>
      </c>
      <c r="G330">
        <f t="shared" si="15"/>
        <v>0</v>
      </c>
      <c r="H330">
        <f t="shared" si="16"/>
        <v>0</v>
      </c>
      <c r="I330" t="str">
        <f>IF(G330&lt;&gt;0,"Due to CMP filter","")</f>
        <v/>
      </c>
    </row>
    <row r="331" spans="1:9" hidden="1" x14ac:dyDescent="0.15">
      <c r="A331" t="s">
        <v>337</v>
      </c>
      <c r="B331" t="s">
        <v>668</v>
      </c>
      <c r="C331">
        <v>4031169</v>
      </c>
      <c r="E331" t="s">
        <v>668</v>
      </c>
      <c r="G331">
        <f t="shared" si="15"/>
        <v>4031169</v>
      </c>
      <c r="H331">
        <f t="shared" si="16"/>
        <v>0</v>
      </c>
      <c r="I331" s="13" t="s">
        <v>669</v>
      </c>
    </row>
    <row r="332" spans="1:9" x14ac:dyDescent="0.15">
      <c r="A332" t="s">
        <v>337</v>
      </c>
      <c r="B332" t="s">
        <v>670</v>
      </c>
      <c r="C332">
        <v>3314405</v>
      </c>
      <c r="D332" t="s">
        <v>353</v>
      </c>
      <c r="E332" t="s">
        <v>670</v>
      </c>
      <c r="F332">
        <v>3314405</v>
      </c>
      <c r="G332">
        <f t="shared" si="15"/>
        <v>0</v>
      </c>
      <c r="H332">
        <f t="shared" si="16"/>
        <v>0</v>
      </c>
    </row>
    <row r="333" spans="1:9" x14ac:dyDescent="0.15">
      <c r="A333" t="s">
        <v>337</v>
      </c>
      <c r="B333" t="s">
        <v>671</v>
      </c>
      <c r="C333">
        <v>421</v>
      </c>
      <c r="D333" t="s">
        <v>353</v>
      </c>
      <c r="E333" t="s">
        <v>671</v>
      </c>
      <c r="F333">
        <v>421</v>
      </c>
      <c r="G333">
        <f t="shared" si="15"/>
        <v>0</v>
      </c>
      <c r="H333">
        <f t="shared" si="16"/>
        <v>0</v>
      </c>
    </row>
    <row r="334" spans="1:9" x14ac:dyDescent="0.15">
      <c r="A334" t="s">
        <v>337</v>
      </c>
      <c r="B334" t="s">
        <v>672</v>
      </c>
      <c r="C334">
        <v>179138</v>
      </c>
      <c r="D334" t="s">
        <v>353</v>
      </c>
      <c r="E334" t="s">
        <v>672</v>
      </c>
      <c r="F334">
        <v>179138</v>
      </c>
      <c r="G334">
        <f t="shared" si="15"/>
        <v>0</v>
      </c>
      <c r="H334">
        <f t="shared" si="16"/>
        <v>0</v>
      </c>
    </row>
    <row r="335" spans="1:9" x14ac:dyDescent="0.15">
      <c r="A335" t="s">
        <v>337</v>
      </c>
      <c r="B335" t="s">
        <v>673</v>
      </c>
      <c r="C335">
        <v>39422585</v>
      </c>
      <c r="D335" t="s">
        <v>353</v>
      </c>
      <c r="E335" t="s">
        <v>673</v>
      </c>
      <c r="F335">
        <v>39353067</v>
      </c>
      <c r="G335">
        <f t="shared" si="15"/>
        <v>69518</v>
      </c>
      <c r="H335">
        <f t="shared" si="16"/>
        <v>69518</v>
      </c>
      <c r="I335" s="13" t="s">
        <v>357</v>
      </c>
    </row>
    <row r="336" spans="1:9" x14ac:dyDescent="0.15">
      <c r="A336" t="s">
        <v>337</v>
      </c>
      <c r="B336" t="s">
        <v>674</v>
      </c>
      <c r="C336">
        <v>53614605</v>
      </c>
      <c r="D336" t="s">
        <v>353</v>
      </c>
      <c r="E336" t="s">
        <v>674</v>
      </c>
      <c r="F336">
        <v>52393097</v>
      </c>
      <c r="G336">
        <f t="shared" si="15"/>
        <v>1221508</v>
      </c>
      <c r="H336">
        <f t="shared" si="16"/>
        <v>1221508</v>
      </c>
      <c r="I336" s="13" t="s">
        <v>357</v>
      </c>
    </row>
    <row r="337" spans="1:9" x14ac:dyDescent="0.15">
      <c r="A337" t="s">
        <v>337</v>
      </c>
      <c r="B337" t="s">
        <v>675</v>
      </c>
      <c r="C337">
        <v>102015876</v>
      </c>
      <c r="D337" t="s">
        <v>353</v>
      </c>
      <c r="E337" t="s">
        <v>675</v>
      </c>
      <c r="F337">
        <v>100602362</v>
      </c>
      <c r="G337">
        <f t="shared" ref="G337:G400" si="18">C337-F337</f>
        <v>1413514</v>
      </c>
      <c r="H337">
        <f t="shared" ref="H337:H400" si="19">IF(OR(C337=0, F337=0), 0, C337-F337)</f>
        <v>1413514</v>
      </c>
      <c r="I337" s="13" t="s">
        <v>357</v>
      </c>
    </row>
    <row r="338" spans="1:9" x14ac:dyDescent="0.15">
      <c r="A338" t="s">
        <v>337</v>
      </c>
      <c r="B338" t="s">
        <v>676</v>
      </c>
      <c r="C338">
        <v>19556</v>
      </c>
      <c r="D338" t="s">
        <v>353</v>
      </c>
      <c r="E338" t="s">
        <v>676</v>
      </c>
      <c r="F338">
        <v>19556</v>
      </c>
      <c r="G338">
        <f t="shared" si="18"/>
        <v>0</v>
      </c>
      <c r="H338">
        <f t="shared" si="19"/>
        <v>0</v>
      </c>
      <c r="I338" t="str">
        <f>IF(G338&lt;&gt;0,"Due to CMP filter","")</f>
        <v/>
      </c>
    </row>
    <row r="339" spans="1:9" x14ac:dyDescent="0.15">
      <c r="A339" t="s">
        <v>337</v>
      </c>
      <c r="B339" t="s">
        <v>677</v>
      </c>
      <c r="C339">
        <v>65230</v>
      </c>
      <c r="D339" t="s">
        <v>353</v>
      </c>
      <c r="E339" t="s">
        <v>677</v>
      </c>
      <c r="F339">
        <v>65230</v>
      </c>
      <c r="G339">
        <f t="shared" si="18"/>
        <v>0</v>
      </c>
      <c r="H339">
        <f t="shared" si="19"/>
        <v>0</v>
      </c>
      <c r="I339" t="str">
        <f>IF(G339&lt;&gt;0,"Due to CMP filter","")</f>
        <v/>
      </c>
    </row>
    <row r="340" spans="1:9" x14ac:dyDescent="0.15">
      <c r="A340" t="s">
        <v>337</v>
      </c>
      <c r="B340" t="s">
        <v>678</v>
      </c>
      <c r="C340">
        <v>383471</v>
      </c>
      <c r="D340" t="s">
        <v>353</v>
      </c>
      <c r="E340" t="s">
        <v>678</v>
      </c>
      <c r="F340">
        <v>383446</v>
      </c>
      <c r="G340">
        <f t="shared" si="18"/>
        <v>25</v>
      </c>
      <c r="H340">
        <f t="shared" si="19"/>
        <v>25</v>
      </c>
      <c r="I340" s="13" t="s">
        <v>357</v>
      </c>
    </row>
    <row r="341" spans="1:9" x14ac:dyDescent="0.15">
      <c r="A341" t="s">
        <v>337</v>
      </c>
      <c r="B341" t="s">
        <v>679</v>
      </c>
      <c r="C341">
        <v>7</v>
      </c>
      <c r="D341" t="s">
        <v>353</v>
      </c>
      <c r="E341" t="s">
        <v>679</v>
      </c>
      <c r="F341">
        <v>7</v>
      </c>
      <c r="G341">
        <f t="shared" si="18"/>
        <v>0</v>
      </c>
      <c r="H341">
        <f t="shared" si="19"/>
        <v>0</v>
      </c>
    </row>
    <row r="342" spans="1:9" x14ac:dyDescent="0.15">
      <c r="A342" t="s">
        <v>337</v>
      </c>
      <c r="B342" t="s">
        <v>680</v>
      </c>
      <c r="C342">
        <v>6</v>
      </c>
      <c r="D342" t="s">
        <v>353</v>
      </c>
      <c r="E342" t="s">
        <v>680</v>
      </c>
      <c r="F342">
        <v>6</v>
      </c>
      <c r="G342">
        <f t="shared" si="18"/>
        <v>0</v>
      </c>
      <c r="H342">
        <f t="shared" si="19"/>
        <v>0</v>
      </c>
      <c r="I342" t="str">
        <f>IF(G342&lt;&gt;0,"Due to CMP filter","")</f>
        <v/>
      </c>
    </row>
    <row r="343" spans="1:9" x14ac:dyDescent="0.15">
      <c r="A343" t="s">
        <v>337</v>
      </c>
      <c r="B343" t="s">
        <v>681</v>
      </c>
      <c r="C343">
        <v>119809</v>
      </c>
      <c r="D343" t="s">
        <v>353</v>
      </c>
      <c r="E343" t="s">
        <v>681</v>
      </c>
      <c r="F343">
        <v>119740</v>
      </c>
      <c r="G343">
        <f t="shared" si="18"/>
        <v>69</v>
      </c>
      <c r="H343">
        <f t="shared" si="19"/>
        <v>69</v>
      </c>
      <c r="I343" s="13" t="s">
        <v>357</v>
      </c>
    </row>
    <row r="344" spans="1:9" x14ac:dyDescent="0.15">
      <c r="A344" t="s">
        <v>337</v>
      </c>
      <c r="B344" t="s">
        <v>682</v>
      </c>
      <c r="C344">
        <v>520381</v>
      </c>
      <c r="D344" t="s">
        <v>353</v>
      </c>
      <c r="E344" t="s">
        <v>682</v>
      </c>
      <c r="F344">
        <v>520277</v>
      </c>
      <c r="G344">
        <f t="shared" si="18"/>
        <v>104</v>
      </c>
      <c r="H344">
        <f t="shared" si="19"/>
        <v>104</v>
      </c>
      <c r="I344" s="13" t="s">
        <v>357</v>
      </c>
    </row>
    <row r="345" spans="1:9" x14ac:dyDescent="0.15">
      <c r="A345" t="s">
        <v>337</v>
      </c>
      <c r="B345" t="s">
        <v>683</v>
      </c>
      <c r="C345">
        <v>112</v>
      </c>
      <c r="D345" t="s">
        <v>353</v>
      </c>
      <c r="E345" t="s">
        <v>683</v>
      </c>
      <c r="F345">
        <v>112</v>
      </c>
      <c r="G345">
        <f t="shared" si="18"/>
        <v>0</v>
      </c>
      <c r="H345">
        <f t="shared" si="19"/>
        <v>0</v>
      </c>
      <c r="I345" t="str">
        <f>IF(G345&lt;&gt;0,"Due to CMP filter","")</f>
        <v/>
      </c>
    </row>
    <row r="346" spans="1:9" x14ac:dyDescent="0.15">
      <c r="A346" t="s">
        <v>337</v>
      </c>
      <c r="B346" t="s">
        <v>684</v>
      </c>
      <c r="C346">
        <v>11</v>
      </c>
      <c r="D346" t="s">
        <v>353</v>
      </c>
      <c r="E346" t="s">
        <v>684</v>
      </c>
      <c r="F346">
        <v>11</v>
      </c>
      <c r="G346">
        <f t="shared" si="18"/>
        <v>0</v>
      </c>
      <c r="H346">
        <f t="shared" si="19"/>
        <v>0</v>
      </c>
      <c r="I346" t="str">
        <f>IF(G346&lt;&gt;0,"Due to CMP filter","")</f>
        <v/>
      </c>
    </row>
    <row r="347" spans="1:9" x14ac:dyDescent="0.15">
      <c r="A347" t="s">
        <v>337</v>
      </c>
      <c r="B347" t="s">
        <v>685</v>
      </c>
      <c r="C347">
        <v>5</v>
      </c>
      <c r="D347" t="s">
        <v>353</v>
      </c>
      <c r="E347" t="s">
        <v>685</v>
      </c>
      <c r="F347">
        <v>5</v>
      </c>
      <c r="G347">
        <f t="shared" si="18"/>
        <v>0</v>
      </c>
      <c r="H347">
        <f t="shared" si="19"/>
        <v>0</v>
      </c>
      <c r="I347" t="str">
        <f>IF(G347&lt;&gt;0,"Due to CMP filter","")</f>
        <v/>
      </c>
    </row>
    <row r="348" spans="1:9" x14ac:dyDescent="0.15">
      <c r="A348" t="s">
        <v>337</v>
      </c>
      <c r="B348" t="s">
        <v>686</v>
      </c>
      <c r="C348">
        <v>1</v>
      </c>
      <c r="D348" t="s">
        <v>353</v>
      </c>
      <c r="E348" t="s">
        <v>686</v>
      </c>
      <c r="F348">
        <v>1</v>
      </c>
      <c r="G348">
        <f t="shared" si="18"/>
        <v>0</v>
      </c>
      <c r="H348">
        <f t="shared" si="19"/>
        <v>0</v>
      </c>
    </row>
    <row r="349" spans="1:9" x14ac:dyDescent="0.15">
      <c r="A349" t="s">
        <v>337</v>
      </c>
      <c r="B349" t="s">
        <v>687</v>
      </c>
      <c r="C349">
        <v>489</v>
      </c>
      <c r="D349" t="s">
        <v>353</v>
      </c>
      <c r="E349" t="s">
        <v>687</v>
      </c>
      <c r="F349">
        <v>489</v>
      </c>
      <c r="G349">
        <f t="shared" si="18"/>
        <v>0</v>
      </c>
      <c r="H349">
        <f t="shared" si="19"/>
        <v>0</v>
      </c>
    </row>
    <row r="350" spans="1:9" x14ac:dyDescent="0.15">
      <c r="A350" t="s">
        <v>337</v>
      </c>
      <c r="B350" t="s">
        <v>688</v>
      </c>
      <c r="C350">
        <v>7003</v>
      </c>
      <c r="D350" t="s">
        <v>353</v>
      </c>
      <c r="E350" t="s">
        <v>688</v>
      </c>
      <c r="F350">
        <v>7003</v>
      </c>
      <c r="G350">
        <f t="shared" si="18"/>
        <v>0</v>
      </c>
      <c r="H350">
        <f t="shared" si="19"/>
        <v>0</v>
      </c>
    </row>
    <row r="351" spans="1:9" x14ac:dyDescent="0.15">
      <c r="A351" t="s">
        <v>337</v>
      </c>
      <c r="B351" t="s">
        <v>689</v>
      </c>
      <c r="C351">
        <v>987591</v>
      </c>
      <c r="D351" t="s">
        <v>353</v>
      </c>
      <c r="E351" t="s">
        <v>689</v>
      </c>
      <c r="F351">
        <v>987328</v>
      </c>
      <c r="G351">
        <f t="shared" si="18"/>
        <v>263</v>
      </c>
      <c r="H351">
        <f t="shared" si="19"/>
        <v>263</v>
      </c>
      <c r="I351" s="13" t="s">
        <v>357</v>
      </c>
    </row>
    <row r="352" spans="1:9" x14ac:dyDescent="0.15">
      <c r="A352" t="s">
        <v>337</v>
      </c>
      <c r="B352" t="s">
        <v>690</v>
      </c>
      <c r="C352">
        <v>7456848</v>
      </c>
      <c r="D352" t="s">
        <v>353</v>
      </c>
      <c r="E352" t="s">
        <v>690</v>
      </c>
      <c r="F352">
        <v>7159548</v>
      </c>
      <c r="G352">
        <f t="shared" si="18"/>
        <v>297300</v>
      </c>
      <c r="H352">
        <f t="shared" si="19"/>
        <v>297300</v>
      </c>
      <c r="I352" s="13" t="s">
        <v>357</v>
      </c>
    </row>
    <row r="353" spans="1:9" x14ac:dyDescent="0.15">
      <c r="A353" t="s">
        <v>337</v>
      </c>
      <c r="B353" t="s">
        <v>691</v>
      </c>
      <c r="C353">
        <v>15163909</v>
      </c>
      <c r="D353" t="s">
        <v>353</v>
      </c>
      <c r="E353" t="s">
        <v>691</v>
      </c>
      <c r="F353">
        <v>15053365</v>
      </c>
      <c r="G353">
        <f t="shared" si="18"/>
        <v>110544</v>
      </c>
      <c r="H353">
        <f t="shared" si="19"/>
        <v>110544</v>
      </c>
      <c r="I353" s="13" t="s">
        <v>357</v>
      </c>
    </row>
    <row r="354" spans="1:9" x14ac:dyDescent="0.15">
      <c r="A354" t="s">
        <v>337</v>
      </c>
      <c r="B354" t="s">
        <v>692</v>
      </c>
      <c r="C354">
        <v>4677093</v>
      </c>
      <c r="D354" t="s">
        <v>353</v>
      </c>
      <c r="E354" t="s">
        <v>692</v>
      </c>
      <c r="F354">
        <v>4676786</v>
      </c>
      <c r="G354">
        <f t="shared" si="18"/>
        <v>307</v>
      </c>
      <c r="H354">
        <f t="shared" si="19"/>
        <v>307</v>
      </c>
      <c r="I354" s="13" t="s">
        <v>357</v>
      </c>
    </row>
    <row r="355" spans="1:9" x14ac:dyDescent="0.15">
      <c r="A355" t="s">
        <v>337</v>
      </c>
      <c r="B355" t="s">
        <v>693</v>
      </c>
      <c r="C355">
        <v>3444</v>
      </c>
      <c r="D355" t="s">
        <v>353</v>
      </c>
      <c r="E355" t="s">
        <v>693</v>
      </c>
      <c r="F355">
        <v>3240</v>
      </c>
      <c r="G355">
        <f t="shared" si="18"/>
        <v>204</v>
      </c>
      <c r="H355">
        <f t="shared" si="19"/>
        <v>204</v>
      </c>
      <c r="I355" s="13" t="s">
        <v>357</v>
      </c>
    </row>
    <row r="356" spans="1:9" x14ac:dyDescent="0.15">
      <c r="A356" t="s">
        <v>337</v>
      </c>
      <c r="B356" t="s">
        <v>694</v>
      </c>
      <c r="C356">
        <v>24</v>
      </c>
      <c r="D356" t="s">
        <v>353</v>
      </c>
      <c r="E356" t="s">
        <v>694</v>
      </c>
      <c r="F356">
        <v>24</v>
      </c>
      <c r="G356">
        <f t="shared" si="18"/>
        <v>0</v>
      </c>
      <c r="H356">
        <f t="shared" si="19"/>
        <v>0</v>
      </c>
    </row>
    <row r="357" spans="1:9" x14ac:dyDescent="0.15">
      <c r="A357" t="s">
        <v>337</v>
      </c>
      <c r="B357" t="s">
        <v>695</v>
      </c>
      <c r="C357">
        <v>1083</v>
      </c>
      <c r="D357" t="s">
        <v>353</v>
      </c>
      <c r="E357" t="s">
        <v>695</v>
      </c>
      <c r="F357">
        <v>1033</v>
      </c>
      <c r="G357">
        <f t="shared" si="18"/>
        <v>50</v>
      </c>
      <c r="H357">
        <f t="shared" si="19"/>
        <v>50</v>
      </c>
      <c r="I357" s="13" t="s">
        <v>357</v>
      </c>
    </row>
    <row r="358" spans="1:9" x14ac:dyDescent="0.15">
      <c r="A358" t="s">
        <v>337</v>
      </c>
      <c r="B358" t="s">
        <v>696</v>
      </c>
      <c r="C358">
        <v>6</v>
      </c>
      <c r="D358" t="s">
        <v>353</v>
      </c>
      <c r="E358" t="s">
        <v>696</v>
      </c>
      <c r="F358">
        <v>6</v>
      </c>
      <c r="G358">
        <f t="shared" si="18"/>
        <v>0</v>
      </c>
      <c r="H358">
        <f t="shared" si="19"/>
        <v>0</v>
      </c>
    </row>
    <row r="359" spans="1:9" x14ac:dyDescent="0.15">
      <c r="A359" t="s">
        <v>337</v>
      </c>
      <c r="B359" t="s">
        <v>697</v>
      </c>
      <c r="C359">
        <v>379330</v>
      </c>
      <c r="D359" t="s">
        <v>353</v>
      </c>
      <c r="E359" t="s">
        <v>697</v>
      </c>
      <c r="F359">
        <v>379122</v>
      </c>
      <c r="G359">
        <f t="shared" si="18"/>
        <v>208</v>
      </c>
      <c r="H359">
        <f t="shared" si="19"/>
        <v>208</v>
      </c>
      <c r="I359" s="13" t="s">
        <v>357</v>
      </c>
    </row>
    <row r="360" spans="1:9" x14ac:dyDescent="0.15">
      <c r="A360" t="s">
        <v>337</v>
      </c>
      <c r="B360" t="s">
        <v>698</v>
      </c>
      <c r="C360">
        <v>23077</v>
      </c>
      <c r="D360" t="s">
        <v>353</v>
      </c>
      <c r="E360" t="s">
        <v>698</v>
      </c>
      <c r="F360">
        <v>21601</v>
      </c>
      <c r="G360">
        <f t="shared" si="18"/>
        <v>1476</v>
      </c>
      <c r="H360">
        <f t="shared" si="19"/>
        <v>1476</v>
      </c>
      <c r="I360" s="13" t="s">
        <v>357</v>
      </c>
    </row>
    <row r="361" spans="1:9" x14ac:dyDescent="0.15">
      <c r="A361" t="s">
        <v>337</v>
      </c>
      <c r="B361" t="s">
        <v>699</v>
      </c>
      <c r="C361">
        <v>177611</v>
      </c>
      <c r="D361" t="s">
        <v>353</v>
      </c>
      <c r="E361" t="s">
        <v>699</v>
      </c>
      <c r="F361">
        <v>177527</v>
      </c>
      <c r="G361">
        <f t="shared" si="18"/>
        <v>84</v>
      </c>
      <c r="H361">
        <f t="shared" si="19"/>
        <v>84</v>
      </c>
      <c r="I361" s="13" t="s">
        <v>357</v>
      </c>
    </row>
    <row r="362" spans="1:9" x14ac:dyDescent="0.15">
      <c r="A362" t="s">
        <v>337</v>
      </c>
      <c r="B362" t="s">
        <v>700</v>
      </c>
      <c r="C362">
        <v>10169</v>
      </c>
      <c r="D362" t="s">
        <v>353</v>
      </c>
      <c r="E362" t="s">
        <v>700</v>
      </c>
      <c r="F362">
        <v>10063</v>
      </c>
      <c r="G362">
        <f t="shared" si="18"/>
        <v>106</v>
      </c>
      <c r="H362">
        <f t="shared" si="19"/>
        <v>106</v>
      </c>
      <c r="I362" s="13" t="s">
        <v>357</v>
      </c>
    </row>
    <row r="363" spans="1:9" x14ac:dyDescent="0.15">
      <c r="A363" t="s">
        <v>337</v>
      </c>
      <c r="B363" t="s">
        <v>701</v>
      </c>
      <c r="C363">
        <v>47</v>
      </c>
      <c r="D363" t="s">
        <v>353</v>
      </c>
      <c r="E363" t="s">
        <v>701</v>
      </c>
      <c r="F363">
        <v>47</v>
      </c>
      <c r="G363">
        <f t="shared" si="18"/>
        <v>0</v>
      </c>
      <c r="H363">
        <f t="shared" si="19"/>
        <v>0</v>
      </c>
      <c r="I363" t="str">
        <f>IF(G363&lt;&gt;0,"Due to CMP filter","")</f>
        <v/>
      </c>
    </row>
    <row r="364" spans="1:9" x14ac:dyDescent="0.15">
      <c r="A364" t="s">
        <v>337</v>
      </c>
      <c r="B364" t="s">
        <v>702</v>
      </c>
      <c r="C364">
        <v>2</v>
      </c>
      <c r="D364" t="s">
        <v>353</v>
      </c>
      <c r="E364" t="s">
        <v>702</v>
      </c>
      <c r="F364">
        <v>2</v>
      </c>
      <c r="G364">
        <f t="shared" si="18"/>
        <v>0</v>
      </c>
      <c r="H364">
        <f t="shared" si="19"/>
        <v>0</v>
      </c>
      <c r="I364" t="str">
        <f>IF(G364&lt;&gt;0,"Due to CMP filter","")</f>
        <v/>
      </c>
    </row>
    <row r="365" spans="1:9" x14ac:dyDescent="0.15">
      <c r="A365" t="s">
        <v>337</v>
      </c>
      <c r="B365" t="s">
        <v>703</v>
      </c>
      <c r="C365">
        <v>19</v>
      </c>
      <c r="D365" t="s">
        <v>353</v>
      </c>
      <c r="E365" t="s">
        <v>703</v>
      </c>
      <c r="F365">
        <v>17</v>
      </c>
      <c r="G365">
        <f t="shared" si="18"/>
        <v>2</v>
      </c>
      <c r="H365">
        <f t="shared" si="19"/>
        <v>2</v>
      </c>
      <c r="I365" s="13" t="s">
        <v>357</v>
      </c>
    </row>
    <row r="366" spans="1:9" x14ac:dyDescent="0.15">
      <c r="A366" t="s">
        <v>337</v>
      </c>
      <c r="B366" t="s">
        <v>704</v>
      </c>
      <c r="C366">
        <v>102</v>
      </c>
      <c r="D366" t="s">
        <v>353</v>
      </c>
      <c r="E366" t="s">
        <v>704</v>
      </c>
      <c r="F366">
        <v>102</v>
      </c>
      <c r="G366">
        <f t="shared" si="18"/>
        <v>0</v>
      </c>
      <c r="H366">
        <f t="shared" si="19"/>
        <v>0</v>
      </c>
      <c r="I366" t="str">
        <f>IF(G366&lt;&gt;0,"Due to CMP filter","")</f>
        <v/>
      </c>
    </row>
    <row r="367" spans="1:9" x14ac:dyDescent="0.15">
      <c r="A367" t="s">
        <v>337</v>
      </c>
      <c r="B367" t="s">
        <v>705</v>
      </c>
      <c r="C367">
        <v>483</v>
      </c>
      <c r="D367" t="s">
        <v>353</v>
      </c>
      <c r="E367" t="s">
        <v>705</v>
      </c>
      <c r="F367">
        <v>483</v>
      </c>
      <c r="G367">
        <f t="shared" si="18"/>
        <v>0</v>
      </c>
      <c r="H367">
        <f t="shared" si="19"/>
        <v>0</v>
      </c>
      <c r="I367" t="str">
        <f>IF(G367&lt;&gt;0,"Due to CMP filter","")</f>
        <v/>
      </c>
    </row>
    <row r="368" spans="1:9" x14ac:dyDescent="0.15">
      <c r="A368" t="s">
        <v>337</v>
      </c>
      <c r="B368" t="s">
        <v>706</v>
      </c>
      <c r="C368">
        <v>459</v>
      </c>
      <c r="D368" t="s">
        <v>353</v>
      </c>
      <c r="E368" t="s">
        <v>706</v>
      </c>
      <c r="F368">
        <v>459</v>
      </c>
      <c r="G368">
        <f t="shared" si="18"/>
        <v>0</v>
      </c>
      <c r="H368">
        <f t="shared" si="19"/>
        <v>0</v>
      </c>
      <c r="I368" t="str">
        <f>IF(G368&lt;&gt;0,"Due to CMP filter","")</f>
        <v/>
      </c>
    </row>
    <row r="369" spans="1:9" x14ac:dyDescent="0.15">
      <c r="A369" t="s">
        <v>337</v>
      </c>
      <c r="B369" t="s">
        <v>707</v>
      </c>
      <c r="C369">
        <v>9747</v>
      </c>
      <c r="D369" t="s">
        <v>353</v>
      </c>
      <c r="E369" t="s">
        <v>707</v>
      </c>
      <c r="F369">
        <v>9747</v>
      </c>
      <c r="G369">
        <f t="shared" si="18"/>
        <v>0</v>
      </c>
      <c r="H369">
        <f t="shared" si="19"/>
        <v>0</v>
      </c>
    </row>
    <row r="370" spans="1:9" x14ac:dyDescent="0.15">
      <c r="A370" t="s">
        <v>337</v>
      </c>
      <c r="B370" t="s">
        <v>708</v>
      </c>
      <c r="C370">
        <v>485</v>
      </c>
      <c r="D370" t="s">
        <v>353</v>
      </c>
      <c r="E370" t="s">
        <v>708</v>
      </c>
      <c r="F370">
        <v>485</v>
      </c>
      <c r="G370">
        <f t="shared" si="18"/>
        <v>0</v>
      </c>
      <c r="H370">
        <f t="shared" si="19"/>
        <v>0</v>
      </c>
    </row>
    <row r="371" spans="1:9" x14ac:dyDescent="0.15">
      <c r="A371" t="s">
        <v>337</v>
      </c>
      <c r="B371" t="s">
        <v>709</v>
      </c>
      <c r="C371">
        <v>9</v>
      </c>
      <c r="D371" t="s">
        <v>353</v>
      </c>
      <c r="E371" t="s">
        <v>709</v>
      </c>
      <c r="F371">
        <v>9</v>
      </c>
      <c r="G371">
        <f t="shared" si="18"/>
        <v>0</v>
      </c>
      <c r="H371">
        <f t="shared" si="19"/>
        <v>0</v>
      </c>
    </row>
    <row r="372" spans="1:9" x14ac:dyDescent="0.15">
      <c r="A372" t="s">
        <v>337</v>
      </c>
      <c r="B372" t="s">
        <v>710</v>
      </c>
      <c r="C372">
        <v>213800</v>
      </c>
      <c r="D372" t="s">
        <v>353</v>
      </c>
      <c r="E372" t="s">
        <v>710</v>
      </c>
      <c r="F372">
        <v>213752</v>
      </c>
      <c r="G372">
        <f t="shared" si="18"/>
        <v>48</v>
      </c>
      <c r="H372">
        <f t="shared" si="19"/>
        <v>48</v>
      </c>
      <c r="I372" s="13" t="s">
        <v>357</v>
      </c>
    </row>
    <row r="373" spans="1:9" x14ac:dyDescent="0.15">
      <c r="A373" t="s">
        <v>337</v>
      </c>
      <c r="B373" t="s">
        <v>711</v>
      </c>
      <c r="C373">
        <v>960004</v>
      </c>
      <c r="D373" t="s">
        <v>353</v>
      </c>
      <c r="E373" t="s">
        <v>711</v>
      </c>
      <c r="F373">
        <v>894812</v>
      </c>
      <c r="G373">
        <f t="shared" si="18"/>
        <v>65192</v>
      </c>
      <c r="H373">
        <f t="shared" si="19"/>
        <v>65192</v>
      </c>
      <c r="I373" s="13" t="s">
        <v>357</v>
      </c>
    </row>
    <row r="374" spans="1:9" x14ac:dyDescent="0.15">
      <c r="A374" t="s">
        <v>337</v>
      </c>
      <c r="B374" t="s">
        <v>712</v>
      </c>
      <c r="C374">
        <v>963125</v>
      </c>
      <c r="D374" t="s">
        <v>353</v>
      </c>
      <c r="E374" t="s">
        <v>712</v>
      </c>
      <c r="F374">
        <v>955510</v>
      </c>
      <c r="G374">
        <f t="shared" si="18"/>
        <v>7615</v>
      </c>
      <c r="H374">
        <f t="shared" si="19"/>
        <v>7615</v>
      </c>
      <c r="I374" s="13" t="s">
        <v>357</v>
      </c>
    </row>
    <row r="375" spans="1:9" x14ac:dyDescent="0.15">
      <c r="A375" t="s">
        <v>337</v>
      </c>
      <c r="B375" t="s">
        <v>713</v>
      </c>
      <c r="C375">
        <v>2455</v>
      </c>
      <c r="D375" t="s">
        <v>353</v>
      </c>
      <c r="E375" t="s">
        <v>713</v>
      </c>
      <c r="F375">
        <v>2305</v>
      </c>
      <c r="G375">
        <f t="shared" si="18"/>
        <v>150</v>
      </c>
      <c r="H375">
        <f t="shared" si="19"/>
        <v>150</v>
      </c>
      <c r="I375" s="13" t="s">
        <v>357</v>
      </c>
    </row>
    <row r="376" spans="1:9" x14ac:dyDescent="0.15">
      <c r="A376" t="s">
        <v>337</v>
      </c>
      <c r="B376" t="s">
        <v>714</v>
      </c>
      <c r="C376">
        <v>42</v>
      </c>
      <c r="D376" t="s">
        <v>353</v>
      </c>
      <c r="E376" t="s">
        <v>714</v>
      </c>
      <c r="F376">
        <v>42</v>
      </c>
      <c r="G376">
        <f t="shared" si="18"/>
        <v>0</v>
      </c>
      <c r="H376">
        <f t="shared" si="19"/>
        <v>0</v>
      </c>
      <c r="I376" t="str">
        <f>IF(G376&lt;&gt;0,"Due to CMP filter","")</f>
        <v/>
      </c>
    </row>
    <row r="377" spans="1:9" x14ac:dyDescent="0.15">
      <c r="A377" t="s">
        <v>337</v>
      </c>
      <c r="B377" t="s">
        <v>715</v>
      </c>
      <c r="C377">
        <v>11</v>
      </c>
      <c r="D377" t="s">
        <v>353</v>
      </c>
      <c r="E377" t="s">
        <v>715</v>
      </c>
      <c r="F377">
        <v>11</v>
      </c>
      <c r="G377">
        <f t="shared" si="18"/>
        <v>0</v>
      </c>
      <c r="H377">
        <f t="shared" si="19"/>
        <v>0</v>
      </c>
      <c r="I377" t="str">
        <f>IF(G377&lt;&gt;0,"Due to CMP filter","")</f>
        <v/>
      </c>
    </row>
    <row r="378" spans="1:9" x14ac:dyDescent="0.15">
      <c r="A378" t="s">
        <v>337</v>
      </c>
      <c r="B378" t="s">
        <v>716</v>
      </c>
      <c r="C378">
        <v>76</v>
      </c>
      <c r="D378" t="s">
        <v>353</v>
      </c>
      <c r="E378" t="s">
        <v>716</v>
      </c>
      <c r="F378">
        <v>76</v>
      </c>
      <c r="G378">
        <f t="shared" si="18"/>
        <v>0</v>
      </c>
      <c r="H378">
        <f t="shared" si="19"/>
        <v>0</v>
      </c>
      <c r="I378" t="str">
        <f>IF(G378&lt;&gt;0,"Due to CMP filter","")</f>
        <v/>
      </c>
    </row>
    <row r="379" spans="1:9" x14ac:dyDescent="0.15">
      <c r="A379" t="s">
        <v>337</v>
      </c>
      <c r="B379" t="s">
        <v>717</v>
      </c>
      <c r="C379">
        <v>405</v>
      </c>
      <c r="D379" t="s">
        <v>353</v>
      </c>
      <c r="E379" t="s">
        <v>717</v>
      </c>
      <c r="F379">
        <v>405</v>
      </c>
      <c r="G379">
        <f t="shared" si="18"/>
        <v>0</v>
      </c>
      <c r="H379">
        <f t="shared" si="19"/>
        <v>0</v>
      </c>
      <c r="I379" t="str">
        <f>IF(G379&lt;&gt;0,"Due to CMP filter","")</f>
        <v/>
      </c>
    </row>
    <row r="380" spans="1:9" x14ac:dyDescent="0.15">
      <c r="A380" t="s">
        <v>337</v>
      </c>
      <c r="B380" t="s">
        <v>718</v>
      </c>
      <c r="C380">
        <v>2253</v>
      </c>
      <c r="D380" t="s">
        <v>353</v>
      </c>
      <c r="E380" t="s">
        <v>718</v>
      </c>
      <c r="F380">
        <v>2253</v>
      </c>
      <c r="G380">
        <f t="shared" si="18"/>
        <v>0</v>
      </c>
      <c r="H380">
        <f t="shared" si="19"/>
        <v>0</v>
      </c>
    </row>
    <row r="381" spans="1:9" x14ac:dyDescent="0.15">
      <c r="A381" t="s">
        <v>337</v>
      </c>
      <c r="B381" t="s">
        <v>719</v>
      </c>
      <c r="C381">
        <v>3</v>
      </c>
      <c r="D381" t="s">
        <v>353</v>
      </c>
      <c r="E381" t="s">
        <v>719</v>
      </c>
      <c r="F381">
        <v>3</v>
      </c>
      <c r="G381">
        <f t="shared" si="18"/>
        <v>0</v>
      </c>
      <c r="H381">
        <f t="shared" si="19"/>
        <v>0</v>
      </c>
      <c r="I381" t="str">
        <f>IF(G381&lt;&gt;0,"Due to CMP filter","")</f>
        <v/>
      </c>
    </row>
    <row r="382" spans="1:9" x14ac:dyDescent="0.15">
      <c r="A382" t="s">
        <v>337</v>
      </c>
      <c r="B382" t="s">
        <v>720</v>
      </c>
      <c r="C382">
        <v>592</v>
      </c>
      <c r="D382" t="s">
        <v>353</v>
      </c>
      <c r="E382" t="s">
        <v>720</v>
      </c>
      <c r="F382">
        <v>592</v>
      </c>
      <c r="G382">
        <f t="shared" si="18"/>
        <v>0</v>
      </c>
      <c r="H382">
        <f t="shared" si="19"/>
        <v>0</v>
      </c>
      <c r="I382" t="str">
        <f>IF(G382&lt;&gt;0,"Due to CMP filter","")</f>
        <v/>
      </c>
    </row>
    <row r="383" spans="1:9" x14ac:dyDescent="0.15">
      <c r="A383" t="s">
        <v>337</v>
      </c>
      <c r="B383" t="s">
        <v>721</v>
      </c>
      <c r="C383">
        <v>30</v>
      </c>
      <c r="D383" t="s">
        <v>353</v>
      </c>
      <c r="E383" t="s">
        <v>721</v>
      </c>
      <c r="F383">
        <v>15</v>
      </c>
      <c r="G383">
        <f t="shared" si="18"/>
        <v>15</v>
      </c>
      <c r="H383">
        <f t="shared" si="19"/>
        <v>15</v>
      </c>
      <c r="I383" s="13" t="s">
        <v>357</v>
      </c>
    </row>
    <row r="384" spans="1:9" x14ac:dyDescent="0.15">
      <c r="A384" t="s">
        <v>337</v>
      </c>
      <c r="B384" t="s">
        <v>722</v>
      </c>
      <c r="C384">
        <v>3098</v>
      </c>
      <c r="D384" t="s">
        <v>353</v>
      </c>
      <c r="E384" t="s">
        <v>722</v>
      </c>
      <c r="F384">
        <v>3098</v>
      </c>
      <c r="G384">
        <f t="shared" si="18"/>
        <v>0</v>
      </c>
      <c r="H384">
        <f t="shared" si="19"/>
        <v>0</v>
      </c>
      <c r="I384" t="str">
        <f>IF(G384&lt;&gt;0,"Due to CMP filter","")</f>
        <v/>
      </c>
    </row>
    <row r="385" spans="1:9" x14ac:dyDescent="0.15">
      <c r="A385" t="s">
        <v>337</v>
      </c>
      <c r="B385" t="s">
        <v>723</v>
      </c>
      <c r="C385">
        <v>7107</v>
      </c>
      <c r="D385" t="s">
        <v>353</v>
      </c>
      <c r="E385" t="s">
        <v>723</v>
      </c>
      <c r="F385">
        <v>7107</v>
      </c>
      <c r="G385">
        <f t="shared" si="18"/>
        <v>0</v>
      </c>
      <c r="H385">
        <f t="shared" si="19"/>
        <v>0</v>
      </c>
    </row>
    <row r="386" spans="1:9" x14ac:dyDescent="0.15">
      <c r="A386" t="s">
        <v>337</v>
      </c>
      <c r="B386" t="s">
        <v>724</v>
      </c>
      <c r="C386">
        <v>31008</v>
      </c>
      <c r="D386" t="s">
        <v>353</v>
      </c>
      <c r="E386" t="s">
        <v>724</v>
      </c>
      <c r="F386">
        <v>31008</v>
      </c>
      <c r="G386">
        <f t="shared" si="18"/>
        <v>0</v>
      </c>
      <c r="H386">
        <f t="shared" si="19"/>
        <v>0</v>
      </c>
    </row>
    <row r="387" spans="1:9" x14ac:dyDescent="0.15">
      <c r="A387" t="s">
        <v>337</v>
      </c>
      <c r="B387" t="s">
        <v>725</v>
      </c>
      <c r="C387">
        <v>425227</v>
      </c>
      <c r="D387" t="s">
        <v>353</v>
      </c>
      <c r="E387" t="s">
        <v>725</v>
      </c>
      <c r="F387">
        <v>425227</v>
      </c>
      <c r="G387">
        <f t="shared" si="18"/>
        <v>0</v>
      </c>
      <c r="H387">
        <f t="shared" si="19"/>
        <v>0</v>
      </c>
    </row>
    <row r="388" spans="1:9" x14ac:dyDescent="0.15">
      <c r="A388" t="s">
        <v>337</v>
      </c>
      <c r="B388" t="s">
        <v>726</v>
      </c>
      <c r="C388">
        <v>15762</v>
      </c>
      <c r="D388" t="s">
        <v>353</v>
      </c>
      <c r="E388" t="s">
        <v>726</v>
      </c>
      <c r="F388">
        <v>15596</v>
      </c>
      <c r="G388">
        <f t="shared" si="18"/>
        <v>166</v>
      </c>
      <c r="H388">
        <f t="shared" si="19"/>
        <v>166</v>
      </c>
      <c r="I388" s="13" t="s">
        <v>357</v>
      </c>
    </row>
    <row r="389" spans="1:9" x14ac:dyDescent="0.15">
      <c r="A389" t="s">
        <v>337</v>
      </c>
      <c r="B389" t="s">
        <v>727</v>
      </c>
      <c r="C389">
        <v>1154</v>
      </c>
      <c r="D389" t="s">
        <v>353</v>
      </c>
      <c r="E389" t="s">
        <v>727</v>
      </c>
      <c r="F389">
        <v>1129</v>
      </c>
      <c r="G389">
        <f t="shared" si="18"/>
        <v>25</v>
      </c>
      <c r="H389">
        <f t="shared" si="19"/>
        <v>25</v>
      </c>
      <c r="I389" s="13" t="s">
        <v>357</v>
      </c>
    </row>
    <row r="390" spans="1:9" x14ac:dyDescent="0.15">
      <c r="A390" t="s">
        <v>337</v>
      </c>
      <c r="B390" t="s">
        <v>728</v>
      </c>
      <c r="C390">
        <v>62177</v>
      </c>
      <c r="D390" t="s">
        <v>353</v>
      </c>
      <c r="E390" t="s">
        <v>728</v>
      </c>
      <c r="F390">
        <v>62175</v>
      </c>
      <c r="G390">
        <f t="shared" si="18"/>
        <v>2</v>
      </c>
      <c r="H390">
        <f t="shared" si="19"/>
        <v>2</v>
      </c>
      <c r="I390" s="13" t="s">
        <v>357</v>
      </c>
    </row>
    <row r="391" spans="1:9" x14ac:dyDescent="0.15">
      <c r="A391" t="s">
        <v>337</v>
      </c>
      <c r="B391" t="s">
        <v>729</v>
      </c>
      <c r="C391">
        <v>392847</v>
      </c>
      <c r="D391" t="s">
        <v>353</v>
      </c>
      <c r="E391" t="s">
        <v>729</v>
      </c>
      <c r="F391">
        <v>392846</v>
      </c>
      <c r="G391">
        <f t="shared" si="18"/>
        <v>1</v>
      </c>
      <c r="H391">
        <f t="shared" si="19"/>
        <v>1</v>
      </c>
      <c r="I391" s="13" t="s">
        <v>357</v>
      </c>
    </row>
    <row r="392" spans="1:9" x14ac:dyDescent="0.15">
      <c r="A392" t="s">
        <v>337</v>
      </c>
      <c r="B392" t="s">
        <v>730</v>
      </c>
      <c r="C392">
        <v>135</v>
      </c>
      <c r="D392" t="s">
        <v>353</v>
      </c>
      <c r="E392" t="s">
        <v>730</v>
      </c>
      <c r="F392">
        <v>133</v>
      </c>
      <c r="G392">
        <f t="shared" si="18"/>
        <v>2</v>
      </c>
      <c r="H392">
        <f t="shared" si="19"/>
        <v>2</v>
      </c>
      <c r="I392" s="13" t="s">
        <v>357</v>
      </c>
    </row>
    <row r="393" spans="1:9" x14ac:dyDescent="0.15">
      <c r="A393" t="s">
        <v>337</v>
      </c>
      <c r="B393" t="s">
        <v>731</v>
      </c>
      <c r="C393">
        <v>21322000</v>
      </c>
      <c r="D393" t="s">
        <v>353</v>
      </c>
      <c r="E393" t="s">
        <v>731</v>
      </c>
      <c r="F393">
        <v>21322000</v>
      </c>
      <c r="G393">
        <f t="shared" si="18"/>
        <v>0</v>
      </c>
      <c r="H393">
        <f t="shared" si="19"/>
        <v>0</v>
      </c>
      <c r="I393" t="str">
        <f>IF(G393&lt;&gt;0,"Due to CMP filter","")</f>
        <v/>
      </c>
    </row>
    <row r="394" spans="1:9" x14ac:dyDescent="0.15">
      <c r="A394" t="s">
        <v>337</v>
      </c>
      <c r="B394" t="s">
        <v>732</v>
      </c>
      <c r="C394">
        <v>4413482</v>
      </c>
      <c r="D394" t="s">
        <v>353</v>
      </c>
      <c r="E394" t="s">
        <v>732</v>
      </c>
      <c r="F394">
        <v>4413482</v>
      </c>
      <c r="G394">
        <f t="shared" si="18"/>
        <v>0</v>
      </c>
      <c r="H394">
        <f t="shared" si="19"/>
        <v>0</v>
      </c>
    </row>
    <row r="395" spans="1:9" x14ac:dyDescent="0.15">
      <c r="A395" t="s">
        <v>337</v>
      </c>
      <c r="B395" t="s">
        <v>733</v>
      </c>
      <c r="C395">
        <v>1449871</v>
      </c>
      <c r="D395" t="s">
        <v>353</v>
      </c>
      <c r="E395" t="s">
        <v>733</v>
      </c>
      <c r="F395">
        <v>1449871</v>
      </c>
      <c r="G395">
        <f t="shared" si="18"/>
        <v>0</v>
      </c>
      <c r="H395">
        <f t="shared" si="19"/>
        <v>0</v>
      </c>
      <c r="I395" t="str">
        <f>IF(G395&lt;&gt;0,"Due to CMP filter","")</f>
        <v/>
      </c>
    </row>
    <row r="396" spans="1:9" x14ac:dyDescent="0.15">
      <c r="A396" t="s">
        <v>337</v>
      </c>
      <c r="B396" t="s">
        <v>734</v>
      </c>
      <c r="C396">
        <v>2388</v>
      </c>
      <c r="D396" t="s">
        <v>353</v>
      </c>
      <c r="E396" t="s">
        <v>734</v>
      </c>
      <c r="F396">
        <v>2388</v>
      </c>
      <c r="G396">
        <f t="shared" si="18"/>
        <v>0</v>
      </c>
      <c r="H396">
        <f t="shared" si="19"/>
        <v>0</v>
      </c>
      <c r="I396" t="str">
        <f>IF(G396&lt;&gt;0,"Due to CMP filter","")</f>
        <v/>
      </c>
    </row>
    <row r="397" spans="1:9" x14ac:dyDescent="0.15">
      <c r="A397" t="s">
        <v>337</v>
      </c>
      <c r="B397" t="s">
        <v>735</v>
      </c>
      <c r="C397">
        <v>6030</v>
      </c>
      <c r="D397" t="s">
        <v>353</v>
      </c>
      <c r="E397" t="s">
        <v>735</v>
      </c>
      <c r="F397">
        <v>4189</v>
      </c>
      <c r="G397">
        <f t="shared" si="18"/>
        <v>1841</v>
      </c>
      <c r="H397">
        <f t="shared" si="19"/>
        <v>1841</v>
      </c>
      <c r="I397" s="13" t="s">
        <v>357</v>
      </c>
    </row>
    <row r="398" spans="1:9" x14ac:dyDescent="0.15">
      <c r="A398" t="s">
        <v>337</v>
      </c>
      <c r="B398" t="s">
        <v>736</v>
      </c>
      <c r="C398">
        <v>96974</v>
      </c>
      <c r="D398" t="s">
        <v>353</v>
      </c>
      <c r="E398" t="s">
        <v>736</v>
      </c>
      <c r="F398">
        <v>96974</v>
      </c>
      <c r="G398">
        <f t="shared" si="18"/>
        <v>0</v>
      </c>
      <c r="H398">
        <f t="shared" si="19"/>
        <v>0</v>
      </c>
      <c r="I398" t="str">
        <f>IF(G398&lt;&gt;0,"Due to CMP filter","")</f>
        <v/>
      </c>
    </row>
    <row r="399" spans="1:9" x14ac:dyDescent="0.15">
      <c r="A399" t="s">
        <v>337</v>
      </c>
      <c r="B399" t="s">
        <v>737</v>
      </c>
      <c r="C399">
        <v>173</v>
      </c>
      <c r="D399" t="s">
        <v>353</v>
      </c>
      <c r="E399" t="s">
        <v>737</v>
      </c>
      <c r="F399">
        <v>173</v>
      </c>
      <c r="G399">
        <f t="shared" si="18"/>
        <v>0</v>
      </c>
      <c r="H399">
        <f t="shared" si="19"/>
        <v>0</v>
      </c>
      <c r="I399" t="str">
        <f>IF(G399&lt;&gt;0,"Due to CMP filter","")</f>
        <v/>
      </c>
    </row>
    <row r="400" spans="1:9" x14ac:dyDescent="0.15">
      <c r="A400" t="s">
        <v>337</v>
      </c>
      <c r="B400" t="s">
        <v>738</v>
      </c>
      <c r="C400">
        <v>56</v>
      </c>
      <c r="D400" t="s">
        <v>353</v>
      </c>
      <c r="E400" t="s">
        <v>738</v>
      </c>
      <c r="F400">
        <v>56</v>
      </c>
      <c r="G400">
        <f t="shared" si="18"/>
        <v>0</v>
      </c>
      <c r="H400">
        <f t="shared" si="19"/>
        <v>0</v>
      </c>
      <c r="I400" t="str">
        <f>IF(G400&lt;&gt;0,"Due to CMP filter","")</f>
        <v/>
      </c>
    </row>
    <row r="401" spans="1:9" x14ac:dyDescent="0.15">
      <c r="A401" t="s">
        <v>337</v>
      </c>
      <c r="B401" t="s">
        <v>739</v>
      </c>
      <c r="C401">
        <v>415</v>
      </c>
      <c r="D401" t="s">
        <v>353</v>
      </c>
      <c r="E401" t="s">
        <v>739</v>
      </c>
      <c r="F401">
        <v>415</v>
      </c>
      <c r="G401">
        <f t="shared" ref="G401:G464" si="20">C401-F401</f>
        <v>0</v>
      </c>
      <c r="H401">
        <f t="shared" ref="H401:H464" si="21">IF(OR(C401=0, F401=0), 0, C401-F401)</f>
        <v>0</v>
      </c>
      <c r="I401" t="str">
        <f>IF(G401&lt;&gt;0,"Due to CMP filter","")</f>
        <v/>
      </c>
    </row>
    <row r="402" spans="1:9" x14ac:dyDescent="0.15">
      <c r="A402" t="s">
        <v>337</v>
      </c>
      <c r="B402" t="s">
        <v>740</v>
      </c>
      <c r="C402">
        <v>30</v>
      </c>
      <c r="D402" t="s">
        <v>353</v>
      </c>
      <c r="E402" t="s">
        <v>740</v>
      </c>
      <c r="F402">
        <v>30</v>
      </c>
      <c r="G402">
        <f t="shared" si="20"/>
        <v>0</v>
      </c>
      <c r="H402">
        <f t="shared" si="21"/>
        <v>0</v>
      </c>
      <c r="I402" t="str">
        <f>IF(G402&lt;&gt;0,"Due to CMP filter","")</f>
        <v/>
      </c>
    </row>
    <row r="403" spans="1:9" x14ac:dyDescent="0.15">
      <c r="A403" t="s">
        <v>337</v>
      </c>
      <c r="B403" t="s">
        <v>741</v>
      </c>
      <c r="C403">
        <v>169</v>
      </c>
      <c r="D403" t="s">
        <v>353</v>
      </c>
      <c r="E403" t="s">
        <v>741</v>
      </c>
      <c r="F403">
        <v>169</v>
      </c>
      <c r="G403">
        <f t="shared" si="20"/>
        <v>0</v>
      </c>
      <c r="H403">
        <f t="shared" si="21"/>
        <v>0</v>
      </c>
    </row>
    <row r="404" spans="1:9" x14ac:dyDescent="0.15">
      <c r="A404" t="s">
        <v>337</v>
      </c>
      <c r="B404" t="s">
        <v>742</v>
      </c>
      <c r="C404">
        <v>328</v>
      </c>
      <c r="D404" t="s">
        <v>353</v>
      </c>
      <c r="E404" t="s">
        <v>742</v>
      </c>
      <c r="F404">
        <v>328</v>
      </c>
      <c r="G404">
        <f t="shared" si="20"/>
        <v>0</v>
      </c>
      <c r="H404">
        <f t="shared" si="21"/>
        <v>0</v>
      </c>
      <c r="I404" t="str">
        <f>IF(G404&lt;&gt;0,"Due to CMP filter","")</f>
        <v/>
      </c>
    </row>
    <row r="405" spans="1:9" x14ac:dyDescent="0.15">
      <c r="A405" t="s">
        <v>337</v>
      </c>
      <c r="B405" t="s">
        <v>743</v>
      </c>
      <c r="C405">
        <v>21</v>
      </c>
      <c r="D405" t="s">
        <v>353</v>
      </c>
      <c r="E405" t="s">
        <v>743</v>
      </c>
      <c r="F405">
        <v>21</v>
      </c>
      <c r="G405">
        <f t="shared" si="20"/>
        <v>0</v>
      </c>
      <c r="H405">
        <f t="shared" si="21"/>
        <v>0</v>
      </c>
      <c r="I405" t="str">
        <f>IF(G405&lt;&gt;0,"Due to CMP filter","")</f>
        <v/>
      </c>
    </row>
    <row r="406" spans="1:9" hidden="1" x14ac:dyDescent="0.15">
      <c r="A406" t="s">
        <v>337</v>
      </c>
      <c r="B406" t="s">
        <v>744</v>
      </c>
      <c r="C406">
        <v>1</v>
      </c>
      <c r="E406" t="s">
        <v>744</v>
      </c>
      <c r="G406">
        <f t="shared" si="20"/>
        <v>1</v>
      </c>
      <c r="H406">
        <f t="shared" si="21"/>
        <v>0</v>
      </c>
      <c r="I406" s="13" t="s">
        <v>669</v>
      </c>
    </row>
    <row r="407" spans="1:9" x14ac:dyDescent="0.15">
      <c r="A407" t="s">
        <v>337</v>
      </c>
      <c r="B407" t="s">
        <v>745</v>
      </c>
      <c r="C407">
        <v>623</v>
      </c>
      <c r="D407" t="s">
        <v>353</v>
      </c>
      <c r="E407" t="s">
        <v>745</v>
      </c>
      <c r="F407">
        <v>623</v>
      </c>
      <c r="G407">
        <f t="shared" si="20"/>
        <v>0</v>
      </c>
      <c r="H407">
        <f t="shared" si="21"/>
        <v>0</v>
      </c>
      <c r="I407" t="str">
        <f t="shared" ref="I407:I416" si="22">IF(G407&lt;&gt;0,"Due to CMP filter","")</f>
        <v/>
      </c>
    </row>
    <row r="408" spans="1:9" x14ac:dyDescent="0.15">
      <c r="A408" t="s">
        <v>337</v>
      </c>
      <c r="B408" t="s">
        <v>746</v>
      </c>
      <c r="C408">
        <v>2</v>
      </c>
      <c r="D408" t="s">
        <v>353</v>
      </c>
      <c r="E408" t="s">
        <v>746</v>
      </c>
      <c r="F408">
        <v>2</v>
      </c>
      <c r="G408">
        <f t="shared" si="20"/>
        <v>0</v>
      </c>
      <c r="H408">
        <f t="shared" si="21"/>
        <v>0</v>
      </c>
      <c r="I408" t="str">
        <f t="shared" si="22"/>
        <v/>
      </c>
    </row>
    <row r="409" spans="1:9" x14ac:dyDescent="0.15">
      <c r="A409" t="s">
        <v>337</v>
      </c>
      <c r="B409" t="s">
        <v>747</v>
      </c>
      <c r="C409">
        <v>210</v>
      </c>
      <c r="D409" t="s">
        <v>353</v>
      </c>
      <c r="E409" t="s">
        <v>747</v>
      </c>
      <c r="F409">
        <v>210</v>
      </c>
      <c r="G409">
        <f t="shared" si="20"/>
        <v>0</v>
      </c>
      <c r="H409">
        <f t="shared" si="21"/>
        <v>0</v>
      </c>
      <c r="I409" t="str">
        <f t="shared" si="22"/>
        <v/>
      </c>
    </row>
    <row r="410" spans="1:9" x14ac:dyDescent="0.15">
      <c r="A410" t="s">
        <v>337</v>
      </c>
      <c r="B410" t="s">
        <v>748</v>
      </c>
      <c r="C410">
        <v>32</v>
      </c>
      <c r="D410" t="s">
        <v>353</v>
      </c>
      <c r="E410" t="s">
        <v>748</v>
      </c>
      <c r="F410">
        <v>32</v>
      </c>
      <c r="G410">
        <f t="shared" si="20"/>
        <v>0</v>
      </c>
      <c r="H410">
        <f t="shared" si="21"/>
        <v>0</v>
      </c>
      <c r="I410" t="str">
        <f t="shared" si="22"/>
        <v/>
      </c>
    </row>
    <row r="411" spans="1:9" x14ac:dyDescent="0.15">
      <c r="A411" t="s">
        <v>337</v>
      </c>
      <c r="B411" t="s">
        <v>749</v>
      </c>
      <c r="C411">
        <v>242110</v>
      </c>
      <c r="D411" t="s">
        <v>353</v>
      </c>
      <c r="E411" t="s">
        <v>749</v>
      </c>
      <c r="F411">
        <v>242110</v>
      </c>
      <c r="G411">
        <f t="shared" si="20"/>
        <v>0</v>
      </c>
      <c r="H411">
        <f t="shared" si="21"/>
        <v>0</v>
      </c>
      <c r="I411" t="str">
        <f t="shared" si="22"/>
        <v/>
      </c>
    </row>
    <row r="412" spans="1:9" x14ac:dyDescent="0.15">
      <c r="A412" t="s">
        <v>337</v>
      </c>
      <c r="B412" t="s">
        <v>750</v>
      </c>
      <c r="C412">
        <v>242110</v>
      </c>
      <c r="D412" t="s">
        <v>353</v>
      </c>
      <c r="E412" t="s">
        <v>750</v>
      </c>
      <c r="F412">
        <v>242110</v>
      </c>
      <c r="G412">
        <f t="shared" si="20"/>
        <v>0</v>
      </c>
      <c r="H412">
        <f t="shared" si="21"/>
        <v>0</v>
      </c>
      <c r="I412" t="str">
        <f t="shared" si="22"/>
        <v/>
      </c>
    </row>
    <row r="413" spans="1:9" x14ac:dyDescent="0.15">
      <c r="A413" t="s">
        <v>337</v>
      </c>
      <c r="B413" t="s">
        <v>751</v>
      </c>
      <c r="C413">
        <v>2</v>
      </c>
      <c r="D413" t="s">
        <v>353</v>
      </c>
      <c r="E413" t="s">
        <v>751</v>
      </c>
      <c r="F413">
        <v>2</v>
      </c>
      <c r="G413">
        <f t="shared" si="20"/>
        <v>0</v>
      </c>
      <c r="H413">
        <f t="shared" si="21"/>
        <v>0</v>
      </c>
      <c r="I413" t="str">
        <f t="shared" si="22"/>
        <v/>
      </c>
    </row>
    <row r="414" spans="1:9" x14ac:dyDescent="0.15">
      <c r="A414" t="s">
        <v>337</v>
      </c>
      <c r="B414" t="s">
        <v>752</v>
      </c>
      <c r="C414">
        <v>2</v>
      </c>
      <c r="D414" t="s">
        <v>353</v>
      </c>
      <c r="E414" t="s">
        <v>752</v>
      </c>
      <c r="F414">
        <v>2</v>
      </c>
      <c r="G414">
        <f t="shared" si="20"/>
        <v>0</v>
      </c>
      <c r="H414">
        <f t="shared" si="21"/>
        <v>0</v>
      </c>
      <c r="I414" t="str">
        <f t="shared" si="22"/>
        <v/>
      </c>
    </row>
    <row r="415" spans="1:9" x14ac:dyDescent="0.15">
      <c r="A415" t="s">
        <v>337</v>
      </c>
      <c r="B415" t="s">
        <v>753</v>
      </c>
      <c r="C415">
        <v>59470</v>
      </c>
      <c r="D415" t="s">
        <v>353</v>
      </c>
      <c r="E415" t="s">
        <v>753</v>
      </c>
      <c r="F415">
        <v>59470</v>
      </c>
      <c r="G415">
        <f t="shared" si="20"/>
        <v>0</v>
      </c>
      <c r="H415">
        <f t="shared" si="21"/>
        <v>0</v>
      </c>
      <c r="I415" t="str">
        <f t="shared" si="22"/>
        <v/>
      </c>
    </row>
    <row r="416" spans="1:9" x14ac:dyDescent="0.15">
      <c r="A416" t="s">
        <v>337</v>
      </c>
      <c r="B416" t="s">
        <v>754</v>
      </c>
      <c r="C416">
        <v>257651</v>
      </c>
      <c r="D416" t="s">
        <v>353</v>
      </c>
      <c r="E416" t="s">
        <v>754</v>
      </c>
      <c r="F416">
        <v>257651</v>
      </c>
      <c r="G416">
        <f t="shared" si="20"/>
        <v>0</v>
      </c>
      <c r="H416">
        <f t="shared" si="21"/>
        <v>0</v>
      </c>
      <c r="I416" t="str">
        <f t="shared" si="22"/>
        <v/>
      </c>
    </row>
    <row r="417" spans="1:9" x14ac:dyDescent="0.15">
      <c r="A417" t="s">
        <v>337</v>
      </c>
      <c r="B417" t="s">
        <v>755</v>
      </c>
      <c r="C417">
        <v>59339</v>
      </c>
      <c r="D417" t="s">
        <v>353</v>
      </c>
      <c r="E417" t="s">
        <v>755</v>
      </c>
      <c r="F417">
        <v>59339</v>
      </c>
      <c r="G417">
        <f t="shared" si="20"/>
        <v>0</v>
      </c>
      <c r="H417">
        <f t="shared" si="21"/>
        <v>0</v>
      </c>
    </row>
    <row r="418" spans="1:9" x14ac:dyDescent="0.15">
      <c r="A418" t="s">
        <v>337</v>
      </c>
      <c r="B418" t="s">
        <v>756</v>
      </c>
      <c r="C418">
        <v>1</v>
      </c>
      <c r="D418" t="s">
        <v>353</v>
      </c>
      <c r="E418" t="s">
        <v>756</v>
      </c>
      <c r="F418">
        <v>1</v>
      </c>
      <c r="G418">
        <f t="shared" si="20"/>
        <v>0</v>
      </c>
      <c r="H418">
        <f t="shared" si="21"/>
        <v>0</v>
      </c>
      <c r="I418" t="str">
        <f>IF(G418&lt;&gt;0,"Due to CMP filter","")</f>
        <v/>
      </c>
    </row>
    <row r="419" spans="1:9" x14ac:dyDescent="0.15">
      <c r="A419" t="s">
        <v>337</v>
      </c>
      <c r="B419" t="s">
        <v>757</v>
      </c>
      <c r="C419">
        <v>4</v>
      </c>
      <c r="D419" t="s">
        <v>353</v>
      </c>
      <c r="E419" t="s">
        <v>757</v>
      </c>
      <c r="F419">
        <v>4</v>
      </c>
      <c r="G419">
        <f t="shared" si="20"/>
        <v>0</v>
      </c>
      <c r="H419">
        <f t="shared" si="21"/>
        <v>0</v>
      </c>
      <c r="I419" t="str">
        <f>IF(G419&lt;&gt;0,"Due to CMP filter","")</f>
        <v/>
      </c>
    </row>
    <row r="420" spans="1:9" x14ac:dyDescent="0.15">
      <c r="A420" t="s">
        <v>337</v>
      </c>
      <c r="B420" t="s">
        <v>758</v>
      </c>
      <c r="C420">
        <v>16211</v>
      </c>
      <c r="D420" t="s">
        <v>353</v>
      </c>
      <c r="E420" t="s">
        <v>758</v>
      </c>
      <c r="F420">
        <v>10837</v>
      </c>
      <c r="G420">
        <f t="shared" si="20"/>
        <v>5374</v>
      </c>
      <c r="H420">
        <f t="shared" si="21"/>
        <v>5374</v>
      </c>
      <c r="I420" s="13" t="s">
        <v>357</v>
      </c>
    </row>
    <row r="421" spans="1:9" x14ac:dyDescent="0.15">
      <c r="A421" t="s">
        <v>337</v>
      </c>
      <c r="B421" t="s">
        <v>759</v>
      </c>
      <c r="C421">
        <v>18471</v>
      </c>
      <c r="D421" t="s">
        <v>353</v>
      </c>
      <c r="E421" t="s">
        <v>759</v>
      </c>
      <c r="F421">
        <v>18471</v>
      </c>
      <c r="G421">
        <f t="shared" si="20"/>
        <v>0</v>
      </c>
      <c r="H421">
        <f t="shared" si="21"/>
        <v>0</v>
      </c>
      <c r="I421" t="str">
        <f t="shared" ref="I421:I429" si="23">IF(G421&lt;&gt;0,"Due to CMP filter","")</f>
        <v/>
      </c>
    </row>
    <row r="422" spans="1:9" x14ac:dyDescent="0.15">
      <c r="A422" t="s">
        <v>337</v>
      </c>
      <c r="B422" t="s">
        <v>760</v>
      </c>
      <c r="C422">
        <v>76</v>
      </c>
      <c r="D422" t="s">
        <v>353</v>
      </c>
      <c r="E422" t="s">
        <v>760</v>
      </c>
      <c r="F422">
        <v>76</v>
      </c>
      <c r="G422">
        <f t="shared" si="20"/>
        <v>0</v>
      </c>
      <c r="H422">
        <f t="shared" si="21"/>
        <v>0</v>
      </c>
      <c r="I422" t="str">
        <f t="shared" si="23"/>
        <v/>
      </c>
    </row>
    <row r="423" spans="1:9" x14ac:dyDescent="0.15">
      <c r="A423" t="s">
        <v>337</v>
      </c>
      <c r="B423" t="s">
        <v>761</v>
      </c>
      <c r="C423">
        <v>82</v>
      </c>
      <c r="D423" t="s">
        <v>353</v>
      </c>
      <c r="E423" t="s">
        <v>761</v>
      </c>
      <c r="F423">
        <v>82</v>
      </c>
      <c r="G423">
        <f t="shared" si="20"/>
        <v>0</v>
      </c>
      <c r="H423">
        <f t="shared" si="21"/>
        <v>0</v>
      </c>
      <c r="I423" t="str">
        <f t="shared" si="23"/>
        <v/>
      </c>
    </row>
    <row r="424" spans="1:9" x14ac:dyDescent="0.15">
      <c r="A424" t="s">
        <v>337</v>
      </c>
      <c r="B424" t="s">
        <v>762</v>
      </c>
      <c r="C424">
        <v>1</v>
      </c>
      <c r="D424" t="s">
        <v>353</v>
      </c>
      <c r="E424" t="s">
        <v>762</v>
      </c>
      <c r="F424">
        <v>1</v>
      </c>
      <c r="G424">
        <f t="shared" si="20"/>
        <v>0</v>
      </c>
      <c r="H424">
        <f t="shared" si="21"/>
        <v>0</v>
      </c>
      <c r="I424" t="str">
        <f t="shared" si="23"/>
        <v/>
      </c>
    </row>
    <row r="425" spans="1:9" x14ac:dyDescent="0.15">
      <c r="A425" t="s">
        <v>337</v>
      </c>
      <c r="B425" t="s">
        <v>763</v>
      </c>
      <c r="C425">
        <v>42924</v>
      </c>
      <c r="D425" t="s">
        <v>353</v>
      </c>
      <c r="E425" t="s">
        <v>763</v>
      </c>
      <c r="F425">
        <v>42924</v>
      </c>
      <c r="G425">
        <f t="shared" si="20"/>
        <v>0</v>
      </c>
      <c r="H425">
        <f t="shared" si="21"/>
        <v>0</v>
      </c>
      <c r="I425" t="str">
        <f t="shared" si="23"/>
        <v/>
      </c>
    </row>
    <row r="426" spans="1:9" x14ac:dyDescent="0.15">
      <c r="A426" t="s">
        <v>337</v>
      </c>
      <c r="B426" t="s">
        <v>764</v>
      </c>
      <c r="C426">
        <v>5</v>
      </c>
      <c r="D426" t="s">
        <v>353</v>
      </c>
      <c r="E426" t="s">
        <v>764</v>
      </c>
      <c r="F426">
        <v>5</v>
      </c>
      <c r="G426">
        <f t="shared" si="20"/>
        <v>0</v>
      </c>
      <c r="H426">
        <f t="shared" si="21"/>
        <v>0</v>
      </c>
      <c r="I426" t="str">
        <f t="shared" si="23"/>
        <v/>
      </c>
    </row>
    <row r="427" spans="1:9" x14ac:dyDescent="0.15">
      <c r="A427" t="s">
        <v>337</v>
      </c>
      <c r="B427" t="s">
        <v>765</v>
      </c>
      <c r="C427">
        <v>17529</v>
      </c>
      <c r="D427" t="s">
        <v>353</v>
      </c>
      <c r="E427" t="s">
        <v>765</v>
      </c>
      <c r="F427">
        <v>17529</v>
      </c>
      <c r="G427">
        <f t="shared" si="20"/>
        <v>0</v>
      </c>
      <c r="H427">
        <f t="shared" si="21"/>
        <v>0</v>
      </c>
      <c r="I427" t="str">
        <f t="shared" si="23"/>
        <v/>
      </c>
    </row>
    <row r="428" spans="1:9" x14ac:dyDescent="0.15">
      <c r="A428" t="s">
        <v>337</v>
      </c>
      <c r="B428" t="s">
        <v>766</v>
      </c>
      <c r="C428">
        <v>25</v>
      </c>
      <c r="D428" t="s">
        <v>353</v>
      </c>
      <c r="E428" t="s">
        <v>766</v>
      </c>
      <c r="F428">
        <v>25</v>
      </c>
      <c r="G428">
        <f t="shared" si="20"/>
        <v>0</v>
      </c>
      <c r="H428">
        <f t="shared" si="21"/>
        <v>0</v>
      </c>
      <c r="I428" t="str">
        <f t="shared" si="23"/>
        <v/>
      </c>
    </row>
    <row r="429" spans="1:9" x14ac:dyDescent="0.15">
      <c r="A429" t="s">
        <v>337</v>
      </c>
      <c r="B429" t="s">
        <v>767</v>
      </c>
      <c r="C429">
        <v>81</v>
      </c>
      <c r="D429" t="s">
        <v>353</v>
      </c>
      <c r="E429" t="s">
        <v>767</v>
      </c>
      <c r="F429">
        <v>81</v>
      </c>
      <c r="G429">
        <f t="shared" si="20"/>
        <v>0</v>
      </c>
      <c r="H429">
        <f t="shared" si="21"/>
        <v>0</v>
      </c>
      <c r="I429" t="str">
        <f t="shared" si="23"/>
        <v/>
      </c>
    </row>
    <row r="430" spans="1:9" x14ac:dyDescent="0.15">
      <c r="A430" t="s">
        <v>337</v>
      </c>
      <c r="B430" t="s">
        <v>768</v>
      </c>
      <c r="C430">
        <v>78</v>
      </c>
      <c r="D430" t="s">
        <v>353</v>
      </c>
      <c r="E430" t="s">
        <v>768</v>
      </c>
      <c r="F430">
        <v>78</v>
      </c>
      <c r="G430">
        <f t="shared" si="20"/>
        <v>0</v>
      </c>
      <c r="H430">
        <f t="shared" si="21"/>
        <v>0</v>
      </c>
    </row>
    <row r="431" spans="1:9" x14ac:dyDescent="0.15">
      <c r="A431" t="s">
        <v>337</v>
      </c>
      <c r="B431" t="s">
        <v>769</v>
      </c>
      <c r="C431">
        <v>2</v>
      </c>
      <c r="D431" t="s">
        <v>353</v>
      </c>
      <c r="E431" t="s">
        <v>769</v>
      </c>
      <c r="F431">
        <v>2</v>
      </c>
      <c r="G431">
        <f t="shared" si="20"/>
        <v>0</v>
      </c>
      <c r="H431">
        <f t="shared" si="21"/>
        <v>0</v>
      </c>
      <c r="I431" t="str">
        <f>IF(G431&lt;&gt;0,"Due to CMP filter","")</f>
        <v/>
      </c>
    </row>
    <row r="432" spans="1:9" x14ac:dyDescent="0.15">
      <c r="A432" t="s">
        <v>337</v>
      </c>
      <c r="B432" t="s">
        <v>770</v>
      </c>
      <c r="C432">
        <v>41120</v>
      </c>
      <c r="D432" t="s">
        <v>353</v>
      </c>
      <c r="E432" t="s">
        <v>770</v>
      </c>
      <c r="F432">
        <v>41120</v>
      </c>
      <c r="G432">
        <f t="shared" si="20"/>
        <v>0</v>
      </c>
      <c r="H432">
        <f t="shared" si="21"/>
        <v>0</v>
      </c>
      <c r="I432" t="str">
        <f>IF(G432&lt;&gt;0,"Due to CMP filter","")</f>
        <v/>
      </c>
    </row>
    <row r="433" spans="1:9" x14ac:dyDescent="0.15">
      <c r="A433" t="s">
        <v>337</v>
      </c>
      <c r="B433" t="s">
        <v>771</v>
      </c>
      <c r="C433">
        <v>395929</v>
      </c>
      <c r="D433" t="s">
        <v>353</v>
      </c>
      <c r="E433" t="s">
        <v>771</v>
      </c>
      <c r="F433">
        <v>395925</v>
      </c>
      <c r="G433">
        <f t="shared" si="20"/>
        <v>4</v>
      </c>
      <c r="H433">
        <f t="shared" si="21"/>
        <v>4</v>
      </c>
      <c r="I433" s="13" t="s">
        <v>357</v>
      </c>
    </row>
    <row r="434" spans="1:9" x14ac:dyDescent="0.15">
      <c r="A434" t="s">
        <v>337</v>
      </c>
      <c r="B434" t="s">
        <v>772</v>
      </c>
      <c r="C434">
        <v>5</v>
      </c>
      <c r="D434" t="s">
        <v>353</v>
      </c>
      <c r="E434" t="s">
        <v>772</v>
      </c>
      <c r="F434">
        <v>5</v>
      </c>
      <c r="G434">
        <f t="shared" si="20"/>
        <v>0</v>
      </c>
      <c r="H434">
        <f t="shared" si="21"/>
        <v>0</v>
      </c>
      <c r="I434" t="str">
        <f>IF(G434&lt;&gt;0,"Due to CMP filter","")</f>
        <v/>
      </c>
    </row>
    <row r="435" spans="1:9" x14ac:dyDescent="0.15">
      <c r="A435" t="s">
        <v>337</v>
      </c>
      <c r="B435" t="s">
        <v>773</v>
      </c>
      <c r="C435">
        <v>2</v>
      </c>
      <c r="D435" t="s">
        <v>353</v>
      </c>
      <c r="E435" t="s">
        <v>773</v>
      </c>
      <c r="F435">
        <v>2</v>
      </c>
      <c r="G435">
        <f t="shared" si="20"/>
        <v>0</v>
      </c>
      <c r="H435">
        <f t="shared" si="21"/>
        <v>0</v>
      </c>
    </row>
    <row r="436" spans="1:9" x14ac:dyDescent="0.15">
      <c r="A436" t="s">
        <v>337</v>
      </c>
      <c r="B436" t="s">
        <v>774</v>
      </c>
      <c r="C436">
        <v>2</v>
      </c>
      <c r="D436" t="s">
        <v>353</v>
      </c>
      <c r="E436" t="s">
        <v>774</v>
      </c>
      <c r="F436">
        <v>2</v>
      </c>
      <c r="G436">
        <f t="shared" si="20"/>
        <v>0</v>
      </c>
      <c r="H436">
        <f t="shared" si="21"/>
        <v>0</v>
      </c>
      <c r="I436" t="str">
        <f>IF(G436&lt;&gt;0,"Due to CMP filter","")</f>
        <v/>
      </c>
    </row>
    <row r="437" spans="1:9" x14ac:dyDescent="0.15">
      <c r="A437" t="s">
        <v>337</v>
      </c>
      <c r="B437" t="s">
        <v>775</v>
      </c>
      <c r="C437">
        <v>2</v>
      </c>
      <c r="D437" t="s">
        <v>353</v>
      </c>
      <c r="E437" t="s">
        <v>775</v>
      </c>
      <c r="F437">
        <v>2</v>
      </c>
      <c r="G437">
        <f t="shared" si="20"/>
        <v>0</v>
      </c>
      <c r="H437">
        <f t="shared" si="21"/>
        <v>0</v>
      </c>
      <c r="I437" t="str">
        <f>IF(G437&lt;&gt;0,"Due to CMP filter","")</f>
        <v/>
      </c>
    </row>
    <row r="438" spans="1:9" x14ac:dyDescent="0.15">
      <c r="A438" t="s">
        <v>337</v>
      </c>
      <c r="B438" t="s">
        <v>776</v>
      </c>
      <c r="C438">
        <v>83</v>
      </c>
      <c r="D438" t="s">
        <v>353</v>
      </c>
      <c r="E438" t="s">
        <v>776</v>
      </c>
      <c r="F438">
        <v>82</v>
      </c>
      <c r="G438">
        <f t="shared" si="20"/>
        <v>1</v>
      </c>
      <c r="H438">
        <f t="shared" si="21"/>
        <v>1</v>
      </c>
      <c r="I438" s="13" t="s">
        <v>357</v>
      </c>
    </row>
    <row r="439" spans="1:9" x14ac:dyDescent="0.15">
      <c r="A439" t="s">
        <v>337</v>
      </c>
      <c r="B439" t="s">
        <v>777</v>
      </c>
      <c r="C439">
        <v>3</v>
      </c>
      <c r="D439" t="s">
        <v>353</v>
      </c>
      <c r="E439" t="s">
        <v>777</v>
      </c>
      <c r="F439">
        <v>3</v>
      </c>
      <c r="G439">
        <f t="shared" si="20"/>
        <v>0</v>
      </c>
      <c r="H439">
        <f t="shared" si="21"/>
        <v>0</v>
      </c>
      <c r="I439" t="str">
        <f t="shared" ref="I439:I446" si="24">IF(G439&lt;&gt;0,"Due to CMP filter","")</f>
        <v/>
      </c>
    </row>
    <row r="440" spans="1:9" x14ac:dyDescent="0.15">
      <c r="A440" t="s">
        <v>337</v>
      </c>
      <c r="B440" t="s">
        <v>778</v>
      </c>
      <c r="C440">
        <v>10</v>
      </c>
      <c r="D440" t="s">
        <v>353</v>
      </c>
      <c r="E440" t="s">
        <v>778</v>
      </c>
      <c r="F440">
        <v>10</v>
      </c>
      <c r="G440">
        <f t="shared" si="20"/>
        <v>0</v>
      </c>
      <c r="H440">
        <f t="shared" si="21"/>
        <v>0</v>
      </c>
      <c r="I440" t="str">
        <f t="shared" si="24"/>
        <v/>
      </c>
    </row>
    <row r="441" spans="1:9" x14ac:dyDescent="0.15">
      <c r="A441" t="s">
        <v>337</v>
      </c>
      <c r="B441" t="s">
        <v>779</v>
      </c>
      <c r="C441">
        <v>17601</v>
      </c>
      <c r="D441" t="s">
        <v>353</v>
      </c>
      <c r="E441" t="s">
        <v>779</v>
      </c>
      <c r="F441">
        <v>17601</v>
      </c>
      <c r="G441">
        <f t="shared" si="20"/>
        <v>0</v>
      </c>
      <c r="H441">
        <f t="shared" si="21"/>
        <v>0</v>
      </c>
      <c r="I441" t="str">
        <f t="shared" si="24"/>
        <v/>
      </c>
    </row>
    <row r="442" spans="1:9" x14ac:dyDescent="0.15">
      <c r="A442" t="s">
        <v>337</v>
      </c>
      <c r="B442" t="s">
        <v>780</v>
      </c>
      <c r="C442">
        <v>1</v>
      </c>
      <c r="D442" t="s">
        <v>353</v>
      </c>
      <c r="E442" t="s">
        <v>780</v>
      </c>
      <c r="F442">
        <v>1</v>
      </c>
      <c r="G442">
        <f t="shared" si="20"/>
        <v>0</v>
      </c>
      <c r="H442">
        <f t="shared" si="21"/>
        <v>0</v>
      </c>
      <c r="I442" t="str">
        <f t="shared" si="24"/>
        <v/>
      </c>
    </row>
    <row r="443" spans="1:9" x14ac:dyDescent="0.15">
      <c r="A443" t="s">
        <v>337</v>
      </c>
      <c r="B443" t="s">
        <v>781</v>
      </c>
      <c r="C443">
        <v>26</v>
      </c>
      <c r="D443" t="s">
        <v>353</v>
      </c>
      <c r="E443" t="s">
        <v>781</v>
      </c>
      <c r="F443">
        <v>26</v>
      </c>
      <c r="G443">
        <f t="shared" si="20"/>
        <v>0</v>
      </c>
      <c r="H443">
        <f t="shared" si="21"/>
        <v>0</v>
      </c>
      <c r="I443" t="str">
        <f t="shared" si="24"/>
        <v/>
      </c>
    </row>
    <row r="444" spans="1:9" x14ac:dyDescent="0.15">
      <c r="A444" t="s">
        <v>337</v>
      </c>
      <c r="B444" t="s">
        <v>782</v>
      </c>
      <c r="C444">
        <v>2</v>
      </c>
      <c r="D444" t="s">
        <v>353</v>
      </c>
      <c r="E444" t="s">
        <v>782</v>
      </c>
      <c r="F444">
        <v>2</v>
      </c>
      <c r="G444">
        <f t="shared" si="20"/>
        <v>0</v>
      </c>
      <c r="H444">
        <f t="shared" si="21"/>
        <v>0</v>
      </c>
      <c r="I444" t="str">
        <f t="shared" si="24"/>
        <v/>
      </c>
    </row>
    <row r="445" spans="1:9" x14ac:dyDescent="0.15">
      <c r="A445" t="s">
        <v>337</v>
      </c>
      <c r="B445" t="s">
        <v>783</v>
      </c>
      <c r="C445">
        <v>1</v>
      </c>
      <c r="D445" t="s">
        <v>353</v>
      </c>
      <c r="E445" t="s">
        <v>783</v>
      </c>
      <c r="F445">
        <v>1</v>
      </c>
      <c r="G445">
        <f t="shared" si="20"/>
        <v>0</v>
      </c>
      <c r="H445">
        <f t="shared" si="21"/>
        <v>0</v>
      </c>
      <c r="I445" t="str">
        <f t="shared" si="24"/>
        <v/>
      </c>
    </row>
    <row r="446" spans="1:9" x14ac:dyDescent="0.15">
      <c r="A446" t="s">
        <v>337</v>
      </c>
      <c r="B446" t="s">
        <v>784</v>
      </c>
      <c r="C446">
        <v>3</v>
      </c>
      <c r="D446" t="s">
        <v>353</v>
      </c>
      <c r="E446" t="s">
        <v>784</v>
      </c>
      <c r="F446">
        <v>3</v>
      </c>
      <c r="G446">
        <f t="shared" si="20"/>
        <v>0</v>
      </c>
      <c r="H446">
        <f t="shared" si="21"/>
        <v>0</v>
      </c>
      <c r="I446" t="str">
        <f t="shared" si="24"/>
        <v/>
      </c>
    </row>
    <row r="447" spans="1:9" x14ac:dyDescent="0.15">
      <c r="A447" t="s">
        <v>337</v>
      </c>
      <c r="B447" t="s">
        <v>785</v>
      </c>
      <c r="C447">
        <v>1</v>
      </c>
      <c r="D447" t="s">
        <v>353</v>
      </c>
      <c r="E447" t="s">
        <v>785</v>
      </c>
      <c r="F447">
        <v>1</v>
      </c>
      <c r="G447">
        <f t="shared" si="20"/>
        <v>0</v>
      </c>
      <c r="H447">
        <f t="shared" si="21"/>
        <v>0</v>
      </c>
    </row>
    <row r="448" spans="1:9" x14ac:dyDescent="0.15">
      <c r="A448" t="s">
        <v>337</v>
      </c>
      <c r="B448" t="s">
        <v>786</v>
      </c>
      <c r="C448">
        <v>21</v>
      </c>
      <c r="D448" t="s">
        <v>353</v>
      </c>
      <c r="E448" t="s">
        <v>786</v>
      </c>
      <c r="F448">
        <v>21</v>
      </c>
      <c r="G448">
        <f t="shared" si="20"/>
        <v>0</v>
      </c>
      <c r="H448">
        <f t="shared" si="21"/>
        <v>0</v>
      </c>
      <c r="I448" t="str">
        <f>IF(G448&lt;&gt;0,"Due to CMP filter","")</f>
        <v/>
      </c>
    </row>
    <row r="449" spans="1:9" x14ac:dyDescent="0.15">
      <c r="A449" t="s">
        <v>337</v>
      </c>
      <c r="B449" t="s">
        <v>787</v>
      </c>
      <c r="C449">
        <v>70131</v>
      </c>
      <c r="D449" t="s">
        <v>353</v>
      </c>
      <c r="E449" t="s">
        <v>787</v>
      </c>
      <c r="F449">
        <v>70131</v>
      </c>
      <c r="G449">
        <f t="shared" si="20"/>
        <v>0</v>
      </c>
      <c r="H449">
        <f t="shared" si="21"/>
        <v>0</v>
      </c>
    </row>
    <row r="450" spans="1:9" x14ac:dyDescent="0.15">
      <c r="A450" t="s">
        <v>337</v>
      </c>
      <c r="B450" t="s">
        <v>788</v>
      </c>
      <c r="C450">
        <v>270350</v>
      </c>
      <c r="D450" t="s">
        <v>353</v>
      </c>
      <c r="E450" t="s">
        <v>788</v>
      </c>
      <c r="F450">
        <v>270347</v>
      </c>
      <c r="G450">
        <f t="shared" si="20"/>
        <v>3</v>
      </c>
      <c r="H450">
        <f t="shared" si="21"/>
        <v>3</v>
      </c>
      <c r="I450" s="13" t="s">
        <v>357</v>
      </c>
    </row>
    <row r="451" spans="1:9" x14ac:dyDescent="0.15">
      <c r="A451" t="s">
        <v>337</v>
      </c>
      <c r="B451" t="s">
        <v>789</v>
      </c>
      <c r="C451">
        <v>2</v>
      </c>
      <c r="D451" t="s">
        <v>353</v>
      </c>
      <c r="E451" t="s">
        <v>789</v>
      </c>
      <c r="F451">
        <v>2</v>
      </c>
      <c r="G451">
        <f t="shared" si="20"/>
        <v>0</v>
      </c>
      <c r="H451">
        <f t="shared" si="21"/>
        <v>0</v>
      </c>
    </row>
    <row r="452" spans="1:9" x14ac:dyDescent="0.15">
      <c r="A452" t="s">
        <v>337</v>
      </c>
      <c r="B452" t="s">
        <v>790</v>
      </c>
      <c r="C452">
        <v>166813</v>
      </c>
      <c r="D452" t="s">
        <v>353</v>
      </c>
      <c r="E452" t="s">
        <v>790</v>
      </c>
      <c r="F452">
        <v>166800</v>
      </c>
      <c r="G452">
        <f t="shared" si="20"/>
        <v>13</v>
      </c>
      <c r="H452">
        <f t="shared" si="21"/>
        <v>13</v>
      </c>
      <c r="I452" s="13" t="s">
        <v>357</v>
      </c>
    </row>
    <row r="453" spans="1:9" x14ac:dyDescent="0.15">
      <c r="A453" t="s">
        <v>337</v>
      </c>
      <c r="B453" t="s">
        <v>791</v>
      </c>
      <c r="C453">
        <v>371629</v>
      </c>
      <c r="D453" t="s">
        <v>353</v>
      </c>
      <c r="E453" t="s">
        <v>791</v>
      </c>
      <c r="F453">
        <v>371588</v>
      </c>
      <c r="G453">
        <f t="shared" si="20"/>
        <v>41</v>
      </c>
      <c r="H453">
        <f t="shared" si="21"/>
        <v>41</v>
      </c>
      <c r="I453" s="13" t="s">
        <v>357</v>
      </c>
    </row>
    <row r="454" spans="1:9" x14ac:dyDescent="0.15">
      <c r="A454" t="s">
        <v>337</v>
      </c>
      <c r="B454" t="s">
        <v>792</v>
      </c>
      <c r="C454">
        <v>374132</v>
      </c>
      <c r="D454" t="s">
        <v>353</v>
      </c>
      <c r="E454" t="s">
        <v>792</v>
      </c>
      <c r="F454">
        <v>374088</v>
      </c>
      <c r="G454">
        <f t="shared" si="20"/>
        <v>44</v>
      </c>
      <c r="H454">
        <f t="shared" si="21"/>
        <v>44</v>
      </c>
      <c r="I454" s="13" t="s">
        <v>357</v>
      </c>
    </row>
    <row r="455" spans="1:9" x14ac:dyDescent="0.15">
      <c r="A455" t="s">
        <v>337</v>
      </c>
      <c r="B455" t="s">
        <v>793</v>
      </c>
      <c r="C455">
        <v>571</v>
      </c>
      <c r="D455" t="s">
        <v>353</v>
      </c>
      <c r="E455" t="s">
        <v>793</v>
      </c>
      <c r="F455">
        <v>571</v>
      </c>
      <c r="G455">
        <f t="shared" si="20"/>
        <v>0</v>
      </c>
      <c r="H455">
        <f t="shared" si="21"/>
        <v>0</v>
      </c>
      <c r="I455" t="str">
        <f>IF(G455&lt;&gt;0,"Due to CMP filter","")</f>
        <v/>
      </c>
    </row>
    <row r="456" spans="1:9" x14ac:dyDescent="0.15">
      <c r="A456" t="s">
        <v>337</v>
      </c>
      <c r="B456" t="s">
        <v>794</v>
      </c>
      <c r="C456">
        <v>108</v>
      </c>
      <c r="D456" t="s">
        <v>353</v>
      </c>
      <c r="E456" t="s">
        <v>794</v>
      </c>
      <c r="F456">
        <v>58</v>
      </c>
      <c r="G456">
        <f t="shared" si="20"/>
        <v>50</v>
      </c>
      <c r="H456">
        <f t="shared" si="21"/>
        <v>50</v>
      </c>
      <c r="I456" s="13" t="s">
        <v>357</v>
      </c>
    </row>
    <row r="457" spans="1:9" x14ac:dyDescent="0.15">
      <c r="A457" t="s">
        <v>337</v>
      </c>
      <c r="B457" t="s">
        <v>795</v>
      </c>
      <c r="C457">
        <v>2</v>
      </c>
      <c r="D457" t="s">
        <v>353</v>
      </c>
      <c r="E457" t="s">
        <v>795</v>
      </c>
      <c r="F457">
        <v>2</v>
      </c>
      <c r="G457">
        <f t="shared" si="20"/>
        <v>0</v>
      </c>
      <c r="H457">
        <f t="shared" si="21"/>
        <v>0</v>
      </c>
      <c r="I457" t="str">
        <f>IF(G457&lt;&gt;0,"Due to CMP filter","")</f>
        <v/>
      </c>
    </row>
    <row r="458" spans="1:9" x14ac:dyDescent="0.15">
      <c r="A458" t="s">
        <v>337</v>
      </c>
      <c r="B458" t="s">
        <v>796</v>
      </c>
      <c r="C458">
        <v>1</v>
      </c>
      <c r="D458" t="s">
        <v>353</v>
      </c>
      <c r="E458" t="s">
        <v>796</v>
      </c>
      <c r="F458">
        <v>1</v>
      </c>
      <c r="G458">
        <f t="shared" si="20"/>
        <v>0</v>
      </c>
      <c r="H458">
        <f t="shared" si="21"/>
        <v>0</v>
      </c>
      <c r="I458" t="str">
        <f>IF(G458&lt;&gt;0,"Due to CMP filter","")</f>
        <v/>
      </c>
    </row>
    <row r="459" spans="1:9" x14ac:dyDescent="0.15">
      <c r="A459" t="s">
        <v>337</v>
      </c>
      <c r="B459" t="s">
        <v>797</v>
      </c>
      <c r="C459">
        <v>502577</v>
      </c>
      <c r="D459" t="s">
        <v>353</v>
      </c>
      <c r="E459" t="s">
        <v>797</v>
      </c>
      <c r="F459">
        <v>502571</v>
      </c>
      <c r="G459">
        <f t="shared" si="20"/>
        <v>6</v>
      </c>
      <c r="H459">
        <f t="shared" si="21"/>
        <v>6</v>
      </c>
      <c r="I459" s="13" t="s">
        <v>357</v>
      </c>
    </row>
    <row r="460" spans="1:9" x14ac:dyDescent="0.15">
      <c r="A460" t="s">
        <v>337</v>
      </c>
      <c r="B460" t="s">
        <v>798</v>
      </c>
      <c r="C460">
        <v>2</v>
      </c>
      <c r="D460" t="s">
        <v>353</v>
      </c>
      <c r="E460" t="s">
        <v>798</v>
      </c>
      <c r="F460">
        <v>2</v>
      </c>
      <c r="G460">
        <f t="shared" si="20"/>
        <v>0</v>
      </c>
      <c r="H460">
        <f t="shared" si="21"/>
        <v>0</v>
      </c>
      <c r="I460" t="str">
        <f>IF(G460&lt;&gt;0,"Due to CMP filter","")</f>
        <v/>
      </c>
    </row>
    <row r="461" spans="1:9" x14ac:dyDescent="0.15">
      <c r="A461" t="s">
        <v>337</v>
      </c>
      <c r="B461" t="s">
        <v>799</v>
      </c>
      <c r="C461">
        <v>262517</v>
      </c>
      <c r="D461" t="s">
        <v>353</v>
      </c>
      <c r="E461" t="s">
        <v>799</v>
      </c>
      <c r="F461">
        <v>262517</v>
      </c>
      <c r="G461">
        <f t="shared" si="20"/>
        <v>0</v>
      </c>
      <c r="H461">
        <f t="shared" si="21"/>
        <v>0</v>
      </c>
      <c r="I461" t="str">
        <f>IF(G461&lt;&gt;0,"Due to CMP filter","")</f>
        <v/>
      </c>
    </row>
    <row r="462" spans="1:9" x14ac:dyDescent="0.15">
      <c r="A462" t="s">
        <v>337</v>
      </c>
      <c r="B462" t="s">
        <v>800</v>
      </c>
      <c r="C462">
        <v>256600</v>
      </c>
      <c r="D462" t="s">
        <v>353</v>
      </c>
      <c r="E462" t="s">
        <v>800</v>
      </c>
      <c r="F462">
        <v>256599</v>
      </c>
      <c r="G462">
        <f t="shared" si="20"/>
        <v>1</v>
      </c>
      <c r="H462">
        <f t="shared" si="21"/>
        <v>1</v>
      </c>
      <c r="I462" s="13" t="s">
        <v>357</v>
      </c>
    </row>
    <row r="463" spans="1:9" x14ac:dyDescent="0.15">
      <c r="A463" t="s">
        <v>337</v>
      </c>
      <c r="B463" t="s">
        <v>801</v>
      </c>
      <c r="C463">
        <v>20</v>
      </c>
      <c r="D463" t="s">
        <v>353</v>
      </c>
      <c r="E463" t="s">
        <v>801</v>
      </c>
      <c r="F463">
        <v>20</v>
      </c>
      <c r="G463">
        <f t="shared" si="20"/>
        <v>0</v>
      </c>
      <c r="H463">
        <f t="shared" si="21"/>
        <v>0</v>
      </c>
      <c r="I463" t="str">
        <f>IF(G463&lt;&gt;0,"Due to CMP filter","")</f>
        <v/>
      </c>
    </row>
    <row r="464" spans="1:9" x14ac:dyDescent="0.15">
      <c r="A464" t="s">
        <v>337</v>
      </c>
      <c r="B464" t="s">
        <v>802</v>
      </c>
      <c r="C464">
        <v>2</v>
      </c>
      <c r="D464" t="s">
        <v>353</v>
      </c>
      <c r="E464" t="s">
        <v>802</v>
      </c>
      <c r="F464">
        <v>2</v>
      </c>
      <c r="G464">
        <f t="shared" si="20"/>
        <v>0</v>
      </c>
      <c r="H464">
        <f t="shared" si="21"/>
        <v>0</v>
      </c>
    </row>
    <row r="465" spans="1:9" x14ac:dyDescent="0.15">
      <c r="A465" t="s">
        <v>337</v>
      </c>
      <c r="B465" t="s">
        <v>803</v>
      </c>
      <c r="C465">
        <v>121313</v>
      </c>
      <c r="D465" t="s">
        <v>353</v>
      </c>
      <c r="E465" t="s">
        <v>803</v>
      </c>
      <c r="F465">
        <v>121313</v>
      </c>
      <c r="G465">
        <f t="shared" ref="G465:G515" si="25">C465-F465</f>
        <v>0</v>
      </c>
      <c r="H465">
        <f t="shared" ref="H465:H515" si="26">IF(OR(C465=0, F465=0), 0, C465-F465)</f>
        <v>0</v>
      </c>
    </row>
    <row r="466" spans="1:9" x14ac:dyDescent="0.15">
      <c r="A466" t="s">
        <v>337</v>
      </c>
      <c r="B466" t="s">
        <v>804</v>
      </c>
      <c r="C466">
        <v>236159</v>
      </c>
      <c r="D466" t="s">
        <v>353</v>
      </c>
      <c r="E466" t="s">
        <v>804</v>
      </c>
      <c r="F466">
        <v>236159</v>
      </c>
      <c r="G466">
        <f t="shared" si="25"/>
        <v>0</v>
      </c>
      <c r="H466">
        <f t="shared" si="26"/>
        <v>0</v>
      </c>
    </row>
    <row r="467" spans="1:9" x14ac:dyDescent="0.15">
      <c r="A467" t="s">
        <v>337</v>
      </c>
      <c r="B467" t="s">
        <v>805</v>
      </c>
      <c r="C467">
        <v>228333</v>
      </c>
      <c r="D467" t="s">
        <v>353</v>
      </c>
      <c r="E467" t="s">
        <v>805</v>
      </c>
      <c r="F467">
        <v>228333</v>
      </c>
      <c r="G467">
        <f t="shared" si="25"/>
        <v>0</v>
      </c>
      <c r="H467">
        <f t="shared" si="26"/>
        <v>0</v>
      </c>
    </row>
    <row r="468" spans="1:9" hidden="1" x14ac:dyDescent="0.15">
      <c r="A468" t="s">
        <v>337</v>
      </c>
      <c r="B468" t="s">
        <v>806</v>
      </c>
      <c r="C468">
        <v>228310</v>
      </c>
      <c r="E468" t="s">
        <v>806</v>
      </c>
      <c r="G468">
        <f t="shared" si="25"/>
        <v>228310</v>
      </c>
      <c r="H468">
        <f t="shared" si="26"/>
        <v>0</v>
      </c>
      <c r="I468" s="13" t="s">
        <v>669</v>
      </c>
    </row>
    <row r="469" spans="1:9" hidden="1" x14ac:dyDescent="0.15">
      <c r="A469" t="s">
        <v>337</v>
      </c>
      <c r="B469" t="s">
        <v>807</v>
      </c>
      <c r="C469">
        <v>228310</v>
      </c>
      <c r="E469" t="s">
        <v>807</v>
      </c>
      <c r="G469">
        <f t="shared" si="25"/>
        <v>228310</v>
      </c>
      <c r="H469">
        <f t="shared" si="26"/>
        <v>0</v>
      </c>
      <c r="I469" s="13" t="s">
        <v>669</v>
      </c>
    </row>
    <row r="470" spans="1:9" hidden="1" x14ac:dyDescent="0.15">
      <c r="A470" t="s">
        <v>337</v>
      </c>
      <c r="B470" t="s">
        <v>808</v>
      </c>
      <c r="C470">
        <v>228310</v>
      </c>
      <c r="E470" t="s">
        <v>808</v>
      </c>
      <c r="G470">
        <f t="shared" si="25"/>
        <v>228310</v>
      </c>
      <c r="H470">
        <f t="shared" si="26"/>
        <v>0</v>
      </c>
      <c r="I470" s="13" t="s">
        <v>669</v>
      </c>
    </row>
    <row r="471" spans="1:9" hidden="1" x14ac:dyDescent="0.15">
      <c r="A471" t="s">
        <v>337</v>
      </c>
      <c r="B471" t="s">
        <v>809</v>
      </c>
      <c r="C471">
        <v>228310</v>
      </c>
      <c r="E471" t="s">
        <v>809</v>
      </c>
      <c r="G471">
        <f t="shared" si="25"/>
        <v>228310</v>
      </c>
      <c r="H471">
        <f t="shared" si="26"/>
        <v>0</v>
      </c>
      <c r="I471" s="13" t="s">
        <v>669</v>
      </c>
    </row>
    <row r="472" spans="1:9" x14ac:dyDescent="0.15">
      <c r="A472" t="s">
        <v>337</v>
      </c>
      <c r="B472" t="s">
        <v>810</v>
      </c>
      <c r="C472">
        <v>129270</v>
      </c>
      <c r="D472" t="s">
        <v>353</v>
      </c>
      <c r="E472" t="s">
        <v>810</v>
      </c>
      <c r="F472">
        <v>129270</v>
      </c>
      <c r="G472">
        <f t="shared" si="25"/>
        <v>0</v>
      </c>
      <c r="H472">
        <f t="shared" si="26"/>
        <v>0</v>
      </c>
    </row>
    <row r="473" spans="1:9" hidden="1" x14ac:dyDescent="0.15">
      <c r="A473" t="s">
        <v>337</v>
      </c>
      <c r="B473" t="s">
        <v>811</v>
      </c>
      <c r="C473">
        <v>129050</v>
      </c>
      <c r="E473" t="s">
        <v>811</v>
      </c>
      <c r="G473">
        <f t="shared" si="25"/>
        <v>129050</v>
      </c>
      <c r="H473">
        <f t="shared" si="26"/>
        <v>0</v>
      </c>
      <c r="I473" s="13" t="s">
        <v>669</v>
      </c>
    </row>
    <row r="474" spans="1:9" hidden="1" x14ac:dyDescent="0.15">
      <c r="A474" t="s">
        <v>337</v>
      </c>
      <c r="B474" t="s">
        <v>812</v>
      </c>
      <c r="C474">
        <v>125918</v>
      </c>
      <c r="E474" t="s">
        <v>812</v>
      </c>
      <c r="G474">
        <f t="shared" si="25"/>
        <v>125918</v>
      </c>
      <c r="H474">
        <f t="shared" si="26"/>
        <v>0</v>
      </c>
      <c r="I474" s="13" t="s">
        <v>669</v>
      </c>
    </row>
    <row r="475" spans="1:9" hidden="1" x14ac:dyDescent="0.15">
      <c r="A475" t="s">
        <v>337</v>
      </c>
      <c r="B475" t="s">
        <v>813</v>
      </c>
      <c r="C475">
        <v>129050</v>
      </c>
      <c r="E475" t="s">
        <v>813</v>
      </c>
      <c r="G475">
        <f t="shared" si="25"/>
        <v>129050</v>
      </c>
      <c r="H475">
        <f t="shared" si="26"/>
        <v>0</v>
      </c>
      <c r="I475" s="13" t="s">
        <v>669</v>
      </c>
    </row>
    <row r="476" spans="1:9" hidden="1" x14ac:dyDescent="0.15">
      <c r="A476" t="s">
        <v>337</v>
      </c>
      <c r="B476" t="s">
        <v>814</v>
      </c>
      <c r="C476">
        <v>129050</v>
      </c>
      <c r="E476" t="s">
        <v>814</v>
      </c>
      <c r="G476">
        <f t="shared" si="25"/>
        <v>129050</v>
      </c>
      <c r="H476">
        <f t="shared" si="26"/>
        <v>0</v>
      </c>
      <c r="I476" s="13" t="s">
        <v>669</v>
      </c>
    </row>
    <row r="477" spans="1:9" x14ac:dyDescent="0.15">
      <c r="A477" t="s">
        <v>337</v>
      </c>
      <c r="B477" t="s">
        <v>815</v>
      </c>
      <c r="C477">
        <v>51</v>
      </c>
      <c r="D477" t="s">
        <v>353</v>
      </c>
      <c r="E477" t="s">
        <v>815</v>
      </c>
      <c r="F477">
        <v>51</v>
      </c>
      <c r="G477">
        <f t="shared" si="25"/>
        <v>0</v>
      </c>
      <c r="H477">
        <f t="shared" si="26"/>
        <v>0</v>
      </c>
      <c r="I477" t="str">
        <f>IF(G477&lt;&gt;0,"Due to CMP filter","")</f>
        <v/>
      </c>
    </row>
    <row r="478" spans="1:9" x14ac:dyDescent="0.15">
      <c r="A478" t="s">
        <v>337</v>
      </c>
      <c r="B478" t="s">
        <v>816</v>
      </c>
      <c r="C478">
        <v>121</v>
      </c>
      <c r="D478" t="s">
        <v>353</v>
      </c>
      <c r="E478" t="s">
        <v>816</v>
      </c>
      <c r="F478">
        <v>121</v>
      </c>
      <c r="G478">
        <f t="shared" si="25"/>
        <v>0</v>
      </c>
      <c r="H478">
        <f t="shared" si="26"/>
        <v>0</v>
      </c>
      <c r="I478" t="str">
        <f>IF(G478&lt;&gt;0,"Due to CMP filter","")</f>
        <v/>
      </c>
    </row>
    <row r="479" spans="1:9" x14ac:dyDescent="0.15">
      <c r="A479" t="s">
        <v>337</v>
      </c>
      <c r="B479" t="s">
        <v>817</v>
      </c>
      <c r="C479">
        <v>292</v>
      </c>
      <c r="D479" t="s">
        <v>353</v>
      </c>
      <c r="E479" t="s">
        <v>817</v>
      </c>
      <c r="F479">
        <v>292</v>
      </c>
      <c r="G479">
        <f t="shared" si="25"/>
        <v>0</v>
      </c>
      <c r="H479">
        <f t="shared" si="26"/>
        <v>0</v>
      </c>
      <c r="I479" t="str">
        <f>IF(G479&lt;&gt;0,"Due to CMP filter","")</f>
        <v/>
      </c>
    </row>
    <row r="480" spans="1:9" x14ac:dyDescent="0.15">
      <c r="A480" t="s">
        <v>337</v>
      </c>
      <c r="B480" t="s">
        <v>818</v>
      </c>
      <c r="C480">
        <v>616</v>
      </c>
      <c r="D480" t="s">
        <v>353</v>
      </c>
      <c r="E480" t="s">
        <v>818</v>
      </c>
      <c r="F480">
        <v>616</v>
      </c>
      <c r="G480">
        <f t="shared" si="25"/>
        <v>0</v>
      </c>
      <c r="H480">
        <f t="shared" si="26"/>
        <v>0</v>
      </c>
    </row>
    <row r="481" spans="1:9" x14ac:dyDescent="0.15">
      <c r="A481" t="s">
        <v>337</v>
      </c>
      <c r="B481" t="s">
        <v>819</v>
      </c>
      <c r="C481">
        <v>5268</v>
      </c>
      <c r="D481" t="s">
        <v>353</v>
      </c>
      <c r="E481" t="s">
        <v>819</v>
      </c>
      <c r="F481">
        <v>5268</v>
      </c>
      <c r="G481">
        <f t="shared" si="25"/>
        <v>0</v>
      </c>
      <c r="H481">
        <f t="shared" si="26"/>
        <v>0</v>
      </c>
      <c r="I481" t="str">
        <f>IF(G481&lt;&gt;0,"Due to CMP filter","")</f>
        <v/>
      </c>
    </row>
    <row r="482" spans="1:9" x14ac:dyDescent="0.15">
      <c r="A482" t="s">
        <v>337</v>
      </c>
      <c r="B482" t="s">
        <v>820</v>
      </c>
      <c r="C482">
        <v>4</v>
      </c>
      <c r="D482" t="s">
        <v>353</v>
      </c>
      <c r="E482" t="s">
        <v>820</v>
      </c>
      <c r="F482">
        <v>4</v>
      </c>
      <c r="G482">
        <f t="shared" si="25"/>
        <v>0</v>
      </c>
      <c r="H482">
        <f t="shared" si="26"/>
        <v>0</v>
      </c>
      <c r="I482" t="str">
        <f>IF(G482&lt;&gt;0,"Due to CMP filter","")</f>
        <v/>
      </c>
    </row>
    <row r="483" spans="1:9" x14ac:dyDescent="0.15">
      <c r="A483" t="s">
        <v>337</v>
      </c>
      <c r="B483" t="s">
        <v>821</v>
      </c>
      <c r="C483">
        <v>6889</v>
      </c>
      <c r="D483" t="s">
        <v>353</v>
      </c>
      <c r="E483" t="s">
        <v>821</v>
      </c>
      <c r="F483">
        <v>6885</v>
      </c>
      <c r="G483">
        <f t="shared" si="25"/>
        <v>4</v>
      </c>
      <c r="H483">
        <f t="shared" si="26"/>
        <v>4</v>
      </c>
      <c r="I483" s="13" t="s">
        <v>357</v>
      </c>
    </row>
    <row r="484" spans="1:9" x14ac:dyDescent="0.15">
      <c r="A484" t="s">
        <v>337</v>
      </c>
      <c r="B484" t="s">
        <v>822</v>
      </c>
      <c r="C484">
        <v>2</v>
      </c>
      <c r="D484" t="s">
        <v>353</v>
      </c>
      <c r="E484" t="s">
        <v>822</v>
      </c>
      <c r="F484">
        <v>2</v>
      </c>
      <c r="G484">
        <f t="shared" si="25"/>
        <v>0</v>
      </c>
      <c r="H484">
        <f t="shared" si="26"/>
        <v>0</v>
      </c>
      <c r="I484" t="str">
        <f>IF(G484&lt;&gt;0,"Due to CMP filter","")</f>
        <v/>
      </c>
    </row>
    <row r="485" spans="1:9" x14ac:dyDescent="0.15">
      <c r="A485" t="s">
        <v>337</v>
      </c>
      <c r="B485" t="s">
        <v>823</v>
      </c>
      <c r="C485">
        <v>38347</v>
      </c>
      <c r="D485" t="s">
        <v>353</v>
      </c>
      <c r="E485" t="s">
        <v>823</v>
      </c>
      <c r="F485">
        <v>38347</v>
      </c>
      <c r="G485">
        <f t="shared" si="25"/>
        <v>0</v>
      </c>
      <c r="H485">
        <f t="shared" si="26"/>
        <v>0</v>
      </c>
      <c r="I485" t="str">
        <f>IF(G485&lt;&gt;0,"Due to CMP filter","")</f>
        <v/>
      </c>
    </row>
    <row r="486" spans="1:9" x14ac:dyDescent="0.15">
      <c r="A486" t="s">
        <v>337</v>
      </c>
      <c r="B486" t="s">
        <v>824</v>
      </c>
      <c r="C486">
        <v>161</v>
      </c>
      <c r="D486" t="s">
        <v>353</v>
      </c>
      <c r="E486" t="s">
        <v>824</v>
      </c>
      <c r="F486">
        <v>160</v>
      </c>
      <c r="G486">
        <f t="shared" si="25"/>
        <v>1</v>
      </c>
      <c r="H486">
        <f t="shared" si="26"/>
        <v>1</v>
      </c>
      <c r="I486" s="13" t="s">
        <v>357</v>
      </c>
    </row>
    <row r="487" spans="1:9" x14ac:dyDescent="0.15">
      <c r="A487" t="s">
        <v>337</v>
      </c>
      <c r="B487" t="s">
        <v>825</v>
      </c>
      <c r="C487">
        <v>60079</v>
      </c>
      <c r="D487" t="s">
        <v>353</v>
      </c>
      <c r="E487" t="s">
        <v>825</v>
      </c>
      <c r="F487">
        <v>60079</v>
      </c>
      <c r="G487">
        <f t="shared" si="25"/>
        <v>0</v>
      </c>
      <c r="H487">
        <f t="shared" si="26"/>
        <v>0</v>
      </c>
      <c r="I487" t="str">
        <f t="shared" ref="I487:I512" si="27">IF(G487&lt;&gt;0,"Due to CMP filter","")</f>
        <v/>
      </c>
    </row>
    <row r="488" spans="1:9" x14ac:dyDescent="0.15">
      <c r="A488" t="s">
        <v>337</v>
      </c>
      <c r="B488" t="s">
        <v>826</v>
      </c>
      <c r="C488">
        <v>265442</v>
      </c>
      <c r="D488" t="s">
        <v>353</v>
      </c>
      <c r="E488" t="s">
        <v>826</v>
      </c>
      <c r="F488">
        <v>265442</v>
      </c>
      <c r="G488">
        <f t="shared" si="25"/>
        <v>0</v>
      </c>
      <c r="H488">
        <f t="shared" si="26"/>
        <v>0</v>
      </c>
      <c r="I488" t="str">
        <f t="shared" si="27"/>
        <v/>
      </c>
    </row>
    <row r="489" spans="1:9" x14ac:dyDescent="0.15">
      <c r="A489" t="s">
        <v>337</v>
      </c>
      <c r="B489" t="s">
        <v>827</v>
      </c>
      <c r="C489">
        <v>3596</v>
      </c>
      <c r="D489" t="s">
        <v>353</v>
      </c>
      <c r="E489" t="s">
        <v>827</v>
      </c>
      <c r="F489">
        <v>3596</v>
      </c>
      <c r="G489">
        <f t="shared" si="25"/>
        <v>0</v>
      </c>
      <c r="H489">
        <f t="shared" si="26"/>
        <v>0</v>
      </c>
      <c r="I489" t="str">
        <f t="shared" si="27"/>
        <v/>
      </c>
    </row>
    <row r="490" spans="1:9" x14ac:dyDescent="0.15">
      <c r="A490" t="s">
        <v>337</v>
      </c>
      <c r="B490" t="s">
        <v>828</v>
      </c>
      <c r="C490">
        <v>553215</v>
      </c>
      <c r="D490" t="s">
        <v>353</v>
      </c>
      <c r="E490" t="s">
        <v>828</v>
      </c>
      <c r="F490">
        <v>553215</v>
      </c>
      <c r="G490">
        <f t="shared" si="25"/>
        <v>0</v>
      </c>
      <c r="H490">
        <f t="shared" si="26"/>
        <v>0</v>
      </c>
      <c r="I490" t="str">
        <f t="shared" si="27"/>
        <v/>
      </c>
    </row>
    <row r="491" spans="1:9" x14ac:dyDescent="0.15">
      <c r="A491" t="s">
        <v>337</v>
      </c>
      <c r="B491" t="s">
        <v>829</v>
      </c>
      <c r="C491">
        <v>220</v>
      </c>
      <c r="D491" t="s">
        <v>353</v>
      </c>
      <c r="E491" t="s">
        <v>829</v>
      </c>
      <c r="F491">
        <v>220</v>
      </c>
      <c r="G491">
        <f t="shared" si="25"/>
        <v>0</v>
      </c>
      <c r="H491">
        <f t="shared" si="26"/>
        <v>0</v>
      </c>
      <c r="I491" t="str">
        <f t="shared" si="27"/>
        <v/>
      </c>
    </row>
    <row r="492" spans="1:9" x14ac:dyDescent="0.15">
      <c r="A492" t="s">
        <v>337</v>
      </c>
      <c r="B492" t="s">
        <v>830</v>
      </c>
      <c r="C492">
        <v>55092</v>
      </c>
      <c r="D492" t="s">
        <v>353</v>
      </c>
      <c r="E492" t="s">
        <v>830</v>
      </c>
      <c r="F492">
        <v>55092</v>
      </c>
      <c r="G492">
        <f t="shared" si="25"/>
        <v>0</v>
      </c>
      <c r="H492">
        <f t="shared" si="26"/>
        <v>0</v>
      </c>
      <c r="I492" t="str">
        <f t="shared" si="27"/>
        <v/>
      </c>
    </row>
    <row r="493" spans="1:9" x14ac:dyDescent="0.15">
      <c r="A493" t="s">
        <v>337</v>
      </c>
      <c r="B493" t="s">
        <v>831</v>
      </c>
      <c r="C493">
        <v>525826</v>
      </c>
      <c r="D493" t="s">
        <v>353</v>
      </c>
      <c r="E493" t="s">
        <v>831</v>
      </c>
      <c r="F493">
        <v>525826</v>
      </c>
      <c r="G493">
        <f t="shared" si="25"/>
        <v>0</v>
      </c>
      <c r="H493">
        <f t="shared" si="26"/>
        <v>0</v>
      </c>
      <c r="I493" t="str">
        <f t="shared" si="27"/>
        <v/>
      </c>
    </row>
    <row r="494" spans="1:9" x14ac:dyDescent="0.15">
      <c r="A494" t="s">
        <v>337</v>
      </c>
      <c r="B494" t="s">
        <v>832</v>
      </c>
      <c r="C494">
        <v>3</v>
      </c>
      <c r="D494" t="s">
        <v>353</v>
      </c>
      <c r="E494" t="s">
        <v>832</v>
      </c>
      <c r="F494">
        <v>3</v>
      </c>
      <c r="G494">
        <f t="shared" si="25"/>
        <v>0</v>
      </c>
      <c r="H494">
        <f t="shared" si="26"/>
        <v>0</v>
      </c>
      <c r="I494" t="str">
        <f t="shared" si="27"/>
        <v/>
      </c>
    </row>
    <row r="495" spans="1:9" x14ac:dyDescent="0.15">
      <c r="A495" t="s">
        <v>337</v>
      </c>
      <c r="B495" t="s">
        <v>833</v>
      </c>
      <c r="C495">
        <v>1</v>
      </c>
      <c r="D495" t="s">
        <v>353</v>
      </c>
      <c r="E495" t="s">
        <v>833</v>
      </c>
      <c r="F495">
        <v>1</v>
      </c>
      <c r="G495">
        <f t="shared" si="25"/>
        <v>0</v>
      </c>
      <c r="H495">
        <f t="shared" si="26"/>
        <v>0</v>
      </c>
      <c r="I495" t="str">
        <f t="shared" si="27"/>
        <v/>
      </c>
    </row>
    <row r="496" spans="1:9" x14ac:dyDescent="0.15">
      <c r="A496" t="s">
        <v>337</v>
      </c>
      <c r="B496" t="s">
        <v>834</v>
      </c>
      <c r="C496">
        <v>9</v>
      </c>
      <c r="D496" t="s">
        <v>353</v>
      </c>
      <c r="E496" t="s">
        <v>834</v>
      </c>
      <c r="F496">
        <v>9</v>
      </c>
      <c r="G496">
        <f t="shared" si="25"/>
        <v>0</v>
      </c>
      <c r="H496">
        <f t="shared" si="26"/>
        <v>0</v>
      </c>
      <c r="I496" t="str">
        <f t="shared" si="27"/>
        <v/>
      </c>
    </row>
    <row r="497" spans="1:9" x14ac:dyDescent="0.15">
      <c r="A497" t="s">
        <v>337</v>
      </c>
      <c r="B497" t="s">
        <v>835</v>
      </c>
      <c r="C497">
        <v>11208</v>
      </c>
      <c r="D497" t="s">
        <v>353</v>
      </c>
      <c r="E497" t="s">
        <v>835</v>
      </c>
      <c r="F497">
        <v>11208</v>
      </c>
      <c r="G497">
        <f t="shared" si="25"/>
        <v>0</v>
      </c>
      <c r="H497">
        <f t="shared" si="26"/>
        <v>0</v>
      </c>
      <c r="I497" t="str">
        <f t="shared" si="27"/>
        <v/>
      </c>
    </row>
    <row r="498" spans="1:9" x14ac:dyDescent="0.15">
      <c r="A498" t="s">
        <v>337</v>
      </c>
      <c r="B498" t="s">
        <v>836</v>
      </c>
      <c r="C498">
        <v>11</v>
      </c>
      <c r="D498" t="s">
        <v>353</v>
      </c>
      <c r="E498" t="s">
        <v>836</v>
      </c>
      <c r="F498">
        <v>11</v>
      </c>
      <c r="G498">
        <f t="shared" si="25"/>
        <v>0</v>
      </c>
      <c r="H498">
        <f t="shared" si="26"/>
        <v>0</v>
      </c>
      <c r="I498" t="str">
        <f t="shared" si="27"/>
        <v/>
      </c>
    </row>
    <row r="499" spans="1:9" x14ac:dyDescent="0.15">
      <c r="A499" t="s">
        <v>337</v>
      </c>
      <c r="B499" t="s">
        <v>837</v>
      </c>
      <c r="C499">
        <v>45157</v>
      </c>
      <c r="D499" t="s">
        <v>353</v>
      </c>
      <c r="E499" t="s">
        <v>837</v>
      </c>
      <c r="F499">
        <v>45157</v>
      </c>
      <c r="G499">
        <f t="shared" si="25"/>
        <v>0</v>
      </c>
      <c r="H499">
        <f t="shared" si="26"/>
        <v>0</v>
      </c>
      <c r="I499" t="str">
        <f t="shared" si="27"/>
        <v/>
      </c>
    </row>
    <row r="500" spans="1:9" x14ac:dyDescent="0.15">
      <c r="A500" t="s">
        <v>337</v>
      </c>
      <c r="B500" t="s">
        <v>838</v>
      </c>
      <c r="C500">
        <v>42119</v>
      </c>
      <c r="D500" t="s">
        <v>353</v>
      </c>
      <c r="E500" t="s">
        <v>838</v>
      </c>
      <c r="F500">
        <v>42119</v>
      </c>
      <c r="G500">
        <f t="shared" si="25"/>
        <v>0</v>
      </c>
      <c r="H500">
        <f t="shared" si="26"/>
        <v>0</v>
      </c>
      <c r="I500" t="str">
        <f t="shared" si="27"/>
        <v/>
      </c>
    </row>
    <row r="501" spans="1:9" x14ac:dyDescent="0.15">
      <c r="A501" t="s">
        <v>337</v>
      </c>
      <c r="B501" t="s">
        <v>839</v>
      </c>
      <c r="C501">
        <v>62044</v>
      </c>
      <c r="D501" t="s">
        <v>353</v>
      </c>
      <c r="E501" t="s">
        <v>839</v>
      </c>
      <c r="F501">
        <v>62044</v>
      </c>
      <c r="G501">
        <f t="shared" si="25"/>
        <v>0</v>
      </c>
      <c r="H501">
        <f t="shared" si="26"/>
        <v>0</v>
      </c>
      <c r="I501" t="str">
        <f t="shared" si="27"/>
        <v/>
      </c>
    </row>
    <row r="502" spans="1:9" x14ac:dyDescent="0.15">
      <c r="A502" t="s">
        <v>337</v>
      </c>
      <c r="B502" t="s">
        <v>840</v>
      </c>
      <c r="C502">
        <v>2</v>
      </c>
      <c r="D502" t="s">
        <v>353</v>
      </c>
      <c r="E502" t="s">
        <v>840</v>
      </c>
      <c r="F502">
        <v>2</v>
      </c>
      <c r="G502">
        <f t="shared" si="25"/>
        <v>0</v>
      </c>
      <c r="H502">
        <f t="shared" si="26"/>
        <v>0</v>
      </c>
      <c r="I502" t="str">
        <f t="shared" si="27"/>
        <v/>
      </c>
    </row>
    <row r="503" spans="1:9" x14ac:dyDescent="0.15">
      <c r="A503" t="s">
        <v>337</v>
      </c>
      <c r="B503" t="s">
        <v>841</v>
      </c>
      <c r="C503">
        <v>11</v>
      </c>
      <c r="D503" t="s">
        <v>353</v>
      </c>
      <c r="E503" t="s">
        <v>841</v>
      </c>
      <c r="F503">
        <v>11</v>
      </c>
      <c r="G503">
        <f t="shared" si="25"/>
        <v>0</v>
      </c>
      <c r="H503">
        <f t="shared" si="26"/>
        <v>0</v>
      </c>
      <c r="I503" t="str">
        <f t="shared" si="27"/>
        <v/>
      </c>
    </row>
    <row r="504" spans="1:9" x14ac:dyDescent="0.15">
      <c r="A504" t="s">
        <v>337</v>
      </c>
      <c r="B504" t="s">
        <v>842</v>
      </c>
      <c r="C504">
        <v>14138</v>
      </c>
      <c r="D504" t="s">
        <v>353</v>
      </c>
      <c r="E504" t="s">
        <v>842</v>
      </c>
      <c r="F504">
        <v>14138</v>
      </c>
      <c r="G504">
        <f t="shared" si="25"/>
        <v>0</v>
      </c>
      <c r="H504">
        <f t="shared" si="26"/>
        <v>0</v>
      </c>
      <c r="I504" t="str">
        <f t="shared" si="27"/>
        <v/>
      </c>
    </row>
    <row r="505" spans="1:9" x14ac:dyDescent="0.15">
      <c r="A505" t="s">
        <v>337</v>
      </c>
      <c r="B505" t="s">
        <v>843</v>
      </c>
      <c r="C505">
        <v>266919</v>
      </c>
      <c r="D505" t="s">
        <v>353</v>
      </c>
      <c r="E505" t="s">
        <v>843</v>
      </c>
      <c r="F505">
        <v>266919</v>
      </c>
      <c r="G505">
        <f t="shared" si="25"/>
        <v>0</v>
      </c>
      <c r="H505">
        <f t="shared" si="26"/>
        <v>0</v>
      </c>
      <c r="I505" t="str">
        <f t="shared" si="27"/>
        <v/>
      </c>
    </row>
    <row r="506" spans="1:9" x14ac:dyDescent="0.15">
      <c r="A506" t="s">
        <v>337</v>
      </c>
      <c r="B506" t="s">
        <v>844</v>
      </c>
      <c r="C506">
        <v>312</v>
      </c>
      <c r="D506" t="s">
        <v>353</v>
      </c>
      <c r="E506" t="s">
        <v>844</v>
      </c>
      <c r="F506">
        <v>312</v>
      </c>
      <c r="G506">
        <f t="shared" si="25"/>
        <v>0</v>
      </c>
      <c r="H506">
        <f t="shared" si="26"/>
        <v>0</v>
      </c>
      <c r="I506" t="str">
        <f t="shared" si="27"/>
        <v/>
      </c>
    </row>
    <row r="507" spans="1:9" x14ac:dyDescent="0.15">
      <c r="A507" t="s">
        <v>337</v>
      </c>
      <c r="B507" t="s">
        <v>845</v>
      </c>
      <c r="C507">
        <v>7</v>
      </c>
      <c r="D507" t="s">
        <v>353</v>
      </c>
      <c r="E507" t="s">
        <v>845</v>
      </c>
      <c r="F507">
        <v>7</v>
      </c>
      <c r="G507">
        <f t="shared" si="25"/>
        <v>0</v>
      </c>
      <c r="H507">
        <f t="shared" si="26"/>
        <v>0</v>
      </c>
      <c r="I507" t="str">
        <f t="shared" si="27"/>
        <v/>
      </c>
    </row>
    <row r="508" spans="1:9" x14ac:dyDescent="0.15">
      <c r="A508" t="s">
        <v>337</v>
      </c>
      <c r="B508" t="s">
        <v>846</v>
      </c>
      <c r="C508">
        <v>11</v>
      </c>
      <c r="D508" t="s">
        <v>353</v>
      </c>
      <c r="E508" t="s">
        <v>846</v>
      </c>
      <c r="F508">
        <v>11</v>
      </c>
      <c r="G508">
        <f t="shared" si="25"/>
        <v>0</v>
      </c>
      <c r="H508">
        <f t="shared" si="26"/>
        <v>0</v>
      </c>
      <c r="I508" t="str">
        <f t="shared" si="27"/>
        <v/>
      </c>
    </row>
    <row r="509" spans="1:9" x14ac:dyDescent="0.15">
      <c r="A509" t="s">
        <v>337</v>
      </c>
      <c r="B509" t="s">
        <v>847</v>
      </c>
      <c r="C509">
        <v>238114</v>
      </c>
      <c r="D509" t="s">
        <v>353</v>
      </c>
      <c r="E509" t="s">
        <v>847</v>
      </c>
      <c r="F509">
        <v>238114</v>
      </c>
      <c r="G509">
        <f t="shared" si="25"/>
        <v>0</v>
      </c>
      <c r="H509">
        <f t="shared" si="26"/>
        <v>0</v>
      </c>
      <c r="I509" t="str">
        <f t="shared" si="27"/>
        <v/>
      </c>
    </row>
    <row r="510" spans="1:9" x14ac:dyDescent="0.15">
      <c r="A510" t="s">
        <v>337</v>
      </c>
      <c r="B510" t="s">
        <v>848</v>
      </c>
      <c r="C510">
        <v>115614</v>
      </c>
      <c r="D510" t="s">
        <v>353</v>
      </c>
      <c r="E510" t="s">
        <v>848</v>
      </c>
      <c r="F510">
        <v>115614</v>
      </c>
      <c r="G510">
        <f t="shared" si="25"/>
        <v>0</v>
      </c>
      <c r="H510">
        <f t="shared" si="26"/>
        <v>0</v>
      </c>
      <c r="I510" t="str">
        <f t="shared" si="27"/>
        <v/>
      </c>
    </row>
    <row r="511" spans="1:9" x14ac:dyDescent="0.15">
      <c r="A511" t="s">
        <v>337</v>
      </c>
      <c r="B511" t="s">
        <v>849</v>
      </c>
      <c r="C511">
        <v>458184</v>
      </c>
      <c r="D511" t="s">
        <v>353</v>
      </c>
      <c r="E511" t="s">
        <v>849</v>
      </c>
      <c r="F511">
        <v>458184</v>
      </c>
      <c r="G511">
        <f t="shared" si="25"/>
        <v>0</v>
      </c>
      <c r="H511">
        <f t="shared" si="26"/>
        <v>0</v>
      </c>
      <c r="I511" t="str">
        <f t="shared" si="27"/>
        <v/>
      </c>
    </row>
    <row r="512" spans="1:9" x14ac:dyDescent="0.15">
      <c r="A512" t="s">
        <v>337</v>
      </c>
      <c r="B512" t="s">
        <v>850</v>
      </c>
      <c r="C512">
        <v>1</v>
      </c>
      <c r="D512" t="s">
        <v>353</v>
      </c>
      <c r="E512" t="s">
        <v>850</v>
      </c>
      <c r="F512">
        <v>1</v>
      </c>
      <c r="G512">
        <f t="shared" si="25"/>
        <v>0</v>
      </c>
      <c r="H512">
        <f t="shared" si="26"/>
        <v>0</v>
      </c>
      <c r="I512" t="str">
        <f t="shared" si="27"/>
        <v/>
      </c>
    </row>
    <row r="513" spans="1:9" x14ac:dyDescent="0.15">
      <c r="A513" t="s">
        <v>337</v>
      </c>
      <c r="B513" t="s">
        <v>851</v>
      </c>
      <c r="C513">
        <v>45</v>
      </c>
      <c r="D513" t="s">
        <v>353</v>
      </c>
      <c r="E513" t="s">
        <v>851</v>
      </c>
      <c r="F513">
        <v>45</v>
      </c>
      <c r="G513">
        <f t="shared" si="25"/>
        <v>0</v>
      </c>
      <c r="H513">
        <f t="shared" si="26"/>
        <v>0</v>
      </c>
    </row>
    <row r="514" spans="1:9" x14ac:dyDescent="0.15">
      <c r="A514" t="s">
        <v>337</v>
      </c>
      <c r="B514" t="s">
        <v>852</v>
      </c>
      <c r="C514">
        <v>1943</v>
      </c>
      <c r="D514" t="s">
        <v>353</v>
      </c>
      <c r="E514" t="s">
        <v>852</v>
      </c>
      <c r="F514">
        <v>1943</v>
      </c>
      <c r="G514">
        <f t="shared" si="25"/>
        <v>0</v>
      </c>
      <c r="H514">
        <f t="shared" si="26"/>
        <v>0</v>
      </c>
    </row>
    <row r="515" spans="1:9" x14ac:dyDescent="0.15">
      <c r="A515" t="s">
        <v>337</v>
      </c>
      <c r="B515" t="s">
        <v>853</v>
      </c>
      <c r="C515">
        <v>464453</v>
      </c>
      <c r="D515" t="s">
        <v>353</v>
      </c>
      <c r="E515" t="s">
        <v>853</v>
      </c>
      <c r="F515">
        <v>464453</v>
      </c>
      <c r="G515">
        <f t="shared" si="25"/>
        <v>0</v>
      </c>
      <c r="H515">
        <f t="shared" si="26"/>
        <v>0</v>
      </c>
    </row>
    <row r="516" spans="1:9" hidden="1" x14ac:dyDescent="0.15"/>
    <row r="517" spans="1:9" hidden="1" x14ac:dyDescent="0.15"/>
    <row r="518" spans="1:9" hidden="1" x14ac:dyDescent="0.15"/>
    <row r="519" spans="1:9" hidden="1" x14ac:dyDescent="0.15"/>
    <row r="520" spans="1:9" hidden="1" x14ac:dyDescent="0.15"/>
    <row r="521" spans="1:9" hidden="1" x14ac:dyDescent="0.15"/>
    <row r="522" spans="1:9" hidden="1" x14ac:dyDescent="0.15"/>
    <row r="523" spans="1:9" hidden="1" x14ac:dyDescent="0.15"/>
    <row r="524" spans="1:9" hidden="1" x14ac:dyDescent="0.15"/>
    <row r="525" spans="1:9" hidden="1" x14ac:dyDescent="0.15"/>
    <row r="526" spans="1:9" hidden="1" x14ac:dyDescent="0.15">
      <c r="I526" s="13"/>
    </row>
    <row r="527" spans="1:9" hidden="1" x14ac:dyDescent="0.15"/>
    <row r="528" spans="1:9" hidden="1" x14ac:dyDescent="0.15"/>
    <row r="529" hidden="1" x14ac:dyDescent="0.15"/>
    <row r="530" hidden="1" x14ac:dyDescent="0.15"/>
    <row r="531" hidden="1" x14ac:dyDescent="0.15"/>
    <row r="532" hidden="1" x14ac:dyDescent="0.15"/>
    <row r="533" hidden="1" x14ac:dyDescent="0.15"/>
    <row r="534" hidden="1" x14ac:dyDescent="0.15"/>
    <row r="535" hidden="1" x14ac:dyDescent="0.15"/>
    <row r="536" hidden="1" x14ac:dyDescent="0.15"/>
    <row r="537" hidden="1" x14ac:dyDescent="0.15"/>
    <row r="538" hidden="1" x14ac:dyDescent="0.15"/>
    <row r="539" hidden="1" x14ac:dyDescent="0.15"/>
    <row r="540" hidden="1" x14ac:dyDescent="0.15"/>
    <row r="541" hidden="1" x14ac:dyDescent="0.15"/>
    <row r="542" hidden="1" x14ac:dyDescent="0.15"/>
    <row r="543" hidden="1" x14ac:dyDescent="0.15"/>
    <row r="544" hidden="1" x14ac:dyDescent="0.15"/>
    <row r="545" hidden="1" x14ac:dyDescent="0.15"/>
    <row r="546" hidden="1" x14ac:dyDescent="0.15"/>
    <row r="547" hidden="1" x14ac:dyDescent="0.15"/>
    <row r="548" hidden="1" x14ac:dyDescent="0.15"/>
    <row r="549" hidden="1" x14ac:dyDescent="0.15"/>
    <row r="550" hidden="1" x14ac:dyDescent="0.15"/>
    <row r="551" hidden="1" x14ac:dyDescent="0.15"/>
    <row r="552" hidden="1" x14ac:dyDescent="0.15"/>
    <row r="553" hidden="1" x14ac:dyDescent="0.15"/>
    <row r="554" hidden="1" x14ac:dyDescent="0.15"/>
    <row r="555" hidden="1" x14ac:dyDescent="0.15"/>
    <row r="556" hidden="1" x14ac:dyDescent="0.15"/>
    <row r="557" hidden="1" x14ac:dyDescent="0.15"/>
    <row r="558" hidden="1" x14ac:dyDescent="0.15"/>
    <row r="559" hidden="1" x14ac:dyDescent="0.15"/>
    <row r="560" hidden="1" x14ac:dyDescent="0.15"/>
    <row r="561" hidden="1" x14ac:dyDescent="0.15"/>
    <row r="562" hidden="1" x14ac:dyDescent="0.15"/>
    <row r="563" hidden="1" x14ac:dyDescent="0.15"/>
    <row r="564" hidden="1" x14ac:dyDescent="0.15"/>
    <row r="565" hidden="1" x14ac:dyDescent="0.15"/>
    <row r="566" hidden="1" x14ac:dyDescent="0.15"/>
    <row r="567" hidden="1" x14ac:dyDescent="0.15"/>
    <row r="568" hidden="1" x14ac:dyDescent="0.15"/>
    <row r="569" hidden="1" x14ac:dyDescent="0.15"/>
    <row r="570" hidden="1" x14ac:dyDescent="0.15"/>
    <row r="571" hidden="1" x14ac:dyDescent="0.15"/>
    <row r="572" hidden="1" x14ac:dyDescent="0.15"/>
    <row r="573" hidden="1" x14ac:dyDescent="0.15"/>
    <row r="574" hidden="1" x14ac:dyDescent="0.15"/>
    <row r="575" hidden="1" x14ac:dyDescent="0.15"/>
    <row r="576" hidden="1" x14ac:dyDescent="0.15"/>
    <row r="577" hidden="1" x14ac:dyDescent="0.15"/>
    <row r="578" hidden="1" x14ac:dyDescent="0.15"/>
    <row r="579" hidden="1" x14ac:dyDescent="0.15"/>
    <row r="580" hidden="1" x14ac:dyDescent="0.15"/>
    <row r="581" hidden="1" x14ac:dyDescent="0.15"/>
    <row r="582" hidden="1" x14ac:dyDescent="0.15"/>
    <row r="583" hidden="1" x14ac:dyDescent="0.15"/>
    <row r="584" hidden="1" x14ac:dyDescent="0.15"/>
    <row r="585" hidden="1" x14ac:dyDescent="0.15"/>
    <row r="586" hidden="1" x14ac:dyDescent="0.15"/>
    <row r="587" hidden="1" x14ac:dyDescent="0.15"/>
    <row r="588" hidden="1" x14ac:dyDescent="0.15"/>
    <row r="589" hidden="1" x14ac:dyDescent="0.15"/>
    <row r="590" hidden="1" x14ac:dyDescent="0.15"/>
    <row r="591" hidden="1" x14ac:dyDescent="0.15"/>
    <row r="592" hidden="1" x14ac:dyDescent="0.15"/>
    <row r="593" spans="9:9" hidden="1" x14ac:dyDescent="0.15">
      <c r="I593" s="13"/>
    </row>
    <row r="594" spans="9:9" hidden="1" x14ac:dyDescent="0.15"/>
    <row r="595" spans="9:9" hidden="1" x14ac:dyDescent="0.15"/>
    <row r="596" spans="9:9" hidden="1" x14ac:dyDescent="0.15"/>
    <row r="597" spans="9:9" hidden="1" x14ac:dyDescent="0.15"/>
    <row r="598" spans="9:9" hidden="1" x14ac:dyDescent="0.15"/>
    <row r="599" spans="9:9" hidden="1" x14ac:dyDescent="0.15"/>
    <row r="600" spans="9:9" hidden="1" x14ac:dyDescent="0.15"/>
    <row r="601" spans="9:9" hidden="1" x14ac:dyDescent="0.15"/>
    <row r="602" spans="9:9" hidden="1" x14ac:dyDescent="0.15"/>
    <row r="603" spans="9:9" hidden="1" x14ac:dyDescent="0.15"/>
    <row r="604" spans="9:9" hidden="1" x14ac:dyDescent="0.15"/>
    <row r="605" spans="9:9" hidden="1" x14ac:dyDescent="0.15"/>
    <row r="606" spans="9:9" hidden="1" x14ac:dyDescent="0.15"/>
    <row r="607" spans="9:9" hidden="1" x14ac:dyDescent="0.15"/>
    <row r="608" spans="9:9" hidden="1" x14ac:dyDescent="0.15"/>
    <row r="609" hidden="1" x14ac:dyDescent="0.15"/>
    <row r="610" hidden="1" x14ac:dyDescent="0.15"/>
    <row r="611" hidden="1" x14ac:dyDescent="0.15"/>
    <row r="612" hidden="1" x14ac:dyDescent="0.15"/>
    <row r="613" hidden="1" x14ac:dyDescent="0.15"/>
    <row r="614" hidden="1" x14ac:dyDescent="0.15"/>
    <row r="615" hidden="1" x14ac:dyDescent="0.15"/>
    <row r="616" hidden="1" x14ac:dyDescent="0.15"/>
    <row r="617" hidden="1" x14ac:dyDescent="0.15"/>
    <row r="618" hidden="1" x14ac:dyDescent="0.15"/>
    <row r="619" hidden="1" x14ac:dyDescent="0.15"/>
    <row r="620" hidden="1" x14ac:dyDescent="0.15"/>
    <row r="621" hidden="1" x14ac:dyDescent="0.15"/>
    <row r="622" hidden="1" x14ac:dyDescent="0.15"/>
    <row r="623" hidden="1" x14ac:dyDescent="0.15"/>
    <row r="624" hidden="1" x14ac:dyDescent="0.15"/>
    <row r="625" hidden="1" x14ac:dyDescent="0.15"/>
    <row r="626" hidden="1" x14ac:dyDescent="0.15"/>
    <row r="627" hidden="1" x14ac:dyDescent="0.15"/>
    <row r="628" hidden="1" x14ac:dyDescent="0.15"/>
    <row r="629" hidden="1" x14ac:dyDescent="0.15"/>
    <row r="630" hidden="1" x14ac:dyDescent="0.15"/>
    <row r="631" hidden="1" x14ac:dyDescent="0.15"/>
    <row r="632" hidden="1" x14ac:dyDescent="0.15"/>
    <row r="633" hidden="1" x14ac:dyDescent="0.15"/>
    <row r="634" hidden="1" x14ac:dyDescent="0.15"/>
    <row r="635" hidden="1" x14ac:dyDescent="0.15"/>
    <row r="636" hidden="1" x14ac:dyDescent="0.15"/>
    <row r="637" hidden="1" x14ac:dyDescent="0.15"/>
    <row r="638" hidden="1" x14ac:dyDescent="0.15"/>
    <row r="639" hidden="1" x14ac:dyDescent="0.15"/>
    <row r="640" hidden="1" x14ac:dyDescent="0.15"/>
    <row r="641" hidden="1" x14ac:dyDescent="0.15"/>
    <row r="642" hidden="1" x14ac:dyDescent="0.15"/>
    <row r="643" hidden="1" x14ac:dyDescent="0.15"/>
    <row r="644" hidden="1" x14ac:dyDescent="0.15"/>
    <row r="645" hidden="1" x14ac:dyDescent="0.15"/>
    <row r="646" hidden="1" x14ac:dyDescent="0.15"/>
    <row r="647" hidden="1" x14ac:dyDescent="0.15"/>
    <row r="648" hidden="1" x14ac:dyDescent="0.15"/>
    <row r="649" hidden="1" x14ac:dyDescent="0.15"/>
    <row r="650" hidden="1" x14ac:dyDescent="0.15"/>
    <row r="651" hidden="1" x14ac:dyDescent="0.15"/>
    <row r="652" hidden="1" x14ac:dyDescent="0.15"/>
    <row r="653" hidden="1" x14ac:dyDescent="0.15"/>
    <row r="654" hidden="1" x14ac:dyDescent="0.15"/>
    <row r="655" hidden="1" x14ac:dyDescent="0.15"/>
    <row r="656" hidden="1" x14ac:dyDescent="0.15"/>
    <row r="657" spans="9:9" hidden="1" x14ac:dyDescent="0.15"/>
    <row r="658" spans="9:9" hidden="1" x14ac:dyDescent="0.15"/>
    <row r="659" spans="9:9" hidden="1" x14ac:dyDescent="0.15"/>
    <row r="660" spans="9:9" hidden="1" x14ac:dyDescent="0.15"/>
    <row r="661" spans="9:9" hidden="1" x14ac:dyDescent="0.15">
      <c r="I661" s="13"/>
    </row>
    <row r="662" spans="9:9" hidden="1" x14ac:dyDescent="0.15"/>
    <row r="663" spans="9:9" hidden="1" x14ac:dyDescent="0.15"/>
    <row r="664" spans="9:9" hidden="1" x14ac:dyDescent="0.15"/>
    <row r="665" spans="9:9" hidden="1" x14ac:dyDescent="0.15"/>
    <row r="666" spans="9:9" hidden="1" x14ac:dyDescent="0.15"/>
    <row r="667" spans="9:9" hidden="1" x14ac:dyDescent="0.15"/>
    <row r="668" spans="9:9" hidden="1" x14ac:dyDescent="0.15"/>
    <row r="669" spans="9:9" hidden="1" x14ac:dyDescent="0.15"/>
    <row r="670" spans="9:9" hidden="1" x14ac:dyDescent="0.15"/>
    <row r="671" spans="9:9" hidden="1" x14ac:dyDescent="0.15"/>
    <row r="672" spans="9:9" hidden="1" x14ac:dyDescent="0.15"/>
    <row r="673" hidden="1" x14ac:dyDescent="0.15"/>
    <row r="674" hidden="1" x14ac:dyDescent="0.15"/>
    <row r="675" hidden="1" x14ac:dyDescent="0.15"/>
    <row r="676" hidden="1" x14ac:dyDescent="0.15"/>
    <row r="677" hidden="1" x14ac:dyDescent="0.15"/>
    <row r="678" hidden="1" x14ac:dyDescent="0.15"/>
    <row r="679" hidden="1" x14ac:dyDescent="0.15"/>
    <row r="680" hidden="1" x14ac:dyDescent="0.15"/>
    <row r="681" hidden="1" x14ac:dyDescent="0.15"/>
    <row r="682" hidden="1" x14ac:dyDescent="0.15"/>
    <row r="683" hidden="1" x14ac:dyDescent="0.15"/>
    <row r="684" hidden="1" x14ac:dyDescent="0.15"/>
    <row r="685" hidden="1" x14ac:dyDescent="0.15"/>
    <row r="686" hidden="1" x14ac:dyDescent="0.15"/>
    <row r="687" hidden="1" x14ac:dyDescent="0.15"/>
    <row r="688" hidden="1" x14ac:dyDescent="0.15"/>
    <row r="689" spans="9:9" hidden="1" x14ac:dyDescent="0.15"/>
    <row r="690" spans="9:9" hidden="1" x14ac:dyDescent="0.15"/>
    <row r="691" spans="9:9" hidden="1" x14ac:dyDescent="0.15"/>
    <row r="692" spans="9:9" hidden="1" x14ac:dyDescent="0.15"/>
    <row r="693" spans="9:9" hidden="1" x14ac:dyDescent="0.15"/>
    <row r="694" spans="9:9" hidden="1" x14ac:dyDescent="0.15"/>
    <row r="695" spans="9:9" hidden="1" x14ac:dyDescent="0.15"/>
    <row r="696" spans="9:9" hidden="1" x14ac:dyDescent="0.15"/>
    <row r="697" spans="9:9" hidden="1" x14ac:dyDescent="0.15"/>
    <row r="698" spans="9:9" hidden="1" x14ac:dyDescent="0.15"/>
    <row r="699" spans="9:9" hidden="1" x14ac:dyDescent="0.15"/>
    <row r="700" spans="9:9" hidden="1" x14ac:dyDescent="0.15">
      <c r="I700" s="13"/>
    </row>
    <row r="701" spans="9:9" hidden="1" x14ac:dyDescent="0.15">
      <c r="I701" s="13"/>
    </row>
    <row r="702" spans="9:9" hidden="1" x14ac:dyDescent="0.15"/>
    <row r="703" spans="9:9" hidden="1" x14ac:dyDescent="0.15"/>
    <row r="704" spans="9:9" hidden="1" x14ac:dyDescent="0.15"/>
    <row r="705" hidden="1" x14ac:dyDescent="0.15"/>
    <row r="706" hidden="1" x14ac:dyDescent="0.15"/>
    <row r="707" hidden="1" x14ac:dyDescent="0.15"/>
    <row r="708" hidden="1" x14ac:dyDescent="0.15"/>
    <row r="709" hidden="1" x14ac:dyDescent="0.15"/>
    <row r="710" hidden="1" x14ac:dyDescent="0.15"/>
    <row r="711" hidden="1" x14ac:dyDescent="0.15"/>
    <row r="712" hidden="1" x14ac:dyDescent="0.15"/>
    <row r="713" hidden="1" x14ac:dyDescent="0.15"/>
    <row r="714" hidden="1" x14ac:dyDescent="0.15"/>
    <row r="715" hidden="1" x14ac:dyDescent="0.15"/>
    <row r="716" hidden="1" x14ac:dyDescent="0.15"/>
    <row r="717" hidden="1" x14ac:dyDescent="0.15"/>
    <row r="718" hidden="1" x14ac:dyDescent="0.15"/>
    <row r="719" hidden="1" x14ac:dyDescent="0.15"/>
    <row r="720" hidden="1" x14ac:dyDescent="0.15"/>
    <row r="721" hidden="1" x14ac:dyDescent="0.15"/>
    <row r="722" hidden="1" x14ac:dyDescent="0.15"/>
    <row r="723" hidden="1" x14ac:dyDescent="0.15"/>
    <row r="724" hidden="1" x14ac:dyDescent="0.15"/>
    <row r="725" hidden="1" x14ac:dyDescent="0.15"/>
    <row r="726" hidden="1" x14ac:dyDescent="0.15"/>
    <row r="727" hidden="1" x14ac:dyDescent="0.15"/>
    <row r="728" hidden="1" x14ac:dyDescent="0.15"/>
    <row r="729" hidden="1" x14ac:dyDescent="0.15"/>
    <row r="730" hidden="1" x14ac:dyDescent="0.15"/>
    <row r="731" hidden="1" x14ac:dyDescent="0.15"/>
    <row r="732" hidden="1" x14ac:dyDescent="0.15"/>
    <row r="733" hidden="1" x14ac:dyDescent="0.15"/>
    <row r="734" hidden="1" x14ac:dyDescent="0.15"/>
    <row r="735" hidden="1" x14ac:dyDescent="0.15"/>
    <row r="736" hidden="1" x14ac:dyDescent="0.15"/>
    <row r="737" hidden="1" x14ac:dyDescent="0.15"/>
    <row r="738" hidden="1" x14ac:dyDescent="0.15"/>
    <row r="739" hidden="1" x14ac:dyDescent="0.15"/>
    <row r="740" hidden="1" x14ac:dyDescent="0.15"/>
    <row r="741" hidden="1" x14ac:dyDescent="0.15"/>
    <row r="742" hidden="1" x14ac:dyDescent="0.15"/>
    <row r="743" hidden="1" x14ac:dyDescent="0.15"/>
    <row r="744" hidden="1" x14ac:dyDescent="0.15"/>
    <row r="745" hidden="1" x14ac:dyDescent="0.15"/>
    <row r="746" hidden="1" x14ac:dyDescent="0.15"/>
    <row r="747" hidden="1" x14ac:dyDescent="0.15"/>
    <row r="748" hidden="1" x14ac:dyDescent="0.15"/>
    <row r="749" hidden="1" x14ac:dyDescent="0.15"/>
    <row r="750" hidden="1" x14ac:dyDescent="0.15"/>
    <row r="751" hidden="1" x14ac:dyDescent="0.15"/>
    <row r="752" hidden="1" x14ac:dyDescent="0.15"/>
    <row r="753" hidden="1" x14ac:dyDescent="0.15"/>
    <row r="754" hidden="1" x14ac:dyDescent="0.15"/>
    <row r="755" hidden="1" x14ac:dyDescent="0.15"/>
    <row r="756" hidden="1" x14ac:dyDescent="0.15"/>
    <row r="757" hidden="1" x14ac:dyDescent="0.15"/>
    <row r="758" hidden="1" x14ac:dyDescent="0.15"/>
    <row r="759" hidden="1" x14ac:dyDescent="0.15"/>
    <row r="760" hidden="1" x14ac:dyDescent="0.15"/>
    <row r="761" hidden="1" x14ac:dyDescent="0.15"/>
    <row r="762" hidden="1" x14ac:dyDescent="0.15"/>
    <row r="763" hidden="1" x14ac:dyDescent="0.15"/>
    <row r="764" hidden="1" x14ac:dyDescent="0.15"/>
    <row r="765" hidden="1" x14ac:dyDescent="0.15"/>
    <row r="766" hidden="1" x14ac:dyDescent="0.15"/>
    <row r="767" hidden="1" x14ac:dyDescent="0.15"/>
    <row r="768" hidden="1" x14ac:dyDescent="0.15"/>
    <row r="769" hidden="1" x14ac:dyDescent="0.15"/>
    <row r="770" hidden="1" x14ac:dyDescent="0.15"/>
    <row r="771" hidden="1" x14ac:dyDescent="0.15"/>
    <row r="772" hidden="1" x14ac:dyDescent="0.15"/>
    <row r="773" hidden="1" x14ac:dyDescent="0.15"/>
    <row r="774" hidden="1" x14ac:dyDescent="0.15"/>
    <row r="775" hidden="1" x14ac:dyDescent="0.15"/>
    <row r="776" hidden="1" x14ac:dyDescent="0.15"/>
    <row r="777" hidden="1" x14ac:dyDescent="0.15"/>
    <row r="778" hidden="1" x14ac:dyDescent="0.15"/>
    <row r="779" hidden="1" x14ac:dyDescent="0.15"/>
    <row r="780" hidden="1" x14ac:dyDescent="0.15"/>
    <row r="781" hidden="1" x14ac:dyDescent="0.15"/>
    <row r="782" hidden="1" x14ac:dyDescent="0.15"/>
    <row r="783" hidden="1" x14ac:dyDescent="0.15"/>
    <row r="784" hidden="1" x14ac:dyDescent="0.15"/>
    <row r="785" hidden="1" x14ac:dyDescent="0.15"/>
    <row r="786" hidden="1" x14ac:dyDescent="0.15"/>
    <row r="787" hidden="1" x14ac:dyDescent="0.15"/>
    <row r="788" hidden="1" x14ac:dyDescent="0.15"/>
    <row r="789" hidden="1" x14ac:dyDescent="0.15"/>
    <row r="790" hidden="1" x14ac:dyDescent="0.15"/>
    <row r="791" hidden="1" x14ac:dyDescent="0.15"/>
    <row r="792" hidden="1" x14ac:dyDescent="0.15"/>
    <row r="793" hidden="1" x14ac:dyDescent="0.15"/>
    <row r="794" hidden="1" x14ac:dyDescent="0.15"/>
    <row r="795" hidden="1" x14ac:dyDescent="0.15"/>
    <row r="796" hidden="1" x14ac:dyDescent="0.15"/>
    <row r="797" hidden="1" x14ac:dyDescent="0.15"/>
    <row r="798" hidden="1" x14ac:dyDescent="0.15"/>
    <row r="799" hidden="1" x14ac:dyDescent="0.15"/>
    <row r="800" hidden="1" x14ac:dyDescent="0.15"/>
    <row r="801" spans="9:9" hidden="1" x14ac:dyDescent="0.15"/>
    <row r="802" spans="9:9" hidden="1" x14ac:dyDescent="0.15"/>
    <row r="803" spans="9:9" hidden="1" x14ac:dyDescent="0.15"/>
    <row r="804" spans="9:9" hidden="1" x14ac:dyDescent="0.15"/>
    <row r="805" spans="9:9" hidden="1" x14ac:dyDescent="0.15"/>
    <row r="806" spans="9:9" hidden="1" x14ac:dyDescent="0.15"/>
    <row r="807" spans="9:9" hidden="1" x14ac:dyDescent="0.15"/>
    <row r="808" spans="9:9" hidden="1" x14ac:dyDescent="0.15"/>
    <row r="809" spans="9:9" hidden="1" x14ac:dyDescent="0.15"/>
    <row r="810" spans="9:9" hidden="1" x14ac:dyDescent="0.15"/>
    <row r="811" spans="9:9" hidden="1" x14ac:dyDescent="0.15"/>
    <row r="812" spans="9:9" hidden="1" x14ac:dyDescent="0.15"/>
    <row r="813" spans="9:9" hidden="1" x14ac:dyDescent="0.15"/>
    <row r="814" spans="9:9" hidden="1" x14ac:dyDescent="0.15">
      <c r="I814" s="13"/>
    </row>
    <row r="815" spans="9:9" hidden="1" x14ac:dyDescent="0.15">
      <c r="I815" s="13"/>
    </row>
    <row r="816" spans="9:9" hidden="1" x14ac:dyDescent="0.15"/>
    <row r="817" hidden="1" x14ac:dyDescent="0.15"/>
    <row r="818" hidden="1" x14ac:dyDescent="0.15"/>
    <row r="819" hidden="1" x14ac:dyDescent="0.15"/>
    <row r="820" hidden="1" x14ac:dyDescent="0.15"/>
    <row r="821" hidden="1" x14ac:dyDescent="0.15"/>
    <row r="822" hidden="1" x14ac:dyDescent="0.15"/>
    <row r="823" hidden="1" x14ac:dyDescent="0.15"/>
    <row r="824" hidden="1" x14ac:dyDescent="0.15"/>
    <row r="825" hidden="1" x14ac:dyDescent="0.15"/>
    <row r="826" hidden="1" x14ac:dyDescent="0.15"/>
    <row r="827" hidden="1" x14ac:dyDescent="0.15"/>
    <row r="828" hidden="1" x14ac:dyDescent="0.15"/>
    <row r="829" hidden="1" x14ac:dyDescent="0.15"/>
    <row r="830" hidden="1" x14ac:dyDescent="0.15"/>
    <row r="831" hidden="1" x14ac:dyDescent="0.15"/>
    <row r="832" hidden="1" x14ac:dyDescent="0.15"/>
    <row r="833" hidden="1" x14ac:dyDescent="0.15"/>
    <row r="834" hidden="1" x14ac:dyDescent="0.15"/>
    <row r="835" hidden="1" x14ac:dyDescent="0.15"/>
    <row r="836" hidden="1" x14ac:dyDescent="0.15"/>
    <row r="837" hidden="1" x14ac:dyDescent="0.15"/>
    <row r="838" hidden="1" x14ac:dyDescent="0.15"/>
    <row r="839" hidden="1" x14ac:dyDescent="0.15"/>
    <row r="840" hidden="1" x14ac:dyDescent="0.15"/>
    <row r="841" hidden="1" x14ac:dyDescent="0.15"/>
    <row r="842" hidden="1" x14ac:dyDescent="0.15"/>
    <row r="843" hidden="1" x14ac:dyDescent="0.15"/>
    <row r="844" hidden="1" x14ac:dyDescent="0.15"/>
    <row r="845" hidden="1" x14ac:dyDescent="0.15"/>
    <row r="846" hidden="1" x14ac:dyDescent="0.15"/>
    <row r="847" hidden="1" x14ac:dyDescent="0.15"/>
    <row r="848" hidden="1" x14ac:dyDescent="0.15"/>
    <row r="849" hidden="1" x14ac:dyDescent="0.15"/>
    <row r="850" hidden="1" x14ac:dyDescent="0.15"/>
    <row r="851" hidden="1" x14ac:dyDescent="0.15"/>
    <row r="852" hidden="1" x14ac:dyDescent="0.15"/>
    <row r="853" hidden="1" x14ac:dyDescent="0.15"/>
    <row r="854" hidden="1" x14ac:dyDescent="0.15"/>
    <row r="855" hidden="1" x14ac:dyDescent="0.15"/>
    <row r="856" hidden="1" x14ac:dyDescent="0.15"/>
    <row r="857" hidden="1" x14ac:dyDescent="0.15"/>
    <row r="858" hidden="1" x14ac:dyDescent="0.15"/>
    <row r="859" hidden="1" x14ac:dyDescent="0.15"/>
    <row r="860" hidden="1" x14ac:dyDescent="0.15"/>
    <row r="861" hidden="1" x14ac:dyDescent="0.15"/>
    <row r="862" hidden="1" x14ac:dyDescent="0.15"/>
    <row r="863" hidden="1" x14ac:dyDescent="0.15"/>
    <row r="864" hidden="1" x14ac:dyDescent="0.15"/>
    <row r="865" hidden="1" x14ac:dyDescent="0.15"/>
    <row r="866" hidden="1" x14ac:dyDescent="0.15"/>
    <row r="867" hidden="1" x14ac:dyDescent="0.15"/>
    <row r="868" hidden="1" x14ac:dyDescent="0.15"/>
    <row r="869" hidden="1" x14ac:dyDescent="0.15"/>
    <row r="870" hidden="1" x14ac:dyDescent="0.15"/>
    <row r="871" hidden="1" x14ac:dyDescent="0.15"/>
    <row r="872" hidden="1" x14ac:dyDescent="0.15"/>
    <row r="873" hidden="1" x14ac:dyDescent="0.15"/>
    <row r="874" hidden="1" x14ac:dyDescent="0.15"/>
    <row r="875" hidden="1" x14ac:dyDescent="0.15"/>
    <row r="876" hidden="1" x14ac:dyDescent="0.15"/>
    <row r="877" hidden="1" x14ac:dyDescent="0.15"/>
    <row r="878" hidden="1" x14ac:dyDescent="0.15"/>
    <row r="879" hidden="1" x14ac:dyDescent="0.15"/>
    <row r="880" hidden="1" x14ac:dyDescent="0.15"/>
    <row r="881" hidden="1" x14ac:dyDescent="0.15"/>
    <row r="882" hidden="1" x14ac:dyDescent="0.15"/>
    <row r="883" hidden="1" x14ac:dyDescent="0.15"/>
    <row r="884" hidden="1" x14ac:dyDescent="0.15"/>
    <row r="885" hidden="1" x14ac:dyDescent="0.15"/>
    <row r="886" hidden="1" x14ac:dyDescent="0.15"/>
    <row r="887" hidden="1" x14ac:dyDescent="0.15"/>
    <row r="888" hidden="1" x14ac:dyDescent="0.15"/>
    <row r="889" hidden="1" x14ac:dyDescent="0.15"/>
    <row r="890" hidden="1" x14ac:dyDescent="0.15"/>
    <row r="891" hidden="1" x14ac:dyDescent="0.15"/>
    <row r="892" hidden="1" x14ac:dyDescent="0.15"/>
    <row r="893" hidden="1" x14ac:dyDescent="0.15"/>
    <row r="894" hidden="1" x14ac:dyDescent="0.15"/>
    <row r="895" hidden="1" x14ac:dyDescent="0.15"/>
    <row r="896" hidden="1" x14ac:dyDescent="0.15"/>
    <row r="897" hidden="1" x14ac:dyDescent="0.15"/>
    <row r="898" hidden="1" x14ac:dyDescent="0.15"/>
    <row r="899" hidden="1" x14ac:dyDescent="0.15"/>
    <row r="900" hidden="1" x14ac:dyDescent="0.15"/>
    <row r="901" hidden="1" x14ac:dyDescent="0.15"/>
    <row r="902" hidden="1" x14ac:dyDescent="0.15"/>
    <row r="903" hidden="1" x14ac:dyDescent="0.15"/>
    <row r="904" hidden="1" x14ac:dyDescent="0.15"/>
    <row r="905" hidden="1" x14ac:dyDescent="0.15"/>
    <row r="906" hidden="1" x14ac:dyDescent="0.15"/>
    <row r="907" hidden="1" x14ac:dyDescent="0.15"/>
    <row r="908" hidden="1" x14ac:dyDescent="0.15"/>
    <row r="909" hidden="1" x14ac:dyDescent="0.15"/>
    <row r="910" hidden="1" x14ac:dyDescent="0.15"/>
    <row r="911" hidden="1" x14ac:dyDescent="0.15"/>
    <row r="912" hidden="1" x14ac:dyDescent="0.15"/>
    <row r="913" hidden="1" x14ac:dyDescent="0.15"/>
    <row r="914" hidden="1" x14ac:dyDescent="0.15"/>
    <row r="915" hidden="1" x14ac:dyDescent="0.15"/>
    <row r="916" hidden="1" x14ac:dyDescent="0.15"/>
    <row r="917" hidden="1" x14ac:dyDescent="0.15"/>
    <row r="918" hidden="1" x14ac:dyDescent="0.15"/>
    <row r="919" hidden="1" x14ac:dyDescent="0.15"/>
    <row r="920" hidden="1" x14ac:dyDescent="0.15"/>
    <row r="921" hidden="1" x14ac:dyDescent="0.15"/>
    <row r="922" hidden="1" x14ac:dyDescent="0.15"/>
    <row r="923" hidden="1" x14ac:dyDescent="0.15"/>
    <row r="924" hidden="1" x14ac:dyDescent="0.15"/>
    <row r="925" hidden="1" x14ac:dyDescent="0.15"/>
    <row r="926" hidden="1" x14ac:dyDescent="0.15"/>
    <row r="927" hidden="1" x14ac:dyDescent="0.15"/>
    <row r="928" hidden="1" x14ac:dyDescent="0.15"/>
    <row r="929" hidden="1" x14ac:dyDescent="0.15"/>
    <row r="930" hidden="1" x14ac:dyDescent="0.15"/>
    <row r="931" hidden="1" x14ac:dyDescent="0.15"/>
    <row r="932" hidden="1" x14ac:dyDescent="0.15"/>
    <row r="933" hidden="1" x14ac:dyDescent="0.15"/>
    <row r="934" hidden="1" x14ac:dyDescent="0.15"/>
    <row r="935" hidden="1" x14ac:dyDescent="0.15"/>
    <row r="936" hidden="1" x14ac:dyDescent="0.15"/>
    <row r="937" hidden="1" x14ac:dyDescent="0.15"/>
    <row r="938" hidden="1" x14ac:dyDescent="0.15"/>
    <row r="939" hidden="1" x14ac:dyDescent="0.15"/>
    <row r="940" hidden="1" x14ac:dyDescent="0.15"/>
    <row r="941" hidden="1" x14ac:dyDescent="0.15"/>
    <row r="942" hidden="1" x14ac:dyDescent="0.15"/>
    <row r="943" hidden="1" x14ac:dyDescent="0.15"/>
    <row r="944" hidden="1" x14ac:dyDescent="0.15"/>
    <row r="945" hidden="1" x14ac:dyDescent="0.15"/>
    <row r="946" hidden="1" x14ac:dyDescent="0.15"/>
    <row r="947" hidden="1" x14ac:dyDescent="0.15"/>
    <row r="948" hidden="1" x14ac:dyDescent="0.15"/>
    <row r="949" hidden="1" x14ac:dyDescent="0.15"/>
    <row r="950" hidden="1" x14ac:dyDescent="0.15"/>
    <row r="951" hidden="1" x14ac:dyDescent="0.15"/>
    <row r="952" hidden="1" x14ac:dyDescent="0.15"/>
    <row r="953" hidden="1" x14ac:dyDescent="0.15"/>
    <row r="954" hidden="1" x14ac:dyDescent="0.15"/>
    <row r="955" hidden="1" x14ac:dyDescent="0.15"/>
    <row r="956" hidden="1" x14ac:dyDescent="0.15"/>
    <row r="957" hidden="1" x14ac:dyDescent="0.15"/>
    <row r="958" hidden="1" x14ac:dyDescent="0.15"/>
    <row r="959" hidden="1" x14ac:dyDescent="0.15"/>
    <row r="960" hidden="1" x14ac:dyDescent="0.15"/>
    <row r="961" hidden="1" x14ac:dyDescent="0.15"/>
    <row r="962" hidden="1" x14ac:dyDescent="0.15"/>
    <row r="963" hidden="1" x14ac:dyDescent="0.15"/>
    <row r="964" hidden="1" x14ac:dyDescent="0.15"/>
    <row r="965" hidden="1" x14ac:dyDescent="0.15"/>
    <row r="966" hidden="1" x14ac:dyDescent="0.15"/>
    <row r="967" hidden="1" x14ac:dyDescent="0.15"/>
    <row r="968" hidden="1" x14ac:dyDescent="0.15"/>
    <row r="969" hidden="1" x14ac:dyDescent="0.15"/>
    <row r="970" hidden="1" x14ac:dyDescent="0.15"/>
    <row r="971" hidden="1" x14ac:dyDescent="0.15"/>
    <row r="972" hidden="1" x14ac:dyDescent="0.15"/>
    <row r="973" hidden="1" x14ac:dyDescent="0.15"/>
    <row r="974" hidden="1" x14ac:dyDescent="0.15"/>
    <row r="975" hidden="1" x14ac:dyDescent="0.15"/>
    <row r="976" hidden="1" x14ac:dyDescent="0.15"/>
    <row r="977" hidden="1" x14ac:dyDescent="0.15"/>
    <row r="978" hidden="1" x14ac:dyDescent="0.15"/>
    <row r="979" hidden="1" x14ac:dyDescent="0.15"/>
    <row r="980" hidden="1" x14ac:dyDescent="0.15"/>
    <row r="981" hidden="1" x14ac:dyDescent="0.15"/>
    <row r="982" hidden="1" x14ac:dyDescent="0.15"/>
    <row r="983" hidden="1" x14ac:dyDescent="0.15"/>
    <row r="984" hidden="1" x14ac:dyDescent="0.15"/>
    <row r="985" hidden="1" x14ac:dyDescent="0.15"/>
    <row r="986" hidden="1" x14ac:dyDescent="0.15"/>
    <row r="987" hidden="1" x14ac:dyDescent="0.15"/>
    <row r="988" hidden="1" x14ac:dyDescent="0.15"/>
    <row r="989" hidden="1" x14ac:dyDescent="0.15"/>
    <row r="990" hidden="1" x14ac:dyDescent="0.15"/>
    <row r="991" hidden="1" x14ac:dyDescent="0.15"/>
    <row r="992" hidden="1" x14ac:dyDescent="0.15"/>
    <row r="993" spans="9:9" hidden="1" x14ac:dyDescent="0.15"/>
    <row r="994" spans="9:9" hidden="1" x14ac:dyDescent="0.15"/>
    <row r="995" spans="9:9" hidden="1" x14ac:dyDescent="0.15"/>
    <row r="996" spans="9:9" hidden="1" x14ac:dyDescent="0.15"/>
    <row r="997" spans="9:9" hidden="1" x14ac:dyDescent="0.15"/>
    <row r="998" spans="9:9" hidden="1" x14ac:dyDescent="0.15"/>
    <row r="999" spans="9:9" hidden="1" x14ac:dyDescent="0.15"/>
    <row r="1000" spans="9:9" hidden="1" x14ac:dyDescent="0.15"/>
    <row r="1001" spans="9:9" hidden="1" x14ac:dyDescent="0.15"/>
    <row r="1002" spans="9:9" hidden="1" x14ac:dyDescent="0.15"/>
    <row r="1003" spans="9:9" hidden="1" x14ac:dyDescent="0.15"/>
    <row r="1004" spans="9:9" hidden="1" x14ac:dyDescent="0.15"/>
    <row r="1005" spans="9:9" hidden="1" x14ac:dyDescent="0.15"/>
    <row r="1006" spans="9:9" hidden="1" x14ac:dyDescent="0.15">
      <c r="I1006" s="13"/>
    </row>
    <row r="1007" spans="9:9" hidden="1" x14ac:dyDescent="0.15"/>
    <row r="1008" spans="9:9" hidden="1" x14ac:dyDescent="0.15"/>
    <row r="1009" hidden="1" x14ac:dyDescent="0.15"/>
    <row r="1010" hidden="1" x14ac:dyDescent="0.15"/>
    <row r="1011" hidden="1" x14ac:dyDescent="0.15"/>
    <row r="1012" hidden="1" x14ac:dyDescent="0.15"/>
    <row r="1013" hidden="1" x14ac:dyDescent="0.15"/>
    <row r="1014" hidden="1" x14ac:dyDescent="0.15"/>
    <row r="1015" hidden="1" x14ac:dyDescent="0.15"/>
    <row r="1016" hidden="1" x14ac:dyDescent="0.15"/>
    <row r="1017" hidden="1" x14ac:dyDescent="0.15"/>
    <row r="1018" hidden="1" x14ac:dyDescent="0.15"/>
    <row r="1019" hidden="1" x14ac:dyDescent="0.15"/>
    <row r="1020" hidden="1" x14ac:dyDescent="0.15"/>
    <row r="1021" hidden="1" x14ac:dyDescent="0.15"/>
    <row r="1022" hidden="1" x14ac:dyDescent="0.15"/>
    <row r="1023" hidden="1" x14ac:dyDescent="0.15"/>
    <row r="1024" hidden="1" x14ac:dyDescent="0.15"/>
    <row r="1025" hidden="1" x14ac:dyDescent="0.15"/>
    <row r="1026" hidden="1" x14ac:dyDescent="0.15"/>
    <row r="1027" hidden="1" x14ac:dyDescent="0.15"/>
    <row r="1028" hidden="1" x14ac:dyDescent="0.15"/>
    <row r="1029" hidden="1" x14ac:dyDescent="0.15"/>
    <row r="1030" hidden="1" x14ac:dyDescent="0.15"/>
    <row r="1031" hidden="1" x14ac:dyDescent="0.15"/>
    <row r="1032" hidden="1" x14ac:dyDescent="0.15"/>
    <row r="1033" hidden="1" x14ac:dyDescent="0.15"/>
    <row r="1034" hidden="1" x14ac:dyDescent="0.15"/>
    <row r="1035" hidden="1" x14ac:dyDescent="0.15"/>
    <row r="1036" hidden="1" x14ac:dyDescent="0.15"/>
    <row r="1037" hidden="1" x14ac:dyDescent="0.15"/>
    <row r="1038" hidden="1" x14ac:dyDescent="0.15"/>
    <row r="1039" hidden="1" x14ac:dyDescent="0.15"/>
    <row r="1040" hidden="1" x14ac:dyDescent="0.15"/>
    <row r="1041" hidden="1" x14ac:dyDescent="0.15"/>
    <row r="1042" hidden="1" x14ac:dyDescent="0.15"/>
    <row r="1043" hidden="1" x14ac:dyDescent="0.15"/>
    <row r="1044" hidden="1" x14ac:dyDescent="0.15"/>
    <row r="1045" hidden="1" x14ac:dyDescent="0.15"/>
    <row r="1046" hidden="1" x14ac:dyDescent="0.15"/>
    <row r="1047" hidden="1" x14ac:dyDescent="0.15"/>
    <row r="1048" hidden="1" x14ac:dyDescent="0.15"/>
    <row r="1049" hidden="1" x14ac:dyDescent="0.15"/>
    <row r="1050" hidden="1" x14ac:dyDescent="0.15"/>
    <row r="1051" hidden="1" x14ac:dyDescent="0.15"/>
    <row r="1052" hidden="1" x14ac:dyDescent="0.15"/>
    <row r="1053" hidden="1" x14ac:dyDescent="0.15"/>
    <row r="1054" hidden="1" x14ac:dyDescent="0.15"/>
    <row r="1055" hidden="1" x14ac:dyDescent="0.15"/>
    <row r="1056" hidden="1" x14ac:dyDescent="0.15"/>
    <row r="1057" hidden="1" x14ac:dyDescent="0.15"/>
    <row r="1058" hidden="1" x14ac:dyDescent="0.15"/>
    <row r="1059" hidden="1" x14ac:dyDescent="0.15"/>
    <row r="1060" hidden="1" x14ac:dyDescent="0.15"/>
    <row r="1061" hidden="1" x14ac:dyDescent="0.15"/>
    <row r="1062" hidden="1" x14ac:dyDescent="0.15"/>
    <row r="1063" hidden="1" x14ac:dyDescent="0.15"/>
    <row r="1064" hidden="1" x14ac:dyDescent="0.15"/>
    <row r="1065" hidden="1" x14ac:dyDescent="0.15"/>
    <row r="1066" hidden="1" x14ac:dyDescent="0.15"/>
    <row r="1067" hidden="1" x14ac:dyDescent="0.15"/>
    <row r="1068" hidden="1" x14ac:dyDescent="0.15"/>
    <row r="1069" hidden="1" x14ac:dyDescent="0.15"/>
    <row r="1070" hidden="1" x14ac:dyDescent="0.15"/>
    <row r="1071" hidden="1" x14ac:dyDescent="0.15"/>
    <row r="1072" hidden="1" x14ac:dyDescent="0.15"/>
    <row r="1073" hidden="1" x14ac:dyDescent="0.15"/>
    <row r="1074" hidden="1" x14ac:dyDescent="0.15"/>
    <row r="1075" hidden="1" x14ac:dyDescent="0.15"/>
    <row r="1076" hidden="1" x14ac:dyDescent="0.15"/>
    <row r="1077" hidden="1" x14ac:dyDescent="0.15"/>
    <row r="1078" hidden="1" x14ac:dyDescent="0.15"/>
    <row r="1079" hidden="1" x14ac:dyDescent="0.15"/>
    <row r="1080" hidden="1" x14ac:dyDescent="0.15"/>
    <row r="1081" hidden="1" x14ac:dyDescent="0.15"/>
    <row r="1082" hidden="1" x14ac:dyDescent="0.15"/>
    <row r="1083" hidden="1" x14ac:dyDescent="0.15"/>
    <row r="1084" hidden="1" x14ac:dyDescent="0.15"/>
    <row r="1085" hidden="1" x14ac:dyDescent="0.15"/>
    <row r="1086" hidden="1" x14ac:dyDescent="0.15"/>
    <row r="1087" hidden="1" x14ac:dyDescent="0.15"/>
    <row r="1088" hidden="1" x14ac:dyDescent="0.15"/>
    <row r="1089" hidden="1" x14ac:dyDescent="0.15"/>
    <row r="1090" hidden="1" x14ac:dyDescent="0.15"/>
    <row r="1091" hidden="1" x14ac:dyDescent="0.15"/>
    <row r="1092" hidden="1" x14ac:dyDescent="0.15"/>
    <row r="1093" hidden="1" x14ac:dyDescent="0.15"/>
    <row r="1094" hidden="1" x14ac:dyDescent="0.15"/>
    <row r="1095" hidden="1" x14ac:dyDescent="0.15"/>
    <row r="1096" hidden="1" x14ac:dyDescent="0.15"/>
    <row r="1097" hidden="1" x14ac:dyDescent="0.15"/>
    <row r="1098" hidden="1" x14ac:dyDescent="0.15"/>
    <row r="1099" hidden="1" x14ac:dyDescent="0.15"/>
    <row r="1100" hidden="1" x14ac:dyDescent="0.15"/>
    <row r="1101" hidden="1" x14ac:dyDescent="0.15"/>
    <row r="1102" hidden="1" x14ac:dyDescent="0.15"/>
    <row r="1103" hidden="1" x14ac:dyDescent="0.15"/>
    <row r="1104" hidden="1" x14ac:dyDescent="0.15"/>
    <row r="1105" hidden="1" x14ac:dyDescent="0.15"/>
    <row r="1106" hidden="1" x14ac:dyDescent="0.15"/>
    <row r="1107" hidden="1" x14ac:dyDescent="0.15"/>
    <row r="1108" hidden="1" x14ac:dyDescent="0.15"/>
    <row r="1109" hidden="1" x14ac:dyDescent="0.15"/>
    <row r="1110" hidden="1" x14ac:dyDescent="0.15"/>
    <row r="1111" hidden="1" x14ac:dyDescent="0.15"/>
    <row r="1112" hidden="1" x14ac:dyDescent="0.15"/>
    <row r="1113" hidden="1" x14ac:dyDescent="0.15"/>
    <row r="1114" hidden="1" x14ac:dyDescent="0.15"/>
    <row r="1115" hidden="1" x14ac:dyDescent="0.15"/>
    <row r="1116" hidden="1" x14ac:dyDescent="0.15"/>
    <row r="1117" hidden="1" x14ac:dyDescent="0.15"/>
    <row r="1118" hidden="1" x14ac:dyDescent="0.15"/>
    <row r="1119" hidden="1" x14ac:dyDescent="0.15"/>
    <row r="1120" hidden="1" x14ac:dyDescent="0.15"/>
    <row r="1121" hidden="1" x14ac:dyDescent="0.15"/>
    <row r="1122" hidden="1" x14ac:dyDescent="0.15"/>
    <row r="1123" hidden="1" x14ac:dyDescent="0.15"/>
    <row r="1124" hidden="1" x14ac:dyDescent="0.15"/>
    <row r="1125" hidden="1" x14ac:dyDescent="0.15"/>
    <row r="1126" hidden="1" x14ac:dyDescent="0.15"/>
    <row r="1127" hidden="1" x14ac:dyDescent="0.15"/>
    <row r="1128" hidden="1" x14ac:dyDescent="0.15"/>
    <row r="1129" hidden="1" x14ac:dyDescent="0.15"/>
    <row r="1130" hidden="1" x14ac:dyDescent="0.15"/>
    <row r="1131" hidden="1" x14ac:dyDescent="0.15"/>
    <row r="1132" hidden="1" x14ac:dyDescent="0.15"/>
    <row r="1133" hidden="1" x14ac:dyDescent="0.15"/>
    <row r="1134" hidden="1" x14ac:dyDescent="0.15"/>
    <row r="1135" hidden="1" x14ac:dyDescent="0.15"/>
    <row r="1136" hidden="1" x14ac:dyDescent="0.15"/>
    <row r="1137" hidden="1" x14ac:dyDescent="0.15"/>
    <row r="1138" hidden="1" x14ac:dyDescent="0.15"/>
  </sheetData>
  <autoFilter ref="A16:I1138" xr:uid="{00000000-0009-0000-0000-000004000000}">
    <filterColumn colId="5">
      <customFilters>
        <customFilter operator="notEqual" val=" "/>
      </customFilters>
    </filterColumn>
    <sortState xmlns:xlrd2="http://schemas.microsoft.com/office/spreadsheetml/2017/richdata2" ref="A17:J662">
      <sortCondition ref="E16:E694"/>
    </sortState>
  </autoFilter>
  <mergeCells count="2">
    <mergeCell ref="A14:C14"/>
    <mergeCell ref="D14:F1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N534"/>
  <sheetViews>
    <sheetView tabSelected="1" topLeftCell="D1" zoomScale="85" zoomScaleNormal="85" workbookViewId="0">
      <pane ySplit="12" topLeftCell="A13" activePane="bottomLeft" state="frozen"/>
      <selection activeCell="E23" sqref="E23"/>
      <selection pane="bottomLeft" activeCell="E459" sqref="E459"/>
    </sheetView>
  </sheetViews>
  <sheetFormatPr baseColWidth="10" defaultColWidth="20" defaultRowHeight="13" x14ac:dyDescent="0.15"/>
  <cols>
    <col min="1" max="1" width="17" style="33" customWidth="1"/>
    <col min="2" max="2" width="17.33203125" style="33" customWidth="1"/>
    <col min="3" max="3" width="23.5" style="33" customWidth="1"/>
    <col min="4" max="4" width="36.83203125" style="33" bestFit="1" customWidth="1"/>
    <col min="5" max="5" width="21" style="33" customWidth="1"/>
    <col min="6" max="6" width="18.5" style="81" bestFit="1" customWidth="1"/>
    <col min="7" max="7" width="14.33203125" style="33" customWidth="1"/>
    <col min="8" max="8" width="18.83203125" style="33" bestFit="1" customWidth="1"/>
    <col min="9" max="9" width="50.33203125" style="33" bestFit="1" customWidth="1"/>
    <col min="10" max="10" width="10.1640625" style="33" bestFit="1" customWidth="1"/>
    <col min="11" max="11" width="20.5" style="33" bestFit="1" customWidth="1"/>
    <col min="12" max="12" width="9.5" bestFit="1" customWidth="1"/>
    <col min="13" max="13" width="50.1640625" bestFit="1" customWidth="1"/>
    <col min="14" max="14" width="15.6640625" bestFit="1" customWidth="1"/>
    <col min="15" max="16384" width="20" style="33"/>
  </cols>
  <sheetData>
    <row r="1" spans="1:14" x14ac:dyDescent="0.15">
      <c r="C1" s="34"/>
    </row>
    <row r="2" spans="1:14" ht="33" customHeight="1" x14ac:dyDescent="0.25">
      <c r="A2" s="35" t="s">
        <v>329</v>
      </c>
      <c r="C2" s="34"/>
      <c r="D2" s="34"/>
    </row>
    <row r="3" spans="1:14" s="37" customFormat="1" ht="21" customHeight="1" x14ac:dyDescent="0.2">
      <c r="A3" s="36" t="s">
        <v>854</v>
      </c>
      <c r="C3" s="38"/>
      <c r="D3" s="38"/>
      <c r="F3" s="82"/>
    </row>
    <row r="4" spans="1:14" x14ac:dyDescent="0.15">
      <c r="A4" s="39" t="s">
        <v>49</v>
      </c>
      <c r="C4" s="34" t="s">
        <v>49</v>
      </c>
    </row>
    <row r="5" spans="1:14" x14ac:dyDescent="0.15">
      <c r="A5" s="40" t="s">
        <v>331</v>
      </c>
      <c r="B5" s="41" t="s">
        <v>332</v>
      </c>
      <c r="C5" s="77"/>
      <c r="K5" s="199" t="s">
        <v>855</v>
      </c>
      <c r="L5" s="199">
        <f>COUNTIFS(I17:I534,"",K17:K534,0)</f>
        <v>418</v>
      </c>
    </row>
    <row r="6" spans="1:14" x14ac:dyDescent="0.15">
      <c r="A6" s="40" t="s">
        <v>333</v>
      </c>
      <c r="B6" s="41" t="s">
        <v>334</v>
      </c>
      <c r="C6" s="77"/>
      <c r="K6" s="199" t="s">
        <v>856</v>
      </c>
      <c r="L6" s="199">
        <f>COUNTIF(I17:I534,"&lt;&gt;")</f>
        <v>93</v>
      </c>
    </row>
    <row r="7" spans="1:14" x14ac:dyDescent="0.15">
      <c r="A7" s="40" t="s">
        <v>335</v>
      </c>
      <c r="B7" s="41" t="s">
        <v>77</v>
      </c>
      <c r="C7" s="77"/>
      <c r="K7" s="199" t="s">
        <v>857</v>
      </c>
      <c r="L7" s="199">
        <f>COUNTIFS(I17:I534,"",K17:K534,"&gt;0")</f>
        <v>6</v>
      </c>
    </row>
    <row r="8" spans="1:14" x14ac:dyDescent="0.15">
      <c r="A8" s="40" t="s">
        <v>336</v>
      </c>
      <c r="B8" s="41" t="s">
        <v>337</v>
      </c>
      <c r="C8" s="77"/>
      <c r="K8" s="199" t="s">
        <v>858</v>
      </c>
      <c r="L8" s="199">
        <f>COUNTIFS(I17:I534,"",K17:K534,"&lt;0")</f>
        <v>1</v>
      </c>
    </row>
    <row r="9" spans="1:14" x14ac:dyDescent="0.15">
      <c r="A9" s="40" t="s">
        <v>338</v>
      </c>
      <c r="B9" s="41" t="s">
        <v>859</v>
      </c>
      <c r="C9" s="77"/>
    </row>
    <row r="10" spans="1:14" x14ac:dyDescent="0.15">
      <c r="A10" s="40" t="s">
        <v>340</v>
      </c>
      <c r="B10" s="41" t="s">
        <v>341</v>
      </c>
      <c r="C10" s="77"/>
    </row>
    <row r="11" spans="1:14" x14ac:dyDescent="0.15">
      <c r="A11" s="40" t="s">
        <v>342</v>
      </c>
      <c r="B11" s="42">
        <v>46098</v>
      </c>
      <c r="C11" s="77"/>
    </row>
    <row r="12" spans="1:14" x14ac:dyDescent="0.15">
      <c r="A12" s="40" t="s">
        <v>343</v>
      </c>
      <c r="B12" s="9"/>
      <c r="C12" s="77"/>
    </row>
    <row r="14" spans="1:14" x14ac:dyDescent="0.15">
      <c r="A14" s="204" t="s">
        <v>344</v>
      </c>
      <c r="B14" s="205"/>
      <c r="C14" s="205"/>
      <c r="D14" s="206" t="s">
        <v>345</v>
      </c>
      <c r="E14" s="205"/>
      <c r="F14" s="207"/>
      <c r="G14" s="32"/>
      <c r="H14" s="32"/>
    </row>
    <row r="16" spans="1:14" ht="107" x14ac:dyDescent="0.15">
      <c r="A16" s="44" t="s">
        <v>346</v>
      </c>
      <c r="B16" s="44" t="s">
        <v>347</v>
      </c>
      <c r="C16" s="44" t="s">
        <v>348</v>
      </c>
      <c r="D16" s="44" t="s">
        <v>346</v>
      </c>
      <c r="E16" s="44" t="s">
        <v>347</v>
      </c>
      <c r="F16" s="83" t="s">
        <v>348</v>
      </c>
      <c r="G16" s="10" t="s">
        <v>349</v>
      </c>
      <c r="H16" s="10" t="s">
        <v>350</v>
      </c>
      <c r="I16" s="203" t="s">
        <v>351</v>
      </c>
      <c r="J16" s="202" t="s">
        <v>860</v>
      </c>
      <c r="K16" s="241" t="s">
        <v>861</v>
      </c>
      <c r="L16" s="202" t="s">
        <v>862</v>
      </c>
      <c r="M16" s="201" t="s">
        <v>863</v>
      </c>
      <c r="N16" s="201" t="s">
        <v>864</v>
      </c>
    </row>
    <row r="17" spans="1:14" hidden="1" x14ac:dyDescent="0.15">
      <c r="B17" s="33" t="s">
        <v>865</v>
      </c>
      <c r="D17" s="33" t="s">
        <v>339</v>
      </c>
      <c r="E17" s="33" t="s">
        <v>865</v>
      </c>
      <c r="F17" s="81">
        <v>48</v>
      </c>
      <c r="G17">
        <f t="shared" ref="G17:G80" si="0">C17-F17</f>
        <v>-48</v>
      </c>
      <c r="H17">
        <f t="shared" ref="H17:H80" si="1">IF(OR(C17=0, F17=0), 0, C17-F17)</f>
        <v>0</v>
      </c>
      <c r="I17" s="33" t="s">
        <v>866</v>
      </c>
      <c r="J17">
        <v>48</v>
      </c>
      <c r="K17">
        <f t="shared" ref="K17:K80" si="2">J17-F17</f>
        <v>0</v>
      </c>
      <c r="L17" s="200">
        <f t="shared" ref="L17:L80" si="3">IFERROR(ABS(F17 - J17) / ((F17 + J17) / 2),0)</f>
        <v>0</v>
      </c>
      <c r="M17" t="s">
        <v>867</v>
      </c>
    </row>
    <row r="18" spans="1:14" hidden="1" x14ac:dyDescent="0.15">
      <c r="A18" s="33" t="s">
        <v>353</v>
      </c>
      <c r="B18" s="33" t="s">
        <v>352</v>
      </c>
      <c r="C18" s="33">
        <v>22</v>
      </c>
      <c r="D18" s="33" t="s">
        <v>339</v>
      </c>
      <c r="E18" s="33" t="s">
        <v>352</v>
      </c>
      <c r="F18" s="81">
        <v>22</v>
      </c>
      <c r="G18">
        <f t="shared" si="0"/>
        <v>0</v>
      </c>
      <c r="H18">
        <f t="shared" si="1"/>
        <v>0</v>
      </c>
      <c r="J18">
        <v>22</v>
      </c>
      <c r="K18">
        <f t="shared" si="2"/>
        <v>0</v>
      </c>
      <c r="L18" s="200">
        <f t="shared" si="3"/>
        <v>0</v>
      </c>
      <c r="M18" t="s">
        <v>868</v>
      </c>
    </row>
    <row r="19" spans="1:14" hidden="1" x14ac:dyDescent="0.15">
      <c r="A19" s="33" t="s">
        <v>353</v>
      </c>
      <c r="B19" s="33" t="s">
        <v>354</v>
      </c>
      <c r="C19" s="33">
        <v>142642</v>
      </c>
      <c r="D19" s="33" t="s">
        <v>339</v>
      </c>
      <c r="E19" s="33" t="s">
        <v>354</v>
      </c>
      <c r="F19" s="81">
        <v>142642</v>
      </c>
      <c r="G19">
        <f t="shared" si="0"/>
        <v>0</v>
      </c>
      <c r="H19">
        <f t="shared" si="1"/>
        <v>0</v>
      </c>
      <c r="J19">
        <v>142642</v>
      </c>
      <c r="K19">
        <f t="shared" si="2"/>
        <v>0</v>
      </c>
      <c r="L19" s="200">
        <f t="shared" si="3"/>
        <v>0</v>
      </c>
      <c r="M19" t="s">
        <v>869</v>
      </c>
      <c r="N19" t="s">
        <v>870</v>
      </c>
    </row>
    <row r="20" spans="1:14" hidden="1" x14ac:dyDescent="0.15">
      <c r="A20" s="33" t="s">
        <v>353</v>
      </c>
      <c r="B20" s="33" t="s">
        <v>355</v>
      </c>
      <c r="C20" s="33">
        <v>427521</v>
      </c>
      <c r="D20" s="33" t="s">
        <v>339</v>
      </c>
      <c r="E20" s="33" t="s">
        <v>355</v>
      </c>
      <c r="F20" s="81">
        <v>427521</v>
      </c>
      <c r="G20">
        <f t="shared" si="0"/>
        <v>0</v>
      </c>
      <c r="H20">
        <f t="shared" si="1"/>
        <v>0</v>
      </c>
      <c r="J20">
        <v>427521</v>
      </c>
      <c r="K20">
        <f t="shared" si="2"/>
        <v>0</v>
      </c>
      <c r="L20" s="200">
        <f t="shared" si="3"/>
        <v>0</v>
      </c>
      <c r="M20" t="s">
        <v>871</v>
      </c>
    </row>
    <row r="21" spans="1:14" hidden="1" x14ac:dyDescent="0.15">
      <c r="A21" s="33" t="s">
        <v>353</v>
      </c>
      <c r="B21" s="33" t="s">
        <v>356</v>
      </c>
      <c r="C21" s="33">
        <v>119</v>
      </c>
      <c r="D21" s="33" t="s">
        <v>339</v>
      </c>
      <c r="E21" s="33" t="s">
        <v>356</v>
      </c>
      <c r="F21" s="81">
        <v>119</v>
      </c>
      <c r="G21">
        <f t="shared" si="0"/>
        <v>0</v>
      </c>
      <c r="H21">
        <f t="shared" si="1"/>
        <v>0</v>
      </c>
      <c r="J21">
        <v>119</v>
      </c>
      <c r="K21">
        <f t="shared" si="2"/>
        <v>0</v>
      </c>
      <c r="L21" s="200">
        <f t="shared" si="3"/>
        <v>0</v>
      </c>
      <c r="M21" t="s">
        <v>872</v>
      </c>
    </row>
    <row r="22" spans="1:14" hidden="1" x14ac:dyDescent="0.15">
      <c r="A22" s="33" t="s">
        <v>353</v>
      </c>
      <c r="B22" s="33" t="s">
        <v>358</v>
      </c>
      <c r="C22" s="33">
        <v>7970712</v>
      </c>
      <c r="D22" s="33" t="s">
        <v>339</v>
      </c>
      <c r="E22" s="33" t="s">
        <v>358</v>
      </c>
      <c r="F22" s="81">
        <v>7970712</v>
      </c>
      <c r="G22">
        <f t="shared" si="0"/>
        <v>0</v>
      </c>
      <c r="H22">
        <f t="shared" si="1"/>
        <v>0</v>
      </c>
      <c r="J22">
        <v>7970712</v>
      </c>
      <c r="K22">
        <f t="shared" si="2"/>
        <v>0</v>
      </c>
      <c r="L22" s="200">
        <f t="shared" si="3"/>
        <v>0</v>
      </c>
      <c r="M22" t="s">
        <v>873</v>
      </c>
      <c r="N22" t="s">
        <v>874</v>
      </c>
    </row>
    <row r="23" spans="1:14" hidden="1" x14ac:dyDescent="0.15">
      <c r="A23" s="33" t="s">
        <v>353</v>
      </c>
      <c r="B23" s="33" t="s">
        <v>359</v>
      </c>
      <c r="C23" s="33">
        <v>499458</v>
      </c>
      <c r="D23" s="33" t="s">
        <v>339</v>
      </c>
      <c r="E23" s="33" t="s">
        <v>359</v>
      </c>
      <c r="F23" s="81">
        <v>499458</v>
      </c>
      <c r="G23">
        <f t="shared" si="0"/>
        <v>0</v>
      </c>
      <c r="H23">
        <f t="shared" si="1"/>
        <v>0</v>
      </c>
      <c r="J23">
        <v>499458</v>
      </c>
      <c r="K23">
        <f t="shared" si="2"/>
        <v>0</v>
      </c>
      <c r="L23" s="200">
        <f t="shared" si="3"/>
        <v>0</v>
      </c>
      <c r="M23" t="s">
        <v>875</v>
      </c>
    </row>
    <row r="24" spans="1:14" hidden="1" x14ac:dyDescent="0.15">
      <c r="A24" s="33" t="s">
        <v>353</v>
      </c>
      <c r="B24" s="33" t="s">
        <v>360</v>
      </c>
      <c r="C24" s="33">
        <v>568925</v>
      </c>
      <c r="D24" s="33" t="s">
        <v>339</v>
      </c>
      <c r="E24" s="33" t="s">
        <v>360</v>
      </c>
      <c r="F24" s="81">
        <v>568925</v>
      </c>
      <c r="G24">
        <f t="shared" si="0"/>
        <v>0</v>
      </c>
      <c r="H24">
        <f t="shared" si="1"/>
        <v>0</v>
      </c>
      <c r="J24">
        <v>568925</v>
      </c>
      <c r="K24">
        <f t="shared" si="2"/>
        <v>0</v>
      </c>
      <c r="L24" s="200">
        <f t="shared" si="3"/>
        <v>0</v>
      </c>
      <c r="M24" t="s">
        <v>876</v>
      </c>
      <c r="N24" t="s">
        <v>877</v>
      </c>
    </row>
    <row r="25" spans="1:14" hidden="1" x14ac:dyDescent="0.15">
      <c r="A25" s="33" t="s">
        <v>353</v>
      </c>
      <c r="B25" s="33" t="s">
        <v>361</v>
      </c>
      <c r="C25" s="33">
        <v>250</v>
      </c>
      <c r="D25" s="33" t="s">
        <v>339</v>
      </c>
      <c r="E25" s="33" t="s">
        <v>361</v>
      </c>
      <c r="F25" s="81">
        <v>250</v>
      </c>
      <c r="G25">
        <f t="shared" si="0"/>
        <v>0</v>
      </c>
      <c r="H25">
        <f t="shared" si="1"/>
        <v>0</v>
      </c>
      <c r="J25">
        <v>250</v>
      </c>
      <c r="K25">
        <f t="shared" si="2"/>
        <v>0</v>
      </c>
      <c r="L25" s="200">
        <f t="shared" si="3"/>
        <v>0</v>
      </c>
      <c r="M25" t="s">
        <v>878</v>
      </c>
    </row>
    <row r="26" spans="1:14" hidden="1" x14ac:dyDescent="0.15">
      <c r="A26" s="33" t="s">
        <v>353</v>
      </c>
      <c r="B26" s="33" t="s">
        <v>362</v>
      </c>
      <c r="C26" s="33">
        <v>31019</v>
      </c>
      <c r="D26" s="33" t="s">
        <v>339</v>
      </c>
      <c r="E26" s="33" t="s">
        <v>362</v>
      </c>
      <c r="F26" s="81">
        <v>31019</v>
      </c>
      <c r="G26">
        <f t="shared" si="0"/>
        <v>0</v>
      </c>
      <c r="H26">
        <f t="shared" si="1"/>
        <v>0</v>
      </c>
      <c r="J26">
        <v>31019</v>
      </c>
      <c r="K26">
        <f t="shared" si="2"/>
        <v>0</v>
      </c>
      <c r="L26" s="200">
        <f t="shared" si="3"/>
        <v>0</v>
      </c>
      <c r="M26" t="s">
        <v>879</v>
      </c>
      <c r="N26" t="s">
        <v>880</v>
      </c>
    </row>
    <row r="27" spans="1:14" hidden="1" x14ac:dyDescent="0.15">
      <c r="A27" s="33" t="s">
        <v>353</v>
      </c>
      <c r="B27" s="33" t="s">
        <v>363</v>
      </c>
      <c r="C27">
        <v>18</v>
      </c>
      <c r="D27" s="33" t="s">
        <v>339</v>
      </c>
      <c r="E27" s="33" t="s">
        <v>363</v>
      </c>
      <c r="F27" s="81">
        <v>18</v>
      </c>
      <c r="G27">
        <f t="shared" si="0"/>
        <v>0</v>
      </c>
      <c r="H27">
        <f t="shared" si="1"/>
        <v>0</v>
      </c>
      <c r="J27">
        <v>18</v>
      </c>
      <c r="K27">
        <f t="shared" si="2"/>
        <v>0</v>
      </c>
      <c r="L27" s="200">
        <f t="shared" si="3"/>
        <v>0</v>
      </c>
      <c r="M27" t="s">
        <v>881</v>
      </c>
      <c r="N27" t="s">
        <v>882</v>
      </c>
    </row>
    <row r="28" spans="1:14" hidden="1" x14ac:dyDescent="0.15">
      <c r="A28" s="33" t="s">
        <v>353</v>
      </c>
      <c r="B28" s="33" t="s">
        <v>364</v>
      </c>
      <c r="C28" s="33">
        <v>526</v>
      </c>
      <c r="D28" s="33" t="s">
        <v>339</v>
      </c>
      <c r="E28" s="33" t="s">
        <v>364</v>
      </c>
      <c r="F28" s="81">
        <v>526</v>
      </c>
      <c r="G28">
        <f t="shared" si="0"/>
        <v>0</v>
      </c>
      <c r="H28">
        <f t="shared" si="1"/>
        <v>0</v>
      </c>
      <c r="J28">
        <v>526</v>
      </c>
      <c r="K28">
        <f t="shared" si="2"/>
        <v>0</v>
      </c>
      <c r="L28" s="200">
        <f t="shared" si="3"/>
        <v>0</v>
      </c>
      <c r="M28" t="s">
        <v>883</v>
      </c>
      <c r="N28" t="s">
        <v>884</v>
      </c>
    </row>
    <row r="29" spans="1:14" hidden="1" x14ac:dyDescent="0.15">
      <c r="A29" s="33" t="s">
        <v>353</v>
      </c>
      <c r="B29" s="33" t="s">
        <v>365</v>
      </c>
      <c r="C29" s="33">
        <v>6480</v>
      </c>
      <c r="D29" s="33" t="s">
        <v>339</v>
      </c>
      <c r="E29" s="33" t="s">
        <v>365</v>
      </c>
      <c r="F29" s="81">
        <v>6480</v>
      </c>
      <c r="G29">
        <f t="shared" si="0"/>
        <v>0</v>
      </c>
      <c r="H29">
        <f t="shared" si="1"/>
        <v>0</v>
      </c>
      <c r="J29">
        <v>6480</v>
      </c>
      <c r="K29">
        <f t="shared" si="2"/>
        <v>0</v>
      </c>
      <c r="L29" s="200">
        <f t="shared" si="3"/>
        <v>0</v>
      </c>
      <c r="M29" t="s">
        <v>885</v>
      </c>
    </row>
    <row r="30" spans="1:14" hidden="1" x14ac:dyDescent="0.15">
      <c r="A30" s="33" t="s">
        <v>353</v>
      </c>
      <c r="B30" s="33" t="s">
        <v>366</v>
      </c>
      <c r="C30" s="33">
        <v>2006670</v>
      </c>
      <c r="D30" s="33" t="s">
        <v>339</v>
      </c>
      <c r="E30" s="33" t="s">
        <v>366</v>
      </c>
      <c r="F30" s="81">
        <v>2006670</v>
      </c>
      <c r="G30">
        <f t="shared" si="0"/>
        <v>0</v>
      </c>
      <c r="H30">
        <f t="shared" si="1"/>
        <v>0</v>
      </c>
      <c r="J30">
        <v>2006670</v>
      </c>
      <c r="K30">
        <f t="shared" si="2"/>
        <v>0</v>
      </c>
      <c r="L30" s="200">
        <f t="shared" si="3"/>
        <v>0</v>
      </c>
      <c r="M30" t="s">
        <v>886</v>
      </c>
    </row>
    <row r="31" spans="1:14" hidden="1" x14ac:dyDescent="0.15">
      <c r="A31" s="33" t="s">
        <v>353</v>
      </c>
      <c r="B31" s="33" t="s">
        <v>367</v>
      </c>
      <c r="C31" s="33">
        <v>14438210</v>
      </c>
      <c r="D31" s="33" t="s">
        <v>339</v>
      </c>
      <c r="E31" s="33" t="s">
        <v>367</v>
      </c>
      <c r="F31" s="81">
        <v>9</v>
      </c>
      <c r="G31">
        <f t="shared" si="0"/>
        <v>14438201</v>
      </c>
      <c r="H31">
        <f t="shared" si="1"/>
        <v>14438201</v>
      </c>
      <c r="I31" s="33" t="s">
        <v>887</v>
      </c>
      <c r="J31">
        <v>9</v>
      </c>
      <c r="K31">
        <f t="shared" si="2"/>
        <v>0</v>
      </c>
      <c r="L31" s="200">
        <f t="shared" si="3"/>
        <v>0</v>
      </c>
      <c r="M31" t="s">
        <v>888</v>
      </c>
      <c r="N31" t="s">
        <v>889</v>
      </c>
    </row>
    <row r="32" spans="1:14" hidden="1" x14ac:dyDescent="0.15">
      <c r="A32" s="33" t="s">
        <v>353</v>
      </c>
      <c r="B32" s="33" t="s">
        <v>368</v>
      </c>
      <c r="C32" s="33">
        <v>2164930</v>
      </c>
      <c r="E32" s="33" t="s">
        <v>368</v>
      </c>
      <c r="G32">
        <f t="shared" si="0"/>
        <v>2164930</v>
      </c>
      <c r="H32">
        <f t="shared" si="1"/>
        <v>0</v>
      </c>
      <c r="I32" s="33" t="s">
        <v>887</v>
      </c>
      <c r="J32">
        <v>0</v>
      </c>
      <c r="K32">
        <f t="shared" si="2"/>
        <v>0</v>
      </c>
      <c r="L32" s="200">
        <f t="shared" si="3"/>
        <v>0</v>
      </c>
      <c r="M32" t="s">
        <v>890</v>
      </c>
      <c r="N32" t="s">
        <v>891</v>
      </c>
    </row>
    <row r="33" spans="1:14" hidden="1" x14ac:dyDescent="0.15">
      <c r="A33" s="33" t="s">
        <v>353</v>
      </c>
      <c r="B33" s="33" t="s">
        <v>369</v>
      </c>
      <c r="C33" s="33">
        <v>6885</v>
      </c>
      <c r="D33" s="33" t="s">
        <v>339</v>
      </c>
      <c r="E33" s="33" t="s">
        <v>369</v>
      </c>
      <c r="F33" s="81">
        <v>6885</v>
      </c>
      <c r="G33">
        <f t="shared" si="0"/>
        <v>0</v>
      </c>
      <c r="H33">
        <f t="shared" si="1"/>
        <v>0</v>
      </c>
      <c r="J33">
        <v>6885</v>
      </c>
      <c r="K33">
        <f t="shared" si="2"/>
        <v>0</v>
      </c>
      <c r="L33" s="200">
        <f t="shared" si="3"/>
        <v>0</v>
      </c>
      <c r="M33" t="s">
        <v>892</v>
      </c>
    </row>
    <row r="34" spans="1:14" hidden="1" x14ac:dyDescent="0.15">
      <c r="A34" s="33" t="s">
        <v>353</v>
      </c>
      <c r="B34" s="33" t="s">
        <v>370</v>
      </c>
      <c r="C34" s="33">
        <v>2255</v>
      </c>
      <c r="D34" s="33" t="s">
        <v>339</v>
      </c>
      <c r="E34" s="33" t="s">
        <v>370</v>
      </c>
      <c r="F34" s="81">
        <v>2255</v>
      </c>
      <c r="G34">
        <f t="shared" si="0"/>
        <v>0</v>
      </c>
      <c r="H34">
        <f t="shared" si="1"/>
        <v>0</v>
      </c>
      <c r="J34">
        <v>2255</v>
      </c>
      <c r="K34">
        <f t="shared" si="2"/>
        <v>0</v>
      </c>
      <c r="L34" s="200">
        <f t="shared" si="3"/>
        <v>0</v>
      </c>
      <c r="M34" t="s">
        <v>893</v>
      </c>
      <c r="N34" t="s">
        <v>894</v>
      </c>
    </row>
    <row r="35" spans="1:14" hidden="1" x14ac:dyDescent="0.15">
      <c r="A35" s="33" t="s">
        <v>353</v>
      </c>
      <c r="B35" s="33" t="s">
        <v>371</v>
      </c>
      <c r="C35" s="33">
        <v>30007026</v>
      </c>
      <c r="D35" s="33" t="s">
        <v>339</v>
      </c>
      <c r="E35" s="33" t="s">
        <v>371</v>
      </c>
      <c r="F35" s="81">
        <v>30007026</v>
      </c>
      <c r="G35">
        <f t="shared" si="0"/>
        <v>0</v>
      </c>
      <c r="H35">
        <f t="shared" si="1"/>
        <v>0</v>
      </c>
      <c r="J35">
        <v>30007026</v>
      </c>
      <c r="K35">
        <f t="shared" si="2"/>
        <v>0</v>
      </c>
      <c r="L35" s="200">
        <f t="shared" si="3"/>
        <v>0</v>
      </c>
      <c r="M35" t="s">
        <v>895</v>
      </c>
    </row>
    <row r="36" spans="1:14" hidden="1" x14ac:dyDescent="0.15">
      <c r="A36" s="33" t="s">
        <v>353</v>
      </c>
      <c r="B36" s="33" t="s">
        <v>372</v>
      </c>
      <c r="C36" s="33">
        <v>1117</v>
      </c>
      <c r="D36" s="33" t="s">
        <v>339</v>
      </c>
      <c r="E36" s="33" t="s">
        <v>372</v>
      </c>
      <c r="F36" s="81">
        <v>1117</v>
      </c>
      <c r="G36">
        <f t="shared" si="0"/>
        <v>0</v>
      </c>
      <c r="H36">
        <f t="shared" si="1"/>
        <v>0</v>
      </c>
      <c r="J36">
        <v>1117</v>
      </c>
      <c r="K36">
        <f t="shared" si="2"/>
        <v>0</v>
      </c>
      <c r="L36" s="200">
        <f t="shared" si="3"/>
        <v>0</v>
      </c>
      <c r="M36" t="s">
        <v>896</v>
      </c>
      <c r="N36" t="s">
        <v>897</v>
      </c>
    </row>
    <row r="37" spans="1:14" hidden="1" x14ac:dyDescent="0.15">
      <c r="A37" s="33" t="s">
        <v>353</v>
      </c>
      <c r="B37" s="33" t="s">
        <v>373</v>
      </c>
      <c r="C37" s="33">
        <v>2309</v>
      </c>
      <c r="D37" s="33" t="s">
        <v>339</v>
      </c>
      <c r="E37" s="33" t="s">
        <v>373</v>
      </c>
      <c r="F37" s="81">
        <v>2309</v>
      </c>
      <c r="G37">
        <f t="shared" si="0"/>
        <v>0</v>
      </c>
      <c r="H37">
        <f t="shared" si="1"/>
        <v>0</v>
      </c>
      <c r="J37">
        <v>2309</v>
      </c>
      <c r="K37">
        <f t="shared" si="2"/>
        <v>0</v>
      </c>
      <c r="L37" s="200">
        <f t="shared" si="3"/>
        <v>0</v>
      </c>
      <c r="M37" t="s">
        <v>898</v>
      </c>
    </row>
    <row r="38" spans="1:14" hidden="1" x14ac:dyDescent="0.15">
      <c r="A38" s="33" t="s">
        <v>353</v>
      </c>
      <c r="B38" s="33" t="s">
        <v>374</v>
      </c>
      <c r="C38" s="33">
        <v>43</v>
      </c>
      <c r="D38" s="33" t="s">
        <v>339</v>
      </c>
      <c r="E38" s="33" t="s">
        <v>374</v>
      </c>
      <c r="F38" s="81">
        <v>43</v>
      </c>
      <c r="G38">
        <f t="shared" si="0"/>
        <v>0</v>
      </c>
      <c r="H38">
        <f t="shared" si="1"/>
        <v>0</v>
      </c>
      <c r="J38">
        <v>43</v>
      </c>
      <c r="K38">
        <f t="shared" si="2"/>
        <v>0</v>
      </c>
      <c r="L38" s="200">
        <f t="shared" si="3"/>
        <v>0</v>
      </c>
      <c r="M38" t="s">
        <v>899</v>
      </c>
      <c r="N38" t="s">
        <v>900</v>
      </c>
    </row>
    <row r="39" spans="1:14" hidden="1" x14ac:dyDescent="0.15">
      <c r="A39" s="33" t="s">
        <v>353</v>
      </c>
      <c r="B39" s="33" t="s">
        <v>375</v>
      </c>
      <c r="C39" s="33">
        <v>24876</v>
      </c>
      <c r="D39" s="33" t="s">
        <v>339</v>
      </c>
      <c r="E39" s="33" t="s">
        <v>375</v>
      </c>
      <c r="F39" s="81">
        <v>58389</v>
      </c>
      <c r="G39">
        <f t="shared" si="0"/>
        <v>-33513</v>
      </c>
      <c r="H39">
        <f t="shared" si="1"/>
        <v>-33513</v>
      </c>
      <c r="I39" s="33" t="s">
        <v>887</v>
      </c>
      <c r="J39">
        <v>58389</v>
      </c>
      <c r="K39">
        <f t="shared" si="2"/>
        <v>0</v>
      </c>
      <c r="L39" s="200">
        <f t="shared" si="3"/>
        <v>0</v>
      </c>
      <c r="M39" t="s">
        <v>901</v>
      </c>
    </row>
    <row r="40" spans="1:14" hidden="1" x14ac:dyDescent="0.15">
      <c r="A40" s="33" t="s">
        <v>353</v>
      </c>
      <c r="B40" s="33" t="s">
        <v>376</v>
      </c>
      <c r="C40" s="33">
        <v>30119</v>
      </c>
      <c r="D40" s="33" t="s">
        <v>339</v>
      </c>
      <c r="E40" s="33" t="s">
        <v>376</v>
      </c>
      <c r="F40" s="81">
        <v>81382</v>
      </c>
      <c r="G40">
        <f t="shared" si="0"/>
        <v>-51263</v>
      </c>
      <c r="H40">
        <f t="shared" si="1"/>
        <v>-51263</v>
      </c>
      <c r="I40" s="33" t="s">
        <v>887</v>
      </c>
      <c r="J40">
        <v>81382</v>
      </c>
      <c r="K40">
        <f t="shared" si="2"/>
        <v>0</v>
      </c>
      <c r="L40" s="200">
        <f t="shared" si="3"/>
        <v>0</v>
      </c>
      <c r="M40" t="s">
        <v>902</v>
      </c>
    </row>
    <row r="41" spans="1:14" hidden="1" x14ac:dyDescent="0.15">
      <c r="A41" s="33" t="s">
        <v>353</v>
      </c>
      <c r="B41" s="33" t="s">
        <v>377</v>
      </c>
      <c r="C41" s="33">
        <v>4846</v>
      </c>
      <c r="D41" s="33" t="s">
        <v>339</v>
      </c>
      <c r="E41" s="33" t="s">
        <v>377</v>
      </c>
      <c r="F41" s="81">
        <v>11607</v>
      </c>
      <c r="G41">
        <f t="shared" si="0"/>
        <v>-6761</v>
      </c>
      <c r="H41">
        <f t="shared" si="1"/>
        <v>-6761</v>
      </c>
      <c r="I41" s="33" t="s">
        <v>887</v>
      </c>
      <c r="J41">
        <v>11607</v>
      </c>
      <c r="K41">
        <f t="shared" si="2"/>
        <v>0</v>
      </c>
      <c r="L41" s="200">
        <f t="shared" si="3"/>
        <v>0</v>
      </c>
      <c r="M41" t="s">
        <v>903</v>
      </c>
    </row>
    <row r="42" spans="1:14" hidden="1" x14ac:dyDescent="0.15">
      <c r="A42" s="33" t="s">
        <v>353</v>
      </c>
      <c r="B42" s="33" t="s">
        <v>378</v>
      </c>
      <c r="C42" s="33">
        <v>10</v>
      </c>
      <c r="D42" s="33" t="s">
        <v>339</v>
      </c>
      <c r="E42" s="33" t="s">
        <v>378</v>
      </c>
      <c r="F42" s="81">
        <v>10</v>
      </c>
      <c r="G42">
        <f t="shared" si="0"/>
        <v>0</v>
      </c>
      <c r="H42">
        <f t="shared" si="1"/>
        <v>0</v>
      </c>
      <c r="J42">
        <v>10</v>
      </c>
      <c r="K42">
        <f t="shared" si="2"/>
        <v>0</v>
      </c>
      <c r="L42" s="200">
        <f t="shared" si="3"/>
        <v>0</v>
      </c>
      <c r="M42" t="s">
        <v>904</v>
      </c>
    </row>
    <row r="43" spans="1:14" hidden="1" x14ac:dyDescent="0.15">
      <c r="A43" s="33" t="s">
        <v>353</v>
      </c>
      <c r="B43" s="33" t="s">
        <v>379</v>
      </c>
      <c r="C43" s="33">
        <v>638</v>
      </c>
      <c r="D43" s="33" t="s">
        <v>339</v>
      </c>
      <c r="E43" s="33" t="s">
        <v>379</v>
      </c>
      <c r="F43" s="81">
        <v>638</v>
      </c>
      <c r="G43">
        <f t="shared" si="0"/>
        <v>0</v>
      </c>
      <c r="H43">
        <f t="shared" si="1"/>
        <v>0</v>
      </c>
      <c r="J43">
        <v>638</v>
      </c>
      <c r="K43">
        <f t="shared" si="2"/>
        <v>0</v>
      </c>
      <c r="L43" s="200">
        <f t="shared" si="3"/>
        <v>0</v>
      </c>
      <c r="M43" t="s">
        <v>905</v>
      </c>
    </row>
    <row r="44" spans="1:14" hidden="1" x14ac:dyDescent="0.15">
      <c r="A44" s="33" t="s">
        <v>353</v>
      </c>
      <c r="B44" s="33" t="s">
        <v>380</v>
      </c>
      <c r="C44" s="33">
        <v>20</v>
      </c>
      <c r="D44" s="33" t="s">
        <v>339</v>
      </c>
      <c r="E44" s="33" t="s">
        <v>380</v>
      </c>
      <c r="F44" s="81">
        <v>20</v>
      </c>
      <c r="G44">
        <f t="shared" si="0"/>
        <v>0</v>
      </c>
      <c r="H44">
        <f t="shared" si="1"/>
        <v>0</v>
      </c>
      <c r="J44">
        <v>20</v>
      </c>
      <c r="K44">
        <f t="shared" si="2"/>
        <v>0</v>
      </c>
      <c r="L44" s="200">
        <f t="shared" si="3"/>
        <v>0</v>
      </c>
      <c r="M44" t="s">
        <v>906</v>
      </c>
    </row>
    <row r="45" spans="1:14" hidden="1" x14ac:dyDescent="0.15">
      <c r="A45" s="33" t="s">
        <v>353</v>
      </c>
      <c r="B45" s="33" t="s">
        <v>381</v>
      </c>
      <c r="C45" s="33">
        <v>45255</v>
      </c>
      <c r="D45" s="33" t="s">
        <v>339</v>
      </c>
      <c r="E45" s="33" t="s">
        <v>381</v>
      </c>
      <c r="F45" s="81">
        <v>45255</v>
      </c>
      <c r="G45">
        <f t="shared" si="0"/>
        <v>0</v>
      </c>
      <c r="H45">
        <f t="shared" si="1"/>
        <v>0</v>
      </c>
      <c r="J45">
        <v>45255</v>
      </c>
      <c r="K45">
        <f t="shared" si="2"/>
        <v>0</v>
      </c>
      <c r="L45" s="200">
        <f t="shared" si="3"/>
        <v>0</v>
      </c>
      <c r="M45" t="s">
        <v>907</v>
      </c>
    </row>
    <row r="46" spans="1:14" hidden="1" x14ac:dyDescent="0.15">
      <c r="A46" s="33" t="s">
        <v>353</v>
      </c>
      <c r="B46" s="33" t="s">
        <v>382</v>
      </c>
      <c r="C46" s="33">
        <v>11</v>
      </c>
      <c r="D46" s="33" t="s">
        <v>339</v>
      </c>
      <c r="E46" s="33" t="s">
        <v>382</v>
      </c>
      <c r="F46" s="81">
        <v>11</v>
      </c>
      <c r="G46">
        <f t="shared" si="0"/>
        <v>0</v>
      </c>
      <c r="H46">
        <f t="shared" si="1"/>
        <v>0</v>
      </c>
      <c r="J46">
        <v>11</v>
      </c>
      <c r="K46">
        <f t="shared" si="2"/>
        <v>0</v>
      </c>
      <c r="L46" s="200">
        <f t="shared" si="3"/>
        <v>0</v>
      </c>
      <c r="M46" t="s">
        <v>908</v>
      </c>
    </row>
    <row r="47" spans="1:14" hidden="1" x14ac:dyDescent="0.15">
      <c r="A47" s="33" t="s">
        <v>353</v>
      </c>
      <c r="B47" s="33" t="s">
        <v>383</v>
      </c>
      <c r="C47" s="33">
        <v>147499</v>
      </c>
      <c r="D47" s="33" t="s">
        <v>339</v>
      </c>
      <c r="E47" s="33" t="s">
        <v>383</v>
      </c>
      <c r="F47" s="81">
        <v>147499</v>
      </c>
      <c r="G47">
        <f t="shared" si="0"/>
        <v>0</v>
      </c>
      <c r="H47">
        <f t="shared" si="1"/>
        <v>0</v>
      </c>
      <c r="J47">
        <v>147499</v>
      </c>
      <c r="K47">
        <f t="shared" si="2"/>
        <v>0</v>
      </c>
      <c r="L47" s="200">
        <f t="shared" si="3"/>
        <v>0</v>
      </c>
      <c r="M47" t="s">
        <v>909</v>
      </c>
    </row>
    <row r="48" spans="1:14" hidden="1" x14ac:dyDescent="0.15">
      <c r="A48" s="33" t="s">
        <v>353</v>
      </c>
      <c r="B48" s="33" t="s">
        <v>384</v>
      </c>
      <c r="C48" s="33">
        <v>477</v>
      </c>
      <c r="D48" s="33" t="s">
        <v>339</v>
      </c>
      <c r="E48" s="33" t="s">
        <v>384</v>
      </c>
      <c r="F48" s="81">
        <v>477</v>
      </c>
      <c r="G48">
        <f t="shared" si="0"/>
        <v>0</v>
      </c>
      <c r="H48">
        <f t="shared" si="1"/>
        <v>0</v>
      </c>
      <c r="J48">
        <v>477</v>
      </c>
      <c r="K48">
        <f t="shared" si="2"/>
        <v>0</v>
      </c>
      <c r="L48" s="200">
        <f t="shared" si="3"/>
        <v>0</v>
      </c>
      <c r="M48" t="s">
        <v>910</v>
      </c>
    </row>
    <row r="49" spans="1:14" hidden="1" x14ac:dyDescent="0.15">
      <c r="A49" s="33" t="s">
        <v>353</v>
      </c>
      <c r="B49" s="33" t="s">
        <v>385</v>
      </c>
      <c r="C49" s="33">
        <v>11207</v>
      </c>
      <c r="D49" s="33" t="s">
        <v>339</v>
      </c>
      <c r="E49" s="33" t="s">
        <v>385</v>
      </c>
      <c r="F49" s="81">
        <v>11207</v>
      </c>
      <c r="G49">
        <f t="shared" si="0"/>
        <v>0</v>
      </c>
      <c r="H49">
        <f t="shared" si="1"/>
        <v>0</v>
      </c>
      <c r="J49">
        <v>11207</v>
      </c>
      <c r="K49">
        <f t="shared" si="2"/>
        <v>0</v>
      </c>
      <c r="L49" s="200">
        <f t="shared" si="3"/>
        <v>0</v>
      </c>
      <c r="M49" t="s">
        <v>911</v>
      </c>
    </row>
    <row r="50" spans="1:14" hidden="1" x14ac:dyDescent="0.15">
      <c r="A50" s="33" t="s">
        <v>353</v>
      </c>
      <c r="B50" s="33" t="s">
        <v>386</v>
      </c>
      <c r="C50" s="33">
        <v>1214</v>
      </c>
      <c r="D50" s="33" t="s">
        <v>339</v>
      </c>
      <c r="E50" s="33" t="s">
        <v>386</v>
      </c>
      <c r="F50" s="81">
        <v>1214</v>
      </c>
      <c r="G50">
        <f t="shared" si="0"/>
        <v>0</v>
      </c>
      <c r="H50">
        <f t="shared" si="1"/>
        <v>0</v>
      </c>
      <c r="J50">
        <v>1214</v>
      </c>
      <c r="K50">
        <f t="shared" si="2"/>
        <v>0</v>
      </c>
      <c r="L50" s="200">
        <f t="shared" si="3"/>
        <v>0</v>
      </c>
      <c r="M50" t="s">
        <v>912</v>
      </c>
      <c r="N50" t="s">
        <v>913</v>
      </c>
    </row>
    <row r="51" spans="1:14" hidden="1" x14ac:dyDescent="0.15">
      <c r="A51" s="33" t="s">
        <v>353</v>
      </c>
      <c r="B51" s="33" t="s">
        <v>387</v>
      </c>
      <c r="C51" s="33">
        <v>59483</v>
      </c>
      <c r="D51" s="33" t="s">
        <v>339</v>
      </c>
      <c r="E51" s="33" t="s">
        <v>387</v>
      </c>
      <c r="F51" s="81">
        <v>59483</v>
      </c>
      <c r="G51">
        <f t="shared" si="0"/>
        <v>0</v>
      </c>
      <c r="H51">
        <f t="shared" si="1"/>
        <v>0</v>
      </c>
      <c r="J51">
        <v>59483</v>
      </c>
      <c r="K51">
        <f t="shared" si="2"/>
        <v>0</v>
      </c>
      <c r="L51" s="200">
        <f t="shared" si="3"/>
        <v>0</v>
      </c>
      <c r="M51" t="s">
        <v>914</v>
      </c>
      <c r="N51" t="s">
        <v>915</v>
      </c>
    </row>
    <row r="52" spans="1:14" hidden="1" x14ac:dyDescent="0.15">
      <c r="A52" s="33" t="s">
        <v>353</v>
      </c>
      <c r="B52" s="33" t="s">
        <v>388</v>
      </c>
      <c r="C52" s="33">
        <v>46728</v>
      </c>
      <c r="D52" s="33" t="s">
        <v>339</v>
      </c>
      <c r="E52" s="33" t="s">
        <v>388</v>
      </c>
      <c r="F52" s="81">
        <v>46728</v>
      </c>
      <c r="G52">
        <f t="shared" si="0"/>
        <v>0</v>
      </c>
      <c r="H52">
        <f t="shared" si="1"/>
        <v>0</v>
      </c>
      <c r="J52">
        <v>46728</v>
      </c>
      <c r="K52">
        <f t="shared" si="2"/>
        <v>0</v>
      </c>
      <c r="L52" s="200">
        <f t="shared" si="3"/>
        <v>0</v>
      </c>
      <c r="M52" t="s">
        <v>916</v>
      </c>
      <c r="N52" t="s">
        <v>917</v>
      </c>
    </row>
    <row r="53" spans="1:14" hidden="1" x14ac:dyDescent="0.15">
      <c r="A53" s="33" t="s">
        <v>353</v>
      </c>
      <c r="B53" s="33" t="s">
        <v>389</v>
      </c>
      <c r="C53" s="33">
        <v>4968</v>
      </c>
      <c r="D53" s="33" t="s">
        <v>339</v>
      </c>
      <c r="E53" s="33" t="s">
        <v>389</v>
      </c>
      <c r="F53" s="81">
        <v>4968</v>
      </c>
      <c r="G53">
        <f t="shared" si="0"/>
        <v>0</v>
      </c>
      <c r="H53">
        <f t="shared" si="1"/>
        <v>0</v>
      </c>
      <c r="J53">
        <v>4968</v>
      </c>
      <c r="K53">
        <f t="shared" si="2"/>
        <v>0</v>
      </c>
      <c r="L53" s="200">
        <f t="shared" si="3"/>
        <v>0</v>
      </c>
      <c r="M53" t="s">
        <v>918</v>
      </c>
      <c r="N53" t="s">
        <v>919</v>
      </c>
    </row>
    <row r="54" spans="1:14" hidden="1" x14ac:dyDescent="0.15">
      <c r="A54" s="33" t="s">
        <v>353</v>
      </c>
      <c r="B54" s="33" t="s">
        <v>390</v>
      </c>
      <c r="C54" s="33">
        <v>1</v>
      </c>
      <c r="D54" s="33" t="s">
        <v>339</v>
      </c>
      <c r="E54" s="33" t="s">
        <v>390</v>
      </c>
      <c r="F54" s="81">
        <v>1</v>
      </c>
      <c r="G54">
        <f t="shared" si="0"/>
        <v>0</v>
      </c>
      <c r="H54">
        <f t="shared" si="1"/>
        <v>0</v>
      </c>
      <c r="J54">
        <v>1</v>
      </c>
      <c r="K54">
        <f t="shared" si="2"/>
        <v>0</v>
      </c>
      <c r="L54" s="200">
        <f t="shared" si="3"/>
        <v>0</v>
      </c>
      <c r="M54" t="s">
        <v>920</v>
      </c>
      <c r="N54" t="s">
        <v>921</v>
      </c>
    </row>
    <row r="55" spans="1:14" hidden="1" x14ac:dyDescent="0.15">
      <c r="A55" s="33" t="s">
        <v>353</v>
      </c>
      <c r="B55" s="33" t="s">
        <v>391</v>
      </c>
      <c r="C55" s="33">
        <v>46561</v>
      </c>
      <c r="D55" s="33" t="s">
        <v>339</v>
      </c>
      <c r="E55" s="33" t="s">
        <v>391</v>
      </c>
      <c r="F55" s="81">
        <v>46561</v>
      </c>
      <c r="G55">
        <f t="shared" si="0"/>
        <v>0</v>
      </c>
      <c r="H55">
        <f t="shared" si="1"/>
        <v>0</v>
      </c>
      <c r="J55">
        <v>46561</v>
      </c>
      <c r="K55">
        <f t="shared" si="2"/>
        <v>0</v>
      </c>
      <c r="L55" s="200">
        <f t="shared" si="3"/>
        <v>0</v>
      </c>
      <c r="M55" t="s">
        <v>922</v>
      </c>
      <c r="N55" t="s">
        <v>923</v>
      </c>
    </row>
    <row r="56" spans="1:14" hidden="1" x14ac:dyDescent="0.15">
      <c r="A56" s="33" t="s">
        <v>353</v>
      </c>
      <c r="B56" s="33" t="s">
        <v>392</v>
      </c>
      <c r="C56" s="33">
        <v>536092</v>
      </c>
      <c r="D56" s="33" t="s">
        <v>339</v>
      </c>
      <c r="E56" s="33" t="s">
        <v>392</v>
      </c>
      <c r="F56" s="81">
        <v>536092</v>
      </c>
      <c r="G56">
        <f t="shared" si="0"/>
        <v>0</v>
      </c>
      <c r="H56">
        <f t="shared" si="1"/>
        <v>0</v>
      </c>
      <c r="J56">
        <v>536092</v>
      </c>
      <c r="K56">
        <f t="shared" si="2"/>
        <v>0</v>
      </c>
      <c r="L56" s="200">
        <f t="shared" si="3"/>
        <v>0</v>
      </c>
      <c r="M56" t="s">
        <v>924</v>
      </c>
      <c r="N56" t="s">
        <v>925</v>
      </c>
    </row>
    <row r="57" spans="1:14" hidden="1" x14ac:dyDescent="0.15">
      <c r="A57" s="33" t="s">
        <v>353</v>
      </c>
      <c r="B57" s="33" t="s">
        <v>393</v>
      </c>
      <c r="C57" s="33">
        <v>53</v>
      </c>
      <c r="D57" s="33" t="s">
        <v>339</v>
      </c>
      <c r="E57" s="33" t="s">
        <v>393</v>
      </c>
      <c r="F57" s="81">
        <v>53</v>
      </c>
      <c r="G57">
        <f t="shared" si="0"/>
        <v>0</v>
      </c>
      <c r="H57">
        <f t="shared" si="1"/>
        <v>0</v>
      </c>
      <c r="J57">
        <v>53</v>
      </c>
      <c r="K57">
        <f t="shared" si="2"/>
        <v>0</v>
      </c>
      <c r="L57" s="200">
        <f t="shared" si="3"/>
        <v>0</v>
      </c>
      <c r="M57" t="s">
        <v>926</v>
      </c>
      <c r="N57" t="s">
        <v>927</v>
      </c>
    </row>
    <row r="58" spans="1:14" hidden="1" x14ac:dyDescent="0.15">
      <c r="A58" s="33" t="s">
        <v>353</v>
      </c>
      <c r="B58" s="33" t="s">
        <v>394</v>
      </c>
      <c r="C58" s="33">
        <v>250900</v>
      </c>
      <c r="D58" s="33" t="s">
        <v>339</v>
      </c>
      <c r="E58" s="33" t="s">
        <v>394</v>
      </c>
      <c r="F58" s="81">
        <v>250900</v>
      </c>
      <c r="G58">
        <f t="shared" si="0"/>
        <v>0</v>
      </c>
      <c r="H58">
        <f t="shared" si="1"/>
        <v>0</v>
      </c>
      <c r="J58">
        <v>250900</v>
      </c>
      <c r="K58">
        <f t="shared" si="2"/>
        <v>0</v>
      </c>
      <c r="L58" s="200">
        <f t="shared" si="3"/>
        <v>0</v>
      </c>
      <c r="M58" t="s">
        <v>928</v>
      </c>
    </row>
    <row r="59" spans="1:14" hidden="1" x14ac:dyDescent="0.15">
      <c r="A59" s="33" t="s">
        <v>353</v>
      </c>
      <c r="B59" s="33" t="s">
        <v>395</v>
      </c>
      <c r="C59" s="33">
        <v>63</v>
      </c>
      <c r="D59" s="33" t="s">
        <v>339</v>
      </c>
      <c r="E59" s="33" t="s">
        <v>395</v>
      </c>
      <c r="F59" s="81">
        <v>167</v>
      </c>
      <c r="G59">
        <f t="shared" si="0"/>
        <v>-104</v>
      </c>
      <c r="H59">
        <f t="shared" si="1"/>
        <v>-104</v>
      </c>
      <c r="I59" s="33" t="s">
        <v>887</v>
      </c>
      <c r="J59">
        <v>167</v>
      </c>
      <c r="K59">
        <f t="shared" si="2"/>
        <v>0</v>
      </c>
      <c r="L59" s="200">
        <f t="shared" si="3"/>
        <v>0</v>
      </c>
      <c r="M59" t="s">
        <v>929</v>
      </c>
      <c r="N59" t="s">
        <v>930</v>
      </c>
    </row>
    <row r="60" spans="1:14" hidden="1" x14ac:dyDescent="0.15">
      <c r="A60" s="33" t="s">
        <v>353</v>
      </c>
      <c r="B60" s="33" t="s">
        <v>396</v>
      </c>
      <c r="C60" s="33">
        <v>403689</v>
      </c>
      <c r="D60" s="33" t="s">
        <v>339</v>
      </c>
      <c r="E60" s="33" t="s">
        <v>396</v>
      </c>
      <c r="F60" s="81">
        <v>403689</v>
      </c>
      <c r="G60">
        <f t="shared" si="0"/>
        <v>0</v>
      </c>
      <c r="H60">
        <f t="shared" si="1"/>
        <v>0</v>
      </c>
      <c r="J60">
        <v>403689</v>
      </c>
      <c r="K60">
        <f t="shared" si="2"/>
        <v>0</v>
      </c>
      <c r="L60" s="200">
        <f t="shared" si="3"/>
        <v>0</v>
      </c>
      <c r="M60" t="s">
        <v>931</v>
      </c>
    </row>
    <row r="61" spans="1:14" hidden="1" x14ac:dyDescent="0.15">
      <c r="A61" s="33" t="s">
        <v>353</v>
      </c>
      <c r="B61" s="33" t="s">
        <v>397</v>
      </c>
      <c r="C61" s="33">
        <v>818508</v>
      </c>
      <c r="D61" s="33" t="s">
        <v>339</v>
      </c>
      <c r="E61" s="33" t="s">
        <v>397</v>
      </c>
      <c r="F61" s="81">
        <v>818508</v>
      </c>
      <c r="G61">
        <f t="shared" si="0"/>
        <v>0</v>
      </c>
      <c r="H61">
        <f t="shared" si="1"/>
        <v>0</v>
      </c>
      <c r="J61">
        <v>818508</v>
      </c>
      <c r="K61">
        <f t="shared" si="2"/>
        <v>0</v>
      </c>
      <c r="L61" s="200">
        <f t="shared" si="3"/>
        <v>0</v>
      </c>
      <c r="M61" t="s">
        <v>932</v>
      </c>
    </row>
    <row r="62" spans="1:14" hidden="1" x14ac:dyDescent="0.15">
      <c r="A62" s="33" t="s">
        <v>353</v>
      </c>
      <c r="B62" s="33" t="s">
        <v>398</v>
      </c>
      <c r="C62" s="33">
        <v>4</v>
      </c>
      <c r="D62" s="33" t="s">
        <v>339</v>
      </c>
      <c r="E62" s="33" t="s">
        <v>398</v>
      </c>
      <c r="F62" s="81">
        <v>11</v>
      </c>
      <c r="G62">
        <f t="shared" si="0"/>
        <v>-7</v>
      </c>
      <c r="H62">
        <f t="shared" si="1"/>
        <v>-7</v>
      </c>
      <c r="I62" s="33" t="s">
        <v>887</v>
      </c>
      <c r="J62">
        <v>11</v>
      </c>
      <c r="K62">
        <f t="shared" si="2"/>
        <v>0</v>
      </c>
      <c r="L62" s="200">
        <f t="shared" si="3"/>
        <v>0</v>
      </c>
      <c r="M62" t="s">
        <v>933</v>
      </c>
    </row>
    <row r="63" spans="1:14" hidden="1" x14ac:dyDescent="0.15">
      <c r="A63" s="33" t="s">
        <v>353</v>
      </c>
      <c r="B63" s="33" t="s">
        <v>399</v>
      </c>
      <c r="C63" s="33">
        <v>3</v>
      </c>
      <c r="D63" s="33" t="s">
        <v>339</v>
      </c>
      <c r="E63" s="33" t="s">
        <v>399</v>
      </c>
      <c r="F63" s="81">
        <v>152</v>
      </c>
      <c r="G63">
        <f t="shared" si="0"/>
        <v>-149</v>
      </c>
      <c r="H63">
        <f t="shared" si="1"/>
        <v>-149</v>
      </c>
      <c r="I63" s="33" t="s">
        <v>887</v>
      </c>
      <c r="J63">
        <v>152</v>
      </c>
      <c r="K63">
        <f t="shared" si="2"/>
        <v>0</v>
      </c>
      <c r="L63" s="200">
        <f t="shared" si="3"/>
        <v>0</v>
      </c>
      <c r="M63" t="s">
        <v>934</v>
      </c>
    </row>
    <row r="64" spans="1:14" hidden="1" x14ac:dyDescent="0.15">
      <c r="A64" s="33" t="s">
        <v>353</v>
      </c>
      <c r="B64" s="33" t="s">
        <v>400</v>
      </c>
      <c r="C64" s="33">
        <v>777</v>
      </c>
      <c r="D64" s="33" t="s">
        <v>339</v>
      </c>
      <c r="E64" s="33" t="s">
        <v>400</v>
      </c>
      <c r="F64" s="81">
        <v>777</v>
      </c>
      <c r="G64">
        <f t="shared" si="0"/>
        <v>0</v>
      </c>
      <c r="H64">
        <f t="shared" si="1"/>
        <v>0</v>
      </c>
      <c r="J64">
        <v>777</v>
      </c>
      <c r="K64">
        <f t="shared" si="2"/>
        <v>0</v>
      </c>
      <c r="L64" s="200">
        <f t="shared" si="3"/>
        <v>0</v>
      </c>
      <c r="M64" t="s">
        <v>935</v>
      </c>
      <c r="N64" t="s">
        <v>936</v>
      </c>
    </row>
    <row r="65" spans="1:14" hidden="1" x14ac:dyDescent="0.15">
      <c r="A65" s="33" t="s">
        <v>353</v>
      </c>
      <c r="B65" s="33" t="s">
        <v>401</v>
      </c>
      <c r="C65" s="33">
        <v>70654</v>
      </c>
      <c r="D65" s="33" t="s">
        <v>339</v>
      </c>
      <c r="E65" s="33" t="s">
        <v>401</v>
      </c>
      <c r="F65" s="81">
        <v>70654</v>
      </c>
      <c r="G65">
        <f t="shared" si="0"/>
        <v>0</v>
      </c>
      <c r="H65">
        <f t="shared" si="1"/>
        <v>0</v>
      </c>
      <c r="J65">
        <v>70654</v>
      </c>
      <c r="K65">
        <f t="shared" si="2"/>
        <v>0</v>
      </c>
      <c r="L65" s="200">
        <f t="shared" si="3"/>
        <v>0</v>
      </c>
      <c r="M65" t="s">
        <v>937</v>
      </c>
      <c r="N65" t="s">
        <v>938</v>
      </c>
    </row>
    <row r="66" spans="1:14" hidden="1" x14ac:dyDescent="0.15">
      <c r="A66" s="33" t="s">
        <v>353</v>
      </c>
      <c r="B66" s="33" t="s">
        <v>402</v>
      </c>
      <c r="C66" s="33">
        <v>2</v>
      </c>
      <c r="D66" s="33" t="s">
        <v>339</v>
      </c>
      <c r="E66" s="33" t="s">
        <v>402</v>
      </c>
      <c r="F66" s="81">
        <v>2</v>
      </c>
      <c r="G66">
        <f t="shared" si="0"/>
        <v>0</v>
      </c>
      <c r="H66">
        <f t="shared" si="1"/>
        <v>0</v>
      </c>
      <c r="J66">
        <v>2</v>
      </c>
      <c r="K66">
        <f t="shared" si="2"/>
        <v>0</v>
      </c>
      <c r="L66" s="200">
        <f t="shared" si="3"/>
        <v>0</v>
      </c>
      <c r="M66" t="s">
        <v>939</v>
      </c>
    </row>
    <row r="67" spans="1:14" hidden="1" x14ac:dyDescent="0.15">
      <c r="A67" s="33" t="s">
        <v>353</v>
      </c>
      <c r="B67" s="33" t="s">
        <v>403</v>
      </c>
      <c r="C67" s="33">
        <v>897</v>
      </c>
      <c r="D67" s="33" t="s">
        <v>339</v>
      </c>
      <c r="E67" s="33" t="s">
        <v>403</v>
      </c>
      <c r="F67" s="81">
        <v>897</v>
      </c>
      <c r="G67">
        <f t="shared" si="0"/>
        <v>0</v>
      </c>
      <c r="H67">
        <f t="shared" si="1"/>
        <v>0</v>
      </c>
      <c r="J67">
        <v>897</v>
      </c>
      <c r="K67">
        <f t="shared" si="2"/>
        <v>0</v>
      </c>
      <c r="L67" s="200">
        <f t="shared" si="3"/>
        <v>0</v>
      </c>
      <c r="M67" t="s">
        <v>940</v>
      </c>
    </row>
    <row r="68" spans="1:14" hidden="1" x14ac:dyDescent="0.15">
      <c r="A68" s="33" t="s">
        <v>353</v>
      </c>
      <c r="B68" s="33" t="s">
        <v>404</v>
      </c>
      <c r="C68" s="33">
        <v>4382</v>
      </c>
      <c r="D68" s="33" t="s">
        <v>339</v>
      </c>
      <c r="E68" s="33" t="s">
        <v>404</v>
      </c>
      <c r="F68" s="81">
        <v>4382</v>
      </c>
      <c r="G68">
        <f t="shared" si="0"/>
        <v>0</v>
      </c>
      <c r="H68">
        <f t="shared" si="1"/>
        <v>0</v>
      </c>
      <c r="J68">
        <v>4382</v>
      </c>
      <c r="K68">
        <f t="shared" si="2"/>
        <v>0</v>
      </c>
      <c r="L68" s="200">
        <f t="shared" si="3"/>
        <v>0</v>
      </c>
      <c r="M68" t="s">
        <v>941</v>
      </c>
      <c r="N68" t="s">
        <v>942</v>
      </c>
    </row>
    <row r="69" spans="1:14" hidden="1" x14ac:dyDescent="0.15">
      <c r="A69" s="33" t="s">
        <v>353</v>
      </c>
      <c r="B69" s="33" t="s">
        <v>405</v>
      </c>
      <c r="C69" s="33">
        <v>132089</v>
      </c>
      <c r="D69" s="33" t="s">
        <v>339</v>
      </c>
      <c r="E69" s="33" t="s">
        <v>405</v>
      </c>
      <c r="F69" s="81">
        <v>132089</v>
      </c>
      <c r="G69">
        <f t="shared" si="0"/>
        <v>0</v>
      </c>
      <c r="H69">
        <f t="shared" si="1"/>
        <v>0</v>
      </c>
      <c r="J69">
        <v>132089</v>
      </c>
      <c r="K69">
        <f t="shared" si="2"/>
        <v>0</v>
      </c>
      <c r="L69" s="200">
        <f t="shared" si="3"/>
        <v>0</v>
      </c>
      <c r="M69" t="s">
        <v>943</v>
      </c>
    </row>
    <row r="70" spans="1:14" hidden="1" x14ac:dyDescent="0.15">
      <c r="A70" s="33" t="s">
        <v>353</v>
      </c>
      <c r="B70" s="33" t="s">
        <v>406</v>
      </c>
      <c r="C70">
        <v>6032</v>
      </c>
      <c r="D70" s="33" t="s">
        <v>339</v>
      </c>
      <c r="E70" s="33" t="s">
        <v>406</v>
      </c>
      <c r="F70" s="81">
        <v>6032</v>
      </c>
      <c r="G70">
        <f t="shared" si="0"/>
        <v>0</v>
      </c>
      <c r="H70">
        <f t="shared" si="1"/>
        <v>0</v>
      </c>
      <c r="J70">
        <v>6032</v>
      </c>
      <c r="K70">
        <f t="shared" si="2"/>
        <v>0</v>
      </c>
      <c r="L70" s="200">
        <f t="shared" si="3"/>
        <v>0</v>
      </c>
      <c r="M70" t="s">
        <v>944</v>
      </c>
    </row>
    <row r="71" spans="1:14" hidden="1" x14ac:dyDescent="0.15">
      <c r="A71" s="33" t="s">
        <v>353</v>
      </c>
      <c r="B71" s="33" t="s">
        <v>407</v>
      </c>
      <c r="C71" s="33">
        <v>119165</v>
      </c>
      <c r="D71" s="33" t="s">
        <v>339</v>
      </c>
      <c r="E71" s="33" t="s">
        <v>407</v>
      </c>
      <c r="F71" s="81">
        <v>119165</v>
      </c>
      <c r="G71">
        <f t="shared" si="0"/>
        <v>0</v>
      </c>
      <c r="H71">
        <f t="shared" si="1"/>
        <v>0</v>
      </c>
      <c r="J71">
        <v>119165</v>
      </c>
      <c r="K71">
        <f t="shared" si="2"/>
        <v>0</v>
      </c>
      <c r="L71" s="200">
        <f t="shared" si="3"/>
        <v>0</v>
      </c>
      <c r="M71" t="s">
        <v>945</v>
      </c>
    </row>
    <row r="72" spans="1:14" hidden="1" x14ac:dyDescent="0.15">
      <c r="A72" s="33" t="s">
        <v>353</v>
      </c>
      <c r="B72" s="33" t="s">
        <v>408</v>
      </c>
      <c r="C72" s="33">
        <v>78179</v>
      </c>
      <c r="D72" s="33" t="s">
        <v>339</v>
      </c>
      <c r="E72" s="33" t="s">
        <v>408</v>
      </c>
      <c r="F72" s="81">
        <v>488</v>
      </c>
      <c r="G72">
        <f t="shared" si="0"/>
        <v>77691</v>
      </c>
      <c r="H72">
        <f t="shared" si="1"/>
        <v>77691</v>
      </c>
      <c r="I72" s="33" t="s">
        <v>887</v>
      </c>
      <c r="J72">
        <v>488</v>
      </c>
      <c r="K72">
        <f t="shared" si="2"/>
        <v>0</v>
      </c>
      <c r="L72" s="200">
        <f t="shared" si="3"/>
        <v>0</v>
      </c>
      <c r="M72" t="s">
        <v>946</v>
      </c>
    </row>
    <row r="73" spans="1:14" hidden="1" x14ac:dyDescent="0.15">
      <c r="A73" s="33" t="s">
        <v>353</v>
      </c>
      <c r="B73" s="33" t="s">
        <v>409</v>
      </c>
      <c r="C73" s="33">
        <v>484</v>
      </c>
      <c r="D73" s="33" t="s">
        <v>339</v>
      </c>
      <c r="E73" s="33" t="s">
        <v>409</v>
      </c>
      <c r="F73" s="81">
        <v>2</v>
      </c>
      <c r="G73">
        <f t="shared" si="0"/>
        <v>482</v>
      </c>
      <c r="H73">
        <f t="shared" si="1"/>
        <v>482</v>
      </c>
      <c r="I73" s="33" t="s">
        <v>887</v>
      </c>
      <c r="J73">
        <v>2</v>
      </c>
      <c r="K73">
        <f t="shared" si="2"/>
        <v>0</v>
      </c>
      <c r="L73" s="200">
        <f t="shared" si="3"/>
        <v>0</v>
      </c>
      <c r="M73" t="s">
        <v>947</v>
      </c>
      <c r="N73" t="s">
        <v>948</v>
      </c>
    </row>
    <row r="74" spans="1:14" hidden="1" x14ac:dyDescent="0.15">
      <c r="A74" s="33" t="s">
        <v>353</v>
      </c>
      <c r="B74" s="33" t="s">
        <v>410</v>
      </c>
      <c r="C74" s="33">
        <v>3334</v>
      </c>
      <c r="D74" s="33" t="s">
        <v>339</v>
      </c>
      <c r="E74" s="33" t="s">
        <v>410</v>
      </c>
      <c r="F74" s="81">
        <v>36</v>
      </c>
      <c r="G74">
        <f t="shared" si="0"/>
        <v>3298</v>
      </c>
      <c r="H74">
        <f t="shared" si="1"/>
        <v>3298</v>
      </c>
      <c r="I74" s="33" t="s">
        <v>887</v>
      </c>
      <c r="J74">
        <v>36</v>
      </c>
      <c r="K74">
        <f t="shared" si="2"/>
        <v>0</v>
      </c>
      <c r="L74" s="200">
        <f t="shared" si="3"/>
        <v>0</v>
      </c>
      <c r="M74" t="s">
        <v>949</v>
      </c>
    </row>
    <row r="75" spans="1:14" hidden="1" x14ac:dyDescent="0.15">
      <c r="A75" s="33" t="s">
        <v>353</v>
      </c>
      <c r="B75" s="33" t="s">
        <v>411</v>
      </c>
      <c r="C75" s="33">
        <v>20618</v>
      </c>
      <c r="E75" s="33" t="s">
        <v>411</v>
      </c>
      <c r="G75">
        <f t="shared" si="0"/>
        <v>20618</v>
      </c>
      <c r="H75">
        <f t="shared" si="1"/>
        <v>0</v>
      </c>
      <c r="I75" s="33" t="s">
        <v>887</v>
      </c>
      <c r="J75">
        <v>0</v>
      </c>
      <c r="K75">
        <f t="shared" si="2"/>
        <v>0</v>
      </c>
      <c r="L75" s="200">
        <f t="shared" si="3"/>
        <v>0</v>
      </c>
      <c r="M75" t="s">
        <v>950</v>
      </c>
    </row>
    <row r="76" spans="1:14" hidden="1" x14ac:dyDescent="0.15">
      <c r="A76" s="33" t="s">
        <v>353</v>
      </c>
      <c r="B76" s="33" t="s">
        <v>412</v>
      </c>
      <c r="C76" s="33">
        <v>44373</v>
      </c>
      <c r="E76" s="33" t="s">
        <v>412</v>
      </c>
      <c r="G76">
        <f t="shared" si="0"/>
        <v>44373</v>
      </c>
      <c r="H76">
        <f t="shared" si="1"/>
        <v>0</v>
      </c>
      <c r="I76" s="33" t="s">
        <v>887</v>
      </c>
      <c r="J76">
        <v>0</v>
      </c>
      <c r="K76">
        <f t="shared" si="2"/>
        <v>0</v>
      </c>
      <c r="L76" s="200">
        <f t="shared" si="3"/>
        <v>0</v>
      </c>
      <c r="M76" t="s">
        <v>951</v>
      </c>
    </row>
    <row r="77" spans="1:14" hidden="1" x14ac:dyDescent="0.15">
      <c r="A77" s="33" t="s">
        <v>353</v>
      </c>
      <c r="B77" s="33" t="s">
        <v>413</v>
      </c>
      <c r="C77" s="33">
        <v>270</v>
      </c>
      <c r="D77" s="33" t="s">
        <v>339</v>
      </c>
      <c r="E77" s="33" t="s">
        <v>413</v>
      </c>
      <c r="F77" s="81">
        <v>270</v>
      </c>
      <c r="G77">
        <f t="shared" si="0"/>
        <v>0</v>
      </c>
      <c r="H77">
        <f t="shared" si="1"/>
        <v>0</v>
      </c>
      <c r="I77" s="33" t="s">
        <v>887</v>
      </c>
      <c r="J77">
        <v>270</v>
      </c>
      <c r="K77">
        <f t="shared" si="2"/>
        <v>0</v>
      </c>
      <c r="L77" s="200">
        <f t="shared" si="3"/>
        <v>0</v>
      </c>
      <c r="M77" t="s">
        <v>952</v>
      </c>
    </row>
    <row r="78" spans="1:14" hidden="1" x14ac:dyDescent="0.15">
      <c r="A78" s="33" t="s">
        <v>353</v>
      </c>
      <c r="B78" s="33" t="s">
        <v>414</v>
      </c>
      <c r="C78" s="33">
        <v>83</v>
      </c>
      <c r="D78" s="33" t="s">
        <v>339</v>
      </c>
      <c r="E78" s="33" t="s">
        <v>414</v>
      </c>
      <c r="F78" s="81">
        <v>83</v>
      </c>
      <c r="G78">
        <f t="shared" si="0"/>
        <v>0</v>
      </c>
      <c r="H78">
        <f t="shared" si="1"/>
        <v>0</v>
      </c>
      <c r="I78" s="33" t="s">
        <v>887</v>
      </c>
      <c r="J78">
        <v>83</v>
      </c>
      <c r="K78">
        <f t="shared" si="2"/>
        <v>0</v>
      </c>
      <c r="L78" s="200">
        <f t="shared" si="3"/>
        <v>0</v>
      </c>
      <c r="M78" t="s">
        <v>953</v>
      </c>
    </row>
    <row r="79" spans="1:14" hidden="1" x14ac:dyDescent="0.15">
      <c r="A79" s="33" t="s">
        <v>353</v>
      </c>
      <c r="B79" s="33" t="s">
        <v>415</v>
      </c>
      <c r="C79" s="33">
        <v>352</v>
      </c>
      <c r="D79" s="33" t="s">
        <v>339</v>
      </c>
      <c r="E79" s="33" t="s">
        <v>415</v>
      </c>
      <c r="F79" s="81">
        <v>352</v>
      </c>
      <c r="G79">
        <f t="shared" si="0"/>
        <v>0</v>
      </c>
      <c r="H79">
        <f t="shared" si="1"/>
        <v>0</v>
      </c>
      <c r="I79" s="33" t="s">
        <v>887</v>
      </c>
      <c r="J79">
        <v>352</v>
      </c>
      <c r="K79">
        <f t="shared" si="2"/>
        <v>0</v>
      </c>
      <c r="L79" s="200">
        <f t="shared" si="3"/>
        <v>0</v>
      </c>
      <c r="M79" t="s">
        <v>954</v>
      </c>
    </row>
    <row r="80" spans="1:14" hidden="1" x14ac:dyDescent="0.15">
      <c r="A80" s="33" t="s">
        <v>353</v>
      </c>
      <c r="B80" s="33" t="s">
        <v>416</v>
      </c>
      <c r="C80" s="33">
        <v>485</v>
      </c>
      <c r="D80" s="33" t="s">
        <v>339</v>
      </c>
      <c r="E80" s="33" t="s">
        <v>416</v>
      </c>
      <c r="F80" s="81">
        <v>485</v>
      </c>
      <c r="G80">
        <f t="shared" si="0"/>
        <v>0</v>
      </c>
      <c r="H80">
        <f t="shared" si="1"/>
        <v>0</v>
      </c>
      <c r="J80">
        <v>485</v>
      </c>
      <c r="K80">
        <f t="shared" si="2"/>
        <v>0</v>
      </c>
      <c r="L80" s="200">
        <f t="shared" si="3"/>
        <v>0</v>
      </c>
      <c r="M80" t="s">
        <v>955</v>
      </c>
    </row>
    <row r="81" spans="1:14" hidden="1" x14ac:dyDescent="0.15">
      <c r="A81" s="33" t="s">
        <v>353</v>
      </c>
      <c r="B81" s="33" t="s">
        <v>417</v>
      </c>
      <c r="C81" s="33">
        <v>2</v>
      </c>
      <c r="D81" s="33" t="s">
        <v>339</v>
      </c>
      <c r="E81" s="33" t="s">
        <v>417</v>
      </c>
      <c r="F81" s="81">
        <v>2</v>
      </c>
      <c r="G81">
        <f t="shared" ref="G81:G144" si="4">C81-F81</f>
        <v>0</v>
      </c>
      <c r="H81">
        <f t="shared" ref="H81:H144" si="5">IF(OR(C81=0, F81=0), 0, C81-F81)</f>
        <v>0</v>
      </c>
      <c r="I81" s="33" t="s">
        <v>887</v>
      </c>
      <c r="J81">
        <v>2</v>
      </c>
      <c r="K81">
        <f t="shared" ref="K81:K144" si="6">J81-F81</f>
        <v>0</v>
      </c>
      <c r="L81" s="200">
        <f t="shared" ref="L81:L144" si="7">IFERROR(ABS(F81 - J81) / ((F81 + J81) / 2),0)</f>
        <v>0</v>
      </c>
      <c r="M81" t="s">
        <v>956</v>
      </c>
      <c r="N81" t="s">
        <v>957</v>
      </c>
    </row>
    <row r="82" spans="1:14" hidden="1" x14ac:dyDescent="0.15">
      <c r="A82" s="33" t="s">
        <v>353</v>
      </c>
      <c r="B82" s="33" t="s">
        <v>418</v>
      </c>
      <c r="C82" s="33">
        <v>8</v>
      </c>
      <c r="D82" s="33" t="s">
        <v>339</v>
      </c>
      <c r="E82" s="33" t="s">
        <v>418</v>
      </c>
      <c r="F82" s="81">
        <v>5</v>
      </c>
      <c r="G82">
        <f t="shared" si="4"/>
        <v>3</v>
      </c>
      <c r="H82">
        <f t="shared" si="5"/>
        <v>3</v>
      </c>
      <c r="I82" s="33" t="s">
        <v>887</v>
      </c>
      <c r="J82">
        <v>5</v>
      </c>
      <c r="K82">
        <f t="shared" si="6"/>
        <v>0</v>
      </c>
      <c r="L82" s="200">
        <f t="shared" si="7"/>
        <v>0</v>
      </c>
      <c r="M82" t="s">
        <v>958</v>
      </c>
      <c r="N82" t="s">
        <v>959</v>
      </c>
    </row>
    <row r="83" spans="1:14" hidden="1" x14ac:dyDescent="0.15">
      <c r="A83" s="33" t="s">
        <v>353</v>
      </c>
      <c r="B83" s="33" t="s">
        <v>419</v>
      </c>
      <c r="C83" s="33">
        <v>528</v>
      </c>
      <c r="D83" s="33" t="s">
        <v>339</v>
      </c>
      <c r="E83" s="33" t="s">
        <v>419</v>
      </c>
      <c r="F83" s="81">
        <v>528</v>
      </c>
      <c r="G83">
        <f t="shared" si="4"/>
        <v>0</v>
      </c>
      <c r="H83">
        <f t="shared" si="5"/>
        <v>0</v>
      </c>
      <c r="J83">
        <v>528</v>
      </c>
      <c r="K83">
        <f t="shared" si="6"/>
        <v>0</v>
      </c>
      <c r="L83" s="200">
        <f t="shared" si="7"/>
        <v>0</v>
      </c>
      <c r="M83" t="s">
        <v>960</v>
      </c>
    </row>
    <row r="84" spans="1:14" hidden="1" x14ac:dyDescent="0.15">
      <c r="A84" s="33" t="s">
        <v>353</v>
      </c>
      <c r="B84" s="33" t="s">
        <v>420</v>
      </c>
      <c r="C84" s="33">
        <v>448</v>
      </c>
      <c r="D84" s="33" t="s">
        <v>339</v>
      </c>
      <c r="E84" s="33" t="s">
        <v>420</v>
      </c>
      <c r="F84" s="81">
        <v>448</v>
      </c>
      <c r="G84">
        <f t="shared" si="4"/>
        <v>0</v>
      </c>
      <c r="H84">
        <f t="shared" si="5"/>
        <v>0</v>
      </c>
      <c r="I84" s="33" t="s">
        <v>887</v>
      </c>
      <c r="J84">
        <v>448</v>
      </c>
      <c r="K84">
        <f t="shared" si="6"/>
        <v>0</v>
      </c>
      <c r="L84" s="200">
        <f t="shared" si="7"/>
        <v>0</v>
      </c>
      <c r="M84" t="s">
        <v>961</v>
      </c>
      <c r="N84" t="s">
        <v>962</v>
      </c>
    </row>
    <row r="85" spans="1:14" hidden="1" x14ac:dyDescent="0.15">
      <c r="A85" s="33" t="s">
        <v>353</v>
      </c>
      <c r="B85" s="33" t="s">
        <v>421</v>
      </c>
      <c r="C85" s="33">
        <v>5587</v>
      </c>
      <c r="D85" s="33" t="s">
        <v>339</v>
      </c>
      <c r="E85" s="33" t="s">
        <v>421</v>
      </c>
      <c r="F85" s="81">
        <v>6387</v>
      </c>
      <c r="G85">
        <f t="shared" si="4"/>
        <v>-800</v>
      </c>
      <c r="H85">
        <f t="shared" si="5"/>
        <v>-800</v>
      </c>
      <c r="I85" s="33" t="s">
        <v>887</v>
      </c>
      <c r="J85">
        <v>6324</v>
      </c>
      <c r="K85">
        <f t="shared" si="6"/>
        <v>-63</v>
      </c>
      <c r="L85" s="200">
        <f t="shared" si="7"/>
        <v>9.9126740618362044E-3</v>
      </c>
      <c r="M85" t="s">
        <v>963</v>
      </c>
      <c r="N85" t="s">
        <v>964</v>
      </c>
    </row>
    <row r="86" spans="1:14" hidden="1" x14ac:dyDescent="0.15">
      <c r="A86" s="33" t="s">
        <v>353</v>
      </c>
      <c r="B86" s="33" t="s">
        <v>422</v>
      </c>
      <c r="C86" s="33">
        <v>25243</v>
      </c>
      <c r="D86" s="33" t="s">
        <v>339</v>
      </c>
      <c r="E86" s="33" t="s">
        <v>422</v>
      </c>
      <c r="F86" s="81">
        <v>125949</v>
      </c>
      <c r="G86">
        <f t="shared" si="4"/>
        <v>-100706</v>
      </c>
      <c r="H86">
        <f t="shared" si="5"/>
        <v>-100706</v>
      </c>
      <c r="I86" s="33" t="s">
        <v>887</v>
      </c>
      <c r="J86">
        <v>125579</v>
      </c>
      <c r="K86">
        <f t="shared" si="6"/>
        <v>-370</v>
      </c>
      <c r="L86" s="200">
        <f t="shared" si="7"/>
        <v>2.942018383639197E-3</v>
      </c>
      <c r="M86" t="s">
        <v>965</v>
      </c>
    </row>
    <row r="87" spans="1:14" hidden="1" x14ac:dyDescent="0.15">
      <c r="B87" s="33" t="s">
        <v>966</v>
      </c>
      <c r="D87" s="33" t="s">
        <v>339</v>
      </c>
      <c r="E87" s="33" t="s">
        <v>966</v>
      </c>
      <c r="F87" s="81">
        <v>880</v>
      </c>
      <c r="G87">
        <f t="shared" si="4"/>
        <v>-880</v>
      </c>
      <c r="H87">
        <f t="shared" si="5"/>
        <v>0</v>
      </c>
      <c r="I87" s="33" t="s">
        <v>887</v>
      </c>
      <c r="J87">
        <v>880</v>
      </c>
      <c r="K87">
        <f t="shared" si="6"/>
        <v>0</v>
      </c>
      <c r="L87" s="200">
        <f t="shared" si="7"/>
        <v>0</v>
      </c>
      <c r="M87" t="s">
        <v>967</v>
      </c>
    </row>
    <row r="88" spans="1:14" hidden="1" x14ac:dyDescent="0.15">
      <c r="A88" s="33" t="s">
        <v>353</v>
      </c>
      <c r="B88" s="33" t="s">
        <v>423</v>
      </c>
      <c r="C88" s="33">
        <v>5</v>
      </c>
      <c r="D88" s="33" t="s">
        <v>339</v>
      </c>
      <c r="E88" s="33" t="s">
        <v>423</v>
      </c>
      <c r="F88" s="81">
        <v>32</v>
      </c>
      <c r="G88">
        <f t="shared" si="4"/>
        <v>-27</v>
      </c>
      <c r="H88">
        <f t="shared" si="5"/>
        <v>-27</v>
      </c>
      <c r="I88" s="33" t="s">
        <v>887</v>
      </c>
      <c r="J88">
        <v>32</v>
      </c>
      <c r="K88">
        <f t="shared" si="6"/>
        <v>0</v>
      </c>
      <c r="L88" s="200">
        <f t="shared" si="7"/>
        <v>0</v>
      </c>
      <c r="M88" t="s">
        <v>968</v>
      </c>
    </row>
    <row r="89" spans="1:14" hidden="1" x14ac:dyDescent="0.15">
      <c r="A89" s="33" t="s">
        <v>353</v>
      </c>
      <c r="B89" s="33" t="s">
        <v>424</v>
      </c>
      <c r="C89" s="33">
        <v>3866</v>
      </c>
      <c r="D89" s="33" t="s">
        <v>339</v>
      </c>
      <c r="E89" s="33" t="s">
        <v>424</v>
      </c>
      <c r="F89" s="81">
        <v>7928</v>
      </c>
      <c r="G89">
        <f t="shared" si="4"/>
        <v>-4062</v>
      </c>
      <c r="H89">
        <f t="shared" si="5"/>
        <v>-4062</v>
      </c>
      <c r="I89" s="33" t="s">
        <v>887</v>
      </c>
      <c r="J89">
        <v>7928</v>
      </c>
      <c r="K89">
        <f t="shared" si="6"/>
        <v>0</v>
      </c>
      <c r="L89" s="200">
        <f t="shared" si="7"/>
        <v>0</v>
      </c>
      <c r="M89" t="s">
        <v>969</v>
      </c>
    </row>
    <row r="90" spans="1:14" hidden="1" x14ac:dyDescent="0.15">
      <c r="A90" s="33" t="s">
        <v>353</v>
      </c>
      <c r="B90" s="33" t="s">
        <v>425</v>
      </c>
      <c r="C90" s="33">
        <v>1</v>
      </c>
      <c r="D90" s="33" t="s">
        <v>339</v>
      </c>
      <c r="E90" s="33" t="s">
        <v>425</v>
      </c>
      <c r="F90" s="81">
        <v>1</v>
      </c>
      <c r="G90">
        <f t="shared" si="4"/>
        <v>0</v>
      </c>
      <c r="H90">
        <f t="shared" si="5"/>
        <v>0</v>
      </c>
      <c r="I90" s="33" t="s">
        <v>887</v>
      </c>
      <c r="J90">
        <v>1</v>
      </c>
      <c r="K90">
        <f t="shared" si="6"/>
        <v>0</v>
      </c>
      <c r="L90" s="200">
        <f t="shared" si="7"/>
        <v>0</v>
      </c>
      <c r="M90" t="s">
        <v>970</v>
      </c>
    </row>
    <row r="91" spans="1:14" x14ac:dyDescent="0.15">
      <c r="A91" s="33" t="s">
        <v>353</v>
      </c>
      <c r="B91" s="33" t="s">
        <v>426</v>
      </c>
      <c r="C91" s="33">
        <v>847</v>
      </c>
      <c r="D91" s="33" t="s">
        <v>339</v>
      </c>
      <c r="E91" s="33" t="s">
        <v>426</v>
      </c>
      <c r="F91" s="81">
        <v>847</v>
      </c>
      <c r="G91">
        <f t="shared" si="4"/>
        <v>0</v>
      </c>
      <c r="H91">
        <f t="shared" si="5"/>
        <v>0</v>
      </c>
      <c r="J91">
        <v>851</v>
      </c>
      <c r="K91">
        <f t="shared" si="6"/>
        <v>4</v>
      </c>
      <c r="L91" s="200">
        <f t="shared" si="7"/>
        <v>4.7114252061248524E-3</v>
      </c>
      <c r="M91" t="s">
        <v>971</v>
      </c>
    </row>
    <row r="92" spans="1:14" hidden="1" x14ac:dyDescent="0.15">
      <c r="A92" s="33" t="s">
        <v>353</v>
      </c>
      <c r="B92" s="33" t="s">
        <v>427</v>
      </c>
      <c r="C92" s="33">
        <v>49</v>
      </c>
      <c r="D92" s="33" t="s">
        <v>339</v>
      </c>
      <c r="E92" s="33" t="s">
        <v>427</v>
      </c>
      <c r="F92" s="81">
        <v>68</v>
      </c>
      <c r="G92">
        <f t="shared" si="4"/>
        <v>-19</v>
      </c>
      <c r="H92">
        <f t="shared" si="5"/>
        <v>-19</v>
      </c>
      <c r="I92" s="33" t="s">
        <v>887</v>
      </c>
      <c r="J92">
        <v>68</v>
      </c>
      <c r="K92">
        <f t="shared" si="6"/>
        <v>0</v>
      </c>
      <c r="L92" s="200">
        <f t="shared" si="7"/>
        <v>0</v>
      </c>
      <c r="M92" t="s">
        <v>972</v>
      </c>
    </row>
    <row r="93" spans="1:14" hidden="1" x14ac:dyDescent="0.15">
      <c r="A93" s="33" t="s">
        <v>353</v>
      </c>
      <c r="B93" s="33" t="s">
        <v>428</v>
      </c>
      <c r="C93" s="33">
        <v>1</v>
      </c>
      <c r="D93" s="33" t="s">
        <v>339</v>
      </c>
      <c r="E93" s="33" t="s">
        <v>428</v>
      </c>
      <c r="F93" s="81">
        <v>1</v>
      </c>
      <c r="G93">
        <f t="shared" si="4"/>
        <v>0</v>
      </c>
      <c r="H93">
        <f t="shared" si="5"/>
        <v>0</v>
      </c>
      <c r="I93" s="33" t="s">
        <v>887</v>
      </c>
      <c r="J93">
        <v>1</v>
      </c>
      <c r="K93">
        <f t="shared" si="6"/>
        <v>0</v>
      </c>
      <c r="L93" s="200">
        <f t="shared" si="7"/>
        <v>0</v>
      </c>
      <c r="M93" t="s">
        <v>973</v>
      </c>
    </row>
    <row r="94" spans="1:14" hidden="1" x14ac:dyDescent="0.15">
      <c r="A94" s="33" t="s">
        <v>353</v>
      </c>
      <c r="B94" s="33" t="s">
        <v>429</v>
      </c>
      <c r="C94" s="33">
        <v>11474</v>
      </c>
      <c r="D94" s="33" t="s">
        <v>339</v>
      </c>
      <c r="E94" s="33" t="s">
        <v>429</v>
      </c>
      <c r="F94" s="81">
        <v>11474</v>
      </c>
      <c r="G94">
        <f t="shared" si="4"/>
        <v>0</v>
      </c>
      <c r="H94">
        <f t="shared" si="5"/>
        <v>0</v>
      </c>
      <c r="J94">
        <v>11474</v>
      </c>
      <c r="K94">
        <f t="shared" si="6"/>
        <v>0</v>
      </c>
      <c r="L94" s="200">
        <f t="shared" si="7"/>
        <v>0</v>
      </c>
      <c r="M94" t="s">
        <v>974</v>
      </c>
    </row>
    <row r="95" spans="1:14" hidden="1" x14ac:dyDescent="0.15">
      <c r="A95" s="33" t="s">
        <v>353</v>
      </c>
      <c r="B95" s="33" t="s">
        <v>430</v>
      </c>
      <c r="C95" s="33">
        <v>8</v>
      </c>
      <c r="D95" s="33" t="s">
        <v>339</v>
      </c>
      <c r="E95" s="33" t="s">
        <v>430</v>
      </c>
      <c r="F95" s="81">
        <v>5</v>
      </c>
      <c r="G95">
        <f t="shared" si="4"/>
        <v>3</v>
      </c>
      <c r="H95">
        <f t="shared" si="5"/>
        <v>3</v>
      </c>
      <c r="I95" s="33" t="s">
        <v>887</v>
      </c>
      <c r="J95">
        <v>5</v>
      </c>
      <c r="K95">
        <f t="shared" si="6"/>
        <v>0</v>
      </c>
      <c r="L95" s="200">
        <f t="shared" si="7"/>
        <v>0</v>
      </c>
      <c r="M95" t="s">
        <v>975</v>
      </c>
      <c r="N95" t="s">
        <v>976</v>
      </c>
    </row>
    <row r="96" spans="1:14" hidden="1" x14ac:dyDescent="0.15">
      <c r="A96" s="33" t="s">
        <v>353</v>
      </c>
      <c r="B96" s="33" t="s">
        <v>431</v>
      </c>
      <c r="C96" s="33">
        <v>36</v>
      </c>
      <c r="D96" s="33" t="s">
        <v>339</v>
      </c>
      <c r="E96" s="33" t="s">
        <v>431</v>
      </c>
      <c r="F96" s="81">
        <v>36</v>
      </c>
      <c r="G96">
        <f t="shared" si="4"/>
        <v>0</v>
      </c>
      <c r="H96">
        <f t="shared" si="5"/>
        <v>0</v>
      </c>
      <c r="J96">
        <v>36</v>
      </c>
      <c r="K96">
        <f t="shared" si="6"/>
        <v>0</v>
      </c>
      <c r="L96" s="200">
        <f t="shared" si="7"/>
        <v>0</v>
      </c>
      <c r="M96" t="s">
        <v>977</v>
      </c>
    </row>
    <row r="97" spans="1:14" hidden="1" x14ac:dyDescent="0.15">
      <c r="A97" s="33" t="s">
        <v>353</v>
      </c>
      <c r="B97" s="33" t="s">
        <v>432</v>
      </c>
      <c r="C97" s="33">
        <v>4180</v>
      </c>
      <c r="D97" s="33" t="s">
        <v>339</v>
      </c>
      <c r="E97" s="33" t="s">
        <v>432</v>
      </c>
      <c r="F97" s="81">
        <v>56</v>
      </c>
      <c r="G97">
        <f t="shared" si="4"/>
        <v>4124</v>
      </c>
      <c r="H97">
        <f t="shared" si="5"/>
        <v>4124</v>
      </c>
      <c r="I97" s="33" t="s">
        <v>887</v>
      </c>
      <c r="J97">
        <v>61</v>
      </c>
      <c r="K97">
        <f t="shared" si="6"/>
        <v>5</v>
      </c>
      <c r="L97" s="200">
        <f t="shared" si="7"/>
        <v>8.5470085470085472E-2</v>
      </c>
      <c r="M97" t="s">
        <v>978</v>
      </c>
      <c r="N97" t="s">
        <v>979</v>
      </c>
    </row>
    <row r="98" spans="1:14" hidden="1" x14ac:dyDescent="0.15">
      <c r="A98" s="33" t="s">
        <v>353</v>
      </c>
      <c r="B98" s="33" t="s">
        <v>433</v>
      </c>
      <c r="C98" s="33">
        <v>1</v>
      </c>
      <c r="D98" s="33" t="s">
        <v>339</v>
      </c>
      <c r="E98" s="33" t="s">
        <v>433</v>
      </c>
      <c r="F98" s="81">
        <v>17</v>
      </c>
      <c r="G98">
        <f t="shared" si="4"/>
        <v>-16</v>
      </c>
      <c r="H98">
        <f t="shared" si="5"/>
        <v>-16</v>
      </c>
      <c r="I98" s="33" t="s">
        <v>887</v>
      </c>
      <c r="J98">
        <v>17</v>
      </c>
      <c r="K98">
        <f t="shared" si="6"/>
        <v>0</v>
      </c>
      <c r="L98" s="200">
        <f t="shared" si="7"/>
        <v>0</v>
      </c>
      <c r="M98" t="s">
        <v>980</v>
      </c>
    </row>
    <row r="99" spans="1:14" hidden="1" x14ac:dyDescent="0.15">
      <c r="A99" s="33" t="s">
        <v>353</v>
      </c>
      <c r="B99" s="33" t="s">
        <v>434</v>
      </c>
      <c r="C99" s="33">
        <v>3</v>
      </c>
      <c r="D99" s="33" t="s">
        <v>339</v>
      </c>
      <c r="E99" s="33" t="s">
        <v>434</v>
      </c>
      <c r="F99" s="81">
        <v>7</v>
      </c>
      <c r="G99">
        <f t="shared" si="4"/>
        <v>-4</v>
      </c>
      <c r="H99">
        <f t="shared" si="5"/>
        <v>-4</v>
      </c>
      <c r="I99" s="33" t="s">
        <v>887</v>
      </c>
      <c r="J99">
        <v>7</v>
      </c>
      <c r="K99">
        <f t="shared" si="6"/>
        <v>0</v>
      </c>
      <c r="L99" s="200">
        <f t="shared" si="7"/>
        <v>0</v>
      </c>
      <c r="M99" t="s">
        <v>981</v>
      </c>
    </row>
    <row r="100" spans="1:14" hidden="1" x14ac:dyDescent="0.15">
      <c r="A100" s="33" t="s">
        <v>353</v>
      </c>
      <c r="B100" s="33" t="s">
        <v>435</v>
      </c>
      <c r="C100" s="33">
        <v>3</v>
      </c>
      <c r="D100" s="33" t="s">
        <v>339</v>
      </c>
      <c r="E100" s="33" t="s">
        <v>435</v>
      </c>
      <c r="F100" s="81">
        <v>5</v>
      </c>
      <c r="G100">
        <f t="shared" si="4"/>
        <v>-2</v>
      </c>
      <c r="H100">
        <f t="shared" si="5"/>
        <v>-2</v>
      </c>
      <c r="I100" s="33" t="s">
        <v>887</v>
      </c>
      <c r="J100">
        <v>5</v>
      </c>
      <c r="K100">
        <f t="shared" si="6"/>
        <v>0</v>
      </c>
      <c r="L100" s="200">
        <f t="shared" si="7"/>
        <v>0</v>
      </c>
      <c r="M100" t="s">
        <v>982</v>
      </c>
    </row>
    <row r="101" spans="1:14" hidden="1" x14ac:dyDescent="0.15">
      <c r="A101" s="33" t="s">
        <v>353</v>
      </c>
      <c r="B101" s="33" t="s">
        <v>436</v>
      </c>
      <c r="C101" s="33">
        <v>13</v>
      </c>
      <c r="D101" s="33" t="s">
        <v>339</v>
      </c>
      <c r="E101" s="33" t="s">
        <v>436</v>
      </c>
      <c r="F101" s="81">
        <v>8</v>
      </c>
      <c r="G101">
        <f t="shared" si="4"/>
        <v>5</v>
      </c>
      <c r="H101">
        <f t="shared" si="5"/>
        <v>5</v>
      </c>
      <c r="I101" s="33" t="s">
        <v>887</v>
      </c>
      <c r="J101">
        <v>8</v>
      </c>
      <c r="K101">
        <f t="shared" si="6"/>
        <v>0</v>
      </c>
      <c r="L101" s="200">
        <f t="shared" si="7"/>
        <v>0</v>
      </c>
      <c r="M101" t="s">
        <v>983</v>
      </c>
    </row>
    <row r="102" spans="1:14" hidden="1" x14ac:dyDescent="0.15">
      <c r="A102" s="33" t="s">
        <v>353</v>
      </c>
      <c r="B102" s="33" t="s">
        <v>437</v>
      </c>
      <c r="C102" s="33">
        <v>7</v>
      </c>
      <c r="D102" s="33" t="s">
        <v>339</v>
      </c>
      <c r="E102" s="33" t="s">
        <v>437</v>
      </c>
      <c r="F102" s="81">
        <v>1</v>
      </c>
      <c r="G102">
        <f t="shared" si="4"/>
        <v>6</v>
      </c>
      <c r="H102">
        <f t="shared" si="5"/>
        <v>6</v>
      </c>
      <c r="I102" s="33" t="s">
        <v>887</v>
      </c>
      <c r="J102">
        <v>1</v>
      </c>
      <c r="K102">
        <f t="shared" si="6"/>
        <v>0</v>
      </c>
      <c r="L102" s="200">
        <f t="shared" si="7"/>
        <v>0</v>
      </c>
      <c r="M102" t="s">
        <v>984</v>
      </c>
    </row>
    <row r="103" spans="1:14" hidden="1" x14ac:dyDescent="0.15">
      <c r="A103" s="33" t="s">
        <v>353</v>
      </c>
      <c r="B103" s="33" t="s">
        <v>438</v>
      </c>
      <c r="C103" s="33">
        <v>1148</v>
      </c>
      <c r="D103" s="33" t="s">
        <v>339</v>
      </c>
      <c r="E103" s="33" t="s">
        <v>438</v>
      </c>
      <c r="F103" s="81">
        <v>456</v>
      </c>
      <c r="G103">
        <f t="shared" si="4"/>
        <v>692</v>
      </c>
      <c r="H103">
        <f t="shared" si="5"/>
        <v>692</v>
      </c>
      <c r="I103" s="33" t="s">
        <v>887</v>
      </c>
      <c r="J103">
        <v>456</v>
      </c>
      <c r="K103">
        <f t="shared" si="6"/>
        <v>0</v>
      </c>
      <c r="L103" s="200">
        <f t="shared" si="7"/>
        <v>0</v>
      </c>
      <c r="M103" t="s">
        <v>985</v>
      </c>
    </row>
    <row r="104" spans="1:14" hidden="1" x14ac:dyDescent="0.15">
      <c r="A104" s="33" t="s">
        <v>353</v>
      </c>
      <c r="B104" s="33" t="s">
        <v>439</v>
      </c>
      <c r="C104" s="33">
        <v>1355</v>
      </c>
      <c r="D104" s="33" t="s">
        <v>339</v>
      </c>
      <c r="E104" s="33" t="s">
        <v>439</v>
      </c>
      <c r="F104" s="81">
        <v>1355</v>
      </c>
      <c r="G104">
        <f t="shared" si="4"/>
        <v>0</v>
      </c>
      <c r="H104">
        <f t="shared" si="5"/>
        <v>0</v>
      </c>
      <c r="J104">
        <v>1355</v>
      </c>
      <c r="K104">
        <f t="shared" si="6"/>
        <v>0</v>
      </c>
      <c r="L104" s="200">
        <f t="shared" si="7"/>
        <v>0</v>
      </c>
      <c r="M104" t="s">
        <v>986</v>
      </c>
    </row>
    <row r="105" spans="1:14" hidden="1" x14ac:dyDescent="0.15">
      <c r="A105" s="33" t="s">
        <v>353</v>
      </c>
      <c r="B105" s="33" t="s">
        <v>440</v>
      </c>
      <c r="C105" s="33">
        <v>1362</v>
      </c>
      <c r="D105" s="33" t="s">
        <v>339</v>
      </c>
      <c r="E105" s="33" t="s">
        <v>440</v>
      </c>
      <c r="F105" s="81">
        <v>1362</v>
      </c>
      <c r="G105">
        <f t="shared" si="4"/>
        <v>0</v>
      </c>
      <c r="H105">
        <f t="shared" si="5"/>
        <v>0</v>
      </c>
      <c r="J105">
        <v>1362</v>
      </c>
      <c r="K105">
        <f t="shared" si="6"/>
        <v>0</v>
      </c>
      <c r="L105" s="200">
        <f t="shared" si="7"/>
        <v>0</v>
      </c>
      <c r="M105" t="s">
        <v>987</v>
      </c>
    </row>
    <row r="106" spans="1:14" hidden="1" x14ac:dyDescent="0.15">
      <c r="A106" s="33" t="s">
        <v>353</v>
      </c>
      <c r="B106" s="33" t="s">
        <v>441</v>
      </c>
      <c r="C106" s="33">
        <v>103</v>
      </c>
      <c r="D106" s="33" t="s">
        <v>339</v>
      </c>
      <c r="E106" s="33" t="s">
        <v>441</v>
      </c>
      <c r="F106" s="81">
        <v>103</v>
      </c>
      <c r="G106">
        <f t="shared" si="4"/>
        <v>0</v>
      </c>
      <c r="H106">
        <f t="shared" si="5"/>
        <v>0</v>
      </c>
      <c r="J106">
        <v>103</v>
      </c>
      <c r="K106">
        <f t="shared" si="6"/>
        <v>0</v>
      </c>
      <c r="L106" s="200">
        <f t="shared" si="7"/>
        <v>0</v>
      </c>
      <c r="M106" t="s">
        <v>988</v>
      </c>
    </row>
    <row r="107" spans="1:14" hidden="1" x14ac:dyDescent="0.15">
      <c r="A107" s="33" t="s">
        <v>353</v>
      </c>
      <c r="B107" s="33" t="s">
        <v>442</v>
      </c>
      <c r="C107" s="33">
        <v>2</v>
      </c>
      <c r="D107" s="33" t="s">
        <v>339</v>
      </c>
      <c r="E107" s="33" t="s">
        <v>442</v>
      </c>
      <c r="F107" s="81">
        <v>2</v>
      </c>
      <c r="G107">
        <f t="shared" si="4"/>
        <v>0</v>
      </c>
      <c r="H107">
        <f t="shared" si="5"/>
        <v>0</v>
      </c>
      <c r="J107">
        <v>2</v>
      </c>
      <c r="K107">
        <f t="shared" si="6"/>
        <v>0</v>
      </c>
      <c r="L107" s="200">
        <f t="shared" si="7"/>
        <v>0</v>
      </c>
      <c r="M107" t="s">
        <v>989</v>
      </c>
    </row>
    <row r="108" spans="1:14" hidden="1" x14ac:dyDescent="0.15">
      <c r="A108" s="33" t="s">
        <v>353</v>
      </c>
      <c r="B108" s="33" t="s">
        <v>443</v>
      </c>
      <c r="C108" s="33">
        <v>5125</v>
      </c>
      <c r="D108" s="33" t="s">
        <v>339</v>
      </c>
      <c r="E108" s="33" t="s">
        <v>443</v>
      </c>
      <c r="F108" s="81">
        <v>5125</v>
      </c>
      <c r="G108">
        <f t="shared" si="4"/>
        <v>0</v>
      </c>
      <c r="H108">
        <f t="shared" si="5"/>
        <v>0</v>
      </c>
      <c r="J108">
        <v>5125</v>
      </c>
      <c r="K108">
        <f t="shared" si="6"/>
        <v>0</v>
      </c>
      <c r="L108" s="200">
        <f t="shared" si="7"/>
        <v>0</v>
      </c>
      <c r="M108" t="s">
        <v>990</v>
      </c>
      <c r="N108" t="s">
        <v>991</v>
      </c>
    </row>
    <row r="109" spans="1:14" hidden="1" x14ac:dyDescent="0.15">
      <c r="A109" s="33" t="s">
        <v>353</v>
      </c>
      <c r="B109" s="33" t="s">
        <v>444</v>
      </c>
      <c r="C109" s="33">
        <v>8</v>
      </c>
      <c r="D109" s="33" t="s">
        <v>339</v>
      </c>
      <c r="E109" s="33" t="s">
        <v>444</v>
      </c>
      <c r="F109" s="81">
        <v>8</v>
      </c>
      <c r="G109">
        <f t="shared" si="4"/>
        <v>0</v>
      </c>
      <c r="H109">
        <f t="shared" si="5"/>
        <v>0</v>
      </c>
      <c r="J109">
        <v>8</v>
      </c>
      <c r="K109">
        <f t="shared" si="6"/>
        <v>0</v>
      </c>
      <c r="L109" s="200">
        <f t="shared" si="7"/>
        <v>0</v>
      </c>
      <c r="M109" t="s">
        <v>992</v>
      </c>
    </row>
    <row r="110" spans="1:14" hidden="1" x14ac:dyDescent="0.15">
      <c r="A110" s="33" t="s">
        <v>353</v>
      </c>
      <c r="B110" s="33" t="s">
        <v>445</v>
      </c>
      <c r="C110" s="33">
        <v>10</v>
      </c>
      <c r="D110" s="33" t="s">
        <v>339</v>
      </c>
      <c r="E110" s="33" t="s">
        <v>445</v>
      </c>
      <c r="F110" s="81">
        <v>10</v>
      </c>
      <c r="G110">
        <f t="shared" si="4"/>
        <v>0</v>
      </c>
      <c r="H110">
        <f t="shared" si="5"/>
        <v>0</v>
      </c>
      <c r="J110">
        <v>10</v>
      </c>
      <c r="K110">
        <f t="shared" si="6"/>
        <v>0</v>
      </c>
      <c r="L110" s="200">
        <f t="shared" si="7"/>
        <v>0</v>
      </c>
      <c r="M110" t="s">
        <v>993</v>
      </c>
    </row>
    <row r="111" spans="1:14" hidden="1" x14ac:dyDescent="0.15">
      <c r="A111" s="33" t="s">
        <v>353</v>
      </c>
      <c r="B111" s="33" t="s">
        <v>446</v>
      </c>
      <c r="C111" s="33">
        <v>44</v>
      </c>
      <c r="D111" s="33" t="s">
        <v>339</v>
      </c>
      <c r="E111" s="33" t="s">
        <v>446</v>
      </c>
      <c r="F111" s="81">
        <v>44</v>
      </c>
      <c r="G111">
        <f t="shared" si="4"/>
        <v>0</v>
      </c>
      <c r="H111">
        <f t="shared" si="5"/>
        <v>0</v>
      </c>
      <c r="J111">
        <v>44</v>
      </c>
      <c r="K111">
        <f t="shared" si="6"/>
        <v>0</v>
      </c>
      <c r="L111" s="200">
        <f t="shared" si="7"/>
        <v>0</v>
      </c>
      <c r="M111" t="s">
        <v>994</v>
      </c>
    </row>
    <row r="112" spans="1:14" hidden="1" x14ac:dyDescent="0.15">
      <c r="A112" s="33" t="s">
        <v>353</v>
      </c>
      <c r="B112" s="33" t="s">
        <v>447</v>
      </c>
      <c r="C112" s="33">
        <v>24</v>
      </c>
      <c r="D112" s="33" t="s">
        <v>339</v>
      </c>
      <c r="E112" s="33" t="s">
        <v>447</v>
      </c>
      <c r="F112" s="81">
        <v>24</v>
      </c>
      <c r="G112">
        <f t="shared" si="4"/>
        <v>0</v>
      </c>
      <c r="H112">
        <f t="shared" si="5"/>
        <v>0</v>
      </c>
      <c r="J112">
        <v>24</v>
      </c>
      <c r="K112">
        <f t="shared" si="6"/>
        <v>0</v>
      </c>
      <c r="L112" s="200">
        <f t="shared" si="7"/>
        <v>0</v>
      </c>
      <c r="M112" t="s">
        <v>995</v>
      </c>
    </row>
    <row r="113" spans="1:14" hidden="1" x14ac:dyDescent="0.15">
      <c r="A113" s="33" t="s">
        <v>353</v>
      </c>
      <c r="B113" s="33" t="s">
        <v>448</v>
      </c>
      <c r="C113" s="33">
        <v>46</v>
      </c>
      <c r="D113" s="33" t="s">
        <v>339</v>
      </c>
      <c r="E113" s="33" t="s">
        <v>448</v>
      </c>
      <c r="F113" s="81">
        <v>46</v>
      </c>
      <c r="G113">
        <f t="shared" si="4"/>
        <v>0</v>
      </c>
      <c r="H113">
        <f t="shared" si="5"/>
        <v>0</v>
      </c>
      <c r="J113">
        <v>46</v>
      </c>
      <c r="K113">
        <f t="shared" si="6"/>
        <v>0</v>
      </c>
      <c r="L113" s="200">
        <f t="shared" si="7"/>
        <v>0</v>
      </c>
      <c r="M113" t="s">
        <v>996</v>
      </c>
    </row>
    <row r="114" spans="1:14" hidden="1" x14ac:dyDescent="0.15">
      <c r="A114" s="33" t="s">
        <v>353</v>
      </c>
      <c r="B114" s="33" t="s">
        <v>449</v>
      </c>
      <c r="C114" s="33">
        <v>2</v>
      </c>
      <c r="D114" s="33" t="s">
        <v>339</v>
      </c>
      <c r="E114" s="33" t="s">
        <v>449</v>
      </c>
      <c r="F114" s="81">
        <v>2</v>
      </c>
      <c r="G114">
        <f t="shared" si="4"/>
        <v>0</v>
      </c>
      <c r="H114">
        <f t="shared" si="5"/>
        <v>0</v>
      </c>
      <c r="J114">
        <v>2</v>
      </c>
      <c r="K114">
        <f t="shared" si="6"/>
        <v>0</v>
      </c>
      <c r="L114" s="200">
        <f t="shared" si="7"/>
        <v>0</v>
      </c>
      <c r="M114" t="s">
        <v>997</v>
      </c>
    </row>
    <row r="115" spans="1:14" hidden="1" x14ac:dyDescent="0.15">
      <c r="A115" s="33" t="s">
        <v>353</v>
      </c>
      <c r="B115" s="33" t="s">
        <v>450</v>
      </c>
      <c r="C115" s="33">
        <v>128</v>
      </c>
      <c r="D115" s="33" t="s">
        <v>339</v>
      </c>
      <c r="E115" s="33" t="s">
        <v>450</v>
      </c>
      <c r="F115" s="81">
        <v>476</v>
      </c>
      <c r="G115">
        <f t="shared" si="4"/>
        <v>-348</v>
      </c>
      <c r="H115">
        <f t="shared" si="5"/>
        <v>-348</v>
      </c>
      <c r="I115" s="33" t="s">
        <v>887</v>
      </c>
      <c r="J115">
        <v>476</v>
      </c>
      <c r="K115">
        <f t="shared" si="6"/>
        <v>0</v>
      </c>
      <c r="L115" s="200">
        <f t="shared" si="7"/>
        <v>0</v>
      </c>
      <c r="M115" t="s">
        <v>998</v>
      </c>
    </row>
    <row r="116" spans="1:14" hidden="1" x14ac:dyDescent="0.15">
      <c r="A116" s="33" t="s">
        <v>353</v>
      </c>
      <c r="B116" s="33" t="s">
        <v>451</v>
      </c>
      <c r="C116" s="33">
        <v>195</v>
      </c>
      <c r="D116" s="33" t="s">
        <v>339</v>
      </c>
      <c r="E116" s="33" t="s">
        <v>451</v>
      </c>
      <c r="F116" s="81">
        <v>1788</v>
      </c>
      <c r="G116">
        <f t="shared" si="4"/>
        <v>-1593</v>
      </c>
      <c r="H116">
        <f t="shared" si="5"/>
        <v>-1593</v>
      </c>
      <c r="I116" s="33" t="s">
        <v>887</v>
      </c>
      <c r="J116">
        <v>1788</v>
      </c>
      <c r="K116">
        <f t="shared" si="6"/>
        <v>0</v>
      </c>
      <c r="L116" s="200">
        <f t="shared" si="7"/>
        <v>0</v>
      </c>
      <c r="M116" t="s">
        <v>999</v>
      </c>
      <c r="N116" t="s">
        <v>1000</v>
      </c>
    </row>
    <row r="117" spans="1:14" hidden="1" x14ac:dyDescent="0.15">
      <c r="A117" s="33" t="s">
        <v>353</v>
      </c>
      <c r="B117" s="33" t="s">
        <v>452</v>
      </c>
      <c r="C117" s="33">
        <v>33463</v>
      </c>
      <c r="D117" s="33" t="s">
        <v>339</v>
      </c>
      <c r="E117" s="33" t="s">
        <v>452</v>
      </c>
      <c r="F117" s="81">
        <v>33463</v>
      </c>
      <c r="G117">
        <f t="shared" si="4"/>
        <v>0</v>
      </c>
      <c r="H117">
        <f t="shared" si="5"/>
        <v>0</v>
      </c>
      <c r="J117">
        <v>33463</v>
      </c>
      <c r="K117">
        <f t="shared" si="6"/>
        <v>0</v>
      </c>
      <c r="L117" s="200">
        <f t="shared" si="7"/>
        <v>0</v>
      </c>
      <c r="M117" t="s">
        <v>1001</v>
      </c>
    </row>
    <row r="118" spans="1:14" hidden="1" x14ac:dyDescent="0.15">
      <c r="A118" s="33" t="s">
        <v>353</v>
      </c>
      <c r="B118" s="33" t="s">
        <v>453</v>
      </c>
      <c r="C118" s="33">
        <v>67</v>
      </c>
      <c r="D118" s="33" t="s">
        <v>339</v>
      </c>
      <c r="E118" s="33" t="s">
        <v>453</v>
      </c>
      <c r="F118" s="81">
        <v>67</v>
      </c>
      <c r="G118">
        <f t="shared" si="4"/>
        <v>0</v>
      </c>
      <c r="H118">
        <f t="shared" si="5"/>
        <v>0</v>
      </c>
      <c r="J118">
        <v>67</v>
      </c>
      <c r="K118">
        <f t="shared" si="6"/>
        <v>0</v>
      </c>
      <c r="L118" s="200">
        <f t="shared" si="7"/>
        <v>0</v>
      </c>
      <c r="M118" t="s">
        <v>1002</v>
      </c>
    </row>
    <row r="119" spans="1:14" hidden="1" x14ac:dyDescent="0.15">
      <c r="A119" s="33" t="s">
        <v>353</v>
      </c>
      <c r="B119" s="33" t="s">
        <v>454</v>
      </c>
      <c r="C119" s="33">
        <v>32</v>
      </c>
      <c r="D119" s="33" t="s">
        <v>339</v>
      </c>
      <c r="E119" s="33" t="s">
        <v>454</v>
      </c>
      <c r="F119" s="81">
        <v>32</v>
      </c>
      <c r="G119">
        <f t="shared" si="4"/>
        <v>0</v>
      </c>
      <c r="H119">
        <f t="shared" si="5"/>
        <v>0</v>
      </c>
      <c r="J119">
        <v>32</v>
      </c>
      <c r="K119">
        <f t="shared" si="6"/>
        <v>0</v>
      </c>
      <c r="L119" s="200">
        <f t="shared" si="7"/>
        <v>0</v>
      </c>
      <c r="M119" t="s">
        <v>1003</v>
      </c>
      <c r="N119" t="s">
        <v>1004</v>
      </c>
    </row>
    <row r="120" spans="1:14" hidden="1" x14ac:dyDescent="0.15">
      <c r="A120" s="33" t="s">
        <v>353</v>
      </c>
      <c r="B120" s="33" t="s">
        <v>455</v>
      </c>
      <c r="C120" s="33">
        <v>4</v>
      </c>
      <c r="D120" s="33" t="s">
        <v>339</v>
      </c>
      <c r="E120" s="33" t="s">
        <v>455</v>
      </c>
      <c r="F120" s="81">
        <v>4</v>
      </c>
      <c r="G120">
        <f t="shared" si="4"/>
        <v>0</v>
      </c>
      <c r="H120">
        <f t="shared" si="5"/>
        <v>0</v>
      </c>
      <c r="J120">
        <v>4</v>
      </c>
      <c r="K120">
        <f t="shared" si="6"/>
        <v>0</v>
      </c>
      <c r="L120" s="200">
        <f t="shared" si="7"/>
        <v>0</v>
      </c>
      <c r="M120" t="s">
        <v>1005</v>
      </c>
    </row>
    <row r="121" spans="1:14" hidden="1" x14ac:dyDescent="0.15">
      <c r="A121" s="33" t="s">
        <v>353</v>
      </c>
      <c r="B121" s="33" t="s">
        <v>456</v>
      </c>
      <c r="C121" s="33">
        <v>83</v>
      </c>
      <c r="D121" s="33" t="s">
        <v>339</v>
      </c>
      <c r="E121" s="33" t="s">
        <v>456</v>
      </c>
      <c r="F121" s="81">
        <v>83</v>
      </c>
      <c r="G121">
        <f t="shared" si="4"/>
        <v>0</v>
      </c>
      <c r="H121">
        <f t="shared" si="5"/>
        <v>0</v>
      </c>
      <c r="J121">
        <v>83</v>
      </c>
      <c r="K121">
        <f t="shared" si="6"/>
        <v>0</v>
      </c>
      <c r="L121" s="200">
        <f t="shared" si="7"/>
        <v>0</v>
      </c>
      <c r="M121" t="s">
        <v>1006</v>
      </c>
    </row>
    <row r="122" spans="1:14" hidden="1" x14ac:dyDescent="0.15">
      <c r="A122" s="33" t="s">
        <v>353</v>
      </c>
      <c r="B122" s="33" t="s">
        <v>457</v>
      </c>
      <c r="C122" s="33">
        <v>18</v>
      </c>
      <c r="D122" s="33" t="s">
        <v>339</v>
      </c>
      <c r="E122" s="33" t="s">
        <v>457</v>
      </c>
      <c r="F122" s="81">
        <v>18</v>
      </c>
      <c r="G122">
        <f t="shared" si="4"/>
        <v>0</v>
      </c>
      <c r="H122">
        <f t="shared" si="5"/>
        <v>0</v>
      </c>
      <c r="J122">
        <v>18</v>
      </c>
      <c r="K122">
        <f t="shared" si="6"/>
        <v>0</v>
      </c>
      <c r="L122" s="200">
        <f t="shared" si="7"/>
        <v>0</v>
      </c>
      <c r="M122" t="s">
        <v>1007</v>
      </c>
    </row>
    <row r="123" spans="1:14" hidden="1" x14ac:dyDescent="0.15">
      <c r="A123" s="33" t="s">
        <v>353</v>
      </c>
      <c r="B123" s="33" t="s">
        <v>458</v>
      </c>
      <c r="C123" s="33">
        <v>158724</v>
      </c>
      <c r="D123" s="33" t="s">
        <v>339</v>
      </c>
      <c r="E123" s="33" t="s">
        <v>458</v>
      </c>
      <c r="F123" s="81">
        <v>159237</v>
      </c>
      <c r="G123">
        <f t="shared" si="4"/>
        <v>-513</v>
      </c>
      <c r="H123">
        <f t="shared" si="5"/>
        <v>-513</v>
      </c>
      <c r="I123" s="33" t="s">
        <v>887</v>
      </c>
      <c r="J123">
        <v>159237</v>
      </c>
      <c r="K123">
        <f t="shared" si="6"/>
        <v>0</v>
      </c>
      <c r="L123" s="200">
        <f t="shared" si="7"/>
        <v>0</v>
      </c>
      <c r="M123" t="s">
        <v>1008</v>
      </c>
    </row>
    <row r="124" spans="1:14" hidden="1" x14ac:dyDescent="0.15">
      <c r="A124" s="33" t="s">
        <v>353</v>
      </c>
      <c r="B124" s="33" t="s">
        <v>459</v>
      </c>
      <c r="C124" s="33">
        <v>90</v>
      </c>
      <c r="D124" s="33" t="s">
        <v>339</v>
      </c>
      <c r="E124" s="33" t="s">
        <v>459</v>
      </c>
      <c r="F124" s="81">
        <v>90</v>
      </c>
      <c r="G124">
        <f t="shared" si="4"/>
        <v>0</v>
      </c>
      <c r="H124">
        <f t="shared" si="5"/>
        <v>0</v>
      </c>
      <c r="J124">
        <v>90</v>
      </c>
      <c r="K124">
        <f t="shared" si="6"/>
        <v>0</v>
      </c>
      <c r="L124" s="200">
        <f t="shared" si="7"/>
        <v>0</v>
      </c>
      <c r="M124" t="s">
        <v>1009</v>
      </c>
    </row>
    <row r="125" spans="1:14" hidden="1" x14ac:dyDescent="0.15">
      <c r="A125" s="33" t="s">
        <v>353</v>
      </c>
      <c r="B125" s="33" t="s">
        <v>460</v>
      </c>
      <c r="C125" s="33">
        <v>12</v>
      </c>
      <c r="D125" s="33" t="s">
        <v>339</v>
      </c>
      <c r="E125" s="33" t="s">
        <v>460</v>
      </c>
      <c r="F125" s="81">
        <v>12</v>
      </c>
      <c r="G125">
        <f t="shared" si="4"/>
        <v>0</v>
      </c>
      <c r="H125">
        <f t="shared" si="5"/>
        <v>0</v>
      </c>
      <c r="J125">
        <v>12</v>
      </c>
      <c r="K125">
        <f t="shared" si="6"/>
        <v>0</v>
      </c>
      <c r="L125" s="200">
        <f t="shared" si="7"/>
        <v>0</v>
      </c>
      <c r="M125" t="s">
        <v>1010</v>
      </c>
    </row>
    <row r="126" spans="1:14" hidden="1" x14ac:dyDescent="0.15">
      <c r="A126" s="33" t="s">
        <v>353</v>
      </c>
      <c r="B126" s="33" t="s">
        <v>461</v>
      </c>
      <c r="C126" s="33">
        <v>290</v>
      </c>
      <c r="D126" s="33" t="s">
        <v>339</v>
      </c>
      <c r="E126" s="33" t="s">
        <v>461</v>
      </c>
      <c r="F126" s="81">
        <v>290</v>
      </c>
      <c r="G126">
        <f t="shared" si="4"/>
        <v>0</v>
      </c>
      <c r="H126">
        <f t="shared" si="5"/>
        <v>0</v>
      </c>
      <c r="J126">
        <v>290</v>
      </c>
      <c r="K126">
        <f t="shared" si="6"/>
        <v>0</v>
      </c>
      <c r="L126" s="200">
        <f t="shared" si="7"/>
        <v>0</v>
      </c>
      <c r="M126" t="s">
        <v>1011</v>
      </c>
    </row>
    <row r="127" spans="1:14" hidden="1" x14ac:dyDescent="0.15">
      <c r="A127" s="33" t="s">
        <v>353</v>
      </c>
      <c r="B127" s="33" t="s">
        <v>462</v>
      </c>
      <c r="C127" s="33">
        <v>2704</v>
      </c>
      <c r="D127" s="33" t="s">
        <v>339</v>
      </c>
      <c r="E127" s="33" t="s">
        <v>462</v>
      </c>
      <c r="F127" s="81">
        <v>2704</v>
      </c>
      <c r="G127">
        <f t="shared" si="4"/>
        <v>0</v>
      </c>
      <c r="H127">
        <f t="shared" si="5"/>
        <v>0</v>
      </c>
      <c r="J127">
        <v>2704</v>
      </c>
      <c r="K127">
        <f t="shared" si="6"/>
        <v>0</v>
      </c>
      <c r="L127" s="200">
        <f t="shared" si="7"/>
        <v>0</v>
      </c>
      <c r="M127" t="s">
        <v>1012</v>
      </c>
    </row>
    <row r="128" spans="1:14" hidden="1" x14ac:dyDescent="0.15">
      <c r="A128" s="33" t="s">
        <v>353</v>
      </c>
      <c r="B128" s="33" t="s">
        <v>463</v>
      </c>
      <c r="C128" s="33">
        <v>2521</v>
      </c>
      <c r="D128" s="33" t="s">
        <v>339</v>
      </c>
      <c r="E128" s="33" t="s">
        <v>463</v>
      </c>
      <c r="F128" s="81">
        <v>3</v>
      </c>
      <c r="G128">
        <f t="shared" si="4"/>
        <v>2518</v>
      </c>
      <c r="H128">
        <f t="shared" si="5"/>
        <v>2518</v>
      </c>
      <c r="I128" s="33" t="s">
        <v>887</v>
      </c>
      <c r="J128">
        <v>3</v>
      </c>
      <c r="K128">
        <f t="shared" si="6"/>
        <v>0</v>
      </c>
      <c r="L128" s="200">
        <f t="shared" si="7"/>
        <v>0</v>
      </c>
      <c r="M128" t="s">
        <v>1013</v>
      </c>
    </row>
    <row r="129" spans="1:14" hidden="1" x14ac:dyDescent="0.15">
      <c r="A129" s="33" t="s">
        <v>353</v>
      </c>
      <c r="B129" s="33" t="s">
        <v>464</v>
      </c>
      <c r="C129" s="33">
        <v>12220773</v>
      </c>
      <c r="D129" s="33" t="s">
        <v>339</v>
      </c>
      <c r="E129" s="33" t="s">
        <v>464</v>
      </c>
      <c r="F129" s="81">
        <v>12220773</v>
      </c>
      <c r="G129">
        <f t="shared" si="4"/>
        <v>0</v>
      </c>
      <c r="H129">
        <f t="shared" si="5"/>
        <v>0</v>
      </c>
      <c r="J129">
        <v>12220773</v>
      </c>
      <c r="K129">
        <f t="shared" si="6"/>
        <v>0</v>
      </c>
      <c r="L129" s="200">
        <f t="shared" si="7"/>
        <v>0</v>
      </c>
      <c r="M129" t="s">
        <v>1014</v>
      </c>
    </row>
    <row r="130" spans="1:14" hidden="1" x14ac:dyDescent="0.15">
      <c r="A130" s="33" t="s">
        <v>353</v>
      </c>
      <c r="B130" s="33" t="s">
        <v>465</v>
      </c>
      <c r="C130" s="33">
        <v>161</v>
      </c>
      <c r="E130" s="33" t="s">
        <v>465</v>
      </c>
      <c r="G130">
        <f t="shared" si="4"/>
        <v>161</v>
      </c>
      <c r="H130">
        <f t="shared" si="5"/>
        <v>0</v>
      </c>
      <c r="I130" s="33" t="s">
        <v>887</v>
      </c>
      <c r="J130">
        <v>0</v>
      </c>
      <c r="K130">
        <f t="shared" si="6"/>
        <v>0</v>
      </c>
      <c r="L130" s="200">
        <f t="shared" si="7"/>
        <v>0</v>
      </c>
      <c r="M130" t="s">
        <v>1015</v>
      </c>
    </row>
    <row r="131" spans="1:14" hidden="1" x14ac:dyDescent="0.15">
      <c r="A131" s="33" t="s">
        <v>353</v>
      </c>
      <c r="B131" s="33" t="s">
        <v>466</v>
      </c>
      <c r="C131" s="33">
        <v>82</v>
      </c>
      <c r="D131" s="33" t="s">
        <v>339</v>
      </c>
      <c r="E131" s="33" t="s">
        <v>466</v>
      </c>
      <c r="F131" s="81">
        <v>537</v>
      </c>
      <c r="G131">
        <f t="shared" si="4"/>
        <v>-455</v>
      </c>
      <c r="H131">
        <f t="shared" si="5"/>
        <v>-455</v>
      </c>
      <c r="I131" s="33" t="s">
        <v>887</v>
      </c>
      <c r="J131">
        <v>537</v>
      </c>
      <c r="K131">
        <f t="shared" si="6"/>
        <v>0</v>
      </c>
      <c r="L131" s="200">
        <f t="shared" si="7"/>
        <v>0</v>
      </c>
      <c r="M131" t="s">
        <v>1016</v>
      </c>
    </row>
    <row r="132" spans="1:14" hidden="1" x14ac:dyDescent="0.15">
      <c r="A132" s="33" t="s">
        <v>353</v>
      </c>
      <c r="B132" s="33" t="s">
        <v>467</v>
      </c>
      <c r="C132" s="33">
        <v>10</v>
      </c>
      <c r="D132" s="33" t="s">
        <v>339</v>
      </c>
      <c r="E132" s="33" t="s">
        <v>467</v>
      </c>
      <c r="F132" s="81">
        <v>4</v>
      </c>
      <c r="G132">
        <f t="shared" si="4"/>
        <v>6</v>
      </c>
      <c r="H132">
        <f t="shared" si="5"/>
        <v>6</v>
      </c>
      <c r="I132" s="33" t="s">
        <v>887</v>
      </c>
      <c r="J132">
        <v>4</v>
      </c>
      <c r="K132">
        <f t="shared" si="6"/>
        <v>0</v>
      </c>
      <c r="L132" s="200">
        <f t="shared" si="7"/>
        <v>0</v>
      </c>
      <c r="M132" t="s">
        <v>1017</v>
      </c>
    </row>
    <row r="133" spans="1:14" hidden="1" x14ac:dyDescent="0.15">
      <c r="A133" s="33" t="s">
        <v>353</v>
      </c>
      <c r="B133" s="33" t="s">
        <v>468</v>
      </c>
      <c r="C133" s="33">
        <v>161</v>
      </c>
      <c r="E133" s="33" t="s">
        <v>468</v>
      </c>
      <c r="G133">
        <f t="shared" si="4"/>
        <v>161</v>
      </c>
      <c r="H133">
        <f t="shared" si="5"/>
        <v>0</v>
      </c>
      <c r="I133" s="33" t="s">
        <v>887</v>
      </c>
      <c r="J133">
        <v>0</v>
      </c>
      <c r="K133">
        <f t="shared" si="6"/>
        <v>0</v>
      </c>
      <c r="L133" s="200">
        <f t="shared" si="7"/>
        <v>0</v>
      </c>
      <c r="M133" t="s">
        <v>1018</v>
      </c>
    </row>
    <row r="134" spans="1:14" hidden="1" x14ac:dyDescent="0.15">
      <c r="A134" s="33" t="s">
        <v>353</v>
      </c>
      <c r="B134" s="33" t="s">
        <v>469</v>
      </c>
      <c r="C134" s="33">
        <v>1251</v>
      </c>
      <c r="E134" s="33" t="s">
        <v>469</v>
      </c>
      <c r="G134">
        <f t="shared" si="4"/>
        <v>1251</v>
      </c>
      <c r="H134">
        <f t="shared" si="5"/>
        <v>0</v>
      </c>
      <c r="I134" s="33" t="s">
        <v>887</v>
      </c>
      <c r="J134">
        <v>0</v>
      </c>
      <c r="K134">
        <f t="shared" si="6"/>
        <v>0</v>
      </c>
      <c r="L134" s="200">
        <f t="shared" si="7"/>
        <v>0</v>
      </c>
      <c r="M134" t="s">
        <v>1019</v>
      </c>
    </row>
    <row r="135" spans="1:14" hidden="1" x14ac:dyDescent="0.15">
      <c r="A135" s="33" t="s">
        <v>353</v>
      </c>
      <c r="B135" s="33" t="s">
        <v>470</v>
      </c>
      <c r="C135" s="33">
        <v>6</v>
      </c>
      <c r="D135" s="33" t="s">
        <v>339</v>
      </c>
      <c r="E135" s="33" t="s">
        <v>470</v>
      </c>
      <c r="F135" s="81">
        <v>7</v>
      </c>
      <c r="G135">
        <f t="shared" si="4"/>
        <v>-1</v>
      </c>
      <c r="H135">
        <f t="shared" si="5"/>
        <v>-1</v>
      </c>
      <c r="I135" s="33" t="s">
        <v>887</v>
      </c>
      <c r="J135">
        <v>7</v>
      </c>
      <c r="K135">
        <f t="shared" si="6"/>
        <v>0</v>
      </c>
      <c r="L135" s="200">
        <f t="shared" si="7"/>
        <v>0</v>
      </c>
      <c r="M135" t="s">
        <v>1020</v>
      </c>
    </row>
    <row r="136" spans="1:14" hidden="1" x14ac:dyDescent="0.15">
      <c r="B136" s="33" t="s">
        <v>1021</v>
      </c>
      <c r="D136" s="33" t="s">
        <v>339</v>
      </c>
      <c r="E136" s="33" t="s">
        <v>1021</v>
      </c>
      <c r="F136" s="81">
        <v>2222</v>
      </c>
      <c r="G136">
        <f t="shared" si="4"/>
        <v>-2222</v>
      </c>
      <c r="H136">
        <f t="shared" si="5"/>
        <v>0</v>
      </c>
      <c r="I136" s="33" t="s">
        <v>887</v>
      </c>
      <c r="J136">
        <v>2225</v>
      </c>
      <c r="K136">
        <f t="shared" si="6"/>
        <v>3</v>
      </c>
      <c r="L136" s="200">
        <f t="shared" si="7"/>
        <v>1.3492241960872497E-3</v>
      </c>
      <c r="M136" t="s">
        <v>1022</v>
      </c>
    </row>
    <row r="137" spans="1:14" hidden="1" x14ac:dyDescent="0.15">
      <c r="A137" s="33" t="s">
        <v>353</v>
      </c>
      <c r="B137" s="33" t="s">
        <v>471</v>
      </c>
      <c r="C137" s="33">
        <v>1</v>
      </c>
      <c r="D137" s="33" t="s">
        <v>339</v>
      </c>
      <c r="E137" s="33" t="s">
        <v>471</v>
      </c>
      <c r="F137" s="81">
        <v>1</v>
      </c>
      <c r="G137">
        <f t="shared" si="4"/>
        <v>0</v>
      </c>
      <c r="H137">
        <f t="shared" si="5"/>
        <v>0</v>
      </c>
      <c r="J137">
        <v>1</v>
      </c>
      <c r="K137">
        <f t="shared" si="6"/>
        <v>0</v>
      </c>
      <c r="L137" s="200">
        <f t="shared" si="7"/>
        <v>0</v>
      </c>
      <c r="M137" t="s">
        <v>1023</v>
      </c>
      <c r="N137" t="s">
        <v>1024</v>
      </c>
    </row>
    <row r="138" spans="1:14" hidden="1" x14ac:dyDescent="0.15">
      <c r="A138" s="33" t="s">
        <v>353</v>
      </c>
      <c r="B138" s="33" t="s">
        <v>472</v>
      </c>
      <c r="C138" s="33">
        <v>1</v>
      </c>
      <c r="D138" s="33" t="s">
        <v>339</v>
      </c>
      <c r="E138" s="33" t="s">
        <v>472</v>
      </c>
      <c r="F138" s="81">
        <v>1</v>
      </c>
      <c r="G138">
        <f t="shared" si="4"/>
        <v>0</v>
      </c>
      <c r="H138">
        <f t="shared" si="5"/>
        <v>0</v>
      </c>
      <c r="J138">
        <v>1</v>
      </c>
      <c r="K138">
        <f t="shared" si="6"/>
        <v>0</v>
      </c>
      <c r="L138" s="200">
        <f t="shared" si="7"/>
        <v>0</v>
      </c>
      <c r="M138" t="s">
        <v>1025</v>
      </c>
    </row>
    <row r="139" spans="1:14" hidden="1" x14ac:dyDescent="0.15">
      <c r="A139" s="33" t="s">
        <v>353</v>
      </c>
      <c r="B139" s="33" t="s">
        <v>473</v>
      </c>
      <c r="C139" s="33">
        <v>5</v>
      </c>
      <c r="D139" s="33" t="s">
        <v>339</v>
      </c>
      <c r="E139" s="33" t="s">
        <v>473</v>
      </c>
      <c r="F139" s="81">
        <v>5</v>
      </c>
      <c r="G139">
        <f t="shared" si="4"/>
        <v>0</v>
      </c>
      <c r="H139">
        <f t="shared" si="5"/>
        <v>0</v>
      </c>
      <c r="J139">
        <v>5</v>
      </c>
      <c r="K139">
        <f t="shared" si="6"/>
        <v>0</v>
      </c>
      <c r="L139" s="200">
        <f t="shared" si="7"/>
        <v>0</v>
      </c>
      <c r="M139" t="s">
        <v>1026</v>
      </c>
    </row>
    <row r="140" spans="1:14" hidden="1" x14ac:dyDescent="0.15">
      <c r="A140" s="33" t="s">
        <v>353</v>
      </c>
      <c r="B140" s="33" t="s">
        <v>474</v>
      </c>
      <c r="C140" s="33">
        <v>3777</v>
      </c>
      <c r="D140" s="33" t="s">
        <v>339</v>
      </c>
      <c r="E140" s="33" t="s">
        <v>474</v>
      </c>
      <c r="F140" s="81">
        <v>3777</v>
      </c>
      <c r="G140">
        <f t="shared" si="4"/>
        <v>0</v>
      </c>
      <c r="H140">
        <f t="shared" si="5"/>
        <v>0</v>
      </c>
      <c r="J140">
        <v>3777</v>
      </c>
      <c r="K140">
        <f t="shared" si="6"/>
        <v>0</v>
      </c>
      <c r="L140" s="200">
        <f t="shared" si="7"/>
        <v>0</v>
      </c>
      <c r="M140" t="s">
        <v>1027</v>
      </c>
      <c r="N140" t="s">
        <v>1028</v>
      </c>
    </row>
    <row r="141" spans="1:14" x14ac:dyDescent="0.15">
      <c r="A141" s="33" t="s">
        <v>353</v>
      </c>
      <c r="B141" s="33" t="s">
        <v>475</v>
      </c>
      <c r="C141" s="33">
        <v>8427495</v>
      </c>
      <c r="D141" s="33" t="s">
        <v>339</v>
      </c>
      <c r="E141" s="33" t="s">
        <v>475</v>
      </c>
      <c r="F141" s="81">
        <v>8427495</v>
      </c>
      <c r="G141">
        <f t="shared" si="4"/>
        <v>0</v>
      </c>
      <c r="H141">
        <f t="shared" si="5"/>
        <v>0</v>
      </c>
      <c r="J141">
        <v>8439183</v>
      </c>
      <c r="K141">
        <f t="shared" si="6"/>
        <v>11688</v>
      </c>
      <c r="L141" s="200">
        <f t="shared" si="7"/>
        <v>1.3859279224990243E-3</v>
      </c>
      <c r="M141" t="s">
        <v>1029</v>
      </c>
      <c r="N141" t="s">
        <v>1030</v>
      </c>
    </row>
    <row r="142" spans="1:14" hidden="1" x14ac:dyDescent="0.15">
      <c r="A142" s="33" t="s">
        <v>353</v>
      </c>
      <c r="B142" s="33" t="s">
        <v>476</v>
      </c>
      <c r="C142" s="33">
        <v>1103</v>
      </c>
      <c r="D142" s="33" t="s">
        <v>339</v>
      </c>
      <c r="E142" s="33" t="s">
        <v>476</v>
      </c>
      <c r="F142" s="81">
        <v>1103</v>
      </c>
      <c r="G142">
        <f t="shared" si="4"/>
        <v>0</v>
      </c>
      <c r="H142">
        <f t="shared" si="5"/>
        <v>0</v>
      </c>
      <c r="J142">
        <v>1103</v>
      </c>
      <c r="K142">
        <f t="shared" si="6"/>
        <v>0</v>
      </c>
      <c r="L142" s="200">
        <f t="shared" si="7"/>
        <v>0</v>
      </c>
      <c r="M142" t="s">
        <v>1031</v>
      </c>
    </row>
    <row r="143" spans="1:14" hidden="1" x14ac:dyDescent="0.15">
      <c r="A143" s="33" t="s">
        <v>353</v>
      </c>
      <c r="B143" s="33" t="s">
        <v>477</v>
      </c>
      <c r="C143" s="33">
        <v>5</v>
      </c>
      <c r="D143" s="33" t="s">
        <v>339</v>
      </c>
      <c r="E143" s="33" t="s">
        <v>477</v>
      </c>
      <c r="F143" s="81">
        <v>5</v>
      </c>
      <c r="G143">
        <f t="shared" si="4"/>
        <v>0</v>
      </c>
      <c r="H143">
        <f t="shared" si="5"/>
        <v>0</v>
      </c>
      <c r="J143">
        <v>5</v>
      </c>
      <c r="K143">
        <f t="shared" si="6"/>
        <v>0</v>
      </c>
      <c r="L143" s="200">
        <f t="shared" si="7"/>
        <v>0</v>
      </c>
      <c r="M143" t="s">
        <v>1032</v>
      </c>
    </row>
    <row r="144" spans="1:14" hidden="1" x14ac:dyDescent="0.15">
      <c r="A144" s="33" t="s">
        <v>353</v>
      </c>
      <c r="B144" s="33" t="s">
        <v>478</v>
      </c>
      <c r="C144" s="33">
        <v>551</v>
      </c>
      <c r="D144" s="33" t="s">
        <v>339</v>
      </c>
      <c r="E144" s="33" t="s">
        <v>478</v>
      </c>
      <c r="F144" s="81">
        <v>551</v>
      </c>
      <c r="G144">
        <f t="shared" si="4"/>
        <v>0</v>
      </c>
      <c r="H144">
        <f t="shared" si="5"/>
        <v>0</v>
      </c>
      <c r="J144">
        <v>551</v>
      </c>
      <c r="K144">
        <f t="shared" si="6"/>
        <v>0</v>
      </c>
      <c r="L144" s="200">
        <f t="shared" si="7"/>
        <v>0</v>
      </c>
      <c r="M144" t="s">
        <v>1033</v>
      </c>
    </row>
    <row r="145" spans="1:14" hidden="1" x14ac:dyDescent="0.15">
      <c r="A145" s="33" t="s">
        <v>353</v>
      </c>
      <c r="B145" s="33" t="s">
        <v>479</v>
      </c>
      <c r="C145" s="33">
        <v>185</v>
      </c>
      <c r="D145" s="33" t="s">
        <v>339</v>
      </c>
      <c r="E145" s="33" t="s">
        <v>479</v>
      </c>
      <c r="F145" s="81">
        <v>185</v>
      </c>
      <c r="G145">
        <f t="shared" ref="G145:G208" si="8">C145-F145</f>
        <v>0</v>
      </c>
      <c r="H145">
        <f t="shared" ref="H145:H208" si="9">IF(OR(C145=0, F145=0), 0, C145-F145)</f>
        <v>0</v>
      </c>
      <c r="J145">
        <v>185</v>
      </c>
      <c r="K145">
        <f t="shared" ref="K145:K208" si="10">J145-F145</f>
        <v>0</v>
      </c>
      <c r="L145" s="200">
        <f t="shared" ref="L145:L208" si="11">IFERROR(ABS(F145 - J145) / ((F145 + J145) / 2),0)</f>
        <v>0</v>
      </c>
      <c r="M145" t="s">
        <v>1034</v>
      </c>
    </row>
    <row r="146" spans="1:14" hidden="1" x14ac:dyDescent="0.15">
      <c r="A146" s="33" t="s">
        <v>353</v>
      </c>
      <c r="B146" s="33" t="s">
        <v>480</v>
      </c>
      <c r="C146" s="33">
        <v>181</v>
      </c>
      <c r="D146" s="33" t="s">
        <v>339</v>
      </c>
      <c r="E146" s="33" t="s">
        <v>480</v>
      </c>
      <c r="F146" s="81">
        <v>181</v>
      </c>
      <c r="G146">
        <f t="shared" si="8"/>
        <v>0</v>
      </c>
      <c r="H146">
        <f t="shared" si="9"/>
        <v>0</v>
      </c>
      <c r="J146">
        <v>181</v>
      </c>
      <c r="K146">
        <f t="shared" si="10"/>
        <v>0</v>
      </c>
      <c r="L146" s="200">
        <f t="shared" si="11"/>
        <v>0</v>
      </c>
      <c r="M146" t="s">
        <v>1035</v>
      </c>
      <c r="N146" t="s">
        <v>1036</v>
      </c>
    </row>
    <row r="147" spans="1:14" hidden="1" x14ac:dyDescent="0.15">
      <c r="A147" s="33" t="s">
        <v>353</v>
      </c>
      <c r="B147" s="33" t="s">
        <v>481</v>
      </c>
      <c r="C147" s="33">
        <v>10414</v>
      </c>
      <c r="D147" s="33" t="s">
        <v>339</v>
      </c>
      <c r="E147" s="33" t="s">
        <v>481</v>
      </c>
      <c r="F147" s="81">
        <v>10414</v>
      </c>
      <c r="G147">
        <f t="shared" si="8"/>
        <v>0</v>
      </c>
      <c r="H147">
        <f t="shared" si="9"/>
        <v>0</v>
      </c>
      <c r="J147">
        <v>10414</v>
      </c>
      <c r="K147">
        <f t="shared" si="10"/>
        <v>0</v>
      </c>
      <c r="L147" s="200">
        <f t="shared" si="11"/>
        <v>0</v>
      </c>
      <c r="M147" t="s">
        <v>1037</v>
      </c>
    </row>
    <row r="148" spans="1:14" hidden="1" x14ac:dyDescent="0.15">
      <c r="B148" s="33" t="s">
        <v>1038</v>
      </c>
      <c r="D148" s="33" t="s">
        <v>339</v>
      </c>
      <c r="E148" s="33" t="s">
        <v>1038</v>
      </c>
      <c r="F148" s="81">
        <v>158</v>
      </c>
      <c r="G148">
        <f t="shared" si="8"/>
        <v>-158</v>
      </c>
      <c r="H148">
        <f t="shared" si="9"/>
        <v>0</v>
      </c>
      <c r="I148" s="33" t="s">
        <v>887</v>
      </c>
      <c r="J148">
        <v>159</v>
      </c>
      <c r="K148">
        <f t="shared" si="10"/>
        <v>1</v>
      </c>
      <c r="L148" s="200">
        <f t="shared" si="11"/>
        <v>6.3091482649842269E-3</v>
      </c>
      <c r="M148" t="s">
        <v>1039</v>
      </c>
      <c r="N148" t="s">
        <v>1040</v>
      </c>
    </row>
    <row r="149" spans="1:14" hidden="1" x14ac:dyDescent="0.15">
      <c r="B149" s="33" t="s">
        <v>1041</v>
      </c>
      <c r="D149" s="33" t="s">
        <v>339</v>
      </c>
      <c r="E149" s="33" t="s">
        <v>1041</v>
      </c>
      <c r="F149" s="81">
        <v>2590</v>
      </c>
      <c r="G149">
        <f t="shared" si="8"/>
        <v>-2590</v>
      </c>
      <c r="H149">
        <f t="shared" si="9"/>
        <v>0</v>
      </c>
      <c r="I149" s="33" t="s">
        <v>887</v>
      </c>
      <c r="J149">
        <v>3883</v>
      </c>
      <c r="K149">
        <f t="shared" si="10"/>
        <v>1293</v>
      </c>
      <c r="L149" s="200">
        <f t="shared" si="11"/>
        <v>0.39950563880735362</v>
      </c>
      <c r="M149" t="s">
        <v>1042</v>
      </c>
      <c r="N149" t="s">
        <v>1043</v>
      </c>
    </row>
    <row r="150" spans="1:14" hidden="1" x14ac:dyDescent="0.15">
      <c r="B150" s="33" t="s">
        <v>1044</v>
      </c>
      <c r="D150" s="33" t="s">
        <v>339</v>
      </c>
      <c r="E150" s="33" t="s">
        <v>1044</v>
      </c>
      <c r="F150" s="81">
        <v>4</v>
      </c>
      <c r="G150">
        <f t="shared" si="8"/>
        <v>-4</v>
      </c>
      <c r="H150">
        <f t="shared" si="9"/>
        <v>0</v>
      </c>
      <c r="I150" s="33" t="s">
        <v>887</v>
      </c>
      <c r="J150">
        <v>4</v>
      </c>
      <c r="K150">
        <f t="shared" si="10"/>
        <v>0</v>
      </c>
      <c r="L150" s="200">
        <f t="shared" si="11"/>
        <v>0</v>
      </c>
      <c r="M150" t="s">
        <v>1045</v>
      </c>
      <c r="N150" t="s">
        <v>1046</v>
      </c>
    </row>
    <row r="151" spans="1:14" hidden="1" x14ac:dyDescent="0.15">
      <c r="A151" s="33" t="s">
        <v>353</v>
      </c>
      <c r="B151" s="33" t="s">
        <v>482</v>
      </c>
      <c r="C151" s="33">
        <v>497</v>
      </c>
      <c r="D151" s="33" t="s">
        <v>339</v>
      </c>
      <c r="E151" s="33" t="s">
        <v>482</v>
      </c>
      <c r="F151" s="81">
        <v>497</v>
      </c>
      <c r="G151">
        <f t="shared" si="8"/>
        <v>0</v>
      </c>
      <c r="H151">
        <f t="shared" si="9"/>
        <v>0</v>
      </c>
      <c r="J151">
        <v>497</v>
      </c>
      <c r="K151">
        <f t="shared" si="10"/>
        <v>0</v>
      </c>
      <c r="L151" s="200">
        <f t="shared" si="11"/>
        <v>0</v>
      </c>
      <c r="M151" t="s">
        <v>1047</v>
      </c>
    </row>
    <row r="152" spans="1:14" hidden="1" x14ac:dyDescent="0.15">
      <c r="B152" s="33" t="s">
        <v>1048</v>
      </c>
      <c r="D152" s="33" t="s">
        <v>339</v>
      </c>
      <c r="E152" s="33" t="s">
        <v>1048</v>
      </c>
      <c r="F152" s="81">
        <v>179</v>
      </c>
      <c r="G152">
        <f t="shared" si="8"/>
        <v>-179</v>
      </c>
      <c r="H152">
        <f t="shared" si="9"/>
        <v>0</v>
      </c>
      <c r="I152" s="33" t="s">
        <v>887</v>
      </c>
      <c r="J152">
        <v>179</v>
      </c>
      <c r="K152">
        <f t="shared" si="10"/>
        <v>0</v>
      </c>
      <c r="L152" s="200">
        <f t="shared" si="11"/>
        <v>0</v>
      </c>
      <c r="M152" t="s">
        <v>1049</v>
      </c>
      <c r="N152" t="s">
        <v>1050</v>
      </c>
    </row>
    <row r="153" spans="1:14" hidden="1" x14ac:dyDescent="0.15">
      <c r="A153" s="33" t="s">
        <v>353</v>
      </c>
      <c r="B153" s="33" t="s">
        <v>483</v>
      </c>
      <c r="C153" s="33">
        <v>1267</v>
      </c>
      <c r="D153" s="33" t="s">
        <v>339</v>
      </c>
      <c r="E153" s="33" t="s">
        <v>483</v>
      </c>
      <c r="F153" s="81">
        <v>6597</v>
      </c>
      <c r="G153">
        <f t="shared" si="8"/>
        <v>-5330</v>
      </c>
      <c r="H153">
        <f t="shared" si="9"/>
        <v>-5330</v>
      </c>
      <c r="I153" s="33" t="s">
        <v>887</v>
      </c>
      <c r="J153">
        <v>6597</v>
      </c>
      <c r="K153">
        <f t="shared" si="10"/>
        <v>0</v>
      </c>
      <c r="L153" s="200">
        <f t="shared" si="11"/>
        <v>0</v>
      </c>
      <c r="M153" t="s">
        <v>1051</v>
      </c>
      <c r="N153" t="s">
        <v>1052</v>
      </c>
    </row>
    <row r="154" spans="1:14" hidden="1" x14ac:dyDescent="0.15">
      <c r="B154" s="33" t="s">
        <v>1053</v>
      </c>
      <c r="D154" s="33" t="s">
        <v>339</v>
      </c>
      <c r="E154" s="33" t="s">
        <v>1053</v>
      </c>
      <c r="F154" s="81">
        <v>6</v>
      </c>
      <c r="G154">
        <f t="shared" si="8"/>
        <v>-6</v>
      </c>
      <c r="H154">
        <f t="shared" si="9"/>
        <v>0</v>
      </c>
      <c r="I154" s="33" t="s">
        <v>887</v>
      </c>
      <c r="J154">
        <v>6</v>
      </c>
      <c r="K154">
        <f t="shared" si="10"/>
        <v>0</v>
      </c>
      <c r="L154" s="200">
        <f t="shared" si="11"/>
        <v>0</v>
      </c>
      <c r="M154" t="s">
        <v>1054</v>
      </c>
      <c r="N154" t="s">
        <v>1055</v>
      </c>
    </row>
    <row r="155" spans="1:14" hidden="1" x14ac:dyDescent="0.15">
      <c r="A155" s="33" t="s">
        <v>353</v>
      </c>
      <c r="B155" s="33" t="s">
        <v>484</v>
      </c>
      <c r="C155" s="33">
        <v>178</v>
      </c>
      <c r="D155" s="33" t="s">
        <v>339</v>
      </c>
      <c r="E155" s="33" t="s">
        <v>484</v>
      </c>
      <c r="F155" s="81">
        <v>1193</v>
      </c>
      <c r="G155">
        <f t="shared" si="8"/>
        <v>-1015</v>
      </c>
      <c r="H155">
        <f t="shared" si="9"/>
        <v>-1015</v>
      </c>
      <c r="I155" s="33" t="s">
        <v>887</v>
      </c>
      <c r="J155">
        <v>1193</v>
      </c>
      <c r="K155">
        <f t="shared" si="10"/>
        <v>0</v>
      </c>
      <c r="L155" s="200">
        <f t="shared" si="11"/>
        <v>0</v>
      </c>
      <c r="M155" t="s">
        <v>1056</v>
      </c>
      <c r="N155" t="s">
        <v>1057</v>
      </c>
    </row>
    <row r="156" spans="1:14" hidden="1" x14ac:dyDescent="0.15">
      <c r="B156" s="33" t="s">
        <v>1058</v>
      </c>
      <c r="D156" s="33" t="s">
        <v>339</v>
      </c>
      <c r="E156" s="33" t="s">
        <v>1058</v>
      </c>
      <c r="F156" s="81">
        <v>111</v>
      </c>
      <c r="G156">
        <f t="shared" si="8"/>
        <v>-111</v>
      </c>
      <c r="H156">
        <f t="shared" si="9"/>
        <v>0</v>
      </c>
      <c r="I156" s="33" t="s">
        <v>887</v>
      </c>
      <c r="J156">
        <v>111</v>
      </c>
      <c r="K156">
        <f t="shared" si="10"/>
        <v>0</v>
      </c>
      <c r="L156" s="200">
        <f t="shared" si="11"/>
        <v>0</v>
      </c>
      <c r="M156" t="s">
        <v>1059</v>
      </c>
      <c r="N156" t="s">
        <v>1055</v>
      </c>
    </row>
    <row r="157" spans="1:14" x14ac:dyDescent="0.15">
      <c r="A157" s="33" t="s">
        <v>353</v>
      </c>
      <c r="B157" s="33" t="s">
        <v>485</v>
      </c>
      <c r="C157" s="33">
        <v>39</v>
      </c>
      <c r="D157" s="33" t="s">
        <v>339</v>
      </c>
      <c r="E157" s="33" t="s">
        <v>485</v>
      </c>
      <c r="F157" s="81">
        <v>39</v>
      </c>
      <c r="G157">
        <f t="shared" si="8"/>
        <v>0</v>
      </c>
      <c r="H157">
        <f t="shared" si="9"/>
        <v>0</v>
      </c>
      <c r="J157">
        <v>214</v>
      </c>
      <c r="K157">
        <f t="shared" si="10"/>
        <v>175</v>
      </c>
      <c r="L157" s="200">
        <f t="shared" si="11"/>
        <v>1.383399209486166</v>
      </c>
      <c r="M157" t="s">
        <v>1060</v>
      </c>
    </row>
    <row r="158" spans="1:14" hidden="1" x14ac:dyDescent="0.15">
      <c r="A158" s="33" t="s">
        <v>353</v>
      </c>
      <c r="B158" s="33" t="s">
        <v>486</v>
      </c>
      <c r="C158" s="33">
        <v>73804</v>
      </c>
      <c r="D158" s="33" t="s">
        <v>339</v>
      </c>
      <c r="E158" s="33" t="s">
        <v>486</v>
      </c>
      <c r="F158" s="81">
        <v>476859</v>
      </c>
      <c r="G158">
        <f t="shared" si="8"/>
        <v>-403055</v>
      </c>
      <c r="H158">
        <f t="shared" si="9"/>
        <v>-403055</v>
      </c>
      <c r="I158" s="33" t="s">
        <v>887</v>
      </c>
      <c r="J158">
        <v>476868</v>
      </c>
      <c r="K158">
        <f t="shared" si="10"/>
        <v>9</v>
      </c>
      <c r="L158" s="200">
        <f t="shared" si="11"/>
        <v>1.887332538556631E-5</v>
      </c>
      <c r="M158" t="s">
        <v>1061</v>
      </c>
      <c r="N158" t="s">
        <v>1062</v>
      </c>
    </row>
    <row r="159" spans="1:14" hidden="1" x14ac:dyDescent="0.15">
      <c r="B159" s="33" t="s">
        <v>1063</v>
      </c>
      <c r="D159" s="33" t="s">
        <v>339</v>
      </c>
      <c r="E159" s="33" t="s">
        <v>1063</v>
      </c>
      <c r="F159" s="81">
        <v>311</v>
      </c>
      <c r="G159">
        <f t="shared" si="8"/>
        <v>-311</v>
      </c>
      <c r="H159">
        <f t="shared" si="9"/>
        <v>0</v>
      </c>
      <c r="I159" s="33" t="s">
        <v>866</v>
      </c>
      <c r="J159">
        <v>624</v>
      </c>
      <c r="K159">
        <f t="shared" si="10"/>
        <v>313</v>
      </c>
      <c r="L159" s="200">
        <f t="shared" si="11"/>
        <v>0.66951871657754014</v>
      </c>
      <c r="M159" t="s">
        <v>1064</v>
      </c>
      <c r="N159" t="s">
        <v>1065</v>
      </c>
    </row>
    <row r="160" spans="1:14" hidden="1" x14ac:dyDescent="0.15">
      <c r="A160" s="33" t="s">
        <v>353</v>
      </c>
      <c r="B160" s="33" t="s">
        <v>487</v>
      </c>
      <c r="C160" s="33">
        <v>152</v>
      </c>
      <c r="D160" s="33" t="s">
        <v>339</v>
      </c>
      <c r="E160" s="33" t="s">
        <v>487</v>
      </c>
      <c r="F160" s="81">
        <v>152</v>
      </c>
      <c r="G160">
        <f t="shared" si="8"/>
        <v>0</v>
      </c>
      <c r="H160">
        <f t="shared" si="9"/>
        <v>0</v>
      </c>
      <c r="J160">
        <v>152</v>
      </c>
      <c r="K160">
        <f t="shared" si="10"/>
        <v>0</v>
      </c>
      <c r="L160" s="200">
        <f t="shared" si="11"/>
        <v>0</v>
      </c>
      <c r="M160" t="s">
        <v>1066</v>
      </c>
    </row>
    <row r="161" spans="1:14" hidden="1" x14ac:dyDescent="0.15">
      <c r="A161" s="33" t="s">
        <v>353</v>
      </c>
      <c r="B161" s="33" t="s">
        <v>488</v>
      </c>
      <c r="C161" s="33">
        <v>6372</v>
      </c>
      <c r="D161" s="33" t="s">
        <v>339</v>
      </c>
      <c r="E161" s="33" t="s">
        <v>488</v>
      </c>
      <c r="F161" s="81">
        <v>6372</v>
      </c>
      <c r="G161">
        <f t="shared" si="8"/>
        <v>0</v>
      </c>
      <c r="H161">
        <f t="shared" si="9"/>
        <v>0</v>
      </c>
      <c r="J161">
        <v>6372</v>
      </c>
      <c r="K161">
        <f t="shared" si="10"/>
        <v>0</v>
      </c>
      <c r="L161" s="200">
        <f t="shared" si="11"/>
        <v>0</v>
      </c>
      <c r="M161" t="s">
        <v>1067</v>
      </c>
    </row>
    <row r="162" spans="1:14" hidden="1" x14ac:dyDescent="0.15">
      <c r="A162" s="33" t="s">
        <v>353</v>
      </c>
      <c r="B162" s="33" t="s">
        <v>489</v>
      </c>
      <c r="C162" s="33">
        <v>7542</v>
      </c>
      <c r="D162" s="33" t="s">
        <v>339</v>
      </c>
      <c r="E162" s="33" t="s">
        <v>489</v>
      </c>
      <c r="F162" s="81">
        <v>7542</v>
      </c>
      <c r="G162">
        <f t="shared" si="8"/>
        <v>0</v>
      </c>
      <c r="H162">
        <f t="shared" si="9"/>
        <v>0</v>
      </c>
      <c r="J162">
        <v>7542</v>
      </c>
      <c r="K162">
        <f t="shared" si="10"/>
        <v>0</v>
      </c>
      <c r="L162" s="200">
        <f t="shared" si="11"/>
        <v>0</v>
      </c>
      <c r="M162" t="s">
        <v>1068</v>
      </c>
    </row>
    <row r="163" spans="1:14" hidden="1" x14ac:dyDescent="0.15">
      <c r="A163" s="33" t="s">
        <v>353</v>
      </c>
      <c r="B163" s="33" t="s">
        <v>490</v>
      </c>
      <c r="C163" s="33">
        <v>12195</v>
      </c>
      <c r="D163" s="33" t="s">
        <v>339</v>
      </c>
      <c r="E163" s="33" t="s">
        <v>490</v>
      </c>
      <c r="F163" s="81">
        <v>12195</v>
      </c>
      <c r="G163">
        <f t="shared" si="8"/>
        <v>0</v>
      </c>
      <c r="H163">
        <f t="shared" si="9"/>
        <v>0</v>
      </c>
      <c r="J163">
        <v>12195</v>
      </c>
      <c r="K163">
        <f t="shared" si="10"/>
        <v>0</v>
      </c>
      <c r="L163" s="200">
        <f t="shared" si="11"/>
        <v>0</v>
      </c>
      <c r="M163" t="s">
        <v>1069</v>
      </c>
    </row>
    <row r="164" spans="1:14" hidden="1" x14ac:dyDescent="0.15">
      <c r="A164" s="33" t="s">
        <v>353</v>
      </c>
      <c r="B164" s="33" t="s">
        <v>491</v>
      </c>
      <c r="C164" s="33">
        <v>3168</v>
      </c>
      <c r="D164" s="33" t="s">
        <v>339</v>
      </c>
      <c r="E164" s="33" t="s">
        <v>491</v>
      </c>
      <c r="F164" s="81">
        <v>3168</v>
      </c>
      <c r="G164">
        <f t="shared" si="8"/>
        <v>0</v>
      </c>
      <c r="H164">
        <f t="shared" si="9"/>
        <v>0</v>
      </c>
      <c r="J164">
        <v>3168</v>
      </c>
      <c r="K164">
        <f t="shared" si="10"/>
        <v>0</v>
      </c>
      <c r="L164" s="200">
        <f t="shared" si="11"/>
        <v>0</v>
      </c>
      <c r="M164" t="s">
        <v>1070</v>
      </c>
    </row>
    <row r="165" spans="1:14" x14ac:dyDescent="0.15">
      <c r="A165" s="33" t="s">
        <v>353</v>
      </c>
      <c r="B165" s="33" t="s">
        <v>492</v>
      </c>
      <c r="C165" s="33">
        <v>8</v>
      </c>
      <c r="D165" s="33" t="s">
        <v>339</v>
      </c>
      <c r="E165" s="33" t="s">
        <v>492</v>
      </c>
      <c r="F165" s="81">
        <v>8</v>
      </c>
      <c r="G165">
        <f t="shared" si="8"/>
        <v>0</v>
      </c>
      <c r="H165">
        <f t="shared" si="9"/>
        <v>0</v>
      </c>
      <c r="J165">
        <v>10</v>
      </c>
      <c r="K165">
        <f t="shared" si="10"/>
        <v>2</v>
      </c>
      <c r="L165" s="200">
        <f t="shared" si="11"/>
        <v>0.22222222222222221</v>
      </c>
      <c r="M165" t="s">
        <v>1071</v>
      </c>
    </row>
    <row r="166" spans="1:14" hidden="1" x14ac:dyDescent="0.15">
      <c r="A166" s="33" t="s">
        <v>353</v>
      </c>
      <c r="B166" s="33" t="s">
        <v>493</v>
      </c>
      <c r="C166" s="33">
        <v>54</v>
      </c>
      <c r="D166" s="33" t="s">
        <v>339</v>
      </c>
      <c r="E166" s="33" t="s">
        <v>493</v>
      </c>
      <c r="F166" s="81">
        <v>54</v>
      </c>
      <c r="G166">
        <f t="shared" si="8"/>
        <v>0</v>
      </c>
      <c r="H166">
        <f t="shared" si="9"/>
        <v>0</v>
      </c>
      <c r="J166">
        <v>54</v>
      </c>
      <c r="K166">
        <f t="shared" si="10"/>
        <v>0</v>
      </c>
      <c r="L166" s="200">
        <f t="shared" si="11"/>
        <v>0</v>
      </c>
      <c r="M166" t="s">
        <v>1072</v>
      </c>
    </row>
    <row r="167" spans="1:14" x14ac:dyDescent="0.15">
      <c r="A167" s="33" t="s">
        <v>353</v>
      </c>
      <c r="B167" s="33" t="s">
        <v>494</v>
      </c>
      <c r="C167" s="33">
        <v>5466</v>
      </c>
      <c r="D167" s="33" t="s">
        <v>339</v>
      </c>
      <c r="E167" s="33" t="s">
        <v>494</v>
      </c>
      <c r="F167" s="81">
        <v>5466</v>
      </c>
      <c r="G167">
        <f t="shared" si="8"/>
        <v>0</v>
      </c>
      <c r="H167">
        <f t="shared" si="9"/>
        <v>0</v>
      </c>
      <c r="J167">
        <v>5913</v>
      </c>
      <c r="K167">
        <f t="shared" si="10"/>
        <v>447</v>
      </c>
      <c r="L167" s="200">
        <f t="shared" si="11"/>
        <v>7.8565779066701813E-2</v>
      </c>
      <c r="M167" t="s">
        <v>1073</v>
      </c>
    </row>
    <row r="168" spans="1:14" hidden="1" x14ac:dyDescent="0.15">
      <c r="A168" s="33" t="s">
        <v>353</v>
      </c>
      <c r="B168" s="33" t="s">
        <v>495</v>
      </c>
      <c r="C168" s="33">
        <v>408667</v>
      </c>
      <c r="D168" s="33" t="s">
        <v>339</v>
      </c>
      <c r="E168" s="33" t="s">
        <v>495</v>
      </c>
      <c r="F168" s="81">
        <v>408667</v>
      </c>
      <c r="G168">
        <f t="shared" si="8"/>
        <v>0</v>
      </c>
      <c r="H168">
        <f t="shared" si="9"/>
        <v>0</v>
      </c>
      <c r="J168">
        <v>408667</v>
      </c>
      <c r="K168">
        <f t="shared" si="10"/>
        <v>0</v>
      </c>
      <c r="L168" s="200">
        <f t="shared" si="11"/>
        <v>0</v>
      </c>
      <c r="M168" t="s">
        <v>1074</v>
      </c>
    </row>
    <row r="169" spans="1:14" hidden="1" x14ac:dyDescent="0.15">
      <c r="A169" s="33" t="s">
        <v>353</v>
      </c>
      <c r="B169" s="33" t="s">
        <v>496</v>
      </c>
      <c r="C169" s="33">
        <v>6212</v>
      </c>
      <c r="D169" s="33" t="s">
        <v>339</v>
      </c>
      <c r="E169" s="33" t="s">
        <v>496</v>
      </c>
      <c r="F169" s="81">
        <v>6212</v>
      </c>
      <c r="G169">
        <f t="shared" si="8"/>
        <v>0</v>
      </c>
      <c r="H169">
        <f t="shared" si="9"/>
        <v>0</v>
      </c>
      <c r="J169">
        <v>6212</v>
      </c>
      <c r="K169">
        <f t="shared" si="10"/>
        <v>0</v>
      </c>
      <c r="L169" s="200">
        <f t="shared" si="11"/>
        <v>0</v>
      </c>
      <c r="M169" t="s">
        <v>1075</v>
      </c>
      <c r="N169" t="s">
        <v>1076</v>
      </c>
    </row>
    <row r="170" spans="1:14" hidden="1" x14ac:dyDescent="0.15">
      <c r="A170" s="33" t="s">
        <v>353</v>
      </c>
      <c r="B170" s="33" t="s">
        <v>497</v>
      </c>
      <c r="C170" s="33">
        <v>95279</v>
      </c>
      <c r="D170" s="33" t="s">
        <v>339</v>
      </c>
      <c r="E170" s="33" t="s">
        <v>497</v>
      </c>
      <c r="F170" s="81">
        <v>95279</v>
      </c>
      <c r="G170">
        <f t="shared" si="8"/>
        <v>0</v>
      </c>
      <c r="H170">
        <f t="shared" si="9"/>
        <v>0</v>
      </c>
      <c r="J170">
        <v>95279</v>
      </c>
      <c r="K170">
        <f t="shared" si="10"/>
        <v>0</v>
      </c>
      <c r="L170" s="200">
        <f t="shared" si="11"/>
        <v>0</v>
      </c>
      <c r="M170" t="s">
        <v>1077</v>
      </c>
    </row>
    <row r="171" spans="1:14" hidden="1" x14ac:dyDescent="0.15">
      <c r="B171" s="33" t="s">
        <v>1078</v>
      </c>
      <c r="D171" s="33" t="s">
        <v>339</v>
      </c>
      <c r="E171" s="33" t="s">
        <v>1078</v>
      </c>
      <c r="F171" s="81">
        <v>2</v>
      </c>
      <c r="G171">
        <f t="shared" si="8"/>
        <v>-2</v>
      </c>
      <c r="H171">
        <f t="shared" si="9"/>
        <v>0</v>
      </c>
      <c r="I171" s="33" t="s">
        <v>887</v>
      </c>
      <c r="J171">
        <v>2</v>
      </c>
      <c r="K171">
        <f t="shared" si="10"/>
        <v>0</v>
      </c>
      <c r="L171" s="200">
        <f t="shared" si="11"/>
        <v>0</v>
      </c>
      <c r="M171" t="s">
        <v>1079</v>
      </c>
      <c r="N171" t="s">
        <v>1080</v>
      </c>
    </row>
    <row r="172" spans="1:14" hidden="1" x14ac:dyDescent="0.15">
      <c r="B172" s="33" t="s">
        <v>1081</v>
      </c>
      <c r="D172" s="33" t="s">
        <v>339</v>
      </c>
      <c r="E172" s="33" t="s">
        <v>1081</v>
      </c>
      <c r="F172" s="81">
        <v>29</v>
      </c>
      <c r="G172">
        <f t="shared" si="8"/>
        <v>-29</v>
      </c>
      <c r="H172">
        <f t="shared" si="9"/>
        <v>0</v>
      </c>
      <c r="I172" s="33" t="s">
        <v>887</v>
      </c>
      <c r="J172">
        <v>29</v>
      </c>
      <c r="K172">
        <f t="shared" si="10"/>
        <v>0</v>
      </c>
      <c r="L172" s="200">
        <f t="shared" si="11"/>
        <v>0</v>
      </c>
      <c r="M172" t="s">
        <v>1082</v>
      </c>
      <c r="N172" t="s">
        <v>1083</v>
      </c>
    </row>
    <row r="173" spans="1:14" hidden="1" x14ac:dyDescent="0.15">
      <c r="B173" s="33" t="s">
        <v>1084</v>
      </c>
      <c r="D173" s="33" t="s">
        <v>339</v>
      </c>
      <c r="E173" s="33" t="s">
        <v>1084</v>
      </c>
      <c r="F173" s="81">
        <v>29</v>
      </c>
      <c r="G173">
        <f t="shared" si="8"/>
        <v>-29</v>
      </c>
      <c r="H173">
        <f t="shared" si="9"/>
        <v>0</v>
      </c>
      <c r="I173" s="33" t="s">
        <v>887</v>
      </c>
      <c r="J173">
        <v>29</v>
      </c>
      <c r="K173">
        <f t="shared" si="10"/>
        <v>0</v>
      </c>
      <c r="L173" s="200">
        <f t="shared" si="11"/>
        <v>0</v>
      </c>
      <c r="M173" t="s">
        <v>1085</v>
      </c>
      <c r="N173" t="s">
        <v>1086</v>
      </c>
    </row>
    <row r="174" spans="1:14" hidden="1" x14ac:dyDescent="0.15">
      <c r="A174" s="33" t="s">
        <v>353</v>
      </c>
      <c r="B174" s="33" t="s">
        <v>498</v>
      </c>
      <c r="C174" s="33">
        <v>1072</v>
      </c>
      <c r="D174" s="33" t="s">
        <v>339</v>
      </c>
      <c r="E174" s="33" t="s">
        <v>498</v>
      </c>
      <c r="F174" s="81">
        <v>2164</v>
      </c>
      <c r="G174">
        <f t="shared" si="8"/>
        <v>-1092</v>
      </c>
      <c r="H174">
        <f t="shared" si="9"/>
        <v>-1092</v>
      </c>
      <c r="I174" s="33" t="s">
        <v>887</v>
      </c>
      <c r="J174">
        <v>2164</v>
      </c>
      <c r="K174">
        <f t="shared" si="10"/>
        <v>0</v>
      </c>
      <c r="L174" s="200">
        <f t="shared" si="11"/>
        <v>0</v>
      </c>
      <c r="M174" t="s">
        <v>1087</v>
      </c>
      <c r="N174" t="s">
        <v>1088</v>
      </c>
    </row>
    <row r="175" spans="1:14" hidden="1" x14ac:dyDescent="0.15">
      <c r="B175" s="33" t="s">
        <v>1089</v>
      </c>
      <c r="D175" s="33" t="s">
        <v>339</v>
      </c>
      <c r="E175" s="33" t="s">
        <v>1089</v>
      </c>
      <c r="F175" s="81">
        <v>4865</v>
      </c>
      <c r="G175">
        <f t="shared" si="8"/>
        <v>-4865</v>
      </c>
      <c r="H175">
        <f t="shared" si="9"/>
        <v>0</v>
      </c>
      <c r="I175" s="33" t="s">
        <v>887</v>
      </c>
      <c r="J175">
        <v>4865</v>
      </c>
      <c r="K175">
        <f t="shared" si="10"/>
        <v>0</v>
      </c>
      <c r="L175" s="200">
        <f t="shared" si="11"/>
        <v>0</v>
      </c>
      <c r="M175" t="s">
        <v>1090</v>
      </c>
      <c r="N175" t="s">
        <v>1083</v>
      </c>
    </row>
    <row r="176" spans="1:14" hidden="1" x14ac:dyDescent="0.15">
      <c r="B176" s="33" t="s">
        <v>1091</v>
      </c>
      <c r="D176" s="33" t="s">
        <v>339</v>
      </c>
      <c r="E176" s="33" t="s">
        <v>1091</v>
      </c>
      <c r="F176" s="81">
        <v>2</v>
      </c>
      <c r="G176">
        <f t="shared" si="8"/>
        <v>-2</v>
      </c>
      <c r="H176">
        <f t="shared" si="9"/>
        <v>0</v>
      </c>
      <c r="I176" s="33" t="s">
        <v>887</v>
      </c>
      <c r="J176">
        <v>2</v>
      </c>
      <c r="K176">
        <f t="shared" si="10"/>
        <v>0</v>
      </c>
      <c r="L176" s="200">
        <f t="shared" si="11"/>
        <v>0</v>
      </c>
      <c r="M176" t="s">
        <v>1092</v>
      </c>
    </row>
    <row r="177" spans="1:14" hidden="1" x14ac:dyDescent="0.15">
      <c r="B177" s="33" t="s">
        <v>1093</v>
      </c>
      <c r="D177" s="33" t="s">
        <v>339</v>
      </c>
      <c r="E177" s="33" t="s">
        <v>1093</v>
      </c>
      <c r="F177" s="81">
        <v>9</v>
      </c>
      <c r="G177">
        <f t="shared" si="8"/>
        <v>-9</v>
      </c>
      <c r="H177">
        <f t="shared" si="9"/>
        <v>0</v>
      </c>
      <c r="I177" s="33" t="s">
        <v>887</v>
      </c>
      <c r="J177">
        <v>9</v>
      </c>
      <c r="K177">
        <f t="shared" si="10"/>
        <v>0</v>
      </c>
      <c r="L177" s="200">
        <f t="shared" si="11"/>
        <v>0</v>
      </c>
      <c r="M177" t="s">
        <v>1094</v>
      </c>
      <c r="N177" t="s">
        <v>1095</v>
      </c>
    </row>
    <row r="178" spans="1:14" hidden="1" x14ac:dyDescent="0.15">
      <c r="B178" s="33" t="s">
        <v>1096</v>
      </c>
      <c r="D178" s="33" t="s">
        <v>339</v>
      </c>
      <c r="E178" s="33" t="s">
        <v>1096</v>
      </c>
      <c r="F178" s="81">
        <v>2457</v>
      </c>
      <c r="G178">
        <f t="shared" si="8"/>
        <v>-2457</v>
      </c>
      <c r="H178">
        <f t="shared" si="9"/>
        <v>0</v>
      </c>
      <c r="I178" s="33" t="s">
        <v>887</v>
      </c>
      <c r="J178">
        <v>2457</v>
      </c>
      <c r="K178">
        <f t="shared" si="10"/>
        <v>0</v>
      </c>
      <c r="L178" s="200">
        <f t="shared" si="11"/>
        <v>0</v>
      </c>
      <c r="M178" t="s">
        <v>1097</v>
      </c>
    </row>
    <row r="179" spans="1:14" hidden="1" x14ac:dyDescent="0.15">
      <c r="B179" s="33" t="s">
        <v>1098</v>
      </c>
      <c r="D179" s="33" t="s">
        <v>339</v>
      </c>
      <c r="E179" s="33" t="s">
        <v>1098</v>
      </c>
      <c r="F179" s="81">
        <v>2464</v>
      </c>
      <c r="G179">
        <f t="shared" si="8"/>
        <v>-2464</v>
      </c>
      <c r="H179">
        <f t="shared" si="9"/>
        <v>0</v>
      </c>
      <c r="I179" s="33" t="s">
        <v>887</v>
      </c>
      <c r="J179">
        <v>2464</v>
      </c>
      <c r="K179">
        <f t="shared" si="10"/>
        <v>0</v>
      </c>
      <c r="L179" s="200">
        <f t="shared" si="11"/>
        <v>0</v>
      </c>
      <c r="M179" t="s">
        <v>1099</v>
      </c>
    </row>
    <row r="180" spans="1:14" hidden="1" x14ac:dyDescent="0.15">
      <c r="B180" s="33" t="s">
        <v>1100</v>
      </c>
      <c r="D180" s="33" t="s">
        <v>339</v>
      </c>
      <c r="E180" s="33" t="s">
        <v>1100</v>
      </c>
      <c r="F180" s="81">
        <v>92253</v>
      </c>
      <c r="G180">
        <f t="shared" si="8"/>
        <v>-92253</v>
      </c>
      <c r="H180">
        <f t="shared" si="9"/>
        <v>0</v>
      </c>
      <c r="I180" s="33" t="s">
        <v>887</v>
      </c>
      <c r="J180">
        <v>92303</v>
      </c>
      <c r="K180">
        <f t="shared" si="10"/>
        <v>50</v>
      </c>
      <c r="L180" s="200">
        <f t="shared" si="11"/>
        <v>5.4184095884176079E-4</v>
      </c>
      <c r="M180" t="s">
        <v>1101</v>
      </c>
    </row>
    <row r="181" spans="1:14" hidden="1" x14ac:dyDescent="0.15">
      <c r="B181" s="33" t="s">
        <v>1102</v>
      </c>
      <c r="D181" s="33" t="s">
        <v>339</v>
      </c>
      <c r="E181" s="33" t="s">
        <v>1102</v>
      </c>
      <c r="F181" s="81">
        <v>27991</v>
      </c>
      <c r="G181">
        <f t="shared" si="8"/>
        <v>-27991</v>
      </c>
      <c r="H181">
        <f t="shared" si="9"/>
        <v>0</v>
      </c>
      <c r="I181" s="33" t="s">
        <v>887</v>
      </c>
      <c r="J181">
        <v>28001</v>
      </c>
      <c r="K181">
        <f t="shared" si="10"/>
        <v>10</v>
      </c>
      <c r="L181" s="200">
        <f t="shared" si="11"/>
        <v>3.571938848406915E-4</v>
      </c>
      <c r="M181" t="s">
        <v>1103</v>
      </c>
      <c r="N181" t="s">
        <v>1104</v>
      </c>
    </row>
    <row r="182" spans="1:14" hidden="1" x14ac:dyDescent="0.15">
      <c r="B182" s="33" t="s">
        <v>1105</v>
      </c>
      <c r="D182" s="33" t="s">
        <v>339</v>
      </c>
      <c r="E182" s="33" t="s">
        <v>1105</v>
      </c>
      <c r="F182" s="81">
        <v>12563</v>
      </c>
      <c r="G182">
        <f t="shared" si="8"/>
        <v>-12563</v>
      </c>
      <c r="H182">
        <f t="shared" si="9"/>
        <v>0</v>
      </c>
      <c r="I182" s="33" t="s">
        <v>887</v>
      </c>
      <c r="J182">
        <v>12563</v>
      </c>
      <c r="K182">
        <f t="shared" si="10"/>
        <v>0</v>
      </c>
      <c r="L182" s="200">
        <f t="shared" si="11"/>
        <v>0</v>
      </c>
      <c r="M182" t="s">
        <v>1106</v>
      </c>
    </row>
    <row r="183" spans="1:14" hidden="1" x14ac:dyDescent="0.15">
      <c r="B183" s="33" t="s">
        <v>1107</v>
      </c>
      <c r="D183" s="33" t="s">
        <v>339</v>
      </c>
      <c r="E183" s="33" t="s">
        <v>1107</v>
      </c>
      <c r="F183" s="81">
        <v>2466</v>
      </c>
      <c r="G183">
        <f t="shared" si="8"/>
        <v>-2466</v>
      </c>
      <c r="H183">
        <f t="shared" si="9"/>
        <v>0</v>
      </c>
      <c r="I183" s="33" t="s">
        <v>887</v>
      </c>
      <c r="J183">
        <v>2466</v>
      </c>
      <c r="K183">
        <f t="shared" si="10"/>
        <v>0</v>
      </c>
      <c r="L183" s="200">
        <f t="shared" si="11"/>
        <v>0</v>
      </c>
      <c r="M183" t="s">
        <v>1108</v>
      </c>
      <c r="N183" t="s">
        <v>1109</v>
      </c>
    </row>
    <row r="184" spans="1:14" hidden="1" x14ac:dyDescent="0.15">
      <c r="B184" s="33" t="s">
        <v>1110</v>
      </c>
      <c r="D184" s="33" t="s">
        <v>339</v>
      </c>
      <c r="E184" s="33" t="s">
        <v>1110</v>
      </c>
      <c r="F184" s="81">
        <v>179029</v>
      </c>
      <c r="G184">
        <f t="shared" si="8"/>
        <v>-179029</v>
      </c>
      <c r="H184">
        <f t="shared" si="9"/>
        <v>0</v>
      </c>
      <c r="I184" s="33" t="s">
        <v>887</v>
      </c>
      <c r="J184">
        <v>179079</v>
      </c>
      <c r="K184">
        <f t="shared" si="10"/>
        <v>50</v>
      </c>
      <c r="L184" s="200">
        <f t="shared" si="11"/>
        <v>2.7924536731935615E-4</v>
      </c>
      <c r="M184" t="s">
        <v>1111</v>
      </c>
    </row>
    <row r="185" spans="1:14" hidden="1" x14ac:dyDescent="0.15">
      <c r="B185" s="33" t="s">
        <v>1112</v>
      </c>
      <c r="D185" s="33" t="s">
        <v>339</v>
      </c>
      <c r="E185" s="33" t="s">
        <v>1112</v>
      </c>
      <c r="F185" s="81">
        <v>13468</v>
      </c>
      <c r="G185">
        <f t="shared" si="8"/>
        <v>-13468</v>
      </c>
      <c r="H185">
        <f t="shared" si="9"/>
        <v>0</v>
      </c>
      <c r="I185" s="33" t="s">
        <v>887</v>
      </c>
      <c r="J185">
        <v>13469</v>
      </c>
      <c r="K185">
        <f t="shared" si="10"/>
        <v>1</v>
      </c>
      <c r="L185" s="200">
        <f t="shared" si="11"/>
        <v>7.4247317815643915E-5</v>
      </c>
      <c r="M185" t="s">
        <v>1113</v>
      </c>
    </row>
    <row r="186" spans="1:14" hidden="1" x14ac:dyDescent="0.15">
      <c r="A186" s="33" t="s">
        <v>353</v>
      </c>
      <c r="B186" s="33" t="s">
        <v>499</v>
      </c>
      <c r="C186" s="33">
        <v>5</v>
      </c>
      <c r="D186" s="33" t="s">
        <v>339</v>
      </c>
      <c r="E186" s="33" t="s">
        <v>499</v>
      </c>
      <c r="F186" s="81">
        <v>5</v>
      </c>
      <c r="G186">
        <f t="shared" si="8"/>
        <v>0</v>
      </c>
      <c r="H186">
        <f t="shared" si="9"/>
        <v>0</v>
      </c>
      <c r="J186">
        <v>5</v>
      </c>
      <c r="K186">
        <f t="shared" si="10"/>
        <v>0</v>
      </c>
      <c r="L186" s="200">
        <f t="shared" si="11"/>
        <v>0</v>
      </c>
      <c r="M186" t="s">
        <v>1114</v>
      </c>
    </row>
    <row r="187" spans="1:14" hidden="1" x14ac:dyDescent="0.15">
      <c r="A187" s="33" t="s">
        <v>353</v>
      </c>
      <c r="B187" s="33" t="s">
        <v>500</v>
      </c>
      <c r="C187" s="33">
        <v>60</v>
      </c>
      <c r="D187" s="33" t="s">
        <v>339</v>
      </c>
      <c r="E187" s="33" t="s">
        <v>500</v>
      </c>
      <c r="F187" s="81">
        <v>60</v>
      </c>
      <c r="G187">
        <f t="shared" si="8"/>
        <v>0</v>
      </c>
      <c r="H187">
        <f t="shared" si="9"/>
        <v>0</v>
      </c>
      <c r="J187">
        <v>60</v>
      </c>
      <c r="K187">
        <f t="shared" si="10"/>
        <v>0</v>
      </c>
      <c r="L187" s="200">
        <f t="shared" si="11"/>
        <v>0</v>
      </c>
      <c r="M187" t="s">
        <v>1115</v>
      </c>
    </row>
    <row r="188" spans="1:14" hidden="1" x14ac:dyDescent="0.15">
      <c r="A188" s="33" t="s">
        <v>353</v>
      </c>
      <c r="B188" s="33" t="s">
        <v>501</v>
      </c>
      <c r="C188" s="33">
        <v>22</v>
      </c>
      <c r="D188" s="33" t="s">
        <v>339</v>
      </c>
      <c r="E188" s="33" t="s">
        <v>501</v>
      </c>
      <c r="F188" s="81">
        <v>22</v>
      </c>
      <c r="G188">
        <f t="shared" si="8"/>
        <v>0</v>
      </c>
      <c r="H188">
        <f t="shared" si="9"/>
        <v>0</v>
      </c>
      <c r="J188">
        <v>22</v>
      </c>
      <c r="K188">
        <f t="shared" si="10"/>
        <v>0</v>
      </c>
      <c r="L188" s="200">
        <f t="shared" si="11"/>
        <v>0</v>
      </c>
      <c r="M188" t="s">
        <v>1116</v>
      </c>
    </row>
    <row r="189" spans="1:14" hidden="1" x14ac:dyDescent="0.15">
      <c r="A189" s="33" t="s">
        <v>353</v>
      </c>
      <c r="B189" s="33" t="s">
        <v>502</v>
      </c>
      <c r="C189" s="33">
        <v>19</v>
      </c>
      <c r="D189" s="33" t="s">
        <v>339</v>
      </c>
      <c r="E189" s="33" t="s">
        <v>502</v>
      </c>
      <c r="F189" s="81">
        <v>19</v>
      </c>
      <c r="G189">
        <f t="shared" si="8"/>
        <v>0</v>
      </c>
      <c r="H189">
        <f t="shared" si="9"/>
        <v>0</v>
      </c>
      <c r="J189">
        <v>19</v>
      </c>
      <c r="K189">
        <f t="shared" si="10"/>
        <v>0</v>
      </c>
      <c r="L189" s="200">
        <f t="shared" si="11"/>
        <v>0</v>
      </c>
      <c r="M189" t="s">
        <v>1117</v>
      </c>
    </row>
    <row r="190" spans="1:14" hidden="1" x14ac:dyDescent="0.15">
      <c r="A190" s="33" t="s">
        <v>353</v>
      </c>
      <c r="B190" s="33" t="s">
        <v>503</v>
      </c>
      <c r="C190" s="33">
        <v>2678</v>
      </c>
      <c r="D190" s="33" t="s">
        <v>339</v>
      </c>
      <c r="E190" s="33" t="s">
        <v>503</v>
      </c>
      <c r="F190" s="81">
        <v>5181</v>
      </c>
      <c r="G190">
        <f t="shared" si="8"/>
        <v>-2503</v>
      </c>
      <c r="H190">
        <f t="shared" si="9"/>
        <v>-2503</v>
      </c>
      <c r="I190" s="33" t="s">
        <v>887</v>
      </c>
      <c r="J190">
        <v>5181</v>
      </c>
      <c r="K190">
        <f t="shared" si="10"/>
        <v>0</v>
      </c>
      <c r="L190" s="200">
        <f t="shared" si="11"/>
        <v>0</v>
      </c>
      <c r="M190" t="s">
        <v>1118</v>
      </c>
      <c r="N190" t="s">
        <v>1119</v>
      </c>
    </row>
    <row r="191" spans="1:14" hidden="1" x14ac:dyDescent="0.15">
      <c r="A191" s="33" t="s">
        <v>353</v>
      </c>
      <c r="B191" s="33" t="s">
        <v>504</v>
      </c>
      <c r="C191" s="33">
        <v>214</v>
      </c>
      <c r="D191" s="33" t="s">
        <v>339</v>
      </c>
      <c r="E191" s="33" t="s">
        <v>504</v>
      </c>
      <c r="F191" s="81">
        <v>813</v>
      </c>
      <c r="G191">
        <f t="shared" si="8"/>
        <v>-599</v>
      </c>
      <c r="H191">
        <f t="shared" si="9"/>
        <v>-599</v>
      </c>
      <c r="I191" s="33" t="s">
        <v>887</v>
      </c>
      <c r="J191">
        <v>813</v>
      </c>
      <c r="K191">
        <f t="shared" si="10"/>
        <v>0</v>
      </c>
      <c r="L191" s="200">
        <f t="shared" si="11"/>
        <v>0</v>
      </c>
      <c r="M191" t="s">
        <v>1120</v>
      </c>
    </row>
    <row r="192" spans="1:14" hidden="1" x14ac:dyDescent="0.15">
      <c r="A192" s="33" t="s">
        <v>353</v>
      </c>
      <c r="B192" s="33" t="s">
        <v>505</v>
      </c>
      <c r="C192" s="33">
        <v>532</v>
      </c>
      <c r="D192" s="33" t="s">
        <v>339</v>
      </c>
      <c r="E192" s="33" t="s">
        <v>505</v>
      </c>
      <c r="F192" s="81">
        <v>1141</v>
      </c>
      <c r="G192">
        <f t="shared" si="8"/>
        <v>-609</v>
      </c>
      <c r="H192">
        <f t="shared" si="9"/>
        <v>-609</v>
      </c>
      <c r="I192" s="33" t="s">
        <v>887</v>
      </c>
      <c r="J192">
        <v>1141</v>
      </c>
      <c r="K192">
        <f t="shared" si="10"/>
        <v>0</v>
      </c>
      <c r="L192" s="200">
        <f t="shared" si="11"/>
        <v>0</v>
      </c>
      <c r="M192" t="s">
        <v>1121</v>
      </c>
    </row>
    <row r="193" spans="1:14" hidden="1" x14ac:dyDescent="0.15">
      <c r="A193" s="33" t="s">
        <v>353</v>
      </c>
      <c r="B193" s="33" t="s">
        <v>506</v>
      </c>
      <c r="C193" s="33">
        <v>1366</v>
      </c>
      <c r="D193" s="33" t="s">
        <v>339</v>
      </c>
      <c r="E193" s="33" t="s">
        <v>506</v>
      </c>
      <c r="F193" s="81">
        <v>28270</v>
      </c>
      <c r="G193">
        <f t="shared" si="8"/>
        <v>-26904</v>
      </c>
      <c r="H193">
        <f t="shared" si="9"/>
        <v>-26904</v>
      </c>
      <c r="I193" s="33" t="s">
        <v>887</v>
      </c>
      <c r="J193">
        <v>28270</v>
      </c>
      <c r="K193">
        <f t="shared" si="10"/>
        <v>0</v>
      </c>
      <c r="L193" s="200">
        <f t="shared" si="11"/>
        <v>0</v>
      </c>
      <c r="M193" t="s">
        <v>1122</v>
      </c>
      <c r="N193" t="s">
        <v>1123</v>
      </c>
    </row>
    <row r="194" spans="1:14" x14ac:dyDescent="0.15">
      <c r="A194" s="33" t="s">
        <v>353</v>
      </c>
      <c r="B194" s="33" t="s">
        <v>507</v>
      </c>
      <c r="C194" s="33">
        <v>16630</v>
      </c>
      <c r="D194" s="33" t="s">
        <v>339</v>
      </c>
      <c r="E194" s="33" t="s">
        <v>507</v>
      </c>
      <c r="F194" s="81">
        <v>16630</v>
      </c>
      <c r="G194">
        <f t="shared" si="8"/>
        <v>0</v>
      </c>
      <c r="H194">
        <f t="shared" si="9"/>
        <v>0</v>
      </c>
      <c r="J194">
        <v>16631</v>
      </c>
      <c r="K194">
        <f t="shared" si="10"/>
        <v>1</v>
      </c>
      <c r="L194" s="200">
        <f t="shared" si="11"/>
        <v>6.0130483148432099E-5</v>
      </c>
      <c r="M194" t="s">
        <v>1124</v>
      </c>
    </row>
    <row r="195" spans="1:14" hidden="1" x14ac:dyDescent="0.15">
      <c r="A195" s="33" t="s">
        <v>353</v>
      </c>
      <c r="B195" s="33" t="s">
        <v>508</v>
      </c>
      <c r="C195" s="33">
        <v>45726</v>
      </c>
      <c r="D195" s="33" t="s">
        <v>339</v>
      </c>
      <c r="E195" s="33" t="s">
        <v>508</v>
      </c>
      <c r="F195" s="81">
        <v>45726</v>
      </c>
      <c r="G195">
        <f t="shared" si="8"/>
        <v>0</v>
      </c>
      <c r="H195">
        <f t="shared" si="9"/>
        <v>0</v>
      </c>
      <c r="J195">
        <v>45726</v>
      </c>
      <c r="K195">
        <f t="shared" si="10"/>
        <v>0</v>
      </c>
      <c r="L195" s="200">
        <f t="shared" si="11"/>
        <v>0</v>
      </c>
      <c r="M195" t="s">
        <v>1125</v>
      </c>
      <c r="N195" t="s">
        <v>1126</v>
      </c>
    </row>
    <row r="196" spans="1:14" hidden="1" x14ac:dyDescent="0.15">
      <c r="A196" s="33" t="s">
        <v>353</v>
      </c>
      <c r="B196" s="33" t="s">
        <v>509</v>
      </c>
      <c r="C196" s="33">
        <v>663360</v>
      </c>
      <c r="D196" s="33" t="s">
        <v>339</v>
      </c>
      <c r="E196" s="33" t="s">
        <v>509</v>
      </c>
      <c r="F196" s="81">
        <v>663359</v>
      </c>
      <c r="G196">
        <f t="shared" si="8"/>
        <v>1</v>
      </c>
      <c r="H196">
        <f t="shared" si="9"/>
        <v>1</v>
      </c>
      <c r="I196" s="33" t="s">
        <v>866</v>
      </c>
      <c r="J196">
        <v>663381</v>
      </c>
      <c r="K196">
        <f t="shared" si="10"/>
        <v>22</v>
      </c>
      <c r="L196" s="200">
        <f t="shared" si="11"/>
        <v>3.3163995960022314E-5</v>
      </c>
      <c r="M196" t="s">
        <v>1127</v>
      </c>
    </row>
    <row r="197" spans="1:14" hidden="1" x14ac:dyDescent="0.15">
      <c r="A197" s="33" t="s">
        <v>353</v>
      </c>
      <c r="B197" s="33" t="s">
        <v>510</v>
      </c>
      <c r="C197" s="33">
        <v>37</v>
      </c>
      <c r="D197" s="33" t="s">
        <v>339</v>
      </c>
      <c r="E197" s="33" t="s">
        <v>510</v>
      </c>
      <c r="F197" s="81">
        <v>37</v>
      </c>
      <c r="G197">
        <f t="shared" si="8"/>
        <v>0</v>
      </c>
      <c r="H197">
        <f t="shared" si="9"/>
        <v>0</v>
      </c>
      <c r="J197">
        <v>37</v>
      </c>
      <c r="K197">
        <f t="shared" si="10"/>
        <v>0</v>
      </c>
      <c r="L197" s="200">
        <f t="shared" si="11"/>
        <v>0</v>
      </c>
      <c r="M197" t="s">
        <v>1128</v>
      </c>
    </row>
    <row r="198" spans="1:14" hidden="1" x14ac:dyDescent="0.15">
      <c r="B198" s="33" t="s">
        <v>1129</v>
      </c>
      <c r="D198" s="33" t="s">
        <v>339</v>
      </c>
      <c r="E198" s="33" t="s">
        <v>1129</v>
      </c>
      <c r="F198" s="81">
        <v>1</v>
      </c>
      <c r="G198">
        <f t="shared" si="8"/>
        <v>-1</v>
      </c>
      <c r="H198">
        <f t="shared" si="9"/>
        <v>0</v>
      </c>
      <c r="I198" s="33" t="s">
        <v>887</v>
      </c>
      <c r="J198">
        <v>1</v>
      </c>
      <c r="K198">
        <f t="shared" si="10"/>
        <v>0</v>
      </c>
      <c r="L198" s="200">
        <f t="shared" si="11"/>
        <v>0</v>
      </c>
      <c r="M198" t="s">
        <v>1130</v>
      </c>
    </row>
    <row r="199" spans="1:14" hidden="1" x14ac:dyDescent="0.15">
      <c r="A199" s="33" t="s">
        <v>353</v>
      </c>
      <c r="B199" s="33" t="s">
        <v>511</v>
      </c>
      <c r="C199" s="33">
        <v>212655</v>
      </c>
      <c r="D199" s="33" t="s">
        <v>339</v>
      </c>
      <c r="E199" s="33" t="s">
        <v>511</v>
      </c>
      <c r="F199" s="81">
        <v>226584</v>
      </c>
      <c r="G199">
        <f t="shared" si="8"/>
        <v>-13929</v>
      </c>
      <c r="H199">
        <f t="shared" si="9"/>
        <v>-13929</v>
      </c>
      <c r="I199" s="33" t="s">
        <v>887</v>
      </c>
      <c r="J199">
        <v>226727</v>
      </c>
      <c r="K199">
        <f t="shared" si="10"/>
        <v>143</v>
      </c>
      <c r="L199" s="200">
        <f t="shared" si="11"/>
        <v>6.3091343470597443E-4</v>
      </c>
      <c r="M199" t="s">
        <v>1125</v>
      </c>
      <c r="N199" t="s">
        <v>1131</v>
      </c>
    </row>
    <row r="200" spans="1:14" hidden="1" x14ac:dyDescent="0.15">
      <c r="A200" s="33" t="s">
        <v>353</v>
      </c>
      <c r="B200" s="33" t="s">
        <v>512</v>
      </c>
      <c r="C200" s="33">
        <v>1</v>
      </c>
      <c r="D200" s="33" t="s">
        <v>339</v>
      </c>
      <c r="E200" s="33" t="s">
        <v>512</v>
      </c>
      <c r="F200" s="81">
        <v>1</v>
      </c>
      <c r="G200">
        <f t="shared" si="8"/>
        <v>0</v>
      </c>
      <c r="H200">
        <f t="shared" si="9"/>
        <v>0</v>
      </c>
      <c r="J200">
        <v>1</v>
      </c>
      <c r="K200">
        <f t="shared" si="10"/>
        <v>0</v>
      </c>
      <c r="L200" s="200">
        <f t="shared" si="11"/>
        <v>0</v>
      </c>
      <c r="M200" t="s">
        <v>1132</v>
      </c>
    </row>
    <row r="201" spans="1:14" hidden="1" x14ac:dyDescent="0.15">
      <c r="A201" s="33" t="s">
        <v>353</v>
      </c>
      <c r="B201" s="33" t="s">
        <v>513</v>
      </c>
      <c r="C201" s="33">
        <v>292</v>
      </c>
      <c r="D201" s="33" t="s">
        <v>339</v>
      </c>
      <c r="E201" s="33" t="s">
        <v>513</v>
      </c>
      <c r="F201" s="81">
        <v>292</v>
      </c>
      <c r="G201">
        <f t="shared" si="8"/>
        <v>0</v>
      </c>
      <c r="H201">
        <f t="shared" si="9"/>
        <v>0</v>
      </c>
      <c r="J201">
        <v>292</v>
      </c>
      <c r="K201">
        <f t="shared" si="10"/>
        <v>0</v>
      </c>
      <c r="L201" s="200">
        <f t="shared" si="11"/>
        <v>0</v>
      </c>
      <c r="M201" t="s">
        <v>1133</v>
      </c>
    </row>
    <row r="202" spans="1:14" hidden="1" x14ac:dyDescent="0.15">
      <c r="A202" s="33" t="s">
        <v>353</v>
      </c>
      <c r="B202" s="33" t="s">
        <v>514</v>
      </c>
      <c r="C202" s="33">
        <v>1660</v>
      </c>
      <c r="D202" s="33" t="s">
        <v>339</v>
      </c>
      <c r="E202" s="33" t="s">
        <v>514</v>
      </c>
      <c r="F202" s="81">
        <v>1660</v>
      </c>
      <c r="G202">
        <f t="shared" si="8"/>
        <v>0</v>
      </c>
      <c r="H202">
        <f t="shared" si="9"/>
        <v>0</v>
      </c>
      <c r="J202">
        <v>1660</v>
      </c>
      <c r="K202">
        <f t="shared" si="10"/>
        <v>0</v>
      </c>
      <c r="L202" s="200">
        <f t="shared" si="11"/>
        <v>0</v>
      </c>
      <c r="M202" t="s">
        <v>1134</v>
      </c>
    </row>
    <row r="203" spans="1:14" hidden="1" x14ac:dyDescent="0.15">
      <c r="A203" s="33" t="s">
        <v>353</v>
      </c>
      <c r="B203" s="33" t="s">
        <v>515</v>
      </c>
      <c r="C203" s="33">
        <v>1</v>
      </c>
      <c r="D203" s="33" t="s">
        <v>339</v>
      </c>
      <c r="E203" s="33" t="s">
        <v>515</v>
      </c>
      <c r="F203" s="81">
        <v>1</v>
      </c>
      <c r="G203">
        <f t="shared" si="8"/>
        <v>0</v>
      </c>
      <c r="H203">
        <f t="shared" si="9"/>
        <v>0</v>
      </c>
      <c r="J203">
        <v>1</v>
      </c>
      <c r="K203">
        <f t="shared" si="10"/>
        <v>0</v>
      </c>
      <c r="L203" s="200">
        <f t="shared" si="11"/>
        <v>0</v>
      </c>
      <c r="M203" t="s">
        <v>1135</v>
      </c>
    </row>
    <row r="204" spans="1:14" hidden="1" x14ac:dyDescent="0.15">
      <c r="A204" s="33" t="s">
        <v>353</v>
      </c>
      <c r="B204" s="33" t="s">
        <v>516</v>
      </c>
      <c r="C204" s="33">
        <v>257115</v>
      </c>
      <c r="D204" s="33" t="s">
        <v>339</v>
      </c>
      <c r="E204" s="33" t="s">
        <v>516</v>
      </c>
      <c r="F204" s="81">
        <v>186</v>
      </c>
      <c r="G204">
        <f t="shared" si="8"/>
        <v>256929</v>
      </c>
      <c r="H204">
        <f t="shared" si="9"/>
        <v>256929</v>
      </c>
      <c r="I204" s="33" t="s">
        <v>887</v>
      </c>
      <c r="J204">
        <v>9118</v>
      </c>
      <c r="K204">
        <f t="shared" si="10"/>
        <v>8932</v>
      </c>
      <c r="L204" s="200">
        <f t="shared" si="11"/>
        <v>1.9200343938091144</v>
      </c>
      <c r="M204" t="s">
        <v>1136</v>
      </c>
    </row>
    <row r="205" spans="1:14" hidden="1" x14ac:dyDescent="0.15">
      <c r="B205" s="33" t="s">
        <v>1137</v>
      </c>
      <c r="D205" s="33" t="s">
        <v>339</v>
      </c>
      <c r="E205" s="33" t="s">
        <v>1137</v>
      </c>
      <c r="F205" s="81">
        <v>44</v>
      </c>
      <c r="G205">
        <f t="shared" si="8"/>
        <v>-44</v>
      </c>
      <c r="H205">
        <f t="shared" si="9"/>
        <v>0</v>
      </c>
      <c r="I205" s="33" t="s">
        <v>887</v>
      </c>
      <c r="J205">
        <v>44</v>
      </c>
      <c r="K205">
        <f t="shared" si="10"/>
        <v>0</v>
      </c>
      <c r="L205" s="200">
        <f t="shared" si="11"/>
        <v>0</v>
      </c>
      <c r="M205" t="s">
        <v>1138</v>
      </c>
      <c r="N205" t="s">
        <v>1139</v>
      </c>
    </row>
    <row r="206" spans="1:14" hidden="1" x14ac:dyDescent="0.15">
      <c r="A206" s="33" t="s">
        <v>353</v>
      </c>
      <c r="B206" s="33" t="s">
        <v>517</v>
      </c>
      <c r="C206" s="33">
        <v>116</v>
      </c>
      <c r="D206" s="33" t="s">
        <v>339</v>
      </c>
      <c r="E206" s="33" t="s">
        <v>517</v>
      </c>
      <c r="F206" s="81">
        <v>783</v>
      </c>
      <c r="G206">
        <f t="shared" si="8"/>
        <v>-667</v>
      </c>
      <c r="H206">
        <f t="shared" si="9"/>
        <v>-667</v>
      </c>
      <c r="I206" s="33" t="s">
        <v>887</v>
      </c>
      <c r="J206">
        <v>783</v>
      </c>
      <c r="K206">
        <f t="shared" si="10"/>
        <v>0</v>
      </c>
      <c r="L206" s="200">
        <f t="shared" si="11"/>
        <v>0</v>
      </c>
      <c r="M206" t="s">
        <v>1140</v>
      </c>
    </row>
    <row r="207" spans="1:14" hidden="1" x14ac:dyDescent="0.15">
      <c r="A207" s="33" t="s">
        <v>353</v>
      </c>
      <c r="B207" s="33" t="s">
        <v>518</v>
      </c>
      <c r="C207" s="33">
        <v>115</v>
      </c>
      <c r="D207" s="33" t="s">
        <v>339</v>
      </c>
      <c r="E207" s="33" t="s">
        <v>518</v>
      </c>
      <c r="F207" s="81">
        <v>760</v>
      </c>
      <c r="G207">
        <f t="shared" si="8"/>
        <v>-645</v>
      </c>
      <c r="H207">
        <f t="shared" si="9"/>
        <v>-645</v>
      </c>
      <c r="I207" s="33" t="s">
        <v>887</v>
      </c>
      <c r="J207">
        <v>760</v>
      </c>
      <c r="K207">
        <f t="shared" si="10"/>
        <v>0</v>
      </c>
      <c r="L207" s="200">
        <f t="shared" si="11"/>
        <v>0</v>
      </c>
      <c r="M207" t="s">
        <v>1140</v>
      </c>
    </row>
    <row r="208" spans="1:14" hidden="1" x14ac:dyDescent="0.15">
      <c r="B208" s="33" t="s">
        <v>1141</v>
      </c>
      <c r="D208" s="33" t="s">
        <v>339</v>
      </c>
      <c r="E208" s="33" t="s">
        <v>1141</v>
      </c>
      <c r="F208" s="81">
        <v>635</v>
      </c>
      <c r="G208">
        <f t="shared" si="8"/>
        <v>-635</v>
      </c>
      <c r="H208">
        <f t="shared" si="9"/>
        <v>0</v>
      </c>
      <c r="I208" s="33" t="s">
        <v>887</v>
      </c>
      <c r="J208">
        <v>635</v>
      </c>
      <c r="K208">
        <f t="shared" si="10"/>
        <v>0</v>
      </c>
      <c r="L208" s="200">
        <f t="shared" si="11"/>
        <v>0</v>
      </c>
      <c r="M208" t="s">
        <v>1142</v>
      </c>
    </row>
    <row r="209" spans="1:14" hidden="1" x14ac:dyDescent="0.15">
      <c r="B209" s="33" t="s">
        <v>1143</v>
      </c>
      <c r="D209" s="33" t="s">
        <v>339</v>
      </c>
      <c r="E209" s="33" t="s">
        <v>1143</v>
      </c>
      <c r="F209" s="81">
        <v>10</v>
      </c>
      <c r="G209">
        <f t="shared" ref="G209:G272" si="12">C209-F209</f>
        <v>-10</v>
      </c>
      <c r="H209">
        <f t="shared" ref="H209:H272" si="13">IF(OR(C209=0, F209=0), 0, C209-F209)</f>
        <v>0</v>
      </c>
      <c r="I209" s="33" t="s">
        <v>887</v>
      </c>
      <c r="J209">
        <v>10</v>
      </c>
      <c r="K209">
        <f t="shared" ref="K209:K272" si="14">J209-F209</f>
        <v>0</v>
      </c>
      <c r="L209" s="200">
        <f t="shared" ref="L209:L272" si="15">IFERROR(ABS(F209 - J209) / ((F209 + J209) / 2),0)</f>
        <v>0</v>
      </c>
      <c r="M209" t="s">
        <v>1144</v>
      </c>
    </row>
    <row r="210" spans="1:14" hidden="1" x14ac:dyDescent="0.15">
      <c r="A210" s="33" t="s">
        <v>353</v>
      </c>
      <c r="B210" s="33" t="s">
        <v>519</v>
      </c>
      <c r="C210" s="33">
        <v>303</v>
      </c>
      <c r="D210" s="33" t="s">
        <v>339</v>
      </c>
      <c r="E210" s="33" t="s">
        <v>519</v>
      </c>
      <c r="F210" s="81">
        <v>1869</v>
      </c>
      <c r="G210">
        <f t="shared" si="12"/>
        <v>-1566</v>
      </c>
      <c r="H210">
        <f t="shared" si="13"/>
        <v>-1566</v>
      </c>
      <c r="I210" s="33" t="s">
        <v>887</v>
      </c>
      <c r="J210">
        <v>1869</v>
      </c>
      <c r="K210">
        <f t="shared" si="14"/>
        <v>0</v>
      </c>
      <c r="L210" s="200">
        <f t="shared" si="15"/>
        <v>0</v>
      </c>
      <c r="M210" t="s">
        <v>1145</v>
      </c>
      <c r="N210" t="s">
        <v>1146</v>
      </c>
    </row>
    <row r="211" spans="1:14" hidden="1" x14ac:dyDescent="0.15">
      <c r="A211" s="33" t="s">
        <v>353</v>
      </c>
      <c r="B211" s="33" t="s">
        <v>520</v>
      </c>
      <c r="C211" s="33">
        <v>3029</v>
      </c>
      <c r="D211" s="33" t="s">
        <v>339</v>
      </c>
      <c r="E211" s="33" t="s">
        <v>520</v>
      </c>
      <c r="F211" s="81">
        <v>19876</v>
      </c>
      <c r="G211">
        <f t="shared" si="12"/>
        <v>-16847</v>
      </c>
      <c r="H211">
        <f t="shared" si="13"/>
        <v>-16847</v>
      </c>
      <c r="I211" s="33" t="s">
        <v>887</v>
      </c>
      <c r="J211">
        <v>19876</v>
      </c>
      <c r="K211">
        <f t="shared" si="14"/>
        <v>0</v>
      </c>
      <c r="L211" s="200">
        <f t="shared" si="15"/>
        <v>0</v>
      </c>
      <c r="M211" t="s">
        <v>1147</v>
      </c>
      <c r="N211" t="s">
        <v>1148</v>
      </c>
    </row>
    <row r="212" spans="1:14" hidden="1" x14ac:dyDescent="0.15">
      <c r="A212" s="33" t="s">
        <v>353</v>
      </c>
      <c r="B212" s="33" t="s">
        <v>521</v>
      </c>
      <c r="C212" s="33">
        <v>276</v>
      </c>
      <c r="D212" s="33" t="s">
        <v>339</v>
      </c>
      <c r="E212" s="33" t="s">
        <v>521</v>
      </c>
      <c r="F212" s="81">
        <v>276</v>
      </c>
      <c r="G212">
        <f t="shared" si="12"/>
        <v>0</v>
      </c>
      <c r="H212">
        <f t="shared" si="13"/>
        <v>0</v>
      </c>
      <c r="J212">
        <v>276</v>
      </c>
      <c r="K212">
        <f t="shared" si="14"/>
        <v>0</v>
      </c>
      <c r="L212" s="200">
        <f t="shared" si="15"/>
        <v>0</v>
      </c>
      <c r="M212" t="s">
        <v>1149</v>
      </c>
    </row>
    <row r="213" spans="1:14" hidden="1" x14ac:dyDescent="0.15">
      <c r="A213" s="33" t="s">
        <v>353</v>
      </c>
      <c r="B213" s="33" t="s">
        <v>522</v>
      </c>
      <c r="C213" s="33">
        <v>350</v>
      </c>
      <c r="D213" s="33" t="s">
        <v>339</v>
      </c>
      <c r="E213" s="33" t="s">
        <v>522</v>
      </c>
      <c r="F213" s="81">
        <v>350</v>
      </c>
      <c r="G213">
        <f t="shared" si="12"/>
        <v>0</v>
      </c>
      <c r="H213">
        <f t="shared" si="13"/>
        <v>0</v>
      </c>
      <c r="J213">
        <v>350</v>
      </c>
      <c r="K213">
        <f t="shared" si="14"/>
        <v>0</v>
      </c>
      <c r="L213" s="200">
        <f t="shared" si="15"/>
        <v>0</v>
      </c>
      <c r="M213" t="s">
        <v>1150</v>
      </c>
    </row>
    <row r="214" spans="1:14" hidden="1" x14ac:dyDescent="0.15">
      <c r="A214" s="33" t="s">
        <v>353</v>
      </c>
      <c r="B214" s="33" t="s">
        <v>523</v>
      </c>
      <c r="C214" s="33">
        <v>40</v>
      </c>
      <c r="D214" s="33" t="s">
        <v>339</v>
      </c>
      <c r="E214" s="33" t="s">
        <v>523</v>
      </c>
      <c r="F214" s="81">
        <v>40</v>
      </c>
      <c r="G214">
        <f t="shared" si="12"/>
        <v>0</v>
      </c>
      <c r="H214">
        <f t="shared" si="13"/>
        <v>0</v>
      </c>
      <c r="J214">
        <v>40</v>
      </c>
      <c r="K214">
        <f t="shared" si="14"/>
        <v>0</v>
      </c>
      <c r="L214" s="200">
        <f t="shared" si="15"/>
        <v>0</v>
      </c>
      <c r="M214" t="s">
        <v>1151</v>
      </c>
    </row>
    <row r="215" spans="1:14" hidden="1" x14ac:dyDescent="0.15">
      <c r="A215" s="33" t="s">
        <v>353</v>
      </c>
      <c r="B215" s="33" t="s">
        <v>524</v>
      </c>
      <c r="C215" s="33">
        <v>64</v>
      </c>
      <c r="D215" s="33" t="s">
        <v>339</v>
      </c>
      <c r="E215" s="33" t="s">
        <v>524</v>
      </c>
      <c r="F215" s="81">
        <v>64</v>
      </c>
      <c r="G215">
        <f t="shared" si="12"/>
        <v>0</v>
      </c>
      <c r="H215">
        <f t="shared" si="13"/>
        <v>0</v>
      </c>
      <c r="J215">
        <v>64</v>
      </c>
      <c r="K215">
        <f t="shared" si="14"/>
        <v>0</v>
      </c>
      <c r="L215" s="200">
        <f t="shared" si="15"/>
        <v>0</v>
      </c>
      <c r="M215" t="s">
        <v>1152</v>
      </c>
    </row>
    <row r="216" spans="1:14" hidden="1" x14ac:dyDescent="0.15">
      <c r="A216" s="33" t="s">
        <v>353</v>
      </c>
      <c r="B216" s="33" t="s">
        <v>525</v>
      </c>
      <c r="C216" s="33">
        <v>764</v>
      </c>
      <c r="D216" s="33" t="s">
        <v>339</v>
      </c>
      <c r="E216" s="33" t="s">
        <v>525</v>
      </c>
      <c r="F216" s="81">
        <v>764</v>
      </c>
      <c r="G216">
        <f t="shared" si="12"/>
        <v>0</v>
      </c>
      <c r="H216">
        <f t="shared" si="13"/>
        <v>0</v>
      </c>
      <c r="J216">
        <v>764</v>
      </c>
      <c r="K216">
        <f t="shared" si="14"/>
        <v>0</v>
      </c>
      <c r="L216" s="200">
        <f t="shared" si="15"/>
        <v>0</v>
      </c>
      <c r="M216" t="s">
        <v>1153</v>
      </c>
    </row>
    <row r="217" spans="1:14" hidden="1" x14ac:dyDescent="0.15">
      <c r="A217" s="33" t="s">
        <v>353</v>
      </c>
      <c r="B217" s="33" t="s">
        <v>526</v>
      </c>
      <c r="C217" s="33">
        <v>10137</v>
      </c>
      <c r="D217" s="33" t="s">
        <v>339</v>
      </c>
      <c r="E217" s="33" t="s">
        <v>526</v>
      </c>
      <c r="F217" s="81">
        <v>10137</v>
      </c>
      <c r="G217">
        <f t="shared" si="12"/>
        <v>0</v>
      </c>
      <c r="H217">
        <f t="shared" si="13"/>
        <v>0</v>
      </c>
      <c r="J217">
        <v>10137</v>
      </c>
      <c r="K217">
        <f t="shared" si="14"/>
        <v>0</v>
      </c>
      <c r="L217" s="200">
        <f t="shared" si="15"/>
        <v>0</v>
      </c>
      <c r="M217" t="s">
        <v>1154</v>
      </c>
    </row>
    <row r="218" spans="1:14" hidden="1" x14ac:dyDescent="0.15">
      <c r="A218" s="33" t="s">
        <v>353</v>
      </c>
      <c r="B218" s="33" t="s">
        <v>527</v>
      </c>
      <c r="C218" s="33">
        <v>36</v>
      </c>
      <c r="D218" s="33" t="s">
        <v>339</v>
      </c>
      <c r="E218" s="33" t="s">
        <v>527</v>
      </c>
      <c r="F218" s="81">
        <v>36</v>
      </c>
      <c r="G218">
        <f t="shared" si="12"/>
        <v>0</v>
      </c>
      <c r="H218">
        <f t="shared" si="13"/>
        <v>0</v>
      </c>
      <c r="J218">
        <v>36</v>
      </c>
      <c r="K218">
        <f t="shared" si="14"/>
        <v>0</v>
      </c>
      <c r="L218" s="200">
        <f t="shared" si="15"/>
        <v>0</v>
      </c>
      <c r="M218" t="s">
        <v>1155</v>
      </c>
    </row>
    <row r="219" spans="1:14" hidden="1" x14ac:dyDescent="0.15">
      <c r="A219" s="33" t="s">
        <v>353</v>
      </c>
      <c r="B219" s="33" t="s">
        <v>528</v>
      </c>
      <c r="C219" s="33">
        <v>3</v>
      </c>
      <c r="D219" s="33" t="s">
        <v>339</v>
      </c>
      <c r="E219" s="33" t="s">
        <v>528</v>
      </c>
      <c r="F219" s="81">
        <v>3</v>
      </c>
      <c r="G219">
        <f t="shared" si="12"/>
        <v>0</v>
      </c>
      <c r="H219">
        <f t="shared" si="13"/>
        <v>0</v>
      </c>
      <c r="J219">
        <v>3</v>
      </c>
      <c r="K219">
        <f t="shared" si="14"/>
        <v>0</v>
      </c>
      <c r="L219" s="200">
        <f t="shared" si="15"/>
        <v>0</v>
      </c>
      <c r="M219" t="s">
        <v>1156</v>
      </c>
    </row>
    <row r="220" spans="1:14" hidden="1" x14ac:dyDescent="0.15">
      <c r="A220" s="33" t="s">
        <v>353</v>
      </c>
      <c r="B220" s="33" t="s">
        <v>529</v>
      </c>
      <c r="C220" s="33">
        <v>28572</v>
      </c>
      <c r="D220" s="33" t="s">
        <v>339</v>
      </c>
      <c r="E220" s="33" t="s">
        <v>529</v>
      </c>
      <c r="F220" s="81">
        <v>28572</v>
      </c>
      <c r="G220">
        <f t="shared" si="12"/>
        <v>0</v>
      </c>
      <c r="H220">
        <f t="shared" si="13"/>
        <v>0</v>
      </c>
      <c r="J220">
        <v>28572</v>
      </c>
      <c r="K220">
        <f t="shared" si="14"/>
        <v>0</v>
      </c>
      <c r="L220" s="200">
        <f t="shared" si="15"/>
        <v>0</v>
      </c>
      <c r="M220" t="s">
        <v>1157</v>
      </c>
    </row>
    <row r="221" spans="1:14" hidden="1" x14ac:dyDescent="0.15">
      <c r="A221" s="33" t="s">
        <v>353</v>
      </c>
      <c r="B221" s="33" t="s">
        <v>530</v>
      </c>
      <c r="C221" s="33">
        <v>11</v>
      </c>
      <c r="D221" s="33" t="s">
        <v>339</v>
      </c>
      <c r="E221" s="33" t="s">
        <v>530</v>
      </c>
      <c r="F221" s="81">
        <v>11</v>
      </c>
      <c r="G221">
        <f t="shared" si="12"/>
        <v>0</v>
      </c>
      <c r="H221">
        <f t="shared" si="13"/>
        <v>0</v>
      </c>
      <c r="J221">
        <v>11</v>
      </c>
      <c r="K221">
        <f t="shared" si="14"/>
        <v>0</v>
      </c>
      <c r="L221" s="200">
        <f t="shared" si="15"/>
        <v>0</v>
      </c>
      <c r="M221" t="s">
        <v>1158</v>
      </c>
    </row>
    <row r="222" spans="1:14" hidden="1" x14ac:dyDescent="0.15">
      <c r="A222" s="33" t="s">
        <v>353</v>
      </c>
      <c r="B222" s="33" t="s">
        <v>531</v>
      </c>
      <c r="C222" s="33">
        <v>3608</v>
      </c>
      <c r="D222" s="33" t="s">
        <v>339</v>
      </c>
      <c r="E222" s="33" t="s">
        <v>531</v>
      </c>
      <c r="F222" s="81">
        <v>3608</v>
      </c>
      <c r="G222">
        <f t="shared" si="12"/>
        <v>0</v>
      </c>
      <c r="H222">
        <f t="shared" si="13"/>
        <v>0</v>
      </c>
      <c r="J222">
        <v>3608</v>
      </c>
      <c r="K222">
        <f t="shared" si="14"/>
        <v>0</v>
      </c>
      <c r="L222" s="200">
        <f t="shared" si="15"/>
        <v>0</v>
      </c>
      <c r="M222" t="s">
        <v>1159</v>
      </c>
    </row>
    <row r="223" spans="1:14" hidden="1" x14ac:dyDescent="0.15">
      <c r="A223" s="33" t="s">
        <v>353</v>
      </c>
      <c r="B223" s="33" t="s">
        <v>532</v>
      </c>
      <c r="C223" s="33">
        <v>61630</v>
      </c>
      <c r="D223" s="33" t="s">
        <v>339</v>
      </c>
      <c r="E223" s="33" t="s">
        <v>532</v>
      </c>
      <c r="F223" s="81">
        <v>61630</v>
      </c>
      <c r="G223">
        <f t="shared" si="12"/>
        <v>0</v>
      </c>
      <c r="H223">
        <f t="shared" si="13"/>
        <v>0</v>
      </c>
      <c r="J223">
        <v>61630</v>
      </c>
      <c r="K223">
        <f t="shared" si="14"/>
        <v>0</v>
      </c>
      <c r="L223" s="200">
        <f t="shared" si="15"/>
        <v>0</v>
      </c>
      <c r="M223" t="s">
        <v>1160</v>
      </c>
    </row>
    <row r="224" spans="1:14" hidden="1" x14ac:dyDescent="0.15">
      <c r="A224" s="33" t="s">
        <v>353</v>
      </c>
      <c r="B224" s="33" t="s">
        <v>533</v>
      </c>
      <c r="C224" s="33">
        <v>5092</v>
      </c>
      <c r="D224" s="33" t="s">
        <v>339</v>
      </c>
      <c r="E224" s="33" t="s">
        <v>533</v>
      </c>
      <c r="F224" s="81">
        <v>5092</v>
      </c>
      <c r="G224">
        <f t="shared" si="12"/>
        <v>0</v>
      </c>
      <c r="H224">
        <f t="shared" si="13"/>
        <v>0</v>
      </c>
      <c r="J224">
        <v>5092</v>
      </c>
      <c r="K224">
        <f t="shared" si="14"/>
        <v>0</v>
      </c>
      <c r="L224" s="200">
        <f t="shared" si="15"/>
        <v>0</v>
      </c>
      <c r="M224" t="s">
        <v>1161</v>
      </c>
    </row>
    <row r="225" spans="1:14" hidden="1" x14ac:dyDescent="0.15">
      <c r="A225" s="33" t="s">
        <v>353</v>
      </c>
      <c r="B225" s="33" t="s">
        <v>534</v>
      </c>
      <c r="C225" s="33">
        <v>35</v>
      </c>
      <c r="D225" s="33" t="s">
        <v>339</v>
      </c>
      <c r="E225" s="33" t="s">
        <v>534</v>
      </c>
      <c r="F225" s="81">
        <v>35</v>
      </c>
      <c r="G225">
        <f t="shared" si="12"/>
        <v>0</v>
      </c>
      <c r="H225">
        <f t="shared" si="13"/>
        <v>0</v>
      </c>
      <c r="J225">
        <v>35</v>
      </c>
      <c r="K225">
        <f t="shared" si="14"/>
        <v>0</v>
      </c>
      <c r="L225" s="200">
        <f t="shared" si="15"/>
        <v>0</v>
      </c>
      <c r="M225" t="s">
        <v>1162</v>
      </c>
    </row>
    <row r="226" spans="1:14" hidden="1" x14ac:dyDescent="0.15">
      <c r="A226" s="33" t="s">
        <v>353</v>
      </c>
      <c r="B226" s="33" t="s">
        <v>535</v>
      </c>
      <c r="C226" s="33">
        <v>1046926</v>
      </c>
      <c r="D226" s="33" t="s">
        <v>339</v>
      </c>
      <c r="E226" s="33" t="s">
        <v>535</v>
      </c>
      <c r="F226" s="81">
        <v>1046926</v>
      </c>
      <c r="G226">
        <f t="shared" si="12"/>
        <v>0</v>
      </c>
      <c r="H226">
        <f t="shared" si="13"/>
        <v>0</v>
      </c>
      <c r="J226">
        <v>1046926</v>
      </c>
      <c r="K226">
        <f t="shared" si="14"/>
        <v>0</v>
      </c>
      <c r="L226" s="200">
        <f t="shared" si="15"/>
        <v>0</v>
      </c>
      <c r="M226" t="s">
        <v>1163</v>
      </c>
    </row>
    <row r="227" spans="1:14" hidden="1" x14ac:dyDescent="0.15">
      <c r="A227" s="33" t="s">
        <v>353</v>
      </c>
      <c r="B227" s="33" t="s">
        <v>536</v>
      </c>
      <c r="C227" s="33">
        <v>537</v>
      </c>
      <c r="D227" s="33" t="s">
        <v>339</v>
      </c>
      <c r="E227" s="33" t="s">
        <v>536</v>
      </c>
      <c r="F227" s="81">
        <v>537</v>
      </c>
      <c r="G227">
        <f t="shared" si="12"/>
        <v>0</v>
      </c>
      <c r="H227">
        <f t="shared" si="13"/>
        <v>0</v>
      </c>
      <c r="J227">
        <v>537</v>
      </c>
      <c r="K227">
        <f t="shared" si="14"/>
        <v>0</v>
      </c>
      <c r="L227" s="200">
        <f t="shared" si="15"/>
        <v>0</v>
      </c>
      <c r="M227" t="s">
        <v>1164</v>
      </c>
    </row>
    <row r="228" spans="1:14" hidden="1" x14ac:dyDescent="0.15">
      <c r="A228" s="33" t="s">
        <v>353</v>
      </c>
      <c r="B228" s="33" t="s">
        <v>537</v>
      </c>
      <c r="C228" s="33">
        <v>4</v>
      </c>
      <c r="D228" s="33" t="s">
        <v>339</v>
      </c>
      <c r="E228" s="33" t="s">
        <v>537</v>
      </c>
      <c r="F228" s="81">
        <v>4</v>
      </c>
      <c r="G228">
        <f t="shared" si="12"/>
        <v>0</v>
      </c>
      <c r="H228">
        <f t="shared" si="13"/>
        <v>0</v>
      </c>
      <c r="J228">
        <v>4</v>
      </c>
      <c r="K228">
        <f t="shared" si="14"/>
        <v>0</v>
      </c>
      <c r="L228" s="200">
        <f t="shared" si="15"/>
        <v>0</v>
      </c>
      <c r="M228" t="s">
        <v>1165</v>
      </c>
    </row>
    <row r="229" spans="1:14" hidden="1" x14ac:dyDescent="0.15">
      <c r="A229" s="33" t="s">
        <v>353</v>
      </c>
      <c r="B229" s="33" t="s">
        <v>538</v>
      </c>
      <c r="C229" s="33">
        <v>551209</v>
      </c>
      <c r="D229" s="33" t="s">
        <v>339</v>
      </c>
      <c r="E229" s="33" t="s">
        <v>538</v>
      </c>
      <c r="F229" s="81">
        <v>551209</v>
      </c>
      <c r="G229">
        <f t="shared" si="12"/>
        <v>0</v>
      </c>
      <c r="H229">
        <f t="shared" si="13"/>
        <v>0</v>
      </c>
      <c r="J229">
        <v>551209</v>
      </c>
      <c r="K229">
        <f t="shared" si="14"/>
        <v>0</v>
      </c>
      <c r="L229" s="200">
        <f t="shared" si="15"/>
        <v>0</v>
      </c>
      <c r="M229" t="s">
        <v>1166</v>
      </c>
    </row>
    <row r="230" spans="1:14" hidden="1" x14ac:dyDescent="0.15">
      <c r="A230" s="33" t="s">
        <v>353</v>
      </c>
      <c r="B230" s="33" t="s">
        <v>539</v>
      </c>
      <c r="C230" s="33">
        <v>251096</v>
      </c>
      <c r="D230" s="33" t="s">
        <v>339</v>
      </c>
      <c r="E230" s="33" t="s">
        <v>539</v>
      </c>
      <c r="F230" s="81">
        <v>251096</v>
      </c>
      <c r="G230">
        <f t="shared" si="12"/>
        <v>0</v>
      </c>
      <c r="H230">
        <f t="shared" si="13"/>
        <v>0</v>
      </c>
      <c r="J230">
        <v>251096</v>
      </c>
      <c r="K230">
        <f t="shared" si="14"/>
        <v>0</v>
      </c>
      <c r="L230" s="200">
        <f t="shared" si="15"/>
        <v>0</v>
      </c>
      <c r="M230" t="s">
        <v>1167</v>
      </c>
      <c r="N230" t="s">
        <v>1168</v>
      </c>
    </row>
    <row r="231" spans="1:14" hidden="1" x14ac:dyDescent="0.15">
      <c r="A231" s="33" t="s">
        <v>353</v>
      </c>
      <c r="B231" s="33" t="s">
        <v>540</v>
      </c>
      <c r="C231" s="33">
        <v>250924</v>
      </c>
      <c r="D231" s="33" t="s">
        <v>339</v>
      </c>
      <c r="E231" s="33" t="s">
        <v>540</v>
      </c>
      <c r="F231" s="81">
        <v>250924</v>
      </c>
      <c r="G231">
        <f t="shared" si="12"/>
        <v>0</v>
      </c>
      <c r="H231">
        <f t="shared" si="13"/>
        <v>0</v>
      </c>
      <c r="J231">
        <v>250924</v>
      </c>
      <c r="K231">
        <f t="shared" si="14"/>
        <v>0</v>
      </c>
      <c r="L231" s="200">
        <f t="shared" si="15"/>
        <v>0</v>
      </c>
      <c r="M231" t="s">
        <v>1169</v>
      </c>
    </row>
    <row r="232" spans="1:14" hidden="1" x14ac:dyDescent="0.15">
      <c r="A232" s="33" t="s">
        <v>353</v>
      </c>
      <c r="B232" s="33" t="s">
        <v>541</v>
      </c>
      <c r="C232" s="33">
        <v>136670</v>
      </c>
      <c r="D232" s="33" t="s">
        <v>339</v>
      </c>
      <c r="E232" s="33" t="s">
        <v>541</v>
      </c>
      <c r="F232" s="81">
        <v>136670</v>
      </c>
      <c r="G232">
        <f t="shared" si="12"/>
        <v>0</v>
      </c>
      <c r="H232">
        <f t="shared" si="13"/>
        <v>0</v>
      </c>
      <c r="J232">
        <v>136670</v>
      </c>
      <c r="K232">
        <f t="shared" si="14"/>
        <v>0</v>
      </c>
      <c r="L232" s="200">
        <f t="shared" si="15"/>
        <v>0</v>
      </c>
      <c r="M232" t="s">
        <v>1170</v>
      </c>
      <c r="N232" t="s">
        <v>1171</v>
      </c>
    </row>
    <row r="233" spans="1:14" hidden="1" x14ac:dyDescent="0.15">
      <c r="A233" s="33" t="s">
        <v>353</v>
      </c>
      <c r="B233" s="33" t="s">
        <v>542</v>
      </c>
      <c r="C233" s="33">
        <v>3638878</v>
      </c>
      <c r="D233" s="33" t="s">
        <v>339</v>
      </c>
      <c r="E233" s="33" t="s">
        <v>542</v>
      </c>
      <c r="F233" s="81">
        <v>3638878</v>
      </c>
      <c r="G233">
        <f t="shared" si="12"/>
        <v>0</v>
      </c>
      <c r="H233">
        <f t="shared" si="13"/>
        <v>0</v>
      </c>
      <c r="J233">
        <v>3638878</v>
      </c>
      <c r="K233">
        <f t="shared" si="14"/>
        <v>0</v>
      </c>
      <c r="L233" s="200">
        <f t="shared" si="15"/>
        <v>0</v>
      </c>
      <c r="M233" t="s">
        <v>1172</v>
      </c>
    </row>
    <row r="234" spans="1:14" hidden="1" x14ac:dyDescent="0.15">
      <c r="A234" s="33" t="s">
        <v>353</v>
      </c>
      <c r="B234" s="33" t="s">
        <v>543</v>
      </c>
      <c r="C234" s="33">
        <v>1139762</v>
      </c>
      <c r="D234" s="33" t="s">
        <v>339</v>
      </c>
      <c r="E234" s="33" t="s">
        <v>543</v>
      </c>
      <c r="F234" s="81">
        <v>1139762</v>
      </c>
      <c r="G234">
        <f t="shared" si="12"/>
        <v>0</v>
      </c>
      <c r="H234">
        <f t="shared" si="13"/>
        <v>0</v>
      </c>
      <c r="J234">
        <v>1139762</v>
      </c>
      <c r="K234">
        <f t="shared" si="14"/>
        <v>0</v>
      </c>
      <c r="L234" s="200">
        <f t="shared" si="15"/>
        <v>0</v>
      </c>
      <c r="M234" t="s">
        <v>1173</v>
      </c>
      <c r="N234" t="s">
        <v>1174</v>
      </c>
    </row>
    <row r="235" spans="1:14" hidden="1" x14ac:dyDescent="0.15">
      <c r="A235" s="33" t="s">
        <v>353</v>
      </c>
      <c r="B235" s="33" t="s">
        <v>544</v>
      </c>
      <c r="C235" s="33">
        <v>709128</v>
      </c>
      <c r="D235" s="33" t="s">
        <v>339</v>
      </c>
      <c r="E235" s="33" t="s">
        <v>544</v>
      </c>
      <c r="F235" s="81">
        <v>709128</v>
      </c>
      <c r="G235">
        <f t="shared" si="12"/>
        <v>0</v>
      </c>
      <c r="H235">
        <f t="shared" si="13"/>
        <v>0</v>
      </c>
      <c r="J235">
        <v>709128</v>
      </c>
      <c r="K235">
        <f t="shared" si="14"/>
        <v>0</v>
      </c>
      <c r="L235" s="200">
        <f t="shared" si="15"/>
        <v>0</v>
      </c>
      <c r="M235" t="s">
        <v>1175</v>
      </c>
      <c r="N235" t="s">
        <v>1176</v>
      </c>
    </row>
    <row r="236" spans="1:14" hidden="1" x14ac:dyDescent="0.15">
      <c r="A236" s="33" t="s">
        <v>353</v>
      </c>
      <c r="B236" s="33" t="s">
        <v>545</v>
      </c>
      <c r="C236" s="33">
        <v>737</v>
      </c>
      <c r="D236" s="33" t="s">
        <v>339</v>
      </c>
      <c r="E236" s="33" t="s">
        <v>545</v>
      </c>
      <c r="F236" s="81">
        <v>737</v>
      </c>
      <c r="G236">
        <f t="shared" si="12"/>
        <v>0</v>
      </c>
      <c r="H236">
        <f t="shared" si="13"/>
        <v>0</v>
      </c>
      <c r="J236">
        <v>737</v>
      </c>
      <c r="K236">
        <f t="shared" si="14"/>
        <v>0</v>
      </c>
      <c r="L236" s="200">
        <f t="shared" si="15"/>
        <v>0</v>
      </c>
      <c r="M236" t="s">
        <v>1177</v>
      </c>
    </row>
    <row r="237" spans="1:14" hidden="1" x14ac:dyDescent="0.15">
      <c r="A237" s="33" t="s">
        <v>353</v>
      </c>
      <c r="B237" s="33" t="s">
        <v>546</v>
      </c>
      <c r="C237" s="33">
        <v>1289</v>
      </c>
      <c r="D237" s="33" t="s">
        <v>339</v>
      </c>
      <c r="E237" s="33" t="s">
        <v>546</v>
      </c>
      <c r="F237" s="81">
        <v>1289</v>
      </c>
      <c r="G237">
        <f t="shared" si="12"/>
        <v>0</v>
      </c>
      <c r="H237">
        <f t="shared" si="13"/>
        <v>0</v>
      </c>
      <c r="J237">
        <v>1289</v>
      </c>
      <c r="K237">
        <f t="shared" si="14"/>
        <v>0</v>
      </c>
      <c r="L237" s="200">
        <f t="shared" si="15"/>
        <v>0</v>
      </c>
      <c r="M237" t="s">
        <v>1178</v>
      </c>
    </row>
    <row r="238" spans="1:14" hidden="1" x14ac:dyDescent="0.15">
      <c r="A238" s="33" t="s">
        <v>353</v>
      </c>
      <c r="B238" s="33" t="s">
        <v>547</v>
      </c>
      <c r="C238" s="33">
        <v>71</v>
      </c>
      <c r="D238" s="33" t="s">
        <v>339</v>
      </c>
      <c r="E238" s="33" t="s">
        <v>547</v>
      </c>
      <c r="F238" s="81">
        <v>71</v>
      </c>
      <c r="G238">
        <f t="shared" si="12"/>
        <v>0</v>
      </c>
      <c r="H238">
        <f t="shared" si="13"/>
        <v>0</v>
      </c>
      <c r="J238">
        <v>71</v>
      </c>
      <c r="K238">
        <f t="shared" si="14"/>
        <v>0</v>
      </c>
      <c r="L238" s="200">
        <f t="shared" si="15"/>
        <v>0</v>
      </c>
      <c r="M238" t="s">
        <v>1179</v>
      </c>
    </row>
    <row r="239" spans="1:14" hidden="1" x14ac:dyDescent="0.15">
      <c r="A239" s="33" t="s">
        <v>353</v>
      </c>
      <c r="B239" s="33" t="s">
        <v>548</v>
      </c>
      <c r="C239" s="33">
        <v>208</v>
      </c>
      <c r="D239" s="33" t="s">
        <v>339</v>
      </c>
      <c r="E239" s="33" t="s">
        <v>548</v>
      </c>
      <c r="F239" s="81">
        <v>208</v>
      </c>
      <c r="G239">
        <f t="shared" si="12"/>
        <v>0</v>
      </c>
      <c r="H239">
        <f t="shared" si="13"/>
        <v>0</v>
      </c>
      <c r="J239">
        <v>208</v>
      </c>
      <c r="K239">
        <f t="shared" si="14"/>
        <v>0</v>
      </c>
      <c r="L239" s="200">
        <f t="shared" si="15"/>
        <v>0</v>
      </c>
      <c r="M239" t="s">
        <v>1180</v>
      </c>
    </row>
    <row r="240" spans="1:14" hidden="1" x14ac:dyDescent="0.15">
      <c r="A240" s="33" t="s">
        <v>353</v>
      </c>
      <c r="B240" s="33" t="s">
        <v>549</v>
      </c>
      <c r="C240" s="33">
        <v>11</v>
      </c>
      <c r="D240" s="33" t="s">
        <v>339</v>
      </c>
      <c r="E240" s="33" t="s">
        <v>549</v>
      </c>
      <c r="F240" s="81">
        <v>11</v>
      </c>
      <c r="G240">
        <f t="shared" si="12"/>
        <v>0</v>
      </c>
      <c r="H240">
        <f t="shared" si="13"/>
        <v>0</v>
      </c>
      <c r="J240">
        <v>11</v>
      </c>
      <c r="K240">
        <f t="shared" si="14"/>
        <v>0</v>
      </c>
      <c r="L240" s="200">
        <f t="shared" si="15"/>
        <v>0</v>
      </c>
      <c r="M240" t="s">
        <v>1181</v>
      </c>
    </row>
    <row r="241" spans="1:14" hidden="1" x14ac:dyDescent="0.15">
      <c r="A241" s="33" t="s">
        <v>353</v>
      </c>
      <c r="B241" s="33" t="s">
        <v>550</v>
      </c>
      <c r="C241" s="33">
        <v>301271</v>
      </c>
      <c r="D241" s="33" t="s">
        <v>339</v>
      </c>
      <c r="E241" s="33" t="s">
        <v>550</v>
      </c>
      <c r="F241" s="81">
        <v>301271</v>
      </c>
      <c r="G241">
        <f t="shared" si="12"/>
        <v>0</v>
      </c>
      <c r="H241">
        <f t="shared" si="13"/>
        <v>0</v>
      </c>
      <c r="J241">
        <v>301271</v>
      </c>
      <c r="K241">
        <f t="shared" si="14"/>
        <v>0</v>
      </c>
      <c r="L241" s="200">
        <f t="shared" si="15"/>
        <v>0</v>
      </c>
      <c r="M241" t="s">
        <v>1182</v>
      </c>
    </row>
    <row r="242" spans="1:14" hidden="1" x14ac:dyDescent="0.15">
      <c r="A242" s="33" t="s">
        <v>353</v>
      </c>
      <c r="B242" s="33" t="s">
        <v>551</v>
      </c>
      <c r="C242" s="33">
        <v>2618</v>
      </c>
      <c r="D242" s="33" t="s">
        <v>339</v>
      </c>
      <c r="E242" s="33" t="s">
        <v>551</v>
      </c>
      <c r="F242" s="81">
        <v>2618</v>
      </c>
      <c r="G242">
        <f t="shared" si="12"/>
        <v>0</v>
      </c>
      <c r="H242">
        <f t="shared" si="13"/>
        <v>0</v>
      </c>
      <c r="J242">
        <v>2618</v>
      </c>
      <c r="K242">
        <f t="shared" si="14"/>
        <v>0</v>
      </c>
      <c r="L242" s="200">
        <f t="shared" si="15"/>
        <v>0</v>
      </c>
      <c r="M242" t="s">
        <v>1183</v>
      </c>
    </row>
    <row r="243" spans="1:14" hidden="1" x14ac:dyDescent="0.15">
      <c r="A243" s="33" t="s">
        <v>353</v>
      </c>
      <c r="B243" s="33" t="s">
        <v>552</v>
      </c>
      <c r="C243" s="33">
        <v>23597533</v>
      </c>
      <c r="D243" s="33" t="s">
        <v>339</v>
      </c>
      <c r="E243" s="33" t="s">
        <v>552</v>
      </c>
      <c r="F243" s="81">
        <v>23597533</v>
      </c>
      <c r="G243">
        <f t="shared" si="12"/>
        <v>0</v>
      </c>
      <c r="H243">
        <f t="shared" si="13"/>
        <v>0</v>
      </c>
      <c r="J243">
        <v>23597533</v>
      </c>
      <c r="K243">
        <f t="shared" si="14"/>
        <v>0</v>
      </c>
      <c r="L243" s="200">
        <f t="shared" si="15"/>
        <v>0</v>
      </c>
      <c r="M243" t="s">
        <v>1184</v>
      </c>
    </row>
    <row r="244" spans="1:14" hidden="1" x14ac:dyDescent="0.15">
      <c r="A244" s="33" t="s">
        <v>353</v>
      </c>
      <c r="B244" s="33" t="s">
        <v>553</v>
      </c>
      <c r="C244" s="33">
        <v>10789578</v>
      </c>
      <c r="D244" s="33" t="s">
        <v>339</v>
      </c>
      <c r="E244" s="33" t="s">
        <v>553</v>
      </c>
      <c r="F244" s="81">
        <v>10789578</v>
      </c>
      <c r="G244">
        <f t="shared" si="12"/>
        <v>0</v>
      </c>
      <c r="H244">
        <f t="shared" si="13"/>
        <v>0</v>
      </c>
      <c r="J244">
        <v>10789578</v>
      </c>
      <c r="K244">
        <f t="shared" si="14"/>
        <v>0</v>
      </c>
      <c r="L244" s="200">
        <f t="shared" si="15"/>
        <v>0</v>
      </c>
      <c r="M244" t="s">
        <v>1185</v>
      </c>
      <c r="N244" t="s">
        <v>1186</v>
      </c>
    </row>
    <row r="245" spans="1:14" hidden="1" x14ac:dyDescent="0.15">
      <c r="A245" s="33" t="s">
        <v>353</v>
      </c>
      <c r="B245" s="33" t="s">
        <v>554</v>
      </c>
      <c r="C245" s="33">
        <v>83</v>
      </c>
      <c r="D245" s="33" t="s">
        <v>339</v>
      </c>
      <c r="E245" s="33" t="s">
        <v>554</v>
      </c>
      <c r="F245" s="81">
        <v>83</v>
      </c>
      <c r="G245">
        <f t="shared" si="12"/>
        <v>0</v>
      </c>
      <c r="H245">
        <f t="shared" si="13"/>
        <v>0</v>
      </c>
      <c r="J245">
        <v>83</v>
      </c>
      <c r="K245">
        <f t="shared" si="14"/>
        <v>0</v>
      </c>
      <c r="L245" s="200">
        <f t="shared" si="15"/>
        <v>0</v>
      </c>
      <c r="M245" t="s">
        <v>1187</v>
      </c>
      <c r="N245" t="s">
        <v>1188</v>
      </c>
    </row>
    <row r="246" spans="1:14" hidden="1" x14ac:dyDescent="0.15">
      <c r="A246" s="33" t="s">
        <v>353</v>
      </c>
      <c r="B246" s="33" t="s">
        <v>555</v>
      </c>
      <c r="C246" s="33">
        <v>221968287</v>
      </c>
      <c r="D246" s="33" t="s">
        <v>339</v>
      </c>
      <c r="E246" s="33" t="s">
        <v>555</v>
      </c>
      <c r="F246" s="81">
        <v>221968287</v>
      </c>
      <c r="G246">
        <f t="shared" si="12"/>
        <v>0</v>
      </c>
      <c r="H246">
        <f t="shared" si="13"/>
        <v>0</v>
      </c>
      <c r="J246">
        <v>221968287</v>
      </c>
      <c r="K246">
        <f t="shared" si="14"/>
        <v>0</v>
      </c>
      <c r="L246" s="200">
        <f t="shared" si="15"/>
        <v>0</v>
      </c>
      <c r="M246" t="s">
        <v>1189</v>
      </c>
      <c r="N246" t="s">
        <v>1186</v>
      </c>
    </row>
    <row r="247" spans="1:14" hidden="1" x14ac:dyDescent="0.15">
      <c r="A247" s="33" t="s">
        <v>353</v>
      </c>
      <c r="B247" s="33" t="s">
        <v>556</v>
      </c>
      <c r="C247" s="33">
        <v>2</v>
      </c>
      <c r="D247" s="33" t="s">
        <v>339</v>
      </c>
      <c r="E247" s="33" t="s">
        <v>556</v>
      </c>
      <c r="F247" s="81">
        <v>2</v>
      </c>
      <c r="G247">
        <f t="shared" si="12"/>
        <v>0</v>
      </c>
      <c r="H247">
        <f t="shared" si="13"/>
        <v>0</v>
      </c>
      <c r="J247">
        <v>2</v>
      </c>
      <c r="K247">
        <f t="shared" si="14"/>
        <v>0</v>
      </c>
      <c r="L247" s="200">
        <f t="shared" si="15"/>
        <v>0</v>
      </c>
      <c r="M247" t="s">
        <v>1190</v>
      </c>
    </row>
    <row r="248" spans="1:14" hidden="1" x14ac:dyDescent="0.15">
      <c r="A248" s="33" t="s">
        <v>353</v>
      </c>
      <c r="B248" s="33" t="s">
        <v>557</v>
      </c>
      <c r="C248" s="33">
        <v>2</v>
      </c>
      <c r="D248" s="33" t="s">
        <v>339</v>
      </c>
      <c r="E248" s="33" t="s">
        <v>557</v>
      </c>
      <c r="F248" s="81">
        <v>2</v>
      </c>
      <c r="G248">
        <f t="shared" si="12"/>
        <v>0</v>
      </c>
      <c r="H248">
        <f t="shared" si="13"/>
        <v>0</v>
      </c>
      <c r="J248">
        <v>2</v>
      </c>
      <c r="K248">
        <f t="shared" si="14"/>
        <v>0</v>
      </c>
      <c r="L248" s="200">
        <f t="shared" si="15"/>
        <v>0</v>
      </c>
      <c r="M248" t="s">
        <v>1191</v>
      </c>
    </row>
    <row r="249" spans="1:14" hidden="1" x14ac:dyDescent="0.15">
      <c r="A249" s="33" t="s">
        <v>353</v>
      </c>
      <c r="B249" s="33" t="s">
        <v>558</v>
      </c>
      <c r="C249" s="33">
        <v>2</v>
      </c>
      <c r="D249" s="33" t="s">
        <v>339</v>
      </c>
      <c r="E249" s="33" t="s">
        <v>558</v>
      </c>
      <c r="F249" s="81">
        <v>2</v>
      </c>
      <c r="G249">
        <f t="shared" si="12"/>
        <v>0</v>
      </c>
      <c r="H249">
        <f t="shared" si="13"/>
        <v>0</v>
      </c>
      <c r="J249">
        <v>2</v>
      </c>
      <c r="K249">
        <f t="shared" si="14"/>
        <v>0</v>
      </c>
      <c r="L249" s="200">
        <f t="shared" si="15"/>
        <v>0</v>
      </c>
      <c r="M249" t="s">
        <v>1192</v>
      </c>
    </row>
    <row r="250" spans="1:14" hidden="1" x14ac:dyDescent="0.15">
      <c r="A250" s="33" t="s">
        <v>353</v>
      </c>
      <c r="B250" s="33" t="s">
        <v>559</v>
      </c>
      <c r="C250" s="33">
        <v>1</v>
      </c>
      <c r="D250" s="33" t="s">
        <v>339</v>
      </c>
      <c r="E250" s="33" t="s">
        <v>559</v>
      </c>
      <c r="F250" s="81">
        <v>1</v>
      </c>
      <c r="G250">
        <f t="shared" si="12"/>
        <v>0</v>
      </c>
      <c r="H250">
        <f t="shared" si="13"/>
        <v>0</v>
      </c>
      <c r="J250">
        <v>1</v>
      </c>
      <c r="K250">
        <f t="shared" si="14"/>
        <v>0</v>
      </c>
      <c r="L250" s="200">
        <f t="shared" si="15"/>
        <v>0</v>
      </c>
      <c r="M250" t="s">
        <v>1193</v>
      </c>
    </row>
    <row r="251" spans="1:14" hidden="1" x14ac:dyDescent="0.15">
      <c r="A251" s="33" t="s">
        <v>353</v>
      </c>
      <c r="B251" s="33" t="s">
        <v>560</v>
      </c>
      <c r="C251" s="33">
        <v>2</v>
      </c>
      <c r="D251" s="33" t="s">
        <v>339</v>
      </c>
      <c r="E251" s="33" t="s">
        <v>560</v>
      </c>
      <c r="F251" s="81">
        <v>2</v>
      </c>
      <c r="G251">
        <f t="shared" si="12"/>
        <v>0</v>
      </c>
      <c r="H251">
        <f t="shared" si="13"/>
        <v>0</v>
      </c>
      <c r="J251">
        <v>2</v>
      </c>
      <c r="K251">
        <f t="shared" si="14"/>
        <v>0</v>
      </c>
      <c r="L251" s="200">
        <f t="shared" si="15"/>
        <v>0</v>
      </c>
      <c r="M251" t="s">
        <v>1194</v>
      </c>
    </row>
    <row r="252" spans="1:14" hidden="1" x14ac:dyDescent="0.15">
      <c r="A252" s="33" t="s">
        <v>353</v>
      </c>
      <c r="B252" s="33" t="s">
        <v>561</v>
      </c>
      <c r="C252" s="33">
        <v>17</v>
      </c>
      <c r="D252" s="33" t="s">
        <v>339</v>
      </c>
      <c r="E252" s="33" t="s">
        <v>561</v>
      </c>
      <c r="F252" s="81">
        <v>17</v>
      </c>
      <c r="G252">
        <f t="shared" si="12"/>
        <v>0</v>
      </c>
      <c r="H252">
        <f t="shared" si="13"/>
        <v>0</v>
      </c>
      <c r="J252">
        <v>17</v>
      </c>
      <c r="K252">
        <f t="shared" si="14"/>
        <v>0</v>
      </c>
      <c r="L252" s="200">
        <f t="shared" si="15"/>
        <v>0</v>
      </c>
      <c r="M252" t="s">
        <v>1195</v>
      </c>
    </row>
    <row r="253" spans="1:14" hidden="1" x14ac:dyDescent="0.15">
      <c r="A253" s="33" t="s">
        <v>353</v>
      </c>
      <c r="B253" s="33" t="s">
        <v>562</v>
      </c>
      <c r="C253" s="33">
        <v>13</v>
      </c>
      <c r="D253" s="33" t="s">
        <v>339</v>
      </c>
      <c r="E253" s="33" t="s">
        <v>562</v>
      </c>
      <c r="F253" s="81">
        <v>13</v>
      </c>
      <c r="G253">
        <f t="shared" si="12"/>
        <v>0</v>
      </c>
      <c r="H253">
        <f t="shared" si="13"/>
        <v>0</v>
      </c>
      <c r="J253">
        <v>13</v>
      </c>
      <c r="K253">
        <f t="shared" si="14"/>
        <v>0</v>
      </c>
      <c r="L253" s="200">
        <f t="shared" si="15"/>
        <v>0</v>
      </c>
      <c r="M253" t="s">
        <v>1196</v>
      </c>
    </row>
    <row r="254" spans="1:14" hidden="1" x14ac:dyDescent="0.15">
      <c r="A254" s="33" t="s">
        <v>353</v>
      </c>
      <c r="B254" s="33" t="s">
        <v>563</v>
      </c>
      <c r="C254" s="33">
        <v>16</v>
      </c>
      <c r="D254" s="33" t="s">
        <v>339</v>
      </c>
      <c r="E254" s="33" t="s">
        <v>563</v>
      </c>
      <c r="F254" s="81">
        <v>16</v>
      </c>
      <c r="G254">
        <f t="shared" si="12"/>
        <v>0</v>
      </c>
      <c r="H254">
        <f t="shared" si="13"/>
        <v>0</v>
      </c>
      <c r="J254">
        <v>16</v>
      </c>
      <c r="K254">
        <f t="shared" si="14"/>
        <v>0</v>
      </c>
      <c r="L254" s="200">
        <f t="shared" si="15"/>
        <v>0</v>
      </c>
      <c r="M254" t="s">
        <v>1197</v>
      </c>
    </row>
    <row r="255" spans="1:14" hidden="1" x14ac:dyDescent="0.15">
      <c r="A255" s="33" t="s">
        <v>353</v>
      </c>
      <c r="B255" s="33" t="s">
        <v>564</v>
      </c>
      <c r="C255" s="33">
        <v>115</v>
      </c>
      <c r="D255" s="33" t="s">
        <v>339</v>
      </c>
      <c r="E255" s="33" t="s">
        <v>564</v>
      </c>
      <c r="F255" s="81">
        <v>115</v>
      </c>
      <c r="G255">
        <f t="shared" si="12"/>
        <v>0</v>
      </c>
      <c r="H255">
        <f t="shared" si="13"/>
        <v>0</v>
      </c>
      <c r="J255">
        <v>115</v>
      </c>
      <c r="K255">
        <f t="shared" si="14"/>
        <v>0</v>
      </c>
      <c r="L255" s="200">
        <f t="shared" si="15"/>
        <v>0</v>
      </c>
      <c r="M255" t="s">
        <v>1198</v>
      </c>
    </row>
    <row r="256" spans="1:14" hidden="1" x14ac:dyDescent="0.15">
      <c r="A256" s="33" t="s">
        <v>353</v>
      </c>
      <c r="B256" s="33" t="s">
        <v>565</v>
      </c>
      <c r="C256" s="33">
        <v>1</v>
      </c>
      <c r="D256" s="33" t="s">
        <v>339</v>
      </c>
      <c r="E256" s="33" t="s">
        <v>565</v>
      </c>
      <c r="F256" s="81">
        <v>1</v>
      </c>
      <c r="G256">
        <f t="shared" si="12"/>
        <v>0</v>
      </c>
      <c r="H256">
        <f t="shared" si="13"/>
        <v>0</v>
      </c>
      <c r="J256">
        <v>1</v>
      </c>
      <c r="K256">
        <f t="shared" si="14"/>
        <v>0</v>
      </c>
      <c r="L256" s="200">
        <f t="shared" si="15"/>
        <v>0</v>
      </c>
      <c r="M256" t="s">
        <v>1199</v>
      </c>
    </row>
    <row r="257" spans="1:14" hidden="1" x14ac:dyDescent="0.15">
      <c r="A257" s="33" t="s">
        <v>353</v>
      </c>
      <c r="B257" s="33" t="s">
        <v>566</v>
      </c>
      <c r="C257" s="33">
        <v>2</v>
      </c>
      <c r="D257" s="33" t="s">
        <v>339</v>
      </c>
      <c r="E257" s="33" t="s">
        <v>566</v>
      </c>
      <c r="F257" s="81">
        <v>2</v>
      </c>
      <c r="G257">
        <f t="shared" si="12"/>
        <v>0</v>
      </c>
      <c r="H257">
        <f t="shared" si="13"/>
        <v>0</v>
      </c>
      <c r="J257">
        <v>2</v>
      </c>
      <c r="K257">
        <f t="shared" si="14"/>
        <v>0</v>
      </c>
      <c r="L257" s="200">
        <f t="shared" si="15"/>
        <v>0</v>
      </c>
      <c r="M257" t="s">
        <v>1200</v>
      </c>
    </row>
    <row r="258" spans="1:14" hidden="1" x14ac:dyDescent="0.15">
      <c r="A258" s="33" t="s">
        <v>353</v>
      </c>
      <c r="B258" s="33" t="s">
        <v>567</v>
      </c>
      <c r="C258" s="33">
        <v>1</v>
      </c>
      <c r="D258" s="33" t="s">
        <v>339</v>
      </c>
      <c r="E258" s="33" t="s">
        <v>567</v>
      </c>
      <c r="F258" s="81">
        <v>1</v>
      </c>
      <c r="G258">
        <f t="shared" si="12"/>
        <v>0</v>
      </c>
      <c r="H258">
        <f t="shared" si="13"/>
        <v>0</v>
      </c>
      <c r="J258">
        <v>1</v>
      </c>
      <c r="K258">
        <f t="shared" si="14"/>
        <v>0</v>
      </c>
      <c r="L258" s="200">
        <f t="shared" si="15"/>
        <v>0</v>
      </c>
      <c r="M258" t="s">
        <v>1201</v>
      </c>
    </row>
    <row r="259" spans="1:14" hidden="1" x14ac:dyDescent="0.15">
      <c r="A259" s="33" t="s">
        <v>353</v>
      </c>
      <c r="B259" s="33" t="s">
        <v>568</v>
      </c>
      <c r="C259" s="33">
        <v>2</v>
      </c>
      <c r="D259" s="33" t="s">
        <v>339</v>
      </c>
      <c r="E259" s="33" t="s">
        <v>568</v>
      </c>
      <c r="F259" s="81">
        <v>2</v>
      </c>
      <c r="G259">
        <f t="shared" si="12"/>
        <v>0</v>
      </c>
      <c r="H259">
        <f t="shared" si="13"/>
        <v>0</v>
      </c>
      <c r="J259">
        <v>2</v>
      </c>
      <c r="K259">
        <f t="shared" si="14"/>
        <v>0</v>
      </c>
      <c r="L259" s="200">
        <f t="shared" si="15"/>
        <v>0</v>
      </c>
      <c r="M259" t="s">
        <v>1202</v>
      </c>
    </row>
    <row r="260" spans="1:14" hidden="1" x14ac:dyDescent="0.15">
      <c r="A260" s="33" t="s">
        <v>353</v>
      </c>
      <c r="B260" s="33" t="s">
        <v>569</v>
      </c>
      <c r="C260" s="33">
        <v>7</v>
      </c>
      <c r="D260" s="33" t="s">
        <v>339</v>
      </c>
      <c r="E260" s="33" t="s">
        <v>569</v>
      </c>
      <c r="F260" s="81">
        <v>7</v>
      </c>
      <c r="G260">
        <f t="shared" si="12"/>
        <v>0</v>
      </c>
      <c r="H260">
        <f t="shared" si="13"/>
        <v>0</v>
      </c>
      <c r="J260">
        <v>7</v>
      </c>
      <c r="K260">
        <f t="shared" si="14"/>
        <v>0</v>
      </c>
      <c r="L260" s="200">
        <f t="shared" si="15"/>
        <v>0</v>
      </c>
      <c r="M260" t="s">
        <v>1203</v>
      </c>
    </row>
    <row r="261" spans="1:14" hidden="1" x14ac:dyDescent="0.15">
      <c r="A261" s="33" t="s">
        <v>353</v>
      </c>
      <c r="B261" s="33" t="s">
        <v>570</v>
      </c>
      <c r="C261" s="33">
        <v>3</v>
      </c>
      <c r="D261" s="33" t="s">
        <v>339</v>
      </c>
      <c r="E261" s="33" t="s">
        <v>570</v>
      </c>
      <c r="F261" s="81">
        <v>3</v>
      </c>
      <c r="G261">
        <f t="shared" si="12"/>
        <v>0</v>
      </c>
      <c r="H261">
        <f t="shared" si="13"/>
        <v>0</v>
      </c>
      <c r="J261">
        <v>3</v>
      </c>
      <c r="K261">
        <f t="shared" si="14"/>
        <v>0</v>
      </c>
      <c r="L261" s="200">
        <f t="shared" si="15"/>
        <v>0</v>
      </c>
      <c r="M261" t="s">
        <v>1204</v>
      </c>
    </row>
    <row r="262" spans="1:14" hidden="1" x14ac:dyDescent="0.15">
      <c r="A262" s="33" t="s">
        <v>353</v>
      </c>
      <c r="B262" s="33" t="s">
        <v>571</v>
      </c>
      <c r="C262" s="33">
        <v>5795</v>
      </c>
      <c r="D262" s="33" t="s">
        <v>339</v>
      </c>
      <c r="E262" s="33" t="s">
        <v>571</v>
      </c>
      <c r="F262" s="81">
        <v>5795</v>
      </c>
      <c r="G262">
        <f t="shared" si="12"/>
        <v>0</v>
      </c>
      <c r="H262">
        <f t="shared" si="13"/>
        <v>0</v>
      </c>
      <c r="J262">
        <v>5795</v>
      </c>
      <c r="K262">
        <f t="shared" si="14"/>
        <v>0</v>
      </c>
      <c r="L262" s="200">
        <f t="shared" si="15"/>
        <v>0</v>
      </c>
      <c r="M262" t="s">
        <v>1205</v>
      </c>
      <c r="N262" t="s">
        <v>1206</v>
      </c>
    </row>
    <row r="263" spans="1:14" hidden="1" x14ac:dyDescent="0.15">
      <c r="A263" s="33" t="s">
        <v>353</v>
      </c>
      <c r="B263" s="33" t="s">
        <v>572</v>
      </c>
      <c r="C263" s="33">
        <v>1814265</v>
      </c>
      <c r="D263" s="33" t="s">
        <v>339</v>
      </c>
      <c r="E263" s="33" t="s">
        <v>572</v>
      </c>
      <c r="F263" s="81">
        <v>1814265</v>
      </c>
      <c r="G263">
        <f t="shared" si="12"/>
        <v>0</v>
      </c>
      <c r="H263">
        <f t="shared" si="13"/>
        <v>0</v>
      </c>
      <c r="J263">
        <v>1814265</v>
      </c>
      <c r="K263">
        <f t="shared" si="14"/>
        <v>0</v>
      </c>
      <c r="L263" s="200">
        <f t="shared" si="15"/>
        <v>0</v>
      </c>
      <c r="M263" t="s">
        <v>1207</v>
      </c>
    </row>
    <row r="264" spans="1:14" hidden="1" x14ac:dyDescent="0.15">
      <c r="A264" s="33" t="s">
        <v>353</v>
      </c>
      <c r="B264" s="33" t="s">
        <v>573</v>
      </c>
      <c r="C264" s="33">
        <v>23</v>
      </c>
      <c r="D264" s="33" t="s">
        <v>339</v>
      </c>
      <c r="E264" s="33" t="s">
        <v>573</v>
      </c>
      <c r="F264" s="81">
        <v>23</v>
      </c>
      <c r="G264">
        <f t="shared" si="12"/>
        <v>0</v>
      </c>
      <c r="H264">
        <f t="shared" si="13"/>
        <v>0</v>
      </c>
      <c r="J264">
        <v>23</v>
      </c>
      <c r="K264">
        <f t="shared" si="14"/>
        <v>0</v>
      </c>
      <c r="L264" s="200">
        <f t="shared" si="15"/>
        <v>0</v>
      </c>
      <c r="M264" t="s">
        <v>1208</v>
      </c>
    </row>
    <row r="265" spans="1:14" hidden="1" x14ac:dyDescent="0.15">
      <c r="A265" s="33" t="s">
        <v>353</v>
      </c>
      <c r="B265" s="33" t="s">
        <v>574</v>
      </c>
      <c r="C265" s="33">
        <v>17537</v>
      </c>
      <c r="D265" s="33" t="s">
        <v>339</v>
      </c>
      <c r="E265" s="33" t="s">
        <v>574</v>
      </c>
      <c r="F265" s="81">
        <v>17537</v>
      </c>
      <c r="G265">
        <f t="shared" si="12"/>
        <v>0</v>
      </c>
      <c r="H265">
        <f t="shared" si="13"/>
        <v>0</v>
      </c>
      <c r="J265">
        <v>17537</v>
      </c>
      <c r="K265">
        <f t="shared" si="14"/>
        <v>0</v>
      </c>
      <c r="L265" s="200">
        <f t="shared" si="15"/>
        <v>0</v>
      </c>
      <c r="M265" t="s">
        <v>1209</v>
      </c>
    </row>
    <row r="266" spans="1:14" hidden="1" x14ac:dyDescent="0.15">
      <c r="A266" s="33" t="s">
        <v>353</v>
      </c>
      <c r="B266" s="33" t="s">
        <v>575</v>
      </c>
      <c r="C266" s="33">
        <v>158923</v>
      </c>
      <c r="D266" s="33" t="s">
        <v>339</v>
      </c>
      <c r="E266" s="33" t="s">
        <v>575</v>
      </c>
      <c r="F266" s="81">
        <v>158923</v>
      </c>
      <c r="G266">
        <f t="shared" si="12"/>
        <v>0</v>
      </c>
      <c r="H266">
        <f t="shared" si="13"/>
        <v>0</v>
      </c>
      <c r="J266">
        <v>158923</v>
      </c>
      <c r="K266">
        <f t="shared" si="14"/>
        <v>0</v>
      </c>
      <c r="L266" s="200">
        <f t="shared" si="15"/>
        <v>0</v>
      </c>
      <c r="M266" t="s">
        <v>1210</v>
      </c>
      <c r="N266" t="s">
        <v>1211</v>
      </c>
    </row>
    <row r="267" spans="1:14" hidden="1" x14ac:dyDescent="0.15">
      <c r="A267" s="33" t="s">
        <v>353</v>
      </c>
      <c r="B267" s="33" t="s">
        <v>576</v>
      </c>
      <c r="C267" s="33">
        <v>244125</v>
      </c>
      <c r="D267" s="33" t="s">
        <v>339</v>
      </c>
      <c r="E267" s="33" t="s">
        <v>576</v>
      </c>
      <c r="F267" s="81">
        <v>244125</v>
      </c>
      <c r="G267">
        <f t="shared" si="12"/>
        <v>0</v>
      </c>
      <c r="H267">
        <f t="shared" si="13"/>
        <v>0</v>
      </c>
      <c r="J267">
        <v>244125</v>
      </c>
      <c r="K267">
        <f t="shared" si="14"/>
        <v>0</v>
      </c>
      <c r="L267" s="200">
        <f t="shared" si="15"/>
        <v>0</v>
      </c>
      <c r="M267" t="s">
        <v>1212</v>
      </c>
    </row>
    <row r="268" spans="1:14" hidden="1" x14ac:dyDescent="0.15">
      <c r="A268" s="33" t="s">
        <v>353</v>
      </c>
      <c r="B268" s="33" t="s">
        <v>577</v>
      </c>
      <c r="C268" s="33">
        <v>3</v>
      </c>
      <c r="D268" s="33" t="s">
        <v>339</v>
      </c>
      <c r="E268" s="33" t="s">
        <v>577</v>
      </c>
      <c r="F268" s="81">
        <v>3</v>
      </c>
      <c r="G268">
        <f t="shared" si="12"/>
        <v>0</v>
      </c>
      <c r="H268">
        <f t="shared" si="13"/>
        <v>0</v>
      </c>
      <c r="J268">
        <v>3</v>
      </c>
      <c r="K268">
        <f t="shared" si="14"/>
        <v>0</v>
      </c>
      <c r="L268" s="200">
        <f t="shared" si="15"/>
        <v>0</v>
      </c>
      <c r="M268" t="s">
        <v>1213</v>
      </c>
    </row>
    <row r="269" spans="1:14" hidden="1" x14ac:dyDescent="0.15">
      <c r="A269" s="33" t="s">
        <v>353</v>
      </c>
      <c r="B269" s="33" t="s">
        <v>578</v>
      </c>
      <c r="C269" s="33">
        <v>4</v>
      </c>
      <c r="D269" s="33" t="s">
        <v>339</v>
      </c>
      <c r="E269" s="33" t="s">
        <v>578</v>
      </c>
      <c r="F269" s="81">
        <v>4</v>
      </c>
      <c r="G269">
        <f t="shared" si="12"/>
        <v>0</v>
      </c>
      <c r="H269">
        <f t="shared" si="13"/>
        <v>0</v>
      </c>
      <c r="J269">
        <v>4</v>
      </c>
      <c r="K269">
        <f t="shared" si="14"/>
        <v>0</v>
      </c>
      <c r="L269" s="200">
        <f t="shared" si="15"/>
        <v>0</v>
      </c>
      <c r="M269" t="s">
        <v>1214</v>
      </c>
    </row>
    <row r="270" spans="1:14" hidden="1" x14ac:dyDescent="0.15">
      <c r="A270" s="33" t="s">
        <v>353</v>
      </c>
      <c r="B270" s="33" t="s">
        <v>579</v>
      </c>
      <c r="C270" s="33">
        <v>3740</v>
      </c>
      <c r="D270" s="33" t="s">
        <v>339</v>
      </c>
      <c r="E270" s="33" t="s">
        <v>579</v>
      </c>
      <c r="F270" s="81">
        <v>3740</v>
      </c>
      <c r="G270">
        <f t="shared" si="12"/>
        <v>0</v>
      </c>
      <c r="H270">
        <f t="shared" si="13"/>
        <v>0</v>
      </c>
      <c r="J270">
        <v>3740</v>
      </c>
      <c r="K270">
        <f t="shared" si="14"/>
        <v>0</v>
      </c>
      <c r="L270" s="200">
        <f t="shared" si="15"/>
        <v>0</v>
      </c>
      <c r="M270" t="s">
        <v>1215</v>
      </c>
    </row>
    <row r="271" spans="1:14" hidden="1" x14ac:dyDescent="0.15">
      <c r="A271" s="33" t="s">
        <v>353</v>
      </c>
      <c r="B271" s="33" t="s">
        <v>580</v>
      </c>
      <c r="C271" s="33">
        <v>3853</v>
      </c>
      <c r="D271" s="33" t="s">
        <v>339</v>
      </c>
      <c r="E271" s="33" t="s">
        <v>580</v>
      </c>
      <c r="F271" s="81">
        <v>3853</v>
      </c>
      <c r="G271">
        <f t="shared" si="12"/>
        <v>0</v>
      </c>
      <c r="H271">
        <f t="shared" si="13"/>
        <v>0</v>
      </c>
      <c r="J271">
        <v>3853</v>
      </c>
      <c r="K271">
        <f t="shared" si="14"/>
        <v>0</v>
      </c>
      <c r="L271" s="200">
        <f t="shared" si="15"/>
        <v>0</v>
      </c>
      <c r="M271" t="s">
        <v>1216</v>
      </c>
    </row>
    <row r="272" spans="1:14" hidden="1" x14ac:dyDescent="0.15">
      <c r="A272" s="33" t="s">
        <v>353</v>
      </c>
      <c r="B272" s="33" t="s">
        <v>581</v>
      </c>
      <c r="C272" s="33">
        <v>94</v>
      </c>
      <c r="D272" s="33" t="s">
        <v>339</v>
      </c>
      <c r="E272" s="33" t="s">
        <v>581</v>
      </c>
      <c r="F272" s="81">
        <v>94</v>
      </c>
      <c r="G272">
        <f t="shared" si="12"/>
        <v>0</v>
      </c>
      <c r="H272">
        <f t="shared" si="13"/>
        <v>0</v>
      </c>
      <c r="J272">
        <v>94</v>
      </c>
      <c r="K272">
        <f t="shared" si="14"/>
        <v>0</v>
      </c>
      <c r="L272" s="200">
        <f t="shared" si="15"/>
        <v>0</v>
      </c>
      <c r="M272" t="s">
        <v>1217</v>
      </c>
    </row>
    <row r="273" spans="1:14" hidden="1" x14ac:dyDescent="0.15">
      <c r="A273" s="33" t="s">
        <v>353</v>
      </c>
      <c r="B273" s="33" t="s">
        <v>582</v>
      </c>
      <c r="C273" s="33">
        <v>207</v>
      </c>
      <c r="D273" s="33" t="s">
        <v>339</v>
      </c>
      <c r="E273" s="33" t="s">
        <v>582</v>
      </c>
      <c r="F273" s="81">
        <v>207</v>
      </c>
      <c r="G273">
        <f t="shared" ref="G273:G336" si="16">C273-F273</f>
        <v>0</v>
      </c>
      <c r="H273">
        <f t="shared" ref="H273:H336" si="17">IF(OR(C273=0, F273=0), 0, C273-F273)</f>
        <v>0</v>
      </c>
      <c r="J273">
        <v>207</v>
      </c>
      <c r="K273">
        <f t="shared" ref="K273:K336" si="18">J273-F273</f>
        <v>0</v>
      </c>
      <c r="L273" s="200">
        <f t="shared" ref="L273:L336" si="19">IFERROR(ABS(F273 - J273) / ((F273 + J273) / 2),0)</f>
        <v>0</v>
      </c>
      <c r="M273" t="s">
        <v>1218</v>
      </c>
    </row>
    <row r="274" spans="1:14" hidden="1" x14ac:dyDescent="0.15">
      <c r="A274" s="33" t="s">
        <v>353</v>
      </c>
      <c r="B274" s="33" t="s">
        <v>583</v>
      </c>
      <c r="C274" s="33">
        <v>112</v>
      </c>
      <c r="D274" s="33" t="s">
        <v>339</v>
      </c>
      <c r="E274" s="33" t="s">
        <v>583</v>
      </c>
      <c r="F274" s="81">
        <v>112</v>
      </c>
      <c r="G274">
        <f t="shared" si="16"/>
        <v>0</v>
      </c>
      <c r="H274">
        <f t="shared" si="17"/>
        <v>0</v>
      </c>
      <c r="J274">
        <v>112</v>
      </c>
      <c r="K274">
        <f t="shared" si="18"/>
        <v>0</v>
      </c>
      <c r="L274" s="200">
        <f t="shared" si="19"/>
        <v>0</v>
      </c>
      <c r="M274" t="s">
        <v>1219</v>
      </c>
    </row>
    <row r="275" spans="1:14" hidden="1" x14ac:dyDescent="0.15">
      <c r="A275" s="33" t="s">
        <v>353</v>
      </c>
      <c r="B275" s="33" t="s">
        <v>584</v>
      </c>
      <c r="C275" s="33">
        <v>2</v>
      </c>
      <c r="D275" s="33" t="s">
        <v>339</v>
      </c>
      <c r="E275" s="33" t="s">
        <v>584</v>
      </c>
      <c r="F275" s="81">
        <v>2</v>
      </c>
      <c r="G275">
        <f t="shared" si="16"/>
        <v>0</v>
      </c>
      <c r="H275">
        <f t="shared" si="17"/>
        <v>0</v>
      </c>
      <c r="J275">
        <v>2</v>
      </c>
      <c r="K275">
        <f t="shared" si="18"/>
        <v>0</v>
      </c>
      <c r="L275" s="200">
        <f t="shared" si="19"/>
        <v>0</v>
      </c>
      <c r="M275" t="s">
        <v>1220</v>
      </c>
    </row>
    <row r="276" spans="1:14" hidden="1" x14ac:dyDescent="0.15">
      <c r="A276" s="33" t="s">
        <v>353</v>
      </c>
      <c r="B276" s="33" t="s">
        <v>585</v>
      </c>
      <c r="C276" s="33">
        <v>2</v>
      </c>
      <c r="D276" s="33" t="s">
        <v>339</v>
      </c>
      <c r="E276" s="33" t="s">
        <v>585</v>
      </c>
      <c r="F276" s="81">
        <v>2</v>
      </c>
      <c r="G276">
        <f t="shared" si="16"/>
        <v>0</v>
      </c>
      <c r="H276">
        <f t="shared" si="17"/>
        <v>0</v>
      </c>
      <c r="J276">
        <v>2</v>
      </c>
      <c r="K276">
        <f t="shared" si="18"/>
        <v>0</v>
      </c>
      <c r="L276" s="200">
        <f t="shared" si="19"/>
        <v>0</v>
      </c>
      <c r="M276" t="s">
        <v>1221</v>
      </c>
    </row>
    <row r="277" spans="1:14" hidden="1" x14ac:dyDescent="0.15">
      <c r="A277" s="33" t="s">
        <v>353</v>
      </c>
      <c r="B277" s="33" t="s">
        <v>586</v>
      </c>
      <c r="C277" s="33">
        <v>2</v>
      </c>
      <c r="D277" s="33" t="s">
        <v>339</v>
      </c>
      <c r="E277" s="33" t="s">
        <v>586</v>
      </c>
      <c r="F277" s="81">
        <v>2</v>
      </c>
      <c r="G277">
        <f t="shared" si="16"/>
        <v>0</v>
      </c>
      <c r="H277">
        <f t="shared" si="17"/>
        <v>0</v>
      </c>
      <c r="J277">
        <v>2</v>
      </c>
      <c r="K277">
        <f t="shared" si="18"/>
        <v>0</v>
      </c>
      <c r="L277" s="200">
        <f t="shared" si="19"/>
        <v>0</v>
      </c>
      <c r="M277" t="s">
        <v>1222</v>
      </c>
    </row>
    <row r="278" spans="1:14" hidden="1" x14ac:dyDescent="0.15">
      <c r="A278" s="33" t="s">
        <v>353</v>
      </c>
      <c r="B278" s="33" t="s">
        <v>587</v>
      </c>
      <c r="C278" s="33">
        <v>2</v>
      </c>
      <c r="D278" s="33" t="s">
        <v>339</v>
      </c>
      <c r="E278" s="33" t="s">
        <v>587</v>
      </c>
      <c r="F278" s="81">
        <v>2</v>
      </c>
      <c r="G278">
        <f t="shared" si="16"/>
        <v>0</v>
      </c>
      <c r="H278">
        <f t="shared" si="17"/>
        <v>0</v>
      </c>
      <c r="J278">
        <v>2</v>
      </c>
      <c r="K278">
        <f t="shared" si="18"/>
        <v>0</v>
      </c>
      <c r="L278" s="200">
        <f t="shared" si="19"/>
        <v>0</v>
      </c>
      <c r="M278" t="s">
        <v>1223</v>
      </c>
    </row>
    <row r="279" spans="1:14" hidden="1" x14ac:dyDescent="0.15">
      <c r="A279" s="33" t="s">
        <v>353</v>
      </c>
      <c r="B279" s="33" t="s">
        <v>588</v>
      </c>
      <c r="C279" s="33">
        <v>86096</v>
      </c>
      <c r="D279" s="33" t="s">
        <v>339</v>
      </c>
      <c r="E279" s="33" t="s">
        <v>588</v>
      </c>
      <c r="F279" s="81">
        <v>86096</v>
      </c>
      <c r="G279">
        <f t="shared" si="16"/>
        <v>0</v>
      </c>
      <c r="H279">
        <f t="shared" si="17"/>
        <v>0</v>
      </c>
      <c r="J279">
        <v>86096</v>
      </c>
      <c r="K279">
        <f t="shared" si="18"/>
        <v>0</v>
      </c>
      <c r="L279" s="200">
        <f t="shared" si="19"/>
        <v>0</v>
      </c>
      <c r="M279" t="s">
        <v>1224</v>
      </c>
    </row>
    <row r="280" spans="1:14" hidden="1" x14ac:dyDescent="0.15">
      <c r="A280" s="33" t="s">
        <v>353</v>
      </c>
      <c r="B280" s="33" t="s">
        <v>589</v>
      </c>
      <c r="C280" s="33">
        <v>65762</v>
      </c>
      <c r="D280" s="33" t="s">
        <v>339</v>
      </c>
      <c r="E280" s="33" t="s">
        <v>589</v>
      </c>
      <c r="F280" s="81">
        <v>65762</v>
      </c>
      <c r="G280">
        <f t="shared" si="16"/>
        <v>0</v>
      </c>
      <c r="H280">
        <f t="shared" si="17"/>
        <v>0</v>
      </c>
      <c r="J280">
        <v>65762</v>
      </c>
      <c r="K280">
        <f t="shared" si="18"/>
        <v>0</v>
      </c>
      <c r="L280" s="200">
        <f t="shared" si="19"/>
        <v>0</v>
      </c>
      <c r="M280" t="s">
        <v>1225</v>
      </c>
    </row>
    <row r="281" spans="1:14" hidden="1" x14ac:dyDescent="0.15">
      <c r="A281" s="33" t="s">
        <v>353</v>
      </c>
      <c r="B281" s="33" t="s">
        <v>590</v>
      </c>
      <c r="C281" s="33">
        <v>89</v>
      </c>
      <c r="D281" s="33" t="s">
        <v>339</v>
      </c>
      <c r="E281" s="33" t="s">
        <v>590</v>
      </c>
      <c r="F281" s="81">
        <v>89</v>
      </c>
      <c r="G281">
        <f t="shared" si="16"/>
        <v>0</v>
      </c>
      <c r="H281">
        <f t="shared" si="17"/>
        <v>0</v>
      </c>
      <c r="J281">
        <v>89</v>
      </c>
      <c r="K281">
        <f t="shared" si="18"/>
        <v>0</v>
      </c>
      <c r="L281" s="200">
        <f t="shared" si="19"/>
        <v>0</v>
      </c>
      <c r="M281" t="s">
        <v>1226</v>
      </c>
    </row>
    <row r="282" spans="1:14" hidden="1" x14ac:dyDescent="0.15">
      <c r="A282" s="33" t="s">
        <v>353</v>
      </c>
      <c r="B282" s="33" t="s">
        <v>591</v>
      </c>
      <c r="C282" s="33">
        <v>4</v>
      </c>
      <c r="D282" s="33" t="s">
        <v>339</v>
      </c>
      <c r="E282" s="33" t="s">
        <v>591</v>
      </c>
      <c r="F282" s="81">
        <v>4</v>
      </c>
      <c r="G282">
        <f t="shared" si="16"/>
        <v>0</v>
      </c>
      <c r="H282">
        <f t="shared" si="17"/>
        <v>0</v>
      </c>
      <c r="J282">
        <v>4</v>
      </c>
      <c r="K282">
        <f t="shared" si="18"/>
        <v>0</v>
      </c>
      <c r="L282" s="200">
        <f t="shared" si="19"/>
        <v>0</v>
      </c>
      <c r="M282" t="s">
        <v>1227</v>
      </c>
    </row>
    <row r="283" spans="1:14" hidden="1" x14ac:dyDescent="0.15">
      <c r="A283" s="33" t="s">
        <v>353</v>
      </c>
      <c r="B283" s="33" t="s">
        <v>592</v>
      </c>
      <c r="C283" s="33">
        <v>7</v>
      </c>
      <c r="D283" s="33" t="s">
        <v>339</v>
      </c>
      <c r="E283" s="33" t="s">
        <v>592</v>
      </c>
      <c r="F283" s="81">
        <v>7</v>
      </c>
      <c r="G283">
        <f t="shared" si="16"/>
        <v>0</v>
      </c>
      <c r="H283">
        <f t="shared" si="17"/>
        <v>0</v>
      </c>
      <c r="J283">
        <v>7</v>
      </c>
      <c r="K283">
        <f t="shared" si="18"/>
        <v>0</v>
      </c>
      <c r="L283" s="200">
        <f t="shared" si="19"/>
        <v>0</v>
      </c>
      <c r="M283" t="s">
        <v>1228</v>
      </c>
      <c r="N283" t="s">
        <v>1229</v>
      </c>
    </row>
    <row r="284" spans="1:14" hidden="1" x14ac:dyDescent="0.15">
      <c r="A284" s="33" t="s">
        <v>353</v>
      </c>
      <c r="B284" s="33" t="s">
        <v>593</v>
      </c>
      <c r="C284" s="33">
        <v>4</v>
      </c>
      <c r="D284" s="33" t="s">
        <v>339</v>
      </c>
      <c r="E284" s="33" t="s">
        <v>593</v>
      </c>
      <c r="F284" s="81">
        <v>4</v>
      </c>
      <c r="G284">
        <f t="shared" si="16"/>
        <v>0</v>
      </c>
      <c r="H284">
        <f t="shared" si="17"/>
        <v>0</v>
      </c>
      <c r="J284">
        <v>4</v>
      </c>
      <c r="K284">
        <f t="shared" si="18"/>
        <v>0</v>
      </c>
      <c r="L284" s="200">
        <f t="shared" si="19"/>
        <v>0</v>
      </c>
      <c r="M284" t="s">
        <v>1230</v>
      </c>
    </row>
    <row r="285" spans="1:14" hidden="1" x14ac:dyDescent="0.15">
      <c r="A285" s="33" t="s">
        <v>353</v>
      </c>
      <c r="B285" s="33" t="s">
        <v>594</v>
      </c>
      <c r="C285" s="33">
        <v>161</v>
      </c>
      <c r="D285" s="33" t="s">
        <v>339</v>
      </c>
      <c r="E285" s="33" t="s">
        <v>594</v>
      </c>
      <c r="F285" s="81">
        <v>161</v>
      </c>
      <c r="G285">
        <f t="shared" si="16"/>
        <v>0</v>
      </c>
      <c r="H285">
        <f t="shared" si="17"/>
        <v>0</v>
      </c>
      <c r="J285">
        <v>161</v>
      </c>
      <c r="K285">
        <f t="shared" si="18"/>
        <v>0</v>
      </c>
      <c r="L285" s="200">
        <f t="shared" si="19"/>
        <v>0</v>
      </c>
      <c r="M285" t="s">
        <v>1231</v>
      </c>
    </row>
    <row r="286" spans="1:14" hidden="1" x14ac:dyDescent="0.15">
      <c r="A286" s="33" t="s">
        <v>353</v>
      </c>
      <c r="B286" s="33" t="s">
        <v>595</v>
      </c>
      <c r="C286" s="33">
        <v>14998</v>
      </c>
      <c r="D286" s="33" t="s">
        <v>339</v>
      </c>
      <c r="E286" s="33" t="s">
        <v>595</v>
      </c>
      <c r="F286" s="81">
        <v>14998</v>
      </c>
      <c r="G286">
        <f t="shared" si="16"/>
        <v>0</v>
      </c>
      <c r="H286">
        <f t="shared" si="17"/>
        <v>0</v>
      </c>
      <c r="J286">
        <v>14998</v>
      </c>
      <c r="K286">
        <f t="shared" si="18"/>
        <v>0</v>
      </c>
      <c r="L286" s="200">
        <f t="shared" si="19"/>
        <v>0</v>
      </c>
      <c r="M286" t="s">
        <v>1232</v>
      </c>
    </row>
    <row r="287" spans="1:14" hidden="1" x14ac:dyDescent="0.15">
      <c r="A287" s="33" t="s">
        <v>353</v>
      </c>
      <c r="B287" s="33" t="s">
        <v>596</v>
      </c>
      <c r="C287" s="33">
        <v>12</v>
      </c>
      <c r="D287" s="33" t="s">
        <v>339</v>
      </c>
      <c r="E287" s="33" t="s">
        <v>596</v>
      </c>
      <c r="F287" s="81">
        <v>12</v>
      </c>
      <c r="G287">
        <f t="shared" si="16"/>
        <v>0</v>
      </c>
      <c r="H287">
        <f t="shared" si="17"/>
        <v>0</v>
      </c>
      <c r="J287">
        <v>12</v>
      </c>
      <c r="K287">
        <f t="shared" si="18"/>
        <v>0</v>
      </c>
      <c r="L287" s="200">
        <f t="shared" si="19"/>
        <v>0</v>
      </c>
      <c r="M287" t="s">
        <v>1233</v>
      </c>
      <c r="N287" t="s">
        <v>1234</v>
      </c>
    </row>
    <row r="288" spans="1:14" hidden="1" x14ac:dyDescent="0.15">
      <c r="A288" s="33" t="s">
        <v>353</v>
      </c>
      <c r="B288" s="33" t="s">
        <v>597</v>
      </c>
      <c r="C288" s="33">
        <v>613744</v>
      </c>
      <c r="D288" s="33" t="s">
        <v>339</v>
      </c>
      <c r="E288" s="33" t="s">
        <v>597</v>
      </c>
      <c r="F288" s="81">
        <v>613744</v>
      </c>
      <c r="G288">
        <f t="shared" si="16"/>
        <v>0</v>
      </c>
      <c r="H288">
        <f t="shared" si="17"/>
        <v>0</v>
      </c>
      <c r="J288">
        <v>613744</v>
      </c>
      <c r="K288">
        <f t="shared" si="18"/>
        <v>0</v>
      </c>
      <c r="L288" s="200">
        <f t="shared" si="19"/>
        <v>0</v>
      </c>
      <c r="M288" t="s">
        <v>1235</v>
      </c>
      <c r="N288" t="s">
        <v>1236</v>
      </c>
    </row>
    <row r="289" spans="1:14" hidden="1" x14ac:dyDescent="0.15">
      <c r="A289" s="33" t="s">
        <v>353</v>
      </c>
      <c r="B289" s="33" t="s">
        <v>598</v>
      </c>
      <c r="C289" s="33">
        <v>24144</v>
      </c>
      <c r="D289" s="33" t="s">
        <v>339</v>
      </c>
      <c r="E289" s="33" t="s">
        <v>598</v>
      </c>
      <c r="F289" s="81">
        <v>24144</v>
      </c>
      <c r="G289">
        <f t="shared" si="16"/>
        <v>0</v>
      </c>
      <c r="H289">
        <f t="shared" si="17"/>
        <v>0</v>
      </c>
      <c r="J289">
        <v>24144</v>
      </c>
      <c r="K289">
        <f t="shared" si="18"/>
        <v>0</v>
      </c>
      <c r="L289" s="200">
        <f t="shared" si="19"/>
        <v>0</v>
      </c>
      <c r="M289" t="s">
        <v>1237</v>
      </c>
    </row>
    <row r="290" spans="1:14" hidden="1" x14ac:dyDescent="0.15">
      <c r="A290" s="33" t="s">
        <v>353</v>
      </c>
      <c r="B290" s="33" t="s">
        <v>599</v>
      </c>
      <c r="C290" s="33">
        <v>61840</v>
      </c>
      <c r="D290" s="33" t="s">
        <v>339</v>
      </c>
      <c r="E290" s="33" t="s">
        <v>599</v>
      </c>
      <c r="F290" s="81">
        <v>61840</v>
      </c>
      <c r="G290">
        <f t="shared" si="16"/>
        <v>0</v>
      </c>
      <c r="H290">
        <f t="shared" si="17"/>
        <v>0</v>
      </c>
      <c r="J290">
        <v>61840</v>
      </c>
      <c r="K290">
        <f t="shared" si="18"/>
        <v>0</v>
      </c>
      <c r="L290" s="200">
        <f t="shared" si="19"/>
        <v>0</v>
      </c>
      <c r="M290" t="s">
        <v>1238</v>
      </c>
    </row>
    <row r="291" spans="1:14" hidden="1" x14ac:dyDescent="0.15">
      <c r="A291" s="33" t="s">
        <v>353</v>
      </c>
      <c r="B291" s="33" t="s">
        <v>600</v>
      </c>
      <c r="C291" s="33">
        <v>1667</v>
      </c>
      <c r="D291" s="33" t="s">
        <v>339</v>
      </c>
      <c r="E291" s="33" t="s">
        <v>600</v>
      </c>
      <c r="F291" s="81">
        <v>1667</v>
      </c>
      <c r="G291">
        <f t="shared" si="16"/>
        <v>0</v>
      </c>
      <c r="H291">
        <f t="shared" si="17"/>
        <v>0</v>
      </c>
      <c r="J291">
        <v>1667</v>
      </c>
      <c r="K291">
        <f t="shared" si="18"/>
        <v>0</v>
      </c>
      <c r="L291" s="200">
        <f t="shared" si="19"/>
        <v>0</v>
      </c>
      <c r="M291" t="s">
        <v>1239</v>
      </c>
    </row>
    <row r="292" spans="1:14" hidden="1" x14ac:dyDescent="0.15">
      <c r="A292" s="33" t="s">
        <v>353</v>
      </c>
      <c r="B292" s="33" t="s">
        <v>601</v>
      </c>
      <c r="C292" s="33">
        <v>2570999</v>
      </c>
      <c r="D292" s="33" t="s">
        <v>339</v>
      </c>
      <c r="E292" s="33" t="s">
        <v>601</v>
      </c>
      <c r="F292" s="81">
        <v>2570999</v>
      </c>
      <c r="G292">
        <f t="shared" si="16"/>
        <v>0</v>
      </c>
      <c r="H292">
        <f t="shared" si="17"/>
        <v>0</v>
      </c>
      <c r="J292">
        <v>2570999</v>
      </c>
      <c r="K292">
        <f t="shared" si="18"/>
        <v>0</v>
      </c>
      <c r="L292" s="200">
        <f t="shared" si="19"/>
        <v>0</v>
      </c>
      <c r="M292" t="s">
        <v>1240</v>
      </c>
    </row>
    <row r="293" spans="1:14" hidden="1" x14ac:dyDescent="0.15">
      <c r="A293" s="33" t="s">
        <v>353</v>
      </c>
      <c r="B293" s="33" t="s">
        <v>602</v>
      </c>
      <c r="C293" s="33">
        <v>517</v>
      </c>
      <c r="D293" s="33" t="s">
        <v>339</v>
      </c>
      <c r="E293" s="33" t="s">
        <v>602</v>
      </c>
      <c r="F293" s="81">
        <v>517</v>
      </c>
      <c r="G293">
        <f t="shared" si="16"/>
        <v>0</v>
      </c>
      <c r="H293">
        <f t="shared" si="17"/>
        <v>0</v>
      </c>
      <c r="J293">
        <v>517</v>
      </c>
      <c r="K293">
        <f t="shared" si="18"/>
        <v>0</v>
      </c>
      <c r="L293" s="200">
        <f t="shared" si="19"/>
        <v>0</v>
      </c>
      <c r="M293" t="s">
        <v>1241</v>
      </c>
      <c r="N293" t="s">
        <v>1242</v>
      </c>
    </row>
    <row r="294" spans="1:14" hidden="1" x14ac:dyDescent="0.15">
      <c r="A294" s="33" t="s">
        <v>353</v>
      </c>
      <c r="B294" s="33" t="s">
        <v>603</v>
      </c>
      <c r="C294" s="33">
        <v>297</v>
      </c>
      <c r="D294" s="33" t="s">
        <v>339</v>
      </c>
      <c r="E294" s="33" t="s">
        <v>603</v>
      </c>
      <c r="F294" s="81">
        <v>297</v>
      </c>
      <c r="G294">
        <f t="shared" si="16"/>
        <v>0</v>
      </c>
      <c r="H294">
        <f t="shared" si="17"/>
        <v>0</v>
      </c>
      <c r="J294">
        <v>297</v>
      </c>
      <c r="K294">
        <f t="shared" si="18"/>
        <v>0</v>
      </c>
      <c r="L294" s="200">
        <f t="shared" si="19"/>
        <v>0</v>
      </c>
      <c r="M294" t="s">
        <v>1243</v>
      </c>
      <c r="N294" t="s">
        <v>1244</v>
      </c>
    </row>
    <row r="295" spans="1:14" hidden="1" x14ac:dyDescent="0.15">
      <c r="A295" s="33" t="s">
        <v>353</v>
      </c>
      <c r="B295" s="33" t="s">
        <v>604</v>
      </c>
      <c r="C295" s="33">
        <v>4307</v>
      </c>
      <c r="D295" s="33" t="s">
        <v>339</v>
      </c>
      <c r="E295" s="33" t="s">
        <v>604</v>
      </c>
      <c r="F295" s="81">
        <v>4307</v>
      </c>
      <c r="G295">
        <f t="shared" si="16"/>
        <v>0</v>
      </c>
      <c r="H295">
        <f t="shared" si="17"/>
        <v>0</v>
      </c>
      <c r="J295">
        <v>4307</v>
      </c>
      <c r="K295">
        <f t="shared" si="18"/>
        <v>0</v>
      </c>
      <c r="L295" s="200">
        <f t="shared" si="19"/>
        <v>0</v>
      </c>
      <c r="M295" t="s">
        <v>1245</v>
      </c>
    </row>
    <row r="296" spans="1:14" hidden="1" x14ac:dyDescent="0.15">
      <c r="A296" s="33" t="s">
        <v>353</v>
      </c>
      <c r="B296" s="33" t="s">
        <v>605</v>
      </c>
      <c r="C296" s="33">
        <v>9</v>
      </c>
      <c r="D296" s="33" t="s">
        <v>339</v>
      </c>
      <c r="E296" s="33" t="s">
        <v>605</v>
      </c>
      <c r="F296" s="81">
        <v>9</v>
      </c>
      <c r="G296">
        <f t="shared" si="16"/>
        <v>0</v>
      </c>
      <c r="H296">
        <f t="shared" si="17"/>
        <v>0</v>
      </c>
      <c r="J296">
        <v>9</v>
      </c>
      <c r="K296">
        <f t="shared" si="18"/>
        <v>0</v>
      </c>
      <c r="L296" s="200">
        <f t="shared" si="19"/>
        <v>0</v>
      </c>
      <c r="M296" t="s">
        <v>1246</v>
      </c>
      <c r="N296" t="s">
        <v>1247</v>
      </c>
    </row>
    <row r="297" spans="1:14" hidden="1" x14ac:dyDescent="0.15">
      <c r="A297" s="33" t="s">
        <v>353</v>
      </c>
      <c r="B297" s="33" t="s">
        <v>606</v>
      </c>
      <c r="C297" s="33">
        <v>2</v>
      </c>
      <c r="D297" s="33" t="s">
        <v>339</v>
      </c>
      <c r="E297" s="33" t="s">
        <v>606</v>
      </c>
      <c r="F297" s="81">
        <v>2</v>
      </c>
      <c r="G297">
        <f t="shared" si="16"/>
        <v>0</v>
      </c>
      <c r="H297">
        <f t="shared" si="17"/>
        <v>0</v>
      </c>
      <c r="J297">
        <v>2</v>
      </c>
      <c r="K297">
        <f t="shared" si="18"/>
        <v>0</v>
      </c>
      <c r="L297" s="200">
        <f t="shared" si="19"/>
        <v>0</v>
      </c>
      <c r="M297" t="s">
        <v>1248</v>
      </c>
      <c r="N297" t="s">
        <v>1249</v>
      </c>
    </row>
    <row r="298" spans="1:14" hidden="1" x14ac:dyDescent="0.15">
      <c r="A298" s="33" t="s">
        <v>353</v>
      </c>
      <c r="B298" s="33" t="s">
        <v>607</v>
      </c>
      <c r="C298" s="33">
        <v>2</v>
      </c>
      <c r="D298" s="33" t="s">
        <v>339</v>
      </c>
      <c r="E298" s="33" t="s">
        <v>607</v>
      </c>
      <c r="F298" s="81">
        <v>2</v>
      </c>
      <c r="G298">
        <f t="shared" si="16"/>
        <v>0</v>
      </c>
      <c r="H298">
        <f t="shared" si="17"/>
        <v>0</v>
      </c>
      <c r="J298">
        <v>2</v>
      </c>
      <c r="K298">
        <f t="shared" si="18"/>
        <v>0</v>
      </c>
      <c r="L298" s="200">
        <f t="shared" si="19"/>
        <v>0</v>
      </c>
      <c r="M298" t="s">
        <v>1250</v>
      </c>
    </row>
    <row r="299" spans="1:14" hidden="1" x14ac:dyDescent="0.15">
      <c r="A299" s="33" t="s">
        <v>353</v>
      </c>
      <c r="B299" s="33" t="s">
        <v>608</v>
      </c>
      <c r="C299" s="33">
        <v>9069</v>
      </c>
      <c r="D299" s="33" t="s">
        <v>339</v>
      </c>
      <c r="E299" s="33" t="s">
        <v>608</v>
      </c>
      <c r="F299" s="81">
        <v>9069</v>
      </c>
      <c r="G299">
        <f t="shared" si="16"/>
        <v>0</v>
      </c>
      <c r="H299">
        <f t="shared" si="17"/>
        <v>0</v>
      </c>
      <c r="J299">
        <v>9069</v>
      </c>
      <c r="K299">
        <f t="shared" si="18"/>
        <v>0</v>
      </c>
      <c r="L299" s="200">
        <f t="shared" si="19"/>
        <v>0</v>
      </c>
      <c r="M299" t="s">
        <v>1251</v>
      </c>
    </row>
    <row r="300" spans="1:14" hidden="1" x14ac:dyDescent="0.15">
      <c r="A300" s="33" t="s">
        <v>353</v>
      </c>
      <c r="B300" s="33" t="s">
        <v>609</v>
      </c>
      <c r="C300" s="33">
        <v>3043</v>
      </c>
      <c r="D300" s="33" t="s">
        <v>339</v>
      </c>
      <c r="E300" s="33" t="s">
        <v>609</v>
      </c>
      <c r="F300" s="81">
        <v>3043</v>
      </c>
      <c r="G300">
        <f t="shared" si="16"/>
        <v>0</v>
      </c>
      <c r="H300">
        <f t="shared" si="17"/>
        <v>0</v>
      </c>
      <c r="J300">
        <v>3043</v>
      </c>
      <c r="K300">
        <f t="shared" si="18"/>
        <v>0</v>
      </c>
      <c r="L300" s="200">
        <f t="shared" si="19"/>
        <v>0</v>
      </c>
      <c r="M300" t="s">
        <v>1252</v>
      </c>
    </row>
    <row r="301" spans="1:14" hidden="1" x14ac:dyDescent="0.15">
      <c r="A301" s="33" t="s">
        <v>353</v>
      </c>
      <c r="B301" s="33" t="s">
        <v>610</v>
      </c>
      <c r="C301" s="33">
        <v>11547</v>
      </c>
      <c r="D301" s="33" t="s">
        <v>339</v>
      </c>
      <c r="E301" s="33" t="s">
        <v>610</v>
      </c>
      <c r="F301" s="81">
        <v>11547</v>
      </c>
      <c r="G301">
        <f t="shared" si="16"/>
        <v>0</v>
      </c>
      <c r="H301">
        <f t="shared" si="17"/>
        <v>0</v>
      </c>
      <c r="J301">
        <v>11547</v>
      </c>
      <c r="K301">
        <f t="shared" si="18"/>
        <v>0</v>
      </c>
      <c r="L301" s="200">
        <f t="shared" si="19"/>
        <v>0</v>
      </c>
      <c r="M301" t="s">
        <v>1253</v>
      </c>
    </row>
    <row r="302" spans="1:14" hidden="1" x14ac:dyDescent="0.15">
      <c r="A302" s="33" t="s">
        <v>353</v>
      </c>
      <c r="B302" s="33" t="s">
        <v>611</v>
      </c>
      <c r="C302" s="33">
        <v>12407</v>
      </c>
      <c r="D302" s="33" t="s">
        <v>339</v>
      </c>
      <c r="E302" s="33" t="s">
        <v>611</v>
      </c>
      <c r="F302" s="81">
        <v>12407</v>
      </c>
      <c r="G302">
        <f t="shared" si="16"/>
        <v>0</v>
      </c>
      <c r="H302">
        <f t="shared" si="17"/>
        <v>0</v>
      </c>
      <c r="J302">
        <v>12407</v>
      </c>
      <c r="K302">
        <f t="shared" si="18"/>
        <v>0</v>
      </c>
      <c r="L302" s="200">
        <f t="shared" si="19"/>
        <v>0</v>
      </c>
      <c r="M302" t="s">
        <v>1254</v>
      </c>
    </row>
    <row r="303" spans="1:14" hidden="1" x14ac:dyDescent="0.15">
      <c r="A303" s="33" t="s">
        <v>353</v>
      </c>
      <c r="B303" s="33" t="s">
        <v>612</v>
      </c>
      <c r="C303" s="33">
        <v>934</v>
      </c>
      <c r="D303" s="33" t="s">
        <v>339</v>
      </c>
      <c r="E303" s="33" t="s">
        <v>612</v>
      </c>
      <c r="F303" s="81">
        <v>934</v>
      </c>
      <c r="G303">
        <f t="shared" si="16"/>
        <v>0</v>
      </c>
      <c r="H303">
        <f t="shared" si="17"/>
        <v>0</v>
      </c>
      <c r="J303">
        <v>934</v>
      </c>
      <c r="K303">
        <f t="shared" si="18"/>
        <v>0</v>
      </c>
      <c r="L303" s="200">
        <f t="shared" si="19"/>
        <v>0</v>
      </c>
      <c r="M303" t="s">
        <v>1255</v>
      </c>
    </row>
    <row r="304" spans="1:14" hidden="1" x14ac:dyDescent="0.15">
      <c r="A304" s="33" t="s">
        <v>353</v>
      </c>
      <c r="B304" s="33" t="s">
        <v>613</v>
      </c>
      <c r="C304" s="33">
        <v>238163</v>
      </c>
      <c r="D304" s="33" t="s">
        <v>339</v>
      </c>
      <c r="E304" s="33" t="s">
        <v>613</v>
      </c>
      <c r="F304" s="81">
        <v>238163</v>
      </c>
      <c r="G304">
        <f t="shared" si="16"/>
        <v>0</v>
      </c>
      <c r="H304">
        <f t="shared" si="17"/>
        <v>0</v>
      </c>
      <c r="J304">
        <v>238163</v>
      </c>
      <c r="K304">
        <f t="shared" si="18"/>
        <v>0</v>
      </c>
      <c r="L304" s="200">
        <f t="shared" si="19"/>
        <v>0</v>
      </c>
      <c r="M304" t="s">
        <v>1256</v>
      </c>
    </row>
    <row r="305" spans="1:14" hidden="1" x14ac:dyDescent="0.15">
      <c r="A305" s="33" t="s">
        <v>353</v>
      </c>
      <c r="B305" s="33" t="s">
        <v>614</v>
      </c>
      <c r="C305" s="33">
        <v>26</v>
      </c>
      <c r="D305" s="33" t="s">
        <v>339</v>
      </c>
      <c r="E305" s="33" t="s">
        <v>614</v>
      </c>
      <c r="F305" s="81">
        <v>26</v>
      </c>
      <c r="G305">
        <f t="shared" si="16"/>
        <v>0</v>
      </c>
      <c r="H305">
        <f t="shared" si="17"/>
        <v>0</v>
      </c>
      <c r="J305">
        <v>26</v>
      </c>
      <c r="K305">
        <f t="shared" si="18"/>
        <v>0</v>
      </c>
      <c r="L305" s="200">
        <f t="shared" si="19"/>
        <v>0</v>
      </c>
      <c r="M305" t="s">
        <v>1257</v>
      </c>
    </row>
    <row r="306" spans="1:14" hidden="1" x14ac:dyDescent="0.15">
      <c r="A306" s="33" t="s">
        <v>353</v>
      </c>
      <c r="B306" s="33" t="s">
        <v>615</v>
      </c>
      <c r="C306" s="33">
        <v>11</v>
      </c>
      <c r="D306" s="33" t="s">
        <v>339</v>
      </c>
      <c r="E306" s="33" t="s">
        <v>615</v>
      </c>
      <c r="F306" s="81">
        <v>11</v>
      </c>
      <c r="G306">
        <f t="shared" si="16"/>
        <v>0</v>
      </c>
      <c r="H306">
        <f t="shared" si="17"/>
        <v>0</v>
      </c>
      <c r="J306">
        <v>11</v>
      </c>
      <c r="K306">
        <f t="shared" si="18"/>
        <v>0</v>
      </c>
      <c r="L306" s="200">
        <f t="shared" si="19"/>
        <v>0</v>
      </c>
      <c r="M306" t="s">
        <v>1258</v>
      </c>
    </row>
    <row r="307" spans="1:14" hidden="1" x14ac:dyDescent="0.15">
      <c r="A307" s="33" t="s">
        <v>353</v>
      </c>
      <c r="B307" s="33" t="s">
        <v>616</v>
      </c>
      <c r="C307" s="33">
        <v>3446</v>
      </c>
      <c r="D307" s="33" t="s">
        <v>339</v>
      </c>
      <c r="E307" s="33" t="s">
        <v>616</v>
      </c>
      <c r="F307" s="81">
        <v>3446</v>
      </c>
      <c r="G307">
        <f t="shared" si="16"/>
        <v>0</v>
      </c>
      <c r="H307">
        <f t="shared" si="17"/>
        <v>0</v>
      </c>
      <c r="J307">
        <v>3446</v>
      </c>
      <c r="K307">
        <f t="shared" si="18"/>
        <v>0</v>
      </c>
      <c r="L307" s="200">
        <f t="shared" si="19"/>
        <v>0</v>
      </c>
      <c r="M307" t="s">
        <v>1259</v>
      </c>
    </row>
    <row r="308" spans="1:14" hidden="1" x14ac:dyDescent="0.15">
      <c r="A308" s="33" t="s">
        <v>353</v>
      </c>
      <c r="B308" s="33" t="s">
        <v>617</v>
      </c>
      <c r="C308" s="33">
        <v>326229</v>
      </c>
      <c r="D308" s="33" t="s">
        <v>339</v>
      </c>
      <c r="E308" s="33" t="s">
        <v>617</v>
      </c>
      <c r="F308" s="81">
        <v>326229</v>
      </c>
      <c r="G308">
        <f t="shared" si="16"/>
        <v>0</v>
      </c>
      <c r="H308">
        <f t="shared" si="17"/>
        <v>0</v>
      </c>
      <c r="J308">
        <v>326229</v>
      </c>
      <c r="K308">
        <f t="shared" si="18"/>
        <v>0</v>
      </c>
      <c r="L308" s="200">
        <f t="shared" si="19"/>
        <v>0</v>
      </c>
      <c r="M308" t="s">
        <v>1260</v>
      </c>
      <c r="N308" t="s">
        <v>1261</v>
      </c>
    </row>
    <row r="309" spans="1:14" hidden="1" x14ac:dyDescent="0.15">
      <c r="A309" s="33" t="s">
        <v>353</v>
      </c>
      <c r="B309" s="33" t="s">
        <v>618</v>
      </c>
      <c r="C309" s="33">
        <v>153</v>
      </c>
      <c r="D309" s="33" t="s">
        <v>339</v>
      </c>
      <c r="E309" s="33" t="s">
        <v>618</v>
      </c>
      <c r="F309" s="81">
        <v>153</v>
      </c>
      <c r="G309">
        <f t="shared" si="16"/>
        <v>0</v>
      </c>
      <c r="H309">
        <f t="shared" si="17"/>
        <v>0</v>
      </c>
      <c r="J309">
        <v>153</v>
      </c>
      <c r="K309">
        <f t="shared" si="18"/>
        <v>0</v>
      </c>
      <c r="L309" s="200">
        <f t="shared" si="19"/>
        <v>0</v>
      </c>
      <c r="M309" t="s">
        <v>1262</v>
      </c>
    </row>
    <row r="310" spans="1:14" hidden="1" x14ac:dyDescent="0.15">
      <c r="A310" s="33" t="s">
        <v>353</v>
      </c>
      <c r="B310" s="33" t="s">
        <v>619</v>
      </c>
      <c r="C310" s="33">
        <v>9015</v>
      </c>
      <c r="D310" s="33" t="s">
        <v>339</v>
      </c>
      <c r="E310" s="33" t="s">
        <v>619</v>
      </c>
      <c r="F310" s="81">
        <v>9015</v>
      </c>
      <c r="G310">
        <f t="shared" si="16"/>
        <v>0</v>
      </c>
      <c r="H310">
        <f t="shared" si="17"/>
        <v>0</v>
      </c>
      <c r="J310">
        <v>9015</v>
      </c>
      <c r="K310">
        <f t="shared" si="18"/>
        <v>0</v>
      </c>
      <c r="L310" s="200">
        <f t="shared" si="19"/>
        <v>0</v>
      </c>
      <c r="M310" t="s">
        <v>1263</v>
      </c>
      <c r="N310" t="s">
        <v>1264</v>
      </c>
    </row>
    <row r="311" spans="1:14" hidden="1" x14ac:dyDescent="0.15">
      <c r="A311" s="33" t="s">
        <v>353</v>
      </c>
      <c r="B311" s="33" t="s">
        <v>620</v>
      </c>
      <c r="C311" s="33">
        <v>8656</v>
      </c>
      <c r="D311" s="33" t="s">
        <v>339</v>
      </c>
      <c r="E311" s="33" t="s">
        <v>620</v>
      </c>
      <c r="F311" s="81">
        <v>8656</v>
      </c>
      <c r="G311">
        <f t="shared" si="16"/>
        <v>0</v>
      </c>
      <c r="H311">
        <f t="shared" si="17"/>
        <v>0</v>
      </c>
      <c r="J311">
        <v>8656</v>
      </c>
      <c r="K311">
        <f t="shared" si="18"/>
        <v>0</v>
      </c>
      <c r="L311" s="200">
        <f t="shared" si="19"/>
        <v>0</v>
      </c>
      <c r="M311" t="s">
        <v>1265</v>
      </c>
      <c r="N311" t="s">
        <v>1266</v>
      </c>
    </row>
    <row r="312" spans="1:14" hidden="1" x14ac:dyDescent="0.15">
      <c r="A312" s="33" t="s">
        <v>353</v>
      </c>
      <c r="B312" s="33" t="s">
        <v>621</v>
      </c>
      <c r="C312" s="33">
        <v>75901</v>
      </c>
      <c r="D312" s="33" t="s">
        <v>339</v>
      </c>
      <c r="E312" s="33" t="s">
        <v>621</v>
      </c>
      <c r="F312" s="81">
        <v>75901</v>
      </c>
      <c r="G312">
        <f t="shared" si="16"/>
        <v>0</v>
      </c>
      <c r="H312">
        <f t="shared" si="17"/>
        <v>0</v>
      </c>
      <c r="J312">
        <v>75901</v>
      </c>
      <c r="K312">
        <f t="shared" si="18"/>
        <v>0</v>
      </c>
      <c r="L312" s="200">
        <f t="shared" si="19"/>
        <v>0</v>
      </c>
      <c r="M312" t="s">
        <v>1267</v>
      </c>
      <c r="N312" t="s">
        <v>1268</v>
      </c>
    </row>
    <row r="313" spans="1:14" hidden="1" x14ac:dyDescent="0.15">
      <c r="A313" s="33" t="s">
        <v>353</v>
      </c>
      <c r="B313" s="33" t="s">
        <v>622</v>
      </c>
      <c r="C313" s="33">
        <v>79</v>
      </c>
      <c r="D313" s="33" t="s">
        <v>339</v>
      </c>
      <c r="E313" s="33" t="s">
        <v>622</v>
      </c>
      <c r="F313" s="81">
        <v>79</v>
      </c>
      <c r="G313">
        <f t="shared" si="16"/>
        <v>0</v>
      </c>
      <c r="H313">
        <f t="shared" si="17"/>
        <v>0</v>
      </c>
      <c r="J313">
        <v>79</v>
      </c>
      <c r="K313">
        <f t="shared" si="18"/>
        <v>0</v>
      </c>
      <c r="L313" s="200">
        <f t="shared" si="19"/>
        <v>0</v>
      </c>
      <c r="M313" t="s">
        <v>1269</v>
      </c>
    </row>
    <row r="314" spans="1:14" hidden="1" x14ac:dyDescent="0.15">
      <c r="A314" s="33" t="s">
        <v>353</v>
      </c>
      <c r="B314" s="33" t="s">
        <v>623</v>
      </c>
      <c r="C314" s="33">
        <v>14013</v>
      </c>
      <c r="D314" s="33" t="s">
        <v>339</v>
      </c>
      <c r="E314" s="33" t="s">
        <v>623</v>
      </c>
      <c r="F314" s="81">
        <v>14013</v>
      </c>
      <c r="G314">
        <f t="shared" si="16"/>
        <v>0</v>
      </c>
      <c r="H314">
        <f t="shared" si="17"/>
        <v>0</v>
      </c>
      <c r="J314">
        <v>14013</v>
      </c>
      <c r="K314">
        <f t="shared" si="18"/>
        <v>0</v>
      </c>
      <c r="L314" s="200">
        <f t="shared" si="19"/>
        <v>0</v>
      </c>
      <c r="M314" t="s">
        <v>1270</v>
      </c>
    </row>
    <row r="315" spans="1:14" hidden="1" x14ac:dyDescent="0.15">
      <c r="A315" s="33" t="s">
        <v>353</v>
      </c>
      <c r="B315" s="33" t="s">
        <v>624</v>
      </c>
      <c r="C315" s="33">
        <v>203</v>
      </c>
      <c r="D315" s="33" t="s">
        <v>339</v>
      </c>
      <c r="E315" s="33" t="s">
        <v>624</v>
      </c>
      <c r="F315" s="81">
        <v>203</v>
      </c>
      <c r="G315">
        <f t="shared" si="16"/>
        <v>0</v>
      </c>
      <c r="H315">
        <f t="shared" si="17"/>
        <v>0</v>
      </c>
      <c r="J315">
        <v>203</v>
      </c>
      <c r="K315">
        <f t="shared" si="18"/>
        <v>0</v>
      </c>
      <c r="L315" s="200">
        <f t="shared" si="19"/>
        <v>0</v>
      </c>
      <c r="M315" t="s">
        <v>1271</v>
      </c>
    </row>
    <row r="316" spans="1:14" hidden="1" x14ac:dyDescent="0.15">
      <c r="A316" s="33" t="s">
        <v>353</v>
      </c>
      <c r="B316" s="33" t="s">
        <v>625</v>
      </c>
      <c r="C316" s="33">
        <v>100</v>
      </c>
      <c r="D316" s="33" t="s">
        <v>339</v>
      </c>
      <c r="E316" s="33" t="s">
        <v>625</v>
      </c>
      <c r="F316" s="81">
        <v>100</v>
      </c>
      <c r="G316">
        <f t="shared" si="16"/>
        <v>0</v>
      </c>
      <c r="H316">
        <f t="shared" si="17"/>
        <v>0</v>
      </c>
      <c r="J316">
        <v>100</v>
      </c>
      <c r="K316">
        <f t="shared" si="18"/>
        <v>0</v>
      </c>
      <c r="L316" s="200">
        <f t="shared" si="19"/>
        <v>0</v>
      </c>
      <c r="M316" t="s">
        <v>1272</v>
      </c>
    </row>
    <row r="317" spans="1:14" hidden="1" x14ac:dyDescent="0.15">
      <c r="A317" s="33" t="s">
        <v>353</v>
      </c>
      <c r="B317" s="33" t="s">
        <v>626</v>
      </c>
      <c r="C317" s="33">
        <v>102</v>
      </c>
      <c r="D317" s="33" t="s">
        <v>339</v>
      </c>
      <c r="E317" s="33" t="s">
        <v>626</v>
      </c>
      <c r="F317" s="81">
        <v>102</v>
      </c>
      <c r="G317">
        <f t="shared" si="16"/>
        <v>0</v>
      </c>
      <c r="H317">
        <f t="shared" si="17"/>
        <v>0</v>
      </c>
      <c r="J317">
        <v>102</v>
      </c>
      <c r="K317">
        <f t="shared" si="18"/>
        <v>0</v>
      </c>
      <c r="L317" s="200">
        <f t="shared" si="19"/>
        <v>0</v>
      </c>
      <c r="M317" t="s">
        <v>1273</v>
      </c>
    </row>
    <row r="318" spans="1:14" hidden="1" x14ac:dyDescent="0.15">
      <c r="A318" s="33" t="s">
        <v>353</v>
      </c>
      <c r="B318" s="33" t="s">
        <v>627</v>
      </c>
      <c r="C318" s="33">
        <v>24</v>
      </c>
      <c r="D318" s="33" t="s">
        <v>339</v>
      </c>
      <c r="E318" s="33" t="s">
        <v>627</v>
      </c>
      <c r="F318" s="81">
        <v>24</v>
      </c>
      <c r="G318">
        <f t="shared" si="16"/>
        <v>0</v>
      </c>
      <c r="H318">
        <f t="shared" si="17"/>
        <v>0</v>
      </c>
      <c r="J318">
        <v>24</v>
      </c>
      <c r="K318">
        <f t="shared" si="18"/>
        <v>0</v>
      </c>
      <c r="L318" s="200">
        <f t="shared" si="19"/>
        <v>0</v>
      </c>
      <c r="M318" t="s">
        <v>1274</v>
      </c>
    </row>
    <row r="319" spans="1:14" hidden="1" x14ac:dyDescent="0.15">
      <c r="A319" s="33" t="s">
        <v>353</v>
      </c>
      <c r="B319" s="33" t="s">
        <v>628</v>
      </c>
      <c r="C319" s="33">
        <v>1494</v>
      </c>
      <c r="D319" s="33" t="s">
        <v>339</v>
      </c>
      <c r="E319" s="33" t="s">
        <v>628</v>
      </c>
      <c r="F319" s="81">
        <v>1494</v>
      </c>
      <c r="G319">
        <f t="shared" si="16"/>
        <v>0</v>
      </c>
      <c r="H319">
        <f t="shared" si="17"/>
        <v>0</v>
      </c>
      <c r="J319">
        <v>1494</v>
      </c>
      <c r="K319">
        <f t="shared" si="18"/>
        <v>0</v>
      </c>
      <c r="L319" s="200">
        <f t="shared" si="19"/>
        <v>0</v>
      </c>
      <c r="M319" t="s">
        <v>1275</v>
      </c>
    </row>
    <row r="320" spans="1:14" hidden="1" x14ac:dyDescent="0.15">
      <c r="A320" s="33" t="s">
        <v>353</v>
      </c>
      <c r="B320" s="33" t="s">
        <v>629</v>
      </c>
      <c r="C320" s="33">
        <v>1333848</v>
      </c>
      <c r="D320" s="33" t="s">
        <v>339</v>
      </c>
      <c r="E320" s="33" t="s">
        <v>629</v>
      </c>
      <c r="F320" s="81">
        <v>1333848</v>
      </c>
      <c r="G320">
        <f t="shared" si="16"/>
        <v>0</v>
      </c>
      <c r="H320">
        <f t="shared" si="17"/>
        <v>0</v>
      </c>
      <c r="J320">
        <v>1333848</v>
      </c>
      <c r="K320">
        <f t="shared" si="18"/>
        <v>0</v>
      </c>
      <c r="L320" s="200">
        <f t="shared" si="19"/>
        <v>0</v>
      </c>
      <c r="M320" t="s">
        <v>1276</v>
      </c>
    </row>
    <row r="321" spans="1:14" hidden="1" x14ac:dyDescent="0.15">
      <c r="A321" s="33" t="s">
        <v>353</v>
      </c>
      <c r="B321" s="33" t="s">
        <v>630</v>
      </c>
      <c r="C321" s="33">
        <v>809888</v>
      </c>
      <c r="D321" s="33" t="s">
        <v>339</v>
      </c>
      <c r="E321" s="33" t="s">
        <v>630</v>
      </c>
      <c r="F321" s="81">
        <v>809888</v>
      </c>
      <c r="G321">
        <f t="shared" si="16"/>
        <v>0</v>
      </c>
      <c r="H321">
        <f t="shared" si="17"/>
        <v>0</v>
      </c>
      <c r="J321">
        <v>809888</v>
      </c>
      <c r="K321">
        <f t="shared" si="18"/>
        <v>0</v>
      </c>
      <c r="L321" s="200">
        <f t="shared" si="19"/>
        <v>0</v>
      </c>
      <c r="M321" t="s">
        <v>1277</v>
      </c>
    </row>
    <row r="322" spans="1:14" hidden="1" x14ac:dyDescent="0.15">
      <c r="A322" s="33" t="s">
        <v>353</v>
      </c>
      <c r="B322" s="33" t="s">
        <v>631</v>
      </c>
      <c r="C322" s="33">
        <v>31064</v>
      </c>
      <c r="D322" s="33" t="s">
        <v>339</v>
      </c>
      <c r="E322" s="33" t="s">
        <v>631</v>
      </c>
      <c r="F322" s="81">
        <v>31064</v>
      </c>
      <c r="G322">
        <f t="shared" si="16"/>
        <v>0</v>
      </c>
      <c r="H322">
        <f t="shared" si="17"/>
        <v>0</v>
      </c>
      <c r="J322">
        <v>31064</v>
      </c>
      <c r="K322">
        <f t="shared" si="18"/>
        <v>0</v>
      </c>
      <c r="L322" s="200">
        <f t="shared" si="19"/>
        <v>0</v>
      </c>
      <c r="M322" t="s">
        <v>1278</v>
      </c>
    </row>
    <row r="323" spans="1:14" hidden="1" x14ac:dyDescent="0.15">
      <c r="A323" s="33" t="s">
        <v>353</v>
      </c>
      <c r="B323" s="33" t="s">
        <v>632</v>
      </c>
      <c r="C323" s="33">
        <v>1550</v>
      </c>
      <c r="D323" s="33" t="s">
        <v>339</v>
      </c>
      <c r="E323" s="33" t="s">
        <v>632</v>
      </c>
      <c r="F323" s="81">
        <v>1550</v>
      </c>
      <c r="G323">
        <f t="shared" si="16"/>
        <v>0</v>
      </c>
      <c r="H323">
        <f t="shared" si="17"/>
        <v>0</v>
      </c>
      <c r="J323">
        <v>1550</v>
      </c>
      <c r="K323">
        <f t="shared" si="18"/>
        <v>0</v>
      </c>
      <c r="L323" s="200">
        <f t="shared" si="19"/>
        <v>0</v>
      </c>
      <c r="M323" t="s">
        <v>1279</v>
      </c>
    </row>
    <row r="324" spans="1:14" hidden="1" x14ac:dyDescent="0.15">
      <c r="A324" s="33" t="s">
        <v>353</v>
      </c>
      <c r="B324" s="33" t="s">
        <v>633</v>
      </c>
      <c r="C324">
        <v>217251</v>
      </c>
      <c r="D324" s="33" t="s">
        <v>339</v>
      </c>
      <c r="E324" s="33" t="s">
        <v>633</v>
      </c>
      <c r="F324" s="81">
        <v>217251</v>
      </c>
      <c r="G324">
        <f t="shared" si="16"/>
        <v>0</v>
      </c>
      <c r="H324">
        <f t="shared" si="17"/>
        <v>0</v>
      </c>
      <c r="J324">
        <v>217251</v>
      </c>
      <c r="K324">
        <f t="shared" si="18"/>
        <v>0</v>
      </c>
      <c r="L324" s="200">
        <f t="shared" si="19"/>
        <v>0</v>
      </c>
      <c r="M324" t="s">
        <v>1280</v>
      </c>
    </row>
    <row r="325" spans="1:14" hidden="1" x14ac:dyDescent="0.15">
      <c r="A325" s="33" t="s">
        <v>353</v>
      </c>
      <c r="B325" s="33" t="s">
        <v>634</v>
      </c>
      <c r="C325" s="33">
        <v>1866</v>
      </c>
      <c r="D325" s="33" t="s">
        <v>339</v>
      </c>
      <c r="E325" s="33" t="s">
        <v>634</v>
      </c>
      <c r="F325" s="81">
        <v>1866</v>
      </c>
      <c r="G325">
        <f t="shared" si="16"/>
        <v>0</v>
      </c>
      <c r="H325">
        <f t="shared" si="17"/>
        <v>0</v>
      </c>
      <c r="J325">
        <v>1866</v>
      </c>
      <c r="K325">
        <f t="shared" si="18"/>
        <v>0</v>
      </c>
      <c r="L325" s="200">
        <f t="shared" si="19"/>
        <v>0</v>
      </c>
      <c r="M325" t="s">
        <v>1281</v>
      </c>
    </row>
    <row r="326" spans="1:14" hidden="1" x14ac:dyDescent="0.15">
      <c r="A326" s="33" t="s">
        <v>353</v>
      </c>
      <c r="B326" s="33" t="s">
        <v>635</v>
      </c>
      <c r="C326" s="33">
        <v>15</v>
      </c>
      <c r="D326" s="33" t="s">
        <v>339</v>
      </c>
      <c r="E326" s="33" t="s">
        <v>635</v>
      </c>
      <c r="F326" s="81">
        <v>15</v>
      </c>
      <c r="G326">
        <f t="shared" si="16"/>
        <v>0</v>
      </c>
      <c r="H326">
        <f t="shared" si="17"/>
        <v>0</v>
      </c>
      <c r="J326">
        <v>15</v>
      </c>
      <c r="K326">
        <f t="shared" si="18"/>
        <v>0</v>
      </c>
      <c r="L326" s="200">
        <f t="shared" si="19"/>
        <v>0</v>
      </c>
      <c r="M326" t="s">
        <v>1282</v>
      </c>
    </row>
    <row r="327" spans="1:14" hidden="1" x14ac:dyDescent="0.15">
      <c r="A327" s="33" t="s">
        <v>353</v>
      </c>
      <c r="B327" s="33" t="s">
        <v>636</v>
      </c>
      <c r="C327" s="33">
        <v>1</v>
      </c>
      <c r="D327" s="33" t="s">
        <v>339</v>
      </c>
      <c r="E327" s="33" t="s">
        <v>636</v>
      </c>
      <c r="F327" s="81">
        <v>1</v>
      </c>
      <c r="G327">
        <f t="shared" si="16"/>
        <v>0</v>
      </c>
      <c r="H327">
        <f t="shared" si="17"/>
        <v>0</v>
      </c>
      <c r="J327">
        <v>1</v>
      </c>
      <c r="K327">
        <f t="shared" si="18"/>
        <v>0</v>
      </c>
      <c r="L327" s="200">
        <f t="shared" si="19"/>
        <v>0</v>
      </c>
      <c r="M327" t="s">
        <v>1283</v>
      </c>
    </row>
    <row r="328" spans="1:14" hidden="1" x14ac:dyDescent="0.15">
      <c r="A328" s="33" t="s">
        <v>353</v>
      </c>
      <c r="B328" s="33" t="s">
        <v>637</v>
      </c>
      <c r="C328" s="33">
        <v>22978</v>
      </c>
      <c r="D328" s="33" t="s">
        <v>339</v>
      </c>
      <c r="E328" s="33" t="s">
        <v>637</v>
      </c>
      <c r="F328" s="81">
        <v>22978</v>
      </c>
      <c r="G328">
        <f t="shared" si="16"/>
        <v>0</v>
      </c>
      <c r="H328">
        <f t="shared" si="17"/>
        <v>0</v>
      </c>
      <c r="J328">
        <v>22978</v>
      </c>
      <c r="K328">
        <f t="shared" si="18"/>
        <v>0</v>
      </c>
      <c r="L328" s="200">
        <f t="shared" si="19"/>
        <v>0</v>
      </c>
      <c r="M328" t="s">
        <v>1284</v>
      </c>
    </row>
    <row r="329" spans="1:14" hidden="1" x14ac:dyDescent="0.15">
      <c r="A329" s="33" t="s">
        <v>353</v>
      </c>
      <c r="B329" s="33" t="s">
        <v>638</v>
      </c>
      <c r="C329" s="33">
        <v>31038</v>
      </c>
      <c r="D329" s="33" t="s">
        <v>339</v>
      </c>
      <c r="E329" s="33" t="s">
        <v>638</v>
      </c>
      <c r="F329" s="81">
        <v>31038</v>
      </c>
      <c r="G329">
        <f t="shared" si="16"/>
        <v>0</v>
      </c>
      <c r="H329">
        <f t="shared" si="17"/>
        <v>0</v>
      </c>
      <c r="J329">
        <v>31038</v>
      </c>
      <c r="K329">
        <f t="shared" si="18"/>
        <v>0</v>
      </c>
      <c r="L329" s="200">
        <f t="shared" si="19"/>
        <v>0</v>
      </c>
      <c r="M329" t="s">
        <v>1285</v>
      </c>
    </row>
    <row r="330" spans="1:14" hidden="1" x14ac:dyDescent="0.15">
      <c r="A330" s="33" t="s">
        <v>353</v>
      </c>
      <c r="B330" s="33" t="s">
        <v>639</v>
      </c>
      <c r="C330" s="33">
        <v>47071</v>
      </c>
      <c r="D330" s="33" t="s">
        <v>339</v>
      </c>
      <c r="E330" s="33" t="s">
        <v>639</v>
      </c>
      <c r="F330" s="81">
        <v>47071</v>
      </c>
      <c r="G330">
        <f t="shared" si="16"/>
        <v>0</v>
      </c>
      <c r="H330">
        <f t="shared" si="17"/>
        <v>0</v>
      </c>
      <c r="J330">
        <v>47071</v>
      </c>
      <c r="K330">
        <f t="shared" si="18"/>
        <v>0</v>
      </c>
      <c r="L330" s="200">
        <f t="shared" si="19"/>
        <v>0</v>
      </c>
      <c r="M330" t="s">
        <v>1286</v>
      </c>
    </row>
    <row r="331" spans="1:14" hidden="1" x14ac:dyDescent="0.15">
      <c r="A331" s="33" t="s">
        <v>353</v>
      </c>
      <c r="B331" s="33" t="s">
        <v>640</v>
      </c>
      <c r="C331" s="33">
        <v>150</v>
      </c>
      <c r="D331" s="33" t="s">
        <v>339</v>
      </c>
      <c r="E331" s="33" t="s">
        <v>640</v>
      </c>
      <c r="F331" s="81">
        <v>150</v>
      </c>
      <c r="G331">
        <f t="shared" si="16"/>
        <v>0</v>
      </c>
      <c r="H331">
        <f t="shared" si="17"/>
        <v>0</v>
      </c>
      <c r="J331">
        <v>150</v>
      </c>
      <c r="K331">
        <f t="shared" si="18"/>
        <v>0</v>
      </c>
      <c r="L331" s="200">
        <f t="shared" si="19"/>
        <v>0</v>
      </c>
      <c r="M331" t="s">
        <v>1287</v>
      </c>
      <c r="N331" t="s">
        <v>1288</v>
      </c>
    </row>
    <row r="332" spans="1:14" hidden="1" x14ac:dyDescent="0.15">
      <c r="A332" s="33" t="s">
        <v>353</v>
      </c>
      <c r="B332" s="33" t="s">
        <v>641</v>
      </c>
      <c r="C332" s="33">
        <v>46</v>
      </c>
      <c r="D332" s="33" t="s">
        <v>339</v>
      </c>
      <c r="E332" s="33" t="s">
        <v>641</v>
      </c>
      <c r="F332" s="81">
        <v>46</v>
      </c>
      <c r="G332">
        <f t="shared" si="16"/>
        <v>0</v>
      </c>
      <c r="H332">
        <f t="shared" si="17"/>
        <v>0</v>
      </c>
      <c r="J332">
        <v>46</v>
      </c>
      <c r="K332">
        <f t="shared" si="18"/>
        <v>0</v>
      </c>
      <c r="L332" s="200">
        <f t="shared" si="19"/>
        <v>0</v>
      </c>
      <c r="M332" t="s">
        <v>1289</v>
      </c>
    </row>
    <row r="333" spans="1:14" hidden="1" x14ac:dyDescent="0.15">
      <c r="A333" s="33" t="s">
        <v>353</v>
      </c>
      <c r="B333" s="33" t="s">
        <v>642</v>
      </c>
      <c r="C333" s="33">
        <v>18</v>
      </c>
      <c r="D333" s="33" t="s">
        <v>339</v>
      </c>
      <c r="E333" s="33" t="s">
        <v>642</v>
      </c>
      <c r="F333" s="81">
        <v>18</v>
      </c>
      <c r="G333">
        <f t="shared" si="16"/>
        <v>0</v>
      </c>
      <c r="H333">
        <f t="shared" si="17"/>
        <v>0</v>
      </c>
      <c r="J333">
        <v>18</v>
      </c>
      <c r="K333">
        <f t="shared" si="18"/>
        <v>0</v>
      </c>
      <c r="L333" s="200">
        <f t="shared" si="19"/>
        <v>0</v>
      </c>
      <c r="M333" t="s">
        <v>1290</v>
      </c>
    </row>
    <row r="334" spans="1:14" hidden="1" x14ac:dyDescent="0.15">
      <c r="A334" s="33" t="s">
        <v>353</v>
      </c>
      <c r="B334" s="33" t="s">
        <v>643</v>
      </c>
      <c r="C334" s="33">
        <v>32492</v>
      </c>
      <c r="D334" s="33" t="s">
        <v>339</v>
      </c>
      <c r="E334" s="33" t="s">
        <v>643</v>
      </c>
      <c r="F334" s="81">
        <v>32492</v>
      </c>
      <c r="G334">
        <f t="shared" si="16"/>
        <v>0</v>
      </c>
      <c r="H334">
        <f t="shared" si="17"/>
        <v>0</v>
      </c>
      <c r="J334">
        <v>32492</v>
      </c>
      <c r="K334">
        <f t="shared" si="18"/>
        <v>0</v>
      </c>
      <c r="L334" s="200">
        <f t="shared" si="19"/>
        <v>0</v>
      </c>
      <c r="M334" t="s">
        <v>1291</v>
      </c>
    </row>
    <row r="335" spans="1:14" hidden="1" x14ac:dyDescent="0.15">
      <c r="A335" s="33" t="s">
        <v>353</v>
      </c>
      <c r="B335" s="33" t="s">
        <v>644</v>
      </c>
      <c r="C335" s="33">
        <v>71393</v>
      </c>
      <c r="D335" s="33" t="s">
        <v>339</v>
      </c>
      <c r="E335" s="33" t="s">
        <v>644</v>
      </c>
      <c r="F335" s="81">
        <v>71393</v>
      </c>
      <c r="G335">
        <f t="shared" si="16"/>
        <v>0</v>
      </c>
      <c r="H335">
        <f t="shared" si="17"/>
        <v>0</v>
      </c>
      <c r="J335">
        <v>71393</v>
      </c>
      <c r="K335">
        <f t="shared" si="18"/>
        <v>0</v>
      </c>
      <c r="L335" s="200">
        <f t="shared" si="19"/>
        <v>0</v>
      </c>
      <c r="M335" t="s">
        <v>1292</v>
      </c>
    </row>
    <row r="336" spans="1:14" hidden="1" x14ac:dyDescent="0.15">
      <c r="A336" s="33" t="s">
        <v>353</v>
      </c>
      <c r="B336" s="33" t="s">
        <v>645</v>
      </c>
      <c r="C336" s="33">
        <v>81761</v>
      </c>
      <c r="D336" s="33" t="s">
        <v>339</v>
      </c>
      <c r="E336" s="33" t="s">
        <v>645</v>
      </c>
      <c r="F336" s="81">
        <v>81761</v>
      </c>
      <c r="G336">
        <f t="shared" si="16"/>
        <v>0</v>
      </c>
      <c r="H336">
        <f t="shared" si="17"/>
        <v>0</v>
      </c>
      <c r="J336">
        <v>81761</v>
      </c>
      <c r="K336">
        <f t="shared" si="18"/>
        <v>0</v>
      </c>
      <c r="L336" s="200">
        <f t="shared" si="19"/>
        <v>0</v>
      </c>
      <c r="M336" t="s">
        <v>1293</v>
      </c>
    </row>
    <row r="337" spans="1:14" hidden="1" x14ac:dyDescent="0.15">
      <c r="A337" s="33" t="s">
        <v>353</v>
      </c>
      <c r="B337" s="33" t="s">
        <v>646</v>
      </c>
      <c r="C337" s="33">
        <v>6485</v>
      </c>
      <c r="D337" s="33" t="s">
        <v>339</v>
      </c>
      <c r="E337" s="33" t="s">
        <v>646</v>
      </c>
      <c r="F337" s="81">
        <v>6485</v>
      </c>
      <c r="G337">
        <f t="shared" ref="G337:G400" si="20">C337-F337</f>
        <v>0</v>
      </c>
      <c r="H337">
        <f t="shared" ref="H337:H400" si="21">IF(OR(C337=0, F337=0), 0, C337-F337)</f>
        <v>0</v>
      </c>
      <c r="J337">
        <v>6485</v>
      </c>
      <c r="K337">
        <f t="shared" ref="K337:K400" si="22">J337-F337</f>
        <v>0</v>
      </c>
      <c r="L337" s="200">
        <f t="shared" ref="L337:L400" si="23">IFERROR(ABS(F337 - J337) / ((F337 + J337) / 2),0)</f>
        <v>0</v>
      </c>
      <c r="M337" t="s">
        <v>1294</v>
      </c>
    </row>
    <row r="338" spans="1:14" hidden="1" x14ac:dyDescent="0.15">
      <c r="A338" s="33" t="s">
        <v>353</v>
      </c>
      <c r="B338" s="33" t="s">
        <v>647</v>
      </c>
      <c r="C338" s="33">
        <v>1527</v>
      </c>
      <c r="D338" s="33" t="s">
        <v>339</v>
      </c>
      <c r="E338" s="33" t="s">
        <v>647</v>
      </c>
      <c r="F338" s="81">
        <v>1527</v>
      </c>
      <c r="G338">
        <f t="shared" si="20"/>
        <v>0</v>
      </c>
      <c r="H338">
        <f t="shared" si="21"/>
        <v>0</v>
      </c>
      <c r="J338">
        <v>1527</v>
      </c>
      <c r="K338">
        <f t="shared" si="22"/>
        <v>0</v>
      </c>
      <c r="L338" s="200">
        <f t="shared" si="23"/>
        <v>0</v>
      </c>
      <c r="M338" t="s">
        <v>1295</v>
      </c>
    </row>
    <row r="339" spans="1:14" hidden="1" x14ac:dyDescent="0.15">
      <c r="A339" s="33" t="s">
        <v>353</v>
      </c>
      <c r="B339" s="33" t="s">
        <v>648</v>
      </c>
      <c r="C339" s="33">
        <v>18038086</v>
      </c>
      <c r="D339" s="33" t="s">
        <v>339</v>
      </c>
      <c r="E339" s="33" t="s">
        <v>648</v>
      </c>
      <c r="F339" s="81">
        <v>18038086</v>
      </c>
      <c r="G339">
        <f t="shared" si="20"/>
        <v>0</v>
      </c>
      <c r="H339">
        <f t="shared" si="21"/>
        <v>0</v>
      </c>
      <c r="J339">
        <v>18038086</v>
      </c>
      <c r="K339">
        <f t="shared" si="22"/>
        <v>0</v>
      </c>
      <c r="L339" s="200">
        <f t="shared" si="23"/>
        <v>0</v>
      </c>
      <c r="M339" t="s">
        <v>1296</v>
      </c>
    </row>
    <row r="340" spans="1:14" hidden="1" x14ac:dyDescent="0.15">
      <c r="A340" s="33" t="s">
        <v>353</v>
      </c>
      <c r="B340" s="33" t="s">
        <v>649</v>
      </c>
      <c r="C340" s="33">
        <v>1101049</v>
      </c>
      <c r="D340" s="33" t="s">
        <v>339</v>
      </c>
      <c r="E340" s="33" t="s">
        <v>649</v>
      </c>
      <c r="F340" s="81">
        <v>1101049</v>
      </c>
      <c r="G340">
        <f t="shared" si="20"/>
        <v>0</v>
      </c>
      <c r="H340">
        <f t="shared" si="21"/>
        <v>0</v>
      </c>
      <c r="J340">
        <v>1101049</v>
      </c>
      <c r="K340">
        <f t="shared" si="22"/>
        <v>0</v>
      </c>
      <c r="L340" s="200">
        <f t="shared" si="23"/>
        <v>0</v>
      </c>
      <c r="M340" t="s">
        <v>1297</v>
      </c>
    </row>
    <row r="341" spans="1:14" hidden="1" x14ac:dyDescent="0.15">
      <c r="A341" s="33" t="s">
        <v>353</v>
      </c>
      <c r="B341" s="33" t="s">
        <v>650</v>
      </c>
      <c r="C341" s="33">
        <v>50295</v>
      </c>
      <c r="D341" s="33" t="s">
        <v>339</v>
      </c>
      <c r="E341" s="33" t="s">
        <v>650</v>
      </c>
      <c r="F341" s="81">
        <v>50295</v>
      </c>
      <c r="G341">
        <f t="shared" si="20"/>
        <v>0</v>
      </c>
      <c r="H341">
        <f t="shared" si="21"/>
        <v>0</v>
      </c>
      <c r="J341">
        <v>50295</v>
      </c>
      <c r="K341">
        <f t="shared" si="22"/>
        <v>0</v>
      </c>
      <c r="L341" s="200">
        <f t="shared" si="23"/>
        <v>0</v>
      </c>
      <c r="M341" t="s">
        <v>1298</v>
      </c>
    </row>
    <row r="342" spans="1:14" hidden="1" x14ac:dyDescent="0.15">
      <c r="A342" s="33" t="s">
        <v>353</v>
      </c>
      <c r="B342" s="33" t="s">
        <v>651</v>
      </c>
      <c r="C342" s="33">
        <v>28116</v>
      </c>
      <c r="D342" s="33" t="s">
        <v>339</v>
      </c>
      <c r="E342" s="33" t="s">
        <v>651</v>
      </c>
      <c r="F342" s="81">
        <v>28116</v>
      </c>
      <c r="G342">
        <f t="shared" si="20"/>
        <v>0</v>
      </c>
      <c r="H342">
        <f t="shared" si="21"/>
        <v>0</v>
      </c>
      <c r="J342">
        <v>28116</v>
      </c>
      <c r="K342">
        <f t="shared" si="22"/>
        <v>0</v>
      </c>
      <c r="L342" s="200">
        <f t="shared" si="23"/>
        <v>0</v>
      </c>
      <c r="M342" t="s">
        <v>1299</v>
      </c>
    </row>
    <row r="343" spans="1:14" hidden="1" x14ac:dyDescent="0.15">
      <c r="A343" s="33" t="s">
        <v>353</v>
      </c>
      <c r="B343" s="33" t="s">
        <v>652</v>
      </c>
      <c r="C343" s="33">
        <v>881</v>
      </c>
      <c r="D343" s="33" t="s">
        <v>339</v>
      </c>
      <c r="E343" s="33" t="s">
        <v>652</v>
      </c>
      <c r="F343" s="81">
        <v>881</v>
      </c>
      <c r="G343">
        <f t="shared" si="20"/>
        <v>0</v>
      </c>
      <c r="H343">
        <f t="shared" si="21"/>
        <v>0</v>
      </c>
      <c r="J343">
        <v>881</v>
      </c>
      <c r="K343">
        <f t="shared" si="22"/>
        <v>0</v>
      </c>
      <c r="L343" s="200">
        <f t="shared" si="23"/>
        <v>0</v>
      </c>
      <c r="M343" t="s">
        <v>1300</v>
      </c>
      <c r="N343" t="s">
        <v>1301</v>
      </c>
    </row>
    <row r="344" spans="1:14" hidden="1" x14ac:dyDescent="0.15">
      <c r="A344" s="33" t="s">
        <v>353</v>
      </c>
      <c r="B344" s="33" t="s">
        <v>653</v>
      </c>
      <c r="C344" s="33">
        <v>534</v>
      </c>
      <c r="D344" s="33" t="s">
        <v>339</v>
      </c>
      <c r="E344" s="33" t="s">
        <v>653</v>
      </c>
      <c r="F344" s="81">
        <v>534</v>
      </c>
      <c r="G344">
        <f t="shared" si="20"/>
        <v>0</v>
      </c>
      <c r="H344">
        <f t="shared" si="21"/>
        <v>0</v>
      </c>
      <c r="J344">
        <v>534</v>
      </c>
      <c r="K344">
        <f t="shared" si="22"/>
        <v>0</v>
      </c>
      <c r="L344" s="200">
        <f t="shared" si="23"/>
        <v>0</v>
      </c>
      <c r="M344" t="s">
        <v>1302</v>
      </c>
    </row>
    <row r="345" spans="1:14" hidden="1" x14ac:dyDescent="0.15">
      <c r="A345" s="33" t="s">
        <v>353</v>
      </c>
      <c r="B345" s="33" t="s">
        <v>654</v>
      </c>
      <c r="C345" s="33">
        <v>7863</v>
      </c>
      <c r="D345" s="33" t="s">
        <v>339</v>
      </c>
      <c r="E345" s="33" t="s">
        <v>654</v>
      </c>
      <c r="F345" s="81">
        <v>7863</v>
      </c>
      <c r="G345">
        <f t="shared" si="20"/>
        <v>0</v>
      </c>
      <c r="H345">
        <f t="shared" si="21"/>
        <v>0</v>
      </c>
      <c r="J345">
        <v>7863</v>
      </c>
      <c r="K345">
        <f t="shared" si="22"/>
        <v>0</v>
      </c>
      <c r="L345" s="200">
        <f t="shared" si="23"/>
        <v>0</v>
      </c>
      <c r="M345" t="s">
        <v>1303</v>
      </c>
    </row>
    <row r="346" spans="1:14" hidden="1" x14ac:dyDescent="0.15">
      <c r="A346" s="33" t="s">
        <v>353</v>
      </c>
      <c r="B346" s="33" t="s">
        <v>655</v>
      </c>
      <c r="C346" s="33">
        <v>345</v>
      </c>
      <c r="D346" s="33" t="s">
        <v>339</v>
      </c>
      <c r="E346" s="33" t="s">
        <v>655</v>
      </c>
      <c r="F346" s="81">
        <v>345</v>
      </c>
      <c r="G346">
        <f t="shared" si="20"/>
        <v>0</v>
      </c>
      <c r="H346">
        <f t="shared" si="21"/>
        <v>0</v>
      </c>
      <c r="J346">
        <v>345</v>
      </c>
      <c r="K346">
        <f t="shared" si="22"/>
        <v>0</v>
      </c>
      <c r="L346" s="200">
        <f t="shared" si="23"/>
        <v>0</v>
      </c>
      <c r="M346" t="s">
        <v>1304</v>
      </c>
    </row>
    <row r="347" spans="1:14" hidden="1" x14ac:dyDescent="0.15">
      <c r="A347" s="33" t="s">
        <v>353</v>
      </c>
      <c r="B347" s="33" t="s">
        <v>656</v>
      </c>
      <c r="C347" s="33">
        <v>334</v>
      </c>
      <c r="D347" s="33" t="s">
        <v>339</v>
      </c>
      <c r="E347" s="33" t="s">
        <v>656</v>
      </c>
      <c r="F347" s="81">
        <v>334</v>
      </c>
      <c r="G347">
        <f t="shared" si="20"/>
        <v>0</v>
      </c>
      <c r="H347">
        <f t="shared" si="21"/>
        <v>0</v>
      </c>
      <c r="J347">
        <v>334</v>
      </c>
      <c r="K347">
        <f t="shared" si="22"/>
        <v>0</v>
      </c>
      <c r="L347" s="200">
        <f t="shared" si="23"/>
        <v>0</v>
      </c>
      <c r="M347" t="s">
        <v>1305</v>
      </c>
    </row>
    <row r="348" spans="1:14" hidden="1" x14ac:dyDescent="0.15">
      <c r="A348" s="33" t="s">
        <v>353</v>
      </c>
      <c r="B348" s="33" t="s">
        <v>657</v>
      </c>
      <c r="C348" s="33">
        <v>262</v>
      </c>
      <c r="D348" s="33" t="s">
        <v>339</v>
      </c>
      <c r="E348" s="33" t="s">
        <v>657</v>
      </c>
      <c r="F348" s="81">
        <v>262</v>
      </c>
      <c r="G348">
        <f t="shared" si="20"/>
        <v>0</v>
      </c>
      <c r="H348">
        <f t="shared" si="21"/>
        <v>0</v>
      </c>
      <c r="J348">
        <v>262</v>
      </c>
      <c r="K348">
        <f t="shared" si="22"/>
        <v>0</v>
      </c>
      <c r="L348" s="200">
        <f t="shared" si="23"/>
        <v>0</v>
      </c>
      <c r="M348" t="s">
        <v>1306</v>
      </c>
    </row>
    <row r="349" spans="1:14" hidden="1" x14ac:dyDescent="0.15">
      <c r="A349" s="33" t="s">
        <v>353</v>
      </c>
      <c r="B349" s="33" t="s">
        <v>658</v>
      </c>
      <c r="C349" s="33">
        <v>1</v>
      </c>
      <c r="D349" s="33" t="s">
        <v>339</v>
      </c>
      <c r="E349" s="33" t="s">
        <v>658</v>
      </c>
      <c r="F349" s="81">
        <v>1</v>
      </c>
      <c r="G349">
        <f t="shared" si="20"/>
        <v>0</v>
      </c>
      <c r="H349">
        <f t="shared" si="21"/>
        <v>0</v>
      </c>
      <c r="J349">
        <v>1</v>
      </c>
      <c r="K349">
        <f t="shared" si="22"/>
        <v>0</v>
      </c>
      <c r="L349" s="200">
        <f t="shared" si="23"/>
        <v>0</v>
      </c>
      <c r="M349" t="s">
        <v>1307</v>
      </c>
    </row>
    <row r="350" spans="1:14" hidden="1" x14ac:dyDescent="0.15">
      <c r="A350" s="33" t="s">
        <v>353</v>
      </c>
      <c r="B350" s="33" t="s">
        <v>659</v>
      </c>
      <c r="C350" s="33">
        <v>14</v>
      </c>
      <c r="D350" s="33" t="s">
        <v>339</v>
      </c>
      <c r="E350" s="33" t="s">
        <v>659</v>
      </c>
      <c r="F350" s="81">
        <v>14</v>
      </c>
      <c r="G350">
        <f t="shared" si="20"/>
        <v>0</v>
      </c>
      <c r="H350">
        <f t="shared" si="21"/>
        <v>0</v>
      </c>
      <c r="J350">
        <v>14</v>
      </c>
      <c r="K350">
        <f t="shared" si="22"/>
        <v>0</v>
      </c>
      <c r="L350" s="200">
        <f t="shared" si="23"/>
        <v>0</v>
      </c>
      <c r="M350" t="s">
        <v>1308</v>
      </c>
    </row>
    <row r="351" spans="1:14" hidden="1" x14ac:dyDescent="0.15">
      <c r="A351" s="33" t="s">
        <v>353</v>
      </c>
      <c r="B351" s="33" t="s">
        <v>660</v>
      </c>
      <c r="C351" s="33">
        <v>549</v>
      </c>
      <c r="D351" s="33" t="s">
        <v>339</v>
      </c>
      <c r="E351" s="33" t="s">
        <v>660</v>
      </c>
      <c r="F351" s="81">
        <v>549</v>
      </c>
      <c r="G351">
        <f t="shared" si="20"/>
        <v>0</v>
      </c>
      <c r="H351">
        <f t="shared" si="21"/>
        <v>0</v>
      </c>
      <c r="J351">
        <v>549</v>
      </c>
      <c r="K351">
        <f t="shared" si="22"/>
        <v>0</v>
      </c>
      <c r="L351" s="200">
        <f t="shared" si="23"/>
        <v>0</v>
      </c>
      <c r="M351" t="s">
        <v>1309</v>
      </c>
    </row>
    <row r="352" spans="1:14" hidden="1" x14ac:dyDescent="0.15">
      <c r="A352" s="33" t="s">
        <v>353</v>
      </c>
      <c r="B352" s="33" t="s">
        <v>661</v>
      </c>
      <c r="C352" s="33">
        <v>279</v>
      </c>
      <c r="D352" s="33" t="s">
        <v>339</v>
      </c>
      <c r="E352" s="33" t="s">
        <v>661</v>
      </c>
      <c r="F352" s="81">
        <v>279</v>
      </c>
      <c r="G352">
        <f t="shared" si="20"/>
        <v>0</v>
      </c>
      <c r="H352">
        <f t="shared" si="21"/>
        <v>0</v>
      </c>
      <c r="J352">
        <v>279</v>
      </c>
      <c r="K352">
        <f t="shared" si="22"/>
        <v>0</v>
      </c>
      <c r="L352" s="200">
        <f t="shared" si="23"/>
        <v>0</v>
      </c>
      <c r="M352" t="s">
        <v>1310</v>
      </c>
    </row>
    <row r="353" spans="1:14" hidden="1" x14ac:dyDescent="0.15">
      <c r="A353" s="33" t="s">
        <v>353</v>
      </c>
      <c r="B353" s="33" t="s">
        <v>662</v>
      </c>
      <c r="C353" s="33">
        <v>69</v>
      </c>
      <c r="D353" s="33" t="s">
        <v>339</v>
      </c>
      <c r="E353" s="33" t="s">
        <v>662</v>
      </c>
      <c r="F353" s="81">
        <v>69</v>
      </c>
      <c r="G353">
        <f t="shared" si="20"/>
        <v>0</v>
      </c>
      <c r="H353">
        <f t="shared" si="21"/>
        <v>0</v>
      </c>
      <c r="J353">
        <v>69</v>
      </c>
      <c r="K353">
        <f t="shared" si="22"/>
        <v>0</v>
      </c>
      <c r="L353" s="200">
        <f t="shared" si="23"/>
        <v>0</v>
      </c>
      <c r="M353" t="s">
        <v>1311</v>
      </c>
    </row>
    <row r="354" spans="1:14" hidden="1" x14ac:dyDescent="0.15">
      <c r="A354" s="33" t="s">
        <v>353</v>
      </c>
      <c r="B354" s="33" t="s">
        <v>663</v>
      </c>
      <c r="C354" s="33">
        <v>325097</v>
      </c>
      <c r="D354" s="33" t="s">
        <v>339</v>
      </c>
      <c r="E354" s="33" t="s">
        <v>663</v>
      </c>
      <c r="F354" s="81">
        <v>325097</v>
      </c>
      <c r="G354">
        <f t="shared" si="20"/>
        <v>0</v>
      </c>
      <c r="H354">
        <f t="shared" si="21"/>
        <v>0</v>
      </c>
      <c r="J354">
        <v>325097</v>
      </c>
      <c r="K354">
        <f t="shared" si="22"/>
        <v>0</v>
      </c>
      <c r="L354" s="200">
        <f t="shared" si="23"/>
        <v>0</v>
      </c>
      <c r="M354" t="s">
        <v>1312</v>
      </c>
    </row>
    <row r="355" spans="1:14" hidden="1" x14ac:dyDescent="0.15">
      <c r="A355" s="33" t="s">
        <v>353</v>
      </c>
      <c r="B355" s="33" t="s">
        <v>664</v>
      </c>
      <c r="C355" s="33">
        <v>133376</v>
      </c>
      <c r="D355" s="33" t="s">
        <v>339</v>
      </c>
      <c r="E355" s="33" t="s">
        <v>664</v>
      </c>
      <c r="F355" s="81">
        <v>133376</v>
      </c>
      <c r="G355">
        <f t="shared" si="20"/>
        <v>0</v>
      </c>
      <c r="H355">
        <f t="shared" si="21"/>
        <v>0</v>
      </c>
      <c r="J355">
        <v>133376</v>
      </c>
      <c r="K355">
        <f t="shared" si="22"/>
        <v>0</v>
      </c>
      <c r="L355" s="200">
        <f t="shared" si="23"/>
        <v>0</v>
      </c>
      <c r="M355" t="s">
        <v>1313</v>
      </c>
    </row>
    <row r="356" spans="1:14" hidden="1" x14ac:dyDescent="0.15">
      <c r="A356" s="33" t="s">
        <v>353</v>
      </c>
      <c r="B356" s="33" t="s">
        <v>665</v>
      </c>
      <c r="C356" s="33">
        <v>274191</v>
      </c>
      <c r="D356" s="33" t="s">
        <v>339</v>
      </c>
      <c r="E356" s="33" t="s">
        <v>665</v>
      </c>
      <c r="F356" s="81">
        <v>274191</v>
      </c>
      <c r="G356">
        <f t="shared" si="20"/>
        <v>0</v>
      </c>
      <c r="H356">
        <f t="shared" si="21"/>
        <v>0</v>
      </c>
      <c r="J356">
        <v>274191</v>
      </c>
      <c r="K356">
        <f t="shared" si="22"/>
        <v>0</v>
      </c>
      <c r="L356" s="200">
        <f t="shared" si="23"/>
        <v>0</v>
      </c>
      <c r="M356" t="s">
        <v>1314</v>
      </c>
    </row>
    <row r="357" spans="1:14" hidden="1" x14ac:dyDescent="0.15">
      <c r="A357" s="33" t="s">
        <v>353</v>
      </c>
      <c r="B357" s="33" t="s">
        <v>666</v>
      </c>
      <c r="C357" s="33">
        <v>107</v>
      </c>
      <c r="D357" s="33" t="s">
        <v>339</v>
      </c>
      <c r="E357" s="33" t="s">
        <v>666</v>
      </c>
      <c r="F357" s="81">
        <v>107</v>
      </c>
      <c r="G357">
        <f t="shared" si="20"/>
        <v>0</v>
      </c>
      <c r="H357">
        <f t="shared" si="21"/>
        <v>0</v>
      </c>
      <c r="J357">
        <v>107</v>
      </c>
      <c r="K357">
        <f t="shared" si="22"/>
        <v>0</v>
      </c>
      <c r="L357" s="200">
        <f t="shared" si="23"/>
        <v>0</v>
      </c>
      <c r="M357" t="s">
        <v>1315</v>
      </c>
    </row>
    <row r="358" spans="1:14" hidden="1" x14ac:dyDescent="0.15">
      <c r="A358" s="33" t="s">
        <v>353</v>
      </c>
      <c r="B358" s="33" t="s">
        <v>667</v>
      </c>
      <c r="C358" s="33">
        <v>1</v>
      </c>
      <c r="D358" s="33" t="s">
        <v>339</v>
      </c>
      <c r="E358" s="33" t="s">
        <v>667</v>
      </c>
      <c r="F358" s="81">
        <v>1</v>
      </c>
      <c r="G358">
        <f t="shared" si="20"/>
        <v>0</v>
      </c>
      <c r="H358">
        <f t="shared" si="21"/>
        <v>0</v>
      </c>
      <c r="J358">
        <v>1</v>
      </c>
      <c r="K358">
        <f t="shared" si="22"/>
        <v>0</v>
      </c>
      <c r="L358" s="200">
        <f t="shared" si="23"/>
        <v>0</v>
      </c>
      <c r="M358" t="s">
        <v>1316</v>
      </c>
    </row>
    <row r="359" spans="1:14" hidden="1" x14ac:dyDescent="0.15">
      <c r="A359" s="33" t="s">
        <v>353</v>
      </c>
      <c r="B359" s="33" t="s">
        <v>670</v>
      </c>
      <c r="C359" s="33">
        <v>3314405</v>
      </c>
      <c r="D359" s="33" t="s">
        <v>339</v>
      </c>
      <c r="E359" s="33" t="s">
        <v>670</v>
      </c>
      <c r="F359" s="81">
        <v>3314405</v>
      </c>
      <c r="G359">
        <f t="shared" si="20"/>
        <v>0</v>
      </c>
      <c r="H359">
        <f t="shared" si="21"/>
        <v>0</v>
      </c>
      <c r="J359">
        <v>3314405</v>
      </c>
      <c r="K359">
        <f t="shared" si="22"/>
        <v>0</v>
      </c>
      <c r="L359" s="200">
        <f t="shared" si="23"/>
        <v>0</v>
      </c>
      <c r="M359" t="s">
        <v>1317</v>
      </c>
    </row>
    <row r="360" spans="1:14" hidden="1" x14ac:dyDescent="0.15">
      <c r="A360" s="33" t="s">
        <v>353</v>
      </c>
      <c r="B360" s="33" t="s">
        <v>671</v>
      </c>
      <c r="C360" s="33">
        <v>421</v>
      </c>
      <c r="D360" s="33" t="s">
        <v>339</v>
      </c>
      <c r="E360" s="33" t="s">
        <v>671</v>
      </c>
      <c r="F360" s="81">
        <v>421</v>
      </c>
      <c r="G360">
        <f t="shared" si="20"/>
        <v>0</v>
      </c>
      <c r="H360">
        <f t="shared" si="21"/>
        <v>0</v>
      </c>
      <c r="J360">
        <v>421</v>
      </c>
      <c r="K360">
        <f t="shared" si="22"/>
        <v>0</v>
      </c>
      <c r="L360" s="200">
        <f t="shared" si="23"/>
        <v>0</v>
      </c>
      <c r="M360" t="s">
        <v>1318</v>
      </c>
    </row>
    <row r="361" spans="1:14" hidden="1" x14ac:dyDescent="0.15">
      <c r="A361" s="33" t="s">
        <v>353</v>
      </c>
      <c r="B361" s="33" t="s">
        <v>672</v>
      </c>
      <c r="C361" s="33">
        <v>179138</v>
      </c>
      <c r="D361" s="33" t="s">
        <v>339</v>
      </c>
      <c r="E361" s="33" t="s">
        <v>672</v>
      </c>
      <c r="F361" s="81">
        <v>179138</v>
      </c>
      <c r="G361">
        <f t="shared" si="20"/>
        <v>0</v>
      </c>
      <c r="H361">
        <f t="shared" si="21"/>
        <v>0</v>
      </c>
      <c r="J361">
        <v>179138</v>
      </c>
      <c r="K361">
        <f t="shared" si="22"/>
        <v>0</v>
      </c>
      <c r="L361" s="200">
        <f t="shared" si="23"/>
        <v>0</v>
      </c>
      <c r="M361" t="s">
        <v>1319</v>
      </c>
    </row>
    <row r="362" spans="1:14" hidden="1" x14ac:dyDescent="0.15">
      <c r="A362" s="33" t="s">
        <v>353</v>
      </c>
      <c r="B362" s="33" t="s">
        <v>673</v>
      </c>
      <c r="C362" s="33">
        <v>39353067</v>
      </c>
      <c r="D362" s="33" t="s">
        <v>339</v>
      </c>
      <c r="E362" s="33" t="s">
        <v>673</v>
      </c>
      <c r="F362" s="81">
        <v>39353067</v>
      </c>
      <c r="G362">
        <f t="shared" si="20"/>
        <v>0</v>
      </c>
      <c r="H362">
        <f t="shared" si="21"/>
        <v>0</v>
      </c>
      <c r="J362">
        <v>39353067</v>
      </c>
      <c r="K362">
        <f t="shared" si="22"/>
        <v>0</v>
      </c>
      <c r="L362" s="200">
        <f t="shared" si="23"/>
        <v>0</v>
      </c>
      <c r="M362" t="s">
        <v>1320</v>
      </c>
    </row>
    <row r="363" spans="1:14" hidden="1" x14ac:dyDescent="0.15">
      <c r="A363" s="33" t="s">
        <v>353</v>
      </c>
      <c r="B363" s="33" t="s">
        <v>674</v>
      </c>
      <c r="C363" s="33">
        <v>52393097</v>
      </c>
      <c r="D363" s="33" t="s">
        <v>339</v>
      </c>
      <c r="E363" s="33" t="s">
        <v>674</v>
      </c>
      <c r="F363" s="81">
        <v>52393097</v>
      </c>
      <c r="G363">
        <f t="shared" si="20"/>
        <v>0</v>
      </c>
      <c r="H363">
        <f t="shared" si="21"/>
        <v>0</v>
      </c>
      <c r="J363">
        <v>52393097</v>
      </c>
      <c r="K363">
        <f t="shared" si="22"/>
        <v>0</v>
      </c>
      <c r="L363" s="200">
        <f t="shared" si="23"/>
        <v>0</v>
      </c>
      <c r="M363" t="s">
        <v>1321</v>
      </c>
      <c r="N363" t="s">
        <v>1322</v>
      </c>
    </row>
    <row r="364" spans="1:14" hidden="1" x14ac:dyDescent="0.15">
      <c r="A364" s="33" t="s">
        <v>353</v>
      </c>
      <c r="B364" s="33" t="s">
        <v>675</v>
      </c>
      <c r="C364" s="33">
        <v>100602362</v>
      </c>
      <c r="D364" s="33" t="s">
        <v>339</v>
      </c>
      <c r="E364" s="33" t="s">
        <v>675</v>
      </c>
      <c r="F364" s="81">
        <v>100602362</v>
      </c>
      <c r="G364">
        <f t="shared" si="20"/>
        <v>0</v>
      </c>
      <c r="H364">
        <f t="shared" si="21"/>
        <v>0</v>
      </c>
      <c r="J364">
        <v>100602362</v>
      </c>
      <c r="K364">
        <f t="shared" si="22"/>
        <v>0</v>
      </c>
      <c r="L364" s="200">
        <f t="shared" si="23"/>
        <v>0</v>
      </c>
      <c r="M364" t="s">
        <v>1323</v>
      </c>
      <c r="N364" t="s">
        <v>1324</v>
      </c>
    </row>
    <row r="365" spans="1:14" hidden="1" x14ac:dyDescent="0.15">
      <c r="B365" s="33" t="s">
        <v>1325</v>
      </c>
      <c r="D365" s="33" t="s">
        <v>339</v>
      </c>
      <c r="E365" s="33" t="s">
        <v>1325</v>
      </c>
      <c r="F365" s="81">
        <v>12048772</v>
      </c>
      <c r="G365">
        <f t="shared" si="20"/>
        <v>-12048772</v>
      </c>
      <c r="H365">
        <f t="shared" si="21"/>
        <v>0</v>
      </c>
      <c r="I365" s="33" t="s">
        <v>866</v>
      </c>
      <c r="J365">
        <v>12048772</v>
      </c>
      <c r="K365">
        <f t="shared" si="22"/>
        <v>0</v>
      </c>
      <c r="L365" s="200">
        <f t="shared" si="23"/>
        <v>0</v>
      </c>
      <c r="M365" t="s">
        <v>1326</v>
      </c>
      <c r="N365" t="s">
        <v>1327</v>
      </c>
    </row>
    <row r="366" spans="1:14" hidden="1" x14ac:dyDescent="0.15">
      <c r="A366" s="33" t="s">
        <v>353</v>
      </c>
      <c r="B366" s="33" t="s">
        <v>676</v>
      </c>
      <c r="C366" s="33">
        <v>19556</v>
      </c>
      <c r="D366" s="33" t="s">
        <v>339</v>
      </c>
      <c r="E366" s="33" t="s">
        <v>676</v>
      </c>
      <c r="F366" s="81">
        <v>19556</v>
      </c>
      <c r="G366">
        <f t="shared" si="20"/>
        <v>0</v>
      </c>
      <c r="H366">
        <f t="shared" si="21"/>
        <v>0</v>
      </c>
      <c r="J366">
        <v>19556</v>
      </c>
      <c r="K366">
        <f t="shared" si="22"/>
        <v>0</v>
      </c>
      <c r="L366" s="200">
        <f t="shared" si="23"/>
        <v>0</v>
      </c>
      <c r="M366" t="s">
        <v>1328</v>
      </c>
    </row>
    <row r="367" spans="1:14" hidden="1" x14ac:dyDescent="0.15">
      <c r="A367" s="33" t="s">
        <v>353</v>
      </c>
      <c r="B367" s="33" t="s">
        <v>677</v>
      </c>
      <c r="C367" s="33">
        <v>65230</v>
      </c>
      <c r="D367" s="33" t="s">
        <v>339</v>
      </c>
      <c r="E367" s="33" t="s">
        <v>677</v>
      </c>
      <c r="F367" s="81">
        <v>65230</v>
      </c>
      <c r="G367">
        <f t="shared" si="20"/>
        <v>0</v>
      </c>
      <c r="H367">
        <f t="shared" si="21"/>
        <v>0</v>
      </c>
      <c r="J367">
        <v>65230</v>
      </c>
      <c r="K367">
        <f t="shared" si="22"/>
        <v>0</v>
      </c>
      <c r="L367" s="200">
        <f t="shared" si="23"/>
        <v>0</v>
      </c>
      <c r="M367" t="s">
        <v>1329</v>
      </c>
    </row>
    <row r="368" spans="1:14" hidden="1" x14ac:dyDescent="0.15">
      <c r="A368" s="33" t="s">
        <v>353</v>
      </c>
      <c r="B368" s="33" t="s">
        <v>678</v>
      </c>
      <c r="C368" s="33">
        <v>383446</v>
      </c>
      <c r="D368" s="33" t="s">
        <v>339</v>
      </c>
      <c r="E368" s="33" t="s">
        <v>678</v>
      </c>
      <c r="F368" s="81">
        <v>383446</v>
      </c>
      <c r="G368">
        <f t="shared" si="20"/>
        <v>0</v>
      </c>
      <c r="H368">
        <f t="shared" si="21"/>
        <v>0</v>
      </c>
      <c r="J368">
        <v>383446</v>
      </c>
      <c r="K368">
        <f t="shared" si="22"/>
        <v>0</v>
      </c>
      <c r="L368" s="200">
        <f t="shared" si="23"/>
        <v>0</v>
      </c>
      <c r="M368" t="s">
        <v>1330</v>
      </c>
      <c r="N368" t="s">
        <v>1331</v>
      </c>
    </row>
    <row r="369" spans="1:14" hidden="1" x14ac:dyDescent="0.15">
      <c r="A369" s="33" t="s">
        <v>353</v>
      </c>
      <c r="B369" s="33" t="s">
        <v>679</v>
      </c>
      <c r="C369" s="33">
        <v>7</v>
      </c>
      <c r="D369" s="33" t="s">
        <v>339</v>
      </c>
      <c r="E369" s="33" t="s">
        <v>679</v>
      </c>
      <c r="F369" s="81">
        <v>7</v>
      </c>
      <c r="G369">
        <f t="shared" si="20"/>
        <v>0</v>
      </c>
      <c r="H369">
        <f t="shared" si="21"/>
        <v>0</v>
      </c>
      <c r="J369">
        <v>7</v>
      </c>
      <c r="K369">
        <f t="shared" si="22"/>
        <v>0</v>
      </c>
      <c r="L369" s="200">
        <f t="shared" si="23"/>
        <v>0</v>
      </c>
      <c r="M369" t="s">
        <v>1332</v>
      </c>
    </row>
    <row r="370" spans="1:14" hidden="1" x14ac:dyDescent="0.15">
      <c r="A370" s="33" t="s">
        <v>353</v>
      </c>
      <c r="B370" s="33" t="s">
        <v>680</v>
      </c>
      <c r="C370" s="33">
        <v>6</v>
      </c>
      <c r="D370" s="33" t="s">
        <v>339</v>
      </c>
      <c r="E370" s="33" t="s">
        <v>680</v>
      </c>
      <c r="F370" s="81">
        <v>6</v>
      </c>
      <c r="G370">
        <f t="shared" si="20"/>
        <v>0</v>
      </c>
      <c r="H370">
        <f t="shared" si="21"/>
        <v>0</v>
      </c>
      <c r="J370">
        <v>6</v>
      </c>
      <c r="K370">
        <f t="shared" si="22"/>
        <v>0</v>
      </c>
      <c r="L370" s="200">
        <f t="shared" si="23"/>
        <v>0</v>
      </c>
      <c r="M370" t="s">
        <v>1333</v>
      </c>
    </row>
    <row r="371" spans="1:14" hidden="1" x14ac:dyDescent="0.15">
      <c r="A371" s="33" t="s">
        <v>353</v>
      </c>
      <c r="B371" s="33" t="s">
        <v>681</v>
      </c>
      <c r="C371" s="33">
        <v>119740</v>
      </c>
      <c r="D371" s="33" t="s">
        <v>339</v>
      </c>
      <c r="E371" s="33" t="s">
        <v>681</v>
      </c>
      <c r="F371" s="81">
        <v>119740</v>
      </c>
      <c r="G371">
        <f t="shared" si="20"/>
        <v>0</v>
      </c>
      <c r="H371">
        <f t="shared" si="21"/>
        <v>0</v>
      </c>
      <c r="J371">
        <v>119740</v>
      </c>
      <c r="K371">
        <f t="shared" si="22"/>
        <v>0</v>
      </c>
      <c r="L371" s="200">
        <f t="shared" si="23"/>
        <v>0</v>
      </c>
      <c r="M371" t="s">
        <v>1334</v>
      </c>
      <c r="N371" t="s">
        <v>1335</v>
      </c>
    </row>
    <row r="372" spans="1:14" hidden="1" x14ac:dyDescent="0.15">
      <c r="A372" s="33" t="s">
        <v>353</v>
      </c>
      <c r="B372" s="33" t="s">
        <v>682</v>
      </c>
      <c r="C372" s="33">
        <v>520277</v>
      </c>
      <c r="D372" s="33" t="s">
        <v>339</v>
      </c>
      <c r="E372" s="33" t="s">
        <v>682</v>
      </c>
      <c r="F372" s="81">
        <v>520277</v>
      </c>
      <c r="G372">
        <f t="shared" si="20"/>
        <v>0</v>
      </c>
      <c r="H372">
        <f t="shared" si="21"/>
        <v>0</v>
      </c>
      <c r="J372">
        <v>520277</v>
      </c>
      <c r="K372">
        <f t="shared" si="22"/>
        <v>0</v>
      </c>
      <c r="L372" s="200">
        <f t="shared" si="23"/>
        <v>0</v>
      </c>
      <c r="M372" t="s">
        <v>1336</v>
      </c>
    </row>
    <row r="373" spans="1:14" hidden="1" x14ac:dyDescent="0.15">
      <c r="A373" s="33" t="s">
        <v>353</v>
      </c>
      <c r="B373" s="33" t="s">
        <v>683</v>
      </c>
      <c r="C373" s="33">
        <v>112</v>
      </c>
      <c r="D373" s="33" t="s">
        <v>339</v>
      </c>
      <c r="E373" s="33" t="s">
        <v>683</v>
      </c>
      <c r="F373" s="81">
        <v>112</v>
      </c>
      <c r="G373">
        <f t="shared" si="20"/>
        <v>0</v>
      </c>
      <c r="H373">
        <f t="shared" si="21"/>
        <v>0</v>
      </c>
      <c r="J373">
        <v>112</v>
      </c>
      <c r="K373">
        <f t="shared" si="22"/>
        <v>0</v>
      </c>
      <c r="L373" s="200">
        <f t="shared" si="23"/>
        <v>0</v>
      </c>
      <c r="M373" t="s">
        <v>1337</v>
      </c>
    </row>
    <row r="374" spans="1:14" hidden="1" x14ac:dyDescent="0.15">
      <c r="A374" s="33" t="s">
        <v>353</v>
      </c>
      <c r="B374" s="33" t="s">
        <v>684</v>
      </c>
      <c r="C374" s="33">
        <v>11</v>
      </c>
      <c r="D374" s="33" t="s">
        <v>339</v>
      </c>
      <c r="E374" s="33" t="s">
        <v>684</v>
      </c>
      <c r="F374" s="81">
        <v>11</v>
      </c>
      <c r="G374">
        <f t="shared" si="20"/>
        <v>0</v>
      </c>
      <c r="H374">
        <f t="shared" si="21"/>
        <v>0</v>
      </c>
      <c r="J374">
        <v>11</v>
      </c>
      <c r="K374">
        <f t="shared" si="22"/>
        <v>0</v>
      </c>
      <c r="L374" s="200">
        <f t="shared" si="23"/>
        <v>0</v>
      </c>
      <c r="M374" t="s">
        <v>1338</v>
      </c>
      <c r="N374" t="s">
        <v>1339</v>
      </c>
    </row>
    <row r="375" spans="1:14" hidden="1" x14ac:dyDescent="0.15">
      <c r="A375" s="33" t="s">
        <v>353</v>
      </c>
      <c r="B375" s="33" t="s">
        <v>685</v>
      </c>
      <c r="C375" s="33">
        <v>5</v>
      </c>
      <c r="D375" s="33" t="s">
        <v>339</v>
      </c>
      <c r="E375" s="33" t="s">
        <v>685</v>
      </c>
      <c r="F375" s="81">
        <v>5</v>
      </c>
      <c r="G375">
        <f t="shared" si="20"/>
        <v>0</v>
      </c>
      <c r="H375">
        <f t="shared" si="21"/>
        <v>0</v>
      </c>
      <c r="J375">
        <v>5</v>
      </c>
      <c r="K375">
        <f t="shared" si="22"/>
        <v>0</v>
      </c>
      <c r="L375" s="200">
        <f t="shared" si="23"/>
        <v>0</v>
      </c>
      <c r="M375" t="s">
        <v>1340</v>
      </c>
    </row>
    <row r="376" spans="1:14" hidden="1" x14ac:dyDescent="0.15">
      <c r="A376" s="33" t="s">
        <v>353</v>
      </c>
      <c r="B376" s="33" t="s">
        <v>686</v>
      </c>
      <c r="C376" s="33">
        <v>1</v>
      </c>
      <c r="D376" s="33" t="s">
        <v>339</v>
      </c>
      <c r="E376" s="33" t="s">
        <v>686</v>
      </c>
      <c r="F376" s="81">
        <v>1</v>
      </c>
      <c r="G376">
        <f t="shared" si="20"/>
        <v>0</v>
      </c>
      <c r="H376">
        <f t="shared" si="21"/>
        <v>0</v>
      </c>
      <c r="J376">
        <v>1</v>
      </c>
      <c r="K376">
        <f t="shared" si="22"/>
        <v>0</v>
      </c>
      <c r="L376" s="200">
        <f t="shared" si="23"/>
        <v>0</v>
      </c>
      <c r="M376" t="s">
        <v>1341</v>
      </c>
    </row>
    <row r="377" spans="1:14" hidden="1" x14ac:dyDescent="0.15">
      <c r="A377" s="33" t="s">
        <v>353</v>
      </c>
      <c r="B377" s="33" t="s">
        <v>687</v>
      </c>
      <c r="C377" s="33">
        <v>489</v>
      </c>
      <c r="D377" s="33" t="s">
        <v>339</v>
      </c>
      <c r="E377" s="33" t="s">
        <v>687</v>
      </c>
      <c r="F377" s="81">
        <v>489</v>
      </c>
      <c r="G377">
        <f t="shared" si="20"/>
        <v>0</v>
      </c>
      <c r="H377">
        <f t="shared" si="21"/>
        <v>0</v>
      </c>
      <c r="J377">
        <v>489</v>
      </c>
      <c r="K377">
        <f t="shared" si="22"/>
        <v>0</v>
      </c>
      <c r="L377" s="200">
        <f t="shared" si="23"/>
        <v>0</v>
      </c>
      <c r="M377" t="s">
        <v>1342</v>
      </c>
    </row>
    <row r="378" spans="1:14" hidden="1" x14ac:dyDescent="0.15">
      <c r="A378" s="33" t="s">
        <v>353</v>
      </c>
      <c r="B378" s="33" t="s">
        <v>688</v>
      </c>
      <c r="C378" s="33">
        <v>7003</v>
      </c>
      <c r="D378" s="33" t="s">
        <v>339</v>
      </c>
      <c r="E378" s="33" t="s">
        <v>688</v>
      </c>
      <c r="F378" s="81">
        <v>7003</v>
      </c>
      <c r="G378">
        <f t="shared" si="20"/>
        <v>0</v>
      </c>
      <c r="H378">
        <f t="shared" si="21"/>
        <v>0</v>
      </c>
      <c r="J378">
        <v>7003</v>
      </c>
      <c r="K378">
        <f t="shared" si="22"/>
        <v>0</v>
      </c>
      <c r="L378" s="200">
        <f t="shared" si="23"/>
        <v>0</v>
      </c>
      <c r="M378" t="s">
        <v>1343</v>
      </c>
    </row>
    <row r="379" spans="1:14" hidden="1" x14ac:dyDescent="0.15">
      <c r="A379" s="33" t="s">
        <v>353</v>
      </c>
      <c r="B379" s="33" t="s">
        <v>689</v>
      </c>
      <c r="C379" s="33">
        <v>987328</v>
      </c>
      <c r="D379" s="33" t="s">
        <v>339</v>
      </c>
      <c r="E379" s="33" t="s">
        <v>689</v>
      </c>
      <c r="F379" s="81">
        <v>987328</v>
      </c>
      <c r="G379">
        <f t="shared" si="20"/>
        <v>0</v>
      </c>
      <c r="H379">
        <f t="shared" si="21"/>
        <v>0</v>
      </c>
      <c r="J379">
        <v>987328</v>
      </c>
      <c r="K379">
        <f t="shared" si="22"/>
        <v>0</v>
      </c>
      <c r="L379" s="200">
        <f t="shared" si="23"/>
        <v>0</v>
      </c>
      <c r="M379" t="s">
        <v>1344</v>
      </c>
    </row>
    <row r="380" spans="1:14" hidden="1" x14ac:dyDescent="0.15">
      <c r="A380" s="33" t="s">
        <v>353</v>
      </c>
      <c r="B380" s="33" t="s">
        <v>690</v>
      </c>
      <c r="C380" s="33">
        <v>7159548</v>
      </c>
      <c r="D380" s="33" t="s">
        <v>339</v>
      </c>
      <c r="E380" s="33" t="s">
        <v>690</v>
      </c>
      <c r="F380" s="81">
        <v>7159548</v>
      </c>
      <c r="G380">
        <f t="shared" si="20"/>
        <v>0</v>
      </c>
      <c r="H380">
        <f t="shared" si="21"/>
        <v>0</v>
      </c>
      <c r="J380">
        <v>7159548</v>
      </c>
      <c r="K380">
        <f t="shared" si="22"/>
        <v>0</v>
      </c>
      <c r="L380" s="200">
        <f t="shared" si="23"/>
        <v>0</v>
      </c>
      <c r="M380" t="s">
        <v>1345</v>
      </c>
      <c r="N380" t="s">
        <v>1346</v>
      </c>
    </row>
    <row r="381" spans="1:14" hidden="1" x14ac:dyDescent="0.15">
      <c r="A381" s="33" t="s">
        <v>353</v>
      </c>
      <c r="B381" s="33" t="s">
        <v>691</v>
      </c>
      <c r="C381" s="33">
        <v>15053365</v>
      </c>
      <c r="D381" s="33" t="s">
        <v>339</v>
      </c>
      <c r="E381" s="33" t="s">
        <v>691</v>
      </c>
      <c r="F381" s="81">
        <v>15053365</v>
      </c>
      <c r="G381">
        <f t="shared" si="20"/>
        <v>0</v>
      </c>
      <c r="H381">
        <f t="shared" si="21"/>
        <v>0</v>
      </c>
      <c r="J381">
        <v>15053365</v>
      </c>
      <c r="K381">
        <f t="shared" si="22"/>
        <v>0</v>
      </c>
      <c r="L381" s="200">
        <f t="shared" si="23"/>
        <v>0</v>
      </c>
      <c r="M381" t="s">
        <v>1347</v>
      </c>
      <c r="N381" t="s">
        <v>1348</v>
      </c>
    </row>
    <row r="382" spans="1:14" hidden="1" x14ac:dyDescent="0.15">
      <c r="A382" s="33" t="s">
        <v>353</v>
      </c>
      <c r="B382" s="33" t="s">
        <v>692</v>
      </c>
      <c r="C382" s="33">
        <v>4676786</v>
      </c>
      <c r="D382" s="33" t="s">
        <v>339</v>
      </c>
      <c r="E382" s="33" t="s">
        <v>692</v>
      </c>
      <c r="F382" s="81">
        <v>4676786</v>
      </c>
      <c r="G382">
        <f t="shared" si="20"/>
        <v>0</v>
      </c>
      <c r="H382">
        <f t="shared" si="21"/>
        <v>0</v>
      </c>
      <c r="J382">
        <v>4676786</v>
      </c>
      <c r="K382">
        <f t="shared" si="22"/>
        <v>0</v>
      </c>
      <c r="L382" s="200">
        <f t="shared" si="23"/>
        <v>0</v>
      </c>
      <c r="M382" t="s">
        <v>1349</v>
      </c>
      <c r="N382" t="s">
        <v>1350</v>
      </c>
    </row>
    <row r="383" spans="1:14" hidden="1" x14ac:dyDescent="0.15">
      <c r="A383" s="33" t="s">
        <v>353</v>
      </c>
      <c r="B383" s="33" t="s">
        <v>693</v>
      </c>
      <c r="C383" s="33">
        <v>3240</v>
      </c>
      <c r="D383" s="33" t="s">
        <v>339</v>
      </c>
      <c r="E383" s="33" t="s">
        <v>693</v>
      </c>
      <c r="F383" s="81">
        <v>3240</v>
      </c>
      <c r="G383">
        <f t="shared" si="20"/>
        <v>0</v>
      </c>
      <c r="H383">
        <f t="shared" si="21"/>
        <v>0</v>
      </c>
      <c r="J383">
        <v>3240</v>
      </c>
      <c r="K383">
        <f t="shared" si="22"/>
        <v>0</v>
      </c>
      <c r="L383" s="200">
        <f t="shared" si="23"/>
        <v>0</v>
      </c>
      <c r="M383" t="s">
        <v>1351</v>
      </c>
    </row>
    <row r="384" spans="1:14" hidden="1" x14ac:dyDescent="0.15">
      <c r="A384" s="33" t="s">
        <v>353</v>
      </c>
      <c r="B384" s="33" t="s">
        <v>694</v>
      </c>
      <c r="C384" s="33">
        <v>24</v>
      </c>
      <c r="D384" s="33" t="s">
        <v>339</v>
      </c>
      <c r="E384" s="33" t="s">
        <v>694</v>
      </c>
      <c r="F384" s="81">
        <v>24</v>
      </c>
      <c r="G384">
        <f t="shared" si="20"/>
        <v>0</v>
      </c>
      <c r="H384">
        <f t="shared" si="21"/>
        <v>0</v>
      </c>
      <c r="J384">
        <v>24</v>
      </c>
      <c r="K384">
        <f t="shared" si="22"/>
        <v>0</v>
      </c>
      <c r="L384" s="200">
        <f t="shared" si="23"/>
        <v>0</v>
      </c>
      <c r="M384" t="s">
        <v>1352</v>
      </c>
    </row>
    <row r="385" spans="1:14" hidden="1" x14ac:dyDescent="0.15">
      <c r="A385" s="33" t="s">
        <v>353</v>
      </c>
      <c r="B385" s="33" t="s">
        <v>695</v>
      </c>
      <c r="C385" s="33">
        <v>1033</v>
      </c>
      <c r="D385" s="33" t="s">
        <v>339</v>
      </c>
      <c r="E385" s="33" t="s">
        <v>695</v>
      </c>
      <c r="F385" s="81">
        <v>1033</v>
      </c>
      <c r="G385">
        <f t="shared" si="20"/>
        <v>0</v>
      </c>
      <c r="H385">
        <f t="shared" si="21"/>
        <v>0</v>
      </c>
      <c r="J385">
        <v>1033</v>
      </c>
      <c r="K385">
        <f t="shared" si="22"/>
        <v>0</v>
      </c>
      <c r="L385" s="200">
        <f t="shared" si="23"/>
        <v>0</v>
      </c>
      <c r="M385" t="s">
        <v>1353</v>
      </c>
    </row>
    <row r="386" spans="1:14" hidden="1" x14ac:dyDescent="0.15">
      <c r="A386" s="33" t="s">
        <v>353</v>
      </c>
      <c r="B386" s="33" t="s">
        <v>696</v>
      </c>
      <c r="C386" s="33">
        <v>6</v>
      </c>
      <c r="D386" s="33" t="s">
        <v>339</v>
      </c>
      <c r="E386" s="33" t="s">
        <v>696</v>
      </c>
      <c r="F386" s="81">
        <v>6</v>
      </c>
      <c r="G386">
        <f t="shared" si="20"/>
        <v>0</v>
      </c>
      <c r="H386">
        <f t="shared" si="21"/>
        <v>0</v>
      </c>
      <c r="J386">
        <v>6</v>
      </c>
      <c r="K386">
        <f t="shared" si="22"/>
        <v>0</v>
      </c>
      <c r="L386" s="200">
        <f t="shared" si="23"/>
        <v>0</v>
      </c>
      <c r="M386" t="s">
        <v>1354</v>
      </c>
    </row>
    <row r="387" spans="1:14" hidden="1" x14ac:dyDescent="0.15">
      <c r="A387" s="33" t="s">
        <v>353</v>
      </c>
      <c r="B387" s="33" t="s">
        <v>697</v>
      </c>
      <c r="C387" s="33">
        <v>379122</v>
      </c>
      <c r="D387" s="33" t="s">
        <v>339</v>
      </c>
      <c r="E387" s="33" t="s">
        <v>697</v>
      </c>
      <c r="F387" s="81">
        <v>379122</v>
      </c>
      <c r="G387">
        <f t="shared" si="20"/>
        <v>0</v>
      </c>
      <c r="H387">
        <f t="shared" si="21"/>
        <v>0</v>
      </c>
      <c r="J387">
        <v>379122</v>
      </c>
      <c r="K387">
        <f t="shared" si="22"/>
        <v>0</v>
      </c>
      <c r="L387" s="200">
        <f t="shared" si="23"/>
        <v>0</v>
      </c>
      <c r="M387" t="s">
        <v>1355</v>
      </c>
      <c r="N387" t="s">
        <v>1356</v>
      </c>
    </row>
    <row r="388" spans="1:14" hidden="1" x14ac:dyDescent="0.15">
      <c r="A388" s="33" t="s">
        <v>353</v>
      </c>
      <c r="B388" s="33" t="s">
        <v>698</v>
      </c>
      <c r="C388" s="33">
        <v>21601</v>
      </c>
      <c r="D388" s="33" t="s">
        <v>339</v>
      </c>
      <c r="E388" s="33" t="s">
        <v>698</v>
      </c>
      <c r="F388" s="81">
        <v>21601</v>
      </c>
      <c r="G388">
        <f t="shared" si="20"/>
        <v>0</v>
      </c>
      <c r="H388">
        <f t="shared" si="21"/>
        <v>0</v>
      </c>
      <c r="J388">
        <v>21601</v>
      </c>
      <c r="K388">
        <f t="shared" si="22"/>
        <v>0</v>
      </c>
      <c r="L388" s="200">
        <f t="shared" si="23"/>
        <v>0</v>
      </c>
      <c r="M388" t="s">
        <v>1357</v>
      </c>
    </row>
    <row r="389" spans="1:14" hidden="1" x14ac:dyDescent="0.15">
      <c r="A389" s="33" t="s">
        <v>353</v>
      </c>
      <c r="B389" s="33" t="s">
        <v>699</v>
      </c>
      <c r="C389" s="33">
        <v>177527</v>
      </c>
      <c r="D389" s="33" t="s">
        <v>339</v>
      </c>
      <c r="E389" s="33" t="s">
        <v>699</v>
      </c>
      <c r="F389" s="81">
        <v>177527</v>
      </c>
      <c r="G389">
        <f t="shared" si="20"/>
        <v>0</v>
      </c>
      <c r="H389">
        <f t="shared" si="21"/>
        <v>0</v>
      </c>
      <c r="J389">
        <v>177527</v>
      </c>
      <c r="K389">
        <f t="shared" si="22"/>
        <v>0</v>
      </c>
      <c r="L389" s="200">
        <f t="shared" si="23"/>
        <v>0</v>
      </c>
      <c r="M389" t="s">
        <v>1358</v>
      </c>
    </row>
    <row r="390" spans="1:14" hidden="1" x14ac:dyDescent="0.15">
      <c r="A390" s="33" t="s">
        <v>353</v>
      </c>
      <c r="B390" s="33" t="s">
        <v>700</v>
      </c>
      <c r="C390" s="33">
        <v>10063</v>
      </c>
      <c r="D390" s="33" t="s">
        <v>339</v>
      </c>
      <c r="E390" s="33" t="s">
        <v>700</v>
      </c>
      <c r="F390" s="81">
        <v>10063</v>
      </c>
      <c r="G390">
        <f t="shared" si="20"/>
        <v>0</v>
      </c>
      <c r="H390">
        <f t="shared" si="21"/>
        <v>0</v>
      </c>
      <c r="J390">
        <v>10063</v>
      </c>
      <c r="K390">
        <f t="shared" si="22"/>
        <v>0</v>
      </c>
      <c r="L390" s="200">
        <f t="shared" si="23"/>
        <v>0</v>
      </c>
      <c r="M390" t="s">
        <v>1359</v>
      </c>
    </row>
    <row r="391" spans="1:14" hidden="1" x14ac:dyDescent="0.15">
      <c r="A391" s="33" t="s">
        <v>353</v>
      </c>
      <c r="B391" s="33" t="s">
        <v>701</v>
      </c>
      <c r="C391" s="33">
        <v>47</v>
      </c>
      <c r="D391" s="33" t="s">
        <v>339</v>
      </c>
      <c r="E391" s="33" t="s">
        <v>701</v>
      </c>
      <c r="F391" s="81">
        <v>47</v>
      </c>
      <c r="G391">
        <f t="shared" si="20"/>
        <v>0</v>
      </c>
      <c r="H391">
        <f t="shared" si="21"/>
        <v>0</v>
      </c>
      <c r="J391">
        <v>47</v>
      </c>
      <c r="K391">
        <f t="shared" si="22"/>
        <v>0</v>
      </c>
      <c r="L391" s="200">
        <f t="shared" si="23"/>
        <v>0</v>
      </c>
      <c r="M391" t="s">
        <v>1360</v>
      </c>
    </row>
    <row r="392" spans="1:14" hidden="1" x14ac:dyDescent="0.15">
      <c r="A392" s="33" t="s">
        <v>353</v>
      </c>
      <c r="B392" s="33" t="s">
        <v>702</v>
      </c>
      <c r="C392" s="33">
        <v>2</v>
      </c>
      <c r="D392" s="33" t="s">
        <v>339</v>
      </c>
      <c r="E392" s="33" t="s">
        <v>702</v>
      </c>
      <c r="F392" s="81">
        <v>2</v>
      </c>
      <c r="G392">
        <f t="shared" si="20"/>
        <v>0</v>
      </c>
      <c r="H392">
        <f t="shared" si="21"/>
        <v>0</v>
      </c>
      <c r="J392">
        <v>2</v>
      </c>
      <c r="K392">
        <f t="shared" si="22"/>
        <v>0</v>
      </c>
      <c r="L392" s="200">
        <f t="shared" si="23"/>
        <v>0</v>
      </c>
      <c r="M392" t="s">
        <v>1361</v>
      </c>
    </row>
    <row r="393" spans="1:14" hidden="1" x14ac:dyDescent="0.15">
      <c r="A393" s="33" t="s">
        <v>353</v>
      </c>
      <c r="B393" s="33" t="s">
        <v>703</v>
      </c>
      <c r="C393" s="33">
        <v>17</v>
      </c>
      <c r="D393" s="33" t="s">
        <v>339</v>
      </c>
      <c r="E393" s="33" t="s">
        <v>703</v>
      </c>
      <c r="F393" s="81">
        <v>17</v>
      </c>
      <c r="G393">
        <f t="shared" si="20"/>
        <v>0</v>
      </c>
      <c r="H393">
        <f t="shared" si="21"/>
        <v>0</v>
      </c>
      <c r="J393">
        <v>17</v>
      </c>
      <c r="K393">
        <f t="shared" si="22"/>
        <v>0</v>
      </c>
      <c r="L393" s="200">
        <f t="shared" si="23"/>
        <v>0</v>
      </c>
      <c r="M393" t="s">
        <v>1362</v>
      </c>
    </row>
    <row r="394" spans="1:14" hidden="1" x14ac:dyDescent="0.15">
      <c r="A394" s="33" t="s">
        <v>353</v>
      </c>
      <c r="B394" s="33" t="s">
        <v>704</v>
      </c>
      <c r="C394" s="33">
        <v>102</v>
      </c>
      <c r="D394" s="33" t="s">
        <v>339</v>
      </c>
      <c r="E394" s="33" t="s">
        <v>704</v>
      </c>
      <c r="F394" s="81">
        <v>102</v>
      </c>
      <c r="G394">
        <f t="shared" si="20"/>
        <v>0</v>
      </c>
      <c r="H394">
        <f t="shared" si="21"/>
        <v>0</v>
      </c>
      <c r="J394">
        <v>102</v>
      </c>
      <c r="K394">
        <f t="shared" si="22"/>
        <v>0</v>
      </c>
      <c r="L394" s="200">
        <f t="shared" si="23"/>
        <v>0</v>
      </c>
      <c r="M394" t="s">
        <v>1363</v>
      </c>
    </row>
    <row r="395" spans="1:14" hidden="1" x14ac:dyDescent="0.15">
      <c r="A395" s="33" t="s">
        <v>353</v>
      </c>
      <c r="B395" s="33" t="s">
        <v>705</v>
      </c>
      <c r="C395" s="33">
        <v>483</v>
      </c>
      <c r="D395" s="33" t="s">
        <v>339</v>
      </c>
      <c r="E395" s="33" t="s">
        <v>705</v>
      </c>
      <c r="F395" s="81">
        <v>483</v>
      </c>
      <c r="G395">
        <f t="shared" si="20"/>
        <v>0</v>
      </c>
      <c r="H395">
        <f t="shared" si="21"/>
        <v>0</v>
      </c>
      <c r="J395">
        <v>483</v>
      </c>
      <c r="K395">
        <f t="shared" si="22"/>
        <v>0</v>
      </c>
      <c r="L395" s="200">
        <f t="shared" si="23"/>
        <v>0</v>
      </c>
      <c r="M395" t="s">
        <v>1364</v>
      </c>
    </row>
    <row r="396" spans="1:14" hidden="1" x14ac:dyDescent="0.15">
      <c r="A396" s="33" t="s">
        <v>353</v>
      </c>
      <c r="B396" s="33" t="s">
        <v>706</v>
      </c>
      <c r="C396" s="33">
        <v>459</v>
      </c>
      <c r="D396" s="33" t="s">
        <v>339</v>
      </c>
      <c r="E396" s="33" t="s">
        <v>706</v>
      </c>
      <c r="F396" s="81">
        <v>459</v>
      </c>
      <c r="G396">
        <f t="shared" si="20"/>
        <v>0</v>
      </c>
      <c r="H396">
        <f t="shared" si="21"/>
        <v>0</v>
      </c>
      <c r="J396">
        <v>459</v>
      </c>
      <c r="K396">
        <f t="shared" si="22"/>
        <v>0</v>
      </c>
      <c r="L396" s="200">
        <f t="shared" si="23"/>
        <v>0</v>
      </c>
      <c r="M396" t="s">
        <v>1365</v>
      </c>
    </row>
    <row r="397" spans="1:14" hidden="1" x14ac:dyDescent="0.15">
      <c r="A397" s="33" t="s">
        <v>353</v>
      </c>
      <c r="B397" s="33" t="s">
        <v>707</v>
      </c>
      <c r="C397" s="33">
        <v>9747</v>
      </c>
      <c r="D397" s="33" t="s">
        <v>339</v>
      </c>
      <c r="E397" s="33" t="s">
        <v>707</v>
      </c>
      <c r="F397" s="81">
        <v>9747</v>
      </c>
      <c r="G397">
        <f t="shared" si="20"/>
        <v>0</v>
      </c>
      <c r="H397">
        <f t="shared" si="21"/>
        <v>0</v>
      </c>
      <c r="J397">
        <v>9747</v>
      </c>
      <c r="K397">
        <f t="shared" si="22"/>
        <v>0</v>
      </c>
      <c r="L397" s="200">
        <f t="shared" si="23"/>
        <v>0</v>
      </c>
      <c r="M397" t="s">
        <v>1366</v>
      </c>
    </row>
    <row r="398" spans="1:14" hidden="1" x14ac:dyDescent="0.15">
      <c r="A398" s="33" t="s">
        <v>353</v>
      </c>
      <c r="B398" s="33" t="s">
        <v>708</v>
      </c>
      <c r="C398" s="33">
        <v>485</v>
      </c>
      <c r="D398" s="33" t="s">
        <v>339</v>
      </c>
      <c r="E398" s="33" t="s">
        <v>708</v>
      </c>
      <c r="F398" s="81">
        <v>485</v>
      </c>
      <c r="G398">
        <f t="shared" si="20"/>
        <v>0</v>
      </c>
      <c r="H398">
        <f t="shared" si="21"/>
        <v>0</v>
      </c>
      <c r="J398">
        <v>485</v>
      </c>
      <c r="K398">
        <f t="shared" si="22"/>
        <v>0</v>
      </c>
      <c r="L398" s="200">
        <f t="shared" si="23"/>
        <v>0</v>
      </c>
      <c r="M398" t="s">
        <v>1367</v>
      </c>
    </row>
    <row r="399" spans="1:14" hidden="1" x14ac:dyDescent="0.15">
      <c r="A399" s="33" t="s">
        <v>353</v>
      </c>
      <c r="B399" s="33" t="s">
        <v>709</v>
      </c>
      <c r="C399" s="33">
        <v>9</v>
      </c>
      <c r="D399" s="33" t="s">
        <v>339</v>
      </c>
      <c r="E399" s="33" t="s">
        <v>709</v>
      </c>
      <c r="F399" s="81">
        <v>9</v>
      </c>
      <c r="G399">
        <f t="shared" si="20"/>
        <v>0</v>
      </c>
      <c r="H399">
        <f t="shared" si="21"/>
        <v>0</v>
      </c>
      <c r="J399">
        <v>9</v>
      </c>
      <c r="K399">
        <f t="shared" si="22"/>
        <v>0</v>
      </c>
      <c r="L399" s="200">
        <f t="shared" si="23"/>
        <v>0</v>
      </c>
      <c r="M399" t="s">
        <v>1368</v>
      </c>
    </row>
    <row r="400" spans="1:14" hidden="1" x14ac:dyDescent="0.15">
      <c r="A400" s="33" t="s">
        <v>353</v>
      </c>
      <c r="B400" s="33" t="s">
        <v>710</v>
      </c>
      <c r="C400" s="33">
        <v>213752</v>
      </c>
      <c r="D400" s="33" t="s">
        <v>339</v>
      </c>
      <c r="E400" s="33" t="s">
        <v>710</v>
      </c>
      <c r="F400" s="81">
        <v>213752</v>
      </c>
      <c r="G400">
        <f t="shared" si="20"/>
        <v>0</v>
      </c>
      <c r="H400">
        <f t="shared" si="21"/>
        <v>0</v>
      </c>
      <c r="J400">
        <v>213752</v>
      </c>
      <c r="K400">
        <f t="shared" si="22"/>
        <v>0</v>
      </c>
      <c r="L400" s="200">
        <f t="shared" si="23"/>
        <v>0</v>
      </c>
      <c r="M400" t="s">
        <v>1369</v>
      </c>
      <c r="N400" t="s">
        <v>1370</v>
      </c>
    </row>
    <row r="401" spans="1:14" hidden="1" x14ac:dyDescent="0.15">
      <c r="A401" s="33" t="s">
        <v>353</v>
      </c>
      <c r="B401" s="33" t="s">
        <v>711</v>
      </c>
      <c r="C401" s="33">
        <v>894812</v>
      </c>
      <c r="D401" s="33" t="s">
        <v>339</v>
      </c>
      <c r="E401" s="33" t="s">
        <v>711</v>
      </c>
      <c r="F401" s="81">
        <v>894812</v>
      </c>
      <c r="G401">
        <f t="shared" ref="G401:G464" si="24">C401-F401</f>
        <v>0</v>
      </c>
      <c r="H401">
        <f t="shared" ref="H401:H464" si="25">IF(OR(C401=0, F401=0), 0, C401-F401)</f>
        <v>0</v>
      </c>
      <c r="J401">
        <v>894812</v>
      </c>
      <c r="K401">
        <f t="shared" ref="K401:K464" si="26">J401-F401</f>
        <v>0</v>
      </c>
      <c r="L401" s="200">
        <f t="shared" ref="L401:L464" si="27">IFERROR(ABS(F401 - J401) / ((F401 + J401) / 2),0)</f>
        <v>0</v>
      </c>
      <c r="M401" t="s">
        <v>1369</v>
      </c>
      <c r="N401" t="s">
        <v>1371</v>
      </c>
    </row>
    <row r="402" spans="1:14" hidden="1" x14ac:dyDescent="0.15">
      <c r="A402" s="33" t="s">
        <v>353</v>
      </c>
      <c r="B402" s="33" t="s">
        <v>712</v>
      </c>
      <c r="C402" s="33">
        <v>955510</v>
      </c>
      <c r="D402" s="33" t="s">
        <v>339</v>
      </c>
      <c r="E402" s="33" t="s">
        <v>712</v>
      </c>
      <c r="F402" s="81">
        <v>955510</v>
      </c>
      <c r="G402">
        <f t="shared" si="24"/>
        <v>0</v>
      </c>
      <c r="H402">
        <f t="shared" si="25"/>
        <v>0</v>
      </c>
      <c r="J402">
        <v>955510</v>
      </c>
      <c r="K402">
        <f t="shared" si="26"/>
        <v>0</v>
      </c>
      <c r="L402" s="200">
        <f t="shared" si="27"/>
        <v>0</v>
      </c>
      <c r="M402" t="s">
        <v>1369</v>
      </c>
      <c r="N402" t="s">
        <v>1372</v>
      </c>
    </row>
    <row r="403" spans="1:14" hidden="1" x14ac:dyDescent="0.15">
      <c r="A403" s="33" t="s">
        <v>353</v>
      </c>
      <c r="B403" s="33" t="s">
        <v>713</v>
      </c>
      <c r="C403" s="33">
        <v>2305</v>
      </c>
      <c r="D403" s="33" t="s">
        <v>339</v>
      </c>
      <c r="E403" s="33" t="s">
        <v>713</v>
      </c>
      <c r="F403" s="81">
        <v>2305</v>
      </c>
      <c r="G403">
        <f t="shared" si="24"/>
        <v>0</v>
      </c>
      <c r="H403">
        <f t="shared" si="25"/>
        <v>0</v>
      </c>
      <c r="J403">
        <v>2305</v>
      </c>
      <c r="K403">
        <f t="shared" si="26"/>
        <v>0</v>
      </c>
      <c r="L403" s="200">
        <f t="shared" si="27"/>
        <v>0</v>
      </c>
      <c r="M403" t="s">
        <v>1373</v>
      </c>
    </row>
    <row r="404" spans="1:14" hidden="1" x14ac:dyDescent="0.15">
      <c r="A404" s="33" t="s">
        <v>353</v>
      </c>
      <c r="B404" s="33" t="s">
        <v>714</v>
      </c>
      <c r="C404" s="33">
        <v>42</v>
      </c>
      <c r="D404" s="33" t="s">
        <v>339</v>
      </c>
      <c r="E404" s="33" t="s">
        <v>714</v>
      </c>
      <c r="F404" s="81">
        <v>42</v>
      </c>
      <c r="G404">
        <f t="shared" si="24"/>
        <v>0</v>
      </c>
      <c r="H404">
        <f t="shared" si="25"/>
        <v>0</v>
      </c>
      <c r="J404">
        <v>42</v>
      </c>
      <c r="K404">
        <f t="shared" si="26"/>
        <v>0</v>
      </c>
      <c r="L404" s="200">
        <f t="shared" si="27"/>
        <v>0</v>
      </c>
      <c r="M404" t="s">
        <v>1352</v>
      </c>
    </row>
    <row r="405" spans="1:14" hidden="1" x14ac:dyDescent="0.15">
      <c r="A405" s="33" t="s">
        <v>353</v>
      </c>
      <c r="B405" s="33" t="s">
        <v>715</v>
      </c>
      <c r="C405" s="33">
        <v>11</v>
      </c>
      <c r="D405" s="33" t="s">
        <v>339</v>
      </c>
      <c r="E405" s="33" t="s">
        <v>715</v>
      </c>
      <c r="F405" s="81">
        <v>11</v>
      </c>
      <c r="G405">
        <f t="shared" si="24"/>
        <v>0</v>
      </c>
      <c r="H405">
        <f t="shared" si="25"/>
        <v>0</v>
      </c>
      <c r="J405">
        <v>11</v>
      </c>
      <c r="K405">
        <f t="shared" si="26"/>
        <v>0</v>
      </c>
      <c r="L405" s="200">
        <f t="shared" si="27"/>
        <v>0</v>
      </c>
      <c r="M405" t="s">
        <v>1374</v>
      </c>
    </row>
    <row r="406" spans="1:14" hidden="1" x14ac:dyDescent="0.15">
      <c r="A406" s="33" t="s">
        <v>353</v>
      </c>
      <c r="B406" s="33" t="s">
        <v>716</v>
      </c>
      <c r="C406" s="33">
        <v>76</v>
      </c>
      <c r="D406" s="33" t="s">
        <v>339</v>
      </c>
      <c r="E406" s="33" t="s">
        <v>716</v>
      </c>
      <c r="F406" s="81">
        <v>76</v>
      </c>
      <c r="G406">
        <f t="shared" si="24"/>
        <v>0</v>
      </c>
      <c r="H406">
        <f t="shared" si="25"/>
        <v>0</v>
      </c>
      <c r="J406">
        <v>76</v>
      </c>
      <c r="K406">
        <f t="shared" si="26"/>
        <v>0</v>
      </c>
      <c r="L406" s="200">
        <f t="shared" si="27"/>
        <v>0</v>
      </c>
      <c r="M406" t="s">
        <v>1375</v>
      </c>
    </row>
    <row r="407" spans="1:14" hidden="1" x14ac:dyDescent="0.15">
      <c r="A407" s="33" t="s">
        <v>353</v>
      </c>
      <c r="B407" s="33" t="s">
        <v>717</v>
      </c>
      <c r="C407" s="33">
        <v>405</v>
      </c>
      <c r="D407" s="33" t="s">
        <v>339</v>
      </c>
      <c r="E407" s="33" t="s">
        <v>717</v>
      </c>
      <c r="F407" s="81">
        <v>405</v>
      </c>
      <c r="G407">
        <f t="shared" si="24"/>
        <v>0</v>
      </c>
      <c r="H407">
        <f t="shared" si="25"/>
        <v>0</v>
      </c>
      <c r="J407">
        <v>405</v>
      </c>
      <c r="K407">
        <f t="shared" si="26"/>
        <v>0</v>
      </c>
      <c r="L407" s="200">
        <f t="shared" si="27"/>
        <v>0</v>
      </c>
      <c r="M407" t="s">
        <v>1376</v>
      </c>
    </row>
    <row r="408" spans="1:14" hidden="1" x14ac:dyDescent="0.15">
      <c r="A408" s="33" t="s">
        <v>353</v>
      </c>
      <c r="B408" s="33" t="s">
        <v>718</v>
      </c>
      <c r="C408" s="33">
        <v>2253</v>
      </c>
      <c r="D408" s="33" t="s">
        <v>339</v>
      </c>
      <c r="E408" s="33" t="s">
        <v>718</v>
      </c>
      <c r="F408" s="81">
        <v>2253</v>
      </c>
      <c r="G408">
        <f t="shared" si="24"/>
        <v>0</v>
      </c>
      <c r="H408">
        <f t="shared" si="25"/>
        <v>0</v>
      </c>
      <c r="J408">
        <v>2253</v>
      </c>
      <c r="K408">
        <f t="shared" si="26"/>
        <v>0</v>
      </c>
      <c r="L408" s="200">
        <f t="shared" si="27"/>
        <v>0</v>
      </c>
      <c r="M408" t="s">
        <v>1377</v>
      </c>
    </row>
    <row r="409" spans="1:14" hidden="1" x14ac:dyDescent="0.15">
      <c r="A409" s="33" t="s">
        <v>353</v>
      </c>
      <c r="B409" s="33" t="s">
        <v>719</v>
      </c>
      <c r="C409" s="33">
        <v>3</v>
      </c>
      <c r="D409" s="33" t="s">
        <v>339</v>
      </c>
      <c r="E409" s="33" t="s">
        <v>719</v>
      </c>
      <c r="F409" s="81">
        <v>3</v>
      </c>
      <c r="G409">
        <f t="shared" si="24"/>
        <v>0</v>
      </c>
      <c r="H409">
        <f t="shared" si="25"/>
        <v>0</v>
      </c>
      <c r="J409">
        <v>3</v>
      </c>
      <c r="K409">
        <f t="shared" si="26"/>
        <v>0</v>
      </c>
      <c r="L409" s="200">
        <f t="shared" si="27"/>
        <v>0</v>
      </c>
      <c r="M409" t="s">
        <v>1378</v>
      </c>
    </row>
    <row r="410" spans="1:14" hidden="1" x14ac:dyDescent="0.15">
      <c r="A410" s="33" t="s">
        <v>353</v>
      </c>
      <c r="B410" s="33" t="s">
        <v>720</v>
      </c>
      <c r="C410" s="33">
        <v>592</v>
      </c>
      <c r="D410" s="33" t="s">
        <v>339</v>
      </c>
      <c r="E410" s="33" t="s">
        <v>720</v>
      </c>
      <c r="F410" s="81">
        <v>592</v>
      </c>
      <c r="G410">
        <f t="shared" si="24"/>
        <v>0</v>
      </c>
      <c r="H410">
        <f t="shared" si="25"/>
        <v>0</v>
      </c>
      <c r="J410">
        <v>592</v>
      </c>
      <c r="K410">
        <f t="shared" si="26"/>
        <v>0</v>
      </c>
      <c r="L410" s="200">
        <f t="shared" si="27"/>
        <v>0</v>
      </c>
      <c r="M410" t="s">
        <v>1379</v>
      </c>
    </row>
    <row r="411" spans="1:14" hidden="1" x14ac:dyDescent="0.15">
      <c r="A411" s="33" t="s">
        <v>353</v>
      </c>
      <c r="B411" s="33" t="s">
        <v>721</v>
      </c>
      <c r="C411" s="33">
        <v>15</v>
      </c>
      <c r="D411" s="33" t="s">
        <v>339</v>
      </c>
      <c r="E411" s="33" t="s">
        <v>721</v>
      </c>
      <c r="F411" s="81">
        <v>15</v>
      </c>
      <c r="G411">
        <f t="shared" si="24"/>
        <v>0</v>
      </c>
      <c r="H411">
        <f t="shared" si="25"/>
        <v>0</v>
      </c>
      <c r="J411">
        <v>15</v>
      </c>
      <c r="K411">
        <f t="shared" si="26"/>
        <v>0</v>
      </c>
      <c r="L411" s="200">
        <f t="shared" si="27"/>
        <v>0</v>
      </c>
      <c r="M411" t="s">
        <v>1380</v>
      </c>
    </row>
    <row r="412" spans="1:14" hidden="1" x14ac:dyDescent="0.15">
      <c r="A412" s="33" t="s">
        <v>353</v>
      </c>
      <c r="B412" s="33" t="s">
        <v>722</v>
      </c>
      <c r="C412" s="33">
        <v>3098</v>
      </c>
      <c r="D412" s="33" t="s">
        <v>339</v>
      </c>
      <c r="E412" s="33" t="s">
        <v>722</v>
      </c>
      <c r="F412" s="81">
        <v>3098</v>
      </c>
      <c r="G412">
        <f t="shared" si="24"/>
        <v>0</v>
      </c>
      <c r="H412">
        <f t="shared" si="25"/>
        <v>0</v>
      </c>
      <c r="J412">
        <v>3098</v>
      </c>
      <c r="K412">
        <f t="shared" si="26"/>
        <v>0</v>
      </c>
      <c r="L412" s="200">
        <f t="shared" si="27"/>
        <v>0</v>
      </c>
      <c r="M412" t="s">
        <v>1381</v>
      </c>
    </row>
    <row r="413" spans="1:14" hidden="1" x14ac:dyDescent="0.15">
      <c r="A413" s="33" t="s">
        <v>353</v>
      </c>
      <c r="B413" s="33" t="s">
        <v>723</v>
      </c>
      <c r="C413" s="33">
        <v>7107</v>
      </c>
      <c r="D413" s="33" t="s">
        <v>339</v>
      </c>
      <c r="E413" s="33" t="s">
        <v>723</v>
      </c>
      <c r="F413" s="81">
        <v>7107</v>
      </c>
      <c r="G413">
        <f t="shared" si="24"/>
        <v>0</v>
      </c>
      <c r="H413">
        <f t="shared" si="25"/>
        <v>0</v>
      </c>
      <c r="J413">
        <v>7107</v>
      </c>
      <c r="K413">
        <f t="shared" si="26"/>
        <v>0</v>
      </c>
      <c r="L413" s="200">
        <f t="shared" si="27"/>
        <v>0</v>
      </c>
      <c r="M413" t="s">
        <v>1375</v>
      </c>
    </row>
    <row r="414" spans="1:14" hidden="1" x14ac:dyDescent="0.15">
      <c r="A414" s="33" t="s">
        <v>353</v>
      </c>
      <c r="B414" s="33" t="s">
        <v>724</v>
      </c>
      <c r="C414" s="33">
        <v>31008</v>
      </c>
      <c r="D414" s="33" t="s">
        <v>339</v>
      </c>
      <c r="E414" s="33" t="s">
        <v>724</v>
      </c>
      <c r="F414" s="81">
        <v>31008</v>
      </c>
      <c r="G414">
        <f t="shared" si="24"/>
        <v>0</v>
      </c>
      <c r="H414">
        <f t="shared" si="25"/>
        <v>0</v>
      </c>
      <c r="J414">
        <v>31008</v>
      </c>
      <c r="K414">
        <f t="shared" si="26"/>
        <v>0</v>
      </c>
      <c r="L414" s="200">
        <f t="shared" si="27"/>
        <v>0</v>
      </c>
      <c r="M414" t="s">
        <v>1382</v>
      </c>
    </row>
    <row r="415" spans="1:14" hidden="1" x14ac:dyDescent="0.15">
      <c r="A415" s="33" t="s">
        <v>353</v>
      </c>
      <c r="B415" s="33" t="s">
        <v>725</v>
      </c>
      <c r="C415" s="33">
        <v>425227</v>
      </c>
      <c r="D415" s="33" t="s">
        <v>339</v>
      </c>
      <c r="E415" s="33" t="s">
        <v>725</v>
      </c>
      <c r="F415" s="81">
        <v>425227</v>
      </c>
      <c r="G415">
        <f t="shared" si="24"/>
        <v>0</v>
      </c>
      <c r="H415">
        <f t="shared" si="25"/>
        <v>0</v>
      </c>
      <c r="J415">
        <v>425227</v>
      </c>
      <c r="K415">
        <f t="shared" si="26"/>
        <v>0</v>
      </c>
      <c r="L415" s="200">
        <f t="shared" si="27"/>
        <v>0</v>
      </c>
      <c r="M415" t="s">
        <v>1383</v>
      </c>
    </row>
    <row r="416" spans="1:14" hidden="1" x14ac:dyDescent="0.15">
      <c r="A416" s="33" t="s">
        <v>353</v>
      </c>
      <c r="B416" s="33" t="s">
        <v>726</v>
      </c>
      <c r="C416" s="33">
        <v>15596</v>
      </c>
      <c r="D416" s="33" t="s">
        <v>339</v>
      </c>
      <c r="E416" s="33" t="s">
        <v>726</v>
      </c>
      <c r="F416" s="81">
        <v>15596</v>
      </c>
      <c r="G416">
        <f t="shared" si="24"/>
        <v>0</v>
      </c>
      <c r="H416">
        <f t="shared" si="25"/>
        <v>0</v>
      </c>
      <c r="J416">
        <v>15596</v>
      </c>
      <c r="K416">
        <f t="shared" si="26"/>
        <v>0</v>
      </c>
      <c r="L416" s="200">
        <f t="shared" si="27"/>
        <v>0</v>
      </c>
      <c r="M416" t="s">
        <v>1384</v>
      </c>
    </row>
    <row r="417" spans="1:14" hidden="1" x14ac:dyDescent="0.15">
      <c r="A417" s="33" t="s">
        <v>353</v>
      </c>
      <c r="B417" s="33" t="s">
        <v>727</v>
      </c>
      <c r="C417" s="33">
        <v>1129</v>
      </c>
      <c r="D417" s="33" t="s">
        <v>339</v>
      </c>
      <c r="E417" s="33" t="s">
        <v>727</v>
      </c>
      <c r="F417" s="81">
        <v>1129</v>
      </c>
      <c r="G417">
        <f t="shared" si="24"/>
        <v>0</v>
      </c>
      <c r="H417">
        <f t="shared" si="25"/>
        <v>0</v>
      </c>
      <c r="J417">
        <v>1129</v>
      </c>
      <c r="K417">
        <f t="shared" si="26"/>
        <v>0</v>
      </c>
      <c r="L417" s="200">
        <f t="shared" si="27"/>
        <v>0</v>
      </c>
      <c r="M417" t="s">
        <v>1385</v>
      </c>
    </row>
    <row r="418" spans="1:14" hidden="1" x14ac:dyDescent="0.15">
      <c r="A418" s="33" t="s">
        <v>353</v>
      </c>
      <c r="B418" s="33" t="s">
        <v>728</v>
      </c>
      <c r="C418" s="33">
        <v>62175</v>
      </c>
      <c r="D418" s="33" t="s">
        <v>339</v>
      </c>
      <c r="E418" s="33" t="s">
        <v>728</v>
      </c>
      <c r="F418" s="81">
        <v>62175</v>
      </c>
      <c r="G418">
        <f t="shared" si="24"/>
        <v>0</v>
      </c>
      <c r="H418">
        <f t="shared" si="25"/>
        <v>0</v>
      </c>
      <c r="J418">
        <v>62175</v>
      </c>
      <c r="K418">
        <f t="shared" si="26"/>
        <v>0</v>
      </c>
      <c r="L418" s="200">
        <f t="shared" si="27"/>
        <v>0</v>
      </c>
      <c r="M418" t="s">
        <v>1386</v>
      </c>
    </row>
    <row r="419" spans="1:14" hidden="1" x14ac:dyDescent="0.15">
      <c r="A419" s="33" t="s">
        <v>353</v>
      </c>
      <c r="B419" s="33" t="s">
        <v>729</v>
      </c>
      <c r="C419" s="33">
        <v>392846</v>
      </c>
      <c r="D419" s="33" t="s">
        <v>339</v>
      </c>
      <c r="E419" s="33" t="s">
        <v>729</v>
      </c>
      <c r="F419" s="81">
        <v>392846</v>
      </c>
      <c r="G419">
        <f t="shared" si="24"/>
        <v>0</v>
      </c>
      <c r="H419">
        <f t="shared" si="25"/>
        <v>0</v>
      </c>
      <c r="J419">
        <v>392846</v>
      </c>
      <c r="K419">
        <f t="shared" si="26"/>
        <v>0</v>
      </c>
      <c r="L419" s="200">
        <f t="shared" si="27"/>
        <v>0</v>
      </c>
      <c r="M419" t="s">
        <v>1387</v>
      </c>
    </row>
    <row r="420" spans="1:14" hidden="1" x14ac:dyDescent="0.15">
      <c r="A420" s="33" t="s">
        <v>353</v>
      </c>
      <c r="B420" s="33" t="s">
        <v>730</v>
      </c>
      <c r="C420" s="33">
        <v>133</v>
      </c>
      <c r="D420" s="33" t="s">
        <v>339</v>
      </c>
      <c r="E420" s="33" t="s">
        <v>730</v>
      </c>
      <c r="F420" s="81">
        <v>133</v>
      </c>
      <c r="G420">
        <f t="shared" si="24"/>
        <v>0</v>
      </c>
      <c r="H420">
        <f t="shared" si="25"/>
        <v>0</v>
      </c>
      <c r="J420">
        <v>133</v>
      </c>
      <c r="K420">
        <f t="shared" si="26"/>
        <v>0</v>
      </c>
      <c r="L420" s="200">
        <f t="shared" si="27"/>
        <v>0</v>
      </c>
      <c r="M420" t="s">
        <v>1388</v>
      </c>
    </row>
    <row r="421" spans="1:14" hidden="1" x14ac:dyDescent="0.15">
      <c r="A421" s="33" t="s">
        <v>353</v>
      </c>
      <c r="B421" s="33" t="s">
        <v>731</v>
      </c>
      <c r="C421" s="33">
        <v>21322000</v>
      </c>
      <c r="D421" s="33" t="s">
        <v>339</v>
      </c>
      <c r="E421" s="33" t="s">
        <v>731</v>
      </c>
      <c r="F421" s="81">
        <v>21322000</v>
      </c>
      <c r="G421">
        <f t="shared" si="24"/>
        <v>0</v>
      </c>
      <c r="H421">
        <f t="shared" si="25"/>
        <v>0</v>
      </c>
      <c r="J421">
        <v>21322000</v>
      </c>
      <c r="K421">
        <f t="shared" si="26"/>
        <v>0</v>
      </c>
      <c r="L421" s="200">
        <f t="shared" si="27"/>
        <v>0</v>
      </c>
      <c r="M421" t="s">
        <v>1389</v>
      </c>
    </row>
    <row r="422" spans="1:14" hidden="1" x14ac:dyDescent="0.15">
      <c r="A422" s="33" t="s">
        <v>353</v>
      </c>
      <c r="B422" s="33" t="s">
        <v>732</v>
      </c>
      <c r="C422" s="33">
        <v>4413482</v>
      </c>
      <c r="D422" s="33" t="s">
        <v>339</v>
      </c>
      <c r="E422" s="33" t="s">
        <v>732</v>
      </c>
      <c r="F422" s="81">
        <v>4413482</v>
      </c>
      <c r="G422">
        <f t="shared" si="24"/>
        <v>0</v>
      </c>
      <c r="H422">
        <f t="shared" si="25"/>
        <v>0</v>
      </c>
      <c r="J422">
        <v>4413482</v>
      </c>
      <c r="K422">
        <f t="shared" si="26"/>
        <v>0</v>
      </c>
      <c r="L422" s="200">
        <f t="shared" si="27"/>
        <v>0</v>
      </c>
      <c r="M422" t="s">
        <v>1390</v>
      </c>
    </row>
    <row r="423" spans="1:14" hidden="1" x14ac:dyDescent="0.15">
      <c r="A423" s="33" t="s">
        <v>353</v>
      </c>
      <c r="B423" s="33" t="s">
        <v>733</v>
      </c>
      <c r="C423" s="33">
        <v>1449871</v>
      </c>
      <c r="D423" s="33" t="s">
        <v>339</v>
      </c>
      <c r="E423" s="33" t="s">
        <v>733</v>
      </c>
      <c r="F423" s="81">
        <v>1449871</v>
      </c>
      <c r="G423">
        <f t="shared" si="24"/>
        <v>0</v>
      </c>
      <c r="H423">
        <f t="shared" si="25"/>
        <v>0</v>
      </c>
      <c r="J423">
        <v>1449871</v>
      </c>
      <c r="K423">
        <f t="shared" si="26"/>
        <v>0</v>
      </c>
      <c r="L423" s="200">
        <f t="shared" si="27"/>
        <v>0</v>
      </c>
      <c r="M423" t="s">
        <v>1391</v>
      </c>
    </row>
    <row r="424" spans="1:14" hidden="1" x14ac:dyDescent="0.15">
      <c r="A424" s="33" t="s">
        <v>353</v>
      </c>
      <c r="B424" s="33" t="s">
        <v>734</v>
      </c>
      <c r="C424" s="33">
        <v>2388</v>
      </c>
      <c r="D424" s="33" t="s">
        <v>339</v>
      </c>
      <c r="E424" s="33" t="s">
        <v>734</v>
      </c>
      <c r="F424" s="81">
        <v>2388</v>
      </c>
      <c r="G424">
        <f t="shared" si="24"/>
        <v>0</v>
      </c>
      <c r="H424">
        <f t="shared" si="25"/>
        <v>0</v>
      </c>
      <c r="J424">
        <v>2388</v>
      </c>
      <c r="K424">
        <f t="shared" si="26"/>
        <v>0</v>
      </c>
      <c r="L424" s="200">
        <f t="shared" si="27"/>
        <v>0</v>
      </c>
      <c r="M424" t="s">
        <v>1392</v>
      </c>
    </row>
    <row r="425" spans="1:14" hidden="1" x14ac:dyDescent="0.15">
      <c r="A425" s="33" t="s">
        <v>353</v>
      </c>
      <c r="B425" s="33" t="s">
        <v>735</v>
      </c>
      <c r="C425" s="33">
        <v>4189</v>
      </c>
      <c r="D425" s="33" t="s">
        <v>339</v>
      </c>
      <c r="E425" s="33" t="s">
        <v>735</v>
      </c>
      <c r="F425" s="81">
        <v>4189</v>
      </c>
      <c r="G425">
        <f t="shared" si="24"/>
        <v>0</v>
      </c>
      <c r="H425">
        <f t="shared" si="25"/>
        <v>0</v>
      </c>
      <c r="J425">
        <v>4189</v>
      </c>
      <c r="K425">
        <f t="shared" si="26"/>
        <v>0</v>
      </c>
      <c r="L425" s="200">
        <f t="shared" si="27"/>
        <v>0</v>
      </c>
      <c r="M425" t="s">
        <v>1393</v>
      </c>
    </row>
    <row r="426" spans="1:14" hidden="1" x14ac:dyDescent="0.15">
      <c r="A426" s="33" t="s">
        <v>353</v>
      </c>
      <c r="B426" s="33" t="s">
        <v>736</v>
      </c>
      <c r="C426" s="33">
        <v>96974</v>
      </c>
      <c r="D426" s="33" t="s">
        <v>339</v>
      </c>
      <c r="E426" s="33" t="s">
        <v>736</v>
      </c>
      <c r="F426" s="81">
        <v>96974</v>
      </c>
      <c r="G426">
        <f t="shared" si="24"/>
        <v>0</v>
      </c>
      <c r="H426">
        <f t="shared" si="25"/>
        <v>0</v>
      </c>
      <c r="J426">
        <v>96974</v>
      </c>
      <c r="K426">
        <f t="shared" si="26"/>
        <v>0</v>
      </c>
      <c r="L426" s="200">
        <f t="shared" si="27"/>
        <v>0</v>
      </c>
      <c r="M426" t="s">
        <v>1394</v>
      </c>
    </row>
    <row r="427" spans="1:14" hidden="1" x14ac:dyDescent="0.15">
      <c r="A427" s="33" t="s">
        <v>353</v>
      </c>
      <c r="B427" s="33" t="s">
        <v>737</v>
      </c>
      <c r="C427" s="33">
        <v>173</v>
      </c>
      <c r="D427" s="33" t="s">
        <v>339</v>
      </c>
      <c r="E427" s="33" t="s">
        <v>737</v>
      </c>
      <c r="F427" s="81">
        <v>173</v>
      </c>
      <c r="G427">
        <f t="shared" si="24"/>
        <v>0</v>
      </c>
      <c r="H427">
        <f t="shared" si="25"/>
        <v>0</v>
      </c>
      <c r="J427">
        <v>173</v>
      </c>
      <c r="K427">
        <f t="shared" si="26"/>
        <v>0</v>
      </c>
      <c r="L427" s="200">
        <f t="shared" si="27"/>
        <v>0</v>
      </c>
      <c r="M427" t="s">
        <v>1395</v>
      </c>
    </row>
    <row r="428" spans="1:14" hidden="1" x14ac:dyDescent="0.15">
      <c r="A428" s="33" t="s">
        <v>353</v>
      </c>
      <c r="B428" s="33" t="s">
        <v>738</v>
      </c>
      <c r="C428" s="33">
        <v>56</v>
      </c>
      <c r="D428" s="33" t="s">
        <v>339</v>
      </c>
      <c r="E428" s="33" t="s">
        <v>738</v>
      </c>
      <c r="F428" s="81">
        <v>56</v>
      </c>
      <c r="G428">
        <f t="shared" si="24"/>
        <v>0</v>
      </c>
      <c r="H428">
        <f t="shared" si="25"/>
        <v>0</v>
      </c>
      <c r="J428">
        <v>56</v>
      </c>
      <c r="K428">
        <f t="shared" si="26"/>
        <v>0</v>
      </c>
      <c r="L428" s="200">
        <f t="shared" si="27"/>
        <v>0</v>
      </c>
      <c r="M428" t="s">
        <v>1396</v>
      </c>
    </row>
    <row r="429" spans="1:14" hidden="1" x14ac:dyDescent="0.15">
      <c r="A429" s="33" t="s">
        <v>353</v>
      </c>
      <c r="B429" s="33" t="s">
        <v>739</v>
      </c>
      <c r="C429" s="33">
        <v>415</v>
      </c>
      <c r="D429" s="33" t="s">
        <v>339</v>
      </c>
      <c r="E429" s="33" t="s">
        <v>739</v>
      </c>
      <c r="F429" s="81">
        <v>415</v>
      </c>
      <c r="G429">
        <f t="shared" si="24"/>
        <v>0</v>
      </c>
      <c r="H429">
        <f t="shared" si="25"/>
        <v>0</v>
      </c>
      <c r="J429">
        <v>415</v>
      </c>
      <c r="K429">
        <f t="shared" si="26"/>
        <v>0</v>
      </c>
      <c r="L429" s="200">
        <f t="shared" si="27"/>
        <v>0</v>
      </c>
      <c r="M429" t="s">
        <v>1397</v>
      </c>
      <c r="N429" t="s">
        <v>1398</v>
      </c>
    </row>
    <row r="430" spans="1:14" hidden="1" x14ac:dyDescent="0.15">
      <c r="A430" s="33" t="s">
        <v>353</v>
      </c>
      <c r="B430" s="33" t="s">
        <v>740</v>
      </c>
      <c r="C430" s="33">
        <v>30</v>
      </c>
      <c r="D430" s="33" t="s">
        <v>339</v>
      </c>
      <c r="E430" s="33" t="s">
        <v>740</v>
      </c>
      <c r="F430" s="81">
        <v>30</v>
      </c>
      <c r="G430">
        <f t="shared" si="24"/>
        <v>0</v>
      </c>
      <c r="H430">
        <f t="shared" si="25"/>
        <v>0</v>
      </c>
      <c r="J430">
        <v>30</v>
      </c>
      <c r="K430">
        <f t="shared" si="26"/>
        <v>0</v>
      </c>
      <c r="L430" s="200">
        <f t="shared" si="27"/>
        <v>0</v>
      </c>
      <c r="M430" t="s">
        <v>1399</v>
      </c>
    </row>
    <row r="431" spans="1:14" hidden="1" x14ac:dyDescent="0.15">
      <c r="A431" s="33" t="s">
        <v>353</v>
      </c>
      <c r="B431" s="33" t="s">
        <v>741</v>
      </c>
      <c r="C431" s="33">
        <v>169</v>
      </c>
      <c r="D431" s="33" t="s">
        <v>339</v>
      </c>
      <c r="E431" s="33" t="s">
        <v>741</v>
      </c>
      <c r="F431" s="81">
        <v>169</v>
      </c>
      <c r="G431">
        <f t="shared" si="24"/>
        <v>0</v>
      </c>
      <c r="H431">
        <f t="shared" si="25"/>
        <v>0</v>
      </c>
      <c r="J431">
        <v>169</v>
      </c>
      <c r="K431">
        <f t="shared" si="26"/>
        <v>0</v>
      </c>
      <c r="L431" s="200">
        <f t="shared" si="27"/>
        <v>0</v>
      </c>
      <c r="M431" t="s">
        <v>1400</v>
      </c>
    </row>
    <row r="432" spans="1:14" hidden="1" x14ac:dyDescent="0.15">
      <c r="A432" s="33" t="s">
        <v>353</v>
      </c>
      <c r="B432" s="33" t="s">
        <v>742</v>
      </c>
      <c r="C432" s="33">
        <v>328</v>
      </c>
      <c r="D432" s="33" t="s">
        <v>339</v>
      </c>
      <c r="E432" s="33" t="s">
        <v>742</v>
      </c>
      <c r="F432" s="81">
        <v>328</v>
      </c>
      <c r="G432">
        <f t="shared" si="24"/>
        <v>0</v>
      </c>
      <c r="H432">
        <f t="shared" si="25"/>
        <v>0</v>
      </c>
      <c r="J432">
        <v>328</v>
      </c>
      <c r="K432">
        <f t="shared" si="26"/>
        <v>0</v>
      </c>
      <c r="L432" s="200">
        <f t="shared" si="27"/>
        <v>0</v>
      </c>
      <c r="M432" t="s">
        <v>1401</v>
      </c>
    </row>
    <row r="433" spans="1:14" hidden="1" x14ac:dyDescent="0.15">
      <c r="A433" s="33" t="s">
        <v>353</v>
      </c>
      <c r="B433" s="33" t="s">
        <v>743</v>
      </c>
      <c r="C433" s="33">
        <v>21</v>
      </c>
      <c r="D433" s="33" t="s">
        <v>339</v>
      </c>
      <c r="E433" s="33" t="s">
        <v>743</v>
      </c>
      <c r="F433" s="81">
        <v>21</v>
      </c>
      <c r="G433">
        <f t="shared" si="24"/>
        <v>0</v>
      </c>
      <c r="H433">
        <f t="shared" si="25"/>
        <v>0</v>
      </c>
      <c r="J433">
        <v>21</v>
      </c>
      <c r="K433">
        <f t="shared" si="26"/>
        <v>0</v>
      </c>
      <c r="L433" s="200">
        <f t="shared" si="27"/>
        <v>0</v>
      </c>
      <c r="M433" t="s">
        <v>1402</v>
      </c>
    </row>
    <row r="434" spans="1:14" hidden="1" x14ac:dyDescent="0.15">
      <c r="A434" s="33" t="s">
        <v>353</v>
      </c>
      <c r="B434" s="33" t="s">
        <v>745</v>
      </c>
      <c r="C434" s="33">
        <v>623</v>
      </c>
      <c r="D434" s="33" t="s">
        <v>339</v>
      </c>
      <c r="E434" s="33" t="s">
        <v>745</v>
      </c>
      <c r="F434" s="81">
        <v>623</v>
      </c>
      <c r="G434">
        <f t="shared" si="24"/>
        <v>0</v>
      </c>
      <c r="H434">
        <f t="shared" si="25"/>
        <v>0</v>
      </c>
      <c r="J434">
        <v>623</v>
      </c>
      <c r="K434">
        <f t="shared" si="26"/>
        <v>0</v>
      </c>
      <c r="L434" s="200">
        <f t="shared" si="27"/>
        <v>0</v>
      </c>
      <c r="M434" t="s">
        <v>1403</v>
      </c>
      <c r="N434" t="s">
        <v>1404</v>
      </c>
    </row>
    <row r="435" spans="1:14" hidden="1" x14ac:dyDescent="0.15">
      <c r="A435" s="33" t="s">
        <v>353</v>
      </c>
      <c r="B435" s="33" t="s">
        <v>746</v>
      </c>
      <c r="C435" s="33">
        <v>2</v>
      </c>
      <c r="D435" s="33" t="s">
        <v>339</v>
      </c>
      <c r="E435" s="33" t="s">
        <v>746</v>
      </c>
      <c r="F435" s="81">
        <v>2</v>
      </c>
      <c r="G435">
        <f t="shared" si="24"/>
        <v>0</v>
      </c>
      <c r="H435">
        <f t="shared" si="25"/>
        <v>0</v>
      </c>
      <c r="J435">
        <v>2</v>
      </c>
      <c r="K435">
        <f t="shared" si="26"/>
        <v>0</v>
      </c>
      <c r="L435" s="200">
        <f t="shared" si="27"/>
        <v>0</v>
      </c>
      <c r="M435" t="s">
        <v>1405</v>
      </c>
    </row>
    <row r="436" spans="1:14" hidden="1" x14ac:dyDescent="0.15">
      <c r="A436" s="33" t="s">
        <v>353</v>
      </c>
      <c r="B436" s="33" t="s">
        <v>747</v>
      </c>
      <c r="C436" s="33">
        <v>210</v>
      </c>
      <c r="D436" s="33" t="s">
        <v>339</v>
      </c>
      <c r="E436" s="33" t="s">
        <v>747</v>
      </c>
      <c r="F436" s="81">
        <v>252</v>
      </c>
      <c r="G436">
        <f t="shared" si="24"/>
        <v>-42</v>
      </c>
      <c r="H436">
        <f t="shared" si="25"/>
        <v>-42</v>
      </c>
      <c r="I436" s="33" t="s">
        <v>887</v>
      </c>
      <c r="J436">
        <v>252</v>
      </c>
      <c r="K436">
        <f t="shared" si="26"/>
        <v>0</v>
      </c>
      <c r="L436" s="200">
        <f t="shared" si="27"/>
        <v>0</v>
      </c>
      <c r="M436" t="s">
        <v>1406</v>
      </c>
    </row>
    <row r="437" spans="1:14" hidden="1" x14ac:dyDescent="0.15">
      <c r="A437" s="33" t="s">
        <v>353</v>
      </c>
      <c r="B437" s="33" t="s">
        <v>748</v>
      </c>
      <c r="C437" s="33">
        <v>32</v>
      </c>
      <c r="D437" s="33" t="s">
        <v>339</v>
      </c>
      <c r="E437" s="33" t="s">
        <v>748</v>
      </c>
      <c r="F437" s="81">
        <v>32</v>
      </c>
      <c r="G437">
        <f t="shared" si="24"/>
        <v>0</v>
      </c>
      <c r="H437">
        <f t="shared" si="25"/>
        <v>0</v>
      </c>
      <c r="I437" s="33" t="s">
        <v>887</v>
      </c>
      <c r="J437">
        <v>32</v>
      </c>
      <c r="K437">
        <f t="shared" si="26"/>
        <v>0</v>
      </c>
      <c r="L437" s="200">
        <f t="shared" si="27"/>
        <v>0</v>
      </c>
      <c r="M437" t="s">
        <v>1407</v>
      </c>
    </row>
    <row r="438" spans="1:14" hidden="1" x14ac:dyDescent="0.15">
      <c r="A438" s="33" t="s">
        <v>353</v>
      </c>
      <c r="B438" s="33" t="s">
        <v>749</v>
      </c>
      <c r="C438" s="33">
        <v>242110</v>
      </c>
      <c r="D438" s="33" t="s">
        <v>339</v>
      </c>
      <c r="E438" s="33" t="s">
        <v>749</v>
      </c>
      <c r="F438" s="81">
        <v>242110</v>
      </c>
      <c r="G438">
        <f t="shared" si="24"/>
        <v>0</v>
      </c>
      <c r="H438">
        <f t="shared" si="25"/>
        <v>0</v>
      </c>
      <c r="J438">
        <v>242110</v>
      </c>
      <c r="K438">
        <f t="shared" si="26"/>
        <v>0</v>
      </c>
      <c r="L438" s="200">
        <f t="shared" si="27"/>
        <v>0</v>
      </c>
      <c r="M438" t="s">
        <v>1408</v>
      </c>
    </row>
    <row r="439" spans="1:14" hidden="1" x14ac:dyDescent="0.15">
      <c r="A439" s="33" t="s">
        <v>353</v>
      </c>
      <c r="B439" s="33" t="s">
        <v>750</v>
      </c>
      <c r="C439" s="33">
        <v>242110</v>
      </c>
      <c r="D439" s="33" t="s">
        <v>339</v>
      </c>
      <c r="E439" s="33" t="s">
        <v>750</v>
      </c>
      <c r="F439" s="81">
        <v>242110</v>
      </c>
      <c r="G439">
        <f t="shared" si="24"/>
        <v>0</v>
      </c>
      <c r="H439">
        <f t="shared" si="25"/>
        <v>0</v>
      </c>
      <c r="J439">
        <v>242110</v>
      </c>
      <c r="K439">
        <f t="shared" si="26"/>
        <v>0</v>
      </c>
      <c r="L439" s="200">
        <f t="shared" si="27"/>
        <v>0</v>
      </c>
      <c r="M439" t="s">
        <v>1409</v>
      </c>
    </row>
    <row r="440" spans="1:14" hidden="1" x14ac:dyDescent="0.15">
      <c r="A440" s="33" t="s">
        <v>353</v>
      </c>
      <c r="B440" s="33" t="s">
        <v>751</v>
      </c>
      <c r="C440" s="33">
        <v>2</v>
      </c>
      <c r="D440" s="33" t="s">
        <v>339</v>
      </c>
      <c r="E440" s="33" t="s">
        <v>751</v>
      </c>
      <c r="F440" s="81">
        <v>2</v>
      </c>
      <c r="G440">
        <f t="shared" si="24"/>
        <v>0</v>
      </c>
      <c r="H440">
        <f t="shared" si="25"/>
        <v>0</v>
      </c>
      <c r="J440">
        <v>2</v>
      </c>
      <c r="K440">
        <f t="shared" si="26"/>
        <v>0</v>
      </c>
      <c r="L440" s="200">
        <f t="shared" si="27"/>
        <v>0</v>
      </c>
      <c r="M440" t="s">
        <v>1410</v>
      </c>
      <c r="N440" t="s">
        <v>1411</v>
      </c>
    </row>
    <row r="441" spans="1:14" hidden="1" x14ac:dyDescent="0.15">
      <c r="A441" s="33" t="s">
        <v>353</v>
      </c>
      <c r="B441" s="33" t="s">
        <v>752</v>
      </c>
      <c r="C441" s="33">
        <v>2</v>
      </c>
      <c r="D441" s="33" t="s">
        <v>339</v>
      </c>
      <c r="E441" s="33" t="s">
        <v>752</v>
      </c>
      <c r="F441" s="81">
        <v>2</v>
      </c>
      <c r="G441">
        <f t="shared" si="24"/>
        <v>0</v>
      </c>
      <c r="H441">
        <f t="shared" si="25"/>
        <v>0</v>
      </c>
      <c r="J441">
        <v>2</v>
      </c>
      <c r="K441">
        <f t="shared" si="26"/>
        <v>0</v>
      </c>
      <c r="L441" s="200">
        <f t="shared" si="27"/>
        <v>0</v>
      </c>
      <c r="M441" t="s">
        <v>1412</v>
      </c>
      <c r="N441" t="s">
        <v>1413</v>
      </c>
    </row>
    <row r="442" spans="1:14" hidden="1" x14ac:dyDescent="0.15">
      <c r="A442" s="33" t="s">
        <v>353</v>
      </c>
      <c r="B442" s="33" t="s">
        <v>753</v>
      </c>
      <c r="C442" s="33">
        <v>59470</v>
      </c>
      <c r="D442" s="33" t="s">
        <v>339</v>
      </c>
      <c r="E442" s="33" t="s">
        <v>753</v>
      </c>
      <c r="F442" s="81">
        <v>59470</v>
      </c>
      <c r="G442">
        <f t="shared" si="24"/>
        <v>0</v>
      </c>
      <c r="H442">
        <f t="shared" si="25"/>
        <v>0</v>
      </c>
      <c r="J442">
        <v>59470</v>
      </c>
      <c r="K442">
        <f t="shared" si="26"/>
        <v>0</v>
      </c>
      <c r="L442" s="200">
        <f t="shared" si="27"/>
        <v>0</v>
      </c>
      <c r="M442" t="s">
        <v>1414</v>
      </c>
      <c r="N442" t="s">
        <v>1415</v>
      </c>
    </row>
    <row r="443" spans="1:14" hidden="1" x14ac:dyDescent="0.15">
      <c r="A443" s="33" t="s">
        <v>353</v>
      </c>
      <c r="B443" s="33" t="s">
        <v>754</v>
      </c>
      <c r="C443" s="33">
        <v>257651</v>
      </c>
      <c r="D443" s="33" t="s">
        <v>339</v>
      </c>
      <c r="E443" s="33" t="s">
        <v>754</v>
      </c>
      <c r="F443" s="81">
        <v>257651</v>
      </c>
      <c r="G443">
        <f t="shared" si="24"/>
        <v>0</v>
      </c>
      <c r="H443">
        <f t="shared" si="25"/>
        <v>0</v>
      </c>
      <c r="J443">
        <v>257651</v>
      </c>
      <c r="K443">
        <f t="shared" si="26"/>
        <v>0</v>
      </c>
      <c r="L443" s="200">
        <f t="shared" si="27"/>
        <v>0</v>
      </c>
      <c r="M443" t="s">
        <v>1416</v>
      </c>
      <c r="N443" t="s">
        <v>1417</v>
      </c>
    </row>
    <row r="444" spans="1:14" hidden="1" x14ac:dyDescent="0.15">
      <c r="A444" s="33" t="s">
        <v>353</v>
      </c>
      <c r="B444" s="33" t="s">
        <v>755</v>
      </c>
      <c r="C444" s="33">
        <v>59339</v>
      </c>
      <c r="D444" s="33" t="s">
        <v>339</v>
      </c>
      <c r="E444" s="33" t="s">
        <v>755</v>
      </c>
      <c r="F444" s="81">
        <v>59339</v>
      </c>
      <c r="G444">
        <f t="shared" si="24"/>
        <v>0</v>
      </c>
      <c r="H444">
        <f t="shared" si="25"/>
        <v>0</v>
      </c>
      <c r="J444">
        <v>59339</v>
      </c>
      <c r="K444">
        <f t="shared" si="26"/>
        <v>0</v>
      </c>
      <c r="L444" s="200">
        <f t="shared" si="27"/>
        <v>0</v>
      </c>
      <c r="M444" t="s">
        <v>1418</v>
      </c>
    </row>
    <row r="445" spans="1:14" hidden="1" x14ac:dyDescent="0.15">
      <c r="A445" s="33" t="s">
        <v>353</v>
      </c>
      <c r="B445" s="33" t="s">
        <v>756</v>
      </c>
      <c r="C445" s="33">
        <v>1</v>
      </c>
      <c r="D445" s="33" t="s">
        <v>339</v>
      </c>
      <c r="E445" s="33" t="s">
        <v>756</v>
      </c>
      <c r="F445" s="81">
        <v>1</v>
      </c>
      <c r="G445">
        <f t="shared" si="24"/>
        <v>0</v>
      </c>
      <c r="H445">
        <f t="shared" si="25"/>
        <v>0</v>
      </c>
      <c r="J445">
        <v>1</v>
      </c>
      <c r="K445">
        <f t="shared" si="26"/>
        <v>0</v>
      </c>
      <c r="L445" s="200">
        <f t="shared" si="27"/>
        <v>0</v>
      </c>
      <c r="M445" t="s">
        <v>1419</v>
      </c>
    </row>
    <row r="446" spans="1:14" hidden="1" x14ac:dyDescent="0.15">
      <c r="A446" s="33" t="s">
        <v>353</v>
      </c>
      <c r="B446" s="33" t="s">
        <v>757</v>
      </c>
      <c r="C446" s="33">
        <v>4</v>
      </c>
      <c r="D446" s="33" t="s">
        <v>339</v>
      </c>
      <c r="E446" s="33" t="s">
        <v>757</v>
      </c>
      <c r="F446" s="81">
        <v>4</v>
      </c>
      <c r="G446">
        <f t="shared" si="24"/>
        <v>0</v>
      </c>
      <c r="H446">
        <f t="shared" si="25"/>
        <v>0</v>
      </c>
      <c r="J446">
        <v>4</v>
      </c>
      <c r="K446">
        <f t="shared" si="26"/>
        <v>0</v>
      </c>
      <c r="L446" s="200">
        <f t="shared" si="27"/>
        <v>0</v>
      </c>
      <c r="M446" t="s">
        <v>1420</v>
      </c>
    </row>
    <row r="447" spans="1:14" hidden="1" x14ac:dyDescent="0.15">
      <c r="A447" s="33" t="s">
        <v>353</v>
      </c>
      <c r="B447" s="33" t="s">
        <v>758</v>
      </c>
      <c r="C447" s="33">
        <v>10837</v>
      </c>
      <c r="D447" s="33" t="s">
        <v>339</v>
      </c>
      <c r="E447" s="33" t="s">
        <v>758</v>
      </c>
      <c r="F447" s="81">
        <v>10837</v>
      </c>
      <c r="G447">
        <f t="shared" si="24"/>
        <v>0</v>
      </c>
      <c r="H447">
        <f t="shared" si="25"/>
        <v>0</v>
      </c>
      <c r="J447">
        <v>10837</v>
      </c>
      <c r="K447">
        <f t="shared" si="26"/>
        <v>0</v>
      </c>
      <c r="L447" s="200">
        <f t="shared" si="27"/>
        <v>0</v>
      </c>
      <c r="M447" t="s">
        <v>1421</v>
      </c>
    </row>
    <row r="448" spans="1:14" hidden="1" x14ac:dyDescent="0.15">
      <c r="A448" s="33" t="s">
        <v>353</v>
      </c>
      <c r="B448" s="33" t="s">
        <v>759</v>
      </c>
      <c r="C448" s="33">
        <v>18471</v>
      </c>
      <c r="D448" s="33" t="s">
        <v>339</v>
      </c>
      <c r="E448" s="33" t="s">
        <v>759</v>
      </c>
      <c r="F448" s="81">
        <v>18471</v>
      </c>
      <c r="G448">
        <f t="shared" si="24"/>
        <v>0</v>
      </c>
      <c r="H448">
        <f t="shared" si="25"/>
        <v>0</v>
      </c>
      <c r="J448">
        <v>18471</v>
      </c>
      <c r="K448">
        <f t="shared" si="26"/>
        <v>0</v>
      </c>
      <c r="L448" s="200">
        <f t="shared" si="27"/>
        <v>0</v>
      </c>
      <c r="M448" t="s">
        <v>1422</v>
      </c>
      <c r="N448" t="s">
        <v>1423</v>
      </c>
    </row>
    <row r="449" spans="1:14" hidden="1" x14ac:dyDescent="0.15">
      <c r="A449" s="33" t="s">
        <v>353</v>
      </c>
      <c r="B449" s="33" t="s">
        <v>760</v>
      </c>
      <c r="C449" s="33">
        <v>76</v>
      </c>
      <c r="D449" s="33" t="s">
        <v>339</v>
      </c>
      <c r="E449" s="33" t="s">
        <v>760</v>
      </c>
      <c r="F449" s="81">
        <v>76</v>
      </c>
      <c r="G449">
        <f t="shared" si="24"/>
        <v>0</v>
      </c>
      <c r="H449">
        <f t="shared" si="25"/>
        <v>0</v>
      </c>
      <c r="J449">
        <v>76</v>
      </c>
      <c r="K449">
        <f t="shared" si="26"/>
        <v>0</v>
      </c>
      <c r="L449" s="200">
        <f t="shared" si="27"/>
        <v>0</v>
      </c>
      <c r="M449" t="s">
        <v>1424</v>
      </c>
      <c r="N449" t="s">
        <v>1425</v>
      </c>
    </row>
    <row r="450" spans="1:14" hidden="1" x14ac:dyDescent="0.15">
      <c r="A450" s="33" t="s">
        <v>353</v>
      </c>
      <c r="B450" s="33" t="s">
        <v>761</v>
      </c>
      <c r="C450" s="33">
        <v>82</v>
      </c>
      <c r="D450" s="33" t="s">
        <v>339</v>
      </c>
      <c r="E450" s="33" t="s">
        <v>761</v>
      </c>
      <c r="F450" s="81">
        <v>82</v>
      </c>
      <c r="G450">
        <f t="shared" si="24"/>
        <v>0</v>
      </c>
      <c r="H450">
        <f t="shared" si="25"/>
        <v>0</v>
      </c>
      <c r="J450">
        <v>82</v>
      </c>
      <c r="K450">
        <f t="shared" si="26"/>
        <v>0</v>
      </c>
      <c r="L450" s="200">
        <f t="shared" si="27"/>
        <v>0</v>
      </c>
      <c r="M450" t="s">
        <v>1426</v>
      </c>
      <c r="N450" t="s">
        <v>1427</v>
      </c>
    </row>
    <row r="451" spans="1:14" hidden="1" x14ac:dyDescent="0.15">
      <c r="A451" s="33" t="s">
        <v>353</v>
      </c>
      <c r="B451" s="33" t="s">
        <v>762</v>
      </c>
      <c r="C451" s="33">
        <v>1</v>
      </c>
      <c r="D451" s="33" t="s">
        <v>339</v>
      </c>
      <c r="E451" s="33" t="s">
        <v>762</v>
      </c>
      <c r="F451" s="81">
        <v>1</v>
      </c>
      <c r="G451">
        <f t="shared" si="24"/>
        <v>0</v>
      </c>
      <c r="H451">
        <f t="shared" si="25"/>
        <v>0</v>
      </c>
      <c r="J451">
        <v>1</v>
      </c>
      <c r="K451">
        <f t="shared" si="26"/>
        <v>0</v>
      </c>
      <c r="L451" s="200">
        <f t="shared" si="27"/>
        <v>0</v>
      </c>
      <c r="M451" t="s">
        <v>1428</v>
      </c>
    </row>
    <row r="452" spans="1:14" hidden="1" x14ac:dyDescent="0.15">
      <c r="A452" s="33" t="s">
        <v>353</v>
      </c>
      <c r="B452" s="33" t="s">
        <v>763</v>
      </c>
      <c r="C452" s="33">
        <v>42924</v>
      </c>
      <c r="D452" s="33" t="s">
        <v>339</v>
      </c>
      <c r="E452" s="33" t="s">
        <v>763</v>
      </c>
      <c r="F452" s="81">
        <v>42924</v>
      </c>
      <c r="G452">
        <f t="shared" si="24"/>
        <v>0</v>
      </c>
      <c r="H452">
        <f t="shared" si="25"/>
        <v>0</v>
      </c>
      <c r="J452">
        <v>42924</v>
      </c>
      <c r="K452">
        <f t="shared" si="26"/>
        <v>0</v>
      </c>
      <c r="L452" s="200">
        <f t="shared" si="27"/>
        <v>0</v>
      </c>
      <c r="M452" t="s">
        <v>1429</v>
      </c>
      <c r="N452" t="s">
        <v>1430</v>
      </c>
    </row>
    <row r="453" spans="1:14" hidden="1" x14ac:dyDescent="0.15">
      <c r="A453" s="33" t="s">
        <v>353</v>
      </c>
      <c r="B453" s="33" t="s">
        <v>764</v>
      </c>
      <c r="C453" s="33">
        <v>5</v>
      </c>
      <c r="D453" s="33" t="s">
        <v>339</v>
      </c>
      <c r="E453" s="33" t="s">
        <v>764</v>
      </c>
      <c r="F453" s="81">
        <v>5</v>
      </c>
      <c r="G453">
        <f t="shared" si="24"/>
        <v>0</v>
      </c>
      <c r="H453">
        <f t="shared" si="25"/>
        <v>0</v>
      </c>
      <c r="J453">
        <v>5</v>
      </c>
      <c r="K453">
        <f t="shared" si="26"/>
        <v>0</v>
      </c>
      <c r="L453" s="200">
        <f t="shared" si="27"/>
        <v>0</v>
      </c>
      <c r="M453" t="s">
        <v>1431</v>
      </c>
    </row>
    <row r="454" spans="1:14" hidden="1" x14ac:dyDescent="0.15">
      <c r="A454" s="33" t="s">
        <v>353</v>
      </c>
      <c r="B454" s="33" t="s">
        <v>765</v>
      </c>
      <c r="C454" s="33">
        <v>17529</v>
      </c>
      <c r="D454" s="33" t="s">
        <v>339</v>
      </c>
      <c r="E454" s="33" t="s">
        <v>765</v>
      </c>
      <c r="F454" s="81">
        <v>17529</v>
      </c>
      <c r="G454">
        <f t="shared" si="24"/>
        <v>0</v>
      </c>
      <c r="H454">
        <f t="shared" si="25"/>
        <v>0</v>
      </c>
      <c r="J454">
        <v>17529</v>
      </c>
      <c r="K454">
        <f t="shared" si="26"/>
        <v>0</v>
      </c>
      <c r="L454" s="200">
        <f t="shared" si="27"/>
        <v>0</v>
      </c>
      <c r="M454" t="s">
        <v>1432</v>
      </c>
      <c r="N454" t="s">
        <v>1433</v>
      </c>
    </row>
    <row r="455" spans="1:14" hidden="1" x14ac:dyDescent="0.15">
      <c r="A455" s="33" t="s">
        <v>353</v>
      </c>
      <c r="B455" s="33" t="s">
        <v>766</v>
      </c>
      <c r="C455" s="33">
        <v>25</v>
      </c>
      <c r="D455" s="33" t="s">
        <v>339</v>
      </c>
      <c r="E455" s="33" t="s">
        <v>766</v>
      </c>
      <c r="F455" s="81">
        <v>25</v>
      </c>
      <c r="G455">
        <f t="shared" si="24"/>
        <v>0</v>
      </c>
      <c r="H455">
        <f t="shared" si="25"/>
        <v>0</v>
      </c>
      <c r="J455">
        <v>25</v>
      </c>
      <c r="K455">
        <f t="shared" si="26"/>
        <v>0</v>
      </c>
      <c r="L455" s="200">
        <f t="shared" si="27"/>
        <v>0</v>
      </c>
      <c r="M455" t="s">
        <v>1434</v>
      </c>
      <c r="N455" t="s">
        <v>1435</v>
      </c>
    </row>
    <row r="456" spans="1:14" hidden="1" x14ac:dyDescent="0.15">
      <c r="A456" s="33" t="s">
        <v>353</v>
      </c>
      <c r="B456" s="33" t="s">
        <v>767</v>
      </c>
      <c r="C456" s="33">
        <v>81</v>
      </c>
      <c r="D456" s="33" t="s">
        <v>339</v>
      </c>
      <c r="E456" s="33" t="s">
        <v>767</v>
      </c>
      <c r="F456" s="81">
        <v>81</v>
      </c>
      <c r="G456">
        <f t="shared" si="24"/>
        <v>0</v>
      </c>
      <c r="H456">
        <f t="shared" si="25"/>
        <v>0</v>
      </c>
      <c r="J456">
        <v>81</v>
      </c>
      <c r="K456">
        <f t="shared" si="26"/>
        <v>0</v>
      </c>
      <c r="L456" s="200">
        <f t="shared" si="27"/>
        <v>0</v>
      </c>
      <c r="M456" t="s">
        <v>1436</v>
      </c>
    </row>
    <row r="457" spans="1:14" hidden="1" x14ac:dyDescent="0.15">
      <c r="A457" s="33" t="s">
        <v>353</v>
      </c>
      <c r="B457" s="33" t="s">
        <v>768</v>
      </c>
      <c r="C457" s="33">
        <v>78</v>
      </c>
      <c r="D457" s="33" t="s">
        <v>339</v>
      </c>
      <c r="E457" s="33" t="s">
        <v>768</v>
      </c>
      <c r="F457" s="81">
        <v>78</v>
      </c>
      <c r="G457">
        <f t="shared" si="24"/>
        <v>0</v>
      </c>
      <c r="H457">
        <f t="shared" si="25"/>
        <v>0</v>
      </c>
      <c r="J457">
        <v>78</v>
      </c>
      <c r="K457">
        <f t="shared" si="26"/>
        <v>0</v>
      </c>
      <c r="L457" s="200">
        <f t="shared" si="27"/>
        <v>0</v>
      </c>
      <c r="M457" t="s">
        <v>1437</v>
      </c>
      <c r="N457" t="s">
        <v>1438</v>
      </c>
    </row>
    <row r="458" spans="1:14" hidden="1" x14ac:dyDescent="0.15">
      <c r="A458" s="33" t="s">
        <v>353</v>
      </c>
      <c r="B458" s="33" t="s">
        <v>769</v>
      </c>
      <c r="C458" s="33">
        <v>2</v>
      </c>
      <c r="D458" s="33" t="s">
        <v>339</v>
      </c>
      <c r="E458" s="33" t="s">
        <v>769</v>
      </c>
      <c r="F458" s="81">
        <v>2</v>
      </c>
      <c r="G458">
        <f t="shared" si="24"/>
        <v>0</v>
      </c>
      <c r="H458">
        <f t="shared" si="25"/>
        <v>0</v>
      </c>
      <c r="J458">
        <v>2</v>
      </c>
      <c r="K458">
        <f t="shared" si="26"/>
        <v>0</v>
      </c>
      <c r="L458" s="200">
        <f t="shared" si="27"/>
        <v>0</v>
      </c>
      <c r="M458" t="s">
        <v>1439</v>
      </c>
      <c r="N458" t="s">
        <v>1440</v>
      </c>
    </row>
    <row r="459" spans="1:14" x14ac:dyDescent="0.15">
      <c r="A459" s="33" t="s">
        <v>353</v>
      </c>
      <c r="B459" s="33" t="s">
        <v>770</v>
      </c>
      <c r="C459" s="33">
        <v>41120</v>
      </c>
      <c r="D459" s="33" t="s">
        <v>339</v>
      </c>
      <c r="E459" s="33" t="s">
        <v>770</v>
      </c>
      <c r="F459" s="81">
        <v>41120</v>
      </c>
      <c r="G459">
        <f t="shared" si="24"/>
        <v>0</v>
      </c>
      <c r="H459">
        <f t="shared" si="25"/>
        <v>0</v>
      </c>
      <c r="J459">
        <v>0</v>
      </c>
      <c r="K459">
        <f t="shared" si="26"/>
        <v>-41120</v>
      </c>
      <c r="L459" s="200">
        <f t="shared" si="27"/>
        <v>2</v>
      </c>
      <c r="M459" t="s">
        <v>1441</v>
      </c>
    </row>
    <row r="460" spans="1:14" hidden="1" x14ac:dyDescent="0.15">
      <c r="A460" s="33" t="s">
        <v>353</v>
      </c>
      <c r="B460" s="33" t="s">
        <v>771</v>
      </c>
      <c r="C460" s="33">
        <v>395925</v>
      </c>
      <c r="D460" s="33" t="s">
        <v>339</v>
      </c>
      <c r="E460" s="33" t="s">
        <v>771</v>
      </c>
      <c r="F460" s="81">
        <v>395925</v>
      </c>
      <c r="G460">
        <f t="shared" si="24"/>
        <v>0</v>
      </c>
      <c r="H460">
        <f t="shared" si="25"/>
        <v>0</v>
      </c>
      <c r="J460">
        <v>395925</v>
      </c>
      <c r="K460">
        <f t="shared" si="26"/>
        <v>0</v>
      </c>
      <c r="L460" s="200">
        <f t="shared" si="27"/>
        <v>0</v>
      </c>
      <c r="M460" t="s">
        <v>1442</v>
      </c>
      <c r="N460" t="s">
        <v>1443</v>
      </c>
    </row>
    <row r="461" spans="1:14" hidden="1" x14ac:dyDescent="0.15">
      <c r="A461" s="33" t="s">
        <v>353</v>
      </c>
      <c r="B461" s="33" t="s">
        <v>772</v>
      </c>
      <c r="C461" s="33">
        <v>5</v>
      </c>
      <c r="D461" s="33" t="s">
        <v>339</v>
      </c>
      <c r="E461" s="33" t="s">
        <v>772</v>
      </c>
      <c r="F461" s="81">
        <v>5</v>
      </c>
      <c r="G461">
        <f t="shared" si="24"/>
        <v>0</v>
      </c>
      <c r="H461">
        <f t="shared" si="25"/>
        <v>0</v>
      </c>
      <c r="J461">
        <v>5</v>
      </c>
      <c r="K461">
        <f t="shared" si="26"/>
        <v>0</v>
      </c>
      <c r="L461" s="200">
        <f t="shared" si="27"/>
        <v>0</v>
      </c>
      <c r="M461" t="s">
        <v>1444</v>
      </c>
    </row>
    <row r="462" spans="1:14" hidden="1" x14ac:dyDescent="0.15">
      <c r="A462" s="33" t="s">
        <v>353</v>
      </c>
      <c r="B462" s="33" t="s">
        <v>773</v>
      </c>
      <c r="C462" s="33">
        <v>2</v>
      </c>
      <c r="D462" s="33" t="s">
        <v>339</v>
      </c>
      <c r="E462" s="33" t="s">
        <v>773</v>
      </c>
      <c r="F462" s="81">
        <v>2</v>
      </c>
      <c r="G462">
        <f t="shared" si="24"/>
        <v>0</v>
      </c>
      <c r="H462">
        <f t="shared" si="25"/>
        <v>0</v>
      </c>
      <c r="J462">
        <v>2</v>
      </c>
      <c r="K462">
        <f t="shared" si="26"/>
        <v>0</v>
      </c>
      <c r="L462" s="200">
        <f t="shared" si="27"/>
        <v>0</v>
      </c>
      <c r="M462" t="s">
        <v>1445</v>
      </c>
    </row>
    <row r="463" spans="1:14" hidden="1" x14ac:dyDescent="0.15">
      <c r="A463" s="33" t="s">
        <v>353</v>
      </c>
      <c r="B463" s="33" t="s">
        <v>774</v>
      </c>
      <c r="C463" s="33">
        <v>2</v>
      </c>
      <c r="D463" s="33" t="s">
        <v>339</v>
      </c>
      <c r="E463" s="33" t="s">
        <v>774</v>
      </c>
      <c r="F463" s="81">
        <v>2</v>
      </c>
      <c r="G463">
        <f t="shared" si="24"/>
        <v>0</v>
      </c>
      <c r="H463">
        <f t="shared" si="25"/>
        <v>0</v>
      </c>
      <c r="J463">
        <v>2</v>
      </c>
      <c r="K463">
        <f t="shared" si="26"/>
        <v>0</v>
      </c>
      <c r="L463" s="200">
        <f t="shared" si="27"/>
        <v>0</v>
      </c>
      <c r="M463" t="s">
        <v>1446</v>
      </c>
      <c r="N463" t="s">
        <v>1447</v>
      </c>
    </row>
    <row r="464" spans="1:14" hidden="1" x14ac:dyDescent="0.15">
      <c r="A464" s="33" t="s">
        <v>353</v>
      </c>
      <c r="B464" s="33" t="s">
        <v>775</v>
      </c>
      <c r="C464" s="33">
        <v>2</v>
      </c>
      <c r="D464" s="33" t="s">
        <v>339</v>
      </c>
      <c r="E464" s="33" t="s">
        <v>775</v>
      </c>
      <c r="F464" s="81">
        <v>2</v>
      </c>
      <c r="G464">
        <f t="shared" si="24"/>
        <v>0</v>
      </c>
      <c r="H464">
        <f t="shared" si="25"/>
        <v>0</v>
      </c>
      <c r="J464">
        <v>2</v>
      </c>
      <c r="K464">
        <f t="shared" si="26"/>
        <v>0</v>
      </c>
      <c r="L464" s="200">
        <f t="shared" si="27"/>
        <v>0</v>
      </c>
      <c r="M464" t="s">
        <v>1448</v>
      </c>
      <c r="N464" t="s">
        <v>1447</v>
      </c>
    </row>
    <row r="465" spans="1:14" hidden="1" x14ac:dyDescent="0.15">
      <c r="A465" s="33" t="s">
        <v>353</v>
      </c>
      <c r="B465" s="33" t="s">
        <v>776</v>
      </c>
      <c r="C465" s="33">
        <v>82</v>
      </c>
      <c r="D465" s="33" t="s">
        <v>339</v>
      </c>
      <c r="E465" s="33" t="s">
        <v>776</v>
      </c>
      <c r="F465" s="81">
        <v>82</v>
      </c>
      <c r="G465">
        <f t="shared" ref="G465:G528" si="28">C465-F465</f>
        <v>0</v>
      </c>
      <c r="H465">
        <f t="shared" ref="H465:H528" si="29">IF(OR(C465=0, F465=0), 0, C465-F465)</f>
        <v>0</v>
      </c>
      <c r="J465">
        <v>82</v>
      </c>
      <c r="K465">
        <f t="shared" ref="K465:K528" si="30">J465-F465</f>
        <v>0</v>
      </c>
      <c r="L465" s="200">
        <f t="shared" ref="L465:L528" si="31">IFERROR(ABS(F465 - J465) / ((F465 + J465) / 2),0)</f>
        <v>0</v>
      </c>
      <c r="M465" t="s">
        <v>1449</v>
      </c>
      <c r="N465" t="s">
        <v>1450</v>
      </c>
    </row>
    <row r="466" spans="1:14" hidden="1" x14ac:dyDescent="0.15">
      <c r="A466" s="33" t="s">
        <v>353</v>
      </c>
      <c r="B466" s="33" t="s">
        <v>777</v>
      </c>
      <c r="C466" s="33">
        <v>3</v>
      </c>
      <c r="D466" s="33" t="s">
        <v>339</v>
      </c>
      <c r="E466" s="33" t="s">
        <v>777</v>
      </c>
      <c r="F466" s="81">
        <v>3</v>
      </c>
      <c r="G466">
        <f t="shared" si="28"/>
        <v>0</v>
      </c>
      <c r="H466">
        <f t="shared" si="29"/>
        <v>0</v>
      </c>
      <c r="J466">
        <v>3</v>
      </c>
      <c r="K466">
        <f t="shared" si="30"/>
        <v>0</v>
      </c>
      <c r="L466" s="200">
        <f t="shared" si="31"/>
        <v>0</v>
      </c>
      <c r="M466" t="s">
        <v>1451</v>
      </c>
    </row>
    <row r="467" spans="1:14" hidden="1" x14ac:dyDescent="0.15">
      <c r="A467" s="33" t="s">
        <v>353</v>
      </c>
      <c r="B467" s="33" t="s">
        <v>778</v>
      </c>
      <c r="C467" s="33">
        <v>10</v>
      </c>
      <c r="D467" s="33" t="s">
        <v>339</v>
      </c>
      <c r="E467" s="33" t="s">
        <v>778</v>
      </c>
      <c r="F467" s="81">
        <v>10</v>
      </c>
      <c r="G467">
        <f t="shared" si="28"/>
        <v>0</v>
      </c>
      <c r="H467">
        <f t="shared" si="29"/>
        <v>0</v>
      </c>
      <c r="J467">
        <v>10</v>
      </c>
      <c r="K467">
        <f t="shared" si="30"/>
        <v>0</v>
      </c>
      <c r="L467" s="200">
        <f t="shared" si="31"/>
        <v>0</v>
      </c>
      <c r="M467" t="s">
        <v>1452</v>
      </c>
      <c r="N467" t="s">
        <v>1453</v>
      </c>
    </row>
    <row r="468" spans="1:14" hidden="1" x14ac:dyDescent="0.15">
      <c r="A468" s="33" t="s">
        <v>353</v>
      </c>
      <c r="B468" s="33" t="s">
        <v>779</v>
      </c>
      <c r="C468" s="33">
        <v>17601</v>
      </c>
      <c r="D468" s="33" t="s">
        <v>339</v>
      </c>
      <c r="E468" s="33" t="s">
        <v>779</v>
      </c>
      <c r="F468" s="81">
        <v>17601</v>
      </c>
      <c r="G468">
        <f t="shared" si="28"/>
        <v>0</v>
      </c>
      <c r="H468">
        <f t="shared" si="29"/>
        <v>0</v>
      </c>
      <c r="J468">
        <v>17601</v>
      </c>
      <c r="K468">
        <f t="shared" si="30"/>
        <v>0</v>
      </c>
      <c r="L468" s="200">
        <f t="shared" si="31"/>
        <v>0</v>
      </c>
      <c r="M468" t="s">
        <v>1454</v>
      </c>
    </row>
    <row r="469" spans="1:14" hidden="1" x14ac:dyDescent="0.15">
      <c r="A469" s="33" t="s">
        <v>353</v>
      </c>
      <c r="B469" s="33" t="s">
        <v>780</v>
      </c>
      <c r="C469" s="33">
        <v>1</v>
      </c>
      <c r="D469" s="33" t="s">
        <v>339</v>
      </c>
      <c r="E469" s="33" t="s">
        <v>780</v>
      </c>
      <c r="F469" s="81">
        <v>1</v>
      </c>
      <c r="G469">
        <f t="shared" si="28"/>
        <v>0</v>
      </c>
      <c r="H469">
        <f t="shared" si="29"/>
        <v>0</v>
      </c>
      <c r="J469">
        <v>1</v>
      </c>
      <c r="K469">
        <f t="shared" si="30"/>
        <v>0</v>
      </c>
      <c r="L469" s="200">
        <f t="shared" si="31"/>
        <v>0</v>
      </c>
      <c r="M469" t="s">
        <v>1455</v>
      </c>
      <c r="N469" t="s">
        <v>1456</v>
      </c>
    </row>
    <row r="470" spans="1:14" hidden="1" x14ac:dyDescent="0.15">
      <c r="A470" s="33" t="s">
        <v>353</v>
      </c>
      <c r="B470" s="33" t="s">
        <v>781</v>
      </c>
      <c r="C470" s="33">
        <v>26</v>
      </c>
      <c r="D470" s="33" t="s">
        <v>339</v>
      </c>
      <c r="E470" s="33" t="s">
        <v>781</v>
      </c>
      <c r="F470" s="81">
        <v>26</v>
      </c>
      <c r="G470">
        <f t="shared" si="28"/>
        <v>0</v>
      </c>
      <c r="H470">
        <f t="shared" si="29"/>
        <v>0</v>
      </c>
      <c r="J470">
        <v>26</v>
      </c>
      <c r="K470">
        <f t="shared" si="30"/>
        <v>0</v>
      </c>
      <c r="L470" s="200">
        <f t="shared" si="31"/>
        <v>0</v>
      </c>
      <c r="M470" t="s">
        <v>1457</v>
      </c>
    </row>
    <row r="471" spans="1:14" hidden="1" x14ac:dyDescent="0.15">
      <c r="A471" s="33" t="s">
        <v>353</v>
      </c>
      <c r="B471" s="33" t="s">
        <v>782</v>
      </c>
      <c r="C471" s="33">
        <v>2</v>
      </c>
      <c r="D471" s="33" t="s">
        <v>339</v>
      </c>
      <c r="E471" s="33" t="s">
        <v>782</v>
      </c>
      <c r="F471" s="81">
        <v>2</v>
      </c>
      <c r="G471">
        <f t="shared" si="28"/>
        <v>0</v>
      </c>
      <c r="H471">
        <f t="shared" si="29"/>
        <v>0</v>
      </c>
      <c r="J471">
        <v>2</v>
      </c>
      <c r="K471">
        <f t="shared" si="30"/>
        <v>0</v>
      </c>
      <c r="L471" s="200">
        <f t="shared" si="31"/>
        <v>0</v>
      </c>
      <c r="M471" t="s">
        <v>1458</v>
      </c>
      <c r="N471" t="s">
        <v>1459</v>
      </c>
    </row>
    <row r="472" spans="1:14" hidden="1" x14ac:dyDescent="0.15">
      <c r="A472" s="33" t="s">
        <v>353</v>
      </c>
      <c r="B472" s="33" t="s">
        <v>783</v>
      </c>
      <c r="C472" s="33">
        <v>1</v>
      </c>
      <c r="D472" s="33" t="s">
        <v>339</v>
      </c>
      <c r="E472" s="33" t="s">
        <v>783</v>
      </c>
      <c r="F472" s="81">
        <v>1</v>
      </c>
      <c r="G472">
        <f t="shared" si="28"/>
        <v>0</v>
      </c>
      <c r="H472">
        <f t="shared" si="29"/>
        <v>0</v>
      </c>
      <c r="J472">
        <v>1</v>
      </c>
      <c r="K472">
        <f t="shared" si="30"/>
        <v>0</v>
      </c>
      <c r="L472" s="200">
        <f t="shared" si="31"/>
        <v>0</v>
      </c>
      <c r="M472" t="s">
        <v>1460</v>
      </c>
      <c r="N472" t="s">
        <v>1461</v>
      </c>
    </row>
    <row r="473" spans="1:14" hidden="1" x14ac:dyDescent="0.15">
      <c r="A473" s="33" t="s">
        <v>353</v>
      </c>
      <c r="B473" s="33" t="s">
        <v>784</v>
      </c>
      <c r="C473" s="33">
        <v>3</v>
      </c>
      <c r="D473" s="33" t="s">
        <v>339</v>
      </c>
      <c r="E473" s="33" t="s">
        <v>784</v>
      </c>
      <c r="F473" s="81">
        <v>5</v>
      </c>
      <c r="G473">
        <f t="shared" si="28"/>
        <v>-2</v>
      </c>
      <c r="H473">
        <f t="shared" si="29"/>
        <v>-2</v>
      </c>
      <c r="I473" s="33" t="s">
        <v>866</v>
      </c>
      <c r="J473">
        <v>5</v>
      </c>
      <c r="K473">
        <f t="shared" si="30"/>
        <v>0</v>
      </c>
      <c r="L473" s="200">
        <f t="shared" si="31"/>
        <v>0</v>
      </c>
      <c r="M473" t="s">
        <v>1462</v>
      </c>
      <c r="N473" t="s">
        <v>1463</v>
      </c>
    </row>
    <row r="474" spans="1:14" hidden="1" x14ac:dyDescent="0.15">
      <c r="A474" s="33" t="s">
        <v>353</v>
      </c>
      <c r="B474" s="33" t="s">
        <v>785</v>
      </c>
      <c r="C474" s="33">
        <v>1</v>
      </c>
      <c r="D474" s="33" t="s">
        <v>339</v>
      </c>
      <c r="E474" s="33" t="s">
        <v>785</v>
      </c>
      <c r="F474" s="81">
        <v>1</v>
      </c>
      <c r="G474">
        <f t="shared" si="28"/>
        <v>0</v>
      </c>
      <c r="H474">
        <f t="shared" si="29"/>
        <v>0</v>
      </c>
      <c r="J474">
        <v>1</v>
      </c>
      <c r="K474">
        <f t="shared" si="30"/>
        <v>0</v>
      </c>
      <c r="L474" s="200">
        <f t="shared" si="31"/>
        <v>0</v>
      </c>
      <c r="M474" t="s">
        <v>1464</v>
      </c>
    </row>
    <row r="475" spans="1:14" hidden="1" x14ac:dyDescent="0.15">
      <c r="A475" s="33" t="s">
        <v>353</v>
      </c>
      <c r="B475" s="33" t="s">
        <v>786</v>
      </c>
      <c r="C475" s="33">
        <v>21</v>
      </c>
      <c r="D475" s="33" t="s">
        <v>339</v>
      </c>
      <c r="E475" s="33" t="s">
        <v>786</v>
      </c>
      <c r="F475" s="81">
        <v>21</v>
      </c>
      <c r="G475">
        <f t="shared" si="28"/>
        <v>0</v>
      </c>
      <c r="H475">
        <f t="shared" si="29"/>
        <v>0</v>
      </c>
      <c r="J475">
        <v>21</v>
      </c>
      <c r="K475">
        <f t="shared" si="30"/>
        <v>0</v>
      </c>
      <c r="L475" s="200">
        <f t="shared" si="31"/>
        <v>0</v>
      </c>
      <c r="M475" t="s">
        <v>1465</v>
      </c>
    </row>
    <row r="476" spans="1:14" hidden="1" x14ac:dyDescent="0.15">
      <c r="A476" s="33" t="s">
        <v>353</v>
      </c>
      <c r="B476" s="33" t="s">
        <v>787</v>
      </c>
      <c r="C476" s="33">
        <v>70131</v>
      </c>
      <c r="D476" s="33" t="s">
        <v>339</v>
      </c>
      <c r="E476" s="33" t="s">
        <v>787</v>
      </c>
      <c r="F476" s="81">
        <v>70131</v>
      </c>
      <c r="G476">
        <f t="shared" si="28"/>
        <v>0</v>
      </c>
      <c r="H476">
        <f t="shared" si="29"/>
        <v>0</v>
      </c>
      <c r="J476">
        <v>70131</v>
      </c>
      <c r="K476">
        <f t="shared" si="30"/>
        <v>0</v>
      </c>
      <c r="L476" s="200">
        <f t="shared" si="31"/>
        <v>0</v>
      </c>
      <c r="M476" t="s">
        <v>1466</v>
      </c>
      <c r="N476" t="s">
        <v>1467</v>
      </c>
    </row>
    <row r="477" spans="1:14" hidden="1" x14ac:dyDescent="0.15">
      <c r="A477" s="33" t="s">
        <v>353</v>
      </c>
      <c r="B477" s="33" t="s">
        <v>788</v>
      </c>
      <c r="C477" s="33">
        <v>270347</v>
      </c>
      <c r="D477" s="33" t="s">
        <v>339</v>
      </c>
      <c r="E477" s="33" t="s">
        <v>788</v>
      </c>
      <c r="F477" s="81">
        <v>270347</v>
      </c>
      <c r="G477">
        <f t="shared" si="28"/>
        <v>0</v>
      </c>
      <c r="H477">
        <f t="shared" si="29"/>
        <v>0</v>
      </c>
      <c r="J477">
        <v>270347</v>
      </c>
      <c r="K477">
        <f t="shared" si="30"/>
        <v>0</v>
      </c>
      <c r="L477" s="200">
        <f t="shared" si="31"/>
        <v>0</v>
      </c>
      <c r="M477" t="s">
        <v>1468</v>
      </c>
    </row>
    <row r="478" spans="1:14" hidden="1" x14ac:dyDescent="0.15">
      <c r="A478" s="33" t="s">
        <v>353</v>
      </c>
      <c r="B478" s="33" t="s">
        <v>789</v>
      </c>
      <c r="C478" s="33">
        <v>2</v>
      </c>
      <c r="D478" s="33" t="s">
        <v>339</v>
      </c>
      <c r="E478" s="33" t="s">
        <v>789</v>
      </c>
      <c r="F478" s="81">
        <v>2</v>
      </c>
      <c r="G478">
        <f t="shared" si="28"/>
        <v>0</v>
      </c>
      <c r="H478">
        <f t="shared" si="29"/>
        <v>0</v>
      </c>
      <c r="J478">
        <v>2</v>
      </c>
      <c r="K478">
        <f t="shared" si="30"/>
        <v>0</v>
      </c>
      <c r="L478" s="200">
        <f t="shared" si="31"/>
        <v>0</v>
      </c>
      <c r="M478" t="s">
        <v>1469</v>
      </c>
      <c r="N478" t="s">
        <v>1470</v>
      </c>
    </row>
    <row r="479" spans="1:14" hidden="1" x14ac:dyDescent="0.15">
      <c r="A479" s="33" t="s">
        <v>353</v>
      </c>
      <c r="B479" s="33" t="s">
        <v>790</v>
      </c>
      <c r="C479" s="33">
        <v>166800</v>
      </c>
      <c r="D479" s="33" t="s">
        <v>339</v>
      </c>
      <c r="E479" s="33" t="s">
        <v>790</v>
      </c>
      <c r="F479" s="81">
        <v>166800</v>
      </c>
      <c r="G479">
        <f t="shared" si="28"/>
        <v>0</v>
      </c>
      <c r="H479">
        <f t="shared" si="29"/>
        <v>0</v>
      </c>
      <c r="J479">
        <v>166800</v>
      </c>
      <c r="K479">
        <f t="shared" si="30"/>
        <v>0</v>
      </c>
      <c r="L479" s="200">
        <f t="shared" si="31"/>
        <v>0</v>
      </c>
      <c r="M479" t="s">
        <v>1471</v>
      </c>
      <c r="N479" t="s">
        <v>1472</v>
      </c>
    </row>
    <row r="480" spans="1:14" hidden="1" x14ac:dyDescent="0.15">
      <c r="A480" s="33" t="s">
        <v>353</v>
      </c>
      <c r="B480" s="33" t="s">
        <v>791</v>
      </c>
      <c r="C480" s="33">
        <v>371588</v>
      </c>
      <c r="D480" s="33" t="s">
        <v>339</v>
      </c>
      <c r="E480" s="33" t="s">
        <v>791</v>
      </c>
      <c r="F480" s="81">
        <v>371588</v>
      </c>
      <c r="G480">
        <f t="shared" si="28"/>
        <v>0</v>
      </c>
      <c r="H480">
        <f t="shared" si="29"/>
        <v>0</v>
      </c>
      <c r="J480">
        <v>371588</v>
      </c>
      <c r="K480">
        <f t="shared" si="30"/>
        <v>0</v>
      </c>
      <c r="L480" s="200">
        <f t="shared" si="31"/>
        <v>0</v>
      </c>
      <c r="M480" t="s">
        <v>1473</v>
      </c>
      <c r="N480" t="s">
        <v>1474</v>
      </c>
    </row>
    <row r="481" spans="1:14" hidden="1" x14ac:dyDescent="0.15">
      <c r="A481" s="33" t="s">
        <v>353</v>
      </c>
      <c r="B481" s="33" t="s">
        <v>792</v>
      </c>
      <c r="C481" s="33">
        <v>374088</v>
      </c>
      <c r="D481" s="33" t="s">
        <v>339</v>
      </c>
      <c r="E481" s="33" t="s">
        <v>792</v>
      </c>
      <c r="F481" s="81">
        <v>374088</v>
      </c>
      <c r="G481">
        <f t="shared" si="28"/>
        <v>0</v>
      </c>
      <c r="H481">
        <f t="shared" si="29"/>
        <v>0</v>
      </c>
      <c r="J481">
        <v>374088</v>
      </c>
      <c r="K481">
        <f t="shared" si="30"/>
        <v>0</v>
      </c>
      <c r="L481" s="200">
        <f t="shared" si="31"/>
        <v>0</v>
      </c>
      <c r="M481" t="s">
        <v>1475</v>
      </c>
      <c r="N481" t="s">
        <v>1476</v>
      </c>
    </row>
    <row r="482" spans="1:14" hidden="1" x14ac:dyDescent="0.15">
      <c r="A482" s="33" t="s">
        <v>353</v>
      </c>
      <c r="B482" s="33" t="s">
        <v>793</v>
      </c>
      <c r="C482" s="33">
        <v>571</v>
      </c>
      <c r="D482" s="33" t="s">
        <v>339</v>
      </c>
      <c r="E482" s="33" t="s">
        <v>793</v>
      </c>
      <c r="F482" s="81">
        <v>571</v>
      </c>
      <c r="G482">
        <f t="shared" si="28"/>
        <v>0</v>
      </c>
      <c r="H482">
        <f t="shared" si="29"/>
        <v>0</v>
      </c>
      <c r="J482">
        <v>571</v>
      </c>
      <c r="K482">
        <f t="shared" si="30"/>
        <v>0</v>
      </c>
      <c r="L482" s="200">
        <f t="shared" si="31"/>
        <v>0</v>
      </c>
      <c r="M482" t="s">
        <v>1477</v>
      </c>
      <c r="N482" t="s">
        <v>1478</v>
      </c>
    </row>
    <row r="483" spans="1:14" hidden="1" x14ac:dyDescent="0.15">
      <c r="A483" s="33" t="s">
        <v>353</v>
      </c>
      <c r="B483" s="33" t="s">
        <v>794</v>
      </c>
      <c r="C483" s="33">
        <v>58</v>
      </c>
      <c r="D483" s="33" t="s">
        <v>339</v>
      </c>
      <c r="E483" s="33" t="s">
        <v>794</v>
      </c>
      <c r="F483" s="81">
        <v>58</v>
      </c>
      <c r="G483">
        <f t="shared" si="28"/>
        <v>0</v>
      </c>
      <c r="H483">
        <f t="shared" si="29"/>
        <v>0</v>
      </c>
      <c r="J483">
        <v>58</v>
      </c>
      <c r="K483">
        <f t="shared" si="30"/>
        <v>0</v>
      </c>
      <c r="L483" s="200">
        <f t="shared" si="31"/>
        <v>0</v>
      </c>
      <c r="M483" t="s">
        <v>1479</v>
      </c>
      <c r="N483" t="s">
        <v>1480</v>
      </c>
    </row>
    <row r="484" spans="1:14" hidden="1" x14ac:dyDescent="0.15">
      <c r="A484" s="33" t="s">
        <v>353</v>
      </c>
      <c r="B484" s="33" t="s">
        <v>795</v>
      </c>
      <c r="C484" s="33">
        <v>2</v>
      </c>
      <c r="D484" s="33" t="s">
        <v>339</v>
      </c>
      <c r="E484" s="33" t="s">
        <v>795</v>
      </c>
      <c r="F484" s="81">
        <v>2</v>
      </c>
      <c r="G484">
        <f t="shared" si="28"/>
        <v>0</v>
      </c>
      <c r="H484">
        <f t="shared" si="29"/>
        <v>0</v>
      </c>
      <c r="J484">
        <v>2</v>
      </c>
      <c r="K484">
        <f t="shared" si="30"/>
        <v>0</v>
      </c>
      <c r="L484" s="200">
        <f t="shared" si="31"/>
        <v>0</v>
      </c>
      <c r="M484" t="s">
        <v>1481</v>
      </c>
    </row>
    <row r="485" spans="1:14" hidden="1" x14ac:dyDescent="0.15">
      <c r="A485" s="33" t="s">
        <v>353</v>
      </c>
      <c r="B485" s="33" t="s">
        <v>796</v>
      </c>
      <c r="C485" s="33">
        <v>1</v>
      </c>
      <c r="D485" s="33" t="s">
        <v>339</v>
      </c>
      <c r="E485" s="33" t="s">
        <v>796</v>
      </c>
      <c r="F485" s="81">
        <v>1</v>
      </c>
      <c r="G485">
        <f t="shared" si="28"/>
        <v>0</v>
      </c>
      <c r="H485">
        <f t="shared" si="29"/>
        <v>0</v>
      </c>
      <c r="J485">
        <v>1</v>
      </c>
      <c r="K485">
        <f t="shared" si="30"/>
        <v>0</v>
      </c>
      <c r="L485" s="200">
        <f t="shared" si="31"/>
        <v>0</v>
      </c>
      <c r="M485" t="s">
        <v>1482</v>
      </c>
    </row>
    <row r="486" spans="1:14" hidden="1" x14ac:dyDescent="0.15">
      <c r="A486" s="33" t="s">
        <v>353</v>
      </c>
      <c r="B486" s="33" t="s">
        <v>797</v>
      </c>
      <c r="C486" s="33">
        <v>502571</v>
      </c>
      <c r="D486" s="33" t="s">
        <v>339</v>
      </c>
      <c r="E486" s="33" t="s">
        <v>797</v>
      </c>
      <c r="F486" s="81">
        <v>502571</v>
      </c>
      <c r="G486">
        <f t="shared" si="28"/>
        <v>0</v>
      </c>
      <c r="H486">
        <f t="shared" si="29"/>
        <v>0</v>
      </c>
      <c r="J486">
        <v>502571</v>
      </c>
      <c r="K486">
        <f t="shared" si="30"/>
        <v>0</v>
      </c>
      <c r="L486" s="200">
        <f t="shared" si="31"/>
        <v>0</v>
      </c>
      <c r="M486" t="s">
        <v>1483</v>
      </c>
    </row>
    <row r="487" spans="1:14" hidden="1" x14ac:dyDescent="0.15">
      <c r="A487" s="33" t="s">
        <v>353</v>
      </c>
      <c r="B487" s="33" t="s">
        <v>798</v>
      </c>
      <c r="C487" s="33">
        <v>2</v>
      </c>
      <c r="D487" s="33" t="s">
        <v>339</v>
      </c>
      <c r="E487" s="33" t="s">
        <v>798</v>
      </c>
      <c r="F487" s="81">
        <v>2</v>
      </c>
      <c r="G487">
        <f t="shared" si="28"/>
        <v>0</v>
      </c>
      <c r="H487">
        <f t="shared" si="29"/>
        <v>0</v>
      </c>
      <c r="J487">
        <v>2</v>
      </c>
      <c r="K487">
        <f t="shared" si="30"/>
        <v>0</v>
      </c>
      <c r="L487" s="200">
        <f t="shared" si="31"/>
        <v>0</v>
      </c>
      <c r="M487" t="s">
        <v>1484</v>
      </c>
    </row>
    <row r="488" spans="1:14" hidden="1" x14ac:dyDescent="0.15">
      <c r="A488" s="33" t="s">
        <v>353</v>
      </c>
      <c r="B488" s="33" t="s">
        <v>799</v>
      </c>
      <c r="C488" s="33">
        <v>262517</v>
      </c>
      <c r="D488" s="33" t="s">
        <v>339</v>
      </c>
      <c r="E488" s="33" t="s">
        <v>799</v>
      </c>
      <c r="F488" s="81">
        <v>262517</v>
      </c>
      <c r="G488">
        <f t="shared" si="28"/>
        <v>0</v>
      </c>
      <c r="H488">
        <f t="shared" si="29"/>
        <v>0</v>
      </c>
      <c r="J488">
        <v>262517</v>
      </c>
      <c r="K488">
        <f t="shared" si="30"/>
        <v>0</v>
      </c>
      <c r="L488" s="200">
        <f t="shared" si="31"/>
        <v>0</v>
      </c>
      <c r="M488" t="s">
        <v>1485</v>
      </c>
      <c r="N488" t="s">
        <v>1486</v>
      </c>
    </row>
    <row r="489" spans="1:14" hidden="1" x14ac:dyDescent="0.15">
      <c r="A489" s="33" t="s">
        <v>353</v>
      </c>
      <c r="B489" s="33" t="s">
        <v>800</v>
      </c>
      <c r="C489" s="33">
        <v>256599</v>
      </c>
      <c r="D489" s="33" t="s">
        <v>339</v>
      </c>
      <c r="E489" s="33" t="s">
        <v>800</v>
      </c>
      <c r="F489" s="81">
        <v>256599</v>
      </c>
      <c r="G489">
        <f t="shared" si="28"/>
        <v>0</v>
      </c>
      <c r="H489">
        <f t="shared" si="29"/>
        <v>0</v>
      </c>
      <c r="J489">
        <v>256599</v>
      </c>
      <c r="K489">
        <f t="shared" si="30"/>
        <v>0</v>
      </c>
      <c r="L489" s="200">
        <f t="shared" si="31"/>
        <v>0</v>
      </c>
      <c r="M489" t="s">
        <v>1487</v>
      </c>
    </row>
    <row r="490" spans="1:14" hidden="1" x14ac:dyDescent="0.15">
      <c r="A490" s="33" t="s">
        <v>353</v>
      </c>
      <c r="B490" s="33" t="s">
        <v>801</v>
      </c>
      <c r="C490" s="33">
        <v>20</v>
      </c>
      <c r="D490" s="33" t="s">
        <v>339</v>
      </c>
      <c r="E490" s="33" t="s">
        <v>801</v>
      </c>
      <c r="F490" s="81">
        <v>20</v>
      </c>
      <c r="G490">
        <f t="shared" si="28"/>
        <v>0</v>
      </c>
      <c r="H490">
        <f t="shared" si="29"/>
        <v>0</v>
      </c>
      <c r="J490">
        <v>20</v>
      </c>
      <c r="K490">
        <f t="shared" si="30"/>
        <v>0</v>
      </c>
      <c r="L490" s="200">
        <f t="shared" si="31"/>
        <v>0</v>
      </c>
      <c r="M490" t="s">
        <v>1488</v>
      </c>
    </row>
    <row r="491" spans="1:14" hidden="1" x14ac:dyDescent="0.15">
      <c r="A491" s="33" t="s">
        <v>353</v>
      </c>
      <c r="B491" s="33" t="s">
        <v>802</v>
      </c>
      <c r="C491" s="33">
        <v>2</v>
      </c>
      <c r="D491" s="33" t="s">
        <v>339</v>
      </c>
      <c r="E491" s="33" t="s">
        <v>802</v>
      </c>
      <c r="F491" s="81">
        <v>2</v>
      </c>
      <c r="G491">
        <f t="shared" si="28"/>
        <v>0</v>
      </c>
      <c r="H491">
        <f t="shared" si="29"/>
        <v>0</v>
      </c>
      <c r="J491">
        <v>2</v>
      </c>
      <c r="K491">
        <f t="shared" si="30"/>
        <v>0</v>
      </c>
      <c r="L491" s="200">
        <f t="shared" si="31"/>
        <v>0</v>
      </c>
      <c r="M491" t="s">
        <v>1489</v>
      </c>
    </row>
    <row r="492" spans="1:14" hidden="1" x14ac:dyDescent="0.15">
      <c r="A492" s="33" t="s">
        <v>353</v>
      </c>
      <c r="B492" s="33" t="s">
        <v>803</v>
      </c>
      <c r="C492" s="33">
        <v>121313</v>
      </c>
      <c r="D492" s="33" t="s">
        <v>339</v>
      </c>
      <c r="E492" s="33" t="s">
        <v>803</v>
      </c>
      <c r="F492" s="81">
        <v>121313</v>
      </c>
      <c r="G492">
        <f t="shared" si="28"/>
        <v>0</v>
      </c>
      <c r="H492">
        <f t="shared" si="29"/>
        <v>0</v>
      </c>
      <c r="J492">
        <v>121313</v>
      </c>
      <c r="K492">
        <f t="shared" si="30"/>
        <v>0</v>
      </c>
      <c r="L492" s="200">
        <f t="shared" si="31"/>
        <v>0</v>
      </c>
      <c r="M492" t="s">
        <v>1386</v>
      </c>
    </row>
    <row r="493" spans="1:14" hidden="1" x14ac:dyDescent="0.15">
      <c r="A493" s="33" t="s">
        <v>353</v>
      </c>
      <c r="B493" s="33" t="s">
        <v>804</v>
      </c>
      <c r="C493" s="33">
        <v>236159</v>
      </c>
      <c r="D493" s="33" t="s">
        <v>339</v>
      </c>
      <c r="E493" s="33" t="s">
        <v>804</v>
      </c>
      <c r="F493" s="81">
        <v>236159</v>
      </c>
      <c r="G493">
        <f t="shared" si="28"/>
        <v>0</v>
      </c>
      <c r="H493">
        <f t="shared" si="29"/>
        <v>0</v>
      </c>
      <c r="J493">
        <v>236159</v>
      </c>
      <c r="K493">
        <f t="shared" si="30"/>
        <v>0</v>
      </c>
      <c r="L493" s="200">
        <f t="shared" si="31"/>
        <v>0</v>
      </c>
      <c r="M493" t="s">
        <v>1387</v>
      </c>
    </row>
    <row r="494" spans="1:14" hidden="1" x14ac:dyDescent="0.15">
      <c r="A494" s="33" t="s">
        <v>353</v>
      </c>
      <c r="B494" s="33" t="s">
        <v>805</v>
      </c>
      <c r="C494" s="33">
        <v>228333</v>
      </c>
      <c r="E494" s="33" t="s">
        <v>805</v>
      </c>
      <c r="G494">
        <f t="shared" si="28"/>
        <v>228333</v>
      </c>
      <c r="H494">
        <f t="shared" si="29"/>
        <v>0</v>
      </c>
      <c r="I494" s="33" t="s">
        <v>669</v>
      </c>
      <c r="J494">
        <v>0</v>
      </c>
      <c r="K494">
        <f t="shared" si="30"/>
        <v>0</v>
      </c>
      <c r="L494" s="200">
        <f t="shared" si="31"/>
        <v>0</v>
      </c>
    </row>
    <row r="495" spans="1:14" hidden="1" x14ac:dyDescent="0.15">
      <c r="A495" s="33" t="s">
        <v>353</v>
      </c>
      <c r="B495" s="33" t="s">
        <v>810</v>
      </c>
      <c r="C495" s="33">
        <v>129270</v>
      </c>
      <c r="E495" s="33" t="s">
        <v>810</v>
      </c>
      <c r="G495">
        <f t="shared" si="28"/>
        <v>129270</v>
      </c>
      <c r="H495">
        <f t="shared" si="29"/>
        <v>0</v>
      </c>
      <c r="I495" s="33" t="s">
        <v>669</v>
      </c>
      <c r="J495">
        <v>0</v>
      </c>
      <c r="K495">
        <f t="shared" si="30"/>
        <v>0</v>
      </c>
      <c r="L495" s="200">
        <f t="shared" si="31"/>
        <v>0</v>
      </c>
    </row>
    <row r="496" spans="1:14" hidden="1" x14ac:dyDescent="0.15">
      <c r="A496" s="33" t="s">
        <v>353</v>
      </c>
      <c r="B496" s="33" t="s">
        <v>815</v>
      </c>
      <c r="C496" s="33">
        <v>51</v>
      </c>
      <c r="D496" s="33" t="s">
        <v>339</v>
      </c>
      <c r="E496" s="33" t="s">
        <v>815</v>
      </c>
      <c r="F496" s="81">
        <v>51</v>
      </c>
      <c r="G496">
        <f t="shared" si="28"/>
        <v>0</v>
      </c>
      <c r="H496">
        <f t="shared" si="29"/>
        <v>0</v>
      </c>
      <c r="J496">
        <v>51</v>
      </c>
      <c r="K496">
        <f t="shared" si="30"/>
        <v>0</v>
      </c>
      <c r="L496" s="200">
        <f t="shared" si="31"/>
        <v>0</v>
      </c>
      <c r="M496" t="s">
        <v>1490</v>
      </c>
    </row>
    <row r="497" spans="1:14" hidden="1" x14ac:dyDescent="0.15">
      <c r="A497" s="33" t="s">
        <v>353</v>
      </c>
      <c r="B497" s="33" t="s">
        <v>816</v>
      </c>
      <c r="C497" s="33">
        <v>121</v>
      </c>
      <c r="D497" s="33" t="s">
        <v>339</v>
      </c>
      <c r="E497" s="33" t="s">
        <v>816</v>
      </c>
      <c r="F497" s="81">
        <v>121</v>
      </c>
      <c r="G497">
        <f t="shared" si="28"/>
        <v>0</v>
      </c>
      <c r="H497">
        <f t="shared" si="29"/>
        <v>0</v>
      </c>
      <c r="J497">
        <v>121</v>
      </c>
      <c r="K497">
        <f t="shared" si="30"/>
        <v>0</v>
      </c>
      <c r="L497" s="200">
        <f t="shared" si="31"/>
        <v>0</v>
      </c>
      <c r="M497" t="s">
        <v>1491</v>
      </c>
      <c r="N497" t="s">
        <v>1492</v>
      </c>
    </row>
    <row r="498" spans="1:14" hidden="1" x14ac:dyDescent="0.15">
      <c r="A498" s="33" t="s">
        <v>353</v>
      </c>
      <c r="B498" s="33" t="s">
        <v>817</v>
      </c>
      <c r="C498" s="33">
        <v>292</v>
      </c>
      <c r="D498" s="33" t="s">
        <v>339</v>
      </c>
      <c r="E498" s="33" t="s">
        <v>817</v>
      </c>
      <c r="F498" s="81">
        <v>292</v>
      </c>
      <c r="G498">
        <f t="shared" si="28"/>
        <v>0</v>
      </c>
      <c r="H498">
        <f t="shared" si="29"/>
        <v>0</v>
      </c>
      <c r="J498">
        <v>292</v>
      </c>
      <c r="K498">
        <f t="shared" si="30"/>
        <v>0</v>
      </c>
      <c r="L498" s="200">
        <f t="shared" si="31"/>
        <v>0</v>
      </c>
      <c r="M498" t="s">
        <v>1493</v>
      </c>
      <c r="N498" t="s">
        <v>1494</v>
      </c>
    </row>
    <row r="499" spans="1:14" hidden="1" x14ac:dyDescent="0.15">
      <c r="A499" s="33" t="s">
        <v>353</v>
      </c>
      <c r="B499" s="33" t="s">
        <v>818</v>
      </c>
      <c r="C499" s="33">
        <v>616</v>
      </c>
      <c r="D499" s="33" t="s">
        <v>339</v>
      </c>
      <c r="E499" s="33" t="s">
        <v>818</v>
      </c>
      <c r="F499" s="81">
        <v>616</v>
      </c>
      <c r="G499">
        <f t="shared" si="28"/>
        <v>0</v>
      </c>
      <c r="H499">
        <f t="shared" si="29"/>
        <v>0</v>
      </c>
      <c r="J499">
        <v>616</v>
      </c>
      <c r="K499">
        <f t="shared" si="30"/>
        <v>0</v>
      </c>
      <c r="L499" s="200">
        <f t="shared" si="31"/>
        <v>0</v>
      </c>
      <c r="M499" t="s">
        <v>1495</v>
      </c>
    </row>
    <row r="500" spans="1:14" hidden="1" x14ac:dyDescent="0.15">
      <c r="A500" s="33" t="s">
        <v>353</v>
      </c>
      <c r="B500" s="33" t="s">
        <v>819</v>
      </c>
      <c r="C500" s="33">
        <v>5268</v>
      </c>
      <c r="D500" s="33" t="s">
        <v>339</v>
      </c>
      <c r="E500" s="33" t="s">
        <v>819</v>
      </c>
      <c r="F500" s="81">
        <v>5268</v>
      </c>
      <c r="G500">
        <f t="shared" si="28"/>
        <v>0</v>
      </c>
      <c r="H500">
        <f t="shared" si="29"/>
        <v>0</v>
      </c>
      <c r="J500">
        <v>5268</v>
      </c>
      <c r="K500">
        <f t="shared" si="30"/>
        <v>0</v>
      </c>
      <c r="L500" s="200">
        <f t="shared" si="31"/>
        <v>0</v>
      </c>
      <c r="M500" t="s">
        <v>1496</v>
      </c>
      <c r="N500" t="s">
        <v>1497</v>
      </c>
    </row>
    <row r="501" spans="1:14" hidden="1" x14ac:dyDescent="0.15">
      <c r="A501" s="33" t="s">
        <v>353</v>
      </c>
      <c r="B501" s="33" t="s">
        <v>820</v>
      </c>
      <c r="C501" s="33">
        <v>4</v>
      </c>
      <c r="D501" s="33" t="s">
        <v>339</v>
      </c>
      <c r="E501" s="33" t="s">
        <v>820</v>
      </c>
      <c r="F501" s="81">
        <v>4</v>
      </c>
      <c r="G501">
        <f t="shared" si="28"/>
        <v>0</v>
      </c>
      <c r="H501">
        <f t="shared" si="29"/>
        <v>0</v>
      </c>
      <c r="J501">
        <v>4</v>
      </c>
      <c r="K501">
        <f t="shared" si="30"/>
        <v>0</v>
      </c>
      <c r="L501" s="200">
        <f t="shared" si="31"/>
        <v>0</v>
      </c>
      <c r="M501" t="s">
        <v>1498</v>
      </c>
    </row>
    <row r="502" spans="1:14" hidden="1" x14ac:dyDescent="0.15">
      <c r="A502" s="33" t="s">
        <v>353</v>
      </c>
      <c r="B502" s="33" t="s">
        <v>821</v>
      </c>
      <c r="C502" s="33">
        <v>6885</v>
      </c>
      <c r="D502" s="33" t="s">
        <v>339</v>
      </c>
      <c r="E502" s="33" t="s">
        <v>821</v>
      </c>
      <c r="F502" s="81">
        <v>6885</v>
      </c>
      <c r="G502">
        <f t="shared" si="28"/>
        <v>0</v>
      </c>
      <c r="H502">
        <f t="shared" si="29"/>
        <v>0</v>
      </c>
      <c r="J502">
        <v>6885</v>
      </c>
      <c r="K502">
        <f t="shared" si="30"/>
        <v>0</v>
      </c>
      <c r="L502" s="200">
        <f t="shared" si="31"/>
        <v>0</v>
      </c>
      <c r="M502" t="s">
        <v>918</v>
      </c>
      <c r="N502" t="s">
        <v>1499</v>
      </c>
    </row>
    <row r="503" spans="1:14" hidden="1" x14ac:dyDescent="0.15">
      <c r="A503" s="33" t="s">
        <v>353</v>
      </c>
      <c r="B503" s="33" t="s">
        <v>822</v>
      </c>
      <c r="C503" s="33">
        <v>2</v>
      </c>
      <c r="D503" s="33" t="s">
        <v>339</v>
      </c>
      <c r="E503" s="33" t="s">
        <v>822</v>
      </c>
      <c r="F503" s="81">
        <v>2</v>
      </c>
      <c r="G503">
        <f t="shared" si="28"/>
        <v>0</v>
      </c>
      <c r="H503">
        <f t="shared" si="29"/>
        <v>0</v>
      </c>
      <c r="J503">
        <v>2</v>
      </c>
      <c r="K503">
        <f t="shared" si="30"/>
        <v>0</v>
      </c>
      <c r="L503" s="200">
        <f t="shared" si="31"/>
        <v>0</v>
      </c>
      <c r="M503" t="s">
        <v>1500</v>
      </c>
      <c r="N503" t="s">
        <v>1501</v>
      </c>
    </row>
    <row r="504" spans="1:14" hidden="1" x14ac:dyDescent="0.15">
      <c r="A504" s="33" t="s">
        <v>353</v>
      </c>
      <c r="B504" s="33" t="s">
        <v>823</v>
      </c>
      <c r="C504" s="33">
        <v>38347</v>
      </c>
      <c r="D504" s="33" t="s">
        <v>339</v>
      </c>
      <c r="E504" s="33" t="s">
        <v>823</v>
      </c>
      <c r="F504" s="81">
        <v>38347</v>
      </c>
      <c r="G504">
        <f t="shared" si="28"/>
        <v>0</v>
      </c>
      <c r="H504">
        <f t="shared" si="29"/>
        <v>0</v>
      </c>
      <c r="J504">
        <v>38347</v>
      </c>
      <c r="K504">
        <f t="shared" si="30"/>
        <v>0</v>
      </c>
      <c r="L504" s="200">
        <f t="shared" si="31"/>
        <v>0</v>
      </c>
      <c r="M504" t="s">
        <v>1502</v>
      </c>
    </row>
    <row r="505" spans="1:14" hidden="1" x14ac:dyDescent="0.15">
      <c r="A505" s="33" t="s">
        <v>353</v>
      </c>
      <c r="B505" s="33" t="s">
        <v>824</v>
      </c>
      <c r="C505" s="33">
        <v>160</v>
      </c>
      <c r="D505" s="33" t="s">
        <v>339</v>
      </c>
      <c r="E505" s="33" t="s">
        <v>824</v>
      </c>
      <c r="F505" s="81">
        <v>160</v>
      </c>
      <c r="G505">
        <f t="shared" si="28"/>
        <v>0</v>
      </c>
      <c r="H505">
        <f t="shared" si="29"/>
        <v>0</v>
      </c>
      <c r="J505">
        <v>160</v>
      </c>
      <c r="K505">
        <f t="shared" si="30"/>
        <v>0</v>
      </c>
      <c r="L505" s="200">
        <f t="shared" si="31"/>
        <v>0</v>
      </c>
      <c r="M505" t="s">
        <v>1503</v>
      </c>
      <c r="N505" t="s">
        <v>1504</v>
      </c>
    </row>
    <row r="506" spans="1:14" hidden="1" x14ac:dyDescent="0.15">
      <c r="A506" s="33" t="s">
        <v>353</v>
      </c>
      <c r="B506" s="33" t="s">
        <v>825</v>
      </c>
      <c r="C506" s="33">
        <v>60079</v>
      </c>
      <c r="D506" s="33" t="s">
        <v>339</v>
      </c>
      <c r="E506" s="33" t="s">
        <v>825</v>
      </c>
      <c r="F506" s="81">
        <v>60079</v>
      </c>
      <c r="G506">
        <f t="shared" si="28"/>
        <v>0</v>
      </c>
      <c r="H506">
        <f t="shared" si="29"/>
        <v>0</v>
      </c>
      <c r="J506">
        <v>60079</v>
      </c>
      <c r="K506">
        <f t="shared" si="30"/>
        <v>0</v>
      </c>
      <c r="L506" s="200">
        <f t="shared" si="31"/>
        <v>0</v>
      </c>
      <c r="M506" t="s">
        <v>1505</v>
      </c>
      <c r="N506" t="s">
        <v>1506</v>
      </c>
    </row>
    <row r="507" spans="1:14" hidden="1" x14ac:dyDescent="0.15">
      <c r="A507" s="33" t="s">
        <v>353</v>
      </c>
      <c r="B507" s="33" t="s">
        <v>826</v>
      </c>
      <c r="C507" s="33">
        <v>265442</v>
      </c>
      <c r="D507" s="33" t="s">
        <v>339</v>
      </c>
      <c r="E507" s="33" t="s">
        <v>826</v>
      </c>
      <c r="F507" s="81">
        <v>265442</v>
      </c>
      <c r="G507">
        <f t="shared" si="28"/>
        <v>0</v>
      </c>
      <c r="H507">
        <f t="shared" si="29"/>
        <v>0</v>
      </c>
      <c r="J507">
        <v>265442</v>
      </c>
      <c r="K507">
        <f t="shared" si="30"/>
        <v>0</v>
      </c>
      <c r="L507" s="200">
        <f t="shared" si="31"/>
        <v>0</v>
      </c>
      <c r="M507" t="s">
        <v>1507</v>
      </c>
    </row>
    <row r="508" spans="1:14" hidden="1" x14ac:dyDescent="0.15">
      <c r="A508" s="33" t="s">
        <v>353</v>
      </c>
      <c r="B508" s="33" t="s">
        <v>827</v>
      </c>
      <c r="C508" s="33">
        <v>3596</v>
      </c>
      <c r="D508" s="33" t="s">
        <v>339</v>
      </c>
      <c r="E508" s="33" t="s">
        <v>827</v>
      </c>
      <c r="F508" s="81">
        <v>3596</v>
      </c>
      <c r="G508">
        <f t="shared" si="28"/>
        <v>0</v>
      </c>
      <c r="H508">
        <f t="shared" si="29"/>
        <v>0</v>
      </c>
      <c r="J508">
        <v>3596</v>
      </c>
      <c r="K508">
        <f t="shared" si="30"/>
        <v>0</v>
      </c>
      <c r="L508" s="200">
        <f t="shared" si="31"/>
        <v>0</v>
      </c>
      <c r="M508" t="s">
        <v>1508</v>
      </c>
    </row>
    <row r="509" spans="1:14" hidden="1" x14ac:dyDescent="0.15">
      <c r="A509" s="33" t="s">
        <v>353</v>
      </c>
      <c r="B509" s="33" t="s">
        <v>828</v>
      </c>
      <c r="C509" s="33">
        <v>553215</v>
      </c>
      <c r="D509" s="33" t="s">
        <v>339</v>
      </c>
      <c r="E509" s="33" t="s">
        <v>828</v>
      </c>
      <c r="F509" s="81">
        <v>553215</v>
      </c>
      <c r="G509">
        <f t="shared" si="28"/>
        <v>0</v>
      </c>
      <c r="H509">
        <f t="shared" si="29"/>
        <v>0</v>
      </c>
      <c r="J509">
        <v>553215</v>
      </c>
      <c r="K509">
        <f t="shared" si="30"/>
        <v>0</v>
      </c>
      <c r="L509" s="200">
        <f t="shared" si="31"/>
        <v>0</v>
      </c>
      <c r="M509" t="s">
        <v>1509</v>
      </c>
    </row>
    <row r="510" spans="1:14" hidden="1" x14ac:dyDescent="0.15">
      <c r="A510" s="33" t="s">
        <v>353</v>
      </c>
      <c r="B510" s="33" t="s">
        <v>829</v>
      </c>
      <c r="C510" s="33">
        <v>220</v>
      </c>
      <c r="D510" s="33" t="s">
        <v>339</v>
      </c>
      <c r="E510" s="33" t="s">
        <v>829</v>
      </c>
      <c r="F510" s="81">
        <v>220</v>
      </c>
      <c r="G510">
        <f t="shared" si="28"/>
        <v>0</v>
      </c>
      <c r="H510">
        <f t="shared" si="29"/>
        <v>0</v>
      </c>
      <c r="J510">
        <v>220</v>
      </c>
      <c r="K510">
        <f t="shared" si="30"/>
        <v>0</v>
      </c>
      <c r="L510" s="200">
        <f t="shared" si="31"/>
        <v>0</v>
      </c>
      <c r="M510" t="s">
        <v>1510</v>
      </c>
    </row>
    <row r="511" spans="1:14" hidden="1" x14ac:dyDescent="0.15">
      <c r="A511" s="33" t="s">
        <v>353</v>
      </c>
      <c r="B511" s="33" t="s">
        <v>830</v>
      </c>
      <c r="C511" s="33">
        <v>55092</v>
      </c>
      <c r="D511" s="33" t="s">
        <v>339</v>
      </c>
      <c r="E511" s="33" t="s">
        <v>830</v>
      </c>
      <c r="F511" s="81">
        <v>55092</v>
      </c>
      <c r="G511">
        <f t="shared" si="28"/>
        <v>0</v>
      </c>
      <c r="H511">
        <f t="shared" si="29"/>
        <v>0</v>
      </c>
      <c r="J511">
        <v>55092</v>
      </c>
      <c r="K511">
        <f t="shared" si="30"/>
        <v>0</v>
      </c>
      <c r="L511" s="200">
        <f t="shared" si="31"/>
        <v>0</v>
      </c>
      <c r="M511" t="s">
        <v>1511</v>
      </c>
      <c r="N511" t="s">
        <v>1512</v>
      </c>
    </row>
    <row r="512" spans="1:14" hidden="1" x14ac:dyDescent="0.15">
      <c r="A512" s="33" t="s">
        <v>353</v>
      </c>
      <c r="B512" s="33" t="s">
        <v>831</v>
      </c>
      <c r="C512" s="33">
        <v>525826</v>
      </c>
      <c r="D512" s="33" t="s">
        <v>339</v>
      </c>
      <c r="E512" s="33" t="s">
        <v>831</v>
      </c>
      <c r="F512" s="81">
        <v>525826</v>
      </c>
      <c r="G512">
        <f t="shared" si="28"/>
        <v>0</v>
      </c>
      <c r="H512">
        <f t="shared" si="29"/>
        <v>0</v>
      </c>
      <c r="J512">
        <v>525826</v>
      </c>
      <c r="K512">
        <f t="shared" si="30"/>
        <v>0</v>
      </c>
      <c r="L512" s="200">
        <f t="shared" si="31"/>
        <v>0</v>
      </c>
      <c r="M512" t="s">
        <v>1513</v>
      </c>
    </row>
    <row r="513" spans="1:14" hidden="1" x14ac:dyDescent="0.15">
      <c r="A513" s="33" t="s">
        <v>353</v>
      </c>
      <c r="B513" s="33" t="s">
        <v>832</v>
      </c>
      <c r="C513" s="33">
        <v>3</v>
      </c>
      <c r="D513" s="33" t="s">
        <v>339</v>
      </c>
      <c r="E513" s="33" t="s">
        <v>832</v>
      </c>
      <c r="F513" s="81">
        <v>3</v>
      </c>
      <c r="G513">
        <f t="shared" si="28"/>
        <v>0</v>
      </c>
      <c r="H513">
        <f t="shared" si="29"/>
        <v>0</v>
      </c>
      <c r="J513">
        <v>3</v>
      </c>
      <c r="K513">
        <f t="shared" si="30"/>
        <v>0</v>
      </c>
      <c r="L513" s="200">
        <f t="shared" si="31"/>
        <v>0</v>
      </c>
      <c r="M513" t="s">
        <v>1514</v>
      </c>
    </row>
    <row r="514" spans="1:14" hidden="1" x14ac:dyDescent="0.15">
      <c r="A514" s="33" t="s">
        <v>353</v>
      </c>
      <c r="B514" s="33" t="s">
        <v>833</v>
      </c>
      <c r="C514" s="33">
        <v>1</v>
      </c>
      <c r="D514" s="33" t="s">
        <v>339</v>
      </c>
      <c r="E514" s="33" t="s">
        <v>833</v>
      </c>
      <c r="F514" s="81">
        <v>1</v>
      </c>
      <c r="G514">
        <f t="shared" si="28"/>
        <v>0</v>
      </c>
      <c r="H514">
        <f t="shared" si="29"/>
        <v>0</v>
      </c>
      <c r="J514">
        <v>1</v>
      </c>
      <c r="K514">
        <f t="shared" si="30"/>
        <v>0</v>
      </c>
      <c r="L514" s="200">
        <f t="shared" si="31"/>
        <v>0</v>
      </c>
      <c r="M514" t="s">
        <v>1515</v>
      </c>
    </row>
    <row r="515" spans="1:14" hidden="1" x14ac:dyDescent="0.15">
      <c r="A515" s="33" t="s">
        <v>353</v>
      </c>
      <c r="B515" s="33" t="s">
        <v>834</v>
      </c>
      <c r="C515" s="33">
        <v>9</v>
      </c>
      <c r="D515" s="33" t="s">
        <v>339</v>
      </c>
      <c r="E515" s="33" t="s">
        <v>834</v>
      </c>
      <c r="F515" s="81">
        <v>9</v>
      </c>
      <c r="G515">
        <f t="shared" si="28"/>
        <v>0</v>
      </c>
      <c r="H515">
        <f t="shared" si="29"/>
        <v>0</v>
      </c>
      <c r="J515">
        <v>9</v>
      </c>
      <c r="K515">
        <f t="shared" si="30"/>
        <v>0</v>
      </c>
      <c r="L515" s="200">
        <f t="shared" si="31"/>
        <v>0</v>
      </c>
      <c r="M515" t="s">
        <v>1516</v>
      </c>
    </row>
    <row r="516" spans="1:14" hidden="1" x14ac:dyDescent="0.15">
      <c r="A516" s="33" t="s">
        <v>353</v>
      </c>
      <c r="B516" s="33" t="s">
        <v>835</v>
      </c>
      <c r="C516" s="33">
        <v>11208</v>
      </c>
      <c r="D516" s="33" t="s">
        <v>339</v>
      </c>
      <c r="E516" s="33" t="s">
        <v>835</v>
      </c>
      <c r="F516" s="81">
        <v>11208</v>
      </c>
      <c r="G516">
        <f t="shared" si="28"/>
        <v>0</v>
      </c>
      <c r="H516">
        <f t="shared" si="29"/>
        <v>0</v>
      </c>
      <c r="J516">
        <v>11208</v>
      </c>
      <c r="K516">
        <f t="shared" si="30"/>
        <v>0</v>
      </c>
      <c r="L516" s="200">
        <f t="shared" si="31"/>
        <v>0</v>
      </c>
      <c r="M516" t="s">
        <v>1517</v>
      </c>
    </row>
    <row r="517" spans="1:14" hidden="1" x14ac:dyDescent="0.15">
      <c r="A517" s="33" t="s">
        <v>353</v>
      </c>
      <c r="B517" s="33" t="s">
        <v>836</v>
      </c>
      <c r="C517" s="33">
        <v>11</v>
      </c>
      <c r="D517" s="33" t="s">
        <v>339</v>
      </c>
      <c r="E517" s="33" t="s">
        <v>836</v>
      </c>
      <c r="F517" s="81">
        <v>11</v>
      </c>
      <c r="G517">
        <f t="shared" si="28"/>
        <v>0</v>
      </c>
      <c r="H517">
        <f t="shared" si="29"/>
        <v>0</v>
      </c>
      <c r="J517">
        <v>11</v>
      </c>
      <c r="K517">
        <f t="shared" si="30"/>
        <v>0</v>
      </c>
      <c r="L517" s="200">
        <f t="shared" si="31"/>
        <v>0</v>
      </c>
      <c r="M517" t="s">
        <v>1518</v>
      </c>
      <c r="N517" t="s">
        <v>1519</v>
      </c>
    </row>
    <row r="518" spans="1:14" hidden="1" x14ac:dyDescent="0.15">
      <c r="A518" s="33" t="s">
        <v>353</v>
      </c>
      <c r="B518" s="33" t="s">
        <v>837</v>
      </c>
      <c r="C518" s="33">
        <v>45157</v>
      </c>
      <c r="D518" s="33" t="s">
        <v>339</v>
      </c>
      <c r="E518" s="33" t="s">
        <v>837</v>
      </c>
      <c r="F518" s="81">
        <v>45157</v>
      </c>
      <c r="G518">
        <f t="shared" si="28"/>
        <v>0</v>
      </c>
      <c r="H518">
        <f t="shared" si="29"/>
        <v>0</v>
      </c>
      <c r="J518">
        <v>45157</v>
      </c>
      <c r="K518">
        <f t="shared" si="30"/>
        <v>0</v>
      </c>
      <c r="L518" s="200">
        <f t="shared" si="31"/>
        <v>0</v>
      </c>
      <c r="M518" t="s">
        <v>1520</v>
      </c>
    </row>
    <row r="519" spans="1:14" hidden="1" x14ac:dyDescent="0.15">
      <c r="A519" s="33" t="s">
        <v>353</v>
      </c>
      <c r="B519" s="33" t="s">
        <v>838</v>
      </c>
      <c r="C519" s="33">
        <v>42119</v>
      </c>
      <c r="D519" s="33" t="s">
        <v>339</v>
      </c>
      <c r="E519" s="33" t="s">
        <v>838</v>
      </c>
      <c r="F519" s="81">
        <v>42119</v>
      </c>
      <c r="G519">
        <f t="shared" si="28"/>
        <v>0</v>
      </c>
      <c r="H519">
        <f t="shared" si="29"/>
        <v>0</v>
      </c>
      <c r="J519">
        <v>42119</v>
      </c>
      <c r="K519">
        <f t="shared" si="30"/>
        <v>0</v>
      </c>
      <c r="L519" s="200">
        <f t="shared" si="31"/>
        <v>0</v>
      </c>
      <c r="M519" t="s">
        <v>1521</v>
      </c>
    </row>
    <row r="520" spans="1:14" hidden="1" x14ac:dyDescent="0.15">
      <c r="A520" s="33" t="s">
        <v>353</v>
      </c>
      <c r="B520" s="33" t="s">
        <v>839</v>
      </c>
      <c r="C520" s="33">
        <v>62044</v>
      </c>
      <c r="D520" s="33" t="s">
        <v>339</v>
      </c>
      <c r="E520" s="33" t="s">
        <v>839</v>
      </c>
      <c r="F520" s="81">
        <v>62044</v>
      </c>
      <c r="G520">
        <f t="shared" si="28"/>
        <v>0</v>
      </c>
      <c r="H520">
        <f t="shared" si="29"/>
        <v>0</v>
      </c>
      <c r="J520">
        <v>62044</v>
      </c>
      <c r="K520">
        <f t="shared" si="30"/>
        <v>0</v>
      </c>
      <c r="L520" s="200">
        <f t="shared" si="31"/>
        <v>0</v>
      </c>
      <c r="M520" t="s">
        <v>1522</v>
      </c>
      <c r="N520" t="s">
        <v>1523</v>
      </c>
    </row>
    <row r="521" spans="1:14" hidden="1" x14ac:dyDescent="0.15">
      <c r="A521" s="33" t="s">
        <v>353</v>
      </c>
      <c r="B521" s="33" t="s">
        <v>840</v>
      </c>
      <c r="C521" s="33">
        <v>2</v>
      </c>
      <c r="D521" s="33" t="s">
        <v>339</v>
      </c>
      <c r="E521" s="33" t="s">
        <v>840</v>
      </c>
      <c r="F521" s="81">
        <v>2</v>
      </c>
      <c r="G521">
        <f t="shared" si="28"/>
        <v>0</v>
      </c>
      <c r="H521">
        <f t="shared" si="29"/>
        <v>0</v>
      </c>
      <c r="J521">
        <v>2</v>
      </c>
      <c r="K521">
        <f t="shared" si="30"/>
        <v>0</v>
      </c>
      <c r="L521" s="200">
        <f t="shared" si="31"/>
        <v>0</v>
      </c>
      <c r="M521" t="s">
        <v>1524</v>
      </c>
    </row>
    <row r="522" spans="1:14" hidden="1" x14ac:dyDescent="0.15">
      <c r="A522" s="33" t="s">
        <v>353</v>
      </c>
      <c r="B522" s="33" t="s">
        <v>841</v>
      </c>
      <c r="C522" s="33">
        <v>11</v>
      </c>
      <c r="D522" s="33" t="s">
        <v>339</v>
      </c>
      <c r="E522" s="33" t="s">
        <v>841</v>
      </c>
      <c r="F522" s="81">
        <v>11</v>
      </c>
      <c r="G522">
        <f t="shared" si="28"/>
        <v>0</v>
      </c>
      <c r="H522">
        <f t="shared" si="29"/>
        <v>0</v>
      </c>
      <c r="J522">
        <v>11</v>
      </c>
      <c r="K522">
        <f t="shared" si="30"/>
        <v>0</v>
      </c>
      <c r="L522" s="200">
        <f t="shared" si="31"/>
        <v>0</v>
      </c>
      <c r="M522" t="s">
        <v>1525</v>
      </c>
    </row>
    <row r="523" spans="1:14" hidden="1" x14ac:dyDescent="0.15">
      <c r="A523" s="33" t="s">
        <v>353</v>
      </c>
      <c r="B523" s="33" t="s">
        <v>842</v>
      </c>
      <c r="C523" s="33">
        <v>14138</v>
      </c>
      <c r="D523" s="33" t="s">
        <v>339</v>
      </c>
      <c r="E523" s="33" t="s">
        <v>842</v>
      </c>
      <c r="F523" s="81">
        <v>14138</v>
      </c>
      <c r="G523">
        <f t="shared" si="28"/>
        <v>0</v>
      </c>
      <c r="H523">
        <f t="shared" si="29"/>
        <v>0</v>
      </c>
      <c r="J523">
        <v>14138</v>
      </c>
      <c r="K523">
        <f t="shared" si="30"/>
        <v>0</v>
      </c>
      <c r="L523" s="200">
        <f t="shared" si="31"/>
        <v>0</v>
      </c>
      <c r="M523" t="s">
        <v>1526</v>
      </c>
    </row>
    <row r="524" spans="1:14" hidden="1" x14ac:dyDescent="0.15">
      <c r="A524" s="33" t="s">
        <v>353</v>
      </c>
      <c r="B524" s="33" t="s">
        <v>843</v>
      </c>
      <c r="C524" s="33">
        <v>266919</v>
      </c>
      <c r="D524" s="33" t="s">
        <v>339</v>
      </c>
      <c r="E524" s="33" t="s">
        <v>843</v>
      </c>
      <c r="F524" s="81">
        <v>266919</v>
      </c>
      <c r="G524">
        <f t="shared" si="28"/>
        <v>0</v>
      </c>
      <c r="H524">
        <f t="shared" si="29"/>
        <v>0</v>
      </c>
      <c r="J524">
        <v>266919</v>
      </c>
      <c r="K524">
        <f t="shared" si="30"/>
        <v>0</v>
      </c>
      <c r="L524" s="200">
        <f t="shared" si="31"/>
        <v>0</v>
      </c>
      <c r="M524" t="s">
        <v>1527</v>
      </c>
      <c r="N524" t="s">
        <v>1528</v>
      </c>
    </row>
    <row r="525" spans="1:14" hidden="1" x14ac:dyDescent="0.15">
      <c r="A525" s="33" t="s">
        <v>353</v>
      </c>
      <c r="B525" s="33" t="s">
        <v>844</v>
      </c>
      <c r="C525" s="33">
        <v>312</v>
      </c>
      <c r="D525" s="33" t="s">
        <v>339</v>
      </c>
      <c r="E525" s="33" t="s">
        <v>844</v>
      </c>
      <c r="F525" s="81">
        <v>312</v>
      </c>
      <c r="G525">
        <f t="shared" si="28"/>
        <v>0</v>
      </c>
      <c r="H525">
        <f t="shared" si="29"/>
        <v>0</v>
      </c>
      <c r="J525">
        <v>312</v>
      </c>
      <c r="K525">
        <f t="shared" si="30"/>
        <v>0</v>
      </c>
      <c r="L525" s="200">
        <f t="shared" si="31"/>
        <v>0</v>
      </c>
      <c r="M525" t="s">
        <v>1529</v>
      </c>
    </row>
    <row r="526" spans="1:14" hidden="1" x14ac:dyDescent="0.15">
      <c r="A526" s="33" t="s">
        <v>353</v>
      </c>
      <c r="B526" s="33" t="s">
        <v>845</v>
      </c>
      <c r="C526" s="33">
        <v>7</v>
      </c>
      <c r="D526" s="33" t="s">
        <v>339</v>
      </c>
      <c r="E526" s="33" t="s">
        <v>845</v>
      </c>
      <c r="F526" s="81">
        <v>7</v>
      </c>
      <c r="G526">
        <f t="shared" si="28"/>
        <v>0</v>
      </c>
      <c r="H526">
        <f t="shared" si="29"/>
        <v>0</v>
      </c>
      <c r="J526">
        <v>7</v>
      </c>
      <c r="K526">
        <f t="shared" si="30"/>
        <v>0</v>
      </c>
      <c r="L526" s="200">
        <f t="shared" si="31"/>
        <v>0</v>
      </c>
      <c r="M526" t="s">
        <v>1530</v>
      </c>
    </row>
    <row r="527" spans="1:14" hidden="1" x14ac:dyDescent="0.15">
      <c r="A527" s="33" t="s">
        <v>353</v>
      </c>
      <c r="B527" s="33" t="s">
        <v>846</v>
      </c>
      <c r="C527" s="33">
        <v>11</v>
      </c>
      <c r="D527" s="33" t="s">
        <v>339</v>
      </c>
      <c r="E527" s="33" t="s">
        <v>846</v>
      </c>
      <c r="F527" s="81">
        <v>11</v>
      </c>
      <c r="G527">
        <f t="shared" si="28"/>
        <v>0</v>
      </c>
      <c r="H527">
        <f t="shared" si="29"/>
        <v>0</v>
      </c>
      <c r="J527">
        <v>11</v>
      </c>
      <c r="K527">
        <f t="shared" si="30"/>
        <v>0</v>
      </c>
      <c r="L527" s="200">
        <f t="shared" si="31"/>
        <v>0</v>
      </c>
      <c r="M527" t="s">
        <v>1531</v>
      </c>
      <c r="N527" t="s">
        <v>1532</v>
      </c>
    </row>
    <row r="528" spans="1:14" hidden="1" x14ac:dyDescent="0.15">
      <c r="A528" s="33" t="s">
        <v>353</v>
      </c>
      <c r="B528" s="33" t="s">
        <v>847</v>
      </c>
      <c r="C528" s="33">
        <v>238114</v>
      </c>
      <c r="D528" s="33" t="s">
        <v>339</v>
      </c>
      <c r="E528" s="33" t="s">
        <v>847</v>
      </c>
      <c r="F528" s="81">
        <v>238114</v>
      </c>
      <c r="G528">
        <f t="shared" si="28"/>
        <v>0</v>
      </c>
      <c r="H528">
        <f t="shared" si="29"/>
        <v>0</v>
      </c>
      <c r="J528">
        <v>238114</v>
      </c>
      <c r="K528">
        <f t="shared" si="30"/>
        <v>0</v>
      </c>
      <c r="L528" s="200">
        <f t="shared" si="31"/>
        <v>0</v>
      </c>
      <c r="M528" t="s">
        <v>1533</v>
      </c>
    </row>
    <row r="529" spans="1:13" hidden="1" x14ac:dyDescent="0.15">
      <c r="A529" s="33" t="s">
        <v>353</v>
      </c>
      <c r="B529" s="33" t="s">
        <v>848</v>
      </c>
      <c r="C529" s="33">
        <v>115614</v>
      </c>
      <c r="D529" s="33" t="s">
        <v>339</v>
      </c>
      <c r="E529" s="33" t="s">
        <v>848</v>
      </c>
      <c r="F529" s="81">
        <v>115614</v>
      </c>
      <c r="G529">
        <f t="shared" ref="G529:G534" si="32">C529-F529</f>
        <v>0</v>
      </c>
      <c r="H529">
        <f t="shared" ref="H529:H534" si="33">IF(OR(C529=0, F529=0), 0, C529-F529)</f>
        <v>0</v>
      </c>
      <c r="J529">
        <v>115614</v>
      </c>
      <c r="K529">
        <f t="shared" ref="K529:K534" si="34">J529-F529</f>
        <v>0</v>
      </c>
      <c r="L529" s="200">
        <f t="shared" ref="L529:L534" si="35">IFERROR(ABS(F529 - J529) / ((F529 + J529) / 2),0)</f>
        <v>0</v>
      </c>
      <c r="M529" t="s">
        <v>1534</v>
      </c>
    </row>
    <row r="530" spans="1:13" hidden="1" x14ac:dyDescent="0.15">
      <c r="A530" s="33" t="s">
        <v>353</v>
      </c>
      <c r="B530" s="33" t="s">
        <v>849</v>
      </c>
      <c r="C530" s="33">
        <v>458184</v>
      </c>
      <c r="D530" s="33" t="s">
        <v>339</v>
      </c>
      <c r="E530" s="33" t="s">
        <v>849</v>
      </c>
      <c r="F530" s="81">
        <v>458184</v>
      </c>
      <c r="G530">
        <f t="shared" si="32"/>
        <v>0</v>
      </c>
      <c r="H530">
        <f t="shared" si="33"/>
        <v>0</v>
      </c>
      <c r="J530">
        <v>458184</v>
      </c>
      <c r="K530">
        <f t="shared" si="34"/>
        <v>0</v>
      </c>
      <c r="L530" s="200">
        <f t="shared" si="35"/>
        <v>0</v>
      </c>
      <c r="M530" t="s">
        <v>1535</v>
      </c>
    </row>
    <row r="531" spans="1:13" hidden="1" x14ac:dyDescent="0.15">
      <c r="A531" s="33" t="s">
        <v>353</v>
      </c>
      <c r="B531" s="33" t="s">
        <v>850</v>
      </c>
      <c r="C531" s="33">
        <v>1</v>
      </c>
      <c r="D531" s="33" t="s">
        <v>339</v>
      </c>
      <c r="E531" s="33" t="s">
        <v>850</v>
      </c>
      <c r="F531" s="81">
        <v>1</v>
      </c>
      <c r="G531">
        <f t="shared" si="32"/>
        <v>0</v>
      </c>
      <c r="H531">
        <f t="shared" si="33"/>
        <v>0</v>
      </c>
      <c r="J531">
        <v>1</v>
      </c>
      <c r="K531">
        <f t="shared" si="34"/>
        <v>0</v>
      </c>
      <c r="L531" s="200">
        <f t="shared" si="35"/>
        <v>0</v>
      </c>
      <c r="M531" t="s">
        <v>1536</v>
      </c>
    </row>
    <row r="532" spans="1:13" hidden="1" x14ac:dyDescent="0.15">
      <c r="A532" s="33" t="s">
        <v>353</v>
      </c>
      <c r="B532" s="33" t="s">
        <v>851</v>
      </c>
      <c r="C532" s="33">
        <v>45</v>
      </c>
      <c r="D532" s="33" t="s">
        <v>339</v>
      </c>
      <c r="E532" s="33" t="s">
        <v>851</v>
      </c>
      <c r="F532" s="81">
        <v>45</v>
      </c>
      <c r="G532">
        <f t="shared" si="32"/>
        <v>0</v>
      </c>
      <c r="H532">
        <f t="shared" si="33"/>
        <v>0</v>
      </c>
      <c r="J532">
        <v>45</v>
      </c>
      <c r="K532">
        <f t="shared" si="34"/>
        <v>0</v>
      </c>
      <c r="L532" s="200">
        <f t="shared" si="35"/>
        <v>0</v>
      </c>
      <c r="M532" t="s">
        <v>1537</v>
      </c>
    </row>
    <row r="533" spans="1:13" hidden="1" x14ac:dyDescent="0.15">
      <c r="A533" s="33" t="s">
        <v>353</v>
      </c>
      <c r="B533" s="33" t="s">
        <v>852</v>
      </c>
      <c r="C533" s="33">
        <v>1943</v>
      </c>
      <c r="D533" s="33" t="s">
        <v>339</v>
      </c>
      <c r="E533" s="33" t="s">
        <v>852</v>
      </c>
      <c r="F533" s="81">
        <v>1943</v>
      </c>
      <c r="G533">
        <f t="shared" si="32"/>
        <v>0</v>
      </c>
      <c r="H533">
        <f t="shared" si="33"/>
        <v>0</v>
      </c>
      <c r="J533">
        <v>1943</v>
      </c>
      <c r="K533">
        <f t="shared" si="34"/>
        <v>0</v>
      </c>
      <c r="L533" s="200">
        <f t="shared" si="35"/>
        <v>0</v>
      </c>
      <c r="M533" t="s">
        <v>1538</v>
      </c>
    </row>
    <row r="534" spans="1:13" hidden="1" x14ac:dyDescent="0.15">
      <c r="A534" s="33" t="s">
        <v>353</v>
      </c>
      <c r="B534" s="33" t="s">
        <v>853</v>
      </c>
      <c r="C534" s="33">
        <v>464453</v>
      </c>
      <c r="D534" s="33" t="s">
        <v>339</v>
      </c>
      <c r="E534" s="33" t="s">
        <v>853</v>
      </c>
      <c r="F534" s="81">
        <v>464453</v>
      </c>
      <c r="G534">
        <f t="shared" si="32"/>
        <v>0</v>
      </c>
      <c r="H534">
        <f t="shared" si="33"/>
        <v>0</v>
      </c>
      <c r="J534">
        <v>464453</v>
      </c>
      <c r="K534">
        <f t="shared" si="34"/>
        <v>0</v>
      </c>
      <c r="L534" s="200">
        <f t="shared" si="35"/>
        <v>0</v>
      </c>
      <c r="M534" t="s">
        <v>1539</v>
      </c>
    </row>
  </sheetData>
  <autoFilter ref="A16:N534" xr:uid="{00000000-0009-0000-0000-000005000000}">
    <filterColumn colId="8">
      <filters blank="1"/>
    </filterColumn>
    <filterColumn colId="10">
      <filters>
        <filter val="-41120"/>
        <filter val="1"/>
        <filter val="11688"/>
        <filter val="175"/>
        <filter val="2"/>
        <filter val="4"/>
        <filter val="447"/>
      </filters>
    </filterColumn>
    <sortState xmlns:xlrd2="http://schemas.microsoft.com/office/spreadsheetml/2017/richdata2" ref="A17:I896">
      <sortCondition descending="1" ref="F16:F896"/>
    </sortState>
  </autoFilter>
  <mergeCells count="2">
    <mergeCell ref="A14:C14"/>
    <mergeCell ref="D14:F14"/>
  </mergeCells>
  <conditionalFormatting sqref="E17:E534">
    <cfRule type="duplicateValues" dxfId="0" priority="12"/>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677"/>
  <sheetViews>
    <sheetView zoomScale="85" zoomScaleNormal="85" workbookViewId="0">
      <pane ySplit="12" topLeftCell="A13" activePane="bottomLeft" state="frozen"/>
      <selection pane="bottomLeft" activeCell="G527" sqref="G527:H554"/>
    </sheetView>
  </sheetViews>
  <sheetFormatPr baseColWidth="10" defaultColWidth="8.83203125" defaultRowHeight="13" x14ac:dyDescent="0.15"/>
  <cols>
    <col min="1" max="1" width="17" style="33" customWidth="1"/>
    <col min="2" max="2" width="17.33203125" style="33" customWidth="1"/>
    <col min="3" max="3" width="23.5" style="33" customWidth="1"/>
    <col min="4" max="4" width="36.83203125" style="33" bestFit="1" customWidth="1"/>
    <col min="5" max="5" width="21" style="33" customWidth="1"/>
    <col min="6" max="6" width="18.5" style="81" bestFit="1" customWidth="1"/>
    <col min="7" max="7" width="14.33203125" style="33" customWidth="1"/>
    <col min="8" max="8" width="18.83203125" style="33" bestFit="1" customWidth="1"/>
    <col min="9" max="9" width="50.33203125" style="33" bestFit="1" customWidth="1"/>
    <col min="10" max="10" width="8.83203125" style="33" customWidth="1"/>
    <col min="11" max="11" width="57.5" style="33" customWidth="1"/>
    <col min="12" max="12" width="8.83203125" style="33" customWidth="1"/>
    <col min="13" max="16384" width="8.83203125" style="33"/>
  </cols>
  <sheetData>
    <row r="1" spans="1:9" x14ac:dyDescent="0.15">
      <c r="C1" s="34"/>
    </row>
    <row r="2" spans="1:9" ht="33" customHeight="1" x14ac:dyDescent="0.25">
      <c r="A2" s="35" t="s">
        <v>329</v>
      </c>
      <c r="C2" s="34"/>
      <c r="D2" s="34"/>
    </row>
    <row r="3" spans="1:9" s="37" customFormat="1" ht="21" customHeight="1" x14ac:dyDescent="0.2">
      <c r="A3" s="36" t="s">
        <v>1540</v>
      </c>
      <c r="C3" s="38"/>
      <c r="D3" s="38"/>
      <c r="F3" s="82"/>
    </row>
    <row r="4" spans="1:9" x14ac:dyDescent="0.15">
      <c r="A4" s="39" t="s">
        <v>49</v>
      </c>
      <c r="C4" s="34" t="s">
        <v>49</v>
      </c>
    </row>
    <row r="5" spans="1:9" x14ac:dyDescent="0.15">
      <c r="A5" s="40" t="s">
        <v>331</v>
      </c>
      <c r="B5" s="41" t="s">
        <v>332</v>
      </c>
      <c r="C5" s="77"/>
    </row>
    <row r="6" spans="1:9" x14ac:dyDescent="0.15">
      <c r="A6" s="40" t="s">
        <v>333</v>
      </c>
      <c r="B6" s="41" t="s">
        <v>334</v>
      </c>
      <c r="C6" s="77"/>
    </row>
    <row r="7" spans="1:9" x14ac:dyDescent="0.15">
      <c r="A7" s="40" t="s">
        <v>335</v>
      </c>
      <c r="B7" s="41" t="s">
        <v>77</v>
      </c>
      <c r="C7" s="77"/>
    </row>
    <row r="8" spans="1:9" x14ac:dyDescent="0.15">
      <c r="A8" s="40" t="s">
        <v>336</v>
      </c>
      <c r="B8" s="41" t="s">
        <v>1541</v>
      </c>
      <c r="C8" s="77"/>
    </row>
    <row r="9" spans="1:9" x14ac:dyDescent="0.15">
      <c r="A9" s="40" t="s">
        <v>338</v>
      </c>
      <c r="B9" s="41" t="s">
        <v>1542</v>
      </c>
      <c r="C9" s="77"/>
    </row>
    <row r="10" spans="1:9" x14ac:dyDescent="0.15">
      <c r="A10" s="40" t="s">
        <v>340</v>
      </c>
      <c r="B10" s="41" t="s">
        <v>341</v>
      </c>
      <c r="C10" s="77"/>
    </row>
    <row r="11" spans="1:9" x14ac:dyDescent="0.15">
      <c r="A11" s="40" t="s">
        <v>342</v>
      </c>
      <c r="B11" s="42">
        <v>46099</v>
      </c>
      <c r="C11" s="77"/>
    </row>
    <row r="12" spans="1:9" x14ac:dyDescent="0.15">
      <c r="A12" s="40" t="s">
        <v>343</v>
      </c>
      <c r="B12" s="9"/>
      <c r="C12" s="77"/>
    </row>
    <row r="14" spans="1:9" x14ac:dyDescent="0.15">
      <c r="A14" s="204" t="s">
        <v>1543</v>
      </c>
      <c r="B14" s="205"/>
      <c r="C14" s="205"/>
      <c r="D14" s="206" t="s">
        <v>1544</v>
      </c>
      <c r="E14" s="205"/>
      <c r="F14" s="207"/>
      <c r="G14" s="32"/>
      <c r="H14" s="32"/>
    </row>
    <row r="16" spans="1:9" x14ac:dyDescent="0.15">
      <c r="A16" s="44" t="s">
        <v>346</v>
      </c>
      <c r="B16" s="44" t="s">
        <v>347</v>
      </c>
      <c r="C16" s="44" t="s">
        <v>348</v>
      </c>
      <c r="D16" s="44" t="s">
        <v>346</v>
      </c>
      <c r="E16" s="44" t="s">
        <v>347</v>
      </c>
      <c r="F16" s="83" t="s">
        <v>348</v>
      </c>
      <c r="G16" s="10" t="s">
        <v>349</v>
      </c>
      <c r="H16" s="10" t="s">
        <v>350</v>
      </c>
      <c r="I16" s="43" t="s">
        <v>351</v>
      </c>
    </row>
    <row r="17" spans="1:9" x14ac:dyDescent="0.15">
      <c r="A17" s="33" t="s">
        <v>339</v>
      </c>
      <c r="B17" s="33" t="s">
        <v>865</v>
      </c>
      <c r="C17" s="33">
        <v>48</v>
      </c>
      <c r="D17" s="33" t="s">
        <v>353</v>
      </c>
      <c r="E17" s="33" t="s">
        <v>865</v>
      </c>
      <c r="F17" s="81">
        <v>48</v>
      </c>
      <c r="G17">
        <f t="shared" ref="G17:G80" si="0">C17-F17</f>
        <v>0</v>
      </c>
      <c r="H17">
        <f t="shared" ref="H17:H80" si="1">IF(OR(C17=0, F17=0), 0, C17-F17)</f>
        <v>0</v>
      </c>
    </row>
    <row r="18" spans="1:9" x14ac:dyDescent="0.15">
      <c r="A18" s="33" t="s">
        <v>339</v>
      </c>
      <c r="B18" s="33" t="s">
        <v>352</v>
      </c>
      <c r="C18" s="33">
        <v>22</v>
      </c>
      <c r="D18" s="33" t="s">
        <v>353</v>
      </c>
      <c r="E18" s="33" t="s">
        <v>352</v>
      </c>
      <c r="F18" s="81">
        <v>22</v>
      </c>
      <c r="G18">
        <f t="shared" si="0"/>
        <v>0</v>
      </c>
      <c r="H18">
        <f t="shared" si="1"/>
        <v>0</v>
      </c>
    </row>
    <row r="19" spans="1:9" x14ac:dyDescent="0.15">
      <c r="A19" s="33" t="s">
        <v>339</v>
      </c>
      <c r="B19" s="33" t="s">
        <v>354</v>
      </c>
      <c r="C19" s="33">
        <v>142642</v>
      </c>
      <c r="D19" s="33" t="s">
        <v>353</v>
      </c>
      <c r="E19" s="33" t="s">
        <v>354</v>
      </c>
      <c r="F19" s="81">
        <v>142642</v>
      </c>
      <c r="G19">
        <f t="shared" si="0"/>
        <v>0</v>
      </c>
      <c r="H19">
        <f t="shared" si="1"/>
        <v>0</v>
      </c>
    </row>
    <row r="20" spans="1:9" x14ac:dyDescent="0.15">
      <c r="A20" s="33" t="s">
        <v>339</v>
      </c>
      <c r="B20" s="33" t="s">
        <v>355</v>
      </c>
      <c r="C20" s="33">
        <v>427521</v>
      </c>
      <c r="D20" s="33" t="s">
        <v>353</v>
      </c>
      <c r="E20" s="33" t="s">
        <v>355</v>
      </c>
      <c r="F20" s="81">
        <v>427521</v>
      </c>
      <c r="G20">
        <f t="shared" si="0"/>
        <v>0</v>
      </c>
      <c r="H20">
        <f t="shared" si="1"/>
        <v>0</v>
      </c>
    </row>
    <row r="21" spans="1:9" x14ac:dyDescent="0.15">
      <c r="A21" s="33" t="s">
        <v>339</v>
      </c>
      <c r="B21" s="33" t="s">
        <v>356</v>
      </c>
      <c r="C21" s="33">
        <v>119</v>
      </c>
      <c r="D21" s="33" t="s">
        <v>353</v>
      </c>
      <c r="E21" s="33" t="s">
        <v>356</v>
      </c>
      <c r="F21" s="81">
        <v>119</v>
      </c>
      <c r="G21">
        <f t="shared" si="0"/>
        <v>0</v>
      </c>
      <c r="H21">
        <f t="shared" si="1"/>
        <v>0</v>
      </c>
    </row>
    <row r="22" spans="1:9" x14ac:dyDescent="0.15">
      <c r="A22" s="33" t="s">
        <v>339</v>
      </c>
      <c r="B22" s="33" t="s">
        <v>358</v>
      </c>
      <c r="C22" s="33">
        <v>7970712</v>
      </c>
      <c r="D22" s="33" t="s">
        <v>353</v>
      </c>
      <c r="E22" s="33" t="s">
        <v>358</v>
      </c>
      <c r="F22" s="81">
        <v>7970712</v>
      </c>
      <c r="G22">
        <f t="shared" si="0"/>
        <v>0</v>
      </c>
      <c r="H22">
        <f t="shared" si="1"/>
        <v>0</v>
      </c>
    </row>
    <row r="23" spans="1:9" x14ac:dyDescent="0.15">
      <c r="A23" s="33" t="s">
        <v>339</v>
      </c>
      <c r="B23" s="33" t="s">
        <v>359</v>
      </c>
      <c r="C23" s="33">
        <v>499458</v>
      </c>
      <c r="D23" s="33" t="s">
        <v>353</v>
      </c>
      <c r="E23" s="33" t="s">
        <v>359</v>
      </c>
      <c r="F23" s="81">
        <v>499458</v>
      </c>
      <c r="G23">
        <f t="shared" si="0"/>
        <v>0</v>
      </c>
      <c r="H23">
        <f t="shared" si="1"/>
        <v>0</v>
      </c>
    </row>
    <row r="24" spans="1:9" x14ac:dyDescent="0.15">
      <c r="A24" s="33" t="s">
        <v>339</v>
      </c>
      <c r="B24" s="33" t="s">
        <v>360</v>
      </c>
      <c r="C24" s="33">
        <v>568925</v>
      </c>
      <c r="D24" s="33" t="s">
        <v>353</v>
      </c>
      <c r="E24" s="33" t="s">
        <v>360</v>
      </c>
      <c r="F24" s="81">
        <v>568925</v>
      </c>
      <c r="G24">
        <f t="shared" si="0"/>
        <v>0</v>
      </c>
      <c r="H24">
        <f t="shared" si="1"/>
        <v>0</v>
      </c>
    </row>
    <row r="25" spans="1:9" x14ac:dyDescent="0.15">
      <c r="A25" s="33" t="s">
        <v>339</v>
      </c>
      <c r="B25" s="33" t="s">
        <v>361</v>
      </c>
      <c r="C25" s="33">
        <v>250</v>
      </c>
      <c r="D25" s="33" t="s">
        <v>353</v>
      </c>
      <c r="E25" s="33" t="s">
        <v>361</v>
      </c>
      <c r="F25" s="81">
        <v>250</v>
      </c>
      <c r="G25">
        <f t="shared" si="0"/>
        <v>0</v>
      </c>
      <c r="H25">
        <f t="shared" si="1"/>
        <v>0</v>
      </c>
    </row>
    <row r="26" spans="1:9" x14ac:dyDescent="0.15">
      <c r="A26" s="33" t="s">
        <v>339</v>
      </c>
      <c r="B26" s="33" t="s">
        <v>362</v>
      </c>
      <c r="C26" s="33">
        <v>31019</v>
      </c>
      <c r="D26" s="33" t="s">
        <v>353</v>
      </c>
      <c r="E26" s="33" t="s">
        <v>362</v>
      </c>
      <c r="F26" s="81">
        <v>31019</v>
      </c>
      <c r="G26">
        <f t="shared" si="0"/>
        <v>0</v>
      </c>
      <c r="H26">
        <f t="shared" si="1"/>
        <v>0</v>
      </c>
    </row>
    <row r="27" spans="1:9" x14ac:dyDescent="0.15">
      <c r="A27" s="33" t="s">
        <v>339</v>
      </c>
      <c r="B27" s="33" t="s">
        <v>363</v>
      </c>
      <c r="C27">
        <v>18</v>
      </c>
      <c r="D27" s="33" t="s">
        <v>353</v>
      </c>
      <c r="E27" s="33" t="s">
        <v>363</v>
      </c>
      <c r="F27" s="81">
        <v>18</v>
      </c>
      <c r="G27">
        <f t="shared" si="0"/>
        <v>0</v>
      </c>
      <c r="H27">
        <f t="shared" si="1"/>
        <v>0</v>
      </c>
      <c r="I27" s="13"/>
    </row>
    <row r="28" spans="1:9" x14ac:dyDescent="0.15">
      <c r="A28" s="33" t="s">
        <v>339</v>
      </c>
      <c r="B28" s="33" t="s">
        <v>364</v>
      </c>
      <c r="C28" s="33">
        <v>526</v>
      </c>
      <c r="D28" s="33" t="s">
        <v>353</v>
      </c>
      <c r="E28" s="33" t="s">
        <v>364</v>
      </c>
      <c r="F28" s="81">
        <v>526</v>
      </c>
      <c r="G28">
        <f t="shared" si="0"/>
        <v>0</v>
      </c>
      <c r="H28">
        <f t="shared" si="1"/>
        <v>0</v>
      </c>
    </row>
    <row r="29" spans="1:9" x14ac:dyDescent="0.15">
      <c r="A29" s="33" t="s">
        <v>339</v>
      </c>
      <c r="B29" s="33" t="s">
        <v>365</v>
      </c>
      <c r="C29" s="33">
        <v>6480</v>
      </c>
      <c r="D29" s="33" t="s">
        <v>353</v>
      </c>
      <c r="E29" s="33" t="s">
        <v>365</v>
      </c>
      <c r="F29" s="81">
        <v>6480</v>
      </c>
      <c r="G29">
        <f t="shared" si="0"/>
        <v>0</v>
      </c>
      <c r="H29">
        <f t="shared" si="1"/>
        <v>0</v>
      </c>
    </row>
    <row r="30" spans="1:9" x14ac:dyDescent="0.15">
      <c r="A30" s="33" t="s">
        <v>339</v>
      </c>
      <c r="B30" s="33" t="s">
        <v>366</v>
      </c>
      <c r="C30" s="33">
        <v>2006670</v>
      </c>
      <c r="D30" s="33" t="s">
        <v>353</v>
      </c>
      <c r="E30" s="33" t="s">
        <v>366</v>
      </c>
      <c r="F30" s="81">
        <v>2006670</v>
      </c>
      <c r="G30">
        <f t="shared" si="0"/>
        <v>0</v>
      </c>
      <c r="H30">
        <f t="shared" si="1"/>
        <v>0</v>
      </c>
    </row>
    <row r="31" spans="1:9" x14ac:dyDescent="0.15">
      <c r="A31" s="33" t="s">
        <v>339</v>
      </c>
      <c r="B31" s="33" t="s">
        <v>367</v>
      </c>
      <c r="C31" s="33">
        <v>9</v>
      </c>
      <c r="D31" s="33" t="s">
        <v>353</v>
      </c>
      <c r="E31" s="33" t="s">
        <v>367</v>
      </c>
      <c r="F31" s="81">
        <v>9</v>
      </c>
      <c r="G31">
        <f t="shared" si="0"/>
        <v>0</v>
      </c>
      <c r="H31">
        <f t="shared" si="1"/>
        <v>0</v>
      </c>
    </row>
    <row r="32" spans="1:9" x14ac:dyDescent="0.15">
      <c r="A32" s="33" t="s">
        <v>339</v>
      </c>
      <c r="B32" s="33" t="s">
        <v>369</v>
      </c>
      <c r="C32" s="33">
        <v>6885</v>
      </c>
      <c r="D32" s="33" t="s">
        <v>353</v>
      </c>
      <c r="E32" s="33" t="s">
        <v>369</v>
      </c>
      <c r="F32" s="81">
        <v>6885</v>
      </c>
      <c r="G32">
        <f t="shared" si="0"/>
        <v>0</v>
      </c>
      <c r="H32">
        <f t="shared" si="1"/>
        <v>0</v>
      </c>
    </row>
    <row r="33" spans="1:8" x14ac:dyDescent="0.15">
      <c r="A33" s="33" t="s">
        <v>339</v>
      </c>
      <c r="B33" s="33" t="s">
        <v>370</v>
      </c>
      <c r="C33" s="33">
        <v>2255</v>
      </c>
      <c r="D33" s="33" t="s">
        <v>353</v>
      </c>
      <c r="E33" s="33" t="s">
        <v>370</v>
      </c>
      <c r="F33" s="81">
        <v>2255</v>
      </c>
      <c r="G33">
        <f t="shared" si="0"/>
        <v>0</v>
      </c>
      <c r="H33">
        <f t="shared" si="1"/>
        <v>0</v>
      </c>
    </row>
    <row r="34" spans="1:8" x14ac:dyDescent="0.15">
      <c r="A34" s="33" t="s">
        <v>339</v>
      </c>
      <c r="B34" s="33" t="s">
        <v>371</v>
      </c>
      <c r="C34" s="33">
        <v>30007026</v>
      </c>
      <c r="D34" s="33" t="s">
        <v>353</v>
      </c>
      <c r="E34" s="33" t="s">
        <v>371</v>
      </c>
      <c r="F34" s="81">
        <v>30007026</v>
      </c>
      <c r="G34">
        <f t="shared" si="0"/>
        <v>0</v>
      </c>
      <c r="H34">
        <f t="shared" si="1"/>
        <v>0</v>
      </c>
    </row>
    <row r="35" spans="1:8" x14ac:dyDescent="0.15">
      <c r="A35" s="33" t="s">
        <v>339</v>
      </c>
      <c r="B35" s="33" t="s">
        <v>372</v>
      </c>
      <c r="C35" s="33">
        <v>1117</v>
      </c>
      <c r="D35" s="33" t="s">
        <v>353</v>
      </c>
      <c r="E35" s="33" t="s">
        <v>372</v>
      </c>
      <c r="F35" s="81">
        <v>1117</v>
      </c>
      <c r="G35">
        <f t="shared" si="0"/>
        <v>0</v>
      </c>
      <c r="H35">
        <f t="shared" si="1"/>
        <v>0</v>
      </c>
    </row>
    <row r="36" spans="1:8" x14ac:dyDescent="0.15">
      <c r="A36" s="33" t="s">
        <v>339</v>
      </c>
      <c r="B36" s="33" t="s">
        <v>373</v>
      </c>
      <c r="C36" s="33">
        <v>2309</v>
      </c>
      <c r="D36" s="33" t="s">
        <v>353</v>
      </c>
      <c r="E36" s="33" t="s">
        <v>373</v>
      </c>
      <c r="F36" s="81">
        <v>2309</v>
      </c>
      <c r="G36">
        <f t="shared" si="0"/>
        <v>0</v>
      </c>
      <c r="H36">
        <f t="shared" si="1"/>
        <v>0</v>
      </c>
    </row>
    <row r="37" spans="1:8" x14ac:dyDescent="0.15">
      <c r="A37" s="33" t="s">
        <v>339</v>
      </c>
      <c r="B37" s="33" t="s">
        <v>374</v>
      </c>
      <c r="C37" s="33">
        <v>43</v>
      </c>
      <c r="D37" s="33" t="s">
        <v>353</v>
      </c>
      <c r="E37" s="33" t="s">
        <v>374</v>
      </c>
      <c r="F37" s="81">
        <v>43</v>
      </c>
      <c r="G37">
        <f t="shared" si="0"/>
        <v>0</v>
      </c>
      <c r="H37">
        <f t="shared" si="1"/>
        <v>0</v>
      </c>
    </row>
    <row r="38" spans="1:8" x14ac:dyDescent="0.15">
      <c r="A38" s="33" t="s">
        <v>339</v>
      </c>
      <c r="B38" s="33" t="s">
        <v>375</v>
      </c>
      <c r="C38" s="33">
        <v>58389</v>
      </c>
      <c r="D38" s="33" t="s">
        <v>353</v>
      </c>
      <c r="E38" s="33" t="s">
        <v>375</v>
      </c>
      <c r="F38" s="81">
        <v>58389</v>
      </c>
      <c r="G38">
        <f t="shared" si="0"/>
        <v>0</v>
      </c>
      <c r="H38">
        <f t="shared" si="1"/>
        <v>0</v>
      </c>
    </row>
    <row r="39" spans="1:8" x14ac:dyDescent="0.15">
      <c r="A39" s="33" t="s">
        <v>339</v>
      </c>
      <c r="B39" s="33" t="s">
        <v>376</v>
      </c>
      <c r="C39" s="33">
        <v>81382</v>
      </c>
      <c r="D39" s="33" t="s">
        <v>353</v>
      </c>
      <c r="E39" s="33" t="s">
        <v>376</v>
      </c>
      <c r="F39" s="81">
        <v>81382</v>
      </c>
      <c r="G39">
        <f t="shared" si="0"/>
        <v>0</v>
      </c>
      <c r="H39">
        <f t="shared" si="1"/>
        <v>0</v>
      </c>
    </row>
    <row r="40" spans="1:8" x14ac:dyDescent="0.15">
      <c r="A40" s="33" t="s">
        <v>339</v>
      </c>
      <c r="B40" s="33" t="s">
        <v>377</v>
      </c>
      <c r="C40" s="33">
        <v>11607</v>
      </c>
      <c r="D40" s="33" t="s">
        <v>353</v>
      </c>
      <c r="E40" s="33" t="s">
        <v>377</v>
      </c>
      <c r="F40" s="81">
        <v>11607</v>
      </c>
      <c r="G40">
        <f t="shared" si="0"/>
        <v>0</v>
      </c>
      <c r="H40">
        <f t="shared" si="1"/>
        <v>0</v>
      </c>
    </row>
    <row r="41" spans="1:8" x14ac:dyDescent="0.15">
      <c r="A41" s="33" t="s">
        <v>339</v>
      </c>
      <c r="B41" s="33" t="s">
        <v>378</v>
      </c>
      <c r="C41" s="33">
        <v>10</v>
      </c>
      <c r="D41" s="33" t="s">
        <v>353</v>
      </c>
      <c r="E41" s="33" t="s">
        <v>378</v>
      </c>
      <c r="F41" s="81">
        <v>10</v>
      </c>
      <c r="G41">
        <f t="shared" si="0"/>
        <v>0</v>
      </c>
      <c r="H41">
        <f t="shared" si="1"/>
        <v>0</v>
      </c>
    </row>
    <row r="42" spans="1:8" x14ac:dyDescent="0.15">
      <c r="A42" s="33" t="s">
        <v>339</v>
      </c>
      <c r="B42" s="33" t="s">
        <v>379</v>
      </c>
      <c r="C42" s="33">
        <v>638</v>
      </c>
      <c r="D42" s="33" t="s">
        <v>353</v>
      </c>
      <c r="E42" s="33" t="s">
        <v>379</v>
      </c>
      <c r="F42" s="81">
        <v>638</v>
      </c>
      <c r="G42">
        <f t="shared" si="0"/>
        <v>0</v>
      </c>
      <c r="H42">
        <f t="shared" si="1"/>
        <v>0</v>
      </c>
    </row>
    <row r="43" spans="1:8" x14ac:dyDescent="0.15">
      <c r="A43" s="33" t="s">
        <v>339</v>
      </c>
      <c r="B43" s="33" t="s">
        <v>380</v>
      </c>
      <c r="C43" s="33">
        <v>20</v>
      </c>
      <c r="D43" s="33" t="s">
        <v>353</v>
      </c>
      <c r="E43" s="33" t="s">
        <v>380</v>
      </c>
      <c r="F43" s="81">
        <v>20</v>
      </c>
      <c r="G43">
        <f t="shared" si="0"/>
        <v>0</v>
      </c>
      <c r="H43">
        <f t="shared" si="1"/>
        <v>0</v>
      </c>
    </row>
    <row r="44" spans="1:8" x14ac:dyDescent="0.15">
      <c r="A44" s="33" t="s">
        <v>339</v>
      </c>
      <c r="B44" s="33" t="s">
        <v>381</v>
      </c>
      <c r="C44" s="33">
        <v>45255</v>
      </c>
      <c r="D44" s="33" t="s">
        <v>353</v>
      </c>
      <c r="E44" s="33" t="s">
        <v>381</v>
      </c>
      <c r="F44" s="81">
        <v>45255</v>
      </c>
      <c r="G44">
        <f t="shared" si="0"/>
        <v>0</v>
      </c>
      <c r="H44">
        <f t="shared" si="1"/>
        <v>0</v>
      </c>
    </row>
    <row r="45" spans="1:8" x14ac:dyDescent="0.15">
      <c r="A45" s="33" t="s">
        <v>339</v>
      </c>
      <c r="B45" s="33" t="s">
        <v>382</v>
      </c>
      <c r="C45" s="33">
        <v>11</v>
      </c>
      <c r="D45" s="33" t="s">
        <v>353</v>
      </c>
      <c r="E45" s="33" t="s">
        <v>382</v>
      </c>
      <c r="F45" s="81">
        <v>11</v>
      </c>
      <c r="G45">
        <f t="shared" si="0"/>
        <v>0</v>
      </c>
      <c r="H45">
        <f t="shared" si="1"/>
        <v>0</v>
      </c>
    </row>
    <row r="46" spans="1:8" x14ac:dyDescent="0.15">
      <c r="A46" s="33" t="s">
        <v>339</v>
      </c>
      <c r="B46" s="33" t="s">
        <v>383</v>
      </c>
      <c r="C46" s="33">
        <v>147499</v>
      </c>
      <c r="D46" s="33" t="s">
        <v>353</v>
      </c>
      <c r="E46" s="33" t="s">
        <v>383</v>
      </c>
      <c r="F46" s="81">
        <v>147499</v>
      </c>
      <c r="G46">
        <f t="shared" si="0"/>
        <v>0</v>
      </c>
      <c r="H46">
        <f t="shared" si="1"/>
        <v>0</v>
      </c>
    </row>
    <row r="47" spans="1:8" x14ac:dyDescent="0.15">
      <c r="A47" s="33" t="s">
        <v>339</v>
      </c>
      <c r="B47" s="33" t="s">
        <v>384</v>
      </c>
      <c r="C47" s="33">
        <v>477</v>
      </c>
      <c r="D47" s="33" t="s">
        <v>353</v>
      </c>
      <c r="E47" s="33" t="s">
        <v>384</v>
      </c>
      <c r="F47" s="81">
        <v>477</v>
      </c>
      <c r="G47">
        <f t="shared" si="0"/>
        <v>0</v>
      </c>
      <c r="H47">
        <f t="shared" si="1"/>
        <v>0</v>
      </c>
    </row>
    <row r="48" spans="1:8" x14ac:dyDescent="0.15">
      <c r="A48" s="33" t="s">
        <v>339</v>
      </c>
      <c r="B48" s="33" t="s">
        <v>385</v>
      </c>
      <c r="C48" s="33">
        <v>11207</v>
      </c>
      <c r="D48" s="33" t="s">
        <v>353</v>
      </c>
      <c r="E48" s="33" t="s">
        <v>385</v>
      </c>
      <c r="F48" s="81">
        <v>11207</v>
      </c>
      <c r="G48">
        <f t="shared" si="0"/>
        <v>0</v>
      </c>
      <c r="H48">
        <f t="shared" si="1"/>
        <v>0</v>
      </c>
    </row>
    <row r="49" spans="1:8" x14ac:dyDescent="0.15">
      <c r="A49" s="33" t="s">
        <v>339</v>
      </c>
      <c r="B49" s="33" t="s">
        <v>386</v>
      </c>
      <c r="C49" s="33">
        <v>1214</v>
      </c>
      <c r="D49" s="33" t="s">
        <v>353</v>
      </c>
      <c r="E49" s="33" t="s">
        <v>386</v>
      </c>
      <c r="F49" s="81">
        <v>1214</v>
      </c>
      <c r="G49">
        <f t="shared" si="0"/>
        <v>0</v>
      </c>
      <c r="H49">
        <f t="shared" si="1"/>
        <v>0</v>
      </c>
    </row>
    <row r="50" spans="1:8" x14ac:dyDescent="0.15">
      <c r="A50" s="33" t="s">
        <v>339</v>
      </c>
      <c r="B50" s="33" t="s">
        <v>387</v>
      </c>
      <c r="C50" s="33">
        <v>59483</v>
      </c>
      <c r="D50" s="33" t="s">
        <v>353</v>
      </c>
      <c r="E50" s="33" t="s">
        <v>387</v>
      </c>
      <c r="F50" s="81">
        <v>59483</v>
      </c>
      <c r="G50">
        <f t="shared" si="0"/>
        <v>0</v>
      </c>
      <c r="H50">
        <f t="shared" si="1"/>
        <v>0</v>
      </c>
    </row>
    <row r="51" spans="1:8" x14ac:dyDescent="0.15">
      <c r="A51" s="33" t="s">
        <v>339</v>
      </c>
      <c r="B51" s="33" t="s">
        <v>388</v>
      </c>
      <c r="C51" s="33">
        <v>46728</v>
      </c>
      <c r="D51" s="33" t="s">
        <v>353</v>
      </c>
      <c r="E51" s="33" t="s">
        <v>388</v>
      </c>
      <c r="F51" s="81">
        <v>46728</v>
      </c>
      <c r="G51">
        <f t="shared" si="0"/>
        <v>0</v>
      </c>
      <c r="H51">
        <f t="shared" si="1"/>
        <v>0</v>
      </c>
    </row>
    <row r="52" spans="1:8" x14ac:dyDescent="0.15">
      <c r="A52" s="33" t="s">
        <v>339</v>
      </c>
      <c r="B52" s="33" t="s">
        <v>389</v>
      </c>
      <c r="C52" s="33">
        <v>4968</v>
      </c>
      <c r="D52" s="33" t="s">
        <v>353</v>
      </c>
      <c r="E52" s="33" t="s">
        <v>389</v>
      </c>
      <c r="F52" s="81">
        <v>4968</v>
      </c>
      <c r="G52">
        <f t="shared" si="0"/>
        <v>0</v>
      </c>
      <c r="H52">
        <f t="shared" si="1"/>
        <v>0</v>
      </c>
    </row>
    <row r="53" spans="1:8" x14ac:dyDescent="0.15">
      <c r="A53" s="33" t="s">
        <v>339</v>
      </c>
      <c r="B53" s="33" t="s">
        <v>390</v>
      </c>
      <c r="C53" s="33">
        <v>1</v>
      </c>
      <c r="D53" s="33" t="s">
        <v>353</v>
      </c>
      <c r="E53" s="33" t="s">
        <v>390</v>
      </c>
      <c r="F53" s="81">
        <v>1</v>
      </c>
      <c r="G53">
        <f t="shared" si="0"/>
        <v>0</v>
      </c>
      <c r="H53">
        <f t="shared" si="1"/>
        <v>0</v>
      </c>
    </row>
    <row r="54" spans="1:8" x14ac:dyDescent="0.15">
      <c r="A54" s="33" t="s">
        <v>339</v>
      </c>
      <c r="B54" s="33" t="s">
        <v>391</v>
      </c>
      <c r="C54" s="33">
        <v>46561</v>
      </c>
      <c r="D54" s="33" t="s">
        <v>353</v>
      </c>
      <c r="E54" s="33" t="s">
        <v>391</v>
      </c>
      <c r="F54" s="81">
        <v>46561</v>
      </c>
      <c r="G54">
        <f t="shared" si="0"/>
        <v>0</v>
      </c>
      <c r="H54">
        <f t="shared" si="1"/>
        <v>0</v>
      </c>
    </row>
    <row r="55" spans="1:8" x14ac:dyDescent="0.15">
      <c r="A55" s="33" t="s">
        <v>339</v>
      </c>
      <c r="B55" s="33" t="s">
        <v>392</v>
      </c>
      <c r="C55" s="33">
        <v>536092</v>
      </c>
      <c r="D55" s="33" t="s">
        <v>353</v>
      </c>
      <c r="E55" s="33" t="s">
        <v>392</v>
      </c>
      <c r="F55" s="81">
        <v>536092</v>
      </c>
      <c r="G55">
        <f t="shared" si="0"/>
        <v>0</v>
      </c>
      <c r="H55">
        <f t="shared" si="1"/>
        <v>0</v>
      </c>
    </row>
    <row r="56" spans="1:8" x14ac:dyDescent="0.15">
      <c r="A56" s="33" t="s">
        <v>339</v>
      </c>
      <c r="B56" s="33" t="s">
        <v>393</v>
      </c>
      <c r="C56" s="33">
        <v>53</v>
      </c>
      <c r="D56" s="33" t="s">
        <v>353</v>
      </c>
      <c r="E56" s="33" t="s">
        <v>393</v>
      </c>
      <c r="F56" s="81">
        <v>53</v>
      </c>
      <c r="G56">
        <f t="shared" si="0"/>
        <v>0</v>
      </c>
      <c r="H56">
        <f t="shared" si="1"/>
        <v>0</v>
      </c>
    </row>
    <row r="57" spans="1:8" x14ac:dyDescent="0.15">
      <c r="A57" s="33" t="s">
        <v>339</v>
      </c>
      <c r="B57" s="33" t="s">
        <v>394</v>
      </c>
      <c r="C57" s="33">
        <v>250900</v>
      </c>
      <c r="D57" s="33" t="s">
        <v>353</v>
      </c>
      <c r="E57" s="33" t="s">
        <v>394</v>
      </c>
      <c r="F57" s="81">
        <v>250900</v>
      </c>
      <c r="G57">
        <f t="shared" si="0"/>
        <v>0</v>
      </c>
      <c r="H57">
        <f t="shared" si="1"/>
        <v>0</v>
      </c>
    </row>
    <row r="58" spans="1:8" x14ac:dyDescent="0.15">
      <c r="A58" s="33" t="s">
        <v>339</v>
      </c>
      <c r="B58" s="33" t="s">
        <v>395</v>
      </c>
      <c r="C58" s="33">
        <v>167</v>
      </c>
      <c r="D58" s="33" t="s">
        <v>353</v>
      </c>
      <c r="E58" s="33" t="s">
        <v>395</v>
      </c>
      <c r="F58" s="81">
        <v>167</v>
      </c>
      <c r="G58">
        <f t="shared" si="0"/>
        <v>0</v>
      </c>
      <c r="H58">
        <f t="shared" si="1"/>
        <v>0</v>
      </c>
    </row>
    <row r="59" spans="1:8" x14ac:dyDescent="0.15">
      <c r="A59" s="33" t="s">
        <v>339</v>
      </c>
      <c r="B59" s="33" t="s">
        <v>396</v>
      </c>
      <c r="C59" s="33">
        <v>403689</v>
      </c>
      <c r="D59" s="33" t="s">
        <v>353</v>
      </c>
      <c r="E59" s="33" t="s">
        <v>396</v>
      </c>
      <c r="F59" s="81">
        <v>403689</v>
      </c>
      <c r="G59">
        <f t="shared" si="0"/>
        <v>0</v>
      </c>
      <c r="H59">
        <f t="shared" si="1"/>
        <v>0</v>
      </c>
    </row>
    <row r="60" spans="1:8" x14ac:dyDescent="0.15">
      <c r="A60" s="33" t="s">
        <v>339</v>
      </c>
      <c r="B60" s="33" t="s">
        <v>397</v>
      </c>
      <c r="C60" s="33">
        <v>818508</v>
      </c>
      <c r="D60" s="33" t="s">
        <v>353</v>
      </c>
      <c r="E60" s="33" t="s">
        <v>397</v>
      </c>
      <c r="F60" s="81">
        <v>818508</v>
      </c>
      <c r="G60">
        <f t="shared" si="0"/>
        <v>0</v>
      </c>
      <c r="H60">
        <f t="shared" si="1"/>
        <v>0</v>
      </c>
    </row>
    <row r="61" spans="1:8" x14ac:dyDescent="0.15">
      <c r="A61" s="33" t="s">
        <v>339</v>
      </c>
      <c r="B61" s="33" t="s">
        <v>398</v>
      </c>
      <c r="C61" s="33">
        <v>11</v>
      </c>
      <c r="D61" s="33" t="s">
        <v>353</v>
      </c>
      <c r="E61" s="33" t="s">
        <v>398</v>
      </c>
      <c r="F61" s="81">
        <v>11</v>
      </c>
      <c r="G61">
        <f t="shared" si="0"/>
        <v>0</v>
      </c>
      <c r="H61">
        <f t="shared" si="1"/>
        <v>0</v>
      </c>
    </row>
    <row r="62" spans="1:8" x14ac:dyDescent="0.15">
      <c r="A62" s="33" t="s">
        <v>339</v>
      </c>
      <c r="B62" s="33" t="s">
        <v>399</v>
      </c>
      <c r="C62" s="33">
        <v>152</v>
      </c>
      <c r="D62" s="33" t="s">
        <v>353</v>
      </c>
      <c r="E62" s="33" t="s">
        <v>399</v>
      </c>
      <c r="F62" s="81">
        <v>152</v>
      </c>
      <c r="G62">
        <f t="shared" si="0"/>
        <v>0</v>
      </c>
      <c r="H62">
        <f t="shared" si="1"/>
        <v>0</v>
      </c>
    </row>
    <row r="63" spans="1:8" x14ac:dyDescent="0.15">
      <c r="A63" s="33" t="s">
        <v>339</v>
      </c>
      <c r="B63" s="33" t="s">
        <v>400</v>
      </c>
      <c r="C63" s="33">
        <v>777</v>
      </c>
      <c r="D63" s="33" t="s">
        <v>353</v>
      </c>
      <c r="E63" s="33" t="s">
        <v>400</v>
      </c>
      <c r="F63" s="81">
        <v>777</v>
      </c>
      <c r="G63">
        <f t="shared" si="0"/>
        <v>0</v>
      </c>
      <c r="H63">
        <f t="shared" si="1"/>
        <v>0</v>
      </c>
    </row>
    <row r="64" spans="1:8" x14ac:dyDescent="0.15">
      <c r="A64" s="33" t="s">
        <v>339</v>
      </c>
      <c r="B64" s="33" t="s">
        <v>401</v>
      </c>
      <c r="C64" s="33">
        <v>70654</v>
      </c>
      <c r="D64" s="33" t="s">
        <v>353</v>
      </c>
      <c r="E64" s="33" t="s">
        <v>401</v>
      </c>
      <c r="F64" s="81">
        <v>70654</v>
      </c>
      <c r="G64">
        <f t="shared" si="0"/>
        <v>0</v>
      </c>
      <c r="H64">
        <f t="shared" si="1"/>
        <v>0</v>
      </c>
    </row>
    <row r="65" spans="1:9" x14ac:dyDescent="0.15">
      <c r="A65" s="33" t="s">
        <v>339</v>
      </c>
      <c r="B65" s="33" t="s">
        <v>402</v>
      </c>
      <c r="C65" s="33">
        <v>2</v>
      </c>
      <c r="D65" s="33" t="s">
        <v>353</v>
      </c>
      <c r="E65" s="33" t="s">
        <v>402</v>
      </c>
      <c r="F65" s="81">
        <v>2</v>
      </c>
      <c r="G65">
        <f t="shared" si="0"/>
        <v>0</v>
      </c>
      <c r="H65">
        <f t="shared" si="1"/>
        <v>0</v>
      </c>
    </row>
    <row r="66" spans="1:9" x14ac:dyDescent="0.15">
      <c r="A66" s="33" t="s">
        <v>339</v>
      </c>
      <c r="B66" s="33" t="s">
        <v>403</v>
      </c>
      <c r="C66" s="33">
        <v>897</v>
      </c>
      <c r="D66" s="33" t="s">
        <v>353</v>
      </c>
      <c r="E66" s="33" t="s">
        <v>403</v>
      </c>
      <c r="F66" s="81">
        <v>897</v>
      </c>
      <c r="G66">
        <f t="shared" si="0"/>
        <v>0</v>
      </c>
      <c r="H66">
        <f t="shared" si="1"/>
        <v>0</v>
      </c>
    </row>
    <row r="67" spans="1:9" x14ac:dyDescent="0.15">
      <c r="A67" s="33" t="s">
        <v>339</v>
      </c>
      <c r="B67" s="33" t="s">
        <v>404</v>
      </c>
      <c r="C67" s="33">
        <v>4382</v>
      </c>
      <c r="D67" s="33" t="s">
        <v>353</v>
      </c>
      <c r="E67" s="33" t="s">
        <v>404</v>
      </c>
      <c r="F67" s="81">
        <v>4382</v>
      </c>
      <c r="G67">
        <f t="shared" si="0"/>
        <v>0</v>
      </c>
      <c r="H67">
        <f t="shared" si="1"/>
        <v>0</v>
      </c>
    </row>
    <row r="68" spans="1:9" x14ac:dyDescent="0.15">
      <c r="A68" s="33" t="s">
        <v>339</v>
      </c>
      <c r="B68" s="33" t="s">
        <v>405</v>
      </c>
      <c r="C68" s="33">
        <v>132089</v>
      </c>
      <c r="D68" s="33" t="s">
        <v>353</v>
      </c>
      <c r="E68" s="33" t="s">
        <v>405</v>
      </c>
      <c r="F68" s="81">
        <v>132089</v>
      </c>
      <c r="G68">
        <f t="shared" si="0"/>
        <v>0</v>
      </c>
      <c r="H68">
        <f t="shared" si="1"/>
        <v>0</v>
      </c>
    </row>
    <row r="69" spans="1:9" x14ac:dyDescent="0.15">
      <c r="A69" s="33" t="s">
        <v>339</v>
      </c>
      <c r="B69" s="33" t="s">
        <v>406</v>
      </c>
      <c r="C69" s="33">
        <v>6032</v>
      </c>
      <c r="D69" s="33" t="s">
        <v>353</v>
      </c>
      <c r="E69" s="33" t="s">
        <v>406</v>
      </c>
      <c r="F69" s="81">
        <v>6032</v>
      </c>
      <c r="G69">
        <f t="shared" si="0"/>
        <v>0</v>
      </c>
      <c r="H69">
        <f t="shared" si="1"/>
        <v>0</v>
      </c>
    </row>
    <row r="70" spans="1:9" x14ac:dyDescent="0.15">
      <c r="A70" s="33" t="s">
        <v>339</v>
      </c>
      <c r="B70" s="33" t="s">
        <v>407</v>
      </c>
      <c r="C70">
        <v>119165</v>
      </c>
      <c r="D70" s="33" t="s">
        <v>353</v>
      </c>
      <c r="E70" s="33" t="s">
        <v>407</v>
      </c>
      <c r="F70" s="81">
        <v>119165</v>
      </c>
      <c r="G70">
        <f t="shared" si="0"/>
        <v>0</v>
      </c>
      <c r="H70">
        <f t="shared" si="1"/>
        <v>0</v>
      </c>
      <c r="I70" s="13"/>
    </row>
    <row r="71" spans="1:9" x14ac:dyDescent="0.15">
      <c r="A71" s="33" t="s">
        <v>339</v>
      </c>
      <c r="B71" s="33" t="s">
        <v>408</v>
      </c>
      <c r="C71" s="33">
        <v>488</v>
      </c>
      <c r="D71" s="33" t="s">
        <v>353</v>
      </c>
      <c r="E71" s="33" t="s">
        <v>408</v>
      </c>
      <c r="F71" s="81">
        <v>488</v>
      </c>
      <c r="G71">
        <f t="shared" si="0"/>
        <v>0</v>
      </c>
      <c r="H71">
        <f t="shared" si="1"/>
        <v>0</v>
      </c>
    </row>
    <row r="72" spans="1:9" x14ac:dyDescent="0.15">
      <c r="A72" s="33" t="s">
        <v>339</v>
      </c>
      <c r="B72" s="33" t="s">
        <v>409</v>
      </c>
      <c r="C72" s="33">
        <v>2</v>
      </c>
      <c r="D72" s="33" t="s">
        <v>353</v>
      </c>
      <c r="E72" s="33" t="s">
        <v>409</v>
      </c>
      <c r="F72" s="81">
        <v>2</v>
      </c>
      <c r="G72">
        <f t="shared" si="0"/>
        <v>0</v>
      </c>
      <c r="H72">
        <f t="shared" si="1"/>
        <v>0</v>
      </c>
    </row>
    <row r="73" spans="1:9" x14ac:dyDescent="0.15">
      <c r="A73" s="33" t="s">
        <v>339</v>
      </c>
      <c r="B73" s="33" t="s">
        <v>410</v>
      </c>
      <c r="C73" s="33">
        <v>36</v>
      </c>
      <c r="D73" s="33" t="s">
        <v>353</v>
      </c>
      <c r="E73" s="33" t="s">
        <v>410</v>
      </c>
      <c r="F73" s="81">
        <v>36</v>
      </c>
      <c r="G73">
        <f t="shared" si="0"/>
        <v>0</v>
      </c>
      <c r="H73">
        <f t="shared" si="1"/>
        <v>0</v>
      </c>
    </row>
    <row r="74" spans="1:9" x14ac:dyDescent="0.15">
      <c r="A74" s="33" t="s">
        <v>339</v>
      </c>
      <c r="B74" s="33" t="s">
        <v>413</v>
      </c>
      <c r="C74" s="33">
        <v>270</v>
      </c>
      <c r="D74" s="33" t="s">
        <v>353</v>
      </c>
      <c r="E74" s="33" t="s">
        <v>413</v>
      </c>
      <c r="F74" s="81">
        <v>270</v>
      </c>
      <c r="G74">
        <f t="shared" si="0"/>
        <v>0</v>
      </c>
      <c r="H74">
        <f t="shared" si="1"/>
        <v>0</v>
      </c>
    </row>
    <row r="75" spans="1:9" x14ac:dyDescent="0.15">
      <c r="A75" s="33" t="s">
        <v>339</v>
      </c>
      <c r="B75" s="33" t="s">
        <v>414</v>
      </c>
      <c r="C75" s="33">
        <v>83</v>
      </c>
      <c r="D75" s="33" t="s">
        <v>353</v>
      </c>
      <c r="E75" s="33" t="s">
        <v>414</v>
      </c>
      <c r="F75" s="81">
        <v>83</v>
      </c>
      <c r="G75">
        <f t="shared" si="0"/>
        <v>0</v>
      </c>
      <c r="H75">
        <f t="shared" si="1"/>
        <v>0</v>
      </c>
    </row>
    <row r="76" spans="1:9" x14ac:dyDescent="0.15">
      <c r="A76" s="33" t="s">
        <v>339</v>
      </c>
      <c r="B76" s="33" t="s">
        <v>415</v>
      </c>
      <c r="C76" s="33">
        <v>352</v>
      </c>
      <c r="D76" s="33" t="s">
        <v>353</v>
      </c>
      <c r="E76" s="33" t="s">
        <v>415</v>
      </c>
      <c r="F76" s="81">
        <v>352</v>
      </c>
      <c r="G76">
        <f t="shared" si="0"/>
        <v>0</v>
      </c>
      <c r="H76">
        <f t="shared" si="1"/>
        <v>0</v>
      </c>
    </row>
    <row r="77" spans="1:9" x14ac:dyDescent="0.15">
      <c r="A77" s="33" t="s">
        <v>339</v>
      </c>
      <c r="B77" s="33" t="s">
        <v>416</v>
      </c>
      <c r="C77" s="33">
        <v>485</v>
      </c>
      <c r="D77" s="33" t="s">
        <v>353</v>
      </c>
      <c r="E77" s="33" t="s">
        <v>416</v>
      </c>
      <c r="F77" s="81">
        <v>485</v>
      </c>
      <c r="G77">
        <f t="shared" si="0"/>
        <v>0</v>
      </c>
      <c r="H77">
        <f t="shared" si="1"/>
        <v>0</v>
      </c>
    </row>
    <row r="78" spans="1:9" x14ac:dyDescent="0.15">
      <c r="A78" s="33" t="s">
        <v>339</v>
      </c>
      <c r="B78" s="33" t="s">
        <v>417</v>
      </c>
      <c r="C78" s="33">
        <v>2</v>
      </c>
      <c r="D78" s="33" t="s">
        <v>353</v>
      </c>
      <c r="E78" s="33" t="s">
        <v>417</v>
      </c>
      <c r="F78" s="81">
        <v>2</v>
      </c>
      <c r="G78">
        <f t="shared" si="0"/>
        <v>0</v>
      </c>
      <c r="H78">
        <f t="shared" si="1"/>
        <v>0</v>
      </c>
    </row>
    <row r="79" spans="1:9" x14ac:dyDescent="0.15">
      <c r="A79" s="33" t="s">
        <v>339</v>
      </c>
      <c r="B79" s="33" t="s">
        <v>418</v>
      </c>
      <c r="C79" s="33">
        <v>5</v>
      </c>
      <c r="D79" s="33" t="s">
        <v>353</v>
      </c>
      <c r="E79" s="33" t="s">
        <v>418</v>
      </c>
      <c r="F79" s="81">
        <v>5</v>
      </c>
      <c r="G79">
        <f t="shared" si="0"/>
        <v>0</v>
      </c>
      <c r="H79">
        <f t="shared" si="1"/>
        <v>0</v>
      </c>
    </row>
    <row r="80" spans="1:9" x14ac:dyDescent="0.15">
      <c r="A80" s="33" t="s">
        <v>339</v>
      </c>
      <c r="B80" s="33" t="s">
        <v>419</v>
      </c>
      <c r="C80" s="33">
        <v>528</v>
      </c>
      <c r="D80" s="33" t="s">
        <v>353</v>
      </c>
      <c r="E80" s="33" t="s">
        <v>419</v>
      </c>
      <c r="F80" s="81">
        <v>528</v>
      </c>
      <c r="G80">
        <f t="shared" si="0"/>
        <v>0</v>
      </c>
      <c r="H80">
        <f t="shared" si="1"/>
        <v>0</v>
      </c>
    </row>
    <row r="81" spans="1:8" x14ac:dyDescent="0.15">
      <c r="A81" s="33" t="s">
        <v>339</v>
      </c>
      <c r="B81" s="33" t="s">
        <v>420</v>
      </c>
      <c r="C81" s="33">
        <v>448</v>
      </c>
      <c r="D81" s="33" t="s">
        <v>353</v>
      </c>
      <c r="E81" s="33" t="s">
        <v>420</v>
      </c>
      <c r="F81" s="81">
        <v>448</v>
      </c>
      <c r="G81">
        <f t="shared" ref="G81:G144" si="2">C81-F81</f>
        <v>0</v>
      </c>
      <c r="H81">
        <f t="shared" ref="H81:H144" si="3">IF(OR(C81=0, F81=0), 0, C81-F81)</f>
        <v>0</v>
      </c>
    </row>
    <row r="82" spans="1:8" x14ac:dyDescent="0.15">
      <c r="A82" s="33" t="s">
        <v>339</v>
      </c>
      <c r="B82" s="33" t="s">
        <v>421</v>
      </c>
      <c r="C82" s="33">
        <v>6387</v>
      </c>
      <c r="D82" s="33" t="s">
        <v>353</v>
      </c>
      <c r="E82" s="33" t="s">
        <v>421</v>
      </c>
      <c r="F82" s="81">
        <v>6387</v>
      </c>
      <c r="G82">
        <f t="shared" si="2"/>
        <v>0</v>
      </c>
      <c r="H82">
        <f t="shared" si="3"/>
        <v>0</v>
      </c>
    </row>
    <row r="83" spans="1:8" x14ac:dyDescent="0.15">
      <c r="A83" s="33" t="s">
        <v>339</v>
      </c>
      <c r="B83" s="33" t="s">
        <v>422</v>
      </c>
      <c r="C83" s="33">
        <v>125949</v>
      </c>
      <c r="D83" s="33" t="s">
        <v>353</v>
      </c>
      <c r="E83" s="33" t="s">
        <v>422</v>
      </c>
      <c r="F83" s="81">
        <v>125949</v>
      </c>
      <c r="G83">
        <f t="shared" si="2"/>
        <v>0</v>
      </c>
      <c r="H83">
        <f t="shared" si="3"/>
        <v>0</v>
      </c>
    </row>
    <row r="84" spans="1:8" x14ac:dyDescent="0.15">
      <c r="A84" s="33" t="s">
        <v>339</v>
      </c>
      <c r="B84" s="33" t="s">
        <v>966</v>
      </c>
      <c r="C84" s="33">
        <v>880</v>
      </c>
      <c r="D84" s="33" t="s">
        <v>353</v>
      </c>
      <c r="E84" s="33" t="s">
        <v>966</v>
      </c>
      <c r="F84" s="81">
        <v>880</v>
      </c>
      <c r="G84">
        <f t="shared" si="2"/>
        <v>0</v>
      </c>
      <c r="H84">
        <f t="shared" si="3"/>
        <v>0</v>
      </c>
    </row>
    <row r="85" spans="1:8" x14ac:dyDescent="0.15">
      <c r="A85" s="33" t="s">
        <v>339</v>
      </c>
      <c r="B85" s="33" t="s">
        <v>423</v>
      </c>
      <c r="C85" s="33">
        <v>32</v>
      </c>
      <c r="D85" s="33" t="s">
        <v>353</v>
      </c>
      <c r="E85" s="33" t="s">
        <v>423</v>
      </c>
      <c r="F85" s="81">
        <v>32</v>
      </c>
      <c r="G85">
        <f t="shared" si="2"/>
        <v>0</v>
      </c>
      <c r="H85">
        <f t="shared" si="3"/>
        <v>0</v>
      </c>
    </row>
    <row r="86" spans="1:8" x14ac:dyDescent="0.15">
      <c r="A86" s="33" t="s">
        <v>339</v>
      </c>
      <c r="B86" s="33" t="s">
        <v>424</v>
      </c>
      <c r="C86" s="33">
        <v>7928</v>
      </c>
      <c r="D86" s="33" t="s">
        <v>353</v>
      </c>
      <c r="E86" s="33" t="s">
        <v>424</v>
      </c>
      <c r="F86" s="81">
        <v>7928</v>
      </c>
      <c r="G86">
        <f t="shared" si="2"/>
        <v>0</v>
      </c>
      <c r="H86">
        <f t="shared" si="3"/>
        <v>0</v>
      </c>
    </row>
    <row r="87" spans="1:8" x14ac:dyDescent="0.15">
      <c r="A87" s="33" t="s">
        <v>339</v>
      </c>
      <c r="B87" s="33" t="s">
        <v>425</v>
      </c>
      <c r="C87" s="33">
        <v>1</v>
      </c>
      <c r="D87" s="33" t="s">
        <v>353</v>
      </c>
      <c r="E87" s="33" t="s">
        <v>425</v>
      </c>
      <c r="F87" s="81">
        <v>1</v>
      </c>
      <c r="G87">
        <f t="shared" si="2"/>
        <v>0</v>
      </c>
      <c r="H87">
        <f t="shared" si="3"/>
        <v>0</v>
      </c>
    </row>
    <row r="88" spans="1:8" x14ac:dyDescent="0.15">
      <c r="A88" s="33" t="s">
        <v>339</v>
      </c>
      <c r="B88" s="33" t="s">
        <v>426</v>
      </c>
      <c r="C88" s="33">
        <v>847</v>
      </c>
      <c r="D88" s="33" t="s">
        <v>353</v>
      </c>
      <c r="E88" s="33" t="s">
        <v>426</v>
      </c>
      <c r="F88" s="81">
        <v>847</v>
      </c>
      <c r="G88">
        <f t="shared" si="2"/>
        <v>0</v>
      </c>
      <c r="H88">
        <f t="shared" si="3"/>
        <v>0</v>
      </c>
    </row>
    <row r="89" spans="1:8" x14ac:dyDescent="0.15">
      <c r="A89" s="33" t="s">
        <v>339</v>
      </c>
      <c r="B89" s="33" t="s">
        <v>427</v>
      </c>
      <c r="C89" s="33">
        <v>68</v>
      </c>
      <c r="D89" s="33" t="s">
        <v>353</v>
      </c>
      <c r="E89" s="33" t="s">
        <v>427</v>
      </c>
      <c r="F89" s="81">
        <v>68</v>
      </c>
      <c r="G89">
        <f t="shared" si="2"/>
        <v>0</v>
      </c>
      <c r="H89">
        <f t="shared" si="3"/>
        <v>0</v>
      </c>
    </row>
    <row r="90" spans="1:8" x14ac:dyDescent="0.15">
      <c r="A90" s="33" t="s">
        <v>339</v>
      </c>
      <c r="B90" s="33" t="s">
        <v>428</v>
      </c>
      <c r="C90" s="33">
        <v>1</v>
      </c>
      <c r="D90" s="33" t="s">
        <v>353</v>
      </c>
      <c r="E90" s="33" t="s">
        <v>428</v>
      </c>
      <c r="F90" s="81">
        <v>1</v>
      </c>
      <c r="G90">
        <f t="shared" si="2"/>
        <v>0</v>
      </c>
      <c r="H90">
        <f t="shared" si="3"/>
        <v>0</v>
      </c>
    </row>
    <row r="91" spans="1:8" x14ac:dyDescent="0.15">
      <c r="A91" s="33" t="s">
        <v>339</v>
      </c>
      <c r="B91" s="33" t="s">
        <v>429</v>
      </c>
      <c r="C91" s="33">
        <v>11474</v>
      </c>
      <c r="D91" s="33" t="s">
        <v>353</v>
      </c>
      <c r="E91" s="33" t="s">
        <v>429</v>
      </c>
      <c r="F91" s="81">
        <v>11474</v>
      </c>
      <c r="G91">
        <f t="shared" si="2"/>
        <v>0</v>
      </c>
      <c r="H91">
        <f t="shared" si="3"/>
        <v>0</v>
      </c>
    </row>
    <row r="92" spans="1:8" x14ac:dyDescent="0.15">
      <c r="A92" s="33" t="s">
        <v>339</v>
      </c>
      <c r="B92" s="33" t="s">
        <v>430</v>
      </c>
      <c r="C92" s="33">
        <v>5</v>
      </c>
      <c r="D92" s="33" t="s">
        <v>353</v>
      </c>
      <c r="E92" s="33" t="s">
        <v>430</v>
      </c>
      <c r="F92" s="81">
        <v>5</v>
      </c>
      <c r="G92">
        <f t="shared" si="2"/>
        <v>0</v>
      </c>
      <c r="H92">
        <f t="shared" si="3"/>
        <v>0</v>
      </c>
    </row>
    <row r="93" spans="1:8" x14ac:dyDescent="0.15">
      <c r="A93" s="33" t="s">
        <v>339</v>
      </c>
      <c r="B93" s="33" t="s">
        <v>431</v>
      </c>
      <c r="C93" s="33">
        <v>36</v>
      </c>
      <c r="D93" s="33" t="s">
        <v>353</v>
      </c>
      <c r="E93" s="33" t="s">
        <v>431</v>
      </c>
      <c r="F93" s="81">
        <v>36</v>
      </c>
      <c r="G93">
        <f t="shared" si="2"/>
        <v>0</v>
      </c>
      <c r="H93">
        <f t="shared" si="3"/>
        <v>0</v>
      </c>
    </row>
    <row r="94" spans="1:8" x14ac:dyDescent="0.15">
      <c r="A94" s="33" t="s">
        <v>339</v>
      </c>
      <c r="B94" s="33" t="s">
        <v>432</v>
      </c>
      <c r="C94" s="33">
        <v>56</v>
      </c>
      <c r="D94" s="33" t="s">
        <v>353</v>
      </c>
      <c r="E94" s="33" t="s">
        <v>432</v>
      </c>
      <c r="F94" s="81">
        <v>56</v>
      </c>
      <c r="G94">
        <f t="shared" si="2"/>
        <v>0</v>
      </c>
      <c r="H94">
        <f t="shared" si="3"/>
        <v>0</v>
      </c>
    </row>
    <row r="95" spans="1:8" x14ac:dyDescent="0.15">
      <c r="A95" s="33" t="s">
        <v>339</v>
      </c>
      <c r="B95" s="33" t="s">
        <v>433</v>
      </c>
      <c r="C95" s="33">
        <v>17</v>
      </c>
      <c r="D95" s="33" t="s">
        <v>353</v>
      </c>
      <c r="E95" s="33" t="s">
        <v>433</v>
      </c>
      <c r="F95" s="81">
        <v>17</v>
      </c>
      <c r="G95">
        <f t="shared" si="2"/>
        <v>0</v>
      </c>
      <c r="H95">
        <f t="shared" si="3"/>
        <v>0</v>
      </c>
    </row>
    <row r="96" spans="1:8" x14ac:dyDescent="0.15">
      <c r="A96" s="33" t="s">
        <v>339</v>
      </c>
      <c r="B96" s="33" t="s">
        <v>434</v>
      </c>
      <c r="C96" s="33">
        <v>7</v>
      </c>
      <c r="D96" s="33" t="s">
        <v>353</v>
      </c>
      <c r="E96" s="33" t="s">
        <v>434</v>
      </c>
      <c r="F96" s="81">
        <v>7</v>
      </c>
      <c r="G96">
        <f t="shared" si="2"/>
        <v>0</v>
      </c>
      <c r="H96">
        <f t="shared" si="3"/>
        <v>0</v>
      </c>
    </row>
    <row r="97" spans="1:8" x14ac:dyDescent="0.15">
      <c r="A97" s="33" t="s">
        <v>339</v>
      </c>
      <c r="B97" s="33" t="s">
        <v>435</v>
      </c>
      <c r="C97" s="33">
        <v>5</v>
      </c>
      <c r="D97" s="33" t="s">
        <v>353</v>
      </c>
      <c r="E97" s="33" t="s">
        <v>435</v>
      </c>
      <c r="F97" s="81">
        <v>5</v>
      </c>
      <c r="G97">
        <f t="shared" si="2"/>
        <v>0</v>
      </c>
      <c r="H97">
        <f t="shared" si="3"/>
        <v>0</v>
      </c>
    </row>
    <row r="98" spans="1:8" x14ac:dyDescent="0.15">
      <c r="A98" s="33" t="s">
        <v>339</v>
      </c>
      <c r="B98" s="33" t="s">
        <v>436</v>
      </c>
      <c r="C98" s="33">
        <v>8</v>
      </c>
      <c r="D98" s="33" t="s">
        <v>353</v>
      </c>
      <c r="E98" s="33" t="s">
        <v>436</v>
      </c>
      <c r="F98" s="81">
        <v>8</v>
      </c>
      <c r="G98">
        <f t="shared" si="2"/>
        <v>0</v>
      </c>
      <c r="H98">
        <f t="shared" si="3"/>
        <v>0</v>
      </c>
    </row>
    <row r="99" spans="1:8" x14ac:dyDescent="0.15">
      <c r="A99" s="33" t="s">
        <v>339</v>
      </c>
      <c r="B99" s="33" t="s">
        <v>437</v>
      </c>
      <c r="C99" s="33">
        <v>1</v>
      </c>
      <c r="D99" s="33" t="s">
        <v>353</v>
      </c>
      <c r="E99" s="33" t="s">
        <v>437</v>
      </c>
      <c r="F99" s="81">
        <v>1</v>
      </c>
      <c r="G99">
        <f t="shared" si="2"/>
        <v>0</v>
      </c>
      <c r="H99">
        <f t="shared" si="3"/>
        <v>0</v>
      </c>
    </row>
    <row r="100" spans="1:8" x14ac:dyDescent="0.15">
      <c r="A100" s="33" t="s">
        <v>339</v>
      </c>
      <c r="B100" s="33" t="s">
        <v>438</v>
      </c>
      <c r="C100" s="33">
        <v>456</v>
      </c>
      <c r="D100" s="33" t="s">
        <v>353</v>
      </c>
      <c r="E100" s="33" t="s">
        <v>438</v>
      </c>
      <c r="F100" s="81">
        <v>456</v>
      </c>
      <c r="G100">
        <f t="shared" si="2"/>
        <v>0</v>
      </c>
      <c r="H100">
        <f t="shared" si="3"/>
        <v>0</v>
      </c>
    </row>
    <row r="101" spans="1:8" x14ac:dyDescent="0.15">
      <c r="A101" s="33" t="s">
        <v>339</v>
      </c>
      <c r="B101" s="33" t="s">
        <v>439</v>
      </c>
      <c r="C101" s="33">
        <v>1355</v>
      </c>
      <c r="D101" s="33" t="s">
        <v>353</v>
      </c>
      <c r="E101" s="33" t="s">
        <v>439</v>
      </c>
      <c r="F101" s="81">
        <v>1355</v>
      </c>
      <c r="G101">
        <f t="shared" si="2"/>
        <v>0</v>
      </c>
      <c r="H101">
        <f t="shared" si="3"/>
        <v>0</v>
      </c>
    </row>
    <row r="102" spans="1:8" x14ac:dyDescent="0.15">
      <c r="A102" s="33" t="s">
        <v>339</v>
      </c>
      <c r="B102" s="33" t="s">
        <v>440</v>
      </c>
      <c r="C102" s="33">
        <v>1362</v>
      </c>
      <c r="D102" s="33" t="s">
        <v>353</v>
      </c>
      <c r="E102" s="33" t="s">
        <v>440</v>
      </c>
      <c r="F102" s="81">
        <v>1362</v>
      </c>
      <c r="G102">
        <f t="shared" si="2"/>
        <v>0</v>
      </c>
      <c r="H102">
        <f t="shared" si="3"/>
        <v>0</v>
      </c>
    </row>
    <row r="103" spans="1:8" x14ac:dyDescent="0.15">
      <c r="A103" s="33" t="s">
        <v>339</v>
      </c>
      <c r="B103" s="33" t="s">
        <v>441</v>
      </c>
      <c r="C103" s="33">
        <v>103</v>
      </c>
      <c r="D103" s="33" t="s">
        <v>353</v>
      </c>
      <c r="E103" s="33" t="s">
        <v>441</v>
      </c>
      <c r="F103" s="81">
        <v>103</v>
      </c>
      <c r="G103">
        <f t="shared" si="2"/>
        <v>0</v>
      </c>
      <c r="H103">
        <f t="shared" si="3"/>
        <v>0</v>
      </c>
    </row>
    <row r="104" spans="1:8" x14ac:dyDescent="0.15">
      <c r="A104" s="33" t="s">
        <v>339</v>
      </c>
      <c r="B104" s="33" t="s">
        <v>442</v>
      </c>
      <c r="C104" s="33">
        <v>2</v>
      </c>
      <c r="D104" s="33" t="s">
        <v>353</v>
      </c>
      <c r="E104" s="33" t="s">
        <v>442</v>
      </c>
      <c r="F104" s="81">
        <v>2</v>
      </c>
      <c r="G104">
        <f t="shared" si="2"/>
        <v>0</v>
      </c>
      <c r="H104">
        <f t="shared" si="3"/>
        <v>0</v>
      </c>
    </row>
    <row r="105" spans="1:8" x14ac:dyDescent="0.15">
      <c r="A105" s="33" t="s">
        <v>339</v>
      </c>
      <c r="B105" s="33" t="s">
        <v>443</v>
      </c>
      <c r="C105" s="33">
        <v>5125</v>
      </c>
      <c r="D105" s="33" t="s">
        <v>353</v>
      </c>
      <c r="E105" s="33" t="s">
        <v>443</v>
      </c>
      <c r="F105" s="81">
        <v>5125</v>
      </c>
      <c r="G105">
        <f t="shared" si="2"/>
        <v>0</v>
      </c>
      <c r="H105">
        <f t="shared" si="3"/>
        <v>0</v>
      </c>
    </row>
    <row r="106" spans="1:8" x14ac:dyDescent="0.15">
      <c r="A106" s="33" t="s">
        <v>339</v>
      </c>
      <c r="B106" s="33" t="s">
        <v>444</v>
      </c>
      <c r="C106" s="33">
        <v>8</v>
      </c>
      <c r="D106" s="33" t="s">
        <v>353</v>
      </c>
      <c r="E106" s="33" t="s">
        <v>444</v>
      </c>
      <c r="F106" s="81">
        <v>8</v>
      </c>
      <c r="G106">
        <f t="shared" si="2"/>
        <v>0</v>
      </c>
      <c r="H106">
        <f t="shared" si="3"/>
        <v>0</v>
      </c>
    </row>
    <row r="107" spans="1:8" x14ac:dyDescent="0.15">
      <c r="A107" s="33" t="s">
        <v>339</v>
      </c>
      <c r="B107" s="33" t="s">
        <v>445</v>
      </c>
      <c r="C107" s="33">
        <v>10</v>
      </c>
      <c r="D107" s="33" t="s">
        <v>353</v>
      </c>
      <c r="E107" s="33" t="s">
        <v>445</v>
      </c>
      <c r="F107" s="81">
        <v>10</v>
      </c>
      <c r="G107">
        <f t="shared" si="2"/>
        <v>0</v>
      </c>
      <c r="H107">
        <f t="shared" si="3"/>
        <v>0</v>
      </c>
    </row>
    <row r="108" spans="1:8" x14ac:dyDescent="0.15">
      <c r="A108" s="33" t="s">
        <v>339</v>
      </c>
      <c r="B108" s="33" t="s">
        <v>446</v>
      </c>
      <c r="C108" s="33">
        <v>44</v>
      </c>
      <c r="D108" s="33" t="s">
        <v>353</v>
      </c>
      <c r="E108" s="33" t="s">
        <v>446</v>
      </c>
      <c r="F108" s="81">
        <v>44</v>
      </c>
      <c r="G108">
        <f t="shared" si="2"/>
        <v>0</v>
      </c>
      <c r="H108">
        <f t="shared" si="3"/>
        <v>0</v>
      </c>
    </row>
    <row r="109" spans="1:8" x14ac:dyDescent="0.15">
      <c r="A109" s="33" t="s">
        <v>339</v>
      </c>
      <c r="B109" s="33" t="s">
        <v>447</v>
      </c>
      <c r="C109" s="33">
        <v>24</v>
      </c>
      <c r="D109" s="33" t="s">
        <v>353</v>
      </c>
      <c r="E109" s="33" t="s">
        <v>447</v>
      </c>
      <c r="F109" s="81">
        <v>24</v>
      </c>
      <c r="G109">
        <f t="shared" si="2"/>
        <v>0</v>
      </c>
      <c r="H109">
        <f t="shared" si="3"/>
        <v>0</v>
      </c>
    </row>
    <row r="110" spans="1:8" x14ac:dyDescent="0.15">
      <c r="A110" s="33" t="s">
        <v>339</v>
      </c>
      <c r="B110" s="33" t="s">
        <v>448</v>
      </c>
      <c r="C110" s="33">
        <v>46</v>
      </c>
      <c r="D110" s="33" t="s">
        <v>353</v>
      </c>
      <c r="E110" s="33" t="s">
        <v>448</v>
      </c>
      <c r="F110" s="81">
        <v>46</v>
      </c>
      <c r="G110">
        <f t="shared" si="2"/>
        <v>0</v>
      </c>
      <c r="H110">
        <f t="shared" si="3"/>
        <v>0</v>
      </c>
    </row>
    <row r="111" spans="1:8" x14ac:dyDescent="0.15">
      <c r="A111" s="33" t="s">
        <v>339</v>
      </c>
      <c r="B111" s="33" t="s">
        <v>449</v>
      </c>
      <c r="C111" s="33">
        <v>2</v>
      </c>
      <c r="D111" s="33" t="s">
        <v>353</v>
      </c>
      <c r="E111" s="33" t="s">
        <v>449</v>
      </c>
      <c r="F111" s="81">
        <v>2</v>
      </c>
      <c r="G111">
        <f t="shared" si="2"/>
        <v>0</v>
      </c>
      <c r="H111">
        <f t="shared" si="3"/>
        <v>0</v>
      </c>
    </row>
    <row r="112" spans="1:8" x14ac:dyDescent="0.15">
      <c r="A112" s="33" t="s">
        <v>339</v>
      </c>
      <c r="B112" s="33" t="s">
        <v>450</v>
      </c>
      <c r="C112" s="33">
        <v>476</v>
      </c>
      <c r="D112" s="33" t="s">
        <v>353</v>
      </c>
      <c r="E112" s="33" t="s">
        <v>450</v>
      </c>
      <c r="F112" s="81">
        <v>476</v>
      </c>
      <c r="G112">
        <f t="shared" si="2"/>
        <v>0</v>
      </c>
      <c r="H112">
        <f t="shared" si="3"/>
        <v>0</v>
      </c>
    </row>
    <row r="113" spans="1:9" x14ac:dyDescent="0.15">
      <c r="A113" s="33" t="s">
        <v>339</v>
      </c>
      <c r="B113" s="33" t="s">
        <v>451</v>
      </c>
      <c r="C113" s="33">
        <v>1788</v>
      </c>
      <c r="D113" s="33" t="s">
        <v>353</v>
      </c>
      <c r="E113" s="33" t="s">
        <v>451</v>
      </c>
      <c r="F113" s="81">
        <v>1788</v>
      </c>
      <c r="G113">
        <f t="shared" si="2"/>
        <v>0</v>
      </c>
      <c r="H113">
        <f t="shared" si="3"/>
        <v>0</v>
      </c>
    </row>
    <row r="114" spans="1:9" x14ac:dyDescent="0.15">
      <c r="A114" s="33" t="s">
        <v>339</v>
      </c>
      <c r="B114" s="33" t="s">
        <v>452</v>
      </c>
      <c r="C114" s="33">
        <v>33463</v>
      </c>
      <c r="D114" s="33" t="s">
        <v>353</v>
      </c>
      <c r="E114" s="33" t="s">
        <v>452</v>
      </c>
      <c r="F114" s="81">
        <v>33463</v>
      </c>
      <c r="G114">
        <f t="shared" si="2"/>
        <v>0</v>
      </c>
      <c r="H114">
        <f t="shared" si="3"/>
        <v>0</v>
      </c>
    </row>
    <row r="115" spans="1:9" x14ac:dyDescent="0.15">
      <c r="A115" s="33" t="s">
        <v>339</v>
      </c>
      <c r="B115" s="33" t="s">
        <v>453</v>
      </c>
      <c r="C115" s="33">
        <v>67</v>
      </c>
      <c r="D115" s="33" t="s">
        <v>353</v>
      </c>
      <c r="E115" s="33" t="s">
        <v>453</v>
      </c>
      <c r="F115" s="81">
        <v>67</v>
      </c>
      <c r="G115">
        <f t="shared" si="2"/>
        <v>0</v>
      </c>
      <c r="H115">
        <f t="shared" si="3"/>
        <v>0</v>
      </c>
    </row>
    <row r="116" spans="1:9" x14ac:dyDescent="0.15">
      <c r="A116" s="33" t="s">
        <v>339</v>
      </c>
      <c r="B116" s="33" t="s">
        <v>454</v>
      </c>
      <c r="C116" s="33">
        <v>32</v>
      </c>
      <c r="D116" s="33" t="s">
        <v>353</v>
      </c>
      <c r="E116" s="33" t="s">
        <v>454</v>
      </c>
      <c r="F116" s="81">
        <v>32</v>
      </c>
      <c r="G116">
        <f t="shared" si="2"/>
        <v>0</v>
      </c>
      <c r="H116">
        <f t="shared" si="3"/>
        <v>0</v>
      </c>
    </row>
    <row r="117" spans="1:9" x14ac:dyDescent="0.15">
      <c r="A117" s="33" t="s">
        <v>339</v>
      </c>
      <c r="B117" s="33" t="s">
        <v>455</v>
      </c>
      <c r="C117" s="33">
        <v>4</v>
      </c>
      <c r="D117" s="33" t="s">
        <v>353</v>
      </c>
      <c r="E117" s="33" t="s">
        <v>455</v>
      </c>
      <c r="F117" s="81">
        <v>4</v>
      </c>
      <c r="G117">
        <f t="shared" si="2"/>
        <v>0</v>
      </c>
      <c r="H117">
        <f t="shared" si="3"/>
        <v>0</v>
      </c>
    </row>
    <row r="118" spans="1:9" x14ac:dyDescent="0.15">
      <c r="A118" s="33" t="s">
        <v>339</v>
      </c>
      <c r="B118" s="33" t="s">
        <v>456</v>
      </c>
      <c r="C118" s="33">
        <v>83</v>
      </c>
      <c r="D118" s="33" t="s">
        <v>353</v>
      </c>
      <c r="E118" s="33" t="s">
        <v>456</v>
      </c>
      <c r="F118" s="81">
        <v>83</v>
      </c>
      <c r="G118">
        <f t="shared" si="2"/>
        <v>0</v>
      </c>
      <c r="H118">
        <f t="shared" si="3"/>
        <v>0</v>
      </c>
    </row>
    <row r="119" spans="1:9" x14ac:dyDescent="0.15">
      <c r="A119" s="33" t="s">
        <v>339</v>
      </c>
      <c r="B119" s="33" t="s">
        <v>457</v>
      </c>
      <c r="C119" s="33">
        <v>18</v>
      </c>
      <c r="D119" s="33" t="s">
        <v>353</v>
      </c>
      <c r="E119" s="33" t="s">
        <v>457</v>
      </c>
      <c r="F119" s="81">
        <v>18</v>
      </c>
      <c r="G119">
        <f t="shared" si="2"/>
        <v>0</v>
      </c>
      <c r="H119">
        <f t="shared" si="3"/>
        <v>0</v>
      </c>
    </row>
    <row r="120" spans="1:9" x14ac:dyDescent="0.15">
      <c r="A120" s="33" t="s">
        <v>339</v>
      </c>
      <c r="B120" s="33" t="s">
        <v>458</v>
      </c>
      <c r="C120" s="33">
        <v>159237</v>
      </c>
      <c r="D120" s="33" t="s">
        <v>353</v>
      </c>
      <c r="E120" s="33" t="s">
        <v>458</v>
      </c>
      <c r="F120" s="81">
        <v>159237</v>
      </c>
      <c r="G120">
        <f t="shared" si="2"/>
        <v>0</v>
      </c>
      <c r="H120">
        <f t="shared" si="3"/>
        <v>0</v>
      </c>
    </row>
    <row r="121" spans="1:9" x14ac:dyDescent="0.15">
      <c r="A121" s="33" t="s">
        <v>339</v>
      </c>
      <c r="B121" s="33" t="s">
        <v>459</v>
      </c>
      <c r="C121" s="33">
        <v>90</v>
      </c>
      <c r="D121" s="33" t="s">
        <v>353</v>
      </c>
      <c r="E121" s="33" t="s">
        <v>459</v>
      </c>
      <c r="F121" s="81">
        <v>90</v>
      </c>
      <c r="G121">
        <f t="shared" si="2"/>
        <v>0</v>
      </c>
      <c r="H121">
        <f t="shared" si="3"/>
        <v>0</v>
      </c>
    </row>
    <row r="122" spans="1:9" x14ac:dyDescent="0.15">
      <c r="A122" s="33" t="s">
        <v>339</v>
      </c>
      <c r="B122" s="33" t="s">
        <v>460</v>
      </c>
      <c r="C122" s="33">
        <v>12</v>
      </c>
      <c r="D122" s="33" t="s">
        <v>353</v>
      </c>
      <c r="E122" s="33" t="s">
        <v>460</v>
      </c>
      <c r="F122" s="81">
        <v>12</v>
      </c>
      <c r="G122">
        <f t="shared" si="2"/>
        <v>0</v>
      </c>
      <c r="H122">
        <f t="shared" si="3"/>
        <v>0</v>
      </c>
    </row>
    <row r="123" spans="1:9" x14ac:dyDescent="0.15">
      <c r="A123" s="33" t="s">
        <v>339</v>
      </c>
      <c r="B123" s="33" t="s">
        <v>461</v>
      </c>
      <c r="C123" s="33">
        <v>290</v>
      </c>
      <c r="D123" s="33" t="s">
        <v>353</v>
      </c>
      <c r="E123" s="33" t="s">
        <v>461</v>
      </c>
      <c r="F123" s="81">
        <v>290</v>
      </c>
      <c r="G123">
        <f t="shared" si="2"/>
        <v>0</v>
      </c>
      <c r="H123">
        <f t="shared" si="3"/>
        <v>0</v>
      </c>
    </row>
    <row r="124" spans="1:9" x14ac:dyDescent="0.15">
      <c r="A124" s="33" t="s">
        <v>339</v>
      </c>
      <c r="B124" s="33" t="s">
        <v>462</v>
      </c>
      <c r="C124" s="33">
        <v>2704</v>
      </c>
      <c r="D124" s="33" t="s">
        <v>353</v>
      </c>
      <c r="E124" s="33" t="s">
        <v>462</v>
      </c>
      <c r="F124" s="81">
        <v>2704</v>
      </c>
      <c r="G124">
        <f t="shared" si="2"/>
        <v>0</v>
      </c>
      <c r="H124">
        <f t="shared" si="3"/>
        <v>0</v>
      </c>
    </row>
    <row r="125" spans="1:9" x14ac:dyDescent="0.15">
      <c r="A125" s="33" t="s">
        <v>339</v>
      </c>
      <c r="B125" s="33" t="s">
        <v>463</v>
      </c>
      <c r="C125" s="33">
        <v>3</v>
      </c>
      <c r="D125" s="33" t="s">
        <v>353</v>
      </c>
      <c r="E125" s="33" t="s">
        <v>463</v>
      </c>
      <c r="F125" s="81">
        <v>3</v>
      </c>
      <c r="G125">
        <f t="shared" si="2"/>
        <v>0</v>
      </c>
      <c r="H125">
        <f t="shared" si="3"/>
        <v>0</v>
      </c>
    </row>
    <row r="126" spans="1:9" x14ac:dyDescent="0.15">
      <c r="A126" s="33" t="s">
        <v>339</v>
      </c>
      <c r="B126" s="33" t="s">
        <v>464</v>
      </c>
      <c r="C126" s="33">
        <v>12220773</v>
      </c>
      <c r="D126" s="33" t="s">
        <v>353</v>
      </c>
      <c r="E126" s="33" t="s">
        <v>464</v>
      </c>
      <c r="F126" s="81">
        <v>12220773</v>
      </c>
      <c r="G126">
        <f t="shared" si="2"/>
        <v>0</v>
      </c>
      <c r="H126">
        <f t="shared" si="3"/>
        <v>0</v>
      </c>
      <c r="I126" s="13"/>
    </row>
    <row r="127" spans="1:9" x14ac:dyDescent="0.15">
      <c r="A127" s="33" t="s">
        <v>339</v>
      </c>
      <c r="B127" s="33" t="s">
        <v>466</v>
      </c>
      <c r="C127" s="33">
        <v>537</v>
      </c>
      <c r="D127" s="33" t="s">
        <v>353</v>
      </c>
      <c r="E127" s="33" t="s">
        <v>466</v>
      </c>
      <c r="F127" s="81">
        <v>537</v>
      </c>
      <c r="G127">
        <f t="shared" si="2"/>
        <v>0</v>
      </c>
      <c r="H127">
        <f t="shared" si="3"/>
        <v>0</v>
      </c>
      <c r="I127" s="13"/>
    </row>
    <row r="128" spans="1:9" x14ac:dyDescent="0.15">
      <c r="A128" s="33" t="s">
        <v>339</v>
      </c>
      <c r="B128" s="33" t="s">
        <v>467</v>
      </c>
      <c r="C128" s="33">
        <v>4</v>
      </c>
      <c r="D128" s="33" t="s">
        <v>353</v>
      </c>
      <c r="E128" s="33" t="s">
        <v>467</v>
      </c>
      <c r="F128" s="81">
        <v>4</v>
      </c>
      <c r="G128">
        <f t="shared" si="2"/>
        <v>0</v>
      </c>
      <c r="H128">
        <f t="shared" si="3"/>
        <v>0</v>
      </c>
      <c r="I128" s="13"/>
    </row>
    <row r="129" spans="1:9" x14ac:dyDescent="0.15">
      <c r="A129" s="33" t="s">
        <v>339</v>
      </c>
      <c r="B129" s="33" t="s">
        <v>470</v>
      </c>
      <c r="C129" s="33">
        <v>7</v>
      </c>
      <c r="D129" s="33" t="s">
        <v>353</v>
      </c>
      <c r="E129" s="33" t="s">
        <v>470</v>
      </c>
      <c r="F129" s="81">
        <v>7</v>
      </c>
      <c r="G129">
        <f t="shared" si="2"/>
        <v>0</v>
      </c>
      <c r="H129">
        <f t="shared" si="3"/>
        <v>0</v>
      </c>
    </row>
    <row r="130" spans="1:9" x14ac:dyDescent="0.15">
      <c r="A130" s="33" t="s">
        <v>339</v>
      </c>
      <c r="B130" s="33" t="s">
        <v>1021</v>
      </c>
      <c r="C130" s="33">
        <v>2222</v>
      </c>
      <c r="D130" s="33" t="s">
        <v>353</v>
      </c>
      <c r="E130" s="33" t="s">
        <v>1021</v>
      </c>
      <c r="F130" s="81">
        <v>2222</v>
      </c>
      <c r="G130">
        <f t="shared" si="2"/>
        <v>0</v>
      </c>
      <c r="H130">
        <f t="shared" si="3"/>
        <v>0</v>
      </c>
    </row>
    <row r="131" spans="1:9" x14ac:dyDescent="0.15">
      <c r="A131" s="33" t="s">
        <v>339</v>
      </c>
      <c r="B131" s="33" t="s">
        <v>471</v>
      </c>
      <c r="C131" s="33">
        <v>1</v>
      </c>
      <c r="D131" s="33" t="s">
        <v>353</v>
      </c>
      <c r="E131" s="33" t="s">
        <v>471</v>
      </c>
      <c r="F131" s="81">
        <v>1</v>
      </c>
      <c r="G131">
        <f t="shared" si="2"/>
        <v>0</v>
      </c>
      <c r="H131">
        <f t="shared" si="3"/>
        <v>0</v>
      </c>
    </row>
    <row r="132" spans="1:9" x14ac:dyDescent="0.15">
      <c r="A132" s="33" t="s">
        <v>339</v>
      </c>
      <c r="B132" s="33" t="s">
        <v>472</v>
      </c>
      <c r="C132" s="33">
        <v>1</v>
      </c>
      <c r="D132" s="33" t="s">
        <v>353</v>
      </c>
      <c r="E132" s="33" t="s">
        <v>472</v>
      </c>
      <c r="F132" s="81">
        <v>1</v>
      </c>
      <c r="G132">
        <f t="shared" si="2"/>
        <v>0</v>
      </c>
      <c r="H132">
        <f t="shared" si="3"/>
        <v>0</v>
      </c>
    </row>
    <row r="133" spans="1:9" x14ac:dyDescent="0.15">
      <c r="A133" s="33" t="s">
        <v>339</v>
      </c>
      <c r="B133" s="33" t="s">
        <v>473</v>
      </c>
      <c r="C133" s="33">
        <v>5</v>
      </c>
      <c r="D133" s="33" t="s">
        <v>353</v>
      </c>
      <c r="E133" s="33" t="s">
        <v>473</v>
      </c>
      <c r="F133" s="81">
        <v>5</v>
      </c>
      <c r="G133">
        <f t="shared" si="2"/>
        <v>0</v>
      </c>
      <c r="H133">
        <f t="shared" si="3"/>
        <v>0</v>
      </c>
    </row>
    <row r="134" spans="1:9" x14ac:dyDescent="0.15">
      <c r="A134" s="33" t="s">
        <v>339</v>
      </c>
      <c r="B134" s="33" t="s">
        <v>474</v>
      </c>
      <c r="C134" s="33">
        <v>3777</v>
      </c>
      <c r="D134" s="33" t="s">
        <v>353</v>
      </c>
      <c r="E134" s="33" t="s">
        <v>474</v>
      </c>
      <c r="F134" s="81">
        <v>3777</v>
      </c>
      <c r="G134">
        <f t="shared" si="2"/>
        <v>0</v>
      </c>
      <c r="H134">
        <f t="shared" si="3"/>
        <v>0</v>
      </c>
      <c r="I134" s="13"/>
    </row>
    <row r="135" spans="1:9" x14ac:dyDescent="0.15">
      <c r="A135" s="33" t="s">
        <v>339</v>
      </c>
      <c r="B135" s="33" t="s">
        <v>475</v>
      </c>
      <c r="C135" s="33">
        <v>8427495</v>
      </c>
      <c r="D135" s="33" t="s">
        <v>353</v>
      </c>
      <c r="E135" s="33" t="s">
        <v>475</v>
      </c>
      <c r="F135" s="81">
        <v>8427495</v>
      </c>
      <c r="G135">
        <f t="shared" si="2"/>
        <v>0</v>
      </c>
      <c r="H135">
        <f t="shared" si="3"/>
        <v>0</v>
      </c>
      <c r="I135" s="13"/>
    </row>
    <row r="136" spans="1:9" x14ac:dyDescent="0.15">
      <c r="A136" s="33" t="s">
        <v>339</v>
      </c>
      <c r="B136" s="33" t="s">
        <v>476</v>
      </c>
      <c r="C136" s="33">
        <v>1103</v>
      </c>
      <c r="D136" s="33" t="s">
        <v>353</v>
      </c>
      <c r="E136" s="33" t="s">
        <v>476</v>
      </c>
      <c r="F136" s="81">
        <v>1103</v>
      </c>
      <c r="G136">
        <f t="shared" si="2"/>
        <v>0</v>
      </c>
      <c r="H136">
        <f t="shared" si="3"/>
        <v>0</v>
      </c>
      <c r="I136" s="13"/>
    </row>
    <row r="137" spans="1:9" x14ac:dyDescent="0.15">
      <c r="A137" s="33" t="s">
        <v>339</v>
      </c>
      <c r="B137" s="33" t="s">
        <v>477</v>
      </c>
      <c r="C137" s="33">
        <v>5</v>
      </c>
      <c r="D137" s="33" t="s">
        <v>353</v>
      </c>
      <c r="E137" s="33" t="s">
        <v>477</v>
      </c>
      <c r="F137" s="81">
        <v>5</v>
      </c>
      <c r="G137">
        <f t="shared" si="2"/>
        <v>0</v>
      </c>
      <c r="H137">
        <f t="shared" si="3"/>
        <v>0</v>
      </c>
    </row>
    <row r="138" spans="1:9" x14ac:dyDescent="0.15">
      <c r="A138" s="33" t="s">
        <v>339</v>
      </c>
      <c r="B138" s="33" t="s">
        <v>478</v>
      </c>
      <c r="C138" s="33">
        <v>551</v>
      </c>
      <c r="D138" s="33" t="s">
        <v>353</v>
      </c>
      <c r="E138" s="33" t="s">
        <v>478</v>
      </c>
      <c r="F138" s="81">
        <v>551</v>
      </c>
      <c r="G138">
        <f t="shared" si="2"/>
        <v>0</v>
      </c>
      <c r="H138">
        <f t="shared" si="3"/>
        <v>0</v>
      </c>
      <c r="I138" s="13"/>
    </row>
    <row r="139" spans="1:9" x14ac:dyDescent="0.15">
      <c r="A139" s="33" t="s">
        <v>339</v>
      </c>
      <c r="B139" s="33" t="s">
        <v>479</v>
      </c>
      <c r="C139" s="33">
        <v>185</v>
      </c>
      <c r="D139" s="33" t="s">
        <v>353</v>
      </c>
      <c r="E139" s="33" t="s">
        <v>479</v>
      </c>
      <c r="F139" s="81">
        <v>185</v>
      </c>
      <c r="G139">
        <f t="shared" si="2"/>
        <v>0</v>
      </c>
      <c r="H139">
        <f t="shared" si="3"/>
        <v>0</v>
      </c>
    </row>
    <row r="140" spans="1:9" x14ac:dyDescent="0.15">
      <c r="A140" s="33" t="s">
        <v>339</v>
      </c>
      <c r="B140" s="33" t="s">
        <v>480</v>
      </c>
      <c r="C140" s="33">
        <v>181</v>
      </c>
      <c r="D140" s="33" t="s">
        <v>353</v>
      </c>
      <c r="E140" s="33" t="s">
        <v>480</v>
      </c>
      <c r="F140" s="81">
        <v>181</v>
      </c>
      <c r="G140">
        <f t="shared" si="2"/>
        <v>0</v>
      </c>
      <c r="H140">
        <f t="shared" si="3"/>
        <v>0</v>
      </c>
    </row>
    <row r="141" spans="1:9" x14ac:dyDescent="0.15">
      <c r="A141" s="33" t="s">
        <v>339</v>
      </c>
      <c r="B141" s="33" t="s">
        <v>481</v>
      </c>
      <c r="C141" s="33">
        <v>10414</v>
      </c>
      <c r="D141" s="33" t="s">
        <v>353</v>
      </c>
      <c r="E141" s="33" t="s">
        <v>481</v>
      </c>
      <c r="F141" s="81">
        <v>10414</v>
      </c>
      <c r="G141">
        <f t="shared" si="2"/>
        <v>0</v>
      </c>
      <c r="H141">
        <f t="shared" si="3"/>
        <v>0</v>
      </c>
    </row>
    <row r="142" spans="1:9" x14ac:dyDescent="0.15">
      <c r="A142" s="33" t="s">
        <v>339</v>
      </c>
      <c r="B142" s="33" t="s">
        <v>1038</v>
      </c>
      <c r="C142" s="33">
        <v>158</v>
      </c>
      <c r="D142" s="33" t="s">
        <v>353</v>
      </c>
      <c r="E142" s="33" t="s">
        <v>1038</v>
      </c>
      <c r="F142" s="81">
        <v>158</v>
      </c>
      <c r="G142">
        <f t="shared" si="2"/>
        <v>0</v>
      </c>
      <c r="H142">
        <f t="shared" si="3"/>
        <v>0</v>
      </c>
    </row>
    <row r="143" spans="1:9" x14ac:dyDescent="0.15">
      <c r="A143" s="33" t="s">
        <v>339</v>
      </c>
      <c r="B143" s="33" t="s">
        <v>1041</v>
      </c>
      <c r="C143" s="33">
        <v>2590</v>
      </c>
      <c r="D143" s="33" t="s">
        <v>353</v>
      </c>
      <c r="E143" s="33" t="s">
        <v>1041</v>
      </c>
      <c r="F143" s="81">
        <v>2590</v>
      </c>
      <c r="G143">
        <f t="shared" si="2"/>
        <v>0</v>
      </c>
      <c r="H143">
        <f t="shared" si="3"/>
        <v>0</v>
      </c>
    </row>
    <row r="144" spans="1:9" x14ac:dyDescent="0.15">
      <c r="A144" s="33" t="s">
        <v>339</v>
      </c>
      <c r="B144" s="33" t="s">
        <v>1044</v>
      </c>
      <c r="C144" s="33">
        <v>4</v>
      </c>
      <c r="D144" s="33" t="s">
        <v>353</v>
      </c>
      <c r="E144" s="33" t="s">
        <v>1044</v>
      </c>
      <c r="F144" s="81">
        <v>4</v>
      </c>
      <c r="G144">
        <f t="shared" si="2"/>
        <v>0</v>
      </c>
      <c r="H144">
        <f t="shared" si="3"/>
        <v>0</v>
      </c>
    </row>
    <row r="145" spans="1:9" x14ac:dyDescent="0.15">
      <c r="A145" s="33" t="s">
        <v>339</v>
      </c>
      <c r="B145" s="33" t="s">
        <v>482</v>
      </c>
      <c r="C145" s="33">
        <v>497</v>
      </c>
      <c r="D145" s="33" t="s">
        <v>353</v>
      </c>
      <c r="E145" s="33" t="s">
        <v>482</v>
      </c>
      <c r="F145" s="81">
        <v>497</v>
      </c>
      <c r="G145">
        <f t="shared" ref="G145:G208" si="4">C145-F145</f>
        <v>0</v>
      </c>
      <c r="H145">
        <f t="shared" ref="H145:H208" si="5">IF(OR(C145=0, F145=0), 0, C145-F145)</f>
        <v>0</v>
      </c>
    </row>
    <row r="146" spans="1:9" x14ac:dyDescent="0.15">
      <c r="A146" s="33" t="s">
        <v>339</v>
      </c>
      <c r="B146" s="33" t="s">
        <v>1048</v>
      </c>
      <c r="C146" s="33">
        <v>179</v>
      </c>
      <c r="D146" s="33" t="s">
        <v>353</v>
      </c>
      <c r="E146" s="33" t="s">
        <v>1048</v>
      </c>
      <c r="F146" s="81">
        <v>179</v>
      </c>
      <c r="G146">
        <f t="shared" si="4"/>
        <v>0</v>
      </c>
      <c r="H146">
        <f t="shared" si="5"/>
        <v>0</v>
      </c>
    </row>
    <row r="147" spans="1:9" x14ac:dyDescent="0.15">
      <c r="A147" s="33" t="s">
        <v>339</v>
      </c>
      <c r="B147" s="33" t="s">
        <v>483</v>
      </c>
      <c r="C147" s="33">
        <v>6597</v>
      </c>
      <c r="D147" s="33" t="s">
        <v>353</v>
      </c>
      <c r="E147" s="33" t="s">
        <v>483</v>
      </c>
      <c r="F147" s="81">
        <v>6597</v>
      </c>
      <c r="G147">
        <f t="shared" si="4"/>
        <v>0</v>
      </c>
      <c r="H147">
        <f t="shared" si="5"/>
        <v>0</v>
      </c>
    </row>
    <row r="148" spans="1:9" x14ac:dyDescent="0.15">
      <c r="A148" s="33" t="s">
        <v>339</v>
      </c>
      <c r="B148" s="33" t="s">
        <v>1053</v>
      </c>
      <c r="C148" s="33">
        <v>6</v>
      </c>
      <c r="D148" s="33" t="s">
        <v>353</v>
      </c>
      <c r="E148" s="33" t="s">
        <v>1053</v>
      </c>
      <c r="F148" s="81">
        <v>6</v>
      </c>
      <c r="G148">
        <f t="shared" si="4"/>
        <v>0</v>
      </c>
      <c r="H148">
        <f t="shared" si="5"/>
        <v>0</v>
      </c>
    </row>
    <row r="149" spans="1:9" x14ac:dyDescent="0.15">
      <c r="A149" s="33" t="s">
        <v>339</v>
      </c>
      <c r="B149" s="33" t="s">
        <v>484</v>
      </c>
      <c r="C149" s="33">
        <v>1193</v>
      </c>
      <c r="D149" s="33" t="s">
        <v>353</v>
      </c>
      <c r="E149" s="33" t="s">
        <v>484</v>
      </c>
      <c r="F149" s="81">
        <v>1193</v>
      </c>
      <c r="G149">
        <f t="shared" si="4"/>
        <v>0</v>
      </c>
      <c r="H149">
        <f t="shared" si="5"/>
        <v>0</v>
      </c>
    </row>
    <row r="150" spans="1:9" x14ac:dyDescent="0.15">
      <c r="A150" s="33" t="s">
        <v>339</v>
      </c>
      <c r="B150" s="33" t="s">
        <v>1058</v>
      </c>
      <c r="C150" s="33">
        <v>111</v>
      </c>
      <c r="D150" s="33" t="s">
        <v>353</v>
      </c>
      <c r="E150" s="33" t="s">
        <v>1058</v>
      </c>
      <c r="F150" s="81">
        <v>111</v>
      </c>
      <c r="G150">
        <f t="shared" si="4"/>
        <v>0</v>
      </c>
      <c r="H150">
        <f t="shared" si="5"/>
        <v>0</v>
      </c>
      <c r="I150" s="13"/>
    </row>
    <row r="151" spans="1:9" x14ac:dyDescent="0.15">
      <c r="A151" s="33" t="s">
        <v>339</v>
      </c>
      <c r="B151" s="33" t="s">
        <v>485</v>
      </c>
      <c r="C151" s="33">
        <v>39</v>
      </c>
      <c r="D151" s="33" t="s">
        <v>353</v>
      </c>
      <c r="E151" s="33" t="s">
        <v>485</v>
      </c>
      <c r="F151" s="81">
        <v>39</v>
      </c>
      <c r="G151">
        <f t="shared" si="4"/>
        <v>0</v>
      </c>
      <c r="H151">
        <f t="shared" si="5"/>
        <v>0</v>
      </c>
    </row>
    <row r="152" spans="1:9" x14ac:dyDescent="0.15">
      <c r="A152" s="33" t="s">
        <v>339</v>
      </c>
      <c r="B152" s="33" t="s">
        <v>486</v>
      </c>
      <c r="C152" s="33">
        <v>476859</v>
      </c>
      <c r="D152" s="33" t="s">
        <v>353</v>
      </c>
      <c r="E152" s="33" t="s">
        <v>486</v>
      </c>
      <c r="F152" s="81">
        <v>476859</v>
      </c>
      <c r="G152">
        <f t="shared" si="4"/>
        <v>0</v>
      </c>
      <c r="H152">
        <f t="shared" si="5"/>
        <v>0</v>
      </c>
    </row>
    <row r="153" spans="1:9" x14ac:dyDescent="0.15">
      <c r="A153" s="33" t="s">
        <v>339</v>
      </c>
      <c r="B153" s="33" t="s">
        <v>1063</v>
      </c>
      <c r="C153" s="33">
        <v>311</v>
      </c>
      <c r="D153" s="33" t="s">
        <v>353</v>
      </c>
      <c r="E153" s="33" t="s">
        <v>1063</v>
      </c>
      <c r="F153" s="81">
        <v>311</v>
      </c>
      <c r="G153">
        <f t="shared" si="4"/>
        <v>0</v>
      </c>
      <c r="H153">
        <f t="shared" si="5"/>
        <v>0</v>
      </c>
    </row>
    <row r="154" spans="1:9" x14ac:dyDescent="0.15">
      <c r="A154" s="33" t="s">
        <v>339</v>
      </c>
      <c r="B154" s="33" t="s">
        <v>487</v>
      </c>
      <c r="C154" s="33">
        <v>152</v>
      </c>
      <c r="D154" s="33" t="s">
        <v>353</v>
      </c>
      <c r="E154" s="33" t="s">
        <v>487</v>
      </c>
      <c r="F154" s="81">
        <v>152</v>
      </c>
      <c r="G154">
        <f t="shared" si="4"/>
        <v>0</v>
      </c>
      <c r="H154">
        <f t="shared" si="5"/>
        <v>0</v>
      </c>
    </row>
    <row r="155" spans="1:9" x14ac:dyDescent="0.15">
      <c r="A155" s="33" t="s">
        <v>339</v>
      </c>
      <c r="B155" s="33" t="s">
        <v>488</v>
      </c>
      <c r="C155" s="33">
        <v>6372</v>
      </c>
      <c r="D155" s="33" t="s">
        <v>353</v>
      </c>
      <c r="E155" s="33" t="s">
        <v>488</v>
      </c>
      <c r="F155" s="81">
        <v>6372</v>
      </c>
      <c r="G155">
        <f t="shared" si="4"/>
        <v>0</v>
      </c>
      <c r="H155">
        <f t="shared" si="5"/>
        <v>0</v>
      </c>
    </row>
    <row r="156" spans="1:9" x14ac:dyDescent="0.15">
      <c r="A156" s="33" t="s">
        <v>339</v>
      </c>
      <c r="B156" s="33" t="s">
        <v>489</v>
      </c>
      <c r="C156" s="33">
        <v>7542</v>
      </c>
      <c r="D156" s="33" t="s">
        <v>353</v>
      </c>
      <c r="E156" s="33" t="s">
        <v>489</v>
      </c>
      <c r="F156" s="81">
        <v>7542</v>
      </c>
      <c r="G156">
        <f t="shared" si="4"/>
        <v>0</v>
      </c>
      <c r="H156">
        <f t="shared" si="5"/>
        <v>0</v>
      </c>
    </row>
    <row r="157" spans="1:9" x14ac:dyDescent="0.15">
      <c r="A157" s="33" t="s">
        <v>339</v>
      </c>
      <c r="B157" s="33" t="s">
        <v>490</v>
      </c>
      <c r="C157" s="33">
        <v>12195</v>
      </c>
      <c r="D157" s="33" t="s">
        <v>353</v>
      </c>
      <c r="E157" s="33" t="s">
        <v>490</v>
      </c>
      <c r="F157" s="81">
        <v>12195</v>
      </c>
      <c r="G157">
        <f t="shared" si="4"/>
        <v>0</v>
      </c>
      <c r="H157">
        <f t="shared" si="5"/>
        <v>0</v>
      </c>
    </row>
    <row r="158" spans="1:9" x14ac:dyDescent="0.15">
      <c r="A158" s="33" t="s">
        <v>339</v>
      </c>
      <c r="B158" s="33" t="s">
        <v>491</v>
      </c>
      <c r="C158" s="33">
        <v>3168</v>
      </c>
      <c r="D158" s="33" t="s">
        <v>353</v>
      </c>
      <c r="E158" s="33" t="s">
        <v>491</v>
      </c>
      <c r="F158" s="81">
        <v>3168</v>
      </c>
      <c r="G158">
        <f t="shared" si="4"/>
        <v>0</v>
      </c>
      <c r="H158">
        <f t="shared" si="5"/>
        <v>0</v>
      </c>
    </row>
    <row r="159" spans="1:9" x14ac:dyDescent="0.15">
      <c r="A159" s="33" t="s">
        <v>339</v>
      </c>
      <c r="B159" s="33" t="s">
        <v>492</v>
      </c>
      <c r="C159" s="33">
        <v>8</v>
      </c>
      <c r="D159" s="33" t="s">
        <v>353</v>
      </c>
      <c r="E159" s="33" t="s">
        <v>492</v>
      </c>
      <c r="F159" s="81">
        <v>8</v>
      </c>
      <c r="G159">
        <f t="shared" si="4"/>
        <v>0</v>
      </c>
      <c r="H159">
        <f t="shared" si="5"/>
        <v>0</v>
      </c>
    </row>
    <row r="160" spans="1:9" x14ac:dyDescent="0.15">
      <c r="A160" s="33" t="s">
        <v>339</v>
      </c>
      <c r="B160" s="33" t="s">
        <v>493</v>
      </c>
      <c r="C160" s="33">
        <v>54</v>
      </c>
      <c r="D160" s="33" t="s">
        <v>353</v>
      </c>
      <c r="E160" s="33" t="s">
        <v>493</v>
      </c>
      <c r="F160" s="81">
        <v>54</v>
      </c>
      <c r="G160">
        <f t="shared" si="4"/>
        <v>0</v>
      </c>
      <c r="H160">
        <f t="shared" si="5"/>
        <v>0</v>
      </c>
    </row>
    <row r="161" spans="1:8" x14ac:dyDescent="0.15">
      <c r="A161" s="33" t="s">
        <v>339</v>
      </c>
      <c r="B161" s="33" t="s">
        <v>494</v>
      </c>
      <c r="C161" s="33">
        <v>5466</v>
      </c>
      <c r="D161" s="33" t="s">
        <v>353</v>
      </c>
      <c r="E161" s="33" t="s">
        <v>494</v>
      </c>
      <c r="F161" s="81">
        <v>5466</v>
      </c>
      <c r="G161">
        <f t="shared" si="4"/>
        <v>0</v>
      </c>
      <c r="H161">
        <f t="shared" si="5"/>
        <v>0</v>
      </c>
    </row>
    <row r="162" spans="1:8" x14ac:dyDescent="0.15">
      <c r="A162" s="33" t="s">
        <v>339</v>
      </c>
      <c r="B162" s="33" t="s">
        <v>495</v>
      </c>
      <c r="C162" s="33">
        <v>408667</v>
      </c>
      <c r="D162" s="33" t="s">
        <v>353</v>
      </c>
      <c r="E162" s="33" t="s">
        <v>495</v>
      </c>
      <c r="F162" s="81">
        <v>408667</v>
      </c>
      <c r="G162">
        <f t="shared" si="4"/>
        <v>0</v>
      </c>
      <c r="H162">
        <f t="shared" si="5"/>
        <v>0</v>
      </c>
    </row>
    <row r="163" spans="1:8" x14ac:dyDescent="0.15">
      <c r="A163" s="33" t="s">
        <v>339</v>
      </c>
      <c r="B163" s="33" t="s">
        <v>496</v>
      </c>
      <c r="C163" s="33">
        <v>6212</v>
      </c>
      <c r="D163" s="33" t="s">
        <v>353</v>
      </c>
      <c r="E163" s="33" t="s">
        <v>496</v>
      </c>
      <c r="F163" s="81">
        <v>6212</v>
      </c>
      <c r="G163">
        <f t="shared" si="4"/>
        <v>0</v>
      </c>
      <c r="H163">
        <f t="shared" si="5"/>
        <v>0</v>
      </c>
    </row>
    <row r="164" spans="1:8" x14ac:dyDescent="0.15">
      <c r="A164" s="33" t="s">
        <v>339</v>
      </c>
      <c r="B164" s="33" t="s">
        <v>497</v>
      </c>
      <c r="C164" s="33">
        <v>95279</v>
      </c>
      <c r="D164" s="33" t="s">
        <v>353</v>
      </c>
      <c r="E164" s="33" t="s">
        <v>497</v>
      </c>
      <c r="F164" s="81">
        <v>95279</v>
      </c>
      <c r="G164">
        <f t="shared" si="4"/>
        <v>0</v>
      </c>
      <c r="H164">
        <f t="shared" si="5"/>
        <v>0</v>
      </c>
    </row>
    <row r="165" spans="1:8" x14ac:dyDescent="0.15">
      <c r="A165" s="33" t="s">
        <v>339</v>
      </c>
      <c r="B165" s="33" t="s">
        <v>1078</v>
      </c>
      <c r="C165" s="33">
        <v>2</v>
      </c>
      <c r="D165" s="33" t="s">
        <v>353</v>
      </c>
      <c r="E165" s="33" t="s">
        <v>1078</v>
      </c>
      <c r="F165" s="81">
        <v>2</v>
      </c>
      <c r="G165">
        <f t="shared" si="4"/>
        <v>0</v>
      </c>
      <c r="H165">
        <f t="shared" si="5"/>
        <v>0</v>
      </c>
    </row>
    <row r="166" spans="1:8" x14ac:dyDescent="0.15">
      <c r="A166" s="33" t="s">
        <v>339</v>
      </c>
      <c r="B166" s="33" t="s">
        <v>1081</v>
      </c>
      <c r="C166" s="33">
        <v>29</v>
      </c>
      <c r="D166" s="33" t="s">
        <v>353</v>
      </c>
      <c r="E166" s="33" t="s">
        <v>1081</v>
      </c>
      <c r="F166" s="81">
        <v>29</v>
      </c>
      <c r="G166">
        <f t="shared" si="4"/>
        <v>0</v>
      </c>
      <c r="H166">
        <f t="shared" si="5"/>
        <v>0</v>
      </c>
    </row>
    <row r="167" spans="1:8" x14ac:dyDescent="0.15">
      <c r="A167" s="33" t="s">
        <v>339</v>
      </c>
      <c r="B167" s="33" t="s">
        <v>1084</v>
      </c>
      <c r="C167" s="33">
        <v>29</v>
      </c>
      <c r="D167" s="33" t="s">
        <v>353</v>
      </c>
      <c r="E167" s="33" t="s">
        <v>1084</v>
      </c>
      <c r="F167" s="81">
        <v>29</v>
      </c>
      <c r="G167">
        <f t="shared" si="4"/>
        <v>0</v>
      </c>
      <c r="H167">
        <f t="shared" si="5"/>
        <v>0</v>
      </c>
    </row>
    <row r="168" spans="1:8" x14ac:dyDescent="0.15">
      <c r="A168" s="33" t="s">
        <v>339</v>
      </c>
      <c r="B168" s="33" t="s">
        <v>498</v>
      </c>
      <c r="C168" s="33">
        <v>2164</v>
      </c>
      <c r="D168" s="33" t="s">
        <v>353</v>
      </c>
      <c r="E168" s="33" t="s">
        <v>498</v>
      </c>
      <c r="F168" s="81">
        <v>2164</v>
      </c>
      <c r="G168">
        <f t="shared" si="4"/>
        <v>0</v>
      </c>
      <c r="H168">
        <f t="shared" si="5"/>
        <v>0</v>
      </c>
    </row>
    <row r="169" spans="1:8" x14ac:dyDescent="0.15">
      <c r="A169" s="33" t="s">
        <v>339</v>
      </c>
      <c r="B169" s="33" t="s">
        <v>1089</v>
      </c>
      <c r="C169" s="33">
        <v>4865</v>
      </c>
      <c r="D169" s="33" t="s">
        <v>353</v>
      </c>
      <c r="E169" s="33" t="s">
        <v>1089</v>
      </c>
      <c r="F169" s="81">
        <v>4865</v>
      </c>
      <c r="G169">
        <f t="shared" si="4"/>
        <v>0</v>
      </c>
      <c r="H169">
        <f t="shared" si="5"/>
        <v>0</v>
      </c>
    </row>
    <row r="170" spans="1:8" x14ac:dyDescent="0.15">
      <c r="A170" s="33" t="s">
        <v>339</v>
      </c>
      <c r="B170" s="33" t="s">
        <v>1091</v>
      </c>
      <c r="C170" s="33">
        <v>2</v>
      </c>
      <c r="D170" s="33" t="s">
        <v>353</v>
      </c>
      <c r="E170" s="33" t="s">
        <v>1091</v>
      </c>
      <c r="F170" s="81">
        <v>2</v>
      </c>
      <c r="G170">
        <f t="shared" si="4"/>
        <v>0</v>
      </c>
      <c r="H170">
        <f t="shared" si="5"/>
        <v>0</v>
      </c>
    </row>
    <row r="171" spans="1:8" x14ac:dyDescent="0.15">
      <c r="A171" s="33" t="s">
        <v>339</v>
      </c>
      <c r="B171" s="33" t="s">
        <v>1093</v>
      </c>
      <c r="C171" s="33">
        <v>9</v>
      </c>
      <c r="D171" s="33" t="s">
        <v>353</v>
      </c>
      <c r="E171" s="33" t="s">
        <v>1093</v>
      </c>
      <c r="F171" s="81">
        <v>9</v>
      </c>
      <c r="G171">
        <f t="shared" si="4"/>
        <v>0</v>
      </c>
      <c r="H171">
        <f t="shared" si="5"/>
        <v>0</v>
      </c>
    </row>
    <row r="172" spans="1:8" x14ac:dyDescent="0.15">
      <c r="A172" s="33" t="s">
        <v>339</v>
      </c>
      <c r="B172" s="33" t="s">
        <v>1096</v>
      </c>
      <c r="C172" s="33">
        <v>2457</v>
      </c>
      <c r="D172" s="33" t="s">
        <v>353</v>
      </c>
      <c r="E172" s="33" t="s">
        <v>1096</v>
      </c>
      <c r="F172" s="81">
        <v>2457</v>
      </c>
      <c r="G172">
        <f t="shared" si="4"/>
        <v>0</v>
      </c>
      <c r="H172">
        <f t="shared" si="5"/>
        <v>0</v>
      </c>
    </row>
    <row r="173" spans="1:8" x14ac:dyDescent="0.15">
      <c r="A173" s="33" t="s">
        <v>339</v>
      </c>
      <c r="B173" s="33" t="s">
        <v>1098</v>
      </c>
      <c r="C173" s="33">
        <v>2464</v>
      </c>
      <c r="D173" s="33" t="s">
        <v>353</v>
      </c>
      <c r="E173" s="33" t="s">
        <v>1098</v>
      </c>
      <c r="F173" s="81">
        <v>2464</v>
      </c>
      <c r="G173">
        <f t="shared" si="4"/>
        <v>0</v>
      </c>
      <c r="H173">
        <f t="shared" si="5"/>
        <v>0</v>
      </c>
    </row>
    <row r="174" spans="1:8" x14ac:dyDescent="0.15">
      <c r="A174" s="33" t="s">
        <v>339</v>
      </c>
      <c r="B174" s="33" t="s">
        <v>1100</v>
      </c>
      <c r="C174" s="33">
        <v>92253</v>
      </c>
      <c r="D174" s="33" t="s">
        <v>353</v>
      </c>
      <c r="E174" s="33" t="s">
        <v>1100</v>
      </c>
      <c r="F174" s="81">
        <v>92253</v>
      </c>
      <c r="G174">
        <f t="shared" si="4"/>
        <v>0</v>
      </c>
      <c r="H174">
        <f t="shared" si="5"/>
        <v>0</v>
      </c>
    </row>
    <row r="175" spans="1:8" x14ac:dyDescent="0.15">
      <c r="A175" s="33" t="s">
        <v>339</v>
      </c>
      <c r="B175" s="33" t="s">
        <v>1102</v>
      </c>
      <c r="C175" s="33">
        <v>27991</v>
      </c>
      <c r="D175" s="33" t="s">
        <v>353</v>
      </c>
      <c r="E175" s="33" t="s">
        <v>1102</v>
      </c>
      <c r="F175" s="81">
        <v>27991</v>
      </c>
      <c r="G175">
        <f t="shared" si="4"/>
        <v>0</v>
      </c>
      <c r="H175">
        <f t="shared" si="5"/>
        <v>0</v>
      </c>
    </row>
    <row r="176" spans="1:8" x14ac:dyDescent="0.15">
      <c r="A176" s="33" t="s">
        <v>339</v>
      </c>
      <c r="B176" s="33" t="s">
        <v>1105</v>
      </c>
      <c r="C176" s="33">
        <v>12563</v>
      </c>
      <c r="D176" s="33" t="s">
        <v>353</v>
      </c>
      <c r="E176" s="33" t="s">
        <v>1105</v>
      </c>
      <c r="F176" s="81">
        <v>12563</v>
      </c>
      <c r="G176">
        <f t="shared" si="4"/>
        <v>0</v>
      </c>
      <c r="H176">
        <f t="shared" si="5"/>
        <v>0</v>
      </c>
    </row>
    <row r="177" spans="1:9" x14ac:dyDescent="0.15">
      <c r="A177" s="33" t="s">
        <v>339</v>
      </c>
      <c r="B177" s="33" t="s">
        <v>1107</v>
      </c>
      <c r="C177" s="33">
        <v>2466</v>
      </c>
      <c r="D177" s="33" t="s">
        <v>353</v>
      </c>
      <c r="E177" s="33" t="s">
        <v>1107</v>
      </c>
      <c r="F177" s="81">
        <v>2466</v>
      </c>
      <c r="G177">
        <f t="shared" si="4"/>
        <v>0</v>
      </c>
      <c r="H177">
        <f t="shared" si="5"/>
        <v>0</v>
      </c>
    </row>
    <row r="178" spans="1:9" x14ac:dyDescent="0.15">
      <c r="A178" s="33" t="s">
        <v>339</v>
      </c>
      <c r="B178" s="33" t="s">
        <v>1110</v>
      </c>
      <c r="C178" s="33">
        <v>179029</v>
      </c>
      <c r="D178" s="33" t="s">
        <v>353</v>
      </c>
      <c r="E178" s="33" t="s">
        <v>1110</v>
      </c>
      <c r="F178" s="81">
        <v>179029</v>
      </c>
      <c r="G178">
        <f t="shared" si="4"/>
        <v>0</v>
      </c>
      <c r="H178">
        <f t="shared" si="5"/>
        <v>0</v>
      </c>
    </row>
    <row r="179" spans="1:9" x14ac:dyDescent="0.15">
      <c r="A179" s="33" t="s">
        <v>339</v>
      </c>
      <c r="B179" s="33" t="s">
        <v>1112</v>
      </c>
      <c r="C179" s="33">
        <v>13468</v>
      </c>
      <c r="D179" s="33" t="s">
        <v>353</v>
      </c>
      <c r="E179" s="33" t="s">
        <v>1112</v>
      </c>
      <c r="F179" s="81">
        <v>13468</v>
      </c>
      <c r="G179">
        <f t="shared" si="4"/>
        <v>0</v>
      </c>
      <c r="H179">
        <f t="shared" si="5"/>
        <v>0</v>
      </c>
    </row>
    <row r="180" spans="1:9" x14ac:dyDescent="0.15">
      <c r="A180" s="33" t="s">
        <v>339</v>
      </c>
      <c r="B180" s="33" t="s">
        <v>499</v>
      </c>
      <c r="C180" s="33">
        <v>5</v>
      </c>
      <c r="D180" s="33" t="s">
        <v>353</v>
      </c>
      <c r="E180" s="33" t="s">
        <v>499</v>
      </c>
      <c r="F180" s="81">
        <v>5</v>
      </c>
      <c r="G180">
        <f t="shared" si="4"/>
        <v>0</v>
      </c>
      <c r="H180">
        <f t="shared" si="5"/>
        <v>0</v>
      </c>
      <c r="I180" s="13"/>
    </row>
    <row r="181" spans="1:9" x14ac:dyDescent="0.15">
      <c r="A181" s="33" t="s">
        <v>339</v>
      </c>
      <c r="B181" s="33" t="s">
        <v>500</v>
      </c>
      <c r="C181" s="33">
        <v>60</v>
      </c>
      <c r="D181" s="33" t="s">
        <v>353</v>
      </c>
      <c r="E181" s="33" t="s">
        <v>500</v>
      </c>
      <c r="F181" s="81">
        <v>60</v>
      </c>
      <c r="G181">
        <f t="shared" si="4"/>
        <v>0</v>
      </c>
      <c r="H181">
        <f t="shared" si="5"/>
        <v>0</v>
      </c>
    </row>
    <row r="182" spans="1:9" x14ac:dyDescent="0.15">
      <c r="A182" s="33" t="s">
        <v>339</v>
      </c>
      <c r="B182" s="33" t="s">
        <v>501</v>
      </c>
      <c r="C182" s="33">
        <v>22</v>
      </c>
      <c r="D182" s="33" t="s">
        <v>353</v>
      </c>
      <c r="E182" s="33" t="s">
        <v>501</v>
      </c>
      <c r="F182" s="81">
        <v>22</v>
      </c>
      <c r="G182">
        <f t="shared" si="4"/>
        <v>0</v>
      </c>
      <c r="H182">
        <f t="shared" si="5"/>
        <v>0</v>
      </c>
    </row>
    <row r="183" spans="1:9" x14ac:dyDescent="0.15">
      <c r="A183" s="33" t="s">
        <v>339</v>
      </c>
      <c r="B183" s="33" t="s">
        <v>502</v>
      </c>
      <c r="C183" s="33">
        <v>19</v>
      </c>
      <c r="D183" s="33" t="s">
        <v>353</v>
      </c>
      <c r="E183" s="33" t="s">
        <v>502</v>
      </c>
      <c r="F183" s="81">
        <v>19</v>
      </c>
      <c r="G183">
        <f t="shared" si="4"/>
        <v>0</v>
      </c>
      <c r="H183">
        <f t="shared" si="5"/>
        <v>0</v>
      </c>
    </row>
    <row r="184" spans="1:9" x14ac:dyDescent="0.15">
      <c r="A184" s="33" t="s">
        <v>339</v>
      </c>
      <c r="B184" s="33" t="s">
        <v>503</v>
      </c>
      <c r="C184" s="33">
        <v>5181</v>
      </c>
      <c r="D184" s="33" t="s">
        <v>353</v>
      </c>
      <c r="E184" s="33" t="s">
        <v>503</v>
      </c>
      <c r="F184" s="81">
        <v>5181</v>
      </c>
      <c r="G184">
        <f t="shared" si="4"/>
        <v>0</v>
      </c>
      <c r="H184">
        <f t="shared" si="5"/>
        <v>0</v>
      </c>
    </row>
    <row r="185" spans="1:9" x14ac:dyDescent="0.15">
      <c r="A185" s="33" t="s">
        <v>339</v>
      </c>
      <c r="B185" s="33" t="s">
        <v>504</v>
      </c>
      <c r="C185" s="33">
        <v>813</v>
      </c>
      <c r="D185" s="33" t="s">
        <v>353</v>
      </c>
      <c r="E185" s="33" t="s">
        <v>504</v>
      </c>
      <c r="F185" s="81">
        <v>813</v>
      </c>
      <c r="G185">
        <f t="shared" si="4"/>
        <v>0</v>
      </c>
      <c r="H185">
        <f t="shared" si="5"/>
        <v>0</v>
      </c>
    </row>
    <row r="186" spans="1:9" x14ac:dyDescent="0.15">
      <c r="A186" s="33" t="s">
        <v>339</v>
      </c>
      <c r="B186" s="33" t="s">
        <v>505</v>
      </c>
      <c r="C186" s="33">
        <v>1141</v>
      </c>
      <c r="D186" s="33" t="s">
        <v>353</v>
      </c>
      <c r="E186" s="33" t="s">
        <v>505</v>
      </c>
      <c r="F186" s="81">
        <v>1141</v>
      </c>
      <c r="G186">
        <f t="shared" si="4"/>
        <v>0</v>
      </c>
      <c r="H186">
        <f t="shared" si="5"/>
        <v>0</v>
      </c>
    </row>
    <row r="187" spans="1:9" x14ac:dyDescent="0.15">
      <c r="A187" s="33" t="s">
        <v>339</v>
      </c>
      <c r="B187" s="33" t="s">
        <v>506</v>
      </c>
      <c r="C187" s="33">
        <v>28270</v>
      </c>
      <c r="D187" s="33" t="s">
        <v>353</v>
      </c>
      <c r="E187" s="33" t="s">
        <v>506</v>
      </c>
      <c r="F187" s="81">
        <v>28270</v>
      </c>
      <c r="G187">
        <f t="shared" si="4"/>
        <v>0</v>
      </c>
      <c r="H187">
        <f t="shared" si="5"/>
        <v>0</v>
      </c>
    </row>
    <row r="188" spans="1:9" x14ac:dyDescent="0.15">
      <c r="A188" s="33" t="s">
        <v>339</v>
      </c>
      <c r="B188" s="33" t="s">
        <v>507</v>
      </c>
      <c r="C188" s="33">
        <v>16630</v>
      </c>
      <c r="D188" s="33" t="s">
        <v>353</v>
      </c>
      <c r="E188" s="33" t="s">
        <v>507</v>
      </c>
      <c r="F188" s="81">
        <v>16630</v>
      </c>
      <c r="G188">
        <f t="shared" si="4"/>
        <v>0</v>
      </c>
      <c r="H188">
        <f t="shared" si="5"/>
        <v>0</v>
      </c>
    </row>
    <row r="189" spans="1:9" x14ac:dyDescent="0.15">
      <c r="A189" s="33" t="s">
        <v>339</v>
      </c>
      <c r="B189" s="33" t="s">
        <v>508</v>
      </c>
      <c r="C189" s="33">
        <v>45726</v>
      </c>
      <c r="D189" s="33" t="s">
        <v>353</v>
      </c>
      <c r="E189" s="33" t="s">
        <v>508</v>
      </c>
      <c r="F189" s="81">
        <v>45726</v>
      </c>
      <c r="G189">
        <f t="shared" si="4"/>
        <v>0</v>
      </c>
      <c r="H189">
        <f t="shared" si="5"/>
        <v>0</v>
      </c>
    </row>
    <row r="190" spans="1:9" x14ac:dyDescent="0.15">
      <c r="A190" s="33" t="s">
        <v>339</v>
      </c>
      <c r="B190" s="33" t="s">
        <v>509</v>
      </c>
      <c r="C190" s="33">
        <v>663359</v>
      </c>
      <c r="D190" s="33" t="s">
        <v>353</v>
      </c>
      <c r="E190" s="33" t="s">
        <v>509</v>
      </c>
      <c r="F190" s="81">
        <v>663359</v>
      </c>
      <c r="G190">
        <f t="shared" si="4"/>
        <v>0</v>
      </c>
      <c r="H190">
        <f t="shared" si="5"/>
        <v>0</v>
      </c>
    </row>
    <row r="191" spans="1:9" x14ac:dyDescent="0.15">
      <c r="A191" s="33" t="s">
        <v>339</v>
      </c>
      <c r="B191" s="33" t="s">
        <v>510</v>
      </c>
      <c r="C191" s="33">
        <v>37</v>
      </c>
      <c r="D191" s="33" t="s">
        <v>353</v>
      </c>
      <c r="E191" s="33" t="s">
        <v>510</v>
      </c>
      <c r="F191" s="81">
        <v>37</v>
      </c>
      <c r="G191">
        <f t="shared" si="4"/>
        <v>0</v>
      </c>
      <c r="H191">
        <f t="shared" si="5"/>
        <v>0</v>
      </c>
    </row>
    <row r="192" spans="1:9" x14ac:dyDescent="0.15">
      <c r="A192" s="33" t="s">
        <v>339</v>
      </c>
      <c r="B192" s="33" t="s">
        <v>1129</v>
      </c>
      <c r="C192" s="33">
        <v>1</v>
      </c>
      <c r="D192" s="33" t="s">
        <v>353</v>
      </c>
      <c r="E192" s="33" t="s">
        <v>1129</v>
      </c>
      <c r="F192" s="81">
        <v>1</v>
      </c>
      <c r="G192">
        <f t="shared" si="4"/>
        <v>0</v>
      </c>
      <c r="H192">
        <f t="shared" si="5"/>
        <v>0</v>
      </c>
    </row>
    <row r="193" spans="1:8" x14ac:dyDescent="0.15">
      <c r="A193" s="33" t="s">
        <v>339</v>
      </c>
      <c r="B193" s="33" t="s">
        <v>511</v>
      </c>
      <c r="C193" s="33">
        <v>226584</v>
      </c>
      <c r="D193" s="33" t="s">
        <v>353</v>
      </c>
      <c r="E193" s="33" t="s">
        <v>511</v>
      </c>
      <c r="F193" s="81">
        <v>226584</v>
      </c>
      <c r="G193">
        <f t="shared" si="4"/>
        <v>0</v>
      </c>
      <c r="H193">
        <f t="shared" si="5"/>
        <v>0</v>
      </c>
    </row>
    <row r="194" spans="1:8" x14ac:dyDescent="0.15">
      <c r="A194" s="33" t="s">
        <v>339</v>
      </c>
      <c r="B194" s="33" t="s">
        <v>512</v>
      </c>
      <c r="C194" s="33">
        <v>1</v>
      </c>
      <c r="D194" s="33" t="s">
        <v>353</v>
      </c>
      <c r="E194" s="33" t="s">
        <v>512</v>
      </c>
      <c r="F194" s="81">
        <v>1</v>
      </c>
      <c r="G194">
        <f t="shared" si="4"/>
        <v>0</v>
      </c>
      <c r="H194">
        <f t="shared" si="5"/>
        <v>0</v>
      </c>
    </row>
    <row r="195" spans="1:8" x14ac:dyDescent="0.15">
      <c r="A195" s="33" t="s">
        <v>339</v>
      </c>
      <c r="B195" s="33" t="s">
        <v>513</v>
      </c>
      <c r="C195" s="33">
        <v>292</v>
      </c>
      <c r="D195" s="33" t="s">
        <v>353</v>
      </c>
      <c r="E195" s="33" t="s">
        <v>513</v>
      </c>
      <c r="F195" s="81">
        <v>292</v>
      </c>
      <c r="G195">
        <f t="shared" si="4"/>
        <v>0</v>
      </c>
      <c r="H195">
        <f t="shared" si="5"/>
        <v>0</v>
      </c>
    </row>
    <row r="196" spans="1:8" x14ac:dyDescent="0.15">
      <c r="A196" s="33" t="s">
        <v>339</v>
      </c>
      <c r="B196" s="33" t="s">
        <v>514</v>
      </c>
      <c r="C196" s="33">
        <v>1660</v>
      </c>
      <c r="D196" s="33" t="s">
        <v>353</v>
      </c>
      <c r="E196" s="33" t="s">
        <v>514</v>
      </c>
      <c r="F196" s="81">
        <v>1660</v>
      </c>
      <c r="G196">
        <f t="shared" si="4"/>
        <v>0</v>
      </c>
      <c r="H196">
        <f t="shared" si="5"/>
        <v>0</v>
      </c>
    </row>
    <row r="197" spans="1:8" x14ac:dyDescent="0.15">
      <c r="A197" s="33" t="s">
        <v>339</v>
      </c>
      <c r="B197" s="33" t="s">
        <v>515</v>
      </c>
      <c r="C197" s="33">
        <v>1</v>
      </c>
      <c r="D197" s="33" t="s">
        <v>353</v>
      </c>
      <c r="E197" s="33" t="s">
        <v>515</v>
      </c>
      <c r="F197" s="81">
        <v>1</v>
      </c>
      <c r="G197">
        <f t="shared" si="4"/>
        <v>0</v>
      </c>
      <c r="H197">
        <f t="shared" si="5"/>
        <v>0</v>
      </c>
    </row>
    <row r="198" spans="1:8" x14ac:dyDescent="0.15">
      <c r="A198" s="33" t="s">
        <v>339</v>
      </c>
      <c r="B198" s="33" t="s">
        <v>516</v>
      </c>
      <c r="C198" s="33">
        <v>186</v>
      </c>
      <c r="D198" s="33" t="s">
        <v>353</v>
      </c>
      <c r="E198" s="33" t="s">
        <v>516</v>
      </c>
      <c r="F198" s="81">
        <v>186</v>
      </c>
      <c r="G198">
        <f t="shared" si="4"/>
        <v>0</v>
      </c>
      <c r="H198">
        <f t="shared" si="5"/>
        <v>0</v>
      </c>
    </row>
    <row r="199" spans="1:8" x14ac:dyDescent="0.15">
      <c r="A199" s="33" t="s">
        <v>339</v>
      </c>
      <c r="B199" s="33" t="s">
        <v>1137</v>
      </c>
      <c r="C199" s="33">
        <v>44</v>
      </c>
      <c r="D199" s="33" t="s">
        <v>353</v>
      </c>
      <c r="E199" s="33" t="s">
        <v>1137</v>
      </c>
      <c r="F199" s="81">
        <v>44</v>
      </c>
      <c r="G199">
        <f t="shared" si="4"/>
        <v>0</v>
      </c>
      <c r="H199">
        <f t="shared" si="5"/>
        <v>0</v>
      </c>
    </row>
    <row r="200" spans="1:8" x14ac:dyDescent="0.15">
      <c r="A200" s="33" t="s">
        <v>339</v>
      </c>
      <c r="B200" s="33" t="s">
        <v>517</v>
      </c>
      <c r="C200" s="33">
        <v>783</v>
      </c>
      <c r="D200" s="33" t="s">
        <v>353</v>
      </c>
      <c r="E200" s="33" t="s">
        <v>517</v>
      </c>
      <c r="F200" s="81">
        <v>783</v>
      </c>
      <c r="G200">
        <f t="shared" si="4"/>
        <v>0</v>
      </c>
      <c r="H200">
        <f t="shared" si="5"/>
        <v>0</v>
      </c>
    </row>
    <row r="201" spans="1:8" x14ac:dyDescent="0.15">
      <c r="A201" s="33" t="s">
        <v>339</v>
      </c>
      <c r="B201" s="33" t="s">
        <v>518</v>
      </c>
      <c r="C201" s="33">
        <v>760</v>
      </c>
      <c r="D201" s="33" t="s">
        <v>353</v>
      </c>
      <c r="E201" s="33" t="s">
        <v>518</v>
      </c>
      <c r="F201" s="81">
        <v>760</v>
      </c>
      <c r="G201">
        <f t="shared" si="4"/>
        <v>0</v>
      </c>
      <c r="H201">
        <f t="shared" si="5"/>
        <v>0</v>
      </c>
    </row>
    <row r="202" spans="1:8" x14ac:dyDescent="0.15">
      <c r="A202" s="33" t="s">
        <v>339</v>
      </c>
      <c r="B202" s="33" t="s">
        <v>1141</v>
      </c>
      <c r="C202" s="33">
        <v>635</v>
      </c>
      <c r="D202" s="33" t="s">
        <v>353</v>
      </c>
      <c r="E202" s="33" t="s">
        <v>1141</v>
      </c>
      <c r="F202" s="81">
        <v>635</v>
      </c>
      <c r="G202">
        <f t="shared" si="4"/>
        <v>0</v>
      </c>
      <c r="H202">
        <f t="shared" si="5"/>
        <v>0</v>
      </c>
    </row>
    <row r="203" spans="1:8" x14ac:dyDescent="0.15">
      <c r="A203" s="33" t="s">
        <v>339</v>
      </c>
      <c r="B203" s="33" t="s">
        <v>1143</v>
      </c>
      <c r="C203" s="33">
        <v>10</v>
      </c>
      <c r="D203" s="33" t="s">
        <v>353</v>
      </c>
      <c r="E203" s="33" t="s">
        <v>1143</v>
      </c>
      <c r="F203" s="81">
        <v>10</v>
      </c>
      <c r="G203">
        <f t="shared" si="4"/>
        <v>0</v>
      </c>
      <c r="H203">
        <f t="shared" si="5"/>
        <v>0</v>
      </c>
    </row>
    <row r="204" spans="1:8" x14ac:dyDescent="0.15">
      <c r="A204" s="33" t="s">
        <v>339</v>
      </c>
      <c r="B204" s="33" t="s">
        <v>519</v>
      </c>
      <c r="C204" s="33">
        <v>1869</v>
      </c>
      <c r="D204" s="33" t="s">
        <v>353</v>
      </c>
      <c r="E204" s="33" t="s">
        <v>519</v>
      </c>
      <c r="F204" s="81">
        <v>1869</v>
      </c>
      <c r="G204">
        <f t="shared" si="4"/>
        <v>0</v>
      </c>
      <c r="H204">
        <f t="shared" si="5"/>
        <v>0</v>
      </c>
    </row>
    <row r="205" spans="1:8" x14ac:dyDescent="0.15">
      <c r="A205" s="33" t="s">
        <v>339</v>
      </c>
      <c r="B205" s="33" t="s">
        <v>520</v>
      </c>
      <c r="C205" s="33">
        <v>19876</v>
      </c>
      <c r="D205" s="33" t="s">
        <v>353</v>
      </c>
      <c r="E205" s="33" t="s">
        <v>520</v>
      </c>
      <c r="F205" s="81">
        <v>19876</v>
      </c>
      <c r="G205">
        <f t="shared" si="4"/>
        <v>0</v>
      </c>
      <c r="H205">
        <f t="shared" si="5"/>
        <v>0</v>
      </c>
    </row>
    <row r="206" spans="1:8" x14ac:dyDescent="0.15">
      <c r="A206" s="33" t="s">
        <v>339</v>
      </c>
      <c r="B206" s="33" t="s">
        <v>521</v>
      </c>
      <c r="C206" s="33">
        <v>276</v>
      </c>
      <c r="D206" s="33" t="s">
        <v>353</v>
      </c>
      <c r="E206" s="33" t="s">
        <v>521</v>
      </c>
      <c r="F206" s="81">
        <v>276</v>
      </c>
      <c r="G206">
        <f t="shared" si="4"/>
        <v>0</v>
      </c>
      <c r="H206">
        <f t="shared" si="5"/>
        <v>0</v>
      </c>
    </row>
    <row r="207" spans="1:8" x14ac:dyDescent="0.15">
      <c r="A207" s="33" t="s">
        <v>339</v>
      </c>
      <c r="B207" s="33" t="s">
        <v>522</v>
      </c>
      <c r="C207" s="33">
        <v>350</v>
      </c>
      <c r="D207" s="33" t="s">
        <v>353</v>
      </c>
      <c r="E207" s="33" t="s">
        <v>522</v>
      </c>
      <c r="F207" s="81">
        <v>350</v>
      </c>
      <c r="G207">
        <f t="shared" si="4"/>
        <v>0</v>
      </c>
      <c r="H207">
        <f t="shared" si="5"/>
        <v>0</v>
      </c>
    </row>
    <row r="208" spans="1:8" x14ac:dyDescent="0.15">
      <c r="A208" s="33" t="s">
        <v>339</v>
      </c>
      <c r="B208" s="33" t="s">
        <v>523</v>
      </c>
      <c r="C208" s="33">
        <v>40</v>
      </c>
      <c r="D208" s="33" t="s">
        <v>353</v>
      </c>
      <c r="E208" s="33" t="s">
        <v>523</v>
      </c>
      <c r="F208" s="81">
        <v>40</v>
      </c>
      <c r="G208">
        <f t="shared" si="4"/>
        <v>0</v>
      </c>
      <c r="H208">
        <f t="shared" si="5"/>
        <v>0</v>
      </c>
    </row>
    <row r="209" spans="1:9" x14ac:dyDescent="0.15">
      <c r="A209" s="33" t="s">
        <v>339</v>
      </c>
      <c r="B209" s="33" t="s">
        <v>524</v>
      </c>
      <c r="C209" s="33">
        <v>64</v>
      </c>
      <c r="D209" s="33" t="s">
        <v>353</v>
      </c>
      <c r="E209" s="33" t="s">
        <v>524</v>
      </c>
      <c r="F209" s="81">
        <v>64</v>
      </c>
      <c r="G209">
        <f t="shared" ref="G209:G272" si="6">C209-F209</f>
        <v>0</v>
      </c>
      <c r="H209">
        <f t="shared" ref="H209:H272" si="7">IF(OR(C209=0, F209=0), 0, C209-F209)</f>
        <v>0</v>
      </c>
    </row>
    <row r="210" spans="1:9" x14ac:dyDescent="0.15">
      <c r="A210" s="33" t="s">
        <v>339</v>
      </c>
      <c r="B210" s="33" t="s">
        <v>525</v>
      </c>
      <c r="C210" s="33">
        <v>764</v>
      </c>
      <c r="D210" s="33" t="s">
        <v>353</v>
      </c>
      <c r="E210" s="33" t="s">
        <v>525</v>
      </c>
      <c r="F210" s="81">
        <v>764</v>
      </c>
      <c r="G210">
        <f t="shared" si="6"/>
        <v>0</v>
      </c>
      <c r="H210">
        <f t="shared" si="7"/>
        <v>0</v>
      </c>
    </row>
    <row r="211" spans="1:9" x14ac:dyDescent="0.15">
      <c r="A211" s="33" t="s">
        <v>339</v>
      </c>
      <c r="B211" s="33" t="s">
        <v>526</v>
      </c>
      <c r="C211" s="33">
        <v>10137</v>
      </c>
      <c r="D211" s="33" t="s">
        <v>353</v>
      </c>
      <c r="E211" s="33" t="s">
        <v>526</v>
      </c>
      <c r="F211" s="81">
        <v>10137</v>
      </c>
      <c r="G211">
        <f t="shared" si="6"/>
        <v>0</v>
      </c>
      <c r="H211">
        <f t="shared" si="7"/>
        <v>0</v>
      </c>
    </row>
    <row r="212" spans="1:9" x14ac:dyDescent="0.15">
      <c r="A212" s="33" t="s">
        <v>339</v>
      </c>
      <c r="B212" s="33" t="s">
        <v>527</v>
      </c>
      <c r="C212" s="33">
        <v>36</v>
      </c>
      <c r="D212" s="33" t="s">
        <v>353</v>
      </c>
      <c r="E212" s="33" t="s">
        <v>527</v>
      </c>
      <c r="F212" s="81">
        <v>36</v>
      </c>
      <c r="G212">
        <f t="shared" si="6"/>
        <v>0</v>
      </c>
      <c r="H212">
        <f t="shared" si="7"/>
        <v>0</v>
      </c>
    </row>
    <row r="213" spans="1:9" x14ac:dyDescent="0.15">
      <c r="A213" s="33" t="s">
        <v>339</v>
      </c>
      <c r="B213" s="33" t="s">
        <v>528</v>
      </c>
      <c r="C213" s="33">
        <v>3</v>
      </c>
      <c r="D213" s="33" t="s">
        <v>353</v>
      </c>
      <c r="E213" s="33" t="s">
        <v>528</v>
      </c>
      <c r="F213" s="81">
        <v>3</v>
      </c>
      <c r="G213">
        <f t="shared" si="6"/>
        <v>0</v>
      </c>
      <c r="H213">
        <f t="shared" si="7"/>
        <v>0</v>
      </c>
    </row>
    <row r="214" spans="1:9" x14ac:dyDescent="0.15">
      <c r="A214" s="33" t="s">
        <v>339</v>
      </c>
      <c r="B214" s="33" t="s">
        <v>529</v>
      </c>
      <c r="C214" s="33">
        <v>28572</v>
      </c>
      <c r="D214" s="33" t="s">
        <v>353</v>
      </c>
      <c r="E214" s="33" t="s">
        <v>529</v>
      </c>
      <c r="F214" s="81">
        <v>28572</v>
      </c>
      <c r="G214">
        <f t="shared" si="6"/>
        <v>0</v>
      </c>
      <c r="H214">
        <f t="shared" si="7"/>
        <v>0</v>
      </c>
    </row>
    <row r="215" spans="1:9" x14ac:dyDescent="0.15">
      <c r="A215" s="33" t="s">
        <v>339</v>
      </c>
      <c r="B215" s="33" t="s">
        <v>530</v>
      </c>
      <c r="C215" s="33">
        <v>11</v>
      </c>
      <c r="D215" s="33" t="s">
        <v>353</v>
      </c>
      <c r="E215" s="33" t="s">
        <v>530</v>
      </c>
      <c r="F215" s="81">
        <v>11</v>
      </c>
      <c r="G215">
        <f t="shared" si="6"/>
        <v>0</v>
      </c>
      <c r="H215">
        <f t="shared" si="7"/>
        <v>0</v>
      </c>
    </row>
    <row r="216" spans="1:9" x14ac:dyDescent="0.15">
      <c r="A216" s="33" t="s">
        <v>339</v>
      </c>
      <c r="B216" s="33" t="s">
        <v>531</v>
      </c>
      <c r="C216" s="33">
        <v>3608</v>
      </c>
      <c r="D216" s="33" t="s">
        <v>353</v>
      </c>
      <c r="E216" s="33" t="s">
        <v>531</v>
      </c>
      <c r="F216" s="81">
        <v>3608</v>
      </c>
      <c r="G216">
        <f t="shared" si="6"/>
        <v>0</v>
      </c>
      <c r="H216">
        <f t="shared" si="7"/>
        <v>0</v>
      </c>
    </row>
    <row r="217" spans="1:9" x14ac:dyDescent="0.15">
      <c r="A217" s="33" t="s">
        <v>339</v>
      </c>
      <c r="B217" s="33" t="s">
        <v>532</v>
      </c>
      <c r="C217" s="33">
        <v>61630</v>
      </c>
      <c r="D217" s="33" t="s">
        <v>353</v>
      </c>
      <c r="E217" s="33" t="s">
        <v>532</v>
      </c>
      <c r="F217" s="81">
        <v>61630</v>
      </c>
      <c r="G217">
        <f t="shared" si="6"/>
        <v>0</v>
      </c>
      <c r="H217">
        <f t="shared" si="7"/>
        <v>0</v>
      </c>
    </row>
    <row r="218" spans="1:9" x14ac:dyDescent="0.15">
      <c r="A218" s="33" t="s">
        <v>339</v>
      </c>
      <c r="B218" s="33" t="s">
        <v>533</v>
      </c>
      <c r="C218" s="33">
        <v>5092</v>
      </c>
      <c r="D218" s="33" t="s">
        <v>353</v>
      </c>
      <c r="E218" s="33" t="s">
        <v>533</v>
      </c>
      <c r="F218" s="81">
        <v>5092</v>
      </c>
      <c r="G218">
        <f t="shared" si="6"/>
        <v>0</v>
      </c>
      <c r="H218">
        <f t="shared" si="7"/>
        <v>0</v>
      </c>
    </row>
    <row r="219" spans="1:9" x14ac:dyDescent="0.15">
      <c r="A219" s="33" t="s">
        <v>339</v>
      </c>
      <c r="B219" s="33" t="s">
        <v>534</v>
      </c>
      <c r="C219" s="33">
        <v>35</v>
      </c>
      <c r="D219" s="33" t="s">
        <v>353</v>
      </c>
      <c r="E219" s="33" t="s">
        <v>534</v>
      </c>
      <c r="F219" s="81">
        <v>35</v>
      </c>
      <c r="G219">
        <f t="shared" si="6"/>
        <v>0</v>
      </c>
      <c r="H219">
        <f t="shared" si="7"/>
        <v>0</v>
      </c>
    </row>
    <row r="220" spans="1:9" x14ac:dyDescent="0.15">
      <c r="A220" s="33" t="s">
        <v>339</v>
      </c>
      <c r="B220" s="33" t="s">
        <v>535</v>
      </c>
      <c r="C220" s="33">
        <v>1046926</v>
      </c>
      <c r="D220" s="33" t="s">
        <v>353</v>
      </c>
      <c r="E220" s="33" t="s">
        <v>535</v>
      </c>
      <c r="F220" s="81">
        <v>1046926</v>
      </c>
      <c r="G220">
        <f t="shared" si="6"/>
        <v>0</v>
      </c>
      <c r="H220">
        <f t="shared" si="7"/>
        <v>0</v>
      </c>
      <c r="I220" s="13"/>
    </row>
    <row r="221" spans="1:9" x14ac:dyDescent="0.15">
      <c r="A221" s="33" t="s">
        <v>339</v>
      </c>
      <c r="B221" s="33" t="s">
        <v>536</v>
      </c>
      <c r="C221" s="33">
        <v>537</v>
      </c>
      <c r="D221" s="33" t="s">
        <v>353</v>
      </c>
      <c r="E221" s="33" t="s">
        <v>536</v>
      </c>
      <c r="F221" s="81">
        <v>537</v>
      </c>
      <c r="G221">
        <f t="shared" si="6"/>
        <v>0</v>
      </c>
      <c r="H221">
        <f t="shared" si="7"/>
        <v>0</v>
      </c>
    </row>
    <row r="222" spans="1:9" x14ac:dyDescent="0.15">
      <c r="A222" s="33" t="s">
        <v>339</v>
      </c>
      <c r="B222" s="33" t="s">
        <v>537</v>
      </c>
      <c r="C222" s="33">
        <v>4</v>
      </c>
      <c r="D222" s="33" t="s">
        <v>353</v>
      </c>
      <c r="E222" s="33" t="s">
        <v>537</v>
      </c>
      <c r="F222" s="81">
        <v>4</v>
      </c>
      <c r="G222">
        <f t="shared" si="6"/>
        <v>0</v>
      </c>
      <c r="H222">
        <f t="shared" si="7"/>
        <v>0</v>
      </c>
    </row>
    <row r="223" spans="1:9" x14ac:dyDescent="0.15">
      <c r="A223" s="33" t="s">
        <v>339</v>
      </c>
      <c r="B223" s="33" t="s">
        <v>538</v>
      </c>
      <c r="C223" s="33">
        <v>551209</v>
      </c>
      <c r="D223" s="33" t="s">
        <v>353</v>
      </c>
      <c r="E223" s="33" t="s">
        <v>538</v>
      </c>
      <c r="F223" s="81">
        <v>551209</v>
      </c>
      <c r="G223">
        <f t="shared" si="6"/>
        <v>0</v>
      </c>
      <c r="H223">
        <f t="shared" si="7"/>
        <v>0</v>
      </c>
    </row>
    <row r="224" spans="1:9" x14ac:dyDescent="0.15">
      <c r="A224" s="33" t="s">
        <v>339</v>
      </c>
      <c r="B224" s="33" t="s">
        <v>539</v>
      </c>
      <c r="C224" s="33">
        <v>251096</v>
      </c>
      <c r="D224" s="33" t="s">
        <v>353</v>
      </c>
      <c r="E224" s="33" t="s">
        <v>539</v>
      </c>
      <c r="F224" s="81">
        <v>251096</v>
      </c>
      <c r="G224">
        <f t="shared" si="6"/>
        <v>0</v>
      </c>
      <c r="H224">
        <f t="shared" si="7"/>
        <v>0</v>
      </c>
    </row>
    <row r="225" spans="1:8" x14ac:dyDescent="0.15">
      <c r="A225" s="33" t="s">
        <v>339</v>
      </c>
      <c r="B225" s="33" t="s">
        <v>540</v>
      </c>
      <c r="C225" s="33">
        <v>250924</v>
      </c>
      <c r="D225" s="33" t="s">
        <v>353</v>
      </c>
      <c r="E225" s="33" t="s">
        <v>540</v>
      </c>
      <c r="F225" s="81">
        <v>250924</v>
      </c>
      <c r="G225">
        <f t="shared" si="6"/>
        <v>0</v>
      </c>
      <c r="H225">
        <f t="shared" si="7"/>
        <v>0</v>
      </c>
    </row>
    <row r="226" spans="1:8" x14ac:dyDescent="0.15">
      <c r="A226" s="33" t="s">
        <v>339</v>
      </c>
      <c r="B226" s="33" t="s">
        <v>541</v>
      </c>
      <c r="C226" s="33">
        <v>136670</v>
      </c>
      <c r="D226" s="33" t="s">
        <v>353</v>
      </c>
      <c r="E226" s="33" t="s">
        <v>541</v>
      </c>
      <c r="F226" s="81">
        <v>136670</v>
      </c>
      <c r="G226">
        <f t="shared" si="6"/>
        <v>0</v>
      </c>
      <c r="H226">
        <f t="shared" si="7"/>
        <v>0</v>
      </c>
    </row>
    <row r="227" spans="1:8" x14ac:dyDescent="0.15">
      <c r="A227" s="33" t="s">
        <v>339</v>
      </c>
      <c r="B227" s="33" t="s">
        <v>542</v>
      </c>
      <c r="C227" s="33">
        <v>3638878</v>
      </c>
      <c r="D227" s="33" t="s">
        <v>353</v>
      </c>
      <c r="E227" s="33" t="s">
        <v>542</v>
      </c>
      <c r="F227" s="81">
        <v>3638878</v>
      </c>
      <c r="G227">
        <f t="shared" si="6"/>
        <v>0</v>
      </c>
      <c r="H227">
        <f t="shared" si="7"/>
        <v>0</v>
      </c>
    </row>
    <row r="228" spans="1:8" x14ac:dyDescent="0.15">
      <c r="A228" s="33" t="s">
        <v>339</v>
      </c>
      <c r="B228" s="33" t="s">
        <v>543</v>
      </c>
      <c r="C228" s="33">
        <v>1139762</v>
      </c>
      <c r="D228" s="33" t="s">
        <v>353</v>
      </c>
      <c r="E228" s="33" t="s">
        <v>543</v>
      </c>
      <c r="F228" s="81">
        <v>1139762</v>
      </c>
      <c r="G228">
        <f t="shared" si="6"/>
        <v>0</v>
      </c>
      <c r="H228">
        <f t="shared" si="7"/>
        <v>0</v>
      </c>
    </row>
    <row r="229" spans="1:8" x14ac:dyDescent="0.15">
      <c r="A229" s="33" t="s">
        <v>339</v>
      </c>
      <c r="B229" s="33" t="s">
        <v>544</v>
      </c>
      <c r="C229" s="33">
        <v>709128</v>
      </c>
      <c r="D229" s="33" t="s">
        <v>353</v>
      </c>
      <c r="E229" s="33" t="s">
        <v>544</v>
      </c>
      <c r="F229" s="81">
        <v>709128</v>
      </c>
      <c r="G229">
        <f t="shared" si="6"/>
        <v>0</v>
      </c>
      <c r="H229">
        <f t="shared" si="7"/>
        <v>0</v>
      </c>
    </row>
    <row r="230" spans="1:8" x14ac:dyDescent="0.15">
      <c r="A230" s="33" t="s">
        <v>339</v>
      </c>
      <c r="B230" s="33" t="s">
        <v>545</v>
      </c>
      <c r="C230" s="33">
        <v>737</v>
      </c>
      <c r="D230" s="33" t="s">
        <v>353</v>
      </c>
      <c r="E230" s="33" t="s">
        <v>545</v>
      </c>
      <c r="F230" s="81">
        <v>737</v>
      </c>
      <c r="G230">
        <f t="shared" si="6"/>
        <v>0</v>
      </c>
      <c r="H230">
        <f t="shared" si="7"/>
        <v>0</v>
      </c>
    </row>
    <row r="231" spans="1:8" x14ac:dyDescent="0.15">
      <c r="A231" s="33" t="s">
        <v>339</v>
      </c>
      <c r="B231" s="33" t="s">
        <v>546</v>
      </c>
      <c r="C231" s="33">
        <v>1289</v>
      </c>
      <c r="D231" s="33" t="s">
        <v>353</v>
      </c>
      <c r="E231" s="33" t="s">
        <v>546</v>
      </c>
      <c r="F231" s="81">
        <v>1289</v>
      </c>
      <c r="G231">
        <f t="shared" si="6"/>
        <v>0</v>
      </c>
      <c r="H231">
        <f t="shared" si="7"/>
        <v>0</v>
      </c>
    </row>
    <row r="232" spans="1:8" x14ac:dyDescent="0.15">
      <c r="A232" s="33" t="s">
        <v>339</v>
      </c>
      <c r="B232" s="33" t="s">
        <v>547</v>
      </c>
      <c r="C232" s="33">
        <v>71</v>
      </c>
      <c r="D232" s="33" t="s">
        <v>353</v>
      </c>
      <c r="E232" s="33" t="s">
        <v>547</v>
      </c>
      <c r="F232" s="81">
        <v>71</v>
      </c>
      <c r="G232">
        <f t="shared" si="6"/>
        <v>0</v>
      </c>
      <c r="H232">
        <f t="shared" si="7"/>
        <v>0</v>
      </c>
    </row>
    <row r="233" spans="1:8" x14ac:dyDescent="0.15">
      <c r="A233" s="33" t="s">
        <v>339</v>
      </c>
      <c r="B233" s="33" t="s">
        <v>548</v>
      </c>
      <c r="C233" s="33">
        <v>208</v>
      </c>
      <c r="D233" s="33" t="s">
        <v>353</v>
      </c>
      <c r="E233" s="33" t="s">
        <v>548</v>
      </c>
      <c r="F233" s="81">
        <v>208</v>
      </c>
      <c r="G233">
        <f t="shared" si="6"/>
        <v>0</v>
      </c>
      <c r="H233">
        <f t="shared" si="7"/>
        <v>0</v>
      </c>
    </row>
    <row r="234" spans="1:8" x14ac:dyDescent="0.15">
      <c r="A234" s="33" t="s">
        <v>339</v>
      </c>
      <c r="B234" s="33" t="s">
        <v>549</v>
      </c>
      <c r="C234" s="33">
        <v>11</v>
      </c>
      <c r="D234" s="33" t="s">
        <v>353</v>
      </c>
      <c r="E234" s="33" t="s">
        <v>549</v>
      </c>
      <c r="F234" s="81">
        <v>11</v>
      </c>
      <c r="G234">
        <f t="shared" si="6"/>
        <v>0</v>
      </c>
      <c r="H234">
        <f t="shared" si="7"/>
        <v>0</v>
      </c>
    </row>
    <row r="235" spans="1:8" x14ac:dyDescent="0.15">
      <c r="A235" s="33" t="s">
        <v>339</v>
      </c>
      <c r="B235" s="33" t="s">
        <v>550</v>
      </c>
      <c r="C235" s="33">
        <v>301271</v>
      </c>
      <c r="D235" s="33" t="s">
        <v>353</v>
      </c>
      <c r="E235" s="33" t="s">
        <v>550</v>
      </c>
      <c r="F235" s="81">
        <v>301271</v>
      </c>
      <c r="G235">
        <f t="shared" si="6"/>
        <v>0</v>
      </c>
      <c r="H235">
        <f t="shared" si="7"/>
        <v>0</v>
      </c>
    </row>
    <row r="236" spans="1:8" x14ac:dyDescent="0.15">
      <c r="A236" s="33" t="s">
        <v>339</v>
      </c>
      <c r="B236" s="33" t="s">
        <v>551</v>
      </c>
      <c r="C236" s="33">
        <v>2618</v>
      </c>
      <c r="D236" s="33" t="s">
        <v>353</v>
      </c>
      <c r="E236" s="33" t="s">
        <v>551</v>
      </c>
      <c r="F236" s="81">
        <v>2618</v>
      </c>
      <c r="G236">
        <f t="shared" si="6"/>
        <v>0</v>
      </c>
      <c r="H236">
        <f t="shared" si="7"/>
        <v>0</v>
      </c>
    </row>
    <row r="237" spans="1:8" x14ac:dyDescent="0.15">
      <c r="A237" s="33" t="s">
        <v>339</v>
      </c>
      <c r="B237" s="33" t="s">
        <v>552</v>
      </c>
      <c r="C237" s="33">
        <v>23597533</v>
      </c>
      <c r="D237" s="33" t="s">
        <v>353</v>
      </c>
      <c r="E237" s="33" t="s">
        <v>552</v>
      </c>
      <c r="F237" s="81">
        <v>23597533</v>
      </c>
      <c r="G237">
        <f t="shared" si="6"/>
        <v>0</v>
      </c>
      <c r="H237">
        <f t="shared" si="7"/>
        <v>0</v>
      </c>
    </row>
    <row r="238" spans="1:8" x14ac:dyDescent="0.15">
      <c r="A238" s="33" t="s">
        <v>339</v>
      </c>
      <c r="B238" s="33" t="s">
        <v>553</v>
      </c>
      <c r="C238" s="33">
        <v>10789578</v>
      </c>
      <c r="D238" s="33" t="s">
        <v>353</v>
      </c>
      <c r="E238" s="33" t="s">
        <v>553</v>
      </c>
      <c r="F238" s="81">
        <v>10789578</v>
      </c>
      <c r="G238">
        <f t="shared" si="6"/>
        <v>0</v>
      </c>
      <c r="H238">
        <f t="shared" si="7"/>
        <v>0</v>
      </c>
    </row>
    <row r="239" spans="1:8" x14ac:dyDescent="0.15">
      <c r="A239" s="33" t="s">
        <v>339</v>
      </c>
      <c r="B239" s="33" t="s">
        <v>554</v>
      </c>
      <c r="C239" s="33">
        <v>83</v>
      </c>
      <c r="D239" s="33" t="s">
        <v>353</v>
      </c>
      <c r="E239" s="33" t="s">
        <v>554</v>
      </c>
      <c r="F239" s="81">
        <v>83</v>
      </c>
      <c r="G239">
        <f t="shared" si="6"/>
        <v>0</v>
      </c>
      <c r="H239">
        <f t="shared" si="7"/>
        <v>0</v>
      </c>
    </row>
    <row r="240" spans="1:8" x14ac:dyDescent="0.15">
      <c r="A240" s="33" t="s">
        <v>339</v>
      </c>
      <c r="B240" s="33" t="s">
        <v>555</v>
      </c>
      <c r="C240" s="33">
        <v>221968287</v>
      </c>
      <c r="D240" s="33" t="s">
        <v>353</v>
      </c>
      <c r="E240" s="33" t="s">
        <v>555</v>
      </c>
      <c r="F240" s="81">
        <v>221968287</v>
      </c>
      <c r="G240">
        <f t="shared" si="6"/>
        <v>0</v>
      </c>
      <c r="H240">
        <f t="shared" si="7"/>
        <v>0</v>
      </c>
    </row>
    <row r="241" spans="1:8" x14ac:dyDescent="0.15">
      <c r="A241" s="33" t="s">
        <v>339</v>
      </c>
      <c r="B241" s="33" t="s">
        <v>556</v>
      </c>
      <c r="C241" s="33">
        <v>2</v>
      </c>
      <c r="D241" s="33" t="s">
        <v>353</v>
      </c>
      <c r="E241" s="33" t="s">
        <v>556</v>
      </c>
      <c r="F241" s="81">
        <v>2</v>
      </c>
      <c r="G241">
        <f t="shared" si="6"/>
        <v>0</v>
      </c>
      <c r="H241">
        <f t="shared" si="7"/>
        <v>0</v>
      </c>
    </row>
    <row r="242" spans="1:8" x14ac:dyDescent="0.15">
      <c r="A242" s="33" t="s">
        <v>339</v>
      </c>
      <c r="B242" s="33" t="s">
        <v>557</v>
      </c>
      <c r="C242" s="33">
        <v>2</v>
      </c>
      <c r="D242" s="33" t="s">
        <v>353</v>
      </c>
      <c r="E242" s="33" t="s">
        <v>557</v>
      </c>
      <c r="F242" s="81">
        <v>2</v>
      </c>
      <c r="G242">
        <f t="shared" si="6"/>
        <v>0</v>
      </c>
      <c r="H242">
        <f t="shared" si="7"/>
        <v>0</v>
      </c>
    </row>
    <row r="243" spans="1:8" x14ac:dyDescent="0.15">
      <c r="A243" s="33" t="s">
        <v>339</v>
      </c>
      <c r="B243" s="33" t="s">
        <v>558</v>
      </c>
      <c r="C243" s="33">
        <v>2</v>
      </c>
      <c r="D243" s="33" t="s">
        <v>353</v>
      </c>
      <c r="E243" s="33" t="s">
        <v>558</v>
      </c>
      <c r="F243" s="81">
        <v>2</v>
      </c>
      <c r="G243">
        <f t="shared" si="6"/>
        <v>0</v>
      </c>
      <c r="H243">
        <f t="shared" si="7"/>
        <v>0</v>
      </c>
    </row>
    <row r="244" spans="1:8" x14ac:dyDescent="0.15">
      <c r="A244" s="33" t="s">
        <v>339</v>
      </c>
      <c r="B244" s="33" t="s">
        <v>559</v>
      </c>
      <c r="C244" s="33">
        <v>1</v>
      </c>
      <c r="D244" s="33" t="s">
        <v>353</v>
      </c>
      <c r="E244" s="33" t="s">
        <v>559</v>
      </c>
      <c r="F244" s="81">
        <v>1</v>
      </c>
      <c r="G244">
        <f t="shared" si="6"/>
        <v>0</v>
      </c>
      <c r="H244">
        <f t="shared" si="7"/>
        <v>0</v>
      </c>
    </row>
    <row r="245" spans="1:8" x14ac:dyDescent="0.15">
      <c r="A245" s="33" t="s">
        <v>339</v>
      </c>
      <c r="B245" s="33" t="s">
        <v>560</v>
      </c>
      <c r="C245" s="33">
        <v>2</v>
      </c>
      <c r="D245" s="33" t="s">
        <v>353</v>
      </c>
      <c r="E245" s="33" t="s">
        <v>560</v>
      </c>
      <c r="F245" s="81">
        <v>2</v>
      </c>
      <c r="G245">
        <f t="shared" si="6"/>
        <v>0</v>
      </c>
      <c r="H245">
        <f t="shared" si="7"/>
        <v>0</v>
      </c>
    </row>
    <row r="246" spans="1:8" x14ac:dyDescent="0.15">
      <c r="A246" s="33" t="s">
        <v>339</v>
      </c>
      <c r="B246" s="33" t="s">
        <v>561</v>
      </c>
      <c r="C246" s="33">
        <v>17</v>
      </c>
      <c r="D246" s="33" t="s">
        <v>353</v>
      </c>
      <c r="E246" s="33" t="s">
        <v>561</v>
      </c>
      <c r="F246" s="81">
        <v>17</v>
      </c>
      <c r="G246">
        <f t="shared" si="6"/>
        <v>0</v>
      </c>
      <c r="H246">
        <f t="shared" si="7"/>
        <v>0</v>
      </c>
    </row>
    <row r="247" spans="1:8" x14ac:dyDescent="0.15">
      <c r="A247" s="33" t="s">
        <v>339</v>
      </c>
      <c r="B247" s="33" t="s">
        <v>562</v>
      </c>
      <c r="C247" s="33">
        <v>13</v>
      </c>
      <c r="D247" s="33" t="s">
        <v>353</v>
      </c>
      <c r="E247" s="33" t="s">
        <v>562</v>
      </c>
      <c r="F247" s="81">
        <v>13</v>
      </c>
      <c r="G247">
        <f t="shared" si="6"/>
        <v>0</v>
      </c>
      <c r="H247">
        <f t="shared" si="7"/>
        <v>0</v>
      </c>
    </row>
    <row r="248" spans="1:8" x14ac:dyDescent="0.15">
      <c r="A248" s="33" t="s">
        <v>339</v>
      </c>
      <c r="B248" s="33" t="s">
        <v>563</v>
      </c>
      <c r="C248" s="33">
        <v>16</v>
      </c>
      <c r="D248" s="33" t="s">
        <v>353</v>
      </c>
      <c r="E248" s="33" t="s">
        <v>563</v>
      </c>
      <c r="F248" s="81">
        <v>16</v>
      </c>
      <c r="G248">
        <f t="shared" si="6"/>
        <v>0</v>
      </c>
      <c r="H248">
        <f t="shared" si="7"/>
        <v>0</v>
      </c>
    </row>
    <row r="249" spans="1:8" x14ac:dyDescent="0.15">
      <c r="A249" s="33" t="s">
        <v>339</v>
      </c>
      <c r="B249" s="33" t="s">
        <v>564</v>
      </c>
      <c r="C249" s="33">
        <v>115</v>
      </c>
      <c r="D249" s="33" t="s">
        <v>353</v>
      </c>
      <c r="E249" s="33" t="s">
        <v>564</v>
      </c>
      <c r="F249" s="81">
        <v>115</v>
      </c>
      <c r="G249">
        <f t="shared" si="6"/>
        <v>0</v>
      </c>
      <c r="H249">
        <f t="shared" si="7"/>
        <v>0</v>
      </c>
    </row>
    <row r="250" spans="1:8" x14ac:dyDescent="0.15">
      <c r="A250" s="33" t="s">
        <v>339</v>
      </c>
      <c r="B250" s="33" t="s">
        <v>565</v>
      </c>
      <c r="C250" s="33">
        <v>1</v>
      </c>
      <c r="D250" s="33" t="s">
        <v>353</v>
      </c>
      <c r="E250" s="33" t="s">
        <v>565</v>
      </c>
      <c r="F250" s="81">
        <v>1</v>
      </c>
      <c r="G250">
        <f t="shared" si="6"/>
        <v>0</v>
      </c>
      <c r="H250">
        <f t="shared" si="7"/>
        <v>0</v>
      </c>
    </row>
    <row r="251" spans="1:8" x14ac:dyDescent="0.15">
      <c r="A251" s="33" t="s">
        <v>339</v>
      </c>
      <c r="B251" s="33" t="s">
        <v>566</v>
      </c>
      <c r="C251" s="33">
        <v>2</v>
      </c>
      <c r="D251" s="33" t="s">
        <v>353</v>
      </c>
      <c r="E251" s="33" t="s">
        <v>566</v>
      </c>
      <c r="F251" s="81">
        <v>2</v>
      </c>
      <c r="G251">
        <f t="shared" si="6"/>
        <v>0</v>
      </c>
      <c r="H251">
        <f t="shared" si="7"/>
        <v>0</v>
      </c>
    </row>
    <row r="252" spans="1:8" x14ac:dyDescent="0.15">
      <c r="A252" s="33" t="s">
        <v>339</v>
      </c>
      <c r="B252" s="33" t="s">
        <v>567</v>
      </c>
      <c r="C252" s="33">
        <v>1</v>
      </c>
      <c r="D252" s="33" t="s">
        <v>353</v>
      </c>
      <c r="E252" s="33" t="s">
        <v>567</v>
      </c>
      <c r="F252" s="81">
        <v>1</v>
      </c>
      <c r="G252">
        <f t="shared" si="6"/>
        <v>0</v>
      </c>
      <c r="H252">
        <f t="shared" si="7"/>
        <v>0</v>
      </c>
    </row>
    <row r="253" spans="1:8" x14ac:dyDescent="0.15">
      <c r="A253" s="33" t="s">
        <v>339</v>
      </c>
      <c r="B253" s="33" t="s">
        <v>568</v>
      </c>
      <c r="C253" s="33">
        <v>2</v>
      </c>
      <c r="D253" s="33" t="s">
        <v>353</v>
      </c>
      <c r="E253" s="33" t="s">
        <v>568</v>
      </c>
      <c r="F253" s="81">
        <v>2</v>
      </c>
      <c r="G253">
        <f t="shared" si="6"/>
        <v>0</v>
      </c>
      <c r="H253">
        <f t="shared" si="7"/>
        <v>0</v>
      </c>
    </row>
    <row r="254" spans="1:8" x14ac:dyDescent="0.15">
      <c r="A254" s="33" t="s">
        <v>339</v>
      </c>
      <c r="B254" s="33" t="s">
        <v>569</v>
      </c>
      <c r="C254" s="33">
        <v>7</v>
      </c>
      <c r="D254" s="33" t="s">
        <v>353</v>
      </c>
      <c r="E254" s="33" t="s">
        <v>569</v>
      </c>
      <c r="F254" s="81">
        <v>7</v>
      </c>
      <c r="G254">
        <f t="shared" si="6"/>
        <v>0</v>
      </c>
      <c r="H254">
        <f t="shared" si="7"/>
        <v>0</v>
      </c>
    </row>
    <row r="255" spans="1:8" x14ac:dyDescent="0.15">
      <c r="A255" s="33" t="s">
        <v>339</v>
      </c>
      <c r="B255" s="33" t="s">
        <v>570</v>
      </c>
      <c r="C255" s="33">
        <v>3</v>
      </c>
      <c r="D255" s="33" t="s">
        <v>353</v>
      </c>
      <c r="E255" s="33" t="s">
        <v>570</v>
      </c>
      <c r="F255" s="81">
        <v>3</v>
      </c>
      <c r="G255">
        <f t="shared" si="6"/>
        <v>0</v>
      </c>
      <c r="H255">
        <f t="shared" si="7"/>
        <v>0</v>
      </c>
    </row>
    <row r="256" spans="1:8" x14ac:dyDescent="0.15">
      <c r="A256" s="33" t="s">
        <v>339</v>
      </c>
      <c r="B256" s="33" t="s">
        <v>571</v>
      </c>
      <c r="C256" s="33">
        <v>5795</v>
      </c>
      <c r="D256" s="33" t="s">
        <v>353</v>
      </c>
      <c r="E256" s="33" t="s">
        <v>571</v>
      </c>
      <c r="F256" s="81">
        <v>5795</v>
      </c>
      <c r="G256">
        <f t="shared" si="6"/>
        <v>0</v>
      </c>
      <c r="H256">
        <f t="shared" si="7"/>
        <v>0</v>
      </c>
    </row>
    <row r="257" spans="1:8" x14ac:dyDescent="0.15">
      <c r="A257" s="33" t="s">
        <v>339</v>
      </c>
      <c r="B257" s="33" t="s">
        <v>572</v>
      </c>
      <c r="C257" s="33">
        <v>1814265</v>
      </c>
      <c r="D257" s="33" t="s">
        <v>353</v>
      </c>
      <c r="E257" s="33" t="s">
        <v>572</v>
      </c>
      <c r="F257" s="81">
        <v>1814265</v>
      </c>
      <c r="G257">
        <f t="shared" si="6"/>
        <v>0</v>
      </c>
      <c r="H257">
        <f t="shared" si="7"/>
        <v>0</v>
      </c>
    </row>
    <row r="258" spans="1:8" x14ac:dyDescent="0.15">
      <c r="A258" s="33" t="s">
        <v>339</v>
      </c>
      <c r="B258" s="33" t="s">
        <v>573</v>
      </c>
      <c r="C258" s="33">
        <v>23</v>
      </c>
      <c r="D258" s="33" t="s">
        <v>353</v>
      </c>
      <c r="E258" s="33" t="s">
        <v>573</v>
      </c>
      <c r="F258" s="81">
        <v>23</v>
      </c>
      <c r="G258">
        <f t="shared" si="6"/>
        <v>0</v>
      </c>
      <c r="H258">
        <f t="shared" si="7"/>
        <v>0</v>
      </c>
    </row>
    <row r="259" spans="1:8" x14ac:dyDescent="0.15">
      <c r="A259" s="33" t="s">
        <v>339</v>
      </c>
      <c r="B259" s="33" t="s">
        <v>574</v>
      </c>
      <c r="C259" s="33">
        <v>17537</v>
      </c>
      <c r="D259" s="33" t="s">
        <v>353</v>
      </c>
      <c r="E259" s="33" t="s">
        <v>574</v>
      </c>
      <c r="F259" s="81">
        <v>17537</v>
      </c>
      <c r="G259">
        <f t="shared" si="6"/>
        <v>0</v>
      </c>
      <c r="H259">
        <f t="shared" si="7"/>
        <v>0</v>
      </c>
    </row>
    <row r="260" spans="1:8" x14ac:dyDescent="0.15">
      <c r="A260" s="33" t="s">
        <v>339</v>
      </c>
      <c r="B260" s="33" t="s">
        <v>575</v>
      </c>
      <c r="C260" s="33">
        <v>158923</v>
      </c>
      <c r="D260" s="33" t="s">
        <v>353</v>
      </c>
      <c r="E260" s="33" t="s">
        <v>575</v>
      </c>
      <c r="F260" s="81">
        <v>158923</v>
      </c>
      <c r="G260">
        <f t="shared" si="6"/>
        <v>0</v>
      </c>
      <c r="H260">
        <f t="shared" si="7"/>
        <v>0</v>
      </c>
    </row>
    <row r="261" spans="1:8" x14ac:dyDescent="0.15">
      <c r="A261" s="33" t="s">
        <v>339</v>
      </c>
      <c r="B261" s="33" t="s">
        <v>576</v>
      </c>
      <c r="C261" s="33">
        <v>244125</v>
      </c>
      <c r="D261" s="33" t="s">
        <v>353</v>
      </c>
      <c r="E261" s="33" t="s">
        <v>576</v>
      </c>
      <c r="F261" s="81">
        <v>244125</v>
      </c>
      <c r="G261">
        <f t="shared" si="6"/>
        <v>0</v>
      </c>
      <c r="H261">
        <f t="shared" si="7"/>
        <v>0</v>
      </c>
    </row>
    <row r="262" spans="1:8" x14ac:dyDescent="0.15">
      <c r="A262" s="33" t="s">
        <v>339</v>
      </c>
      <c r="B262" s="33" t="s">
        <v>577</v>
      </c>
      <c r="C262" s="33">
        <v>3</v>
      </c>
      <c r="D262" s="33" t="s">
        <v>353</v>
      </c>
      <c r="E262" s="33" t="s">
        <v>577</v>
      </c>
      <c r="F262" s="81">
        <v>3</v>
      </c>
      <c r="G262">
        <f t="shared" si="6"/>
        <v>0</v>
      </c>
      <c r="H262">
        <f t="shared" si="7"/>
        <v>0</v>
      </c>
    </row>
    <row r="263" spans="1:8" x14ac:dyDescent="0.15">
      <c r="A263" s="33" t="s">
        <v>339</v>
      </c>
      <c r="B263" s="33" t="s">
        <v>578</v>
      </c>
      <c r="C263" s="33">
        <v>4</v>
      </c>
      <c r="D263" s="33" t="s">
        <v>353</v>
      </c>
      <c r="E263" s="33" t="s">
        <v>578</v>
      </c>
      <c r="F263" s="81">
        <v>4</v>
      </c>
      <c r="G263">
        <f t="shared" si="6"/>
        <v>0</v>
      </c>
      <c r="H263">
        <f t="shared" si="7"/>
        <v>0</v>
      </c>
    </row>
    <row r="264" spans="1:8" x14ac:dyDescent="0.15">
      <c r="A264" s="33" t="s">
        <v>339</v>
      </c>
      <c r="B264" s="33" t="s">
        <v>579</v>
      </c>
      <c r="C264" s="33">
        <v>3740</v>
      </c>
      <c r="D264" s="33" t="s">
        <v>353</v>
      </c>
      <c r="E264" s="33" t="s">
        <v>579</v>
      </c>
      <c r="F264" s="81">
        <v>3740</v>
      </c>
      <c r="G264">
        <f t="shared" si="6"/>
        <v>0</v>
      </c>
      <c r="H264">
        <f t="shared" si="7"/>
        <v>0</v>
      </c>
    </row>
    <row r="265" spans="1:8" x14ac:dyDescent="0.15">
      <c r="A265" s="33" t="s">
        <v>339</v>
      </c>
      <c r="B265" s="33" t="s">
        <v>580</v>
      </c>
      <c r="C265" s="33">
        <v>3853</v>
      </c>
      <c r="D265" s="33" t="s">
        <v>353</v>
      </c>
      <c r="E265" s="33" t="s">
        <v>580</v>
      </c>
      <c r="F265" s="81">
        <v>3853</v>
      </c>
      <c r="G265">
        <f t="shared" si="6"/>
        <v>0</v>
      </c>
      <c r="H265">
        <f t="shared" si="7"/>
        <v>0</v>
      </c>
    </row>
    <row r="266" spans="1:8" x14ac:dyDescent="0.15">
      <c r="A266" s="33" t="s">
        <v>339</v>
      </c>
      <c r="B266" s="33" t="s">
        <v>581</v>
      </c>
      <c r="C266" s="33">
        <v>94</v>
      </c>
      <c r="D266" s="33" t="s">
        <v>353</v>
      </c>
      <c r="E266" s="33" t="s">
        <v>581</v>
      </c>
      <c r="F266" s="81">
        <v>94</v>
      </c>
      <c r="G266">
        <f t="shared" si="6"/>
        <v>0</v>
      </c>
      <c r="H266">
        <f t="shared" si="7"/>
        <v>0</v>
      </c>
    </row>
    <row r="267" spans="1:8" x14ac:dyDescent="0.15">
      <c r="A267" s="33" t="s">
        <v>339</v>
      </c>
      <c r="B267" s="33" t="s">
        <v>582</v>
      </c>
      <c r="C267" s="33">
        <v>207</v>
      </c>
      <c r="D267" s="33" t="s">
        <v>353</v>
      </c>
      <c r="E267" s="33" t="s">
        <v>582</v>
      </c>
      <c r="F267" s="81">
        <v>207</v>
      </c>
      <c r="G267">
        <f t="shared" si="6"/>
        <v>0</v>
      </c>
      <c r="H267">
        <f t="shared" si="7"/>
        <v>0</v>
      </c>
    </row>
    <row r="268" spans="1:8" x14ac:dyDescent="0.15">
      <c r="A268" s="33" t="s">
        <v>339</v>
      </c>
      <c r="B268" s="33" t="s">
        <v>583</v>
      </c>
      <c r="C268" s="33">
        <v>112</v>
      </c>
      <c r="D268" s="33" t="s">
        <v>353</v>
      </c>
      <c r="E268" s="33" t="s">
        <v>583</v>
      </c>
      <c r="F268" s="81">
        <v>112</v>
      </c>
      <c r="G268">
        <f t="shared" si="6"/>
        <v>0</v>
      </c>
      <c r="H268">
        <f t="shared" si="7"/>
        <v>0</v>
      </c>
    </row>
    <row r="269" spans="1:8" x14ac:dyDescent="0.15">
      <c r="A269" s="33" t="s">
        <v>339</v>
      </c>
      <c r="B269" s="33" t="s">
        <v>584</v>
      </c>
      <c r="C269" s="33">
        <v>2</v>
      </c>
      <c r="D269" s="33" t="s">
        <v>353</v>
      </c>
      <c r="E269" s="33" t="s">
        <v>584</v>
      </c>
      <c r="F269" s="81">
        <v>2</v>
      </c>
      <c r="G269">
        <f t="shared" si="6"/>
        <v>0</v>
      </c>
      <c r="H269">
        <f t="shared" si="7"/>
        <v>0</v>
      </c>
    </row>
    <row r="270" spans="1:8" x14ac:dyDescent="0.15">
      <c r="A270" s="33" t="s">
        <v>339</v>
      </c>
      <c r="B270" s="33" t="s">
        <v>585</v>
      </c>
      <c r="C270" s="33">
        <v>2</v>
      </c>
      <c r="D270" s="33" t="s">
        <v>353</v>
      </c>
      <c r="E270" s="33" t="s">
        <v>585</v>
      </c>
      <c r="F270" s="81">
        <v>2</v>
      </c>
      <c r="G270">
        <f t="shared" si="6"/>
        <v>0</v>
      </c>
      <c r="H270">
        <f t="shared" si="7"/>
        <v>0</v>
      </c>
    </row>
    <row r="271" spans="1:8" x14ac:dyDescent="0.15">
      <c r="A271" s="33" t="s">
        <v>339</v>
      </c>
      <c r="B271" s="33" t="s">
        <v>586</v>
      </c>
      <c r="C271" s="33">
        <v>2</v>
      </c>
      <c r="D271" s="33" t="s">
        <v>353</v>
      </c>
      <c r="E271" s="33" t="s">
        <v>586</v>
      </c>
      <c r="F271" s="81">
        <v>2</v>
      </c>
      <c r="G271">
        <f t="shared" si="6"/>
        <v>0</v>
      </c>
      <c r="H271">
        <f t="shared" si="7"/>
        <v>0</v>
      </c>
    </row>
    <row r="272" spans="1:8" x14ac:dyDescent="0.15">
      <c r="A272" s="33" t="s">
        <v>339</v>
      </c>
      <c r="B272" s="33" t="s">
        <v>587</v>
      </c>
      <c r="C272" s="33">
        <v>2</v>
      </c>
      <c r="D272" s="33" t="s">
        <v>353</v>
      </c>
      <c r="E272" s="33" t="s">
        <v>587</v>
      </c>
      <c r="F272" s="81">
        <v>2</v>
      </c>
      <c r="G272">
        <f t="shared" si="6"/>
        <v>0</v>
      </c>
      <c r="H272">
        <f t="shared" si="7"/>
        <v>0</v>
      </c>
    </row>
    <row r="273" spans="1:8" x14ac:dyDescent="0.15">
      <c r="A273" s="33" t="s">
        <v>339</v>
      </c>
      <c r="B273" s="33" t="s">
        <v>588</v>
      </c>
      <c r="C273" s="33">
        <v>86096</v>
      </c>
      <c r="D273" s="33" t="s">
        <v>353</v>
      </c>
      <c r="E273" s="33" t="s">
        <v>588</v>
      </c>
      <c r="F273" s="81">
        <v>86096</v>
      </c>
      <c r="G273">
        <f t="shared" ref="G273:G336" si="8">C273-F273</f>
        <v>0</v>
      </c>
      <c r="H273">
        <f t="shared" ref="H273:H336" si="9">IF(OR(C273=0, F273=0), 0, C273-F273)</f>
        <v>0</v>
      </c>
    </row>
    <row r="274" spans="1:8" x14ac:dyDescent="0.15">
      <c r="A274" s="33" t="s">
        <v>339</v>
      </c>
      <c r="B274" s="33" t="s">
        <v>589</v>
      </c>
      <c r="C274" s="33">
        <v>65762</v>
      </c>
      <c r="D274" s="33" t="s">
        <v>353</v>
      </c>
      <c r="E274" s="33" t="s">
        <v>589</v>
      </c>
      <c r="F274" s="81">
        <v>65762</v>
      </c>
      <c r="G274">
        <f t="shared" si="8"/>
        <v>0</v>
      </c>
      <c r="H274">
        <f t="shared" si="9"/>
        <v>0</v>
      </c>
    </row>
    <row r="275" spans="1:8" x14ac:dyDescent="0.15">
      <c r="A275" s="33" t="s">
        <v>339</v>
      </c>
      <c r="B275" s="33" t="s">
        <v>590</v>
      </c>
      <c r="C275" s="33">
        <v>89</v>
      </c>
      <c r="D275" s="33" t="s">
        <v>353</v>
      </c>
      <c r="E275" s="33" t="s">
        <v>590</v>
      </c>
      <c r="F275" s="81">
        <v>89</v>
      </c>
      <c r="G275">
        <f t="shared" si="8"/>
        <v>0</v>
      </c>
      <c r="H275">
        <f t="shared" si="9"/>
        <v>0</v>
      </c>
    </row>
    <row r="276" spans="1:8" x14ac:dyDescent="0.15">
      <c r="A276" s="33" t="s">
        <v>339</v>
      </c>
      <c r="B276" s="33" t="s">
        <v>591</v>
      </c>
      <c r="C276" s="33">
        <v>4</v>
      </c>
      <c r="D276" s="33" t="s">
        <v>353</v>
      </c>
      <c r="E276" s="33" t="s">
        <v>591</v>
      </c>
      <c r="F276" s="81">
        <v>4</v>
      </c>
      <c r="G276">
        <f t="shared" si="8"/>
        <v>0</v>
      </c>
      <c r="H276">
        <f t="shared" si="9"/>
        <v>0</v>
      </c>
    </row>
    <row r="277" spans="1:8" x14ac:dyDescent="0.15">
      <c r="A277" s="33" t="s">
        <v>339</v>
      </c>
      <c r="B277" s="33" t="s">
        <v>592</v>
      </c>
      <c r="C277" s="33">
        <v>7</v>
      </c>
      <c r="D277" s="33" t="s">
        <v>353</v>
      </c>
      <c r="E277" s="33" t="s">
        <v>592</v>
      </c>
      <c r="F277" s="81">
        <v>7</v>
      </c>
      <c r="G277">
        <f t="shared" si="8"/>
        <v>0</v>
      </c>
      <c r="H277">
        <f t="shared" si="9"/>
        <v>0</v>
      </c>
    </row>
    <row r="278" spans="1:8" x14ac:dyDescent="0.15">
      <c r="A278" s="33" t="s">
        <v>339</v>
      </c>
      <c r="B278" s="33" t="s">
        <v>593</v>
      </c>
      <c r="C278" s="33">
        <v>4</v>
      </c>
      <c r="D278" s="33" t="s">
        <v>353</v>
      </c>
      <c r="E278" s="33" t="s">
        <v>593</v>
      </c>
      <c r="F278" s="81">
        <v>4</v>
      </c>
      <c r="G278">
        <f t="shared" si="8"/>
        <v>0</v>
      </c>
      <c r="H278">
        <f t="shared" si="9"/>
        <v>0</v>
      </c>
    </row>
    <row r="279" spans="1:8" x14ac:dyDescent="0.15">
      <c r="A279" s="33" t="s">
        <v>339</v>
      </c>
      <c r="B279" s="33" t="s">
        <v>594</v>
      </c>
      <c r="C279" s="33">
        <v>161</v>
      </c>
      <c r="D279" s="33" t="s">
        <v>353</v>
      </c>
      <c r="E279" s="33" t="s">
        <v>594</v>
      </c>
      <c r="F279" s="81">
        <v>161</v>
      </c>
      <c r="G279">
        <f t="shared" si="8"/>
        <v>0</v>
      </c>
      <c r="H279">
        <f t="shared" si="9"/>
        <v>0</v>
      </c>
    </row>
    <row r="280" spans="1:8" x14ac:dyDescent="0.15">
      <c r="A280" s="33" t="s">
        <v>339</v>
      </c>
      <c r="B280" s="33" t="s">
        <v>595</v>
      </c>
      <c r="C280" s="33">
        <v>14998</v>
      </c>
      <c r="D280" s="33" t="s">
        <v>353</v>
      </c>
      <c r="E280" s="33" t="s">
        <v>595</v>
      </c>
      <c r="F280" s="81">
        <v>14998</v>
      </c>
      <c r="G280">
        <f t="shared" si="8"/>
        <v>0</v>
      </c>
      <c r="H280">
        <f t="shared" si="9"/>
        <v>0</v>
      </c>
    </row>
    <row r="281" spans="1:8" x14ac:dyDescent="0.15">
      <c r="A281" s="33" t="s">
        <v>339</v>
      </c>
      <c r="B281" s="33" t="s">
        <v>596</v>
      </c>
      <c r="C281" s="33">
        <v>12</v>
      </c>
      <c r="D281" s="33" t="s">
        <v>353</v>
      </c>
      <c r="E281" s="33" t="s">
        <v>596</v>
      </c>
      <c r="F281" s="81">
        <v>12</v>
      </c>
      <c r="G281">
        <f t="shared" si="8"/>
        <v>0</v>
      </c>
      <c r="H281">
        <f t="shared" si="9"/>
        <v>0</v>
      </c>
    </row>
    <row r="282" spans="1:8" x14ac:dyDescent="0.15">
      <c r="A282" s="33" t="s">
        <v>339</v>
      </c>
      <c r="B282" s="33" t="s">
        <v>597</v>
      </c>
      <c r="C282" s="33">
        <v>613744</v>
      </c>
      <c r="D282" s="33" t="s">
        <v>353</v>
      </c>
      <c r="E282" s="33" t="s">
        <v>597</v>
      </c>
      <c r="F282" s="81">
        <v>613744</v>
      </c>
      <c r="G282">
        <f t="shared" si="8"/>
        <v>0</v>
      </c>
      <c r="H282">
        <f t="shared" si="9"/>
        <v>0</v>
      </c>
    </row>
    <row r="283" spans="1:8" x14ac:dyDescent="0.15">
      <c r="A283" s="33" t="s">
        <v>339</v>
      </c>
      <c r="B283" s="33" t="s">
        <v>598</v>
      </c>
      <c r="C283" s="33">
        <v>24144</v>
      </c>
      <c r="D283" s="33" t="s">
        <v>353</v>
      </c>
      <c r="E283" s="33" t="s">
        <v>598</v>
      </c>
      <c r="F283" s="81">
        <v>24144</v>
      </c>
      <c r="G283">
        <f t="shared" si="8"/>
        <v>0</v>
      </c>
      <c r="H283">
        <f t="shared" si="9"/>
        <v>0</v>
      </c>
    </row>
    <row r="284" spans="1:8" x14ac:dyDescent="0.15">
      <c r="A284" s="33" t="s">
        <v>339</v>
      </c>
      <c r="B284" s="33" t="s">
        <v>599</v>
      </c>
      <c r="C284" s="33">
        <v>61840</v>
      </c>
      <c r="D284" s="33" t="s">
        <v>353</v>
      </c>
      <c r="E284" s="33" t="s">
        <v>599</v>
      </c>
      <c r="F284" s="81">
        <v>61840</v>
      </c>
      <c r="G284">
        <f t="shared" si="8"/>
        <v>0</v>
      </c>
      <c r="H284">
        <f t="shared" si="9"/>
        <v>0</v>
      </c>
    </row>
    <row r="285" spans="1:8" x14ac:dyDescent="0.15">
      <c r="A285" s="33" t="s">
        <v>339</v>
      </c>
      <c r="B285" s="33" t="s">
        <v>600</v>
      </c>
      <c r="C285" s="33">
        <v>1667</v>
      </c>
      <c r="D285" s="33" t="s">
        <v>353</v>
      </c>
      <c r="E285" s="33" t="s">
        <v>600</v>
      </c>
      <c r="F285" s="81">
        <v>1667</v>
      </c>
      <c r="G285">
        <f t="shared" si="8"/>
        <v>0</v>
      </c>
      <c r="H285">
        <f t="shared" si="9"/>
        <v>0</v>
      </c>
    </row>
    <row r="286" spans="1:8" x14ac:dyDescent="0.15">
      <c r="A286" s="33" t="s">
        <v>339</v>
      </c>
      <c r="B286" s="33" t="s">
        <v>601</v>
      </c>
      <c r="C286" s="33">
        <v>2570999</v>
      </c>
      <c r="D286" s="33" t="s">
        <v>353</v>
      </c>
      <c r="E286" s="33" t="s">
        <v>601</v>
      </c>
      <c r="F286" s="81">
        <v>2570999</v>
      </c>
      <c r="G286">
        <f t="shared" si="8"/>
        <v>0</v>
      </c>
      <c r="H286">
        <f t="shared" si="9"/>
        <v>0</v>
      </c>
    </row>
    <row r="287" spans="1:8" x14ac:dyDescent="0.15">
      <c r="A287" s="33" t="s">
        <v>339</v>
      </c>
      <c r="B287" s="33" t="s">
        <v>602</v>
      </c>
      <c r="C287" s="33">
        <v>517</v>
      </c>
      <c r="D287" s="33" t="s">
        <v>353</v>
      </c>
      <c r="E287" s="33" t="s">
        <v>602</v>
      </c>
      <c r="F287" s="81">
        <v>517</v>
      </c>
      <c r="G287">
        <f t="shared" si="8"/>
        <v>0</v>
      </c>
      <c r="H287">
        <f t="shared" si="9"/>
        <v>0</v>
      </c>
    </row>
    <row r="288" spans="1:8" x14ac:dyDescent="0.15">
      <c r="A288" s="33" t="s">
        <v>339</v>
      </c>
      <c r="B288" s="33" t="s">
        <v>603</v>
      </c>
      <c r="C288" s="33">
        <v>297</v>
      </c>
      <c r="D288" s="33" t="s">
        <v>353</v>
      </c>
      <c r="E288" s="33" t="s">
        <v>603</v>
      </c>
      <c r="F288" s="81">
        <v>297</v>
      </c>
      <c r="G288">
        <f t="shared" si="8"/>
        <v>0</v>
      </c>
      <c r="H288">
        <f t="shared" si="9"/>
        <v>0</v>
      </c>
    </row>
    <row r="289" spans="1:8" x14ac:dyDescent="0.15">
      <c r="A289" s="33" t="s">
        <v>339</v>
      </c>
      <c r="B289" s="33" t="s">
        <v>604</v>
      </c>
      <c r="C289" s="33">
        <v>4307</v>
      </c>
      <c r="D289" s="33" t="s">
        <v>353</v>
      </c>
      <c r="E289" s="33" t="s">
        <v>604</v>
      </c>
      <c r="F289" s="81">
        <v>4307</v>
      </c>
      <c r="G289">
        <f t="shared" si="8"/>
        <v>0</v>
      </c>
      <c r="H289">
        <f t="shared" si="9"/>
        <v>0</v>
      </c>
    </row>
    <row r="290" spans="1:8" x14ac:dyDescent="0.15">
      <c r="A290" s="33" t="s">
        <v>339</v>
      </c>
      <c r="B290" s="33" t="s">
        <v>605</v>
      </c>
      <c r="C290" s="33">
        <v>9</v>
      </c>
      <c r="D290" s="33" t="s">
        <v>353</v>
      </c>
      <c r="E290" s="33" t="s">
        <v>605</v>
      </c>
      <c r="F290" s="81">
        <v>9</v>
      </c>
      <c r="G290">
        <f t="shared" si="8"/>
        <v>0</v>
      </c>
      <c r="H290">
        <f t="shared" si="9"/>
        <v>0</v>
      </c>
    </row>
    <row r="291" spans="1:8" x14ac:dyDescent="0.15">
      <c r="A291" s="33" t="s">
        <v>339</v>
      </c>
      <c r="B291" s="33" t="s">
        <v>606</v>
      </c>
      <c r="C291" s="33">
        <v>2</v>
      </c>
      <c r="D291" s="33" t="s">
        <v>353</v>
      </c>
      <c r="E291" s="33" t="s">
        <v>606</v>
      </c>
      <c r="F291" s="81">
        <v>2</v>
      </c>
      <c r="G291">
        <f t="shared" si="8"/>
        <v>0</v>
      </c>
      <c r="H291">
        <f t="shared" si="9"/>
        <v>0</v>
      </c>
    </row>
    <row r="292" spans="1:8" x14ac:dyDescent="0.15">
      <c r="A292" s="33" t="s">
        <v>339</v>
      </c>
      <c r="B292" s="33" t="s">
        <v>607</v>
      </c>
      <c r="C292" s="33">
        <v>2</v>
      </c>
      <c r="D292" s="33" t="s">
        <v>353</v>
      </c>
      <c r="E292" s="33" t="s">
        <v>607</v>
      </c>
      <c r="F292" s="81">
        <v>2</v>
      </c>
      <c r="G292">
        <f t="shared" si="8"/>
        <v>0</v>
      </c>
      <c r="H292">
        <f t="shared" si="9"/>
        <v>0</v>
      </c>
    </row>
    <row r="293" spans="1:8" x14ac:dyDescent="0.15">
      <c r="A293" s="33" t="s">
        <v>339</v>
      </c>
      <c r="B293" s="33" t="s">
        <v>608</v>
      </c>
      <c r="C293" s="33">
        <v>9069</v>
      </c>
      <c r="D293" s="33" t="s">
        <v>353</v>
      </c>
      <c r="E293" s="33" t="s">
        <v>608</v>
      </c>
      <c r="F293" s="81">
        <v>9069</v>
      </c>
      <c r="G293">
        <f t="shared" si="8"/>
        <v>0</v>
      </c>
      <c r="H293">
        <f t="shared" si="9"/>
        <v>0</v>
      </c>
    </row>
    <row r="294" spans="1:8" x14ac:dyDescent="0.15">
      <c r="A294" s="33" t="s">
        <v>339</v>
      </c>
      <c r="B294" s="33" t="s">
        <v>609</v>
      </c>
      <c r="C294" s="33">
        <v>3043</v>
      </c>
      <c r="D294" s="33" t="s">
        <v>353</v>
      </c>
      <c r="E294" s="33" t="s">
        <v>609</v>
      </c>
      <c r="F294" s="81">
        <v>3043</v>
      </c>
      <c r="G294">
        <f t="shared" si="8"/>
        <v>0</v>
      </c>
      <c r="H294">
        <f t="shared" si="9"/>
        <v>0</v>
      </c>
    </row>
    <row r="295" spans="1:8" x14ac:dyDescent="0.15">
      <c r="A295" s="33" t="s">
        <v>339</v>
      </c>
      <c r="B295" s="33" t="s">
        <v>610</v>
      </c>
      <c r="C295" s="33">
        <v>11547</v>
      </c>
      <c r="D295" s="33" t="s">
        <v>353</v>
      </c>
      <c r="E295" s="33" t="s">
        <v>610</v>
      </c>
      <c r="F295" s="81">
        <v>11547</v>
      </c>
      <c r="G295">
        <f t="shared" si="8"/>
        <v>0</v>
      </c>
      <c r="H295">
        <f t="shared" si="9"/>
        <v>0</v>
      </c>
    </row>
    <row r="296" spans="1:8" x14ac:dyDescent="0.15">
      <c r="A296" s="33" t="s">
        <v>339</v>
      </c>
      <c r="B296" s="33" t="s">
        <v>611</v>
      </c>
      <c r="C296" s="33">
        <v>12407</v>
      </c>
      <c r="D296" s="33" t="s">
        <v>353</v>
      </c>
      <c r="E296" s="33" t="s">
        <v>611</v>
      </c>
      <c r="F296" s="81">
        <v>12407</v>
      </c>
      <c r="G296">
        <f t="shared" si="8"/>
        <v>0</v>
      </c>
      <c r="H296">
        <f t="shared" si="9"/>
        <v>0</v>
      </c>
    </row>
    <row r="297" spans="1:8" x14ac:dyDescent="0.15">
      <c r="A297" s="33" t="s">
        <v>339</v>
      </c>
      <c r="B297" s="33" t="s">
        <v>612</v>
      </c>
      <c r="C297" s="33">
        <v>934</v>
      </c>
      <c r="D297" s="33" t="s">
        <v>353</v>
      </c>
      <c r="E297" s="33" t="s">
        <v>612</v>
      </c>
      <c r="F297" s="81">
        <v>934</v>
      </c>
      <c r="G297">
        <f t="shared" si="8"/>
        <v>0</v>
      </c>
      <c r="H297">
        <f t="shared" si="9"/>
        <v>0</v>
      </c>
    </row>
    <row r="298" spans="1:8" x14ac:dyDescent="0.15">
      <c r="A298" s="33" t="s">
        <v>339</v>
      </c>
      <c r="B298" s="33" t="s">
        <v>613</v>
      </c>
      <c r="C298" s="33">
        <v>238163</v>
      </c>
      <c r="D298" s="33" t="s">
        <v>353</v>
      </c>
      <c r="E298" s="33" t="s">
        <v>613</v>
      </c>
      <c r="F298" s="81">
        <v>238163</v>
      </c>
      <c r="G298">
        <f t="shared" si="8"/>
        <v>0</v>
      </c>
      <c r="H298">
        <f t="shared" si="9"/>
        <v>0</v>
      </c>
    </row>
    <row r="299" spans="1:8" x14ac:dyDescent="0.15">
      <c r="A299" s="33" t="s">
        <v>339</v>
      </c>
      <c r="B299" s="33" t="s">
        <v>614</v>
      </c>
      <c r="C299" s="33">
        <v>26</v>
      </c>
      <c r="D299" s="33" t="s">
        <v>353</v>
      </c>
      <c r="E299" s="33" t="s">
        <v>614</v>
      </c>
      <c r="F299" s="81">
        <v>26</v>
      </c>
      <c r="G299">
        <f t="shared" si="8"/>
        <v>0</v>
      </c>
      <c r="H299">
        <f t="shared" si="9"/>
        <v>0</v>
      </c>
    </row>
    <row r="300" spans="1:8" x14ac:dyDescent="0.15">
      <c r="A300" s="33" t="s">
        <v>339</v>
      </c>
      <c r="B300" s="33" t="s">
        <v>615</v>
      </c>
      <c r="C300" s="33">
        <v>11</v>
      </c>
      <c r="D300" s="33" t="s">
        <v>353</v>
      </c>
      <c r="E300" s="33" t="s">
        <v>615</v>
      </c>
      <c r="F300" s="81">
        <v>11</v>
      </c>
      <c r="G300">
        <f t="shared" si="8"/>
        <v>0</v>
      </c>
      <c r="H300">
        <f t="shared" si="9"/>
        <v>0</v>
      </c>
    </row>
    <row r="301" spans="1:8" x14ac:dyDescent="0.15">
      <c r="A301" s="33" t="s">
        <v>339</v>
      </c>
      <c r="B301" s="33" t="s">
        <v>616</v>
      </c>
      <c r="C301" s="33">
        <v>3446</v>
      </c>
      <c r="D301" s="33" t="s">
        <v>353</v>
      </c>
      <c r="E301" s="33" t="s">
        <v>616</v>
      </c>
      <c r="F301" s="81">
        <v>3446</v>
      </c>
      <c r="G301">
        <f t="shared" si="8"/>
        <v>0</v>
      </c>
      <c r="H301">
        <f t="shared" si="9"/>
        <v>0</v>
      </c>
    </row>
    <row r="302" spans="1:8" x14ac:dyDescent="0.15">
      <c r="A302" s="33" t="s">
        <v>339</v>
      </c>
      <c r="B302" s="33" t="s">
        <v>617</v>
      </c>
      <c r="C302" s="33">
        <v>326229</v>
      </c>
      <c r="D302" s="33" t="s">
        <v>353</v>
      </c>
      <c r="E302" s="33" t="s">
        <v>617</v>
      </c>
      <c r="F302" s="81">
        <v>326229</v>
      </c>
      <c r="G302">
        <f t="shared" si="8"/>
        <v>0</v>
      </c>
      <c r="H302">
        <f t="shared" si="9"/>
        <v>0</v>
      </c>
    </row>
    <row r="303" spans="1:8" x14ac:dyDescent="0.15">
      <c r="A303" s="33" t="s">
        <v>339</v>
      </c>
      <c r="B303" s="33" t="s">
        <v>618</v>
      </c>
      <c r="C303" s="33">
        <v>153</v>
      </c>
      <c r="D303" s="33" t="s">
        <v>353</v>
      </c>
      <c r="E303" s="33" t="s">
        <v>618</v>
      </c>
      <c r="F303" s="81">
        <v>153</v>
      </c>
      <c r="G303">
        <f t="shared" si="8"/>
        <v>0</v>
      </c>
      <c r="H303">
        <f t="shared" si="9"/>
        <v>0</v>
      </c>
    </row>
    <row r="304" spans="1:8" x14ac:dyDescent="0.15">
      <c r="A304" s="33" t="s">
        <v>339</v>
      </c>
      <c r="B304" s="33" t="s">
        <v>619</v>
      </c>
      <c r="C304" s="33">
        <v>9015</v>
      </c>
      <c r="D304" s="33" t="s">
        <v>353</v>
      </c>
      <c r="E304" s="33" t="s">
        <v>619</v>
      </c>
      <c r="F304" s="81">
        <v>9015</v>
      </c>
      <c r="G304">
        <f t="shared" si="8"/>
        <v>0</v>
      </c>
      <c r="H304">
        <f t="shared" si="9"/>
        <v>0</v>
      </c>
    </row>
    <row r="305" spans="1:8" x14ac:dyDescent="0.15">
      <c r="A305" s="33" t="s">
        <v>339</v>
      </c>
      <c r="B305" s="33" t="s">
        <v>620</v>
      </c>
      <c r="C305" s="33">
        <v>8656</v>
      </c>
      <c r="D305" s="33" t="s">
        <v>353</v>
      </c>
      <c r="E305" s="33" t="s">
        <v>620</v>
      </c>
      <c r="F305" s="81">
        <v>8656</v>
      </c>
      <c r="G305">
        <f t="shared" si="8"/>
        <v>0</v>
      </c>
      <c r="H305">
        <f t="shared" si="9"/>
        <v>0</v>
      </c>
    </row>
    <row r="306" spans="1:8" x14ac:dyDescent="0.15">
      <c r="A306" s="33" t="s">
        <v>339</v>
      </c>
      <c r="B306" s="33" t="s">
        <v>621</v>
      </c>
      <c r="C306" s="33">
        <v>75901</v>
      </c>
      <c r="D306" s="33" t="s">
        <v>353</v>
      </c>
      <c r="E306" s="33" t="s">
        <v>621</v>
      </c>
      <c r="F306" s="81">
        <v>75901</v>
      </c>
      <c r="G306">
        <f t="shared" si="8"/>
        <v>0</v>
      </c>
      <c r="H306">
        <f t="shared" si="9"/>
        <v>0</v>
      </c>
    </row>
    <row r="307" spans="1:8" x14ac:dyDescent="0.15">
      <c r="A307" s="33" t="s">
        <v>339</v>
      </c>
      <c r="B307" s="33" t="s">
        <v>622</v>
      </c>
      <c r="C307" s="33">
        <v>79</v>
      </c>
      <c r="D307" s="33" t="s">
        <v>353</v>
      </c>
      <c r="E307" s="33" t="s">
        <v>622</v>
      </c>
      <c r="F307" s="81">
        <v>79</v>
      </c>
      <c r="G307">
        <f t="shared" si="8"/>
        <v>0</v>
      </c>
      <c r="H307">
        <f t="shared" si="9"/>
        <v>0</v>
      </c>
    </row>
    <row r="308" spans="1:8" x14ac:dyDescent="0.15">
      <c r="A308" s="33" t="s">
        <v>339</v>
      </c>
      <c r="B308" s="33" t="s">
        <v>623</v>
      </c>
      <c r="C308" s="33">
        <v>14013</v>
      </c>
      <c r="D308" s="33" t="s">
        <v>353</v>
      </c>
      <c r="E308" s="33" t="s">
        <v>623</v>
      </c>
      <c r="F308" s="81">
        <v>14013</v>
      </c>
      <c r="G308">
        <f t="shared" si="8"/>
        <v>0</v>
      </c>
      <c r="H308">
        <f t="shared" si="9"/>
        <v>0</v>
      </c>
    </row>
    <row r="309" spans="1:8" x14ac:dyDescent="0.15">
      <c r="A309" s="33" t="s">
        <v>339</v>
      </c>
      <c r="B309" s="33" t="s">
        <v>624</v>
      </c>
      <c r="C309" s="33">
        <v>203</v>
      </c>
      <c r="D309" s="33" t="s">
        <v>353</v>
      </c>
      <c r="E309" s="33" t="s">
        <v>624</v>
      </c>
      <c r="F309" s="81">
        <v>203</v>
      </c>
      <c r="G309">
        <f t="shared" si="8"/>
        <v>0</v>
      </c>
      <c r="H309">
        <f t="shared" si="9"/>
        <v>0</v>
      </c>
    </row>
    <row r="310" spans="1:8" x14ac:dyDescent="0.15">
      <c r="A310" s="33" t="s">
        <v>339</v>
      </c>
      <c r="B310" s="33" t="s">
        <v>625</v>
      </c>
      <c r="C310" s="33">
        <v>100</v>
      </c>
      <c r="D310" s="33" t="s">
        <v>353</v>
      </c>
      <c r="E310" s="33" t="s">
        <v>625</v>
      </c>
      <c r="F310" s="81">
        <v>100</v>
      </c>
      <c r="G310">
        <f t="shared" si="8"/>
        <v>0</v>
      </c>
      <c r="H310">
        <f t="shared" si="9"/>
        <v>0</v>
      </c>
    </row>
    <row r="311" spans="1:8" x14ac:dyDescent="0.15">
      <c r="A311" s="33" t="s">
        <v>339</v>
      </c>
      <c r="B311" s="33" t="s">
        <v>626</v>
      </c>
      <c r="C311" s="33">
        <v>102</v>
      </c>
      <c r="D311" s="33" t="s">
        <v>353</v>
      </c>
      <c r="E311" s="33" t="s">
        <v>626</v>
      </c>
      <c r="F311" s="81">
        <v>102</v>
      </c>
      <c r="G311">
        <f t="shared" si="8"/>
        <v>0</v>
      </c>
      <c r="H311">
        <f t="shared" si="9"/>
        <v>0</v>
      </c>
    </row>
    <row r="312" spans="1:8" x14ac:dyDescent="0.15">
      <c r="A312" s="33" t="s">
        <v>339</v>
      </c>
      <c r="B312" s="33" t="s">
        <v>627</v>
      </c>
      <c r="C312" s="33">
        <v>24</v>
      </c>
      <c r="D312" s="33" t="s">
        <v>353</v>
      </c>
      <c r="E312" s="33" t="s">
        <v>627</v>
      </c>
      <c r="F312" s="81">
        <v>24</v>
      </c>
      <c r="G312">
        <f t="shared" si="8"/>
        <v>0</v>
      </c>
      <c r="H312">
        <f t="shared" si="9"/>
        <v>0</v>
      </c>
    </row>
    <row r="313" spans="1:8" x14ac:dyDescent="0.15">
      <c r="A313" s="33" t="s">
        <v>339</v>
      </c>
      <c r="B313" s="33" t="s">
        <v>628</v>
      </c>
      <c r="C313" s="33">
        <v>1494</v>
      </c>
      <c r="D313" s="33" t="s">
        <v>353</v>
      </c>
      <c r="E313" s="33" t="s">
        <v>628</v>
      </c>
      <c r="F313" s="81">
        <v>1494</v>
      </c>
      <c r="G313">
        <f t="shared" si="8"/>
        <v>0</v>
      </c>
      <c r="H313">
        <f t="shared" si="9"/>
        <v>0</v>
      </c>
    </row>
    <row r="314" spans="1:8" x14ac:dyDescent="0.15">
      <c r="A314" s="33" t="s">
        <v>339</v>
      </c>
      <c r="B314" s="33" t="s">
        <v>629</v>
      </c>
      <c r="C314" s="33">
        <v>1333848</v>
      </c>
      <c r="D314" s="33" t="s">
        <v>353</v>
      </c>
      <c r="E314" s="33" t="s">
        <v>629</v>
      </c>
      <c r="F314" s="81">
        <v>1333848</v>
      </c>
      <c r="G314">
        <f t="shared" si="8"/>
        <v>0</v>
      </c>
      <c r="H314">
        <f t="shared" si="9"/>
        <v>0</v>
      </c>
    </row>
    <row r="315" spans="1:8" x14ac:dyDescent="0.15">
      <c r="A315" s="33" t="s">
        <v>339</v>
      </c>
      <c r="B315" s="33" t="s">
        <v>630</v>
      </c>
      <c r="C315" s="33">
        <v>809888</v>
      </c>
      <c r="D315" s="33" t="s">
        <v>353</v>
      </c>
      <c r="E315" s="33" t="s">
        <v>630</v>
      </c>
      <c r="F315" s="81">
        <v>809888</v>
      </c>
      <c r="G315">
        <f t="shared" si="8"/>
        <v>0</v>
      </c>
      <c r="H315">
        <f t="shared" si="9"/>
        <v>0</v>
      </c>
    </row>
    <row r="316" spans="1:8" x14ac:dyDescent="0.15">
      <c r="A316" s="33" t="s">
        <v>339</v>
      </c>
      <c r="B316" s="33" t="s">
        <v>631</v>
      </c>
      <c r="C316" s="33">
        <v>31064</v>
      </c>
      <c r="D316" s="33" t="s">
        <v>353</v>
      </c>
      <c r="E316" s="33" t="s">
        <v>631</v>
      </c>
      <c r="F316" s="81">
        <v>31064</v>
      </c>
      <c r="G316">
        <f t="shared" si="8"/>
        <v>0</v>
      </c>
      <c r="H316">
        <f t="shared" si="9"/>
        <v>0</v>
      </c>
    </row>
    <row r="317" spans="1:8" x14ac:dyDescent="0.15">
      <c r="A317" s="33" t="s">
        <v>339</v>
      </c>
      <c r="B317" s="33" t="s">
        <v>632</v>
      </c>
      <c r="C317" s="33">
        <v>1550</v>
      </c>
      <c r="D317" s="33" t="s">
        <v>353</v>
      </c>
      <c r="E317" s="33" t="s">
        <v>632</v>
      </c>
      <c r="F317" s="81">
        <v>1550</v>
      </c>
      <c r="G317">
        <f t="shared" si="8"/>
        <v>0</v>
      </c>
      <c r="H317">
        <f t="shared" si="9"/>
        <v>0</v>
      </c>
    </row>
    <row r="318" spans="1:8" x14ac:dyDescent="0.15">
      <c r="A318" s="33" t="s">
        <v>339</v>
      </c>
      <c r="B318" s="33" t="s">
        <v>633</v>
      </c>
      <c r="C318" s="33">
        <v>217251</v>
      </c>
      <c r="D318" s="33" t="s">
        <v>353</v>
      </c>
      <c r="E318" s="33" t="s">
        <v>633</v>
      </c>
      <c r="F318" s="81">
        <v>217251</v>
      </c>
      <c r="G318">
        <f t="shared" si="8"/>
        <v>0</v>
      </c>
      <c r="H318">
        <f t="shared" si="9"/>
        <v>0</v>
      </c>
    </row>
    <row r="319" spans="1:8" x14ac:dyDescent="0.15">
      <c r="A319" s="33" t="s">
        <v>339</v>
      </c>
      <c r="B319" s="33" t="s">
        <v>634</v>
      </c>
      <c r="C319" s="33">
        <v>1866</v>
      </c>
      <c r="D319" s="33" t="s">
        <v>353</v>
      </c>
      <c r="E319" s="33" t="s">
        <v>634</v>
      </c>
      <c r="F319" s="81">
        <v>1866</v>
      </c>
      <c r="G319">
        <f t="shared" si="8"/>
        <v>0</v>
      </c>
      <c r="H319">
        <f t="shared" si="9"/>
        <v>0</v>
      </c>
    </row>
    <row r="320" spans="1:8" x14ac:dyDescent="0.15">
      <c r="A320" s="33" t="s">
        <v>339</v>
      </c>
      <c r="B320" s="33" t="s">
        <v>635</v>
      </c>
      <c r="C320" s="33">
        <v>15</v>
      </c>
      <c r="D320" s="33" t="s">
        <v>353</v>
      </c>
      <c r="E320" s="33" t="s">
        <v>635</v>
      </c>
      <c r="F320" s="81">
        <v>15</v>
      </c>
      <c r="G320">
        <f t="shared" si="8"/>
        <v>0</v>
      </c>
      <c r="H320">
        <f t="shared" si="9"/>
        <v>0</v>
      </c>
    </row>
    <row r="321" spans="1:9" x14ac:dyDescent="0.15">
      <c r="A321" s="33" t="s">
        <v>339</v>
      </c>
      <c r="B321" s="33" t="s">
        <v>636</v>
      </c>
      <c r="C321" s="33">
        <v>1</v>
      </c>
      <c r="D321" s="33" t="s">
        <v>353</v>
      </c>
      <c r="E321" s="33" t="s">
        <v>636</v>
      </c>
      <c r="F321" s="81">
        <v>1</v>
      </c>
      <c r="G321">
        <f t="shared" si="8"/>
        <v>0</v>
      </c>
      <c r="H321">
        <f t="shared" si="9"/>
        <v>0</v>
      </c>
    </row>
    <row r="322" spans="1:9" x14ac:dyDescent="0.15">
      <c r="A322" s="33" t="s">
        <v>339</v>
      </c>
      <c r="B322" s="33" t="s">
        <v>637</v>
      </c>
      <c r="C322" s="33">
        <v>22978</v>
      </c>
      <c r="D322" s="33" t="s">
        <v>353</v>
      </c>
      <c r="E322" s="33" t="s">
        <v>637</v>
      </c>
      <c r="F322" s="81">
        <v>22978</v>
      </c>
      <c r="G322">
        <f t="shared" si="8"/>
        <v>0</v>
      </c>
      <c r="H322">
        <f t="shared" si="9"/>
        <v>0</v>
      </c>
    </row>
    <row r="323" spans="1:9" x14ac:dyDescent="0.15">
      <c r="A323" s="33" t="s">
        <v>339</v>
      </c>
      <c r="B323" s="33" t="s">
        <v>638</v>
      </c>
      <c r="C323" s="33">
        <v>31038</v>
      </c>
      <c r="D323" s="33" t="s">
        <v>353</v>
      </c>
      <c r="E323" s="33" t="s">
        <v>638</v>
      </c>
      <c r="F323" s="81">
        <v>31038</v>
      </c>
      <c r="G323">
        <f t="shared" si="8"/>
        <v>0</v>
      </c>
      <c r="H323">
        <f t="shared" si="9"/>
        <v>0</v>
      </c>
    </row>
    <row r="324" spans="1:9" x14ac:dyDescent="0.15">
      <c r="A324" s="33" t="s">
        <v>339</v>
      </c>
      <c r="B324" s="33" t="s">
        <v>639</v>
      </c>
      <c r="C324" s="33">
        <v>47071</v>
      </c>
      <c r="D324" s="33" t="s">
        <v>353</v>
      </c>
      <c r="E324" s="33" t="s">
        <v>639</v>
      </c>
      <c r="F324" s="81">
        <v>47071</v>
      </c>
      <c r="G324">
        <f t="shared" si="8"/>
        <v>0</v>
      </c>
      <c r="H324">
        <f t="shared" si="9"/>
        <v>0</v>
      </c>
    </row>
    <row r="325" spans="1:9" x14ac:dyDescent="0.15">
      <c r="A325" s="33" t="s">
        <v>339</v>
      </c>
      <c r="B325" s="33" t="s">
        <v>640</v>
      </c>
      <c r="C325" s="33">
        <v>150</v>
      </c>
      <c r="D325" s="33" t="s">
        <v>353</v>
      </c>
      <c r="E325" s="33" t="s">
        <v>640</v>
      </c>
      <c r="F325" s="81">
        <v>150</v>
      </c>
      <c r="G325">
        <f t="shared" si="8"/>
        <v>0</v>
      </c>
      <c r="H325">
        <f t="shared" si="9"/>
        <v>0</v>
      </c>
    </row>
    <row r="326" spans="1:9" x14ac:dyDescent="0.15">
      <c r="A326" s="33" t="s">
        <v>339</v>
      </c>
      <c r="B326" s="33" t="s">
        <v>641</v>
      </c>
      <c r="C326" s="33">
        <v>46</v>
      </c>
      <c r="D326" s="33" t="s">
        <v>353</v>
      </c>
      <c r="E326" s="33" t="s">
        <v>641</v>
      </c>
      <c r="F326" s="81">
        <v>46</v>
      </c>
      <c r="G326">
        <f t="shared" si="8"/>
        <v>0</v>
      </c>
      <c r="H326">
        <f t="shared" si="9"/>
        <v>0</v>
      </c>
    </row>
    <row r="327" spans="1:9" x14ac:dyDescent="0.15">
      <c r="A327" s="33" t="s">
        <v>339</v>
      </c>
      <c r="B327" s="33" t="s">
        <v>642</v>
      </c>
      <c r="C327" s="33">
        <v>18</v>
      </c>
      <c r="D327" s="33" t="s">
        <v>353</v>
      </c>
      <c r="E327" s="33" t="s">
        <v>642</v>
      </c>
      <c r="F327" s="81">
        <v>18</v>
      </c>
      <c r="G327">
        <f t="shared" si="8"/>
        <v>0</v>
      </c>
      <c r="H327">
        <f t="shared" si="9"/>
        <v>0</v>
      </c>
    </row>
    <row r="328" spans="1:9" x14ac:dyDescent="0.15">
      <c r="A328" s="33" t="s">
        <v>339</v>
      </c>
      <c r="B328" s="33" t="s">
        <v>643</v>
      </c>
      <c r="C328" s="33">
        <v>32492</v>
      </c>
      <c r="D328" s="33" t="s">
        <v>353</v>
      </c>
      <c r="E328" s="33" t="s">
        <v>643</v>
      </c>
      <c r="F328" s="81">
        <v>32492</v>
      </c>
      <c r="G328">
        <f t="shared" si="8"/>
        <v>0</v>
      </c>
      <c r="H328">
        <f t="shared" si="9"/>
        <v>0</v>
      </c>
    </row>
    <row r="329" spans="1:9" x14ac:dyDescent="0.15">
      <c r="A329" s="33" t="s">
        <v>339</v>
      </c>
      <c r="B329" s="33" t="s">
        <v>644</v>
      </c>
      <c r="C329" s="33">
        <v>71393</v>
      </c>
      <c r="D329" s="33" t="s">
        <v>353</v>
      </c>
      <c r="E329" s="33" t="s">
        <v>644</v>
      </c>
      <c r="F329" s="81">
        <v>71393</v>
      </c>
      <c r="G329">
        <f t="shared" si="8"/>
        <v>0</v>
      </c>
      <c r="H329">
        <f t="shared" si="9"/>
        <v>0</v>
      </c>
    </row>
    <row r="330" spans="1:9" x14ac:dyDescent="0.15">
      <c r="A330" s="33" t="s">
        <v>339</v>
      </c>
      <c r="B330" s="33" t="s">
        <v>645</v>
      </c>
      <c r="C330">
        <v>81761</v>
      </c>
      <c r="D330" s="33" t="s">
        <v>353</v>
      </c>
      <c r="E330" s="33" t="s">
        <v>645</v>
      </c>
      <c r="F330" s="81">
        <v>81761</v>
      </c>
      <c r="G330">
        <f t="shared" si="8"/>
        <v>0</v>
      </c>
      <c r="H330">
        <f t="shared" si="9"/>
        <v>0</v>
      </c>
      <c r="I330" s="13"/>
    </row>
    <row r="331" spans="1:9" x14ac:dyDescent="0.15">
      <c r="A331" s="33" t="s">
        <v>339</v>
      </c>
      <c r="B331" s="33" t="s">
        <v>646</v>
      </c>
      <c r="C331" s="33">
        <v>6485</v>
      </c>
      <c r="D331" s="33" t="s">
        <v>353</v>
      </c>
      <c r="E331" s="33" t="s">
        <v>646</v>
      </c>
      <c r="F331" s="81">
        <v>6485</v>
      </c>
      <c r="G331">
        <f t="shared" si="8"/>
        <v>0</v>
      </c>
      <c r="H331">
        <f t="shared" si="9"/>
        <v>0</v>
      </c>
    </row>
    <row r="332" spans="1:9" x14ac:dyDescent="0.15">
      <c r="A332" s="33" t="s">
        <v>339</v>
      </c>
      <c r="B332" s="33" t="s">
        <v>647</v>
      </c>
      <c r="C332" s="33">
        <v>1527</v>
      </c>
      <c r="D332" s="33" t="s">
        <v>353</v>
      </c>
      <c r="E332" s="33" t="s">
        <v>647</v>
      </c>
      <c r="F332" s="81">
        <v>1527</v>
      </c>
      <c r="G332">
        <f t="shared" si="8"/>
        <v>0</v>
      </c>
      <c r="H332">
        <f t="shared" si="9"/>
        <v>0</v>
      </c>
    </row>
    <row r="333" spans="1:9" x14ac:dyDescent="0.15">
      <c r="A333" s="33" t="s">
        <v>339</v>
      </c>
      <c r="B333" s="33" t="s">
        <v>648</v>
      </c>
      <c r="C333" s="33">
        <v>18038086</v>
      </c>
      <c r="D333" s="33" t="s">
        <v>353</v>
      </c>
      <c r="E333" s="33" t="s">
        <v>648</v>
      </c>
      <c r="F333" s="81">
        <v>18038086</v>
      </c>
      <c r="G333">
        <f t="shared" si="8"/>
        <v>0</v>
      </c>
      <c r="H333">
        <f t="shared" si="9"/>
        <v>0</v>
      </c>
    </row>
    <row r="334" spans="1:9" x14ac:dyDescent="0.15">
      <c r="A334" s="33" t="s">
        <v>339</v>
      </c>
      <c r="B334" s="33" t="s">
        <v>649</v>
      </c>
      <c r="C334" s="33">
        <v>1101049</v>
      </c>
      <c r="D334" s="33" t="s">
        <v>353</v>
      </c>
      <c r="E334" s="33" t="s">
        <v>649</v>
      </c>
      <c r="F334" s="81">
        <v>1101049</v>
      </c>
      <c r="G334">
        <f t="shared" si="8"/>
        <v>0</v>
      </c>
      <c r="H334">
        <f t="shared" si="9"/>
        <v>0</v>
      </c>
    </row>
    <row r="335" spans="1:9" x14ac:dyDescent="0.15">
      <c r="A335" s="33" t="s">
        <v>339</v>
      </c>
      <c r="B335" s="33" t="s">
        <v>650</v>
      </c>
      <c r="C335" s="33">
        <v>50295</v>
      </c>
      <c r="D335" s="33" t="s">
        <v>353</v>
      </c>
      <c r="E335" s="33" t="s">
        <v>650</v>
      </c>
      <c r="F335" s="81">
        <v>50295</v>
      </c>
      <c r="G335">
        <f t="shared" si="8"/>
        <v>0</v>
      </c>
      <c r="H335">
        <f t="shared" si="9"/>
        <v>0</v>
      </c>
    </row>
    <row r="336" spans="1:9" x14ac:dyDescent="0.15">
      <c r="A336" s="33" t="s">
        <v>339</v>
      </c>
      <c r="B336" s="33" t="s">
        <v>651</v>
      </c>
      <c r="C336" s="33">
        <v>28116</v>
      </c>
      <c r="D336" s="33" t="s">
        <v>353</v>
      </c>
      <c r="E336" s="33" t="s">
        <v>651</v>
      </c>
      <c r="F336" s="81">
        <v>28116</v>
      </c>
      <c r="G336">
        <f t="shared" si="8"/>
        <v>0</v>
      </c>
      <c r="H336">
        <f t="shared" si="9"/>
        <v>0</v>
      </c>
    </row>
    <row r="337" spans="1:8" x14ac:dyDescent="0.15">
      <c r="A337" s="33" t="s">
        <v>339</v>
      </c>
      <c r="B337" s="33" t="s">
        <v>652</v>
      </c>
      <c r="C337" s="33">
        <v>881</v>
      </c>
      <c r="D337" s="33" t="s">
        <v>353</v>
      </c>
      <c r="E337" s="33" t="s">
        <v>652</v>
      </c>
      <c r="F337" s="81">
        <v>881</v>
      </c>
      <c r="G337">
        <f t="shared" ref="G337:G400" si="10">C337-F337</f>
        <v>0</v>
      </c>
      <c r="H337">
        <f t="shared" ref="H337:H400" si="11">IF(OR(C337=0, F337=0), 0, C337-F337)</f>
        <v>0</v>
      </c>
    </row>
    <row r="338" spans="1:8" x14ac:dyDescent="0.15">
      <c r="A338" s="33" t="s">
        <v>339</v>
      </c>
      <c r="B338" s="33" t="s">
        <v>653</v>
      </c>
      <c r="C338" s="33">
        <v>534</v>
      </c>
      <c r="D338" s="33" t="s">
        <v>353</v>
      </c>
      <c r="E338" s="33" t="s">
        <v>653</v>
      </c>
      <c r="F338" s="81">
        <v>534</v>
      </c>
      <c r="G338">
        <f t="shared" si="10"/>
        <v>0</v>
      </c>
      <c r="H338">
        <f t="shared" si="11"/>
        <v>0</v>
      </c>
    </row>
    <row r="339" spans="1:8" x14ac:dyDescent="0.15">
      <c r="A339" s="33" t="s">
        <v>339</v>
      </c>
      <c r="B339" s="33" t="s">
        <v>654</v>
      </c>
      <c r="C339" s="33">
        <v>7863</v>
      </c>
      <c r="D339" s="33" t="s">
        <v>353</v>
      </c>
      <c r="E339" s="33" t="s">
        <v>654</v>
      </c>
      <c r="F339" s="81">
        <v>7863</v>
      </c>
      <c r="G339">
        <f t="shared" si="10"/>
        <v>0</v>
      </c>
      <c r="H339">
        <f t="shared" si="11"/>
        <v>0</v>
      </c>
    </row>
    <row r="340" spans="1:8" x14ac:dyDescent="0.15">
      <c r="A340" s="33" t="s">
        <v>339</v>
      </c>
      <c r="B340" s="33" t="s">
        <v>655</v>
      </c>
      <c r="C340" s="33">
        <v>345</v>
      </c>
      <c r="D340" s="33" t="s">
        <v>353</v>
      </c>
      <c r="E340" s="33" t="s">
        <v>655</v>
      </c>
      <c r="F340" s="81">
        <v>345</v>
      </c>
      <c r="G340">
        <f t="shared" si="10"/>
        <v>0</v>
      </c>
      <c r="H340">
        <f t="shared" si="11"/>
        <v>0</v>
      </c>
    </row>
    <row r="341" spans="1:8" x14ac:dyDescent="0.15">
      <c r="A341" s="33" t="s">
        <v>339</v>
      </c>
      <c r="B341" s="33" t="s">
        <v>656</v>
      </c>
      <c r="C341" s="33">
        <v>334</v>
      </c>
      <c r="D341" s="33" t="s">
        <v>353</v>
      </c>
      <c r="E341" s="33" t="s">
        <v>656</v>
      </c>
      <c r="F341" s="81">
        <v>334</v>
      </c>
      <c r="G341">
        <f t="shared" si="10"/>
        <v>0</v>
      </c>
      <c r="H341">
        <f t="shared" si="11"/>
        <v>0</v>
      </c>
    </row>
    <row r="342" spans="1:8" x14ac:dyDescent="0.15">
      <c r="A342" s="33" t="s">
        <v>339</v>
      </c>
      <c r="B342" s="33" t="s">
        <v>657</v>
      </c>
      <c r="C342" s="33">
        <v>262</v>
      </c>
      <c r="D342" s="33" t="s">
        <v>353</v>
      </c>
      <c r="E342" s="33" t="s">
        <v>657</v>
      </c>
      <c r="F342" s="81">
        <v>262</v>
      </c>
      <c r="G342">
        <f t="shared" si="10"/>
        <v>0</v>
      </c>
      <c r="H342">
        <f t="shared" si="11"/>
        <v>0</v>
      </c>
    </row>
    <row r="343" spans="1:8" x14ac:dyDescent="0.15">
      <c r="A343" s="33" t="s">
        <v>339</v>
      </c>
      <c r="B343" s="33" t="s">
        <v>658</v>
      </c>
      <c r="C343" s="33">
        <v>1</v>
      </c>
      <c r="D343" s="33" t="s">
        <v>353</v>
      </c>
      <c r="E343" s="33" t="s">
        <v>658</v>
      </c>
      <c r="F343" s="81">
        <v>1</v>
      </c>
      <c r="G343">
        <f t="shared" si="10"/>
        <v>0</v>
      </c>
      <c r="H343">
        <f t="shared" si="11"/>
        <v>0</v>
      </c>
    </row>
    <row r="344" spans="1:8" x14ac:dyDescent="0.15">
      <c r="A344" s="33" t="s">
        <v>339</v>
      </c>
      <c r="B344" s="33" t="s">
        <v>659</v>
      </c>
      <c r="C344" s="33">
        <v>14</v>
      </c>
      <c r="D344" s="33" t="s">
        <v>353</v>
      </c>
      <c r="E344" s="33" t="s">
        <v>659</v>
      </c>
      <c r="F344" s="81">
        <v>14</v>
      </c>
      <c r="G344">
        <f t="shared" si="10"/>
        <v>0</v>
      </c>
      <c r="H344">
        <f t="shared" si="11"/>
        <v>0</v>
      </c>
    </row>
    <row r="345" spans="1:8" x14ac:dyDescent="0.15">
      <c r="A345" s="33" t="s">
        <v>339</v>
      </c>
      <c r="B345" s="33" t="s">
        <v>660</v>
      </c>
      <c r="C345" s="33">
        <v>549</v>
      </c>
      <c r="D345" s="33" t="s">
        <v>353</v>
      </c>
      <c r="E345" s="33" t="s">
        <v>660</v>
      </c>
      <c r="F345" s="81">
        <v>549</v>
      </c>
      <c r="G345">
        <f t="shared" si="10"/>
        <v>0</v>
      </c>
      <c r="H345">
        <f t="shared" si="11"/>
        <v>0</v>
      </c>
    </row>
    <row r="346" spans="1:8" x14ac:dyDescent="0.15">
      <c r="A346" s="33" t="s">
        <v>339</v>
      </c>
      <c r="B346" s="33" t="s">
        <v>661</v>
      </c>
      <c r="C346" s="33">
        <v>279</v>
      </c>
      <c r="D346" s="33" t="s">
        <v>353</v>
      </c>
      <c r="E346" s="33" t="s">
        <v>661</v>
      </c>
      <c r="F346" s="81">
        <v>279</v>
      </c>
      <c r="G346">
        <f t="shared" si="10"/>
        <v>0</v>
      </c>
      <c r="H346">
        <f t="shared" si="11"/>
        <v>0</v>
      </c>
    </row>
    <row r="347" spans="1:8" x14ac:dyDescent="0.15">
      <c r="A347" s="33" t="s">
        <v>339</v>
      </c>
      <c r="B347" s="33" t="s">
        <v>662</v>
      </c>
      <c r="C347" s="33">
        <v>69</v>
      </c>
      <c r="D347" s="33" t="s">
        <v>353</v>
      </c>
      <c r="E347" s="33" t="s">
        <v>662</v>
      </c>
      <c r="F347" s="81">
        <v>69</v>
      </c>
      <c r="G347">
        <f t="shared" si="10"/>
        <v>0</v>
      </c>
      <c r="H347">
        <f t="shared" si="11"/>
        <v>0</v>
      </c>
    </row>
    <row r="348" spans="1:8" x14ac:dyDescent="0.15">
      <c r="A348" s="33" t="s">
        <v>339</v>
      </c>
      <c r="B348" s="33" t="s">
        <v>663</v>
      </c>
      <c r="C348" s="33">
        <v>325097</v>
      </c>
      <c r="D348" s="33" t="s">
        <v>353</v>
      </c>
      <c r="E348" s="33" t="s">
        <v>663</v>
      </c>
      <c r="F348" s="81">
        <v>325097</v>
      </c>
      <c r="G348">
        <f t="shared" si="10"/>
        <v>0</v>
      </c>
      <c r="H348">
        <f t="shared" si="11"/>
        <v>0</v>
      </c>
    </row>
    <row r="349" spans="1:8" x14ac:dyDescent="0.15">
      <c r="A349" s="33" t="s">
        <v>339</v>
      </c>
      <c r="B349" s="33" t="s">
        <v>664</v>
      </c>
      <c r="C349" s="33">
        <v>133376</v>
      </c>
      <c r="D349" s="33" t="s">
        <v>353</v>
      </c>
      <c r="E349" s="33" t="s">
        <v>664</v>
      </c>
      <c r="F349" s="81">
        <v>133376</v>
      </c>
      <c r="G349">
        <f t="shared" si="10"/>
        <v>0</v>
      </c>
      <c r="H349">
        <f t="shared" si="11"/>
        <v>0</v>
      </c>
    </row>
    <row r="350" spans="1:8" x14ac:dyDescent="0.15">
      <c r="A350" s="33" t="s">
        <v>339</v>
      </c>
      <c r="B350" s="33" t="s">
        <v>665</v>
      </c>
      <c r="C350" s="33">
        <v>274191</v>
      </c>
      <c r="D350" s="33" t="s">
        <v>353</v>
      </c>
      <c r="E350" s="33" t="s">
        <v>665</v>
      </c>
      <c r="F350" s="81">
        <v>274191</v>
      </c>
      <c r="G350">
        <f t="shared" si="10"/>
        <v>0</v>
      </c>
      <c r="H350">
        <f t="shared" si="11"/>
        <v>0</v>
      </c>
    </row>
    <row r="351" spans="1:8" x14ac:dyDescent="0.15">
      <c r="A351" s="33" t="s">
        <v>339</v>
      </c>
      <c r="B351" s="33" t="s">
        <v>666</v>
      </c>
      <c r="C351" s="33">
        <v>107</v>
      </c>
      <c r="D351" s="33" t="s">
        <v>353</v>
      </c>
      <c r="E351" s="33" t="s">
        <v>666</v>
      </c>
      <c r="F351" s="81">
        <v>107</v>
      </c>
      <c r="G351">
        <f t="shared" si="10"/>
        <v>0</v>
      </c>
      <c r="H351">
        <f t="shared" si="11"/>
        <v>0</v>
      </c>
    </row>
    <row r="352" spans="1:8" x14ac:dyDescent="0.15">
      <c r="A352" s="33" t="s">
        <v>339</v>
      </c>
      <c r="B352" s="33" t="s">
        <v>667</v>
      </c>
      <c r="C352" s="33">
        <v>1</v>
      </c>
      <c r="D352" s="33" t="s">
        <v>353</v>
      </c>
      <c r="E352" s="33" t="s">
        <v>667</v>
      </c>
      <c r="F352" s="81">
        <v>1</v>
      </c>
      <c r="G352">
        <f t="shared" si="10"/>
        <v>0</v>
      </c>
      <c r="H352">
        <f t="shared" si="11"/>
        <v>0</v>
      </c>
    </row>
    <row r="353" spans="1:8" x14ac:dyDescent="0.15">
      <c r="A353" s="33" t="s">
        <v>339</v>
      </c>
      <c r="B353" s="33" t="s">
        <v>670</v>
      </c>
      <c r="C353" s="33">
        <v>3314405</v>
      </c>
      <c r="D353" s="33" t="s">
        <v>353</v>
      </c>
      <c r="E353" s="33" t="s">
        <v>670</v>
      </c>
      <c r="F353" s="81">
        <v>3314405</v>
      </c>
      <c r="G353">
        <f t="shared" si="10"/>
        <v>0</v>
      </c>
      <c r="H353">
        <f t="shared" si="11"/>
        <v>0</v>
      </c>
    </row>
    <row r="354" spans="1:8" x14ac:dyDescent="0.15">
      <c r="A354" s="33" t="s">
        <v>339</v>
      </c>
      <c r="B354" s="33" t="s">
        <v>671</v>
      </c>
      <c r="C354" s="33">
        <v>421</v>
      </c>
      <c r="D354" s="33" t="s">
        <v>353</v>
      </c>
      <c r="E354" s="33" t="s">
        <v>671</v>
      </c>
      <c r="F354" s="81">
        <v>421</v>
      </c>
      <c r="G354">
        <f t="shared" si="10"/>
        <v>0</v>
      </c>
      <c r="H354">
        <f t="shared" si="11"/>
        <v>0</v>
      </c>
    </row>
    <row r="355" spans="1:8" x14ac:dyDescent="0.15">
      <c r="A355" s="33" t="s">
        <v>339</v>
      </c>
      <c r="B355" s="33" t="s">
        <v>672</v>
      </c>
      <c r="C355" s="33">
        <v>179138</v>
      </c>
      <c r="D355" s="33" t="s">
        <v>353</v>
      </c>
      <c r="E355" s="33" t="s">
        <v>672</v>
      </c>
      <c r="F355" s="81">
        <v>179138</v>
      </c>
      <c r="G355">
        <f t="shared" si="10"/>
        <v>0</v>
      </c>
      <c r="H355">
        <f t="shared" si="11"/>
        <v>0</v>
      </c>
    </row>
    <row r="356" spans="1:8" x14ac:dyDescent="0.15">
      <c r="A356" s="33" t="s">
        <v>339</v>
      </c>
      <c r="B356" s="33" t="s">
        <v>673</v>
      </c>
      <c r="C356" s="33">
        <v>39353067</v>
      </c>
      <c r="D356" s="33" t="s">
        <v>353</v>
      </c>
      <c r="E356" s="33" t="s">
        <v>673</v>
      </c>
      <c r="F356" s="81">
        <v>39353067</v>
      </c>
      <c r="G356">
        <f t="shared" si="10"/>
        <v>0</v>
      </c>
      <c r="H356">
        <f t="shared" si="11"/>
        <v>0</v>
      </c>
    </row>
    <row r="357" spans="1:8" x14ac:dyDescent="0.15">
      <c r="A357" s="33" t="s">
        <v>339</v>
      </c>
      <c r="B357" s="33" t="s">
        <v>674</v>
      </c>
      <c r="C357" s="33">
        <v>52393097</v>
      </c>
      <c r="D357" s="33" t="s">
        <v>353</v>
      </c>
      <c r="E357" s="33" t="s">
        <v>674</v>
      </c>
      <c r="F357" s="81">
        <v>52393097</v>
      </c>
      <c r="G357">
        <f t="shared" si="10"/>
        <v>0</v>
      </c>
      <c r="H357">
        <f t="shared" si="11"/>
        <v>0</v>
      </c>
    </row>
    <row r="358" spans="1:8" x14ac:dyDescent="0.15">
      <c r="A358" s="33" t="s">
        <v>339</v>
      </c>
      <c r="B358" s="33" t="s">
        <v>675</v>
      </c>
      <c r="C358" s="33">
        <v>100602362</v>
      </c>
      <c r="D358" s="33" t="s">
        <v>353</v>
      </c>
      <c r="E358" s="33" t="s">
        <v>675</v>
      </c>
      <c r="F358" s="81">
        <v>100602362</v>
      </c>
      <c r="G358">
        <f t="shared" si="10"/>
        <v>0</v>
      </c>
      <c r="H358">
        <f t="shared" si="11"/>
        <v>0</v>
      </c>
    </row>
    <row r="359" spans="1:8" x14ac:dyDescent="0.15">
      <c r="A359" s="33" t="s">
        <v>339</v>
      </c>
      <c r="B359" s="33" t="s">
        <v>1325</v>
      </c>
      <c r="C359" s="33">
        <v>12048772</v>
      </c>
      <c r="D359" s="33" t="s">
        <v>353</v>
      </c>
      <c r="E359" s="33" t="s">
        <v>1325</v>
      </c>
      <c r="F359" s="81">
        <v>12048772</v>
      </c>
      <c r="G359">
        <f t="shared" si="10"/>
        <v>0</v>
      </c>
      <c r="H359">
        <f t="shared" si="11"/>
        <v>0</v>
      </c>
    </row>
    <row r="360" spans="1:8" x14ac:dyDescent="0.15">
      <c r="A360" s="33" t="s">
        <v>339</v>
      </c>
      <c r="B360" s="33" t="s">
        <v>676</v>
      </c>
      <c r="C360" s="33">
        <v>19556</v>
      </c>
      <c r="D360" s="33" t="s">
        <v>353</v>
      </c>
      <c r="E360" s="33" t="s">
        <v>676</v>
      </c>
      <c r="F360" s="81">
        <v>19556</v>
      </c>
      <c r="G360">
        <f t="shared" si="10"/>
        <v>0</v>
      </c>
      <c r="H360">
        <f t="shared" si="11"/>
        <v>0</v>
      </c>
    </row>
    <row r="361" spans="1:8" x14ac:dyDescent="0.15">
      <c r="A361" s="33" t="s">
        <v>339</v>
      </c>
      <c r="B361" s="33" t="s">
        <v>677</v>
      </c>
      <c r="C361" s="33">
        <v>65230</v>
      </c>
      <c r="D361" s="33" t="s">
        <v>353</v>
      </c>
      <c r="E361" s="33" t="s">
        <v>677</v>
      </c>
      <c r="F361" s="81">
        <v>65230</v>
      </c>
      <c r="G361">
        <f t="shared" si="10"/>
        <v>0</v>
      </c>
      <c r="H361">
        <f t="shared" si="11"/>
        <v>0</v>
      </c>
    </row>
    <row r="362" spans="1:8" x14ac:dyDescent="0.15">
      <c r="A362" s="33" t="s">
        <v>339</v>
      </c>
      <c r="B362" s="33" t="s">
        <v>678</v>
      </c>
      <c r="C362" s="33">
        <v>383446</v>
      </c>
      <c r="D362" s="33" t="s">
        <v>353</v>
      </c>
      <c r="E362" s="33" t="s">
        <v>678</v>
      </c>
      <c r="F362" s="81">
        <v>383446</v>
      </c>
      <c r="G362">
        <f t="shared" si="10"/>
        <v>0</v>
      </c>
      <c r="H362">
        <f t="shared" si="11"/>
        <v>0</v>
      </c>
    </row>
    <row r="363" spans="1:8" x14ac:dyDescent="0.15">
      <c r="A363" s="33" t="s">
        <v>339</v>
      </c>
      <c r="B363" s="33" t="s">
        <v>679</v>
      </c>
      <c r="C363" s="33">
        <v>7</v>
      </c>
      <c r="D363" s="33" t="s">
        <v>353</v>
      </c>
      <c r="E363" s="33" t="s">
        <v>679</v>
      </c>
      <c r="F363" s="81">
        <v>7</v>
      </c>
      <c r="G363">
        <f t="shared" si="10"/>
        <v>0</v>
      </c>
      <c r="H363">
        <f t="shared" si="11"/>
        <v>0</v>
      </c>
    </row>
    <row r="364" spans="1:8" x14ac:dyDescent="0.15">
      <c r="A364" s="33" t="s">
        <v>339</v>
      </c>
      <c r="B364" s="33" t="s">
        <v>680</v>
      </c>
      <c r="C364" s="33">
        <v>6</v>
      </c>
      <c r="D364" s="33" t="s">
        <v>353</v>
      </c>
      <c r="E364" s="33" t="s">
        <v>680</v>
      </c>
      <c r="F364" s="81">
        <v>6</v>
      </c>
      <c r="G364">
        <f t="shared" si="10"/>
        <v>0</v>
      </c>
      <c r="H364">
        <f t="shared" si="11"/>
        <v>0</v>
      </c>
    </row>
    <row r="365" spans="1:8" x14ac:dyDescent="0.15">
      <c r="A365" s="33" t="s">
        <v>339</v>
      </c>
      <c r="B365" s="33" t="s">
        <v>681</v>
      </c>
      <c r="C365" s="33">
        <v>119740</v>
      </c>
      <c r="D365" s="33" t="s">
        <v>353</v>
      </c>
      <c r="E365" s="33" t="s">
        <v>681</v>
      </c>
      <c r="F365" s="81">
        <v>119740</v>
      </c>
      <c r="G365">
        <f t="shared" si="10"/>
        <v>0</v>
      </c>
      <c r="H365">
        <f t="shared" si="11"/>
        <v>0</v>
      </c>
    </row>
    <row r="366" spans="1:8" x14ac:dyDescent="0.15">
      <c r="A366" s="33" t="s">
        <v>339</v>
      </c>
      <c r="B366" s="33" t="s">
        <v>682</v>
      </c>
      <c r="C366" s="33">
        <v>520277</v>
      </c>
      <c r="D366" s="33" t="s">
        <v>353</v>
      </c>
      <c r="E366" s="33" t="s">
        <v>682</v>
      </c>
      <c r="F366" s="81">
        <v>520277</v>
      </c>
      <c r="G366">
        <f t="shared" si="10"/>
        <v>0</v>
      </c>
      <c r="H366">
        <f t="shared" si="11"/>
        <v>0</v>
      </c>
    </row>
    <row r="367" spans="1:8" x14ac:dyDescent="0.15">
      <c r="A367" s="33" t="s">
        <v>339</v>
      </c>
      <c r="B367" s="33" t="s">
        <v>683</v>
      </c>
      <c r="C367" s="33">
        <v>112</v>
      </c>
      <c r="D367" s="33" t="s">
        <v>353</v>
      </c>
      <c r="E367" s="33" t="s">
        <v>683</v>
      </c>
      <c r="F367" s="81">
        <v>112</v>
      </c>
      <c r="G367">
        <f t="shared" si="10"/>
        <v>0</v>
      </c>
      <c r="H367">
        <f t="shared" si="11"/>
        <v>0</v>
      </c>
    </row>
    <row r="368" spans="1:8" x14ac:dyDescent="0.15">
      <c r="A368" s="33" t="s">
        <v>339</v>
      </c>
      <c r="B368" s="33" t="s">
        <v>684</v>
      </c>
      <c r="C368" s="33">
        <v>11</v>
      </c>
      <c r="D368" s="33" t="s">
        <v>353</v>
      </c>
      <c r="E368" s="33" t="s">
        <v>684</v>
      </c>
      <c r="F368" s="81">
        <v>11</v>
      </c>
      <c r="G368">
        <f t="shared" si="10"/>
        <v>0</v>
      </c>
      <c r="H368">
        <f t="shared" si="11"/>
        <v>0</v>
      </c>
    </row>
    <row r="369" spans="1:8" x14ac:dyDescent="0.15">
      <c r="A369" s="33" t="s">
        <v>339</v>
      </c>
      <c r="B369" s="33" t="s">
        <v>685</v>
      </c>
      <c r="C369" s="33">
        <v>5</v>
      </c>
      <c r="D369" s="33" t="s">
        <v>353</v>
      </c>
      <c r="E369" s="33" t="s">
        <v>685</v>
      </c>
      <c r="F369" s="81">
        <v>5</v>
      </c>
      <c r="G369">
        <f t="shared" si="10"/>
        <v>0</v>
      </c>
      <c r="H369">
        <f t="shared" si="11"/>
        <v>0</v>
      </c>
    </row>
    <row r="370" spans="1:8" x14ac:dyDescent="0.15">
      <c r="A370" s="33" t="s">
        <v>339</v>
      </c>
      <c r="B370" s="33" t="s">
        <v>686</v>
      </c>
      <c r="C370" s="33">
        <v>1</v>
      </c>
      <c r="D370" s="33" t="s">
        <v>353</v>
      </c>
      <c r="E370" s="33" t="s">
        <v>686</v>
      </c>
      <c r="F370" s="81">
        <v>1</v>
      </c>
      <c r="G370">
        <f t="shared" si="10"/>
        <v>0</v>
      </c>
      <c r="H370">
        <f t="shared" si="11"/>
        <v>0</v>
      </c>
    </row>
    <row r="371" spans="1:8" x14ac:dyDescent="0.15">
      <c r="A371" s="33" t="s">
        <v>339</v>
      </c>
      <c r="B371" s="33" t="s">
        <v>687</v>
      </c>
      <c r="C371" s="33">
        <v>489</v>
      </c>
      <c r="D371" s="33" t="s">
        <v>353</v>
      </c>
      <c r="E371" s="33" t="s">
        <v>687</v>
      </c>
      <c r="F371" s="81">
        <v>489</v>
      </c>
      <c r="G371">
        <f t="shared" si="10"/>
        <v>0</v>
      </c>
      <c r="H371">
        <f t="shared" si="11"/>
        <v>0</v>
      </c>
    </row>
    <row r="372" spans="1:8" x14ac:dyDescent="0.15">
      <c r="A372" s="33" t="s">
        <v>339</v>
      </c>
      <c r="B372" s="33" t="s">
        <v>688</v>
      </c>
      <c r="C372" s="33">
        <v>7003</v>
      </c>
      <c r="D372" s="33" t="s">
        <v>353</v>
      </c>
      <c r="E372" s="33" t="s">
        <v>688</v>
      </c>
      <c r="F372" s="81">
        <v>7003</v>
      </c>
      <c r="G372">
        <f t="shared" si="10"/>
        <v>0</v>
      </c>
      <c r="H372">
        <f t="shared" si="11"/>
        <v>0</v>
      </c>
    </row>
    <row r="373" spans="1:8" x14ac:dyDescent="0.15">
      <c r="A373" s="33" t="s">
        <v>339</v>
      </c>
      <c r="B373" s="33" t="s">
        <v>689</v>
      </c>
      <c r="C373" s="33">
        <v>987328</v>
      </c>
      <c r="D373" s="33" t="s">
        <v>353</v>
      </c>
      <c r="E373" s="33" t="s">
        <v>689</v>
      </c>
      <c r="F373" s="81">
        <v>987328</v>
      </c>
      <c r="G373">
        <f t="shared" si="10"/>
        <v>0</v>
      </c>
      <c r="H373">
        <f t="shared" si="11"/>
        <v>0</v>
      </c>
    </row>
    <row r="374" spans="1:8" x14ac:dyDescent="0.15">
      <c r="A374" s="33" t="s">
        <v>339</v>
      </c>
      <c r="B374" s="33" t="s">
        <v>690</v>
      </c>
      <c r="C374" s="33">
        <v>7159548</v>
      </c>
      <c r="D374" s="33" t="s">
        <v>353</v>
      </c>
      <c r="E374" s="33" t="s">
        <v>690</v>
      </c>
      <c r="F374" s="81">
        <v>7159548</v>
      </c>
      <c r="G374">
        <f t="shared" si="10"/>
        <v>0</v>
      </c>
      <c r="H374">
        <f t="shared" si="11"/>
        <v>0</v>
      </c>
    </row>
    <row r="375" spans="1:8" x14ac:dyDescent="0.15">
      <c r="A375" s="33" t="s">
        <v>339</v>
      </c>
      <c r="B375" s="33" t="s">
        <v>691</v>
      </c>
      <c r="C375" s="33">
        <v>15053365</v>
      </c>
      <c r="D375" s="33" t="s">
        <v>353</v>
      </c>
      <c r="E375" s="33" t="s">
        <v>691</v>
      </c>
      <c r="F375" s="81">
        <v>15053365</v>
      </c>
      <c r="G375">
        <f t="shared" si="10"/>
        <v>0</v>
      </c>
      <c r="H375">
        <f t="shared" si="11"/>
        <v>0</v>
      </c>
    </row>
    <row r="376" spans="1:8" x14ac:dyDescent="0.15">
      <c r="A376" s="33" t="s">
        <v>339</v>
      </c>
      <c r="B376" s="33" t="s">
        <v>692</v>
      </c>
      <c r="C376" s="33">
        <v>4676786</v>
      </c>
      <c r="D376" s="33" t="s">
        <v>353</v>
      </c>
      <c r="E376" s="33" t="s">
        <v>692</v>
      </c>
      <c r="F376" s="81">
        <v>4676786</v>
      </c>
      <c r="G376">
        <f t="shared" si="10"/>
        <v>0</v>
      </c>
      <c r="H376">
        <f t="shared" si="11"/>
        <v>0</v>
      </c>
    </row>
    <row r="377" spans="1:8" x14ac:dyDescent="0.15">
      <c r="A377" s="33" t="s">
        <v>339</v>
      </c>
      <c r="B377" s="33" t="s">
        <v>693</v>
      </c>
      <c r="C377" s="33">
        <v>3240</v>
      </c>
      <c r="D377" s="33" t="s">
        <v>353</v>
      </c>
      <c r="E377" s="33" t="s">
        <v>693</v>
      </c>
      <c r="F377" s="81">
        <v>3240</v>
      </c>
      <c r="G377">
        <f t="shared" si="10"/>
        <v>0</v>
      </c>
      <c r="H377">
        <f t="shared" si="11"/>
        <v>0</v>
      </c>
    </row>
    <row r="378" spans="1:8" x14ac:dyDescent="0.15">
      <c r="A378" s="33" t="s">
        <v>339</v>
      </c>
      <c r="B378" s="33" t="s">
        <v>694</v>
      </c>
      <c r="C378" s="33">
        <v>24</v>
      </c>
      <c r="D378" s="33" t="s">
        <v>353</v>
      </c>
      <c r="E378" s="33" t="s">
        <v>694</v>
      </c>
      <c r="F378" s="81">
        <v>24</v>
      </c>
      <c r="G378">
        <f t="shared" si="10"/>
        <v>0</v>
      </c>
      <c r="H378">
        <f t="shared" si="11"/>
        <v>0</v>
      </c>
    </row>
    <row r="379" spans="1:8" x14ac:dyDescent="0.15">
      <c r="A379" s="33" t="s">
        <v>339</v>
      </c>
      <c r="B379" s="33" t="s">
        <v>695</v>
      </c>
      <c r="C379" s="33">
        <v>1033</v>
      </c>
      <c r="D379" s="33" t="s">
        <v>353</v>
      </c>
      <c r="E379" s="33" t="s">
        <v>695</v>
      </c>
      <c r="F379" s="81">
        <v>1033</v>
      </c>
      <c r="G379">
        <f t="shared" si="10"/>
        <v>0</v>
      </c>
      <c r="H379">
        <f t="shared" si="11"/>
        <v>0</v>
      </c>
    </row>
    <row r="380" spans="1:8" x14ac:dyDescent="0.15">
      <c r="A380" s="33" t="s">
        <v>339</v>
      </c>
      <c r="B380" s="33" t="s">
        <v>696</v>
      </c>
      <c r="C380" s="33">
        <v>6</v>
      </c>
      <c r="D380" s="33" t="s">
        <v>353</v>
      </c>
      <c r="E380" s="33" t="s">
        <v>696</v>
      </c>
      <c r="F380" s="81">
        <v>6</v>
      </c>
      <c r="G380">
        <f t="shared" si="10"/>
        <v>0</v>
      </c>
      <c r="H380">
        <f t="shared" si="11"/>
        <v>0</v>
      </c>
    </row>
    <row r="381" spans="1:8" x14ac:dyDescent="0.15">
      <c r="A381" s="33" t="s">
        <v>339</v>
      </c>
      <c r="B381" s="33" t="s">
        <v>697</v>
      </c>
      <c r="C381" s="33">
        <v>379122</v>
      </c>
      <c r="D381" s="33" t="s">
        <v>353</v>
      </c>
      <c r="E381" s="33" t="s">
        <v>697</v>
      </c>
      <c r="F381" s="81">
        <v>379122</v>
      </c>
      <c r="G381">
        <f t="shared" si="10"/>
        <v>0</v>
      </c>
      <c r="H381">
        <f t="shared" si="11"/>
        <v>0</v>
      </c>
    </row>
    <row r="382" spans="1:8" x14ac:dyDescent="0.15">
      <c r="A382" s="33" t="s">
        <v>339</v>
      </c>
      <c r="B382" s="33" t="s">
        <v>698</v>
      </c>
      <c r="C382" s="33">
        <v>21601</v>
      </c>
      <c r="D382" s="33" t="s">
        <v>353</v>
      </c>
      <c r="E382" s="33" t="s">
        <v>698</v>
      </c>
      <c r="F382" s="81">
        <v>21601</v>
      </c>
      <c r="G382">
        <f t="shared" si="10"/>
        <v>0</v>
      </c>
      <c r="H382">
        <f t="shared" si="11"/>
        <v>0</v>
      </c>
    </row>
    <row r="383" spans="1:8" x14ac:dyDescent="0.15">
      <c r="A383" s="33" t="s">
        <v>339</v>
      </c>
      <c r="B383" s="33" t="s">
        <v>699</v>
      </c>
      <c r="C383" s="33">
        <v>177527</v>
      </c>
      <c r="D383" s="33" t="s">
        <v>353</v>
      </c>
      <c r="E383" s="33" t="s">
        <v>699</v>
      </c>
      <c r="F383" s="81">
        <v>177527</v>
      </c>
      <c r="G383">
        <f t="shared" si="10"/>
        <v>0</v>
      </c>
      <c r="H383">
        <f t="shared" si="11"/>
        <v>0</v>
      </c>
    </row>
    <row r="384" spans="1:8" x14ac:dyDescent="0.15">
      <c r="A384" s="33" t="s">
        <v>339</v>
      </c>
      <c r="B384" s="33" t="s">
        <v>700</v>
      </c>
      <c r="C384" s="33">
        <v>10063</v>
      </c>
      <c r="D384" s="33" t="s">
        <v>353</v>
      </c>
      <c r="E384" s="33" t="s">
        <v>700</v>
      </c>
      <c r="F384" s="81">
        <v>10063</v>
      </c>
      <c r="G384">
        <f t="shared" si="10"/>
        <v>0</v>
      </c>
      <c r="H384">
        <f t="shared" si="11"/>
        <v>0</v>
      </c>
    </row>
    <row r="385" spans="1:8" x14ac:dyDescent="0.15">
      <c r="A385" s="33" t="s">
        <v>339</v>
      </c>
      <c r="B385" s="33" t="s">
        <v>701</v>
      </c>
      <c r="C385" s="33">
        <v>47</v>
      </c>
      <c r="D385" s="33" t="s">
        <v>353</v>
      </c>
      <c r="E385" s="33" t="s">
        <v>701</v>
      </c>
      <c r="F385" s="81">
        <v>47</v>
      </c>
      <c r="G385">
        <f t="shared" si="10"/>
        <v>0</v>
      </c>
      <c r="H385">
        <f t="shared" si="11"/>
        <v>0</v>
      </c>
    </row>
    <row r="386" spans="1:8" x14ac:dyDescent="0.15">
      <c r="A386" s="33" t="s">
        <v>339</v>
      </c>
      <c r="B386" s="33" t="s">
        <v>702</v>
      </c>
      <c r="C386" s="33">
        <v>2</v>
      </c>
      <c r="D386" s="33" t="s">
        <v>353</v>
      </c>
      <c r="E386" s="33" t="s">
        <v>702</v>
      </c>
      <c r="F386" s="81">
        <v>2</v>
      </c>
      <c r="G386">
        <f t="shared" si="10"/>
        <v>0</v>
      </c>
      <c r="H386">
        <f t="shared" si="11"/>
        <v>0</v>
      </c>
    </row>
    <row r="387" spans="1:8" x14ac:dyDescent="0.15">
      <c r="A387" s="33" t="s">
        <v>339</v>
      </c>
      <c r="B387" s="33" t="s">
        <v>703</v>
      </c>
      <c r="C387" s="33">
        <v>17</v>
      </c>
      <c r="D387" s="33" t="s">
        <v>353</v>
      </c>
      <c r="E387" s="33" t="s">
        <v>703</v>
      </c>
      <c r="F387" s="81">
        <v>17</v>
      </c>
      <c r="G387">
        <f t="shared" si="10"/>
        <v>0</v>
      </c>
      <c r="H387">
        <f t="shared" si="11"/>
        <v>0</v>
      </c>
    </row>
    <row r="388" spans="1:8" x14ac:dyDescent="0.15">
      <c r="A388" s="33" t="s">
        <v>339</v>
      </c>
      <c r="B388" s="33" t="s">
        <v>704</v>
      </c>
      <c r="C388" s="33">
        <v>102</v>
      </c>
      <c r="D388" s="33" t="s">
        <v>353</v>
      </c>
      <c r="E388" s="33" t="s">
        <v>704</v>
      </c>
      <c r="F388" s="81">
        <v>102</v>
      </c>
      <c r="G388">
        <f t="shared" si="10"/>
        <v>0</v>
      </c>
      <c r="H388">
        <f t="shared" si="11"/>
        <v>0</v>
      </c>
    </row>
    <row r="389" spans="1:8" x14ac:dyDescent="0.15">
      <c r="A389" s="33" t="s">
        <v>339</v>
      </c>
      <c r="B389" s="33" t="s">
        <v>705</v>
      </c>
      <c r="C389" s="33">
        <v>483</v>
      </c>
      <c r="D389" s="33" t="s">
        <v>353</v>
      </c>
      <c r="E389" s="33" t="s">
        <v>705</v>
      </c>
      <c r="F389" s="81">
        <v>483</v>
      </c>
      <c r="G389">
        <f t="shared" si="10"/>
        <v>0</v>
      </c>
      <c r="H389">
        <f t="shared" si="11"/>
        <v>0</v>
      </c>
    </row>
    <row r="390" spans="1:8" x14ac:dyDescent="0.15">
      <c r="A390" s="33" t="s">
        <v>339</v>
      </c>
      <c r="B390" s="33" t="s">
        <v>706</v>
      </c>
      <c r="C390" s="33">
        <v>459</v>
      </c>
      <c r="D390" s="33" t="s">
        <v>353</v>
      </c>
      <c r="E390" s="33" t="s">
        <v>706</v>
      </c>
      <c r="F390" s="81">
        <v>459</v>
      </c>
      <c r="G390">
        <f t="shared" si="10"/>
        <v>0</v>
      </c>
      <c r="H390">
        <f t="shared" si="11"/>
        <v>0</v>
      </c>
    </row>
    <row r="391" spans="1:8" x14ac:dyDescent="0.15">
      <c r="A391" s="33" t="s">
        <v>339</v>
      </c>
      <c r="B391" s="33" t="s">
        <v>707</v>
      </c>
      <c r="C391" s="33">
        <v>9747</v>
      </c>
      <c r="D391" s="33" t="s">
        <v>353</v>
      </c>
      <c r="E391" s="33" t="s">
        <v>707</v>
      </c>
      <c r="F391" s="81">
        <v>9747</v>
      </c>
      <c r="G391">
        <f t="shared" si="10"/>
        <v>0</v>
      </c>
      <c r="H391">
        <f t="shared" si="11"/>
        <v>0</v>
      </c>
    </row>
    <row r="392" spans="1:8" x14ac:dyDescent="0.15">
      <c r="A392" s="33" t="s">
        <v>339</v>
      </c>
      <c r="B392" s="33" t="s">
        <v>708</v>
      </c>
      <c r="C392" s="33">
        <v>485</v>
      </c>
      <c r="D392" s="33" t="s">
        <v>353</v>
      </c>
      <c r="E392" s="33" t="s">
        <v>708</v>
      </c>
      <c r="F392" s="81">
        <v>485</v>
      </c>
      <c r="G392">
        <f t="shared" si="10"/>
        <v>0</v>
      </c>
      <c r="H392">
        <f t="shared" si="11"/>
        <v>0</v>
      </c>
    </row>
    <row r="393" spans="1:8" x14ac:dyDescent="0.15">
      <c r="A393" s="33" t="s">
        <v>339</v>
      </c>
      <c r="B393" s="33" t="s">
        <v>709</v>
      </c>
      <c r="C393" s="33">
        <v>9</v>
      </c>
      <c r="D393" s="33" t="s">
        <v>353</v>
      </c>
      <c r="E393" s="33" t="s">
        <v>709</v>
      </c>
      <c r="F393" s="81">
        <v>9</v>
      </c>
      <c r="G393">
        <f t="shared" si="10"/>
        <v>0</v>
      </c>
      <c r="H393">
        <f t="shared" si="11"/>
        <v>0</v>
      </c>
    </row>
    <row r="394" spans="1:8" x14ac:dyDescent="0.15">
      <c r="A394" s="33" t="s">
        <v>339</v>
      </c>
      <c r="B394" s="33" t="s">
        <v>710</v>
      </c>
      <c r="C394" s="33">
        <v>213752</v>
      </c>
      <c r="D394" s="33" t="s">
        <v>353</v>
      </c>
      <c r="E394" s="33" t="s">
        <v>710</v>
      </c>
      <c r="F394" s="81">
        <v>213752</v>
      </c>
      <c r="G394">
        <f t="shared" si="10"/>
        <v>0</v>
      </c>
      <c r="H394">
        <f t="shared" si="11"/>
        <v>0</v>
      </c>
    </row>
    <row r="395" spans="1:8" x14ac:dyDescent="0.15">
      <c r="A395" s="33" t="s">
        <v>339</v>
      </c>
      <c r="B395" s="33" t="s">
        <v>711</v>
      </c>
      <c r="C395" s="33">
        <v>894812</v>
      </c>
      <c r="D395" s="33" t="s">
        <v>353</v>
      </c>
      <c r="E395" s="33" t="s">
        <v>711</v>
      </c>
      <c r="F395" s="81">
        <v>894812</v>
      </c>
      <c r="G395">
        <f t="shared" si="10"/>
        <v>0</v>
      </c>
      <c r="H395">
        <f t="shared" si="11"/>
        <v>0</v>
      </c>
    </row>
    <row r="396" spans="1:8" x14ac:dyDescent="0.15">
      <c r="A396" s="33" t="s">
        <v>339</v>
      </c>
      <c r="B396" s="33" t="s">
        <v>712</v>
      </c>
      <c r="C396" s="33">
        <v>955510</v>
      </c>
      <c r="D396" s="33" t="s">
        <v>353</v>
      </c>
      <c r="E396" s="33" t="s">
        <v>712</v>
      </c>
      <c r="F396" s="81">
        <v>955510</v>
      </c>
      <c r="G396">
        <f t="shared" si="10"/>
        <v>0</v>
      </c>
      <c r="H396">
        <f t="shared" si="11"/>
        <v>0</v>
      </c>
    </row>
    <row r="397" spans="1:8" x14ac:dyDescent="0.15">
      <c r="A397" s="33" t="s">
        <v>339</v>
      </c>
      <c r="B397" s="33" t="s">
        <v>713</v>
      </c>
      <c r="C397" s="33">
        <v>2305</v>
      </c>
      <c r="D397" s="33" t="s">
        <v>353</v>
      </c>
      <c r="E397" s="33" t="s">
        <v>713</v>
      </c>
      <c r="F397" s="81">
        <v>2305</v>
      </c>
      <c r="G397">
        <f t="shared" si="10"/>
        <v>0</v>
      </c>
      <c r="H397">
        <f t="shared" si="11"/>
        <v>0</v>
      </c>
    </row>
    <row r="398" spans="1:8" x14ac:dyDescent="0.15">
      <c r="A398" s="33" t="s">
        <v>339</v>
      </c>
      <c r="B398" s="33" t="s">
        <v>714</v>
      </c>
      <c r="C398" s="33">
        <v>42</v>
      </c>
      <c r="D398" s="33" t="s">
        <v>353</v>
      </c>
      <c r="E398" s="33" t="s">
        <v>714</v>
      </c>
      <c r="F398" s="81">
        <v>42</v>
      </c>
      <c r="G398">
        <f t="shared" si="10"/>
        <v>0</v>
      </c>
      <c r="H398">
        <f t="shared" si="11"/>
        <v>0</v>
      </c>
    </row>
    <row r="399" spans="1:8" x14ac:dyDescent="0.15">
      <c r="A399" s="33" t="s">
        <v>339</v>
      </c>
      <c r="B399" s="33" t="s">
        <v>715</v>
      </c>
      <c r="C399" s="33">
        <v>11</v>
      </c>
      <c r="D399" s="33" t="s">
        <v>353</v>
      </c>
      <c r="E399" s="33" t="s">
        <v>715</v>
      </c>
      <c r="F399" s="81">
        <v>11</v>
      </c>
      <c r="G399">
        <f t="shared" si="10"/>
        <v>0</v>
      </c>
      <c r="H399">
        <f t="shared" si="11"/>
        <v>0</v>
      </c>
    </row>
    <row r="400" spans="1:8" x14ac:dyDescent="0.15">
      <c r="A400" s="33" t="s">
        <v>339</v>
      </c>
      <c r="B400" s="33" t="s">
        <v>716</v>
      </c>
      <c r="C400" s="33">
        <v>76</v>
      </c>
      <c r="D400" s="33" t="s">
        <v>353</v>
      </c>
      <c r="E400" s="33" t="s">
        <v>716</v>
      </c>
      <c r="F400" s="81">
        <v>76</v>
      </c>
      <c r="G400">
        <f t="shared" si="10"/>
        <v>0</v>
      </c>
      <c r="H400">
        <f t="shared" si="11"/>
        <v>0</v>
      </c>
    </row>
    <row r="401" spans="1:8" x14ac:dyDescent="0.15">
      <c r="A401" s="33" t="s">
        <v>339</v>
      </c>
      <c r="B401" s="33" t="s">
        <v>717</v>
      </c>
      <c r="C401" s="33">
        <v>405</v>
      </c>
      <c r="D401" s="33" t="s">
        <v>353</v>
      </c>
      <c r="E401" s="33" t="s">
        <v>717</v>
      </c>
      <c r="F401" s="81">
        <v>405</v>
      </c>
      <c r="G401">
        <f t="shared" ref="G401:G464" si="12">C401-F401</f>
        <v>0</v>
      </c>
      <c r="H401">
        <f t="shared" ref="H401:H464" si="13">IF(OR(C401=0, F401=0), 0, C401-F401)</f>
        <v>0</v>
      </c>
    </row>
    <row r="402" spans="1:8" x14ac:dyDescent="0.15">
      <c r="A402" s="33" t="s">
        <v>339</v>
      </c>
      <c r="B402" s="33" t="s">
        <v>718</v>
      </c>
      <c r="C402" s="33">
        <v>2253</v>
      </c>
      <c r="D402" s="33" t="s">
        <v>353</v>
      </c>
      <c r="E402" s="33" t="s">
        <v>718</v>
      </c>
      <c r="F402" s="81">
        <v>2253</v>
      </c>
      <c r="G402">
        <f t="shared" si="12"/>
        <v>0</v>
      </c>
      <c r="H402">
        <f t="shared" si="13"/>
        <v>0</v>
      </c>
    </row>
    <row r="403" spans="1:8" x14ac:dyDescent="0.15">
      <c r="A403" s="33" t="s">
        <v>339</v>
      </c>
      <c r="B403" s="33" t="s">
        <v>719</v>
      </c>
      <c r="C403" s="33">
        <v>3</v>
      </c>
      <c r="D403" s="33" t="s">
        <v>353</v>
      </c>
      <c r="E403" s="33" t="s">
        <v>719</v>
      </c>
      <c r="F403" s="81">
        <v>3</v>
      </c>
      <c r="G403">
        <f t="shared" si="12"/>
        <v>0</v>
      </c>
      <c r="H403">
        <f t="shared" si="13"/>
        <v>0</v>
      </c>
    </row>
    <row r="404" spans="1:8" x14ac:dyDescent="0.15">
      <c r="A404" s="33" t="s">
        <v>339</v>
      </c>
      <c r="B404" s="33" t="s">
        <v>720</v>
      </c>
      <c r="C404" s="33">
        <v>592</v>
      </c>
      <c r="D404" s="33" t="s">
        <v>353</v>
      </c>
      <c r="E404" s="33" t="s">
        <v>720</v>
      </c>
      <c r="F404" s="81">
        <v>592</v>
      </c>
      <c r="G404">
        <f t="shared" si="12"/>
        <v>0</v>
      </c>
      <c r="H404">
        <f t="shared" si="13"/>
        <v>0</v>
      </c>
    </row>
    <row r="405" spans="1:8" x14ac:dyDescent="0.15">
      <c r="A405" s="33" t="s">
        <v>339</v>
      </c>
      <c r="B405" s="33" t="s">
        <v>721</v>
      </c>
      <c r="C405" s="33">
        <v>15</v>
      </c>
      <c r="D405" s="33" t="s">
        <v>353</v>
      </c>
      <c r="E405" s="33" t="s">
        <v>721</v>
      </c>
      <c r="F405" s="81">
        <v>15</v>
      </c>
      <c r="G405">
        <f t="shared" si="12"/>
        <v>0</v>
      </c>
      <c r="H405">
        <f t="shared" si="13"/>
        <v>0</v>
      </c>
    </row>
    <row r="406" spans="1:8" x14ac:dyDescent="0.15">
      <c r="A406" s="33" t="s">
        <v>339</v>
      </c>
      <c r="B406" s="33" t="s">
        <v>722</v>
      </c>
      <c r="C406" s="33">
        <v>3098</v>
      </c>
      <c r="D406" s="33" t="s">
        <v>353</v>
      </c>
      <c r="E406" s="33" t="s">
        <v>722</v>
      </c>
      <c r="F406" s="81">
        <v>3098</v>
      </c>
      <c r="G406">
        <f t="shared" si="12"/>
        <v>0</v>
      </c>
      <c r="H406">
        <f t="shared" si="13"/>
        <v>0</v>
      </c>
    </row>
    <row r="407" spans="1:8" x14ac:dyDescent="0.15">
      <c r="A407" s="33" t="s">
        <v>339</v>
      </c>
      <c r="B407" s="33" t="s">
        <v>723</v>
      </c>
      <c r="C407" s="33">
        <v>7107</v>
      </c>
      <c r="D407" s="33" t="s">
        <v>353</v>
      </c>
      <c r="E407" s="33" t="s">
        <v>723</v>
      </c>
      <c r="F407" s="81">
        <v>7107</v>
      </c>
      <c r="G407">
        <f t="shared" si="12"/>
        <v>0</v>
      </c>
      <c r="H407">
        <f t="shared" si="13"/>
        <v>0</v>
      </c>
    </row>
    <row r="408" spans="1:8" x14ac:dyDescent="0.15">
      <c r="A408" s="33" t="s">
        <v>339</v>
      </c>
      <c r="B408" s="33" t="s">
        <v>724</v>
      </c>
      <c r="C408" s="33">
        <v>31008</v>
      </c>
      <c r="D408" s="33" t="s">
        <v>353</v>
      </c>
      <c r="E408" s="33" t="s">
        <v>724</v>
      </c>
      <c r="F408" s="81">
        <v>31008</v>
      </c>
      <c r="G408">
        <f t="shared" si="12"/>
        <v>0</v>
      </c>
      <c r="H408">
        <f t="shared" si="13"/>
        <v>0</v>
      </c>
    </row>
    <row r="409" spans="1:8" x14ac:dyDescent="0.15">
      <c r="A409" s="33" t="s">
        <v>339</v>
      </c>
      <c r="B409" s="33" t="s">
        <v>725</v>
      </c>
      <c r="C409" s="33">
        <v>425227</v>
      </c>
      <c r="D409" s="33" t="s">
        <v>353</v>
      </c>
      <c r="E409" s="33" t="s">
        <v>725</v>
      </c>
      <c r="F409" s="81">
        <v>425227</v>
      </c>
      <c r="G409">
        <f t="shared" si="12"/>
        <v>0</v>
      </c>
      <c r="H409">
        <f t="shared" si="13"/>
        <v>0</v>
      </c>
    </row>
    <row r="410" spans="1:8" x14ac:dyDescent="0.15">
      <c r="A410" s="33" t="s">
        <v>339</v>
      </c>
      <c r="B410" s="33" t="s">
        <v>726</v>
      </c>
      <c r="C410" s="33">
        <v>15596</v>
      </c>
      <c r="D410" s="33" t="s">
        <v>353</v>
      </c>
      <c r="E410" s="33" t="s">
        <v>726</v>
      </c>
      <c r="F410" s="81">
        <v>15596</v>
      </c>
      <c r="G410">
        <f t="shared" si="12"/>
        <v>0</v>
      </c>
      <c r="H410">
        <f t="shared" si="13"/>
        <v>0</v>
      </c>
    </row>
    <row r="411" spans="1:8" x14ac:dyDescent="0.15">
      <c r="A411" s="33" t="s">
        <v>339</v>
      </c>
      <c r="B411" s="33" t="s">
        <v>727</v>
      </c>
      <c r="C411" s="33">
        <v>1129</v>
      </c>
      <c r="D411" s="33" t="s">
        <v>353</v>
      </c>
      <c r="E411" s="33" t="s">
        <v>727</v>
      </c>
      <c r="F411" s="81">
        <v>1129</v>
      </c>
      <c r="G411">
        <f t="shared" si="12"/>
        <v>0</v>
      </c>
      <c r="H411">
        <f t="shared" si="13"/>
        <v>0</v>
      </c>
    </row>
    <row r="412" spans="1:8" x14ac:dyDescent="0.15">
      <c r="A412" s="33" t="s">
        <v>339</v>
      </c>
      <c r="B412" s="33" t="s">
        <v>728</v>
      </c>
      <c r="C412" s="33">
        <v>62175</v>
      </c>
      <c r="D412" s="33" t="s">
        <v>353</v>
      </c>
      <c r="E412" s="33" t="s">
        <v>728</v>
      </c>
      <c r="F412" s="81">
        <v>62175</v>
      </c>
      <c r="G412">
        <f t="shared" si="12"/>
        <v>0</v>
      </c>
      <c r="H412">
        <f t="shared" si="13"/>
        <v>0</v>
      </c>
    </row>
    <row r="413" spans="1:8" x14ac:dyDescent="0.15">
      <c r="A413" s="33" t="s">
        <v>339</v>
      </c>
      <c r="B413" s="33" t="s">
        <v>729</v>
      </c>
      <c r="C413" s="33">
        <v>392846</v>
      </c>
      <c r="D413" s="33" t="s">
        <v>353</v>
      </c>
      <c r="E413" s="33" t="s">
        <v>729</v>
      </c>
      <c r="F413" s="81">
        <v>392846</v>
      </c>
      <c r="G413">
        <f t="shared" si="12"/>
        <v>0</v>
      </c>
      <c r="H413">
        <f t="shared" si="13"/>
        <v>0</v>
      </c>
    </row>
    <row r="414" spans="1:8" x14ac:dyDescent="0.15">
      <c r="A414" s="33" t="s">
        <v>339</v>
      </c>
      <c r="B414" s="33" t="s">
        <v>730</v>
      </c>
      <c r="C414" s="33">
        <v>133</v>
      </c>
      <c r="D414" s="33" t="s">
        <v>353</v>
      </c>
      <c r="E414" s="33" t="s">
        <v>730</v>
      </c>
      <c r="F414" s="81">
        <v>133</v>
      </c>
      <c r="G414">
        <f t="shared" si="12"/>
        <v>0</v>
      </c>
      <c r="H414">
        <f t="shared" si="13"/>
        <v>0</v>
      </c>
    </row>
    <row r="415" spans="1:8" x14ac:dyDescent="0.15">
      <c r="A415" s="33" t="s">
        <v>339</v>
      </c>
      <c r="B415" s="33" t="s">
        <v>731</v>
      </c>
      <c r="C415" s="33">
        <v>21322000</v>
      </c>
      <c r="D415" s="33" t="s">
        <v>353</v>
      </c>
      <c r="E415" s="33" t="s">
        <v>731</v>
      </c>
      <c r="F415" s="81">
        <v>21322000</v>
      </c>
      <c r="G415">
        <f t="shared" si="12"/>
        <v>0</v>
      </c>
      <c r="H415">
        <f t="shared" si="13"/>
        <v>0</v>
      </c>
    </row>
    <row r="416" spans="1:8" x14ac:dyDescent="0.15">
      <c r="A416" s="33" t="s">
        <v>339</v>
      </c>
      <c r="B416" s="33" t="s">
        <v>732</v>
      </c>
      <c r="C416" s="33">
        <v>4413482</v>
      </c>
      <c r="D416" s="33" t="s">
        <v>353</v>
      </c>
      <c r="E416" s="33" t="s">
        <v>732</v>
      </c>
      <c r="F416" s="81">
        <v>4413482</v>
      </c>
      <c r="G416">
        <f t="shared" si="12"/>
        <v>0</v>
      </c>
      <c r="H416">
        <f t="shared" si="13"/>
        <v>0</v>
      </c>
    </row>
    <row r="417" spans="1:8" x14ac:dyDescent="0.15">
      <c r="A417" s="33" t="s">
        <v>339</v>
      </c>
      <c r="B417" s="33" t="s">
        <v>733</v>
      </c>
      <c r="C417" s="33">
        <v>1449871</v>
      </c>
      <c r="D417" s="33" t="s">
        <v>353</v>
      </c>
      <c r="E417" s="33" t="s">
        <v>733</v>
      </c>
      <c r="F417" s="81">
        <v>1449871</v>
      </c>
      <c r="G417">
        <f t="shared" si="12"/>
        <v>0</v>
      </c>
      <c r="H417">
        <f t="shared" si="13"/>
        <v>0</v>
      </c>
    </row>
    <row r="418" spans="1:8" x14ac:dyDescent="0.15">
      <c r="A418" s="33" t="s">
        <v>339</v>
      </c>
      <c r="B418" s="33" t="s">
        <v>734</v>
      </c>
      <c r="C418" s="33">
        <v>2388</v>
      </c>
      <c r="D418" s="33" t="s">
        <v>353</v>
      </c>
      <c r="E418" s="33" t="s">
        <v>734</v>
      </c>
      <c r="F418" s="81">
        <v>2388</v>
      </c>
      <c r="G418">
        <f t="shared" si="12"/>
        <v>0</v>
      </c>
      <c r="H418">
        <f t="shared" si="13"/>
        <v>0</v>
      </c>
    </row>
    <row r="419" spans="1:8" x14ac:dyDescent="0.15">
      <c r="A419" s="33" t="s">
        <v>339</v>
      </c>
      <c r="B419" s="33" t="s">
        <v>735</v>
      </c>
      <c r="C419" s="33">
        <v>4189</v>
      </c>
      <c r="D419" s="33" t="s">
        <v>353</v>
      </c>
      <c r="E419" s="33" t="s">
        <v>735</v>
      </c>
      <c r="F419" s="81">
        <v>4189</v>
      </c>
      <c r="G419">
        <f t="shared" si="12"/>
        <v>0</v>
      </c>
      <c r="H419">
        <f t="shared" si="13"/>
        <v>0</v>
      </c>
    </row>
    <row r="420" spans="1:8" x14ac:dyDescent="0.15">
      <c r="A420" s="33" t="s">
        <v>339</v>
      </c>
      <c r="B420" s="33" t="s">
        <v>736</v>
      </c>
      <c r="C420" s="33">
        <v>96974</v>
      </c>
      <c r="D420" s="33" t="s">
        <v>353</v>
      </c>
      <c r="E420" s="33" t="s">
        <v>736</v>
      </c>
      <c r="F420" s="81">
        <v>96974</v>
      </c>
      <c r="G420">
        <f t="shared" si="12"/>
        <v>0</v>
      </c>
      <c r="H420">
        <f t="shared" si="13"/>
        <v>0</v>
      </c>
    </row>
    <row r="421" spans="1:8" x14ac:dyDescent="0.15">
      <c r="A421" s="33" t="s">
        <v>339</v>
      </c>
      <c r="B421" s="33" t="s">
        <v>737</v>
      </c>
      <c r="C421" s="33">
        <v>173</v>
      </c>
      <c r="D421" s="33" t="s">
        <v>353</v>
      </c>
      <c r="E421" s="33" t="s">
        <v>737</v>
      </c>
      <c r="F421" s="81">
        <v>173</v>
      </c>
      <c r="G421">
        <f t="shared" si="12"/>
        <v>0</v>
      </c>
      <c r="H421">
        <f t="shared" si="13"/>
        <v>0</v>
      </c>
    </row>
    <row r="422" spans="1:8" x14ac:dyDescent="0.15">
      <c r="A422" s="33" t="s">
        <v>339</v>
      </c>
      <c r="B422" s="33" t="s">
        <v>738</v>
      </c>
      <c r="C422" s="33">
        <v>56</v>
      </c>
      <c r="D422" s="33" t="s">
        <v>353</v>
      </c>
      <c r="E422" s="33" t="s">
        <v>738</v>
      </c>
      <c r="F422" s="81">
        <v>56</v>
      </c>
      <c r="G422">
        <f t="shared" si="12"/>
        <v>0</v>
      </c>
      <c r="H422">
        <f t="shared" si="13"/>
        <v>0</v>
      </c>
    </row>
    <row r="423" spans="1:8" x14ac:dyDescent="0.15">
      <c r="A423" s="33" t="s">
        <v>339</v>
      </c>
      <c r="B423" s="33" t="s">
        <v>739</v>
      </c>
      <c r="C423" s="33">
        <v>415</v>
      </c>
      <c r="D423" s="33" t="s">
        <v>353</v>
      </c>
      <c r="E423" s="33" t="s">
        <v>739</v>
      </c>
      <c r="F423" s="81">
        <v>415</v>
      </c>
      <c r="G423">
        <f t="shared" si="12"/>
        <v>0</v>
      </c>
      <c r="H423">
        <f t="shared" si="13"/>
        <v>0</v>
      </c>
    </row>
    <row r="424" spans="1:8" x14ac:dyDescent="0.15">
      <c r="A424" s="33" t="s">
        <v>339</v>
      </c>
      <c r="B424" s="33" t="s">
        <v>740</v>
      </c>
      <c r="C424" s="33">
        <v>30</v>
      </c>
      <c r="D424" s="33" t="s">
        <v>353</v>
      </c>
      <c r="E424" s="33" t="s">
        <v>740</v>
      </c>
      <c r="F424" s="81">
        <v>30</v>
      </c>
      <c r="G424">
        <f t="shared" si="12"/>
        <v>0</v>
      </c>
      <c r="H424">
        <f t="shared" si="13"/>
        <v>0</v>
      </c>
    </row>
    <row r="425" spans="1:8" x14ac:dyDescent="0.15">
      <c r="A425" s="33" t="s">
        <v>339</v>
      </c>
      <c r="B425" s="33" t="s">
        <v>741</v>
      </c>
      <c r="C425" s="33">
        <v>169</v>
      </c>
      <c r="D425" s="33" t="s">
        <v>353</v>
      </c>
      <c r="E425" s="33" t="s">
        <v>741</v>
      </c>
      <c r="F425" s="81">
        <v>169</v>
      </c>
      <c r="G425">
        <f t="shared" si="12"/>
        <v>0</v>
      </c>
      <c r="H425">
        <f t="shared" si="13"/>
        <v>0</v>
      </c>
    </row>
    <row r="426" spans="1:8" x14ac:dyDescent="0.15">
      <c r="A426" s="33" t="s">
        <v>339</v>
      </c>
      <c r="B426" s="33" t="s">
        <v>742</v>
      </c>
      <c r="C426" s="33">
        <v>328</v>
      </c>
      <c r="D426" s="33" t="s">
        <v>353</v>
      </c>
      <c r="E426" s="33" t="s">
        <v>742</v>
      </c>
      <c r="F426" s="81">
        <v>328</v>
      </c>
      <c r="G426">
        <f t="shared" si="12"/>
        <v>0</v>
      </c>
      <c r="H426">
        <f t="shared" si="13"/>
        <v>0</v>
      </c>
    </row>
    <row r="427" spans="1:8" x14ac:dyDescent="0.15">
      <c r="A427" s="33" t="s">
        <v>339</v>
      </c>
      <c r="B427" s="33" t="s">
        <v>743</v>
      </c>
      <c r="C427" s="33">
        <v>21</v>
      </c>
      <c r="D427" s="33" t="s">
        <v>353</v>
      </c>
      <c r="E427" s="33" t="s">
        <v>743</v>
      </c>
      <c r="F427" s="81">
        <v>21</v>
      </c>
      <c r="G427">
        <f t="shared" si="12"/>
        <v>0</v>
      </c>
      <c r="H427">
        <f t="shared" si="13"/>
        <v>0</v>
      </c>
    </row>
    <row r="428" spans="1:8" x14ac:dyDescent="0.15">
      <c r="A428" s="33" t="s">
        <v>339</v>
      </c>
      <c r="B428" s="33" t="s">
        <v>745</v>
      </c>
      <c r="C428" s="33">
        <v>623</v>
      </c>
      <c r="D428" s="33" t="s">
        <v>353</v>
      </c>
      <c r="E428" s="33" t="s">
        <v>745</v>
      </c>
      <c r="F428" s="81">
        <v>623</v>
      </c>
      <c r="G428">
        <f t="shared" si="12"/>
        <v>0</v>
      </c>
      <c r="H428">
        <f t="shared" si="13"/>
        <v>0</v>
      </c>
    </row>
    <row r="429" spans="1:8" x14ac:dyDescent="0.15">
      <c r="A429" s="33" t="s">
        <v>339</v>
      </c>
      <c r="B429" s="33" t="s">
        <v>746</v>
      </c>
      <c r="C429" s="33">
        <v>2</v>
      </c>
      <c r="D429" s="33" t="s">
        <v>353</v>
      </c>
      <c r="E429" s="33" t="s">
        <v>746</v>
      </c>
      <c r="F429" s="81">
        <v>2</v>
      </c>
      <c r="G429">
        <f t="shared" si="12"/>
        <v>0</v>
      </c>
      <c r="H429">
        <f t="shared" si="13"/>
        <v>0</v>
      </c>
    </row>
    <row r="430" spans="1:8" x14ac:dyDescent="0.15">
      <c r="A430" s="33" t="s">
        <v>339</v>
      </c>
      <c r="B430" s="33" t="s">
        <v>747</v>
      </c>
      <c r="C430" s="33">
        <v>252</v>
      </c>
      <c r="D430" s="33" t="s">
        <v>353</v>
      </c>
      <c r="E430" s="33" t="s">
        <v>747</v>
      </c>
      <c r="F430" s="81">
        <v>252</v>
      </c>
      <c r="G430">
        <f t="shared" si="12"/>
        <v>0</v>
      </c>
      <c r="H430">
        <f t="shared" si="13"/>
        <v>0</v>
      </c>
    </row>
    <row r="431" spans="1:8" x14ac:dyDescent="0.15">
      <c r="A431" s="33" t="s">
        <v>339</v>
      </c>
      <c r="B431" s="33" t="s">
        <v>748</v>
      </c>
      <c r="C431" s="33">
        <v>32</v>
      </c>
      <c r="D431" s="33" t="s">
        <v>353</v>
      </c>
      <c r="E431" s="33" t="s">
        <v>748</v>
      </c>
      <c r="F431" s="81">
        <v>32</v>
      </c>
      <c r="G431">
        <f t="shared" si="12"/>
        <v>0</v>
      </c>
      <c r="H431">
        <f t="shared" si="13"/>
        <v>0</v>
      </c>
    </row>
    <row r="432" spans="1:8" x14ac:dyDescent="0.15">
      <c r="A432" s="33" t="s">
        <v>339</v>
      </c>
      <c r="B432" s="33" t="s">
        <v>749</v>
      </c>
      <c r="C432" s="33">
        <v>242110</v>
      </c>
      <c r="D432" s="33" t="s">
        <v>353</v>
      </c>
      <c r="E432" s="33" t="s">
        <v>749</v>
      </c>
      <c r="F432" s="81">
        <v>242110</v>
      </c>
      <c r="G432">
        <f t="shared" si="12"/>
        <v>0</v>
      </c>
      <c r="H432">
        <f t="shared" si="13"/>
        <v>0</v>
      </c>
    </row>
    <row r="433" spans="1:8" x14ac:dyDescent="0.15">
      <c r="A433" s="33" t="s">
        <v>339</v>
      </c>
      <c r="B433" s="33" t="s">
        <v>750</v>
      </c>
      <c r="C433" s="33">
        <v>242110</v>
      </c>
      <c r="D433" s="33" t="s">
        <v>353</v>
      </c>
      <c r="E433" s="33" t="s">
        <v>750</v>
      </c>
      <c r="F433" s="81">
        <v>242110</v>
      </c>
      <c r="G433">
        <f t="shared" si="12"/>
        <v>0</v>
      </c>
      <c r="H433">
        <f t="shared" si="13"/>
        <v>0</v>
      </c>
    </row>
    <row r="434" spans="1:8" x14ac:dyDescent="0.15">
      <c r="A434" s="33" t="s">
        <v>339</v>
      </c>
      <c r="B434" s="33" t="s">
        <v>751</v>
      </c>
      <c r="C434" s="33">
        <v>2</v>
      </c>
      <c r="D434" s="33" t="s">
        <v>353</v>
      </c>
      <c r="E434" s="33" t="s">
        <v>751</v>
      </c>
      <c r="F434" s="81">
        <v>2</v>
      </c>
      <c r="G434">
        <f t="shared" si="12"/>
        <v>0</v>
      </c>
      <c r="H434">
        <f t="shared" si="13"/>
        <v>0</v>
      </c>
    </row>
    <row r="435" spans="1:8" x14ac:dyDescent="0.15">
      <c r="A435" s="33" t="s">
        <v>339</v>
      </c>
      <c r="B435" s="33" t="s">
        <v>752</v>
      </c>
      <c r="C435" s="33">
        <v>2</v>
      </c>
      <c r="D435" s="33" t="s">
        <v>353</v>
      </c>
      <c r="E435" s="33" t="s">
        <v>752</v>
      </c>
      <c r="F435" s="81">
        <v>2</v>
      </c>
      <c r="G435">
        <f t="shared" si="12"/>
        <v>0</v>
      </c>
      <c r="H435">
        <f t="shared" si="13"/>
        <v>0</v>
      </c>
    </row>
    <row r="436" spans="1:8" x14ac:dyDescent="0.15">
      <c r="A436" s="33" t="s">
        <v>339</v>
      </c>
      <c r="B436" s="33" t="s">
        <v>753</v>
      </c>
      <c r="C436" s="33">
        <v>59470</v>
      </c>
      <c r="D436" s="33" t="s">
        <v>353</v>
      </c>
      <c r="E436" s="33" t="s">
        <v>753</v>
      </c>
      <c r="F436" s="81">
        <v>59470</v>
      </c>
      <c r="G436">
        <f t="shared" si="12"/>
        <v>0</v>
      </c>
      <c r="H436">
        <f t="shared" si="13"/>
        <v>0</v>
      </c>
    </row>
    <row r="437" spans="1:8" x14ac:dyDescent="0.15">
      <c r="A437" s="33" t="s">
        <v>339</v>
      </c>
      <c r="B437" s="33" t="s">
        <v>754</v>
      </c>
      <c r="C437" s="33">
        <v>257651</v>
      </c>
      <c r="D437" s="33" t="s">
        <v>353</v>
      </c>
      <c r="E437" s="33" t="s">
        <v>754</v>
      </c>
      <c r="F437" s="81">
        <v>257651</v>
      </c>
      <c r="G437">
        <f t="shared" si="12"/>
        <v>0</v>
      </c>
      <c r="H437">
        <f t="shared" si="13"/>
        <v>0</v>
      </c>
    </row>
    <row r="438" spans="1:8" x14ac:dyDescent="0.15">
      <c r="A438" s="33" t="s">
        <v>339</v>
      </c>
      <c r="B438" s="33" t="s">
        <v>755</v>
      </c>
      <c r="C438" s="33">
        <v>59339</v>
      </c>
      <c r="D438" s="33" t="s">
        <v>353</v>
      </c>
      <c r="E438" s="33" t="s">
        <v>755</v>
      </c>
      <c r="F438" s="81">
        <v>59339</v>
      </c>
      <c r="G438">
        <f t="shared" si="12"/>
        <v>0</v>
      </c>
      <c r="H438">
        <f t="shared" si="13"/>
        <v>0</v>
      </c>
    </row>
    <row r="439" spans="1:8" x14ac:dyDescent="0.15">
      <c r="A439" s="33" t="s">
        <v>339</v>
      </c>
      <c r="B439" s="33" t="s">
        <v>756</v>
      </c>
      <c r="C439" s="33">
        <v>1</v>
      </c>
      <c r="D439" s="33" t="s">
        <v>353</v>
      </c>
      <c r="E439" s="33" t="s">
        <v>756</v>
      </c>
      <c r="F439" s="81">
        <v>1</v>
      </c>
      <c r="G439">
        <f t="shared" si="12"/>
        <v>0</v>
      </c>
      <c r="H439">
        <f t="shared" si="13"/>
        <v>0</v>
      </c>
    </row>
    <row r="440" spans="1:8" x14ac:dyDescent="0.15">
      <c r="A440" s="33" t="s">
        <v>339</v>
      </c>
      <c r="B440" s="33" t="s">
        <v>757</v>
      </c>
      <c r="C440" s="33">
        <v>4</v>
      </c>
      <c r="D440" s="33" t="s">
        <v>353</v>
      </c>
      <c r="E440" s="33" t="s">
        <v>757</v>
      </c>
      <c r="F440" s="81">
        <v>4</v>
      </c>
      <c r="G440">
        <f t="shared" si="12"/>
        <v>0</v>
      </c>
      <c r="H440">
        <f t="shared" si="13"/>
        <v>0</v>
      </c>
    </row>
    <row r="441" spans="1:8" x14ac:dyDescent="0.15">
      <c r="A441" s="33" t="s">
        <v>339</v>
      </c>
      <c r="B441" s="33" t="s">
        <v>758</v>
      </c>
      <c r="C441" s="33">
        <v>10837</v>
      </c>
      <c r="D441" s="33" t="s">
        <v>353</v>
      </c>
      <c r="E441" s="33" t="s">
        <v>758</v>
      </c>
      <c r="F441" s="81">
        <v>10837</v>
      </c>
      <c r="G441">
        <f t="shared" si="12"/>
        <v>0</v>
      </c>
      <c r="H441">
        <f t="shared" si="13"/>
        <v>0</v>
      </c>
    </row>
    <row r="442" spans="1:8" x14ac:dyDescent="0.15">
      <c r="A442" s="33" t="s">
        <v>339</v>
      </c>
      <c r="B442" s="33" t="s">
        <v>759</v>
      </c>
      <c r="C442" s="33">
        <v>18471</v>
      </c>
      <c r="D442" s="33" t="s">
        <v>353</v>
      </c>
      <c r="E442" s="33" t="s">
        <v>759</v>
      </c>
      <c r="F442" s="81">
        <v>18471</v>
      </c>
      <c r="G442">
        <f t="shared" si="12"/>
        <v>0</v>
      </c>
      <c r="H442">
        <f t="shared" si="13"/>
        <v>0</v>
      </c>
    </row>
    <row r="443" spans="1:8" x14ac:dyDescent="0.15">
      <c r="A443" s="33" t="s">
        <v>339</v>
      </c>
      <c r="B443" s="33" t="s">
        <v>760</v>
      </c>
      <c r="C443" s="33">
        <v>76</v>
      </c>
      <c r="D443" s="33" t="s">
        <v>353</v>
      </c>
      <c r="E443" s="33" t="s">
        <v>760</v>
      </c>
      <c r="F443" s="81">
        <v>76</v>
      </c>
      <c r="G443">
        <f t="shared" si="12"/>
        <v>0</v>
      </c>
      <c r="H443">
        <f t="shared" si="13"/>
        <v>0</v>
      </c>
    </row>
    <row r="444" spans="1:8" x14ac:dyDescent="0.15">
      <c r="A444" s="33" t="s">
        <v>339</v>
      </c>
      <c r="B444" s="33" t="s">
        <v>761</v>
      </c>
      <c r="C444" s="33">
        <v>82</v>
      </c>
      <c r="D444" s="33" t="s">
        <v>353</v>
      </c>
      <c r="E444" s="33" t="s">
        <v>761</v>
      </c>
      <c r="F444" s="81">
        <v>82</v>
      </c>
      <c r="G444">
        <f t="shared" si="12"/>
        <v>0</v>
      </c>
      <c r="H444">
        <f t="shared" si="13"/>
        <v>0</v>
      </c>
    </row>
    <row r="445" spans="1:8" x14ac:dyDescent="0.15">
      <c r="A445" s="33" t="s">
        <v>339</v>
      </c>
      <c r="B445" s="33" t="s">
        <v>762</v>
      </c>
      <c r="C445" s="33">
        <v>1</v>
      </c>
      <c r="D445" s="33" t="s">
        <v>353</v>
      </c>
      <c r="E445" s="33" t="s">
        <v>762</v>
      </c>
      <c r="F445" s="81">
        <v>1</v>
      </c>
      <c r="G445">
        <f t="shared" si="12"/>
        <v>0</v>
      </c>
      <c r="H445">
        <f t="shared" si="13"/>
        <v>0</v>
      </c>
    </row>
    <row r="446" spans="1:8" x14ac:dyDescent="0.15">
      <c r="A446" s="33" t="s">
        <v>339</v>
      </c>
      <c r="B446" s="33" t="s">
        <v>763</v>
      </c>
      <c r="C446" s="33">
        <v>42924</v>
      </c>
      <c r="D446" s="33" t="s">
        <v>353</v>
      </c>
      <c r="E446" s="33" t="s">
        <v>763</v>
      </c>
      <c r="F446" s="81">
        <v>42924</v>
      </c>
      <c r="G446">
        <f t="shared" si="12"/>
        <v>0</v>
      </c>
      <c r="H446">
        <f t="shared" si="13"/>
        <v>0</v>
      </c>
    </row>
    <row r="447" spans="1:8" x14ac:dyDescent="0.15">
      <c r="A447" s="33" t="s">
        <v>339</v>
      </c>
      <c r="B447" s="33" t="s">
        <v>764</v>
      </c>
      <c r="C447" s="33">
        <v>5</v>
      </c>
      <c r="D447" s="33" t="s">
        <v>353</v>
      </c>
      <c r="E447" s="33" t="s">
        <v>764</v>
      </c>
      <c r="F447" s="81">
        <v>5</v>
      </c>
      <c r="G447">
        <f t="shared" si="12"/>
        <v>0</v>
      </c>
      <c r="H447">
        <f t="shared" si="13"/>
        <v>0</v>
      </c>
    </row>
    <row r="448" spans="1:8" x14ac:dyDescent="0.15">
      <c r="A448" s="33" t="s">
        <v>339</v>
      </c>
      <c r="B448" s="33" t="s">
        <v>765</v>
      </c>
      <c r="C448" s="33">
        <v>17529</v>
      </c>
      <c r="D448" s="33" t="s">
        <v>353</v>
      </c>
      <c r="E448" s="33" t="s">
        <v>765</v>
      </c>
      <c r="F448" s="81">
        <v>17529</v>
      </c>
      <c r="G448">
        <f t="shared" si="12"/>
        <v>0</v>
      </c>
      <c r="H448">
        <f t="shared" si="13"/>
        <v>0</v>
      </c>
    </row>
    <row r="449" spans="1:8" x14ac:dyDescent="0.15">
      <c r="A449" s="33" t="s">
        <v>339</v>
      </c>
      <c r="B449" s="33" t="s">
        <v>766</v>
      </c>
      <c r="C449" s="33">
        <v>25</v>
      </c>
      <c r="D449" s="33" t="s">
        <v>353</v>
      </c>
      <c r="E449" s="33" t="s">
        <v>766</v>
      </c>
      <c r="F449" s="81">
        <v>25</v>
      </c>
      <c r="G449">
        <f t="shared" si="12"/>
        <v>0</v>
      </c>
      <c r="H449">
        <f t="shared" si="13"/>
        <v>0</v>
      </c>
    </row>
    <row r="450" spans="1:8" x14ac:dyDescent="0.15">
      <c r="A450" s="33" t="s">
        <v>339</v>
      </c>
      <c r="B450" s="33" t="s">
        <v>767</v>
      </c>
      <c r="C450" s="33">
        <v>81</v>
      </c>
      <c r="D450" s="33" t="s">
        <v>353</v>
      </c>
      <c r="E450" s="33" t="s">
        <v>767</v>
      </c>
      <c r="F450" s="81">
        <v>81</v>
      </c>
      <c r="G450">
        <f t="shared" si="12"/>
        <v>0</v>
      </c>
      <c r="H450">
        <f t="shared" si="13"/>
        <v>0</v>
      </c>
    </row>
    <row r="451" spans="1:8" x14ac:dyDescent="0.15">
      <c r="A451" s="33" t="s">
        <v>339</v>
      </c>
      <c r="B451" s="33" t="s">
        <v>768</v>
      </c>
      <c r="C451" s="33">
        <v>78</v>
      </c>
      <c r="D451" s="33" t="s">
        <v>353</v>
      </c>
      <c r="E451" s="33" t="s">
        <v>768</v>
      </c>
      <c r="F451" s="81">
        <v>78</v>
      </c>
      <c r="G451">
        <f t="shared" si="12"/>
        <v>0</v>
      </c>
      <c r="H451">
        <f t="shared" si="13"/>
        <v>0</v>
      </c>
    </row>
    <row r="452" spans="1:8" x14ac:dyDescent="0.15">
      <c r="A452" s="33" t="s">
        <v>339</v>
      </c>
      <c r="B452" s="33" t="s">
        <v>769</v>
      </c>
      <c r="C452" s="33">
        <v>2</v>
      </c>
      <c r="D452" s="33" t="s">
        <v>353</v>
      </c>
      <c r="E452" s="33" t="s">
        <v>769</v>
      </c>
      <c r="F452" s="81">
        <v>2</v>
      </c>
      <c r="G452">
        <f t="shared" si="12"/>
        <v>0</v>
      </c>
      <c r="H452">
        <f t="shared" si="13"/>
        <v>0</v>
      </c>
    </row>
    <row r="453" spans="1:8" x14ac:dyDescent="0.15">
      <c r="A453" s="33" t="s">
        <v>339</v>
      </c>
      <c r="B453" s="33" t="s">
        <v>770</v>
      </c>
      <c r="C453" s="33">
        <v>41120</v>
      </c>
      <c r="D453" s="33" t="s">
        <v>353</v>
      </c>
      <c r="E453" s="33" t="s">
        <v>770</v>
      </c>
      <c r="F453" s="81">
        <v>41120</v>
      </c>
      <c r="G453">
        <f t="shared" si="12"/>
        <v>0</v>
      </c>
      <c r="H453">
        <f t="shared" si="13"/>
        <v>0</v>
      </c>
    </row>
    <row r="454" spans="1:8" x14ac:dyDescent="0.15">
      <c r="A454" s="33" t="s">
        <v>339</v>
      </c>
      <c r="B454" s="33" t="s">
        <v>771</v>
      </c>
      <c r="C454" s="33">
        <v>395925</v>
      </c>
      <c r="D454" s="33" t="s">
        <v>353</v>
      </c>
      <c r="E454" s="33" t="s">
        <v>771</v>
      </c>
      <c r="F454" s="81">
        <v>395925</v>
      </c>
      <c r="G454">
        <f t="shared" si="12"/>
        <v>0</v>
      </c>
      <c r="H454">
        <f t="shared" si="13"/>
        <v>0</v>
      </c>
    </row>
    <row r="455" spans="1:8" x14ac:dyDescent="0.15">
      <c r="A455" s="33" t="s">
        <v>339</v>
      </c>
      <c r="B455" s="33" t="s">
        <v>772</v>
      </c>
      <c r="C455" s="33">
        <v>5</v>
      </c>
      <c r="D455" s="33" t="s">
        <v>353</v>
      </c>
      <c r="E455" s="33" t="s">
        <v>772</v>
      </c>
      <c r="F455" s="81">
        <v>5</v>
      </c>
      <c r="G455">
        <f t="shared" si="12"/>
        <v>0</v>
      </c>
      <c r="H455">
        <f t="shared" si="13"/>
        <v>0</v>
      </c>
    </row>
    <row r="456" spans="1:8" x14ac:dyDescent="0.15">
      <c r="A456" s="33" t="s">
        <v>339</v>
      </c>
      <c r="B456" s="33" t="s">
        <v>773</v>
      </c>
      <c r="C456" s="33">
        <v>2</v>
      </c>
      <c r="D456" s="33" t="s">
        <v>353</v>
      </c>
      <c r="E456" s="33" t="s">
        <v>773</v>
      </c>
      <c r="F456" s="81">
        <v>2</v>
      </c>
      <c r="G456">
        <f t="shared" si="12"/>
        <v>0</v>
      </c>
      <c r="H456">
        <f t="shared" si="13"/>
        <v>0</v>
      </c>
    </row>
    <row r="457" spans="1:8" x14ac:dyDescent="0.15">
      <c r="A457" s="33" t="s">
        <v>339</v>
      </c>
      <c r="B457" s="33" t="s">
        <v>774</v>
      </c>
      <c r="C457" s="33">
        <v>2</v>
      </c>
      <c r="D457" s="33" t="s">
        <v>353</v>
      </c>
      <c r="E457" s="33" t="s">
        <v>774</v>
      </c>
      <c r="F457" s="81">
        <v>2</v>
      </c>
      <c r="G457">
        <f t="shared" si="12"/>
        <v>0</v>
      </c>
      <c r="H457">
        <f t="shared" si="13"/>
        <v>0</v>
      </c>
    </row>
    <row r="458" spans="1:8" x14ac:dyDescent="0.15">
      <c r="A458" s="33" t="s">
        <v>339</v>
      </c>
      <c r="B458" s="33" t="s">
        <v>775</v>
      </c>
      <c r="C458" s="33">
        <v>2</v>
      </c>
      <c r="D458" s="33" t="s">
        <v>353</v>
      </c>
      <c r="E458" s="33" t="s">
        <v>775</v>
      </c>
      <c r="F458" s="81">
        <v>2</v>
      </c>
      <c r="G458">
        <f t="shared" si="12"/>
        <v>0</v>
      </c>
      <c r="H458">
        <f t="shared" si="13"/>
        <v>0</v>
      </c>
    </row>
    <row r="459" spans="1:8" x14ac:dyDescent="0.15">
      <c r="A459" s="33" t="s">
        <v>339</v>
      </c>
      <c r="B459" s="33" t="s">
        <v>776</v>
      </c>
      <c r="C459" s="33">
        <v>82</v>
      </c>
      <c r="D459" s="33" t="s">
        <v>353</v>
      </c>
      <c r="E459" s="33" t="s">
        <v>776</v>
      </c>
      <c r="F459" s="81">
        <v>82</v>
      </c>
      <c r="G459">
        <f t="shared" si="12"/>
        <v>0</v>
      </c>
      <c r="H459">
        <f t="shared" si="13"/>
        <v>0</v>
      </c>
    </row>
    <row r="460" spans="1:8" x14ac:dyDescent="0.15">
      <c r="A460" s="33" t="s">
        <v>339</v>
      </c>
      <c r="B460" s="33" t="s">
        <v>777</v>
      </c>
      <c r="C460" s="33">
        <v>3</v>
      </c>
      <c r="D460" s="33" t="s">
        <v>353</v>
      </c>
      <c r="E460" s="33" t="s">
        <v>777</v>
      </c>
      <c r="F460" s="81">
        <v>3</v>
      </c>
      <c r="G460">
        <f t="shared" si="12"/>
        <v>0</v>
      </c>
      <c r="H460">
        <f t="shared" si="13"/>
        <v>0</v>
      </c>
    </row>
    <row r="461" spans="1:8" x14ac:dyDescent="0.15">
      <c r="A461" s="33" t="s">
        <v>339</v>
      </c>
      <c r="B461" s="33" t="s">
        <v>778</v>
      </c>
      <c r="C461" s="33">
        <v>10</v>
      </c>
      <c r="D461" s="33" t="s">
        <v>353</v>
      </c>
      <c r="E461" s="33" t="s">
        <v>778</v>
      </c>
      <c r="F461" s="81">
        <v>10</v>
      </c>
      <c r="G461">
        <f t="shared" si="12"/>
        <v>0</v>
      </c>
      <c r="H461">
        <f t="shared" si="13"/>
        <v>0</v>
      </c>
    </row>
    <row r="462" spans="1:8" x14ac:dyDescent="0.15">
      <c r="A462" s="33" t="s">
        <v>339</v>
      </c>
      <c r="B462" s="33" t="s">
        <v>779</v>
      </c>
      <c r="C462" s="33">
        <v>17601</v>
      </c>
      <c r="D462" s="33" t="s">
        <v>353</v>
      </c>
      <c r="E462" s="33" t="s">
        <v>779</v>
      </c>
      <c r="F462" s="81">
        <v>17601</v>
      </c>
      <c r="G462">
        <f t="shared" si="12"/>
        <v>0</v>
      </c>
      <c r="H462">
        <f t="shared" si="13"/>
        <v>0</v>
      </c>
    </row>
    <row r="463" spans="1:8" x14ac:dyDescent="0.15">
      <c r="A463" s="33" t="s">
        <v>339</v>
      </c>
      <c r="B463" s="33" t="s">
        <v>780</v>
      </c>
      <c r="C463" s="33">
        <v>1</v>
      </c>
      <c r="D463" s="33" t="s">
        <v>353</v>
      </c>
      <c r="E463" s="33" t="s">
        <v>780</v>
      </c>
      <c r="F463" s="81">
        <v>1</v>
      </c>
      <c r="G463">
        <f t="shared" si="12"/>
        <v>0</v>
      </c>
      <c r="H463">
        <f t="shared" si="13"/>
        <v>0</v>
      </c>
    </row>
    <row r="464" spans="1:8" x14ac:dyDescent="0.15">
      <c r="A464" s="33" t="s">
        <v>339</v>
      </c>
      <c r="B464" s="33" t="s">
        <v>781</v>
      </c>
      <c r="C464" s="33">
        <v>26</v>
      </c>
      <c r="D464" s="33" t="s">
        <v>353</v>
      </c>
      <c r="E464" s="33" t="s">
        <v>781</v>
      </c>
      <c r="F464" s="81">
        <v>26</v>
      </c>
      <c r="G464">
        <f t="shared" si="12"/>
        <v>0</v>
      </c>
      <c r="H464">
        <f t="shared" si="13"/>
        <v>0</v>
      </c>
    </row>
    <row r="465" spans="1:8" x14ac:dyDescent="0.15">
      <c r="A465" s="33" t="s">
        <v>339</v>
      </c>
      <c r="B465" s="33" t="s">
        <v>782</v>
      </c>
      <c r="C465" s="33">
        <v>2</v>
      </c>
      <c r="D465" s="33" t="s">
        <v>353</v>
      </c>
      <c r="E465" s="33" t="s">
        <v>782</v>
      </c>
      <c r="F465" s="81">
        <v>2</v>
      </c>
      <c r="G465">
        <f t="shared" ref="G465:G526" si="14">C465-F465</f>
        <v>0</v>
      </c>
      <c r="H465">
        <f t="shared" ref="H465:H526" si="15">IF(OR(C465=0, F465=0), 0, C465-F465)</f>
        <v>0</v>
      </c>
    </row>
    <row r="466" spans="1:8" x14ac:dyDescent="0.15">
      <c r="A466" s="33" t="s">
        <v>339</v>
      </c>
      <c r="B466" s="33" t="s">
        <v>783</v>
      </c>
      <c r="C466" s="33">
        <v>1</v>
      </c>
      <c r="D466" s="33" t="s">
        <v>353</v>
      </c>
      <c r="E466" s="33" t="s">
        <v>783</v>
      </c>
      <c r="F466" s="81">
        <v>1</v>
      </c>
      <c r="G466">
        <f t="shared" si="14"/>
        <v>0</v>
      </c>
      <c r="H466">
        <f t="shared" si="15"/>
        <v>0</v>
      </c>
    </row>
    <row r="467" spans="1:8" x14ac:dyDescent="0.15">
      <c r="A467" s="33" t="s">
        <v>339</v>
      </c>
      <c r="B467" s="33" t="s">
        <v>784</v>
      </c>
      <c r="C467" s="33">
        <v>5</v>
      </c>
      <c r="D467" s="33" t="s">
        <v>353</v>
      </c>
      <c r="E467" s="33" t="s">
        <v>784</v>
      </c>
      <c r="F467" s="81">
        <v>5</v>
      </c>
      <c r="G467">
        <f t="shared" si="14"/>
        <v>0</v>
      </c>
      <c r="H467">
        <f t="shared" si="15"/>
        <v>0</v>
      </c>
    </row>
    <row r="468" spans="1:8" x14ac:dyDescent="0.15">
      <c r="A468" s="33" t="s">
        <v>339</v>
      </c>
      <c r="B468" s="33" t="s">
        <v>785</v>
      </c>
      <c r="C468" s="33">
        <v>1</v>
      </c>
      <c r="D468" s="33" t="s">
        <v>353</v>
      </c>
      <c r="E468" s="33" t="s">
        <v>785</v>
      </c>
      <c r="F468" s="81">
        <v>1</v>
      </c>
      <c r="G468">
        <f t="shared" si="14"/>
        <v>0</v>
      </c>
      <c r="H468">
        <f t="shared" si="15"/>
        <v>0</v>
      </c>
    </row>
    <row r="469" spans="1:8" x14ac:dyDescent="0.15">
      <c r="A469" s="33" t="s">
        <v>339</v>
      </c>
      <c r="B469" s="33" t="s">
        <v>786</v>
      </c>
      <c r="C469" s="33">
        <v>21</v>
      </c>
      <c r="D469" s="33" t="s">
        <v>353</v>
      </c>
      <c r="E469" s="33" t="s">
        <v>786</v>
      </c>
      <c r="F469" s="81">
        <v>21</v>
      </c>
      <c r="G469">
        <f t="shared" si="14"/>
        <v>0</v>
      </c>
      <c r="H469">
        <f t="shared" si="15"/>
        <v>0</v>
      </c>
    </row>
    <row r="470" spans="1:8" x14ac:dyDescent="0.15">
      <c r="A470" s="33" t="s">
        <v>339</v>
      </c>
      <c r="B470" s="33" t="s">
        <v>787</v>
      </c>
      <c r="C470" s="33">
        <v>70131</v>
      </c>
      <c r="D470" s="33" t="s">
        <v>353</v>
      </c>
      <c r="E470" s="33" t="s">
        <v>787</v>
      </c>
      <c r="F470" s="81">
        <v>70131</v>
      </c>
      <c r="G470">
        <f t="shared" si="14"/>
        <v>0</v>
      </c>
      <c r="H470">
        <f t="shared" si="15"/>
        <v>0</v>
      </c>
    </row>
    <row r="471" spans="1:8" x14ac:dyDescent="0.15">
      <c r="A471" s="33" t="s">
        <v>339</v>
      </c>
      <c r="B471" s="33" t="s">
        <v>788</v>
      </c>
      <c r="C471" s="33">
        <v>270347</v>
      </c>
      <c r="D471" s="33" t="s">
        <v>353</v>
      </c>
      <c r="E471" s="33" t="s">
        <v>788</v>
      </c>
      <c r="F471" s="81">
        <v>270347</v>
      </c>
      <c r="G471">
        <f t="shared" si="14"/>
        <v>0</v>
      </c>
      <c r="H471">
        <f t="shared" si="15"/>
        <v>0</v>
      </c>
    </row>
    <row r="472" spans="1:8" x14ac:dyDescent="0.15">
      <c r="A472" s="33" t="s">
        <v>339</v>
      </c>
      <c r="B472" s="33" t="s">
        <v>789</v>
      </c>
      <c r="C472" s="33">
        <v>2</v>
      </c>
      <c r="D472" s="33" t="s">
        <v>353</v>
      </c>
      <c r="E472" s="33" t="s">
        <v>789</v>
      </c>
      <c r="F472" s="81">
        <v>2</v>
      </c>
      <c r="G472">
        <f t="shared" si="14"/>
        <v>0</v>
      </c>
      <c r="H472">
        <f t="shared" si="15"/>
        <v>0</v>
      </c>
    </row>
    <row r="473" spans="1:8" x14ac:dyDescent="0.15">
      <c r="A473" s="33" t="s">
        <v>339</v>
      </c>
      <c r="B473" s="33" t="s">
        <v>790</v>
      </c>
      <c r="C473" s="33">
        <v>166800</v>
      </c>
      <c r="D473" s="33" t="s">
        <v>353</v>
      </c>
      <c r="E473" s="33" t="s">
        <v>790</v>
      </c>
      <c r="F473" s="81">
        <v>166800</v>
      </c>
      <c r="G473">
        <f t="shared" si="14"/>
        <v>0</v>
      </c>
      <c r="H473">
        <f t="shared" si="15"/>
        <v>0</v>
      </c>
    </row>
    <row r="474" spans="1:8" x14ac:dyDescent="0.15">
      <c r="A474" s="33" t="s">
        <v>339</v>
      </c>
      <c r="B474" s="33" t="s">
        <v>791</v>
      </c>
      <c r="C474" s="33">
        <v>371588</v>
      </c>
      <c r="D474" s="33" t="s">
        <v>353</v>
      </c>
      <c r="E474" s="33" t="s">
        <v>791</v>
      </c>
      <c r="F474" s="81">
        <v>371588</v>
      </c>
      <c r="G474">
        <f t="shared" si="14"/>
        <v>0</v>
      </c>
      <c r="H474">
        <f t="shared" si="15"/>
        <v>0</v>
      </c>
    </row>
    <row r="475" spans="1:8" x14ac:dyDescent="0.15">
      <c r="A475" s="33" t="s">
        <v>339</v>
      </c>
      <c r="B475" s="33" t="s">
        <v>792</v>
      </c>
      <c r="C475" s="33">
        <v>374088</v>
      </c>
      <c r="D475" s="33" t="s">
        <v>353</v>
      </c>
      <c r="E475" s="33" t="s">
        <v>792</v>
      </c>
      <c r="F475" s="81">
        <v>374088</v>
      </c>
      <c r="G475">
        <f t="shared" si="14"/>
        <v>0</v>
      </c>
      <c r="H475">
        <f t="shared" si="15"/>
        <v>0</v>
      </c>
    </row>
    <row r="476" spans="1:8" x14ac:dyDescent="0.15">
      <c r="A476" s="33" t="s">
        <v>339</v>
      </c>
      <c r="B476" s="33" t="s">
        <v>793</v>
      </c>
      <c r="C476" s="33">
        <v>571</v>
      </c>
      <c r="D476" s="33" t="s">
        <v>353</v>
      </c>
      <c r="E476" s="33" t="s">
        <v>793</v>
      </c>
      <c r="F476" s="81">
        <v>571</v>
      </c>
      <c r="G476">
        <f t="shared" si="14"/>
        <v>0</v>
      </c>
      <c r="H476">
        <f t="shared" si="15"/>
        <v>0</v>
      </c>
    </row>
    <row r="477" spans="1:8" x14ac:dyDescent="0.15">
      <c r="A477" s="33" t="s">
        <v>339</v>
      </c>
      <c r="B477" s="33" t="s">
        <v>794</v>
      </c>
      <c r="C477" s="33">
        <v>58</v>
      </c>
      <c r="D477" s="33" t="s">
        <v>353</v>
      </c>
      <c r="E477" s="33" t="s">
        <v>794</v>
      </c>
      <c r="F477" s="81">
        <v>58</v>
      </c>
      <c r="G477">
        <f t="shared" si="14"/>
        <v>0</v>
      </c>
      <c r="H477">
        <f t="shared" si="15"/>
        <v>0</v>
      </c>
    </row>
    <row r="478" spans="1:8" x14ac:dyDescent="0.15">
      <c r="A478" s="33" t="s">
        <v>339</v>
      </c>
      <c r="B478" s="33" t="s">
        <v>795</v>
      </c>
      <c r="C478" s="33">
        <v>2</v>
      </c>
      <c r="D478" s="33" t="s">
        <v>353</v>
      </c>
      <c r="E478" s="33" t="s">
        <v>795</v>
      </c>
      <c r="F478" s="81">
        <v>2</v>
      </c>
      <c r="G478">
        <f t="shared" si="14"/>
        <v>0</v>
      </c>
      <c r="H478">
        <f t="shared" si="15"/>
        <v>0</v>
      </c>
    </row>
    <row r="479" spans="1:8" x14ac:dyDescent="0.15">
      <c r="A479" s="33" t="s">
        <v>339</v>
      </c>
      <c r="B479" s="33" t="s">
        <v>796</v>
      </c>
      <c r="C479" s="33">
        <v>1</v>
      </c>
      <c r="D479" s="33" t="s">
        <v>353</v>
      </c>
      <c r="E479" s="33" t="s">
        <v>796</v>
      </c>
      <c r="F479" s="81">
        <v>1</v>
      </c>
      <c r="G479">
        <f t="shared" si="14"/>
        <v>0</v>
      </c>
      <c r="H479">
        <f t="shared" si="15"/>
        <v>0</v>
      </c>
    </row>
    <row r="480" spans="1:8" x14ac:dyDescent="0.15">
      <c r="A480" s="33" t="s">
        <v>339</v>
      </c>
      <c r="B480" s="33" t="s">
        <v>797</v>
      </c>
      <c r="C480" s="33">
        <v>502571</v>
      </c>
      <c r="D480" s="33" t="s">
        <v>353</v>
      </c>
      <c r="E480" s="33" t="s">
        <v>797</v>
      </c>
      <c r="F480" s="81">
        <v>502571</v>
      </c>
      <c r="G480">
        <f t="shared" si="14"/>
        <v>0</v>
      </c>
      <c r="H480">
        <f t="shared" si="15"/>
        <v>0</v>
      </c>
    </row>
    <row r="481" spans="1:8" x14ac:dyDescent="0.15">
      <c r="A481" s="33" t="s">
        <v>339</v>
      </c>
      <c r="B481" s="33" t="s">
        <v>798</v>
      </c>
      <c r="C481" s="33">
        <v>2</v>
      </c>
      <c r="D481" s="33" t="s">
        <v>353</v>
      </c>
      <c r="E481" s="33" t="s">
        <v>798</v>
      </c>
      <c r="F481" s="81">
        <v>2</v>
      </c>
      <c r="G481">
        <f t="shared" si="14"/>
        <v>0</v>
      </c>
      <c r="H481">
        <f t="shared" si="15"/>
        <v>0</v>
      </c>
    </row>
    <row r="482" spans="1:8" x14ac:dyDescent="0.15">
      <c r="A482" s="33" t="s">
        <v>339</v>
      </c>
      <c r="B482" s="33" t="s">
        <v>799</v>
      </c>
      <c r="C482" s="33">
        <v>262517</v>
      </c>
      <c r="D482" s="33" t="s">
        <v>353</v>
      </c>
      <c r="E482" s="33" t="s">
        <v>799</v>
      </c>
      <c r="F482" s="81">
        <v>262517</v>
      </c>
      <c r="G482">
        <f t="shared" si="14"/>
        <v>0</v>
      </c>
      <c r="H482">
        <f t="shared" si="15"/>
        <v>0</v>
      </c>
    </row>
    <row r="483" spans="1:8" x14ac:dyDescent="0.15">
      <c r="A483" s="33" t="s">
        <v>339</v>
      </c>
      <c r="B483" s="33" t="s">
        <v>800</v>
      </c>
      <c r="C483" s="33">
        <v>256599</v>
      </c>
      <c r="D483" s="33" t="s">
        <v>353</v>
      </c>
      <c r="E483" s="33" t="s">
        <v>800</v>
      </c>
      <c r="F483" s="81">
        <v>256599</v>
      </c>
      <c r="G483">
        <f t="shared" si="14"/>
        <v>0</v>
      </c>
      <c r="H483">
        <f t="shared" si="15"/>
        <v>0</v>
      </c>
    </row>
    <row r="484" spans="1:8" x14ac:dyDescent="0.15">
      <c r="A484" s="33" t="s">
        <v>339</v>
      </c>
      <c r="B484" s="33" t="s">
        <v>801</v>
      </c>
      <c r="C484" s="33">
        <v>20</v>
      </c>
      <c r="D484" s="33" t="s">
        <v>353</v>
      </c>
      <c r="E484" s="33" t="s">
        <v>801</v>
      </c>
      <c r="F484" s="81">
        <v>20</v>
      </c>
      <c r="G484">
        <f t="shared" si="14"/>
        <v>0</v>
      </c>
      <c r="H484">
        <f t="shared" si="15"/>
        <v>0</v>
      </c>
    </row>
    <row r="485" spans="1:8" x14ac:dyDescent="0.15">
      <c r="A485" s="33" t="s">
        <v>339</v>
      </c>
      <c r="B485" s="33" t="s">
        <v>802</v>
      </c>
      <c r="C485" s="33">
        <v>2</v>
      </c>
      <c r="D485" s="33" t="s">
        <v>353</v>
      </c>
      <c r="E485" s="33" t="s">
        <v>802</v>
      </c>
      <c r="F485" s="81">
        <v>2</v>
      </c>
      <c r="G485">
        <f t="shared" si="14"/>
        <v>0</v>
      </c>
      <c r="H485">
        <f t="shared" si="15"/>
        <v>0</v>
      </c>
    </row>
    <row r="486" spans="1:8" x14ac:dyDescent="0.15">
      <c r="A486" s="33" t="s">
        <v>339</v>
      </c>
      <c r="B486" s="33" t="s">
        <v>803</v>
      </c>
      <c r="C486" s="33">
        <v>121313</v>
      </c>
      <c r="D486" s="33" t="s">
        <v>353</v>
      </c>
      <c r="E486" s="33" t="s">
        <v>803</v>
      </c>
      <c r="F486" s="81">
        <v>121313</v>
      </c>
      <c r="G486">
        <f t="shared" si="14"/>
        <v>0</v>
      </c>
      <c r="H486">
        <f t="shared" si="15"/>
        <v>0</v>
      </c>
    </row>
    <row r="487" spans="1:8" x14ac:dyDescent="0.15">
      <c r="A487" s="33" t="s">
        <v>339</v>
      </c>
      <c r="B487" s="33" t="s">
        <v>804</v>
      </c>
      <c r="C487" s="33">
        <v>236159</v>
      </c>
      <c r="D487" s="33" t="s">
        <v>353</v>
      </c>
      <c r="E487" s="33" t="s">
        <v>804</v>
      </c>
      <c r="F487" s="81">
        <v>236159</v>
      </c>
      <c r="G487">
        <f t="shared" si="14"/>
        <v>0</v>
      </c>
      <c r="H487">
        <f t="shared" si="15"/>
        <v>0</v>
      </c>
    </row>
    <row r="488" spans="1:8" x14ac:dyDescent="0.15">
      <c r="A488" s="33" t="s">
        <v>339</v>
      </c>
      <c r="B488" s="33" t="s">
        <v>815</v>
      </c>
      <c r="C488" s="33">
        <v>51</v>
      </c>
      <c r="D488" s="33" t="s">
        <v>353</v>
      </c>
      <c r="E488" s="33" t="s">
        <v>815</v>
      </c>
      <c r="F488" s="81">
        <v>51</v>
      </c>
      <c r="G488">
        <f t="shared" si="14"/>
        <v>0</v>
      </c>
      <c r="H488">
        <f t="shared" si="15"/>
        <v>0</v>
      </c>
    </row>
    <row r="489" spans="1:8" x14ac:dyDescent="0.15">
      <c r="A489" s="33" t="s">
        <v>339</v>
      </c>
      <c r="B489" s="33" t="s">
        <v>816</v>
      </c>
      <c r="C489" s="33">
        <v>121</v>
      </c>
      <c r="D489" s="33" t="s">
        <v>353</v>
      </c>
      <c r="E489" s="33" t="s">
        <v>816</v>
      </c>
      <c r="F489" s="81">
        <v>121</v>
      </c>
      <c r="G489">
        <f t="shared" si="14"/>
        <v>0</v>
      </c>
      <c r="H489">
        <f t="shared" si="15"/>
        <v>0</v>
      </c>
    </row>
    <row r="490" spans="1:8" x14ac:dyDescent="0.15">
      <c r="A490" s="33" t="s">
        <v>339</v>
      </c>
      <c r="B490" s="33" t="s">
        <v>817</v>
      </c>
      <c r="C490" s="33">
        <v>292</v>
      </c>
      <c r="D490" s="33" t="s">
        <v>353</v>
      </c>
      <c r="E490" s="33" t="s">
        <v>817</v>
      </c>
      <c r="F490" s="81">
        <v>292</v>
      </c>
      <c r="G490">
        <f t="shared" si="14"/>
        <v>0</v>
      </c>
      <c r="H490">
        <f t="shared" si="15"/>
        <v>0</v>
      </c>
    </row>
    <row r="491" spans="1:8" x14ac:dyDescent="0.15">
      <c r="A491" s="33" t="s">
        <v>339</v>
      </c>
      <c r="B491" s="33" t="s">
        <v>818</v>
      </c>
      <c r="C491" s="33">
        <v>616</v>
      </c>
      <c r="D491" s="33" t="s">
        <v>353</v>
      </c>
      <c r="E491" s="33" t="s">
        <v>818</v>
      </c>
      <c r="F491" s="81">
        <v>616</v>
      </c>
      <c r="G491">
        <f t="shared" si="14"/>
        <v>0</v>
      </c>
      <c r="H491">
        <f t="shared" si="15"/>
        <v>0</v>
      </c>
    </row>
    <row r="492" spans="1:8" x14ac:dyDescent="0.15">
      <c r="A492" s="33" t="s">
        <v>339</v>
      </c>
      <c r="B492" s="33" t="s">
        <v>819</v>
      </c>
      <c r="C492" s="33">
        <v>5268</v>
      </c>
      <c r="D492" s="33" t="s">
        <v>353</v>
      </c>
      <c r="E492" s="33" t="s">
        <v>819</v>
      </c>
      <c r="F492" s="81">
        <v>5268</v>
      </c>
      <c r="G492">
        <f t="shared" si="14"/>
        <v>0</v>
      </c>
      <c r="H492">
        <f t="shared" si="15"/>
        <v>0</v>
      </c>
    </row>
    <row r="493" spans="1:8" x14ac:dyDescent="0.15">
      <c r="A493" s="33" t="s">
        <v>339</v>
      </c>
      <c r="B493" s="33" t="s">
        <v>820</v>
      </c>
      <c r="C493" s="33">
        <v>4</v>
      </c>
      <c r="D493" s="33" t="s">
        <v>353</v>
      </c>
      <c r="E493" s="33" t="s">
        <v>820</v>
      </c>
      <c r="F493" s="81">
        <v>4</v>
      </c>
      <c r="G493">
        <f t="shared" si="14"/>
        <v>0</v>
      </c>
      <c r="H493">
        <f t="shared" si="15"/>
        <v>0</v>
      </c>
    </row>
    <row r="494" spans="1:8" x14ac:dyDescent="0.15">
      <c r="A494" s="33" t="s">
        <v>339</v>
      </c>
      <c r="B494" s="33" t="s">
        <v>821</v>
      </c>
      <c r="C494" s="33">
        <v>6885</v>
      </c>
      <c r="D494" s="33" t="s">
        <v>353</v>
      </c>
      <c r="E494" s="33" t="s">
        <v>821</v>
      </c>
      <c r="F494" s="81">
        <v>6885</v>
      </c>
      <c r="G494">
        <f t="shared" si="14"/>
        <v>0</v>
      </c>
      <c r="H494">
        <f t="shared" si="15"/>
        <v>0</v>
      </c>
    </row>
    <row r="495" spans="1:8" x14ac:dyDescent="0.15">
      <c r="A495" s="33" t="s">
        <v>339</v>
      </c>
      <c r="B495" s="33" t="s">
        <v>822</v>
      </c>
      <c r="C495" s="33">
        <v>2</v>
      </c>
      <c r="D495" s="33" t="s">
        <v>353</v>
      </c>
      <c r="E495" s="33" t="s">
        <v>822</v>
      </c>
      <c r="F495" s="81">
        <v>2</v>
      </c>
      <c r="G495">
        <f t="shared" si="14"/>
        <v>0</v>
      </c>
      <c r="H495">
        <f t="shared" si="15"/>
        <v>0</v>
      </c>
    </row>
    <row r="496" spans="1:8" x14ac:dyDescent="0.15">
      <c r="A496" s="33" t="s">
        <v>339</v>
      </c>
      <c r="B496" s="33" t="s">
        <v>823</v>
      </c>
      <c r="C496" s="33">
        <v>38347</v>
      </c>
      <c r="D496" s="33" t="s">
        <v>353</v>
      </c>
      <c r="E496" s="33" t="s">
        <v>823</v>
      </c>
      <c r="F496" s="81">
        <v>38347</v>
      </c>
      <c r="G496">
        <f t="shared" si="14"/>
        <v>0</v>
      </c>
      <c r="H496">
        <f t="shared" si="15"/>
        <v>0</v>
      </c>
    </row>
    <row r="497" spans="1:9" x14ac:dyDescent="0.15">
      <c r="A497" s="33" t="s">
        <v>339</v>
      </c>
      <c r="B497" s="33" t="s">
        <v>824</v>
      </c>
      <c r="C497" s="33">
        <v>160</v>
      </c>
      <c r="D497" s="33" t="s">
        <v>353</v>
      </c>
      <c r="E497" s="33" t="s">
        <v>824</v>
      </c>
      <c r="F497" s="81">
        <v>160</v>
      </c>
      <c r="G497">
        <f t="shared" si="14"/>
        <v>0</v>
      </c>
      <c r="H497">
        <f t="shared" si="15"/>
        <v>0</v>
      </c>
      <c r="I497" s="13"/>
    </row>
    <row r="498" spans="1:9" x14ac:dyDescent="0.15">
      <c r="A498" s="33" t="s">
        <v>339</v>
      </c>
      <c r="B498" s="33" t="s">
        <v>825</v>
      </c>
      <c r="C498" s="33">
        <v>60079</v>
      </c>
      <c r="D498" s="33" t="s">
        <v>353</v>
      </c>
      <c r="E498" s="33" t="s">
        <v>825</v>
      </c>
      <c r="F498" s="81">
        <v>60079</v>
      </c>
      <c r="G498">
        <f t="shared" si="14"/>
        <v>0</v>
      </c>
      <c r="H498">
        <f t="shared" si="15"/>
        <v>0</v>
      </c>
    </row>
    <row r="499" spans="1:9" x14ac:dyDescent="0.15">
      <c r="A499" s="33" t="s">
        <v>339</v>
      </c>
      <c r="B499" s="33" t="s">
        <v>826</v>
      </c>
      <c r="C499" s="33">
        <v>265442</v>
      </c>
      <c r="D499" s="33" t="s">
        <v>353</v>
      </c>
      <c r="E499" s="33" t="s">
        <v>826</v>
      </c>
      <c r="F499" s="81">
        <v>265442</v>
      </c>
      <c r="G499">
        <f t="shared" si="14"/>
        <v>0</v>
      </c>
      <c r="H499">
        <f t="shared" si="15"/>
        <v>0</v>
      </c>
    </row>
    <row r="500" spans="1:9" x14ac:dyDescent="0.15">
      <c r="A500" s="33" t="s">
        <v>339</v>
      </c>
      <c r="B500" s="33" t="s">
        <v>827</v>
      </c>
      <c r="C500" s="33">
        <v>3596</v>
      </c>
      <c r="D500" s="33" t="s">
        <v>353</v>
      </c>
      <c r="E500" s="33" t="s">
        <v>827</v>
      </c>
      <c r="F500" s="81">
        <v>3596</v>
      </c>
      <c r="G500">
        <f t="shared" si="14"/>
        <v>0</v>
      </c>
      <c r="H500">
        <f t="shared" si="15"/>
        <v>0</v>
      </c>
    </row>
    <row r="501" spans="1:9" x14ac:dyDescent="0.15">
      <c r="A501" s="33" t="s">
        <v>339</v>
      </c>
      <c r="B501" s="33" t="s">
        <v>828</v>
      </c>
      <c r="C501" s="33">
        <v>553215</v>
      </c>
      <c r="D501" s="33" t="s">
        <v>353</v>
      </c>
      <c r="E501" s="33" t="s">
        <v>828</v>
      </c>
      <c r="F501" s="81">
        <v>553215</v>
      </c>
      <c r="G501">
        <f t="shared" si="14"/>
        <v>0</v>
      </c>
      <c r="H501">
        <f t="shared" si="15"/>
        <v>0</v>
      </c>
    </row>
    <row r="502" spans="1:9" x14ac:dyDescent="0.15">
      <c r="A502" s="33" t="s">
        <v>339</v>
      </c>
      <c r="B502" s="33" t="s">
        <v>829</v>
      </c>
      <c r="C502" s="33">
        <v>220</v>
      </c>
      <c r="D502" s="33" t="s">
        <v>353</v>
      </c>
      <c r="E502" s="33" t="s">
        <v>829</v>
      </c>
      <c r="F502" s="81">
        <v>220</v>
      </c>
      <c r="G502">
        <f t="shared" si="14"/>
        <v>0</v>
      </c>
      <c r="H502">
        <f t="shared" si="15"/>
        <v>0</v>
      </c>
    </row>
    <row r="503" spans="1:9" x14ac:dyDescent="0.15">
      <c r="A503" s="33" t="s">
        <v>339</v>
      </c>
      <c r="B503" s="33" t="s">
        <v>830</v>
      </c>
      <c r="C503" s="33">
        <v>55092</v>
      </c>
      <c r="D503" s="33" t="s">
        <v>353</v>
      </c>
      <c r="E503" s="33" t="s">
        <v>830</v>
      </c>
      <c r="F503" s="81">
        <v>55092</v>
      </c>
      <c r="G503">
        <f t="shared" si="14"/>
        <v>0</v>
      </c>
      <c r="H503">
        <f t="shared" si="15"/>
        <v>0</v>
      </c>
    </row>
    <row r="504" spans="1:9" x14ac:dyDescent="0.15">
      <c r="A504" s="33" t="s">
        <v>339</v>
      </c>
      <c r="B504" s="33" t="s">
        <v>831</v>
      </c>
      <c r="C504" s="33">
        <v>525826</v>
      </c>
      <c r="D504" s="33" t="s">
        <v>353</v>
      </c>
      <c r="E504" s="33" t="s">
        <v>831</v>
      </c>
      <c r="F504" s="81">
        <v>525826</v>
      </c>
      <c r="G504">
        <f t="shared" si="14"/>
        <v>0</v>
      </c>
      <c r="H504">
        <f t="shared" si="15"/>
        <v>0</v>
      </c>
    </row>
    <row r="505" spans="1:9" x14ac:dyDescent="0.15">
      <c r="A505" s="33" t="s">
        <v>339</v>
      </c>
      <c r="B505" s="33" t="s">
        <v>832</v>
      </c>
      <c r="C505" s="33">
        <v>3</v>
      </c>
      <c r="D505" s="33" t="s">
        <v>353</v>
      </c>
      <c r="E505" s="33" t="s">
        <v>832</v>
      </c>
      <c r="F505" s="81">
        <v>3</v>
      </c>
      <c r="G505">
        <f t="shared" si="14"/>
        <v>0</v>
      </c>
      <c r="H505">
        <f t="shared" si="15"/>
        <v>0</v>
      </c>
    </row>
    <row r="506" spans="1:9" x14ac:dyDescent="0.15">
      <c r="A506" s="33" t="s">
        <v>339</v>
      </c>
      <c r="B506" s="33" t="s">
        <v>833</v>
      </c>
      <c r="C506" s="33">
        <v>1</v>
      </c>
      <c r="D506" s="33" t="s">
        <v>353</v>
      </c>
      <c r="E506" s="33" t="s">
        <v>833</v>
      </c>
      <c r="F506" s="81">
        <v>1</v>
      </c>
      <c r="G506">
        <f t="shared" si="14"/>
        <v>0</v>
      </c>
      <c r="H506">
        <f t="shared" si="15"/>
        <v>0</v>
      </c>
    </row>
    <row r="507" spans="1:9" x14ac:dyDescent="0.15">
      <c r="A507" s="33" t="s">
        <v>339</v>
      </c>
      <c r="B507" s="33" t="s">
        <v>834</v>
      </c>
      <c r="C507" s="33">
        <v>9</v>
      </c>
      <c r="D507" s="33" t="s">
        <v>353</v>
      </c>
      <c r="E507" s="33" t="s">
        <v>834</v>
      </c>
      <c r="F507" s="81">
        <v>9</v>
      </c>
      <c r="G507">
        <f t="shared" si="14"/>
        <v>0</v>
      </c>
      <c r="H507">
        <f t="shared" si="15"/>
        <v>0</v>
      </c>
    </row>
    <row r="508" spans="1:9" x14ac:dyDescent="0.15">
      <c r="A508" s="33" t="s">
        <v>339</v>
      </c>
      <c r="B508" s="33" t="s">
        <v>835</v>
      </c>
      <c r="C508" s="33">
        <v>11208</v>
      </c>
      <c r="D508" s="33" t="s">
        <v>353</v>
      </c>
      <c r="E508" s="33" t="s">
        <v>835</v>
      </c>
      <c r="F508" s="81">
        <v>11208</v>
      </c>
      <c r="G508">
        <f t="shared" si="14"/>
        <v>0</v>
      </c>
      <c r="H508">
        <f t="shared" si="15"/>
        <v>0</v>
      </c>
    </row>
    <row r="509" spans="1:9" x14ac:dyDescent="0.15">
      <c r="A509" s="33" t="s">
        <v>339</v>
      </c>
      <c r="B509" s="33" t="s">
        <v>836</v>
      </c>
      <c r="C509" s="33">
        <v>11</v>
      </c>
      <c r="D509" s="33" t="s">
        <v>353</v>
      </c>
      <c r="E509" s="33" t="s">
        <v>836</v>
      </c>
      <c r="F509" s="81">
        <v>11</v>
      </c>
      <c r="G509">
        <f t="shared" si="14"/>
        <v>0</v>
      </c>
      <c r="H509">
        <f t="shared" si="15"/>
        <v>0</v>
      </c>
    </row>
    <row r="510" spans="1:9" x14ac:dyDescent="0.15">
      <c r="A510" s="33" t="s">
        <v>339</v>
      </c>
      <c r="B510" s="33" t="s">
        <v>837</v>
      </c>
      <c r="C510" s="33">
        <v>45157</v>
      </c>
      <c r="D510" s="33" t="s">
        <v>353</v>
      </c>
      <c r="E510" s="33" t="s">
        <v>837</v>
      </c>
      <c r="F510" s="81">
        <v>45157</v>
      </c>
      <c r="G510">
        <f t="shared" si="14"/>
        <v>0</v>
      </c>
      <c r="H510">
        <f t="shared" si="15"/>
        <v>0</v>
      </c>
    </row>
    <row r="511" spans="1:9" x14ac:dyDescent="0.15">
      <c r="A511" s="33" t="s">
        <v>339</v>
      </c>
      <c r="B511" s="33" t="s">
        <v>838</v>
      </c>
      <c r="C511" s="33">
        <v>42119</v>
      </c>
      <c r="D511" s="33" t="s">
        <v>353</v>
      </c>
      <c r="E511" s="33" t="s">
        <v>838</v>
      </c>
      <c r="F511" s="81">
        <v>42119</v>
      </c>
      <c r="G511">
        <f t="shared" si="14"/>
        <v>0</v>
      </c>
      <c r="H511">
        <f t="shared" si="15"/>
        <v>0</v>
      </c>
    </row>
    <row r="512" spans="1:9" x14ac:dyDescent="0.15">
      <c r="A512" s="33" t="s">
        <v>339</v>
      </c>
      <c r="B512" s="33" t="s">
        <v>839</v>
      </c>
      <c r="C512" s="33">
        <v>62044</v>
      </c>
      <c r="D512" s="33" t="s">
        <v>353</v>
      </c>
      <c r="E512" s="33" t="s">
        <v>839</v>
      </c>
      <c r="F512" s="81">
        <v>62044</v>
      </c>
      <c r="G512">
        <f t="shared" si="14"/>
        <v>0</v>
      </c>
      <c r="H512">
        <f t="shared" si="15"/>
        <v>0</v>
      </c>
    </row>
    <row r="513" spans="1:8" x14ac:dyDescent="0.15">
      <c r="A513" s="33" t="s">
        <v>339</v>
      </c>
      <c r="B513" s="33" t="s">
        <v>840</v>
      </c>
      <c r="C513" s="33">
        <v>2</v>
      </c>
      <c r="D513" s="33" t="s">
        <v>353</v>
      </c>
      <c r="E513" s="33" t="s">
        <v>840</v>
      </c>
      <c r="F513" s="81">
        <v>2</v>
      </c>
      <c r="G513">
        <f t="shared" si="14"/>
        <v>0</v>
      </c>
      <c r="H513">
        <f t="shared" si="15"/>
        <v>0</v>
      </c>
    </row>
    <row r="514" spans="1:8" x14ac:dyDescent="0.15">
      <c r="A514" s="33" t="s">
        <v>339</v>
      </c>
      <c r="B514" s="33" t="s">
        <v>841</v>
      </c>
      <c r="C514" s="33">
        <v>11</v>
      </c>
      <c r="D514" s="33" t="s">
        <v>353</v>
      </c>
      <c r="E514" s="33" t="s">
        <v>841</v>
      </c>
      <c r="F514" s="81">
        <v>11</v>
      </c>
      <c r="G514">
        <f t="shared" si="14"/>
        <v>0</v>
      </c>
      <c r="H514">
        <f t="shared" si="15"/>
        <v>0</v>
      </c>
    </row>
    <row r="515" spans="1:8" x14ac:dyDescent="0.15">
      <c r="A515" s="33" t="s">
        <v>339</v>
      </c>
      <c r="B515" s="33" t="s">
        <v>842</v>
      </c>
      <c r="C515" s="33">
        <v>14138</v>
      </c>
      <c r="D515" s="33" t="s">
        <v>353</v>
      </c>
      <c r="E515" s="33" t="s">
        <v>842</v>
      </c>
      <c r="F515" s="81">
        <v>14138</v>
      </c>
      <c r="G515">
        <f t="shared" si="14"/>
        <v>0</v>
      </c>
      <c r="H515">
        <f t="shared" si="15"/>
        <v>0</v>
      </c>
    </row>
    <row r="516" spans="1:8" x14ac:dyDescent="0.15">
      <c r="A516" s="33" t="s">
        <v>339</v>
      </c>
      <c r="B516" s="33" t="s">
        <v>843</v>
      </c>
      <c r="C516" s="33">
        <v>266919</v>
      </c>
      <c r="D516" s="33" t="s">
        <v>353</v>
      </c>
      <c r="E516" s="33" t="s">
        <v>843</v>
      </c>
      <c r="F516" s="81">
        <v>266919</v>
      </c>
      <c r="G516">
        <f t="shared" si="14"/>
        <v>0</v>
      </c>
      <c r="H516">
        <f t="shared" si="15"/>
        <v>0</v>
      </c>
    </row>
    <row r="517" spans="1:8" x14ac:dyDescent="0.15">
      <c r="A517" s="33" t="s">
        <v>339</v>
      </c>
      <c r="B517" s="33" t="s">
        <v>844</v>
      </c>
      <c r="C517" s="33">
        <v>312</v>
      </c>
      <c r="D517" s="33" t="s">
        <v>353</v>
      </c>
      <c r="E517" s="33" t="s">
        <v>844</v>
      </c>
      <c r="F517" s="81">
        <v>312</v>
      </c>
      <c r="G517">
        <f t="shared" si="14"/>
        <v>0</v>
      </c>
      <c r="H517">
        <f t="shared" si="15"/>
        <v>0</v>
      </c>
    </row>
    <row r="518" spans="1:8" x14ac:dyDescent="0.15">
      <c r="A518" s="33" t="s">
        <v>339</v>
      </c>
      <c r="B518" s="33" t="s">
        <v>845</v>
      </c>
      <c r="C518" s="33">
        <v>7</v>
      </c>
      <c r="D518" s="33" t="s">
        <v>353</v>
      </c>
      <c r="E518" s="33" t="s">
        <v>845</v>
      </c>
      <c r="F518" s="81">
        <v>7</v>
      </c>
      <c r="G518">
        <f t="shared" si="14"/>
        <v>0</v>
      </c>
      <c r="H518">
        <f t="shared" si="15"/>
        <v>0</v>
      </c>
    </row>
    <row r="519" spans="1:8" x14ac:dyDescent="0.15">
      <c r="A519" s="33" t="s">
        <v>339</v>
      </c>
      <c r="B519" s="33" t="s">
        <v>846</v>
      </c>
      <c r="C519" s="33">
        <v>11</v>
      </c>
      <c r="D519" s="33" t="s">
        <v>353</v>
      </c>
      <c r="E519" s="33" t="s">
        <v>846</v>
      </c>
      <c r="F519" s="81">
        <v>11</v>
      </c>
      <c r="G519">
        <f t="shared" si="14"/>
        <v>0</v>
      </c>
      <c r="H519">
        <f t="shared" si="15"/>
        <v>0</v>
      </c>
    </row>
    <row r="520" spans="1:8" x14ac:dyDescent="0.15">
      <c r="A520" s="33" t="s">
        <v>339</v>
      </c>
      <c r="B520" s="33" t="s">
        <v>847</v>
      </c>
      <c r="C520" s="33">
        <v>238114</v>
      </c>
      <c r="D520" s="33" t="s">
        <v>353</v>
      </c>
      <c r="E520" s="33" t="s">
        <v>847</v>
      </c>
      <c r="F520" s="81">
        <v>238114</v>
      </c>
      <c r="G520">
        <f t="shared" si="14"/>
        <v>0</v>
      </c>
      <c r="H520">
        <f t="shared" si="15"/>
        <v>0</v>
      </c>
    </row>
    <row r="521" spans="1:8" x14ac:dyDescent="0.15">
      <c r="A521" s="33" t="s">
        <v>339</v>
      </c>
      <c r="B521" s="33" t="s">
        <v>848</v>
      </c>
      <c r="C521" s="33">
        <v>115614</v>
      </c>
      <c r="D521" s="33" t="s">
        <v>353</v>
      </c>
      <c r="E521" s="33" t="s">
        <v>848</v>
      </c>
      <c r="F521" s="81">
        <v>115614</v>
      </c>
      <c r="G521">
        <f t="shared" si="14"/>
        <v>0</v>
      </c>
      <c r="H521">
        <f t="shared" si="15"/>
        <v>0</v>
      </c>
    </row>
    <row r="522" spans="1:8" x14ac:dyDescent="0.15">
      <c r="A522" s="33" t="s">
        <v>339</v>
      </c>
      <c r="B522" s="33" t="s">
        <v>849</v>
      </c>
      <c r="C522" s="33">
        <v>458184</v>
      </c>
      <c r="D522" s="33" t="s">
        <v>353</v>
      </c>
      <c r="E522" s="33" t="s">
        <v>849</v>
      </c>
      <c r="F522" s="81">
        <v>458184</v>
      </c>
      <c r="G522">
        <f t="shared" si="14"/>
        <v>0</v>
      </c>
      <c r="H522">
        <f t="shared" si="15"/>
        <v>0</v>
      </c>
    </row>
    <row r="523" spans="1:8" x14ac:dyDescent="0.15">
      <c r="A523" s="33" t="s">
        <v>339</v>
      </c>
      <c r="B523" s="33" t="s">
        <v>850</v>
      </c>
      <c r="C523" s="33">
        <v>1</v>
      </c>
      <c r="D523" s="33" t="s">
        <v>353</v>
      </c>
      <c r="E523" s="33" t="s">
        <v>850</v>
      </c>
      <c r="F523" s="81">
        <v>1</v>
      </c>
      <c r="G523">
        <f t="shared" si="14"/>
        <v>0</v>
      </c>
      <c r="H523">
        <f t="shared" si="15"/>
        <v>0</v>
      </c>
    </row>
    <row r="524" spans="1:8" x14ac:dyDescent="0.15">
      <c r="A524" s="33" t="s">
        <v>339</v>
      </c>
      <c r="B524" s="33" t="s">
        <v>851</v>
      </c>
      <c r="C524" s="33">
        <v>45</v>
      </c>
      <c r="D524" s="33" t="s">
        <v>353</v>
      </c>
      <c r="E524" s="33" t="s">
        <v>851</v>
      </c>
      <c r="F524" s="81">
        <v>45</v>
      </c>
      <c r="G524">
        <f t="shared" si="14"/>
        <v>0</v>
      </c>
      <c r="H524">
        <f t="shared" si="15"/>
        <v>0</v>
      </c>
    </row>
    <row r="525" spans="1:8" x14ac:dyDescent="0.15">
      <c r="A525" s="33" t="s">
        <v>339</v>
      </c>
      <c r="B525" s="33" t="s">
        <v>852</v>
      </c>
      <c r="C525" s="33">
        <v>1943</v>
      </c>
      <c r="D525" s="33" t="s">
        <v>353</v>
      </c>
      <c r="E525" s="33" t="s">
        <v>852</v>
      </c>
      <c r="F525" s="81">
        <v>1943</v>
      </c>
      <c r="G525">
        <f t="shared" si="14"/>
        <v>0</v>
      </c>
      <c r="H525">
        <f t="shared" si="15"/>
        <v>0</v>
      </c>
    </row>
    <row r="526" spans="1:8" x14ac:dyDescent="0.15">
      <c r="A526" s="33" t="s">
        <v>339</v>
      </c>
      <c r="B526" s="33" t="s">
        <v>853</v>
      </c>
      <c r="C526" s="33">
        <v>464453</v>
      </c>
      <c r="D526" s="33" t="s">
        <v>353</v>
      </c>
      <c r="E526" s="33" t="s">
        <v>853</v>
      </c>
      <c r="F526" s="81">
        <v>464453</v>
      </c>
      <c r="G526">
        <f t="shared" si="14"/>
        <v>0</v>
      </c>
      <c r="H526">
        <f t="shared" si="15"/>
        <v>0</v>
      </c>
    </row>
    <row r="677" spans="9:9" x14ac:dyDescent="0.15">
      <c r="I677" s="13"/>
    </row>
  </sheetData>
  <autoFilter ref="A16:I1120" xr:uid="{00000000-0009-0000-0000-000006000000}">
    <sortState xmlns:xlrd2="http://schemas.microsoft.com/office/spreadsheetml/2017/richdata2" ref="A17:I923">
      <sortCondition descending="1" ref="F16:F923"/>
    </sortState>
  </autoFilter>
  <mergeCells count="2">
    <mergeCell ref="A14:C14"/>
    <mergeCell ref="D14:F1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60"/>
  <sheetViews>
    <sheetView topLeftCell="A268" zoomScaleNormal="100" workbookViewId="0">
      <selection activeCell="B290" sqref="B290:B297"/>
    </sheetView>
  </sheetViews>
  <sheetFormatPr baseColWidth="10" defaultColWidth="8.83203125" defaultRowHeight="13" x14ac:dyDescent="0.15"/>
  <cols>
    <col min="1" max="1" width="12.1640625" bestFit="1" customWidth="1"/>
    <col min="2" max="2" width="10" bestFit="1" customWidth="1"/>
    <col min="3" max="3" width="11.5" style="11" bestFit="1" customWidth="1"/>
    <col min="4" max="4" width="22.33203125" style="11" bestFit="1" customWidth="1"/>
    <col min="5" max="5" width="22.33203125" style="12" bestFit="1" customWidth="1"/>
    <col min="6" max="6" width="10.5" bestFit="1" customWidth="1"/>
    <col min="7" max="7" width="12.83203125" bestFit="1" customWidth="1"/>
  </cols>
  <sheetData>
    <row r="1" spans="1:7" x14ac:dyDescent="0.15">
      <c r="A1" s="13" t="s">
        <v>1545</v>
      </c>
      <c r="B1" s="13" t="s">
        <v>1546</v>
      </c>
      <c r="C1" s="166" t="s">
        <v>1547</v>
      </c>
      <c r="D1" s="166" t="s">
        <v>1548</v>
      </c>
      <c r="E1" s="167" t="s">
        <v>1549</v>
      </c>
      <c r="F1" s="13" t="s">
        <v>1550</v>
      </c>
      <c r="G1" t="s">
        <v>7</v>
      </c>
    </row>
    <row r="2" spans="1:7" ht="13.5" customHeight="1" x14ac:dyDescent="0.15">
      <c r="A2" t="s">
        <v>1551</v>
      </c>
      <c r="B2" t="s">
        <v>1552</v>
      </c>
      <c r="C2" s="11" t="s">
        <v>1553</v>
      </c>
      <c r="D2" s="11" t="s">
        <v>1554</v>
      </c>
      <c r="E2" s="46" t="s">
        <v>1555</v>
      </c>
      <c r="F2">
        <v>11</v>
      </c>
    </row>
    <row r="3" spans="1:7" ht="13.5" customHeight="1" x14ac:dyDescent="0.15">
      <c r="A3" t="s">
        <v>1556</v>
      </c>
      <c r="B3" t="s">
        <v>1552</v>
      </c>
      <c r="C3" s="11" t="s">
        <v>1557</v>
      </c>
      <c r="D3" s="11" t="s">
        <v>1554</v>
      </c>
      <c r="E3" s="46" t="s">
        <v>1558</v>
      </c>
      <c r="F3">
        <v>27</v>
      </c>
    </row>
    <row r="4" spans="1:7" ht="13.5" customHeight="1" x14ac:dyDescent="0.15">
      <c r="A4" t="s">
        <v>1559</v>
      </c>
      <c r="B4" t="s">
        <v>1552</v>
      </c>
      <c r="C4" s="11" t="s">
        <v>1560</v>
      </c>
      <c r="D4" s="11" t="s">
        <v>1561</v>
      </c>
      <c r="E4" s="46" t="s">
        <v>1562</v>
      </c>
      <c r="F4">
        <v>73</v>
      </c>
    </row>
    <row r="5" spans="1:7" ht="13.5" customHeight="1" x14ac:dyDescent="0.15">
      <c r="A5" t="s">
        <v>1563</v>
      </c>
      <c r="B5" t="s">
        <v>1552</v>
      </c>
      <c r="C5" s="11" t="s">
        <v>1560</v>
      </c>
      <c r="D5" s="11" t="s">
        <v>1564</v>
      </c>
      <c r="E5" s="46" t="s">
        <v>1565</v>
      </c>
      <c r="F5">
        <v>73</v>
      </c>
    </row>
    <row r="6" spans="1:7" ht="13.5" customHeight="1" x14ac:dyDescent="0.15">
      <c r="A6" t="s">
        <v>1566</v>
      </c>
      <c r="B6" t="s">
        <v>1552</v>
      </c>
      <c r="C6" s="11" t="s">
        <v>1567</v>
      </c>
      <c r="D6" s="11" t="s">
        <v>1568</v>
      </c>
      <c r="E6" s="46" t="s">
        <v>1569</v>
      </c>
      <c r="F6">
        <v>79</v>
      </c>
    </row>
    <row r="7" spans="1:7" ht="13.5" customHeight="1" x14ac:dyDescent="0.15">
      <c r="A7" t="s">
        <v>1570</v>
      </c>
      <c r="B7" t="s">
        <v>1552</v>
      </c>
      <c r="C7" s="11" t="s">
        <v>1571</v>
      </c>
      <c r="D7" s="11" t="s">
        <v>1555</v>
      </c>
      <c r="E7" s="46" t="s">
        <v>1572</v>
      </c>
      <c r="F7">
        <v>69</v>
      </c>
    </row>
    <row r="8" spans="1:7" ht="13.5" customHeight="1" x14ac:dyDescent="0.15">
      <c r="A8" t="s">
        <v>1573</v>
      </c>
      <c r="B8" t="s">
        <v>1552</v>
      </c>
      <c r="C8" s="11" t="s">
        <v>1574</v>
      </c>
      <c r="D8" s="11" t="s">
        <v>1558</v>
      </c>
      <c r="E8" s="46" t="s">
        <v>1575</v>
      </c>
      <c r="F8">
        <v>88</v>
      </c>
    </row>
    <row r="9" spans="1:7" ht="13.5" customHeight="1" x14ac:dyDescent="0.15">
      <c r="A9" t="s">
        <v>1576</v>
      </c>
      <c r="B9" t="s">
        <v>1552</v>
      </c>
      <c r="C9" s="11" t="s">
        <v>1577</v>
      </c>
      <c r="D9" s="11" t="s">
        <v>1562</v>
      </c>
      <c r="E9" s="46" t="s">
        <v>1578</v>
      </c>
      <c r="F9">
        <v>125</v>
      </c>
    </row>
    <row r="10" spans="1:7" ht="13.5" customHeight="1" x14ac:dyDescent="0.15">
      <c r="A10" t="s">
        <v>1579</v>
      </c>
      <c r="B10" t="s">
        <v>1552</v>
      </c>
      <c r="C10" s="11" t="s">
        <v>1580</v>
      </c>
      <c r="D10" s="11" t="s">
        <v>1565</v>
      </c>
      <c r="E10" s="46" t="s">
        <v>1581</v>
      </c>
      <c r="F10">
        <v>228</v>
      </c>
    </row>
    <row r="11" spans="1:7" ht="13.5" customHeight="1" x14ac:dyDescent="0.15">
      <c r="A11" t="s">
        <v>1582</v>
      </c>
      <c r="B11" t="s">
        <v>1552</v>
      </c>
      <c r="C11" s="11" t="s">
        <v>1583</v>
      </c>
      <c r="D11" s="11" t="s">
        <v>1578</v>
      </c>
      <c r="E11" s="46" t="s">
        <v>1584</v>
      </c>
      <c r="F11">
        <v>164</v>
      </c>
    </row>
    <row r="12" spans="1:7" ht="13.5" customHeight="1" x14ac:dyDescent="0.15">
      <c r="A12" t="s">
        <v>1585</v>
      </c>
      <c r="B12" t="s">
        <v>1552</v>
      </c>
      <c r="C12" s="11" t="s">
        <v>1586</v>
      </c>
      <c r="D12" s="11" t="s">
        <v>1569</v>
      </c>
      <c r="E12" s="46" t="s">
        <v>1587</v>
      </c>
      <c r="F12">
        <v>295</v>
      </c>
    </row>
    <row r="13" spans="1:7" ht="13.5" customHeight="1" x14ac:dyDescent="0.15">
      <c r="A13" t="s">
        <v>1588</v>
      </c>
      <c r="B13" t="s">
        <v>1552</v>
      </c>
      <c r="C13" s="11" t="s">
        <v>1589</v>
      </c>
      <c r="D13" s="11" t="s">
        <v>1572</v>
      </c>
      <c r="E13" s="46" t="s">
        <v>1590</v>
      </c>
      <c r="F13">
        <v>349</v>
      </c>
    </row>
    <row r="14" spans="1:7" ht="13.5" customHeight="1" x14ac:dyDescent="0.15">
      <c r="A14" t="s">
        <v>1591</v>
      </c>
      <c r="B14" t="s">
        <v>1552</v>
      </c>
      <c r="C14" s="11" t="s">
        <v>1592</v>
      </c>
      <c r="D14" s="11" t="s">
        <v>1575</v>
      </c>
      <c r="E14" s="46" t="s">
        <v>1593</v>
      </c>
      <c r="F14">
        <v>416</v>
      </c>
    </row>
    <row r="15" spans="1:7" ht="13.5" customHeight="1" x14ac:dyDescent="0.15">
      <c r="A15" t="s">
        <v>1594</v>
      </c>
      <c r="B15" t="s">
        <v>1552</v>
      </c>
      <c r="C15" s="11" t="s">
        <v>1595</v>
      </c>
      <c r="D15" s="11" t="s">
        <v>1581</v>
      </c>
      <c r="E15" s="46" t="s">
        <v>1596</v>
      </c>
      <c r="F15">
        <v>450</v>
      </c>
    </row>
    <row r="16" spans="1:7" ht="13.5" customHeight="1" x14ac:dyDescent="0.15">
      <c r="A16" t="s">
        <v>1597</v>
      </c>
      <c r="B16" t="s">
        <v>1552</v>
      </c>
      <c r="C16" s="11" t="s">
        <v>1598</v>
      </c>
      <c r="D16" s="11" t="s">
        <v>1587</v>
      </c>
      <c r="E16" s="46" t="s">
        <v>1599</v>
      </c>
      <c r="F16">
        <v>484</v>
      </c>
    </row>
    <row r="17" spans="1:6" ht="13.5" customHeight="1" x14ac:dyDescent="0.15">
      <c r="A17" t="s">
        <v>1600</v>
      </c>
      <c r="B17" t="s">
        <v>1552</v>
      </c>
      <c r="C17" s="11" t="s">
        <v>1601</v>
      </c>
      <c r="D17" s="11" t="s">
        <v>1584</v>
      </c>
      <c r="E17" s="46" t="s">
        <v>1602</v>
      </c>
      <c r="F17">
        <v>505</v>
      </c>
    </row>
    <row r="18" spans="1:6" ht="13.5" customHeight="1" x14ac:dyDescent="0.15">
      <c r="A18" t="s">
        <v>1603</v>
      </c>
      <c r="B18" t="s">
        <v>1552</v>
      </c>
      <c r="C18" s="11" t="s">
        <v>1604</v>
      </c>
      <c r="D18" s="11" t="s">
        <v>1590</v>
      </c>
      <c r="E18" s="46" t="s">
        <v>1605</v>
      </c>
      <c r="F18">
        <v>597</v>
      </c>
    </row>
    <row r="19" spans="1:6" ht="13.5" customHeight="1" x14ac:dyDescent="0.15">
      <c r="A19" t="s">
        <v>1606</v>
      </c>
      <c r="B19" t="s">
        <v>1552</v>
      </c>
      <c r="C19" s="11" t="s">
        <v>1607</v>
      </c>
      <c r="D19" s="11" t="s">
        <v>1593</v>
      </c>
      <c r="E19" s="46" t="s">
        <v>1608</v>
      </c>
      <c r="F19">
        <v>626</v>
      </c>
    </row>
    <row r="20" spans="1:6" ht="13.5" customHeight="1" x14ac:dyDescent="0.15">
      <c r="A20" t="s">
        <v>1609</v>
      </c>
      <c r="B20" t="s">
        <v>1552</v>
      </c>
      <c r="C20" s="11" t="s">
        <v>1610</v>
      </c>
      <c r="D20" s="11" t="s">
        <v>1596</v>
      </c>
      <c r="E20" s="46" t="s">
        <v>1611</v>
      </c>
      <c r="F20">
        <v>1168</v>
      </c>
    </row>
    <row r="21" spans="1:6" ht="13.5" customHeight="1" x14ac:dyDescent="0.15">
      <c r="A21" t="s">
        <v>1612</v>
      </c>
      <c r="B21" t="s">
        <v>1552</v>
      </c>
      <c r="C21" s="11" t="s">
        <v>1613</v>
      </c>
      <c r="D21" s="11" t="s">
        <v>1608</v>
      </c>
      <c r="E21" s="46" t="s">
        <v>1614</v>
      </c>
      <c r="F21">
        <v>1483</v>
      </c>
    </row>
    <row r="22" spans="1:6" ht="13.5" customHeight="1" x14ac:dyDescent="0.15">
      <c r="A22" t="s">
        <v>1615</v>
      </c>
      <c r="B22" t="s">
        <v>1552</v>
      </c>
      <c r="C22" s="11" t="s">
        <v>1616</v>
      </c>
      <c r="D22" s="11" t="s">
        <v>1602</v>
      </c>
      <c r="E22" s="46" t="s">
        <v>1617</v>
      </c>
      <c r="F22">
        <v>2106</v>
      </c>
    </row>
    <row r="23" spans="1:6" ht="13.5" customHeight="1" x14ac:dyDescent="0.15">
      <c r="A23" t="s">
        <v>1618</v>
      </c>
      <c r="B23" t="s">
        <v>1552</v>
      </c>
      <c r="C23" s="11" t="s">
        <v>1619</v>
      </c>
      <c r="D23" s="11" t="s">
        <v>1605</v>
      </c>
      <c r="E23" s="46" t="s">
        <v>1620</v>
      </c>
      <c r="F23">
        <v>2198</v>
      </c>
    </row>
    <row r="24" spans="1:6" ht="13.5" customHeight="1" x14ac:dyDescent="0.15">
      <c r="A24" t="s">
        <v>1621</v>
      </c>
      <c r="B24" t="s">
        <v>1552</v>
      </c>
      <c r="C24" s="11" t="s">
        <v>1622</v>
      </c>
      <c r="D24" s="11" t="s">
        <v>1599</v>
      </c>
      <c r="E24" s="46" t="s">
        <v>1623</v>
      </c>
      <c r="F24">
        <v>2376</v>
      </c>
    </row>
    <row r="25" spans="1:6" ht="13.5" customHeight="1" x14ac:dyDescent="0.15">
      <c r="A25" t="s">
        <v>1624</v>
      </c>
      <c r="B25" t="s">
        <v>1552</v>
      </c>
      <c r="C25" s="11" t="s">
        <v>1625</v>
      </c>
      <c r="D25" s="11" t="s">
        <v>1611</v>
      </c>
      <c r="E25" s="46" t="s">
        <v>1626</v>
      </c>
      <c r="F25">
        <v>1361</v>
      </c>
    </row>
    <row r="26" spans="1:6" ht="13.5" customHeight="1" x14ac:dyDescent="0.15">
      <c r="A26" t="s">
        <v>1627</v>
      </c>
      <c r="B26" t="s">
        <v>1552</v>
      </c>
      <c r="C26" s="11" t="s">
        <v>1628</v>
      </c>
      <c r="D26" s="11" t="s">
        <v>1614</v>
      </c>
      <c r="E26" s="46" t="s">
        <v>1629</v>
      </c>
      <c r="F26">
        <v>1344</v>
      </c>
    </row>
    <row r="27" spans="1:6" ht="13.5" customHeight="1" x14ac:dyDescent="0.15">
      <c r="A27" t="s">
        <v>1630</v>
      </c>
      <c r="B27" t="s">
        <v>1552</v>
      </c>
      <c r="C27" s="11" t="s">
        <v>1631</v>
      </c>
      <c r="D27" s="11" t="s">
        <v>1623</v>
      </c>
      <c r="E27" s="46" t="s">
        <v>1632</v>
      </c>
      <c r="F27">
        <v>943</v>
      </c>
    </row>
    <row r="28" spans="1:6" ht="13.5" customHeight="1" x14ac:dyDescent="0.15">
      <c r="A28" t="s">
        <v>1633</v>
      </c>
      <c r="B28" t="s">
        <v>1552</v>
      </c>
      <c r="C28" s="11" t="s">
        <v>1634</v>
      </c>
      <c r="D28" s="11" t="s">
        <v>1635</v>
      </c>
      <c r="E28" s="46" t="s">
        <v>1636</v>
      </c>
      <c r="F28">
        <v>0</v>
      </c>
    </row>
    <row r="29" spans="1:6" ht="13.5" customHeight="1" x14ac:dyDescent="0.15">
      <c r="A29" t="s">
        <v>1637</v>
      </c>
      <c r="B29" t="s">
        <v>1552</v>
      </c>
      <c r="C29" s="11" t="s">
        <v>1634</v>
      </c>
      <c r="D29" s="11" t="s">
        <v>1638</v>
      </c>
      <c r="E29" s="46" t="s">
        <v>1639</v>
      </c>
      <c r="F29">
        <v>0</v>
      </c>
    </row>
    <row r="30" spans="1:6" ht="13.5" customHeight="1" x14ac:dyDescent="0.15">
      <c r="A30" t="s">
        <v>1640</v>
      </c>
      <c r="B30" t="s">
        <v>1552</v>
      </c>
      <c r="C30" s="11" t="s">
        <v>1634</v>
      </c>
      <c r="D30" s="11" t="s">
        <v>1639</v>
      </c>
      <c r="E30" s="12" t="s">
        <v>1641</v>
      </c>
      <c r="F30">
        <v>0</v>
      </c>
    </row>
    <row r="31" spans="1:6" ht="13.5" customHeight="1" x14ac:dyDescent="0.15">
      <c r="A31" t="s">
        <v>1642</v>
      </c>
      <c r="B31" t="s">
        <v>1552</v>
      </c>
      <c r="C31" s="11" t="s">
        <v>1634</v>
      </c>
      <c r="D31" s="11" t="s">
        <v>1636</v>
      </c>
      <c r="E31" s="12" t="s">
        <v>1643</v>
      </c>
      <c r="F31">
        <v>0</v>
      </c>
    </row>
    <row r="32" spans="1:6" ht="13.5" customHeight="1" x14ac:dyDescent="0.15">
      <c r="A32" t="s">
        <v>1644</v>
      </c>
      <c r="B32" t="s">
        <v>1552</v>
      </c>
      <c r="C32" s="11" t="s">
        <v>1634</v>
      </c>
      <c r="D32" s="11" t="s">
        <v>1643</v>
      </c>
      <c r="E32" s="12" t="s">
        <v>1638</v>
      </c>
      <c r="F32">
        <v>0</v>
      </c>
    </row>
    <row r="33" spans="1:6" ht="13.5" customHeight="1" x14ac:dyDescent="0.15">
      <c r="A33" t="s">
        <v>1645</v>
      </c>
      <c r="B33" t="s">
        <v>1552</v>
      </c>
      <c r="C33" s="11" t="s">
        <v>1634</v>
      </c>
      <c r="D33" s="11" t="s">
        <v>1641</v>
      </c>
      <c r="E33" s="12" t="s">
        <v>1646</v>
      </c>
      <c r="F33">
        <v>0</v>
      </c>
    </row>
    <row r="34" spans="1:6" ht="13.5" customHeight="1" x14ac:dyDescent="0.15">
      <c r="A34" t="s">
        <v>1647</v>
      </c>
      <c r="B34" t="s">
        <v>1552</v>
      </c>
      <c r="C34" s="11" t="s">
        <v>1634</v>
      </c>
      <c r="D34" s="11" t="s">
        <v>1648</v>
      </c>
      <c r="E34" s="12" t="s">
        <v>1649</v>
      </c>
      <c r="F34">
        <v>0</v>
      </c>
    </row>
    <row r="35" spans="1:6" ht="13.5" customHeight="1" x14ac:dyDescent="0.15">
      <c r="A35" t="s">
        <v>1650</v>
      </c>
      <c r="B35" t="s">
        <v>1552</v>
      </c>
      <c r="C35" s="11" t="s">
        <v>1634</v>
      </c>
      <c r="D35" s="11" t="s">
        <v>1646</v>
      </c>
      <c r="E35" s="12" t="s">
        <v>1648</v>
      </c>
      <c r="F35">
        <v>0</v>
      </c>
    </row>
    <row r="36" spans="1:6" ht="13.5" customHeight="1" x14ac:dyDescent="0.15">
      <c r="A36" t="s">
        <v>1651</v>
      </c>
      <c r="B36" t="s">
        <v>1552</v>
      </c>
      <c r="C36" s="11" t="s">
        <v>1634</v>
      </c>
      <c r="D36" s="11" t="s">
        <v>1652</v>
      </c>
      <c r="E36" s="12" t="s">
        <v>1652</v>
      </c>
      <c r="F36">
        <v>0</v>
      </c>
    </row>
    <row r="37" spans="1:6" ht="13.5" customHeight="1" x14ac:dyDescent="0.15">
      <c r="A37" t="s">
        <v>1653</v>
      </c>
      <c r="B37" t="s">
        <v>1552</v>
      </c>
      <c r="C37" s="11" t="s">
        <v>1634</v>
      </c>
      <c r="D37" s="11" t="s">
        <v>1649</v>
      </c>
      <c r="E37" s="12" t="s">
        <v>1652</v>
      </c>
      <c r="F37">
        <v>0</v>
      </c>
    </row>
    <row r="38" spans="1:6" ht="13.5" customHeight="1" x14ac:dyDescent="0.15">
      <c r="A38" t="s">
        <v>1654</v>
      </c>
      <c r="B38" t="s">
        <v>1552</v>
      </c>
      <c r="C38" s="11" t="s">
        <v>1634</v>
      </c>
      <c r="D38" s="11" t="s">
        <v>1655</v>
      </c>
      <c r="E38" s="12" t="s">
        <v>1656</v>
      </c>
      <c r="F38">
        <v>0</v>
      </c>
    </row>
    <row r="39" spans="1:6" ht="13.5" customHeight="1" x14ac:dyDescent="0.15">
      <c r="A39" t="s">
        <v>1657</v>
      </c>
      <c r="B39" t="s">
        <v>1552</v>
      </c>
      <c r="C39" s="11" t="s">
        <v>1634</v>
      </c>
      <c r="D39" s="11" t="s">
        <v>1658</v>
      </c>
      <c r="E39" s="14" t="s">
        <v>1635</v>
      </c>
      <c r="F39">
        <v>0</v>
      </c>
    </row>
    <row r="40" spans="1:6" ht="13.5" customHeight="1" x14ac:dyDescent="0.15">
      <c r="A40" t="s">
        <v>1659</v>
      </c>
      <c r="B40" t="s">
        <v>1552</v>
      </c>
      <c r="C40" s="11" t="s">
        <v>1634</v>
      </c>
      <c r="D40" s="11" t="s">
        <v>1656</v>
      </c>
      <c r="E40" s="14" t="s">
        <v>1658</v>
      </c>
      <c r="F40">
        <v>0</v>
      </c>
    </row>
    <row r="41" spans="1:6" ht="13.5" customHeight="1" x14ac:dyDescent="0.15">
      <c r="A41" t="s">
        <v>1660</v>
      </c>
      <c r="B41" t="s">
        <v>1552</v>
      </c>
      <c r="C41" s="11" t="s">
        <v>1661</v>
      </c>
      <c r="D41" s="11" t="s">
        <v>1620</v>
      </c>
      <c r="E41" s="14" t="s">
        <v>1655</v>
      </c>
      <c r="F41">
        <v>967</v>
      </c>
    </row>
    <row r="42" spans="1:6" ht="13.5" customHeight="1" x14ac:dyDescent="0.15">
      <c r="A42" t="s">
        <v>1662</v>
      </c>
      <c r="B42" t="s">
        <v>1552</v>
      </c>
      <c r="C42" s="11" t="s">
        <v>1634</v>
      </c>
      <c r="D42" s="11" t="s">
        <v>1652</v>
      </c>
      <c r="E42" s="14" t="s">
        <v>1663</v>
      </c>
      <c r="F42">
        <v>0</v>
      </c>
    </row>
    <row r="43" spans="1:6" ht="13.5" customHeight="1" x14ac:dyDescent="0.15">
      <c r="A43" t="s">
        <v>1664</v>
      </c>
      <c r="B43" t="s">
        <v>1552</v>
      </c>
      <c r="C43" s="11" t="s">
        <v>1634</v>
      </c>
      <c r="D43" s="11" t="s">
        <v>1663</v>
      </c>
      <c r="E43" s="14" t="s">
        <v>1665</v>
      </c>
      <c r="F43">
        <v>0</v>
      </c>
    </row>
    <row r="44" spans="1:6" ht="13.5" customHeight="1" x14ac:dyDescent="0.15">
      <c r="A44" t="s">
        <v>1666</v>
      </c>
      <c r="B44" t="s">
        <v>1552</v>
      </c>
      <c r="C44" s="11" t="s">
        <v>1634</v>
      </c>
      <c r="D44" s="11" t="s">
        <v>1665</v>
      </c>
      <c r="E44" s="14" t="s">
        <v>1665</v>
      </c>
      <c r="F44">
        <v>0</v>
      </c>
    </row>
    <row r="45" spans="1:6" ht="13.5" customHeight="1" x14ac:dyDescent="0.15">
      <c r="A45" t="s">
        <v>1667</v>
      </c>
      <c r="B45" t="s">
        <v>1552</v>
      </c>
      <c r="C45" s="11" t="s">
        <v>1634</v>
      </c>
      <c r="D45" s="11" t="s">
        <v>1668</v>
      </c>
      <c r="E45" s="14" t="s">
        <v>1669</v>
      </c>
      <c r="F45">
        <v>0</v>
      </c>
    </row>
    <row r="46" spans="1:6" ht="13.5" customHeight="1" x14ac:dyDescent="0.15">
      <c r="A46" t="s">
        <v>1670</v>
      </c>
      <c r="B46" t="s">
        <v>1552</v>
      </c>
      <c r="C46" s="11" t="s">
        <v>1634</v>
      </c>
      <c r="D46" s="11" t="s">
        <v>1665</v>
      </c>
      <c r="E46" s="14" t="s">
        <v>1671</v>
      </c>
      <c r="F46">
        <v>0</v>
      </c>
    </row>
    <row r="47" spans="1:6" ht="13.5" customHeight="1" x14ac:dyDescent="0.15">
      <c r="A47" t="s">
        <v>1672</v>
      </c>
      <c r="B47" t="s">
        <v>1552</v>
      </c>
      <c r="C47" s="11" t="s">
        <v>1634</v>
      </c>
      <c r="D47" s="11" t="s">
        <v>1671</v>
      </c>
      <c r="E47" s="14" t="s">
        <v>1668</v>
      </c>
      <c r="F47">
        <v>0</v>
      </c>
    </row>
    <row r="48" spans="1:6" ht="13.5" customHeight="1" x14ac:dyDescent="0.15">
      <c r="A48" t="s">
        <v>1673</v>
      </c>
      <c r="B48" t="s">
        <v>1552</v>
      </c>
      <c r="C48" s="11" t="s">
        <v>1634</v>
      </c>
      <c r="D48" s="11" t="s">
        <v>1669</v>
      </c>
      <c r="E48" s="14" t="s">
        <v>1674</v>
      </c>
      <c r="F48">
        <v>0</v>
      </c>
    </row>
    <row r="49" spans="1:7" ht="13.5" customHeight="1" x14ac:dyDescent="0.15">
      <c r="A49" t="s">
        <v>1675</v>
      </c>
      <c r="B49" t="s">
        <v>1552</v>
      </c>
      <c r="C49" s="11" t="s">
        <v>1676</v>
      </c>
      <c r="D49" s="11" t="s">
        <v>1674</v>
      </c>
      <c r="E49" s="14" t="s">
        <v>1677</v>
      </c>
      <c r="F49">
        <v>6</v>
      </c>
    </row>
    <row r="50" spans="1:7" ht="13.5" customHeight="1" x14ac:dyDescent="0.15">
      <c r="A50" t="s">
        <v>1678</v>
      </c>
      <c r="B50" t="s">
        <v>1552</v>
      </c>
      <c r="C50" s="11" t="s">
        <v>1634</v>
      </c>
      <c r="D50" s="11" t="s">
        <v>1679</v>
      </c>
      <c r="E50" s="14" t="s">
        <v>1680</v>
      </c>
      <c r="F50">
        <v>0</v>
      </c>
    </row>
    <row r="51" spans="1:7" ht="13.5" customHeight="1" x14ac:dyDescent="0.15">
      <c r="A51" t="s">
        <v>1681</v>
      </c>
      <c r="B51" t="s">
        <v>1552</v>
      </c>
      <c r="C51" s="11" t="s">
        <v>1634</v>
      </c>
      <c r="D51" s="11" t="s">
        <v>1680</v>
      </c>
      <c r="E51" s="14" t="s">
        <v>1682</v>
      </c>
      <c r="F51">
        <v>0</v>
      </c>
    </row>
    <row r="52" spans="1:7" ht="13.5" customHeight="1" x14ac:dyDescent="0.15">
      <c r="A52" t="s">
        <v>1683</v>
      </c>
      <c r="B52" t="s">
        <v>1552</v>
      </c>
      <c r="C52" s="11" t="s">
        <v>1634</v>
      </c>
      <c r="D52" s="11" t="s">
        <v>1677</v>
      </c>
      <c r="E52" s="14" t="s">
        <v>1679</v>
      </c>
      <c r="F52">
        <v>0</v>
      </c>
    </row>
    <row r="53" spans="1:7" ht="13.5" customHeight="1" x14ac:dyDescent="0.15">
      <c r="A53" t="s">
        <v>1684</v>
      </c>
      <c r="B53" t="s">
        <v>1552</v>
      </c>
      <c r="C53" s="11" t="s">
        <v>1634</v>
      </c>
      <c r="D53" s="11" t="s">
        <v>1685</v>
      </c>
      <c r="E53" s="14" t="s">
        <v>1686</v>
      </c>
      <c r="F53">
        <v>0</v>
      </c>
    </row>
    <row r="54" spans="1:7" ht="13.5" customHeight="1" x14ac:dyDescent="0.15">
      <c r="A54" t="s">
        <v>1687</v>
      </c>
      <c r="B54" t="s">
        <v>1552</v>
      </c>
      <c r="C54" s="11" t="s">
        <v>1634</v>
      </c>
      <c r="D54" s="11" t="s">
        <v>1686</v>
      </c>
      <c r="E54" s="14" t="s">
        <v>1688</v>
      </c>
      <c r="F54">
        <v>0</v>
      </c>
    </row>
    <row r="55" spans="1:7" ht="13.5" customHeight="1" x14ac:dyDescent="0.15">
      <c r="A55" t="s">
        <v>1689</v>
      </c>
      <c r="B55" t="s">
        <v>1552</v>
      </c>
      <c r="C55" s="11" t="s">
        <v>1634</v>
      </c>
      <c r="D55" s="11" t="s">
        <v>1682</v>
      </c>
      <c r="E55" s="14" t="s">
        <v>1690</v>
      </c>
      <c r="F55">
        <v>0</v>
      </c>
    </row>
    <row r="56" spans="1:7" ht="13.5" customHeight="1" x14ac:dyDescent="0.15">
      <c r="A56" t="s">
        <v>1691</v>
      </c>
      <c r="B56" t="s">
        <v>1552</v>
      </c>
      <c r="C56" s="11" t="s">
        <v>1634</v>
      </c>
      <c r="D56" s="11" t="s">
        <v>1690</v>
      </c>
      <c r="E56" s="14" t="s">
        <v>1685</v>
      </c>
      <c r="F56">
        <v>0</v>
      </c>
    </row>
    <row r="57" spans="1:7" ht="13.5" customHeight="1" x14ac:dyDescent="0.15">
      <c r="A57" t="s">
        <v>1692</v>
      </c>
      <c r="B57" t="s">
        <v>1552</v>
      </c>
      <c r="C57" s="11" t="s">
        <v>1634</v>
      </c>
      <c r="D57" s="11" t="s">
        <v>1693</v>
      </c>
      <c r="E57" s="14" t="s">
        <v>1694</v>
      </c>
      <c r="F57">
        <v>0</v>
      </c>
      <c r="G57" t="s">
        <v>1695</v>
      </c>
    </row>
    <row r="58" spans="1:7" ht="13.5" customHeight="1" x14ac:dyDescent="0.15">
      <c r="A58" t="s">
        <v>1696</v>
      </c>
      <c r="B58" t="s">
        <v>1552</v>
      </c>
      <c r="C58" s="11" t="s">
        <v>1634</v>
      </c>
      <c r="D58" s="11" t="s">
        <v>1697</v>
      </c>
      <c r="E58" s="14" t="s">
        <v>1693</v>
      </c>
      <c r="F58">
        <v>0</v>
      </c>
      <c r="G58" t="s">
        <v>1695</v>
      </c>
    </row>
    <row r="59" spans="1:7" ht="13.5" customHeight="1" x14ac:dyDescent="0.15">
      <c r="A59" t="s">
        <v>1698</v>
      </c>
      <c r="B59" t="s">
        <v>1552</v>
      </c>
      <c r="C59" s="11" t="s">
        <v>1634</v>
      </c>
      <c r="D59" s="11" t="s">
        <v>1699</v>
      </c>
      <c r="E59" s="14" t="s">
        <v>1697</v>
      </c>
      <c r="F59">
        <v>0</v>
      </c>
    </row>
    <row r="60" spans="1:7" ht="13.5" customHeight="1" x14ac:dyDescent="0.15">
      <c r="A60" t="s">
        <v>1700</v>
      </c>
      <c r="B60" t="s">
        <v>1552</v>
      </c>
      <c r="C60" s="11" t="s">
        <v>1634</v>
      </c>
      <c r="D60" s="11" t="s">
        <v>1699</v>
      </c>
      <c r="E60" s="14" t="s">
        <v>1699</v>
      </c>
      <c r="F60">
        <v>0</v>
      </c>
    </row>
    <row r="61" spans="1:7" ht="13.5" customHeight="1" x14ac:dyDescent="0.15">
      <c r="A61" t="s">
        <v>1701</v>
      </c>
      <c r="B61" t="s">
        <v>1552</v>
      </c>
      <c r="C61" s="11" t="s">
        <v>1634</v>
      </c>
      <c r="D61" s="11" t="s">
        <v>1702</v>
      </c>
      <c r="E61" s="14" t="s">
        <v>1703</v>
      </c>
      <c r="F61">
        <v>0</v>
      </c>
    </row>
    <row r="62" spans="1:7" ht="13.5" customHeight="1" x14ac:dyDescent="0.15">
      <c r="A62" t="s">
        <v>1704</v>
      </c>
      <c r="B62" t="s">
        <v>1552</v>
      </c>
      <c r="C62" s="11" t="s">
        <v>1634</v>
      </c>
      <c r="D62" s="11" t="s">
        <v>1705</v>
      </c>
      <c r="E62" s="14" t="s">
        <v>1702</v>
      </c>
      <c r="F62">
        <v>0</v>
      </c>
    </row>
    <row r="63" spans="1:7" ht="13.5" customHeight="1" x14ac:dyDescent="0.15">
      <c r="A63" t="s">
        <v>1706</v>
      </c>
      <c r="B63" t="s">
        <v>1552</v>
      </c>
      <c r="C63" s="11" t="s">
        <v>1634</v>
      </c>
      <c r="D63" s="11" t="s">
        <v>1688</v>
      </c>
      <c r="E63" s="14" t="s">
        <v>1707</v>
      </c>
      <c r="F63">
        <v>0</v>
      </c>
    </row>
    <row r="64" spans="1:7" ht="13.5" customHeight="1" x14ac:dyDescent="0.15">
      <c r="A64" t="s">
        <v>1708</v>
      </c>
      <c r="B64" t="s">
        <v>1552</v>
      </c>
      <c r="C64" s="11" t="s">
        <v>1634</v>
      </c>
      <c r="D64" s="11" t="s">
        <v>1707</v>
      </c>
      <c r="E64" s="14" t="s">
        <v>1709</v>
      </c>
      <c r="F64">
        <v>0</v>
      </c>
    </row>
    <row r="65" spans="1:7" ht="13.5" customHeight="1" x14ac:dyDescent="0.15">
      <c r="A65" t="s">
        <v>1710</v>
      </c>
      <c r="B65" t="s">
        <v>1552</v>
      </c>
      <c r="C65" s="11" t="s">
        <v>1634</v>
      </c>
      <c r="D65" s="11" t="s">
        <v>1709</v>
      </c>
      <c r="E65" s="14" t="s">
        <v>1699</v>
      </c>
      <c r="F65">
        <v>0</v>
      </c>
    </row>
    <row r="66" spans="1:7" ht="13.5" customHeight="1" x14ac:dyDescent="0.15">
      <c r="A66" t="s">
        <v>1711</v>
      </c>
      <c r="B66" t="s">
        <v>1552</v>
      </c>
      <c r="C66" s="11" t="s">
        <v>1634</v>
      </c>
      <c r="D66" s="11" t="s">
        <v>1677</v>
      </c>
      <c r="E66" s="14" t="s">
        <v>1677</v>
      </c>
      <c r="F66">
        <v>0</v>
      </c>
      <c r="G66" t="s">
        <v>1695</v>
      </c>
    </row>
    <row r="67" spans="1:7" ht="13.5" customHeight="1" x14ac:dyDescent="0.15">
      <c r="A67" t="s">
        <v>1712</v>
      </c>
      <c r="B67" t="s">
        <v>1552</v>
      </c>
      <c r="C67" s="11" t="s">
        <v>1634</v>
      </c>
      <c r="D67" s="11" t="s">
        <v>1694</v>
      </c>
      <c r="E67" s="14" t="s">
        <v>1713</v>
      </c>
      <c r="F67">
        <v>0</v>
      </c>
    </row>
    <row r="68" spans="1:7" ht="13.5" customHeight="1" x14ac:dyDescent="0.15">
      <c r="A68" t="s">
        <v>1714</v>
      </c>
      <c r="B68" t="s">
        <v>1552</v>
      </c>
      <c r="C68" s="11" t="s">
        <v>1634</v>
      </c>
      <c r="D68" s="11" t="s">
        <v>1713</v>
      </c>
      <c r="E68" s="14" t="s">
        <v>1705</v>
      </c>
      <c r="F68">
        <v>0</v>
      </c>
      <c r="G68" t="s">
        <v>1715</v>
      </c>
    </row>
    <row r="69" spans="1:7" ht="13.5" customHeight="1" x14ac:dyDescent="0.15">
      <c r="A69" t="s">
        <v>1716</v>
      </c>
      <c r="B69" t="s">
        <v>1552</v>
      </c>
      <c r="C69" s="11" t="s">
        <v>1634</v>
      </c>
      <c r="D69" s="11" t="s">
        <v>1688</v>
      </c>
      <c r="E69" s="14" t="s">
        <v>1688</v>
      </c>
      <c r="F69">
        <v>0</v>
      </c>
    </row>
    <row r="70" spans="1:7" ht="13.5" customHeight="1" x14ac:dyDescent="0.15">
      <c r="A70" t="s">
        <v>1717</v>
      </c>
      <c r="B70" t="s">
        <v>1552</v>
      </c>
      <c r="C70" s="11" t="s">
        <v>1634</v>
      </c>
      <c r="D70" s="11" t="s">
        <v>1718</v>
      </c>
      <c r="E70" s="14" t="s">
        <v>1719</v>
      </c>
      <c r="F70">
        <v>0</v>
      </c>
    </row>
    <row r="71" spans="1:7" ht="13.5" customHeight="1" x14ac:dyDescent="0.15">
      <c r="A71" t="s">
        <v>1720</v>
      </c>
      <c r="B71" t="s">
        <v>1552</v>
      </c>
      <c r="C71" s="11" t="s">
        <v>1634</v>
      </c>
      <c r="D71" s="11" t="s">
        <v>1703</v>
      </c>
      <c r="E71" s="14" t="s">
        <v>1721</v>
      </c>
      <c r="F71">
        <v>0</v>
      </c>
    </row>
    <row r="72" spans="1:7" ht="13.5" customHeight="1" x14ac:dyDescent="0.15">
      <c r="A72" t="s">
        <v>1722</v>
      </c>
      <c r="B72" t="s">
        <v>1552</v>
      </c>
      <c r="C72" s="11" t="s">
        <v>1634</v>
      </c>
      <c r="D72" s="11" t="s">
        <v>1721</v>
      </c>
      <c r="E72" s="14" t="s">
        <v>1723</v>
      </c>
      <c r="F72">
        <v>0</v>
      </c>
    </row>
    <row r="73" spans="1:7" ht="13.5" customHeight="1" x14ac:dyDescent="0.15">
      <c r="A73" t="s">
        <v>1724</v>
      </c>
      <c r="B73" t="s">
        <v>1552</v>
      </c>
      <c r="C73" s="11" t="s">
        <v>1634</v>
      </c>
      <c r="D73" s="11" t="s">
        <v>1723</v>
      </c>
      <c r="E73" s="14" t="s">
        <v>1725</v>
      </c>
      <c r="F73">
        <v>0</v>
      </c>
    </row>
    <row r="74" spans="1:7" ht="13.5" customHeight="1" x14ac:dyDescent="0.15">
      <c r="A74" t="s">
        <v>1726</v>
      </c>
      <c r="B74" t="s">
        <v>1552</v>
      </c>
      <c r="C74" s="11" t="s">
        <v>1634</v>
      </c>
      <c r="D74" s="11" t="s">
        <v>1725</v>
      </c>
      <c r="E74" s="14" t="s">
        <v>1727</v>
      </c>
      <c r="F74">
        <v>0</v>
      </c>
    </row>
    <row r="75" spans="1:7" ht="13.5" customHeight="1" x14ac:dyDescent="0.15">
      <c r="A75" t="s">
        <v>1728</v>
      </c>
      <c r="B75" t="s">
        <v>1552</v>
      </c>
      <c r="C75" s="11" t="s">
        <v>1634</v>
      </c>
      <c r="D75" s="11" t="s">
        <v>1727</v>
      </c>
      <c r="E75" s="14" t="s">
        <v>1718</v>
      </c>
      <c r="F75">
        <v>0</v>
      </c>
      <c r="G75" t="s">
        <v>1695</v>
      </c>
    </row>
    <row r="76" spans="1:7" ht="13.5" customHeight="1" x14ac:dyDescent="0.15">
      <c r="A76" t="s">
        <v>1729</v>
      </c>
      <c r="B76" t="s">
        <v>1552</v>
      </c>
      <c r="C76" s="11" t="s">
        <v>1634</v>
      </c>
      <c r="D76" s="11" t="s">
        <v>1730</v>
      </c>
      <c r="E76" s="14" t="s">
        <v>1731</v>
      </c>
      <c r="F76">
        <v>0</v>
      </c>
    </row>
    <row r="77" spans="1:7" ht="13.5" customHeight="1" x14ac:dyDescent="0.15">
      <c r="A77" t="s">
        <v>1732</v>
      </c>
      <c r="B77" t="s">
        <v>1552</v>
      </c>
      <c r="C77" s="11" t="s">
        <v>1733</v>
      </c>
      <c r="D77" s="11" t="s">
        <v>1719</v>
      </c>
      <c r="E77" s="14" t="s">
        <v>1730</v>
      </c>
      <c r="F77">
        <v>5</v>
      </c>
    </row>
    <row r="78" spans="1:7" ht="13.5" customHeight="1" x14ac:dyDescent="0.15">
      <c r="A78" t="s">
        <v>1734</v>
      </c>
      <c r="B78" t="s">
        <v>1552</v>
      </c>
      <c r="C78" s="11" t="s">
        <v>1735</v>
      </c>
      <c r="D78" s="11" t="s">
        <v>1736</v>
      </c>
      <c r="E78" s="14" t="s">
        <v>1737</v>
      </c>
      <c r="F78">
        <v>4</v>
      </c>
    </row>
    <row r="79" spans="1:7" ht="13.5" customHeight="1" x14ac:dyDescent="0.15">
      <c r="A79" t="s">
        <v>1738</v>
      </c>
      <c r="B79" t="s">
        <v>1552</v>
      </c>
      <c r="C79" s="11" t="s">
        <v>1735</v>
      </c>
      <c r="D79" s="11" t="s">
        <v>1739</v>
      </c>
      <c r="E79" s="14" t="s">
        <v>1740</v>
      </c>
      <c r="F79">
        <v>4</v>
      </c>
    </row>
    <row r="80" spans="1:7" ht="13.5" customHeight="1" x14ac:dyDescent="0.15">
      <c r="A80" t="s">
        <v>1741</v>
      </c>
      <c r="B80" t="s">
        <v>1552</v>
      </c>
      <c r="C80" s="11" t="s">
        <v>1742</v>
      </c>
      <c r="D80" s="11" t="s">
        <v>1743</v>
      </c>
      <c r="E80" s="14" t="s">
        <v>1744</v>
      </c>
      <c r="F80">
        <v>9</v>
      </c>
    </row>
    <row r="81" spans="1:6" ht="13.5" customHeight="1" x14ac:dyDescent="0.15">
      <c r="A81" t="s">
        <v>1745</v>
      </c>
      <c r="B81" t="s">
        <v>1552</v>
      </c>
      <c r="C81" s="11" t="s">
        <v>1742</v>
      </c>
      <c r="D81" s="11" t="s">
        <v>1746</v>
      </c>
      <c r="E81" s="14" t="s">
        <v>1747</v>
      </c>
      <c r="F81">
        <v>9</v>
      </c>
    </row>
    <row r="82" spans="1:6" ht="13.5" customHeight="1" x14ac:dyDescent="0.15">
      <c r="A82" t="s">
        <v>1748</v>
      </c>
      <c r="B82" t="s">
        <v>1552</v>
      </c>
      <c r="C82" s="11" t="s">
        <v>1749</v>
      </c>
      <c r="D82" s="11" t="s">
        <v>1626</v>
      </c>
      <c r="E82" s="14" t="s">
        <v>1750</v>
      </c>
      <c r="F82">
        <v>958</v>
      </c>
    </row>
    <row r="83" spans="1:6" ht="13.5" customHeight="1" x14ac:dyDescent="0.15">
      <c r="A83" t="s">
        <v>1751</v>
      </c>
      <c r="B83" t="s">
        <v>1552</v>
      </c>
      <c r="C83" s="11" t="s">
        <v>1752</v>
      </c>
      <c r="D83" s="11" t="s">
        <v>1753</v>
      </c>
      <c r="E83" s="14" t="s">
        <v>1754</v>
      </c>
      <c r="F83">
        <v>7</v>
      </c>
    </row>
    <row r="84" spans="1:6" ht="13.5" customHeight="1" x14ac:dyDescent="0.15">
      <c r="A84" t="s">
        <v>1755</v>
      </c>
      <c r="B84" t="s">
        <v>1552</v>
      </c>
      <c r="C84" s="11" t="s">
        <v>1756</v>
      </c>
      <c r="D84" s="11" t="s">
        <v>1617</v>
      </c>
      <c r="E84" s="14" t="s">
        <v>1757</v>
      </c>
      <c r="F84">
        <v>1349</v>
      </c>
    </row>
    <row r="85" spans="1:6" ht="13.5" customHeight="1" x14ac:dyDescent="0.15">
      <c r="A85" t="s">
        <v>1758</v>
      </c>
      <c r="B85" t="s">
        <v>1552</v>
      </c>
      <c r="C85" s="11" t="s">
        <v>1759</v>
      </c>
      <c r="D85" s="11" t="s">
        <v>1760</v>
      </c>
      <c r="E85" s="14" t="s">
        <v>1761</v>
      </c>
      <c r="F85">
        <v>140</v>
      </c>
    </row>
    <row r="86" spans="1:6" ht="13.5" customHeight="1" x14ac:dyDescent="0.15">
      <c r="A86" t="s">
        <v>1762</v>
      </c>
      <c r="B86" t="s">
        <v>1552</v>
      </c>
      <c r="C86" s="11" t="s">
        <v>1763</v>
      </c>
      <c r="D86" s="11" t="s">
        <v>1764</v>
      </c>
      <c r="E86" s="14" t="s">
        <v>1765</v>
      </c>
      <c r="F86">
        <v>122</v>
      </c>
    </row>
    <row r="87" spans="1:6" ht="13.5" customHeight="1" x14ac:dyDescent="0.15">
      <c r="A87" t="s">
        <v>1766</v>
      </c>
      <c r="B87" t="s">
        <v>1552</v>
      </c>
      <c r="C87" s="11" t="s">
        <v>1767</v>
      </c>
      <c r="D87" s="11" t="s">
        <v>1768</v>
      </c>
      <c r="E87" s="14" t="s">
        <v>1769</v>
      </c>
      <c r="F87">
        <v>142</v>
      </c>
    </row>
    <row r="88" spans="1:6" ht="13.5" customHeight="1" x14ac:dyDescent="0.15">
      <c r="A88" t="s">
        <v>1770</v>
      </c>
      <c r="B88" t="s">
        <v>1552</v>
      </c>
      <c r="C88" s="11" t="s">
        <v>1771</v>
      </c>
      <c r="D88" s="11" t="s">
        <v>1772</v>
      </c>
      <c r="E88" s="14" t="s">
        <v>1773</v>
      </c>
      <c r="F88">
        <v>145</v>
      </c>
    </row>
    <row r="89" spans="1:6" ht="13.5" customHeight="1" x14ac:dyDescent="0.15">
      <c r="A89" t="s">
        <v>1774</v>
      </c>
      <c r="B89" t="s">
        <v>1552</v>
      </c>
      <c r="C89" s="11" t="s">
        <v>1759</v>
      </c>
      <c r="D89" s="11" t="s">
        <v>1775</v>
      </c>
      <c r="E89" s="14" t="s">
        <v>1776</v>
      </c>
      <c r="F89">
        <v>140</v>
      </c>
    </row>
    <row r="90" spans="1:6" ht="13.5" customHeight="1" x14ac:dyDescent="0.15">
      <c r="A90" t="s">
        <v>1777</v>
      </c>
      <c r="B90" t="s">
        <v>1552</v>
      </c>
      <c r="C90" s="11" t="s">
        <v>1778</v>
      </c>
      <c r="D90" s="11" t="s">
        <v>1629</v>
      </c>
      <c r="E90" s="14" t="s">
        <v>1779</v>
      </c>
      <c r="F90">
        <v>971</v>
      </c>
    </row>
    <row r="91" spans="1:6" ht="13.5" customHeight="1" x14ac:dyDescent="0.15">
      <c r="A91" t="s">
        <v>1780</v>
      </c>
      <c r="B91" t="s">
        <v>1552</v>
      </c>
      <c r="C91" s="11" t="s">
        <v>1781</v>
      </c>
      <c r="D91" s="11" t="s">
        <v>1782</v>
      </c>
      <c r="E91" s="14" t="s">
        <v>1783</v>
      </c>
      <c r="F91">
        <v>149</v>
      </c>
    </row>
    <row r="92" spans="1:6" ht="13.5" customHeight="1" x14ac:dyDescent="0.15">
      <c r="A92" t="s">
        <v>1784</v>
      </c>
      <c r="B92" t="s">
        <v>1552</v>
      </c>
      <c r="C92" s="11" t="s">
        <v>1785</v>
      </c>
      <c r="D92" s="11" t="s">
        <v>1786</v>
      </c>
      <c r="E92" s="14" t="s">
        <v>1787</v>
      </c>
      <c r="F92">
        <v>155</v>
      </c>
    </row>
    <row r="93" spans="1:6" ht="13.5" customHeight="1" x14ac:dyDescent="0.15">
      <c r="A93" t="s">
        <v>1788</v>
      </c>
      <c r="B93" t="s">
        <v>1552</v>
      </c>
      <c r="C93" s="11" t="s">
        <v>1789</v>
      </c>
      <c r="D93" s="11" t="s">
        <v>1790</v>
      </c>
      <c r="E93" s="14" t="s">
        <v>1791</v>
      </c>
      <c r="F93">
        <v>162</v>
      </c>
    </row>
    <row r="94" spans="1:6" ht="13.5" customHeight="1" x14ac:dyDescent="0.15">
      <c r="A94" t="s">
        <v>1792</v>
      </c>
      <c r="B94" t="s">
        <v>1552</v>
      </c>
      <c r="C94" s="11" t="s">
        <v>1789</v>
      </c>
      <c r="D94" s="11" t="s">
        <v>1793</v>
      </c>
      <c r="E94" s="14" t="s">
        <v>1794</v>
      </c>
      <c r="F94">
        <v>162</v>
      </c>
    </row>
    <row r="95" spans="1:6" ht="13.5" customHeight="1" x14ac:dyDescent="0.15">
      <c r="A95" t="s">
        <v>1795</v>
      </c>
      <c r="B95" t="s">
        <v>1552</v>
      </c>
      <c r="C95" s="11" t="s">
        <v>1796</v>
      </c>
      <c r="D95" s="11" t="s">
        <v>1797</v>
      </c>
      <c r="E95" s="14" t="s">
        <v>1798</v>
      </c>
      <c r="F95">
        <v>160</v>
      </c>
    </row>
    <row r="96" spans="1:6" ht="13.5" customHeight="1" x14ac:dyDescent="0.15">
      <c r="A96" t="s">
        <v>1799</v>
      </c>
      <c r="B96" t="s">
        <v>1552</v>
      </c>
      <c r="C96" s="11" t="s">
        <v>1800</v>
      </c>
      <c r="D96" s="11" t="s">
        <v>1801</v>
      </c>
      <c r="E96" s="14" t="s">
        <v>1802</v>
      </c>
      <c r="F96">
        <v>159</v>
      </c>
    </row>
    <row r="97" spans="1:7" ht="13.5" customHeight="1" x14ac:dyDescent="0.15">
      <c r="A97" t="s">
        <v>1803</v>
      </c>
      <c r="B97" t="s">
        <v>1552</v>
      </c>
      <c r="C97" s="11" t="s">
        <v>1804</v>
      </c>
      <c r="D97" s="11" t="s">
        <v>1805</v>
      </c>
      <c r="E97" s="14" t="s">
        <v>1806</v>
      </c>
      <c r="F97">
        <v>161</v>
      </c>
    </row>
    <row r="98" spans="1:7" ht="13.5" customHeight="1" x14ac:dyDescent="0.15">
      <c r="A98" t="s">
        <v>1807</v>
      </c>
      <c r="B98" t="s">
        <v>1552</v>
      </c>
      <c r="C98" s="11" t="s">
        <v>1808</v>
      </c>
      <c r="D98" s="11" t="s">
        <v>1632</v>
      </c>
      <c r="E98" s="14" t="s">
        <v>1809</v>
      </c>
      <c r="F98">
        <v>1929</v>
      </c>
    </row>
    <row r="99" spans="1:7" ht="13.5" customHeight="1" x14ac:dyDescent="0.15">
      <c r="A99" t="s">
        <v>1810</v>
      </c>
      <c r="B99" t="s">
        <v>1552</v>
      </c>
      <c r="C99" s="11" t="s">
        <v>1811</v>
      </c>
      <c r="D99" s="11" t="s">
        <v>1812</v>
      </c>
      <c r="E99" s="14" t="s">
        <v>1813</v>
      </c>
      <c r="F99">
        <v>168</v>
      </c>
    </row>
    <row r="100" spans="1:7" ht="13.5" customHeight="1" x14ac:dyDescent="0.15">
      <c r="A100" t="s">
        <v>1814</v>
      </c>
      <c r="B100" t="s">
        <v>1552</v>
      </c>
      <c r="C100" s="11" t="s">
        <v>1815</v>
      </c>
      <c r="D100" s="11" t="s">
        <v>1816</v>
      </c>
      <c r="E100" s="14" t="s">
        <v>1817</v>
      </c>
      <c r="F100">
        <v>167</v>
      </c>
    </row>
    <row r="101" spans="1:7" ht="13.5" customHeight="1" x14ac:dyDescent="0.15">
      <c r="A101" t="s">
        <v>1818</v>
      </c>
      <c r="B101" t="s">
        <v>1552</v>
      </c>
      <c r="C101" s="11" t="s">
        <v>1819</v>
      </c>
      <c r="D101" s="11" t="s">
        <v>1820</v>
      </c>
      <c r="E101" s="14" t="s">
        <v>1821</v>
      </c>
      <c r="F101">
        <v>170</v>
      </c>
    </row>
    <row r="102" spans="1:7" ht="13.5" customHeight="1" x14ac:dyDescent="0.15">
      <c r="A102" t="s">
        <v>1822</v>
      </c>
      <c r="B102" t="s">
        <v>1552</v>
      </c>
      <c r="C102" s="11" t="s">
        <v>1823</v>
      </c>
      <c r="D102" s="11" t="s">
        <v>1824</v>
      </c>
      <c r="E102" s="14" t="s">
        <v>1825</v>
      </c>
      <c r="F102">
        <v>174</v>
      </c>
    </row>
    <row r="103" spans="1:7" ht="13.5" customHeight="1" x14ac:dyDescent="0.15">
      <c r="A103" t="s">
        <v>1826</v>
      </c>
      <c r="B103" t="s">
        <v>1552</v>
      </c>
      <c r="C103" s="11" t="s">
        <v>1819</v>
      </c>
      <c r="D103" s="11" t="s">
        <v>1827</v>
      </c>
      <c r="E103" s="14" t="s">
        <v>1828</v>
      </c>
      <c r="F103">
        <v>170</v>
      </c>
    </row>
    <row r="104" spans="1:7" ht="13.5" customHeight="1" x14ac:dyDescent="0.15">
      <c r="A104" t="s">
        <v>1829</v>
      </c>
      <c r="B104" t="s">
        <v>1552</v>
      </c>
      <c r="C104" s="11" t="s">
        <v>1830</v>
      </c>
      <c r="D104" s="11" t="s">
        <v>1831</v>
      </c>
      <c r="E104" s="14" t="s">
        <v>1832</v>
      </c>
      <c r="F104">
        <v>173</v>
      </c>
    </row>
    <row r="105" spans="1:7" ht="13.5" customHeight="1" x14ac:dyDescent="0.15">
      <c r="A105" t="s">
        <v>1833</v>
      </c>
      <c r="B105" t="s">
        <v>1552</v>
      </c>
      <c r="C105" s="11" t="s">
        <v>1834</v>
      </c>
      <c r="D105" s="11" t="s">
        <v>1835</v>
      </c>
      <c r="E105" s="14" t="s">
        <v>1836</v>
      </c>
      <c r="F105">
        <v>272</v>
      </c>
    </row>
    <row r="106" spans="1:7" ht="13.5" customHeight="1" x14ac:dyDescent="0.15">
      <c r="A106" t="s">
        <v>1837</v>
      </c>
      <c r="B106" t="s">
        <v>1552</v>
      </c>
      <c r="C106" s="11" t="s">
        <v>1634</v>
      </c>
      <c r="D106" s="11" t="s">
        <v>1838</v>
      </c>
      <c r="E106" s="14" t="s">
        <v>1839</v>
      </c>
      <c r="F106">
        <v>0</v>
      </c>
      <c r="G106" t="s">
        <v>1695</v>
      </c>
    </row>
    <row r="107" spans="1:7" ht="13.5" customHeight="1" x14ac:dyDescent="0.15">
      <c r="A107" t="s">
        <v>1840</v>
      </c>
      <c r="B107" t="s">
        <v>1552</v>
      </c>
      <c r="C107" s="11" t="s">
        <v>1634</v>
      </c>
      <c r="D107" s="11" t="s">
        <v>1841</v>
      </c>
      <c r="E107" s="14" t="s">
        <v>1842</v>
      </c>
      <c r="F107">
        <v>0</v>
      </c>
    </row>
    <row r="108" spans="1:7" ht="13.5" customHeight="1" x14ac:dyDescent="0.15">
      <c r="A108" t="s">
        <v>1843</v>
      </c>
      <c r="B108" t="s">
        <v>1552</v>
      </c>
      <c r="C108" s="11" t="s">
        <v>1634</v>
      </c>
      <c r="D108" s="11" t="s">
        <v>1844</v>
      </c>
      <c r="E108" s="14" t="s">
        <v>1839</v>
      </c>
      <c r="F108">
        <v>0</v>
      </c>
    </row>
    <row r="109" spans="1:7" ht="13.5" customHeight="1" x14ac:dyDescent="0.15">
      <c r="A109" t="s">
        <v>1845</v>
      </c>
      <c r="B109" t="s">
        <v>1552</v>
      </c>
      <c r="C109" s="11" t="s">
        <v>1634</v>
      </c>
      <c r="D109" s="11" t="s">
        <v>1846</v>
      </c>
      <c r="E109" s="14" t="s">
        <v>1847</v>
      </c>
      <c r="F109">
        <v>0</v>
      </c>
    </row>
    <row r="110" spans="1:7" ht="13.5" customHeight="1" x14ac:dyDescent="0.15">
      <c r="A110" t="s">
        <v>1848</v>
      </c>
      <c r="B110" t="s">
        <v>1552</v>
      </c>
      <c r="C110" s="11" t="s">
        <v>1849</v>
      </c>
      <c r="D110" s="11" t="s">
        <v>1850</v>
      </c>
      <c r="E110" s="14" t="s">
        <v>1851</v>
      </c>
      <c r="F110">
        <v>2</v>
      </c>
    </row>
    <row r="111" spans="1:7" ht="13.5" customHeight="1" x14ac:dyDescent="0.15">
      <c r="A111" t="s">
        <v>1852</v>
      </c>
      <c r="B111" t="s">
        <v>1552</v>
      </c>
      <c r="C111" s="11" t="s">
        <v>1634</v>
      </c>
      <c r="D111" s="11" t="s">
        <v>1853</v>
      </c>
      <c r="E111" s="14" t="s">
        <v>1847</v>
      </c>
      <c r="F111">
        <v>0</v>
      </c>
    </row>
    <row r="112" spans="1:7" ht="13.5" customHeight="1" x14ac:dyDescent="0.15">
      <c r="A112" t="s">
        <v>1854</v>
      </c>
      <c r="B112" t="s">
        <v>1552</v>
      </c>
      <c r="C112" s="11" t="s">
        <v>1634</v>
      </c>
      <c r="D112" s="11" t="s">
        <v>1855</v>
      </c>
      <c r="E112" s="14" t="s">
        <v>1841</v>
      </c>
      <c r="F112">
        <v>0</v>
      </c>
    </row>
    <row r="113" spans="1:6" ht="13.5" customHeight="1" x14ac:dyDescent="0.15">
      <c r="A113" t="s">
        <v>1856</v>
      </c>
      <c r="B113" t="s">
        <v>1552</v>
      </c>
      <c r="C113" s="11" t="s">
        <v>1634</v>
      </c>
      <c r="D113" s="11" t="s">
        <v>1842</v>
      </c>
      <c r="E113" s="14" t="s">
        <v>1857</v>
      </c>
      <c r="F113">
        <v>0</v>
      </c>
    </row>
    <row r="114" spans="1:6" ht="13.5" customHeight="1" x14ac:dyDescent="0.15">
      <c r="A114" t="s">
        <v>1858</v>
      </c>
      <c r="B114" t="s">
        <v>1552</v>
      </c>
      <c r="C114" s="11" t="s">
        <v>1634</v>
      </c>
      <c r="D114" s="11" t="s">
        <v>1839</v>
      </c>
      <c r="E114" s="14" t="s">
        <v>1859</v>
      </c>
      <c r="F114">
        <v>0</v>
      </c>
    </row>
    <row r="115" spans="1:6" ht="13.5" customHeight="1" x14ac:dyDescent="0.15">
      <c r="A115" t="s">
        <v>1860</v>
      </c>
      <c r="B115" t="s">
        <v>1552</v>
      </c>
      <c r="C115" s="11" t="s">
        <v>1861</v>
      </c>
      <c r="D115" s="11" t="s">
        <v>1857</v>
      </c>
      <c r="E115" s="14" t="s">
        <v>1862</v>
      </c>
      <c r="F115">
        <v>3</v>
      </c>
    </row>
    <row r="116" spans="1:6" ht="13.5" customHeight="1" x14ac:dyDescent="0.15">
      <c r="A116" t="s">
        <v>1863</v>
      </c>
      <c r="B116" t="s">
        <v>1552</v>
      </c>
      <c r="C116" s="11" t="s">
        <v>1634</v>
      </c>
      <c r="D116" s="11" t="s">
        <v>1864</v>
      </c>
      <c r="E116" s="14" t="s">
        <v>1865</v>
      </c>
      <c r="F116">
        <v>0</v>
      </c>
    </row>
    <row r="117" spans="1:6" ht="13.5" customHeight="1" x14ac:dyDescent="0.15">
      <c r="A117" t="s">
        <v>1866</v>
      </c>
      <c r="B117" t="s">
        <v>1552</v>
      </c>
      <c r="C117" s="11" t="s">
        <v>1634</v>
      </c>
      <c r="D117" s="11" t="s">
        <v>1865</v>
      </c>
      <c r="E117" s="14" t="s">
        <v>1867</v>
      </c>
      <c r="F117">
        <v>0</v>
      </c>
    </row>
    <row r="118" spans="1:6" ht="13.5" customHeight="1" x14ac:dyDescent="0.15">
      <c r="A118" t="s">
        <v>1868</v>
      </c>
      <c r="B118" t="s">
        <v>1552</v>
      </c>
      <c r="C118" s="11" t="s">
        <v>1634</v>
      </c>
      <c r="D118" s="11" t="s">
        <v>1862</v>
      </c>
      <c r="E118" s="14" t="s">
        <v>1864</v>
      </c>
      <c r="F118">
        <v>0</v>
      </c>
    </row>
    <row r="119" spans="1:6" ht="13.5" customHeight="1" x14ac:dyDescent="0.15">
      <c r="A119" t="s">
        <v>1869</v>
      </c>
      <c r="B119" t="s">
        <v>1552</v>
      </c>
      <c r="C119" s="11" t="s">
        <v>1870</v>
      </c>
      <c r="D119" s="11" t="s">
        <v>1851</v>
      </c>
      <c r="E119" s="14" t="s">
        <v>1871</v>
      </c>
      <c r="F119">
        <v>1</v>
      </c>
    </row>
    <row r="120" spans="1:6" ht="13.5" customHeight="1" x14ac:dyDescent="0.15">
      <c r="A120" t="s">
        <v>1872</v>
      </c>
      <c r="B120" t="s">
        <v>1552</v>
      </c>
      <c r="C120" s="11" t="s">
        <v>1634</v>
      </c>
      <c r="D120" s="11" t="s">
        <v>1873</v>
      </c>
      <c r="E120" s="14" t="s">
        <v>1874</v>
      </c>
      <c r="F120">
        <v>0</v>
      </c>
    </row>
    <row r="121" spans="1:6" ht="13.5" customHeight="1" x14ac:dyDescent="0.15">
      <c r="A121" t="s">
        <v>1875</v>
      </c>
      <c r="B121" t="s">
        <v>1552</v>
      </c>
      <c r="C121" s="11" t="s">
        <v>1634</v>
      </c>
      <c r="D121" s="11" t="s">
        <v>1867</v>
      </c>
      <c r="E121" s="14" t="s">
        <v>1873</v>
      </c>
      <c r="F121">
        <v>0</v>
      </c>
    </row>
    <row r="122" spans="1:6" ht="13.5" customHeight="1" x14ac:dyDescent="0.15">
      <c r="A122" t="s">
        <v>1876</v>
      </c>
      <c r="B122" t="s">
        <v>1552</v>
      </c>
      <c r="C122" s="11" t="s">
        <v>1634</v>
      </c>
      <c r="D122" s="11" t="s">
        <v>1874</v>
      </c>
      <c r="E122" s="14" t="s">
        <v>1877</v>
      </c>
      <c r="F122">
        <v>0</v>
      </c>
    </row>
    <row r="123" spans="1:6" ht="13.5" customHeight="1" x14ac:dyDescent="0.15">
      <c r="A123" t="s">
        <v>1878</v>
      </c>
      <c r="B123" t="s">
        <v>1552</v>
      </c>
      <c r="C123" s="11" t="s">
        <v>1870</v>
      </c>
      <c r="D123" s="11" t="s">
        <v>1871</v>
      </c>
      <c r="E123" s="14" t="s">
        <v>1879</v>
      </c>
      <c r="F123">
        <v>1</v>
      </c>
    </row>
    <row r="124" spans="1:6" ht="13.5" customHeight="1" x14ac:dyDescent="0.15">
      <c r="A124" t="s">
        <v>1880</v>
      </c>
      <c r="B124" t="s">
        <v>1552</v>
      </c>
      <c r="C124" s="11" t="s">
        <v>1634</v>
      </c>
      <c r="D124" s="11" t="s">
        <v>1881</v>
      </c>
      <c r="E124" s="14" t="s">
        <v>1882</v>
      </c>
      <c r="F124">
        <v>0</v>
      </c>
    </row>
    <row r="125" spans="1:6" ht="13.5" customHeight="1" x14ac:dyDescent="0.15">
      <c r="A125" t="s">
        <v>1883</v>
      </c>
      <c r="B125" t="s">
        <v>1552</v>
      </c>
      <c r="C125" s="11" t="s">
        <v>1870</v>
      </c>
      <c r="D125" s="11" t="s">
        <v>1877</v>
      </c>
      <c r="E125" s="14" t="s">
        <v>1884</v>
      </c>
      <c r="F125">
        <v>1</v>
      </c>
    </row>
    <row r="126" spans="1:6" ht="13.5" customHeight="1" x14ac:dyDescent="0.15">
      <c r="A126" t="s">
        <v>1885</v>
      </c>
      <c r="B126" t="s">
        <v>1552</v>
      </c>
      <c r="C126" s="11" t="s">
        <v>1634</v>
      </c>
      <c r="D126" s="11" t="s">
        <v>1884</v>
      </c>
      <c r="E126" s="14" t="s">
        <v>1886</v>
      </c>
      <c r="F126">
        <v>0</v>
      </c>
    </row>
    <row r="127" spans="1:6" ht="13.5" customHeight="1" x14ac:dyDescent="0.15">
      <c r="A127" t="s">
        <v>1887</v>
      </c>
      <c r="B127" t="s">
        <v>1552</v>
      </c>
      <c r="C127" s="11" t="s">
        <v>1634</v>
      </c>
      <c r="D127" s="11" t="s">
        <v>1888</v>
      </c>
      <c r="E127" s="14" t="s">
        <v>1881</v>
      </c>
      <c r="F127">
        <v>0</v>
      </c>
    </row>
    <row r="128" spans="1:6" ht="13.5" customHeight="1" x14ac:dyDescent="0.15">
      <c r="A128" t="s">
        <v>1889</v>
      </c>
      <c r="B128" t="s">
        <v>1552</v>
      </c>
      <c r="C128" s="11" t="s">
        <v>1634</v>
      </c>
      <c r="D128" s="11" t="s">
        <v>1886</v>
      </c>
      <c r="E128" s="14" t="s">
        <v>1888</v>
      </c>
      <c r="F128">
        <v>0</v>
      </c>
    </row>
    <row r="129" spans="1:6" ht="13.5" customHeight="1" x14ac:dyDescent="0.15">
      <c r="A129" t="s">
        <v>1890</v>
      </c>
      <c r="B129" t="s">
        <v>1552</v>
      </c>
      <c r="C129" s="11" t="s">
        <v>1634</v>
      </c>
      <c r="D129" s="11" t="s">
        <v>1882</v>
      </c>
      <c r="E129" s="14" t="s">
        <v>1891</v>
      </c>
      <c r="F129">
        <v>0</v>
      </c>
    </row>
    <row r="130" spans="1:6" ht="13.5" customHeight="1" x14ac:dyDescent="0.15">
      <c r="A130" t="s">
        <v>1892</v>
      </c>
      <c r="B130" t="s">
        <v>1552</v>
      </c>
      <c r="C130" s="11" t="s">
        <v>1870</v>
      </c>
      <c r="D130" s="11" t="s">
        <v>1879</v>
      </c>
      <c r="E130" s="14" t="s">
        <v>1893</v>
      </c>
      <c r="F130">
        <v>1</v>
      </c>
    </row>
    <row r="131" spans="1:6" ht="13.5" customHeight="1" x14ac:dyDescent="0.15">
      <c r="A131" t="s">
        <v>1894</v>
      </c>
      <c r="B131" t="s">
        <v>1552</v>
      </c>
      <c r="C131" s="11" t="s">
        <v>1634</v>
      </c>
      <c r="D131" s="11" t="s">
        <v>1893</v>
      </c>
      <c r="E131" s="14" t="s">
        <v>1895</v>
      </c>
      <c r="F131">
        <v>0</v>
      </c>
    </row>
    <row r="132" spans="1:6" ht="13.5" customHeight="1" x14ac:dyDescent="0.15">
      <c r="A132" t="s">
        <v>1896</v>
      </c>
      <c r="B132" t="s">
        <v>1552</v>
      </c>
      <c r="C132" s="11" t="s">
        <v>1634</v>
      </c>
      <c r="D132" s="11" t="s">
        <v>1895</v>
      </c>
      <c r="E132" s="14" t="s">
        <v>1897</v>
      </c>
      <c r="F132">
        <v>0</v>
      </c>
    </row>
    <row r="133" spans="1:6" ht="13.5" customHeight="1" x14ac:dyDescent="0.15">
      <c r="A133" t="s">
        <v>1898</v>
      </c>
      <c r="B133" t="s">
        <v>1552</v>
      </c>
      <c r="C133" s="11" t="s">
        <v>1634</v>
      </c>
      <c r="D133" s="11" t="s">
        <v>1899</v>
      </c>
      <c r="E133" s="14" t="s">
        <v>1900</v>
      </c>
      <c r="F133">
        <v>0</v>
      </c>
    </row>
    <row r="134" spans="1:6" ht="13.5" customHeight="1" x14ac:dyDescent="0.15">
      <c r="A134" t="s">
        <v>1901</v>
      </c>
      <c r="B134" t="s">
        <v>1552</v>
      </c>
      <c r="C134" s="11" t="s">
        <v>1634</v>
      </c>
      <c r="D134" s="11" t="s">
        <v>1897</v>
      </c>
      <c r="E134" s="14" t="s">
        <v>1899</v>
      </c>
      <c r="F134">
        <v>0</v>
      </c>
    </row>
    <row r="135" spans="1:6" ht="13.5" customHeight="1" x14ac:dyDescent="0.15">
      <c r="A135" t="s">
        <v>1902</v>
      </c>
      <c r="B135" t="s">
        <v>1552</v>
      </c>
      <c r="C135" s="11" t="s">
        <v>1634</v>
      </c>
      <c r="D135" s="11" t="s">
        <v>1903</v>
      </c>
      <c r="E135" s="14" t="s">
        <v>1903</v>
      </c>
      <c r="F135">
        <v>0</v>
      </c>
    </row>
    <row r="136" spans="1:6" ht="13.5" customHeight="1" x14ac:dyDescent="0.15">
      <c r="A136" t="s">
        <v>1904</v>
      </c>
      <c r="B136" t="s">
        <v>1552</v>
      </c>
      <c r="C136" s="11" t="s">
        <v>1634</v>
      </c>
      <c r="D136" s="11" t="s">
        <v>1905</v>
      </c>
      <c r="E136" s="14" t="s">
        <v>1906</v>
      </c>
      <c r="F136">
        <v>0</v>
      </c>
    </row>
    <row r="137" spans="1:6" ht="13.5" customHeight="1" x14ac:dyDescent="0.15">
      <c r="A137" t="s">
        <v>1907</v>
      </c>
      <c r="B137" t="s">
        <v>1552</v>
      </c>
      <c r="C137" s="11" t="s">
        <v>1870</v>
      </c>
      <c r="D137" s="11" t="s">
        <v>1900</v>
      </c>
      <c r="E137" s="14" t="s">
        <v>1905</v>
      </c>
      <c r="F137">
        <v>1</v>
      </c>
    </row>
    <row r="138" spans="1:6" ht="13.5" customHeight="1" x14ac:dyDescent="0.15">
      <c r="A138" t="s">
        <v>1908</v>
      </c>
      <c r="B138" t="s">
        <v>1552</v>
      </c>
      <c r="C138" s="11" t="s">
        <v>1634</v>
      </c>
      <c r="D138" s="11" t="s">
        <v>1909</v>
      </c>
      <c r="E138" s="14" t="s">
        <v>1903</v>
      </c>
      <c r="F138">
        <v>0</v>
      </c>
    </row>
    <row r="139" spans="1:6" ht="13.5" customHeight="1" x14ac:dyDescent="0.15">
      <c r="A139" t="s">
        <v>1910</v>
      </c>
      <c r="B139" t="s">
        <v>1552</v>
      </c>
      <c r="C139" s="11" t="s">
        <v>1634</v>
      </c>
      <c r="D139" s="11" t="s">
        <v>1906</v>
      </c>
      <c r="E139" s="14" t="s">
        <v>1909</v>
      </c>
      <c r="F139">
        <v>0</v>
      </c>
    </row>
    <row r="140" spans="1:6" ht="13.5" customHeight="1" x14ac:dyDescent="0.15">
      <c r="A140" t="s">
        <v>1911</v>
      </c>
      <c r="B140" t="s">
        <v>1552</v>
      </c>
      <c r="C140" s="11" t="s">
        <v>1634</v>
      </c>
      <c r="D140" s="11" t="s">
        <v>1912</v>
      </c>
      <c r="E140" s="14" t="s">
        <v>1913</v>
      </c>
      <c r="F140">
        <v>0</v>
      </c>
    </row>
    <row r="141" spans="1:6" ht="13.5" customHeight="1" x14ac:dyDescent="0.15">
      <c r="A141" t="s">
        <v>1914</v>
      </c>
      <c r="B141" t="s">
        <v>1552</v>
      </c>
      <c r="C141" s="11" t="s">
        <v>1634</v>
      </c>
      <c r="D141" s="11" t="s">
        <v>1903</v>
      </c>
      <c r="E141" s="14" t="s">
        <v>1912</v>
      </c>
      <c r="F141">
        <v>0</v>
      </c>
    </row>
    <row r="142" spans="1:6" ht="13.5" customHeight="1" x14ac:dyDescent="0.15">
      <c r="A142" t="s">
        <v>1915</v>
      </c>
      <c r="B142" t="s">
        <v>1552</v>
      </c>
      <c r="C142" s="11" t="s">
        <v>1634</v>
      </c>
      <c r="D142" s="11" t="s">
        <v>1916</v>
      </c>
      <c r="E142" s="14" t="s">
        <v>1917</v>
      </c>
      <c r="F142">
        <v>0</v>
      </c>
    </row>
    <row r="143" spans="1:6" ht="13.5" customHeight="1" x14ac:dyDescent="0.15">
      <c r="A143" t="s">
        <v>1918</v>
      </c>
      <c r="B143" t="s">
        <v>1552</v>
      </c>
      <c r="C143" s="11" t="s">
        <v>1870</v>
      </c>
      <c r="D143" s="11" t="s">
        <v>1913</v>
      </c>
      <c r="E143" s="14" t="s">
        <v>1916</v>
      </c>
      <c r="F143">
        <v>1</v>
      </c>
    </row>
    <row r="144" spans="1:6" ht="13.5" customHeight="1" x14ac:dyDescent="0.15">
      <c r="A144" t="s">
        <v>1919</v>
      </c>
      <c r="B144" t="s">
        <v>1552</v>
      </c>
      <c r="C144" s="11" t="s">
        <v>1634</v>
      </c>
      <c r="D144" s="11" t="s">
        <v>1920</v>
      </c>
      <c r="E144" s="14" t="s">
        <v>1920</v>
      </c>
      <c r="F144">
        <v>0</v>
      </c>
    </row>
    <row r="145" spans="1:6" ht="13.5" customHeight="1" x14ac:dyDescent="0.15">
      <c r="A145" t="s">
        <v>1921</v>
      </c>
      <c r="B145" t="s">
        <v>1552</v>
      </c>
      <c r="C145" s="11" t="s">
        <v>1634</v>
      </c>
      <c r="D145" s="11" t="s">
        <v>1917</v>
      </c>
      <c r="E145" s="14" t="s">
        <v>1920</v>
      </c>
      <c r="F145">
        <v>0</v>
      </c>
    </row>
    <row r="146" spans="1:6" ht="13.5" customHeight="1" x14ac:dyDescent="0.15">
      <c r="A146" t="s">
        <v>1922</v>
      </c>
      <c r="B146" t="s">
        <v>1552</v>
      </c>
      <c r="C146" s="11" t="s">
        <v>1634</v>
      </c>
      <c r="D146" s="11" t="s">
        <v>1923</v>
      </c>
      <c r="E146" s="14" t="s">
        <v>1924</v>
      </c>
      <c r="F146">
        <v>0</v>
      </c>
    </row>
    <row r="147" spans="1:6" ht="13.5" customHeight="1" x14ac:dyDescent="0.15">
      <c r="A147" t="s">
        <v>1925</v>
      </c>
      <c r="B147" t="s">
        <v>1552</v>
      </c>
      <c r="C147" s="11" t="s">
        <v>1634</v>
      </c>
      <c r="D147" s="11" t="s">
        <v>1920</v>
      </c>
      <c r="E147" s="14" t="s">
        <v>1923</v>
      </c>
      <c r="F147">
        <v>0</v>
      </c>
    </row>
    <row r="148" spans="1:6" ht="13.5" customHeight="1" x14ac:dyDescent="0.15">
      <c r="A148" t="s">
        <v>1926</v>
      </c>
      <c r="B148" t="s">
        <v>1552</v>
      </c>
      <c r="C148" s="11" t="s">
        <v>1634</v>
      </c>
      <c r="D148" s="11" t="s">
        <v>1927</v>
      </c>
      <c r="E148" s="14" t="s">
        <v>1927</v>
      </c>
      <c r="F148">
        <v>0</v>
      </c>
    </row>
    <row r="149" spans="1:6" ht="13.5" customHeight="1" x14ac:dyDescent="0.15">
      <c r="A149" t="s">
        <v>1928</v>
      </c>
      <c r="B149" t="s">
        <v>1552</v>
      </c>
      <c r="C149" s="11" t="s">
        <v>1634</v>
      </c>
      <c r="D149" s="11" t="s">
        <v>1924</v>
      </c>
      <c r="E149" s="14" t="s">
        <v>1927</v>
      </c>
      <c r="F149">
        <v>0</v>
      </c>
    </row>
    <row r="150" spans="1:6" ht="13.5" customHeight="1" x14ac:dyDescent="0.15">
      <c r="A150" t="s">
        <v>1929</v>
      </c>
      <c r="B150" t="s">
        <v>1552</v>
      </c>
      <c r="C150" s="11" t="s">
        <v>1634</v>
      </c>
      <c r="D150" s="11" t="s">
        <v>1930</v>
      </c>
      <c r="E150" s="14" t="s">
        <v>1931</v>
      </c>
      <c r="F150">
        <v>0</v>
      </c>
    </row>
    <row r="151" spans="1:6" ht="13.5" customHeight="1" x14ac:dyDescent="0.15">
      <c r="A151" t="s">
        <v>1932</v>
      </c>
      <c r="B151" t="s">
        <v>1552</v>
      </c>
      <c r="C151" s="11" t="s">
        <v>1634</v>
      </c>
      <c r="D151" s="11" t="s">
        <v>1927</v>
      </c>
      <c r="E151" s="14" t="s">
        <v>1933</v>
      </c>
      <c r="F151">
        <v>0</v>
      </c>
    </row>
    <row r="152" spans="1:6" ht="13.5" customHeight="1" x14ac:dyDescent="0.15">
      <c r="A152" t="s">
        <v>1934</v>
      </c>
      <c r="B152" t="s">
        <v>1552</v>
      </c>
      <c r="C152" s="11" t="s">
        <v>1634</v>
      </c>
      <c r="D152" s="11" t="s">
        <v>1935</v>
      </c>
      <c r="E152" s="14" t="s">
        <v>1930</v>
      </c>
      <c r="F152">
        <v>0</v>
      </c>
    </row>
    <row r="153" spans="1:6" ht="13.5" customHeight="1" x14ac:dyDescent="0.15">
      <c r="A153" t="s">
        <v>1936</v>
      </c>
      <c r="B153" t="s">
        <v>1552</v>
      </c>
      <c r="C153" s="11" t="s">
        <v>1634</v>
      </c>
      <c r="D153" s="11" t="s">
        <v>1933</v>
      </c>
      <c r="E153" s="14" t="s">
        <v>1935</v>
      </c>
      <c r="F153">
        <v>0</v>
      </c>
    </row>
    <row r="154" spans="1:6" ht="13.5" customHeight="1" x14ac:dyDescent="0.15">
      <c r="A154" t="s">
        <v>1937</v>
      </c>
      <c r="B154" t="s">
        <v>1552</v>
      </c>
      <c r="C154" s="11" t="s">
        <v>1849</v>
      </c>
      <c r="D154" s="11" t="s">
        <v>1931</v>
      </c>
      <c r="E154" s="14" t="s">
        <v>1938</v>
      </c>
      <c r="F154">
        <v>2</v>
      </c>
    </row>
    <row r="155" spans="1:6" ht="13.5" customHeight="1" x14ac:dyDescent="0.15">
      <c r="A155" t="s">
        <v>1939</v>
      </c>
      <c r="B155" t="s">
        <v>1552</v>
      </c>
      <c r="C155" s="11" t="s">
        <v>1634</v>
      </c>
      <c r="D155" s="11" t="s">
        <v>1938</v>
      </c>
      <c r="E155" s="14" t="s">
        <v>1940</v>
      </c>
      <c r="F155">
        <v>0</v>
      </c>
    </row>
    <row r="156" spans="1:6" ht="13.5" customHeight="1" x14ac:dyDescent="0.15">
      <c r="A156" t="s">
        <v>1941</v>
      </c>
      <c r="B156" t="s">
        <v>1552</v>
      </c>
      <c r="C156" s="11" t="s">
        <v>1634</v>
      </c>
      <c r="D156" s="11" t="s">
        <v>1942</v>
      </c>
      <c r="E156" s="14" t="s">
        <v>1943</v>
      </c>
      <c r="F156">
        <v>0</v>
      </c>
    </row>
    <row r="157" spans="1:6" ht="13.5" customHeight="1" x14ac:dyDescent="0.15">
      <c r="A157" t="s">
        <v>1944</v>
      </c>
      <c r="B157" t="s">
        <v>1552</v>
      </c>
      <c r="C157" s="11" t="s">
        <v>1634</v>
      </c>
      <c r="D157" s="11" t="s">
        <v>1945</v>
      </c>
      <c r="E157" s="14" t="s">
        <v>1942</v>
      </c>
      <c r="F157">
        <v>0</v>
      </c>
    </row>
    <row r="158" spans="1:6" ht="13.5" customHeight="1" x14ac:dyDescent="0.15">
      <c r="A158" t="s">
        <v>1946</v>
      </c>
      <c r="B158" t="s">
        <v>1552</v>
      </c>
      <c r="C158" s="11" t="s">
        <v>1634</v>
      </c>
      <c r="D158" s="11" t="s">
        <v>1947</v>
      </c>
      <c r="E158" s="14" t="s">
        <v>1948</v>
      </c>
      <c r="F158">
        <v>0</v>
      </c>
    </row>
    <row r="159" spans="1:6" ht="13.5" customHeight="1" x14ac:dyDescent="0.15">
      <c r="A159" t="s">
        <v>1949</v>
      </c>
      <c r="B159" t="s">
        <v>1552</v>
      </c>
      <c r="C159" s="11" t="s">
        <v>1634</v>
      </c>
      <c r="D159" s="11" t="s">
        <v>1943</v>
      </c>
      <c r="E159" s="14" t="s">
        <v>1947</v>
      </c>
      <c r="F159">
        <v>0</v>
      </c>
    </row>
    <row r="160" spans="1:6" ht="13.5" customHeight="1" x14ac:dyDescent="0.15">
      <c r="A160" t="s">
        <v>1950</v>
      </c>
      <c r="B160" t="s">
        <v>1552</v>
      </c>
      <c r="C160" s="11" t="s">
        <v>1634</v>
      </c>
      <c r="D160" s="11" t="s">
        <v>1940</v>
      </c>
      <c r="E160" s="14" t="s">
        <v>1951</v>
      </c>
      <c r="F160">
        <v>0</v>
      </c>
    </row>
    <row r="161" spans="1:6" ht="13.5" customHeight="1" x14ac:dyDescent="0.15">
      <c r="A161" t="s">
        <v>1952</v>
      </c>
      <c r="B161" t="s">
        <v>1552</v>
      </c>
      <c r="C161" s="11" t="s">
        <v>1634</v>
      </c>
      <c r="D161" s="11" t="s">
        <v>1953</v>
      </c>
      <c r="E161" s="14" t="s">
        <v>1954</v>
      </c>
      <c r="F161">
        <v>0</v>
      </c>
    </row>
    <row r="162" spans="1:6" ht="13.5" customHeight="1" x14ac:dyDescent="0.15">
      <c r="A162" t="s">
        <v>1955</v>
      </c>
      <c r="B162" t="s">
        <v>1552</v>
      </c>
      <c r="C162" s="11" t="s">
        <v>1634</v>
      </c>
      <c r="D162" s="11" t="s">
        <v>1951</v>
      </c>
      <c r="E162" s="14" t="s">
        <v>1953</v>
      </c>
      <c r="F162">
        <v>0</v>
      </c>
    </row>
    <row r="163" spans="1:6" ht="13.5" customHeight="1" x14ac:dyDescent="0.15">
      <c r="A163" t="s">
        <v>1956</v>
      </c>
      <c r="B163" t="s">
        <v>1552</v>
      </c>
      <c r="C163" s="11" t="s">
        <v>1634</v>
      </c>
      <c r="D163" s="11" t="s">
        <v>1954</v>
      </c>
      <c r="E163" s="14" t="s">
        <v>1945</v>
      </c>
      <c r="F163">
        <v>0</v>
      </c>
    </row>
    <row r="164" spans="1:6" ht="13.5" customHeight="1" x14ac:dyDescent="0.15">
      <c r="A164" t="s">
        <v>1957</v>
      </c>
      <c r="B164" t="s">
        <v>1552</v>
      </c>
      <c r="C164" s="11" t="s">
        <v>1634</v>
      </c>
      <c r="D164" s="11" t="s">
        <v>1948</v>
      </c>
      <c r="E164" s="14" t="s">
        <v>1958</v>
      </c>
      <c r="F164">
        <v>0</v>
      </c>
    </row>
    <row r="165" spans="1:6" ht="13.5" customHeight="1" x14ac:dyDescent="0.15">
      <c r="A165" t="s">
        <v>1959</v>
      </c>
      <c r="B165" t="s">
        <v>1552</v>
      </c>
      <c r="C165" s="11" t="s">
        <v>1849</v>
      </c>
      <c r="D165" s="11" t="s">
        <v>1958</v>
      </c>
      <c r="E165" s="14" t="s">
        <v>1960</v>
      </c>
      <c r="F165">
        <v>2</v>
      </c>
    </row>
    <row r="166" spans="1:6" ht="13.5" customHeight="1" x14ac:dyDescent="0.15">
      <c r="A166" t="s">
        <v>1961</v>
      </c>
      <c r="B166" t="s">
        <v>1552</v>
      </c>
      <c r="C166" s="11" t="s">
        <v>1634</v>
      </c>
      <c r="D166" s="11" t="s">
        <v>1960</v>
      </c>
      <c r="E166" s="14" t="s">
        <v>1962</v>
      </c>
      <c r="F166">
        <v>0</v>
      </c>
    </row>
    <row r="167" spans="1:6" ht="13.5" customHeight="1" x14ac:dyDescent="0.15">
      <c r="A167" t="s">
        <v>1963</v>
      </c>
      <c r="B167" t="s">
        <v>1552</v>
      </c>
      <c r="C167" s="11" t="s">
        <v>1634</v>
      </c>
      <c r="D167" s="11" t="s">
        <v>1960</v>
      </c>
      <c r="E167" s="14" t="s">
        <v>1960</v>
      </c>
      <c r="F167">
        <v>0</v>
      </c>
    </row>
    <row r="168" spans="1:6" ht="13.5" customHeight="1" x14ac:dyDescent="0.15">
      <c r="A168" t="s">
        <v>1964</v>
      </c>
      <c r="B168" t="s">
        <v>1552</v>
      </c>
      <c r="C168" s="11" t="s">
        <v>1634</v>
      </c>
      <c r="D168" s="11" t="s">
        <v>1962</v>
      </c>
      <c r="E168" s="14" t="s">
        <v>1965</v>
      </c>
      <c r="F168">
        <v>0</v>
      </c>
    </row>
    <row r="169" spans="1:6" ht="13.5" customHeight="1" x14ac:dyDescent="0.15">
      <c r="A169" t="s">
        <v>1966</v>
      </c>
      <c r="B169" t="s">
        <v>1552</v>
      </c>
      <c r="C169" s="11" t="s">
        <v>1634</v>
      </c>
      <c r="D169" s="11" t="s">
        <v>1967</v>
      </c>
      <c r="E169" s="14" t="s">
        <v>1968</v>
      </c>
      <c r="F169">
        <v>0</v>
      </c>
    </row>
    <row r="170" spans="1:6" ht="13.5" customHeight="1" x14ac:dyDescent="0.15">
      <c r="A170" t="s">
        <v>1969</v>
      </c>
      <c r="B170" t="s">
        <v>1552</v>
      </c>
      <c r="C170" s="11" t="s">
        <v>1634</v>
      </c>
      <c r="D170" s="11" t="s">
        <v>1970</v>
      </c>
      <c r="E170" s="14" t="s">
        <v>1967</v>
      </c>
      <c r="F170">
        <v>0</v>
      </c>
    </row>
    <row r="171" spans="1:6" ht="13.5" customHeight="1" x14ac:dyDescent="0.15">
      <c r="A171" t="s">
        <v>1971</v>
      </c>
      <c r="B171" t="s">
        <v>1552</v>
      </c>
      <c r="C171" s="11" t="s">
        <v>1634</v>
      </c>
      <c r="D171" s="11" t="s">
        <v>1972</v>
      </c>
      <c r="E171" s="14" t="s">
        <v>1973</v>
      </c>
      <c r="F171">
        <v>0</v>
      </c>
    </row>
    <row r="172" spans="1:6" ht="13.5" customHeight="1" x14ac:dyDescent="0.15">
      <c r="A172" t="s">
        <v>1974</v>
      </c>
      <c r="B172" t="s">
        <v>1552</v>
      </c>
      <c r="C172" s="11" t="s">
        <v>1634</v>
      </c>
      <c r="D172" s="11" t="s">
        <v>1968</v>
      </c>
      <c r="E172" s="14" t="s">
        <v>1972</v>
      </c>
      <c r="F172">
        <v>0</v>
      </c>
    </row>
    <row r="173" spans="1:6" ht="13.5" customHeight="1" x14ac:dyDescent="0.15">
      <c r="A173" t="s">
        <v>1975</v>
      </c>
      <c r="B173" t="s">
        <v>1552</v>
      </c>
      <c r="C173" s="11" t="s">
        <v>1634</v>
      </c>
      <c r="D173" s="11" t="s">
        <v>1965</v>
      </c>
      <c r="E173" s="14" t="s">
        <v>1976</v>
      </c>
      <c r="F173">
        <v>0</v>
      </c>
    </row>
    <row r="174" spans="1:6" ht="13.5" customHeight="1" x14ac:dyDescent="0.15">
      <c r="A174" t="s">
        <v>1977</v>
      </c>
      <c r="B174" t="s">
        <v>1552</v>
      </c>
      <c r="C174" s="11" t="s">
        <v>1634</v>
      </c>
      <c r="D174" s="11" t="s">
        <v>1978</v>
      </c>
      <c r="E174" s="14" t="s">
        <v>1979</v>
      </c>
      <c r="F174">
        <v>0</v>
      </c>
    </row>
    <row r="175" spans="1:6" ht="13.5" customHeight="1" x14ac:dyDescent="0.15">
      <c r="A175" t="s">
        <v>1980</v>
      </c>
      <c r="B175" t="s">
        <v>1552</v>
      </c>
      <c r="C175" s="11" t="s">
        <v>1634</v>
      </c>
      <c r="D175" s="11" t="s">
        <v>1976</v>
      </c>
      <c r="E175" s="14" t="s">
        <v>1978</v>
      </c>
      <c r="F175">
        <v>0</v>
      </c>
    </row>
    <row r="176" spans="1:6" ht="13.5" customHeight="1" x14ac:dyDescent="0.15">
      <c r="A176" t="s">
        <v>1981</v>
      </c>
      <c r="B176" t="s">
        <v>1552</v>
      </c>
      <c r="C176" s="11" t="s">
        <v>1634</v>
      </c>
      <c r="D176" s="11" t="s">
        <v>1982</v>
      </c>
      <c r="E176" s="14" t="s">
        <v>1970</v>
      </c>
      <c r="F176">
        <v>0</v>
      </c>
    </row>
    <row r="177" spans="1:6" ht="13.5" customHeight="1" x14ac:dyDescent="0.15">
      <c r="A177" t="s">
        <v>1983</v>
      </c>
      <c r="B177" t="s">
        <v>1552</v>
      </c>
      <c r="C177" s="11" t="s">
        <v>1634</v>
      </c>
      <c r="D177" s="11" t="s">
        <v>1979</v>
      </c>
      <c r="E177" s="14" t="s">
        <v>1982</v>
      </c>
      <c r="F177">
        <v>0</v>
      </c>
    </row>
    <row r="178" spans="1:6" ht="13.5" customHeight="1" x14ac:dyDescent="0.15">
      <c r="A178" t="s">
        <v>1984</v>
      </c>
      <c r="B178" t="s">
        <v>1552</v>
      </c>
      <c r="C178" s="11" t="s">
        <v>1634</v>
      </c>
      <c r="D178" s="11" t="s">
        <v>1973</v>
      </c>
      <c r="E178" s="14" t="s">
        <v>1985</v>
      </c>
      <c r="F178">
        <v>0</v>
      </c>
    </row>
    <row r="179" spans="1:6" ht="13.5" customHeight="1" x14ac:dyDescent="0.15">
      <c r="A179" t="s">
        <v>1986</v>
      </c>
      <c r="B179" t="s">
        <v>1552</v>
      </c>
      <c r="C179" s="11" t="s">
        <v>1634</v>
      </c>
      <c r="D179" s="11" t="s">
        <v>1987</v>
      </c>
      <c r="E179" s="14" t="s">
        <v>1988</v>
      </c>
      <c r="F179">
        <v>0</v>
      </c>
    </row>
    <row r="180" spans="1:6" ht="13.5" customHeight="1" x14ac:dyDescent="0.15">
      <c r="A180" t="s">
        <v>1989</v>
      </c>
      <c r="B180" t="s">
        <v>1552</v>
      </c>
      <c r="C180" s="11" t="s">
        <v>1634</v>
      </c>
      <c r="D180" s="11" t="s">
        <v>1990</v>
      </c>
      <c r="E180" s="14" t="s">
        <v>1987</v>
      </c>
      <c r="F180">
        <v>0</v>
      </c>
    </row>
    <row r="181" spans="1:6" ht="13.5" customHeight="1" x14ac:dyDescent="0.15">
      <c r="A181" t="s">
        <v>1991</v>
      </c>
      <c r="B181" t="s">
        <v>1552</v>
      </c>
      <c r="C181" s="11" t="s">
        <v>1634</v>
      </c>
      <c r="D181" s="11" t="s">
        <v>1992</v>
      </c>
      <c r="E181" s="14" t="s">
        <v>1993</v>
      </c>
      <c r="F181">
        <v>0</v>
      </c>
    </row>
    <row r="182" spans="1:6" ht="13.5" customHeight="1" x14ac:dyDescent="0.15">
      <c r="A182" t="s">
        <v>1994</v>
      </c>
      <c r="B182" t="s">
        <v>1552</v>
      </c>
      <c r="C182" s="11" t="s">
        <v>1634</v>
      </c>
      <c r="D182" s="11" t="s">
        <v>1988</v>
      </c>
      <c r="E182" s="14" t="s">
        <v>1992</v>
      </c>
      <c r="F182">
        <v>0</v>
      </c>
    </row>
    <row r="183" spans="1:6" ht="13.5" customHeight="1" x14ac:dyDescent="0.15">
      <c r="A183" t="s">
        <v>1995</v>
      </c>
      <c r="B183" t="s">
        <v>1552</v>
      </c>
      <c r="C183" s="11" t="s">
        <v>1634</v>
      </c>
      <c r="D183" s="11" t="s">
        <v>1996</v>
      </c>
      <c r="E183" s="14" t="s">
        <v>1996</v>
      </c>
      <c r="F183">
        <v>0</v>
      </c>
    </row>
    <row r="184" spans="1:6" ht="13.5" customHeight="1" x14ac:dyDescent="0.15">
      <c r="A184" t="s">
        <v>1997</v>
      </c>
      <c r="B184" t="s">
        <v>1552</v>
      </c>
      <c r="C184" s="11" t="s">
        <v>1634</v>
      </c>
      <c r="D184" s="11" t="s">
        <v>1985</v>
      </c>
      <c r="E184" s="14" t="s">
        <v>1996</v>
      </c>
      <c r="F184">
        <v>0</v>
      </c>
    </row>
    <row r="185" spans="1:6" ht="13.5" customHeight="1" x14ac:dyDescent="0.15">
      <c r="A185" t="s">
        <v>1998</v>
      </c>
      <c r="B185" t="s">
        <v>1552</v>
      </c>
      <c r="C185" s="11" t="s">
        <v>1634</v>
      </c>
      <c r="D185" s="11" t="s">
        <v>1999</v>
      </c>
      <c r="E185" s="14" t="s">
        <v>2000</v>
      </c>
      <c r="F185">
        <v>0</v>
      </c>
    </row>
    <row r="186" spans="1:6" ht="13.5" customHeight="1" x14ac:dyDescent="0.15">
      <c r="A186" t="s">
        <v>2001</v>
      </c>
      <c r="B186" t="s">
        <v>1552</v>
      </c>
      <c r="C186" s="11" t="s">
        <v>1634</v>
      </c>
      <c r="D186" s="11" t="s">
        <v>1996</v>
      </c>
      <c r="E186" s="14" t="s">
        <v>1999</v>
      </c>
      <c r="F186">
        <v>0</v>
      </c>
    </row>
    <row r="187" spans="1:6" ht="13.5" customHeight="1" x14ac:dyDescent="0.15">
      <c r="A187" t="s">
        <v>2002</v>
      </c>
      <c r="B187" t="s">
        <v>1552</v>
      </c>
      <c r="C187" s="11" t="s">
        <v>1634</v>
      </c>
      <c r="D187" s="11" t="s">
        <v>1990</v>
      </c>
      <c r="E187" s="14" t="s">
        <v>1990</v>
      </c>
      <c r="F187">
        <v>0</v>
      </c>
    </row>
    <row r="188" spans="1:6" ht="13.5" customHeight="1" x14ac:dyDescent="0.15">
      <c r="A188" t="s">
        <v>2003</v>
      </c>
      <c r="B188" t="s">
        <v>1552</v>
      </c>
      <c r="C188" s="11" t="s">
        <v>1634</v>
      </c>
      <c r="D188" s="11" t="s">
        <v>2000</v>
      </c>
      <c r="E188" s="14" t="s">
        <v>1990</v>
      </c>
      <c r="F188">
        <v>0</v>
      </c>
    </row>
    <row r="189" spans="1:6" ht="13.5" customHeight="1" x14ac:dyDescent="0.15">
      <c r="A189" t="s">
        <v>2004</v>
      </c>
      <c r="B189" t="s">
        <v>1552</v>
      </c>
      <c r="C189" s="11" t="s">
        <v>1634</v>
      </c>
      <c r="D189" s="11" t="s">
        <v>1993</v>
      </c>
      <c r="E189" s="14" t="s">
        <v>2005</v>
      </c>
      <c r="F189">
        <v>0</v>
      </c>
    </row>
    <row r="190" spans="1:6" ht="13.5" customHeight="1" x14ac:dyDescent="0.15">
      <c r="A190" t="s">
        <v>2006</v>
      </c>
      <c r="B190" t="s">
        <v>1552</v>
      </c>
      <c r="C190" s="11" t="s">
        <v>1634</v>
      </c>
      <c r="D190" s="11" t="s">
        <v>2007</v>
      </c>
      <c r="E190" s="14" t="s">
        <v>2008</v>
      </c>
      <c r="F190">
        <v>0</v>
      </c>
    </row>
    <row r="191" spans="1:6" ht="13.5" customHeight="1" x14ac:dyDescent="0.15">
      <c r="A191" t="s">
        <v>2009</v>
      </c>
      <c r="B191" t="s">
        <v>1552</v>
      </c>
      <c r="C191" s="11" t="s">
        <v>1634</v>
      </c>
      <c r="D191" s="11" t="s">
        <v>2005</v>
      </c>
      <c r="E191" s="14" t="s">
        <v>2007</v>
      </c>
      <c r="F191">
        <v>0</v>
      </c>
    </row>
    <row r="192" spans="1:6" ht="13.5" customHeight="1" x14ac:dyDescent="0.15">
      <c r="A192" t="s">
        <v>2010</v>
      </c>
      <c r="B192" t="s">
        <v>1552</v>
      </c>
      <c r="C192" s="11" t="s">
        <v>1634</v>
      </c>
      <c r="D192" s="11" t="s">
        <v>2008</v>
      </c>
      <c r="E192" s="14" t="s">
        <v>2011</v>
      </c>
      <c r="F192">
        <v>0</v>
      </c>
    </row>
    <row r="193" spans="1:6" ht="13.5" customHeight="1" x14ac:dyDescent="0.15">
      <c r="A193" t="s">
        <v>2012</v>
      </c>
      <c r="B193" t="s">
        <v>1552</v>
      </c>
      <c r="C193" s="11" t="s">
        <v>1634</v>
      </c>
      <c r="D193" s="11" t="s">
        <v>2008</v>
      </c>
      <c r="E193" s="14" t="s">
        <v>2008</v>
      </c>
      <c r="F193">
        <v>0</v>
      </c>
    </row>
    <row r="194" spans="1:6" ht="13.5" customHeight="1" x14ac:dyDescent="0.15">
      <c r="A194" t="s">
        <v>2013</v>
      </c>
      <c r="B194" t="s">
        <v>1552</v>
      </c>
      <c r="C194" s="11" t="s">
        <v>1634</v>
      </c>
      <c r="D194" s="11" t="s">
        <v>2014</v>
      </c>
      <c r="E194" s="14" t="s">
        <v>2015</v>
      </c>
      <c r="F194">
        <v>0</v>
      </c>
    </row>
    <row r="195" spans="1:6" ht="13.5" customHeight="1" x14ac:dyDescent="0.15">
      <c r="A195" t="s">
        <v>2016</v>
      </c>
      <c r="B195" t="s">
        <v>1552</v>
      </c>
      <c r="C195" s="11" t="s">
        <v>1634</v>
      </c>
      <c r="D195" s="11" t="s">
        <v>2011</v>
      </c>
      <c r="E195" s="14" t="s">
        <v>2014</v>
      </c>
      <c r="F195">
        <v>0</v>
      </c>
    </row>
    <row r="196" spans="1:6" ht="13.5" customHeight="1" x14ac:dyDescent="0.15">
      <c r="A196" t="s">
        <v>2017</v>
      </c>
      <c r="B196" t="s">
        <v>1552</v>
      </c>
      <c r="C196" s="11" t="s">
        <v>1634</v>
      </c>
      <c r="D196" s="11" t="s">
        <v>2015</v>
      </c>
      <c r="E196" s="14" t="s">
        <v>2018</v>
      </c>
      <c r="F196">
        <v>0</v>
      </c>
    </row>
    <row r="197" spans="1:6" ht="13.5" customHeight="1" x14ac:dyDescent="0.15">
      <c r="A197" t="s">
        <v>2019</v>
      </c>
      <c r="B197" t="s">
        <v>1552</v>
      </c>
      <c r="C197" s="11" t="s">
        <v>1634</v>
      </c>
      <c r="D197" s="11" t="s">
        <v>2015</v>
      </c>
      <c r="E197" s="14" t="s">
        <v>2015</v>
      </c>
      <c r="F197">
        <v>0</v>
      </c>
    </row>
    <row r="198" spans="1:6" ht="13.5" customHeight="1" x14ac:dyDescent="0.15">
      <c r="A198" t="s">
        <v>2020</v>
      </c>
      <c r="B198" t="s">
        <v>1552</v>
      </c>
      <c r="C198" s="11" t="s">
        <v>1634</v>
      </c>
      <c r="D198" s="11" t="s">
        <v>2018</v>
      </c>
      <c r="E198" s="14" t="s">
        <v>2021</v>
      </c>
      <c r="F198">
        <v>0</v>
      </c>
    </row>
    <row r="199" spans="1:6" ht="13.5" customHeight="1" x14ac:dyDescent="0.15">
      <c r="A199" t="s">
        <v>2022</v>
      </c>
      <c r="B199" t="s">
        <v>1552</v>
      </c>
      <c r="C199" s="11" t="s">
        <v>1634</v>
      </c>
      <c r="D199" s="11" t="s">
        <v>2021</v>
      </c>
      <c r="E199" s="14" t="s">
        <v>2023</v>
      </c>
      <c r="F199">
        <v>0</v>
      </c>
    </row>
    <row r="200" spans="1:6" ht="13.5" customHeight="1" x14ac:dyDescent="0.15">
      <c r="A200" t="s">
        <v>2024</v>
      </c>
      <c r="B200" t="s">
        <v>1552</v>
      </c>
      <c r="C200" s="11" t="s">
        <v>1634</v>
      </c>
      <c r="D200" s="11" t="s">
        <v>2025</v>
      </c>
      <c r="E200" s="14" t="s">
        <v>2026</v>
      </c>
      <c r="F200">
        <v>0</v>
      </c>
    </row>
    <row r="201" spans="1:6" ht="13.5" customHeight="1" x14ac:dyDescent="0.15">
      <c r="A201" t="s">
        <v>2027</v>
      </c>
      <c r="B201" t="s">
        <v>1552</v>
      </c>
      <c r="C201" s="11" t="s">
        <v>1634</v>
      </c>
      <c r="D201" s="11" t="s">
        <v>2028</v>
      </c>
      <c r="E201" s="14" t="s">
        <v>2029</v>
      </c>
      <c r="F201">
        <v>0</v>
      </c>
    </row>
    <row r="202" spans="1:6" ht="13.5" customHeight="1" x14ac:dyDescent="0.15">
      <c r="A202" t="s">
        <v>2030</v>
      </c>
      <c r="B202" t="s">
        <v>1552</v>
      </c>
      <c r="C202" s="11" t="s">
        <v>1634</v>
      </c>
      <c r="D202" s="11" t="s">
        <v>2026</v>
      </c>
      <c r="E202" s="14" t="s">
        <v>2028</v>
      </c>
      <c r="F202">
        <v>0</v>
      </c>
    </row>
    <row r="203" spans="1:6" ht="13.5" customHeight="1" x14ac:dyDescent="0.15">
      <c r="A203" t="s">
        <v>2031</v>
      </c>
      <c r="B203" t="s">
        <v>1552</v>
      </c>
      <c r="C203" s="11" t="s">
        <v>1634</v>
      </c>
      <c r="D203" s="11" t="s">
        <v>2032</v>
      </c>
      <c r="E203" s="14" t="s">
        <v>2033</v>
      </c>
      <c r="F203">
        <v>0</v>
      </c>
    </row>
    <row r="204" spans="1:6" ht="13.5" customHeight="1" x14ac:dyDescent="0.15">
      <c r="A204" t="s">
        <v>2034</v>
      </c>
      <c r="B204" t="s">
        <v>1552</v>
      </c>
      <c r="C204" s="11" t="s">
        <v>1634</v>
      </c>
      <c r="D204" s="11" t="s">
        <v>2035</v>
      </c>
      <c r="E204" s="14" t="s">
        <v>2036</v>
      </c>
      <c r="F204">
        <v>0</v>
      </c>
    </row>
    <row r="205" spans="1:6" ht="13.5" customHeight="1" x14ac:dyDescent="0.15">
      <c r="A205" t="s">
        <v>2037</v>
      </c>
      <c r="B205" t="s">
        <v>1552</v>
      </c>
      <c r="C205" s="11" t="s">
        <v>1634</v>
      </c>
      <c r="D205" s="11" t="s">
        <v>2033</v>
      </c>
      <c r="E205" s="14" t="s">
        <v>2035</v>
      </c>
      <c r="F205">
        <v>0</v>
      </c>
    </row>
    <row r="206" spans="1:6" ht="13.5" customHeight="1" x14ac:dyDescent="0.15">
      <c r="A206" t="s">
        <v>2038</v>
      </c>
      <c r="B206" t="s">
        <v>1552</v>
      </c>
      <c r="C206" s="11" t="s">
        <v>1634</v>
      </c>
      <c r="D206" s="11" t="s">
        <v>2036</v>
      </c>
      <c r="E206" s="14" t="s">
        <v>2039</v>
      </c>
      <c r="F206">
        <v>0</v>
      </c>
    </row>
    <row r="207" spans="1:6" ht="13.5" customHeight="1" x14ac:dyDescent="0.15">
      <c r="A207" t="s">
        <v>2040</v>
      </c>
      <c r="B207" t="s">
        <v>1552</v>
      </c>
      <c r="C207" s="11" t="s">
        <v>1634</v>
      </c>
      <c r="D207" s="11" t="s">
        <v>2029</v>
      </c>
      <c r="E207" s="14" t="s">
        <v>2041</v>
      </c>
      <c r="F207">
        <v>0</v>
      </c>
    </row>
    <row r="208" spans="1:6" ht="13.5" customHeight="1" x14ac:dyDescent="0.15">
      <c r="A208" t="s">
        <v>2042</v>
      </c>
      <c r="B208" t="s">
        <v>1552</v>
      </c>
      <c r="C208" s="11" t="s">
        <v>1634</v>
      </c>
      <c r="D208" s="11" t="s">
        <v>2041</v>
      </c>
      <c r="E208" s="14" t="s">
        <v>2032</v>
      </c>
      <c r="F208">
        <v>0</v>
      </c>
    </row>
    <row r="209" spans="1:7" ht="13.5" customHeight="1" x14ac:dyDescent="0.15">
      <c r="A209" t="s">
        <v>2043</v>
      </c>
      <c r="B209" t="s">
        <v>1552</v>
      </c>
      <c r="C209" s="11" t="s">
        <v>2044</v>
      </c>
      <c r="D209" s="11" t="s">
        <v>1891</v>
      </c>
      <c r="E209" s="14" t="s">
        <v>2025</v>
      </c>
      <c r="F209">
        <v>17</v>
      </c>
    </row>
    <row r="210" spans="1:7" ht="13.5" customHeight="1" x14ac:dyDescent="0.15">
      <c r="A210" t="s">
        <v>2045</v>
      </c>
      <c r="B210" t="s">
        <v>1552</v>
      </c>
      <c r="C210" s="11" t="s">
        <v>2046</v>
      </c>
      <c r="D210" s="11" t="s">
        <v>1839</v>
      </c>
      <c r="E210" s="14" t="s">
        <v>2047</v>
      </c>
      <c r="F210">
        <v>31</v>
      </c>
    </row>
    <row r="211" spans="1:7" ht="13.5" customHeight="1" x14ac:dyDescent="0.15">
      <c r="A211" t="s">
        <v>2048</v>
      </c>
      <c r="B211" t="s">
        <v>1552</v>
      </c>
      <c r="C211" s="11" t="s">
        <v>1634</v>
      </c>
      <c r="D211" s="11" t="s">
        <v>2047</v>
      </c>
      <c r="E211" s="14" t="s">
        <v>2047</v>
      </c>
      <c r="F211">
        <v>0</v>
      </c>
    </row>
    <row r="212" spans="1:7" ht="13.5" customHeight="1" x14ac:dyDescent="0.15">
      <c r="A212" t="s">
        <v>2049</v>
      </c>
      <c r="B212" t="s">
        <v>1552</v>
      </c>
      <c r="C212" s="11" t="s">
        <v>1634</v>
      </c>
      <c r="D212" s="11" t="s">
        <v>2047</v>
      </c>
      <c r="E212" s="14" t="s">
        <v>2050</v>
      </c>
      <c r="F212">
        <v>0</v>
      </c>
    </row>
    <row r="213" spans="1:7" ht="13.5" customHeight="1" x14ac:dyDescent="0.15">
      <c r="A213" t="s">
        <v>2051</v>
      </c>
      <c r="B213" t="s">
        <v>1552</v>
      </c>
      <c r="C213" s="11" t="s">
        <v>1634</v>
      </c>
      <c r="D213" s="11" t="s">
        <v>2050</v>
      </c>
      <c r="E213" s="14" t="s">
        <v>2052</v>
      </c>
      <c r="F213">
        <v>0</v>
      </c>
      <c r="G213" t="s">
        <v>1715</v>
      </c>
    </row>
    <row r="214" spans="1:7" ht="13.5" customHeight="1" x14ac:dyDescent="0.15">
      <c r="A214" t="s">
        <v>2053</v>
      </c>
      <c r="B214" t="s">
        <v>1552</v>
      </c>
      <c r="C214" s="11" t="s">
        <v>1634</v>
      </c>
      <c r="D214" s="11" t="s">
        <v>2054</v>
      </c>
      <c r="E214" s="14" t="s">
        <v>2055</v>
      </c>
      <c r="F214">
        <v>0</v>
      </c>
    </row>
    <row r="215" spans="1:7" ht="13.5" customHeight="1" x14ac:dyDescent="0.15">
      <c r="A215" t="s">
        <v>2056</v>
      </c>
      <c r="B215" t="s">
        <v>1552</v>
      </c>
      <c r="C215" s="11" t="s">
        <v>1634</v>
      </c>
      <c r="D215" s="11" t="s">
        <v>2057</v>
      </c>
      <c r="E215" s="14" t="s">
        <v>2054</v>
      </c>
      <c r="F215">
        <v>0</v>
      </c>
    </row>
    <row r="216" spans="1:7" ht="13.5" customHeight="1" x14ac:dyDescent="0.15">
      <c r="A216" t="s">
        <v>2058</v>
      </c>
      <c r="B216" t="s">
        <v>1552</v>
      </c>
      <c r="C216" s="11" t="s">
        <v>1634</v>
      </c>
      <c r="D216" s="11" t="s">
        <v>2059</v>
      </c>
      <c r="E216" s="14" t="s">
        <v>2059</v>
      </c>
      <c r="F216">
        <v>0</v>
      </c>
    </row>
    <row r="217" spans="1:7" ht="13.5" customHeight="1" x14ac:dyDescent="0.15">
      <c r="A217" t="s">
        <v>2060</v>
      </c>
      <c r="B217" t="s">
        <v>1552</v>
      </c>
      <c r="C217" s="11" t="s">
        <v>1634</v>
      </c>
      <c r="D217" s="11" t="s">
        <v>2055</v>
      </c>
      <c r="E217" s="14" t="s">
        <v>2059</v>
      </c>
      <c r="F217">
        <v>0</v>
      </c>
    </row>
    <row r="218" spans="1:7" ht="13.5" customHeight="1" x14ac:dyDescent="0.15">
      <c r="A218" t="s">
        <v>2061</v>
      </c>
      <c r="B218" t="s">
        <v>1552</v>
      </c>
      <c r="C218" s="11" t="s">
        <v>1634</v>
      </c>
      <c r="D218" s="11" t="s">
        <v>2062</v>
      </c>
      <c r="E218" s="14" t="s">
        <v>2063</v>
      </c>
      <c r="F218">
        <v>0</v>
      </c>
    </row>
    <row r="219" spans="1:7" ht="13.5" customHeight="1" x14ac:dyDescent="0.15">
      <c r="A219" t="s">
        <v>2064</v>
      </c>
      <c r="B219" t="s">
        <v>1552</v>
      </c>
      <c r="C219" s="11" t="s">
        <v>1634</v>
      </c>
      <c r="D219" s="11" t="s">
        <v>2065</v>
      </c>
      <c r="E219" s="14" t="s">
        <v>2062</v>
      </c>
      <c r="F219">
        <v>0</v>
      </c>
    </row>
    <row r="220" spans="1:7" ht="13.5" customHeight="1" x14ac:dyDescent="0.15">
      <c r="A220" t="s">
        <v>2066</v>
      </c>
      <c r="B220" t="s">
        <v>1552</v>
      </c>
      <c r="C220" s="11" t="s">
        <v>1634</v>
      </c>
      <c r="D220" s="11" t="s">
        <v>2067</v>
      </c>
      <c r="E220" s="14" t="s">
        <v>2065</v>
      </c>
      <c r="F220">
        <v>0</v>
      </c>
    </row>
    <row r="221" spans="1:7" ht="13.5" customHeight="1" x14ac:dyDescent="0.15">
      <c r="A221" t="s">
        <v>2068</v>
      </c>
      <c r="B221" t="s">
        <v>1552</v>
      </c>
      <c r="C221" s="11" t="s">
        <v>1634</v>
      </c>
      <c r="D221" s="11" t="s">
        <v>2059</v>
      </c>
      <c r="E221" s="14" t="s">
        <v>2067</v>
      </c>
      <c r="F221">
        <v>0</v>
      </c>
    </row>
    <row r="222" spans="1:7" ht="13.5" customHeight="1" x14ac:dyDescent="0.15">
      <c r="A222" t="s">
        <v>2069</v>
      </c>
      <c r="B222" t="s">
        <v>1552</v>
      </c>
      <c r="C222" s="11" t="s">
        <v>2070</v>
      </c>
      <c r="D222" s="11" t="s">
        <v>2039</v>
      </c>
      <c r="E222" s="14" t="s">
        <v>2057</v>
      </c>
      <c r="F222">
        <v>14</v>
      </c>
      <c r="G222" t="s">
        <v>1695</v>
      </c>
    </row>
    <row r="223" spans="1:7" ht="13.5" customHeight="1" x14ac:dyDescent="0.15">
      <c r="A223" t="s">
        <v>2071</v>
      </c>
      <c r="B223" t="s">
        <v>1552</v>
      </c>
      <c r="C223" s="11" t="s">
        <v>1634</v>
      </c>
      <c r="D223" s="11" t="s">
        <v>2072</v>
      </c>
      <c r="E223" s="14" t="s">
        <v>2073</v>
      </c>
      <c r="F223">
        <v>0</v>
      </c>
    </row>
    <row r="224" spans="1:7" ht="13.5" customHeight="1" x14ac:dyDescent="0.15">
      <c r="A224" t="s">
        <v>2074</v>
      </c>
      <c r="B224" t="s">
        <v>1552</v>
      </c>
      <c r="C224" s="11" t="s">
        <v>1634</v>
      </c>
      <c r="D224" s="11" t="s">
        <v>2063</v>
      </c>
      <c r="E224" s="14" t="s">
        <v>2075</v>
      </c>
      <c r="F224">
        <v>0</v>
      </c>
    </row>
    <row r="225" spans="1:7" ht="13.5" customHeight="1" x14ac:dyDescent="0.15">
      <c r="A225" t="s">
        <v>2076</v>
      </c>
      <c r="B225" t="s">
        <v>1552</v>
      </c>
      <c r="C225" s="11" t="s">
        <v>1634</v>
      </c>
      <c r="D225" s="11" t="s">
        <v>2077</v>
      </c>
      <c r="E225" s="14" t="s">
        <v>2078</v>
      </c>
      <c r="F225">
        <v>0</v>
      </c>
    </row>
    <row r="226" spans="1:7" ht="13.5" customHeight="1" x14ac:dyDescent="0.15">
      <c r="A226" t="s">
        <v>2079</v>
      </c>
      <c r="B226" t="s">
        <v>1552</v>
      </c>
      <c r="C226" s="11" t="s">
        <v>1634</v>
      </c>
      <c r="D226" s="11" t="s">
        <v>2075</v>
      </c>
      <c r="E226" s="14" t="s">
        <v>2077</v>
      </c>
      <c r="F226">
        <v>0</v>
      </c>
    </row>
    <row r="227" spans="1:7" ht="13.5" customHeight="1" x14ac:dyDescent="0.15">
      <c r="A227" t="s">
        <v>2080</v>
      </c>
      <c r="B227" t="s">
        <v>1552</v>
      </c>
      <c r="C227" s="11" t="s">
        <v>1634</v>
      </c>
      <c r="D227" s="11" t="s">
        <v>2072</v>
      </c>
      <c r="E227" s="14" t="s">
        <v>2072</v>
      </c>
      <c r="F227">
        <v>0</v>
      </c>
    </row>
    <row r="228" spans="1:7" ht="13.5" customHeight="1" x14ac:dyDescent="0.15">
      <c r="A228" t="s">
        <v>2081</v>
      </c>
      <c r="B228" t="s">
        <v>1552</v>
      </c>
      <c r="C228" s="11" t="s">
        <v>1634</v>
      </c>
      <c r="D228" s="11" t="s">
        <v>2078</v>
      </c>
      <c r="E228" s="14" t="s">
        <v>2072</v>
      </c>
      <c r="F228">
        <v>0</v>
      </c>
      <c r="G228" t="s">
        <v>1695</v>
      </c>
    </row>
    <row r="229" spans="1:7" ht="13.5" customHeight="1" x14ac:dyDescent="0.15">
      <c r="A229" t="s">
        <v>2082</v>
      </c>
      <c r="B229" t="s">
        <v>1552</v>
      </c>
      <c r="C229" s="11" t="s">
        <v>1634</v>
      </c>
      <c r="D229" s="11" t="s">
        <v>2073</v>
      </c>
      <c r="E229" s="14" t="s">
        <v>2083</v>
      </c>
      <c r="F229">
        <v>0</v>
      </c>
    </row>
    <row r="230" spans="1:7" ht="13.5" customHeight="1" x14ac:dyDescent="0.15">
      <c r="A230" t="s">
        <v>2084</v>
      </c>
      <c r="B230" t="s">
        <v>1552</v>
      </c>
      <c r="C230" s="11" t="s">
        <v>1634</v>
      </c>
      <c r="D230" s="11" t="s">
        <v>2083</v>
      </c>
      <c r="E230" s="14" t="s">
        <v>2085</v>
      </c>
      <c r="F230">
        <v>0</v>
      </c>
    </row>
    <row r="231" spans="1:7" ht="13.5" customHeight="1" x14ac:dyDescent="0.15">
      <c r="A231" t="s">
        <v>2086</v>
      </c>
      <c r="B231" t="s">
        <v>1552</v>
      </c>
      <c r="C231" s="11" t="s">
        <v>1634</v>
      </c>
      <c r="D231" s="11" t="s">
        <v>2087</v>
      </c>
      <c r="E231" s="14" t="s">
        <v>2087</v>
      </c>
      <c r="F231">
        <v>0</v>
      </c>
    </row>
    <row r="232" spans="1:7" ht="13.5" customHeight="1" x14ac:dyDescent="0.15">
      <c r="A232" t="s">
        <v>2088</v>
      </c>
      <c r="B232" t="s">
        <v>1552</v>
      </c>
      <c r="C232" s="11" t="s">
        <v>1634</v>
      </c>
      <c r="D232" s="11" t="s">
        <v>2089</v>
      </c>
      <c r="E232" s="14" t="s">
        <v>2090</v>
      </c>
      <c r="F232">
        <v>0</v>
      </c>
    </row>
    <row r="233" spans="1:7" ht="13.5" customHeight="1" x14ac:dyDescent="0.15">
      <c r="A233" t="s">
        <v>2091</v>
      </c>
      <c r="B233" t="s">
        <v>1552</v>
      </c>
      <c r="C233" s="11" t="s">
        <v>1634</v>
      </c>
      <c r="D233" s="11" t="s">
        <v>2090</v>
      </c>
      <c r="E233" s="14" t="s">
        <v>2092</v>
      </c>
      <c r="F233">
        <v>0</v>
      </c>
    </row>
    <row r="234" spans="1:7" ht="13.5" customHeight="1" x14ac:dyDescent="0.15">
      <c r="A234" t="s">
        <v>2093</v>
      </c>
      <c r="B234" t="s">
        <v>1552</v>
      </c>
      <c r="C234" s="11" t="s">
        <v>1634</v>
      </c>
      <c r="D234" s="11" t="s">
        <v>2092</v>
      </c>
      <c r="E234" s="14" t="s">
        <v>2094</v>
      </c>
      <c r="F234">
        <v>0</v>
      </c>
    </row>
    <row r="235" spans="1:7" ht="13.5" customHeight="1" x14ac:dyDescent="0.15">
      <c r="A235" t="s">
        <v>2095</v>
      </c>
      <c r="B235" t="s">
        <v>1552</v>
      </c>
      <c r="C235" s="11" t="s">
        <v>1634</v>
      </c>
      <c r="D235" s="11" t="s">
        <v>2094</v>
      </c>
      <c r="E235" s="14" t="s">
        <v>2087</v>
      </c>
      <c r="F235">
        <v>0</v>
      </c>
    </row>
    <row r="236" spans="1:7" ht="13.5" customHeight="1" x14ac:dyDescent="0.15">
      <c r="A236" t="s">
        <v>2096</v>
      </c>
      <c r="B236" t="s">
        <v>1552</v>
      </c>
      <c r="C236" s="11" t="s">
        <v>1634</v>
      </c>
      <c r="D236" s="11" t="s">
        <v>2085</v>
      </c>
      <c r="E236" s="14" t="s">
        <v>2089</v>
      </c>
      <c r="F236">
        <v>0</v>
      </c>
    </row>
    <row r="237" spans="1:7" ht="13.5" customHeight="1" x14ac:dyDescent="0.15">
      <c r="A237" t="s">
        <v>2097</v>
      </c>
      <c r="B237" t="s">
        <v>1552</v>
      </c>
      <c r="C237" s="11" t="s">
        <v>1634</v>
      </c>
      <c r="D237" s="11" t="s">
        <v>2087</v>
      </c>
      <c r="E237" s="14" t="s">
        <v>2098</v>
      </c>
      <c r="F237">
        <v>0</v>
      </c>
    </row>
    <row r="238" spans="1:7" ht="13.5" customHeight="1" x14ac:dyDescent="0.15">
      <c r="A238" t="s">
        <v>2099</v>
      </c>
      <c r="B238" t="s">
        <v>1552</v>
      </c>
      <c r="C238" s="11" t="s">
        <v>1634</v>
      </c>
      <c r="D238" s="11" t="s">
        <v>2098</v>
      </c>
      <c r="E238" s="14" t="s">
        <v>2098</v>
      </c>
      <c r="F238">
        <v>0</v>
      </c>
    </row>
    <row r="239" spans="1:7" ht="13.5" customHeight="1" x14ac:dyDescent="0.15">
      <c r="A239" t="s">
        <v>2100</v>
      </c>
      <c r="B239" t="s">
        <v>1552</v>
      </c>
      <c r="C239" s="11" t="s">
        <v>2101</v>
      </c>
      <c r="D239" s="11" t="s">
        <v>2023</v>
      </c>
      <c r="E239" s="14" t="s">
        <v>2102</v>
      </c>
      <c r="F239">
        <v>26</v>
      </c>
    </row>
    <row r="240" spans="1:7" ht="13.5" customHeight="1" x14ac:dyDescent="0.15">
      <c r="A240" t="s">
        <v>2103</v>
      </c>
      <c r="B240" t="s">
        <v>1552</v>
      </c>
      <c r="C240" s="11" t="s">
        <v>2104</v>
      </c>
      <c r="D240" s="11" t="s">
        <v>2105</v>
      </c>
      <c r="E240" s="14" t="s">
        <v>2106</v>
      </c>
      <c r="F240">
        <v>13</v>
      </c>
    </row>
    <row r="241" spans="1:7" ht="13.5" customHeight="1" x14ac:dyDescent="0.15">
      <c r="A241" t="s">
        <v>2107</v>
      </c>
      <c r="B241" t="s">
        <v>1552</v>
      </c>
      <c r="C241" s="11" t="s">
        <v>2108</v>
      </c>
      <c r="D241" s="11" t="s">
        <v>2052</v>
      </c>
      <c r="E241" s="14" t="s">
        <v>2109</v>
      </c>
      <c r="F241">
        <v>34</v>
      </c>
    </row>
    <row r="242" spans="1:7" ht="13.5" customHeight="1" x14ac:dyDescent="0.15">
      <c r="A242" t="s">
        <v>2110</v>
      </c>
      <c r="B242" t="s">
        <v>1552</v>
      </c>
      <c r="C242" s="11" t="s">
        <v>2111</v>
      </c>
      <c r="D242" s="11" t="s">
        <v>1859</v>
      </c>
      <c r="E242" s="14" t="s">
        <v>2112</v>
      </c>
      <c r="F242">
        <v>72</v>
      </c>
    </row>
    <row r="243" spans="1:7" ht="13.5" customHeight="1" x14ac:dyDescent="0.15">
      <c r="A243" t="s">
        <v>2113</v>
      </c>
      <c r="B243" t="s">
        <v>1552</v>
      </c>
      <c r="C243" s="11" t="s">
        <v>2114</v>
      </c>
      <c r="D243" s="11" t="s">
        <v>2115</v>
      </c>
      <c r="E243" s="14" t="s">
        <v>2116</v>
      </c>
      <c r="F243">
        <v>210</v>
      </c>
      <c r="G243" t="s">
        <v>1695</v>
      </c>
    </row>
    <row r="244" spans="1:7" ht="13.5" customHeight="1" x14ac:dyDescent="0.15">
      <c r="A244" t="s">
        <v>2117</v>
      </c>
      <c r="B244" t="s">
        <v>1552</v>
      </c>
      <c r="C244" s="11" t="s">
        <v>1634</v>
      </c>
      <c r="D244" s="11" t="s">
        <v>2118</v>
      </c>
      <c r="E244" s="14" t="s">
        <v>2119</v>
      </c>
      <c r="F244">
        <v>0</v>
      </c>
      <c r="G244" t="s">
        <v>1695</v>
      </c>
    </row>
    <row r="245" spans="1:7" ht="13.5" customHeight="1" x14ac:dyDescent="0.15">
      <c r="A245" t="s">
        <v>2120</v>
      </c>
      <c r="B245" t="s">
        <v>1552</v>
      </c>
      <c r="C245" s="11" t="s">
        <v>1634</v>
      </c>
      <c r="D245" s="11" t="s">
        <v>2121</v>
      </c>
      <c r="E245" s="14" t="s">
        <v>2122</v>
      </c>
      <c r="F245">
        <v>0</v>
      </c>
    </row>
    <row r="246" spans="1:7" ht="13.5" customHeight="1" x14ac:dyDescent="0.15">
      <c r="A246" t="s">
        <v>2123</v>
      </c>
      <c r="B246" t="s">
        <v>1552</v>
      </c>
      <c r="C246" s="11" t="s">
        <v>1634</v>
      </c>
      <c r="D246" s="11" t="s">
        <v>2124</v>
      </c>
      <c r="E246" s="14" t="s">
        <v>2125</v>
      </c>
      <c r="F246">
        <v>0</v>
      </c>
    </row>
    <row r="247" spans="1:7" ht="13.5" customHeight="1" x14ac:dyDescent="0.15">
      <c r="A247" t="s">
        <v>2126</v>
      </c>
      <c r="B247" t="s">
        <v>1552</v>
      </c>
      <c r="C247" s="11" t="s">
        <v>1634</v>
      </c>
      <c r="D247" s="11" t="s">
        <v>2127</v>
      </c>
      <c r="E247" s="14" t="s">
        <v>2121</v>
      </c>
      <c r="F247">
        <v>0</v>
      </c>
    </row>
    <row r="248" spans="1:7" ht="13.5" customHeight="1" x14ac:dyDescent="0.15">
      <c r="A248" t="s">
        <v>2128</v>
      </c>
      <c r="B248" t="s">
        <v>1552</v>
      </c>
      <c r="C248" s="11" t="s">
        <v>1634</v>
      </c>
      <c r="D248" s="11" t="s">
        <v>2129</v>
      </c>
      <c r="E248" s="14" t="s">
        <v>2127</v>
      </c>
      <c r="F248">
        <v>0</v>
      </c>
    </row>
    <row r="249" spans="1:7" ht="13.5" customHeight="1" x14ac:dyDescent="0.15">
      <c r="A249" t="s">
        <v>2130</v>
      </c>
      <c r="B249" t="s">
        <v>1552</v>
      </c>
      <c r="C249" s="11" t="s">
        <v>1634</v>
      </c>
      <c r="D249" s="11" t="s">
        <v>2131</v>
      </c>
      <c r="E249" s="14" t="s">
        <v>2132</v>
      </c>
      <c r="F249">
        <v>0</v>
      </c>
    </row>
    <row r="250" spans="1:7" ht="13.5" customHeight="1" x14ac:dyDescent="0.15">
      <c r="A250" t="s">
        <v>2133</v>
      </c>
      <c r="B250" t="s">
        <v>1552</v>
      </c>
      <c r="C250" s="11" t="s">
        <v>1634</v>
      </c>
      <c r="D250" s="11" t="s">
        <v>2134</v>
      </c>
      <c r="E250" s="14" t="s">
        <v>2129</v>
      </c>
      <c r="F250">
        <v>0</v>
      </c>
    </row>
    <row r="251" spans="1:7" ht="13.5" customHeight="1" x14ac:dyDescent="0.15">
      <c r="A251" t="s">
        <v>2135</v>
      </c>
      <c r="B251" t="s">
        <v>1552</v>
      </c>
      <c r="C251" s="11" t="s">
        <v>1634</v>
      </c>
      <c r="D251" s="11" t="s">
        <v>2119</v>
      </c>
      <c r="E251" s="14" t="s">
        <v>2134</v>
      </c>
      <c r="F251">
        <v>0</v>
      </c>
    </row>
    <row r="252" spans="1:7" ht="13.5" customHeight="1" x14ac:dyDescent="0.15">
      <c r="A252" t="s">
        <v>2136</v>
      </c>
      <c r="B252" t="s">
        <v>1552</v>
      </c>
      <c r="C252" s="11" t="s">
        <v>1634</v>
      </c>
      <c r="D252" s="11" t="s">
        <v>2137</v>
      </c>
      <c r="E252" s="14" t="s">
        <v>2131</v>
      </c>
      <c r="F252">
        <v>0</v>
      </c>
    </row>
    <row r="253" spans="1:7" ht="13.5" customHeight="1" x14ac:dyDescent="0.15">
      <c r="A253" t="s">
        <v>2138</v>
      </c>
      <c r="B253" t="s">
        <v>1552</v>
      </c>
      <c r="C253" s="11" t="s">
        <v>1634</v>
      </c>
      <c r="D253" s="11" t="s">
        <v>2139</v>
      </c>
      <c r="E253" s="14" t="s">
        <v>2137</v>
      </c>
      <c r="F253">
        <v>0</v>
      </c>
    </row>
    <row r="254" spans="1:7" ht="13.5" customHeight="1" x14ac:dyDescent="0.15">
      <c r="A254" t="s">
        <v>2140</v>
      </c>
      <c r="B254" t="s">
        <v>1552</v>
      </c>
      <c r="C254" s="11" t="s">
        <v>1634</v>
      </c>
      <c r="D254" s="11" t="s">
        <v>2141</v>
      </c>
      <c r="E254" s="14" t="s">
        <v>2142</v>
      </c>
      <c r="F254">
        <v>0</v>
      </c>
    </row>
    <row r="255" spans="1:7" ht="13.5" customHeight="1" x14ac:dyDescent="0.15">
      <c r="A255" t="s">
        <v>2143</v>
      </c>
      <c r="B255" t="s">
        <v>1552</v>
      </c>
      <c r="C255" s="11" t="s">
        <v>1634</v>
      </c>
      <c r="D255" s="11" t="s">
        <v>2144</v>
      </c>
      <c r="E255" s="14" t="s">
        <v>2124</v>
      </c>
      <c r="F255">
        <v>0</v>
      </c>
    </row>
    <row r="256" spans="1:7" ht="13.5" customHeight="1" x14ac:dyDescent="0.15">
      <c r="A256" t="s">
        <v>2145</v>
      </c>
      <c r="B256" t="s">
        <v>1552</v>
      </c>
      <c r="C256" s="11" t="s">
        <v>1634</v>
      </c>
      <c r="D256" s="11" t="s">
        <v>2146</v>
      </c>
      <c r="E256" s="14" t="s">
        <v>2141</v>
      </c>
      <c r="F256">
        <v>0</v>
      </c>
    </row>
    <row r="257" spans="1:7" ht="13.5" customHeight="1" x14ac:dyDescent="0.15">
      <c r="A257" t="s">
        <v>2147</v>
      </c>
      <c r="B257" t="s">
        <v>1552</v>
      </c>
      <c r="C257" s="11" t="s">
        <v>1634</v>
      </c>
      <c r="D257" s="11" t="s">
        <v>2148</v>
      </c>
      <c r="E257" s="14" t="s">
        <v>2118</v>
      </c>
      <c r="F257">
        <v>0</v>
      </c>
    </row>
    <row r="258" spans="1:7" ht="13.5" customHeight="1" x14ac:dyDescent="0.15">
      <c r="A258" t="s">
        <v>2149</v>
      </c>
      <c r="B258" t="s">
        <v>1552</v>
      </c>
      <c r="C258" s="11" t="s">
        <v>1634</v>
      </c>
      <c r="D258" s="11" t="s">
        <v>2150</v>
      </c>
      <c r="E258" s="14" t="s">
        <v>2139</v>
      </c>
      <c r="F258">
        <v>0</v>
      </c>
    </row>
    <row r="259" spans="1:7" ht="13.5" customHeight="1" x14ac:dyDescent="0.15">
      <c r="A259" t="s">
        <v>2151</v>
      </c>
      <c r="B259" t="s">
        <v>1552</v>
      </c>
      <c r="C259" s="11" t="s">
        <v>1634</v>
      </c>
      <c r="D259" s="11" t="s">
        <v>2152</v>
      </c>
      <c r="E259" s="14" t="s">
        <v>2153</v>
      </c>
      <c r="F259">
        <v>0</v>
      </c>
    </row>
    <row r="260" spans="1:7" ht="13.5" customHeight="1" x14ac:dyDescent="0.15">
      <c r="A260" t="s">
        <v>2154</v>
      </c>
      <c r="B260" t="s">
        <v>1552</v>
      </c>
      <c r="C260" s="11" t="s">
        <v>1634</v>
      </c>
      <c r="D260" s="11" t="s">
        <v>2125</v>
      </c>
      <c r="E260" s="14" t="s">
        <v>2152</v>
      </c>
      <c r="F260">
        <v>0</v>
      </c>
    </row>
    <row r="261" spans="1:7" ht="13.5" customHeight="1" x14ac:dyDescent="0.15">
      <c r="A261" t="s">
        <v>2155</v>
      </c>
      <c r="B261" t="s">
        <v>1552</v>
      </c>
      <c r="C261" s="11" t="s">
        <v>1634</v>
      </c>
      <c r="D261" s="11" t="s">
        <v>2132</v>
      </c>
      <c r="E261" s="14" t="s">
        <v>2156</v>
      </c>
      <c r="F261">
        <v>0</v>
      </c>
      <c r="G261" t="s">
        <v>1715</v>
      </c>
    </row>
    <row r="262" spans="1:7" ht="13.5" customHeight="1" x14ac:dyDescent="0.15">
      <c r="A262" t="s">
        <v>2157</v>
      </c>
      <c r="B262" t="s">
        <v>1552</v>
      </c>
      <c r="C262" s="11" t="s">
        <v>1634</v>
      </c>
      <c r="D262" s="11" t="s">
        <v>2158</v>
      </c>
      <c r="E262" s="14" t="s">
        <v>2159</v>
      </c>
      <c r="F262">
        <v>0</v>
      </c>
    </row>
    <row r="263" spans="1:7" ht="13.5" customHeight="1" x14ac:dyDescent="0.15">
      <c r="A263" t="s">
        <v>2160</v>
      </c>
      <c r="B263" t="s">
        <v>1552</v>
      </c>
      <c r="C263" s="11" t="s">
        <v>1634</v>
      </c>
      <c r="D263" s="11" t="s">
        <v>2161</v>
      </c>
      <c r="E263" s="14" t="s">
        <v>2162</v>
      </c>
      <c r="F263">
        <v>0</v>
      </c>
      <c r="G263" t="s">
        <v>1695</v>
      </c>
    </row>
    <row r="264" spans="1:7" ht="13.5" customHeight="1" x14ac:dyDescent="0.15">
      <c r="A264" t="s">
        <v>2163</v>
      </c>
      <c r="B264" t="s">
        <v>1552</v>
      </c>
      <c r="C264" s="11" t="s">
        <v>1634</v>
      </c>
      <c r="D264" s="11" t="s">
        <v>2158</v>
      </c>
      <c r="E264" s="14" t="s">
        <v>2161</v>
      </c>
      <c r="F264">
        <v>0</v>
      </c>
    </row>
    <row r="265" spans="1:7" ht="13.5" customHeight="1" x14ac:dyDescent="0.15">
      <c r="A265" t="s">
        <v>2164</v>
      </c>
      <c r="B265" t="s">
        <v>1552</v>
      </c>
      <c r="C265" s="11" t="s">
        <v>1634</v>
      </c>
      <c r="D265" s="11" t="s">
        <v>2165</v>
      </c>
      <c r="E265" s="14" t="s">
        <v>2158</v>
      </c>
      <c r="F265">
        <v>0</v>
      </c>
    </row>
    <row r="266" spans="1:7" ht="13.5" customHeight="1" x14ac:dyDescent="0.15">
      <c r="A266" t="s">
        <v>2166</v>
      </c>
      <c r="B266" t="s">
        <v>1552</v>
      </c>
      <c r="C266" s="11" t="s">
        <v>1634</v>
      </c>
      <c r="D266" s="11" t="s">
        <v>2167</v>
      </c>
      <c r="E266" s="14" t="s">
        <v>2158</v>
      </c>
      <c r="F266">
        <v>0</v>
      </c>
    </row>
    <row r="267" spans="1:7" ht="13.5" customHeight="1" x14ac:dyDescent="0.15">
      <c r="A267" t="s">
        <v>2168</v>
      </c>
      <c r="B267" t="s">
        <v>1552</v>
      </c>
      <c r="C267" s="11" t="s">
        <v>1870</v>
      </c>
      <c r="D267" s="11" t="s">
        <v>2169</v>
      </c>
      <c r="E267" s="14" t="s">
        <v>2170</v>
      </c>
      <c r="F267">
        <v>1</v>
      </c>
      <c r="G267" t="s">
        <v>1715</v>
      </c>
    </row>
    <row r="268" spans="1:7" ht="13.5" customHeight="1" x14ac:dyDescent="0.15">
      <c r="A268" t="s">
        <v>2171</v>
      </c>
      <c r="B268" t="s">
        <v>1552</v>
      </c>
      <c r="C268" s="11" t="s">
        <v>1634</v>
      </c>
      <c r="D268" s="11" t="s">
        <v>2172</v>
      </c>
      <c r="E268" s="14" t="s">
        <v>2167</v>
      </c>
      <c r="F268">
        <v>0</v>
      </c>
    </row>
    <row r="269" spans="1:7" ht="13.5" customHeight="1" x14ac:dyDescent="0.15">
      <c r="A269" t="s">
        <v>2173</v>
      </c>
      <c r="B269" t="s">
        <v>1552</v>
      </c>
      <c r="C269" s="11" t="s">
        <v>1634</v>
      </c>
      <c r="D269" s="11" t="s">
        <v>2174</v>
      </c>
      <c r="E269" s="14" t="s">
        <v>2172</v>
      </c>
      <c r="F269">
        <v>0</v>
      </c>
    </row>
    <row r="270" spans="1:7" ht="13.5" customHeight="1" x14ac:dyDescent="0.15">
      <c r="A270" t="s">
        <v>2175</v>
      </c>
      <c r="B270" t="s">
        <v>1552</v>
      </c>
      <c r="C270" s="11" t="s">
        <v>1634</v>
      </c>
      <c r="D270" s="11" t="s">
        <v>2176</v>
      </c>
      <c r="E270" s="14" t="s">
        <v>2174</v>
      </c>
      <c r="F270">
        <v>0</v>
      </c>
    </row>
    <row r="271" spans="1:7" ht="13.5" customHeight="1" x14ac:dyDescent="0.15">
      <c r="A271" t="s">
        <v>2177</v>
      </c>
      <c r="B271" t="s">
        <v>1552</v>
      </c>
      <c r="C271" s="11" t="s">
        <v>1634</v>
      </c>
      <c r="D271" s="11" t="s">
        <v>2178</v>
      </c>
      <c r="E271" s="14" t="s">
        <v>2176</v>
      </c>
      <c r="F271">
        <v>0</v>
      </c>
    </row>
    <row r="272" spans="1:7" ht="13.5" customHeight="1" x14ac:dyDescent="0.15">
      <c r="A272" t="s">
        <v>2179</v>
      </c>
      <c r="B272" t="s">
        <v>1552</v>
      </c>
      <c r="C272" s="11" t="s">
        <v>1634</v>
      </c>
      <c r="D272" s="11" t="s">
        <v>2180</v>
      </c>
      <c r="E272" s="14" t="s">
        <v>2178</v>
      </c>
      <c r="F272">
        <v>0</v>
      </c>
    </row>
    <row r="273" spans="1:7" ht="13.5" customHeight="1" x14ac:dyDescent="0.15">
      <c r="A273" t="s">
        <v>2181</v>
      </c>
      <c r="B273" t="s">
        <v>1552</v>
      </c>
      <c r="C273" s="11" t="s">
        <v>1634</v>
      </c>
      <c r="D273" s="11" t="s">
        <v>2182</v>
      </c>
      <c r="E273" s="14" t="s">
        <v>2180</v>
      </c>
      <c r="F273">
        <v>0</v>
      </c>
    </row>
    <row r="274" spans="1:7" ht="13.5" customHeight="1" x14ac:dyDescent="0.15">
      <c r="A274" t="s">
        <v>2183</v>
      </c>
      <c r="B274" t="s">
        <v>1552</v>
      </c>
      <c r="C274" s="11" t="s">
        <v>1634</v>
      </c>
      <c r="D274" s="11" t="s">
        <v>2184</v>
      </c>
      <c r="E274" s="14" t="s">
        <v>2185</v>
      </c>
      <c r="F274">
        <v>0</v>
      </c>
    </row>
    <row r="275" spans="1:7" ht="13.5" customHeight="1" x14ac:dyDescent="0.15">
      <c r="A275" t="s">
        <v>2186</v>
      </c>
      <c r="B275" t="s">
        <v>1552</v>
      </c>
      <c r="C275" s="11" t="s">
        <v>1634</v>
      </c>
      <c r="D275" s="11" t="s">
        <v>2170</v>
      </c>
      <c r="E275" s="14" t="s">
        <v>2184</v>
      </c>
      <c r="F275">
        <v>0</v>
      </c>
    </row>
    <row r="276" spans="1:7" ht="13.5" customHeight="1" x14ac:dyDescent="0.15">
      <c r="A276" t="s">
        <v>2187</v>
      </c>
      <c r="B276" t="s">
        <v>1552</v>
      </c>
      <c r="C276" s="11" t="s">
        <v>1634</v>
      </c>
      <c r="D276" s="11" t="s">
        <v>2156</v>
      </c>
      <c r="E276" s="14" t="s">
        <v>2182</v>
      </c>
      <c r="F276">
        <v>0</v>
      </c>
    </row>
    <row r="277" spans="1:7" ht="13.5" customHeight="1" x14ac:dyDescent="0.15">
      <c r="A277" t="s">
        <v>2188</v>
      </c>
      <c r="B277" t="s">
        <v>1552</v>
      </c>
      <c r="C277" s="11" t="s">
        <v>1634</v>
      </c>
      <c r="D277" s="11" t="s">
        <v>2122</v>
      </c>
      <c r="E277" s="14" t="s">
        <v>2165</v>
      </c>
      <c r="F277">
        <v>0</v>
      </c>
      <c r="G277" t="s">
        <v>1715</v>
      </c>
    </row>
    <row r="278" spans="1:7" ht="13.5" customHeight="1" x14ac:dyDescent="0.15">
      <c r="A278" t="s">
        <v>2189</v>
      </c>
      <c r="B278" t="s">
        <v>1552</v>
      </c>
      <c r="C278" s="11" t="s">
        <v>1634</v>
      </c>
      <c r="D278" s="11" t="s">
        <v>2162</v>
      </c>
      <c r="E278" s="14" t="s">
        <v>2190</v>
      </c>
      <c r="F278">
        <v>0</v>
      </c>
    </row>
    <row r="279" spans="1:7" ht="13.5" customHeight="1" x14ac:dyDescent="0.15">
      <c r="A279" t="s">
        <v>2191</v>
      </c>
      <c r="B279" t="s">
        <v>1552</v>
      </c>
      <c r="C279" s="11" t="s">
        <v>1849</v>
      </c>
      <c r="D279" s="11" t="s">
        <v>2142</v>
      </c>
      <c r="E279" s="14" t="s">
        <v>2192</v>
      </c>
      <c r="F279">
        <v>2</v>
      </c>
      <c r="G279" t="s">
        <v>1695</v>
      </c>
    </row>
    <row r="280" spans="1:7" ht="13.5" customHeight="1" x14ac:dyDescent="0.15">
      <c r="A280" t="s">
        <v>2193</v>
      </c>
      <c r="B280" t="s">
        <v>1552</v>
      </c>
      <c r="C280" s="11" t="s">
        <v>1634</v>
      </c>
      <c r="D280" s="11" t="s">
        <v>2194</v>
      </c>
      <c r="E280" s="14" t="s">
        <v>2195</v>
      </c>
      <c r="F280">
        <v>0</v>
      </c>
      <c r="G280" t="s">
        <v>1715</v>
      </c>
    </row>
    <row r="281" spans="1:7" ht="13.5" customHeight="1" x14ac:dyDescent="0.15">
      <c r="A281" t="s">
        <v>2196</v>
      </c>
      <c r="B281" t="s">
        <v>1552</v>
      </c>
      <c r="C281" s="11" t="s">
        <v>1634</v>
      </c>
      <c r="D281" s="11" t="s">
        <v>2197</v>
      </c>
      <c r="E281" s="14" t="s">
        <v>2198</v>
      </c>
      <c r="F281">
        <v>0</v>
      </c>
      <c r="G281" t="s">
        <v>1715</v>
      </c>
    </row>
    <row r="282" spans="1:7" ht="13.5" customHeight="1" x14ac:dyDescent="0.15">
      <c r="A282" t="s">
        <v>2199</v>
      </c>
      <c r="B282" t="s">
        <v>1552</v>
      </c>
      <c r="C282" s="11" t="s">
        <v>1634</v>
      </c>
      <c r="D282" s="11" t="s">
        <v>2190</v>
      </c>
      <c r="E282" s="14" t="s">
        <v>2197</v>
      </c>
      <c r="F282">
        <v>0</v>
      </c>
    </row>
    <row r="283" spans="1:7" ht="13.5" customHeight="1" x14ac:dyDescent="0.15">
      <c r="A283" t="s">
        <v>2200</v>
      </c>
      <c r="B283" t="s">
        <v>1552</v>
      </c>
      <c r="C283" s="11" t="s">
        <v>1634</v>
      </c>
      <c r="D283" s="11" t="s">
        <v>2192</v>
      </c>
      <c r="E283" s="14" t="s">
        <v>2194</v>
      </c>
      <c r="F283">
        <v>0</v>
      </c>
    </row>
    <row r="284" spans="1:7" ht="13.5" customHeight="1" x14ac:dyDescent="0.15">
      <c r="A284" t="s">
        <v>2201</v>
      </c>
      <c r="B284" t="s">
        <v>1552</v>
      </c>
      <c r="C284" s="11" t="s">
        <v>1849</v>
      </c>
      <c r="D284" s="11" t="s">
        <v>2185</v>
      </c>
      <c r="E284" s="14" t="s">
        <v>2202</v>
      </c>
      <c r="F284">
        <v>2</v>
      </c>
    </row>
    <row r="285" spans="1:7" ht="13.5" customHeight="1" x14ac:dyDescent="0.15">
      <c r="A285" t="s">
        <v>2203</v>
      </c>
      <c r="B285" t="s">
        <v>1552</v>
      </c>
      <c r="C285" s="11" t="s">
        <v>1849</v>
      </c>
      <c r="D285" s="11" t="s">
        <v>2153</v>
      </c>
      <c r="E285" s="14" t="s">
        <v>2204</v>
      </c>
      <c r="F285">
        <v>2</v>
      </c>
    </row>
    <row r="286" spans="1:7" ht="13.5" customHeight="1" x14ac:dyDescent="0.15">
      <c r="A286" t="s">
        <v>2205</v>
      </c>
      <c r="B286" t="s">
        <v>1552</v>
      </c>
      <c r="C286" s="11" t="s">
        <v>1553</v>
      </c>
      <c r="D286" s="11" t="s">
        <v>2195</v>
      </c>
      <c r="E286" s="14" t="s">
        <v>2206</v>
      </c>
      <c r="F286">
        <v>11</v>
      </c>
    </row>
    <row r="287" spans="1:7" ht="13.5" customHeight="1" x14ac:dyDescent="0.15">
      <c r="A287" t="s">
        <v>2207</v>
      </c>
      <c r="B287" t="s">
        <v>1552</v>
      </c>
      <c r="C287" s="11" t="s">
        <v>1861</v>
      </c>
      <c r="D287" s="11" t="s">
        <v>2208</v>
      </c>
      <c r="E287" s="14" t="s">
        <v>2209</v>
      </c>
      <c r="F287">
        <v>3</v>
      </c>
    </row>
    <row r="288" spans="1:7" ht="13.5" customHeight="1" x14ac:dyDescent="0.15">
      <c r="A288" t="s">
        <v>2210</v>
      </c>
      <c r="B288" t="s">
        <v>1552</v>
      </c>
      <c r="C288" s="11" t="s">
        <v>2211</v>
      </c>
      <c r="D288" s="11" t="s">
        <v>2159</v>
      </c>
      <c r="E288" s="14" t="s">
        <v>2212</v>
      </c>
      <c r="F288">
        <v>124</v>
      </c>
    </row>
    <row r="289" spans="1:7" ht="13.5" customHeight="1" x14ac:dyDescent="0.15">
      <c r="A289" t="s">
        <v>2213</v>
      </c>
      <c r="B289" t="s">
        <v>1552</v>
      </c>
      <c r="C289" s="11" t="s">
        <v>2214</v>
      </c>
      <c r="D289" s="11" t="s">
        <v>2198</v>
      </c>
      <c r="E289" s="14" t="s">
        <v>2215</v>
      </c>
      <c r="F289">
        <v>1728</v>
      </c>
      <c r="G289" t="s">
        <v>1715</v>
      </c>
    </row>
    <row r="290" spans="1:7" ht="13.5" customHeight="1" x14ac:dyDescent="0.15">
      <c r="A290" t="s">
        <v>2216</v>
      </c>
      <c r="B290" t="s">
        <v>1552</v>
      </c>
      <c r="C290" s="11" t="s">
        <v>1634</v>
      </c>
      <c r="D290" s="11" t="s">
        <v>2217</v>
      </c>
      <c r="E290" s="14" t="s">
        <v>2218</v>
      </c>
      <c r="F290">
        <v>0</v>
      </c>
      <c r="G290" t="s">
        <v>1695</v>
      </c>
    </row>
    <row r="291" spans="1:7" ht="13.5" customHeight="1" x14ac:dyDescent="0.15">
      <c r="A291" t="s">
        <v>2219</v>
      </c>
      <c r="B291" t="s">
        <v>1552</v>
      </c>
      <c r="C291" s="11" t="s">
        <v>1634</v>
      </c>
      <c r="D291" s="11" t="s">
        <v>2217</v>
      </c>
      <c r="E291" s="14" t="s">
        <v>2220</v>
      </c>
      <c r="F291">
        <v>0</v>
      </c>
    </row>
    <row r="292" spans="1:7" ht="13.5" customHeight="1" x14ac:dyDescent="0.15">
      <c r="A292" t="s">
        <v>2221</v>
      </c>
      <c r="B292" t="s">
        <v>1552</v>
      </c>
      <c r="C292" s="11" t="s">
        <v>1634</v>
      </c>
      <c r="D292" s="11" t="s">
        <v>2222</v>
      </c>
      <c r="E292" s="14" t="s">
        <v>2223</v>
      </c>
      <c r="F292">
        <v>0</v>
      </c>
      <c r="G292" t="s">
        <v>1695</v>
      </c>
    </row>
    <row r="293" spans="1:7" ht="13.5" customHeight="1" x14ac:dyDescent="0.15">
      <c r="A293" t="s">
        <v>2224</v>
      </c>
      <c r="B293" t="s">
        <v>1552</v>
      </c>
      <c r="C293" s="11" t="s">
        <v>1634</v>
      </c>
      <c r="D293" s="11" t="s">
        <v>2225</v>
      </c>
      <c r="E293" s="14" t="s">
        <v>2223</v>
      </c>
      <c r="F293">
        <v>0</v>
      </c>
      <c r="G293" t="s">
        <v>1695</v>
      </c>
    </row>
    <row r="294" spans="1:7" ht="13.5" customHeight="1" x14ac:dyDescent="0.15">
      <c r="A294" t="s">
        <v>2226</v>
      </c>
      <c r="B294" t="s">
        <v>1552</v>
      </c>
      <c r="C294" s="11" t="s">
        <v>1634</v>
      </c>
      <c r="D294" s="11" t="s">
        <v>2227</v>
      </c>
      <c r="E294" s="14" t="s">
        <v>2228</v>
      </c>
      <c r="F294">
        <v>0</v>
      </c>
      <c r="G294" t="s">
        <v>1695</v>
      </c>
    </row>
    <row r="295" spans="1:7" ht="13.5" customHeight="1" x14ac:dyDescent="0.15">
      <c r="A295" t="s">
        <v>2229</v>
      </c>
      <c r="B295" t="s">
        <v>1552</v>
      </c>
      <c r="C295" s="11" t="s">
        <v>1634</v>
      </c>
      <c r="D295" s="11" t="s">
        <v>2227</v>
      </c>
      <c r="E295" s="14" t="s">
        <v>2230</v>
      </c>
      <c r="F295">
        <v>0</v>
      </c>
      <c r="G295" t="s">
        <v>1695</v>
      </c>
    </row>
    <row r="296" spans="1:7" ht="13.5" customHeight="1" x14ac:dyDescent="0.15">
      <c r="A296" t="s">
        <v>2231</v>
      </c>
      <c r="B296" t="s">
        <v>1552</v>
      </c>
      <c r="C296" s="11" t="s">
        <v>1634</v>
      </c>
      <c r="D296" s="11" t="s">
        <v>2232</v>
      </c>
      <c r="E296" s="14" t="s">
        <v>2233</v>
      </c>
      <c r="F296">
        <v>0</v>
      </c>
      <c r="G296" t="s">
        <v>1695</v>
      </c>
    </row>
    <row r="297" spans="1:7" ht="13.5" customHeight="1" x14ac:dyDescent="0.15">
      <c r="A297" t="s">
        <v>2234</v>
      </c>
      <c r="B297" t="s">
        <v>1552</v>
      </c>
      <c r="C297" s="11" t="s">
        <v>1634</v>
      </c>
      <c r="D297" s="11" t="s">
        <v>2235</v>
      </c>
      <c r="E297" s="14" t="s">
        <v>2236</v>
      </c>
      <c r="F297">
        <v>0</v>
      </c>
      <c r="G297" t="s">
        <v>1695</v>
      </c>
    </row>
    <row r="298" spans="1:7" ht="13.5" customHeight="1" x14ac:dyDescent="0.15">
      <c r="E298" s="14"/>
    </row>
    <row r="299" spans="1:7" ht="13.5" customHeight="1" x14ac:dyDescent="0.15">
      <c r="E299" s="14"/>
    </row>
    <row r="300" spans="1:7" ht="13.5" customHeight="1" x14ac:dyDescent="0.15">
      <c r="E300" s="14"/>
    </row>
    <row r="301" spans="1:7" ht="13.5" customHeight="1" x14ac:dyDescent="0.15">
      <c r="E301" s="14"/>
    </row>
    <row r="302" spans="1:7" ht="13.5" customHeight="1" x14ac:dyDescent="0.15">
      <c r="E302" s="14"/>
    </row>
    <row r="303" spans="1:7" ht="13.5" customHeight="1" x14ac:dyDescent="0.15">
      <c r="E303" s="14"/>
    </row>
    <row r="304" spans="1:7" ht="13.5" customHeight="1" x14ac:dyDescent="0.15">
      <c r="E304" s="14"/>
    </row>
    <row r="305" spans="5:5" ht="13.5" customHeight="1" x14ac:dyDescent="0.15">
      <c r="E305" s="14"/>
    </row>
    <row r="306" spans="5:5" ht="13.5" customHeight="1" x14ac:dyDescent="0.15">
      <c r="E306" s="14"/>
    </row>
    <row r="307" spans="5:5" ht="13.5" customHeight="1" x14ac:dyDescent="0.15">
      <c r="E307" s="14"/>
    </row>
    <row r="308" spans="5:5" ht="13.5" customHeight="1" x14ac:dyDescent="0.15">
      <c r="E308" s="14"/>
    </row>
    <row r="309" spans="5:5" ht="13.5" customHeight="1" x14ac:dyDescent="0.15">
      <c r="E309" s="14"/>
    </row>
    <row r="310" spans="5:5" ht="13.5" customHeight="1" x14ac:dyDescent="0.15">
      <c r="E310" s="14"/>
    </row>
    <row r="311" spans="5:5" ht="13.5" customHeight="1" x14ac:dyDescent="0.15">
      <c r="E311" s="14"/>
    </row>
    <row r="312" spans="5:5" ht="13.5" customHeight="1" x14ac:dyDescent="0.15">
      <c r="E312" s="14"/>
    </row>
    <row r="313" spans="5:5" ht="13.5" customHeight="1" x14ac:dyDescent="0.15">
      <c r="E313" s="14"/>
    </row>
    <row r="314" spans="5:5" ht="13.5" customHeight="1" x14ac:dyDescent="0.15">
      <c r="E314" s="14"/>
    </row>
    <row r="315" spans="5:5" ht="13.5" customHeight="1" x14ac:dyDescent="0.15">
      <c r="E315" s="14"/>
    </row>
    <row r="316" spans="5:5" ht="13.5" customHeight="1" x14ac:dyDescent="0.15">
      <c r="E316" s="14"/>
    </row>
    <row r="317" spans="5:5" ht="13.5" customHeight="1" x14ac:dyDescent="0.15">
      <c r="E317" s="14"/>
    </row>
    <row r="318" spans="5:5" ht="13.5" customHeight="1" x14ac:dyDescent="0.15">
      <c r="E318" s="14"/>
    </row>
    <row r="319" spans="5:5" ht="13.5" customHeight="1" x14ac:dyDescent="0.15">
      <c r="E319" s="14"/>
    </row>
    <row r="320" spans="5:5" ht="13.5" customHeight="1" x14ac:dyDescent="0.15">
      <c r="E320" s="14"/>
    </row>
    <row r="321" spans="5:5" ht="13.5" customHeight="1" x14ac:dyDescent="0.15">
      <c r="E321" s="14"/>
    </row>
    <row r="322" spans="5:5" ht="13.5" customHeight="1" x14ac:dyDescent="0.15">
      <c r="E322" s="14"/>
    </row>
    <row r="323" spans="5:5" ht="13.5" customHeight="1" x14ac:dyDescent="0.15">
      <c r="E323" s="14"/>
    </row>
    <row r="324" spans="5:5" ht="13.5" customHeight="1" x14ac:dyDescent="0.15">
      <c r="E324" s="14"/>
    </row>
    <row r="325" spans="5:5" ht="13.5" customHeight="1" x14ac:dyDescent="0.15">
      <c r="E325" s="14"/>
    </row>
    <row r="326" spans="5:5" ht="13.5" customHeight="1" x14ac:dyDescent="0.15">
      <c r="E326" s="14"/>
    </row>
    <row r="327" spans="5:5" ht="13.5" customHeight="1" x14ac:dyDescent="0.15">
      <c r="E327" s="14"/>
    </row>
    <row r="328" spans="5:5" ht="13.5" customHeight="1" x14ac:dyDescent="0.15">
      <c r="E328" s="14"/>
    </row>
    <row r="329" spans="5:5" ht="13.5" customHeight="1" x14ac:dyDescent="0.15">
      <c r="E329" s="14"/>
    </row>
    <row r="330" spans="5:5" ht="13.5" customHeight="1" x14ac:dyDescent="0.15">
      <c r="E330" s="14"/>
    </row>
    <row r="331" spans="5:5" ht="13.5" customHeight="1" x14ac:dyDescent="0.15">
      <c r="E331" s="14"/>
    </row>
    <row r="332" spans="5:5" ht="13.5" customHeight="1" x14ac:dyDescent="0.15">
      <c r="E332" s="14"/>
    </row>
    <row r="333" spans="5:5" ht="13.5" customHeight="1" x14ac:dyDescent="0.15">
      <c r="E333" s="14"/>
    </row>
    <row r="334" spans="5:5" ht="13.5" customHeight="1" x14ac:dyDescent="0.15">
      <c r="E334" s="14"/>
    </row>
    <row r="335" spans="5:5" ht="13.5" customHeight="1" x14ac:dyDescent="0.15">
      <c r="E335" s="14"/>
    </row>
    <row r="336" spans="5:5" ht="13.5" customHeight="1" x14ac:dyDescent="0.15">
      <c r="E336" s="14"/>
    </row>
    <row r="337" spans="5:5" ht="13.5" customHeight="1" x14ac:dyDescent="0.15">
      <c r="E337" s="14"/>
    </row>
    <row r="338" spans="5:5" ht="13.5" customHeight="1" x14ac:dyDescent="0.15">
      <c r="E338" s="14"/>
    </row>
    <row r="339" spans="5:5" ht="13.5" customHeight="1" x14ac:dyDescent="0.15">
      <c r="E339" s="14"/>
    </row>
    <row r="340" spans="5:5" ht="13.5" customHeight="1" x14ac:dyDescent="0.15">
      <c r="E340" s="14"/>
    </row>
    <row r="341" spans="5:5" ht="13.5" customHeight="1" x14ac:dyDescent="0.15">
      <c r="E341" s="14"/>
    </row>
    <row r="342" spans="5:5" ht="13.5" customHeight="1" x14ac:dyDescent="0.15">
      <c r="E342" s="14"/>
    </row>
    <row r="343" spans="5:5" ht="13.5" customHeight="1" x14ac:dyDescent="0.15">
      <c r="E343" s="14"/>
    </row>
    <row r="344" spans="5:5" ht="13.5" customHeight="1" x14ac:dyDescent="0.15">
      <c r="E344" s="14"/>
    </row>
    <row r="345" spans="5:5" ht="13.5" customHeight="1" x14ac:dyDescent="0.15">
      <c r="E345" s="14"/>
    </row>
    <row r="346" spans="5:5" ht="13.5" customHeight="1" x14ac:dyDescent="0.15">
      <c r="E346" s="14"/>
    </row>
    <row r="347" spans="5:5" x14ac:dyDescent="0.15">
      <c r="E347" s="14"/>
    </row>
    <row r="348" spans="5:5" x14ac:dyDescent="0.15">
      <c r="E348" s="14"/>
    </row>
    <row r="349" spans="5:5" x14ac:dyDescent="0.15">
      <c r="E349" s="14"/>
    </row>
    <row r="350" spans="5:5" x14ac:dyDescent="0.15">
      <c r="E350" s="14"/>
    </row>
    <row r="351" spans="5:5" x14ac:dyDescent="0.15">
      <c r="E351" s="14"/>
    </row>
    <row r="352" spans="5:5" x14ac:dyDescent="0.15">
      <c r="E352" s="14"/>
    </row>
    <row r="353" spans="5:5" x14ac:dyDescent="0.15">
      <c r="E353" s="14"/>
    </row>
    <row r="354" spans="5:5" x14ac:dyDescent="0.15">
      <c r="E354" s="14"/>
    </row>
    <row r="355" spans="5:5" x14ac:dyDescent="0.15">
      <c r="E355" s="14"/>
    </row>
    <row r="356" spans="5:5" x14ac:dyDescent="0.15">
      <c r="E356" s="14"/>
    </row>
    <row r="357" spans="5:5" x14ac:dyDescent="0.15">
      <c r="E357" s="14"/>
    </row>
    <row r="358" spans="5:5" x14ac:dyDescent="0.15">
      <c r="E358" s="14"/>
    </row>
    <row r="359" spans="5:5" x14ac:dyDescent="0.15">
      <c r="E359" s="14"/>
    </row>
    <row r="360" spans="5:5" x14ac:dyDescent="0.15">
      <c r="E360" s="14"/>
    </row>
  </sheetData>
  <conditionalFormatting sqref="F2:F6">
    <cfRule type="dataBar" priority="9">
      <dataBar>
        <cfvo type="min"/>
        <cfvo type="max"/>
        <color rgb="FFFF555A"/>
      </dataBar>
    </cfRule>
  </conditionalFormatting>
  <conditionalFormatting sqref="F7:F360">
    <cfRule type="dataBar" priority="11">
      <dataBar>
        <cfvo type="min"/>
        <cfvo type="max"/>
        <color rgb="FFFF555A"/>
      </dataBar>
    </cfRule>
  </conditionalFormatting>
  <pageMargins left="0.7" right="0.7" top="0.75" bottom="0.75" header="0.3" footer="0.3"/>
  <pageSetup paperSize="9"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7150"/>
  <sheetViews>
    <sheetView topLeftCell="A2939" zoomScaleNormal="100" workbookViewId="0">
      <selection activeCell="J2947" sqref="J2947"/>
    </sheetView>
  </sheetViews>
  <sheetFormatPr baseColWidth="10" defaultColWidth="8.83203125" defaultRowHeight="13" x14ac:dyDescent="0.15"/>
  <cols>
    <col min="1" max="1" width="6.5" bestFit="1" customWidth="1"/>
    <col min="2" max="2" width="32.83203125" bestFit="1" customWidth="1"/>
    <col min="3" max="3" width="15.83203125" bestFit="1" customWidth="1"/>
    <col min="4" max="5" width="13.5" bestFit="1" customWidth="1"/>
    <col min="6" max="6" width="11.83203125" bestFit="1" customWidth="1"/>
    <col min="7" max="7" width="11.1640625" bestFit="1" customWidth="1"/>
    <col min="8" max="8" width="10.1640625" bestFit="1" customWidth="1"/>
  </cols>
  <sheetData>
    <row r="1" spans="1:8" x14ac:dyDescent="0.15">
      <c r="A1" t="s">
        <v>2237</v>
      </c>
      <c r="B1" t="s">
        <v>2238</v>
      </c>
      <c r="C1" t="s">
        <v>2239</v>
      </c>
      <c r="D1" t="s">
        <v>2240</v>
      </c>
      <c r="E1" t="s">
        <v>2241</v>
      </c>
      <c r="F1" s="46" t="s">
        <v>2242</v>
      </c>
      <c r="G1" s="46" t="s">
        <v>2243</v>
      </c>
      <c r="H1" t="s">
        <v>2244</v>
      </c>
    </row>
    <row r="2" spans="1:8" x14ac:dyDescent="0.15">
      <c r="A2">
        <v>1</v>
      </c>
      <c r="B2" t="s">
        <v>339</v>
      </c>
      <c r="C2" t="s">
        <v>353</v>
      </c>
      <c r="D2" t="s">
        <v>2245</v>
      </c>
      <c r="E2" t="s">
        <v>2246</v>
      </c>
      <c r="F2" s="46">
        <v>46097.325844930558</v>
      </c>
      <c r="G2" s="46">
        <v>46097.325844930558</v>
      </c>
      <c r="H2">
        <v>0</v>
      </c>
    </row>
    <row r="3" spans="1:8" x14ac:dyDescent="0.15">
      <c r="A3">
        <v>2</v>
      </c>
      <c r="B3" t="s">
        <v>339</v>
      </c>
      <c r="C3" t="s">
        <v>353</v>
      </c>
      <c r="D3" t="s">
        <v>2247</v>
      </c>
      <c r="E3" t="s">
        <v>2246</v>
      </c>
      <c r="F3" s="46">
        <v>46097.325845115738</v>
      </c>
      <c r="G3" s="46">
        <v>46097.325845115738</v>
      </c>
      <c r="H3">
        <v>0</v>
      </c>
    </row>
    <row r="4" spans="1:8" x14ac:dyDescent="0.15">
      <c r="A4">
        <v>3</v>
      </c>
      <c r="B4" t="s">
        <v>339</v>
      </c>
      <c r="C4" t="s">
        <v>353</v>
      </c>
      <c r="D4" t="s">
        <v>2248</v>
      </c>
      <c r="E4" t="s">
        <v>2246</v>
      </c>
      <c r="F4" s="46">
        <v>46097.325845115738</v>
      </c>
      <c r="G4" s="46">
        <v>46097.325845115738</v>
      </c>
      <c r="H4">
        <v>0</v>
      </c>
    </row>
    <row r="5" spans="1:8" x14ac:dyDescent="0.15">
      <c r="A5">
        <v>4</v>
      </c>
      <c r="B5" t="s">
        <v>339</v>
      </c>
      <c r="C5" t="s">
        <v>353</v>
      </c>
      <c r="D5" t="s">
        <v>2249</v>
      </c>
      <c r="E5" t="s">
        <v>2250</v>
      </c>
      <c r="F5" s="46">
        <v>46097.325845115738</v>
      </c>
      <c r="G5" s="46">
        <v>46097.325845115738</v>
      </c>
      <c r="H5">
        <v>0</v>
      </c>
    </row>
    <row r="6" spans="1:8" x14ac:dyDescent="0.15">
      <c r="A6">
        <v>5</v>
      </c>
      <c r="B6" t="s">
        <v>339</v>
      </c>
      <c r="C6" t="s">
        <v>353</v>
      </c>
      <c r="D6" t="s">
        <v>2251</v>
      </c>
      <c r="E6" t="s">
        <v>2250</v>
      </c>
      <c r="F6" s="46">
        <v>46097.325845115738</v>
      </c>
      <c r="G6" s="46">
        <v>46097.325845115738</v>
      </c>
      <c r="H6">
        <v>0</v>
      </c>
    </row>
    <row r="7" spans="1:8" x14ac:dyDescent="0.15">
      <c r="A7">
        <v>6</v>
      </c>
      <c r="B7" t="s">
        <v>339</v>
      </c>
      <c r="C7" t="s">
        <v>353</v>
      </c>
      <c r="D7" t="s">
        <v>2252</v>
      </c>
      <c r="E7" t="s">
        <v>2250</v>
      </c>
      <c r="F7" s="46">
        <v>46097.325845115738</v>
      </c>
      <c r="G7" s="46">
        <v>46097.325845115738</v>
      </c>
      <c r="H7">
        <v>0</v>
      </c>
    </row>
    <row r="8" spans="1:8" x14ac:dyDescent="0.15">
      <c r="A8">
        <v>7</v>
      </c>
      <c r="B8" t="s">
        <v>339</v>
      </c>
      <c r="C8" t="s">
        <v>353</v>
      </c>
      <c r="D8" t="s">
        <v>2253</v>
      </c>
      <c r="E8" t="s">
        <v>2250</v>
      </c>
      <c r="F8" s="46">
        <v>46097.325845115738</v>
      </c>
      <c r="G8" s="46">
        <v>46097.325845115738</v>
      </c>
      <c r="H8">
        <v>0</v>
      </c>
    </row>
    <row r="9" spans="1:8" x14ac:dyDescent="0.15">
      <c r="A9">
        <v>8</v>
      </c>
      <c r="B9" t="s">
        <v>339</v>
      </c>
      <c r="C9" t="s">
        <v>353</v>
      </c>
      <c r="D9" t="s">
        <v>2254</v>
      </c>
      <c r="E9" t="s">
        <v>2250</v>
      </c>
      <c r="F9" s="46">
        <v>46097.325845115738</v>
      </c>
      <c r="G9" s="46">
        <v>46097.325845115738</v>
      </c>
      <c r="H9">
        <v>0</v>
      </c>
    </row>
    <row r="10" spans="1:8" x14ac:dyDescent="0.15">
      <c r="A10">
        <v>9</v>
      </c>
      <c r="B10" t="s">
        <v>339</v>
      </c>
      <c r="C10" t="s">
        <v>353</v>
      </c>
      <c r="D10" t="s">
        <v>2255</v>
      </c>
      <c r="E10" t="s">
        <v>2250</v>
      </c>
      <c r="F10" s="46">
        <v>46097.325845115738</v>
      </c>
      <c r="G10" s="46">
        <v>46097.325845115738</v>
      </c>
      <c r="H10">
        <v>0</v>
      </c>
    </row>
    <row r="11" spans="1:8" x14ac:dyDescent="0.15">
      <c r="A11">
        <v>10</v>
      </c>
      <c r="B11" t="s">
        <v>339</v>
      </c>
      <c r="C11" t="s">
        <v>353</v>
      </c>
      <c r="D11" t="s">
        <v>2256</v>
      </c>
      <c r="E11" t="s">
        <v>2250</v>
      </c>
      <c r="F11" s="46">
        <v>46097.325845115738</v>
      </c>
      <c r="G11" s="46">
        <v>46097.325845115738</v>
      </c>
      <c r="H11">
        <v>0</v>
      </c>
    </row>
    <row r="12" spans="1:8" x14ac:dyDescent="0.15">
      <c r="A12">
        <v>11</v>
      </c>
      <c r="B12" t="s">
        <v>339</v>
      </c>
      <c r="C12" t="s">
        <v>353</v>
      </c>
      <c r="D12" t="s">
        <v>2257</v>
      </c>
      <c r="E12" t="s">
        <v>2258</v>
      </c>
      <c r="F12" s="46">
        <v>46097.325845115738</v>
      </c>
      <c r="G12" s="46">
        <v>46097.325845300933</v>
      </c>
      <c r="H12">
        <v>16</v>
      </c>
    </row>
    <row r="13" spans="1:8" x14ac:dyDescent="0.15">
      <c r="A13">
        <v>12</v>
      </c>
      <c r="B13" t="s">
        <v>339</v>
      </c>
      <c r="C13" t="s">
        <v>353</v>
      </c>
      <c r="D13" t="s">
        <v>2259</v>
      </c>
      <c r="E13" t="s">
        <v>2258</v>
      </c>
      <c r="F13" s="46">
        <v>46097.325845300933</v>
      </c>
      <c r="G13" s="46">
        <v>46097.325845300933</v>
      </c>
      <c r="H13">
        <v>0</v>
      </c>
    </row>
    <row r="14" spans="1:8" x14ac:dyDescent="0.15">
      <c r="A14">
        <v>13</v>
      </c>
      <c r="B14" t="s">
        <v>339</v>
      </c>
      <c r="C14" t="s">
        <v>353</v>
      </c>
      <c r="D14" t="s">
        <v>2260</v>
      </c>
      <c r="E14" t="s">
        <v>2258</v>
      </c>
      <c r="F14" s="46">
        <v>46097.325845300933</v>
      </c>
      <c r="G14" s="46">
        <v>46097.325845300933</v>
      </c>
      <c r="H14">
        <v>0</v>
      </c>
    </row>
    <row r="15" spans="1:8" x14ac:dyDescent="0.15">
      <c r="A15">
        <v>14</v>
      </c>
      <c r="B15" t="s">
        <v>339</v>
      </c>
      <c r="C15" t="s">
        <v>353</v>
      </c>
      <c r="D15" t="s">
        <v>2261</v>
      </c>
      <c r="E15" t="s">
        <v>2258</v>
      </c>
      <c r="F15" s="46">
        <v>46097.325845300933</v>
      </c>
      <c r="G15" s="46">
        <v>46097.325845300933</v>
      </c>
      <c r="H15">
        <v>0</v>
      </c>
    </row>
    <row r="16" spans="1:8" x14ac:dyDescent="0.15">
      <c r="A16">
        <v>15</v>
      </c>
      <c r="B16" t="s">
        <v>339</v>
      </c>
      <c r="C16" t="s">
        <v>353</v>
      </c>
      <c r="D16" t="s">
        <v>2262</v>
      </c>
      <c r="E16" t="s">
        <v>2258</v>
      </c>
      <c r="F16" s="46">
        <v>46097.325845300933</v>
      </c>
      <c r="G16" s="46">
        <v>46097.325845300933</v>
      </c>
      <c r="H16">
        <v>0</v>
      </c>
    </row>
    <row r="17" spans="1:8" x14ac:dyDescent="0.15">
      <c r="A17">
        <v>16</v>
      </c>
      <c r="B17" t="s">
        <v>339</v>
      </c>
      <c r="C17" t="s">
        <v>353</v>
      </c>
      <c r="D17" t="s">
        <v>2263</v>
      </c>
      <c r="E17" t="s">
        <v>2258</v>
      </c>
      <c r="F17" s="46">
        <v>46097.325845300933</v>
      </c>
      <c r="G17" s="46">
        <v>46097.325845300933</v>
      </c>
      <c r="H17">
        <v>0</v>
      </c>
    </row>
    <row r="18" spans="1:8" x14ac:dyDescent="0.15">
      <c r="A18">
        <v>17</v>
      </c>
      <c r="B18" t="s">
        <v>339</v>
      </c>
      <c r="C18" t="s">
        <v>353</v>
      </c>
      <c r="D18" t="s">
        <v>2264</v>
      </c>
      <c r="E18" t="s">
        <v>2258</v>
      </c>
      <c r="F18" s="46">
        <v>46097.325845300933</v>
      </c>
      <c r="G18" s="46">
        <v>46097.325845300933</v>
      </c>
      <c r="H18">
        <v>0</v>
      </c>
    </row>
    <row r="19" spans="1:8" x14ac:dyDescent="0.15">
      <c r="A19">
        <v>18</v>
      </c>
      <c r="B19" t="s">
        <v>339</v>
      </c>
      <c r="C19" t="s">
        <v>353</v>
      </c>
      <c r="D19" t="s">
        <v>2265</v>
      </c>
      <c r="E19" t="s">
        <v>2266</v>
      </c>
      <c r="F19" s="46">
        <v>46097.325845300933</v>
      </c>
      <c r="G19" s="46">
        <v>46097.325845300933</v>
      </c>
      <c r="H19">
        <v>0</v>
      </c>
    </row>
    <row r="20" spans="1:8" x14ac:dyDescent="0.15">
      <c r="A20">
        <v>19</v>
      </c>
      <c r="B20" t="s">
        <v>339</v>
      </c>
      <c r="C20" t="s">
        <v>353</v>
      </c>
      <c r="D20" t="s">
        <v>2267</v>
      </c>
      <c r="E20" t="s">
        <v>2266</v>
      </c>
      <c r="F20" s="46">
        <v>46097.325845300933</v>
      </c>
      <c r="G20" s="46">
        <v>46097.325845300933</v>
      </c>
      <c r="H20">
        <v>0</v>
      </c>
    </row>
    <row r="21" spans="1:8" x14ac:dyDescent="0.15">
      <c r="A21">
        <v>20</v>
      </c>
      <c r="B21" t="s">
        <v>339</v>
      </c>
      <c r="C21" t="s">
        <v>353</v>
      </c>
      <c r="D21" t="s">
        <v>2268</v>
      </c>
      <c r="E21" t="s">
        <v>2266</v>
      </c>
      <c r="F21" s="46">
        <v>46097.325845300933</v>
      </c>
      <c r="G21" s="46">
        <v>46097.325845300933</v>
      </c>
      <c r="H21">
        <v>0</v>
      </c>
    </row>
    <row r="22" spans="1:8" x14ac:dyDescent="0.15">
      <c r="A22">
        <v>21</v>
      </c>
      <c r="B22" t="s">
        <v>339</v>
      </c>
      <c r="C22" t="s">
        <v>353</v>
      </c>
      <c r="D22" t="s">
        <v>2269</v>
      </c>
      <c r="E22" t="s">
        <v>2270</v>
      </c>
      <c r="F22" s="46">
        <v>46097.325845300933</v>
      </c>
      <c r="G22" s="46">
        <v>46097.325845474537</v>
      </c>
      <c r="H22">
        <v>16</v>
      </c>
    </row>
    <row r="23" spans="1:8" x14ac:dyDescent="0.15">
      <c r="A23">
        <v>22</v>
      </c>
      <c r="B23" t="s">
        <v>339</v>
      </c>
      <c r="C23" t="s">
        <v>353</v>
      </c>
      <c r="D23" t="s">
        <v>2271</v>
      </c>
      <c r="E23" t="s">
        <v>2270</v>
      </c>
      <c r="F23" s="46">
        <v>46097.325845474537</v>
      </c>
      <c r="G23" s="46">
        <v>46097.325845474537</v>
      </c>
      <c r="H23">
        <v>0</v>
      </c>
    </row>
    <row r="24" spans="1:8" x14ac:dyDescent="0.15">
      <c r="A24">
        <v>23</v>
      </c>
      <c r="B24" t="s">
        <v>339</v>
      </c>
      <c r="C24" t="s">
        <v>353</v>
      </c>
      <c r="D24" t="s">
        <v>2272</v>
      </c>
      <c r="E24" t="s">
        <v>2270</v>
      </c>
      <c r="F24" s="46">
        <v>46097.325845474537</v>
      </c>
      <c r="G24" s="46">
        <v>46097.325845474537</v>
      </c>
      <c r="H24">
        <v>0</v>
      </c>
    </row>
    <row r="25" spans="1:8" x14ac:dyDescent="0.15">
      <c r="A25">
        <v>24</v>
      </c>
      <c r="B25" t="s">
        <v>339</v>
      </c>
      <c r="C25" t="s">
        <v>353</v>
      </c>
      <c r="D25" t="s">
        <v>2273</v>
      </c>
      <c r="E25" t="s">
        <v>2274</v>
      </c>
      <c r="F25" s="46">
        <v>46097.325845474537</v>
      </c>
      <c r="G25" s="46">
        <v>46097.325845474537</v>
      </c>
      <c r="H25">
        <v>0</v>
      </c>
    </row>
    <row r="26" spans="1:8" x14ac:dyDescent="0.15">
      <c r="A26">
        <v>25</v>
      </c>
      <c r="B26" t="s">
        <v>339</v>
      </c>
      <c r="C26" t="s">
        <v>353</v>
      </c>
      <c r="D26" t="s">
        <v>2275</v>
      </c>
      <c r="E26" t="s">
        <v>2274</v>
      </c>
      <c r="F26" s="46">
        <v>46097.325845474537</v>
      </c>
      <c r="G26" s="46">
        <v>46097.325845474537</v>
      </c>
      <c r="H26">
        <v>0</v>
      </c>
    </row>
    <row r="27" spans="1:8" x14ac:dyDescent="0.15">
      <c r="A27">
        <v>26</v>
      </c>
      <c r="B27" t="s">
        <v>339</v>
      </c>
      <c r="C27" t="s">
        <v>353</v>
      </c>
      <c r="D27" t="s">
        <v>2276</v>
      </c>
      <c r="E27" t="s">
        <v>2274</v>
      </c>
      <c r="F27" s="46">
        <v>46097.325845474537</v>
      </c>
      <c r="G27" s="46">
        <v>46097.325845474537</v>
      </c>
      <c r="H27">
        <v>0</v>
      </c>
    </row>
    <row r="28" spans="1:8" x14ac:dyDescent="0.15">
      <c r="A28">
        <v>27</v>
      </c>
      <c r="B28" t="s">
        <v>339</v>
      </c>
      <c r="C28" t="s">
        <v>353</v>
      </c>
      <c r="D28" t="s">
        <v>2277</v>
      </c>
      <c r="E28" t="s">
        <v>2274</v>
      </c>
      <c r="F28" s="46">
        <v>46097.325845474537</v>
      </c>
      <c r="G28" s="46">
        <v>46097.325845474537</v>
      </c>
      <c r="H28">
        <v>0</v>
      </c>
    </row>
    <row r="29" spans="1:8" x14ac:dyDescent="0.15">
      <c r="A29">
        <v>28</v>
      </c>
      <c r="B29" t="s">
        <v>339</v>
      </c>
      <c r="C29" t="s">
        <v>353</v>
      </c>
      <c r="D29" t="s">
        <v>2278</v>
      </c>
      <c r="E29" t="s">
        <v>2274</v>
      </c>
      <c r="F29" s="46">
        <v>46097.325845474537</v>
      </c>
      <c r="G29" s="46">
        <v>46097.325845474537</v>
      </c>
      <c r="H29">
        <v>0</v>
      </c>
    </row>
    <row r="30" spans="1:8" x14ac:dyDescent="0.15">
      <c r="A30">
        <v>29</v>
      </c>
      <c r="B30" t="s">
        <v>339</v>
      </c>
      <c r="C30" t="s">
        <v>353</v>
      </c>
      <c r="D30" t="s">
        <v>2279</v>
      </c>
      <c r="E30" t="s">
        <v>2274</v>
      </c>
      <c r="F30" s="46">
        <v>46097.325845474537</v>
      </c>
      <c r="G30" s="46">
        <v>46097.325845474537</v>
      </c>
      <c r="H30">
        <v>0</v>
      </c>
    </row>
    <row r="31" spans="1:8" x14ac:dyDescent="0.15">
      <c r="A31">
        <v>30</v>
      </c>
      <c r="B31" t="s">
        <v>339</v>
      </c>
      <c r="C31" t="s">
        <v>353</v>
      </c>
      <c r="D31" t="s">
        <v>2280</v>
      </c>
      <c r="E31" t="s">
        <v>2274</v>
      </c>
      <c r="F31" s="46">
        <v>46097.325845474537</v>
      </c>
      <c r="G31" s="46">
        <v>46097.325845474537</v>
      </c>
      <c r="H31">
        <v>0</v>
      </c>
    </row>
    <row r="32" spans="1:8" x14ac:dyDescent="0.15">
      <c r="A32">
        <v>31</v>
      </c>
      <c r="B32" t="s">
        <v>339</v>
      </c>
      <c r="C32" t="s">
        <v>353</v>
      </c>
      <c r="D32" t="s">
        <v>2281</v>
      </c>
      <c r="E32" t="s">
        <v>2282</v>
      </c>
      <c r="F32" s="46">
        <v>46097.325845474537</v>
      </c>
      <c r="G32" s="46">
        <v>46097.325845659732</v>
      </c>
      <c r="H32">
        <v>15</v>
      </c>
    </row>
    <row r="33" spans="1:8" x14ac:dyDescent="0.15">
      <c r="A33">
        <v>32</v>
      </c>
      <c r="B33" t="s">
        <v>339</v>
      </c>
      <c r="C33" t="s">
        <v>353</v>
      </c>
      <c r="D33" t="s">
        <v>2283</v>
      </c>
      <c r="E33" t="s">
        <v>2282</v>
      </c>
      <c r="F33" s="46">
        <v>46097.325845659732</v>
      </c>
      <c r="G33" s="46">
        <v>46097.325845833337</v>
      </c>
      <c r="H33">
        <v>16</v>
      </c>
    </row>
    <row r="34" spans="1:8" x14ac:dyDescent="0.15">
      <c r="A34">
        <v>33</v>
      </c>
      <c r="B34" t="s">
        <v>339</v>
      </c>
      <c r="C34" t="s">
        <v>353</v>
      </c>
      <c r="D34" t="s">
        <v>2284</v>
      </c>
      <c r="E34" t="s">
        <v>2282</v>
      </c>
      <c r="F34" s="46">
        <v>46097.325845833337</v>
      </c>
      <c r="G34" s="46">
        <v>46097.325845833337</v>
      </c>
      <c r="H34">
        <v>0</v>
      </c>
    </row>
    <row r="35" spans="1:8" x14ac:dyDescent="0.15">
      <c r="A35">
        <v>34</v>
      </c>
      <c r="B35" t="s">
        <v>339</v>
      </c>
      <c r="C35" t="s">
        <v>353</v>
      </c>
      <c r="D35" t="s">
        <v>2285</v>
      </c>
      <c r="E35" t="s">
        <v>2282</v>
      </c>
      <c r="F35" s="46">
        <v>46097.325845833337</v>
      </c>
      <c r="G35" s="46">
        <v>46097.325845833337</v>
      </c>
      <c r="H35">
        <v>0</v>
      </c>
    </row>
    <row r="36" spans="1:8" x14ac:dyDescent="0.15">
      <c r="A36">
        <v>35</v>
      </c>
      <c r="B36" t="s">
        <v>339</v>
      </c>
      <c r="C36" t="s">
        <v>353</v>
      </c>
      <c r="D36" t="s">
        <v>2286</v>
      </c>
      <c r="E36" t="s">
        <v>2282</v>
      </c>
      <c r="F36" s="46">
        <v>46097.325845833337</v>
      </c>
      <c r="G36" s="46">
        <v>46097.325845833337</v>
      </c>
      <c r="H36">
        <v>0</v>
      </c>
    </row>
    <row r="37" spans="1:8" x14ac:dyDescent="0.15">
      <c r="A37">
        <v>36</v>
      </c>
      <c r="B37" t="s">
        <v>339</v>
      </c>
      <c r="C37" t="s">
        <v>353</v>
      </c>
      <c r="D37" t="s">
        <v>2287</v>
      </c>
      <c r="E37" t="s">
        <v>2288</v>
      </c>
      <c r="F37" s="46">
        <v>46097.325845833337</v>
      </c>
      <c r="G37" s="46">
        <v>46097.325845833337</v>
      </c>
      <c r="H37">
        <v>0</v>
      </c>
    </row>
    <row r="38" spans="1:8" x14ac:dyDescent="0.15">
      <c r="A38">
        <v>37</v>
      </c>
      <c r="B38" t="s">
        <v>339</v>
      </c>
      <c r="C38" t="s">
        <v>353</v>
      </c>
      <c r="D38" t="s">
        <v>2289</v>
      </c>
      <c r="E38" t="s">
        <v>2290</v>
      </c>
      <c r="F38" s="46">
        <v>46097.325845833337</v>
      </c>
      <c r="G38" s="46">
        <v>46097.325845833337</v>
      </c>
      <c r="H38">
        <v>0</v>
      </c>
    </row>
    <row r="39" spans="1:8" x14ac:dyDescent="0.15">
      <c r="A39">
        <v>38</v>
      </c>
      <c r="B39" t="s">
        <v>339</v>
      </c>
      <c r="C39" t="s">
        <v>353</v>
      </c>
      <c r="D39" t="s">
        <v>2291</v>
      </c>
      <c r="E39" t="s">
        <v>2290</v>
      </c>
      <c r="F39" s="46">
        <v>46097.325845833337</v>
      </c>
      <c r="G39" s="46">
        <v>46097.325845833337</v>
      </c>
      <c r="H39">
        <v>0</v>
      </c>
    </row>
    <row r="40" spans="1:8" x14ac:dyDescent="0.15">
      <c r="A40">
        <v>39</v>
      </c>
      <c r="B40" t="s">
        <v>339</v>
      </c>
      <c r="C40" t="s">
        <v>353</v>
      </c>
      <c r="D40" t="s">
        <v>2292</v>
      </c>
      <c r="E40" t="s">
        <v>2290</v>
      </c>
      <c r="F40" s="46">
        <v>46097.325845833337</v>
      </c>
      <c r="G40" s="46">
        <v>46097.325845833337</v>
      </c>
      <c r="H40">
        <v>0</v>
      </c>
    </row>
    <row r="41" spans="1:8" x14ac:dyDescent="0.15">
      <c r="A41">
        <v>40</v>
      </c>
      <c r="B41" t="s">
        <v>339</v>
      </c>
      <c r="C41" t="s">
        <v>353</v>
      </c>
      <c r="D41" t="s">
        <v>2293</v>
      </c>
      <c r="E41" t="s">
        <v>2290</v>
      </c>
      <c r="F41" s="46">
        <v>46097.325845833337</v>
      </c>
      <c r="G41" s="46">
        <v>46097.325845833337</v>
      </c>
      <c r="H41">
        <v>0</v>
      </c>
    </row>
    <row r="42" spans="1:8" x14ac:dyDescent="0.15">
      <c r="A42">
        <v>41</v>
      </c>
      <c r="B42" t="s">
        <v>339</v>
      </c>
      <c r="C42" t="s">
        <v>353</v>
      </c>
      <c r="D42" t="s">
        <v>2294</v>
      </c>
      <c r="E42" t="s">
        <v>2290</v>
      </c>
      <c r="F42" s="46">
        <v>46097.325845833337</v>
      </c>
      <c r="G42" s="46">
        <v>46097.325845833337</v>
      </c>
      <c r="H42">
        <v>0</v>
      </c>
    </row>
    <row r="43" spans="1:8" x14ac:dyDescent="0.15">
      <c r="A43">
        <v>42</v>
      </c>
      <c r="B43" t="s">
        <v>339</v>
      </c>
      <c r="C43" t="s">
        <v>353</v>
      </c>
      <c r="D43" t="s">
        <v>2295</v>
      </c>
      <c r="E43" t="s">
        <v>2290</v>
      </c>
      <c r="F43" s="46">
        <v>46097.325845833337</v>
      </c>
      <c r="G43" s="46">
        <v>46097.325846018517</v>
      </c>
      <c r="H43">
        <v>16</v>
      </c>
    </row>
    <row r="44" spans="1:8" x14ac:dyDescent="0.15">
      <c r="A44">
        <v>43</v>
      </c>
      <c r="B44" t="s">
        <v>339</v>
      </c>
      <c r="C44" t="s">
        <v>353</v>
      </c>
      <c r="D44" t="s">
        <v>2296</v>
      </c>
      <c r="E44" t="s">
        <v>2290</v>
      </c>
      <c r="F44" s="46">
        <v>46097.325846018517</v>
      </c>
      <c r="G44" s="46">
        <v>46097.325846018517</v>
      </c>
      <c r="H44">
        <v>0</v>
      </c>
    </row>
    <row r="45" spans="1:8" x14ac:dyDescent="0.15">
      <c r="A45">
        <v>44</v>
      </c>
      <c r="B45" t="s">
        <v>339</v>
      </c>
      <c r="C45" t="s">
        <v>353</v>
      </c>
      <c r="D45" t="s">
        <v>2297</v>
      </c>
      <c r="E45" t="s">
        <v>2290</v>
      </c>
      <c r="F45" s="46">
        <v>46097.325846018517</v>
      </c>
      <c r="G45" s="46">
        <v>46097.325846018517</v>
      </c>
      <c r="H45">
        <v>0</v>
      </c>
    </row>
    <row r="46" spans="1:8" x14ac:dyDescent="0.15">
      <c r="A46">
        <v>45</v>
      </c>
      <c r="B46" t="s">
        <v>339</v>
      </c>
      <c r="C46" t="s">
        <v>353</v>
      </c>
      <c r="D46" t="s">
        <v>2298</v>
      </c>
      <c r="E46" t="s">
        <v>2299</v>
      </c>
      <c r="F46" s="46">
        <v>46097.325846018517</v>
      </c>
      <c r="G46" s="46">
        <v>46097.325846018517</v>
      </c>
      <c r="H46">
        <v>0</v>
      </c>
    </row>
    <row r="47" spans="1:8" x14ac:dyDescent="0.15">
      <c r="A47">
        <v>46</v>
      </c>
      <c r="B47" t="s">
        <v>339</v>
      </c>
      <c r="C47" t="s">
        <v>353</v>
      </c>
      <c r="D47" t="s">
        <v>2300</v>
      </c>
      <c r="E47" t="s">
        <v>2301</v>
      </c>
      <c r="F47" s="46">
        <v>46097.325846018517</v>
      </c>
      <c r="G47" s="46">
        <v>46097.325846018517</v>
      </c>
      <c r="H47">
        <v>0</v>
      </c>
    </row>
    <row r="48" spans="1:8" x14ac:dyDescent="0.15">
      <c r="A48">
        <v>47</v>
      </c>
      <c r="B48" t="s">
        <v>339</v>
      </c>
      <c r="C48" t="s">
        <v>353</v>
      </c>
      <c r="D48" t="s">
        <v>2302</v>
      </c>
      <c r="E48" t="s">
        <v>2301</v>
      </c>
      <c r="F48" s="46">
        <v>46097.325846018517</v>
      </c>
      <c r="G48" s="46">
        <v>46097.325846018517</v>
      </c>
      <c r="H48">
        <v>0</v>
      </c>
    </row>
    <row r="49" spans="1:8" x14ac:dyDescent="0.15">
      <c r="A49">
        <v>48</v>
      </c>
      <c r="B49" t="s">
        <v>339</v>
      </c>
      <c r="C49" t="s">
        <v>353</v>
      </c>
      <c r="D49" t="s">
        <v>2303</v>
      </c>
      <c r="E49" t="s">
        <v>2301</v>
      </c>
      <c r="F49" s="46">
        <v>46097.325846018517</v>
      </c>
      <c r="G49" s="46">
        <v>46097.325846018517</v>
      </c>
      <c r="H49">
        <v>0</v>
      </c>
    </row>
    <row r="50" spans="1:8" x14ac:dyDescent="0.15">
      <c r="A50">
        <v>49</v>
      </c>
      <c r="B50" t="s">
        <v>339</v>
      </c>
      <c r="C50" t="s">
        <v>353</v>
      </c>
      <c r="D50" t="s">
        <v>2304</v>
      </c>
      <c r="E50" t="s">
        <v>2305</v>
      </c>
      <c r="F50" s="46">
        <v>46097.325846018517</v>
      </c>
      <c r="G50" s="46">
        <v>46097.325846018517</v>
      </c>
      <c r="H50">
        <v>0</v>
      </c>
    </row>
    <row r="51" spans="1:8" x14ac:dyDescent="0.15">
      <c r="A51">
        <v>50</v>
      </c>
      <c r="B51" t="s">
        <v>339</v>
      </c>
      <c r="C51" t="s">
        <v>353</v>
      </c>
      <c r="D51" t="s">
        <v>2306</v>
      </c>
      <c r="E51" t="s">
        <v>2307</v>
      </c>
      <c r="F51" s="46">
        <v>46097.325846018517</v>
      </c>
      <c r="G51" s="46">
        <v>46097.325846018517</v>
      </c>
      <c r="H51">
        <v>0</v>
      </c>
    </row>
    <row r="52" spans="1:8" x14ac:dyDescent="0.15">
      <c r="A52">
        <v>51</v>
      </c>
      <c r="B52" t="s">
        <v>339</v>
      </c>
      <c r="C52" t="s">
        <v>353</v>
      </c>
      <c r="D52" t="s">
        <v>2308</v>
      </c>
      <c r="E52" t="s">
        <v>2307</v>
      </c>
      <c r="F52" s="46">
        <v>46097.325846018517</v>
      </c>
      <c r="G52" s="46">
        <v>46097.325846018517</v>
      </c>
      <c r="H52">
        <v>0</v>
      </c>
    </row>
    <row r="53" spans="1:8" x14ac:dyDescent="0.15">
      <c r="A53">
        <v>52</v>
      </c>
      <c r="B53" t="s">
        <v>339</v>
      </c>
      <c r="C53" t="s">
        <v>353</v>
      </c>
      <c r="D53" t="s">
        <v>2309</v>
      </c>
      <c r="E53" t="s">
        <v>2307</v>
      </c>
      <c r="F53" s="46">
        <v>46097.325846018517</v>
      </c>
      <c r="G53" s="46">
        <v>46097.325846203697</v>
      </c>
      <c r="H53">
        <v>15</v>
      </c>
    </row>
    <row r="54" spans="1:8" x14ac:dyDescent="0.15">
      <c r="A54">
        <v>53</v>
      </c>
      <c r="B54" t="s">
        <v>339</v>
      </c>
      <c r="C54" t="s">
        <v>353</v>
      </c>
      <c r="D54" t="s">
        <v>2310</v>
      </c>
      <c r="E54" t="s">
        <v>2311</v>
      </c>
      <c r="F54" s="46">
        <v>46097.325846203697</v>
      </c>
      <c r="G54" s="46">
        <v>46097.325846203697</v>
      </c>
      <c r="H54">
        <v>0</v>
      </c>
    </row>
    <row r="55" spans="1:8" x14ac:dyDescent="0.15">
      <c r="A55">
        <v>54</v>
      </c>
      <c r="B55" t="s">
        <v>339</v>
      </c>
      <c r="C55" t="s">
        <v>353</v>
      </c>
      <c r="D55" t="s">
        <v>2312</v>
      </c>
      <c r="E55" t="s">
        <v>2311</v>
      </c>
      <c r="F55" s="46">
        <v>46097.325846203697</v>
      </c>
      <c r="G55" s="46">
        <v>46097.325846203697</v>
      </c>
      <c r="H55">
        <v>0</v>
      </c>
    </row>
    <row r="56" spans="1:8" x14ac:dyDescent="0.15">
      <c r="A56">
        <v>55</v>
      </c>
      <c r="B56" t="s">
        <v>339</v>
      </c>
      <c r="C56" t="s">
        <v>353</v>
      </c>
      <c r="D56" t="s">
        <v>2313</v>
      </c>
      <c r="E56" t="s">
        <v>2311</v>
      </c>
      <c r="F56" s="46">
        <v>46097.325846203697</v>
      </c>
      <c r="G56" s="46">
        <v>46097.325846203697</v>
      </c>
      <c r="H56">
        <v>0</v>
      </c>
    </row>
    <row r="57" spans="1:8" x14ac:dyDescent="0.15">
      <c r="A57">
        <v>56</v>
      </c>
      <c r="B57" t="s">
        <v>339</v>
      </c>
      <c r="C57" t="s">
        <v>353</v>
      </c>
      <c r="D57" t="s">
        <v>2314</v>
      </c>
      <c r="E57" t="s">
        <v>2311</v>
      </c>
      <c r="F57" s="46">
        <v>46097.325846203697</v>
      </c>
      <c r="G57" s="46">
        <v>46097.325846203697</v>
      </c>
      <c r="H57">
        <v>0</v>
      </c>
    </row>
    <row r="58" spans="1:8" x14ac:dyDescent="0.15">
      <c r="A58">
        <v>57</v>
      </c>
      <c r="B58" t="s">
        <v>339</v>
      </c>
      <c r="C58" t="s">
        <v>353</v>
      </c>
      <c r="D58" t="s">
        <v>2315</v>
      </c>
      <c r="E58" t="s">
        <v>2316</v>
      </c>
      <c r="F58" s="46">
        <v>46097.325846203697</v>
      </c>
      <c r="G58" s="46">
        <v>46097.325846203697</v>
      </c>
      <c r="H58">
        <v>0</v>
      </c>
    </row>
    <row r="59" spans="1:8" x14ac:dyDescent="0.15">
      <c r="A59">
        <v>58</v>
      </c>
      <c r="B59" t="s">
        <v>339</v>
      </c>
      <c r="C59" t="s">
        <v>353</v>
      </c>
      <c r="D59" t="s">
        <v>2317</v>
      </c>
      <c r="E59" t="s">
        <v>2318</v>
      </c>
      <c r="F59" s="46">
        <v>46097.325846203697</v>
      </c>
      <c r="G59" s="46">
        <v>46097.325846203697</v>
      </c>
      <c r="H59">
        <v>0</v>
      </c>
    </row>
    <row r="60" spans="1:8" x14ac:dyDescent="0.15">
      <c r="A60">
        <v>59</v>
      </c>
      <c r="B60" t="s">
        <v>339</v>
      </c>
      <c r="C60" t="s">
        <v>353</v>
      </c>
      <c r="D60" t="s">
        <v>2319</v>
      </c>
      <c r="E60" t="s">
        <v>2320</v>
      </c>
      <c r="F60" s="46">
        <v>46097.325846203697</v>
      </c>
      <c r="G60" s="46">
        <v>46097.325846203697</v>
      </c>
      <c r="H60">
        <v>0</v>
      </c>
    </row>
    <row r="61" spans="1:8" x14ac:dyDescent="0.15">
      <c r="A61">
        <v>60</v>
      </c>
      <c r="B61" t="s">
        <v>339</v>
      </c>
      <c r="C61" t="s">
        <v>353</v>
      </c>
      <c r="D61" t="s">
        <v>2321</v>
      </c>
      <c r="E61" t="s">
        <v>2322</v>
      </c>
      <c r="F61" s="46">
        <v>46097.325846203697</v>
      </c>
      <c r="G61" s="46">
        <v>46097.325846203697</v>
      </c>
      <c r="H61">
        <v>0</v>
      </c>
    </row>
    <row r="62" spans="1:8" x14ac:dyDescent="0.15">
      <c r="A62">
        <v>61</v>
      </c>
      <c r="B62" t="s">
        <v>339</v>
      </c>
      <c r="C62" t="s">
        <v>353</v>
      </c>
      <c r="D62" t="s">
        <v>2323</v>
      </c>
      <c r="E62" t="s">
        <v>2324</v>
      </c>
      <c r="F62" s="46">
        <v>46097.325846203697</v>
      </c>
      <c r="G62" s="46">
        <v>46097.325846203697</v>
      </c>
      <c r="H62">
        <v>0</v>
      </c>
    </row>
    <row r="63" spans="1:8" x14ac:dyDescent="0.15">
      <c r="A63">
        <v>62</v>
      </c>
      <c r="B63" t="s">
        <v>339</v>
      </c>
      <c r="C63" t="s">
        <v>353</v>
      </c>
      <c r="D63" t="s">
        <v>2325</v>
      </c>
      <c r="E63" t="s">
        <v>2326</v>
      </c>
      <c r="F63" s="46">
        <v>46097.325846203697</v>
      </c>
      <c r="G63" s="46">
        <v>46097.325846377324</v>
      </c>
      <c r="H63">
        <v>16</v>
      </c>
    </row>
    <row r="64" spans="1:8" x14ac:dyDescent="0.15">
      <c r="A64">
        <v>63</v>
      </c>
      <c r="B64" t="s">
        <v>339</v>
      </c>
      <c r="C64" t="s">
        <v>353</v>
      </c>
      <c r="D64" t="s">
        <v>2327</v>
      </c>
      <c r="E64" t="s">
        <v>2328</v>
      </c>
      <c r="F64" s="46">
        <v>46097.325846377324</v>
      </c>
      <c r="G64" s="46">
        <v>46097.325846377324</v>
      </c>
      <c r="H64">
        <v>0</v>
      </c>
    </row>
    <row r="65" spans="1:8" x14ac:dyDescent="0.15">
      <c r="A65">
        <v>64</v>
      </c>
      <c r="B65" t="s">
        <v>339</v>
      </c>
      <c r="C65" t="s">
        <v>353</v>
      </c>
      <c r="D65" t="s">
        <v>2329</v>
      </c>
      <c r="E65" t="s">
        <v>2328</v>
      </c>
      <c r="F65" s="46">
        <v>46097.325846377324</v>
      </c>
      <c r="G65" s="46">
        <v>46097.325846377324</v>
      </c>
      <c r="H65">
        <v>0</v>
      </c>
    </row>
    <row r="66" spans="1:8" x14ac:dyDescent="0.15">
      <c r="A66">
        <v>65</v>
      </c>
      <c r="B66" t="s">
        <v>339</v>
      </c>
      <c r="C66" t="s">
        <v>353</v>
      </c>
      <c r="D66" t="s">
        <v>2330</v>
      </c>
      <c r="E66" t="s">
        <v>2331</v>
      </c>
      <c r="F66" s="46">
        <v>46097.325846377324</v>
      </c>
      <c r="G66" s="46">
        <v>46097.325846377324</v>
      </c>
      <c r="H66">
        <v>0</v>
      </c>
    </row>
    <row r="67" spans="1:8" x14ac:dyDescent="0.15">
      <c r="A67">
        <v>66</v>
      </c>
      <c r="B67" t="s">
        <v>339</v>
      </c>
      <c r="C67" t="s">
        <v>353</v>
      </c>
      <c r="D67" t="s">
        <v>2332</v>
      </c>
      <c r="E67" t="s">
        <v>2333</v>
      </c>
      <c r="F67" s="46">
        <v>46097.325846377324</v>
      </c>
      <c r="G67" s="46">
        <v>46097.325846377324</v>
      </c>
      <c r="H67">
        <v>0</v>
      </c>
    </row>
    <row r="68" spans="1:8" x14ac:dyDescent="0.15">
      <c r="A68">
        <v>67</v>
      </c>
      <c r="B68" t="s">
        <v>339</v>
      </c>
      <c r="C68" t="s">
        <v>353</v>
      </c>
      <c r="D68" t="s">
        <v>2334</v>
      </c>
      <c r="E68" t="s">
        <v>2333</v>
      </c>
      <c r="F68" s="46">
        <v>46097.325846377324</v>
      </c>
      <c r="G68" s="46">
        <v>46097.325846377324</v>
      </c>
      <c r="H68">
        <v>0</v>
      </c>
    </row>
    <row r="69" spans="1:8" x14ac:dyDescent="0.15">
      <c r="A69">
        <v>68</v>
      </c>
      <c r="B69" t="s">
        <v>339</v>
      </c>
      <c r="C69" t="s">
        <v>353</v>
      </c>
      <c r="D69" t="s">
        <v>2335</v>
      </c>
      <c r="E69" t="s">
        <v>2333</v>
      </c>
      <c r="F69" s="46">
        <v>46097.325846377324</v>
      </c>
      <c r="G69" s="46">
        <v>46097.325846377324</v>
      </c>
      <c r="H69">
        <v>0</v>
      </c>
    </row>
    <row r="70" spans="1:8" x14ac:dyDescent="0.15">
      <c r="A70">
        <v>69</v>
      </c>
      <c r="B70" t="s">
        <v>339</v>
      </c>
      <c r="C70" t="s">
        <v>353</v>
      </c>
      <c r="D70" t="s">
        <v>2336</v>
      </c>
      <c r="E70" t="s">
        <v>2333</v>
      </c>
      <c r="F70" s="46">
        <v>46097.325846377324</v>
      </c>
      <c r="G70" s="46">
        <v>46097.325846377324</v>
      </c>
      <c r="H70">
        <v>0</v>
      </c>
    </row>
    <row r="71" spans="1:8" x14ac:dyDescent="0.15">
      <c r="A71">
        <v>70</v>
      </c>
      <c r="B71" t="s">
        <v>339</v>
      </c>
      <c r="C71" t="s">
        <v>353</v>
      </c>
      <c r="D71" t="s">
        <v>2337</v>
      </c>
      <c r="E71" t="s">
        <v>2333</v>
      </c>
      <c r="F71" s="46">
        <v>46097.325846377324</v>
      </c>
      <c r="G71" s="46">
        <v>46097.325846377324</v>
      </c>
      <c r="H71">
        <v>0</v>
      </c>
    </row>
    <row r="72" spans="1:8" x14ac:dyDescent="0.15">
      <c r="A72">
        <v>71</v>
      </c>
      <c r="B72" t="s">
        <v>339</v>
      </c>
      <c r="C72" t="s">
        <v>353</v>
      </c>
      <c r="D72" t="s">
        <v>2338</v>
      </c>
      <c r="E72" t="s">
        <v>2333</v>
      </c>
      <c r="F72" s="46">
        <v>46097.325846377324</v>
      </c>
      <c r="G72" s="46">
        <v>46097.325846377324</v>
      </c>
      <c r="H72">
        <v>0</v>
      </c>
    </row>
    <row r="73" spans="1:8" x14ac:dyDescent="0.15">
      <c r="A73">
        <v>72</v>
      </c>
      <c r="B73" t="s">
        <v>339</v>
      </c>
      <c r="C73" t="s">
        <v>353</v>
      </c>
      <c r="D73" t="s">
        <v>2339</v>
      </c>
      <c r="E73" t="s">
        <v>2340</v>
      </c>
      <c r="F73" s="46">
        <v>46097.325846377324</v>
      </c>
      <c r="G73" s="46">
        <v>46097.325846562497</v>
      </c>
      <c r="H73">
        <v>15</v>
      </c>
    </row>
    <row r="74" spans="1:8" x14ac:dyDescent="0.15">
      <c r="A74">
        <v>73</v>
      </c>
      <c r="B74" t="s">
        <v>339</v>
      </c>
      <c r="C74" t="s">
        <v>353</v>
      </c>
      <c r="D74" t="s">
        <v>2341</v>
      </c>
      <c r="E74" t="s">
        <v>2342</v>
      </c>
      <c r="F74" s="46">
        <v>46097.325846562497</v>
      </c>
      <c r="G74" s="46">
        <v>46097.325846562497</v>
      </c>
      <c r="H74">
        <v>0</v>
      </c>
    </row>
    <row r="75" spans="1:8" x14ac:dyDescent="0.15">
      <c r="A75">
        <v>74</v>
      </c>
      <c r="B75" t="s">
        <v>339</v>
      </c>
      <c r="C75" t="s">
        <v>353</v>
      </c>
      <c r="D75" t="s">
        <v>2343</v>
      </c>
      <c r="E75" t="s">
        <v>2342</v>
      </c>
      <c r="F75" s="46">
        <v>46097.325846562497</v>
      </c>
      <c r="G75" s="46">
        <v>46097.325846562497</v>
      </c>
      <c r="H75">
        <v>0</v>
      </c>
    </row>
    <row r="76" spans="1:8" x14ac:dyDescent="0.15">
      <c r="A76">
        <v>75</v>
      </c>
      <c r="B76" t="s">
        <v>339</v>
      </c>
      <c r="C76" t="s">
        <v>353</v>
      </c>
      <c r="D76" t="s">
        <v>2344</v>
      </c>
      <c r="E76" t="s">
        <v>2342</v>
      </c>
      <c r="F76" s="46">
        <v>46097.325846562497</v>
      </c>
      <c r="G76" s="46">
        <v>46097.325846562497</v>
      </c>
      <c r="H76">
        <v>0</v>
      </c>
    </row>
    <row r="77" spans="1:8" x14ac:dyDescent="0.15">
      <c r="A77">
        <v>76</v>
      </c>
      <c r="B77" t="s">
        <v>339</v>
      </c>
      <c r="C77" t="s">
        <v>353</v>
      </c>
      <c r="D77" t="s">
        <v>2345</v>
      </c>
      <c r="E77" t="s">
        <v>2346</v>
      </c>
      <c r="F77" s="46">
        <v>46097.325846562497</v>
      </c>
      <c r="G77" s="46">
        <v>46097.325846562497</v>
      </c>
      <c r="H77">
        <v>0</v>
      </c>
    </row>
    <row r="78" spans="1:8" x14ac:dyDescent="0.15">
      <c r="A78">
        <v>77</v>
      </c>
      <c r="B78" t="s">
        <v>339</v>
      </c>
      <c r="C78" t="s">
        <v>353</v>
      </c>
      <c r="D78" t="s">
        <v>2347</v>
      </c>
      <c r="E78" t="s">
        <v>2346</v>
      </c>
      <c r="F78" s="46">
        <v>46097.325846562497</v>
      </c>
      <c r="G78" s="46">
        <v>46097.325846562497</v>
      </c>
      <c r="H78">
        <v>0</v>
      </c>
    </row>
    <row r="79" spans="1:8" x14ac:dyDescent="0.15">
      <c r="A79">
        <v>78</v>
      </c>
      <c r="B79" t="s">
        <v>339</v>
      </c>
      <c r="C79" t="s">
        <v>353</v>
      </c>
      <c r="D79" t="s">
        <v>2348</v>
      </c>
      <c r="E79" t="s">
        <v>2346</v>
      </c>
      <c r="F79" s="46">
        <v>46097.325846562497</v>
      </c>
      <c r="G79" s="46">
        <v>46097.325846562497</v>
      </c>
      <c r="H79">
        <v>0</v>
      </c>
    </row>
    <row r="80" spans="1:8" x14ac:dyDescent="0.15">
      <c r="A80">
        <v>79</v>
      </c>
      <c r="B80" t="s">
        <v>339</v>
      </c>
      <c r="C80" t="s">
        <v>353</v>
      </c>
      <c r="D80" t="s">
        <v>2349</v>
      </c>
      <c r="E80" t="s">
        <v>2350</v>
      </c>
      <c r="F80" s="46">
        <v>46097.325846562497</v>
      </c>
      <c r="G80" s="46">
        <v>46097.325846562497</v>
      </c>
      <c r="H80">
        <v>0</v>
      </c>
    </row>
    <row r="81" spans="1:8" x14ac:dyDescent="0.15">
      <c r="A81">
        <v>80</v>
      </c>
      <c r="B81" t="s">
        <v>339</v>
      </c>
      <c r="C81" t="s">
        <v>353</v>
      </c>
      <c r="D81" t="s">
        <v>2351</v>
      </c>
      <c r="E81" t="s">
        <v>2350</v>
      </c>
      <c r="F81" s="46">
        <v>46097.325846562497</v>
      </c>
      <c r="G81" s="46">
        <v>46097.325846562497</v>
      </c>
      <c r="H81">
        <v>0</v>
      </c>
    </row>
    <row r="82" spans="1:8" x14ac:dyDescent="0.15">
      <c r="A82">
        <v>81</v>
      </c>
      <c r="B82" t="s">
        <v>339</v>
      </c>
      <c r="C82" t="s">
        <v>353</v>
      </c>
      <c r="D82" t="s">
        <v>2352</v>
      </c>
      <c r="E82" t="s">
        <v>2350</v>
      </c>
      <c r="F82" s="46">
        <v>46097.325846562497</v>
      </c>
      <c r="G82" s="46">
        <v>46097.325846562497</v>
      </c>
      <c r="H82">
        <v>0</v>
      </c>
    </row>
    <row r="83" spans="1:8" x14ac:dyDescent="0.15">
      <c r="A83">
        <v>82</v>
      </c>
      <c r="B83" t="s">
        <v>339</v>
      </c>
      <c r="C83" t="s">
        <v>353</v>
      </c>
      <c r="D83" t="s">
        <v>2353</v>
      </c>
      <c r="E83" t="s">
        <v>2350</v>
      </c>
      <c r="F83" s="46">
        <v>46097.325846562497</v>
      </c>
      <c r="G83" s="46">
        <v>46097.325846747677</v>
      </c>
      <c r="H83">
        <v>16</v>
      </c>
    </row>
    <row r="84" spans="1:8" x14ac:dyDescent="0.15">
      <c r="A84">
        <v>83</v>
      </c>
      <c r="B84" t="s">
        <v>339</v>
      </c>
      <c r="C84" t="s">
        <v>353</v>
      </c>
      <c r="D84" t="s">
        <v>2354</v>
      </c>
      <c r="E84" t="s">
        <v>2350</v>
      </c>
      <c r="F84" s="46">
        <v>46097.325846747677</v>
      </c>
      <c r="G84" s="46">
        <v>46097.325846747677</v>
      </c>
      <c r="H84">
        <v>0</v>
      </c>
    </row>
    <row r="85" spans="1:8" x14ac:dyDescent="0.15">
      <c r="A85">
        <v>84</v>
      </c>
      <c r="B85" t="s">
        <v>339</v>
      </c>
      <c r="C85" t="s">
        <v>353</v>
      </c>
      <c r="D85" t="s">
        <v>2355</v>
      </c>
      <c r="E85" t="s">
        <v>2350</v>
      </c>
      <c r="F85" s="46">
        <v>46097.325846747677</v>
      </c>
      <c r="G85" s="46">
        <v>46097.325846747677</v>
      </c>
      <c r="H85">
        <v>0</v>
      </c>
    </row>
    <row r="86" spans="1:8" x14ac:dyDescent="0.15">
      <c r="A86">
        <v>85</v>
      </c>
      <c r="B86" t="s">
        <v>339</v>
      </c>
      <c r="C86" t="s">
        <v>353</v>
      </c>
      <c r="D86" t="s">
        <v>2356</v>
      </c>
      <c r="E86" t="s">
        <v>2350</v>
      </c>
      <c r="F86" s="46">
        <v>46097.325846747677</v>
      </c>
      <c r="G86" s="46">
        <v>46097.325846747677</v>
      </c>
      <c r="H86">
        <v>0</v>
      </c>
    </row>
    <row r="87" spans="1:8" x14ac:dyDescent="0.15">
      <c r="A87">
        <v>86</v>
      </c>
      <c r="B87" t="s">
        <v>339</v>
      </c>
      <c r="C87" t="s">
        <v>353</v>
      </c>
      <c r="D87" t="s">
        <v>2357</v>
      </c>
      <c r="E87" t="s">
        <v>2350</v>
      </c>
      <c r="F87" s="46">
        <v>46097.325846747677</v>
      </c>
      <c r="G87" s="46">
        <v>46097.325846747677</v>
      </c>
      <c r="H87">
        <v>0</v>
      </c>
    </row>
    <row r="88" spans="1:8" x14ac:dyDescent="0.15">
      <c r="A88">
        <v>87</v>
      </c>
      <c r="B88" t="s">
        <v>339</v>
      </c>
      <c r="C88" t="s">
        <v>353</v>
      </c>
      <c r="D88" t="s">
        <v>2358</v>
      </c>
      <c r="E88" t="s">
        <v>2350</v>
      </c>
      <c r="F88" s="46">
        <v>46097.325846747677</v>
      </c>
      <c r="G88" s="46">
        <v>46097.325846747677</v>
      </c>
      <c r="H88">
        <v>0</v>
      </c>
    </row>
    <row r="89" spans="1:8" x14ac:dyDescent="0.15">
      <c r="A89">
        <v>88</v>
      </c>
      <c r="B89" t="s">
        <v>339</v>
      </c>
      <c r="C89" t="s">
        <v>353</v>
      </c>
      <c r="D89" t="s">
        <v>2359</v>
      </c>
      <c r="E89" t="s">
        <v>2350</v>
      </c>
      <c r="F89" s="46">
        <v>46097.325846747677</v>
      </c>
      <c r="G89" s="46">
        <v>46097.325846747677</v>
      </c>
      <c r="H89">
        <v>0</v>
      </c>
    </row>
    <row r="90" spans="1:8" x14ac:dyDescent="0.15">
      <c r="A90">
        <v>89</v>
      </c>
      <c r="B90" t="s">
        <v>339</v>
      </c>
      <c r="C90" t="s">
        <v>353</v>
      </c>
      <c r="D90" t="s">
        <v>2360</v>
      </c>
      <c r="E90" t="s">
        <v>2350</v>
      </c>
      <c r="F90" s="46">
        <v>46097.325846747677</v>
      </c>
      <c r="G90" s="46">
        <v>46097.325846747677</v>
      </c>
      <c r="H90">
        <v>0</v>
      </c>
    </row>
    <row r="91" spans="1:8" x14ac:dyDescent="0.15">
      <c r="A91">
        <v>90</v>
      </c>
      <c r="B91" t="s">
        <v>339</v>
      </c>
      <c r="C91" t="s">
        <v>353</v>
      </c>
      <c r="D91" t="s">
        <v>2361</v>
      </c>
      <c r="E91" t="s">
        <v>2350</v>
      </c>
      <c r="F91" s="46">
        <v>46097.325846747677</v>
      </c>
      <c r="G91" s="46">
        <v>46097.325846747677</v>
      </c>
      <c r="H91">
        <v>0</v>
      </c>
    </row>
    <row r="92" spans="1:8" x14ac:dyDescent="0.15">
      <c r="A92">
        <v>91</v>
      </c>
      <c r="B92" t="s">
        <v>339</v>
      </c>
      <c r="C92" t="s">
        <v>353</v>
      </c>
      <c r="D92" t="s">
        <v>2362</v>
      </c>
      <c r="E92" t="s">
        <v>2350</v>
      </c>
      <c r="F92" s="46">
        <v>46097.325846747677</v>
      </c>
      <c r="G92" s="46">
        <v>46097.325846747677</v>
      </c>
      <c r="H92">
        <v>0</v>
      </c>
    </row>
    <row r="93" spans="1:8" x14ac:dyDescent="0.15">
      <c r="A93">
        <v>92</v>
      </c>
      <c r="B93" t="s">
        <v>339</v>
      </c>
      <c r="C93" t="s">
        <v>353</v>
      </c>
      <c r="D93" t="s">
        <v>2363</v>
      </c>
      <c r="E93" t="s">
        <v>2350</v>
      </c>
      <c r="F93" s="46">
        <v>46097.325846747677</v>
      </c>
      <c r="G93" s="46">
        <v>46097.325846921303</v>
      </c>
      <c r="H93">
        <v>16</v>
      </c>
    </row>
    <row r="94" spans="1:8" x14ac:dyDescent="0.15">
      <c r="A94">
        <v>93</v>
      </c>
      <c r="B94" t="s">
        <v>339</v>
      </c>
      <c r="C94" t="s">
        <v>353</v>
      </c>
      <c r="D94" t="s">
        <v>2364</v>
      </c>
      <c r="E94" t="s">
        <v>2350</v>
      </c>
      <c r="F94" s="46">
        <v>46097.325846921303</v>
      </c>
      <c r="G94" s="46">
        <v>46097.325846921303</v>
      </c>
      <c r="H94">
        <v>0</v>
      </c>
    </row>
    <row r="95" spans="1:8" x14ac:dyDescent="0.15">
      <c r="A95">
        <v>94</v>
      </c>
      <c r="B95" t="s">
        <v>339</v>
      </c>
      <c r="C95" t="s">
        <v>353</v>
      </c>
      <c r="D95" t="s">
        <v>2365</v>
      </c>
      <c r="E95" t="s">
        <v>2350</v>
      </c>
      <c r="F95" s="46">
        <v>46097.325846921303</v>
      </c>
      <c r="G95" s="46">
        <v>46097.325846921303</v>
      </c>
      <c r="H95">
        <v>0</v>
      </c>
    </row>
    <row r="96" spans="1:8" x14ac:dyDescent="0.15">
      <c r="A96">
        <v>95</v>
      </c>
      <c r="B96" t="s">
        <v>339</v>
      </c>
      <c r="C96" t="s">
        <v>353</v>
      </c>
      <c r="D96" t="s">
        <v>2366</v>
      </c>
      <c r="E96" t="s">
        <v>2367</v>
      </c>
      <c r="F96" s="46">
        <v>46097.325846921303</v>
      </c>
      <c r="G96" s="46">
        <v>46097.325846921303</v>
      </c>
      <c r="H96">
        <v>0</v>
      </c>
    </row>
    <row r="97" spans="1:8" x14ac:dyDescent="0.15">
      <c r="A97">
        <v>96</v>
      </c>
      <c r="B97" t="s">
        <v>339</v>
      </c>
      <c r="C97" t="s">
        <v>353</v>
      </c>
      <c r="D97" t="s">
        <v>2368</v>
      </c>
      <c r="E97" t="s">
        <v>2367</v>
      </c>
      <c r="F97" s="46">
        <v>46097.325846921303</v>
      </c>
      <c r="G97" s="46">
        <v>46097.325846921303</v>
      </c>
      <c r="H97">
        <v>0</v>
      </c>
    </row>
    <row r="98" spans="1:8" x14ac:dyDescent="0.15">
      <c r="A98">
        <v>97</v>
      </c>
      <c r="B98" t="s">
        <v>339</v>
      </c>
      <c r="C98" t="s">
        <v>353</v>
      </c>
      <c r="D98" t="s">
        <v>2369</v>
      </c>
      <c r="E98" t="s">
        <v>2367</v>
      </c>
      <c r="F98" s="46">
        <v>46097.325846921303</v>
      </c>
      <c r="G98" s="46">
        <v>46097.325846921303</v>
      </c>
      <c r="H98">
        <v>0</v>
      </c>
    </row>
    <row r="99" spans="1:8" x14ac:dyDescent="0.15">
      <c r="A99">
        <v>98</v>
      </c>
      <c r="B99" t="s">
        <v>339</v>
      </c>
      <c r="C99" t="s">
        <v>353</v>
      </c>
      <c r="D99" t="s">
        <v>2370</v>
      </c>
      <c r="E99" t="s">
        <v>2371</v>
      </c>
      <c r="F99" s="46">
        <v>46097.325846921303</v>
      </c>
      <c r="G99" s="46">
        <v>46097.325846921303</v>
      </c>
      <c r="H99">
        <v>0</v>
      </c>
    </row>
    <row r="100" spans="1:8" x14ac:dyDescent="0.15">
      <c r="A100">
        <v>99</v>
      </c>
      <c r="B100" t="s">
        <v>339</v>
      </c>
      <c r="C100" t="s">
        <v>353</v>
      </c>
      <c r="D100" t="s">
        <v>2372</v>
      </c>
      <c r="E100" t="s">
        <v>2371</v>
      </c>
      <c r="F100" s="46">
        <v>46097.325846921303</v>
      </c>
      <c r="G100" s="46">
        <v>46097.325846921303</v>
      </c>
      <c r="H100">
        <v>0</v>
      </c>
    </row>
    <row r="101" spans="1:8" x14ac:dyDescent="0.15">
      <c r="A101">
        <v>100</v>
      </c>
      <c r="B101" t="s">
        <v>339</v>
      </c>
      <c r="C101" t="s">
        <v>353</v>
      </c>
      <c r="D101" t="s">
        <v>2373</v>
      </c>
      <c r="E101" t="s">
        <v>2371</v>
      </c>
      <c r="F101" s="46">
        <v>46097.325846921303</v>
      </c>
      <c r="G101" s="46">
        <v>46097.325846921303</v>
      </c>
      <c r="H101">
        <v>0</v>
      </c>
    </row>
    <row r="102" spans="1:8" x14ac:dyDescent="0.15">
      <c r="A102">
        <v>101</v>
      </c>
      <c r="B102" t="s">
        <v>339</v>
      </c>
      <c r="C102" t="s">
        <v>353</v>
      </c>
      <c r="D102" t="s">
        <v>2374</v>
      </c>
      <c r="E102" t="s">
        <v>2371</v>
      </c>
      <c r="F102" s="46">
        <v>46097.325846921303</v>
      </c>
      <c r="G102" s="46">
        <v>46097.325846921303</v>
      </c>
      <c r="H102">
        <v>0</v>
      </c>
    </row>
    <row r="103" spans="1:8" x14ac:dyDescent="0.15">
      <c r="A103">
        <v>102</v>
      </c>
      <c r="B103" t="s">
        <v>339</v>
      </c>
      <c r="C103" t="s">
        <v>353</v>
      </c>
      <c r="D103" t="s">
        <v>2375</v>
      </c>
      <c r="E103" t="s">
        <v>2371</v>
      </c>
      <c r="F103" s="46">
        <v>46097.325846921303</v>
      </c>
      <c r="G103" s="46">
        <v>46097.325846921303</v>
      </c>
      <c r="H103">
        <v>0</v>
      </c>
    </row>
    <row r="104" spans="1:8" x14ac:dyDescent="0.15">
      <c r="A104">
        <v>103</v>
      </c>
      <c r="B104" t="s">
        <v>339</v>
      </c>
      <c r="C104" t="s">
        <v>353</v>
      </c>
      <c r="D104" t="s">
        <v>2376</v>
      </c>
      <c r="E104" t="s">
        <v>2371</v>
      </c>
      <c r="F104" s="46">
        <v>46097.325846921303</v>
      </c>
      <c r="G104" s="46">
        <v>46097.325847106476</v>
      </c>
      <c r="H104">
        <v>15</v>
      </c>
    </row>
    <row r="105" spans="1:8" x14ac:dyDescent="0.15">
      <c r="A105">
        <v>104</v>
      </c>
      <c r="B105" t="s">
        <v>339</v>
      </c>
      <c r="C105" t="s">
        <v>353</v>
      </c>
      <c r="D105" t="s">
        <v>2377</v>
      </c>
      <c r="E105" t="s">
        <v>2371</v>
      </c>
      <c r="F105" s="46">
        <v>46097.325847106476</v>
      </c>
      <c r="G105" s="46">
        <v>46097.325847106476</v>
      </c>
      <c r="H105">
        <v>0</v>
      </c>
    </row>
    <row r="106" spans="1:8" x14ac:dyDescent="0.15">
      <c r="A106">
        <v>105</v>
      </c>
      <c r="B106" t="s">
        <v>339</v>
      </c>
      <c r="C106" t="s">
        <v>353</v>
      </c>
      <c r="D106" t="s">
        <v>2378</v>
      </c>
      <c r="E106" t="s">
        <v>2371</v>
      </c>
      <c r="F106" s="46">
        <v>46097.325847106476</v>
      </c>
      <c r="G106" s="46">
        <v>46097.325847106476</v>
      </c>
      <c r="H106">
        <v>0</v>
      </c>
    </row>
    <row r="107" spans="1:8" x14ac:dyDescent="0.15">
      <c r="A107">
        <v>106</v>
      </c>
      <c r="B107" t="s">
        <v>339</v>
      </c>
      <c r="C107" t="s">
        <v>353</v>
      </c>
      <c r="D107" t="s">
        <v>2379</v>
      </c>
      <c r="E107" t="s">
        <v>2371</v>
      </c>
      <c r="F107" s="46">
        <v>46097.325847106476</v>
      </c>
      <c r="G107" s="46">
        <v>46097.325847106476</v>
      </c>
      <c r="H107">
        <v>0</v>
      </c>
    </row>
    <row r="108" spans="1:8" x14ac:dyDescent="0.15">
      <c r="A108">
        <v>107</v>
      </c>
      <c r="B108" t="s">
        <v>339</v>
      </c>
      <c r="C108" t="s">
        <v>353</v>
      </c>
      <c r="D108" t="s">
        <v>2380</v>
      </c>
      <c r="E108" t="s">
        <v>2381</v>
      </c>
      <c r="F108" s="46">
        <v>46097.325847106476</v>
      </c>
      <c r="G108" s="46">
        <v>46097.325847106476</v>
      </c>
      <c r="H108">
        <v>0</v>
      </c>
    </row>
    <row r="109" spans="1:8" x14ac:dyDescent="0.15">
      <c r="A109">
        <v>108</v>
      </c>
      <c r="B109" t="s">
        <v>339</v>
      </c>
      <c r="C109" t="s">
        <v>353</v>
      </c>
      <c r="D109" t="s">
        <v>2382</v>
      </c>
      <c r="E109" t="s">
        <v>2381</v>
      </c>
      <c r="F109" s="46">
        <v>46097.325847106476</v>
      </c>
      <c r="G109" s="46">
        <v>46097.325847106476</v>
      </c>
      <c r="H109">
        <v>0</v>
      </c>
    </row>
    <row r="110" spans="1:8" x14ac:dyDescent="0.15">
      <c r="A110">
        <v>109</v>
      </c>
      <c r="B110" t="s">
        <v>339</v>
      </c>
      <c r="C110" t="s">
        <v>353</v>
      </c>
      <c r="D110" t="s">
        <v>2383</v>
      </c>
      <c r="E110" t="s">
        <v>2384</v>
      </c>
      <c r="F110" s="46">
        <v>46097.325847106476</v>
      </c>
      <c r="G110" s="46">
        <v>46097.325847106476</v>
      </c>
      <c r="H110">
        <v>0</v>
      </c>
    </row>
    <row r="111" spans="1:8" x14ac:dyDescent="0.15">
      <c r="A111">
        <v>110</v>
      </c>
      <c r="B111" t="s">
        <v>339</v>
      </c>
      <c r="C111" t="s">
        <v>353</v>
      </c>
      <c r="D111" t="s">
        <v>2385</v>
      </c>
      <c r="E111" t="s">
        <v>2384</v>
      </c>
      <c r="F111" s="46">
        <v>46097.325847106476</v>
      </c>
      <c r="G111" s="46">
        <v>46097.325847106476</v>
      </c>
      <c r="H111">
        <v>0</v>
      </c>
    </row>
    <row r="112" spans="1:8" x14ac:dyDescent="0.15">
      <c r="A112">
        <v>111</v>
      </c>
      <c r="B112" t="s">
        <v>339</v>
      </c>
      <c r="C112" t="s">
        <v>353</v>
      </c>
      <c r="D112" t="s">
        <v>2386</v>
      </c>
      <c r="E112" t="s">
        <v>2384</v>
      </c>
      <c r="F112" s="46">
        <v>46097.325847106476</v>
      </c>
      <c r="G112" s="46">
        <v>46097.325847106476</v>
      </c>
      <c r="H112">
        <v>0</v>
      </c>
    </row>
    <row r="113" spans="1:8" x14ac:dyDescent="0.15">
      <c r="A113">
        <v>112</v>
      </c>
      <c r="B113" t="s">
        <v>339</v>
      </c>
      <c r="C113" t="s">
        <v>353</v>
      </c>
      <c r="D113" t="s">
        <v>2387</v>
      </c>
      <c r="E113" t="s">
        <v>2384</v>
      </c>
      <c r="F113" s="46">
        <v>46097.325847106476</v>
      </c>
      <c r="G113" s="46">
        <v>46097.325847106476</v>
      </c>
      <c r="H113">
        <v>0</v>
      </c>
    </row>
    <row r="114" spans="1:8" x14ac:dyDescent="0.15">
      <c r="A114">
        <v>113</v>
      </c>
      <c r="B114" t="s">
        <v>339</v>
      </c>
      <c r="C114" t="s">
        <v>353</v>
      </c>
      <c r="D114" t="s">
        <v>2388</v>
      </c>
      <c r="E114" t="s">
        <v>2384</v>
      </c>
      <c r="F114" s="46">
        <v>46097.325847106476</v>
      </c>
      <c r="G114" s="46">
        <v>46097.325847280103</v>
      </c>
      <c r="H114">
        <v>16</v>
      </c>
    </row>
    <row r="115" spans="1:8" x14ac:dyDescent="0.15">
      <c r="A115">
        <v>114</v>
      </c>
      <c r="B115" t="s">
        <v>339</v>
      </c>
      <c r="C115" t="s">
        <v>353</v>
      </c>
      <c r="D115" t="s">
        <v>2389</v>
      </c>
      <c r="E115" t="s">
        <v>2390</v>
      </c>
      <c r="F115" s="46">
        <v>46097.325847280103</v>
      </c>
      <c r="G115" s="46">
        <v>46097.325847280103</v>
      </c>
      <c r="H115">
        <v>0</v>
      </c>
    </row>
    <row r="116" spans="1:8" x14ac:dyDescent="0.15">
      <c r="A116">
        <v>115</v>
      </c>
      <c r="B116" t="s">
        <v>339</v>
      </c>
      <c r="C116" t="s">
        <v>353</v>
      </c>
      <c r="D116" t="s">
        <v>2391</v>
      </c>
      <c r="E116" t="s">
        <v>2392</v>
      </c>
      <c r="F116" s="46">
        <v>46097.325847280103</v>
      </c>
      <c r="G116" s="46">
        <v>46097.325847280103</v>
      </c>
      <c r="H116">
        <v>0</v>
      </c>
    </row>
    <row r="117" spans="1:8" x14ac:dyDescent="0.15">
      <c r="A117">
        <v>116</v>
      </c>
      <c r="B117" t="s">
        <v>339</v>
      </c>
      <c r="C117" t="s">
        <v>353</v>
      </c>
      <c r="D117" t="s">
        <v>2393</v>
      </c>
      <c r="E117" t="s">
        <v>2394</v>
      </c>
      <c r="F117" s="46">
        <v>46097.325847280103</v>
      </c>
      <c r="G117" s="46">
        <v>46097.325847280103</v>
      </c>
      <c r="H117">
        <v>0</v>
      </c>
    </row>
    <row r="118" spans="1:8" x14ac:dyDescent="0.15">
      <c r="A118">
        <v>117</v>
      </c>
      <c r="B118" t="s">
        <v>339</v>
      </c>
      <c r="C118" t="s">
        <v>353</v>
      </c>
      <c r="D118" t="s">
        <v>2395</v>
      </c>
      <c r="E118" t="s">
        <v>2394</v>
      </c>
      <c r="F118" s="46">
        <v>46097.325847280103</v>
      </c>
      <c r="G118" s="46">
        <v>46097.325847280103</v>
      </c>
      <c r="H118">
        <v>0</v>
      </c>
    </row>
    <row r="119" spans="1:8" x14ac:dyDescent="0.15">
      <c r="A119">
        <v>118</v>
      </c>
      <c r="B119" t="s">
        <v>339</v>
      </c>
      <c r="C119" t="s">
        <v>353</v>
      </c>
      <c r="D119" t="s">
        <v>2396</v>
      </c>
      <c r="E119" t="s">
        <v>2394</v>
      </c>
      <c r="F119" s="46">
        <v>46097.325847280103</v>
      </c>
      <c r="G119" s="46">
        <v>46097.325847280103</v>
      </c>
      <c r="H119">
        <v>0</v>
      </c>
    </row>
    <row r="120" spans="1:8" x14ac:dyDescent="0.15">
      <c r="A120">
        <v>119</v>
      </c>
      <c r="B120" t="s">
        <v>339</v>
      </c>
      <c r="C120" t="s">
        <v>353</v>
      </c>
      <c r="D120" t="s">
        <v>2397</v>
      </c>
      <c r="E120" t="s">
        <v>2394</v>
      </c>
      <c r="F120" s="46">
        <v>46097.325847280103</v>
      </c>
      <c r="G120" s="46">
        <v>46097.325847280103</v>
      </c>
      <c r="H120">
        <v>0</v>
      </c>
    </row>
    <row r="121" spans="1:8" x14ac:dyDescent="0.15">
      <c r="A121">
        <v>120</v>
      </c>
      <c r="B121" t="s">
        <v>339</v>
      </c>
      <c r="C121" t="s">
        <v>353</v>
      </c>
      <c r="D121" t="s">
        <v>2398</v>
      </c>
      <c r="E121" t="s">
        <v>2394</v>
      </c>
      <c r="F121" s="46">
        <v>46097.325847280103</v>
      </c>
      <c r="G121" s="46">
        <v>46097.325847280103</v>
      </c>
      <c r="H121">
        <v>0</v>
      </c>
    </row>
    <row r="122" spans="1:8" x14ac:dyDescent="0.15">
      <c r="A122">
        <v>121</v>
      </c>
      <c r="B122" t="s">
        <v>339</v>
      </c>
      <c r="C122" t="s">
        <v>353</v>
      </c>
      <c r="D122" t="s">
        <v>2399</v>
      </c>
      <c r="E122" t="s">
        <v>2400</v>
      </c>
      <c r="F122" s="46">
        <v>46097.325847280103</v>
      </c>
      <c r="G122" s="46">
        <v>46097.325847280103</v>
      </c>
      <c r="H122">
        <v>0</v>
      </c>
    </row>
    <row r="123" spans="1:8" x14ac:dyDescent="0.15">
      <c r="A123">
        <v>122</v>
      </c>
      <c r="B123" t="s">
        <v>339</v>
      </c>
      <c r="C123" t="s">
        <v>353</v>
      </c>
      <c r="D123" t="s">
        <v>2401</v>
      </c>
      <c r="E123" t="s">
        <v>2400</v>
      </c>
      <c r="F123" s="46">
        <v>46097.325847280103</v>
      </c>
      <c r="G123" s="46">
        <v>46097.325847280103</v>
      </c>
      <c r="H123">
        <v>0</v>
      </c>
    </row>
    <row r="124" spans="1:8" x14ac:dyDescent="0.15">
      <c r="A124">
        <v>123</v>
      </c>
      <c r="B124" t="s">
        <v>339</v>
      </c>
      <c r="C124" t="s">
        <v>353</v>
      </c>
      <c r="D124" t="s">
        <v>2402</v>
      </c>
      <c r="E124" t="s">
        <v>2400</v>
      </c>
      <c r="F124" s="46">
        <v>46097.325847280103</v>
      </c>
      <c r="G124" s="46">
        <v>46097.325847280103</v>
      </c>
      <c r="H124">
        <v>0</v>
      </c>
    </row>
    <row r="125" spans="1:8" x14ac:dyDescent="0.15">
      <c r="A125">
        <v>124</v>
      </c>
      <c r="B125" t="s">
        <v>339</v>
      </c>
      <c r="C125" t="s">
        <v>353</v>
      </c>
      <c r="D125" t="s">
        <v>2403</v>
      </c>
      <c r="E125" t="s">
        <v>2404</v>
      </c>
      <c r="F125" s="46">
        <v>46097.325847280103</v>
      </c>
      <c r="G125" s="46">
        <v>46097.325847465283</v>
      </c>
      <c r="H125">
        <v>16</v>
      </c>
    </row>
    <row r="126" spans="1:8" x14ac:dyDescent="0.15">
      <c r="A126">
        <v>125</v>
      </c>
      <c r="B126" t="s">
        <v>339</v>
      </c>
      <c r="C126" t="s">
        <v>353</v>
      </c>
      <c r="D126" t="s">
        <v>2405</v>
      </c>
      <c r="E126" t="s">
        <v>2406</v>
      </c>
      <c r="F126" s="46">
        <v>46097.325847465283</v>
      </c>
      <c r="G126" s="46">
        <v>46097.325847465283</v>
      </c>
      <c r="H126">
        <v>0</v>
      </c>
    </row>
    <row r="127" spans="1:8" x14ac:dyDescent="0.15">
      <c r="A127">
        <v>126</v>
      </c>
      <c r="B127" t="s">
        <v>339</v>
      </c>
      <c r="C127" t="s">
        <v>353</v>
      </c>
      <c r="D127" t="s">
        <v>2407</v>
      </c>
      <c r="E127" t="s">
        <v>2406</v>
      </c>
      <c r="F127" s="46">
        <v>46097.325847465283</v>
      </c>
      <c r="G127" s="46">
        <v>46097.325847465283</v>
      </c>
      <c r="H127">
        <v>0</v>
      </c>
    </row>
    <row r="128" spans="1:8" x14ac:dyDescent="0.15">
      <c r="A128">
        <v>127</v>
      </c>
      <c r="B128" t="s">
        <v>339</v>
      </c>
      <c r="C128" t="s">
        <v>353</v>
      </c>
      <c r="D128" t="s">
        <v>2408</v>
      </c>
      <c r="E128" t="s">
        <v>2409</v>
      </c>
      <c r="F128" s="46">
        <v>46097.325847465283</v>
      </c>
      <c r="G128" s="46">
        <v>46097.325847465283</v>
      </c>
      <c r="H128">
        <v>0</v>
      </c>
    </row>
    <row r="129" spans="1:8" x14ac:dyDescent="0.15">
      <c r="A129">
        <v>128</v>
      </c>
      <c r="B129" t="s">
        <v>339</v>
      </c>
      <c r="C129" t="s">
        <v>353</v>
      </c>
      <c r="D129" t="s">
        <v>2410</v>
      </c>
      <c r="E129" t="s">
        <v>2409</v>
      </c>
      <c r="F129" s="46">
        <v>46097.325847465283</v>
      </c>
      <c r="G129" s="46">
        <v>46097.325847465283</v>
      </c>
      <c r="H129">
        <v>0</v>
      </c>
    </row>
    <row r="130" spans="1:8" x14ac:dyDescent="0.15">
      <c r="A130">
        <v>129</v>
      </c>
      <c r="B130" t="s">
        <v>339</v>
      </c>
      <c r="C130" t="s">
        <v>353</v>
      </c>
      <c r="D130" t="s">
        <v>2411</v>
      </c>
      <c r="E130" t="s">
        <v>2409</v>
      </c>
      <c r="F130" s="46">
        <v>46097.325847465283</v>
      </c>
      <c r="G130" s="46">
        <v>46097.325847465283</v>
      </c>
      <c r="H130">
        <v>0</v>
      </c>
    </row>
    <row r="131" spans="1:8" x14ac:dyDescent="0.15">
      <c r="A131">
        <v>130</v>
      </c>
      <c r="B131" t="s">
        <v>339</v>
      </c>
      <c r="C131" t="s">
        <v>353</v>
      </c>
      <c r="D131" t="s">
        <v>2412</v>
      </c>
      <c r="E131" t="s">
        <v>2409</v>
      </c>
      <c r="F131" s="46">
        <v>46097.325847465283</v>
      </c>
      <c r="G131" s="46">
        <v>46097.325847465283</v>
      </c>
      <c r="H131">
        <v>0</v>
      </c>
    </row>
    <row r="132" spans="1:8" x14ac:dyDescent="0.15">
      <c r="A132">
        <v>131</v>
      </c>
      <c r="B132" t="s">
        <v>339</v>
      </c>
      <c r="C132" t="s">
        <v>353</v>
      </c>
      <c r="D132" t="s">
        <v>2413</v>
      </c>
      <c r="E132" t="s">
        <v>2409</v>
      </c>
      <c r="F132" s="46">
        <v>46097.325847465283</v>
      </c>
      <c r="G132" s="46">
        <v>46097.325847465283</v>
      </c>
      <c r="H132">
        <v>0</v>
      </c>
    </row>
    <row r="133" spans="1:8" x14ac:dyDescent="0.15">
      <c r="A133">
        <v>132</v>
      </c>
      <c r="B133" t="s">
        <v>339</v>
      </c>
      <c r="C133" t="s">
        <v>353</v>
      </c>
      <c r="D133" t="s">
        <v>2414</v>
      </c>
      <c r="E133" t="s">
        <v>2409</v>
      </c>
      <c r="F133" s="46">
        <v>46097.325847465283</v>
      </c>
      <c r="G133" s="46">
        <v>46097.325847465283</v>
      </c>
      <c r="H133">
        <v>0</v>
      </c>
    </row>
    <row r="134" spans="1:8" x14ac:dyDescent="0.15">
      <c r="A134">
        <v>133</v>
      </c>
      <c r="B134" t="s">
        <v>339</v>
      </c>
      <c r="C134" t="s">
        <v>353</v>
      </c>
      <c r="D134" t="s">
        <v>2415</v>
      </c>
      <c r="E134" t="s">
        <v>2409</v>
      </c>
      <c r="F134" s="46">
        <v>46097.325847465283</v>
      </c>
      <c r="G134" s="46">
        <v>46097.325847465283</v>
      </c>
      <c r="H134">
        <v>0</v>
      </c>
    </row>
    <row r="135" spans="1:8" x14ac:dyDescent="0.15">
      <c r="A135">
        <v>134</v>
      </c>
      <c r="B135" t="s">
        <v>339</v>
      </c>
      <c r="C135" t="s">
        <v>353</v>
      </c>
      <c r="D135" t="s">
        <v>2416</v>
      </c>
      <c r="E135" t="s">
        <v>2417</v>
      </c>
      <c r="F135" s="46">
        <v>46097.325847465283</v>
      </c>
      <c r="G135" s="46">
        <v>46097.325847650463</v>
      </c>
      <c r="H135">
        <v>15</v>
      </c>
    </row>
    <row r="136" spans="1:8" x14ac:dyDescent="0.15">
      <c r="A136">
        <v>135</v>
      </c>
      <c r="B136" t="s">
        <v>339</v>
      </c>
      <c r="C136" t="s">
        <v>353</v>
      </c>
      <c r="D136" t="s">
        <v>2418</v>
      </c>
      <c r="E136" t="s">
        <v>2419</v>
      </c>
      <c r="F136" s="46">
        <v>46097.325847650463</v>
      </c>
      <c r="G136" s="46">
        <v>46097.325847650463</v>
      </c>
      <c r="H136">
        <v>0</v>
      </c>
    </row>
    <row r="137" spans="1:8" x14ac:dyDescent="0.15">
      <c r="A137">
        <v>136</v>
      </c>
      <c r="B137" t="s">
        <v>339</v>
      </c>
      <c r="C137" t="s">
        <v>353</v>
      </c>
      <c r="D137" t="s">
        <v>2420</v>
      </c>
      <c r="E137" t="s">
        <v>2419</v>
      </c>
      <c r="F137" s="46">
        <v>46097.325847650463</v>
      </c>
      <c r="G137" s="46">
        <v>46097.325847650463</v>
      </c>
      <c r="H137">
        <v>0</v>
      </c>
    </row>
    <row r="138" spans="1:8" x14ac:dyDescent="0.15">
      <c r="A138">
        <v>137</v>
      </c>
      <c r="B138" t="s">
        <v>339</v>
      </c>
      <c r="C138" t="s">
        <v>353</v>
      </c>
      <c r="D138" t="s">
        <v>2421</v>
      </c>
      <c r="E138" t="s">
        <v>2419</v>
      </c>
      <c r="F138" s="46">
        <v>46097.325847650463</v>
      </c>
      <c r="G138" s="46">
        <v>46097.325847650463</v>
      </c>
      <c r="H138">
        <v>0</v>
      </c>
    </row>
    <row r="139" spans="1:8" x14ac:dyDescent="0.15">
      <c r="A139">
        <v>138</v>
      </c>
      <c r="B139" t="s">
        <v>339</v>
      </c>
      <c r="C139" t="s">
        <v>353</v>
      </c>
      <c r="D139" t="s">
        <v>2422</v>
      </c>
      <c r="E139" t="s">
        <v>2419</v>
      </c>
      <c r="F139" s="46">
        <v>46097.325847650463</v>
      </c>
      <c r="G139" s="46">
        <v>46097.325847650463</v>
      </c>
      <c r="H139">
        <v>0</v>
      </c>
    </row>
    <row r="140" spans="1:8" x14ac:dyDescent="0.15">
      <c r="A140">
        <v>139</v>
      </c>
      <c r="B140" t="s">
        <v>339</v>
      </c>
      <c r="C140" t="s">
        <v>353</v>
      </c>
      <c r="D140" t="s">
        <v>2423</v>
      </c>
      <c r="E140" t="s">
        <v>2419</v>
      </c>
      <c r="F140" s="46">
        <v>46097.325847650463</v>
      </c>
      <c r="G140" s="46">
        <v>46097.325847650463</v>
      </c>
      <c r="H140">
        <v>0</v>
      </c>
    </row>
    <row r="141" spans="1:8" x14ac:dyDescent="0.15">
      <c r="A141">
        <v>140</v>
      </c>
      <c r="B141" t="s">
        <v>339</v>
      </c>
      <c r="C141" t="s">
        <v>353</v>
      </c>
      <c r="D141" t="s">
        <v>2424</v>
      </c>
      <c r="E141" t="s">
        <v>2419</v>
      </c>
      <c r="F141" s="46">
        <v>46097.325847650463</v>
      </c>
      <c r="G141" s="46">
        <v>46097.325847650463</v>
      </c>
      <c r="H141">
        <v>0</v>
      </c>
    </row>
    <row r="142" spans="1:8" x14ac:dyDescent="0.15">
      <c r="A142">
        <v>141</v>
      </c>
      <c r="B142" t="s">
        <v>339</v>
      </c>
      <c r="C142" t="s">
        <v>353</v>
      </c>
      <c r="D142" t="s">
        <v>2425</v>
      </c>
      <c r="E142" t="s">
        <v>2419</v>
      </c>
      <c r="F142" s="46">
        <v>46097.325847650463</v>
      </c>
      <c r="G142" s="46">
        <v>46097.325847650463</v>
      </c>
      <c r="H142">
        <v>0</v>
      </c>
    </row>
    <row r="143" spans="1:8" x14ac:dyDescent="0.15">
      <c r="A143">
        <v>142</v>
      </c>
      <c r="B143" t="s">
        <v>339</v>
      </c>
      <c r="C143" t="s">
        <v>353</v>
      </c>
      <c r="D143" t="s">
        <v>2426</v>
      </c>
      <c r="E143" t="s">
        <v>2419</v>
      </c>
      <c r="F143" s="46">
        <v>46097.325847650463</v>
      </c>
      <c r="G143" s="46">
        <v>46097.325847650463</v>
      </c>
      <c r="H143">
        <v>0</v>
      </c>
    </row>
    <row r="144" spans="1:8" x14ac:dyDescent="0.15">
      <c r="A144">
        <v>143</v>
      </c>
      <c r="B144" t="s">
        <v>339</v>
      </c>
      <c r="C144" t="s">
        <v>353</v>
      </c>
      <c r="D144" t="s">
        <v>2427</v>
      </c>
      <c r="E144" t="s">
        <v>2419</v>
      </c>
      <c r="F144" s="46">
        <v>46097.325847650463</v>
      </c>
      <c r="G144" s="46">
        <v>46097.325847650463</v>
      </c>
      <c r="H144">
        <v>0</v>
      </c>
    </row>
    <row r="145" spans="1:8" x14ac:dyDescent="0.15">
      <c r="A145">
        <v>144</v>
      </c>
      <c r="B145" t="s">
        <v>339</v>
      </c>
      <c r="C145" t="s">
        <v>353</v>
      </c>
      <c r="D145" t="s">
        <v>2428</v>
      </c>
      <c r="E145" t="s">
        <v>2419</v>
      </c>
      <c r="F145" s="46">
        <v>46097.325847650463</v>
      </c>
      <c r="G145" s="46">
        <v>46097.325847650463</v>
      </c>
      <c r="H145">
        <v>0</v>
      </c>
    </row>
    <row r="146" spans="1:8" x14ac:dyDescent="0.15">
      <c r="A146">
        <v>145</v>
      </c>
      <c r="B146" t="s">
        <v>339</v>
      </c>
      <c r="C146" t="s">
        <v>353</v>
      </c>
      <c r="D146" t="s">
        <v>2429</v>
      </c>
      <c r="E146" t="s">
        <v>2419</v>
      </c>
      <c r="F146" s="46">
        <v>46097.325847650463</v>
      </c>
      <c r="G146" s="46">
        <v>46097.325847824082</v>
      </c>
      <c r="H146">
        <v>16</v>
      </c>
    </row>
    <row r="147" spans="1:8" x14ac:dyDescent="0.15">
      <c r="A147">
        <v>146</v>
      </c>
      <c r="B147" t="s">
        <v>339</v>
      </c>
      <c r="C147" t="s">
        <v>353</v>
      </c>
      <c r="D147" t="s">
        <v>2430</v>
      </c>
      <c r="E147" t="s">
        <v>2419</v>
      </c>
      <c r="F147" s="46">
        <v>46097.325847824082</v>
      </c>
      <c r="G147" s="46">
        <v>46097.325847824082</v>
      </c>
      <c r="H147">
        <v>0</v>
      </c>
    </row>
    <row r="148" spans="1:8" x14ac:dyDescent="0.15">
      <c r="A148">
        <v>147</v>
      </c>
      <c r="B148" t="s">
        <v>339</v>
      </c>
      <c r="C148" t="s">
        <v>353</v>
      </c>
      <c r="D148" t="s">
        <v>2431</v>
      </c>
      <c r="E148" t="s">
        <v>2419</v>
      </c>
      <c r="F148" s="46">
        <v>46097.325847824082</v>
      </c>
      <c r="G148" s="46">
        <v>46097.325847824082</v>
      </c>
      <c r="H148">
        <v>0</v>
      </c>
    </row>
    <row r="149" spans="1:8" x14ac:dyDescent="0.15">
      <c r="A149">
        <v>148</v>
      </c>
      <c r="B149" t="s">
        <v>339</v>
      </c>
      <c r="C149" t="s">
        <v>353</v>
      </c>
      <c r="D149" t="s">
        <v>2432</v>
      </c>
      <c r="E149" t="s">
        <v>2419</v>
      </c>
      <c r="F149" s="46">
        <v>46097.325847824082</v>
      </c>
      <c r="G149" s="46">
        <v>46097.325847824082</v>
      </c>
      <c r="H149">
        <v>0</v>
      </c>
    </row>
    <row r="150" spans="1:8" x14ac:dyDescent="0.15">
      <c r="A150">
        <v>149</v>
      </c>
      <c r="B150" t="s">
        <v>339</v>
      </c>
      <c r="C150" t="s">
        <v>353</v>
      </c>
      <c r="D150" t="s">
        <v>2433</v>
      </c>
      <c r="E150" t="s">
        <v>2419</v>
      </c>
      <c r="F150" s="46">
        <v>46097.325847824082</v>
      </c>
      <c r="G150" s="46">
        <v>46097.325847824082</v>
      </c>
      <c r="H150">
        <v>0</v>
      </c>
    </row>
    <row r="151" spans="1:8" x14ac:dyDescent="0.15">
      <c r="A151">
        <v>150</v>
      </c>
      <c r="B151" t="s">
        <v>339</v>
      </c>
      <c r="C151" t="s">
        <v>353</v>
      </c>
      <c r="D151" t="s">
        <v>2434</v>
      </c>
      <c r="E151" t="s">
        <v>2419</v>
      </c>
      <c r="F151" s="46">
        <v>46097.325847824082</v>
      </c>
      <c r="G151" s="46">
        <v>46097.325847824082</v>
      </c>
      <c r="H151">
        <v>0</v>
      </c>
    </row>
    <row r="152" spans="1:8" x14ac:dyDescent="0.15">
      <c r="A152">
        <v>151</v>
      </c>
      <c r="B152" t="s">
        <v>339</v>
      </c>
      <c r="C152" t="s">
        <v>353</v>
      </c>
      <c r="D152" t="s">
        <v>2435</v>
      </c>
      <c r="E152" t="s">
        <v>2419</v>
      </c>
      <c r="F152" s="46">
        <v>46097.325847824082</v>
      </c>
      <c r="G152" s="46">
        <v>46097.325847824082</v>
      </c>
      <c r="H152">
        <v>0</v>
      </c>
    </row>
    <row r="153" spans="1:8" x14ac:dyDescent="0.15">
      <c r="A153">
        <v>152</v>
      </c>
      <c r="B153" t="s">
        <v>339</v>
      </c>
      <c r="C153" t="s">
        <v>353</v>
      </c>
      <c r="D153" t="s">
        <v>2436</v>
      </c>
      <c r="E153" t="s">
        <v>2437</v>
      </c>
      <c r="F153" s="46">
        <v>46097.325847824082</v>
      </c>
      <c r="G153" s="46">
        <v>46097.325847824082</v>
      </c>
      <c r="H153">
        <v>0</v>
      </c>
    </row>
    <row r="154" spans="1:8" x14ac:dyDescent="0.15">
      <c r="A154">
        <v>153</v>
      </c>
      <c r="B154" t="s">
        <v>339</v>
      </c>
      <c r="C154" t="s">
        <v>353</v>
      </c>
      <c r="D154" t="s">
        <v>2438</v>
      </c>
      <c r="E154" t="s">
        <v>2437</v>
      </c>
      <c r="F154" s="46">
        <v>46097.325847824082</v>
      </c>
      <c r="G154" s="46">
        <v>46097.325847824082</v>
      </c>
      <c r="H154">
        <v>0</v>
      </c>
    </row>
    <row r="155" spans="1:8" x14ac:dyDescent="0.15">
      <c r="A155">
        <v>154</v>
      </c>
      <c r="B155" t="s">
        <v>339</v>
      </c>
      <c r="C155" t="s">
        <v>353</v>
      </c>
      <c r="D155" t="s">
        <v>2439</v>
      </c>
      <c r="E155" t="s">
        <v>2437</v>
      </c>
      <c r="F155" s="46">
        <v>46097.325847824082</v>
      </c>
      <c r="G155" s="46">
        <v>46097.325847824082</v>
      </c>
      <c r="H155">
        <v>0</v>
      </c>
    </row>
    <row r="156" spans="1:8" x14ac:dyDescent="0.15">
      <c r="A156">
        <v>155</v>
      </c>
      <c r="B156" t="s">
        <v>339</v>
      </c>
      <c r="C156" t="s">
        <v>353</v>
      </c>
      <c r="D156" t="s">
        <v>2440</v>
      </c>
      <c r="E156" t="s">
        <v>2437</v>
      </c>
      <c r="F156" s="46">
        <v>46097.325847824082</v>
      </c>
      <c r="G156" s="46">
        <v>46097.325847824082</v>
      </c>
      <c r="H156">
        <v>0</v>
      </c>
    </row>
    <row r="157" spans="1:8" x14ac:dyDescent="0.15">
      <c r="A157">
        <v>156</v>
      </c>
      <c r="B157" t="s">
        <v>339</v>
      </c>
      <c r="C157" t="s">
        <v>353</v>
      </c>
      <c r="D157" t="s">
        <v>2441</v>
      </c>
      <c r="E157" t="s">
        <v>2437</v>
      </c>
      <c r="F157" s="46">
        <v>46097.325848009263</v>
      </c>
      <c r="G157" s="46">
        <v>46097.325848009263</v>
      </c>
      <c r="H157">
        <v>0</v>
      </c>
    </row>
    <row r="158" spans="1:8" x14ac:dyDescent="0.15">
      <c r="A158">
        <v>157</v>
      </c>
      <c r="B158" t="s">
        <v>339</v>
      </c>
      <c r="C158" t="s">
        <v>353</v>
      </c>
      <c r="D158" t="s">
        <v>2442</v>
      </c>
      <c r="E158" t="s">
        <v>2437</v>
      </c>
      <c r="F158" s="46">
        <v>46097.325848009263</v>
      </c>
      <c r="G158" s="46">
        <v>46097.325848009263</v>
      </c>
      <c r="H158">
        <v>0</v>
      </c>
    </row>
    <row r="159" spans="1:8" x14ac:dyDescent="0.15">
      <c r="A159">
        <v>158</v>
      </c>
      <c r="B159" t="s">
        <v>339</v>
      </c>
      <c r="C159" t="s">
        <v>353</v>
      </c>
      <c r="D159" t="s">
        <v>2443</v>
      </c>
      <c r="E159" t="s">
        <v>2437</v>
      </c>
      <c r="F159" s="46">
        <v>46097.325848009263</v>
      </c>
      <c r="G159" s="46">
        <v>46097.325848009263</v>
      </c>
      <c r="H159">
        <v>0</v>
      </c>
    </row>
    <row r="160" spans="1:8" x14ac:dyDescent="0.15">
      <c r="A160">
        <v>159</v>
      </c>
      <c r="B160" t="s">
        <v>339</v>
      </c>
      <c r="C160" t="s">
        <v>353</v>
      </c>
      <c r="D160" t="s">
        <v>2444</v>
      </c>
      <c r="E160" t="s">
        <v>2437</v>
      </c>
      <c r="F160" s="46">
        <v>46097.325848009263</v>
      </c>
      <c r="G160" s="46">
        <v>46097.325848009263</v>
      </c>
      <c r="H160">
        <v>0</v>
      </c>
    </row>
    <row r="161" spans="1:8" x14ac:dyDescent="0.15">
      <c r="A161">
        <v>160</v>
      </c>
      <c r="B161" t="s">
        <v>339</v>
      </c>
      <c r="C161" t="s">
        <v>353</v>
      </c>
      <c r="D161" t="s">
        <v>2445</v>
      </c>
      <c r="E161" t="s">
        <v>2446</v>
      </c>
      <c r="F161" s="46">
        <v>46097.325848009263</v>
      </c>
      <c r="G161" s="46">
        <v>46097.325848009263</v>
      </c>
      <c r="H161">
        <v>0</v>
      </c>
    </row>
    <row r="162" spans="1:8" x14ac:dyDescent="0.15">
      <c r="A162">
        <v>161</v>
      </c>
      <c r="B162" t="s">
        <v>339</v>
      </c>
      <c r="C162" t="s">
        <v>353</v>
      </c>
      <c r="D162" t="s">
        <v>2447</v>
      </c>
      <c r="E162" t="s">
        <v>2448</v>
      </c>
      <c r="F162" s="46">
        <v>46097.325848009263</v>
      </c>
      <c r="G162" s="46">
        <v>46097.325848009263</v>
      </c>
      <c r="H162">
        <v>0</v>
      </c>
    </row>
    <row r="163" spans="1:8" x14ac:dyDescent="0.15">
      <c r="A163">
        <v>162</v>
      </c>
      <c r="B163" t="s">
        <v>339</v>
      </c>
      <c r="C163" t="s">
        <v>353</v>
      </c>
      <c r="D163" t="s">
        <v>2449</v>
      </c>
      <c r="E163" t="s">
        <v>2448</v>
      </c>
      <c r="F163" s="46">
        <v>46097.325848009263</v>
      </c>
      <c r="G163" s="46">
        <v>46097.325848009263</v>
      </c>
      <c r="H163">
        <v>0</v>
      </c>
    </row>
    <row r="164" spans="1:8" x14ac:dyDescent="0.15">
      <c r="A164">
        <v>163</v>
      </c>
      <c r="B164" t="s">
        <v>339</v>
      </c>
      <c r="C164" t="s">
        <v>353</v>
      </c>
      <c r="D164" t="s">
        <v>2450</v>
      </c>
      <c r="E164" t="s">
        <v>2451</v>
      </c>
      <c r="F164" s="46">
        <v>46097.325848009263</v>
      </c>
      <c r="G164" s="46">
        <v>46097.325848009263</v>
      </c>
      <c r="H164">
        <v>0</v>
      </c>
    </row>
    <row r="165" spans="1:8" x14ac:dyDescent="0.15">
      <c r="A165">
        <v>164</v>
      </c>
      <c r="B165" t="s">
        <v>339</v>
      </c>
      <c r="C165" t="s">
        <v>353</v>
      </c>
      <c r="D165" t="s">
        <v>2452</v>
      </c>
      <c r="E165" t="s">
        <v>2453</v>
      </c>
      <c r="F165" s="46">
        <v>46097.325848009263</v>
      </c>
      <c r="G165" s="46">
        <v>46097.325848009263</v>
      </c>
      <c r="H165">
        <v>0</v>
      </c>
    </row>
    <row r="166" spans="1:8" x14ac:dyDescent="0.15">
      <c r="A166">
        <v>165</v>
      </c>
      <c r="B166" t="s">
        <v>339</v>
      </c>
      <c r="C166" t="s">
        <v>353</v>
      </c>
      <c r="D166" t="s">
        <v>2454</v>
      </c>
      <c r="E166" t="s">
        <v>2455</v>
      </c>
      <c r="F166" s="46">
        <v>46097.325848009263</v>
      </c>
      <c r="G166" s="46">
        <v>46097.325848009263</v>
      </c>
      <c r="H166">
        <v>0</v>
      </c>
    </row>
    <row r="167" spans="1:8" x14ac:dyDescent="0.15">
      <c r="A167">
        <v>166</v>
      </c>
      <c r="B167" t="s">
        <v>339</v>
      </c>
      <c r="C167" t="s">
        <v>353</v>
      </c>
      <c r="D167" t="s">
        <v>2456</v>
      </c>
      <c r="E167" t="s">
        <v>2457</v>
      </c>
      <c r="F167" s="46">
        <v>46097.325848009263</v>
      </c>
      <c r="G167" s="46">
        <v>46097.325848194443</v>
      </c>
      <c r="H167">
        <v>16</v>
      </c>
    </row>
    <row r="168" spans="1:8" x14ac:dyDescent="0.15">
      <c r="A168">
        <v>167</v>
      </c>
      <c r="B168" t="s">
        <v>339</v>
      </c>
      <c r="C168" t="s">
        <v>353</v>
      </c>
      <c r="D168" t="s">
        <v>2458</v>
      </c>
      <c r="E168" t="s">
        <v>2459</v>
      </c>
      <c r="F168" s="46">
        <v>46097.325848194443</v>
      </c>
      <c r="G168" s="46">
        <v>46097.325848194443</v>
      </c>
      <c r="H168">
        <v>0</v>
      </c>
    </row>
    <row r="169" spans="1:8" x14ac:dyDescent="0.15">
      <c r="A169">
        <v>168</v>
      </c>
      <c r="B169" t="s">
        <v>339</v>
      </c>
      <c r="C169" t="s">
        <v>353</v>
      </c>
      <c r="D169" t="s">
        <v>2460</v>
      </c>
      <c r="E169" t="s">
        <v>2459</v>
      </c>
      <c r="F169" s="46">
        <v>46097.325848194443</v>
      </c>
      <c r="G169" s="46">
        <v>46097.325848194443</v>
      </c>
      <c r="H169">
        <v>0</v>
      </c>
    </row>
    <row r="170" spans="1:8" x14ac:dyDescent="0.15">
      <c r="A170">
        <v>169</v>
      </c>
      <c r="B170" t="s">
        <v>339</v>
      </c>
      <c r="C170" t="s">
        <v>353</v>
      </c>
      <c r="D170" t="s">
        <v>2461</v>
      </c>
      <c r="E170" t="s">
        <v>2462</v>
      </c>
      <c r="F170" s="46">
        <v>46097.325848194443</v>
      </c>
      <c r="G170" s="46">
        <v>46097.325848194443</v>
      </c>
      <c r="H170">
        <v>0</v>
      </c>
    </row>
    <row r="171" spans="1:8" x14ac:dyDescent="0.15">
      <c r="A171">
        <v>170</v>
      </c>
      <c r="B171" t="s">
        <v>339</v>
      </c>
      <c r="C171" t="s">
        <v>353</v>
      </c>
      <c r="D171" t="s">
        <v>2463</v>
      </c>
      <c r="E171" t="s">
        <v>2464</v>
      </c>
      <c r="F171" s="46">
        <v>46097.325848194443</v>
      </c>
      <c r="G171" s="46">
        <v>46097.325848194443</v>
      </c>
      <c r="H171">
        <v>0</v>
      </c>
    </row>
    <row r="172" spans="1:8" x14ac:dyDescent="0.15">
      <c r="A172">
        <v>171</v>
      </c>
      <c r="B172" t="s">
        <v>339</v>
      </c>
      <c r="C172" t="s">
        <v>353</v>
      </c>
      <c r="D172" t="s">
        <v>2465</v>
      </c>
      <c r="E172" t="s">
        <v>2464</v>
      </c>
      <c r="F172" s="46">
        <v>46097.325848194443</v>
      </c>
      <c r="G172" s="46">
        <v>46097.325848194443</v>
      </c>
      <c r="H172">
        <v>0</v>
      </c>
    </row>
    <row r="173" spans="1:8" x14ac:dyDescent="0.15">
      <c r="A173">
        <v>172</v>
      </c>
      <c r="B173" t="s">
        <v>339</v>
      </c>
      <c r="C173" t="s">
        <v>353</v>
      </c>
      <c r="D173" t="s">
        <v>2466</v>
      </c>
      <c r="E173" t="s">
        <v>2467</v>
      </c>
      <c r="F173" s="46">
        <v>46097.325848194443</v>
      </c>
      <c r="G173" s="46">
        <v>46097.325848194443</v>
      </c>
      <c r="H173">
        <v>0</v>
      </c>
    </row>
    <row r="174" spans="1:8" x14ac:dyDescent="0.15">
      <c r="A174">
        <v>173</v>
      </c>
      <c r="B174" t="s">
        <v>339</v>
      </c>
      <c r="C174" t="s">
        <v>353</v>
      </c>
      <c r="D174" t="s">
        <v>2468</v>
      </c>
      <c r="E174" t="s">
        <v>2469</v>
      </c>
      <c r="F174" s="46">
        <v>46097.325848194443</v>
      </c>
      <c r="G174" s="46">
        <v>46097.325848194443</v>
      </c>
      <c r="H174">
        <v>0</v>
      </c>
    </row>
    <row r="175" spans="1:8" x14ac:dyDescent="0.15">
      <c r="A175">
        <v>174</v>
      </c>
      <c r="B175" t="s">
        <v>339</v>
      </c>
      <c r="C175" t="s">
        <v>353</v>
      </c>
      <c r="D175" t="s">
        <v>2470</v>
      </c>
      <c r="E175" t="s">
        <v>2471</v>
      </c>
      <c r="F175" s="46">
        <v>46097.325848194443</v>
      </c>
      <c r="G175" s="46">
        <v>46097.325848194443</v>
      </c>
      <c r="H175">
        <v>0</v>
      </c>
    </row>
    <row r="176" spans="1:8" x14ac:dyDescent="0.15">
      <c r="A176">
        <v>175</v>
      </c>
      <c r="B176" t="s">
        <v>339</v>
      </c>
      <c r="C176" t="s">
        <v>353</v>
      </c>
      <c r="D176" t="s">
        <v>2472</v>
      </c>
      <c r="E176" t="s">
        <v>2473</v>
      </c>
      <c r="F176" s="46">
        <v>46097.325848333327</v>
      </c>
      <c r="G176" s="46">
        <v>46097.325848356479</v>
      </c>
      <c r="H176">
        <v>1</v>
      </c>
    </row>
    <row r="177" spans="1:8" x14ac:dyDescent="0.15">
      <c r="A177">
        <v>176</v>
      </c>
      <c r="B177" t="s">
        <v>339</v>
      </c>
      <c r="C177" t="s">
        <v>353</v>
      </c>
      <c r="D177" t="s">
        <v>2474</v>
      </c>
      <c r="E177" t="s">
        <v>2473</v>
      </c>
      <c r="F177" s="46">
        <v>46097.325848356479</v>
      </c>
      <c r="G177" s="46">
        <v>46097.325848368047</v>
      </c>
      <c r="H177">
        <v>1</v>
      </c>
    </row>
    <row r="178" spans="1:8" x14ac:dyDescent="0.15">
      <c r="A178">
        <v>177</v>
      </c>
      <c r="B178" t="s">
        <v>339</v>
      </c>
      <c r="C178" t="s">
        <v>353</v>
      </c>
      <c r="D178" t="s">
        <v>2475</v>
      </c>
      <c r="E178" t="s">
        <v>2473</v>
      </c>
      <c r="F178" s="46">
        <v>46097.325848368047</v>
      </c>
      <c r="G178" s="46">
        <v>46097.325848391207</v>
      </c>
      <c r="H178">
        <v>2</v>
      </c>
    </row>
    <row r="179" spans="1:8" x14ac:dyDescent="0.15">
      <c r="A179">
        <v>178</v>
      </c>
      <c r="B179" t="s">
        <v>339</v>
      </c>
      <c r="C179" t="s">
        <v>353</v>
      </c>
      <c r="D179" t="s">
        <v>2476</v>
      </c>
      <c r="E179" t="s">
        <v>2473</v>
      </c>
      <c r="F179" s="46">
        <v>46097.325848391207</v>
      </c>
      <c r="G179" s="46">
        <v>46097.325848402783</v>
      </c>
      <c r="H179">
        <v>1</v>
      </c>
    </row>
    <row r="180" spans="1:8" x14ac:dyDescent="0.15">
      <c r="A180">
        <v>179</v>
      </c>
      <c r="B180" t="s">
        <v>339</v>
      </c>
      <c r="C180" t="s">
        <v>353</v>
      </c>
      <c r="D180" t="s">
        <v>2477</v>
      </c>
      <c r="E180" t="s">
        <v>2473</v>
      </c>
      <c r="F180" s="46">
        <v>46097.325848402783</v>
      </c>
      <c r="G180" s="46">
        <v>46097.325848425928</v>
      </c>
      <c r="H180">
        <v>2</v>
      </c>
    </row>
    <row r="181" spans="1:8" x14ac:dyDescent="0.15">
      <c r="A181">
        <v>180</v>
      </c>
      <c r="B181" t="s">
        <v>339</v>
      </c>
      <c r="C181" t="s">
        <v>353</v>
      </c>
      <c r="D181" t="s">
        <v>2478</v>
      </c>
      <c r="E181" t="s">
        <v>2473</v>
      </c>
      <c r="F181" s="46">
        <v>46097.325848425928</v>
      </c>
      <c r="G181" s="46">
        <v>46097.325848437496</v>
      </c>
      <c r="H181">
        <v>2</v>
      </c>
    </row>
    <row r="182" spans="1:8" x14ac:dyDescent="0.15">
      <c r="A182">
        <v>181</v>
      </c>
      <c r="B182" t="s">
        <v>339</v>
      </c>
      <c r="C182" t="s">
        <v>353</v>
      </c>
      <c r="D182" t="s">
        <v>2479</v>
      </c>
      <c r="E182" t="s">
        <v>2473</v>
      </c>
      <c r="F182" s="46">
        <v>46097.325848437496</v>
      </c>
      <c r="G182" s="46">
        <v>46097.325848449073</v>
      </c>
      <c r="H182">
        <v>1</v>
      </c>
    </row>
    <row r="183" spans="1:8" x14ac:dyDescent="0.15">
      <c r="A183">
        <v>182</v>
      </c>
      <c r="B183" t="s">
        <v>339</v>
      </c>
      <c r="C183" t="s">
        <v>353</v>
      </c>
      <c r="D183" t="s">
        <v>2480</v>
      </c>
      <c r="E183" t="s">
        <v>2473</v>
      </c>
      <c r="F183" s="46">
        <v>46097.325848460649</v>
      </c>
      <c r="G183" s="46">
        <v>46097.325848472217</v>
      </c>
      <c r="H183">
        <v>2</v>
      </c>
    </row>
    <row r="184" spans="1:8" x14ac:dyDescent="0.15">
      <c r="A184">
        <v>183</v>
      </c>
      <c r="B184" t="s">
        <v>339</v>
      </c>
      <c r="C184" t="s">
        <v>353</v>
      </c>
      <c r="D184" t="s">
        <v>2481</v>
      </c>
      <c r="E184" t="s">
        <v>2473</v>
      </c>
      <c r="F184" s="46">
        <v>46097.325848472217</v>
      </c>
      <c r="G184" s="46">
        <v>46097.325848483793</v>
      </c>
      <c r="H184">
        <v>0</v>
      </c>
    </row>
    <row r="185" spans="1:8" x14ac:dyDescent="0.15">
      <c r="A185">
        <v>184</v>
      </c>
      <c r="B185" t="s">
        <v>339</v>
      </c>
      <c r="C185" t="s">
        <v>353</v>
      </c>
      <c r="D185" t="s">
        <v>2482</v>
      </c>
      <c r="E185" t="s">
        <v>2473</v>
      </c>
      <c r="F185" s="46">
        <v>46097.325848483793</v>
      </c>
      <c r="G185" s="46">
        <v>46097.325848483793</v>
      </c>
      <c r="H185">
        <v>0</v>
      </c>
    </row>
    <row r="186" spans="1:8" x14ac:dyDescent="0.15">
      <c r="A186">
        <v>185</v>
      </c>
      <c r="B186" t="s">
        <v>339</v>
      </c>
      <c r="C186" t="s">
        <v>353</v>
      </c>
      <c r="D186" t="s">
        <v>2483</v>
      </c>
      <c r="E186" t="s">
        <v>2473</v>
      </c>
      <c r="F186" s="46">
        <v>46097.325848483793</v>
      </c>
      <c r="G186" s="46">
        <v>46097.325848483793</v>
      </c>
      <c r="H186">
        <v>0</v>
      </c>
    </row>
    <row r="187" spans="1:8" x14ac:dyDescent="0.15">
      <c r="A187">
        <v>186</v>
      </c>
      <c r="B187" t="s">
        <v>339</v>
      </c>
      <c r="C187" t="s">
        <v>353</v>
      </c>
      <c r="D187" t="s">
        <v>2484</v>
      </c>
      <c r="E187" t="s">
        <v>2473</v>
      </c>
      <c r="F187" s="46">
        <v>46097.325848483793</v>
      </c>
      <c r="G187" s="46">
        <v>46097.325848483793</v>
      </c>
      <c r="H187">
        <v>0</v>
      </c>
    </row>
    <row r="188" spans="1:8" x14ac:dyDescent="0.15">
      <c r="A188">
        <v>187</v>
      </c>
      <c r="B188" t="s">
        <v>339</v>
      </c>
      <c r="C188" t="s">
        <v>353</v>
      </c>
      <c r="D188" t="s">
        <v>2485</v>
      </c>
      <c r="E188" t="s">
        <v>2473</v>
      </c>
      <c r="F188" s="46">
        <v>46097.325848483793</v>
      </c>
      <c r="G188" s="46">
        <v>46097.325848483793</v>
      </c>
      <c r="H188">
        <v>0</v>
      </c>
    </row>
    <row r="189" spans="1:8" x14ac:dyDescent="0.15">
      <c r="A189">
        <v>188</v>
      </c>
      <c r="B189" t="s">
        <v>339</v>
      </c>
      <c r="C189" t="s">
        <v>353</v>
      </c>
      <c r="D189" t="s">
        <v>2486</v>
      </c>
      <c r="E189" t="s">
        <v>2473</v>
      </c>
      <c r="F189" s="46">
        <v>46097.325848483793</v>
      </c>
      <c r="G189" s="46">
        <v>46097.325848483793</v>
      </c>
      <c r="H189">
        <v>0</v>
      </c>
    </row>
    <row r="190" spans="1:8" x14ac:dyDescent="0.15">
      <c r="A190">
        <v>189</v>
      </c>
      <c r="B190" t="s">
        <v>339</v>
      </c>
      <c r="C190" t="s">
        <v>353</v>
      </c>
      <c r="D190" t="s">
        <v>2487</v>
      </c>
      <c r="E190" t="s">
        <v>2473</v>
      </c>
      <c r="F190" s="46">
        <v>46097.325848483793</v>
      </c>
      <c r="G190" s="46">
        <v>46097.325848483793</v>
      </c>
      <c r="H190">
        <v>0</v>
      </c>
    </row>
    <row r="191" spans="1:8" x14ac:dyDescent="0.15">
      <c r="A191">
        <v>190</v>
      </c>
      <c r="B191" t="s">
        <v>339</v>
      </c>
      <c r="C191" t="s">
        <v>353</v>
      </c>
      <c r="D191" t="s">
        <v>2488</v>
      </c>
      <c r="E191" t="s">
        <v>2473</v>
      </c>
      <c r="F191" s="46">
        <v>46097.325848483793</v>
      </c>
      <c r="G191" s="46">
        <v>46097.325848483793</v>
      </c>
      <c r="H191">
        <v>0</v>
      </c>
    </row>
    <row r="192" spans="1:8" x14ac:dyDescent="0.15">
      <c r="A192">
        <v>191</v>
      </c>
      <c r="B192" t="s">
        <v>339</v>
      </c>
      <c r="C192" t="s">
        <v>353</v>
      </c>
      <c r="D192" t="s">
        <v>2489</v>
      </c>
      <c r="E192" t="s">
        <v>2473</v>
      </c>
      <c r="F192" s="46">
        <v>46097.325848483793</v>
      </c>
      <c r="G192" s="46">
        <v>46097.325848483793</v>
      </c>
      <c r="H192">
        <v>0</v>
      </c>
    </row>
    <row r="193" spans="1:8" x14ac:dyDescent="0.15">
      <c r="A193">
        <v>192</v>
      </c>
      <c r="B193" t="s">
        <v>339</v>
      </c>
      <c r="C193" t="s">
        <v>353</v>
      </c>
      <c r="D193" t="s">
        <v>2490</v>
      </c>
      <c r="E193" t="s">
        <v>2491</v>
      </c>
      <c r="F193" s="46">
        <v>46097.325848483793</v>
      </c>
      <c r="G193" s="46">
        <v>46097.325848483793</v>
      </c>
      <c r="H193">
        <v>0</v>
      </c>
    </row>
    <row r="194" spans="1:8" x14ac:dyDescent="0.15">
      <c r="A194">
        <v>193</v>
      </c>
      <c r="B194" t="s">
        <v>339</v>
      </c>
      <c r="C194" t="s">
        <v>353</v>
      </c>
      <c r="D194" t="s">
        <v>2492</v>
      </c>
      <c r="E194" t="s">
        <v>2491</v>
      </c>
      <c r="F194" s="46">
        <v>46097.325848483793</v>
      </c>
      <c r="G194" s="46">
        <v>46097.325848483793</v>
      </c>
      <c r="H194">
        <v>0</v>
      </c>
    </row>
    <row r="195" spans="1:8" x14ac:dyDescent="0.15">
      <c r="A195">
        <v>194</v>
      </c>
      <c r="B195" t="s">
        <v>339</v>
      </c>
      <c r="C195" t="s">
        <v>353</v>
      </c>
      <c r="D195" t="s">
        <v>2493</v>
      </c>
      <c r="E195" t="s">
        <v>2491</v>
      </c>
      <c r="F195" s="46">
        <v>46097.325848657412</v>
      </c>
      <c r="G195" s="46">
        <v>46097.325848657412</v>
      </c>
      <c r="H195">
        <v>0</v>
      </c>
    </row>
    <row r="196" spans="1:8" x14ac:dyDescent="0.15">
      <c r="A196">
        <v>195</v>
      </c>
      <c r="B196" t="s">
        <v>339</v>
      </c>
      <c r="C196" t="s">
        <v>353</v>
      </c>
      <c r="D196" t="s">
        <v>2494</v>
      </c>
      <c r="E196" t="s">
        <v>2491</v>
      </c>
      <c r="F196" s="46">
        <v>46097.325848657412</v>
      </c>
      <c r="G196" s="46">
        <v>46097.325848657412</v>
      </c>
      <c r="H196">
        <v>0</v>
      </c>
    </row>
    <row r="197" spans="1:8" x14ac:dyDescent="0.15">
      <c r="A197">
        <v>196</v>
      </c>
      <c r="B197" t="s">
        <v>339</v>
      </c>
      <c r="C197" t="s">
        <v>353</v>
      </c>
      <c r="D197" t="s">
        <v>2495</v>
      </c>
      <c r="E197" t="s">
        <v>2491</v>
      </c>
      <c r="F197" s="46">
        <v>46097.325848657412</v>
      </c>
      <c r="G197" s="46">
        <v>46097.325848657412</v>
      </c>
      <c r="H197">
        <v>0</v>
      </c>
    </row>
    <row r="198" spans="1:8" x14ac:dyDescent="0.15">
      <c r="A198">
        <v>197</v>
      </c>
      <c r="B198" t="s">
        <v>339</v>
      </c>
      <c r="C198" t="s">
        <v>353</v>
      </c>
      <c r="D198" t="s">
        <v>2496</v>
      </c>
      <c r="E198" t="s">
        <v>2497</v>
      </c>
      <c r="F198" s="46">
        <v>46097.325848657412</v>
      </c>
      <c r="G198" s="46">
        <v>46097.325848657412</v>
      </c>
      <c r="H198">
        <v>0</v>
      </c>
    </row>
    <row r="199" spans="1:8" x14ac:dyDescent="0.15">
      <c r="A199">
        <v>198</v>
      </c>
      <c r="B199" t="s">
        <v>339</v>
      </c>
      <c r="C199" t="s">
        <v>353</v>
      </c>
      <c r="D199" t="s">
        <v>2498</v>
      </c>
      <c r="E199" t="s">
        <v>2499</v>
      </c>
      <c r="F199" s="46">
        <v>46097.325848657412</v>
      </c>
      <c r="G199" s="46">
        <v>46097.325848657412</v>
      </c>
      <c r="H199">
        <v>0</v>
      </c>
    </row>
    <row r="200" spans="1:8" x14ac:dyDescent="0.15">
      <c r="A200">
        <v>199</v>
      </c>
      <c r="B200" t="s">
        <v>339</v>
      </c>
      <c r="C200" t="s">
        <v>353</v>
      </c>
      <c r="D200" t="s">
        <v>2500</v>
      </c>
      <c r="E200" t="s">
        <v>2501</v>
      </c>
      <c r="F200" s="46">
        <v>46097.325848657412</v>
      </c>
      <c r="G200" s="46">
        <v>46097.325848657412</v>
      </c>
      <c r="H200">
        <v>0</v>
      </c>
    </row>
    <row r="201" spans="1:8" x14ac:dyDescent="0.15">
      <c r="A201">
        <v>200</v>
      </c>
      <c r="B201" t="s">
        <v>339</v>
      </c>
      <c r="C201" t="s">
        <v>353</v>
      </c>
      <c r="D201" t="s">
        <v>2502</v>
      </c>
      <c r="E201" t="s">
        <v>2501</v>
      </c>
      <c r="F201" s="46">
        <v>46097.325848657412</v>
      </c>
      <c r="G201" s="46">
        <v>46097.325848657412</v>
      </c>
      <c r="H201">
        <v>0</v>
      </c>
    </row>
    <row r="202" spans="1:8" x14ac:dyDescent="0.15">
      <c r="A202">
        <v>201</v>
      </c>
      <c r="B202" t="s">
        <v>339</v>
      </c>
      <c r="C202" t="s">
        <v>353</v>
      </c>
      <c r="D202" t="s">
        <v>2503</v>
      </c>
      <c r="E202" t="s">
        <v>2501</v>
      </c>
      <c r="F202" s="46">
        <v>46097.325848657412</v>
      </c>
      <c r="G202" s="46">
        <v>46097.325848657412</v>
      </c>
      <c r="H202">
        <v>0</v>
      </c>
    </row>
    <row r="203" spans="1:8" x14ac:dyDescent="0.15">
      <c r="A203">
        <v>202</v>
      </c>
      <c r="B203" t="s">
        <v>339</v>
      </c>
      <c r="C203" t="s">
        <v>353</v>
      </c>
      <c r="D203" t="s">
        <v>2504</v>
      </c>
      <c r="E203" t="s">
        <v>2505</v>
      </c>
      <c r="F203" s="46">
        <v>46097.325848657412</v>
      </c>
      <c r="G203" s="46">
        <v>46097.325848657412</v>
      </c>
      <c r="H203">
        <v>0</v>
      </c>
    </row>
    <row r="204" spans="1:8" x14ac:dyDescent="0.15">
      <c r="A204">
        <v>203</v>
      </c>
      <c r="B204" t="s">
        <v>339</v>
      </c>
      <c r="C204" t="s">
        <v>353</v>
      </c>
      <c r="D204" t="s">
        <v>2506</v>
      </c>
      <c r="E204" t="s">
        <v>2505</v>
      </c>
      <c r="F204" s="46">
        <v>46097.325848657412</v>
      </c>
      <c r="G204" s="46">
        <v>46097.325848657412</v>
      </c>
      <c r="H204">
        <v>0</v>
      </c>
    </row>
    <row r="205" spans="1:8" x14ac:dyDescent="0.15">
      <c r="A205">
        <v>204</v>
      </c>
      <c r="B205" t="s">
        <v>339</v>
      </c>
      <c r="C205" t="s">
        <v>353</v>
      </c>
      <c r="D205" t="s">
        <v>2507</v>
      </c>
      <c r="E205" t="s">
        <v>2508</v>
      </c>
      <c r="F205" s="46">
        <v>46097.325848657412</v>
      </c>
      <c r="G205" s="46">
        <v>46097.325848842593</v>
      </c>
      <c r="H205">
        <v>15</v>
      </c>
    </row>
    <row r="206" spans="1:8" x14ac:dyDescent="0.15">
      <c r="A206">
        <v>205</v>
      </c>
      <c r="B206" t="s">
        <v>339</v>
      </c>
      <c r="C206" t="s">
        <v>353</v>
      </c>
      <c r="D206" t="s">
        <v>2509</v>
      </c>
      <c r="E206" t="s">
        <v>2508</v>
      </c>
      <c r="F206" s="46">
        <v>46097.325848842593</v>
      </c>
      <c r="G206" s="46">
        <v>46097.325848842593</v>
      </c>
      <c r="H206">
        <v>0</v>
      </c>
    </row>
    <row r="207" spans="1:8" x14ac:dyDescent="0.15">
      <c r="A207">
        <v>206</v>
      </c>
      <c r="B207" t="s">
        <v>339</v>
      </c>
      <c r="C207" t="s">
        <v>353</v>
      </c>
      <c r="D207" t="s">
        <v>2510</v>
      </c>
      <c r="E207" t="s">
        <v>2508</v>
      </c>
      <c r="F207" s="46">
        <v>46097.325848842593</v>
      </c>
      <c r="G207" s="46">
        <v>46097.325848842593</v>
      </c>
      <c r="H207">
        <v>0</v>
      </c>
    </row>
    <row r="208" spans="1:8" x14ac:dyDescent="0.15">
      <c r="A208">
        <v>207</v>
      </c>
      <c r="B208" t="s">
        <v>339</v>
      </c>
      <c r="C208" t="s">
        <v>353</v>
      </c>
      <c r="D208" t="s">
        <v>2511</v>
      </c>
      <c r="E208" t="s">
        <v>2512</v>
      </c>
      <c r="F208" s="46">
        <v>46097.325848842593</v>
      </c>
      <c r="G208" s="46">
        <v>46097.325848842593</v>
      </c>
      <c r="H208">
        <v>0</v>
      </c>
    </row>
    <row r="209" spans="1:8" x14ac:dyDescent="0.15">
      <c r="A209">
        <v>208</v>
      </c>
      <c r="B209" t="s">
        <v>339</v>
      </c>
      <c r="C209" t="s">
        <v>353</v>
      </c>
      <c r="D209" t="s">
        <v>2513</v>
      </c>
      <c r="E209" t="s">
        <v>2514</v>
      </c>
      <c r="F209" s="46">
        <v>46097.325848842593</v>
      </c>
      <c r="G209" s="46">
        <v>46097.325848842593</v>
      </c>
      <c r="H209">
        <v>0</v>
      </c>
    </row>
    <row r="210" spans="1:8" x14ac:dyDescent="0.15">
      <c r="A210">
        <v>209</v>
      </c>
      <c r="B210" t="s">
        <v>339</v>
      </c>
      <c r="C210" t="s">
        <v>353</v>
      </c>
      <c r="D210" t="s">
        <v>2515</v>
      </c>
      <c r="E210" t="s">
        <v>2516</v>
      </c>
      <c r="F210" s="46">
        <v>46097.325848842593</v>
      </c>
      <c r="G210" s="46">
        <v>46097.325848842593</v>
      </c>
      <c r="H210">
        <v>0</v>
      </c>
    </row>
    <row r="211" spans="1:8" x14ac:dyDescent="0.15">
      <c r="A211">
        <v>210</v>
      </c>
      <c r="B211" t="s">
        <v>339</v>
      </c>
      <c r="C211" t="s">
        <v>353</v>
      </c>
      <c r="D211" t="s">
        <v>2517</v>
      </c>
      <c r="E211" t="s">
        <v>2518</v>
      </c>
      <c r="F211" s="46">
        <v>46097.325848842593</v>
      </c>
      <c r="G211" s="46">
        <v>46097.325848842593</v>
      </c>
      <c r="H211">
        <v>0</v>
      </c>
    </row>
    <row r="212" spans="1:8" x14ac:dyDescent="0.15">
      <c r="A212">
        <v>211</v>
      </c>
      <c r="B212" t="s">
        <v>339</v>
      </c>
      <c r="C212" t="s">
        <v>353</v>
      </c>
      <c r="D212" t="s">
        <v>2519</v>
      </c>
      <c r="E212" t="s">
        <v>2520</v>
      </c>
      <c r="F212" s="46">
        <v>46097.325848842593</v>
      </c>
      <c r="G212" s="46">
        <v>46097.325848842593</v>
      </c>
      <c r="H212">
        <v>0</v>
      </c>
    </row>
    <row r="213" spans="1:8" x14ac:dyDescent="0.15">
      <c r="A213">
        <v>212</v>
      </c>
      <c r="B213" t="s">
        <v>339</v>
      </c>
      <c r="C213" t="s">
        <v>353</v>
      </c>
      <c r="D213" t="s">
        <v>2521</v>
      </c>
      <c r="E213" t="s">
        <v>2520</v>
      </c>
      <c r="F213" s="46">
        <v>46097.325848842593</v>
      </c>
      <c r="G213" s="46">
        <v>46097.325848842593</v>
      </c>
      <c r="H213">
        <v>0</v>
      </c>
    </row>
    <row r="214" spans="1:8" x14ac:dyDescent="0.15">
      <c r="A214">
        <v>213</v>
      </c>
      <c r="B214" t="s">
        <v>339</v>
      </c>
      <c r="C214" t="s">
        <v>353</v>
      </c>
      <c r="D214" t="s">
        <v>2522</v>
      </c>
      <c r="E214" t="s">
        <v>2520</v>
      </c>
      <c r="F214" s="46">
        <v>46097.325848842593</v>
      </c>
      <c r="G214" s="46">
        <v>46097.325848842593</v>
      </c>
      <c r="H214">
        <v>0</v>
      </c>
    </row>
    <row r="215" spans="1:8" x14ac:dyDescent="0.15">
      <c r="A215">
        <v>214</v>
      </c>
      <c r="B215" t="s">
        <v>339</v>
      </c>
      <c r="C215" t="s">
        <v>353</v>
      </c>
      <c r="D215" t="s">
        <v>2523</v>
      </c>
      <c r="E215" t="s">
        <v>2520</v>
      </c>
      <c r="F215" s="46">
        <v>46097.325848842593</v>
      </c>
      <c r="G215" s="46">
        <v>46097.325848842593</v>
      </c>
      <c r="H215">
        <v>0</v>
      </c>
    </row>
    <row r="216" spans="1:8" x14ac:dyDescent="0.15">
      <c r="A216">
        <v>215</v>
      </c>
      <c r="B216" t="s">
        <v>339</v>
      </c>
      <c r="C216" t="s">
        <v>353</v>
      </c>
      <c r="D216" t="s">
        <v>2524</v>
      </c>
      <c r="E216" t="s">
        <v>2525</v>
      </c>
      <c r="F216" s="46">
        <v>46097.325848842593</v>
      </c>
      <c r="G216" s="46">
        <v>46097.32584902778</v>
      </c>
      <c r="H216">
        <v>16</v>
      </c>
    </row>
    <row r="217" spans="1:8" x14ac:dyDescent="0.15">
      <c r="A217">
        <v>216</v>
      </c>
      <c r="B217" t="s">
        <v>339</v>
      </c>
      <c r="C217" t="s">
        <v>353</v>
      </c>
      <c r="D217" t="s">
        <v>2526</v>
      </c>
      <c r="E217" t="s">
        <v>2525</v>
      </c>
      <c r="F217" s="46">
        <v>46097.32584902778</v>
      </c>
      <c r="G217" s="46">
        <v>46097.32584902778</v>
      </c>
      <c r="H217">
        <v>0</v>
      </c>
    </row>
    <row r="218" spans="1:8" x14ac:dyDescent="0.15">
      <c r="A218">
        <v>217</v>
      </c>
      <c r="B218" t="s">
        <v>339</v>
      </c>
      <c r="C218" t="s">
        <v>353</v>
      </c>
      <c r="D218" t="s">
        <v>2527</v>
      </c>
      <c r="E218" t="s">
        <v>2525</v>
      </c>
      <c r="F218" s="46">
        <v>46097.32584902778</v>
      </c>
      <c r="G218" s="46">
        <v>46097.32584902778</v>
      </c>
      <c r="H218">
        <v>0</v>
      </c>
    </row>
    <row r="219" spans="1:8" x14ac:dyDescent="0.15">
      <c r="A219">
        <v>218</v>
      </c>
      <c r="B219" t="s">
        <v>339</v>
      </c>
      <c r="C219" t="s">
        <v>353</v>
      </c>
      <c r="D219" t="s">
        <v>2528</v>
      </c>
      <c r="E219" t="s">
        <v>2529</v>
      </c>
      <c r="F219" s="46">
        <v>46097.32584902778</v>
      </c>
      <c r="G219" s="46">
        <v>46097.32584902778</v>
      </c>
      <c r="H219">
        <v>0</v>
      </c>
    </row>
    <row r="220" spans="1:8" x14ac:dyDescent="0.15">
      <c r="A220">
        <v>219</v>
      </c>
      <c r="B220" t="s">
        <v>339</v>
      </c>
      <c r="C220" t="s">
        <v>353</v>
      </c>
      <c r="D220" t="s">
        <v>2530</v>
      </c>
      <c r="E220" t="s">
        <v>2529</v>
      </c>
      <c r="F220" s="46">
        <v>46097.32584902778</v>
      </c>
      <c r="G220" s="46">
        <v>46097.32584902778</v>
      </c>
      <c r="H220">
        <v>0</v>
      </c>
    </row>
    <row r="221" spans="1:8" x14ac:dyDescent="0.15">
      <c r="A221">
        <v>220</v>
      </c>
      <c r="B221" t="s">
        <v>339</v>
      </c>
      <c r="C221" t="s">
        <v>353</v>
      </c>
      <c r="D221" t="s">
        <v>2531</v>
      </c>
      <c r="E221" t="s">
        <v>2529</v>
      </c>
      <c r="F221" s="46">
        <v>46097.32584902778</v>
      </c>
      <c r="G221" s="46">
        <v>46097.32584902778</v>
      </c>
      <c r="H221">
        <v>0</v>
      </c>
    </row>
    <row r="222" spans="1:8" x14ac:dyDescent="0.15">
      <c r="A222">
        <v>221</v>
      </c>
      <c r="B222" t="s">
        <v>339</v>
      </c>
      <c r="C222" t="s">
        <v>353</v>
      </c>
      <c r="D222" t="s">
        <v>2532</v>
      </c>
      <c r="E222" t="s">
        <v>2529</v>
      </c>
      <c r="F222" s="46">
        <v>46097.32584902778</v>
      </c>
      <c r="G222" s="46">
        <v>46097.32584902778</v>
      </c>
      <c r="H222">
        <v>0</v>
      </c>
    </row>
    <row r="223" spans="1:8" x14ac:dyDescent="0.15">
      <c r="A223">
        <v>222</v>
      </c>
      <c r="B223" t="s">
        <v>339</v>
      </c>
      <c r="C223" t="s">
        <v>353</v>
      </c>
      <c r="D223" t="s">
        <v>2533</v>
      </c>
      <c r="E223" t="s">
        <v>2529</v>
      </c>
      <c r="F223" s="46">
        <v>46097.32584902778</v>
      </c>
      <c r="G223" s="46">
        <v>46097.32584902778</v>
      </c>
      <c r="H223">
        <v>0</v>
      </c>
    </row>
    <row r="224" spans="1:8" x14ac:dyDescent="0.15">
      <c r="A224">
        <v>223</v>
      </c>
      <c r="B224" t="s">
        <v>339</v>
      </c>
      <c r="C224" t="s">
        <v>353</v>
      </c>
      <c r="D224" t="s">
        <v>2534</v>
      </c>
      <c r="E224" t="s">
        <v>2535</v>
      </c>
      <c r="F224" s="46">
        <v>46097.32584902778</v>
      </c>
      <c r="G224" s="46">
        <v>46097.32584902778</v>
      </c>
      <c r="H224">
        <v>0</v>
      </c>
    </row>
    <row r="225" spans="1:8" x14ac:dyDescent="0.15">
      <c r="A225">
        <v>224</v>
      </c>
      <c r="B225" t="s">
        <v>339</v>
      </c>
      <c r="C225" t="s">
        <v>353</v>
      </c>
      <c r="D225" t="s">
        <v>2536</v>
      </c>
      <c r="E225" t="s">
        <v>2535</v>
      </c>
      <c r="F225" s="46">
        <v>46097.32584902778</v>
      </c>
      <c r="G225" s="46">
        <v>46097.32584902778</v>
      </c>
      <c r="H225">
        <v>0</v>
      </c>
    </row>
    <row r="226" spans="1:8" x14ac:dyDescent="0.15">
      <c r="A226">
        <v>225</v>
      </c>
      <c r="B226" t="s">
        <v>339</v>
      </c>
      <c r="C226" t="s">
        <v>353</v>
      </c>
      <c r="D226" t="s">
        <v>2537</v>
      </c>
      <c r="E226" t="s">
        <v>2538</v>
      </c>
      <c r="F226" s="46">
        <v>46097.32584902778</v>
      </c>
      <c r="G226" s="46">
        <v>46097.325849201392</v>
      </c>
      <c r="H226">
        <v>16</v>
      </c>
    </row>
    <row r="227" spans="1:8" x14ac:dyDescent="0.15">
      <c r="A227">
        <v>226</v>
      </c>
      <c r="B227" t="s">
        <v>339</v>
      </c>
      <c r="C227" t="s">
        <v>353</v>
      </c>
      <c r="D227" t="s">
        <v>2539</v>
      </c>
      <c r="E227" t="s">
        <v>2538</v>
      </c>
      <c r="F227" s="46">
        <v>46097.325849201392</v>
      </c>
      <c r="G227" s="46">
        <v>46097.325849201392</v>
      </c>
      <c r="H227">
        <v>0</v>
      </c>
    </row>
    <row r="228" spans="1:8" x14ac:dyDescent="0.15">
      <c r="A228">
        <v>227</v>
      </c>
      <c r="B228" t="s">
        <v>339</v>
      </c>
      <c r="C228" t="s">
        <v>353</v>
      </c>
      <c r="D228" t="s">
        <v>2540</v>
      </c>
      <c r="E228" t="s">
        <v>2538</v>
      </c>
      <c r="F228" s="46">
        <v>46097.325849201392</v>
      </c>
      <c r="G228" s="46">
        <v>46097.325849201392</v>
      </c>
      <c r="H228">
        <v>0</v>
      </c>
    </row>
    <row r="229" spans="1:8" x14ac:dyDescent="0.15">
      <c r="A229">
        <v>228</v>
      </c>
      <c r="B229" t="s">
        <v>339</v>
      </c>
      <c r="C229" t="s">
        <v>353</v>
      </c>
      <c r="D229" t="s">
        <v>2541</v>
      </c>
      <c r="E229" t="s">
        <v>2538</v>
      </c>
      <c r="F229" s="46">
        <v>46097.325849201392</v>
      </c>
      <c r="G229" s="46">
        <v>46097.325849201392</v>
      </c>
      <c r="H229">
        <v>0</v>
      </c>
    </row>
    <row r="230" spans="1:8" x14ac:dyDescent="0.15">
      <c r="A230">
        <v>229</v>
      </c>
      <c r="B230" t="s">
        <v>339</v>
      </c>
      <c r="C230" t="s">
        <v>353</v>
      </c>
      <c r="D230" t="s">
        <v>2542</v>
      </c>
      <c r="E230" t="s">
        <v>2543</v>
      </c>
      <c r="F230" s="46">
        <v>46097.325849201392</v>
      </c>
      <c r="G230" s="46">
        <v>46097.325849201392</v>
      </c>
      <c r="H230">
        <v>0</v>
      </c>
    </row>
    <row r="231" spans="1:8" x14ac:dyDescent="0.15">
      <c r="A231">
        <v>230</v>
      </c>
      <c r="B231" t="s">
        <v>339</v>
      </c>
      <c r="C231" t="s">
        <v>353</v>
      </c>
      <c r="D231" t="s">
        <v>2544</v>
      </c>
      <c r="E231" t="s">
        <v>2543</v>
      </c>
      <c r="F231" s="46">
        <v>46097.325849201392</v>
      </c>
      <c r="G231" s="46">
        <v>46097.325849201392</v>
      </c>
      <c r="H231">
        <v>0</v>
      </c>
    </row>
    <row r="232" spans="1:8" x14ac:dyDescent="0.15">
      <c r="A232">
        <v>231</v>
      </c>
      <c r="B232" t="s">
        <v>339</v>
      </c>
      <c r="C232" t="s">
        <v>353</v>
      </c>
      <c r="D232" t="s">
        <v>2545</v>
      </c>
      <c r="E232" t="s">
        <v>2543</v>
      </c>
      <c r="F232" s="46">
        <v>46097.325849201392</v>
      </c>
      <c r="G232" s="46">
        <v>46097.325849201392</v>
      </c>
      <c r="H232">
        <v>0</v>
      </c>
    </row>
    <row r="233" spans="1:8" x14ac:dyDescent="0.15">
      <c r="A233">
        <v>232</v>
      </c>
      <c r="B233" t="s">
        <v>339</v>
      </c>
      <c r="C233" t="s">
        <v>353</v>
      </c>
      <c r="D233" t="s">
        <v>2546</v>
      </c>
      <c r="E233" t="s">
        <v>2543</v>
      </c>
      <c r="F233" s="46">
        <v>46097.325849201392</v>
      </c>
      <c r="G233" s="46">
        <v>46097.325849201392</v>
      </c>
      <c r="H233">
        <v>0</v>
      </c>
    </row>
    <row r="234" spans="1:8" x14ac:dyDescent="0.15">
      <c r="A234">
        <v>233</v>
      </c>
      <c r="B234" t="s">
        <v>339</v>
      </c>
      <c r="C234" t="s">
        <v>353</v>
      </c>
      <c r="D234" t="s">
        <v>2547</v>
      </c>
      <c r="E234" t="s">
        <v>2543</v>
      </c>
      <c r="F234" s="46">
        <v>46097.325849201392</v>
      </c>
      <c r="G234" s="46">
        <v>46097.325849201392</v>
      </c>
      <c r="H234">
        <v>0</v>
      </c>
    </row>
    <row r="235" spans="1:8" x14ac:dyDescent="0.15">
      <c r="A235">
        <v>234</v>
      </c>
      <c r="B235" t="s">
        <v>339</v>
      </c>
      <c r="C235" t="s">
        <v>353</v>
      </c>
      <c r="D235" t="s">
        <v>2548</v>
      </c>
      <c r="E235" t="s">
        <v>2549</v>
      </c>
      <c r="F235" s="46">
        <v>46097.325849201392</v>
      </c>
      <c r="G235" s="46">
        <v>46097.325849201392</v>
      </c>
      <c r="H235">
        <v>0</v>
      </c>
    </row>
    <row r="236" spans="1:8" x14ac:dyDescent="0.15">
      <c r="A236">
        <v>235</v>
      </c>
      <c r="B236" t="s">
        <v>339</v>
      </c>
      <c r="C236" t="s">
        <v>353</v>
      </c>
      <c r="D236" t="s">
        <v>2550</v>
      </c>
      <c r="E236" t="s">
        <v>2549</v>
      </c>
      <c r="F236" s="46">
        <v>46097.325849201392</v>
      </c>
      <c r="G236" s="46">
        <v>46097.325849386572</v>
      </c>
      <c r="H236">
        <v>15</v>
      </c>
    </row>
    <row r="237" spans="1:8" x14ac:dyDescent="0.15">
      <c r="A237">
        <v>236</v>
      </c>
      <c r="B237" t="s">
        <v>339</v>
      </c>
      <c r="C237" t="s">
        <v>353</v>
      </c>
      <c r="D237" t="s">
        <v>2551</v>
      </c>
      <c r="E237" t="s">
        <v>2552</v>
      </c>
      <c r="F237" s="46">
        <v>46097.325849386572</v>
      </c>
      <c r="G237" s="46">
        <v>46097.325849386572</v>
      </c>
      <c r="H237">
        <v>0</v>
      </c>
    </row>
    <row r="238" spans="1:8" x14ac:dyDescent="0.15">
      <c r="A238">
        <v>237</v>
      </c>
      <c r="B238" t="s">
        <v>339</v>
      </c>
      <c r="C238" t="s">
        <v>353</v>
      </c>
      <c r="D238" t="s">
        <v>2553</v>
      </c>
      <c r="E238" t="s">
        <v>2554</v>
      </c>
      <c r="F238" s="46">
        <v>46097.325849386572</v>
      </c>
      <c r="G238" s="46">
        <v>46097.325849386572</v>
      </c>
      <c r="H238">
        <v>0</v>
      </c>
    </row>
    <row r="239" spans="1:8" x14ac:dyDescent="0.15">
      <c r="A239">
        <v>238</v>
      </c>
      <c r="B239" t="s">
        <v>339</v>
      </c>
      <c r="C239" t="s">
        <v>353</v>
      </c>
      <c r="D239" t="s">
        <v>2555</v>
      </c>
      <c r="E239" t="s">
        <v>2556</v>
      </c>
      <c r="F239" s="46">
        <v>46097.325849386572</v>
      </c>
      <c r="G239" s="46">
        <v>46097.325849386572</v>
      </c>
      <c r="H239">
        <v>0</v>
      </c>
    </row>
    <row r="240" spans="1:8" x14ac:dyDescent="0.15">
      <c r="A240">
        <v>239</v>
      </c>
      <c r="B240" t="s">
        <v>339</v>
      </c>
      <c r="C240" t="s">
        <v>353</v>
      </c>
      <c r="D240" t="s">
        <v>2557</v>
      </c>
      <c r="E240" t="s">
        <v>2558</v>
      </c>
      <c r="F240" s="46">
        <v>46097.325849386572</v>
      </c>
      <c r="G240" s="46">
        <v>46097.325849386572</v>
      </c>
      <c r="H240">
        <v>0</v>
      </c>
    </row>
    <row r="241" spans="1:8" x14ac:dyDescent="0.15">
      <c r="A241">
        <v>240</v>
      </c>
      <c r="B241" t="s">
        <v>339</v>
      </c>
      <c r="C241" t="s">
        <v>353</v>
      </c>
      <c r="D241" t="s">
        <v>2559</v>
      </c>
      <c r="E241" t="s">
        <v>2560</v>
      </c>
      <c r="F241" s="46">
        <v>46097.325849386572</v>
      </c>
      <c r="G241" s="46">
        <v>46097.325849386572</v>
      </c>
      <c r="H241">
        <v>0</v>
      </c>
    </row>
    <row r="242" spans="1:8" x14ac:dyDescent="0.15">
      <c r="A242">
        <v>241</v>
      </c>
      <c r="B242" t="s">
        <v>339</v>
      </c>
      <c r="C242" t="s">
        <v>353</v>
      </c>
      <c r="D242" t="s">
        <v>2561</v>
      </c>
      <c r="E242" t="s">
        <v>2560</v>
      </c>
      <c r="F242" s="46">
        <v>46097.325849386572</v>
      </c>
      <c r="G242" s="46">
        <v>46097.325849386572</v>
      </c>
      <c r="H242">
        <v>0</v>
      </c>
    </row>
    <row r="243" spans="1:8" x14ac:dyDescent="0.15">
      <c r="A243">
        <v>242</v>
      </c>
      <c r="B243" t="s">
        <v>339</v>
      </c>
      <c r="C243" t="s">
        <v>353</v>
      </c>
      <c r="D243" t="s">
        <v>2562</v>
      </c>
      <c r="E243" t="s">
        <v>2563</v>
      </c>
      <c r="F243" s="46">
        <v>46097.325849386572</v>
      </c>
      <c r="G243" s="46">
        <v>46097.325849513887</v>
      </c>
      <c r="H243">
        <v>11</v>
      </c>
    </row>
    <row r="244" spans="1:8" x14ac:dyDescent="0.15">
      <c r="A244">
        <v>243</v>
      </c>
      <c r="B244" t="s">
        <v>339</v>
      </c>
      <c r="C244" t="s">
        <v>353</v>
      </c>
      <c r="D244" t="s">
        <v>2564</v>
      </c>
      <c r="E244" t="s">
        <v>2565</v>
      </c>
      <c r="F244" s="46">
        <v>46097.325849513887</v>
      </c>
      <c r="G244" s="46">
        <v>46097.325849513887</v>
      </c>
      <c r="H244">
        <v>0</v>
      </c>
    </row>
    <row r="245" spans="1:8" x14ac:dyDescent="0.15">
      <c r="A245">
        <v>244</v>
      </c>
      <c r="B245" t="s">
        <v>339</v>
      </c>
      <c r="C245" t="s">
        <v>353</v>
      </c>
      <c r="D245" t="s">
        <v>2566</v>
      </c>
      <c r="E245" t="s">
        <v>2567</v>
      </c>
      <c r="F245" s="46">
        <v>46097.325849513887</v>
      </c>
      <c r="G245" s="46">
        <v>46097.325849513887</v>
      </c>
      <c r="H245">
        <v>0</v>
      </c>
    </row>
    <row r="246" spans="1:8" x14ac:dyDescent="0.15">
      <c r="A246">
        <v>245</v>
      </c>
      <c r="B246" t="s">
        <v>339</v>
      </c>
      <c r="C246" t="s">
        <v>353</v>
      </c>
      <c r="D246" t="s">
        <v>2568</v>
      </c>
      <c r="E246" t="s">
        <v>2569</v>
      </c>
      <c r="F246" s="46">
        <v>46097.325849513887</v>
      </c>
      <c r="G246" s="46">
        <v>46097.325849513887</v>
      </c>
      <c r="H246">
        <v>0</v>
      </c>
    </row>
    <row r="247" spans="1:8" x14ac:dyDescent="0.15">
      <c r="A247">
        <v>246</v>
      </c>
      <c r="B247" t="s">
        <v>339</v>
      </c>
      <c r="C247" t="s">
        <v>353</v>
      </c>
      <c r="D247" t="s">
        <v>2570</v>
      </c>
      <c r="E247" t="s">
        <v>2571</v>
      </c>
      <c r="F247" s="46">
        <v>46097.325849513887</v>
      </c>
      <c r="G247" s="46">
        <v>46097.325849513887</v>
      </c>
      <c r="H247">
        <v>0</v>
      </c>
    </row>
    <row r="248" spans="1:8" x14ac:dyDescent="0.15">
      <c r="A248">
        <v>247</v>
      </c>
      <c r="B248" t="s">
        <v>339</v>
      </c>
      <c r="C248" t="s">
        <v>353</v>
      </c>
      <c r="D248" t="s">
        <v>2572</v>
      </c>
      <c r="E248" t="s">
        <v>2573</v>
      </c>
      <c r="F248" s="46">
        <v>46097.325849513887</v>
      </c>
      <c r="G248" s="46">
        <v>46097.325849513887</v>
      </c>
      <c r="H248">
        <v>0</v>
      </c>
    </row>
    <row r="249" spans="1:8" x14ac:dyDescent="0.15">
      <c r="A249">
        <v>248</v>
      </c>
      <c r="B249" t="s">
        <v>339</v>
      </c>
      <c r="C249" t="s">
        <v>353</v>
      </c>
      <c r="D249" t="s">
        <v>2574</v>
      </c>
      <c r="E249" t="s">
        <v>2573</v>
      </c>
      <c r="F249" s="46">
        <v>46097.325849513887</v>
      </c>
      <c r="G249" s="46">
        <v>46097.325849513887</v>
      </c>
      <c r="H249">
        <v>0</v>
      </c>
    </row>
    <row r="250" spans="1:8" x14ac:dyDescent="0.15">
      <c r="A250">
        <v>249</v>
      </c>
      <c r="B250" t="s">
        <v>339</v>
      </c>
      <c r="C250" t="s">
        <v>353</v>
      </c>
      <c r="D250" t="s">
        <v>2575</v>
      </c>
      <c r="E250" t="s">
        <v>2576</v>
      </c>
      <c r="F250" s="46">
        <v>46097.325849513887</v>
      </c>
      <c r="G250" s="46">
        <v>46097.325849513887</v>
      </c>
      <c r="H250">
        <v>0</v>
      </c>
    </row>
    <row r="251" spans="1:8" x14ac:dyDescent="0.15">
      <c r="A251">
        <v>250</v>
      </c>
      <c r="B251" t="s">
        <v>339</v>
      </c>
      <c r="C251" t="s">
        <v>353</v>
      </c>
      <c r="D251" t="s">
        <v>2577</v>
      </c>
      <c r="E251" t="s">
        <v>2578</v>
      </c>
      <c r="F251" s="46">
        <v>46097.325849513887</v>
      </c>
      <c r="G251" s="46">
        <v>46097.325849513887</v>
      </c>
      <c r="H251">
        <v>0</v>
      </c>
    </row>
    <row r="252" spans="1:8" x14ac:dyDescent="0.15">
      <c r="A252">
        <v>251</v>
      </c>
      <c r="B252" t="s">
        <v>339</v>
      </c>
      <c r="C252" t="s">
        <v>353</v>
      </c>
      <c r="D252" t="s">
        <v>2579</v>
      </c>
      <c r="E252" t="s">
        <v>2580</v>
      </c>
      <c r="F252" s="46">
        <v>46097.325849513887</v>
      </c>
      <c r="G252" s="46">
        <v>46097.325849513887</v>
      </c>
      <c r="H252">
        <v>0</v>
      </c>
    </row>
    <row r="253" spans="1:8" x14ac:dyDescent="0.15">
      <c r="A253">
        <v>252</v>
      </c>
      <c r="B253" t="s">
        <v>339</v>
      </c>
      <c r="C253" t="s">
        <v>353</v>
      </c>
      <c r="D253" t="s">
        <v>2581</v>
      </c>
      <c r="E253" t="s">
        <v>2580</v>
      </c>
      <c r="F253" s="46">
        <v>46097.325849513887</v>
      </c>
      <c r="G253" s="46">
        <v>46097.325849687499</v>
      </c>
      <c r="H253">
        <v>16</v>
      </c>
    </row>
    <row r="254" spans="1:8" x14ac:dyDescent="0.15">
      <c r="A254">
        <v>253</v>
      </c>
      <c r="B254" t="s">
        <v>339</v>
      </c>
      <c r="C254" t="s">
        <v>353</v>
      </c>
      <c r="D254" t="s">
        <v>2582</v>
      </c>
      <c r="E254" t="s">
        <v>2580</v>
      </c>
      <c r="F254" s="46">
        <v>46097.325849687499</v>
      </c>
      <c r="G254" s="46">
        <v>46097.325849687499</v>
      </c>
      <c r="H254">
        <v>0</v>
      </c>
    </row>
    <row r="255" spans="1:8" x14ac:dyDescent="0.15">
      <c r="A255">
        <v>254</v>
      </c>
      <c r="B255" t="s">
        <v>339</v>
      </c>
      <c r="C255" t="s">
        <v>353</v>
      </c>
      <c r="D255" t="s">
        <v>2583</v>
      </c>
      <c r="E255" t="s">
        <v>2584</v>
      </c>
      <c r="F255" s="46">
        <v>46097.325849687499</v>
      </c>
      <c r="G255" s="46">
        <v>46097.325849687499</v>
      </c>
      <c r="H255">
        <v>0</v>
      </c>
    </row>
    <row r="256" spans="1:8" x14ac:dyDescent="0.15">
      <c r="A256">
        <v>255</v>
      </c>
      <c r="B256" t="s">
        <v>339</v>
      </c>
      <c r="C256" t="s">
        <v>353</v>
      </c>
      <c r="D256" t="s">
        <v>2585</v>
      </c>
      <c r="E256" t="s">
        <v>2584</v>
      </c>
      <c r="F256" s="46">
        <v>46097.325849687499</v>
      </c>
      <c r="G256" s="46">
        <v>46097.325849687499</v>
      </c>
      <c r="H256">
        <v>0</v>
      </c>
    </row>
    <row r="257" spans="1:8" x14ac:dyDescent="0.15">
      <c r="A257">
        <v>256</v>
      </c>
      <c r="B257" t="s">
        <v>339</v>
      </c>
      <c r="C257" t="s">
        <v>353</v>
      </c>
      <c r="D257" t="s">
        <v>2586</v>
      </c>
      <c r="E257" t="s">
        <v>2584</v>
      </c>
      <c r="F257" s="46">
        <v>46097.325849687499</v>
      </c>
      <c r="G257" s="46">
        <v>46097.325849687499</v>
      </c>
      <c r="H257">
        <v>0</v>
      </c>
    </row>
    <row r="258" spans="1:8" x14ac:dyDescent="0.15">
      <c r="A258">
        <v>257</v>
      </c>
      <c r="B258" t="s">
        <v>339</v>
      </c>
      <c r="C258" t="s">
        <v>353</v>
      </c>
      <c r="D258" t="s">
        <v>2587</v>
      </c>
      <c r="E258" t="s">
        <v>2588</v>
      </c>
      <c r="F258" s="46">
        <v>46097.325849687499</v>
      </c>
      <c r="G258" s="46">
        <v>46097.325849687499</v>
      </c>
      <c r="H258">
        <v>0</v>
      </c>
    </row>
    <row r="259" spans="1:8" x14ac:dyDescent="0.15">
      <c r="A259">
        <v>258</v>
      </c>
      <c r="B259" t="s">
        <v>339</v>
      </c>
      <c r="C259" t="s">
        <v>353</v>
      </c>
      <c r="D259" t="s">
        <v>2589</v>
      </c>
      <c r="E259" t="s">
        <v>2590</v>
      </c>
      <c r="F259" s="46">
        <v>46097.325849687499</v>
      </c>
      <c r="G259" s="46">
        <v>46097.325849687499</v>
      </c>
      <c r="H259">
        <v>0</v>
      </c>
    </row>
    <row r="260" spans="1:8" x14ac:dyDescent="0.15">
      <c r="A260">
        <v>259</v>
      </c>
      <c r="B260" t="s">
        <v>339</v>
      </c>
      <c r="C260" t="s">
        <v>353</v>
      </c>
      <c r="D260" t="s">
        <v>2591</v>
      </c>
      <c r="E260" t="s">
        <v>2590</v>
      </c>
      <c r="F260" s="46">
        <v>46097.325849687499</v>
      </c>
      <c r="G260" s="46">
        <v>46097.325849687499</v>
      </c>
      <c r="H260">
        <v>0</v>
      </c>
    </row>
    <row r="261" spans="1:8" x14ac:dyDescent="0.15">
      <c r="A261">
        <v>260</v>
      </c>
      <c r="B261" t="s">
        <v>339</v>
      </c>
      <c r="C261" t="s">
        <v>353</v>
      </c>
      <c r="D261" t="s">
        <v>2592</v>
      </c>
      <c r="E261" t="s">
        <v>2593</v>
      </c>
      <c r="F261" s="46">
        <v>46097.325849687499</v>
      </c>
      <c r="G261" s="46">
        <v>46097.325849687499</v>
      </c>
      <c r="H261">
        <v>0</v>
      </c>
    </row>
    <row r="262" spans="1:8" x14ac:dyDescent="0.15">
      <c r="A262">
        <v>261</v>
      </c>
      <c r="B262" t="s">
        <v>339</v>
      </c>
      <c r="C262" t="s">
        <v>353</v>
      </c>
      <c r="D262" t="s">
        <v>2594</v>
      </c>
      <c r="E262" t="s">
        <v>2595</v>
      </c>
      <c r="F262" s="46">
        <v>46097.325849687499</v>
      </c>
      <c r="G262" s="46">
        <v>46097.325849687499</v>
      </c>
      <c r="H262">
        <v>0</v>
      </c>
    </row>
    <row r="263" spans="1:8" x14ac:dyDescent="0.15">
      <c r="A263">
        <v>262</v>
      </c>
      <c r="B263" t="s">
        <v>339</v>
      </c>
      <c r="C263" t="s">
        <v>353</v>
      </c>
      <c r="D263" t="s">
        <v>2596</v>
      </c>
      <c r="E263" t="s">
        <v>2597</v>
      </c>
      <c r="F263" s="46">
        <v>46097.325849687499</v>
      </c>
      <c r="G263" s="46">
        <v>46097.325849687499</v>
      </c>
      <c r="H263">
        <v>0</v>
      </c>
    </row>
    <row r="264" spans="1:8" x14ac:dyDescent="0.15">
      <c r="A264">
        <v>263</v>
      </c>
      <c r="B264" t="s">
        <v>339</v>
      </c>
      <c r="C264" t="s">
        <v>353</v>
      </c>
      <c r="D264" t="s">
        <v>2598</v>
      </c>
      <c r="E264" t="s">
        <v>2599</v>
      </c>
      <c r="F264" s="46">
        <v>46097.325849687499</v>
      </c>
      <c r="G264" s="46">
        <v>46097.325849872686</v>
      </c>
      <c r="H264">
        <v>15</v>
      </c>
    </row>
    <row r="265" spans="1:8" x14ac:dyDescent="0.15">
      <c r="A265">
        <v>264</v>
      </c>
      <c r="B265" t="s">
        <v>339</v>
      </c>
      <c r="C265" t="s">
        <v>353</v>
      </c>
      <c r="D265" t="s">
        <v>2600</v>
      </c>
      <c r="E265" t="s">
        <v>2601</v>
      </c>
      <c r="F265" s="46">
        <v>46097.325849872686</v>
      </c>
      <c r="G265" s="46">
        <v>46097.325849872686</v>
      </c>
      <c r="H265">
        <v>0</v>
      </c>
    </row>
    <row r="266" spans="1:8" x14ac:dyDescent="0.15">
      <c r="A266">
        <v>265</v>
      </c>
      <c r="B266" t="s">
        <v>339</v>
      </c>
      <c r="C266" t="s">
        <v>353</v>
      </c>
      <c r="D266" t="s">
        <v>2602</v>
      </c>
      <c r="E266" t="s">
        <v>2603</v>
      </c>
      <c r="F266" s="46">
        <v>46097.325849872686</v>
      </c>
      <c r="G266" s="46">
        <v>46097.325849872686</v>
      </c>
      <c r="H266">
        <v>0</v>
      </c>
    </row>
    <row r="267" spans="1:8" x14ac:dyDescent="0.15">
      <c r="A267">
        <v>266</v>
      </c>
      <c r="B267" t="s">
        <v>339</v>
      </c>
      <c r="C267" t="s">
        <v>353</v>
      </c>
      <c r="D267" t="s">
        <v>2604</v>
      </c>
      <c r="E267" t="s">
        <v>2605</v>
      </c>
      <c r="F267" s="46">
        <v>46097.325849872686</v>
      </c>
      <c r="G267" s="46">
        <v>46097.325849872686</v>
      </c>
      <c r="H267">
        <v>0</v>
      </c>
    </row>
    <row r="268" spans="1:8" x14ac:dyDescent="0.15">
      <c r="A268">
        <v>267</v>
      </c>
      <c r="B268" t="s">
        <v>339</v>
      </c>
      <c r="C268" t="s">
        <v>353</v>
      </c>
      <c r="D268" t="s">
        <v>2606</v>
      </c>
      <c r="E268" t="s">
        <v>2605</v>
      </c>
      <c r="F268" s="46">
        <v>46097.325849872686</v>
      </c>
      <c r="G268" s="46">
        <v>46097.325849872686</v>
      </c>
      <c r="H268">
        <v>0</v>
      </c>
    </row>
    <row r="269" spans="1:8" x14ac:dyDescent="0.15">
      <c r="A269">
        <v>268</v>
      </c>
      <c r="B269" t="s">
        <v>339</v>
      </c>
      <c r="C269" t="s">
        <v>353</v>
      </c>
      <c r="D269" t="s">
        <v>2607</v>
      </c>
      <c r="E269" t="s">
        <v>2608</v>
      </c>
      <c r="F269" s="46">
        <v>46097.325849872686</v>
      </c>
      <c r="G269" s="46">
        <v>46097.325849872686</v>
      </c>
      <c r="H269">
        <v>0</v>
      </c>
    </row>
    <row r="270" spans="1:8" x14ac:dyDescent="0.15">
      <c r="A270">
        <v>269</v>
      </c>
      <c r="B270" t="s">
        <v>339</v>
      </c>
      <c r="C270" t="s">
        <v>353</v>
      </c>
      <c r="D270" t="s">
        <v>2609</v>
      </c>
      <c r="E270" t="s">
        <v>2610</v>
      </c>
      <c r="F270" s="46">
        <v>46097.325849872686</v>
      </c>
      <c r="G270" s="46">
        <v>46097.325849872686</v>
      </c>
      <c r="H270">
        <v>0</v>
      </c>
    </row>
    <row r="271" spans="1:8" x14ac:dyDescent="0.15">
      <c r="A271">
        <v>270</v>
      </c>
      <c r="B271" t="s">
        <v>339</v>
      </c>
      <c r="C271" t="s">
        <v>353</v>
      </c>
      <c r="D271" t="s">
        <v>2611</v>
      </c>
      <c r="E271" t="s">
        <v>2610</v>
      </c>
      <c r="F271" s="46">
        <v>46097.325849872686</v>
      </c>
      <c r="G271" s="46">
        <v>46097.325849872686</v>
      </c>
      <c r="H271">
        <v>0</v>
      </c>
    </row>
    <row r="272" spans="1:8" x14ac:dyDescent="0.15">
      <c r="A272">
        <v>271</v>
      </c>
      <c r="B272" t="s">
        <v>339</v>
      </c>
      <c r="C272" t="s">
        <v>353</v>
      </c>
      <c r="D272" t="s">
        <v>2612</v>
      </c>
      <c r="E272" t="s">
        <v>2610</v>
      </c>
      <c r="F272" s="46">
        <v>46097.325849872686</v>
      </c>
      <c r="G272" s="46">
        <v>46097.325849872686</v>
      </c>
      <c r="H272">
        <v>0</v>
      </c>
    </row>
    <row r="273" spans="1:8" x14ac:dyDescent="0.15">
      <c r="A273">
        <v>272</v>
      </c>
      <c r="B273" t="s">
        <v>339</v>
      </c>
      <c r="C273" t="s">
        <v>353</v>
      </c>
      <c r="D273" t="s">
        <v>2613</v>
      </c>
      <c r="E273" t="s">
        <v>2614</v>
      </c>
      <c r="F273" s="46">
        <v>46097.325849872686</v>
      </c>
      <c r="G273" s="46">
        <v>46097.325849872686</v>
      </c>
      <c r="H273">
        <v>0</v>
      </c>
    </row>
    <row r="274" spans="1:8" x14ac:dyDescent="0.15">
      <c r="A274">
        <v>273</v>
      </c>
      <c r="B274" t="s">
        <v>339</v>
      </c>
      <c r="C274" t="s">
        <v>353</v>
      </c>
      <c r="D274" t="s">
        <v>2615</v>
      </c>
      <c r="E274" t="s">
        <v>2614</v>
      </c>
      <c r="F274" s="46">
        <v>46097.325849872686</v>
      </c>
      <c r="G274" s="46">
        <v>46097.325850057867</v>
      </c>
      <c r="H274">
        <v>16</v>
      </c>
    </row>
    <row r="275" spans="1:8" x14ac:dyDescent="0.15">
      <c r="A275">
        <v>274</v>
      </c>
      <c r="B275" t="s">
        <v>339</v>
      </c>
      <c r="C275" t="s">
        <v>353</v>
      </c>
      <c r="D275" t="s">
        <v>2616</v>
      </c>
      <c r="E275" t="s">
        <v>2614</v>
      </c>
      <c r="F275" s="46">
        <v>46097.325850057867</v>
      </c>
      <c r="G275" s="46">
        <v>46097.325850057867</v>
      </c>
      <c r="H275">
        <v>0</v>
      </c>
    </row>
    <row r="276" spans="1:8" x14ac:dyDescent="0.15">
      <c r="A276">
        <v>275</v>
      </c>
      <c r="B276" t="s">
        <v>339</v>
      </c>
      <c r="C276" t="s">
        <v>353</v>
      </c>
      <c r="D276" t="s">
        <v>2617</v>
      </c>
      <c r="E276" t="s">
        <v>2618</v>
      </c>
      <c r="F276" s="46">
        <v>46097.325850057867</v>
      </c>
      <c r="G276" s="46">
        <v>46097.325850057867</v>
      </c>
      <c r="H276">
        <v>0</v>
      </c>
    </row>
    <row r="277" spans="1:8" x14ac:dyDescent="0.15">
      <c r="A277">
        <v>276</v>
      </c>
      <c r="B277" t="s">
        <v>339</v>
      </c>
      <c r="C277" t="s">
        <v>353</v>
      </c>
      <c r="D277" t="s">
        <v>2619</v>
      </c>
      <c r="E277" t="s">
        <v>2618</v>
      </c>
      <c r="F277" s="46">
        <v>46097.325850057867</v>
      </c>
      <c r="G277" s="46">
        <v>46097.325850057867</v>
      </c>
      <c r="H277">
        <v>0</v>
      </c>
    </row>
    <row r="278" spans="1:8" x14ac:dyDescent="0.15">
      <c r="A278">
        <v>277</v>
      </c>
      <c r="B278" t="s">
        <v>339</v>
      </c>
      <c r="C278" t="s">
        <v>353</v>
      </c>
      <c r="D278" t="s">
        <v>2620</v>
      </c>
      <c r="E278" t="s">
        <v>2618</v>
      </c>
      <c r="F278" s="46">
        <v>46097.325850057867</v>
      </c>
      <c r="G278" s="46">
        <v>46097.325850057867</v>
      </c>
      <c r="H278">
        <v>0</v>
      </c>
    </row>
    <row r="279" spans="1:8" x14ac:dyDescent="0.15">
      <c r="A279">
        <v>278</v>
      </c>
      <c r="B279" t="s">
        <v>339</v>
      </c>
      <c r="C279" t="s">
        <v>353</v>
      </c>
      <c r="D279" t="s">
        <v>2621</v>
      </c>
      <c r="E279" t="s">
        <v>2622</v>
      </c>
      <c r="F279" s="46">
        <v>46097.325850057867</v>
      </c>
      <c r="G279" s="46">
        <v>46097.325850057867</v>
      </c>
      <c r="H279">
        <v>0</v>
      </c>
    </row>
    <row r="280" spans="1:8" x14ac:dyDescent="0.15">
      <c r="A280">
        <v>279</v>
      </c>
      <c r="B280" t="s">
        <v>339</v>
      </c>
      <c r="C280" t="s">
        <v>353</v>
      </c>
      <c r="D280" t="s">
        <v>2623</v>
      </c>
      <c r="E280" t="s">
        <v>2622</v>
      </c>
      <c r="F280" s="46">
        <v>46097.325850057867</v>
      </c>
      <c r="G280" s="46">
        <v>46097.325850057867</v>
      </c>
      <c r="H280">
        <v>0</v>
      </c>
    </row>
    <row r="281" spans="1:8" x14ac:dyDescent="0.15">
      <c r="A281">
        <v>280</v>
      </c>
      <c r="B281" t="s">
        <v>339</v>
      </c>
      <c r="C281" t="s">
        <v>353</v>
      </c>
      <c r="D281" t="s">
        <v>2624</v>
      </c>
      <c r="E281" t="s">
        <v>2622</v>
      </c>
      <c r="F281" s="46">
        <v>46097.325850057867</v>
      </c>
      <c r="G281" s="46">
        <v>46097.325850057867</v>
      </c>
      <c r="H281">
        <v>0</v>
      </c>
    </row>
    <row r="282" spans="1:8" x14ac:dyDescent="0.15">
      <c r="A282">
        <v>281</v>
      </c>
      <c r="B282" t="s">
        <v>339</v>
      </c>
      <c r="C282" t="s">
        <v>353</v>
      </c>
      <c r="D282" t="s">
        <v>2625</v>
      </c>
      <c r="E282" t="s">
        <v>2626</v>
      </c>
      <c r="F282" s="46">
        <v>46097.325850057867</v>
      </c>
      <c r="G282" s="46">
        <v>46097.325850057867</v>
      </c>
      <c r="H282">
        <v>0</v>
      </c>
    </row>
    <row r="283" spans="1:8" x14ac:dyDescent="0.15">
      <c r="A283">
        <v>282</v>
      </c>
      <c r="B283" t="s">
        <v>339</v>
      </c>
      <c r="C283" t="s">
        <v>353</v>
      </c>
      <c r="D283" t="s">
        <v>2627</v>
      </c>
      <c r="E283" t="s">
        <v>2626</v>
      </c>
      <c r="F283" s="46">
        <v>46097.325850057867</v>
      </c>
      <c r="G283" s="46">
        <v>46097.325850057867</v>
      </c>
      <c r="H283">
        <v>0</v>
      </c>
    </row>
    <row r="284" spans="1:8" x14ac:dyDescent="0.15">
      <c r="A284">
        <v>283</v>
      </c>
      <c r="B284" t="s">
        <v>339</v>
      </c>
      <c r="C284" t="s">
        <v>353</v>
      </c>
      <c r="D284" t="s">
        <v>2628</v>
      </c>
      <c r="E284" t="s">
        <v>2626</v>
      </c>
      <c r="F284" s="46">
        <v>46097.325850057867</v>
      </c>
      <c r="G284" s="46">
        <v>46097.325850231478</v>
      </c>
      <c r="H284">
        <v>16</v>
      </c>
    </row>
    <row r="285" spans="1:8" x14ac:dyDescent="0.15">
      <c r="A285">
        <v>284</v>
      </c>
      <c r="B285" t="s">
        <v>339</v>
      </c>
      <c r="C285" t="s">
        <v>353</v>
      </c>
      <c r="D285" t="s">
        <v>2629</v>
      </c>
      <c r="E285" t="s">
        <v>2626</v>
      </c>
      <c r="F285" s="46">
        <v>46097.325850231478</v>
      </c>
      <c r="G285" s="46">
        <v>46097.325850231478</v>
      </c>
      <c r="H285">
        <v>0</v>
      </c>
    </row>
    <row r="286" spans="1:8" x14ac:dyDescent="0.15">
      <c r="A286">
        <v>285</v>
      </c>
      <c r="B286" t="s">
        <v>339</v>
      </c>
      <c r="C286" t="s">
        <v>353</v>
      </c>
      <c r="D286" t="s">
        <v>2630</v>
      </c>
      <c r="E286" t="s">
        <v>2626</v>
      </c>
      <c r="F286" s="46">
        <v>46097.325850231478</v>
      </c>
      <c r="G286" s="46">
        <v>46097.325850231478</v>
      </c>
      <c r="H286">
        <v>0</v>
      </c>
    </row>
    <row r="287" spans="1:8" x14ac:dyDescent="0.15">
      <c r="A287">
        <v>286</v>
      </c>
      <c r="B287" t="s">
        <v>339</v>
      </c>
      <c r="C287" t="s">
        <v>353</v>
      </c>
      <c r="D287" t="s">
        <v>2631</v>
      </c>
      <c r="E287" t="s">
        <v>2626</v>
      </c>
      <c r="F287" s="46">
        <v>46097.325850231478</v>
      </c>
      <c r="G287" s="46">
        <v>46097.325850231478</v>
      </c>
      <c r="H287">
        <v>0</v>
      </c>
    </row>
    <row r="288" spans="1:8" x14ac:dyDescent="0.15">
      <c r="A288">
        <v>287</v>
      </c>
      <c r="B288" t="s">
        <v>339</v>
      </c>
      <c r="C288" t="s">
        <v>353</v>
      </c>
      <c r="D288" t="s">
        <v>2632</v>
      </c>
      <c r="E288" t="s">
        <v>2626</v>
      </c>
      <c r="F288" s="46">
        <v>46097.325850231478</v>
      </c>
      <c r="G288" s="46">
        <v>46097.325850231478</v>
      </c>
      <c r="H288">
        <v>0</v>
      </c>
    </row>
    <row r="289" spans="1:8" x14ac:dyDescent="0.15">
      <c r="A289">
        <v>288</v>
      </c>
      <c r="B289" t="s">
        <v>339</v>
      </c>
      <c r="C289" t="s">
        <v>353</v>
      </c>
      <c r="D289" t="s">
        <v>2633</v>
      </c>
      <c r="E289" t="s">
        <v>2634</v>
      </c>
      <c r="F289" s="46">
        <v>46097.325850231478</v>
      </c>
      <c r="G289" s="46">
        <v>46097.325850231478</v>
      </c>
      <c r="H289">
        <v>0</v>
      </c>
    </row>
    <row r="290" spans="1:8" x14ac:dyDescent="0.15">
      <c r="A290">
        <v>289</v>
      </c>
      <c r="B290" t="s">
        <v>339</v>
      </c>
      <c r="C290" t="s">
        <v>353</v>
      </c>
      <c r="D290" t="s">
        <v>2635</v>
      </c>
      <c r="E290" t="s">
        <v>2636</v>
      </c>
      <c r="F290" s="46">
        <v>46097.325850231478</v>
      </c>
      <c r="G290" s="46">
        <v>46097.325850231478</v>
      </c>
      <c r="H290">
        <v>0</v>
      </c>
    </row>
    <row r="291" spans="1:8" x14ac:dyDescent="0.15">
      <c r="A291">
        <v>290</v>
      </c>
      <c r="B291" t="s">
        <v>339</v>
      </c>
      <c r="C291" t="s">
        <v>353</v>
      </c>
      <c r="D291" t="s">
        <v>2637</v>
      </c>
      <c r="E291" t="s">
        <v>2638</v>
      </c>
      <c r="F291" s="46">
        <v>46097.325850231478</v>
      </c>
      <c r="G291" s="46">
        <v>46097.325850231478</v>
      </c>
      <c r="H291">
        <v>0</v>
      </c>
    </row>
    <row r="292" spans="1:8" x14ac:dyDescent="0.15">
      <c r="A292">
        <v>291</v>
      </c>
      <c r="B292" t="s">
        <v>339</v>
      </c>
      <c r="C292" t="s">
        <v>353</v>
      </c>
      <c r="D292" t="s">
        <v>2639</v>
      </c>
      <c r="E292" t="s">
        <v>2640</v>
      </c>
      <c r="F292" s="46">
        <v>46097.325850231478</v>
      </c>
      <c r="G292" s="46">
        <v>46097.325850231478</v>
      </c>
      <c r="H292">
        <v>0</v>
      </c>
    </row>
    <row r="293" spans="1:8" x14ac:dyDescent="0.15">
      <c r="A293">
        <v>292</v>
      </c>
      <c r="B293" t="s">
        <v>339</v>
      </c>
      <c r="C293" t="s">
        <v>353</v>
      </c>
      <c r="D293" t="s">
        <v>2641</v>
      </c>
      <c r="E293" t="s">
        <v>2640</v>
      </c>
      <c r="F293" s="46">
        <v>46097.325850231478</v>
      </c>
      <c r="G293" s="46">
        <v>46097.325850231478</v>
      </c>
      <c r="H293">
        <v>0</v>
      </c>
    </row>
    <row r="294" spans="1:8" x14ac:dyDescent="0.15">
      <c r="A294">
        <v>293</v>
      </c>
      <c r="B294" t="s">
        <v>339</v>
      </c>
      <c r="C294" t="s">
        <v>353</v>
      </c>
      <c r="D294" t="s">
        <v>2642</v>
      </c>
      <c r="E294" t="s">
        <v>2640</v>
      </c>
      <c r="F294" s="46">
        <v>46097.325850231478</v>
      </c>
      <c r="G294" s="46">
        <v>46097.325850231478</v>
      </c>
      <c r="H294">
        <v>0</v>
      </c>
    </row>
    <row r="295" spans="1:8" x14ac:dyDescent="0.15">
      <c r="A295">
        <v>294</v>
      </c>
      <c r="B295" t="s">
        <v>339</v>
      </c>
      <c r="C295" t="s">
        <v>353</v>
      </c>
      <c r="D295" t="s">
        <v>2643</v>
      </c>
      <c r="E295" t="s">
        <v>2640</v>
      </c>
      <c r="F295" s="46">
        <v>46097.325850231478</v>
      </c>
      <c r="G295" s="46">
        <v>46097.325850416673</v>
      </c>
      <c r="H295">
        <v>15</v>
      </c>
    </row>
    <row r="296" spans="1:8" x14ac:dyDescent="0.15">
      <c r="A296">
        <v>295</v>
      </c>
      <c r="B296" t="s">
        <v>339</v>
      </c>
      <c r="C296" t="s">
        <v>353</v>
      </c>
      <c r="D296" t="s">
        <v>2644</v>
      </c>
      <c r="E296" t="s">
        <v>2640</v>
      </c>
      <c r="F296" s="46">
        <v>46097.325850416673</v>
      </c>
      <c r="G296" s="46">
        <v>46097.325850416673</v>
      </c>
      <c r="H296">
        <v>0</v>
      </c>
    </row>
    <row r="297" spans="1:8" x14ac:dyDescent="0.15">
      <c r="A297">
        <v>296</v>
      </c>
      <c r="B297" t="s">
        <v>339</v>
      </c>
      <c r="C297" t="s">
        <v>353</v>
      </c>
      <c r="D297" t="s">
        <v>2645</v>
      </c>
      <c r="E297" t="s">
        <v>2640</v>
      </c>
      <c r="F297" s="46">
        <v>46097.325850416673</v>
      </c>
      <c r="G297" s="46">
        <v>46097.325850416673</v>
      </c>
      <c r="H297">
        <v>0</v>
      </c>
    </row>
    <row r="298" spans="1:8" x14ac:dyDescent="0.15">
      <c r="A298">
        <v>297</v>
      </c>
      <c r="B298" t="s">
        <v>339</v>
      </c>
      <c r="C298" t="s">
        <v>353</v>
      </c>
      <c r="D298" t="s">
        <v>2646</v>
      </c>
      <c r="E298" t="s">
        <v>2640</v>
      </c>
      <c r="F298" s="46">
        <v>46097.325850416673</v>
      </c>
      <c r="G298" s="46">
        <v>46097.325850416673</v>
      </c>
      <c r="H298">
        <v>0</v>
      </c>
    </row>
    <row r="299" spans="1:8" x14ac:dyDescent="0.15">
      <c r="A299">
        <v>298</v>
      </c>
      <c r="B299" t="s">
        <v>339</v>
      </c>
      <c r="C299" t="s">
        <v>353</v>
      </c>
      <c r="D299" t="s">
        <v>2647</v>
      </c>
      <c r="E299" t="s">
        <v>2640</v>
      </c>
      <c r="F299" s="46">
        <v>46097.325850416673</v>
      </c>
      <c r="G299" s="46">
        <v>46097.325850416673</v>
      </c>
      <c r="H299">
        <v>0</v>
      </c>
    </row>
    <row r="300" spans="1:8" x14ac:dyDescent="0.15">
      <c r="A300">
        <v>299</v>
      </c>
      <c r="B300" t="s">
        <v>339</v>
      </c>
      <c r="C300" t="s">
        <v>353</v>
      </c>
      <c r="D300" t="s">
        <v>2648</v>
      </c>
      <c r="E300" t="s">
        <v>2640</v>
      </c>
      <c r="F300" s="46">
        <v>46097.325850416673</v>
      </c>
      <c r="G300" s="46">
        <v>46097.325850416673</v>
      </c>
      <c r="H300">
        <v>0</v>
      </c>
    </row>
    <row r="301" spans="1:8" x14ac:dyDescent="0.15">
      <c r="A301">
        <v>300</v>
      </c>
      <c r="B301" t="s">
        <v>339</v>
      </c>
      <c r="C301" t="s">
        <v>353</v>
      </c>
      <c r="D301" t="s">
        <v>2649</v>
      </c>
      <c r="E301" t="s">
        <v>2640</v>
      </c>
      <c r="F301" s="46">
        <v>46097.325850416673</v>
      </c>
      <c r="G301" s="46">
        <v>46097.325850416673</v>
      </c>
      <c r="H301">
        <v>0</v>
      </c>
    </row>
    <row r="302" spans="1:8" x14ac:dyDescent="0.15">
      <c r="A302">
        <v>301</v>
      </c>
      <c r="B302" t="s">
        <v>339</v>
      </c>
      <c r="C302" t="s">
        <v>353</v>
      </c>
      <c r="D302" t="s">
        <v>2650</v>
      </c>
      <c r="E302" t="s">
        <v>2640</v>
      </c>
      <c r="F302" s="46">
        <v>46097.325850416673</v>
      </c>
      <c r="G302" s="46">
        <v>46097.325850416673</v>
      </c>
      <c r="H302">
        <v>0</v>
      </c>
    </row>
    <row r="303" spans="1:8" x14ac:dyDescent="0.15">
      <c r="A303">
        <v>302</v>
      </c>
      <c r="B303" t="s">
        <v>339</v>
      </c>
      <c r="C303" t="s">
        <v>353</v>
      </c>
      <c r="D303" t="s">
        <v>2651</v>
      </c>
      <c r="E303" t="s">
        <v>2640</v>
      </c>
      <c r="F303" s="46">
        <v>46097.325850416673</v>
      </c>
      <c r="G303" s="46">
        <v>46097.325850416673</v>
      </c>
      <c r="H303">
        <v>0</v>
      </c>
    </row>
    <row r="304" spans="1:8" x14ac:dyDescent="0.15">
      <c r="A304">
        <v>303</v>
      </c>
      <c r="B304" t="s">
        <v>339</v>
      </c>
      <c r="C304" t="s">
        <v>353</v>
      </c>
      <c r="D304" t="s">
        <v>2652</v>
      </c>
      <c r="E304" t="s">
        <v>2640</v>
      </c>
      <c r="F304" s="46">
        <v>46097.325850416673</v>
      </c>
      <c r="G304" s="46">
        <v>46097.325850416673</v>
      </c>
      <c r="H304">
        <v>0</v>
      </c>
    </row>
    <row r="305" spans="1:8" x14ac:dyDescent="0.15">
      <c r="A305">
        <v>304</v>
      </c>
      <c r="B305" t="s">
        <v>339</v>
      </c>
      <c r="C305" t="s">
        <v>353</v>
      </c>
      <c r="D305" t="s">
        <v>2653</v>
      </c>
      <c r="E305" t="s">
        <v>2640</v>
      </c>
      <c r="F305" s="46">
        <v>46097.325850416673</v>
      </c>
      <c r="G305" s="46">
        <v>46097.325850590278</v>
      </c>
      <c r="H305">
        <v>16</v>
      </c>
    </row>
    <row r="306" spans="1:8" x14ac:dyDescent="0.15">
      <c r="A306">
        <v>305</v>
      </c>
      <c r="B306" t="s">
        <v>339</v>
      </c>
      <c r="C306" t="s">
        <v>353</v>
      </c>
      <c r="D306" t="s">
        <v>2654</v>
      </c>
      <c r="E306" t="s">
        <v>2640</v>
      </c>
      <c r="F306" s="46">
        <v>46097.325850590278</v>
      </c>
      <c r="G306" s="46">
        <v>46097.325850590278</v>
      </c>
      <c r="H306">
        <v>0</v>
      </c>
    </row>
    <row r="307" spans="1:8" x14ac:dyDescent="0.15">
      <c r="A307">
        <v>306</v>
      </c>
      <c r="B307" t="s">
        <v>339</v>
      </c>
      <c r="C307" t="s">
        <v>353</v>
      </c>
      <c r="D307" t="s">
        <v>2655</v>
      </c>
      <c r="E307" t="s">
        <v>2656</v>
      </c>
      <c r="F307" s="46">
        <v>46097.325850590278</v>
      </c>
      <c r="G307" s="46">
        <v>46097.325850590278</v>
      </c>
      <c r="H307">
        <v>0</v>
      </c>
    </row>
    <row r="308" spans="1:8" x14ac:dyDescent="0.15">
      <c r="A308">
        <v>307</v>
      </c>
      <c r="B308" t="s">
        <v>339</v>
      </c>
      <c r="C308" t="s">
        <v>353</v>
      </c>
      <c r="D308" t="s">
        <v>2657</v>
      </c>
      <c r="E308" t="s">
        <v>2658</v>
      </c>
      <c r="F308" s="46">
        <v>46097.325850590278</v>
      </c>
      <c r="G308" s="46">
        <v>46097.325850590278</v>
      </c>
      <c r="H308">
        <v>0</v>
      </c>
    </row>
    <row r="309" spans="1:8" x14ac:dyDescent="0.15">
      <c r="A309">
        <v>308</v>
      </c>
      <c r="B309" t="s">
        <v>339</v>
      </c>
      <c r="C309" t="s">
        <v>353</v>
      </c>
      <c r="D309" t="s">
        <v>2659</v>
      </c>
      <c r="E309" t="s">
        <v>2660</v>
      </c>
      <c r="F309" s="46">
        <v>46097.325850590278</v>
      </c>
      <c r="G309" s="46">
        <v>46097.325850671303</v>
      </c>
      <c r="H309">
        <v>7</v>
      </c>
    </row>
    <row r="310" spans="1:8" x14ac:dyDescent="0.15">
      <c r="A310">
        <v>309</v>
      </c>
      <c r="B310" t="s">
        <v>339</v>
      </c>
      <c r="C310" t="s">
        <v>353</v>
      </c>
      <c r="D310" t="s">
        <v>2661</v>
      </c>
      <c r="E310" t="s">
        <v>2662</v>
      </c>
      <c r="F310" s="46">
        <v>46097.325850671303</v>
      </c>
      <c r="G310" s="46">
        <v>46097.325850671303</v>
      </c>
      <c r="H310">
        <v>0</v>
      </c>
    </row>
    <row r="311" spans="1:8" x14ac:dyDescent="0.15">
      <c r="A311">
        <v>310</v>
      </c>
      <c r="B311" t="s">
        <v>339</v>
      </c>
      <c r="C311" t="s">
        <v>353</v>
      </c>
      <c r="D311" t="s">
        <v>2663</v>
      </c>
      <c r="E311" t="s">
        <v>2662</v>
      </c>
      <c r="F311" s="46">
        <v>46097.325850671303</v>
      </c>
      <c r="G311" s="46">
        <v>46097.325850671303</v>
      </c>
      <c r="H311">
        <v>0</v>
      </c>
    </row>
    <row r="312" spans="1:8" x14ac:dyDescent="0.15">
      <c r="A312">
        <v>311</v>
      </c>
      <c r="B312" t="s">
        <v>339</v>
      </c>
      <c r="C312" t="s">
        <v>353</v>
      </c>
      <c r="D312" t="s">
        <v>2664</v>
      </c>
      <c r="E312" t="s">
        <v>2662</v>
      </c>
      <c r="F312" s="46">
        <v>46097.325850671303</v>
      </c>
      <c r="G312" s="46">
        <v>46097.325850671303</v>
      </c>
      <c r="H312">
        <v>0</v>
      </c>
    </row>
    <row r="313" spans="1:8" x14ac:dyDescent="0.15">
      <c r="A313">
        <v>312</v>
      </c>
      <c r="B313" t="s">
        <v>339</v>
      </c>
      <c r="C313" t="s">
        <v>353</v>
      </c>
      <c r="D313" t="s">
        <v>2665</v>
      </c>
      <c r="E313" t="s">
        <v>2666</v>
      </c>
      <c r="F313" s="46">
        <v>46097.325850671303</v>
      </c>
      <c r="G313" s="46">
        <v>46097.325850671303</v>
      </c>
      <c r="H313">
        <v>0</v>
      </c>
    </row>
    <row r="314" spans="1:8" x14ac:dyDescent="0.15">
      <c r="A314">
        <v>313</v>
      </c>
      <c r="B314" t="s">
        <v>339</v>
      </c>
      <c r="C314" t="s">
        <v>353</v>
      </c>
      <c r="D314" t="s">
        <v>2667</v>
      </c>
      <c r="E314" t="s">
        <v>2666</v>
      </c>
      <c r="F314" s="46">
        <v>46097.325850671303</v>
      </c>
      <c r="G314" s="46">
        <v>46097.325850671303</v>
      </c>
      <c r="H314">
        <v>0</v>
      </c>
    </row>
    <row r="315" spans="1:8" x14ac:dyDescent="0.15">
      <c r="A315">
        <v>314</v>
      </c>
      <c r="B315" t="s">
        <v>339</v>
      </c>
      <c r="C315" t="s">
        <v>353</v>
      </c>
      <c r="D315" t="s">
        <v>2668</v>
      </c>
      <c r="E315" t="s">
        <v>2666</v>
      </c>
      <c r="F315" s="46">
        <v>46097.325850671303</v>
      </c>
      <c r="G315" s="46">
        <v>46097.325850671303</v>
      </c>
      <c r="H315">
        <v>0</v>
      </c>
    </row>
    <row r="316" spans="1:8" x14ac:dyDescent="0.15">
      <c r="A316">
        <v>315</v>
      </c>
      <c r="B316" t="s">
        <v>339</v>
      </c>
      <c r="C316" t="s">
        <v>353</v>
      </c>
      <c r="D316" t="s">
        <v>2669</v>
      </c>
      <c r="E316" t="s">
        <v>2666</v>
      </c>
      <c r="F316" s="46">
        <v>46097.325850671303</v>
      </c>
      <c r="G316" s="46">
        <v>46097.325850671303</v>
      </c>
      <c r="H316">
        <v>0</v>
      </c>
    </row>
    <row r="317" spans="1:8" x14ac:dyDescent="0.15">
      <c r="A317">
        <v>316</v>
      </c>
      <c r="B317" t="s">
        <v>339</v>
      </c>
      <c r="C317" t="s">
        <v>353</v>
      </c>
      <c r="D317" t="s">
        <v>2670</v>
      </c>
      <c r="E317" t="s">
        <v>2671</v>
      </c>
      <c r="F317" s="46">
        <v>46097.325850671303</v>
      </c>
      <c r="G317" s="46">
        <v>46097.325850671303</v>
      </c>
      <c r="H317">
        <v>0</v>
      </c>
    </row>
    <row r="318" spans="1:8" x14ac:dyDescent="0.15">
      <c r="A318">
        <v>317</v>
      </c>
      <c r="B318" t="s">
        <v>339</v>
      </c>
      <c r="C318" t="s">
        <v>353</v>
      </c>
      <c r="D318" t="s">
        <v>2672</v>
      </c>
      <c r="E318" t="s">
        <v>2671</v>
      </c>
      <c r="F318" s="46">
        <v>46097.325850671303</v>
      </c>
      <c r="G318" s="46">
        <v>46097.325850671303</v>
      </c>
      <c r="H318">
        <v>0</v>
      </c>
    </row>
    <row r="319" spans="1:8" x14ac:dyDescent="0.15">
      <c r="A319">
        <v>318</v>
      </c>
      <c r="B319" t="s">
        <v>339</v>
      </c>
      <c r="C319" t="s">
        <v>353</v>
      </c>
      <c r="D319" t="s">
        <v>2673</v>
      </c>
      <c r="E319" t="s">
        <v>2674</v>
      </c>
      <c r="F319" s="46">
        <v>46097.325850671303</v>
      </c>
      <c r="G319" s="46">
        <v>46097.325850671303</v>
      </c>
      <c r="H319">
        <v>0</v>
      </c>
    </row>
    <row r="320" spans="1:8" x14ac:dyDescent="0.15">
      <c r="A320">
        <v>319</v>
      </c>
      <c r="B320" t="s">
        <v>339</v>
      </c>
      <c r="C320" t="s">
        <v>353</v>
      </c>
      <c r="D320" t="s">
        <v>2675</v>
      </c>
      <c r="E320" t="s">
        <v>2674</v>
      </c>
      <c r="F320" s="46">
        <v>46097.325850856483</v>
      </c>
      <c r="G320" s="46">
        <v>46097.325850856483</v>
      </c>
      <c r="H320">
        <v>0</v>
      </c>
    </row>
    <row r="321" spans="1:8" x14ac:dyDescent="0.15">
      <c r="A321">
        <v>320</v>
      </c>
      <c r="B321" t="s">
        <v>339</v>
      </c>
      <c r="C321" t="s">
        <v>353</v>
      </c>
      <c r="D321" t="s">
        <v>2676</v>
      </c>
      <c r="E321" t="s">
        <v>2674</v>
      </c>
      <c r="F321" s="46">
        <v>46097.325850856483</v>
      </c>
      <c r="G321" s="46">
        <v>46097.325850856483</v>
      </c>
      <c r="H321">
        <v>0</v>
      </c>
    </row>
    <row r="322" spans="1:8" x14ac:dyDescent="0.15">
      <c r="A322">
        <v>321</v>
      </c>
      <c r="B322" t="s">
        <v>339</v>
      </c>
      <c r="C322" t="s">
        <v>353</v>
      </c>
      <c r="D322" t="s">
        <v>2677</v>
      </c>
      <c r="E322" t="s">
        <v>2674</v>
      </c>
      <c r="F322" s="46">
        <v>46097.325850856483</v>
      </c>
      <c r="G322" s="46">
        <v>46097.325850856483</v>
      </c>
      <c r="H322">
        <v>0</v>
      </c>
    </row>
    <row r="323" spans="1:8" x14ac:dyDescent="0.15">
      <c r="A323">
        <v>322</v>
      </c>
      <c r="B323" t="s">
        <v>339</v>
      </c>
      <c r="C323" t="s">
        <v>353</v>
      </c>
      <c r="D323" t="s">
        <v>2678</v>
      </c>
      <c r="E323" t="s">
        <v>2674</v>
      </c>
      <c r="F323" s="46">
        <v>46097.325850856483</v>
      </c>
      <c r="G323" s="46">
        <v>46097.325850856483</v>
      </c>
      <c r="H323">
        <v>0</v>
      </c>
    </row>
    <row r="324" spans="1:8" x14ac:dyDescent="0.15">
      <c r="A324">
        <v>323</v>
      </c>
      <c r="B324" t="s">
        <v>339</v>
      </c>
      <c r="C324" t="s">
        <v>353</v>
      </c>
      <c r="D324" t="s">
        <v>2679</v>
      </c>
      <c r="E324" t="s">
        <v>2674</v>
      </c>
      <c r="F324" s="46">
        <v>46097.325850856483</v>
      </c>
      <c r="G324" s="46">
        <v>46097.325850856483</v>
      </c>
      <c r="H324">
        <v>0</v>
      </c>
    </row>
    <row r="325" spans="1:8" x14ac:dyDescent="0.15">
      <c r="A325">
        <v>324</v>
      </c>
      <c r="B325" t="s">
        <v>339</v>
      </c>
      <c r="C325" t="s">
        <v>353</v>
      </c>
      <c r="D325" t="s">
        <v>2680</v>
      </c>
      <c r="E325" t="s">
        <v>2674</v>
      </c>
      <c r="F325" s="46">
        <v>46097.325850856483</v>
      </c>
      <c r="G325" s="46">
        <v>46097.325850856483</v>
      </c>
      <c r="H325">
        <v>0</v>
      </c>
    </row>
    <row r="326" spans="1:8" x14ac:dyDescent="0.15">
      <c r="A326">
        <v>325</v>
      </c>
      <c r="B326" t="s">
        <v>339</v>
      </c>
      <c r="C326" t="s">
        <v>353</v>
      </c>
      <c r="D326" t="s">
        <v>2681</v>
      </c>
      <c r="E326" t="s">
        <v>2674</v>
      </c>
      <c r="F326" s="46">
        <v>46097.325850856483</v>
      </c>
      <c r="G326" s="46">
        <v>46097.325850856483</v>
      </c>
      <c r="H326">
        <v>0</v>
      </c>
    </row>
    <row r="327" spans="1:8" x14ac:dyDescent="0.15">
      <c r="A327">
        <v>326</v>
      </c>
      <c r="B327" t="s">
        <v>339</v>
      </c>
      <c r="C327" t="s">
        <v>353</v>
      </c>
      <c r="D327" t="s">
        <v>2682</v>
      </c>
      <c r="E327" t="s">
        <v>2674</v>
      </c>
      <c r="F327" s="46">
        <v>46097.325850856483</v>
      </c>
      <c r="G327" s="46">
        <v>46097.325850856483</v>
      </c>
      <c r="H327">
        <v>0</v>
      </c>
    </row>
    <row r="328" spans="1:8" x14ac:dyDescent="0.15">
      <c r="A328">
        <v>327</v>
      </c>
      <c r="B328" t="s">
        <v>339</v>
      </c>
      <c r="C328" t="s">
        <v>353</v>
      </c>
      <c r="D328" t="s">
        <v>2683</v>
      </c>
      <c r="E328" t="s">
        <v>2684</v>
      </c>
      <c r="F328" s="46">
        <v>46097.325850856483</v>
      </c>
      <c r="G328" s="46">
        <v>46097.325850856483</v>
      </c>
      <c r="H328">
        <v>0</v>
      </c>
    </row>
    <row r="329" spans="1:8" x14ac:dyDescent="0.15">
      <c r="A329">
        <v>328</v>
      </c>
      <c r="B329" t="s">
        <v>339</v>
      </c>
      <c r="C329" t="s">
        <v>353</v>
      </c>
      <c r="D329" t="s">
        <v>2685</v>
      </c>
      <c r="E329" t="s">
        <v>2684</v>
      </c>
      <c r="F329" s="46">
        <v>46097.325850856483</v>
      </c>
      <c r="G329" s="46">
        <v>46097.325851030088</v>
      </c>
      <c r="H329">
        <v>16</v>
      </c>
    </row>
    <row r="330" spans="1:8" x14ac:dyDescent="0.15">
      <c r="A330">
        <v>329</v>
      </c>
      <c r="B330" t="s">
        <v>339</v>
      </c>
      <c r="C330" t="s">
        <v>353</v>
      </c>
      <c r="D330" t="s">
        <v>2686</v>
      </c>
      <c r="E330" t="s">
        <v>2687</v>
      </c>
      <c r="F330" s="46">
        <v>46097.325851030088</v>
      </c>
      <c r="G330" s="46">
        <v>46097.325851030088</v>
      </c>
      <c r="H330">
        <v>0</v>
      </c>
    </row>
    <row r="331" spans="1:8" x14ac:dyDescent="0.15">
      <c r="A331">
        <v>330</v>
      </c>
      <c r="B331" t="s">
        <v>339</v>
      </c>
      <c r="C331" t="s">
        <v>353</v>
      </c>
      <c r="D331" t="s">
        <v>2688</v>
      </c>
      <c r="E331" t="s">
        <v>2689</v>
      </c>
      <c r="F331" s="46">
        <v>46097.325851030088</v>
      </c>
      <c r="G331" s="46">
        <v>46097.325851030088</v>
      </c>
      <c r="H331">
        <v>0</v>
      </c>
    </row>
    <row r="332" spans="1:8" x14ac:dyDescent="0.15">
      <c r="A332">
        <v>331</v>
      </c>
      <c r="B332" t="s">
        <v>339</v>
      </c>
      <c r="C332" t="s">
        <v>353</v>
      </c>
      <c r="D332" t="s">
        <v>2690</v>
      </c>
      <c r="E332" t="s">
        <v>2691</v>
      </c>
      <c r="F332" s="46">
        <v>46097.325851030088</v>
      </c>
      <c r="G332" s="46">
        <v>46097.325851030088</v>
      </c>
      <c r="H332">
        <v>0</v>
      </c>
    </row>
    <row r="333" spans="1:8" x14ac:dyDescent="0.15">
      <c r="A333">
        <v>332</v>
      </c>
      <c r="B333" t="s">
        <v>339</v>
      </c>
      <c r="C333" t="s">
        <v>353</v>
      </c>
      <c r="D333" t="s">
        <v>2692</v>
      </c>
      <c r="E333" t="s">
        <v>2691</v>
      </c>
      <c r="F333" s="46">
        <v>46097.325851030088</v>
      </c>
      <c r="G333" s="46">
        <v>46097.325851030088</v>
      </c>
      <c r="H333">
        <v>0</v>
      </c>
    </row>
    <row r="334" spans="1:8" x14ac:dyDescent="0.15">
      <c r="A334">
        <v>333</v>
      </c>
      <c r="B334" t="s">
        <v>339</v>
      </c>
      <c r="C334" t="s">
        <v>353</v>
      </c>
      <c r="D334" t="s">
        <v>2693</v>
      </c>
      <c r="E334" t="s">
        <v>2694</v>
      </c>
      <c r="F334" s="46">
        <v>46097.325851030088</v>
      </c>
      <c r="G334" s="46">
        <v>46097.325851030088</v>
      </c>
      <c r="H334">
        <v>0</v>
      </c>
    </row>
    <row r="335" spans="1:8" x14ac:dyDescent="0.15">
      <c r="A335">
        <v>334</v>
      </c>
      <c r="B335" t="s">
        <v>339</v>
      </c>
      <c r="C335" t="s">
        <v>353</v>
      </c>
      <c r="D335" t="s">
        <v>2695</v>
      </c>
      <c r="E335" t="s">
        <v>2694</v>
      </c>
      <c r="F335" s="46">
        <v>46097.325851030088</v>
      </c>
      <c r="G335" s="46">
        <v>46097.325851030088</v>
      </c>
      <c r="H335">
        <v>0</v>
      </c>
    </row>
    <row r="336" spans="1:8" x14ac:dyDescent="0.15">
      <c r="A336">
        <v>335</v>
      </c>
      <c r="B336" t="s">
        <v>339</v>
      </c>
      <c r="C336" t="s">
        <v>353</v>
      </c>
      <c r="D336" t="s">
        <v>2696</v>
      </c>
      <c r="E336" t="s">
        <v>2697</v>
      </c>
      <c r="F336" s="46">
        <v>46097.325851030088</v>
      </c>
      <c r="G336" s="46">
        <v>46097.325851030088</v>
      </c>
      <c r="H336">
        <v>0</v>
      </c>
    </row>
    <row r="337" spans="1:8" x14ac:dyDescent="0.15">
      <c r="A337">
        <v>336</v>
      </c>
      <c r="B337" t="s">
        <v>339</v>
      </c>
      <c r="C337" t="s">
        <v>353</v>
      </c>
      <c r="D337" t="s">
        <v>2698</v>
      </c>
      <c r="E337" t="s">
        <v>2699</v>
      </c>
      <c r="F337" s="46">
        <v>46097.325851030088</v>
      </c>
      <c r="G337" s="46">
        <v>46097.325851030088</v>
      </c>
      <c r="H337">
        <v>0</v>
      </c>
    </row>
    <row r="338" spans="1:8" x14ac:dyDescent="0.15">
      <c r="A338">
        <v>337</v>
      </c>
      <c r="B338" t="s">
        <v>339</v>
      </c>
      <c r="C338" t="s">
        <v>353</v>
      </c>
      <c r="D338" t="s">
        <v>2700</v>
      </c>
      <c r="E338" t="s">
        <v>2699</v>
      </c>
      <c r="F338" s="46">
        <v>46097.325851030088</v>
      </c>
      <c r="G338" s="46">
        <v>46097.325851030088</v>
      </c>
      <c r="H338">
        <v>0</v>
      </c>
    </row>
    <row r="339" spans="1:8" x14ac:dyDescent="0.15">
      <c r="A339">
        <v>338</v>
      </c>
      <c r="B339" t="s">
        <v>339</v>
      </c>
      <c r="C339" t="s">
        <v>353</v>
      </c>
      <c r="D339" t="s">
        <v>2701</v>
      </c>
      <c r="E339" t="s">
        <v>2702</v>
      </c>
      <c r="F339" s="46">
        <v>46097.325851030088</v>
      </c>
      <c r="G339" s="46">
        <v>46097.325851215282</v>
      </c>
      <c r="H339">
        <v>16</v>
      </c>
    </row>
    <row r="340" spans="1:8" x14ac:dyDescent="0.15">
      <c r="A340">
        <v>339</v>
      </c>
      <c r="B340" t="s">
        <v>339</v>
      </c>
      <c r="C340" t="s">
        <v>353</v>
      </c>
      <c r="D340" t="s">
        <v>2703</v>
      </c>
      <c r="E340" t="s">
        <v>2704</v>
      </c>
      <c r="F340" s="46">
        <v>46097.325851215282</v>
      </c>
      <c r="G340" s="46">
        <v>46097.325851215282</v>
      </c>
      <c r="H340">
        <v>0</v>
      </c>
    </row>
    <row r="341" spans="1:8" x14ac:dyDescent="0.15">
      <c r="A341">
        <v>340</v>
      </c>
      <c r="B341" t="s">
        <v>339</v>
      </c>
      <c r="C341" t="s">
        <v>353</v>
      </c>
      <c r="D341" t="s">
        <v>2705</v>
      </c>
      <c r="E341" t="s">
        <v>2704</v>
      </c>
      <c r="F341" s="46">
        <v>46097.325851215282</v>
      </c>
      <c r="G341" s="46">
        <v>46097.325851215282</v>
      </c>
      <c r="H341">
        <v>0</v>
      </c>
    </row>
    <row r="342" spans="1:8" x14ac:dyDescent="0.15">
      <c r="A342">
        <v>341</v>
      </c>
      <c r="B342" t="s">
        <v>339</v>
      </c>
      <c r="C342" t="s">
        <v>353</v>
      </c>
      <c r="D342" t="s">
        <v>2706</v>
      </c>
      <c r="E342" t="s">
        <v>2707</v>
      </c>
      <c r="F342" s="46">
        <v>46097.325851215282</v>
      </c>
      <c r="G342" s="46">
        <v>46097.325851215282</v>
      </c>
      <c r="H342">
        <v>0</v>
      </c>
    </row>
    <row r="343" spans="1:8" x14ac:dyDescent="0.15">
      <c r="A343">
        <v>342</v>
      </c>
      <c r="B343" t="s">
        <v>339</v>
      </c>
      <c r="C343" t="s">
        <v>353</v>
      </c>
      <c r="D343" t="s">
        <v>2708</v>
      </c>
      <c r="E343" t="s">
        <v>2709</v>
      </c>
      <c r="F343" s="46">
        <v>46097.325851215282</v>
      </c>
      <c r="G343" s="46">
        <v>46097.325851215282</v>
      </c>
      <c r="H343">
        <v>0</v>
      </c>
    </row>
    <row r="344" spans="1:8" x14ac:dyDescent="0.15">
      <c r="A344">
        <v>343</v>
      </c>
      <c r="B344" t="s">
        <v>339</v>
      </c>
      <c r="C344" t="s">
        <v>353</v>
      </c>
      <c r="D344" t="s">
        <v>2710</v>
      </c>
      <c r="E344" t="s">
        <v>2711</v>
      </c>
      <c r="F344" s="46">
        <v>46097.325851215282</v>
      </c>
      <c r="G344" s="46">
        <v>46097.325851215282</v>
      </c>
      <c r="H344">
        <v>0</v>
      </c>
    </row>
    <row r="345" spans="1:8" x14ac:dyDescent="0.15">
      <c r="A345">
        <v>344</v>
      </c>
      <c r="B345" t="s">
        <v>339</v>
      </c>
      <c r="C345" t="s">
        <v>353</v>
      </c>
      <c r="D345" t="s">
        <v>2712</v>
      </c>
      <c r="E345" t="s">
        <v>2713</v>
      </c>
      <c r="F345" s="46">
        <v>46097.325851215282</v>
      </c>
      <c r="G345" s="46">
        <v>46097.325851215282</v>
      </c>
      <c r="H345">
        <v>0</v>
      </c>
    </row>
    <row r="346" spans="1:8" x14ac:dyDescent="0.15">
      <c r="A346">
        <v>345</v>
      </c>
      <c r="B346" t="s">
        <v>339</v>
      </c>
      <c r="C346" t="s">
        <v>353</v>
      </c>
      <c r="D346" t="s">
        <v>2714</v>
      </c>
      <c r="E346" t="s">
        <v>2713</v>
      </c>
      <c r="F346" s="46">
        <v>46097.325851215282</v>
      </c>
      <c r="G346" s="46">
        <v>46097.325851215282</v>
      </c>
      <c r="H346">
        <v>0</v>
      </c>
    </row>
    <row r="347" spans="1:8" x14ac:dyDescent="0.15">
      <c r="A347">
        <v>346</v>
      </c>
      <c r="B347" t="s">
        <v>339</v>
      </c>
      <c r="C347" t="s">
        <v>353</v>
      </c>
      <c r="D347" t="s">
        <v>2715</v>
      </c>
      <c r="E347" t="s">
        <v>2716</v>
      </c>
      <c r="F347" s="46">
        <v>46097.325851215282</v>
      </c>
      <c r="G347" s="46">
        <v>46097.325851215282</v>
      </c>
      <c r="H347">
        <v>0</v>
      </c>
    </row>
    <row r="348" spans="1:8" x14ac:dyDescent="0.15">
      <c r="A348">
        <v>347</v>
      </c>
      <c r="B348" t="s">
        <v>339</v>
      </c>
      <c r="C348" t="s">
        <v>353</v>
      </c>
      <c r="D348" t="s">
        <v>2717</v>
      </c>
      <c r="E348" t="s">
        <v>2718</v>
      </c>
      <c r="F348" s="46">
        <v>46097.325851215282</v>
      </c>
      <c r="G348" s="46">
        <v>46097.325851215282</v>
      </c>
      <c r="H348">
        <v>0</v>
      </c>
    </row>
    <row r="349" spans="1:8" x14ac:dyDescent="0.15">
      <c r="A349">
        <v>348</v>
      </c>
      <c r="B349" t="s">
        <v>339</v>
      </c>
      <c r="C349" t="s">
        <v>353</v>
      </c>
      <c r="D349" t="s">
        <v>2719</v>
      </c>
      <c r="E349" t="s">
        <v>2718</v>
      </c>
      <c r="F349" s="46">
        <v>46097.325851215282</v>
      </c>
      <c r="G349" s="46">
        <v>46097.325851400463</v>
      </c>
      <c r="H349">
        <v>15</v>
      </c>
    </row>
    <row r="350" spans="1:8" x14ac:dyDescent="0.15">
      <c r="A350">
        <v>349</v>
      </c>
      <c r="B350" t="s">
        <v>339</v>
      </c>
      <c r="C350" t="s">
        <v>353</v>
      </c>
      <c r="D350" t="s">
        <v>2720</v>
      </c>
      <c r="E350" t="s">
        <v>354</v>
      </c>
      <c r="F350" s="46">
        <v>46097.325851400463</v>
      </c>
      <c r="G350" s="46">
        <v>46097.325851400463</v>
      </c>
      <c r="H350">
        <v>0</v>
      </c>
    </row>
    <row r="351" spans="1:8" x14ac:dyDescent="0.15">
      <c r="A351">
        <v>350</v>
      </c>
      <c r="B351" t="s">
        <v>339</v>
      </c>
      <c r="C351" t="s">
        <v>353</v>
      </c>
      <c r="D351" t="s">
        <v>2721</v>
      </c>
      <c r="E351" t="s">
        <v>354</v>
      </c>
      <c r="F351" s="46">
        <v>46097.325851400463</v>
      </c>
      <c r="G351" s="46">
        <v>46097.325851400463</v>
      </c>
      <c r="H351">
        <v>0</v>
      </c>
    </row>
    <row r="352" spans="1:8" x14ac:dyDescent="0.15">
      <c r="A352">
        <v>351</v>
      </c>
      <c r="B352" t="s">
        <v>339</v>
      </c>
      <c r="C352" t="s">
        <v>353</v>
      </c>
      <c r="D352" t="s">
        <v>2722</v>
      </c>
      <c r="E352" t="s">
        <v>354</v>
      </c>
      <c r="F352" s="46">
        <v>46097.325851400463</v>
      </c>
      <c r="G352" s="46">
        <v>46097.325851400463</v>
      </c>
      <c r="H352">
        <v>0</v>
      </c>
    </row>
    <row r="353" spans="1:8" x14ac:dyDescent="0.15">
      <c r="A353">
        <v>352</v>
      </c>
      <c r="B353" t="s">
        <v>339</v>
      </c>
      <c r="C353" t="s">
        <v>353</v>
      </c>
      <c r="D353" t="s">
        <v>2723</v>
      </c>
      <c r="E353" t="s">
        <v>354</v>
      </c>
      <c r="F353" s="46">
        <v>46097.325851400463</v>
      </c>
      <c r="G353" s="46">
        <v>46097.325851400463</v>
      </c>
      <c r="H353">
        <v>0</v>
      </c>
    </row>
    <row r="354" spans="1:8" x14ac:dyDescent="0.15">
      <c r="A354">
        <v>353</v>
      </c>
      <c r="B354" t="s">
        <v>339</v>
      </c>
      <c r="C354" t="s">
        <v>353</v>
      </c>
      <c r="D354" t="s">
        <v>2724</v>
      </c>
      <c r="E354" t="s">
        <v>354</v>
      </c>
      <c r="F354" s="46">
        <v>46097.325851400463</v>
      </c>
      <c r="G354" s="46">
        <v>46097.325851400463</v>
      </c>
      <c r="H354">
        <v>0</v>
      </c>
    </row>
    <row r="355" spans="1:8" x14ac:dyDescent="0.15">
      <c r="A355">
        <v>354</v>
      </c>
      <c r="B355" t="s">
        <v>339</v>
      </c>
      <c r="C355" t="s">
        <v>353</v>
      </c>
      <c r="D355" t="s">
        <v>2725</v>
      </c>
      <c r="E355" t="s">
        <v>2726</v>
      </c>
      <c r="F355" s="46">
        <v>46097.325851400463</v>
      </c>
      <c r="G355" s="46">
        <v>46097.325851400463</v>
      </c>
      <c r="H355">
        <v>0</v>
      </c>
    </row>
    <row r="356" spans="1:8" x14ac:dyDescent="0.15">
      <c r="A356">
        <v>355</v>
      </c>
      <c r="B356" t="s">
        <v>339</v>
      </c>
      <c r="C356" t="s">
        <v>353</v>
      </c>
      <c r="D356" t="s">
        <v>2727</v>
      </c>
      <c r="E356" t="s">
        <v>2728</v>
      </c>
      <c r="F356" s="46">
        <v>46097.325851400463</v>
      </c>
      <c r="G356" s="46">
        <v>46097.325851400463</v>
      </c>
      <c r="H356">
        <v>0</v>
      </c>
    </row>
    <row r="357" spans="1:8" x14ac:dyDescent="0.15">
      <c r="A357">
        <v>356</v>
      </c>
      <c r="B357" t="s">
        <v>339</v>
      </c>
      <c r="C357" t="s">
        <v>353</v>
      </c>
      <c r="D357" t="s">
        <v>2729</v>
      </c>
      <c r="E357" t="s">
        <v>2730</v>
      </c>
      <c r="F357" s="46">
        <v>46097.325851400463</v>
      </c>
      <c r="G357" s="46">
        <v>46097.325851400463</v>
      </c>
      <c r="H357">
        <v>0</v>
      </c>
    </row>
    <row r="358" spans="1:8" x14ac:dyDescent="0.15">
      <c r="A358">
        <v>357</v>
      </c>
      <c r="B358" t="s">
        <v>339</v>
      </c>
      <c r="C358" t="s">
        <v>353</v>
      </c>
      <c r="D358" t="s">
        <v>2731</v>
      </c>
      <c r="E358" t="s">
        <v>2732</v>
      </c>
      <c r="F358" s="46">
        <v>46097.325851400463</v>
      </c>
      <c r="G358" s="46">
        <v>46097.325851400463</v>
      </c>
      <c r="H358">
        <v>0</v>
      </c>
    </row>
    <row r="359" spans="1:8" x14ac:dyDescent="0.15">
      <c r="A359">
        <v>358</v>
      </c>
      <c r="B359" t="s">
        <v>339</v>
      </c>
      <c r="C359" t="s">
        <v>353</v>
      </c>
      <c r="D359" t="s">
        <v>2733</v>
      </c>
      <c r="E359" t="s">
        <v>2732</v>
      </c>
      <c r="F359" s="46">
        <v>46097.325851400463</v>
      </c>
      <c r="G359" s="46">
        <v>46097.325851574067</v>
      </c>
      <c r="H359">
        <v>16</v>
      </c>
    </row>
    <row r="360" spans="1:8" x14ac:dyDescent="0.15">
      <c r="A360">
        <v>359</v>
      </c>
      <c r="B360" t="s">
        <v>339</v>
      </c>
      <c r="C360" t="s">
        <v>353</v>
      </c>
      <c r="D360" t="s">
        <v>2734</v>
      </c>
      <c r="E360" t="s">
        <v>2735</v>
      </c>
      <c r="F360" s="46">
        <v>46097.325851574067</v>
      </c>
      <c r="G360" s="46">
        <v>46097.325851574067</v>
      </c>
      <c r="H360">
        <v>0</v>
      </c>
    </row>
    <row r="361" spans="1:8" x14ac:dyDescent="0.15">
      <c r="A361">
        <v>360</v>
      </c>
      <c r="B361" t="s">
        <v>339</v>
      </c>
      <c r="C361" t="s">
        <v>353</v>
      </c>
      <c r="D361" t="s">
        <v>2736</v>
      </c>
      <c r="E361" t="s">
        <v>2737</v>
      </c>
      <c r="F361" s="46">
        <v>46097.325851574067</v>
      </c>
      <c r="G361" s="46">
        <v>46097.325851574067</v>
      </c>
      <c r="H361">
        <v>0</v>
      </c>
    </row>
    <row r="362" spans="1:8" x14ac:dyDescent="0.15">
      <c r="A362">
        <v>361</v>
      </c>
      <c r="B362" t="s">
        <v>339</v>
      </c>
      <c r="C362" t="s">
        <v>353</v>
      </c>
      <c r="D362" t="s">
        <v>2738</v>
      </c>
      <c r="E362" t="s">
        <v>2739</v>
      </c>
      <c r="F362" s="46">
        <v>46097.325851574067</v>
      </c>
      <c r="G362" s="46">
        <v>46097.325851574067</v>
      </c>
      <c r="H362">
        <v>0</v>
      </c>
    </row>
    <row r="363" spans="1:8" x14ac:dyDescent="0.15">
      <c r="A363">
        <v>362</v>
      </c>
      <c r="B363" t="s">
        <v>339</v>
      </c>
      <c r="C363" t="s">
        <v>353</v>
      </c>
      <c r="D363" t="s">
        <v>2740</v>
      </c>
      <c r="E363" t="s">
        <v>2739</v>
      </c>
      <c r="F363" s="46">
        <v>46097.325851574067</v>
      </c>
      <c r="G363" s="46">
        <v>46097.325851574067</v>
      </c>
      <c r="H363">
        <v>0</v>
      </c>
    </row>
    <row r="364" spans="1:8" x14ac:dyDescent="0.15">
      <c r="A364">
        <v>363</v>
      </c>
      <c r="B364" t="s">
        <v>339</v>
      </c>
      <c r="C364" t="s">
        <v>353</v>
      </c>
      <c r="D364" t="s">
        <v>2741</v>
      </c>
      <c r="E364" t="s">
        <v>2739</v>
      </c>
      <c r="F364" s="46">
        <v>46097.325851574067</v>
      </c>
      <c r="G364" s="46">
        <v>46097.325851574067</v>
      </c>
      <c r="H364">
        <v>0</v>
      </c>
    </row>
    <row r="365" spans="1:8" x14ac:dyDescent="0.15">
      <c r="A365">
        <v>364</v>
      </c>
      <c r="B365" t="s">
        <v>339</v>
      </c>
      <c r="C365" t="s">
        <v>353</v>
      </c>
      <c r="D365" t="s">
        <v>2742</v>
      </c>
      <c r="E365" t="s">
        <v>2739</v>
      </c>
      <c r="F365" s="46">
        <v>46097.325851574067</v>
      </c>
      <c r="G365" s="46">
        <v>46097.325851574067</v>
      </c>
      <c r="H365">
        <v>0</v>
      </c>
    </row>
    <row r="366" spans="1:8" x14ac:dyDescent="0.15">
      <c r="A366">
        <v>365</v>
      </c>
      <c r="B366" t="s">
        <v>339</v>
      </c>
      <c r="C366" t="s">
        <v>353</v>
      </c>
      <c r="D366" t="s">
        <v>2743</v>
      </c>
      <c r="E366" t="s">
        <v>2739</v>
      </c>
      <c r="F366" s="46">
        <v>46097.325851574067</v>
      </c>
      <c r="G366" s="46">
        <v>46097.325851574067</v>
      </c>
      <c r="H366">
        <v>0</v>
      </c>
    </row>
    <row r="367" spans="1:8" x14ac:dyDescent="0.15">
      <c r="A367">
        <v>366</v>
      </c>
      <c r="B367" t="s">
        <v>339</v>
      </c>
      <c r="C367" t="s">
        <v>353</v>
      </c>
      <c r="D367" t="s">
        <v>2744</v>
      </c>
      <c r="E367" t="s">
        <v>2739</v>
      </c>
      <c r="F367" s="46">
        <v>46097.325851574067</v>
      </c>
      <c r="G367" s="46">
        <v>46097.325851574067</v>
      </c>
      <c r="H367">
        <v>0</v>
      </c>
    </row>
    <row r="368" spans="1:8" x14ac:dyDescent="0.15">
      <c r="A368">
        <v>367</v>
      </c>
      <c r="B368" t="s">
        <v>339</v>
      </c>
      <c r="C368" t="s">
        <v>353</v>
      </c>
      <c r="D368" t="s">
        <v>2745</v>
      </c>
      <c r="E368" t="s">
        <v>2746</v>
      </c>
      <c r="F368" s="46">
        <v>46097.325851574067</v>
      </c>
      <c r="G368" s="46">
        <v>46097.325851574067</v>
      </c>
      <c r="H368">
        <v>0</v>
      </c>
    </row>
    <row r="369" spans="1:8" x14ac:dyDescent="0.15">
      <c r="A369">
        <v>368</v>
      </c>
      <c r="B369" t="s">
        <v>339</v>
      </c>
      <c r="C369" t="s">
        <v>353</v>
      </c>
      <c r="D369" t="s">
        <v>2747</v>
      </c>
      <c r="E369" t="s">
        <v>2748</v>
      </c>
      <c r="F369" s="46">
        <v>46097.325851574067</v>
      </c>
      <c r="G369" s="46">
        <v>46097.325851574067</v>
      </c>
      <c r="H369">
        <v>0</v>
      </c>
    </row>
    <row r="370" spans="1:8" x14ac:dyDescent="0.15">
      <c r="A370">
        <v>369</v>
      </c>
      <c r="B370" t="s">
        <v>339</v>
      </c>
      <c r="C370" t="s">
        <v>353</v>
      </c>
      <c r="D370" t="s">
        <v>2749</v>
      </c>
      <c r="E370" t="s">
        <v>2750</v>
      </c>
      <c r="F370" s="46">
        <v>46097.325851759262</v>
      </c>
      <c r="G370" s="46">
        <v>46097.325851759262</v>
      </c>
      <c r="H370">
        <v>0</v>
      </c>
    </row>
    <row r="371" spans="1:8" x14ac:dyDescent="0.15">
      <c r="A371">
        <v>370</v>
      </c>
      <c r="B371" t="s">
        <v>339</v>
      </c>
      <c r="C371" t="s">
        <v>353</v>
      </c>
      <c r="D371" t="s">
        <v>2751</v>
      </c>
      <c r="E371" t="s">
        <v>2750</v>
      </c>
      <c r="F371" s="46">
        <v>46097.325851759262</v>
      </c>
      <c r="G371" s="46">
        <v>46097.325851759262</v>
      </c>
      <c r="H371">
        <v>0</v>
      </c>
    </row>
    <row r="372" spans="1:8" x14ac:dyDescent="0.15">
      <c r="A372">
        <v>371</v>
      </c>
      <c r="B372" t="s">
        <v>339</v>
      </c>
      <c r="C372" t="s">
        <v>353</v>
      </c>
      <c r="D372" t="s">
        <v>2752</v>
      </c>
      <c r="E372" t="s">
        <v>2753</v>
      </c>
      <c r="F372" s="46">
        <v>46097.325851759262</v>
      </c>
      <c r="G372" s="46">
        <v>46097.325851759262</v>
      </c>
      <c r="H372">
        <v>0</v>
      </c>
    </row>
    <row r="373" spans="1:8" x14ac:dyDescent="0.15">
      <c r="A373">
        <v>372</v>
      </c>
      <c r="B373" t="s">
        <v>339</v>
      </c>
      <c r="C373" t="s">
        <v>353</v>
      </c>
      <c r="D373" t="s">
        <v>2754</v>
      </c>
      <c r="E373" t="s">
        <v>2755</v>
      </c>
      <c r="F373" s="46">
        <v>46097.325851759262</v>
      </c>
      <c r="G373" s="46">
        <v>46097.325851759262</v>
      </c>
      <c r="H373">
        <v>0</v>
      </c>
    </row>
    <row r="374" spans="1:8" x14ac:dyDescent="0.15">
      <c r="A374">
        <v>373</v>
      </c>
      <c r="B374" t="s">
        <v>339</v>
      </c>
      <c r="C374" t="s">
        <v>353</v>
      </c>
      <c r="D374" t="s">
        <v>2756</v>
      </c>
      <c r="E374" t="s">
        <v>2755</v>
      </c>
      <c r="F374" s="46">
        <v>46097.325851759262</v>
      </c>
      <c r="G374" s="46">
        <v>46097.325851759262</v>
      </c>
      <c r="H374">
        <v>0</v>
      </c>
    </row>
    <row r="375" spans="1:8" x14ac:dyDescent="0.15">
      <c r="A375">
        <v>374</v>
      </c>
      <c r="B375" t="s">
        <v>339</v>
      </c>
      <c r="C375" t="s">
        <v>353</v>
      </c>
      <c r="D375" t="s">
        <v>2757</v>
      </c>
      <c r="E375" t="s">
        <v>2755</v>
      </c>
      <c r="F375" s="46">
        <v>46097.325851759262</v>
      </c>
      <c r="G375" s="46">
        <v>46097.325851759262</v>
      </c>
      <c r="H375">
        <v>0</v>
      </c>
    </row>
    <row r="376" spans="1:8" x14ac:dyDescent="0.15">
      <c r="A376">
        <v>375</v>
      </c>
      <c r="B376" t="s">
        <v>339</v>
      </c>
      <c r="C376" t="s">
        <v>353</v>
      </c>
      <c r="D376" t="s">
        <v>2758</v>
      </c>
      <c r="E376" t="s">
        <v>2755</v>
      </c>
      <c r="F376" s="46">
        <v>46097.325851759262</v>
      </c>
      <c r="G376" s="46">
        <v>46097.325851759262</v>
      </c>
      <c r="H376">
        <v>0</v>
      </c>
    </row>
    <row r="377" spans="1:8" x14ac:dyDescent="0.15">
      <c r="A377">
        <v>376</v>
      </c>
      <c r="B377" t="s">
        <v>339</v>
      </c>
      <c r="C377" t="s">
        <v>353</v>
      </c>
      <c r="D377" t="s">
        <v>2759</v>
      </c>
      <c r="E377" t="s">
        <v>2755</v>
      </c>
      <c r="F377" s="46">
        <v>46097.325851759262</v>
      </c>
      <c r="G377" s="46">
        <v>46097.325851759262</v>
      </c>
      <c r="H377">
        <v>0</v>
      </c>
    </row>
    <row r="378" spans="1:8" x14ac:dyDescent="0.15">
      <c r="A378">
        <v>377</v>
      </c>
      <c r="B378" t="s">
        <v>339</v>
      </c>
      <c r="C378" t="s">
        <v>353</v>
      </c>
      <c r="D378" t="s">
        <v>2760</v>
      </c>
      <c r="E378" t="s">
        <v>2761</v>
      </c>
      <c r="F378" s="46">
        <v>46097.325851759262</v>
      </c>
      <c r="G378" s="46">
        <v>46097.325851759262</v>
      </c>
      <c r="H378">
        <v>0</v>
      </c>
    </row>
    <row r="379" spans="1:8" x14ac:dyDescent="0.15">
      <c r="A379">
        <v>378</v>
      </c>
      <c r="B379" t="s">
        <v>339</v>
      </c>
      <c r="C379" t="s">
        <v>353</v>
      </c>
      <c r="D379" t="s">
        <v>2762</v>
      </c>
      <c r="E379" t="s">
        <v>2763</v>
      </c>
      <c r="F379" s="46">
        <v>46097.325851759262</v>
      </c>
      <c r="G379" s="46">
        <v>46097.325851759262</v>
      </c>
      <c r="H379">
        <v>0</v>
      </c>
    </row>
    <row r="380" spans="1:8" x14ac:dyDescent="0.15">
      <c r="A380">
        <v>379</v>
      </c>
      <c r="B380" t="s">
        <v>339</v>
      </c>
      <c r="C380" t="s">
        <v>353</v>
      </c>
      <c r="D380" t="s">
        <v>2764</v>
      </c>
      <c r="E380" t="s">
        <v>2763</v>
      </c>
      <c r="F380" s="46">
        <v>46097.325851759262</v>
      </c>
      <c r="G380" s="46">
        <v>46097.325851944443</v>
      </c>
      <c r="H380">
        <v>16</v>
      </c>
    </row>
    <row r="381" spans="1:8" x14ac:dyDescent="0.15">
      <c r="A381">
        <v>380</v>
      </c>
      <c r="B381" t="s">
        <v>339</v>
      </c>
      <c r="C381" t="s">
        <v>353</v>
      </c>
      <c r="D381" t="s">
        <v>2765</v>
      </c>
      <c r="E381" t="s">
        <v>2766</v>
      </c>
      <c r="F381" s="46">
        <v>46097.325851944443</v>
      </c>
      <c r="G381" s="46">
        <v>46097.325851944443</v>
      </c>
      <c r="H381">
        <v>0</v>
      </c>
    </row>
    <row r="382" spans="1:8" x14ac:dyDescent="0.15">
      <c r="A382">
        <v>381</v>
      </c>
      <c r="B382" t="s">
        <v>339</v>
      </c>
      <c r="C382" t="s">
        <v>353</v>
      </c>
      <c r="D382" t="s">
        <v>2767</v>
      </c>
      <c r="E382" t="s">
        <v>2766</v>
      </c>
      <c r="F382" s="46">
        <v>46097.325851944443</v>
      </c>
      <c r="G382" s="46">
        <v>46097.325851944443</v>
      </c>
      <c r="H382">
        <v>0</v>
      </c>
    </row>
    <row r="383" spans="1:8" x14ac:dyDescent="0.15">
      <c r="A383">
        <v>382</v>
      </c>
      <c r="B383" t="s">
        <v>339</v>
      </c>
      <c r="C383" t="s">
        <v>353</v>
      </c>
      <c r="D383" t="s">
        <v>2768</v>
      </c>
      <c r="E383" t="s">
        <v>2766</v>
      </c>
      <c r="F383" s="46">
        <v>46097.325851944443</v>
      </c>
      <c r="G383" s="46">
        <v>46097.325851944443</v>
      </c>
      <c r="H383">
        <v>0</v>
      </c>
    </row>
    <row r="384" spans="1:8" x14ac:dyDescent="0.15">
      <c r="A384">
        <v>383</v>
      </c>
      <c r="B384" t="s">
        <v>339</v>
      </c>
      <c r="C384" t="s">
        <v>353</v>
      </c>
      <c r="D384" t="s">
        <v>2769</v>
      </c>
      <c r="E384" t="s">
        <v>2766</v>
      </c>
      <c r="F384" s="46">
        <v>46097.325851944443</v>
      </c>
      <c r="G384" s="46">
        <v>46097.325851944443</v>
      </c>
      <c r="H384">
        <v>0</v>
      </c>
    </row>
    <row r="385" spans="1:8" x14ac:dyDescent="0.15">
      <c r="A385">
        <v>384</v>
      </c>
      <c r="B385" t="s">
        <v>339</v>
      </c>
      <c r="C385" t="s">
        <v>353</v>
      </c>
      <c r="D385" t="s">
        <v>2770</v>
      </c>
      <c r="E385" t="s">
        <v>2771</v>
      </c>
      <c r="F385" s="46">
        <v>46097.325851944443</v>
      </c>
      <c r="G385" s="46">
        <v>46097.325851944443</v>
      </c>
      <c r="H385">
        <v>0</v>
      </c>
    </row>
    <row r="386" spans="1:8" x14ac:dyDescent="0.15">
      <c r="A386">
        <v>385</v>
      </c>
      <c r="B386" t="s">
        <v>339</v>
      </c>
      <c r="C386" t="s">
        <v>353</v>
      </c>
      <c r="D386" t="s">
        <v>2772</v>
      </c>
      <c r="E386" t="s">
        <v>2773</v>
      </c>
      <c r="F386" s="46">
        <v>46097.325851944443</v>
      </c>
      <c r="G386" s="46">
        <v>46097.325851944443</v>
      </c>
      <c r="H386">
        <v>0</v>
      </c>
    </row>
    <row r="387" spans="1:8" x14ac:dyDescent="0.15">
      <c r="A387">
        <v>386</v>
      </c>
      <c r="B387" t="s">
        <v>339</v>
      </c>
      <c r="C387" t="s">
        <v>353</v>
      </c>
      <c r="D387" t="s">
        <v>2774</v>
      </c>
      <c r="E387" t="s">
        <v>2775</v>
      </c>
      <c r="F387" s="46">
        <v>46097.325851944443</v>
      </c>
      <c r="G387" s="46">
        <v>46097.325851944443</v>
      </c>
      <c r="H387">
        <v>0</v>
      </c>
    </row>
    <row r="388" spans="1:8" x14ac:dyDescent="0.15">
      <c r="A388">
        <v>387</v>
      </c>
      <c r="B388" t="s">
        <v>339</v>
      </c>
      <c r="C388" t="s">
        <v>353</v>
      </c>
      <c r="D388" t="s">
        <v>2776</v>
      </c>
      <c r="E388" t="s">
        <v>2775</v>
      </c>
      <c r="F388" s="46">
        <v>46097.325851944443</v>
      </c>
      <c r="G388" s="46">
        <v>46097.325851944443</v>
      </c>
      <c r="H388">
        <v>0</v>
      </c>
    </row>
    <row r="389" spans="1:8" x14ac:dyDescent="0.15">
      <c r="A389">
        <v>388</v>
      </c>
      <c r="B389" t="s">
        <v>339</v>
      </c>
      <c r="C389" t="s">
        <v>353</v>
      </c>
      <c r="D389" t="s">
        <v>2777</v>
      </c>
      <c r="E389" t="s">
        <v>2778</v>
      </c>
      <c r="F389" s="46">
        <v>46097.325851944443</v>
      </c>
      <c r="G389" s="46">
        <v>46097.325851944443</v>
      </c>
      <c r="H389">
        <v>0</v>
      </c>
    </row>
    <row r="390" spans="1:8" x14ac:dyDescent="0.15">
      <c r="A390">
        <v>389</v>
      </c>
      <c r="B390" t="s">
        <v>339</v>
      </c>
      <c r="C390" t="s">
        <v>353</v>
      </c>
      <c r="D390" t="s">
        <v>2779</v>
      </c>
      <c r="E390" t="s">
        <v>2780</v>
      </c>
      <c r="F390" s="46">
        <v>46097.325851944443</v>
      </c>
      <c r="G390" s="46">
        <v>46097.325851944443</v>
      </c>
      <c r="H390">
        <v>0</v>
      </c>
    </row>
    <row r="391" spans="1:8" x14ac:dyDescent="0.15">
      <c r="A391">
        <v>390</v>
      </c>
      <c r="B391" t="s">
        <v>339</v>
      </c>
      <c r="C391" t="s">
        <v>353</v>
      </c>
      <c r="D391" t="s">
        <v>2781</v>
      </c>
      <c r="E391" t="s">
        <v>2780</v>
      </c>
      <c r="F391" s="46">
        <v>46097.325851944443</v>
      </c>
      <c r="G391" s="46">
        <v>46097.325852118047</v>
      </c>
      <c r="H391">
        <v>16</v>
      </c>
    </row>
    <row r="392" spans="1:8" x14ac:dyDescent="0.15">
      <c r="A392">
        <v>391</v>
      </c>
      <c r="B392" t="s">
        <v>339</v>
      </c>
      <c r="C392" t="s">
        <v>353</v>
      </c>
      <c r="D392" t="s">
        <v>2782</v>
      </c>
      <c r="E392" t="s">
        <v>2783</v>
      </c>
      <c r="F392" s="46">
        <v>46097.325852118047</v>
      </c>
      <c r="G392" s="46">
        <v>46097.325852118047</v>
      </c>
      <c r="H392">
        <v>0</v>
      </c>
    </row>
    <row r="393" spans="1:8" x14ac:dyDescent="0.15">
      <c r="A393">
        <v>392</v>
      </c>
      <c r="B393" t="s">
        <v>339</v>
      </c>
      <c r="C393" t="s">
        <v>353</v>
      </c>
      <c r="D393" t="s">
        <v>2784</v>
      </c>
      <c r="E393" t="s">
        <v>2783</v>
      </c>
      <c r="F393" s="46">
        <v>46097.325852118047</v>
      </c>
      <c r="G393" s="46">
        <v>46097.325852118047</v>
      </c>
      <c r="H393">
        <v>0</v>
      </c>
    </row>
    <row r="394" spans="1:8" x14ac:dyDescent="0.15">
      <c r="A394">
        <v>393</v>
      </c>
      <c r="B394" t="s">
        <v>339</v>
      </c>
      <c r="C394" t="s">
        <v>353</v>
      </c>
      <c r="D394" t="s">
        <v>2785</v>
      </c>
      <c r="E394" t="s">
        <v>2786</v>
      </c>
      <c r="F394" s="46">
        <v>46097.325852118047</v>
      </c>
      <c r="G394" s="46">
        <v>46097.325852118047</v>
      </c>
      <c r="H394">
        <v>0</v>
      </c>
    </row>
    <row r="395" spans="1:8" x14ac:dyDescent="0.15">
      <c r="A395">
        <v>394</v>
      </c>
      <c r="B395" t="s">
        <v>339</v>
      </c>
      <c r="C395" t="s">
        <v>353</v>
      </c>
      <c r="D395" t="s">
        <v>2787</v>
      </c>
      <c r="E395" t="s">
        <v>2786</v>
      </c>
      <c r="F395" s="46">
        <v>46097.325852118047</v>
      </c>
      <c r="G395" s="46">
        <v>46097.325852118047</v>
      </c>
      <c r="H395">
        <v>0</v>
      </c>
    </row>
    <row r="396" spans="1:8" x14ac:dyDescent="0.15">
      <c r="A396">
        <v>395</v>
      </c>
      <c r="B396" t="s">
        <v>339</v>
      </c>
      <c r="C396" t="s">
        <v>353</v>
      </c>
      <c r="D396" t="s">
        <v>2788</v>
      </c>
      <c r="E396" t="s">
        <v>2786</v>
      </c>
      <c r="F396" s="46">
        <v>46097.325852118047</v>
      </c>
      <c r="G396" s="46">
        <v>46097.325852118047</v>
      </c>
      <c r="H396">
        <v>0</v>
      </c>
    </row>
    <row r="397" spans="1:8" x14ac:dyDescent="0.15">
      <c r="A397">
        <v>396</v>
      </c>
      <c r="B397" t="s">
        <v>339</v>
      </c>
      <c r="C397" t="s">
        <v>353</v>
      </c>
      <c r="D397" t="s">
        <v>2789</v>
      </c>
      <c r="E397" t="s">
        <v>2790</v>
      </c>
      <c r="F397" s="46">
        <v>46097.325852118047</v>
      </c>
      <c r="G397" s="46">
        <v>46097.325852118047</v>
      </c>
      <c r="H397">
        <v>0</v>
      </c>
    </row>
    <row r="398" spans="1:8" x14ac:dyDescent="0.15">
      <c r="A398">
        <v>397</v>
      </c>
      <c r="B398" t="s">
        <v>339</v>
      </c>
      <c r="C398" t="s">
        <v>353</v>
      </c>
      <c r="D398" t="s">
        <v>2791</v>
      </c>
      <c r="E398" t="s">
        <v>2790</v>
      </c>
      <c r="F398" s="46">
        <v>46097.325852118047</v>
      </c>
      <c r="G398" s="46">
        <v>46097.325852118047</v>
      </c>
      <c r="H398">
        <v>0</v>
      </c>
    </row>
    <row r="399" spans="1:8" x14ac:dyDescent="0.15">
      <c r="A399">
        <v>398</v>
      </c>
      <c r="B399" t="s">
        <v>339</v>
      </c>
      <c r="C399" t="s">
        <v>353</v>
      </c>
      <c r="D399" t="s">
        <v>2792</v>
      </c>
      <c r="E399" t="s">
        <v>2790</v>
      </c>
      <c r="F399" s="46">
        <v>46097.325852118047</v>
      </c>
      <c r="G399" s="46">
        <v>46097.325852118047</v>
      </c>
      <c r="H399">
        <v>0</v>
      </c>
    </row>
    <row r="400" spans="1:8" x14ac:dyDescent="0.15">
      <c r="A400">
        <v>399</v>
      </c>
      <c r="B400" t="s">
        <v>339</v>
      </c>
      <c r="C400" t="s">
        <v>353</v>
      </c>
      <c r="D400" t="s">
        <v>2793</v>
      </c>
      <c r="E400" t="s">
        <v>2790</v>
      </c>
      <c r="F400" s="46">
        <v>46097.325852118047</v>
      </c>
      <c r="G400" s="46">
        <v>46097.325852118047</v>
      </c>
      <c r="H400">
        <v>0</v>
      </c>
    </row>
    <row r="401" spans="1:8" x14ac:dyDescent="0.15">
      <c r="A401">
        <v>400</v>
      </c>
      <c r="B401" t="s">
        <v>339</v>
      </c>
      <c r="C401" t="s">
        <v>353</v>
      </c>
      <c r="D401" t="s">
        <v>2794</v>
      </c>
      <c r="E401" t="s">
        <v>2790</v>
      </c>
      <c r="F401" s="46">
        <v>46097.325852118047</v>
      </c>
      <c r="G401" s="46">
        <v>46097.325852303242</v>
      </c>
      <c r="H401">
        <v>15</v>
      </c>
    </row>
    <row r="402" spans="1:8" x14ac:dyDescent="0.15">
      <c r="A402">
        <v>401</v>
      </c>
      <c r="B402" t="s">
        <v>339</v>
      </c>
      <c r="C402" t="s">
        <v>353</v>
      </c>
      <c r="D402" t="s">
        <v>2795</v>
      </c>
      <c r="E402" t="s">
        <v>2796</v>
      </c>
      <c r="F402" s="46">
        <v>46097.325852303242</v>
      </c>
      <c r="G402" s="46">
        <v>46097.325852303242</v>
      </c>
      <c r="H402">
        <v>0</v>
      </c>
    </row>
    <row r="403" spans="1:8" x14ac:dyDescent="0.15">
      <c r="A403">
        <v>402</v>
      </c>
      <c r="B403" t="s">
        <v>339</v>
      </c>
      <c r="C403" t="s">
        <v>353</v>
      </c>
      <c r="D403" t="s">
        <v>2797</v>
      </c>
      <c r="E403" t="s">
        <v>2798</v>
      </c>
      <c r="F403" s="46">
        <v>46097.325852303242</v>
      </c>
      <c r="G403" s="46">
        <v>46097.325852303242</v>
      </c>
      <c r="H403">
        <v>0</v>
      </c>
    </row>
    <row r="404" spans="1:8" x14ac:dyDescent="0.15">
      <c r="A404">
        <v>403</v>
      </c>
      <c r="B404" t="s">
        <v>339</v>
      </c>
      <c r="C404" t="s">
        <v>353</v>
      </c>
      <c r="D404" t="s">
        <v>2799</v>
      </c>
      <c r="E404" t="s">
        <v>2800</v>
      </c>
      <c r="F404" s="46">
        <v>46097.325852303242</v>
      </c>
      <c r="G404" s="46">
        <v>46097.325852303242</v>
      </c>
      <c r="H404">
        <v>0</v>
      </c>
    </row>
    <row r="405" spans="1:8" x14ac:dyDescent="0.15">
      <c r="A405">
        <v>404</v>
      </c>
      <c r="B405" t="s">
        <v>339</v>
      </c>
      <c r="C405" t="s">
        <v>353</v>
      </c>
      <c r="D405" t="s">
        <v>2801</v>
      </c>
      <c r="E405" t="s">
        <v>2802</v>
      </c>
      <c r="F405" s="46">
        <v>46097.325852303242</v>
      </c>
      <c r="G405" s="46">
        <v>46097.325852303242</v>
      </c>
      <c r="H405">
        <v>0</v>
      </c>
    </row>
    <row r="406" spans="1:8" x14ac:dyDescent="0.15">
      <c r="A406">
        <v>405</v>
      </c>
      <c r="B406" t="s">
        <v>339</v>
      </c>
      <c r="C406" t="s">
        <v>353</v>
      </c>
      <c r="D406" t="s">
        <v>2803</v>
      </c>
      <c r="E406" t="s">
        <v>2804</v>
      </c>
      <c r="F406" s="46">
        <v>46097.325852303242</v>
      </c>
      <c r="G406" s="46">
        <v>46097.325852303242</v>
      </c>
      <c r="H406">
        <v>0</v>
      </c>
    </row>
    <row r="407" spans="1:8" x14ac:dyDescent="0.15">
      <c r="A407">
        <v>406</v>
      </c>
      <c r="B407" t="s">
        <v>339</v>
      </c>
      <c r="C407" t="s">
        <v>353</v>
      </c>
      <c r="D407" t="s">
        <v>2805</v>
      </c>
      <c r="E407" t="s">
        <v>2806</v>
      </c>
      <c r="F407" s="46">
        <v>46097.325852303242</v>
      </c>
      <c r="G407" s="46">
        <v>46097.325852303242</v>
      </c>
      <c r="H407">
        <v>0</v>
      </c>
    </row>
    <row r="408" spans="1:8" x14ac:dyDescent="0.15">
      <c r="A408">
        <v>407</v>
      </c>
      <c r="B408" t="s">
        <v>339</v>
      </c>
      <c r="C408" t="s">
        <v>353</v>
      </c>
      <c r="D408" t="s">
        <v>2807</v>
      </c>
      <c r="E408" t="s">
        <v>2806</v>
      </c>
      <c r="F408" s="46">
        <v>46097.325852303242</v>
      </c>
      <c r="G408" s="46">
        <v>46097.325852303242</v>
      </c>
      <c r="H408">
        <v>0</v>
      </c>
    </row>
    <row r="409" spans="1:8" x14ac:dyDescent="0.15">
      <c r="A409">
        <v>408</v>
      </c>
      <c r="B409" t="s">
        <v>339</v>
      </c>
      <c r="C409" t="s">
        <v>353</v>
      </c>
      <c r="D409" t="s">
        <v>2808</v>
      </c>
      <c r="E409" t="s">
        <v>2809</v>
      </c>
      <c r="F409" s="46">
        <v>46097.325852303242</v>
      </c>
      <c r="G409" s="46">
        <v>46097.325852303242</v>
      </c>
      <c r="H409">
        <v>0</v>
      </c>
    </row>
    <row r="410" spans="1:8" x14ac:dyDescent="0.15">
      <c r="A410">
        <v>409</v>
      </c>
      <c r="B410" t="s">
        <v>339</v>
      </c>
      <c r="C410" t="s">
        <v>353</v>
      </c>
      <c r="D410" t="s">
        <v>2810</v>
      </c>
      <c r="E410" t="s">
        <v>2809</v>
      </c>
      <c r="F410" s="46">
        <v>46097.325852303242</v>
      </c>
      <c r="G410" s="46">
        <v>46097.325852303242</v>
      </c>
      <c r="H410">
        <v>0</v>
      </c>
    </row>
    <row r="411" spans="1:8" x14ac:dyDescent="0.15">
      <c r="A411">
        <v>410</v>
      </c>
      <c r="B411" t="s">
        <v>339</v>
      </c>
      <c r="C411" t="s">
        <v>353</v>
      </c>
      <c r="D411" t="s">
        <v>2811</v>
      </c>
      <c r="E411" t="s">
        <v>2809</v>
      </c>
      <c r="F411" s="46">
        <v>46097.325852303242</v>
      </c>
      <c r="G411" s="46">
        <v>46097.325852476853</v>
      </c>
      <c r="H411">
        <v>16</v>
      </c>
    </row>
    <row r="412" spans="1:8" x14ac:dyDescent="0.15">
      <c r="A412">
        <v>411</v>
      </c>
      <c r="B412" t="s">
        <v>339</v>
      </c>
      <c r="C412" t="s">
        <v>353</v>
      </c>
      <c r="D412" t="s">
        <v>2812</v>
      </c>
      <c r="E412" t="s">
        <v>2813</v>
      </c>
      <c r="F412" s="46">
        <v>46097.325852476853</v>
      </c>
      <c r="G412" s="46">
        <v>46097.325852476853</v>
      </c>
      <c r="H412">
        <v>0</v>
      </c>
    </row>
    <row r="413" spans="1:8" x14ac:dyDescent="0.15">
      <c r="A413">
        <v>412</v>
      </c>
      <c r="B413" t="s">
        <v>339</v>
      </c>
      <c r="C413" t="s">
        <v>353</v>
      </c>
      <c r="D413" t="s">
        <v>2814</v>
      </c>
      <c r="E413" t="s">
        <v>2815</v>
      </c>
      <c r="F413" s="46">
        <v>46097.325852476853</v>
      </c>
      <c r="G413" s="46">
        <v>46097.325852476853</v>
      </c>
      <c r="H413">
        <v>0</v>
      </c>
    </row>
    <row r="414" spans="1:8" x14ac:dyDescent="0.15">
      <c r="A414">
        <v>413</v>
      </c>
      <c r="B414" t="s">
        <v>339</v>
      </c>
      <c r="C414" t="s">
        <v>353</v>
      </c>
      <c r="D414" t="s">
        <v>2816</v>
      </c>
      <c r="E414" t="s">
        <v>2815</v>
      </c>
      <c r="F414" s="46">
        <v>46097.325852476853</v>
      </c>
      <c r="G414" s="46">
        <v>46097.325852476853</v>
      </c>
      <c r="H414">
        <v>0</v>
      </c>
    </row>
    <row r="415" spans="1:8" x14ac:dyDescent="0.15">
      <c r="A415">
        <v>414</v>
      </c>
      <c r="B415" t="s">
        <v>339</v>
      </c>
      <c r="C415" t="s">
        <v>353</v>
      </c>
      <c r="D415" t="s">
        <v>2817</v>
      </c>
      <c r="E415" t="s">
        <v>2815</v>
      </c>
      <c r="F415" s="46">
        <v>46097.325852476853</v>
      </c>
      <c r="G415" s="46">
        <v>46097.325852476853</v>
      </c>
      <c r="H415">
        <v>0</v>
      </c>
    </row>
    <row r="416" spans="1:8" x14ac:dyDescent="0.15">
      <c r="A416">
        <v>415</v>
      </c>
      <c r="B416" t="s">
        <v>339</v>
      </c>
      <c r="C416" t="s">
        <v>353</v>
      </c>
      <c r="D416" t="s">
        <v>2818</v>
      </c>
      <c r="E416" t="s">
        <v>2815</v>
      </c>
      <c r="F416" s="46">
        <v>46097.325852476853</v>
      </c>
      <c r="G416" s="46">
        <v>46097.325852476853</v>
      </c>
      <c r="H416">
        <v>0</v>
      </c>
    </row>
    <row r="417" spans="1:8" x14ac:dyDescent="0.15">
      <c r="A417">
        <v>416</v>
      </c>
      <c r="B417" t="s">
        <v>339</v>
      </c>
      <c r="C417" t="s">
        <v>353</v>
      </c>
      <c r="D417" t="s">
        <v>2819</v>
      </c>
      <c r="E417" t="s">
        <v>2815</v>
      </c>
      <c r="F417" s="46">
        <v>46097.325852476853</v>
      </c>
      <c r="G417" s="46">
        <v>46097.325852476853</v>
      </c>
      <c r="H417">
        <v>0</v>
      </c>
    </row>
    <row r="418" spans="1:8" x14ac:dyDescent="0.15">
      <c r="A418">
        <v>417</v>
      </c>
      <c r="B418" t="s">
        <v>339</v>
      </c>
      <c r="C418" t="s">
        <v>353</v>
      </c>
      <c r="D418" t="s">
        <v>2820</v>
      </c>
      <c r="E418" t="s">
        <v>2821</v>
      </c>
      <c r="F418" s="46">
        <v>46097.325852476853</v>
      </c>
      <c r="G418" s="46">
        <v>46097.325852476853</v>
      </c>
      <c r="H418">
        <v>0</v>
      </c>
    </row>
    <row r="419" spans="1:8" x14ac:dyDescent="0.15">
      <c r="A419">
        <v>418</v>
      </c>
      <c r="B419" t="s">
        <v>339</v>
      </c>
      <c r="C419" t="s">
        <v>353</v>
      </c>
      <c r="D419" t="s">
        <v>2822</v>
      </c>
      <c r="E419" t="s">
        <v>2823</v>
      </c>
      <c r="F419" s="46">
        <v>46097.325852476853</v>
      </c>
      <c r="G419" s="46">
        <v>46097.325852476853</v>
      </c>
      <c r="H419">
        <v>0</v>
      </c>
    </row>
    <row r="420" spans="1:8" x14ac:dyDescent="0.15">
      <c r="A420">
        <v>419</v>
      </c>
      <c r="B420" t="s">
        <v>339</v>
      </c>
      <c r="C420" t="s">
        <v>353</v>
      </c>
      <c r="D420" t="s">
        <v>2824</v>
      </c>
      <c r="E420" t="s">
        <v>2825</v>
      </c>
      <c r="F420" s="46">
        <v>46097.325852476853</v>
      </c>
      <c r="G420" s="46">
        <v>46097.325852476853</v>
      </c>
      <c r="H420">
        <v>0</v>
      </c>
    </row>
    <row r="421" spans="1:8" x14ac:dyDescent="0.15">
      <c r="A421">
        <v>420</v>
      </c>
      <c r="B421" t="s">
        <v>339</v>
      </c>
      <c r="C421" t="s">
        <v>353</v>
      </c>
      <c r="D421" t="s">
        <v>2826</v>
      </c>
      <c r="E421" t="s">
        <v>2827</v>
      </c>
      <c r="F421" s="46">
        <v>46097.325852476853</v>
      </c>
      <c r="G421" s="46">
        <v>46097.325852662027</v>
      </c>
      <c r="H421">
        <v>16</v>
      </c>
    </row>
    <row r="422" spans="1:8" x14ac:dyDescent="0.15">
      <c r="A422">
        <v>421</v>
      </c>
      <c r="B422" t="s">
        <v>339</v>
      </c>
      <c r="C422" t="s">
        <v>353</v>
      </c>
      <c r="D422" t="s">
        <v>2828</v>
      </c>
      <c r="E422" t="s">
        <v>2827</v>
      </c>
      <c r="F422" s="46">
        <v>46097.325852662027</v>
      </c>
      <c r="G422" s="46">
        <v>46097.325852662027</v>
      </c>
      <c r="H422">
        <v>0</v>
      </c>
    </row>
    <row r="423" spans="1:8" x14ac:dyDescent="0.15">
      <c r="A423">
        <v>422</v>
      </c>
      <c r="B423" t="s">
        <v>339</v>
      </c>
      <c r="C423" t="s">
        <v>353</v>
      </c>
      <c r="D423" t="s">
        <v>2829</v>
      </c>
      <c r="E423" t="s">
        <v>2827</v>
      </c>
      <c r="F423" s="46">
        <v>46097.325852662027</v>
      </c>
      <c r="G423" s="46">
        <v>46097.325852662027</v>
      </c>
      <c r="H423">
        <v>0</v>
      </c>
    </row>
    <row r="424" spans="1:8" x14ac:dyDescent="0.15">
      <c r="A424">
        <v>423</v>
      </c>
      <c r="B424" t="s">
        <v>339</v>
      </c>
      <c r="C424" t="s">
        <v>353</v>
      </c>
      <c r="D424" t="s">
        <v>2830</v>
      </c>
      <c r="E424" t="s">
        <v>2827</v>
      </c>
      <c r="F424" s="46">
        <v>46097.325852662027</v>
      </c>
      <c r="G424" s="46">
        <v>46097.325852662027</v>
      </c>
      <c r="H424">
        <v>0</v>
      </c>
    </row>
    <row r="425" spans="1:8" x14ac:dyDescent="0.15">
      <c r="A425">
        <v>424</v>
      </c>
      <c r="B425" t="s">
        <v>339</v>
      </c>
      <c r="C425" t="s">
        <v>353</v>
      </c>
      <c r="D425" t="s">
        <v>2831</v>
      </c>
      <c r="E425" t="s">
        <v>2827</v>
      </c>
      <c r="F425" s="46">
        <v>46097.325852662027</v>
      </c>
      <c r="G425" s="46">
        <v>46097.325852662027</v>
      </c>
      <c r="H425">
        <v>0</v>
      </c>
    </row>
    <row r="426" spans="1:8" x14ac:dyDescent="0.15">
      <c r="A426">
        <v>425</v>
      </c>
      <c r="B426" t="s">
        <v>339</v>
      </c>
      <c r="C426" t="s">
        <v>353</v>
      </c>
      <c r="D426" t="s">
        <v>2832</v>
      </c>
      <c r="E426" t="s">
        <v>2827</v>
      </c>
      <c r="F426" s="46">
        <v>46097.325852662027</v>
      </c>
      <c r="G426" s="46">
        <v>46097.325852662027</v>
      </c>
      <c r="H426">
        <v>0</v>
      </c>
    </row>
    <row r="427" spans="1:8" x14ac:dyDescent="0.15">
      <c r="A427">
        <v>426</v>
      </c>
      <c r="B427" t="s">
        <v>339</v>
      </c>
      <c r="C427" t="s">
        <v>353</v>
      </c>
      <c r="D427" t="s">
        <v>2833</v>
      </c>
      <c r="E427" t="s">
        <v>2827</v>
      </c>
      <c r="F427" s="46">
        <v>46097.325852662027</v>
      </c>
      <c r="G427" s="46">
        <v>46097.325852662027</v>
      </c>
      <c r="H427">
        <v>0</v>
      </c>
    </row>
    <row r="428" spans="1:8" x14ac:dyDescent="0.15">
      <c r="A428">
        <v>427</v>
      </c>
      <c r="B428" t="s">
        <v>339</v>
      </c>
      <c r="C428" t="s">
        <v>353</v>
      </c>
      <c r="D428" t="s">
        <v>2834</v>
      </c>
      <c r="E428" t="s">
        <v>2827</v>
      </c>
      <c r="F428" s="46">
        <v>46097.325852662027</v>
      </c>
      <c r="G428" s="46">
        <v>46097.325852662027</v>
      </c>
      <c r="H428">
        <v>0</v>
      </c>
    </row>
    <row r="429" spans="1:8" x14ac:dyDescent="0.15">
      <c r="A429">
        <v>428</v>
      </c>
      <c r="B429" t="s">
        <v>339</v>
      </c>
      <c r="C429" t="s">
        <v>353</v>
      </c>
      <c r="D429" t="s">
        <v>2835</v>
      </c>
      <c r="E429" t="s">
        <v>2827</v>
      </c>
      <c r="F429" s="46">
        <v>46097.325852662027</v>
      </c>
      <c r="G429" s="46">
        <v>46097.325852662027</v>
      </c>
      <c r="H429">
        <v>0</v>
      </c>
    </row>
    <row r="430" spans="1:8" x14ac:dyDescent="0.15">
      <c r="A430">
        <v>429</v>
      </c>
      <c r="B430" t="s">
        <v>339</v>
      </c>
      <c r="C430" t="s">
        <v>353</v>
      </c>
      <c r="D430" t="s">
        <v>2836</v>
      </c>
      <c r="E430" t="s">
        <v>2827</v>
      </c>
      <c r="F430" s="46">
        <v>46097.325852662027</v>
      </c>
      <c r="G430" s="46">
        <v>46097.325852662027</v>
      </c>
      <c r="H430">
        <v>0</v>
      </c>
    </row>
    <row r="431" spans="1:8" x14ac:dyDescent="0.15">
      <c r="A431">
        <v>430</v>
      </c>
      <c r="B431" t="s">
        <v>339</v>
      </c>
      <c r="C431" t="s">
        <v>353</v>
      </c>
      <c r="D431" t="s">
        <v>2837</v>
      </c>
      <c r="E431" t="s">
        <v>2827</v>
      </c>
      <c r="F431" s="46">
        <v>46097.325852662027</v>
      </c>
      <c r="G431" s="46">
        <v>46097.325852662027</v>
      </c>
      <c r="H431">
        <v>0</v>
      </c>
    </row>
    <row r="432" spans="1:8" x14ac:dyDescent="0.15">
      <c r="A432">
        <v>431</v>
      </c>
      <c r="B432" t="s">
        <v>339</v>
      </c>
      <c r="C432" t="s">
        <v>353</v>
      </c>
      <c r="D432" t="s">
        <v>2838</v>
      </c>
      <c r="E432" t="s">
        <v>2827</v>
      </c>
      <c r="F432" s="46">
        <v>46097.325852847222</v>
      </c>
      <c r="G432" s="46">
        <v>46097.325852847222</v>
      </c>
      <c r="H432">
        <v>0</v>
      </c>
    </row>
    <row r="433" spans="1:8" x14ac:dyDescent="0.15">
      <c r="A433">
        <v>432</v>
      </c>
      <c r="B433" t="s">
        <v>339</v>
      </c>
      <c r="C433" t="s">
        <v>353</v>
      </c>
      <c r="D433" t="s">
        <v>2839</v>
      </c>
      <c r="E433" t="s">
        <v>2827</v>
      </c>
      <c r="F433" s="46">
        <v>46097.325852847222</v>
      </c>
      <c r="G433" s="46">
        <v>46097.325852847222</v>
      </c>
      <c r="H433">
        <v>0</v>
      </c>
    </row>
    <row r="434" spans="1:8" x14ac:dyDescent="0.15">
      <c r="A434">
        <v>433</v>
      </c>
      <c r="B434" t="s">
        <v>339</v>
      </c>
      <c r="C434" t="s">
        <v>353</v>
      </c>
      <c r="D434" t="s">
        <v>2840</v>
      </c>
      <c r="E434" t="s">
        <v>2827</v>
      </c>
      <c r="F434" s="46">
        <v>46097.325852847222</v>
      </c>
      <c r="G434" s="46">
        <v>46097.325852847222</v>
      </c>
      <c r="H434">
        <v>0</v>
      </c>
    </row>
    <row r="435" spans="1:8" x14ac:dyDescent="0.15">
      <c r="A435">
        <v>434</v>
      </c>
      <c r="B435" t="s">
        <v>339</v>
      </c>
      <c r="C435" t="s">
        <v>353</v>
      </c>
      <c r="D435" t="s">
        <v>2841</v>
      </c>
      <c r="E435" t="s">
        <v>2827</v>
      </c>
      <c r="F435" s="46">
        <v>46097.325852847222</v>
      </c>
      <c r="G435" s="46">
        <v>46097.325852847222</v>
      </c>
      <c r="H435">
        <v>0</v>
      </c>
    </row>
    <row r="436" spans="1:8" x14ac:dyDescent="0.15">
      <c r="A436">
        <v>435</v>
      </c>
      <c r="B436" t="s">
        <v>339</v>
      </c>
      <c r="C436" t="s">
        <v>353</v>
      </c>
      <c r="D436" t="s">
        <v>2842</v>
      </c>
      <c r="E436" t="s">
        <v>2827</v>
      </c>
      <c r="F436" s="46">
        <v>46097.325852847222</v>
      </c>
      <c r="G436" s="46">
        <v>46097.325852847222</v>
      </c>
      <c r="H436">
        <v>0</v>
      </c>
    </row>
    <row r="437" spans="1:8" x14ac:dyDescent="0.15">
      <c r="A437">
        <v>436</v>
      </c>
      <c r="B437" t="s">
        <v>339</v>
      </c>
      <c r="C437" t="s">
        <v>353</v>
      </c>
      <c r="D437" t="s">
        <v>2843</v>
      </c>
      <c r="E437" t="s">
        <v>2827</v>
      </c>
      <c r="F437" s="46">
        <v>46097.325852847222</v>
      </c>
      <c r="G437" s="46">
        <v>46097.325852847222</v>
      </c>
      <c r="H437">
        <v>0</v>
      </c>
    </row>
    <row r="438" spans="1:8" x14ac:dyDescent="0.15">
      <c r="A438">
        <v>437</v>
      </c>
      <c r="B438" t="s">
        <v>339</v>
      </c>
      <c r="C438" t="s">
        <v>353</v>
      </c>
      <c r="D438" t="s">
        <v>2844</v>
      </c>
      <c r="E438" t="s">
        <v>2827</v>
      </c>
      <c r="F438" s="46">
        <v>46097.325852847222</v>
      </c>
      <c r="G438" s="46">
        <v>46097.325852847222</v>
      </c>
      <c r="H438">
        <v>0</v>
      </c>
    </row>
    <row r="439" spans="1:8" x14ac:dyDescent="0.15">
      <c r="A439">
        <v>438</v>
      </c>
      <c r="B439" t="s">
        <v>339</v>
      </c>
      <c r="C439" t="s">
        <v>353</v>
      </c>
      <c r="D439" t="s">
        <v>2845</v>
      </c>
      <c r="E439" t="s">
        <v>2846</v>
      </c>
      <c r="F439" s="46">
        <v>46097.325852847222</v>
      </c>
      <c r="G439" s="46">
        <v>46097.325852847222</v>
      </c>
      <c r="H439">
        <v>0</v>
      </c>
    </row>
    <row r="440" spans="1:8" x14ac:dyDescent="0.15">
      <c r="A440">
        <v>439</v>
      </c>
      <c r="B440" t="s">
        <v>339</v>
      </c>
      <c r="C440" t="s">
        <v>353</v>
      </c>
      <c r="D440" t="s">
        <v>2847</v>
      </c>
      <c r="E440" t="s">
        <v>2846</v>
      </c>
      <c r="F440" s="46">
        <v>46097.325852847222</v>
      </c>
      <c r="G440" s="46">
        <v>46097.325852847222</v>
      </c>
      <c r="H440">
        <v>0</v>
      </c>
    </row>
    <row r="441" spans="1:8" x14ac:dyDescent="0.15">
      <c r="A441">
        <v>440</v>
      </c>
      <c r="B441" t="s">
        <v>339</v>
      </c>
      <c r="C441" t="s">
        <v>353</v>
      </c>
      <c r="D441" t="s">
        <v>2848</v>
      </c>
      <c r="E441" t="s">
        <v>2846</v>
      </c>
      <c r="F441" s="46">
        <v>46097.325852847222</v>
      </c>
      <c r="G441" s="46">
        <v>46097.325852847222</v>
      </c>
      <c r="H441">
        <v>0</v>
      </c>
    </row>
    <row r="442" spans="1:8" x14ac:dyDescent="0.15">
      <c r="A442">
        <v>441</v>
      </c>
      <c r="B442" t="s">
        <v>339</v>
      </c>
      <c r="C442" t="s">
        <v>353</v>
      </c>
      <c r="D442" t="s">
        <v>2849</v>
      </c>
      <c r="E442" t="s">
        <v>2846</v>
      </c>
      <c r="F442" s="46">
        <v>46097.325852847222</v>
      </c>
      <c r="G442" s="46">
        <v>46097.325853020833</v>
      </c>
      <c r="H442">
        <v>16</v>
      </c>
    </row>
    <row r="443" spans="1:8" x14ac:dyDescent="0.15">
      <c r="A443">
        <v>442</v>
      </c>
      <c r="B443" t="s">
        <v>339</v>
      </c>
      <c r="C443" t="s">
        <v>353</v>
      </c>
      <c r="D443" t="s">
        <v>2850</v>
      </c>
      <c r="E443" t="s">
        <v>2846</v>
      </c>
      <c r="F443" s="46">
        <v>46097.325853020833</v>
      </c>
      <c r="G443" s="46">
        <v>46097.325853020833</v>
      </c>
      <c r="H443">
        <v>0</v>
      </c>
    </row>
    <row r="444" spans="1:8" x14ac:dyDescent="0.15">
      <c r="A444">
        <v>443</v>
      </c>
      <c r="B444" t="s">
        <v>339</v>
      </c>
      <c r="C444" t="s">
        <v>353</v>
      </c>
      <c r="D444" t="s">
        <v>2851</v>
      </c>
      <c r="E444" t="s">
        <v>2852</v>
      </c>
      <c r="F444" s="46">
        <v>46097.325853020833</v>
      </c>
      <c r="G444" s="46">
        <v>46097.325853020833</v>
      </c>
      <c r="H444">
        <v>0</v>
      </c>
    </row>
    <row r="445" spans="1:8" x14ac:dyDescent="0.15">
      <c r="A445">
        <v>444</v>
      </c>
      <c r="B445" t="s">
        <v>339</v>
      </c>
      <c r="C445" t="s">
        <v>353</v>
      </c>
      <c r="D445" t="s">
        <v>2853</v>
      </c>
      <c r="E445" t="s">
        <v>2854</v>
      </c>
      <c r="F445" s="46">
        <v>46097.325853020833</v>
      </c>
      <c r="G445" s="46">
        <v>46097.325853020833</v>
      </c>
      <c r="H445">
        <v>0</v>
      </c>
    </row>
    <row r="446" spans="1:8" x14ac:dyDescent="0.15">
      <c r="A446">
        <v>445</v>
      </c>
      <c r="B446" t="s">
        <v>339</v>
      </c>
      <c r="C446" t="s">
        <v>353</v>
      </c>
      <c r="D446" t="s">
        <v>2855</v>
      </c>
      <c r="E446" t="s">
        <v>2856</v>
      </c>
      <c r="F446" s="46">
        <v>46097.325853020833</v>
      </c>
      <c r="G446" s="46">
        <v>46097.325853020833</v>
      </c>
      <c r="H446">
        <v>0</v>
      </c>
    </row>
    <row r="447" spans="1:8" x14ac:dyDescent="0.15">
      <c r="A447">
        <v>446</v>
      </c>
      <c r="B447" t="s">
        <v>339</v>
      </c>
      <c r="C447" t="s">
        <v>353</v>
      </c>
      <c r="D447" t="s">
        <v>2857</v>
      </c>
      <c r="E447" t="s">
        <v>2858</v>
      </c>
      <c r="F447" s="46">
        <v>46097.325853020833</v>
      </c>
      <c r="G447" s="46">
        <v>46097.325853020833</v>
      </c>
      <c r="H447">
        <v>0</v>
      </c>
    </row>
    <row r="448" spans="1:8" x14ac:dyDescent="0.15">
      <c r="A448">
        <v>447</v>
      </c>
      <c r="B448" t="s">
        <v>339</v>
      </c>
      <c r="C448" t="s">
        <v>353</v>
      </c>
      <c r="D448" t="s">
        <v>2859</v>
      </c>
      <c r="E448" t="s">
        <v>2860</v>
      </c>
      <c r="F448" s="46">
        <v>46097.325853020833</v>
      </c>
      <c r="G448" s="46">
        <v>46097.325853020833</v>
      </c>
      <c r="H448">
        <v>0</v>
      </c>
    </row>
    <row r="449" spans="1:8" x14ac:dyDescent="0.15">
      <c r="A449">
        <v>448</v>
      </c>
      <c r="B449" t="s">
        <v>339</v>
      </c>
      <c r="C449" t="s">
        <v>353</v>
      </c>
      <c r="D449" t="s">
        <v>2861</v>
      </c>
      <c r="E449" t="s">
        <v>2862</v>
      </c>
      <c r="F449" s="46">
        <v>46097.325853020833</v>
      </c>
      <c r="G449" s="46">
        <v>46097.325853020833</v>
      </c>
      <c r="H449">
        <v>0</v>
      </c>
    </row>
    <row r="450" spans="1:8" x14ac:dyDescent="0.15">
      <c r="A450">
        <v>449</v>
      </c>
      <c r="B450" t="s">
        <v>339</v>
      </c>
      <c r="C450" t="s">
        <v>353</v>
      </c>
      <c r="D450" t="s">
        <v>2863</v>
      </c>
      <c r="E450" t="s">
        <v>2864</v>
      </c>
      <c r="F450" s="46">
        <v>46097.325853020833</v>
      </c>
      <c r="G450" s="46">
        <v>46097.325853020833</v>
      </c>
      <c r="H450">
        <v>0</v>
      </c>
    </row>
    <row r="451" spans="1:8" x14ac:dyDescent="0.15">
      <c r="A451">
        <v>450</v>
      </c>
      <c r="B451" t="s">
        <v>339</v>
      </c>
      <c r="C451" t="s">
        <v>353</v>
      </c>
      <c r="D451" t="s">
        <v>2865</v>
      </c>
      <c r="E451" t="s">
        <v>2864</v>
      </c>
      <c r="F451" s="46">
        <v>46097.325853020833</v>
      </c>
      <c r="G451" s="46">
        <v>46097.325853020833</v>
      </c>
      <c r="H451">
        <v>0</v>
      </c>
    </row>
    <row r="452" spans="1:8" x14ac:dyDescent="0.15">
      <c r="A452">
        <v>451</v>
      </c>
      <c r="B452" t="s">
        <v>339</v>
      </c>
      <c r="C452" t="s">
        <v>353</v>
      </c>
      <c r="D452" t="s">
        <v>2866</v>
      </c>
      <c r="E452" t="s">
        <v>2864</v>
      </c>
      <c r="F452" s="46">
        <v>46097.325853020833</v>
      </c>
      <c r="G452" s="46">
        <v>46097.325853206021</v>
      </c>
      <c r="H452">
        <v>15</v>
      </c>
    </row>
    <row r="453" spans="1:8" x14ac:dyDescent="0.15">
      <c r="A453">
        <v>452</v>
      </c>
      <c r="B453" t="s">
        <v>339</v>
      </c>
      <c r="C453" t="s">
        <v>353</v>
      </c>
      <c r="D453" t="s">
        <v>2867</v>
      </c>
      <c r="E453" t="s">
        <v>2868</v>
      </c>
      <c r="F453" s="46">
        <v>46097.325853206021</v>
      </c>
      <c r="G453" s="46">
        <v>46097.325853206021</v>
      </c>
      <c r="H453">
        <v>0</v>
      </c>
    </row>
    <row r="454" spans="1:8" x14ac:dyDescent="0.15">
      <c r="A454">
        <v>453</v>
      </c>
      <c r="B454" t="s">
        <v>339</v>
      </c>
      <c r="C454" t="s">
        <v>353</v>
      </c>
      <c r="D454" t="s">
        <v>2869</v>
      </c>
      <c r="E454" t="s">
        <v>2868</v>
      </c>
      <c r="F454" s="46">
        <v>46097.325853206021</v>
      </c>
      <c r="G454" s="46">
        <v>46097.325853206021</v>
      </c>
      <c r="H454">
        <v>0</v>
      </c>
    </row>
    <row r="455" spans="1:8" x14ac:dyDescent="0.15">
      <c r="A455">
        <v>454</v>
      </c>
      <c r="B455" t="s">
        <v>339</v>
      </c>
      <c r="C455" t="s">
        <v>353</v>
      </c>
      <c r="D455" t="s">
        <v>2870</v>
      </c>
      <c r="E455" t="s">
        <v>2868</v>
      </c>
      <c r="F455" s="46">
        <v>46097.325853206021</v>
      </c>
      <c r="G455" s="46">
        <v>46097.325853206021</v>
      </c>
      <c r="H455">
        <v>0</v>
      </c>
    </row>
    <row r="456" spans="1:8" x14ac:dyDescent="0.15">
      <c r="A456">
        <v>455</v>
      </c>
      <c r="B456" t="s">
        <v>339</v>
      </c>
      <c r="C456" t="s">
        <v>353</v>
      </c>
      <c r="D456" t="s">
        <v>2871</v>
      </c>
      <c r="E456" t="s">
        <v>2872</v>
      </c>
      <c r="F456" s="46">
        <v>46097.325853206021</v>
      </c>
      <c r="G456" s="46">
        <v>46097.325853206021</v>
      </c>
      <c r="H456">
        <v>0</v>
      </c>
    </row>
    <row r="457" spans="1:8" x14ac:dyDescent="0.15">
      <c r="A457">
        <v>456</v>
      </c>
      <c r="B457" t="s">
        <v>339</v>
      </c>
      <c r="C457" t="s">
        <v>353</v>
      </c>
      <c r="D457" t="s">
        <v>2873</v>
      </c>
      <c r="E457" t="s">
        <v>2872</v>
      </c>
      <c r="F457" s="46">
        <v>46097.325853206021</v>
      </c>
      <c r="G457" s="46">
        <v>46097.325853206021</v>
      </c>
      <c r="H457">
        <v>0</v>
      </c>
    </row>
    <row r="458" spans="1:8" x14ac:dyDescent="0.15">
      <c r="A458">
        <v>457</v>
      </c>
      <c r="B458" t="s">
        <v>339</v>
      </c>
      <c r="C458" t="s">
        <v>353</v>
      </c>
      <c r="D458" t="s">
        <v>2874</v>
      </c>
      <c r="E458" t="s">
        <v>2872</v>
      </c>
      <c r="F458" s="46">
        <v>46097.325853206021</v>
      </c>
      <c r="G458" s="46">
        <v>46097.325853206021</v>
      </c>
      <c r="H458">
        <v>0</v>
      </c>
    </row>
    <row r="459" spans="1:8" x14ac:dyDescent="0.15">
      <c r="A459">
        <v>458</v>
      </c>
      <c r="B459" t="s">
        <v>339</v>
      </c>
      <c r="C459" t="s">
        <v>353</v>
      </c>
      <c r="D459" t="s">
        <v>2875</v>
      </c>
      <c r="E459" t="s">
        <v>2876</v>
      </c>
      <c r="F459" s="46">
        <v>46097.325853206021</v>
      </c>
      <c r="G459" s="46">
        <v>46097.325853206021</v>
      </c>
      <c r="H459">
        <v>0</v>
      </c>
    </row>
    <row r="460" spans="1:8" x14ac:dyDescent="0.15">
      <c r="A460">
        <v>459</v>
      </c>
      <c r="B460" t="s">
        <v>339</v>
      </c>
      <c r="C460" t="s">
        <v>353</v>
      </c>
      <c r="D460" t="s">
        <v>2877</v>
      </c>
      <c r="E460" t="s">
        <v>2876</v>
      </c>
      <c r="F460" s="46">
        <v>46097.325853206021</v>
      </c>
      <c r="G460" s="46">
        <v>46097.325853206021</v>
      </c>
      <c r="H460">
        <v>0</v>
      </c>
    </row>
    <row r="461" spans="1:8" x14ac:dyDescent="0.15">
      <c r="A461">
        <v>460</v>
      </c>
      <c r="B461" t="s">
        <v>339</v>
      </c>
      <c r="C461" t="s">
        <v>353</v>
      </c>
      <c r="D461" t="s">
        <v>2878</v>
      </c>
      <c r="E461" t="s">
        <v>2876</v>
      </c>
      <c r="F461" s="46">
        <v>46097.325853206021</v>
      </c>
      <c r="G461" s="46">
        <v>46097.325853206021</v>
      </c>
      <c r="H461">
        <v>0</v>
      </c>
    </row>
    <row r="462" spans="1:8" x14ac:dyDescent="0.15">
      <c r="A462">
        <v>461</v>
      </c>
      <c r="B462" t="s">
        <v>339</v>
      </c>
      <c r="C462" t="s">
        <v>353</v>
      </c>
      <c r="D462" t="s">
        <v>2879</v>
      </c>
      <c r="E462" t="s">
        <v>2880</v>
      </c>
      <c r="F462" s="46">
        <v>46097.325853206021</v>
      </c>
      <c r="G462" s="46">
        <v>46097.325853391201</v>
      </c>
      <c r="H462">
        <v>16</v>
      </c>
    </row>
    <row r="463" spans="1:8" x14ac:dyDescent="0.15">
      <c r="A463">
        <v>462</v>
      </c>
      <c r="B463" t="s">
        <v>339</v>
      </c>
      <c r="C463" t="s">
        <v>353</v>
      </c>
      <c r="D463" t="s">
        <v>2881</v>
      </c>
      <c r="E463" t="s">
        <v>2882</v>
      </c>
      <c r="F463" s="46">
        <v>46097.325853391201</v>
      </c>
      <c r="G463" s="46">
        <v>46097.325853391201</v>
      </c>
      <c r="H463">
        <v>0</v>
      </c>
    </row>
    <row r="464" spans="1:8" x14ac:dyDescent="0.15">
      <c r="A464">
        <v>463</v>
      </c>
      <c r="B464" t="s">
        <v>339</v>
      </c>
      <c r="C464" t="s">
        <v>353</v>
      </c>
      <c r="D464" t="s">
        <v>2883</v>
      </c>
      <c r="E464" t="s">
        <v>2882</v>
      </c>
      <c r="F464" s="46">
        <v>46097.325853391201</v>
      </c>
      <c r="G464" s="46">
        <v>46097.325853391201</v>
      </c>
      <c r="H464">
        <v>0</v>
      </c>
    </row>
    <row r="465" spans="1:8" x14ac:dyDescent="0.15">
      <c r="A465">
        <v>464</v>
      </c>
      <c r="B465" t="s">
        <v>339</v>
      </c>
      <c r="C465" t="s">
        <v>353</v>
      </c>
      <c r="D465" t="s">
        <v>2884</v>
      </c>
      <c r="E465" t="s">
        <v>2882</v>
      </c>
      <c r="F465" s="46">
        <v>46097.325853391201</v>
      </c>
      <c r="G465" s="46">
        <v>46097.325853391201</v>
      </c>
      <c r="H465">
        <v>0</v>
      </c>
    </row>
    <row r="466" spans="1:8" x14ac:dyDescent="0.15">
      <c r="A466">
        <v>465</v>
      </c>
      <c r="B466" t="s">
        <v>339</v>
      </c>
      <c r="C466" t="s">
        <v>353</v>
      </c>
      <c r="D466" t="s">
        <v>2885</v>
      </c>
      <c r="E466" t="s">
        <v>2882</v>
      </c>
      <c r="F466" s="46">
        <v>46097.325853391201</v>
      </c>
      <c r="G466" s="46">
        <v>46097.325853391201</v>
      </c>
      <c r="H466">
        <v>0</v>
      </c>
    </row>
    <row r="467" spans="1:8" x14ac:dyDescent="0.15">
      <c r="A467">
        <v>466</v>
      </c>
      <c r="B467" t="s">
        <v>339</v>
      </c>
      <c r="C467" t="s">
        <v>353</v>
      </c>
      <c r="D467" t="s">
        <v>2886</v>
      </c>
      <c r="E467" t="s">
        <v>2882</v>
      </c>
      <c r="F467" s="46">
        <v>46097.325853391201</v>
      </c>
      <c r="G467" s="46">
        <v>46097.325853391201</v>
      </c>
      <c r="H467">
        <v>0</v>
      </c>
    </row>
    <row r="468" spans="1:8" x14ac:dyDescent="0.15">
      <c r="A468">
        <v>467</v>
      </c>
      <c r="B468" t="s">
        <v>339</v>
      </c>
      <c r="C468" t="s">
        <v>353</v>
      </c>
      <c r="D468" t="s">
        <v>2887</v>
      </c>
      <c r="E468" t="s">
        <v>2882</v>
      </c>
      <c r="F468" s="46">
        <v>46097.325853391201</v>
      </c>
      <c r="G468" s="46">
        <v>46097.325853391201</v>
      </c>
      <c r="H468">
        <v>0</v>
      </c>
    </row>
    <row r="469" spans="1:8" x14ac:dyDescent="0.15">
      <c r="A469">
        <v>468</v>
      </c>
      <c r="B469" t="s">
        <v>339</v>
      </c>
      <c r="C469" t="s">
        <v>353</v>
      </c>
      <c r="D469" t="s">
        <v>2888</v>
      </c>
      <c r="E469" t="s">
        <v>2882</v>
      </c>
      <c r="F469" s="46">
        <v>46097.325853391201</v>
      </c>
      <c r="G469" s="46">
        <v>46097.325853391201</v>
      </c>
      <c r="H469">
        <v>0</v>
      </c>
    </row>
    <row r="470" spans="1:8" x14ac:dyDescent="0.15">
      <c r="A470">
        <v>469</v>
      </c>
      <c r="B470" t="s">
        <v>339</v>
      </c>
      <c r="C470" t="s">
        <v>353</v>
      </c>
      <c r="D470" t="s">
        <v>2889</v>
      </c>
      <c r="E470" t="s">
        <v>2882</v>
      </c>
      <c r="F470" s="46">
        <v>46097.325853391201</v>
      </c>
      <c r="G470" s="46">
        <v>46097.325853391201</v>
      </c>
      <c r="H470">
        <v>0</v>
      </c>
    </row>
    <row r="471" spans="1:8" x14ac:dyDescent="0.15">
      <c r="A471">
        <v>470</v>
      </c>
      <c r="B471" t="s">
        <v>339</v>
      </c>
      <c r="C471" t="s">
        <v>353</v>
      </c>
      <c r="D471" t="s">
        <v>2890</v>
      </c>
      <c r="E471" t="s">
        <v>2891</v>
      </c>
      <c r="F471" s="46">
        <v>46097.325853391201</v>
      </c>
      <c r="G471" s="46">
        <v>46097.325853391201</v>
      </c>
      <c r="H471">
        <v>0</v>
      </c>
    </row>
    <row r="472" spans="1:8" x14ac:dyDescent="0.15">
      <c r="A472">
        <v>471</v>
      </c>
      <c r="B472" t="s">
        <v>339</v>
      </c>
      <c r="C472" t="s">
        <v>353</v>
      </c>
      <c r="D472" t="s">
        <v>2892</v>
      </c>
      <c r="E472" t="s">
        <v>2893</v>
      </c>
      <c r="F472" s="46">
        <v>46097.325853391201</v>
      </c>
      <c r="G472" s="46">
        <v>46097.325853564813</v>
      </c>
      <c r="H472">
        <v>16</v>
      </c>
    </row>
    <row r="473" spans="1:8" x14ac:dyDescent="0.15">
      <c r="A473">
        <v>472</v>
      </c>
      <c r="B473" t="s">
        <v>339</v>
      </c>
      <c r="C473" t="s">
        <v>353</v>
      </c>
      <c r="D473" t="s">
        <v>2894</v>
      </c>
      <c r="E473" t="s">
        <v>2895</v>
      </c>
      <c r="F473" s="46">
        <v>46097.325853564813</v>
      </c>
      <c r="G473" s="46">
        <v>46097.325853564813</v>
      </c>
      <c r="H473">
        <v>0</v>
      </c>
    </row>
    <row r="474" spans="1:8" x14ac:dyDescent="0.15">
      <c r="A474">
        <v>473</v>
      </c>
      <c r="B474" t="s">
        <v>339</v>
      </c>
      <c r="C474" t="s">
        <v>353</v>
      </c>
      <c r="D474" t="s">
        <v>2896</v>
      </c>
      <c r="E474" t="s">
        <v>2897</v>
      </c>
      <c r="F474" s="46">
        <v>46097.325853564813</v>
      </c>
      <c r="G474" s="46">
        <v>46097.325853564813</v>
      </c>
      <c r="H474">
        <v>0</v>
      </c>
    </row>
    <row r="475" spans="1:8" x14ac:dyDescent="0.15">
      <c r="A475">
        <v>474</v>
      </c>
      <c r="B475" t="s">
        <v>339</v>
      </c>
      <c r="C475" t="s">
        <v>353</v>
      </c>
      <c r="D475" t="s">
        <v>2898</v>
      </c>
      <c r="E475" t="s">
        <v>2899</v>
      </c>
      <c r="F475" s="46">
        <v>46097.325853564813</v>
      </c>
      <c r="G475" s="46">
        <v>46097.325853564813</v>
      </c>
      <c r="H475">
        <v>0</v>
      </c>
    </row>
    <row r="476" spans="1:8" x14ac:dyDescent="0.15">
      <c r="A476">
        <v>475</v>
      </c>
      <c r="B476" t="s">
        <v>339</v>
      </c>
      <c r="C476" t="s">
        <v>353</v>
      </c>
      <c r="D476" t="s">
        <v>2900</v>
      </c>
      <c r="E476" t="s">
        <v>2901</v>
      </c>
      <c r="F476" s="46">
        <v>46097.325853564813</v>
      </c>
      <c r="G476" s="46">
        <v>46097.325853564813</v>
      </c>
      <c r="H476">
        <v>0</v>
      </c>
    </row>
    <row r="477" spans="1:8" x14ac:dyDescent="0.15">
      <c r="A477">
        <v>476</v>
      </c>
      <c r="B477" t="s">
        <v>339</v>
      </c>
      <c r="C477" t="s">
        <v>353</v>
      </c>
      <c r="D477" t="s">
        <v>2902</v>
      </c>
      <c r="E477" t="s">
        <v>2903</v>
      </c>
      <c r="F477" s="46">
        <v>46097.325853564813</v>
      </c>
      <c r="G477" s="46">
        <v>46097.325853564813</v>
      </c>
      <c r="H477">
        <v>0</v>
      </c>
    </row>
    <row r="478" spans="1:8" x14ac:dyDescent="0.15">
      <c r="A478">
        <v>477</v>
      </c>
      <c r="B478" t="s">
        <v>339</v>
      </c>
      <c r="C478" t="s">
        <v>353</v>
      </c>
      <c r="D478" t="s">
        <v>2904</v>
      </c>
      <c r="E478" t="s">
        <v>2905</v>
      </c>
      <c r="F478" s="46">
        <v>46097.325853564813</v>
      </c>
      <c r="G478" s="46">
        <v>46097.325853564813</v>
      </c>
      <c r="H478">
        <v>0</v>
      </c>
    </row>
    <row r="479" spans="1:8" x14ac:dyDescent="0.15">
      <c r="A479">
        <v>478</v>
      </c>
      <c r="B479" t="s">
        <v>339</v>
      </c>
      <c r="C479" t="s">
        <v>353</v>
      </c>
      <c r="D479" t="s">
        <v>2906</v>
      </c>
      <c r="E479" t="s">
        <v>2905</v>
      </c>
      <c r="F479" s="46">
        <v>46097.325853564813</v>
      </c>
      <c r="G479" s="46">
        <v>46097.325853564813</v>
      </c>
      <c r="H479">
        <v>0</v>
      </c>
    </row>
    <row r="480" spans="1:8" x14ac:dyDescent="0.15">
      <c r="A480">
        <v>479</v>
      </c>
      <c r="B480" t="s">
        <v>339</v>
      </c>
      <c r="C480" t="s">
        <v>353</v>
      </c>
      <c r="D480" t="s">
        <v>2907</v>
      </c>
      <c r="E480" t="s">
        <v>2905</v>
      </c>
      <c r="F480" s="46">
        <v>46097.325853564813</v>
      </c>
      <c r="G480" s="46">
        <v>46097.325853564813</v>
      </c>
      <c r="H480">
        <v>0</v>
      </c>
    </row>
    <row r="481" spans="1:8" x14ac:dyDescent="0.15">
      <c r="A481">
        <v>480</v>
      </c>
      <c r="B481" t="s">
        <v>339</v>
      </c>
      <c r="C481" t="s">
        <v>353</v>
      </c>
      <c r="D481" t="s">
        <v>2908</v>
      </c>
      <c r="E481" t="s">
        <v>2905</v>
      </c>
      <c r="F481" s="46">
        <v>46097.325853564813</v>
      </c>
      <c r="G481" s="46">
        <v>46097.325853564813</v>
      </c>
      <c r="H481">
        <v>0</v>
      </c>
    </row>
    <row r="482" spans="1:8" x14ac:dyDescent="0.15">
      <c r="A482">
        <v>481</v>
      </c>
      <c r="B482" t="s">
        <v>339</v>
      </c>
      <c r="C482" t="s">
        <v>353</v>
      </c>
      <c r="D482" t="s">
        <v>2909</v>
      </c>
      <c r="E482" t="s">
        <v>2905</v>
      </c>
      <c r="F482" s="46">
        <v>46097.325853564813</v>
      </c>
      <c r="G482" s="46">
        <v>46097.325853750001</v>
      </c>
      <c r="H482">
        <v>15</v>
      </c>
    </row>
    <row r="483" spans="1:8" x14ac:dyDescent="0.15">
      <c r="A483">
        <v>482</v>
      </c>
      <c r="B483" t="s">
        <v>339</v>
      </c>
      <c r="C483" t="s">
        <v>353</v>
      </c>
      <c r="D483" t="s">
        <v>2910</v>
      </c>
      <c r="E483" t="s">
        <v>2911</v>
      </c>
      <c r="F483" s="46">
        <v>46097.325853750001</v>
      </c>
      <c r="G483" s="46">
        <v>46097.325853750001</v>
      </c>
      <c r="H483">
        <v>0</v>
      </c>
    </row>
    <row r="484" spans="1:8" x14ac:dyDescent="0.15">
      <c r="A484">
        <v>483</v>
      </c>
      <c r="B484" t="s">
        <v>339</v>
      </c>
      <c r="C484" t="s">
        <v>353</v>
      </c>
      <c r="D484" t="s">
        <v>2912</v>
      </c>
      <c r="E484" t="s">
        <v>2913</v>
      </c>
      <c r="F484" s="46">
        <v>46097.325853750001</v>
      </c>
      <c r="G484" s="46">
        <v>46097.325853750001</v>
      </c>
      <c r="H484">
        <v>0</v>
      </c>
    </row>
    <row r="485" spans="1:8" x14ac:dyDescent="0.15">
      <c r="A485">
        <v>484</v>
      </c>
      <c r="B485" t="s">
        <v>339</v>
      </c>
      <c r="C485" t="s">
        <v>353</v>
      </c>
      <c r="D485" t="s">
        <v>2914</v>
      </c>
      <c r="E485" t="s">
        <v>2915</v>
      </c>
      <c r="F485" s="46">
        <v>46097.325853750001</v>
      </c>
      <c r="G485" s="46">
        <v>46097.325853750001</v>
      </c>
      <c r="H485">
        <v>0</v>
      </c>
    </row>
    <row r="486" spans="1:8" x14ac:dyDescent="0.15">
      <c r="A486">
        <v>485</v>
      </c>
      <c r="B486" t="s">
        <v>339</v>
      </c>
      <c r="C486" t="s">
        <v>353</v>
      </c>
      <c r="D486" t="s">
        <v>2916</v>
      </c>
      <c r="E486" t="s">
        <v>2915</v>
      </c>
      <c r="F486" s="46">
        <v>46097.325853750001</v>
      </c>
      <c r="G486" s="46">
        <v>46097.325853750001</v>
      </c>
      <c r="H486">
        <v>0</v>
      </c>
    </row>
    <row r="487" spans="1:8" x14ac:dyDescent="0.15">
      <c r="A487">
        <v>486</v>
      </c>
      <c r="B487" t="s">
        <v>339</v>
      </c>
      <c r="C487" t="s">
        <v>353</v>
      </c>
      <c r="D487" t="s">
        <v>2917</v>
      </c>
      <c r="E487" t="s">
        <v>2915</v>
      </c>
      <c r="F487" s="46">
        <v>46097.325853750001</v>
      </c>
      <c r="G487" s="46">
        <v>46097.325853750001</v>
      </c>
      <c r="H487">
        <v>0</v>
      </c>
    </row>
    <row r="488" spans="1:8" x14ac:dyDescent="0.15">
      <c r="A488">
        <v>487</v>
      </c>
      <c r="B488" t="s">
        <v>339</v>
      </c>
      <c r="C488" t="s">
        <v>353</v>
      </c>
      <c r="D488" t="s">
        <v>2918</v>
      </c>
      <c r="E488" t="s">
        <v>2915</v>
      </c>
      <c r="F488" s="46">
        <v>46097.325853750001</v>
      </c>
      <c r="G488" s="46">
        <v>46097.325853750001</v>
      </c>
      <c r="H488">
        <v>0</v>
      </c>
    </row>
    <row r="489" spans="1:8" x14ac:dyDescent="0.15">
      <c r="A489">
        <v>488</v>
      </c>
      <c r="B489" t="s">
        <v>339</v>
      </c>
      <c r="C489" t="s">
        <v>353</v>
      </c>
      <c r="D489" t="s">
        <v>2919</v>
      </c>
      <c r="E489" t="s">
        <v>2920</v>
      </c>
      <c r="F489" s="46">
        <v>46097.325853750001</v>
      </c>
      <c r="G489" s="46">
        <v>46097.325853750001</v>
      </c>
      <c r="H489">
        <v>0</v>
      </c>
    </row>
    <row r="490" spans="1:8" x14ac:dyDescent="0.15">
      <c r="A490">
        <v>489</v>
      </c>
      <c r="B490" t="s">
        <v>339</v>
      </c>
      <c r="C490" t="s">
        <v>353</v>
      </c>
      <c r="D490" t="s">
        <v>2921</v>
      </c>
      <c r="E490" t="s">
        <v>2922</v>
      </c>
      <c r="F490" s="46">
        <v>46097.325853750001</v>
      </c>
      <c r="G490" s="46">
        <v>46097.325853750001</v>
      </c>
      <c r="H490">
        <v>0</v>
      </c>
    </row>
    <row r="491" spans="1:8" x14ac:dyDescent="0.15">
      <c r="A491">
        <v>490</v>
      </c>
      <c r="B491" t="s">
        <v>339</v>
      </c>
      <c r="C491" t="s">
        <v>353</v>
      </c>
      <c r="D491" t="s">
        <v>2923</v>
      </c>
      <c r="E491" t="s">
        <v>2924</v>
      </c>
      <c r="F491" s="46">
        <v>46097.325853750001</v>
      </c>
      <c r="G491" s="46">
        <v>46097.325853750001</v>
      </c>
      <c r="H491">
        <v>0</v>
      </c>
    </row>
    <row r="492" spans="1:8" x14ac:dyDescent="0.15">
      <c r="A492">
        <v>491</v>
      </c>
      <c r="B492" t="s">
        <v>339</v>
      </c>
      <c r="C492" t="s">
        <v>353</v>
      </c>
      <c r="D492" t="s">
        <v>2925</v>
      </c>
      <c r="E492" t="s">
        <v>2926</v>
      </c>
      <c r="F492" s="46">
        <v>46097.325853750001</v>
      </c>
      <c r="G492" s="46">
        <v>46097.325853750001</v>
      </c>
      <c r="H492">
        <v>0</v>
      </c>
    </row>
    <row r="493" spans="1:8" x14ac:dyDescent="0.15">
      <c r="A493">
        <v>492</v>
      </c>
      <c r="B493" t="s">
        <v>339</v>
      </c>
      <c r="C493" t="s">
        <v>353</v>
      </c>
      <c r="D493" t="s">
        <v>2927</v>
      </c>
      <c r="E493" t="s">
        <v>2928</v>
      </c>
      <c r="F493" s="46">
        <v>46097.325853750001</v>
      </c>
      <c r="G493" s="46">
        <v>46097.325853923612</v>
      </c>
      <c r="H493">
        <v>16</v>
      </c>
    </row>
    <row r="494" spans="1:8" x14ac:dyDescent="0.15">
      <c r="A494">
        <v>493</v>
      </c>
      <c r="B494" t="s">
        <v>339</v>
      </c>
      <c r="C494" t="s">
        <v>353</v>
      </c>
      <c r="D494" t="s">
        <v>2929</v>
      </c>
      <c r="E494" t="s">
        <v>2928</v>
      </c>
      <c r="F494" s="46">
        <v>46097.325853923612</v>
      </c>
      <c r="G494" s="46">
        <v>46097.325853923612</v>
      </c>
      <c r="H494">
        <v>0</v>
      </c>
    </row>
    <row r="495" spans="1:8" x14ac:dyDescent="0.15">
      <c r="A495">
        <v>494</v>
      </c>
      <c r="B495" t="s">
        <v>339</v>
      </c>
      <c r="C495" t="s">
        <v>353</v>
      </c>
      <c r="D495" t="s">
        <v>2930</v>
      </c>
      <c r="E495" t="s">
        <v>2928</v>
      </c>
      <c r="F495" s="46">
        <v>46097.325853923612</v>
      </c>
      <c r="G495" s="46">
        <v>46097.325853923612</v>
      </c>
      <c r="H495">
        <v>0</v>
      </c>
    </row>
    <row r="496" spans="1:8" x14ac:dyDescent="0.15">
      <c r="A496">
        <v>495</v>
      </c>
      <c r="B496" t="s">
        <v>339</v>
      </c>
      <c r="C496" t="s">
        <v>353</v>
      </c>
      <c r="D496" t="s">
        <v>2931</v>
      </c>
      <c r="E496" t="s">
        <v>2928</v>
      </c>
      <c r="F496" s="46">
        <v>46097.325853923612</v>
      </c>
      <c r="G496" s="46">
        <v>46097.325853923612</v>
      </c>
      <c r="H496">
        <v>0</v>
      </c>
    </row>
    <row r="497" spans="1:8" x14ac:dyDescent="0.15">
      <c r="A497">
        <v>496</v>
      </c>
      <c r="B497" t="s">
        <v>339</v>
      </c>
      <c r="C497" t="s">
        <v>353</v>
      </c>
      <c r="D497" t="s">
        <v>2932</v>
      </c>
      <c r="E497" t="s">
        <v>2933</v>
      </c>
      <c r="F497" s="46">
        <v>46097.325853923612</v>
      </c>
      <c r="G497" s="46">
        <v>46097.325853923612</v>
      </c>
      <c r="H497">
        <v>0</v>
      </c>
    </row>
    <row r="498" spans="1:8" x14ac:dyDescent="0.15">
      <c r="A498">
        <v>497</v>
      </c>
      <c r="B498" t="s">
        <v>339</v>
      </c>
      <c r="C498" t="s">
        <v>353</v>
      </c>
      <c r="D498" t="s">
        <v>2934</v>
      </c>
      <c r="E498" t="s">
        <v>2933</v>
      </c>
      <c r="F498" s="46">
        <v>46097.325853923612</v>
      </c>
      <c r="G498" s="46">
        <v>46097.325853923612</v>
      </c>
      <c r="H498">
        <v>0</v>
      </c>
    </row>
    <row r="499" spans="1:8" x14ac:dyDescent="0.15">
      <c r="A499">
        <v>498</v>
      </c>
      <c r="B499" t="s">
        <v>339</v>
      </c>
      <c r="C499" t="s">
        <v>353</v>
      </c>
      <c r="D499" t="s">
        <v>2935</v>
      </c>
      <c r="E499" t="s">
        <v>2933</v>
      </c>
      <c r="F499" s="46">
        <v>46097.325853923612</v>
      </c>
      <c r="G499" s="46">
        <v>46097.325853923612</v>
      </c>
      <c r="H499">
        <v>0</v>
      </c>
    </row>
    <row r="500" spans="1:8" x14ac:dyDescent="0.15">
      <c r="A500">
        <v>499</v>
      </c>
      <c r="B500" t="s">
        <v>339</v>
      </c>
      <c r="C500" t="s">
        <v>353</v>
      </c>
      <c r="D500" t="s">
        <v>2936</v>
      </c>
      <c r="E500" t="s">
        <v>2933</v>
      </c>
      <c r="F500" s="46">
        <v>46097.325853923612</v>
      </c>
      <c r="G500" s="46">
        <v>46097.325853923612</v>
      </c>
      <c r="H500">
        <v>0</v>
      </c>
    </row>
    <row r="501" spans="1:8" x14ac:dyDescent="0.15">
      <c r="A501">
        <v>500</v>
      </c>
      <c r="B501" t="s">
        <v>339</v>
      </c>
      <c r="C501" t="s">
        <v>353</v>
      </c>
      <c r="D501" t="s">
        <v>2937</v>
      </c>
      <c r="E501" t="s">
        <v>2933</v>
      </c>
      <c r="F501" s="46">
        <v>46097.325853923612</v>
      </c>
      <c r="G501" s="46">
        <v>46097.325853923612</v>
      </c>
      <c r="H501">
        <v>0</v>
      </c>
    </row>
    <row r="502" spans="1:8" x14ac:dyDescent="0.15">
      <c r="A502">
        <v>501</v>
      </c>
      <c r="B502" t="s">
        <v>339</v>
      </c>
      <c r="C502" t="s">
        <v>353</v>
      </c>
      <c r="D502" t="s">
        <v>2938</v>
      </c>
      <c r="E502" t="s">
        <v>2939</v>
      </c>
      <c r="F502" s="46">
        <v>46097.325853923612</v>
      </c>
      <c r="G502" s="46">
        <v>46097.325853923612</v>
      </c>
      <c r="H502">
        <v>0</v>
      </c>
    </row>
    <row r="503" spans="1:8" x14ac:dyDescent="0.15">
      <c r="A503">
        <v>502</v>
      </c>
      <c r="B503" t="s">
        <v>339</v>
      </c>
      <c r="C503" t="s">
        <v>353</v>
      </c>
      <c r="D503" t="s">
        <v>2940</v>
      </c>
      <c r="E503" t="s">
        <v>2941</v>
      </c>
      <c r="F503" s="46">
        <v>46097.325853923612</v>
      </c>
      <c r="G503" s="46">
        <v>46097.3258541088</v>
      </c>
      <c r="H503">
        <v>16</v>
      </c>
    </row>
    <row r="504" spans="1:8" x14ac:dyDescent="0.15">
      <c r="A504">
        <v>503</v>
      </c>
      <c r="B504" t="s">
        <v>339</v>
      </c>
      <c r="C504" t="s">
        <v>353</v>
      </c>
      <c r="D504" t="s">
        <v>2942</v>
      </c>
      <c r="E504" t="s">
        <v>2941</v>
      </c>
      <c r="F504" s="46">
        <v>46097.3258541088</v>
      </c>
      <c r="G504" s="46">
        <v>46097.3258541088</v>
      </c>
      <c r="H504">
        <v>0</v>
      </c>
    </row>
    <row r="505" spans="1:8" x14ac:dyDescent="0.15">
      <c r="A505">
        <v>504</v>
      </c>
      <c r="B505" t="s">
        <v>339</v>
      </c>
      <c r="C505" t="s">
        <v>353</v>
      </c>
      <c r="D505" t="s">
        <v>2943</v>
      </c>
      <c r="E505" t="s">
        <v>2941</v>
      </c>
      <c r="F505" s="46">
        <v>46097.3258541088</v>
      </c>
      <c r="G505" s="46">
        <v>46097.3258541088</v>
      </c>
      <c r="H505">
        <v>0</v>
      </c>
    </row>
    <row r="506" spans="1:8" x14ac:dyDescent="0.15">
      <c r="A506">
        <v>505</v>
      </c>
      <c r="B506" t="s">
        <v>339</v>
      </c>
      <c r="C506" t="s">
        <v>353</v>
      </c>
      <c r="D506" t="s">
        <v>2944</v>
      </c>
      <c r="E506" t="s">
        <v>2941</v>
      </c>
      <c r="F506" s="46">
        <v>46097.3258541088</v>
      </c>
      <c r="G506" s="46">
        <v>46097.3258541088</v>
      </c>
      <c r="H506">
        <v>0</v>
      </c>
    </row>
    <row r="507" spans="1:8" x14ac:dyDescent="0.15">
      <c r="A507">
        <v>506</v>
      </c>
      <c r="B507" t="s">
        <v>339</v>
      </c>
      <c r="C507" t="s">
        <v>353</v>
      </c>
      <c r="D507" t="s">
        <v>2945</v>
      </c>
      <c r="E507" t="s">
        <v>2941</v>
      </c>
      <c r="F507" s="46">
        <v>46097.3258541088</v>
      </c>
      <c r="G507" s="46">
        <v>46097.3258541088</v>
      </c>
      <c r="H507">
        <v>0</v>
      </c>
    </row>
    <row r="508" spans="1:8" x14ac:dyDescent="0.15">
      <c r="A508">
        <v>507</v>
      </c>
      <c r="B508" t="s">
        <v>339</v>
      </c>
      <c r="C508" t="s">
        <v>353</v>
      </c>
      <c r="D508" t="s">
        <v>2946</v>
      </c>
      <c r="E508" t="s">
        <v>2941</v>
      </c>
      <c r="F508" s="46">
        <v>46097.3258541088</v>
      </c>
      <c r="G508" s="46">
        <v>46097.3258541088</v>
      </c>
      <c r="H508">
        <v>0</v>
      </c>
    </row>
    <row r="509" spans="1:8" x14ac:dyDescent="0.15">
      <c r="A509">
        <v>508</v>
      </c>
      <c r="B509" t="s">
        <v>339</v>
      </c>
      <c r="C509" t="s">
        <v>353</v>
      </c>
      <c r="D509" t="s">
        <v>2947</v>
      </c>
      <c r="E509" t="s">
        <v>2941</v>
      </c>
      <c r="F509" s="46">
        <v>46097.3258541088</v>
      </c>
      <c r="G509" s="46">
        <v>46097.3258541088</v>
      </c>
      <c r="H509">
        <v>0</v>
      </c>
    </row>
    <row r="510" spans="1:8" x14ac:dyDescent="0.15">
      <c r="A510">
        <v>509</v>
      </c>
      <c r="B510" t="s">
        <v>339</v>
      </c>
      <c r="C510" t="s">
        <v>353</v>
      </c>
      <c r="D510" t="s">
        <v>2948</v>
      </c>
      <c r="E510" t="s">
        <v>2941</v>
      </c>
      <c r="F510" s="46">
        <v>46097.3258541088</v>
      </c>
      <c r="G510" s="46">
        <v>46097.3258541088</v>
      </c>
      <c r="H510">
        <v>0</v>
      </c>
    </row>
    <row r="511" spans="1:8" x14ac:dyDescent="0.15">
      <c r="A511">
        <v>510</v>
      </c>
      <c r="B511" t="s">
        <v>339</v>
      </c>
      <c r="C511" t="s">
        <v>353</v>
      </c>
      <c r="D511" t="s">
        <v>2949</v>
      </c>
      <c r="E511" t="s">
        <v>2941</v>
      </c>
      <c r="F511" s="46">
        <v>46097.3258541088</v>
      </c>
      <c r="G511" s="46">
        <v>46097.3258541088</v>
      </c>
      <c r="H511">
        <v>0</v>
      </c>
    </row>
    <row r="512" spans="1:8" x14ac:dyDescent="0.15">
      <c r="A512">
        <v>511</v>
      </c>
      <c r="B512" t="s">
        <v>339</v>
      </c>
      <c r="C512" t="s">
        <v>353</v>
      </c>
      <c r="D512" t="s">
        <v>2950</v>
      </c>
      <c r="E512" t="s">
        <v>2951</v>
      </c>
      <c r="F512" s="46">
        <v>46097.3258541088</v>
      </c>
      <c r="G512" s="46">
        <v>46097.3258541088</v>
      </c>
      <c r="H512">
        <v>0</v>
      </c>
    </row>
    <row r="513" spans="1:8" x14ac:dyDescent="0.15">
      <c r="A513">
        <v>512</v>
      </c>
      <c r="B513" t="s">
        <v>339</v>
      </c>
      <c r="C513" t="s">
        <v>353</v>
      </c>
      <c r="D513" t="s">
        <v>2952</v>
      </c>
      <c r="E513" t="s">
        <v>2951</v>
      </c>
      <c r="F513" s="46">
        <v>46097.3258541088</v>
      </c>
      <c r="G513" s="46">
        <v>46097.32585429398</v>
      </c>
      <c r="H513">
        <v>15</v>
      </c>
    </row>
    <row r="514" spans="1:8" x14ac:dyDescent="0.15">
      <c r="A514">
        <v>513</v>
      </c>
      <c r="B514" t="s">
        <v>339</v>
      </c>
      <c r="C514" t="s">
        <v>353</v>
      </c>
      <c r="D514" t="s">
        <v>2953</v>
      </c>
      <c r="E514" t="s">
        <v>2951</v>
      </c>
      <c r="F514" s="46">
        <v>46097.32585429398</v>
      </c>
      <c r="G514" s="46">
        <v>46097.32585429398</v>
      </c>
      <c r="H514">
        <v>0</v>
      </c>
    </row>
    <row r="515" spans="1:8" x14ac:dyDescent="0.15">
      <c r="A515">
        <v>514</v>
      </c>
      <c r="B515" t="s">
        <v>339</v>
      </c>
      <c r="C515" t="s">
        <v>353</v>
      </c>
      <c r="D515" t="s">
        <v>2954</v>
      </c>
      <c r="E515" t="s">
        <v>2951</v>
      </c>
      <c r="F515" s="46">
        <v>46097.32585429398</v>
      </c>
      <c r="G515" s="46">
        <v>46097.32585429398</v>
      </c>
      <c r="H515">
        <v>0</v>
      </c>
    </row>
    <row r="516" spans="1:8" x14ac:dyDescent="0.15">
      <c r="A516">
        <v>515</v>
      </c>
      <c r="B516" t="s">
        <v>339</v>
      </c>
      <c r="C516" t="s">
        <v>353</v>
      </c>
      <c r="D516" t="s">
        <v>2955</v>
      </c>
      <c r="E516" t="s">
        <v>2956</v>
      </c>
      <c r="F516" s="46">
        <v>46097.32585429398</v>
      </c>
      <c r="G516" s="46">
        <v>46097.32585429398</v>
      </c>
      <c r="H516">
        <v>0</v>
      </c>
    </row>
    <row r="517" spans="1:8" x14ac:dyDescent="0.15">
      <c r="A517">
        <v>516</v>
      </c>
      <c r="B517" t="s">
        <v>339</v>
      </c>
      <c r="C517" t="s">
        <v>353</v>
      </c>
      <c r="D517" t="s">
        <v>2957</v>
      </c>
      <c r="E517" t="s">
        <v>2958</v>
      </c>
      <c r="F517" s="46">
        <v>46097.32585429398</v>
      </c>
      <c r="G517" s="46">
        <v>46097.32585429398</v>
      </c>
      <c r="H517">
        <v>0</v>
      </c>
    </row>
    <row r="518" spans="1:8" x14ac:dyDescent="0.15">
      <c r="A518">
        <v>517</v>
      </c>
      <c r="B518" t="s">
        <v>339</v>
      </c>
      <c r="C518" t="s">
        <v>353</v>
      </c>
      <c r="D518" t="s">
        <v>2959</v>
      </c>
      <c r="E518" t="s">
        <v>2960</v>
      </c>
      <c r="F518" s="46">
        <v>46097.32585429398</v>
      </c>
      <c r="G518" s="46">
        <v>46097.32585429398</v>
      </c>
      <c r="H518">
        <v>0</v>
      </c>
    </row>
    <row r="519" spans="1:8" x14ac:dyDescent="0.15">
      <c r="A519">
        <v>518</v>
      </c>
      <c r="B519" t="s">
        <v>339</v>
      </c>
      <c r="C519" t="s">
        <v>353</v>
      </c>
      <c r="D519" t="s">
        <v>2961</v>
      </c>
      <c r="E519" t="s">
        <v>2960</v>
      </c>
      <c r="F519" s="46">
        <v>46097.32585429398</v>
      </c>
      <c r="G519" s="46">
        <v>46097.32585429398</v>
      </c>
      <c r="H519">
        <v>0</v>
      </c>
    </row>
    <row r="520" spans="1:8" x14ac:dyDescent="0.15">
      <c r="A520">
        <v>519</v>
      </c>
      <c r="B520" t="s">
        <v>339</v>
      </c>
      <c r="C520" t="s">
        <v>353</v>
      </c>
      <c r="D520" t="s">
        <v>2962</v>
      </c>
      <c r="E520" t="s">
        <v>2963</v>
      </c>
      <c r="F520" s="46">
        <v>46097.32585429398</v>
      </c>
      <c r="G520" s="46">
        <v>46097.32585429398</v>
      </c>
      <c r="H520">
        <v>0</v>
      </c>
    </row>
    <row r="521" spans="1:8" x14ac:dyDescent="0.15">
      <c r="A521">
        <v>520</v>
      </c>
      <c r="B521" t="s">
        <v>339</v>
      </c>
      <c r="C521" t="s">
        <v>353</v>
      </c>
      <c r="D521" t="s">
        <v>2964</v>
      </c>
      <c r="E521" t="s">
        <v>2965</v>
      </c>
      <c r="F521" s="46">
        <v>46097.32585429398</v>
      </c>
      <c r="G521" s="46">
        <v>46097.32585429398</v>
      </c>
      <c r="H521">
        <v>0</v>
      </c>
    </row>
    <row r="522" spans="1:8" x14ac:dyDescent="0.15">
      <c r="A522">
        <v>521</v>
      </c>
      <c r="B522" t="s">
        <v>339</v>
      </c>
      <c r="C522" t="s">
        <v>353</v>
      </c>
      <c r="D522" t="s">
        <v>2966</v>
      </c>
      <c r="E522" t="s">
        <v>2965</v>
      </c>
      <c r="F522" s="46">
        <v>46097.32585429398</v>
      </c>
      <c r="G522" s="46">
        <v>46097.32585429398</v>
      </c>
      <c r="H522">
        <v>0</v>
      </c>
    </row>
    <row r="523" spans="1:8" x14ac:dyDescent="0.15">
      <c r="A523">
        <v>522</v>
      </c>
      <c r="B523" t="s">
        <v>339</v>
      </c>
      <c r="C523" t="s">
        <v>353</v>
      </c>
      <c r="D523" t="s">
        <v>2967</v>
      </c>
      <c r="E523" t="s">
        <v>2968</v>
      </c>
      <c r="F523" s="46">
        <v>46097.32585429398</v>
      </c>
      <c r="G523" s="46">
        <v>46097.325854467592</v>
      </c>
      <c r="H523">
        <v>16</v>
      </c>
    </row>
    <row r="524" spans="1:8" x14ac:dyDescent="0.15">
      <c r="A524">
        <v>523</v>
      </c>
      <c r="B524" t="s">
        <v>339</v>
      </c>
      <c r="C524" t="s">
        <v>353</v>
      </c>
      <c r="D524" t="s">
        <v>2969</v>
      </c>
      <c r="E524" t="s">
        <v>2968</v>
      </c>
      <c r="F524" s="46">
        <v>46097.325854467592</v>
      </c>
      <c r="G524" s="46">
        <v>46097.325854467592</v>
      </c>
      <c r="H524">
        <v>0</v>
      </c>
    </row>
    <row r="525" spans="1:8" x14ac:dyDescent="0.15">
      <c r="A525">
        <v>524</v>
      </c>
      <c r="B525" t="s">
        <v>339</v>
      </c>
      <c r="C525" t="s">
        <v>353</v>
      </c>
      <c r="D525" t="s">
        <v>2970</v>
      </c>
      <c r="E525" t="s">
        <v>2971</v>
      </c>
      <c r="F525" s="46">
        <v>46097.325854467592</v>
      </c>
      <c r="G525" s="46">
        <v>46097.325854467592</v>
      </c>
      <c r="H525">
        <v>0</v>
      </c>
    </row>
    <row r="526" spans="1:8" x14ac:dyDescent="0.15">
      <c r="A526">
        <v>525</v>
      </c>
      <c r="B526" t="s">
        <v>339</v>
      </c>
      <c r="C526" t="s">
        <v>353</v>
      </c>
      <c r="D526" t="s">
        <v>2972</v>
      </c>
      <c r="E526" t="s">
        <v>2973</v>
      </c>
      <c r="F526" s="46">
        <v>46097.325854467592</v>
      </c>
      <c r="G526" s="46">
        <v>46097.325854467592</v>
      </c>
      <c r="H526">
        <v>0</v>
      </c>
    </row>
    <row r="527" spans="1:8" x14ac:dyDescent="0.15">
      <c r="A527">
        <v>526</v>
      </c>
      <c r="B527" t="s">
        <v>339</v>
      </c>
      <c r="C527" t="s">
        <v>353</v>
      </c>
      <c r="D527" t="s">
        <v>2974</v>
      </c>
      <c r="E527" t="s">
        <v>2975</v>
      </c>
      <c r="F527" s="46">
        <v>46097.325854467592</v>
      </c>
      <c r="G527" s="46">
        <v>46097.325854467592</v>
      </c>
      <c r="H527">
        <v>0</v>
      </c>
    </row>
    <row r="528" spans="1:8" x14ac:dyDescent="0.15">
      <c r="A528">
        <v>527</v>
      </c>
      <c r="B528" t="s">
        <v>339</v>
      </c>
      <c r="C528" t="s">
        <v>353</v>
      </c>
      <c r="D528" t="s">
        <v>2976</v>
      </c>
      <c r="E528" t="s">
        <v>2977</v>
      </c>
      <c r="F528" s="46">
        <v>46097.325854467592</v>
      </c>
      <c r="G528" s="46">
        <v>46097.325854467592</v>
      </c>
      <c r="H528">
        <v>0</v>
      </c>
    </row>
    <row r="529" spans="1:8" x14ac:dyDescent="0.15">
      <c r="A529">
        <v>528</v>
      </c>
      <c r="B529" t="s">
        <v>339</v>
      </c>
      <c r="C529" t="s">
        <v>353</v>
      </c>
      <c r="D529" t="s">
        <v>2978</v>
      </c>
      <c r="E529" t="s">
        <v>2977</v>
      </c>
      <c r="F529" s="46">
        <v>46097.325854467592</v>
      </c>
      <c r="G529" s="46">
        <v>46097.325854467592</v>
      </c>
      <c r="H529">
        <v>0</v>
      </c>
    </row>
    <row r="530" spans="1:8" x14ac:dyDescent="0.15">
      <c r="A530">
        <v>529</v>
      </c>
      <c r="B530" t="s">
        <v>339</v>
      </c>
      <c r="C530" t="s">
        <v>353</v>
      </c>
      <c r="D530" t="s">
        <v>2979</v>
      </c>
      <c r="E530" t="s">
        <v>2980</v>
      </c>
      <c r="F530" s="46">
        <v>46097.325854467592</v>
      </c>
      <c r="G530" s="46">
        <v>46097.325854467592</v>
      </c>
      <c r="H530">
        <v>0</v>
      </c>
    </row>
    <row r="531" spans="1:8" x14ac:dyDescent="0.15">
      <c r="A531">
        <v>530</v>
      </c>
      <c r="B531" t="s">
        <v>339</v>
      </c>
      <c r="C531" t="s">
        <v>353</v>
      </c>
      <c r="D531" t="s">
        <v>2981</v>
      </c>
      <c r="E531" t="s">
        <v>2980</v>
      </c>
      <c r="F531" s="46">
        <v>46097.325854467592</v>
      </c>
      <c r="G531" s="46">
        <v>46097.325854467592</v>
      </c>
      <c r="H531">
        <v>0</v>
      </c>
    </row>
    <row r="532" spans="1:8" x14ac:dyDescent="0.15">
      <c r="A532">
        <v>531</v>
      </c>
      <c r="B532" t="s">
        <v>339</v>
      </c>
      <c r="C532" t="s">
        <v>353</v>
      </c>
      <c r="D532" t="s">
        <v>2982</v>
      </c>
      <c r="E532" t="s">
        <v>2980</v>
      </c>
      <c r="F532" s="46">
        <v>46097.325854467592</v>
      </c>
      <c r="G532" s="46">
        <v>46097.325854467592</v>
      </c>
      <c r="H532">
        <v>0</v>
      </c>
    </row>
    <row r="533" spans="1:8" x14ac:dyDescent="0.15">
      <c r="A533">
        <v>532</v>
      </c>
      <c r="B533" t="s">
        <v>339</v>
      </c>
      <c r="C533" t="s">
        <v>353</v>
      </c>
      <c r="D533" t="s">
        <v>2983</v>
      </c>
      <c r="E533" t="s">
        <v>2984</v>
      </c>
      <c r="F533" s="46">
        <v>46097.325854467592</v>
      </c>
      <c r="G533" s="46">
        <v>46097.32585465278</v>
      </c>
      <c r="H533">
        <v>15</v>
      </c>
    </row>
    <row r="534" spans="1:8" x14ac:dyDescent="0.15">
      <c r="A534">
        <v>533</v>
      </c>
      <c r="B534" t="s">
        <v>339</v>
      </c>
      <c r="C534" t="s">
        <v>353</v>
      </c>
      <c r="D534" t="s">
        <v>2985</v>
      </c>
      <c r="E534" t="s">
        <v>2986</v>
      </c>
      <c r="F534" s="46">
        <v>46097.32585465278</v>
      </c>
      <c r="G534" s="46">
        <v>46097.32585465278</v>
      </c>
      <c r="H534">
        <v>0</v>
      </c>
    </row>
    <row r="535" spans="1:8" x14ac:dyDescent="0.15">
      <c r="A535">
        <v>534</v>
      </c>
      <c r="B535" t="s">
        <v>339</v>
      </c>
      <c r="C535" t="s">
        <v>353</v>
      </c>
      <c r="D535" t="s">
        <v>2987</v>
      </c>
      <c r="E535" t="s">
        <v>2986</v>
      </c>
      <c r="F535" s="46">
        <v>46097.32585465278</v>
      </c>
      <c r="G535" s="46">
        <v>46097.32585465278</v>
      </c>
      <c r="H535">
        <v>0</v>
      </c>
    </row>
    <row r="536" spans="1:8" x14ac:dyDescent="0.15">
      <c r="A536">
        <v>535</v>
      </c>
      <c r="B536" t="s">
        <v>339</v>
      </c>
      <c r="C536" t="s">
        <v>353</v>
      </c>
      <c r="D536" t="s">
        <v>2988</v>
      </c>
      <c r="E536" t="s">
        <v>2989</v>
      </c>
      <c r="F536" s="46">
        <v>46097.32585465278</v>
      </c>
      <c r="G536" s="46">
        <v>46097.32585465278</v>
      </c>
      <c r="H536">
        <v>0</v>
      </c>
    </row>
    <row r="537" spans="1:8" x14ac:dyDescent="0.15">
      <c r="A537">
        <v>536</v>
      </c>
      <c r="B537" t="s">
        <v>339</v>
      </c>
      <c r="C537" t="s">
        <v>353</v>
      </c>
      <c r="D537" t="s">
        <v>2990</v>
      </c>
      <c r="E537" t="s">
        <v>2991</v>
      </c>
      <c r="F537" s="46">
        <v>46097.32585465278</v>
      </c>
      <c r="G537" s="46">
        <v>46097.32585465278</v>
      </c>
      <c r="H537">
        <v>0</v>
      </c>
    </row>
    <row r="538" spans="1:8" x14ac:dyDescent="0.15">
      <c r="A538">
        <v>537</v>
      </c>
      <c r="B538" t="s">
        <v>339</v>
      </c>
      <c r="C538" t="s">
        <v>353</v>
      </c>
      <c r="D538" t="s">
        <v>2992</v>
      </c>
      <c r="E538" t="s">
        <v>2991</v>
      </c>
      <c r="F538" s="46">
        <v>46097.32585465278</v>
      </c>
      <c r="G538" s="46">
        <v>46097.32585465278</v>
      </c>
      <c r="H538">
        <v>0</v>
      </c>
    </row>
    <row r="539" spans="1:8" x14ac:dyDescent="0.15">
      <c r="A539">
        <v>538</v>
      </c>
      <c r="B539" t="s">
        <v>339</v>
      </c>
      <c r="C539" t="s">
        <v>353</v>
      </c>
      <c r="D539" t="s">
        <v>2993</v>
      </c>
      <c r="E539" t="s">
        <v>2991</v>
      </c>
      <c r="F539" s="46">
        <v>46097.32585465278</v>
      </c>
      <c r="G539" s="46">
        <v>46097.32585465278</v>
      </c>
      <c r="H539">
        <v>0</v>
      </c>
    </row>
    <row r="540" spans="1:8" x14ac:dyDescent="0.15">
      <c r="A540">
        <v>539</v>
      </c>
      <c r="B540" t="s">
        <v>339</v>
      </c>
      <c r="C540" t="s">
        <v>353</v>
      </c>
      <c r="D540" t="s">
        <v>2994</v>
      </c>
      <c r="E540" t="s">
        <v>2995</v>
      </c>
      <c r="F540" s="46">
        <v>46097.32585465278</v>
      </c>
      <c r="G540" s="46">
        <v>46097.32585465278</v>
      </c>
      <c r="H540">
        <v>0</v>
      </c>
    </row>
    <row r="541" spans="1:8" x14ac:dyDescent="0.15">
      <c r="A541">
        <v>540</v>
      </c>
      <c r="B541" t="s">
        <v>339</v>
      </c>
      <c r="C541" t="s">
        <v>353</v>
      </c>
      <c r="D541" t="s">
        <v>2996</v>
      </c>
      <c r="E541" t="s">
        <v>2997</v>
      </c>
      <c r="F541" s="46">
        <v>46097.32585465278</v>
      </c>
      <c r="G541" s="46">
        <v>46097.32585465278</v>
      </c>
      <c r="H541">
        <v>0</v>
      </c>
    </row>
    <row r="542" spans="1:8" x14ac:dyDescent="0.15">
      <c r="A542">
        <v>541</v>
      </c>
      <c r="B542" t="s">
        <v>339</v>
      </c>
      <c r="C542" t="s">
        <v>353</v>
      </c>
      <c r="D542" t="s">
        <v>2998</v>
      </c>
      <c r="E542" t="s">
        <v>2999</v>
      </c>
      <c r="F542" s="46">
        <v>46097.32585465278</v>
      </c>
      <c r="G542" s="46">
        <v>46097.32585465278</v>
      </c>
      <c r="H542">
        <v>0</v>
      </c>
    </row>
    <row r="543" spans="1:8" x14ac:dyDescent="0.15">
      <c r="A543">
        <v>542</v>
      </c>
      <c r="B543" t="s">
        <v>339</v>
      </c>
      <c r="C543" t="s">
        <v>353</v>
      </c>
      <c r="D543" t="s">
        <v>3000</v>
      </c>
      <c r="E543" t="s">
        <v>3001</v>
      </c>
      <c r="F543" s="46">
        <v>46097.32585465278</v>
      </c>
      <c r="G543" s="46">
        <v>46097.32585483796</v>
      </c>
      <c r="H543">
        <v>16</v>
      </c>
    </row>
    <row r="544" spans="1:8" x14ac:dyDescent="0.15">
      <c r="A544">
        <v>543</v>
      </c>
      <c r="B544" t="s">
        <v>339</v>
      </c>
      <c r="C544" t="s">
        <v>353</v>
      </c>
      <c r="D544" t="s">
        <v>3002</v>
      </c>
      <c r="E544" t="s">
        <v>3003</v>
      </c>
      <c r="F544" s="46">
        <v>46097.32585483796</v>
      </c>
      <c r="G544" s="46">
        <v>46097.32585483796</v>
      </c>
      <c r="H544">
        <v>0</v>
      </c>
    </row>
    <row r="545" spans="1:8" x14ac:dyDescent="0.15">
      <c r="A545">
        <v>544</v>
      </c>
      <c r="B545" t="s">
        <v>339</v>
      </c>
      <c r="C545" t="s">
        <v>353</v>
      </c>
      <c r="D545" t="s">
        <v>3004</v>
      </c>
      <c r="E545" t="s">
        <v>3005</v>
      </c>
      <c r="F545" s="46">
        <v>46097.32585483796</v>
      </c>
      <c r="G545" s="46">
        <v>46097.32585483796</v>
      </c>
      <c r="H545">
        <v>0</v>
      </c>
    </row>
    <row r="546" spans="1:8" x14ac:dyDescent="0.15">
      <c r="A546">
        <v>545</v>
      </c>
      <c r="B546" t="s">
        <v>339</v>
      </c>
      <c r="C546" t="s">
        <v>353</v>
      </c>
      <c r="D546" t="s">
        <v>3006</v>
      </c>
      <c r="E546" t="s">
        <v>3007</v>
      </c>
      <c r="F546" s="46">
        <v>46097.32585483796</v>
      </c>
      <c r="G546" s="46">
        <v>46097.32585483796</v>
      </c>
      <c r="H546">
        <v>0</v>
      </c>
    </row>
    <row r="547" spans="1:8" x14ac:dyDescent="0.15">
      <c r="A547">
        <v>546</v>
      </c>
      <c r="B547" t="s">
        <v>339</v>
      </c>
      <c r="C547" t="s">
        <v>353</v>
      </c>
      <c r="D547" t="s">
        <v>3008</v>
      </c>
      <c r="E547" t="s">
        <v>3009</v>
      </c>
      <c r="F547" s="46">
        <v>46097.32585483796</v>
      </c>
      <c r="G547" s="46">
        <v>46097.32585483796</v>
      </c>
      <c r="H547">
        <v>0</v>
      </c>
    </row>
    <row r="548" spans="1:8" x14ac:dyDescent="0.15">
      <c r="A548">
        <v>547</v>
      </c>
      <c r="B548" t="s">
        <v>339</v>
      </c>
      <c r="C548" t="s">
        <v>353</v>
      </c>
      <c r="D548" t="s">
        <v>3010</v>
      </c>
      <c r="E548" t="s">
        <v>3009</v>
      </c>
      <c r="F548" s="46">
        <v>46097.32585483796</v>
      </c>
      <c r="G548" s="46">
        <v>46097.32585483796</v>
      </c>
      <c r="H548">
        <v>0</v>
      </c>
    </row>
    <row r="549" spans="1:8" x14ac:dyDescent="0.15">
      <c r="A549">
        <v>548</v>
      </c>
      <c r="B549" t="s">
        <v>339</v>
      </c>
      <c r="C549" t="s">
        <v>353</v>
      </c>
      <c r="D549" t="s">
        <v>3011</v>
      </c>
      <c r="E549" t="s">
        <v>3012</v>
      </c>
      <c r="F549" s="46">
        <v>46097.32585483796</v>
      </c>
      <c r="G549" s="46">
        <v>46097.32585483796</v>
      </c>
      <c r="H549">
        <v>0</v>
      </c>
    </row>
    <row r="550" spans="1:8" x14ac:dyDescent="0.15">
      <c r="A550">
        <v>549</v>
      </c>
      <c r="B550" t="s">
        <v>339</v>
      </c>
      <c r="C550" t="s">
        <v>353</v>
      </c>
      <c r="D550" t="s">
        <v>3013</v>
      </c>
      <c r="E550" t="s">
        <v>3014</v>
      </c>
      <c r="F550" s="46">
        <v>46097.32585483796</v>
      </c>
      <c r="G550" s="46">
        <v>46097.32585483796</v>
      </c>
      <c r="H550">
        <v>0</v>
      </c>
    </row>
    <row r="551" spans="1:8" x14ac:dyDescent="0.15">
      <c r="A551">
        <v>550</v>
      </c>
      <c r="B551" t="s">
        <v>339</v>
      </c>
      <c r="C551" t="s">
        <v>353</v>
      </c>
      <c r="D551" t="s">
        <v>3015</v>
      </c>
      <c r="E551" t="s">
        <v>3014</v>
      </c>
      <c r="F551" s="46">
        <v>46097.32585483796</v>
      </c>
      <c r="G551" s="46">
        <v>46097.32585483796</v>
      </c>
      <c r="H551">
        <v>0</v>
      </c>
    </row>
    <row r="552" spans="1:8" x14ac:dyDescent="0.15">
      <c r="A552">
        <v>551</v>
      </c>
      <c r="B552" t="s">
        <v>339</v>
      </c>
      <c r="C552" t="s">
        <v>353</v>
      </c>
      <c r="D552" t="s">
        <v>3016</v>
      </c>
      <c r="E552" t="s">
        <v>3014</v>
      </c>
      <c r="F552" s="46">
        <v>46097.32585483796</v>
      </c>
      <c r="G552" s="46">
        <v>46097.32585483796</v>
      </c>
      <c r="H552">
        <v>0</v>
      </c>
    </row>
    <row r="553" spans="1:8" x14ac:dyDescent="0.15">
      <c r="A553">
        <v>552</v>
      </c>
      <c r="B553" t="s">
        <v>339</v>
      </c>
      <c r="C553" t="s">
        <v>353</v>
      </c>
      <c r="D553" t="s">
        <v>3017</v>
      </c>
      <c r="E553" t="s">
        <v>3014</v>
      </c>
      <c r="F553" s="46">
        <v>46097.32585483796</v>
      </c>
      <c r="G553" s="46">
        <v>46097.325855011572</v>
      </c>
      <c r="H553">
        <v>16</v>
      </c>
    </row>
    <row r="554" spans="1:8" x14ac:dyDescent="0.15">
      <c r="A554">
        <v>553</v>
      </c>
      <c r="B554" t="s">
        <v>339</v>
      </c>
      <c r="C554" t="s">
        <v>353</v>
      </c>
      <c r="D554" t="s">
        <v>3018</v>
      </c>
      <c r="E554" t="s">
        <v>3014</v>
      </c>
      <c r="F554" s="46">
        <v>46097.325855011572</v>
      </c>
      <c r="G554" s="46">
        <v>46097.325855011572</v>
      </c>
      <c r="H554">
        <v>0</v>
      </c>
    </row>
    <row r="555" spans="1:8" x14ac:dyDescent="0.15">
      <c r="A555">
        <v>554</v>
      </c>
      <c r="B555" t="s">
        <v>339</v>
      </c>
      <c r="C555" t="s">
        <v>353</v>
      </c>
      <c r="D555" t="s">
        <v>3019</v>
      </c>
      <c r="E555" t="s">
        <v>3014</v>
      </c>
      <c r="F555" s="46">
        <v>46097.325855011572</v>
      </c>
      <c r="G555" s="46">
        <v>46097.325855011572</v>
      </c>
      <c r="H555">
        <v>0</v>
      </c>
    </row>
    <row r="556" spans="1:8" x14ac:dyDescent="0.15">
      <c r="A556">
        <v>555</v>
      </c>
      <c r="B556" t="s">
        <v>339</v>
      </c>
      <c r="C556" t="s">
        <v>353</v>
      </c>
      <c r="D556" t="s">
        <v>3020</v>
      </c>
      <c r="E556" t="s">
        <v>3014</v>
      </c>
      <c r="F556" s="46">
        <v>46097.325855011572</v>
      </c>
      <c r="G556" s="46">
        <v>46097.325855011572</v>
      </c>
      <c r="H556">
        <v>0</v>
      </c>
    </row>
    <row r="557" spans="1:8" x14ac:dyDescent="0.15">
      <c r="A557">
        <v>556</v>
      </c>
      <c r="B557" t="s">
        <v>339</v>
      </c>
      <c r="C557" t="s">
        <v>353</v>
      </c>
      <c r="D557" t="s">
        <v>3021</v>
      </c>
      <c r="E557" t="s">
        <v>3014</v>
      </c>
      <c r="F557" s="46">
        <v>46097.325855011572</v>
      </c>
      <c r="G557" s="46">
        <v>46097.325855011572</v>
      </c>
      <c r="H557">
        <v>0</v>
      </c>
    </row>
    <row r="558" spans="1:8" x14ac:dyDescent="0.15">
      <c r="A558">
        <v>557</v>
      </c>
      <c r="B558" t="s">
        <v>339</v>
      </c>
      <c r="C558" t="s">
        <v>353</v>
      </c>
      <c r="D558" t="s">
        <v>3022</v>
      </c>
      <c r="E558" t="s">
        <v>3014</v>
      </c>
      <c r="F558" s="46">
        <v>46097.325855011572</v>
      </c>
      <c r="G558" s="46">
        <v>46097.325855011572</v>
      </c>
      <c r="H558">
        <v>0</v>
      </c>
    </row>
    <row r="559" spans="1:8" x14ac:dyDescent="0.15">
      <c r="A559">
        <v>558</v>
      </c>
      <c r="B559" t="s">
        <v>339</v>
      </c>
      <c r="C559" t="s">
        <v>353</v>
      </c>
      <c r="D559" t="s">
        <v>3023</v>
      </c>
      <c r="E559" t="s">
        <v>3014</v>
      </c>
      <c r="F559" s="46">
        <v>46097.325855011572</v>
      </c>
      <c r="G559" s="46">
        <v>46097.325855011572</v>
      </c>
      <c r="H559">
        <v>0</v>
      </c>
    </row>
    <row r="560" spans="1:8" x14ac:dyDescent="0.15">
      <c r="A560">
        <v>559</v>
      </c>
      <c r="B560" t="s">
        <v>339</v>
      </c>
      <c r="C560" t="s">
        <v>353</v>
      </c>
      <c r="D560" t="s">
        <v>3024</v>
      </c>
      <c r="E560" t="s">
        <v>3014</v>
      </c>
      <c r="F560" s="46">
        <v>46097.325855011572</v>
      </c>
      <c r="G560" s="46">
        <v>46097.325855011572</v>
      </c>
      <c r="H560">
        <v>0</v>
      </c>
    </row>
    <row r="561" spans="1:8" x14ac:dyDescent="0.15">
      <c r="A561">
        <v>560</v>
      </c>
      <c r="B561" t="s">
        <v>339</v>
      </c>
      <c r="C561" t="s">
        <v>353</v>
      </c>
      <c r="D561" t="s">
        <v>3025</v>
      </c>
      <c r="E561" t="s">
        <v>3014</v>
      </c>
      <c r="F561" s="46">
        <v>46097.325855011572</v>
      </c>
      <c r="G561" s="46">
        <v>46097.325855011572</v>
      </c>
      <c r="H561">
        <v>0</v>
      </c>
    </row>
    <row r="562" spans="1:8" x14ac:dyDescent="0.15">
      <c r="A562">
        <v>561</v>
      </c>
      <c r="B562" t="s">
        <v>339</v>
      </c>
      <c r="C562" t="s">
        <v>353</v>
      </c>
      <c r="D562" t="s">
        <v>3026</v>
      </c>
      <c r="E562" t="s">
        <v>3014</v>
      </c>
      <c r="F562" s="46">
        <v>46097.325855011572</v>
      </c>
      <c r="G562" s="46">
        <v>46097.325855011572</v>
      </c>
      <c r="H562">
        <v>0</v>
      </c>
    </row>
    <row r="563" spans="1:8" x14ac:dyDescent="0.15">
      <c r="A563">
        <v>562</v>
      </c>
      <c r="B563" t="s">
        <v>339</v>
      </c>
      <c r="C563" t="s">
        <v>353</v>
      </c>
      <c r="D563" t="s">
        <v>3027</v>
      </c>
      <c r="E563" t="s">
        <v>3014</v>
      </c>
      <c r="F563" s="46">
        <v>46097.325855011572</v>
      </c>
      <c r="G563" s="46">
        <v>46097.325855011572</v>
      </c>
      <c r="H563">
        <v>0</v>
      </c>
    </row>
    <row r="564" spans="1:8" x14ac:dyDescent="0.15">
      <c r="A564">
        <v>563</v>
      </c>
      <c r="B564" t="s">
        <v>339</v>
      </c>
      <c r="C564" t="s">
        <v>353</v>
      </c>
      <c r="D564" t="s">
        <v>3028</v>
      </c>
      <c r="E564" t="s">
        <v>3014</v>
      </c>
      <c r="F564" s="46">
        <v>46097.325855011572</v>
      </c>
      <c r="G564" s="46">
        <v>46097.325855196759</v>
      </c>
      <c r="H564">
        <v>15</v>
      </c>
    </row>
    <row r="565" spans="1:8" x14ac:dyDescent="0.15">
      <c r="A565">
        <v>564</v>
      </c>
      <c r="B565" t="s">
        <v>339</v>
      </c>
      <c r="C565" t="s">
        <v>353</v>
      </c>
      <c r="D565" t="s">
        <v>3029</v>
      </c>
      <c r="E565" t="s">
        <v>3014</v>
      </c>
      <c r="F565" s="46">
        <v>46097.325855196759</v>
      </c>
      <c r="G565" s="46">
        <v>46097.325855196759</v>
      </c>
      <c r="H565">
        <v>0</v>
      </c>
    </row>
    <row r="566" spans="1:8" x14ac:dyDescent="0.15">
      <c r="A566">
        <v>565</v>
      </c>
      <c r="B566" t="s">
        <v>339</v>
      </c>
      <c r="C566" t="s">
        <v>353</v>
      </c>
      <c r="D566" t="s">
        <v>3030</v>
      </c>
      <c r="E566" t="s">
        <v>3014</v>
      </c>
      <c r="F566" s="46">
        <v>46097.325855196759</v>
      </c>
      <c r="G566" s="46">
        <v>46097.325855196759</v>
      </c>
      <c r="H566">
        <v>0</v>
      </c>
    </row>
    <row r="567" spans="1:8" x14ac:dyDescent="0.15">
      <c r="A567">
        <v>566</v>
      </c>
      <c r="B567" t="s">
        <v>339</v>
      </c>
      <c r="C567" t="s">
        <v>353</v>
      </c>
      <c r="D567" t="s">
        <v>3031</v>
      </c>
      <c r="E567" t="s">
        <v>3014</v>
      </c>
      <c r="F567" s="46">
        <v>46097.325855196759</v>
      </c>
      <c r="G567" s="46">
        <v>46097.325855196759</v>
      </c>
      <c r="H567">
        <v>0</v>
      </c>
    </row>
    <row r="568" spans="1:8" x14ac:dyDescent="0.15">
      <c r="A568">
        <v>567</v>
      </c>
      <c r="B568" t="s">
        <v>339</v>
      </c>
      <c r="C568" t="s">
        <v>353</v>
      </c>
      <c r="D568" t="s">
        <v>3032</v>
      </c>
      <c r="E568" t="s">
        <v>3014</v>
      </c>
      <c r="F568" s="46">
        <v>46097.325855196759</v>
      </c>
      <c r="G568" s="46">
        <v>46097.325855196759</v>
      </c>
      <c r="H568">
        <v>0</v>
      </c>
    </row>
    <row r="569" spans="1:8" x14ac:dyDescent="0.15">
      <c r="A569">
        <v>568</v>
      </c>
      <c r="B569" t="s">
        <v>339</v>
      </c>
      <c r="C569" t="s">
        <v>353</v>
      </c>
      <c r="D569" t="s">
        <v>3033</v>
      </c>
      <c r="E569" t="s">
        <v>3014</v>
      </c>
      <c r="F569" s="46">
        <v>46097.325855196759</v>
      </c>
      <c r="G569" s="46">
        <v>46097.325855196759</v>
      </c>
      <c r="H569">
        <v>0</v>
      </c>
    </row>
    <row r="570" spans="1:8" x14ac:dyDescent="0.15">
      <c r="A570">
        <v>569</v>
      </c>
      <c r="B570" t="s">
        <v>339</v>
      </c>
      <c r="C570" t="s">
        <v>353</v>
      </c>
      <c r="D570" t="s">
        <v>3034</v>
      </c>
      <c r="E570" t="s">
        <v>3014</v>
      </c>
      <c r="F570" s="46">
        <v>46097.325855196759</v>
      </c>
      <c r="G570" s="46">
        <v>46097.325855196759</v>
      </c>
      <c r="H570">
        <v>0</v>
      </c>
    </row>
    <row r="571" spans="1:8" x14ac:dyDescent="0.15">
      <c r="A571">
        <v>570</v>
      </c>
      <c r="B571" t="s">
        <v>339</v>
      </c>
      <c r="C571" t="s">
        <v>353</v>
      </c>
      <c r="D571" t="s">
        <v>3035</v>
      </c>
      <c r="E571" t="s">
        <v>3014</v>
      </c>
      <c r="F571" s="46">
        <v>46097.325855196759</v>
      </c>
      <c r="G571" s="46">
        <v>46097.325855196759</v>
      </c>
      <c r="H571">
        <v>0</v>
      </c>
    </row>
    <row r="572" spans="1:8" x14ac:dyDescent="0.15">
      <c r="A572">
        <v>571</v>
      </c>
      <c r="B572" t="s">
        <v>339</v>
      </c>
      <c r="C572" t="s">
        <v>353</v>
      </c>
      <c r="D572" t="s">
        <v>3036</v>
      </c>
      <c r="E572" t="s">
        <v>3014</v>
      </c>
      <c r="F572" s="46">
        <v>46097.325855196759</v>
      </c>
      <c r="G572" s="46">
        <v>46097.325855196759</v>
      </c>
      <c r="H572">
        <v>0</v>
      </c>
    </row>
    <row r="573" spans="1:8" x14ac:dyDescent="0.15">
      <c r="A573">
        <v>572</v>
      </c>
      <c r="B573" t="s">
        <v>339</v>
      </c>
      <c r="C573" t="s">
        <v>353</v>
      </c>
      <c r="D573" t="s">
        <v>3037</v>
      </c>
      <c r="E573" t="s">
        <v>3014</v>
      </c>
      <c r="F573" s="46">
        <v>46097.325855196759</v>
      </c>
      <c r="G573" s="46">
        <v>46097.325855196759</v>
      </c>
      <c r="H573">
        <v>0</v>
      </c>
    </row>
    <row r="574" spans="1:8" x14ac:dyDescent="0.15">
      <c r="A574">
        <v>573</v>
      </c>
      <c r="B574" t="s">
        <v>339</v>
      </c>
      <c r="C574" t="s">
        <v>353</v>
      </c>
      <c r="D574" t="s">
        <v>3038</v>
      </c>
      <c r="E574" t="s">
        <v>3014</v>
      </c>
      <c r="F574" s="46">
        <v>46097.325855196759</v>
      </c>
      <c r="G574" s="46">
        <v>46097.325855370371</v>
      </c>
      <c r="H574">
        <v>16</v>
      </c>
    </row>
    <row r="575" spans="1:8" x14ac:dyDescent="0.15">
      <c r="A575">
        <v>574</v>
      </c>
      <c r="B575" t="s">
        <v>339</v>
      </c>
      <c r="C575" t="s">
        <v>353</v>
      </c>
      <c r="D575" t="s">
        <v>3039</v>
      </c>
      <c r="E575" t="s">
        <v>3040</v>
      </c>
      <c r="F575" s="46">
        <v>46097.325855370371</v>
      </c>
      <c r="G575" s="46">
        <v>46097.325855370371</v>
      </c>
      <c r="H575">
        <v>0</v>
      </c>
    </row>
    <row r="576" spans="1:8" x14ac:dyDescent="0.15">
      <c r="A576">
        <v>575</v>
      </c>
      <c r="B576" t="s">
        <v>339</v>
      </c>
      <c r="C576" t="s">
        <v>353</v>
      </c>
      <c r="D576" t="s">
        <v>3041</v>
      </c>
      <c r="E576" t="s">
        <v>3040</v>
      </c>
      <c r="F576" s="46">
        <v>46097.325855370371</v>
      </c>
      <c r="G576" s="46">
        <v>46097.325855370371</v>
      </c>
      <c r="H576">
        <v>0</v>
      </c>
    </row>
    <row r="577" spans="1:8" x14ac:dyDescent="0.15">
      <c r="A577">
        <v>576</v>
      </c>
      <c r="B577" t="s">
        <v>339</v>
      </c>
      <c r="C577" t="s">
        <v>353</v>
      </c>
      <c r="D577" t="s">
        <v>3042</v>
      </c>
      <c r="E577" t="s">
        <v>3040</v>
      </c>
      <c r="F577" s="46">
        <v>46097.325855370371</v>
      </c>
      <c r="G577" s="46">
        <v>46097.325855370371</v>
      </c>
      <c r="H577">
        <v>0</v>
      </c>
    </row>
    <row r="578" spans="1:8" x14ac:dyDescent="0.15">
      <c r="A578">
        <v>577</v>
      </c>
      <c r="B578" t="s">
        <v>339</v>
      </c>
      <c r="C578" t="s">
        <v>353</v>
      </c>
      <c r="D578" t="s">
        <v>3043</v>
      </c>
      <c r="E578" t="s">
        <v>3040</v>
      </c>
      <c r="F578" s="46">
        <v>46097.325855370371</v>
      </c>
      <c r="G578" s="46">
        <v>46097.325855370371</v>
      </c>
      <c r="H578">
        <v>0</v>
      </c>
    </row>
    <row r="579" spans="1:8" x14ac:dyDescent="0.15">
      <c r="A579">
        <v>578</v>
      </c>
      <c r="B579" t="s">
        <v>339</v>
      </c>
      <c r="C579" t="s">
        <v>353</v>
      </c>
      <c r="D579" t="s">
        <v>3044</v>
      </c>
      <c r="E579" t="s">
        <v>3040</v>
      </c>
      <c r="F579" s="46">
        <v>46097.325855370371</v>
      </c>
      <c r="G579" s="46">
        <v>46097.325855370371</v>
      </c>
      <c r="H579">
        <v>0</v>
      </c>
    </row>
    <row r="580" spans="1:8" x14ac:dyDescent="0.15">
      <c r="A580">
        <v>579</v>
      </c>
      <c r="B580" t="s">
        <v>339</v>
      </c>
      <c r="C580" t="s">
        <v>353</v>
      </c>
      <c r="D580" t="s">
        <v>3045</v>
      </c>
      <c r="E580" t="s">
        <v>3046</v>
      </c>
      <c r="F580" s="46">
        <v>46097.325855370371</v>
      </c>
      <c r="G580" s="46">
        <v>46097.325855370371</v>
      </c>
      <c r="H580">
        <v>0</v>
      </c>
    </row>
    <row r="581" spans="1:8" x14ac:dyDescent="0.15">
      <c r="A581">
        <v>580</v>
      </c>
      <c r="B581" t="s">
        <v>339</v>
      </c>
      <c r="C581" t="s">
        <v>353</v>
      </c>
      <c r="D581" t="s">
        <v>3047</v>
      </c>
      <c r="E581" t="s">
        <v>3048</v>
      </c>
      <c r="F581" s="46">
        <v>46097.325855370371</v>
      </c>
      <c r="G581" s="46">
        <v>46097.325855370371</v>
      </c>
      <c r="H581">
        <v>0</v>
      </c>
    </row>
    <row r="582" spans="1:8" x14ac:dyDescent="0.15">
      <c r="A582">
        <v>581</v>
      </c>
      <c r="B582" t="s">
        <v>339</v>
      </c>
      <c r="C582" t="s">
        <v>353</v>
      </c>
      <c r="D582" t="s">
        <v>3049</v>
      </c>
      <c r="E582" t="s">
        <v>3050</v>
      </c>
      <c r="F582" s="46">
        <v>46097.325855370371</v>
      </c>
      <c r="G582" s="46">
        <v>46097.325855370371</v>
      </c>
      <c r="H582">
        <v>0</v>
      </c>
    </row>
    <row r="583" spans="1:8" x14ac:dyDescent="0.15">
      <c r="A583">
        <v>582</v>
      </c>
      <c r="B583" t="s">
        <v>339</v>
      </c>
      <c r="C583" t="s">
        <v>353</v>
      </c>
      <c r="D583" t="s">
        <v>3051</v>
      </c>
      <c r="E583" t="s">
        <v>3052</v>
      </c>
      <c r="F583" s="46">
        <v>46097.325855370371</v>
      </c>
      <c r="G583" s="46">
        <v>46097.325855370371</v>
      </c>
      <c r="H583">
        <v>0</v>
      </c>
    </row>
    <row r="584" spans="1:8" x14ac:dyDescent="0.15">
      <c r="A584">
        <v>583</v>
      </c>
      <c r="B584" t="s">
        <v>339</v>
      </c>
      <c r="C584" t="s">
        <v>353</v>
      </c>
      <c r="D584" t="s">
        <v>3053</v>
      </c>
      <c r="E584" t="s">
        <v>3052</v>
      </c>
      <c r="F584" s="46">
        <v>46097.325855370371</v>
      </c>
      <c r="G584" s="46">
        <v>46097.325855555559</v>
      </c>
      <c r="H584">
        <v>16</v>
      </c>
    </row>
    <row r="585" spans="1:8" x14ac:dyDescent="0.15">
      <c r="A585">
        <v>584</v>
      </c>
      <c r="B585" t="s">
        <v>339</v>
      </c>
      <c r="C585" t="s">
        <v>353</v>
      </c>
      <c r="D585" t="s">
        <v>3054</v>
      </c>
      <c r="E585" t="s">
        <v>3052</v>
      </c>
      <c r="F585" s="46">
        <v>46097.325855555559</v>
      </c>
      <c r="G585" s="46">
        <v>46097.325855555559</v>
      </c>
      <c r="H585">
        <v>0</v>
      </c>
    </row>
    <row r="586" spans="1:8" x14ac:dyDescent="0.15">
      <c r="A586">
        <v>585</v>
      </c>
      <c r="B586" t="s">
        <v>339</v>
      </c>
      <c r="C586" t="s">
        <v>353</v>
      </c>
      <c r="D586" t="s">
        <v>3055</v>
      </c>
      <c r="E586" t="s">
        <v>3056</v>
      </c>
      <c r="F586" s="46">
        <v>46097.325855555559</v>
      </c>
      <c r="G586" s="46">
        <v>46097.325855555559</v>
      </c>
      <c r="H586">
        <v>0</v>
      </c>
    </row>
    <row r="587" spans="1:8" x14ac:dyDescent="0.15">
      <c r="A587">
        <v>586</v>
      </c>
      <c r="B587" t="s">
        <v>339</v>
      </c>
      <c r="C587" t="s">
        <v>353</v>
      </c>
      <c r="D587" t="s">
        <v>3057</v>
      </c>
      <c r="E587" t="s">
        <v>3056</v>
      </c>
      <c r="F587" s="46">
        <v>46097.325855555559</v>
      </c>
      <c r="G587" s="46">
        <v>46097.325855555559</v>
      </c>
      <c r="H587">
        <v>0</v>
      </c>
    </row>
    <row r="588" spans="1:8" x14ac:dyDescent="0.15">
      <c r="A588">
        <v>587</v>
      </c>
      <c r="B588" t="s">
        <v>339</v>
      </c>
      <c r="C588" t="s">
        <v>353</v>
      </c>
      <c r="D588" t="s">
        <v>3058</v>
      </c>
      <c r="E588" t="s">
        <v>3056</v>
      </c>
      <c r="F588" s="46">
        <v>46097.325855555559</v>
      </c>
      <c r="G588" s="46">
        <v>46097.325855555559</v>
      </c>
      <c r="H588">
        <v>0</v>
      </c>
    </row>
    <row r="589" spans="1:8" x14ac:dyDescent="0.15">
      <c r="A589">
        <v>588</v>
      </c>
      <c r="B589" t="s">
        <v>339</v>
      </c>
      <c r="C589" t="s">
        <v>353</v>
      </c>
      <c r="D589" t="s">
        <v>3059</v>
      </c>
      <c r="E589" t="s">
        <v>3056</v>
      </c>
      <c r="F589" s="46">
        <v>46097.325855555559</v>
      </c>
      <c r="G589" s="46">
        <v>46097.325855555559</v>
      </c>
      <c r="H589">
        <v>0</v>
      </c>
    </row>
    <row r="590" spans="1:8" x14ac:dyDescent="0.15">
      <c r="A590">
        <v>589</v>
      </c>
      <c r="B590" t="s">
        <v>339</v>
      </c>
      <c r="C590" t="s">
        <v>353</v>
      </c>
      <c r="D590" t="s">
        <v>3060</v>
      </c>
      <c r="E590" t="s">
        <v>3056</v>
      </c>
      <c r="F590" s="46">
        <v>46097.325855555559</v>
      </c>
      <c r="G590" s="46">
        <v>46097.325855555559</v>
      </c>
      <c r="H590">
        <v>0</v>
      </c>
    </row>
    <row r="591" spans="1:8" x14ac:dyDescent="0.15">
      <c r="A591">
        <v>590</v>
      </c>
      <c r="B591" t="s">
        <v>339</v>
      </c>
      <c r="C591" t="s">
        <v>353</v>
      </c>
      <c r="D591" t="s">
        <v>3061</v>
      </c>
      <c r="E591" t="s">
        <v>3056</v>
      </c>
      <c r="F591" s="46">
        <v>46097.325855555559</v>
      </c>
      <c r="G591" s="46">
        <v>46097.325855555559</v>
      </c>
      <c r="H591">
        <v>0</v>
      </c>
    </row>
    <row r="592" spans="1:8" x14ac:dyDescent="0.15">
      <c r="A592">
        <v>591</v>
      </c>
      <c r="B592" t="s">
        <v>339</v>
      </c>
      <c r="C592" t="s">
        <v>353</v>
      </c>
      <c r="D592" t="s">
        <v>3062</v>
      </c>
      <c r="E592" t="s">
        <v>3063</v>
      </c>
      <c r="F592" s="46">
        <v>46097.325855555559</v>
      </c>
      <c r="G592" s="46">
        <v>46097.325855555559</v>
      </c>
      <c r="H592">
        <v>0</v>
      </c>
    </row>
    <row r="593" spans="1:8" x14ac:dyDescent="0.15">
      <c r="A593">
        <v>592</v>
      </c>
      <c r="B593" t="s">
        <v>339</v>
      </c>
      <c r="C593" t="s">
        <v>353</v>
      </c>
      <c r="D593" t="s">
        <v>3064</v>
      </c>
      <c r="E593" t="s">
        <v>3063</v>
      </c>
      <c r="F593" s="46">
        <v>46097.325855555559</v>
      </c>
      <c r="G593" s="46">
        <v>46097.325855555559</v>
      </c>
      <c r="H593">
        <v>0</v>
      </c>
    </row>
    <row r="594" spans="1:8" x14ac:dyDescent="0.15">
      <c r="A594">
        <v>593</v>
      </c>
      <c r="B594" t="s">
        <v>339</v>
      </c>
      <c r="C594" t="s">
        <v>353</v>
      </c>
      <c r="D594" t="s">
        <v>3065</v>
      </c>
      <c r="E594" t="s">
        <v>3063</v>
      </c>
      <c r="F594" s="46">
        <v>46097.325855555559</v>
      </c>
      <c r="G594" s="46">
        <v>46097.325855555559</v>
      </c>
      <c r="H594">
        <v>0</v>
      </c>
    </row>
    <row r="595" spans="1:8" x14ac:dyDescent="0.15">
      <c r="A595">
        <v>594</v>
      </c>
      <c r="B595" t="s">
        <v>339</v>
      </c>
      <c r="C595" t="s">
        <v>353</v>
      </c>
      <c r="D595" t="s">
        <v>3066</v>
      </c>
      <c r="E595" t="s">
        <v>3063</v>
      </c>
      <c r="F595" s="46">
        <v>46097.325855555559</v>
      </c>
      <c r="G595" s="46">
        <v>46097.325855740739</v>
      </c>
      <c r="H595">
        <v>15</v>
      </c>
    </row>
    <row r="596" spans="1:8" x14ac:dyDescent="0.15">
      <c r="A596">
        <v>595</v>
      </c>
      <c r="B596" t="s">
        <v>339</v>
      </c>
      <c r="C596" t="s">
        <v>353</v>
      </c>
      <c r="D596" t="s">
        <v>3067</v>
      </c>
      <c r="E596" t="s">
        <v>3063</v>
      </c>
      <c r="F596" s="46">
        <v>46097.325855740739</v>
      </c>
      <c r="G596" s="46">
        <v>46097.325855740739</v>
      </c>
      <c r="H596">
        <v>0</v>
      </c>
    </row>
    <row r="597" spans="1:8" x14ac:dyDescent="0.15">
      <c r="A597">
        <v>596</v>
      </c>
      <c r="B597" t="s">
        <v>339</v>
      </c>
      <c r="C597" t="s">
        <v>353</v>
      </c>
      <c r="D597" t="s">
        <v>3068</v>
      </c>
      <c r="E597" t="s">
        <v>3063</v>
      </c>
      <c r="F597" s="46">
        <v>46097.325855740739</v>
      </c>
      <c r="G597" s="46">
        <v>46097.325855740739</v>
      </c>
      <c r="H597">
        <v>0</v>
      </c>
    </row>
    <row r="598" spans="1:8" x14ac:dyDescent="0.15">
      <c r="A598">
        <v>597</v>
      </c>
      <c r="B598" t="s">
        <v>339</v>
      </c>
      <c r="C598" t="s">
        <v>353</v>
      </c>
      <c r="D598" t="s">
        <v>3069</v>
      </c>
      <c r="E598" t="s">
        <v>3063</v>
      </c>
      <c r="F598" s="46">
        <v>46097.325855740739</v>
      </c>
      <c r="G598" s="46">
        <v>46097.325855740739</v>
      </c>
      <c r="H598">
        <v>0</v>
      </c>
    </row>
    <row r="599" spans="1:8" x14ac:dyDescent="0.15">
      <c r="A599">
        <v>598</v>
      </c>
      <c r="B599" t="s">
        <v>339</v>
      </c>
      <c r="C599" t="s">
        <v>353</v>
      </c>
      <c r="D599" t="s">
        <v>3070</v>
      </c>
      <c r="E599" t="s">
        <v>3063</v>
      </c>
      <c r="F599" s="46">
        <v>46097.325855740739</v>
      </c>
      <c r="G599" s="46">
        <v>46097.325855740739</v>
      </c>
      <c r="H599">
        <v>0</v>
      </c>
    </row>
    <row r="600" spans="1:8" x14ac:dyDescent="0.15">
      <c r="A600">
        <v>599</v>
      </c>
      <c r="B600" t="s">
        <v>339</v>
      </c>
      <c r="C600" t="s">
        <v>353</v>
      </c>
      <c r="D600" t="s">
        <v>3071</v>
      </c>
      <c r="E600" t="s">
        <v>3063</v>
      </c>
      <c r="F600" s="46">
        <v>46097.325855740739</v>
      </c>
      <c r="G600" s="46">
        <v>46097.325855740739</v>
      </c>
      <c r="H600">
        <v>0</v>
      </c>
    </row>
    <row r="601" spans="1:8" x14ac:dyDescent="0.15">
      <c r="A601">
        <v>600</v>
      </c>
      <c r="B601" t="s">
        <v>339</v>
      </c>
      <c r="C601" t="s">
        <v>353</v>
      </c>
      <c r="D601" t="s">
        <v>3072</v>
      </c>
      <c r="E601" t="s">
        <v>3063</v>
      </c>
      <c r="F601" s="46">
        <v>46097.325855740739</v>
      </c>
      <c r="G601" s="46">
        <v>46097.325855740739</v>
      </c>
      <c r="H601">
        <v>0</v>
      </c>
    </row>
    <row r="602" spans="1:8" x14ac:dyDescent="0.15">
      <c r="A602">
        <v>601</v>
      </c>
      <c r="B602" t="s">
        <v>339</v>
      </c>
      <c r="C602" t="s">
        <v>353</v>
      </c>
      <c r="D602" t="s">
        <v>3073</v>
      </c>
      <c r="E602" t="s">
        <v>3074</v>
      </c>
      <c r="F602" s="46">
        <v>46097.325855740739</v>
      </c>
      <c r="G602" s="46">
        <v>46097.325855740739</v>
      </c>
      <c r="H602">
        <v>0</v>
      </c>
    </row>
    <row r="603" spans="1:8" x14ac:dyDescent="0.15">
      <c r="A603">
        <v>602</v>
      </c>
      <c r="B603" t="s">
        <v>339</v>
      </c>
      <c r="C603" t="s">
        <v>353</v>
      </c>
      <c r="D603" t="s">
        <v>3075</v>
      </c>
      <c r="E603" t="s">
        <v>3074</v>
      </c>
      <c r="F603" s="46">
        <v>46097.325855740739</v>
      </c>
      <c r="G603" s="46">
        <v>46097.325855740739</v>
      </c>
      <c r="H603">
        <v>0</v>
      </c>
    </row>
    <row r="604" spans="1:8" x14ac:dyDescent="0.15">
      <c r="A604">
        <v>603</v>
      </c>
      <c r="B604" t="s">
        <v>339</v>
      </c>
      <c r="C604" t="s">
        <v>353</v>
      </c>
      <c r="D604" t="s">
        <v>3076</v>
      </c>
      <c r="E604" t="s">
        <v>3077</v>
      </c>
      <c r="F604" s="46">
        <v>46097.325855740739</v>
      </c>
      <c r="G604" s="46">
        <v>46097.325855740739</v>
      </c>
      <c r="H604">
        <v>0</v>
      </c>
    </row>
    <row r="605" spans="1:8" x14ac:dyDescent="0.15">
      <c r="A605">
        <v>604</v>
      </c>
      <c r="B605" t="s">
        <v>339</v>
      </c>
      <c r="C605" t="s">
        <v>353</v>
      </c>
      <c r="D605" t="s">
        <v>3078</v>
      </c>
      <c r="E605" t="s">
        <v>3079</v>
      </c>
      <c r="F605" s="46">
        <v>46097.325855740739</v>
      </c>
      <c r="G605" s="46">
        <v>46097.325855914351</v>
      </c>
      <c r="H605">
        <v>16</v>
      </c>
    </row>
    <row r="606" spans="1:8" x14ac:dyDescent="0.15">
      <c r="A606">
        <v>605</v>
      </c>
      <c r="B606" t="s">
        <v>339</v>
      </c>
      <c r="C606" t="s">
        <v>353</v>
      </c>
      <c r="D606" t="s">
        <v>3080</v>
      </c>
      <c r="E606" t="s">
        <v>3081</v>
      </c>
      <c r="F606" s="46">
        <v>46097.325855914351</v>
      </c>
      <c r="G606" s="46">
        <v>46097.325855914351</v>
      </c>
      <c r="H606">
        <v>0</v>
      </c>
    </row>
    <row r="607" spans="1:8" x14ac:dyDescent="0.15">
      <c r="A607">
        <v>606</v>
      </c>
      <c r="B607" t="s">
        <v>339</v>
      </c>
      <c r="C607" t="s">
        <v>353</v>
      </c>
      <c r="D607" t="s">
        <v>3082</v>
      </c>
      <c r="E607" t="s">
        <v>3081</v>
      </c>
      <c r="F607" s="46">
        <v>46097.325855914351</v>
      </c>
      <c r="G607" s="46">
        <v>46097.325855914351</v>
      </c>
      <c r="H607">
        <v>0</v>
      </c>
    </row>
    <row r="608" spans="1:8" x14ac:dyDescent="0.15">
      <c r="A608">
        <v>607</v>
      </c>
      <c r="B608" t="s">
        <v>339</v>
      </c>
      <c r="C608" t="s">
        <v>353</v>
      </c>
      <c r="D608" t="s">
        <v>3083</v>
      </c>
      <c r="E608" t="s">
        <v>3084</v>
      </c>
      <c r="F608" s="46">
        <v>46097.325855914351</v>
      </c>
      <c r="G608" s="46">
        <v>46097.325855914351</v>
      </c>
      <c r="H608">
        <v>0</v>
      </c>
    </row>
    <row r="609" spans="1:8" x14ac:dyDescent="0.15">
      <c r="A609">
        <v>608</v>
      </c>
      <c r="B609" t="s">
        <v>339</v>
      </c>
      <c r="C609" t="s">
        <v>353</v>
      </c>
      <c r="D609" t="s">
        <v>3085</v>
      </c>
      <c r="E609" t="s">
        <v>3086</v>
      </c>
      <c r="F609" s="46">
        <v>46097.325855914351</v>
      </c>
      <c r="G609" s="46">
        <v>46097.325855914351</v>
      </c>
      <c r="H609">
        <v>0</v>
      </c>
    </row>
    <row r="610" spans="1:8" x14ac:dyDescent="0.15">
      <c r="A610">
        <v>609</v>
      </c>
      <c r="B610" t="s">
        <v>339</v>
      </c>
      <c r="C610" t="s">
        <v>353</v>
      </c>
      <c r="D610" t="s">
        <v>3087</v>
      </c>
      <c r="E610" t="s">
        <v>3088</v>
      </c>
      <c r="F610" s="46">
        <v>46097.325855914351</v>
      </c>
      <c r="G610" s="46">
        <v>46097.325855914351</v>
      </c>
      <c r="H610">
        <v>0</v>
      </c>
    </row>
    <row r="611" spans="1:8" x14ac:dyDescent="0.15">
      <c r="A611">
        <v>610</v>
      </c>
      <c r="B611" t="s">
        <v>339</v>
      </c>
      <c r="C611" t="s">
        <v>353</v>
      </c>
      <c r="D611" t="s">
        <v>3089</v>
      </c>
      <c r="E611" t="s">
        <v>3090</v>
      </c>
      <c r="F611" s="46">
        <v>46097.325855914351</v>
      </c>
      <c r="G611" s="46">
        <v>46097.325855914351</v>
      </c>
      <c r="H611">
        <v>0</v>
      </c>
    </row>
    <row r="612" spans="1:8" x14ac:dyDescent="0.15">
      <c r="A612">
        <v>611</v>
      </c>
      <c r="B612" t="s">
        <v>339</v>
      </c>
      <c r="C612" t="s">
        <v>353</v>
      </c>
      <c r="D612" t="s">
        <v>3091</v>
      </c>
      <c r="E612" t="s">
        <v>3090</v>
      </c>
      <c r="F612" s="46">
        <v>46097.325855914351</v>
      </c>
      <c r="G612" s="46">
        <v>46097.325855914351</v>
      </c>
      <c r="H612">
        <v>0</v>
      </c>
    </row>
    <row r="613" spans="1:8" x14ac:dyDescent="0.15">
      <c r="A613">
        <v>612</v>
      </c>
      <c r="B613" t="s">
        <v>339</v>
      </c>
      <c r="C613" t="s">
        <v>353</v>
      </c>
      <c r="D613" t="s">
        <v>3092</v>
      </c>
      <c r="E613" t="s">
        <v>3090</v>
      </c>
      <c r="F613" s="46">
        <v>46097.325855914351</v>
      </c>
      <c r="G613" s="46">
        <v>46097.325855914351</v>
      </c>
      <c r="H613">
        <v>0</v>
      </c>
    </row>
    <row r="614" spans="1:8" x14ac:dyDescent="0.15">
      <c r="A614">
        <v>613</v>
      </c>
      <c r="B614" t="s">
        <v>339</v>
      </c>
      <c r="C614" t="s">
        <v>353</v>
      </c>
      <c r="D614" t="s">
        <v>3093</v>
      </c>
      <c r="E614" t="s">
        <v>3090</v>
      </c>
      <c r="F614" s="46">
        <v>46097.325855914351</v>
      </c>
      <c r="G614" s="46">
        <v>46097.325855914351</v>
      </c>
      <c r="H614">
        <v>0</v>
      </c>
    </row>
    <row r="615" spans="1:8" x14ac:dyDescent="0.15">
      <c r="A615">
        <v>614</v>
      </c>
      <c r="B615" t="s">
        <v>339</v>
      </c>
      <c r="C615" t="s">
        <v>353</v>
      </c>
      <c r="D615" t="s">
        <v>3094</v>
      </c>
      <c r="E615" t="s">
        <v>3090</v>
      </c>
      <c r="F615" s="46">
        <v>46097.325855914351</v>
      </c>
      <c r="G615" s="46">
        <v>46097.325855914351</v>
      </c>
      <c r="H615">
        <v>0</v>
      </c>
    </row>
    <row r="616" spans="1:8" x14ac:dyDescent="0.15">
      <c r="A616">
        <v>615</v>
      </c>
      <c r="B616" t="s">
        <v>339</v>
      </c>
      <c r="C616" t="s">
        <v>353</v>
      </c>
      <c r="D616" t="s">
        <v>3095</v>
      </c>
      <c r="E616" t="s">
        <v>3090</v>
      </c>
      <c r="F616" s="46">
        <v>46097.325856099538</v>
      </c>
      <c r="G616" s="46">
        <v>46097.325856099538</v>
      </c>
      <c r="H616">
        <v>0</v>
      </c>
    </row>
    <row r="617" spans="1:8" x14ac:dyDescent="0.15">
      <c r="A617">
        <v>616</v>
      </c>
      <c r="B617" t="s">
        <v>339</v>
      </c>
      <c r="C617" t="s">
        <v>353</v>
      </c>
      <c r="D617" t="s">
        <v>3096</v>
      </c>
      <c r="E617" t="s">
        <v>3090</v>
      </c>
      <c r="F617" s="46">
        <v>46097.325856099538</v>
      </c>
      <c r="G617" s="46">
        <v>46097.325856099538</v>
      </c>
      <c r="H617">
        <v>0</v>
      </c>
    </row>
    <row r="618" spans="1:8" x14ac:dyDescent="0.15">
      <c r="A618">
        <v>617</v>
      </c>
      <c r="B618" t="s">
        <v>339</v>
      </c>
      <c r="C618" t="s">
        <v>353</v>
      </c>
      <c r="D618" t="s">
        <v>3097</v>
      </c>
      <c r="E618" t="s">
        <v>3090</v>
      </c>
      <c r="F618" s="46">
        <v>46097.325856099538</v>
      </c>
      <c r="G618" s="46">
        <v>46097.325856099538</v>
      </c>
      <c r="H618">
        <v>0</v>
      </c>
    </row>
    <row r="619" spans="1:8" x14ac:dyDescent="0.15">
      <c r="A619">
        <v>618</v>
      </c>
      <c r="B619" t="s">
        <v>339</v>
      </c>
      <c r="C619" t="s">
        <v>353</v>
      </c>
      <c r="D619" t="s">
        <v>3098</v>
      </c>
      <c r="E619" t="s">
        <v>3090</v>
      </c>
      <c r="F619" s="46">
        <v>46097.325856099538</v>
      </c>
      <c r="G619" s="46">
        <v>46097.325856099538</v>
      </c>
      <c r="H619">
        <v>0</v>
      </c>
    </row>
    <row r="620" spans="1:8" x14ac:dyDescent="0.15">
      <c r="A620">
        <v>619</v>
      </c>
      <c r="B620" t="s">
        <v>339</v>
      </c>
      <c r="C620" t="s">
        <v>353</v>
      </c>
      <c r="D620" t="s">
        <v>3099</v>
      </c>
      <c r="E620" t="s">
        <v>3090</v>
      </c>
      <c r="F620" s="46">
        <v>46097.325856099538</v>
      </c>
      <c r="G620" s="46">
        <v>46097.325856099538</v>
      </c>
      <c r="H620">
        <v>0</v>
      </c>
    </row>
    <row r="621" spans="1:8" x14ac:dyDescent="0.15">
      <c r="A621">
        <v>620</v>
      </c>
      <c r="B621" t="s">
        <v>339</v>
      </c>
      <c r="C621" t="s">
        <v>353</v>
      </c>
      <c r="D621" t="s">
        <v>3100</v>
      </c>
      <c r="E621" t="s">
        <v>3101</v>
      </c>
      <c r="F621" s="46">
        <v>46097.325856099538</v>
      </c>
      <c r="G621" s="46">
        <v>46097.325856099538</v>
      </c>
      <c r="H621">
        <v>0</v>
      </c>
    </row>
    <row r="622" spans="1:8" x14ac:dyDescent="0.15">
      <c r="A622">
        <v>621</v>
      </c>
      <c r="B622" t="s">
        <v>339</v>
      </c>
      <c r="C622" t="s">
        <v>353</v>
      </c>
      <c r="D622" t="s">
        <v>3102</v>
      </c>
      <c r="E622" t="s">
        <v>3103</v>
      </c>
      <c r="F622" s="46">
        <v>46097.325856099538</v>
      </c>
      <c r="G622" s="46">
        <v>46097.325856099538</v>
      </c>
      <c r="H622">
        <v>0</v>
      </c>
    </row>
    <row r="623" spans="1:8" x14ac:dyDescent="0.15">
      <c r="A623">
        <v>622</v>
      </c>
      <c r="B623" t="s">
        <v>339</v>
      </c>
      <c r="C623" t="s">
        <v>353</v>
      </c>
      <c r="D623" t="s">
        <v>3104</v>
      </c>
      <c r="E623" t="s">
        <v>3105</v>
      </c>
      <c r="F623" s="46">
        <v>46097.325856099538</v>
      </c>
      <c r="G623" s="46">
        <v>46097.325856099538</v>
      </c>
      <c r="H623">
        <v>0</v>
      </c>
    </row>
    <row r="624" spans="1:8" x14ac:dyDescent="0.15">
      <c r="A624">
        <v>623</v>
      </c>
      <c r="B624" t="s">
        <v>339</v>
      </c>
      <c r="C624" t="s">
        <v>353</v>
      </c>
      <c r="D624" t="s">
        <v>3106</v>
      </c>
      <c r="E624" t="s">
        <v>3105</v>
      </c>
      <c r="F624" s="46">
        <v>46097.325856099538</v>
      </c>
      <c r="G624" s="46">
        <v>46097.325856099538</v>
      </c>
      <c r="H624">
        <v>0</v>
      </c>
    </row>
    <row r="625" spans="1:8" x14ac:dyDescent="0.15">
      <c r="A625">
        <v>624</v>
      </c>
      <c r="B625" t="s">
        <v>339</v>
      </c>
      <c r="C625" t="s">
        <v>353</v>
      </c>
      <c r="D625" t="s">
        <v>3107</v>
      </c>
      <c r="E625" t="s">
        <v>3108</v>
      </c>
      <c r="F625" s="46">
        <v>46097.325856099538</v>
      </c>
      <c r="G625" s="46">
        <v>46097.325856099538</v>
      </c>
      <c r="H625">
        <v>0</v>
      </c>
    </row>
    <row r="626" spans="1:8" x14ac:dyDescent="0.15">
      <c r="A626">
        <v>625</v>
      </c>
      <c r="B626" t="s">
        <v>339</v>
      </c>
      <c r="C626" t="s">
        <v>353</v>
      </c>
      <c r="D626" t="s">
        <v>3109</v>
      </c>
      <c r="E626" t="s">
        <v>3110</v>
      </c>
      <c r="F626" s="46">
        <v>46097.325856099538</v>
      </c>
      <c r="G626" s="46">
        <v>46097.325856284719</v>
      </c>
      <c r="H626">
        <v>16</v>
      </c>
    </row>
    <row r="627" spans="1:8" x14ac:dyDescent="0.15">
      <c r="A627">
        <v>626</v>
      </c>
      <c r="B627" t="s">
        <v>339</v>
      </c>
      <c r="C627" t="s">
        <v>353</v>
      </c>
      <c r="D627" t="s">
        <v>3111</v>
      </c>
      <c r="E627" t="s">
        <v>3112</v>
      </c>
      <c r="F627" s="46">
        <v>46097.325856284719</v>
      </c>
      <c r="G627" s="46">
        <v>46097.325856284719</v>
      </c>
      <c r="H627">
        <v>0</v>
      </c>
    </row>
    <row r="628" spans="1:8" x14ac:dyDescent="0.15">
      <c r="A628">
        <v>627</v>
      </c>
      <c r="B628" t="s">
        <v>339</v>
      </c>
      <c r="C628" t="s">
        <v>353</v>
      </c>
      <c r="D628" t="s">
        <v>3113</v>
      </c>
      <c r="E628" t="s">
        <v>3112</v>
      </c>
      <c r="F628" s="46">
        <v>46097.325856284719</v>
      </c>
      <c r="G628" s="46">
        <v>46097.325856284719</v>
      </c>
      <c r="H628">
        <v>0</v>
      </c>
    </row>
    <row r="629" spans="1:8" x14ac:dyDescent="0.15">
      <c r="A629">
        <v>628</v>
      </c>
      <c r="B629" t="s">
        <v>339</v>
      </c>
      <c r="C629" t="s">
        <v>353</v>
      </c>
      <c r="D629" t="s">
        <v>3114</v>
      </c>
      <c r="E629" t="s">
        <v>3112</v>
      </c>
      <c r="F629" s="46">
        <v>46097.325856284719</v>
      </c>
      <c r="G629" s="46">
        <v>46097.325856284719</v>
      </c>
      <c r="H629">
        <v>0</v>
      </c>
    </row>
    <row r="630" spans="1:8" x14ac:dyDescent="0.15">
      <c r="A630">
        <v>629</v>
      </c>
      <c r="B630" t="s">
        <v>339</v>
      </c>
      <c r="C630" t="s">
        <v>353</v>
      </c>
      <c r="D630" t="s">
        <v>3115</v>
      </c>
      <c r="E630" t="s">
        <v>3112</v>
      </c>
      <c r="F630" s="46">
        <v>46097.325856284719</v>
      </c>
      <c r="G630" s="46">
        <v>46097.325856284719</v>
      </c>
      <c r="H630">
        <v>0</v>
      </c>
    </row>
    <row r="631" spans="1:8" x14ac:dyDescent="0.15">
      <c r="A631">
        <v>630</v>
      </c>
      <c r="B631" t="s">
        <v>339</v>
      </c>
      <c r="C631" t="s">
        <v>353</v>
      </c>
      <c r="D631" t="s">
        <v>3116</v>
      </c>
      <c r="E631" t="s">
        <v>3112</v>
      </c>
      <c r="F631" s="46">
        <v>46097.325856284719</v>
      </c>
      <c r="G631" s="46">
        <v>46097.325856284719</v>
      </c>
      <c r="H631">
        <v>0</v>
      </c>
    </row>
    <row r="632" spans="1:8" x14ac:dyDescent="0.15">
      <c r="A632">
        <v>631</v>
      </c>
      <c r="B632" t="s">
        <v>339</v>
      </c>
      <c r="C632" t="s">
        <v>353</v>
      </c>
      <c r="D632" t="s">
        <v>3117</v>
      </c>
      <c r="E632" t="s">
        <v>3118</v>
      </c>
      <c r="F632" s="46">
        <v>46097.325856284719</v>
      </c>
      <c r="G632" s="46">
        <v>46097.325856284719</v>
      </c>
      <c r="H632">
        <v>0</v>
      </c>
    </row>
    <row r="633" spans="1:8" x14ac:dyDescent="0.15">
      <c r="A633">
        <v>632</v>
      </c>
      <c r="B633" t="s">
        <v>339</v>
      </c>
      <c r="C633" t="s">
        <v>353</v>
      </c>
      <c r="D633" t="s">
        <v>3119</v>
      </c>
      <c r="E633" t="s">
        <v>3118</v>
      </c>
      <c r="F633" s="46">
        <v>46097.325856284719</v>
      </c>
      <c r="G633" s="46">
        <v>46097.325856284719</v>
      </c>
      <c r="H633">
        <v>0</v>
      </c>
    </row>
    <row r="634" spans="1:8" x14ac:dyDescent="0.15">
      <c r="A634">
        <v>633</v>
      </c>
      <c r="B634" t="s">
        <v>339</v>
      </c>
      <c r="C634" t="s">
        <v>353</v>
      </c>
      <c r="D634" t="s">
        <v>3120</v>
      </c>
      <c r="E634" t="s">
        <v>3121</v>
      </c>
      <c r="F634" s="46">
        <v>46097.325856284719</v>
      </c>
      <c r="G634" s="46">
        <v>46097.325856284719</v>
      </c>
      <c r="H634">
        <v>0</v>
      </c>
    </row>
    <row r="635" spans="1:8" x14ac:dyDescent="0.15">
      <c r="A635">
        <v>634</v>
      </c>
      <c r="B635" t="s">
        <v>339</v>
      </c>
      <c r="C635" t="s">
        <v>353</v>
      </c>
      <c r="D635" t="s">
        <v>3122</v>
      </c>
      <c r="E635" t="s">
        <v>3123</v>
      </c>
      <c r="F635" s="46">
        <v>46097.325856284719</v>
      </c>
      <c r="G635" s="46">
        <v>46097.325856284719</v>
      </c>
      <c r="H635">
        <v>0</v>
      </c>
    </row>
    <row r="636" spans="1:8" x14ac:dyDescent="0.15">
      <c r="A636">
        <v>635</v>
      </c>
      <c r="B636" t="s">
        <v>339</v>
      </c>
      <c r="C636" t="s">
        <v>353</v>
      </c>
      <c r="D636" t="s">
        <v>3124</v>
      </c>
      <c r="E636" t="s">
        <v>3123</v>
      </c>
      <c r="F636" s="46">
        <v>46097.325856284719</v>
      </c>
      <c r="G636" s="46">
        <v>46097.325856284719</v>
      </c>
      <c r="H636">
        <v>0</v>
      </c>
    </row>
    <row r="637" spans="1:8" x14ac:dyDescent="0.15">
      <c r="A637">
        <v>636</v>
      </c>
      <c r="B637" t="s">
        <v>339</v>
      </c>
      <c r="C637" t="s">
        <v>353</v>
      </c>
      <c r="D637" t="s">
        <v>3125</v>
      </c>
      <c r="E637" t="s">
        <v>3126</v>
      </c>
      <c r="F637" s="46">
        <v>46097.325856284719</v>
      </c>
      <c r="G637" s="46">
        <v>46097.32585645833</v>
      </c>
      <c r="H637">
        <v>16</v>
      </c>
    </row>
    <row r="638" spans="1:8" x14ac:dyDescent="0.15">
      <c r="A638">
        <v>637</v>
      </c>
      <c r="B638" t="s">
        <v>339</v>
      </c>
      <c r="C638" t="s">
        <v>353</v>
      </c>
      <c r="D638" t="s">
        <v>3127</v>
      </c>
      <c r="E638" t="s">
        <v>3128</v>
      </c>
      <c r="F638" s="46">
        <v>46097.32585645833</v>
      </c>
      <c r="G638" s="46">
        <v>46097.32585645833</v>
      </c>
      <c r="H638">
        <v>0</v>
      </c>
    </row>
    <row r="639" spans="1:8" x14ac:dyDescent="0.15">
      <c r="A639">
        <v>638</v>
      </c>
      <c r="B639" t="s">
        <v>339</v>
      </c>
      <c r="C639" t="s">
        <v>353</v>
      </c>
      <c r="D639" t="s">
        <v>3129</v>
      </c>
      <c r="E639" t="s">
        <v>3128</v>
      </c>
      <c r="F639" s="46">
        <v>46097.32585645833</v>
      </c>
      <c r="G639" s="46">
        <v>46097.32585645833</v>
      </c>
      <c r="H639">
        <v>0</v>
      </c>
    </row>
    <row r="640" spans="1:8" x14ac:dyDescent="0.15">
      <c r="A640">
        <v>639</v>
      </c>
      <c r="B640" t="s">
        <v>339</v>
      </c>
      <c r="C640" t="s">
        <v>353</v>
      </c>
      <c r="D640" t="s">
        <v>3130</v>
      </c>
      <c r="E640" t="s">
        <v>3131</v>
      </c>
      <c r="F640" s="46">
        <v>46097.32585645833</v>
      </c>
      <c r="G640" s="46">
        <v>46097.32585645833</v>
      </c>
      <c r="H640">
        <v>0</v>
      </c>
    </row>
    <row r="641" spans="1:8" x14ac:dyDescent="0.15">
      <c r="A641">
        <v>640</v>
      </c>
      <c r="B641" t="s">
        <v>339</v>
      </c>
      <c r="C641" t="s">
        <v>353</v>
      </c>
      <c r="D641" t="s">
        <v>3132</v>
      </c>
      <c r="E641" t="s">
        <v>3131</v>
      </c>
      <c r="F641" s="46">
        <v>46097.32585645833</v>
      </c>
      <c r="G641" s="46">
        <v>46097.32585645833</v>
      </c>
      <c r="H641">
        <v>0</v>
      </c>
    </row>
    <row r="642" spans="1:8" x14ac:dyDescent="0.15">
      <c r="A642">
        <v>641</v>
      </c>
      <c r="B642" t="s">
        <v>339</v>
      </c>
      <c r="C642" t="s">
        <v>353</v>
      </c>
      <c r="D642" t="s">
        <v>3133</v>
      </c>
      <c r="E642" t="s">
        <v>3134</v>
      </c>
      <c r="F642" s="46">
        <v>46097.32585645833</v>
      </c>
      <c r="G642" s="46">
        <v>46097.32585645833</v>
      </c>
      <c r="H642">
        <v>0</v>
      </c>
    </row>
    <row r="643" spans="1:8" x14ac:dyDescent="0.15">
      <c r="A643">
        <v>642</v>
      </c>
      <c r="B643" t="s">
        <v>339</v>
      </c>
      <c r="C643" t="s">
        <v>353</v>
      </c>
      <c r="D643" t="s">
        <v>3135</v>
      </c>
      <c r="E643" t="s">
        <v>3136</v>
      </c>
      <c r="F643" s="46">
        <v>46097.32585645833</v>
      </c>
      <c r="G643" s="46">
        <v>46097.32585645833</v>
      </c>
      <c r="H643">
        <v>0</v>
      </c>
    </row>
    <row r="644" spans="1:8" x14ac:dyDescent="0.15">
      <c r="A644">
        <v>643</v>
      </c>
      <c r="B644" t="s">
        <v>339</v>
      </c>
      <c r="C644" t="s">
        <v>353</v>
      </c>
      <c r="D644" t="s">
        <v>3137</v>
      </c>
      <c r="E644" t="s">
        <v>3138</v>
      </c>
      <c r="F644" s="46">
        <v>46097.32585645833</v>
      </c>
      <c r="G644" s="46">
        <v>46097.32585645833</v>
      </c>
      <c r="H644">
        <v>0</v>
      </c>
    </row>
    <row r="645" spans="1:8" x14ac:dyDescent="0.15">
      <c r="A645">
        <v>644</v>
      </c>
      <c r="B645" t="s">
        <v>339</v>
      </c>
      <c r="C645" t="s">
        <v>353</v>
      </c>
      <c r="D645" t="s">
        <v>3139</v>
      </c>
      <c r="E645" t="s">
        <v>360</v>
      </c>
      <c r="F645" s="46">
        <v>46097.32585645833</v>
      </c>
      <c r="G645" s="46">
        <v>46097.32585645833</v>
      </c>
      <c r="H645">
        <v>0</v>
      </c>
    </row>
    <row r="646" spans="1:8" x14ac:dyDescent="0.15">
      <c r="A646">
        <v>645</v>
      </c>
      <c r="B646" t="s">
        <v>339</v>
      </c>
      <c r="C646" t="s">
        <v>353</v>
      </c>
      <c r="D646" t="s">
        <v>3140</v>
      </c>
      <c r="E646" t="s">
        <v>362</v>
      </c>
      <c r="F646" s="46">
        <v>46097.32585645833</v>
      </c>
      <c r="G646" s="46">
        <v>46097.32585645833</v>
      </c>
      <c r="H646">
        <v>0</v>
      </c>
    </row>
    <row r="647" spans="1:8" x14ac:dyDescent="0.15">
      <c r="A647">
        <v>646</v>
      </c>
      <c r="B647" t="s">
        <v>339</v>
      </c>
      <c r="C647" t="s">
        <v>353</v>
      </c>
      <c r="D647" t="s">
        <v>3141</v>
      </c>
      <c r="E647" t="s">
        <v>362</v>
      </c>
      <c r="F647" s="46">
        <v>46097.32585645833</v>
      </c>
      <c r="G647" s="46">
        <v>46097.325856643518</v>
      </c>
      <c r="H647">
        <v>16</v>
      </c>
    </row>
    <row r="648" spans="1:8" x14ac:dyDescent="0.15">
      <c r="A648">
        <v>647</v>
      </c>
      <c r="B648" t="s">
        <v>339</v>
      </c>
      <c r="C648" t="s">
        <v>353</v>
      </c>
      <c r="D648" t="s">
        <v>3142</v>
      </c>
      <c r="E648" t="s">
        <v>362</v>
      </c>
      <c r="F648" s="46">
        <v>46097.325856643518</v>
      </c>
      <c r="G648" s="46">
        <v>46097.325856643518</v>
      </c>
      <c r="H648">
        <v>0</v>
      </c>
    </row>
    <row r="649" spans="1:8" x14ac:dyDescent="0.15">
      <c r="A649">
        <v>648</v>
      </c>
      <c r="B649" t="s">
        <v>339</v>
      </c>
      <c r="C649" t="s">
        <v>353</v>
      </c>
      <c r="D649" t="s">
        <v>3143</v>
      </c>
      <c r="E649" t="s">
        <v>362</v>
      </c>
      <c r="F649" s="46">
        <v>46097.325856643518</v>
      </c>
      <c r="G649" s="46">
        <v>46097.325856643518</v>
      </c>
      <c r="H649">
        <v>0</v>
      </c>
    </row>
    <row r="650" spans="1:8" x14ac:dyDescent="0.15">
      <c r="A650">
        <v>649</v>
      </c>
      <c r="B650" t="s">
        <v>339</v>
      </c>
      <c r="C650" t="s">
        <v>353</v>
      </c>
      <c r="D650" t="s">
        <v>3144</v>
      </c>
      <c r="E650" t="s">
        <v>362</v>
      </c>
      <c r="F650" s="46">
        <v>46097.325856643518</v>
      </c>
      <c r="G650" s="46">
        <v>46097.325856643518</v>
      </c>
      <c r="H650">
        <v>0</v>
      </c>
    </row>
    <row r="651" spans="1:8" x14ac:dyDescent="0.15">
      <c r="A651">
        <v>650</v>
      </c>
      <c r="B651" t="s">
        <v>339</v>
      </c>
      <c r="C651" t="s">
        <v>353</v>
      </c>
      <c r="D651" t="s">
        <v>3145</v>
      </c>
      <c r="E651" t="s">
        <v>362</v>
      </c>
      <c r="F651" s="46">
        <v>46097.325856643518</v>
      </c>
      <c r="G651" s="46">
        <v>46097.325856643518</v>
      </c>
      <c r="H651">
        <v>0</v>
      </c>
    </row>
    <row r="652" spans="1:8" x14ac:dyDescent="0.15">
      <c r="A652">
        <v>651</v>
      </c>
      <c r="B652" t="s">
        <v>339</v>
      </c>
      <c r="C652" t="s">
        <v>353</v>
      </c>
      <c r="D652" t="s">
        <v>3146</v>
      </c>
      <c r="E652" t="s">
        <v>362</v>
      </c>
      <c r="F652" s="46">
        <v>46097.325856643518</v>
      </c>
      <c r="G652" s="46">
        <v>46097.325856643518</v>
      </c>
      <c r="H652">
        <v>0</v>
      </c>
    </row>
    <row r="653" spans="1:8" x14ac:dyDescent="0.15">
      <c r="A653">
        <v>652</v>
      </c>
      <c r="B653" t="s">
        <v>339</v>
      </c>
      <c r="C653" t="s">
        <v>353</v>
      </c>
      <c r="D653" t="s">
        <v>3147</v>
      </c>
      <c r="E653" t="s">
        <v>362</v>
      </c>
      <c r="F653" s="46">
        <v>46097.325856643518</v>
      </c>
      <c r="G653" s="46">
        <v>46097.325856643518</v>
      </c>
      <c r="H653">
        <v>0</v>
      </c>
    </row>
    <row r="654" spans="1:8" x14ac:dyDescent="0.15">
      <c r="A654">
        <v>653</v>
      </c>
      <c r="B654" t="s">
        <v>339</v>
      </c>
      <c r="C654" t="s">
        <v>353</v>
      </c>
      <c r="D654" t="s">
        <v>3148</v>
      </c>
      <c r="E654" t="s">
        <v>362</v>
      </c>
      <c r="F654" s="46">
        <v>46097.325856643518</v>
      </c>
      <c r="G654" s="46">
        <v>46097.325856643518</v>
      </c>
      <c r="H654">
        <v>0</v>
      </c>
    </row>
    <row r="655" spans="1:8" x14ac:dyDescent="0.15">
      <c r="A655">
        <v>654</v>
      </c>
      <c r="B655" t="s">
        <v>339</v>
      </c>
      <c r="C655" t="s">
        <v>353</v>
      </c>
      <c r="D655" t="s">
        <v>3149</v>
      </c>
      <c r="E655" t="s">
        <v>362</v>
      </c>
      <c r="F655" s="46">
        <v>46097.325856643518</v>
      </c>
      <c r="G655" s="46">
        <v>46097.325856643518</v>
      </c>
      <c r="H655">
        <v>0</v>
      </c>
    </row>
    <row r="656" spans="1:8" x14ac:dyDescent="0.15">
      <c r="A656">
        <v>655</v>
      </c>
      <c r="B656" t="s">
        <v>339</v>
      </c>
      <c r="C656" t="s">
        <v>353</v>
      </c>
      <c r="D656" t="s">
        <v>3150</v>
      </c>
      <c r="E656" t="s">
        <v>362</v>
      </c>
      <c r="F656" s="46">
        <v>46097.325856643518</v>
      </c>
      <c r="G656" s="46">
        <v>46097.325856643518</v>
      </c>
      <c r="H656">
        <v>0</v>
      </c>
    </row>
    <row r="657" spans="1:8" x14ac:dyDescent="0.15">
      <c r="A657">
        <v>656</v>
      </c>
      <c r="B657" t="s">
        <v>339</v>
      </c>
      <c r="C657" t="s">
        <v>353</v>
      </c>
      <c r="D657" t="s">
        <v>3151</v>
      </c>
      <c r="E657" t="s">
        <v>362</v>
      </c>
      <c r="F657" s="46">
        <v>46097.325856643518</v>
      </c>
      <c r="G657" s="46">
        <v>46097.325856643518</v>
      </c>
      <c r="H657">
        <v>0</v>
      </c>
    </row>
    <row r="658" spans="1:8" x14ac:dyDescent="0.15">
      <c r="A658">
        <v>657</v>
      </c>
      <c r="B658" t="s">
        <v>339</v>
      </c>
      <c r="C658" t="s">
        <v>353</v>
      </c>
      <c r="D658" t="s">
        <v>3152</v>
      </c>
      <c r="E658" t="s">
        <v>363</v>
      </c>
      <c r="F658" s="46">
        <v>46097.325856643518</v>
      </c>
      <c r="G658" s="46">
        <v>46097.32585681713</v>
      </c>
      <c r="H658">
        <v>15</v>
      </c>
    </row>
    <row r="659" spans="1:8" x14ac:dyDescent="0.15">
      <c r="A659">
        <v>658</v>
      </c>
      <c r="B659" t="s">
        <v>339</v>
      </c>
      <c r="C659" t="s">
        <v>353</v>
      </c>
      <c r="D659" t="s">
        <v>3153</v>
      </c>
      <c r="E659" t="s">
        <v>363</v>
      </c>
      <c r="F659" s="46">
        <v>46097.32585681713</v>
      </c>
      <c r="G659" s="46">
        <v>46097.32585681713</v>
      </c>
      <c r="H659">
        <v>0</v>
      </c>
    </row>
    <row r="660" spans="1:8" x14ac:dyDescent="0.15">
      <c r="A660">
        <v>659</v>
      </c>
      <c r="B660" t="s">
        <v>339</v>
      </c>
      <c r="C660" t="s">
        <v>353</v>
      </c>
      <c r="D660" t="s">
        <v>3154</v>
      </c>
      <c r="E660" t="s">
        <v>364</v>
      </c>
      <c r="F660" s="46">
        <v>46097.32585681713</v>
      </c>
      <c r="G660" s="46">
        <v>46097.32585681713</v>
      </c>
      <c r="H660">
        <v>0</v>
      </c>
    </row>
    <row r="661" spans="1:8" x14ac:dyDescent="0.15">
      <c r="A661">
        <v>660</v>
      </c>
      <c r="B661" t="s">
        <v>339</v>
      </c>
      <c r="C661" t="s">
        <v>353</v>
      </c>
      <c r="D661" t="s">
        <v>3155</v>
      </c>
      <c r="E661" t="s">
        <v>364</v>
      </c>
      <c r="F661" s="46">
        <v>46097.32585681713</v>
      </c>
      <c r="G661" s="46">
        <v>46097.32585681713</v>
      </c>
      <c r="H661">
        <v>0</v>
      </c>
    </row>
    <row r="662" spans="1:8" x14ac:dyDescent="0.15">
      <c r="A662">
        <v>661</v>
      </c>
      <c r="B662" t="s">
        <v>339</v>
      </c>
      <c r="C662" t="s">
        <v>353</v>
      </c>
      <c r="D662" t="s">
        <v>3156</v>
      </c>
      <c r="E662" t="s">
        <v>365</v>
      </c>
      <c r="F662" s="46">
        <v>46097.32585681713</v>
      </c>
      <c r="G662" s="46">
        <v>46097.32585681713</v>
      </c>
      <c r="H662">
        <v>0</v>
      </c>
    </row>
    <row r="663" spans="1:8" x14ac:dyDescent="0.15">
      <c r="A663">
        <v>662</v>
      </c>
      <c r="B663" t="s">
        <v>339</v>
      </c>
      <c r="C663" t="s">
        <v>353</v>
      </c>
      <c r="D663" t="s">
        <v>3157</v>
      </c>
      <c r="E663" t="s">
        <v>365</v>
      </c>
      <c r="F663" s="46">
        <v>46097.32585681713</v>
      </c>
      <c r="G663" s="46">
        <v>46097.32585681713</v>
      </c>
      <c r="H663">
        <v>0</v>
      </c>
    </row>
    <row r="664" spans="1:8" x14ac:dyDescent="0.15">
      <c r="A664">
        <v>663</v>
      </c>
      <c r="B664" t="s">
        <v>339</v>
      </c>
      <c r="C664" t="s">
        <v>353</v>
      </c>
      <c r="D664" t="s">
        <v>3158</v>
      </c>
      <c r="E664" t="s">
        <v>3159</v>
      </c>
      <c r="F664" s="46">
        <v>46097.32585681713</v>
      </c>
      <c r="G664" s="46">
        <v>46097.32585681713</v>
      </c>
      <c r="H664">
        <v>0</v>
      </c>
    </row>
    <row r="665" spans="1:8" x14ac:dyDescent="0.15">
      <c r="A665">
        <v>664</v>
      </c>
      <c r="B665" t="s">
        <v>339</v>
      </c>
      <c r="C665" t="s">
        <v>353</v>
      </c>
      <c r="D665" t="s">
        <v>3160</v>
      </c>
      <c r="E665" t="s">
        <v>3159</v>
      </c>
      <c r="F665" s="46">
        <v>46097.32585681713</v>
      </c>
      <c r="G665" s="46">
        <v>46097.32585681713</v>
      </c>
      <c r="H665">
        <v>0</v>
      </c>
    </row>
    <row r="666" spans="1:8" x14ac:dyDescent="0.15">
      <c r="A666">
        <v>665</v>
      </c>
      <c r="B666" t="s">
        <v>339</v>
      </c>
      <c r="C666" t="s">
        <v>353</v>
      </c>
      <c r="D666" t="s">
        <v>3161</v>
      </c>
      <c r="E666" t="s">
        <v>3162</v>
      </c>
      <c r="F666" s="46">
        <v>46097.32585681713</v>
      </c>
      <c r="G666" s="46">
        <v>46097.32585681713</v>
      </c>
      <c r="H666">
        <v>0</v>
      </c>
    </row>
    <row r="667" spans="1:8" x14ac:dyDescent="0.15">
      <c r="A667">
        <v>666</v>
      </c>
      <c r="B667" t="s">
        <v>339</v>
      </c>
      <c r="C667" t="s">
        <v>353</v>
      </c>
      <c r="D667" t="s">
        <v>3163</v>
      </c>
      <c r="E667" t="s">
        <v>366</v>
      </c>
      <c r="F667" s="46">
        <v>46097.32585681713</v>
      </c>
      <c r="G667" s="46">
        <v>46097.32585681713</v>
      </c>
      <c r="H667">
        <v>0</v>
      </c>
    </row>
    <row r="668" spans="1:8" x14ac:dyDescent="0.15">
      <c r="A668">
        <v>667</v>
      </c>
      <c r="B668" t="s">
        <v>339</v>
      </c>
      <c r="C668" t="s">
        <v>353</v>
      </c>
      <c r="D668" t="s">
        <v>3164</v>
      </c>
      <c r="E668" t="s">
        <v>366</v>
      </c>
      <c r="F668" s="46">
        <v>46097.32585681713</v>
      </c>
      <c r="G668" s="46">
        <v>46097.325857002317</v>
      </c>
      <c r="H668">
        <v>16</v>
      </c>
    </row>
    <row r="669" spans="1:8" x14ac:dyDescent="0.15">
      <c r="A669">
        <v>668</v>
      </c>
      <c r="B669" t="s">
        <v>339</v>
      </c>
      <c r="C669" t="s">
        <v>353</v>
      </c>
      <c r="D669" t="s">
        <v>3165</v>
      </c>
      <c r="E669" t="s">
        <v>366</v>
      </c>
      <c r="F669" s="46">
        <v>46097.325857002317</v>
      </c>
      <c r="G669" s="46">
        <v>46097.325857002317</v>
      </c>
      <c r="H669">
        <v>0</v>
      </c>
    </row>
    <row r="670" spans="1:8" x14ac:dyDescent="0.15">
      <c r="A670">
        <v>669</v>
      </c>
      <c r="B670" t="s">
        <v>339</v>
      </c>
      <c r="C670" t="s">
        <v>353</v>
      </c>
      <c r="D670" t="s">
        <v>3166</v>
      </c>
      <c r="E670" t="s">
        <v>366</v>
      </c>
      <c r="F670" s="46">
        <v>46097.325857002317</v>
      </c>
      <c r="G670" s="46">
        <v>46097.325857002317</v>
      </c>
      <c r="H670">
        <v>0</v>
      </c>
    </row>
    <row r="671" spans="1:8" x14ac:dyDescent="0.15">
      <c r="A671">
        <v>670</v>
      </c>
      <c r="B671" t="s">
        <v>339</v>
      </c>
      <c r="C671" t="s">
        <v>353</v>
      </c>
      <c r="D671" t="s">
        <v>3167</v>
      </c>
      <c r="E671" t="s">
        <v>3168</v>
      </c>
      <c r="F671" s="46">
        <v>46097.325857002317</v>
      </c>
      <c r="G671" s="46">
        <v>46097.325857002317</v>
      </c>
      <c r="H671">
        <v>0</v>
      </c>
    </row>
    <row r="672" spans="1:8" x14ac:dyDescent="0.15">
      <c r="A672">
        <v>671</v>
      </c>
      <c r="B672" t="s">
        <v>339</v>
      </c>
      <c r="C672" t="s">
        <v>353</v>
      </c>
      <c r="D672" t="s">
        <v>3169</v>
      </c>
      <c r="E672" t="s">
        <v>3170</v>
      </c>
      <c r="F672" s="46">
        <v>46097.325857002317</v>
      </c>
      <c r="G672" s="46">
        <v>46097.325857002317</v>
      </c>
      <c r="H672">
        <v>0</v>
      </c>
    </row>
    <row r="673" spans="1:8" x14ac:dyDescent="0.15">
      <c r="A673">
        <v>672</v>
      </c>
      <c r="B673" t="s">
        <v>339</v>
      </c>
      <c r="C673" t="s">
        <v>353</v>
      </c>
      <c r="D673" t="s">
        <v>3171</v>
      </c>
      <c r="E673" t="s">
        <v>3170</v>
      </c>
      <c r="F673" s="46">
        <v>46097.325857002317</v>
      </c>
      <c r="G673" s="46">
        <v>46097.325857002317</v>
      </c>
      <c r="H673">
        <v>0</v>
      </c>
    </row>
    <row r="674" spans="1:8" x14ac:dyDescent="0.15">
      <c r="A674">
        <v>673</v>
      </c>
      <c r="B674" t="s">
        <v>339</v>
      </c>
      <c r="C674" t="s">
        <v>353</v>
      </c>
      <c r="D674" t="s">
        <v>3172</v>
      </c>
      <c r="E674" t="s">
        <v>3170</v>
      </c>
      <c r="F674" s="46">
        <v>46097.325857002317</v>
      </c>
      <c r="G674" s="46">
        <v>46097.325857002317</v>
      </c>
      <c r="H674">
        <v>0</v>
      </c>
    </row>
    <row r="675" spans="1:8" x14ac:dyDescent="0.15">
      <c r="A675">
        <v>674</v>
      </c>
      <c r="B675" t="s">
        <v>339</v>
      </c>
      <c r="C675" t="s">
        <v>353</v>
      </c>
      <c r="D675" t="s">
        <v>3173</v>
      </c>
      <c r="E675" t="s">
        <v>3170</v>
      </c>
      <c r="F675" s="46">
        <v>46097.325857002317</v>
      </c>
      <c r="G675" s="46">
        <v>46097.325857002317</v>
      </c>
      <c r="H675">
        <v>0</v>
      </c>
    </row>
    <row r="676" spans="1:8" x14ac:dyDescent="0.15">
      <c r="A676">
        <v>675</v>
      </c>
      <c r="B676" t="s">
        <v>339</v>
      </c>
      <c r="C676" t="s">
        <v>353</v>
      </c>
      <c r="D676" t="s">
        <v>3174</v>
      </c>
      <c r="E676" t="s">
        <v>3170</v>
      </c>
      <c r="F676" s="46">
        <v>46097.325857002317</v>
      </c>
      <c r="G676" s="46">
        <v>46097.325857002317</v>
      </c>
      <c r="H676">
        <v>0</v>
      </c>
    </row>
    <row r="677" spans="1:8" x14ac:dyDescent="0.15">
      <c r="A677">
        <v>676</v>
      </c>
      <c r="B677" t="s">
        <v>339</v>
      </c>
      <c r="C677" t="s">
        <v>353</v>
      </c>
      <c r="D677" t="s">
        <v>3175</v>
      </c>
      <c r="E677" t="s">
        <v>3176</v>
      </c>
      <c r="F677" s="46">
        <v>46097.325857002317</v>
      </c>
      <c r="G677" s="46">
        <v>46097.325857002317</v>
      </c>
      <c r="H677">
        <v>0</v>
      </c>
    </row>
    <row r="678" spans="1:8" x14ac:dyDescent="0.15">
      <c r="A678">
        <v>677</v>
      </c>
      <c r="B678" t="s">
        <v>339</v>
      </c>
      <c r="C678" t="s">
        <v>353</v>
      </c>
      <c r="D678" t="s">
        <v>3177</v>
      </c>
      <c r="E678" t="s">
        <v>3178</v>
      </c>
      <c r="F678" s="46">
        <v>46097.325857002317</v>
      </c>
      <c r="G678" s="46">
        <v>46097.325857002317</v>
      </c>
      <c r="H678">
        <v>0</v>
      </c>
    </row>
    <row r="679" spans="1:8" x14ac:dyDescent="0.15">
      <c r="A679">
        <v>678</v>
      </c>
      <c r="B679" t="s">
        <v>339</v>
      </c>
      <c r="C679" t="s">
        <v>353</v>
      </c>
      <c r="D679" t="s">
        <v>3179</v>
      </c>
      <c r="E679" t="s">
        <v>3178</v>
      </c>
      <c r="F679" s="46">
        <v>46097.325857002317</v>
      </c>
      <c r="G679" s="46">
        <v>46097.325857187498</v>
      </c>
      <c r="H679">
        <v>15</v>
      </c>
    </row>
    <row r="680" spans="1:8" x14ac:dyDescent="0.15">
      <c r="A680">
        <v>679</v>
      </c>
      <c r="B680" t="s">
        <v>339</v>
      </c>
      <c r="C680" t="s">
        <v>353</v>
      </c>
      <c r="D680" t="s">
        <v>3180</v>
      </c>
      <c r="E680" t="s">
        <v>3181</v>
      </c>
      <c r="F680" s="46">
        <v>46097.325857187498</v>
      </c>
      <c r="G680" s="46">
        <v>46097.325857187498</v>
      </c>
      <c r="H680">
        <v>0</v>
      </c>
    </row>
    <row r="681" spans="1:8" x14ac:dyDescent="0.15">
      <c r="A681">
        <v>680</v>
      </c>
      <c r="B681" t="s">
        <v>339</v>
      </c>
      <c r="C681" t="s">
        <v>353</v>
      </c>
      <c r="D681" t="s">
        <v>3182</v>
      </c>
      <c r="E681" t="s">
        <v>3181</v>
      </c>
      <c r="F681" s="46">
        <v>46097.325857187498</v>
      </c>
      <c r="G681" s="46">
        <v>46097.325857187498</v>
      </c>
      <c r="H681">
        <v>0</v>
      </c>
    </row>
    <row r="682" spans="1:8" x14ac:dyDescent="0.15">
      <c r="A682">
        <v>681</v>
      </c>
      <c r="B682" t="s">
        <v>339</v>
      </c>
      <c r="C682" t="s">
        <v>353</v>
      </c>
      <c r="D682" t="s">
        <v>3183</v>
      </c>
      <c r="E682" t="s">
        <v>3181</v>
      </c>
      <c r="F682" s="46">
        <v>46097.325857187498</v>
      </c>
      <c r="G682" s="46">
        <v>46097.325857187498</v>
      </c>
      <c r="H682">
        <v>0</v>
      </c>
    </row>
    <row r="683" spans="1:8" x14ac:dyDescent="0.15">
      <c r="A683">
        <v>682</v>
      </c>
      <c r="B683" t="s">
        <v>339</v>
      </c>
      <c r="C683" t="s">
        <v>353</v>
      </c>
      <c r="D683" t="s">
        <v>3184</v>
      </c>
      <c r="E683" t="s">
        <v>3181</v>
      </c>
      <c r="F683" s="46">
        <v>46097.325857187498</v>
      </c>
      <c r="G683" s="46">
        <v>46097.325857187498</v>
      </c>
      <c r="H683">
        <v>0</v>
      </c>
    </row>
    <row r="684" spans="1:8" x14ac:dyDescent="0.15">
      <c r="A684">
        <v>683</v>
      </c>
      <c r="B684" t="s">
        <v>339</v>
      </c>
      <c r="C684" t="s">
        <v>353</v>
      </c>
      <c r="D684" t="s">
        <v>3185</v>
      </c>
      <c r="E684" t="s">
        <v>3181</v>
      </c>
      <c r="F684" s="46">
        <v>46097.325857187498</v>
      </c>
      <c r="G684" s="46">
        <v>46097.325857187498</v>
      </c>
      <c r="H684">
        <v>0</v>
      </c>
    </row>
    <row r="685" spans="1:8" x14ac:dyDescent="0.15">
      <c r="A685">
        <v>684</v>
      </c>
      <c r="B685" t="s">
        <v>339</v>
      </c>
      <c r="C685" t="s">
        <v>353</v>
      </c>
      <c r="D685" t="s">
        <v>3186</v>
      </c>
      <c r="E685" t="s">
        <v>3181</v>
      </c>
      <c r="F685" s="46">
        <v>46097.325857187498</v>
      </c>
      <c r="G685" s="46">
        <v>46097.325857187498</v>
      </c>
      <c r="H685">
        <v>0</v>
      </c>
    </row>
    <row r="686" spans="1:8" x14ac:dyDescent="0.15">
      <c r="A686">
        <v>685</v>
      </c>
      <c r="B686" t="s">
        <v>339</v>
      </c>
      <c r="C686" t="s">
        <v>353</v>
      </c>
      <c r="D686" t="s">
        <v>3187</v>
      </c>
      <c r="E686" t="s">
        <v>3181</v>
      </c>
      <c r="F686" s="46">
        <v>46097.325857187498</v>
      </c>
      <c r="G686" s="46">
        <v>46097.325857187498</v>
      </c>
      <c r="H686">
        <v>0</v>
      </c>
    </row>
    <row r="687" spans="1:8" x14ac:dyDescent="0.15">
      <c r="A687">
        <v>686</v>
      </c>
      <c r="B687" t="s">
        <v>339</v>
      </c>
      <c r="C687" t="s">
        <v>353</v>
      </c>
      <c r="D687" t="s">
        <v>3188</v>
      </c>
      <c r="E687" t="s">
        <v>3181</v>
      </c>
      <c r="F687" s="46">
        <v>46097.325857187498</v>
      </c>
      <c r="G687" s="46">
        <v>46097.325857187498</v>
      </c>
      <c r="H687">
        <v>0</v>
      </c>
    </row>
    <row r="688" spans="1:8" x14ac:dyDescent="0.15">
      <c r="A688">
        <v>687</v>
      </c>
      <c r="B688" t="s">
        <v>339</v>
      </c>
      <c r="C688" t="s">
        <v>353</v>
      </c>
      <c r="D688" t="s">
        <v>3189</v>
      </c>
      <c r="E688" t="s">
        <v>3181</v>
      </c>
      <c r="F688" s="46">
        <v>46097.325857187498</v>
      </c>
      <c r="G688" s="46">
        <v>46097.325857187498</v>
      </c>
      <c r="H688">
        <v>0</v>
      </c>
    </row>
    <row r="689" spans="1:8" x14ac:dyDescent="0.15">
      <c r="A689">
        <v>688</v>
      </c>
      <c r="B689" t="s">
        <v>339</v>
      </c>
      <c r="C689" t="s">
        <v>353</v>
      </c>
      <c r="D689" t="s">
        <v>3190</v>
      </c>
      <c r="E689" t="s">
        <v>3181</v>
      </c>
      <c r="F689" s="46">
        <v>46097.325857187498</v>
      </c>
      <c r="G689" s="46">
        <v>46097.325857361109</v>
      </c>
      <c r="H689">
        <v>16</v>
      </c>
    </row>
    <row r="690" spans="1:8" x14ac:dyDescent="0.15">
      <c r="A690">
        <v>689</v>
      </c>
      <c r="B690" t="s">
        <v>339</v>
      </c>
      <c r="C690" t="s">
        <v>353</v>
      </c>
      <c r="D690" t="s">
        <v>3191</v>
      </c>
      <c r="E690" t="s">
        <v>3181</v>
      </c>
      <c r="F690" s="46">
        <v>46097.325857361109</v>
      </c>
      <c r="G690" s="46">
        <v>46097.325857361109</v>
      </c>
      <c r="H690">
        <v>0</v>
      </c>
    </row>
    <row r="691" spans="1:8" x14ac:dyDescent="0.15">
      <c r="A691">
        <v>690</v>
      </c>
      <c r="B691" t="s">
        <v>339</v>
      </c>
      <c r="C691" t="s">
        <v>353</v>
      </c>
      <c r="D691" t="s">
        <v>3192</v>
      </c>
      <c r="E691" t="s">
        <v>3181</v>
      </c>
      <c r="F691" s="46">
        <v>46097.325857361109</v>
      </c>
      <c r="G691" s="46">
        <v>46097.325857361109</v>
      </c>
      <c r="H691">
        <v>0</v>
      </c>
    </row>
    <row r="692" spans="1:8" x14ac:dyDescent="0.15">
      <c r="A692">
        <v>691</v>
      </c>
      <c r="B692" t="s">
        <v>339</v>
      </c>
      <c r="C692" t="s">
        <v>353</v>
      </c>
      <c r="D692" t="s">
        <v>3193</v>
      </c>
      <c r="E692" t="s">
        <v>3194</v>
      </c>
      <c r="F692" s="46">
        <v>46097.325857361109</v>
      </c>
      <c r="G692" s="46">
        <v>46097.325857361109</v>
      </c>
      <c r="H692">
        <v>0</v>
      </c>
    </row>
    <row r="693" spans="1:8" x14ac:dyDescent="0.15">
      <c r="A693">
        <v>692</v>
      </c>
      <c r="B693" t="s">
        <v>339</v>
      </c>
      <c r="C693" t="s">
        <v>353</v>
      </c>
      <c r="D693" t="s">
        <v>3195</v>
      </c>
      <c r="E693" t="s">
        <v>3196</v>
      </c>
      <c r="F693" s="46">
        <v>46097.325857361109</v>
      </c>
      <c r="G693" s="46">
        <v>46097.325857361109</v>
      </c>
      <c r="H693">
        <v>0</v>
      </c>
    </row>
    <row r="694" spans="1:8" x14ac:dyDescent="0.15">
      <c r="A694">
        <v>693</v>
      </c>
      <c r="B694" t="s">
        <v>339</v>
      </c>
      <c r="C694" t="s">
        <v>353</v>
      </c>
      <c r="D694" t="s">
        <v>3197</v>
      </c>
      <c r="E694" t="s">
        <v>3198</v>
      </c>
      <c r="F694" s="46">
        <v>46097.325857361109</v>
      </c>
      <c r="G694" s="46">
        <v>46097.325857361109</v>
      </c>
      <c r="H694">
        <v>0</v>
      </c>
    </row>
    <row r="695" spans="1:8" x14ac:dyDescent="0.15">
      <c r="A695">
        <v>694</v>
      </c>
      <c r="B695" t="s">
        <v>339</v>
      </c>
      <c r="C695" t="s">
        <v>353</v>
      </c>
      <c r="D695" t="s">
        <v>3199</v>
      </c>
      <c r="E695" t="s">
        <v>3200</v>
      </c>
      <c r="F695" s="46">
        <v>46097.325857361109</v>
      </c>
      <c r="G695" s="46">
        <v>46097.325857361109</v>
      </c>
      <c r="H695">
        <v>0</v>
      </c>
    </row>
    <row r="696" spans="1:8" x14ac:dyDescent="0.15">
      <c r="A696">
        <v>695</v>
      </c>
      <c r="B696" t="s">
        <v>339</v>
      </c>
      <c r="C696" t="s">
        <v>353</v>
      </c>
      <c r="D696" t="s">
        <v>3201</v>
      </c>
      <c r="E696" t="s">
        <v>3202</v>
      </c>
      <c r="F696" s="46">
        <v>46097.325857361109</v>
      </c>
      <c r="G696" s="46">
        <v>46097.325857361109</v>
      </c>
      <c r="H696">
        <v>0</v>
      </c>
    </row>
    <row r="697" spans="1:8" x14ac:dyDescent="0.15">
      <c r="A697">
        <v>696</v>
      </c>
      <c r="B697" t="s">
        <v>339</v>
      </c>
      <c r="C697" t="s">
        <v>353</v>
      </c>
      <c r="D697" t="s">
        <v>3203</v>
      </c>
      <c r="E697" t="s">
        <v>3204</v>
      </c>
      <c r="F697" s="46">
        <v>46097.325857361109</v>
      </c>
      <c r="G697" s="46">
        <v>46097.325857361109</v>
      </c>
      <c r="H697">
        <v>0</v>
      </c>
    </row>
    <row r="698" spans="1:8" x14ac:dyDescent="0.15">
      <c r="A698">
        <v>697</v>
      </c>
      <c r="B698" t="s">
        <v>339</v>
      </c>
      <c r="C698" t="s">
        <v>353</v>
      </c>
      <c r="D698" t="s">
        <v>3205</v>
      </c>
      <c r="E698" t="s">
        <v>3204</v>
      </c>
      <c r="F698" s="46">
        <v>46097.325857361109</v>
      </c>
      <c r="G698" s="46">
        <v>46097.325857361109</v>
      </c>
      <c r="H698">
        <v>0</v>
      </c>
    </row>
    <row r="699" spans="1:8" x14ac:dyDescent="0.15">
      <c r="A699">
        <v>698</v>
      </c>
      <c r="B699" t="s">
        <v>339</v>
      </c>
      <c r="C699" t="s">
        <v>353</v>
      </c>
      <c r="D699" t="s">
        <v>3206</v>
      </c>
      <c r="E699" t="s">
        <v>3207</v>
      </c>
      <c r="F699" s="46">
        <v>46097.325857361109</v>
      </c>
      <c r="G699" s="46">
        <v>46097.325857546297</v>
      </c>
      <c r="H699">
        <v>15</v>
      </c>
    </row>
    <row r="700" spans="1:8" x14ac:dyDescent="0.15">
      <c r="A700">
        <v>699</v>
      </c>
      <c r="B700" t="s">
        <v>339</v>
      </c>
      <c r="C700" t="s">
        <v>353</v>
      </c>
      <c r="D700" t="s">
        <v>3208</v>
      </c>
      <c r="E700" t="s">
        <v>3209</v>
      </c>
      <c r="F700" s="46">
        <v>46097.325857546297</v>
      </c>
      <c r="G700" s="46">
        <v>46097.325857546297</v>
      </c>
      <c r="H700">
        <v>0</v>
      </c>
    </row>
    <row r="701" spans="1:8" x14ac:dyDescent="0.15">
      <c r="A701">
        <v>700</v>
      </c>
      <c r="B701" t="s">
        <v>339</v>
      </c>
      <c r="C701" t="s">
        <v>353</v>
      </c>
      <c r="D701" t="s">
        <v>3210</v>
      </c>
      <c r="E701" t="s">
        <v>3211</v>
      </c>
      <c r="F701" s="46">
        <v>46097.325857546297</v>
      </c>
      <c r="G701" s="46">
        <v>46097.325857546297</v>
      </c>
      <c r="H701">
        <v>0</v>
      </c>
    </row>
    <row r="702" spans="1:8" x14ac:dyDescent="0.15">
      <c r="A702">
        <v>701</v>
      </c>
      <c r="B702" t="s">
        <v>339</v>
      </c>
      <c r="C702" t="s">
        <v>353</v>
      </c>
      <c r="D702" t="s">
        <v>3212</v>
      </c>
      <c r="E702" t="s">
        <v>3213</v>
      </c>
      <c r="F702" s="46">
        <v>46097.325857546297</v>
      </c>
      <c r="G702" s="46">
        <v>46097.325857546297</v>
      </c>
      <c r="H702">
        <v>0</v>
      </c>
    </row>
    <row r="703" spans="1:8" x14ac:dyDescent="0.15">
      <c r="A703">
        <v>702</v>
      </c>
      <c r="B703" t="s">
        <v>339</v>
      </c>
      <c r="C703" t="s">
        <v>353</v>
      </c>
      <c r="D703" t="s">
        <v>3214</v>
      </c>
      <c r="E703" t="s">
        <v>3213</v>
      </c>
      <c r="F703" s="46">
        <v>46097.325857546297</v>
      </c>
      <c r="G703" s="46">
        <v>46097.325857546297</v>
      </c>
      <c r="H703">
        <v>0</v>
      </c>
    </row>
    <row r="704" spans="1:8" x14ac:dyDescent="0.15">
      <c r="A704">
        <v>703</v>
      </c>
      <c r="B704" t="s">
        <v>339</v>
      </c>
      <c r="C704" t="s">
        <v>353</v>
      </c>
      <c r="D704" t="s">
        <v>3215</v>
      </c>
      <c r="E704" t="s">
        <v>3213</v>
      </c>
      <c r="F704" s="46">
        <v>46097.325857546297</v>
      </c>
      <c r="G704" s="46">
        <v>46097.325857546297</v>
      </c>
      <c r="H704">
        <v>0</v>
      </c>
    </row>
    <row r="705" spans="1:8" x14ac:dyDescent="0.15">
      <c r="A705">
        <v>704</v>
      </c>
      <c r="B705" t="s">
        <v>339</v>
      </c>
      <c r="C705" t="s">
        <v>353</v>
      </c>
      <c r="D705" t="s">
        <v>3216</v>
      </c>
      <c r="E705" t="s">
        <v>3213</v>
      </c>
      <c r="F705" s="46">
        <v>46097.325857546297</v>
      </c>
      <c r="G705" s="46">
        <v>46097.325857546297</v>
      </c>
      <c r="H705">
        <v>0</v>
      </c>
    </row>
    <row r="706" spans="1:8" x14ac:dyDescent="0.15">
      <c r="A706">
        <v>705</v>
      </c>
      <c r="B706" t="s">
        <v>339</v>
      </c>
      <c r="C706" t="s">
        <v>353</v>
      </c>
      <c r="D706" t="s">
        <v>3217</v>
      </c>
      <c r="E706" t="s">
        <v>3218</v>
      </c>
      <c r="F706" s="46">
        <v>46097.325857546297</v>
      </c>
      <c r="G706" s="46">
        <v>46097.325857546297</v>
      </c>
      <c r="H706">
        <v>0</v>
      </c>
    </row>
    <row r="707" spans="1:8" x14ac:dyDescent="0.15">
      <c r="A707">
        <v>706</v>
      </c>
      <c r="B707" t="s">
        <v>339</v>
      </c>
      <c r="C707" t="s">
        <v>353</v>
      </c>
      <c r="D707" t="s">
        <v>3219</v>
      </c>
      <c r="E707" t="s">
        <v>3220</v>
      </c>
      <c r="F707" s="46">
        <v>46097.325857546297</v>
      </c>
      <c r="G707" s="46">
        <v>46097.325857546297</v>
      </c>
      <c r="H707">
        <v>0</v>
      </c>
    </row>
    <row r="708" spans="1:8" x14ac:dyDescent="0.15">
      <c r="A708">
        <v>707</v>
      </c>
      <c r="B708" t="s">
        <v>339</v>
      </c>
      <c r="C708" t="s">
        <v>353</v>
      </c>
      <c r="D708" t="s">
        <v>3221</v>
      </c>
      <c r="E708" t="s">
        <v>3222</v>
      </c>
      <c r="F708" s="46">
        <v>46097.325857546297</v>
      </c>
      <c r="G708" s="46">
        <v>46097.325857546297</v>
      </c>
      <c r="H708">
        <v>0</v>
      </c>
    </row>
    <row r="709" spans="1:8" x14ac:dyDescent="0.15">
      <c r="A709">
        <v>708</v>
      </c>
      <c r="B709" t="s">
        <v>339</v>
      </c>
      <c r="C709" t="s">
        <v>353</v>
      </c>
      <c r="D709" t="s">
        <v>3223</v>
      </c>
      <c r="E709" t="s">
        <v>3222</v>
      </c>
      <c r="F709" s="46">
        <v>46097.325857546297</v>
      </c>
      <c r="G709" s="46">
        <v>46097.325857546297</v>
      </c>
      <c r="H709">
        <v>0</v>
      </c>
    </row>
    <row r="710" spans="1:8" x14ac:dyDescent="0.15">
      <c r="A710">
        <v>709</v>
      </c>
      <c r="B710" t="s">
        <v>339</v>
      </c>
      <c r="C710" t="s">
        <v>353</v>
      </c>
      <c r="D710" t="s">
        <v>3224</v>
      </c>
      <c r="E710" t="s">
        <v>3222</v>
      </c>
      <c r="F710" s="46">
        <v>46097.325857546297</v>
      </c>
      <c r="G710" s="46">
        <v>46097.325857731477</v>
      </c>
      <c r="H710">
        <v>16</v>
      </c>
    </row>
    <row r="711" spans="1:8" x14ac:dyDescent="0.15">
      <c r="A711">
        <v>710</v>
      </c>
      <c r="B711" t="s">
        <v>339</v>
      </c>
      <c r="C711" t="s">
        <v>353</v>
      </c>
      <c r="D711" t="s">
        <v>3225</v>
      </c>
      <c r="E711" t="s">
        <v>3226</v>
      </c>
      <c r="F711" s="46">
        <v>46097.325857731477</v>
      </c>
      <c r="G711" s="46">
        <v>46097.325857731477</v>
      </c>
      <c r="H711">
        <v>0</v>
      </c>
    </row>
    <row r="712" spans="1:8" x14ac:dyDescent="0.15">
      <c r="A712">
        <v>711</v>
      </c>
      <c r="B712" t="s">
        <v>339</v>
      </c>
      <c r="C712" t="s">
        <v>353</v>
      </c>
      <c r="D712" t="s">
        <v>3227</v>
      </c>
      <c r="E712" t="s">
        <v>3228</v>
      </c>
      <c r="F712" s="46">
        <v>46097.325857731477</v>
      </c>
      <c r="G712" s="46">
        <v>46097.325857731477</v>
      </c>
      <c r="H712">
        <v>0</v>
      </c>
    </row>
    <row r="713" spans="1:8" x14ac:dyDescent="0.15">
      <c r="A713">
        <v>712</v>
      </c>
      <c r="B713" t="s">
        <v>339</v>
      </c>
      <c r="C713" t="s">
        <v>353</v>
      </c>
      <c r="D713" t="s">
        <v>3229</v>
      </c>
      <c r="E713" t="s">
        <v>3230</v>
      </c>
      <c r="F713" s="46">
        <v>46097.325857731477</v>
      </c>
      <c r="G713" s="46">
        <v>46097.325857731477</v>
      </c>
      <c r="H713">
        <v>0</v>
      </c>
    </row>
    <row r="714" spans="1:8" x14ac:dyDescent="0.15">
      <c r="A714">
        <v>713</v>
      </c>
      <c r="B714" t="s">
        <v>339</v>
      </c>
      <c r="C714" t="s">
        <v>353</v>
      </c>
      <c r="D714" t="s">
        <v>3231</v>
      </c>
      <c r="E714" t="s">
        <v>3232</v>
      </c>
      <c r="F714" s="46">
        <v>46097.325857731477</v>
      </c>
      <c r="G714" s="46">
        <v>46097.325857731477</v>
      </c>
      <c r="H714">
        <v>0</v>
      </c>
    </row>
    <row r="715" spans="1:8" x14ac:dyDescent="0.15">
      <c r="A715">
        <v>714</v>
      </c>
      <c r="B715" t="s">
        <v>339</v>
      </c>
      <c r="C715" t="s">
        <v>353</v>
      </c>
      <c r="D715" t="s">
        <v>3233</v>
      </c>
      <c r="E715" t="s">
        <v>3234</v>
      </c>
      <c r="F715" s="46">
        <v>46097.325857731477</v>
      </c>
      <c r="G715" s="46">
        <v>46097.325857731477</v>
      </c>
      <c r="H715">
        <v>0</v>
      </c>
    </row>
    <row r="716" spans="1:8" x14ac:dyDescent="0.15">
      <c r="A716">
        <v>715</v>
      </c>
      <c r="B716" t="s">
        <v>339</v>
      </c>
      <c r="C716" t="s">
        <v>353</v>
      </c>
      <c r="D716" t="s">
        <v>3235</v>
      </c>
      <c r="E716" t="s">
        <v>3234</v>
      </c>
      <c r="F716" s="46">
        <v>46097.325857731477</v>
      </c>
      <c r="G716" s="46">
        <v>46097.325857731477</v>
      </c>
      <c r="H716">
        <v>0</v>
      </c>
    </row>
    <row r="717" spans="1:8" x14ac:dyDescent="0.15">
      <c r="A717">
        <v>716</v>
      </c>
      <c r="B717" t="s">
        <v>339</v>
      </c>
      <c r="C717" t="s">
        <v>353</v>
      </c>
      <c r="D717" t="s">
        <v>3236</v>
      </c>
      <c r="E717" t="s">
        <v>3237</v>
      </c>
      <c r="F717" s="46">
        <v>46097.325857731477</v>
      </c>
      <c r="G717" s="46">
        <v>46097.325857731477</v>
      </c>
      <c r="H717">
        <v>0</v>
      </c>
    </row>
    <row r="718" spans="1:8" x14ac:dyDescent="0.15">
      <c r="A718">
        <v>717</v>
      </c>
      <c r="B718" t="s">
        <v>339</v>
      </c>
      <c r="C718" t="s">
        <v>353</v>
      </c>
      <c r="D718" t="s">
        <v>3238</v>
      </c>
      <c r="E718" t="s">
        <v>3237</v>
      </c>
      <c r="F718" s="46">
        <v>46097.325857731477</v>
      </c>
      <c r="G718" s="46">
        <v>46097.325857731477</v>
      </c>
      <c r="H718">
        <v>0</v>
      </c>
    </row>
    <row r="719" spans="1:8" x14ac:dyDescent="0.15">
      <c r="A719">
        <v>718</v>
      </c>
      <c r="B719" t="s">
        <v>339</v>
      </c>
      <c r="C719" t="s">
        <v>353</v>
      </c>
      <c r="D719" t="s">
        <v>3239</v>
      </c>
      <c r="E719" t="s">
        <v>3240</v>
      </c>
      <c r="F719" s="46">
        <v>46097.325857731477</v>
      </c>
      <c r="G719" s="46">
        <v>46097.325857731477</v>
      </c>
      <c r="H719">
        <v>0</v>
      </c>
    </row>
    <row r="720" spans="1:8" x14ac:dyDescent="0.15">
      <c r="A720">
        <v>719</v>
      </c>
      <c r="B720" t="s">
        <v>339</v>
      </c>
      <c r="C720" t="s">
        <v>353</v>
      </c>
      <c r="D720" t="s">
        <v>3241</v>
      </c>
      <c r="E720" t="s">
        <v>3242</v>
      </c>
      <c r="F720" s="46">
        <v>46097.325857731477</v>
      </c>
      <c r="G720" s="46">
        <v>46097.325857905103</v>
      </c>
      <c r="H720">
        <v>16</v>
      </c>
    </row>
    <row r="721" spans="1:8" x14ac:dyDescent="0.15">
      <c r="A721">
        <v>720</v>
      </c>
      <c r="B721" t="s">
        <v>339</v>
      </c>
      <c r="C721" t="s">
        <v>353</v>
      </c>
      <c r="D721" t="s">
        <v>3243</v>
      </c>
      <c r="E721" t="s">
        <v>3242</v>
      </c>
      <c r="F721" s="46">
        <v>46097.325857905103</v>
      </c>
      <c r="G721" s="46">
        <v>46097.325857905103</v>
      </c>
      <c r="H721">
        <v>0</v>
      </c>
    </row>
    <row r="722" spans="1:8" x14ac:dyDescent="0.15">
      <c r="A722">
        <v>721</v>
      </c>
      <c r="B722" t="s">
        <v>339</v>
      </c>
      <c r="C722" t="s">
        <v>353</v>
      </c>
      <c r="D722" t="s">
        <v>3244</v>
      </c>
      <c r="E722" t="s">
        <v>3245</v>
      </c>
      <c r="F722" s="46">
        <v>46097.325857905103</v>
      </c>
      <c r="G722" s="46">
        <v>46097.325857905103</v>
      </c>
      <c r="H722">
        <v>0</v>
      </c>
    </row>
    <row r="723" spans="1:8" x14ac:dyDescent="0.15">
      <c r="A723">
        <v>722</v>
      </c>
      <c r="B723" t="s">
        <v>339</v>
      </c>
      <c r="C723" t="s">
        <v>353</v>
      </c>
      <c r="D723" t="s">
        <v>3246</v>
      </c>
      <c r="E723" t="s">
        <v>3247</v>
      </c>
      <c r="F723" s="46">
        <v>46097.325857905103</v>
      </c>
      <c r="G723" s="46">
        <v>46097.325857905103</v>
      </c>
      <c r="H723">
        <v>0</v>
      </c>
    </row>
    <row r="724" spans="1:8" x14ac:dyDescent="0.15">
      <c r="A724">
        <v>723</v>
      </c>
      <c r="B724" t="s">
        <v>339</v>
      </c>
      <c r="C724" t="s">
        <v>353</v>
      </c>
      <c r="D724" t="s">
        <v>3248</v>
      </c>
      <c r="E724" t="s">
        <v>3249</v>
      </c>
      <c r="F724" s="46">
        <v>46097.325857905103</v>
      </c>
      <c r="G724" s="46">
        <v>46097.325857905103</v>
      </c>
      <c r="H724">
        <v>0</v>
      </c>
    </row>
    <row r="725" spans="1:8" x14ac:dyDescent="0.15">
      <c r="A725">
        <v>724</v>
      </c>
      <c r="B725" t="s">
        <v>339</v>
      </c>
      <c r="C725" t="s">
        <v>353</v>
      </c>
      <c r="D725" t="s">
        <v>3250</v>
      </c>
      <c r="E725" t="s">
        <v>3251</v>
      </c>
      <c r="F725" s="46">
        <v>46097.325857905103</v>
      </c>
      <c r="G725" s="46">
        <v>46097.325857905103</v>
      </c>
      <c r="H725">
        <v>0</v>
      </c>
    </row>
    <row r="726" spans="1:8" x14ac:dyDescent="0.15">
      <c r="A726">
        <v>725</v>
      </c>
      <c r="B726" t="s">
        <v>339</v>
      </c>
      <c r="C726" t="s">
        <v>353</v>
      </c>
      <c r="D726" t="s">
        <v>3252</v>
      </c>
      <c r="E726" t="s">
        <v>3251</v>
      </c>
      <c r="F726" s="46">
        <v>46097.325857905103</v>
      </c>
      <c r="G726" s="46">
        <v>46097.325857905103</v>
      </c>
      <c r="H726">
        <v>0</v>
      </c>
    </row>
    <row r="727" spans="1:8" x14ac:dyDescent="0.15">
      <c r="A727">
        <v>726</v>
      </c>
      <c r="B727" t="s">
        <v>339</v>
      </c>
      <c r="C727" t="s">
        <v>353</v>
      </c>
      <c r="D727" t="s">
        <v>3253</v>
      </c>
      <c r="E727" t="s">
        <v>3251</v>
      </c>
      <c r="F727" s="46">
        <v>46097.325857905103</v>
      </c>
      <c r="G727" s="46">
        <v>46097.325857905103</v>
      </c>
      <c r="H727">
        <v>0</v>
      </c>
    </row>
    <row r="728" spans="1:8" x14ac:dyDescent="0.15">
      <c r="A728">
        <v>727</v>
      </c>
      <c r="B728" t="s">
        <v>339</v>
      </c>
      <c r="C728" t="s">
        <v>353</v>
      </c>
      <c r="D728" t="s">
        <v>3254</v>
      </c>
      <c r="E728" t="s">
        <v>3251</v>
      </c>
      <c r="F728" s="46">
        <v>46097.325857905103</v>
      </c>
      <c r="G728" s="46">
        <v>46097.325857905103</v>
      </c>
      <c r="H728">
        <v>0</v>
      </c>
    </row>
    <row r="729" spans="1:8" x14ac:dyDescent="0.15">
      <c r="A729">
        <v>728</v>
      </c>
      <c r="B729" t="s">
        <v>339</v>
      </c>
      <c r="C729" t="s">
        <v>353</v>
      </c>
      <c r="D729" t="s">
        <v>3255</v>
      </c>
      <c r="E729" t="s">
        <v>3256</v>
      </c>
      <c r="F729" s="46">
        <v>46097.325857905103</v>
      </c>
      <c r="G729" s="46">
        <v>46097.325857905103</v>
      </c>
      <c r="H729">
        <v>0</v>
      </c>
    </row>
    <row r="730" spans="1:8" x14ac:dyDescent="0.15">
      <c r="A730">
        <v>729</v>
      </c>
      <c r="B730" t="s">
        <v>339</v>
      </c>
      <c r="C730" t="s">
        <v>353</v>
      </c>
      <c r="D730" t="s">
        <v>3257</v>
      </c>
      <c r="E730" t="s">
        <v>367</v>
      </c>
      <c r="F730" s="46">
        <v>46097.325857905103</v>
      </c>
      <c r="G730" s="46">
        <v>46097.325858090277</v>
      </c>
      <c r="H730">
        <v>15</v>
      </c>
    </row>
    <row r="731" spans="1:8" x14ac:dyDescent="0.15">
      <c r="A731">
        <v>730</v>
      </c>
      <c r="B731" t="s">
        <v>339</v>
      </c>
      <c r="C731" t="s">
        <v>353</v>
      </c>
      <c r="D731" t="s">
        <v>3258</v>
      </c>
      <c r="E731" t="s">
        <v>367</v>
      </c>
      <c r="F731" s="46">
        <v>46097.325858090277</v>
      </c>
      <c r="G731" s="46">
        <v>46097.325858090277</v>
      </c>
      <c r="H731">
        <v>0</v>
      </c>
    </row>
    <row r="732" spans="1:8" x14ac:dyDescent="0.15">
      <c r="A732">
        <v>731</v>
      </c>
      <c r="B732" t="s">
        <v>339</v>
      </c>
      <c r="C732" t="s">
        <v>353</v>
      </c>
      <c r="D732" t="s">
        <v>3259</v>
      </c>
      <c r="E732" t="s">
        <v>367</v>
      </c>
      <c r="F732" s="46">
        <v>46097.325858090277</v>
      </c>
      <c r="G732" s="46">
        <v>46097.325858090277</v>
      </c>
      <c r="H732">
        <v>0</v>
      </c>
    </row>
    <row r="733" spans="1:8" x14ac:dyDescent="0.15">
      <c r="A733">
        <v>732</v>
      </c>
      <c r="B733" t="s">
        <v>339</v>
      </c>
      <c r="C733" t="s">
        <v>353</v>
      </c>
      <c r="D733" t="s">
        <v>3260</v>
      </c>
      <c r="E733" t="s">
        <v>367</v>
      </c>
      <c r="F733" s="46">
        <v>46097.325858090277</v>
      </c>
      <c r="G733" s="46">
        <v>46097.325858090277</v>
      </c>
      <c r="H733">
        <v>0</v>
      </c>
    </row>
    <row r="734" spans="1:8" x14ac:dyDescent="0.15">
      <c r="A734">
        <v>733</v>
      </c>
      <c r="B734" t="s">
        <v>339</v>
      </c>
      <c r="C734" t="s">
        <v>353</v>
      </c>
      <c r="D734" t="s">
        <v>3261</v>
      </c>
      <c r="E734" t="s">
        <v>367</v>
      </c>
      <c r="F734" s="46">
        <v>46097.325858090277</v>
      </c>
      <c r="G734" s="46">
        <v>46097.325858090277</v>
      </c>
      <c r="H734">
        <v>0</v>
      </c>
    </row>
    <row r="735" spans="1:8" x14ac:dyDescent="0.15">
      <c r="A735">
        <v>734</v>
      </c>
      <c r="B735" t="s">
        <v>339</v>
      </c>
      <c r="C735" t="s">
        <v>353</v>
      </c>
      <c r="D735" t="s">
        <v>3262</v>
      </c>
      <c r="E735" t="s">
        <v>367</v>
      </c>
      <c r="F735" s="46">
        <v>46097.325858090277</v>
      </c>
      <c r="G735" s="46">
        <v>46097.325858090277</v>
      </c>
      <c r="H735">
        <v>0</v>
      </c>
    </row>
    <row r="736" spans="1:8" x14ac:dyDescent="0.15">
      <c r="A736">
        <v>735</v>
      </c>
      <c r="B736" t="s">
        <v>339</v>
      </c>
      <c r="C736" t="s">
        <v>353</v>
      </c>
      <c r="D736" t="s">
        <v>3263</v>
      </c>
      <c r="E736" t="s">
        <v>368</v>
      </c>
      <c r="F736" s="46">
        <v>46097.325858090277</v>
      </c>
      <c r="G736" s="46">
        <v>46097.325858090277</v>
      </c>
      <c r="H736">
        <v>0</v>
      </c>
    </row>
    <row r="737" spans="1:8" x14ac:dyDescent="0.15">
      <c r="A737">
        <v>736</v>
      </c>
      <c r="B737" t="s">
        <v>339</v>
      </c>
      <c r="C737" t="s">
        <v>353</v>
      </c>
      <c r="D737" t="s">
        <v>3264</v>
      </c>
      <c r="E737" t="s">
        <v>368</v>
      </c>
      <c r="F737" s="46">
        <v>46097.325858090277</v>
      </c>
      <c r="G737" s="46">
        <v>46097.325858090277</v>
      </c>
      <c r="H737">
        <v>0</v>
      </c>
    </row>
    <row r="738" spans="1:8" x14ac:dyDescent="0.15">
      <c r="A738">
        <v>737</v>
      </c>
      <c r="B738" t="s">
        <v>339</v>
      </c>
      <c r="C738" t="s">
        <v>353</v>
      </c>
      <c r="D738" t="s">
        <v>3265</v>
      </c>
      <c r="E738" t="s">
        <v>368</v>
      </c>
      <c r="F738" s="46">
        <v>46097.325858090277</v>
      </c>
      <c r="G738" s="46">
        <v>46097.325858090277</v>
      </c>
      <c r="H738">
        <v>0</v>
      </c>
    </row>
    <row r="739" spans="1:8" x14ac:dyDescent="0.15">
      <c r="A739">
        <v>738</v>
      </c>
      <c r="B739" t="s">
        <v>339</v>
      </c>
      <c r="C739" t="s">
        <v>353</v>
      </c>
      <c r="D739" t="s">
        <v>3266</v>
      </c>
      <c r="E739" t="s">
        <v>3267</v>
      </c>
      <c r="F739" s="46">
        <v>46097.325858090277</v>
      </c>
      <c r="G739" s="46">
        <v>46097.325858090277</v>
      </c>
      <c r="H739">
        <v>0</v>
      </c>
    </row>
    <row r="740" spans="1:8" x14ac:dyDescent="0.15">
      <c r="A740">
        <v>739</v>
      </c>
      <c r="B740" t="s">
        <v>339</v>
      </c>
      <c r="C740" t="s">
        <v>353</v>
      </c>
      <c r="D740" t="s">
        <v>3268</v>
      </c>
      <c r="E740" t="s">
        <v>3267</v>
      </c>
      <c r="F740" s="46">
        <v>46097.325858090277</v>
      </c>
      <c r="G740" s="46">
        <v>46097.325858090277</v>
      </c>
      <c r="H740">
        <v>0</v>
      </c>
    </row>
    <row r="741" spans="1:8" x14ac:dyDescent="0.15">
      <c r="A741">
        <v>740</v>
      </c>
      <c r="B741" t="s">
        <v>339</v>
      </c>
      <c r="C741" t="s">
        <v>353</v>
      </c>
      <c r="D741" t="s">
        <v>3269</v>
      </c>
      <c r="E741" t="s">
        <v>3267</v>
      </c>
      <c r="F741" s="46">
        <v>46097.325858090277</v>
      </c>
      <c r="G741" s="46">
        <v>46097.325858263888</v>
      </c>
      <c r="H741">
        <v>16</v>
      </c>
    </row>
    <row r="742" spans="1:8" x14ac:dyDescent="0.15">
      <c r="A742">
        <v>741</v>
      </c>
      <c r="B742" t="s">
        <v>339</v>
      </c>
      <c r="C742" t="s">
        <v>353</v>
      </c>
      <c r="D742" t="s">
        <v>3270</v>
      </c>
      <c r="E742" t="s">
        <v>3267</v>
      </c>
      <c r="F742" s="46">
        <v>46097.325858263888</v>
      </c>
      <c r="G742" s="46">
        <v>46097.325858263888</v>
      </c>
      <c r="H742">
        <v>0</v>
      </c>
    </row>
    <row r="743" spans="1:8" x14ac:dyDescent="0.15">
      <c r="A743">
        <v>742</v>
      </c>
      <c r="B743" t="s">
        <v>339</v>
      </c>
      <c r="C743" t="s">
        <v>353</v>
      </c>
      <c r="D743" t="s">
        <v>3271</v>
      </c>
      <c r="E743" t="s">
        <v>3267</v>
      </c>
      <c r="F743" s="46">
        <v>46097.325858263888</v>
      </c>
      <c r="G743" s="46">
        <v>46097.325858263888</v>
      </c>
      <c r="H743">
        <v>0</v>
      </c>
    </row>
    <row r="744" spans="1:8" x14ac:dyDescent="0.15">
      <c r="A744">
        <v>743</v>
      </c>
      <c r="B744" t="s">
        <v>339</v>
      </c>
      <c r="C744" t="s">
        <v>353</v>
      </c>
      <c r="D744" t="s">
        <v>3272</v>
      </c>
      <c r="E744" t="s">
        <v>3273</v>
      </c>
      <c r="F744" s="46">
        <v>46097.325858263888</v>
      </c>
      <c r="G744" s="46">
        <v>46097.325858263888</v>
      </c>
      <c r="H744">
        <v>0</v>
      </c>
    </row>
    <row r="745" spans="1:8" x14ac:dyDescent="0.15">
      <c r="A745">
        <v>744</v>
      </c>
      <c r="B745" t="s">
        <v>339</v>
      </c>
      <c r="C745" t="s">
        <v>353</v>
      </c>
      <c r="D745" t="s">
        <v>3274</v>
      </c>
      <c r="E745" t="s">
        <v>3275</v>
      </c>
      <c r="F745" s="46">
        <v>46097.325858263888</v>
      </c>
      <c r="G745" s="46">
        <v>46097.325858263888</v>
      </c>
      <c r="H745">
        <v>0</v>
      </c>
    </row>
    <row r="746" spans="1:8" x14ac:dyDescent="0.15">
      <c r="A746">
        <v>745</v>
      </c>
      <c r="B746" t="s">
        <v>339</v>
      </c>
      <c r="C746" t="s">
        <v>353</v>
      </c>
      <c r="D746" t="s">
        <v>3276</v>
      </c>
      <c r="E746" t="s">
        <v>369</v>
      </c>
      <c r="F746" s="46">
        <v>46097.325858263888</v>
      </c>
      <c r="G746" s="46">
        <v>46097.325858263888</v>
      </c>
      <c r="H746">
        <v>0</v>
      </c>
    </row>
    <row r="747" spans="1:8" x14ac:dyDescent="0.15">
      <c r="A747">
        <v>746</v>
      </c>
      <c r="B747" t="s">
        <v>339</v>
      </c>
      <c r="C747" t="s">
        <v>353</v>
      </c>
      <c r="D747" t="s">
        <v>3277</v>
      </c>
      <c r="E747" t="s">
        <v>370</v>
      </c>
      <c r="F747" s="46">
        <v>46097.325858263888</v>
      </c>
      <c r="G747" s="46">
        <v>46097.325858263888</v>
      </c>
      <c r="H747">
        <v>0</v>
      </c>
    </row>
    <row r="748" spans="1:8" x14ac:dyDescent="0.15">
      <c r="A748">
        <v>747</v>
      </c>
      <c r="B748" t="s">
        <v>339</v>
      </c>
      <c r="C748" t="s">
        <v>353</v>
      </c>
      <c r="D748" t="s">
        <v>3278</v>
      </c>
      <c r="E748" t="s">
        <v>371</v>
      </c>
      <c r="F748" s="46">
        <v>46097.325858263888</v>
      </c>
      <c r="G748" s="46">
        <v>46097.325858263888</v>
      </c>
      <c r="H748">
        <v>0</v>
      </c>
    </row>
    <row r="749" spans="1:8" x14ac:dyDescent="0.15">
      <c r="A749">
        <v>748</v>
      </c>
      <c r="B749" t="s">
        <v>339</v>
      </c>
      <c r="C749" t="s">
        <v>353</v>
      </c>
      <c r="D749" t="s">
        <v>3279</v>
      </c>
      <c r="E749" t="s">
        <v>371</v>
      </c>
      <c r="F749" s="46">
        <v>46097.325858263888</v>
      </c>
      <c r="G749" s="46">
        <v>46097.325858263888</v>
      </c>
      <c r="H749">
        <v>0</v>
      </c>
    </row>
    <row r="750" spans="1:8" x14ac:dyDescent="0.15">
      <c r="A750">
        <v>749</v>
      </c>
      <c r="B750" t="s">
        <v>339</v>
      </c>
      <c r="C750" t="s">
        <v>353</v>
      </c>
      <c r="D750" t="s">
        <v>3280</v>
      </c>
      <c r="E750" t="s">
        <v>371</v>
      </c>
      <c r="F750" s="46">
        <v>46097.325858263888</v>
      </c>
      <c r="G750" s="46">
        <v>46097.325858263888</v>
      </c>
      <c r="H750">
        <v>0</v>
      </c>
    </row>
    <row r="751" spans="1:8" x14ac:dyDescent="0.15">
      <c r="A751">
        <v>750</v>
      </c>
      <c r="B751" t="s">
        <v>339</v>
      </c>
      <c r="C751" t="s">
        <v>353</v>
      </c>
      <c r="D751" t="s">
        <v>3281</v>
      </c>
      <c r="E751" t="s">
        <v>3282</v>
      </c>
      <c r="F751" s="46">
        <v>46097.325858263888</v>
      </c>
      <c r="G751" s="46">
        <v>46097.325858449083</v>
      </c>
      <c r="H751">
        <v>16</v>
      </c>
    </row>
    <row r="752" spans="1:8" x14ac:dyDescent="0.15">
      <c r="A752">
        <v>751</v>
      </c>
      <c r="B752" t="s">
        <v>339</v>
      </c>
      <c r="C752" t="s">
        <v>353</v>
      </c>
      <c r="D752" t="s">
        <v>3283</v>
      </c>
      <c r="E752" t="s">
        <v>3282</v>
      </c>
      <c r="F752" s="46">
        <v>46097.325858449083</v>
      </c>
      <c r="G752" s="46">
        <v>46097.325858449083</v>
      </c>
      <c r="H752">
        <v>0</v>
      </c>
    </row>
    <row r="753" spans="1:8" x14ac:dyDescent="0.15">
      <c r="A753">
        <v>752</v>
      </c>
      <c r="B753" t="s">
        <v>339</v>
      </c>
      <c r="C753" t="s">
        <v>353</v>
      </c>
      <c r="D753" t="s">
        <v>3284</v>
      </c>
      <c r="E753" t="s">
        <v>3285</v>
      </c>
      <c r="F753" s="46">
        <v>46097.325858449083</v>
      </c>
      <c r="G753" s="46">
        <v>46097.325858449083</v>
      </c>
      <c r="H753">
        <v>0</v>
      </c>
    </row>
    <row r="754" spans="1:8" x14ac:dyDescent="0.15">
      <c r="A754">
        <v>753</v>
      </c>
      <c r="B754" t="s">
        <v>339</v>
      </c>
      <c r="C754" t="s">
        <v>353</v>
      </c>
      <c r="D754" t="s">
        <v>3286</v>
      </c>
      <c r="E754" t="s">
        <v>3285</v>
      </c>
      <c r="F754" s="46">
        <v>46097.325858449083</v>
      </c>
      <c r="G754" s="46">
        <v>46097.325858449083</v>
      </c>
      <c r="H754">
        <v>0</v>
      </c>
    </row>
    <row r="755" spans="1:8" x14ac:dyDescent="0.15">
      <c r="A755">
        <v>754</v>
      </c>
      <c r="B755" t="s">
        <v>339</v>
      </c>
      <c r="C755" t="s">
        <v>353</v>
      </c>
      <c r="D755" t="s">
        <v>3287</v>
      </c>
      <c r="E755" t="s">
        <v>3285</v>
      </c>
      <c r="F755" s="46">
        <v>46097.325858449083</v>
      </c>
      <c r="G755" s="46">
        <v>46097.325858449083</v>
      </c>
      <c r="H755">
        <v>0</v>
      </c>
    </row>
    <row r="756" spans="1:8" x14ac:dyDescent="0.15">
      <c r="A756">
        <v>755</v>
      </c>
      <c r="B756" t="s">
        <v>339</v>
      </c>
      <c r="C756" t="s">
        <v>353</v>
      </c>
      <c r="D756" t="s">
        <v>3288</v>
      </c>
      <c r="E756" t="s">
        <v>3285</v>
      </c>
      <c r="F756" s="46">
        <v>46097.325858449083</v>
      </c>
      <c r="G756" s="46">
        <v>46097.325858449083</v>
      </c>
      <c r="H756">
        <v>0</v>
      </c>
    </row>
    <row r="757" spans="1:8" x14ac:dyDescent="0.15">
      <c r="A757">
        <v>756</v>
      </c>
      <c r="B757" t="s">
        <v>339</v>
      </c>
      <c r="C757" t="s">
        <v>353</v>
      </c>
      <c r="D757" t="s">
        <v>3289</v>
      </c>
      <c r="E757" t="s">
        <v>3290</v>
      </c>
      <c r="F757" s="46">
        <v>46097.325858449083</v>
      </c>
      <c r="G757" s="46">
        <v>46097.325858449083</v>
      </c>
      <c r="H757">
        <v>0</v>
      </c>
    </row>
    <row r="758" spans="1:8" x14ac:dyDescent="0.15">
      <c r="A758">
        <v>757</v>
      </c>
      <c r="B758" t="s">
        <v>339</v>
      </c>
      <c r="C758" t="s">
        <v>353</v>
      </c>
      <c r="D758" t="s">
        <v>3291</v>
      </c>
      <c r="E758" t="s">
        <v>3292</v>
      </c>
      <c r="F758" s="46">
        <v>46097.325858449083</v>
      </c>
      <c r="G758" s="46">
        <v>46097.325858449083</v>
      </c>
      <c r="H758">
        <v>0</v>
      </c>
    </row>
    <row r="759" spans="1:8" x14ac:dyDescent="0.15">
      <c r="A759">
        <v>758</v>
      </c>
      <c r="B759" t="s">
        <v>339</v>
      </c>
      <c r="C759" t="s">
        <v>353</v>
      </c>
      <c r="D759" t="s">
        <v>3293</v>
      </c>
      <c r="E759" t="s">
        <v>3294</v>
      </c>
      <c r="F759" s="46">
        <v>46097.325858449083</v>
      </c>
      <c r="G759" s="46">
        <v>46097.325858449083</v>
      </c>
      <c r="H759">
        <v>0</v>
      </c>
    </row>
    <row r="760" spans="1:8" x14ac:dyDescent="0.15">
      <c r="A760">
        <v>759</v>
      </c>
      <c r="B760" t="s">
        <v>339</v>
      </c>
      <c r="C760" t="s">
        <v>353</v>
      </c>
      <c r="D760" t="s">
        <v>3295</v>
      </c>
      <c r="E760" t="s">
        <v>3294</v>
      </c>
      <c r="F760" s="46">
        <v>46097.325858449083</v>
      </c>
      <c r="G760" s="46">
        <v>46097.325858449083</v>
      </c>
      <c r="H760">
        <v>0</v>
      </c>
    </row>
    <row r="761" spans="1:8" x14ac:dyDescent="0.15">
      <c r="A761">
        <v>760</v>
      </c>
      <c r="B761" t="s">
        <v>339</v>
      </c>
      <c r="C761" t="s">
        <v>353</v>
      </c>
      <c r="D761" t="s">
        <v>3296</v>
      </c>
      <c r="E761" t="s">
        <v>3297</v>
      </c>
      <c r="F761" s="46">
        <v>46097.325858449083</v>
      </c>
      <c r="G761" s="46">
        <v>46097.325858634264</v>
      </c>
      <c r="H761">
        <v>15</v>
      </c>
    </row>
    <row r="762" spans="1:8" x14ac:dyDescent="0.15">
      <c r="A762">
        <v>761</v>
      </c>
      <c r="B762" t="s">
        <v>339</v>
      </c>
      <c r="C762" t="s">
        <v>353</v>
      </c>
      <c r="D762" t="s">
        <v>3298</v>
      </c>
      <c r="E762" t="s">
        <v>3297</v>
      </c>
      <c r="F762" s="46">
        <v>46097.325858634264</v>
      </c>
      <c r="G762" s="46">
        <v>46097.325858634264</v>
      </c>
      <c r="H762">
        <v>0</v>
      </c>
    </row>
    <row r="763" spans="1:8" x14ac:dyDescent="0.15">
      <c r="A763">
        <v>762</v>
      </c>
      <c r="B763" t="s">
        <v>339</v>
      </c>
      <c r="C763" t="s">
        <v>353</v>
      </c>
      <c r="D763" t="s">
        <v>3299</v>
      </c>
      <c r="E763" t="s">
        <v>3300</v>
      </c>
      <c r="F763" s="46">
        <v>46097.325858634264</v>
      </c>
      <c r="G763" s="46">
        <v>46097.325858634264</v>
      </c>
      <c r="H763">
        <v>0</v>
      </c>
    </row>
    <row r="764" spans="1:8" x14ac:dyDescent="0.15">
      <c r="A764">
        <v>763</v>
      </c>
      <c r="B764" t="s">
        <v>339</v>
      </c>
      <c r="C764" t="s">
        <v>353</v>
      </c>
      <c r="D764" t="s">
        <v>3301</v>
      </c>
      <c r="E764" t="s">
        <v>3302</v>
      </c>
      <c r="F764" s="46">
        <v>46097.325858634264</v>
      </c>
      <c r="G764" s="46">
        <v>46097.325858634264</v>
      </c>
      <c r="H764">
        <v>0</v>
      </c>
    </row>
    <row r="765" spans="1:8" x14ac:dyDescent="0.15">
      <c r="A765">
        <v>764</v>
      </c>
      <c r="B765" t="s">
        <v>339</v>
      </c>
      <c r="C765" t="s">
        <v>353</v>
      </c>
      <c r="D765" t="s">
        <v>3303</v>
      </c>
      <c r="E765" t="s">
        <v>3302</v>
      </c>
      <c r="F765" s="46">
        <v>46097.325858634264</v>
      </c>
      <c r="G765" s="46">
        <v>46097.325858634264</v>
      </c>
      <c r="H765">
        <v>0</v>
      </c>
    </row>
    <row r="766" spans="1:8" x14ac:dyDescent="0.15">
      <c r="A766">
        <v>765</v>
      </c>
      <c r="B766" t="s">
        <v>339</v>
      </c>
      <c r="C766" t="s">
        <v>353</v>
      </c>
      <c r="D766" t="s">
        <v>3304</v>
      </c>
      <c r="E766" t="s">
        <v>3302</v>
      </c>
      <c r="F766" s="46">
        <v>46097.325858634264</v>
      </c>
      <c r="G766" s="46">
        <v>46097.325858634264</v>
      </c>
      <c r="H766">
        <v>0</v>
      </c>
    </row>
    <row r="767" spans="1:8" x14ac:dyDescent="0.15">
      <c r="A767">
        <v>766</v>
      </c>
      <c r="B767" t="s">
        <v>339</v>
      </c>
      <c r="C767" t="s">
        <v>353</v>
      </c>
      <c r="D767" t="s">
        <v>3305</v>
      </c>
      <c r="E767" t="s">
        <v>3302</v>
      </c>
      <c r="F767" s="46">
        <v>46097.325858634264</v>
      </c>
      <c r="G767" s="46">
        <v>46097.325858634264</v>
      </c>
      <c r="H767">
        <v>0</v>
      </c>
    </row>
    <row r="768" spans="1:8" x14ac:dyDescent="0.15">
      <c r="A768">
        <v>767</v>
      </c>
      <c r="B768" t="s">
        <v>339</v>
      </c>
      <c r="C768" t="s">
        <v>353</v>
      </c>
      <c r="D768" t="s">
        <v>3306</v>
      </c>
      <c r="E768" t="s">
        <v>3307</v>
      </c>
      <c r="F768" s="46">
        <v>46097.325858634264</v>
      </c>
      <c r="G768" s="46">
        <v>46097.325858634264</v>
      </c>
      <c r="H768">
        <v>0</v>
      </c>
    </row>
    <row r="769" spans="1:8" x14ac:dyDescent="0.15">
      <c r="A769">
        <v>768</v>
      </c>
      <c r="B769" t="s">
        <v>339</v>
      </c>
      <c r="C769" t="s">
        <v>353</v>
      </c>
      <c r="D769" t="s">
        <v>3308</v>
      </c>
      <c r="E769" t="s">
        <v>3307</v>
      </c>
      <c r="F769" s="46">
        <v>46097.325858634264</v>
      </c>
      <c r="G769" s="46">
        <v>46097.325858634264</v>
      </c>
      <c r="H769">
        <v>0</v>
      </c>
    </row>
    <row r="770" spans="1:8" x14ac:dyDescent="0.15">
      <c r="A770">
        <v>769</v>
      </c>
      <c r="B770" t="s">
        <v>339</v>
      </c>
      <c r="C770" t="s">
        <v>353</v>
      </c>
      <c r="D770" t="s">
        <v>3309</v>
      </c>
      <c r="E770" t="s">
        <v>3310</v>
      </c>
      <c r="F770" s="46">
        <v>46097.325858634264</v>
      </c>
      <c r="G770" s="46">
        <v>46097.325858634264</v>
      </c>
      <c r="H770">
        <v>0</v>
      </c>
    </row>
    <row r="771" spans="1:8" x14ac:dyDescent="0.15">
      <c r="A771">
        <v>770</v>
      </c>
      <c r="B771" t="s">
        <v>339</v>
      </c>
      <c r="C771" t="s">
        <v>353</v>
      </c>
      <c r="D771" t="s">
        <v>3311</v>
      </c>
      <c r="E771" t="s">
        <v>3310</v>
      </c>
      <c r="F771" s="46">
        <v>46097.325858634264</v>
      </c>
      <c r="G771" s="46">
        <v>46097.325858634264</v>
      </c>
      <c r="H771">
        <v>0</v>
      </c>
    </row>
    <row r="772" spans="1:8" x14ac:dyDescent="0.15">
      <c r="A772">
        <v>771</v>
      </c>
      <c r="B772" t="s">
        <v>339</v>
      </c>
      <c r="C772" t="s">
        <v>353</v>
      </c>
      <c r="D772" t="s">
        <v>3312</v>
      </c>
      <c r="E772" t="s">
        <v>3310</v>
      </c>
      <c r="F772" s="46">
        <v>46097.325858634264</v>
      </c>
      <c r="G772" s="46">
        <v>46097.325858807868</v>
      </c>
      <c r="H772">
        <v>16</v>
      </c>
    </row>
    <row r="773" spans="1:8" x14ac:dyDescent="0.15">
      <c r="A773">
        <v>772</v>
      </c>
      <c r="B773" t="s">
        <v>339</v>
      </c>
      <c r="C773" t="s">
        <v>353</v>
      </c>
      <c r="D773" t="s">
        <v>3313</v>
      </c>
      <c r="E773" t="s">
        <v>3310</v>
      </c>
      <c r="F773" s="46">
        <v>46097.325858807868</v>
      </c>
      <c r="G773" s="46">
        <v>46097.325858807868</v>
      </c>
      <c r="H773">
        <v>0</v>
      </c>
    </row>
    <row r="774" spans="1:8" x14ac:dyDescent="0.15">
      <c r="A774">
        <v>773</v>
      </c>
      <c r="B774" t="s">
        <v>339</v>
      </c>
      <c r="C774" t="s">
        <v>353</v>
      </c>
      <c r="D774" t="s">
        <v>3314</v>
      </c>
      <c r="E774" t="s">
        <v>3310</v>
      </c>
      <c r="F774" s="46">
        <v>46097.325858807868</v>
      </c>
      <c r="G774" s="46">
        <v>46097.325858807868</v>
      </c>
      <c r="H774">
        <v>0</v>
      </c>
    </row>
    <row r="775" spans="1:8" x14ac:dyDescent="0.15">
      <c r="A775">
        <v>774</v>
      </c>
      <c r="B775" t="s">
        <v>339</v>
      </c>
      <c r="C775" t="s">
        <v>353</v>
      </c>
      <c r="D775" t="s">
        <v>3315</v>
      </c>
      <c r="E775" t="s">
        <v>3310</v>
      </c>
      <c r="F775" s="46">
        <v>46097.325858807868</v>
      </c>
      <c r="G775" s="46">
        <v>46097.325858807868</v>
      </c>
      <c r="H775">
        <v>0</v>
      </c>
    </row>
    <row r="776" spans="1:8" x14ac:dyDescent="0.15">
      <c r="A776">
        <v>775</v>
      </c>
      <c r="B776" t="s">
        <v>339</v>
      </c>
      <c r="C776" t="s">
        <v>353</v>
      </c>
      <c r="D776" t="s">
        <v>3316</v>
      </c>
      <c r="E776" t="s">
        <v>3317</v>
      </c>
      <c r="F776" s="46">
        <v>46097.325858807868</v>
      </c>
      <c r="G776" s="46">
        <v>46097.325858807868</v>
      </c>
      <c r="H776">
        <v>0</v>
      </c>
    </row>
    <row r="777" spans="1:8" x14ac:dyDescent="0.15">
      <c r="A777">
        <v>776</v>
      </c>
      <c r="B777" t="s">
        <v>339</v>
      </c>
      <c r="C777" t="s">
        <v>353</v>
      </c>
      <c r="D777" t="s">
        <v>3318</v>
      </c>
      <c r="E777" t="s">
        <v>3317</v>
      </c>
      <c r="F777" s="46">
        <v>46097.325858807868</v>
      </c>
      <c r="G777" s="46">
        <v>46097.325858807868</v>
      </c>
      <c r="H777">
        <v>0</v>
      </c>
    </row>
    <row r="778" spans="1:8" x14ac:dyDescent="0.15">
      <c r="A778">
        <v>777</v>
      </c>
      <c r="B778" t="s">
        <v>339</v>
      </c>
      <c r="C778" t="s">
        <v>353</v>
      </c>
      <c r="D778" t="s">
        <v>3319</v>
      </c>
      <c r="E778" t="s">
        <v>3317</v>
      </c>
      <c r="F778" s="46">
        <v>46097.325858807868</v>
      </c>
      <c r="G778" s="46">
        <v>46097.325858807868</v>
      </c>
      <c r="H778">
        <v>0</v>
      </c>
    </row>
    <row r="779" spans="1:8" x14ac:dyDescent="0.15">
      <c r="A779">
        <v>778</v>
      </c>
      <c r="B779" t="s">
        <v>339</v>
      </c>
      <c r="C779" t="s">
        <v>353</v>
      </c>
      <c r="D779" t="s">
        <v>3320</v>
      </c>
      <c r="E779" t="s">
        <v>3321</v>
      </c>
      <c r="F779" s="46">
        <v>46097.325858807868</v>
      </c>
      <c r="G779" s="46">
        <v>46097.325858807868</v>
      </c>
      <c r="H779">
        <v>0</v>
      </c>
    </row>
    <row r="780" spans="1:8" x14ac:dyDescent="0.15">
      <c r="A780">
        <v>779</v>
      </c>
      <c r="B780" t="s">
        <v>339</v>
      </c>
      <c r="C780" t="s">
        <v>353</v>
      </c>
      <c r="D780" t="s">
        <v>3322</v>
      </c>
      <c r="E780" t="s">
        <v>3321</v>
      </c>
      <c r="F780" s="46">
        <v>46097.325858807868</v>
      </c>
      <c r="G780" s="46">
        <v>46097.325858807868</v>
      </c>
      <c r="H780">
        <v>0</v>
      </c>
    </row>
    <row r="781" spans="1:8" x14ac:dyDescent="0.15">
      <c r="A781">
        <v>780</v>
      </c>
      <c r="B781" t="s">
        <v>339</v>
      </c>
      <c r="C781" t="s">
        <v>353</v>
      </c>
      <c r="D781" t="s">
        <v>3323</v>
      </c>
      <c r="E781" t="s">
        <v>3321</v>
      </c>
      <c r="F781" s="46">
        <v>46097.325858807868</v>
      </c>
      <c r="G781" s="46">
        <v>46097.325858807868</v>
      </c>
      <c r="H781">
        <v>0</v>
      </c>
    </row>
    <row r="782" spans="1:8" x14ac:dyDescent="0.15">
      <c r="A782">
        <v>781</v>
      </c>
      <c r="B782" t="s">
        <v>339</v>
      </c>
      <c r="C782" t="s">
        <v>353</v>
      </c>
      <c r="D782" t="s">
        <v>3324</v>
      </c>
      <c r="E782" t="s">
        <v>3321</v>
      </c>
      <c r="F782" s="46">
        <v>46097.325858807868</v>
      </c>
      <c r="G782" s="46">
        <v>46097.325858807868</v>
      </c>
      <c r="H782">
        <v>0</v>
      </c>
    </row>
    <row r="783" spans="1:8" x14ac:dyDescent="0.15">
      <c r="A783">
        <v>782</v>
      </c>
      <c r="B783" t="s">
        <v>339</v>
      </c>
      <c r="C783" t="s">
        <v>353</v>
      </c>
      <c r="D783" t="s">
        <v>3325</v>
      </c>
      <c r="E783" t="s">
        <v>3326</v>
      </c>
      <c r="F783" s="46">
        <v>46097.325858807868</v>
      </c>
      <c r="G783" s="46">
        <v>46097.325858993063</v>
      </c>
      <c r="H783">
        <v>15</v>
      </c>
    </row>
    <row r="784" spans="1:8" x14ac:dyDescent="0.15">
      <c r="A784">
        <v>783</v>
      </c>
      <c r="B784" t="s">
        <v>339</v>
      </c>
      <c r="C784" t="s">
        <v>353</v>
      </c>
      <c r="D784" t="s">
        <v>3327</v>
      </c>
      <c r="E784" t="s">
        <v>3326</v>
      </c>
      <c r="F784" s="46">
        <v>46097.325858993063</v>
      </c>
      <c r="G784" s="46">
        <v>46097.325858993063</v>
      </c>
      <c r="H784">
        <v>0</v>
      </c>
    </row>
    <row r="785" spans="1:8" x14ac:dyDescent="0.15">
      <c r="A785">
        <v>784</v>
      </c>
      <c r="B785" t="s">
        <v>339</v>
      </c>
      <c r="C785" t="s">
        <v>353</v>
      </c>
      <c r="D785" t="s">
        <v>3328</v>
      </c>
      <c r="E785" t="s">
        <v>3329</v>
      </c>
      <c r="F785" s="46">
        <v>46097.325858993063</v>
      </c>
      <c r="G785" s="46">
        <v>46097.325858993063</v>
      </c>
      <c r="H785">
        <v>0</v>
      </c>
    </row>
    <row r="786" spans="1:8" x14ac:dyDescent="0.15">
      <c r="A786">
        <v>785</v>
      </c>
      <c r="B786" t="s">
        <v>339</v>
      </c>
      <c r="C786" t="s">
        <v>353</v>
      </c>
      <c r="D786" t="s">
        <v>3330</v>
      </c>
      <c r="E786" t="s">
        <v>3329</v>
      </c>
      <c r="F786" s="46">
        <v>46097.325858993063</v>
      </c>
      <c r="G786" s="46">
        <v>46097.325858993063</v>
      </c>
      <c r="H786">
        <v>0</v>
      </c>
    </row>
    <row r="787" spans="1:8" x14ac:dyDescent="0.15">
      <c r="A787">
        <v>786</v>
      </c>
      <c r="B787" t="s">
        <v>339</v>
      </c>
      <c r="C787" t="s">
        <v>353</v>
      </c>
      <c r="D787" t="s">
        <v>3331</v>
      </c>
      <c r="E787" t="s">
        <v>3329</v>
      </c>
      <c r="F787" s="46">
        <v>46097.325858993063</v>
      </c>
      <c r="G787" s="46">
        <v>46097.325858993063</v>
      </c>
      <c r="H787">
        <v>0</v>
      </c>
    </row>
    <row r="788" spans="1:8" x14ac:dyDescent="0.15">
      <c r="A788">
        <v>787</v>
      </c>
      <c r="B788" t="s">
        <v>339</v>
      </c>
      <c r="C788" t="s">
        <v>353</v>
      </c>
      <c r="D788" t="s">
        <v>3332</v>
      </c>
      <c r="E788" t="s">
        <v>3333</v>
      </c>
      <c r="F788" s="46">
        <v>46097.325858993063</v>
      </c>
      <c r="G788" s="46">
        <v>46097.325858993063</v>
      </c>
      <c r="H788">
        <v>0</v>
      </c>
    </row>
    <row r="789" spans="1:8" x14ac:dyDescent="0.15">
      <c r="A789">
        <v>788</v>
      </c>
      <c r="B789" t="s">
        <v>339</v>
      </c>
      <c r="C789" t="s">
        <v>353</v>
      </c>
      <c r="D789" t="s">
        <v>3334</v>
      </c>
      <c r="E789" t="s">
        <v>3335</v>
      </c>
      <c r="F789" s="46">
        <v>46097.325858993063</v>
      </c>
      <c r="G789" s="46">
        <v>46097.325858993063</v>
      </c>
      <c r="H789">
        <v>0</v>
      </c>
    </row>
    <row r="790" spans="1:8" x14ac:dyDescent="0.15">
      <c r="A790">
        <v>789</v>
      </c>
      <c r="B790" t="s">
        <v>339</v>
      </c>
      <c r="C790" t="s">
        <v>353</v>
      </c>
      <c r="D790" t="s">
        <v>3336</v>
      </c>
      <c r="E790" t="s">
        <v>3337</v>
      </c>
      <c r="F790" s="46">
        <v>46097.325858993063</v>
      </c>
      <c r="G790" s="46">
        <v>46097.325858993063</v>
      </c>
      <c r="H790">
        <v>0</v>
      </c>
    </row>
    <row r="791" spans="1:8" x14ac:dyDescent="0.15">
      <c r="A791">
        <v>790</v>
      </c>
      <c r="B791" t="s">
        <v>339</v>
      </c>
      <c r="C791" t="s">
        <v>353</v>
      </c>
      <c r="D791" t="s">
        <v>3338</v>
      </c>
      <c r="E791" t="s">
        <v>3337</v>
      </c>
      <c r="F791" s="46">
        <v>46097.325858993063</v>
      </c>
      <c r="G791" s="46">
        <v>46097.325858993063</v>
      </c>
      <c r="H791">
        <v>0</v>
      </c>
    </row>
    <row r="792" spans="1:8" x14ac:dyDescent="0.15">
      <c r="A792">
        <v>791</v>
      </c>
      <c r="B792" t="s">
        <v>339</v>
      </c>
      <c r="C792" t="s">
        <v>353</v>
      </c>
      <c r="D792" t="s">
        <v>3339</v>
      </c>
      <c r="E792" t="s">
        <v>3340</v>
      </c>
      <c r="F792" s="46">
        <v>46097.325858993063</v>
      </c>
      <c r="G792" s="46">
        <v>46097.325858993063</v>
      </c>
      <c r="H792">
        <v>0</v>
      </c>
    </row>
    <row r="793" spans="1:8" x14ac:dyDescent="0.15">
      <c r="A793">
        <v>792</v>
      </c>
      <c r="B793" t="s">
        <v>339</v>
      </c>
      <c r="C793" t="s">
        <v>353</v>
      </c>
      <c r="D793" t="s">
        <v>3341</v>
      </c>
      <c r="E793" t="s">
        <v>372</v>
      </c>
      <c r="F793" s="46">
        <v>46097.325858993063</v>
      </c>
      <c r="G793" s="46">
        <v>46097.325859178243</v>
      </c>
      <c r="H793">
        <v>16</v>
      </c>
    </row>
    <row r="794" spans="1:8" x14ac:dyDescent="0.15">
      <c r="A794">
        <v>793</v>
      </c>
      <c r="B794" t="s">
        <v>339</v>
      </c>
      <c r="C794" t="s">
        <v>353</v>
      </c>
      <c r="D794" t="s">
        <v>3342</v>
      </c>
      <c r="E794" t="s">
        <v>372</v>
      </c>
      <c r="F794" s="46">
        <v>46097.325859178243</v>
      </c>
      <c r="G794" s="46">
        <v>46097.325859178243</v>
      </c>
      <c r="H794">
        <v>0</v>
      </c>
    </row>
    <row r="795" spans="1:8" x14ac:dyDescent="0.15">
      <c r="A795">
        <v>794</v>
      </c>
      <c r="B795" t="s">
        <v>339</v>
      </c>
      <c r="C795" t="s">
        <v>353</v>
      </c>
      <c r="D795" t="s">
        <v>3343</v>
      </c>
      <c r="E795" t="s">
        <v>372</v>
      </c>
      <c r="F795" s="46">
        <v>46097.325859178243</v>
      </c>
      <c r="G795" s="46">
        <v>46097.325859178243</v>
      </c>
      <c r="H795">
        <v>0</v>
      </c>
    </row>
    <row r="796" spans="1:8" x14ac:dyDescent="0.15">
      <c r="A796">
        <v>795</v>
      </c>
      <c r="B796" t="s">
        <v>339</v>
      </c>
      <c r="C796" t="s">
        <v>353</v>
      </c>
      <c r="D796" t="s">
        <v>3344</v>
      </c>
      <c r="E796" t="s">
        <v>372</v>
      </c>
      <c r="F796" s="46">
        <v>46097.325859178243</v>
      </c>
      <c r="G796" s="46">
        <v>46097.325859178243</v>
      </c>
      <c r="H796">
        <v>0</v>
      </c>
    </row>
    <row r="797" spans="1:8" x14ac:dyDescent="0.15">
      <c r="A797">
        <v>796</v>
      </c>
      <c r="B797" t="s">
        <v>339</v>
      </c>
      <c r="C797" t="s">
        <v>353</v>
      </c>
      <c r="D797" t="s">
        <v>3345</v>
      </c>
      <c r="E797" t="s">
        <v>372</v>
      </c>
      <c r="F797" s="46">
        <v>46097.325859178243</v>
      </c>
      <c r="G797" s="46">
        <v>46097.325859178243</v>
      </c>
      <c r="H797">
        <v>0</v>
      </c>
    </row>
    <row r="798" spans="1:8" x14ac:dyDescent="0.15">
      <c r="A798">
        <v>797</v>
      </c>
      <c r="B798" t="s">
        <v>339</v>
      </c>
      <c r="C798" t="s">
        <v>353</v>
      </c>
      <c r="D798" t="s">
        <v>3346</v>
      </c>
      <c r="E798" t="s">
        <v>372</v>
      </c>
      <c r="F798" s="46">
        <v>46097.325859178243</v>
      </c>
      <c r="G798" s="46">
        <v>46097.325859178243</v>
      </c>
      <c r="H798">
        <v>0</v>
      </c>
    </row>
    <row r="799" spans="1:8" x14ac:dyDescent="0.15">
      <c r="A799">
        <v>798</v>
      </c>
      <c r="B799" t="s">
        <v>339</v>
      </c>
      <c r="C799" t="s">
        <v>353</v>
      </c>
      <c r="D799" t="s">
        <v>3347</v>
      </c>
      <c r="E799" t="s">
        <v>372</v>
      </c>
      <c r="F799" s="46">
        <v>46097.325859178243</v>
      </c>
      <c r="G799" s="46">
        <v>46097.325859178243</v>
      </c>
      <c r="H799">
        <v>0</v>
      </c>
    </row>
    <row r="800" spans="1:8" x14ac:dyDescent="0.15">
      <c r="A800">
        <v>799</v>
      </c>
      <c r="B800" t="s">
        <v>339</v>
      </c>
      <c r="C800" t="s">
        <v>353</v>
      </c>
      <c r="D800" t="s">
        <v>3348</v>
      </c>
      <c r="E800" t="s">
        <v>372</v>
      </c>
      <c r="F800" s="46">
        <v>46097.325859178243</v>
      </c>
      <c r="G800" s="46">
        <v>46097.325859178243</v>
      </c>
      <c r="H800">
        <v>0</v>
      </c>
    </row>
    <row r="801" spans="1:8" x14ac:dyDescent="0.15">
      <c r="A801">
        <v>800</v>
      </c>
      <c r="B801" t="s">
        <v>339</v>
      </c>
      <c r="C801" t="s">
        <v>353</v>
      </c>
      <c r="D801" t="s">
        <v>3349</v>
      </c>
      <c r="E801" t="s">
        <v>372</v>
      </c>
      <c r="F801" s="46">
        <v>46097.325859178243</v>
      </c>
      <c r="G801" s="46">
        <v>46097.325859178243</v>
      </c>
      <c r="H801">
        <v>0</v>
      </c>
    </row>
    <row r="802" spans="1:8" x14ac:dyDescent="0.15">
      <c r="A802">
        <v>801</v>
      </c>
      <c r="B802" t="s">
        <v>339</v>
      </c>
      <c r="C802" t="s">
        <v>353</v>
      </c>
      <c r="D802" t="s">
        <v>3350</v>
      </c>
      <c r="E802" t="s">
        <v>372</v>
      </c>
      <c r="F802" s="46">
        <v>46097.325859178243</v>
      </c>
      <c r="G802" s="46">
        <v>46097.325859178243</v>
      </c>
      <c r="H802">
        <v>0</v>
      </c>
    </row>
    <row r="803" spans="1:8" x14ac:dyDescent="0.15">
      <c r="A803">
        <v>802</v>
      </c>
      <c r="B803" t="s">
        <v>339</v>
      </c>
      <c r="C803" t="s">
        <v>353</v>
      </c>
      <c r="D803" t="s">
        <v>3351</v>
      </c>
      <c r="E803" t="s">
        <v>372</v>
      </c>
      <c r="F803" s="46">
        <v>46097.325859178243</v>
      </c>
      <c r="G803" s="46">
        <v>46097.325859178243</v>
      </c>
      <c r="H803">
        <v>0</v>
      </c>
    </row>
    <row r="804" spans="1:8" x14ac:dyDescent="0.15">
      <c r="A804">
        <v>803</v>
      </c>
      <c r="B804" t="s">
        <v>339</v>
      </c>
      <c r="C804" t="s">
        <v>353</v>
      </c>
      <c r="D804" t="s">
        <v>3352</v>
      </c>
      <c r="E804" t="s">
        <v>372</v>
      </c>
      <c r="F804" s="46">
        <v>46097.325859178243</v>
      </c>
      <c r="G804" s="46">
        <v>46097.325859351848</v>
      </c>
      <c r="H804">
        <v>16</v>
      </c>
    </row>
    <row r="805" spans="1:8" x14ac:dyDescent="0.15">
      <c r="A805">
        <v>804</v>
      </c>
      <c r="B805" t="s">
        <v>339</v>
      </c>
      <c r="C805" t="s">
        <v>353</v>
      </c>
      <c r="D805" t="s">
        <v>3353</v>
      </c>
      <c r="E805" t="s">
        <v>372</v>
      </c>
      <c r="F805" s="46">
        <v>46097.325859351848</v>
      </c>
      <c r="G805" s="46">
        <v>46097.325859351848</v>
      </c>
      <c r="H805">
        <v>0</v>
      </c>
    </row>
    <row r="806" spans="1:8" x14ac:dyDescent="0.15">
      <c r="A806">
        <v>805</v>
      </c>
      <c r="B806" t="s">
        <v>339</v>
      </c>
      <c r="C806" t="s">
        <v>353</v>
      </c>
      <c r="D806" t="s">
        <v>3354</v>
      </c>
      <c r="E806" t="s">
        <v>372</v>
      </c>
      <c r="F806" s="46">
        <v>46097.325859351848</v>
      </c>
      <c r="G806" s="46">
        <v>46097.325859351848</v>
      </c>
      <c r="H806">
        <v>0</v>
      </c>
    </row>
    <row r="807" spans="1:8" x14ac:dyDescent="0.15">
      <c r="A807">
        <v>806</v>
      </c>
      <c r="B807" t="s">
        <v>339</v>
      </c>
      <c r="C807" t="s">
        <v>353</v>
      </c>
      <c r="D807" t="s">
        <v>3355</v>
      </c>
      <c r="E807" t="s">
        <v>372</v>
      </c>
      <c r="F807" s="46">
        <v>46097.325859351848</v>
      </c>
      <c r="G807" s="46">
        <v>46097.325859351848</v>
      </c>
      <c r="H807">
        <v>0</v>
      </c>
    </row>
    <row r="808" spans="1:8" x14ac:dyDescent="0.15">
      <c r="A808">
        <v>807</v>
      </c>
      <c r="B808" t="s">
        <v>339</v>
      </c>
      <c r="C808" t="s">
        <v>353</v>
      </c>
      <c r="D808" t="s">
        <v>3356</v>
      </c>
      <c r="E808" t="s">
        <v>372</v>
      </c>
      <c r="F808" s="46">
        <v>46097.325859351848</v>
      </c>
      <c r="G808" s="46">
        <v>46097.325859351848</v>
      </c>
      <c r="H808">
        <v>0</v>
      </c>
    </row>
    <row r="809" spans="1:8" x14ac:dyDescent="0.15">
      <c r="A809">
        <v>808</v>
      </c>
      <c r="B809" t="s">
        <v>339</v>
      </c>
      <c r="C809" t="s">
        <v>353</v>
      </c>
      <c r="D809" t="s">
        <v>3357</v>
      </c>
      <c r="E809" t="s">
        <v>372</v>
      </c>
      <c r="F809" s="46">
        <v>46097.325859351848</v>
      </c>
      <c r="G809" s="46">
        <v>46097.325859351848</v>
      </c>
      <c r="H809">
        <v>0</v>
      </c>
    </row>
    <row r="810" spans="1:8" x14ac:dyDescent="0.15">
      <c r="A810">
        <v>809</v>
      </c>
      <c r="B810" t="s">
        <v>339</v>
      </c>
      <c r="C810" t="s">
        <v>353</v>
      </c>
      <c r="D810" t="s">
        <v>3358</v>
      </c>
      <c r="E810" t="s">
        <v>372</v>
      </c>
      <c r="F810" s="46">
        <v>46097.325859351848</v>
      </c>
      <c r="G810" s="46">
        <v>46097.325859351848</v>
      </c>
      <c r="H810">
        <v>0</v>
      </c>
    </row>
    <row r="811" spans="1:8" x14ac:dyDescent="0.15">
      <c r="A811">
        <v>810</v>
      </c>
      <c r="B811" t="s">
        <v>339</v>
      </c>
      <c r="C811" t="s">
        <v>353</v>
      </c>
      <c r="D811" t="s">
        <v>3359</v>
      </c>
      <c r="E811" t="s">
        <v>372</v>
      </c>
      <c r="F811" s="46">
        <v>46097.325859351848</v>
      </c>
      <c r="G811" s="46">
        <v>46097.325859351848</v>
      </c>
      <c r="H811">
        <v>0</v>
      </c>
    </row>
    <row r="812" spans="1:8" x14ac:dyDescent="0.15">
      <c r="A812">
        <v>811</v>
      </c>
      <c r="B812" t="s">
        <v>339</v>
      </c>
      <c r="C812" t="s">
        <v>353</v>
      </c>
      <c r="D812" t="s">
        <v>3360</v>
      </c>
      <c r="E812" t="s">
        <v>372</v>
      </c>
      <c r="F812" s="46">
        <v>46097.325859351848</v>
      </c>
      <c r="G812" s="46">
        <v>46097.325859351848</v>
      </c>
      <c r="H812">
        <v>0</v>
      </c>
    </row>
    <row r="813" spans="1:8" x14ac:dyDescent="0.15">
      <c r="A813">
        <v>812</v>
      </c>
      <c r="B813" t="s">
        <v>339</v>
      </c>
      <c r="C813" t="s">
        <v>353</v>
      </c>
      <c r="D813" t="s">
        <v>3361</v>
      </c>
      <c r="E813" t="s">
        <v>372</v>
      </c>
      <c r="F813" s="46">
        <v>46097.325859351848</v>
      </c>
      <c r="G813" s="46">
        <v>46097.325859351848</v>
      </c>
      <c r="H813">
        <v>0</v>
      </c>
    </row>
    <row r="814" spans="1:8" x14ac:dyDescent="0.15">
      <c r="A814">
        <v>813</v>
      </c>
      <c r="B814" t="s">
        <v>339</v>
      </c>
      <c r="C814" t="s">
        <v>353</v>
      </c>
      <c r="D814" t="s">
        <v>3362</v>
      </c>
      <c r="E814" t="s">
        <v>372</v>
      </c>
      <c r="F814" s="46">
        <v>46097.325859351848</v>
      </c>
      <c r="G814" s="46">
        <v>46097.325859537043</v>
      </c>
      <c r="H814">
        <v>15</v>
      </c>
    </row>
    <row r="815" spans="1:8" x14ac:dyDescent="0.15">
      <c r="A815">
        <v>814</v>
      </c>
      <c r="B815" t="s">
        <v>339</v>
      </c>
      <c r="C815" t="s">
        <v>353</v>
      </c>
      <c r="D815" t="s">
        <v>3363</v>
      </c>
      <c r="E815" t="s">
        <v>372</v>
      </c>
      <c r="F815" s="46">
        <v>46097.325859537043</v>
      </c>
      <c r="G815" s="46">
        <v>46097.325859537043</v>
      </c>
      <c r="H815">
        <v>0</v>
      </c>
    </row>
    <row r="816" spans="1:8" x14ac:dyDescent="0.15">
      <c r="A816">
        <v>815</v>
      </c>
      <c r="B816" t="s">
        <v>339</v>
      </c>
      <c r="C816" t="s">
        <v>353</v>
      </c>
      <c r="D816" t="s">
        <v>3364</v>
      </c>
      <c r="E816" t="s">
        <v>372</v>
      </c>
      <c r="F816" s="46">
        <v>46097.325859537043</v>
      </c>
      <c r="G816" s="46">
        <v>46097.325859537043</v>
      </c>
      <c r="H816">
        <v>0</v>
      </c>
    </row>
    <row r="817" spans="1:8" x14ac:dyDescent="0.15">
      <c r="A817">
        <v>816</v>
      </c>
      <c r="B817" t="s">
        <v>339</v>
      </c>
      <c r="C817" t="s">
        <v>353</v>
      </c>
      <c r="D817" t="s">
        <v>3365</v>
      </c>
      <c r="E817" t="s">
        <v>372</v>
      </c>
      <c r="F817" s="46">
        <v>46097.325859537043</v>
      </c>
      <c r="G817" s="46">
        <v>46097.325859537043</v>
      </c>
      <c r="H817">
        <v>0</v>
      </c>
    </row>
    <row r="818" spans="1:8" x14ac:dyDescent="0.15">
      <c r="A818">
        <v>817</v>
      </c>
      <c r="B818" t="s">
        <v>339</v>
      </c>
      <c r="C818" t="s">
        <v>353</v>
      </c>
      <c r="D818" t="s">
        <v>3366</v>
      </c>
      <c r="E818" t="s">
        <v>372</v>
      </c>
      <c r="F818" s="46">
        <v>46097.325859537043</v>
      </c>
      <c r="G818" s="46">
        <v>46097.325859537043</v>
      </c>
      <c r="H818">
        <v>0</v>
      </c>
    </row>
    <row r="819" spans="1:8" x14ac:dyDescent="0.15">
      <c r="A819">
        <v>818</v>
      </c>
      <c r="B819" t="s">
        <v>339</v>
      </c>
      <c r="C819" t="s">
        <v>353</v>
      </c>
      <c r="D819" t="s">
        <v>3367</v>
      </c>
      <c r="E819" t="s">
        <v>3368</v>
      </c>
      <c r="F819" s="46">
        <v>46097.325859537043</v>
      </c>
      <c r="G819" s="46">
        <v>46097.325859537043</v>
      </c>
      <c r="H819">
        <v>0</v>
      </c>
    </row>
    <row r="820" spans="1:8" x14ac:dyDescent="0.15">
      <c r="A820">
        <v>819</v>
      </c>
      <c r="B820" t="s">
        <v>339</v>
      </c>
      <c r="C820" t="s">
        <v>353</v>
      </c>
      <c r="D820" t="s">
        <v>3369</v>
      </c>
      <c r="E820" t="s">
        <v>3370</v>
      </c>
      <c r="F820" s="46">
        <v>46097.325859537043</v>
      </c>
      <c r="G820" s="46">
        <v>46097.325859537043</v>
      </c>
      <c r="H820">
        <v>0</v>
      </c>
    </row>
    <row r="821" spans="1:8" x14ac:dyDescent="0.15">
      <c r="A821">
        <v>820</v>
      </c>
      <c r="B821" t="s">
        <v>339</v>
      </c>
      <c r="C821" t="s">
        <v>353</v>
      </c>
      <c r="D821" t="s">
        <v>3371</v>
      </c>
      <c r="E821" t="s">
        <v>3370</v>
      </c>
      <c r="F821" s="46">
        <v>46097.325859537043</v>
      </c>
      <c r="G821" s="46">
        <v>46097.325859537043</v>
      </c>
      <c r="H821">
        <v>0</v>
      </c>
    </row>
    <row r="822" spans="1:8" x14ac:dyDescent="0.15">
      <c r="A822">
        <v>821</v>
      </c>
      <c r="B822" t="s">
        <v>339</v>
      </c>
      <c r="C822" t="s">
        <v>353</v>
      </c>
      <c r="D822" t="s">
        <v>3372</v>
      </c>
      <c r="E822" t="s">
        <v>3370</v>
      </c>
      <c r="F822" s="46">
        <v>46097.325859537043</v>
      </c>
      <c r="G822" s="46">
        <v>46097.325859537043</v>
      </c>
      <c r="H822">
        <v>0</v>
      </c>
    </row>
    <row r="823" spans="1:8" x14ac:dyDescent="0.15">
      <c r="A823">
        <v>822</v>
      </c>
      <c r="B823" t="s">
        <v>339</v>
      </c>
      <c r="C823" t="s">
        <v>353</v>
      </c>
      <c r="D823" t="s">
        <v>3373</v>
      </c>
      <c r="E823" t="s">
        <v>3370</v>
      </c>
      <c r="F823" s="46">
        <v>46097.325859537043</v>
      </c>
      <c r="G823" s="46">
        <v>46097.325859537043</v>
      </c>
      <c r="H823">
        <v>0</v>
      </c>
    </row>
    <row r="824" spans="1:8" x14ac:dyDescent="0.15">
      <c r="A824">
        <v>823</v>
      </c>
      <c r="B824" t="s">
        <v>339</v>
      </c>
      <c r="C824" t="s">
        <v>353</v>
      </c>
      <c r="D824" t="s">
        <v>3374</v>
      </c>
      <c r="E824" t="s">
        <v>3375</v>
      </c>
      <c r="F824" s="46">
        <v>46097.325859537043</v>
      </c>
      <c r="G824" s="46">
        <v>46097.325859537043</v>
      </c>
      <c r="H824">
        <v>0</v>
      </c>
    </row>
    <row r="825" spans="1:8" x14ac:dyDescent="0.15">
      <c r="A825">
        <v>824</v>
      </c>
      <c r="B825" t="s">
        <v>339</v>
      </c>
      <c r="C825" t="s">
        <v>353</v>
      </c>
      <c r="D825" t="s">
        <v>3376</v>
      </c>
      <c r="E825" t="s">
        <v>3375</v>
      </c>
      <c r="F825" s="46">
        <v>46097.325859537043</v>
      </c>
      <c r="G825" s="46">
        <v>46097.325859710647</v>
      </c>
      <c r="H825">
        <v>16</v>
      </c>
    </row>
    <row r="826" spans="1:8" x14ac:dyDescent="0.15">
      <c r="A826">
        <v>825</v>
      </c>
      <c r="B826" t="s">
        <v>339</v>
      </c>
      <c r="C826" t="s">
        <v>353</v>
      </c>
      <c r="D826" t="s">
        <v>3377</v>
      </c>
      <c r="E826" t="s">
        <v>3375</v>
      </c>
      <c r="F826" s="46">
        <v>46097.325859710647</v>
      </c>
      <c r="G826" s="46">
        <v>46097.325859710647</v>
      </c>
      <c r="H826">
        <v>0</v>
      </c>
    </row>
    <row r="827" spans="1:8" x14ac:dyDescent="0.15">
      <c r="A827">
        <v>826</v>
      </c>
      <c r="B827" t="s">
        <v>339</v>
      </c>
      <c r="C827" t="s">
        <v>353</v>
      </c>
      <c r="D827" t="s">
        <v>3378</v>
      </c>
      <c r="E827" t="s">
        <v>3379</v>
      </c>
      <c r="F827" s="46">
        <v>46097.325859710647</v>
      </c>
      <c r="G827" s="46">
        <v>46097.325859710647</v>
      </c>
      <c r="H827">
        <v>0</v>
      </c>
    </row>
    <row r="828" spans="1:8" x14ac:dyDescent="0.15">
      <c r="A828">
        <v>827</v>
      </c>
      <c r="B828" t="s">
        <v>339</v>
      </c>
      <c r="C828" t="s">
        <v>353</v>
      </c>
      <c r="D828" t="s">
        <v>3380</v>
      </c>
      <c r="E828" t="s">
        <v>3381</v>
      </c>
      <c r="F828" s="46">
        <v>46097.325859710647</v>
      </c>
      <c r="G828" s="46">
        <v>46097.325859710647</v>
      </c>
      <c r="H828">
        <v>0</v>
      </c>
    </row>
    <row r="829" spans="1:8" x14ac:dyDescent="0.15">
      <c r="A829">
        <v>828</v>
      </c>
      <c r="B829" t="s">
        <v>339</v>
      </c>
      <c r="C829" t="s">
        <v>353</v>
      </c>
      <c r="D829" t="s">
        <v>3382</v>
      </c>
      <c r="E829" t="s">
        <v>3381</v>
      </c>
      <c r="F829" s="46">
        <v>46097.325859710647</v>
      </c>
      <c r="G829" s="46">
        <v>46097.325859710647</v>
      </c>
      <c r="H829">
        <v>0</v>
      </c>
    </row>
    <row r="830" spans="1:8" x14ac:dyDescent="0.15">
      <c r="A830">
        <v>829</v>
      </c>
      <c r="B830" t="s">
        <v>339</v>
      </c>
      <c r="C830" t="s">
        <v>353</v>
      </c>
      <c r="D830" t="s">
        <v>3383</v>
      </c>
      <c r="E830" t="s">
        <v>3381</v>
      </c>
      <c r="F830" s="46">
        <v>46097.325859710647</v>
      </c>
      <c r="G830" s="46">
        <v>46097.325859710647</v>
      </c>
      <c r="H830">
        <v>0</v>
      </c>
    </row>
    <row r="831" spans="1:8" x14ac:dyDescent="0.15">
      <c r="A831">
        <v>830</v>
      </c>
      <c r="B831" t="s">
        <v>339</v>
      </c>
      <c r="C831" t="s">
        <v>353</v>
      </c>
      <c r="D831" t="s">
        <v>3384</v>
      </c>
      <c r="E831" t="s">
        <v>3381</v>
      </c>
      <c r="F831" s="46">
        <v>46097.325859710647</v>
      </c>
      <c r="G831" s="46">
        <v>46097.325859710647</v>
      </c>
      <c r="H831">
        <v>0</v>
      </c>
    </row>
    <row r="832" spans="1:8" x14ac:dyDescent="0.15">
      <c r="A832">
        <v>831</v>
      </c>
      <c r="B832" t="s">
        <v>339</v>
      </c>
      <c r="C832" t="s">
        <v>353</v>
      </c>
      <c r="D832" t="s">
        <v>3385</v>
      </c>
      <c r="E832" t="s">
        <v>3381</v>
      </c>
      <c r="F832" s="46">
        <v>46097.325859710647</v>
      </c>
      <c r="G832" s="46">
        <v>46097.325859710647</v>
      </c>
      <c r="H832">
        <v>0</v>
      </c>
    </row>
    <row r="833" spans="1:8" x14ac:dyDescent="0.15">
      <c r="A833">
        <v>832</v>
      </c>
      <c r="B833" t="s">
        <v>339</v>
      </c>
      <c r="C833" t="s">
        <v>353</v>
      </c>
      <c r="D833" t="s">
        <v>3386</v>
      </c>
      <c r="E833" t="s">
        <v>3381</v>
      </c>
      <c r="F833" s="46">
        <v>46097.325859710647</v>
      </c>
      <c r="G833" s="46">
        <v>46097.325859710647</v>
      </c>
      <c r="H833">
        <v>0</v>
      </c>
    </row>
    <row r="834" spans="1:8" x14ac:dyDescent="0.15">
      <c r="A834">
        <v>833</v>
      </c>
      <c r="B834" t="s">
        <v>339</v>
      </c>
      <c r="C834" t="s">
        <v>353</v>
      </c>
      <c r="D834" t="s">
        <v>3387</v>
      </c>
      <c r="E834" t="s">
        <v>3381</v>
      </c>
      <c r="F834" s="46">
        <v>46097.325859710647</v>
      </c>
      <c r="G834" s="46">
        <v>46097.325859710647</v>
      </c>
      <c r="H834">
        <v>0</v>
      </c>
    </row>
    <row r="835" spans="1:8" x14ac:dyDescent="0.15">
      <c r="A835">
        <v>834</v>
      </c>
      <c r="B835" t="s">
        <v>339</v>
      </c>
      <c r="C835" t="s">
        <v>353</v>
      </c>
      <c r="D835" t="s">
        <v>3388</v>
      </c>
      <c r="E835" t="s">
        <v>3381</v>
      </c>
      <c r="F835" s="46">
        <v>46097.325859710647</v>
      </c>
      <c r="G835" s="46">
        <v>46097.325859895827</v>
      </c>
      <c r="H835">
        <v>16</v>
      </c>
    </row>
    <row r="836" spans="1:8" x14ac:dyDescent="0.15">
      <c r="A836">
        <v>835</v>
      </c>
      <c r="B836" t="s">
        <v>339</v>
      </c>
      <c r="C836" t="s">
        <v>353</v>
      </c>
      <c r="D836" t="s">
        <v>3389</v>
      </c>
      <c r="E836" t="s">
        <v>3390</v>
      </c>
      <c r="F836" s="46">
        <v>46097.325859895827</v>
      </c>
      <c r="G836" s="46">
        <v>46097.325859895827</v>
      </c>
      <c r="H836">
        <v>0</v>
      </c>
    </row>
    <row r="837" spans="1:8" x14ac:dyDescent="0.15">
      <c r="A837">
        <v>836</v>
      </c>
      <c r="B837" t="s">
        <v>339</v>
      </c>
      <c r="C837" t="s">
        <v>353</v>
      </c>
      <c r="D837" t="s">
        <v>3391</v>
      </c>
      <c r="E837" t="s">
        <v>3390</v>
      </c>
      <c r="F837" s="46">
        <v>46097.325859895827</v>
      </c>
      <c r="G837" s="46">
        <v>46097.325859895827</v>
      </c>
      <c r="H837">
        <v>0</v>
      </c>
    </row>
    <row r="838" spans="1:8" x14ac:dyDescent="0.15">
      <c r="A838">
        <v>837</v>
      </c>
      <c r="B838" t="s">
        <v>339</v>
      </c>
      <c r="C838" t="s">
        <v>353</v>
      </c>
      <c r="D838" t="s">
        <v>3392</v>
      </c>
      <c r="E838" t="s">
        <v>3390</v>
      </c>
      <c r="F838" s="46">
        <v>46097.325859895827</v>
      </c>
      <c r="G838" s="46">
        <v>46097.325859895827</v>
      </c>
      <c r="H838">
        <v>0</v>
      </c>
    </row>
    <row r="839" spans="1:8" x14ac:dyDescent="0.15">
      <c r="A839">
        <v>838</v>
      </c>
      <c r="B839" t="s">
        <v>339</v>
      </c>
      <c r="C839" t="s">
        <v>353</v>
      </c>
      <c r="D839" t="s">
        <v>3393</v>
      </c>
      <c r="E839" t="s">
        <v>3394</v>
      </c>
      <c r="F839" s="46">
        <v>46097.325859895827</v>
      </c>
      <c r="G839" s="46">
        <v>46097.325859895827</v>
      </c>
      <c r="H839">
        <v>0</v>
      </c>
    </row>
    <row r="840" spans="1:8" x14ac:dyDescent="0.15">
      <c r="A840">
        <v>839</v>
      </c>
      <c r="B840" t="s">
        <v>339</v>
      </c>
      <c r="C840" t="s">
        <v>353</v>
      </c>
      <c r="D840" t="s">
        <v>3395</v>
      </c>
      <c r="E840" t="s">
        <v>373</v>
      </c>
      <c r="F840" s="46">
        <v>46097.325859895827</v>
      </c>
      <c r="G840" s="46">
        <v>46097.325859895827</v>
      </c>
      <c r="H840">
        <v>0</v>
      </c>
    </row>
    <row r="841" spans="1:8" x14ac:dyDescent="0.15">
      <c r="A841">
        <v>840</v>
      </c>
      <c r="B841" t="s">
        <v>339</v>
      </c>
      <c r="C841" t="s">
        <v>353</v>
      </c>
      <c r="D841" t="s">
        <v>3396</v>
      </c>
      <c r="E841" t="s">
        <v>3397</v>
      </c>
      <c r="F841" s="46">
        <v>46097.325859895827</v>
      </c>
      <c r="G841" s="46">
        <v>46097.325859895827</v>
      </c>
      <c r="H841">
        <v>0</v>
      </c>
    </row>
    <row r="842" spans="1:8" x14ac:dyDescent="0.15">
      <c r="A842">
        <v>841</v>
      </c>
      <c r="B842" t="s">
        <v>339</v>
      </c>
      <c r="C842" t="s">
        <v>353</v>
      </c>
      <c r="D842" t="s">
        <v>3398</v>
      </c>
      <c r="E842" t="s">
        <v>3399</v>
      </c>
      <c r="F842" s="46">
        <v>46097.325859895827</v>
      </c>
      <c r="G842" s="46">
        <v>46097.325859895827</v>
      </c>
      <c r="H842">
        <v>0</v>
      </c>
    </row>
    <row r="843" spans="1:8" x14ac:dyDescent="0.15">
      <c r="A843">
        <v>842</v>
      </c>
      <c r="B843" t="s">
        <v>339</v>
      </c>
      <c r="C843" t="s">
        <v>353</v>
      </c>
      <c r="D843" t="s">
        <v>3400</v>
      </c>
      <c r="E843" t="s">
        <v>3401</v>
      </c>
      <c r="F843" s="46">
        <v>46097.325859895827</v>
      </c>
      <c r="G843" s="46">
        <v>46097.325859895827</v>
      </c>
      <c r="H843">
        <v>0</v>
      </c>
    </row>
    <row r="844" spans="1:8" x14ac:dyDescent="0.15">
      <c r="A844">
        <v>843</v>
      </c>
      <c r="B844" t="s">
        <v>339</v>
      </c>
      <c r="C844" t="s">
        <v>353</v>
      </c>
      <c r="D844" t="s">
        <v>3402</v>
      </c>
      <c r="E844" t="s">
        <v>3403</v>
      </c>
      <c r="F844" s="46">
        <v>46097.325859895827</v>
      </c>
      <c r="G844" s="46">
        <v>46097.325859895827</v>
      </c>
      <c r="H844">
        <v>0</v>
      </c>
    </row>
    <row r="845" spans="1:8" x14ac:dyDescent="0.15">
      <c r="A845">
        <v>844</v>
      </c>
      <c r="B845" t="s">
        <v>339</v>
      </c>
      <c r="C845" t="s">
        <v>353</v>
      </c>
      <c r="D845" t="s">
        <v>3404</v>
      </c>
      <c r="E845" t="s">
        <v>3405</v>
      </c>
      <c r="F845" s="46">
        <v>46097.325859895827</v>
      </c>
      <c r="G845" s="46">
        <v>46097.325859895827</v>
      </c>
      <c r="H845">
        <v>0</v>
      </c>
    </row>
    <row r="846" spans="1:8" x14ac:dyDescent="0.15">
      <c r="A846">
        <v>845</v>
      </c>
      <c r="B846" t="s">
        <v>339</v>
      </c>
      <c r="C846" t="s">
        <v>353</v>
      </c>
      <c r="D846" t="s">
        <v>3406</v>
      </c>
      <c r="E846" t="s">
        <v>3405</v>
      </c>
      <c r="F846" s="46">
        <v>46097.325859895827</v>
      </c>
      <c r="G846" s="46">
        <v>46097.325860081008</v>
      </c>
      <c r="H846">
        <v>15</v>
      </c>
    </row>
    <row r="847" spans="1:8" x14ac:dyDescent="0.15">
      <c r="A847">
        <v>846</v>
      </c>
      <c r="B847" t="s">
        <v>339</v>
      </c>
      <c r="C847" t="s">
        <v>353</v>
      </c>
      <c r="D847" t="s">
        <v>3407</v>
      </c>
      <c r="E847" t="s">
        <v>3408</v>
      </c>
      <c r="F847" s="46">
        <v>46097.325860081008</v>
      </c>
      <c r="G847" s="46">
        <v>46097.325860081008</v>
      </c>
      <c r="H847">
        <v>0</v>
      </c>
    </row>
    <row r="848" spans="1:8" x14ac:dyDescent="0.15">
      <c r="A848">
        <v>847</v>
      </c>
      <c r="B848" t="s">
        <v>339</v>
      </c>
      <c r="C848" t="s">
        <v>353</v>
      </c>
      <c r="D848" t="s">
        <v>3409</v>
      </c>
      <c r="E848" t="s">
        <v>3408</v>
      </c>
      <c r="F848" s="46">
        <v>46097.325860081008</v>
      </c>
      <c r="G848" s="46">
        <v>46097.325860081008</v>
      </c>
      <c r="H848">
        <v>0</v>
      </c>
    </row>
    <row r="849" spans="1:8" x14ac:dyDescent="0.15">
      <c r="A849">
        <v>848</v>
      </c>
      <c r="B849" t="s">
        <v>339</v>
      </c>
      <c r="C849" t="s">
        <v>353</v>
      </c>
      <c r="D849" t="s">
        <v>3410</v>
      </c>
      <c r="E849" t="s">
        <v>3411</v>
      </c>
      <c r="F849" s="46">
        <v>46097.325860081008</v>
      </c>
      <c r="G849" s="46">
        <v>46097.325860081008</v>
      </c>
      <c r="H849">
        <v>0</v>
      </c>
    </row>
    <row r="850" spans="1:8" x14ac:dyDescent="0.15">
      <c r="A850">
        <v>849</v>
      </c>
      <c r="B850" t="s">
        <v>339</v>
      </c>
      <c r="C850" t="s">
        <v>353</v>
      </c>
      <c r="D850" t="s">
        <v>3412</v>
      </c>
      <c r="E850" t="s">
        <v>3413</v>
      </c>
      <c r="F850" s="46">
        <v>46097.325860081008</v>
      </c>
      <c r="G850" s="46">
        <v>46097.325860081008</v>
      </c>
      <c r="H850">
        <v>0</v>
      </c>
    </row>
    <row r="851" spans="1:8" x14ac:dyDescent="0.15">
      <c r="A851">
        <v>850</v>
      </c>
      <c r="B851" t="s">
        <v>339</v>
      </c>
      <c r="C851" t="s">
        <v>353</v>
      </c>
      <c r="D851" t="s">
        <v>3414</v>
      </c>
      <c r="E851" t="s">
        <v>3415</v>
      </c>
      <c r="F851" s="46">
        <v>46097.325860081008</v>
      </c>
      <c r="G851" s="46">
        <v>46097.325860081008</v>
      </c>
      <c r="H851">
        <v>0</v>
      </c>
    </row>
    <row r="852" spans="1:8" x14ac:dyDescent="0.15">
      <c r="A852">
        <v>851</v>
      </c>
      <c r="B852" t="s">
        <v>339</v>
      </c>
      <c r="C852" t="s">
        <v>353</v>
      </c>
      <c r="D852" t="s">
        <v>3416</v>
      </c>
      <c r="E852" t="s">
        <v>3417</v>
      </c>
      <c r="F852" s="46">
        <v>46097.325860081008</v>
      </c>
      <c r="G852" s="46">
        <v>46097.325860081008</v>
      </c>
      <c r="H852">
        <v>0</v>
      </c>
    </row>
    <row r="853" spans="1:8" x14ac:dyDescent="0.15">
      <c r="A853">
        <v>852</v>
      </c>
      <c r="B853" t="s">
        <v>339</v>
      </c>
      <c r="C853" t="s">
        <v>353</v>
      </c>
      <c r="D853" t="s">
        <v>3418</v>
      </c>
      <c r="E853" t="s">
        <v>3419</v>
      </c>
      <c r="F853" s="46">
        <v>46097.325860081008</v>
      </c>
      <c r="G853" s="46">
        <v>46097.325860081008</v>
      </c>
      <c r="H853">
        <v>0</v>
      </c>
    </row>
    <row r="854" spans="1:8" x14ac:dyDescent="0.15">
      <c r="A854">
        <v>853</v>
      </c>
      <c r="B854" t="s">
        <v>339</v>
      </c>
      <c r="C854" t="s">
        <v>353</v>
      </c>
      <c r="D854" t="s">
        <v>3420</v>
      </c>
      <c r="E854" t="s">
        <v>3421</v>
      </c>
      <c r="F854" s="46">
        <v>46097.325860081008</v>
      </c>
      <c r="G854" s="46">
        <v>46097.325860081008</v>
      </c>
      <c r="H854">
        <v>0</v>
      </c>
    </row>
    <row r="855" spans="1:8" x14ac:dyDescent="0.15">
      <c r="A855">
        <v>854</v>
      </c>
      <c r="B855" t="s">
        <v>339</v>
      </c>
      <c r="C855" t="s">
        <v>353</v>
      </c>
      <c r="D855" t="s">
        <v>3422</v>
      </c>
      <c r="E855" t="s">
        <v>3421</v>
      </c>
      <c r="F855" s="46">
        <v>46097.325860081008</v>
      </c>
      <c r="G855" s="46">
        <v>46097.325860081008</v>
      </c>
      <c r="H855">
        <v>0</v>
      </c>
    </row>
    <row r="856" spans="1:8" x14ac:dyDescent="0.15">
      <c r="A856">
        <v>855</v>
      </c>
      <c r="B856" t="s">
        <v>339</v>
      </c>
      <c r="C856" t="s">
        <v>353</v>
      </c>
      <c r="D856" t="s">
        <v>3423</v>
      </c>
      <c r="E856" t="s">
        <v>3421</v>
      </c>
      <c r="F856" s="46">
        <v>46097.325860081008</v>
      </c>
      <c r="G856" s="46">
        <v>46097.325860254627</v>
      </c>
      <c r="H856">
        <v>16</v>
      </c>
    </row>
    <row r="857" spans="1:8" x14ac:dyDescent="0.15">
      <c r="A857">
        <v>856</v>
      </c>
      <c r="B857" t="s">
        <v>339</v>
      </c>
      <c r="C857" t="s">
        <v>353</v>
      </c>
      <c r="D857" t="s">
        <v>3424</v>
      </c>
      <c r="E857" t="s">
        <v>3425</v>
      </c>
      <c r="F857" s="46">
        <v>46097.325860254627</v>
      </c>
      <c r="G857" s="46">
        <v>46097.325860254627</v>
      </c>
      <c r="H857">
        <v>0</v>
      </c>
    </row>
    <row r="858" spans="1:8" x14ac:dyDescent="0.15">
      <c r="A858">
        <v>857</v>
      </c>
      <c r="B858" t="s">
        <v>339</v>
      </c>
      <c r="C858" t="s">
        <v>353</v>
      </c>
      <c r="D858" t="s">
        <v>3426</v>
      </c>
      <c r="E858" t="s">
        <v>3425</v>
      </c>
      <c r="F858" s="46">
        <v>46097.325860254627</v>
      </c>
      <c r="G858" s="46">
        <v>46097.325860254627</v>
      </c>
      <c r="H858">
        <v>0</v>
      </c>
    </row>
    <row r="859" spans="1:8" x14ac:dyDescent="0.15">
      <c r="A859">
        <v>858</v>
      </c>
      <c r="B859" t="s">
        <v>339</v>
      </c>
      <c r="C859" t="s">
        <v>353</v>
      </c>
      <c r="D859" t="s">
        <v>3427</v>
      </c>
      <c r="E859" t="s">
        <v>3425</v>
      </c>
      <c r="F859" s="46">
        <v>46097.325860254627</v>
      </c>
      <c r="G859" s="46">
        <v>46097.325860254627</v>
      </c>
      <c r="H859">
        <v>0</v>
      </c>
    </row>
    <row r="860" spans="1:8" x14ac:dyDescent="0.15">
      <c r="A860">
        <v>859</v>
      </c>
      <c r="B860" t="s">
        <v>339</v>
      </c>
      <c r="C860" t="s">
        <v>353</v>
      </c>
      <c r="D860" t="s">
        <v>3428</v>
      </c>
      <c r="E860" t="s">
        <v>3429</v>
      </c>
      <c r="F860" s="46">
        <v>46097.325860254627</v>
      </c>
      <c r="G860" s="46">
        <v>46097.325860254627</v>
      </c>
      <c r="H860">
        <v>0</v>
      </c>
    </row>
    <row r="861" spans="1:8" x14ac:dyDescent="0.15">
      <c r="A861">
        <v>860</v>
      </c>
      <c r="B861" t="s">
        <v>339</v>
      </c>
      <c r="C861" t="s">
        <v>353</v>
      </c>
      <c r="D861" t="s">
        <v>3430</v>
      </c>
      <c r="E861" t="s">
        <v>3431</v>
      </c>
      <c r="F861" s="46">
        <v>46097.325860254627</v>
      </c>
      <c r="G861" s="46">
        <v>46097.325860254627</v>
      </c>
      <c r="H861">
        <v>0</v>
      </c>
    </row>
    <row r="862" spans="1:8" x14ac:dyDescent="0.15">
      <c r="A862">
        <v>861</v>
      </c>
      <c r="B862" t="s">
        <v>339</v>
      </c>
      <c r="C862" t="s">
        <v>353</v>
      </c>
      <c r="D862" t="s">
        <v>3432</v>
      </c>
      <c r="E862" t="s">
        <v>3433</v>
      </c>
      <c r="F862" s="46">
        <v>46097.325860254627</v>
      </c>
      <c r="G862" s="46">
        <v>46097.325860254627</v>
      </c>
      <c r="H862">
        <v>0</v>
      </c>
    </row>
    <row r="863" spans="1:8" x14ac:dyDescent="0.15">
      <c r="A863">
        <v>862</v>
      </c>
      <c r="B863" t="s">
        <v>339</v>
      </c>
      <c r="C863" t="s">
        <v>353</v>
      </c>
      <c r="D863" t="s">
        <v>3434</v>
      </c>
      <c r="E863" t="s">
        <v>3433</v>
      </c>
      <c r="F863" s="46">
        <v>46097.325860254627</v>
      </c>
      <c r="G863" s="46">
        <v>46097.325860439807</v>
      </c>
      <c r="H863">
        <v>15</v>
      </c>
    </row>
    <row r="864" spans="1:8" x14ac:dyDescent="0.15">
      <c r="A864">
        <v>863</v>
      </c>
      <c r="B864" t="s">
        <v>339</v>
      </c>
      <c r="C864" t="s">
        <v>353</v>
      </c>
      <c r="D864" t="s">
        <v>3435</v>
      </c>
      <c r="E864" t="s">
        <v>374</v>
      </c>
      <c r="F864" s="46">
        <v>46097.325860439807</v>
      </c>
      <c r="G864" s="46">
        <v>46097.325860439807</v>
      </c>
      <c r="H864">
        <v>0</v>
      </c>
    </row>
    <row r="865" spans="1:8" x14ac:dyDescent="0.15">
      <c r="A865">
        <v>864</v>
      </c>
      <c r="B865" t="s">
        <v>339</v>
      </c>
      <c r="C865" t="s">
        <v>353</v>
      </c>
      <c r="D865" t="s">
        <v>3436</v>
      </c>
      <c r="E865" t="s">
        <v>374</v>
      </c>
      <c r="F865" s="46">
        <v>46097.325860439807</v>
      </c>
      <c r="G865" s="46">
        <v>46097.325860439807</v>
      </c>
      <c r="H865">
        <v>0</v>
      </c>
    </row>
    <row r="866" spans="1:8" x14ac:dyDescent="0.15">
      <c r="A866">
        <v>865</v>
      </c>
      <c r="B866" t="s">
        <v>339</v>
      </c>
      <c r="C866" t="s">
        <v>353</v>
      </c>
      <c r="D866" t="s">
        <v>3437</v>
      </c>
      <c r="E866" t="s">
        <v>374</v>
      </c>
      <c r="F866" s="46">
        <v>46097.325860439807</v>
      </c>
      <c r="G866" s="46">
        <v>46097.325860439807</v>
      </c>
      <c r="H866">
        <v>0</v>
      </c>
    </row>
    <row r="867" spans="1:8" x14ac:dyDescent="0.15">
      <c r="A867">
        <v>866</v>
      </c>
      <c r="B867" t="s">
        <v>339</v>
      </c>
      <c r="C867" t="s">
        <v>353</v>
      </c>
      <c r="D867" t="s">
        <v>3438</v>
      </c>
      <c r="E867" t="s">
        <v>375</v>
      </c>
      <c r="F867" s="46">
        <v>46097.325860439807</v>
      </c>
      <c r="G867" s="46">
        <v>46097.325860439807</v>
      </c>
      <c r="H867">
        <v>0</v>
      </c>
    </row>
    <row r="868" spans="1:8" x14ac:dyDescent="0.15">
      <c r="A868">
        <v>867</v>
      </c>
      <c r="B868" t="s">
        <v>339</v>
      </c>
      <c r="C868" t="s">
        <v>353</v>
      </c>
      <c r="D868" t="s">
        <v>3439</v>
      </c>
      <c r="E868" t="s">
        <v>376</v>
      </c>
      <c r="F868" s="46">
        <v>46097.325860439807</v>
      </c>
      <c r="G868" s="46">
        <v>46097.325860439807</v>
      </c>
      <c r="H868">
        <v>0</v>
      </c>
    </row>
    <row r="869" spans="1:8" x14ac:dyDescent="0.15">
      <c r="A869">
        <v>868</v>
      </c>
      <c r="B869" t="s">
        <v>339</v>
      </c>
      <c r="C869" t="s">
        <v>353</v>
      </c>
      <c r="D869" t="s">
        <v>3440</v>
      </c>
      <c r="E869" t="s">
        <v>376</v>
      </c>
      <c r="F869" s="46">
        <v>46097.325860439807</v>
      </c>
      <c r="G869" s="46">
        <v>46097.325860439807</v>
      </c>
      <c r="H869">
        <v>0</v>
      </c>
    </row>
    <row r="870" spans="1:8" x14ac:dyDescent="0.15">
      <c r="A870">
        <v>869</v>
      </c>
      <c r="B870" t="s">
        <v>339</v>
      </c>
      <c r="C870" t="s">
        <v>353</v>
      </c>
      <c r="D870" t="s">
        <v>3441</v>
      </c>
      <c r="E870" t="s">
        <v>376</v>
      </c>
      <c r="F870" s="46">
        <v>46097.325860439807</v>
      </c>
      <c r="G870" s="46">
        <v>46097.325860439807</v>
      </c>
      <c r="H870">
        <v>0</v>
      </c>
    </row>
    <row r="871" spans="1:8" x14ac:dyDescent="0.15">
      <c r="A871">
        <v>870</v>
      </c>
      <c r="B871" t="s">
        <v>339</v>
      </c>
      <c r="C871" t="s">
        <v>353</v>
      </c>
      <c r="D871" t="s">
        <v>3442</v>
      </c>
      <c r="E871" t="s">
        <v>376</v>
      </c>
      <c r="F871" s="46">
        <v>46097.325860439807</v>
      </c>
      <c r="G871" s="46">
        <v>46097.325860439807</v>
      </c>
      <c r="H871">
        <v>0</v>
      </c>
    </row>
    <row r="872" spans="1:8" x14ac:dyDescent="0.15">
      <c r="A872">
        <v>871</v>
      </c>
      <c r="B872" t="s">
        <v>339</v>
      </c>
      <c r="C872" t="s">
        <v>353</v>
      </c>
      <c r="D872" t="s">
        <v>3443</v>
      </c>
      <c r="E872" t="s">
        <v>376</v>
      </c>
      <c r="F872" s="46">
        <v>46097.325860439807</v>
      </c>
      <c r="G872" s="46">
        <v>46097.325860439807</v>
      </c>
      <c r="H872">
        <v>0</v>
      </c>
    </row>
    <row r="873" spans="1:8" x14ac:dyDescent="0.15">
      <c r="A873">
        <v>872</v>
      </c>
      <c r="B873" t="s">
        <v>339</v>
      </c>
      <c r="C873" t="s">
        <v>353</v>
      </c>
      <c r="D873" t="s">
        <v>3444</v>
      </c>
      <c r="E873" t="s">
        <v>376</v>
      </c>
      <c r="F873" s="46">
        <v>46097.325860439807</v>
      </c>
      <c r="G873" s="46">
        <v>46097.325860439807</v>
      </c>
      <c r="H873">
        <v>0</v>
      </c>
    </row>
    <row r="874" spans="1:8" x14ac:dyDescent="0.15">
      <c r="A874">
        <v>873</v>
      </c>
      <c r="B874" t="s">
        <v>339</v>
      </c>
      <c r="C874" t="s">
        <v>353</v>
      </c>
      <c r="D874" t="s">
        <v>3445</v>
      </c>
      <c r="E874" t="s">
        <v>376</v>
      </c>
      <c r="F874" s="46">
        <v>46097.325860439807</v>
      </c>
      <c r="G874" s="46">
        <v>46097.325860625002</v>
      </c>
      <c r="H874">
        <v>16</v>
      </c>
    </row>
    <row r="875" spans="1:8" x14ac:dyDescent="0.15">
      <c r="A875">
        <v>874</v>
      </c>
      <c r="B875" t="s">
        <v>339</v>
      </c>
      <c r="C875" t="s">
        <v>353</v>
      </c>
      <c r="D875" t="s">
        <v>3446</v>
      </c>
      <c r="E875" t="s">
        <v>3447</v>
      </c>
      <c r="F875" s="46">
        <v>46097.325860625002</v>
      </c>
      <c r="G875" s="46">
        <v>46097.325860625002</v>
      </c>
      <c r="H875">
        <v>0</v>
      </c>
    </row>
    <row r="876" spans="1:8" x14ac:dyDescent="0.15">
      <c r="A876">
        <v>875</v>
      </c>
      <c r="B876" t="s">
        <v>339</v>
      </c>
      <c r="C876" t="s">
        <v>353</v>
      </c>
      <c r="D876" t="s">
        <v>3448</v>
      </c>
      <c r="E876" t="s">
        <v>3447</v>
      </c>
      <c r="F876" s="46">
        <v>46097.325860625002</v>
      </c>
      <c r="G876" s="46">
        <v>46097.325860625002</v>
      </c>
      <c r="H876">
        <v>0</v>
      </c>
    </row>
    <row r="877" spans="1:8" x14ac:dyDescent="0.15">
      <c r="A877">
        <v>876</v>
      </c>
      <c r="B877" t="s">
        <v>339</v>
      </c>
      <c r="C877" t="s">
        <v>353</v>
      </c>
      <c r="D877" t="s">
        <v>3449</v>
      </c>
      <c r="E877" t="s">
        <v>3447</v>
      </c>
      <c r="F877" s="46">
        <v>46097.325860625002</v>
      </c>
      <c r="G877" s="46">
        <v>46097.325860625002</v>
      </c>
      <c r="H877">
        <v>0</v>
      </c>
    </row>
    <row r="878" spans="1:8" x14ac:dyDescent="0.15">
      <c r="A878">
        <v>877</v>
      </c>
      <c r="B878" t="s">
        <v>339</v>
      </c>
      <c r="C878" t="s">
        <v>353</v>
      </c>
      <c r="D878" t="s">
        <v>3450</v>
      </c>
      <c r="E878" t="s">
        <v>377</v>
      </c>
      <c r="F878" s="46">
        <v>46097.325860625002</v>
      </c>
      <c r="G878" s="46">
        <v>46097.325860625002</v>
      </c>
      <c r="H878">
        <v>0</v>
      </c>
    </row>
    <row r="879" spans="1:8" x14ac:dyDescent="0.15">
      <c r="A879">
        <v>878</v>
      </c>
      <c r="B879" t="s">
        <v>339</v>
      </c>
      <c r="C879" t="s">
        <v>353</v>
      </c>
      <c r="D879" t="s">
        <v>3451</v>
      </c>
      <c r="E879" t="s">
        <v>377</v>
      </c>
      <c r="F879" s="46">
        <v>46097.325860625002</v>
      </c>
      <c r="G879" s="46">
        <v>46097.325860625002</v>
      </c>
      <c r="H879">
        <v>0</v>
      </c>
    </row>
    <row r="880" spans="1:8" x14ac:dyDescent="0.15">
      <c r="A880">
        <v>879</v>
      </c>
      <c r="B880" t="s">
        <v>339</v>
      </c>
      <c r="C880" t="s">
        <v>353</v>
      </c>
      <c r="D880" t="s">
        <v>3452</v>
      </c>
      <c r="E880" t="s">
        <v>377</v>
      </c>
      <c r="F880" s="46">
        <v>46097.325860625002</v>
      </c>
      <c r="G880" s="46">
        <v>46097.325860625002</v>
      </c>
      <c r="H880">
        <v>0</v>
      </c>
    </row>
    <row r="881" spans="1:8" x14ac:dyDescent="0.15">
      <c r="A881">
        <v>880</v>
      </c>
      <c r="B881" t="s">
        <v>339</v>
      </c>
      <c r="C881" t="s">
        <v>353</v>
      </c>
      <c r="D881" t="s">
        <v>3453</v>
      </c>
      <c r="E881" t="s">
        <v>377</v>
      </c>
      <c r="F881" s="46">
        <v>46097.325860625002</v>
      </c>
      <c r="G881" s="46">
        <v>46097.325860625002</v>
      </c>
      <c r="H881">
        <v>0</v>
      </c>
    </row>
    <row r="882" spans="1:8" x14ac:dyDescent="0.15">
      <c r="A882">
        <v>881</v>
      </c>
      <c r="B882" t="s">
        <v>339</v>
      </c>
      <c r="C882" t="s">
        <v>353</v>
      </c>
      <c r="D882" t="s">
        <v>3454</v>
      </c>
      <c r="E882" t="s">
        <v>3455</v>
      </c>
      <c r="F882" s="46">
        <v>46097.325860625002</v>
      </c>
      <c r="G882" s="46">
        <v>46097.325860625002</v>
      </c>
      <c r="H882">
        <v>0</v>
      </c>
    </row>
    <row r="883" spans="1:8" x14ac:dyDescent="0.15">
      <c r="A883">
        <v>882</v>
      </c>
      <c r="B883" t="s">
        <v>339</v>
      </c>
      <c r="C883" t="s">
        <v>353</v>
      </c>
      <c r="D883" t="s">
        <v>3456</v>
      </c>
      <c r="E883" t="s">
        <v>3457</v>
      </c>
      <c r="F883" s="46">
        <v>46097.325860625002</v>
      </c>
      <c r="G883" s="46">
        <v>46097.325860625002</v>
      </c>
      <c r="H883">
        <v>0</v>
      </c>
    </row>
    <row r="884" spans="1:8" x14ac:dyDescent="0.15">
      <c r="A884">
        <v>883</v>
      </c>
      <c r="B884" t="s">
        <v>339</v>
      </c>
      <c r="C884" t="s">
        <v>353</v>
      </c>
      <c r="D884" t="s">
        <v>3458</v>
      </c>
      <c r="E884" t="s">
        <v>379</v>
      </c>
      <c r="F884" s="46">
        <v>46097.325860625002</v>
      </c>
      <c r="G884" s="46">
        <v>46097.325860798614</v>
      </c>
      <c r="H884">
        <v>16</v>
      </c>
    </row>
    <row r="885" spans="1:8" x14ac:dyDescent="0.15">
      <c r="A885">
        <v>884</v>
      </c>
      <c r="B885" t="s">
        <v>339</v>
      </c>
      <c r="C885" t="s">
        <v>353</v>
      </c>
      <c r="D885" t="s">
        <v>3459</v>
      </c>
      <c r="E885" t="s">
        <v>379</v>
      </c>
      <c r="F885" s="46">
        <v>46097.325860798614</v>
      </c>
      <c r="G885" s="46">
        <v>46097.325860798614</v>
      </c>
      <c r="H885">
        <v>0</v>
      </c>
    </row>
    <row r="886" spans="1:8" x14ac:dyDescent="0.15">
      <c r="A886">
        <v>885</v>
      </c>
      <c r="B886" t="s">
        <v>339</v>
      </c>
      <c r="C886" t="s">
        <v>353</v>
      </c>
      <c r="D886" t="s">
        <v>3460</v>
      </c>
      <c r="E886" t="s">
        <v>381</v>
      </c>
      <c r="F886" s="46">
        <v>46097.325860798614</v>
      </c>
      <c r="G886" s="46">
        <v>46097.325860798614</v>
      </c>
      <c r="H886">
        <v>0</v>
      </c>
    </row>
    <row r="887" spans="1:8" x14ac:dyDescent="0.15">
      <c r="A887">
        <v>886</v>
      </c>
      <c r="B887" t="s">
        <v>339</v>
      </c>
      <c r="C887" t="s">
        <v>353</v>
      </c>
      <c r="D887" t="s">
        <v>3461</v>
      </c>
      <c r="E887" t="s">
        <v>381</v>
      </c>
      <c r="F887" s="46">
        <v>46097.325860798614</v>
      </c>
      <c r="G887" s="46">
        <v>46097.325860798614</v>
      </c>
      <c r="H887">
        <v>0</v>
      </c>
    </row>
    <row r="888" spans="1:8" x14ac:dyDescent="0.15">
      <c r="A888">
        <v>887</v>
      </c>
      <c r="B888" t="s">
        <v>339</v>
      </c>
      <c r="C888" t="s">
        <v>353</v>
      </c>
      <c r="D888" t="s">
        <v>3462</v>
      </c>
      <c r="E888" t="s">
        <v>3463</v>
      </c>
      <c r="F888" s="46">
        <v>46097.325860798614</v>
      </c>
      <c r="G888" s="46">
        <v>46097.325860798614</v>
      </c>
      <c r="H888">
        <v>0</v>
      </c>
    </row>
    <row r="889" spans="1:8" x14ac:dyDescent="0.15">
      <c r="A889">
        <v>888</v>
      </c>
      <c r="B889" t="s">
        <v>339</v>
      </c>
      <c r="C889" t="s">
        <v>353</v>
      </c>
      <c r="D889" t="s">
        <v>3464</v>
      </c>
      <c r="E889" t="s">
        <v>3463</v>
      </c>
      <c r="F889" s="46">
        <v>46097.325860798614</v>
      </c>
      <c r="G889" s="46">
        <v>46097.325860798614</v>
      </c>
      <c r="H889">
        <v>0</v>
      </c>
    </row>
    <row r="890" spans="1:8" x14ac:dyDescent="0.15">
      <c r="A890">
        <v>889</v>
      </c>
      <c r="B890" t="s">
        <v>339</v>
      </c>
      <c r="C890" t="s">
        <v>353</v>
      </c>
      <c r="D890" t="s">
        <v>3465</v>
      </c>
      <c r="E890" t="s">
        <v>3466</v>
      </c>
      <c r="F890" s="46">
        <v>46097.325860798614</v>
      </c>
      <c r="G890" s="46">
        <v>46097.325860798614</v>
      </c>
      <c r="H890">
        <v>0</v>
      </c>
    </row>
    <row r="891" spans="1:8" x14ac:dyDescent="0.15">
      <c r="A891">
        <v>890</v>
      </c>
      <c r="B891" t="s">
        <v>339</v>
      </c>
      <c r="C891" t="s">
        <v>353</v>
      </c>
      <c r="D891" t="s">
        <v>3467</v>
      </c>
      <c r="E891" t="s">
        <v>3466</v>
      </c>
      <c r="F891" s="46">
        <v>46097.325860798614</v>
      </c>
      <c r="G891" s="46">
        <v>46097.325860798614</v>
      </c>
      <c r="H891">
        <v>0</v>
      </c>
    </row>
    <row r="892" spans="1:8" x14ac:dyDescent="0.15">
      <c r="A892">
        <v>891</v>
      </c>
      <c r="B892" t="s">
        <v>339</v>
      </c>
      <c r="C892" t="s">
        <v>353</v>
      </c>
      <c r="D892" t="s">
        <v>3468</v>
      </c>
      <c r="E892" t="s">
        <v>3469</v>
      </c>
      <c r="F892" s="46">
        <v>46097.325860798614</v>
      </c>
      <c r="G892" s="46">
        <v>46097.325860798614</v>
      </c>
      <c r="H892">
        <v>0</v>
      </c>
    </row>
    <row r="893" spans="1:8" x14ac:dyDescent="0.15">
      <c r="A893">
        <v>892</v>
      </c>
      <c r="B893" t="s">
        <v>339</v>
      </c>
      <c r="C893" t="s">
        <v>353</v>
      </c>
      <c r="D893" t="s">
        <v>3470</v>
      </c>
      <c r="E893" t="s">
        <v>3469</v>
      </c>
      <c r="F893" s="46">
        <v>46097.325860798614</v>
      </c>
      <c r="G893" s="46">
        <v>46097.325860798614</v>
      </c>
      <c r="H893">
        <v>0</v>
      </c>
    </row>
    <row r="894" spans="1:8" x14ac:dyDescent="0.15">
      <c r="A894">
        <v>893</v>
      </c>
      <c r="B894" t="s">
        <v>339</v>
      </c>
      <c r="C894" t="s">
        <v>353</v>
      </c>
      <c r="D894" t="s">
        <v>3471</v>
      </c>
      <c r="E894" t="s">
        <v>3469</v>
      </c>
      <c r="F894" s="46">
        <v>46097.325860798614</v>
      </c>
      <c r="G894" s="46">
        <v>46097.325860798614</v>
      </c>
      <c r="H894">
        <v>0</v>
      </c>
    </row>
    <row r="895" spans="1:8" x14ac:dyDescent="0.15">
      <c r="A895">
        <v>894</v>
      </c>
      <c r="B895" t="s">
        <v>339</v>
      </c>
      <c r="C895" t="s">
        <v>353</v>
      </c>
      <c r="D895" t="s">
        <v>3472</v>
      </c>
      <c r="E895" t="s">
        <v>382</v>
      </c>
      <c r="F895" s="46">
        <v>46097.325860983787</v>
      </c>
      <c r="G895" s="46">
        <v>46097.325860983787</v>
      </c>
      <c r="H895">
        <v>0</v>
      </c>
    </row>
    <row r="896" spans="1:8" x14ac:dyDescent="0.15">
      <c r="A896">
        <v>895</v>
      </c>
      <c r="B896" t="s">
        <v>339</v>
      </c>
      <c r="C896" t="s">
        <v>353</v>
      </c>
      <c r="D896" t="s">
        <v>3473</v>
      </c>
      <c r="E896" t="s">
        <v>382</v>
      </c>
      <c r="F896" s="46">
        <v>46097.325860983787</v>
      </c>
      <c r="G896" s="46">
        <v>46097.325860983787</v>
      </c>
      <c r="H896">
        <v>0</v>
      </c>
    </row>
    <row r="897" spans="1:8" x14ac:dyDescent="0.15">
      <c r="A897">
        <v>896</v>
      </c>
      <c r="B897" t="s">
        <v>339</v>
      </c>
      <c r="C897" t="s">
        <v>353</v>
      </c>
      <c r="D897" t="s">
        <v>3474</v>
      </c>
      <c r="E897" t="s">
        <v>382</v>
      </c>
      <c r="F897" s="46">
        <v>46097.325860983787</v>
      </c>
      <c r="G897" s="46">
        <v>46097.325860983787</v>
      </c>
      <c r="H897">
        <v>0</v>
      </c>
    </row>
    <row r="898" spans="1:8" x14ac:dyDescent="0.15">
      <c r="A898">
        <v>897</v>
      </c>
      <c r="B898" t="s">
        <v>339</v>
      </c>
      <c r="C898" t="s">
        <v>353</v>
      </c>
      <c r="D898" t="s">
        <v>3475</v>
      </c>
      <c r="E898" t="s">
        <v>383</v>
      </c>
      <c r="F898" s="46">
        <v>46097.325860983787</v>
      </c>
      <c r="G898" s="46">
        <v>46097.325860983787</v>
      </c>
      <c r="H898">
        <v>0</v>
      </c>
    </row>
    <row r="899" spans="1:8" x14ac:dyDescent="0.15">
      <c r="A899">
        <v>898</v>
      </c>
      <c r="B899" t="s">
        <v>339</v>
      </c>
      <c r="C899" t="s">
        <v>353</v>
      </c>
      <c r="D899" t="s">
        <v>3476</v>
      </c>
      <c r="E899" t="s">
        <v>383</v>
      </c>
      <c r="F899" s="46">
        <v>46097.325860983787</v>
      </c>
      <c r="G899" s="46">
        <v>46097.325860983787</v>
      </c>
      <c r="H899">
        <v>0</v>
      </c>
    </row>
    <row r="900" spans="1:8" x14ac:dyDescent="0.15">
      <c r="A900">
        <v>899</v>
      </c>
      <c r="B900" t="s">
        <v>339</v>
      </c>
      <c r="C900" t="s">
        <v>353</v>
      </c>
      <c r="D900" t="s">
        <v>3477</v>
      </c>
      <c r="E900" t="s">
        <v>383</v>
      </c>
      <c r="F900" s="46">
        <v>46097.325860983787</v>
      </c>
      <c r="G900" s="46">
        <v>46097.325860983787</v>
      </c>
      <c r="H900">
        <v>0</v>
      </c>
    </row>
    <row r="901" spans="1:8" x14ac:dyDescent="0.15">
      <c r="A901">
        <v>900</v>
      </c>
      <c r="B901" t="s">
        <v>339</v>
      </c>
      <c r="C901" t="s">
        <v>353</v>
      </c>
      <c r="D901" t="s">
        <v>3478</v>
      </c>
      <c r="E901" t="s">
        <v>3479</v>
      </c>
      <c r="F901" s="46">
        <v>46097.325860983787</v>
      </c>
      <c r="G901" s="46">
        <v>46097.325860983787</v>
      </c>
      <c r="H901">
        <v>0</v>
      </c>
    </row>
    <row r="902" spans="1:8" x14ac:dyDescent="0.15">
      <c r="A902">
        <v>901</v>
      </c>
      <c r="B902" t="s">
        <v>339</v>
      </c>
      <c r="C902" t="s">
        <v>353</v>
      </c>
      <c r="D902" t="s">
        <v>3480</v>
      </c>
      <c r="E902" t="s">
        <v>3479</v>
      </c>
      <c r="F902" s="46">
        <v>46097.325860983787</v>
      </c>
      <c r="G902" s="46">
        <v>46097.325860983787</v>
      </c>
      <c r="H902">
        <v>0</v>
      </c>
    </row>
    <row r="903" spans="1:8" x14ac:dyDescent="0.15">
      <c r="A903">
        <v>902</v>
      </c>
      <c r="B903" t="s">
        <v>339</v>
      </c>
      <c r="C903" t="s">
        <v>353</v>
      </c>
      <c r="D903" t="s">
        <v>3481</v>
      </c>
      <c r="E903" t="s">
        <v>3482</v>
      </c>
      <c r="F903" s="46">
        <v>46097.325860983787</v>
      </c>
      <c r="G903" s="46">
        <v>46097.325860983787</v>
      </c>
      <c r="H903">
        <v>0</v>
      </c>
    </row>
    <row r="904" spans="1:8" x14ac:dyDescent="0.15">
      <c r="A904">
        <v>903</v>
      </c>
      <c r="B904" t="s">
        <v>339</v>
      </c>
      <c r="C904" t="s">
        <v>353</v>
      </c>
      <c r="D904" t="s">
        <v>3483</v>
      </c>
      <c r="E904" t="s">
        <v>3482</v>
      </c>
      <c r="F904" s="46">
        <v>46097.325860983787</v>
      </c>
      <c r="G904" s="46">
        <v>46097.325860983787</v>
      </c>
      <c r="H904">
        <v>0</v>
      </c>
    </row>
    <row r="905" spans="1:8" x14ac:dyDescent="0.15">
      <c r="A905">
        <v>904</v>
      </c>
      <c r="B905" t="s">
        <v>339</v>
      </c>
      <c r="C905" t="s">
        <v>353</v>
      </c>
      <c r="D905" t="s">
        <v>3484</v>
      </c>
      <c r="E905" t="s">
        <v>3482</v>
      </c>
      <c r="F905" s="46">
        <v>46097.325860983787</v>
      </c>
      <c r="G905" s="46">
        <v>46097.325861157413</v>
      </c>
      <c r="H905">
        <v>16</v>
      </c>
    </row>
    <row r="906" spans="1:8" x14ac:dyDescent="0.15">
      <c r="A906">
        <v>905</v>
      </c>
      <c r="B906" t="s">
        <v>339</v>
      </c>
      <c r="C906" t="s">
        <v>353</v>
      </c>
      <c r="D906" t="s">
        <v>3485</v>
      </c>
      <c r="E906" t="s">
        <v>3486</v>
      </c>
      <c r="F906" s="46">
        <v>46097.325861157413</v>
      </c>
      <c r="G906" s="46">
        <v>46097.325861157413</v>
      </c>
      <c r="H906">
        <v>0</v>
      </c>
    </row>
    <row r="907" spans="1:8" x14ac:dyDescent="0.15">
      <c r="A907">
        <v>906</v>
      </c>
      <c r="B907" t="s">
        <v>339</v>
      </c>
      <c r="C907" t="s">
        <v>353</v>
      </c>
      <c r="D907" t="s">
        <v>3487</v>
      </c>
      <c r="E907" t="s">
        <v>3488</v>
      </c>
      <c r="F907" s="46">
        <v>46097.325861157413</v>
      </c>
      <c r="G907" s="46">
        <v>46097.325861157413</v>
      </c>
      <c r="H907">
        <v>0</v>
      </c>
    </row>
    <row r="908" spans="1:8" x14ac:dyDescent="0.15">
      <c r="A908">
        <v>907</v>
      </c>
      <c r="B908" t="s">
        <v>339</v>
      </c>
      <c r="C908" t="s">
        <v>353</v>
      </c>
      <c r="D908" t="s">
        <v>3489</v>
      </c>
      <c r="E908" t="s">
        <v>384</v>
      </c>
      <c r="F908" s="46">
        <v>46097.325861157413</v>
      </c>
      <c r="G908" s="46">
        <v>46097.325861157413</v>
      </c>
      <c r="H908">
        <v>0</v>
      </c>
    </row>
    <row r="909" spans="1:8" x14ac:dyDescent="0.15">
      <c r="A909">
        <v>908</v>
      </c>
      <c r="B909" t="s">
        <v>339</v>
      </c>
      <c r="C909" t="s">
        <v>353</v>
      </c>
      <c r="D909" t="s">
        <v>3490</v>
      </c>
      <c r="E909" t="s">
        <v>386</v>
      </c>
      <c r="F909" s="46">
        <v>46097.325861157413</v>
      </c>
      <c r="G909" s="46">
        <v>46097.325861157413</v>
      </c>
      <c r="H909">
        <v>0</v>
      </c>
    </row>
    <row r="910" spans="1:8" x14ac:dyDescent="0.15">
      <c r="A910">
        <v>909</v>
      </c>
      <c r="B910" t="s">
        <v>339</v>
      </c>
      <c r="C910" t="s">
        <v>353</v>
      </c>
      <c r="D910" t="s">
        <v>3491</v>
      </c>
      <c r="E910" t="s">
        <v>3492</v>
      </c>
      <c r="F910" s="46">
        <v>46097.325861157413</v>
      </c>
      <c r="G910" s="46">
        <v>46097.325861157413</v>
      </c>
      <c r="H910">
        <v>0</v>
      </c>
    </row>
    <row r="911" spans="1:8" x14ac:dyDescent="0.15">
      <c r="A911">
        <v>910</v>
      </c>
      <c r="B911" t="s">
        <v>339</v>
      </c>
      <c r="C911" t="s">
        <v>353</v>
      </c>
      <c r="D911" t="s">
        <v>3493</v>
      </c>
      <c r="E911" t="s">
        <v>387</v>
      </c>
      <c r="F911" s="46">
        <v>46097.325861157413</v>
      </c>
      <c r="G911" s="46">
        <v>46097.325861157413</v>
      </c>
      <c r="H911">
        <v>0</v>
      </c>
    </row>
    <row r="912" spans="1:8" x14ac:dyDescent="0.15">
      <c r="A912">
        <v>911</v>
      </c>
      <c r="B912" t="s">
        <v>339</v>
      </c>
      <c r="C912" t="s">
        <v>353</v>
      </c>
      <c r="D912" t="s">
        <v>3494</v>
      </c>
      <c r="E912" t="s">
        <v>387</v>
      </c>
      <c r="F912" s="46">
        <v>46097.325861157413</v>
      </c>
      <c r="G912" s="46">
        <v>46097.325861157413</v>
      </c>
      <c r="H912">
        <v>0</v>
      </c>
    </row>
    <row r="913" spans="1:8" x14ac:dyDescent="0.15">
      <c r="A913">
        <v>912</v>
      </c>
      <c r="B913" t="s">
        <v>339</v>
      </c>
      <c r="C913" t="s">
        <v>353</v>
      </c>
      <c r="D913" t="s">
        <v>3495</v>
      </c>
      <c r="E913" t="s">
        <v>387</v>
      </c>
      <c r="F913" s="46">
        <v>46097.325861157413</v>
      </c>
      <c r="G913" s="46">
        <v>46097.325861157413</v>
      </c>
      <c r="H913">
        <v>0</v>
      </c>
    </row>
    <row r="914" spans="1:8" x14ac:dyDescent="0.15">
      <c r="A914">
        <v>913</v>
      </c>
      <c r="B914" t="s">
        <v>339</v>
      </c>
      <c r="C914" t="s">
        <v>353</v>
      </c>
      <c r="D914" t="s">
        <v>3496</v>
      </c>
      <c r="E914" t="s">
        <v>387</v>
      </c>
      <c r="F914" s="46">
        <v>46097.325861157413</v>
      </c>
      <c r="G914" s="46">
        <v>46097.325861157413</v>
      </c>
      <c r="H914">
        <v>0</v>
      </c>
    </row>
    <row r="915" spans="1:8" x14ac:dyDescent="0.15">
      <c r="A915">
        <v>914</v>
      </c>
      <c r="B915" t="s">
        <v>339</v>
      </c>
      <c r="C915" t="s">
        <v>353</v>
      </c>
      <c r="D915" t="s">
        <v>3497</v>
      </c>
      <c r="E915" t="s">
        <v>3498</v>
      </c>
      <c r="F915" s="46">
        <v>46097.325861157413</v>
      </c>
      <c r="G915" s="46">
        <v>46097.325861342593</v>
      </c>
      <c r="H915">
        <v>16</v>
      </c>
    </row>
    <row r="916" spans="1:8" x14ac:dyDescent="0.15">
      <c r="A916">
        <v>915</v>
      </c>
      <c r="B916" t="s">
        <v>339</v>
      </c>
      <c r="C916" t="s">
        <v>353</v>
      </c>
      <c r="D916" t="s">
        <v>3499</v>
      </c>
      <c r="E916" t="s">
        <v>3500</v>
      </c>
      <c r="F916" s="46">
        <v>46097.325861342593</v>
      </c>
      <c r="G916" s="46">
        <v>46097.325861342593</v>
      </c>
      <c r="H916">
        <v>0</v>
      </c>
    </row>
    <row r="917" spans="1:8" x14ac:dyDescent="0.15">
      <c r="A917">
        <v>916</v>
      </c>
      <c r="B917" t="s">
        <v>339</v>
      </c>
      <c r="C917" t="s">
        <v>353</v>
      </c>
      <c r="D917" t="s">
        <v>3501</v>
      </c>
      <c r="E917" t="s">
        <v>3500</v>
      </c>
      <c r="F917" s="46">
        <v>46097.325861342593</v>
      </c>
      <c r="G917" s="46">
        <v>46097.325861342593</v>
      </c>
      <c r="H917">
        <v>0</v>
      </c>
    </row>
    <row r="918" spans="1:8" x14ac:dyDescent="0.15">
      <c r="A918">
        <v>917</v>
      </c>
      <c r="B918" t="s">
        <v>339</v>
      </c>
      <c r="C918" t="s">
        <v>353</v>
      </c>
      <c r="D918" t="s">
        <v>3502</v>
      </c>
      <c r="E918" t="s">
        <v>3500</v>
      </c>
      <c r="F918" s="46">
        <v>46097.325861342593</v>
      </c>
      <c r="G918" s="46">
        <v>46097.325861342593</v>
      </c>
      <c r="H918">
        <v>0</v>
      </c>
    </row>
    <row r="919" spans="1:8" x14ac:dyDescent="0.15">
      <c r="A919">
        <v>918</v>
      </c>
      <c r="B919" t="s">
        <v>339</v>
      </c>
      <c r="C919" t="s">
        <v>353</v>
      </c>
      <c r="D919" t="s">
        <v>3503</v>
      </c>
      <c r="E919" t="s">
        <v>388</v>
      </c>
      <c r="F919" s="46">
        <v>46097.325861342593</v>
      </c>
      <c r="G919" s="46">
        <v>46097.325861342593</v>
      </c>
      <c r="H919">
        <v>0</v>
      </c>
    </row>
    <row r="920" spans="1:8" x14ac:dyDescent="0.15">
      <c r="A920">
        <v>919</v>
      </c>
      <c r="B920" t="s">
        <v>339</v>
      </c>
      <c r="C920" t="s">
        <v>353</v>
      </c>
      <c r="D920" t="s">
        <v>3504</v>
      </c>
      <c r="E920" t="s">
        <v>388</v>
      </c>
      <c r="F920" s="46">
        <v>46097.325861342593</v>
      </c>
      <c r="G920" s="46">
        <v>46097.325861342593</v>
      </c>
      <c r="H920">
        <v>0</v>
      </c>
    </row>
    <row r="921" spans="1:8" x14ac:dyDescent="0.15">
      <c r="A921">
        <v>920</v>
      </c>
      <c r="B921" t="s">
        <v>339</v>
      </c>
      <c r="C921" t="s">
        <v>353</v>
      </c>
      <c r="D921" t="s">
        <v>3505</v>
      </c>
      <c r="E921" t="s">
        <v>388</v>
      </c>
      <c r="F921" s="46">
        <v>46097.325861342593</v>
      </c>
      <c r="G921" s="46">
        <v>46097.325861446763</v>
      </c>
      <c r="H921">
        <v>9</v>
      </c>
    </row>
    <row r="922" spans="1:8" x14ac:dyDescent="0.15">
      <c r="A922">
        <v>921</v>
      </c>
      <c r="B922" t="s">
        <v>339</v>
      </c>
      <c r="C922" t="s">
        <v>353</v>
      </c>
      <c r="D922" t="s">
        <v>3506</v>
      </c>
      <c r="E922" t="s">
        <v>388</v>
      </c>
      <c r="F922" s="46">
        <v>46097.325861446763</v>
      </c>
      <c r="G922" s="46">
        <v>46097.325861446763</v>
      </c>
      <c r="H922">
        <v>0</v>
      </c>
    </row>
    <row r="923" spans="1:8" x14ac:dyDescent="0.15">
      <c r="A923">
        <v>922</v>
      </c>
      <c r="B923" t="s">
        <v>339</v>
      </c>
      <c r="C923" t="s">
        <v>353</v>
      </c>
      <c r="D923" t="s">
        <v>3507</v>
      </c>
      <c r="E923" t="s">
        <v>388</v>
      </c>
      <c r="F923" s="46">
        <v>46097.325861446763</v>
      </c>
      <c r="G923" s="46">
        <v>46097.325861446763</v>
      </c>
      <c r="H923">
        <v>0</v>
      </c>
    </row>
    <row r="924" spans="1:8" x14ac:dyDescent="0.15">
      <c r="A924">
        <v>923</v>
      </c>
      <c r="B924" t="s">
        <v>339</v>
      </c>
      <c r="C924" t="s">
        <v>353</v>
      </c>
      <c r="D924" t="s">
        <v>3508</v>
      </c>
      <c r="E924" t="s">
        <v>388</v>
      </c>
      <c r="F924" s="46">
        <v>46097.325861446763</v>
      </c>
      <c r="G924" s="46">
        <v>46097.325861446763</v>
      </c>
      <c r="H924">
        <v>0</v>
      </c>
    </row>
    <row r="925" spans="1:8" x14ac:dyDescent="0.15">
      <c r="A925">
        <v>924</v>
      </c>
      <c r="B925" t="s">
        <v>339</v>
      </c>
      <c r="C925" t="s">
        <v>353</v>
      </c>
      <c r="D925" t="s">
        <v>3509</v>
      </c>
      <c r="E925" t="s">
        <v>388</v>
      </c>
      <c r="F925" s="46">
        <v>46097.325861446763</v>
      </c>
      <c r="G925" s="46">
        <v>46097.325861446763</v>
      </c>
      <c r="H925">
        <v>0</v>
      </c>
    </row>
    <row r="926" spans="1:8" x14ac:dyDescent="0.15">
      <c r="A926">
        <v>925</v>
      </c>
      <c r="B926" t="s">
        <v>339</v>
      </c>
      <c r="C926" t="s">
        <v>353</v>
      </c>
      <c r="D926" t="s">
        <v>3510</v>
      </c>
      <c r="E926" t="s">
        <v>388</v>
      </c>
      <c r="F926" s="46">
        <v>46097.325861446763</v>
      </c>
      <c r="G926" s="46">
        <v>46097.325861446763</v>
      </c>
      <c r="H926">
        <v>0</v>
      </c>
    </row>
    <row r="927" spans="1:8" x14ac:dyDescent="0.15">
      <c r="A927">
        <v>926</v>
      </c>
      <c r="B927" t="s">
        <v>339</v>
      </c>
      <c r="C927" t="s">
        <v>353</v>
      </c>
      <c r="D927" t="s">
        <v>3511</v>
      </c>
      <c r="E927" t="s">
        <v>388</v>
      </c>
      <c r="F927" s="46">
        <v>46097.325861446763</v>
      </c>
      <c r="G927" s="46">
        <v>46097.325861446763</v>
      </c>
      <c r="H927">
        <v>0</v>
      </c>
    </row>
    <row r="928" spans="1:8" x14ac:dyDescent="0.15">
      <c r="A928">
        <v>927</v>
      </c>
      <c r="B928" t="s">
        <v>339</v>
      </c>
      <c r="C928" t="s">
        <v>353</v>
      </c>
      <c r="D928" t="s">
        <v>3512</v>
      </c>
      <c r="E928" t="s">
        <v>389</v>
      </c>
      <c r="F928" s="46">
        <v>46097.325861446763</v>
      </c>
      <c r="G928" s="46">
        <v>46097.325861446763</v>
      </c>
      <c r="H928">
        <v>0</v>
      </c>
    </row>
    <row r="929" spans="1:8" x14ac:dyDescent="0.15">
      <c r="A929">
        <v>928</v>
      </c>
      <c r="B929" t="s">
        <v>339</v>
      </c>
      <c r="C929" t="s">
        <v>353</v>
      </c>
      <c r="D929" t="s">
        <v>3513</v>
      </c>
      <c r="E929" t="s">
        <v>3514</v>
      </c>
      <c r="F929" s="46">
        <v>46097.325861446763</v>
      </c>
      <c r="G929" s="46">
        <v>46097.325861446763</v>
      </c>
      <c r="H929">
        <v>0</v>
      </c>
    </row>
    <row r="930" spans="1:8" x14ac:dyDescent="0.15">
      <c r="A930">
        <v>929</v>
      </c>
      <c r="B930" t="s">
        <v>339</v>
      </c>
      <c r="C930" t="s">
        <v>353</v>
      </c>
      <c r="D930" t="s">
        <v>3515</v>
      </c>
      <c r="E930" t="s">
        <v>3514</v>
      </c>
      <c r="F930" s="46">
        <v>46097.325861446763</v>
      </c>
      <c r="G930" s="46">
        <v>46097.325861446763</v>
      </c>
      <c r="H930">
        <v>0</v>
      </c>
    </row>
    <row r="931" spans="1:8" x14ac:dyDescent="0.15">
      <c r="A931">
        <v>930</v>
      </c>
      <c r="B931" t="s">
        <v>339</v>
      </c>
      <c r="C931" t="s">
        <v>353</v>
      </c>
      <c r="D931" t="s">
        <v>3516</v>
      </c>
      <c r="E931" t="s">
        <v>3514</v>
      </c>
      <c r="F931" s="46">
        <v>46097.325861446763</v>
      </c>
      <c r="G931" s="46">
        <v>46097.325861446763</v>
      </c>
      <c r="H931">
        <v>0</v>
      </c>
    </row>
    <row r="932" spans="1:8" x14ac:dyDescent="0.15">
      <c r="A932">
        <v>931</v>
      </c>
      <c r="B932" t="s">
        <v>339</v>
      </c>
      <c r="C932" t="s">
        <v>353</v>
      </c>
      <c r="D932" t="s">
        <v>3517</v>
      </c>
      <c r="E932" t="s">
        <v>391</v>
      </c>
      <c r="F932" s="46">
        <v>46097.325861446763</v>
      </c>
      <c r="G932" s="46">
        <v>46097.325861631944</v>
      </c>
      <c r="H932">
        <v>15</v>
      </c>
    </row>
    <row r="933" spans="1:8" x14ac:dyDescent="0.15">
      <c r="A933">
        <v>932</v>
      </c>
      <c r="B933" t="s">
        <v>339</v>
      </c>
      <c r="C933" t="s">
        <v>353</v>
      </c>
      <c r="D933" t="s">
        <v>3518</v>
      </c>
      <c r="E933" t="s">
        <v>391</v>
      </c>
      <c r="F933" s="46">
        <v>46097.325861631944</v>
      </c>
      <c r="G933" s="46">
        <v>46097.325861631944</v>
      </c>
      <c r="H933">
        <v>0</v>
      </c>
    </row>
    <row r="934" spans="1:8" x14ac:dyDescent="0.15">
      <c r="A934">
        <v>933</v>
      </c>
      <c r="B934" t="s">
        <v>339</v>
      </c>
      <c r="C934" t="s">
        <v>353</v>
      </c>
      <c r="D934" t="s">
        <v>3519</v>
      </c>
      <c r="E934" t="s">
        <v>391</v>
      </c>
      <c r="F934" s="46">
        <v>46097.325861631944</v>
      </c>
      <c r="G934" s="46">
        <v>46097.325861631944</v>
      </c>
      <c r="H934">
        <v>0</v>
      </c>
    </row>
    <row r="935" spans="1:8" x14ac:dyDescent="0.15">
      <c r="A935">
        <v>934</v>
      </c>
      <c r="B935" t="s">
        <v>339</v>
      </c>
      <c r="C935" t="s">
        <v>353</v>
      </c>
      <c r="D935" t="s">
        <v>3520</v>
      </c>
      <c r="E935" t="s">
        <v>391</v>
      </c>
      <c r="F935" s="46">
        <v>46097.325861631944</v>
      </c>
      <c r="G935" s="46">
        <v>46097.325861631944</v>
      </c>
      <c r="H935">
        <v>0</v>
      </c>
    </row>
    <row r="936" spans="1:8" x14ac:dyDescent="0.15">
      <c r="A936">
        <v>935</v>
      </c>
      <c r="B936" t="s">
        <v>339</v>
      </c>
      <c r="C936" t="s">
        <v>353</v>
      </c>
      <c r="D936" t="s">
        <v>3521</v>
      </c>
      <c r="E936" t="s">
        <v>391</v>
      </c>
      <c r="F936" s="46">
        <v>46097.325861631944</v>
      </c>
      <c r="G936" s="46">
        <v>46097.325861631944</v>
      </c>
      <c r="H936">
        <v>0</v>
      </c>
    </row>
    <row r="937" spans="1:8" x14ac:dyDescent="0.15">
      <c r="A937">
        <v>936</v>
      </c>
      <c r="B937" t="s">
        <v>339</v>
      </c>
      <c r="C937" t="s">
        <v>353</v>
      </c>
      <c r="D937" t="s">
        <v>3522</v>
      </c>
      <c r="E937" t="s">
        <v>3523</v>
      </c>
      <c r="F937" s="46">
        <v>46097.325861631944</v>
      </c>
      <c r="G937" s="46">
        <v>46097.325861631944</v>
      </c>
      <c r="H937">
        <v>0</v>
      </c>
    </row>
    <row r="938" spans="1:8" x14ac:dyDescent="0.15">
      <c r="A938">
        <v>937</v>
      </c>
      <c r="B938" t="s">
        <v>339</v>
      </c>
      <c r="C938" t="s">
        <v>353</v>
      </c>
      <c r="D938" t="s">
        <v>3524</v>
      </c>
      <c r="E938" t="s">
        <v>3523</v>
      </c>
      <c r="F938" s="46">
        <v>46097.325861631944</v>
      </c>
      <c r="G938" s="46">
        <v>46097.325861631944</v>
      </c>
      <c r="H938">
        <v>0</v>
      </c>
    </row>
    <row r="939" spans="1:8" x14ac:dyDescent="0.15">
      <c r="A939">
        <v>938</v>
      </c>
      <c r="B939" t="s">
        <v>339</v>
      </c>
      <c r="C939" t="s">
        <v>353</v>
      </c>
      <c r="D939" t="s">
        <v>3525</v>
      </c>
      <c r="E939" t="s">
        <v>3526</v>
      </c>
      <c r="F939" s="46">
        <v>46097.325861631944</v>
      </c>
      <c r="G939" s="46">
        <v>46097.325861631944</v>
      </c>
      <c r="H939">
        <v>0</v>
      </c>
    </row>
    <row r="940" spans="1:8" x14ac:dyDescent="0.15">
      <c r="A940">
        <v>939</v>
      </c>
      <c r="B940" t="s">
        <v>339</v>
      </c>
      <c r="C940" t="s">
        <v>353</v>
      </c>
      <c r="D940" t="s">
        <v>3527</v>
      </c>
      <c r="E940" t="s">
        <v>3528</v>
      </c>
      <c r="F940" s="46">
        <v>46097.325861631944</v>
      </c>
      <c r="G940" s="46">
        <v>46097.325861631944</v>
      </c>
      <c r="H940">
        <v>0</v>
      </c>
    </row>
    <row r="941" spans="1:8" x14ac:dyDescent="0.15">
      <c r="A941">
        <v>940</v>
      </c>
      <c r="B941" t="s">
        <v>339</v>
      </c>
      <c r="C941" t="s">
        <v>353</v>
      </c>
      <c r="D941" t="s">
        <v>3529</v>
      </c>
      <c r="E941" t="s">
        <v>3528</v>
      </c>
      <c r="F941" s="46">
        <v>46097.325861631944</v>
      </c>
      <c r="G941" s="46">
        <v>46097.325861631944</v>
      </c>
      <c r="H941">
        <v>0</v>
      </c>
    </row>
    <row r="942" spans="1:8" x14ac:dyDescent="0.15">
      <c r="A942">
        <v>941</v>
      </c>
      <c r="B942" t="s">
        <v>339</v>
      </c>
      <c r="C942" t="s">
        <v>353</v>
      </c>
      <c r="D942" t="s">
        <v>3530</v>
      </c>
      <c r="E942" t="s">
        <v>3528</v>
      </c>
      <c r="F942" s="46">
        <v>46097.325861631944</v>
      </c>
      <c r="G942" s="46">
        <v>46097.325861805562</v>
      </c>
      <c r="H942">
        <v>16</v>
      </c>
    </row>
    <row r="943" spans="1:8" x14ac:dyDescent="0.15">
      <c r="A943">
        <v>942</v>
      </c>
      <c r="B943" t="s">
        <v>339</v>
      </c>
      <c r="C943" t="s">
        <v>353</v>
      </c>
      <c r="D943" t="s">
        <v>3531</v>
      </c>
      <c r="E943" t="s">
        <v>3528</v>
      </c>
      <c r="F943" s="46">
        <v>46097.325861805562</v>
      </c>
      <c r="G943" s="46">
        <v>46097.325861805562</v>
      </c>
      <c r="H943">
        <v>0</v>
      </c>
    </row>
    <row r="944" spans="1:8" x14ac:dyDescent="0.15">
      <c r="A944">
        <v>943</v>
      </c>
      <c r="B944" t="s">
        <v>339</v>
      </c>
      <c r="C944" t="s">
        <v>353</v>
      </c>
      <c r="D944" t="s">
        <v>3532</v>
      </c>
      <c r="E944" t="s">
        <v>3533</v>
      </c>
      <c r="F944" s="46">
        <v>46097.325861805562</v>
      </c>
      <c r="G944" s="46">
        <v>46097.325861805562</v>
      </c>
      <c r="H944">
        <v>0</v>
      </c>
    </row>
    <row r="945" spans="1:8" x14ac:dyDescent="0.15">
      <c r="A945">
        <v>944</v>
      </c>
      <c r="B945" t="s">
        <v>339</v>
      </c>
      <c r="C945" t="s">
        <v>353</v>
      </c>
      <c r="D945" t="s">
        <v>3534</v>
      </c>
      <c r="E945" t="s">
        <v>3535</v>
      </c>
      <c r="F945" s="46">
        <v>46097.325861805562</v>
      </c>
      <c r="G945" s="46">
        <v>46097.325861805562</v>
      </c>
      <c r="H945">
        <v>0</v>
      </c>
    </row>
    <row r="946" spans="1:8" x14ac:dyDescent="0.15">
      <c r="A946">
        <v>945</v>
      </c>
      <c r="B946" t="s">
        <v>339</v>
      </c>
      <c r="C946" t="s">
        <v>353</v>
      </c>
      <c r="D946" t="s">
        <v>3536</v>
      </c>
      <c r="E946" t="s">
        <v>3535</v>
      </c>
      <c r="F946" s="46">
        <v>46097.325861805562</v>
      </c>
      <c r="G946" s="46">
        <v>46097.325861805562</v>
      </c>
      <c r="H946">
        <v>0</v>
      </c>
    </row>
    <row r="947" spans="1:8" x14ac:dyDescent="0.15">
      <c r="A947">
        <v>946</v>
      </c>
      <c r="B947" t="s">
        <v>339</v>
      </c>
      <c r="C947" t="s">
        <v>353</v>
      </c>
      <c r="D947" t="s">
        <v>3537</v>
      </c>
      <c r="E947" t="s">
        <v>3535</v>
      </c>
      <c r="F947" s="46">
        <v>46097.325861805562</v>
      </c>
      <c r="G947" s="46">
        <v>46097.325861805562</v>
      </c>
      <c r="H947">
        <v>0</v>
      </c>
    </row>
    <row r="948" spans="1:8" x14ac:dyDescent="0.15">
      <c r="A948">
        <v>947</v>
      </c>
      <c r="B948" t="s">
        <v>339</v>
      </c>
      <c r="C948" t="s">
        <v>353</v>
      </c>
      <c r="D948" t="s">
        <v>3538</v>
      </c>
      <c r="E948" t="s">
        <v>3535</v>
      </c>
      <c r="F948" s="46">
        <v>46097.325861805562</v>
      </c>
      <c r="G948" s="46">
        <v>46097.325861805562</v>
      </c>
      <c r="H948">
        <v>0</v>
      </c>
    </row>
    <row r="949" spans="1:8" x14ac:dyDescent="0.15">
      <c r="A949">
        <v>948</v>
      </c>
      <c r="B949" t="s">
        <v>339</v>
      </c>
      <c r="C949" t="s">
        <v>353</v>
      </c>
      <c r="D949" t="s">
        <v>3539</v>
      </c>
      <c r="E949" t="s">
        <v>3540</v>
      </c>
      <c r="F949" s="46">
        <v>46097.325861805562</v>
      </c>
      <c r="G949" s="46">
        <v>46097.325861805562</v>
      </c>
      <c r="H949">
        <v>0</v>
      </c>
    </row>
    <row r="950" spans="1:8" x14ac:dyDescent="0.15">
      <c r="A950">
        <v>949</v>
      </c>
      <c r="B950" t="s">
        <v>339</v>
      </c>
      <c r="C950" t="s">
        <v>353</v>
      </c>
      <c r="D950" t="s">
        <v>3541</v>
      </c>
      <c r="E950" t="s">
        <v>3540</v>
      </c>
      <c r="F950" s="46">
        <v>46097.325861805562</v>
      </c>
      <c r="G950" s="46">
        <v>46097.325861805562</v>
      </c>
      <c r="H950">
        <v>0</v>
      </c>
    </row>
    <row r="951" spans="1:8" x14ac:dyDescent="0.15">
      <c r="A951">
        <v>950</v>
      </c>
      <c r="B951" t="s">
        <v>339</v>
      </c>
      <c r="C951" t="s">
        <v>353</v>
      </c>
      <c r="D951" t="s">
        <v>3542</v>
      </c>
      <c r="E951" t="s">
        <v>3540</v>
      </c>
      <c r="F951" s="46">
        <v>46097.325861805562</v>
      </c>
      <c r="G951" s="46">
        <v>46097.325861805562</v>
      </c>
      <c r="H951">
        <v>0</v>
      </c>
    </row>
    <row r="952" spans="1:8" x14ac:dyDescent="0.15">
      <c r="A952">
        <v>951</v>
      </c>
      <c r="B952" t="s">
        <v>339</v>
      </c>
      <c r="C952" t="s">
        <v>353</v>
      </c>
      <c r="D952" t="s">
        <v>3543</v>
      </c>
      <c r="E952" t="s">
        <v>3544</v>
      </c>
      <c r="F952" s="46">
        <v>46097.325861805562</v>
      </c>
      <c r="G952" s="46">
        <v>46097.325861805562</v>
      </c>
      <c r="H952">
        <v>0</v>
      </c>
    </row>
    <row r="953" spans="1:8" x14ac:dyDescent="0.15">
      <c r="A953">
        <v>952</v>
      </c>
      <c r="B953" t="s">
        <v>339</v>
      </c>
      <c r="C953" t="s">
        <v>353</v>
      </c>
      <c r="D953" t="s">
        <v>3545</v>
      </c>
      <c r="E953" t="s">
        <v>3546</v>
      </c>
      <c r="F953" s="46">
        <v>46097.325861990743</v>
      </c>
      <c r="G953" s="46">
        <v>46097.325861990743</v>
      </c>
      <c r="H953">
        <v>0</v>
      </c>
    </row>
    <row r="954" spans="1:8" x14ac:dyDescent="0.15">
      <c r="A954">
        <v>953</v>
      </c>
      <c r="B954" t="s">
        <v>339</v>
      </c>
      <c r="C954" t="s">
        <v>353</v>
      </c>
      <c r="D954" t="s">
        <v>3547</v>
      </c>
      <c r="E954" t="s">
        <v>3548</v>
      </c>
      <c r="F954" s="46">
        <v>46097.325861990743</v>
      </c>
      <c r="G954" s="46">
        <v>46097.325861990743</v>
      </c>
      <c r="H954">
        <v>0</v>
      </c>
    </row>
    <row r="955" spans="1:8" x14ac:dyDescent="0.15">
      <c r="A955">
        <v>954</v>
      </c>
      <c r="B955" t="s">
        <v>339</v>
      </c>
      <c r="C955" t="s">
        <v>353</v>
      </c>
      <c r="D955" t="s">
        <v>3549</v>
      </c>
      <c r="E955" t="s">
        <v>3550</v>
      </c>
      <c r="F955" s="46">
        <v>46097.325861990743</v>
      </c>
      <c r="G955" s="46">
        <v>46097.325861990743</v>
      </c>
      <c r="H955">
        <v>0</v>
      </c>
    </row>
    <row r="956" spans="1:8" x14ac:dyDescent="0.15">
      <c r="A956">
        <v>955</v>
      </c>
      <c r="B956" t="s">
        <v>339</v>
      </c>
      <c r="C956" t="s">
        <v>353</v>
      </c>
      <c r="D956" t="s">
        <v>3551</v>
      </c>
      <c r="E956" t="s">
        <v>3552</v>
      </c>
      <c r="F956" s="46">
        <v>46097.325861990743</v>
      </c>
      <c r="G956" s="46">
        <v>46097.325861990743</v>
      </c>
      <c r="H956">
        <v>0</v>
      </c>
    </row>
    <row r="957" spans="1:8" x14ac:dyDescent="0.15">
      <c r="A957">
        <v>956</v>
      </c>
      <c r="B957" t="s">
        <v>339</v>
      </c>
      <c r="C957" t="s">
        <v>353</v>
      </c>
      <c r="D957" t="s">
        <v>3553</v>
      </c>
      <c r="E957" t="s">
        <v>392</v>
      </c>
      <c r="F957" s="46">
        <v>46097.325861990743</v>
      </c>
      <c r="G957" s="46">
        <v>46097.325861990743</v>
      </c>
      <c r="H957">
        <v>0</v>
      </c>
    </row>
    <row r="958" spans="1:8" x14ac:dyDescent="0.15">
      <c r="A958">
        <v>957</v>
      </c>
      <c r="B958" t="s">
        <v>339</v>
      </c>
      <c r="C958" t="s">
        <v>353</v>
      </c>
      <c r="D958" t="s">
        <v>3554</v>
      </c>
      <c r="E958" t="s">
        <v>392</v>
      </c>
      <c r="F958" s="46">
        <v>46097.325861990743</v>
      </c>
      <c r="G958" s="46">
        <v>46097.325861990743</v>
      </c>
      <c r="H958">
        <v>0</v>
      </c>
    </row>
    <row r="959" spans="1:8" x14ac:dyDescent="0.15">
      <c r="A959">
        <v>958</v>
      </c>
      <c r="B959" t="s">
        <v>339</v>
      </c>
      <c r="C959" t="s">
        <v>353</v>
      </c>
      <c r="D959" t="s">
        <v>3555</v>
      </c>
      <c r="E959" t="s">
        <v>392</v>
      </c>
      <c r="F959" s="46">
        <v>46097.325861990743</v>
      </c>
      <c r="G959" s="46">
        <v>46097.325861990743</v>
      </c>
      <c r="H959">
        <v>0</v>
      </c>
    </row>
    <row r="960" spans="1:8" x14ac:dyDescent="0.15">
      <c r="A960">
        <v>959</v>
      </c>
      <c r="B960" t="s">
        <v>339</v>
      </c>
      <c r="C960" t="s">
        <v>353</v>
      </c>
      <c r="D960" t="s">
        <v>3556</v>
      </c>
      <c r="E960" t="s">
        <v>392</v>
      </c>
      <c r="F960" s="46">
        <v>46097.325861990743</v>
      </c>
      <c r="G960" s="46">
        <v>46097.325861990743</v>
      </c>
      <c r="H960">
        <v>0</v>
      </c>
    </row>
    <row r="961" spans="1:8" x14ac:dyDescent="0.15">
      <c r="A961">
        <v>960</v>
      </c>
      <c r="B961" t="s">
        <v>339</v>
      </c>
      <c r="C961" t="s">
        <v>353</v>
      </c>
      <c r="D961" t="s">
        <v>3557</v>
      </c>
      <c r="E961" t="s">
        <v>392</v>
      </c>
      <c r="F961" s="46">
        <v>46097.325861990743</v>
      </c>
      <c r="G961" s="46">
        <v>46097.325861990743</v>
      </c>
      <c r="H961">
        <v>0</v>
      </c>
    </row>
    <row r="962" spans="1:8" x14ac:dyDescent="0.15">
      <c r="A962">
        <v>961</v>
      </c>
      <c r="B962" t="s">
        <v>339</v>
      </c>
      <c r="C962" t="s">
        <v>353</v>
      </c>
      <c r="D962" t="s">
        <v>3558</v>
      </c>
      <c r="E962" t="s">
        <v>392</v>
      </c>
      <c r="F962" s="46">
        <v>46097.325861990743</v>
      </c>
      <c r="G962" s="46">
        <v>46097.325861990743</v>
      </c>
      <c r="H962">
        <v>0</v>
      </c>
    </row>
    <row r="963" spans="1:8" x14ac:dyDescent="0.15">
      <c r="A963">
        <v>962</v>
      </c>
      <c r="B963" t="s">
        <v>339</v>
      </c>
      <c r="C963" t="s">
        <v>353</v>
      </c>
      <c r="D963" t="s">
        <v>3559</v>
      </c>
      <c r="E963" t="s">
        <v>392</v>
      </c>
      <c r="F963" s="46">
        <v>46097.325861990743</v>
      </c>
      <c r="G963" s="46">
        <v>46097.325862175923</v>
      </c>
      <c r="H963">
        <v>15</v>
      </c>
    </row>
    <row r="964" spans="1:8" x14ac:dyDescent="0.15">
      <c r="A964">
        <v>963</v>
      </c>
      <c r="B964" t="s">
        <v>339</v>
      </c>
      <c r="C964" t="s">
        <v>353</v>
      </c>
      <c r="D964" t="s">
        <v>3560</v>
      </c>
      <c r="E964" t="s">
        <v>392</v>
      </c>
      <c r="F964" s="46">
        <v>46097.325862175923</v>
      </c>
      <c r="G964" s="46">
        <v>46097.325862175923</v>
      </c>
      <c r="H964">
        <v>0</v>
      </c>
    </row>
    <row r="965" spans="1:8" x14ac:dyDescent="0.15">
      <c r="A965">
        <v>964</v>
      </c>
      <c r="B965" t="s">
        <v>339</v>
      </c>
      <c r="C965" t="s">
        <v>353</v>
      </c>
      <c r="D965" t="s">
        <v>3561</v>
      </c>
      <c r="E965" t="s">
        <v>3562</v>
      </c>
      <c r="F965" s="46">
        <v>46097.325862175923</v>
      </c>
      <c r="G965" s="46">
        <v>46097.325862175923</v>
      </c>
      <c r="H965">
        <v>0</v>
      </c>
    </row>
    <row r="966" spans="1:8" x14ac:dyDescent="0.15">
      <c r="A966">
        <v>965</v>
      </c>
      <c r="B966" t="s">
        <v>339</v>
      </c>
      <c r="C966" t="s">
        <v>353</v>
      </c>
      <c r="D966" t="s">
        <v>3563</v>
      </c>
      <c r="E966" t="s">
        <v>3564</v>
      </c>
      <c r="F966" s="46">
        <v>46097.325862175923</v>
      </c>
      <c r="G966" s="46">
        <v>46097.325862175923</v>
      </c>
      <c r="H966">
        <v>0</v>
      </c>
    </row>
    <row r="967" spans="1:8" x14ac:dyDescent="0.15">
      <c r="A967">
        <v>966</v>
      </c>
      <c r="B967" t="s">
        <v>339</v>
      </c>
      <c r="C967" t="s">
        <v>353</v>
      </c>
      <c r="D967" t="s">
        <v>3565</v>
      </c>
      <c r="E967" t="s">
        <v>3566</v>
      </c>
      <c r="F967" s="46">
        <v>46097.325862175923</v>
      </c>
      <c r="G967" s="46">
        <v>46097.325862175923</v>
      </c>
      <c r="H967">
        <v>0</v>
      </c>
    </row>
    <row r="968" spans="1:8" x14ac:dyDescent="0.15">
      <c r="A968">
        <v>967</v>
      </c>
      <c r="B968" t="s">
        <v>339</v>
      </c>
      <c r="C968" t="s">
        <v>353</v>
      </c>
      <c r="D968" t="s">
        <v>3567</v>
      </c>
      <c r="E968" t="s">
        <v>3568</v>
      </c>
      <c r="F968" s="46">
        <v>46097.325862175923</v>
      </c>
      <c r="G968" s="46">
        <v>46097.325862175923</v>
      </c>
      <c r="H968">
        <v>0</v>
      </c>
    </row>
    <row r="969" spans="1:8" x14ac:dyDescent="0.15">
      <c r="A969">
        <v>968</v>
      </c>
      <c r="B969" t="s">
        <v>339</v>
      </c>
      <c r="C969" t="s">
        <v>353</v>
      </c>
      <c r="D969" t="s">
        <v>3569</v>
      </c>
      <c r="E969" t="s">
        <v>3568</v>
      </c>
      <c r="F969" s="46">
        <v>46097.325862175923</v>
      </c>
      <c r="G969" s="46">
        <v>46097.325862175923</v>
      </c>
      <c r="H969">
        <v>0</v>
      </c>
    </row>
    <row r="970" spans="1:8" x14ac:dyDescent="0.15">
      <c r="A970">
        <v>969</v>
      </c>
      <c r="B970" t="s">
        <v>339</v>
      </c>
      <c r="C970" t="s">
        <v>353</v>
      </c>
      <c r="D970" t="s">
        <v>3570</v>
      </c>
      <c r="E970" t="s">
        <v>393</v>
      </c>
      <c r="F970" s="46">
        <v>46097.325862175923</v>
      </c>
      <c r="G970" s="46">
        <v>46097.325862175923</v>
      </c>
      <c r="H970">
        <v>0</v>
      </c>
    </row>
    <row r="971" spans="1:8" x14ac:dyDescent="0.15">
      <c r="A971">
        <v>970</v>
      </c>
      <c r="B971" t="s">
        <v>339</v>
      </c>
      <c r="C971" t="s">
        <v>353</v>
      </c>
      <c r="D971" t="s">
        <v>3571</v>
      </c>
      <c r="E971" t="s">
        <v>3572</v>
      </c>
      <c r="F971" s="46">
        <v>46097.325862175923</v>
      </c>
      <c r="G971" s="46">
        <v>46097.325862175923</v>
      </c>
      <c r="H971">
        <v>0</v>
      </c>
    </row>
    <row r="972" spans="1:8" x14ac:dyDescent="0.15">
      <c r="A972">
        <v>971</v>
      </c>
      <c r="B972" t="s">
        <v>339</v>
      </c>
      <c r="C972" t="s">
        <v>353</v>
      </c>
      <c r="D972" t="s">
        <v>3573</v>
      </c>
      <c r="E972" t="s">
        <v>394</v>
      </c>
      <c r="F972" s="46">
        <v>46097.325862175923</v>
      </c>
      <c r="G972" s="46">
        <v>46097.325862175923</v>
      </c>
      <c r="H972">
        <v>0</v>
      </c>
    </row>
    <row r="973" spans="1:8" x14ac:dyDescent="0.15">
      <c r="A973">
        <v>972</v>
      </c>
      <c r="B973" t="s">
        <v>339</v>
      </c>
      <c r="C973" t="s">
        <v>353</v>
      </c>
      <c r="D973" t="s">
        <v>3574</v>
      </c>
      <c r="E973" t="s">
        <v>396</v>
      </c>
      <c r="F973" s="46">
        <v>46097.325862175923</v>
      </c>
      <c r="G973" s="46">
        <v>46097.325862175923</v>
      </c>
      <c r="H973">
        <v>0</v>
      </c>
    </row>
    <row r="974" spans="1:8" x14ac:dyDescent="0.15">
      <c r="A974">
        <v>973</v>
      </c>
      <c r="B974" t="s">
        <v>339</v>
      </c>
      <c r="C974" t="s">
        <v>353</v>
      </c>
      <c r="D974" t="s">
        <v>3575</v>
      </c>
      <c r="E974" t="s">
        <v>396</v>
      </c>
      <c r="F974" s="46">
        <v>46097.325862175923</v>
      </c>
      <c r="G974" s="46">
        <v>46097.325862349528</v>
      </c>
      <c r="H974">
        <v>16</v>
      </c>
    </row>
    <row r="975" spans="1:8" x14ac:dyDescent="0.15">
      <c r="A975">
        <v>974</v>
      </c>
      <c r="B975" t="s">
        <v>339</v>
      </c>
      <c r="C975" t="s">
        <v>353</v>
      </c>
      <c r="D975" t="s">
        <v>3576</v>
      </c>
      <c r="E975" t="s">
        <v>396</v>
      </c>
      <c r="F975" s="46">
        <v>46097.325862349528</v>
      </c>
      <c r="G975" s="46">
        <v>46097.325862349528</v>
      </c>
      <c r="H975">
        <v>0</v>
      </c>
    </row>
    <row r="976" spans="1:8" x14ac:dyDescent="0.15">
      <c r="A976">
        <v>975</v>
      </c>
      <c r="B976" t="s">
        <v>339</v>
      </c>
      <c r="C976" t="s">
        <v>353</v>
      </c>
      <c r="D976" t="s">
        <v>3577</v>
      </c>
      <c r="E976" t="s">
        <v>396</v>
      </c>
      <c r="F976" s="46">
        <v>46097.325862349528</v>
      </c>
      <c r="G976" s="46">
        <v>46097.325862349528</v>
      </c>
      <c r="H976">
        <v>0</v>
      </c>
    </row>
    <row r="977" spans="1:8" x14ac:dyDescent="0.15">
      <c r="A977">
        <v>976</v>
      </c>
      <c r="B977" t="s">
        <v>339</v>
      </c>
      <c r="C977" t="s">
        <v>353</v>
      </c>
      <c r="D977" t="s">
        <v>3578</v>
      </c>
      <c r="E977" t="s">
        <v>396</v>
      </c>
      <c r="F977" s="46">
        <v>46097.325862349528</v>
      </c>
      <c r="G977" s="46">
        <v>46097.325862349528</v>
      </c>
      <c r="H977">
        <v>0</v>
      </c>
    </row>
    <row r="978" spans="1:8" x14ac:dyDescent="0.15">
      <c r="A978">
        <v>977</v>
      </c>
      <c r="B978" t="s">
        <v>339</v>
      </c>
      <c r="C978" t="s">
        <v>353</v>
      </c>
      <c r="D978" t="s">
        <v>3579</v>
      </c>
      <c r="E978" t="s">
        <v>396</v>
      </c>
      <c r="F978" s="46">
        <v>46097.325862349528</v>
      </c>
      <c r="G978" s="46">
        <v>46097.325862349528</v>
      </c>
      <c r="H978">
        <v>0</v>
      </c>
    </row>
    <row r="979" spans="1:8" x14ac:dyDescent="0.15">
      <c r="A979">
        <v>978</v>
      </c>
      <c r="B979" t="s">
        <v>339</v>
      </c>
      <c r="C979" t="s">
        <v>353</v>
      </c>
      <c r="D979" t="s">
        <v>3580</v>
      </c>
      <c r="E979" t="s">
        <v>397</v>
      </c>
      <c r="F979" s="46">
        <v>46097.325862349528</v>
      </c>
      <c r="G979" s="46">
        <v>46097.325862349528</v>
      </c>
      <c r="H979">
        <v>0</v>
      </c>
    </row>
    <row r="980" spans="1:8" x14ac:dyDescent="0.15">
      <c r="A980">
        <v>979</v>
      </c>
      <c r="B980" t="s">
        <v>339</v>
      </c>
      <c r="C980" t="s">
        <v>353</v>
      </c>
      <c r="D980" t="s">
        <v>3581</v>
      </c>
      <c r="E980" t="s">
        <v>397</v>
      </c>
      <c r="F980" s="46">
        <v>46097.325862349528</v>
      </c>
      <c r="G980" s="46">
        <v>46097.325862349528</v>
      </c>
      <c r="H980">
        <v>0</v>
      </c>
    </row>
    <row r="981" spans="1:8" x14ac:dyDescent="0.15">
      <c r="A981">
        <v>980</v>
      </c>
      <c r="B981" t="s">
        <v>339</v>
      </c>
      <c r="C981" t="s">
        <v>353</v>
      </c>
      <c r="D981" t="s">
        <v>3582</v>
      </c>
      <c r="E981" t="s">
        <v>397</v>
      </c>
      <c r="F981" s="46">
        <v>46097.325862349528</v>
      </c>
      <c r="G981" s="46">
        <v>46097.325862349528</v>
      </c>
      <c r="H981">
        <v>0</v>
      </c>
    </row>
    <row r="982" spans="1:8" x14ac:dyDescent="0.15">
      <c r="A982">
        <v>981</v>
      </c>
      <c r="B982" t="s">
        <v>339</v>
      </c>
      <c r="C982" t="s">
        <v>353</v>
      </c>
      <c r="D982" t="s">
        <v>3583</v>
      </c>
      <c r="E982" t="s">
        <v>397</v>
      </c>
      <c r="F982" s="46">
        <v>46097.325862349528</v>
      </c>
      <c r="G982" s="46">
        <v>46097.325862349528</v>
      </c>
      <c r="H982">
        <v>0</v>
      </c>
    </row>
    <row r="983" spans="1:8" x14ac:dyDescent="0.15">
      <c r="A983">
        <v>982</v>
      </c>
      <c r="B983" t="s">
        <v>339</v>
      </c>
      <c r="C983" t="s">
        <v>353</v>
      </c>
      <c r="D983" t="s">
        <v>3584</v>
      </c>
      <c r="E983" t="s">
        <v>397</v>
      </c>
      <c r="F983" s="46">
        <v>46097.325862349528</v>
      </c>
      <c r="G983" s="46">
        <v>46097.325862349528</v>
      </c>
      <c r="H983">
        <v>0</v>
      </c>
    </row>
    <row r="984" spans="1:8" x14ac:dyDescent="0.15">
      <c r="A984">
        <v>983</v>
      </c>
      <c r="B984" t="s">
        <v>339</v>
      </c>
      <c r="C984" t="s">
        <v>353</v>
      </c>
      <c r="D984" t="s">
        <v>3585</v>
      </c>
      <c r="E984" t="s">
        <v>397</v>
      </c>
      <c r="F984" s="46">
        <v>46097.325862349528</v>
      </c>
      <c r="G984" s="46">
        <v>46097.325862534723</v>
      </c>
      <c r="H984">
        <v>15</v>
      </c>
    </row>
    <row r="985" spans="1:8" x14ac:dyDescent="0.15">
      <c r="A985">
        <v>984</v>
      </c>
      <c r="B985" t="s">
        <v>339</v>
      </c>
      <c r="C985" t="s">
        <v>353</v>
      </c>
      <c r="D985" t="s">
        <v>3586</v>
      </c>
      <c r="E985" t="s">
        <v>397</v>
      </c>
      <c r="F985" s="46">
        <v>46097.325862534723</v>
      </c>
      <c r="G985" s="46">
        <v>46097.325862534723</v>
      </c>
      <c r="H985">
        <v>0</v>
      </c>
    </row>
    <row r="986" spans="1:8" x14ac:dyDescent="0.15">
      <c r="A986">
        <v>985</v>
      </c>
      <c r="B986" t="s">
        <v>339</v>
      </c>
      <c r="C986" t="s">
        <v>353</v>
      </c>
      <c r="D986" t="s">
        <v>3587</v>
      </c>
      <c r="E986" t="s">
        <v>397</v>
      </c>
      <c r="F986" s="46">
        <v>46097.325862534723</v>
      </c>
      <c r="G986" s="46">
        <v>46097.325862534723</v>
      </c>
      <c r="H986">
        <v>0</v>
      </c>
    </row>
    <row r="987" spans="1:8" x14ac:dyDescent="0.15">
      <c r="A987">
        <v>986</v>
      </c>
      <c r="B987" t="s">
        <v>339</v>
      </c>
      <c r="C987" t="s">
        <v>353</v>
      </c>
      <c r="D987" t="s">
        <v>3588</v>
      </c>
      <c r="E987" t="s">
        <v>397</v>
      </c>
      <c r="F987" s="46">
        <v>46097.325862534723</v>
      </c>
      <c r="G987" s="46">
        <v>46097.325862534723</v>
      </c>
      <c r="H987">
        <v>0</v>
      </c>
    </row>
    <row r="988" spans="1:8" x14ac:dyDescent="0.15">
      <c r="A988">
        <v>987</v>
      </c>
      <c r="B988" t="s">
        <v>339</v>
      </c>
      <c r="C988" t="s">
        <v>353</v>
      </c>
      <c r="D988" t="s">
        <v>3589</v>
      </c>
      <c r="E988" t="s">
        <v>397</v>
      </c>
      <c r="F988" s="46">
        <v>46097.325862534723</v>
      </c>
      <c r="G988" s="46">
        <v>46097.325862534723</v>
      </c>
      <c r="H988">
        <v>0</v>
      </c>
    </row>
    <row r="989" spans="1:8" x14ac:dyDescent="0.15">
      <c r="A989">
        <v>988</v>
      </c>
      <c r="B989" t="s">
        <v>339</v>
      </c>
      <c r="C989" t="s">
        <v>353</v>
      </c>
      <c r="D989" t="s">
        <v>3590</v>
      </c>
      <c r="E989" t="s">
        <v>3591</v>
      </c>
      <c r="F989" s="46">
        <v>46097.325862534723</v>
      </c>
      <c r="G989" s="46">
        <v>46097.325862534723</v>
      </c>
      <c r="H989">
        <v>0</v>
      </c>
    </row>
    <row r="990" spans="1:8" x14ac:dyDescent="0.15">
      <c r="A990">
        <v>989</v>
      </c>
      <c r="B990" t="s">
        <v>339</v>
      </c>
      <c r="C990" t="s">
        <v>353</v>
      </c>
      <c r="D990" t="s">
        <v>3592</v>
      </c>
      <c r="E990" t="s">
        <v>3591</v>
      </c>
      <c r="F990" s="46">
        <v>46097.325862534723</v>
      </c>
      <c r="G990" s="46">
        <v>46097.325862534723</v>
      </c>
      <c r="H990">
        <v>0</v>
      </c>
    </row>
    <row r="991" spans="1:8" x14ac:dyDescent="0.15">
      <c r="A991">
        <v>990</v>
      </c>
      <c r="B991" t="s">
        <v>339</v>
      </c>
      <c r="C991" t="s">
        <v>353</v>
      </c>
      <c r="D991" t="s">
        <v>3593</v>
      </c>
      <c r="E991" t="s">
        <v>3594</v>
      </c>
      <c r="F991" s="46">
        <v>46097.325862534723</v>
      </c>
      <c r="G991" s="46">
        <v>46097.325862534723</v>
      </c>
      <c r="H991">
        <v>0</v>
      </c>
    </row>
    <row r="992" spans="1:8" x14ac:dyDescent="0.15">
      <c r="A992">
        <v>991</v>
      </c>
      <c r="B992" t="s">
        <v>339</v>
      </c>
      <c r="C992" t="s">
        <v>353</v>
      </c>
      <c r="D992" t="s">
        <v>3595</v>
      </c>
      <c r="E992" t="s">
        <v>3594</v>
      </c>
      <c r="F992" s="46">
        <v>46097.325862534723</v>
      </c>
      <c r="G992" s="46">
        <v>46097.325862534723</v>
      </c>
      <c r="H992">
        <v>0</v>
      </c>
    </row>
    <row r="993" spans="1:8" x14ac:dyDescent="0.15">
      <c r="A993">
        <v>992</v>
      </c>
      <c r="B993" t="s">
        <v>339</v>
      </c>
      <c r="C993" t="s">
        <v>353</v>
      </c>
      <c r="D993" t="s">
        <v>3596</v>
      </c>
      <c r="E993" t="s">
        <v>3594</v>
      </c>
      <c r="F993" s="46">
        <v>46097.325862534723</v>
      </c>
      <c r="G993" s="46">
        <v>46097.325862534723</v>
      </c>
      <c r="H993">
        <v>0</v>
      </c>
    </row>
    <row r="994" spans="1:8" x14ac:dyDescent="0.15">
      <c r="A994">
        <v>993</v>
      </c>
      <c r="B994" t="s">
        <v>339</v>
      </c>
      <c r="C994" t="s">
        <v>353</v>
      </c>
      <c r="D994" t="s">
        <v>3597</v>
      </c>
      <c r="E994" t="s">
        <v>3598</v>
      </c>
      <c r="F994" s="46">
        <v>46097.325862534723</v>
      </c>
      <c r="G994" s="46">
        <v>46097.325862534723</v>
      </c>
      <c r="H994">
        <v>0</v>
      </c>
    </row>
    <row r="995" spans="1:8" x14ac:dyDescent="0.15">
      <c r="A995">
        <v>994</v>
      </c>
      <c r="B995" t="s">
        <v>339</v>
      </c>
      <c r="C995" t="s">
        <v>353</v>
      </c>
      <c r="D995" t="s">
        <v>3599</v>
      </c>
      <c r="E995" t="s">
        <v>3598</v>
      </c>
      <c r="F995" s="46">
        <v>46097.325862534723</v>
      </c>
      <c r="G995" s="46">
        <v>46097.32586271991</v>
      </c>
      <c r="H995">
        <v>16</v>
      </c>
    </row>
    <row r="996" spans="1:8" x14ac:dyDescent="0.15">
      <c r="A996">
        <v>995</v>
      </c>
      <c r="B996" t="s">
        <v>339</v>
      </c>
      <c r="C996" t="s">
        <v>353</v>
      </c>
      <c r="D996" t="s">
        <v>3600</v>
      </c>
      <c r="E996" t="s">
        <v>399</v>
      </c>
      <c r="F996" s="46">
        <v>46097.32586271991</v>
      </c>
      <c r="G996" s="46">
        <v>46097.32586271991</v>
      </c>
      <c r="H996">
        <v>0</v>
      </c>
    </row>
    <row r="997" spans="1:8" x14ac:dyDescent="0.15">
      <c r="A997">
        <v>996</v>
      </c>
      <c r="B997" t="s">
        <v>339</v>
      </c>
      <c r="C997" t="s">
        <v>353</v>
      </c>
      <c r="D997" t="s">
        <v>3601</v>
      </c>
      <c r="E997" t="s">
        <v>3602</v>
      </c>
      <c r="F997" s="46">
        <v>46097.32586271991</v>
      </c>
      <c r="G997" s="46">
        <v>46097.32586271991</v>
      </c>
      <c r="H997">
        <v>0</v>
      </c>
    </row>
    <row r="998" spans="1:8" x14ac:dyDescent="0.15">
      <c r="A998">
        <v>997</v>
      </c>
      <c r="B998" t="s">
        <v>339</v>
      </c>
      <c r="C998" t="s">
        <v>353</v>
      </c>
      <c r="D998" t="s">
        <v>3603</v>
      </c>
      <c r="E998" t="s">
        <v>3602</v>
      </c>
      <c r="F998" s="46">
        <v>46097.32586271991</v>
      </c>
      <c r="G998" s="46">
        <v>46097.32586271991</v>
      </c>
      <c r="H998">
        <v>0</v>
      </c>
    </row>
    <row r="999" spans="1:8" x14ac:dyDescent="0.15">
      <c r="A999">
        <v>998</v>
      </c>
      <c r="B999" t="s">
        <v>339</v>
      </c>
      <c r="C999" t="s">
        <v>353</v>
      </c>
      <c r="D999" t="s">
        <v>3604</v>
      </c>
      <c r="E999" t="s">
        <v>3605</v>
      </c>
      <c r="F999" s="46">
        <v>46097.32586271991</v>
      </c>
      <c r="G999" s="46">
        <v>46097.32586271991</v>
      </c>
      <c r="H999">
        <v>0</v>
      </c>
    </row>
    <row r="1000" spans="1:8" x14ac:dyDescent="0.15">
      <c r="A1000">
        <v>999</v>
      </c>
      <c r="B1000" t="s">
        <v>339</v>
      </c>
      <c r="C1000" t="s">
        <v>353</v>
      </c>
      <c r="D1000" t="s">
        <v>3606</v>
      </c>
      <c r="E1000" t="s">
        <v>3607</v>
      </c>
      <c r="F1000" s="46">
        <v>46097.32586271991</v>
      </c>
      <c r="G1000" s="46">
        <v>46097.32586271991</v>
      </c>
      <c r="H1000">
        <v>0</v>
      </c>
    </row>
    <row r="1001" spans="1:8" x14ac:dyDescent="0.15">
      <c r="A1001">
        <v>1000</v>
      </c>
      <c r="B1001" t="s">
        <v>339</v>
      </c>
      <c r="C1001" t="s">
        <v>353</v>
      </c>
      <c r="D1001" t="s">
        <v>3608</v>
      </c>
      <c r="E1001" t="s">
        <v>3609</v>
      </c>
      <c r="F1001" s="46">
        <v>46097.32586271991</v>
      </c>
      <c r="G1001" s="46">
        <v>46097.32586271991</v>
      </c>
      <c r="H1001">
        <v>0</v>
      </c>
    </row>
    <row r="1002" spans="1:8" x14ac:dyDescent="0.15">
      <c r="A1002">
        <v>1001</v>
      </c>
      <c r="B1002" t="s">
        <v>339</v>
      </c>
      <c r="C1002" t="s">
        <v>353</v>
      </c>
      <c r="D1002" t="s">
        <v>3610</v>
      </c>
      <c r="E1002" t="s">
        <v>401</v>
      </c>
      <c r="F1002" s="46">
        <v>46097.32586271991</v>
      </c>
      <c r="G1002" s="46">
        <v>46097.32586271991</v>
      </c>
      <c r="H1002">
        <v>0</v>
      </c>
    </row>
    <row r="1003" spans="1:8" x14ac:dyDescent="0.15">
      <c r="A1003">
        <v>1002</v>
      </c>
      <c r="B1003" t="s">
        <v>339</v>
      </c>
      <c r="C1003" t="s">
        <v>353</v>
      </c>
      <c r="D1003" t="s">
        <v>3611</v>
      </c>
      <c r="E1003" t="s">
        <v>401</v>
      </c>
      <c r="F1003" s="46">
        <v>46097.32586271991</v>
      </c>
      <c r="G1003" s="46">
        <v>46097.32586271991</v>
      </c>
      <c r="H1003">
        <v>0</v>
      </c>
    </row>
    <row r="1004" spans="1:8" x14ac:dyDescent="0.15">
      <c r="A1004">
        <v>1003</v>
      </c>
      <c r="B1004" t="s">
        <v>339</v>
      </c>
      <c r="C1004" t="s">
        <v>353</v>
      </c>
      <c r="D1004" t="s">
        <v>3612</v>
      </c>
      <c r="E1004" t="s">
        <v>401</v>
      </c>
      <c r="F1004" s="46">
        <v>46097.32586271991</v>
      </c>
      <c r="G1004" s="46">
        <v>46097.32586271991</v>
      </c>
      <c r="H1004">
        <v>0</v>
      </c>
    </row>
    <row r="1005" spans="1:8" x14ac:dyDescent="0.15">
      <c r="A1005">
        <v>1004</v>
      </c>
      <c r="B1005" t="s">
        <v>339</v>
      </c>
      <c r="C1005" t="s">
        <v>353</v>
      </c>
      <c r="D1005" t="s">
        <v>3613</v>
      </c>
      <c r="E1005" t="s">
        <v>403</v>
      </c>
      <c r="F1005" s="46">
        <v>46097.32586271991</v>
      </c>
      <c r="G1005" s="46">
        <v>46097.325862893522</v>
      </c>
      <c r="H1005">
        <v>16</v>
      </c>
    </row>
    <row r="1006" spans="1:8" x14ac:dyDescent="0.15">
      <c r="A1006">
        <v>1005</v>
      </c>
      <c r="B1006" t="s">
        <v>339</v>
      </c>
      <c r="C1006" t="s">
        <v>353</v>
      </c>
      <c r="D1006" t="s">
        <v>3614</v>
      </c>
      <c r="E1006" t="s">
        <v>405</v>
      </c>
      <c r="F1006" s="46">
        <v>46097.325862893522</v>
      </c>
      <c r="G1006" s="46">
        <v>46097.325862893522</v>
      </c>
      <c r="H1006">
        <v>0</v>
      </c>
    </row>
    <row r="1007" spans="1:8" x14ac:dyDescent="0.15">
      <c r="A1007">
        <v>1006</v>
      </c>
      <c r="B1007" t="s">
        <v>339</v>
      </c>
      <c r="C1007" t="s">
        <v>353</v>
      </c>
      <c r="D1007" t="s">
        <v>3615</v>
      </c>
      <c r="E1007" t="s">
        <v>3616</v>
      </c>
      <c r="F1007" s="46">
        <v>46097.325862893522</v>
      </c>
      <c r="G1007" s="46">
        <v>46097.325862893522</v>
      </c>
      <c r="H1007">
        <v>0</v>
      </c>
    </row>
    <row r="1008" spans="1:8" x14ac:dyDescent="0.15">
      <c r="A1008">
        <v>1007</v>
      </c>
      <c r="B1008" t="s">
        <v>339</v>
      </c>
      <c r="C1008" t="s">
        <v>353</v>
      </c>
      <c r="D1008" t="s">
        <v>3617</v>
      </c>
      <c r="E1008" t="s">
        <v>407</v>
      </c>
      <c r="F1008" s="46">
        <v>46097.325862893522</v>
      </c>
      <c r="G1008" s="46">
        <v>46097.325862893522</v>
      </c>
      <c r="H1008">
        <v>0</v>
      </c>
    </row>
    <row r="1009" spans="1:8" x14ac:dyDescent="0.15">
      <c r="A1009">
        <v>1008</v>
      </c>
      <c r="B1009" t="s">
        <v>339</v>
      </c>
      <c r="C1009" t="s">
        <v>353</v>
      </c>
      <c r="D1009" t="s">
        <v>3618</v>
      </c>
      <c r="E1009" t="s">
        <v>3619</v>
      </c>
      <c r="F1009" s="46">
        <v>46097.325862893522</v>
      </c>
      <c r="G1009" s="46">
        <v>46097.325862893522</v>
      </c>
      <c r="H1009">
        <v>0</v>
      </c>
    </row>
    <row r="1010" spans="1:8" x14ac:dyDescent="0.15">
      <c r="A1010">
        <v>1009</v>
      </c>
      <c r="B1010" t="s">
        <v>339</v>
      </c>
      <c r="C1010" t="s">
        <v>353</v>
      </c>
      <c r="D1010" t="s">
        <v>3620</v>
      </c>
      <c r="E1010" t="s">
        <v>3621</v>
      </c>
      <c r="F1010" s="46">
        <v>46097.325862893522</v>
      </c>
      <c r="G1010" s="46">
        <v>46097.325862893522</v>
      </c>
      <c r="H1010">
        <v>0</v>
      </c>
    </row>
    <row r="1011" spans="1:8" x14ac:dyDescent="0.15">
      <c r="A1011">
        <v>1010</v>
      </c>
      <c r="B1011" t="s">
        <v>339</v>
      </c>
      <c r="C1011" t="s">
        <v>353</v>
      </c>
      <c r="D1011" t="s">
        <v>3622</v>
      </c>
      <c r="E1011" t="s">
        <v>3621</v>
      </c>
      <c r="F1011" s="46">
        <v>46097.325862893522</v>
      </c>
      <c r="G1011" s="46">
        <v>46097.325862893522</v>
      </c>
      <c r="H1011">
        <v>0</v>
      </c>
    </row>
    <row r="1012" spans="1:8" x14ac:dyDescent="0.15">
      <c r="A1012">
        <v>1011</v>
      </c>
      <c r="B1012" t="s">
        <v>339</v>
      </c>
      <c r="C1012" t="s">
        <v>353</v>
      </c>
      <c r="D1012" t="s">
        <v>3623</v>
      </c>
      <c r="E1012" t="s">
        <v>3624</v>
      </c>
      <c r="F1012" s="46">
        <v>46097.325862893522</v>
      </c>
      <c r="G1012" s="46">
        <v>46097.325862893522</v>
      </c>
      <c r="H1012">
        <v>0</v>
      </c>
    </row>
    <row r="1013" spans="1:8" x14ac:dyDescent="0.15">
      <c r="A1013">
        <v>1012</v>
      </c>
      <c r="B1013" t="s">
        <v>339</v>
      </c>
      <c r="C1013" t="s">
        <v>353</v>
      </c>
      <c r="D1013" t="s">
        <v>3625</v>
      </c>
      <c r="E1013" t="s">
        <v>3624</v>
      </c>
      <c r="F1013" s="46">
        <v>46097.325862893522</v>
      </c>
      <c r="G1013" s="46">
        <v>46097.325862893522</v>
      </c>
      <c r="H1013">
        <v>0</v>
      </c>
    </row>
    <row r="1014" spans="1:8" x14ac:dyDescent="0.15">
      <c r="A1014">
        <v>1013</v>
      </c>
      <c r="B1014" t="s">
        <v>339</v>
      </c>
      <c r="C1014" t="s">
        <v>353</v>
      </c>
      <c r="D1014" t="s">
        <v>3626</v>
      </c>
      <c r="E1014" t="s">
        <v>3627</v>
      </c>
      <c r="F1014" s="46">
        <v>46097.325862893522</v>
      </c>
      <c r="G1014" s="46">
        <v>46097.325862893522</v>
      </c>
      <c r="H1014">
        <v>0</v>
      </c>
    </row>
    <row r="1015" spans="1:8" x14ac:dyDescent="0.15">
      <c r="A1015">
        <v>1014</v>
      </c>
      <c r="B1015" t="s">
        <v>339</v>
      </c>
      <c r="C1015" t="s">
        <v>353</v>
      </c>
      <c r="D1015" t="s">
        <v>3628</v>
      </c>
      <c r="E1015" t="s">
        <v>408</v>
      </c>
      <c r="F1015" s="46">
        <v>46097.325862893522</v>
      </c>
      <c r="G1015" s="46">
        <v>46097.325862893522</v>
      </c>
      <c r="H1015">
        <v>0</v>
      </c>
    </row>
    <row r="1016" spans="1:8" x14ac:dyDescent="0.15">
      <c r="A1016">
        <v>1015</v>
      </c>
      <c r="B1016" t="s">
        <v>339</v>
      </c>
      <c r="C1016" t="s">
        <v>353</v>
      </c>
      <c r="D1016" t="s">
        <v>3629</v>
      </c>
      <c r="E1016" t="s">
        <v>408</v>
      </c>
      <c r="F1016" s="46">
        <v>46097.325862893522</v>
      </c>
      <c r="G1016" s="46">
        <v>46097.325863078702</v>
      </c>
      <c r="H1016">
        <v>15</v>
      </c>
    </row>
    <row r="1017" spans="1:8" x14ac:dyDescent="0.15">
      <c r="A1017">
        <v>1016</v>
      </c>
      <c r="B1017" t="s">
        <v>339</v>
      </c>
      <c r="C1017" t="s">
        <v>353</v>
      </c>
      <c r="D1017" t="s">
        <v>3630</v>
      </c>
      <c r="E1017" t="s">
        <v>3631</v>
      </c>
      <c r="F1017" s="46">
        <v>46097.325863078702</v>
      </c>
      <c r="G1017" s="46">
        <v>46097.325863078702</v>
      </c>
      <c r="H1017">
        <v>0</v>
      </c>
    </row>
    <row r="1018" spans="1:8" x14ac:dyDescent="0.15">
      <c r="A1018">
        <v>1017</v>
      </c>
      <c r="B1018" t="s">
        <v>339</v>
      </c>
      <c r="C1018" t="s">
        <v>353</v>
      </c>
      <c r="D1018" t="s">
        <v>3632</v>
      </c>
      <c r="E1018" t="s">
        <v>3631</v>
      </c>
      <c r="F1018" s="46">
        <v>46097.325863078702</v>
      </c>
      <c r="G1018" s="46">
        <v>46097.325863078702</v>
      </c>
      <c r="H1018">
        <v>0</v>
      </c>
    </row>
    <row r="1019" spans="1:8" x14ac:dyDescent="0.15">
      <c r="A1019">
        <v>1018</v>
      </c>
      <c r="B1019" t="s">
        <v>339</v>
      </c>
      <c r="C1019" t="s">
        <v>353</v>
      </c>
      <c r="D1019" t="s">
        <v>3633</v>
      </c>
      <c r="E1019" t="s">
        <v>409</v>
      </c>
      <c r="F1019" s="46">
        <v>46097.325863078702</v>
      </c>
      <c r="G1019" s="46">
        <v>46097.325863078702</v>
      </c>
      <c r="H1019">
        <v>0</v>
      </c>
    </row>
    <row r="1020" spans="1:8" x14ac:dyDescent="0.15">
      <c r="A1020">
        <v>1019</v>
      </c>
      <c r="B1020" t="s">
        <v>339</v>
      </c>
      <c r="C1020" t="s">
        <v>353</v>
      </c>
      <c r="D1020" t="s">
        <v>3634</v>
      </c>
      <c r="E1020" t="s">
        <v>409</v>
      </c>
      <c r="F1020" s="46">
        <v>46097.325863078702</v>
      </c>
      <c r="G1020" s="46">
        <v>46097.325863078702</v>
      </c>
      <c r="H1020">
        <v>0</v>
      </c>
    </row>
    <row r="1021" spans="1:8" x14ac:dyDescent="0.15">
      <c r="A1021">
        <v>1020</v>
      </c>
      <c r="B1021" t="s">
        <v>339</v>
      </c>
      <c r="C1021" t="s">
        <v>353</v>
      </c>
      <c r="D1021" t="s">
        <v>3635</v>
      </c>
      <c r="E1021" t="s">
        <v>3636</v>
      </c>
      <c r="F1021" s="46">
        <v>46097.325863078702</v>
      </c>
      <c r="G1021" s="46">
        <v>46097.325863078702</v>
      </c>
      <c r="H1021">
        <v>0</v>
      </c>
    </row>
    <row r="1022" spans="1:8" x14ac:dyDescent="0.15">
      <c r="A1022">
        <v>1021</v>
      </c>
      <c r="B1022" t="s">
        <v>339</v>
      </c>
      <c r="C1022" t="s">
        <v>353</v>
      </c>
      <c r="D1022" t="s">
        <v>3637</v>
      </c>
      <c r="E1022" t="s">
        <v>3636</v>
      </c>
      <c r="F1022" s="46">
        <v>46097.325863078702</v>
      </c>
      <c r="G1022" s="46">
        <v>46097.325863078702</v>
      </c>
      <c r="H1022">
        <v>0</v>
      </c>
    </row>
    <row r="1023" spans="1:8" x14ac:dyDescent="0.15">
      <c r="A1023">
        <v>1022</v>
      </c>
      <c r="B1023" t="s">
        <v>339</v>
      </c>
      <c r="C1023" t="s">
        <v>353</v>
      </c>
      <c r="D1023" t="s">
        <v>3638</v>
      </c>
      <c r="E1023" t="s">
        <v>410</v>
      </c>
      <c r="F1023" s="46">
        <v>46097.325863078702</v>
      </c>
      <c r="G1023" s="46">
        <v>46097.325863078702</v>
      </c>
      <c r="H1023">
        <v>0</v>
      </c>
    </row>
    <row r="1024" spans="1:8" x14ac:dyDescent="0.15">
      <c r="A1024">
        <v>1023</v>
      </c>
      <c r="B1024" t="s">
        <v>339</v>
      </c>
      <c r="C1024" t="s">
        <v>353</v>
      </c>
      <c r="D1024" t="s">
        <v>3639</v>
      </c>
      <c r="E1024" t="s">
        <v>410</v>
      </c>
      <c r="F1024" s="46">
        <v>46097.325863078702</v>
      </c>
      <c r="G1024" s="46">
        <v>46097.325863078702</v>
      </c>
      <c r="H1024">
        <v>0</v>
      </c>
    </row>
    <row r="1025" spans="1:8" x14ac:dyDescent="0.15">
      <c r="A1025">
        <v>1024</v>
      </c>
      <c r="B1025" t="s">
        <v>339</v>
      </c>
      <c r="C1025" t="s">
        <v>353</v>
      </c>
      <c r="D1025" t="s">
        <v>3640</v>
      </c>
      <c r="E1025" t="s">
        <v>3641</v>
      </c>
      <c r="F1025" s="46">
        <v>46097.325863078702</v>
      </c>
      <c r="G1025" s="46">
        <v>46097.325863078702</v>
      </c>
      <c r="H1025">
        <v>0</v>
      </c>
    </row>
    <row r="1026" spans="1:8" x14ac:dyDescent="0.15">
      <c r="A1026">
        <v>1025</v>
      </c>
      <c r="B1026" t="s">
        <v>339</v>
      </c>
      <c r="C1026" t="s">
        <v>353</v>
      </c>
      <c r="D1026" t="s">
        <v>3642</v>
      </c>
      <c r="E1026" t="s">
        <v>3641</v>
      </c>
      <c r="F1026" s="46">
        <v>46097.325863078702</v>
      </c>
      <c r="G1026" s="46">
        <v>46097.325863252307</v>
      </c>
      <c r="H1026">
        <v>16</v>
      </c>
    </row>
    <row r="1027" spans="1:8" x14ac:dyDescent="0.15">
      <c r="A1027">
        <v>1026</v>
      </c>
      <c r="B1027" t="s">
        <v>339</v>
      </c>
      <c r="C1027" t="s">
        <v>353</v>
      </c>
      <c r="D1027" t="s">
        <v>3643</v>
      </c>
      <c r="E1027" t="s">
        <v>3644</v>
      </c>
      <c r="F1027" s="46">
        <v>46097.325863252307</v>
      </c>
      <c r="G1027" s="46">
        <v>46097.325863252307</v>
      </c>
      <c r="H1027">
        <v>0</v>
      </c>
    </row>
    <row r="1028" spans="1:8" x14ac:dyDescent="0.15">
      <c r="A1028">
        <v>1027</v>
      </c>
      <c r="B1028" t="s">
        <v>339</v>
      </c>
      <c r="C1028" t="s">
        <v>353</v>
      </c>
      <c r="D1028" t="s">
        <v>3645</v>
      </c>
      <c r="E1028" t="s">
        <v>413</v>
      </c>
      <c r="F1028" s="46">
        <v>46097.325863252307</v>
      </c>
      <c r="G1028" s="46">
        <v>46097.325863252307</v>
      </c>
      <c r="H1028">
        <v>0</v>
      </c>
    </row>
    <row r="1029" spans="1:8" x14ac:dyDescent="0.15">
      <c r="A1029">
        <v>1028</v>
      </c>
      <c r="B1029" t="s">
        <v>339</v>
      </c>
      <c r="C1029" t="s">
        <v>353</v>
      </c>
      <c r="D1029" t="s">
        <v>3646</v>
      </c>
      <c r="E1029" t="s">
        <v>415</v>
      </c>
      <c r="F1029" s="46">
        <v>46097.325863252307</v>
      </c>
      <c r="G1029" s="46">
        <v>46097.325863252307</v>
      </c>
      <c r="H1029">
        <v>0</v>
      </c>
    </row>
    <row r="1030" spans="1:8" x14ac:dyDescent="0.15">
      <c r="A1030">
        <v>1029</v>
      </c>
      <c r="B1030" t="s">
        <v>339</v>
      </c>
      <c r="C1030" t="s">
        <v>353</v>
      </c>
      <c r="D1030" t="s">
        <v>3647</v>
      </c>
      <c r="E1030" t="s">
        <v>3648</v>
      </c>
      <c r="F1030" s="46">
        <v>46097.325863252307</v>
      </c>
      <c r="G1030" s="46">
        <v>46097.325863252307</v>
      </c>
      <c r="H1030">
        <v>0</v>
      </c>
    </row>
    <row r="1031" spans="1:8" x14ac:dyDescent="0.15">
      <c r="A1031">
        <v>1030</v>
      </c>
      <c r="B1031" t="s">
        <v>339</v>
      </c>
      <c r="C1031" t="s">
        <v>353</v>
      </c>
      <c r="D1031" t="s">
        <v>3649</v>
      </c>
      <c r="E1031" t="s">
        <v>416</v>
      </c>
      <c r="F1031" s="46">
        <v>46097.325863252307</v>
      </c>
      <c r="G1031" s="46">
        <v>46097.325863252307</v>
      </c>
      <c r="H1031">
        <v>0</v>
      </c>
    </row>
    <row r="1032" spans="1:8" x14ac:dyDescent="0.15">
      <c r="A1032">
        <v>1031</v>
      </c>
      <c r="B1032" t="s">
        <v>339</v>
      </c>
      <c r="C1032" t="s">
        <v>353</v>
      </c>
      <c r="D1032" t="s">
        <v>3650</v>
      </c>
      <c r="E1032" t="s">
        <v>3651</v>
      </c>
      <c r="F1032" s="46">
        <v>46097.325863252307</v>
      </c>
      <c r="G1032" s="46">
        <v>46097.325863252307</v>
      </c>
      <c r="H1032">
        <v>0</v>
      </c>
    </row>
    <row r="1033" spans="1:8" x14ac:dyDescent="0.15">
      <c r="A1033">
        <v>1032</v>
      </c>
      <c r="B1033" t="s">
        <v>339</v>
      </c>
      <c r="C1033" t="s">
        <v>353</v>
      </c>
      <c r="D1033" t="s">
        <v>3652</v>
      </c>
      <c r="E1033" t="s">
        <v>3651</v>
      </c>
      <c r="F1033" s="46">
        <v>46097.325863252307</v>
      </c>
      <c r="G1033" s="46">
        <v>46097.325863252307</v>
      </c>
      <c r="H1033">
        <v>0</v>
      </c>
    </row>
    <row r="1034" spans="1:8" x14ac:dyDescent="0.15">
      <c r="A1034">
        <v>1033</v>
      </c>
      <c r="B1034" t="s">
        <v>339</v>
      </c>
      <c r="C1034" t="s">
        <v>353</v>
      </c>
      <c r="D1034" t="s">
        <v>3653</v>
      </c>
      <c r="E1034" t="s">
        <v>3654</v>
      </c>
      <c r="F1034" s="46">
        <v>46097.325863252307</v>
      </c>
      <c r="G1034" s="46">
        <v>46097.325863252307</v>
      </c>
      <c r="H1034">
        <v>0</v>
      </c>
    </row>
    <row r="1035" spans="1:8" x14ac:dyDescent="0.15">
      <c r="A1035">
        <v>1034</v>
      </c>
      <c r="B1035" t="s">
        <v>339</v>
      </c>
      <c r="C1035" t="s">
        <v>353</v>
      </c>
      <c r="D1035" t="s">
        <v>3655</v>
      </c>
      <c r="E1035" t="s">
        <v>3654</v>
      </c>
      <c r="F1035" s="46">
        <v>46097.325863252307</v>
      </c>
      <c r="G1035" s="46">
        <v>46097.325863252307</v>
      </c>
      <c r="H1035">
        <v>0</v>
      </c>
    </row>
    <row r="1036" spans="1:8" x14ac:dyDescent="0.15">
      <c r="A1036">
        <v>1035</v>
      </c>
      <c r="B1036" t="s">
        <v>339</v>
      </c>
      <c r="C1036" t="s">
        <v>353</v>
      </c>
      <c r="D1036" t="s">
        <v>3656</v>
      </c>
      <c r="E1036" t="s">
        <v>3657</v>
      </c>
      <c r="F1036" s="46">
        <v>46097.325863252307</v>
      </c>
      <c r="G1036" s="46">
        <v>46097.325863437502</v>
      </c>
      <c r="H1036">
        <v>16</v>
      </c>
    </row>
    <row r="1037" spans="1:8" x14ac:dyDescent="0.15">
      <c r="A1037">
        <v>1036</v>
      </c>
      <c r="B1037" t="s">
        <v>339</v>
      </c>
      <c r="C1037" t="s">
        <v>353</v>
      </c>
      <c r="D1037" t="s">
        <v>3658</v>
      </c>
      <c r="E1037" t="s">
        <v>3657</v>
      </c>
      <c r="F1037" s="46">
        <v>46097.325863437502</v>
      </c>
      <c r="G1037" s="46">
        <v>46097.325863437502</v>
      </c>
      <c r="H1037">
        <v>0</v>
      </c>
    </row>
    <row r="1038" spans="1:8" x14ac:dyDescent="0.15">
      <c r="A1038">
        <v>1037</v>
      </c>
      <c r="B1038" t="s">
        <v>339</v>
      </c>
      <c r="C1038" t="s">
        <v>353</v>
      </c>
      <c r="D1038" t="s">
        <v>3659</v>
      </c>
      <c r="E1038" t="s">
        <v>3660</v>
      </c>
      <c r="F1038" s="46">
        <v>46097.325863437502</v>
      </c>
      <c r="G1038" s="46">
        <v>46097.325863437502</v>
      </c>
      <c r="H1038">
        <v>0</v>
      </c>
    </row>
    <row r="1039" spans="1:8" x14ac:dyDescent="0.15">
      <c r="A1039">
        <v>1038</v>
      </c>
      <c r="B1039" t="s">
        <v>339</v>
      </c>
      <c r="C1039" t="s">
        <v>353</v>
      </c>
      <c r="D1039" t="s">
        <v>3661</v>
      </c>
      <c r="E1039" t="s">
        <v>3660</v>
      </c>
      <c r="F1039" s="46">
        <v>46097.325863437502</v>
      </c>
      <c r="G1039" s="46">
        <v>46097.325863437502</v>
      </c>
      <c r="H1039">
        <v>0</v>
      </c>
    </row>
    <row r="1040" spans="1:8" x14ac:dyDescent="0.15">
      <c r="A1040">
        <v>1039</v>
      </c>
      <c r="B1040" t="s">
        <v>339</v>
      </c>
      <c r="C1040" t="s">
        <v>353</v>
      </c>
      <c r="D1040" t="s">
        <v>3662</v>
      </c>
      <c r="E1040" t="s">
        <v>421</v>
      </c>
      <c r="F1040" s="46">
        <v>46097.325863437502</v>
      </c>
      <c r="G1040" s="46">
        <v>46097.325863437502</v>
      </c>
      <c r="H1040">
        <v>0</v>
      </c>
    </row>
    <row r="1041" spans="1:8" x14ac:dyDescent="0.15">
      <c r="A1041">
        <v>1040</v>
      </c>
      <c r="B1041" t="s">
        <v>339</v>
      </c>
      <c r="C1041" t="s">
        <v>353</v>
      </c>
      <c r="D1041" t="s">
        <v>3663</v>
      </c>
      <c r="E1041" t="s">
        <v>421</v>
      </c>
      <c r="F1041" s="46">
        <v>46097.325863437502</v>
      </c>
      <c r="G1041" s="46">
        <v>46097.325863437502</v>
      </c>
      <c r="H1041">
        <v>0</v>
      </c>
    </row>
    <row r="1042" spans="1:8" x14ac:dyDescent="0.15">
      <c r="A1042">
        <v>1041</v>
      </c>
      <c r="B1042" t="s">
        <v>339</v>
      </c>
      <c r="C1042" t="s">
        <v>353</v>
      </c>
      <c r="D1042" t="s">
        <v>3664</v>
      </c>
      <c r="E1042" t="s">
        <v>421</v>
      </c>
      <c r="F1042" s="46">
        <v>46097.325863437502</v>
      </c>
      <c r="G1042" s="46">
        <v>46097.325863437502</v>
      </c>
      <c r="H1042">
        <v>0</v>
      </c>
    </row>
    <row r="1043" spans="1:8" x14ac:dyDescent="0.15">
      <c r="A1043">
        <v>1042</v>
      </c>
      <c r="B1043" t="s">
        <v>339</v>
      </c>
      <c r="C1043" t="s">
        <v>353</v>
      </c>
      <c r="D1043" t="s">
        <v>3665</v>
      </c>
      <c r="E1043" t="s">
        <v>421</v>
      </c>
      <c r="F1043" s="46">
        <v>46097.325863437502</v>
      </c>
      <c r="G1043" s="46">
        <v>46097.325863437502</v>
      </c>
      <c r="H1043">
        <v>0</v>
      </c>
    </row>
    <row r="1044" spans="1:8" x14ac:dyDescent="0.15">
      <c r="A1044">
        <v>1043</v>
      </c>
      <c r="B1044" t="s">
        <v>339</v>
      </c>
      <c r="C1044" t="s">
        <v>353</v>
      </c>
      <c r="D1044" t="s">
        <v>3666</v>
      </c>
      <c r="E1044" t="s">
        <v>421</v>
      </c>
      <c r="F1044" s="46">
        <v>46097.325863437502</v>
      </c>
      <c r="G1044" s="46">
        <v>46097.325863437502</v>
      </c>
      <c r="H1044">
        <v>0</v>
      </c>
    </row>
    <row r="1045" spans="1:8" x14ac:dyDescent="0.15">
      <c r="A1045">
        <v>1044</v>
      </c>
      <c r="B1045" t="s">
        <v>339</v>
      </c>
      <c r="C1045" t="s">
        <v>353</v>
      </c>
      <c r="D1045" t="s">
        <v>3667</v>
      </c>
      <c r="E1045" t="s">
        <v>421</v>
      </c>
      <c r="F1045" s="46">
        <v>46097.325863437502</v>
      </c>
      <c r="G1045" s="46">
        <v>46097.325863437502</v>
      </c>
      <c r="H1045">
        <v>0</v>
      </c>
    </row>
    <row r="1046" spans="1:8" x14ac:dyDescent="0.15">
      <c r="A1046">
        <v>1045</v>
      </c>
      <c r="B1046" t="s">
        <v>339</v>
      </c>
      <c r="C1046" t="s">
        <v>353</v>
      </c>
      <c r="D1046" t="s">
        <v>3668</v>
      </c>
      <c r="E1046" t="s">
        <v>421</v>
      </c>
      <c r="F1046" s="46">
        <v>46097.325863437502</v>
      </c>
      <c r="G1046" s="46">
        <v>46097.325863437502</v>
      </c>
      <c r="H1046">
        <v>0</v>
      </c>
    </row>
    <row r="1047" spans="1:8" x14ac:dyDescent="0.15">
      <c r="A1047">
        <v>1046</v>
      </c>
      <c r="B1047" t="s">
        <v>339</v>
      </c>
      <c r="C1047" t="s">
        <v>353</v>
      </c>
      <c r="D1047" t="s">
        <v>3669</v>
      </c>
      <c r="E1047" t="s">
        <v>422</v>
      </c>
      <c r="F1047" s="46">
        <v>46097.325863437502</v>
      </c>
      <c r="G1047" s="46">
        <v>46097.325863622682</v>
      </c>
      <c r="H1047">
        <v>15</v>
      </c>
    </row>
    <row r="1048" spans="1:8" x14ac:dyDescent="0.15">
      <c r="A1048">
        <v>1047</v>
      </c>
      <c r="B1048" t="s">
        <v>339</v>
      </c>
      <c r="C1048" t="s">
        <v>353</v>
      </c>
      <c r="D1048" t="s">
        <v>3670</v>
      </c>
      <c r="E1048" t="s">
        <v>422</v>
      </c>
      <c r="F1048" s="46">
        <v>46097.325863622682</v>
      </c>
      <c r="G1048" s="46">
        <v>46097.325863622682</v>
      </c>
      <c r="H1048">
        <v>0</v>
      </c>
    </row>
    <row r="1049" spans="1:8" x14ac:dyDescent="0.15">
      <c r="A1049">
        <v>1048</v>
      </c>
      <c r="B1049" t="s">
        <v>339</v>
      </c>
      <c r="C1049" t="s">
        <v>353</v>
      </c>
      <c r="D1049" t="s">
        <v>3671</v>
      </c>
      <c r="E1049" t="s">
        <v>422</v>
      </c>
      <c r="F1049" s="46">
        <v>46097.325863622682</v>
      </c>
      <c r="G1049" s="46">
        <v>46097.325863622682</v>
      </c>
      <c r="H1049">
        <v>0</v>
      </c>
    </row>
    <row r="1050" spans="1:8" x14ac:dyDescent="0.15">
      <c r="A1050">
        <v>1049</v>
      </c>
      <c r="B1050" t="s">
        <v>339</v>
      </c>
      <c r="C1050" t="s">
        <v>353</v>
      </c>
      <c r="D1050" t="s">
        <v>3672</v>
      </c>
      <c r="E1050" t="s">
        <v>422</v>
      </c>
      <c r="F1050" s="46">
        <v>46097.325863622682</v>
      </c>
      <c r="G1050" s="46">
        <v>46097.325863622682</v>
      </c>
      <c r="H1050">
        <v>0</v>
      </c>
    </row>
    <row r="1051" spans="1:8" x14ac:dyDescent="0.15">
      <c r="A1051">
        <v>1050</v>
      </c>
      <c r="B1051" t="s">
        <v>339</v>
      </c>
      <c r="C1051" t="s">
        <v>353</v>
      </c>
      <c r="D1051" t="s">
        <v>3673</v>
      </c>
      <c r="E1051" t="s">
        <v>966</v>
      </c>
      <c r="F1051" s="46">
        <v>46097.325863622682</v>
      </c>
      <c r="G1051" s="46">
        <v>46097.325863622682</v>
      </c>
      <c r="H1051">
        <v>0</v>
      </c>
    </row>
    <row r="1052" spans="1:8" x14ac:dyDescent="0.15">
      <c r="A1052">
        <v>1051</v>
      </c>
      <c r="B1052" t="s">
        <v>339</v>
      </c>
      <c r="C1052" t="s">
        <v>353</v>
      </c>
      <c r="D1052" t="s">
        <v>3674</v>
      </c>
      <c r="E1052" t="s">
        <v>424</v>
      </c>
      <c r="F1052" s="46">
        <v>46097.325863622682</v>
      </c>
      <c r="G1052" s="46">
        <v>46097.325863622682</v>
      </c>
      <c r="H1052">
        <v>0</v>
      </c>
    </row>
    <row r="1053" spans="1:8" x14ac:dyDescent="0.15">
      <c r="A1053">
        <v>1052</v>
      </c>
      <c r="B1053" t="s">
        <v>339</v>
      </c>
      <c r="C1053" t="s">
        <v>353</v>
      </c>
      <c r="D1053" t="s">
        <v>3675</v>
      </c>
      <c r="E1053" t="s">
        <v>424</v>
      </c>
      <c r="F1053" s="46">
        <v>46097.325863622682</v>
      </c>
      <c r="G1053" s="46">
        <v>46097.325863622682</v>
      </c>
      <c r="H1053">
        <v>0</v>
      </c>
    </row>
    <row r="1054" spans="1:8" x14ac:dyDescent="0.15">
      <c r="A1054">
        <v>1053</v>
      </c>
      <c r="B1054" t="s">
        <v>339</v>
      </c>
      <c r="C1054" t="s">
        <v>353</v>
      </c>
      <c r="D1054" t="s">
        <v>3676</v>
      </c>
      <c r="E1054" t="s">
        <v>424</v>
      </c>
      <c r="F1054" s="46">
        <v>46097.325863622682</v>
      </c>
      <c r="G1054" s="46">
        <v>46097.325863622682</v>
      </c>
      <c r="H1054">
        <v>0</v>
      </c>
    </row>
    <row r="1055" spans="1:8" x14ac:dyDescent="0.15">
      <c r="A1055">
        <v>1054</v>
      </c>
      <c r="B1055" t="s">
        <v>339</v>
      </c>
      <c r="C1055" t="s">
        <v>353</v>
      </c>
      <c r="D1055" t="s">
        <v>3677</v>
      </c>
      <c r="E1055" t="s">
        <v>3678</v>
      </c>
      <c r="F1055" s="46">
        <v>46097.325863622682</v>
      </c>
      <c r="G1055" s="46">
        <v>46097.325863622682</v>
      </c>
      <c r="H1055">
        <v>0</v>
      </c>
    </row>
    <row r="1056" spans="1:8" x14ac:dyDescent="0.15">
      <c r="A1056">
        <v>1055</v>
      </c>
      <c r="B1056" t="s">
        <v>339</v>
      </c>
      <c r="C1056" t="s">
        <v>353</v>
      </c>
      <c r="D1056" t="s">
        <v>3679</v>
      </c>
      <c r="E1056" t="s">
        <v>3678</v>
      </c>
      <c r="F1056" s="46">
        <v>46097.325863622682</v>
      </c>
      <c r="G1056" s="46">
        <v>46097.325863622682</v>
      </c>
      <c r="H1056">
        <v>0</v>
      </c>
    </row>
    <row r="1057" spans="1:8" x14ac:dyDescent="0.15">
      <c r="A1057">
        <v>1056</v>
      </c>
      <c r="B1057" t="s">
        <v>339</v>
      </c>
      <c r="C1057" t="s">
        <v>353</v>
      </c>
      <c r="D1057" t="s">
        <v>3680</v>
      </c>
      <c r="E1057" t="s">
        <v>3678</v>
      </c>
      <c r="F1057" s="46">
        <v>46097.325863622682</v>
      </c>
      <c r="G1057" s="46">
        <v>46097.325863622682</v>
      </c>
      <c r="H1057">
        <v>0</v>
      </c>
    </row>
    <row r="1058" spans="1:8" x14ac:dyDescent="0.15">
      <c r="A1058">
        <v>1057</v>
      </c>
      <c r="B1058" t="s">
        <v>339</v>
      </c>
      <c r="C1058" t="s">
        <v>353</v>
      </c>
      <c r="D1058" t="s">
        <v>3681</v>
      </c>
      <c r="E1058" t="s">
        <v>3682</v>
      </c>
      <c r="F1058" s="46">
        <v>46097.325863622682</v>
      </c>
      <c r="G1058" s="46">
        <v>46097.325863796294</v>
      </c>
      <c r="H1058">
        <v>16</v>
      </c>
    </row>
    <row r="1059" spans="1:8" x14ac:dyDescent="0.15">
      <c r="A1059">
        <v>1058</v>
      </c>
      <c r="B1059" t="s">
        <v>339</v>
      </c>
      <c r="C1059" t="s">
        <v>353</v>
      </c>
      <c r="D1059" t="s">
        <v>3683</v>
      </c>
      <c r="E1059" t="s">
        <v>3684</v>
      </c>
      <c r="F1059" s="46">
        <v>46097.325863796294</v>
      </c>
      <c r="G1059" s="46">
        <v>46097.325863796294</v>
      </c>
      <c r="H1059">
        <v>0</v>
      </c>
    </row>
    <row r="1060" spans="1:8" x14ac:dyDescent="0.15">
      <c r="A1060">
        <v>1059</v>
      </c>
      <c r="B1060" t="s">
        <v>339</v>
      </c>
      <c r="C1060" t="s">
        <v>353</v>
      </c>
      <c r="D1060" t="s">
        <v>3685</v>
      </c>
      <c r="E1060" t="s">
        <v>3686</v>
      </c>
      <c r="F1060" s="46">
        <v>46097.325863796294</v>
      </c>
      <c r="G1060" s="46">
        <v>46097.325863796294</v>
      </c>
      <c r="H1060">
        <v>0</v>
      </c>
    </row>
    <row r="1061" spans="1:8" x14ac:dyDescent="0.15">
      <c r="A1061">
        <v>1060</v>
      </c>
      <c r="B1061" t="s">
        <v>339</v>
      </c>
      <c r="C1061" t="s">
        <v>353</v>
      </c>
      <c r="D1061" t="s">
        <v>3687</v>
      </c>
      <c r="E1061" t="s">
        <v>426</v>
      </c>
      <c r="F1061" s="46">
        <v>46097.325863796294</v>
      </c>
      <c r="G1061" s="46">
        <v>46097.325863796294</v>
      </c>
      <c r="H1061">
        <v>0</v>
      </c>
    </row>
    <row r="1062" spans="1:8" x14ac:dyDescent="0.15">
      <c r="A1062">
        <v>1061</v>
      </c>
      <c r="B1062" t="s">
        <v>339</v>
      </c>
      <c r="C1062" t="s">
        <v>353</v>
      </c>
      <c r="D1062" t="s">
        <v>3688</v>
      </c>
      <c r="E1062" t="s">
        <v>426</v>
      </c>
      <c r="F1062" s="46">
        <v>46097.325863796294</v>
      </c>
      <c r="G1062" s="46">
        <v>46097.325863796294</v>
      </c>
      <c r="H1062">
        <v>0</v>
      </c>
    </row>
    <row r="1063" spans="1:8" x14ac:dyDescent="0.15">
      <c r="A1063">
        <v>1062</v>
      </c>
      <c r="B1063" t="s">
        <v>339</v>
      </c>
      <c r="C1063" t="s">
        <v>353</v>
      </c>
      <c r="D1063" t="s">
        <v>3689</v>
      </c>
      <c r="E1063" t="s">
        <v>426</v>
      </c>
      <c r="F1063" s="46">
        <v>46097.325863796294</v>
      </c>
      <c r="G1063" s="46">
        <v>46097.325863796294</v>
      </c>
      <c r="H1063">
        <v>0</v>
      </c>
    </row>
    <row r="1064" spans="1:8" x14ac:dyDescent="0.15">
      <c r="A1064">
        <v>1063</v>
      </c>
      <c r="B1064" t="s">
        <v>339</v>
      </c>
      <c r="C1064" t="s">
        <v>353</v>
      </c>
      <c r="D1064" t="s">
        <v>3690</v>
      </c>
      <c r="E1064" t="s">
        <v>426</v>
      </c>
      <c r="F1064" s="46">
        <v>46097.325863796294</v>
      </c>
      <c r="G1064" s="46">
        <v>46097.325863900463</v>
      </c>
      <c r="H1064">
        <v>9</v>
      </c>
    </row>
    <row r="1065" spans="1:8" x14ac:dyDescent="0.15">
      <c r="A1065">
        <v>1064</v>
      </c>
      <c r="B1065" t="s">
        <v>339</v>
      </c>
      <c r="C1065" t="s">
        <v>353</v>
      </c>
      <c r="D1065" t="s">
        <v>3691</v>
      </c>
      <c r="E1065" t="s">
        <v>426</v>
      </c>
      <c r="F1065" s="46">
        <v>46097.325863900463</v>
      </c>
      <c r="G1065" s="46">
        <v>46097.325863912039</v>
      </c>
      <c r="H1065">
        <v>0</v>
      </c>
    </row>
    <row r="1066" spans="1:8" x14ac:dyDescent="0.15">
      <c r="A1066">
        <v>1065</v>
      </c>
      <c r="B1066" t="s">
        <v>339</v>
      </c>
      <c r="C1066" t="s">
        <v>353</v>
      </c>
      <c r="D1066" t="s">
        <v>3692</v>
      </c>
      <c r="E1066" t="s">
        <v>3693</v>
      </c>
      <c r="F1066" s="46">
        <v>46097.325863912039</v>
      </c>
      <c r="G1066" s="46">
        <v>46097.325863912039</v>
      </c>
      <c r="H1066">
        <v>0</v>
      </c>
    </row>
    <row r="1067" spans="1:8" x14ac:dyDescent="0.15">
      <c r="A1067">
        <v>1066</v>
      </c>
      <c r="B1067" t="s">
        <v>339</v>
      </c>
      <c r="C1067" t="s">
        <v>353</v>
      </c>
      <c r="D1067" t="s">
        <v>3694</v>
      </c>
      <c r="E1067" t="s">
        <v>3693</v>
      </c>
      <c r="F1067" s="46">
        <v>46097.325863912039</v>
      </c>
      <c r="G1067" s="46">
        <v>46097.325863912039</v>
      </c>
      <c r="H1067">
        <v>0</v>
      </c>
    </row>
    <row r="1068" spans="1:8" x14ac:dyDescent="0.15">
      <c r="A1068">
        <v>1067</v>
      </c>
      <c r="B1068" t="s">
        <v>339</v>
      </c>
      <c r="C1068" t="s">
        <v>353</v>
      </c>
      <c r="D1068" t="s">
        <v>3695</v>
      </c>
      <c r="E1068" t="s">
        <v>3693</v>
      </c>
      <c r="F1068" s="46">
        <v>46097.325863912039</v>
      </c>
      <c r="G1068" s="46">
        <v>46097.325863912039</v>
      </c>
      <c r="H1068">
        <v>0</v>
      </c>
    </row>
    <row r="1069" spans="1:8" x14ac:dyDescent="0.15">
      <c r="A1069">
        <v>1068</v>
      </c>
      <c r="B1069" t="s">
        <v>339</v>
      </c>
      <c r="C1069" t="s">
        <v>353</v>
      </c>
      <c r="D1069" t="s">
        <v>3696</v>
      </c>
      <c r="E1069" t="s">
        <v>3693</v>
      </c>
      <c r="F1069" s="46">
        <v>46097.325863912039</v>
      </c>
      <c r="G1069" s="46">
        <v>46097.325863912039</v>
      </c>
      <c r="H1069">
        <v>0</v>
      </c>
    </row>
    <row r="1070" spans="1:8" x14ac:dyDescent="0.15">
      <c r="A1070">
        <v>1069</v>
      </c>
      <c r="B1070" t="s">
        <v>339</v>
      </c>
      <c r="C1070" t="s">
        <v>353</v>
      </c>
      <c r="D1070" t="s">
        <v>3697</v>
      </c>
      <c r="E1070" t="s">
        <v>3698</v>
      </c>
      <c r="F1070" s="46">
        <v>46097.325863912039</v>
      </c>
      <c r="G1070" s="46">
        <v>46097.325863912039</v>
      </c>
      <c r="H1070">
        <v>0</v>
      </c>
    </row>
    <row r="1071" spans="1:8" x14ac:dyDescent="0.15">
      <c r="A1071">
        <v>1070</v>
      </c>
      <c r="B1071" t="s">
        <v>339</v>
      </c>
      <c r="C1071" t="s">
        <v>353</v>
      </c>
      <c r="D1071" t="s">
        <v>3699</v>
      </c>
      <c r="E1071" t="s">
        <v>3700</v>
      </c>
      <c r="F1071" s="46">
        <v>46097.325863912039</v>
      </c>
      <c r="G1071" s="46">
        <v>46097.325863912039</v>
      </c>
      <c r="H1071">
        <v>0</v>
      </c>
    </row>
    <row r="1072" spans="1:8" x14ac:dyDescent="0.15">
      <c r="A1072">
        <v>1071</v>
      </c>
      <c r="B1072" t="s">
        <v>339</v>
      </c>
      <c r="C1072" t="s">
        <v>353</v>
      </c>
      <c r="D1072" t="s">
        <v>3701</v>
      </c>
      <c r="E1072" t="s">
        <v>3700</v>
      </c>
      <c r="F1072" s="46">
        <v>46097.325863912039</v>
      </c>
      <c r="G1072" s="46">
        <v>46097.325863912039</v>
      </c>
      <c r="H1072">
        <v>0</v>
      </c>
    </row>
    <row r="1073" spans="1:8" x14ac:dyDescent="0.15">
      <c r="A1073">
        <v>1072</v>
      </c>
      <c r="B1073" t="s">
        <v>339</v>
      </c>
      <c r="C1073" t="s">
        <v>353</v>
      </c>
      <c r="D1073" t="s">
        <v>3702</v>
      </c>
      <c r="E1073" t="s">
        <v>3703</v>
      </c>
      <c r="F1073" s="46">
        <v>46097.325863912039</v>
      </c>
      <c r="G1073" s="46">
        <v>46097.325863912039</v>
      </c>
      <c r="H1073">
        <v>0</v>
      </c>
    </row>
    <row r="1074" spans="1:8" x14ac:dyDescent="0.15">
      <c r="A1074">
        <v>1073</v>
      </c>
      <c r="B1074" t="s">
        <v>339</v>
      </c>
      <c r="C1074" t="s">
        <v>353</v>
      </c>
      <c r="D1074" t="s">
        <v>3704</v>
      </c>
      <c r="E1074" t="s">
        <v>3703</v>
      </c>
      <c r="F1074" s="46">
        <v>46097.325863912039</v>
      </c>
      <c r="G1074" s="46">
        <v>46097.325863912039</v>
      </c>
      <c r="H1074">
        <v>0</v>
      </c>
    </row>
    <row r="1075" spans="1:8" x14ac:dyDescent="0.15">
      <c r="A1075">
        <v>1074</v>
      </c>
      <c r="B1075" t="s">
        <v>339</v>
      </c>
      <c r="C1075" t="s">
        <v>353</v>
      </c>
      <c r="D1075" t="s">
        <v>3705</v>
      </c>
      <c r="E1075" t="s">
        <v>3703</v>
      </c>
      <c r="F1075" s="46">
        <v>46097.325863912039</v>
      </c>
      <c r="G1075" s="46">
        <v>46097.32586409722</v>
      </c>
      <c r="H1075">
        <v>16</v>
      </c>
    </row>
    <row r="1076" spans="1:8" x14ac:dyDescent="0.15">
      <c r="A1076">
        <v>1075</v>
      </c>
      <c r="B1076" t="s">
        <v>339</v>
      </c>
      <c r="C1076" t="s">
        <v>353</v>
      </c>
      <c r="D1076" t="s">
        <v>3706</v>
      </c>
      <c r="E1076" t="s">
        <v>3703</v>
      </c>
      <c r="F1076" s="46">
        <v>46097.32586409722</v>
      </c>
      <c r="G1076" s="46">
        <v>46097.32586409722</v>
      </c>
      <c r="H1076">
        <v>0</v>
      </c>
    </row>
    <row r="1077" spans="1:8" x14ac:dyDescent="0.15">
      <c r="A1077">
        <v>1076</v>
      </c>
      <c r="B1077" t="s">
        <v>339</v>
      </c>
      <c r="C1077" t="s">
        <v>353</v>
      </c>
      <c r="D1077" t="s">
        <v>3707</v>
      </c>
      <c r="E1077" t="s">
        <v>427</v>
      </c>
      <c r="F1077" s="46">
        <v>46097.32586409722</v>
      </c>
      <c r="G1077" s="46">
        <v>46097.32586409722</v>
      </c>
      <c r="H1077">
        <v>0</v>
      </c>
    </row>
    <row r="1078" spans="1:8" x14ac:dyDescent="0.15">
      <c r="A1078">
        <v>1077</v>
      </c>
      <c r="B1078" t="s">
        <v>339</v>
      </c>
      <c r="C1078" t="s">
        <v>353</v>
      </c>
      <c r="D1078" t="s">
        <v>3708</v>
      </c>
      <c r="E1078" t="s">
        <v>427</v>
      </c>
      <c r="F1078" s="46">
        <v>46097.32586409722</v>
      </c>
      <c r="G1078" s="46">
        <v>46097.32586409722</v>
      </c>
      <c r="H1078">
        <v>0</v>
      </c>
    </row>
    <row r="1079" spans="1:8" x14ac:dyDescent="0.15">
      <c r="A1079">
        <v>1078</v>
      </c>
      <c r="B1079" t="s">
        <v>339</v>
      </c>
      <c r="C1079" t="s">
        <v>353</v>
      </c>
      <c r="D1079" t="s">
        <v>3709</v>
      </c>
      <c r="E1079" t="s">
        <v>427</v>
      </c>
      <c r="F1079" s="46">
        <v>46097.32586409722</v>
      </c>
      <c r="G1079" s="46">
        <v>46097.32586409722</v>
      </c>
      <c r="H1079">
        <v>0</v>
      </c>
    </row>
    <row r="1080" spans="1:8" x14ac:dyDescent="0.15">
      <c r="A1080">
        <v>1079</v>
      </c>
      <c r="B1080" t="s">
        <v>339</v>
      </c>
      <c r="C1080" t="s">
        <v>353</v>
      </c>
      <c r="D1080" t="s">
        <v>3710</v>
      </c>
      <c r="E1080" t="s">
        <v>428</v>
      </c>
      <c r="F1080" s="46">
        <v>46097.32586409722</v>
      </c>
      <c r="G1080" s="46">
        <v>46097.32586409722</v>
      </c>
      <c r="H1080">
        <v>0</v>
      </c>
    </row>
    <row r="1081" spans="1:8" x14ac:dyDescent="0.15">
      <c r="A1081">
        <v>1080</v>
      </c>
      <c r="B1081" t="s">
        <v>339</v>
      </c>
      <c r="C1081" t="s">
        <v>353</v>
      </c>
      <c r="D1081" t="s">
        <v>3711</v>
      </c>
      <c r="E1081" t="s">
        <v>429</v>
      </c>
      <c r="F1081" s="46">
        <v>46097.32586409722</v>
      </c>
      <c r="G1081" s="46">
        <v>46097.32586409722</v>
      </c>
      <c r="H1081">
        <v>0</v>
      </c>
    </row>
    <row r="1082" spans="1:8" x14ac:dyDescent="0.15">
      <c r="A1082">
        <v>1081</v>
      </c>
      <c r="B1082" t="s">
        <v>339</v>
      </c>
      <c r="C1082" t="s">
        <v>353</v>
      </c>
      <c r="D1082" t="s">
        <v>3712</v>
      </c>
      <c r="E1082" t="s">
        <v>3713</v>
      </c>
      <c r="F1082" s="46">
        <v>46097.32586409722</v>
      </c>
      <c r="G1082" s="46">
        <v>46097.32586409722</v>
      </c>
      <c r="H1082">
        <v>0</v>
      </c>
    </row>
    <row r="1083" spans="1:8" x14ac:dyDescent="0.15">
      <c r="A1083">
        <v>1082</v>
      </c>
      <c r="B1083" t="s">
        <v>339</v>
      </c>
      <c r="C1083" t="s">
        <v>353</v>
      </c>
      <c r="D1083" t="s">
        <v>3714</v>
      </c>
      <c r="E1083" t="s">
        <v>3715</v>
      </c>
      <c r="F1083" s="46">
        <v>46097.32586409722</v>
      </c>
      <c r="G1083" s="46">
        <v>46097.32586409722</v>
      </c>
      <c r="H1083">
        <v>0</v>
      </c>
    </row>
    <row r="1084" spans="1:8" x14ac:dyDescent="0.15">
      <c r="A1084">
        <v>1083</v>
      </c>
      <c r="B1084" t="s">
        <v>339</v>
      </c>
      <c r="C1084" t="s">
        <v>353</v>
      </c>
      <c r="D1084" t="s">
        <v>3716</v>
      </c>
      <c r="E1084" t="s">
        <v>3717</v>
      </c>
      <c r="F1084" s="46">
        <v>46097.32586409722</v>
      </c>
      <c r="G1084" s="46">
        <v>46097.32586409722</v>
      </c>
      <c r="H1084">
        <v>0</v>
      </c>
    </row>
    <row r="1085" spans="1:8" x14ac:dyDescent="0.15">
      <c r="A1085">
        <v>1084</v>
      </c>
      <c r="B1085" t="s">
        <v>339</v>
      </c>
      <c r="C1085" t="s">
        <v>353</v>
      </c>
      <c r="D1085" t="s">
        <v>3718</v>
      </c>
      <c r="E1085" t="s">
        <v>3717</v>
      </c>
      <c r="F1085" s="46">
        <v>46097.32586409722</v>
      </c>
      <c r="G1085" s="46">
        <v>46097.32586409722</v>
      </c>
      <c r="H1085">
        <v>0</v>
      </c>
    </row>
    <row r="1086" spans="1:8" x14ac:dyDescent="0.15">
      <c r="A1086">
        <v>1085</v>
      </c>
      <c r="B1086" t="s">
        <v>339</v>
      </c>
      <c r="C1086" t="s">
        <v>353</v>
      </c>
      <c r="D1086" t="s">
        <v>3719</v>
      </c>
      <c r="E1086" t="s">
        <v>3720</v>
      </c>
      <c r="F1086" s="46">
        <v>46097.32586409722</v>
      </c>
      <c r="G1086" s="46">
        <v>46097.325864270832</v>
      </c>
      <c r="H1086">
        <v>16</v>
      </c>
    </row>
    <row r="1087" spans="1:8" x14ac:dyDescent="0.15">
      <c r="A1087">
        <v>1086</v>
      </c>
      <c r="B1087" t="s">
        <v>339</v>
      </c>
      <c r="C1087" t="s">
        <v>353</v>
      </c>
      <c r="D1087" t="s">
        <v>3721</v>
      </c>
      <c r="E1087" t="s">
        <v>3720</v>
      </c>
      <c r="F1087" s="46">
        <v>46097.325864270832</v>
      </c>
      <c r="G1087" s="46">
        <v>46097.325864270832</v>
      </c>
      <c r="H1087">
        <v>0</v>
      </c>
    </row>
    <row r="1088" spans="1:8" x14ac:dyDescent="0.15">
      <c r="A1088">
        <v>1087</v>
      </c>
      <c r="B1088" t="s">
        <v>339</v>
      </c>
      <c r="C1088" t="s">
        <v>353</v>
      </c>
      <c r="D1088" t="s">
        <v>3722</v>
      </c>
      <c r="E1088" t="s">
        <v>3720</v>
      </c>
      <c r="F1088" s="46">
        <v>46097.325864270832</v>
      </c>
      <c r="G1088" s="46">
        <v>46097.325864270832</v>
      </c>
      <c r="H1088">
        <v>0</v>
      </c>
    </row>
    <row r="1089" spans="1:8" x14ac:dyDescent="0.15">
      <c r="A1089">
        <v>1088</v>
      </c>
      <c r="B1089" t="s">
        <v>339</v>
      </c>
      <c r="C1089" t="s">
        <v>353</v>
      </c>
      <c r="D1089" t="s">
        <v>3723</v>
      </c>
      <c r="E1089" t="s">
        <v>3720</v>
      </c>
      <c r="F1089" s="46">
        <v>46097.325864270832</v>
      </c>
      <c r="G1089" s="46">
        <v>46097.325864270832</v>
      </c>
      <c r="H1089">
        <v>0</v>
      </c>
    </row>
    <row r="1090" spans="1:8" x14ac:dyDescent="0.15">
      <c r="A1090">
        <v>1089</v>
      </c>
      <c r="B1090" t="s">
        <v>339</v>
      </c>
      <c r="C1090" t="s">
        <v>353</v>
      </c>
      <c r="D1090" t="s">
        <v>3724</v>
      </c>
      <c r="E1090" t="s">
        <v>3720</v>
      </c>
      <c r="F1090" s="46">
        <v>46097.325864270832</v>
      </c>
      <c r="G1090" s="46">
        <v>46097.325864270832</v>
      </c>
      <c r="H1090">
        <v>0</v>
      </c>
    </row>
    <row r="1091" spans="1:8" x14ac:dyDescent="0.15">
      <c r="A1091">
        <v>1090</v>
      </c>
      <c r="B1091" t="s">
        <v>339</v>
      </c>
      <c r="C1091" t="s">
        <v>353</v>
      </c>
      <c r="D1091" t="s">
        <v>3725</v>
      </c>
      <c r="E1091" t="s">
        <v>3720</v>
      </c>
      <c r="F1091" s="46">
        <v>46097.325864270832</v>
      </c>
      <c r="G1091" s="46">
        <v>46097.325864270832</v>
      </c>
      <c r="H1091">
        <v>0</v>
      </c>
    </row>
    <row r="1092" spans="1:8" x14ac:dyDescent="0.15">
      <c r="A1092">
        <v>1091</v>
      </c>
      <c r="B1092" t="s">
        <v>339</v>
      </c>
      <c r="C1092" t="s">
        <v>353</v>
      </c>
      <c r="D1092" t="s">
        <v>3726</v>
      </c>
      <c r="E1092" t="s">
        <v>3720</v>
      </c>
      <c r="F1092" s="46">
        <v>46097.325864270832</v>
      </c>
      <c r="G1092" s="46">
        <v>46097.325864270832</v>
      </c>
      <c r="H1092">
        <v>0</v>
      </c>
    </row>
    <row r="1093" spans="1:8" x14ac:dyDescent="0.15">
      <c r="A1093">
        <v>1092</v>
      </c>
      <c r="B1093" t="s">
        <v>339</v>
      </c>
      <c r="C1093" t="s">
        <v>353</v>
      </c>
      <c r="D1093" t="s">
        <v>3727</v>
      </c>
      <c r="E1093" t="s">
        <v>3720</v>
      </c>
      <c r="F1093" s="46">
        <v>46097.325864270832</v>
      </c>
      <c r="G1093" s="46">
        <v>46097.325864270832</v>
      </c>
      <c r="H1093">
        <v>0</v>
      </c>
    </row>
    <row r="1094" spans="1:8" x14ac:dyDescent="0.15">
      <c r="A1094">
        <v>1093</v>
      </c>
      <c r="B1094" t="s">
        <v>339</v>
      </c>
      <c r="C1094" t="s">
        <v>353</v>
      </c>
      <c r="D1094" t="s">
        <v>3728</v>
      </c>
      <c r="E1094" t="s">
        <v>3720</v>
      </c>
      <c r="F1094" s="46">
        <v>46097.325864270832</v>
      </c>
      <c r="G1094" s="46">
        <v>46097.325864270832</v>
      </c>
      <c r="H1094">
        <v>0</v>
      </c>
    </row>
    <row r="1095" spans="1:8" x14ac:dyDescent="0.15">
      <c r="A1095">
        <v>1094</v>
      </c>
      <c r="B1095" t="s">
        <v>339</v>
      </c>
      <c r="C1095" t="s">
        <v>353</v>
      </c>
      <c r="D1095" t="s">
        <v>3729</v>
      </c>
      <c r="E1095" t="s">
        <v>3730</v>
      </c>
      <c r="F1095" s="46">
        <v>46097.325864270832</v>
      </c>
      <c r="G1095" s="46">
        <v>46097.325864270832</v>
      </c>
      <c r="H1095">
        <v>0</v>
      </c>
    </row>
    <row r="1096" spans="1:8" x14ac:dyDescent="0.15">
      <c r="A1096">
        <v>1095</v>
      </c>
      <c r="B1096" t="s">
        <v>339</v>
      </c>
      <c r="C1096" t="s">
        <v>353</v>
      </c>
      <c r="D1096" t="s">
        <v>3731</v>
      </c>
      <c r="E1096" t="s">
        <v>3732</v>
      </c>
      <c r="F1096" s="46">
        <v>46097.325864270832</v>
      </c>
      <c r="G1096" s="46">
        <v>46097.325864456019</v>
      </c>
      <c r="H1096">
        <v>15</v>
      </c>
    </row>
    <row r="1097" spans="1:8" x14ac:dyDescent="0.15">
      <c r="A1097">
        <v>1096</v>
      </c>
      <c r="B1097" t="s">
        <v>339</v>
      </c>
      <c r="C1097" t="s">
        <v>353</v>
      </c>
      <c r="D1097" t="s">
        <v>3733</v>
      </c>
      <c r="E1097" t="s">
        <v>3734</v>
      </c>
      <c r="F1097" s="46">
        <v>46097.325864456019</v>
      </c>
      <c r="G1097" s="46">
        <v>46097.325864456019</v>
      </c>
      <c r="H1097">
        <v>0</v>
      </c>
    </row>
    <row r="1098" spans="1:8" x14ac:dyDescent="0.15">
      <c r="A1098">
        <v>1097</v>
      </c>
      <c r="B1098" t="s">
        <v>339</v>
      </c>
      <c r="C1098" t="s">
        <v>353</v>
      </c>
      <c r="D1098" t="s">
        <v>3735</v>
      </c>
      <c r="E1098" t="s">
        <v>3736</v>
      </c>
      <c r="F1098" s="46">
        <v>46097.325864456019</v>
      </c>
      <c r="G1098" s="46">
        <v>46097.325864456019</v>
      </c>
      <c r="H1098">
        <v>0</v>
      </c>
    </row>
    <row r="1099" spans="1:8" x14ac:dyDescent="0.15">
      <c r="A1099">
        <v>1098</v>
      </c>
      <c r="B1099" t="s">
        <v>339</v>
      </c>
      <c r="C1099" t="s">
        <v>353</v>
      </c>
      <c r="D1099" t="s">
        <v>3737</v>
      </c>
      <c r="E1099" t="s">
        <v>431</v>
      </c>
      <c r="F1099" s="46">
        <v>46097.325864456019</v>
      </c>
      <c r="G1099" s="46">
        <v>46097.325864456019</v>
      </c>
      <c r="H1099">
        <v>0</v>
      </c>
    </row>
    <row r="1100" spans="1:8" x14ac:dyDescent="0.15">
      <c r="A1100">
        <v>1099</v>
      </c>
      <c r="B1100" t="s">
        <v>339</v>
      </c>
      <c r="C1100" t="s">
        <v>353</v>
      </c>
      <c r="D1100" t="s">
        <v>3738</v>
      </c>
      <c r="E1100" t="s">
        <v>431</v>
      </c>
      <c r="F1100" s="46">
        <v>46097.325864456019</v>
      </c>
      <c r="G1100" s="46">
        <v>46097.325864456019</v>
      </c>
      <c r="H1100">
        <v>0</v>
      </c>
    </row>
    <row r="1101" spans="1:8" x14ac:dyDescent="0.15">
      <c r="A1101">
        <v>1100</v>
      </c>
      <c r="B1101" t="s">
        <v>339</v>
      </c>
      <c r="C1101" t="s">
        <v>353</v>
      </c>
      <c r="D1101" t="s">
        <v>3739</v>
      </c>
      <c r="E1101" t="s">
        <v>431</v>
      </c>
      <c r="F1101" s="46">
        <v>46097.325864456019</v>
      </c>
      <c r="G1101" s="46">
        <v>46097.325864456019</v>
      </c>
      <c r="H1101">
        <v>0</v>
      </c>
    </row>
    <row r="1102" spans="1:8" x14ac:dyDescent="0.15">
      <c r="A1102">
        <v>1101</v>
      </c>
      <c r="B1102" t="s">
        <v>339</v>
      </c>
      <c r="C1102" t="s">
        <v>353</v>
      </c>
      <c r="D1102" t="s">
        <v>3740</v>
      </c>
      <c r="E1102" t="s">
        <v>432</v>
      </c>
      <c r="F1102" s="46">
        <v>46097.325864456019</v>
      </c>
      <c r="G1102" s="46">
        <v>46097.325864456019</v>
      </c>
      <c r="H1102">
        <v>0</v>
      </c>
    </row>
    <row r="1103" spans="1:8" x14ac:dyDescent="0.15">
      <c r="A1103">
        <v>1102</v>
      </c>
      <c r="B1103" t="s">
        <v>339</v>
      </c>
      <c r="C1103" t="s">
        <v>353</v>
      </c>
      <c r="D1103" t="s">
        <v>3741</v>
      </c>
      <c r="E1103" t="s">
        <v>432</v>
      </c>
      <c r="F1103" s="46">
        <v>46097.325864456019</v>
      </c>
      <c r="G1103" s="46">
        <v>46097.325864456019</v>
      </c>
      <c r="H1103">
        <v>0</v>
      </c>
    </row>
    <row r="1104" spans="1:8" x14ac:dyDescent="0.15">
      <c r="A1104">
        <v>1103</v>
      </c>
      <c r="B1104" t="s">
        <v>339</v>
      </c>
      <c r="C1104" t="s">
        <v>353</v>
      </c>
      <c r="D1104" t="s">
        <v>3742</v>
      </c>
      <c r="E1104" t="s">
        <v>3743</v>
      </c>
      <c r="F1104" s="46">
        <v>46097.325864456019</v>
      </c>
      <c r="G1104" s="46">
        <v>46097.325864456019</v>
      </c>
      <c r="H1104">
        <v>0</v>
      </c>
    </row>
    <row r="1105" spans="1:8" x14ac:dyDescent="0.15">
      <c r="A1105">
        <v>1104</v>
      </c>
      <c r="B1105" t="s">
        <v>339</v>
      </c>
      <c r="C1105" t="s">
        <v>353</v>
      </c>
      <c r="D1105" t="s">
        <v>3744</v>
      </c>
      <c r="E1105" t="s">
        <v>3743</v>
      </c>
      <c r="F1105" s="46">
        <v>46097.325864456019</v>
      </c>
      <c r="G1105" s="46">
        <v>46097.325864456019</v>
      </c>
      <c r="H1105">
        <v>0</v>
      </c>
    </row>
    <row r="1106" spans="1:8" x14ac:dyDescent="0.15">
      <c r="A1106">
        <v>1105</v>
      </c>
      <c r="B1106" t="s">
        <v>339</v>
      </c>
      <c r="C1106" t="s">
        <v>353</v>
      </c>
      <c r="D1106" t="s">
        <v>3745</v>
      </c>
      <c r="E1106" t="s">
        <v>3746</v>
      </c>
      <c r="F1106" s="46">
        <v>46097.325864456019</v>
      </c>
      <c r="G1106" s="46">
        <v>46097.325864629631</v>
      </c>
      <c r="H1106">
        <v>16</v>
      </c>
    </row>
    <row r="1107" spans="1:8" x14ac:dyDescent="0.15">
      <c r="A1107">
        <v>1106</v>
      </c>
      <c r="B1107" t="s">
        <v>339</v>
      </c>
      <c r="C1107" t="s">
        <v>353</v>
      </c>
      <c r="D1107" t="s">
        <v>3747</v>
      </c>
      <c r="E1107" t="s">
        <v>3746</v>
      </c>
      <c r="F1107" s="46">
        <v>46097.325864629631</v>
      </c>
      <c r="G1107" s="46">
        <v>46097.325864629631</v>
      </c>
      <c r="H1107">
        <v>0</v>
      </c>
    </row>
    <row r="1108" spans="1:8" x14ac:dyDescent="0.15">
      <c r="A1108">
        <v>1107</v>
      </c>
      <c r="B1108" t="s">
        <v>339</v>
      </c>
      <c r="C1108" t="s">
        <v>353</v>
      </c>
      <c r="D1108" t="s">
        <v>3748</v>
      </c>
      <c r="E1108" t="s">
        <v>3746</v>
      </c>
      <c r="F1108" s="46">
        <v>46097.325864629631</v>
      </c>
      <c r="G1108" s="46">
        <v>46097.325864629631</v>
      </c>
      <c r="H1108">
        <v>0</v>
      </c>
    </row>
    <row r="1109" spans="1:8" x14ac:dyDescent="0.15">
      <c r="A1109">
        <v>1108</v>
      </c>
      <c r="B1109" t="s">
        <v>339</v>
      </c>
      <c r="C1109" t="s">
        <v>353</v>
      </c>
      <c r="D1109" t="s">
        <v>3749</v>
      </c>
      <c r="E1109" t="s">
        <v>3746</v>
      </c>
      <c r="F1109" s="46">
        <v>46097.325864629631</v>
      </c>
      <c r="G1109" s="46">
        <v>46097.325864629631</v>
      </c>
      <c r="H1109">
        <v>0</v>
      </c>
    </row>
    <row r="1110" spans="1:8" x14ac:dyDescent="0.15">
      <c r="A1110">
        <v>1109</v>
      </c>
      <c r="B1110" t="s">
        <v>339</v>
      </c>
      <c r="C1110" t="s">
        <v>353</v>
      </c>
      <c r="D1110" t="s">
        <v>3750</v>
      </c>
      <c r="E1110" t="s">
        <v>3751</v>
      </c>
      <c r="F1110" s="46">
        <v>46097.325864629631</v>
      </c>
      <c r="G1110" s="46">
        <v>46097.325864629631</v>
      </c>
      <c r="H1110">
        <v>0</v>
      </c>
    </row>
    <row r="1111" spans="1:8" x14ac:dyDescent="0.15">
      <c r="A1111">
        <v>1110</v>
      </c>
      <c r="B1111" t="s">
        <v>339</v>
      </c>
      <c r="C1111" t="s">
        <v>353</v>
      </c>
      <c r="D1111" t="s">
        <v>3752</v>
      </c>
      <c r="E1111" t="s">
        <v>3751</v>
      </c>
      <c r="F1111" s="46">
        <v>46097.325864629631</v>
      </c>
      <c r="G1111" s="46">
        <v>46097.325864629631</v>
      </c>
      <c r="H1111">
        <v>0</v>
      </c>
    </row>
    <row r="1112" spans="1:8" x14ac:dyDescent="0.15">
      <c r="A1112">
        <v>1111</v>
      </c>
      <c r="B1112" t="s">
        <v>339</v>
      </c>
      <c r="C1112" t="s">
        <v>353</v>
      </c>
      <c r="D1112" t="s">
        <v>3753</v>
      </c>
      <c r="E1112" t="s">
        <v>3751</v>
      </c>
      <c r="F1112" s="46">
        <v>46097.325864629631</v>
      </c>
      <c r="G1112" s="46">
        <v>46097.325864629631</v>
      </c>
      <c r="H1112">
        <v>0</v>
      </c>
    </row>
    <row r="1113" spans="1:8" x14ac:dyDescent="0.15">
      <c r="A1113">
        <v>1112</v>
      </c>
      <c r="B1113" t="s">
        <v>339</v>
      </c>
      <c r="C1113" t="s">
        <v>353</v>
      </c>
      <c r="D1113" t="s">
        <v>3754</v>
      </c>
      <c r="E1113" t="s">
        <v>3751</v>
      </c>
      <c r="F1113" s="46">
        <v>46097.325864629631</v>
      </c>
      <c r="G1113" s="46">
        <v>46097.325864629631</v>
      </c>
      <c r="H1113">
        <v>0</v>
      </c>
    </row>
    <row r="1114" spans="1:8" x14ac:dyDescent="0.15">
      <c r="A1114">
        <v>1113</v>
      </c>
      <c r="B1114" t="s">
        <v>339</v>
      </c>
      <c r="C1114" t="s">
        <v>353</v>
      </c>
      <c r="D1114" t="s">
        <v>3755</v>
      </c>
      <c r="E1114" t="s">
        <v>3751</v>
      </c>
      <c r="F1114" s="46">
        <v>46097.325864629631</v>
      </c>
      <c r="G1114" s="46">
        <v>46097.325864629631</v>
      </c>
      <c r="H1114">
        <v>0</v>
      </c>
    </row>
    <row r="1115" spans="1:8" x14ac:dyDescent="0.15">
      <c r="A1115">
        <v>1114</v>
      </c>
      <c r="B1115" t="s">
        <v>339</v>
      </c>
      <c r="C1115" t="s">
        <v>353</v>
      </c>
      <c r="D1115" t="s">
        <v>3756</v>
      </c>
      <c r="E1115" t="s">
        <v>3757</v>
      </c>
      <c r="F1115" s="46">
        <v>46097.325864629631</v>
      </c>
      <c r="G1115" s="46">
        <v>46097.325864629631</v>
      </c>
      <c r="H1115">
        <v>0</v>
      </c>
    </row>
    <row r="1116" spans="1:8" x14ac:dyDescent="0.15">
      <c r="A1116">
        <v>1115</v>
      </c>
      <c r="B1116" t="s">
        <v>339</v>
      </c>
      <c r="C1116" t="s">
        <v>353</v>
      </c>
      <c r="D1116" t="s">
        <v>3758</v>
      </c>
      <c r="E1116" t="s">
        <v>3757</v>
      </c>
      <c r="F1116" s="46">
        <v>46097.325864629631</v>
      </c>
      <c r="G1116" s="46">
        <v>46097.325864629631</v>
      </c>
      <c r="H1116">
        <v>0</v>
      </c>
    </row>
    <row r="1117" spans="1:8" x14ac:dyDescent="0.15">
      <c r="A1117">
        <v>1116</v>
      </c>
      <c r="B1117" t="s">
        <v>339</v>
      </c>
      <c r="C1117" t="s">
        <v>353</v>
      </c>
      <c r="D1117" t="s">
        <v>3759</v>
      </c>
      <c r="E1117" t="s">
        <v>3757</v>
      </c>
      <c r="F1117" s="46">
        <v>46097.325864629631</v>
      </c>
      <c r="G1117" s="46">
        <v>46097.325864814811</v>
      </c>
      <c r="H1117">
        <v>16</v>
      </c>
    </row>
    <row r="1118" spans="1:8" x14ac:dyDescent="0.15">
      <c r="A1118">
        <v>1117</v>
      </c>
      <c r="B1118" t="s">
        <v>339</v>
      </c>
      <c r="C1118" t="s">
        <v>353</v>
      </c>
      <c r="D1118" t="s">
        <v>3760</v>
      </c>
      <c r="E1118" t="s">
        <v>3757</v>
      </c>
      <c r="F1118" s="46">
        <v>46097.325864814811</v>
      </c>
      <c r="G1118" s="46">
        <v>46097.325864814811</v>
      </c>
      <c r="H1118">
        <v>0</v>
      </c>
    </row>
    <row r="1119" spans="1:8" x14ac:dyDescent="0.15">
      <c r="A1119">
        <v>1118</v>
      </c>
      <c r="B1119" t="s">
        <v>339</v>
      </c>
      <c r="C1119" t="s">
        <v>353</v>
      </c>
      <c r="D1119" t="s">
        <v>3761</v>
      </c>
      <c r="E1119" t="s">
        <v>3762</v>
      </c>
      <c r="F1119" s="46">
        <v>46097.325864814811</v>
      </c>
      <c r="G1119" s="46">
        <v>46097.325864814811</v>
      </c>
      <c r="H1119">
        <v>0</v>
      </c>
    </row>
    <row r="1120" spans="1:8" x14ac:dyDescent="0.15">
      <c r="A1120">
        <v>1119</v>
      </c>
      <c r="B1120" t="s">
        <v>339</v>
      </c>
      <c r="C1120" t="s">
        <v>353</v>
      </c>
      <c r="D1120" t="s">
        <v>3763</v>
      </c>
      <c r="E1120" t="s">
        <v>3762</v>
      </c>
      <c r="F1120" s="46">
        <v>46097.325864814811</v>
      </c>
      <c r="G1120" s="46">
        <v>46097.325864814811</v>
      </c>
      <c r="H1120">
        <v>0</v>
      </c>
    </row>
    <row r="1121" spans="1:8" x14ac:dyDescent="0.15">
      <c r="A1121">
        <v>1120</v>
      </c>
      <c r="B1121" t="s">
        <v>339</v>
      </c>
      <c r="C1121" t="s">
        <v>353</v>
      </c>
      <c r="D1121" t="s">
        <v>3764</v>
      </c>
      <c r="E1121" t="s">
        <v>3765</v>
      </c>
      <c r="F1121" s="46">
        <v>46097.325864814811</v>
      </c>
      <c r="G1121" s="46">
        <v>46097.325864814811</v>
      </c>
      <c r="H1121">
        <v>0</v>
      </c>
    </row>
    <row r="1122" spans="1:8" x14ac:dyDescent="0.15">
      <c r="A1122">
        <v>1121</v>
      </c>
      <c r="B1122" t="s">
        <v>339</v>
      </c>
      <c r="C1122" t="s">
        <v>353</v>
      </c>
      <c r="D1122" t="s">
        <v>3766</v>
      </c>
      <c r="E1122" t="s">
        <v>3765</v>
      </c>
      <c r="F1122" s="46">
        <v>46097.325864814811</v>
      </c>
      <c r="G1122" s="46">
        <v>46097.325864814811</v>
      </c>
      <c r="H1122">
        <v>0</v>
      </c>
    </row>
    <row r="1123" spans="1:8" x14ac:dyDescent="0.15">
      <c r="A1123">
        <v>1122</v>
      </c>
      <c r="B1123" t="s">
        <v>339</v>
      </c>
      <c r="C1123" t="s">
        <v>353</v>
      </c>
      <c r="D1123" t="s">
        <v>3767</v>
      </c>
      <c r="E1123" t="s">
        <v>3765</v>
      </c>
      <c r="F1123" s="46">
        <v>46097.325864814811</v>
      </c>
      <c r="G1123" s="46">
        <v>46097.325864814811</v>
      </c>
      <c r="H1123">
        <v>0</v>
      </c>
    </row>
    <row r="1124" spans="1:8" x14ac:dyDescent="0.15">
      <c r="A1124">
        <v>1123</v>
      </c>
      <c r="B1124" t="s">
        <v>339</v>
      </c>
      <c r="C1124" t="s">
        <v>353</v>
      </c>
      <c r="D1124" t="s">
        <v>3768</v>
      </c>
      <c r="E1124" t="s">
        <v>3765</v>
      </c>
      <c r="F1124" s="46">
        <v>46097.325864814811</v>
      </c>
      <c r="G1124" s="46">
        <v>46097.325864814811</v>
      </c>
      <c r="H1124">
        <v>0</v>
      </c>
    </row>
    <row r="1125" spans="1:8" x14ac:dyDescent="0.15">
      <c r="A1125">
        <v>1124</v>
      </c>
      <c r="B1125" t="s">
        <v>339</v>
      </c>
      <c r="C1125" t="s">
        <v>353</v>
      </c>
      <c r="D1125" t="s">
        <v>3769</v>
      </c>
      <c r="E1125" t="s">
        <v>3765</v>
      </c>
      <c r="F1125" s="46">
        <v>46097.325864814811</v>
      </c>
      <c r="G1125" s="46">
        <v>46097.325864814811</v>
      </c>
      <c r="H1125">
        <v>0</v>
      </c>
    </row>
    <row r="1126" spans="1:8" x14ac:dyDescent="0.15">
      <c r="A1126">
        <v>1125</v>
      </c>
      <c r="B1126" t="s">
        <v>339</v>
      </c>
      <c r="C1126" t="s">
        <v>353</v>
      </c>
      <c r="D1126" t="s">
        <v>3770</v>
      </c>
      <c r="E1126" t="s">
        <v>3765</v>
      </c>
      <c r="F1126" s="46">
        <v>46097.325864814811</v>
      </c>
      <c r="G1126" s="46">
        <v>46097.325864814811</v>
      </c>
      <c r="H1126">
        <v>0</v>
      </c>
    </row>
    <row r="1127" spans="1:8" x14ac:dyDescent="0.15">
      <c r="A1127">
        <v>1126</v>
      </c>
      <c r="B1127" t="s">
        <v>339</v>
      </c>
      <c r="C1127" t="s">
        <v>353</v>
      </c>
      <c r="D1127" t="s">
        <v>3771</v>
      </c>
      <c r="E1127" t="s">
        <v>3765</v>
      </c>
      <c r="F1127" s="46">
        <v>46097.325864814811</v>
      </c>
      <c r="G1127" s="46">
        <v>46097.325864999999</v>
      </c>
      <c r="H1127">
        <v>15</v>
      </c>
    </row>
    <row r="1128" spans="1:8" x14ac:dyDescent="0.15">
      <c r="A1128">
        <v>1127</v>
      </c>
      <c r="B1128" t="s">
        <v>339</v>
      </c>
      <c r="C1128" t="s">
        <v>353</v>
      </c>
      <c r="D1128" t="s">
        <v>3772</v>
      </c>
      <c r="E1128" t="s">
        <v>434</v>
      </c>
      <c r="F1128" s="46">
        <v>46097.325864999999</v>
      </c>
      <c r="G1128" s="46">
        <v>46097.325864999999</v>
      </c>
      <c r="H1128">
        <v>0</v>
      </c>
    </row>
    <row r="1129" spans="1:8" x14ac:dyDescent="0.15">
      <c r="A1129">
        <v>1128</v>
      </c>
      <c r="B1129" t="s">
        <v>339</v>
      </c>
      <c r="C1129" t="s">
        <v>353</v>
      </c>
      <c r="D1129" t="s">
        <v>3773</v>
      </c>
      <c r="E1129" t="s">
        <v>435</v>
      </c>
      <c r="F1129" s="46">
        <v>46097.325864999999</v>
      </c>
      <c r="G1129" s="46">
        <v>46097.325864999999</v>
      </c>
      <c r="H1129">
        <v>0</v>
      </c>
    </row>
    <row r="1130" spans="1:8" x14ac:dyDescent="0.15">
      <c r="A1130">
        <v>1129</v>
      </c>
      <c r="B1130" t="s">
        <v>339</v>
      </c>
      <c r="C1130" t="s">
        <v>353</v>
      </c>
      <c r="D1130" t="s">
        <v>3774</v>
      </c>
      <c r="E1130" t="s">
        <v>436</v>
      </c>
      <c r="F1130" s="46">
        <v>46097.325864999999</v>
      </c>
      <c r="G1130" s="46">
        <v>46097.325864999999</v>
      </c>
      <c r="H1130">
        <v>0</v>
      </c>
    </row>
    <row r="1131" spans="1:8" x14ac:dyDescent="0.15">
      <c r="A1131">
        <v>1130</v>
      </c>
      <c r="B1131" t="s">
        <v>339</v>
      </c>
      <c r="C1131" t="s">
        <v>353</v>
      </c>
      <c r="D1131" t="s">
        <v>3775</v>
      </c>
      <c r="E1131" t="s">
        <v>436</v>
      </c>
      <c r="F1131" s="46">
        <v>46097.325864999999</v>
      </c>
      <c r="G1131" s="46">
        <v>46097.325864999999</v>
      </c>
      <c r="H1131">
        <v>0</v>
      </c>
    </row>
    <row r="1132" spans="1:8" x14ac:dyDescent="0.15">
      <c r="A1132">
        <v>1131</v>
      </c>
      <c r="B1132" t="s">
        <v>339</v>
      </c>
      <c r="C1132" t="s">
        <v>353</v>
      </c>
      <c r="D1132" t="s">
        <v>3776</v>
      </c>
      <c r="E1132" t="s">
        <v>436</v>
      </c>
      <c r="F1132" s="46">
        <v>46097.325864999999</v>
      </c>
      <c r="G1132" s="46">
        <v>46097.325864999999</v>
      </c>
      <c r="H1132">
        <v>0</v>
      </c>
    </row>
    <row r="1133" spans="1:8" x14ac:dyDescent="0.15">
      <c r="A1133">
        <v>1132</v>
      </c>
      <c r="B1133" t="s">
        <v>339</v>
      </c>
      <c r="C1133" t="s">
        <v>353</v>
      </c>
      <c r="D1133" t="s">
        <v>3777</v>
      </c>
      <c r="E1133" t="s">
        <v>438</v>
      </c>
      <c r="F1133" s="46">
        <v>46097.325864999999</v>
      </c>
      <c r="G1133" s="46">
        <v>46097.325864999999</v>
      </c>
      <c r="H1133">
        <v>0</v>
      </c>
    </row>
    <row r="1134" spans="1:8" x14ac:dyDescent="0.15">
      <c r="A1134">
        <v>1133</v>
      </c>
      <c r="B1134" t="s">
        <v>339</v>
      </c>
      <c r="C1134" t="s">
        <v>353</v>
      </c>
      <c r="D1134" t="s">
        <v>3778</v>
      </c>
      <c r="E1134" t="s">
        <v>438</v>
      </c>
      <c r="F1134" s="46">
        <v>46097.325864999999</v>
      </c>
      <c r="G1134" s="46">
        <v>46097.325864999999</v>
      </c>
      <c r="H1134">
        <v>0</v>
      </c>
    </row>
    <row r="1135" spans="1:8" x14ac:dyDescent="0.15">
      <c r="A1135">
        <v>1134</v>
      </c>
      <c r="B1135" t="s">
        <v>339</v>
      </c>
      <c r="C1135" t="s">
        <v>353</v>
      </c>
      <c r="D1135" t="s">
        <v>3779</v>
      </c>
      <c r="E1135" t="s">
        <v>438</v>
      </c>
      <c r="F1135" s="46">
        <v>46097.325864999999</v>
      </c>
      <c r="G1135" s="46">
        <v>46097.325864999999</v>
      </c>
      <c r="H1135">
        <v>0</v>
      </c>
    </row>
    <row r="1136" spans="1:8" x14ac:dyDescent="0.15">
      <c r="A1136">
        <v>1135</v>
      </c>
      <c r="B1136" t="s">
        <v>339</v>
      </c>
      <c r="C1136" t="s">
        <v>353</v>
      </c>
      <c r="D1136" t="s">
        <v>3780</v>
      </c>
      <c r="E1136" t="s">
        <v>439</v>
      </c>
      <c r="F1136" s="46">
        <v>46097.325864999999</v>
      </c>
      <c r="G1136" s="46">
        <v>46097.325864999999</v>
      </c>
      <c r="H1136">
        <v>0</v>
      </c>
    </row>
    <row r="1137" spans="1:8" x14ac:dyDescent="0.15">
      <c r="A1137">
        <v>1136</v>
      </c>
      <c r="B1137" t="s">
        <v>339</v>
      </c>
      <c r="C1137" t="s">
        <v>353</v>
      </c>
      <c r="D1137" t="s">
        <v>3781</v>
      </c>
      <c r="E1137" t="s">
        <v>440</v>
      </c>
      <c r="F1137" s="46">
        <v>46097.325864999999</v>
      </c>
      <c r="G1137" s="46">
        <v>46097.325864999999</v>
      </c>
      <c r="H1137">
        <v>0</v>
      </c>
    </row>
    <row r="1138" spans="1:8" x14ac:dyDescent="0.15">
      <c r="A1138">
        <v>1137</v>
      </c>
      <c r="B1138" t="s">
        <v>339</v>
      </c>
      <c r="C1138" t="s">
        <v>353</v>
      </c>
      <c r="D1138" t="s">
        <v>3782</v>
      </c>
      <c r="E1138" t="s">
        <v>3783</v>
      </c>
      <c r="F1138" s="46">
        <v>46097.325865173611</v>
      </c>
      <c r="G1138" s="46">
        <v>46097.325865173611</v>
      </c>
      <c r="H1138">
        <v>0</v>
      </c>
    </row>
    <row r="1139" spans="1:8" x14ac:dyDescent="0.15">
      <c r="A1139">
        <v>1138</v>
      </c>
      <c r="B1139" t="s">
        <v>339</v>
      </c>
      <c r="C1139" t="s">
        <v>353</v>
      </c>
      <c r="D1139" t="s">
        <v>3784</v>
      </c>
      <c r="E1139" t="s">
        <v>3783</v>
      </c>
      <c r="F1139" s="46">
        <v>46097.325865173611</v>
      </c>
      <c r="G1139" s="46">
        <v>46097.325865173611</v>
      </c>
      <c r="H1139">
        <v>0</v>
      </c>
    </row>
    <row r="1140" spans="1:8" x14ac:dyDescent="0.15">
      <c r="A1140">
        <v>1139</v>
      </c>
      <c r="B1140" t="s">
        <v>339</v>
      </c>
      <c r="C1140" t="s">
        <v>353</v>
      </c>
      <c r="D1140" t="s">
        <v>3785</v>
      </c>
      <c r="E1140" t="s">
        <v>3783</v>
      </c>
      <c r="F1140" s="46">
        <v>46097.325865173611</v>
      </c>
      <c r="G1140" s="46">
        <v>46097.325865173611</v>
      </c>
      <c r="H1140">
        <v>0</v>
      </c>
    </row>
    <row r="1141" spans="1:8" x14ac:dyDescent="0.15">
      <c r="A1141">
        <v>1140</v>
      </c>
      <c r="B1141" t="s">
        <v>339</v>
      </c>
      <c r="C1141" t="s">
        <v>353</v>
      </c>
      <c r="D1141" t="s">
        <v>3786</v>
      </c>
      <c r="E1141" t="s">
        <v>3783</v>
      </c>
      <c r="F1141" s="46">
        <v>46097.325865173611</v>
      </c>
      <c r="G1141" s="46">
        <v>46097.325865173611</v>
      </c>
      <c r="H1141">
        <v>0</v>
      </c>
    </row>
    <row r="1142" spans="1:8" x14ac:dyDescent="0.15">
      <c r="A1142">
        <v>1141</v>
      </c>
      <c r="B1142" t="s">
        <v>339</v>
      </c>
      <c r="C1142" t="s">
        <v>353</v>
      </c>
      <c r="D1142" t="s">
        <v>3787</v>
      </c>
      <c r="E1142" t="s">
        <v>3783</v>
      </c>
      <c r="F1142" s="46">
        <v>46097.325865173611</v>
      </c>
      <c r="G1142" s="46">
        <v>46097.325865173611</v>
      </c>
      <c r="H1142">
        <v>0</v>
      </c>
    </row>
    <row r="1143" spans="1:8" x14ac:dyDescent="0.15">
      <c r="A1143">
        <v>1142</v>
      </c>
      <c r="B1143" t="s">
        <v>339</v>
      </c>
      <c r="C1143" t="s">
        <v>353</v>
      </c>
      <c r="D1143" t="s">
        <v>3788</v>
      </c>
      <c r="E1143" t="s">
        <v>3789</v>
      </c>
      <c r="F1143" s="46">
        <v>46097.325865173611</v>
      </c>
      <c r="G1143" s="46">
        <v>46097.325865173611</v>
      </c>
      <c r="H1143">
        <v>0</v>
      </c>
    </row>
    <row r="1144" spans="1:8" x14ac:dyDescent="0.15">
      <c r="A1144">
        <v>1143</v>
      </c>
      <c r="B1144" t="s">
        <v>339</v>
      </c>
      <c r="C1144" t="s">
        <v>353</v>
      </c>
      <c r="D1144" t="s">
        <v>3790</v>
      </c>
      <c r="E1144" t="s">
        <v>3791</v>
      </c>
      <c r="F1144" s="46">
        <v>46097.325865173611</v>
      </c>
      <c r="G1144" s="46">
        <v>46097.325865173611</v>
      </c>
      <c r="H1144">
        <v>0</v>
      </c>
    </row>
    <row r="1145" spans="1:8" x14ac:dyDescent="0.15">
      <c r="A1145">
        <v>1144</v>
      </c>
      <c r="B1145" t="s">
        <v>339</v>
      </c>
      <c r="C1145" t="s">
        <v>353</v>
      </c>
      <c r="D1145" t="s">
        <v>3792</v>
      </c>
      <c r="E1145" t="s">
        <v>3791</v>
      </c>
      <c r="F1145" s="46">
        <v>46097.325865173611</v>
      </c>
      <c r="G1145" s="46">
        <v>46097.325865173611</v>
      </c>
      <c r="H1145">
        <v>0</v>
      </c>
    </row>
    <row r="1146" spans="1:8" x14ac:dyDescent="0.15">
      <c r="A1146">
        <v>1145</v>
      </c>
      <c r="B1146" t="s">
        <v>339</v>
      </c>
      <c r="C1146" t="s">
        <v>353</v>
      </c>
      <c r="D1146" t="s">
        <v>3793</v>
      </c>
      <c r="E1146" t="s">
        <v>3791</v>
      </c>
      <c r="F1146" s="46">
        <v>46097.325865173611</v>
      </c>
      <c r="G1146" s="46">
        <v>46097.325865173611</v>
      </c>
      <c r="H1146">
        <v>0</v>
      </c>
    </row>
    <row r="1147" spans="1:8" x14ac:dyDescent="0.15">
      <c r="A1147">
        <v>1146</v>
      </c>
      <c r="B1147" t="s">
        <v>339</v>
      </c>
      <c r="C1147" t="s">
        <v>353</v>
      </c>
      <c r="D1147" t="s">
        <v>3794</v>
      </c>
      <c r="E1147" t="s">
        <v>3795</v>
      </c>
      <c r="F1147" s="46">
        <v>46097.325865173611</v>
      </c>
      <c r="G1147" s="46">
        <v>46097.325865173611</v>
      </c>
      <c r="H1147">
        <v>0</v>
      </c>
    </row>
    <row r="1148" spans="1:8" x14ac:dyDescent="0.15">
      <c r="A1148">
        <v>1147</v>
      </c>
      <c r="B1148" t="s">
        <v>339</v>
      </c>
      <c r="C1148" t="s">
        <v>353</v>
      </c>
      <c r="D1148" t="s">
        <v>3796</v>
      </c>
      <c r="E1148" t="s">
        <v>3795</v>
      </c>
      <c r="F1148" s="46">
        <v>46097.325865173611</v>
      </c>
      <c r="G1148" s="46">
        <v>46097.325865358798</v>
      </c>
      <c r="H1148">
        <v>15</v>
      </c>
    </row>
    <row r="1149" spans="1:8" x14ac:dyDescent="0.15">
      <c r="A1149">
        <v>1148</v>
      </c>
      <c r="B1149" t="s">
        <v>339</v>
      </c>
      <c r="C1149" t="s">
        <v>353</v>
      </c>
      <c r="D1149" t="s">
        <v>3797</v>
      </c>
      <c r="E1149" t="s">
        <v>3795</v>
      </c>
      <c r="F1149" s="46">
        <v>46097.325865358798</v>
      </c>
      <c r="G1149" s="46">
        <v>46097.325865358798</v>
      </c>
      <c r="H1149">
        <v>0</v>
      </c>
    </row>
    <row r="1150" spans="1:8" x14ac:dyDescent="0.15">
      <c r="A1150">
        <v>1149</v>
      </c>
      <c r="B1150" t="s">
        <v>339</v>
      </c>
      <c r="C1150" t="s">
        <v>353</v>
      </c>
      <c r="D1150" t="s">
        <v>3798</v>
      </c>
      <c r="E1150" t="s">
        <v>3795</v>
      </c>
      <c r="F1150" s="46">
        <v>46097.325865358798</v>
      </c>
      <c r="G1150" s="46">
        <v>46097.325865358798</v>
      </c>
      <c r="H1150">
        <v>0</v>
      </c>
    </row>
    <row r="1151" spans="1:8" x14ac:dyDescent="0.15">
      <c r="A1151">
        <v>1150</v>
      </c>
      <c r="B1151" t="s">
        <v>339</v>
      </c>
      <c r="C1151" t="s">
        <v>353</v>
      </c>
      <c r="D1151" t="s">
        <v>3799</v>
      </c>
      <c r="E1151" t="s">
        <v>3795</v>
      </c>
      <c r="F1151" s="46">
        <v>46097.325865358798</v>
      </c>
      <c r="G1151" s="46">
        <v>46097.325865358798</v>
      </c>
      <c r="H1151">
        <v>0</v>
      </c>
    </row>
    <row r="1152" spans="1:8" x14ac:dyDescent="0.15">
      <c r="A1152">
        <v>1151</v>
      </c>
      <c r="B1152" t="s">
        <v>339</v>
      </c>
      <c r="C1152" t="s">
        <v>353</v>
      </c>
      <c r="D1152" t="s">
        <v>3800</v>
      </c>
      <c r="E1152" t="s">
        <v>3795</v>
      </c>
      <c r="F1152" s="46">
        <v>46097.325865358798</v>
      </c>
      <c r="G1152" s="46">
        <v>46097.325865358798</v>
      </c>
      <c r="H1152">
        <v>0</v>
      </c>
    </row>
    <row r="1153" spans="1:8" x14ac:dyDescent="0.15">
      <c r="A1153">
        <v>1152</v>
      </c>
      <c r="B1153" t="s">
        <v>339</v>
      </c>
      <c r="C1153" t="s">
        <v>353</v>
      </c>
      <c r="D1153" t="s">
        <v>3801</v>
      </c>
      <c r="E1153" t="s">
        <v>3795</v>
      </c>
      <c r="F1153" s="46">
        <v>46097.325865358798</v>
      </c>
      <c r="G1153" s="46">
        <v>46097.325865358798</v>
      </c>
      <c r="H1153">
        <v>0</v>
      </c>
    </row>
    <row r="1154" spans="1:8" x14ac:dyDescent="0.15">
      <c r="A1154">
        <v>1153</v>
      </c>
      <c r="B1154" t="s">
        <v>339</v>
      </c>
      <c r="C1154" t="s">
        <v>353</v>
      </c>
      <c r="D1154" t="s">
        <v>3802</v>
      </c>
      <c r="E1154" t="s">
        <v>3795</v>
      </c>
      <c r="F1154" s="46">
        <v>46097.325865358798</v>
      </c>
      <c r="G1154" s="46">
        <v>46097.325865358798</v>
      </c>
      <c r="H1154">
        <v>0</v>
      </c>
    </row>
    <row r="1155" spans="1:8" x14ac:dyDescent="0.15">
      <c r="A1155">
        <v>1154</v>
      </c>
      <c r="B1155" t="s">
        <v>339</v>
      </c>
      <c r="C1155" t="s">
        <v>353</v>
      </c>
      <c r="D1155" t="s">
        <v>3803</v>
      </c>
      <c r="E1155" t="s">
        <v>3804</v>
      </c>
      <c r="F1155" s="46">
        <v>46097.325865358798</v>
      </c>
      <c r="G1155" s="46">
        <v>46097.325865358798</v>
      </c>
      <c r="H1155">
        <v>0</v>
      </c>
    </row>
    <row r="1156" spans="1:8" x14ac:dyDescent="0.15">
      <c r="A1156">
        <v>1155</v>
      </c>
      <c r="B1156" t="s">
        <v>339</v>
      </c>
      <c r="C1156" t="s">
        <v>353</v>
      </c>
      <c r="D1156" t="s">
        <v>3805</v>
      </c>
      <c r="E1156" t="s">
        <v>3804</v>
      </c>
      <c r="F1156" s="46">
        <v>46097.325865358798</v>
      </c>
      <c r="G1156" s="46">
        <v>46097.325865358798</v>
      </c>
      <c r="H1156">
        <v>0</v>
      </c>
    </row>
    <row r="1157" spans="1:8" x14ac:dyDescent="0.15">
      <c r="A1157">
        <v>1156</v>
      </c>
      <c r="B1157" t="s">
        <v>339</v>
      </c>
      <c r="C1157" t="s">
        <v>353</v>
      </c>
      <c r="D1157" t="s">
        <v>3806</v>
      </c>
      <c r="E1157" t="s">
        <v>3804</v>
      </c>
      <c r="F1157" s="46">
        <v>46097.325865358798</v>
      </c>
      <c r="G1157" s="46">
        <v>46097.325865358798</v>
      </c>
      <c r="H1157">
        <v>0</v>
      </c>
    </row>
    <row r="1158" spans="1:8" x14ac:dyDescent="0.15">
      <c r="A1158">
        <v>1157</v>
      </c>
      <c r="B1158" t="s">
        <v>339</v>
      </c>
      <c r="C1158" t="s">
        <v>353</v>
      </c>
      <c r="D1158" t="s">
        <v>3807</v>
      </c>
      <c r="E1158" t="s">
        <v>3808</v>
      </c>
      <c r="F1158" s="46">
        <v>46097.325865358798</v>
      </c>
      <c r="G1158" s="46">
        <v>46097.325865543979</v>
      </c>
      <c r="H1158">
        <v>16</v>
      </c>
    </row>
    <row r="1159" spans="1:8" x14ac:dyDescent="0.15">
      <c r="A1159">
        <v>1158</v>
      </c>
      <c r="B1159" t="s">
        <v>339</v>
      </c>
      <c r="C1159" t="s">
        <v>353</v>
      </c>
      <c r="D1159" t="s">
        <v>3809</v>
      </c>
      <c r="E1159" t="s">
        <v>3808</v>
      </c>
      <c r="F1159" s="46">
        <v>46097.325865543979</v>
      </c>
      <c r="G1159" s="46">
        <v>46097.325865543979</v>
      </c>
      <c r="H1159">
        <v>0</v>
      </c>
    </row>
    <row r="1160" spans="1:8" x14ac:dyDescent="0.15">
      <c r="A1160">
        <v>1159</v>
      </c>
      <c r="B1160" t="s">
        <v>339</v>
      </c>
      <c r="C1160" t="s">
        <v>353</v>
      </c>
      <c r="D1160" t="s">
        <v>3810</v>
      </c>
      <c r="E1160" t="s">
        <v>3811</v>
      </c>
      <c r="F1160" s="46">
        <v>46097.325865543979</v>
      </c>
      <c r="G1160" s="46">
        <v>46097.325865543979</v>
      </c>
      <c r="H1160">
        <v>0</v>
      </c>
    </row>
    <row r="1161" spans="1:8" x14ac:dyDescent="0.15">
      <c r="A1161">
        <v>1160</v>
      </c>
      <c r="B1161" t="s">
        <v>339</v>
      </c>
      <c r="C1161" t="s">
        <v>353</v>
      </c>
      <c r="D1161" t="s">
        <v>3812</v>
      </c>
      <c r="E1161" t="s">
        <v>3813</v>
      </c>
      <c r="F1161" s="46">
        <v>46097.325865543979</v>
      </c>
      <c r="G1161" s="46">
        <v>46097.325865543979</v>
      </c>
      <c r="H1161">
        <v>0</v>
      </c>
    </row>
    <row r="1162" spans="1:8" x14ac:dyDescent="0.15">
      <c r="A1162">
        <v>1161</v>
      </c>
      <c r="B1162" t="s">
        <v>339</v>
      </c>
      <c r="C1162" t="s">
        <v>353</v>
      </c>
      <c r="D1162" t="s">
        <v>3814</v>
      </c>
      <c r="E1162" t="s">
        <v>3813</v>
      </c>
      <c r="F1162" s="46">
        <v>46097.325865543979</v>
      </c>
      <c r="G1162" s="46">
        <v>46097.325865543979</v>
      </c>
      <c r="H1162">
        <v>0</v>
      </c>
    </row>
    <row r="1163" spans="1:8" x14ac:dyDescent="0.15">
      <c r="A1163">
        <v>1162</v>
      </c>
      <c r="B1163" t="s">
        <v>339</v>
      </c>
      <c r="C1163" t="s">
        <v>353</v>
      </c>
      <c r="D1163" t="s">
        <v>3815</v>
      </c>
      <c r="E1163" t="s">
        <v>3813</v>
      </c>
      <c r="F1163" s="46">
        <v>46097.325865543979</v>
      </c>
      <c r="G1163" s="46">
        <v>46097.325865543979</v>
      </c>
      <c r="H1163">
        <v>0</v>
      </c>
    </row>
    <row r="1164" spans="1:8" x14ac:dyDescent="0.15">
      <c r="A1164">
        <v>1163</v>
      </c>
      <c r="B1164" t="s">
        <v>339</v>
      </c>
      <c r="C1164" t="s">
        <v>353</v>
      </c>
      <c r="D1164" t="s">
        <v>3816</v>
      </c>
      <c r="E1164" t="s">
        <v>3813</v>
      </c>
      <c r="F1164" s="46">
        <v>46097.325865543979</v>
      </c>
      <c r="G1164" s="46">
        <v>46097.325865543979</v>
      </c>
      <c r="H1164">
        <v>0</v>
      </c>
    </row>
    <row r="1165" spans="1:8" x14ac:dyDescent="0.15">
      <c r="A1165">
        <v>1164</v>
      </c>
      <c r="B1165" t="s">
        <v>339</v>
      </c>
      <c r="C1165" t="s">
        <v>353</v>
      </c>
      <c r="D1165" t="s">
        <v>3817</v>
      </c>
      <c r="E1165" t="s">
        <v>3813</v>
      </c>
      <c r="F1165" s="46">
        <v>46097.325865543979</v>
      </c>
      <c r="G1165" s="46">
        <v>46097.325865543979</v>
      </c>
      <c r="H1165">
        <v>0</v>
      </c>
    </row>
    <row r="1166" spans="1:8" x14ac:dyDescent="0.15">
      <c r="A1166">
        <v>1165</v>
      </c>
      <c r="B1166" t="s">
        <v>339</v>
      </c>
      <c r="C1166" t="s">
        <v>353</v>
      </c>
      <c r="D1166" t="s">
        <v>3818</v>
      </c>
      <c r="E1166" t="s">
        <v>3813</v>
      </c>
      <c r="F1166" s="46">
        <v>46097.325865543979</v>
      </c>
      <c r="G1166" s="46">
        <v>46097.325865543979</v>
      </c>
      <c r="H1166">
        <v>0</v>
      </c>
    </row>
    <row r="1167" spans="1:8" x14ac:dyDescent="0.15">
      <c r="A1167">
        <v>1166</v>
      </c>
      <c r="B1167" t="s">
        <v>339</v>
      </c>
      <c r="C1167" t="s">
        <v>353</v>
      </c>
      <c r="D1167" t="s">
        <v>3819</v>
      </c>
      <c r="E1167" t="s">
        <v>3820</v>
      </c>
      <c r="F1167" s="46">
        <v>46097.325865543979</v>
      </c>
      <c r="G1167" s="46">
        <v>46097.325865543979</v>
      </c>
      <c r="H1167">
        <v>0</v>
      </c>
    </row>
    <row r="1168" spans="1:8" x14ac:dyDescent="0.15">
      <c r="A1168">
        <v>1167</v>
      </c>
      <c r="B1168" t="s">
        <v>339</v>
      </c>
      <c r="C1168" t="s">
        <v>353</v>
      </c>
      <c r="D1168" t="s">
        <v>3821</v>
      </c>
      <c r="E1168" t="s">
        <v>3820</v>
      </c>
      <c r="F1168" s="46">
        <v>46097.325865543979</v>
      </c>
      <c r="G1168" s="46">
        <v>46097.325865543979</v>
      </c>
      <c r="H1168">
        <v>0</v>
      </c>
    </row>
    <row r="1169" spans="1:8" x14ac:dyDescent="0.15">
      <c r="A1169">
        <v>1168</v>
      </c>
      <c r="B1169" t="s">
        <v>339</v>
      </c>
      <c r="C1169" t="s">
        <v>353</v>
      </c>
      <c r="D1169" t="s">
        <v>3822</v>
      </c>
      <c r="E1169" t="s">
        <v>3820</v>
      </c>
      <c r="F1169" s="46">
        <v>46097.325865543979</v>
      </c>
      <c r="G1169" s="46">
        <v>46097.32586571759</v>
      </c>
      <c r="H1169">
        <v>16</v>
      </c>
    </row>
    <row r="1170" spans="1:8" x14ac:dyDescent="0.15">
      <c r="A1170">
        <v>1169</v>
      </c>
      <c r="B1170" t="s">
        <v>339</v>
      </c>
      <c r="C1170" t="s">
        <v>353</v>
      </c>
      <c r="D1170" t="s">
        <v>3823</v>
      </c>
      <c r="E1170" t="s">
        <v>3820</v>
      </c>
      <c r="F1170" s="46">
        <v>46097.32586571759</v>
      </c>
      <c r="G1170" s="46">
        <v>46097.32586571759</v>
      </c>
      <c r="H1170">
        <v>0</v>
      </c>
    </row>
    <row r="1171" spans="1:8" x14ac:dyDescent="0.15">
      <c r="A1171">
        <v>1170</v>
      </c>
      <c r="B1171" t="s">
        <v>339</v>
      </c>
      <c r="C1171" t="s">
        <v>353</v>
      </c>
      <c r="D1171" t="s">
        <v>3824</v>
      </c>
      <c r="E1171" t="s">
        <v>3825</v>
      </c>
      <c r="F1171" s="46">
        <v>46097.32586571759</v>
      </c>
      <c r="G1171" s="46">
        <v>46097.32586571759</v>
      </c>
      <c r="H1171">
        <v>0</v>
      </c>
    </row>
    <row r="1172" spans="1:8" x14ac:dyDescent="0.15">
      <c r="A1172">
        <v>1171</v>
      </c>
      <c r="B1172" t="s">
        <v>339</v>
      </c>
      <c r="C1172" t="s">
        <v>353</v>
      </c>
      <c r="D1172" t="s">
        <v>3826</v>
      </c>
      <c r="E1172" t="s">
        <v>3827</v>
      </c>
      <c r="F1172" s="46">
        <v>46097.32586571759</v>
      </c>
      <c r="G1172" s="46">
        <v>46097.32586571759</v>
      </c>
      <c r="H1172">
        <v>0</v>
      </c>
    </row>
    <row r="1173" spans="1:8" x14ac:dyDescent="0.15">
      <c r="A1173">
        <v>1172</v>
      </c>
      <c r="B1173" t="s">
        <v>339</v>
      </c>
      <c r="C1173" t="s">
        <v>353</v>
      </c>
      <c r="D1173" t="s">
        <v>3828</v>
      </c>
      <c r="E1173" t="s">
        <v>3829</v>
      </c>
      <c r="F1173" s="46">
        <v>46097.32586571759</v>
      </c>
      <c r="G1173" s="46">
        <v>46097.32586571759</v>
      </c>
      <c r="H1173">
        <v>0</v>
      </c>
    </row>
    <row r="1174" spans="1:8" x14ac:dyDescent="0.15">
      <c r="A1174">
        <v>1173</v>
      </c>
      <c r="B1174" t="s">
        <v>339</v>
      </c>
      <c r="C1174" t="s">
        <v>353</v>
      </c>
      <c r="D1174" t="s">
        <v>3830</v>
      </c>
      <c r="E1174" t="s">
        <v>3831</v>
      </c>
      <c r="F1174" s="46">
        <v>46097.32586571759</v>
      </c>
      <c r="G1174" s="46">
        <v>46097.32586571759</v>
      </c>
      <c r="H1174">
        <v>0</v>
      </c>
    </row>
    <row r="1175" spans="1:8" x14ac:dyDescent="0.15">
      <c r="A1175">
        <v>1174</v>
      </c>
      <c r="B1175" t="s">
        <v>339</v>
      </c>
      <c r="C1175" t="s">
        <v>353</v>
      </c>
      <c r="D1175" t="s">
        <v>3832</v>
      </c>
      <c r="E1175" t="s">
        <v>3831</v>
      </c>
      <c r="F1175" s="46">
        <v>46097.32586571759</v>
      </c>
      <c r="G1175" s="46">
        <v>46097.32586571759</v>
      </c>
      <c r="H1175">
        <v>0</v>
      </c>
    </row>
    <row r="1176" spans="1:8" x14ac:dyDescent="0.15">
      <c r="A1176">
        <v>1175</v>
      </c>
      <c r="B1176" t="s">
        <v>339</v>
      </c>
      <c r="C1176" t="s">
        <v>353</v>
      </c>
      <c r="D1176" t="s">
        <v>3833</v>
      </c>
      <c r="E1176" t="s">
        <v>3831</v>
      </c>
      <c r="F1176" s="46">
        <v>46097.32586571759</v>
      </c>
      <c r="G1176" s="46">
        <v>46097.32586571759</v>
      </c>
      <c r="H1176">
        <v>0</v>
      </c>
    </row>
    <row r="1177" spans="1:8" x14ac:dyDescent="0.15">
      <c r="A1177">
        <v>1176</v>
      </c>
      <c r="B1177" t="s">
        <v>339</v>
      </c>
      <c r="C1177" t="s">
        <v>353</v>
      </c>
      <c r="D1177" t="s">
        <v>3834</v>
      </c>
      <c r="E1177" t="s">
        <v>3831</v>
      </c>
      <c r="F1177" s="46">
        <v>46097.32586571759</v>
      </c>
      <c r="G1177" s="46">
        <v>46097.32586571759</v>
      </c>
      <c r="H1177">
        <v>0</v>
      </c>
    </row>
    <row r="1178" spans="1:8" x14ac:dyDescent="0.15">
      <c r="A1178">
        <v>1177</v>
      </c>
      <c r="B1178" t="s">
        <v>339</v>
      </c>
      <c r="C1178" t="s">
        <v>353</v>
      </c>
      <c r="D1178" t="s">
        <v>3835</v>
      </c>
      <c r="E1178" t="s">
        <v>3836</v>
      </c>
      <c r="F1178" s="46">
        <v>46097.32586571759</v>
      </c>
      <c r="G1178" s="46">
        <v>46097.32586571759</v>
      </c>
      <c r="H1178">
        <v>0</v>
      </c>
    </row>
    <row r="1179" spans="1:8" x14ac:dyDescent="0.15">
      <c r="A1179">
        <v>1178</v>
      </c>
      <c r="B1179" t="s">
        <v>339</v>
      </c>
      <c r="C1179" t="s">
        <v>353</v>
      </c>
      <c r="D1179" t="s">
        <v>3837</v>
      </c>
      <c r="E1179" t="s">
        <v>3836</v>
      </c>
      <c r="F1179" s="46">
        <v>46097.32586571759</v>
      </c>
      <c r="G1179" s="46">
        <v>46097.325865902778</v>
      </c>
      <c r="H1179">
        <v>15</v>
      </c>
    </row>
    <row r="1180" spans="1:8" x14ac:dyDescent="0.15">
      <c r="A1180">
        <v>1179</v>
      </c>
      <c r="B1180" t="s">
        <v>339</v>
      </c>
      <c r="C1180" t="s">
        <v>353</v>
      </c>
      <c r="D1180" t="s">
        <v>3838</v>
      </c>
      <c r="E1180" t="s">
        <v>3839</v>
      </c>
      <c r="F1180" s="46">
        <v>46097.325865902778</v>
      </c>
      <c r="G1180" s="46">
        <v>46097.325865902778</v>
      </c>
      <c r="H1180">
        <v>0</v>
      </c>
    </row>
    <row r="1181" spans="1:8" x14ac:dyDescent="0.15">
      <c r="A1181">
        <v>1180</v>
      </c>
      <c r="B1181" t="s">
        <v>339</v>
      </c>
      <c r="C1181" t="s">
        <v>353</v>
      </c>
      <c r="D1181" t="s">
        <v>3840</v>
      </c>
      <c r="E1181" t="s">
        <v>3841</v>
      </c>
      <c r="F1181" s="46">
        <v>46097.325865902778</v>
      </c>
      <c r="G1181" s="46">
        <v>46097.325865902778</v>
      </c>
      <c r="H1181">
        <v>0</v>
      </c>
    </row>
    <row r="1182" spans="1:8" x14ac:dyDescent="0.15">
      <c r="A1182">
        <v>1181</v>
      </c>
      <c r="B1182" t="s">
        <v>339</v>
      </c>
      <c r="C1182" t="s">
        <v>353</v>
      </c>
      <c r="D1182" t="s">
        <v>3842</v>
      </c>
      <c r="E1182" t="s">
        <v>3841</v>
      </c>
      <c r="F1182" s="46">
        <v>46097.325865902778</v>
      </c>
      <c r="G1182" s="46">
        <v>46097.325865902778</v>
      </c>
      <c r="H1182">
        <v>0</v>
      </c>
    </row>
    <row r="1183" spans="1:8" x14ac:dyDescent="0.15">
      <c r="A1183">
        <v>1182</v>
      </c>
      <c r="B1183" t="s">
        <v>339</v>
      </c>
      <c r="C1183" t="s">
        <v>353</v>
      </c>
      <c r="D1183" t="s">
        <v>3843</v>
      </c>
      <c r="E1183" t="s">
        <v>3841</v>
      </c>
      <c r="F1183" s="46">
        <v>46097.325865902778</v>
      </c>
      <c r="G1183" s="46">
        <v>46097.325865902778</v>
      </c>
      <c r="H1183">
        <v>0</v>
      </c>
    </row>
    <row r="1184" spans="1:8" x14ac:dyDescent="0.15">
      <c r="A1184">
        <v>1183</v>
      </c>
      <c r="B1184" t="s">
        <v>339</v>
      </c>
      <c r="C1184" t="s">
        <v>353</v>
      </c>
      <c r="D1184" t="s">
        <v>3844</v>
      </c>
      <c r="E1184" t="s">
        <v>3841</v>
      </c>
      <c r="F1184" s="46">
        <v>46097.325865902778</v>
      </c>
      <c r="G1184" s="46">
        <v>46097.325865902778</v>
      </c>
      <c r="H1184">
        <v>0</v>
      </c>
    </row>
    <row r="1185" spans="1:8" x14ac:dyDescent="0.15">
      <c r="A1185">
        <v>1184</v>
      </c>
      <c r="B1185" t="s">
        <v>339</v>
      </c>
      <c r="C1185" t="s">
        <v>353</v>
      </c>
      <c r="D1185" t="s">
        <v>3845</v>
      </c>
      <c r="E1185" t="s">
        <v>3841</v>
      </c>
      <c r="F1185" s="46">
        <v>46097.325865902778</v>
      </c>
      <c r="G1185" s="46">
        <v>46097.325865902778</v>
      </c>
      <c r="H1185">
        <v>0</v>
      </c>
    </row>
    <row r="1186" spans="1:8" x14ac:dyDescent="0.15">
      <c r="A1186">
        <v>1185</v>
      </c>
      <c r="B1186" t="s">
        <v>339</v>
      </c>
      <c r="C1186" t="s">
        <v>353</v>
      </c>
      <c r="D1186" t="s">
        <v>3846</v>
      </c>
      <c r="E1186" t="s">
        <v>3841</v>
      </c>
      <c r="F1186" s="46">
        <v>46097.325865902778</v>
      </c>
      <c r="G1186" s="46">
        <v>46097.325865902778</v>
      </c>
      <c r="H1186">
        <v>0</v>
      </c>
    </row>
    <row r="1187" spans="1:8" x14ac:dyDescent="0.15">
      <c r="A1187">
        <v>1186</v>
      </c>
      <c r="B1187" t="s">
        <v>339</v>
      </c>
      <c r="C1187" t="s">
        <v>353</v>
      </c>
      <c r="D1187" t="s">
        <v>3847</v>
      </c>
      <c r="E1187" t="s">
        <v>3848</v>
      </c>
      <c r="F1187" s="46">
        <v>46097.325865902778</v>
      </c>
      <c r="G1187" s="46">
        <v>46097.325865902778</v>
      </c>
      <c r="H1187">
        <v>0</v>
      </c>
    </row>
    <row r="1188" spans="1:8" x14ac:dyDescent="0.15">
      <c r="A1188">
        <v>1187</v>
      </c>
      <c r="B1188" t="s">
        <v>339</v>
      </c>
      <c r="C1188" t="s">
        <v>353</v>
      </c>
      <c r="D1188" t="s">
        <v>3849</v>
      </c>
      <c r="E1188" t="s">
        <v>3848</v>
      </c>
      <c r="F1188" s="46">
        <v>46097.325865902778</v>
      </c>
      <c r="G1188" s="46">
        <v>46097.325865902778</v>
      </c>
      <c r="H1188">
        <v>0</v>
      </c>
    </row>
    <row r="1189" spans="1:8" x14ac:dyDescent="0.15">
      <c r="A1189">
        <v>1188</v>
      </c>
      <c r="B1189" t="s">
        <v>339</v>
      </c>
      <c r="C1189" t="s">
        <v>353</v>
      </c>
      <c r="D1189" t="s">
        <v>3850</v>
      </c>
      <c r="E1189" t="s">
        <v>3848</v>
      </c>
      <c r="F1189" s="46">
        <v>46097.325865902778</v>
      </c>
      <c r="G1189" s="46">
        <v>46097.325865902778</v>
      </c>
      <c r="H1189">
        <v>0</v>
      </c>
    </row>
    <row r="1190" spans="1:8" x14ac:dyDescent="0.15">
      <c r="A1190">
        <v>1189</v>
      </c>
      <c r="B1190" t="s">
        <v>339</v>
      </c>
      <c r="C1190" t="s">
        <v>353</v>
      </c>
      <c r="D1190" t="s">
        <v>3851</v>
      </c>
      <c r="E1190" t="s">
        <v>3848</v>
      </c>
      <c r="F1190" s="46">
        <v>46097.325865902778</v>
      </c>
      <c r="G1190" s="46">
        <v>46097.32586607639</v>
      </c>
      <c r="H1190">
        <v>16</v>
      </c>
    </row>
    <row r="1191" spans="1:8" x14ac:dyDescent="0.15">
      <c r="A1191">
        <v>1190</v>
      </c>
      <c r="B1191" t="s">
        <v>339</v>
      </c>
      <c r="C1191" t="s">
        <v>353</v>
      </c>
      <c r="D1191" t="s">
        <v>3852</v>
      </c>
      <c r="E1191" t="s">
        <v>3848</v>
      </c>
      <c r="F1191" s="46">
        <v>46097.32586607639</v>
      </c>
      <c r="G1191" s="46">
        <v>46097.32586607639</v>
      </c>
      <c r="H1191">
        <v>0</v>
      </c>
    </row>
    <row r="1192" spans="1:8" x14ac:dyDescent="0.15">
      <c r="A1192">
        <v>1191</v>
      </c>
      <c r="B1192" t="s">
        <v>339</v>
      </c>
      <c r="C1192" t="s">
        <v>353</v>
      </c>
      <c r="D1192" t="s">
        <v>3853</v>
      </c>
      <c r="E1192" t="s">
        <v>3854</v>
      </c>
      <c r="F1192" s="46">
        <v>46097.32586607639</v>
      </c>
      <c r="G1192" s="46">
        <v>46097.32586607639</v>
      </c>
      <c r="H1192">
        <v>0</v>
      </c>
    </row>
    <row r="1193" spans="1:8" x14ac:dyDescent="0.15">
      <c r="A1193">
        <v>1192</v>
      </c>
      <c r="B1193" t="s">
        <v>339</v>
      </c>
      <c r="C1193" t="s">
        <v>353</v>
      </c>
      <c r="D1193" t="s">
        <v>3855</v>
      </c>
      <c r="E1193" t="s">
        <v>3854</v>
      </c>
      <c r="F1193" s="46">
        <v>46097.32586607639</v>
      </c>
      <c r="G1193" s="46">
        <v>46097.32586607639</v>
      </c>
      <c r="H1193">
        <v>0</v>
      </c>
    </row>
    <row r="1194" spans="1:8" x14ac:dyDescent="0.15">
      <c r="A1194">
        <v>1193</v>
      </c>
      <c r="B1194" t="s">
        <v>339</v>
      </c>
      <c r="C1194" t="s">
        <v>353</v>
      </c>
      <c r="D1194" t="s">
        <v>3856</v>
      </c>
      <c r="E1194" t="s">
        <v>3857</v>
      </c>
      <c r="F1194" s="46">
        <v>46097.32586607639</v>
      </c>
      <c r="G1194" s="46">
        <v>46097.32586607639</v>
      </c>
      <c r="H1194">
        <v>0</v>
      </c>
    </row>
    <row r="1195" spans="1:8" x14ac:dyDescent="0.15">
      <c r="A1195">
        <v>1194</v>
      </c>
      <c r="B1195" t="s">
        <v>339</v>
      </c>
      <c r="C1195" t="s">
        <v>353</v>
      </c>
      <c r="D1195" t="s">
        <v>3858</v>
      </c>
      <c r="E1195" t="s">
        <v>441</v>
      </c>
      <c r="F1195" s="46">
        <v>46097.32586607639</v>
      </c>
      <c r="G1195" s="46">
        <v>46097.32586607639</v>
      </c>
      <c r="H1195">
        <v>0</v>
      </c>
    </row>
    <row r="1196" spans="1:8" x14ac:dyDescent="0.15">
      <c r="A1196">
        <v>1195</v>
      </c>
      <c r="B1196" t="s">
        <v>339</v>
      </c>
      <c r="C1196" t="s">
        <v>353</v>
      </c>
      <c r="D1196" t="s">
        <v>3859</v>
      </c>
      <c r="E1196" t="s">
        <v>441</v>
      </c>
      <c r="F1196" s="46">
        <v>46097.32586607639</v>
      </c>
      <c r="G1196" s="46">
        <v>46097.32586607639</v>
      </c>
      <c r="H1196">
        <v>0</v>
      </c>
    </row>
    <row r="1197" spans="1:8" x14ac:dyDescent="0.15">
      <c r="A1197">
        <v>1196</v>
      </c>
      <c r="B1197" t="s">
        <v>339</v>
      </c>
      <c r="C1197" t="s">
        <v>353</v>
      </c>
      <c r="D1197" t="s">
        <v>3860</v>
      </c>
      <c r="E1197" t="s">
        <v>3861</v>
      </c>
      <c r="F1197" s="46">
        <v>46097.32586607639</v>
      </c>
      <c r="G1197" s="46">
        <v>46097.32586607639</v>
      </c>
      <c r="H1197">
        <v>0</v>
      </c>
    </row>
    <row r="1198" spans="1:8" x14ac:dyDescent="0.15">
      <c r="A1198">
        <v>1197</v>
      </c>
      <c r="B1198" t="s">
        <v>339</v>
      </c>
      <c r="C1198" t="s">
        <v>353</v>
      </c>
      <c r="D1198" t="s">
        <v>3862</v>
      </c>
      <c r="E1198" t="s">
        <v>443</v>
      </c>
      <c r="F1198" s="46">
        <v>46097.32586607639</v>
      </c>
      <c r="G1198" s="46">
        <v>46097.32586607639</v>
      </c>
      <c r="H1198">
        <v>0</v>
      </c>
    </row>
    <row r="1199" spans="1:8" x14ac:dyDescent="0.15">
      <c r="A1199">
        <v>1198</v>
      </c>
      <c r="B1199" t="s">
        <v>339</v>
      </c>
      <c r="C1199" t="s">
        <v>353</v>
      </c>
      <c r="D1199" t="s">
        <v>3863</v>
      </c>
      <c r="E1199" t="s">
        <v>443</v>
      </c>
      <c r="F1199" s="46">
        <v>46097.32586607639</v>
      </c>
      <c r="G1199" s="46">
        <v>46097.32586607639</v>
      </c>
      <c r="H1199">
        <v>0</v>
      </c>
    </row>
    <row r="1200" spans="1:8" x14ac:dyDescent="0.15">
      <c r="A1200">
        <v>1199</v>
      </c>
      <c r="B1200" t="s">
        <v>339</v>
      </c>
      <c r="C1200" t="s">
        <v>353</v>
      </c>
      <c r="D1200" t="s">
        <v>3864</v>
      </c>
      <c r="E1200" t="s">
        <v>443</v>
      </c>
      <c r="F1200" s="46">
        <v>46097.32586607639</v>
      </c>
      <c r="G1200" s="46">
        <v>46097.32586607639</v>
      </c>
      <c r="H1200">
        <v>0</v>
      </c>
    </row>
    <row r="1201" spans="1:8" x14ac:dyDescent="0.15">
      <c r="A1201">
        <v>1200</v>
      </c>
      <c r="B1201" t="s">
        <v>339</v>
      </c>
      <c r="C1201" t="s">
        <v>353</v>
      </c>
      <c r="D1201" t="s">
        <v>3865</v>
      </c>
      <c r="E1201" t="s">
        <v>443</v>
      </c>
      <c r="F1201" s="46">
        <v>46097.32586607639</v>
      </c>
      <c r="G1201" s="46">
        <v>46097.325866261577</v>
      </c>
      <c r="H1201">
        <v>16</v>
      </c>
    </row>
    <row r="1202" spans="1:8" x14ac:dyDescent="0.15">
      <c r="A1202">
        <v>1201</v>
      </c>
      <c r="B1202" t="s">
        <v>339</v>
      </c>
      <c r="C1202" t="s">
        <v>353</v>
      </c>
      <c r="D1202" t="s">
        <v>3866</v>
      </c>
      <c r="E1202" t="s">
        <v>443</v>
      </c>
      <c r="F1202" s="46">
        <v>46097.325866261577</v>
      </c>
      <c r="G1202" s="46">
        <v>46097.325866261577</v>
      </c>
      <c r="H1202">
        <v>0</v>
      </c>
    </row>
    <row r="1203" spans="1:8" x14ac:dyDescent="0.15">
      <c r="A1203">
        <v>1202</v>
      </c>
      <c r="B1203" t="s">
        <v>339</v>
      </c>
      <c r="C1203" t="s">
        <v>353</v>
      </c>
      <c r="D1203" t="s">
        <v>3867</v>
      </c>
      <c r="E1203" t="s">
        <v>443</v>
      </c>
      <c r="F1203" s="46">
        <v>46097.325866261577</v>
      </c>
      <c r="G1203" s="46">
        <v>46097.325866261577</v>
      </c>
      <c r="H1203">
        <v>0</v>
      </c>
    </row>
    <row r="1204" spans="1:8" x14ac:dyDescent="0.15">
      <c r="A1204">
        <v>1203</v>
      </c>
      <c r="B1204" t="s">
        <v>339</v>
      </c>
      <c r="C1204" t="s">
        <v>353</v>
      </c>
      <c r="D1204" t="s">
        <v>3868</v>
      </c>
      <c r="E1204" t="s">
        <v>443</v>
      </c>
      <c r="F1204" s="46">
        <v>46097.325866261577</v>
      </c>
      <c r="G1204" s="46">
        <v>46097.325866261577</v>
      </c>
      <c r="H1204">
        <v>0</v>
      </c>
    </row>
    <row r="1205" spans="1:8" x14ac:dyDescent="0.15">
      <c r="A1205">
        <v>1204</v>
      </c>
      <c r="B1205" t="s">
        <v>339</v>
      </c>
      <c r="C1205" t="s">
        <v>353</v>
      </c>
      <c r="D1205" t="s">
        <v>3869</v>
      </c>
      <c r="E1205" t="s">
        <v>443</v>
      </c>
      <c r="F1205" s="46">
        <v>46097.325866261577</v>
      </c>
      <c r="G1205" s="46">
        <v>46097.325866261577</v>
      </c>
      <c r="H1205">
        <v>0</v>
      </c>
    </row>
    <row r="1206" spans="1:8" x14ac:dyDescent="0.15">
      <c r="A1206">
        <v>1205</v>
      </c>
      <c r="B1206" t="s">
        <v>339</v>
      </c>
      <c r="C1206" t="s">
        <v>353</v>
      </c>
      <c r="D1206" t="s">
        <v>3870</v>
      </c>
      <c r="E1206" t="s">
        <v>443</v>
      </c>
      <c r="F1206" s="46">
        <v>46097.325866261577</v>
      </c>
      <c r="G1206" s="46">
        <v>46097.325866261577</v>
      </c>
      <c r="H1206">
        <v>0</v>
      </c>
    </row>
    <row r="1207" spans="1:8" x14ac:dyDescent="0.15">
      <c r="A1207">
        <v>1206</v>
      </c>
      <c r="B1207" t="s">
        <v>339</v>
      </c>
      <c r="C1207" t="s">
        <v>353</v>
      </c>
      <c r="D1207" t="s">
        <v>3871</v>
      </c>
      <c r="E1207" t="s">
        <v>443</v>
      </c>
      <c r="F1207" s="46">
        <v>46097.325866261577</v>
      </c>
      <c r="G1207" s="46">
        <v>46097.325866261577</v>
      </c>
      <c r="H1207">
        <v>0</v>
      </c>
    </row>
    <row r="1208" spans="1:8" x14ac:dyDescent="0.15">
      <c r="A1208">
        <v>1207</v>
      </c>
      <c r="B1208" t="s">
        <v>339</v>
      </c>
      <c r="C1208" t="s">
        <v>353</v>
      </c>
      <c r="D1208" t="s">
        <v>3872</v>
      </c>
      <c r="E1208" t="s">
        <v>443</v>
      </c>
      <c r="F1208" s="46">
        <v>46097.325866261577</v>
      </c>
      <c r="G1208" s="46">
        <v>46097.325866261577</v>
      </c>
      <c r="H1208">
        <v>0</v>
      </c>
    </row>
    <row r="1209" spans="1:8" x14ac:dyDescent="0.15">
      <c r="A1209">
        <v>1208</v>
      </c>
      <c r="B1209" t="s">
        <v>339</v>
      </c>
      <c r="C1209" t="s">
        <v>353</v>
      </c>
      <c r="D1209" t="s">
        <v>3873</v>
      </c>
      <c r="E1209" t="s">
        <v>3874</v>
      </c>
      <c r="F1209" s="46">
        <v>46097.325866261577</v>
      </c>
      <c r="G1209" s="46">
        <v>46097.325866261577</v>
      </c>
      <c r="H1209">
        <v>0</v>
      </c>
    </row>
    <row r="1210" spans="1:8" x14ac:dyDescent="0.15">
      <c r="A1210">
        <v>1209</v>
      </c>
      <c r="B1210" t="s">
        <v>339</v>
      </c>
      <c r="C1210" t="s">
        <v>353</v>
      </c>
      <c r="D1210" t="s">
        <v>3875</v>
      </c>
      <c r="E1210" t="s">
        <v>3876</v>
      </c>
      <c r="F1210" s="46">
        <v>46097.325866261577</v>
      </c>
      <c r="G1210" s="46">
        <v>46097.325866261577</v>
      </c>
      <c r="H1210">
        <v>0</v>
      </c>
    </row>
    <row r="1211" spans="1:8" x14ac:dyDescent="0.15">
      <c r="A1211">
        <v>1210</v>
      </c>
      <c r="B1211" t="s">
        <v>339</v>
      </c>
      <c r="C1211" t="s">
        <v>353</v>
      </c>
      <c r="D1211" t="s">
        <v>3877</v>
      </c>
      <c r="E1211" t="s">
        <v>3878</v>
      </c>
      <c r="F1211" s="46">
        <v>46097.325866261577</v>
      </c>
      <c r="G1211" s="46">
        <v>46097.325866446758</v>
      </c>
      <c r="H1211">
        <v>15</v>
      </c>
    </row>
    <row r="1212" spans="1:8" x14ac:dyDescent="0.15">
      <c r="A1212">
        <v>1211</v>
      </c>
      <c r="B1212" t="s">
        <v>339</v>
      </c>
      <c r="C1212" t="s">
        <v>353</v>
      </c>
      <c r="D1212" t="s">
        <v>3879</v>
      </c>
      <c r="E1212" t="s">
        <v>3878</v>
      </c>
      <c r="F1212" s="46">
        <v>46097.325866446758</v>
      </c>
      <c r="G1212" s="46">
        <v>46097.325866446758</v>
      </c>
      <c r="H1212">
        <v>0</v>
      </c>
    </row>
    <row r="1213" spans="1:8" x14ac:dyDescent="0.15">
      <c r="A1213">
        <v>1212</v>
      </c>
      <c r="B1213" t="s">
        <v>339</v>
      </c>
      <c r="C1213" t="s">
        <v>353</v>
      </c>
      <c r="D1213" t="s">
        <v>3880</v>
      </c>
      <c r="E1213" t="s">
        <v>3878</v>
      </c>
      <c r="F1213" s="46">
        <v>46097.325866446758</v>
      </c>
      <c r="G1213" s="46">
        <v>46097.325866446758</v>
      </c>
      <c r="H1213">
        <v>0</v>
      </c>
    </row>
    <row r="1214" spans="1:8" x14ac:dyDescent="0.15">
      <c r="A1214">
        <v>1213</v>
      </c>
      <c r="B1214" t="s">
        <v>339</v>
      </c>
      <c r="C1214" t="s">
        <v>353</v>
      </c>
      <c r="D1214" t="s">
        <v>3881</v>
      </c>
      <c r="E1214" t="s">
        <v>3878</v>
      </c>
      <c r="F1214" s="46">
        <v>46097.325866446758</v>
      </c>
      <c r="G1214" s="46">
        <v>46097.325866446758</v>
      </c>
      <c r="H1214">
        <v>0</v>
      </c>
    </row>
    <row r="1215" spans="1:8" x14ac:dyDescent="0.15">
      <c r="A1215">
        <v>1214</v>
      </c>
      <c r="B1215" t="s">
        <v>339</v>
      </c>
      <c r="C1215" t="s">
        <v>353</v>
      </c>
      <c r="D1215" t="s">
        <v>3882</v>
      </c>
      <c r="E1215" t="s">
        <v>3883</v>
      </c>
      <c r="F1215" s="46">
        <v>46097.325866446758</v>
      </c>
      <c r="G1215" s="46">
        <v>46097.325866446758</v>
      </c>
      <c r="H1215">
        <v>0</v>
      </c>
    </row>
    <row r="1216" spans="1:8" x14ac:dyDescent="0.15">
      <c r="A1216">
        <v>1215</v>
      </c>
      <c r="B1216" t="s">
        <v>339</v>
      </c>
      <c r="C1216" t="s">
        <v>353</v>
      </c>
      <c r="D1216" t="s">
        <v>3884</v>
      </c>
      <c r="E1216" t="s">
        <v>3885</v>
      </c>
      <c r="F1216" s="46">
        <v>46097.325866446758</v>
      </c>
      <c r="G1216" s="46">
        <v>46097.325866446758</v>
      </c>
      <c r="H1216">
        <v>0</v>
      </c>
    </row>
    <row r="1217" spans="1:8" x14ac:dyDescent="0.15">
      <c r="A1217">
        <v>1216</v>
      </c>
      <c r="B1217" t="s">
        <v>339</v>
      </c>
      <c r="C1217" t="s">
        <v>353</v>
      </c>
      <c r="D1217" t="s">
        <v>3886</v>
      </c>
      <c r="E1217" t="s">
        <v>3887</v>
      </c>
      <c r="F1217" s="46">
        <v>46097.325866446758</v>
      </c>
      <c r="G1217" s="46">
        <v>46097.325866446758</v>
      </c>
      <c r="H1217">
        <v>0</v>
      </c>
    </row>
    <row r="1218" spans="1:8" x14ac:dyDescent="0.15">
      <c r="A1218">
        <v>1217</v>
      </c>
      <c r="B1218" t="s">
        <v>339</v>
      </c>
      <c r="C1218" t="s">
        <v>353</v>
      </c>
      <c r="D1218" t="s">
        <v>3888</v>
      </c>
      <c r="E1218" t="s">
        <v>3889</v>
      </c>
      <c r="F1218" s="46">
        <v>46097.325866446758</v>
      </c>
      <c r="G1218" s="46">
        <v>46097.325866446758</v>
      </c>
      <c r="H1218">
        <v>0</v>
      </c>
    </row>
    <row r="1219" spans="1:8" x14ac:dyDescent="0.15">
      <c r="A1219">
        <v>1218</v>
      </c>
      <c r="B1219" t="s">
        <v>339</v>
      </c>
      <c r="C1219" t="s">
        <v>353</v>
      </c>
      <c r="D1219" t="s">
        <v>3890</v>
      </c>
      <c r="E1219" t="s">
        <v>3891</v>
      </c>
      <c r="F1219" s="46">
        <v>46097.325866446758</v>
      </c>
      <c r="G1219" s="46">
        <v>46097.325866446758</v>
      </c>
      <c r="H1219">
        <v>0</v>
      </c>
    </row>
    <row r="1220" spans="1:8" x14ac:dyDescent="0.15">
      <c r="A1220">
        <v>1219</v>
      </c>
      <c r="B1220" t="s">
        <v>339</v>
      </c>
      <c r="C1220" t="s">
        <v>353</v>
      </c>
      <c r="D1220" t="s">
        <v>3892</v>
      </c>
      <c r="E1220" t="s">
        <v>3891</v>
      </c>
      <c r="F1220" s="46">
        <v>46097.325866446758</v>
      </c>
      <c r="G1220" s="46">
        <v>46097.325866446758</v>
      </c>
      <c r="H1220">
        <v>0</v>
      </c>
    </row>
    <row r="1221" spans="1:8" x14ac:dyDescent="0.15">
      <c r="A1221">
        <v>1220</v>
      </c>
      <c r="B1221" t="s">
        <v>339</v>
      </c>
      <c r="C1221" t="s">
        <v>353</v>
      </c>
      <c r="D1221" t="s">
        <v>3893</v>
      </c>
      <c r="E1221" t="s">
        <v>3891</v>
      </c>
      <c r="F1221" s="46">
        <v>46097.325866446758</v>
      </c>
      <c r="G1221" s="46">
        <v>46097.325866446758</v>
      </c>
      <c r="H1221">
        <v>0</v>
      </c>
    </row>
    <row r="1222" spans="1:8" x14ac:dyDescent="0.15">
      <c r="A1222">
        <v>1221</v>
      </c>
      <c r="B1222" t="s">
        <v>339</v>
      </c>
      <c r="C1222" t="s">
        <v>353</v>
      </c>
      <c r="D1222" t="s">
        <v>3894</v>
      </c>
      <c r="E1222" t="s">
        <v>448</v>
      </c>
      <c r="F1222" s="46">
        <v>46097.325866446758</v>
      </c>
      <c r="G1222" s="46">
        <v>46097.325866620369</v>
      </c>
      <c r="H1222">
        <v>16</v>
      </c>
    </row>
    <row r="1223" spans="1:8" x14ac:dyDescent="0.15">
      <c r="A1223">
        <v>1222</v>
      </c>
      <c r="B1223" t="s">
        <v>339</v>
      </c>
      <c r="C1223" t="s">
        <v>353</v>
      </c>
      <c r="D1223" t="s">
        <v>3895</v>
      </c>
      <c r="E1223" t="s">
        <v>448</v>
      </c>
      <c r="F1223" s="46">
        <v>46097.325866620369</v>
      </c>
      <c r="G1223" s="46">
        <v>46097.325866620369</v>
      </c>
      <c r="H1223">
        <v>0</v>
      </c>
    </row>
    <row r="1224" spans="1:8" x14ac:dyDescent="0.15">
      <c r="A1224">
        <v>1223</v>
      </c>
      <c r="B1224" t="s">
        <v>339</v>
      </c>
      <c r="C1224" t="s">
        <v>353</v>
      </c>
      <c r="D1224" t="s">
        <v>3896</v>
      </c>
      <c r="E1224" t="s">
        <v>450</v>
      </c>
      <c r="F1224" s="46">
        <v>46097.325866620369</v>
      </c>
      <c r="G1224" s="46">
        <v>46097.325866620369</v>
      </c>
      <c r="H1224">
        <v>0</v>
      </c>
    </row>
    <row r="1225" spans="1:8" x14ac:dyDescent="0.15">
      <c r="A1225">
        <v>1224</v>
      </c>
      <c r="B1225" t="s">
        <v>339</v>
      </c>
      <c r="C1225" t="s">
        <v>353</v>
      </c>
      <c r="D1225" t="s">
        <v>3897</v>
      </c>
      <c r="E1225" t="s">
        <v>450</v>
      </c>
      <c r="F1225" s="46">
        <v>46097.325866620369</v>
      </c>
      <c r="G1225" s="46">
        <v>46097.325866620369</v>
      </c>
      <c r="H1225">
        <v>0</v>
      </c>
    </row>
    <row r="1226" spans="1:8" x14ac:dyDescent="0.15">
      <c r="A1226">
        <v>1225</v>
      </c>
      <c r="B1226" t="s">
        <v>339</v>
      </c>
      <c r="C1226" t="s">
        <v>353</v>
      </c>
      <c r="D1226" t="s">
        <v>3898</v>
      </c>
      <c r="E1226" t="s">
        <v>452</v>
      </c>
      <c r="F1226" s="46">
        <v>46097.325866620369</v>
      </c>
      <c r="G1226" s="46">
        <v>46097.325866620369</v>
      </c>
      <c r="H1226">
        <v>0</v>
      </c>
    </row>
    <row r="1227" spans="1:8" x14ac:dyDescent="0.15">
      <c r="A1227">
        <v>1226</v>
      </c>
      <c r="B1227" t="s">
        <v>339</v>
      </c>
      <c r="C1227" t="s">
        <v>353</v>
      </c>
      <c r="D1227" t="s">
        <v>3899</v>
      </c>
      <c r="E1227" t="s">
        <v>452</v>
      </c>
      <c r="F1227" s="46">
        <v>46097.325866620369</v>
      </c>
      <c r="G1227" s="46">
        <v>46097.325866620369</v>
      </c>
      <c r="H1227">
        <v>0</v>
      </c>
    </row>
    <row r="1228" spans="1:8" x14ac:dyDescent="0.15">
      <c r="A1228">
        <v>1227</v>
      </c>
      <c r="B1228" t="s">
        <v>339</v>
      </c>
      <c r="C1228" t="s">
        <v>353</v>
      </c>
      <c r="D1228" t="s">
        <v>3900</v>
      </c>
      <c r="E1228" t="s">
        <v>454</v>
      </c>
      <c r="F1228" s="46">
        <v>46097.325866620369</v>
      </c>
      <c r="G1228" s="46">
        <v>46097.325866620369</v>
      </c>
      <c r="H1228">
        <v>0</v>
      </c>
    </row>
    <row r="1229" spans="1:8" x14ac:dyDescent="0.15">
      <c r="A1229">
        <v>1228</v>
      </c>
      <c r="B1229" t="s">
        <v>339</v>
      </c>
      <c r="C1229" t="s">
        <v>353</v>
      </c>
      <c r="D1229" t="s">
        <v>3901</v>
      </c>
      <c r="E1229" t="s">
        <v>3902</v>
      </c>
      <c r="F1229" s="46">
        <v>46097.325866620369</v>
      </c>
      <c r="G1229" s="46">
        <v>46097.325866620369</v>
      </c>
      <c r="H1229">
        <v>0</v>
      </c>
    </row>
    <row r="1230" spans="1:8" x14ac:dyDescent="0.15">
      <c r="A1230">
        <v>1229</v>
      </c>
      <c r="B1230" t="s">
        <v>339</v>
      </c>
      <c r="C1230" t="s">
        <v>353</v>
      </c>
      <c r="D1230" t="s">
        <v>3903</v>
      </c>
      <c r="E1230" t="s">
        <v>3904</v>
      </c>
      <c r="F1230" s="46">
        <v>46097.325866620369</v>
      </c>
      <c r="G1230" s="46">
        <v>46097.325866620369</v>
      </c>
      <c r="H1230">
        <v>0</v>
      </c>
    </row>
    <row r="1231" spans="1:8" x14ac:dyDescent="0.15">
      <c r="A1231">
        <v>1230</v>
      </c>
      <c r="B1231" t="s">
        <v>339</v>
      </c>
      <c r="C1231" t="s">
        <v>353</v>
      </c>
      <c r="D1231" t="s">
        <v>3905</v>
      </c>
      <c r="E1231" t="s">
        <v>3904</v>
      </c>
      <c r="F1231" s="46">
        <v>46097.325866620369</v>
      </c>
      <c r="G1231" s="46">
        <v>46097.325866620369</v>
      </c>
      <c r="H1231">
        <v>0</v>
      </c>
    </row>
    <row r="1232" spans="1:8" x14ac:dyDescent="0.15">
      <c r="A1232">
        <v>1231</v>
      </c>
      <c r="B1232" t="s">
        <v>339</v>
      </c>
      <c r="C1232" t="s">
        <v>353</v>
      </c>
      <c r="D1232" t="s">
        <v>3906</v>
      </c>
      <c r="E1232" t="s">
        <v>3907</v>
      </c>
      <c r="F1232" s="46">
        <v>46097.325866620369</v>
      </c>
      <c r="G1232" s="46">
        <v>46097.325866805557</v>
      </c>
      <c r="H1232">
        <v>15</v>
      </c>
    </row>
    <row r="1233" spans="1:8" x14ac:dyDescent="0.15">
      <c r="A1233">
        <v>1232</v>
      </c>
      <c r="B1233" t="s">
        <v>339</v>
      </c>
      <c r="C1233" t="s">
        <v>353</v>
      </c>
      <c r="D1233" t="s">
        <v>3908</v>
      </c>
      <c r="E1233" t="s">
        <v>3909</v>
      </c>
      <c r="F1233" s="46">
        <v>46097.325866805557</v>
      </c>
      <c r="G1233" s="46">
        <v>46097.325866805557</v>
      </c>
      <c r="H1233">
        <v>0</v>
      </c>
    </row>
    <row r="1234" spans="1:8" x14ac:dyDescent="0.15">
      <c r="A1234">
        <v>1233</v>
      </c>
      <c r="B1234" t="s">
        <v>339</v>
      </c>
      <c r="C1234" t="s">
        <v>353</v>
      </c>
      <c r="D1234" t="s">
        <v>3910</v>
      </c>
      <c r="E1234" t="s">
        <v>3911</v>
      </c>
      <c r="F1234" s="46">
        <v>46097.325866805557</v>
      </c>
      <c r="G1234" s="46">
        <v>46097.325866805557</v>
      </c>
      <c r="H1234">
        <v>0</v>
      </c>
    </row>
    <row r="1235" spans="1:8" x14ac:dyDescent="0.15">
      <c r="A1235">
        <v>1234</v>
      </c>
      <c r="B1235" t="s">
        <v>339</v>
      </c>
      <c r="C1235" t="s">
        <v>353</v>
      </c>
      <c r="D1235" t="s">
        <v>3912</v>
      </c>
      <c r="E1235" t="s">
        <v>3911</v>
      </c>
      <c r="F1235" s="46">
        <v>46097.325866805557</v>
      </c>
      <c r="G1235" s="46">
        <v>46097.325866805557</v>
      </c>
      <c r="H1235">
        <v>0</v>
      </c>
    </row>
    <row r="1236" spans="1:8" x14ac:dyDescent="0.15">
      <c r="A1236">
        <v>1235</v>
      </c>
      <c r="B1236" t="s">
        <v>339</v>
      </c>
      <c r="C1236" t="s">
        <v>353</v>
      </c>
      <c r="D1236" t="s">
        <v>3913</v>
      </c>
      <c r="E1236" t="s">
        <v>3911</v>
      </c>
      <c r="F1236" s="46">
        <v>46097.325866805557</v>
      </c>
      <c r="G1236" s="46">
        <v>46097.325866805557</v>
      </c>
      <c r="H1236">
        <v>0</v>
      </c>
    </row>
    <row r="1237" spans="1:8" x14ac:dyDescent="0.15">
      <c r="A1237">
        <v>1236</v>
      </c>
      <c r="B1237" t="s">
        <v>339</v>
      </c>
      <c r="C1237" t="s">
        <v>353</v>
      </c>
      <c r="D1237" t="s">
        <v>3914</v>
      </c>
      <c r="E1237" t="s">
        <v>3915</v>
      </c>
      <c r="F1237" s="46">
        <v>46097.325866805557</v>
      </c>
      <c r="G1237" s="46">
        <v>46097.325866805557</v>
      </c>
      <c r="H1237">
        <v>0</v>
      </c>
    </row>
    <row r="1238" spans="1:8" x14ac:dyDescent="0.15">
      <c r="A1238">
        <v>1237</v>
      </c>
      <c r="B1238" t="s">
        <v>339</v>
      </c>
      <c r="C1238" t="s">
        <v>353</v>
      </c>
      <c r="D1238" t="s">
        <v>3916</v>
      </c>
      <c r="E1238" t="s">
        <v>3917</v>
      </c>
      <c r="F1238" s="46">
        <v>46097.325866805557</v>
      </c>
      <c r="G1238" s="46">
        <v>46097.325866805557</v>
      </c>
      <c r="H1238">
        <v>0</v>
      </c>
    </row>
    <row r="1239" spans="1:8" x14ac:dyDescent="0.15">
      <c r="A1239">
        <v>1238</v>
      </c>
      <c r="B1239" t="s">
        <v>339</v>
      </c>
      <c r="C1239" t="s">
        <v>353</v>
      </c>
      <c r="D1239" t="s">
        <v>3918</v>
      </c>
      <c r="E1239" t="s">
        <v>3917</v>
      </c>
      <c r="F1239" s="46">
        <v>46097.325866805557</v>
      </c>
      <c r="G1239" s="46">
        <v>46097.325866805557</v>
      </c>
      <c r="H1239">
        <v>0</v>
      </c>
    </row>
    <row r="1240" spans="1:8" x14ac:dyDescent="0.15">
      <c r="A1240">
        <v>1239</v>
      </c>
      <c r="B1240" t="s">
        <v>339</v>
      </c>
      <c r="C1240" t="s">
        <v>353</v>
      </c>
      <c r="D1240" t="s">
        <v>3919</v>
      </c>
      <c r="E1240" t="s">
        <v>3917</v>
      </c>
      <c r="F1240" s="46">
        <v>46097.325866805557</v>
      </c>
      <c r="G1240" s="46">
        <v>46097.325866805557</v>
      </c>
      <c r="H1240">
        <v>0</v>
      </c>
    </row>
    <row r="1241" spans="1:8" x14ac:dyDescent="0.15">
      <c r="A1241">
        <v>1240</v>
      </c>
      <c r="B1241" t="s">
        <v>339</v>
      </c>
      <c r="C1241" t="s">
        <v>353</v>
      </c>
      <c r="D1241" t="s">
        <v>3920</v>
      </c>
      <c r="E1241" t="s">
        <v>3917</v>
      </c>
      <c r="F1241" s="46">
        <v>46097.325866805557</v>
      </c>
      <c r="G1241" s="46">
        <v>46097.325866805557</v>
      </c>
      <c r="H1241">
        <v>0</v>
      </c>
    </row>
    <row r="1242" spans="1:8" x14ac:dyDescent="0.15">
      <c r="A1242">
        <v>1241</v>
      </c>
      <c r="B1242" t="s">
        <v>339</v>
      </c>
      <c r="C1242" t="s">
        <v>353</v>
      </c>
      <c r="D1242" t="s">
        <v>3921</v>
      </c>
      <c r="E1242" t="s">
        <v>3917</v>
      </c>
      <c r="F1242" s="46">
        <v>46097.325866805557</v>
      </c>
      <c r="G1242" s="46">
        <v>46097.325866990737</v>
      </c>
      <c r="H1242">
        <v>16</v>
      </c>
    </row>
    <row r="1243" spans="1:8" x14ac:dyDescent="0.15">
      <c r="A1243">
        <v>1242</v>
      </c>
      <c r="B1243" t="s">
        <v>339</v>
      </c>
      <c r="C1243" t="s">
        <v>353</v>
      </c>
      <c r="D1243" t="s">
        <v>3922</v>
      </c>
      <c r="E1243" t="s">
        <v>3917</v>
      </c>
      <c r="F1243" s="46">
        <v>46097.325866990737</v>
      </c>
      <c r="G1243" s="46">
        <v>46097.325866990737</v>
      </c>
      <c r="H1243">
        <v>0</v>
      </c>
    </row>
    <row r="1244" spans="1:8" x14ac:dyDescent="0.15">
      <c r="A1244">
        <v>1243</v>
      </c>
      <c r="B1244" t="s">
        <v>339</v>
      </c>
      <c r="C1244" t="s">
        <v>353</v>
      </c>
      <c r="D1244" t="s">
        <v>3923</v>
      </c>
      <c r="E1244" t="s">
        <v>3917</v>
      </c>
      <c r="F1244" s="46">
        <v>46097.325866990737</v>
      </c>
      <c r="G1244" s="46">
        <v>46097.325866990737</v>
      </c>
      <c r="H1244">
        <v>0</v>
      </c>
    </row>
    <row r="1245" spans="1:8" x14ac:dyDescent="0.15">
      <c r="A1245">
        <v>1244</v>
      </c>
      <c r="B1245" t="s">
        <v>339</v>
      </c>
      <c r="C1245" t="s">
        <v>353</v>
      </c>
      <c r="D1245" t="s">
        <v>3924</v>
      </c>
      <c r="E1245" t="s">
        <v>3917</v>
      </c>
      <c r="F1245" s="46">
        <v>46097.325866990737</v>
      </c>
      <c r="G1245" s="46">
        <v>46097.325866990737</v>
      </c>
      <c r="H1245">
        <v>0</v>
      </c>
    </row>
    <row r="1246" spans="1:8" x14ac:dyDescent="0.15">
      <c r="A1246">
        <v>1245</v>
      </c>
      <c r="B1246" t="s">
        <v>339</v>
      </c>
      <c r="C1246" t="s">
        <v>353</v>
      </c>
      <c r="D1246" t="s">
        <v>3925</v>
      </c>
      <c r="E1246" t="s">
        <v>3917</v>
      </c>
      <c r="F1246" s="46">
        <v>46097.325866990737</v>
      </c>
      <c r="G1246" s="46">
        <v>46097.325866990737</v>
      </c>
      <c r="H1246">
        <v>0</v>
      </c>
    </row>
    <row r="1247" spans="1:8" x14ac:dyDescent="0.15">
      <c r="A1247">
        <v>1246</v>
      </c>
      <c r="B1247" t="s">
        <v>339</v>
      </c>
      <c r="C1247" t="s">
        <v>353</v>
      </c>
      <c r="D1247" t="s">
        <v>3926</v>
      </c>
      <c r="E1247" t="s">
        <v>3917</v>
      </c>
      <c r="F1247" s="46">
        <v>46097.325866990737</v>
      </c>
      <c r="G1247" s="46">
        <v>46097.325866990737</v>
      </c>
      <c r="H1247">
        <v>0</v>
      </c>
    </row>
    <row r="1248" spans="1:8" x14ac:dyDescent="0.15">
      <c r="A1248">
        <v>1247</v>
      </c>
      <c r="B1248" t="s">
        <v>339</v>
      </c>
      <c r="C1248" t="s">
        <v>353</v>
      </c>
      <c r="D1248" t="s">
        <v>3927</v>
      </c>
      <c r="E1248" t="s">
        <v>3917</v>
      </c>
      <c r="F1248" s="46">
        <v>46097.325866990737</v>
      </c>
      <c r="G1248" s="46">
        <v>46097.325866990737</v>
      </c>
      <c r="H1248">
        <v>0</v>
      </c>
    </row>
    <row r="1249" spans="1:8" x14ac:dyDescent="0.15">
      <c r="A1249">
        <v>1248</v>
      </c>
      <c r="B1249" t="s">
        <v>339</v>
      </c>
      <c r="C1249" t="s">
        <v>353</v>
      </c>
      <c r="D1249" t="s">
        <v>3928</v>
      </c>
      <c r="E1249" t="s">
        <v>3917</v>
      </c>
      <c r="F1249" s="46">
        <v>46097.325866990737</v>
      </c>
      <c r="G1249" s="46">
        <v>46097.325866990737</v>
      </c>
      <c r="H1249">
        <v>0</v>
      </c>
    </row>
    <row r="1250" spans="1:8" x14ac:dyDescent="0.15">
      <c r="A1250">
        <v>1249</v>
      </c>
      <c r="B1250" t="s">
        <v>339</v>
      </c>
      <c r="C1250" t="s">
        <v>353</v>
      </c>
      <c r="D1250" t="s">
        <v>3929</v>
      </c>
      <c r="E1250" t="s">
        <v>3917</v>
      </c>
      <c r="F1250" s="46">
        <v>46097.325866990737</v>
      </c>
      <c r="G1250" s="46">
        <v>46097.325866990737</v>
      </c>
      <c r="H1250">
        <v>0</v>
      </c>
    </row>
    <row r="1251" spans="1:8" x14ac:dyDescent="0.15">
      <c r="A1251">
        <v>1250</v>
      </c>
      <c r="B1251" t="s">
        <v>339</v>
      </c>
      <c r="C1251" t="s">
        <v>353</v>
      </c>
      <c r="D1251" t="s">
        <v>3930</v>
      </c>
      <c r="E1251" t="s">
        <v>3931</v>
      </c>
      <c r="F1251" s="46">
        <v>46097.325866990737</v>
      </c>
      <c r="G1251" s="46">
        <v>46097.325866990737</v>
      </c>
      <c r="H1251">
        <v>0</v>
      </c>
    </row>
    <row r="1252" spans="1:8" x14ac:dyDescent="0.15">
      <c r="A1252">
        <v>1251</v>
      </c>
      <c r="B1252" t="s">
        <v>339</v>
      </c>
      <c r="C1252" t="s">
        <v>353</v>
      </c>
      <c r="D1252" t="s">
        <v>3932</v>
      </c>
      <c r="E1252" t="s">
        <v>3933</v>
      </c>
      <c r="F1252" s="46">
        <v>46097.325866990737</v>
      </c>
      <c r="G1252" s="46">
        <v>46097.325867164349</v>
      </c>
      <c r="H1252">
        <v>16</v>
      </c>
    </row>
    <row r="1253" spans="1:8" x14ac:dyDescent="0.15">
      <c r="A1253">
        <v>1252</v>
      </c>
      <c r="B1253" t="s">
        <v>339</v>
      </c>
      <c r="C1253" t="s">
        <v>353</v>
      </c>
      <c r="D1253" t="s">
        <v>3934</v>
      </c>
      <c r="E1253" t="s">
        <v>3935</v>
      </c>
      <c r="F1253" s="46">
        <v>46097.325867164349</v>
      </c>
      <c r="G1253" s="46">
        <v>46097.325867164349</v>
      </c>
      <c r="H1253">
        <v>0</v>
      </c>
    </row>
    <row r="1254" spans="1:8" x14ac:dyDescent="0.15">
      <c r="A1254">
        <v>1253</v>
      </c>
      <c r="B1254" t="s">
        <v>339</v>
      </c>
      <c r="C1254" t="s">
        <v>353</v>
      </c>
      <c r="D1254" t="s">
        <v>3936</v>
      </c>
      <c r="E1254" t="s">
        <v>456</v>
      </c>
      <c r="F1254" s="46">
        <v>46097.325867164349</v>
      </c>
      <c r="G1254" s="46">
        <v>46097.325867164349</v>
      </c>
      <c r="H1254">
        <v>0</v>
      </c>
    </row>
    <row r="1255" spans="1:8" x14ac:dyDescent="0.15">
      <c r="A1255">
        <v>1254</v>
      </c>
      <c r="B1255" t="s">
        <v>339</v>
      </c>
      <c r="C1255" t="s">
        <v>353</v>
      </c>
      <c r="D1255" t="s">
        <v>3937</v>
      </c>
      <c r="E1255" t="s">
        <v>458</v>
      </c>
      <c r="F1255" s="46">
        <v>46097.325867164349</v>
      </c>
      <c r="G1255" s="46">
        <v>46097.325867164349</v>
      </c>
      <c r="H1255">
        <v>0</v>
      </c>
    </row>
    <row r="1256" spans="1:8" x14ac:dyDescent="0.15">
      <c r="A1256">
        <v>1255</v>
      </c>
      <c r="B1256" t="s">
        <v>339</v>
      </c>
      <c r="C1256" t="s">
        <v>353</v>
      </c>
      <c r="D1256" t="s">
        <v>3938</v>
      </c>
      <c r="E1256" t="s">
        <v>458</v>
      </c>
      <c r="F1256" s="46">
        <v>46097.325867164349</v>
      </c>
      <c r="G1256" s="46">
        <v>46097.325867164349</v>
      </c>
      <c r="H1256">
        <v>0</v>
      </c>
    </row>
    <row r="1257" spans="1:8" x14ac:dyDescent="0.15">
      <c r="A1257">
        <v>1256</v>
      </c>
      <c r="B1257" t="s">
        <v>339</v>
      </c>
      <c r="C1257" t="s">
        <v>353</v>
      </c>
      <c r="D1257" t="s">
        <v>3939</v>
      </c>
      <c r="E1257" t="s">
        <v>458</v>
      </c>
      <c r="F1257" s="46">
        <v>46097.325867164349</v>
      </c>
      <c r="G1257" s="46">
        <v>46097.325867164349</v>
      </c>
      <c r="H1257">
        <v>0</v>
      </c>
    </row>
    <row r="1258" spans="1:8" x14ac:dyDescent="0.15">
      <c r="A1258">
        <v>1257</v>
      </c>
      <c r="B1258" t="s">
        <v>339</v>
      </c>
      <c r="C1258" t="s">
        <v>353</v>
      </c>
      <c r="D1258" t="s">
        <v>3940</v>
      </c>
      <c r="E1258" t="s">
        <v>458</v>
      </c>
      <c r="F1258" s="46">
        <v>46097.325867164349</v>
      </c>
      <c r="G1258" s="46">
        <v>46097.325867164349</v>
      </c>
      <c r="H1258">
        <v>0</v>
      </c>
    </row>
    <row r="1259" spans="1:8" x14ac:dyDescent="0.15">
      <c r="A1259">
        <v>1258</v>
      </c>
      <c r="B1259" t="s">
        <v>339</v>
      </c>
      <c r="C1259" t="s">
        <v>353</v>
      </c>
      <c r="D1259" t="s">
        <v>3941</v>
      </c>
      <c r="E1259" t="s">
        <v>458</v>
      </c>
      <c r="F1259" s="46">
        <v>46097.325867164349</v>
      </c>
      <c r="G1259" s="46">
        <v>46097.325867164349</v>
      </c>
      <c r="H1259">
        <v>0</v>
      </c>
    </row>
    <row r="1260" spans="1:8" x14ac:dyDescent="0.15">
      <c r="A1260">
        <v>1259</v>
      </c>
      <c r="B1260" t="s">
        <v>339</v>
      </c>
      <c r="C1260" t="s">
        <v>353</v>
      </c>
      <c r="D1260" t="s">
        <v>3942</v>
      </c>
      <c r="E1260" t="s">
        <v>459</v>
      </c>
      <c r="F1260" s="46">
        <v>46097.325867164349</v>
      </c>
      <c r="G1260" s="46">
        <v>46097.325867164349</v>
      </c>
      <c r="H1260">
        <v>0</v>
      </c>
    </row>
    <row r="1261" spans="1:8" x14ac:dyDescent="0.15">
      <c r="A1261">
        <v>1260</v>
      </c>
      <c r="B1261" t="s">
        <v>339</v>
      </c>
      <c r="C1261" t="s">
        <v>353</v>
      </c>
      <c r="D1261" t="s">
        <v>3943</v>
      </c>
      <c r="E1261" t="s">
        <v>459</v>
      </c>
      <c r="F1261" s="46">
        <v>46097.325867164349</v>
      </c>
      <c r="G1261" s="46">
        <v>46097.325867164349</v>
      </c>
      <c r="H1261">
        <v>0</v>
      </c>
    </row>
    <row r="1262" spans="1:8" x14ac:dyDescent="0.15">
      <c r="A1262">
        <v>1261</v>
      </c>
      <c r="B1262" t="s">
        <v>339</v>
      </c>
      <c r="C1262" t="s">
        <v>353</v>
      </c>
      <c r="D1262" t="s">
        <v>3944</v>
      </c>
      <c r="E1262" t="s">
        <v>459</v>
      </c>
      <c r="F1262" s="46">
        <v>46097.325867164349</v>
      </c>
      <c r="G1262" s="46">
        <v>46097.325867164349</v>
      </c>
      <c r="H1262">
        <v>0</v>
      </c>
    </row>
    <row r="1263" spans="1:8" x14ac:dyDescent="0.15">
      <c r="A1263">
        <v>1262</v>
      </c>
      <c r="B1263" t="s">
        <v>339</v>
      </c>
      <c r="C1263" t="s">
        <v>353</v>
      </c>
      <c r="D1263" t="s">
        <v>3945</v>
      </c>
      <c r="E1263" t="s">
        <v>459</v>
      </c>
      <c r="F1263" s="46">
        <v>46097.325867164349</v>
      </c>
      <c r="G1263" s="46">
        <v>46097.325867349537</v>
      </c>
      <c r="H1263">
        <v>15</v>
      </c>
    </row>
    <row r="1264" spans="1:8" x14ac:dyDescent="0.15">
      <c r="A1264">
        <v>1263</v>
      </c>
      <c r="B1264" t="s">
        <v>339</v>
      </c>
      <c r="C1264" t="s">
        <v>353</v>
      </c>
      <c r="D1264" t="s">
        <v>3946</v>
      </c>
      <c r="E1264" t="s">
        <v>460</v>
      </c>
      <c r="F1264" s="46">
        <v>46097.325867349537</v>
      </c>
      <c r="G1264" s="46">
        <v>46097.325867349537</v>
      </c>
      <c r="H1264">
        <v>0</v>
      </c>
    </row>
    <row r="1265" spans="1:8" x14ac:dyDescent="0.15">
      <c r="A1265">
        <v>1264</v>
      </c>
      <c r="B1265" t="s">
        <v>339</v>
      </c>
      <c r="C1265" t="s">
        <v>353</v>
      </c>
      <c r="D1265" t="s">
        <v>3947</v>
      </c>
      <c r="E1265" t="s">
        <v>460</v>
      </c>
      <c r="F1265" s="46">
        <v>46097.325867349537</v>
      </c>
      <c r="G1265" s="46">
        <v>46097.325867349537</v>
      </c>
      <c r="H1265">
        <v>0</v>
      </c>
    </row>
    <row r="1266" spans="1:8" x14ac:dyDescent="0.15">
      <c r="A1266">
        <v>1265</v>
      </c>
      <c r="B1266" t="s">
        <v>339</v>
      </c>
      <c r="C1266" t="s">
        <v>353</v>
      </c>
      <c r="D1266" t="s">
        <v>3948</v>
      </c>
      <c r="E1266" t="s">
        <v>460</v>
      </c>
      <c r="F1266" s="46">
        <v>46097.325867349537</v>
      </c>
      <c r="G1266" s="46">
        <v>46097.325867349537</v>
      </c>
      <c r="H1266">
        <v>0</v>
      </c>
    </row>
    <row r="1267" spans="1:8" x14ac:dyDescent="0.15">
      <c r="A1267">
        <v>1266</v>
      </c>
      <c r="B1267" t="s">
        <v>339</v>
      </c>
      <c r="C1267" t="s">
        <v>353</v>
      </c>
      <c r="D1267" t="s">
        <v>3949</v>
      </c>
      <c r="E1267" t="s">
        <v>461</v>
      </c>
      <c r="F1267" s="46">
        <v>46097.325867349537</v>
      </c>
      <c r="G1267" s="46">
        <v>46097.325867349537</v>
      </c>
      <c r="H1267">
        <v>0</v>
      </c>
    </row>
    <row r="1268" spans="1:8" x14ac:dyDescent="0.15">
      <c r="A1268">
        <v>1267</v>
      </c>
      <c r="B1268" t="s">
        <v>339</v>
      </c>
      <c r="C1268" t="s">
        <v>353</v>
      </c>
      <c r="D1268" t="s">
        <v>3950</v>
      </c>
      <c r="E1268" t="s">
        <v>461</v>
      </c>
      <c r="F1268" s="46">
        <v>46097.325867349537</v>
      </c>
      <c r="G1268" s="46">
        <v>46097.325867349537</v>
      </c>
      <c r="H1268">
        <v>0</v>
      </c>
    </row>
    <row r="1269" spans="1:8" x14ac:dyDescent="0.15">
      <c r="A1269">
        <v>1268</v>
      </c>
      <c r="B1269" t="s">
        <v>339</v>
      </c>
      <c r="C1269" t="s">
        <v>353</v>
      </c>
      <c r="D1269" t="s">
        <v>3951</v>
      </c>
      <c r="E1269" t="s">
        <v>462</v>
      </c>
      <c r="F1269" s="46">
        <v>46097.325867349537</v>
      </c>
      <c r="G1269" s="46">
        <v>46097.325867349537</v>
      </c>
      <c r="H1269">
        <v>0</v>
      </c>
    </row>
    <row r="1270" spans="1:8" x14ac:dyDescent="0.15">
      <c r="A1270">
        <v>1269</v>
      </c>
      <c r="B1270" t="s">
        <v>339</v>
      </c>
      <c r="C1270" t="s">
        <v>353</v>
      </c>
      <c r="D1270" t="s">
        <v>3952</v>
      </c>
      <c r="E1270" t="s">
        <v>462</v>
      </c>
      <c r="F1270" s="46">
        <v>46097.325867349537</v>
      </c>
      <c r="G1270" s="46">
        <v>46097.325867349537</v>
      </c>
      <c r="H1270">
        <v>0</v>
      </c>
    </row>
    <row r="1271" spans="1:8" x14ac:dyDescent="0.15">
      <c r="A1271">
        <v>1270</v>
      </c>
      <c r="B1271" t="s">
        <v>339</v>
      </c>
      <c r="C1271" t="s">
        <v>353</v>
      </c>
      <c r="D1271" t="s">
        <v>3953</v>
      </c>
      <c r="E1271" t="s">
        <v>463</v>
      </c>
      <c r="F1271" s="46">
        <v>46097.325867349537</v>
      </c>
      <c r="G1271" s="46">
        <v>46097.325867349537</v>
      </c>
      <c r="H1271">
        <v>0</v>
      </c>
    </row>
    <row r="1272" spans="1:8" x14ac:dyDescent="0.15">
      <c r="A1272">
        <v>1271</v>
      </c>
      <c r="B1272" t="s">
        <v>339</v>
      </c>
      <c r="C1272" t="s">
        <v>353</v>
      </c>
      <c r="D1272" t="s">
        <v>3954</v>
      </c>
      <c r="E1272" t="s">
        <v>463</v>
      </c>
      <c r="F1272" s="46">
        <v>46097.325867349537</v>
      </c>
      <c r="G1272" s="46">
        <v>46097.325867349537</v>
      </c>
      <c r="H1272">
        <v>0</v>
      </c>
    </row>
    <row r="1273" spans="1:8" x14ac:dyDescent="0.15">
      <c r="A1273">
        <v>1272</v>
      </c>
      <c r="B1273" t="s">
        <v>339</v>
      </c>
      <c r="C1273" t="s">
        <v>353</v>
      </c>
      <c r="D1273" t="s">
        <v>3955</v>
      </c>
      <c r="E1273" t="s">
        <v>3956</v>
      </c>
      <c r="F1273" s="46">
        <v>46097.325867349537</v>
      </c>
      <c r="G1273" s="46">
        <v>46097.325867523148</v>
      </c>
      <c r="H1273">
        <v>16</v>
      </c>
    </row>
    <row r="1274" spans="1:8" x14ac:dyDescent="0.15">
      <c r="A1274">
        <v>1273</v>
      </c>
      <c r="B1274" t="s">
        <v>339</v>
      </c>
      <c r="C1274" t="s">
        <v>353</v>
      </c>
      <c r="D1274" t="s">
        <v>3957</v>
      </c>
      <c r="E1274" t="s">
        <v>3958</v>
      </c>
      <c r="F1274" s="46">
        <v>46097.325867523148</v>
      </c>
      <c r="G1274" s="46">
        <v>46097.325867523148</v>
      </c>
      <c r="H1274">
        <v>0</v>
      </c>
    </row>
    <row r="1275" spans="1:8" x14ac:dyDescent="0.15">
      <c r="A1275">
        <v>1274</v>
      </c>
      <c r="B1275" t="s">
        <v>339</v>
      </c>
      <c r="C1275" t="s">
        <v>353</v>
      </c>
      <c r="D1275" t="s">
        <v>3959</v>
      </c>
      <c r="E1275" t="s">
        <v>465</v>
      </c>
      <c r="F1275" s="46">
        <v>46097.325867523148</v>
      </c>
      <c r="G1275" s="46">
        <v>46097.325867523148</v>
      </c>
      <c r="H1275">
        <v>0</v>
      </c>
    </row>
    <row r="1276" spans="1:8" x14ac:dyDescent="0.15">
      <c r="A1276">
        <v>1275</v>
      </c>
      <c r="B1276" t="s">
        <v>339</v>
      </c>
      <c r="C1276" t="s">
        <v>353</v>
      </c>
      <c r="D1276" t="s">
        <v>3960</v>
      </c>
      <c r="E1276" t="s">
        <v>465</v>
      </c>
      <c r="F1276" s="46">
        <v>46097.325867523148</v>
      </c>
      <c r="G1276" s="46">
        <v>46097.325867523148</v>
      </c>
      <c r="H1276">
        <v>0</v>
      </c>
    </row>
    <row r="1277" spans="1:8" x14ac:dyDescent="0.15">
      <c r="A1277">
        <v>1276</v>
      </c>
      <c r="B1277" t="s">
        <v>339</v>
      </c>
      <c r="C1277" t="s">
        <v>353</v>
      </c>
      <c r="D1277" t="s">
        <v>3961</v>
      </c>
      <c r="E1277" t="s">
        <v>466</v>
      </c>
      <c r="F1277" s="46">
        <v>46097.325867523148</v>
      </c>
      <c r="G1277" s="46">
        <v>46097.325867523148</v>
      </c>
      <c r="H1277">
        <v>0</v>
      </c>
    </row>
    <row r="1278" spans="1:8" x14ac:dyDescent="0.15">
      <c r="A1278">
        <v>1277</v>
      </c>
      <c r="B1278" t="s">
        <v>339</v>
      </c>
      <c r="C1278" t="s">
        <v>353</v>
      </c>
      <c r="D1278" t="s">
        <v>3962</v>
      </c>
      <c r="E1278" t="s">
        <v>467</v>
      </c>
      <c r="F1278" s="46">
        <v>46097.325867523148</v>
      </c>
      <c r="G1278" s="46">
        <v>46097.325867523148</v>
      </c>
      <c r="H1278">
        <v>0</v>
      </c>
    </row>
    <row r="1279" spans="1:8" x14ac:dyDescent="0.15">
      <c r="A1279">
        <v>1278</v>
      </c>
      <c r="B1279" t="s">
        <v>339</v>
      </c>
      <c r="C1279" t="s">
        <v>353</v>
      </c>
      <c r="D1279" t="s">
        <v>3963</v>
      </c>
      <c r="E1279" t="s">
        <v>467</v>
      </c>
      <c r="F1279" s="46">
        <v>46097.325867523148</v>
      </c>
      <c r="G1279" s="46">
        <v>46097.325867523148</v>
      </c>
      <c r="H1279">
        <v>0</v>
      </c>
    </row>
    <row r="1280" spans="1:8" x14ac:dyDescent="0.15">
      <c r="A1280">
        <v>1279</v>
      </c>
      <c r="B1280" t="s">
        <v>339</v>
      </c>
      <c r="C1280" t="s">
        <v>353</v>
      </c>
      <c r="D1280" t="s">
        <v>3964</v>
      </c>
      <c r="E1280" t="s">
        <v>467</v>
      </c>
      <c r="F1280" s="46">
        <v>46097.325867523148</v>
      </c>
      <c r="G1280" s="46">
        <v>46097.325867523148</v>
      </c>
      <c r="H1280">
        <v>0</v>
      </c>
    </row>
    <row r="1281" spans="1:8" x14ac:dyDescent="0.15">
      <c r="A1281">
        <v>1280</v>
      </c>
      <c r="B1281" t="s">
        <v>339</v>
      </c>
      <c r="C1281" t="s">
        <v>353</v>
      </c>
      <c r="D1281" t="s">
        <v>3965</v>
      </c>
      <c r="E1281" t="s">
        <v>467</v>
      </c>
      <c r="F1281" s="46">
        <v>46097.325867523148</v>
      </c>
      <c r="G1281" s="46">
        <v>46097.325867523148</v>
      </c>
      <c r="H1281">
        <v>0</v>
      </c>
    </row>
    <row r="1282" spans="1:8" x14ac:dyDescent="0.15">
      <c r="A1282">
        <v>1281</v>
      </c>
      <c r="B1282" t="s">
        <v>339</v>
      </c>
      <c r="C1282" t="s">
        <v>353</v>
      </c>
      <c r="D1282" t="s">
        <v>3966</v>
      </c>
      <c r="E1282" t="s">
        <v>468</v>
      </c>
      <c r="F1282" s="46">
        <v>46097.325867523148</v>
      </c>
      <c r="G1282" s="46">
        <v>46097.325867523148</v>
      </c>
      <c r="H1282">
        <v>0</v>
      </c>
    </row>
    <row r="1283" spans="1:8" x14ac:dyDescent="0.15">
      <c r="A1283">
        <v>1282</v>
      </c>
      <c r="B1283" t="s">
        <v>339</v>
      </c>
      <c r="C1283" t="s">
        <v>353</v>
      </c>
      <c r="D1283" t="s">
        <v>3967</v>
      </c>
      <c r="E1283" t="s">
        <v>468</v>
      </c>
      <c r="F1283" s="46">
        <v>46097.325867523148</v>
      </c>
      <c r="G1283" s="46">
        <v>46097.325867708343</v>
      </c>
      <c r="H1283">
        <v>16</v>
      </c>
    </row>
    <row r="1284" spans="1:8" x14ac:dyDescent="0.15">
      <c r="A1284">
        <v>1283</v>
      </c>
      <c r="B1284" t="s">
        <v>339</v>
      </c>
      <c r="C1284" t="s">
        <v>353</v>
      </c>
      <c r="D1284" t="s">
        <v>3968</v>
      </c>
      <c r="E1284" t="s">
        <v>468</v>
      </c>
      <c r="F1284" s="46">
        <v>46097.325867708343</v>
      </c>
      <c r="G1284" s="46">
        <v>46097.325867708343</v>
      </c>
      <c r="H1284">
        <v>0</v>
      </c>
    </row>
    <row r="1285" spans="1:8" x14ac:dyDescent="0.15">
      <c r="A1285">
        <v>1284</v>
      </c>
      <c r="B1285" t="s">
        <v>339</v>
      </c>
      <c r="C1285" t="s">
        <v>353</v>
      </c>
      <c r="D1285" t="s">
        <v>3969</v>
      </c>
      <c r="E1285" t="s">
        <v>468</v>
      </c>
      <c r="F1285" s="46">
        <v>46097.325867708343</v>
      </c>
      <c r="G1285" s="46">
        <v>46097.325867708343</v>
      </c>
      <c r="H1285">
        <v>0</v>
      </c>
    </row>
    <row r="1286" spans="1:8" x14ac:dyDescent="0.15">
      <c r="A1286">
        <v>1285</v>
      </c>
      <c r="B1286" t="s">
        <v>339</v>
      </c>
      <c r="C1286" t="s">
        <v>353</v>
      </c>
      <c r="D1286" t="s">
        <v>3970</v>
      </c>
      <c r="E1286" t="s">
        <v>468</v>
      </c>
      <c r="F1286" s="46">
        <v>46097.325867708343</v>
      </c>
      <c r="G1286" s="46">
        <v>46097.325867708343</v>
      </c>
      <c r="H1286">
        <v>0</v>
      </c>
    </row>
    <row r="1287" spans="1:8" x14ac:dyDescent="0.15">
      <c r="A1287">
        <v>1286</v>
      </c>
      <c r="B1287" t="s">
        <v>339</v>
      </c>
      <c r="C1287" t="s">
        <v>353</v>
      </c>
      <c r="D1287" t="s">
        <v>3971</v>
      </c>
      <c r="E1287" t="s">
        <v>3972</v>
      </c>
      <c r="F1287" s="46">
        <v>46097.325867708343</v>
      </c>
      <c r="G1287" s="46">
        <v>46097.325867708343</v>
      </c>
      <c r="H1287">
        <v>0</v>
      </c>
    </row>
    <row r="1288" spans="1:8" x14ac:dyDescent="0.15">
      <c r="A1288">
        <v>1287</v>
      </c>
      <c r="B1288" t="s">
        <v>339</v>
      </c>
      <c r="C1288" t="s">
        <v>353</v>
      </c>
      <c r="D1288" t="s">
        <v>3973</v>
      </c>
      <c r="E1288" t="s">
        <v>3972</v>
      </c>
      <c r="F1288" s="46">
        <v>46097.325867708343</v>
      </c>
      <c r="G1288" s="46">
        <v>46097.325867708343</v>
      </c>
      <c r="H1288">
        <v>0</v>
      </c>
    </row>
    <row r="1289" spans="1:8" x14ac:dyDescent="0.15">
      <c r="A1289">
        <v>1288</v>
      </c>
      <c r="B1289" t="s">
        <v>339</v>
      </c>
      <c r="C1289" t="s">
        <v>353</v>
      </c>
      <c r="D1289" t="s">
        <v>3974</v>
      </c>
      <c r="E1289" t="s">
        <v>3975</v>
      </c>
      <c r="F1289" s="46">
        <v>46097.325867708343</v>
      </c>
      <c r="G1289" s="46">
        <v>46097.325867708343</v>
      </c>
      <c r="H1289">
        <v>0</v>
      </c>
    </row>
    <row r="1290" spans="1:8" x14ac:dyDescent="0.15">
      <c r="A1290">
        <v>1289</v>
      </c>
      <c r="B1290" t="s">
        <v>339</v>
      </c>
      <c r="C1290" t="s">
        <v>353</v>
      </c>
      <c r="D1290" t="s">
        <v>3976</v>
      </c>
      <c r="E1290" t="s">
        <v>3975</v>
      </c>
      <c r="F1290" s="46">
        <v>46097.325867708343</v>
      </c>
      <c r="G1290" s="46">
        <v>46097.325867708343</v>
      </c>
      <c r="H1290">
        <v>0</v>
      </c>
    </row>
    <row r="1291" spans="1:8" x14ac:dyDescent="0.15">
      <c r="A1291">
        <v>1290</v>
      </c>
      <c r="B1291" t="s">
        <v>339</v>
      </c>
      <c r="C1291" t="s">
        <v>353</v>
      </c>
      <c r="D1291" t="s">
        <v>3977</v>
      </c>
      <c r="E1291" t="s">
        <v>3978</v>
      </c>
      <c r="F1291" s="46">
        <v>46097.325867708343</v>
      </c>
      <c r="G1291" s="46">
        <v>46097.325867708343</v>
      </c>
      <c r="H1291">
        <v>0</v>
      </c>
    </row>
    <row r="1292" spans="1:8" x14ac:dyDescent="0.15">
      <c r="A1292">
        <v>1291</v>
      </c>
      <c r="B1292" t="s">
        <v>339</v>
      </c>
      <c r="C1292" t="s">
        <v>353</v>
      </c>
      <c r="D1292" t="s">
        <v>3979</v>
      </c>
      <c r="E1292" t="s">
        <v>3978</v>
      </c>
      <c r="F1292" s="46">
        <v>46097.325867708343</v>
      </c>
      <c r="G1292" s="46">
        <v>46097.325867708343</v>
      </c>
      <c r="H1292">
        <v>0</v>
      </c>
    </row>
    <row r="1293" spans="1:8" x14ac:dyDescent="0.15">
      <c r="A1293">
        <v>1292</v>
      </c>
      <c r="B1293" t="s">
        <v>339</v>
      </c>
      <c r="C1293" t="s">
        <v>353</v>
      </c>
      <c r="D1293" t="s">
        <v>3980</v>
      </c>
      <c r="E1293" t="s">
        <v>3981</v>
      </c>
      <c r="F1293" s="46">
        <v>46097.325867708343</v>
      </c>
      <c r="G1293" s="46">
        <v>46097.325867708343</v>
      </c>
      <c r="H1293">
        <v>0</v>
      </c>
    </row>
    <row r="1294" spans="1:8" x14ac:dyDescent="0.15">
      <c r="A1294">
        <v>1293</v>
      </c>
      <c r="B1294" t="s">
        <v>339</v>
      </c>
      <c r="C1294" t="s">
        <v>353</v>
      </c>
      <c r="D1294" t="s">
        <v>3982</v>
      </c>
      <c r="E1294" t="s">
        <v>3983</v>
      </c>
      <c r="F1294" s="46">
        <v>46097.325867708343</v>
      </c>
      <c r="G1294" s="46">
        <v>46097.325867893524</v>
      </c>
      <c r="H1294">
        <v>15</v>
      </c>
    </row>
    <row r="1295" spans="1:8" x14ac:dyDescent="0.15">
      <c r="A1295">
        <v>1294</v>
      </c>
      <c r="B1295" t="s">
        <v>339</v>
      </c>
      <c r="C1295" t="s">
        <v>353</v>
      </c>
      <c r="D1295" t="s">
        <v>3984</v>
      </c>
      <c r="E1295" t="s">
        <v>3983</v>
      </c>
      <c r="F1295" s="46">
        <v>46097.325867893524</v>
      </c>
      <c r="G1295" s="46">
        <v>46097.325867893524</v>
      </c>
      <c r="H1295">
        <v>0</v>
      </c>
    </row>
    <row r="1296" spans="1:8" x14ac:dyDescent="0.15">
      <c r="A1296">
        <v>1295</v>
      </c>
      <c r="B1296" t="s">
        <v>339</v>
      </c>
      <c r="C1296" t="s">
        <v>353</v>
      </c>
      <c r="D1296" t="s">
        <v>3985</v>
      </c>
      <c r="E1296" t="s">
        <v>3983</v>
      </c>
      <c r="F1296" s="46">
        <v>46097.325867893524</v>
      </c>
      <c r="G1296" s="46">
        <v>46097.325867893524</v>
      </c>
      <c r="H1296">
        <v>0</v>
      </c>
    </row>
    <row r="1297" spans="1:8" x14ac:dyDescent="0.15">
      <c r="A1297">
        <v>1296</v>
      </c>
      <c r="B1297" t="s">
        <v>339</v>
      </c>
      <c r="C1297" t="s">
        <v>353</v>
      </c>
      <c r="D1297" t="s">
        <v>3986</v>
      </c>
      <c r="E1297" t="s">
        <v>3987</v>
      </c>
      <c r="F1297" s="46">
        <v>46097.325867893524</v>
      </c>
      <c r="G1297" s="46">
        <v>46097.325867893524</v>
      </c>
      <c r="H1297">
        <v>0</v>
      </c>
    </row>
    <row r="1298" spans="1:8" x14ac:dyDescent="0.15">
      <c r="A1298">
        <v>1297</v>
      </c>
      <c r="B1298" t="s">
        <v>339</v>
      </c>
      <c r="C1298" t="s">
        <v>353</v>
      </c>
      <c r="D1298" t="s">
        <v>3988</v>
      </c>
      <c r="E1298" t="s">
        <v>3987</v>
      </c>
      <c r="F1298" s="46">
        <v>46097.325867893524</v>
      </c>
      <c r="G1298" s="46">
        <v>46097.325867893524</v>
      </c>
      <c r="H1298">
        <v>0</v>
      </c>
    </row>
    <row r="1299" spans="1:8" x14ac:dyDescent="0.15">
      <c r="A1299">
        <v>1298</v>
      </c>
      <c r="B1299" t="s">
        <v>339</v>
      </c>
      <c r="C1299" t="s">
        <v>353</v>
      </c>
      <c r="D1299" t="s">
        <v>3989</v>
      </c>
      <c r="E1299" t="s">
        <v>3990</v>
      </c>
      <c r="F1299" s="46">
        <v>46097.325867893524</v>
      </c>
      <c r="G1299" s="46">
        <v>46097.325867893524</v>
      </c>
      <c r="H1299">
        <v>0</v>
      </c>
    </row>
    <row r="1300" spans="1:8" x14ac:dyDescent="0.15">
      <c r="A1300">
        <v>1299</v>
      </c>
      <c r="B1300" t="s">
        <v>339</v>
      </c>
      <c r="C1300" t="s">
        <v>353</v>
      </c>
      <c r="D1300" t="s">
        <v>3991</v>
      </c>
      <c r="E1300" t="s">
        <v>3990</v>
      </c>
      <c r="F1300" s="46">
        <v>46097.325867893524</v>
      </c>
      <c r="G1300" s="46">
        <v>46097.325867893524</v>
      </c>
      <c r="H1300">
        <v>0</v>
      </c>
    </row>
    <row r="1301" spans="1:8" x14ac:dyDescent="0.15">
      <c r="A1301">
        <v>1300</v>
      </c>
      <c r="B1301" t="s">
        <v>339</v>
      </c>
      <c r="C1301" t="s">
        <v>353</v>
      </c>
      <c r="D1301" t="s">
        <v>3992</v>
      </c>
      <c r="E1301" t="s">
        <v>3993</v>
      </c>
      <c r="F1301" s="46">
        <v>46097.325867893524</v>
      </c>
      <c r="G1301" s="46">
        <v>46097.325867893524</v>
      </c>
      <c r="H1301">
        <v>0</v>
      </c>
    </row>
    <row r="1302" spans="1:8" x14ac:dyDescent="0.15">
      <c r="A1302">
        <v>1301</v>
      </c>
      <c r="B1302" t="s">
        <v>339</v>
      </c>
      <c r="C1302" t="s">
        <v>353</v>
      </c>
      <c r="D1302" t="s">
        <v>3994</v>
      </c>
      <c r="E1302" t="s">
        <v>3993</v>
      </c>
      <c r="F1302" s="46">
        <v>46097.325867893524</v>
      </c>
      <c r="G1302" s="46">
        <v>46097.325867893524</v>
      </c>
      <c r="H1302">
        <v>0</v>
      </c>
    </row>
    <row r="1303" spans="1:8" x14ac:dyDescent="0.15">
      <c r="A1303">
        <v>1302</v>
      </c>
      <c r="B1303" t="s">
        <v>339</v>
      </c>
      <c r="C1303" t="s">
        <v>353</v>
      </c>
      <c r="D1303" t="s">
        <v>3995</v>
      </c>
      <c r="E1303" t="s">
        <v>3993</v>
      </c>
      <c r="F1303" s="46">
        <v>46097.325867893524</v>
      </c>
      <c r="G1303" s="46">
        <v>46097.325867893524</v>
      </c>
      <c r="H1303">
        <v>0</v>
      </c>
    </row>
    <row r="1304" spans="1:8" x14ac:dyDescent="0.15">
      <c r="A1304">
        <v>1303</v>
      </c>
      <c r="B1304" t="s">
        <v>339</v>
      </c>
      <c r="C1304" t="s">
        <v>353</v>
      </c>
      <c r="D1304" t="s">
        <v>3996</v>
      </c>
      <c r="E1304" t="s">
        <v>3997</v>
      </c>
      <c r="F1304" s="46">
        <v>46097.325867893524</v>
      </c>
      <c r="G1304" s="46">
        <v>46097.325868067128</v>
      </c>
      <c r="H1304">
        <v>16</v>
      </c>
    </row>
    <row r="1305" spans="1:8" x14ac:dyDescent="0.15">
      <c r="A1305">
        <v>1304</v>
      </c>
      <c r="B1305" t="s">
        <v>339</v>
      </c>
      <c r="C1305" t="s">
        <v>353</v>
      </c>
      <c r="D1305" t="s">
        <v>3998</v>
      </c>
      <c r="E1305" t="s">
        <v>3997</v>
      </c>
      <c r="F1305" s="46">
        <v>46097.325868067128</v>
      </c>
      <c r="G1305" s="46">
        <v>46097.325868067128</v>
      </c>
      <c r="H1305">
        <v>0</v>
      </c>
    </row>
    <row r="1306" spans="1:8" x14ac:dyDescent="0.15">
      <c r="A1306">
        <v>1305</v>
      </c>
      <c r="B1306" t="s">
        <v>339</v>
      </c>
      <c r="C1306" t="s">
        <v>353</v>
      </c>
      <c r="D1306" t="s">
        <v>3999</v>
      </c>
      <c r="E1306" t="s">
        <v>4000</v>
      </c>
      <c r="F1306" s="46">
        <v>46097.325868067128</v>
      </c>
      <c r="G1306" s="46">
        <v>46097.325868067128</v>
      </c>
      <c r="H1306">
        <v>0</v>
      </c>
    </row>
    <row r="1307" spans="1:8" x14ac:dyDescent="0.15">
      <c r="A1307">
        <v>1306</v>
      </c>
      <c r="B1307" t="s">
        <v>339</v>
      </c>
      <c r="C1307" t="s">
        <v>353</v>
      </c>
      <c r="D1307" t="s">
        <v>4001</v>
      </c>
      <c r="E1307" t="s">
        <v>4000</v>
      </c>
      <c r="F1307" s="46">
        <v>46097.325868067128</v>
      </c>
      <c r="G1307" s="46">
        <v>46097.325868067128</v>
      </c>
      <c r="H1307">
        <v>0</v>
      </c>
    </row>
    <row r="1308" spans="1:8" x14ac:dyDescent="0.15">
      <c r="A1308">
        <v>1307</v>
      </c>
      <c r="B1308" t="s">
        <v>339</v>
      </c>
      <c r="C1308" t="s">
        <v>353</v>
      </c>
      <c r="D1308" t="s">
        <v>4002</v>
      </c>
      <c r="E1308" t="s">
        <v>4000</v>
      </c>
      <c r="F1308" s="46">
        <v>46097.325868067128</v>
      </c>
      <c r="G1308" s="46">
        <v>46097.325868067128</v>
      </c>
      <c r="H1308">
        <v>0</v>
      </c>
    </row>
    <row r="1309" spans="1:8" x14ac:dyDescent="0.15">
      <c r="A1309">
        <v>1308</v>
      </c>
      <c r="B1309" t="s">
        <v>339</v>
      </c>
      <c r="C1309" t="s">
        <v>353</v>
      </c>
      <c r="D1309" t="s">
        <v>4003</v>
      </c>
      <c r="E1309" t="s">
        <v>4004</v>
      </c>
      <c r="F1309" s="46">
        <v>46097.325868067128</v>
      </c>
      <c r="G1309" s="46">
        <v>46097.325868067128</v>
      </c>
      <c r="H1309">
        <v>0</v>
      </c>
    </row>
    <row r="1310" spans="1:8" x14ac:dyDescent="0.15">
      <c r="A1310">
        <v>1309</v>
      </c>
      <c r="B1310" t="s">
        <v>339</v>
      </c>
      <c r="C1310" t="s">
        <v>353</v>
      </c>
      <c r="D1310" t="s">
        <v>4005</v>
      </c>
      <c r="E1310" t="s">
        <v>4004</v>
      </c>
      <c r="F1310" s="46">
        <v>46097.325868067128</v>
      </c>
      <c r="G1310" s="46">
        <v>46097.325868067128</v>
      </c>
      <c r="H1310">
        <v>0</v>
      </c>
    </row>
    <row r="1311" spans="1:8" x14ac:dyDescent="0.15">
      <c r="A1311">
        <v>1310</v>
      </c>
      <c r="B1311" t="s">
        <v>339</v>
      </c>
      <c r="C1311" t="s">
        <v>353</v>
      </c>
      <c r="D1311" t="s">
        <v>4006</v>
      </c>
      <c r="E1311" t="s">
        <v>4004</v>
      </c>
      <c r="F1311" s="46">
        <v>46097.325868067128</v>
      </c>
      <c r="G1311" s="46">
        <v>46097.325868067128</v>
      </c>
      <c r="H1311">
        <v>0</v>
      </c>
    </row>
    <row r="1312" spans="1:8" x14ac:dyDescent="0.15">
      <c r="A1312">
        <v>1311</v>
      </c>
      <c r="B1312" t="s">
        <v>339</v>
      </c>
      <c r="C1312" t="s">
        <v>353</v>
      </c>
      <c r="D1312" t="s">
        <v>4007</v>
      </c>
      <c r="E1312" t="s">
        <v>4008</v>
      </c>
      <c r="F1312" s="46">
        <v>46097.325868067128</v>
      </c>
      <c r="G1312" s="46">
        <v>46097.325868067128</v>
      </c>
      <c r="H1312">
        <v>0</v>
      </c>
    </row>
    <row r="1313" spans="1:8" x14ac:dyDescent="0.15">
      <c r="A1313">
        <v>1312</v>
      </c>
      <c r="B1313" t="s">
        <v>339</v>
      </c>
      <c r="C1313" t="s">
        <v>353</v>
      </c>
      <c r="D1313" t="s">
        <v>4009</v>
      </c>
      <c r="E1313" t="s">
        <v>4008</v>
      </c>
      <c r="F1313" s="46">
        <v>46097.325868067128</v>
      </c>
      <c r="G1313" s="46">
        <v>46097.325868067128</v>
      </c>
      <c r="H1313">
        <v>0</v>
      </c>
    </row>
    <row r="1314" spans="1:8" x14ac:dyDescent="0.15">
      <c r="A1314">
        <v>1313</v>
      </c>
      <c r="B1314" t="s">
        <v>339</v>
      </c>
      <c r="C1314" t="s">
        <v>353</v>
      </c>
      <c r="D1314" t="s">
        <v>4010</v>
      </c>
      <c r="E1314" t="s">
        <v>4008</v>
      </c>
      <c r="F1314" s="46">
        <v>46097.325868067128</v>
      </c>
      <c r="G1314" s="46">
        <v>46097.325868252323</v>
      </c>
      <c r="H1314">
        <v>15</v>
      </c>
    </row>
    <row r="1315" spans="1:8" x14ac:dyDescent="0.15">
      <c r="A1315">
        <v>1314</v>
      </c>
      <c r="B1315" t="s">
        <v>339</v>
      </c>
      <c r="C1315" t="s">
        <v>353</v>
      </c>
      <c r="D1315" t="s">
        <v>4011</v>
      </c>
      <c r="E1315" t="s">
        <v>4008</v>
      </c>
      <c r="F1315" s="46">
        <v>46097.325868252323</v>
      </c>
      <c r="G1315" s="46">
        <v>46097.325868252323</v>
      </c>
      <c r="H1315">
        <v>0</v>
      </c>
    </row>
    <row r="1316" spans="1:8" x14ac:dyDescent="0.15">
      <c r="A1316">
        <v>1315</v>
      </c>
      <c r="B1316" t="s">
        <v>339</v>
      </c>
      <c r="C1316" t="s">
        <v>353</v>
      </c>
      <c r="D1316" t="s">
        <v>4012</v>
      </c>
      <c r="E1316" t="s">
        <v>4008</v>
      </c>
      <c r="F1316" s="46">
        <v>46097.325868252323</v>
      </c>
      <c r="G1316" s="46">
        <v>46097.325868252323</v>
      </c>
      <c r="H1316">
        <v>0</v>
      </c>
    </row>
    <row r="1317" spans="1:8" x14ac:dyDescent="0.15">
      <c r="A1317">
        <v>1316</v>
      </c>
      <c r="B1317" t="s">
        <v>339</v>
      </c>
      <c r="C1317" t="s">
        <v>353</v>
      </c>
      <c r="D1317" t="s">
        <v>4013</v>
      </c>
      <c r="E1317" t="s">
        <v>1021</v>
      </c>
      <c r="F1317" s="46">
        <v>46097.325868252323</v>
      </c>
      <c r="G1317" s="46">
        <v>46097.325868252323</v>
      </c>
      <c r="H1317">
        <v>0</v>
      </c>
    </row>
    <row r="1318" spans="1:8" x14ac:dyDescent="0.15">
      <c r="A1318">
        <v>1317</v>
      </c>
      <c r="B1318" t="s">
        <v>339</v>
      </c>
      <c r="C1318" t="s">
        <v>353</v>
      </c>
      <c r="D1318" t="s">
        <v>4014</v>
      </c>
      <c r="E1318" t="s">
        <v>4015</v>
      </c>
      <c r="F1318" s="46">
        <v>46097.325868252323</v>
      </c>
      <c r="G1318" s="46">
        <v>46097.325868252323</v>
      </c>
      <c r="H1318">
        <v>0</v>
      </c>
    </row>
    <row r="1319" spans="1:8" x14ac:dyDescent="0.15">
      <c r="A1319">
        <v>1318</v>
      </c>
      <c r="B1319" t="s">
        <v>339</v>
      </c>
      <c r="C1319" t="s">
        <v>353</v>
      </c>
      <c r="D1319" t="s">
        <v>4016</v>
      </c>
      <c r="E1319" t="s">
        <v>4015</v>
      </c>
      <c r="F1319" s="46">
        <v>46097.325868252323</v>
      </c>
      <c r="G1319" s="46">
        <v>46097.325868252323</v>
      </c>
      <c r="H1319">
        <v>0</v>
      </c>
    </row>
    <row r="1320" spans="1:8" x14ac:dyDescent="0.15">
      <c r="A1320">
        <v>1319</v>
      </c>
      <c r="B1320" t="s">
        <v>339</v>
      </c>
      <c r="C1320" t="s">
        <v>353</v>
      </c>
      <c r="D1320" t="s">
        <v>4017</v>
      </c>
      <c r="E1320" t="s">
        <v>4018</v>
      </c>
      <c r="F1320" s="46">
        <v>46097.325868252323</v>
      </c>
      <c r="G1320" s="46">
        <v>46097.325868252323</v>
      </c>
      <c r="H1320">
        <v>0</v>
      </c>
    </row>
    <row r="1321" spans="1:8" x14ac:dyDescent="0.15">
      <c r="A1321">
        <v>1320</v>
      </c>
      <c r="B1321" t="s">
        <v>339</v>
      </c>
      <c r="C1321" t="s">
        <v>353</v>
      </c>
      <c r="D1321" t="s">
        <v>4019</v>
      </c>
      <c r="E1321" t="s">
        <v>4018</v>
      </c>
      <c r="F1321" s="46">
        <v>46097.325868252323</v>
      </c>
      <c r="G1321" s="46">
        <v>46097.325868252323</v>
      </c>
      <c r="H1321">
        <v>0</v>
      </c>
    </row>
    <row r="1322" spans="1:8" x14ac:dyDescent="0.15">
      <c r="A1322">
        <v>1321</v>
      </c>
      <c r="B1322" t="s">
        <v>339</v>
      </c>
      <c r="C1322" t="s">
        <v>353</v>
      </c>
      <c r="D1322" t="s">
        <v>4020</v>
      </c>
      <c r="E1322" t="s">
        <v>4018</v>
      </c>
      <c r="F1322" s="46">
        <v>46097.325868252323</v>
      </c>
      <c r="G1322" s="46">
        <v>46097.325868252323</v>
      </c>
      <c r="H1322">
        <v>0</v>
      </c>
    </row>
    <row r="1323" spans="1:8" x14ac:dyDescent="0.15">
      <c r="A1323">
        <v>1322</v>
      </c>
      <c r="B1323" t="s">
        <v>339</v>
      </c>
      <c r="C1323" t="s">
        <v>353</v>
      </c>
      <c r="D1323" t="s">
        <v>4021</v>
      </c>
      <c r="E1323" t="s">
        <v>4022</v>
      </c>
      <c r="F1323" s="46">
        <v>46097.325868252323</v>
      </c>
      <c r="G1323" s="46">
        <v>46097.325868252323</v>
      </c>
      <c r="H1323">
        <v>0</v>
      </c>
    </row>
    <row r="1324" spans="1:8" x14ac:dyDescent="0.15">
      <c r="A1324">
        <v>1323</v>
      </c>
      <c r="B1324" t="s">
        <v>339</v>
      </c>
      <c r="C1324" t="s">
        <v>353</v>
      </c>
      <c r="D1324" t="s">
        <v>4023</v>
      </c>
      <c r="E1324" t="s">
        <v>4022</v>
      </c>
      <c r="F1324" s="46">
        <v>46097.325868252323</v>
      </c>
      <c r="G1324" s="46">
        <v>46097.325868252323</v>
      </c>
      <c r="H1324">
        <v>0</v>
      </c>
    </row>
    <row r="1325" spans="1:8" x14ac:dyDescent="0.15">
      <c r="A1325">
        <v>1324</v>
      </c>
      <c r="B1325" t="s">
        <v>339</v>
      </c>
      <c r="C1325" t="s">
        <v>353</v>
      </c>
      <c r="D1325" t="s">
        <v>4024</v>
      </c>
      <c r="E1325" t="s">
        <v>4025</v>
      </c>
      <c r="F1325" s="46">
        <v>46097.325868252323</v>
      </c>
      <c r="G1325" s="46">
        <v>46097.325868437503</v>
      </c>
      <c r="H1325">
        <v>16</v>
      </c>
    </row>
    <row r="1326" spans="1:8" x14ac:dyDescent="0.15">
      <c r="A1326">
        <v>1325</v>
      </c>
      <c r="B1326" t="s">
        <v>339</v>
      </c>
      <c r="C1326" t="s">
        <v>353</v>
      </c>
      <c r="D1326" t="s">
        <v>4026</v>
      </c>
      <c r="E1326" t="s">
        <v>4025</v>
      </c>
      <c r="F1326" s="46">
        <v>46097.325868437503</v>
      </c>
      <c r="G1326" s="46">
        <v>46097.325868437503</v>
      </c>
      <c r="H1326">
        <v>0</v>
      </c>
    </row>
    <row r="1327" spans="1:8" x14ac:dyDescent="0.15">
      <c r="A1327">
        <v>1326</v>
      </c>
      <c r="B1327" t="s">
        <v>339</v>
      </c>
      <c r="C1327" t="s">
        <v>353</v>
      </c>
      <c r="D1327" t="s">
        <v>4027</v>
      </c>
      <c r="E1327" t="s">
        <v>4028</v>
      </c>
      <c r="F1327" s="46">
        <v>46097.325868437503</v>
      </c>
      <c r="G1327" s="46">
        <v>46097.325868437503</v>
      </c>
      <c r="H1327">
        <v>0</v>
      </c>
    </row>
    <row r="1328" spans="1:8" x14ac:dyDescent="0.15">
      <c r="A1328">
        <v>1327</v>
      </c>
      <c r="B1328" t="s">
        <v>339</v>
      </c>
      <c r="C1328" t="s">
        <v>353</v>
      </c>
      <c r="D1328" t="s">
        <v>4029</v>
      </c>
      <c r="E1328" t="s">
        <v>4028</v>
      </c>
      <c r="F1328" s="46">
        <v>46097.325868437503</v>
      </c>
      <c r="G1328" s="46">
        <v>46097.325868437503</v>
      </c>
      <c r="H1328">
        <v>0</v>
      </c>
    </row>
    <row r="1329" spans="1:8" x14ac:dyDescent="0.15">
      <c r="A1329">
        <v>1328</v>
      </c>
      <c r="B1329" t="s">
        <v>339</v>
      </c>
      <c r="C1329" t="s">
        <v>353</v>
      </c>
      <c r="D1329" t="s">
        <v>4030</v>
      </c>
      <c r="E1329" t="s">
        <v>4028</v>
      </c>
      <c r="F1329" s="46">
        <v>46097.325868437503</v>
      </c>
      <c r="G1329" s="46">
        <v>46097.325868437503</v>
      </c>
      <c r="H1329">
        <v>0</v>
      </c>
    </row>
    <row r="1330" spans="1:8" x14ac:dyDescent="0.15">
      <c r="A1330">
        <v>1329</v>
      </c>
      <c r="B1330" t="s">
        <v>339</v>
      </c>
      <c r="C1330" t="s">
        <v>353</v>
      </c>
      <c r="D1330" t="s">
        <v>4031</v>
      </c>
      <c r="E1330" t="s">
        <v>4032</v>
      </c>
      <c r="F1330" s="46">
        <v>46097.325868437503</v>
      </c>
      <c r="G1330" s="46">
        <v>46097.325868437503</v>
      </c>
      <c r="H1330">
        <v>0</v>
      </c>
    </row>
    <row r="1331" spans="1:8" x14ac:dyDescent="0.15">
      <c r="A1331">
        <v>1330</v>
      </c>
      <c r="B1331" t="s">
        <v>339</v>
      </c>
      <c r="C1331" t="s">
        <v>353</v>
      </c>
      <c r="D1331" t="s">
        <v>4033</v>
      </c>
      <c r="E1331" t="s">
        <v>4032</v>
      </c>
      <c r="F1331" s="46">
        <v>46097.325868437503</v>
      </c>
      <c r="G1331" s="46">
        <v>46097.325868437503</v>
      </c>
      <c r="H1331">
        <v>0</v>
      </c>
    </row>
    <row r="1332" spans="1:8" x14ac:dyDescent="0.15">
      <c r="A1332">
        <v>1331</v>
      </c>
      <c r="B1332" t="s">
        <v>339</v>
      </c>
      <c r="C1332" t="s">
        <v>353</v>
      </c>
      <c r="D1332" t="s">
        <v>4034</v>
      </c>
      <c r="E1332" t="s">
        <v>4032</v>
      </c>
      <c r="F1332" s="46">
        <v>46097.325868437503</v>
      </c>
      <c r="G1332" s="46">
        <v>46097.325868437503</v>
      </c>
      <c r="H1332">
        <v>0</v>
      </c>
    </row>
    <row r="1333" spans="1:8" x14ac:dyDescent="0.15">
      <c r="A1333">
        <v>1332</v>
      </c>
      <c r="B1333" t="s">
        <v>339</v>
      </c>
      <c r="C1333" t="s">
        <v>353</v>
      </c>
      <c r="D1333" t="s">
        <v>4035</v>
      </c>
      <c r="E1333" t="s">
        <v>4036</v>
      </c>
      <c r="F1333" s="46">
        <v>46097.325868437503</v>
      </c>
      <c r="G1333" s="46">
        <v>46097.325868437503</v>
      </c>
      <c r="H1333">
        <v>0</v>
      </c>
    </row>
    <row r="1334" spans="1:8" x14ac:dyDescent="0.15">
      <c r="A1334">
        <v>1333</v>
      </c>
      <c r="B1334" t="s">
        <v>339</v>
      </c>
      <c r="C1334" t="s">
        <v>353</v>
      </c>
      <c r="D1334" t="s">
        <v>4037</v>
      </c>
      <c r="E1334" t="s">
        <v>4038</v>
      </c>
      <c r="F1334" s="46">
        <v>46097.325868437503</v>
      </c>
      <c r="G1334" s="46">
        <v>46097.325868437503</v>
      </c>
      <c r="H1334">
        <v>0</v>
      </c>
    </row>
    <row r="1335" spans="1:8" x14ac:dyDescent="0.15">
      <c r="A1335">
        <v>1334</v>
      </c>
      <c r="B1335" t="s">
        <v>339</v>
      </c>
      <c r="C1335" t="s">
        <v>353</v>
      </c>
      <c r="D1335" t="s">
        <v>4039</v>
      </c>
      <c r="E1335" t="s">
        <v>4038</v>
      </c>
      <c r="F1335" s="46">
        <v>46097.325868437503</v>
      </c>
      <c r="G1335" s="46">
        <v>46097.325868611108</v>
      </c>
      <c r="H1335">
        <v>16</v>
      </c>
    </row>
    <row r="1336" spans="1:8" x14ac:dyDescent="0.15">
      <c r="A1336">
        <v>1335</v>
      </c>
      <c r="B1336" t="s">
        <v>339</v>
      </c>
      <c r="C1336" t="s">
        <v>353</v>
      </c>
      <c r="D1336" t="s">
        <v>4040</v>
      </c>
      <c r="E1336" t="s">
        <v>4041</v>
      </c>
      <c r="F1336" s="46">
        <v>46097.325868611108</v>
      </c>
      <c r="G1336" s="46">
        <v>46097.325868611108</v>
      </c>
      <c r="H1336">
        <v>0</v>
      </c>
    </row>
    <row r="1337" spans="1:8" x14ac:dyDescent="0.15">
      <c r="A1337">
        <v>1336</v>
      </c>
      <c r="B1337" t="s">
        <v>339</v>
      </c>
      <c r="C1337" t="s">
        <v>353</v>
      </c>
      <c r="D1337" t="s">
        <v>4042</v>
      </c>
      <c r="E1337" t="s">
        <v>4041</v>
      </c>
      <c r="F1337" s="46">
        <v>46097.325868611108</v>
      </c>
      <c r="G1337" s="46">
        <v>46097.325868611108</v>
      </c>
      <c r="H1337">
        <v>0</v>
      </c>
    </row>
    <row r="1338" spans="1:8" x14ac:dyDescent="0.15">
      <c r="A1338">
        <v>1337</v>
      </c>
      <c r="B1338" t="s">
        <v>339</v>
      </c>
      <c r="C1338" t="s">
        <v>353</v>
      </c>
      <c r="D1338" t="s">
        <v>4043</v>
      </c>
      <c r="E1338" t="s">
        <v>4044</v>
      </c>
      <c r="F1338" s="46">
        <v>46097.325868611108</v>
      </c>
      <c r="G1338" s="46">
        <v>46097.325868611108</v>
      </c>
      <c r="H1338">
        <v>0</v>
      </c>
    </row>
    <row r="1339" spans="1:8" x14ac:dyDescent="0.15">
      <c r="A1339">
        <v>1338</v>
      </c>
      <c r="B1339" t="s">
        <v>339</v>
      </c>
      <c r="C1339" t="s">
        <v>353</v>
      </c>
      <c r="D1339" t="s">
        <v>4045</v>
      </c>
      <c r="E1339" t="s">
        <v>4046</v>
      </c>
      <c r="F1339" s="46">
        <v>46097.325868611108</v>
      </c>
      <c r="G1339" s="46">
        <v>46097.325868611108</v>
      </c>
      <c r="H1339">
        <v>0</v>
      </c>
    </row>
    <row r="1340" spans="1:8" x14ac:dyDescent="0.15">
      <c r="A1340">
        <v>1339</v>
      </c>
      <c r="B1340" t="s">
        <v>339</v>
      </c>
      <c r="C1340" t="s">
        <v>353</v>
      </c>
      <c r="D1340" t="s">
        <v>4047</v>
      </c>
      <c r="E1340" t="s">
        <v>4048</v>
      </c>
      <c r="F1340" s="46">
        <v>46097.325868611108</v>
      </c>
      <c r="G1340" s="46">
        <v>46097.325868611108</v>
      </c>
      <c r="H1340">
        <v>0</v>
      </c>
    </row>
    <row r="1341" spans="1:8" x14ac:dyDescent="0.15">
      <c r="A1341">
        <v>1340</v>
      </c>
      <c r="B1341" t="s">
        <v>339</v>
      </c>
      <c r="C1341" t="s">
        <v>353</v>
      </c>
      <c r="D1341" t="s">
        <v>4049</v>
      </c>
      <c r="E1341" t="s">
        <v>475</v>
      </c>
      <c r="F1341" s="46">
        <v>46097.325868611108</v>
      </c>
      <c r="G1341" s="46">
        <v>46097.325868611108</v>
      </c>
      <c r="H1341">
        <v>0</v>
      </c>
    </row>
    <row r="1342" spans="1:8" x14ac:dyDescent="0.15">
      <c r="A1342">
        <v>1341</v>
      </c>
      <c r="B1342" t="s">
        <v>339</v>
      </c>
      <c r="C1342" t="s">
        <v>353</v>
      </c>
      <c r="D1342" t="s">
        <v>4050</v>
      </c>
      <c r="E1342" t="s">
        <v>475</v>
      </c>
      <c r="F1342" s="46">
        <v>46097.325868611108</v>
      </c>
      <c r="G1342" s="46">
        <v>46097.325868611108</v>
      </c>
      <c r="H1342">
        <v>0</v>
      </c>
    </row>
    <row r="1343" spans="1:8" x14ac:dyDescent="0.15">
      <c r="A1343">
        <v>1342</v>
      </c>
      <c r="B1343" t="s">
        <v>339</v>
      </c>
      <c r="C1343" t="s">
        <v>353</v>
      </c>
      <c r="D1343" t="s">
        <v>4051</v>
      </c>
      <c r="E1343" t="s">
        <v>475</v>
      </c>
      <c r="F1343" s="46">
        <v>46097.325868611108</v>
      </c>
      <c r="G1343" s="46">
        <v>46097.325868611108</v>
      </c>
      <c r="H1343">
        <v>0</v>
      </c>
    </row>
    <row r="1344" spans="1:8" x14ac:dyDescent="0.15">
      <c r="A1344">
        <v>1343</v>
      </c>
      <c r="B1344" t="s">
        <v>339</v>
      </c>
      <c r="C1344" t="s">
        <v>353</v>
      </c>
      <c r="D1344" t="s">
        <v>4052</v>
      </c>
      <c r="E1344" t="s">
        <v>475</v>
      </c>
      <c r="F1344" s="46">
        <v>46097.325868611108</v>
      </c>
      <c r="G1344" s="46">
        <v>46097.325868611108</v>
      </c>
      <c r="H1344">
        <v>0</v>
      </c>
    </row>
    <row r="1345" spans="1:8" x14ac:dyDescent="0.15">
      <c r="A1345">
        <v>1344</v>
      </c>
      <c r="B1345" t="s">
        <v>339</v>
      </c>
      <c r="C1345" t="s">
        <v>353</v>
      </c>
      <c r="D1345" t="s">
        <v>4053</v>
      </c>
      <c r="E1345" t="s">
        <v>475</v>
      </c>
      <c r="F1345" s="46">
        <v>46097.325868611108</v>
      </c>
      <c r="G1345" s="46">
        <v>46097.325868796303</v>
      </c>
      <c r="H1345">
        <v>15</v>
      </c>
    </row>
    <row r="1346" spans="1:8" x14ac:dyDescent="0.15">
      <c r="A1346">
        <v>1345</v>
      </c>
      <c r="B1346" t="s">
        <v>339</v>
      </c>
      <c r="C1346" t="s">
        <v>353</v>
      </c>
      <c r="D1346" t="s">
        <v>4054</v>
      </c>
      <c r="E1346" t="s">
        <v>475</v>
      </c>
      <c r="F1346" s="46">
        <v>46097.325868796303</v>
      </c>
      <c r="G1346" s="46">
        <v>46097.325868796303</v>
      </c>
      <c r="H1346">
        <v>0</v>
      </c>
    </row>
    <row r="1347" spans="1:8" x14ac:dyDescent="0.15">
      <c r="A1347">
        <v>1346</v>
      </c>
      <c r="B1347" t="s">
        <v>339</v>
      </c>
      <c r="C1347" t="s">
        <v>353</v>
      </c>
      <c r="D1347" t="s">
        <v>4055</v>
      </c>
      <c r="E1347" t="s">
        <v>475</v>
      </c>
      <c r="F1347" s="46">
        <v>46097.325868796303</v>
      </c>
      <c r="G1347" s="46">
        <v>46097.325868796303</v>
      </c>
      <c r="H1347">
        <v>0</v>
      </c>
    </row>
    <row r="1348" spans="1:8" x14ac:dyDescent="0.15">
      <c r="A1348">
        <v>1347</v>
      </c>
      <c r="B1348" t="s">
        <v>339</v>
      </c>
      <c r="C1348" t="s">
        <v>353</v>
      </c>
      <c r="D1348" t="s">
        <v>4056</v>
      </c>
      <c r="E1348" t="s">
        <v>475</v>
      </c>
      <c r="F1348" s="46">
        <v>46097.325868796303</v>
      </c>
      <c r="G1348" s="46">
        <v>46097.325868796303</v>
      </c>
      <c r="H1348">
        <v>0</v>
      </c>
    </row>
    <row r="1349" spans="1:8" x14ac:dyDescent="0.15">
      <c r="A1349">
        <v>1348</v>
      </c>
      <c r="B1349" t="s">
        <v>339</v>
      </c>
      <c r="C1349" t="s">
        <v>353</v>
      </c>
      <c r="D1349" t="s">
        <v>4057</v>
      </c>
      <c r="E1349" t="s">
        <v>475</v>
      </c>
      <c r="F1349" s="46">
        <v>46097.325868796303</v>
      </c>
      <c r="G1349" s="46">
        <v>46097.325868796303</v>
      </c>
      <c r="H1349">
        <v>0</v>
      </c>
    </row>
    <row r="1350" spans="1:8" x14ac:dyDescent="0.15">
      <c r="A1350">
        <v>1349</v>
      </c>
      <c r="B1350" t="s">
        <v>339</v>
      </c>
      <c r="C1350" t="s">
        <v>353</v>
      </c>
      <c r="D1350" t="s">
        <v>4058</v>
      </c>
      <c r="E1350" t="s">
        <v>475</v>
      </c>
      <c r="F1350" s="46">
        <v>46097.325868796303</v>
      </c>
      <c r="G1350" s="46">
        <v>46097.325868796303</v>
      </c>
      <c r="H1350">
        <v>0</v>
      </c>
    </row>
    <row r="1351" spans="1:8" x14ac:dyDescent="0.15">
      <c r="A1351">
        <v>1350</v>
      </c>
      <c r="B1351" t="s">
        <v>339</v>
      </c>
      <c r="C1351" t="s">
        <v>353</v>
      </c>
      <c r="D1351" t="s">
        <v>4059</v>
      </c>
      <c r="E1351" t="s">
        <v>475</v>
      </c>
      <c r="F1351" s="46">
        <v>46097.325868796303</v>
      </c>
      <c r="G1351" s="46">
        <v>46097.325868796303</v>
      </c>
      <c r="H1351">
        <v>0</v>
      </c>
    </row>
    <row r="1352" spans="1:8" x14ac:dyDescent="0.15">
      <c r="A1352">
        <v>1351</v>
      </c>
      <c r="B1352" t="s">
        <v>339</v>
      </c>
      <c r="C1352" t="s">
        <v>353</v>
      </c>
      <c r="D1352" t="s">
        <v>4060</v>
      </c>
      <c r="E1352" t="s">
        <v>475</v>
      </c>
      <c r="F1352" s="46">
        <v>46097.325868796303</v>
      </c>
      <c r="G1352" s="46">
        <v>46097.325868796303</v>
      </c>
      <c r="H1352">
        <v>0</v>
      </c>
    </row>
    <row r="1353" spans="1:8" x14ac:dyDescent="0.15">
      <c r="A1353">
        <v>1352</v>
      </c>
      <c r="B1353" t="s">
        <v>339</v>
      </c>
      <c r="C1353" t="s">
        <v>353</v>
      </c>
      <c r="D1353" t="s">
        <v>4061</v>
      </c>
      <c r="E1353" t="s">
        <v>475</v>
      </c>
      <c r="F1353" s="46">
        <v>46097.325868796303</v>
      </c>
      <c r="G1353" s="46">
        <v>46097.325868796303</v>
      </c>
      <c r="H1353">
        <v>0</v>
      </c>
    </row>
    <row r="1354" spans="1:8" x14ac:dyDescent="0.15">
      <c r="A1354">
        <v>1353</v>
      </c>
      <c r="B1354" t="s">
        <v>339</v>
      </c>
      <c r="C1354" t="s">
        <v>353</v>
      </c>
      <c r="D1354" t="s">
        <v>4062</v>
      </c>
      <c r="E1354" t="s">
        <v>4063</v>
      </c>
      <c r="F1354" s="46">
        <v>46097.325868796303</v>
      </c>
      <c r="G1354" s="46">
        <v>46097.325868796303</v>
      </c>
      <c r="H1354">
        <v>0</v>
      </c>
    </row>
    <row r="1355" spans="1:8" x14ac:dyDescent="0.15">
      <c r="A1355">
        <v>1354</v>
      </c>
      <c r="B1355" t="s">
        <v>339</v>
      </c>
      <c r="C1355" t="s">
        <v>353</v>
      </c>
      <c r="D1355" t="s">
        <v>4064</v>
      </c>
      <c r="E1355" t="s">
        <v>4063</v>
      </c>
      <c r="F1355" s="46">
        <v>46097.325868796303</v>
      </c>
      <c r="G1355" s="46">
        <v>46097.325868796303</v>
      </c>
      <c r="H1355">
        <v>0</v>
      </c>
    </row>
    <row r="1356" spans="1:8" x14ac:dyDescent="0.15">
      <c r="A1356">
        <v>1355</v>
      </c>
      <c r="B1356" t="s">
        <v>339</v>
      </c>
      <c r="C1356" t="s">
        <v>353</v>
      </c>
      <c r="D1356" t="s">
        <v>4065</v>
      </c>
      <c r="E1356" t="s">
        <v>4063</v>
      </c>
      <c r="F1356" s="46">
        <v>46097.325868796303</v>
      </c>
      <c r="G1356" s="46">
        <v>46097.325868969907</v>
      </c>
      <c r="H1356">
        <v>16</v>
      </c>
    </row>
    <row r="1357" spans="1:8" x14ac:dyDescent="0.15">
      <c r="A1357">
        <v>1356</v>
      </c>
      <c r="B1357" t="s">
        <v>339</v>
      </c>
      <c r="C1357" t="s">
        <v>353</v>
      </c>
      <c r="D1357" t="s">
        <v>4066</v>
      </c>
      <c r="E1357" t="s">
        <v>477</v>
      </c>
      <c r="F1357" s="46">
        <v>46097.325868969907</v>
      </c>
      <c r="G1357" s="46">
        <v>46097.325868969907</v>
      </c>
      <c r="H1357">
        <v>0</v>
      </c>
    </row>
    <row r="1358" spans="1:8" x14ac:dyDescent="0.15">
      <c r="A1358">
        <v>1357</v>
      </c>
      <c r="B1358" t="s">
        <v>339</v>
      </c>
      <c r="C1358" t="s">
        <v>353</v>
      </c>
      <c r="D1358" t="s">
        <v>4067</v>
      </c>
      <c r="E1358" t="s">
        <v>4068</v>
      </c>
      <c r="F1358" s="46">
        <v>46097.325868969907</v>
      </c>
      <c r="G1358" s="46">
        <v>46097.325868969907</v>
      </c>
      <c r="H1358">
        <v>0</v>
      </c>
    </row>
    <row r="1359" spans="1:8" x14ac:dyDescent="0.15">
      <c r="A1359">
        <v>1358</v>
      </c>
      <c r="B1359" t="s">
        <v>339</v>
      </c>
      <c r="C1359" t="s">
        <v>353</v>
      </c>
      <c r="D1359" t="s">
        <v>4069</v>
      </c>
      <c r="E1359" t="s">
        <v>480</v>
      </c>
      <c r="F1359" s="46">
        <v>46097.325868969907</v>
      </c>
      <c r="G1359" s="46">
        <v>46097.325868969907</v>
      </c>
      <c r="H1359">
        <v>0</v>
      </c>
    </row>
    <row r="1360" spans="1:8" x14ac:dyDescent="0.15">
      <c r="A1360">
        <v>1359</v>
      </c>
      <c r="B1360" t="s">
        <v>339</v>
      </c>
      <c r="C1360" t="s">
        <v>353</v>
      </c>
      <c r="D1360" t="s">
        <v>4070</v>
      </c>
      <c r="E1360" t="s">
        <v>4071</v>
      </c>
      <c r="F1360" s="46">
        <v>46097.325868969907</v>
      </c>
      <c r="G1360" s="46">
        <v>46097.325868969907</v>
      </c>
      <c r="H1360">
        <v>0</v>
      </c>
    </row>
    <row r="1361" spans="1:8" x14ac:dyDescent="0.15">
      <c r="A1361">
        <v>1360</v>
      </c>
      <c r="B1361" t="s">
        <v>339</v>
      </c>
      <c r="C1361" t="s">
        <v>353</v>
      </c>
      <c r="D1361" t="s">
        <v>4072</v>
      </c>
      <c r="E1361" t="s">
        <v>4073</v>
      </c>
      <c r="F1361" s="46">
        <v>46097.325868969907</v>
      </c>
      <c r="G1361" s="46">
        <v>46097.325868969907</v>
      </c>
      <c r="H1361">
        <v>0</v>
      </c>
    </row>
    <row r="1362" spans="1:8" x14ac:dyDescent="0.15">
      <c r="A1362">
        <v>1361</v>
      </c>
      <c r="B1362" t="s">
        <v>339</v>
      </c>
      <c r="C1362" t="s">
        <v>353</v>
      </c>
      <c r="D1362" t="s">
        <v>4074</v>
      </c>
      <c r="E1362" t="s">
        <v>4073</v>
      </c>
      <c r="F1362" s="46">
        <v>46097.325868969907</v>
      </c>
      <c r="G1362" s="46">
        <v>46097.325868969907</v>
      </c>
      <c r="H1362">
        <v>0</v>
      </c>
    </row>
    <row r="1363" spans="1:8" x14ac:dyDescent="0.15">
      <c r="A1363">
        <v>1362</v>
      </c>
      <c r="B1363" t="s">
        <v>339</v>
      </c>
      <c r="C1363" t="s">
        <v>353</v>
      </c>
      <c r="D1363" t="s">
        <v>4075</v>
      </c>
      <c r="E1363" t="s">
        <v>4076</v>
      </c>
      <c r="F1363" s="46">
        <v>46097.325868969907</v>
      </c>
      <c r="G1363" s="46">
        <v>46097.325868969907</v>
      </c>
      <c r="H1363">
        <v>0</v>
      </c>
    </row>
    <row r="1364" spans="1:8" x14ac:dyDescent="0.15">
      <c r="A1364">
        <v>1363</v>
      </c>
      <c r="B1364" t="s">
        <v>339</v>
      </c>
      <c r="C1364" t="s">
        <v>353</v>
      </c>
      <c r="D1364" t="s">
        <v>4077</v>
      </c>
      <c r="E1364" t="s">
        <v>481</v>
      </c>
      <c r="F1364" s="46">
        <v>46097.325868969907</v>
      </c>
      <c r="G1364" s="46">
        <v>46097.325868969907</v>
      </c>
      <c r="H1364">
        <v>0</v>
      </c>
    </row>
    <row r="1365" spans="1:8" x14ac:dyDescent="0.15">
      <c r="A1365">
        <v>1364</v>
      </c>
      <c r="B1365" t="s">
        <v>339</v>
      </c>
      <c r="C1365" t="s">
        <v>353</v>
      </c>
      <c r="D1365" t="s">
        <v>4078</v>
      </c>
      <c r="E1365" t="s">
        <v>481</v>
      </c>
      <c r="F1365" s="46">
        <v>46097.325868969907</v>
      </c>
      <c r="G1365" s="46">
        <v>46097.325868969907</v>
      </c>
      <c r="H1365">
        <v>0</v>
      </c>
    </row>
    <row r="1366" spans="1:8" x14ac:dyDescent="0.15">
      <c r="A1366">
        <v>1365</v>
      </c>
      <c r="B1366" t="s">
        <v>339</v>
      </c>
      <c r="C1366" t="s">
        <v>353</v>
      </c>
      <c r="D1366" t="s">
        <v>4079</v>
      </c>
      <c r="E1366" t="s">
        <v>4080</v>
      </c>
      <c r="F1366" s="46">
        <v>46097.325868969907</v>
      </c>
      <c r="G1366" s="46">
        <v>46097.325869155087</v>
      </c>
      <c r="H1366">
        <v>16</v>
      </c>
    </row>
    <row r="1367" spans="1:8" x14ac:dyDescent="0.15">
      <c r="A1367">
        <v>1366</v>
      </c>
      <c r="B1367" t="s">
        <v>339</v>
      </c>
      <c r="C1367" t="s">
        <v>353</v>
      </c>
      <c r="D1367" t="s">
        <v>4081</v>
      </c>
      <c r="E1367" t="s">
        <v>4080</v>
      </c>
      <c r="F1367" s="46">
        <v>46097.325869155087</v>
      </c>
      <c r="G1367" s="46">
        <v>46097.325869155087</v>
      </c>
      <c r="H1367">
        <v>0</v>
      </c>
    </row>
    <row r="1368" spans="1:8" x14ac:dyDescent="0.15">
      <c r="A1368">
        <v>1367</v>
      </c>
      <c r="B1368" t="s">
        <v>339</v>
      </c>
      <c r="C1368" t="s">
        <v>353</v>
      </c>
      <c r="D1368" t="s">
        <v>4082</v>
      </c>
      <c r="E1368" t="s">
        <v>4080</v>
      </c>
      <c r="F1368" s="46">
        <v>46097.325869155087</v>
      </c>
      <c r="G1368" s="46">
        <v>46097.325869155087</v>
      </c>
      <c r="H1368">
        <v>0</v>
      </c>
    </row>
    <row r="1369" spans="1:8" x14ac:dyDescent="0.15">
      <c r="A1369">
        <v>1368</v>
      </c>
      <c r="B1369" t="s">
        <v>339</v>
      </c>
      <c r="C1369" t="s">
        <v>353</v>
      </c>
      <c r="D1369" t="s">
        <v>4083</v>
      </c>
      <c r="E1369" t="s">
        <v>4080</v>
      </c>
      <c r="F1369" s="46">
        <v>46097.325869155087</v>
      </c>
      <c r="G1369" s="46">
        <v>46097.325869155087</v>
      </c>
      <c r="H1369">
        <v>0</v>
      </c>
    </row>
    <row r="1370" spans="1:8" x14ac:dyDescent="0.15">
      <c r="A1370">
        <v>1369</v>
      </c>
      <c r="B1370" t="s">
        <v>339</v>
      </c>
      <c r="C1370" t="s">
        <v>353</v>
      </c>
      <c r="D1370" t="s">
        <v>4084</v>
      </c>
      <c r="E1370" t="s">
        <v>4080</v>
      </c>
      <c r="F1370" s="46">
        <v>46097.325869155087</v>
      </c>
      <c r="G1370" s="46">
        <v>46097.325869155087</v>
      </c>
      <c r="H1370">
        <v>0</v>
      </c>
    </row>
    <row r="1371" spans="1:8" x14ac:dyDescent="0.15">
      <c r="A1371">
        <v>1370</v>
      </c>
      <c r="B1371" t="s">
        <v>339</v>
      </c>
      <c r="C1371" t="s">
        <v>353</v>
      </c>
      <c r="D1371" t="s">
        <v>4085</v>
      </c>
      <c r="E1371" t="s">
        <v>4080</v>
      </c>
      <c r="F1371" s="46">
        <v>46097.325869155087</v>
      </c>
      <c r="G1371" s="46">
        <v>46097.325869155087</v>
      </c>
      <c r="H1371">
        <v>0</v>
      </c>
    </row>
    <row r="1372" spans="1:8" x14ac:dyDescent="0.15">
      <c r="A1372">
        <v>1371</v>
      </c>
      <c r="B1372" t="s">
        <v>339</v>
      </c>
      <c r="C1372" t="s">
        <v>353</v>
      </c>
      <c r="D1372" t="s">
        <v>4086</v>
      </c>
      <c r="E1372" t="s">
        <v>4080</v>
      </c>
      <c r="F1372" s="46">
        <v>46097.325869155087</v>
      </c>
      <c r="G1372" s="46">
        <v>46097.325869155087</v>
      </c>
      <c r="H1372">
        <v>0</v>
      </c>
    </row>
    <row r="1373" spans="1:8" x14ac:dyDescent="0.15">
      <c r="A1373">
        <v>1372</v>
      </c>
      <c r="B1373" t="s">
        <v>339</v>
      </c>
      <c r="C1373" t="s">
        <v>353</v>
      </c>
      <c r="D1373" t="s">
        <v>4087</v>
      </c>
      <c r="E1373" t="s">
        <v>4080</v>
      </c>
      <c r="F1373" s="46">
        <v>46097.325869155087</v>
      </c>
      <c r="G1373" s="46">
        <v>46097.325869155087</v>
      </c>
      <c r="H1373">
        <v>0</v>
      </c>
    </row>
    <row r="1374" spans="1:8" x14ac:dyDescent="0.15">
      <c r="A1374">
        <v>1373</v>
      </c>
      <c r="B1374" t="s">
        <v>339</v>
      </c>
      <c r="C1374" t="s">
        <v>353</v>
      </c>
      <c r="D1374" t="s">
        <v>4088</v>
      </c>
      <c r="E1374" t="s">
        <v>4080</v>
      </c>
      <c r="F1374" s="46">
        <v>46097.325869155087</v>
      </c>
      <c r="G1374" s="46">
        <v>46097.325869155087</v>
      </c>
      <c r="H1374">
        <v>0</v>
      </c>
    </row>
    <row r="1375" spans="1:8" x14ac:dyDescent="0.15">
      <c r="A1375">
        <v>1374</v>
      </c>
      <c r="B1375" t="s">
        <v>339</v>
      </c>
      <c r="C1375" t="s">
        <v>353</v>
      </c>
      <c r="D1375" t="s">
        <v>4089</v>
      </c>
      <c r="E1375" t="s">
        <v>4080</v>
      </c>
      <c r="F1375" s="46">
        <v>46097.325869155087</v>
      </c>
      <c r="G1375" s="46">
        <v>46097.325869155087</v>
      </c>
      <c r="H1375">
        <v>0</v>
      </c>
    </row>
    <row r="1376" spans="1:8" x14ac:dyDescent="0.15">
      <c r="A1376">
        <v>1375</v>
      </c>
      <c r="B1376" t="s">
        <v>339</v>
      </c>
      <c r="C1376" t="s">
        <v>353</v>
      </c>
      <c r="D1376" t="s">
        <v>4090</v>
      </c>
      <c r="E1376" t="s">
        <v>4080</v>
      </c>
      <c r="F1376" s="46">
        <v>46097.325869155087</v>
      </c>
      <c r="G1376" s="46">
        <v>46097.325869155087</v>
      </c>
      <c r="H1376">
        <v>0</v>
      </c>
    </row>
    <row r="1377" spans="1:8" x14ac:dyDescent="0.15">
      <c r="A1377">
        <v>1376</v>
      </c>
      <c r="B1377" t="s">
        <v>339</v>
      </c>
      <c r="C1377" t="s">
        <v>353</v>
      </c>
      <c r="D1377" t="s">
        <v>4091</v>
      </c>
      <c r="E1377" t="s">
        <v>4080</v>
      </c>
      <c r="F1377" s="46">
        <v>46097.325869155087</v>
      </c>
      <c r="G1377" s="46">
        <v>46097.325869340268</v>
      </c>
      <c r="H1377">
        <v>15</v>
      </c>
    </row>
    <row r="1378" spans="1:8" x14ac:dyDescent="0.15">
      <c r="A1378">
        <v>1377</v>
      </c>
      <c r="B1378" t="s">
        <v>339</v>
      </c>
      <c r="C1378" t="s">
        <v>353</v>
      </c>
      <c r="D1378" t="s">
        <v>4092</v>
      </c>
      <c r="E1378" t="s">
        <v>4080</v>
      </c>
      <c r="F1378" s="46">
        <v>46097.325869340268</v>
      </c>
      <c r="G1378" s="46">
        <v>46097.325869340268</v>
      </c>
      <c r="H1378">
        <v>0</v>
      </c>
    </row>
    <row r="1379" spans="1:8" x14ac:dyDescent="0.15">
      <c r="A1379">
        <v>1378</v>
      </c>
      <c r="B1379" t="s">
        <v>339</v>
      </c>
      <c r="C1379" t="s">
        <v>353</v>
      </c>
      <c r="D1379" t="s">
        <v>4093</v>
      </c>
      <c r="E1379" t="s">
        <v>4080</v>
      </c>
      <c r="F1379" s="46">
        <v>46097.325869340268</v>
      </c>
      <c r="G1379" s="46">
        <v>46097.325869340268</v>
      </c>
      <c r="H1379">
        <v>0</v>
      </c>
    </row>
    <row r="1380" spans="1:8" x14ac:dyDescent="0.15">
      <c r="A1380">
        <v>1379</v>
      </c>
      <c r="B1380" t="s">
        <v>339</v>
      </c>
      <c r="C1380" t="s">
        <v>353</v>
      </c>
      <c r="D1380" t="s">
        <v>4094</v>
      </c>
      <c r="E1380" t="s">
        <v>4095</v>
      </c>
      <c r="F1380" s="46">
        <v>46097.325869340268</v>
      </c>
      <c r="G1380" s="46">
        <v>46097.325869340268</v>
      </c>
      <c r="H1380">
        <v>0</v>
      </c>
    </row>
    <row r="1381" spans="1:8" x14ac:dyDescent="0.15">
      <c r="A1381">
        <v>1380</v>
      </c>
      <c r="B1381" t="s">
        <v>339</v>
      </c>
      <c r="C1381" t="s">
        <v>353</v>
      </c>
      <c r="D1381" t="s">
        <v>4096</v>
      </c>
      <c r="E1381" t="s">
        <v>4095</v>
      </c>
      <c r="F1381" s="46">
        <v>46097.325869340268</v>
      </c>
      <c r="G1381" s="46">
        <v>46097.325869340268</v>
      </c>
      <c r="H1381">
        <v>0</v>
      </c>
    </row>
    <row r="1382" spans="1:8" x14ac:dyDescent="0.15">
      <c r="A1382">
        <v>1381</v>
      </c>
      <c r="B1382" t="s">
        <v>339</v>
      </c>
      <c r="C1382" t="s">
        <v>353</v>
      </c>
      <c r="D1382" t="s">
        <v>4097</v>
      </c>
      <c r="E1382" t="s">
        <v>4095</v>
      </c>
      <c r="F1382" s="46">
        <v>46097.325869340268</v>
      </c>
      <c r="G1382" s="46">
        <v>46097.325869340268</v>
      </c>
      <c r="H1382">
        <v>0</v>
      </c>
    </row>
    <row r="1383" spans="1:8" x14ac:dyDescent="0.15">
      <c r="A1383">
        <v>1382</v>
      </c>
      <c r="B1383" t="s">
        <v>339</v>
      </c>
      <c r="C1383" t="s">
        <v>353</v>
      </c>
      <c r="D1383" t="s">
        <v>4098</v>
      </c>
      <c r="E1383" t="s">
        <v>4099</v>
      </c>
      <c r="F1383" s="46">
        <v>46097.325869340268</v>
      </c>
      <c r="G1383" s="46">
        <v>46097.325869340268</v>
      </c>
      <c r="H1383">
        <v>0</v>
      </c>
    </row>
    <row r="1384" spans="1:8" x14ac:dyDescent="0.15">
      <c r="A1384">
        <v>1383</v>
      </c>
      <c r="B1384" t="s">
        <v>339</v>
      </c>
      <c r="C1384" t="s">
        <v>353</v>
      </c>
      <c r="D1384" t="s">
        <v>4100</v>
      </c>
      <c r="E1384" t="s">
        <v>4101</v>
      </c>
      <c r="F1384" s="46">
        <v>46097.325869340268</v>
      </c>
      <c r="G1384" s="46">
        <v>46097.325869340268</v>
      </c>
      <c r="H1384">
        <v>0</v>
      </c>
    </row>
    <row r="1385" spans="1:8" x14ac:dyDescent="0.15">
      <c r="A1385">
        <v>1384</v>
      </c>
      <c r="B1385" t="s">
        <v>339</v>
      </c>
      <c r="C1385" t="s">
        <v>353</v>
      </c>
      <c r="D1385" t="s">
        <v>4102</v>
      </c>
      <c r="E1385" t="s">
        <v>4103</v>
      </c>
      <c r="F1385" s="46">
        <v>46097.325869340268</v>
      </c>
      <c r="G1385" s="46">
        <v>46097.325869340268</v>
      </c>
      <c r="H1385">
        <v>0</v>
      </c>
    </row>
    <row r="1386" spans="1:8" x14ac:dyDescent="0.15">
      <c r="A1386">
        <v>1385</v>
      </c>
      <c r="B1386" t="s">
        <v>339</v>
      </c>
      <c r="C1386" t="s">
        <v>353</v>
      </c>
      <c r="D1386" t="s">
        <v>4104</v>
      </c>
      <c r="E1386" t="s">
        <v>4103</v>
      </c>
      <c r="F1386" s="46">
        <v>46097.325869340268</v>
      </c>
      <c r="G1386" s="46">
        <v>46097.325869340268</v>
      </c>
      <c r="H1386">
        <v>0</v>
      </c>
    </row>
    <row r="1387" spans="1:8" x14ac:dyDescent="0.15">
      <c r="A1387">
        <v>1386</v>
      </c>
      <c r="B1387" t="s">
        <v>339</v>
      </c>
      <c r="C1387" t="s">
        <v>353</v>
      </c>
      <c r="D1387" t="s">
        <v>4105</v>
      </c>
      <c r="E1387" t="s">
        <v>4103</v>
      </c>
      <c r="F1387" s="46">
        <v>46097.325869340268</v>
      </c>
      <c r="G1387" s="46">
        <v>46097.325869340268</v>
      </c>
      <c r="H1387">
        <v>0</v>
      </c>
    </row>
    <row r="1388" spans="1:8" x14ac:dyDescent="0.15">
      <c r="A1388">
        <v>1387</v>
      </c>
      <c r="B1388" t="s">
        <v>339</v>
      </c>
      <c r="C1388" t="s">
        <v>353</v>
      </c>
      <c r="D1388" t="s">
        <v>4106</v>
      </c>
      <c r="E1388" t="s">
        <v>4107</v>
      </c>
      <c r="F1388" s="46">
        <v>46097.325869513887</v>
      </c>
      <c r="G1388" s="46">
        <v>46097.325869513887</v>
      </c>
      <c r="H1388">
        <v>0</v>
      </c>
    </row>
    <row r="1389" spans="1:8" x14ac:dyDescent="0.15">
      <c r="A1389">
        <v>1388</v>
      </c>
      <c r="B1389" t="s">
        <v>339</v>
      </c>
      <c r="C1389" t="s">
        <v>353</v>
      </c>
      <c r="D1389" t="s">
        <v>4108</v>
      </c>
      <c r="E1389" t="s">
        <v>4109</v>
      </c>
      <c r="F1389" s="46">
        <v>46097.325869513887</v>
      </c>
      <c r="G1389" s="46">
        <v>46097.325869513887</v>
      </c>
      <c r="H1389">
        <v>0</v>
      </c>
    </row>
    <row r="1390" spans="1:8" x14ac:dyDescent="0.15">
      <c r="A1390">
        <v>1389</v>
      </c>
      <c r="B1390" t="s">
        <v>339</v>
      </c>
      <c r="C1390" t="s">
        <v>353</v>
      </c>
      <c r="D1390" t="s">
        <v>4110</v>
      </c>
      <c r="E1390" t="s">
        <v>4111</v>
      </c>
      <c r="F1390" s="46">
        <v>46097.325869513887</v>
      </c>
      <c r="G1390" s="46">
        <v>46097.325869513887</v>
      </c>
      <c r="H1390">
        <v>0</v>
      </c>
    </row>
    <row r="1391" spans="1:8" x14ac:dyDescent="0.15">
      <c r="A1391">
        <v>1390</v>
      </c>
      <c r="B1391" t="s">
        <v>339</v>
      </c>
      <c r="C1391" t="s">
        <v>353</v>
      </c>
      <c r="D1391" t="s">
        <v>4112</v>
      </c>
      <c r="E1391" t="s">
        <v>4111</v>
      </c>
      <c r="F1391" s="46">
        <v>46097.325869513887</v>
      </c>
      <c r="G1391" s="46">
        <v>46097.325869513887</v>
      </c>
      <c r="H1391">
        <v>0</v>
      </c>
    </row>
    <row r="1392" spans="1:8" x14ac:dyDescent="0.15">
      <c r="A1392">
        <v>1391</v>
      </c>
      <c r="B1392" t="s">
        <v>339</v>
      </c>
      <c r="C1392" t="s">
        <v>353</v>
      </c>
      <c r="D1392" t="s">
        <v>4113</v>
      </c>
      <c r="E1392" t="s">
        <v>4114</v>
      </c>
      <c r="F1392" s="46">
        <v>46097.325869513887</v>
      </c>
      <c r="G1392" s="46">
        <v>46097.325869513887</v>
      </c>
      <c r="H1392">
        <v>0</v>
      </c>
    </row>
    <row r="1393" spans="1:8" x14ac:dyDescent="0.15">
      <c r="A1393">
        <v>1392</v>
      </c>
      <c r="B1393" t="s">
        <v>339</v>
      </c>
      <c r="C1393" t="s">
        <v>353</v>
      </c>
      <c r="D1393" t="s">
        <v>4115</v>
      </c>
      <c r="E1393" t="s">
        <v>4114</v>
      </c>
      <c r="F1393" s="46">
        <v>46097.325869513887</v>
      </c>
      <c r="G1393" s="46">
        <v>46097.325869513887</v>
      </c>
      <c r="H1393">
        <v>0</v>
      </c>
    </row>
    <row r="1394" spans="1:8" x14ac:dyDescent="0.15">
      <c r="A1394">
        <v>1393</v>
      </c>
      <c r="B1394" t="s">
        <v>339</v>
      </c>
      <c r="C1394" t="s">
        <v>353</v>
      </c>
      <c r="D1394" t="s">
        <v>4116</v>
      </c>
      <c r="E1394" t="s">
        <v>4114</v>
      </c>
      <c r="F1394" s="46">
        <v>46097.325869513887</v>
      </c>
      <c r="G1394" s="46">
        <v>46097.325869513887</v>
      </c>
      <c r="H1394">
        <v>0</v>
      </c>
    </row>
    <row r="1395" spans="1:8" x14ac:dyDescent="0.15">
      <c r="A1395">
        <v>1394</v>
      </c>
      <c r="B1395" t="s">
        <v>339</v>
      </c>
      <c r="C1395" t="s">
        <v>353</v>
      </c>
      <c r="D1395" t="s">
        <v>4117</v>
      </c>
      <c r="E1395" t="s">
        <v>4118</v>
      </c>
      <c r="F1395" s="46">
        <v>46097.325869513887</v>
      </c>
      <c r="G1395" s="46">
        <v>46097.325869513887</v>
      </c>
      <c r="H1395">
        <v>0</v>
      </c>
    </row>
    <row r="1396" spans="1:8" x14ac:dyDescent="0.15">
      <c r="A1396">
        <v>1395</v>
      </c>
      <c r="B1396" t="s">
        <v>339</v>
      </c>
      <c r="C1396" t="s">
        <v>353</v>
      </c>
      <c r="D1396" t="s">
        <v>4119</v>
      </c>
      <c r="E1396" t="s">
        <v>4120</v>
      </c>
      <c r="F1396" s="46">
        <v>46097.325869513887</v>
      </c>
      <c r="G1396" s="46">
        <v>46097.325869513887</v>
      </c>
      <c r="H1396">
        <v>0</v>
      </c>
    </row>
    <row r="1397" spans="1:8" x14ac:dyDescent="0.15">
      <c r="A1397">
        <v>1396</v>
      </c>
      <c r="B1397" t="s">
        <v>339</v>
      </c>
      <c r="C1397" t="s">
        <v>353</v>
      </c>
      <c r="D1397" t="s">
        <v>4121</v>
      </c>
      <c r="E1397" t="s">
        <v>4122</v>
      </c>
      <c r="F1397" s="46">
        <v>46097.325869513887</v>
      </c>
      <c r="G1397" s="46">
        <v>46097.325869513887</v>
      </c>
      <c r="H1397">
        <v>0</v>
      </c>
    </row>
    <row r="1398" spans="1:8" x14ac:dyDescent="0.15">
      <c r="A1398">
        <v>1397</v>
      </c>
      <c r="B1398" t="s">
        <v>339</v>
      </c>
      <c r="C1398" t="s">
        <v>353</v>
      </c>
      <c r="D1398" t="s">
        <v>4123</v>
      </c>
      <c r="E1398" t="s">
        <v>1038</v>
      </c>
      <c r="F1398" s="46">
        <v>46097.325869513887</v>
      </c>
      <c r="G1398" s="46">
        <v>46097.325869699067</v>
      </c>
      <c r="H1398">
        <v>15</v>
      </c>
    </row>
    <row r="1399" spans="1:8" x14ac:dyDescent="0.15">
      <c r="A1399">
        <v>1398</v>
      </c>
      <c r="B1399" t="s">
        <v>339</v>
      </c>
      <c r="C1399" t="s">
        <v>353</v>
      </c>
      <c r="D1399" t="s">
        <v>4124</v>
      </c>
      <c r="E1399" t="s">
        <v>1041</v>
      </c>
      <c r="F1399" s="46">
        <v>46097.325869699067</v>
      </c>
      <c r="G1399" s="46">
        <v>46097.325869699067</v>
      </c>
      <c r="H1399">
        <v>0</v>
      </c>
    </row>
    <row r="1400" spans="1:8" x14ac:dyDescent="0.15">
      <c r="A1400">
        <v>1399</v>
      </c>
      <c r="B1400" t="s">
        <v>339</v>
      </c>
      <c r="C1400" t="s">
        <v>353</v>
      </c>
      <c r="D1400" t="s">
        <v>4125</v>
      </c>
      <c r="E1400" t="s">
        <v>1041</v>
      </c>
      <c r="F1400" s="46">
        <v>46097.325869699067</v>
      </c>
      <c r="G1400" s="46">
        <v>46097.325869699067</v>
      </c>
      <c r="H1400">
        <v>0</v>
      </c>
    </row>
    <row r="1401" spans="1:8" x14ac:dyDescent="0.15">
      <c r="A1401">
        <v>1400</v>
      </c>
      <c r="B1401" t="s">
        <v>339</v>
      </c>
      <c r="C1401" t="s">
        <v>353</v>
      </c>
      <c r="D1401" t="s">
        <v>4126</v>
      </c>
      <c r="E1401" t="s">
        <v>1041</v>
      </c>
      <c r="F1401" s="46">
        <v>46097.325869699067</v>
      </c>
      <c r="G1401" s="46">
        <v>46097.325869699067</v>
      </c>
      <c r="H1401">
        <v>0</v>
      </c>
    </row>
    <row r="1402" spans="1:8" x14ac:dyDescent="0.15">
      <c r="A1402">
        <v>1401</v>
      </c>
      <c r="B1402" t="s">
        <v>339</v>
      </c>
      <c r="C1402" t="s">
        <v>353</v>
      </c>
      <c r="D1402" t="s">
        <v>4127</v>
      </c>
      <c r="E1402" t="s">
        <v>1041</v>
      </c>
      <c r="F1402" s="46">
        <v>46097.325869699067</v>
      </c>
      <c r="G1402" s="46">
        <v>46097.325869699067</v>
      </c>
      <c r="H1402">
        <v>0</v>
      </c>
    </row>
    <row r="1403" spans="1:8" x14ac:dyDescent="0.15">
      <c r="A1403">
        <v>1402</v>
      </c>
      <c r="B1403" t="s">
        <v>339</v>
      </c>
      <c r="C1403" t="s">
        <v>353</v>
      </c>
      <c r="D1403" t="s">
        <v>4128</v>
      </c>
      <c r="E1403" t="s">
        <v>1041</v>
      </c>
      <c r="F1403" s="46">
        <v>46097.325869699067</v>
      </c>
      <c r="G1403" s="46">
        <v>46097.325869699067</v>
      </c>
      <c r="H1403">
        <v>0</v>
      </c>
    </row>
    <row r="1404" spans="1:8" x14ac:dyDescent="0.15">
      <c r="A1404">
        <v>1403</v>
      </c>
      <c r="B1404" t="s">
        <v>339</v>
      </c>
      <c r="C1404" t="s">
        <v>353</v>
      </c>
      <c r="D1404" t="s">
        <v>4129</v>
      </c>
      <c r="E1404" t="s">
        <v>1041</v>
      </c>
      <c r="F1404" s="46">
        <v>46097.325869699067</v>
      </c>
      <c r="G1404" s="46">
        <v>46097.325869699067</v>
      </c>
      <c r="H1404">
        <v>0</v>
      </c>
    </row>
    <row r="1405" spans="1:8" x14ac:dyDescent="0.15">
      <c r="A1405">
        <v>1404</v>
      </c>
      <c r="B1405" t="s">
        <v>339</v>
      </c>
      <c r="C1405" t="s">
        <v>353</v>
      </c>
      <c r="D1405" t="s">
        <v>4130</v>
      </c>
      <c r="E1405" t="s">
        <v>4131</v>
      </c>
      <c r="F1405" s="46">
        <v>46097.325869699067</v>
      </c>
      <c r="G1405" s="46">
        <v>46097.325869699067</v>
      </c>
      <c r="H1405">
        <v>0</v>
      </c>
    </row>
    <row r="1406" spans="1:8" x14ac:dyDescent="0.15">
      <c r="A1406">
        <v>1405</v>
      </c>
      <c r="B1406" t="s">
        <v>339</v>
      </c>
      <c r="C1406" t="s">
        <v>353</v>
      </c>
      <c r="D1406" t="s">
        <v>4132</v>
      </c>
      <c r="E1406" t="s">
        <v>482</v>
      </c>
      <c r="F1406" s="46">
        <v>46097.325869699067</v>
      </c>
      <c r="G1406" s="46">
        <v>46097.325869699067</v>
      </c>
      <c r="H1406">
        <v>0</v>
      </c>
    </row>
    <row r="1407" spans="1:8" x14ac:dyDescent="0.15">
      <c r="A1407">
        <v>1406</v>
      </c>
      <c r="B1407" t="s">
        <v>339</v>
      </c>
      <c r="C1407" t="s">
        <v>353</v>
      </c>
      <c r="D1407" t="s">
        <v>4133</v>
      </c>
      <c r="E1407" t="s">
        <v>4134</v>
      </c>
      <c r="F1407" s="46">
        <v>46097.325869699067</v>
      </c>
      <c r="G1407" s="46">
        <v>46097.325869699067</v>
      </c>
      <c r="H1407">
        <v>0</v>
      </c>
    </row>
    <row r="1408" spans="1:8" x14ac:dyDescent="0.15">
      <c r="A1408">
        <v>1407</v>
      </c>
      <c r="B1408" t="s">
        <v>339</v>
      </c>
      <c r="C1408" t="s">
        <v>353</v>
      </c>
      <c r="D1408" t="s">
        <v>4135</v>
      </c>
      <c r="E1408" t="s">
        <v>1048</v>
      </c>
      <c r="F1408" s="46">
        <v>46097.325869699067</v>
      </c>
      <c r="G1408" s="46">
        <v>46097.325869699067</v>
      </c>
      <c r="H1408">
        <v>0</v>
      </c>
    </row>
    <row r="1409" spans="1:8" x14ac:dyDescent="0.15">
      <c r="A1409">
        <v>1408</v>
      </c>
      <c r="B1409" t="s">
        <v>339</v>
      </c>
      <c r="C1409" t="s">
        <v>353</v>
      </c>
      <c r="D1409" t="s">
        <v>4136</v>
      </c>
      <c r="E1409" t="s">
        <v>1048</v>
      </c>
      <c r="F1409" s="46">
        <v>46097.325869699067</v>
      </c>
      <c r="G1409" s="46">
        <v>46097.325869884262</v>
      </c>
      <c r="H1409">
        <v>16</v>
      </c>
    </row>
    <row r="1410" spans="1:8" x14ac:dyDescent="0.15">
      <c r="A1410">
        <v>1409</v>
      </c>
      <c r="B1410" t="s">
        <v>339</v>
      </c>
      <c r="C1410" t="s">
        <v>353</v>
      </c>
      <c r="D1410" t="s">
        <v>4137</v>
      </c>
      <c r="E1410" t="s">
        <v>1048</v>
      </c>
      <c r="F1410" s="46">
        <v>46097.325869884262</v>
      </c>
      <c r="G1410" s="46">
        <v>46097.325869884262</v>
      </c>
      <c r="H1410">
        <v>0</v>
      </c>
    </row>
    <row r="1411" spans="1:8" x14ac:dyDescent="0.15">
      <c r="A1411">
        <v>1410</v>
      </c>
      <c r="B1411" t="s">
        <v>339</v>
      </c>
      <c r="C1411" t="s">
        <v>353</v>
      </c>
      <c r="D1411" t="s">
        <v>4138</v>
      </c>
      <c r="E1411" t="s">
        <v>483</v>
      </c>
      <c r="F1411" s="46">
        <v>46097.325869884262</v>
      </c>
      <c r="G1411" s="46">
        <v>46097.325869884262</v>
      </c>
      <c r="H1411">
        <v>0</v>
      </c>
    </row>
    <row r="1412" spans="1:8" x14ac:dyDescent="0.15">
      <c r="A1412">
        <v>1411</v>
      </c>
      <c r="B1412" t="s">
        <v>339</v>
      </c>
      <c r="C1412" t="s">
        <v>353</v>
      </c>
      <c r="D1412" t="s">
        <v>4139</v>
      </c>
      <c r="E1412" t="s">
        <v>483</v>
      </c>
      <c r="F1412" s="46">
        <v>46097.325869884262</v>
      </c>
      <c r="G1412" s="46">
        <v>46097.325869884262</v>
      </c>
      <c r="H1412">
        <v>0</v>
      </c>
    </row>
    <row r="1413" spans="1:8" x14ac:dyDescent="0.15">
      <c r="A1413">
        <v>1412</v>
      </c>
      <c r="B1413" t="s">
        <v>339</v>
      </c>
      <c r="C1413" t="s">
        <v>353</v>
      </c>
      <c r="D1413" t="s">
        <v>4140</v>
      </c>
      <c r="E1413" t="s">
        <v>483</v>
      </c>
      <c r="F1413" s="46">
        <v>46097.325869884262</v>
      </c>
      <c r="G1413" s="46">
        <v>46097.325869884262</v>
      </c>
      <c r="H1413">
        <v>0</v>
      </c>
    </row>
    <row r="1414" spans="1:8" x14ac:dyDescent="0.15">
      <c r="A1414">
        <v>1413</v>
      </c>
      <c r="B1414" t="s">
        <v>339</v>
      </c>
      <c r="C1414" t="s">
        <v>353</v>
      </c>
      <c r="D1414" t="s">
        <v>4141</v>
      </c>
      <c r="E1414" t="s">
        <v>483</v>
      </c>
      <c r="F1414" s="46">
        <v>46097.325869884262</v>
      </c>
      <c r="G1414" s="46">
        <v>46097.325869884262</v>
      </c>
      <c r="H1414">
        <v>0</v>
      </c>
    </row>
    <row r="1415" spans="1:8" x14ac:dyDescent="0.15">
      <c r="A1415">
        <v>1414</v>
      </c>
      <c r="B1415" t="s">
        <v>339</v>
      </c>
      <c r="C1415" t="s">
        <v>353</v>
      </c>
      <c r="D1415" t="s">
        <v>4142</v>
      </c>
      <c r="E1415" t="s">
        <v>483</v>
      </c>
      <c r="F1415" s="46">
        <v>46097.325869884262</v>
      </c>
      <c r="G1415" s="46">
        <v>46097.325869884262</v>
      </c>
      <c r="H1415">
        <v>0</v>
      </c>
    </row>
    <row r="1416" spans="1:8" x14ac:dyDescent="0.15">
      <c r="A1416">
        <v>1415</v>
      </c>
      <c r="B1416" t="s">
        <v>339</v>
      </c>
      <c r="C1416" t="s">
        <v>353</v>
      </c>
      <c r="D1416" t="s">
        <v>4143</v>
      </c>
      <c r="E1416" t="s">
        <v>483</v>
      </c>
      <c r="F1416" s="46">
        <v>46097.325869884262</v>
      </c>
      <c r="G1416" s="46">
        <v>46097.325869884262</v>
      </c>
      <c r="H1416">
        <v>0</v>
      </c>
    </row>
    <row r="1417" spans="1:8" x14ac:dyDescent="0.15">
      <c r="A1417">
        <v>1416</v>
      </c>
      <c r="B1417" t="s">
        <v>339</v>
      </c>
      <c r="C1417" t="s">
        <v>353</v>
      </c>
      <c r="D1417" t="s">
        <v>4144</v>
      </c>
      <c r="E1417" t="s">
        <v>483</v>
      </c>
      <c r="F1417" s="46">
        <v>46097.325869884262</v>
      </c>
      <c r="G1417" s="46">
        <v>46097.325869884262</v>
      </c>
      <c r="H1417">
        <v>0</v>
      </c>
    </row>
    <row r="1418" spans="1:8" x14ac:dyDescent="0.15">
      <c r="A1418">
        <v>1417</v>
      </c>
      <c r="B1418" t="s">
        <v>339</v>
      </c>
      <c r="C1418" t="s">
        <v>353</v>
      </c>
      <c r="D1418" t="s">
        <v>4145</v>
      </c>
      <c r="E1418" t="s">
        <v>484</v>
      </c>
      <c r="F1418" s="46">
        <v>46097.325869884262</v>
      </c>
      <c r="G1418" s="46">
        <v>46097.325869884262</v>
      </c>
      <c r="H1418">
        <v>0</v>
      </c>
    </row>
    <row r="1419" spans="1:8" x14ac:dyDescent="0.15">
      <c r="A1419">
        <v>1418</v>
      </c>
      <c r="B1419" t="s">
        <v>339</v>
      </c>
      <c r="C1419" t="s">
        <v>353</v>
      </c>
      <c r="D1419" t="s">
        <v>4146</v>
      </c>
      <c r="E1419" t="s">
        <v>484</v>
      </c>
      <c r="F1419" s="46">
        <v>46097.325869884262</v>
      </c>
      <c r="G1419" s="46">
        <v>46097.325869884262</v>
      </c>
      <c r="H1419">
        <v>0</v>
      </c>
    </row>
    <row r="1420" spans="1:8" x14ac:dyDescent="0.15">
      <c r="A1420">
        <v>1419</v>
      </c>
      <c r="B1420" t="s">
        <v>339</v>
      </c>
      <c r="C1420" t="s">
        <v>353</v>
      </c>
      <c r="D1420" t="s">
        <v>4147</v>
      </c>
      <c r="E1420" t="s">
        <v>484</v>
      </c>
      <c r="F1420" s="46">
        <v>46097.325870057874</v>
      </c>
      <c r="G1420" s="46">
        <v>46097.325870057874</v>
      </c>
      <c r="H1420">
        <v>0</v>
      </c>
    </row>
    <row r="1421" spans="1:8" x14ac:dyDescent="0.15">
      <c r="A1421">
        <v>1420</v>
      </c>
      <c r="B1421" t="s">
        <v>339</v>
      </c>
      <c r="C1421" t="s">
        <v>353</v>
      </c>
      <c r="D1421" t="s">
        <v>4148</v>
      </c>
      <c r="E1421" t="s">
        <v>1058</v>
      </c>
      <c r="F1421" s="46">
        <v>46097.325870057874</v>
      </c>
      <c r="G1421" s="46">
        <v>46097.325870057874</v>
      </c>
      <c r="H1421">
        <v>0</v>
      </c>
    </row>
    <row r="1422" spans="1:8" x14ac:dyDescent="0.15">
      <c r="A1422">
        <v>1421</v>
      </c>
      <c r="B1422" t="s">
        <v>339</v>
      </c>
      <c r="C1422" t="s">
        <v>353</v>
      </c>
      <c r="D1422" t="s">
        <v>4149</v>
      </c>
      <c r="E1422" t="s">
        <v>485</v>
      </c>
      <c r="F1422" s="46">
        <v>46097.325870057874</v>
      </c>
      <c r="G1422" s="46">
        <v>46097.325870057874</v>
      </c>
      <c r="H1422">
        <v>0</v>
      </c>
    </row>
    <row r="1423" spans="1:8" x14ac:dyDescent="0.15">
      <c r="A1423">
        <v>1422</v>
      </c>
      <c r="B1423" t="s">
        <v>339</v>
      </c>
      <c r="C1423" t="s">
        <v>353</v>
      </c>
      <c r="D1423" t="s">
        <v>4150</v>
      </c>
      <c r="E1423" t="s">
        <v>485</v>
      </c>
      <c r="F1423" s="46">
        <v>46097.325870057874</v>
      </c>
      <c r="G1423" s="46">
        <v>46097.325870057874</v>
      </c>
      <c r="H1423">
        <v>0</v>
      </c>
    </row>
    <row r="1424" spans="1:8" x14ac:dyDescent="0.15">
      <c r="A1424">
        <v>1423</v>
      </c>
      <c r="B1424" t="s">
        <v>339</v>
      </c>
      <c r="C1424" t="s">
        <v>353</v>
      </c>
      <c r="D1424" t="s">
        <v>4151</v>
      </c>
      <c r="E1424" t="s">
        <v>4152</v>
      </c>
      <c r="F1424" s="46">
        <v>46097.325870057874</v>
      </c>
      <c r="G1424" s="46">
        <v>46097.325870057874</v>
      </c>
      <c r="H1424">
        <v>0</v>
      </c>
    </row>
    <row r="1425" spans="1:8" x14ac:dyDescent="0.15">
      <c r="A1425">
        <v>1424</v>
      </c>
      <c r="B1425" t="s">
        <v>339</v>
      </c>
      <c r="C1425" t="s">
        <v>353</v>
      </c>
      <c r="D1425" t="s">
        <v>4153</v>
      </c>
      <c r="E1425" t="s">
        <v>486</v>
      </c>
      <c r="F1425" s="46">
        <v>46097.325870057874</v>
      </c>
      <c r="G1425" s="46">
        <v>46097.325870057874</v>
      </c>
      <c r="H1425">
        <v>0</v>
      </c>
    </row>
    <row r="1426" spans="1:8" x14ac:dyDescent="0.15">
      <c r="A1426">
        <v>1425</v>
      </c>
      <c r="B1426" t="s">
        <v>339</v>
      </c>
      <c r="C1426" t="s">
        <v>353</v>
      </c>
      <c r="D1426" t="s">
        <v>4154</v>
      </c>
      <c r="E1426" t="s">
        <v>486</v>
      </c>
      <c r="F1426" s="46">
        <v>46097.325870057874</v>
      </c>
      <c r="G1426" s="46">
        <v>46097.325870057874</v>
      </c>
      <c r="H1426">
        <v>0</v>
      </c>
    </row>
    <row r="1427" spans="1:8" x14ac:dyDescent="0.15">
      <c r="A1427">
        <v>1426</v>
      </c>
      <c r="B1427" t="s">
        <v>339</v>
      </c>
      <c r="C1427" t="s">
        <v>353</v>
      </c>
      <c r="D1427" t="s">
        <v>4155</v>
      </c>
      <c r="E1427" t="s">
        <v>486</v>
      </c>
      <c r="F1427" s="46">
        <v>46097.325870057874</v>
      </c>
      <c r="G1427" s="46">
        <v>46097.325870057874</v>
      </c>
      <c r="H1427">
        <v>0</v>
      </c>
    </row>
    <row r="1428" spans="1:8" x14ac:dyDescent="0.15">
      <c r="A1428">
        <v>1427</v>
      </c>
      <c r="B1428" t="s">
        <v>339</v>
      </c>
      <c r="C1428" t="s">
        <v>353</v>
      </c>
      <c r="D1428" t="s">
        <v>4156</v>
      </c>
      <c r="E1428" t="s">
        <v>486</v>
      </c>
      <c r="F1428" s="46">
        <v>46097.325870057874</v>
      </c>
      <c r="G1428" s="46">
        <v>46097.325870057874</v>
      </c>
      <c r="H1428">
        <v>0</v>
      </c>
    </row>
    <row r="1429" spans="1:8" x14ac:dyDescent="0.15">
      <c r="A1429">
        <v>1428</v>
      </c>
      <c r="B1429" t="s">
        <v>339</v>
      </c>
      <c r="C1429" t="s">
        <v>353</v>
      </c>
      <c r="D1429" t="s">
        <v>4157</v>
      </c>
      <c r="E1429" t="s">
        <v>4158</v>
      </c>
      <c r="F1429" s="46">
        <v>46097.325870057874</v>
      </c>
      <c r="G1429" s="46">
        <v>46097.325870057874</v>
      </c>
      <c r="H1429">
        <v>0</v>
      </c>
    </row>
    <row r="1430" spans="1:8" x14ac:dyDescent="0.15">
      <c r="A1430">
        <v>1429</v>
      </c>
      <c r="B1430" t="s">
        <v>339</v>
      </c>
      <c r="C1430" t="s">
        <v>353</v>
      </c>
      <c r="D1430" t="s">
        <v>4159</v>
      </c>
      <c r="E1430" t="s">
        <v>4158</v>
      </c>
      <c r="F1430" s="46">
        <v>46097.325870057874</v>
      </c>
      <c r="G1430" s="46">
        <v>46097.325870243047</v>
      </c>
      <c r="H1430">
        <v>15</v>
      </c>
    </row>
    <row r="1431" spans="1:8" x14ac:dyDescent="0.15">
      <c r="A1431">
        <v>1430</v>
      </c>
      <c r="B1431" t="s">
        <v>339</v>
      </c>
      <c r="C1431" t="s">
        <v>353</v>
      </c>
      <c r="D1431" t="s">
        <v>4160</v>
      </c>
      <c r="E1431" t="s">
        <v>4158</v>
      </c>
      <c r="F1431" s="46">
        <v>46097.325870243047</v>
      </c>
      <c r="G1431" s="46">
        <v>46097.325870243047</v>
      </c>
      <c r="H1431">
        <v>0</v>
      </c>
    </row>
    <row r="1432" spans="1:8" x14ac:dyDescent="0.15">
      <c r="A1432">
        <v>1431</v>
      </c>
      <c r="B1432" t="s">
        <v>339</v>
      </c>
      <c r="C1432" t="s">
        <v>353</v>
      </c>
      <c r="D1432" t="s">
        <v>4161</v>
      </c>
      <c r="E1432" t="s">
        <v>1063</v>
      </c>
      <c r="F1432" s="46">
        <v>46097.325870243047</v>
      </c>
      <c r="G1432" s="46">
        <v>46097.325870243047</v>
      </c>
      <c r="H1432">
        <v>0</v>
      </c>
    </row>
    <row r="1433" spans="1:8" x14ac:dyDescent="0.15">
      <c r="A1433">
        <v>1432</v>
      </c>
      <c r="B1433" t="s">
        <v>339</v>
      </c>
      <c r="C1433" t="s">
        <v>353</v>
      </c>
      <c r="D1433" t="s">
        <v>4162</v>
      </c>
      <c r="E1433" t="s">
        <v>1063</v>
      </c>
      <c r="F1433" s="46">
        <v>46097.325870243047</v>
      </c>
      <c r="G1433" s="46">
        <v>46097.325870243047</v>
      </c>
      <c r="H1433">
        <v>0</v>
      </c>
    </row>
    <row r="1434" spans="1:8" x14ac:dyDescent="0.15">
      <c r="A1434">
        <v>1433</v>
      </c>
      <c r="B1434" t="s">
        <v>339</v>
      </c>
      <c r="C1434" t="s">
        <v>353</v>
      </c>
      <c r="D1434" t="s">
        <v>4163</v>
      </c>
      <c r="E1434" t="s">
        <v>1063</v>
      </c>
      <c r="F1434" s="46">
        <v>46097.325870243047</v>
      </c>
      <c r="G1434" s="46">
        <v>46097.325870243047</v>
      </c>
      <c r="H1434">
        <v>0</v>
      </c>
    </row>
    <row r="1435" spans="1:8" x14ac:dyDescent="0.15">
      <c r="A1435">
        <v>1434</v>
      </c>
      <c r="B1435" t="s">
        <v>339</v>
      </c>
      <c r="C1435" t="s">
        <v>353</v>
      </c>
      <c r="D1435" t="s">
        <v>4164</v>
      </c>
      <c r="E1435" t="s">
        <v>4165</v>
      </c>
      <c r="F1435" s="46">
        <v>46097.325870243047</v>
      </c>
      <c r="G1435" s="46">
        <v>46097.325870243047</v>
      </c>
      <c r="H1435">
        <v>0</v>
      </c>
    </row>
    <row r="1436" spans="1:8" x14ac:dyDescent="0.15">
      <c r="A1436">
        <v>1435</v>
      </c>
      <c r="B1436" t="s">
        <v>339</v>
      </c>
      <c r="C1436" t="s">
        <v>353</v>
      </c>
      <c r="D1436" t="s">
        <v>4166</v>
      </c>
      <c r="E1436" t="s">
        <v>488</v>
      </c>
      <c r="F1436" s="46">
        <v>46097.325870243047</v>
      </c>
      <c r="G1436" s="46">
        <v>46097.325870243047</v>
      </c>
      <c r="H1436">
        <v>0</v>
      </c>
    </row>
    <row r="1437" spans="1:8" x14ac:dyDescent="0.15">
      <c r="A1437">
        <v>1436</v>
      </c>
      <c r="B1437" t="s">
        <v>339</v>
      </c>
      <c r="C1437" t="s">
        <v>353</v>
      </c>
      <c r="D1437" t="s">
        <v>4167</v>
      </c>
      <c r="E1437" t="s">
        <v>489</v>
      </c>
      <c r="F1437" s="46">
        <v>46097.325870243047</v>
      </c>
      <c r="G1437" s="46">
        <v>46097.325870243047</v>
      </c>
      <c r="H1437">
        <v>0</v>
      </c>
    </row>
    <row r="1438" spans="1:8" x14ac:dyDescent="0.15">
      <c r="A1438">
        <v>1437</v>
      </c>
      <c r="B1438" t="s">
        <v>339</v>
      </c>
      <c r="C1438" t="s">
        <v>353</v>
      </c>
      <c r="D1438" t="s">
        <v>4168</v>
      </c>
      <c r="E1438" t="s">
        <v>4169</v>
      </c>
      <c r="F1438" s="46">
        <v>46097.325870243047</v>
      </c>
      <c r="G1438" s="46">
        <v>46097.325870243047</v>
      </c>
      <c r="H1438">
        <v>0</v>
      </c>
    </row>
    <row r="1439" spans="1:8" x14ac:dyDescent="0.15">
      <c r="A1439">
        <v>1438</v>
      </c>
      <c r="B1439" t="s">
        <v>339</v>
      </c>
      <c r="C1439" t="s">
        <v>353</v>
      </c>
      <c r="D1439" t="s">
        <v>4170</v>
      </c>
      <c r="E1439" t="s">
        <v>4169</v>
      </c>
      <c r="F1439" s="46">
        <v>46097.325870243047</v>
      </c>
      <c r="G1439" s="46">
        <v>46097.325870243047</v>
      </c>
      <c r="H1439">
        <v>0</v>
      </c>
    </row>
    <row r="1440" spans="1:8" x14ac:dyDescent="0.15">
      <c r="A1440">
        <v>1439</v>
      </c>
      <c r="B1440" t="s">
        <v>339</v>
      </c>
      <c r="C1440" t="s">
        <v>353</v>
      </c>
      <c r="D1440" t="s">
        <v>4171</v>
      </c>
      <c r="E1440" t="s">
        <v>490</v>
      </c>
      <c r="F1440" s="46">
        <v>46097.325870243047</v>
      </c>
      <c r="G1440" s="46">
        <v>46097.325870243047</v>
      </c>
      <c r="H1440">
        <v>0</v>
      </c>
    </row>
    <row r="1441" spans="1:8" x14ac:dyDescent="0.15">
      <c r="A1441">
        <v>1440</v>
      </c>
      <c r="B1441" t="s">
        <v>339</v>
      </c>
      <c r="C1441" t="s">
        <v>353</v>
      </c>
      <c r="D1441" t="s">
        <v>4172</v>
      </c>
      <c r="E1441" t="s">
        <v>491</v>
      </c>
      <c r="F1441" s="46">
        <v>46097.325870243047</v>
      </c>
      <c r="G1441" s="46">
        <v>46097.325870416673</v>
      </c>
      <c r="H1441">
        <v>16</v>
      </c>
    </row>
    <row r="1442" spans="1:8" x14ac:dyDescent="0.15">
      <c r="A1442">
        <v>1441</v>
      </c>
      <c r="B1442" t="s">
        <v>339</v>
      </c>
      <c r="C1442" t="s">
        <v>353</v>
      </c>
      <c r="D1442" t="s">
        <v>4173</v>
      </c>
      <c r="E1442" t="s">
        <v>492</v>
      </c>
      <c r="F1442" s="46">
        <v>46097.325870416673</v>
      </c>
      <c r="G1442" s="46">
        <v>46097.325870416673</v>
      </c>
      <c r="H1442">
        <v>0</v>
      </c>
    </row>
    <row r="1443" spans="1:8" x14ac:dyDescent="0.15">
      <c r="A1443">
        <v>1442</v>
      </c>
      <c r="B1443" t="s">
        <v>339</v>
      </c>
      <c r="C1443" t="s">
        <v>353</v>
      </c>
      <c r="D1443" t="s">
        <v>4174</v>
      </c>
      <c r="E1443" t="s">
        <v>493</v>
      </c>
      <c r="F1443" s="46">
        <v>46097.325870416673</v>
      </c>
      <c r="G1443" s="46">
        <v>46097.325870416673</v>
      </c>
      <c r="H1443">
        <v>0</v>
      </c>
    </row>
    <row r="1444" spans="1:8" x14ac:dyDescent="0.15">
      <c r="A1444">
        <v>1443</v>
      </c>
      <c r="B1444" t="s">
        <v>339</v>
      </c>
      <c r="C1444" t="s">
        <v>353</v>
      </c>
      <c r="D1444" t="s">
        <v>4175</v>
      </c>
      <c r="E1444" t="s">
        <v>493</v>
      </c>
      <c r="F1444" s="46">
        <v>46097.325870416673</v>
      </c>
      <c r="G1444" s="46">
        <v>46097.325870416673</v>
      </c>
      <c r="H1444">
        <v>0</v>
      </c>
    </row>
    <row r="1445" spans="1:8" x14ac:dyDescent="0.15">
      <c r="A1445">
        <v>1444</v>
      </c>
      <c r="B1445" t="s">
        <v>339</v>
      </c>
      <c r="C1445" t="s">
        <v>353</v>
      </c>
      <c r="D1445" t="s">
        <v>4176</v>
      </c>
      <c r="E1445" t="s">
        <v>493</v>
      </c>
      <c r="F1445" s="46">
        <v>46097.325870416673</v>
      </c>
      <c r="G1445" s="46">
        <v>46097.325870416673</v>
      </c>
      <c r="H1445">
        <v>0</v>
      </c>
    </row>
    <row r="1446" spans="1:8" x14ac:dyDescent="0.15">
      <c r="A1446">
        <v>1445</v>
      </c>
      <c r="B1446" t="s">
        <v>339</v>
      </c>
      <c r="C1446" t="s">
        <v>353</v>
      </c>
      <c r="D1446" t="s">
        <v>4177</v>
      </c>
      <c r="E1446" t="s">
        <v>493</v>
      </c>
      <c r="F1446" s="46">
        <v>46097.325870416673</v>
      </c>
      <c r="G1446" s="46">
        <v>46097.325870416673</v>
      </c>
      <c r="H1446">
        <v>0</v>
      </c>
    </row>
    <row r="1447" spans="1:8" x14ac:dyDescent="0.15">
      <c r="A1447">
        <v>1446</v>
      </c>
      <c r="B1447" t="s">
        <v>339</v>
      </c>
      <c r="C1447" t="s">
        <v>353</v>
      </c>
      <c r="D1447" t="s">
        <v>4178</v>
      </c>
      <c r="E1447" t="s">
        <v>493</v>
      </c>
      <c r="F1447" s="46">
        <v>46097.325870416673</v>
      </c>
      <c r="G1447" s="46">
        <v>46097.325870416673</v>
      </c>
      <c r="H1447">
        <v>0</v>
      </c>
    </row>
    <row r="1448" spans="1:8" x14ac:dyDescent="0.15">
      <c r="A1448">
        <v>1447</v>
      </c>
      <c r="B1448" t="s">
        <v>339</v>
      </c>
      <c r="C1448" t="s">
        <v>353</v>
      </c>
      <c r="D1448" t="s">
        <v>4179</v>
      </c>
      <c r="E1448" t="s">
        <v>493</v>
      </c>
      <c r="F1448" s="46">
        <v>46097.325870416673</v>
      </c>
      <c r="G1448" s="46">
        <v>46097.325870416673</v>
      </c>
      <c r="H1448">
        <v>0</v>
      </c>
    </row>
    <row r="1449" spans="1:8" x14ac:dyDescent="0.15">
      <c r="A1449">
        <v>1448</v>
      </c>
      <c r="B1449" t="s">
        <v>339</v>
      </c>
      <c r="C1449" t="s">
        <v>353</v>
      </c>
      <c r="D1449" t="s">
        <v>4180</v>
      </c>
      <c r="E1449" t="s">
        <v>493</v>
      </c>
      <c r="F1449" s="46">
        <v>46097.325870416673</v>
      </c>
      <c r="G1449" s="46">
        <v>46097.325870416673</v>
      </c>
      <c r="H1449">
        <v>0</v>
      </c>
    </row>
    <row r="1450" spans="1:8" x14ac:dyDescent="0.15">
      <c r="A1450">
        <v>1449</v>
      </c>
      <c r="B1450" t="s">
        <v>339</v>
      </c>
      <c r="C1450" t="s">
        <v>353</v>
      </c>
      <c r="D1450" t="s">
        <v>4181</v>
      </c>
      <c r="E1450" t="s">
        <v>493</v>
      </c>
      <c r="F1450" s="46">
        <v>46097.325870416673</v>
      </c>
      <c r="G1450" s="46">
        <v>46097.325870416673</v>
      </c>
      <c r="H1450">
        <v>0</v>
      </c>
    </row>
    <row r="1451" spans="1:8" x14ac:dyDescent="0.15">
      <c r="A1451">
        <v>1450</v>
      </c>
      <c r="B1451" t="s">
        <v>339</v>
      </c>
      <c r="C1451" t="s">
        <v>353</v>
      </c>
      <c r="D1451" t="s">
        <v>4182</v>
      </c>
      <c r="E1451" t="s">
        <v>4183</v>
      </c>
      <c r="F1451" s="46">
        <v>46097.325870416673</v>
      </c>
      <c r="G1451" s="46">
        <v>46097.325870601853</v>
      </c>
      <c r="H1451">
        <v>16</v>
      </c>
    </row>
    <row r="1452" spans="1:8" x14ac:dyDescent="0.15">
      <c r="A1452">
        <v>1451</v>
      </c>
      <c r="B1452" t="s">
        <v>339</v>
      </c>
      <c r="C1452" t="s">
        <v>353</v>
      </c>
      <c r="D1452" t="s">
        <v>4184</v>
      </c>
      <c r="E1452" t="s">
        <v>494</v>
      </c>
      <c r="F1452" s="46">
        <v>46097.325870601853</v>
      </c>
      <c r="G1452" s="46">
        <v>46097.325870601853</v>
      </c>
      <c r="H1452">
        <v>0</v>
      </c>
    </row>
    <row r="1453" spans="1:8" x14ac:dyDescent="0.15">
      <c r="A1453">
        <v>1452</v>
      </c>
      <c r="B1453" t="s">
        <v>339</v>
      </c>
      <c r="C1453" t="s">
        <v>353</v>
      </c>
      <c r="D1453" t="s">
        <v>4185</v>
      </c>
      <c r="E1453" t="s">
        <v>494</v>
      </c>
      <c r="F1453" s="46">
        <v>46097.325870601853</v>
      </c>
      <c r="G1453" s="46">
        <v>46097.325870601853</v>
      </c>
      <c r="H1453">
        <v>0</v>
      </c>
    </row>
    <row r="1454" spans="1:8" x14ac:dyDescent="0.15">
      <c r="A1454">
        <v>1453</v>
      </c>
      <c r="B1454" t="s">
        <v>339</v>
      </c>
      <c r="C1454" t="s">
        <v>353</v>
      </c>
      <c r="D1454" t="s">
        <v>4186</v>
      </c>
      <c r="E1454" t="s">
        <v>4187</v>
      </c>
      <c r="F1454" s="46">
        <v>46097.325870601853</v>
      </c>
      <c r="G1454" s="46">
        <v>46097.325870601853</v>
      </c>
      <c r="H1454">
        <v>0</v>
      </c>
    </row>
    <row r="1455" spans="1:8" x14ac:dyDescent="0.15">
      <c r="A1455">
        <v>1454</v>
      </c>
      <c r="B1455" t="s">
        <v>339</v>
      </c>
      <c r="C1455" t="s">
        <v>353</v>
      </c>
      <c r="D1455" t="s">
        <v>4188</v>
      </c>
      <c r="E1455" t="s">
        <v>495</v>
      </c>
      <c r="F1455" s="46">
        <v>46097.325870601853</v>
      </c>
      <c r="G1455" s="46">
        <v>46097.325870601853</v>
      </c>
      <c r="H1455">
        <v>0</v>
      </c>
    </row>
    <row r="1456" spans="1:8" x14ac:dyDescent="0.15">
      <c r="A1456">
        <v>1455</v>
      </c>
      <c r="B1456" t="s">
        <v>339</v>
      </c>
      <c r="C1456" t="s">
        <v>353</v>
      </c>
      <c r="D1456" t="s">
        <v>4189</v>
      </c>
      <c r="E1456" t="s">
        <v>496</v>
      </c>
      <c r="F1456" s="46">
        <v>46097.325870601853</v>
      </c>
      <c r="G1456" s="46">
        <v>46097.325870601853</v>
      </c>
      <c r="H1456">
        <v>0</v>
      </c>
    </row>
    <row r="1457" spans="1:8" x14ac:dyDescent="0.15">
      <c r="A1457">
        <v>1456</v>
      </c>
      <c r="B1457" t="s">
        <v>339</v>
      </c>
      <c r="C1457" t="s">
        <v>353</v>
      </c>
      <c r="D1457" t="s">
        <v>4190</v>
      </c>
      <c r="E1457" t="s">
        <v>4191</v>
      </c>
      <c r="F1457" s="46">
        <v>46097.325870601853</v>
      </c>
      <c r="G1457" s="46">
        <v>46097.325870601853</v>
      </c>
      <c r="H1457">
        <v>0</v>
      </c>
    </row>
    <row r="1458" spans="1:8" x14ac:dyDescent="0.15">
      <c r="A1458">
        <v>1457</v>
      </c>
      <c r="B1458" t="s">
        <v>339</v>
      </c>
      <c r="C1458" t="s">
        <v>353</v>
      </c>
      <c r="D1458" t="s">
        <v>4192</v>
      </c>
      <c r="E1458" t="s">
        <v>4191</v>
      </c>
      <c r="F1458" s="46">
        <v>46097.325870601853</v>
      </c>
      <c r="G1458" s="46">
        <v>46097.325870601853</v>
      </c>
      <c r="H1458">
        <v>0</v>
      </c>
    </row>
    <row r="1459" spans="1:8" x14ac:dyDescent="0.15">
      <c r="A1459">
        <v>1458</v>
      </c>
      <c r="B1459" t="s">
        <v>339</v>
      </c>
      <c r="C1459" t="s">
        <v>353</v>
      </c>
      <c r="D1459" t="s">
        <v>4193</v>
      </c>
      <c r="E1459" t="s">
        <v>4194</v>
      </c>
      <c r="F1459" s="46">
        <v>46097.325870601853</v>
      </c>
      <c r="G1459" s="46">
        <v>46097.325870601853</v>
      </c>
      <c r="H1459">
        <v>0</v>
      </c>
    </row>
    <row r="1460" spans="1:8" x14ac:dyDescent="0.15">
      <c r="A1460">
        <v>1459</v>
      </c>
      <c r="B1460" t="s">
        <v>339</v>
      </c>
      <c r="C1460" t="s">
        <v>353</v>
      </c>
      <c r="D1460" t="s">
        <v>4195</v>
      </c>
      <c r="E1460" t="s">
        <v>1078</v>
      </c>
      <c r="F1460" s="46">
        <v>46097.325870601853</v>
      </c>
      <c r="G1460" s="46">
        <v>46097.325870601853</v>
      </c>
      <c r="H1460">
        <v>0</v>
      </c>
    </row>
    <row r="1461" spans="1:8" x14ac:dyDescent="0.15">
      <c r="A1461">
        <v>1460</v>
      </c>
      <c r="B1461" t="s">
        <v>339</v>
      </c>
      <c r="C1461" t="s">
        <v>353</v>
      </c>
      <c r="D1461" t="s">
        <v>4196</v>
      </c>
      <c r="E1461" t="s">
        <v>1078</v>
      </c>
      <c r="F1461" s="46">
        <v>46097.325870601853</v>
      </c>
      <c r="G1461" s="46">
        <v>46097.325870601853</v>
      </c>
      <c r="H1461">
        <v>0</v>
      </c>
    </row>
    <row r="1462" spans="1:8" x14ac:dyDescent="0.15">
      <c r="A1462">
        <v>1461</v>
      </c>
      <c r="B1462" t="s">
        <v>339</v>
      </c>
      <c r="C1462" t="s">
        <v>353</v>
      </c>
      <c r="D1462" t="s">
        <v>4197</v>
      </c>
      <c r="E1462" t="s">
        <v>1081</v>
      </c>
      <c r="F1462" s="46">
        <v>46097.325870601853</v>
      </c>
      <c r="G1462" s="46">
        <v>46097.325870787034</v>
      </c>
      <c r="H1462">
        <v>15</v>
      </c>
    </row>
    <row r="1463" spans="1:8" x14ac:dyDescent="0.15">
      <c r="A1463">
        <v>1462</v>
      </c>
      <c r="B1463" t="s">
        <v>339</v>
      </c>
      <c r="C1463" t="s">
        <v>353</v>
      </c>
      <c r="D1463" t="s">
        <v>4198</v>
      </c>
      <c r="E1463" t="s">
        <v>1081</v>
      </c>
      <c r="F1463" s="46">
        <v>46097.325870787034</v>
      </c>
      <c r="G1463" s="46">
        <v>46097.325870787034</v>
      </c>
      <c r="H1463">
        <v>0</v>
      </c>
    </row>
    <row r="1464" spans="1:8" x14ac:dyDescent="0.15">
      <c r="A1464">
        <v>1463</v>
      </c>
      <c r="B1464" t="s">
        <v>339</v>
      </c>
      <c r="C1464" t="s">
        <v>353</v>
      </c>
      <c r="D1464" t="s">
        <v>4199</v>
      </c>
      <c r="E1464" t="s">
        <v>1084</v>
      </c>
      <c r="F1464" s="46">
        <v>46097.325870787034</v>
      </c>
      <c r="G1464" s="46">
        <v>46097.325870787034</v>
      </c>
      <c r="H1464">
        <v>0</v>
      </c>
    </row>
    <row r="1465" spans="1:8" x14ac:dyDescent="0.15">
      <c r="A1465">
        <v>1464</v>
      </c>
      <c r="B1465" t="s">
        <v>339</v>
      </c>
      <c r="C1465" t="s">
        <v>353</v>
      </c>
      <c r="D1465" t="s">
        <v>4200</v>
      </c>
      <c r="E1465" t="s">
        <v>1084</v>
      </c>
      <c r="F1465" s="46">
        <v>46097.325870787034</v>
      </c>
      <c r="G1465" s="46">
        <v>46097.325870787034</v>
      </c>
      <c r="H1465">
        <v>0</v>
      </c>
    </row>
    <row r="1466" spans="1:8" x14ac:dyDescent="0.15">
      <c r="A1466">
        <v>1465</v>
      </c>
      <c r="B1466" t="s">
        <v>339</v>
      </c>
      <c r="C1466" t="s">
        <v>353</v>
      </c>
      <c r="D1466" t="s">
        <v>4201</v>
      </c>
      <c r="E1466" t="s">
        <v>1084</v>
      </c>
      <c r="F1466" s="46">
        <v>46097.325870787034</v>
      </c>
      <c r="G1466" s="46">
        <v>46097.325870787034</v>
      </c>
      <c r="H1466">
        <v>0</v>
      </c>
    </row>
    <row r="1467" spans="1:8" x14ac:dyDescent="0.15">
      <c r="A1467">
        <v>1466</v>
      </c>
      <c r="B1467" t="s">
        <v>339</v>
      </c>
      <c r="C1467" t="s">
        <v>353</v>
      </c>
      <c r="D1467" t="s">
        <v>4202</v>
      </c>
      <c r="E1467" t="s">
        <v>1084</v>
      </c>
      <c r="F1467" s="46">
        <v>46097.325870787034</v>
      </c>
      <c r="G1467" s="46">
        <v>46097.325870787034</v>
      </c>
      <c r="H1467">
        <v>0</v>
      </c>
    </row>
    <row r="1468" spans="1:8" x14ac:dyDescent="0.15">
      <c r="A1468">
        <v>1467</v>
      </c>
      <c r="B1468" t="s">
        <v>339</v>
      </c>
      <c r="C1468" t="s">
        <v>353</v>
      </c>
      <c r="D1468" t="s">
        <v>4203</v>
      </c>
      <c r="E1468" t="s">
        <v>1084</v>
      </c>
      <c r="F1468" s="46">
        <v>46097.325870787034</v>
      </c>
      <c r="G1468" s="46">
        <v>46097.325870787034</v>
      </c>
      <c r="H1468">
        <v>0</v>
      </c>
    </row>
    <row r="1469" spans="1:8" x14ac:dyDescent="0.15">
      <c r="A1469">
        <v>1468</v>
      </c>
      <c r="B1469" t="s">
        <v>339</v>
      </c>
      <c r="C1469" t="s">
        <v>353</v>
      </c>
      <c r="D1469" t="s">
        <v>4204</v>
      </c>
      <c r="E1469" t="s">
        <v>1084</v>
      </c>
      <c r="F1469" s="46">
        <v>46097.325870787034</v>
      </c>
      <c r="G1469" s="46">
        <v>46097.325870787034</v>
      </c>
      <c r="H1469">
        <v>0</v>
      </c>
    </row>
    <row r="1470" spans="1:8" x14ac:dyDescent="0.15">
      <c r="A1470">
        <v>1469</v>
      </c>
      <c r="B1470" t="s">
        <v>339</v>
      </c>
      <c r="C1470" t="s">
        <v>353</v>
      </c>
      <c r="D1470" t="s">
        <v>4205</v>
      </c>
      <c r="E1470" t="s">
        <v>4206</v>
      </c>
      <c r="F1470" s="46">
        <v>46097.325870787034</v>
      </c>
      <c r="G1470" s="46">
        <v>46097.325870787034</v>
      </c>
      <c r="H1470">
        <v>0</v>
      </c>
    </row>
    <row r="1471" spans="1:8" x14ac:dyDescent="0.15">
      <c r="A1471">
        <v>1470</v>
      </c>
      <c r="B1471" t="s">
        <v>339</v>
      </c>
      <c r="C1471" t="s">
        <v>353</v>
      </c>
      <c r="D1471" t="s">
        <v>4207</v>
      </c>
      <c r="E1471" t="s">
        <v>498</v>
      </c>
      <c r="F1471" s="46">
        <v>46097.325870787034</v>
      </c>
      <c r="G1471" s="46">
        <v>46097.325870787034</v>
      </c>
      <c r="H1471">
        <v>0</v>
      </c>
    </row>
    <row r="1472" spans="1:8" x14ac:dyDescent="0.15">
      <c r="A1472">
        <v>1471</v>
      </c>
      <c r="B1472" t="s">
        <v>339</v>
      </c>
      <c r="C1472" t="s">
        <v>353</v>
      </c>
      <c r="D1472" t="s">
        <v>4208</v>
      </c>
      <c r="E1472" t="s">
        <v>1091</v>
      </c>
      <c r="F1472" s="46">
        <v>46097.325870787034</v>
      </c>
      <c r="G1472" s="46">
        <v>46097.325870787034</v>
      </c>
      <c r="H1472">
        <v>0</v>
      </c>
    </row>
    <row r="1473" spans="1:8" x14ac:dyDescent="0.15">
      <c r="A1473">
        <v>1472</v>
      </c>
      <c r="B1473" t="s">
        <v>339</v>
      </c>
      <c r="C1473" t="s">
        <v>353</v>
      </c>
      <c r="D1473" t="s">
        <v>4209</v>
      </c>
      <c r="E1473" t="s">
        <v>1093</v>
      </c>
      <c r="F1473" s="46">
        <v>46097.325870960653</v>
      </c>
      <c r="G1473" s="46">
        <v>46097.325870960653</v>
      </c>
      <c r="H1473">
        <v>0</v>
      </c>
    </row>
    <row r="1474" spans="1:8" x14ac:dyDescent="0.15">
      <c r="A1474">
        <v>1473</v>
      </c>
      <c r="B1474" t="s">
        <v>339</v>
      </c>
      <c r="C1474" t="s">
        <v>353</v>
      </c>
      <c r="D1474" t="s">
        <v>4210</v>
      </c>
      <c r="E1474" t="s">
        <v>1093</v>
      </c>
      <c r="F1474" s="46">
        <v>46097.325870960653</v>
      </c>
      <c r="G1474" s="46">
        <v>46097.325870960653</v>
      </c>
      <c r="H1474">
        <v>0</v>
      </c>
    </row>
    <row r="1475" spans="1:8" x14ac:dyDescent="0.15">
      <c r="A1475">
        <v>1474</v>
      </c>
      <c r="B1475" t="s">
        <v>339</v>
      </c>
      <c r="C1475" t="s">
        <v>353</v>
      </c>
      <c r="D1475" t="s">
        <v>4211</v>
      </c>
      <c r="E1475" t="s">
        <v>1096</v>
      </c>
      <c r="F1475" s="46">
        <v>46097.325870960653</v>
      </c>
      <c r="G1475" s="46">
        <v>46097.325870960653</v>
      </c>
      <c r="H1475">
        <v>0</v>
      </c>
    </row>
    <row r="1476" spans="1:8" x14ac:dyDescent="0.15">
      <c r="A1476">
        <v>1475</v>
      </c>
      <c r="B1476" t="s">
        <v>339</v>
      </c>
      <c r="C1476" t="s">
        <v>353</v>
      </c>
      <c r="D1476" t="s">
        <v>4212</v>
      </c>
      <c r="E1476" t="s">
        <v>1098</v>
      </c>
      <c r="F1476" s="46">
        <v>46097.325870960653</v>
      </c>
      <c r="G1476" s="46">
        <v>46097.325870960653</v>
      </c>
      <c r="H1476">
        <v>0</v>
      </c>
    </row>
    <row r="1477" spans="1:8" x14ac:dyDescent="0.15">
      <c r="A1477">
        <v>1476</v>
      </c>
      <c r="B1477" t="s">
        <v>339</v>
      </c>
      <c r="C1477" t="s">
        <v>353</v>
      </c>
      <c r="D1477" t="s">
        <v>4213</v>
      </c>
      <c r="E1477" t="s">
        <v>1102</v>
      </c>
      <c r="F1477" s="46">
        <v>46097.325870960653</v>
      </c>
      <c r="G1477" s="46">
        <v>46097.325870960653</v>
      </c>
      <c r="H1477">
        <v>0</v>
      </c>
    </row>
    <row r="1478" spans="1:8" x14ac:dyDescent="0.15">
      <c r="A1478">
        <v>1477</v>
      </c>
      <c r="B1478" t="s">
        <v>339</v>
      </c>
      <c r="C1478" t="s">
        <v>353</v>
      </c>
      <c r="D1478" t="s">
        <v>4214</v>
      </c>
      <c r="E1478" t="s">
        <v>1102</v>
      </c>
      <c r="F1478" s="46">
        <v>46097.325870960653</v>
      </c>
      <c r="G1478" s="46">
        <v>46097.325870960653</v>
      </c>
      <c r="H1478">
        <v>0</v>
      </c>
    </row>
    <row r="1479" spans="1:8" x14ac:dyDescent="0.15">
      <c r="A1479">
        <v>1478</v>
      </c>
      <c r="B1479" t="s">
        <v>339</v>
      </c>
      <c r="C1479" t="s">
        <v>353</v>
      </c>
      <c r="D1479" t="s">
        <v>4215</v>
      </c>
      <c r="E1479" t="s">
        <v>1102</v>
      </c>
      <c r="F1479" s="46">
        <v>46097.325870960653</v>
      </c>
      <c r="G1479" s="46">
        <v>46097.325870960653</v>
      </c>
      <c r="H1479">
        <v>0</v>
      </c>
    </row>
    <row r="1480" spans="1:8" x14ac:dyDescent="0.15">
      <c r="A1480">
        <v>1479</v>
      </c>
      <c r="B1480" t="s">
        <v>339</v>
      </c>
      <c r="C1480" t="s">
        <v>353</v>
      </c>
      <c r="D1480" t="s">
        <v>4216</v>
      </c>
      <c r="E1480" t="s">
        <v>1102</v>
      </c>
      <c r="F1480" s="46">
        <v>46097.325870960653</v>
      </c>
      <c r="G1480" s="46">
        <v>46097.325870960653</v>
      </c>
      <c r="H1480">
        <v>0</v>
      </c>
    </row>
    <row r="1481" spans="1:8" x14ac:dyDescent="0.15">
      <c r="A1481">
        <v>1480</v>
      </c>
      <c r="B1481" t="s">
        <v>339</v>
      </c>
      <c r="C1481" t="s">
        <v>353</v>
      </c>
      <c r="D1481" t="s">
        <v>4217</v>
      </c>
      <c r="E1481" t="s">
        <v>1105</v>
      </c>
      <c r="F1481" s="46">
        <v>46097.325870960653</v>
      </c>
      <c r="G1481" s="46">
        <v>46097.325870960653</v>
      </c>
      <c r="H1481">
        <v>0</v>
      </c>
    </row>
    <row r="1482" spans="1:8" x14ac:dyDescent="0.15">
      <c r="A1482">
        <v>1481</v>
      </c>
      <c r="B1482" t="s">
        <v>339</v>
      </c>
      <c r="C1482" t="s">
        <v>353</v>
      </c>
      <c r="D1482" t="s">
        <v>4218</v>
      </c>
      <c r="E1482" t="s">
        <v>1107</v>
      </c>
      <c r="F1482" s="46">
        <v>46097.325870960653</v>
      </c>
      <c r="G1482" s="46">
        <v>46097.325870960653</v>
      </c>
      <c r="H1482">
        <v>0</v>
      </c>
    </row>
    <row r="1483" spans="1:8" x14ac:dyDescent="0.15">
      <c r="A1483">
        <v>1482</v>
      </c>
      <c r="B1483" t="s">
        <v>339</v>
      </c>
      <c r="C1483" t="s">
        <v>353</v>
      </c>
      <c r="D1483" t="s">
        <v>4219</v>
      </c>
      <c r="E1483" t="s">
        <v>1110</v>
      </c>
      <c r="F1483" s="46">
        <v>46097.325870960653</v>
      </c>
      <c r="G1483" s="46">
        <v>46097.325871145833</v>
      </c>
      <c r="H1483">
        <v>15</v>
      </c>
    </row>
    <row r="1484" spans="1:8" x14ac:dyDescent="0.15">
      <c r="A1484">
        <v>1483</v>
      </c>
      <c r="B1484" t="s">
        <v>339</v>
      </c>
      <c r="C1484" t="s">
        <v>353</v>
      </c>
      <c r="D1484" t="s">
        <v>4220</v>
      </c>
      <c r="E1484" t="s">
        <v>1110</v>
      </c>
      <c r="F1484" s="46">
        <v>46097.325871145833</v>
      </c>
      <c r="G1484" s="46">
        <v>46097.325871145833</v>
      </c>
      <c r="H1484">
        <v>0</v>
      </c>
    </row>
    <row r="1485" spans="1:8" x14ac:dyDescent="0.15">
      <c r="A1485">
        <v>1484</v>
      </c>
      <c r="B1485" t="s">
        <v>339</v>
      </c>
      <c r="C1485" t="s">
        <v>353</v>
      </c>
      <c r="D1485" t="s">
        <v>4221</v>
      </c>
      <c r="E1485" t="s">
        <v>1112</v>
      </c>
      <c r="F1485" s="46">
        <v>46097.325871145833</v>
      </c>
      <c r="G1485" s="46">
        <v>46097.325871145833</v>
      </c>
      <c r="H1485">
        <v>0</v>
      </c>
    </row>
    <row r="1486" spans="1:8" x14ac:dyDescent="0.15">
      <c r="A1486">
        <v>1485</v>
      </c>
      <c r="B1486" t="s">
        <v>339</v>
      </c>
      <c r="C1486" t="s">
        <v>353</v>
      </c>
      <c r="D1486" t="s">
        <v>4222</v>
      </c>
      <c r="E1486" t="s">
        <v>4223</v>
      </c>
      <c r="F1486" s="46">
        <v>46097.325871145833</v>
      </c>
      <c r="G1486" s="46">
        <v>46097.325871145833</v>
      </c>
      <c r="H1486">
        <v>0</v>
      </c>
    </row>
    <row r="1487" spans="1:8" x14ac:dyDescent="0.15">
      <c r="A1487">
        <v>1486</v>
      </c>
      <c r="B1487" t="s">
        <v>339</v>
      </c>
      <c r="C1487" t="s">
        <v>353</v>
      </c>
      <c r="D1487" t="s">
        <v>4224</v>
      </c>
      <c r="E1487" t="s">
        <v>4223</v>
      </c>
      <c r="F1487" s="46">
        <v>46097.325871145833</v>
      </c>
      <c r="G1487" s="46">
        <v>46097.325871145833</v>
      </c>
      <c r="H1487">
        <v>0</v>
      </c>
    </row>
    <row r="1488" spans="1:8" x14ac:dyDescent="0.15">
      <c r="A1488">
        <v>1487</v>
      </c>
      <c r="B1488" t="s">
        <v>339</v>
      </c>
      <c r="C1488" t="s">
        <v>353</v>
      </c>
      <c r="D1488" t="s">
        <v>4225</v>
      </c>
      <c r="E1488" t="s">
        <v>501</v>
      </c>
      <c r="F1488" s="46">
        <v>46097.325871145833</v>
      </c>
      <c r="G1488" s="46">
        <v>46097.325871145833</v>
      </c>
      <c r="H1488">
        <v>0</v>
      </c>
    </row>
    <row r="1489" spans="1:8" x14ac:dyDescent="0.15">
      <c r="A1489">
        <v>1488</v>
      </c>
      <c r="B1489" t="s">
        <v>339</v>
      </c>
      <c r="C1489" t="s">
        <v>353</v>
      </c>
      <c r="D1489" t="s">
        <v>4226</v>
      </c>
      <c r="E1489" t="s">
        <v>503</v>
      </c>
      <c r="F1489" s="46">
        <v>46097.325871145833</v>
      </c>
      <c r="G1489" s="46">
        <v>46097.325871145833</v>
      </c>
      <c r="H1489">
        <v>0</v>
      </c>
    </row>
    <row r="1490" spans="1:8" x14ac:dyDescent="0.15">
      <c r="A1490">
        <v>1489</v>
      </c>
      <c r="B1490" t="s">
        <v>339</v>
      </c>
      <c r="C1490" t="s">
        <v>353</v>
      </c>
      <c r="D1490" t="s">
        <v>4227</v>
      </c>
      <c r="E1490" t="s">
        <v>503</v>
      </c>
      <c r="F1490" s="46">
        <v>46097.325871145833</v>
      </c>
      <c r="G1490" s="46">
        <v>46097.325871145833</v>
      </c>
      <c r="H1490">
        <v>0</v>
      </c>
    </row>
    <row r="1491" spans="1:8" x14ac:dyDescent="0.15">
      <c r="A1491">
        <v>1490</v>
      </c>
      <c r="B1491" t="s">
        <v>339</v>
      </c>
      <c r="C1491" t="s">
        <v>353</v>
      </c>
      <c r="D1491" t="s">
        <v>4228</v>
      </c>
      <c r="E1491" t="s">
        <v>504</v>
      </c>
      <c r="F1491" s="46">
        <v>46097.325871145833</v>
      </c>
      <c r="G1491" s="46">
        <v>46097.325871145833</v>
      </c>
      <c r="H1491">
        <v>0</v>
      </c>
    </row>
    <row r="1492" spans="1:8" x14ac:dyDescent="0.15">
      <c r="A1492">
        <v>1491</v>
      </c>
      <c r="B1492" t="s">
        <v>339</v>
      </c>
      <c r="C1492" t="s">
        <v>353</v>
      </c>
      <c r="D1492" t="s">
        <v>4229</v>
      </c>
      <c r="E1492" t="s">
        <v>505</v>
      </c>
      <c r="F1492" s="46">
        <v>46097.325871145833</v>
      </c>
      <c r="G1492" s="46">
        <v>46097.325871145833</v>
      </c>
      <c r="H1492">
        <v>0</v>
      </c>
    </row>
    <row r="1493" spans="1:8" x14ac:dyDescent="0.15">
      <c r="A1493">
        <v>1492</v>
      </c>
      <c r="B1493" t="s">
        <v>339</v>
      </c>
      <c r="C1493" t="s">
        <v>353</v>
      </c>
      <c r="D1493" t="s">
        <v>4230</v>
      </c>
      <c r="E1493" t="s">
        <v>4231</v>
      </c>
      <c r="F1493" s="46">
        <v>46097.325871145833</v>
      </c>
      <c r="G1493" s="46">
        <v>46097.325871145833</v>
      </c>
      <c r="H1493">
        <v>0</v>
      </c>
    </row>
    <row r="1494" spans="1:8" x14ac:dyDescent="0.15">
      <c r="A1494">
        <v>1493</v>
      </c>
      <c r="B1494" t="s">
        <v>339</v>
      </c>
      <c r="C1494" t="s">
        <v>353</v>
      </c>
      <c r="D1494" t="s">
        <v>4232</v>
      </c>
      <c r="E1494" t="s">
        <v>506</v>
      </c>
      <c r="F1494" s="46">
        <v>46097.325871145833</v>
      </c>
      <c r="G1494" s="46">
        <v>46097.325871331021</v>
      </c>
      <c r="H1494">
        <v>16</v>
      </c>
    </row>
    <row r="1495" spans="1:8" x14ac:dyDescent="0.15">
      <c r="A1495">
        <v>1494</v>
      </c>
      <c r="B1495" t="s">
        <v>339</v>
      </c>
      <c r="C1495" t="s">
        <v>353</v>
      </c>
      <c r="D1495" t="s">
        <v>4233</v>
      </c>
      <c r="E1495" t="s">
        <v>506</v>
      </c>
      <c r="F1495" s="46">
        <v>46097.325871331021</v>
      </c>
      <c r="G1495" s="46">
        <v>46097.325871331021</v>
      </c>
      <c r="H1495">
        <v>0</v>
      </c>
    </row>
    <row r="1496" spans="1:8" x14ac:dyDescent="0.15">
      <c r="A1496">
        <v>1495</v>
      </c>
      <c r="B1496" t="s">
        <v>339</v>
      </c>
      <c r="C1496" t="s">
        <v>353</v>
      </c>
      <c r="D1496" t="s">
        <v>4234</v>
      </c>
      <c r="E1496" t="s">
        <v>508</v>
      </c>
      <c r="F1496" s="46">
        <v>46097.325871331021</v>
      </c>
      <c r="G1496" s="46">
        <v>46097.325871331021</v>
      </c>
      <c r="H1496">
        <v>0</v>
      </c>
    </row>
    <row r="1497" spans="1:8" x14ac:dyDescent="0.15">
      <c r="A1497">
        <v>1496</v>
      </c>
      <c r="B1497" t="s">
        <v>339</v>
      </c>
      <c r="C1497" t="s">
        <v>353</v>
      </c>
      <c r="D1497" t="s">
        <v>4235</v>
      </c>
      <c r="E1497" t="s">
        <v>508</v>
      </c>
      <c r="F1497" s="46">
        <v>46097.325871331021</v>
      </c>
      <c r="G1497" s="46">
        <v>46097.325871331021</v>
      </c>
      <c r="H1497">
        <v>0</v>
      </c>
    </row>
    <row r="1498" spans="1:8" x14ac:dyDescent="0.15">
      <c r="A1498">
        <v>1497</v>
      </c>
      <c r="B1498" t="s">
        <v>339</v>
      </c>
      <c r="C1498" t="s">
        <v>353</v>
      </c>
      <c r="D1498" t="s">
        <v>4236</v>
      </c>
      <c r="E1498" t="s">
        <v>508</v>
      </c>
      <c r="F1498" s="46">
        <v>46097.325871331021</v>
      </c>
      <c r="G1498" s="46">
        <v>46097.325871331021</v>
      </c>
      <c r="H1498">
        <v>0</v>
      </c>
    </row>
    <row r="1499" spans="1:8" x14ac:dyDescent="0.15">
      <c r="A1499">
        <v>1498</v>
      </c>
      <c r="B1499" t="s">
        <v>339</v>
      </c>
      <c r="C1499" t="s">
        <v>353</v>
      </c>
      <c r="D1499" t="s">
        <v>4237</v>
      </c>
      <c r="E1499" t="s">
        <v>509</v>
      </c>
      <c r="F1499" s="46">
        <v>46097.325871331021</v>
      </c>
      <c r="G1499" s="46">
        <v>46097.325871331021</v>
      </c>
      <c r="H1499">
        <v>0</v>
      </c>
    </row>
    <row r="1500" spans="1:8" x14ac:dyDescent="0.15">
      <c r="A1500">
        <v>1499</v>
      </c>
      <c r="B1500" t="s">
        <v>339</v>
      </c>
      <c r="C1500" t="s">
        <v>353</v>
      </c>
      <c r="D1500" t="s">
        <v>4238</v>
      </c>
      <c r="E1500" t="s">
        <v>509</v>
      </c>
      <c r="F1500" s="46">
        <v>46097.325871331021</v>
      </c>
      <c r="G1500" s="46">
        <v>46097.325871331021</v>
      </c>
      <c r="H1500">
        <v>0</v>
      </c>
    </row>
    <row r="1501" spans="1:8" x14ac:dyDescent="0.15">
      <c r="A1501">
        <v>1500</v>
      </c>
      <c r="B1501" t="s">
        <v>339</v>
      </c>
      <c r="C1501" t="s">
        <v>353</v>
      </c>
      <c r="D1501" t="s">
        <v>4239</v>
      </c>
      <c r="E1501" t="s">
        <v>509</v>
      </c>
      <c r="F1501" s="46">
        <v>46097.325871331021</v>
      </c>
      <c r="G1501" s="46">
        <v>46097.325871331021</v>
      </c>
      <c r="H1501">
        <v>0</v>
      </c>
    </row>
    <row r="1502" spans="1:8" x14ac:dyDescent="0.15">
      <c r="A1502">
        <v>1501</v>
      </c>
      <c r="B1502" t="s">
        <v>339</v>
      </c>
      <c r="C1502" t="s">
        <v>353</v>
      </c>
      <c r="D1502" t="s">
        <v>4240</v>
      </c>
      <c r="E1502" t="s">
        <v>510</v>
      </c>
      <c r="F1502" s="46">
        <v>46097.325871331021</v>
      </c>
      <c r="G1502" s="46">
        <v>46097.325871331021</v>
      </c>
      <c r="H1502">
        <v>0</v>
      </c>
    </row>
    <row r="1503" spans="1:8" x14ac:dyDescent="0.15">
      <c r="A1503">
        <v>1502</v>
      </c>
      <c r="B1503" t="s">
        <v>339</v>
      </c>
      <c r="C1503" t="s">
        <v>353</v>
      </c>
      <c r="D1503" t="s">
        <v>4241</v>
      </c>
      <c r="E1503" t="s">
        <v>510</v>
      </c>
      <c r="F1503" s="46">
        <v>46097.325871331021</v>
      </c>
      <c r="G1503" s="46">
        <v>46097.325871331021</v>
      </c>
      <c r="H1503">
        <v>0</v>
      </c>
    </row>
    <row r="1504" spans="1:8" x14ac:dyDescent="0.15">
      <c r="A1504">
        <v>1503</v>
      </c>
      <c r="B1504" t="s">
        <v>339</v>
      </c>
      <c r="C1504" t="s">
        <v>353</v>
      </c>
      <c r="D1504" t="s">
        <v>4242</v>
      </c>
      <c r="E1504" t="s">
        <v>1129</v>
      </c>
      <c r="F1504" s="46">
        <v>46097.325871331021</v>
      </c>
      <c r="G1504" s="46">
        <v>46097.325871504632</v>
      </c>
      <c r="H1504">
        <v>16</v>
      </c>
    </row>
    <row r="1505" spans="1:8" x14ac:dyDescent="0.15">
      <c r="A1505">
        <v>1504</v>
      </c>
      <c r="B1505" t="s">
        <v>339</v>
      </c>
      <c r="C1505" t="s">
        <v>353</v>
      </c>
      <c r="D1505" t="s">
        <v>4243</v>
      </c>
      <c r="E1505" t="s">
        <v>511</v>
      </c>
      <c r="F1505" s="46">
        <v>46097.325871504632</v>
      </c>
      <c r="G1505" s="46">
        <v>46097.325871504632</v>
      </c>
      <c r="H1505">
        <v>0</v>
      </c>
    </row>
    <row r="1506" spans="1:8" x14ac:dyDescent="0.15">
      <c r="A1506">
        <v>1505</v>
      </c>
      <c r="B1506" t="s">
        <v>339</v>
      </c>
      <c r="C1506" t="s">
        <v>353</v>
      </c>
      <c r="D1506" t="s">
        <v>4244</v>
      </c>
      <c r="E1506" t="s">
        <v>511</v>
      </c>
      <c r="F1506" s="46">
        <v>46097.325871504632</v>
      </c>
      <c r="G1506" s="46">
        <v>46097.325871504632</v>
      </c>
      <c r="H1506">
        <v>0</v>
      </c>
    </row>
    <row r="1507" spans="1:8" x14ac:dyDescent="0.15">
      <c r="A1507">
        <v>1506</v>
      </c>
      <c r="B1507" t="s">
        <v>339</v>
      </c>
      <c r="C1507" t="s">
        <v>353</v>
      </c>
      <c r="D1507" t="s">
        <v>4245</v>
      </c>
      <c r="E1507" t="s">
        <v>511</v>
      </c>
      <c r="F1507" s="46">
        <v>46097.325871504632</v>
      </c>
      <c r="G1507" s="46">
        <v>46097.325871504632</v>
      </c>
      <c r="H1507">
        <v>0</v>
      </c>
    </row>
    <row r="1508" spans="1:8" x14ac:dyDescent="0.15">
      <c r="A1508">
        <v>1507</v>
      </c>
      <c r="B1508" t="s">
        <v>339</v>
      </c>
      <c r="C1508" t="s">
        <v>353</v>
      </c>
      <c r="D1508" t="s">
        <v>4246</v>
      </c>
      <c r="E1508" t="s">
        <v>511</v>
      </c>
      <c r="F1508" s="46">
        <v>46097.325871504632</v>
      </c>
      <c r="G1508" s="46">
        <v>46097.325871504632</v>
      </c>
      <c r="H1508">
        <v>0</v>
      </c>
    </row>
    <row r="1509" spans="1:8" x14ac:dyDescent="0.15">
      <c r="A1509">
        <v>1508</v>
      </c>
      <c r="B1509" t="s">
        <v>339</v>
      </c>
      <c r="C1509" t="s">
        <v>353</v>
      </c>
      <c r="D1509" t="s">
        <v>4247</v>
      </c>
      <c r="E1509" t="s">
        <v>511</v>
      </c>
      <c r="F1509" s="46">
        <v>46097.325871504632</v>
      </c>
      <c r="G1509" s="46">
        <v>46097.325871504632</v>
      </c>
      <c r="H1509">
        <v>0</v>
      </c>
    </row>
    <row r="1510" spans="1:8" x14ac:dyDescent="0.15">
      <c r="A1510">
        <v>1509</v>
      </c>
      <c r="B1510" t="s">
        <v>339</v>
      </c>
      <c r="C1510" t="s">
        <v>353</v>
      </c>
      <c r="D1510" t="s">
        <v>4248</v>
      </c>
      <c r="E1510" t="s">
        <v>511</v>
      </c>
      <c r="F1510" s="46">
        <v>46097.325871504632</v>
      </c>
      <c r="G1510" s="46">
        <v>46097.325871504632</v>
      </c>
      <c r="H1510">
        <v>0</v>
      </c>
    </row>
    <row r="1511" spans="1:8" x14ac:dyDescent="0.15">
      <c r="A1511">
        <v>1510</v>
      </c>
      <c r="B1511" t="s">
        <v>339</v>
      </c>
      <c r="C1511" t="s">
        <v>353</v>
      </c>
      <c r="D1511" t="s">
        <v>4249</v>
      </c>
      <c r="E1511" t="s">
        <v>511</v>
      </c>
      <c r="F1511" s="46">
        <v>46097.325871504632</v>
      </c>
      <c r="G1511" s="46">
        <v>46097.325871504632</v>
      </c>
      <c r="H1511">
        <v>0</v>
      </c>
    </row>
    <row r="1512" spans="1:8" x14ac:dyDescent="0.15">
      <c r="A1512">
        <v>1511</v>
      </c>
      <c r="B1512" t="s">
        <v>339</v>
      </c>
      <c r="C1512" t="s">
        <v>353</v>
      </c>
      <c r="D1512" t="s">
        <v>4250</v>
      </c>
      <c r="E1512" t="s">
        <v>4251</v>
      </c>
      <c r="F1512" s="46">
        <v>46097.325871504632</v>
      </c>
      <c r="G1512" s="46">
        <v>46097.325871504632</v>
      </c>
      <c r="H1512">
        <v>0</v>
      </c>
    </row>
    <row r="1513" spans="1:8" x14ac:dyDescent="0.15">
      <c r="A1513">
        <v>1512</v>
      </c>
      <c r="B1513" t="s">
        <v>339</v>
      </c>
      <c r="C1513" t="s">
        <v>353</v>
      </c>
      <c r="D1513" t="s">
        <v>4252</v>
      </c>
      <c r="E1513" t="s">
        <v>4253</v>
      </c>
      <c r="F1513" s="46">
        <v>46097.325871504632</v>
      </c>
      <c r="G1513" s="46">
        <v>46097.325871504632</v>
      </c>
      <c r="H1513">
        <v>0</v>
      </c>
    </row>
    <row r="1514" spans="1:8" x14ac:dyDescent="0.15">
      <c r="A1514">
        <v>1513</v>
      </c>
      <c r="B1514" t="s">
        <v>339</v>
      </c>
      <c r="C1514" t="s">
        <v>353</v>
      </c>
      <c r="D1514" t="s">
        <v>4254</v>
      </c>
      <c r="E1514" t="s">
        <v>4253</v>
      </c>
      <c r="F1514" s="46">
        <v>46097.325871504632</v>
      </c>
      <c r="G1514" s="46">
        <v>46097.325871504632</v>
      </c>
      <c r="H1514">
        <v>0</v>
      </c>
    </row>
    <row r="1515" spans="1:8" x14ac:dyDescent="0.15">
      <c r="A1515">
        <v>1514</v>
      </c>
      <c r="B1515" t="s">
        <v>339</v>
      </c>
      <c r="C1515" t="s">
        <v>353</v>
      </c>
      <c r="D1515" t="s">
        <v>4255</v>
      </c>
      <c r="E1515" t="s">
        <v>515</v>
      </c>
      <c r="F1515" s="46">
        <v>46097.325871504632</v>
      </c>
      <c r="G1515" s="46">
        <v>46097.325871689813</v>
      </c>
      <c r="H1515">
        <v>15</v>
      </c>
    </row>
    <row r="1516" spans="1:8" x14ac:dyDescent="0.15">
      <c r="A1516">
        <v>1515</v>
      </c>
      <c r="B1516" t="s">
        <v>339</v>
      </c>
      <c r="C1516" t="s">
        <v>353</v>
      </c>
      <c r="D1516" t="s">
        <v>4256</v>
      </c>
      <c r="E1516" t="s">
        <v>516</v>
      </c>
      <c r="F1516" s="46">
        <v>46097.325871689813</v>
      </c>
      <c r="G1516" s="46">
        <v>46097.325871689813</v>
      </c>
      <c r="H1516">
        <v>0</v>
      </c>
    </row>
    <row r="1517" spans="1:8" x14ac:dyDescent="0.15">
      <c r="A1517">
        <v>1516</v>
      </c>
      <c r="B1517" t="s">
        <v>339</v>
      </c>
      <c r="C1517" t="s">
        <v>353</v>
      </c>
      <c r="D1517" t="s">
        <v>4257</v>
      </c>
      <c r="E1517" t="s">
        <v>516</v>
      </c>
      <c r="F1517" s="46">
        <v>46097.325871689813</v>
      </c>
      <c r="G1517" s="46">
        <v>46097.325871689813</v>
      </c>
      <c r="H1517">
        <v>0</v>
      </c>
    </row>
    <row r="1518" spans="1:8" x14ac:dyDescent="0.15">
      <c r="A1518">
        <v>1517</v>
      </c>
      <c r="B1518" t="s">
        <v>339</v>
      </c>
      <c r="C1518" t="s">
        <v>353</v>
      </c>
      <c r="D1518" t="s">
        <v>4258</v>
      </c>
      <c r="E1518" t="s">
        <v>1137</v>
      </c>
      <c r="F1518" s="46">
        <v>46097.325871689813</v>
      </c>
      <c r="G1518" s="46">
        <v>46097.325871689813</v>
      </c>
      <c r="H1518">
        <v>0</v>
      </c>
    </row>
    <row r="1519" spans="1:8" x14ac:dyDescent="0.15">
      <c r="A1519">
        <v>1518</v>
      </c>
      <c r="B1519" t="s">
        <v>339</v>
      </c>
      <c r="C1519" t="s">
        <v>353</v>
      </c>
      <c r="D1519" t="s">
        <v>4259</v>
      </c>
      <c r="E1519" t="s">
        <v>520</v>
      </c>
      <c r="F1519" s="46">
        <v>46097.325871689813</v>
      </c>
      <c r="G1519" s="46">
        <v>46097.325871689813</v>
      </c>
      <c r="H1519">
        <v>0</v>
      </c>
    </row>
    <row r="1520" spans="1:8" x14ac:dyDescent="0.15">
      <c r="A1520">
        <v>1519</v>
      </c>
      <c r="B1520" t="s">
        <v>339</v>
      </c>
      <c r="C1520" t="s">
        <v>353</v>
      </c>
      <c r="D1520" t="s">
        <v>4260</v>
      </c>
      <c r="E1520" t="s">
        <v>520</v>
      </c>
      <c r="F1520" s="46">
        <v>46097.325871689813</v>
      </c>
      <c r="G1520" s="46">
        <v>46097.325871689813</v>
      </c>
      <c r="H1520">
        <v>0</v>
      </c>
    </row>
    <row r="1521" spans="1:8" x14ac:dyDescent="0.15">
      <c r="A1521">
        <v>1520</v>
      </c>
      <c r="B1521" t="s">
        <v>339</v>
      </c>
      <c r="C1521" t="s">
        <v>353</v>
      </c>
      <c r="D1521" t="s">
        <v>4261</v>
      </c>
      <c r="E1521" t="s">
        <v>520</v>
      </c>
      <c r="F1521" s="46">
        <v>46097.325871689813</v>
      </c>
      <c r="G1521" s="46">
        <v>46097.325871689813</v>
      </c>
      <c r="H1521">
        <v>0</v>
      </c>
    </row>
    <row r="1522" spans="1:8" x14ac:dyDescent="0.15">
      <c r="A1522">
        <v>1521</v>
      </c>
      <c r="B1522" t="s">
        <v>339</v>
      </c>
      <c r="C1522" t="s">
        <v>353</v>
      </c>
      <c r="D1522" t="s">
        <v>4262</v>
      </c>
      <c r="E1522" t="s">
        <v>4263</v>
      </c>
      <c r="F1522" s="46">
        <v>46097.325871689813</v>
      </c>
      <c r="G1522" s="46">
        <v>46097.325871689813</v>
      </c>
      <c r="H1522">
        <v>0</v>
      </c>
    </row>
    <row r="1523" spans="1:8" x14ac:dyDescent="0.15">
      <c r="A1523">
        <v>1522</v>
      </c>
      <c r="B1523" t="s">
        <v>339</v>
      </c>
      <c r="C1523" t="s">
        <v>353</v>
      </c>
      <c r="D1523" t="s">
        <v>4264</v>
      </c>
      <c r="E1523" t="s">
        <v>4265</v>
      </c>
      <c r="F1523" s="46">
        <v>46097.325871689813</v>
      </c>
      <c r="G1523" s="46">
        <v>46097.325871689813</v>
      </c>
      <c r="H1523">
        <v>0</v>
      </c>
    </row>
    <row r="1524" spans="1:8" x14ac:dyDescent="0.15">
      <c r="A1524">
        <v>1523</v>
      </c>
      <c r="B1524" t="s">
        <v>339</v>
      </c>
      <c r="C1524" t="s">
        <v>353</v>
      </c>
      <c r="D1524" t="s">
        <v>4266</v>
      </c>
      <c r="E1524" t="s">
        <v>4267</v>
      </c>
      <c r="F1524" s="46">
        <v>46097.325871689813</v>
      </c>
      <c r="G1524" s="46">
        <v>46097.325871689813</v>
      </c>
      <c r="H1524">
        <v>0</v>
      </c>
    </row>
    <row r="1525" spans="1:8" x14ac:dyDescent="0.15">
      <c r="A1525">
        <v>1524</v>
      </c>
      <c r="B1525" t="s">
        <v>339</v>
      </c>
      <c r="C1525" t="s">
        <v>353</v>
      </c>
      <c r="D1525" t="s">
        <v>4268</v>
      </c>
      <c r="E1525" t="s">
        <v>4269</v>
      </c>
      <c r="F1525" s="46">
        <v>46097.325871689813</v>
      </c>
      <c r="G1525" s="46">
        <v>46097.325871689813</v>
      </c>
      <c r="H1525">
        <v>0</v>
      </c>
    </row>
    <row r="1526" spans="1:8" x14ac:dyDescent="0.15">
      <c r="A1526">
        <v>1525</v>
      </c>
      <c r="B1526" t="s">
        <v>339</v>
      </c>
      <c r="C1526" t="s">
        <v>353</v>
      </c>
      <c r="D1526" t="s">
        <v>4270</v>
      </c>
      <c r="E1526" t="s">
        <v>4269</v>
      </c>
      <c r="F1526" s="46">
        <v>46097.325871863417</v>
      </c>
      <c r="G1526" s="46">
        <v>46097.325871863417</v>
      </c>
      <c r="H1526">
        <v>0</v>
      </c>
    </row>
    <row r="1527" spans="1:8" x14ac:dyDescent="0.15">
      <c r="A1527">
        <v>1526</v>
      </c>
      <c r="B1527" t="s">
        <v>339</v>
      </c>
      <c r="C1527" t="s">
        <v>353</v>
      </c>
      <c r="D1527" t="s">
        <v>4271</v>
      </c>
      <c r="E1527" t="s">
        <v>4272</v>
      </c>
      <c r="F1527" s="46">
        <v>46097.325871863417</v>
      </c>
      <c r="G1527" s="46">
        <v>46097.325871863417</v>
      </c>
      <c r="H1527">
        <v>0</v>
      </c>
    </row>
    <row r="1528" spans="1:8" x14ac:dyDescent="0.15">
      <c r="A1528">
        <v>1527</v>
      </c>
      <c r="B1528" t="s">
        <v>339</v>
      </c>
      <c r="C1528" t="s">
        <v>353</v>
      </c>
      <c r="D1528" t="s">
        <v>4273</v>
      </c>
      <c r="E1528" t="s">
        <v>4272</v>
      </c>
      <c r="F1528" s="46">
        <v>46097.325871863417</v>
      </c>
      <c r="G1528" s="46">
        <v>46097.325871863417</v>
      </c>
      <c r="H1528">
        <v>0</v>
      </c>
    </row>
    <row r="1529" spans="1:8" x14ac:dyDescent="0.15">
      <c r="A1529">
        <v>1528</v>
      </c>
      <c r="B1529" t="s">
        <v>339</v>
      </c>
      <c r="C1529" t="s">
        <v>353</v>
      </c>
      <c r="D1529" t="s">
        <v>4274</v>
      </c>
      <c r="E1529" t="s">
        <v>4275</v>
      </c>
      <c r="F1529" s="46">
        <v>46097.325871863417</v>
      </c>
      <c r="G1529" s="46">
        <v>46097.325871863417</v>
      </c>
      <c r="H1529">
        <v>0</v>
      </c>
    </row>
    <row r="1530" spans="1:8" x14ac:dyDescent="0.15">
      <c r="A1530">
        <v>1529</v>
      </c>
      <c r="B1530" t="s">
        <v>339</v>
      </c>
      <c r="C1530" t="s">
        <v>353</v>
      </c>
      <c r="D1530" t="s">
        <v>4276</v>
      </c>
      <c r="E1530" t="s">
        <v>4275</v>
      </c>
      <c r="F1530" s="46">
        <v>46097.325871863417</v>
      </c>
      <c r="G1530" s="46">
        <v>46097.325871863417</v>
      </c>
      <c r="H1530">
        <v>0</v>
      </c>
    </row>
    <row r="1531" spans="1:8" x14ac:dyDescent="0.15">
      <c r="A1531">
        <v>1530</v>
      </c>
      <c r="B1531" t="s">
        <v>339</v>
      </c>
      <c r="C1531" t="s">
        <v>353</v>
      </c>
      <c r="D1531" t="s">
        <v>4277</v>
      </c>
      <c r="E1531" t="s">
        <v>4278</v>
      </c>
      <c r="F1531" s="46">
        <v>46097.325871863417</v>
      </c>
      <c r="G1531" s="46">
        <v>46097.325871863417</v>
      </c>
      <c r="H1531">
        <v>0</v>
      </c>
    </row>
    <row r="1532" spans="1:8" x14ac:dyDescent="0.15">
      <c r="A1532">
        <v>1531</v>
      </c>
      <c r="B1532" t="s">
        <v>339</v>
      </c>
      <c r="C1532" t="s">
        <v>353</v>
      </c>
      <c r="D1532" t="s">
        <v>4279</v>
      </c>
      <c r="E1532" t="s">
        <v>4278</v>
      </c>
      <c r="F1532" s="46">
        <v>46097.325871863417</v>
      </c>
      <c r="G1532" s="46">
        <v>46097.325871863417</v>
      </c>
      <c r="H1532">
        <v>0</v>
      </c>
    </row>
    <row r="1533" spans="1:8" x14ac:dyDescent="0.15">
      <c r="A1533">
        <v>1532</v>
      </c>
      <c r="B1533" t="s">
        <v>339</v>
      </c>
      <c r="C1533" t="s">
        <v>353</v>
      </c>
      <c r="D1533" t="s">
        <v>4280</v>
      </c>
      <c r="E1533" t="s">
        <v>4278</v>
      </c>
      <c r="F1533" s="46">
        <v>46097.325871863417</v>
      </c>
      <c r="G1533" s="46">
        <v>46097.325871863417</v>
      </c>
      <c r="H1533">
        <v>0</v>
      </c>
    </row>
    <row r="1534" spans="1:8" x14ac:dyDescent="0.15">
      <c r="A1534">
        <v>1533</v>
      </c>
      <c r="B1534" t="s">
        <v>339</v>
      </c>
      <c r="C1534" t="s">
        <v>353</v>
      </c>
      <c r="D1534" t="s">
        <v>4281</v>
      </c>
      <c r="E1534" t="s">
        <v>4278</v>
      </c>
      <c r="F1534" s="46">
        <v>46097.325871863417</v>
      </c>
      <c r="G1534" s="46">
        <v>46097.325871863417</v>
      </c>
      <c r="H1534">
        <v>0</v>
      </c>
    </row>
    <row r="1535" spans="1:8" x14ac:dyDescent="0.15">
      <c r="A1535">
        <v>1534</v>
      </c>
      <c r="B1535" t="s">
        <v>339</v>
      </c>
      <c r="C1535" t="s">
        <v>353</v>
      </c>
      <c r="D1535" t="s">
        <v>4282</v>
      </c>
      <c r="E1535" t="s">
        <v>4278</v>
      </c>
      <c r="F1535" s="46">
        <v>46097.325871863417</v>
      </c>
      <c r="G1535" s="46">
        <v>46097.325871863417</v>
      </c>
      <c r="H1535">
        <v>0</v>
      </c>
    </row>
    <row r="1536" spans="1:8" x14ac:dyDescent="0.15">
      <c r="A1536">
        <v>1535</v>
      </c>
      <c r="B1536" t="s">
        <v>339</v>
      </c>
      <c r="C1536" t="s">
        <v>353</v>
      </c>
      <c r="D1536" t="s">
        <v>4283</v>
      </c>
      <c r="E1536" t="s">
        <v>4278</v>
      </c>
      <c r="F1536" s="46">
        <v>46097.325871863417</v>
      </c>
      <c r="G1536" s="46">
        <v>46097.325872048612</v>
      </c>
      <c r="H1536">
        <v>16</v>
      </c>
    </row>
    <row r="1537" spans="1:8" x14ac:dyDescent="0.15">
      <c r="A1537">
        <v>1536</v>
      </c>
      <c r="B1537" t="s">
        <v>339</v>
      </c>
      <c r="C1537" t="s">
        <v>353</v>
      </c>
      <c r="D1537" t="s">
        <v>4284</v>
      </c>
      <c r="E1537" t="s">
        <v>4278</v>
      </c>
      <c r="F1537" s="46">
        <v>46097.325872048612</v>
      </c>
      <c r="G1537" s="46">
        <v>46097.325872048612</v>
      </c>
      <c r="H1537">
        <v>0</v>
      </c>
    </row>
    <row r="1538" spans="1:8" x14ac:dyDescent="0.15">
      <c r="A1538">
        <v>1537</v>
      </c>
      <c r="B1538" t="s">
        <v>339</v>
      </c>
      <c r="C1538" t="s">
        <v>353</v>
      </c>
      <c r="D1538" t="s">
        <v>4285</v>
      </c>
      <c r="E1538" t="s">
        <v>4286</v>
      </c>
      <c r="F1538" s="46">
        <v>46097.325872048612</v>
      </c>
      <c r="G1538" s="46">
        <v>46097.325872048612</v>
      </c>
      <c r="H1538">
        <v>0</v>
      </c>
    </row>
    <row r="1539" spans="1:8" x14ac:dyDescent="0.15">
      <c r="A1539">
        <v>1538</v>
      </c>
      <c r="B1539" t="s">
        <v>339</v>
      </c>
      <c r="C1539" t="s">
        <v>353</v>
      </c>
      <c r="D1539" t="s">
        <v>4287</v>
      </c>
      <c r="E1539" t="s">
        <v>4286</v>
      </c>
      <c r="F1539" s="46">
        <v>46097.325872048612</v>
      </c>
      <c r="G1539" s="46">
        <v>46097.325872048612</v>
      </c>
      <c r="H1539">
        <v>0</v>
      </c>
    </row>
    <row r="1540" spans="1:8" x14ac:dyDescent="0.15">
      <c r="A1540">
        <v>1539</v>
      </c>
      <c r="B1540" t="s">
        <v>339</v>
      </c>
      <c r="C1540" t="s">
        <v>353</v>
      </c>
      <c r="D1540" t="s">
        <v>4288</v>
      </c>
      <c r="E1540" t="s">
        <v>4286</v>
      </c>
      <c r="F1540" s="46">
        <v>46097.325872048612</v>
      </c>
      <c r="G1540" s="46">
        <v>46097.325872048612</v>
      </c>
      <c r="H1540">
        <v>0</v>
      </c>
    </row>
    <row r="1541" spans="1:8" x14ac:dyDescent="0.15">
      <c r="A1541">
        <v>1540</v>
      </c>
      <c r="B1541" t="s">
        <v>339</v>
      </c>
      <c r="C1541" t="s">
        <v>353</v>
      </c>
      <c r="D1541" t="s">
        <v>4289</v>
      </c>
      <c r="E1541" t="s">
        <v>4290</v>
      </c>
      <c r="F1541" s="46">
        <v>46097.325872048612</v>
      </c>
      <c r="G1541" s="46">
        <v>46097.325872048612</v>
      </c>
      <c r="H1541">
        <v>0</v>
      </c>
    </row>
    <row r="1542" spans="1:8" x14ac:dyDescent="0.15">
      <c r="A1542">
        <v>1541</v>
      </c>
      <c r="B1542" t="s">
        <v>339</v>
      </c>
      <c r="C1542" t="s">
        <v>353</v>
      </c>
      <c r="D1542" t="s">
        <v>4291</v>
      </c>
      <c r="E1542" t="s">
        <v>4292</v>
      </c>
      <c r="F1542" s="46">
        <v>46097.325872048612</v>
      </c>
      <c r="G1542" s="46">
        <v>46097.325872048612</v>
      </c>
      <c r="H1542">
        <v>0</v>
      </c>
    </row>
    <row r="1543" spans="1:8" x14ac:dyDescent="0.15">
      <c r="A1543">
        <v>1542</v>
      </c>
      <c r="B1543" t="s">
        <v>339</v>
      </c>
      <c r="C1543" t="s">
        <v>353</v>
      </c>
      <c r="D1543" t="s">
        <v>4293</v>
      </c>
      <c r="E1543" t="s">
        <v>4292</v>
      </c>
      <c r="F1543" s="46">
        <v>46097.325872048612</v>
      </c>
      <c r="G1543" s="46">
        <v>46097.325872048612</v>
      </c>
      <c r="H1543">
        <v>0</v>
      </c>
    </row>
    <row r="1544" spans="1:8" x14ac:dyDescent="0.15">
      <c r="A1544">
        <v>1543</v>
      </c>
      <c r="B1544" t="s">
        <v>339</v>
      </c>
      <c r="C1544" t="s">
        <v>353</v>
      </c>
      <c r="D1544" t="s">
        <v>4294</v>
      </c>
      <c r="E1544" t="s">
        <v>4295</v>
      </c>
      <c r="F1544" s="46">
        <v>46097.325872048612</v>
      </c>
      <c r="G1544" s="46">
        <v>46097.325872048612</v>
      </c>
      <c r="H1544">
        <v>0</v>
      </c>
    </row>
    <row r="1545" spans="1:8" x14ac:dyDescent="0.15">
      <c r="A1545">
        <v>1544</v>
      </c>
      <c r="B1545" t="s">
        <v>339</v>
      </c>
      <c r="C1545" t="s">
        <v>353</v>
      </c>
      <c r="D1545" t="s">
        <v>4296</v>
      </c>
      <c r="E1545" t="s">
        <v>4297</v>
      </c>
      <c r="F1545" s="46">
        <v>46097.325872048612</v>
      </c>
      <c r="G1545" s="46">
        <v>46097.325872048612</v>
      </c>
      <c r="H1545">
        <v>0</v>
      </c>
    </row>
    <row r="1546" spans="1:8" x14ac:dyDescent="0.15">
      <c r="A1546">
        <v>1545</v>
      </c>
      <c r="B1546" t="s">
        <v>339</v>
      </c>
      <c r="C1546" t="s">
        <v>353</v>
      </c>
      <c r="D1546" t="s">
        <v>4298</v>
      </c>
      <c r="E1546" t="s">
        <v>4299</v>
      </c>
      <c r="F1546" s="46">
        <v>46097.325872048612</v>
      </c>
      <c r="G1546" s="46">
        <v>46097.325872048612</v>
      </c>
      <c r="H1546">
        <v>0</v>
      </c>
    </row>
    <row r="1547" spans="1:8" x14ac:dyDescent="0.15">
      <c r="A1547">
        <v>1546</v>
      </c>
      <c r="B1547" t="s">
        <v>339</v>
      </c>
      <c r="C1547" t="s">
        <v>353</v>
      </c>
      <c r="D1547" t="s">
        <v>4300</v>
      </c>
      <c r="E1547" t="s">
        <v>4301</v>
      </c>
      <c r="F1547" s="46">
        <v>46097.325872048612</v>
      </c>
      <c r="G1547" s="46">
        <v>46097.3258722338</v>
      </c>
      <c r="H1547">
        <v>15</v>
      </c>
    </row>
    <row r="1548" spans="1:8" x14ac:dyDescent="0.15">
      <c r="A1548">
        <v>1547</v>
      </c>
      <c r="B1548" t="s">
        <v>339</v>
      </c>
      <c r="C1548" t="s">
        <v>353</v>
      </c>
      <c r="D1548" t="s">
        <v>4302</v>
      </c>
      <c r="E1548" t="s">
        <v>4301</v>
      </c>
      <c r="F1548" s="46">
        <v>46097.3258722338</v>
      </c>
      <c r="G1548" s="46">
        <v>46097.3258722338</v>
      </c>
      <c r="H1548">
        <v>0</v>
      </c>
    </row>
    <row r="1549" spans="1:8" x14ac:dyDescent="0.15">
      <c r="A1549">
        <v>1548</v>
      </c>
      <c r="B1549" t="s">
        <v>339</v>
      </c>
      <c r="C1549" t="s">
        <v>353</v>
      </c>
      <c r="D1549" t="s">
        <v>4303</v>
      </c>
      <c r="E1549" t="s">
        <v>4304</v>
      </c>
      <c r="F1549" s="46">
        <v>46097.3258722338</v>
      </c>
      <c r="G1549" s="46">
        <v>46097.3258722338</v>
      </c>
      <c r="H1549">
        <v>0</v>
      </c>
    </row>
    <row r="1550" spans="1:8" x14ac:dyDescent="0.15">
      <c r="A1550">
        <v>1549</v>
      </c>
      <c r="B1550" t="s">
        <v>339</v>
      </c>
      <c r="C1550" t="s">
        <v>353</v>
      </c>
      <c r="D1550" t="s">
        <v>4305</v>
      </c>
      <c r="E1550" t="s">
        <v>4306</v>
      </c>
      <c r="F1550" s="46">
        <v>46097.3258722338</v>
      </c>
      <c r="G1550" s="46">
        <v>46097.3258722338</v>
      </c>
      <c r="H1550">
        <v>0</v>
      </c>
    </row>
    <row r="1551" spans="1:8" x14ac:dyDescent="0.15">
      <c r="A1551">
        <v>1550</v>
      </c>
      <c r="B1551" t="s">
        <v>339</v>
      </c>
      <c r="C1551" t="s">
        <v>353</v>
      </c>
      <c r="D1551" t="s">
        <v>4307</v>
      </c>
      <c r="E1551" t="s">
        <v>4308</v>
      </c>
      <c r="F1551" s="46">
        <v>46097.3258722338</v>
      </c>
      <c r="G1551" s="46">
        <v>46097.3258722338</v>
      </c>
      <c r="H1551">
        <v>0</v>
      </c>
    </row>
    <row r="1552" spans="1:8" x14ac:dyDescent="0.15">
      <c r="A1552">
        <v>1551</v>
      </c>
      <c r="B1552" t="s">
        <v>339</v>
      </c>
      <c r="C1552" t="s">
        <v>353</v>
      </c>
      <c r="D1552" t="s">
        <v>4309</v>
      </c>
      <c r="E1552" t="s">
        <v>4308</v>
      </c>
      <c r="F1552" s="46">
        <v>46097.3258722338</v>
      </c>
      <c r="G1552" s="46">
        <v>46097.3258722338</v>
      </c>
      <c r="H1552">
        <v>0</v>
      </c>
    </row>
    <row r="1553" spans="1:8" x14ac:dyDescent="0.15">
      <c r="A1553">
        <v>1552</v>
      </c>
      <c r="B1553" t="s">
        <v>339</v>
      </c>
      <c r="C1553" t="s">
        <v>353</v>
      </c>
      <c r="D1553" t="s">
        <v>4310</v>
      </c>
      <c r="E1553" t="s">
        <v>4308</v>
      </c>
      <c r="F1553" s="46">
        <v>46097.3258722338</v>
      </c>
      <c r="G1553" s="46">
        <v>46097.3258722338</v>
      </c>
      <c r="H1553">
        <v>0</v>
      </c>
    </row>
    <row r="1554" spans="1:8" x14ac:dyDescent="0.15">
      <c r="A1554">
        <v>1553</v>
      </c>
      <c r="B1554" t="s">
        <v>339</v>
      </c>
      <c r="C1554" t="s">
        <v>353</v>
      </c>
      <c r="D1554" t="s">
        <v>4311</v>
      </c>
      <c r="E1554" t="s">
        <v>4312</v>
      </c>
      <c r="F1554" s="46">
        <v>46097.3258722338</v>
      </c>
      <c r="G1554" s="46">
        <v>46097.3258722338</v>
      </c>
      <c r="H1554">
        <v>0</v>
      </c>
    </row>
    <row r="1555" spans="1:8" x14ac:dyDescent="0.15">
      <c r="A1555">
        <v>1554</v>
      </c>
      <c r="B1555" t="s">
        <v>339</v>
      </c>
      <c r="C1555" t="s">
        <v>353</v>
      </c>
      <c r="D1555" t="s">
        <v>4313</v>
      </c>
      <c r="E1555" t="s">
        <v>521</v>
      </c>
      <c r="F1555" s="46">
        <v>46097.3258722338</v>
      </c>
      <c r="G1555" s="46">
        <v>46097.3258722338</v>
      </c>
      <c r="H1555">
        <v>0</v>
      </c>
    </row>
    <row r="1556" spans="1:8" x14ac:dyDescent="0.15">
      <c r="A1556">
        <v>1555</v>
      </c>
      <c r="B1556" t="s">
        <v>339</v>
      </c>
      <c r="C1556" t="s">
        <v>353</v>
      </c>
      <c r="D1556" t="s">
        <v>4314</v>
      </c>
      <c r="E1556" t="s">
        <v>4315</v>
      </c>
      <c r="F1556" s="46">
        <v>46097.3258722338</v>
      </c>
      <c r="G1556" s="46">
        <v>46097.3258722338</v>
      </c>
      <c r="H1556">
        <v>0</v>
      </c>
    </row>
    <row r="1557" spans="1:8" x14ac:dyDescent="0.15">
      <c r="A1557">
        <v>1556</v>
      </c>
      <c r="B1557" t="s">
        <v>339</v>
      </c>
      <c r="C1557" t="s">
        <v>353</v>
      </c>
      <c r="D1557" t="s">
        <v>4316</v>
      </c>
      <c r="E1557" t="s">
        <v>4315</v>
      </c>
      <c r="F1557" s="46">
        <v>46097.3258722338</v>
      </c>
      <c r="G1557" s="46">
        <v>46097.325872407397</v>
      </c>
      <c r="H1557">
        <v>16</v>
      </c>
    </row>
    <row r="1558" spans="1:8" x14ac:dyDescent="0.15">
      <c r="A1558">
        <v>1557</v>
      </c>
      <c r="B1558" t="s">
        <v>339</v>
      </c>
      <c r="C1558" t="s">
        <v>353</v>
      </c>
      <c r="D1558" t="s">
        <v>4317</v>
      </c>
      <c r="E1558" t="s">
        <v>4315</v>
      </c>
      <c r="F1558" s="46">
        <v>46097.325872407397</v>
      </c>
      <c r="G1558" s="46">
        <v>46097.325872407397</v>
      </c>
      <c r="H1558">
        <v>0</v>
      </c>
    </row>
    <row r="1559" spans="1:8" x14ac:dyDescent="0.15">
      <c r="A1559">
        <v>1558</v>
      </c>
      <c r="B1559" t="s">
        <v>339</v>
      </c>
      <c r="C1559" t="s">
        <v>353</v>
      </c>
      <c r="D1559" t="s">
        <v>4318</v>
      </c>
      <c r="E1559" t="s">
        <v>4315</v>
      </c>
      <c r="F1559" s="46">
        <v>46097.325872407397</v>
      </c>
      <c r="G1559" s="46">
        <v>46097.325872407397</v>
      </c>
      <c r="H1559">
        <v>0</v>
      </c>
    </row>
    <row r="1560" spans="1:8" x14ac:dyDescent="0.15">
      <c r="A1560">
        <v>1559</v>
      </c>
      <c r="B1560" t="s">
        <v>339</v>
      </c>
      <c r="C1560" t="s">
        <v>353</v>
      </c>
      <c r="D1560" t="s">
        <v>4319</v>
      </c>
      <c r="E1560" t="s">
        <v>4315</v>
      </c>
      <c r="F1560" s="46">
        <v>46097.325872407397</v>
      </c>
      <c r="G1560" s="46">
        <v>46097.325872407397</v>
      </c>
      <c r="H1560">
        <v>0</v>
      </c>
    </row>
    <row r="1561" spans="1:8" x14ac:dyDescent="0.15">
      <c r="A1561">
        <v>1560</v>
      </c>
      <c r="B1561" t="s">
        <v>339</v>
      </c>
      <c r="C1561" t="s">
        <v>353</v>
      </c>
      <c r="D1561" t="s">
        <v>4320</v>
      </c>
      <c r="E1561" t="s">
        <v>4321</v>
      </c>
      <c r="F1561" s="46">
        <v>46097.325872407397</v>
      </c>
      <c r="G1561" s="46">
        <v>46097.325872407397</v>
      </c>
      <c r="H1561">
        <v>0</v>
      </c>
    </row>
    <row r="1562" spans="1:8" x14ac:dyDescent="0.15">
      <c r="A1562">
        <v>1561</v>
      </c>
      <c r="B1562" t="s">
        <v>339</v>
      </c>
      <c r="C1562" t="s">
        <v>353</v>
      </c>
      <c r="D1562" t="s">
        <v>4322</v>
      </c>
      <c r="E1562" t="s">
        <v>4323</v>
      </c>
      <c r="F1562" s="46">
        <v>46097.325872407397</v>
      </c>
      <c r="G1562" s="46">
        <v>46097.325872407397</v>
      </c>
      <c r="H1562">
        <v>0</v>
      </c>
    </row>
    <row r="1563" spans="1:8" x14ac:dyDescent="0.15">
      <c r="A1563">
        <v>1562</v>
      </c>
      <c r="B1563" t="s">
        <v>339</v>
      </c>
      <c r="C1563" t="s">
        <v>353</v>
      </c>
      <c r="D1563" t="s">
        <v>4324</v>
      </c>
      <c r="E1563" t="s">
        <v>4325</v>
      </c>
      <c r="F1563" s="46">
        <v>46097.325872407397</v>
      </c>
      <c r="G1563" s="46">
        <v>46097.325872407397</v>
      </c>
      <c r="H1563">
        <v>0</v>
      </c>
    </row>
    <row r="1564" spans="1:8" x14ac:dyDescent="0.15">
      <c r="A1564">
        <v>1563</v>
      </c>
      <c r="B1564" t="s">
        <v>339</v>
      </c>
      <c r="C1564" t="s">
        <v>353</v>
      </c>
      <c r="D1564" t="s">
        <v>4326</v>
      </c>
      <c r="E1564" t="s">
        <v>4325</v>
      </c>
      <c r="F1564" s="46">
        <v>46097.325872407397</v>
      </c>
      <c r="G1564" s="46">
        <v>46097.325872407397</v>
      </c>
      <c r="H1564">
        <v>0</v>
      </c>
    </row>
    <row r="1565" spans="1:8" x14ac:dyDescent="0.15">
      <c r="A1565">
        <v>1564</v>
      </c>
      <c r="B1565" t="s">
        <v>339</v>
      </c>
      <c r="C1565" t="s">
        <v>353</v>
      </c>
      <c r="D1565" t="s">
        <v>4327</v>
      </c>
      <c r="E1565" t="s">
        <v>4325</v>
      </c>
      <c r="F1565" s="46">
        <v>46097.325872407397</v>
      </c>
      <c r="G1565" s="46">
        <v>46097.325872407397</v>
      </c>
      <c r="H1565">
        <v>0</v>
      </c>
    </row>
    <row r="1566" spans="1:8" x14ac:dyDescent="0.15">
      <c r="A1566">
        <v>1565</v>
      </c>
      <c r="B1566" t="s">
        <v>339</v>
      </c>
      <c r="C1566" t="s">
        <v>353</v>
      </c>
      <c r="D1566" t="s">
        <v>4328</v>
      </c>
      <c r="E1566" t="s">
        <v>4325</v>
      </c>
      <c r="F1566" s="46">
        <v>46097.325872407397</v>
      </c>
      <c r="G1566" s="46">
        <v>46097.325872407397</v>
      </c>
      <c r="H1566">
        <v>0</v>
      </c>
    </row>
    <row r="1567" spans="1:8" x14ac:dyDescent="0.15">
      <c r="A1567">
        <v>1566</v>
      </c>
      <c r="B1567" t="s">
        <v>339</v>
      </c>
      <c r="C1567" t="s">
        <v>353</v>
      </c>
      <c r="D1567" t="s">
        <v>4329</v>
      </c>
      <c r="E1567" t="s">
        <v>4325</v>
      </c>
      <c r="F1567" s="46">
        <v>46097.325872407397</v>
      </c>
      <c r="G1567" s="46">
        <v>46097.325872407397</v>
      </c>
      <c r="H1567">
        <v>0</v>
      </c>
    </row>
    <row r="1568" spans="1:8" x14ac:dyDescent="0.15">
      <c r="A1568">
        <v>1567</v>
      </c>
      <c r="B1568" t="s">
        <v>339</v>
      </c>
      <c r="C1568" t="s">
        <v>353</v>
      </c>
      <c r="D1568" t="s">
        <v>4330</v>
      </c>
      <c r="E1568" t="s">
        <v>4325</v>
      </c>
      <c r="F1568" s="46">
        <v>46097.325872407397</v>
      </c>
      <c r="G1568" s="46">
        <v>46097.325872592592</v>
      </c>
      <c r="H1568">
        <v>15</v>
      </c>
    </row>
    <row r="1569" spans="1:8" x14ac:dyDescent="0.15">
      <c r="A1569">
        <v>1568</v>
      </c>
      <c r="B1569" t="s">
        <v>339</v>
      </c>
      <c r="C1569" t="s">
        <v>353</v>
      </c>
      <c r="D1569" t="s">
        <v>4331</v>
      </c>
      <c r="E1569" t="s">
        <v>4332</v>
      </c>
      <c r="F1569" s="46">
        <v>46097.325872592592</v>
      </c>
      <c r="G1569" s="46">
        <v>46097.325872592592</v>
      </c>
      <c r="H1569">
        <v>0</v>
      </c>
    </row>
    <row r="1570" spans="1:8" x14ac:dyDescent="0.15">
      <c r="A1570">
        <v>1569</v>
      </c>
      <c r="B1570" t="s">
        <v>339</v>
      </c>
      <c r="C1570" t="s">
        <v>353</v>
      </c>
      <c r="D1570" t="s">
        <v>4333</v>
      </c>
      <c r="E1570" t="s">
        <v>4334</v>
      </c>
      <c r="F1570" s="46">
        <v>46097.325872592592</v>
      </c>
      <c r="G1570" s="46">
        <v>46097.325872592592</v>
      </c>
      <c r="H1570">
        <v>0</v>
      </c>
    </row>
    <row r="1571" spans="1:8" x14ac:dyDescent="0.15">
      <c r="A1571">
        <v>1570</v>
      </c>
      <c r="B1571" t="s">
        <v>339</v>
      </c>
      <c r="C1571" t="s">
        <v>353</v>
      </c>
      <c r="D1571" t="s">
        <v>4335</v>
      </c>
      <c r="E1571" t="s">
        <v>4336</v>
      </c>
      <c r="F1571" s="46">
        <v>46097.325872592592</v>
      </c>
      <c r="G1571" s="46">
        <v>46097.325872592592</v>
      </c>
      <c r="H1571">
        <v>0</v>
      </c>
    </row>
    <row r="1572" spans="1:8" x14ac:dyDescent="0.15">
      <c r="A1572">
        <v>1571</v>
      </c>
      <c r="B1572" t="s">
        <v>339</v>
      </c>
      <c r="C1572" t="s">
        <v>353</v>
      </c>
      <c r="D1572" t="s">
        <v>4337</v>
      </c>
      <c r="E1572" t="s">
        <v>4338</v>
      </c>
      <c r="F1572" s="46">
        <v>46097.325872592592</v>
      </c>
      <c r="G1572" s="46">
        <v>46097.325872592592</v>
      </c>
      <c r="H1572">
        <v>0</v>
      </c>
    </row>
    <row r="1573" spans="1:8" x14ac:dyDescent="0.15">
      <c r="A1573">
        <v>1572</v>
      </c>
      <c r="B1573" t="s">
        <v>339</v>
      </c>
      <c r="C1573" t="s">
        <v>353</v>
      </c>
      <c r="D1573" t="s">
        <v>4339</v>
      </c>
      <c r="E1573" t="s">
        <v>4340</v>
      </c>
      <c r="F1573" s="46">
        <v>46097.325872592592</v>
      </c>
      <c r="G1573" s="46">
        <v>46097.325872592592</v>
      </c>
      <c r="H1573">
        <v>0</v>
      </c>
    </row>
    <row r="1574" spans="1:8" x14ac:dyDescent="0.15">
      <c r="A1574">
        <v>1573</v>
      </c>
      <c r="B1574" t="s">
        <v>339</v>
      </c>
      <c r="C1574" t="s">
        <v>353</v>
      </c>
      <c r="D1574" t="s">
        <v>4341</v>
      </c>
      <c r="E1574" t="s">
        <v>4340</v>
      </c>
      <c r="F1574" s="46">
        <v>46097.325872592592</v>
      </c>
      <c r="G1574" s="46">
        <v>46097.325872592592</v>
      </c>
      <c r="H1574">
        <v>0</v>
      </c>
    </row>
    <row r="1575" spans="1:8" x14ac:dyDescent="0.15">
      <c r="A1575">
        <v>1574</v>
      </c>
      <c r="B1575" t="s">
        <v>339</v>
      </c>
      <c r="C1575" t="s">
        <v>353</v>
      </c>
      <c r="D1575" t="s">
        <v>4342</v>
      </c>
      <c r="E1575" t="s">
        <v>4343</v>
      </c>
      <c r="F1575" s="46">
        <v>46097.325872592592</v>
      </c>
      <c r="G1575" s="46">
        <v>46097.325872592592</v>
      </c>
      <c r="H1575">
        <v>0</v>
      </c>
    </row>
    <row r="1576" spans="1:8" x14ac:dyDescent="0.15">
      <c r="A1576">
        <v>1575</v>
      </c>
      <c r="B1576" t="s">
        <v>339</v>
      </c>
      <c r="C1576" t="s">
        <v>353</v>
      </c>
      <c r="D1576" t="s">
        <v>4344</v>
      </c>
      <c r="E1576" t="s">
        <v>4345</v>
      </c>
      <c r="F1576" s="46">
        <v>46097.325872592592</v>
      </c>
      <c r="G1576" s="46">
        <v>46097.325872592592</v>
      </c>
      <c r="H1576">
        <v>0</v>
      </c>
    </row>
    <row r="1577" spans="1:8" x14ac:dyDescent="0.15">
      <c r="A1577">
        <v>1576</v>
      </c>
      <c r="B1577" t="s">
        <v>339</v>
      </c>
      <c r="C1577" t="s">
        <v>353</v>
      </c>
      <c r="D1577" t="s">
        <v>4346</v>
      </c>
      <c r="E1577" t="s">
        <v>4345</v>
      </c>
      <c r="F1577" s="46">
        <v>46097.325872592592</v>
      </c>
      <c r="G1577" s="46">
        <v>46097.325872592592</v>
      </c>
      <c r="H1577">
        <v>0</v>
      </c>
    </row>
    <row r="1578" spans="1:8" x14ac:dyDescent="0.15">
      <c r="A1578">
        <v>1577</v>
      </c>
      <c r="B1578" t="s">
        <v>339</v>
      </c>
      <c r="C1578" t="s">
        <v>353</v>
      </c>
      <c r="D1578" t="s">
        <v>4347</v>
      </c>
      <c r="E1578" t="s">
        <v>4348</v>
      </c>
      <c r="F1578" s="46">
        <v>46097.325872592592</v>
      </c>
      <c r="G1578" s="46">
        <v>46097.325872777779</v>
      </c>
      <c r="H1578">
        <v>16</v>
      </c>
    </row>
    <row r="1579" spans="1:8" x14ac:dyDescent="0.15">
      <c r="A1579">
        <v>1578</v>
      </c>
      <c r="B1579" t="s">
        <v>339</v>
      </c>
      <c r="C1579" t="s">
        <v>353</v>
      </c>
      <c r="D1579" t="s">
        <v>4349</v>
      </c>
      <c r="E1579" t="s">
        <v>4350</v>
      </c>
      <c r="F1579" s="46">
        <v>46097.325872777779</v>
      </c>
      <c r="G1579" s="46">
        <v>46097.325872777779</v>
      </c>
      <c r="H1579">
        <v>0</v>
      </c>
    </row>
    <row r="1580" spans="1:8" x14ac:dyDescent="0.15">
      <c r="A1580">
        <v>1579</v>
      </c>
      <c r="B1580" t="s">
        <v>339</v>
      </c>
      <c r="C1580" t="s">
        <v>353</v>
      </c>
      <c r="D1580" t="s">
        <v>4351</v>
      </c>
      <c r="E1580" t="s">
        <v>4352</v>
      </c>
      <c r="F1580" s="46">
        <v>46097.325872777779</v>
      </c>
      <c r="G1580" s="46">
        <v>46097.325872777779</v>
      </c>
      <c r="H1580">
        <v>0</v>
      </c>
    </row>
    <row r="1581" spans="1:8" x14ac:dyDescent="0.15">
      <c r="A1581">
        <v>1580</v>
      </c>
      <c r="B1581" t="s">
        <v>339</v>
      </c>
      <c r="C1581" t="s">
        <v>353</v>
      </c>
      <c r="D1581" t="s">
        <v>4353</v>
      </c>
      <c r="E1581" t="s">
        <v>4354</v>
      </c>
      <c r="F1581" s="46">
        <v>46097.325872777779</v>
      </c>
      <c r="G1581" s="46">
        <v>46097.325872777779</v>
      </c>
      <c r="H1581">
        <v>0</v>
      </c>
    </row>
    <row r="1582" spans="1:8" x14ac:dyDescent="0.15">
      <c r="A1582">
        <v>1581</v>
      </c>
      <c r="B1582" t="s">
        <v>339</v>
      </c>
      <c r="C1582" t="s">
        <v>353</v>
      </c>
      <c r="D1582" t="s">
        <v>4355</v>
      </c>
      <c r="E1582" t="s">
        <v>4354</v>
      </c>
      <c r="F1582" s="46">
        <v>46097.325872777779</v>
      </c>
      <c r="G1582" s="46">
        <v>46097.325872777779</v>
      </c>
      <c r="H1582">
        <v>0</v>
      </c>
    </row>
    <row r="1583" spans="1:8" x14ac:dyDescent="0.15">
      <c r="A1583">
        <v>1582</v>
      </c>
      <c r="B1583" t="s">
        <v>339</v>
      </c>
      <c r="C1583" t="s">
        <v>353</v>
      </c>
      <c r="D1583" t="s">
        <v>4356</v>
      </c>
      <c r="E1583" t="s">
        <v>4357</v>
      </c>
      <c r="F1583" s="46">
        <v>46097.325872777779</v>
      </c>
      <c r="G1583" s="46">
        <v>46097.325872777779</v>
      </c>
      <c r="H1583">
        <v>0</v>
      </c>
    </row>
    <row r="1584" spans="1:8" x14ac:dyDescent="0.15">
      <c r="A1584">
        <v>1583</v>
      </c>
      <c r="B1584" t="s">
        <v>339</v>
      </c>
      <c r="C1584" t="s">
        <v>353</v>
      </c>
      <c r="D1584" t="s">
        <v>4358</v>
      </c>
      <c r="E1584" t="s">
        <v>4357</v>
      </c>
      <c r="F1584" s="46">
        <v>46097.325872777779</v>
      </c>
      <c r="G1584" s="46">
        <v>46097.325872777779</v>
      </c>
      <c r="H1584">
        <v>0</v>
      </c>
    </row>
    <row r="1585" spans="1:8" x14ac:dyDescent="0.15">
      <c r="A1585">
        <v>1584</v>
      </c>
      <c r="B1585" t="s">
        <v>339</v>
      </c>
      <c r="C1585" t="s">
        <v>353</v>
      </c>
      <c r="D1585" t="s">
        <v>4359</v>
      </c>
      <c r="E1585" t="s">
        <v>4357</v>
      </c>
      <c r="F1585" s="46">
        <v>46097.325872777779</v>
      </c>
      <c r="G1585" s="46">
        <v>46097.325872777779</v>
      </c>
      <c r="H1585">
        <v>0</v>
      </c>
    </row>
    <row r="1586" spans="1:8" x14ac:dyDescent="0.15">
      <c r="A1586">
        <v>1585</v>
      </c>
      <c r="B1586" t="s">
        <v>339</v>
      </c>
      <c r="C1586" t="s">
        <v>353</v>
      </c>
      <c r="D1586" t="s">
        <v>4360</v>
      </c>
      <c r="E1586" t="s">
        <v>4357</v>
      </c>
      <c r="F1586" s="46">
        <v>46097.325872777779</v>
      </c>
      <c r="G1586" s="46">
        <v>46097.325872777779</v>
      </c>
      <c r="H1586">
        <v>0</v>
      </c>
    </row>
    <row r="1587" spans="1:8" x14ac:dyDescent="0.15">
      <c r="A1587">
        <v>1586</v>
      </c>
      <c r="B1587" t="s">
        <v>339</v>
      </c>
      <c r="C1587" t="s">
        <v>353</v>
      </c>
      <c r="D1587" t="s">
        <v>4361</v>
      </c>
      <c r="E1587" t="s">
        <v>4362</v>
      </c>
      <c r="F1587" s="46">
        <v>46097.325872777779</v>
      </c>
      <c r="G1587" s="46">
        <v>46097.325872951391</v>
      </c>
      <c r="H1587">
        <v>16</v>
      </c>
    </row>
    <row r="1588" spans="1:8" x14ac:dyDescent="0.15">
      <c r="A1588">
        <v>1587</v>
      </c>
      <c r="B1588" t="s">
        <v>339</v>
      </c>
      <c r="C1588" t="s">
        <v>353</v>
      </c>
      <c r="D1588" t="s">
        <v>4363</v>
      </c>
      <c r="E1588" t="s">
        <v>4364</v>
      </c>
      <c r="F1588" s="46">
        <v>46097.325872951391</v>
      </c>
      <c r="G1588" s="46">
        <v>46097.325872951391</v>
      </c>
      <c r="H1588">
        <v>0</v>
      </c>
    </row>
    <row r="1589" spans="1:8" x14ac:dyDescent="0.15">
      <c r="A1589">
        <v>1588</v>
      </c>
      <c r="B1589" t="s">
        <v>339</v>
      </c>
      <c r="C1589" t="s">
        <v>353</v>
      </c>
      <c r="D1589" t="s">
        <v>4365</v>
      </c>
      <c r="E1589" t="s">
        <v>4364</v>
      </c>
      <c r="F1589" s="46">
        <v>46097.325872951391</v>
      </c>
      <c r="G1589" s="46">
        <v>46097.325872951391</v>
      </c>
      <c r="H1589">
        <v>0</v>
      </c>
    </row>
    <row r="1590" spans="1:8" x14ac:dyDescent="0.15">
      <c r="A1590">
        <v>1589</v>
      </c>
      <c r="B1590" t="s">
        <v>339</v>
      </c>
      <c r="C1590" t="s">
        <v>353</v>
      </c>
      <c r="D1590" t="s">
        <v>4366</v>
      </c>
      <c r="E1590" t="s">
        <v>4367</v>
      </c>
      <c r="F1590" s="46">
        <v>46097.325872951391</v>
      </c>
      <c r="G1590" s="46">
        <v>46097.325872951391</v>
      </c>
      <c r="H1590">
        <v>0</v>
      </c>
    </row>
    <row r="1591" spans="1:8" x14ac:dyDescent="0.15">
      <c r="A1591">
        <v>1590</v>
      </c>
      <c r="B1591" t="s">
        <v>339</v>
      </c>
      <c r="C1591" t="s">
        <v>353</v>
      </c>
      <c r="D1591" t="s">
        <v>4368</v>
      </c>
      <c r="E1591" t="s">
        <v>4367</v>
      </c>
      <c r="F1591" s="46">
        <v>46097.325872951391</v>
      </c>
      <c r="G1591" s="46">
        <v>46097.325872951391</v>
      </c>
      <c r="H1591">
        <v>0</v>
      </c>
    </row>
    <row r="1592" spans="1:8" x14ac:dyDescent="0.15">
      <c r="A1592">
        <v>1591</v>
      </c>
      <c r="B1592" t="s">
        <v>339</v>
      </c>
      <c r="C1592" t="s">
        <v>353</v>
      </c>
      <c r="D1592" t="s">
        <v>4369</v>
      </c>
      <c r="E1592" t="s">
        <v>4367</v>
      </c>
      <c r="F1592" s="46">
        <v>46097.325872951391</v>
      </c>
      <c r="G1592" s="46">
        <v>46097.325872951391</v>
      </c>
      <c r="H1592">
        <v>0</v>
      </c>
    </row>
    <row r="1593" spans="1:8" x14ac:dyDescent="0.15">
      <c r="A1593">
        <v>1592</v>
      </c>
      <c r="B1593" t="s">
        <v>339</v>
      </c>
      <c r="C1593" t="s">
        <v>353</v>
      </c>
      <c r="D1593" t="s">
        <v>4370</v>
      </c>
      <c r="E1593" t="s">
        <v>4367</v>
      </c>
      <c r="F1593" s="46">
        <v>46097.325872951391</v>
      </c>
      <c r="G1593" s="46">
        <v>46097.325872951391</v>
      </c>
      <c r="H1593">
        <v>0</v>
      </c>
    </row>
    <row r="1594" spans="1:8" x14ac:dyDescent="0.15">
      <c r="A1594">
        <v>1593</v>
      </c>
      <c r="B1594" t="s">
        <v>339</v>
      </c>
      <c r="C1594" t="s">
        <v>353</v>
      </c>
      <c r="D1594" t="s">
        <v>4371</v>
      </c>
      <c r="E1594" t="s">
        <v>4372</v>
      </c>
      <c r="F1594" s="46">
        <v>46097.325872951391</v>
      </c>
      <c r="G1594" s="46">
        <v>46097.325872951391</v>
      </c>
      <c r="H1594">
        <v>0</v>
      </c>
    </row>
    <row r="1595" spans="1:8" x14ac:dyDescent="0.15">
      <c r="A1595">
        <v>1594</v>
      </c>
      <c r="B1595" t="s">
        <v>339</v>
      </c>
      <c r="C1595" t="s">
        <v>353</v>
      </c>
      <c r="D1595" t="s">
        <v>4373</v>
      </c>
      <c r="E1595" t="s">
        <v>4372</v>
      </c>
      <c r="F1595" s="46">
        <v>46097.325872951391</v>
      </c>
      <c r="G1595" s="46">
        <v>46097.325872951391</v>
      </c>
      <c r="H1595">
        <v>0</v>
      </c>
    </row>
    <row r="1596" spans="1:8" x14ac:dyDescent="0.15">
      <c r="A1596">
        <v>1595</v>
      </c>
      <c r="B1596" t="s">
        <v>339</v>
      </c>
      <c r="C1596" t="s">
        <v>353</v>
      </c>
      <c r="D1596" t="s">
        <v>4374</v>
      </c>
      <c r="E1596" t="s">
        <v>4372</v>
      </c>
      <c r="F1596" s="46">
        <v>46097.325872951391</v>
      </c>
      <c r="G1596" s="46">
        <v>46097.325872951391</v>
      </c>
      <c r="H1596">
        <v>0</v>
      </c>
    </row>
    <row r="1597" spans="1:8" x14ac:dyDescent="0.15">
      <c r="A1597">
        <v>1596</v>
      </c>
      <c r="B1597" t="s">
        <v>339</v>
      </c>
      <c r="C1597" t="s">
        <v>353</v>
      </c>
      <c r="D1597" t="s">
        <v>4375</v>
      </c>
      <c r="E1597" t="s">
        <v>4372</v>
      </c>
      <c r="F1597" s="46">
        <v>46097.325872951391</v>
      </c>
      <c r="G1597" s="46">
        <v>46097.325872951391</v>
      </c>
      <c r="H1597">
        <v>0</v>
      </c>
    </row>
    <row r="1598" spans="1:8" x14ac:dyDescent="0.15">
      <c r="A1598">
        <v>1597</v>
      </c>
      <c r="B1598" t="s">
        <v>339</v>
      </c>
      <c r="C1598" t="s">
        <v>353</v>
      </c>
      <c r="D1598" t="s">
        <v>4376</v>
      </c>
      <c r="E1598" t="s">
        <v>4372</v>
      </c>
      <c r="F1598" s="46">
        <v>46097.325872951391</v>
      </c>
      <c r="G1598" s="46">
        <v>46097.325873136571</v>
      </c>
      <c r="H1598">
        <v>15</v>
      </c>
    </row>
    <row r="1599" spans="1:8" x14ac:dyDescent="0.15">
      <c r="A1599">
        <v>1598</v>
      </c>
      <c r="B1599" t="s">
        <v>339</v>
      </c>
      <c r="C1599" t="s">
        <v>353</v>
      </c>
      <c r="D1599" t="s">
        <v>4377</v>
      </c>
      <c r="E1599" t="s">
        <v>4378</v>
      </c>
      <c r="F1599" s="46">
        <v>46097.325873136571</v>
      </c>
      <c r="G1599" s="46">
        <v>46097.325873136571</v>
      </c>
      <c r="H1599">
        <v>0</v>
      </c>
    </row>
    <row r="1600" spans="1:8" x14ac:dyDescent="0.15">
      <c r="A1600">
        <v>1599</v>
      </c>
      <c r="B1600" t="s">
        <v>339</v>
      </c>
      <c r="C1600" t="s">
        <v>353</v>
      </c>
      <c r="D1600" t="s">
        <v>4379</v>
      </c>
      <c r="E1600" t="s">
        <v>4380</v>
      </c>
      <c r="F1600" s="46">
        <v>46097.325873136571</v>
      </c>
      <c r="G1600" s="46">
        <v>46097.325873136571</v>
      </c>
      <c r="H1600">
        <v>0</v>
      </c>
    </row>
    <row r="1601" spans="1:8" x14ac:dyDescent="0.15">
      <c r="A1601">
        <v>1600</v>
      </c>
      <c r="B1601" t="s">
        <v>339</v>
      </c>
      <c r="C1601" t="s">
        <v>353</v>
      </c>
      <c r="D1601" t="s">
        <v>4381</v>
      </c>
      <c r="E1601" t="s">
        <v>4380</v>
      </c>
      <c r="F1601" s="46">
        <v>46097.325873136571</v>
      </c>
      <c r="G1601" s="46">
        <v>46097.325873136571</v>
      </c>
      <c r="H1601">
        <v>0</v>
      </c>
    </row>
    <row r="1602" spans="1:8" x14ac:dyDescent="0.15">
      <c r="A1602">
        <v>1601</v>
      </c>
      <c r="B1602" t="s">
        <v>339</v>
      </c>
      <c r="C1602" t="s">
        <v>353</v>
      </c>
      <c r="D1602" t="s">
        <v>4382</v>
      </c>
      <c r="E1602" t="s">
        <v>4383</v>
      </c>
      <c r="F1602" s="46">
        <v>46097.325873136571</v>
      </c>
      <c r="G1602" s="46">
        <v>46097.325873136571</v>
      </c>
      <c r="H1602">
        <v>0</v>
      </c>
    </row>
    <row r="1603" spans="1:8" x14ac:dyDescent="0.15">
      <c r="A1603">
        <v>1602</v>
      </c>
      <c r="B1603" t="s">
        <v>339</v>
      </c>
      <c r="C1603" t="s">
        <v>353</v>
      </c>
      <c r="D1603" t="s">
        <v>4384</v>
      </c>
      <c r="E1603" t="s">
        <v>4385</v>
      </c>
      <c r="F1603" s="46">
        <v>46097.325873136571</v>
      </c>
      <c r="G1603" s="46">
        <v>46097.325873136571</v>
      </c>
      <c r="H1603">
        <v>0</v>
      </c>
    </row>
    <row r="1604" spans="1:8" x14ac:dyDescent="0.15">
      <c r="A1604">
        <v>1603</v>
      </c>
      <c r="B1604" t="s">
        <v>339</v>
      </c>
      <c r="C1604" t="s">
        <v>353</v>
      </c>
      <c r="D1604" t="s">
        <v>4386</v>
      </c>
      <c r="E1604" t="s">
        <v>4387</v>
      </c>
      <c r="F1604" s="46">
        <v>46097.325873136571</v>
      </c>
      <c r="G1604" s="46">
        <v>46097.325873136571</v>
      </c>
      <c r="H1604">
        <v>0</v>
      </c>
    </row>
    <row r="1605" spans="1:8" x14ac:dyDescent="0.15">
      <c r="A1605">
        <v>1604</v>
      </c>
      <c r="B1605" t="s">
        <v>339</v>
      </c>
      <c r="C1605" t="s">
        <v>353</v>
      </c>
      <c r="D1605" t="s">
        <v>4388</v>
      </c>
      <c r="E1605" t="s">
        <v>4389</v>
      </c>
      <c r="F1605" s="46">
        <v>46097.325873136571</v>
      </c>
      <c r="G1605" s="46">
        <v>46097.325873136571</v>
      </c>
      <c r="H1605">
        <v>0</v>
      </c>
    </row>
    <row r="1606" spans="1:8" x14ac:dyDescent="0.15">
      <c r="A1606">
        <v>1605</v>
      </c>
      <c r="B1606" t="s">
        <v>339</v>
      </c>
      <c r="C1606" t="s">
        <v>353</v>
      </c>
      <c r="D1606" t="s">
        <v>4390</v>
      </c>
      <c r="E1606" t="s">
        <v>4389</v>
      </c>
      <c r="F1606" s="46">
        <v>46097.325873136571</v>
      </c>
      <c r="G1606" s="46">
        <v>46097.325873136571</v>
      </c>
      <c r="H1606">
        <v>0</v>
      </c>
    </row>
    <row r="1607" spans="1:8" x14ac:dyDescent="0.15">
      <c r="A1607">
        <v>1606</v>
      </c>
      <c r="B1607" t="s">
        <v>339</v>
      </c>
      <c r="C1607" t="s">
        <v>353</v>
      </c>
      <c r="D1607" t="s">
        <v>4391</v>
      </c>
      <c r="E1607" t="s">
        <v>4389</v>
      </c>
      <c r="F1607" s="46">
        <v>46097.325873136571</v>
      </c>
      <c r="G1607" s="46">
        <v>46097.325873136571</v>
      </c>
      <c r="H1607">
        <v>0</v>
      </c>
    </row>
    <row r="1608" spans="1:8" x14ac:dyDescent="0.15">
      <c r="A1608">
        <v>1607</v>
      </c>
      <c r="B1608" t="s">
        <v>339</v>
      </c>
      <c r="C1608" t="s">
        <v>353</v>
      </c>
      <c r="D1608" t="s">
        <v>4392</v>
      </c>
      <c r="E1608" t="s">
        <v>4389</v>
      </c>
      <c r="F1608" s="46">
        <v>46097.325873136571</v>
      </c>
      <c r="G1608" s="46">
        <v>46097.325873136571</v>
      </c>
      <c r="H1608">
        <v>0</v>
      </c>
    </row>
    <row r="1609" spans="1:8" x14ac:dyDescent="0.15">
      <c r="A1609">
        <v>1608</v>
      </c>
      <c r="B1609" t="s">
        <v>339</v>
      </c>
      <c r="C1609" t="s">
        <v>353</v>
      </c>
      <c r="D1609" t="s">
        <v>4393</v>
      </c>
      <c r="E1609" t="s">
        <v>4394</v>
      </c>
      <c r="F1609" s="46">
        <v>46097.325873136571</v>
      </c>
      <c r="G1609" s="46">
        <v>46097.325873310183</v>
      </c>
      <c r="H1609">
        <v>16</v>
      </c>
    </row>
    <row r="1610" spans="1:8" x14ac:dyDescent="0.15">
      <c r="A1610">
        <v>1609</v>
      </c>
      <c r="B1610" t="s">
        <v>339</v>
      </c>
      <c r="C1610" t="s">
        <v>353</v>
      </c>
      <c r="D1610" t="s">
        <v>4395</v>
      </c>
      <c r="E1610" t="s">
        <v>4394</v>
      </c>
      <c r="F1610" s="46">
        <v>46097.325873310183</v>
      </c>
      <c r="G1610" s="46">
        <v>46097.325873310183</v>
      </c>
      <c r="H1610">
        <v>0</v>
      </c>
    </row>
    <row r="1611" spans="1:8" x14ac:dyDescent="0.15">
      <c r="A1611">
        <v>1610</v>
      </c>
      <c r="B1611" t="s">
        <v>339</v>
      </c>
      <c r="C1611" t="s">
        <v>353</v>
      </c>
      <c r="D1611" t="s">
        <v>4396</v>
      </c>
      <c r="E1611" t="s">
        <v>4394</v>
      </c>
      <c r="F1611" s="46">
        <v>46097.325873310183</v>
      </c>
      <c r="G1611" s="46">
        <v>46097.325873310183</v>
      </c>
      <c r="H1611">
        <v>0</v>
      </c>
    </row>
    <row r="1612" spans="1:8" x14ac:dyDescent="0.15">
      <c r="A1612">
        <v>1611</v>
      </c>
      <c r="B1612" t="s">
        <v>339</v>
      </c>
      <c r="C1612" t="s">
        <v>353</v>
      </c>
      <c r="D1612" t="s">
        <v>4397</v>
      </c>
      <c r="E1612" t="s">
        <v>4394</v>
      </c>
      <c r="F1612" s="46">
        <v>46097.325873310183</v>
      </c>
      <c r="G1612" s="46">
        <v>46097.325873310183</v>
      </c>
      <c r="H1612">
        <v>0</v>
      </c>
    </row>
    <row r="1613" spans="1:8" x14ac:dyDescent="0.15">
      <c r="A1613">
        <v>1612</v>
      </c>
      <c r="B1613" t="s">
        <v>339</v>
      </c>
      <c r="C1613" t="s">
        <v>353</v>
      </c>
      <c r="D1613" t="s">
        <v>4398</v>
      </c>
      <c r="E1613" t="s">
        <v>4394</v>
      </c>
      <c r="F1613" s="46">
        <v>46097.325873310183</v>
      </c>
      <c r="G1613" s="46">
        <v>46097.325873310183</v>
      </c>
      <c r="H1613">
        <v>0</v>
      </c>
    </row>
    <row r="1614" spans="1:8" x14ac:dyDescent="0.15">
      <c r="A1614">
        <v>1613</v>
      </c>
      <c r="B1614" t="s">
        <v>339</v>
      </c>
      <c r="C1614" t="s">
        <v>353</v>
      </c>
      <c r="D1614" t="s">
        <v>4399</v>
      </c>
      <c r="E1614" t="s">
        <v>4400</v>
      </c>
      <c r="F1614" s="46">
        <v>46097.325873310183</v>
      </c>
      <c r="G1614" s="46">
        <v>46097.325873310183</v>
      </c>
      <c r="H1614">
        <v>0</v>
      </c>
    </row>
    <row r="1615" spans="1:8" x14ac:dyDescent="0.15">
      <c r="A1615">
        <v>1614</v>
      </c>
      <c r="B1615" t="s">
        <v>339</v>
      </c>
      <c r="C1615" t="s">
        <v>353</v>
      </c>
      <c r="D1615" t="s">
        <v>4401</v>
      </c>
      <c r="E1615" t="s">
        <v>4400</v>
      </c>
      <c r="F1615" s="46">
        <v>46097.325873310183</v>
      </c>
      <c r="G1615" s="46">
        <v>46097.325873310183</v>
      </c>
      <c r="H1615">
        <v>0</v>
      </c>
    </row>
    <row r="1616" spans="1:8" x14ac:dyDescent="0.15">
      <c r="A1616">
        <v>1615</v>
      </c>
      <c r="B1616" t="s">
        <v>339</v>
      </c>
      <c r="C1616" t="s">
        <v>353</v>
      </c>
      <c r="D1616" t="s">
        <v>4402</v>
      </c>
      <c r="E1616" t="s">
        <v>4403</v>
      </c>
      <c r="F1616" s="46">
        <v>46097.325873310183</v>
      </c>
      <c r="G1616" s="46">
        <v>46097.325873310183</v>
      </c>
      <c r="H1616">
        <v>0</v>
      </c>
    </row>
    <row r="1617" spans="1:8" x14ac:dyDescent="0.15">
      <c r="A1617">
        <v>1616</v>
      </c>
      <c r="B1617" t="s">
        <v>339</v>
      </c>
      <c r="C1617" t="s">
        <v>353</v>
      </c>
      <c r="D1617" t="s">
        <v>4404</v>
      </c>
      <c r="E1617" t="s">
        <v>4405</v>
      </c>
      <c r="F1617" s="46">
        <v>46097.325873310183</v>
      </c>
      <c r="G1617" s="46">
        <v>46097.325873310183</v>
      </c>
      <c r="H1617">
        <v>0</v>
      </c>
    </row>
    <row r="1618" spans="1:8" x14ac:dyDescent="0.15">
      <c r="A1618">
        <v>1617</v>
      </c>
      <c r="B1618" t="s">
        <v>339</v>
      </c>
      <c r="C1618" t="s">
        <v>353</v>
      </c>
      <c r="D1618" t="s">
        <v>4406</v>
      </c>
      <c r="E1618" t="s">
        <v>522</v>
      </c>
      <c r="F1618" s="46">
        <v>46097.325873310183</v>
      </c>
      <c r="G1618" s="46">
        <v>46097.325873310183</v>
      </c>
      <c r="H1618">
        <v>0</v>
      </c>
    </row>
    <row r="1619" spans="1:8" x14ac:dyDescent="0.15">
      <c r="A1619">
        <v>1618</v>
      </c>
      <c r="B1619" t="s">
        <v>339</v>
      </c>
      <c r="C1619" t="s">
        <v>353</v>
      </c>
      <c r="D1619" t="s">
        <v>4407</v>
      </c>
      <c r="E1619" t="s">
        <v>522</v>
      </c>
      <c r="F1619" s="46">
        <v>46097.325873310183</v>
      </c>
      <c r="G1619" s="46">
        <v>46097.325873310183</v>
      </c>
      <c r="H1619">
        <v>0</v>
      </c>
    </row>
    <row r="1620" spans="1:8" x14ac:dyDescent="0.15">
      <c r="A1620">
        <v>1619</v>
      </c>
      <c r="B1620" t="s">
        <v>339</v>
      </c>
      <c r="C1620" t="s">
        <v>353</v>
      </c>
      <c r="D1620" t="s">
        <v>4408</v>
      </c>
      <c r="E1620" t="s">
        <v>522</v>
      </c>
      <c r="F1620" s="46">
        <v>46097.325873495371</v>
      </c>
      <c r="G1620" s="46">
        <v>46097.325873495371</v>
      </c>
      <c r="H1620">
        <v>0</v>
      </c>
    </row>
    <row r="1621" spans="1:8" x14ac:dyDescent="0.15">
      <c r="A1621">
        <v>1620</v>
      </c>
      <c r="B1621" t="s">
        <v>339</v>
      </c>
      <c r="C1621" t="s">
        <v>353</v>
      </c>
      <c r="D1621" t="s">
        <v>4409</v>
      </c>
      <c r="E1621" t="s">
        <v>522</v>
      </c>
      <c r="F1621" s="46">
        <v>46097.325873495371</v>
      </c>
      <c r="G1621" s="46">
        <v>46097.325873495371</v>
      </c>
      <c r="H1621">
        <v>0</v>
      </c>
    </row>
    <row r="1622" spans="1:8" x14ac:dyDescent="0.15">
      <c r="A1622">
        <v>1621</v>
      </c>
      <c r="B1622" t="s">
        <v>339</v>
      </c>
      <c r="C1622" t="s">
        <v>353</v>
      </c>
      <c r="D1622" t="s">
        <v>4410</v>
      </c>
      <c r="E1622" t="s">
        <v>522</v>
      </c>
      <c r="F1622" s="46">
        <v>46097.325873495371</v>
      </c>
      <c r="G1622" s="46">
        <v>46097.325873495371</v>
      </c>
      <c r="H1622">
        <v>0</v>
      </c>
    </row>
    <row r="1623" spans="1:8" x14ac:dyDescent="0.15">
      <c r="A1623">
        <v>1622</v>
      </c>
      <c r="B1623" t="s">
        <v>339</v>
      </c>
      <c r="C1623" t="s">
        <v>353</v>
      </c>
      <c r="D1623" t="s">
        <v>4411</v>
      </c>
      <c r="E1623" t="s">
        <v>522</v>
      </c>
      <c r="F1623" s="46">
        <v>46097.325873495371</v>
      </c>
      <c r="G1623" s="46">
        <v>46097.325873495371</v>
      </c>
      <c r="H1623">
        <v>0</v>
      </c>
    </row>
    <row r="1624" spans="1:8" x14ac:dyDescent="0.15">
      <c r="A1624">
        <v>1623</v>
      </c>
      <c r="B1624" t="s">
        <v>339</v>
      </c>
      <c r="C1624" t="s">
        <v>353</v>
      </c>
      <c r="D1624" t="s">
        <v>4412</v>
      </c>
      <c r="E1624" t="s">
        <v>522</v>
      </c>
      <c r="F1624" s="46">
        <v>46097.325873495371</v>
      </c>
      <c r="G1624" s="46">
        <v>46097.325873495371</v>
      </c>
      <c r="H1624">
        <v>0</v>
      </c>
    </row>
    <row r="1625" spans="1:8" x14ac:dyDescent="0.15">
      <c r="A1625">
        <v>1624</v>
      </c>
      <c r="B1625" t="s">
        <v>339</v>
      </c>
      <c r="C1625" t="s">
        <v>353</v>
      </c>
      <c r="D1625" t="s">
        <v>4413</v>
      </c>
      <c r="E1625" t="s">
        <v>525</v>
      </c>
      <c r="F1625" s="46">
        <v>46097.325873495371</v>
      </c>
      <c r="G1625" s="46">
        <v>46097.325873495371</v>
      </c>
      <c r="H1625">
        <v>0</v>
      </c>
    </row>
    <row r="1626" spans="1:8" x14ac:dyDescent="0.15">
      <c r="A1626">
        <v>1625</v>
      </c>
      <c r="B1626" t="s">
        <v>339</v>
      </c>
      <c r="C1626" t="s">
        <v>353</v>
      </c>
      <c r="D1626" t="s">
        <v>4414</v>
      </c>
      <c r="E1626" t="s">
        <v>525</v>
      </c>
      <c r="F1626" s="46">
        <v>46097.325873495371</v>
      </c>
      <c r="G1626" s="46">
        <v>46097.325873495371</v>
      </c>
      <c r="H1626">
        <v>0</v>
      </c>
    </row>
    <row r="1627" spans="1:8" x14ac:dyDescent="0.15">
      <c r="A1627">
        <v>1626</v>
      </c>
      <c r="B1627" t="s">
        <v>339</v>
      </c>
      <c r="C1627" t="s">
        <v>353</v>
      </c>
      <c r="D1627" t="s">
        <v>4415</v>
      </c>
      <c r="E1627" t="s">
        <v>525</v>
      </c>
      <c r="F1627" s="46">
        <v>46097.325873495371</v>
      </c>
      <c r="G1627" s="46">
        <v>46097.325873495371</v>
      </c>
      <c r="H1627">
        <v>0</v>
      </c>
    </row>
    <row r="1628" spans="1:8" x14ac:dyDescent="0.15">
      <c r="A1628">
        <v>1627</v>
      </c>
      <c r="B1628" t="s">
        <v>339</v>
      </c>
      <c r="C1628" t="s">
        <v>353</v>
      </c>
      <c r="D1628" t="s">
        <v>4416</v>
      </c>
      <c r="E1628" t="s">
        <v>4417</v>
      </c>
      <c r="F1628" s="46">
        <v>46097.325873495371</v>
      </c>
      <c r="G1628" s="46">
        <v>46097.325873495371</v>
      </c>
      <c r="H1628">
        <v>0</v>
      </c>
    </row>
    <row r="1629" spans="1:8" x14ac:dyDescent="0.15">
      <c r="A1629">
        <v>1628</v>
      </c>
      <c r="B1629" t="s">
        <v>339</v>
      </c>
      <c r="C1629" t="s">
        <v>353</v>
      </c>
      <c r="D1629" t="s">
        <v>4418</v>
      </c>
      <c r="E1629" t="s">
        <v>4417</v>
      </c>
      <c r="F1629" s="46">
        <v>46097.325873495371</v>
      </c>
      <c r="G1629" s="46">
        <v>46097.325873495371</v>
      </c>
      <c r="H1629">
        <v>0</v>
      </c>
    </row>
    <row r="1630" spans="1:8" x14ac:dyDescent="0.15">
      <c r="A1630">
        <v>1629</v>
      </c>
      <c r="B1630" t="s">
        <v>339</v>
      </c>
      <c r="C1630" t="s">
        <v>353</v>
      </c>
      <c r="D1630" t="s">
        <v>4419</v>
      </c>
      <c r="E1630" t="s">
        <v>4417</v>
      </c>
      <c r="F1630" s="46">
        <v>46097.325873495371</v>
      </c>
      <c r="G1630" s="46">
        <v>46097.325873680558</v>
      </c>
      <c r="H1630">
        <v>15</v>
      </c>
    </row>
    <row r="1631" spans="1:8" x14ac:dyDescent="0.15">
      <c r="A1631">
        <v>1630</v>
      </c>
      <c r="B1631" t="s">
        <v>339</v>
      </c>
      <c r="C1631" t="s">
        <v>353</v>
      </c>
      <c r="D1631" t="s">
        <v>4420</v>
      </c>
      <c r="E1631" t="s">
        <v>4417</v>
      </c>
      <c r="F1631" s="46">
        <v>46097.325873680558</v>
      </c>
      <c r="G1631" s="46">
        <v>46097.325873680558</v>
      </c>
      <c r="H1631">
        <v>0</v>
      </c>
    </row>
    <row r="1632" spans="1:8" x14ac:dyDescent="0.15">
      <c r="A1632">
        <v>1631</v>
      </c>
      <c r="B1632" t="s">
        <v>339</v>
      </c>
      <c r="C1632" t="s">
        <v>353</v>
      </c>
      <c r="D1632" t="s">
        <v>4421</v>
      </c>
      <c r="E1632" t="s">
        <v>4417</v>
      </c>
      <c r="F1632" s="46">
        <v>46097.325873680558</v>
      </c>
      <c r="G1632" s="46">
        <v>46097.325873680558</v>
      </c>
      <c r="H1632">
        <v>0</v>
      </c>
    </row>
    <row r="1633" spans="1:8" x14ac:dyDescent="0.15">
      <c r="A1633">
        <v>1632</v>
      </c>
      <c r="B1633" t="s">
        <v>339</v>
      </c>
      <c r="C1633" t="s">
        <v>353</v>
      </c>
      <c r="D1633" t="s">
        <v>4422</v>
      </c>
      <c r="E1633" t="s">
        <v>4417</v>
      </c>
      <c r="F1633" s="46">
        <v>46097.325873680558</v>
      </c>
      <c r="G1633" s="46">
        <v>46097.325873680558</v>
      </c>
      <c r="H1633">
        <v>0</v>
      </c>
    </row>
    <row r="1634" spans="1:8" x14ac:dyDescent="0.15">
      <c r="A1634">
        <v>1633</v>
      </c>
      <c r="B1634" t="s">
        <v>339</v>
      </c>
      <c r="C1634" t="s">
        <v>353</v>
      </c>
      <c r="D1634" t="s">
        <v>4423</v>
      </c>
      <c r="E1634" t="s">
        <v>4417</v>
      </c>
      <c r="F1634" s="46">
        <v>46097.325873680558</v>
      </c>
      <c r="G1634" s="46">
        <v>46097.325873680558</v>
      </c>
      <c r="H1634">
        <v>0</v>
      </c>
    </row>
    <row r="1635" spans="1:8" x14ac:dyDescent="0.15">
      <c r="A1635">
        <v>1634</v>
      </c>
      <c r="B1635" t="s">
        <v>339</v>
      </c>
      <c r="C1635" t="s">
        <v>353</v>
      </c>
      <c r="D1635" t="s">
        <v>4424</v>
      </c>
      <c r="E1635" t="s">
        <v>4417</v>
      </c>
      <c r="F1635" s="46">
        <v>46097.325873680558</v>
      </c>
      <c r="G1635" s="46">
        <v>46097.325873680558</v>
      </c>
      <c r="H1635">
        <v>0</v>
      </c>
    </row>
    <row r="1636" spans="1:8" x14ac:dyDescent="0.15">
      <c r="A1636">
        <v>1635</v>
      </c>
      <c r="B1636" t="s">
        <v>339</v>
      </c>
      <c r="C1636" t="s">
        <v>353</v>
      </c>
      <c r="D1636" t="s">
        <v>4425</v>
      </c>
      <c r="E1636" t="s">
        <v>4417</v>
      </c>
      <c r="F1636" s="46">
        <v>46097.325873680558</v>
      </c>
      <c r="G1636" s="46">
        <v>46097.325873680558</v>
      </c>
      <c r="H1636">
        <v>0</v>
      </c>
    </row>
    <row r="1637" spans="1:8" x14ac:dyDescent="0.15">
      <c r="A1637">
        <v>1636</v>
      </c>
      <c r="B1637" t="s">
        <v>339</v>
      </c>
      <c r="C1637" t="s">
        <v>353</v>
      </c>
      <c r="D1637" t="s">
        <v>4426</v>
      </c>
      <c r="E1637" t="s">
        <v>4417</v>
      </c>
      <c r="F1637" s="46">
        <v>46097.325873680558</v>
      </c>
      <c r="G1637" s="46">
        <v>46097.325873680558</v>
      </c>
      <c r="H1637">
        <v>0</v>
      </c>
    </row>
    <row r="1638" spans="1:8" x14ac:dyDescent="0.15">
      <c r="A1638">
        <v>1637</v>
      </c>
      <c r="B1638" t="s">
        <v>339</v>
      </c>
      <c r="C1638" t="s">
        <v>353</v>
      </c>
      <c r="D1638" t="s">
        <v>4427</v>
      </c>
      <c r="E1638" t="s">
        <v>4428</v>
      </c>
      <c r="F1638" s="46">
        <v>46097.325873680558</v>
      </c>
      <c r="G1638" s="46">
        <v>46097.325873680558</v>
      </c>
      <c r="H1638">
        <v>0</v>
      </c>
    </row>
    <row r="1639" spans="1:8" x14ac:dyDescent="0.15">
      <c r="A1639">
        <v>1638</v>
      </c>
      <c r="B1639" t="s">
        <v>339</v>
      </c>
      <c r="C1639" t="s">
        <v>353</v>
      </c>
      <c r="D1639" t="s">
        <v>4429</v>
      </c>
      <c r="E1639" t="s">
        <v>4430</v>
      </c>
      <c r="F1639" s="46">
        <v>46097.325873680558</v>
      </c>
      <c r="G1639" s="46">
        <v>46097.325873680558</v>
      </c>
      <c r="H1639">
        <v>0</v>
      </c>
    </row>
    <row r="1640" spans="1:8" x14ac:dyDescent="0.15">
      <c r="A1640">
        <v>1639</v>
      </c>
      <c r="B1640" t="s">
        <v>339</v>
      </c>
      <c r="C1640" t="s">
        <v>353</v>
      </c>
      <c r="D1640" t="s">
        <v>4431</v>
      </c>
      <c r="E1640" t="s">
        <v>4430</v>
      </c>
      <c r="F1640" s="46">
        <v>46097.325873680558</v>
      </c>
      <c r="G1640" s="46">
        <v>46097.32587385417</v>
      </c>
      <c r="H1640">
        <v>16</v>
      </c>
    </row>
    <row r="1641" spans="1:8" x14ac:dyDescent="0.15">
      <c r="A1641">
        <v>1640</v>
      </c>
      <c r="B1641" t="s">
        <v>339</v>
      </c>
      <c r="C1641" t="s">
        <v>353</v>
      </c>
      <c r="D1641" t="s">
        <v>4432</v>
      </c>
      <c r="E1641" t="s">
        <v>4430</v>
      </c>
      <c r="F1641" s="46">
        <v>46097.32587385417</v>
      </c>
      <c r="G1641" s="46">
        <v>46097.32587385417</v>
      </c>
      <c r="H1641">
        <v>0</v>
      </c>
    </row>
    <row r="1642" spans="1:8" x14ac:dyDescent="0.15">
      <c r="A1642">
        <v>1641</v>
      </c>
      <c r="B1642" t="s">
        <v>339</v>
      </c>
      <c r="C1642" t="s">
        <v>353</v>
      </c>
      <c r="D1642" t="s">
        <v>4433</v>
      </c>
      <c r="E1642" t="s">
        <v>4434</v>
      </c>
      <c r="F1642" s="46">
        <v>46097.32587385417</v>
      </c>
      <c r="G1642" s="46">
        <v>46097.32587385417</v>
      </c>
      <c r="H1642">
        <v>0</v>
      </c>
    </row>
    <row r="1643" spans="1:8" x14ac:dyDescent="0.15">
      <c r="A1643">
        <v>1642</v>
      </c>
      <c r="B1643" t="s">
        <v>339</v>
      </c>
      <c r="C1643" t="s">
        <v>353</v>
      </c>
      <c r="D1643" t="s">
        <v>4435</v>
      </c>
      <c r="E1643" t="s">
        <v>4436</v>
      </c>
      <c r="F1643" s="46">
        <v>46097.32587385417</v>
      </c>
      <c r="G1643" s="46">
        <v>46097.32587385417</v>
      </c>
      <c r="H1643">
        <v>0</v>
      </c>
    </row>
    <row r="1644" spans="1:8" x14ac:dyDescent="0.15">
      <c r="A1644">
        <v>1643</v>
      </c>
      <c r="B1644" t="s">
        <v>339</v>
      </c>
      <c r="C1644" t="s">
        <v>353</v>
      </c>
      <c r="D1644" t="s">
        <v>4437</v>
      </c>
      <c r="E1644" t="s">
        <v>4436</v>
      </c>
      <c r="F1644" s="46">
        <v>46097.32587385417</v>
      </c>
      <c r="G1644" s="46">
        <v>46097.32587385417</v>
      </c>
      <c r="H1644">
        <v>0</v>
      </c>
    </row>
    <row r="1645" spans="1:8" x14ac:dyDescent="0.15">
      <c r="A1645">
        <v>1644</v>
      </c>
      <c r="B1645" t="s">
        <v>339</v>
      </c>
      <c r="C1645" t="s">
        <v>353</v>
      </c>
      <c r="D1645" t="s">
        <v>4438</v>
      </c>
      <c r="E1645" t="s">
        <v>4439</v>
      </c>
      <c r="F1645" s="46">
        <v>46097.32587385417</v>
      </c>
      <c r="G1645" s="46">
        <v>46097.32587385417</v>
      </c>
      <c r="H1645">
        <v>0</v>
      </c>
    </row>
    <row r="1646" spans="1:8" x14ac:dyDescent="0.15">
      <c r="A1646">
        <v>1645</v>
      </c>
      <c r="B1646" t="s">
        <v>339</v>
      </c>
      <c r="C1646" t="s">
        <v>353</v>
      </c>
      <c r="D1646" t="s">
        <v>4440</v>
      </c>
      <c r="E1646" t="s">
        <v>4439</v>
      </c>
      <c r="F1646" s="46">
        <v>46097.32587385417</v>
      </c>
      <c r="G1646" s="46">
        <v>46097.32587385417</v>
      </c>
      <c r="H1646">
        <v>0</v>
      </c>
    </row>
    <row r="1647" spans="1:8" x14ac:dyDescent="0.15">
      <c r="A1647">
        <v>1646</v>
      </c>
      <c r="B1647" t="s">
        <v>339</v>
      </c>
      <c r="C1647" t="s">
        <v>353</v>
      </c>
      <c r="D1647" t="s">
        <v>4441</v>
      </c>
      <c r="E1647" t="s">
        <v>4442</v>
      </c>
      <c r="F1647" s="46">
        <v>46097.32587385417</v>
      </c>
      <c r="G1647" s="46">
        <v>46097.32587385417</v>
      </c>
      <c r="H1647">
        <v>0</v>
      </c>
    </row>
    <row r="1648" spans="1:8" x14ac:dyDescent="0.15">
      <c r="A1648">
        <v>1647</v>
      </c>
      <c r="B1648" t="s">
        <v>339</v>
      </c>
      <c r="C1648" t="s">
        <v>353</v>
      </c>
      <c r="D1648" t="s">
        <v>4443</v>
      </c>
      <c r="E1648" t="s">
        <v>526</v>
      </c>
      <c r="F1648" s="46">
        <v>46097.32587385417</v>
      </c>
      <c r="G1648" s="46">
        <v>46097.32587385417</v>
      </c>
      <c r="H1648">
        <v>0</v>
      </c>
    </row>
    <row r="1649" spans="1:8" x14ac:dyDescent="0.15">
      <c r="A1649">
        <v>1648</v>
      </c>
      <c r="B1649" t="s">
        <v>339</v>
      </c>
      <c r="C1649" t="s">
        <v>353</v>
      </c>
      <c r="D1649" t="s">
        <v>4444</v>
      </c>
      <c r="E1649" t="s">
        <v>4445</v>
      </c>
      <c r="F1649" s="46">
        <v>46097.32587385417</v>
      </c>
      <c r="G1649" s="46">
        <v>46097.32587385417</v>
      </c>
      <c r="H1649">
        <v>0</v>
      </c>
    </row>
    <row r="1650" spans="1:8" x14ac:dyDescent="0.15">
      <c r="A1650">
        <v>1649</v>
      </c>
      <c r="B1650" t="s">
        <v>339</v>
      </c>
      <c r="C1650" t="s">
        <v>353</v>
      </c>
      <c r="D1650" t="s">
        <v>4446</v>
      </c>
      <c r="E1650" t="s">
        <v>4447</v>
      </c>
      <c r="F1650" s="46">
        <v>46097.32587385417</v>
      </c>
      <c r="G1650" s="46">
        <v>46097.32587385417</v>
      </c>
      <c r="H1650">
        <v>0</v>
      </c>
    </row>
    <row r="1651" spans="1:8" x14ac:dyDescent="0.15">
      <c r="A1651">
        <v>1650</v>
      </c>
      <c r="B1651" t="s">
        <v>339</v>
      </c>
      <c r="C1651" t="s">
        <v>353</v>
      </c>
      <c r="D1651" t="s">
        <v>4448</v>
      </c>
      <c r="E1651" t="s">
        <v>4449</v>
      </c>
      <c r="F1651" s="46">
        <v>46097.32587385417</v>
      </c>
      <c r="G1651" s="46">
        <v>46097.32587403935</v>
      </c>
      <c r="H1651">
        <v>15</v>
      </c>
    </row>
    <row r="1652" spans="1:8" x14ac:dyDescent="0.15">
      <c r="A1652">
        <v>1651</v>
      </c>
      <c r="B1652" t="s">
        <v>339</v>
      </c>
      <c r="C1652" t="s">
        <v>353</v>
      </c>
      <c r="D1652" t="s">
        <v>4450</v>
      </c>
      <c r="E1652" t="s">
        <v>4451</v>
      </c>
      <c r="F1652" s="46">
        <v>46097.32587403935</v>
      </c>
      <c r="G1652" s="46">
        <v>46097.32587403935</v>
      </c>
      <c r="H1652">
        <v>0</v>
      </c>
    </row>
    <row r="1653" spans="1:8" x14ac:dyDescent="0.15">
      <c r="A1653">
        <v>1652</v>
      </c>
      <c r="B1653" t="s">
        <v>339</v>
      </c>
      <c r="C1653" t="s">
        <v>353</v>
      </c>
      <c r="D1653" t="s">
        <v>4452</v>
      </c>
      <c r="E1653" t="s">
        <v>4451</v>
      </c>
      <c r="F1653" s="46">
        <v>46097.32587403935</v>
      </c>
      <c r="G1653" s="46">
        <v>46097.32587403935</v>
      </c>
      <c r="H1653">
        <v>0</v>
      </c>
    </row>
    <row r="1654" spans="1:8" x14ac:dyDescent="0.15">
      <c r="A1654">
        <v>1653</v>
      </c>
      <c r="B1654" t="s">
        <v>339</v>
      </c>
      <c r="C1654" t="s">
        <v>353</v>
      </c>
      <c r="D1654" t="s">
        <v>4453</v>
      </c>
      <c r="E1654" t="s">
        <v>4454</v>
      </c>
      <c r="F1654" s="46">
        <v>46097.32587403935</v>
      </c>
      <c r="G1654" s="46">
        <v>46097.32587403935</v>
      </c>
      <c r="H1654">
        <v>0</v>
      </c>
    </row>
    <row r="1655" spans="1:8" x14ac:dyDescent="0.15">
      <c r="A1655">
        <v>1654</v>
      </c>
      <c r="B1655" t="s">
        <v>339</v>
      </c>
      <c r="C1655" t="s">
        <v>353</v>
      </c>
      <c r="D1655" t="s">
        <v>4455</v>
      </c>
      <c r="E1655" t="s">
        <v>4456</v>
      </c>
      <c r="F1655" s="46">
        <v>46097.32587403935</v>
      </c>
      <c r="G1655" s="46">
        <v>46097.32587403935</v>
      </c>
      <c r="H1655">
        <v>0</v>
      </c>
    </row>
    <row r="1656" spans="1:8" x14ac:dyDescent="0.15">
      <c r="A1656">
        <v>1655</v>
      </c>
      <c r="B1656" t="s">
        <v>339</v>
      </c>
      <c r="C1656" t="s">
        <v>353</v>
      </c>
      <c r="D1656" t="s">
        <v>4457</v>
      </c>
      <c r="E1656" t="s">
        <v>528</v>
      </c>
      <c r="F1656" s="46">
        <v>46097.32587403935</v>
      </c>
      <c r="G1656" s="46">
        <v>46097.32587403935</v>
      </c>
      <c r="H1656">
        <v>0</v>
      </c>
    </row>
    <row r="1657" spans="1:8" x14ac:dyDescent="0.15">
      <c r="A1657">
        <v>1656</v>
      </c>
      <c r="B1657" t="s">
        <v>339</v>
      </c>
      <c r="C1657" t="s">
        <v>353</v>
      </c>
      <c r="D1657" t="s">
        <v>4458</v>
      </c>
      <c r="E1657" t="s">
        <v>528</v>
      </c>
      <c r="F1657" s="46">
        <v>46097.32587403935</v>
      </c>
      <c r="G1657" s="46">
        <v>46097.32587403935</v>
      </c>
      <c r="H1657">
        <v>0</v>
      </c>
    </row>
    <row r="1658" spans="1:8" x14ac:dyDescent="0.15">
      <c r="A1658">
        <v>1657</v>
      </c>
      <c r="B1658" t="s">
        <v>339</v>
      </c>
      <c r="C1658" t="s">
        <v>353</v>
      </c>
      <c r="D1658" t="s">
        <v>4459</v>
      </c>
      <c r="E1658" t="s">
        <v>4460</v>
      </c>
      <c r="F1658" s="46">
        <v>46097.32587403935</v>
      </c>
      <c r="G1658" s="46">
        <v>46097.32587403935</v>
      </c>
      <c r="H1658">
        <v>0</v>
      </c>
    </row>
    <row r="1659" spans="1:8" x14ac:dyDescent="0.15">
      <c r="A1659">
        <v>1658</v>
      </c>
      <c r="B1659" t="s">
        <v>339</v>
      </c>
      <c r="C1659" t="s">
        <v>353</v>
      </c>
      <c r="D1659" t="s">
        <v>4461</v>
      </c>
      <c r="E1659" t="s">
        <v>4462</v>
      </c>
      <c r="F1659" s="46">
        <v>46097.32587403935</v>
      </c>
      <c r="G1659" s="46">
        <v>46097.32587403935</v>
      </c>
      <c r="H1659">
        <v>0</v>
      </c>
    </row>
    <row r="1660" spans="1:8" x14ac:dyDescent="0.15">
      <c r="A1660">
        <v>1659</v>
      </c>
      <c r="B1660" t="s">
        <v>339</v>
      </c>
      <c r="C1660" t="s">
        <v>353</v>
      </c>
      <c r="D1660" t="s">
        <v>4463</v>
      </c>
      <c r="E1660" t="s">
        <v>4464</v>
      </c>
      <c r="F1660" s="46">
        <v>46097.32587403935</v>
      </c>
      <c r="G1660" s="46">
        <v>46097.32587403935</v>
      </c>
      <c r="H1660">
        <v>0</v>
      </c>
    </row>
    <row r="1661" spans="1:8" x14ac:dyDescent="0.15">
      <c r="A1661">
        <v>1660</v>
      </c>
      <c r="B1661" t="s">
        <v>339</v>
      </c>
      <c r="C1661" t="s">
        <v>353</v>
      </c>
      <c r="D1661" t="s">
        <v>4465</v>
      </c>
      <c r="E1661" t="s">
        <v>4466</v>
      </c>
      <c r="F1661" s="46">
        <v>46097.32587403935</v>
      </c>
      <c r="G1661" s="46">
        <v>46097.325874224538</v>
      </c>
      <c r="H1661">
        <v>16</v>
      </c>
    </row>
    <row r="1662" spans="1:8" x14ac:dyDescent="0.15">
      <c r="A1662">
        <v>1661</v>
      </c>
      <c r="B1662" t="s">
        <v>339</v>
      </c>
      <c r="C1662" t="s">
        <v>353</v>
      </c>
      <c r="D1662" t="s">
        <v>4467</v>
      </c>
      <c r="E1662" t="s">
        <v>4466</v>
      </c>
      <c r="F1662" s="46">
        <v>46097.325874224538</v>
      </c>
      <c r="G1662" s="46">
        <v>46097.325874224538</v>
      </c>
      <c r="H1662">
        <v>0</v>
      </c>
    </row>
    <row r="1663" spans="1:8" x14ac:dyDescent="0.15">
      <c r="A1663">
        <v>1662</v>
      </c>
      <c r="B1663" t="s">
        <v>339</v>
      </c>
      <c r="C1663" t="s">
        <v>353</v>
      </c>
      <c r="D1663" t="s">
        <v>4468</v>
      </c>
      <c r="E1663" t="s">
        <v>4466</v>
      </c>
      <c r="F1663" s="46">
        <v>46097.325874224538</v>
      </c>
      <c r="G1663" s="46">
        <v>46097.325874224538</v>
      </c>
      <c r="H1663">
        <v>0</v>
      </c>
    </row>
    <row r="1664" spans="1:8" x14ac:dyDescent="0.15">
      <c r="A1664">
        <v>1663</v>
      </c>
      <c r="B1664" t="s">
        <v>339</v>
      </c>
      <c r="C1664" t="s">
        <v>353</v>
      </c>
      <c r="D1664" t="s">
        <v>4469</v>
      </c>
      <c r="E1664" t="s">
        <v>4466</v>
      </c>
      <c r="F1664" s="46">
        <v>46097.325874224538</v>
      </c>
      <c r="G1664" s="46">
        <v>46097.325874224538</v>
      </c>
      <c r="H1664">
        <v>0</v>
      </c>
    </row>
    <row r="1665" spans="1:8" x14ac:dyDescent="0.15">
      <c r="A1665">
        <v>1664</v>
      </c>
      <c r="B1665" t="s">
        <v>339</v>
      </c>
      <c r="C1665" t="s">
        <v>353</v>
      </c>
      <c r="D1665" t="s">
        <v>4470</v>
      </c>
      <c r="E1665" t="s">
        <v>4471</v>
      </c>
      <c r="F1665" s="46">
        <v>46097.325874224538</v>
      </c>
      <c r="G1665" s="46">
        <v>46097.325874224538</v>
      </c>
      <c r="H1665">
        <v>0</v>
      </c>
    </row>
    <row r="1666" spans="1:8" x14ac:dyDescent="0.15">
      <c r="A1666">
        <v>1665</v>
      </c>
      <c r="B1666" t="s">
        <v>339</v>
      </c>
      <c r="C1666" t="s">
        <v>353</v>
      </c>
      <c r="D1666" t="s">
        <v>4472</v>
      </c>
      <c r="E1666" t="s">
        <v>529</v>
      </c>
      <c r="F1666" s="46">
        <v>46097.325874224538</v>
      </c>
      <c r="G1666" s="46">
        <v>46097.325874224538</v>
      </c>
      <c r="H1666">
        <v>0</v>
      </c>
    </row>
    <row r="1667" spans="1:8" x14ac:dyDescent="0.15">
      <c r="A1667">
        <v>1666</v>
      </c>
      <c r="B1667" t="s">
        <v>339</v>
      </c>
      <c r="C1667" t="s">
        <v>353</v>
      </c>
      <c r="D1667" t="s">
        <v>4473</v>
      </c>
      <c r="E1667" t="s">
        <v>529</v>
      </c>
      <c r="F1667" s="46">
        <v>46097.325874224538</v>
      </c>
      <c r="G1667" s="46">
        <v>46097.325874224538</v>
      </c>
      <c r="H1667">
        <v>0</v>
      </c>
    </row>
    <row r="1668" spans="1:8" x14ac:dyDescent="0.15">
      <c r="A1668">
        <v>1667</v>
      </c>
      <c r="B1668" t="s">
        <v>339</v>
      </c>
      <c r="C1668" t="s">
        <v>353</v>
      </c>
      <c r="D1668" t="s">
        <v>4474</v>
      </c>
      <c r="E1668" t="s">
        <v>529</v>
      </c>
      <c r="F1668" s="46">
        <v>46097.325874224538</v>
      </c>
      <c r="G1668" s="46">
        <v>46097.325874224538</v>
      </c>
      <c r="H1668">
        <v>0</v>
      </c>
    </row>
    <row r="1669" spans="1:8" x14ac:dyDescent="0.15">
      <c r="A1669">
        <v>1668</v>
      </c>
      <c r="B1669" t="s">
        <v>339</v>
      </c>
      <c r="C1669" t="s">
        <v>353</v>
      </c>
      <c r="D1669" t="s">
        <v>4475</v>
      </c>
      <c r="E1669" t="s">
        <v>529</v>
      </c>
      <c r="F1669" s="46">
        <v>46097.325874224538</v>
      </c>
      <c r="G1669" s="46">
        <v>46097.325874224538</v>
      </c>
      <c r="H1669">
        <v>0</v>
      </c>
    </row>
    <row r="1670" spans="1:8" x14ac:dyDescent="0.15">
      <c r="A1670">
        <v>1669</v>
      </c>
      <c r="B1670" t="s">
        <v>339</v>
      </c>
      <c r="C1670" t="s">
        <v>353</v>
      </c>
      <c r="D1670" t="s">
        <v>4476</v>
      </c>
      <c r="E1670" t="s">
        <v>532</v>
      </c>
      <c r="F1670" s="46">
        <v>46097.325874224538</v>
      </c>
      <c r="G1670" s="46">
        <v>46097.325874224538</v>
      </c>
      <c r="H1670">
        <v>0</v>
      </c>
    </row>
    <row r="1671" spans="1:8" x14ac:dyDescent="0.15">
      <c r="A1671">
        <v>1670</v>
      </c>
      <c r="B1671" t="s">
        <v>339</v>
      </c>
      <c r="C1671" t="s">
        <v>353</v>
      </c>
      <c r="D1671" t="s">
        <v>4477</v>
      </c>
      <c r="E1671" t="s">
        <v>532</v>
      </c>
      <c r="F1671" s="46">
        <v>46097.325874224538</v>
      </c>
      <c r="G1671" s="46">
        <v>46097.325874224538</v>
      </c>
      <c r="H1671">
        <v>0</v>
      </c>
    </row>
    <row r="1672" spans="1:8" x14ac:dyDescent="0.15">
      <c r="A1672">
        <v>1671</v>
      </c>
      <c r="B1672" t="s">
        <v>339</v>
      </c>
      <c r="C1672" t="s">
        <v>353</v>
      </c>
      <c r="D1672" t="s">
        <v>4478</v>
      </c>
      <c r="E1672" t="s">
        <v>533</v>
      </c>
      <c r="F1672" s="46">
        <v>46097.325874224538</v>
      </c>
      <c r="G1672" s="46">
        <v>46097.32587439815</v>
      </c>
      <c r="H1672">
        <v>16</v>
      </c>
    </row>
    <row r="1673" spans="1:8" x14ac:dyDescent="0.15">
      <c r="A1673">
        <v>1672</v>
      </c>
      <c r="B1673" t="s">
        <v>339</v>
      </c>
      <c r="C1673" t="s">
        <v>353</v>
      </c>
      <c r="D1673" t="s">
        <v>4479</v>
      </c>
      <c r="E1673" t="s">
        <v>533</v>
      </c>
      <c r="F1673" s="46">
        <v>46097.32587439815</v>
      </c>
      <c r="G1673" s="46">
        <v>46097.32587439815</v>
      </c>
      <c r="H1673">
        <v>0</v>
      </c>
    </row>
    <row r="1674" spans="1:8" x14ac:dyDescent="0.15">
      <c r="A1674">
        <v>1673</v>
      </c>
      <c r="B1674" t="s">
        <v>339</v>
      </c>
      <c r="C1674" t="s">
        <v>353</v>
      </c>
      <c r="D1674" t="s">
        <v>4480</v>
      </c>
      <c r="E1674" t="s">
        <v>533</v>
      </c>
      <c r="F1674" s="46">
        <v>46097.32587439815</v>
      </c>
      <c r="G1674" s="46">
        <v>46097.32587439815</v>
      </c>
      <c r="H1674">
        <v>0</v>
      </c>
    </row>
    <row r="1675" spans="1:8" x14ac:dyDescent="0.15">
      <c r="A1675">
        <v>1674</v>
      </c>
      <c r="B1675" t="s">
        <v>339</v>
      </c>
      <c r="C1675" t="s">
        <v>353</v>
      </c>
      <c r="D1675" t="s">
        <v>4481</v>
      </c>
      <c r="E1675" t="s">
        <v>533</v>
      </c>
      <c r="F1675" s="46">
        <v>46097.32587439815</v>
      </c>
      <c r="G1675" s="46">
        <v>46097.32587439815</v>
      </c>
      <c r="H1675">
        <v>0</v>
      </c>
    </row>
    <row r="1676" spans="1:8" x14ac:dyDescent="0.15">
      <c r="A1676">
        <v>1675</v>
      </c>
      <c r="B1676" t="s">
        <v>339</v>
      </c>
      <c r="C1676" t="s">
        <v>353</v>
      </c>
      <c r="D1676" t="s">
        <v>4482</v>
      </c>
      <c r="E1676" t="s">
        <v>533</v>
      </c>
      <c r="F1676" s="46">
        <v>46097.32587439815</v>
      </c>
      <c r="G1676" s="46">
        <v>46097.32587439815</v>
      </c>
      <c r="H1676">
        <v>0</v>
      </c>
    </row>
    <row r="1677" spans="1:8" x14ac:dyDescent="0.15">
      <c r="A1677">
        <v>1676</v>
      </c>
      <c r="B1677" t="s">
        <v>339</v>
      </c>
      <c r="C1677" t="s">
        <v>353</v>
      </c>
      <c r="D1677" t="s">
        <v>4483</v>
      </c>
      <c r="E1677" t="s">
        <v>533</v>
      </c>
      <c r="F1677" s="46">
        <v>46097.32587439815</v>
      </c>
      <c r="G1677" s="46">
        <v>46097.32587439815</v>
      </c>
      <c r="H1677">
        <v>0</v>
      </c>
    </row>
    <row r="1678" spans="1:8" x14ac:dyDescent="0.15">
      <c r="A1678">
        <v>1677</v>
      </c>
      <c r="B1678" t="s">
        <v>339</v>
      </c>
      <c r="C1678" t="s">
        <v>353</v>
      </c>
      <c r="D1678" t="s">
        <v>4484</v>
      </c>
      <c r="E1678" t="s">
        <v>533</v>
      </c>
      <c r="F1678" s="46">
        <v>46097.32587439815</v>
      </c>
      <c r="G1678" s="46">
        <v>46097.32587439815</v>
      </c>
      <c r="H1678">
        <v>0</v>
      </c>
    </row>
    <row r="1679" spans="1:8" x14ac:dyDescent="0.15">
      <c r="A1679">
        <v>1678</v>
      </c>
      <c r="B1679" t="s">
        <v>339</v>
      </c>
      <c r="C1679" t="s">
        <v>353</v>
      </c>
      <c r="D1679" t="s">
        <v>4485</v>
      </c>
      <c r="E1679" t="s">
        <v>534</v>
      </c>
      <c r="F1679" s="46">
        <v>46097.32587439815</v>
      </c>
      <c r="G1679" s="46">
        <v>46097.32587439815</v>
      </c>
      <c r="H1679">
        <v>0</v>
      </c>
    </row>
    <row r="1680" spans="1:8" x14ac:dyDescent="0.15">
      <c r="A1680">
        <v>1679</v>
      </c>
      <c r="B1680" t="s">
        <v>339</v>
      </c>
      <c r="C1680" t="s">
        <v>353</v>
      </c>
      <c r="D1680" t="s">
        <v>4486</v>
      </c>
      <c r="E1680" t="s">
        <v>536</v>
      </c>
      <c r="F1680" s="46">
        <v>46097.32587439815</v>
      </c>
      <c r="G1680" s="46">
        <v>46097.32587439815</v>
      </c>
      <c r="H1680">
        <v>0</v>
      </c>
    </row>
    <row r="1681" spans="1:8" x14ac:dyDescent="0.15">
      <c r="A1681">
        <v>1680</v>
      </c>
      <c r="B1681" t="s">
        <v>339</v>
      </c>
      <c r="C1681" t="s">
        <v>353</v>
      </c>
      <c r="D1681" t="s">
        <v>4487</v>
      </c>
      <c r="E1681" t="s">
        <v>536</v>
      </c>
      <c r="F1681" s="46">
        <v>46097.32587439815</v>
      </c>
      <c r="G1681" s="46">
        <v>46097.32587439815</v>
      </c>
      <c r="H1681">
        <v>0</v>
      </c>
    </row>
    <row r="1682" spans="1:8" x14ac:dyDescent="0.15">
      <c r="A1682">
        <v>1681</v>
      </c>
      <c r="B1682" t="s">
        <v>339</v>
      </c>
      <c r="C1682" t="s">
        <v>353</v>
      </c>
      <c r="D1682" t="s">
        <v>4488</v>
      </c>
      <c r="E1682" t="s">
        <v>536</v>
      </c>
      <c r="F1682" s="46">
        <v>46097.32587439815</v>
      </c>
      <c r="G1682" s="46">
        <v>46097.32587458333</v>
      </c>
      <c r="H1682">
        <v>15</v>
      </c>
    </row>
    <row r="1683" spans="1:8" x14ac:dyDescent="0.15">
      <c r="A1683">
        <v>1682</v>
      </c>
      <c r="B1683" t="s">
        <v>339</v>
      </c>
      <c r="C1683" t="s">
        <v>353</v>
      </c>
      <c r="D1683" t="s">
        <v>4489</v>
      </c>
      <c r="E1683" t="s">
        <v>536</v>
      </c>
      <c r="F1683" s="46">
        <v>46097.32587458333</v>
      </c>
      <c r="G1683" s="46">
        <v>46097.32587458333</v>
      </c>
      <c r="H1683">
        <v>0</v>
      </c>
    </row>
    <row r="1684" spans="1:8" x14ac:dyDescent="0.15">
      <c r="A1684">
        <v>1683</v>
      </c>
      <c r="B1684" t="s">
        <v>339</v>
      </c>
      <c r="C1684" t="s">
        <v>353</v>
      </c>
      <c r="D1684" t="s">
        <v>4490</v>
      </c>
      <c r="E1684" t="s">
        <v>536</v>
      </c>
      <c r="F1684" s="46">
        <v>46097.32587458333</v>
      </c>
      <c r="G1684" s="46">
        <v>46097.32587458333</v>
      </c>
      <c r="H1684">
        <v>0</v>
      </c>
    </row>
    <row r="1685" spans="1:8" x14ac:dyDescent="0.15">
      <c r="A1685">
        <v>1684</v>
      </c>
      <c r="B1685" t="s">
        <v>339</v>
      </c>
      <c r="C1685" t="s">
        <v>353</v>
      </c>
      <c r="D1685" t="s">
        <v>4491</v>
      </c>
      <c r="E1685" t="s">
        <v>4492</v>
      </c>
      <c r="F1685" s="46">
        <v>46097.32587458333</v>
      </c>
      <c r="G1685" s="46">
        <v>46097.32587458333</v>
      </c>
      <c r="H1685">
        <v>0</v>
      </c>
    </row>
    <row r="1686" spans="1:8" x14ac:dyDescent="0.15">
      <c r="A1686">
        <v>1685</v>
      </c>
      <c r="B1686" t="s">
        <v>339</v>
      </c>
      <c r="C1686" t="s">
        <v>353</v>
      </c>
      <c r="D1686" t="s">
        <v>4493</v>
      </c>
      <c r="E1686" t="s">
        <v>4492</v>
      </c>
      <c r="F1686" s="46">
        <v>46097.32587458333</v>
      </c>
      <c r="G1686" s="46">
        <v>46097.32587458333</v>
      </c>
      <c r="H1686">
        <v>0</v>
      </c>
    </row>
    <row r="1687" spans="1:8" x14ac:dyDescent="0.15">
      <c r="A1687">
        <v>1686</v>
      </c>
      <c r="B1687" t="s">
        <v>339</v>
      </c>
      <c r="C1687" t="s">
        <v>353</v>
      </c>
      <c r="D1687" t="s">
        <v>4494</v>
      </c>
      <c r="E1687" t="s">
        <v>4495</v>
      </c>
      <c r="F1687" s="46">
        <v>46097.32587458333</v>
      </c>
      <c r="G1687" s="46">
        <v>46097.32587458333</v>
      </c>
      <c r="H1687">
        <v>0</v>
      </c>
    </row>
    <row r="1688" spans="1:8" x14ac:dyDescent="0.15">
      <c r="A1688">
        <v>1687</v>
      </c>
      <c r="B1688" t="s">
        <v>339</v>
      </c>
      <c r="C1688" t="s">
        <v>353</v>
      </c>
      <c r="D1688" t="s">
        <v>4496</v>
      </c>
      <c r="E1688" t="s">
        <v>4495</v>
      </c>
      <c r="F1688" s="46">
        <v>46097.32587458333</v>
      </c>
      <c r="G1688" s="46">
        <v>46097.32587458333</v>
      </c>
      <c r="H1688">
        <v>0</v>
      </c>
    </row>
    <row r="1689" spans="1:8" x14ac:dyDescent="0.15">
      <c r="A1689">
        <v>1688</v>
      </c>
      <c r="B1689" t="s">
        <v>339</v>
      </c>
      <c r="C1689" t="s">
        <v>353</v>
      </c>
      <c r="D1689" t="s">
        <v>4497</v>
      </c>
      <c r="E1689" t="s">
        <v>4498</v>
      </c>
      <c r="F1689" s="46">
        <v>46097.32587458333</v>
      </c>
      <c r="G1689" s="46">
        <v>46097.32587458333</v>
      </c>
      <c r="H1689">
        <v>0</v>
      </c>
    </row>
    <row r="1690" spans="1:8" x14ac:dyDescent="0.15">
      <c r="A1690">
        <v>1689</v>
      </c>
      <c r="B1690" t="s">
        <v>339</v>
      </c>
      <c r="C1690" t="s">
        <v>353</v>
      </c>
      <c r="D1690" t="s">
        <v>4499</v>
      </c>
      <c r="E1690" t="s">
        <v>4500</v>
      </c>
      <c r="F1690" s="46">
        <v>46097.32587458333</v>
      </c>
      <c r="G1690" s="46">
        <v>46097.32587458333</v>
      </c>
      <c r="H1690">
        <v>0</v>
      </c>
    </row>
    <row r="1691" spans="1:8" x14ac:dyDescent="0.15">
      <c r="A1691">
        <v>1690</v>
      </c>
      <c r="B1691" t="s">
        <v>339</v>
      </c>
      <c r="C1691" t="s">
        <v>353</v>
      </c>
      <c r="D1691" t="s">
        <v>4501</v>
      </c>
      <c r="E1691" t="s">
        <v>4502</v>
      </c>
      <c r="F1691" s="46">
        <v>46097.32587458333</v>
      </c>
      <c r="G1691" s="46">
        <v>46097.32587458333</v>
      </c>
      <c r="H1691">
        <v>0</v>
      </c>
    </row>
    <row r="1692" spans="1:8" x14ac:dyDescent="0.15">
      <c r="A1692">
        <v>1691</v>
      </c>
      <c r="B1692" t="s">
        <v>339</v>
      </c>
      <c r="C1692" t="s">
        <v>353</v>
      </c>
      <c r="D1692" t="s">
        <v>4503</v>
      </c>
      <c r="E1692" t="s">
        <v>4502</v>
      </c>
      <c r="F1692" s="46">
        <v>46097.32587458333</v>
      </c>
      <c r="G1692" s="46">
        <v>46097.325874756942</v>
      </c>
      <c r="H1692">
        <v>16</v>
      </c>
    </row>
    <row r="1693" spans="1:8" x14ac:dyDescent="0.15">
      <c r="A1693">
        <v>1692</v>
      </c>
      <c r="B1693" t="s">
        <v>339</v>
      </c>
      <c r="C1693" t="s">
        <v>353</v>
      </c>
      <c r="D1693" t="s">
        <v>4504</v>
      </c>
      <c r="E1693" t="s">
        <v>4502</v>
      </c>
      <c r="F1693" s="46">
        <v>46097.325874756942</v>
      </c>
      <c r="G1693" s="46">
        <v>46097.325874756942</v>
      </c>
      <c r="H1693">
        <v>0</v>
      </c>
    </row>
    <row r="1694" spans="1:8" x14ac:dyDescent="0.15">
      <c r="A1694">
        <v>1693</v>
      </c>
      <c r="B1694" t="s">
        <v>339</v>
      </c>
      <c r="C1694" t="s">
        <v>353</v>
      </c>
      <c r="D1694" t="s">
        <v>4505</v>
      </c>
      <c r="E1694" t="s">
        <v>4506</v>
      </c>
      <c r="F1694" s="46">
        <v>46097.325874756942</v>
      </c>
      <c r="G1694" s="46">
        <v>46097.325874756942</v>
      </c>
      <c r="H1694">
        <v>0</v>
      </c>
    </row>
    <row r="1695" spans="1:8" x14ac:dyDescent="0.15">
      <c r="A1695">
        <v>1694</v>
      </c>
      <c r="B1695" t="s">
        <v>339</v>
      </c>
      <c r="C1695" t="s">
        <v>353</v>
      </c>
      <c r="D1695" t="s">
        <v>4507</v>
      </c>
      <c r="E1695" t="s">
        <v>4508</v>
      </c>
      <c r="F1695" s="46">
        <v>46097.325874756942</v>
      </c>
      <c r="G1695" s="46">
        <v>46097.325874756942</v>
      </c>
      <c r="H1695">
        <v>0</v>
      </c>
    </row>
    <row r="1696" spans="1:8" x14ac:dyDescent="0.15">
      <c r="A1696">
        <v>1695</v>
      </c>
      <c r="B1696" t="s">
        <v>339</v>
      </c>
      <c r="C1696" t="s">
        <v>353</v>
      </c>
      <c r="D1696" t="s">
        <v>4509</v>
      </c>
      <c r="E1696" t="s">
        <v>4508</v>
      </c>
      <c r="F1696" s="46">
        <v>46097.325874756942</v>
      </c>
      <c r="G1696" s="46">
        <v>46097.325874756942</v>
      </c>
      <c r="H1696">
        <v>0</v>
      </c>
    </row>
    <row r="1697" spans="1:8" x14ac:dyDescent="0.15">
      <c r="A1697">
        <v>1696</v>
      </c>
      <c r="B1697" t="s">
        <v>339</v>
      </c>
      <c r="C1697" t="s">
        <v>353</v>
      </c>
      <c r="D1697" t="s">
        <v>4510</v>
      </c>
      <c r="E1697" t="s">
        <v>4508</v>
      </c>
      <c r="F1697" s="46">
        <v>46097.325874756942</v>
      </c>
      <c r="G1697" s="46">
        <v>46097.325874756942</v>
      </c>
      <c r="H1697">
        <v>0</v>
      </c>
    </row>
    <row r="1698" spans="1:8" x14ac:dyDescent="0.15">
      <c r="A1698">
        <v>1697</v>
      </c>
      <c r="B1698" t="s">
        <v>339</v>
      </c>
      <c r="C1698" t="s">
        <v>353</v>
      </c>
      <c r="D1698" t="s">
        <v>4511</v>
      </c>
      <c r="E1698" t="s">
        <v>4512</v>
      </c>
      <c r="F1698" s="46">
        <v>46097.325874756942</v>
      </c>
      <c r="G1698" s="46">
        <v>46097.325874756942</v>
      </c>
      <c r="H1698">
        <v>0</v>
      </c>
    </row>
    <row r="1699" spans="1:8" x14ac:dyDescent="0.15">
      <c r="A1699">
        <v>1698</v>
      </c>
      <c r="B1699" t="s">
        <v>339</v>
      </c>
      <c r="C1699" t="s">
        <v>353</v>
      </c>
      <c r="D1699" t="s">
        <v>4513</v>
      </c>
      <c r="E1699" t="s">
        <v>4512</v>
      </c>
      <c r="F1699" s="46">
        <v>46097.325874756942</v>
      </c>
      <c r="G1699" s="46">
        <v>46097.325874756942</v>
      </c>
      <c r="H1699">
        <v>0</v>
      </c>
    </row>
    <row r="1700" spans="1:8" x14ac:dyDescent="0.15">
      <c r="A1700">
        <v>1699</v>
      </c>
      <c r="B1700" t="s">
        <v>339</v>
      </c>
      <c r="C1700" t="s">
        <v>353</v>
      </c>
      <c r="D1700" t="s">
        <v>4514</v>
      </c>
      <c r="E1700" t="s">
        <v>4515</v>
      </c>
      <c r="F1700" s="46">
        <v>46097.325874756942</v>
      </c>
      <c r="G1700" s="46">
        <v>46097.325874756942</v>
      </c>
      <c r="H1700">
        <v>0</v>
      </c>
    </row>
    <row r="1701" spans="1:8" x14ac:dyDescent="0.15">
      <c r="A1701">
        <v>1700</v>
      </c>
      <c r="B1701" t="s">
        <v>339</v>
      </c>
      <c r="C1701" t="s">
        <v>353</v>
      </c>
      <c r="D1701" t="s">
        <v>4516</v>
      </c>
      <c r="E1701" t="s">
        <v>4515</v>
      </c>
      <c r="F1701" s="46">
        <v>46097.325874756942</v>
      </c>
      <c r="G1701" s="46">
        <v>46097.325874756942</v>
      </c>
      <c r="H1701">
        <v>0</v>
      </c>
    </row>
    <row r="1702" spans="1:8" x14ac:dyDescent="0.15">
      <c r="A1702">
        <v>1701</v>
      </c>
      <c r="B1702" t="s">
        <v>339</v>
      </c>
      <c r="C1702" t="s">
        <v>353</v>
      </c>
      <c r="D1702" t="s">
        <v>4517</v>
      </c>
      <c r="E1702" t="s">
        <v>4515</v>
      </c>
      <c r="F1702" s="46">
        <v>46097.325874756942</v>
      </c>
      <c r="G1702" s="46">
        <v>46097.325874756942</v>
      </c>
      <c r="H1702">
        <v>0</v>
      </c>
    </row>
    <row r="1703" spans="1:8" x14ac:dyDescent="0.15">
      <c r="A1703">
        <v>1702</v>
      </c>
      <c r="B1703" t="s">
        <v>339</v>
      </c>
      <c r="C1703" t="s">
        <v>353</v>
      </c>
      <c r="D1703" t="s">
        <v>4518</v>
      </c>
      <c r="E1703" t="s">
        <v>537</v>
      </c>
      <c r="F1703" s="46">
        <v>46097.325874942129</v>
      </c>
      <c r="G1703" s="46">
        <v>46097.325874942129</v>
      </c>
      <c r="H1703">
        <v>0</v>
      </c>
    </row>
    <row r="1704" spans="1:8" x14ac:dyDescent="0.15">
      <c r="A1704">
        <v>1703</v>
      </c>
      <c r="B1704" t="s">
        <v>339</v>
      </c>
      <c r="C1704" t="s">
        <v>353</v>
      </c>
      <c r="D1704" t="s">
        <v>4519</v>
      </c>
      <c r="E1704" t="s">
        <v>537</v>
      </c>
      <c r="F1704" s="46">
        <v>46097.325874942129</v>
      </c>
      <c r="G1704" s="46">
        <v>46097.325874942129</v>
      </c>
      <c r="H1704">
        <v>0</v>
      </c>
    </row>
    <row r="1705" spans="1:8" x14ac:dyDescent="0.15">
      <c r="A1705">
        <v>1704</v>
      </c>
      <c r="B1705" t="s">
        <v>339</v>
      </c>
      <c r="C1705" t="s">
        <v>353</v>
      </c>
      <c r="D1705" t="s">
        <v>4520</v>
      </c>
      <c r="E1705" t="s">
        <v>539</v>
      </c>
      <c r="F1705" s="46">
        <v>46097.325874942129</v>
      </c>
      <c r="G1705" s="46">
        <v>46097.325874942129</v>
      </c>
      <c r="H1705">
        <v>0</v>
      </c>
    </row>
    <row r="1706" spans="1:8" x14ac:dyDescent="0.15">
      <c r="A1706">
        <v>1705</v>
      </c>
      <c r="B1706" t="s">
        <v>339</v>
      </c>
      <c r="C1706" t="s">
        <v>353</v>
      </c>
      <c r="D1706" t="s">
        <v>4521</v>
      </c>
      <c r="E1706" t="s">
        <v>539</v>
      </c>
      <c r="F1706" s="46">
        <v>46097.325874942129</v>
      </c>
      <c r="G1706" s="46">
        <v>46097.325874942129</v>
      </c>
      <c r="H1706">
        <v>0</v>
      </c>
    </row>
    <row r="1707" spans="1:8" x14ac:dyDescent="0.15">
      <c r="A1707">
        <v>1706</v>
      </c>
      <c r="B1707" t="s">
        <v>339</v>
      </c>
      <c r="C1707" t="s">
        <v>353</v>
      </c>
      <c r="D1707" t="s">
        <v>4522</v>
      </c>
      <c r="E1707" t="s">
        <v>539</v>
      </c>
      <c r="F1707" s="46">
        <v>46097.325874942129</v>
      </c>
      <c r="G1707" s="46">
        <v>46097.325874942129</v>
      </c>
      <c r="H1707">
        <v>0</v>
      </c>
    </row>
    <row r="1708" spans="1:8" x14ac:dyDescent="0.15">
      <c r="A1708">
        <v>1707</v>
      </c>
      <c r="B1708" t="s">
        <v>339</v>
      </c>
      <c r="C1708" t="s">
        <v>353</v>
      </c>
      <c r="D1708" t="s">
        <v>4523</v>
      </c>
      <c r="E1708" t="s">
        <v>539</v>
      </c>
      <c r="F1708" s="46">
        <v>46097.325874942129</v>
      </c>
      <c r="G1708" s="46">
        <v>46097.325874942129</v>
      </c>
      <c r="H1708">
        <v>0</v>
      </c>
    </row>
    <row r="1709" spans="1:8" x14ac:dyDescent="0.15">
      <c r="A1709">
        <v>1708</v>
      </c>
      <c r="B1709" t="s">
        <v>339</v>
      </c>
      <c r="C1709" t="s">
        <v>353</v>
      </c>
      <c r="D1709" t="s">
        <v>4524</v>
      </c>
      <c r="E1709" t="s">
        <v>539</v>
      </c>
      <c r="F1709" s="46">
        <v>46097.325874942129</v>
      </c>
      <c r="G1709" s="46">
        <v>46097.325874942129</v>
      </c>
      <c r="H1709">
        <v>0</v>
      </c>
    </row>
    <row r="1710" spans="1:8" x14ac:dyDescent="0.15">
      <c r="A1710">
        <v>1709</v>
      </c>
      <c r="B1710" t="s">
        <v>339</v>
      </c>
      <c r="C1710" t="s">
        <v>353</v>
      </c>
      <c r="D1710" t="s">
        <v>4525</v>
      </c>
      <c r="E1710" t="s">
        <v>539</v>
      </c>
      <c r="F1710" s="46">
        <v>46097.325874942129</v>
      </c>
      <c r="G1710" s="46">
        <v>46097.325874942129</v>
      </c>
      <c r="H1710">
        <v>0</v>
      </c>
    </row>
    <row r="1711" spans="1:8" x14ac:dyDescent="0.15">
      <c r="A1711">
        <v>1710</v>
      </c>
      <c r="B1711" t="s">
        <v>339</v>
      </c>
      <c r="C1711" t="s">
        <v>353</v>
      </c>
      <c r="D1711" t="s">
        <v>4526</v>
      </c>
      <c r="E1711" t="s">
        <v>540</v>
      </c>
      <c r="F1711" s="46">
        <v>46097.325874942129</v>
      </c>
      <c r="G1711" s="46">
        <v>46097.325874942129</v>
      </c>
      <c r="H1711">
        <v>0</v>
      </c>
    </row>
    <row r="1712" spans="1:8" x14ac:dyDescent="0.15">
      <c r="A1712">
        <v>1711</v>
      </c>
      <c r="B1712" t="s">
        <v>339</v>
      </c>
      <c r="C1712" t="s">
        <v>353</v>
      </c>
      <c r="D1712" t="s">
        <v>4527</v>
      </c>
      <c r="E1712" t="s">
        <v>540</v>
      </c>
      <c r="F1712" s="46">
        <v>46097.325874942129</v>
      </c>
      <c r="G1712" s="46">
        <v>46097.325874942129</v>
      </c>
      <c r="H1712">
        <v>0</v>
      </c>
    </row>
    <row r="1713" spans="1:8" x14ac:dyDescent="0.15">
      <c r="A1713">
        <v>1712</v>
      </c>
      <c r="B1713" t="s">
        <v>339</v>
      </c>
      <c r="C1713" t="s">
        <v>353</v>
      </c>
      <c r="D1713" t="s">
        <v>4528</v>
      </c>
      <c r="E1713" t="s">
        <v>540</v>
      </c>
      <c r="F1713" s="46">
        <v>46097.325875127317</v>
      </c>
      <c r="G1713" s="46">
        <v>46097.325875127317</v>
      </c>
      <c r="H1713">
        <v>0</v>
      </c>
    </row>
    <row r="1714" spans="1:8" x14ac:dyDescent="0.15">
      <c r="A1714">
        <v>1713</v>
      </c>
      <c r="B1714" t="s">
        <v>339</v>
      </c>
      <c r="C1714" t="s">
        <v>353</v>
      </c>
      <c r="D1714" t="s">
        <v>4529</v>
      </c>
      <c r="E1714" t="s">
        <v>540</v>
      </c>
      <c r="F1714" s="46">
        <v>46097.325875127317</v>
      </c>
      <c r="G1714" s="46">
        <v>46097.325875127317</v>
      </c>
      <c r="H1714">
        <v>0</v>
      </c>
    </row>
    <row r="1715" spans="1:8" x14ac:dyDescent="0.15">
      <c r="A1715">
        <v>1714</v>
      </c>
      <c r="B1715" t="s">
        <v>339</v>
      </c>
      <c r="C1715" t="s">
        <v>353</v>
      </c>
      <c r="D1715" t="s">
        <v>4530</v>
      </c>
      <c r="E1715" t="s">
        <v>540</v>
      </c>
      <c r="F1715" s="46">
        <v>46097.325875127317</v>
      </c>
      <c r="G1715" s="46">
        <v>46097.325875127317</v>
      </c>
      <c r="H1715">
        <v>0</v>
      </c>
    </row>
    <row r="1716" spans="1:8" x14ac:dyDescent="0.15">
      <c r="A1716">
        <v>1715</v>
      </c>
      <c r="B1716" t="s">
        <v>339</v>
      </c>
      <c r="C1716" t="s">
        <v>353</v>
      </c>
      <c r="D1716" t="s">
        <v>4531</v>
      </c>
      <c r="E1716" t="s">
        <v>4532</v>
      </c>
      <c r="F1716" s="46">
        <v>46097.325875127317</v>
      </c>
      <c r="G1716" s="46">
        <v>46097.325875127317</v>
      </c>
      <c r="H1716">
        <v>0</v>
      </c>
    </row>
    <row r="1717" spans="1:8" x14ac:dyDescent="0.15">
      <c r="A1717">
        <v>1716</v>
      </c>
      <c r="B1717" t="s">
        <v>339</v>
      </c>
      <c r="C1717" t="s">
        <v>353</v>
      </c>
      <c r="D1717" t="s">
        <v>4533</v>
      </c>
      <c r="E1717" t="s">
        <v>4532</v>
      </c>
      <c r="F1717" s="46">
        <v>46097.325875127317</v>
      </c>
      <c r="G1717" s="46">
        <v>46097.325875127317</v>
      </c>
      <c r="H1717">
        <v>0</v>
      </c>
    </row>
    <row r="1718" spans="1:8" x14ac:dyDescent="0.15">
      <c r="A1718">
        <v>1717</v>
      </c>
      <c r="B1718" t="s">
        <v>339</v>
      </c>
      <c r="C1718" t="s">
        <v>353</v>
      </c>
      <c r="D1718" t="s">
        <v>4534</v>
      </c>
      <c r="E1718" t="s">
        <v>4532</v>
      </c>
      <c r="F1718" s="46">
        <v>46097.325875127317</v>
      </c>
      <c r="G1718" s="46">
        <v>46097.325875127317</v>
      </c>
      <c r="H1718">
        <v>0</v>
      </c>
    </row>
    <row r="1719" spans="1:8" x14ac:dyDescent="0.15">
      <c r="A1719">
        <v>1718</v>
      </c>
      <c r="B1719" t="s">
        <v>339</v>
      </c>
      <c r="C1719" t="s">
        <v>353</v>
      </c>
      <c r="D1719" t="s">
        <v>4535</v>
      </c>
      <c r="E1719" t="s">
        <v>4532</v>
      </c>
      <c r="F1719" s="46">
        <v>46097.325875127317</v>
      </c>
      <c r="G1719" s="46">
        <v>46097.325875127317</v>
      </c>
      <c r="H1719">
        <v>0</v>
      </c>
    </row>
    <row r="1720" spans="1:8" x14ac:dyDescent="0.15">
      <c r="A1720">
        <v>1719</v>
      </c>
      <c r="B1720" t="s">
        <v>339</v>
      </c>
      <c r="C1720" t="s">
        <v>353</v>
      </c>
      <c r="D1720" t="s">
        <v>4536</v>
      </c>
      <c r="E1720" t="s">
        <v>4532</v>
      </c>
      <c r="F1720" s="46">
        <v>46097.325875127317</v>
      </c>
      <c r="G1720" s="46">
        <v>46097.325875127317</v>
      </c>
      <c r="H1720">
        <v>0</v>
      </c>
    </row>
    <row r="1721" spans="1:8" x14ac:dyDescent="0.15">
      <c r="A1721">
        <v>1720</v>
      </c>
      <c r="B1721" t="s">
        <v>339</v>
      </c>
      <c r="C1721" t="s">
        <v>353</v>
      </c>
      <c r="D1721" t="s">
        <v>4537</v>
      </c>
      <c r="E1721" t="s">
        <v>541</v>
      </c>
      <c r="F1721" s="46">
        <v>46097.325875127317</v>
      </c>
      <c r="G1721" s="46">
        <v>46097.325875127317</v>
      </c>
      <c r="H1721">
        <v>0</v>
      </c>
    </row>
    <row r="1722" spans="1:8" x14ac:dyDescent="0.15">
      <c r="A1722">
        <v>1721</v>
      </c>
      <c r="B1722" t="s">
        <v>339</v>
      </c>
      <c r="C1722" t="s">
        <v>353</v>
      </c>
      <c r="D1722" t="s">
        <v>4538</v>
      </c>
      <c r="E1722" t="s">
        <v>541</v>
      </c>
      <c r="F1722" s="46">
        <v>46097.325875127317</v>
      </c>
      <c r="G1722" s="46">
        <v>46097.325875127317</v>
      </c>
      <c r="H1722">
        <v>0</v>
      </c>
    </row>
    <row r="1723" spans="1:8" x14ac:dyDescent="0.15">
      <c r="A1723">
        <v>1722</v>
      </c>
      <c r="B1723" t="s">
        <v>339</v>
      </c>
      <c r="C1723" t="s">
        <v>353</v>
      </c>
      <c r="D1723" t="s">
        <v>4539</v>
      </c>
      <c r="E1723" t="s">
        <v>541</v>
      </c>
      <c r="F1723" s="46">
        <v>46097.325875127317</v>
      </c>
      <c r="G1723" s="46">
        <v>46097.325875300929</v>
      </c>
      <c r="H1723">
        <v>16</v>
      </c>
    </row>
    <row r="1724" spans="1:8" x14ac:dyDescent="0.15">
      <c r="A1724">
        <v>1723</v>
      </c>
      <c r="B1724" t="s">
        <v>339</v>
      </c>
      <c r="C1724" t="s">
        <v>353</v>
      </c>
      <c r="D1724" t="s">
        <v>4540</v>
      </c>
      <c r="E1724" t="s">
        <v>541</v>
      </c>
      <c r="F1724" s="46">
        <v>46097.325875300929</v>
      </c>
      <c r="G1724" s="46">
        <v>46097.325875300929</v>
      </c>
      <c r="H1724">
        <v>0</v>
      </c>
    </row>
    <row r="1725" spans="1:8" x14ac:dyDescent="0.15">
      <c r="A1725">
        <v>1724</v>
      </c>
      <c r="B1725" t="s">
        <v>339</v>
      </c>
      <c r="C1725" t="s">
        <v>353</v>
      </c>
      <c r="D1725" t="s">
        <v>4541</v>
      </c>
      <c r="E1725" t="s">
        <v>4542</v>
      </c>
      <c r="F1725" s="46">
        <v>46097.325875300929</v>
      </c>
      <c r="G1725" s="46">
        <v>46097.325875300929</v>
      </c>
      <c r="H1725">
        <v>0</v>
      </c>
    </row>
    <row r="1726" spans="1:8" x14ac:dyDescent="0.15">
      <c r="A1726">
        <v>1725</v>
      </c>
      <c r="B1726" t="s">
        <v>339</v>
      </c>
      <c r="C1726" t="s">
        <v>353</v>
      </c>
      <c r="D1726" t="s">
        <v>4543</v>
      </c>
      <c r="E1726" t="s">
        <v>4542</v>
      </c>
      <c r="F1726" s="46">
        <v>46097.325875300929</v>
      </c>
      <c r="G1726" s="46">
        <v>46097.325875300929</v>
      </c>
      <c r="H1726">
        <v>0</v>
      </c>
    </row>
    <row r="1727" spans="1:8" x14ac:dyDescent="0.15">
      <c r="A1727">
        <v>1726</v>
      </c>
      <c r="B1727" t="s">
        <v>339</v>
      </c>
      <c r="C1727" t="s">
        <v>353</v>
      </c>
      <c r="D1727" t="s">
        <v>4544</v>
      </c>
      <c r="E1727" t="s">
        <v>4542</v>
      </c>
      <c r="F1727" s="46">
        <v>46097.325875300929</v>
      </c>
      <c r="G1727" s="46">
        <v>46097.325875300929</v>
      </c>
      <c r="H1727">
        <v>0</v>
      </c>
    </row>
    <row r="1728" spans="1:8" x14ac:dyDescent="0.15">
      <c r="A1728">
        <v>1727</v>
      </c>
      <c r="B1728" t="s">
        <v>339</v>
      </c>
      <c r="C1728" t="s">
        <v>353</v>
      </c>
      <c r="D1728" t="s">
        <v>4545</v>
      </c>
      <c r="E1728" t="s">
        <v>4542</v>
      </c>
      <c r="F1728" s="46">
        <v>46097.325875300929</v>
      </c>
      <c r="G1728" s="46">
        <v>46097.325875300929</v>
      </c>
      <c r="H1728">
        <v>0</v>
      </c>
    </row>
    <row r="1729" spans="1:8" x14ac:dyDescent="0.15">
      <c r="A1729">
        <v>1728</v>
      </c>
      <c r="B1729" t="s">
        <v>339</v>
      </c>
      <c r="C1729" t="s">
        <v>353</v>
      </c>
      <c r="D1729" t="s">
        <v>4546</v>
      </c>
      <c r="E1729" t="s">
        <v>4542</v>
      </c>
      <c r="F1729" s="46">
        <v>46097.325875300929</v>
      </c>
      <c r="G1729" s="46">
        <v>46097.325875300929</v>
      </c>
      <c r="H1729">
        <v>0</v>
      </c>
    </row>
    <row r="1730" spans="1:8" x14ac:dyDescent="0.15">
      <c r="A1730">
        <v>1729</v>
      </c>
      <c r="B1730" t="s">
        <v>339</v>
      </c>
      <c r="C1730" t="s">
        <v>353</v>
      </c>
      <c r="D1730" t="s">
        <v>4547</v>
      </c>
      <c r="E1730" t="s">
        <v>543</v>
      </c>
      <c r="F1730" s="46">
        <v>46097.325875300929</v>
      </c>
      <c r="G1730" s="46">
        <v>46097.325875300929</v>
      </c>
      <c r="H1730">
        <v>0</v>
      </c>
    </row>
    <row r="1731" spans="1:8" x14ac:dyDescent="0.15">
      <c r="A1731">
        <v>1730</v>
      </c>
      <c r="B1731" t="s">
        <v>339</v>
      </c>
      <c r="C1731" t="s">
        <v>353</v>
      </c>
      <c r="D1731" t="s">
        <v>4548</v>
      </c>
      <c r="E1731" t="s">
        <v>543</v>
      </c>
      <c r="F1731" s="46">
        <v>46097.325875300929</v>
      </c>
      <c r="G1731" s="46">
        <v>46097.325875300929</v>
      </c>
      <c r="H1731">
        <v>0</v>
      </c>
    </row>
    <row r="1732" spans="1:8" x14ac:dyDescent="0.15">
      <c r="A1732">
        <v>1731</v>
      </c>
      <c r="B1732" t="s">
        <v>339</v>
      </c>
      <c r="C1732" t="s">
        <v>353</v>
      </c>
      <c r="D1732" t="s">
        <v>4549</v>
      </c>
      <c r="E1732" t="s">
        <v>543</v>
      </c>
      <c r="F1732" s="46">
        <v>46097.325875300929</v>
      </c>
      <c r="G1732" s="46">
        <v>46097.325875300929</v>
      </c>
      <c r="H1732">
        <v>0</v>
      </c>
    </row>
    <row r="1733" spans="1:8" x14ac:dyDescent="0.15">
      <c r="A1733">
        <v>1732</v>
      </c>
      <c r="B1733" t="s">
        <v>339</v>
      </c>
      <c r="C1733" t="s">
        <v>353</v>
      </c>
      <c r="D1733" t="s">
        <v>4550</v>
      </c>
      <c r="E1733" t="s">
        <v>543</v>
      </c>
      <c r="F1733" s="46">
        <v>46097.325875300929</v>
      </c>
      <c r="G1733" s="46">
        <v>46097.325875486109</v>
      </c>
      <c r="H1733">
        <v>15</v>
      </c>
    </row>
    <row r="1734" spans="1:8" x14ac:dyDescent="0.15">
      <c r="A1734">
        <v>1733</v>
      </c>
      <c r="B1734" t="s">
        <v>339</v>
      </c>
      <c r="C1734" t="s">
        <v>353</v>
      </c>
      <c r="D1734" t="s">
        <v>4551</v>
      </c>
      <c r="E1734" t="s">
        <v>543</v>
      </c>
      <c r="F1734" s="46">
        <v>46097.325875486109</v>
      </c>
      <c r="G1734" s="46">
        <v>46097.325875486109</v>
      </c>
      <c r="H1734">
        <v>0</v>
      </c>
    </row>
    <row r="1735" spans="1:8" x14ac:dyDescent="0.15">
      <c r="A1735">
        <v>1734</v>
      </c>
      <c r="B1735" t="s">
        <v>339</v>
      </c>
      <c r="C1735" t="s">
        <v>353</v>
      </c>
      <c r="D1735" t="s">
        <v>4552</v>
      </c>
      <c r="E1735" t="s">
        <v>544</v>
      </c>
      <c r="F1735" s="46">
        <v>46097.325875486109</v>
      </c>
      <c r="G1735" s="46">
        <v>46097.325875486109</v>
      </c>
      <c r="H1735">
        <v>0</v>
      </c>
    </row>
    <row r="1736" spans="1:8" x14ac:dyDescent="0.15">
      <c r="A1736">
        <v>1735</v>
      </c>
      <c r="B1736" t="s">
        <v>339</v>
      </c>
      <c r="C1736" t="s">
        <v>353</v>
      </c>
      <c r="D1736" t="s">
        <v>4553</v>
      </c>
      <c r="E1736" t="s">
        <v>544</v>
      </c>
      <c r="F1736" s="46">
        <v>46097.325875486109</v>
      </c>
      <c r="G1736" s="46">
        <v>46097.325875486109</v>
      </c>
      <c r="H1736">
        <v>0</v>
      </c>
    </row>
    <row r="1737" spans="1:8" x14ac:dyDescent="0.15">
      <c r="A1737">
        <v>1736</v>
      </c>
      <c r="B1737" t="s">
        <v>339</v>
      </c>
      <c r="C1737" t="s">
        <v>353</v>
      </c>
      <c r="D1737" t="s">
        <v>4554</v>
      </c>
      <c r="E1737" t="s">
        <v>544</v>
      </c>
      <c r="F1737" s="46">
        <v>46097.325875486109</v>
      </c>
      <c r="G1737" s="46">
        <v>46097.325875486109</v>
      </c>
      <c r="H1737">
        <v>0</v>
      </c>
    </row>
    <row r="1738" spans="1:8" x14ac:dyDescent="0.15">
      <c r="A1738">
        <v>1737</v>
      </c>
      <c r="B1738" t="s">
        <v>339</v>
      </c>
      <c r="C1738" t="s">
        <v>353</v>
      </c>
      <c r="D1738" t="s">
        <v>4555</v>
      </c>
      <c r="E1738" t="s">
        <v>544</v>
      </c>
      <c r="F1738" s="46">
        <v>46097.325875486109</v>
      </c>
      <c r="G1738" s="46">
        <v>46097.325875486109</v>
      </c>
      <c r="H1738">
        <v>0</v>
      </c>
    </row>
    <row r="1739" spans="1:8" x14ac:dyDescent="0.15">
      <c r="A1739">
        <v>1738</v>
      </c>
      <c r="B1739" t="s">
        <v>339</v>
      </c>
      <c r="C1739" t="s">
        <v>353</v>
      </c>
      <c r="D1739" t="s">
        <v>4556</v>
      </c>
      <c r="E1739" t="s">
        <v>544</v>
      </c>
      <c r="F1739" s="46">
        <v>46097.325875486109</v>
      </c>
      <c r="G1739" s="46">
        <v>46097.325875486109</v>
      </c>
      <c r="H1739">
        <v>0</v>
      </c>
    </row>
    <row r="1740" spans="1:8" x14ac:dyDescent="0.15">
      <c r="A1740">
        <v>1739</v>
      </c>
      <c r="B1740" t="s">
        <v>339</v>
      </c>
      <c r="C1740" t="s">
        <v>353</v>
      </c>
      <c r="D1740" t="s">
        <v>4557</v>
      </c>
      <c r="E1740" t="s">
        <v>4558</v>
      </c>
      <c r="F1740" s="46">
        <v>46097.325875486109</v>
      </c>
      <c r="G1740" s="46">
        <v>46097.325875486109</v>
      </c>
      <c r="H1740">
        <v>0</v>
      </c>
    </row>
    <row r="1741" spans="1:8" x14ac:dyDescent="0.15">
      <c r="A1741">
        <v>1740</v>
      </c>
      <c r="B1741" t="s">
        <v>339</v>
      </c>
      <c r="C1741" t="s">
        <v>353</v>
      </c>
      <c r="D1741" t="s">
        <v>4559</v>
      </c>
      <c r="E1741" t="s">
        <v>4560</v>
      </c>
      <c r="F1741" s="46">
        <v>46097.325875486109</v>
      </c>
      <c r="G1741" s="46">
        <v>46097.325875486109</v>
      </c>
      <c r="H1741">
        <v>0</v>
      </c>
    </row>
    <row r="1742" spans="1:8" x14ac:dyDescent="0.15">
      <c r="A1742">
        <v>1741</v>
      </c>
      <c r="B1742" t="s">
        <v>339</v>
      </c>
      <c r="C1742" t="s">
        <v>353</v>
      </c>
      <c r="D1742" t="s">
        <v>4561</v>
      </c>
      <c r="E1742" t="s">
        <v>4560</v>
      </c>
      <c r="F1742" s="46">
        <v>46097.325875486109</v>
      </c>
      <c r="G1742" s="46">
        <v>46097.325875486109</v>
      </c>
      <c r="H1742">
        <v>0</v>
      </c>
    </row>
    <row r="1743" spans="1:8" x14ac:dyDescent="0.15">
      <c r="A1743">
        <v>1742</v>
      </c>
      <c r="B1743" t="s">
        <v>339</v>
      </c>
      <c r="C1743" t="s">
        <v>353</v>
      </c>
      <c r="D1743" t="s">
        <v>4562</v>
      </c>
      <c r="E1743" t="s">
        <v>545</v>
      </c>
      <c r="F1743" s="46">
        <v>46097.325875486109</v>
      </c>
      <c r="G1743" s="46">
        <v>46097.325875486109</v>
      </c>
      <c r="H1743">
        <v>0</v>
      </c>
    </row>
    <row r="1744" spans="1:8" x14ac:dyDescent="0.15">
      <c r="A1744">
        <v>1743</v>
      </c>
      <c r="B1744" t="s">
        <v>339</v>
      </c>
      <c r="C1744" t="s">
        <v>353</v>
      </c>
      <c r="D1744" t="s">
        <v>4563</v>
      </c>
      <c r="E1744" t="s">
        <v>4564</v>
      </c>
      <c r="F1744" s="46">
        <v>46097.325875486109</v>
      </c>
      <c r="G1744" s="46">
        <v>46097.325875671297</v>
      </c>
      <c r="H1744">
        <v>16</v>
      </c>
    </row>
    <row r="1745" spans="1:8" x14ac:dyDescent="0.15">
      <c r="A1745">
        <v>1744</v>
      </c>
      <c r="B1745" t="s">
        <v>339</v>
      </c>
      <c r="C1745" t="s">
        <v>353</v>
      </c>
      <c r="D1745" t="s">
        <v>4565</v>
      </c>
      <c r="E1745" t="s">
        <v>4564</v>
      </c>
      <c r="F1745" s="46">
        <v>46097.325875671297</v>
      </c>
      <c r="G1745" s="46">
        <v>46097.325875671297</v>
      </c>
      <c r="H1745">
        <v>0</v>
      </c>
    </row>
    <row r="1746" spans="1:8" x14ac:dyDescent="0.15">
      <c r="A1746">
        <v>1745</v>
      </c>
      <c r="B1746" t="s">
        <v>339</v>
      </c>
      <c r="C1746" t="s">
        <v>353</v>
      </c>
      <c r="D1746" t="s">
        <v>4566</v>
      </c>
      <c r="E1746" t="s">
        <v>4564</v>
      </c>
      <c r="F1746" s="46">
        <v>46097.325875671297</v>
      </c>
      <c r="G1746" s="46">
        <v>46097.325875671297</v>
      </c>
      <c r="H1746">
        <v>0</v>
      </c>
    </row>
    <row r="1747" spans="1:8" x14ac:dyDescent="0.15">
      <c r="A1747">
        <v>1746</v>
      </c>
      <c r="B1747" t="s">
        <v>339</v>
      </c>
      <c r="C1747" t="s">
        <v>353</v>
      </c>
      <c r="D1747" t="s">
        <v>4567</v>
      </c>
      <c r="E1747" t="s">
        <v>546</v>
      </c>
      <c r="F1747" s="46">
        <v>46097.325875671297</v>
      </c>
      <c r="G1747" s="46">
        <v>46097.325875671297</v>
      </c>
      <c r="H1747">
        <v>0</v>
      </c>
    </row>
    <row r="1748" spans="1:8" x14ac:dyDescent="0.15">
      <c r="A1748">
        <v>1747</v>
      </c>
      <c r="B1748" t="s">
        <v>339</v>
      </c>
      <c r="C1748" t="s">
        <v>353</v>
      </c>
      <c r="D1748" t="s">
        <v>4568</v>
      </c>
      <c r="E1748" t="s">
        <v>546</v>
      </c>
      <c r="F1748" s="46">
        <v>46097.325875671297</v>
      </c>
      <c r="G1748" s="46">
        <v>46097.325875671297</v>
      </c>
      <c r="H1748">
        <v>0</v>
      </c>
    </row>
    <row r="1749" spans="1:8" x14ac:dyDescent="0.15">
      <c r="A1749">
        <v>1748</v>
      </c>
      <c r="B1749" t="s">
        <v>339</v>
      </c>
      <c r="C1749" t="s">
        <v>353</v>
      </c>
      <c r="D1749" t="s">
        <v>4569</v>
      </c>
      <c r="E1749" t="s">
        <v>546</v>
      </c>
      <c r="F1749" s="46">
        <v>46097.325875671297</v>
      </c>
      <c r="G1749" s="46">
        <v>46097.325875671297</v>
      </c>
      <c r="H1749">
        <v>0</v>
      </c>
    </row>
    <row r="1750" spans="1:8" x14ac:dyDescent="0.15">
      <c r="A1750">
        <v>1749</v>
      </c>
      <c r="B1750" t="s">
        <v>339</v>
      </c>
      <c r="C1750" t="s">
        <v>353</v>
      </c>
      <c r="D1750" t="s">
        <v>4570</v>
      </c>
      <c r="E1750" t="s">
        <v>546</v>
      </c>
      <c r="F1750" s="46">
        <v>46097.325875671297</v>
      </c>
      <c r="G1750" s="46">
        <v>46097.325875671297</v>
      </c>
      <c r="H1750">
        <v>0</v>
      </c>
    </row>
    <row r="1751" spans="1:8" x14ac:dyDescent="0.15">
      <c r="A1751">
        <v>1750</v>
      </c>
      <c r="B1751" t="s">
        <v>339</v>
      </c>
      <c r="C1751" t="s">
        <v>353</v>
      </c>
      <c r="D1751" t="s">
        <v>4571</v>
      </c>
      <c r="E1751" t="s">
        <v>546</v>
      </c>
      <c r="F1751" s="46">
        <v>46097.325875671297</v>
      </c>
      <c r="G1751" s="46">
        <v>46097.325875671297</v>
      </c>
      <c r="H1751">
        <v>0</v>
      </c>
    </row>
    <row r="1752" spans="1:8" x14ac:dyDescent="0.15">
      <c r="A1752">
        <v>1751</v>
      </c>
      <c r="B1752" t="s">
        <v>339</v>
      </c>
      <c r="C1752" t="s">
        <v>353</v>
      </c>
      <c r="D1752" t="s">
        <v>4572</v>
      </c>
      <c r="E1752" t="s">
        <v>546</v>
      </c>
      <c r="F1752" s="46">
        <v>46097.325875671297</v>
      </c>
      <c r="G1752" s="46">
        <v>46097.325875671297</v>
      </c>
      <c r="H1752">
        <v>0</v>
      </c>
    </row>
    <row r="1753" spans="1:8" x14ac:dyDescent="0.15">
      <c r="A1753">
        <v>1752</v>
      </c>
      <c r="B1753" t="s">
        <v>339</v>
      </c>
      <c r="C1753" t="s">
        <v>353</v>
      </c>
      <c r="D1753" t="s">
        <v>4573</v>
      </c>
      <c r="E1753" t="s">
        <v>546</v>
      </c>
      <c r="F1753" s="46">
        <v>46097.325875671297</v>
      </c>
      <c r="G1753" s="46">
        <v>46097.325875671297</v>
      </c>
      <c r="H1753">
        <v>0</v>
      </c>
    </row>
    <row r="1754" spans="1:8" x14ac:dyDescent="0.15">
      <c r="A1754">
        <v>1753</v>
      </c>
      <c r="B1754" t="s">
        <v>339</v>
      </c>
      <c r="C1754" t="s">
        <v>353</v>
      </c>
      <c r="D1754" t="s">
        <v>4574</v>
      </c>
      <c r="E1754" t="s">
        <v>546</v>
      </c>
      <c r="F1754" s="46">
        <v>46097.325875671297</v>
      </c>
      <c r="G1754" s="46">
        <v>46097.325875844908</v>
      </c>
      <c r="H1754">
        <v>16</v>
      </c>
    </row>
    <row r="1755" spans="1:8" x14ac:dyDescent="0.15">
      <c r="A1755">
        <v>1754</v>
      </c>
      <c r="B1755" t="s">
        <v>339</v>
      </c>
      <c r="C1755" t="s">
        <v>353</v>
      </c>
      <c r="D1755" t="s">
        <v>4575</v>
      </c>
      <c r="E1755" t="s">
        <v>547</v>
      </c>
      <c r="F1755" s="46">
        <v>46097.325875844908</v>
      </c>
      <c r="G1755" s="46">
        <v>46097.325875844908</v>
      </c>
      <c r="H1755">
        <v>0</v>
      </c>
    </row>
    <row r="1756" spans="1:8" x14ac:dyDescent="0.15">
      <c r="A1756">
        <v>1755</v>
      </c>
      <c r="B1756" t="s">
        <v>339</v>
      </c>
      <c r="C1756" t="s">
        <v>353</v>
      </c>
      <c r="D1756" t="s">
        <v>4576</v>
      </c>
      <c r="E1756" t="s">
        <v>547</v>
      </c>
      <c r="F1756" s="46">
        <v>46097.325875844908</v>
      </c>
      <c r="G1756" s="46">
        <v>46097.325875844908</v>
      </c>
      <c r="H1756">
        <v>0</v>
      </c>
    </row>
    <row r="1757" spans="1:8" x14ac:dyDescent="0.15">
      <c r="A1757">
        <v>1756</v>
      </c>
      <c r="B1757" t="s">
        <v>339</v>
      </c>
      <c r="C1757" t="s">
        <v>353</v>
      </c>
      <c r="D1757" t="s">
        <v>4577</v>
      </c>
      <c r="E1757" t="s">
        <v>547</v>
      </c>
      <c r="F1757" s="46">
        <v>46097.325875844908</v>
      </c>
      <c r="G1757" s="46">
        <v>46097.325875844908</v>
      </c>
      <c r="H1757">
        <v>0</v>
      </c>
    </row>
    <row r="1758" spans="1:8" x14ac:dyDescent="0.15">
      <c r="A1758">
        <v>1757</v>
      </c>
      <c r="B1758" t="s">
        <v>339</v>
      </c>
      <c r="C1758" t="s">
        <v>353</v>
      </c>
      <c r="D1758" t="s">
        <v>4578</v>
      </c>
      <c r="E1758" t="s">
        <v>547</v>
      </c>
      <c r="F1758" s="46">
        <v>46097.325875844908</v>
      </c>
      <c r="G1758" s="46">
        <v>46097.325875844908</v>
      </c>
      <c r="H1758">
        <v>0</v>
      </c>
    </row>
    <row r="1759" spans="1:8" x14ac:dyDescent="0.15">
      <c r="A1759">
        <v>1758</v>
      </c>
      <c r="B1759" t="s">
        <v>339</v>
      </c>
      <c r="C1759" t="s">
        <v>353</v>
      </c>
      <c r="D1759" t="s">
        <v>4579</v>
      </c>
      <c r="E1759" t="s">
        <v>547</v>
      </c>
      <c r="F1759" s="46">
        <v>46097.325875844908</v>
      </c>
      <c r="G1759" s="46">
        <v>46097.325875844908</v>
      </c>
      <c r="H1759">
        <v>0</v>
      </c>
    </row>
    <row r="1760" spans="1:8" x14ac:dyDescent="0.15">
      <c r="A1760">
        <v>1759</v>
      </c>
      <c r="B1760" t="s">
        <v>339</v>
      </c>
      <c r="C1760" t="s">
        <v>353</v>
      </c>
      <c r="D1760" t="s">
        <v>4580</v>
      </c>
      <c r="E1760" t="s">
        <v>547</v>
      </c>
      <c r="F1760" s="46">
        <v>46097.325875844908</v>
      </c>
      <c r="G1760" s="46">
        <v>46097.325875844908</v>
      </c>
      <c r="H1760">
        <v>0</v>
      </c>
    </row>
    <row r="1761" spans="1:8" x14ac:dyDescent="0.15">
      <c r="A1761">
        <v>1760</v>
      </c>
      <c r="B1761" t="s">
        <v>339</v>
      </c>
      <c r="C1761" t="s">
        <v>353</v>
      </c>
      <c r="D1761" t="s">
        <v>4581</v>
      </c>
      <c r="E1761" t="s">
        <v>547</v>
      </c>
      <c r="F1761" s="46">
        <v>46097.325875844908</v>
      </c>
      <c r="G1761" s="46">
        <v>46097.325875844908</v>
      </c>
      <c r="H1761">
        <v>0</v>
      </c>
    </row>
    <row r="1762" spans="1:8" x14ac:dyDescent="0.15">
      <c r="A1762">
        <v>1761</v>
      </c>
      <c r="B1762" t="s">
        <v>339</v>
      </c>
      <c r="C1762" t="s">
        <v>353</v>
      </c>
      <c r="D1762" t="s">
        <v>4582</v>
      </c>
      <c r="E1762" t="s">
        <v>4583</v>
      </c>
      <c r="F1762" s="46">
        <v>46097.325875844908</v>
      </c>
      <c r="G1762" s="46">
        <v>46097.325875844908</v>
      </c>
      <c r="H1762">
        <v>0</v>
      </c>
    </row>
    <row r="1763" spans="1:8" x14ac:dyDescent="0.15">
      <c r="A1763">
        <v>1762</v>
      </c>
      <c r="B1763" t="s">
        <v>339</v>
      </c>
      <c r="C1763" t="s">
        <v>353</v>
      </c>
      <c r="D1763" t="s">
        <v>4584</v>
      </c>
      <c r="E1763" t="s">
        <v>4585</v>
      </c>
      <c r="F1763" s="46">
        <v>46097.325875844908</v>
      </c>
      <c r="G1763" s="46">
        <v>46097.325875844908</v>
      </c>
      <c r="H1763">
        <v>0</v>
      </c>
    </row>
    <row r="1764" spans="1:8" x14ac:dyDescent="0.15">
      <c r="A1764">
        <v>1763</v>
      </c>
      <c r="B1764" t="s">
        <v>339</v>
      </c>
      <c r="C1764" t="s">
        <v>353</v>
      </c>
      <c r="D1764" t="s">
        <v>4586</v>
      </c>
      <c r="E1764" t="s">
        <v>548</v>
      </c>
      <c r="F1764" s="46">
        <v>46097.325875844908</v>
      </c>
      <c r="G1764" s="46">
        <v>46097.325875844908</v>
      </c>
      <c r="H1764">
        <v>0</v>
      </c>
    </row>
    <row r="1765" spans="1:8" x14ac:dyDescent="0.15">
      <c r="A1765">
        <v>1764</v>
      </c>
      <c r="B1765" t="s">
        <v>339</v>
      </c>
      <c r="C1765" t="s">
        <v>353</v>
      </c>
      <c r="D1765" t="s">
        <v>4587</v>
      </c>
      <c r="E1765" t="s">
        <v>548</v>
      </c>
      <c r="F1765" s="46">
        <v>46097.325875844908</v>
      </c>
      <c r="G1765" s="46">
        <v>46097.325876030103</v>
      </c>
      <c r="H1765">
        <v>15</v>
      </c>
    </row>
    <row r="1766" spans="1:8" x14ac:dyDescent="0.15">
      <c r="A1766">
        <v>1765</v>
      </c>
      <c r="B1766" t="s">
        <v>339</v>
      </c>
      <c r="C1766" t="s">
        <v>353</v>
      </c>
      <c r="D1766" t="s">
        <v>4588</v>
      </c>
      <c r="E1766" t="s">
        <v>548</v>
      </c>
      <c r="F1766" s="46">
        <v>46097.325876030103</v>
      </c>
      <c r="G1766" s="46">
        <v>46097.325876030103</v>
      </c>
      <c r="H1766">
        <v>0</v>
      </c>
    </row>
    <row r="1767" spans="1:8" x14ac:dyDescent="0.15">
      <c r="A1767">
        <v>1766</v>
      </c>
      <c r="B1767" t="s">
        <v>339</v>
      </c>
      <c r="C1767" t="s">
        <v>353</v>
      </c>
      <c r="D1767" t="s">
        <v>4589</v>
      </c>
      <c r="E1767" t="s">
        <v>548</v>
      </c>
      <c r="F1767" s="46">
        <v>46097.325876030103</v>
      </c>
      <c r="G1767" s="46">
        <v>46097.325876030103</v>
      </c>
      <c r="H1767">
        <v>0</v>
      </c>
    </row>
    <row r="1768" spans="1:8" x14ac:dyDescent="0.15">
      <c r="A1768">
        <v>1767</v>
      </c>
      <c r="B1768" t="s">
        <v>339</v>
      </c>
      <c r="C1768" t="s">
        <v>353</v>
      </c>
      <c r="D1768" t="s">
        <v>4590</v>
      </c>
      <c r="E1768" t="s">
        <v>548</v>
      </c>
      <c r="F1768" s="46">
        <v>46097.325876030103</v>
      </c>
      <c r="G1768" s="46">
        <v>46097.325876030103</v>
      </c>
      <c r="H1768">
        <v>0</v>
      </c>
    </row>
    <row r="1769" spans="1:8" x14ac:dyDescent="0.15">
      <c r="A1769">
        <v>1768</v>
      </c>
      <c r="B1769" t="s">
        <v>339</v>
      </c>
      <c r="C1769" t="s">
        <v>353</v>
      </c>
      <c r="D1769" t="s">
        <v>4591</v>
      </c>
      <c r="E1769" t="s">
        <v>548</v>
      </c>
      <c r="F1769" s="46">
        <v>46097.325876030103</v>
      </c>
      <c r="G1769" s="46">
        <v>46097.325876030103</v>
      </c>
      <c r="H1769">
        <v>0</v>
      </c>
    </row>
    <row r="1770" spans="1:8" x14ac:dyDescent="0.15">
      <c r="A1770">
        <v>1769</v>
      </c>
      <c r="B1770" t="s">
        <v>339</v>
      </c>
      <c r="C1770" t="s">
        <v>353</v>
      </c>
      <c r="D1770" t="s">
        <v>4592</v>
      </c>
      <c r="E1770" t="s">
        <v>4593</v>
      </c>
      <c r="F1770" s="46">
        <v>46097.325876030103</v>
      </c>
      <c r="G1770" s="46">
        <v>46097.325876030103</v>
      </c>
      <c r="H1770">
        <v>0</v>
      </c>
    </row>
    <row r="1771" spans="1:8" x14ac:dyDescent="0.15">
      <c r="A1771">
        <v>1770</v>
      </c>
      <c r="B1771" t="s">
        <v>339</v>
      </c>
      <c r="C1771" t="s">
        <v>353</v>
      </c>
      <c r="D1771" t="s">
        <v>4594</v>
      </c>
      <c r="E1771" t="s">
        <v>4593</v>
      </c>
      <c r="F1771" s="46">
        <v>46097.325876030103</v>
      </c>
      <c r="G1771" s="46">
        <v>46097.325876030103</v>
      </c>
      <c r="H1771">
        <v>0</v>
      </c>
    </row>
    <row r="1772" spans="1:8" x14ac:dyDescent="0.15">
      <c r="A1772">
        <v>1771</v>
      </c>
      <c r="B1772" t="s">
        <v>339</v>
      </c>
      <c r="C1772" t="s">
        <v>353</v>
      </c>
      <c r="D1772" t="s">
        <v>4595</v>
      </c>
      <c r="E1772" t="s">
        <v>4593</v>
      </c>
      <c r="F1772" s="46">
        <v>46097.325876030103</v>
      </c>
      <c r="G1772" s="46">
        <v>46097.325876030103</v>
      </c>
      <c r="H1772">
        <v>0</v>
      </c>
    </row>
    <row r="1773" spans="1:8" x14ac:dyDescent="0.15">
      <c r="A1773">
        <v>1772</v>
      </c>
      <c r="B1773" t="s">
        <v>339</v>
      </c>
      <c r="C1773" t="s">
        <v>353</v>
      </c>
      <c r="D1773" t="s">
        <v>4596</v>
      </c>
      <c r="E1773" t="s">
        <v>4593</v>
      </c>
      <c r="F1773" s="46">
        <v>46097.325876030103</v>
      </c>
      <c r="G1773" s="46">
        <v>46097.325876030103</v>
      </c>
      <c r="H1773">
        <v>0</v>
      </c>
    </row>
    <row r="1774" spans="1:8" x14ac:dyDescent="0.15">
      <c r="A1774">
        <v>1773</v>
      </c>
      <c r="B1774" t="s">
        <v>339</v>
      </c>
      <c r="C1774" t="s">
        <v>353</v>
      </c>
      <c r="D1774" t="s">
        <v>4597</v>
      </c>
      <c r="E1774" t="s">
        <v>4593</v>
      </c>
      <c r="F1774" s="46">
        <v>46097.325876030103</v>
      </c>
      <c r="G1774" s="46">
        <v>46097.325876030103</v>
      </c>
      <c r="H1774">
        <v>0</v>
      </c>
    </row>
    <row r="1775" spans="1:8" x14ac:dyDescent="0.15">
      <c r="A1775">
        <v>1774</v>
      </c>
      <c r="B1775" t="s">
        <v>339</v>
      </c>
      <c r="C1775" t="s">
        <v>353</v>
      </c>
      <c r="D1775" t="s">
        <v>4598</v>
      </c>
      <c r="E1775" t="s">
        <v>4599</v>
      </c>
      <c r="F1775" s="46">
        <v>46097.325876030103</v>
      </c>
      <c r="G1775" s="46">
        <v>46097.3258762037</v>
      </c>
      <c r="H1775">
        <v>16</v>
      </c>
    </row>
    <row r="1776" spans="1:8" x14ac:dyDescent="0.15">
      <c r="A1776">
        <v>1775</v>
      </c>
      <c r="B1776" t="s">
        <v>339</v>
      </c>
      <c r="C1776" t="s">
        <v>353</v>
      </c>
      <c r="D1776" t="s">
        <v>4600</v>
      </c>
      <c r="E1776" t="s">
        <v>4599</v>
      </c>
      <c r="F1776" s="46">
        <v>46097.3258762037</v>
      </c>
      <c r="G1776" s="46">
        <v>46097.3258762037</v>
      </c>
      <c r="H1776">
        <v>0</v>
      </c>
    </row>
    <row r="1777" spans="1:8" x14ac:dyDescent="0.15">
      <c r="A1777">
        <v>1776</v>
      </c>
      <c r="B1777" t="s">
        <v>339</v>
      </c>
      <c r="C1777" t="s">
        <v>353</v>
      </c>
      <c r="D1777" t="s">
        <v>4601</v>
      </c>
      <c r="E1777" t="s">
        <v>4599</v>
      </c>
      <c r="F1777" s="46">
        <v>46097.3258762037</v>
      </c>
      <c r="G1777" s="46">
        <v>46097.3258762037</v>
      </c>
      <c r="H1777">
        <v>0</v>
      </c>
    </row>
    <row r="1778" spans="1:8" x14ac:dyDescent="0.15">
      <c r="A1778">
        <v>1777</v>
      </c>
      <c r="B1778" t="s">
        <v>339</v>
      </c>
      <c r="C1778" t="s">
        <v>353</v>
      </c>
      <c r="D1778" t="s">
        <v>4602</v>
      </c>
      <c r="E1778" t="s">
        <v>4603</v>
      </c>
      <c r="F1778" s="46">
        <v>46097.3258762037</v>
      </c>
      <c r="G1778" s="46">
        <v>46097.3258762037</v>
      </c>
      <c r="H1778">
        <v>0</v>
      </c>
    </row>
    <row r="1779" spans="1:8" x14ac:dyDescent="0.15">
      <c r="A1779">
        <v>1778</v>
      </c>
      <c r="B1779" t="s">
        <v>339</v>
      </c>
      <c r="C1779" t="s">
        <v>353</v>
      </c>
      <c r="D1779" t="s">
        <v>4604</v>
      </c>
      <c r="E1779" t="s">
        <v>4605</v>
      </c>
      <c r="F1779" s="46">
        <v>46097.3258762037</v>
      </c>
      <c r="G1779" s="46">
        <v>46097.3258762037</v>
      </c>
      <c r="H1779">
        <v>0</v>
      </c>
    </row>
    <row r="1780" spans="1:8" x14ac:dyDescent="0.15">
      <c r="A1780">
        <v>1779</v>
      </c>
      <c r="B1780" t="s">
        <v>339</v>
      </c>
      <c r="C1780" t="s">
        <v>353</v>
      </c>
      <c r="D1780" t="s">
        <v>4606</v>
      </c>
      <c r="E1780" t="s">
        <v>4607</v>
      </c>
      <c r="F1780" s="46">
        <v>46097.3258762037</v>
      </c>
      <c r="G1780" s="46">
        <v>46097.3258762037</v>
      </c>
      <c r="H1780">
        <v>0</v>
      </c>
    </row>
    <row r="1781" spans="1:8" x14ac:dyDescent="0.15">
      <c r="A1781">
        <v>1780</v>
      </c>
      <c r="B1781" t="s">
        <v>339</v>
      </c>
      <c r="C1781" t="s">
        <v>353</v>
      </c>
      <c r="D1781" t="s">
        <v>4608</v>
      </c>
      <c r="E1781" t="s">
        <v>4607</v>
      </c>
      <c r="F1781" s="46">
        <v>46097.3258762037</v>
      </c>
      <c r="G1781" s="46">
        <v>46097.3258762037</v>
      </c>
      <c r="H1781">
        <v>0</v>
      </c>
    </row>
    <row r="1782" spans="1:8" x14ac:dyDescent="0.15">
      <c r="A1782">
        <v>1781</v>
      </c>
      <c r="B1782" t="s">
        <v>339</v>
      </c>
      <c r="C1782" t="s">
        <v>353</v>
      </c>
      <c r="D1782" t="s">
        <v>4609</v>
      </c>
      <c r="E1782" t="s">
        <v>4610</v>
      </c>
      <c r="F1782" s="46">
        <v>46097.3258762037</v>
      </c>
      <c r="G1782" s="46">
        <v>46097.3258762037</v>
      </c>
      <c r="H1782">
        <v>0</v>
      </c>
    </row>
    <row r="1783" spans="1:8" x14ac:dyDescent="0.15">
      <c r="A1783">
        <v>1782</v>
      </c>
      <c r="B1783" t="s">
        <v>339</v>
      </c>
      <c r="C1783" t="s">
        <v>353</v>
      </c>
      <c r="D1783" t="s">
        <v>4611</v>
      </c>
      <c r="E1783" t="s">
        <v>4612</v>
      </c>
      <c r="F1783" s="46">
        <v>46097.3258762037</v>
      </c>
      <c r="G1783" s="46">
        <v>46097.3258762037</v>
      </c>
      <c r="H1783">
        <v>0</v>
      </c>
    </row>
    <row r="1784" spans="1:8" x14ac:dyDescent="0.15">
      <c r="A1784">
        <v>1783</v>
      </c>
      <c r="B1784" t="s">
        <v>339</v>
      </c>
      <c r="C1784" t="s">
        <v>353</v>
      </c>
      <c r="D1784" t="s">
        <v>4613</v>
      </c>
      <c r="E1784" t="s">
        <v>4614</v>
      </c>
      <c r="F1784" s="46">
        <v>46097.3258762037</v>
      </c>
      <c r="G1784" s="46">
        <v>46097.3258762037</v>
      </c>
      <c r="H1784">
        <v>0</v>
      </c>
    </row>
    <row r="1785" spans="1:8" x14ac:dyDescent="0.15">
      <c r="A1785">
        <v>1784</v>
      </c>
      <c r="B1785" t="s">
        <v>339</v>
      </c>
      <c r="C1785" t="s">
        <v>353</v>
      </c>
      <c r="D1785" t="s">
        <v>4615</v>
      </c>
      <c r="E1785" t="s">
        <v>4614</v>
      </c>
      <c r="F1785" s="46">
        <v>46097.3258762037</v>
      </c>
      <c r="G1785" s="46">
        <v>46097.325876388888</v>
      </c>
      <c r="H1785">
        <v>16</v>
      </c>
    </row>
    <row r="1786" spans="1:8" x14ac:dyDescent="0.15">
      <c r="A1786">
        <v>1785</v>
      </c>
      <c r="B1786" t="s">
        <v>339</v>
      </c>
      <c r="C1786" t="s">
        <v>353</v>
      </c>
      <c r="D1786" t="s">
        <v>4616</v>
      </c>
      <c r="E1786" t="s">
        <v>4617</v>
      </c>
      <c r="F1786" s="46">
        <v>46097.325876388888</v>
      </c>
      <c r="G1786" s="46">
        <v>46097.325876388888</v>
      </c>
      <c r="H1786">
        <v>0</v>
      </c>
    </row>
    <row r="1787" spans="1:8" x14ac:dyDescent="0.15">
      <c r="A1787">
        <v>1786</v>
      </c>
      <c r="B1787" t="s">
        <v>339</v>
      </c>
      <c r="C1787" t="s">
        <v>353</v>
      </c>
      <c r="D1787" t="s">
        <v>4618</v>
      </c>
      <c r="E1787" t="s">
        <v>4619</v>
      </c>
      <c r="F1787" s="46">
        <v>46097.325876388888</v>
      </c>
      <c r="G1787" s="46">
        <v>46097.325876388888</v>
      </c>
      <c r="H1787">
        <v>0</v>
      </c>
    </row>
    <row r="1788" spans="1:8" x14ac:dyDescent="0.15">
      <c r="A1788">
        <v>1787</v>
      </c>
      <c r="B1788" t="s">
        <v>339</v>
      </c>
      <c r="C1788" t="s">
        <v>353</v>
      </c>
      <c r="D1788" t="s">
        <v>4620</v>
      </c>
      <c r="E1788" t="s">
        <v>549</v>
      </c>
      <c r="F1788" s="46">
        <v>46097.325876388888</v>
      </c>
      <c r="G1788" s="46">
        <v>46097.325876388888</v>
      </c>
      <c r="H1788">
        <v>0</v>
      </c>
    </row>
    <row r="1789" spans="1:8" x14ac:dyDescent="0.15">
      <c r="A1789">
        <v>1788</v>
      </c>
      <c r="B1789" t="s">
        <v>339</v>
      </c>
      <c r="C1789" t="s">
        <v>353</v>
      </c>
      <c r="D1789" t="s">
        <v>4621</v>
      </c>
      <c r="E1789" t="s">
        <v>4622</v>
      </c>
      <c r="F1789" s="46">
        <v>46097.325876388888</v>
      </c>
      <c r="G1789" s="46">
        <v>46097.325876388888</v>
      </c>
      <c r="H1789">
        <v>0</v>
      </c>
    </row>
    <row r="1790" spans="1:8" x14ac:dyDescent="0.15">
      <c r="A1790">
        <v>1789</v>
      </c>
      <c r="B1790" t="s">
        <v>339</v>
      </c>
      <c r="C1790" t="s">
        <v>353</v>
      </c>
      <c r="D1790" t="s">
        <v>4623</v>
      </c>
      <c r="E1790" t="s">
        <v>4624</v>
      </c>
      <c r="F1790" s="46">
        <v>46097.325876388888</v>
      </c>
      <c r="G1790" s="46">
        <v>46097.325876388888</v>
      </c>
      <c r="H1790">
        <v>0</v>
      </c>
    </row>
    <row r="1791" spans="1:8" x14ac:dyDescent="0.15">
      <c r="A1791">
        <v>1790</v>
      </c>
      <c r="B1791" t="s">
        <v>339</v>
      </c>
      <c r="C1791" t="s">
        <v>353</v>
      </c>
      <c r="D1791" t="s">
        <v>4625</v>
      </c>
      <c r="E1791" t="s">
        <v>4626</v>
      </c>
      <c r="F1791" s="46">
        <v>46097.325876388888</v>
      </c>
      <c r="G1791" s="46">
        <v>46097.325876388888</v>
      </c>
      <c r="H1791">
        <v>0</v>
      </c>
    </row>
    <row r="1792" spans="1:8" x14ac:dyDescent="0.15">
      <c r="A1792">
        <v>1791</v>
      </c>
      <c r="B1792" t="s">
        <v>339</v>
      </c>
      <c r="C1792" t="s">
        <v>353</v>
      </c>
      <c r="D1792" t="s">
        <v>4627</v>
      </c>
      <c r="E1792" t="s">
        <v>4628</v>
      </c>
      <c r="F1792" s="46">
        <v>46097.325876388888</v>
      </c>
      <c r="G1792" s="46">
        <v>46097.325876388888</v>
      </c>
      <c r="H1792">
        <v>0</v>
      </c>
    </row>
    <row r="1793" spans="1:8" x14ac:dyDescent="0.15">
      <c r="A1793">
        <v>1792</v>
      </c>
      <c r="B1793" t="s">
        <v>339</v>
      </c>
      <c r="C1793" t="s">
        <v>353</v>
      </c>
      <c r="D1793" t="s">
        <v>4629</v>
      </c>
      <c r="E1793" t="s">
        <v>4630</v>
      </c>
      <c r="F1793" s="46">
        <v>46097.325876388888</v>
      </c>
      <c r="G1793" s="46">
        <v>46097.325876388888</v>
      </c>
      <c r="H1793">
        <v>0</v>
      </c>
    </row>
    <row r="1794" spans="1:8" x14ac:dyDescent="0.15">
      <c r="A1794">
        <v>1793</v>
      </c>
      <c r="B1794" t="s">
        <v>339</v>
      </c>
      <c r="C1794" t="s">
        <v>353</v>
      </c>
      <c r="D1794" t="s">
        <v>4631</v>
      </c>
      <c r="E1794" t="s">
        <v>4632</v>
      </c>
      <c r="F1794" s="46">
        <v>46097.325876388888</v>
      </c>
      <c r="G1794" s="46">
        <v>46097.325876388888</v>
      </c>
      <c r="H1794">
        <v>0</v>
      </c>
    </row>
    <row r="1795" spans="1:8" x14ac:dyDescent="0.15">
      <c r="A1795">
        <v>1794</v>
      </c>
      <c r="B1795" t="s">
        <v>339</v>
      </c>
      <c r="C1795" t="s">
        <v>353</v>
      </c>
      <c r="D1795" t="s">
        <v>4633</v>
      </c>
      <c r="E1795" t="s">
        <v>4634</v>
      </c>
      <c r="F1795" s="46">
        <v>46097.325876388888</v>
      </c>
      <c r="G1795" s="46">
        <v>46097.325876388888</v>
      </c>
      <c r="H1795">
        <v>0</v>
      </c>
    </row>
    <row r="1796" spans="1:8" x14ac:dyDescent="0.15">
      <c r="A1796">
        <v>1795</v>
      </c>
      <c r="B1796" t="s">
        <v>339</v>
      </c>
      <c r="C1796" t="s">
        <v>353</v>
      </c>
      <c r="D1796" t="s">
        <v>4635</v>
      </c>
      <c r="E1796" t="s">
        <v>4634</v>
      </c>
      <c r="F1796" s="46">
        <v>46097.325876388888</v>
      </c>
      <c r="G1796" s="46">
        <v>46097.325876574083</v>
      </c>
      <c r="H1796">
        <v>15</v>
      </c>
    </row>
    <row r="1797" spans="1:8" x14ac:dyDescent="0.15">
      <c r="A1797">
        <v>1796</v>
      </c>
      <c r="B1797" t="s">
        <v>339</v>
      </c>
      <c r="C1797" t="s">
        <v>353</v>
      </c>
      <c r="D1797" t="s">
        <v>4636</v>
      </c>
      <c r="E1797" t="s">
        <v>4634</v>
      </c>
      <c r="F1797" s="46">
        <v>46097.325876574083</v>
      </c>
      <c r="G1797" s="46">
        <v>46097.325876574083</v>
      </c>
      <c r="H1797">
        <v>0</v>
      </c>
    </row>
    <row r="1798" spans="1:8" x14ac:dyDescent="0.15">
      <c r="A1798">
        <v>1797</v>
      </c>
      <c r="B1798" t="s">
        <v>339</v>
      </c>
      <c r="C1798" t="s">
        <v>353</v>
      </c>
      <c r="D1798" t="s">
        <v>4637</v>
      </c>
      <c r="E1798" t="s">
        <v>4634</v>
      </c>
      <c r="F1798" s="46">
        <v>46097.325876574083</v>
      </c>
      <c r="G1798" s="46">
        <v>46097.325876574083</v>
      </c>
      <c r="H1798">
        <v>0</v>
      </c>
    </row>
    <row r="1799" spans="1:8" x14ac:dyDescent="0.15">
      <c r="A1799">
        <v>1798</v>
      </c>
      <c r="B1799" t="s">
        <v>339</v>
      </c>
      <c r="C1799" t="s">
        <v>353</v>
      </c>
      <c r="D1799" t="s">
        <v>4638</v>
      </c>
      <c r="E1799" t="s">
        <v>4634</v>
      </c>
      <c r="F1799" s="46">
        <v>46097.325876574083</v>
      </c>
      <c r="G1799" s="46">
        <v>46097.325876574083</v>
      </c>
      <c r="H1799">
        <v>0</v>
      </c>
    </row>
    <row r="1800" spans="1:8" x14ac:dyDescent="0.15">
      <c r="A1800">
        <v>1799</v>
      </c>
      <c r="B1800" t="s">
        <v>339</v>
      </c>
      <c r="C1800" t="s">
        <v>353</v>
      </c>
      <c r="D1800" t="s">
        <v>4639</v>
      </c>
      <c r="E1800" t="s">
        <v>4634</v>
      </c>
      <c r="F1800" s="46">
        <v>46097.325876574083</v>
      </c>
      <c r="G1800" s="46">
        <v>46097.325876574083</v>
      </c>
      <c r="H1800">
        <v>0</v>
      </c>
    </row>
    <row r="1801" spans="1:8" x14ac:dyDescent="0.15">
      <c r="A1801">
        <v>1800</v>
      </c>
      <c r="B1801" t="s">
        <v>339</v>
      </c>
      <c r="C1801" t="s">
        <v>353</v>
      </c>
      <c r="D1801" t="s">
        <v>4640</v>
      </c>
      <c r="E1801" t="s">
        <v>4641</v>
      </c>
      <c r="F1801" s="46">
        <v>46097.325876574083</v>
      </c>
      <c r="G1801" s="46">
        <v>46097.325876574083</v>
      </c>
      <c r="H1801">
        <v>0</v>
      </c>
    </row>
    <row r="1802" spans="1:8" x14ac:dyDescent="0.15">
      <c r="A1802">
        <v>1801</v>
      </c>
      <c r="B1802" t="s">
        <v>339</v>
      </c>
      <c r="C1802" t="s">
        <v>353</v>
      </c>
      <c r="D1802" t="s">
        <v>4642</v>
      </c>
      <c r="E1802" t="s">
        <v>4641</v>
      </c>
      <c r="F1802" s="46">
        <v>46097.325876574083</v>
      </c>
      <c r="G1802" s="46">
        <v>46097.325876574083</v>
      </c>
      <c r="H1802">
        <v>0</v>
      </c>
    </row>
    <row r="1803" spans="1:8" x14ac:dyDescent="0.15">
      <c r="A1803">
        <v>1802</v>
      </c>
      <c r="B1803" t="s">
        <v>339</v>
      </c>
      <c r="C1803" t="s">
        <v>353</v>
      </c>
      <c r="D1803" t="s">
        <v>4643</v>
      </c>
      <c r="E1803" t="s">
        <v>4641</v>
      </c>
      <c r="F1803" s="46">
        <v>46097.325876574083</v>
      </c>
      <c r="G1803" s="46">
        <v>46097.325876574083</v>
      </c>
      <c r="H1803">
        <v>0</v>
      </c>
    </row>
    <row r="1804" spans="1:8" x14ac:dyDescent="0.15">
      <c r="A1804">
        <v>1803</v>
      </c>
      <c r="B1804" t="s">
        <v>339</v>
      </c>
      <c r="C1804" t="s">
        <v>353</v>
      </c>
      <c r="D1804" t="s">
        <v>4644</v>
      </c>
      <c r="E1804" t="s">
        <v>4645</v>
      </c>
      <c r="F1804" s="46">
        <v>46097.325876574083</v>
      </c>
      <c r="G1804" s="46">
        <v>46097.325876574083</v>
      </c>
      <c r="H1804">
        <v>0</v>
      </c>
    </row>
    <row r="1805" spans="1:8" x14ac:dyDescent="0.15">
      <c r="A1805">
        <v>1804</v>
      </c>
      <c r="B1805" t="s">
        <v>339</v>
      </c>
      <c r="C1805" t="s">
        <v>353</v>
      </c>
      <c r="D1805" t="s">
        <v>4646</v>
      </c>
      <c r="E1805" t="s">
        <v>4645</v>
      </c>
      <c r="F1805" s="46">
        <v>46097.325876574083</v>
      </c>
      <c r="G1805" s="46">
        <v>46097.325876574083</v>
      </c>
      <c r="H1805">
        <v>0</v>
      </c>
    </row>
    <row r="1806" spans="1:8" x14ac:dyDescent="0.15">
      <c r="A1806">
        <v>1805</v>
      </c>
      <c r="B1806" t="s">
        <v>339</v>
      </c>
      <c r="C1806" t="s">
        <v>353</v>
      </c>
      <c r="D1806" t="s">
        <v>4647</v>
      </c>
      <c r="E1806" t="s">
        <v>4645</v>
      </c>
      <c r="F1806" s="46">
        <v>46097.325876574083</v>
      </c>
      <c r="G1806" s="46">
        <v>46097.325876747687</v>
      </c>
      <c r="H1806">
        <v>16</v>
      </c>
    </row>
    <row r="1807" spans="1:8" x14ac:dyDescent="0.15">
      <c r="A1807">
        <v>1806</v>
      </c>
      <c r="B1807" t="s">
        <v>339</v>
      </c>
      <c r="C1807" t="s">
        <v>353</v>
      </c>
      <c r="D1807" t="s">
        <v>4648</v>
      </c>
      <c r="E1807" t="s">
        <v>4649</v>
      </c>
      <c r="F1807" s="46">
        <v>46097.325876747687</v>
      </c>
      <c r="G1807" s="46">
        <v>46097.325876747687</v>
      </c>
      <c r="H1807">
        <v>0</v>
      </c>
    </row>
    <row r="1808" spans="1:8" x14ac:dyDescent="0.15">
      <c r="A1808">
        <v>1807</v>
      </c>
      <c r="B1808" t="s">
        <v>339</v>
      </c>
      <c r="C1808" t="s">
        <v>353</v>
      </c>
      <c r="D1808" t="s">
        <v>4650</v>
      </c>
      <c r="E1808" t="s">
        <v>4651</v>
      </c>
      <c r="F1808" s="46">
        <v>46097.325876747687</v>
      </c>
      <c r="G1808" s="46">
        <v>46097.325876747687</v>
      </c>
      <c r="H1808">
        <v>0</v>
      </c>
    </row>
    <row r="1809" spans="1:8" x14ac:dyDescent="0.15">
      <c r="A1809">
        <v>1808</v>
      </c>
      <c r="B1809" t="s">
        <v>339</v>
      </c>
      <c r="C1809" t="s">
        <v>353</v>
      </c>
      <c r="D1809" t="s">
        <v>4652</v>
      </c>
      <c r="E1809" t="s">
        <v>4651</v>
      </c>
      <c r="F1809" s="46">
        <v>46097.325876747687</v>
      </c>
      <c r="G1809" s="46">
        <v>46097.325876747687</v>
      </c>
      <c r="H1809">
        <v>0</v>
      </c>
    </row>
    <row r="1810" spans="1:8" x14ac:dyDescent="0.15">
      <c r="A1810">
        <v>1809</v>
      </c>
      <c r="B1810" t="s">
        <v>339</v>
      </c>
      <c r="C1810" t="s">
        <v>353</v>
      </c>
      <c r="D1810" t="s">
        <v>4653</v>
      </c>
      <c r="E1810" t="s">
        <v>4651</v>
      </c>
      <c r="F1810" s="46">
        <v>46097.325876747687</v>
      </c>
      <c r="G1810" s="46">
        <v>46097.325876747687</v>
      </c>
      <c r="H1810">
        <v>0</v>
      </c>
    </row>
    <row r="1811" spans="1:8" x14ac:dyDescent="0.15">
      <c r="A1811">
        <v>1810</v>
      </c>
      <c r="B1811" t="s">
        <v>339</v>
      </c>
      <c r="C1811" t="s">
        <v>353</v>
      </c>
      <c r="D1811" t="s">
        <v>4654</v>
      </c>
      <c r="E1811" t="s">
        <v>4651</v>
      </c>
      <c r="F1811" s="46">
        <v>46097.325876747687</v>
      </c>
      <c r="G1811" s="46">
        <v>46097.325876747687</v>
      </c>
      <c r="H1811">
        <v>0</v>
      </c>
    </row>
    <row r="1812" spans="1:8" x14ac:dyDescent="0.15">
      <c r="A1812">
        <v>1811</v>
      </c>
      <c r="B1812" t="s">
        <v>339</v>
      </c>
      <c r="C1812" t="s">
        <v>353</v>
      </c>
      <c r="D1812" t="s">
        <v>4655</v>
      </c>
      <c r="E1812" t="s">
        <v>4651</v>
      </c>
      <c r="F1812" s="46">
        <v>46097.325876747687</v>
      </c>
      <c r="G1812" s="46">
        <v>46097.325876747687</v>
      </c>
      <c r="H1812">
        <v>0</v>
      </c>
    </row>
    <row r="1813" spans="1:8" x14ac:dyDescent="0.15">
      <c r="A1813">
        <v>1812</v>
      </c>
      <c r="B1813" t="s">
        <v>339</v>
      </c>
      <c r="C1813" t="s">
        <v>353</v>
      </c>
      <c r="D1813" t="s">
        <v>4656</v>
      </c>
      <c r="E1813" t="s">
        <v>4657</v>
      </c>
      <c r="F1813" s="46">
        <v>46097.325876747687</v>
      </c>
      <c r="G1813" s="46">
        <v>46097.325876747687</v>
      </c>
      <c r="H1813">
        <v>0</v>
      </c>
    </row>
    <row r="1814" spans="1:8" x14ac:dyDescent="0.15">
      <c r="A1814">
        <v>1813</v>
      </c>
      <c r="B1814" t="s">
        <v>339</v>
      </c>
      <c r="C1814" t="s">
        <v>353</v>
      </c>
      <c r="D1814" t="s">
        <v>4658</v>
      </c>
      <c r="E1814" t="s">
        <v>4659</v>
      </c>
      <c r="F1814" s="46">
        <v>46097.325876747687</v>
      </c>
      <c r="G1814" s="46">
        <v>46097.325876747687</v>
      </c>
      <c r="H1814">
        <v>0</v>
      </c>
    </row>
    <row r="1815" spans="1:8" x14ac:dyDescent="0.15">
      <c r="A1815">
        <v>1814</v>
      </c>
      <c r="B1815" t="s">
        <v>339</v>
      </c>
      <c r="C1815" t="s">
        <v>353</v>
      </c>
      <c r="D1815" t="s">
        <v>4660</v>
      </c>
      <c r="E1815" t="s">
        <v>4659</v>
      </c>
      <c r="F1815" s="46">
        <v>46097.325876747687</v>
      </c>
      <c r="G1815" s="46">
        <v>46097.325876747687</v>
      </c>
      <c r="H1815">
        <v>0</v>
      </c>
    </row>
    <row r="1816" spans="1:8" x14ac:dyDescent="0.15">
      <c r="A1816">
        <v>1815</v>
      </c>
      <c r="B1816" t="s">
        <v>339</v>
      </c>
      <c r="C1816" t="s">
        <v>353</v>
      </c>
      <c r="D1816" t="s">
        <v>4661</v>
      </c>
      <c r="E1816" t="s">
        <v>4662</v>
      </c>
      <c r="F1816" s="46">
        <v>46097.325876747687</v>
      </c>
      <c r="G1816" s="46">
        <v>46097.325876932868</v>
      </c>
      <c r="H1816">
        <v>15</v>
      </c>
    </row>
    <row r="1817" spans="1:8" x14ac:dyDescent="0.15">
      <c r="A1817">
        <v>1816</v>
      </c>
      <c r="B1817" t="s">
        <v>339</v>
      </c>
      <c r="C1817" t="s">
        <v>353</v>
      </c>
      <c r="D1817" t="s">
        <v>4663</v>
      </c>
      <c r="E1817" t="s">
        <v>4664</v>
      </c>
      <c r="F1817" s="46">
        <v>46097.325876932868</v>
      </c>
      <c r="G1817" s="46">
        <v>46097.325876932868</v>
      </c>
      <c r="H1817">
        <v>0</v>
      </c>
    </row>
    <row r="1818" spans="1:8" x14ac:dyDescent="0.15">
      <c r="A1818">
        <v>1817</v>
      </c>
      <c r="B1818" t="s">
        <v>339</v>
      </c>
      <c r="C1818" t="s">
        <v>353</v>
      </c>
      <c r="D1818" t="s">
        <v>4665</v>
      </c>
      <c r="E1818" t="s">
        <v>4666</v>
      </c>
      <c r="F1818" s="46">
        <v>46097.325876932868</v>
      </c>
      <c r="G1818" s="46">
        <v>46097.325876932868</v>
      </c>
      <c r="H1818">
        <v>0</v>
      </c>
    </row>
    <row r="1819" spans="1:8" x14ac:dyDescent="0.15">
      <c r="A1819">
        <v>1818</v>
      </c>
      <c r="B1819" t="s">
        <v>339</v>
      </c>
      <c r="C1819" t="s">
        <v>353</v>
      </c>
      <c r="D1819" t="s">
        <v>4667</v>
      </c>
      <c r="E1819" t="s">
        <v>4666</v>
      </c>
      <c r="F1819" s="46">
        <v>46097.325876932868</v>
      </c>
      <c r="G1819" s="46">
        <v>46097.325876932868</v>
      </c>
      <c r="H1819">
        <v>0</v>
      </c>
    </row>
    <row r="1820" spans="1:8" x14ac:dyDescent="0.15">
      <c r="A1820">
        <v>1819</v>
      </c>
      <c r="B1820" t="s">
        <v>339</v>
      </c>
      <c r="C1820" t="s">
        <v>353</v>
      </c>
      <c r="D1820" t="s">
        <v>4668</v>
      </c>
      <c r="E1820" t="s">
        <v>4666</v>
      </c>
      <c r="F1820" s="46">
        <v>46097.325876932868</v>
      </c>
      <c r="G1820" s="46">
        <v>46097.325876932868</v>
      </c>
      <c r="H1820">
        <v>0</v>
      </c>
    </row>
    <row r="1821" spans="1:8" x14ac:dyDescent="0.15">
      <c r="A1821">
        <v>1820</v>
      </c>
      <c r="B1821" t="s">
        <v>339</v>
      </c>
      <c r="C1821" t="s">
        <v>353</v>
      </c>
      <c r="D1821" t="s">
        <v>4669</v>
      </c>
      <c r="E1821" t="s">
        <v>4670</v>
      </c>
      <c r="F1821" s="46">
        <v>46097.325876932868</v>
      </c>
      <c r="G1821" s="46">
        <v>46097.325876932868</v>
      </c>
      <c r="H1821">
        <v>0</v>
      </c>
    </row>
    <row r="1822" spans="1:8" x14ac:dyDescent="0.15">
      <c r="A1822">
        <v>1821</v>
      </c>
      <c r="B1822" t="s">
        <v>339</v>
      </c>
      <c r="C1822" t="s">
        <v>353</v>
      </c>
      <c r="D1822" t="s">
        <v>4671</v>
      </c>
      <c r="E1822" t="s">
        <v>4670</v>
      </c>
      <c r="F1822" s="46">
        <v>46097.325876932868</v>
      </c>
      <c r="G1822" s="46">
        <v>46097.325876932868</v>
      </c>
      <c r="H1822">
        <v>0</v>
      </c>
    </row>
    <row r="1823" spans="1:8" x14ac:dyDescent="0.15">
      <c r="A1823">
        <v>1822</v>
      </c>
      <c r="B1823" t="s">
        <v>339</v>
      </c>
      <c r="C1823" t="s">
        <v>353</v>
      </c>
      <c r="D1823" t="s">
        <v>4672</v>
      </c>
      <c r="E1823" t="s">
        <v>4670</v>
      </c>
      <c r="F1823" s="46">
        <v>46097.325876932868</v>
      </c>
      <c r="G1823" s="46">
        <v>46097.325876932868</v>
      </c>
      <c r="H1823">
        <v>0</v>
      </c>
    </row>
    <row r="1824" spans="1:8" x14ac:dyDescent="0.15">
      <c r="A1824">
        <v>1823</v>
      </c>
      <c r="B1824" t="s">
        <v>339</v>
      </c>
      <c r="C1824" t="s">
        <v>353</v>
      </c>
      <c r="D1824" t="s">
        <v>4673</v>
      </c>
      <c r="E1824" t="s">
        <v>4670</v>
      </c>
      <c r="F1824" s="46">
        <v>46097.325876932868</v>
      </c>
      <c r="G1824" s="46">
        <v>46097.325876932868</v>
      </c>
      <c r="H1824">
        <v>0</v>
      </c>
    </row>
    <row r="1825" spans="1:8" x14ac:dyDescent="0.15">
      <c r="A1825">
        <v>1824</v>
      </c>
      <c r="B1825" t="s">
        <v>339</v>
      </c>
      <c r="C1825" t="s">
        <v>353</v>
      </c>
      <c r="D1825" t="s">
        <v>4674</v>
      </c>
      <c r="E1825" t="s">
        <v>4675</v>
      </c>
      <c r="F1825" s="46">
        <v>46097.325876932868</v>
      </c>
      <c r="G1825" s="46">
        <v>46097.325876932868</v>
      </c>
      <c r="H1825">
        <v>0</v>
      </c>
    </row>
    <row r="1826" spans="1:8" x14ac:dyDescent="0.15">
      <c r="A1826">
        <v>1825</v>
      </c>
      <c r="B1826" t="s">
        <v>339</v>
      </c>
      <c r="C1826" t="s">
        <v>353</v>
      </c>
      <c r="D1826" t="s">
        <v>4676</v>
      </c>
      <c r="E1826" t="s">
        <v>4677</v>
      </c>
      <c r="F1826" s="46">
        <v>46097.325876932868</v>
      </c>
      <c r="G1826" s="46">
        <v>46097.325876932868</v>
      </c>
      <c r="H1826">
        <v>0</v>
      </c>
    </row>
    <row r="1827" spans="1:8" x14ac:dyDescent="0.15">
      <c r="A1827">
        <v>1826</v>
      </c>
      <c r="B1827" t="s">
        <v>339</v>
      </c>
      <c r="C1827" t="s">
        <v>353</v>
      </c>
      <c r="D1827" t="s">
        <v>4678</v>
      </c>
      <c r="E1827" t="s">
        <v>4679</v>
      </c>
      <c r="F1827" s="46">
        <v>46097.325877118063</v>
      </c>
      <c r="G1827" s="46">
        <v>46097.325877118063</v>
      </c>
      <c r="H1827">
        <v>0</v>
      </c>
    </row>
    <row r="1828" spans="1:8" x14ac:dyDescent="0.15">
      <c r="A1828">
        <v>1827</v>
      </c>
      <c r="B1828" t="s">
        <v>339</v>
      </c>
      <c r="C1828" t="s">
        <v>353</v>
      </c>
      <c r="D1828" t="s">
        <v>4680</v>
      </c>
      <c r="E1828" t="s">
        <v>4681</v>
      </c>
      <c r="F1828" s="46">
        <v>46097.325877118063</v>
      </c>
      <c r="G1828" s="46">
        <v>46097.325877118063</v>
      </c>
      <c r="H1828">
        <v>0</v>
      </c>
    </row>
    <row r="1829" spans="1:8" x14ac:dyDescent="0.15">
      <c r="A1829">
        <v>1828</v>
      </c>
      <c r="B1829" t="s">
        <v>339</v>
      </c>
      <c r="C1829" t="s">
        <v>353</v>
      </c>
      <c r="D1829" t="s">
        <v>4682</v>
      </c>
      <c r="E1829" t="s">
        <v>4681</v>
      </c>
      <c r="F1829" s="46">
        <v>46097.325877118063</v>
      </c>
      <c r="G1829" s="46">
        <v>46097.325877118063</v>
      </c>
      <c r="H1829">
        <v>0</v>
      </c>
    </row>
    <row r="1830" spans="1:8" x14ac:dyDescent="0.15">
      <c r="A1830">
        <v>1829</v>
      </c>
      <c r="B1830" t="s">
        <v>339</v>
      </c>
      <c r="C1830" t="s">
        <v>353</v>
      </c>
      <c r="D1830" t="s">
        <v>4683</v>
      </c>
      <c r="E1830" t="s">
        <v>4684</v>
      </c>
      <c r="F1830" s="46">
        <v>46097.325877118063</v>
      </c>
      <c r="G1830" s="46">
        <v>46097.325877118063</v>
      </c>
      <c r="H1830">
        <v>0</v>
      </c>
    </row>
    <row r="1831" spans="1:8" x14ac:dyDescent="0.15">
      <c r="A1831">
        <v>1830</v>
      </c>
      <c r="B1831" t="s">
        <v>339</v>
      </c>
      <c r="C1831" t="s">
        <v>353</v>
      </c>
      <c r="D1831" t="s">
        <v>4685</v>
      </c>
      <c r="E1831" t="s">
        <v>4686</v>
      </c>
      <c r="F1831" s="46">
        <v>46097.325877118063</v>
      </c>
      <c r="G1831" s="46">
        <v>46097.325877118063</v>
      </c>
      <c r="H1831">
        <v>0</v>
      </c>
    </row>
    <row r="1832" spans="1:8" x14ac:dyDescent="0.15">
      <c r="A1832">
        <v>1831</v>
      </c>
      <c r="B1832" t="s">
        <v>339</v>
      </c>
      <c r="C1832" t="s">
        <v>353</v>
      </c>
      <c r="D1832" t="s">
        <v>4687</v>
      </c>
      <c r="E1832" t="s">
        <v>4686</v>
      </c>
      <c r="F1832" s="46">
        <v>46097.325877118063</v>
      </c>
      <c r="G1832" s="46">
        <v>46097.325877118063</v>
      </c>
      <c r="H1832">
        <v>0</v>
      </c>
    </row>
    <row r="1833" spans="1:8" x14ac:dyDescent="0.15">
      <c r="A1833">
        <v>1832</v>
      </c>
      <c r="B1833" t="s">
        <v>339</v>
      </c>
      <c r="C1833" t="s">
        <v>353</v>
      </c>
      <c r="D1833" t="s">
        <v>4688</v>
      </c>
      <c r="E1833" t="s">
        <v>4689</v>
      </c>
      <c r="F1833" s="46">
        <v>46097.325877118063</v>
      </c>
      <c r="G1833" s="46">
        <v>46097.325877118063</v>
      </c>
      <c r="H1833">
        <v>0</v>
      </c>
    </row>
    <row r="1834" spans="1:8" x14ac:dyDescent="0.15">
      <c r="A1834">
        <v>1833</v>
      </c>
      <c r="B1834" t="s">
        <v>339</v>
      </c>
      <c r="C1834" t="s">
        <v>353</v>
      </c>
      <c r="D1834" t="s">
        <v>4690</v>
      </c>
      <c r="E1834" t="s">
        <v>4689</v>
      </c>
      <c r="F1834" s="46">
        <v>46097.325877118063</v>
      </c>
      <c r="G1834" s="46">
        <v>46097.325877118063</v>
      </c>
      <c r="H1834">
        <v>0</v>
      </c>
    </row>
    <row r="1835" spans="1:8" x14ac:dyDescent="0.15">
      <c r="A1835">
        <v>1834</v>
      </c>
      <c r="B1835" t="s">
        <v>339</v>
      </c>
      <c r="C1835" t="s">
        <v>353</v>
      </c>
      <c r="D1835" t="s">
        <v>4691</v>
      </c>
      <c r="E1835" t="s">
        <v>4689</v>
      </c>
      <c r="F1835" s="46">
        <v>46097.325877118063</v>
      </c>
      <c r="G1835" s="46">
        <v>46097.325877118063</v>
      </c>
      <c r="H1835">
        <v>0</v>
      </c>
    </row>
    <row r="1836" spans="1:8" x14ac:dyDescent="0.15">
      <c r="A1836">
        <v>1835</v>
      </c>
      <c r="B1836" t="s">
        <v>339</v>
      </c>
      <c r="C1836" t="s">
        <v>353</v>
      </c>
      <c r="D1836" t="s">
        <v>4692</v>
      </c>
      <c r="E1836" t="s">
        <v>4689</v>
      </c>
      <c r="F1836" s="46">
        <v>46097.325877118063</v>
      </c>
      <c r="G1836" s="46">
        <v>46097.325877118063</v>
      </c>
      <c r="H1836">
        <v>0</v>
      </c>
    </row>
    <row r="1837" spans="1:8" x14ac:dyDescent="0.15">
      <c r="A1837">
        <v>1836</v>
      </c>
      <c r="B1837" t="s">
        <v>339</v>
      </c>
      <c r="C1837" t="s">
        <v>353</v>
      </c>
      <c r="D1837" t="s">
        <v>4693</v>
      </c>
      <c r="E1837" t="s">
        <v>4694</v>
      </c>
      <c r="F1837" s="46">
        <v>46097.325877118063</v>
      </c>
      <c r="G1837" s="46">
        <v>46097.325877291667</v>
      </c>
      <c r="H1837">
        <v>16</v>
      </c>
    </row>
    <row r="1838" spans="1:8" x14ac:dyDescent="0.15">
      <c r="A1838">
        <v>1837</v>
      </c>
      <c r="B1838" t="s">
        <v>339</v>
      </c>
      <c r="C1838" t="s">
        <v>353</v>
      </c>
      <c r="D1838" t="s">
        <v>4695</v>
      </c>
      <c r="E1838" t="s">
        <v>4694</v>
      </c>
      <c r="F1838" s="46">
        <v>46097.325877291667</v>
      </c>
      <c r="G1838" s="46">
        <v>46097.325877291667</v>
      </c>
      <c r="H1838">
        <v>0</v>
      </c>
    </row>
    <row r="1839" spans="1:8" x14ac:dyDescent="0.15">
      <c r="A1839">
        <v>1838</v>
      </c>
      <c r="B1839" t="s">
        <v>339</v>
      </c>
      <c r="C1839" t="s">
        <v>353</v>
      </c>
      <c r="D1839" t="s">
        <v>4696</v>
      </c>
      <c r="E1839" t="s">
        <v>4694</v>
      </c>
      <c r="F1839" s="46">
        <v>46097.325877291667</v>
      </c>
      <c r="G1839" s="46">
        <v>46097.325877291667</v>
      </c>
      <c r="H1839">
        <v>0</v>
      </c>
    </row>
    <row r="1840" spans="1:8" x14ac:dyDescent="0.15">
      <c r="A1840">
        <v>1839</v>
      </c>
      <c r="B1840" t="s">
        <v>339</v>
      </c>
      <c r="C1840" t="s">
        <v>353</v>
      </c>
      <c r="D1840" t="s">
        <v>4697</v>
      </c>
      <c r="E1840" t="s">
        <v>4698</v>
      </c>
      <c r="F1840" s="46">
        <v>46097.325877291667</v>
      </c>
      <c r="G1840" s="46">
        <v>46097.325877291667</v>
      </c>
      <c r="H1840">
        <v>0</v>
      </c>
    </row>
    <row r="1841" spans="1:8" x14ac:dyDescent="0.15">
      <c r="A1841">
        <v>1840</v>
      </c>
      <c r="B1841" t="s">
        <v>339</v>
      </c>
      <c r="C1841" t="s">
        <v>353</v>
      </c>
      <c r="D1841" t="s">
        <v>4699</v>
      </c>
      <c r="E1841" t="s">
        <v>4698</v>
      </c>
      <c r="F1841" s="46">
        <v>46097.325877291667</v>
      </c>
      <c r="G1841" s="46">
        <v>46097.325877291667</v>
      </c>
      <c r="H1841">
        <v>0</v>
      </c>
    </row>
    <row r="1842" spans="1:8" x14ac:dyDescent="0.15">
      <c r="A1842">
        <v>1841</v>
      </c>
      <c r="B1842" t="s">
        <v>339</v>
      </c>
      <c r="C1842" t="s">
        <v>353</v>
      </c>
      <c r="D1842" t="s">
        <v>4700</v>
      </c>
      <c r="E1842" t="s">
        <v>4701</v>
      </c>
      <c r="F1842" s="46">
        <v>46097.325877291667</v>
      </c>
      <c r="G1842" s="46">
        <v>46097.325877291667</v>
      </c>
      <c r="H1842">
        <v>0</v>
      </c>
    </row>
    <row r="1843" spans="1:8" x14ac:dyDescent="0.15">
      <c r="A1843">
        <v>1842</v>
      </c>
      <c r="B1843" t="s">
        <v>339</v>
      </c>
      <c r="C1843" t="s">
        <v>353</v>
      </c>
      <c r="D1843" t="s">
        <v>4702</v>
      </c>
      <c r="E1843" t="s">
        <v>4703</v>
      </c>
      <c r="F1843" s="46">
        <v>46097.325877291667</v>
      </c>
      <c r="G1843" s="46">
        <v>46097.325877291667</v>
      </c>
      <c r="H1843">
        <v>0</v>
      </c>
    </row>
    <row r="1844" spans="1:8" x14ac:dyDescent="0.15">
      <c r="A1844">
        <v>1843</v>
      </c>
      <c r="B1844" t="s">
        <v>339</v>
      </c>
      <c r="C1844" t="s">
        <v>353</v>
      </c>
      <c r="D1844" t="s">
        <v>4704</v>
      </c>
      <c r="E1844" t="s">
        <v>4705</v>
      </c>
      <c r="F1844" s="46">
        <v>46097.325877291667</v>
      </c>
      <c r="G1844" s="46">
        <v>46097.325877291667</v>
      </c>
      <c r="H1844">
        <v>0</v>
      </c>
    </row>
    <row r="1845" spans="1:8" x14ac:dyDescent="0.15">
      <c r="A1845">
        <v>1844</v>
      </c>
      <c r="B1845" t="s">
        <v>339</v>
      </c>
      <c r="C1845" t="s">
        <v>353</v>
      </c>
      <c r="D1845" t="s">
        <v>4706</v>
      </c>
      <c r="E1845" t="s">
        <v>4707</v>
      </c>
      <c r="F1845" s="46">
        <v>46097.325877291667</v>
      </c>
      <c r="G1845" s="46">
        <v>46097.325877291667</v>
      </c>
      <c r="H1845">
        <v>0</v>
      </c>
    </row>
    <row r="1846" spans="1:8" x14ac:dyDescent="0.15">
      <c r="A1846">
        <v>1845</v>
      </c>
      <c r="B1846" t="s">
        <v>339</v>
      </c>
      <c r="C1846" t="s">
        <v>353</v>
      </c>
      <c r="D1846" t="s">
        <v>4708</v>
      </c>
      <c r="E1846" t="s">
        <v>4709</v>
      </c>
      <c r="F1846" s="46">
        <v>46097.325877291667</v>
      </c>
      <c r="G1846" s="46">
        <v>46097.325877291667</v>
      </c>
      <c r="H1846">
        <v>0</v>
      </c>
    </row>
    <row r="1847" spans="1:8" x14ac:dyDescent="0.15">
      <c r="A1847">
        <v>1846</v>
      </c>
      <c r="B1847" t="s">
        <v>339</v>
      </c>
      <c r="C1847" t="s">
        <v>353</v>
      </c>
      <c r="D1847" t="s">
        <v>4710</v>
      </c>
      <c r="E1847" t="s">
        <v>4709</v>
      </c>
      <c r="F1847" s="46">
        <v>46097.325877291667</v>
      </c>
      <c r="G1847" s="46">
        <v>46097.325877476847</v>
      </c>
      <c r="H1847">
        <v>15</v>
      </c>
    </row>
    <row r="1848" spans="1:8" x14ac:dyDescent="0.15">
      <c r="A1848">
        <v>1847</v>
      </c>
      <c r="B1848" t="s">
        <v>339</v>
      </c>
      <c r="C1848" t="s">
        <v>353</v>
      </c>
      <c r="D1848" t="s">
        <v>4711</v>
      </c>
      <c r="E1848" t="s">
        <v>4709</v>
      </c>
      <c r="F1848" s="46">
        <v>46097.325877476847</v>
      </c>
      <c r="G1848" s="46">
        <v>46097.325877476847</v>
      </c>
      <c r="H1848">
        <v>0</v>
      </c>
    </row>
    <row r="1849" spans="1:8" x14ac:dyDescent="0.15">
      <c r="A1849">
        <v>1848</v>
      </c>
      <c r="B1849" t="s">
        <v>339</v>
      </c>
      <c r="C1849" t="s">
        <v>353</v>
      </c>
      <c r="D1849" t="s">
        <v>4712</v>
      </c>
      <c r="E1849" t="s">
        <v>4713</v>
      </c>
      <c r="F1849" s="46">
        <v>46097.325877476847</v>
      </c>
      <c r="G1849" s="46">
        <v>46097.325877476847</v>
      </c>
      <c r="H1849">
        <v>0</v>
      </c>
    </row>
    <row r="1850" spans="1:8" x14ac:dyDescent="0.15">
      <c r="A1850">
        <v>1849</v>
      </c>
      <c r="B1850" t="s">
        <v>339</v>
      </c>
      <c r="C1850" t="s">
        <v>353</v>
      </c>
      <c r="D1850" t="s">
        <v>4714</v>
      </c>
      <c r="E1850" t="s">
        <v>4713</v>
      </c>
      <c r="F1850" s="46">
        <v>46097.325877476847</v>
      </c>
      <c r="G1850" s="46">
        <v>46097.325877476847</v>
      </c>
      <c r="H1850">
        <v>0</v>
      </c>
    </row>
    <row r="1851" spans="1:8" x14ac:dyDescent="0.15">
      <c r="A1851">
        <v>1850</v>
      </c>
      <c r="B1851" t="s">
        <v>339</v>
      </c>
      <c r="C1851" t="s">
        <v>353</v>
      </c>
      <c r="D1851" t="s">
        <v>4715</v>
      </c>
      <c r="E1851" t="s">
        <v>4716</v>
      </c>
      <c r="F1851" s="46">
        <v>46097.325877476847</v>
      </c>
      <c r="G1851" s="46">
        <v>46097.325877476847</v>
      </c>
      <c r="H1851">
        <v>0</v>
      </c>
    </row>
    <row r="1852" spans="1:8" x14ac:dyDescent="0.15">
      <c r="A1852">
        <v>1851</v>
      </c>
      <c r="B1852" t="s">
        <v>339</v>
      </c>
      <c r="C1852" t="s">
        <v>353</v>
      </c>
      <c r="D1852" t="s">
        <v>4717</v>
      </c>
      <c r="E1852" t="s">
        <v>4716</v>
      </c>
      <c r="F1852" s="46">
        <v>46097.325877476847</v>
      </c>
      <c r="G1852" s="46">
        <v>46097.325877476847</v>
      </c>
      <c r="H1852">
        <v>0</v>
      </c>
    </row>
    <row r="1853" spans="1:8" x14ac:dyDescent="0.15">
      <c r="A1853">
        <v>1852</v>
      </c>
      <c r="B1853" t="s">
        <v>339</v>
      </c>
      <c r="C1853" t="s">
        <v>353</v>
      </c>
      <c r="D1853" t="s">
        <v>4718</v>
      </c>
      <c r="E1853" t="s">
        <v>4719</v>
      </c>
      <c r="F1853" s="46">
        <v>46097.325877476847</v>
      </c>
      <c r="G1853" s="46">
        <v>46097.325877476847</v>
      </c>
      <c r="H1853">
        <v>0</v>
      </c>
    </row>
    <row r="1854" spans="1:8" x14ac:dyDescent="0.15">
      <c r="A1854">
        <v>1853</v>
      </c>
      <c r="B1854" t="s">
        <v>339</v>
      </c>
      <c r="C1854" t="s">
        <v>353</v>
      </c>
      <c r="D1854" t="s">
        <v>4720</v>
      </c>
      <c r="E1854" t="s">
        <v>4719</v>
      </c>
      <c r="F1854" s="46">
        <v>46097.325877476847</v>
      </c>
      <c r="G1854" s="46">
        <v>46097.325877476847</v>
      </c>
      <c r="H1854">
        <v>0</v>
      </c>
    </row>
    <row r="1855" spans="1:8" x14ac:dyDescent="0.15">
      <c r="A1855">
        <v>1854</v>
      </c>
      <c r="B1855" t="s">
        <v>339</v>
      </c>
      <c r="C1855" t="s">
        <v>353</v>
      </c>
      <c r="D1855" t="s">
        <v>4721</v>
      </c>
      <c r="E1855" t="s">
        <v>4722</v>
      </c>
      <c r="F1855" s="46">
        <v>46097.325877476847</v>
      </c>
      <c r="G1855" s="46">
        <v>46097.325877476847</v>
      </c>
      <c r="H1855">
        <v>0</v>
      </c>
    </row>
    <row r="1856" spans="1:8" x14ac:dyDescent="0.15">
      <c r="A1856">
        <v>1855</v>
      </c>
      <c r="B1856" t="s">
        <v>339</v>
      </c>
      <c r="C1856" t="s">
        <v>353</v>
      </c>
      <c r="D1856" t="s">
        <v>4723</v>
      </c>
      <c r="E1856" t="s">
        <v>4724</v>
      </c>
      <c r="F1856" s="46">
        <v>46097.325877476847</v>
      </c>
      <c r="G1856" s="46">
        <v>46097.325877476847</v>
      </c>
      <c r="H1856">
        <v>0</v>
      </c>
    </row>
    <row r="1857" spans="1:8" x14ac:dyDescent="0.15">
      <c r="A1857">
        <v>1856</v>
      </c>
      <c r="B1857" t="s">
        <v>339</v>
      </c>
      <c r="C1857" t="s">
        <v>353</v>
      </c>
      <c r="D1857" t="s">
        <v>4725</v>
      </c>
      <c r="E1857" t="s">
        <v>4724</v>
      </c>
      <c r="F1857" s="46">
        <v>46097.325877476847</v>
      </c>
      <c r="G1857" s="46">
        <v>46097.325877650474</v>
      </c>
      <c r="H1857">
        <v>16</v>
      </c>
    </row>
    <row r="1858" spans="1:8" x14ac:dyDescent="0.15">
      <c r="A1858">
        <v>1857</v>
      </c>
      <c r="B1858" t="s">
        <v>339</v>
      </c>
      <c r="C1858" t="s">
        <v>353</v>
      </c>
      <c r="D1858" t="s">
        <v>4726</v>
      </c>
      <c r="E1858" t="s">
        <v>4724</v>
      </c>
      <c r="F1858" s="46">
        <v>46097.325877650474</v>
      </c>
      <c r="G1858" s="46">
        <v>46097.325877650474</v>
      </c>
      <c r="H1858">
        <v>0</v>
      </c>
    </row>
    <row r="1859" spans="1:8" x14ac:dyDescent="0.15">
      <c r="A1859">
        <v>1858</v>
      </c>
      <c r="B1859" t="s">
        <v>339</v>
      </c>
      <c r="C1859" t="s">
        <v>353</v>
      </c>
      <c r="D1859" t="s">
        <v>4727</v>
      </c>
      <c r="E1859" t="s">
        <v>4724</v>
      </c>
      <c r="F1859" s="46">
        <v>46097.325877650474</v>
      </c>
      <c r="G1859" s="46">
        <v>46097.325877650474</v>
      </c>
      <c r="H1859">
        <v>0</v>
      </c>
    </row>
    <row r="1860" spans="1:8" x14ac:dyDescent="0.15">
      <c r="A1860">
        <v>1859</v>
      </c>
      <c r="B1860" t="s">
        <v>339</v>
      </c>
      <c r="C1860" t="s">
        <v>353</v>
      </c>
      <c r="D1860" t="s">
        <v>4728</v>
      </c>
      <c r="E1860" t="s">
        <v>4724</v>
      </c>
      <c r="F1860" s="46">
        <v>46097.325877650474</v>
      </c>
      <c r="G1860" s="46">
        <v>46097.325877650474</v>
      </c>
      <c r="H1860">
        <v>0</v>
      </c>
    </row>
    <row r="1861" spans="1:8" x14ac:dyDescent="0.15">
      <c r="A1861">
        <v>1860</v>
      </c>
      <c r="B1861" t="s">
        <v>339</v>
      </c>
      <c r="C1861" t="s">
        <v>353</v>
      </c>
      <c r="D1861" t="s">
        <v>4729</v>
      </c>
      <c r="E1861" t="s">
        <v>4724</v>
      </c>
      <c r="F1861" s="46">
        <v>46097.325877650474</v>
      </c>
      <c r="G1861" s="46">
        <v>46097.325877650474</v>
      </c>
      <c r="H1861">
        <v>0</v>
      </c>
    </row>
    <row r="1862" spans="1:8" x14ac:dyDescent="0.15">
      <c r="A1862">
        <v>1861</v>
      </c>
      <c r="B1862" t="s">
        <v>339</v>
      </c>
      <c r="C1862" t="s">
        <v>353</v>
      </c>
      <c r="D1862" t="s">
        <v>4730</v>
      </c>
      <c r="E1862" t="s">
        <v>4724</v>
      </c>
      <c r="F1862" s="46">
        <v>46097.325877650474</v>
      </c>
      <c r="G1862" s="46">
        <v>46097.325877650474</v>
      </c>
      <c r="H1862">
        <v>0</v>
      </c>
    </row>
    <row r="1863" spans="1:8" x14ac:dyDescent="0.15">
      <c r="A1863">
        <v>1862</v>
      </c>
      <c r="B1863" t="s">
        <v>339</v>
      </c>
      <c r="C1863" t="s">
        <v>353</v>
      </c>
      <c r="D1863" t="s">
        <v>4731</v>
      </c>
      <c r="E1863" t="s">
        <v>4724</v>
      </c>
      <c r="F1863" s="46">
        <v>46097.325877650474</v>
      </c>
      <c r="G1863" s="46">
        <v>46097.325877650474</v>
      </c>
      <c r="H1863">
        <v>0</v>
      </c>
    </row>
    <row r="1864" spans="1:8" x14ac:dyDescent="0.15">
      <c r="A1864">
        <v>1863</v>
      </c>
      <c r="B1864" t="s">
        <v>339</v>
      </c>
      <c r="C1864" t="s">
        <v>353</v>
      </c>
      <c r="D1864" t="s">
        <v>4732</v>
      </c>
      <c r="E1864" t="s">
        <v>4724</v>
      </c>
      <c r="F1864" s="46">
        <v>46097.325877650474</v>
      </c>
      <c r="G1864" s="46">
        <v>46097.325877650474</v>
      </c>
      <c r="H1864">
        <v>0</v>
      </c>
    </row>
    <row r="1865" spans="1:8" x14ac:dyDescent="0.15">
      <c r="A1865">
        <v>1864</v>
      </c>
      <c r="B1865" t="s">
        <v>339</v>
      </c>
      <c r="C1865" t="s">
        <v>353</v>
      </c>
      <c r="D1865" t="s">
        <v>4733</v>
      </c>
      <c r="E1865" t="s">
        <v>4724</v>
      </c>
      <c r="F1865" s="46">
        <v>46097.325877650474</v>
      </c>
      <c r="G1865" s="46">
        <v>46097.325877650474</v>
      </c>
      <c r="H1865">
        <v>0</v>
      </c>
    </row>
    <row r="1866" spans="1:8" x14ac:dyDescent="0.15">
      <c r="A1866">
        <v>1865</v>
      </c>
      <c r="B1866" t="s">
        <v>339</v>
      </c>
      <c r="C1866" t="s">
        <v>353</v>
      </c>
      <c r="D1866" t="s">
        <v>4734</v>
      </c>
      <c r="E1866" t="s">
        <v>4724</v>
      </c>
      <c r="F1866" s="46">
        <v>46097.325877650474</v>
      </c>
      <c r="G1866" s="46">
        <v>46097.325877650474</v>
      </c>
      <c r="H1866">
        <v>0</v>
      </c>
    </row>
    <row r="1867" spans="1:8" x14ac:dyDescent="0.15">
      <c r="A1867">
        <v>1866</v>
      </c>
      <c r="B1867" t="s">
        <v>339</v>
      </c>
      <c r="C1867" t="s">
        <v>353</v>
      </c>
      <c r="D1867" t="s">
        <v>4735</v>
      </c>
      <c r="E1867" t="s">
        <v>4724</v>
      </c>
      <c r="F1867" s="46">
        <v>46097.325877650474</v>
      </c>
      <c r="G1867" s="46">
        <v>46097.325877650474</v>
      </c>
      <c r="H1867">
        <v>0</v>
      </c>
    </row>
    <row r="1868" spans="1:8" x14ac:dyDescent="0.15">
      <c r="A1868">
        <v>1867</v>
      </c>
      <c r="B1868" t="s">
        <v>339</v>
      </c>
      <c r="C1868" t="s">
        <v>353</v>
      </c>
      <c r="D1868" t="s">
        <v>4736</v>
      </c>
      <c r="E1868" t="s">
        <v>4724</v>
      </c>
      <c r="F1868" s="46">
        <v>46097.325877650474</v>
      </c>
      <c r="G1868" s="46">
        <v>46097.325877835647</v>
      </c>
      <c r="H1868">
        <v>16</v>
      </c>
    </row>
    <row r="1869" spans="1:8" x14ac:dyDescent="0.15">
      <c r="A1869">
        <v>1868</v>
      </c>
      <c r="B1869" t="s">
        <v>339</v>
      </c>
      <c r="C1869" t="s">
        <v>353</v>
      </c>
      <c r="D1869" t="s">
        <v>4737</v>
      </c>
      <c r="E1869" t="s">
        <v>4724</v>
      </c>
      <c r="F1869" s="46">
        <v>46097.325877835647</v>
      </c>
      <c r="G1869" s="46">
        <v>46097.325877835647</v>
      </c>
      <c r="H1869">
        <v>0</v>
      </c>
    </row>
    <row r="1870" spans="1:8" x14ac:dyDescent="0.15">
      <c r="A1870">
        <v>1869</v>
      </c>
      <c r="B1870" t="s">
        <v>339</v>
      </c>
      <c r="C1870" t="s">
        <v>353</v>
      </c>
      <c r="D1870" t="s">
        <v>4738</v>
      </c>
      <c r="E1870" t="s">
        <v>4724</v>
      </c>
      <c r="F1870" s="46">
        <v>46097.325877835647</v>
      </c>
      <c r="G1870" s="46">
        <v>46097.325877835647</v>
      </c>
      <c r="H1870">
        <v>0</v>
      </c>
    </row>
    <row r="1871" spans="1:8" x14ac:dyDescent="0.15">
      <c r="A1871">
        <v>1870</v>
      </c>
      <c r="B1871" t="s">
        <v>339</v>
      </c>
      <c r="C1871" t="s">
        <v>353</v>
      </c>
      <c r="D1871" t="s">
        <v>4739</v>
      </c>
      <c r="E1871" t="s">
        <v>4724</v>
      </c>
      <c r="F1871" s="46">
        <v>46097.325877835647</v>
      </c>
      <c r="G1871" s="46">
        <v>46097.325877835647</v>
      </c>
      <c r="H1871">
        <v>0</v>
      </c>
    </row>
    <row r="1872" spans="1:8" x14ac:dyDescent="0.15">
      <c r="A1872">
        <v>1871</v>
      </c>
      <c r="B1872" t="s">
        <v>339</v>
      </c>
      <c r="C1872" t="s">
        <v>353</v>
      </c>
      <c r="D1872" t="s">
        <v>4740</v>
      </c>
      <c r="E1872" t="s">
        <v>4724</v>
      </c>
      <c r="F1872" s="46">
        <v>46097.325877835647</v>
      </c>
      <c r="G1872" s="46">
        <v>46097.325877835647</v>
      </c>
      <c r="H1872">
        <v>0</v>
      </c>
    </row>
    <row r="1873" spans="1:8" x14ac:dyDescent="0.15">
      <c r="A1873">
        <v>1872</v>
      </c>
      <c r="B1873" t="s">
        <v>339</v>
      </c>
      <c r="C1873" t="s">
        <v>353</v>
      </c>
      <c r="D1873" t="s">
        <v>4741</v>
      </c>
      <c r="E1873" t="s">
        <v>4724</v>
      </c>
      <c r="F1873" s="46">
        <v>46097.325877835647</v>
      </c>
      <c r="G1873" s="46">
        <v>46097.325877835647</v>
      </c>
      <c r="H1873">
        <v>0</v>
      </c>
    </row>
    <row r="1874" spans="1:8" x14ac:dyDescent="0.15">
      <c r="A1874">
        <v>1873</v>
      </c>
      <c r="B1874" t="s">
        <v>339</v>
      </c>
      <c r="C1874" t="s">
        <v>353</v>
      </c>
      <c r="D1874" t="s">
        <v>4742</v>
      </c>
      <c r="E1874" t="s">
        <v>4724</v>
      </c>
      <c r="F1874" s="46">
        <v>46097.325877835647</v>
      </c>
      <c r="G1874" s="46">
        <v>46097.325877835647</v>
      </c>
      <c r="H1874">
        <v>0</v>
      </c>
    </row>
    <row r="1875" spans="1:8" x14ac:dyDescent="0.15">
      <c r="A1875">
        <v>1874</v>
      </c>
      <c r="B1875" t="s">
        <v>339</v>
      </c>
      <c r="C1875" t="s">
        <v>353</v>
      </c>
      <c r="D1875" t="s">
        <v>4743</v>
      </c>
      <c r="E1875" t="s">
        <v>4724</v>
      </c>
      <c r="F1875" s="46">
        <v>46097.325877835647</v>
      </c>
      <c r="G1875" s="46">
        <v>46097.325877835647</v>
      </c>
      <c r="H1875">
        <v>0</v>
      </c>
    </row>
    <row r="1876" spans="1:8" x14ac:dyDescent="0.15">
      <c r="A1876">
        <v>1875</v>
      </c>
      <c r="B1876" t="s">
        <v>339</v>
      </c>
      <c r="C1876" t="s">
        <v>353</v>
      </c>
      <c r="D1876" t="s">
        <v>4744</v>
      </c>
      <c r="E1876" t="s">
        <v>4745</v>
      </c>
      <c r="F1876" s="46">
        <v>46097.325877835647</v>
      </c>
      <c r="G1876" s="46">
        <v>46097.325877835647</v>
      </c>
      <c r="H1876">
        <v>0</v>
      </c>
    </row>
    <row r="1877" spans="1:8" x14ac:dyDescent="0.15">
      <c r="A1877">
        <v>1876</v>
      </c>
      <c r="B1877" t="s">
        <v>339</v>
      </c>
      <c r="C1877" t="s">
        <v>353</v>
      </c>
      <c r="D1877" t="s">
        <v>4746</v>
      </c>
      <c r="E1877" t="s">
        <v>4745</v>
      </c>
      <c r="F1877" s="46">
        <v>46097.325877835647</v>
      </c>
      <c r="G1877" s="46">
        <v>46097.325877835647</v>
      </c>
      <c r="H1877">
        <v>0</v>
      </c>
    </row>
    <row r="1878" spans="1:8" x14ac:dyDescent="0.15">
      <c r="A1878">
        <v>1877</v>
      </c>
      <c r="B1878" t="s">
        <v>339</v>
      </c>
      <c r="C1878" t="s">
        <v>353</v>
      </c>
      <c r="D1878" t="s">
        <v>4747</v>
      </c>
      <c r="E1878" t="s">
        <v>4745</v>
      </c>
      <c r="F1878" s="46">
        <v>46097.325877835647</v>
      </c>
      <c r="G1878" s="46">
        <v>46097.325877835647</v>
      </c>
      <c r="H1878">
        <v>0</v>
      </c>
    </row>
    <row r="1879" spans="1:8" x14ac:dyDescent="0.15">
      <c r="A1879">
        <v>1878</v>
      </c>
      <c r="B1879" t="s">
        <v>339</v>
      </c>
      <c r="C1879" t="s">
        <v>353</v>
      </c>
      <c r="D1879" t="s">
        <v>4748</v>
      </c>
      <c r="E1879" t="s">
        <v>4745</v>
      </c>
      <c r="F1879" s="46">
        <v>46097.325877835647</v>
      </c>
      <c r="G1879" s="46">
        <v>46097.325878020827</v>
      </c>
      <c r="H1879">
        <v>15</v>
      </c>
    </row>
    <row r="1880" spans="1:8" x14ac:dyDescent="0.15">
      <c r="A1880">
        <v>1879</v>
      </c>
      <c r="B1880" t="s">
        <v>339</v>
      </c>
      <c r="C1880" t="s">
        <v>353</v>
      </c>
      <c r="D1880" t="s">
        <v>4749</v>
      </c>
      <c r="E1880" t="s">
        <v>4750</v>
      </c>
      <c r="F1880" s="46">
        <v>46097.325878020827</v>
      </c>
      <c r="G1880" s="46">
        <v>46097.325878020827</v>
      </c>
      <c r="H1880">
        <v>0</v>
      </c>
    </row>
    <row r="1881" spans="1:8" x14ac:dyDescent="0.15">
      <c r="A1881">
        <v>1880</v>
      </c>
      <c r="B1881" t="s">
        <v>339</v>
      </c>
      <c r="C1881" t="s">
        <v>353</v>
      </c>
      <c r="D1881" t="s">
        <v>4751</v>
      </c>
      <c r="E1881" t="s">
        <v>4752</v>
      </c>
      <c r="F1881" s="46">
        <v>46097.325878020827</v>
      </c>
      <c r="G1881" s="46">
        <v>46097.325878020827</v>
      </c>
      <c r="H1881">
        <v>0</v>
      </c>
    </row>
    <row r="1882" spans="1:8" x14ac:dyDescent="0.15">
      <c r="A1882">
        <v>1881</v>
      </c>
      <c r="B1882" t="s">
        <v>339</v>
      </c>
      <c r="C1882" t="s">
        <v>353</v>
      </c>
      <c r="D1882" t="s">
        <v>4753</v>
      </c>
      <c r="E1882" t="s">
        <v>4752</v>
      </c>
      <c r="F1882" s="46">
        <v>46097.325878020827</v>
      </c>
      <c r="G1882" s="46">
        <v>46097.325878020827</v>
      </c>
      <c r="H1882">
        <v>0</v>
      </c>
    </row>
    <row r="1883" spans="1:8" x14ac:dyDescent="0.15">
      <c r="A1883">
        <v>1882</v>
      </c>
      <c r="B1883" t="s">
        <v>339</v>
      </c>
      <c r="C1883" t="s">
        <v>353</v>
      </c>
      <c r="D1883" t="s">
        <v>4754</v>
      </c>
      <c r="E1883" t="s">
        <v>4752</v>
      </c>
      <c r="F1883" s="46">
        <v>46097.325878020827</v>
      </c>
      <c r="G1883" s="46">
        <v>46097.325878020827</v>
      </c>
      <c r="H1883">
        <v>0</v>
      </c>
    </row>
    <row r="1884" spans="1:8" x14ac:dyDescent="0.15">
      <c r="A1884">
        <v>1883</v>
      </c>
      <c r="B1884" t="s">
        <v>339</v>
      </c>
      <c r="C1884" t="s">
        <v>353</v>
      </c>
      <c r="D1884" t="s">
        <v>4755</v>
      </c>
      <c r="E1884" t="s">
        <v>4756</v>
      </c>
      <c r="F1884" s="46">
        <v>46097.325878020827</v>
      </c>
      <c r="G1884" s="46">
        <v>46097.325878020827</v>
      </c>
      <c r="H1884">
        <v>0</v>
      </c>
    </row>
    <row r="1885" spans="1:8" x14ac:dyDescent="0.15">
      <c r="A1885">
        <v>1884</v>
      </c>
      <c r="B1885" t="s">
        <v>339</v>
      </c>
      <c r="C1885" t="s">
        <v>353</v>
      </c>
      <c r="D1885" t="s">
        <v>4757</v>
      </c>
      <c r="E1885" t="s">
        <v>4756</v>
      </c>
      <c r="F1885" s="46">
        <v>46097.325878020827</v>
      </c>
      <c r="G1885" s="46">
        <v>46097.325878020827</v>
      </c>
      <c r="H1885">
        <v>0</v>
      </c>
    </row>
    <row r="1886" spans="1:8" x14ac:dyDescent="0.15">
      <c r="A1886">
        <v>1885</v>
      </c>
      <c r="B1886" t="s">
        <v>339</v>
      </c>
      <c r="C1886" t="s">
        <v>353</v>
      </c>
      <c r="D1886" t="s">
        <v>4758</v>
      </c>
      <c r="E1886" t="s">
        <v>4756</v>
      </c>
      <c r="F1886" s="46">
        <v>46097.325878020827</v>
      </c>
      <c r="G1886" s="46">
        <v>46097.325878020827</v>
      </c>
      <c r="H1886">
        <v>0</v>
      </c>
    </row>
    <row r="1887" spans="1:8" x14ac:dyDescent="0.15">
      <c r="A1887">
        <v>1886</v>
      </c>
      <c r="B1887" t="s">
        <v>339</v>
      </c>
      <c r="C1887" t="s">
        <v>353</v>
      </c>
      <c r="D1887" t="s">
        <v>4759</v>
      </c>
      <c r="E1887" t="s">
        <v>4760</v>
      </c>
      <c r="F1887" s="46">
        <v>46097.325878020827</v>
      </c>
      <c r="G1887" s="46">
        <v>46097.325878020827</v>
      </c>
      <c r="H1887">
        <v>0</v>
      </c>
    </row>
    <row r="1888" spans="1:8" x14ac:dyDescent="0.15">
      <c r="A1888">
        <v>1887</v>
      </c>
      <c r="B1888" t="s">
        <v>339</v>
      </c>
      <c r="C1888" t="s">
        <v>353</v>
      </c>
      <c r="D1888" t="s">
        <v>4761</v>
      </c>
      <c r="E1888" t="s">
        <v>4760</v>
      </c>
      <c r="F1888" s="46">
        <v>46097.325878020827</v>
      </c>
      <c r="G1888" s="46">
        <v>46097.325878020827</v>
      </c>
      <c r="H1888">
        <v>0</v>
      </c>
    </row>
    <row r="1889" spans="1:8" x14ac:dyDescent="0.15">
      <c r="A1889">
        <v>1888</v>
      </c>
      <c r="B1889" t="s">
        <v>339</v>
      </c>
      <c r="C1889" t="s">
        <v>353</v>
      </c>
      <c r="D1889" t="s">
        <v>4762</v>
      </c>
      <c r="E1889" t="s">
        <v>4760</v>
      </c>
      <c r="F1889" s="46">
        <v>46097.325878020827</v>
      </c>
      <c r="G1889" s="46">
        <v>46097.325878194453</v>
      </c>
      <c r="H1889">
        <v>16</v>
      </c>
    </row>
    <row r="1890" spans="1:8" x14ac:dyDescent="0.15">
      <c r="A1890">
        <v>1889</v>
      </c>
      <c r="B1890" t="s">
        <v>339</v>
      </c>
      <c r="C1890" t="s">
        <v>353</v>
      </c>
      <c r="D1890" t="s">
        <v>4763</v>
      </c>
      <c r="E1890" t="s">
        <v>4760</v>
      </c>
      <c r="F1890" s="46">
        <v>46097.325878194453</v>
      </c>
      <c r="G1890" s="46">
        <v>46097.325878194453</v>
      </c>
      <c r="H1890">
        <v>0</v>
      </c>
    </row>
    <row r="1891" spans="1:8" x14ac:dyDescent="0.15">
      <c r="A1891">
        <v>1890</v>
      </c>
      <c r="B1891" t="s">
        <v>339</v>
      </c>
      <c r="C1891" t="s">
        <v>353</v>
      </c>
      <c r="D1891" t="s">
        <v>4764</v>
      </c>
      <c r="E1891" t="s">
        <v>4760</v>
      </c>
      <c r="F1891" s="46">
        <v>46097.325878194453</v>
      </c>
      <c r="G1891" s="46">
        <v>46097.325878194453</v>
      </c>
      <c r="H1891">
        <v>0</v>
      </c>
    </row>
    <row r="1892" spans="1:8" x14ac:dyDescent="0.15">
      <c r="A1892">
        <v>1891</v>
      </c>
      <c r="B1892" t="s">
        <v>339</v>
      </c>
      <c r="C1892" t="s">
        <v>353</v>
      </c>
      <c r="D1892" t="s">
        <v>4765</v>
      </c>
      <c r="E1892" t="s">
        <v>4760</v>
      </c>
      <c r="F1892" s="46">
        <v>46097.325878194453</v>
      </c>
      <c r="G1892" s="46">
        <v>46097.325878194453</v>
      </c>
      <c r="H1892">
        <v>0</v>
      </c>
    </row>
    <row r="1893" spans="1:8" x14ac:dyDescent="0.15">
      <c r="A1893">
        <v>1892</v>
      </c>
      <c r="B1893" t="s">
        <v>339</v>
      </c>
      <c r="C1893" t="s">
        <v>353</v>
      </c>
      <c r="D1893" t="s">
        <v>4766</v>
      </c>
      <c r="E1893" t="s">
        <v>4760</v>
      </c>
      <c r="F1893" s="46">
        <v>46097.325878194453</v>
      </c>
      <c r="G1893" s="46">
        <v>46097.325878194453</v>
      </c>
      <c r="H1893">
        <v>0</v>
      </c>
    </row>
    <row r="1894" spans="1:8" x14ac:dyDescent="0.15">
      <c r="A1894">
        <v>1893</v>
      </c>
      <c r="B1894" t="s">
        <v>339</v>
      </c>
      <c r="C1894" t="s">
        <v>353</v>
      </c>
      <c r="D1894" t="s">
        <v>4767</v>
      </c>
      <c r="E1894" t="s">
        <v>4760</v>
      </c>
      <c r="F1894" s="46">
        <v>46097.325878194453</v>
      </c>
      <c r="G1894" s="46">
        <v>46097.325878194453</v>
      </c>
      <c r="H1894">
        <v>0</v>
      </c>
    </row>
    <row r="1895" spans="1:8" x14ac:dyDescent="0.15">
      <c r="A1895">
        <v>1894</v>
      </c>
      <c r="B1895" t="s">
        <v>339</v>
      </c>
      <c r="C1895" t="s">
        <v>353</v>
      </c>
      <c r="D1895" t="s">
        <v>4768</v>
      </c>
      <c r="E1895" t="s">
        <v>4760</v>
      </c>
      <c r="F1895" s="46">
        <v>46097.325878194453</v>
      </c>
      <c r="G1895" s="46">
        <v>46097.325878194453</v>
      </c>
      <c r="H1895">
        <v>0</v>
      </c>
    </row>
    <row r="1896" spans="1:8" x14ac:dyDescent="0.15">
      <c r="A1896">
        <v>1895</v>
      </c>
      <c r="B1896" t="s">
        <v>339</v>
      </c>
      <c r="C1896" t="s">
        <v>353</v>
      </c>
      <c r="D1896" t="s">
        <v>4769</v>
      </c>
      <c r="E1896" t="s">
        <v>4770</v>
      </c>
      <c r="F1896" s="46">
        <v>46097.325878194453</v>
      </c>
      <c r="G1896" s="46">
        <v>46097.325878194453</v>
      </c>
      <c r="H1896">
        <v>0</v>
      </c>
    </row>
    <row r="1897" spans="1:8" x14ac:dyDescent="0.15">
      <c r="A1897">
        <v>1896</v>
      </c>
      <c r="B1897" t="s">
        <v>339</v>
      </c>
      <c r="C1897" t="s">
        <v>353</v>
      </c>
      <c r="D1897" t="s">
        <v>4771</v>
      </c>
      <c r="E1897" t="s">
        <v>4770</v>
      </c>
      <c r="F1897" s="46">
        <v>46097.325878194453</v>
      </c>
      <c r="G1897" s="46">
        <v>46097.325878194453</v>
      </c>
      <c r="H1897">
        <v>0</v>
      </c>
    </row>
    <row r="1898" spans="1:8" x14ac:dyDescent="0.15">
      <c r="A1898">
        <v>1897</v>
      </c>
      <c r="B1898" t="s">
        <v>339</v>
      </c>
      <c r="C1898" t="s">
        <v>353</v>
      </c>
      <c r="D1898" t="s">
        <v>4772</v>
      </c>
      <c r="E1898" t="s">
        <v>4770</v>
      </c>
      <c r="F1898" s="46">
        <v>46097.325878194453</v>
      </c>
      <c r="G1898" s="46">
        <v>46097.325878194453</v>
      </c>
      <c r="H1898">
        <v>0</v>
      </c>
    </row>
    <row r="1899" spans="1:8" x14ac:dyDescent="0.15">
      <c r="A1899">
        <v>1898</v>
      </c>
      <c r="B1899" t="s">
        <v>339</v>
      </c>
      <c r="C1899" t="s">
        <v>353</v>
      </c>
      <c r="D1899" t="s">
        <v>4773</v>
      </c>
      <c r="E1899" t="s">
        <v>4770</v>
      </c>
      <c r="F1899" s="46">
        <v>46097.325878194453</v>
      </c>
      <c r="G1899" s="46">
        <v>46097.325878379626</v>
      </c>
      <c r="H1899">
        <v>15</v>
      </c>
    </row>
    <row r="1900" spans="1:8" x14ac:dyDescent="0.15">
      <c r="A1900">
        <v>1899</v>
      </c>
      <c r="B1900" t="s">
        <v>339</v>
      </c>
      <c r="C1900" t="s">
        <v>353</v>
      </c>
      <c r="D1900" t="s">
        <v>4774</v>
      </c>
      <c r="E1900" t="s">
        <v>4770</v>
      </c>
      <c r="F1900" s="46">
        <v>46097.325878379626</v>
      </c>
      <c r="G1900" s="46">
        <v>46097.325878379626</v>
      </c>
      <c r="H1900">
        <v>0</v>
      </c>
    </row>
    <row r="1901" spans="1:8" x14ac:dyDescent="0.15">
      <c r="A1901">
        <v>1900</v>
      </c>
      <c r="B1901" t="s">
        <v>339</v>
      </c>
      <c r="C1901" t="s">
        <v>353</v>
      </c>
      <c r="D1901" t="s">
        <v>4775</v>
      </c>
      <c r="E1901" t="s">
        <v>4776</v>
      </c>
      <c r="F1901" s="46">
        <v>46097.325878379626</v>
      </c>
      <c r="G1901" s="46">
        <v>46097.325878379626</v>
      </c>
      <c r="H1901">
        <v>0</v>
      </c>
    </row>
    <row r="1902" spans="1:8" x14ac:dyDescent="0.15">
      <c r="A1902">
        <v>1901</v>
      </c>
      <c r="B1902" t="s">
        <v>339</v>
      </c>
      <c r="C1902" t="s">
        <v>353</v>
      </c>
      <c r="D1902" t="s">
        <v>4777</v>
      </c>
      <c r="E1902" t="s">
        <v>4776</v>
      </c>
      <c r="F1902" s="46">
        <v>46097.325878379626</v>
      </c>
      <c r="G1902" s="46">
        <v>46097.325878379626</v>
      </c>
      <c r="H1902">
        <v>0</v>
      </c>
    </row>
    <row r="1903" spans="1:8" x14ac:dyDescent="0.15">
      <c r="A1903">
        <v>1902</v>
      </c>
      <c r="B1903" t="s">
        <v>339</v>
      </c>
      <c r="C1903" t="s">
        <v>353</v>
      </c>
      <c r="D1903" t="s">
        <v>4778</v>
      </c>
      <c r="E1903" t="s">
        <v>4779</v>
      </c>
      <c r="F1903" s="46">
        <v>46097.325878379626</v>
      </c>
      <c r="G1903" s="46">
        <v>46097.325878379626</v>
      </c>
      <c r="H1903">
        <v>0</v>
      </c>
    </row>
    <row r="1904" spans="1:8" x14ac:dyDescent="0.15">
      <c r="A1904">
        <v>1903</v>
      </c>
      <c r="B1904" t="s">
        <v>339</v>
      </c>
      <c r="C1904" t="s">
        <v>353</v>
      </c>
      <c r="D1904" t="s">
        <v>4780</v>
      </c>
      <c r="E1904" t="s">
        <v>4779</v>
      </c>
      <c r="F1904" s="46">
        <v>46097.325878379626</v>
      </c>
      <c r="G1904" s="46">
        <v>46097.325878379626</v>
      </c>
      <c r="H1904">
        <v>0</v>
      </c>
    </row>
    <row r="1905" spans="1:8" x14ac:dyDescent="0.15">
      <c r="A1905">
        <v>1904</v>
      </c>
      <c r="B1905" t="s">
        <v>339</v>
      </c>
      <c r="C1905" t="s">
        <v>353</v>
      </c>
      <c r="D1905" t="s">
        <v>4781</v>
      </c>
      <c r="E1905" t="s">
        <v>4782</v>
      </c>
      <c r="F1905" s="46">
        <v>46097.325878379626</v>
      </c>
      <c r="G1905" s="46">
        <v>46097.325878379626</v>
      </c>
      <c r="H1905">
        <v>0</v>
      </c>
    </row>
    <row r="1906" spans="1:8" x14ac:dyDescent="0.15">
      <c r="A1906">
        <v>1905</v>
      </c>
      <c r="B1906" t="s">
        <v>339</v>
      </c>
      <c r="C1906" t="s">
        <v>353</v>
      </c>
      <c r="D1906" t="s">
        <v>4783</v>
      </c>
      <c r="E1906" t="s">
        <v>4784</v>
      </c>
      <c r="F1906" s="46">
        <v>46097.325878379626</v>
      </c>
      <c r="G1906" s="46">
        <v>46097.325878379626</v>
      </c>
      <c r="H1906">
        <v>0</v>
      </c>
    </row>
    <row r="1907" spans="1:8" x14ac:dyDescent="0.15">
      <c r="A1907">
        <v>1906</v>
      </c>
      <c r="B1907" t="s">
        <v>339</v>
      </c>
      <c r="C1907" t="s">
        <v>353</v>
      </c>
      <c r="D1907" t="s">
        <v>4785</v>
      </c>
      <c r="E1907" t="s">
        <v>4786</v>
      </c>
      <c r="F1907" s="46">
        <v>46097.325878379626</v>
      </c>
      <c r="G1907" s="46">
        <v>46097.325878379626</v>
      </c>
      <c r="H1907">
        <v>0</v>
      </c>
    </row>
    <row r="1908" spans="1:8" x14ac:dyDescent="0.15">
      <c r="A1908">
        <v>1907</v>
      </c>
      <c r="B1908" t="s">
        <v>339</v>
      </c>
      <c r="C1908" t="s">
        <v>353</v>
      </c>
      <c r="D1908" t="s">
        <v>4787</v>
      </c>
      <c r="E1908" t="s">
        <v>4786</v>
      </c>
      <c r="F1908" s="46">
        <v>46097.325878379626</v>
      </c>
      <c r="G1908" s="46">
        <v>46097.325878379626</v>
      </c>
      <c r="H1908">
        <v>0</v>
      </c>
    </row>
    <row r="1909" spans="1:8" x14ac:dyDescent="0.15">
      <c r="A1909">
        <v>1908</v>
      </c>
      <c r="B1909" t="s">
        <v>339</v>
      </c>
      <c r="C1909" t="s">
        <v>353</v>
      </c>
      <c r="D1909" t="s">
        <v>4788</v>
      </c>
      <c r="E1909" t="s">
        <v>4789</v>
      </c>
      <c r="F1909" s="46">
        <v>46097.325878379626</v>
      </c>
      <c r="G1909" s="46">
        <v>46097.325878564807</v>
      </c>
      <c r="H1909">
        <v>16</v>
      </c>
    </row>
    <row r="1910" spans="1:8" x14ac:dyDescent="0.15">
      <c r="A1910">
        <v>1909</v>
      </c>
      <c r="B1910" t="s">
        <v>339</v>
      </c>
      <c r="C1910" t="s">
        <v>353</v>
      </c>
      <c r="D1910" t="s">
        <v>4790</v>
      </c>
      <c r="E1910" t="s">
        <v>4789</v>
      </c>
      <c r="F1910" s="46">
        <v>46097.325878564807</v>
      </c>
      <c r="G1910" s="46">
        <v>46097.325878564807</v>
      </c>
      <c r="H1910">
        <v>0</v>
      </c>
    </row>
    <row r="1911" spans="1:8" x14ac:dyDescent="0.15">
      <c r="A1911">
        <v>1910</v>
      </c>
      <c r="B1911" t="s">
        <v>339</v>
      </c>
      <c r="C1911" t="s">
        <v>353</v>
      </c>
      <c r="D1911" t="s">
        <v>4791</v>
      </c>
      <c r="E1911" t="s">
        <v>4789</v>
      </c>
      <c r="F1911" s="46">
        <v>46097.325878564807</v>
      </c>
      <c r="G1911" s="46">
        <v>46097.325878564807</v>
      </c>
      <c r="H1911">
        <v>0</v>
      </c>
    </row>
    <row r="1912" spans="1:8" x14ac:dyDescent="0.15">
      <c r="A1912">
        <v>1911</v>
      </c>
      <c r="B1912" t="s">
        <v>339</v>
      </c>
      <c r="C1912" t="s">
        <v>353</v>
      </c>
      <c r="D1912" t="s">
        <v>4792</v>
      </c>
      <c r="E1912" t="s">
        <v>4793</v>
      </c>
      <c r="F1912" s="46">
        <v>46097.325878564807</v>
      </c>
      <c r="G1912" s="46">
        <v>46097.325878564807</v>
      </c>
      <c r="H1912">
        <v>0</v>
      </c>
    </row>
    <row r="1913" spans="1:8" x14ac:dyDescent="0.15">
      <c r="A1913">
        <v>1912</v>
      </c>
      <c r="B1913" t="s">
        <v>339</v>
      </c>
      <c r="C1913" t="s">
        <v>353</v>
      </c>
      <c r="D1913" t="s">
        <v>4794</v>
      </c>
      <c r="E1913" t="s">
        <v>4793</v>
      </c>
      <c r="F1913" s="46">
        <v>46097.325878564807</v>
      </c>
      <c r="G1913" s="46">
        <v>46097.325878564807</v>
      </c>
      <c r="H1913">
        <v>0</v>
      </c>
    </row>
    <row r="1914" spans="1:8" x14ac:dyDescent="0.15">
      <c r="A1914">
        <v>1913</v>
      </c>
      <c r="B1914" t="s">
        <v>339</v>
      </c>
      <c r="C1914" t="s">
        <v>353</v>
      </c>
      <c r="D1914" t="s">
        <v>4795</v>
      </c>
      <c r="E1914" t="s">
        <v>4793</v>
      </c>
      <c r="F1914" s="46">
        <v>46097.325878564807</v>
      </c>
      <c r="G1914" s="46">
        <v>46097.325878564807</v>
      </c>
      <c r="H1914">
        <v>0</v>
      </c>
    </row>
    <row r="1915" spans="1:8" x14ac:dyDescent="0.15">
      <c r="A1915">
        <v>1914</v>
      </c>
      <c r="B1915" t="s">
        <v>339</v>
      </c>
      <c r="C1915" t="s">
        <v>353</v>
      </c>
      <c r="D1915" t="s">
        <v>4796</v>
      </c>
      <c r="E1915" t="s">
        <v>4793</v>
      </c>
      <c r="F1915" s="46">
        <v>46097.325878564807</v>
      </c>
      <c r="G1915" s="46">
        <v>46097.325878564807</v>
      </c>
      <c r="H1915">
        <v>0</v>
      </c>
    </row>
    <row r="1916" spans="1:8" x14ac:dyDescent="0.15">
      <c r="A1916">
        <v>1915</v>
      </c>
      <c r="B1916" t="s">
        <v>339</v>
      </c>
      <c r="C1916" t="s">
        <v>353</v>
      </c>
      <c r="D1916" t="s">
        <v>4797</v>
      </c>
      <c r="E1916" t="s">
        <v>4793</v>
      </c>
      <c r="F1916" s="46">
        <v>46097.325878564807</v>
      </c>
      <c r="G1916" s="46">
        <v>46097.325878564807</v>
      </c>
      <c r="H1916">
        <v>0</v>
      </c>
    </row>
    <row r="1917" spans="1:8" x14ac:dyDescent="0.15">
      <c r="A1917">
        <v>1916</v>
      </c>
      <c r="B1917" t="s">
        <v>339</v>
      </c>
      <c r="C1917" t="s">
        <v>353</v>
      </c>
      <c r="D1917" t="s">
        <v>4798</v>
      </c>
      <c r="E1917" t="s">
        <v>4793</v>
      </c>
      <c r="F1917" s="46">
        <v>46097.325878564807</v>
      </c>
      <c r="G1917" s="46">
        <v>46097.325878564807</v>
      </c>
      <c r="H1917">
        <v>0</v>
      </c>
    </row>
    <row r="1918" spans="1:8" x14ac:dyDescent="0.15">
      <c r="A1918">
        <v>1917</v>
      </c>
      <c r="B1918" t="s">
        <v>339</v>
      </c>
      <c r="C1918" t="s">
        <v>353</v>
      </c>
      <c r="D1918" t="s">
        <v>4799</v>
      </c>
      <c r="E1918" t="s">
        <v>4800</v>
      </c>
      <c r="F1918" s="46">
        <v>46097.325878564807</v>
      </c>
      <c r="G1918" s="46">
        <v>46097.325878564807</v>
      </c>
      <c r="H1918">
        <v>0</v>
      </c>
    </row>
    <row r="1919" spans="1:8" x14ac:dyDescent="0.15">
      <c r="A1919">
        <v>1918</v>
      </c>
      <c r="B1919" t="s">
        <v>339</v>
      </c>
      <c r="C1919" t="s">
        <v>353</v>
      </c>
      <c r="D1919" t="s">
        <v>4801</v>
      </c>
      <c r="E1919" t="s">
        <v>4802</v>
      </c>
      <c r="F1919" s="46">
        <v>46097.325878564807</v>
      </c>
      <c r="G1919" s="46">
        <v>46097.325878738433</v>
      </c>
      <c r="H1919">
        <v>16</v>
      </c>
    </row>
    <row r="1920" spans="1:8" x14ac:dyDescent="0.15">
      <c r="A1920">
        <v>1919</v>
      </c>
      <c r="B1920" t="s">
        <v>339</v>
      </c>
      <c r="C1920" t="s">
        <v>353</v>
      </c>
      <c r="D1920" t="s">
        <v>4803</v>
      </c>
      <c r="E1920" t="s">
        <v>551</v>
      </c>
      <c r="F1920" s="46">
        <v>46097.325878738433</v>
      </c>
      <c r="G1920" s="46">
        <v>46097.325878738433</v>
      </c>
      <c r="H1920">
        <v>0</v>
      </c>
    </row>
    <row r="1921" spans="1:8" x14ac:dyDescent="0.15">
      <c r="A1921">
        <v>1920</v>
      </c>
      <c r="B1921" t="s">
        <v>339</v>
      </c>
      <c r="C1921" t="s">
        <v>353</v>
      </c>
      <c r="D1921" t="s">
        <v>4804</v>
      </c>
      <c r="E1921" t="s">
        <v>553</v>
      </c>
      <c r="F1921" s="46">
        <v>46097.325878738433</v>
      </c>
      <c r="G1921" s="46">
        <v>46097.325878738433</v>
      </c>
      <c r="H1921">
        <v>0</v>
      </c>
    </row>
    <row r="1922" spans="1:8" x14ac:dyDescent="0.15">
      <c r="A1922">
        <v>1921</v>
      </c>
      <c r="B1922" t="s">
        <v>339</v>
      </c>
      <c r="C1922" t="s">
        <v>353</v>
      </c>
      <c r="D1922" t="s">
        <v>4805</v>
      </c>
      <c r="E1922" t="s">
        <v>553</v>
      </c>
      <c r="F1922" s="46">
        <v>46097.325878738433</v>
      </c>
      <c r="G1922" s="46">
        <v>46097.325878738433</v>
      </c>
      <c r="H1922">
        <v>0</v>
      </c>
    </row>
    <row r="1923" spans="1:8" x14ac:dyDescent="0.15">
      <c r="A1923">
        <v>1922</v>
      </c>
      <c r="B1923" t="s">
        <v>339</v>
      </c>
      <c r="C1923" t="s">
        <v>353</v>
      </c>
      <c r="D1923" t="s">
        <v>4806</v>
      </c>
      <c r="E1923" t="s">
        <v>553</v>
      </c>
      <c r="F1923" s="46">
        <v>46097.325878738433</v>
      </c>
      <c r="G1923" s="46">
        <v>46097.325878738433</v>
      </c>
      <c r="H1923">
        <v>0</v>
      </c>
    </row>
    <row r="1924" spans="1:8" x14ac:dyDescent="0.15">
      <c r="A1924">
        <v>1923</v>
      </c>
      <c r="B1924" t="s">
        <v>339</v>
      </c>
      <c r="C1924" t="s">
        <v>353</v>
      </c>
      <c r="D1924" t="s">
        <v>4807</v>
      </c>
      <c r="E1924" t="s">
        <v>553</v>
      </c>
      <c r="F1924" s="46">
        <v>46097.325878738433</v>
      </c>
      <c r="G1924" s="46">
        <v>46097.325878738433</v>
      </c>
      <c r="H1924">
        <v>0</v>
      </c>
    </row>
    <row r="1925" spans="1:8" x14ac:dyDescent="0.15">
      <c r="A1925">
        <v>1924</v>
      </c>
      <c r="B1925" t="s">
        <v>339</v>
      </c>
      <c r="C1925" t="s">
        <v>353</v>
      </c>
      <c r="D1925" t="s">
        <v>4808</v>
      </c>
      <c r="E1925" t="s">
        <v>553</v>
      </c>
      <c r="F1925" s="46">
        <v>46097.325878738433</v>
      </c>
      <c r="G1925" s="46">
        <v>46097.325878738433</v>
      </c>
      <c r="H1925">
        <v>0</v>
      </c>
    </row>
    <row r="1926" spans="1:8" x14ac:dyDescent="0.15">
      <c r="A1926">
        <v>1925</v>
      </c>
      <c r="B1926" t="s">
        <v>339</v>
      </c>
      <c r="C1926" t="s">
        <v>353</v>
      </c>
      <c r="D1926" t="s">
        <v>4809</v>
      </c>
      <c r="E1926" t="s">
        <v>553</v>
      </c>
      <c r="F1926" s="46">
        <v>46097.325878738433</v>
      </c>
      <c r="G1926" s="46">
        <v>46097.325878738433</v>
      </c>
      <c r="H1926">
        <v>0</v>
      </c>
    </row>
    <row r="1927" spans="1:8" x14ac:dyDescent="0.15">
      <c r="A1927">
        <v>1926</v>
      </c>
      <c r="B1927" t="s">
        <v>339</v>
      </c>
      <c r="C1927" t="s">
        <v>353</v>
      </c>
      <c r="D1927" t="s">
        <v>4810</v>
      </c>
      <c r="E1927" t="s">
        <v>553</v>
      </c>
      <c r="F1927" s="46">
        <v>46097.325878738433</v>
      </c>
      <c r="G1927" s="46">
        <v>46097.325878738433</v>
      </c>
      <c r="H1927">
        <v>0</v>
      </c>
    </row>
    <row r="1928" spans="1:8" x14ac:dyDescent="0.15">
      <c r="A1928">
        <v>1927</v>
      </c>
      <c r="B1928" t="s">
        <v>339</v>
      </c>
      <c r="C1928" t="s">
        <v>353</v>
      </c>
      <c r="D1928" t="s">
        <v>4811</v>
      </c>
      <c r="E1928" t="s">
        <v>553</v>
      </c>
      <c r="F1928" s="46">
        <v>46097.325878738433</v>
      </c>
      <c r="G1928" s="46">
        <v>46097.325878738433</v>
      </c>
      <c r="H1928">
        <v>0</v>
      </c>
    </row>
    <row r="1929" spans="1:8" x14ac:dyDescent="0.15">
      <c r="A1929">
        <v>1928</v>
      </c>
      <c r="B1929" t="s">
        <v>339</v>
      </c>
      <c r="C1929" t="s">
        <v>353</v>
      </c>
      <c r="D1929" t="s">
        <v>4812</v>
      </c>
      <c r="E1929" t="s">
        <v>553</v>
      </c>
      <c r="F1929" s="46">
        <v>46097.325878738433</v>
      </c>
      <c r="G1929" s="46">
        <v>46097.325878738433</v>
      </c>
      <c r="H1929">
        <v>0</v>
      </c>
    </row>
    <row r="1930" spans="1:8" x14ac:dyDescent="0.15">
      <c r="A1930">
        <v>1929</v>
      </c>
      <c r="B1930" t="s">
        <v>339</v>
      </c>
      <c r="C1930" t="s">
        <v>353</v>
      </c>
      <c r="D1930" t="s">
        <v>4813</v>
      </c>
      <c r="E1930" t="s">
        <v>4814</v>
      </c>
      <c r="F1930" s="46">
        <v>46097.325878738433</v>
      </c>
      <c r="G1930" s="46">
        <v>46097.325878923613</v>
      </c>
      <c r="H1930">
        <v>15</v>
      </c>
    </row>
    <row r="1931" spans="1:8" x14ac:dyDescent="0.15">
      <c r="A1931">
        <v>1930</v>
      </c>
      <c r="B1931" t="s">
        <v>339</v>
      </c>
      <c r="C1931" t="s">
        <v>353</v>
      </c>
      <c r="D1931" t="s">
        <v>4815</v>
      </c>
      <c r="E1931" t="s">
        <v>555</v>
      </c>
      <c r="F1931" s="46">
        <v>46097.325878923613</v>
      </c>
      <c r="G1931" s="46">
        <v>46097.325878923613</v>
      </c>
      <c r="H1931">
        <v>0</v>
      </c>
    </row>
    <row r="1932" spans="1:8" x14ac:dyDescent="0.15">
      <c r="A1932">
        <v>1931</v>
      </c>
      <c r="B1932" t="s">
        <v>339</v>
      </c>
      <c r="C1932" t="s">
        <v>353</v>
      </c>
      <c r="D1932" t="s">
        <v>4816</v>
      </c>
      <c r="E1932" t="s">
        <v>560</v>
      </c>
      <c r="F1932" s="46">
        <v>46097.325878923613</v>
      </c>
      <c r="G1932" s="46">
        <v>46097.325878923613</v>
      </c>
      <c r="H1932">
        <v>0</v>
      </c>
    </row>
    <row r="1933" spans="1:8" x14ac:dyDescent="0.15">
      <c r="A1933">
        <v>1932</v>
      </c>
      <c r="B1933" t="s">
        <v>339</v>
      </c>
      <c r="C1933" t="s">
        <v>353</v>
      </c>
      <c r="D1933" t="s">
        <v>4817</v>
      </c>
      <c r="E1933" t="s">
        <v>561</v>
      </c>
      <c r="F1933" s="46">
        <v>46097.325878923613</v>
      </c>
      <c r="G1933" s="46">
        <v>46097.325878923613</v>
      </c>
      <c r="H1933">
        <v>0</v>
      </c>
    </row>
    <row r="1934" spans="1:8" x14ac:dyDescent="0.15">
      <c r="A1934">
        <v>1933</v>
      </c>
      <c r="B1934" t="s">
        <v>339</v>
      </c>
      <c r="C1934" t="s">
        <v>353</v>
      </c>
      <c r="D1934" t="s">
        <v>4818</v>
      </c>
      <c r="E1934" t="s">
        <v>563</v>
      </c>
      <c r="F1934" s="46">
        <v>46097.325878923613</v>
      </c>
      <c r="G1934" s="46">
        <v>46097.325878923613</v>
      </c>
      <c r="H1934">
        <v>0</v>
      </c>
    </row>
    <row r="1935" spans="1:8" x14ac:dyDescent="0.15">
      <c r="A1935">
        <v>1934</v>
      </c>
      <c r="B1935" t="s">
        <v>339</v>
      </c>
      <c r="C1935" t="s">
        <v>353</v>
      </c>
      <c r="D1935" t="s">
        <v>4819</v>
      </c>
      <c r="E1935" t="s">
        <v>563</v>
      </c>
      <c r="F1935" s="46">
        <v>46097.325878923613</v>
      </c>
      <c r="G1935" s="46">
        <v>46097.325878923613</v>
      </c>
      <c r="H1935">
        <v>0</v>
      </c>
    </row>
    <row r="1936" spans="1:8" x14ac:dyDescent="0.15">
      <c r="A1936">
        <v>1935</v>
      </c>
      <c r="B1936" t="s">
        <v>339</v>
      </c>
      <c r="C1936" t="s">
        <v>353</v>
      </c>
      <c r="D1936" t="s">
        <v>4820</v>
      </c>
      <c r="E1936" t="s">
        <v>563</v>
      </c>
      <c r="F1936" s="46">
        <v>46097.325878923613</v>
      </c>
      <c r="G1936" s="46">
        <v>46097.325878923613</v>
      </c>
      <c r="H1936">
        <v>0</v>
      </c>
    </row>
    <row r="1937" spans="1:8" x14ac:dyDescent="0.15">
      <c r="A1937">
        <v>1936</v>
      </c>
      <c r="B1937" t="s">
        <v>339</v>
      </c>
      <c r="C1937" t="s">
        <v>353</v>
      </c>
      <c r="D1937" t="s">
        <v>4821</v>
      </c>
      <c r="E1937" t="s">
        <v>564</v>
      </c>
      <c r="F1937" s="46">
        <v>46097.325878923613</v>
      </c>
      <c r="G1937" s="46">
        <v>46097.325878923613</v>
      </c>
      <c r="H1937">
        <v>0</v>
      </c>
    </row>
    <row r="1938" spans="1:8" x14ac:dyDescent="0.15">
      <c r="A1938">
        <v>1937</v>
      </c>
      <c r="B1938" t="s">
        <v>339</v>
      </c>
      <c r="C1938" t="s">
        <v>353</v>
      </c>
      <c r="D1938" t="s">
        <v>4822</v>
      </c>
      <c r="E1938" t="s">
        <v>4823</v>
      </c>
      <c r="F1938" s="46">
        <v>46097.325878923613</v>
      </c>
      <c r="G1938" s="46">
        <v>46097.325878923613</v>
      </c>
      <c r="H1938">
        <v>0</v>
      </c>
    </row>
    <row r="1939" spans="1:8" x14ac:dyDescent="0.15">
      <c r="A1939">
        <v>1938</v>
      </c>
      <c r="B1939" t="s">
        <v>339</v>
      </c>
      <c r="C1939" t="s">
        <v>353</v>
      </c>
      <c r="D1939" t="s">
        <v>4824</v>
      </c>
      <c r="E1939" t="s">
        <v>4825</v>
      </c>
      <c r="F1939" s="46">
        <v>46097.325878923613</v>
      </c>
      <c r="G1939" s="46">
        <v>46097.325878923613</v>
      </c>
      <c r="H1939">
        <v>0</v>
      </c>
    </row>
    <row r="1940" spans="1:8" x14ac:dyDescent="0.15">
      <c r="A1940">
        <v>1939</v>
      </c>
      <c r="B1940" t="s">
        <v>339</v>
      </c>
      <c r="C1940" t="s">
        <v>353</v>
      </c>
      <c r="D1940" t="s">
        <v>4826</v>
      </c>
      <c r="E1940" t="s">
        <v>4827</v>
      </c>
      <c r="F1940" s="46">
        <v>46097.325878923613</v>
      </c>
      <c r="G1940" s="46">
        <v>46097.325879097218</v>
      </c>
      <c r="H1940">
        <v>16</v>
      </c>
    </row>
    <row r="1941" spans="1:8" x14ac:dyDescent="0.15">
      <c r="A1941">
        <v>1940</v>
      </c>
      <c r="B1941" t="s">
        <v>339</v>
      </c>
      <c r="C1941" t="s">
        <v>353</v>
      </c>
      <c r="D1941" t="s">
        <v>4828</v>
      </c>
      <c r="E1941" t="s">
        <v>4827</v>
      </c>
      <c r="F1941" s="46">
        <v>46097.325879097218</v>
      </c>
      <c r="G1941" s="46">
        <v>46097.325879097218</v>
      </c>
      <c r="H1941">
        <v>0</v>
      </c>
    </row>
    <row r="1942" spans="1:8" x14ac:dyDescent="0.15">
      <c r="A1942">
        <v>1941</v>
      </c>
      <c r="B1942" t="s">
        <v>339</v>
      </c>
      <c r="C1942" t="s">
        <v>353</v>
      </c>
      <c r="D1942" t="s">
        <v>4829</v>
      </c>
      <c r="E1942" t="s">
        <v>4827</v>
      </c>
      <c r="F1942" s="46">
        <v>46097.325879097218</v>
      </c>
      <c r="G1942" s="46">
        <v>46097.325879097218</v>
      </c>
      <c r="H1942">
        <v>0</v>
      </c>
    </row>
    <row r="1943" spans="1:8" x14ac:dyDescent="0.15">
      <c r="A1943">
        <v>1942</v>
      </c>
      <c r="B1943" t="s">
        <v>339</v>
      </c>
      <c r="C1943" t="s">
        <v>353</v>
      </c>
      <c r="D1943" t="s">
        <v>4830</v>
      </c>
      <c r="E1943" t="s">
        <v>4831</v>
      </c>
      <c r="F1943" s="46">
        <v>46097.325879097218</v>
      </c>
      <c r="G1943" s="46">
        <v>46097.325879097218</v>
      </c>
      <c r="H1943">
        <v>0</v>
      </c>
    </row>
    <row r="1944" spans="1:8" x14ac:dyDescent="0.15">
      <c r="A1944">
        <v>1943</v>
      </c>
      <c r="B1944" t="s">
        <v>339</v>
      </c>
      <c r="C1944" t="s">
        <v>353</v>
      </c>
      <c r="D1944" t="s">
        <v>4832</v>
      </c>
      <c r="E1944" t="s">
        <v>4833</v>
      </c>
      <c r="F1944" s="46">
        <v>46097.325879097218</v>
      </c>
      <c r="G1944" s="46">
        <v>46097.325879097218</v>
      </c>
      <c r="H1944">
        <v>0</v>
      </c>
    </row>
    <row r="1945" spans="1:8" x14ac:dyDescent="0.15">
      <c r="A1945">
        <v>1944</v>
      </c>
      <c r="B1945" t="s">
        <v>339</v>
      </c>
      <c r="C1945" t="s">
        <v>353</v>
      </c>
      <c r="D1945" t="s">
        <v>4834</v>
      </c>
      <c r="E1945" t="s">
        <v>4833</v>
      </c>
      <c r="F1945" s="46">
        <v>46097.325879097218</v>
      </c>
      <c r="G1945" s="46">
        <v>46097.325879097218</v>
      </c>
      <c r="H1945">
        <v>0</v>
      </c>
    </row>
    <row r="1946" spans="1:8" x14ac:dyDescent="0.15">
      <c r="A1946">
        <v>1945</v>
      </c>
      <c r="B1946" t="s">
        <v>339</v>
      </c>
      <c r="C1946" t="s">
        <v>353</v>
      </c>
      <c r="D1946" t="s">
        <v>4835</v>
      </c>
      <c r="E1946" t="s">
        <v>4833</v>
      </c>
      <c r="F1946" s="46">
        <v>46097.325879097218</v>
      </c>
      <c r="G1946" s="46">
        <v>46097.325879097218</v>
      </c>
      <c r="H1946">
        <v>0</v>
      </c>
    </row>
    <row r="1947" spans="1:8" x14ac:dyDescent="0.15">
      <c r="A1947">
        <v>1946</v>
      </c>
      <c r="B1947" t="s">
        <v>339</v>
      </c>
      <c r="C1947" t="s">
        <v>353</v>
      </c>
      <c r="D1947" t="s">
        <v>4836</v>
      </c>
      <c r="E1947" t="s">
        <v>568</v>
      </c>
      <c r="F1947" s="46">
        <v>46097.325879097218</v>
      </c>
      <c r="G1947" s="46">
        <v>46097.325879097218</v>
      </c>
      <c r="H1947">
        <v>0</v>
      </c>
    </row>
    <row r="1948" spans="1:8" x14ac:dyDescent="0.15">
      <c r="A1948">
        <v>1947</v>
      </c>
      <c r="B1948" t="s">
        <v>339</v>
      </c>
      <c r="C1948" t="s">
        <v>353</v>
      </c>
      <c r="D1948" t="s">
        <v>4837</v>
      </c>
      <c r="E1948" t="s">
        <v>4838</v>
      </c>
      <c r="F1948" s="46">
        <v>46097.325879097218</v>
      </c>
      <c r="G1948" s="46">
        <v>46097.325879097218</v>
      </c>
      <c r="H1948">
        <v>0</v>
      </c>
    </row>
    <row r="1949" spans="1:8" x14ac:dyDescent="0.15">
      <c r="A1949">
        <v>1948</v>
      </c>
      <c r="B1949" t="s">
        <v>339</v>
      </c>
      <c r="C1949" t="s">
        <v>353</v>
      </c>
      <c r="D1949" t="s">
        <v>4839</v>
      </c>
      <c r="E1949" t="s">
        <v>4838</v>
      </c>
      <c r="F1949" s="46">
        <v>46097.325879097218</v>
      </c>
      <c r="G1949" s="46">
        <v>46097.325879097218</v>
      </c>
      <c r="H1949">
        <v>0</v>
      </c>
    </row>
    <row r="1950" spans="1:8" x14ac:dyDescent="0.15">
      <c r="A1950">
        <v>1949</v>
      </c>
      <c r="B1950" t="s">
        <v>339</v>
      </c>
      <c r="C1950" t="s">
        <v>353</v>
      </c>
      <c r="D1950" t="s">
        <v>4840</v>
      </c>
      <c r="E1950" t="s">
        <v>4841</v>
      </c>
      <c r="F1950" s="46">
        <v>46097.325879097218</v>
      </c>
      <c r="G1950" s="46">
        <v>46097.325879097218</v>
      </c>
      <c r="H1950">
        <v>0</v>
      </c>
    </row>
    <row r="1951" spans="1:8" x14ac:dyDescent="0.15">
      <c r="A1951">
        <v>1950</v>
      </c>
      <c r="B1951" t="s">
        <v>339</v>
      </c>
      <c r="C1951" t="s">
        <v>353</v>
      </c>
      <c r="D1951" t="s">
        <v>4842</v>
      </c>
      <c r="E1951" t="s">
        <v>4843</v>
      </c>
      <c r="F1951" s="46">
        <v>46097.325879097218</v>
      </c>
      <c r="G1951" s="46">
        <v>46097.325879282413</v>
      </c>
      <c r="H1951">
        <v>16</v>
      </c>
    </row>
    <row r="1952" spans="1:8" x14ac:dyDescent="0.15">
      <c r="A1952">
        <v>1951</v>
      </c>
      <c r="B1952" t="s">
        <v>339</v>
      </c>
      <c r="C1952" t="s">
        <v>353</v>
      </c>
      <c r="D1952" t="s">
        <v>4844</v>
      </c>
      <c r="E1952" t="s">
        <v>4845</v>
      </c>
      <c r="F1952" s="46">
        <v>46097.325879282413</v>
      </c>
      <c r="G1952" s="46">
        <v>46097.325879282413</v>
      </c>
      <c r="H1952">
        <v>0</v>
      </c>
    </row>
    <row r="1953" spans="1:8" x14ac:dyDescent="0.15">
      <c r="A1953">
        <v>1952</v>
      </c>
      <c r="B1953" t="s">
        <v>339</v>
      </c>
      <c r="C1953" t="s">
        <v>353</v>
      </c>
      <c r="D1953" t="s">
        <v>4846</v>
      </c>
      <c r="E1953" t="s">
        <v>4847</v>
      </c>
      <c r="F1953" s="46">
        <v>46097.325879282413</v>
      </c>
      <c r="G1953" s="46">
        <v>46097.325879282413</v>
      </c>
      <c r="H1953">
        <v>0</v>
      </c>
    </row>
    <row r="1954" spans="1:8" x14ac:dyDescent="0.15">
      <c r="A1954">
        <v>1953</v>
      </c>
      <c r="B1954" t="s">
        <v>339</v>
      </c>
      <c r="C1954" t="s">
        <v>353</v>
      </c>
      <c r="D1954" t="s">
        <v>4848</v>
      </c>
      <c r="E1954" t="s">
        <v>571</v>
      </c>
      <c r="F1954" s="46">
        <v>46097.325879282413</v>
      </c>
      <c r="G1954" s="46">
        <v>46097.325879282413</v>
      </c>
      <c r="H1954">
        <v>0</v>
      </c>
    </row>
    <row r="1955" spans="1:8" x14ac:dyDescent="0.15">
      <c r="A1955">
        <v>1954</v>
      </c>
      <c r="B1955" t="s">
        <v>339</v>
      </c>
      <c r="C1955" t="s">
        <v>353</v>
      </c>
      <c r="D1955" t="s">
        <v>4849</v>
      </c>
      <c r="E1955" t="s">
        <v>571</v>
      </c>
      <c r="F1955" s="46">
        <v>46097.325879282413</v>
      </c>
      <c r="G1955" s="46">
        <v>46097.325879282413</v>
      </c>
      <c r="H1955">
        <v>0</v>
      </c>
    </row>
    <row r="1956" spans="1:8" x14ac:dyDescent="0.15">
      <c r="A1956">
        <v>1955</v>
      </c>
      <c r="B1956" t="s">
        <v>339</v>
      </c>
      <c r="C1956" t="s">
        <v>353</v>
      </c>
      <c r="D1956" t="s">
        <v>4850</v>
      </c>
      <c r="E1956" t="s">
        <v>572</v>
      </c>
      <c r="F1956" s="46">
        <v>46097.325879282413</v>
      </c>
      <c r="G1956" s="46">
        <v>46097.325879282413</v>
      </c>
      <c r="H1956">
        <v>0</v>
      </c>
    </row>
    <row r="1957" spans="1:8" x14ac:dyDescent="0.15">
      <c r="A1957">
        <v>1956</v>
      </c>
      <c r="B1957" t="s">
        <v>339</v>
      </c>
      <c r="C1957" t="s">
        <v>353</v>
      </c>
      <c r="D1957" t="s">
        <v>4851</v>
      </c>
      <c r="E1957" t="s">
        <v>572</v>
      </c>
      <c r="F1957" s="46">
        <v>46097.325879282413</v>
      </c>
      <c r="G1957" s="46">
        <v>46097.325879282413</v>
      </c>
      <c r="H1957">
        <v>0</v>
      </c>
    </row>
    <row r="1958" spans="1:8" x14ac:dyDescent="0.15">
      <c r="A1958">
        <v>1957</v>
      </c>
      <c r="B1958" t="s">
        <v>339</v>
      </c>
      <c r="C1958" t="s">
        <v>353</v>
      </c>
      <c r="D1958" t="s">
        <v>4852</v>
      </c>
      <c r="E1958" t="s">
        <v>572</v>
      </c>
      <c r="F1958" s="46">
        <v>46097.325879282413</v>
      </c>
      <c r="G1958" s="46">
        <v>46097.325879282413</v>
      </c>
      <c r="H1958">
        <v>0</v>
      </c>
    </row>
    <row r="1959" spans="1:8" x14ac:dyDescent="0.15">
      <c r="A1959">
        <v>1958</v>
      </c>
      <c r="B1959" t="s">
        <v>339</v>
      </c>
      <c r="C1959" t="s">
        <v>353</v>
      </c>
      <c r="D1959" t="s">
        <v>4853</v>
      </c>
      <c r="E1959" t="s">
        <v>572</v>
      </c>
      <c r="F1959" s="46">
        <v>46097.325879282413</v>
      </c>
      <c r="G1959" s="46">
        <v>46097.325879282413</v>
      </c>
      <c r="H1959">
        <v>0</v>
      </c>
    </row>
    <row r="1960" spans="1:8" x14ac:dyDescent="0.15">
      <c r="A1960">
        <v>1959</v>
      </c>
      <c r="B1960" t="s">
        <v>339</v>
      </c>
      <c r="C1960" t="s">
        <v>353</v>
      </c>
      <c r="D1960" t="s">
        <v>4854</v>
      </c>
      <c r="E1960" t="s">
        <v>572</v>
      </c>
      <c r="F1960" s="46">
        <v>46097.325879282413</v>
      </c>
      <c r="G1960" s="46">
        <v>46097.325879282413</v>
      </c>
      <c r="H1960">
        <v>0</v>
      </c>
    </row>
    <row r="1961" spans="1:8" x14ac:dyDescent="0.15">
      <c r="A1961">
        <v>1960</v>
      </c>
      <c r="B1961" t="s">
        <v>339</v>
      </c>
      <c r="C1961" t="s">
        <v>353</v>
      </c>
      <c r="D1961" t="s">
        <v>4855</v>
      </c>
      <c r="E1961" t="s">
        <v>572</v>
      </c>
      <c r="F1961" s="46">
        <v>46097.325879282413</v>
      </c>
      <c r="G1961" s="46">
        <v>46097.325879467593</v>
      </c>
      <c r="H1961">
        <v>15</v>
      </c>
    </row>
    <row r="1962" spans="1:8" x14ac:dyDescent="0.15">
      <c r="A1962">
        <v>1961</v>
      </c>
      <c r="B1962" t="s">
        <v>339</v>
      </c>
      <c r="C1962" t="s">
        <v>353</v>
      </c>
      <c r="D1962" t="s">
        <v>4856</v>
      </c>
      <c r="E1962" t="s">
        <v>572</v>
      </c>
      <c r="F1962" s="46">
        <v>46097.325879467593</v>
      </c>
      <c r="G1962" s="46">
        <v>46097.325879467593</v>
      </c>
      <c r="H1962">
        <v>0</v>
      </c>
    </row>
    <row r="1963" spans="1:8" x14ac:dyDescent="0.15">
      <c r="A1963">
        <v>1962</v>
      </c>
      <c r="B1963" t="s">
        <v>339</v>
      </c>
      <c r="C1963" t="s">
        <v>353</v>
      </c>
      <c r="D1963" t="s">
        <v>4857</v>
      </c>
      <c r="E1963" t="s">
        <v>572</v>
      </c>
      <c r="F1963" s="46">
        <v>46097.325879467593</v>
      </c>
      <c r="G1963" s="46">
        <v>46097.325879467593</v>
      </c>
      <c r="H1963">
        <v>0</v>
      </c>
    </row>
    <row r="1964" spans="1:8" x14ac:dyDescent="0.15">
      <c r="A1964">
        <v>1963</v>
      </c>
      <c r="B1964" t="s">
        <v>339</v>
      </c>
      <c r="C1964" t="s">
        <v>353</v>
      </c>
      <c r="D1964" t="s">
        <v>4858</v>
      </c>
      <c r="E1964" t="s">
        <v>572</v>
      </c>
      <c r="F1964" s="46">
        <v>46097.325879467593</v>
      </c>
      <c r="G1964" s="46">
        <v>46097.325879467593</v>
      </c>
      <c r="H1964">
        <v>0</v>
      </c>
    </row>
    <row r="1965" spans="1:8" x14ac:dyDescent="0.15">
      <c r="A1965">
        <v>1964</v>
      </c>
      <c r="B1965" t="s">
        <v>339</v>
      </c>
      <c r="C1965" t="s">
        <v>353</v>
      </c>
      <c r="D1965" t="s">
        <v>4859</v>
      </c>
      <c r="E1965" t="s">
        <v>572</v>
      </c>
      <c r="F1965" s="46">
        <v>46097.325879467593</v>
      </c>
      <c r="G1965" s="46">
        <v>46097.325879467593</v>
      </c>
      <c r="H1965">
        <v>0</v>
      </c>
    </row>
    <row r="1966" spans="1:8" x14ac:dyDescent="0.15">
      <c r="A1966">
        <v>1965</v>
      </c>
      <c r="B1966" t="s">
        <v>339</v>
      </c>
      <c r="C1966" t="s">
        <v>353</v>
      </c>
      <c r="D1966" t="s">
        <v>4860</v>
      </c>
      <c r="E1966" t="s">
        <v>572</v>
      </c>
      <c r="F1966" s="46">
        <v>46097.325879467593</v>
      </c>
      <c r="G1966" s="46">
        <v>46097.325879467593</v>
      </c>
      <c r="H1966">
        <v>0</v>
      </c>
    </row>
    <row r="1967" spans="1:8" x14ac:dyDescent="0.15">
      <c r="A1967">
        <v>1966</v>
      </c>
      <c r="B1967" t="s">
        <v>339</v>
      </c>
      <c r="C1967" t="s">
        <v>353</v>
      </c>
      <c r="D1967" t="s">
        <v>4861</v>
      </c>
      <c r="E1967" t="s">
        <v>574</v>
      </c>
      <c r="F1967" s="46">
        <v>46097.325879467593</v>
      </c>
      <c r="G1967" s="46">
        <v>46097.325879467593</v>
      </c>
      <c r="H1967">
        <v>0</v>
      </c>
    </row>
    <row r="1968" spans="1:8" x14ac:dyDescent="0.15">
      <c r="A1968">
        <v>1967</v>
      </c>
      <c r="B1968" t="s">
        <v>339</v>
      </c>
      <c r="C1968" t="s">
        <v>353</v>
      </c>
      <c r="D1968" t="s">
        <v>4862</v>
      </c>
      <c r="E1968" t="s">
        <v>575</v>
      </c>
      <c r="F1968" s="46">
        <v>46097.325879467593</v>
      </c>
      <c r="G1968" s="46">
        <v>46097.325879467593</v>
      </c>
      <c r="H1968">
        <v>0</v>
      </c>
    </row>
    <row r="1969" spans="1:8" x14ac:dyDescent="0.15">
      <c r="A1969">
        <v>1968</v>
      </c>
      <c r="B1969" t="s">
        <v>339</v>
      </c>
      <c r="C1969" t="s">
        <v>353</v>
      </c>
      <c r="D1969" t="s">
        <v>4863</v>
      </c>
      <c r="E1969" t="s">
        <v>575</v>
      </c>
      <c r="F1969" s="46">
        <v>46097.325879467593</v>
      </c>
      <c r="G1969" s="46">
        <v>46097.325879467593</v>
      </c>
      <c r="H1969">
        <v>0</v>
      </c>
    </row>
    <row r="1970" spans="1:8" x14ac:dyDescent="0.15">
      <c r="A1970">
        <v>1969</v>
      </c>
      <c r="B1970" t="s">
        <v>339</v>
      </c>
      <c r="C1970" t="s">
        <v>353</v>
      </c>
      <c r="D1970" t="s">
        <v>4864</v>
      </c>
      <c r="E1970" t="s">
        <v>575</v>
      </c>
      <c r="F1970" s="46">
        <v>46097.325879467593</v>
      </c>
      <c r="G1970" s="46">
        <v>46097.325879467593</v>
      </c>
      <c r="H1970">
        <v>0</v>
      </c>
    </row>
    <row r="1971" spans="1:8" x14ac:dyDescent="0.15">
      <c r="A1971">
        <v>1970</v>
      </c>
      <c r="B1971" t="s">
        <v>339</v>
      </c>
      <c r="C1971" t="s">
        <v>353</v>
      </c>
      <c r="D1971" t="s">
        <v>4865</v>
      </c>
      <c r="E1971" t="s">
        <v>575</v>
      </c>
      <c r="F1971" s="46">
        <v>46097.325879467593</v>
      </c>
      <c r="G1971" s="46">
        <v>46097.325879467593</v>
      </c>
      <c r="H1971">
        <v>0</v>
      </c>
    </row>
    <row r="1972" spans="1:8" x14ac:dyDescent="0.15">
      <c r="A1972">
        <v>1971</v>
      </c>
      <c r="B1972" t="s">
        <v>339</v>
      </c>
      <c r="C1972" t="s">
        <v>353</v>
      </c>
      <c r="D1972" t="s">
        <v>4866</v>
      </c>
      <c r="E1972" t="s">
        <v>575</v>
      </c>
      <c r="F1972" s="46">
        <v>46097.325879467593</v>
      </c>
      <c r="G1972" s="46">
        <v>46097.325879641197</v>
      </c>
      <c r="H1972">
        <v>16</v>
      </c>
    </row>
    <row r="1973" spans="1:8" x14ac:dyDescent="0.15">
      <c r="A1973">
        <v>1972</v>
      </c>
      <c r="B1973" t="s">
        <v>339</v>
      </c>
      <c r="C1973" t="s">
        <v>353</v>
      </c>
      <c r="D1973" t="s">
        <v>4867</v>
      </c>
      <c r="E1973" t="s">
        <v>575</v>
      </c>
      <c r="F1973" s="46">
        <v>46097.325879641197</v>
      </c>
      <c r="G1973" s="46">
        <v>46097.325879641197</v>
      </c>
      <c r="H1973">
        <v>0</v>
      </c>
    </row>
    <row r="1974" spans="1:8" x14ac:dyDescent="0.15">
      <c r="A1974">
        <v>1973</v>
      </c>
      <c r="B1974" t="s">
        <v>339</v>
      </c>
      <c r="C1974" t="s">
        <v>353</v>
      </c>
      <c r="D1974" t="s">
        <v>4868</v>
      </c>
      <c r="E1974" t="s">
        <v>575</v>
      </c>
      <c r="F1974" s="46">
        <v>46097.325879641197</v>
      </c>
      <c r="G1974" s="46">
        <v>46097.325879641197</v>
      </c>
      <c r="H1974">
        <v>0</v>
      </c>
    </row>
    <row r="1975" spans="1:8" x14ac:dyDescent="0.15">
      <c r="A1975">
        <v>1974</v>
      </c>
      <c r="B1975" t="s">
        <v>339</v>
      </c>
      <c r="C1975" t="s">
        <v>353</v>
      </c>
      <c r="D1975" t="s">
        <v>4869</v>
      </c>
      <c r="E1975" t="s">
        <v>575</v>
      </c>
      <c r="F1975" s="46">
        <v>46097.325879641197</v>
      </c>
      <c r="G1975" s="46">
        <v>46097.325879641197</v>
      </c>
      <c r="H1975">
        <v>0</v>
      </c>
    </row>
    <row r="1976" spans="1:8" x14ac:dyDescent="0.15">
      <c r="A1976">
        <v>1975</v>
      </c>
      <c r="B1976" t="s">
        <v>339</v>
      </c>
      <c r="C1976" t="s">
        <v>353</v>
      </c>
      <c r="D1976" t="s">
        <v>4870</v>
      </c>
      <c r="E1976" t="s">
        <v>4871</v>
      </c>
      <c r="F1976" s="46">
        <v>46097.325879641197</v>
      </c>
      <c r="G1976" s="46">
        <v>46097.325879641197</v>
      </c>
      <c r="H1976">
        <v>0</v>
      </c>
    </row>
    <row r="1977" spans="1:8" x14ac:dyDescent="0.15">
      <c r="A1977">
        <v>1976</v>
      </c>
      <c r="B1977" t="s">
        <v>339</v>
      </c>
      <c r="C1977" t="s">
        <v>353</v>
      </c>
      <c r="D1977" t="s">
        <v>4872</v>
      </c>
      <c r="E1977" t="s">
        <v>4873</v>
      </c>
      <c r="F1977" s="46">
        <v>46097.325879641197</v>
      </c>
      <c r="G1977" s="46">
        <v>46097.325879641197</v>
      </c>
      <c r="H1977">
        <v>0</v>
      </c>
    </row>
    <row r="1978" spans="1:8" x14ac:dyDescent="0.15">
      <c r="A1978">
        <v>1977</v>
      </c>
      <c r="B1978" t="s">
        <v>339</v>
      </c>
      <c r="C1978" t="s">
        <v>353</v>
      </c>
      <c r="D1978" t="s">
        <v>4874</v>
      </c>
      <c r="E1978" t="s">
        <v>4875</v>
      </c>
      <c r="F1978" s="46">
        <v>46097.325879641197</v>
      </c>
      <c r="G1978" s="46">
        <v>46097.325879641197</v>
      </c>
      <c r="H1978">
        <v>0</v>
      </c>
    </row>
    <row r="1979" spans="1:8" x14ac:dyDescent="0.15">
      <c r="A1979">
        <v>1978</v>
      </c>
      <c r="B1979" t="s">
        <v>339</v>
      </c>
      <c r="C1979" t="s">
        <v>353</v>
      </c>
      <c r="D1979" t="s">
        <v>4876</v>
      </c>
      <c r="E1979" t="s">
        <v>4877</v>
      </c>
      <c r="F1979" s="46">
        <v>46097.325879641197</v>
      </c>
      <c r="G1979" s="46">
        <v>46097.325879641197</v>
      </c>
      <c r="H1979">
        <v>0</v>
      </c>
    </row>
    <row r="1980" spans="1:8" x14ac:dyDescent="0.15">
      <c r="A1980">
        <v>1979</v>
      </c>
      <c r="B1980" t="s">
        <v>339</v>
      </c>
      <c r="C1980" t="s">
        <v>353</v>
      </c>
      <c r="D1980" t="s">
        <v>4878</v>
      </c>
      <c r="E1980" t="s">
        <v>4879</v>
      </c>
      <c r="F1980" s="46">
        <v>46097.325879641197</v>
      </c>
      <c r="G1980" s="46">
        <v>46097.325879641197</v>
      </c>
      <c r="H1980">
        <v>0</v>
      </c>
    </row>
    <row r="1981" spans="1:8" x14ac:dyDescent="0.15">
      <c r="A1981">
        <v>1980</v>
      </c>
      <c r="B1981" t="s">
        <v>339</v>
      </c>
      <c r="C1981" t="s">
        <v>353</v>
      </c>
      <c r="D1981" t="s">
        <v>4880</v>
      </c>
      <c r="E1981" t="s">
        <v>4881</v>
      </c>
      <c r="F1981" s="46">
        <v>46097.325879641197</v>
      </c>
      <c r="G1981" s="46">
        <v>46097.325879641197</v>
      </c>
      <c r="H1981">
        <v>0</v>
      </c>
    </row>
    <row r="1982" spans="1:8" x14ac:dyDescent="0.15">
      <c r="A1982">
        <v>1981</v>
      </c>
      <c r="B1982" t="s">
        <v>339</v>
      </c>
      <c r="C1982" t="s">
        <v>353</v>
      </c>
      <c r="D1982" t="s">
        <v>4882</v>
      </c>
      <c r="E1982" t="s">
        <v>4883</v>
      </c>
      <c r="F1982" s="46">
        <v>46097.325879641197</v>
      </c>
      <c r="G1982" s="46">
        <v>46097.325879826392</v>
      </c>
      <c r="H1982">
        <v>15</v>
      </c>
    </row>
    <row r="1983" spans="1:8" x14ac:dyDescent="0.15">
      <c r="A1983">
        <v>1982</v>
      </c>
      <c r="B1983" t="s">
        <v>339</v>
      </c>
      <c r="C1983" t="s">
        <v>353</v>
      </c>
      <c r="D1983" t="s">
        <v>4884</v>
      </c>
      <c r="E1983" t="s">
        <v>4883</v>
      </c>
      <c r="F1983" s="46">
        <v>46097.325879826392</v>
      </c>
      <c r="G1983" s="46">
        <v>46097.325879826392</v>
      </c>
      <c r="H1983">
        <v>0</v>
      </c>
    </row>
    <row r="1984" spans="1:8" x14ac:dyDescent="0.15">
      <c r="A1984">
        <v>1983</v>
      </c>
      <c r="B1984" t="s">
        <v>339</v>
      </c>
      <c r="C1984" t="s">
        <v>353</v>
      </c>
      <c r="D1984" t="s">
        <v>4885</v>
      </c>
      <c r="E1984" t="s">
        <v>4883</v>
      </c>
      <c r="F1984" s="46">
        <v>46097.325879826392</v>
      </c>
      <c r="G1984" s="46">
        <v>46097.325879826392</v>
      </c>
      <c r="H1984">
        <v>0</v>
      </c>
    </row>
    <row r="1985" spans="1:8" x14ac:dyDescent="0.15">
      <c r="A1985">
        <v>1984</v>
      </c>
      <c r="B1985" t="s">
        <v>339</v>
      </c>
      <c r="C1985" t="s">
        <v>353</v>
      </c>
      <c r="D1985" t="s">
        <v>4886</v>
      </c>
      <c r="E1985" t="s">
        <v>4887</v>
      </c>
      <c r="F1985" s="46">
        <v>46097.325879826392</v>
      </c>
      <c r="G1985" s="46">
        <v>46097.325879826392</v>
      </c>
      <c r="H1985">
        <v>0</v>
      </c>
    </row>
    <row r="1986" spans="1:8" x14ac:dyDescent="0.15">
      <c r="A1986">
        <v>1985</v>
      </c>
      <c r="B1986" t="s">
        <v>339</v>
      </c>
      <c r="C1986" t="s">
        <v>353</v>
      </c>
      <c r="D1986" t="s">
        <v>4888</v>
      </c>
      <c r="E1986" t="s">
        <v>4889</v>
      </c>
      <c r="F1986" s="46">
        <v>46097.325879826392</v>
      </c>
      <c r="G1986" s="46">
        <v>46097.325879826392</v>
      </c>
      <c r="H1986">
        <v>0</v>
      </c>
    </row>
    <row r="1987" spans="1:8" x14ac:dyDescent="0.15">
      <c r="A1987">
        <v>1986</v>
      </c>
      <c r="B1987" t="s">
        <v>339</v>
      </c>
      <c r="C1987" t="s">
        <v>353</v>
      </c>
      <c r="D1987" t="s">
        <v>4890</v>
      </c>
      <c r="E1987" t="s">
        <v>578</v>
      </c>
      <c r="F1987" s="46">
        <v>46097.325879826392</v>
      </c>
      <c r="G1987" s="46">
        <v>46097.325879826392</v>
      </c>
      <c r="H1987">
        <v>0</v>
      </c>
    </row>
    <row r="1988" spans="1:8" x14ac:dyDescent="0.15">
      <c r="A1988">
        <v>1987</v>
      </c>
      <c r="B1988" t="s">
        <v>339</v>
      </c>
      <c r="C1988" t="s">
        <v>353</v>
      </c>
      <c r="D1988" t="s">
        <v>4891</v>
      </c>
      <c r="E1988" t="s">
        <v>578</v>
      </c>
      <c r="F1988" s="46">
        <v>46097.325879826392</v>
      </c>
      <c r="G1988" s="46">
        <v>46097.325879826392</v>
      </c>
      <c r="H1988">
        <v>0</v>
      </c>
    </row>
    <row r="1989" spans="1:8" x14ac:dyDescent="0.15">
      <c r="A1989">
        <v>1988</v>
      </c>
      <c r="B1989" t="s">
        <v>339</v>
      </c>
      <c r="C1989" t="s">
        <v>353</v>
      </c>
      <c r="D1989" t="s">
        <v>4892</v>
      </c>
      <c r="E1989" t="s">
        <v>579</v>
      </c>
      <c r="F1989" s="46">
        <v>46097.325879826392</v>
      </c>
      <c r="G1989" s="46">
        <v>46097.325879826392</v>
      </c>
      <c r="H1989">
        <v>0</v>
      </c>
    </row>
    <row r="1990" spans="1:8" x14ac:dyDescent="0.15">
      <c r="A1990">
        <v>1989</v>
      </c>
      <c r="B1990" t="s">
        <v>339</v>
      </c>
      <c r="C1990" t="s">
        <v>353</v>
      </c>
      <c r="D1990" t="s">
        <v>4893</v>
      </c>
      <c r="E1990" t="s">
        <v>579</v>
      </c>
      <c r="F1990" s="46">
        <v>46097.325879826392</v>
      </c>
      <c r="G1990" s="46">
        <v>46097.325879826392</v>
      </c>
      <c r="H1990">
        <v>0</v>
      </c>
    </row>
    <row r="1991" spans="1:8" x14ac:dyDescent="0.15">
      <c r="A1991">
        <v>1990</v>
      </c>
      <c r="B1991" t="s">
        <v>339</v>
      </c>
      <c r="C1991" t="s">
        <v>353</v>
      </c>
      <c r="D1991" t="s">
        <v>4894</v>
      </c>
      <c r="E1991" t="s">
        <v>579</v>
      </c>
      <c r="F1991" s="46">
        <v>46097.325879826392</v>
      </c>
      <c r="G1991" s="46">
        <v>46097.325879826392</v>
      </c>
      <c r="H1991">
        <v>0</v>
      </c>
    </row>
    <row r="1992" spans="1:8" x14ac:dyDescent="0.15">
      <c r="A1992">
        <v>1991</v>
      </c>
      <c r="B1992" t="s">
        <v>339</v>
      </c>
      <c r="C1992" t="s">
        <v>353</v>
      </c>
      <c r="D1992" t="s">
        <v>4895</v>
      </c>
      <c r="E1992" t="s">
        <v>580</v>
      </c>
      <c r="F1992" s="46">
        <v>46097.325879826392</v>
      </c>
      <c r="G1992" s="46">
        <v>46097.325879826392</v>
      </c>
      <c r="H1992">
        <v>0</v>
      </c>
    </row>
    <row r="1993" spans="1:8" x14ac:dyDescent="0.15">
      <c r="A1993">
        <v>1992</v>
      </c>
      <c r="B1993" t="s">
        <v>339</v>
      </c>
      <c r="C1993" t="s">
        <v>353</v>
      </c>
      <c r="D1993" t="s">
        <v>4896</v>
      </c>
      <c r="E1993" t="s">
        <v>580</v>
      </c>
      <c r="F1993" s="46">
        <v>46097.325879826392</v>
      </c>
      <c r="G1993" s="46">
        <v>46097.325880011573</v>
      </c>
      <c r="H1993">
        <v>16</v>
      </c>
    </row>
    <row r="1994" spans="1:8" x14ac:dyDescent="0.15">
      <c r="A1994">
        <v>1993</v>
      </c>
      <c r="B1994" t="s">
        <v>339</v>
      </c>
      <c r="C1994" t="s">
        <v>353</v>
      </c>
      <c r="D1994" t="s">
        <v>4897</v>
      </c>
      <c r="E1994" t="s">
        <v>580</v>
      </c>
      <c r="F1994" s="46">
        <v>46097.325880011573</v>
      </c>
      <c r="G1994" s="46">
        <v>46097.325880011573</v>
      </c>
      <c r="H1994">
        <v>0</v>
      </c>
    </row>
    <row r="1995" spans="1:8" x14ac:dyDescent="0.15">
      <c r="A1995">
        <v>1994</v>
      </c>
      <c r="B1995" t="s">
        <v>339</v>
      </c>
      <c r="C1995" t="s">
        <v>353</v>
      </c>
      <c r="D1995" t="s">
        <v>4898</v>
      </c>
      <c r="E1995" t="s">
        <v>4899</v>
      </c>
      <c r="F1995" s="46">
        <v>46097.325880011573</v>
      </c>
      <c r="G1995" s="46">
        <v>46097.325880011573</v>
      </c>
      <c r="H1995">
        <v>0</v>
      </c>
    </row>
    <row r="1996" spans="1:8" x14ac:dyDescent="0.15">
      <c r="A1996">
        <v>1995</v>
      </c>
      <c r="B1996" t="s">
        <v>339</v>
      </c>
      <c r="C1996" t="s">
        <v>353</v>
      </c>
      <c r="D1996" t="s">
        <v>4900</v>
      </c>
      <c r="E1996" t="s">
        <v>4899</v>
      </c>
      <c r="F1996" s="46">
        <v>46097.325880011573</v>
      </c>
      <c r="G1996" s="46">
        <v>46097.325880011573</v>
      </c>
      <c r="H1996">
        <v>0</v>
      </c>
    </row>
    <row r="1997" spans="1:8" x14ac:dyDescent="0.15">
      <c r="A1997">
        <v>1996</v>
      </c>
      <c r="B1997" t="s">
        <v>339</v>
      </c>
      <c r="C1997" t="s">
        <v>353</v>
      </c>
      <c r="D1997" t="s">
        <v>4901</v>
      </c>
      <c r="E1997" t="s">
        <v>4902</v>
      </c>
      <c r="F1997" s="46">
        <v>46097.325880011573</v>
      </c>
      <c r="G1997" s="46">
        <v>46097.325880011573</v>
      </c>
      <c r="H1997">
        <v>0</v>
      </c>
    </row>
    <row r="1998" spans="1:8" x14ac:dyDescent="0.15">
      <c r="A1998">
        <v>1997</v>
      </c>
      <c r="B1998" t="s">
        <v>339</v>
      </c>
      <c r="C1998" t="s">
        <v>353</v>
      </c>
      <c r="D1998" t="s">
        <v>4903</v>
      </c>
      <c r="E1998" t="s">
        <v>4902</v>
      </c>
      <c r="F1998" s="46">
        <v>46097.325880011573</v>
      </c>
      <c r="G1998" s="46">
        <v>46097.325880011573</v>
      </c>
      <c r="H1998">
        <v>0</v>
      </c>
    </row>
    <row r="1999" spans="1:8" x14ac:dyDescent="0.15">
      <c r="A1999">
        <v>1998</v>
      </c>
      <c r="B1999" t="s">
        <v>339</v>
      </c>
      <c r="C1999" t="s">
        <v>353</v>
      </c>
      <c r="D1999" t="s">
        <v>4904</v>
      </c>
      <c r="E1999" t="s">
        <v>4902</v>
      </c>
      <c r="F1999" s="46">
        <v>46097.325880011573</v>
      </c>
      <c r="G1999" s="46">
        <v>46097.325880011573</v>
      </c>
      <c r="H1999">
        <v>0</v>
      </c>
    </row>
    <row r="2000" spans="1:8" x14ac:dyDescent="0.15">
      <c r="A2000">
        <v>1999</v>
      </c>
      <c r="B2000" t="s">
        <v>339</v>
      </c>
      <c r="C2000" t="s">
        <v>353</v>
      </c>
      <c r="D2000" t="s">
        <v>4905</v>
      </c>
      <c r="E2000" t="s">
        <v>4902</v>
      </c>
      <c r="F2000" s="46">
        <v>46097.325880011573</v>
      </c>
      <c r="G2000" s="46">
        <v>46097.325880011573</v>
      </c>
      <c r="H2000">
        <v>0</v>
      </c>
    </row>
    <row r="2001" spans="1:8" x14ac:dyDescent="0.15">
      <c r="A2001">
        <v>2000</v>
      </c>
      <c r="B2001" t="s">
        <v>339</v>
      </c>
      <c r="C2001" t="s">
        <v>353</v>
      </c>
      <c r="D2001" t="s">
        <v>4906</v>
      </c>
      <c r="E2001" t="s">
        <v>4907</v>
      </c>
      <c r="F2001" s="46">
        <v>46097.325880011573</v>
      </c>
      <c r="G2001" s="46">
        <v>46097.325880011573</v>
      </c>
      <c r="H2001">
        <v>0</v>
      </c>
    </row>
    <row r="2002" spans="1:8" x14ac:dyDescent="0.15">
      <c r="A2002">
        <v>2001</v>
      </c>
      <c r="B2002" t="s">
        <v>339</v>
      </c>
      <c r="C2002" t="s">
        <v>353</v>
      </c>
      <c r="D2002" t="s">
        <v>4908</v>
      </c>
      <c r="E2002" t="s">
        <v>4909</v>
      </c>
      <c r="F2002" s="46">
        <v>46097.325880011573</v>
      </c>
      <c r="G2002" s="46">
        <v>46097.325880011573</v>
      </c>
      <c r="H2002">
        <v>0</v>
      </c>
    </row>
    <row r="2003" spans="1:8" x14ac:dyDescent="0.15">
      <c r="A2003">
        <v>2002</v>
      </c>
      <c r="B2003" t="s">
        <v>339</v>
      </c>
      <c r="C2003" t="s">
        <v>353</v>
      </c>
      <c r="D2003" t="s">
        <v>4910</v>
      </c>
      <c r="E2003" t="s">
        <v>4909</v>
      </c>
      <c r="F2003" s="46">
        <v>46097.325880011573</v>
      </c>
      <c r="G2003" s="46">
        <v>46097.325880185177</v>
      </c>
      <c r="H2003">
        <v>16</v>
      </c>
    </row>
    <row r="2004" spans="1:8" x14ac:dyDescent="0.15">
      <c r="A2004">
        <v>2003</v>
      </c>
      <c r="B2004" t="s">
        <v>339</v>
      </c>
      <c r="C2004" t="s">
        <v>353</v>
      </c>
      <c r="D2004" t="s">
        <v>4911</v>
      </c>
      <c r="E2004" t="s">
        <v>4909</v>
      </c>
      <c r="F2004" s="46">
        <v>46097.325880185177</v>
      </c>
      <c r="G2004" s="46">
        <v>46097.325880185177</v>
      </c>
      <c r="H2004">
        <v>0</v>
      </c>
    </row>
    <row r="2005" spans="1:8" x14ac:dyDescent="0.15">
      <c r="A2005">
        <v>2004</v>
      </c>
      <c r="B2005" t="s">
        <v>339</v>
      </c>
      <c r="C2005" t="s">
        <v>353</v>
      </c>
      <c r="D2005" t="s">
        <v>4912</v>
      </c>
      <c r="E2005" t="s">
        <v>4913</v>
      </c>
      <c r="F2005" s="46">
        <v>46097.325880185177</v>
      </c>
      <c r="G2005" s="46">
        <v>46097.325880185177</v>
      </c>
      <c r="H2005">
        <v>0</v>
      </c>
    </row>
    <row r="2006" spans="1:8" x14ac:dyDescent="0.15">
      <c r="A2006">
        <v>2005</v>
      </c>
      <c r="B2006" t="s">
        <v>339</v>
      </c>
      <c r="C2006" t="s">
        <v>353</v>
      </c>
      <c r="D2006" t="s">
        <v>4914</v>
      </c>
      <c r="E2006" t="s">
        <v>4913</v>
      </c>
      <c r="F2006" s="46">
        <v>46097.325880185177</v>
      </c>
      <c r="G2006" s="46">
        <v>46097.325880185177</v>
      </c>
      <c r="H2006">
        <v>0</v>
      </c>
    </row>
    <row r="2007" spans="1:8" x14ac:dyDescent="0.15">
      <c r="A2007">
        <v>2006</v>
      </c>
      <c r="B2007" t="s">
        <v>339</v>
      </c>
      <c r="C2007" t="s">
        <v>353</v>
      </c>
      <c r="D2007" t="s">
        <v>4915</v>
      </c>
      <c r="E2007" t="s">
        <v>581</v>
      </c>
      <c r="F2007" s="46">
        <v>46097.325880185177</v>
      </c>
      <c r="G2007" s="46">
        <v>46097.325880185177</v>
      </c>
      <c r="H2007">
        <v>0</v>
      </c>
    </row>
    <row r="2008" spans="1:8" x14ac:dyDescent="0.15">
      <c r="A2008">
        <v>2007</v>
      </c>
      <c r="B2008" t="s">
        <v>339</v>
      </c>
      <c r="C2008" t="s">
        <v>353</v>
      </c>
      <c r="D2008" t="s">
        <v>4916</v>
      </c>
      <c r="E2008" t="s">
        <v>581</v>
      </c>
      <c r="F2008" s="46">
        <v>46097.325880185177</v>
      </c>
      <c r="G2008" s="46">
        <v>46097.325880185177</v>
      </c>
      <c r="H2008">
        <v>0</v>
      </c>
    </row>
    <row r="2009" spans="1:8" x14ac:dyDescent="0.15">
      <c r="A2009">
        <v>2008</v>
      </c>
      <c r="B2009" t="s">
        <v>339</v>
      </c>
      <c r="C2009" t="s">
        <v>353</v>
      </c>
      <c r="D2009" t="s">
        <v>4917</v>
      </c>
      <c r="E2009" t="s">
        <v>581</v>
      </c>
      <c r="F2009" s="46">
        <v>46097.325880185177</v>
      </c>
      <c r="G2009" s="46">
        <v>46097.325880185177</v>
      </c>
      <c r="H2009">
        <v>0</v>
      </c>
    </row>
    <row r="2010" spans="1:8" x14ac:dyDescent="0.15">
      <c r="A2010">
        <v>2009</v>
      </c>
      <c r="B2010" t="s">
        <v>339</v>
      </c>
      <c r="C2010" t="s">
        <v>353</v>
      </c>
      <c r="D2010" t="s">
        <v>4918</v>
      </c>
      <c r="E2010" t="s">
        <v>582</v>
      </c>
      <c r="F2010" s="46">
        <v>46097.325880185177</v>
      </c>
      <c r="G2010" s="46">
        <v>46097.325880185177</v>
      </c>
      <c r="H2010">
        <v>0</v>
      </c>
    </row>
    <row r="2011" spans="1:8" x14ac:dyDescent="0.15">
      <c r="A2011">
        <v>2010</v>
      </c>
      <c r="B2011" t="s">
        <v>339</v>
      </c>
      <c r="C2011" t="s">
        <v>353</v>
      </c>
      <c r="D2011" t="s">
        <v>4919</v>
      </c>
      <c r="E2011" t="s">
        <v>582</v>
      </c>
      <c r="F2011" s="46">
        <v>46097.325880185177</v>
      </c>
      <c r="G2011" s="46">
        <v>46097.325880185177</v>
      </c>
      <c r="H2011">
        <v>0</v>
      </c>
    </row>
    <row r="2012" spans="1:8" x14ac:dyDescent="0.15">
      <c r="A2012">
        <v>2011</v>
      </c>
      <c r="B2012" t="s">
        <v>339</v>
      </c>
      <c r="C2012" t="s">
        <v>353</v>
      </c>
      <c r="D2012" t="s">
        <v>4920</v>
      </c>
      <c r="E2012" t="s">
        <v>582</v>
      </c>
      <c r="F2012" s="46">
        <v>46097.325880185177</v>
      </c>
      <c r="G2012" s="46">
        <v>46097.325880185177</v>
      </c>
      <c r="H2012">
        <v>0</v>
      </c>
    </row>
    <row r="2013" spans="1:8" x14ac:dyDescent="0.15">
      <c r="A2013">
        <v>2012</v>
      </c>
      <c r="B2013" t="s">
        <v>339</v>
      </c>
      <c r="C2013" t="s">
        <v>353</v>
      </c>
      <c r="D2013" t="s">
        <v>4921</v>
      </c>
      <c r="E2013" t="s">
        <v>582</v>
      </c>
      <c r="F2013" s="46">
        <v>46097.325880185177</v>
      </c>
      <c r="G2013" s="46">
        <v>46097.325880370372</v>
      </c>
      <c r="H2013">
        <v>15</v>
      </c>
    </row>
    <row r="2014" spans="1:8" x14ac:dyDescent="0.15">
      <c r="A2014">
        <v>2013</v>
      </c>
      <c r="B2014" t="s">
        <v>339</v>
      </c>
      <c r="C2014" t="s">
        <v>353</v>
      </c>
      <c r="D2014" t="s">
        <v>4922</v>
      </c>
      <c r="E2014" t="s">
        <v>582</v>
      </c>
      <c r="F2014" s="46">
        <v>46097.325880370372</v>
      </c>
      <c r="G2014" s="46">
        <v>46097.325880370372</v>
      </c>
      <c r="H2014">
        <v>0</v>
      </c>
    </row>
    <row r="2015" spans="1:8" x14ac:dyDescent="0.15">
      <c r="A2015">
        <v>2014</v>
      </c>
      <c r="B2015" t="s">
        <v>339</v>
      </c>
      <c r="C2015" t="s">
        <v>353</v>
      </c>
      <c r="D2015" t="s">
        <v>4923</v>
      </c>
      <c r="E2015" t="s">
        <v>582</v>
      </c>
      <c r="F2015" s="46">
        <v>46097.325880370372</v>
      </c>
      <c r="G2015" s="46">
        <v>46097.325880370372</v>
      </c>
      <c r="H2015">
        <v>0</v>
      </c>
    </row>
    <row r="2016" spans="1:8" x14ac:dyDescent="0.15">
      <c r="A2016">
        <v>2015</v>
      </c>
      <c r="B2016" t="s">
        <v>339</v>
      </c>
      <c r="C2016" t="s">
        <v>353</v>
      </c>
      <c r="D2016" t="s">
        <v>4924</v>
      </c>
      <c r="E2016" t="s">
        <v>582</v>
      </c>
      <c r="F2016" s="46">
        <v>46097.325880370372</v>
      </c>
      <c r="G2016" s="46">
        <v>46097.325880370372</v>
      </c>
      <c r="H2016">
        <v>0</v>
      </c>
    </row>
    <row r="2017" spans="1:8" x14ac:dyDescent="0.15">
      <c r="A2017">
        <v>2016</v>
      </c>
      <c r="B2017" t="s">
        <v>339</v>
      </c>
      <c r="C2017" t="s">
        <v>353</v>
      </c>
      <c r="D2017" t="s">
        <v>4925</v>
      </c>
      <c r="E2017" t="s">
        <v>582</v>
      </c>
      <c r="F2017" s="46">
        <v>46097.325880370372</v>
      </c>
      <c r="G2017" s="46">
        <v>46097.325880370372</v>
      </c>
      <c r="H2017">
        <v>0</v>
      </c>
    </row>
    <row r="2018" spans="1:8" x14ac:dyDescent="0.15">
      <c r="A2018">
        <v>2017</v>
      </c>
      <c r="B2018" t="s">
        <v>339</v>
      </c>
      <c r="C2018" t="s">
        <v>353</v>
      </c>
      <c r="D2018" t="s">
        <v>4926</v>
      </c>
      <c r="E2018" t="s">
        <v>582</v>
      </c>
      <c r="F2018" s="46">
        <v>46097.325880370372</v>
      </c>
      <c r="G2018" s="46">
        <v>46097.325880370372</v>
      </c>
      <c r="H2018">
        <v>0</v>
      </c>
    </row>
    <row r="2019" spans="1:8" x14ac:dyDescent="0.15">
      <c r="A2019">
        <v>2018</v>
      </c>
      <c r="B2019" t="s">
        <v>339</v>
      </c>
      <c r="C2019" t="s">
        <v>353</v>
      </c>
      <c r="D2019" t="s">
        <v>4927</v>
      </c>
      <c r="E2019" t="s">
        <v>582</v>
      </c>
      <c r="F2019" s="46">
        <v>46097.325880370372</v>
      </c>
      <c r="G2019" s="46">
        <v>46097.325880370372</v>
      </c>
      <c r="H2019">
        <v>0</v>
      </c>
    </row>
    <row r="2020" spans="1:8" x14ac:dyDescent="0.15">
      <c r="A2020">
        <v>2019</v>
      </c>
      <c r="B2020" t="s">
        <v>339</v>
      </c>
      <c r="C2020" t="s">
        <v>353</v>
      </c>
      <c r="D2020" t="s">
        <v>4928</v>
      </c>
      <c r="E2020" t="s">
        <v>582</v>
      </c>
      <c r="F2020" s="46">
        <v>46097.325880370372</v>
      </c>
      <c r="G2020" s="46">
        <v>46097.325880370372</v>
      </c>
      <c r="H2020">
        <v>0</v>
      </c>
    </row>
    <row r="2021" spans="1:8" x14ac:dyDescent="0.15">
      <c r="A2021">
        <v>2020</v>
      </c>
      <c r="B2021" t="s">
        <v>339</v>
      </c>
      <c r="C2021" t="s">
        <v>353</v>
      </c>
      <c r="D2021" t="s">
        <v>4929</v>
      </c>
      <c r="E2021" t="s">
        <v>583</v>
      </c>
      <c r="F2021" s="46">
        <v>46097.325880370372</v>
      </c>
      <c r="G2021" s="46">
        <v>46097.325880370372</v>
      </c>
      <c r="H2021">
        <v>0</v>
      </c>
    </row>
    <row r="2022" spans="1:8" x14ac:dyDescent="0.15">
      <c r="A2022">
        <v>2021</v>
      </c>
      <c r="B2022" t="s">
        <v>339</v>
      </c>
      <c r="C2022" t="s">
        <v>353</v>
      </c>
      <c r="D2022" t="s">
        <v>4930</v>
      </c>
      <c r="E2022" t="s">
        <v>584</v>
      </c>
      <c r="F2022" s="46">
        <v>46097.325880370372</v>
      </c>
      <c r="G2022" s="46">
        <v>46097.325880370372</v>
      </c>
      <c r="H2022">
        <v>0</v>
      </c>
    </row>
    <row r="2023" spans="1:8" x14ac:dyDescent="0.15">
      <c r="A2023">
        <v>2022</v>
      </c>
      <c r="B2023" t="s">
        <v>339</v>
      </c>
      <c r="C2023" t="s">
        <v>353</v>
      </c>
      <c r="D2023" t="s">
        <v>4931</v>
      </c>
      <c r="E2023" t="s">
        <v>585</v>
      </c>
      <c r="F2023" s="46">
        <v>46097.325880370372</v>
      </c>
      <c r="G2023" s="46">
        <v>46097.325880543976</v>
      </c>
      <c r="H2023">
        <v>16</v>
      </c>
    </row>
    <row r="2024" spans="1:8" x14ac:dyDescent="0.15">
      <c r="A2024">
        <v>2023</v>
      </c>
      <c r="B2024" t="s">
        <v>339</v>
      </c>
      <c r="C2024" t="s">
        <v>353</v>
      </c>
      <c r="D2024" t="s">
        <v>4932</v>
      </c>
      <c r="E2024" t="s">
        <v>588</v>
      </c>
      <c r="F2024" s="46">
        <v>46097.325880543976</v>
      </c>
      <c r="G2024" s="46">
        <v>46097.325880543976</v>
      </c>
      <c r="H2024">
        <v>0</v>
      </c>
    </row>
    <row r="2025" spans="1:8" x14ac:dyDescent="0.15">
      <c r="A2025">
        <v>2024</v>
      </c>
      <c r="B2025" t="s">
        <v>339</v>
      </c>
      <c r="C2025" t="s">
        <v>353</v>
      </c>
      <c r="D2025" t="s">
        <v>4933</v>
      </c>
      <c r="E2025" t="s">
        <v>588</v>
      </c>
      <c r="F2025" s="46">
        <v>46097.325880543976</v>
      </c>
      <c r="G2025" s="46">
        <v>46097.325880543976</v>
      </c>
      <c r="H2025">
        <v>0</v>
      </c>
    </row>
    <row r="2026" spans="1:8" x14ac:dyDescent="0.15">
      <c r="A2026">
        <v>2025</v>
      </c>
      <c r="B2026" t="s">
        <v>339</v>
      </c>
      <c r="C2026" t="s">
        <v>353</v>
      </c>
      <c r="D2026" t="s">
        <v>4934</v>
      </c>
      <c r="E2026" t="s">
        <v>588</v>
      </c>
      <c r="F2026" s="46">
        <v>46097.325880543976</v>
      </c>
      <c r="G2026" s="46">
        <v>46097.325880543976</v>
      </c>
      <c r="H2026">
        <v>0</v>
      </c>
    </row>
    <row r="2027" spans="1:8" x14ac:dyDescent="0.15">
      <c r="A2027">
        <v>2026</v>
      </c>
      <c r="B2027" t="s">
        <v>339</v>
      </c>
      <c r="C2027" t="s">
        <v>353</v>
      </c>
      <c r="D2027" t="s">
        <v>4935</v>
      </c>
      <c r="E2027" t="s">
        <v>588</v>
      </c>
      <c r="F2027" s="46">
        <v>46097.325880543976</v>
      </c>
      <c r="G2027" s="46">
        <v>46097.325880543976</v>
      </c>
      <c r="H2027">
        <v>0</v>
      </c>
    </row>
    <row r="2028" spans="1:8" x14ac:dyDescent="0.15">
      <c r="A2028">
        <v>2027</v>
      </c>
      <c r="B2028" t="s">
        <v>339</v>
      </c>
      <c r="C2028" t="s">
        <v>353</v>
      </c>
      <c r="D2028" t="s">
        <v>4936</v>
      </c>
      <c r="E2028" t="s">
        <v>588</v>
      </c>
      <c r="F2028" s="46">
        <v>46097.325880543976</v>
      </c>
      <c r="G2028" s="46">
        <v>46097.325880543976</v>
      </c>
      <c r="H2028">
        <v>0</v>
      </c>
    </row>
    <row r="2029" spans="1:8" x14ac:dyDescent="0.15">
      <c r="A2029">
        <v>2028</v>
      </c>
      <c r="B2029" t="s">
        <v>339</v>
      </c>
      <c r="C2029" t="s">
        <v>353</v>
      </c>
      <c r="D2029" t="s">
        <v>4937</v>
      </c>
      <c r="E2029" t="s">
        <v>588</v>
      </c>
      <c r="F2029" s="46">
        <v>46097.325880543976</v>
      </c>
      <c r="G2029" s="46">
        <v>46097.325880543976</v>
      </c>
      <c r="H2029">
        <v>0</v>
      </c>
    </row>
    <row r="2030" spans="1:8" x14ac:dyDescent="0.15">
      <c r="A2030">
        <v>2029</v>
      </c>
      <c r="B2030" t="s">
        <v>339</v>
      </c>
      <c r="C2030" t="s">
        <v>353</v>
      </c>
      <c r="D2030" t="s">
        <v>4938</v>
      </c>
      <c r="E2030" t="s">
        <v>588</v>
      </c>
      <c r="F2030" s="46">
        <v>46097.325880543976</v>
      </c>
      <c r="G2030" s="46">
        <v>46097.325880543976</v>
      </c>
      <c r="H2030">
        <v>0</v>
      </c>
    </row>
    <row r="2031" spans="1:8" x14ac:dyDescent="0.15">
      <c r="A2031">
        <v>2030</v>
      </c>
      <c r="B2031" t="s">
        <v>339</v>
      </c>
      <c r="C2031" t="s">
        <v>353</v>
      </c>
      <c r="D2031" t="s">
        <v>4939</v>
      </c>
      <c r="E2031" t="s">
        <v>588</v>
      </c>
      <c r="F2031" s="46">
        <v>46097.325880543976</v>
      </c>
      <c r="G2031" s="46">
        <v>46097.325880543976</v>
      </c>
      <c r="H2031">
        <v>0</v>
      </c>
    </row>
    <row r="2032" spans="1:8" x14ac:dyDescent="0.15">
      <c r="A2032">
        <v>2031</v>
      </c>
      <c r="B2032" t="s">
        <v>339</v>
      </c>
      <c r="C2032" t="s">
        <v>353</v>
      </c>
      <c r="D2032" t="s">
        <v>4940</v>
      </c>
      <c r="E2032" t="s">
        <v>589</v>
      </c>
      <c r="F2032" s="46">
        <v>46097.325880543976</v>
      </c>
      <c r="G2032" s="46">
        <v>46097.325880543976</v>
      </c>
      <c r="H2032">
        <v>0</v>
      </c>
    </row>
    <row r="2033" spans="1:8" x14ac:dyDescent="0.15">
      <c r="A2033">
        <v>2032</v>
      </c>
      <c r="B2033" t="s">
        <v>339</v>
      </c>
      <c r="C2033" t="s">
        <v>353</v>
      </c>
      <c r="D2033" t="s">
        <v>4941</v>
      </c>
      <c r="E2033" t="s">
        <v>589</v>
      </c>
      <c r="F2033" s="46">
        <v>46097.325880543976</v>
      </c>
      <c r="G2033" s="46">
        <v>46097.325880729157</v>
      </c>
      <c r="H2033">
        <v>16</v>
      </c>
    </row>
    <row r="2034" spans="1:8" x14ac:dyDescent="0.15">
      <c r="A2034">
        <v>2033</v>
      </c>
      <c r="B2034" t="s">
        <v>339</v>
      </c>
      <c r="C2034" t="s">
        <v>353</v>
      </c>
      <c r="D2034" t="s">
        <v>4942</v>
      </c>
      <c r="E2034" t="s">
        <v>589</v>
      </c>
      <c r="F2034" s="46">
        <v>46097.325880729157</v>
      </c>
      <c r="G2034" s="46">
        <v>46097.325880729157</v>
      </c>
      <c r="H2034">
        <v>0</v>
      </c>
    </row>
    <row r="2035" spans="1:8" x14ac:dyDescent="0.15">
      <c r="A2035">
        <v>2034</v>
      </c>
      <c r="B2035" t="s">
        <v>339</v>
      </c>
      <c r="C2035" t="s">
        <v>353</v>
      </c>
      <c r="D2035" t="s">
        <v>4943</v>
      </c>
      <c r="E2035" t="s">
        <v>589</v>
      </c>
      <c r="F2035" s="46">
        <v>46097.325880729157</v>
      </c>
      <c r="G2035" s="46">
        <v>46097.325880729157</v>
      </c>
      <c r="H2035">
        <v>0</v>
      </c>
    </row>
    <row r="2036" spans="1:8" x14ac:dyDescent="0.15">
      <c r="A2036">
        <v>2035</v>
      </c>
      <c r="B2036" t="s">
        <v>339</v>
      </c>
      <c r="C2036" t="s">
        <v>353</v>
      </c>
      <c r="D2036" t="s">
        <v>4944</v>
      </c>
      <c r="E2036" t="s">
        <v>589</v>
      </c>
      <c r="F2036" s="46">
        <v>46097.325880729157</v>
      </c>
      <c r="G2036" s="46">
        <v>46097.325880729157</v>
      </c>
      <c r="H2036">
        <v>0</v>
      </c>
    </row>
    <row r="2037" spans="1:8" x14ac:dyDescent="0.15">
      <c r="A2037">
        <v>2036</v>
      </c>
      <c r="B2037" t="s">
        <v>339</v>
      </c>
      <c r="C2037" t="s">
        <v>353</v>
      </c>
      <c r="D2037" t="s">
        <v>4945</v>
      </c>
      <c r="E2037" t="s">
        <v>590</v>
      </c>
      <c r="F2037" s="46">
        <v>46097.325880729157</v>
      </c>
      <c r="G2037" s="46">
        <v>46097.325880729157</v>
      </c>
      <c r="H2037">
        <v>0</v>
      </c>
    </row>
    <row r="2038" spans="1:8" x14ac:dyDescent="0.15">
      <c r="A2038">
        <v>2037</v>
      </c>
      <c r="B2038" t="s">
        <v>339</v>
      </c>
      <c r="C2038" t="s">
        <v>353</v>
      </c>
      <c r="D2038" t="s">
        <v>4946</v>
      </c>
      <c r="E2038" t="s">
        <v>590</v>
      </c>
      <c r="F2038" s="46">
        <v>46097.325880729157</v>
      </c>
      <c r="G2038" s="46">
        <v>46097.325880729157</v>
      </c>
      <c r="H2038">
        <v>0</v>
      </c>
    </row>
    <row r="2039" spans="1:8" x14ac:dyDescent="0.15">
      <c r="A2039">
        <v>2038</v>
      </c>
      <c r="B2039" t="s">
        <v>339</v>
      </c>
      <c r="C2039" t="s">
        <v>353</v>
      </c>
      <c r="D2039" t="s">
        <v>4947</v>
      </c>
      <c r="E2039" t="s">
        <v>590</v>
      </c>
      <c r="F2039" s="46">
        <v>46097.325880729157</v>
      </c>
      <c r="G2039" s="46">
        <v>46097.325880729157</v>
      </c>
      <c r="H2039">
        <v>0</v>
      </c>
    </row>
    <row r="2040" spans="1:8" x14ac:dyDescent="0.15">
      <c r="A2040">
        <v>2039</v>
      </c>
      <c r="B2040" t="s">
        <v>339</v>
      </c>
      <c r="C2040" t="s">
        <v>353</v>
      </c>
      <c r="D2040" t="s">
        <v>4948</v>
      </c>
      <c r="E2040" t="s">
        <v>590</v>
      </c>
      <c r="F2040" s="46">
        <v>46097.325880729157</v>
      </c>
      <c r="G2040" s="46">
        <v>46097.325880729157</v>
      </c>
      <c r="H2040">
        <v>0</v>
      </c>
    </row>
    <row r="2041" spans="1:8" x14ac:dyDescent="0.15">
      <c r="A2041">
        <v>2040</v>
      </c>
      <c r="B2041" t="s">
        <v>339</v>
      </c>
      <c r="C2041" t="s">
        <v>353</v>
      </c>
      <c r="D2041" t="s">
        <v>4949</v>
      </c>
      <c r="E2041" t="s">
        <v>590</v>
      </c>
      <c r="F2041" s="46">
        <v>46097.325880729157</v>
      </c>
      <c r="G2041" s="46">
        <v>46097.325880729157</v>
      </c>
      <c r="H2041">
        <v>0</v>
      </c>
    </row>
    <row r="2042" spans="1:8" x14ac:dyDescent="0.15">
      <c r="A2042">
        <v>2041</v>
      </c>
      <c r="B2042" t="s">
        <v>339</v>
      </c>
      <c r="C2042" t="s">
        <v>353</v>
      </c>
      <c r="D2042" t="s">
        <v>4950</v>
      </c>
      <c r="E2042" t="s">
        <v>595</v>
      </c>
      <c r="F2042" s="46">
        <v>46097.325880729157</v>
      </c>
      <c r="G2042" s="46">
        <v>46097.325880729157</v>
      </c>
      <c r="H2042">
        <v>0</v>
      </c>
    </row>
    <row r="2043" spans="1:8" x14ac:dyDescent="0.15">
      <c r="A2043">
        <v>2042</v>
      </c>
      <c r="B2043" t="s">
        <v>339</v>
      </c>
      <c r="C2043" t="s">
        <v>353</v>
      </c>
      <c r="D2043" t="s">
        <v>4951</v>
      </c>
      <c r="E2043" t="s">
        <v>595</v>
      </c>
      <c r="F2043" s="46">
        <v>46097.325880729157</v>
      </c>
      <c r="G2043" s="46">
        <v>46097.325880729157</v>
      </c>
      <c r="H2043">
        <v>0</v>
      </c>
    </row>
    <row r="2044" spans="1:8" x14ac:dyDescent="0.15">
      <c r="A2044">
        <v>2043</v>
      </c>
      <c r="B2044" t="s">
        <v>339</v>
      </c>
      <c r="C2044" t="s">
        <v>353</v>
      </c>
      <c r="D2044" t="s">
        <v>4952</v>
      </c>
      <c r="E2044" t="s">
        <v>595</v>
      </c>
      <c r="F2044" s="46">
        <v>46097.325880729157</v>
      </c>
      <c r="G2044" s="46">
        <v>46097.325880914352</v>
      </c>
      <c r="H2044">
        <v>15</v>
      </c>
    </row>
    <row r="2045" spans="1:8" x14ac:dyDescent="0.15">
      <c r="A2045">
        <v>2044</v>
      </c>
      <c r="B2045" t="s">
        <v>339</v>
      </c>
      <c r="C2045" t="s">
        <v>353</v>
      </c>
      <c r="D2045" t="s">
        <v>4953</v>
      </c>
      <c r="E2045" t="s">
        <v>595</v>
      </c>
      <c r="F2045" s="46">
        <v>46097.325880914352</v>
      </c>
      <c r="G2045" s="46">
        <v>46097.325880914352</v>
      </c>
      <c r="H2045">
        <v>0</v>
      </c>
    </row>
    <row r="2046" spans="1:8" x14ac:dyDescent="0.15">
      <c r="A2046">
        <v>2045</v>
      </c>
      <c r="B2046" t="s">
        <v>339</v>
      </c>
      <c r="C2046" t="s">
        <v>353</v>
      </c>
      <c r="D2046" t="s">
        <v>4954</v>
      </c>
      <c r="E2046" t="s">
        <v>595</v>
      </c>
      <c r="F2046" s="46">
        <v>46097.325880914352</v>
      </c>
      <c r="G2046" s="46">
        <v>46097.325880914352</v>
      </c>
      <c r="H2046">
        <v>0</v>
      </c>
    </row>
    <row r="2047" spans="1:8" x14ac:dyDescent="0.15">
      <c r="A2047">
        <v>2046</v>
      </c>
      <c r="B2047" t="s">
        <v>339</v>
      </c>
      <c r="C2047" t="s">
        <v>353</v>
      </c>
      <c r="D2047" t="s">
        <v>4955</v>
      </c>
      <c r="E2047" t="s">
        <v>595</v>
      </c>
      <c r="F2047" s="46">
        <v>46097.325880914352</v>
      </c>
      <c r="G2047" s="46">
        <v>46097.325880914352</v>
      </c>
      <c r="H2047">
        <v>0</v>
      </c>
    </row>
    <row r="2048" spans="1:8" x14ac:dyDescent="0.15">
      <c r="A2048">
        <v>2047</v>
      </c>
      <c r="B2048" t="s">
        <v>339</v>
      </c>
      <c r="C2048" t="s">
        <v>353</v>
      </c>
      <c r="D2048" t="s">
        <v>4956</v>
      </c>
      <c r="E2048" t="s">
        <v>595</v>
      </c>
      <c r="F2048" s="46">
        <v>46097.325880914352</v>
      </c>
      <c r="G2048" s="46">
        <v>46097.325880914352</v>
      </c>
      <c r="H2048">
        <v>0</v>
      </c>
    </row>
    <row r="2049" spans="1:8" x14ac:dyDescent="0.15">
      <c r="A2049">
        <v>2048</v>
      </c>
      <c r="B2049" t="s">
        <v>339</v>
      </c>
      <c r="C2049" t="s">
        <v>353</v>
      </c>
      <c r="D2049" t="s">
        <v>4957</v>
      </c>
      <c r="E2049" t="s">
        <v>595</v>
      </c>
      <c r="F2049" s="46">
        <v>46097.325880914352</v>
      </c>
      <c r="G2049" s="46">
        <v>46097.325880914352</v>
      </c>
      <c r="H2049">
        <v>0</v>
      </c>
    </row>
    <row r="2050" spans="1:8" x14ac:dyDescent="0.15">
      <c r="A2050">
        <v>2049</v>
      </c>
      <c r="B2050" t="s">
        <v>339</v>
      </c>
      <c r="C2050" t="s">
        <v>353</v>
      </c>
      <c r="D2050" t="s">
        <v>4958</v>
      </c>
      <c r="E2050" t="s">
        <v>595</v>
      </c>
      <c r="F2050" s="46">
        <v>46097.325880914352</v>
      </c>
      <c r="G2050" s="46">
        <v>46097.325880914352</v>
      </c>
      <c r="H2050">
        <v>0</v>
      </c>
    </row>
    <row r="2051" spans="1:8" x14ac:dyDescent="0.15">
      <c r="A2051">
        <v>2050</v>
      </c>
      <c r="B2051" t="s">
        <v>339</v>
      </c>
      <c r="C2051" t="s">
        <v>353</v>
      </c>
      <c r="D2051" t="s">
        <v>4959</v>
      </c>
      <c r="E2051" t="s">
        <v>595</v>
      </c>
      <c r="F2051" s="46">
        <v>46097.325880914352</v>
      </c>
      <c r="G2051" s="46">
        <v>46097.325880914352</v>
      </c>
      <c r="H2051">
        <v>0</v>
      </c>
    </row>
    <row r="2052" spans="1:8" x14ac:dyDescent="0.15">
      <c r="A2052">
        <v>2051</v>
      </c>
      <c r="B2052" t="s">
        <v>339</v>
      </c>
      <c r="C2052" t="s">
        <v>353</v>
      </c>
      <c r="D2052" t="s">
        <v>4960</v>
      </c>
      <c r="E2052" t="s">
        <v>595</v>
      </c>
      <c r="F2052" s="46">
        <v>46097.325880914352</v>
      </c>
      <c r="G2052" s="46">
        <v>46097.325880914352</v>
      </c>
      <c r="H2052">
        <v>0</v>
      </c>
    </row>
    <row r="2053" spans="1:8" x14ac:dyDescent="0.15">
      <c r="A2053">
        <v>2052</v>
      </c>
      <c r="B2053" t="s">
        <v>339</v>
      </c>
      <c r="C2053" t="s">
        <v>353</v>
      </c>
      <c r="D2053" t="s">
        <v>4961</v>
      </c>
      <c r="E2053" t="s">
        <v>595</v>
      </c>
      <c r="F2053" s="46">
        <v>46097.325880914352</v>
      </c>
      <c r="G2053" s="46">
        <v>46097.325880914352</v>
      </c>
      <c r="H2053">
        <v>0</v>
      </c>
    </row>
    <row r="2054" spans="1:8" x14ac:dyDescent="0.15">
      <c r="A2054">
        <v>2053</v>
      </c>
      <c r="B2054" t="s">
        <v>339</v>
      </c>
      <c r="C2054" t="s">
        <v>353</v>
      </c>
      <c r="D2054" t="s">
        <v>4962</v>
      </c>
      <c r="E2054" t="s">
        <v>595</v>
      </c>
      <c r="F2054" s="46">
        <v>46097.325880914352</v>
      </c>
      <c r="G2054" s="46">
        <v>46097.325881087963</v>
      </c>
      <c r="H2054">
        <v>16</v>
      </c>
    </row>
    <row r="2055" spans="1:8" x14ac:dyDescent="0.15">
      <c r="A2055">
        <v>2054</v>
      </c>
      <c r="B2055" t="s">
        <v>339</v>
      </c>
      <c r="C2055" t="s">
        <v>353</v>
      </c>
      <c r="D2055" t="s">
        <v>4963</v>
      </c>
      <c r="E2055" t="s">
        <v>595</v>
      </c>
      <c r="F2055" s="46">
        <v>46097.325881087963</v>
      </c>
      <c r="G2055" s="46">
        <v>46097.325881087963</v>
      </c>
      <c r="H2055">
        <v>0</v>
      </c>
    </row>
    <row r="2056" spans="1:8" x14ac:dyDescent="0.15">
      <c r="A2056">
        <v>2055</v>
      </c>
      <c r="B2056" t="s">
        <v>339</v>
      </c>
      <c r="C2056" t="s">
        <v>353</v>
      </c>
      <c r="D2056" t="s">
        <v>4964</v>
      </c>
      <c r="E2056" t="s">
        <v>595</v>
      </c>
      <c r="F2056" s="46">
        <v>46097.325881087963</v>
      </c>
      <c r="G2056" s="46">
        <v>46097.325881087963</v>
      </c>
      <c r="H2056">
        <v>0</v>
      </c>
    </row>
    <row r="2057" spans="1:8" x14ac:dyDescent="0.15">
      <c r="A2057">
        <v>2056</v>
      </c>
      <c r="B2057" t="s">
        <v>339</v>
      </c>
      <c r="C2057" t="s">
        <v>353</v>
      </c>
      <c r="D2057" t="s">
        <v>4965</v>
      </c>
      <c r="E2057" t="s">
        <v>595</v>
      </c>
      <c r="F2057" s="46">
        <v>46097.325881087963</v>
      </c>
      <c r="G2057" s="46">
        <v>46097.325881087963</v>
      </c>
      <c r="H2057">
        <v>0</v>
      </c>
    </row>
    <row r="2058" spans="1:8" x14ac:dyDescent="0.15">
      <c r="A2058">
        <v>2057</v>
      </c>
      <c r="B2058" t="s">
        <v>339</v>
      </c>
      <c r="C2058" t="s">
        <v>353</v>
      </c>
      <c r="D2058" t="s">
        <v>4966</v>
      </c>
      <c r="E2058" t="s">
        <v>595</v>
      </c>
      <c r="F2058" s="46">
        <v>46097.325881087963</v>
      </c>
      <c r="G2058" s="46">
        <v>46097.325881087963</v>
      </c>
      <c r="H2058">
        <v>0</v>
      </c>
    </row>
    <row r="2059" spans="1:8" x14ac:dyDescent="0.15">
      <c r="A2059">
        <v>2058</v>
      </c>
      <c r="B2059" t="s">
        <v>339</v>
      </c>
      <c r="C2059" t="s">
        <v>353</v>
      </c>
      <c r="D2059" t="s">
        <v>4967</v>
      </c>
      <c r="E2059" t="s">
        <v>595</v>
      </c>
      <c r="F2059" s="46">
        <v>46097.325881087963</v>
      </c>
      <c r="G2059" s="46">
        <v>46097.325881087963</v>
      </c>
      <c r="H2059">
        <v>0</v>
      </c>
    </row>
    <row r="2060" spans="1:8" x14ac:dyDescent="0.15">
      <c r="A2060">
        <v>2059</v>
      </c>
      <c r="B2060" t="s">
        <v>339</v>
      </c>
      <c r="C2060" t="s">
        <v>353</v>
      </c>
      <c r="D2060" t="s">
        <v>4968</v>
      </c>
      <c r="E2060" t="s">
        <v>595</v>
      </c>
      <c r="F2060" s="46">
        <v>46097.325881087963</v>
      </c>
      <c r="G2060" s="46">
        <v>46097.325881087963</v>
      </c>
      <c r="H2060">
        <v>0</v>
      </c>
    </row>
    <row r="2061" spans="1:8" x14ac:dyDescent="0.15">
      <c r="A2061">
        <v>2060</v>
      </c>
      <c r="B2061" t="s">
        <v>339</v>
      </c>
      <c r="C2061" t="s">
        <v>353</v>
      </c>
      <c r="D2061" t="s">
        <v>4969</v>
      </c>
      <c r="E2061" t="s">
        <v>4970</v>
      </c>
      <c r="F2061" s="46">
        <v>46097.325881087963</v>
      </c>
      <c r="G2061" s="46">
        <v>46097.325881087963</v>
      </c>
      <c r="H2061">
        <v>0</v>
      </c>
    </row>
    <row r="2062" spans="1:8" x14ac:dyDescent="0.15">
      <c r="A2062">
        <v>2061</v>
      </c>
      <c r="B2062" t="s">
        <v>339</v>
      </c>
      <c r="C2062" t="s">
        <v>353</v>
      </c>
      <c r="D2062" t="s">
        <v>4971</v>
      </c>
      <c r="E2062" t="s">
        <v>597</v>
      </c>
      <c r="F2062" s="46">
        <v>46097.325881087963</v>
      </c>
      <c r="G2062" s="46">
        <v>46097.325881087963</v>
      </c>
      <c r="H2062">
        <v>0</v>
      </c>
    </row>
    <row r="2063" spans="1:8" x14ac:dyDescent="0.15">
      <c r="A2063">
        <v>2062</v>
      </c>
      <c r="B2063" t="s">
        <v>339</v>
      </c>
      <c r="C2063" t="s">
        <v>353</v>
      </c>
      <c r="D2063" t="s">
        <v>4972</v>
      </c>
      <c r="E2063" t="s">
        <v>4973</v>
      </c>
      <c r="F2063" s="46">
        <v>46097.325881087963</v>
      </c>
      <c r="G2063" s="46">
        <v>46097.325881087963</v>
      </c>
      <c r="H2063">
        <v>0</v>
      </c>
    </row>
    <row r="2064" spans="1:8" x14ac:dyDescent="0.15">
      <c r="A2064">
        <v>2063</v>
      </c>
      <c r="B2064" t="s">
        <v>339</v>
      </c>
      <c r="C2064" t="s">
        <v>353</v>
      </c>
      <c r="D2064" t="s">
        <v>4974</v>
      </c>
      <c r="E2064" t="s">
        <v>4973</v>
      </c>
      <c r="F2064" s="46">
        <v>46097.325881087963</v>
      </c>
      <c r="G2064" s="46">
        <v>46097.325881273151</v>
      </c>
      <c r="H2064">
        <v>15</v>
      </c>
    </row>
    <row r="2065" spans="1:8" x14ac:dyDescent="0.15">
      <c r="A2065">
        <v>2064</v>
      </c>
      <c r="B2065" t="s">
        <v>339</v>
      </c>
      <c r="C2065" t="s">
        <v>353</v>
      </c>
      <c r="D2065" t="s">
        <v>4975</v>
      </c>
      <c r="E2065" t="s">
        <v>4973</v>
      </c>
      <c r="F2065" s="46">
        <v>46097.325881273151</v>
      </c>
      <c r="G2065" s="46">
        <v>46097.325881273151</v>
      </c>
      <c r="H2065">
        <v>0</v>
      </c>
    </row>
    <row r="2066" spans="1:8" x14ac:dyDescent="0.15">
      <c r="A2066">
        <v>2065</v>
      </c>
      <c r="B2066" t="s">
        <v>339</v>
      </c>
      <c r="C2066" t="s">
        <v>353</v>
      </c>
      <c r="D2066" t="s">
        <v>4976</v>
      </c>
      <c r="E2066" t="s">
        <v>4977</v>
      </c>
      <c r="F2066" s="46">
        <v>46097.325881273151</v>
      </c>
      <c r="G2066" s="46">
        <v>46097.325881273151</v>
      </c>
      <c r="H2066">
        <v>0</v>
      </c>
    </row>
    <row r="2067" spans="1:8" x14ac:dyDescent="0.15">
      <c r="A2067">
        <v>2066</v>
      </c>
      <c r="B2067" t="s">
        <v>339</v>
      </c>
      <c r="C2067" t="s">
        <v>353</v>
      </c>
      <c r="D2067" t="s">
        <v>4978</v>
      </c>
      <c r="E2067" t="s">
        <v>4979</v>
      </c>
      <c r="F2067" s="46">
        <v>46097.325881273151</v>
      </c>
      <c r="G2067" s="46">
        <v>46097.325881273151</v>
      </c>
      <c r="H2067">
        <v>0</v>
      </c>
    </row>
    <row r="2068" spans="1:8" x14ac:dyDescent="0.15">
      <c r="A2068">
        <v>2067</v>
      </c>
      <c r="B2068" t="s">
        <v>339</v>
      </c>
      <c r="C2068" t="s">
        <v>353</v>
      </c>
      <c r="D2068" t="s">
        <v>4980</v>
      </c>
      <c r="E2068" t="s">
        <v>4979</v>
      </c>
      <c r="F2068" s="46">
        <v>46097.325881273151</v>
      </c>
      <c r="G2068" s="46">
        <v>46097.325881273151</v>
      </c>
      <c r="H2068">
        <v>0</v>
      </c>
    </row>
    <row r="2069" spans="1:8" x14ac:dyDescent="0.15">
      <c r="A2069">
        <v>2068</v>
      </c>
      <c r="B2069" t="s">
        <v>339</v>
      </c>
      <c r="C2069" t="s">
        <v>353</v>
      </c>
      <c r="D2069" t="s">
        <v>4981</v>
      </c>
      <c r="E2069" t="s">
        <v>4982</v>
      </c>
      <c r="F2069" s="46">
        <v>46097.325881273151</v>
      </c>
      <c r="G2069" s="46">
        <v>46097.325881273151</v>
      </c>
      <c r="H2069">
        <v>0</v>
      </c>
    </row>
    <row r="2070" spans="1:8" x14ac:dyDescent="0.15">
      <c r="A2070">
        <v>2069</v>
      </c>
      <c r="B2070" t="s">
        <v>339</v>
      </c>
      <c r="C2070" t="s">
        <v>353</v>
      </c>
      <c r="D2070" t="s">
        <v>4983</v>
      </c>
      <c r="E2070" t="s">
        <v>4982</v>
      </c>
      <c r="F2070" s="46">
        <v>46097.325881273151</v>
      </c>
      <c r="G2070" s="46">
        <v>46097.325881273151</v>
      </c>
      <c r="H2070">
        <v>0</v>
      </c>
    </row>
    <row r="2071" spans="1:8" x14ac:dyDescent="0.15">
      <c r="A2071">
        <v>2070</v>
      </c>
      <c r="B2071" t="s">
        <v>339</v>
      </c>
      <c r="C2071" t="s">
        <v>353</v>
      </c>
      <c r="D2071" t="s">
        <v>4984</v>
      </c>
      <c r="E2071" t="s">
        <v>4985</v>
      </c>
      <c r="F2071" s="46">
        <v>46097.325881273151</v>
      </c>
      <c r="G2071" s="46">
        <v>46097.325881273151</v>
      </c>
      <c r="H2071">
        <v>0</v>
      </c>
    </row>
    <row r="2072" spans="1:8" x14ac:dyDescent="0.15">
      <c r="A2072">
        <v>2071</v>
      </c>
      <c r="B2072" t="s">
        <v>339</v>
      </c>
      <c r="C2072" t="s">
        <v>353</v>
      </c>
      <c r="D2072" t="s">
        <v>4986</v>
      </c>
      <c r="E2072" t="s">
        <v>4987</v>
      </c>
      <c r="F2072" s="46">
        <v>46097.325881273151</v>
      </c>
      <c r="G2072" s="46">
        <v>46097.325881273151</v>
      </c>
      <c r="H2072">
        <v>0</v>
      </c>
    </row>
    <row r="2073" spans="1:8" x14ac:dyDescent="0.15">
      <c r="A2073">
        <v>2072</v>
      </c>
      <c r="B2073" t="s">
        <v>339</v>
      </c>
      <c r="C2073" t="s">
        <v>353</v>
      </c>
      <c r="D2073" t="s">
        <v>4988</v>
      </c>
      <c r="E2073" t="s">
        <v>4987</v>
      </c>
      <c r="F2073" s="46">
        <v>46097.325881273151</v>
      </c>
      <c r="G2073" s="46">
        <v>46097.325881273151</v>
      </c>
      <c r="H2073">
        <v>0</v>
      </c>
    </row>
    <row r="2074" spans="1:8" x14ac:dyDescent="0.15">
      <c r="A2074">
        <v>2073</v>
      </c>
      <c r="B2074" t="s">
        <v>339</v>
      </c>
      <c r="C2074" t="s">
        <v>353</v>
      </c>
      <c r="D2074" t="s">
        <v>4989</v>
      </c>
      <c r="E2074" t="s">
        <v>4990</v>
      </c>
      <c r="F2074" s="46">
        <v>46097.325881273151</v>
      </c>
      <c r="G2074" s="46">
        <v>46097.325881273151</v>
      </c>
      <c r="H2074">
        <v>0</v>
      </c>
    </row>
    <row r="2075" spans="1:8" x14ac:dyDescent="0.15">
      <c r="A2075">
        <v>2074</v>
      </c>
      <c r="B2075" t="s">
        <v>339</v>
      </c>
      <c r="C2075" t="s">
        <v>353</v>
      </c>
      <c r="D2075" t="s">
        <v>4991</v>
      </c>
      <c r="E2075" t="s">
        <v>4990</v>
      </c>
      <c r="F2075" s="46">
        <v>46097.325881273151</v>
      </c>
      <c r="G2075" s="46">
        <v>46097.325881458331</v>
      </c>
      <c r="H2075">
        <v>16</v>
      </c>
    </row>
    <row r="2076" spans="1:8" x14ac:dyDescent="0.15">
      <c r="A2076">
        <v>2075</v>
      </c>
      <c r="B2076" t="s">
        <v>339</v>
      </c>
      <c r="C2076" t="s">
        <v>353</v>
      </c>
      <c r="D2076" t="s">
        <v>4992</v>
      </c>
      <c r="E2076" t="s">
        <v>4993</v>
      </c>
      <c r="F2076" s="46">
        <v>46097.325881458331</v>
      </c>
      <c r="G2076" s="46">
        <v>46097.325881458331</v>
      </c>
      <c r="H2076">
        <v>0</v>
      </c>
    </row>
    <row r="2077" spans="1:8" x14ac:dyDescent="0.15">
      <c r="A2077">
        <v>2076</v>
      </c>
      <c r="B2077" t="s">
        <v>339</v>
      </c>
      <c r="C2077" t="s">
        <v>353</v>
      </c>
      <c r="D2077" t="s">
        <v>4994</v>
      </c>
      <c r="E2077" t="s">
        <v>4993</v>
      </c>
      <c r="F2077" s="46">
        <v>46097.325881458331</v>
      </c>
      <c r="G2077" s="46">
        <v>46097.325881458331</v>
      </c>
      <c r="H2077">
        <v>0</v>
      </c>
    </row>
    <row r="2078" spans="1:8" x14ac:dyDescent="0.15">
      <c r="A2078">
        <v>2077</v>
      </c>
      <c r="B2078" t="s">
        <v>339</v>
      </c>
      <c r="C2078" t="s">
        <v>353</v>
      </c>
      <c r="D2078" t="s">
        <v>4995</v>
      </c>
      <c r="E2078" t="s">
        <v>599</v>
      </c>
      <c r="F2078" s="46">
        <v>46097.325881458331</v>
      </c>
      <c r="G2078" s="46">
        <v>46097.325881458331</v>
      </c>
      <c r="H2078">
        <v>0</v>
      </c>
    </row>
    <row r="2079" spans="1:8" x14ac:dyDescent="0.15">
      <c r="A2079">
        <v>2078</v>
      </c>
      <c r="B2079" t="s">
        <v>339</v>
      </c>
      <c r="C2079" t="s">
        <v>353</v>
      </c>
      <c r="D2079" t="s">
        <v>4996</v>
      </c>
      <c r="E2079" t="s">
        <v>599</v>
      </c>
      <c r="F2079" s="46">
        <v>46097.325881458331</v>
      </c>
      <c r="G2079" s="46">
        <v>46097.325881458331</v>
      </c>
      <c r="H2079">
        <v>0</v>
      </c>
    </row>
    <row r="2080" spans="1:8" x14ac:dyDescent="0.15">
      <c r="A2080">
        <v>2079</v>
      </c>
      <c r="B2080" t="s">
        <v>339</v>
      </c>
      <c r="C2080" t="s">
        <v>353</v>
      </c>
      <c r="D2080" t="s">
        <v>4997</v>
      </c>
      <c r="E2080" t="s">
        <v>599</v>
      </c>
      <c r="F2080" s="46">
        <v>46097.325881458331</v>
      </c>
      <c r="G2080" s="46">
        <v>46097.325881458331</v>
      </c>
      <c r="H2080">
        <v>0</v>
      </c>
    </row>
    <row r="2081" spans="1:8" x14ac:dyDescent="0.15">
      <c r="A2081">
        <v>2080</v>
      </c>
      <c r="B2081" t="s">
        <v>339</v>
      </c>
      <c r="C2081" t="s">
        <v>353</v>
      </c>
      <c r="D2081" t="s">
        <v>4998</v>
      </c>
      <c r="E2081" t="s">
        <v>599</v>
      </c>
      <c r="F2081" s="46">
        <v>46097.325881458331</v>
      </c>
      <c r="G2081" s="46">
        <v>46097.325881458331</v>
      </c>
      <c r="H2081">
        <v>0</v>
      </c>
    </row>
    <row r="2082" spans="1:8" x14ac:dyDescent="0.15">
      <c r="A2082">
        <v>2081</v>
      </c>
      <c r="B2082" t="s">
        <v>339</v>
      </c>
      <c r="C2082" t="s">
        <v>353</v>
      </c>
      <c r="D2082" t="s">
        <v>4999</v>
      </c>
      <c r="E2082" t="s">
        <v>599</v>
      </c>
      <c r="F2082" s="46">
        <v>46097.325881458331</v>
      </c>
      <c r="G2082" s="46">
        <v>46097.325881458331</v>
      </c>
      <c r="H2082">
        <v>0</v>
      </c>
    </row>
    <row r="2083" spans="1:8" x14ac:dyDescent="0.15">
      <c r="A2083">
        <v>2082</v>
      </c>
      <c r="B2083" t="s">
        <v>339</v>
      </c>
      <c r="C2083" t="s">
        <v>353</v>
      </c>
      <c r="D2083" t="s">
        <v>5000</v>
      </c>
      <c r="E2083" t="s">
        <v>599</v>
      </c>
      <c r="F2083" s="46">
        <v>46097.325881458331</v>
      </c>
      <c r="G2083" s="46">
        <v>46097.325881458331</v>
      </c>
      <c r="H2083">
        <v>0</v>
      </c>
    </row>
    <row r="2084" spans="1:8" x14ac:dyDescent="0.15">
      <c r="A2084">
        <v>2083</v>
      </c>
      <c r="B2084" t="s">
        <v>339</v>
      </c>
      <c r="C2084" t="s">
        <v>353</v>
      </c>
      <c r="D2084" t="s">
        <v>5001</v>
      </c>
      <c r="E2084" t="s">
        <v>599</v>
      </c>
      <c r="F2084" s="46">
        <v>46097.325881458331</v>
      </c>
      <c r="G2084" s="46">
        <v>46097.325881458331</v>
      </c>
      <c r="H2084">
        <v>0</v>
      </c>
    </row>
    <row r="2085" spans="1:8" x14ac:dyDescent="0.15">
      <c r="A2085">
        <v>2084</v>
      </c>
      <c r="B2085" t="s">
        <v>339</v>
      </c>
      <c r="C2085" t="s">
        <v>353</v>
      </c>
      <c r="D2085" t="s">
        <v>5002</v>
      </c>
      <c r="E2085" t="s">
        <v>599</v>
      </c>
      <c r="F2085" s="46">
        <v>46097.325881458331</v>
      </c>
      <c r="G2085" s="46">
        <v>46097.325881631943</v>
      </c>
      <c r="H2085">
        <v>16</v>
      </c>
    </row>
    <row r="2086" spans="1:8" x14ac:dyDescent="0.15">
      <c r="A2086">
        <v>2085</v>
      </c>
      <c r="B2086" t="s">
        <v>339</v>
      </c>
      <c r="C2086" t="s">
        <v>353</v>
      </c>
      <c r="D2086" t="s">
        <v>5003</v>
      </c>
      <c r="E2086" t="s">
        <v>599</v>
      </c>
      <c r="F2086" s="46">
        <v>46097.325881631943</v>
      </c>
      <c r="G2086" s="46">
        <v>46097.325881631943</v>
      </c>
      <c r="H2086">
        <v>0</v>
      </c>
    </row>
    <row r="2087" spans="1:8" x14ac:dyDescent="0.15">
      <c r="A2087">
        <v>2086</v>
      </c>
      <c r="B2087" t="s">
        <v>339</v>
      </c>
      <c r="C2087" t="s">
        <v>353</v>
      </c>
      <c r="D2087" t="s">
        <v>5004</v>
      </c>
      <c r="E2087" t="s">
        <v>599</v>
      </c>
      <c r="F2087" s="46">
        <v>46097.325881631943</v>
      </c>
      <c r="G2087" s="46">
        <v>46097.325881631943</v>
      </c>
      <c r="H2087">
        <v>0</v>
      </c>
    </row>
    <row r="2088" spans="1:8" x14ac:dyDescent="0.15">
      <c r="A2088">
        <v>2087</v>
      </c>
      <c r="B2088" t="s">
        <v>339</v>
      </c>
      <c r="C2088" t="s">
        <v>353</v>
      </c>
      <c r="D2088" t="s">
        <v>5005</v>
      </c>
      <c r="E2088" t="s">
        <v>599</v>
      </c>
      <c r="F2088" s="46">
        <v>46097.325881631943</v>
      </c>
      <c r="G2088" s="46">
        <v>46097.325881631943</v>
      </c>
      <c r="H2088">
        <v>0</v>
      </c>
    </row>
    <row r="2089" spans="1:8" x14ac:dyDescent="0.15">
      <c r="A2089">
        <v>2088</v>
      </c>
      <c r="B2089" t="s">
        <v>339</v>
      </c>
      <c r="C2089" t="s">
        <v>353</v>
      </c>
      <c r="D2089" t="s">
        <v>5006</v>
      </c>
      <c r="E2089" t="s">
        <v>599</v>
      </c>
      <c r="F2089" s="46">
        <v>46097.325881631943</v>
      </c>
      <c r="G2089" s="46">
        <v>46097.325881631943</v>
      </c>
      <c r="H2089">
        <v>0</v>
      </c>
    </row>
    <row r="2090" spans="1:8" x14ac:dyDescent="0.15">
      <c r="A2090">
        <v>2089</v>
      </c>
      <c r="B2090" t="s">
        <v>339</v>
      </c>
      <c r="C2090" t="s">
        <v>353</v>
      </c>
      <c r="D2090" t="s">
        <v>5007</v>
      </c>
      <c r="E2090" t="s">
        <v>599</v>
      </c>
      <c r="F2090" s="46">
        <v>46097.325881631943</v>
      </c>
      <c r="G2090" s="46">
        <v>46097.325881631943</v>
      </c>
      <c r="H2090">
        <v>0</v>
      </c>
    </row>
    <row r="2091" spans="1:8" x14ac:dyDescent="0.15">
      <c r="A2091">
        <v>2090</v>
      </c>
      <c r="B2091" t="s">
        <v>339</v>
      </c>
      <c r="C2091" t="s">
        <v>353</v>
      </c>
      <c r="D2091" t="s">
        <v>5008</v>
      </c>
      <c r="E2091" t="s">
        <v>599</v>
      </c>
      <c r="F2091" s="46">
        <v>46097.325881631943</v>
      </c>
      <c r="G2091" s="46">
        <v>46097.325881631943</v>
      </c>
      <c r="H2091">
        <v>0</v>
      </c>
    </row>
    <row r="2092" spans="1:8" x14ac:dyDescent="0.15">
      <c r="A2092">
        <v>2091</v>
      </c>
      <c r="B2092" t="s">
        <v>339</v>
      </c>
      <c r="C2092" t="s">
        <v>353</v>
      </c>
      <c r="D2092" t="s">
        <v>5009</v>
      </c>
      <c r="E2092" t="s">
        <v>599</v>
      </c>
      <c r="F2092" s="46">
        <v>46097.325881631943</v>
      </c>
      <c r="G2092" s="46">
        <v>46097.325881631943</v>
      </c>
      <c r="H2092">
        <v>0</v>
      </c>
    </row>
    <row r="2093" spans="1:8" x14ac:dyDescent="0.15">
      <c r="A2093">
        <v>2092</v>
      </c>
      <c r="B2093" t="s">
        <v>339</v>
      </c>
      <c r="C2093" t="s">
        <v>353</v>
      </c>
      <c r="D2093" t="s">
        <v>5010</v>
      </c>
      <c r="E2093" t="s">
        <v>599</v>
      </c>
      <c r="F2093" s="46">
        <v>46097.325881631943</v>
      </c>
      <c r="G2093" s="46">
        <v>46097.325881631943</v>
      </c>
      <c r="H2093">
        <v>0</v>
      </c>
    </row>
    <row r="2094" spans="1:8" x14ac:dyDescent="0.15">
      <c r="A2094">
        <v>2093</v>
      </c>
      <c r="B2094" t="s">
        <v>339</v>
      </c>
      <c r="C2094" t="s">
        <v>353</v>
      </c>
      <c r="D2094" t="s">
        <v>5011</v>
      </c>
      <c r="E2094" t="s">
        <v>599</v>
      </c>
      <c r="F2094" s="46">
        <v>46097.325881631943</v>
      </c>
      <c r="G2094" s="46">
        <v>46097.325881631943</v>
      </c>
      <c r="H2094">
        <v>0</v>
      </c>
    </row>
    <row r="2095" spans="1:8" x14ac:dyDescent="0.15">
      <c r="A2095">
        <v>2094</v>
      </c>
      <c r="B2095" t="s">
        <v>339</v>
      </c>
      <c r="C2095" t="s">
        <v>353</v>
      </c>
      <c r="D2095" t="s">
        <v>5012</v>
      </c>
      <c r="E2095" t="s">
        <v>599</v>
      </c>
      <c r="F2095" s="46">
        <v>46097.325881631943</v>
      </c>
      <c r="G2095" s="46">
        <v>46097.325881631943</v>
      </c>
      <c r="H2095">
        <v>0</v>
      </c>
    </row>
    <row r="2096" spans="1:8" x14ac:dyDescent="0.15">
      <c r="A2096">
        <v>2095</v>
      </c>
      <c r="B2096" t="s">
        <v>339</v>
      </c>
      <c r="C2096" t="s">
        <v>353</v>
      </c>
      <c r="D2096" t="s">
        <v>5013</v>
      </c>
      <c r="E2096" t="s">
        <v>599</v>
      </c>
      <c r="F2096" s="46">
        <v>46097.325881631943</v>
      </c>
      <c r="G2096" s="46">
        <v>46097.325881817131</v>
      </c>
      <c r="H2096">
        <v>15</v>
      </c>
    </row>
    <row r="2097" spans="1:8" x14ac:dyDescent="0.15">
      <c r="A2097">
        <v>2096</v>
      </c>
      <c r="B2097" t="s">
        <v>339</v>
      </c>
      <c r="C2097" t="s">
        <v>353</v>
      </c>
      <c r="D2097" t="s">
        <v>5014</v>
      </c>
      <c r="E2097" t="s">
        <v>599</v>
      </c>
      <c r="F2097" s="46">
        <v>46097.325881817131</v>
      </c>
      <c r="G2097" s="46">
        <v>46097.325881817131</v>
      </c>
      <c r="H2097">
        <v>0</v>
      </c>
    </row>
    <row r="2098" spans="1:8" x14ac:dyDescent="0.15">
      <c r="A2098">
        <v>2097</v>
      </c>
      <c r="B2098" t="s">
        <v>339</v>
      </c>
      <c r="C2098" t="s">
        <v>353</v>
      </c>
      <c r="D2098" t="s">
        <v>5015</v>
      </c>
      <c r="E2098" t="s">
        <v>599</v>
      </c>
      <c r="F2098" s="46">
        <v>46097.325881817131</v>
      </c>
      <c r="G2098" s="46">
        <v>46097.325881817131</v>
      </c>
      <c r="H2098">
        <v>0</v>
      </c>
    </row>
    <row r="2099" spans="1:8" x14ac:dyDescent="0.15">
      <c r="A2099">
        <v>2098</v>
      </c>
      <c r="B2099" t="s">
        <v>339</v>
      </c>
      <c r="C2099" t="s">
        <v>353</v>
      </c>
      <c r="D2099" t="s">
        <v>5016</v>
      </c>
      <c r="E2099" t="s">
        <v>599</v>
      </c>
      <c r="F2099" s="46">
        <v>46097.325881817131</v>
      </c>
      <c r="G2099" s="46">
        <v>46097.325881817131</v>
      </c>
      <c r="H2099">
        <v>0</v>
      </c>
    </row>
    <row r="2100" spans="1:8" x14ac:dyDescent="0.15">
      <c r="A2100">
        <v>2099</v>
      </c>
      <c r="B2100" t="s">
        <v>339</v>
      </c>
      <c r="C2100" t="s">
        <v>353</v>
      </c>
      <c r="D2100" t="s">
        <v>5017</v>
      </c>
      <c r="E2100" t="s">
        <v>599</v>
      </c>
      <c r="F2100" s="46">
        <v>46097.325881817131</v>
      </c>
      <c r="G2100" s="46">
        <v>46097.325881817131</v>
      </c>
      <c r="H2100">
        <v>0</v>
      </c>
    </row>
    <row r="2101" spans="1:8" x14ac:dyDescent="0.15">
      <c r="A2101">
        <v>2100</v>
      </c>
      <c r="B2101" t="s">
        <v>339</v>
      </c>
      <c r="C2101" t="s">
        <v>353</v>
      </c>
      <c r="D2101" t="s">
        <v>5018</v>
      </c>
      <c r="E2101" t="s">
        <v>599</v>
      </c>
      <c r="F2101" s="46">
        <v>46097.325881817131</v>
      </c>
      <c r="G2101" s="46">
        <v>46097.325881817131</v>
      </c>
      <c r="H2101">
        <v>0</v>
      </c>
    </row>
    <row r="2102" spans="1:8" x14ac:dyDescent="0.15">
      <c r="A2102">
        <v>2101</v>
      </c>
      <c r="B2102" t="s">
        <v>339</v>
      </c>
      <c r="C2102" t="s">
        <v>353</v>
      </c>
      <c r="D2102" t="s">
        <v>5019</v>
      </c>
      <c r="E2102" t="s">
        <v>599</v>
      </c>
      <c r="F2102" s="46">
        <v>46097.325881817131</v>
      </c>
      <c r="G2102" s="46">
        <v>46097.325881817131</v>
      </c>
      <c r="H2102">
        <v>0</v>
      </c>
    </row>
    <row r="2103" spans="1:8" x14ac:dyDescent="0.15">
      <c r="A2103">
        <v>2102</v>
      </c>
      <c r="B2103" t="s">
        <v>339</v>
      </c>
      <c r="C2103" t="s">
        <v>353</v>
      </c>
      <c r="D2103" t="s">
        <v>5020</v>
      </c>
      <c r="E2103" t="s">
        <v>599</v>
      </c>
      <c r="F2103" s="46">
        <v>46097.325881817131</v>
      </c>
      <c r="G2103" s="46">
        <v>46097.325881817131</v>
      </c>
      <c r="H2103">
        <v>0</v>
      </c>
    </row>
    <row r="2104" spans="1:8" x14ac:dyDescent="0.15">
      <c r="A2104">
        <v>2103</v>
      </c>
      <c r="B2104" t="s">
        <v>339</v>
      </c>
      <c r="C2104" t="s">
        <v>353</v>
      </c>
      <c r="D2104" t="s">
        <v>5021</v>
      </c>
      <c r="E2104" t="s">
        <v>599</v>
      </c>
      <c r="F2104" s="46">
        <v>46097.325881817131</v>
      </c>
      <c r="G2104" s="46">
        <v>46097.325881817131</v>
      </c>
      <c r="H2104">
        <v>0</v>
      </c>
    </row>
    <row r="2105" spans="1:8" x14ac:dyDescent="0.15">
      <c r="A2105">
        <v>2104</v>
      </c>
      <c r="B2105" t="s">
        <v>339</v>
      </c>
      <c r="C2105" t="s">
        <v>353</v>
      </c>
      <c r="D2105" t="s">
        <v>5022</v>
      </c>
      <c r="E2105" t="s">
        <v>599</v>
      </c>
      <c r="F2105" s="46">
        <v>46097.325881817131</v>
      </c>
      <c r="G2105" s="46">
        <v>46097.325881817131</v>
      </c>
      <c r="H2105">
        <v>0</v>
      </c>
    </row>
    <row r="2106" spans="1:8" x14ac:dyDescent="0.15">
      <c r="A2106">
        <v>2105</v>
      </c>
      <c r="B2106" t="s">
        <v>339</v>
      </c>
      <c r="C2106" t="s">
        <v>353</v>
      </c>
      <c r="D2106" t="s">
        <v>5023</v>
      </c>
      <c r="E2106" t="s">
        <v>5024</v>
      </c>
      <c r="F2106" s="46">
        <v>46097.325881817131</v>
      </c>
      <c r="G2106" s="46">
        <v>46097.325881990742</v>
      </c>
      <c r="H2106">
        <v>16</v>
      </c>
    </row>
    <row r="2107" spans="1:8" x14ac:dyDescent="0.15">
      <c r="A2107">
        <v>2106</v>
      </c>
      <c r="B2107" t="s">
        <v>339</v>
      </c>
      <c r="C2107" t="s">
        <v>353</v>
      </c>
      <c r="D2107" t="s">
        <v>5025</v>
      </c>
      <c r="E2107" t="s">
        <v>5024</v>
      </c>
      <c r="F2107" s="46">
        <v>46097.325881990742</v>
      </c>
      <c r="G2107" s="46">
        <v>46097.325881990742</v>
      </c>
      <c r="H2107">
        <v>0</v>
      </c>
    </row>
    <row r="2108" spans="1:8" x14ac:dyDescent="0.15">
      <c r="A2108">
        <v>2107</v>
      </c>
      <c r="B2108" t="s">
        <v>339</v>
      </c>
      <c r="C2108" t="s">
        <v>353</v>
      </c>
      <c r="D2108" t="s">
        <v>5026</v>
      </c>
      <c r="E2108" t="s">
        <v>5024</v>
      </c>
      <c r="F2108" s="46">
        <v>46097.325881990742</v>
      </c>
      <c r="G2108" s="46">
        <v>46097.325881990742</v>
      </c>
      <c r="H2108">
        <v>0</v>
      </c>
    </row>
    <row r="2109" spans="1:8" x14ac:dyDescent="0.15">
      <c r="A2109">
        <v>2108</v>
      </c>
      <c r="B2109" t="s">
        <v>339</v>
      </c>
      <c r="C2109" t="s">
        <v>353</v>
      </c>
      <c r="D2109" t="s">
        <v>5027</v>
      </c>
      <c r="E2109" t="s">
        <v>5024</v>
      </c>
      <c r="F2109" s="46">
        <v>46097.325881990742</v>
      </c>
      <c r="G2109" s="46">
        <v>46097.325881990742</v>
      </c>
      <c r="H2109">
        <v>0</v>
      </c>
    </row>
    <row r="2110" spans="1:8" x14ac:dyDescent="0.15">
      <c r="A2110">
        <v>2109</v>
      </c>
      <c r="B2110" t="s">
        <v>339</v>
      </c>
      <c r="C2110" t="s">
        <v>353</v>
      </c>
      <c r="D2110" t="s">
        <v>5028</v>
      </c>
      <c r="E2110" t="s">
        <v>600</v>
      </c>
      <c r="F2110" s="46">
        <v>46097.325881990742</v>
      </c>
      <c r="G2110" s="46">
        <v>46097.325881990742</v>
      </c>
      <c r="H2110">
        <v>0</v>
      </c>
    </row>
    <row r="2111" spans="1:8" x14ac:dyDescent="0.15">
      <c r="A2111">
        <v>2110</v>
      </c>
      <c r="B2111" t="s">
        <v>339</v>
      </c>
      <c r="C2111" t="s">
        <v>353</v>
      </c>
      <c r="D2111" t="s">
        <v>5029</v>
      </c>
      <c r="E2111" t="s">
        <v>600</v>
      </c>
      <c r="F2111" s="46">
        <v>46097.325881990742</v>
      </c>
      <c r="G2111" s="46">
        <v>46097.325881990742</v>
      </c>
      <c r="H2111">
        <v>0</v>
      </c>
    </row>
    <row r="2112" spans="1:8" x14ac:dyDescent="0.15">
      <c r="A2112">
        <v>2111</v>
      </c>
      <c r="B2112" t="s">
        <v>339</v>
      </c>
      <c r="C2112" t="s">
        <v>353</v>
      </c>
      <c r="D2112" t="s">
        <v>5030</v>
      </c>
      <c r="E2112" t="s">
        <v>602</v>
      </c>
      <c r="F2112" s="46">
        <v>46097.325881990742</v>
      </c>
      <c r="G2112" s="46">
        <v>46097.325881990742</v>
      </c>
      <c r="H2112">
        <v>0</v>
      </c>
    </row>
    <row r="2113" spans="1:8" x14ac:dyDescent="0.15">
      <c r="A2113">
        <v>2112</v>
      </c>
      <c r="B2113" t="s">
        <v>339</v>
      </c>
      <c r="C2113" t="s">
        <v>353</v>
      </c>
      <c r="D2113" t="s">
        <v>5031</v>
      </c>
      <c r="E2113" t="s">
        <v>602</v>
      </c>
      <c r="F2113" s="46">
        <v>46097.325881990742</v>
      </c>
      <c r="G2113" s="46">
        <v>46097.325881990742</v>
      </c>
      <c r="H2113">
        <v>0</v>
      </c>
    </row>
    <row r="2114" spans="1:8" x14ac:dyDescent="0.15">
      <c r="A2114">
        <v>2113</v>
      </c>
      <c r="B2114" t="s">
        <v>339</v>
      </c>
      <c r="C2114" t="s">
        <v>353</v>
      </c>
      <c r="D2114" t="s">
        <v>5032</v>
      </c>
      <c r="E2114" t="s">
        <v>602</v>
      </c>
      <c r="F2114" s="46">
        <v>46097.325881990742</v>
      </c>
      <c r="G2114" s="46">
        <v>46097.325881990742</v>
      </c>
      <c r="H2114">
        <v>0</v>
      </c>
    </row>
    <row r="2115" spans="1:8" x14ac:dyDescent="0.15">
      <c r="A2115">
        <v>2114</v>
      </c>
      <c r="B2115" t="s">
        <v>339</v>
      </c>
      <c r="C2115" t="s">
        <v>353</v>
      </c>
      <c r="D2115" t="s">
        <v>5033</v>
      </c>
      <c r="E2115" t="s">
        <v>603</v>
      </c>
      <c r="F2115" s="46">
        <v>46097.325881990742</v>
      </c>
      <c r="G2115" s="46">
        <v>46097.325881990742</v>
      </c>
      <c r="H2115">
        <v>0</v>
      </c>
    </row>
    <row r="2116" spans="1:8" x14ac:dyDescent="0.15">
      <c r="A2116">
        <v>2115</v>
      </c>
      <c r="B2116" t="s">
        <v>339</v>
      </c>
      <c r="C2116" t="s">
        <v>353</v>
      </c>
      <c r="D2116" t="s">
        <v>5034</v>
      </c>
      <c r="E2116" t="s">
        <v>603</v>
      </c>
      <c r="F2116" s="46">
        <v>46097.325881990742</v>
      </c>
      <c r="G2116" s="46">
        <v>46097.325881990742</v>
      </c>
      <c r="H2116">
        <v>0</v>
      </c>
    </row>
    <row r="2117" spans="1:8" x14ac:dyDescent="0.15">
      <c r="A2117">
        <v>2116</v>
      </c>
      <c r="B2117" t="s">
        <v>339</v>
      </c>
      <c r="C2117" t="s">
        <v>353</v>
      </c>
      <c r="D2117" t="s">
        <v>5035</v>
      </c>
      <c r="E2117" t="s">
        <v>604</v>
      </c>
      <c r="F2117" s="46">
        <v>46097.325881990742</v>
      </c>
      <c r="G2117" s="46">
        <v>46097.325882175923</v>
      </c>
      <c r="H2117">
        <v>16</v>
      </c>
    </row>
    <row r="2118" spans="1:8" x14ac:dyDescent="0.15">
      <c r="A2118">
        <v>2117</v>
      </c>
      <c r="B2118" t="s">
        <v>339</v>
      </c>
      <c r="C2118" t="s">
        <v>353</v>
      </c>
      <c r="D2118" t="s">
        <v>5036</v>
      </c>
      <c r="E2118" t="s">
        <v>604</v>
      </c>
      <c r="F2118" s="46">
        <v>46097.325882175923</v>
      </c>
      <c r="G2118" s="46">
        <v>46097.325882175923</v>
      </c>
      <c r="H2118">
        <v>0</v>
      </c>
    </row>
    <row r="2119" spans="1:8" x14ac:dyDescent="0.15">
      <c r="A2119">
        <v>2118</v>
      </c>
      <c r="B2119" t="s">
        <v>339</v>
      </c>
      <c r="C2119" t="s">
        <v>353</v>
      </c>
      <c r="D2119" t="s">
        <v>5037</v>
      </c>
      <c r="E2119" t="s">
        <v>604</v>
      </c>
      <c r="F2119" s="46">
        <v>46097.325882175923</v>
      </c>
      <c r="G2119" s="46">
        <v>46097.325882175923</v>
      </c>
      <c r="H2119">
        <v>0</v>
      </c>
    </row>
    <row r="2120" spans="1:8" x14ac:dyDescent="0.15">
      <c r="A2120">
        <v>2119</v>
      </c>
      <c r="B2120" t="s">
        <v>339</v>
      </c>
      <c r="C2120" t="s">
        <v>353</v>
      </c>
      <c r="D2120" t="s">
        <v>5038</v>
      </c>
      <c r="E2120" t="s">
        <v>605</v>
      </c>
      <c r="F2120" s="46">
        <v>46097.325882175923</v>
      </c>
      <c r="G2120" s="46">
        <v>46097.325882175923</v>
      </c>
      <c r="H2120">
        <v>0</v>
      </c>
    </row>
    <row r="2121" spans="1:8" x14ac:dyDescent="0.15">
      <c r="A2121">
        <v>2120</v>
      </c>
      <c r="B2121" t="s">
        <v>339</v>
      </c>
      <c r="C2121" t="s">
        <v>353</v>
      </c>
      <c r="D2121" t="s">
        <v>5039</v>
      </c>
      <c r="E2121" t="s">
        <v>605</v>
      </c>
      <c r="F2121" s="46">
        <v>46097.325882175923</v>
      </c>
      <c r="G2121" s="46">
        <v>46097.325882175923</v>
      </c>
      <c r="H2121">
        <v>0</v>
      </c>
    </row>
    <row r="2122" spans="1:8" x14ac:dyDescent="0.15">
      <c r="A2122">
        <v>2121</v>
      </c>
      <c r="B2122" t="s">
        <v>339</v>
      </c>
      <c r="C2122" t="s">
        <v>353</v>
      </c>
      <c r="D2122" t="s">
        <v>5040</v>
      </c>
      <c r="E2122" t="s">
        <v>606</v>
      </c>
      <c r="F2122" s="46">
        <v>46097.325882175923</v>
      </c>
      <c r="G2122" s="46">
        <v>46097.325882175923</v>
      </c>
      <c r="H2122">
        <v>0</v>
      </c>
    </row>
    <row r="2123" spans="1:8" x14ac:dyDescent="0.15">
      <c r="A2123">
        <v>2122</v>
      </c>
      <c r="B2123" t="s">
        <v>339</v>
      </c>
      <c r="C2123" t="s">
        <v>353</v>
      </c>
      <c r="D2123" t="s">
        <v>5041</v>
      </c>
      <c r="E2123" t="s">
        <v>606</v>
      </c>
      <c r="F2123" s="46">
        <v>46097.325882175923</v>
      </c>
      <c r="G2123" s="46">
        <v>46097.325882175923</v>
      </c>
      <c r="H2123">
        <v>0</v>
      </c>
    </row>
    <row r="2124" spans="1:8" x14ac:dyDescent="0.15">
      <c r="A2124">
        <v>2123</v>
      </c>
      <c r="B2124" t="s">
        <v>339</v>
      </c>
      <c r="C2124" t="s">
        <v>353</v>
      </c>
      <c r="D2124" t="s">
        <v>5042</v>
      </c>
      <c r="E2124" t="s">
        <v>606</v>
      </c>
      <c r="F2124" s="46">
        <v>46097.325882175923</v>
      </c>
      <c r="G2124" s="46">
        <v>46097.325882175923</v>
      </c>
      <c r="H2124">
        <v>0</v>
      </c>
    </row>
    <row r="2125" spans="1:8" x14ac:dyDescent="0.15">
      <c r="A2125">
        <v>2124</v>
      </c>
      <c r="B2125" t="s">
        <v>339</v>
      </c>
      <c r="C2125" t="s">
        <v>353</v>
      </c>
      <c r="D2125" t="s">
        <v>5043</v>
      </c>
      <c r="E2125" t="s">
        <v>606</v>
      </c>
      <c r="F2125" s="46">
        <v>46097.325882175923</v>
      </c>
      <c r="G2125" s="46">
        <v>46097.325882175923</v>
      </c>
      <c r="H2125">
        <v>0</v>
      </c>
    </row>
    <row r="2126" spans="1:8" x14ac:dyDescent="0.15">
      <c r="A2126">
        <v>2125</v>
      </c>
      <c r="B2126" t="s">
        <v>339</v>
      </c>
      <c r="C2126" t="s">
        <v>353</v>
      </c>
      <c r="D2126" t="s">
        <v>5044</v>
      </c>
      <c r="E2126" t="s">
        <v>606</v>
      </c>
      <c r="F2126" s="46">
        <v>46097.325882175923</v>
      </c>
      <c r="G2126" s="46">
        <v>46097.325882175923</v>
      </c>
      <c r="H2126">
        <v>0</v>
      </c>
    </row>
    <row r="2127" spans="1:8" x14ac:dyDescent="0.15">
      <c r="A2127">
        <v>2126</v>
      </c>
      <c r="B2127" t="s">
        <v>339</v>
      </c>
      <c r="C2127" t="s">
        <v>353</v>
      </c>
      <c r="D2127" t="s">
        <v>5045</v>
      </c>
      <c r="E2127" t="s">
        <v>606</v>
      </c>
      <c r="F2127" s="46">
        <v>46097.325882175923</v>
      </c>
      <c r="G2127" s="46">
        <v>46097.32588236111</v>
      </c>
      <c r="H2127">
        <v>15</v>
      </c>
    </row>
    <row r="2128" spans="1:8" x14ac:dyDescent="0.15">
      <c r="A2128">
        <v>2127</v>
      </c>
      <c r="B2128" t="s">
        <v>339</v>
      </c>
      <c r="C2128" t="s">
        <v>353</v>
      </c>
      <c r="D2128" t="s">
        <v>5046</v>
      </c>
      <c r="E2128" t="s">
        <v>607</v>
      </c>
      <c r="F2128" s="46">
        <v>46097.32588236111</v>
      </c>
      <c r="G2128" s="46">
        <v>46097.32588236111</v>
      </c>
      <c r="H2128">
        <v>0</v>
      </c>
    </row>
    <row r="2129" spans="1:8" x14ac:dyDescent="0.15">
      <c r="A2129">
        <v>2128</v>
      </c>
      <c r="B2129" t="s">
        <v>339</v>
      </c>
      <c r="C2129" t="s">
        <v>353</v>
      </c>
      <c r="D2129" t="s">
        <v>5047</v>
      </c>
      <c r="E2129" t="s">
        <v>608</v>
      </c>
      <c r="F2129" s="46">
        <v>46097.32588236111</v>
      </c>
      <c r="G2129" s="46">
        <v>46097.32588236111</v>
      </c>
      <c r="H2129">
        <v>0</v>
      </c>
    </row>
    <row r="2130" spans="1:8" x14ac:dyDescent="0.15">
      <c r="A2130">
        <v>2129</v>
      </c>
      <c r="B2130" t="s">
        <v>339</v>
      </c>
      <c r="C2130" t="s">
        <v>353</v>
      </c>
      <c r="D2130" t="s">
        <v>5048</v>
      </c>
      <c r="E2130" t="s">
        <v>5049</v>
      </c>
      <c r="F2130" s="46">
        <v>46097.32588236111</v>
      </c>
      <c r="G2130" s="46">
        <v>46097.32588236111</v>
      </c>
      <c r="H2130">
        <v>0</v>
      </c>
    </row>
    <row r="2131" spans="1:8" x14ac:dyDescent="0.15">
      <c r="A2131">
        <v>2130</v>
      </c>
      <c r="B2131" t="s">
        <v>339</v>
      </c>
      <c r="C2131" t="s">
        <v>353</v>
      </c>
      <c r="D2131" t="s">
        <v>5050</v>
      </c>
      <c r="E2131" t="s">
        <v>5051</v>
      </c>
      <c r="F2131" s="46">
        <v>46097.32588236111</v>
      </c>
      <c r="G2131" s="46">
        <v>46097.32588236111</v>
      </c>
      <c r="H2131">
        <v>0</v>
      </c>
    </row>
    <row r="2132" spans="1:8" x14ac:dyDescent="0.15">
      <c r="A2132">
        <v>2131</v>
      </c>
      <c r="B2132" t="s">
        <v>339</v>
      </c>
      <c r="C2132" t="s">
        <v>353</v>
      </c>
      <c r="D2132" t="s">
        <v>5052</v>
      </c>
      <c r="E2132" t="s">
        <v>5051</v>
      </c>
      <c r="F2132" s="46">
        <v>46097.32588236111</v>
      </c>
      <c r="G2132" s="46">
        <v>46097.32588236111</v>
      </c>
      <c r="H2132">
        <v>0</v>
      </c>
    </row>
    <row r="2133" spans="1:8" x14ac:dyDescent="0.15">
      <c r="A2133">
        <v>2132</v>
      </c>
      <c r="B2133" t="s">
        <v>339</v>
      </c>
      <c r="C2133" t="s">
        <v>353</v>
      </c>
      <c r="D2133" t="s">
        <v>5053</v>
      </c>
      <c r="E2133" t="s">
        <v>5054</v>
      </c>
      <c r="F2133" s="46">
        <v>46097.32588236111</v>
      </c>
      <c r="G2133" s="46">
        <v>46097.32588236111</v>
      </c>
      <c r="H2133">
        <v>0</v>
      </c>
    </row>
    <row r="2134" spans="1:8" x14ac:dyDescent="0.15">
      <c r="A2134">
        <v>2133</v>
      </c>
      <c r="B2134" t="s">
        <v>339</v>
      </c>
      <c r="C2134" t="s">
        <v>353</v>
      </c>
      <c r="D2134" t="s">
        <v>5055</v>
      </c>
      <c r="E2134" t="s">
        <v>5054</v>
      </c>
      <c r="F2134" s="46">
        <v>46097.32588236111</v>
      </c>
      <c r="G2134" s="46">
        <v>46097.32588236111</v>
      </c>
      <c r="H2134">
        <v>0</v>
      </c>
    </row>
    <row r="2135" spans="1:8" x14ac:dyDescent="0.15">
      <c r="A2135">
        <v>2134</v>
      </c>
      <c r="B2135" t="s">
        <v>339</v>
      </c>
      <c r="C2135" t="s">
        <v>353</v>
      </c>
      <c r="D2135" t="s">
        <v>5056</v>
      </c>
      <c r="E2135" t="s">
        <v>5054</v>
      </c>
      <c r="F2135" s="46">
        <v>46097.32588236111</v>
      </c>
      <c r="G2135" s="46">
        <v>46097.32588236111</v>
      </c>
      <c r="H2135">
        <v>0</v>
      </c>
    </row>
    <row r="2136" spans="1:8" x14ac:dyDescent="0.15">
      <c r="A2136">
        <v>2135</v>
      </c>
      <c r="B2136" t="s">
        <v>339</v>
      </c>
      <c r="C2136" t="s">
        <v>353</v>
      </c>
      <c r="D2136" t="s">
        <v>5057</v>
      </c>
      <c r="E2136" t="s">
        <v>5054</v>
      </c>
      <c r="F2136" s="46">
        <v>46097.32588236111</v>
      </c>
      <c r="G2136" s="46">
        <v>46097.32588236111</v>
      </c>
      <c r="H2136">
        <v>0</v>
      </c>
    </row>
    <row r="2137" spans="1:8" x14ac:dyDescent="0.15">
      <c r="A2137">
        <v>2136</v>
      </c>
      <c r="B2137" t="s">
        <v>339</v>
      </c>
      <c r="C2137" t="s">
        <v>353</v>
      </c>
      <c r="D2137" t="s">
        <v>5058</v>
      </c>
      <c r="E2137" t="s">
        <v>5054</v>
      </c>
      <c r="F2137" s="46">
        <v>46097.32588236111</v>
      </c>
      <c r="G2137" s="46">
        <v>46097.32588236111</v>
      </c>
      <c r="H2137">
        <v>0</v>
      </c>
    </row>
    <row r="2138" spans="1:8" x14ac:dyDescent="0.15">
      <c r="A2138">
        <v>2137</v>
      </c>
      <c r="B2138" t="s">
        <v>339</v>
      </c>
      <c r="C2138" t="s">
        <v>353</v>
      </c>
      <c r="D2138" t="s">
        <v>5059</v>
      </c>
      <c r="E2138" t="s">
        <v>5060</v>
      </c>
      <c r="F2138" s="46">
        <v>46097.32588236111</v>
      </c>
      <c r="G2138" s="46">
        <v>46097.325882534722</v>
      </c>
      <c r="H2138">
        <v>16</v>
      </c>
    </row>
    <row r="2139" spans="1:8" x14ac:dyDescent="0.15">
      <c r="A2139">
        <v>2138</v>
      </c>
      <c r="B2139" t="s">
        <v>339</v>
      </c>
      <c r="C2139" t="s">
        <v>353</v>
      </c>
      <c r="D2139" t="s">
        <v>5061</v>
      </c>
      <c r="E2139" t="s">
        <v>5062</v>
      </c>
      <c r="F2139" s="46">
        <v>46097.325882534722</v>
      </c>
      <c r="G2139" s="46">
        <v>46097.325882534722</v>
      </c>
      <c r="H2139">
        <v>0</v>
      </c>
    </row>
    <row r="2140" spans="1:8" x14ac:dyDescent="0.15">
      <c r="A2140">
        <v>2139</v>
      </c>
      <c r="B2140" t="s">
        <v>339</v>
      </c>
      <c r="C2140" t="s">
        <v>353</v>
      </c>
      <c r="D2140" t="s">
        <v>5063</v>
      </c>
      <c r="E2140" t="s">
        <v>5062</v>
      </c>
      <c r="F2140" s="46">
        <v>46097.325882534722</v>
      </c>
      <c r="G2140" s="46">
        <v>46097.325882534722</v>
      </c>
      <c r="H2140">
        <v>0</v>
      </c>
    </row>
    <row r="2141" spans="1:8" x14ac:dyDescent="0.15">
      <c r="A2141">
        <v>2140</v>
      </c>
      <c r="B2141" t="s">
        <v>339</v>
      </c>
      <c r="C2141" t="s">
        <v>353</v>
      </c>
      <c r="D2141" t="s">
        <v>5064</v>
      </c>
      <c r="E2141" t="s">
        <v>5065</v>
      </c>
      <c r="F2141" s="46">
        <v>46097.325882534722</v>
      </c>
      <c r="G2141" s="46">
        <v>46097.325882534722</v>
      </c>
      <c r="H2141">
        <v>0</v>
      </c>
    </row>
    <row r="2142" spans="1:8" x14ac:dyDescent="0.15">
      <c r="A2142">
        <v>2141</v>
      </c>
      <c r="B2142" t="s">
        <v>339</v>
      </c>
      <c r="C2142" t="s">
        <v>353</v>
      </c>
      <c r="D2142" t="s">
        <v>5066</v>
      </c>
      <c r="E2142" t="s">
        <v>5065</v>
      </c>
      <c r="F2142" s="46">
        <v>46097.325882534722</v>
      </c>
      <c r="G2142" s="46">
        <v>46097.325882534722</v>
      </c>
      <c r="H2142">
        <v>0</v>
      </c>
    </row>
    <row r="2143" spans="1:8" x14ac:dyDescent="0.15">
      <c r="A2143">
        <v>2142</v>
      </c>
      <c r="B2143" t="s">
        <v>339</v>
      </c>
      <c r="C2143" t="s">
        <v>353</v>
      </c>
      <c r="D2143" t="s">
        <v>5067</v>
      </c>
      <c r="E2143" t="s">
        <v>5065</v>
      </c>
      <c r="F2143" s="46">
        <v>46097.325882534722</v>
      </c>
      <c r="G2143" s="46">
        <v>46097.325882534722</v>
      </c>
      <c r="H2143">
        <v>0</v>
      </c>
    </row>
    <row r="2144" spans="1:8" x14ac:dyDescent="0.15">
      <c r="A2144">
        <v>2143</v>
      </c>
      <c r="B2144" t="s">
        <v>339</v>
      </c>
      <c r="C2144" t="s">
        <v>353</v>
      </c>
      <c r="D2144" t="s">
        <v>5068</v>
      </c>
      <c r="E2144" t="s">
        <v>5069</v>
      </c>
      <c r="F2144" s="46">
        <v>46097.325882534722</v>
      </c>
      <c r="G2144" s="46">
        <v>46097.325882534722</v>
      </c>
      <c r="H2144">
        <v>0</v>
      </c>
    </row>
    <row r="2145" spans="1:8" x14ac:dyDescent="0.15">
      <c r="A2145">
        <v>2144</v>
      </c>
      <c r="B2145" t="s">
        <v>339</v>
      </c>
      <c r="C2145" t="s">
        <v>353</v>
      </c>
      <c r="D2145" t="s">
        <v>5070</v>
      </c>
      <c r="E2145" t="s">
        <v>5069</v>
      </c>
      <c r="F2145" s="46">
        <v>46097.325882534722</v>
      </c>
      <c r="G2145" s="46">
        <v>46097.325882534722</v>
      </c>
      <c r="H2145">
        <v>0</v>
      </c>
    </row>
    <row r="2146" spans="1:8" x14ac:dyDescent="0.15">
      <c r="A2146">
        <v>2145</v>
      </c>
      <c r="B2146" t="s">
        <v>339</v>
      </c>
      <c r="C2146" t="s">
        <v>353</v>
      </c>
      <c r="D2146" t="s">
        <v>5071</v>
      </c>
      <c r="E2146" t="s">
        <v>5069</v>
      </c>
      <c r="F2146" s="46">
        <v>46097.325882534722</v>
      </c>
      <c r="G2146" s="46">
        <v>46097.325882534722</v>
      </c>
      <c r="H2146">
        <v>0</v>
      </c>
    </row>
    <row r="2147" spans="1:8" x14ac:dyDescent="0.15">
      <c r="A2147">
        <v>2146</v>
      </c>
      <c r="B2147" t="s">
        <v>339</v>
      </c>
      <c r="C2147" t="s">
        <v>353</v>
      </c>
      <c r="D2147" t="s">
        <v>5072</v>
      </c>
      <c r="E2147" t="s">
        <v>5069</v>
      </c>
      <c r="F2147" s="46">
        <v>46097.325882534722</v>
      </c>
      <c r="G2147" s="46">
        <v>46097.325882534722</v>
      </c>
      <c r="H2147">
        <v>0</v>
      </c>
    </row>
    <row r="2148" spans="1:8" x14ac:dyDescent="0.15">
      <c r="A2148">
        <v>2147</v>
      </c>
      <c r="B2148" t="s">
        <v>339</v>
      </c>
      <c r="C2148" t="s">
        <v>353</v>
      </c>
      <c r="D2148" t="s">
        <v>5073</v>
      </c>
      <c r="E2148" t="s">
        <v>5069</v>
      </c>
      <c r="F2148" s="46">
        <v>46097.325882534722</v>
      </c>
      <c r="G2148" s="46">
        <v>46097.32588271991</v>
      </c>
      <c r="H2148">
        <v>15</v>
      </c>
    </row>
    <row r="2149" spans="1:8" x14ac:dyDescent="0.15">
      <c r="A2149">
        <v>2148</v>
      </c>
      <c r="B2149" t="s">
        <v>339</v>
      </c>
      <c r="C2149" t="s">
        <v>353</v>
      </c>
      <c r="D2149" t="s">
        <v>5074</v>
      </c>
      <c r="E2149" t="s">
        <v>610</v>
      </c>
      <c r="F2149" s="46">
        <v>46097.32588271991</v>
      </c>
      <c r="G2149" s="46">
        <v>46097.32588271991</v>
      </c>
      <c r="H2149">
        <v>0</v>
      </c>
    </row>
    <row r="2150" spans="1:8" x14ac:dyDescent="0.15">
      <c r="A2150">
        <v>2149</v>
      </c>
      <c r="B2150" t="s">
        <v>339</v>
      </c>
      <c r="C2150" t="s">
        <v>353</v>
      </c>
      <c r="D2150" t="s">
        <v>5075</v>
      </c>
      <c r="E2150" t="s">
        <v>610</v>
      </c>
      <c r="F2150" s="46">
        <v>46097.32588271991</v>
      </c>
      <c r="G2150" s="46">
        <v>46097.32588271991</v>
      </c>
      <c r="H2150">
        <v>0</v>
      </c>
    </row>
    <row r="2151" spans="1:8" x14ac:dyDescent="0.15">
      <c r="A2151">
        <v>2150</v>
      </c>
      <c r="B2151" t="s">
        <v>339</v>
      </c>
      <c r="C2151" t="s">
        <v>353</v>
      </c>
      <c r="D2151" t="s">
        <v>5076</v>
      </c>
      <c r="E2151" t="s">
        <v>610</v>
      </c>
      <c r="F2151" s="46">
        <v>46097.32588271991</v>
      </c>
      <c r="G2151" s="46">
        <v>46097.32588271991</v>
      </c>
      <c r="H2151">
        <v>0</v>
      </c>
    </row>
    <row r="2152" spans="1:8" x14ac:dyDescent="0.15">
      <c r="A2152">
        <v>2151</v>
      </c>
      <c r="B2152" t="s">
        <v>339</v>
      </c>
      <c r="C2152" t="s">
        <v>353</v>
      </c>
      <c r="D2152" t="s">
        <v>5077</v>
      </c>
      <c r="E2152" t="s">
        <v>610</v>
      </c>
      <c r="F2152" s="46">
        <v>46097.32588271991</v>
      </c>
      <c r="G2152" s="46">
        <v>46097.32588271991</v>
      </c>
      <c r="H2152">
        <v>0</v>
      </c>
    </row>
    <row r="2153" spans="1:8" x14ac:dyDescent="0.15">
      <c r="A2153">
        <v>2152</v>
      </c>
      <c r="B2153" t="s">
        <v>339</v>
      </c>
      <c r="C2153" t="s">
        <v>353</v>
      </c>
      <c r="D2153" t="s">
        <v>5078</v>
      </c>
      <c r="E2153" t="s">
        <v>610</v>
      </c>
      <c r="F2153" s="46">
        <v>46097.32588271991</v>
      </c>
      <c r="G2153" s="46">
        <v>46097.32588271991</v>
      </c>
      <c r="H2153">
        <v>0</v>
      </c>
    </row>
    <row r="2154" spans="1:8" x14ac:dyDescent="0.15">
      <c r="A2154">
        <v>2153</v>
      </c>
      <c r="B2154" t="s">
        <v>339</v>
      </c>
      <c r="C2154" t="s">
        <v>353</v>
      </c>
      <c r="D2154" t="s">
        <v>5079</v>
      </c>
      <c r="E2154" t="s">
        <v>610</v>
      </c>
      <c r="F2154" s="46">
        <v>46097.32588271991</v>
      </c>
      <c r="G2154" s="46">
        <v>46097.32588271991</v>
      </c>
      <c r="H2154">
        <v>0</v>
      </c>
    </row>
    <row r="2155" spans="1:8" x14ac:dyDescent="0.15">
      <c r="A2155">
        <v>2154</v>
      </c>
      <c r="B2155" t="s">
        <v>339</v>
      </c>
      <c r="C2155" t="s">
        <v>353</v>
      </c>
      <c r="D2155" t="s">
        <v>5080</v>
      </c>
      <c r="E2155" t="s">
        <v>610</v>
      </c>
      <c r="F2155" s="46">
        <v>46097.32588271991</v>
      </c>
      <c r="G2155" s="46">
        <v>46097.32588271991</v>
      </c>
      <c r="H2155">
        <v>0</v>
      </c>
    </row>
    <row r="2156" spans="1:8" x14ac:dyDescent="0.15">
      <c r="A2156">
        <v>2155</v>
      </c>
      <c r="B2156" t="s">
        <v>339</v>
      </c>
      <c r="C2156" t="s">
        <v>353</v>
      </c>
      <c r="D2156" t="s">
        <v>5081</v>
      </c>
      <c r="E2156" t="s">
        <v>610</v>
      </c>
      <c r="F2156" s="46">
        <v>46097.32588271991</v>
      </c>
      <c r="G2156" s="46">
        <v>46097.32588271991</v>
      </c>
      <c r="H2156">
        <v>0</v>
      </c>
    </row>
    <row r="2157" spans="1:8" x14ac:dyDescent="0.15">
      <c r="A2157">
        <v>2156</v>
      </c>
      <c r="B2157" t="s">
        <v>339</v>
      </c>
      <c r="C2157" t="s">
        <v>353</v>
      </c>
      <c r="D2157" t="s">
        <v>5082</v>
      </c>
      <c r="E2157" t="s">
        <v>611</v>
      </c>
      <c r="F2157" s="46">
        <v>46097.32588271991</v>
      </c>
      <c r="G2157" s="46">
        <v>46097.32588271991</v>
      </c>
      <c r="H2157">
        <v>0</v>
      </c>
    </row>
    <row r="2158" spans="1:8" x14ac:dyDescent="0.15">
      <c r="A2158">
        <v>2157</v>
      </c>
      <c r="B2158" t="s">
        <v>339</v>
      </c>
      <c r="C2158" t="s">
        <v>353</v>
      </c>
      <c r="D2158" t="s">
        <v>5083</v>
      </c>
      <c r="E2158" t="s">
        <v>611</v>
      </c>
      <c r="F2158" s="46">
        <v>46097.32588271991</v>
      </c>
      <c r="G2158" s="46">
        <v>46097.32588271991</v>
      </c>
      <c r="H2158">
        <v>0</v>
      </c>
    </row>
    <row r="2159" spans="1:8" x14ac:dyDescent="0.15">
      <c r="A2159">
        <v>2158</v>
      </c>
      <c r="B2159" t="s">
        <v>339</v>
      </c>
      <c r="C2159" t="s">
        <v>353</v>
      </c>
      <c r="D2159" t="s">
        <v>5084</v>
      </c>
      <c r="E2159" t="s">
        <v>611</v>
      </c>
      <c r="F2159" s="46">
        <v>46097.32588271991</v>
      </c>
      <c r="G2159" s="46">
        <v>46097.32588290509</v>
      </c>
      <c r="H2159">
        <v>16</v>
      </c>
    </row>
    <row r="2160" spans="1:8" x14ac:dyDescent="0.15">
      <c r="A2160">
        <v>2159</v>
      </c>
      <c r="B2160" t="s">
        <v>339</v>
      </c>
      <c r="C2160" t="s">
        <v>353</v>
      </c>
      <c r="D2160" t="s">
        <v>5085</v>
      </c>
      <c r="E2160" t="s">
        <v>611</v>
      </c>
      <c r="F2160" s="46">
        <v>46097.32588290509</v>
      </c>
      <c r="G2160" s="46">
        <v>46097.32588290509</v>
      </c>
      <c r="H2160">
        <v>0</v>
      </c>
    </row>
    <row r="2161" spans="1:8" x14ac:dyDescent="0.15">
      <c r="A2161">
        <v>2160</v>
      </c>
      <c r="B2161" t="s">
        <v>339</v>
      </c>
      <c r="C2161" t="s">
        <v>353</v>
      </c>
      <c r="D2161" t="s">
        <v>5086</v>
      </c>
      <c r="E2161" t="s">
        <v>611</v>
      </c>
      <c r="F2161" s="46">
        <v>46097.32588290509</v>
      </c>
      <c r="G2161" s="46">
        <v>46097.32588290509</v>
      </c>
      <c r="H2161">
        <v>0</v>
      </c>
    </row>
    <row r="2162" spans="1:8" x14ac:dyDescent="0.15">
      <c r="A2162">
        <v>2161</v>
      </c>
      <c r="B2162" t="s">
        <v>339</v>
      </c>
      <c r="C2162" t="s">
        <v>353</v>
      </c>
      <c r="D2162" t="s">
        <v>5087</v>
      </c>
      <c r="E2162" t="s">
        <v>5088</v>
      </c>
      <c r="F2162" s="46">
        <v>46097.32588290509</v>
      </c>
      <c r="G2162" s="46">
        <v>46097.32588290509</v>
      </c>
      <c r="H2162">
        <v>0</v>
      </c>
    </row>
    <row r="2163" spans="1:8" x14ac:dyDescent="0.15">
      <c r="A2163">
        <v>2162</v>
      </c>
      <c r="B2163" t="s">
        <v>339</v>
      </c>
      <c r="C2163" t="s">
        <v>353</v>
      </c>
      <c r="D2163" t="s">
        <v>5089</v>
      </c>
      <c r="E2163" t="s">
        <v>5090</v>
      </c>
      <c r="F2163" s="46">
        <v>46097.32588290509</v>
      </c>
      <c r="G2163" s="46">
        <v>46097.32588290509</v>
      </c>
      <c r="H2163">
        <v>0</v>
      </c>
    </row>
    <row r="2164" spans="1:8" x14ac:dyDescent="0.15">
      <c r="A2164">
        <v>2163</v>
      </c>
      <c r="B2164" t="s">
        <v>339</v>
      </c>
      <c r="C2164" t="s">
        <v>353</v>
      </c>
      <c r="D2164" t="s">
        <v>5091</v>
      </c>
      <c r="E2164" t="s">
        <v>5092</v>
      </c>
      <c r="F2164" s="46">
        <v>46097.32588290509</v>
      </c>
      <c r="G2164" s="46">
        <v>46097.32588290509</v>
      </c>
      <c r="H2164">
        <v>0</v>
      </c>
    </row>
    <row r="2165" spans="1:8" x14ac:dyDescent="0.15">
      <c r="A2165">
        <v>2164</v>
      </c>
      <c r="B2165" t="s">
        <v>339</v>
      </c>
      <c r="C2165" t="s">
        <v>353</v>
      </c>
      <c r="D2165" t="s">
        <v>5093</v>
      </c>
      <c r="E2165" t="s">
        <v>5094</v>
      </c>
      <c r="F2165" s="46">
        <v>46097.32588290509</v>
      </c>
      <c r="G2165" s="46">
        <v>46097.32588290509</v>
      </c>
      <c r="H2165">
        <v>0</v>
      </c>
    </row>
    <row r="2166" spans="1:8" x14ac:dyDescent="0.15">
      <c r="A2166">
        <v>2165</v>
      </c>
      <c r="B2166" t="s">
        <v>339</v>
      </c>
      <c r="C2166" t="s">
        <v>353</v>
      </c>
      <c r="D2166" t="s">
        <v>5095</v>
      </c>
      <c r="E2166" t="s">
        <v>5094</v>
      </c>
      <c r="F2166" s="46">
        <v>46097.32588290509</v>
      </c>
      <c r="G2166" s="46">
        <v>46097.32588290509</v>
      </c>
      <c r="H2166">
        <v>0</v>
      </c>
    </row>
    <row r="2167" spans="1:8" x14ac:dyDescent="0.15">
      <c r="A2167">
        <v>2166</v>
      </c>
      <c r="B2167" t="s">
        <v>339</v>
      </c>
      <c r="C2167" t="s">
        <v>353</v>
      </c>
      <c r="D2167" t="s">
        <v>5096</v>
      </c>
      <c r="E2167" t="s">
        <v>614</v>
      </c>
      <c r="F2167" s="46">
        <v>46097.32588290509</v>
      </c>
      <c r="G2167" s="46">
        <v>46097.32588290509</v>
      </c>
      <c r="H2167">
        <v>0</v>
      </c>
    </row>
    <row r="2168" spans="1:8" x14ac:dyDescent="0.15">
      <c r="A2168">
        <v>2167</v>
      </c>
      <c r="B2168" t="s">
        <v>339</v>
      </c>
      <c r="C2168" t="s">
        <v>353</v>
      </c>
      <c r="D2168" t="s">
        <v>5097</v>
      </c>
      <c r="E2168" t="s">
        <v>614</v>
      </c>
      <c r="F2168" s="46">
        <v>46097.32588290509</v>
      </c>
      <c r="G2168" s="46">
        <v>46097.32588290509</v>
      </c>
      <c r="H2168">
        <v>0</v>
      </c>
    </row>
    <row r="2169" spans="1:8" x14ac:dyDescent="0.15">
      <c r="A2169">
        <v>2168</v>
      </c>
      <c r="B2169" t="s">
        <v>339</v>
      </c>
      <c r="C2169" t="s">
        <v>353</v>
      </c>
      <c r="D2169" t="s">
        <v>5098</v>
      </c>
      <c r="E2169" t="s">
        <v>614</v>
      </c>
      <c r="F2169" s="46">
        <v>46097.32588290509</v>
      </c>
      <c r="G2169" s="46">
        <v>46097.325883078702</v>
      </c>
      <c r="H2169">
        <v>16</v>
      </c>
    </row>
    <row r="2170" spans="1:8" x14ac:dyDescent="0.15">
      <c r="A2170">
        <v>2169</v>
      </c>
      <c r="B2170" t="s">
        <v>339</v>
      </c>
      <c r="C2170" t="s">
        <v>353</v>
      </c>
      <c r="D2170" t="s">
        <v>5099</v>
      </c>
      <c r="E2170" t="s">
        <v>5100</v>
      </c>
      <c r="F2170" s="46">
        <v>46097.325883078702</v>
      </c>
      <c r="G2170" s="46">
        <v>46097.325883078702</v>
      </c>
      <c r="H2170">
        <v>0</v>
      </c>
    </row>
    <row r="2171" spans="1:8" x14ac:dyDescent="0.15">
      <c r="A2171">
        <v>2170</v>
      </c>
      <c r="B2171" t="s">
        <v>339</v>
      </c>
      <c r="C2171" t="s">
        <v>353</v>
      </c>
      <c r="D2171" t="s">
        <v>5101</v>
      </c>
      <c r="E2171" t="s">
        <v>5100</v>
      </c>
      <c r="F2171" s="46">
        <v>46097.325883078702</v>
      </c>
      <c r="G2171" s="46">
        <v>46097.325883078702</v>
      </c>
      <c r="H2171">
        <v>0</v>
      </c>
    </row>
    <row r="2172" spans="1:8" x14ac:dyDescent="0.15">
      <c r="A2172">
        <v>2171</v>
      </c>
      <c r="B2172" t="s">
        <v>339</v>
      </c>
      <c r="C2172" t="s">
        <v>353</v>
      </c>
      <c r="D2172" t="s">
        <v>5102</v>
      </c>
      <c r="E2172" t="s">
        <v>5103</v>
      </c>
      <c r="F2172" s="46">
        <v>46097.325883078702</v>
      </c>
      <c r="G2172" s="46">
        <v>46097.325883078702</v>
      </c>
      <c r="H2172">
        <v>0</v>
      </c>
    </row>
    <row r="2173" spans="1:8" x14ac:dyDescent="0.15">
      <c r="A2173">
        <v>2172</v>
      </c>
      <c r="B2173" t="s">
        <v>339</v>
      </c>
      <c r="C2173" t="s">
        <v>353</v>
      </c>
      <c r="D2173" t="s">
        <v>5104</v>
      </c>
      <c r="E2173" t="s">
        <v>5105</v>
      </c>
      <c r="F2173" s="46">
        <v>46097.325883078702</v>
      </c>
      <c r="G2173" s="46">
        <v>46097.325883078702</v>
      </c>
      <c r="H2173">
        <v>0</v>
      </c>
    </row>
    <row r="2174" spans="1:8" x14ac:dyDescent="0.15">
      <c r="A2174">
        <v>2173</v>
      </c>
      <c r="B2174" t="s">
        <v>339</v>
      </c>
      <c r="C2174" t="s">
        <v>353</v>
      </c>
      <c r="D2174" t="s">
        <v>5106</v>
      </c>
      <c r="E2174" t="s">
        <v>5107</v>
      </c>
      <c r="F2174" s="46">
        <v>46097.325883078702</v>
      </c>
      <c r="G2174" s="46">
        <v>46097.325883078702</v>
      </c>
      <c r="H2174">
        <v>0</v>
      </c>
    </row>
    <row r="2175" spans="1:8" x14ac:dyDescent="0.15">
      <c r="A2175">
        <v>2174</v>
      </c>
      <c r="B2175" t="s">
        <v>339</v>
      </c>
      <c r="C2175" t="s">
        <v>353</v>
      </c>
      <c r="D2175" t="s">
        <v>5108</v>
      </c>
      <c r="E2175" t="s">
        <v>5107</v>
      </c>
      <c r="F2175" s="46">
        <v>46097.325883078702</v>
      </c>
      <c r="G2175" s="46">
        <v>46097.325883078702</v>
      </c>
      <c r="H2175">
        <v>0</v>
      </c>
    </row>
    <row r="2176" spans="1:8" x14ac:dyDescent="0.15">
      <c r="A2176">
        <v>2175</v>
      </c>
      <c r="B2176" t="s">
        <v>339</v>
      </c>
      <c r="C2176" t="s">
        <v>353</v>
      </c>
      <c r="D2176" t="s">
        <v>5109</v>
      </c>
      <c r="E2176" t="s">
        <v>5107</v>
      </c>
      <c r="F2176" s="46">
        <v>46097.325883078702</v>
      </c>
      <c r="G2176" s="46">
        <v>46097.325883078702</v>
      </c>
      <c r="H2176">
        <v>0</v>
      </c>
    </row>
    <row r="2177" spans="1:8" x14ac:dyDescent="0.15">
      <c r="A2177">
        <v>2176</v>
      </c>
      <c r="B2177" t="s">
        <v>339</v>
      </c>
      <c r="C2177" t="s">
        <v>353</v>
      </c>
      <c r="D2177" t="s">
        <v>5110</v>
      </c>
      <c r="E2177" t="s">
        <v>5111</v>
      </c>
      <c r="F2177" s="46">
        <v>46097.325883078702</v>
      </c>
      <c r="G2177" s="46">
        <v>46097.325883078702</v>
      </c>
      <c r="H2177">
        <v>0</v>
      </c>
    </row>
    <row r="2178" spans="1:8" x14ac:dyDescent="0.15">
      <c r="A2178">
        <v>2177</v>
      </c>
      <c r="B2178" t="s">
        <v>339</v>
      </c>
      <c r="C2178" t="s">
        <v>353</v>
      </c>
      <c r="D2178" t="s">
        <v>5112</v>
      </c>
      <c r="E2178" t="s">
        <v>5111</v>
      </c>
      <c r="F2178" s="46">
        <v>46097.325883078702</v>
      </c>
      <c r="G2178" s="46">
        <v>46097.325883078702</v>
      </c>
      <c r="H2178">
        <v>0</v>
      </c>
    </row>
    <row r="2179" spans="1:8" x14ac:dyDescent="0.15">
      <c r="A2179">
        <v>2178</v>
      </c>
      <c r="B2179" t="s">
        <v>339</v>
      </c>
      <c r="C2179" t="s">
        <v>353</v>
      </c>
      <c r="D2179" t="s">
        <v>5113</v>
      </c>
      <c r="E2179" t="s">
        <v>5114</v>
      </c>
      <c r="F2179" s="46">
        <v>46097.325883078702</v>
      </c>
      <c r="G2179" s="46">
        <v>46097.325883263889</v>
      </c>
      <c r="H2179">
        <v>15</v>
      </c>
    </row>
    <row r="2180" spans="1:8" x14ac:dyDescent="0.15">
      <c r="A2180">
        <v>2179</v>
      </c>
      <c r="B2180" t="s">
        <v>339</v>
      </c>
      <c r="C2180" t="s">
        <v>353</v>
      </c>
      <c r="D2180" t="s">
        <v>5115</v>
      </c>
      <c r="E2180" t="s">
        <v>5114</v>
      </c>
      <c r="F2180" s="46">
        <v>46097.325883263889</v>
      </c>
      <c r="G2180" s="46">
        <v>46097.325883263889</v>
      </c>
      <c r="H2180">
        <v>0</v>
      </c>
    </row>
    <row r="2181" spans="1:8" x14ac:dyDescent="0.15">
      <c r="A2181">
        <v>2180</v>
      </c>
      <c r="B2181" t="s">
        <v>339</v>
      </c>
      <c r="C2181" t="s">
        <v>353</v>
      </c>
      <c r="D2181" t="s">
        <v>5116</v>
      </c>
      <c r="E2181" t="s">
        <v>5114</v>
      </c>
      <c r="F2181" s="46">
        <v>46097.325883263889</v>
      </c>
      <c r="G2181" s="46">
        <v>46097.325883263889</v>
      </c>
      <c r="H2181">
        <v>0</v>
      </c>
    </row>
    <row r="2182" spans="1:8" x14ac:dyDescent="0.15">
      <c r="A2182">
        <v>2181</v>
      </c>
      <c r="B2182" t="s">
        <v>339</v>
      </c>
      <c r="C2182" t="s">
        <v>353</v>
      </c>
      <c r="D2182" t="s">
        <v>5117</v>
      </c>
      <c r="E2182" t="s">
        <v>5118</v>
      </c>
      <c r="F2182" s="46">
        <v>46097.325883263889</v>
      </c>
      <c r="G2182" s="46">
        <v>46097.325883263889</v>
      </c>
      <c r="H2182">
        <v>0</v>
      </c>
    </row>
    <row r="2183" spans="1:8" x14ac:dyDescent="0.15">
      <c r="A2183">
        <v>2182</v>
      </c>
      <c r="B2183" t="s">
        <v>339</v>
      </c>
      <c r="C2183" t="s">
        <v>353</v>
      </c>
      <c r="D2183" t="s">
        <v>5119</v>
      </c>
      <c r="E2183" t="s">
        <v>5120</v>
      </c>
      <c r="F2183" s="46">
        <v>46097.325883263889</v>
      </c>
      <c r="G2183" s="46">
        <v>46097.325883263889</v>
      </c>
      <c r="H2183">
        <v>0</v>
      </c>
    </row>
    <row r="2184" spans="1:8" x14ac:dyDescent="0.15">
      <c r="A2184">
        <v>2183</v>
      </c>
      <c r="B2184" t="s">
        <v>339</v>
      </c>
      <c r="C2184" t="s">
        <v>353</v>
      </c>
      <c r="D2184" t="s">
        <v>5121</v>
      </c>
      <c r="E2184" t="s">
        <v>5120</v>
      </c>
      <c r="F2184" s="46">
        <v>46097.325883263889</v>
      </c>
      <c r="G2184" s="46">
        <v>46097.325883263889</v>
      </c>
      <c r="H2184">
        <v>0</v>
      </c>
    </row>
    <row r="2185" spans="1:8" x14ac:dyDescent="0.15">
      <c r="A2185">
        <v>2184</v>
      </c>
      <c r="B2185" t="s">
        <v>339</v>
      </c>
      <c r="C2185" t="s">
        <v>353</v>
      </c>
      <c r="D2185" t="s">
        <v>5122</v>
      </c>
      <c r="E2185" t="s">
        <v>5123</v>
      </c>
      <c r="F2185" s="46">
        <v>46097.325883263889</v>
      </c>
      <c r="G2185" s="46">
        <v>46097.325883263889</v>
      </c>
      <c r="H2185">
        <v>0</v>
      </c>
    </row>
    <row r="2186" spans="1:8" x14ac:dyDescent="0.15">
      <c r="A2186">
        <v>2185</v>
      </c>
      <c r="B2186" t="s">
        <v>339</v>
      </c>
      <c r="C2186" t="s">
        <v>353</v>
      </c>
      <c r="D2186" t="s">
        <v>5124</v>
      </c>
      <c r="E2186" t="s">
        <v>5123</v>
      </c>
      <c r="F2186" s="46">
        <v>46097.325883263889</v>
      </c>
      <c r="G2186" s="46">
        <v>46097.325883263889</v>
      </c>
      <c r="H2186">
        <v>0</v>
      </c>
    </row>
    <row r="2187" spans="1:8" x14ac:dyDescent="0.15">
      <c r="A2187">
        <v>2186</v>
      </c>
      <c r="B2187" t="s">
        <v>339</v>
      </c>
      <c r="C2187" t="s">
        <v>353</v>
      </c>
      <c r="D2187" t="s">
        <v>5125</v>
      </c>
      <c r="E2187" t="s">
        <v>5123</v>
      </c>
      <c r="F2187" s="46">
        <v>46097.325883263889</v>
      </c>
      <c r="G2187" s="46">
        <v>46097.325883263889</v>
      </c>
      <c r="H2187">
        <v>0</v>
      </c>
    </row>
    <row r="2188" spans="1:8" x14ac:dyDescent="0.15">
      <c r="A2188">
        <v>2187</v>
      </c>
      <c r="B2188" t="s">
        <v>339</v>
      </c>
      <c r="C2188" t="s">
        <v>353</v>
      </c>
      <c r="D2188" t="s">
        <v>5126</v>
      </c>
      <c r="E2188" t="s">
        <v>5123</v>
      </c>
      <c r="F2188" s="46">
        <v>46097.325883263889</v>
      </c>
      <c r="G2188" s="46">
        <v>46097.325883263889</v>
      </c>
      <c r="H2188">
        <v>0</v>
      </c>
    </row>
    <row r="2189" spans="1:8" x14ac:dyDescent="0.15">
      <c r="A2189">
        <v>2188</v>
      </c>
      <c r="B2189" t="s">
        <v>339</v>
      </c>
      <c r="C2189" t="s">
        <v>353</v>
      </c>
      <c r="D2189" t="s">
        <v>5127</v>
      </c>
      <c r="E2189" t="s">
        <v>616</v>
      </c>
      <c r="F2189" s="46">
        <v>46097.325883263889</v>
      </c>
      <c r="G2189" s="46">
        <v>46097.325883437501</v>
      </c>
      <c r="H2189">
        <v>16</v>
      </c>
    </row>
    <row r="2190" spans="1:8" x14ac:dyDescent="0.15">
      <c r="A2190">
        <v>2189</v>
      </c>
      <c r="B2190" t="s">
        <v>339</v>
      </c>
      <c r="C2190" t="s">
        <v>353</v>
      </c>
      <c r="D2190" t="s">
        <v>5128</v>
      </c>
      <c r="E2190" t="s">
        <v>5129</v>
      </c>
      <c r="F2190" s="46">
        <v>46097.325883437501</v>
      </c>
      <c r="G2190" s="46">
        <v>46097.325883437501</v>
      </c>
      <c r="H2190">
        <v>0</v>
      </c>
    </row>
    <row r="2191" spans="1:8" x14ac:dyDescent="0.15">
      <c r="A2191">
        <v>2190</v>
      </c>
      <c r="B2191" t="s">
        <v>339</v>
      </c>
      <c r="C2191" t="s">
        <v>353</v>
      </c>
      <c r="D2191" t="s">
        <v>5130</v>
      </c>
      <c r="E2191" t="s">
        <v>5131</v>
      </c>
      <c r="F2191" s="46">
        <v>46097.325883437501</v>
      </c>
      <c r="G2191" s="46">
        <v>46097.325883437501</v>
      </c>
      <c r="H2191">
        <v>0</v>
      </c>
    </row>
    <row r="2192" spans="1:8" x14ac:dyDescent="0.15">
      <c r="A2192">
        <v>2191</v>
      </c>
      <c r="B2192" t="s">
        <v>339</v>
      </c>
      <c r="C2192" t="s">
        <v>353</v>
      </c>
      <c r="D2192" t="s">
        <v>5132</v>
      </c>
      <c r="E2192" t="s">
        <v>617</v>
      </c>
      <c r="F2192" s="46">
        <v>46097.325883437501</v>
      </c>
      <c r="G2192" s="46">
        <v>46097.325883437501</v>
      </c>
      <c r="H2192">
        <v>0</v>
      </c>
    </row>
    <row r="2193" spans="1:8" x14ac:dyDescent="0.15">
      <c r="A2193">
        <v>2192</v>
      </c>
      <c r="B2193" t="s">
        <v>339</v>
      </c>
      <c r="C2193" t="s">
        <v>353</v>
      </c>
      <c r="D2193" t="s">
        <v>5133</v>
      </c>
      <c r="E2193" t="s">
        <v>617</v>
      </c>
      <c r="F2193" s="46">
        <v>46097.325883437501</v>
      </c>
      <c r="G2193" s="46">
        <v>46097.325883437501</v>
      </c>
      <c r="H2193">
        <v>0</v>
      </c>
    </row>
    <row r="2194" spans="1:8" x14ac:dyDescent="0.15">
      <c r="A2194">
        <v>2193</v>
      </c>
      <c r="B2194" t="s">
        <v>339</v>
      </c>
      <c r="C2194" t="s">
        <v>353</v>
      </c>
      <c r="D2194" t="s">
        <v>5134</v>
      </c>
      <c r="E2194" t="s">
        <v>617</v>
      </c>
      <c r="F2194" s="46">
        <v>46097.325883437501</v>
      </c>
      <c r="G2194" s="46">
        <v>46097.325883437501</v>
      </c>
      <c r="H2194">
        <v>0</v>
      </c>
    </row>
    <row r="2195" spans="1:8" x14ac:dyDescent="0.15">
      <c r="A2195">
        <v>2194</v>
      </c>
      <c r="B2195" t="s">
        <v>339</v>
      </c>
      <c r="C2195" t="s">
        <v>353</v>
      </c>
      <c r="D2195" t="s">
        <v>5135</v>
      </c>
      <c r="E2195" t="s">
        <v>617</v>
      </c>
      <c r="F2195" s="46">
        <v>46097.325883437501</v>
      </c>
      <c r="G2195" s="46">
        <v>46097.325883437501</v>
      </c>
      <c r="H2195">
        <v>0</v>
      </c>
    </row>
    <row r="2196" spans="1:8" x14ac:dyDescent="0.15">
      <c r="A2196">
        <v>2195</v>
      </c>
      <c r="B2196" t="s">
        <v>339</v>
      </c>
      <c r="C2196" t="s">
        <v>353</v>
      </c>
      <c r="D2196" t="s">
        <v>5136</v>
      </c>
      <c r="E2196" t="s">
        <v>617</v>
      </c>
      <c r="F2196" s="46">
        <v>46097.325883437501</v>
      </c>
      <c r="G2196" s="46">
        <v>46097.325883437501</v>
      </c>
      <c r="H2196">
        <v>0</v>
      </c>
    </row>
    <row r="2197" spans="1:8" x14ac:dyDescent="0.15">
      <c r="A2197">
        <v>2196</v>
      </c>
      <c r="B2197" t="s">
        <v>339</v>
      </c>
      <c r="C2197" t="s">
        <v>353</v>
      </c>
      <c r="D2197" t="s">
        <v>5137</v>
      </c>
      <c r="E2197" t="s">
        <v>617</v>
      </c>
      <c r="F2197" s="46">
        <v>46097.325883437501</v>
      </c>
      <c r="G2197" s="46">
        <v>46097.325883437501</v>
      </c>
      <c r="H2197">
        <v>0</v>
      </c>
    </row>
    <row r="2198" spans="1:8" x14ac:dyDescent="0.15">
      <c r="A2198">
        <v>2197</v>
      </c>
      <c r="B2198" t="s">
        <v>339</v>
      </c>
      <c r="C2198" t="s">
        <v>353</v>
      </c>
      <c r="D2198" t="s">
        <v>5138</v>
      </c>
      <c r="E2198" t="s">
        <v>617</v>
      </c>
      <c r="F2198" s="46">
        <v>46097.325883437501</v>
      </c>
      <c r="G2198" s="46">
        <v>46097.325883437501</v>
      </c>
      <c r="H2198">
        <v>0</v>
      </c>
    </row>
    <row r="2199" spans="1:8" x14ac:dyDescent="0.15">
      <c r="A2199">
        <v>2198</v>
      </c>
      <c r="B2199" t="s">
        <v>339</v>
      </c>
      <c r="C2199" t="s">
        <v>353</v>
      </c>
      <c r="D2199" t="s">
        <v>5139</v>
      </c>
      <c r="E2199" t="s">
        <v>617</v>
      </c>
      <c r="F2199" s="46">
        <v>46097.325883437501</v>
      </c>
      <c r="G2199" s="46">
        <v>46097.325883437501</v>
      </c>
      <c r="H2199">
        <v>0</v>
      </c>
    </row>
    <row r="2200" spans="1:8" x14ac:dyDescent="0.15">
      <c r="A2200">
        <v>2199</v>
      </c>
      <c r="B2200" t="s">
        <v>339</v>
      </c>
      <c r="C2200" t="s">
        <v>353</v>
      </c>
      <c r="D2200" t="s">
        <v>5140</v>
      </c>
      <c r="E2200" t="s">
        <v>617</v>
      </c>
      <c r="F2200" s="46">
        <v>46097.325883437501</v>
      </c>
      <c r="G2200" s="46">
        <v>46097.325883622689</v>
      </c>
      <c r="H2200">
        <v>16</v>
      </c>
    </row>
    <row r="2201" spans="1:8" x14ac:dyDescent="0.15">
      <c r="A2201">
        <v>2200</v>
      </c>
      <c r="B2201" t="s">
        <v>339</v>
      </c>
      <c r="C2201" t="s">
        <v>353</v>
      </c>
      <c r="D2201" t="s">
        <v>5141</v>
      </c>
      <c r="E2201" t="s">
        <v>617</v>
      </c>
      <c r="F2201" s="46">
        <v>46097.325883622689</v>
      </c>
      <c r="G2201" s="46">
        <v>46097.325883622689</v>
      </c>
      <c r="H2201">
        <v>0</v>
      </c>
    </row>
    <row r="2202" spans="1:8" x14ac:dyDescent="0.15">
      <c r="A2202">
        <v>2201</v>
      </c>
      <c r="B2202" t="s">
        <v>339</v>
      </c>
      <c r="C2202" t="s">
        <v>353</v>
      </c>
      <c r="D2202" t="s">
        <v>5142</v>
      </c>
      <c r="E2202" t="s">
        <v>5143</v>
      </c>
      <c r="F2202" s="46">
        <v>46097.325883622689</v>
      </c>
      <c r="G2202" s="46">
        <v>46097.325883622689</v>
      </c>
      <c r="H2202">
        <v>0</v>
      </c>
    </row>
    <row r="2203" spans="1:8" x14ac:dyDescent="0.15">
      <c r="A2203">
        <v>2202</v>
      </c>
      <c r="B2203" t="s">
        <v>339</v>
      </c>
      <c r="C2203" t="s">
        <v>353</v>
      </c>
      <c r="D2203" t="s">
        <v>5144</v>
      </c>
      <c r="E2203" t="s">
        <v>5143</v>
      </c>
      <c r="F2203" s="46">
        <v>46097.325883622689</v>
      </c>
      <c r="G2203" s="46">
        <v>46097.325883622689</v>
      </c>
      <c r="H2203">
        <v>0</v>
      </c>
    </row>
    <row r="2204" spans="1:8" x14ac:dyDescent="0.15">
      <c r="A2204">
        <v>2203</v>
      </c>
      <c r="B2204" t="s">
        <v>339</v>
      </c>
      <c r="C2204" t="s">
        <v>353</v>
      </c>
      <c r="D2204" t="s">
        <v>5145</v>
      </c>
      <c r="E2204" t="s">
        <v>5146</v>
      </c>
      <c r="F2204" s="46">
        <v>46097.325883622689</v>
      </c>
      <c r="G2204" s="46">
        <v>46097.325883622689</v>
      </c>
      <c r="H2204">
        <v>0</v>
      </c>
    </row>
    <row r="2205" spans="1:8" x14ac:dyDescent="0.15">
      <c r="A2205">
        <v>2204</v>
      </c>
      <c r="B2205" t="s">
        <v>339</v>
      </c>
      <c r="C2205" t="s">
        <v>353</v>
      </c>
      <c r="D2205" t="s">
        <v>5147</v>
      </c>
      <c r="E2205" t="s">
        <v>5148</v>
      </c>
      <c r="F2205" s="46">
        <v>46097.325883622689</v>
      </c>
      <c r="G2205" s="46">
        <v>46097.325883622689</v>
      </c>
      <c r="H2205">
        <v>0</v>
      </c>
    </row>
    <row r="2206" spans="1:8" x14ac:dyDescent="0.15">
      <c r="A2206">
        <v>2205</v>
      </c>
      <c r="B2206" t="s">
        <v>339</v>
      </c>
      <c r="C2206" t="s">
        <v>353</v>
      </c>
      <c r="D2206" t="s">
        <v>5149</v>
      </c>
      <c r="E2206" t="s">
        <v>5148</v>
      </c>
      <c r="F2206" s="46">
        <v>46097.325883622689</v>
      </c>
      <c r="G2206" s="46">
        <v>46097.325883622689</v>
      </c>
      <c r="H2206">
        <v>0</v>
      </c>
    </row>
    <row r="2207" spans="1:8" x14ac:dyDescent="0.15">
      <c r="A2207">
        <v>2206</v>
      </c>
      <c r="B2207" t="s">
        <v>339</v>
      </c>
      <c r="C2207" t="s">
        <v>353</v>
      </c>
      <c r="D2207" t="s">
        <v>5150</v>
      </c>
      <c r="E2207" t="s">
        <v>5148</v>
      </c>
      <c r="F2207" s="46">
        <v>46097.325883622689</v>
      </c>
      <c r="G2207" s="46">
        <v>46097.325883622689</v>
      </c>
      <c r="H2207">
        <v>0</v>
      </c>
    </row>
    <row r="2208" spans="1:8" x14ac:dyDescent="0.15">
      <c r="A2208">
        <v>2207</v>
      </c>
      <c r="B2208" t="s">
        <v>339</v>
      </c>
      <c r="C2208" t="s">
        <v>353</v>
      </c>
      <c r="D2208" t="s">
        <v>5151</v>
      </c>
      <c r="E2208" t="s">
        <v>5152</v>
      </c>
      <c r="F2208" s="46">
        <v>46097.325883622689</v>
      </c>
      <c r="G2208" s="46">
        <v>46097.325883622689</v>
      </c>
      <c r="H2208">
        <v>0</v>
      </c>
    </row>
    <row r="2209" spans="1:8" x14ac:dyDescent="0.15">
      <c r="A2209">
        <v>2208</v>
      </c>
      <c r="B2209" t="s">
        <v>339</v>
      </c>
      <c r="C2209" t="s">
        <v>353</v>
      </c>
      <c r="D2209" t="s">
        <v>5153</v>
      </c>
      <c r="E2209" t="s">
        <v>619</v>
      </c>
      <c r="F2209" s="46">
        <v>46097.325883622689</v>
      </c>
      <c r="G2209" s="46">
        <v>46097.325883622689</v>
      </c>
      <c r="H2209">
        <v>0</v>
      </c>
    </row>
    <row r="2210" spans="1:8" x14ac:dyDescent="0.15">
      <c r="A2210">
        <v>2209</v>
      </c>
      <c r="B2210" t="s">
        <v>339</v>
      </c>
      <c r="C2210" t="s">
        <v>353</v>
      </c>
      <c r="D2210" t="s">
        <v>5154</v>
      </c>
      <c r="E2210" t="s">
        <v>619</v>
      </c>
      <c r="F2210" s="46">
        <v>46097.325883622689</v>
      </c>
      <c r="G2210" s="46">
        <v>46097.325883807869</v>
      </c>
      <c r="H2210">
        <v>15</v>
      </c>
    </row>
    <row r="2211" spans="1:8" x14ac:dyDescent="0.15">
      <c r="A2211">
        <v>2210</v>
      </c>
      <c r="B2211" t="s">
        <v>339</v>
      </c>
      <c r="C2211" t="s">
        <v>353</v>
      </c>
      <c r="D2211" t="s">
        <v>5155</v>
      </c>
      <c r="E2211" t="s">
        <v>619</v>
      </c>
      <c r="F2211" s="46">
        <v>46097.325883807869</v>
      </c>
      <c r="G2211" s="46">
        <v>46097.325883807869</v>
      </c>
      <c r="H2211">
        <v>0</v>
      </c>
    </row>
    <row r="2212" spans="1:8" x14ac:dyDescent="0.15">
      <c r="A2212">
        <v>2211</v>
      </c>
      <c r="B2212" t="s">
        <v>339</v>
      </c>
      <c r="C2212" t="s">
        <v>353</v>
      </c>
      <c r="D2212" t="s">
        <v>5156</v>
      </c>
      <c r="E2212" t="s">
        <v>619</v>
      </c>
      <c r="F2212" s="46">
        <v>46097.325883807869</v>
      </c>
      <c r="G2212" s="46">
        <v>46097.325883807869</v>
      </c>
      <c r="H2212">
        <v>0</v>
      </c>
    </row>
    <row r="2213" spans="1:8" x14ac:dyDescent="0.15">
      <c r="A2213">
        <v>2212</v>
      </c>
      <c r="B2213" t="s">
        <v>339</v>
      </c>
      <c r="C2213" t="s">
        <v>353</v>
      </c>
      <c r="D2213" t="s">
        <v>5157</v>
      </c>
      <c r="E2213" t="s">
        <v>5158</v>
      </c>
      <c r="F2213" s="46">
        <v>46097.325883807869</v>
      </c>
      <c r="G2213" s="46">
        <v>46097.325883807869</v>
      </c>
      <c r="H2213">
        <v>0</v>
      </c>
    </row>
    <row r="2214" spans="1:8" x14ac:dyDescent="0.15">
      <c r="A2214">
        <v>2213</v>
      </c>
      <c r="B2214" t="s">
        <v>339</v>
      </c>
      <c r="C2214" t="s">
        <v>353</v>
      </c>
      <c r="D2214" t="s">
        <v>5159</v>
      </c>
      <c r="E2214" t="s">
        <v>620</v>
      </c>
      <c r="F2214" s="46">
        <v>46097.325883807869</v>
      </c>
      <c r="G2214" s="46">
        <v>46097.325883807869</v>
      </c>
      <c r="H2214">
        <v>0</v>
      </c>
    </row>
    <row r="2215" spans="1:8" x14ac:dyDescent="0.15">
      <c r="A2215">
        <v>2214</v>
      </c>
      <c r="B2215" t="s">
        <v>339</v>
      </c>
      <c r="C2215" t="s">
        <v>353</v>
      </c>
      <c r="D2215" t="s">
        <v>5160</v>
      </c>
      <c r="E2215" t="s">
        <v>620</v>
      </c>
      <c r="F2215" s="46">
        <v>46097.325883807869</v>
      </c>
      <c r="G2215" s="46">
        <v>46097.325883807869</v>
      </c>
      <c r="H2215">
        <v>0</v>
      </c>
    </row>
    <row r="2216" spans="1:8" x14ac:dyDescent="0.15">
      <c r="A2216">
        <v>2215</v>
      </c>
      <c r="B2216" t="s">
        <v>339</v>
      </c>
      <c r="C2216" t="s">
        <v>353</v>
      </c>
      <c r="D2216" t="s">
        <v>5161</v>
      </c>
      <c r="E2216" t="s">
        <v>620</v>
      </c>
      <c r="F2216" s="46">
        <v>46097.325883807869</v>
      </c>
      <c r="G2216" s="46">
        <v>46097.325883807869</v>
      </c>
      <c r="H2216">
        <v>0</v>
      </c>
    </row>
    <row r="2217" spans="1:8" x14ac:dyDescent="0.15">
      <c r="A2217">
        <v>2216</v>
      </c>
      <c r="B2217" t="s">
        <v>339</v>
      </c>
      <c r="C2217" t="s">
        <v>353</v>
      </c>
      <c r="D2217" t="s">
        <v>5162</v>
      </c>
      <c r="E2217" t="s">
        <v>620</v>
      </c>
      <c r="F2217" s="46">
        <v>46097.325883807869</v>
      </c>
      <c r="G2217" s="46">
        <v>46097.325883807869</v>
      </c>
      <c r="H2217">
        <v>0</v>
      </c>
    </row>
    <row r="2218" spans="1:8" x14ac:dyDescent="0.15">
      <c r="A2218">
        <v>2217</v>
      </c>
      <c r="B2218" t="s">
        <v>339</v>
      </c>
      <c r="C2218" t="s">
        <v>353</v>
      </c>
      <c r="D2218" t="s">
        <v>5163</v>
      </c>
      <c r="E2218" t="s">
        <v>620</v>
      </c>
      <c r="F2218" s="46">
        <v>46097.325883807869</v>
      </c>
      <c r="G2218" s="46">
        <v>46097.325883807869</v>
      </c>
      <c r="H2218">
        <v>0</v>
      </c>
    </row>
    <row r="2219" spans="1:8" x14ac:dyDescent="0.15">
      <c r="A2219">
        <v>2218</v>
      </c>
      <c r="B2219" t="s">
        <v>339</v>
      </c>
      <c r="C2219" t="s">
        <v>353</v>
      </c>
      <c r="D2219" t="s">
        <v>5164</v>
      </c>
      <c r="E2219" t="s">
        <v>620</v>
      </c>
      <c r="F2219" s="46">
        <v>46097.325883807869</v>
      </c>
      <c r="G2219" s="46">
        <v>46097.325883807869</v>
      </c>
      <c r="H2219">
        <v>0</v>
      </c>
    </row>
    <row r="2220" spans="1:8" x14ac:dyDescent="0.15">
      <c r="A2220">
        <v>2219</v>
      </c>
      <c r="B2220" t="s">
        <v>339</v>
      </c>
      <c r="C2220" t="s">
        <v>353</v>
      </c>
      <c r="D2220" t="s">
        <v>5165</v>
      </c>
      <c r="E2220" t="s">
        <v>620</v>
      </c>
      <c r="F2220" s="46">
        <v>46097.325883807869</v>
      </c>
      <c r="G2220" s="46">
        <v>46097.325883807869</v>
      </c>
      <c r="H2220">
        <v>0</v>
      </c>
    </row>
    <row r="2221" spans="1:8" x14ac:dyDescent="0.15">
      <c r="A2221">
        <v>2220</v>
      </c>
      <c r="B2221" t="s">
        <v>339</v>
      </c>
      <c r="C2221" t="s">
        <v>353</v>
      </c>
      <c r="D2221" t="s">
        <v>5166</v>
      </c>
      <c r="E2221" t="s">
        <v>620</v>
      </c>
      <c r="F2221" s="46">
        <v>46097.325883807869</v>
      </c>
      <c r="G2221" s="46">
        <v>46097.325883981481</v>
      </c>
      <c r="H2221">
        <v>16</v>
      </c>
    </row>
    <row r="2222" spans="1:8" x14ac:dyDescent="0.15">
      <c r="A2222">
        <v>2221</v>
      </c>
      <c r="B2222" t="s">
        <v>339</v>
      </c>
      <c r="C2222" t="s">
        <v>353</v>
      </c>
      <c r="D2222" t="s">
        <v>5167</v>
      </c>
      <c r="E2222" t="s">
        <v>620</v>
      </c>
      <c r="F2222" s="46">
        <v>46097.325883981481</v>
      </c>
      <c r="G2222" s="46">
        <v>46097.325883981481</v>
      </c>
      <c r="H2222">
        <v>0</v>
      </c>
    </row>
    <row r="2223" spans="1:8" x14ac:dyDescent="0.15">
      <c r="A2223">
        <v>2222</v>
      </c>
      <c r="B2223" t="s">
        <v>339</v>
      </c>
      <c r="C2223" t="s">
        <v>353</v>
      </c>
      <c r="D2223" t="s">
        <v>5168</v>
      </c>
      <c r="E2223" t="s">
        <v>620</v>
      </c>
      <c r="F2223" s="46">
        <v>46097.325883981481</v>
      </c>
      <c r="G2223" s="46">
        <v>46097.325883981481</v>
      </c>
      <c r="H2223">
        <v>0</v>
      </c>
    </row>
    <row r="2224" spans="1:8" x14ac:dyDescent="0.15">
      <c r="A2224">
        <v>2223</v>
      </c>
      <c r="B2224" t="s">
        <v>339</v>
      </c>
      <c r="C2224" t="s">
        <v>353</v>
      </c>
      <c r="D2224" t="s">
        <v>5169</v>
      </c>
      <c r="E2224" t="s">
        <v>620</v>
      </c>
      <c r="F2224" s="46">
        <v>46097.325883981481</v>
      </c>
      <c r="G2224" s="46">
        <v>46097.325883981481</v>
      </c>
      <c r="H2224">
        <v>0</v>
      </c>
    </row>
    <row r="2225" spans="1:8" x14ac:dyDescent="0.15">
      <c r="A2225">
        <v>2224</v>
      </c>
      <c r="B2225" t="s">
        <v>339</v>
      </c>
      <c r="C2225" t="s">
        <v>353</v>
      </c>
      <c r="D2225" t="s">
        <v>5170</v>
      </c>
      <c r="E2225" t="s">
        <v>620</v>
      </c>
      <c r="F2225" s="46">
        <v>46097.325883981481</v>
      </c>
      <c r="G2225" s="46">
        <v>46097.325883981481</v>
      </c>
      <c r="H2225">
        <v>0</v>
      </c>
    </row>
    <row r="2226" spans="1:8" x14ac:dyDescent="0.15">
      <c r="A2226">
        <v>2225</v>
      </c>
      <c r="B2226" t="s">
        <v>339</v>
      </c>
      <c r="C2226" t="s">
        <v>353</v>
      </c>
      <c r="D2226" t="s">
        <v>5171</v>
      </c>
      <c r="E2226" t="s">
        <v>620</v>
      </c>
      <c r="F2226" s="46">
        <v>46097.325883981481</v>
      </c>
      <c r="G2226" s="46">
        <v>46097.325883981481</v>
      </c>
      <c r="H2226">
        <v>0</v>
      </c>
    </row>
    <row r="2227" spans="1:8" x14ac:dyDescent="0.15">
      <c r="A2227">
        <v>2226</v>
      </c>
      <c r="B2227" t="s">
        <v>339</v>
      </c>
      <c r="C2227" t="s">
        <v>353</v>
      </c>
      <c r="D2227" t="s">
        <v>5172</v>
      </c>
      <c r="E2227" t="s">
        <v>620</v>
      </c>
      <c r="F2227" s="46">
        <v>46097.325883981481</v>
      </c>
      <c r="G2227" s="46">
        <v>46097.325883981481</v>
      </c>
      <c r="H2227">
        <v>0</v>
      </c>
    </row>
    <row r="2228" spans="1:8" x14ac:dyDescent="0.15">
      <c r="A2228">
        <v>2227</v>
      </c>
      <c r="B2228" t="s">
        <v>339</v>
      </c>
      <c r="C2228" t="s">
        <v>353</v>
      </c>
      <c r="D2228" t="s">
        <v>5173</v>
      </c>
      <c r="E2228" t="s">
        <v>620</v>
      </c>
      <c r="F2228" s="46">
        <v>46097.325883981481</v>
      </c>
      <c r="G2228" s="46">
        <v>46097.325883981481</v>
      </c>
      <c r="H2228">
        <v>0</v>
      </c>
    </row>
    <row r="2229" spans="1:8" x14ac:dyDescent="0.15">
      <c r="A2229">
        <v>2228</v>
      </c>
      <c r="B2229" t="s">
        <v>339</v>
      </c>
      <c r="C2229" t="s">
        <v>353</v>
      </c>
      <c r="D2229" t="s">
        <v>5174</v>
      </c>
      <c r="E2229" t="s">
        <v>620</v>
      </c>
      <c r="F2229" s="46">
        <v>46097.325883981481</v>
      </c>
      <c r="G2229" s="46">
        <v>46097.325883981481</v>
      </c>
      <c r="H2229">
        <v>0</v>
      </c>
    </row>
    <row r="2230" spans="1:8" x14ac:dyDescent="0.15">
      <c r="A2230">
        <v>2229</v>
      </c>
      <c r="B2230" t="s">
        <v>339</v>
      </c>
      <c r="C2230" t="s">
        <v>353</v>
      </c>
      <c r="D2230" t="s">
        <v>5175</v>
      </c>
      <c r="E2230" t="s">
        <v>620</v>
      </c>
      <c r="F2230" s="46">
        <v>46097.325883981481</v>
      </c>
      <c r="G2230" s="46">
        <v>46097.325883981481</v>
      </c>
      <c r="H2230">
        <v>0</v>
      </c>
    </row>
    <row r="2231" spans="1:8" x14ac:dyDescent="0.15">
      <c r="A2231">
        <v>2230</v>
      </c>
      <c r="B2231" t="s">
        <v>339</v>
      </c>
      <c r="C2231" t="s">
        <v>353</v>
      </c>
      <c r="D2231" t="s">
        <v>5176</v>
      </c>
      <c r="E2231" t="s">
        <v>620</v>
      </c>
      <c r="F2231" s="46">
        <v>46097.325883981481</v>
      </c>
      <c r="G2231" s="46">
        <v>46097.325883981481</v>
      </c>
      <c r="H2231">
        <v>0</v>
      </c>
    </row>
    <row r="2232" spans="1:8" x14ac:dyDescent="0.15">
      <c r="A2232">
        <v>2231</v>
      </c>
      <c r="B2232" t="s">
        <v>339</v>
      </c>
      <c r="C2232" t="s">
        <v>353</v>
      </c>
      <c r="D2232" t="s">
        <v>5177</v>
      </c>
      <c r="E2232" t="s">
        <v>620</v>
      </c>
      <c r="F2232" s="46">
        <v>46097.325884166668</v>
      </c>
      <c r="G2232" s="46">
        <v>46097.325884166668</v>
      </c>
      <c r="H2232">
        <v>0</v>
      </c>
    </row>
    <row r="2233" spans="1:8" x14ac:dyDescent="0.15">
      <c r="A2233">
        <v>2232</v>
      </c>
      <c r="B2233" t="s">
        <v>339</v>
      </c>
      <c r="C2233" t="s">
        <v>353</v>
      </c>
      <c r="D2233" t="s">
        <v>5178</v>
      </c>
      <c r="E2233" t="s">
        <v>620</v>
      </c>
      <c r="F2233" s="46">
        <v>46097.325884166668</v>
      </c>
      <c r="G2233" s="46">
        <v>46097.325884166668</v>
      </c>
      <c r="H2233">
        <v>0</v>
      </c>
    </row>
    <row r="2234" spans="1:8" x14ac:dyDescent="0.15">
      <c r="A2234">
        <v>2233</v>
      </c>
      <c r="B2234" t="s">
        <v>339</v>
      </c>
      <c r="C2234" t="s">
        <v>353</v>
      </c>
      <c r="D2234" t="s">
        <v>5179</v>
      </c>
      <c r="E2234" t="s">
        <v>620</v>
      </c>
      <c r="F2234" s="46">
        <v>46097.325884166668</v>
      </c>
      <c r="G2234" s="46">
        <v>46097.325884166668</v>
      </c>
      <c r="H2234">
        <v>0</v>
      </c>
    </row>
    <row r="2235" spans="1:8" x14ac:dyDescent="0.15">
      <c r="A2235">
        <v>2234</v>
      </c>
      <c r="B2235" t="s">
        <v>339</v>
      </c>
      <c r="C2235" t="s">
        <v>353</v>
      </c>
      <c r="D2235" t="s">
        <v>5180</v>
      </c>
      <c r="E2235" t="s">
        <v>620</v>
      </c>
      <c r="F2235" s="46">
        <v>46097.325884166668</v>
      </c>
      <c r="G2235" s="46">
        <v>46097.325884166668</v>
      </c>
      <c r="H2235">
        <v>0</v>
      </c>
    </row>
    <row r="2236" spans="1:8" x14ac:dyDescent="0.15">
      <c r="A2236">
        <v>2235</v>
      </c>
      <c r="B2236" t="s">
        <v>339</v>
      </c>
      <c r="C2236" t="s">
        <v>353</v>
      </c>
      <c r="D2236" t="s">
        <v>5181</v>
      </c>
      <c r="E2236" t="s">
        <v>621</v>
      </c>
      <c r="F2236" s="46">
        <v>46097.325884166668</v>
      </c>
      <c r="G2236" s="46">
        <v>46097.325884166668</v>
      </c>
      <c r="H2236">
        <v>0</v>
      </c>
    </row>
    <row r="2237" spans="1:8" x14ac:dyDescent="0.15">
      <c r="A2237">
        <v>2236</v>
      </c>
      <c r="B2237" t="s">
        <v>339</v>
      </c>
      <c r="C2237" t="s">
        <v>353</v>
      </c>
      <c r="D2237" t="s">
        <v>5182</v>
      </c>
      <c r="E2237" t="s">
        <v>621</v>
      </c>
      <c r="F2237" s="46">
        <v>46097.325884166668</v>
      </c>
      <c r="G2237" s="46">
        <v>46097.325884166668</v>
      </c>
      <c r="H2237">
        <v>0</v>
      </c>
    </row>
    <row r="2238" spans="1:8" x14ac:dyDescent="0.15">
      <c r="A2238">
        <v>2237</v>
      </c>
      <c r="B2238" t="s">
        <v>339</v>
      </c>
      <c r="C2238" t="s">
        <v>353</v>
      </c>
      <c r="D2238" t="s">
        <v>5183</v>
      </c>
      <c r="E2238" t="s">
        <v>5184</v>
      </c>
      <c r="F2238" s="46">
        <v>46097.325884166668</v>
      </c>
      <c r="G2238" s="46">
        <v>46097.325884166668</v>
      </c>
      <c r="H2238">
        <v>0</v>
      </c>
    </row>
    <row r="2239" spans="1:8" x14ac:dyDescent="0.15">
      <c r="A2239">
        <v>2238</v>
      </c>
      <c r="B2239" t="s">
        <v>339</v>
      </c>
      <c r="C2239" t="s">
        <v>353</v>
      </c>
      <c r="D2239" t="s">
        <v>5185</v>
      </c>
      <c r="E2239" t="s">
        <v>5184</v>
      </c>
      <c r="F2239" s="46">
        <v>46097.325884166668</v>
      </c>
      <c r="G2239" s="46">
        <v>46097.325884166668</v>
      </c>
      <c r="H2239">
        <v>0</v>
      </c>
    </row>
    <row r="2240" spans="1:8" x14ac:dyDescent="0.15">
      <c r="A2240">
        <v>2239</v>
      </c>
      <c r="B2240" t="s">
        <v>339</v>
      </c>
      <c r="C2240" t="s">
        <v>353</v>
      </c>
      <c r="D2240" t="s">
        <v>5186</v>
      </c>
      <c r="E2240" t="s">
        <v>625</v>
      </c>
      <c r="F2240" s="46">
        <v>46097.325884166668</v>
      </c>
      <c r="G2240" s="46">
        <v>46097.325884166668</v>
      </c>
      <c r="H2240">
        <v>0</v>
      </c>
    </row>
    <row r="2241" spans="1:8" x14ac:dyDescent="0.15">
      <c r="A2241">
        <v>2240</v>
      </c>
      <c r="B2241" t="s">
        <v>339</v>
      </c>
      <c r="C2241" t="s">
        <v>353</v>
      </c>
      <c r="D2241" t="s">
        <v>5187</v>
      </c>
      <c r="E2241" t="s">
        <v>626</v>
      </c>
      <c r="F2241" s="46">
        <v>46097.325884166668</v>
      </c>
      <c r="G2241" s="46">
        <v>46097.325884166668</v>
      </c>
      <c r="H2241">
        <v>0</v>
      </c>
    </row>
    <row r="2242" spans="1:8" x14ac:dyDescent="0.15">
      <c r="A2242">
        <v>2241</v>
      </c>
      <c r="B2242" t="s">
        <v>339</v>
      </c>
      <c r="C2242" t="s">
        <v>353</v>
      </c>
      <c r="D2242" t="s">
        <v>5188</v>
      </c>
      <c r="E2242" t="s">
        <v>627</v>
      </c>
      <c r="F2242" s="46">
        <v>46097.325884166668</v>
      </c>
      <c r="G2242" s="46">
        <v>46097.325884351849</v>
      </c>
      <c r="H2242">
        <v>16</v>
      </c>
    </row>
    <row r="2243" spans="1:8" x14ac:dyDescent="0.15">
      <c r="A2243">
        <v>2242</v>
      </c>
      <c r="B2243" t="s">
        <v>339</v>
      </c>
      <c r="C2243" t="s">
        <v>353</v>
      </c>
      <c r="D2243" t="s">
        <v>5189</v>
      </c>
      <c r="E2243" t="s">
        <v>627</v>
      </c>
      <c r="F2243" s="46">
        <v>46097.325884351849</v>
      </c>
      <c r="G2243" s="46">
        <v>46097.325884351849</v>
      </c>
      <c r="H2243">
        <v>0</v>
      </c>
    </row>
    <row r="2244" spans="1:8" x14ac:dyDescent="0.15">
      <c r="A2244">
        <v>2243</v>
      </c>
      <c r="B2244" t="s">
        <v>339</v>
      </c>
      <c r="C2244" t="s">
        <v>353</v>
      </c>
      <c r="D2244" t="s">
        <v>5190</v>
      </c>
      <c r="E2244" t="s">
        <v>629</v>
      </c>
      <c r="F2244" s="46">
        <v>46097.325884351849</v>
      </c>
      <c r="G2244" s="46">
        <v>46097.325884351849</v>
      </c>
      <c r="H2244">
        <v>0</v>
      </c>
    </row>
    <row r="2245" spans="1:8" x14ac:dyDescent="0.15">
      <c r="A2245">
        <v>2244</v>
      </c>
      <c r="B2245" t="s">
        <v>339</v>
      </c>
      <c r="C2245" t="s">
        <v>353</v>
      </c>
      <c r="D2245" t="s">
        <v>5191</v>
      </c>
      <c r="E2245" t="s">
        <v>630</v>
      </c>
      <c r="F2245" s="46">
        <v>46097.325884351849</v>
      </c>
      <c r="G2245" s="46">
        <v>46097.325884351849</v>
      </c>
      <c r="H2245">
        <v>0</v>
      </c>
    </row>
    <row r="2246" spans="1:8" x14ac:dyDescent="0.15">
      <c r="A2246">
        <v>2245</v>
      </c>
      <c r="B2246" t="s">
        <v>339</v>
      </c>
      <c r="C2246" t="s">
        <v>353</v>
      </c>
      <c r="D2246" t="s">
        <v>5192</v>
      </c>
      <c r="E2246" t="s">
        <v>630</v>
      </c>
      <c r="F2246" s="46">
        <v>46097.325884351849</v>
      </c>
      <c r="G2246" s="46">
        <v>46097.325884351849</v>
      </c>
      <c r="H2246">
        <v>0</v>
      </c>
    </row>
    <row r="2247" spans="1:8" x14ac:dyDescent="0.15">
      <c r="A2247">
        <v>2246</v>
      </c>
      <c r="B2247" t="s">
        <v>339</v>
      </c>
      <c r="C2247" t="s">
        <v>353</v>
      </c>
      <c r="D2247" t="s">
        <v>5193</v>
      </c>
      <c r="E2247" t="s">
        <v>631</v>
      </c>
      <c r="F2247" s="46">
        <v>46097.325884351849</v>
      </c>
      <c r="G2247" s="46">
        <v>46097.325884351849</v>
      </c>
      <c r="H2247">
        <v>0</v>
      </c>
    </row>
    <row r="2248" spans="1:8" x14ac:dyDescent="0.15">
      <c r="A2248">
        <v>2247</v>
      </c>
      <c r="B2248" t="s">
        <v>339</v>
      </c>
      <c r="C2248" t="s">
        <v>353</v>
      </c>
      <c r="D2248" t="s">
        <v>5194</v>
      </c>
      <c r="E2248" t="s">
        <v>633</v>
      </c>
      <c r="F2248" s="46">
        <v>46097.325884351849</v>
      </c>
      <c r="G2248" s="46">
        <v>46097.325884351849</v>
      </c>
      <c r="H2248">
        <v>0</v>
      </c>
    </row>
    <row r="2249" spans="1:8" x14ac:dyDescent="0.15">
      <c r="A2249">
        <v>2248</v>
      </c>
      <c r="B2249" t="s">
        <v>339</v>
      </c>
      <c r="C2249" t="s">
        <v>353</v>
      </c>
      <c r="D2249" t="s">
        <v>5195</v>
      </c>
      <c r="E2249" t="s">
        <v>636</v>
      </c>
      <c r="F2249" s="46">
        <v>46097.325884351849</v>
      </c>
      <c r="G2249" s="46">
        <v>46097.325884351849</v>
      </c>
      <c r="H2249">
        <v>0</v>
      </c>
    </row>
    <row r="2250" spans="1:8" x14ac:dyDescent="0.15">
      <c r="A2250">
        <v>2249</v>
      </c>
      <c r="B2250" t="s">
        <v>339</v>
      </c>
      <c r="C2250" t="s">
        <v>353</v>
      </c>
      <c r="D2250" t="s">
        <v>5196</v>
      </c>
      <c r="E2250" t="s">
        <v>638</v>
      </c>
      <c r="F2250" s="46">
        <v>46097.325884351849</v>
      </c>
      <c r="G2250" s="46">
        <v>46097.325884351849</v>
      </c>
      <c r="H2250">
        <v>0</v>
      </c>
    </row>
    <row r="2251" spans="1:8" x14ac:dyDescent="0.15">
      <c r="A2251">
        <v>2250</v>
      </c>
      <c r="B2251" t="s">
        <v>339</v>
      </c>
      <c r="C2251" t="s">
        <v>353</v>
      </c>
      <c r="D2251" t="s">
        <v>5197</v>
      </c>
      <c r="E2251" t="s">
        <v>640</v>
      </c>
      <c r="F2251" s="46">
        <v>46097.325884351849</v>
      </c>
      <c r="G2251" s="46">
        <v>46097.325884351849</v>
      </c>
      <c r="H2251">
        <v>0</v>
      </c>
    </row>
    <row r="2252" spans="1:8" x14ac:dyDescent="0.15">
      <c r="A2252">
        <v>2251</v>
      </c>
      <c r="B2252" t="s">
        <v>339</v>
      </c>
      <c r="C2252" t="s">
        <v>353</v>
      </c>
      <c r="D2252" t="s">
        <v>5198</v>
      </c>
      <c r="E2252" t="s">
        <v>644</v>
      </c>
      <c r="F2252" s="46">
        <v>46097.325884351849</v>
      </c>
      <c r="G2252" s="46">
        <v>46097.325884351849</v>
      </c>
      <c r="H2252">
        <v>0</v>
      </c>
    </row>
    <row r="2253" spans="1:8" x14ac:dyDescent="0.15">
      <c r="A2253">
        <v>2252</v>
      </c>
      <c r="B2253" t="s">
        <v>339</v>
      </c>
      <c r="C2253" t="s">
        <v>353</v>
      </c>
      <c r="D2253" t="s">
        <v>5199</v>
      </c>
      <c r="E2253" t="s">
        <v>648</v>
      </c>
      <c r="F2253" s="46">
        <v>46097.325884351849</v>
      </c>
      <c r="G2253" s="46">
        <v>46097.32588452546</v>
      </c>
      <c r="H2253">
        <v>16</v>
      </c>
    </row>
    <row r="2254" spans="1:8" x14ac:dyDescent="0.15">
      <c r="A2254">
        <v>2253</v>
      </c>
      <c r="B2254" t="s">
        <v>339</v>
      </c>
      <c r="C2254" t="s">
        <v>353</v>
      </c>
      <c r="D2254" t="s">
        <v>5200</v>
      </c>
      <c r="E2254" t="s">
        <v>649</v>
      </c>
      <c r="F2254" s="46">
        <v>46097.32588452546</v>
      </c>
      <c r="G2254" s="46">
        <v>46097.32588452546</v>
      </c>
      <c r="H2254">
        <v>0</v>
      </c>
    </row>
    <row r="2255" spans="1:8" x14ac:dyDescent="0.15">
      <c r="A2255">
        <v>2254</v>
      </c>
      <c r="B2255" t="s">
        <v>339</v>
      </c>
      <c r="C2255" t="s">
        <v>353</v>
      </c>
      <c r="D2255" t="s">
        <v>5201</v>
      </c>
      <c r="E2255" t="s">
        <v>649</v>
      </c>
      <c r="F2255" s="46">
        <v>46097.32588452546</v>
      </c>
      <c r="G2255" s="46">
        <v>46097.32588452546</v>
      </c>
      <c r="H2255">
        <v>0</v>
      </c>
    </row>
    <row r="2256" spans="1:8" x14ac:dyDescent="0.15">
      <c r="A2256">
        <v>2255</v>
      </c>
      <c r="B2256" t="s">
        <v>339</v>
      </c>
      <c r="C2256" t="s">
        <v>353</v>
      </c>
      <c r="D2256" t="s">
        <v>5202</v>
      </c>
      <c r="E2256" t="s">
        <v>650</v>
      </c>
      <c r="F2256" s="46">
        <v>46097.32588452546</v>
      </c>
      <c r="G2256" s="46">
        <v>46097.32588452546</v>
      </c>
      <c r="H2256">
        <v>0</v>
      </c>
    </row>
    <row r="2257" spans="1:8" x14ac:dyDescent="0.15">
      <c r="A2257">
        <v>2256</v>
      </c>
      <c r="B2257" t="s">
        <v>339</v>
      </c>
      <c r="C2257" t="s">
        <v>353</v>
      </c>
      <c r="D2257" t="s">
        <v>5203</v>
      </c>
      <c r="E2257" t="s">
        <v>651</v>
      </c>
      <c r="F2257" s="46">
        <v>46097.32588452546</v>
      </c>
      <c r="G2257" s="46">
        <v>46097.32588452546</v>
      </c>
      <c r="H2257">
        <v>0</v>
      </c>
    </row>
    <row r="2258" spans="1:8" x14ac:dyDescent="0.15">
      <c r="A2258">
        <v>2257</v>
      </c>
      <c r="B2258" t="s">
        <v>339</v>
      </c>
      <c r="C2258" t="s">
        <v>353</v>
      </c>
      <c r="D2258" t="s">
        <v>5204</v>
      </c>
      <c r="E2258" t="s">
        <v>652</v>
      </c>
      <c r="F2258" s="46">
        <v>46097.32588452546</v>
      </c>
      <c r="G2258" s="46">
        <v>46097.32588452546</v>
      </c>
      <c r="H2258">
        <v>0</v>
      </c>
    </row>
    <row r="2259" spans="1:8" x14ac:dyDescent="0.15">
      <c r="A2259">
        <v>2258</v>
      </c>
      <c r="B2259" t="s">
        <v>339</v>
      </c>
      <c r="C2259" t="s">
        <v>353</v>
      </c>
      <c r="D2259" t="s">
        <v>5205</v>
      </c>
      <c r="E2259" t="s">
        <v>652</v>
      </c>
      <c r="F2259" s="46">
        <v>46097.32588452546</v>
      </c>
      <c r="G2259" s="46">
        <v>46097.32588452546</v>
      </c>
      <c r="H2259">
        <v>0</v>
      </c>
    </row>
    <row r="2260" spans="1:8" x14ac:dyDescent="0.15">
      <c r="A2260">
        <v>2259</v>
      </c>
      <c r="B2260" t="s">
        <v>339</v>
      </c>
      <c r="C2260" t="s">
        <v>353</v>
      </c>
      <c r="D2260" t="s">
        <v>5206</v>
      </c>
      <c r="E2260" t="s">
        <v>652</v>
      </c>
      <c r="F2260" s="46">
        <v>46097.32588452546</v>
      </c>
      <c r="G2260" s="46">
        <v>46097.32588452546</v>
      </c>
      <c r="H2260">
        <v>0</v>
      </c>
    </row>
    <row r="2261" spans="1:8" x14ac:dyDescent="0.15">
      <c r="A2261">
        <v>2260</v>
      </c>
      <c r="B2261" t="s">
        <v>339</v>
      </c>
      <c r="C2261" t="s">
        <v>353</v>
      </c>
      <c r="D2261" t="s">
        <v>5207</v>
      </c>
      <c r="E2261" t="s">
        <v>657</v>
      </c>
      <c r="F2261" s="46">
        <v>46097.32588452546</v>
      </c>
      <c r="G2261" s="46">
        <v>46097.32588452546</v>
      </c>
      <c r="H2261">
        <v>0</v>
      </c>
    </row>
    <row r="2262" spans="1:8" x14ac:dyDescent="0.15">
      <c r="A2262">
        <v>2261</v>
      </c>
      <c r="B2262" t="s">
        <v>339</v>
      </c>
      <c r="C2262" t="s">
        <v>353</v>
      </c>
      <c r="D2262" t="s">
        <v>5208</v>
      </c>
      <c r="E2262" t="s">
        <v>660</v>
      </c>
      <c r="F2262" s="46">
        <v>46097.32588452546</v>
      </c>
      <c r="G2262" s="46">
        <v>46097.32588452546</v>
      </c>
      <c r="H2262">
        <v>0</v>
      </c>
    </row>
    <row r="2263" spans="1:8" x14ac:dyDescent="0.15">
      <c r="A2263">
        <v>2262</v>
      </c>
      <c r="B2263" t="s">
        <v>339</v>
      </c>
      <c r="C2263" t="s">
        <v>353</v>
      </c>
      <c r="D2263" t="s">
        <v>5209</v>
      </c>
      <c r="E2263" t="s">
        <v>5210</v>
      </c>
      <c r="F2263" s="46">
        <v>46097.32588452546</v>
      </c>
      <c r="G2263" s="46">
        <v>46097.325884710648</v>
      </c>
      <c r="H2263">
        <v>15</v>
      </c>
    </row>
    <row r="2264" spans="1:8" x14ac:dyDescent="0.15">
      <c r="A2264">
        <v>2263</v>
      </c>
      <c r="B2264" t="s">
        <v>339</v>
      </c>
      <c r="C2264" t="s">
        <v>353</v>
      </c>
      <c r="D2264" t="s">
        <v>5211</v>
      </c>
      <c r="E2264" t="s">
        <v>5210</v>
      </c>
      <c r="F2264" s="46">
        <v>46097.325884710648</v>
      </c>
      <c r="G2264" s="46">
        <v>46097.325884710648</v>
      </c>
      <c r="H2264">
        <v>0</v>
      </c>
    </row>
    <row r="2265" spans="1:8" x14ac:dyDescent="0.15">
      <c r="A2265">
        <v>2264</v>
      </c>
      <c r="B2265" t="s">
        <v>339</v>
      </c>
      <c r="C2265" t="s">
        <v>353</v>
      </c>
      <c r="D2265" t="s">
        <v>5212</v>
      </c>
      <c r="E2265" t="s">
        <v>5210</v>
      </c>
      <c r="F2265" s="46">
        <v>46097.325884710648</v>
      </c>
      <c r="G2265" s="46">
        <v>46097.325884710648</v>
      </c>
      <c r="H2265">
        <v>0</v>
      </c>
    </row>
    <row r="2266" spans="1:8" x14ac:dyDescent="0.15">
      <c r="A2266">
        <v>2265</v>
      </c>
      <c r="B2266" t="s">
        <v>339</v>
      </c>
      <c r="C2266" t="s">
        <v>353</v>
      </c>
      <c r="D2266" t="s">
        <v>5213</v>
      </c>
      <c r="E2266" t="s">
        <v>5210</v>
      </c>
      <c r="F2266" s="46">
        <v>46097.325884710648</v>
      </c>
      <c r="G2266" s="46">
        <v>46097.325884710648</v>
      </c>
      <c r="H2266">
        <v>0</v>
      </c>
    </row>
    <row r="2267" spans="1:8" x14ac:dyDescent="0.15">
      <c r="A2267">
        <v>2266</v>
      </c>
      <c r="B2267" t="s">
        <v>339</v>
      </c>
      <c r="C2267" t="s">
        <v>353</v>
      </c>
      <c r="D2267" t="s">
        <v>5214</v>
      </c>
      <c r="E2267" t="s">
        <v>662</v>
      </c>
      <c r="F2267" s="46">
        <v>46097.325884710648</v>
      </c>
      <c r="G2267" s="46">
        <v>46097.325884710648</v>
      </c>
      <c r="H2267">
        <v>0</v>
      </c>
    </row>
    <row r="2268" spans="1:8" x14ac:dyDescent="0.15">
      <c r="A2268">
        <v>2267</v>
      </c>
      <c r="B2268" t="s">
        <v>339</v>
      </c>
      <c r="C2268" t="s">
        <v>353</v>
      </c>
      <c r="D2268" t="s">
        <v>5215</v>
      </c>
      <c r="E2268" t="s">
        <v>662</v>
      </c>
      <c r="F2268" s="46">
        <v>46097.325884710648</v>
      </c>
      <c r="G2268" s="46">
        <v>46097.325884710648</v>
      </c>
      <c r="H2268">
        <v>0</v>
      </c>
    </row>
    <row r="2269" spans="1:8" x14ac:dyDescent="0.15">
      <c r="A2269">
        <v>2268</v>
      </c>
      <c r="B2269" t="s">
        <v>339</v>
      </c>
      <c r="C2269" t="s">
        <v>353</v>
      </c>
      <c r="D2269" t="s">
        <v>5216</v>
      </c>
      <c r="E2269" t="s">
        <v>662</v>
      </c>
      <c r="F2269" s="46">
        <v>46097.325884710648</v>
      </c>
      <c r="G2269" s="46">
        <v>46097.325884710648</v>
      </c>
      <c r="H2269">
        <v>0</v>
      </c>
    </row>
    <row r="2270" spans="1:8" x14ac:dyDescent="0.15">
      <c r="A2270">
        <v>2269</v>
      </c>
      <c r="B2270" t="s">
        <v>339</v>
      </c>
      <c r="C2270" t="s">
        <v>353</v>
      </c>
      <c r="D2270" t="s">
        <v>5217</v>
      </c>
      <c r="E2270" t="s">
        <v>662</v>
      </c>
      <c r="F2270" s="46">
        <v>46097.325884710648</v>
      </c>
      <c r="G2270" s="46">
        <v>46097.325884710648</v>
      </c>
      <c r="H2270">
        <v>0</v>
      </c>
    </row>
    <row r="2271" spans="1:8" x14ac:dyDescent="0.15">
      <c r="A2271">
        <v>2270</v>
      </c>
      <c r="B2271" t="s">
        <v>339</v>
      </c>
      <c r="C2271" t="s">
        <v>353</v>
      </c>
      <c r="D2271" t="s">
        <v>5218</v>
      </c>
      <c r="E2271" t="s">
        <v>663</v>
      </c>
      <c r="F2271" s="46">
        <v>46097.325884710648</v>
      </c>
      <c r="G2271" s="46">
        <v>46097.325884710648</v>
      </c>
      <c r="H2271">
        <v>0</v>
      </c>
    </row>
    <row r="2272" spans="1:8" x14ac:dyDescent="0.15">
      <c r="A2272">
        <v>2271</v>
      </c>
      <c r="B2272" t="s">
        <v>339</v>
      </c>
      <c r="C2272" t="s">
        <v>353</v>
      </c>
      <c r="D2272" t="s">
        <v>5219</v>
      </c>
      <c r="E2272" t="s">
        <v>663</v>
      </c>
      <c r="F2272" s="46">
        <v>46097.325884710648</v>
      </c>
      <c r="G2272" s="46">
        <v>46097.325884710648</v>
      </c>
      <c r="H2272">
        <v>0</v>
      </c>
    </row>
    <row r="2273" spans="1:8" x14ac:dyDescent="0.15">
      <c r="A2273">
        <v>2272</v>
      </c>
      <c r="B2273" t="s">
        <v>339</v>
      </c>
      <c r="C2273" t="s">
        <v>353</v>
      </c>
      <c r="D2273" t="s">
        <v>5220</v>
      </c>
      <c r="E2273" t="s">
        <v>663</v>
      </c>
      <c r="F2273" s="46">
        <v>46097.325884710648</v>
      </c>
      <c r="G2273" s="46">
        <v>46097.325884710648</v>
      </c>
      <c r="H2273">
        <v>0</v>
      </c>
    </row>
    <row r="2274" spans="1:8" x14ac:dyDescent="0.15">
      <c r="A2274">
        <v>2273</v>
      </c>
      <c r="B2274" t="s">
        <v>339</v>
      </c>
      <c r="C2274" t="s">
        <v>353</v>
      </c>
      <c r="D2274" t="s">
        <v>5221</v>
      </c>
      <c r="E2274" t="s">
        <v>663</v>
      </c>
      <c r="F2274" s="46">
        <v>46097.325884710648</v>
      </c>
      <c r="G2274" s="46">
        <v>46097.32588488426</v>
      </c>
      <c r="H2274">
        <v>16</v>
      </c>
    </row>
    <row r="2275" spans="1:8" x14ac:dyDescent="0.15">
      <c r="A2275">
        <v>2274</v>
      </c>
      <c r="B2275" t="s">
        <v>339</v>
      </c>
      <c r="C2275" t="s">
        <v>353</v>
      </c>
      <c r="D2275" t="s">
        <v>5222</v>
      </c>
      <c r="E2275" t="s">
        <v>663</v>
      </c>
      <c r="F2275" s="46">
        <v>46097.32588488426</v>
      </c>
      <c r="G2275" s="46">
        <v>46097.32588488426</v>
      </c>
      <c r="H2275">
        <v>0</v>
      </c>
    </row>
    <row r="2276" spans="1:8" x14ac:dyDescent="0.15">
      <c r="A2276">
        <v>2275</v>
      </c>
      <c r="B2276" t="s">
        <v>339</v>
      </c>
      <c r="C2276" t="s">
        <v>353</v>
      </c>
      <c r="D2276" t="s">
        <v>5223</v>
      </c>
      <c r="E2276" t="s">
        <v>5224</v>
      </c>
      <c r="F2276" s="46">
        <v>46097.32588488426</v>
      </c>
      <c r="G2276" s="46">
        <v>46097.32588488426</v>
      </c>
      <c r="H2276">
        <v>0</v>
      </c>
    </row>
    <row r="2277" spans="1:8" x14ac:dyDescent="0.15">
      <c r="A2277">
        <v>2276</v>
      </c>
      <c r="B2277" t="s">
        <v>339</v>
      </c>
      <c r="C2277" t="s">
        <v>353</v>
      </c>
      <c r="D2277" t="s">
        <v>5225</v>
      </c>
      <c r="E2277" t="s">
        <v>5226</v>
      </c>
      <c r="F2277" s="46">
        <v>46097.32588488426</v>
      </c>
      <c r="G2277" s="46">
        <v>46097.32588488426</v>
      </c>
      <c r="H2277">
        <v>0</v>
      </c>
    </row>
    <row r="2278" spans="1:8" x14ac:dyDescent="0.15">
      <c r="A2278">
        <v>2277</v>
      </c>
      <c r="B2278" t="s">
        <v>339</v>
      </c>
      <c r="C2278" t="s">
        <v>353</v>
      </c>
      <c r="D2278" t="s">
        <v>5227</v>
      </c>
      <c r="E2278" t="s">
        <v>664</v>
      </c>
      <c r="F2278" s="46">
        <v>46097.32588488426</v>
      </c>
      <c r="G2278" s="46">
        <v>46097.32588488426</v>
      </c>
      <c r="H2278">
        <v>0</v>
      </c>
    </row>
    <row r="2279" spans="1:8" x14ac:dyDescent="0.15">
      <c r="A2279">
        <v>2278</v>
      </c>
      <c r="B2279" t="s">
        <v>339</v>
      </c>
      <c r="C2279" t="s">
        <v>353</v>
      </c>
      <c r="D2279" t="s">
        <v>5228</v>
      </c>
      <c r="E2279" t="s">
        <v>664</v>
      </c>
      <c r="F2279" s="46">
        <v>46097.32588488426</v>
      </c>
      <c r="G2279" s="46">
        <v>46097.32588488426</v>
      </c>
      <c r="H2279">
        <v>0</v>
      </c>
    </row>
    <row r="2280" spans="1:8" x14ac:dyDescent="0.15">
      <c r="A2280">
        <v>2279</v>
      </c>
      <c r="B2280" t="s">
        <v>339</v>
      </c>
      <c r="C2280" t="s">
        <v>353</v>
      </c>
      <c r="D2280" t="s">
        <v>5229</v>
      </c>
      <c r="E2280" t="s">
        <v>5230</v>
      </c>
      <c r="F2280" s="46">
        <v>46097.32588488426</v>
      </c>
      <c r="G2280" s="46">
        <v>46097.32588488426</v>
      </c>
      <c r="H2280">
        <v>0</v>
      </c>
    </row>
    <row r="2281" spans="1:8" x14ac:dyDescent="0.15">
      <c r="A2281">
        <v>2280</v>
      </c>
      <c r="B2281" t="s">
        <v>339</v>
      </c>
      <c r="C2281" t="s">
        <v>353</v>
      </c>
      <c r="D2281" t="s">
        <v>5231</v>
      </c>
      <c r="E2281" t="s">
        <v>5230</v>
      </c>
      <c r="F2281" s="46">
        <v>46097.32588488426</v>
      </c>
      <c r="G2281" s="46">
        <v>46097.32588488426</v>
      </c>
      <c r="H2281">
        <v>0</v>
      </c>
    </row>
    <row r="2282" spans="1:8" x14ac:dyDescent="0.15">
      <c r="A2282">
        <v>2281</v>
      </c>
      <c r="B2282" t="s">
        <v>339</v>
      </c>
      <c r="C2282" t="s">
        <v>353</v>
      </c>
      <c r="D2282" t="s">
        <v>5232</v>
      </c>
      <c r="E2282" t="s">
        <v>665</v>
      </c>
      <c r="F2282" s="46">
        <v>46097.32588488426</v>
      </c>
      <c r="G2282" s="46">
        <v>46097.32588488426</v>
      </c>
      <c r="H2282">
        <v>0</v>
      </c>
    </row>
    <row r="2283" spans="1:8" x14ac:dyDescent="0.15">
      <c r="A2283">
        <v>2282</v>
      </c>
      <c r="B2283" t="s">
        <v>339</v>
      </c>
      <c r="C2283" t="s">
        <v>353</v>
      </c>
      <c r="D2283" t="s">
        <v>5233</v>
      </c>
      <c r="E2283" t="s">
        <v>665</v>
      </c>
      <c r="F2283" s="46">
        <v>46097.32588488426</v>
      </c>
      <c r="G2283" s="46">
        <v>46097.32588488426</v>
      </c>
      <c r="H2283">
        <v>0</v>
      </c>
    </row>
    <row r="2284" spans="1:8" x14ac:dyDescent="0.15">
      <c r="A2284">
        <v>2283</v>
      </c>
      <c r="B2284" t="s">
        <v>339</v>
      </c>
      <c r="C2284" t="s">
        <v>353</v>
      </c>
      <c r="D2284" t="s">
        <v>5234</v>
      </c>
      <c r="E2284" t="s">
        <v>665</v>
      </c>
      <c r="F2284" s="46">
        <v>46097.32588488426</v>
      </c>
      <c r="G2284" s="46">
        <v>46097.325885069447</v>
      </c>
      <c r="H2284">
        <v>16</v>
      </c>
    </row>
    <row r="2285" spans="1:8" x14ac:dyDescent="0.15">
      <c r="A2285">
        <v>2284</v>
      </c>
      <c r="B2285" t="s">
        <v>339</v>
      </c>
      <c r="C2285" t="s">
        <v>353</v>
      </c>
      <c r="D2285" t="s">
        <v>5235</v>
      </c>
      <c r="E2285" t="s">
        <v>5236</v>
      </c>
      <c r="F2285" s="46">
        <v>46097.325885069447</v>
      </c>
      <c r="G2285" s="46">
        <v>46097.325885069447</v>
      </c>
      <c r="H2285">
        <v>0</v>
      </c>
    </row>
    <row r="2286" spans="1:8" x14ac:dyDescent="0.15">
      <c r="A2286">
        <v>2285</v>
      </c>
      <c r="B2286" t="s">
        <v>339</v>
      </c>
      <c r="C2286" t="s">
        <v>353</v>
      </c>
      <c r="D2286" t="s">
        <v>5237</v>
      </c>
      <c r="E2286" t="s">
        <v>5236</v>
      </c>
      <c r="F2286" s="46">
        <v>46097.325885069447</v>
      </c>
      <c r="G2286" s="46">
        <v>46097.325885069447</v>
      </c>
      <c r="H2286">
        <v>0</v>
      </c>
    </row>
    <row r="2287" spans="1:8" x14ac:dyDescent="0.15">
      <c r="A2287">
        <v>2286</v>
      </c>
      <c r="B2287" t="s">
        <v>339</v>
      </c>
      <c r="C2287" t="s">
        <v>353</v>
      </c>
      <c r="D2287" t="s">
        <v>5238</v>
      </c>
      <c r="E2287" t="s">
        <v>5236</v>
      </c>
      <c r="F2287" s="46">
        <v>46097.325885069447</v>
      </c>
      <c r="G2287" s="46">
        <v>46097.325885069447</v>
      </c>
      <c r="H2287">
        <v>0</v>
      </c>
    </row>
    <row r="2288" spans="1:8" x14ac:dyDescent="0.15">
      <c r="A2288">
        <v>2287</v>
      </c>
      <c r="B2288" t="s">
        <v>339</v>
      </c>
      <c r="C2288" t="s">
        <v>353</v>
      </c>
      <c r="D2288" t="s">
        <v>5239</v>
      </c>
      <c r="E2288" t="s">
        <v>5240</v>
      </c>
      <c r="F2288" s="46">
        <v>46097.325885069447</v>
      </c>
      <c r="G2288" s="46">
        <v>46097.325885069447</v>
      </c>
      <c r="H2288">
        <v>0</v>
      </c>
    </row>
    <row r="2289" spans="1:8" x14ac:dyDescent="0.15">
      <c r="A2289">
        <v>2288</v>
      </c>
      <c r="B2289" t="s">
        <v>339</v>
      </c>
      <c r="C2289" t="s">
        <v>353</v>
      </c>
      <c r="D2289" t="s">
        <v>5241</v>
      </c>
      <c r="E2289" t="s">
        <v>5240</v>
      </c>
      <c r="F2289" s="46">
        <v>46097.325885069447</v>
      </c>
      <c r="G2289" s="46">
        <v>46097.325885069447</v>
      </c>
      <c r="H2289">
        <v>0</v>
      </c>
    </row>
    <row r="2290" spans="1:8" x14ac:dyDescent="0.15">
      <c r="A2290">
        <v>2289</v>
      </c>
      <c r="B2290" t="s">
        <v>339</v>
      </c>
      <c r="C2290" t="s">
        <v>353</v>
      </c>
      <c r="D2290" t="s">
        <v>5242</v>
      </c>
      <c r="E2290" t="s">
        <v>5243</v>
      </c>
      <c r="F2290" s="46">
        <v>46097.325885069447</v>
      </c>
      <c r="G2290" s="46">
        <v>46097.325885069447</v>
      </c>
      <c r="H2290">
        <v>0</v>
      </c>
    </row>
    <row r="2291" spans="1:8" x14ac:dyDescent="0.15">
      <c r="A2291">
        <v>2290</v>
      </c>
      <c r="B2291" t="s">
        <v>339</v>
      </c>
      <c r="C2291" t="s">
        <v>353</v>
      </c>
      <c r="D2291" t="s">
        <v>5244</v>
      </c>
      <c r="E2291" t="s">
        <v>5245</v>
      </c>
      <c r="F2291" s="46">
        <v>46097.325885069447</v>
      </c>
      <c r="G2291" s="46">
        <v>46097.325885069447</v>
      </c>
      <c r="H2291">
        <v>0</v>
      </c>
    </row>
    <row r="2292" spans="1:8" x14ac:dyDescent="0.15">
      <c r="A2292">
        <v>2291</v>
      </c>
      <c r="B2292" t="s">
        <v>339</v>
      </c>
      <c r="C2292" t="s">
        <v>353</v>
      </c>
      <c r="D2292" t="s">
        <v>5246</v>
      </c>
      <c r="E2292" t="s">
        <v>5245</v>
      </c>
      <c r="F2292" s="46">
        <v>46097.325885069447</v>
      </c>
      <c r="G2292" s="46">
        <v>46097.325885069447</v>
      </c>
      <c r="H2292">
        <v>0</v>
      </c>
    </row>
    <row r="2293" spans="1:8" x14ac:dyDescent="0.15">
      <c r="A2293">
        <v>2292</v>
      </c>
      <c r="B2293" t="s">
        <v>339</v>
      </c>
      <c r="C2293" t="s">
        <v>353</v>
      </c>
      <c r="D2293" t="s">
        <v>5247</v>
      </c>
      <c r="E2293" t="s">
        <v>5245</v>
      </c>
      <c r="F2293" s="46">
        <v>46097.325885069447</v>
      </c>
      <c r="G2293" s="46">
        <v>46097.325885069447</v>
      </c>
      <c r="H2293">
        <v>0</v>
      </c>
    </row>
    <row r="2294" spans="1:8" x14ac:dyDescent="0.15">
      <c r="A2294">
        <v>2293</v>
      </c>
      <c r="B2294" t="s">
        <v>339</v>
      </c>
      <c r="C2294" t="s">
        <v>353</v>
      </c>
      <c r="D2294" t="s">
        <v>5248</v>
      </c>
      <c r="E2294" t="s">
        <v>5245</v>
      </c>
      <c r="F2294" s="46">
        <v>46097.325885069447</v>
      </c>
      <c r="G2294" s="46">
        <v>46097.325885254628</v>
      </c>
      <c r="H2294">
        <v>15</v>
      </c>
    </row>
    <row r="2295" spans="1:8" x14ac:dyDescent="0.15">
      <c r="A2295">
        <v>2294</v>
      </c>
      <c r="B2295" t="s">
        <v>339</v>
      </c>
      <c r="C2295" t="s">
        <v>353</v>
      </c>
      <c r="D2295" t="s">
        <v>5249</v>
      </c>
      <c r="E2295" t="s">
        <v>5245</v>
      </c>
      <c r="F2295" s="46">
        <v>46097.325885254628</v>
      </c>
      <c r="G2295" s="46">
        <v>46097.325885254628</v>
      </c>
      <c r="H2295">
        <v>0</v>
      </c>
    </row>
    <row r="2296" spans="1:8" x14ac:dyDescent="0.15">
      <c r="A2296">
        <v>2295</v>
      </c>
      <c r="B2296" t="s">
        <v>339</v>
      </c>
      <c r="C2296" t="s">
        <v>353</v>
      </c>
      <c r="D2296" t="s">
        <v>5250</v>
      </c>
      <c r="E2296" t="s">
        <v>5245</v>
      </c>
      <c r="F2296" s="46">
        <v>46097.325885254628</v>
      </c>
      <c r="G2296" s="46">
        <v>46097.325885254628</v>
      </c>
      <c r="H2296">
        <v>0</v>
      </c>
    </row>
    <row r="2297" spans="1:8" x14ac:dyDescent="0.15">
      <c r="A2297">
        <v>2296</v>
      </c>
      <c r="B2297" t="s">
        <v>339</v>
      </c>
      <c r="C2297" t="s">
        <v>353</v>
      </c>
      <c r="D2297" t="s">
        <v>5251</v>
      </c>
      <c r="E2297" t="s">
        <v>5245</v>
      </c>
      <c r="F2297" s="46">
        <v>46097.325885254628</v>
      </c>
      <c r="G2297" s="46">
        <v>46097.325885254628</v>
      </c>
      <c r="H2297">
        <v>0</v>
      </c>
    </row>
    <row r="2298" spans="1:8" x14ac:dyDescent="0.15">
      <c r="A2298">
        <v>2297</v>
      </c>
      <c r="B2298" t="s">
        <v>339</v>
      </c>
      <c r="C2298" t="s">
        <v>353</v>
      </c>
      <c r="D2298" t="s">
        <v>5252</v>
      </c>
      <c r="E2298" t="s">
        <v>5253</v>
      </c>
      <c r="F2298" s="46">
        <v>46097.325885254628</v>
      </c>
      <c r="G2298" s="46">
        <v>46097.325885254628</v>
      </c>
      <c r="H2298">
        <v>0</v>
      </c>
    </row>
    <row r="2299" spans="1:8" x14ac:dyDescent="0.15">
      <c r="A2299">
        <v>2298</v>
      </c>
      <c r="B2299" t="s">
        <v>339</v>
      </c>
      <c r="C2299" t="s">
        <v>353</v>
      </c>
      <c r="D2299" t="s">
        <v>5254</v>
      </c>
      <c r="E2299" t="s">
        <v>5255</v>
      </c>
      <c r="F2299" s="46">
        <v>46097.325885254628</v>
      </c>
      <c r="G2299" s="46">
        <v>46097.325885254628</v>
      </c>
      <c r="H2299">
        <v>0</v>
      </c>
    </row>
    <row r="2300" spans="1:8" x14ac:dyDescent="0.15">
      <c r="A2300">
        <v>2299</v>
      </c>
      <c r="B2300" t="s">
        <v>339</v>
      </c>
      <c r="C2300" t="s">
        <v>353</v>
      </c>
      <c r="D2300" t="s">
        <v>5256</v>
      </c>
      <c r="E2300" t="s">
        <v>5257</v>
      </c>
      <c r="F2300" s="46">
        <v>46097.325885254628</v>
      </c>
      <c r="G2300" s="46">
        <v>46097.325885254628</v>
      </c>
      <c r="H2300">
        <v>0</v>
      </c>
    </row>
    <row r="2301" spans="1:8" x14ac:dyDescent="0.15">
      <c r="A2301">
        <v>2300</v>
      </c>
      <c r="B2301" t="s">
        <v>339</v>
      </c>
      <c r="C2301" t="s">
        <v>353</v>
      </c>
      <c r="D2301" t="s">
        <v>5258</v>
      </c>
      <c r="E2301" t="s">
        <v>5257</v>
      </c>
      <c r="F2301" s="46">
        <v>46097.325885254628</v>
      </c>
      <c r="G2301" s="46">
        <v>46097.325885254628</v>
      </c>
      <c r="H2301">
        <v>0</v>
      </c>
    </row>
    <row r="2302" spans="1:8" x14ac:dyDescent="0.15">
      <c r="A2302">
        <v>2301</v>
      </c>
      <c r="B2302" t="s">
        <v>339</v>
      </c>
      <c r="C2302" t="s">
        <v>353</v>
      </c>
      <c r="D2302" t="s">
        <v>5259</v>
      </c>
      <c r="E2302" t="s">
        <v>668</v>
      </c>
      <c r="F2302" s="46">
        <v>46097.325885254628</v>
      </c>
      <c r="G2302" s="46">
        <v>46097.325885254628</v>
      </c>
      <c r="H2302">
        <v>0</v>
      </c>
    </row>
    <row r="2303" spans="1:8" x14ac:dyDescent="0.15">
      <c r="A2303">
        <v>2302</v>
      </c>
      <c r="B2303" t="s">
        <v>339</v>
      </c>
      <c r="C2303" t="s">
        <v>353</v>
      </c>
      <c r="D2303" t="s">
        <v>5260</v>
      </c>
      <c r="E2303" t="s">
        <v>668</v>
      </c>
      <c r="F2303" s="46">
        <v>46097.325885254628</v>
      </c>
      <c r="G2303" s="46">
        <v>46097.325885254628</v>
      </c>
      <c r="H2303">
        <v>0</v>
      </c>
    </row>
    <row r="2304" spans="1:8" x14ac:dyDescent="0.15">
      <c r="A2304">
        <v>2303</v>
      </c>
      <c r="B2304" t="s">
        <v>339</v>
      </c>
      <c r="C2304" t="s">
        <v>353</v>
      </c>
      <c r="D2304" t="s">
        <v>5261</v>
      </c>
      <c r="E2304" t="s">
        <v>5262</v>
      </c>
      <c r="F2304" s="46">
        <v>46097.325885254628</v>
      </c>
      <c r="G2304" s="46">
        <v>46097.325885428239</v>
      </c>
      <c r="H2304">
        <v>16</v>
      </c>
    </row>
    <row r="2305" spans="1:8" x14ac:dyDescent="0.15">
      <c r="A2305">
        <v>2304</v>
      </c>
      <c r="B2305" t="s">
        <v>339</v>
      </c>
      <c r="C2305" t="s">
        <v>353</v>
      </c>
      <c r="D2305" t="s">
        <v>5263</v>
      </c>
      <c r="E2305" t="s">
        <v>5264</v>
      </c>
      <c r="F2305" s="46">
        <v>46097.325885428239</v>
      </c>
      <c r="G2305" s="46">
        <v>46097.325885428239</v>
      </c>
      <c r="H2305">
        <v>0</v>
      </c>
    </row>
    <row r="2306" spans="1:8" x14ac:dyDescent="0.15">
      <c r="A2306">
        <v>2305</v>
      </c>
      <c r="B2306" t="s">
        <v>339</v>
      </c>
      <c r="C2306" t="s">
        <v>353</v>
      </c>
      <c r="D2306" t="s">
        <v>5265</v>
      </c>
      <c r="E2306" t="s">
        <v>5266</v>
      </c>
      <c r="F2306" s="46">
        <v>46097.325885428239</v>
      </c>
      <c r="G2306" s="46">
        <v>46097.325885428239</v>
      </c>
      <c r="H2306">
        <v>0</v>
      </c>
    </row>
    <row r="2307" spans="1:8" x14ac:dyDescent="0.15">
      <c r="A2307">
        <v>2306</v>
      </c>
      <c r="B2307" t="s">
        <v>339</v>
      </c>
      <c r="C2307" t="s">
        <v>353</v>
      </c>
      <c r="D2307" t="s">
        <v>5267</v>
      </c>
      <c r="E2307" t="s">
        <v>5266</v>
      </c>
      <c r="F2307" s="46">
        <v>46097.325885428239</v>
      </c>
      <c r="G2307" s="46">
        <v>46097.325885428239</v>
      </c>
      <c r="H2307">
        <v>0</v>
      </c>
    </row>
    <row r="2308" spans="1:8" x14ac:dyDescent="0.15">
      <c r="A2308">
        <v>2307</v>
      </c>
      <c r="B2308" t="s">
        <v>339</v>
      </c>
      <c r="C2308" t="s">
        <v>353</v>
      </c>
      <c r="D2308" t="s">
        <v>5268</v>
      </c>
      <c r="E2308" t="s">
        <v>5266</v>
      </c>
      <c r="F2308" s="46">
        <v>46097.325885428239</v>
      </c>
      <c r="G2308" s="46">
        <v>46097.325885428239</v>
      </c>
      <c r="H2308">
        <v>0</v>
      </c>
    </row>
    <row r="2309" spans="1:8" x14ac:dyDescent="0.15">
      <c r="A2309">
        <v>2308</v>
      </c>
      <c r="B2309" t="s">
        <v>339</v>
      </c>
      <c r="C2309" t="s">
        <v>353</v>
      </c>
      <c r="D2309" t="s">
        <v>5269</v>
      </c>
      <c r="E2309" t="s">
        <v>5266</v>
      </c>
      <c r="F2309" s="46">
        <v>46097.325885428239</v>
      </c>
      <c r="G2309" s="46">
        <v>46097.325885428239</v>
      </c>
      <c r="H2309">
        <v>0</v>
      </c>
    </row>
    <row r="2310" spans="1:8" x14ac:dyDescent="0.15">
      <c r="A2310">
        <v>2309</v>
      </c>
      <c r="B2310" t="s">
        <v>339</v>
      </c>
      <c r="C2310" t="s">
        <v>353</v>
      </c>
      <c r="D2310" t="s">
        <v>5270</v>
      </c>
      <c r="E2310" t="s">
        <v>670</v>
      </c>
      <c r="F2310" s="46">
        <v>46097.325885428239</v>
      </c>
      <c r="G2310" s="46">
        <v>46097.325885428239</v>
      </c>
      <c r="H2310">
        <v>0</v>
      </c>
    </row>
    <row r="2311" spans="1:8" x14ac:dyDescent="0.15">
      <c r="A2311">
        <v>2310</v>
      </c>
      <c r="B2311" t="s">
        <v>339</v>
      </c>
      <c r="C2311" t="s">
        <v>353</v>
      </c>
      <c r="D2311" t="s">
        <v>5271</v>
      </c>
      <c r="E2311" t="s">
        <v>670</v>
      </c>
      <c r="F2311" s="46">
        <v>46097.325885428239</v>
      </c>
      <c r="G2311" s="46">
        <v>46097.325885428239</v>
      </c>
      <c r="H2311">
        <v>0</v>
      </c>
    </row>
    <row r="2312" spans="1:8" x14ac:dyDescent="0.15">
      <c r="A2312">
        <v>2311</v>
      </c>
      <c r="B2312" t="s">
        <v>339</v>
      </c>
      <c r="C2312" t="s">
        <v>353</v>
      </c>
      <c r="D2312" t="s">
        <v>5272</v>
      </c>
      <c r="E2312" t="s">
        <v>5273</v>
      </c>
      <c r="F2312" s="46">
        <v>46097.325885428239</v>
      </c>
      <c r="G2312" s="46">
        <v>46097.325885428239</v>
      </c>
      <c r="H2312">
        <v>0</v>
      </c>
    </row>
    <row r="2313" spans="1:8" x14ac:dyDescent="0.15">
      <c r="A2313">
        <v>2312</v>
      </c>
      <c r="B2313" t="s">
        <v>339</v>
      </c>
      <c r="C2313" t="s">
        <v>353</v>
      </c>
      <c r="D2313" t="s">
        <v>5274</v>
      </c>
      <c r="E2313" t="s">
        <v>5275</v>
      </c>
      <c r="F2313" s="46">
        <v>46097.325885428239</v>
      </c>
      <c r="G2313" s="46">
        <v>46097.325885428239</v>
      </c>
      <c r="H2313">
        <v>0</v>
      </c>
    </row>
    <row r="2314" spans="1:8" x14ac:dyDescent="0.15">
      <c r="A2314">
        <v>2313</v>
      </c>
      <c r="B2314" t="s">
        <v>339</v>
      </c>
      <c r="C2314" t="s">
        <v>353</v>
      </c>
      <c r="D2314" t="s">
        <v>5276</v>
      </c>
      <c r="E2314" t="s">
        <v>5275</v>
      </c>
      <c r="F2314" s="46">
        <v>46097.325885613427</v>
      </c>
      <c r="G2314" s="46">
        <v>46097.325885613427</v>
      </c>
      <c r="H2314">
        <v>0</v>
      </c>
    </row>
    <row r="2315" spans="1:8" x14ac:dyDescent="0.15">
      <c r="A2315">
        <v>2314</v>
      </c>
      <c r="B2315" t="s">
        <v>339</v>
      </c>
      <c r="C2315" t="s">
        <v>353</v>
      </c>
      <c r="D2315" t="s">
        <v>5277</v>
      </c>
      <c r="E2315" t="s">
        <v>5278</v>
      </c>
      <c r="F2315" s="46">
        <v>46097.325885613427</v>
      </c>
      <c r="G2315" s="46">
        <v>46097.325885613427</v>
      </c>
      <c r="H2315">
        <v>0</v>
      </c>
    </row>
    <row r="2316" spans="1:8" x14ac:dyDescent="0.15">
      <c r="A2316">
        <v>2315</v>
      </c>
      <c r="B2316" t="s">
        <v>339</v>
      </c>
      <c r="C2316" t="s">
        <v>353</v>
      </c>
      <c r="D2316" t="s">
        <v>5279</v>
      </c>
      <c r="E2316" t="s">
        <v>5278</v>
      </c>
      <c r="F2316" s="46">
        <v>46097.325885613427</v>
      </c>
      <c r="G2316" s="46">
        <v>46097.325885613427</v>
      </c>
      <c r="H2316">
        <v>0</v>
      </c>
    </row>
    <row r="2317" spans="1:8" x14ac:dyDescent="0.15">
      <c r="A2317">
        <v>2316</v>
      </c>
      <c r="B2317" t="s">
        <v>339</v>
      </c>
      <c r="C2317" t="s">
        <v>353</v>
      </c>
      <c r="D2317" t="s">
        <v>5280</v>
      </c>
      <c r="E2317" t="s">
        <v>5281</v>
      </c>
      <c r="F2317" s="46">
        <v>46097.325885613427</v>
      </c>
      <c r="G2317" s="46">
        <v>46097.325885613427</v>
      </c>
      <c r="H2317">
        <v>0</v>
      </c>
    </row>
    <row r="2318" spans="1:8" x14ac:dyDescent="0.15">
      <c r="A2318">
        <v>2317</v>
      </c>
      <c r="B2318" t="s">
        <v>339</v>
      </c>
      <c r="C2318" t="s">
        <v>353</v>
      </c>
      <c r="D2318" t="s">
        <v>5282</v>
      </c>
      <c r="E2318" t="s">
        <v>5283</v>
      </c>
      <c r="F2318" s="46">
        <v>46097.325885613427</v>
      </c>
      <c r="G2318" s="46">
        <v>46097.325885613427</v>
      </c>
      <c r="H2318">
        <v>0</v>
      </c>
    </row>
    <row r="2319" spans="1:8" x14ac:dyDescent="0.15">
      <c r="A2319">
        <v>2318</v>
      </c>
      <c r="B2319" t="s">
        <v>339</v>
      </c>
      <c r="C2319" t="s">
        <v>353</v>
      </c>
      <c r="D2319" t="s">
        <v>5284</v>
      </c>
      <c r="E2319" t="s">
        <v>5283</v>
      </c>
      <c r="F2319" s="46">
        <v>46097.325885613427</v>
      </c>
      <c r="G2319" s="46">
        <v>46097.325885613427</v>
      </c>
      <c r="H2319">
        <v>0</v>
      </c>
    </row>
    <row r="2320" spans="1:8" x14ac:dyDescent="0.15">
      <c r="A2320">
        <v>2319</v>
      </c>
      <c r="B2320" t="s">
        <v>339</v>
      </c>
      <c r="C2320" t="s">
        <v>353</v>
      </c>
      <c r="D2320" t="s">
        <v>5285</v>
      </c>
      <c r="E2320" t="s">
        <v>5286</v>
      </c>
      <c r="F2320" s="46">
        <v>46097.325885613427</v>
      </c>
      <c r="G2320" s="46">
        <v>46097.325885613427</v>
      </c>
      <c r="H2320">
        <v>0</v>
      </c>
    </row>
    <row r="2321" spans="1:8" x14ac:dyDescent="0.15">
      <c r="A2321">
        <v>2320</v>
      </c>
      <c r="B2321" t="s">
        <v>339</v>
      </c>
      <c r="C2321" t="s">
        <v>353</v>
      </c>
      <c r="D2321" t="s">
        <v>5287</v>
      </c>
      <c r="E2321" t="s">
        <v>5286</v>
      </c>
      <c r="F2321" s="46">
        <v>46097.325885613427</v>
      </c>
      <c r="G2321" s="46">
        <v>46097.325885613427</v>
      </c>
      <c r="H2321">
        <v>0</v>
      </c>
    </row>
    <row r="2322" spans="1:8" x14ac:dyDescent="0.15">
      <c r="A2322">
        <v>2321</v>
      </c>
      <c r="B2322" t="s">
        <v>339</v>
      </c>
      <c r="C2322" t="s">
        <v>353</v>
      </c>
      <c r="D2322" t="s">
        <v>5288</v>
      </c>
      <c r="E2322" t="s">
        <v>5286</v>
      </c>
      <c r="F2322" s="46">
        <v>46097.325885613427</v>
      </c>
      <c r="G2322" s="46">
        <v>46097.325885613427</v>
      </c>
      <c r="H2322">
        <v>0</v>
      </c>
    </row>
    <row r="2323" spans="1:8" x14ac:dyDescent="0.15">
      <c r="A2323">
        <v>2322</v>
      </c>
      <c r="B2323" t="s">
        <v>339</v>
      </c>
      <c r="C2323" t="s">
        <v>353</v>
      </c>
      <c r="D2323" t="s">
        <v>5289</v>
      </c>
      <c r="E2323" t="s">
        <v>5286</v>
      </c>
      <c r="F2323" s="46">
        <v>46097.325885613427</v>
      </c>
      <c r="G2323" s="46">
        <v>46097.325885613427</v>
      </c>
      <c r="H2323">
        <v>0</v>
      </c>
    </row>
    <row r="2324" spans="1:8" x14ac:dyDescent="0.15">
      <c r="A2324">
        <v>2323</v>
      </c>
      <c r="B2324" t="s">
        <v>339</v>
      </c>
      <c r="C2324" t="s">
        <v>353</v>
      </c>
      <c r="D2324" t="s">
        <v>5290</v>
      </c>
      <c r="E2324" t="s">
        <v>5291</v>
      </c>
      <c r="F2324" s="46">
        <v>46097.325885613427</v>
      </c>
      <c r="G2324" s="46">
        <v>46097.325885798607</v>
      </c>
      <c r="H2324">
        <v>16</v>
      </c>
    </row>
    <row r="2325" spans="1:8" x14ac:dyDescent="0.15">
      <c r="A2325">
        <v>2324</v>
      </c>
      <c r="B2325" t="s">
        <v>339</v>
      </c>
      <c r="C2325" t="s">
        <v>353</v>
      </c>
      <c r="D2325" t="s">
        <v>5292</v>
      </c>
      <c r="E2325" t="s">
        <v>5293</v>
      </c>
      <c r="F2325" s="46">
        <v>46097.325885798607</v>
      </c>
      <c r="G2325" s="46">
        <v>46097.325885798607</v>
      </c>
      <c r="H2325">
        <v>0</v>
      </c>
    </row>
    <row r="2326" spans="1:8" x14ac:dyDescent="0.15">
      <c r="A2326">
        <v>2325</v>
      </c>
      <c r="B2326" t="s">
        <v>339</v>
      </c>
      <c r="C2326" t="s">
        <v>353</v>
      </c>
      <c r="D2326" t="s">
        <v>5294</v>
      </c>
      <c r="E2326" t="s">
        <v>5293</v>
      </c>
      <c r="F2326" s="46">
        <v>46097.325885798607</v>
      </c>
      <c r="G2326" s="46">
        <v>46097.325885798607</v>
      </c>
      <c r="H2326">
        <v>0</v>
      </c>
    </row>
    <row r="2327" spans="1:8" x14ac:dyDescent="0.15">
      <c r="A2327">
        <v>2326</v>
      </c>
      <c r="B2327" t="s">
        <v>339</v>
      </c>
      <c r="C2327" t="s">
        <v>353</v>
      </c>
      <c r="D2327" t="s">
        <v>5295</v>
      </c>
      <c r="E2327" t="s">
        <v>5293</v>
      </c>
      <c r="F2327" s="46">
        <v>46097.325885798607</v>
      </c>
      <c r="G2327" s="46">
        <v>46097.325885798607</v>
      </c>
      <c r="H2327">
        <v>0</v>
      </c>
    </row>
    <row r="2328" spans="1:8" x14ac:dyDescent="0.15">
      <c r="A2328">
        <v>2327</v>
      </c>
      <c r="B2328" t="s">
        <v>339</v>
      </c>
      <c r="C2328" t="s">
        <v>353</v>
      </c>
      <c r="D2328" t="s">
        <v>5296</v>
      </c>
      <c r="E2328" t="s">
        <v>5293</v>
      </c>
      <c r="F2328" s="46">
        <v>46097.325885798607</v>
      </c>
      <c r="G2328" s="46">
        <v>46097.325885798607</v>
      </c>
      <c r="H2328">
        <v>0</v>
      </c>
    </row>
    <row r="2329" spans="1:8" x14ac:dyDescent="0.15">
      <c r="A2329">
        <v>2328</v>
      </c>
      <c r="B2329" t="s">
        <v>339</v>
      </c>
      <c r="C2329" t="s">
        <v>353</v>
      </c>
      <c r="D2329" t="s">
        <v>5297</v>
      </c>
      <c r="E2329" t="s">
        <v>672</v>
      </c>
      <c r="F2329" s="46">
        <v>46097.325885798607</v>
      </c>
      <c r="G2329" s="46">
        <v>46097.325885798607</v>
      </c>
      <c r="H2329">
        <v>0</v>
      </c>
    </row>
    <row r="2330" spans="1:8" x14ac:dyDescent="0.15">
      <c r="A2330">
        <v>2329</v>
      </c>
      <c r="B2330" t="s">
        <v>339</v>
      </c>
      <c r="C2330" t="s">
        <v>353</v>
      </c>
      <c r="D2330" t="s">
        <v>5298</v>
      </c>
      <c r="E2330" t="s">
        <v>5299</v>
      </c>
      <c r="F2330" s="46">
        <v>46097.325885798607</v>
      </c>
      <c r="G2330" s="46">
        <v>46097.325885798607</v>
      </c>
      <c r="H2330">
        <v>0</v>
      </c>
    </row>
    <row r="2331" spans="1:8" x14ac:dyDescent="0.15">
      <c r="A2331">
        <v>2330</v>
      </c>
      <c r="B2331" t="s">
        <v>339</v>
      </c>
      <c r="C2331" t="s">
        <v>353</v>
      </c>
      <c r="D2331" t="s">
        <v>5300</v>
      </c>
      <c r="E2331" t="s">
        <v>5299</v>
      </c>
      <c r="F2331" s="46">
        <v>46097.325885798607</v>
      </c>
      <c r="G2331" s="46">
        <v>46097.325885798607</v>
      </c>
      <c r="H2331">
        <v>0</v>
      </c>
    </row>
    <row r="2332" spans="1:8" x14ac:dyDescent="0.15">
      <c r="A2332">
        <v>2331</v>
      </c>
      <c r="B2332" t="s">
        <v>339</v>
      </c>
      <c r="C2332" t="s">
        <v>353</v>
      </c>
      <c r="D2332" t="s">
        <v>5301</v>
      </c>
      <c r="E2332" t="s">
        <v>5299</v>
      </c>
      <c r="F2332" s="46">
        <v>46097.325885798607</v>
      </c>
      <c r="G2332" s="46">
        <v>46097.325885798607</v>
      </c>
      <c r="H2332">
        <v>0</v>
      </c>
    </row>
    <row r="2333" spans="1:8" x14ac:dyDescent="0.15">
      <c r="A2333">
        <v>2332</v>
      </c>
      <c r="B2333" t="s">
        <v>339</v>
      </c>
      <c r="C2333" t="s">
        <v>353</v>
      </c>
      <c r="D2333" t="s">
        <v>5302</v>
      </c>
      <c r="E2333" t="s">
        <v>5299</v>
      </c>
      <c r="F2333" s="46">
        <v>46097.325885798607</v>
      </c>
      <c r="G2333" s="46">
        <v>46097.325885798607</v>
      </c>
      <c r="H2333">
        <v>0</v>
      </c>
    </row>
    <row r="2334" spans="1:8" x14ac:dyDescent="0.15">
      <c r="A2334">
        <v>2333</v>
      </c>
      <c r="B2334" t="s">
        <v>339</v>
      </c>
      <c r="C2334" t="s">
        <v>353</v>
      </c>
      <c r="D2334" t="s">
        <v>5303</v>
      </c>
      <c r="E2334" t="s">
        <v>5299</v>
      </c>
      <c r="F2334" s="46">
        <v>46097.325885798607</v>
      </c>
      <c r="G2334" s="46">
        <v>46097.325885972219</v>
      </c>
      <c r="H2334">
        <v>16</v>
      </c>
    </row>
    <row r="2335" spans="1:8" x14ac:dyDescent="0.15">
      <c r="A2335">
        <v>2334</v>
      </c>
      <c r="B2335" t="s">
        <v>339</v>
      </c>
      <c r="C2335" t="s">
        <v>353</v>
      </c>
      <c r="D2335" t="s">
        <v>5304</v>
      </c>
      <c r="E2335" t="s">
        <v>674</v>
      </c>
      <c r="F2335" s="46">
        <v>46097.325885972219</v>
      </c>
      <c r="G2335" s="46">
        <v>46097.325885972219</v>
      </c>
      <c r="H2335">
        <v>0</v>
      </c>
    </row>
    <row r="2336" spans="1:8" x14ac:dyDescent="0.15">
      <c r="A2336">
        <v>2335</v>
      </c>
      <c r="B2336" t="s">
        <v>339</v>
      </c>
      <c r="C2336" t="s">
        <v>353</v>
      </c>
      <c r="D2336" t="s">
        <v>5305</v>
      </c>
      <c r="E2336" t="s">
        <v>674</v>
      </c>
      <c r="F2336" s="46">
        <v>46097.325885972219</v>
      </c>
      <c r="G2336" s="46">
        <v>46097.325885972219</v>
      </c>
      <c r="H2336">
        <v>0</v>
      </c>
    </row>
    <row r="2337" spans="1:8" x14ac:dyDescent="0.15">
      <c r="A2337">
        <v>2336</v>
      </c>
      <c r="B2337" t="s">
        <v>339</v>
      </c>
      <c r="C2337" t="s">
        <v>353</v>
      </c>
      <c r="D2337" t="s">
        <v>5306</v>
      </c>
      <c r="E2337" t="s">
        <v>674</v>
      </c>
      <c r="F2337" s="46">
        <v>46097.325885972219</v>
      </c>
      <c r="G2337" s="46">
        <v>46097.325885972219</v>
      </c>
      <c r="H2337">
        <v>0</v>
      </c>
    </row>
    <row r="2338" spans="1:8" x14ac:dyDescent="0.15">
      <c r="A2338">
        <v>2337</v>
      </c>
      <c r="B2338" t="s">
        <v>339</v>
      </c>
      <c r="C2338" t="s">
        <v>353</v>
      </c>
      <c r="D2338" t="s">
        <v>5307</v>
      </c>
      <c r="E2338" t="s">
        <v>674</v>
      </c>
      <c r="F2338" s="46">
        <v>46097.325885972219</v>
      </c>
      <c r="G2338" s="46">
        <v>46097.325885972219</v>
      </c>
      <c r="H2338">
        <v>0</v>
      </c>
    </row>
    <row r="2339" spans="1:8" x14ac:dyDescent="0.15">
      <c r="A2339">
        <v>2338</v>
      </c>
      <c r="B2339" t="s">
        <v>339</v>
      </c>
      <c r="C2339" t="s">
        <v>353</v>
      </c>
      <c r="D2339" t="s">
        <v>5308</v>
      </c>
      <c r="E2339" t="s">
        <v>674</v>
      </c>
      <c r="F2339" s="46">
        <v>46097.325885972219</v>
      </c>
      <c r="G2339" s="46">
        <v>46097.325885972219</v>
      </c>
      <c r="H2339">
        <v>0</v>
      </c>
    </row>
    <row r="2340" spans="1:8" x14ac:dyDescent="0.15">
      <c r="A2340">
        <v>2339</v>
      </c>
      <c r="B2340" t="s">
        <v>339</v>
      </c>
      <c r="C2340" t="s">
        <v>353</v>
      </c>
      <c r="D2340" t="s">
        <v>5309</v>
      </c>
      <c r="E2340" t="s">
        <v>674</v>
      </c>
      <c r="F2340" s="46">
        <v>46097.325885972219</v>
      </c>
      <c r="G2340" s="46">
        <v>46097.325885972219</v>
      </c>
      <c r="H2340">
        <v>0</v>
      </c>
    </row>
    <row r="2341" spans="1:8" x14ac:dyDescent="0.15">
      <c r="A2341">
        <v>2340</v>
      </c>
      <c r="B2341" t="s">
        <v>339</v>
      </c>
      <c r="C2341" t="s">
        <v>353</v>
      </c>
      <c r="D2341" t="s">
        <v>5310</v>
      </c>
      <c r="E2341" t="s">
        <v>674</v>
      </c>
      <c r="F2341" s="46">
        <v>46097.325885972219</v>
      </c>
      <c r="G2341" s="46">
        <v>46097.325885972219</v>
      </c>
      <c r="H2341">
        <v>0</v>
      </c>
    </row>
    <row r="2342" spans="1:8" x14ac:dyDescent="0.15">
      <c r="A2342">
        <v>2341</v>
      </c>
      <c r="B2342" t="s">
        <v>339</v>
      </c>
      <c r="C2342" t="s">
        <v>353</v>
      </c>
      <c r="D2342" t="s">
        <v>5311</v>
      </c>
      <c r="E2342" t="s">
        <v>674</v>
      </c>
      <c r="F2342" s="46">
        <v>46097.325885972219</v>
      </c>
      <c r="G2342" s="46">
        <v>46097.325885972219</v>
      </c>
      <c r="H2342">
        <v>0</v>
      </c>
    </row>
    <row r="2343" spans="1:8" x14ac:dyDescent="0.15">
      <c r="A2343">
        <v>2342</v>
      </c>
      <c r="B2343" t="s">
        <v>339</v>
      </c>
      <c r="C2343" t="s">
        <v>353</v>
      </c>
      <c r="D2343" t="s">
        <v>5312</v>
      </c>
      <c r="E2343" t="s">
        <v>674</v>
      </c>
      <c r="F2343" s="46">
        <v>46097.325885972219</v>
      </c>
      <c r="G2343" s="46">
        <v>46097.325885972219</v>
      </c>
      <c r="H2343">
        <v>0</v>
      </c>
    </row>
    <row r="2344" spans="1:8" x14ac:dyDescent="0.15">
      <c r="A2344">
        <v>2343</v>
      </c>
      <c r="B2344" t="s">
        <v>339</v>
      </c>
      <c r="C2344" t="s">
        <v>353</v>
      </c>
      <c r="D2344" t="s">
        <v>5313</v>
      </c>
      <c r="E2344" t="s">
        <v>674</v>
      </c>
      <c r="F2344" s="46">
        <v>46097.325885972219</v>
      </c>
      <c r="G2344" s="46">
        <v>46097.325885972219</v>
      </c>
      <c r="H2344">
        <v>0</v>
      </c>
    </row>
    <row r="2345" spans="1:8" x14ac:dyDescent="0.15">
      <c r="A2345">
        <v>2344</v>
      </c>
      <c r="B2345" t="s">
        <v>339</v>
      </c>
      <c r="C2345" t="s">
        <v>353</v>
      </c>
      <c r="D2345" t="s">
        <v>5314</v>
      </c>
      <c r="E2345" t="s">
        <v>674</v>
      </c>
      <c r="F2345" s="46">
        <v>46097.325885972219</v>
      </c>
      <c r="G2345" s="46">
        <v>46097.325886157407</v>
      </c>
      <c r="H2345">
        <v>15</v>
      </c>
    </row>
    <row r="2346" spans="1:8" x14ac:dyDescent="0.15">
      <c r="A2346">
        <v>2345</v>
      </c>
      <c r="B2346" t="s">
        <v>339</v>
      </c>
      <c r="C2346" t="s">
        <v>353</v>
      </c>
      <c r="D2346" t="s">
        <v>5315</v>
      </c>
      <c r="E2346" t="s">
        <v>674</v>
      </c>
      <c r="F2346" s="46">
        <v>46097.325886157407</v>
      </c>
      <c r="G2346" s="46">
        <v>46097.325886157407</v>
      </c>
      <c r="H2346">
        <v>0</v>
      </c>
    </row>
    <row r="2347" spans="1:8" x14ac:dyDescent="0.15">
      <c r="A2347">
        <v>2346</v>
      </c>
      <c r="B2347" t="s">
        <v>339</v>
      </c>
      <c r="C2347" t="s">
        <v>353</v>
      </c>
      <c r="D2347" t="s">
        <v>5316</v>
      </c>
      <c r="E2347" t="s">
        <v>674</v>
      </c>
      <c r="F2347" s="46">
        <v>46097.325886157407</v>
      </c>
      <c r="G2347" s="46">
        <v>46097.325886157407</v>
      </c>
      <c r="H2347">
        <v>0</v>
      </c>
    </row>
    <row r="2348" spans="1:8" x14ac:dyDescent="0.15">
      <c r="A2348">
        <v>2347</v>
      </c>
      <c r="B2348" t="s">
        <v>339</v>
      </c>
      <c r="C2348" t="s">
        <v>353</v>
      </c>
      <c r="D2348" t="s">
        <v>5317</v>
      </c>
      <c r="E2348" t="s">
        <v>674</v>
      </c>
      <c r="F2348" s="46">
        <v>46097.325886157407</v>
      </c>
      <c r="G2348" s="46">
        <v>46097.325886157407</v>
      </c>
      <c r="H2348">
        <v>0</v>
      </c>
    </row>
    <row r="2349" spans="1:8" x14ac:dyDescent="0.15">
      <c r="A2349">
        <v>2348</v>
      </c>
      <c r="B2349" t="s">
        <v>339</v>
      </c>
      <c r="C2349" t="s">
        <v>353</v>
      </c>
      <c r="D2349" t="s">
        <v>5318</v>
      </c>
      <c r="E2349" t="s">
        <v>674</v>
      </c>
      <c r="F2349" s="46">
        <v>46097.325886157407</v>
      </c>
      <c r="G2349" s="46">
        <v>46097.325886157407</v>
      </c>
      <c r="H2349">
        <v>0</v>
      </c>
    </row>
    <row r="2350" spans="1:8" x14ac:dyDescent="0.15">
      <c r="A2350">
        <v>2349</v>
      </c>
      <c r="B2350" t="s">
        <v>339</v>
      </c>
      <c r="C2350" t="s">
        <v>353</v>
      </c>
      <c r="D2350" t="s">
        <v>5319</v>
      </c>
      <c r="E2350" t="s">
        <v>674</v>
      </c>
      <c r="F2350" s="46">
        <v>46097.325886157407</v>
      </c>
      <c r="G2350" s="46">
        <v>46097.325886157407</v>
      </c>
      <c r="H2350">
        <v>0</v>
      </c>
    </row>
    <row r="2351" spans="1:8" x14ac:dyDescent="0.15">
      <c r="A2351">
        <v>2350</v>
      </c>
      <c r="B2351" t="s">
        <v>339</v>
      </c>
      <c r="C2351" t="s">
        <v>353</v>
      </c>
      <c r="D2351" t="s">
        <v>5320</v>
      </c>
      <c r="E2351" t="s">
        <v>674</v>
      </c>
      <c r="F2351" s="46">
        <v>46097.325886157407</v>
      </c>
      <c r="G2351" s="46">
        <v>46097.325886157407</v>
      </c>
      <c r="H2351">
        <v>0</v>
      </c>
    </row>
    <row r="2352" spans="1:8" x14ac:dyDescent="0.15">
      <c r="A2352">
        <v>2351</v>
      </c>
      <c r="B2352" t="s">
        <v>339</v>
      </c>
      <c r="C2352" t="s">
        <v>353</v>
      </c>
      <c r="D2352" t="s">
        <v>5321</v>
      </c>
      <c r="E2352" t="s">
        <v>674</v>
      </c>
      <c r="F2352" s="46">
        <v>46097.325886157407</v>
      </c>
      <c r="G2352" s="46">
        <v>46097.325886157407</v>
      </c>
      <c r="H2352">
        <v>0</v>
      </c>
    </row>
    <row r="2353" spans="1:8" x14ac:dyDescent="0.15">
      <c r="A2353">
        <v>2352</v>
      </c>
      <c r="B2353" t="s">
        <v>339</v>
      </c>
      <c r="C2353" t="s">
        <v>353</v>
      </c>
      <c r="D2353" t="s">
        <v>5322</v>
      </c>
      <c r="E2353" t="s">
        <v>675</v>
      </c>
      <c r="F2353" s="46">
        <v>46097.325886157407</v>
      </c>
      <c r="G2353" s="46">
        <v>46097.325886157407</v>
      </c>
      <c r="H2353">
        <v>0</v>
      </c>
    </row>
    <row r="2354" spans="1:8" x14ac:dyDescent="0.15">
      <c r="A2354">
        <v>2353</v>
      </c>
      <c r="B2354" t="s">
        <v>339</v>
      </c>
      <c r="C2354" t="s">
        <v>353</v>
      </c>
      <c r="D2354" t="s">
        <v>5323</v>
      </c>
      <c r="E2354" t="s">
        <v>675</v>
      </c>
      <c r="F2354" s="46">
        <v>46097.325886157407</v>
      </c>
      <c r="G2354" s="46">
        <v>46097.325886157407</v>
      </c>
      <c r="H2354">
        <v>0</v>
      </c>
    </row>
    <row r="2355" spans="1:8" x14ac:dyDescent="0.15">
      <c r="A2355">
        <v>2354</v>
      </c>
      <c r="B2355" t="s">
        <v>339</v>
      </c>
      <c r="C2355" t="s">
        <v>353</v>
      </c>
      <c r="D2355" t="s">
        <v>5324</v>
      </c>
      <c r="E2355" t="s">
        <v>1325</v>
      </c>
      <c r="F2355" s="46">
        <v>46097.325886157407</v>
      </c>
      <c r="G2355" s="46">
        <v>46097.325886157407</v>
      </c>
      <c r="H2355">
        <v>0</v>
      </c>
    </row>
    <row r="2356" spans="1:8" x14ac:dyDescent="0.15">
      <c r="A2356">
        <v>2355</v>
      </c>
      <c r="B2356" t="s">
        <v>339</v>
      </c>
      <c r="C2356" t="s">
        <v>353</v>
      </c>
      <c r="D2356" t="s">
        <v>5325</v>
      </c>
      <c r="E2356" t="s">
        <v>5326</v>
      </c>
      <c r="F2356" s="46">
        <v>46097.325886157407</v>
      </c>
      <c r="G2356" s="46">
        <v>46097.325886331018</v>
      </c>
      <c r="H2356">
        <v>16</v>
      </c>
    </row>
    <row r="2357" spans="1:8" x14ac:dyDescent="0.15">
      <c r="A2357">
        <v>2356</v>
      </c>
      <c r="B2357" t="s">
        <v>339</v>
      </c>
      <c r="C2357" t="s">
        <v>353</v>
      </c>
      <c r="D2357" t="s">
        <v>5327</v>
      </c>
      <c r="E2357" t="s">
        <v>5326</v>
      </c>
      <c r="F2357" s="46">
        <v>46097.325886331018</v>
      </c>
      <c r="G2357" s="46">
        <v>46097.325886331018</v>
      </c>
      <c r="H2357">
        <v>0</v>
      </c>
    </row>
    <row r="2358" spans="1:8" x14ac:dyDescent="0.15">
      <c r="A2358">
        <v>2357</v>
      </c>
      <c r="B2358" t="s">
        <v>339</v>
      </c>
      <c r="C2358" t="s">
        <v>353</v>
      </c>
      <c r="D2358" t="s">
        <v>5328</v>
      </c>
      <c r="E2358" t="s">
        <v>676</v>
      </c>
      <c r="F2358" s="46">
        <v>46097.325886331018</v>
      </c>
      <c r="G2358" s="46">
        <v>46097.325886331018</v>
      </c>
      <c r="H2358">
        <v>0</v>
      </c>
    </row>
    <row r="2359" spans="1:8" x14ac:dyDescent="0.15">
      <c r="A2359">
        <v>2358</v>
      </c>
      <c r="B2359" t="s">
        <v>339</v>
      </c>
      <c r="C2359" t="s">
        <v>353</v>
      </c>
      <c r="D2359" t="s">
        <v>5329</v>
      </c>
      <c r="E2359" t="s">
        <v>5330</v>
      </c>
      <c r="F2359" s="46">
        <v>46097.325886331018</v>
      </c>
      <c r="G2359" s="46">
        <v>46097.325886331018</v>
      </c>
      <c r="H2359">
        <v>0</v>
      </c>
    </row>
    <row r="2360" spans="1:8" x14ac:dyDescent="0.15">
      <c r="A2360">
        <v>2359</v>
      </c>
      <c r="B2360" t="s">
        <v>339</v>
      </c>
      <c r="C2360" t="s">
        <v>353</v>
      </c>
      <c r="D2360" t="s">
        <v>5331</v>
      </c>
      <c r="E2360" t="s">
        <v>5332</v>
      </c>
      <c r="F2360" s="46">
        <v>46097.325886331018</v>
      </c>
      <c r="G2360" s="46">
        <v>46097.325886331018</v>
      </c>
      <c r="H2360">
        <v>0</v>
      </c>
    </row>
    <row r="2361" spans="1:8" x14ac:dyDescent="0.15">
      <c r="A2361">
        <v>2360</v>
      </c>
      <c r="B2361" t="s">
        <v>339</v>
      </c>
      <c r="C2361" t="s">
        <v>353</v>
      </c>
      <c r="D2361" t="s">
        <v>5333</v>
      </c>
      <c r="E2361" t="s">
        <v>5334</v>
      </c>
      <c r="F2361" s="46">
        <v>46097.325886331018</v>
      </c>
      <c r="G2361" s="46">
        <v>46097.325886331018</v>
      </c>
      <c r="H2361">
        <v>0</v>
      </c>
    </row>
    <row r="2362" spans="1:8" x14ac:dyDescent="0.15">
      <c r="A2362">
        <v>2361</v>
      </c>
      <c r="B2362" t="s">
        <v>339</v>
      </c>
      <c r="C2362" t="s">
        <v>353</v>
      </c>
      <c r="D2362" t="s">
        <v>5335</v>
      </c>
      <c r="E2362" t="s">
        <v>5336</v>
      </c>
      <c r="F2362" s="46">
        <v>46097.325886331018</v>
      </c>
      <c r="G2362" s="46">
        <v>46097.325886331018</v>
      </c>
      <c r="H2362">
        <v>0</v>
      </c>
    </row>
    <row r="2363" spans="1:8" x14ac:dyDescent="0.15">
      <c r="A2363">
        <v>2362</v>
      </c>
      <c r="B2363" t="s">
        <v>339</v>
      </c>
      <c r="C2363" t="s">
        <v>353</v>
      </c>
      <c r="D2363" t="s">
        <v>5337</v>
      </c>
      <c r="E2363" t="s">
        <v>5338</v>
      </c>
      <c r="F2363" s="46">
        <v>46097.325886331018</v>
      </c>
      <c r="G2363" s="46">
        <v>46097.325886331018</v>
      </c>
      <c r="H2363">
        <v>0</v>
      </c>
    </row>
    <row r="2364" spans="1:8" x14ac:dyDescent="0.15">
      <c r="A2364">
        <v>2363</v>
      </c>
      <c r="B2364" t="s">
        <v>339</v>
      </c>
      <c r="C2364" t="s">
        <v>353</v>
      </c>
      <c r="D2364" t="s">
        <v>5339</v>
      </c>
      <c r="E2364" t="s">
        <v>678</v>
      </c>
      <c r="F2364" s="46">
        <v>46097.325886331018</v>
      </c>
      <c r="G2364" s="46">
        <v>46097.325886331018</v>
      </c>
      <c r="H2364">
        <v>0</v>
      </c>
    </row>
    <row r="2365" spans="1:8" x14ac:dyDescent="0.15">
      <c r="A2365">
        <v>2364</v>
      </c>
      <c r="B2365" t="s">
        <v>339</v>
      </c>
      <c r="C2365" t="s">
        <v>353</v>
      </c>
      <c r="D2365" t="s">
        <v>5340</v>
      </c>
      <c r="E2365" t="s">
        <v>678</v>
      </c>
      <c r="F2365" s="46">
        <v>46097.325886331018</v>
      </c>
      <c r="G2365" s="46">
        <v>46097.325886331018</v>
      </c>
      <c r="H2365">
        <v>0</v>
      </c>
    </row>
    <row r="2366" spans="1:8" x14ac:dyDescent="0.15">
      <c r="A2366">
        <v>2365</v>
      </c>
      <c r="B2366" t="s">
        <v>339</v>
      </c>
      <c r="C2366" t="s">
        <v>353</v>
      </c>
      <c r="D2366" t="s">
        <v>5341</v>
      </c>
      <c r="E2366" t="s">
        <v>678</v>
      </c>
      <c r="F2366" s="46">
        <v>46097.325886331018</v>
      </c>
      <c r="G2366" s="46">
        <v>46097.325886516213</v>
      </c>
      <c r="H2366">
        <v>16</v>
      </c>
    </row>
    <row r="2367" spans="1:8" x14ac:dyDescent="0.15">
      <c r="A2367">
        <v>2366</v>
      </c>
      <c r="B2367" t="s">
        <v>339</v>
      </c>
      <c r="C2367" t="s">
        <v>353</v>
      </c>
      <c r="D2367" t="s">
        <v>5342</v>
      </c>
      <c r="E2367" t="s">
        <v>678</v>
      </c>
      <c r="F2367" s="46">
        <v>46097.325886516213</v>
      </c>
      <c r="G2367" s="46">
        <v>46097.325886516213</v>
      </c>
      <c r="H2367">
        <v>0</v>
      </c>
    </row>
    <row r="2368" spans="1:8" x14ac:dyDescent="0.15">
      <c r="A2368">
        <v>2367</v>
      </c>
      <c r="B2368" t="s">
        <v>339</v>
      </c>
      <c r="C2368" t="s">
        <v>353</v>
      </c>
      <c r="D2368" t="s">
        <v>5343</v>
      </c>
      <c r="E2368" t="s">
        <v>678</v>
      </c>
      <c r="F2368" s="46">
        <v>46097.325886516213</v>
      </c>
      <c r="G2368" s="46">
        <v>46097.325886516213</v>
      </c>
      <c r="H2368">
        <v>0</v>
      </c>
    </row>
    <row r="2369" spans="1:8" x14ac:dyDescent="0.15">
      <c r="A2369">
        <v>2368</v>
      </c>
      <c r="B2369" t="s">
        <v>339</v>
      </c>
      <c r="C2369" t="s">
        <v>353</v>
      </c>
      <c r="D2369" t="s">
        <v>5344</v>
      </c>
      <c r="E2369" t="s">
        <v>678</v>
      </c>
      <c r="F2369" s="46">
        <v>46097.325886516213</v>
      </c>
      <c r="G2369" s="46">
        <v>46097.325886516213</v>
      </c>
      <c r="H2369">
        <v>0</v>
      </c>
    </row>
    <row r="2370" spans="1:8" x14ac:dyDescent="0.15">
      <c r="A2370">
        <v>2369</v>
      </c>
      <c r="B2370" t="s">
        <v>339</v>
      </c>
      <c r="C2370" t="s">
        <v>353</v>
      </c>
      <c r="D2370" t="s">
        <v>5345</v>
      </c>
      <c r="E2370" t="s">
        <v>678</v>
      </c>
      <c r="F2370" s="46">
        <v>46097.325886516213</v>
      </c>
      <c r="G2370" s="46">
        <v>46097.325886516213</v>
      </c>
      <c r="H2370">
        <v>0</v>
      </c>
    </row>
    <row r="2371" spans="1:8" x14ac:dyDescent="0.15">
      <c r="A2371">
        <v>2370</v>
      </c>
      <c r="B2371" t="s">
        <v>339</v>
      </c>
      <c r="C2371" t="s">
        <v>353</v>
      </c>
      <c r="D2371" t="s">
        <v>5346</v>
      </c>
      <c r="E2371" t="s">
        <v>678</v>
      </c>
      <c r="F2371" s="46">
        <v>46097.325886516213</v>
      </c>
      <c r="G2371" s="46">
        <v>46097.325886516213</v>
      </c>
      <c r="H2371">
        <v>0</v>
      </c>
    </row>
    <row r="2372" spans="1:8" x14ac:dyDescent="0.15">
      <c r="A2372">
        <v>2371</v>
      </c>
      <c r="B2372" t="s">
        <v>339</v>
      </c>
      <c r="C2372" t="s">
        <v>353</v>
      </c>
      <c r="D2372" t="s">
        <v>5347</v>
      </c>
      <c r="E2372" t="s">
        <v>678</v>
      </c>
      <c r="F2372" s="46">
        <v>46097.325886516213</v>
      </c>
      <c r="G2372" s="46">
        <v>46097.325886516213</v>
      </c>
      <c r="H2372">
        <v>0</v>
      </c>
    </row>
    <row r="2373" spans="1:8" x14ac:dyDescent="0.15">
      <c r="A2373">
        <v>2372</v>
      </c>
      <c r="B2373" t="s">
        <v>339</v>
      </c>
      <c r="C2373" t="s">
        <v>353</v>
      </c>
      <c r="D2373" t="s">
        <v>5348</v>
      </c>
      <c r="E2373" t="s">
        <v>678</v>
      </c>
      <c r="F2373" s="46">
        <v>46097.325886516213</v>
      </c>
      <c r="G2373" s="46">
        <v>46097.325886516213</v>
      </c>
      <c r="H2373">
        <v>0</v>
      </c>
    </row>
    <row r="2374" spans="1:8" x14ac:dyDescent="0.15">
      <c r="A2374">
        <v>2373</v>
      </c>
      <c r="B2374" t="s">
        <v>339</v>
      </c>
      <c r="C2374" t="s">
        <v>353</v>
      </c>
      <c r="D2374" t="s">
        <v>5349</v>
      </c>
      <c r="E2374" t="s">
        <v>678</v>
      </c>
      <c r="F2374" s="46">
        <v>46097.325886516213</v>
      </c>
      <c r="G2374" s="46">
        <v>46097.325886516213</v>
      </c>
      <c r="H2374">
        <v>0</v>
      </c>
    </row>
    <row r="2375" spans="1:8" x14ac:dyDescent="0.15">
      <c r="A2375">
        <v>2374</v>
      </c>
      <c r="B2375" t="s">
        <v>339</v>
      </c>
      <c r="C2375" t="s">
        <v>353</v>
      </c>
      <c r="D2375" t="s">
        <v>5350</v>
      </c>
      <c r="E2375" t="s">
        <v>678</v>
      </c>
      <c r="F2375" s="46">
        <v>46097.325886516213</v>
      </c>
      <c r="G2375" s="46">
        <v>46097.325886516213</v>
      </c>
      <c r="H2375">
        <v>0</v>
      </c>
    </row>
    <row r="2376" spans="1:8" x14ac:dyDescent="0.15">
      <c r="A2376">
        <v>2375</v>
      </c>
      <c r="B2376" t="s">
        <v>339</v>
      </c>
      <c r="C2376" t="s">
        <v>353</v>
      </c>
      <c r="D2376" t="s">
        <v>5351</v>
      </c>
      <c r="E2376" t="s">
        <v>5352</v>
      </c>
      <c r="F2376" s="46">
        <v>46097.325886516213</v>
      </c>
      <c r="G2376" s="46">
        <v>46097.325886516213</v>
      </c>
      <c r="H2376">
        <v>0</v>
      </c>
    </row>
    <row r="2377" spans="1:8" x14ac:dyDescent="0.15">
      <c r="A2377">
        <v>2376</v>
      </c>
      <c r="B2377" t="s">
        <v>339</v>
      </c>
      <c r="C2377" t="s">
        <v>353</v>
      </c>
      <c r="D2377" t="s">
        <v>5353</v>
      </c>
      <c r="E2377" t="s">
        <v>5352</v>
      </c>
      <c r="F2377" s="46">
        <v>46097.325886516213</v>
      </c>
      <c r="G2377" s="46">
        <v>46097.325886701386</v>
      </c>
      <c r="H2377">
        <v>15</v>
      </c>
    </row>
    <row r="2378" spans="1:8" x14ac:dyDescent="0.15">
      <c r="A2378">
        <v>2377</v>
      </c>
      <c r="B2378" t="s">
        <v>339</v>
      </c>
      <c r="C2378" t="s">
        <v>353</v>
      </c>
      <c r="D2378" t="s">
        <v>5354</v>
      </c>
      <c r="E2378" t="s">
        <v>5352</v>
      </c>
      <c r="F2378" s="46">
        <v>46097.325886701386</v>
      </c>
      <c r="G2378" s="46">
        <v>46097.325886701386</v>
      </c>
      <c r="H2378">
        <v>0</v>
      </c>
    </row>
    <row r="2379" spans="1:8" x14ac:dyDescent="0.15">
      <c r="A2379">
        <v>2378</v>
      </c>
      <c r="B2379" t="s">
        <v>339</v>
      </c>
      <c r="C2379" t="s">
        <v>353</v>
      </c>
      <c r="D2379" t="s">
        <v>5355</v>
      </c>
      <c r="E2379" t="s">
        <v>5352</v>
      </c>
      <c r="F2379" s="46">
        <v>46097.325886701386</v>
      </c>
      <c r="G2379" s="46">
        <v>46097.325886701386</v>
      </c>
      <c r="H2379">
        <v>0</v>
      </c>
    </row>
    <row r="2380" spans="1:8" x14ac:dyDescent="0.15">
      <c r="A2380">
        <v>2379</v>
      </c>
      <c r="B2380" t="s">
        <v>339</v>
      </c>
      <c r="C2380" t="s">
        <v>353</v>
      </c>
      <c r="D2380" t="s">
        <v>5356</v>
      </c>
      <c r="E2380" t="s">
        <v>5357</v>
      </c>
      <c r="F2380" s="46">
        <v>46097.325886701386</v>
      </c>
      <c r="G2380" s="46">
        <v>46097.325886701386</v>
      </c>
      <c r="H2380">
        <v>0</v>
      </c>
    </row>
    <row r="2381" spans="1:8" x14ac:dyDescent="0.15">
      <c r="A2381">
        <v>2380</v>
      </c>
      <c r="B2381" t="s">
        <v>339</v>
      </c>
      <c r="C2381" t="s">
        <v>353</v>
      </c>
      <c r="D2381" t="s">
        <v>5358</v>
      </c>
      <c r="E2381" t="s">
        <v>679</v>
      </c>
      <c r="F2381" s="46">
        <v>46097.325886701386</v>
      </c>
      <c r="G2381" s="46">
        <v>46097.325886701386</v>
      </c>
      <c r="H2381">
        <v>0</v>
      </c>
    </row>
    <row r="2382" spans="1:8" x14ac:dyDescent="0.15">
      <c r="A2382">
        <v>2381</v>
      </c>
      <c r="B2382" t="s">
        <v>339</v>
      </c>
      <c r="C2382" t="s">
        <v>353</v>
      </c>
      <c r="D2382" t="s">
        <v>5359</v>
      </c>
      <c r="E2382" t="s">
        <v>679</v>
      </c>
      <c r="F2382" s="46">
        <v>46097.325886701386</v>
      </c>
      <c r="G2382" s="46">
        <v>46097.325886701386</v>
      </c>
      <c r="H2382">
        <v>0</v>
      </c>
    </row>
    <row r="2383" spans="1:8" x14ac:dyDescent="0.15">
      <c r="A2383">
        <v>2382</v>
      </c>
      <c r="B2383" t="s">
        <v>339</v>
      </c>
      <c r="C2383" t="s">
        <v>353</v>
      </c>
      <c r="D2383" t="s">
        <v>5360</v>
      </c>
      <c r="E2383" t="s">
        <v>679</v>
      </c>
      <c r="F2383" s="46">
        <v>46097.325886701386</v>
      </c>
      <c r="G2383" s="46">
        <v>46097.325886701386</v>
      </c>
      <c r="H2383">
        <v>0</v>
      </c>
    </row>
    <row r="2384" spans="1:8" x14ac:dyDescent="0.15">
      <c r="A2384">
        <v>2383</v>
      </c>
      <c r="B2384" t="s">
        <v>339</v>
      </c>
      <c r="C2384" t="s">
        <v>353</v>
      </c>
      <c r="D2384" t="s">
        <v>5361</v>
      </c>
      <c r="E2384" t="s">
        <v>680</v>
      </c>
      <c r="F2384" s="46">
        <v>46097.325886701386</v>
      </c>
      <c r="G2384" s="46">
        <v>46097.325886701386</v>
      </c>
      <c r="H2384">
        <v>0</v>
      </c>
    </row>
    <row r="2385" spans="1:8" x14ac:dyDescent="0.15">
      <c r="A2385">
        <v>2384</v>
      </c>
      <c r="B2385" t="s">
        <v>339</v>
      </c>
      <c r="C2385" t="s">
        <v>353</v>
      </c>
      <c r="D2385" t="s">
        <v>5362</v>
      </c>
      <c r="E2385" t="s">
        <v>5363</v>
      </c>
      <c r="F2385" s="46">
        <v>46097.325886701386</v>
      </c>
      <c r="G2385" s="46">
        <v>46097.325886701386</v>
      </c>
      <c r="H2385">
        <v>0</v>
      </c>
    </row>
    <row r="2386" spans="1:8" x14ac:dyDescent="0.15">
      <c r="A2386">
        <v>2385</v>
      </c>
      <c r="B2386" t="s">
        <v>339</v>
      </c>
      <c r="C2386" t="s">
        <v>353</v>
      </c>
      <c r="D2386" t="s">
        <v>5364</v>
      </c>
      <c r="E2386" t="s">
        <v>5365</v>
      </c>
      <c r="F2386" s="46">
        <v>46097.325886701386</v>
      </c>
      <c r="G2386" s="46">
        <v>46097.325886701386</v>
      </c>
      <c r="H2386">
        <v>0</v>
      </c>
    </row>
    <row r="2387" spans="1:8" x14ac:dyDescent="0.15">
      <c r="A2387">
        <v>2386</v>
      </c>
      <c r="B2387" t="s">
        <v>339</v>
      </c>
      <c r="C2387" t="s">
        <v>353</v>
      </c>
      <c r="D2387" t="s">
        <v>5366</v>
      </c>
      <c r="E2387" t="s">
        <v>5365</v>
      </c>
      <c r="F2387" s="46">
        <v>46097.325886701386</v>
      </c>
      <c r="G2387" s="46">
        <v>46097.325886874998</v>
      </c>
      <c r="H2387">
        <v>16</v>
      </c>
    </row>
    <row r="2388" spans="1:8" x14ac:dyDescent="0.15">
      <c r="A2388">
        <v>2387</v>
      </c>
      <c r="B2388" t="s">
        <v>339</v>
      </c>
      <c r="C2388" t="s">
        <v>353</v>
      </c>
      <c r="D2388" t="s">
        <v>5367</v>
      </c>
      <c r="E2388" t="s">
        <v>5365</v>
      </c>
      <c r="F2388" s="46">
        <v>46097.325886874998</v>
      </c>
      <c r="G2388" s="46">
        <v>46097.325886874998</v>
      </c>
      <c r="H2388">
        <v>0</v>
      </c>
    </row>
    <row r="2389" spans="1:8" x14ac:dyDescent="0.15">
      <c r="A2389">
        <v>2388</v>
      </c>
      <c r="B2389" t="s">
        <v>339</v>
      </c>
      <c r="C2389" t="s">
        <v>353</v>
      </c>
      <c r="D2389" t="s">
        <v>5368</v>
      </c>
      <c r="E2389" t="s">
        <v>5369</v>
      </c>
      <c r="F2389" s="46">
        <v>46097.325886874998</v>
      </c>
      <c r="G2389" s="46">
        <v>46097.325886874998</v>
      </c>
      <c r="H2389">
        <v>0</v>
      </c>
    </row>
    <row r="2390" spans="1:8" x14ac:dyDescent="0.15">
      <c r="A2390">
        <v>2389</v>
      </c>
      <c r="B2390" t="s">
        <v>339</v>
      </c>
      <c r="C2390" t="s">
        <v>353</v>
      </c>
      <c r="D2390" t="s">
        <v>5370</v>
      </c>
      <c r="E2390" t="s">
        <v>5369</v>
      </c>
      <c r="F2390" s="46">
        <v>46097.325886874998</v>
      </c>
      <c r="G2390" s="46">
        <v>46097.325886874998</v>
      </c>
      <c r="H2390">
        <v>0</v>
      </c>
    </row>
    <row r="2391" spans="1:8" x14ac:dyDescent="0.15">
      <c r="A2391">
        <v>2390</v>
      </c>
      <c r="B2391" t="s">
        <v>339</v>
      </c>
      <c r="C2391" t="s">
        <v>353</v>
      </c>
      <c r="D2391" t="s">
        <v>5371</v>
      </c>
      <c r="E2391" t="s">
        <v>681</v>
      </c>
      <c r="F2391" s="46">
        <v>46097.325886874998</v>
      </c>
      <c r="G2391" s="46">
        <v>46097.325886874998</v>
      </c>
      <c r="H2391">
        <v>0</v>
      </c>
    </row>
    <row r="2392" spans="1:8" x14ac:dyDescent="0.15">
      <c r="A2392">
        <v>2391</v>
      </c>
      <c r="B2392" t="s">
        <v>339</v>
      </c>
      <c r="C2392" t="s">
        <v>353</v>
      </c>
      <c r="D2392" t="s">
        <v>5372</v>
      </c>
      <c r="E2392" t="s">
        <v>681</v>
      </c>
      <c r="F2392" s="46">
        <v>46097.325886874998</v>
      </c>
      <c r="G2392" s="46">
        <v>46097.325886874998</v>
      </c>
      <c r="H2392">
        <v>0</v>
      </c>
    </row>
    <row r="2393" spans="1:8" x14ac:dyDescent="0.15">
      <c r="A2393">
        <v>2392</v>
      </c>
      <c r="B2393" t="s">
        <v>339</v>
      </c>
      <c r="C2393" t="s">
        <v>353</v>
      </c>
      <c r="D2393" t="s">
        <v>5373</v>
      </c>
      <c r="E2393" t="s">
        <v>681</v>
      </c>
      <c r="F2393" s="46">
        <v>46097.325886874998</v>
      </c>
      <c r="G2393" s="46">
        <v>46097.325886874998</v>
      </c>
      <c r="H2393">
        <v>0</v>
      </c>
    </row>
    <row r="2394" spans="1:8" x14ac:dyDescent="0.15">
      <c r="A2394">
        <v>2393</v>
      </c>
      <c r="B2394" t="s">
        <v>339</v>
      </c>
      <c r="C2394" t="s">
        <v>353</v>
      </c>
      <c r="D2394" t="s">
        <v>5374</v>
      </c>
      <c r="E2394" t="s">
        <v>681</v>
      </c>
      <c r="F2394" s="46">
        <v>46097.325886874998</v>
      </c>
      <c r="G2394" s="46">
        <v>46097.325886874998</v>
      </c>
      <c r="H2394">
        <v>0</v>
      </c>
    </row>
    <row r="2395" spans="1:8" x14ac:dyDescent="0.15">
      <c r="A2395">
        <v>2394</v>
      </c>
      <c r="B2395" t="s">
        <v>339</v>
      </c>
      <c r="C2395" t="s">
        <v>353</v>
      </c>
      <c r="D2395" t="s">
        <v>5375</v>
      </c>
      <c r="E2395" t="s">
        <v>682</v>
      </c>
      <c r="F2395" s="46">
        <v>46097.325886874998</v>
      </c>
      <c r="G2395" s="46">
        <v>46097.325886874998</v>
      </c>
      <c r="H2395">
        <v>0</v>
      </c>
    </row>
    <row r="2396" spans="1:8" x14ac:dyDescent="0.15">
      <c r="A2396">
        <v>2395</v>
      </c>
      <c r="B2396" t="s">
        <v>339</v>
      </c>
      <c r="C2396" t="s">
        <v>353</v>
      </c>
      <c r="D2396" t="s">
        <v>5376</v>
      </c>
      <c r="E2396" t="s">
        <v>682</v>
      </c>
      <c r="F2396" s="46">
        <v>46097.325886874998</v>
      </c>
      <c r="G2396" s="46">
        <v>46097.325886874998</v>
      </c>
      <c r="H2396">
        <v>0</v>
      </c>
    </row>
    <row r="2397" spans="1:8" x14ac:dyDescent="0.15">
      <c r="A2397">
        <v>2396</v>
      </c>
      <c r="B2397" t="s">
        <v>339</v>
      </c>
      <c r="C2397" t="s">
        <v>353</v>
      </c>
      <c r="D2397" t="s">
        <v>5377</v>
      </c>
      <c r="E2397" t="s">
        <v>682</v>
      </c>
      <c r="F2397" s="46">
        <v>46097.325886874998</v>
      </c>
      <c r="G2397" s="46">
        <v>46097.325886874998</v>
      </c>
      <c r="H2397">
        <v>0</v>
      </c>
    </row>
    <row r="2398" spans="1:8" x14ac:dyDescent="0.15">
      <c r="A2398">
        <v>2397</v>
      </c>
      <c r="B2398" t="s">
        <v>339</v>
      </c>
      <c r="C2398" t="s">
        <v>353</v>
      </c>
      <c r="D2398" t="s">
        <v>5378</v>
      </c>
      <c r="E2398" t="s">
        <v>682</v>
      </c>
      <c r="F2398" s="46">
        <v>46097.325886874998</v>
      </c>
      <c r="G2398" s="46">
        <v>46097.325887060193</v>
      </c>
      <c r="H2398">
        <v>15</v>
      </c>
    </row>
    <row r="2399" spans="1:8" x14ac:dyDescent="0.15">
      <c r="A2399">
        <v>2398</v>
      </c>
      <c r="B2399" t="s">
        <v>339</v>
      </c>
      <c r="C2399" t="s">
        <v>353</v>
      </c>
      <c r="D2399" t="s">
        <v>5379</v>
      </c>
      <c r="E2399" t="s">
        <v>5380</v>
      </c>
      <c r="F2399" s="46">
        <v>46097.325887060193</v>
      </c>
      <c r="G2399" s="46">
        <v>46097.325887060193</v>
      </c>
      <c r="H2399">
        <v>0</v>
      </c>
    </row>
    <row r="2400" spans="1:8" x14ac:dyDescent="0.15">
      <c r="A2400">
        <v>2399</v>
      </c>
      <c r="B2400" t="s">
        <v>339</v>
      </c>
      <c r="C2400" t="s">
        <v>353</v>
      </c>
      <c r="D2400" t="s">
        <v>5381</v>
      </c>
      <c r="E2400" t="s">
        <v>5380</v>
      </c>
      <c r="F2400" s="46">
        <v>46097.325887060193</v>
      </c>
      <c r="G2400" s="46">
        <v>46097.325887060193</v>
      </c>
      <c r="H2400">
        <v>0</v>
      </c>
    </row>
    <row r="2401" spans="1:8" x14ac:dyDescent="0.15">
      <c r="A2401">
        <v>2400</v>
      </c>
      <c r="B2401" t="s">
        <v>339</v>
      </c>
      <c r="C2401" t="s">
        <v>353</v>
      </c>
      <c r="D2401" t="s">
        <v>5382</v>
      </c>
      <c r="E2401" t="s">
        <v>5383</v>
      </c>
      <c r="F2401" s="46">
        <v>46097.325887060193</v>
      </c>
      <c r="G2401" s="46">
        <v>46097.325887060193</v>
      </c>
      <c r="H2401">
        <v>0</v>
      </c>
    </row>
    <row r="2402" spans="1:8" x14ac:dyDescent="0.15">
      <c r="A2402">
        <v>2401</v>
      </c>
      <c r="B2402" t="s">
        <v>339</v>
      </c>
      <c r="C2402" t="s">
        <v>353</v>
      </c>
      <c r="D2402" t="s">
        <v>5384</v>
      </c>
      <c r="E2402" t="s">
        <v>5383</v>
      </c>
      <c r="F2402" s="46">
        <v>46097.325887060193</v>
      </c>
      <c r="G2402" s="46">
        <v>46097.325887060193</v>
      </c>
      <c r="H2402">
        <v>0</v>
      </c>
    </row>
    <row r="2403" spans="1:8" x14ac:dyDescent="0.15">
      <c r="A2403">
        <v>2402</v>
      </c>
      <c r="B2403" t="s">
        <v>339</v>
      </c>
      <c r="C2403" t="s">
        <v>353</v>
      </c>
      <c r="D2403" t="s">
        <v>5385</v>
      </c>
      <c r="E2403" t="s">
        <v>5386</v>
      </c>
      <c r="F2403" s="46">
        <v>46097.325887060193</v>
      </c>
      <c r="G2403" s="46">
        <v>46097.325887060193</v>
      </c>
      <c r="H2403">
        <v>0</v>
      </c>
    </row>
    <row r="2404" spans="1:8" x14ac:dyDescent="0.15">
      <c r="A2404">
        <v>2403</v>
      </c>
      <c r="B2404" t="s">
        <v>339</v>
      </c>
      <c r="C2404" t="s">
        <v>353</v>
      </c>
      <c r="D2404" t="s">
        <v>5387</v>
      </c>
      <c r="E2404" t="s">
        <v>5386</v>
      </c>
      <c r="F2404" s="46">
        <v>46097.325887060193</v>
      </c>
      <c r="G2404" s="46">
        <v>46097.325887060193</v>
      </c>
      <c r="H2404">
        <v>0</v>
      </c>
    </row>
    <row r="2405" spans="1:8" x14ac:dyDescent="0.15">
      <c r="A2405">
        <v>2404</v>
      </c>
      <c r="B2405" t="s">
        <v>339</v>
      </c>
      <c r="C2405" t="s">
        <v>353</v>
      </c>
      <c r="D2405" t="s">
        <v>5388</v>
      </c>
      <c r="E2405" t="s">
        <v>5386</v>
      </c>
      <c r="F2405" s="46">
        <v>46097.325887060193</v>
      </c>
      <c r="G2405" s="46">
        <v>46097.325887060193</v>
      </c>
      <c r="H2405">
        <v>0</v>
      </c>
    </row>
    <row r="2406" spans="1:8" x14ac:dyDescent="0.15">
      <c r="A2406">
        <v>2405</v>
      </c>
      <c r="B2406" t="s">
        <v>339</v>
      </c>
      <c r="C2406" t="s">
        <v>353</v>
      </c>
      <c r="D2406" t="s">
        <v>5389</v>
      </c>
      <c r="E2406" t="s">
        <v>5386</v>
      </c>
      <c r="F2406" s="46">
        <v>46097.325887060193</v>
      </c>
      <c r="G2406" s="46">
        <v>46097.325887060193</v>
      </c>
      <c r="H2406">
        <v>0</v>
      </c>
    </row>
    <row r="2407" spans="1:8" x14ac:dyDescent="0.15">
      <c r="A2407">
        <v>2406</v>
      </c>
      <c r="B2407" t="s">
        <v>339</v>
      </c>
      <c r="C2407" t="s">
        <v>353</v>
      </c>
      <c r="D2407" t="s">
        <v>5390</v>
      </c>
      <c r="E2407" t="s">
        <v>5391</v>
      </c>
      <c r="F2407" s="46">
        <v>46097.325887060193</v>
      </c>
      <c r="G2407" s="46">
        <v>46097.325887060193</v>
      </c>
      <c r="H2407">
        <v>0</v>
      </c>
    </row>
    <row r="2408" spans="1:8" x14ac:dyDescent="0.15">
      <c r="A2408">
        <v>2407</v>
      </c>
      <c r="B2408" t="s">
        <v>339</v>
      </c>
      <c r="C2408" t="s">
        <v>353</v>
      </c>
      <c r="D2408" t="s">
        <v>5392</v>
      </c>
      <c r="E2408" t="s">
        <v>5393</v>
      </c>
      <c r="F2408" s="46">
        <v>46097.325887060193</v>
      </c>
      <c r="G2408" s="46">
        <v>46097.325887245373</v>
      </c>
      <c r="H2408">
        <v>16</v>
      </c>
    </row>
    <row r="2409" spans="1:8" x14ac:dyDescent="0.15">
      <c r="A2409">
        <v>2408</v>
      </c>
      <c r="B2409" t="s">
        <v>339</v>
      </c>
      <c r="C2409" t="s">
        <v>353</v>
      </c>
      <c r="D2409" t="s">
        <v>5394</v>
      </c>
      <c r="E2409" t="s">
        <v>5393</v>
      </c>
      <c r="F2409" s="46">
        <v>46097.325887245373</v>
      </c>
      <c r="G2409" s="46">
        <v>46097.325887245373</v>
      </c>
      <c r="H2409">
        <v>0</v>
      </c>
    </row>
    <row r="2410" spans="1:8" x14ac:dyDescent="0.15">
      <c r="A2410">
        <v>2409</v>
      </c>
      <c r="B2410" t="s">
        <v>339</v>
      </c>
      <c r="C2410" t="s">
        <v>353</v>
      </c>
      <c r="D2410" t="s">
        <v>5395</v>
      </c>
      <c r="E2410" t="s">
        <v>5393</v>
      </c>
      <c r="F2410" s="46">
        <v>46097.325887245373</v>
      </c>
      <c r="G2410" s="46">
        <v>46097.325887245373</v>
      </c>
      <c r="H2410">
        <v>0</v>
      </c>
    </row>
    <row r="2411" spans="1:8" x14ac:dyDescent="0.15">
      <c r="A2411">
        <v>2410</v>
      </c>
      <c r="B2411" t="s">
        <v>339</v>
      </c>
      <c r="C2411" t="s">
        <v>353</v>
      </c>
      <c r="D2411" t="s">
        <v>5396</v>
      </c>
      <c r="E2411" t="s">
        <v>5397</v>
      </c>
      <c r="F2411" s="46">
        <v>46097.325887245373</v>
      </c>
      <c r="G2411" s="46">
        <v>46097.325887245373</v>
      </c>
      <c r="H2411">
        <v>0</v>
      </c>
    </row>
    <row r="2412" spans="1:8" x14ac:dyDescent="0.15">
      <c r="A2412">
        <v>2411</v>
      </c>
      <c r="B2412" t="s">
        <v>339</v>
      </c>
      <c r="C2412" t="s">
        <v>353</v>
      </c>
      <c r="D2412" t="s">
        <v>5398</v>
      </c>
      <c r="E2412" t="s">
        <v>5399</v>
      </c>
      <c r="F2412" s="46">
        <v>46097.325887245373</v>
      </c>
      <c r="G2412" s="46">
        <v>46097.325887245373</v>
      </c>
      <c r="H2412">
        <v>0</v>
      </c>
    </row>
    <row r="2413" spans="1:8" x14ac:dyDescent="0.15">
      <c r="A2413">
        <v>2412</v>
      </c>
      <c r="B2413" t="s">
        <v>339</v>
      </c>
      <c r="C2413" t="s">
        <v>353</v>
      </c>
      <c r="D2413" t="s">
        <v>5400</v>
      </c>
      <c r="E2413" t="s">
        <v>5399</v>
      </c>
      <c r="F2413" s="46">
        <v>46097.325887245373</v>
      </c>
      <c r="G2413" s="46">
        <v>46097.325887245373</v>
      </c>
      <c r="H2413">
        <v>0</v>
      </c>
    </row>
    <row r="2414" spans="1:8" x14ac:dyDescent="0.15">
      <c r="A2414">
        <v>2413</v>
      </c>
      <c r="B2414" t="s">
        <v>339</v>
      </c>
      <c r="C2414" t="s">
        <v>353</v>
      </c>
      <c r="D2414" t="s">
        <v>5401</v>
      </c>
      <c r="E2414" t="s">
        <v>5399</v>
      </c>
      <c r="F2414" s="46">
        <v>46097.325887245373</v>
      </c>
      <c r="G2414" s="46">
        <v>46097.325887245373</v>
      </c>
      <c r="H2414">
        <v>0</v>
      </c>
    </row>
    <row r="2415" spans="1:8" x14ac:dyDescent="0.15">
      <c r="A2415">
        <v>2414</v>
      </c>
      <c r="B2415" t="s">
        <v>339</v>
      </c>
      <c r="C2415" t="s">
        <v>353</v>
      </c>
      <c r="D2415" t="s">
        <v>5402</v>
      </c>
      <c r="E2415" t="s">
        <v>5399</v>
      </c>
      <c r="F2415" s="46">
        <v>46097.325887245373</v>
      </c>
      <c r="G2415" s="46">
        <v>46097.325887245373</v>
      </c>
      <c r="H2415">
        <v>0</v>
      </c>
    </row>
    <row r="2416" spans="1:8" x14ac:dyDescent="0.15">
      <c r="A2416">
        <v>2415</v>
      </c>
      <c r="B2416" t="s">
        <v>339</v>
      </c>
      <c r="C2416" t="s">
        <v>353</v>
      </c>
      <c r="D2416" t="s">
        <v>5403</v>
      </c>
      <c r="E2416" t="s">
        <v>5399</v>
      </c>
      <c r="F2416" s="46">
        <v>46097.325887245373</v>
      </c>
      <c r="G2416" s="46">
        <v>46097.325887245373</v>
      </c>
      <c r="H2416">
        <v>0</v>
      </c>
    </row>
    <row r="2417" spans="1:8" x14ac:dyDescent="0.15">
      <c r="A2417">
        <v>2416</v>
      </c>
      <c r="B2417" t="s">
        <v>339</v>
      </c>
      <c r="C2417" t="s">
        <v>353</v>
      </c>
      <c r="D2417" t="s">
        <v>5404</v>
      </c>
      <c r="E2417" t="s">
        <v>5399</v>
      </c>
      <c r="F2417" s="46">
        <v>46097.325887245373</v>
      </c>
      <c r="G2417" s="46">
        <v>46097.325887245373</v>
      </c>
      <c r="H2417">
        <v>0</v>
      </c>
    </row>
    <row r="2418" spans="1:8" x14ac:dyDescent="0.15">
      <c r="A2418">
        <v>2417</v>
      </c>
      <c r="B2418" t="s">
        <v>339</v>
      </c>
      <c r="C2418" t="s">
        <v>353</v>
      </c>
      <c r="D2418" t="s">
        <v>5405</v>
      </c>
      <c r="E2418" t="s">
        <v>5406</v>
      </c>
      <c r="F2418" s="46">
        <v>46097.325887245373</v>
      </c>
      <c r="G2418" s="46">
        <v>46097.325887418992</v>
      </c>
      <c r="H2418">
        <v>16</v>
      </c>
    </row>
    <row r="2419" spans="1:8" x14ac:dyDescent="0.15">
      <c r="A2419">
        <v>2418</v>
      </c>
      <c r="B2419" t="s">
        <v>339</v>
      </c>
      <c r="C2419" t="s">
        <v>353</v>
      </c>
      <c r="D2419" t="s">
        <v>5407</v>
      </c>
      <c r="E2419" t="s">
        <v>5406</v>
      </c>
      <c r="F2419" s="46">
        <v>46097.325887418992</v>
      </c>
      <c r="G2419" s="46">
        <v>46097.325887418992</v>
      </c>
      <c r="H2419">
        <v>0</v>
      </c>
    </row>
    <row r="2420" spans="1:8" x14ac:dyDescent="0.15">
      <c r="A2420">
        <v>2419</v>
      </c>
      <c r="B2420" t="s">
        <v>339</v>
      </c>
      <c r="C2420" t="s">
        <v>353</v>
      </c>
      <c r="D2420" t="s">
        <v>5408</v>
      </c>
      <c r="E2420" t="s">
        <v>5409</v>
      </c>
      <c r="F2420" s="46">
        <v>46097.325887418992</v>
      </c>
      <c r="G2420" s="46">
        <v>46097.325887418992</v>
      </c>
      <c r="H2420">
        <v>0</v>
      </c>
    </row>
    <row r="2421" spans="1:8" x14ac:dyDescent="0.15">
      <c r="A2421">
        <v>2420</v>
      </c>
      <c r="B2421" t="s">
        <v>339</v>
      </c>
      <c r="C2421" t="s">
        <v>353</v>
      </c>
      <c r="D2421" t="s">
        <v>5410</v>
      </c>
      <c r="E2421" t="s">
        <v>5409</v>
      </c>
      <c r="F2421" s="46">
        <v>46097.325887418992</v>
      </c>
      <c r="G2421" s="46">
        <v>46097.325887418992</v>
      </c>
      <c r="H2421">
        <v>0</v>
      </c>
    </row>
    <row r="2422" spans="1:8" x14ac:dyDescent="0.15">
      <c r="A2422">
        <v>2421</v>
      </c>
      <c r="B2422" t="s">
        <v>339</v>
      </c>
      <c r="C2422" t="s">
        <v>353</v>
      </c>
      <c r="D2422" t="s">
        <v>5411</v>
      </c>
      <c r="E2422" t="s">
        <v>5409</v>
      </c>
      <c r="F2422" s="46">
        <v>46097.325887418992</v>
      </c>
      <c r="G2422" s="46">
        <v>46097.325887418992</v>
      </c>
      <c r="H2422">
        <v>0</v>
      </c>
    </row>
    <row r="2423" spans="1:8" x14ac:dyDescent="0.15">
      <c r="A2423">
        <v>2422</v>
      </c>
      <c r="B2423" t="s">
        <v>339</v>
      </c>
      <c r="C2423" t="s">
        <v>353</v>
      </c>
      <c r="D2423" t="s">
        <v>5412</v>
      </c>
      <c r="E2423" t="s">
        <v>5413</v>
      </c>
      <c r="F2423" s="46">
        <v>46097.325887418992</v>
      </c>
      <c r="G2423" s="46">
        <v>46097.325887418992</v>
      </c>
      <c r="H2423">
        <v>0</v>
      </c>
    </row>
    <row r="2424" spans="1:8" x14ac:dyDescent="0.15">
      <c r="A2424">
        <v>2423</v>
      </c>
      <c r="B2424" t="s">
        <v>339</v>
      </c>
      <c r="C2424" t="s">
        <v>353</v>
      </c>
      <c r="D2424" t="s">
        <v>5414</v>
      </c>
      <c r="E2424" t="s">
        <v>5413</v>
      </c>
      <c r="F2424" s="46">
        <v>46097.325887418992</v>
      </c>
      <c r="G2424" s="46">
        <v>46097.325887418992</v>
      </c>
      <c r="H2424">
        <v>0</v>
      </c>
    </row>
    <row r="2425" spans="1:8" x14ac:dyDescent="0.15">
      <c r="A2425">
        <v>2424</v>
      </c>
      <c r="B2425" t="s">
        <v>339</v>
      </c>
      <c r="C2425" t="s">
        <v>353</v>
      </c>
      <c r="D2425" t="s">
        <v>5415</v>
      </c>
      <c r="E2425" t="s">
        <v>684</v>
      </c>
      <c r="F2425" s="46">
        <v>46097.325887418992</v>
      </c>
      <c r="G2425" s="46">
        <v>46097.325887418992</v>
      </c>
      <c r="H2425">
        <v>0</v>
      </c>
    </row>
    <row r="2426" spans="1:8" x14ac:dyDescent="0.15">
      <c r="A2426">
        <v>2425</v>
      </c>
      <c r="B2426" t="s">
        <v>339</v>
      </c>
      <c r="C2426" t="s">
        <v>353</v>
      </c>
      <c r="D2426" t="s">
        <v>5416</v>
      </c>
      <c r="E2426" t="s">
        <v>684</v>
      </c>
      <c r="F2426" s="46">
        <v>46097.325887418992</v>
      </c>
      <c r="G2426" s="46">
        <v>46097.325887418992</v>
      </c>
      <c r="H2426">
        <v>0</v>
      </c>
    </row>
    <row r="2427" spans="1:8" x14ac:dyDescent="0.15">
      <c r="A2427">
        <v>2426</v>
      </c>
      <c r="B2427" t="s">
        <v>339</v>
      </c>
      <c r="C2427" t="s">
        <v>353</v>
      </c>
      <c r="D2427" t="s">
        <v>5417</v>
      </c>
      <c r="E2427" t="s">
        <v>684</v>
      </c>
      <c r="F2427" s="46">
        <v>46097.325887418992</v>
      </c>
      <c r="G2427" s="46">
        <v>46097.325887418992</v>
      </c>
      <c r="H2427">
        <v>0</v>
      </c>
    </row>
    <row r="2428" spans="1:8" x14ac:dyDescent="0.15">
      <c r="A2428">
        <v>2427</v>
      </c>
      <c r="B2428" t="s">
        <v>339</v>
      </c>
      <c r="C2428" t="s">
        <v>353</v>
      </c>
      <c r="D2428" t="s">
        <v>5418</v>
      </c>
      <c r="E2428" t="s">
        <v>685</v>
      </c>
      <c r="F2428" s="46">
        <v>46097.325887418992</v>
      </c>
      <c r="G2428" s="46">
        <v>46097.325887418992</v>
      </c>
      <c r="H2428">
        <v>0</v>
      </c>
    </row>
    <row r="2429" spans="1:8" x14ac:dyDescent="0.15">
      <c r="A2429">
        <v>2428</v>
      </c>
      <c r="B2429" t="s">
        <v>339</v>
      </c>
      <c r="C2429" t="s">
        <v>353</v>
      </c>
      <c r="D2429" t="s">
        <v>5419</v>
      </c>
      <c r="E2429" t="s">
        <v>685</v>
      </c>
      <c r="F2429" s="46">
        <v>46097.325887418992</v>
      </c>
      <c r="G2429" s="46">
        <v>46097.325887604173</v>
      </c>
      <c r="H2429">
        <v>15</v>
      </c>
    </row>
    <row r="2430" spans="1:8" x14ac:dyDescent="0.15">
      <c r="A2430">
        <v>2429</v>
      </c>
      <c r="B2430" t="s">
        <v>339</v>
      </c>
      <c r="C2430" t="s">
        <v>353</v>
      </c>
      <c r="D2430" t="s">
        <v>5420</v>
      </c>
      <c r="E2430" t="s">
        <v>5421</v>
      </c>
      <c r="F2430" s="46">
        <v>46097.325887604173</v>
      </c>
      <c r="G2430" s="46">
        <v>46097.325887604173</v>
      </c>
      <c r="H2430">
        <v>0</v>
      </c>
    </row>
    <row r="2431" spans="1:8" x14ac:dyDescent="0.15">
      <c r="A2431">
        <v>2430</v>
      </c>
      <c r="B2431" t="s">
        <v>339</v>
      </c>
      <c r="C2431" t="s">
        <v>353</v>
      </c>
      <c r="D2431" t="s">
        <v>5422</v>
      </c>
      <c r="E2431" t="s">
        <v>5421</v>
      </c>
      <c r="F2431" s="46">
        <v>46097.325887604173</v>
      </c>
      <c r="G2431" s="46">
        <v>46097.325887604173</v>
      </c>
      <c r="H2431">
        <v>0</v>
      </c>
    </row>
    <row r="2432" spans="1:8" x14ac:dyDescent="0.15">
      <c r="A2432">
        <v>2431</v>
      </c>
      <c r="B2432" t="s">
        <v>339</v>
      </c>
      <c r="C2432" t="s">
        <v>353</v>
      </c>
      <c r="D2432" t="s">
        <v>5423</v>
      </c>
      <c r="E2432" t="s">
        <v>5424</v>
      </c>
      <c r="F2432" s="46">
        <v>46097.325887604173</v>
      </c>
      <c r="G2432" s="46">
        <v>46097.325887604173</v>
      </c>
      <c r="H2432">
        <v>0</v>
      </c>
    </row>
    <row r="2433" spans="1:8" x14ac:dyDescent="0.15">
      <c r="A2433">
        <v>2432</v>
      </c>
      <c r="B2433" t="s">
        <v>339</v>
      </c>
      <c r="C2433" t="s">
        <v>353</v>
      </c>
      <c r="D2433" t="s">
        <v>5425</v>
      </c>
      <c r="E2433" t="s">
        <v>5424</v>
      </c>
      <c r="F2433" s="46">
        <v>46097.325887604173</v>
      </c>
      <c r="G2433" s="46">
        <v>46097.325887604173</v>
      </c>
      <c r="H2433">
        <v>0</v>
      </c>
    </row>
    <row r="2434" spans="1:8" x14ac:dyDescent="0.15">
      <c r="A2434">
        <v>2433</v>
      </c>
      <c r="B2434" t="s">
        <v>339</v>
      </c>
      <c r="C2434" t="s">
        <v>353</v>
      </c>
      <c r="D2434" t="s">
        <v>5426</v>
      </c>
      <c r="E2434" t="s">
        <v>5424</v>
      </c>
      <c r="F2434" s="46">
        <v>46097.325887604173</v>
      </c>
      <c r="G2434" s="46">
        <v>46097.325887604173</v>
      </c>
      <c r="H2434">
        <v>0</v>
      </c>
    </row>
    <row r="2435" spans="1:8" x14ac:dyDescent="0.15">
      <c r="A2435">
        <v>2434</v>
      </c>
      <c r="B2435" t="s">
        <v>339</v>
      </c>
      <c r="C2435" t="s">
        <v>353</v>
      </c>
      <c r="D2435" t="s">
        <v>5427</v>
      </c>
      <c r="E2435" t="s">
        <v>5428</v>
      </c>
      <c r="F2435" s="46">
        <v>46097.325887604173</v>
      </c>
      <c r="G2435" s="46">
        <v>46097.325887604173</v>
      </c>
      <c r="H2435">
        <v>0</v>
      </c>
    </row>
    <row r="2436" spans="1:8" x14ac:dyDescent="0.15">
      <c r="A2436">
        <v>2435</v>
      </c>
      <c r="B2436" t="s">
        <v>339</v>
      </c>
      <c r="C2436" t="s">
        <v>353</v>
      </c>
      <c r="D2436" t="s">
        <v>5429</v>
      </c>
      <c r="E2436" t="s">
        <v>5430</v>
      </c>
      <c r="F2436" s="46">
        <v>46097.325887604173</v>
      </c>
      <c r="G2436" s="46">
        <v>46097.325887604173</v>
      </c>
      <c r="H2436">
        <v>0</v>
      </c>
    </row>
    <row r="2437" spans="1:8" x14ac:dyDescent="0.15">
      <c r="A2437">
        <v>2436</v>
      </c>
      <c r="B2437" t="s">
        <v>339</v>
      </c>
      <c r="C2437" t="s">
        <v>353</v>
      </c>
      <c r="D2437" t="s">
        <v>5431</v>
      </c>
      <c r="E2437" t="s">
        <v>686</v>
      </c>
      <c r="F2437" s="46">
        <v>46097.325887604173</v>
      </c>
      <c r="G2437" s="46">
        <v>46097.325887604173</v>
      </c>
      <c r="H2437">
        <v>0</v>
      </c>
    </row>
    <row r="2438" spans="1:8" x14ac:dyDescent="0.15">
      <c r="A2438">
        <v>2437</v>
      </c>
      <c r="B2438" t="s">
        <v>339</v>
      </c>
      <c r="C2438" t="s">
        <v>353</v>
      </c>
      <c r="D2438" t="s">
        <v>5432</v>
      </c>
      <c r="E2438" t="s">
        <v>686</v>
      </c>
      <c r="F2438" s="46">
        <v>46097.325887604173</v>
      </c>
      <c r="G2438" s="46">
        <v>46097.325887604173</v>
      </c>
      <c r="H2438">
        <v>0</v>
      </c>
    </row>
    <row r="2439" spans="1:8" x14ac:dyDescent="0.15">
      <c r="A2439">
        <v>2438</v>
      </c>
      <c r="B2439" t="s">
        <v>339</v>
      </c>
      <c r="C2439" t="s">
        <v>353</v>
      </c>
      <c r="D2439" t="s">
        <v>5433</v>
      </c>
      <c r="E2439" t="s">
        <v>687</v>
      </c>
      <c r="F2439" s="46">
        <v>46097.325887604173</v>
      </c>
      <c r="G2439" s="46">
        <v>46097.325887777777</v>
      </c>
      <c r="H2439">
        <v>16</v>
      </c>
    </row>
    <row r="2440" spans="1:8" x14ac:dyDescent="0.15">
      <c r="A2440">
        <v>2439</v>
      </c>
      <c r="B2440" t="s">
        <v>339</v>
      </c>
      <c r="C2440" t="s">
        <v>353</v>
      </c>
      <c r="D2440" t="s">
        <v>5434</v>
      </c>
      <c r="E2440" t="s">
        <v>687</v>
      </c>
      <c r="F2440" s="46">
        <v>46097.325887777777</v>
      </c>
      <c r="G2440" s="46">
        <v>46097.325887777777</v>
      </c>
      <c r="H2440">
        <v>0</v>
      </c>
    </row>
    <row r="2441" spans="1:8" x14ac:dyDescent="0.15">
      <c r="A2441">
        <v>2440</v>
      </c>
      <c r="B2441" t="s">
        <v>339</v>
      </c>
      <c r="C2441" t="s">
        <v>353</v>
      </c>
      <c r="D2441" t="s">
        <v>5435</v>
      </c>
      <c r="E2441" t="s">
        <v>688</v>
      </c>
      <c r="F2441" s="46">
        <v>46097.325887777777</v>
      </c>
      <c r="G2441" s="46">
        <v>46097.325887777777</v>
      </c>
      <c r="H2441">
        <v>0</v>
      </c>
    </row>
    <row r="2442" spans="1:8" x14ac:dyDescent="0.15">
      <c r="A2442">
        <v>2441</v>
      </c>
      <c r="B2442" t="s">
        <v>339</v>
      </c>
      <c r="C2442" t="s">
        <v>353</v>
      </c>
      <c r="D2442" t="s">
        <v>5436</v>
      </c>
      <c r="E2442" t="s">
        <v>688</v>
      </c>
      <c r="F2442" s="46">
        <v>46097.325887777777</v>
      </c>
      <c r="G2442" s="46">
        <v>46097.325887777777</v>
      </c>
      <c r="H2442">
        <v>0</v>
      </c>
    </row>
    <row r="2443" spans="1:8" x14ac:dyDescent="0.15">
      <c r="A2443">
        <v>2442</v>
      </c>
      <c r="B2443" t="s">
        <v>339</v>
      </c>
      <c r="C2443" t="s">
        <v>353</v>
      </c>
      <c r="D2443" t="s">
        <v>5437</v>
      </c>
      <c r="E2443" t="s">
        <v>688</v>
      </c>
      <c r="F2443" s="46">
        <v>46097.325887777777</v>
      </c>
      <c r="G2443" s="46">
        <v>46097.325887777777</v>
      </c>
      <c r="H2443">
        <v>0</v>
      </c>
    </row>
    <row r="2444" spans="1:8" x14ac:dyDescent="0.15">
      <c r="A2444">
        <v>2443</v>
      </c>
      <c r="B2444" t="s">
        <v>339</v>
      </c>
      <c r="C2444" t="s">
        <v>353</v>
      </c>
      <c r="D2444" t="s">
        <v>5438</v>
      </c>
      <c r="E2444" t="s">
        <v>688</v>
      </c>
      <c r="F2444" s="46">
        <v>46097.325887777777</v>
      </c>
      <c r="G2444" s="46">
        <v>46097.325887777777</v>
      </c>
      <c r="H2444">
        <v>0</v>
      </c>
    </row>
    <row r="2445" spans="1:8" x14ac:dyDescent="0.15">
      <c r="A2445">
        <v>2444</v>
      </c>
      <c r="B2445" t="s">
        <v>339</v>
      </c>
      <c r="C2445" t="s">
        <v>353</v>
      </c>
      <c r="D2445" t="s">
        <v>5439</v>
      </c>
      <c r="E2445" t="s">
        <v>5440</v>
      </c>
      <c r="F2445" s="46">
        <v>46097.325887777777</v>
      </c>
      <c r="G2445" s="46">
        <v>46097.325887777777</v>
      </c>
      <c r="H2445">
        <v>0</v>
      </c>
    </row>
    <row r="2446" spans="1:8" x14ac:dyDescent="0.15">
      <c r="A2446">
        <v>2445</v>
      </c>
      <c r="B2446" t="s">
        <v>339</v>
      </c>
      <c r="C2446" t="s">
        <v>353</v>
      </c>
      <c r="D2446" t="s">
        <v>5441</v>
      </c>
      <c r="E2446" t="s">
        <v>5440</v>
      </c>
      <c r="F2446" s="46">
        <v>46097.325887777777</v>
      </c>
      <c r="G2446" s="46">
        <v>46097.325887777777</v>
      </c>
      <c r="H2446">
        <v>0</v>
      </c>
    </row>
    <row r="2447" spans="1:8" x14ac:dyDescent="0.15">
      <c r="A2447">
        <v>2446</v>
      </c>
      <c r="B2447" t="s">
        <v>339</v>
      </c>
      <c r="C2447" t="s">
        <v>353</v>
      </c>
      <c r="D2447" t="s">
        <v>5442</v>
      </c>
      <c r="E2447" t="s">
        <v>5440</v>
      </c>
      <c r="F2447" s="46">
        <v>46097.325887777777</v>
      </c>
      <c r="G2447" s="46">
        <v>46097.325887777777</v>
      </c>
      <c r="H2447">
        <v>0</v>
      </c>
    </row>
    <row r="2448" spans="1:8" x14ac:dyDescent="0.15">
      <c r="A2448">
        <v>2447</v>
      </c>
      <c r="B2448" t="s">
        <v>339</v>
      </c>
      <c r="C2448" t="s">
        <v>353</v>
      </c>
      <c r="D2448" t="s">
        <v>5443</v>
      </c>
      <c r="E2448" t="s">
        <v>5440</v>
      </c>
      <c r="F2448" s="46">
        <v>46097.325887777777</v>
      </c>
      <c r="G2448" s="46">
        <v>46097.325887777777</v>
      </c>
      <c r="H2448">
        <v>0</v>
      </c>
    </row>
    <row r="2449" spans="1:8" x14ac:dyDescent="0.15">
      <c r="A2449">
        <v>2448</v>
      </c>
      <c r="B2449" t="s">
        <v>339</v>
      </c>
      <c r="C2449" t="s">
        <v>353</v>
      </c>
      <c r="D2449" t="s">
        <v>5444</v>
      </c>
      <c r="E2449" t="s">
        <v>5440</v>
      </c>
      <c r="F2449" s="46">
        <v>46097.325887777777</v>
      </c>
      <c r="G2449" s="46">
        <v>46097.325887962957</v>
      </c>
      <c r="H2449">
        <v>16</v>
      </c>
    </row>
    <row r="2450" spans="1:8" x14ac:dyDescent="0.15">
      <c r="A2450">
        <v>2449</v>
      </c>
      <c r="B2450" t="s">
        <v>339</v>
      </c>
      <c r="C2450" t="s">
        <v>353</v>
      </c>
      <c r="D2450" t="s">
        <v>5445</v>
      </c>
      <c r="E2450" t="s">
        <v>5446</v>
      </c>
      <c r="F2450" s="46">
        <v>46097.325887962957</v>
      </c>
      <c r="G2450" s="46">
        <v>46097.325887962957</v>
      </c>
      <c r="H2450">
        <v>0</v>
      </c>
    </row>
    <row r="2451" spans="1:8" x14ac:dyDescent="0.15">
      <c r="A2451">
        <v>2450</v>
      </c>
      <c r="B2451" t="s">
        <v>339</v>
      </c>
      <c r="C2451" t="s">
        <v>353</v>
      </c>
      <c r="D2451" t="s">
        <v>5447</v>
      </c>
      <c r="E2451" t="s">
        <v>5446</v>
      </c>
      <c r="F2451" s="46">
        <v>46097.325887962957</v>
      </c>
      <c r="G2451" s="46">
        <v>46097.325887962957</v>
      </c>
      <c r="H2451">
        <v>0</v>
      </c>
    </row>
    <row r="2452" spans="1:8" x14ac:dyDescent="0.15">
      <c r="A2452">
        <v>2451</v>
      </c>
      <c r="B2452" t="s">
        <v>339</v>
      </c>
      <c r="C2452" t="s">
        <v>353</v>
      </c>
      <c r="D2452" t="s">
        <v>5448</v>
      </c>
      <c r="E2452" t="s">
        <v>5446</v>
      </c>
      <c r="F2452" s="46">
        <v>46097.325887962957</v>
      </c>
      <c r="G2452" s="46">
        <v>46097.325887962957</v>
      </c>
      <c r="H2452">
        <v>0</v>
      </c>
    </row>
    <row r="2453" spans="1:8" x14ac:dyDescent="0.15">
      <c r="A2453">
        <v>2452</v>
      </c>
      <c r="B2453" t="s">
        <v>339</v>
      </c>
      <c r="C2453" t="s">
        <v>353</v>
      </c>
      <c r="D2453" t="s">
        <v>5449</v>
      </c>
      <c r="E2453" t="s">
        <v>5450</v>
      </c>
      <c r="F2453" s="46">
        <v>46097.325887962957</v>
      </c>
      <c r="G2453" s="46">
        <v>46097.325887962957</v>
      </c>
      <c r="H2453">
        <v>0</v>
      </c>
    </row>
    <row r="2454" spans="1:8" x14ac:dyDescent="0.15">
      <c r="A2454">
        <v>2453</v>
      </c>
      <c r="B2454" t="s">
        <v>339</v>
      </c>
      <c r="C2454" t="s">
        <v>353</v>
      </c>
      <c r="D2454" t="s">
        <v>5451</v>
      </c>
      <c r="E2454" t="s">
        <v>5450</v>
      </c>
      <c r="F2454" s="46">
        <v>46097.325887962957</v>
      </c>
      <c r="G2454" s="46">
        <v>46097.325887962957</v>
      </c>
      <c r="H2454">
        <v>0</v>
      </c>
    </row>
    <row r="2455" spans="1:8" x14ac:dyDescent="0.15">
      <c r="A2455">
        <v>2454</v>
      </c>
      <c r="B2455" t="s">
        <v>339</v>
      </c>
      <c r="C2455" t="s">
        <v>353</v>
      </c>
      <c r="D2455" t="s">
        <v>5452</v>
      </c>
      <c r="E2455" t="s">
        <v>689</v>
      </c>
      <c r="F2455" s="46">
        <v>46097.325887962957</v>
      </c>
      <c r="G2455" s="46">
        <v>46097.325887962957</v>
      </c>
      <c r="H2455">
        <v>0</v>
      </c>
    </row>
    <row r="2456" spans="1:8" x14ac:dyDescent="0.15">
      <c r="A2456">
        <v>2455</v>
      </c>
      <c r="B2456" t="s">
        <v>339</v>
      </c>
      <c r="C2456" t="s">
        <v>353</v>
      </c>
      <c r="D2456" t="s">
        <v>5453</v>
      </c>
      <c r="E2456" t="s">
        <v>689</v>
      </c>
      <c r="F2456" s="46">
        <v>46097.325887962957</v>
      </c>
      <c r="G2456" s="46">
        <v>46097.325887962957</v>
      </c>
      <c r="H2456">
        <v>0</v>
      </c>
    </row>
    <row r="2457" spans="1:8" x14ac:dyDescent="0.15">
      <c r="A2457">
        <v>2456</v>
      </c>
      <c r="B2457" t="s">
        <v>339</v>
      </c>
      <c r="C2457" t="s">
        <v>353</v>
      </c>
      <c r="D2457" t="s">
        <v>5454</v>
      </c>
      <c r="E2457" t="s">
        <v>689</v>
      </c>
      <c r="F2457" s="46">
        <v>46097.325887962957</v>
      </c>
      <c r="G2457" s="46">
        <v>46097.325887962957</v>
      </c>
      <c r="H2457">
        <v>0</v>
      </c>
    </row>
    <row r="2458" spans="1:8" x14ac:dyDescent="0.15">
      <c r="A2458">
        <v>2457</v>
      </c>
      <c r="B2458" t="s">
        <v>339</v>
      </c>
      <c r="C2458" t="s">
        <v>353</v>
      </c>
      <c r="D2458" t="s">
        <v>5455</v>
      </c>
      <c r="E2458" t="s">
        <v>689</v>
      </c>
      <c r="F2458" s="46">
        <v>46097.325887962957</v>
      </c>
      <c r="G2458" s="46">
        <v>46097.325887962957</v>
      </c>
      <c r="H2458">
        <v>0</v>
      </c>
    </row>
    <row r="2459" spans="1:8" x14ac:dyDescent="0.15">
      <c r="A2459">
        <v>2458</v>
      </c>
      <c r="B2459" t="s">
        <v>339</v>
      </c>
      <c r="C2459" t="s">
        <v>353</v>
      </c>
      <c r="D2459" t="s">
        <v>5456</v>
      </c>
      <c r="E2459" t="s">
        <v>689</v>
      </c>
      <c r="F2459" s="46">
        <v>46097.325887962957</v>
      </c>
      <c r="G2459" s="46">
        <v>46097.325887962957</v>
      </c>
      <c r="H2459">
        <v>0</v>
      </c>
    </row>
    <row r="2460" spans="1:8" x14ac:dyDescent="0.15">
      <c r="A2460">
        <v>2459</v>
      </c>
      <c r="B2460" t="s">
        <v>339</v>
      </c>
      <c r="C2460" t="s">
        <v>353</v>
      </c>
      <c r="D2460" t="s">
        <v>5457</v>
      </c>
      <c r="E2460" t="s">
        <v>689</v>
      </c>
      <c r="F2460" s="46">
        <v>46097.325887962957</v>
      </c>
      <c r="G2460" s="46">
        <v>46097.325888148152</v>
      </c>
      <c r="H2460">
        <v>15</v>
      </c>
    </row>
    <row r="2461" spans="1:8" x14ac:dyDescent="0.15">
      <c r="A2461">
        <v>2460</v>
      </c>
      <c r="B2461" t="s">
        <v>339</v>
      </c>
      <c r="C2461" t="s">
        <v>353</v>
      </c>
      <c r="D2461" t="s">
        <v>5458</v>
      </c>
      <c r="E2461" t="s">
        <v>689</v>
      </c>
      <c r="F2461" s="46">
        <v>46097.325888148152</v>
      </c>
      <c r="G2461" s="46">
        <v>46097.325888148152</v>
      </c>
      <c r="H2461">
        <v>0</v>
      </c>
    </row>
    <row r="2462" spans="1:8" x14ac:dyDescent="0.15">
      <c r="A2462">
        <v>2461</v>
      </c>
      <c r="B2462" t="s">
        <v>339</v>
      </c>
      <c r="C2462" t="s">
        <v>353</v>
      </c>
      <c r="D2462" t="s">
        <v>5459</v>
      </c>
      <c r="E2462" t="s">
        <v>689</v>
      </c>
      <c r="F2462" s="46">
        <v>46097.325888148152</v>
      </c>
      <c r="G2462" s="46">
        <v>46097.325888148152</v>
      </c>
      <c r="H2462">
        <v>0</v>
      </c>
    </row>
    <row r="2463" spans="1:8" x14ac:dyDescent="0.15">
      <c r="A2463">
        <v>2462</v>
      </c>
      <c r="B2463" t="s">
        <v>339</v>
      </c>
      <c r="C2463" t="s">
        <v>353</v>
      </c>
      <c r="D2463" t="s">
        <v>5460</v>
      </c>
      <c r="E2463" t="s">
        <v>689</v>
      </c>
      <c r="F2463" s="46">
        <v>46097.325888148152</v>
      </c>
      <c r="G2463" s="46">
        <v>46097.325888148152</v>
      </c>
      <c r="H2463">
        <v>0</v>
      </c>
    </row>
    <row r="2464" spans="1:8" x14ac:dyDescent="0.15">
      <c r="A2464">
        <v>2463</v>
      </c>
      <c r="B2464" t="s">
        <v>339</v>
      </c>
      <c r="C2464" t="s">
        <v>353</v>
      </c>
      <c r="D2464" t="s">
        <v>5461</v>
      </c>
      <c r="E2464" t="s">
        <v>689</v>
      </c>
      <c r="F2464" s="46">
        <v>46097.325888148152</v>
      </c>
      <c r="G2464" s="46">
        <v>46097.325888148152</v>
      </c>
      <c r="H2464">
        <v>0</v>
      </c>
    </row>
    <row r="2465" spans="1:8" x14ac:dyDescent="0.15">
      <c r="A2465">
        <v>2464</v>
      </c>
      <c r="B2465" t="s">
        <v>339</v>
      </c>
      <c r="C2465" t="s">
        <v>353</v>
      </c>
      <c r="D2465" t="s">
        <v>5462</v>
      </c>
      <c r="E2465" t="s">
        <v>689</v>
      </c>
      <c r="F2465" s="46">
        <v>46097.325888148152</v>
      </c>
      <c r="G2465" s="46">
        <v>46097.325888148152</v>
      </c>
      <c r="H2465">
        <v>0</v>
      </c>
    </row>
    <row r="2466" spans="1:8" x14ac:dyDescent="0.15">
      <c r="A2466">
        <v>2465</v>
      </c>
      <c r="B2466" t="s">
        <v>339</v>
      </c>
      <c r="C2466" t="s">
        <v>353</v>
      </c>
      <c r="D2466" t="s">
        <v>5463</v>
      </c>
      <c r="E2466" t="s">
        <v>690</v>
      </c>
      <c r="F2466" s="46">
        <v>46097.325888148152</v>
      </c>
      <c r="G2466" s="46">
        <v>46097.325888148152</v>
      </c>
      <c r="H2466">
        <v>0</v>
      </c>
    </row>
    <row r="2467" spans="1:8" x14ac:dyDescent="0.15">
      <c r="A2467">
        <v>2466</v>
      </c>
      <c r="B2467" t="s">
        <v>339</v>
      </c>
      <c r="C2467" t="s">
        <v>353</v>
      </c>
      <c r="D2467" t="s">
        <v>5464</v>
      </c>
      <c r="E2467" t="s">
        <v>690</v>
      </c>
      <c r="F2467" s="46">
        <v>46097.325888148152</v>
      </c>
      <c r="G2467" s="46">
        <v>46097.325888148152</v>
      </c>
      <c r="H2467">
        <v>0</v>
      </c>
    </row>
    <row r="2468" spans="1:8" x14ac:dyDescent="0.15">
      <c r="A2468">
        <v>2467</v>
      </c>
      <c r="B2468" t="s">
        <v>339</v>
      </c>
      <c r="C2468" t="s">
        <v>353</v>
      </c>
      <c r="D2468" t="s">
        <v>5465</v>
      </c>
      <c r="E2468" t="s">
        <v>690</v>
      </c>
      <c r="F2468" s="46">
        <v>46097.325888148152</v>
      </c>
      <c r="G2468" s="46">
        <v>46097.325888148152</v>
      </c>
      <c r="H2468">
        <v>0</v>
      </c>
    </row>
    <row r="2469" spans="1:8" x14ac:dyDescent="0.15">
      <c r="A2469">
        <v>2468</v>
      </c>
      <c r="B2469" t="s">
        <v>339</v>
      </c>
      <c r="C2469" t="s">
        <v>353</v>
      </c>
      <c r="D2469" t="s">
        <v>5466</v>
      </c>
      <c r="E2469" t="s">
        <v>690</v>
      </c>
      <c r="F2469" s="46">
        <v>46097.325888148152</v>
      </c>
      <c r="G2469" s="46">
        <v>46097.325888148152</v>
      </c>
      <c r="H2469">
        <v>0</v>
      </c>
    </row>
    <row r="2470" spans="1:8" x14ac:dyDescent="0.15">
      <c r="A2470">
        <v>2469</v>
      </c>
      <c r="B2470" t="s">
        <v>339</v>
      </c>
      <c r="C2470" t="s">
        <v>353</v>
      </c>
      <c r="D2470" t="s">
        <v>5467</v>
      </c>
      <c r="E2470" t="s">
        <v>690</v>
      </c>
      <c r="F2470" s="46">
        <v>46097.325888148152</v>
      </c>
      <c r="G2470" s="46">
        <v>46097.325888321757</v>
      </c>
      <c r="H2470">
        <v>16</v>
      </c>
    </row>
    <row r="2471" spans="1:8" x14ac:dyDescent="0.15">
      <c r="A2471">
        <v>2470</v>
      </c>
      <c r="B2471" t="s">
        <v>339</v>
      </c>
      <c r="C2471" t="s">
        <v>353</v>
      </c>
      <c r="D2471" t="s">
        <v>5468</v>
      </c>
      <c r="E2471" t="s">
        <v>690</v>
      </c>
      <c r="F2471" s="46">
        <v>46097.325888321757</v>
      </c>
      <c r="G2471" s="46">
        <v>46097.325888321757</v>
      </c>
      <c r="H2471">
        <v>0</v>
      </c>
    </row>
    <row r="2472" spans="1:8" x14ac:dyDescent="0.15">
      <c r="A2472">
        <v>2471</v>
      </c>
      <c r="B2472" t="s">
        <v>339</v>
      </c>
      <c r="C2472" t="s">
        <v>353</v>
      </c>
      <c r="D2472" t="s">
        <v>5469</v>
      </c>
      <c r="E2472" t="s">
        <v>690</v>
      </c>
      <c r="F2472" s="46">
        <v>46097.325888321757</v>
      </c>
      <c r="G2472" s="46">
        <v>46097.325888321757</v>
      </c>
      <c r="H2472">
        <v>0</v>
      </c>
    </row>
    <row r="2473" spans="1:8" x14ac:dyDescent="0.15">
      <c r="A2473">
        <v>2472</v>
      </c>
      <c r="B2473" t="s">
        <v>339</v>
      </c>
      <c r="C2473" t="s">
        <v>353</v>
      </c>
      <c r="D2473" t="s">
        <v>5470</v>
      </c>
      <c r="E2473" t="s">
        <v>690</v>
      </c>
      <c r="F2473" s="46">
        <v>46097.325888321757</v>
      </c>
      <c r="G2473" s="46">
        <v>46097.325888321757</v>
      </c>
      <c r="H2473">
        <v>0</v>
      </c>
    </row>
    <row r="2474" spans="1:8" x14ac:dyDescent="0.15">
      <c r="A2474">
        <v>2473</v>
      </c>
      <c r="B2474" t="s">
        <v>339</v>
      </c>
      <c r="C2474" t="s">
        <v>353</v>
      </c>
      <c r="D2474" t="s">
        <v>5471</v>
      </c>
      <c r="E2474" t="s">
        <v>690</v>
      </c>
      <c r="F2474" s="46">
        <v>46097.325888321757</v>
      </c>
      <c r="G2474" s="46">
        <v>46097.325888321757</v>
      </c>
      <c r="H2474">
        <v>0</v>
      </c>
    </row>
    <row r="2475" spans="1:8" x14ac:dyDescent="0.15">
      <c r="A2475">
        <v>2474</v>
      </c>
      <c r="B2475" t="s">
        <v>339</v>
      </c>
      <c r="C2475" t="s">
        <v>353</v>
      </c>
      <c r="D2475" t="s">
        <v>5472</v>
      </c>
      <c r="E2475" t="s">
        <v>690</v>
      </c>
      <c r="F2475" s="46">
        <v>46097.325888321757</v>
      </c>
      <c r="G2475" s="46">
        <v>46097.325888321757</v>
      </c>
      <c r="H2475">
        <v>0</v>
      </c>
    </row>
    <row r="2476" spans="1:8" x14ac:dyDescent="0.15">
      <c r="A2476">
        <v>2475</v>
      </c>
      <c r="B2476" t="s">
        <v>339</v>
      </c>
      <c r="C2476" t="s">
        <v>353</v>
      </c>
      <c r="D2476" t="s">
        <v>5473</v>
      </c>
      <c r="E2476" t="s">
        <v>690</v>
      </c>
      <c r="F2476" s="46">
        <v>46097.325888321757</v>
      </c>
      <c r="G2476" s="46">
        <v>46097.325888321757</v>
      </c>
      <c r="H2476">
        <v>0</v>
      </c>
    </row>
    <row r="2477" spans="1:8" x14ac:dyDescent="0.15">
      <c r="A2477">
        <v>2476</v>
      </c>
      <c r="B2477" t="s">
        <v>339</v>
      </c>
      <c r="C2477" t="s">
        <v>353</v>
      </c>
      <c r="D2477" t="s">
        <v>5474</v>
      </c>
      <c r="E2477" t="s">
        <v>690</v>
      </c>
      <c r="F2477" s="46">
        <v>46097.325888321757</v>
      </c>
      <c r="G2477" s="46">
        <v>46097.325888321757</v>
      </c>
      <c r="H2477">
        <v>0</v>
      </c>
    </row>
    <row r="2478" spans="1:8" x14ac:dyDescent="0.15">
      <c r="A2478">
        <v>2477</v>
      </c>
      <c r="B2478" t="s">
        <v>339</v>
      </c>
      <c r="C2478" t="s">
        <v>353</v>
      </c>
      <c r="D2478" t="s">
        <v>5475</v>
      </c>
      <c r="E2478" t="s">
        <v>690</v>
      </c>
      <c r="F2478" s="46">
        <v>46097.325888321757</v>
      </c>
      <c r="G2478" s="46">
        <v>46097.325888321757</v>
      </c>
      <c r="H2478">
        <v>0</v>
      </c>
    </row>
    <row r="2479" spans="1:8" x14ac:dyDescent="0.15">
      <c r="A2479">
        <v>2478</v>
      </c>
      <c r="B2479" t="s">
        <v>339</v>
      </c>
      <c r="C2479" t="s">
        <v>353</v>
      </c>
      <c r="D2479" t="s">
        <v>5476</v>
      </c>
      <c r="E2479" t="s">
        <v>690</v>
      </c>
      <c r="F2479" s="46">
        <v>46097.325888321757</v>
      </c>
      <c r="G2479" s="46">
        <v>46097.325888321757</v>
      </c>
      <c r="H2479">
        <v>0</v>
      </c>
    </row>
    <row r="2480" spans="1:8" x14ac:dyDescent="0.15">
      <c r="A2480">
        <v>2479</v>
      </c>
      <c r="B2480" t="s">
        <v>339</v>
      </c>
      <c r="C2480" t="s">
        <v>353</v>
      </c>
      <c r="D2480" t="s">
        <v>5477</v>
      </c>
      <c r="E2480" t="s">
        <v>690</v>
      </c>
      <c r="F2480" s="46">
        <v>46097.325888321757</v>
      </c>
      <c r="G2480" s="46">
        <v>46097.325888321757</v>
      </c>
      <c r="H2480">
        <v>0</v>
      </c>
    </row>
    <row r="2481" spans="1:8" x14ac:dyDescent="0.15">
      <c r="A2481">
        <v>2480</v>
      </c>
      <c r="B2481" t="s">
        <v>339</v>
      </c>
      <c r="C2481" t="s">
        <v>353</v>
      </c>
      <c r="D2481" t="s">
        <v>5478</v>
      </c>
      <c r="E2481" t="s">
        <v>690</v>
      </c>
      <c r="F2481" s="46">
        <v>46097.325888321757</v>
      </c>
      <c r="G2481" s="46">
        <v>46097.325888506937</v>
      </c>
      <c r="H2481">
        <v>15</v>
      </c>
    </row>
    <row r="2482" spans="1:8" x14ac:dyDescent="0.15">
      <c r="A2482">
        <v>2481</v>
      </c>
      <c r="B2482" t="s">
        <v>339</v>
      </c>
      <c r="C2482" t="s">
        <v>353</v>
      </c>
      <c r="D2482" t="s">
        <v>5479</v>
      </c>
      <c r="E2482" t="s">
        <v>690</v>
      </c>
      <c r="F2482" s="46">
        <v>46097.325888506937</v>
      </c>
      <c r="G2482" s="46">
        <v>46097.325888506937</v>
      </c>
      <c r="H2482">
        <v>0</v>
      </c>
    </row>
    <row r="2483" spans="1:8" x14ac:dyDescent="0.15">
      <c r="A2483">
        <v>2482</v>
      </c>
      <c r="B2483" t="s">
        <v>339</v>
      </c>
      <c r="C2483" t="s">
        <v>353</v>
      </c>
      <c r="D2483" t="s">
        <v>5480</v>
      </c>
      <c r="E2483" t="s">
        <v>690</v>
      </c>
      <c r="F2483" s="46">
        <v>46097.325888506937</v>
      </c>
      <c r="G2483" s="46">
        <v>46097.325888506937</v>
      </c>
      <c r="H2483">
        <v>0</v>
      </c>
    </row>
    <row r="2484" spans="1:8" x14ac:dyDescent="0.15">
      <c r="A2484">
        <v>2483</v>
      </c>
      <c r="B2484" t="s">
        <v>339</v>
      </c>
      <c r="C2484" t="s">
        <v>353</v>
      </c>
      <c r="D2484" t="s">
        <v>5481</v>
      </c>
      <c r="E2484" t="s">
        <v>690</v>
      </c>
      <c r="F2484" s="46">
        <v>46097.325888506937</v>
      </c>
      <c r="G2484" s="46">
        <v>46097.325888506937</v>
      </c>
      <c r="H2484">
        <v>0</v>
      </c>
    </row>
    <row r="2485" spans="1:8" x14ac:dyDescent="0.15">
      <c r="A2485">
        <v>2484</v>
      </c>
      <c r="B2485" t="s">
        <v>339</v>
      </c>
      <c r="C2485" t="s">
        <v>353</v>
      </c>
      <c r="D2485" t="s">
        <v>5482</v>
      </c>
      <c r="E2485" t="s">
        <v>690</v>
      </c>
      <c r="F2485" s="46">
        <v>46097.325888506937</v>
      </c>
      <c r="G2485" s="46">
        <v>46097.325888506937</v>
      </c>
      <c r="H2485">
        <v>0</v>
      </c>
    </row>
    <row r="2486" spans="1:8" x14ac:dyDescent="0.15">
      <c r="A2486">
        <v>2485</v>
      </c>
      <c r="B2486" t="s">
        <v>339</v>
      </c>
      <c r="C2486" t="s">
        <v>353</v>
      </c>
      <c r="D2486" t="s">
        <v>5483</v>
      </c>
      <c r="E2486" t="s">
        <v>690</v>
      </c>
      <c r="F2486" s="46">
        <v>46097.325888506937</v>
      </c>
      <c r="G2486" s="46">
        <v>46097.325888506937</v>
      </c>
      <c r="H2486">
        <v>0</v>
      </c>
    </row>
    <row r="2487" spans="1:8" x14ac:dyDescent="0.15">
      <c r="A2487">
        <v>2486</v>
      </c>
      <c r="B2487" t="s">
        <v>339</v>
      </c>
      <c r="C2487" t="s">
        <v>353</v>
      </c>
      <c r="D2487" t="s">
        <v>5484</v>
      </c>
      <c r="E2487" t="s">
        <v>690</v>
      </c>
      <c r="F2487" s="46">
        <v>46097.325888506937</v>
      </c>
      <c r="G2487" s="46">
        <v>46097.325888506937</v>
      </c>
      <c r="H2487">
        <v>0</v>
      </c>
    </row>
    <row r="2488" spans="1:8" x14ac:dyDescent="0.15">
      <c r="A2488">
        <v>2487</v>
      </c>
      <c r="B2488" t="s">
        <v>339</v>
      </c>
      <c r="C2488" t="s">
        <v>353</v>
      </c>
      <c r="D2488" t="s">
        <v>5485</v>
      </c>
      <c r="E2488" t="s">
        <v>690</v>
      </c>
      <c r="F2488" s="46">
        <v>46097.325888506937</v>
      </c>
      <c r="G2488" s="46">
        <v>46097.325888506937</v>
      </c>
      <c r="H2488">
        <v>0</v>
      </c>
    </row>
    <row r="2489" spans="1:8" x14ac:dyDescent="0.15">
      <c r="A2489">
        <v>2488</v>
      </c>
      <c r="B2489" t="s">
        <v>339</v>
      </c>
      <c r="C2489" t="s">
        <v>353</v>
      </c>
      <c r="D2489" t="s">
        <v>5486</v>
      </c>
      <c r="E2489" t="s">
        <v>690</v>
      </c>
      <c r="F2489" s="46">
        <v>46097.325888506937</v>
      </c>
      <c r="G2489" s="46">
        <v>46097.325888506937</v>
      </c>
      <c r="H2489">
        <v>0</v>
      </c>
    </row>
    <row r="2490" spans="1:8" x14ac:dyDescent="0.15">
      <c r="A2490">
        <v>2489</v>
      </c>
      <c r="B2490" t="s">
        <v>339</v>
      </c>
      <c r="C2490" t="s">
        <v>353</v>
      </c>
      <c r="D2490" t="s">
        <v>5487</v>
      </c>
      <c r="E2490" t="s">
        <v>690</v>
      </c>
      <c r="F2490" s="46">
        <v>46097.325888506937</v>
      </c>
      <c r="G2490" s="46">
        <v>46097.325888506937</v>
      </c>
      <c r="H2490">
        <v>0</v>
      </c>
    </row>
    <row r="2491" spans="1:8" x14ac:dyDescent="0.15">
      <c r="A2491">
        <v>2490</v>
      </c>
      <c r="B2491" t="s">
        <v>339</v>
      </c>
      <c r="C2491" t="s">
        <v>353</v>
      </c>
      <c r="D2491" t="s">
        <v>5488</v>
      </c>
      <c r="E2491" t="s">
        <v>690</v>
      </c>
      <c r="F2491" s="46">
        <v>46097.325888506937</v>
      </c>
      <c r="G2491" s="46">
        <v>46097.325888506937</v>
      </c>
      <c r="H2491">
        <v>0</v>
      </c>
    </row>
    <row r="2492" spans="1:8" x14ac:dyDescent="0.15">
      <c r="A2492">
        <v>2491</v>
      </c>
      <c r="B2492" t="s">
        <v>339</v>
      </c>
      <c r="C2492" t="s">
        <v>353</v>
      </c>
      <c r="D2492" t="s">
        <v>5489</v>
      </c>
      <c r="E2492" t="s">
        <v>690</v>
      </c>
      <c r="F2492" s="46">
        <v>46097.325888506937</v>
      </c>
      <c r="G2492" s="46">
        <v>46097.325888692132</v>
      </c>
      <c r="H2492">
        <v>16</v>
      </c>
    </row>
    <row r="2493" spans="1:8" x14ac:dyDescent="0.15">
      <c r="A2493">
        <v>2492</v>
      </c>
      <c r="B2493" t="s">
        <v>339</v>
      </c>
      <c r="C2493" t="s">
        <v>353</v>
      </c>
      <c r="D2493" t="s">
        <v>5490</v>
      </c>
      <c r="E2493" t="s">
        <v>690</v>
      </c>
      <c r="F2493" s="46">
        <v>46097.325888692132</v>
      </c>
      <c r="G2493" s="46">
        <v>46097.325888692132</v>
      </c>
      <c r="H2493">
        <v>0</v>
      </c>
    </row>
    <row r="2494" spans="1:8" x14ac:dyDescent="0.15">
      <c r="A2494">
        <v>2493</v>
      </c>
      <c r="B2494" t="s">
        <v>339</v>
      </c>
      <c r="C2494" t="s">
        <v>353</v>
      </c>
      <c r="D2494" t="s">
        <v>5491</v>
      </c>
      <c r="E2494" t="s">
        <v>5492</v>
      </c>
      <c r="F2494" s="46">
        <v>46097.325888692132</v>
      </c>
      <c r="G2494" s="46">
        <v>46097.325888692132</v>
      </c>
      <c r="H2494">
        <v>0</v>
      </c>
    </row>
    <row r="2495" spans="1:8" x14ac:dyDescent="0.15">
      <c r="A2495">
        <v>2494</v>
      </c>
      <c r="B2495" t="s">
        <v>339</v>
      </c>
      <c r="C2495" t="s">
        <v>353</v>
      </c>
      <c r="D2495" t="s">
        <v>5493</v>
      </c>
      <c r="E2495" t="s">
        <v>5492</v>
      </c>
      <c r="F2495" s="46">
        <v>46097.325888692132</v>
      </c>
      <c r="G2495" s="46">
        <v>46097.325888692132</v>
      </c>
      <c r="H2495">
        <v>0</v>
      </c>
    </row>
    <row r="2496" spans="1:8" x14ac:dyDescent="0.15">
      <c r="A2496">
        <v>2495</v>
      </c>
      <c r="B2496" t="s">
        <v>339</v>
      </c>
      <c r="C2496" t="s">
        <v>353</v>
      </c>
      <c r="D2496" t="s">
        <v>5494</v>
      </c>
      <c r="E2496" t="s">
        <v>5492</v>
      </c>
      <c r="F2496" s="46">
        <v>46097.325888692132</v>
      </c>
      <c r="G2496" s="46">
        <v>46097.325888692132</v>
      </c>
      <c r="H2496">
        <v>0</v>
      </c>
    </row>
    <row r="2497" spans="1:8" x14ac:dyDescent="0.15">
      <c r="A2497">
        <v>2496</v>
      </c>
      <c r="B2497" t="s">
        <v>339</v>
      </c>
      <c r="C2497" t="s">
        <v>353</v>
      </c>
      <c r="D2497" t="s">
        <v>5495</v>
      </c>
      <c r="E2497" t="s">
        <v>5492</v>
      </c>
      <c r="F2497" s="46">
        <v>46097.325888692132</v>
      </c>
      <c r="G2497" s="46">
        <v>46097.325888692132</v>
      </c>
      <c r="H2497">
        <v>0</v>
      </c>
    </row>
    <row r="2498" spans="1:8" x14ac:dyDescent="0.15">
      <c r="A2498">
        <v>2497</v>
      </c>
      <c r="B2498" t="s">
        <v>339</v>
      </c>
      <c r="C2498" t="s">
        <v>353</v>
      </c>
      <c r="D2498" t="s">
        <v>5496</v>
      </c>
      <c r="E2498" t="s">
        <v>5492</v>
      </c>
      <c r="F2498" s="46">
        <v>46097.325888692132</v>
      </c>
      <c r="G2498" s="46">
        <v>46097.325888692132</v>
      </c>
      <c r="H2498">
        <v>0</v>
      </c>
    </row>
    <row r="2499" spans="1:8" x14ac:dyDescent="0.15">
      <c r="A2499">
        <v>2498</v>
      </c>
      <c r="B2499" t="s">
        <v>339</v>
      </c>
      <c r="C2499" t="s">
        <v>353</v>
      </c>
      <c r="D2499" t="s">
        <v>5497</v>
      </c>
      <c r="E2499" t="s">
        <v>5492</v>
      </c>
      <c r="F2499" s="46">
        <v>46097.325888692132</v>
      </c>
      <c r="G2499" s="46">
        <v>46097.325888692132</v>
      </c>
      <c r="H2499">
        <v>0</v>
      </c>
    </row>
    <row r="2500" spans="1:8" x14ac:dyDescent="0.15">
      <c r="A2500">
        <v>2499</v>
      </c>
      <c r="B2500" t="s">
        <v>339</v>
      </c>
      <c r="C2500" t="s">
        <v>353</v>
      </c>
      <c r="D2500" t="s">
        <v>5498</v>
      </c>
      <c r="E2500" t="s">
        <v>691</v>
      </c>
      <c r="F2500" s="46">
        <v>46097.325888692132</v>
      </c>
      <c r="G2500" s="46">
        <v>46097.325888692132</v>
      </c>
      <c r="H2500">
        <v>0</v>
      </c>
    </row>
    <row r="2501" spans="1:8" x14ac:dyDescent="0.15">
      <c r="A2501">
        <v>2500</v>
      </c>
      <c r="B2501" t="s">
        <v>339</v>
      </c>
      <c r="C2501" t="s">
        <v>353</v>
      </c>
      <c r="D2501" t="s">
        <v>5499</v>
      </c>
      <c r="E2501" t="s">
        <v>691</v>
      </c>
      <c r="F2501" s="46">
        <v>46097.325888692132</v>
      </c>
      <c r="G2501" s="46">
        <v>46097.325888692132</v>
      </c>
      <c r="H2501">
        <v>0</v>
      </c>
    </row>
    <row r="2502" spans="1:8" x14ac:dyDescent="0.15">
      <c r="A2502">
        <v>2501</v>
      </c>
      <c r="B2502" t="s">
        <v>339</v>
      </c>
      <c r="C2502" t="s">
        <v>353</v>
      </c>
      <c r="D2502" t="s">
        <v>5500</v>
      </c>
      <c r="E2502" t="s">
        <v>692</v>
      </c>
      <c r="F2502" s="46">
        <v>46097.325888692132</v>
      </c>
      <c r="G2502" s="46">
        <v>46097.325888865736</v>
      </c>
      <c r="H2502">
        <v>16</v>
      </c>
    </row>
    <row r="2503" spans="1:8" x14ac:dyDescent="0.15">
      <c r="A2503">
        <v>2502</v>
      </c>
      <c r="B2503" t="s">
        <v>339</v>
      </c>
      <c r="C2503" t="s">
        <v>353</v>
      </c>
      <c r="D2503" t="s">
        <v>5501</v>
      </c>
      <c r="E2503" t="s">
        <v>692</v>
      </c>
      <c r="F2503" s="46">
        <v>46097.325888865736</v>
      </c>
      <c r="G2503" s="46">
        <v>46097.325888865736</v>
      </c>
      <c r="H2503">
        <v>0</v>
      </c>
    </row>
    <row r="2504" spans="1:8" x14ac:dyDescent="0.15">
      <c r="A2504">
        <v>2503</v>
      </c>
      <c r="B2504" t="s">
        <v>339</v>
      </c>
      <c r="C2504" t="s">
        <v>353</v>
      </c>
      <c r="D2504" t="s">
        <v>5502</v>
      </c>
      <c r="E2504" t="s">
        <v>5503</v>
      </c>
      <c r="F2504" s="46">
        <v>46097.325888865736</v>
      </c>
      <c r="G2504" s="46">
        <v>46097.325888865736</v>
      </c>
      <c r="H2504">
        <v>0</v>
      </c>
    </row>
    <row r="2505" spans="1:8" x14ac:dyDescent="0.15">
      <c r="A2505">
        <v>2504</v>
      </c>
      <c r="B2505" t="s">
        <v>339</v>
      </c>
      <c r="C2505" t="s">
        <v>353</v>
      </c>
      <c r="D2505" t="s">
        <v>5504</v>
      </c>
      <c r="E2505" t="s">
        <v>5505</v>
      </c>
      <c r="F2505" s="46">
        <v>46097.325888865736</v>
      </c>
      <c r="G2505" s="46">
        <v>46097.325888865736</v>
      </c>
      <c r="H2505">
        <v>0</v>
      </c>
    </row>
    <row r="2506" spans="1:8" x14ac:dyDescent="0.15">
      <c r="A2506">
        <v>2505</v>
      </c>
      <c r="B2506" t="s">
        <v>339</v>
      </c>
      <c r="C2506" t="s">
        <v>353</v>
      </c>
      <c r="D2506" t="s">
        <v>5506</v>
      </c>
      <c r="E2506" t="s">
        <v>5505</v>
      </c>
      <c r="F2506" s="46">
        <v>46097.325888865736</v>
      </c>
      <c r="G2506" s="46">
        <v>46097.325888865736</v>
      </c>
      <c r="H2506">
        <v>0</v>
      </c>
    </row>
    <row r="2507" spans="1:8" x14ac:dyDescent="0.15">
      <c r="A2507">
        <v>2506</v>
      </c>
      <c r="B2507" t="s">
        <v>339</v>
      </c>
      <c r="C2507" t="s">
        <v>353</v>
      </c>
      <c r="D2507" t="s">
        <v>5507</v>
      </c>
      <c r="E2507" t="s">
        <v>5505</v>
      </c>
      <c r="F2507" s="46">
        <v>46097.325888865736</v>
      </c>
      <c r="G2507" s="46">
        <v>46097.325888865736</v>
      </c>
      <c r="H2507">
        <v>0</v>
      </c>
    </row>
    <row r="2508" spans="1:8" x14ac:dyDescent="0.15">
      <c r="A2508">
        <v>2507</v>
      </c>
      <c r="B2508" t="s">
        <v>339</v>
      </c>
      <c r="C2508" t="s">
        <v>353</v>
      </c>
      <c r="D2508" t="s">
        <v>5508</v>
      </c>
      <c r="E2508" t="s">
        <v>5509</v>
      </c>
      <c r="F2508" s="46">
        <v>46097.325888865736</v>
      </c>
      <c r="G2508" s="46">
        <v>46097.325888865736</v>
      </c>
      <c r="H2508">
        <v>0</v>
      </c>
    </row>
    <row r="2509" spans="1:8" x14ac:dyDescent="0.15">
      <c r="A2509">
        <v>2508</v>
      </c>
      <c r="B2509" t="s">
        <v>339</v>
      </c>
      <c r="C2509" t="s">
        <v>353</v>
      </c>
      <c r="D2509" t="s">
        <v>5510</v>
      </c>
      <c r="E2509" t="s">
        <v>5511</v>
      </c>
      <c r="F2509" s="46">
        <v>46097.325888865736</v>
      </c>
      <c r="G2509" s="46">
        <v>46097.325888865736</v>
      </c>
      <c r="H2509">
        <v>0</v>
      </c>
    </row>
    <row r="2510" spans="1:8" x14ac:dyDescent="0.15">
      <c r="A2510">
        <v>2509</v>
      </c>
      <c r="B2510" t="s">
        <v>339</v>
      </c>
      <c r="C2510" t="s">
        <v>353</v>
      </c>
      <c r="D2510" t="s">
        <v>5512</v>
      </c>
      <c r="E2510" t="s">
        <v>5511</v>
      </c>
      <c r="F2510" s="46">
        <v>46097.325888865736</v>
      </c>
      <c r="G2510" s="46">
        <v>46097.325888865736</v>
      </c>
      <c r="H2510">
        <v>0</v>
      </c>
    </row>
    <row r="2511" spans="1:8" x14ac:dyDescent="0.15">
      <c r="A2511">
        <v>2510</v>
      </c>
      <c r="B2511" t="s">
        <v>339</v>
      </c>
      <c r="C2511" t="s">
        <v>353</v>
      </c>
      <c r="D2511" t="s">
        <v>5513</v>
      </c>
      <c r="E2511" t="s">
        <v>5514</v>
      </c>
      <c r="F2511" s="46">
        <v>46097.325888865736</v>
      </c>
      <c r="G2511" s="46">
        <v>46097.325888865736</v>
      </c>
      <c r="H2511">
        <v>0</v>
      </c>
    </row>
    <row r="2512" spans="1:8" x14ac:dyDescent="0.15">
      <c r="A2512">
        <v>2511</v>
      </c>
      <c r="B2512" t="s">
        <v>339</v>
      </c>
      <c r="C2512" t="s">
        <v>353</v>
      </c>
      <c r="D2512" t="s">
        <v>5515</v>
      </c>
      <c r="E2512" t="s">
        <v>5514</v>
      </c>
      <c r="F2512" s="46">
        <v>46097.325888865736</v>
      </c>
      <c r="G2512" s="46">
        <v>46097.325888865736</v>
      </c>
      <c r="H2512">
        <v>0</v>
      </c>
    </row>
    <row r="2513" spans="1:8" x14ac:dyDescent="0.15">
      <c r="A2513">
        <v>2512</v>
      </c>
      <c r="B2513" t="s">
        <v>339</v>
      </c>
      <c r="C2513" t="s">
        <v>353</v>
      </c>
      <c r="D2513" t="s">
        <v>5516</v>
      </c>
      <c r="E2513" t="s">
        <v>5514</v>
      </c>
      <c r="F2513" s="46">
        <v>46097.325888865736</v>
      </c>
      <c r="G2513" s="46">
        <v>46097.325889050917</v>
      </c>
      <c r="H2513">
        <v>15</v>
      </c>
    </row>
    <row r="2514" spans="1:8" x14ac:dyDescent="0.15">
      <c r="A2514">
        <v>2513</v>
      </c>
      <c r="B2514" t="s">
        <v>339</v>
      </c>
      <c r="C2514" t="s">
        <v>353</v>
      </c>
      <c r="D2514" t="s">
        <v>5517</v>
      </c>
      <c r="E2514" t="s">
        <v>5514</v>
      </c>
      <c r="F2514" s="46">
        <v>46097.325889050917</v>
      </c>
      <c r="G2514" s="46">
        <v>46097.325889050917</v>
      </c>
      <c r="H2514">
        <v>0</v>
      </c>
    </row>
    <row r="2515" spans="1:8" x14ac:dyDescent="0.15">
      <c r="A2515">
        <v>2514</v>
      </c>
      <c r="B2515" t="s">
        <v>339</v>
      </c>
      <c r="C2515" t="s">
        <v>353</v>
      </c>
      <c r="D2515" t="s">
        <v>5518</v>
      </c>
      <c r="E2515" t="s">
        <v>5514</v>
      </c>
      <c r="F2515" s="46">
        <v>46097.325889050917</v>
      </c>
      <c r="G2515" s="46">
        <v>46097.325889050917</v>
      </c>
      <c r="H2515">
        <v>0</v>
      </c>
    </row>
    <row r="2516" spans="1:8" x14ac:dyDescent="0.15">
      <c r="A2516">
        <v>2515</v>
      </c>
      <c r="B2516" t="s">
        <v>339</v>
      </c>
      <c r="C2516" t="s">
        <v>353</v>
      </c>
      <c r="D2516" t="s">
        <v>5519</v>
      </c>
      <c r="E2516" t="s">
        <v>5514</v>
      </c>
      <c r="F2516" s="46">
        <v>46097.325889050917</v>
      </c>
      <c r="G2516" s="46">
        <v>46097.325889050917</v>
      </c>
      <c r="H2516">
        <v>0</v>
      </c>
    </row>
    <row r="2517" spans="1:8" x14ac:dyDescent="0.15">
      <c r="A2517">
        <v>2516</v>
      </c>
      <c r="B2517" t="s">
        <v>339</v>
      </c>
      <c r="C2517" t="s">
        <v>353</v>
      </c>
      <c r="D2517" t="s">
        <v>5520</v>
      </c>
      <c r="E2517" t="s">
        <v>5514</v>
      </c>
      <c r="F2517" s="46">
        <v>46097.325889050917</v>
      </c>
      <c r="G2517" s="46">
        <v>46097.325889050917</v>
      </c>
      <c r="H2517">
        <v>0</v>
      </c>
    </row>
    <row r="2518" spans="1:8" x14ac:dyDescent="0.15">
      <c r="A2518">
        <v>2517</v>
      </c>
      <c r="B2518" t="s">
        <v>339</v>
      </c>
      <c r="C2518" t="s">
        <v>353</v>
      </c>
      <c r="D2518" t="s">
        <v>5521</v>
      </c>
      <c r="E2518" t="s">
        <v>5514</v>
      </c>
      <c r="F2518" s="46">
        <v>46097.325889050917</v>
      </c>
      <c r="G2518" s="46">
        <v>46097.325889050917</v>
      </c>
      <c r="H2518">
        <v>0</v>
      </c>
    </row>
    <row r="2519" spans="1:8" x14ac:dyDescent="0.15">
      <c r="A2519">
        <v>2518</v>
      </c>
      <c r="B2519" t="s">
        <v>339</v>
      </c>
      <c r="C2519" t="s">
        <v>353</v>
      </c>
      <c r="D2519" t="s">
        <v>5522</v>
      </c>
      <c r="E2519" t="s">
        <v>695</v>
      </c>
      <c r="F2519" s="46">
        <v>46097.325889050917</v>
      </c>
      <c r="G2519" s="46">
        <v>46097.325889050917</v>
      </c>
      <c r="H2519">
        <v>0</v>
      </c>
    </row>
    <row r="2520" spans="1:8" x14ac:dyDescent="0.15">
      <c r="A2520">
        <v>2519</v>
      </c>
      <c r="B2520" t="s">
        <v>339</v>
      </c>
      <c r="C2520" t="s">
        <v>353</v>
      </c>
      <c r="D2520" t="s">
        <v>5523</v>
      </c>
      <c r="E2520" t="s">
        <v>5524</v>
      </c>
      <c r="F2520" s="46">
        <v>46097.325889050917</v>
      </c>
      <c r="G2520" s="46">
        <v>46097.325889050917</v>
      </c>
      <c r="H2520">
        <v>0</v>
      </c>
    </row>
    <row r="2521" spans="1:8" x14ac:dyDescent="0.15">
      <c r="A2521">
        <v>2520</v>
      </c>
      <c r="B2521" t="s">
        <v>339</v>
      </c>
      <c r="C2521" t="s">
        <v>353</v>
      </c>
      <c r="D2521" t="s">
        <v>5525</v>
      </c>
      <c r="E2521" t="s">
        <v>697</v>
      </c>
      <c r="F2521" s="46">
        <v>46097.325889050917</v>
      </c>
      <c r="G2521" s="46">
        <v>46097.325889050917</v>
      </c>
      <c r="H2521">
        <v>0</v>
      </c>
    </row>
    <row r="2522" spans="1:8" x14ac:dyDescent="0.15">
      <c r="A2522">
        <v>2521</v>
      </c>
      <c r="B2522" t="s">
        <v>339</v>
      </c>
      <c r="C2522" t="s">
        <v>353</v>
      </c>
      <c r="D2522" t="s">
        <v>5526</v>
      </c>
      <c r="E2522" t="s">
        <v>697</v>
      </c>
      <c r="F2522" s="46">
        <v>46097.325889050917</v>
      </c>
      <c r="G2522" s="46">
        <v>46097.325889050917</v>
      </c>
      <c r="H2522">
        <v>0</v>
      </c>
    </row>
    <row r="2523" spans="1:8" x14ac:dyDescent="0.15">
      <c r="A2523">
        <v>2522</v>
      </c>
      <c r="B2523" t="s">
        <v>339</v>
      </c>
      <c r="C2523" t="s">
        <v>353</v>
      </c>
      <c r="D2523" t="s">
        <v>5527</v>
      </c>
      <c r="E2523" t="s">
        <v>697</v>
      </c>
      <c r="F2523" s="46">
        <v>46097.325889050917</v>
      </c>
      <c r="G2523" s="46">
        <v>46097.325889224543</v>
      </c>
      <c r="H2523">
        <v>16</v>
      </c>
    </row>
    <row r="2524" spans="1:8" x14ac:dyDescent="0.15">
      <c r="A2524">
        <v>2523</v>
      </c>
      <c r="B2524" t="s">
        <v>339</v>
      </c>
      <c r="C2524" t="s">
        <v>353</v>
      </c>
      <c r="D2524" t="s">
        <v>5528</v>
      </c>
      <c r="E2524" t="s">
        <v>697</v>
      </c>
      <c r="F2524" s="46">
        <v>46097.325889224543</v>
      </c>
      <c r="G2524" s="46">
        <v>46097.325889224543</v>
      </c>
      <c r="H2524">
        <v>0</v>
      </c>
    </row>
    <row r="2525" spans="1:8" x14ac:dyDescent="0.15">
      <c r="A2525">
        <v>2524</v>
      </c>
      <c r="B2525" t="s">
        <v>339</v>
      </c>
      <c r="C2525" t="s">
        <v>353</v>
      </c>
      <c r="D2525" t="s">
        <v>5529</v>
      </c>
      <c r="E2525" t="s">
        <v>697</v>
      </c>
      <c r="F2525" s="46">
        <v>46097.325889224543</v>
      </c>
      <c r="G2525" s="46">
        <v>46097.325889224543</v>
      </c>
      <c r="H2525">
        <v>0</v>
      </c>
    </row>
    <row r="2526" spans="1:8" x14ac:dyDescent="0.15">
      <c r="A2526">
        <v>2525</v>
      </c>
      <c r="B2526" t="s">
        <v>339</v>
      </c>
      <c r="C2526" t="s">
        <v>353</v>
      </c>
      <c r="D2526" t="s">
        <v>5530</v>
      </c>
      <c r="E2526" t="s">
        <v>697</v>
      </c>
      <c r="F2526" s="46">
        <v>46097.325889224543</v>
      </c>
      <c r="G2526" s="46">
        <v>46097.325889224543</v>
      </c>
      <c r="H2526">
        <v>0</v>
      </c>
    </row>
    <row r="2527" spans="1:8" x14ac:dyDescent="0.15">
      <c r="A2527">
        <v>2526</v>
      </c>
      <c r="B2527" t="s">
        <v>339</v>
      </c>
      <c r="C2527" t="s">
        <v>353</v>
      </c>
      <c r="D2527" t="s">
        <v>5531</v>
      </c>
      <c r="E2527" t="s">
        <v>698</v>
      </c>
      <c r="F2527" s="46">
        <v>46097.325889224543</v>
      </c>
      <c r="G2527" s="46">
        <v>46097.325889224543</v>
      </c>
      <c r="H2527">
        <v>0</v>
      </c>
    </row>
    <row r="2528" spans="1:8" x14ac:dyDescent="0.15">
      <c r="A2528">
        <v>2527</v>
      </c>
      <c r="B2528" t="s">
        <v>339</v>
      </c>
      <c r="C2528" t="s">
        <v>353</v>
      </c>
      <c r="D2528" t="s">
        <v>5532</v>
      </c>
      <c r="E2528" t="s">
        <v>698</v>
      </c>
      <c r="F2528" s="46">
        <v>46097.325889224543</v>
      </c>
      <c r="G2528" s="46">
        <v>46097.325889224543</v>
      </c>
      <c r="H2528">
        <v>0</v>
      </c>
    </row>
    <row r="2529" spans="1:8" x14ac:dyDescent="0.15">
      <c r="A2529">
        <v>2528</v>
      </c>
      <c r="B2529" t="s">
        <v>339</v>
      </c>
      <c r="C2529" t="s">
        <v>353</v>
      </c>
      <c r="D2529" t="s">
        <v>5533</v>
      </c>
      <c r="E2529" t="s">
        <v>698</v>
      </c>
      <c r="F2529" s="46">
        <v>46097.325889224543</v>
      </c>
      <c r="G2529" s="46">
        <v>46097.325889224543</v>
      </c>
      <c r="H2529">
        <v>0</v>
      </c>
    </row>
    <row r="2530" spans="1:8" x14ac:dyDescent="0.15">
      <c r="A2530">
        <v>2529</v>
      </c>
      <c r="B2530" t="s">
        <v>339</v>
      </c>
      <c r="C2530" t="s">
        <v>353</v>
      </c>
      <c r="D2530" t="s">
        <v>5534</v>
      </c>
      <c r="E2530" t="s">
        <v>698</v>
      </c>
      <c r="F2530" s="46">
        <v>46097.325889224543</v>
      </c>
      <c r="G2530" s="46">
        <v>46097.325889224543</v>
      </c>
      <c r="H2530">
        <v>0</v>
      </c>
    </row>
    <row r="2531" spans="1:8" x14ac:dyDescent="0.15">
      <c r="A2531">
        <v>2530</v>
      </c>
      <c r="B2531" t="s">
        <v>339</v>
      </c>
      <c r="C2531" t="s">
        <v>353</v>
      </c>
      <c r="D2531" t="s">
        <v>5535</v>
      </c>
      <c r="E2531" t="s">
        <v>699</v>
      </c>
      <c r="F2531" s="46">
        <v>46097.325889224543</v>
      </c>
      <c r="G2531" s="46">
        <v>46097.325889224543</v>
      </c>
      <c r="H2531">
        <v>0</v>
      </c>
    </row>
    <row r="2532" spans="1:8" x14ac:dyDescent="0.15">
      <c r="A2532">
        <v>2531</v>
      </c>
      <c r="B2532" t="s">
        <v>339</v>
      </c>
      <c r="C2532" t="s">
        <v>353</v>
      </c>
      <c r="D2532" t="s">
        <v>5536</v>
      </c>
      <c r="E2532" t="s">
        <v>5537</v>
      </c>
      <c r="F2532" s="46">
        <v>46097.325889224543</v>
      </c>
      <c r="G2532" s="46">
        <v>46097.325889224543</v>
      </c>
      <c r="H2532">
        <v>0</v>
      </c>
    </row>
    <row r="2533" spans="1:8" x14ac:dyDescent="0.15">
      <c r="A2533">
        <v>2532</v>
      </c>
      <c r="B2533" t="s">
        <v>339</v>
      </c>
      <c r="C2533" t="s">
        <v>353</v>
      </c>
      <c r="D2533" t="s">
        <v>5538</v>
      </c>
      <c r="E2533" t="s">
        <v>5539</v>
      </c>
      <c r="F2533" s="46">
        <v>46097.325889224543</v>
      </c>
      <c r="G2533" s="46">
        <v>46097.325889224543</v>
      </c>
      <c r="H2533">
        <v>0</v>
      </c>
    </row>
    <row r="2534" spans="1:8" x14ac:dyDescent="0.15">
      <c r="A2534">
        <v>2533</v>
      </c>
      <c r="B2534" t="s">
        <v>339</v>
      </c>
      <c r="C2534" t="s">
        <v>353</v>
      </c>
      <c r="D2534" t="s">
        <v>5540</v>
      </c>
      <c r="E2534" t="s">
        <v>5541</v>
      </c>
      <c r="F2534" s="46">
        <v>46097.325889224543</v>
      </c>
      <c r="G2534" s="46">
        <v>46097.325889409723</v>
      </c>
      <c r="H2534">
        <v>16</v>
      </c>
    </row>
    <row r="2535" spans="1:8" x14ac:dyDescent="0.15">
      <c r="A2535">
        <v>2534</v>
      </c>
      <c r="B2535" t="s">
        <v>339</v>
      </c>
      <c r="C2535" t="s">
        <v>353</v>
      </c>
      <c r="D2535" t="s">
        <v>5542</v>
      </c>
      <c r="E2535" t="s">
        <v>5543</v>
      </c>
      <c r="F2535" s="46">
        <v>46097.325889409723</v>
      </c>
      <c r="G2535" s="46">
        <v>46097.325889409723</v>
      </c>
      <c r="H2535">
        <v>0</v>
      </c>
    </row>
    <row r="2536" spans="1:8" x14ac:dyDescent="0.15">
      <c r="A2536">
        <v>2535</v>
      </c>
      <c r="B2536" t="s">
        <v>339</v>
      </c>
      <c r="C2536" t="s">
        <v>353</v>
      </c>
      <c r="D2536" t="s">
        <v>5544</v>
      </c>
      <c r="E2536" t="s">
        <v>5543</v>
      </c>
      <c r="F2536" s="46">
        <v>46097.325889409723</v>
      </c>
      <c r="G2536" s="46">
        <v>46097.325889409723</v>
      </c>
      <c r="H2536">
        <v>0</v>
      </c>
    </row>
    <row r="2537" spans="1:8" x14ac:dyDescent="0.15">
      <c r="A2537">
        <v>2536</v>
      </c>
      <c r="B2537" t="s">
        <v>339</v>
      </c>
      <c r="C2537" t="s">
        <v>353</v>
      </c>
      <c r="D2537" t="s">
        <v>5545</v>
      </c>
      <c r="E2537" t="s">
        <v>5546</v>
      </c>
      <c r="F2537" s="46">
        <v>46097.325889409723</v>
      </c>
      <c r="G2537" s="46">
        <v>46097.325889409723</v>
      </c>
      <c r="H2537">
        <v>0</v>
      </c>
    </row>
    <row r="2538" spans="1:8" x14ac:dyDescent="0.15">
      <c r="A2538">
        <v>2537</v>
      </c>
      <c r="B2538" t="s">
        <v>339</v>
      </c>
      <c r="C2538" t="s">
        <v>353</v>
      </c>
      <c r="D2538" t="s">
        <v>5547</v>
      </c>
      <c r="E2538" t="s">
        <v>5548</v>
      </c>
      <c r="F2538" s="46">
        <v>46097.325889409723</v>
      </c>
      <c r="G2538" s="46">
        <v>46097.325889409723</v>
      </c>
      <c r="H2538">
        <v>0</v>
      </c>
    </row>
    <row r="2539" spans="1:8" x14ac:dyDescent="0.15">
      <c r="A2539">
        <v>2538</v>
      </c>
      <c r="B2539" t="s">
        <v>339</v>
      </c>
      <c r="C2539" t="s">
        <v>353</v>
      </c>
      <c r="D2539" t="s">
        <v>5549</v>
      </c>
      <c r="E2539" t="s">
        <v>5548</v>
      </c>
      <c r="F2539" s="46">
        <v>46097.325889409723</v>
      </c>
      <c r="G2539" s="46">
        <v>46097.325889409723</v>
      </c>
      <c r="H2539">
        <v>0</v>
      </c>
    </row>
    <row r="2540" spans="1:8" x14ac:dyDescent="0.15">
      <c r="A2540">
        <v>2539</v>
      </c>
      <c r="B2540" t="s">
        <v>339</v>
      </c>
      <c r="C2540" t="s">
        <v>353</v>
      </c>
      <c r="D2540" t="s">
        <v>5550</v>
      </c>
      <c r="E2540" t="s">
        <v>5551</v>
      </c>
      <c r="F2540" s="46">
        <v>46097.325889409723</v>
      </c>
      <c r="G2540" s="46">
        <v>46097.325889409723</v>
      </c>
      <c r="H2540">
        <v>0</v>
      </c>
    </row>
    <row r="2541" spans="1:8" x14ac:dyDescent="0.15">
      <c r="A2541">
        <v>2540</v>
      </c>
      <c r="B2541" t="s">
        <v>339</v>
      </c>
      <c r="C2541" t="s">
        <v>353</v>
      </c>
      <c r="D2541" t="s">
        <v>5552</v>
      </c>
      <c r="E2541" t="s">
        <v>5551</v>
      </c>
      <c r="F2541" s="46">
        <v>46097.325889409723</v>
      </c>
      <c r="G2541" s="46">
        <v>46097.325889409723</v>
      </c>
      <c r="H2541">
        <v>0</v>
      </c>
    </row>
    <row r="2542" spans="1:8" x14ac:dyDescent="0.15">
      <c r="A2542">
        <v>2541</v>
      </c>
      <c r="B2542" t="s">
        <v>339</v>
      </c>
      <c r="C2542" t="s">
        <v>353</v>
      </c>
      <c r="D2542" t="s">
        <v>5553</v>
      </c>
      <c r="E2542" t="s">
        <v>5551</v>
      </c>
      <c r="F2542" s="46">
        <v>46097.325889409723</v>
      </c>
      <c r="G2542" s="46">
        <v>46097.325889409723</v>
      </c>
      <c r="H2542">
        <v>0</v>
      </c>
    </row>
    <row r="2543" spans="1:8" x14ac:dyDescent="0.15">
      <c r="A2543">
        <v>2542</v>
      </c>
      <c r="B2543" t="s">
        <v>339</v>
      </c>
      <c r="C2543" t="s">
        <v>353</v>
      </c>
      <c r="D2543" t="s">
        <v>5554</v>
      </c>
      <c r="E2543" t="s">
        <v>5555</v>
      </c>
      <c r="F2543" s="46">
        <v>46097.325889409723</v>
      </c>
      <c r="G2543" s="46">
        <v>46097.325889409723</v>
      </c>
      <c r="H2543">
        <v>0</v>
      </c>
    </row>
    <row r="2544" spans="1:8" x14ac:dyDescent="0.15">
      <c r="A2544">
        <v>2543</v>
      </c>
      <c r="B2544" t="s">
        <v>339</v>
      </c>
      <c r="C2544" t="s">
        <v>353</v>
      </c>
      <c r="D2544" t="s">
        <v>5556</v>
      </c>
      <c r="E2544" t="s">
        <v>5557</v>
      </c>
      <c r="F2544" s="46">
        <v>46097.325889409723</v>
      </c>
      <c r="G2544" s="46">
        <v>46097.325889594897</v>
      </c>
      <c r="H2544">
        <v>15</v>
      </c>
    </row>
    <row r="2545" spans="1:8" x14ac:dyDescent="0.15">
      <c r="A2545">
        <v>2544</v>
      </c>
      <c r="B2545" t="s">
        <v>339</v>
      </c>
      <c r="C2545" t="s">
        <v>353</v>
      </c>
      <c r="D2545" t="s">
        <v>5558</v>
      </c>
      <c r="E2545" t="s">
        <v>5559</v>
      </c>
      <c r="F2545" s="46">
        <v>46097.325889594897</v>
      </c>
      <c r="G2545" s="46">
        <v>46097.325889594897</v>
      </c>
      <c r="H2545">
        <v>0</v>
      </c>
    </row>
    <row r="2546" spans="1:8" x14ac:dyDescent="0.15">
      <c r="A2546">
        <v>2545</v>
      </c>
      <c r="B2546" t="s">
        <v>339</v>
      </c>
      <c r="C2546" t="s">
        <v>353</v>
      </c>
      <c r="D2546" t="s">
        <v>5560</v>
      </c>
      <c r="E2546" t="s">
        <v>5561</v>
      </c>
      <c r="F2546" s="46">
        <v>46097.325889594897</v>
      </c>
      <c r="G2546" s="46">
        <v>46097.325889594897</v>
      </c>
      <c r="H2546">
        <v>0</v>
      </c>
    </row>
    <row r="2547" spans="1:8" x14ac:dyDescent="0.15">
      <c r="A2547">
        <v>2546</v>
      </c>
      <c r="B2547" t="s">
        <v>339</v>
      </c>
      <c r="C2547" t="s">
        <v>353</v>
      </c>
      <c r="D2547" t="s">
        <v>5562</v>
      </c>
      <c r="E2547" t="s">
        <v>5563</v>
      </c>
      <c r="F2547" s="46">
        <v>46097.325889594897</v>
      </c>
      <c r="G2547" s="46">
        <v>46097.325889594897</v>
      </c>
      <c r="H2547">
        <v>0</v>
      </c>
    </row>
    <row r="2548" spans="1:8" x14ac:dyDescent="0.15">
      <c r="A2548">
        <v>2547</v>
      </c>
      <c r="B2548" t="s">
        <v>339</v>
      </c>
      <c r="C2548" t="s">
        <v>353</v>
      </c>
      <c r="D2548" t="s">
        <v>5564</v>
      </c>
      <c r="E2548" t="s">
        <v>5565</v>
      </c>
      <c r="F2548" s="46">
        <v>46097.325889594897</v>
      </c>
      <c r="G2548" s="46">
        <v>46097.325889594897</v>
      </c>
      <c r="H2548">
        <v>0</v>
      </c>
    </row>
    <row r="2549" spans="1:8" x14ac:dyDescent="0.15">
      <c r="A2549">
        <v>2548</v>
      </c>
      <c r="B2549" t="s">
        <v>339</v>
      </c>
      <c r="C2549" t="s">
        <v>353</v>
      </c>
      <c r="D2549" t="s">
        <v>5566</v>
      </c>
      <c r="E2549" t="s">
        <v>5567</v>
      </c>
      <c r="F2549" s="46">
        <v>46097.325889594897</v>
      </c>
      <c r="G2549" s="46">
        <v>46097.325889594897</v>
      </c>
      <c r="H2549">
        <v>0</v>
      </c>
    </row>
    <row r="2550" spans="1:8" x14ac:dyDescent="0.15">
      <c r="A2550">
        <v>2549</v>
      </c>
      <c r="B2550" t="s">
        <v>339</v>
      </c>
      <c r="C2550" t="s">
        <v>353</v>
      </c>
      <c r="D2550" t="s">
        <v>5568</v>
      </c>
      <c r="E2550" t="s">
        <v>5569</v>
      </c>
      <c r="F2550" s="46">
        <v>46097.325889594897</v>
      </c>
      <c r="G2550" s="46">
        <v>46097.325889594897</v>
      </c>
      <c r="H2550">
        <v>0</v>
      </c>
    </row>
    <row r="2551" spans="1:8" x14ac:dyDescent="0.15">
      <c r="A2551">
        <v>2550</v>
      </c>
      <c r="B2551" t="s">
        <v>339</v>
      </c>
      <c r="C2551" t="s">
        <v>353</v>
      </c>
      <c r="D2551" t="s">
        <v>5570</v>
      </c>
      <c r="E2551" t="s">
        <v>5571</v>
      </c>
      <c r="F2551" s="46">
        <v>46097.325889594897</v>
      </c>
      <c r="G2551" s="46">
        <v>46097.325889594897</v>
      </c>
      <c r="H2551">
        <v>0</v>
      </c>
    </row>
    <row r="2552" spans="1:8" x14ac:dyDescent="0.15">
      <c r="A2552">
        <v>2551</v>
      </c>
      <c r="B2552" t="s">
        <v>339</v>
      </c>
      <c r="C2552" t="s">
        <v>353</v>
      </c>
      <c r="D2552" t="s">
        <v>5572</v>
      </c>
      <c r="E2552" t="s">
        <v>5573</v>
      </c>
      <c r="F2552" s="46">
        <v>46097.325889594897</v>
      </c>
      <c r="G2552" s="46">
        <v>46097.325889594897</v>
      </c>
      <c r="H2552">
        <v>0</v>
      </c>
    </row>
    <row r="2553" spans="1:8" x14ac:dyDescent="0.15">
      <c r="A2553">
        <v>2552</v>
      </c>
      <c r="B2553" t="s">
        <v>339</v>
      </c>
      <c r="C2553" t="s">
        <v>353</v>
      </c>
      <c r="D2553" t="s">
        <v>5574</v>
      </c>
      <c r="E2553" t="s">
        <v>5575</v>
      </c>
      <c r="F2553" s="46">
        <v>46097.325889594897</v>
      </c>
      <c r="G2553" s="46">
        <v>46097.325889594897</v>
      </c>
      <c r="H2553">
        <v>0</v>
      </c>
    </row>
    <row r="2554" spans="1:8" x14ac:dyDescent="0.15">
      <c r="A2554">
        <v>2553</v>
      </c>
      <c r="B2554" t="s">
        <v>339</v>
      </c>
      <c r="C2554" t="s">
        <v>353</v>
      </c>
      <c r="D2554" t="s">
        <v>5576</v>
      </c>
      <c r="E2554" t="s">
        <v>5577</v>
      </c>
      <c r="F2554" s="46">
        <v>46097.325889594897</v>
      </c>
      <c r="G2554" s="46">
        <v>46097.325889768523</v>
      </c>
      <c r="H2554">
        <v>16</v>
      </c>
    </row>
    <row r="2555" spans="1:8" x14ac:dyDescent="0.15">
      <c r="A2555">
        <v>2554</v>
      </c>
      <c r="B2555" t="s">
        <v>339</v>
      </c>
      <c r="C2555" t="s">
        <v>353</v>
      </c>
      <c r="D2555" t="s">
        <v>5578</v>
      </c>
      <c r="E2555" t="s">
        <v>5579</v>
      </c>
      <c r="F2555" s="46">
        <v>46097.325889768523</v>
      </c>
      <c r="G2555" s="46">
        <v>46097.325889768523</v>
      </c>
      <c r="H2555">
        <v>0</v>
      </c>
    </row>
    <row r="2556" spans="1:8" x14ac:dyDescent="0.15">
      <c r="A2556">
        <v>2555</v>
      </c>
      <c r="B2556" t="s">
        <v>339</v>
      </c>
      <c r="C2556" t="s">
        <v>353</v>
      </c>
      <c r="D2556" t="s">
        <v>5580</v>
      </c>
      <c r="E2556" t="s">
        <v>5581</v>
      </c>
      <c r="F2556" s="46">
        <v>46097.325889768523</v>
      </c>
      <c r="G2556" s="46">
        <v>46097.325889768523</v>
      </c>
      <c r="H2556">
        <v>0</v>
      </c>
    </row>
    <row r="2557" spans="1:8" x14ac:dyDescent="0.15">
      <c r="A2557">
        <v>2556</v>
      </c>
      <c r="B2557" t="s">
        <v>339</v>
      </c>
      <c r="C2557" t="s">
        <v>353</v>
      </c>
      <c r="D2557" t="s">
        <v>5582</v>
      </c>
      <c r="E2557" t="s">
        <v>5583</v>
      </c>
      <c r="F2557" s="46">
        <v>46097.325889768523</v>
      </c>
      <c r="G2557" s="46">
        <v>46097.325889768523</v>
      </c>
      <c r="H2557">
        <v>0</v>
      </c>
    </row>
    <row r="2558" spans="1:8" x14ac:dyDescent="0.15">
      <c r="A2558">
        <v>2557</v>
      </c>
      <c r="B2558" t="s">
        <v>339</v>
      </c>
      <c r="C2558" t="s">
        <v>353</v>
      </c>
      <c r="D2558" t="s">
        <v>5584</v>
      </c>
      <c r="E2558" t="s">
        <v>5585</v>
      </c>
      <c r="F2558" s="46">
        <v>46097.325889768523</v>
      </c>
      <c r="G2558" s="46">
        <v>46097.325889768523</v>
      </c>
      <c r="H2558">
        <v>0</v>
      </c>
    </row>
    <row r="2559" spans="1:8" x14ac:dyDescent="0.15">
      <c r="A2559">
        <v>2558</v>
      </c>
      <c r="B2559" t="s">
        <v>339</v>
      </c>
      <c r="C2559" t="s">
        <v>353</v>
      </c>
      <c r="D2559" t="s">
        <v>5586</v>
      </c>
      <c r="E2559" t="s">
        <v>703</v>
      </c>
      <c r="F2559" s="46">
        <v>46097.325889768523</v>
      </c>
      <c r="G2559" s="46">
        <v>46097.325889768523</v>
      </c>
      <c r="H2559">
        <v>0</v>
      </c>
    </row>
    <row r="2560" spans="1:8" x14ac:dyDescent="0.15">
      <c r="A2560">
        <v>2559</v>
      </c>
      <c r="B2560" t="s">
        <v>339</v>
      </c>
      <c r="C2560" t="s">
        <v>353</v>
      </c>
      <c r="D2560" t="s">
        <v>5587</v>
      </c>
      <c r="E2560" t="s">
        <v>703</v>
      </c>
      <c r="F2560" s="46">
        <v>46097.325889768523</v>
      </c>
      <c r="G2560" s="46">
        <v>46097.325889768523</v>
      </c>
      <c r="H2560">
        <v>0</v>
      </c>
    </row>
    <row r="2561" spans="1:8" x14ac:dyDescent="0.15">
      <c r="A2561">
        <v>2560</v>
      </c>
      <c r="B2561" t="s">
        <v>339</v>
      </c>
      <c r="C2561" t="s">
        <v>353</v>
      </c>
      <c r="D2561" t="s">
        <v>5588</v>
      </c>
      <c r="E2561" t="s">
        <v>704</v>
      </c>
      <c r="F2561" s="46">
        <v>46097.325889768523</v>
      </c>
      <c r="G2561" s="46">
        <v>46097.325889768523</v>
      </c>
      <c r="H2561">
        <v>0</v>
      </c>
    </row>
    <row r="2562" spans="1:8" x14ac:dyDescent="0.15">
      <c r="A2562">
        <v>2561</v>
      </c>
      <c r="B2562" t="s">
        <v>339</v>
      </c>
      <c r="C2562" t="s">
        <v>353</v>
      </c>
      <c r="D2562" t="s">
        <v>5589</v>
      </c>
      <c r="E2562" t="s">
        <v>704</v>
      </c>
      <c r="F2562" s="46">
        <v>46097.325889768523</v>
      </c>
      <c r="G2562" s="46">
        <v>46097.325889768523</v>
      </c>
      <c r="H2562">
        <v>0</v>
      </c>
    </row>
    <row r="2563" spans="1:8" x14ac:dyDescent="0.15">
      <c r="A2563">
        <v>2562</v>
      </c>
      <c r="B2563" t="s">
        <v>339</v>
      </c>
      <c r="C2563" t="s">
        <v>353</v>
      </c>
      <c r="D2563" t="s">
        <v>5590</v>
      </c>
      <c r="E2563" t="s">
        <v>704</v>
      </c>
      <c r="F2563" s="46">
        <v>46097.325889768523</v>
      </c>
      <c r="G2563" s="46">
        <v>46097.325889768523</v>
      </c>
      <c r="H2563">
        <v>0</v>
      </c>
    </row>
    <row r="2564" spans="1:8" x14ac:dyDescent="0.15">
      <c r="A2564">
        <v>2563</v>
      </c>
      <c r="B2564" t="s">
        <v>339</v>
      </c>
      <c r="C2564" t="s">
        <v>353</v>
      </c>
      <c r="D2564" t="s">
        <v>5591</v>
      </c>
      <c r="E2564" t="s">
        <v>704</v>
      </c>
      <c r="F2564" s="46">
        <v>46097.325889768523</v>
      </c>
      <c r="G2564" s="46">
        <v>46097.325889768523</v>
      </c>
      <c r="H2564">
        <v>0</v>
      </c>
    </row>
    <row r="2565" spans="1:8" x14ac:dyDescent="0.15">
      <c r="A2565">
        <v>2564</v>
      </c>
      <c r="B2565" t="s">
        <v>339</v>
      </c>
      <c r="C2565" t="s">
        <v>353</v>
      </c>
      <c r="D2565" t="s">
        <v>5592</v>
      </c>
      <c r="E2565" t="s">
        <v>705</v>
      </c>
      <c r="F2565" s="46">
        <v>46097.325889768523</v>
      </c>
      <c r="G2565" s="46">
        <v>46097.325889953703</v>
      </c>
      <c r="H2565">
        <v>15</v>
      </c>
    </row>
    <row r="2566" spans="1:8" x14ac:dyDescent="0.15">
      <c r="A2566">
        <v>2565</v>
      </c>
      <c r="B2566" t="s">
        <v>339</v>
      </c>
      <c r="C2566" t="s">
        <v>353</v>
      </c>
      <c r="D2566" t="s">
        <v>5593</v>
      </c>
      <c r="E2566" t="s">
        <v>705</v>
      </c>
      <c r="F2566" s="46">
        <v>46097.325889953703</v>
      </c>
      <c r="G2566" s="46">
        <v>46097.325889953703</v>
      </c>
      <c r="H2566">
        <v>0</v>
      </c>
    </row>
    <row r="2567" spans="1:8" x14ac:dyDescent="0.15">
      <c r="A2567">
        <v>2566</v>
      </c>
      <c r="B2567" t="s">
        <v>339</v>
      </c>
      <c r="C2567" t="s">
        <v>353</v>
      </c>
      <c r="D2567" t="s">
        <v>5594</v>
      </c>
      <c r="E2567" t="s">
        <v>705</v>
      </c>
      <c r="F2567" s="46">
        <v>46097.325889953703</v>
      </c>
      <c r="G2567" s="46">
        <v>46097.325889953703</v>
      </c>
      <c r="H2567">
        <v>0</v>
      </c>
    </row>
    <row r="2568" spans="1:8" x14ac:dyDescent="0.15">
      <c r="A2568">
        <v>2567</v>
      </c>
      <c r="B2568" t="s">
        <v>339</v>
      </c>
      <c r="C2568" t="s">
        <v>353</v>
      </c>
      <c r="D2568" t="s">
        <v>5595</v>
      </c>
      <c r="E2568" t="s">
        <v>705</v>
      </c>
      <c r="F2568" s="46">
        <v>46097.325889953703</v>
      </c>
      <c r="G2568" s="46">
        <v>46097.325889953703</v>
      </c>
      <c r="H2568">
        <v>0</v>
      </c>
    </row>
    <row r="2569" spans="1:8" x14ac:dyDescent="0.15">
      <c r="A2569">
        <v>2568</v>
      </c>
      <c r="B2569" t="s">
        <v>339</v>
      </c>
      <c r="C2569" t="s">
        <v>353</v>
      </c>
      <c r="D2569" t="s">
        <v>5596</v>
      </c>
      <c r="E2569" t="s">
        <v>705</v>
      </c>
      <c r="F2569" s="46">
        <v>46097.325889953703</v>
      </c>
      <c r="G2569" s="46">
        <v>46097.325889953703</v>
      </c>
      <c r="H2569">
        <v>0</v>
      </c>
    </row>
    <row r="2570" spans="1:8" x14ac:dyDescent="0.15">
      <c r="A2570">
        <v>2569</v>
      </c>
      <c r="B2570" t="s">
        <v>339</v>
      </c>
      <c r="C2570" t="s">
        <v>353</v>
      </c>
      <c r="D2570" t="s">
        <v>5597</v>
      </c>
      <c r="E2570" t="s">
        <v>705</v>
      </c>
      <c r="F2570" s="46">
        <v>46097.325889953703</v>
      </c>
      <c r="G2570" s="46">
        <v>46097.325889953703</v>
      </c>
      <c r="H2570">
        <v>0</v>
      </c>
    </row>
    <row r="2571" spans="1:8" x14ac:dyDescent="0.15">
      <c r="A2571">
        <v>2570</v>
      </c>
      <c r="B2571" t="s">
        <v>339</v>
      </c>
      <c r="C2571" t="s">
        <v>353</v>
      </c>
      <c r="D2571" t="s">
        <v>5598</v>
      </c>
      <c r="E2571" t="s">
        <v>705</v>
      </c>
      <c r="F2571" s="46">
        <v>46097.325889953703</v>
      </c>
      <c r="G2571" s="46">
        <v>46097.325889953703</v>
      </c>
      <c r="H2571">
        <v>0</v>
      </c>
    </row>
    <row r="2572" spans="1:8" x14ac:dyDescent="0.15">
      <c r="A2572">
        <v>2571</v>
      </c>
      <c r="B2572" t="s">
        <v>339</v>
      </c>
      <c r="C2572" t="s">
        <v>353</v>
      </c>
      <c r="D2572" t="s">
        <v>5599</v>
      </c>
      <c r="E2572" t="s">
        <v>705</v>
      </c>
      <c r="F2572" s="46">
        <v>46097.325889953703</v>
      </c>
      <c r="G2572" s="46">
        <v>46097.325889953703</v>
      </c>
      <c r="H2572">
        <v>0</v>
      </c>
    </row>
    <row r="2573" spans="1:8" x14ac:dyDescent="0.15">
      <c r="A2573">
        <v>2572</v>
      </c>
      <c r="B2573" t="s">
        <v>339</v>
      </c>
      <c r="C2573" t="s">
        <v>353</v>
      </c>
      <c r="D2573" t="s">
        <v>5600</v>
      </c>
      <c r="E2573" t="s">
        <v>705</v>
      </c>
      <c r="F2573" s="46">
        <v>46097.325889953703</v>
      </c>
      <c r="G2573" s="46">
        <v>46097.325889953703</v>
      </c>
      <c r="H2573">
        <v>0</v>
      </c>
    </row>
    <row r="2574" spans="1:8" x14ac:dyDescent="0.15">
      <c r="A2574">
        <v>2573</v>
      </c>
      <c r="B2574" t="s">
        <v>339</v>
      </c>
      <c r="C2574" t="s">
        <v>353</v>
      </c>
      <c r="D2574" t="s">
        <v>5601</v>
      </c>
      <c r="E2574" t="s">
        <v>5602</v>
      </c>
      <c r="F2574" s="46">
        <v>46097.325889953703</v>
      </c>
      <c r="G2574" s="46">
        <v>46097.325889953703</v>
      </c>
      <c r="H2574">
        <v>0</v>
      </c>
    </row>
    <row r="2575" spans="1:8" x14ac:dyDescent="0.15">
      <c r="A2575">
        <v>2574</v>
      </c>
      <c r="B2575" t="s">
        <v>339</v>
      </c>
      <c r="C2575" t="s">
        <v>353</v>
      </c>
      <c r="D2575" t="s">
        <v>5603</v>
      </c>
      <c r="E2575" t="s">
        <v>5604</v>
      </c>
      <c r="F2575" s="46">
        <v>46097.325889953703</v>
      </c>
      <c r="G2575" s="46">
        <v>46097.325890138891</v>
      </c>
      <c r="H2575">
        <v>16</v>
      </c>
    </row>
    <row r="2576" spans="1:8" x14ac:dyDescent="0.15">
      <c r="A2576">
        <v>2575</v>
      </c>
      <c r="B2576" t="s">
        <v>339</v>
      </c>
      <c r="C2576" t="s">
        <v>353</v>
      </c>
      <c r="D2576" t="s">
        <v>5605</v>
      </c>
      <c r="E2576" t="s">
        <v>5606</v>
      </c>
      <c r="F2576" s="46">
        <v>46097.325890138891</v>
      </c>
      <c r="G2576" s="46">
        <v>46097.325890138891</v>
      </c>
      <c r="H2576">
        <v>0</v>
      </c>
    </row>
    <row r="2577" spans="1:8" x14ac:dyDescent="0.15">
      <c r="A2577">
        <v>2576</v>
      </c>
      <c r="B2577" t="s">
        <v>339</v>
      </c>
      <c r="C2577" t="s">
        <v>353</v>
      </c>
      <c r="D2577" t="s">
        <v>5607</v>
      </c>
      <c r="E2577" t="s">
        <v>5608</v>
      </c>
      <c r="F2577" s="46">
        <v>46097.325890138891</v>
      </c>
      <c r="G2577" s="46">
        <v>46097.325890138891</v>
      </c>
      <c r="H2577">
        <v>0</v>
      </c>
    </row>
    <row r="2578" spans="1:8" x14ac:dyDescent="0.15">
      <c r="A2578">
        <v>2577</v>
      </c>
      <c r="B2578" t="s">
        <v>339</v>
      </c>
      <c r="C2578" t="s">
        <v>353</v>
      </c>
      <c r="D2578" t="s">
        <v>5609</v>
      </c>
      <c r="E2578" t="s">
        <v>5610</v>
      </c>
      <c r="F2578" s="46">
        <v>46097.325890138891</v>
      </c>
      <c r="G2578" s="46">
        <v>46097.325890138891</v>
      </c>
      <c r="H2578">
        <v>0</v>
      </c>
    </row>
    <row r="2579" spans="1:8" x14ac:dyDescent="0.15">
      <c r="A2579">
        <v>2578</v>
      </c>
      <c r="B2579" t="s">
        <v>339</v>
      </c>
      <c r="C2579" t="s">
        <v>353</v>
      </c>
      <c r="D2579" t="s">
        <v>5611</v>
      </c>
      <c r="E2579" t="s">
        <v>5612</v>
      </c>
      <c r="F2579" s="46">
        <v>46097.325890138891</v>
      </c>
      <c r="G2579" s="46">
        <v>46097.325890138891</v>
      </c>
      <c r="H2579">
        <v>0</v>
      </c>
    </row>
    <row r="2580" spans="1:8" x14ac:dyDescent="0.15">
      <c r="A2580">
        <v>2579</v>
      </c>
      <c r="B2580" t="s">
        <v>339</v>
      </c>
      <c r="C2580" t="s">
        <v>353</v>
      </c>
      <c r="D2580" t="s">
        <v>5613</v>
      </c>
      <c r="E2580" t="s">
        <v>5614</v>
      </c>
      <c r="F2580" s="46">
        <v>46097.325890138891</v>
      </c>
      <c r="G2580" s="46">
        <v>46097.325890138891</v>
      </c>
      <c r="H2580">
        <v>0</v>
      </c>
    </row>
    <row r="2581" spans="1:8" x14ac:dyDescent="0.15">
      <c r="A2581">
        <v>2580</v>
      </c>
      <c r="B2581" t="s">
        <v>339</v>
      </c>
      <c r="C2581" t="s">
        <v>353</v>
      </c>
      <c r="D2581" t="s">
        <v>5615</v>
      </c>
      <c r="E2581" t="s">
        <v>5616</v>
      </c>
      <c r="F2581" s="46">
        <v>46097.325890138891</v>
      </c>
      <c r="G2581" s="46">
        <v>46097.325890138891</v>
      </c>
      <c r="H2581">
        <v>0</v>
      </c>
    </row>
    <row r="2582" spans="1:8" x14ac:dyDescent="0.15">
      <c r="A2582">
        <v>2581</v>
      </c>
      <c r="B2582" t="s">
        <v>339</v>
      </c>
      <c r="C2582" t="s">
        <v>353</v>
      </c>
      <c r="D2582" t="s">
        <v>5617</v>
      </c>
      <c r="E2582" t="s">
        <v>5618</v>
      </c>
      <c r="F2582" s="46">
        <v>46097.325890138891</v>
      </c>
      <c r="G2582" s="46">
        <v>46097.325890138891</v>
      </c>
      <c r="H2582">
        <v>0</v>
      </c>
    </row>
    <row r="2583" spans="1:8" x14ac:dyDescent="0.15">
      <c r="A2583">
        <v>2582</v>
      </c>
      <c r="B2583" t="s">
        <v>339</v>
      </c>
      <c r="C2583" t="s">
        <v>353</v>
      </c>
      <c r="D2583" t="s">
        <v>5619</v>
      </c>
      <c r="E2583" t="s">
        <v>5620</v>
      </c>
      <c r="F2583" s="46">
        <v>46097.325890138891</v>
      </c>
      <c r="G2583" s="46">
        <v>46097.325890138891</v>
      </c>
      <c r="H2583">
        <v>0</v>
      </c>
    </row>
    <row r="2584" spans="1:8" x14ac:dyDescent="0.15">
      <c r="A2584">
        <v>2583</v>
      </c>
      <c r="B2584" t="s">
        <v>339</v>
      </c>
      <c r="C2584" t="s">
        <v>353</v>
      </c>
      <c r="D2584" t="s">
        <v>5621</v>
      </c>
      <c r="E2584" t="s">
        <v>5622</v>
      </c>
      <c r="F2584" s="46">
        <v>46097.325890138891</v>
      </c>
      <c r="G2584" s="46">
        <v>46097.325890138891</v>
      </c>
      <c r="H2584">
        <v>0</v>
      </c>
    </row>
    <row r="2585" spans="1:8" x14ac:dyDescent="0.15">
      <c r="A2585">
        <v>2584</v>
      </c>
      <c r="B2585" t="s">
        <v>339</v>
      </c>
      <c r="C2585" t="s">
        <v>353</v>
      </c>
      <c r="D2585" t="s">
        <v>5623</v>
      </c>
      <c r="E2585" t="s">
        <v>5624</v>
      </c>
      <c r="F2585" s="46">
        <v>46097.325890138891</v>
      </c>
      <c r="G2585" s="46">
        <v>46097.325890312502</v>
      </c>
      <c r="H2585">
        <v>16</v>
      </c>
    </row>
    <row r="2586" spans="1:8" x14ac:dyDescent="0.15">
      <c r="A2586">
        <v>2585</v>
      </c>
      <c r="B2586" t="s">
        <v>339</v>
      </c>
      <c r="C2586" t="s">
        <v>353</v>
      </c>
      <c r="D2586" t="s">
        <v>5625</v>
      </c>
      <c r="E2586" t="s">
        <v>5626</v>
      </c>
      <c r="F2586" s="46">
        <v>46097.325890312502</v>
      </c>
      <c r="G2586" s="46">
        <v>46097.325890312502</v>
      </c>
      <c r="H2586">
        <v>0</v>
      </c>
    </row>
    <row r="2587" spans="1:8" x14ac:dyDescent="0.15">
      <c r="A2587">
        <v>2586</v>
      </c>
      <c r="B2587" t="s">
        <v>339</v>
      </c>
      <c r="C2587" t="s">
        <v>353</v>
      </c>
      <c r="D2587" t="s">
        <v>5627</v>
      </c>
      <c r="E2587" t="s">
        <v>5628</v>
      </c>
      <c r="F2587" s="46">
        <v>46097.325890312502</v>
      </c>
      <c r="G2587" s="46">
        <v>46097.325890312502</v>
      </c>
      <c r="H2587">
        <v>0</v>
      </c>
    </row>
    <row r="2588" spans="1:8" x14ac:dyDescent="0.15">
      <c r="A2588">
        <v>2587</v>
      </c>
      <c r="B2588" t="s">
        <v>339</v>
      </c>
      <c r="C2588" t="s">
        <v>353</v>
      </c>
      <c r="D2588" t="s">
        <v>5629</v>
      </c>
      <c r="E2588" t="s">
        <v>5628</v>
      </c>
      <c r="F2588" s="46">
        <v>46097.325890312502</v>
      </c>
      <c r="G2588" s="46">
        <v>46097.325890312502</v>
      </c>
      <c r="H2588">
        <v>0</v>
      </c>
    </row>
    <row r="2589" spans="1:8" x14ac:dyDescent="0.15">
      <c r="A2589">
        <v>2588</v>
      </c>
      <c r="B2589" t="s">
        <v>339</v>
      </c>
      <c r="C2589" t="s">
        <v>353</v>
      </c>
      <c r="D2589" t="s">
        <v>5630</v>
      </c>
      <c r="E2589" t="s">
        <v>5628</v>
      </c>
      <c r="F2589" s="46">
        <v>46097.325890312502</v>
      </c>
      <c r="G2589" s="46">
        <v>46097.325890312502</v>
      </c>
      <c r="H2589">
        <v>0</v>
      </c>
    </row>
    <row r="2590" spans="1:8" x14ac:dyDescent="0.15">
      <c r="A2590">
        <v>2589</v>
      </c>
      <c r="B2590" t="s">
        <v>339</v>
      </c>
      <c r="C2590" t="s">
        <v>353</v>
      </c>
      <c r="D2590" t="s">
        <v>5631</v>
      </c>
      <c r="E2590" t="s">
        <v>5628</v>
      </c>
      <c r="F2590" s="46">
        <v>46097.325890312502</v>
      </c>
      <c r="G2590" s="46">
        <v>46097.325890312502</v>
      </c>
      <c r="H2590">
        <v>0</v>
      </c>
    </row>
    <row r="2591" spans="1:8" x14ac:dyDescent="0.15">
      <c r="A2591">
        <v>2590</v>
      </c>
      <c r="B2591" t="s">
        <v>339</v>
      </c>
      <c r="C2591" t="s">
        <v>353</v>
      </c>
      <c r="D2591" t="s">
        <v>5632</v>
      </c>
      <c r="E2591" t="s">
        <v>5628</v>
      </c>
      <c r="F2591" s="46">
        <v>46097.325890312502</v>
      </c>
      <c r="G2591" s="46">
        <v>46097.325890312502</v>
      </c>
      <c r="H2591">
        <v>0</v>
      </c>
    </row>
    <row r="2592" spans="1:8" x14ac:dyDescent="0.15">
      <c r="A2592">
        <v>2591</v>
      </c>
      <c r="B2592" t="s">
        <v>339</v>
      </c>
      <c r="C2592" t="s">
        <v>353</v>
      </c>
      <c r="D2592" t="s">
        <v>5633</v>
      </c>
      <c r="E2592" t="s">
        <v>708</v>
      </c>
      <c r="F2592" s="46">
        <v>46097.325890312502</v>
      </c>
      <c r="G2592" s="46">
        <v>46097.325890312502</v>
      </c>
      <c r="H2592">
        <v>0</v>
      </c>
    </row>
    <row r="2593" spans="1:8" x14ac:dyDescent="0.15">
      <c r="A2593">
        <v>2592</v>
      </c>
      <c r="B2593" t="s">
        <v>339</v>
      </c>
      <c r="C2593" t="s">
        <v>353</v>
      </c>
      <c r="D2593" t="s">
        <v>5634</v>
      </c>
      <c r="E2593" t="s">
        <v>5635</v>
      </c>
      <c r="F2593" s="46">
        <v>46097.325890312502</v>
      </c>
      <c r="G2593" s="46">
        <v>46097.325890312502</v>
      </c>
      <c r="H2593">
        <v>0</v>
      </c>
    </row>
    <row r="2594" spans="1:8" x14ac:dyDescent="0.15">
      <c r="A2594">
        <v>2593</v>
      </c>
      <c r="B2594" t="s">
        <v>339</v>
      </c>
      <c r="C2594" t="s">
        <v>353</v>
      </c>
      <c r="D2594" t="s">
        <v>5636</v>
      </c>
      <c r="E2594" t="s">
        <v>5637</v>
      </c>
      <c r="F2594" s="46">
        <v>46097.325890312502</v>
      </c>
      <c r="G2594" s="46">
        <v>46097.325890312502</v>
      </c>
      <c r="H2594">
        <v>0</v>
      </c>
    </row>
    <row r="2595" spans="1:8" x14ac:dyDescent="0.15">
      <c r="A2595">
        <v>2594</v>
      </c>
      <c r="B2595" t="s">
        <v>339</v>
      </c>
      <c r="C2595" t="s">
        <v>353</v>
      </c>
      <c r="D2595" t="s">
        <v>5638</v>
      </c>
      <c r="E2595" t="s">
        <v>5639</v>
      </c>
      <c r="F2595" s="46">
        <v>46097.325890312502</v>
      </c>
      <c r="G2595" s="46">
        <v>46097.325890497683</v>
      </c>
      <c r="H2595">
        <v>15</v>
      </c>
    </row>
    <row r="2596" spans="1:8" x14ac:dyDescent="0.15">
      <c r="A2596">
        <v>2595</v>
      </c>
      <c r="B2596" t="s">
        <v>339</v>
      </c>
      <c r="C2596" t="s">
        <v>353</v>
      </c>
      <c r="D2596" t="s">
        <v>5640</v>
      </c>
      <c r="E2596" t="s">
        <v>5639</v>
      </c>
      <c r="F2596" s="46">
        <v>46097.325890497683</v>
      </c>
      <c r="G2596" s="46">
        <v>46097.325890497683</v>
      </c>
      <c r="H2596">
        <v>0</v>
      </c>
    </row>
    <row r="2597" spans="1:8" x14ac:dyDescent="0.15">
      <c r="A2597">
        <v>2596</v>
      </c>
      <c r="B2597" t="s">
        <v>339</v>
      </c>
      <c r="C2597" t="s">
        <v>353</v>
      </c>
      <c r="D2597" t="s">
        <v>5641</v>
      </c>
      <c r="E2597" t="s">
        <v>5642</v>
      </c>
      <c r="F2597" s="46">
        <v>46097.325890497683</v>
      </c>
      <c r="G2597" s="46">
        <v>46097.325890497683</v>
      </c>
      <c r="H2597">
        <v>0</v>
      </c>
    </row>
    <row r="2598" spans="1:8" x14ac:dyDescent="0.15">
      <c r="A2598">
        <v>2597</v>
      </c>
      <c r="B2598" t="s">
        <v>339</v>
      </c>
      <c r="C2598" t="s">
        <v>353</v>
      </c>
      <c r="D2598" t="s">
        <v>5643</v>
      </c>
      <c r="E2598" t="s">
        <v>5642</v>
      </c>
      <c r="F2598" s="46">
        <v>46097.325890497683</v>
      </c>
      <c r="G2598" s="46">
        <v>46097.325890497683</v>
      </c>
      <c r="H2598">
        <v>0</v>
      </c>
    </row>
    <row r="2599" spans="1:8" x14ac:dyDescent="0.15">
      <c r="A2599">
        <v>2598</v>
      </c>
      <c r="B2599" t="s">
        <v>339</v>
      </c>
      <c r="C2599" t="s">
        <v>353</v>
      </c>
      <c r="D2599" t="s">
        <v>5644</v>
      </c>
      <c r="E2599" t="s">
        <v>5642</v>
      </c>
      <c r="F2599" s="46">
        <v>46097.325890497683</v>
      </c>
      <c r="G2599" s="46">
        <v>46097.325890497683</v>
      </c>
      <c r="H2599">
        <v>0</v>
      </c>
    </row>
    <row r="2600" spans="1:8" x14ac:dyDescent="0.15">
      <c r="A2600">
        <v>2599</v>
      </c>
      <c r="B2600" t="s">
        <v>339</v>
      </c>
      <c r="C2600" t="s">
        <v>353</v>
      </c>
      <c r="D2600" t="s">
        <v>5645</v>
      </c>
      <c r="E2600" t="s">
        <v>5646</v>
      </c>
      <c r="F2600" s="46">
        <v>46097.325890497683</v>
      </c>
      <c r="G2600" s="46">
        <v>46097.325890497683</v>
      </c>
      <c r="H2600">
        <v>0</v>
      </c>
    </row>
    <row r="2601" spans="1:8" x14ac:dyDescent="0.15">
      <c r="A2601">
        <v>2600</v>
      </c>
      <c r="B2601" t="s">
        <v>339</v>
      </c>
      <c r="C2601" t="s">
        <v>353</v>
      </c>
      <c r="D2601" t="s">
        <v>5647</v>
      </c>
      <c r="E2601" t="s">
        <v>5648</v>
      </c>
      <c r="F2601" s="46">
        <v>46097.325890497683</v>
      </c>
      <c r="G2601" s="46">
        <v>46097.325890497683</v>
      </c>
      <c r="H2601">
        <v>0</v>
      </c>
    </row>
    <row r="2602" spans="1:8" x14ac:dyDescent="0.15">
      <c r="A2602">
        <v>2601</v>
      </c>
      <c r="B2602" t="s">
        <v>339</v>
      </c>
      <c r="C2602" t="s">
        <v>353</v>
      </c>
      <c r="D2602" t="s">
        <v>5649</v>
      </c>
      <c r="E2602" t="s">
        <v>5648</v>
      </c>
      <c r="F2602" s="46">
        <v>46097.325890497683</v>
      </c>
      <c r="G2602" s="46">
        <v>46097.325890497683</v>
      </c>
      <c r="H2602">
        <v>0</v>
      </c>
    </row>
    <row r="2603" spans="1:8" x14ac:dyDescent="0.15">
      <c r="A2603">
        <v>2602</v>
      </c>
      <c r="B2603" t="s">
        <v>339</v>
      </c>
      <c r="C2603" t="s">
        <v>353</v>
      </c>
      <c r="D2603" t="s">
        <v>5650</v>
      </c>
      <c r="E2603" t="s">
        <v>5648</v>
      </c>
      <c r="F2603" s="46">
        <v>46097.325890497683</v>
      </c>
      <c r="G2603" s="46">
        <v>46097.325890497683</v>
      </c>
      <c r="H2603">
        <v>0</v>
      </c>
    </row>
    <row r="2604" spans="1:8" x14ac:dyDescent="0.15">
      <c r="A2604">
        <v>2603</v>
      </c>
      <c r="B2604" t="s">
        <v>339</v>
      </c>
      <c r="C2604" t="s">
        <v>353</v>
      </c>
      <c r="D2604" t="s">
        <v>5651</v>
      </c>
      <c r="E2604" t="s">
        <v>709</v>
      </c>
      <c r="F2604" s="46">
        <v>46097.325890497683</v>
      </c>
      <c r="G2604" s="46">
        <v>46097.325890497683</v>
      </c>
      <c r="H2604">
        <v>0</v>
      </c>
    </row>
    <row r="2605" spans="1:8" x14ac:dyDescent="0.15">
      <c r="A2605">
        <v>2604</v>
      </c>
      <c r="B2605" t="s">
        <v>339</v>
      </c>
      <c r="C2605" t="s">
        <v>353</v>
      </c>
      <c r="D2605" t="s">
        <v>5652</v>
      </c>
      <c r="E2605" t="s">
        <v>709</v>
      </c>
      <c r="F2605" s="46">
        <v>46097.325890497683</v>
      </c>
      <c r="G2605" s="46">
        <v>46097.325890497683</v>
      </c>
      <c r="H2605">
        <v>0</v>
      </c>
    </row>
    <row r="2606" spans="1:8" x14ac:dyDescent="0.15">
      <c r="A2606">
        <v>2605</v>
      </c>
      <c r="B2606" t="s">
        <v>339</v>
      </c>
      <c r="C2606" t="s">
        <v>353</v>
      </c>
      <c r="D2606" t="s">
        <v>5653</v>
      </c>
      <c r="E2606" t="s">
        <v>5654</v>
      </c>
      <c r="F2606" s="46">
        <v>46097.325890497683</v>
      </c>
      <c r="G2606" s="46">
        <v>46097.325890671287</v>
      </c>
      <c r="H2606">
        <v>16</v>
      </c>
    </row>
    <row r="2607" spans="1:8" x14ac:dyDescent="0.15">
      <c r="A2607">
        <v>2606</v>
      </c>
      <c r="B2607" t="s">
        <v>339</v>
      </c>
      <c r="C2607" t="s">
        <v>353</v>
      </c>
      <c r="D2607" t="s">
        <v>5655</v>
      </c>
      <c r="E2607" t="s">
        <v>5654</v>
      </c>
      <c r="F2607" s="46">
        <v>46097.325890671287</v>
      </c>
      <c r="G2607" s="46">
        <v>46097.325890671287</v>
      </c>
      <c r="H2607">
        <v>0</v>
      </c>
    </row>
    <row r="2608" spans="1:8" x14ac:dyDescent="0.15">
      <c r="A2608">
        <v>2607</v>
      </c>
      <c r="B2608" t="s">
        <v>339</v>
      </c>
      <c r="C2608" t="s">
        <v>353</v>
      </c>
      <c r="D2608" t="s">
        <v>5656</v>
      </c>
      <c r="E2608" t="s">
        <v>710</v>
      </c>
      <c r="F2608" s="46">
        <v>46097.325890671287</v>
      </c>
      <c r="G2608" s="46">
        <v>46097.325890671287</v>
      </c>
      <c r="H2608">
        <v>0</v>
      </c>
    </row>
    <row r="2609" spans="1:8" x14ac:dyDescent="0.15">
      <c r="A2609">
        <v>2608</v>
      </c>
      <c r="B2609" t="s">
        <v>339</v>
      </c>
      <c r="C2609" t="s">
        <v>353</v>
      </c>
      <c r="D2609" t="s">
        <v>5657</v>
      </c>
      <c r="E2609" t="s">
        <v>710</v>
      </c>
      <c r="F2609" s="46">
        <v>46097.325890671287</v>
      </c>
      <c r="G2609" s="46">
        <v>46097.325890671287</v>
      </c>
      <c r="H2609">
        <v>0</v>
      </c>
    </row>
    <row r="2610" spans="1:8" x14ac:dyDescent="0.15">
      <c r="A2610">
        <v>2609</v>
      </c>
      <c r="B2610" t="s">
        <v>339</v>
      </c>
      <c r="C2610" t="s">
        <v>353</v>
      </c>
      <c r="D2610" t="s">
        <v>5658</v>
      </c>
      <c r="E2610" t="s">
        <v>710</v>
      </c>
      <c r="F2610" s="46">
        <v>46097.325890671287</v>
      </c>
      <c r="G2610" s="46">
        <v>46097.325890671287</v>
      </c>
      <c r="H2610">
        <v>0</v>
      </c>
    </row>
    <row r="2611" spans="1:8" x14ac:dyDescent="0.15">
      <c r="A2611">
        <v>2610</v>
      </c>
      <c r="B2611" t="s">
        <v>339</v>
      </c>
      <c r="C2611" t="s">
        <v>353</v>
      </c>
      <c r="D2611" t="s">
        <v>5659</v>
      </c>
      <c r="E2611" t="s">
        <v>710</v>
      </c>
      <c r="F2611" s="46">
        <v>46097.325890671287</v>
      </c>
      <c r="G2611" s="46">
        <v>46097.325890671287</v>
      </c>
      <c r="H2611">
        <v>0</v>
      </c>
    </row>
    <row r="2612" spans="1:8" x14ac:dyDescent="0.15">
      <c r="A2612">
        <v>2611</v>
      </c>
      <c r="B2612" t="s">
        <v>339</v>
      </c>
      <c r="C2612" t="s">
        <v>353</v>
      </c>
      <c r="D2612" t="s">
        <v>5660</v>
      </c>
      <c r="E2612" t="s">
        <v>710</v>
      </c>
      <c r="F2612" s="46">
        <v>46097.325890671287</v>
      </c>
      <c r="G2612" s="46">
        <v>46097.325890671287</v>
      </c>
      <c r="H2612">
        <v>0</v>
      </c>
    </row>
    <row r="2613" spans="1:8" x14ac:dyDescent="0.15">
      <c r="A2613">
        <v>2612</v>
      </c>
      <c r="B2613" t="s">
        <v>339</v>
      </c>
      <c r="C2613" t="s">
        <v>353</v>
      </c>
      <c r="D2613" t="s">
        <v>5661</v>
      </c>
      <c r="E2613" t="s">
        <v>710</v>
      </c>
      <c r="F2613" s="46">
        <v>46097.325890671287</v>
      </c>
      <c r="G2613" s="46">
        <v>46097.325890671287</v>
      </c>
      <c r="H2613">
        <v>0</v>
      </c>
    </row>
    <row r="2614" spans="1:8" x14ac:dyDescent="0.15">
      <c r="A2614">
        <v>2613</v>
      </c>
      <c r="B2614" t="s">
        <v>339</v>
      </c>
      <c r="C2614" t="s">
        <v>353</v>
      </c>
      <c r="D2614" t="s">
        <v>5662</v>
      </c>
      <c r="E2614" t="s">
        <v>710</v>
      </c>
      <c r="F2614" s="46">
        <v>46097.325890671287</v>
      </c>
      <c r="G2614" s="46">
        <v>46097.325890671287</v>
      </c>
      <c r="H2614">
        <v>0</v>
      </c>
    </row>
    <row r="2615" spans="1:8" x14ac:dyDescent="0.15">
      <c r="A2615">
        <v>2614</v>
      </c>
      <c r="B2615" t="s">
        <v>339</v>
      </c>
      <c r="C2615" t="s">
        <v>353</v>
      </c>
      <c r="D2615" t="s">
        <v>5663</v>
      </c>
      <c r="E2615" t="s">
        <v>710</v>
      </c>
      <c r="F2615" s="46">
        <v>46097.325890671287</v>
      </c>
      <c r="G2615" s="46">
        <v>46097.325890671287</v>
      </c>
      <c r="H2615">
        <v>0</v>
      </c>
    </row>
    <row r="2616" spans="1:8" x14ac:dyDescent="0.15">
      <c r="A2616">
        <v>2615</v>
      </c>
      <c r="B2616" t="s">
        <v>339</v>
      </c>
      <c r="C2616" t="s">
        <v>353</v>
      </c>
      <c r="D2616" t="s">
        <v>5664</v>
      </c>
      <c r="E2616" t="s">
        <v>710</v>
      </c>
      <c r="F2616" s="46">
        <v>46097.325890671287</v>
      </c>
      <c r="G2616" s="46">
        <v>46097.325890671287</v>
      </c>
      <c r="H2616">
        <v>0</v>
      </c>
    </row>
    <row r="2617" spans="1:8" x14ac:dyDescent="0.15">
      <c r="A2617">
        <v>2616</v>
      </c>
      <c r="B2617" t="s">
        <v>339</v>
      </c>
      <c r="C2617" t="s">
        <v>353</v>
      </c>
      <c r="D2617" t="s">
        <v>5665</v>
      </c>
      <c r="E2617" t="s">
        <v>710</v>
      </c>
      <c r="F2617" s="46">
        <v>46097.325890671287</v>
      </c>
      <c r="G2617" s="46">
        <v>46097.325890856482</v>
      </c>
      <c r="H2617">
        <v>16</v>
      </c>
    </row>
    <row r="2618" spans="1:8" x14ac:dyDescent="0.15">
      <c r="A2618">
        <v>2617</v>
      </c>
      <c r="B2618" t="s">
        <v>339</v>
      </c>
      <c r="C2618" t="s">
        <v>353</v>
      </c>
      <c r="D2618" t="s">
        <v>5666</v>
      </c>
      <c r="E2618" t="s">
        <v>710</v>
      </c>
      <c r="F2618" s="46">
        <v>46097.325890856482</v>
      </c>
      <c r="G2618" s="46">
        <v>46097.325890856482</v>
      </c>
      <c r="H2618">
        <v>0</v>
      </c>
    </row>
    <row r="2619" spans="1:8" x14ac:dyDescent="0.15">
      <c r="A2619">
        <v>2618</v>
      </c>
      <c r="B2619" t="s">
        <v>339</v>
      </c>
      <c r="C2619" t="s">
        <v>353</v>
      </c>
      <c r="D2619" t="s">
        <v>5667</v>
      </c>
      <c r="E2619" t="s">
        <v>711</v>
      </c>
      <c r="F2619" s="46">
        <v>46097.325890856482</v>
      </c>
      <c r="G2619" s="46">
        <v>46097.325890856482</v>
      </c>
      <c r="H2619">
        <v>0</v>
      </c>
    </row>
    <row r="2620" spans="1:8" x14ac:dyDescent="0.15">
      <c r="A2620">
        <v>2619</v>
      </c>
      <c r="B2620" t="s">
        <v>339</v>
      </c>
      <c r="C2620" t="s">
        <v>353</v>
      </c>
      <c r="D2620" t="s">
        <v>5668</v>
      </c>
      <c r="E2620" t="s">
        <v>711</v>
      </c>
      <c r="F2620" s="46">
        <v>46097.325890856482</v>
      </c>
      <c r="G2620" s="46">
        <v>46097.325890856482</v>
      </c>
      <c r="H2620">
        <v>0</v>
      </c>
    </row>
    <row r="2621" spans="1:8" x14ac:dyDescent="0.15">
      <c r="A2621">
        <v>2620</v>
      </c>
      <c r="B2621" t="s">
        <v>339</v>
      </c>
      <c r="C2621" t="s">
        <v>353</v>
      </c>
      <c r="D2621" t="s">
        <v>5669</v>
      </c>
      <c r="E2621" t="s">
        <v>711</v>
      </c>
      <c r="F2621" s="46">
        <v>46097.325890856482</v>
      </c>
      <c r="G2621" s="46">
        <v>46097.325890856482</v>
      </c>
      <c r="H2621">
        <v>0</v>
      </c>
    </row>
    <row r="2622" spans="1:8" x14ac:dyDescent="0.15">
      <c r="A2622">
        <v>2621</v>
      </c>
      <c r="B2622" t="s">
        <v>339</v>
      </c>
      <c r="C2622" t="s">
        <v>353</v>
      </c>
      <c r="D2622" t="s">
        <v>5670</v>
      </c>
      <c r="E2622" t="s">
        <v>711</v>
      </c>
      <c r="F2622" s="46">
        <v>46097.325890856482</v>
      </c>
      <c r="G2622" s="46">
        <v>46097.325890856482</v>
      </c>
      <c r="H2622">
        <v>0</v>
      </c>
    </row>
    <row r="2623" spans="1:8" x14ac:dyDescent="0.15">
      <c r="A2623">
        <v>2622</v>
      </c>
      <c r="B2623" t="s">
        <v>339</v>
      </c>
      <c r="C2623" t="s">
        <v>353</v>
      </c>
      <c r="D2623" t="s">
        <v>5671</v>
      </c>
      <c r="E2623" t="s">
        <v>711</v>
      </c>
      <c r="F2623" s="46">
        <v>46097.325890856482</v>
      </c>
      <c r="G2623" s="46">
        <v>46097.325890856482</v>
      </c>
      <c r="H2623">
        <v>0</v>
      </c>
    </row>
    <row r="2624" spans="1:8" x14ac:dyDescent="0.15">
      <c r="A2624">
        <v>2623</v>
      </c>
      <c r="B2624" t="s">
        <v>339</v>
      </c>
      <c r="C2624" t="s">
        <v>353</v>
      </c>
      <c r="D2624" t="s">
        <v>5672</v>
      </c>
      <c r="E2624" t="s">
        <v>711</v>
      </c>
      <c r="F2624" s="46">
        <v>46097.325890856482</v>
      </c>
      <c r="G2624" s="46">
        <v>46097.325890856482</v>
      </c>
      <c r="H2624">
        <v>0</v>
      </c>
    </row>
    <row r="2625" spans="1:8" x14ac:dyDescent="0.15">
      <c r="A2625">
        <v>2624</v>
      </c>
      <c r="B2625" t="s">
        <v>339</v>
      </c>
      <c r="C2625" t="s">
        <v>353</v>
      </c>
      <c r="D2625" t="s">
        <v>5673</v>
      </c>
      <c r="E2625" t="s">
        <v>711</v>
      </c>
      <c r="F2625" s="46">
        <v>46097.325890856482</v>
      </c>
      <c r="G2625" s="46">
        <v>46097.325890856482</v>
      </c>
      <c r="H2625">
        <v>0</v>
      </c>
    </row>
    <row r="2626" spans="1:8" x14ac:dyDescent="0.15">
      <c r="A2626">
        <v>2625</v>
      </c>
      <c r="B2626" t="s">
        <v>339</v>
      </c>
      <c r="C2626" t="s">
        <v>353</v>
      </c>
      <c r="D2626" t="s">
        <v>5674</v>
      </c>
      <c r="E2626" t="s">
        <v>711</v>
      </c>
      <c r="F2626" s="46">
        <v>46097.325890856482</v>
      </c>
      <c r="G2626" s="46">
        <v>46097.325890856482</v>
      </c>
      <c r="H2626">
        <v>0</v>
      </c>
    </row>
    <row r="2627" spans="1:8" x14ac:dyDescent="0.15">
      <c r="A2627">
        <v>2626</v>
      </c>
      <c r="B2627" t="s">
        <v>339</v>
      </c>
      <c r="C2627" t="s">
        <v>353</v>
      </c>
      <c r="D2627" t="s">
        <v>5675</v>
      </c>
      <c r="E2627" t="s">
        <v>711</v>
      </c>
      <c r="F2627" s="46">
        <v>46097.325890856482</v>
      </c>
      <c r="G2627" s="46">
        <v>46097.32589104167</v>
      </c>
      <c r="H2627">
        <v>15</v>
      </c>
    </row>
    <row r="2628" spans="1:8" x14ac:dyDescent="0.15">
      <c r="A2628">
        <v>2627</v>
      </c>
      <c r="B2628" t="s">
        <v>339</v>
      </c>
      <c r="C2628" t="s">
        <v>353</v>
      </c>
      <c r="D2628" t="s">
        <v>5676</v>
      </c>
      <c r="E2628" t="s">
        <v>711</v>
      </c>
      <c r="F2628" s="46">
        <v>46097.32589104167</v>
      </c>
      <c r="G2628" s="46">
        <v>46097.32589104167</v>
      </c>
      <c r="H2628">
        <v>0</v>
      </c>
    </row>
    <row r="2629" spans="1:8" x14ac:dyDescent="0.15">
      <c r="A2629">
        <v>2628</v>
      </c>
      <c r="B2629" t="s">
        <v>339</v>
      </c>
      <c r="C2629" t="s">
        <v>353</v>
      </c>
      <c r="D2629" t="s">
        <v>5677</v>
      </c>
      <c r="E2629" t="s">
        <v>711</v>
      </c>
      <c r="F2629" s="46">
        <v>46097.32589104167</v>
      </c>
      <c r="G2629" s="46">
        <v>46097.32589104167</v>
      </c>
      <c r="H2629">
        <v>0</v>
      </c>
    </row>
    <row r="2630" spans="1:8" x14ac:dyDescent="0.15">
      <c r="A2630">
        <v>2629</v>
      </c>
      <c r="B2630" t="s">
        <v>339</v>
      </c>
      <c r="C2630" t="s">
        <v>353</v>
      </c>
      <c r="D2630" t="s">
        <v>5678</v>
      </c>
      <c r="E2630" t="s">
        <v>711</v>
      </c>
      <c r="F2630" s="46">
        <v>46097.32589104167</v>
      </c>
      <c r="G2630" s="46">
        <v>46097.32589104167</v>
      </c>
      <c r="H2630">
        <v>0</v>
      </c>
    </row>
    <row r="2631" spans="1:8" x14ac:dyDescent="0.15">
      <c r="A2631">
        <v>2630</v>
      </c>
      <c r="B2631" t="s">
        <v>339</v>
      </c>
      <c r="C2631" t="s">
        <v>353</v>
      </c>
      <c r="D2631" t="s">
        <v>5679</v>
      </c>
      <c r="E2631" t="s">
        <v>711</v>
      </c>
      <c r="F2631" s="46">
        <v>46097.32589104167</v>
      </c>
      <c r="G2631" s="46">
        <v>46097.32589104167</v>
      </c>
      <c r="H2631">
        <v>0</v>
      </c>
    </row>
    <row r="2632" spans="1:8" x14ac:dyDescent="0.15">
      <c r="A2632">
        <v>2631</v>
      </c>
      <c r="B2632" t="s">
        <v>339</v>
      </c>
      <c r="C2632" t="s">
        <v>353</v>
      </c>
      <c r="D2632" t="s">
        <v>5680</v>
      </c>
      <c r="E2632" t="s">
        <v>711</v>
      </c>
      <c r="F2632" s="46">
        <v>46097.32589104167</v>
      </c>
      <c r="G2632" s="46">
        <v>46097.32589104167</v>
      </c>
      <c r="H2632">
        <v>0</v>
      </c>
    </row>
    <row r="2633" spans="1:8" x14ac:dyDescent="0.15">
      <c r="A2633">
        <v>2632</v>
      </c>
      <c r="B2633" t="s">
        <v>339</v>
      </c>
      <c r="C2633" t="s">
        <v>353</v>
      </c>
      <c r="D2633" t="s">
        <v>5681</v>
      </c>
      <c r="E2633" t="s">
        <v>711</v>
      </c>
      <c r="F2633" s="46">
        <v>46097.32589104167</v>
      </c>
      <c r="G2633" s="46">
        <v>46097.32589104167</v>
      </c>
      <c r="H2633">
        <v>0</v>
      </c>
    </row>
    <row r="2634" spans="1:8" x14ac:dyDescent="0.15">
      <c r="A2634">
        <v>2633</v>
      </c>
      <c r="B2634" t="s">
        <v>339</v>
      </c>
      <c r="C2634" t="s">
        <v>353</v>
      </c>
      <c r="D2634" t="s">
        <v>5682</v>
      </c>
      <c r="E2634" t="s">
        <v>711</v>
      </c>
      <c r="F2634" s="46">
        <v>46097.32589104167</v>
      </c>
      <c r="G2634" s="46">
        <v>46097.32589104167</v>
      </c>
      <c r="H2634">
        <v>0</v>
      </c>
    </row>
    <row r="2635" spans="1:8" x14ac:dyDescent="0.15">
      <c r="A2635">
        <v>2634</v>
      </c>
      <c r="B2635" t="s">
        <v>339</v>
      </c>
      <c r="C2635" t="s">
        <v>353</v>
      </c>
      <c r="D2635" t="s">
        <v>5683</v>
      </c>
      <c r="E2635" t="s">
        <v>711</v>
      </c>
      <c r="F2635" s="46">
        <v>46097.32589104167</v>
      </c>
      <c r="G2635" s="46">
        <v>46097.32589104167</v>
      </c>
      <c r="H2635">
        <v>0</v>
      </c>
    </row>
    <row r="2636" spans="1:8" x14ac:dyDescent="0.15">
      <c r="A2636">
        <v>2635</v>
      </c>
      <c r="B2636" t="s">
        <v>339</v>
      </c>
      <c r="C2636" t="s">
        <v>353</v>
      </c>
      <c r="D2636" t="s">
        <v>5684</v>
      </c>
      <c r="E2636" t="s">
        <v>711</v>
      </c>
      <c r="F2636" s="46">
        <v>46097.32589104167</v>
      </c>
      <c r="G2636" s="46">
        <v>46097.32589104167</v>
      </c>
      <c r="H2636">
        <v>0</v>
      </c>
    </row>
    <row r="2637" spans="1:8" x14ac:dyDescent="0.15">
      <c r="A2637">
        <v>2636</v>
      </c>
      <c r="B2637" t="s">
        <v>339</v>
      </c>
      <c r="C2637" t="s">
        <v>353</v>
      </c>
      <c r="D2637" t="s">
        <v>5685</v>
      </c>
      <c r="E2637" t="s">
        <v>711</v>
      </c>
      <c r="F2637" s="46">
        <v>46097.32589104167</v>
      </c>
      <c r="G2637" s="46">
        <v>46097.32589104167</v>
      </c>
      <c r="H2637">
        <v>0</v>
      </c>
    </row>
    <row r="2638" spans="1:8" x14ac:dyDescent="0.15">
      <c r="A2638">
        <v>2637</v>
      </c>
      <c r="B2638" t="s">
        <v>339</v>
      </c>
      <c r="C2638" t="s">
        <v>353</v>
      </c>
      <c r="D2638" t="s">
        <v>5686</v>
      </c>
      <c r="E2638" t="s">
        <v>711</v>
      </c>
      <c r="F2638" s="46">
        <v>46097.32589104167</v>
      </c>
      <c r="G2638" s="46">
        <v>46097.325891215267</v>
      </c>
      <c r="H2638">
        <v>16</v>
      </c>
    </row>
    <row r="2639" spans="1:8" x14ac:dyDescent="0.15">
      <c r="A2639">
        <v>2638</v>
      </c>
      <c r="B2639" t="s">
        <v>339</v>
      </c>
      <c r="C2639" t="s">
        <v>353</v>
      </c>
      <c r="D2639" t="s">
        <v>5687</v>
      </c>
      <c r="E2639" t="s">
        <v>711</v>
      </c>
      <c r="F2639" s="46">
        <v>46097.325891215267</v>
      </c>
      <c r="G2639" s="46">
        <v>46097.325891215267</v>
      </c>
      <c r="H2639">
        <v>0</v>
      </c>
    </row>
    <row r="2640" spans="1:8" x14ac:dyDescent="0.15">
      <c r="A2640">
        <v>2639</v>
      </c>
      <c r="B2640" t="s">
        <v>339</v>
      </c>
      <c r="C2640" t="s">
        <v>353</v>
      </c>
      <c r="D2640" t="s">
        <v>5688</v>
      </c>
      <c r="E2640" t="s">
        <v>711</v>
      </c>
      <c r="F2640" s="46">
        <v>46097.325891215267</v>
      </c>
      <c r="G2640" s="46">
        <v>46097.325891215267</v>
      </c>
      <c r="H2640">
        <v>0</v>
      </c>
    </row>
    <row r="2641" spans="1:8" x14ac:dyDescent="0.15">
      <c r="A2641">
        <v>2640</v>
      </c>
      <c r="B2641" t="s">
        <v>339</v>
      </c>
      <c r="C2641" t="s">
        <v>353</v>
      </c>
      <c r="D2641" t="s">
        <v>5689</v>
      </c>
      <c r="E2641" t="s">
        <v>712</v>
      </c>
      <c r="F2641" s="46">
        <v>46097.325891215267</v>
      </c>
      <c r="G2641" s="46">
        <v>46097.325891215267</v>
      </c>
      <c r="H2641">
        <v>0</v>
      </c>
    </row>
    <row r="2642" spans="1:8" x14ac:dyDescent="0.15">
      <c r="A2642">
        <v>2641</v>
      </c>
      <c r="B2642" t="s">
        <v>339</v>
      </c>
      <c r="C2642" t="s">
        <v>353</v>
      </c>
      <c r="D2642" t="s">
        <v>5690</v>
      </c>
      <c r="E2642" t="s">
        <v>712</v>
      </c>
      <c r="F2642" s="46">
        <v>46097.325891215267</v>
      </c>
      <c r="G2642" s="46">
        <v>46097.325891215267</v>
      </c>
      <c r="H2642">
        <v>0</v>
      </c>
    </row>
    <row r="2643" spans="1:8" x14ac:dyDescent="0.15">
      <c r="A2643">
        <v>2642</v>
      </c>
      <c r="B2643" t="s">
        <v>339</v>
      </c>
      <c r="C2643" t="s">
        <v>353</v>
      </c>
      <c r="D2643" t="s">
        <v>5691</v>
      </c>
      <c r="E2643" t="s">
        <v>712</v>
      </c>
      <c r="F2643" s="46">
        <v>46097.325891215267</v>
      </c>
      <c r="G2643" s="46">
        <v>46097.325891215267</v>
      </c>
      <c r="H2643">
        <v>0</v>
      </c>
    </row>
    <row r="2644" spans="1:8" x14ac:dyDescent="0.15">
      <c r="A2644">
        <v>2643</v>
      </c>
      <c r="B2644" t="s">
        <v>339</v>
      </c>
      <c r="C2644" t="s">
        <v>353</v>
      </c>
      <c r="D2644" t="s">
        <v>5692</v>
      </c>
      <c r="E2644" t="s">
        <v>712</v>
      </c>
      <c r="F2644" s="46">
        <v>46097.325891215267</v>
      </c>
      <c r="G2644" s="46">
        <v>46097.325891215267</v>
      </c>
      <c r="H2644">
        <v>0</v>
      </c>
    </row>
    <row r="2645" spans="1:8" x14ac:dyDescent="0.15">
      <c r="A2645">
        <v>2644</v>
      </c>
      <c r="B2645" t="s">
        <v>339</v>
      </c>
      <c r="C2645" t="s">
        <v>353</v>
      </c>
      <c r="D2645" t="s">
        <v>5693</v>
      </c>
      <c r="E2645" t="s">
        <v>5694</v>
      </c>
      <c r="F2645" s="46">
        <v>46097.325891215267</v>
      </c>
      <c r="G2645" s="46">
        <v>46097.325891215267</v>
      </c>
      <c r="H2645">
        <v>0</v>
      </c>
    </row>
    <row r="2646" spans="1:8" x14ac:dyDescent="0.15">
      <c r="A2646">
        <v>2645</v>
      </c>
      <c r="B2646" t="s">
        <v>339</v>
      </c>
      <c r="C2646" t="s">
        <v>353</v>
      </c>
      <c r="D2646" t="s">
        <v>5695</v>
      </c>
      <c r="E2646" t="s">
        <v>5694</v>
      </c>
      <c r="F2646" s="46">
        <v>46097.325891215267</v>
      </c>
      <c r="G2646" s="46">
        <v>46097.325891215267</v>
      </c>
      <c r="H2646">
        <v>0</v>
      </c>
    </row>
    <row r="2647" spans="1:8" x14ac:dyDescent="0.15">
      <c r="A2647">
        <v>2646</v>
      </c>
      <c r="B2647" t="s">
        <v>339</v>
      </c>
      <c r="C2647" t="s">
        <v>353</v>
      </c>
      <c r="D2647" t="s">
        <v>5696</v>
      </c>
      <c r="E2647" t="s">
        <v>5697</v>
      </c>
      <c r="F2647" s="46">
        <v>46097.325891215267</v>
      </c>
      <c r="G2647" s="46">
        <v>46097.325891215267</v>
      </c>
      <c r="H2647">
        <v>0</v>
      </c>
    </row>
    <row r="2648" spans="1:8" x14ac:dyDescent="0.15">
      <c r="A2648">
        <v>2647</v>
      </c>
      <c r="B2648" t="s">
        <v>339</v>
      </c>
      <c r="C2648" t="s">
        <v>353</v>
      </c>
      <c r="D2648" t="s">
        <v>5698</v>
      </c>
      <c r="E2648" t="s">
        <v>5697</v>
      </c>
      <c r="F2648" s="46">
        <v>46097.325891215267</v>
      </c>
      <c r="G2648" s="46">
        <v>46097.325891400462</v>
      </c>
      <c r="H2648">
        <v>15</v>
      </c>
    </row>
    <row r="2649" spans="1:8" x14ac:dyDescent="0.15">
      <c r="A2649">
        <v>2648</v>
      </c>
      <c r="B2649" t="s">
        <v>339</v>
      </c>
      <c r="C2649" t="s">
        <v>353</v>
      </c>
      <c r="D2649" t="s">
        <v>5699</v>
      </c>
      <c r="E2649" t="s">
        <v>5700</v>
      </c>
      <c r="F2649" s="46">
        <v>46097.325891400462</v>
      </c>
      <c r="G2649" s="46">
        <v>46097.325891400462</v>
      </c>
      <c r="H2649">
        <v>0</v>
      </c>
    </row>
    <row r="2650" spans="1:8" x14ac:dyDescent="0.15">
      <c r="A2650">
        <v>2649</v>
      </c>
      <c r="B2650" t="s">
        <v>339</v>
      </c>
      <c r="C2650" t="s">
        <v>353</v>
      </c>
      <c r="D2650" t="s">
        <v>5701</v>
      </c>
      <c r="E2650" t="s">
        <v>5700</v>
      </c>
      <c r="F2650" s="46">
        <v>46097.325891400462</v>
      </c>
      <c r="G2650" s="46">
        <v>46097.325891400462</v>
      </c>
      <c r="H2650">
        <v>0</v>
      </c>
    </row>
    <row r="2651" spans="1:8" x14ac:dyDescent="0.15">
      <c r="A2651">
        <v>2650</v>
      </c>
      <c r="B2651" t="s">
        <v>339</v>
      </c>
      <c r="C2651" t="s">
        <v>353</v>
      </c>
      <c r="D2651" t="s">
        <v>5702</v>
      </c>
      <c r="E2651" t="s">
        <v>5700</v>
      </c>
      <c r="F2651" s="46">
        <v>46097.325891400462</v>
      </c>
      <c r="G2651" s="46">
        <v>46097.325891400462</v>
      </c>
      <c r="H2651">
        <v>0</v>
      </c>
    </row>
    <row r="2652" spans="1:8" x14ac:dyDescent="0.15">
      <c r="A2652">
        <v>2651</v>
      </c>
      <c r="B2652" t="s">
        <v>339</v>
      </c>
      <c r="C2652" t="s">
        <v>353</v>
      </c>
      <c r="D2652" t="s">
        <v>5703</v>
      </c>
      <c r="E2652" t="s">
        <v>5700</v>
      </c>
      <c r="F2652" s="46">
        <v>46097.325891400462</v>
      </c>
      <c r="G2652" s="46">
        <v>46097.325891400462</v>
      </c>
      <c r="H2652">
        <v>0</v>
      </c>
    </row>
    <row r="2653" spans="1:8" x14ac:dyDescent="0.15">
      <c r="A2653">
        <v>2652</v>
      </c>
      <c r="B2653" t="s">
        <v>339</v>
      </c>
      <c r="C2653" t="s">
        <v>353</v>
      </c>
      <c r="D2653" t="s">
        <v>5704</v>
      </c>
      <c r="E2653" t="s">
        <v>5705</v>
      </c>
      <c r="F2653" s="46">
        <v>46097.325891400462</v>
      </c>
      <c r="G2653" s="46">
        <v>46097.325891400462</v>
      </c>
      <c r="H2653">
        <v>0</v>
      </c>
    </row>
    <row r="2654" spans="1:8" x14ac:dyDescent="0.15">
      <c r="A2654">
        <v>2653</v>
      </c>
      <c r="B2654" t="s">
        <v>339</v>
      </c>
      <c r="C2654" t="s">
        <v>353</v>
      </c>
      <c r="D2654" t="s">
        <v>5706</v>
      </c>
      <c r="E2654" t="s">
        <v>716</v>
      </c>
      <c r="F2654" s="46">
        <v>46097.325891400462</v>
      </c>
      <c r="G2654" s="46">
        <v>46097.325891400462</v>
      </c>
      <c r="H2654">
        <v>0</v>
      </c>
    </row>
    <row r="2655" spans="1:8" x14ac:dyDescent="0.15">
      <c r="A2655">
        <v>2654</v>
      </c>
      <c r="B2655" t="s">
        <v>339</v>
      </c>
      <c r="C2655" t="s">
        <v>353</v>
      </c>
      <c r="D2655" t="s">
        <v>5707</v>
      </c>
      <c r="E2655" t="s">
        <v>716</v>
      </c>
      <c r="F2655" s="46">
        <v>46097.325891400462</v>
      </c>
      <c r="G2655" s="46">
        <v>46097.325891400462</v>
      </c>
      <c r="H2655">
        <v>0</v>
      </c>
    </row>
    <row r="2656" spans="1:8" x14ac:dyDescent="0.15">
      <c r="A2656">
        <v>2655</v>
      </c>
      <c r="B2656" t="s">
        <v>339</v>
      </c>
      <c r="C2656" t="s">
        <v>353</v>
      </c>
      <c r="D2656" t="s">
        <v>5708</v>
      </c>
      <c r="E2656" t="s">
        <v>717</v>
      </c>
      <c r="F2656" s="46">
        <v>46097.325891400462</v>
      </c>
      <c r="G2656" s="46">
        <v>46097.325891400462</v>
      </c>
      <c r="H2656">
        <v>0</v>
      </c>
    </row>
    <row r="2657" spans="1:8" x14ac:dyDescent="0.15">
      <c r="A2657">
        <v>2656</v>
      </c>
      <c r="B2657" t="s">
        <v>339</v>
      </c>
      <c r="C2657" t="s">
        <v>353</v>
      </c>
      <c r="D2657" t="s">
        <v>5709</v>
      </c>
      <c r="E2657" t="s">
        <v>717</v>
      </c>
      <c r="F2657" s="46">
        <v>46097.325891400462</v>
      </c>
      <c r="G2657" s="46">
        <v>46097.325891400462</v>
      </c>
      <c r="H2657">
        <v>0</v>
      </c>
    </row>
    <row r="2658" spans="1:8" x14ac:dyDescent="0.15">
      <c r="A2658">
        <v>2657</v>
      </c>
      <c r="B2658" t="s">
        <v>339</v>
      </c>
      <c r="C2658" t="s">
        <v>353</v>
      </c>
      <c r="D2658" t="s">
        <v>5710</v>
      </c>
      <c r="E2658" t="s">
        <v>718</v>
      </c>
      <c r="F2658" s="46">
        <v>46097.325891400462</v>
      </c>
      <c r="G2658" s="46">
        <v>46097.325891400462</v>
      </c>
      <c r="H2658">
        <v>0</v>
      </c>
    </row>
    <row r="2659" spans="1:8" x14ac:dyDescent="0.15">
      <c r="A2659">
        <v>2658</v>
      </c>
      <c r="B2659" t="s">
        <v>339</v>
      </c>
      <c r="C2659" t="s">
        <v>353</v>
      </c>
      <c r="D2659" t="s">
        <v>5711</v>
      </c>
      <c r="E2659" t="s">
        <v>718</v>
      </c>
      <c r="F2659" s="46">
        <v>46097.32589158565</v>
      </c>
      <c r="G2659" s="46">
        <v>46097.32589158565</v>
      </c>
      <c r="H2659">
        <v>0</v>
      </c>
    </row>
    <row r="2660" spans="1:8" x14ac:dyDescent="0.15">
      <c r="A2660">
        <v>2659</v>
      </c>
      <c r="B2660" t="s">
        <v>339</v>
      </c>
      <c r="C2660" t="s">
        <v>353</v>
      </c>
      <c r="D2660" t="s">
        <v>5712</v>
      </c>
      <c r="E2660" t="s">
        <v>720</v>
      </c>
      <c r="F2660" s="46">
        <v>46097.32589158565</v>
      </c>
      <c r="G2660" s="46">
        <v>46097.32589158565</v>
      </c>
      <c r="H2660">
        <v>0</v>
      </c>
    </row>
    <row r="2661" spans="1:8" x14ac:dyDescent="0.15">
      <c r="A2661">
        <v>2660</v>
      </c>
      <c r="B2661" t="s">
        <v>339</v>
      </c>
      <c r="C2661" t="s">
        <v>353</v>
      </c>
      <c r="D2661" t="s">
        <v>5713</v>
      </c>
      <c r="E2661" t="s">
        <v>721</v>
      </c>
      <c r="F2661" s="46">
        <v>46097.32589158565</v>
      </c>
      <c r="G2661" s="46">
        <v>46097.32589158565</v>
      </c>
      <c r="H2661">
        <v>0</v>
      </c>
    </row>
    <row r="2662" spans="1:8" x14ac:dyDescent="0.15">
      <c r="A2662">
        <v>2661</v>
      </c>
      <c r="B2662" t="s">
        <v>339</v>
      </c>
      <c r="C2662" t="s">
        <v>353</v>
      </c>
      <c r="D2662" t="s">
        <v>5714</v>
      </c>
      <c r="E2662" t="s">
        <v>722</v>
      </c>
      <c r="F2662" s="46">
        <v>46097.32589158565</v>
      </c>
      <c r="G2662" s="46">
        <v>46097.32589158565</v>
      </c>
      <c r="H2662">
        <v>0</v>
      </c>
    </row>
    <row r="2663" spans="1:8" x14ac:dyDescent="0.15">
      <c r="A2663">
        <v>2662</v>
      </c>
      <c r="B2663" t="s">
        <v>339</v>
      </c>
      <c r="C2663" t="s">
        <v>353</v>
      </c>
      <c r="D2663" t="s">
        <v>5715</v>
      </c>
      <c r="E2663" t="s">
        <v>722</v>
      </c>
      <c r="F2663" s="46">
        <v>46097.32589158565</v>
      </c>
      <c r="G2663" s="46">
        <v>46097.32589158565</v>
      </c>
      <c r="H2663">
        <v>0</v>
      </c>
    </row>
    <row r="2664" spans="1:8" x14ac:dyDescent="0.15">
      <c r="A2664">
        <v>2663</v>
      </c>
      <c r="B2664" t="s">
        <v>339</v>
      </c>
      <c r="C2664" t="s">
        <v>353</v>
      </c>
      <c r="D2664" t="s">
        <v>5716</v>
      </c>
      <c r="E2664" t="s">
        <v>722</v>
      </c>
      <c r="F2664" s="46">
        <v>46097.32589158565</v>
      </c>
      <c r="G2664" s="46">
        <v>46097.32589158565</v>
      </c>
      <c r="H2664">
        <v>0</v>
      </c>
    </row>
    <row r="2665" spans="1:8" x14ac:dyDescent="0.15">
      <c r="A2665">
        <v>2664</v>
      </c>
      <c r="B2665" t="s">
        <v>339</v>
      </c>
      <c r="C2665" t="s">
        <v>353</v>
      </c>
      <c r="D2665" t="s">
        <v>5717</v>
      </c>
      <c r="E2665" t="s">
        <v>722</v>
      </c>
      <c r="F2665" s="46">
        <v>46097.32589158565</v>
      </c>
      <c r="G2665" s="46">
        <v>46097.32589158565</v>
      </c>
      <c r="H2665">
        <v>0</v>
      </c>
    </row>
    <row r="2666" spans="1:8" x14ac:dyDescent="0.15">
      <c r="A2666">
        <v>2665</v>
      </c>
      <c r="B2666" t="s">
        <v>339</v>
      </c>
      <c r="C2666" t="s">
        <v>353</v>
      </c>
      <c r="D2666" t="s">
        <v>5718</v>
      </c>
      <c r="E2666" t="s">
        <v>722</v>
      </c>
      <c r="F2666" s="46">
        <v>46097.32589158565</v>
      </c>
      <c r="G2666" s="46">
        <v>46097.32589158565</v>
      </c>
      <c r="H2666">
        <v>0</v>
      </c>
    </row>
    <row r="2667" spans="1:8" x14ac:dyDescent="0.15">
      <c r="A2667">
        <v>2666</v>
      </c>
      <c r="B2667" t="s">
        <v>339</v>
      </c>
      <c r="C2667" t="s">
        <v>353</v>
      </c>
      <c r="D2667" t="s">
        <v>5719</v>
      </c>
      <c r="E2667" t="s">
        <v>723</v>
      </c>
      <c r="F2667" s="46">
        <v>46097.32589158565</v>
      </c>
      <c r="G2667" s="46">
        <v>46097.32589158565</v>
      </c>
      <c r="H2667">
        <v>0</v>
      </c>
    </row>
    <row r="2668" spans="1:8" x14ac:dyDescent="0.15">
      <c r="A2668">
        <v>2667</v>
      </c>
      <c r="B2668" t="s">
        <v>339</v>
      </c>
      <c r="C2668" t="s">
        <v>353</v>
      </c>
      <c r="D2668" t="s">
        <v>5720</v>
      </c>
      <c r="E2668" t="s">
        <v>723</v>
      </c>
      <c r="F2668" s="46">
        <v>46097.32589158565</v>
      </c>
      <c r="G2668" s="46">
        <v>46097.32589158565</v>
      </c>
      <c r="H2668">
        <v>0</v>
      </c>
    </row>
    <row r="2669" spans="1:8" x14ac:dyDescent="0.15">
      <c r="A2669">
        <v>2668</v>
      </c>
      <c r="B2669" t="s">
        <v>339</v>
      </c>
      <c r="C2669" t="s">
        <v>353</v>
      </c>
      <c r="D2669" t="s">
        <v>5721</v>
      </c>
      <c r="E2669" t="s">
        <v>724</v>
      </c>
      <c r="F2669" s="46">
        <v>46097.32589158565</v>
      </c>
      <c r="G2669" s="46">
        <v>46097.325891759261</v>
      </c>
      <c r="H2669">
        <v>16</v>
      </c>
    </row>
    <row r="2670" spans="1:8" x14ac:dyDescent="0.15">
      <c r="A2670">
        <v>2669</v>
      </c>
      <c r="B2670" t="s">
        <v>339</v>
      </c>
      <c r="C2670" t="s">
        <v>353</v>
      </c>
      <c r="D2670" t="s">
        <v>5722</v>
      </c>
      <c r="E2670" t="s">
        <v>724</v>
      </c>
      <c r="F2670" s="46">
        <v>46097.325891759261</v>
      </c>
      <c r="G2670" s="46">
        <v>46097.325891759261</v>
      </c>
      <c r="H2670">
        <v>0</v>
      </c>
    </row>
    <row r="2671" spans="1:8" x14ac:dyDescent="0.15">
      <c r="A2671">
        <v>2670</v>
      </c>
      <c r="B2671" t="s">
        <v>339</v>
      </c>
      <c r="C2671" t="s">
        <v>353</v>
      </c>
      <c r="D2671" t="s">
        <v>5723</v>
      </c>
      <c r="E2671" t="s">
        <v>724</v>
      </c>
      <c r="F2671" s="46">
        <v>46097.325891759261</v>
      </c>
      <c r="G2671" s="46">
        <v>46097.325891759261</v>
      </c>
      <c r="H2671">
        <v>0</v>
      </c>
    </row>
    <row r="2672" spans="1:8" x14ac:dyDescent="0.15">
      <c r="A2672">
        <v>2671</v>
      </c>
      <c r="B2672" t="s">
        <v>339</v>
      </c>
      <c r="C2672" t="s">
        <v>353</v>
      </c>
      <c r="D2672" t="s">
        <v>5724</v>
      </c>
      <c r="E2672" t="s">
        <v>725</v>
      </c>
      <c r="F2672" s="46">
        <v>46097.325891759261</v>
      </c>
      <c r="G2672" s="46">
        <v>46097.325891759261</v>
      </c>
      <c r="H2672">
        <v>0</v>
      </c>
    </row>
    <row r="2673" spans="1:8" x14ac:dyDescent="0.15">
      <c r="A2673">
        <v>2672</v>
      </c>
      <c r="B2673" t="s">
        <v>339</v>
      </c>
      <c r="C2673" t="s">
        <v>353</v>
      </c>
      <c r="D2673" t="s">
        <v>5725</v>
      </c>
      <c r="E2673" t="s">
        <v>725</v>
      </c>
      <c r="F2673" s="46">
        <v>46097.325891759261</v>
      </c>
      <c r="G2673" s="46">
        <v>46097.325891759261</v>
      </c>
      <c r="H2673">
        <v>0</v>
      </c>
    </row>
    <row r="2674" spans="1:8" x14ac:dyDescent="0.15">
      <c r="A2674">
        <v>2673</v>
      </c>
      <c r="B2674" t="s">
        <v>339</v>
      </c>
      <c r="C2674" t="s">
        <v>353</v>
      </c>
      <c r="D2674" t="s">
        <v>5726</v>
      </c>
      <c r="E2674" t="s">
        <v>725</v>
      </c>
      <c r="F2674" s="46">
        <v>46097.325891759261</v>
      </c>
      <c r="G2674" s="46">
        <v>46097.325891759261</v>
      </c>
      <c r="H2674">
        <v>0</v>
      </c>
    </row>
    <row r="2675" spans="1:8" x14ac:dyDescent="0.15">
      <c r="A2675">
        <v>2674</v>
      </c>
      <c r="B2675" t="s">
        <v>339</v>
      </c>
      <c r="C2675" t="s">
        <v>353</v>
      </c>
      <c r="D2675" t="s">
        <v>5727</v>
      </c>
      <c r="E2675" t="s">
        <v>725</v>
      </c>
      <c r="F2675" s="46">
        <v>46097.325891759261</v>
      </c>
      <c r="G2675" s="46">
        <v>46097.325891759261</v>
      </c>
      <c r="H2675">
        <v>0</v>
      </c>
    </row>
    <row r="2676" spans="1:8" x14ac:dyDescent="0.15">
      <c r="A2676">
        <v>2675</v>
      </c>
      <c r="B2676" t="s">
        <v>339</v>
      </c>
      <c r="C2676" t="s">
        <v>353</v>
      </c>
      <c r="D2676" t="s">
        <v>5728</v>
      </c>
      <c r="E2676" t="s">
        <v>5729</v>
      </c>
      <c r="F2676" s="46">
        <v>46097.325891759261</v>
      </c>
      <c r="G2676" s="46">
        <v>46097.325891759261</v>
      </c>
      <c r="H2676">
        <v>0</v>
      </c>
    </row>
    <row r="2677" spans="1:8" x14ac:dyDescent="0.15">
      <c r="A2677">
        <v>2676</v>
      </c>
      <c r="B2677" t="s">
        <v>339</v>
      </c>
      <c r="C2677" t="s">
        <v>353</v>
      </c>
      <c r="D2677" t="s">
        <v>5730</v>
      </c>
      <c r="E2677" t="s">
        <v>5731</v>
      </c>
      <c r="F2677" s="46">
        <v>46097.325891759261</v>
      </c>
      <c r="G2677" s="46">
        <v>46097.325891759261</v>
      </c>
      <c r="H2677">
        <v>0</v>
      </c>
    </row>
    <row r="2678" spans="1:8" x14ac:dyDescent="0.15">
      <c r="A2678">
        <v>2677</v>
      </c>
      <c r="B2678" t="s">
        <v>339</v>
      </c>
      <c r="C2678" t="s">
        <v>353</v>
      </c>
      <c r="D2678" t="s">
        <v>5732</v>
      </c>
      <c r="E2678" t="s">
        <v>5733</v>
      </c>
      <c r="F2678" s="46">
        <v>46097.325891759261</v>
      </c>
      <c r="G2678" s="46">
        <v>46097.325891759261</v>
      </c>
      <c r="H2678">
        <v>0</v>
      </c>
    </row>
    <row r="2679" spans="1:8" x14ac:dyDescent="0.15">
      <c r="A2679">
        <v>2678</v>
      </c>
      <c r="B2679" t="s">
        <v>339</v>
      </c>
      <c r="C2679" t="s">
        <v>353</v>
      </c>
      <c r="D2679" t="s">
        <v>5734</v>
      </c>
      <c r="E2679" t="s">
        <v>5733</v>
      </c>
      <c r="F2679" s="46">
        <v>46097.325891759261</v>
      </c>
      <c r="G2679" s="46">
        <v>46097.325891759261</v>
      </c>
      <c r="H2679">
        <v>0</v>
      </c>
    </row>
    <row r="2680" spans="1:8" x14ac:dyDescent="0.15">
      <c r="A2680">
        <v>2679</v>
      </c>
      <c r="B2680" t="s">
        <v>339</v>
      </c>
      <c r="C2680" t="s">
        <v>353</v>
      </c>
      <c r="D2680" t="s">
        <v>5735</v>
      </c>
      <c r="E2680" t="s">
        <v>5736</v>
      </c>
      <c r="F2680" s="46">
        <v>46097.325891759261</v>
      </c>
      <c r="G2680" s="46">
        <v>46097.325891944442</v>
      </c>
      <c r="H2680">
        <v>15</v>
      </c>
    </row>
    <row r="2681" spans="1:8" x14ac:dyDescent="0.15">
      <c r="A2681">
        <v>2680</v>
      </c>
      <c r="B2681" t="s">
        <v>339</v>
      </c>
      <c r="C2681" t="s">
        <v>353</v>
      </c>
      <c r="D2681" t="s">
        <v>5737</v>
      </c>
      <c r="E2681" t="s">
        <v>5736</v>
      </c>
      <c r="F2681" s="46">
        <v>46097.325891944442</v>
      </c>
      <c r="G2681" s="46">
        <v>46097.325891944442</v>
      </c>
      <c r="H2681">
        <v>0</v>
      </c>
    </row>
    <row r="2682" spans="1:8" x14ac:dyDescent="0.15">
      <c r="A2682">
        <v>2681</v>
      </c>
      <c r="B2682" t="s">
        <v>339</v>
      </c>
      <c r="C2682" t="s">
        <v>353</v>
      </c>
      <c r="D2682" t="s">
        <v>5738</v>
      </c>
      <c r="E2682" t="s">
        <v>5739</v>
      </c>
      <c r="F2682" s="46">
        <v>46097.325891944442</v>
      </c>
      <c r="G2682" s="46">
        <v>46097.325891944442</v>
      </c>
      <c r="H2682">
        <v>0</v>
      </c>
    </row>
    <row r="2683" spans="1:8" x14ac:dyDescent="0.15">
      <c r="A2683">
        <v>2682</v>
      </c>
      <c r="B2683" t="s">
        <v>339</v>
      </c>
      <c r="C2683" t="s">
        <v>353</v>
      </c>
      <c r="D2683" t="s">
        <v>5740</v>
      </c>
      <c r="E2683" t="s">
        <v>5741</v>
      </c>
      <c r="F2683" s="46">
        <v>46097.325891944442</v>
      </c>
      <c r="G2683" s="46">
        <v>46097.325891944442</v>
      </c>
      <c r="H2683">
        <v>0</v>
      </c>
    </row>
    <row r="2684" spans="1:8" x14ac:dyDescent="0.15">
      <c r="A2684">
        <v>2683</v>
      </c>
      <c r="B2684" t="s">
        <v>339</v>
      </c>
      <c r="C2684" t="s">
        <v>353</v>
      </c>
      <c r="D2684" t="s">
        <v>5742</v>
      </c>
      <c r="E2684" t="s">
        <v>5743</v>
      </c>
      <c r="F2684" s="46">
        <v>46097.325891944442</v>
      </c>
      <c r="G2684" s="46">
        <v>46097.325891944442</v>
      </c>
      <c r="H2684">
        <v>0</v>
      </c>
    </row>
    <row r="2685" spans="1:8" x14ac:dyDescent="0.15">
      <c r="A2685">
        <v>2684</v>
      </c>
      <c r="B2685" t="s">
        <v>339</v>
      </c>
      <c r="C2685" t="s">
        <v>353</v>
      </c>
      <c r="D2685" t="s">
        <v>5744</v>
      </c>
      <c r="E2685" t="s">
        <v>5745</v>
      </c>
      <c r="F2685" s="46">
        <v>46097.325891944442</v>
      </c>
      <c r="G2685" s="46">
        <v>46097.325891944442</v>
      </c>
      <c r="H2685">
        <v>0</v>
      </c>
    </row>
    <row r="2686" spans="1:8" x14ac:dyDescent="0.15">
      <c r="A2686">
        <v>2685</v>
      </c>
      <c r="B2686" t="s">
        <v>339</v>
      </c>
      <c r="C2686" t="s">
        <v>353</v>
      </c>
      <c r="D2686" t="s">
        <v>5746</v>
      </c>
      <c r="E2686" t="s">
        <v>5747</v>
      </c>
      <c r="F2686" s="46">
        <v>46097.325891944442</v>
      </c>
      <c r="G2686" s="46">
        <v>46097.325891944442</v>
      </c>
      <c r="H2686">
        <v>0</v>
      </c>
    </row>
    <row r="2687" spans="1:8" x14ac:dyDescent="0.15">
      <c r="A2687">
        <v>2686</v>
      </c>
      <c r="B2687" t="s">
        <v>339</v>
      </c>
      <c r="C2687" t="s">
        <v>353</v>
      </c>
      <c r="D2687" t="s">
        <v>5748</v>
      </c>
      <c r="E2687" t="s">
        <v>5747</v>
      </c>
      <c r="F2687" s="46">
        <v>46097.325891944442</v>
      </c>
      <c r="G2687" s="46">
        <v>46097.325891944442</v>
      </c>
      <c r="H2687">
        <v>0</v>
      </c>
    </row>
    <row r="2688" spans="1:8" x14ac:dyDescent="0.15">
      <c r="A2688">
        <v>2687</v>
      </c>
      <c r="B2688" t="s">
        <v>339</v>
      </c>
      <c r="C2688" t="s">
        <v>353</v>
      </c>
      <c r="D2688" t="s">
        <v>5749</v>
      </c>
      <c r="E2688" t="s">
        <v>5747</v>
      </c>
      <c r="F2688" s="46">
        <v>46097.325891944442</v>
      </c>
      <c r="G2688" s="46">
        <v>46097.325891944442</v>
      </c>
      <c r="H2688">
        <v>0</v>
      </c>
    </row>
    <row r="2689" spans="1:8" x14ac:dyDescent="0.15">
      <c r="A2689">
        <v>2688</v>
      </c>
      <c r="B2689" t="s">
        <v>339</v>
      </c>
      <c r="C2689" t="s">
        <v>353</v>
      </c>
      <c r="D2689" t="s">
        <v>5750</v>
      </c>
      <c r="E2689" t="s">
        <v>731</v>
      </c>
      <c r="F2689" s="46">
        <v>46097.325891944442</v>
      </c>
      <c r="G2689" s="46">
        <v>46097.325892118053</v>
      </c>
      <c r="H2689">
        <v>16</v>
      </c>
    </row>
    <row r="2690" spans="1:8" x14ac:dyDescent="0.15">
      <c r="A2690">
        <v>2689</v>
      </c>
      <c r="B2690" t="s">
        <v>339</v>
      </c>
      <c r="C2690" t="s">
        <v>353</v>
      </c>
      <c r="D2690" t="s">
        <v>5751</v>
      </c>
      <c r="E2690" t="s">
        <v>731</v>
      </c>
      <c r="F2690" s="46">
        <v>46097.325892118053</v>
      </c>
      <c r="G2690" s="46">
        <v>46097.325892118053</v>
      </c>
      <c r="H2690">
        <v>0</v>
      </c>
    </row>
    <row r="2691" spans="1:8" x14ac:dyDescent="0.15">
      <c r="A2691">
        <v>2690</v>
      </c>
      <c r="B2691" t="s">
        <v>339</v>
      </c>
      <c r="C2691" t="s">
        <v>353</v>
      </c>
      <c r="D2691" t="s">
        <v>5752</v>
      </c>
      <c r="E2691" t="s">
        <v>731</v>
      </c>
      <c r="F2691" s="46">
        <v>46097.325892118053</v>
      </c>
      <c r="G2691" s="46">
        <v>46097.325892118053</v>
      </c>
      <c r="H2691">
        <v>0</v>
      </c>
    </row>
    <row r="2692" spans="1:8" x14ac:dyDescent="0.15">
      <c r="A2692">
        <v>2691</v>
      </c>
      <c r="B2692" t="s">
        <v>339</v>
      </c>
      <c r="C2692" t="s">
        <v>353</v>
      </c>
      <c r="D2692" t="s">
        <v>5753</v>
      </c>
      <c r="E2692" t="s">
        <v>731</v>
      </c>
      <c r="F2692" s="46">
        <v>46097.325892118053</v>
      </c>
      <c r="G2692" s="46">
        <v>46097.325892118053</v>
      </c>
      <c r="H2692">
        <v>0</v>
      </c>
    </row>
    <row r="2693" spans="1:8" x14ac:dyDescent="0.15">
      <c r="A2693">
        <v>2692</v>
      </c>
      <c r="B2693" t="s">
        <v>339</v>
      </c>
      <c r="C2693" t="s">
        <v>353</v>
      </c>
      <c r="D2693" t="s">
        <v>5754</v>
      </c>
      <c r="E2693" t="s">
        <v>731</v>
      </c>
      <c r="F2693" s="46">
        <v>46097.325892118053</v>
      </c>
      <c r="G2693" s="46">
        <v>46097.325892118053</v>
      </c>
      <c r="H2693">
        <v>0</v>
      </c>
    </row>
    <row r="2694" spans="1:8" x14ac:dyDescent="0.15">
      <c r="A2694">
        <v>2693</v>
      </c>
      <c r="B2694" t="s">
        <v>339</v>
      </c>
      <c r="C2694" t="s">
        <v>353</v>
      </c>
      <c r="D2694" t="s">
        <v>5755</v>
      </c>
      <c r="E2694" t="s">
        <v>731</v>
      </c>
      <c r="F2694" s="46">
        <v>46097.325892118053</v>
      </c>
      <c r="G2694" s="46">
        <v>46097.325892118053</v>
      </c>
      <c r="H2694">
        <v>0</v>
      </c>
    </row>
    <row r="2695" spans="1:8" x14ac:dyDescent="0.15">
      <c r="A2695">
        <v>2694</v>
      </c>
      <c r="B2695" t="s">
        <v>339</v>
      </c>
      <c r="C2695" t="s">
        <v>353</v>
      </c>
      <c r="D2695" t="s">
        <v>5756</v>
      </c>
      <c r="E2695" t="s">
        <v>5757</v>
      </c>
      <c r="F2695" s="46">
        <v>46097.325892118053</v>
      </c>
      <c r="G2695" s="46">
        <v>46097.325892118053</v>
      </c>
      <c r="H2695">
        <v>0</v>
      </c>
    </row>
    <row r="2696" spans="1:8" x14ac:dyDescent="0.15">
      <c r="A2696">
        <v>2695</v>
      </c>
      <c r="B2696" t="s">
        <v>339</v>
      </c>
      <c r="C2696" t="s">
        <v>353</v>
      </c>
      <c r="D2696" t="s">
        <v>5758</v>
      </c>
      <c r="E2696" t="s">
        <v>732</v>
      </c>
      <c r="F2696" s="46">
        <v>46097.325892118053</v>
      </c>
      <c r="G2696" s="46">
        <v>46097.325892118053</v>
      </c>
      <c r="H2696">
        <v>0</v>
      </c>
    </row>
    <row r="2697" spans="1:8" x14ac:dyDescent="0.15">
      <c r="A2697">
        <v>2696</v>
      </c>
      <c r="B2697" t="s">
        <v>339</v>
      </c>
      <c r="C2697" t="s">
        <v>353</v>
      </c>
      <c r="D2697" t="s">
        <v>5759</v>
      </c>
      <c r="E2697" t="s">
        <v>732</v>
      </c>
      <c r="F2697" s="46">
        <v>46097.325892118053</v>
      </c>
      <c r="G2697" s="46">
        <v>46097.325892118053</v>
      </c>
      <c r="H2697">
        <v>0</v>
      </c>
    </row>
    <row r="2698" spans="1:8" x14ac:dyDescent="0.15">
      <c r="A2698">
        <v>2697</v>
      </c>
      <c r="B2698" t="s">
        <v>339</v>
      </c>
      <c r="C2698" t="s">
        <v>353</v>
      </c>
      <c r="D2698" t="s">
        <v>5760</v>
      </c>
      <c r="E2698" t="s">
        <v>733</v>
      </c>
      <c r="F2698" s="46">
        <v>46097.325892118053</v>
      </c>
      <c r="G2698" s="46">
        <v>46097.325892118053</v>
      </c>
      <c r="H2698">
        <v>0</v>
      </c>
    </row>
    <row r="2699" spans="1:8" x14ac:dyDescent="0.15">
      <c r="A2699">
        <v>2698</v>
      </c>
      <c r="B2699" t="s">
        <v>339</v>
      </c>
      <c r="C2699" t="s">
        <v>353</v>
      </c>
      <c r="D2699" t="s">
        <v>5761</v>
      </c>
      <c r="E2699" t="s">
        <v>734</v>
      </c>
      <c r="F2699" s="46">
        <v>46097.325892118053</v>
      </c>
      <c r="G2699" s="46">
        <v>46097.325892303241</v>
      </c>
      <c r="H2699">
        <v>16</v>
      </c>
    </row>
    <row r="2700" spans="1:8" x14ac:dyDescent="0.15">
      <c r="A2700">
        <v>2699</v>
      </c>
      <c r="B2700" t="s">
        <v>339</v>
      </c>
      <c r="C2700" t="s">
        <v>353</v>
      </c>
      <c r="D2700" t="s">
        <v>5762</v>
      </c>
      <c r="E2700" t="s">
        <v>734</v>
      </c>
      <c r="F2700" s="46">
        <v>46097.325892303241</v>
      </c>
      <c r="G2700" s="46">
        <v>46097.325892314817</v>
      </c>
      <c r="H2700">
        <v>1</v>
      </c>
    </row>
    <row r="2701" spans="1:8" x14ac:dyDescent="0.15">
      <c r="A2701">
        <v>2700</v>
      </c>
      <c r="B2701" t="s">
        <v>339</v>
      </c>
      <c r="C2701" t="s">
        <v>353</v>
      </c>
      <c r="D2701" t="s">
        <v>5763</v>
      </c>
      <c r="E2701" t="s">
        <v>734</v>
      </c>
      <c r="F2701" s="46">
        <v>46097.325892314817</v>
      </c>
      <c r="G2701" s="46">
        <v>46097.325892314817</v>
      </c>
      <c r="H2701">
        <v>0</v>
      </c>
    </row>
    <row r="2702" spans="1:8" x14ac:dyDescent="0.15">
      <c r="A2702">
        <v>2701</v>
      </c>
      <c r="B2702" t="s">
        <v>339</v>
      </c>
      <c r="C2702" t="s">
        <v>353</v>
      </c>
      <c r="D2702" t="s">
        <v>5764</v>
      </c>
      <c r="E2702" t="s">
        <v>734</v>
      </c>
      <c r="F2702" s="46">
        <v>46097.325892314817</v>
      </c>
      <c r="G2702" s="46">
        <v>46097.325892314817</v>
      </c>
      <c r="H2702">
        <v>0</v>
      </c>
    </row>
    <row r="2703" spans="1:8" x14ac:dyDescent="0.15">
      <c r="A2703">
        <v>2702</v>
      </c>
      <c r="B2703" t="s">
        <v>339</v>
      </c>
      <c r="C2703" t="s">
        <v>353</v>
      </c>
      <c r="D2703" t="s">
        <v>5765</v>
      </c>
      <c r="E2703" t="s">
        <v>734</v>
      </c>
      <c r="F2703" s="46">
        <v>46097.325892314817</v>
      </c>
      <c r="G2703" s="46">
        <v>46097.325892314817</v>
      </c>
      <c r="H2703">
        <v>0</v>
      </c>
    </row>
    <row r="2704" spans="1:8" x14ac:dyDescent="0.15">
      <c r="A2704">
        <v>2703</v>
      </c>
      <c r="B2704" t="s">
        <v>339</v>
      </c>
      <c r="C2704" t="s">
        <v>353</v>
      </c>
      <c r="D2704" t="s">
        <v>5766</v>
      </c>
      <c r="E2704" t="s">
        <v>5767</v>
      </c>
      <c r="F2704" s="46">
        <v>46097.325892314817</v>
      </c>
      <c r="G2704" s="46">
        <v>46097.325892314817</v>
      </c>
      <c r="H2704">
        <v>0</v>
      </c>
    </row>
    <row r="2705" spans="1:8" x14ac:dyDescent="0.15">
      <c r="A2705">
        <v>2704</v>
      </c>
      <c r="B2705" t="s">
        <v>339</v>
      </c>
      <c r="C2705" t="s">
        <v>353</v>
      </c>
      <c r="D2705" t="s">
        <v>5768</v>
      </c>
      <c r="E2705" t="s">
        <v>5769</v>
      </c>
      <c r="F2705" s="46">
        <v>46097.325892314817</v>
      </c>
      <c r="G2705" s="46">
        <v>46097.325892314817</v>
      </c>
      <c r="H2705">
        <v>0</v>
      </c>
    </row>
    <row r="2706" spans="1:8" x14ac:dyDescent="0.15">
      <c r="A2706">
        <v>2705</v>
      </c>
      <c r="B2706" t="s">
        <v>339</v>
      </c>
      <c r="C2706" t="s">
        <v>353</v>
      </c>
      <c r="D2706" t="s">
        <v>5770</v>
      </c>
      <c r="E2706" t="s">
        <v>5771</v>
      </c>
      <c r="F2706" s="46">
        <v>46097.325892314817</v>
      </c>
      <c r="G2706" s="46">
        <v>46097.325892314817</v>
      </c>
      <c r="H2706">
        <v>0</v>
      </c>
    </row>
    <row r="2707" spans="1:8" x14ac:dyDescent="0.15">
      <c r="A2707">
        <v>2706</v>
      </c>
      <c r="B2707" t="s">
        <v>339</v>
      </c>
      <c r="C2707" t="s">
        <v>353</v>
      </c>
      <c r="D2707" t="s">
        <v>5772</v>
      </c>
      <c r="E2707" t="s">
        <v>5773</v>
      </c>
      <c r="F2707" s="46">
        <v>46097.325892314817</v>
      </c>
      <c r="G2707" s="46">
        <v>46097.325892314817</v>
      </c>
      <c r="H2707">
        <v>0</v>
      </c>
    </row>
    <row r="2708" spans="1:8" x14ac:dyDescent="0.15">
      <c r="A2708">
        <v>2707</v>
      </c>
      <c r="B2708" t="s">
        <v>339</v>
      </c>
      <c r="C2708" t="s">
        <v>353</v>
      </c>
      <c r="D2708" t="s">
        <v>5774</v>
      </c>
      <c r="E2708" t="s">
        <v>5775</v>
      </c>
      <c r="F2708" s="46">
        <v>46097.325892314817</v>
      </c>
      <c r="G2708" s="46">
        <v>46097.325892314817</v>
      </c>
      <c r="H2708">
        <v>0</v>
      </c>
    </row>
    <row r="2709" spans="1:8" x14ac:dyDescent="0.15">
      <c r="A2709">
        <v>2708</v>
      </c>
      <c r="B2709" t="s">
        <v>339</v>
      </c>
      <c r="C2709" t="s">
        <v>353</v>
      </c>
      <c r="D2709" t="s">
        <v>5776</v>
      </c>
      <c r="E2709" t="s">
        <v>5775</v>
      </c>
      <c r="F2709" s="46">
        <v>46097.325892314817</v>
      </c>
      <c r="G2709" s="46">
        <v>46097.325892314817</v>
      </c>
      <c r="H2709">
        <v>0</v>
      </c>
    </row>
    <row r="2710" spans="1:8" x14ac:dyDescent="0.15">
      <c r="A2710">
        <v>2709</v>
      </c>
      <c r="B2710" t="s">
        <v>339</v>
      </c>
      <c r="C2710" t="s">
        <v>353</v>
      </c>
      <c r="D2710" t="s">
        <v>5777</v>
      </c>
      <c r="E2710" t="s">
        <v>5778</v>
      </c>
      <c r="F2710" s="46">
        <v>46097.325892314817</v>
      </c>
      <c r="G2710" s="46">
        <v>46097.325892499997</v>
      </c>
      <c r="H2710">
        <v>15</v>
      </c>
    </row>
    <row r="2711" spans="1:8" x14ac:dyDescent="0.15">
      <c r="A2711">
        <v>2710</v>
      </c>
      <c r="B2711" t="s">
        <v>339</v>
      </c>
      <c r="C2711" t="s">
        <v>353</v>
      </c>
      <c r="D2711" t="s">
        <v>5779</v>
      </c>
      <c r="E2711" t="s">
        <v>5780</v>
      </c>
      <c r="F2711" s="46">
        <v>46097.325892499997</v>
      </c>
      <c r="G2711" s="46">
        <v>46097.325892499997</v>
      </c>
      <c r="H2711">
        <v>0</v>
      </c>
    </row>
    <row r="2712" spans="1:8" x14ac:dyDescent="0.15">
      <c r="A2712">
        <v>2711</v>
      </c>
      <c r="B2712" t="s">
        <v>339</v>
      </c>
      <c r="C2712" t="s">
        <v>353</v>
      </c>
      <c r="D2712" t="s">
        <v>5781</v>
      </c>
      <c r="E2712" t="s">
        <v>5782</v>
      </c>
      <c r="F2712" s="46">
        <v>46097.325892499997</v>
      </c>
      <c r="G2712" s="46">
        <v>46097.325892499997</v>
      </c>
      <c r="H2712">
        <v>0</v>
      </c>
    </row>
    <row r="2713" spans="1:8" x14ac:dyDescent="0.15">
      <c r="A2713">
        <v>2712</v>
      </c>
      <c r="B2713" t="s">
        <v>339</v>
      </c>
      <c r="C2713" t="s">
        <v>353</v>
      </c>
      <c r="D2713" t="s">
        <v>5783</v>
      </c>
      <c r="E2713" t="s">
        <v>5782</v>
      </c>
      <c r="F2713" s="46">
        <v>46097.325892499997</v>
      </c>
      <c r="G2713" s="46">
        <v>46097.325892499997</v>
      </c>
      <c r="H2713">
        <v>0</v>
      </c>
    </row>
    <row r="2714" spans="1:8" x14ac:dyDescent="0.15">
      <c r="A2714">
        <v>2713</v>
      </c>
      <c r="B2714" t="s">
        <v>339</v>
      </c>
      <c r="C2714" t="s">
        <v>353</v>
      </c>
      <c r="D2714" t="s">
        <v>5784</v>
      </c>
      <c r="E2714" t="s">
        <v>5785</v>
      </c>
      <c r="F2714" s="46">
        <v>46097.325892499997</v>
      </c>
      <c r="G2714" s="46">
        <v>46097.325892499997</v>
      </c>
      <c r="H2714">
        <v>0</v>
      </c>
    </row>
    <row r="2715" spans="1:8" x14ac:dyDescent="0.15">
      <c r="A2715">
        <v>2714</v>
      </c>
      <c r="B2715" t="s">
        <v>339</v>
      </c>
      <c r="C2715" t="s">
        <v>353</v>
      </c>
      <c r="D2715" t="s">
        <v>5786</v>
      </c>
      <c r="E2715" t="s">
        <v>5785</v>
      </c>
      <c r="F2715" s="46">
        <v>46097.325892499997</v>
      </c>
      <c r="G2715" s="46">
        <v>46097.325892499997</v>
      </c>
      <c r="H2715">
        <v>0</v>
      </c>
    </row>
    <row r="2716" spans="1:8" x14ac:dyDescent="0.15">
      <c r="A2716">
        <v>2715</v>
      </c>
      <c r="B2716" t="s">
        <v>339</v>
      </c>
      <c r="C2716" t="s">
        <v>353</v>
      </c>
      <c r="D2716" t="s">
        <v>5787</v>
      </c>
      <c r="E2716" t="s">
        <v>5785</v>
      </c>
      <c r="F2716" s="46">
        <v>46097.325892499997</v>
      </c>
      <c r="G2716" s="46">
        <v>46097.325892499997</v>
      </c>
      <c r="H2716">
        <v>0</v>
      </c>
    </row>
    <row r="2717" spans="1:8" x14ac:dyDescent="0.15">
      <c r="A2717">
        <v>2716</v>
      </c>
      <c r="B2717" t="s">
        <v>339</v>
      </c>
      <c r="C2717" t="s">
        <v>353</v>
      </c>
      <c r="D2717" t="s">
        <v>5788</v>
      </c>
      <c r="E2717" t="s">
        <v>5789</v>
      </c>
      <c r="F2717" s="46">
        <v>46097.325892499997</v>
      </c>
      <c r="G2717" s="46">
        <v>46097.325892499997</v>
      </c>
      <c r="H2717">
        <v>0</v>
      </c>
    </row>
    <row r="2718" spans="1:8" x14ac:dyDescent="0.15">
      <c r="A2718">
        <v>2717</v>
      </c>
      <c r="B2718" t="s">
        <v>339</v>
      </c>
      <c r="C2718" t="s">
        <v>353</v>
      </c>
      <c r="D2718" t="s">
        <v>5790</v>
      </c>
      <c r="E2718" t="s">
        <v>5789</v>
      </c>
      <c r="F2718" s="46">
        <v>46097.325892499997</v>
      </c>
      <c r="G2718" s="46">
        <v>46097.325892499997</v>
      </c>
      <c r="H2718">
        <v>0</v>
      </c>
    </row>
    <row r="2719" spans="1:8" x14ac:dyDescent="0.15">
      <c r="A2719">
        <v>2718</v>
      </c>
      <c r="B2719" t="s">
        <v>339</v>
      </c>
      <c r="C2719" t="s">
        <v>353</v>
      </c>
      <c r="D2719" t="s">
        <v>5791</v>
      </c>
      <c r="E2719" t="s">
        <v>5792</v>
      </c>
      <c r="F2719" s="46">
        <v>46097.325892499997</v>
      </c>
      <c r="G2719" s="46">
        <v>46097.325892499997</v>
      </c>
      <c r="H2719">
        <v>0</v>
      </c>
    </row>
    <row r="2720" spans="1:8" x14ac:dyDescent="0.15">
      <c r="A2720">
        <v>2719</v>
      </c>
      <c r="B2720" t="s">
        <v>339</v>
      </c>
      <c r="C2720" t="s">
        <v>353</v>
      </c>
      <c r="D2720" t="s">
        <v>5793</v>
      </c>
      <c r="E2720" t="s">
        <v>5794</v>
      </c>
      <c r="F2720" s="46">
        <v>46097.325892499997</v>
      </c>
      <c r="G2720" s="46">
        <v>46097.325892499997</v>
      </c>
      <c r="H2720">
        <v>0</v>
      </c>
    </row>
    <row r="2721" spans="1:8" x14ac:dyDescent="0.15">
      <c r="A2721">
        <v>2720</v>
      </c>
      <c r="B2721" t="s">
        <v>339</v>
      </c>
      <c r="C2721" t="s">
        <v>353</v>
      </c>
      <c r="D2721" t="s">
        <v>5795</v>
      </c>
      <c r="E2721" t="s">
        <v>5794</v>
      </c>
      <c r="F2721" s="46">
        <v>46097.325892499997</v>
      </c>
      <c r="G2721" s="46">
        <v>46097.325892685178</v>
      </c>
      <c r="H2721">
        <v>16</v>
      </c>
    </row>
    <row r="2722" spans="1:8" x14ac:dyDescent="0.15">
      <c r="A2722">
        <v>2721</v>
      </c>
      <c r="B2722" t="s">
        <v>339</v>
      </c>
      <c r="C2722" t="s">
        <v>353</v>
      </c>
      <c r="D2722" t="s">
        <v>5796</v>
      </c>
      <c r="E2722" t="s">
        <v>5797</v>
      </c>
      <c r="F2722" s="46">
        <v>46097.325892685178</v>
      </c>
      <c r="G2722" s="46">
        <v>46097.325892685178</v>
      </c>
      <c r="H2722">
        <v>0</v>
      </c>
    </row>
    <row r="2723" spans="1:8" x14ac:dyDescent="0.15">
      <c r="A2723">
        <v>2722</v>
      </c>
      <c r="B2723" t="s">
        <v>339</v>
      </c>
      <c r="C2723" t="s">
        <v>353</v>
      </c>
      <c r="D2723" t="s">
        <v>5798</v>
      </c>
      <c r="E2723" t="s">
        <v>5799</v>
      </c>
      <c r="F2723" s="46">
        <v>46097.325892685178</v>
      </c>
      <c r="G2723" s="46">
        <v>46097.325892685178</v>
      </c>
      <c r="H2723">
        <v>0</v>
      </c>
    </row>
    <row r="2724" spans="1:8" x14ac:dyDescent="0.15">
      <c r="A2724">
        <v>2723</v>
      </c>
      <c r="B2724" t="s">
        <v>339</v>
      </c>
      <c r="C2724" t="s">
        <v>353</v>
      </c>
      <c r="D2724" t="s">
        <v>5800</v>
      </c>
      <c r="E2724" t="s">
        <v>5799</v>
      </c>
      <c r="F2724" s="46">
        <v>46097.325892685178</v>
      </c>
      <c r="G2724" s="46">
        <v>46097.325892685178</v>
      </c>
      <c r="H2724">
        <v>0</v>
      </c>
    </row>
    <row r="2725" spans="1:8" x14ac:dyDescent="0.15">
      <c r="A2725">
        <v>2724</v>
      </c>
      <c r="B2725" t="s">
        <v>339</v>
      </c>
      <c r="C2725" t="s">
        <v>353</v>
      </c>
      <c r="D2725" t="s">
        <v>5801</v>
      </c>
      <c r="E2725" t="s">
        <v>5802</v>
      </c>
      <c r="F2725" s="46">
        <v>46097.325892685178</v>
      </c>
      <c r="G2725" s="46">
        <v>46097.325892685178</v>
      </c>
      <c r="H2725">
        <v>0</v>
      </c>
    </row>
    <row r="2726" spans="1:8" x14ac:dyDescent="0.15">
      <c r="A2726">
        <v>2725</v>
      </c>
      <c r="B2726" t="s">
        <v>339</v>
      </c>
      <c r="C2726" t="s">
        <v>353</v>
      </c>
      <c r="D2726" t="s">
        <v>5803</v>
      </c>
      <c r="E2726" t="s">
        <v>5804</v>
      </c>
      <c r="F2726" s="46">
        <v>46097.325892685178</v>
      </c>
      <c r="G2726" s="46">
        <v>46097.325892685178</v>
      </c>
      <c r="H2726">
        <v>0</v>
      </c>
    </row>
    <row r="2727" spans="1:8" x14ac:dyDescent="0.15">
      <c r="A2727">
        <v>2726</v>
      </c>
      <c r="B2727" t="s">
        <v>339</v>
      </c>
      <c r="C2727" t="s">
        <v>353</v>
      </c>
      <c r="D2727" t="s">
        <v>5805</v>
      </c>
      <c r="E2727" t="s">
        <v>5804</v>
      </c>
      <c r="F2727" s="46">
        <v>46097.325892685178</v>
      </c>
      <c r="G2727" s="46">
        <v>46097.325892685178</v>
      </c>
      <c r="H2727">
        <v>0</v>
      </c>
    </row>
    <row r="2728" spans="1:8" x14ac:dyDescent="0.15">
      <c r="A2728">
        <v>2727</v>
      </c>
      <c r="B2728" t="s">
        <v>339</v>
      </c>
      <c r="C2728" t="s">
        <v>353</v>
      </c>
      <c r="D2728" t="s">
        <v>5806</v>
      </c>
      <c r="E2728" t="s">
        <v>5804</v>
      </c>
      <c r="F2728" s="46">
        <v>46097.325892685178</v>
      </c>
      <c r="G2728" s="46">
        <v>46097.325892685178</v>
      </c>
      <c r="H2728">
        <v>0</v>
      </c>
    </row>
    <row r="2729" spans="1:8" x14ac:dyDescent="0.15">
      <c r="A2729">
        <v>2728</v>
      </c>
      <c r="B2729" t="s">
        <v>339</v>
      </c>
      <c r="C2729" t="s">
        <v>353</v>
      </c>
      <c r="D2729" t="s">
        <v>5807</v>
      </c>
      <c r="E2729" t="s">
        <v>5808</v>
      </c>
      <c r="F2729" s="46">
        <v>46097.325892685178</v>
      </c>
      <c r="G2729" s="46">
        <v>46097.325892685178</v>
      </c>
      <c r="H2729">
        <v>0</v>
      </c>
    </row>
    <row r="2730" spans="1:8" x14ac:dyDescent="0.15">
      <c r="A2730">
        <v>2729</v>
      </c>
      <c r="B2730" t="s">
        <v>339</v>
      </c>
      <c r="C2730" t="s">
        <v>353</v>
      </c>
      <c r="D2730" t="s">
        <v>5809</v>
      </c>
      <c r="E2730" t="s">
        <v>5810</v>
      </c>
      <c r="F2730" s="46">
        <v>46097.325892685178</v>
      </c>
      <c r="G2730" s="46">
        <v>46097.325892685178</v>
      </c>
      <c r="H2730">
        <v>0</v>
      </c>
    </row>
    <row r="2731" spans="1:8" x14ac:dyDescent="0.15">
      <c r="A2731">
        <v>2730</v>
      </c>
      <c r="B2731" t="s">
        <v>339</v>
      </c>
      <c r="C2731" t="s">
        <v>353</v>
      </c>
      <c r="D2731" t="s">
        <v>5811</v>
      </c>
      <c r="E2731" t="s">
        <v>5812</v>
      </c>
      <c r="F2731" s="46">
        <v>46097.325892685178</v>
      </c>
      <c r="G2731" s="46">
        <v>46097.325892858797</v>
      </c>
      <c r="H2731">
        <v>16</v>
      </c>
    </row>
    <row r="2732" spans="1:8" x14ac:dyDescent="0.15">
      <c r="A2732">
        <v>2731</v>
      </c>
      <c r="B2732" t="s">
        <v>339</v>
      </c>
      <c r="C2732" t="s">
        <v>353</v>
      </c>
      <c r="D2732" t="s">
        <v>5813</v>
      </c>
      <c r="E2732" t="s">
        <v>5814</v>
      </c>
      <c r="F2732" s="46">
        <v>46097.325892858797</v>
      </c>
      <c r="G2732" s="46">
        <v>46097.325892858797</v>
      </c>
      <c r="H2732">
        <v>0</v>
      </c>
    </row>
    <row r="2733" spans="1:8" x14ac:dyDescent="0.15">
      <c r="A2733">
        <v>2732</v>
      </c>
      <c r="B2733" t="s">
        <v>339</v>
      </c>
      <c r="C2733" t="s">
        <v>353</v>
      </c>
      <c r="D2733" t="s">
        <v>5815</v>
      </c>
      <c r="E2733" t="s">
        <v>5814</v>
      </c>
      <c r="F2733" s="46">
        <v>46097.325892858797</v>
      </c>
      <c r="G2733" s="46">
        <v>46097.325892858797</v>
      </c>
      <c r="H2733">
        <v>0</v>
      </c>
    </row>
    <row r="2734" spans="1:8" x14ac:dyDescent="0.15">
      <c r="A2734">
        <v>2733</v>
      </c>
      <c r="B2734" t="s">
        <v>339</v>
      </c>
      <c r="C2734" t="s">
        <v>353</v>
      </c>
      <c r="D2734" t="s">
        <v>5816</v>
      </c>
      <c r="E2734" t="s">
        <v>5814</v>
      </c>
      <c r="F2734" s="46">
        <v>46097.325892858797</v>
      </c>
      <c r="G2734" s="46">
        <v>46097.325892858797</v>
      </c>
      <c r="H2734">
        <v>0</v>
      </c>
    </row>
    <row r="2735" spans="1:8" x14ac:dyDescent="0.15">
      <c r="A2735">
        <v>2734</v>
      </c>
      <c r="B2735" t="s">
        <v>339</v>
      </c>
      <c r="C2735" t="s">
        <v>353</v>
      </c>
      <c r="D2735" t="s">
        <v>5817</v>
      </c>
      <c r="E2735" t="s">
        <v>5818</v>
      </c>
      <c r="F2735" s="46">
        <v>46097.325892858797</v>
      </c>
      <c r="G2735" s="46">
        <v>46097.325892858797</v>
      </c>
      <c r="H2735">
        <v>0</v>
      </c>
    </row>
    <row r="2736" spans="1:8" x14ac:dyDescent="0.15">
      <c r="A2736">
        <v>2735</v>
      </c>
      <c r="B2736" t="s">
        <v>339</v>
      </c>
      <c r="C2736" t="s">
        <v>353</v>
      </c>
      <c r="D2736" t="s">
        <v>5819</v>
      </c>
      <c r="E2736" t="s">
        <v>5820</v>
      </c>
      <c r="F2736" s="46">
        <v>46097.325892858797</v>
      </c>
      <c r="G2736" s="46">
        <v>46097.325892858797</v>
      </c>
      <c r="H2736">
        <v>0</v>
      </c>
    </row>
    <row r="2737" spans="1:8" x14ac:dyDescent="0.15">
      <c r="A2737">
        <v>2736</v>
      </c>
      <c r="B2737" t="s">
        <v>339</v>
      </c>
      <c r="C2737" t="s">
        <v>353</v>
      </c>
      <c r="D2737" t="s">
        <v>5821</v>
      </c>
      <c r="E2737" t="s">
        <v>5822</v>
      </c>
      <c r="F2737" s="46">
        <v>46097.325892858797</v>
      </c>
      <c r="G2737" s="46">
        <v>46097.325892858797</v>
      </c>
      <c r="H2737">
        <v>0</v>
      </c>
    </row>
    <row r="2738" spans="1:8" x14ac:dyDescent="0.15">
      <c r="A2738">
        <v>2737</v>
      </c>
      <c r="B2738" t="s">
        <v>339</v>
      </c>
      <c r="C2738" t="s">
        <v>353</v>
      </c>
      <c r="D2738" t="s">
        <v>5823</v>
      </c>
      <c r="E2738" t="s">
        <v>5822</v>
      </c>
      <c r="F2738" s="46">
        <v>46097.325892858797</v>
      </c>
      <c r="G2738" s="46">
        <v>46097.325892858797</v>
      </c>
      <c r="H2738">
        <v>0</v>
      </c>
    </row>
    <row r="2739" spans="1:8" x14ac:dyDescent="0.15">
      <c r="A2739">
        <v>2738</v>
      </c>
      <c r="B2739" t="s">
        <v>339</v>
      </c>
      <c r="C2739" t="s">
        <v>353</v>
      </c>
      <c r="D2739" t="s">
        <v>5824</v>
      </c>
      <c r="E2739" t="s">
        <v>5825</v>
      </c>
      <c r="F2739" s="46">
        <v>46097.325892858797</v>
      </c>
      <c r="G2739" s="46">
        <v>46097.325892858797</v>
      </c>
      <c r="H2739">
        <v>0</v>
      </c>
    </row>
    <row r="2740" spans="1:8" x14ac:dyDescent="0.15">
      <c r="A2740">
        <v>2739</v>
      </c>
      <c r="B2740" t="s">
        <v>339</v>
      </c>
      <c r="C2740" t="s">
        <v>353</v>
      </c>
      <c r="D2740" t="s">
        <v>5826</v>
      </c>
      <c r="E2740" t="s">
        <v>5827</v>
      </c>
      <c r="F2740" s="46">
        <v>46097.325892858797</v>
      </c>
      <c r="G2740" s="46">
        <v>46097.325892858797</v>
      </c>
      <c r="H2740">
        <v>0</v>
      </c>
    </row>
    <row r="2741" spans="1:8" x14ac:dyDescent="0.15">
      <c r="A2741">
        <v>2740</v>
      </c>
      <c r="B2741" t="s">
        <v>339</v>
      </c>
      <c r="C2741" t="s">
        <v>353</v>
      </c>
      <c r="D2741" t="s">
        <v>5828</v>
      </c>
      <c r="E2741" t="s">
        <v>736</v>
      </c>
      <c r="F2741" s="46">
        <v>46097.325892858797</v>
      </c>
      <c r="G2741" s="46">
        <v>46097.325893043977</v>
      </c>
      <c r="H2741">
        <v>15</v>
      </c>
    </row>
    <row r="2742" spans="1:8" x14ac:dyDescent="0.15">
      <c r="A2742">
        <v>2741</v>
      </c>
      <c r="B2742" t="s">
        <v>339</v>
      </c>
      <c r="C2742" t="s">
        <v>353</v>
      </c>
      <c r="D2742" t="s">
        <v>5829</v>
      </c>
      <c r="E2742" t="s">
        <v>737</v>
      </c>
      <c r="F2742" s="46">
        <v>46097.325893043977</v>
      </c>
      <c r="G2742" s="46">
        <v>46097.325893043977</v>
      </c>
      <c r="H2742">
        <v>0</v>
      </c>
    </row>
    <row r="2743" spans="1:8" x14ac:dyDescent="0.15">
      <c r="A2743">
        <v>2742</v>
      </c>
      <c r="B2743" t="s">
        <v>339</v>
      </c>
      <c r="C2743" t="s">
        <v>353</v>
      </c>
      <c r="D2743" t="s">
        <v>5830</v>
      </c>
      <c r="E2743" t="s">
        <v>5831</v>
      </c>
      <c r="F2743" s="46">
        <v>46097.325893043977</v>
      </c>
      <c r="G2743" s="46">
        <v>46097.325893043977</v>
      </c>
      <c r="H2743">
        <v>0</v>
      </c>
    </row>
    <row r="2744" spans="1:8" x14ac:dyDescent="0.15">
      <c r="A2744">
        <v>2743</v>
      </c>
      <c r="B2744" t="s">
        <v>339</v>
      </c>
      <c r="C2744" t="s">
        <v>353</v>
      </c>
      <c r="D2744" t="s">
        <v>5832</v>
      </c>
      <c r="E2744" t="s">
        <v>5833</v>
      </c>
      <c r="F2744" s="46">
        <v>46097.325893043977</v>
      </c>
      <c r="G2744" s="46">
        <v>46097.325893043977</v>
      </c>
      <c r="H2744">
        <v>0</v>
      </c>
    </row>
    <row r="2745" spans="1:8" x14ac:dyDescent="0.15">
      <c r="A2745">
        <v>2744</v>
      </c>
      <c r="B2745" t="s">
        <v>339</v>
      </c>
      <c r="C2745" t="s">
        <v>353</v>
      </c>
      <c r="D2745" t="s">
        <v>5834</v>
      </c>
      <c r="E2745" t="s">
        <v>5835</v>
      </c>
      <c r="F2745" s="46">
        <v>46097.325893043977</v>
      </c>
      <c r="G2745" s="46">
        <v>46097.325893043977</v>
      </c>
      <c r="H2745">
        <v>0</v>
      </c>
    </row>
    <row r="2746" spans="1:8" x14ac:dyDescent="0.15">
      <c r="A2746">
        <v>2745</v>
      </c>
      <c r="B2746" t="s">
        <v>339</v>
      </c>
      <c r="C2746" t="s">
        <v>353</v>
      </c>
      <c r="D2746" t="s">
        <v>5836</v>
      </c>
      <c r="E2746" t="s">
        <v>743</v>
      </c>
      <c r="F2746" s="46">
        <v>46097.325893043977</v>
      </c>
      <c r="G2746" s="46">
        <v>46097.325893043977</v>
      </c>
      <c r="H2746">
        <v>0</v>
      </c>
    </row>
    <row r="2747" spans="1:8" x14ac:dyDescent="0.15">
      <c r="A2747">
        <v>2746</v>
      </c>
      <c r="B2747" t="s">
        <v>339</v>
      </c>
      <c r="C2747" t="s">
        <v>353</v>
      </c>
      <c r="D2747" t="s">
        <v>5837</v>
      </c>
      <c r="E2747" t="s">
        <v>5838</v>
      </c>
      <c r="F2747" s="46">
        <v>46097.325893043977</v>
      </c>
      <c r="G2747" s="46">
        <v>46097.325893043977</v>
      </c>
      <c r="H2747">
        <v>0</v>
      </c>
    </row>
    <row r="2748" spans="1:8" x14ac:dyDescent="0.15">
      <c r="A2748">
        <v>2747</v>
      </c>
      <c r="B2748" t="s">
        <v>339</v>
      </c>
      <c r="C2748" t="s">
        <v>353</v>
      </c>
      <c r="D2748" t="s">
        <v>5839</v>
      </c>
      <c r="E2748" t="s">
        <v>5838</v>
      </c>
      <c r="F2748" s="46">
        <v>46097.325893043977</v>
      </c>
      <c r="G2748" s="46">
        <v>46097.325893043977</v>
      </c>
      <c r="H2748">
        <v>0</v>
      </c>
    </row>
    <row r="2749" spans="1:8" x14ac:dyDescent="0.15">
      <c r="A2749">
        <v>2748</v>
      </c>
      <c r="B2749" t="s">
        <v>339</v>
      </c>
      <c r="C2749" t="s">
        <v>353</v>
      </c>
      <c r="D2749" t="s">
        <v>5840</v>
      </c>
      <c r="E2749" t="s">
        <v>5841</v>
      </c>
      <c r="F2749" s="46">
        <v>46097.325893043977</v>
      </c>
      <c r="G2749" s="46">
        <v>46097.325893043977</v>
      </c>
      <c r="H2749">
        <v>0</v>
      </c>
    </row>
    <row r="2750" spans="1:8" x14ac:dyDescent="0.15">
      <c r="A2750">
        <v>2749</v>
      </c>
      <c r="B2750" t="s">
        <v>339</v>
      </c>
      <c r="C2750" t="s">
        <v>353</v>
      </c>
      <c r="D2750" t="s">
        <v>5842</v>
      </c>
      <c r="E2750" t="s">
        <v>5843</v>
      </c>
      <c r="F2750" s="46">
        <v>46097.325893043977</v>
      </c>
      <c r="G2750" s="46">
        <v>46097.325893043977</v>
      </c>
      <c r="H2750">
        <v>0</v>
      </c>
    </row>
    <row r="2751" spans="1:8" x14ac:dyDescent="0.15">
      <c r="A2751">
        <v>2750</v>
      </c>
      <c r="B2751" t="s">
        <v>339</v>
      </c>
      <c r="C2751" t="s">
        <v>353</v>
      </c>
      <c r="D2751" t="s">
        <v>5844</v>
      </c>
      <c r="E2751" t="s">
        <v>5845</v>
      </c>
      <c r="F2751" s="46">
        <v>46097.325893043977</v>
      </c>
      <c r="G2751" s="46">
        <v>46097.325893217603</v>
      </c>
      <c r="H2751">
        <v>16</v>
      </c>
    </row>
    <row r="2752" spans="1:8" x14ac:dyDescent="0.15">
      <c r="A2752">
        <v>2751</v>
      </c>
      <c r="B2752" t="s">
        <v>339</v>
      </c>
      <c r="C2752" t="s">
        <v>353</v>
      </c>
      <c r="D2752" t="s">
        <v>5846</v>
      </c>
      <c r="E2752" t="s">
        <v>5845</v>
      </c>
      <c r="F2752" s="46">
        <v>46097.325893217603</v>
      </c>
      <c r="G2752" s="46">
        <v>46097.325893217603</v>
      </c>
      <c r="H2752">
        <v>0</v>
      </c>
    </row>
    <row r="2753" spans="1:8" x14ac:dyDescent="0.15">
      <c r="A2753">
        <v>2752</v>
      </c>
      <c r="B2753" t="s">
        <v>339</v>
      </c>
      <c r="C2753" t="s">
        <v>353</v>
      </c>
      <c r="D2753" t="s">
        <v>5847</v>
      </c>
      <c r="E2753" t="s">
        <v>5848</v>
      </c>
      <c r="F2753" s="46">
        <v>46097.325893217603</v>
      </c>
      <c r="G2753" s="46">
        <v>46097.325893217603</v>
      </c>
      <c r="H2753">
        <v>0</v>
      </c>
    </row>
    <row r="2754" spans="1:8" x14ac:dyDescent="0.15">
      <c r="A2754">
        <v>2753</v>
      </c>
      <c r="B2754" t="s">
        <v>339</v>
      </c>
      <c r="C2754" t="s">
        <v>353</v>
      </c>
      <c r="D2754" t="s">
        <v>5849</v>
      </c>
      <c r="E2754" t="s">
        <v>5848</v>
      </c>
      <c r="F2754" s="46">
        <v>46097.325893217603</v>
      </c>
      <c r="G2754" s="46">
        <v>46097.325893217603</v>
      </c>
      <c r="H2754">
        <v>0</v>
      </c>
    </row>
    <row r="2755" spans="1:8" x14ac:dyDescent="0.15">
      <c r="A2755">
        <v>2754</v>
      </c>
      <c r="B2755" t="s">
        <v>339</v>
      </c>
      <c r="C2755" t="s">
        <v>353</v>
      </c>
      <c r="D2755" t="s">
        <v>5850</v>
      </c>
      <c r="E2755" t="s">
        <v>5848</v>
      </c>
      <c r="F2755" s="46">
        <v>46097.325893217603</v>
      </c>
      <c r="G2755" s="46">
        <v>46097.325893217603</v>
      </c>
      <c r="H2755">
        <v>0</v>
      </c>
    </row>
    <row r="2756" spans="1:8" x14ac:dyDescent="0.15">
      <c r="A2756">
        <v>2755</v>
      </c>
      <c r="B2756" t="s">
        <v>339</v>
      </c>
      <c r="C2756" t="s">
        <v>353</v>
      </c>
      <c r="D2756" t="s">
        <v>5851</v>
      </c>
      <c r="E2756" t="s">
        <v>5848</v>
      </c>
      <c r="F2756" s="46">
        <v>46097.325893217603</v>
      </c>
      <c r="G2756" s="46">
        <v>46097.325893217603</v>
      </c>
      <c r="H2756">
        <v>0</v>
      </c>
    </row>
    <row r="2757" spans="1:8" x14ac:dyDescent="0.15">
      <c r="A2757">
        <v>2756</v>
      </c>
      <c r="B2757" t="s">
        <v>339</v>
      </c>
      <c r="C2757" t="s">
        <v>353</v>
      </c>
      <c r="D2757" t="s">
        <v>5852</v>
      </c>
      <c r="E2757" t="s">
        <v>5853</v>
      </c>
      <c r="F2757" s="46">
        <v>46097.325893217603</v>
      </c>
      <c r="G2757" s="46">
        <v>46097.325893217603</v>
      </c>
      <c r="H2757">
        <v>0</v>
      </c>
    </row>
    <row r="2758" spans="1:8" x14ac:dyDescent="0.15">
      <c r="A2758">
        <v>2757</v>
      </c>
      <c r="B2758" t="s">
        <v>339</v>
      </c>
      <c r="C2758" t="s">
        <v>353</v>
      </c>
      <c r="D2758" t="s">
        <v>5854</v>
      </c>
      <c r="E2758" t="s">
        <v>5855</v>
      </c>
      <c r="F2758" s="46">
        <v>46097.325893217603</v>
      </c>
      <c r="G2758" s="46">
        <v>46097.325893217603</v>
      </c>
      <c r="H2758">
        <v>0</v>
      </c>
    </row>
    <row r="2759" spans="1:8" x14ac:dyDescent="0.15">
      <c r="A2759">
        <v>2758</v>
      </c>
      <c r="B2759" t="s">
        <v>339</v>
      </c>
      <c r="C2759" t="s">
        <v>353</v>
      </c>
      <c r="D2759" t="s">
        <v>5856</v>
      </c>
      <c r="E2759" t="s">
        <v>5857</v>
      </c>
      <c r="F2759" s="46">
        <v>46097.325893217603</v>
      </c>
      <c r="G2759" s="46">
        <v>46097.325893217603</v>
      </c>
      <c r="H2759">
        <v>0</v>
      </c>
    </row>
    <row r="2760" spans="1:8" x14ac:dyDescent="0.15">
      <c r="A2760">
        <v>2759</v>
      </c>
      <c r="B2760" t="s">
        <v>339</v>
      </c>
      <c r="C2760" t="s">
        <v>353</v>
      </c>
      <c r="D2760" t="s">
        <v>5858</v>
      </c>
      <c r="E2760" t="s">
        <v>5859</v>
      </c>
      <c r="F2760" s="46">
        <v>46097.325893217603</v>
      </c>
      <c r="G2760" s="46">
        <v>46097.325893217603</v>
      </c>
      <c r="H2760">
        <v>0</v>
      </c>
    </row>
    <row r="2761" spans="1:8" x14ac:dyDescent="0.15">
      <c r="A2761">
        <v>2760</v>
      </c>
      <c r="B2761" t="s">
        <v>339</v>
      </c>
      <c r="C2761" t="s">
        <v>353</v>
      </c>
      <c r="D2761" t="s">
        <v>5860</v>
      </c>
      <c r="E2761" t="s">
        <v>5861</v>
      </c>
      <c r="F2761" s="46">
        <v>46097.325893217603</v>
      </c>
      <c r="G2761" s="46">
        <v>46097.325893402784</v>
      </c>
      <c r="H2761">
        <v>16</v>
      </c>
    </row>
    <row r="2762" spans="1:8" x14ac:dyDescent="0.15">
      <c r="A2762">
        <v>2761</v>
      </c>
      <c r="B2762" t="s">
        <v>339</v>
      </c>
      <c r="C2762" t="s">
        <v>353</v>
      </c>
      <c r="D2762" t="s">
        <v>5862</v>
      </c>
      <c r="E2762" t="s">
        <v>5863</v>
      </c>
      <c r="F2762" s="46">
        <v>46097.325893402784</v>
      </c>
      <c r="G2762" s="46">
        <v>46097.325893402784</v>
      </c>
      <c r="H2762">
        <v>0</v>
      </c>
    </row>
    <row r="2763" spans="1:8" x14ac:dyDescent="0.15">
      <c r="A2763">
        <v>2762</v>
      </c>
      <c r="B2763" t="s">
        <v>339</v>
      </c>
      <c r="C2763" t="s">
        <v>353</v>
      </c>
      <c r="D2763" t="s">
        <v>5864</v>
      </c>
      <c r="E2763" t="s">
        <v>5865</v>
      </c>
      <c r="F2763" s="46">
        <v>46097.325893402784</v>
      </c>
      <c r="G2763" s="46">
        <v>46097.325893402784</v>
      </c>
      <c r="H2763">
        <v>0</v>
      </c>
    </row>
    <row r="2764" spans="1:8" x14ac:dyDescent="0.15">
      <c r="A2764">
        <v>2763</v>
      </c>
      <c r="B2764" t="s">
        <v>339</v>
      </c>
      <c r="C2764" t="s">
        <v>353</v>
      </c>
      <c r="D2764" t="s">
        <v>5866</v>
      </c>
      <c r="E2764" t="s">
        <v>5865</v>
      </c>
      <c r="F2764" s="46">
        <v>46097.325893402784</v>
      </c>
      <c r="G2764" s="46">
        <v>46097.325893402784</v>
      </c>
      <c r="H2764">
        <v>0</v>
      </c>
    </row>
    <row r="2765" spans="1:8" x14ac:dyDescent="0.15">
      <c r="A2765">
        <v>2764</v>
      </c>
      <c r="B2765" t="s">
        <v>339</v>
      </c>
      <c r="C2765" t="s">
        <v>353</v>
      </c>
      <c r="D2765" t="s">
        <v>5867</v>
      </c>
      <c r="E2765" t="s">
        <v>5865</v>
      </c>
      <c r="F2765" s="46">
        <v>46097.325893402784</v>
      </c>
      <c r="G2765" s="46">
        <v>46097.325893402784</v>
      </c>
      <c r="H2765">
        <v>0</v>
      </c>
    </row>
    <row r="2766" spans="1:8" x14ac:dyDescent="0.15">
      <c r="A2766">
        <v>2765</v>
      </c>
      <c r="B2766" t="s">
        <v>339</v>
      </c>
      <c r="C2766" t="s">
        <v>353</v>
      </c>
      <c r="D2766" t="s">
        <v>5868</v>
      </c>
      <c r="E2766" t="s">
        <v>5865</v>
      </c>
      <c r="F2766" s="46">
        <v>46097.325893402784</v>
      </c>
      <c r="G2766" s="46">
        <v>46097.325893402784</v>
      </c>
      <c r="H2766">
        <v>0</v>
      </c>
    </row>
    <row r="2767" spans="1:8" x14ac:dyDescent="0.15">
      <c r="A2767">
        <v>2766</v>
      </c>
      <c r="B2767" t="s">
        <v>339</v>
      </c>
      <c r="C2767" t="s">
        <v>353</v>
      </c>
      <c r="D2767" t="s">
        <v>5869</v>
      </c>
      <c r="E2767" t="s">
        <v>5865</v>
      </c>
      <c r="F2767" s="46">
        <v>46097.325893402784</v>
      </c>
      <c r="G2767" s="46">
        <v>46097.325893402784</v>
      </c>
      <c r="H2767">
        <v>0</v>
      </c>
    </row>
    <row r="2768" spans="1:8" x14ac:dyDescent="0.15">
      <c r="A2768">
        <v>2767</v>
      </c>
      <c r="B2768" t="s">
        <v>339</v>
      </c>
      <c r="C2768" t="s">
        <v>353</v>
      </c>
      <c r="D2768" t="s">
        <v>5870</v>
      </c>
      <c r="E2768" t="s">
        <v>5865</v>
      </c>
      <c r="F2768" s="46">
        <v>46097.325893402784</v>
      </c>
      <c r="G2768" s="46">
        <v>46097.325893402784</v>
      </c>
      <c r="H2768">
        <v>0</v>
      </c>
    </row>
    <row r="2769" spans="1:8" x14ac:dyDescent="0.15">
      <c r="A2769">
        <v>2768</v>
      </c>
      <c r="B2769" t="s">
        <v>339</v>
      </c>
      <c r="C2769" t="s">
        <v>353</v>
      </c>
      <c r="D2769" t="s">
        <v>5871</v>
      </c>
      <c r="E2769" t="s">
        <v>5865</v>
      </c>
      <c r="F2769" s="46">
        <v>46097.325893402784</v>
      </c>
      <c r="G2769" s="46">
        <v>46097.325893402784</v>
      </c>
      <c r="H2769">
        <v>0</v>
      </c>
    </row>
    <row r="2770" spans="1:8" x14ac:dyDescent="0.15">
      <c r="A2770">
        <v>2769</v>
      </c>
      <c r="B2770" t="s">
        <v>339</v>
      </c>
      <c r="C2770" t="s">
        <v>353</v>
      </c>
      <c r="D2770" t="s">
        <v>5872</v>
      </c>
      <c r="E2770" t="s">
        <v>5873</v>
      </c>
      <c r="F2770" s="46">
        <v>46097.325893402784</v>
      </c>
      <c r="G2770" s="46">
        <v>46097.325893402784</v>
      </c>
      <c r="H2770">
        <v>0</v>
      </c>
    </row>
    <row r="2771" spans="1:8" x14ac:dyDescent="0.15">
      <c r="A2771">
        <v>2770</v>
      </c>
      <c r="B2771" t="s">
        <v>339</v>
      </c>
      <c r="C2771" t="s">
        <v>353</v>
      </c>
      <c r="D2771" t="s">
        <v>5874</v>
      </c>
      <c r="E2771" t="s">
        <v>5873</v>
      </c>
      <c r="F2771" s="46">
        <v>46097.325893402784</v>
      </c>
      <c r="G2771" s="46">
        <v>46097.325893587957</v>
      </c>
      <c r="H2771">
        <v>15</v>
      </c>
    </row>
    <row r="2772" spans="1:8" x14ac:dyDescent="0.15">
      <c r="A2772">
        <v>2771</v>
      </c>
      <c r="B2772" t="s">
        <v>339</v>
      </c>
      <c r="C2772" t="s">
        <v>353</v>
      </c>
      <c r="D2772" t="s">
        <v>5875</v>
      </c>
      <c r="E2772" t="s">
        <v>5873</v>
      </c>
      <c r="F2772" s="46">
        <v>46097.325893587957</v>
      </c>
      <c r="G2772" s="46">
        <v>46097.325893587957</v>
      </c>
      <c r="H2772">
        <v>0</v>
      </c>
    </row>
    <row r="2773" spans="1:8" x14ac:dyDescent="0.15">
      <c r="A2773">
        <v>2772</v>
      </c>
      <c r="B2773" t="s">
        <v>339</v>
      </c>
      <c r="C2773" t="s">
        <v>353</v>
      </c>
      <c r="D2773" t="s">
        <v>5876</v>
      </c>
      <c r="E2773" t="s">
        <v>5873</v>
      </c>
      <c r="F2773" s="46">
        <v>46097.325893587957</v>
      </c>
      <c r="G2773" s="46">
        <v>46097.325893587957</v>
      </c>
      <c r="H2773">
        <v>0</v>
      </c>
    </row>
    <row r="2774" spans="1:8" x14ac:dyDescent="0.15">
      <c r="A2774">
        <v>2773</v>
      </c>
      <c r="B2774" t="s">
        <v>339</v>
      </c>
      <c r="C2774" t="s">
        <v>353</v>
      </c>
      <c r="D2774" t="s">
        <v>5877</v>
      </c>
      <c r="E2774" t="s">
        <v>5873</v>
      </c>
      <c r="F2774" s="46">
        <v>46097.325893587957</v>
      </c>
      <c r="G2774" s="46">
        <v>46097.325893587957</v>
      </c>
      <c r="H2774">
        <v>0</v>
      </c>
    </row>
    <row r="2775" spans="1:8" x14ac:dyDescent="0.15">
      <c r="A2775">
        <v>2774</v>
      </c>
      <c r="B2775" t="s">
        <v>339</v>
      </c>
      <c r="C2775" t="s">
        <v>353</v>
      </c>
      <c r="D2775" t="s">
        <v>5878</v>
      </c>
      <c r="E2775" t="s">
        <v>5873</v>
      </c>
      <c r="F2775" s="46">
        <v>46097.325893587957</v>
      </c>
      <c r="G2775" s="46">
        <v>46097.325893587957</v>
      </c>
      <c r="H2775">
        <v>0</v>
      </c>
    </row>
    <row r="2776" spans="1:8" x14ac:dyDescent="0.15">
      <c r="A2776">
        <v>2775</v>
      </c>
      <c r="B2776" t="s">
        <v>339</v>
      </c>
      <c r="C2776" t="s">
        <v>353</v>
      </c>
      <c r="D2776" t="s">
        <v>5879</v>
      </c>
      <c r="E2776" t="s">
        <v>5873</v>
      </c>
      <c r="F2776" s="46">
        <v>46097.325893587957</v>
      </c>
      <c r="G2776" s="46">
        <v>46097.325893587957</v>
      </c>
      <c r="H2776">
        <v>0</v>
      </c>
    </row>
    <row r="2777" spans="1:8" x14ac:dyDescent="0.15">
      <c r="A2777">
        <v>2776</v>
      </c>
      <c r="B2777" t="s">
        <v>339</v>
      </c>
      <c r="C2777" t="s">
        <v>353</v>
      </c>
      <c r="D2777" t="s">
        <v>5880</v>
      </c>
      <c r="E2777" t="s">
        <v>5881</v>
      </c>
      <c r="F2777" s="46">
        <v>46097.325893587957</v>
      </c>
      <c r="G2777" s="46">
        <v>46097.325893587957</v>
      </c>
      <c r="H2777">
        <v>0</v>
      </c>
    </row>
    <row r="2778" spans="1:8" x14ac:dyDescent="0.15">
      <c r="A2778">
        <v>2777</v>
      </c>
      <c r="B2778" t="s">
        <v>339</v>
      </c>
      <c r="C2778" t="s">
        <v>353</v>
      </c>
      <c r="D2778" t="s">
        <v>5882</v>
      </c>
      <c r="E2778" t="s">
        <v>5881</v>
      </c>
      <c r="F2778" s="46">
        <v>46097.325893587957</v>
      </c>
      <c r="G2778" s="46">
        <v>46097.325893587957</v>
      </c>
      <c r="H2778">
        <v>0</v>
      </c>
    </row>
    <row r="2779" spans="1:8" x14ac:dyDescent="0.15">
      <c r="A2779">
        <v>2778</v>
      </c>
      <c r="B2779" t="s">
        <v>339</v>
      </c>
      <c r="C2779" t="s">
        <v>353</v>
      </c>
      <c r="D2779" t="s">
        <v>5883</v>
      </c>
      <c r="E2779" t="s">
        <v>5884</v>
      </c>
      <c r="F2779" s="46">
        <v>46097.325893587957</v>
      </c>
      <c r="G2779" s="46">
        <v>46097.325893587957</v>
      </c>
      <c r="H2779">
        <v>0</v>
      </c>
    </row>
    <row r="2780" spans="1:8" x14ac:dyDescent="0.15">
      <c r="A2780">
        <v>2779</v>
      </c>
      <c r="B2780" t="s">
        <v>339</v>
      </c>
      <c r="C2780" t="s">
        <v>353</v>
      </c>
      <c r="D2780" t="s">
        <v>5885</v>
      </c>
      <c r="E2780" t="s">
        <v>5886</v>
      </c>
      <c r="F2780" s="46">
        <v>46097.325893587957</v>
      </c>
      <c r="G2780" s="46">
        <v>46097.325893587957</v>
      </c>
      <c r="H2780">
        <v>0</v>
      </c>
    </row>
    <row r="2781" spans="1:8" x14ac:dyDescent="0.15">
      <c r="A2781">
        <v>2780</v>
      </c>
      <c r="B2781" t="s">
        <v>339</v>
      </c>
      <c r="C2781" t="s">
        <v>353</v>
      </c>
      <c r="D2781" t="s">
        <v>5887</v>
      </c>
      <c r="E2781" t="s">
        <v>5888</v>
      </c>
      <c r="F2781" s="46">
        <v>46097.325893587957</v>
      </c>
      <c r="G2781" s="46">
        <v>46097.325893587957</v>
      </c>
      <c r="H2781">
        <v>0</v>
      </c>
    </row>
    <row r="2782" spans="1:8" x14ac:dyDescent="0.15">
      <c r="A2782">
        <v>2781</v>
      </c>
      <c r="B2782" t="s">
        <v>339</v>
      </c>
      <c r="C2782" t="s">
        <v>353</v>
      </c>
      <c r="D2782" t="s">
        <v>5889</v>
      </c>
      <c r="E2782" t="s">
        <v>5888</v>
      </c>
      <c r="F2782" s="46">
        <v>46097.325893587957</v>
      </c>
      <c r="G2782" s="46">
        <v>46097.325893761583</v>
      </c>
      <c r="H2782">
        <v>16</v>
      </c>
    </row>
    <row r="2783" spans="1:8" x14ac:dyDescent="0.15">
      <c r="A2783">
        <v>2782</v>
      </c>
      <c r="B2783" t="s">
        <v>339</v>
      </c>
      <c r="C2783" t="s">
        <v>353</v>
      </c>
      <c r="D2783" t="s">
        <v>5890</v>
      </c>
      <c r="E2783" t="s">
        <v>5888</v>
      </c>
      <c r="F2783" s="46">
        <v>46097.325893761583</v>
      </c>
      <c r="G2783" s="46">
        <v>46097.325893761583</v>
      </c>
      <c r="H2783">
        <v>0</v>
      </c>
    </row>
    <row r="2784" spans="1:8" x14ac:dyDescent="0.15">
      <c r="A2784">
        <v>2783</v>
      </c>
      <c r="B2784" t="s">
        <v>339</v>
      </c>
      <c r="C2784" t="s">
        <v>353</v>
      </c>
      <c r="D2784" t="s">
        <v>5891</v>
      </c>
      <c r="E2784" t="s">
        <v>5892</v>
      </c>
      <c r="F2784" s="46">
        <v>46097.325893761583</v>
      </c>
      <c r="G2784" s="46">
        <v>46097.325893761583</v>
      </c>
      <c r="H2784">
        <v>0</v>
      </c>
    </row>
    <row r="2785" spans="1:8" x14ac:dyDescent="0.15">
      <c r="A2785">
        <v>2784</v>
      </c>
      <c r="B2785" t="s">
        <v>339</v>
      </c>
      <c r="C2785" t="s">
        <v>353</v>
      </c>
      <c r="D2785" t="s">
        <v>5893</v>
      </c>
      <c r="E2785" t="s">
        <v>5894</v>
      </c>
      <c r="F2785" s="46">
        <v>46097.325893761583</v>
      </c>
      <c r="G2785" s="46">
        <v>46097.325893761583</v>
      </c>
      <c r="H2785">
        <v>0</v>
      </c>
    </row>
    <row r="2786" spans="1:8" x14ac:dyDescent="0.15">
      <c r="A2786">
        <v>2785</v>
      </c>
      <c r="B2786" t="s">
        <v>339</v>
      </c>
      <c r="C2786" t="s">
        <v>353</v>
      </c>
      <c r="D2786" t="s">
        <v>5895</v>
      </c>
      <c r="E2786" t="s">
        <v>5896</v>
      </c>
      <c r="F2786" s="46">
        <v>46097.325893761583</v>
      </c>
      <c r="G2786" s="46">
        <v>46097.325893761583</v>
      </c>
      <c r="H2786">
        <v>0</v>
      </c>
    </row>
    <row r="2787" spans="1:8" x14ac:dyDescent="0.15">
      <c r="A2787">
        <v>2786</v>
      </c>
      <c r="B2787" t="s">
        <v>339</v>
      </c>
      <c r="C2787" t="s">
        <v>353</v>
      </c>
      <c r="D2787" t="s">
        <v>5897</v>
      </c>
      <c r="E2787" t="s">
        <v>5896</v>
      </c>
      <c r="F2787" s="46">
        <v>46097.325893761583</v>
      </c>
      <c r="G2787" s="46">
        <v>46097.325893761583</v>
      </c>
      <c r="H2787">
        <v>0</v>
      </c>
    </row>
    <row r="2788" spans="1:8" x14ac:dyDescent="0.15">
      <c r="A2788">
        <v>2787</v>
      </c>
      <c r="B2788" t="s">
        <v>339</v>
      </c>
      <c r="C2788" t="s">
        <v>353</v>
      </c>
      <c r="D2788" t="s">
        <v>5898</v>
      </c>
      <c r="E2788" t="s">
        <v>5899</v>
      </c>
      <c r="F2788" s="46">
        <v>46097.325893761583</v>
      </c>
      <c r="G2788" s="46">
        <v>46097.325893761583</v>
      </c>
      <c r="H2788">
        <v>0</v>
      </c>
    </row>
    <row r="2789" spans="1:8" x14ac:dyDescent="0.15">
      <c r="A2789">
        <v>2788</v>
      </c>
      <c r="B2789" t="s">
        <v>339</v>
      </c>
      <c r="C2789" t="s">
        <v>353</v>
      </c>
      <c r="D2789" t="s">
        <v>5900</v>
      </c>
      <c r="E2789" t="s">
        <v>5899</v>
      </c>
      <c r="F2789" s="46">
        <v>46097.325893761583</v>
      </c>
      <c r="G2789" s="46">
        <v>46097.325893761583</v>
      </c>
      <c r="H2789">
        <v>0</v>
      </c>
    </row>
    <row r="2790" spans="1:8" x14ac:dyDescent="0.15">
      <c r="A2790">
        <v>2789</v>
      </c>
      <c r="B2790" t="s">
        <v>339</v>
      </c>
      <c r="C2790" t="s">
        <v>353</v>
      </c>
      <c r="D2790" t="s">
        <v>5901</v>
      </c>
      <c r="E2790" t="s">
        <v>5899</v>
      </c>
      <c r="F2790" s="46">
        <v>46097.325893761583</v>
      </c>
      <c r="G2790" s="46">
        <v>46097.325893761583</v>
      </c>
      <c r="H2790">
        <v>0</v>
      </c>
    </row>
    <row r="2791" spans="1:8" x14ac:dyDescent="0.15">
      <c r="A2791">
        <v>2790</v>
      </c>
      <c r="B2791" t="s">
        <v>339</v>
      </c>
      <c r="C2791" t="s">
        <v>353</v>
      </c>
      <c r="D2791" t="s">
        <v>5902</v>
      </c>
      <c r="E2791" t="s">
        <v>5903</v>
      </c>
      <c r="F2791" s="46">
        <v>46097.325893761583</v>
      </c>
      <c r="G2791" s="46">
        <v>46097.325893946763</v>
      </c>
      <c r="H2791">
        <v>15</v>
      </c>
    </row>
    <row r="2792" spans="1:8" x14ac:dyDescent="0.15">
      <c r="A2792">
        <v>2791</v>
      </c>
      <c r="B2792" t="s">
        <v>339</v>
      </c>
      <c r="C2792" t="s">
        <v>353</v>
      </c>
      <c r="D2792" t="s">
        <v>5904</v>
      </c>
      <c r="E2792" t="s">
        <v>5903</v>
      </c>
      <c r="F2792" s="46">
        <v>46097.325893946763</v>
      </c>
      <c r="G2792" s="46">
        <v>46097.325893946763</v>
      </c>
      <c r="H2792">
        <v>0</v>
      </c>
    </row>
    <row r="2793" spans="1:8" x14ac:dyDescent="0.15">
      <c r="A2793">
        <v>2792</v>
      </c>
      <c r="B2793" t="s">
        <v>339</v>
      </c>
      <c r="C2793" t="s">
        <v>353</v>
      </c>
      <c r="D2793" t="s">
        <v>5905</v>
      </c>
      <c r="E2793" t="s">
        <v>5903</v>
      </c>
      <c r="F2793" s="46">
        <v>46097.325893946763</v>
      </c>
      <c r="G2793" s="46">
        <v>46097.325893946763</v>
      </c>
      <c r="H2793">
        <v>0</v>
      </c>
    </row>
    <row r="2794" spans="1:8" x14ac:dyDescent="0.15">
      <c r="A2794">
        <v>2793</v>
      </c>
      <c r="B2794" t="s">
        <v>339</v>
      </c>
      <c r="C2794" t="s">
        <v>353</v>
      </c>
      <c r="D2794" t="s">
        <v>5906</v>
      </c>
      <c r="E2794" t="s">
        <v>5903</v>
      </c>
      <c r="F2794" s="46">
        <v>46097.325893946763</v>
      </c>
      <c r="G2794" s="46">
        <v>46097.325893946763</v>
      </c>
      <c r="H2794">
        <v>0</v>
      </c>
    </row>
    <row r="2795" spans="1:8" x14ac:dyDescent="0.15">
      <c r="A2795">
        <v>2794</v>
      </c>
      <c r="B2795" t="s">
        <v>339</v>
      </c>
      <c r="C2795" t="s">
        <v>353</v>
      </c>
      <c r="D2795" t="s">
        <v>5907</v>
      </c>
      <c r="E2795" t="s">
        <v>5908</v>
      </c>
      <c r="F2795" s="46">
        <v>46097.325893946763</v>
      </c>
      <c r="G2795" s="46">
        <v>46097.325893946763</v>
      </c>
      <c r="H2795">
        <v>0</v>
      </c>
    </row>
    <row r="2796" spans="1:8" x14ac:dyDescent="0.15">
      <c r="A2796">
        <v>2795</v>
      </c>
      <c r="B2796" t="s">
        <v>339</v>
      </c>
      <c r="C2796" t="s">
        <v>353</v>
      </c>
      <c r="D2796" t="s">
        <v>5909</v>
      </c>
      <c r="E2796" t="s">
        <v>5908</v>
      </c>
      <c r="F2796" s="46">
        <v>46097.325893946763</v>
      </c>
      <c r="G2796" s="46">
        <v>46097.325893946763</v>
      </c>
      <c r="H2796">
        <v>0</v>
      </c>
    </row>
    <row r="2797" spans="1:8" x14ac:dyDescent="0.15">
      <c r="A2797">
        <v>2796</v>
      </c>
      <c r="B2797" t="s">
        <v>339</v>
      </c>
      <c r="C2797" t="s">
        <v>353</v>
      </c>
      <c r="D2797" t="s">
        <v>5910</v>
      </c>
      <c r="E2797" t="s">
        <v>5908</v>
      </c>
      <c r="F2797" s="46">
        <v>46097.325893946763</v>
      </c>
      <c r="G2797" s="46">
        <v>46097.325893946763</v>
      </c>
      <c r="H2797">
        <v>0</v>
      </c>
    </row>
    <row r="2798" spans="1:8" x14ac:dyDescent="0.15">
      <c r="A2798">
        <v>2797</v>
      </c>
      <c r="B2798" t="s">
        <v>339</v>
      </c>
      <c r="C2798" t="s">
        <v>353</v>
      </c>
      <c r="D2798" t="s">
        <v>5911</v>
      </c>
      <c r="E2798" t="s">
        <v>5912</v>
      </c>
      <c r="F2798" s="46">
        <v>46097.325893946763</v>
      </c>
      <c r="G2798" s="46">
        <v>46097.325893946763</v>
      </c>
      <c r="H2798">
        <v>0</v>
      </c>
    </row>
    <row r="2799" spans="1:8" x14ac:dyDescent="0.15">
      <c r="A2799">
        <v>2798</v>
      </c>
      <c r="B2799" t="s">
        <v>339</v>
      </c>
      <c r="C2799" t="s">
        <v>353</v>
      </c>
      <c r="D2799" t="s">
        <v>5913</v>
      </c>
      <c r="E2799" t="s">
        <v>5912</v>
      </c>
      <c r="F2799" s="46">
        <v>46097.325893946763</v>
      </c>
      <c r="G2799" s="46">
        <v>46097.325893946763</v>
      </c>
      <c r="H2799">
        <v>0</v>
      </c>
    </row>
    <row r="2800" spans="1:8" x14ac:dyDescent="0.15">
      <c r="A2800">
        <v>2799</v>
      </c>
      <c r="B2800" t="s">
        <v>339</v>
      </c>
      <c r="C2800" t="s">
        <v>353</v>
      </c>
      <c r="D2800" t="s">
        <v>5914</v>
      </c>
      <c r="E2800" t="s">
        <v>5915</v>
      </c>
      <c r="F2800" s="46">
        <v>46097.325893946763</v>
      </c>
      <c r="G2800" s="46">
        <v>46097.325893946763</v>
      </c>
      <c r="H2800">
        <v>0</v>
      </c>
    </row>
    <row r="2801" spans="1:8" x14ac:dyDescent="0.15">
      <c r="A2801">
        <v>2800</v>
      </c>
      <c r="B2801" t="s">
        <v>339</v>
      </c>
      <c r="C2801" t="s">
        <v>353</v>
      </c>
      <c r="D2801" t="s">
        <v>5916</v>
      </c>
      <c r="E2801" t="s">
        <v>5917</v>
      </c>
      <c r="F2801" s="46">
        <v>46097.325893946763</v>
      </c>
      <c r="G2801" s="46">
        <v>46097.325893946763</v>
      </c>
      <c r="H2801">
        <v>0</v>
      </c>
    </row>
    <row r="2802" spans="1:8" x14ac:dyDescent="0.15">
      <c r="A2802">
        <v>2801</v>
      </c>
      <c r="B2802" t="s">
        <v>339</v>
      </c>
      <c r="C2802" t="s">
        <v>353</v>
      </c>
      <c r="D2802" t="s">
        <v>5918</v>
      </c>
      <c r="E2802" t="s">
        <v>5919</v>
      </c>
      <c r="F2802" s="46">
        <v>46097.325893946763</v>
      </c>
      <c r="G2802" s="46">
        <v>46097.325894131936</v>
      </c>
      <c r="H2802">
        <v>16</v>
      </c>
    </row>
    <row r="2803" spans="1:8" x14ac:dyDescent="0.15">
      <c r="A2803">
        <v>2802</v>
      </c>
      <c r="B2803" t="s">
        <v>339</v>
      </c>
      <c r="C2803" t="s">
        <v>353</v>
      </c>
      <c r="D2803" t="s">
        <v>5920</v>
      </c>
      <c r="E2803" t="s">
        <v>5921</v>
      </c>
      <c r="F2803" s="46">
        <v>46097.325894131936</v>
      </c>
      <c r="G2803" s="46">
        <v>46097.325894131936</v>
      </c>
      <c r="H2803">
        <v>0</v>
      </c>
    </row>
    <row r="2804" spans="1:8" x14ac:dyDescent="0.15">
      <c r="A2804">
        <v>2803</v>
      </c>
      <c r="B2804" t="s">
        <v>339</v>
      </c>
      <c r="C2804" t="s">
        <v>353</v>
      </c>
      <c r="D2804" t="s">
        <v>5922</v>
      </c>
      <c r="E2804" t="s">
        <v>5923</v>
      </c>
      <c r="F2804" s="46">
        <v>46097.325894131936</v>
      </c>
      <c r="G2804" s="46">
        <v>46097.325894131936</v>
      </c>
      <c r="H2804">
        <v>0</v>
      </c>
    </row>
    <row r="2805" spans="1:8" x14ac:dyDescent="0.15">
      <c r="A2805">
        <v>2804</v>
      </c>
      <c r="B2805" t="s">
        <v>339</v>
      </c>
      <c r="C2805" t="s">
        <v>353</v>
      </c>
      <c r="D2805" t="s">
        <v>5924</v>
      </c>
      <c r="E2805" t="s">
        <v>5925</v>
      </c>
      <c r="F2805" s="46">
        <v>46097.325894131936</v>
      </c>
      <c r="G2805" s="46">
        <v>46097.325894131936</v>
      </c>
      <c r="H2805">
        <v>0</v>
      </c>
    </row>
    <row r="2806" spans="1:8" x14ac:dyDescent="0.15">
      <c r="A2806">
        <v>2805</v>
      </c>
      <c r="B2806" t="s">
        <v>339</v>
      </c>
      <c r="C2806" t="s">
        <v>353</v>
      </c>
      <c r="D2806" t="s">
        <v>5926</v>
      </c>
      <c r="E2806" t="s">
        <v>5927</v>
      </c>
      <c r="F2806" s="46">
        <v>46097.325894131936</v>
      </c>
      <c r="G2806" s="46">
        <v>46097.325894131936</v>
      </c>
      <c r="H2806">
        <v>0</v>
      </c>
    </row>
    <row r="2807" spans="1:8" x14ac:dyDescent="0.15">
      <c r="A2807">
        <v>2806</v>
      </c>
      <c r="B2807" t="s">
        <v>339</v>
      </c>
      <c r="C2807" t="s">
        <v>353</v>
      </c>
      <c r="D2807" t="s">
        <v>5928</v>
      </c>
      <c r="E2807" t="s">
        <v>5927</v>
      </c>
      <c r="F2807" s="46">
        <v>46097.325894131936</v>
      </c>
      <c r="G2807" s="46">
        <v>46097.325894131936</v>
      </c>
      <c r="H2807">
        <v>0</v>
      </c>
    </row>
    <row r="2808" spans="1:8" x14ac:dyDescent="0.15">
      <c r="A2808">
        <v>2807</v>
      </c>
      <c r="B2808" t="s">
        <v>339</v>
      </c>
      <c r="C2808" t="s">
        <v>353</v>
      </c>
      <c r="D2808" t="s">
        <v>5929</v>
      </c>
      <c r="E2808" t="s">
        <v>5927</v>
      </c>
      <c r="F2808" s="46">
        <v>46097.325894131936</v>
      </c>
      <c r="G2808" s="46">
        <v>46097.325894131936</v>
      </c>
      <c r="H2808">
        <v>0</v>
      </c>
    </row>
    <row r="2809" spans="1:8" x14ac:dyDescent="0.15">
      <c r="A2809">
        <v>2808</v>
      </c>
      <c r="B2809" t="s">
        <v>339</v>
      </c>
      <c r="C2809" t="s">
        <v>353</v>
      </c>
      <c r="D2809" t="s">
        <v>5930</v>
      </c>
      <c r="E2809" t="s">
        <v>5931</v>
      </c>
      <c r="F2809" s="46">
        <v>46097.325894131936</v>
      </c>
      <c r="G2809" s="46">
        <v>46097.325894131936</v>
      </c>
      <c r="H2809">
        <v>0</v>
      </c>
    </row>
    <row r="2810" spans="1:8" x14ac:dyDescent="0.15">
      <c r="A2810">
        <v>2809</v>
      </c>
      <c r="B2810" t="s">
        <v>339</v>
      </c>
      <c r="C2810" t="s">
        <v>353</v>
      </c>
      <c r="D2810" t="s">
        <v>5932</v>
      </c>
      <c r="E2810" t="s">
        <v>5933</v>
      </c>
      <c r="F2810" s="46">
        <v>46097.325894131936</v>
      </c>
      <c r="G2810" s="46">
        <v>46097.325894131936</v>
      </c>
      <c r="H2810">
        <v>0</v>
      </c>
    </row>
    <row r="2811" spans="1:8" x14ac:dyDescent="0.15">
      <c r="A2811">
        <v>2810</v>
      </c>
      <c r="B2811" t="s">
        <v>339</v>
      </c>
      <c r="C2811" t="s">
        <v>353</v>
      </c>
      <c r="D2811" t="s">
        <v>5934</v>
      </c>
      <c r="E2811" t="s">
        <v>5933</v>
      </c>
      <c r="F2811" s="46">
        <v>46097.325894131936</v>
      </c>
      <c r="G2811" s="46">
        <v>46097.325894131936</v>
      </c>
      <c r="H2811">
        <v>0</v>
      </c>
    </row>
    <row r="2812" spans="1:8" x14ac:dyDescent="0.15">
      <c r="A2812">
        <v>2811</v>
      </c>
      <c r="B2812" t="s">
        <v>339</v>
      </c>
      <c r="C2812" t="s">
        <v>353</v>
      </c>
      <c r="D2812" t="s">
        <v>5935</v>
      </c>
      <c r="E2812" t="s">
        <v>5933</v>
      </c>
      <c r="F2812" s="46">
        <v>46097.325894131936</v>
      </c>
      <c r="G2812" s="46">
        <v>46097.325894305563</v>
      </c>
      <c r="H2812">
        <v>16</v>
      </c>
    </row>
    <row r="2813" spans="1:8" x14ac:dyDescent="0.15">
      <c r="A2813">
        <v>2812</v>
      </c>
      <c r="B2813" t="s">
        <v>339</v>
      </c>
      <c r="C2813" t="s">
        <v>353</v>
      </c>
      <c r="D2813" t="s">
        <v>5936</v>
      </c>
      <c r="E2813" t="s">
        <v>5933</v>
      </c>
      <c r="F2813" s="46">
        <v>46097.325894305563</v>
      </c>
      <c r="G2813" s="46">
        <v>46097.325894305563</v>
      </c>
      <c r="H2813">
        <v>0</v>
      </c>
    </row>
    <row r="2814" spans="1:8" x14ac:dyDescent="0.15">
      <c r="A2814">
        <v>2813</v>
      </c>
      <c r="B2814" t="s">
        <v>339</v>
      </c>
      <c r="C2814" t="s">
        <v>353</v>
      </c>
      <c r="D2814" t="s">
        <v>5937</v>
      </c>
      <c r="E2814" t="s">
        <v>5933</v>
      </c>
      <c r="F2814" s="46">
        <v>46097.325894305563</v>
      </c>
      <c r="G2814" s="46">
        <v>46097.325894305563</v>
      </c>
      <c r="H2814">
        <v>0</v>
      </c>
    </row>
    <row r="2815" spans="1:8" x14ac:dyDescent="0.15">
      <c r="A2815">
        <v>2814</v>
      </c>
      <c r="B2815" t="s">
        <v>339</v>
      </c>
      <c r="C2815" t="s">
        <v>353</v>
      </c>
      <c r="D2815" t="s">
        <v>5938</v>
      </c>
      <c r="E2815" t="s">
        <v>5939</v>
      </c>
      <c r="F2815" s="46">
        <v>46097.325894305563</v>
      </c>
      <c r="G2815" s="46">
        <v>46097.325894305563</v>
      </c>
      <c r="H2815">
        <v>0</v>
      </c>
    </row>
    <row r="2816" spans="1:8" x14ac:dyDescent="0.15">
      <c r="A2816">
        <v>2815</v>
      </c>
      <c r="B2816" t="s">
        <v>339</v>
      </c>
      <c r="C2816" t="s">
        <v>353</v>
      </c>
      <c r="D2816" t="s">
        <v>5940</v>
      </c>
      <c r="E2816" t="s">
        <v>5939</v>
      </c>
      <c r="F2816" s="46">
        <v>46097.325894305563</v>
      </c>
      <c r="G2816" s="46">
        <v>46097.325894305563</v>
      </c>
      <c r="H2816">
        <v>0</v>
      </c>
    </row>
    <row r="2817" spans="1:8" x14ac:dyDescent="0.15">
      <c r="A2817">
        <v>2816</v>
      </c>
      <c r="B2817" t="s">
        <v>339</v>
      </c>
      <c r="C2817" t="s">
        <v>353</v>
      </c>
      <c r="D2817" t="s">
        <v>5941</v>
      </c>
      <c r="E2817" t="s">
        <v>5939</v>
      </c>
      <c r="F2817" s="46">
        <v>46097.325894305563</v>
      </c>
      <c r="G2817" s="46">
        <v>46097.325894305563</v>
      </c>
      <c r="H2817">
        <v>0</v>
      </c>
    </row>
    <row r="2818" spans="1:8" x14ac:dyDescent="0.15">
      <c r="A2818">
        <v>2817</v>
      </c>
      <c r="B2818" t="s">
        <v>339</v>
      </c>
      <c r="C2818" t="s">
        <v>353</v>
      </c>
      <c r="D2818" t="s">
        <v>5942</v>
      </c>
      <c r="E2818" t="s">
        <v>5939</v>
      </c>
      <c r="F2818" s="46">
        <v>46097.325894305563</v>
      </c>
      <c r="G2818" s="46">
        <v>46097.325894305563</v>
      </c>
      <c r="H2818">
        <v>0</v>
      </c>
    </row>
    <row r="2819" spans="1:8" x14ac:dyDescent="0.15">
      <c r="A2819">
        <v>2818</v>
      </c>
      <c r="B2819" t="s">
        <v>339</v>
      </c>
      <c r="C2819" t="s">
        <v>353</v>
      </c>
      <c r="D2819" t="s">
        <v>5943</v>
      </c>
      <c r="E2819" t="s">
        <v>5939</v>
      </c>
      <c r="F2819" s="46">
        <v>46097.325894305563</v>
      </c>
      <c r="G2819" s="46">
        <v>46097.325894305563</v>
      </c>
      <c r="H2819">
        <v>0</v>
      </c>
    </row>
    <row r="2820" spans="1:8" x14ac:dyDescent="0.15">
      <c r="A2820">
        <v>2819</v>
      </c>
      <c r="B2820" t="s">
        <v>339</v>
      </c>
      <c r="C2820" t="s">
        <v>353</v>
      </c>
      <c r="D2820" t="s">
        <v>5944</v>
      </c>
      <c r="E2820" t="s">
        <v>5939</v>
      </c>
      <c r="F2820" s="46">
        <v>46097.325894305563</v>
      </c>
      <c r="G2820" s="46">
        <v>46097.325894305563</v>
      </c>
      <c r="H2820">
        <v>0</v>
      </c>
    </row>
    <row r="2821" spans="1:8" x14ac:dyDescent="0.15">
      <c r="A2821">
        <v>2820</v>
      </c>
      <c r="B2821" t="s">
        <v>339</v>
      </c>
      <c r="C2821" t="s">
        <v>353</v>
      </c>
      <c r="D2821" t="s">
        <v>5945</v>
      </c>
      <c r="E2821" t="s">
        <v>5939</v>
      </c>
      <c r="F2821" s="46">
        <v>46097.325894305563</v>
      </c>
      <c r="G2821" s="46">
        <v>46097.325894305563</v>
      </c>
      <c r="H2821">
        <v>0</v>
      </c>
    </row>
    <row r="2822" spans="1:8" x14ac:dyDescent="0.15">
      <c r="A2822">
        <v>2821</v>
      </c>
      <c r="B2822" t="s">
        <v>339</v>
      </c>
      <c r="C2822" t="s">
        <v>353</v>
      </c>
      <c r="D2822" t="s">
        <v>5946</v>
      </c>
      <c r="E2822" t="s">
        <v>5939</v>
      </c>
      <c r="F2822" s="46">
        <v>46097.325894305563</v>
      </c>
      <c r="G2822" s="46">
        <v>46097.325894490743</v>
      </c>
      <c r="H2822">
        <v>15</v>
      </c>
    </row>
    <row r="2823" spans="1:8" x14ac:dyDescent="0.15">
      <c r="A2823">
        <v>2822</v>
      </c>
      <c r="B2823" t="s">
        <v>339</v>
      </c>
      <c r="C2823" t="s">
        <v>353</v>
      </c>
      <c r="D2823" t="s">
        <v>5947</v>
      </c>
      <c r="E2823" t="s">
        <v>5939</v>
      </c>
      <c r="F2823" s="46">
        <v>46097.325894490743</v>
      </c>
      <c r="G2823" s="46">
        <v>46097.325894490743</v>
      </c>
      <c r="H2823">
        <v>0</v>
      </c>
    </row>
    <row r="2824" spans="1:8" x14ac:dyDescent="0.15">
      <c r="A2824">
        <v>2823</v>
      </c>
      <c r="B2824" t="s">
        <v>339</v>
      </c>
      <c r="C2824" t="s">
        <v>353</v>
      </c>
      <c r="D2824" t="s">
        <v>5948</v>
      </c>
      <c r="E2824" t="s">
        <v>5939</v>
      </c>
      <c r="F2824" s="46">
        <v>46097.325894490743</v>
      </c>
      <c r="G2824" s="46">
        <v>46097.325894490743</v>
      </c>
      <c r="H2824">
        <v>0</v>
      </c>
    </row>
    <row r="2825" spans="1:8" x14ac:dyDescent="0.15">
      <c r="A2825">
        <v>2824</v>
      </c>
      <c r="B2825" t="s">
        <v>339</v>
      </c>
      <c r="C2825" t="s">
        <v>353</v>
      </c>
      <c r="D2825" t="s">
        <v>5949</v>
      </c>
      <c r="E2825" t="s">
        <v>5950</v>
      </c>
      <c r="F2825" s="46">
        <v>46097.325894490743</v>
      </c>
      <c r="G2825" s="46">
        <v>46097.325894490743</v>
      </c>
      <c r="H2825">
        <v>0</v>
      </c>
    </row>
    <row r="2826" spans="1:8" x14ac:dyDescent="0.15">
      <c r="A2826">
        <v>2825</v>
      </c>
      <c r="B2826" t="s">
        <v>339</v>
      </c>
      <c r="C2826" t="s">
        <v>353</v>
      </c>
      <c r="D2826" t="s">
        <v>5951</v>
      </c>
      <c r="E2826" t="s">
        <v>5950</v>
      </c>
      <c r="F2826" s="46">
        <v>46097.325894490743</v>
      </c>
      <c r="G2826" s="46">
        <v>46097.325894490743</v>
      </c>
      <c r="H2826">
        <v>0</v>
      </c>
    </row>
    <row r="2827" spans="1:8" x14ac:dyDescent="0.15">
      <c r="A2827">
        <v>2826</v>
      </c>
      <c r="B2827" t="s">
        <v>339</v>
      </c>
      <c r="C2827" t="s">
        <v>353</v>
      </c>
      <c r="D2827" t="s">
        <v>5952</v>
      </c>
      <c r="E2827" t="s">
        <v>5950</v>
      </c>
      <c r="F2827" s="46">
        <v>46097.325894490743</v>
      </c>
      <c r="G2827" s="46">
        <v>46097.325894490743</v>
      </c>
      <c r="H2827">
        <v>0</v>
      </c>
    </row>
    <row r="2828" spans="1:8" x14ac:dyDescent="0.15">
      <c r="A2828">
        <v>2827</v>
      </c>
      <c r="B2828" t="s">
        <v>339</v>
      </c>
      <c r="C2828" t="s">
        <v>353</v>
      </c>
      <c r="D2828" t="s">
        <v>5953</v>
      </c>
      <c r="E2828" t="s">
        <v>5950</v>
      </c>
      <c r="F2828" s="46">
        <v>46097.325894490743</v>
      </c>
      <c r="G2828" s="46">
        <v>46097.325894490743</v>
      </c>
      <c r="H2828">
        <v>0</v>
      </c>
    </row>
    <row r="2829" spans="1:8" x14ac:dyDescent="0.15">
      <c r="A2829">
        <v>2828</v>
      </c>
      <c r="B2829" t="s">
        <v>339</v>
      </c>
      <c r="C2829" t="s">
        <v>353</v>
      </c>
      <c r="D2829" t="s">
        <v>5954</v>
      </c>
      <c r="E2829" t="s">
        <v>5950</v>
      </c>
      <c r="F2829" s="46">
        <v>46097.325894490743</v>
      </c>
      <c r="G2829" s="46">
        <v>46097.325894490743</v>
      </c>
      <c r="H2829">
        <v>0</v>
      </c>
    </row>
    <row r="2830" spans="1:8" x14ac:dyDescent="0.15">
      <c r="A2830">
        <v>2829</v>
      </c>
      <c r="B2830" t="s">
        <v>339</v>
      </c>
      <c r="C2830" t="s">
        <v>353</v>
      </c>
      <c r="D2830" t="s">
        <v>5955</v>
      </c>
      <c r="E2830" t="s">
        <v>5956</v>
      </c>
      <c r="F2830" s="46">
        <v>46097.325894490743</v>
      </c>
      <c r="G2830" s="46">
        <v>46097.325894490743</v>
      </c>
      <c r="H2830">
        <v>0</v>
      </c>
    </row>
    <row r="2831" spans="1:8" x14ac:dyDescent="0.15">
      <c r="A2831">
        <v>2830</v>
      </c>
      <c r="B2831" t="s">
        <v>339</v>
      </c>
      <c r="C2831" t="s">
        <v>353</v>
      </c>
      <c r="D2831" t="s">
        <v>5957</v>
      </c>
      <c r="E2831" t="s">
        <v>5956</v>
      </c>
      <c r="F2831" s="46">
        <v>46097.325894490743</v>
      </c>
      <c r="G2831" s="46">
        <v>46097.325894490743</v>
      </c>
      <c r="H2831">
        <v>0</v>
      </c>
    </row>
    <row r="2832" spans="1:8" x14ac:dyDescent="0.15">
      <c r="A2832">
        <v>2831</v>
      </c>
      <c r="B2832" t="s">
        <v>339</v>
      </c>
      <c r="C2832" t="s">
        <v>353</v>
      </c>
      <c r="D2832" t="s">
        <v>5958</v>
      </c>
      <c r="E2832" t="s">
        <v>5956</v>
      </c>
      <c r="F2832" s="46">
        <v>46097.325894490743</v>
      </c>
      <c r="G2832" s="46">
        <v>46097.325894490743</v>
      </c>
      <c r="H2832">
        <v>0</v>
      </c>
    </row>
    <row r="2833" spans="1:8" x14ac:dyDescent="0.15">
      <c r="A2833">
        <v>2832</v>
      </c>
      <c r="B2833" t="s">
        <v>339</v>
      </c>
      <c r="C2833" t="s">
        <v>353</v>
      </c>
      <c r="D2833" t="s">
        <v>5959</v>
      </c>
      <c r="E2833" t="s">
        <v>5956</v>
      </c>
      <c r="F2833" s="46">
        <v>46097.325894490743</v>
      </c>
      <c r="G2833" s="46">
        <v>46097.325894664347</v>
      </c>
      <c r="H2833">
        <v>16</v>
      </c>
    </row>
    <row r="2834" spans="1:8" x14ac:dyDescent="0.15">
      <c r="A2834">
        <v>2833</v>
      </c>
      <c r="B2834" t="s">
        <v>339</v>
      </c>
      <c r="C2834" t="s">
        <v>353</v>
      </c>
      <c r="D2834" t="s">
        <v>5960</v>
      </c>
      <c r="E2834" t="s">
        <v>5956</v>
      </c>
      <c r="F2834" s="46">
        <v>46097.325894664347</v>
      </c>
      <c r="G2834" s="46">
        <v>46097.325894664347</v>
      </c>
      <c r="H2834">
        <v>0</v>
      </c>
    </row>
    <row r="2835" spans="1:8" x14ac:dyDescent="0.15">
      <c r="A2835">
        <v>2834</v>
      </c>
      <c r="B2835" t="s">
        <v>339</v>
      </c>
      <c r="C2835" t="s">
        <v>353</v>
      </c>
      <c r="D2835" t="s">
        <v>5961</v>
      </c>
      <c r="E2835" t="s">
        <v>5956</v>
      </c>
      <c r="F2835" s="46">
        <v>46097.325894664347</v>
      </c>
      <c r="G2835" s="46">
        <v>46097.325894664347</v>
      </c>
      <c r="H2835">
        <v>0</v>
      </c>
    </row>
    <row r="2836" spans="1:8" x14ac:dyDescent="0.15">
      <c r="A2836">
        <v>2835</v>
      </c>
      <c r="B2836" t="s">
        <v>339</v>
      </c>
      <c r="C2836" t="s">
        <v>353</v>
      </c>
      <c r="D2836" t="s">
        <v>5962</v>
      </c>
      <c r="E2836" t="s">
        <v>5956</v>
      </c>
      <c r="F2836" s="46">
        <v>46097.325894664347</v>
      </c>
      <c r="G2836" s="46">
        <v>46097.325894664347</v>
      </c>
      <c r="H2836">
        <v>0</v>
      </c>
    </row>
    <row r="2837" spans="1:8" x14ac:dyDescent="0.15">
      <c r="A2837">
        <v>2836</v>
      </c>
      <c r="B2837" t="s">
        <v>339</v>
      </c>
      <c r="C2837" t="s">
        <v>353</v>
      </c>
      <c r="D2837" t="s">
        <v>5963</v>
      </c>
      <c r="E2837" t="s">
        <v>5956</v>
      </c>
      <c r="F2837" s="46">
        <v>46097.325894664347</v>
      </c>
      <c r="G2837" s="46">
        <v>46097.325894664347</v>
      </c>
      <c r="H2837">
        <v>0</v>
      </c>
    </row>
    <row r="2838" spans="1:8" x14ac:dyDescent="0.15">
      <c r="A2838">
        <v>2837</v>
      </c>
      <c r="B2838" t="s">
        <v>339</v>
      </c>
      <c r="C2838" t="s">
        <v>353</v>
      </c>
      <c r="D2838" t="s">
        <v>5964</v>
      </c>
      <c r="E2838" t="s">
        <v>5956</v>
      </c>
      <c r="F2838" s="46">
        <v>46097.325894664347</v>
      </c>
      <c r="G2838" s="46">
        <v>46097.325894664347</v>
      </c>
      <c r="H2838">
        <v>0</v>
      </c>
    </row>
    <row r="2839" spans="1:8" x14ac:dyDescent="0.15">
      <c r="A2839">
        <v>2838</v>
      </c>
      <c r="B2839" t="s">
        <v>339</v>
      </c>
      <c r="C2839" t="s">
        <v>353</v>
      </c>
      <c r="D2839" t="s">
        <v>5965</v>
      </c>
      <c r="E2839" t="s">
        <v>5956</v>
      </c>
      <c r="F2839" s="46">
        <v>46097.325894664347</v>
      </c>
      <c r="G2839" s="46">
        <v>46097.325894664347</v>
      </c>
      <c r="H2839">
        <v>0</v>
      </c>
    </row>
    <row r="2840" spans="1:8" x14ac:dyDescent="0.15">
      <c r="A2840">
        <v>2839</v>
      </c>
      <c r="B2840" t="s">
        <v>339</v>
      </c>
      <c r="C2840" t="s">
        <v>353</v>
      </c>
      <c r="D2840" t="s">
        <v>5966</v>
      </c>
      <c r="E2840" t="s">
        <v>5956</v>
      </c>
      <c r="F2840" s="46">
        <v>46097.325894664347</v>
      </c>
      <c r="G2840" s="46">
        <v>46097.325894664347</v>
      </c>
      <c r="H2840">
        <v>0</v>
      </c>
    </row>
    <row r="2841" spans="1:8" x14ac:dyDescent="0.15">
      <c r="A2841">
        <v>2840</v>
      </c>
      <c r="B2841" t="s">
        <v>339</v>
      </c>
      <c r="C2841" t="s">
        <v>353</v>
      </c>
      <c r="D2841" t="s">
        <v>5967</v>
      </c>
      <c r="E2841" t="s">
        <v>5968</v>
      </c>
      <c r="F2841" s="46">
        <v>46097.325894664347</v>
      </c>
      <c r="G2841" s="46">
        <v>46097.325894664347</v>
      </c>
      <c r="H2841">
        <v>0</v>
      </c>
    </row>
    <row r="2842" spans="1:8" x14ac:dyDescent="0.15">
      <c r="A2842">
        <v>2841</v>
      </c>
      <c r="B2842" t="s">
        <v>339</v>
      </c>
      <c r="C2842" t="s">
        <v>353</v>
      </c>
      <c r="D2842" t="s">
        <v>5969</v>
      </c>
      <c r="E2842" t="s">
        <v>5968</v>
      </c>
      <c r="F2842" s="46">
        <v>46097.325894664347</v>
      </c>
      <c r="G2842" s="46">
        <v>46097.325894664347</v>
      </c>
      <c r="H2842">
        <v>0</v>
      </c>
    </row>
    <row r="2843" spans="1:8" x14ac:dyDescent="0.15">
      <c r="A2843">
        <v>2842</v>
      </c>
      <c r="B2843" t="s">
        <v>339</v>
      </c>
      <c r="C2843" t="s">
        <v>353</v>
      </c>
      <c r="D2843" t="s">
        <v>5970</v>
      </c>
      <c r="E2843" t="s">
        <v>5971</v>
      </c>
      <c r="F2843" s="46">
        <v>46097.325894664347</v>
      </c>
      <c r="G2843" s="46">
        <v>46097.325894849528</v>
      </c>
      <c r="H2843">
        <v>16</v>
      </c>
    </row>
    <row r="2844" spans="1:8" x14ac:dyDescent="0.15">
      <c r="A2844">
        <v>2843</v>
      </c>
      <c r="B2844" t="s">
        <v>339</v>
      </c>
      <c r="C2844" t="s">
        <v>353</v>
      </c>
      <c r="D2844" t="s">
        <v>5972</v>
      </c>
      <c r="E2844" t="s">
        <v>5971</v>
      </c>
      <c r="F2844" s="46">
        <v>46097.325894849528</v>
      </c>
      <c r="G2844" s="46">
        <v>46097.325894849528</v>
      </c>
      <c r="H2844">
        <v>0</v>
      </c>
    </row>
    <row r="2845" spans="1:8" x14ac:dyDescent="0.15">
      <c r="A2845">
        <v>2844</v>
      </c>
      <c r="B2845" t="s">
        <v>339</v>
      </c>
      <c r="C2845" t="s">
        <v>353</v>
      </c>
      <c r="D2845" t="s">
        <v>5973</v>
      </c>
      <c r="E2845" t="s">
        <v>5974</v>
      </c>
      <c r="F2845" s="46">
        <v>46097.325894849528</v>
      </c>
      <c r="G2845" s="46">
        <v>46097.325894849528</v>
      </c>
      <c r="H2845">
        <v>0</v>
      </c>
    </row>
    <row r="2846" spans="1:8" x14ac:dyDescent="0.15">
      <c r="A2846">
        <v>2845</v>
      </c>
      <c r="B2846" t="s">
        <v>339</v>
      </c>
      <c r="C2846" t="s">
        <v>353</v>
      </c>
      <c r="D2846" t="s">
        <v>5975</v>
      </c>
      <c r="E2846" t="s">
        <v>5974</v>
      </c>
      <c r="F2846" s="46">
        <v>46097.325894849528</v>
      </c>
      <c r="G2846" s="46">
        <v>46097.325894849528</v>
      </c>
      <c r="H2846">
        <v>0</v>
      </c>
    </row>
    <row r="2847" spans="1:8" x14ac:dyDescent="0.15">
      <c r="A2847">
        <v>2846</v>
      </c>
      <c r="B2847" t="s">
        <v>339</v>
      </c>
      <c r="C2847" t="s">
        <v>353</v>
      </c>
      <c r="D2847" t="s">
        <v>5976</v>
      </c>
      <c r="E2847" t="s">
        <v>5974</v>
      </c>
      <c r="F2847" s="46">
        <v>46097.325894849528</v>
      </c>
      <c r="G2847" s="46">
        <v>46097.325894849528</v>
      </c>
      <c r="H2847">
        <v>0</v>
      </c>
    </row>
    <row r="2848" spans="1:8" x14ac:dyDescent="0.15">
      <c r="A2848">
        <v>2847</v>
      </c>
      <c r="B2848" t="s">
        <v>339</v>
      </c>
      <c r="C2848" t="s">
        <v>353</v>
      </c>
      <c r="D2848" t="s">
        <v>5977</v>
      </c>
      <c r="E2848" t="s">
        <v>5974</v>
      </c>
      <c r="F2848" s="46">
        <v>46097.325894849528</v>
      </c>
      <c r="G2848" s="46">
        <v>46097.325894849528</v>
      </c>
      <c r="H2848">
        <v>0</v>
      </c>
    </row>
    <row r="2849" spans="1:8" x14ac:dyDescent="0.15">
      <c r="A2849">
        <v>2848</v>
      </c>
      <c r="B2849" t="s">
        <v>339</v>
      </c>
      <c r="C2849" t="s">
        <v>353</v>
      </c>
      <c r="D2849" t="s">
        <v>5978</v>
      </c>
      <c r="E2849" t="s">
        <v>5974</v>
      </c>
      <c r="F2849" s="46">
        <v>46097.325894849528</v>
      </c>
      <c r="G2849" s="46">
        <v>46097.325894849528</v>
      </c>
      <c r="H2849">
        <v>0</v>
      </c>
    </row>
    <row r="2850" spans="1:8" x14ac:dyDescent="0.15">
      <c r="A2850">
        <v>2849</v>
      </c>
      <c r="B2850" t="s">
        <v>339</v>
      </c>
      <c r="C2850" t="s">
        <v>353</v>
      </c>
      <c r="D2850" t="s">
        <v>5979</v>
      </c>
      <c r="E2850" t="s">
        <v>5980</v>
      </c>
      <c r="F2850" s="46">
        <v>46097.325894849528</v>
      </c>
      <c r="G2850" s="46">
        <v>46097.325894849528</v>
      </c>
      <c r="H2850">
        <v>0</v>
      </c>
    </row>
    <row r="2851" spans="1:8" x14ac:dyDescent="0.15">
      <c r="A2851">
        <v>2850</v>
      </c>
      <c r="B2851" t="s">
        <v>339</v>
      </c>
      <c r="C2851" t="s">
        <v>353</v>
      </c>
      <c r="D2851" t="s">
        <v>5981</v>
      </c>
      <c r="E2851" t="s">
        <v>5982</v>
      </c>
      <c r="F2851" s="46">
        <v>46097.325894849528</v>
      </c>
      <c r="G2851" s="46">
        <v>46097.325894849528</v>
      </c>
      <c r="H2851">
        <v>0</v>
      </c>
    </row>
    <row r="2852" spans="1:8" x14ac:dyDescent="0.15">
      <c r="A2852">
        <v>2851</v>
      </c>
      <c r="B2852" t="s">
        <v>339</v>
      </c>
      <c r="C2852" t="s">
        <v>353</v>
      </c>
      <c r="D2852" t="s">
        <v>5983</v>
      </c>
      <c r="E2852" t="s">
        <v>5984</v>
      </c>
      <c r="F2852" s="46">
        <v>46097.325894849528</v>
      </c>
      <c r="G2852" s="46">
        <v>46097.325894849528</v>
      </c>
      <c r="H2852">
        <v>0</v>
      </c>
    </row>
    <row r="2853" spans="1:8" x14ac:dyDescent="0.15">
      <c r="A2853">
        <v>2852</v>
      </c>
      <c r="B2853" t="s">
        <v>339</v>
      </c>
      <c r="C2853" t="s">
        <v>353</v>
      </c>
      <c r="D2853" t="s">
        <v>5985</v>
      </c>
      <c r="E2853" t="s">
        <v>5984</v>
      </c>
      <c r="F2853" s="46">
        <v>46097.325894849528</v>
      </c>
      <c r="G2853" s="46">
        <v>46097.325895034723</v>
      </c>
      <c r="H2853">
        <v>15</v>
      </c>
    </row>
    <row r="2854" spans="1:8" x14ac:dyDescent="0.15">
      <c r="A2854">
        <v>2853</v>
      </c>
      <c r="B2854" t="s">
        <v>339</v>
      </c>
      <c r="C2854" t="s">
        <v>353</v>
      </c>
      <c r="D2854" t="s">
        <v>5986</v>
      </c>
      <c r="E2854" t="s">
        <v>5984</v>
      </c>
      <c r="F2854" s="46">
        <v>46097.325895034723</v>
      </c>
      <c r="G2854" s="46">
        <v>46097.325895034723</v>
      </c>
      <c r="H2854">
        <v>0</v>
      </c>
    </row>
    <row r="2855" spans="1:8" x14ac:dyDescent="0.15">
      <c r="A2855">
        <v>2854</v>
      </c>
      <c r="B2855" t="s">
        <v>339</v>
      </c>
      <c r="C2855" t="s">
        <v>353</v>
      </c>
      <c r="D2855" t="s">
        <v>5987</v>
      </c>
      <c r="E2855" t="s">
        <v>5984</v>
      </c>
      <c r="F2855" s="46">
        <v>46097.325895034723</v>
      </c>
      <c r="G2855" s="46">
        <v>46097.325895034723</v>
      </c>
      <c r="H2855">
        <v>0</v>
      </c>
    </row>
    <row r="2856" spans="1:8" x14ac:dyDescent="0.15">
      <c r="A2856">
        <v>2855</v>
      </c>
      <c r="B2856" t="s">
        <v>339</v>
      </c>
      <c r="C2856" t="s">
        <v>353</v>
      </c>
      <c r="D2856" t="s">
        <v>5988</v>
      </c>
      <c r="E2856" t="s">
        <v>5984</v>
      </c>
      <c r="F2856" s="46">
        <v>46097.325895034723</v>
      </c>
      <c r="G2856" s="46">
        <v>46097.325895034723</v>
      </c>
      <c r="H2856">
        <v>0</v>
      </c>
    </row>
    <row r="2857" spans="1:8" x14ac:dyDescent="0.15">
      <c r="A2857">
        <v>2856</v>
      </c>
      <c r="B2857" t="s">
        <v>339</v>
      </c>
      <c r="C2857" t="s">
        <v>353</v>
      </c>
      <c r="D2857" t="s">
        <v>5989</v>
      </c>
      <c r="E2857" t="s">
        <v>5984</v>
      </c>
      <c r="F2857" s="46">
        <v>46097.325895034723</v>
      </c>
      <c r="G2857" s="46">
        <v>46097.325895034723</v>
      </c>
      <c r="H2857">
        <v>0</v>
      </c>
    </row>
    <row r="2858" spans="1:8" x14ac:dyDescent="0.15">
      <c r="A2858">
        <v>2857</v>
      </c>
      <c r="B2858" t="s">
        <v>339</v>
      </c>
      <c r="C2858" t="s">
        <v>353</v>
      </c>
      <c r="D2858" t="s">
        <v>5990</v>
      </c>
      <c r="E2858" t="s">
        <v>5984</v>
      </c>
      <c r="F2858" s="46">
        <v>46097.325895034723</v>
      </c>
      <c r="G2858" s="46">
        <v>46097.325895034723</v>
      </c>
      <c r="H2858">
        <v>0</v>
      </c>
    </row>
    <row r="2859" spans="1:8" x14ac:dyDescent="0.15">
      <c r="A2859">
        <v>2858</v>
      </c>
      <c r="B2859" t="s">
        <v>339</v>
      </c>
      <c r="C2859" t="s">
        <v>353</v>
      </c>
      <c r="D2859" t="s">
        <v>5991</v>
      </c>
      <c r="E2859" t="s">
        <v>5984</v>
      </c>
      <c r="F2859" s="46">
        <v>46097.325895034723</v>
      </c>
      <c r="G2859" s="46">
        <v>46097.325895034723</v>
      </c>
      <c r="H2859">
        <v>0</v>
      </c>
    </row>
    <row r="2860" spans="1:8" x14ac:dyDescent="0.15">
      <c r="A2860">
        <v>2859</v>
      </c>
      <c r="B2860" t="s">
        <v>339</v>
      </c>
      <c r="C2860" t="s">
        <v>353</v>
      </c>
      <c r="D2860" t="s">
        <v>5992</v>
      </c>
      <c r="E2860" t="s">
        <v>5984</v>
      </c>
      <c r="F2860" s="46">
        <v>46097.325895034723</v>
      </c>
      <c r="G2860" s="46">
        <v>46097.325895034723</v>
      </c>
      <c r="H2860">
        <v>0</v>
      </c>
    </row>
    <row r="2861" spans="1:8" x14ac:dyDescent="0.15">
      <c r="A2861">
        <v>2860</v>
      </c>
      <c r="B2861" t="s">
        <v>339</v>
      </c>
      <c r="C2861" t="s">
        <v>353</v>
      </c>
      <c r="D2861" t="s">
        <v>5993</v>
      </c>
      <c r="E2861" t="s">
        <v>5984</v>
      </c>
      <c r="F2861" s="46">
        <v>46097.325895034723</v>
      </c>
      <c r="G2861" s="46">
        <v>46097.325895034723</v>
      </c>
      <c r="H2861">
        <v>0</v>
      </c>
    </row>
    <row r="2862" spans="1:8" x14ac:dyDescent="0.15">
      <c r="A2862">
        <v>2861</v>
      </c>
      <c r="B2862" t="s">
        <v>339</v>
      </c>
      <c r="C2862" t="s">
        <v>353</v>
      </c>
      <c r="D2862" t="s">
        <v>5994</v>
      </c>
      <c r="E2862" t="s">
        <v>5995</v>
      </c>
      <c r="F2862" s="46">
        <v>46097.325895034723</v>
      </c>
      <c r="G2862" s="46">
        <v>46097.325895034723</v>
      </c>
      <c r="H2862">
        <v>0</v>
      </c>
    </row>
    <row r="2863" spans="1:8" x14ac:dyDescent="0.15">
      <c r="A2863">
        <v>2862</v>
      </c>
      <c r="B2863" t="s">
        <v>339</v>
      </c>
      <c r="C2863" t="s">
        <v>353</v>
      </c>
      <c r="D2863" t="s">
        <v>5996</v>
      </c>
      <c r="E2863" t="s">
        <v>5997</v>
      </c>
      <c r="F2863" s="46">
        <v>46097.325895034723</v>
      </c>
      <c r="G2863" s="46">
        <v>46097.325895208327</v>
      </c>
      <c r="H2863">
        <v>16</v>
      </c>
    </row>
    <row r="2864" spans="1:8" x14ac:dyDescent="0.15">
      <c r="A2864">
        <v>2863</v>
      </c>
      <c r="B2864" t="s">
        <v>339</v>
      </c>
      <c r="C2864" t="s">
        <v>353</v>
      </c>
      <c r="D2864" t="s">
        <v>5998</v>
      </c>
      <c r="E2864" t="s">
        <v>5999</v>
      </c>
      <c r="F2864" s="46">
        <v>46097.325895208327</v>
      </c>
      <c r="G2864" s="46">
        <v>46097.325895208327</v>
      </c>
      <c r="H2864">
        <v>0</v>
      </c>
    </row>
    <row r="2865" spans="1:8" x14ac:dyDescent="0.15">
      <c r="A2865">
        <v>2864</v>
      </c>
      <c r="B2865" t="s">
        <v>339</v>
      </c>
      <c r="C2865" t="s">
        <v>353</v>
      </c>
      <c r="D2865" t="s">
        <v>6000</v>
      </c>
      <c r="E2865" t="s">
        <v>5999</v>
      </c>
      <c r="F2865" s="46">
        <v>46097.325895208327</v>
      </c>
      <c r="G2865" s="46">
        <v>46097.325895208327</v>
      </c>
      <c r="H2865">
        <v>0</v>
      </c>
    </row>
    <row r="2866" spans="1:8" x14ac:dyDescent="0.15">
      <c r="A2866">
        <v>2865</v>
      </c>
      <c r="B2866" t="s">
        <v>339</v>
      </c>
      <c r="C2866" t="s">
        <v>353</v>
      </c>
      <c r="D2866" t="s">
        <v>6001</v>
      </c>
      <c r="E2866" t="s">
        <v>6002</v>
      </c>
      <c r="F2866" s="46">
        <v>46097.325895208327</v>
      </c>
      <c r="G2866" s="46">
        <v>46097.325895208327</v>
      </c>
      <c r="H2866">
        <v>0</v>
      </c>
    </row>
    <row r="2867" spans="1:8" x14ac:dyDescent="0.15">
      <c r="A2867">
        <v>2866</v>
      </c>
      <c r="B2867" t="s">
        <v>339</v>
      </c>
      <c r="C2867" t="s">
        <v>353</v>
      </c>
      <c r="D2867" t="s">
        <v>6003</v>
      </c>
      <c r="E2867" t="s">
        <v>6004</v>
      </c>
      <c r="F2867" s="46">
        <v>46097.325895208327</v>
      </c>
      <c r="G2867" s="46">
        <v>46097.325895208327</v>
      </c>
      <c r="H2867">
        <v>0</v>
      </c>
    </row>
    <row r="2868" spans="1:8" x14ac:dyDescent="0.15">
      <c r="A2868">
        <v>2867</v>
      </c>
      <c r="B2868" t="s">
        <v>339</v>
      </c>
      <c r="C2868" t="s">
        <v>353</v>
      </c>
      <c r="D2868" t="s">
        <v>6005</v>
      </c>
      <c r="E2868" t="s">
        <v>6004</v>
      </c>
      <c r="F2868" s="46">
        <v>46097.325895208327</v>
      </c>
      <c r="G2868" s="46">
        <v>46097.325895208327</v>
      </c>
      <c r="H2868">
        <v>0</v>
      </c>
    </row>
    <row r="2869" spans="1:8" x14ac:dyDescent="0.15">
      <c r="A2869">
        <v>2868</v>
      </c>
      <c r="B2869" t="s">
        <v>339</v>
      </c>
      <c r="C2869" t="s">
        <v>353</v>
      </c>
      <c r="D2869" t="s">
        <v>6006</v>
      </c>
      <c r="E2869" t="s">
        <v>6007</v>
      </c>
      <c r="F2869" s="46">
        <v>46097.325895208327</v>
      </c>
      <c r="G2869" s="46">
        <v>46097.325895208327</v>
      </c>
      <c r="H2869">
        <v>0</v>
      </c>
    </row>
    <row r="2870" spans="1:8" x14ac:dyDescent="0.15">
      <c r="A2870">
        <v>2869</v>
      </c>
      <c r="B2870" t="s">
        <v>339</v>
      </c>
      <c r="C2870" t="s">
        <v>353</v>
      </c>
      <c r="D2870" t="s">
        <v>6008</v>
      </c>
      <c r="E2870" t="s">
        <v>6009</v>
      </c>
      <c r="F2870" s="46">
        <v>46097.325895208327</v>
      </c>
      <c r="G2870" s="46">
        <v>46097.325895208327</v>
      </c>
      <c r="H2870">
        <v>0</v>
      </c>
    </row>
    <row r="2871" spans="1:8" x14ac:dyDescent="0.15">
      <c r="A2871">
        <v>2870</v>
      </c>
      <c r="B2871" t="s">
        <v>339</v>
      </c>
      <c r="C2871" t="s">
        <v>353</v>
      </c>
      <c r="D2871" t="s">
        <v>6010</v>
      </c>
      <c r="E2871" t="s">
        <v>6011</v>
      </c>
      <c r="F2871" s="46">
        <v>46097.325895208327</v>
      </c>
      <c r="G2871" s="46">
        <v>46097.325895208327</v>
      </c>
      <c r="H2871">
        <v>0</v>
      </c>
    </row>
    <row r="2872" spans="1:8" x14ac:dyDescent="0.15">
      <c r="A2872">
        <v>2871</v>
      </c>
      <c r="B2872" t="s">
        <v>339</v>
      </c>
      <c r="C2872" t="s">
        <v>353</v>
      </c>
      <c r="D2872" t="s">
        <v>6012</v>
      </c>
      <c r="E2872" t="s">
        <v>6013</v>
      </c>
      <c r="F2872" s="46">
        <v>46097.325895208327</v>
      </c>
      <c r="G2872" s="46">
        <v>46097.325895208327</v>
      </c>
      <c r="H2872">
        <v>0</v>
      </c>
    </row>
    <row r="2873" spans="1:8" x14ac:dyDescent="0.15">
      <c r="A2873">
        <v>2872</v>
      </c>
      <c r="B2873" t="s">
        <v>339</v>
      </c>
      <c r="C2873" t="s">
        <v>353</v>
      </c>
      <c r="D2873" t="s">
        <v>6014</v>
      </c>
      <c r="E2873" t="s">
        <v>6015</v>
      </c>
      <c r="F2873" s="46">
        <v>46097.325895208327</v>
      </c>
      <c r="G2873" s="46">
        <v>46097.325895208327</v>
      </c>
      <c r="H2873">
        <v>0</v>
      </c>
    </row>
    <row r="2874" spans="1:8" x14ac:dyDescent="0.15">
      <c r="A2874">
        <v>2873</v>
      </c>
      <c r="B2874" t="s">
        <v>339</v>
      </c>
      <c r="C2874" t="s">
        <v>353</v>
      </c>
      <c r="D2874" t="s">
        <v>6016</v>
      </c>
      <c r="E2874" t="s">
        <v>6017</v>
      </c>
      <c r="F2874" s="46">
        <v>46097.325895208327</v>
      </c>
      <c r="G2874" s="46">
        <v>46097.325895393522</v>
      </c>
      <c r="H2874">
        <v>15</v>
      </c>
    </row>
    <row r="2875" spans="1:8" x14ac:dyDescent="0.15">
      <c r="A2875">
        <v>2874</v>
      </c>
      <c r="B2875" t="s">
        <v>339</v>
      </c>
      <c r="C2875" t="s">
        <v>353</v>
      </c>
      <c r="D2875" t="s">
        <v>6018</v>
      </c>
      <c r="E2875" t="s">
        <v>6017</v>
      </c>
      <c r="F2875" s="46">
        <v>46097.325895393522</v>
      </c>
      <c r="G2875" s="46">
        <v>46097.325895393522</v>
      </c>
      <c r="H2875">
        <v>0</v>
      </c>
    </row>
    <row r="2876" spans="1:8" x14ac:dyDescent="0.15">
      <c r="A2876">
        <v>2875</v>
      </c>
      <c r="B2876" t="s">
        <v>339</v>
      </c>
      <c r="C2876" t="s">
        <v>353</v>
      </c>
      <c r="D2876" t="s">
        <v>6019</v>
      </c>
      <c r="E2876" t="s">
        <v>6017</v>
      </c>
      <c r="F2876" s="46">
        <v>46097.325895393522</v>
      </c>
      <c r="G2876" s="46">
        <v>46097.325895393522</v>
      </c>
      <c r="H2876">
        <v>0</v>
      </c>
    </row>
    <row r="2877" spans="1:8" x14ac:dyDescent="0.15">
      <c r="A2877">
        <v>2876</v>
      </c>
      <c r="B2877" t="s">
        <v>339</v>
      </c>
      <c r="C2877" t="s">
        <v>353</v>
      </c>
      <c r="D2877" t="s">
        <v>6020</v>
      </c>
      <c r="E2877" t="s">
        <v>6021</v>
      </c>
      <c r="F2877" s="46">
        <v>46097.325895393522</v>
      </c>
      <c r="G2877" s="46">
        <v>46097.325895393522</v>
      </c>
      <c r="H2877">
        <v>0</v>
      </c>
    </row>
    <row r="2878" spans="1:8" x14ac:dyDescent="0.15">
      <c r="A2878">
        <v>2877</v>
      </c>
      <c r="B2878" t="s">
        <v>339</v>
      </c>
      <c r="C2878" t="s">
        <v>353</v>
      </c>
      <c r="D2878" t="s">
        <v>6022</v>
      </c>
      <c r="E2878" t="s">
        <v>6023</v>
      </c>
      <c r="F2878" s="46">
        <v>46097.325895393522</v>
      </c>
      <c r="G2878" s="46">
        <v>46097.325895393522</v>
      </c>
      <c r="H2878">
        <v>0</v>
      </c>
    </row>
    <row r="2879" spans="1:8" x14ac:dyDescent="0.15">
      <c r="A2879">
        <v>2878</v>
      </c>
      <c r="B2879" t="s">
        <v>339</v>
      </c>
      <c r="C2879" t="s">
        <v>353</v>
      </c>
      <c r="D2879" t="s">
        <v>6024</v>
      </c>
      <c r="E2879" t="s">
        <v>6025</v>
      </c>
      <c r="F2879" s="46">
        <v>46097.325895393522</v>
      </c>
      <c r="G2879" s="46">
        <v>46097.325895393522</v>
      </c>
      <c r="H2879">
        <v>0</v>
      </c>
    </row>
    <row r="2880" spans="1:8" x14ac:dyDescent="0.15">
      <c r="A2880">
        <v>2879</v>
      </c>
      <c r="B2880" t="s">
        <v>339</v>
      </c>
      <c r="C2880" t="s">
        <v>353</v>
      </c>
      <c r="D2880" t="s">
        <v>6026</v>
      </c>
      <c r="E2880" t="s">
        <v>6027</v>
      </c>
      <c r="F2880" s="46">
        <v>46097.325895393522</v>
      </c>
      <c r="G2880" s="46">
        <v>46097.325895393522</v>
      </c>
      <c r="H2880">
        <v>0</v>
      </c>
    </row>
    <row r="2881" spans="1:8" x14ac:dyDescent="0.15">
      <c r="A2881">
        <v>2880</v>
      </c>
      <c r="B2881" t="s">
        <v>339</v>
      </c>
      <c r="C2881" t="s">
        <v>353</v>
      </c>
      <c r="D2881" t="s">
        <v>6028</v>
      </c>
      <c r="E2881" t="s">
        <v>6029</v>
      </c>
      <c r="F2881" s="46">
        <v>46097.325895393522</v>
      </c>
      <c r="G2881" s="46">
        <v>46097.325895393522</v>
      </c>
      <c r="H2881">
        <v>0</v>
      </c>
    </row>
    <row r="2882" spans="1:8" x14ac:dyDescent="0.15">
      <c r="A2882">
        <v>2881</v>
      </c>
      <c r="B2882" t="s">
        <v>339</v>
      </c>
      <c r="C2882" t="s">
        <v>353</v>
      </c>
      <c r="D2882" t="s">
        <v>6030</v>
      </c>
      <c r="E2882" t="s">
        <v>6031</v>
      </c>
      <c r="F2882" s="46">
        <v>46097.325895393522</v>
      </c>
      <c r="G2882" s="46">
        <v>46097.325895393522</v>
      </c>
      <c r="H2882">
        <v>0</v>
      </c>
    </row>
    <row r="2883" spans="1:8" x14ac:dyDescent="0.15">
      <c r="A2883">
        <v>2882</v>
      </c>
      <c r="B2883" t="s">
        <v>339</v>
      </c>
      <c r="C2883" t="s">
        <v>353</v>
      </c>
      <c r="D2883" t="s">
        <v>6032</v>
      </c>
      <c r="E2883" t="s">
        <v>6033</v>
      </c>
      <c r="F2883" s="46">
        <v>46097.325895393522</v>
      </c>
      <c r="G2883" s="46">
        <v>46097.325895393522</v>
      </c>
      <c r="H2883">
        <v>0</v>
      </c>
    </row>
    <row r="2884" spans="1:8" x14ac:dyDescent="0.15">
      <c r="A2884">
        <v>2883</v>
      </c>
      <c r="B2884" t="s">
        <v>339</v>
      </c>
      <c r="C2884" t="s">
        <v>353</v>
      </c>
      <c r="D2884" t="s">
        <v>6034</v>
      </c>
      <c r="E2884" t="s">
        <v>6035</v>
      </c>
      <c r="F2884" s="46">
        <v>46097.325895393522</v>
      </c>
      <c r="G2884" s="46">
        <v>46097.325895578702</v>
      </c>
      <c r="H2884">
        <v>16</v>
      </c>
    </row>
    <row r="2885" spans="1:8" x14ac:dyDescent="0.15">
      <c r="A2885">
        <v>2884</v>
      </c>
      <c r="B2885" t="s">
        <v>339</v>
      </c>
      <c r="C2885" t="s">
        <v>353</v>
      </c>
      <c r="D2885" t="s">
        <v>6036</v>
      </c>
      <c r="E2885" t="s">
        <v>6035</v>
      </c>
      <c r="F2885" s="46">
        <v>46097.325895578702</v>
      </c>
      <c r="G2885" s="46">
        <v>46097.325895578702</v>
      </c>
      <c r="H2885">
        <v>0</v>
      </c>
    </row>
    <row r="2886" spans="1:8" x14ac:dyDescent="0.15">
      <c r="A2886">
        <v>2885</v>
      </c>
      <c r="B2886" t="s">
        <v>339</v>
      </c>
      <c r="C2886" t="s">
        <v>353</v>
      </c>
      <c r="D2886" t="s">
        <v>6037</v>
      </c>
      <c r="E2886" t="s">
        <v>6038</v>
      </c>
      <c r="F2886" s="46">
        <v>46097.325895578702</v>
      </c>
      <c r="G2886" s="46">
        <v>46097.325895578702</v>
      </c>
      <c r="H2886">
        <v>0</v>
      </c>
    </row>
    <row r="2887" spans="1:8" x14ac:dyDescent="0.15">
      <c r="A2887">
        <v>2886</v>
      </c>
      <c r="B2887" t="s">
        <v>339</v>
      </c>
      <c r="C2887" t="s">
        <v>353</v>
      </c>
      <c r="D2887" t="s">
        <v>6039</v>
      </c>
      <c r="E2887" t="s">
        <v>6038</v>
      </c>
      <c r="F2887" s="46">
        <v>46097.325895578702</v>
      </c>
      <c r="G2887" s="46">
        <v>46097.325895578702</v>
      </c>
      <c r="H2887">
        <v>0</v>
      </c>
    </row>
    <row r="2888" spans="1:8" x14ac:dyDescent="0.15">
      <c r="A2888">
        <v>2887</v>
      </c>
      <c r="B2888" t="s">
        <v>339</v>
      </c>
      <c r="C2888" t="s">
        <v>353</v>
      </c>
      <c r="D2888" t="s">
        <v>6040</v>
      </c>
      <c r="E2888" t="s">
        <v>6038</v>
      </c>
      <c r="F2888" s="46">
        <v>46097.325895578702</v>
      </c>
      <c r="G2888" s="46">
        <v>46097.325895578702</v>
      </c>
      <c r="H2888">
        <v>0</v>
      </c>
    </row>
    <row r="2889" spans="1:8" x14ac:dyDescent="0.15">
      <c r="A2889">
        <v>2888</v>
      </c>
      <c r="B2889" t="s">
        <v>339</v>
      </c>
      <c r="C2889" t="s">
        <v>353</v>
      </c>
      <c r="D2889" t="s">
        <v>6041</v>
      </c>
      <c r="E2889" t="s">
        <v>6038</v>
      </c>
      <c r="F2889" s="46">
        <v>46097.325895578702</v>
      </c>
      <c r="G2889" s="46">
        <v>46097.325895578702</v>
      </c>
      <c r="H2889">
        <v>0</v>
      </c>
    </row>
    <row r="2890" spans="1:8" x14ac:dyDescent="0.15">
      <c r="A2890">
        <v>2889</v>
      </c>
      <c r="B2890" t="s">
        <v>339</v>
      </c>
      <c r="C2890" t="s">
        <v>353</v>
      </c>
      <c r="D2890" t="s">
        <v>6042</v>
      </c>
      <c r="E2890" t="s">
        <v>6038</v>
      </c>
      <c r="F2890" s="46">
        <v>46097.325895578702</v>
      </c>
      <c r="G2890" s="46">
        <v>46097.325895578702</v>
      </c>
      <c r="H2890">
        <v>0</v>
      </c>
    </row>
    <row r="2891" spans="1:8" x14ac:dyDescent="0.15">
      <c r="A2891">
        <v>2890</v>
      </c>
      <c r="B2891" t="s">
        <v>339</v>
      </c>
      <c r="C2891" t="s">
        <v>353</v>
      </c>
      <c r="D2891" t="s">
        <v>6043</v>
      </c>
      <c r="E2891" t="s">
        <v>6038</v>
      </c>
      <c r="F2891" s="46">
        <v>46097.325895578702</v>
      </c>
      <c r="G2891" s="46">
        <v>46097.325895578702</v>
      </c>
      <c r="H2891">
        <v>0</v>
      </c>
    </row>
    <row r="2892" spans="1:8" x14ac:dyDescent="0.15">
      <c r="A2892">
        <v>2891</v>
      </c>
      <c r="B2892" t="s">
        <v>339</v>
      </c>
      <c r="C2892" t="s">
        <v>353</v>
      </c>
      <c r="D2892" t="s">
        <v>6044</v>
      </c>
      <c r="E2892" t="s">
        <v>6045</v>
      </c>
      <c r="F2892" s="46">
        <v>46097.325895578702</v>
      </c>
      <c r="G2892" s="46">
        <v>46097.325895578702</v>
      </c>
      <c r="H2892">
        <v>0</v>
      </c>
    </row>
    <row r="2893" spans="1:8" x14ac:dyDescent="0.15">
      <c r="A2893">
        <v>2892</v>
      </c>
      <c r="B2893" t="s">
        <v>339</v>
      </c>
      <c r="C2893" t="s">
        <v>353</v>
      </c>
      <c r="D2893" t="s">
        <v>6046</v>
      </c>
      <c r="E2893" t="s">
        <v>6045</v>
      </c>
      <c r="F2893" s="46">
        <v>46097.325895578702</v>
      </c>
      <c r="G2893" s="46">
        <v>46097.325895578702</v>
      </c>
      <c r="H2893">
        <v>0</v>
      </c>
    </row>
    <row r="2894" spans="1:8" x14ac:dyDescent="0.15">
      <c r="A2894">
        <v>2893</v>
      </c>
      <c r="B2894" t="s">
        <v>339</v>
      </c>
      <c r="C2894" t="s">
        <v>353</v>
      </c>
      <c r="D2894" t="s">
        <v>6047</v>
      </c>
      <c r="E2894" t="s">
        <v>6048</v>
      </c>
      <c r="F2894" s="46">
        <v>46097.325895578702</v>
      </c>
      <c r="G2894" s="46">
        <v>46097.325895578702</v>
      </c>
      <c r="H2894">
        <v>0</v>
      </c>
    </row>
    <row r="2895" spans="1:8" x14ac:dyDescent="0.15">
      <c r="A2895">
        <v>2894</v>
      </c>
      <c r="B2895" t="s">
        <v>339</v>
      </c>
      <c r="C2895" t="s">
        <v>353</v>
      </c>
      <c r="D2895" t="s">
        <v>6049</v>
      </c>
      <c r="E2895" t="s">
        <v>6048</v>
      </c>
      <c r="F2895" s="46">
        <v>46097.325895578702</v>
      </c>
      <c r="G2895" s="46">
        <v>46097.325895752307</v>
      </c>
      <c r="H2895">
        <v>16</v>
      </c>
    </row>
    <row r="2896" spans="1:8" x14ac:dyDescent="0.15">
      <c r="A2896">
        <v>2895</v>
      </c>
      <c r="B2896" t="s">
        <v>339</v>
      </c>
      <c r="C2896" t="s">
        <v>353</v>
      </c>
      <c r="D2896" t="s">
        <v>6050</v>
      </c>
      <c r="E2896" t="s">
        <v>6048</v>
      </c>
      <c r="F2896" s="46">
        <v>46097.325895752307</v>
      </c>
      <c r="G2896" s="46">
        <v>46097.325895752307</v>
      </c>
      <c r="H2896">
        <v>0</v>
      </c>
    </row>
    <row r="2897" spans="1:8" x14ac:dyDescent="0.15">
      <c r="A2897">
        <v>2896</v>
      </c>
      <c r="B2897" t="s">
        <v>339</v>
      </c>
      <c r="C2897" t="s">
        <v>353</v>
      </c>
      <c r="D2897" t="s">
        <v>6051</v>
      </c>
      <c r="E2897" t="s">
        <v>6048</v>
      </c>
      <c r="F2897" s="46">
        <v>46097.325895752307</v>
      </c>
      <c r="G2897" s="46">
        <v>46097.325895752307</v>
      </c>
      <c r="H2897">
        <v>0</v>
      </c>
    </row>
    <row r="2898" spans="1:8" x14ac:dyDescent="0.15">
      <c r="A2898">
        <v>2897</v>
      </c>
      <c r="B2898" t="s">
        <v>339</v>
      </c>
      <c r="C2898" t="s">
        <v>353</v>
      </c>
      <c r="D2898" t="s">
        <v>6052</v>
      </c>
      <c r="E2898" t="s">
        <v>6048</v>
      </c>
      <c r="F2898" s="46">
        <v>46097.325895752307</v>
      </c>
      <c r="G2898" s="46">
        <v>46097.325895752307</v>
      </c>
      <c r="H2898">
        <v>0</v>
      </c>
    </row>
    <row r="2899" spans="1:8" x14ac:dyDescent="0.15">
      <c r="A2899">
        <v>2898</v>
      </c>
      <c r="B2899" t="s">
        <v>339</v>
      </c>
      <c r="C2899" t="s">
        <v>353</v>
      </c>
      <c r="D2899" t="s">
        <v>6053</v>
      </c>
      <c r="E2899" t="s">
        <v>6048</v>
      </c>
      <c r="F2899" s="46">
        <v>46097.325895752307</v>
      </c>
      <c r="G2899" s="46">
        <v>46097.325895752307</v>
      </c>
      <c r="H2899">
        <v>0</v>
      </c>
    </row>
    <row r="2900" spans="1:8" x14ac:dyDescent="0.15">
      <c r="A2900">
        <v>2899</v>
      </c>
      <c r="B2900" t="s">
        <v>339</v>
      </c>
      <c r="C2900" t="s">
        <v>353</v>
      </c>
      <c r="D2900" t="s">
        <v>6054</v>
      </c>
      <c r="E2900" t="s">
        <v>6048</v>
      </c>
      <c r="F2900" s="46">
        <v>46097.325895752307</v>
      </c>
      <c r="G2900" s="46">
        <v>46097.325895752307</v>
      </c>
      <c r="H2900">
        <v>0</v>
      </c>
    </row>
    <row r="2901" spans="1:8" x14ac:dyDescent="0.15">
      <c r="A2901">
        <v>2900</v>
      </c>
      <c r="B2901" t="s">
        <v>339</v>
      </c>
      <c r="C2901" t="s">
        <v>353</v>
      </c>
      <c r="D2901" t="s">
        <v>6055</v>
      </c>
      <c r="E2901" t="s">
        <v>6048</v>
      </c>
      <c r="F2901" s="46">
        <v>46097.325895752307</v>
      </c>
      <c r="G2901" s="46">
        <v>46097.325895752307</v>
      </c>
      <c r="H2901">
        <v>0</v>
      </c>
    </row>
    <row r="2902" spans="1:8" x14ac:dyDescent="0.15">
      <c r="A2902">
        <v>2901</v>
      </c>
      <c r="B2902" t="s">
        <v>339</v>
      </c>
      <c r="C2902" t="s">
        <v>353</v>
      </c>
      <c r="D2902" t="s">
        <v>6056</v>
      </c>
      <c r="E2902" t="s">
        <v>6057</v>
      </c>
      <c r="F2902" s="46">
        <v>46097.325895752307</v>
      </c>
      <c r="G2902" s="46">
        <v>46097.325895752307</v>
      </c>
      <c r="H2902">
        <v>0</v>
      </c>
    </row>
    <row r="2903" spans="1:8" x14ac:dyDescent="0.15">
      <c r="A2903">
        <v>2902</v>
      </c>
      <c r="B2903" t="s">
        <v>339</v>
      </c>
      <c r="C2903" t="s">
        <v>353</v>
      </c>
      <c r="D2903" t="s">
        <v>6058</v>
      </c>
      <c r="E2903" t="s">
        <v>6057</v>
      </c>
      <c r="F2903" s="46">
        <v>46097.325895752307</v>
      </c>
      <c r="G2903" s="46">
        <v>46097.325895752307</v>
      </c>
      <c r="H2903">
        <v>0</v>
      </c>
    </row>
    <row r="2904" spans="1:8" x14ac:dyDescent="0.15">
      <c r="A2904">
        <v>2903</v>
      </c>
      <c r="B2904" t="s">
        <v>339</v>
      </c>
      <c r="C2904" t="s">
        <v>353</v>
      </c>
      <c r="D2904" t="s">
        <v>6059</v>
      </c>
      <c r="E2904" t="s">
        <v>6057</v>
      </c>
      <c r="F2904" s="46">
        <v>46097.325895752307</v>
      </c>
      <c r="G2904" s="46">
        <v>46097.325895752307</v>
      </c>
      <c r="H2904">
        <v>0</v>
      </c>
    </row>
    <row r="2905" spans="1:8" x14ac:dyDescent="0.15">
      <c r="A2905">
        <v>2904</v>
      </c>
      <c r="B2905" t="s">
        <v>339</v>
      </c>
      <c r="C2905" t="s">
        <v>353</v>
      </c>
      <c r="D2905" t="s">
        <v>6060</v>
      </c>
      <c r="E2905" t="s">
        <v>6057</v>
      </c>
      <c r="F2905" s="46">
        <v>46097.325895752307</v>
      </c>
      <c r="G2905" s="46">
        <v>46097.325895937502</v>
      </c>
      <c r="H2905">
        <v>15</v>
      </c>
    </row>
    <row r="2906" spans="1:8" x14ac:dyDescent="0.15">
      <c r="A2906">
        <v>2905</v>
      </c>
      <c r="B2906" t="s">
        <v>339</v>
      </c>
      <c r="C2906" t="s">
        <v>353</v>
      </c>
      <c r="D2906" t="s">
        <v>6061</v>
      </c>
      <c r="E2906" t="s">
        <v>6062</v>
      </c>
      <c r="F2906" s="46">
        <v>46097.325895937502</v>
      </c>
      <c r="G2906" s="46">
        <v>46097.325895937502</v>
      </c>
      <c r="H2906">
        <v>0</v>
      </c>
    </row>
    <row r="2907" spans="1:8" x14ac:dyDescent="0.15">
      <c r="A2907">
        <v>2906</v>
      </c>
      <c r="B2907" t="s">
        <v>339</v>
      </c>
      <c r="C2907" t="s">
        <v>353</v>
      </c>
      <c r="D2907" t="s">
        <v>6063</v>
      </c>
      <c r="E2907" t="s">
        <v>6064</v>
      </c>
      <c r="F2907" s="46">
        <v>46097.325895937502</v>
      </c>
      <c r="G2907" s="46">
        <v>46097.325895937502</v>
      </c>
      <c r="H2907">
        <v>0</v>
      </c>
    </row>
    <row r="2908" spans="1:8" x14ac:dyDescent="0.15">
      <c r="A2908">
        <v>2907</v>
      </c>
      <c r="B2908" t="s">
        <v>339</v>
      </c>
      <c r="C2908" t="s">
        <v>353</v>
      </c>
      <c r="D2908" t="s">
        <v>6065</v>
      </c>
      <c r="E2908" t="s">
        <v>6064</v>
      </c>
      <c r="F2908" s="46">
        <v>46097.325895937502</v>
      </c>
      <c r="G2908" s="46">
        <v>46097.325895937502</v>
      </c>
      <c r="H2908">
        <v>0</v>
      </c>
    </row>
    <row r="2909" spans="1:8" x14ac:dyDescent="0.15">
      <c r="A2909">
        <v>2908</v>
      </c>
      <c r="B2909" t="s">
        <v>339</v>
      </c>
      <c r="C2909" t="s">
        <v>353</v>
      </c>
      <c r="D2909" t="s">
        <v>6066</v>
      </c>
      <c r="E2909" t="s">
        <v>6067</v>
      </c>
      <c r="F2909" s="46">
        <v>46097.325895937502</v>
      </c>
      <c r="G2909" s="46">
        <v>46097.325895937502</v>
      </c>
      <c r="H2909">
        <v>0</v>
      </c>
    </row>
    <row r="2910" spans="1:8" x14ac:dyDescent="0.15">
      <c r="A2910">
        <v>2909</v>
      </c>
      <c r="B2910" t="s">
        <v>339</v>
      </c>
      <c r="C2910" t="s">
        <v>353</v>
      </c>
      <c r="D2910" t="s">
        <v>6068</v>
      </c>
      <c r="E2910" t="s">
        <v>6067</v>
      </c>
      <c r="F2910" s="46">
        <v>46097.325895937502</v>
      </c>
      <c r="G2910" s="46">
        <v>46097.325895937502</v>
      </c>
      <c r="H2910">
        <v>0</v>
      </c>
    </row>
    <row r="2911" spans="1:8" x14ac:dyDescent="0.15">
      <c r="A2911">
        <v>2910</v>
      </c>
      <c r="B2911" t="s">
        <v>339</v>
      </c>
      <c r="C2911" t="s">
        <v>353</v>
      </c>
      <c r="D2911" t="s">
        <v>6069</v>
      </c>
      <c r="E2911" t="s">
        <v>6070</v>
      </c>
      <c r="F2911" s="46">
        <v>46097.325895937502</v>
      </c>
      <c r="G2911" s="46">
        <v>46097.325895937502</v>
      </c>
      <c r="H2911">
        <v>0</v>
      </c>
    </row>
    <row r="2912" spans="1:8" x14ac:dyDescent="0.15">
      <c r="A2912">
        <v>2911</v>
      </c>
      <c r="B2912" t="s">
        <v>339</v>
      </c>
      <c r="C2912" t="s">
        <v>353</v>
      </c>
      <c r="D2912" t="s">
        <v>6071</v>
      </c>
      <c r="E2912" t="s">
        <v>6070</v>
      </c>
      <c r="F2912" s="46">
        <v>46097.325895937502</v>
      </c>
      <c r="G2912" s="46">
        <v>46097.325895937502</v>
      </c>
      <c r="H2912">
        <v>0</v>
      </c>
    </row>
    <row r="2913" spans="1:8" x14ac:dyDescent="0.15">
      <c r="A2913">
        <v>2912</v>
      </c>
      <c r="B2913" t="s">
        <v>339</v>
      </c>
      <c r="C2913" t="s">
        <v>353</v>
      </c>
      <c r="D2913" t="s">
        <v>6072</v>
      </c>
      <c r="E2913" t="s">
        <v>6070</v>
      </c>
      <c r="F2913" s="46">
        <v>46097.325895937502</v>
      </c>
      <c r="G2913" s="46">
        <v>46097.325895937502</v>
      </c>
      <c r="H2913">
        <v>0</v>
      </c>
    </row>
    <row r="2914" spans="1:8" x14ac:dyDescent="0.15">
      <c r="A2914">
        <v>2913</v>
      </c>
      <c r="B2914" t="s">
        <v>339</v>
      </c>
      <c r="C2914" t="s">
        <v>353</v>
      </c>
      <c r="D2914" t="s">
        <v>6073</v>
      </c>
      <c r="E2914" t="s">
        <v>6074</v>
      </c>
      <c r="F2914" s="46">
        <v>46097.325895937502</v>
      </c>
      <c r="G2914" s="46">
        <v>46097.325895937502</v>
      </c>
      <c r="H2914">
        <v>0</v>
      </c>
    </row>
    <row r="2915" spans="1:8" x14ac:dyDescent="0.15">
      <c r="A2915">
        <v>2914</v>
      </c>
      <c r="B2915" t="s">
        <v>339</v>
      </c>
      <c r="C2915" t="s">
        <v>353</v>
      </c>
      <c r="D2915" t="s">
        <v>6075</v>
      </c>
      <c r="E2915" t="s">
        <v>6076</v>
      </c>
      <c r="F2915" s="46">
        <v>46097.325895937502</v>
      </c>
      <c r="G2915" s="46">
        <v>46097.325895937502</v>
      </c>
      <c r="H2915">
        <v>0</v>
      </c>
    </row>
    <row r="2916" spans="1:8" x14ac:dyDescent="0.15">
      <c r="A2916">
        <v>2915</v>
      </c>
      <c r="B2916" t="s">
        <v>339</v>
      </c>
      <c r="C2916" t="s">
        <v>353</v>
      </c>
      <c r="D2916" t="s">
        <v>6077</v>
      </c>
      <c r="E2916" t="s">
        <v>6078</v>
      </c>
      <c r="F2916" s="46">
        <v>46097.325895937502</v>
      </c>
      <c r="G2916" s="46">
        <v>46097.325896111113</v>
      </c>
      <c r="H2916">
        <v>16</v>
      </c>
    </row>
    <row r="2917" spans="1:8" x14ac:dyDescent="0.15">
      <c r="A2917">
        <v>2916</v>
      </c>
      <c r="B2917" t="s">
        <v>339</v>
      </c>
      <c r="C2917" t="s">
        <v>353</v>
      </c>
      <c r="D2917" t="s">
        <v>6079</v>
      </c>
      <c r="E2917" t="s">
        <v>6080</v>
      </c>
      <c r="F2917" s="46">
        <v>46097.325896111113</v>
      </c>
      <c r="G2917" s="46">
        <v>46097.325896111113</v>
      </c>
      <c r="H2917">
        <v>0</v>
      </c>
    </row>
    <row r="2918" spans="1:8" x14ac:dyDescent="0.15">
      <c r="A2918">
        <v>2917</v>
      </c>
      <c r="B2918" t="s">
        <v>339</v>
      </c>
      <c r="C2918" t="s">
        <v>353</v>
      </c>
      <c r="D2918" t="s">
        <v>6081</v>
      </c>
      <c r="E2918" t="s">
        <v>6080</v>
      </c>
      <c r="F2918" s="46">
        <v>46097.325896111113</v>
      </c>
      <c r="G2918" s="46">
        <v>46097.325896111113</v>
      </c>
      <c r="H2918">
        <v>0</v>
      </c>
    </row>
    <row r="2919" spans="1:8" x14ac:dyDescent="0.15">
      <c r="A2919">
        <v>2918</v>
      </c>
      <c r="B2919" t="s">
        <v>339</v>
      </c>
      <c r="C2919" t="s">
        <v>353</v>
      </c>
      <c r="D2919" t="s">
        <v>6082</v>
      </c>
      <c r="E2919" t="s">
        <v>6083</v>
      </c>
      <c r="F2919" s="46">
        <v>46097.325896111113</v>
      </c>
      <c r="G2919" s="46">
        <v>46097.325896111113</v>
      </c>
      <c r="H2919">
        <v>0</v>
      </c>
    </row>
    <row r="2920" spans="1:8" x14ac:dyDescent="0.15">
      <c r="A2920">
        <v>2919</v>
      </c>
      <c r="B2920" t="s">
        <v>339</v>
      </c>
      <c r="C2920" t="s">
        <v>353</v>
      </c>
      <c r="D2920" t="s">
        <v>6084</v>
      </c>
      <c r="E2920" t="s">
        <v>6083</v>
      </c>
      <c r="F2920" s="46">
        <v>46097.325896111113</v>
      </c>
      <c r="G2920" s="46">
        <v>46097.325896111113</v>
      </c>
      <c r="H2920">
        <v>0</v>
      </c>
    </row>
    <row r="2921" spans="1:8" x14ac:dyDescent="0.15">
      <c r="A2921">
        <v>2920</v>
      </c>
      <c r="B2921" t="s">
        <v>339</v>
      </c>
      <c r="C2921" t="s">
        <v>353</v>
      </c>
      <c r="D2921" t="s">
        <v>6085</v>
      </c>
      <c r="E2921" t="s">
        <v>6083</v>
      </c>
      <c r="F2921" s="46">
        <v>46097.325896111113</v>
      </c>
      <c r="G2921" s="46">
        <v>46097.325896111113</v>
      </c>
      <c r="H2921">
        <v>0</v>
      </c>
    </row>
    <row r="2922" spans="1:8" x14ac:dyDescent="0.15">
      <c r="A2922">
        <v>2921</v>
      </c>
      <c r="B2922" t="s">
        <v>339</v>
      </c>
      <c r="C2922" t="s">
        <v>353</v>
      </c>
      <c r="D2922" t="s">
        <v>6086</v>
      </c>
      <c r="E2922" t="s">
        <v>6087</v>
      </c>
      <c r="F2922" s="46">
        <v>46097.325896111113</v>
      </c>
      <c r="G2922" s="46">
        <v>46097.325896111113</v>
      </c>
      <c r="H2922">
        <v>0</v>
      </c>
    </row>
    <row r="2923" spans="1:8" x14ac:dyDescent="0.15">
      <c r="A2923">
        <v>2922</v>
      </c>
      <c r="B2923" t="s">
        <v>339</v>
      </c>
      <c r="C2923" t="s">
        <v>353</v>
      </c>
      <c r="D2923" t="s">
        <v>6088</v>
      </c>
      <c r="E2923" t="s">
        <v>6087</v>
      </c>
      <c r="F2923" s="46">
        <v>46097.325896111113</v>
      </c>
      <c r="G2923" s="46">
        <v>46097.325896111113</v>
      </c>
      <c r="H2923">
        <v>0</v>
      </c>
    </row>
    <row r="2924" spans="1:8" x14ac:dyDescent="0.15">
      <c r="A2924">
        <v>2923</v>
      </c>
      <c r="B2924" t="s">
        <v>339</v>
      </c>
      <c r="C2924" t="s">
        <v>353</v>
      </c>
      <c r="D2924" t="s">
        <v>6089</v>
      </c>
      <c r="E2924" t="s">
        <v>6090</v>
      </c>
      <c r="F2924" s="46">
        <v>46097.325896111113</v>
      </c>
      <c r="G2924" s="46">
        <v>46097.325896111113</v>
      </c>
      <c r="H2924">
        <v>0</v>
      </c>
    </row>
    <row r="2925" spans="1:8" x14ac:dyDescent="0.15">
      <c r="A2925">
        <v>2924</v>
      </c>
      <c r="B2925" t="s">
        <v>339</v>
      </c>
      <c r="C2925" t="s">
        <v>353</v>
      </c>
      <c r="D2925" t="s">
        <v>6091</v>
      </c>
      <c r="E2925" t="s">
        <v>6090</v>
      </c>
      <c r="F2925" s="46">
        <v>46097.325896111113</v>
      </c>
      <c r="G2925" s="46">
        <v>46097.325896111113</v>
      </c>
      <c r="H2925">
        <v>0</v>
      </c>
    </row>
    <row r="2926" spans="1:8" x14ac:dyDescent="0.15">
      <c r="A2926">
        <v>2925</v>
      </c>
      <c r="B2926" t="s">
        <v>339</v>
      </c>
      <c r="C2926" t="s">
        <v>353</v>
      </c>
      <c r="D2926" t="s">
        <v>6092</v>
      </c>
      <c r="E2926" t="s">
        <v>6090</v>
      </c>
      <c r="F2926" s="46">
        <v>46097.325896111113</v>
      </c>
      <c r="G2926" s="46">
        <v>46097.325896296286</v>
      </c>
      <c r="H2926">
        <v>16</v>
      </c>
    </row>
    <row r="2927" spans="1:8" x14ac:dyDescent="0.15">
      <c r="A2927">
        <v>2926</v>
      </c>
      <c r="B2927" t="s">
        <v>339</v>
      </c>
      <c r="C2927" t="s">
        <v>353</v>
      </c>
      <c r="D2927" t="s">
        <v>6093</v>
      </c>
      <c r="E2927" t="s">
        <v>6090</v>
      </c>
      <c r="F2927" s="46">
        <v>46097.325896296286</v>
      </c>
      <c r="G2927" s="46">
        <v>46097.325896296286</v>
      </c>
      <c r="H2927">
        <v>0</v>
      </c>
    </row>
    <row r="2928" spans="1:8" x14ac:dyDescent="0.15">
      <c r="A2928">
        <v>2927</v>
      </c>
      <c r="B2928" t="s">
        <v>339</v>
      </c>
      <c r="C2928" t="s">
        <v>353</v>
      </c>
      <c r="D2928" t="s">
        <v>6094</v>
      </c>
      <c r="E2928" t="s">
        <v>6090</v>
      </c>
      <c r="F2928" s="46">
        <v>46097.325896296286</v>
      </c>
      <c r="G2928" s="46">
        <v>46097.325896296286</v>
      </c>
      <c r="H2928">
        <v>0</v>
      </c>
    </row>
    <row r="2929" spans="1:8" x14ac:dyDescent="0.15">
      <c r="A2929">
        <v>2928</v>
      </c>
      <c r="B2929" t="s">
        <v>339</v>
      </c>
      <c r="C2929" t="s">
        <v>353</v>
      </c>
      <c r="D2929" t="s">
        <v>6095</v>
      </c>
      <c r="E2929" t="s">
        <v>6090</v>
      </c>
      <c r="F2929" s="46">
        <v>46097.325896296286</v>
      </c>
      <c r="G2929" s="46">
        <v>46097.325896296286</v>
      </c>
      <c r="H2929">
        <v>0</v>
      </c>
    </row>
    <row r="2930" spans="1:8" x14ac:dyDescent="0.15">
      <c r="A2930">
        <v>2929</v>
      </c>
      <c r="B2930" t="s">
        <v>339</v>
      </c>
      <c r="C2930" t="s">
        <v>353</v>
      </c>
      <c r="D2930" t="s">
        <v>6096</v>
      </c>
      <c r="E2930" t="s">
        <v>6090</v>
      </c>
      <c r="F2930" s="46">
        <v>46097.325896296286</v>
      </c>
      <c r="G2930" s="46">
        <v>46097.325896296286</v>
      </c>
      <c r="H2930">
        <v>0</v>
      </c>
    </row>
    <row r="2931" spans="1:8" x14ac:dyDescent="0.15">
      <c r="A2931">
        <v>2930</v>
      </c>
      <c r="B2931" t="s">
        <v>339</v>
      </c>
      <c r="C2931" t="s">
        <v>353</v>
      </c>
      <c r="D2931" t="s">
        <v>6097</v>
      </c>
      <c r="E2931" t="s">
        <v>6090</v>
      </c>
      <c r="F2931" s="46">
        <v>46097.325896296286</v>
      </c>
      <c r="G2931" s="46">
        <v>46097.325896296286</v>
      </c>
      <c r="H2931">
        <v>0</v>
      </c>
    </row>
    <row r="2932" spans="1:8" x14ac:dyDescent="0.15">
      <c r="A2932">
        <v>2931</v>
      </c>
      <c r="B2932" t="s">
        <v>339</v>
      </c>
      <c r="C2932" t="s">
        <v>353</v>
      </c>
      <c r="D2932" t="s">
        <v>6098</v>
      </c>
      <c r="E2932" t="s">
        <v>6099</v>
      </c>
      <c r="F2932" s="46">
        <v>46097.325896296286</v>
      </c>
      <c r="G2932" s="46">
        <v>46097.325896296286</v>
      </c>
      <c r="H2932">
        <v>0</v>
      </c>
    </row>
    <row r="2933" spans="1:8" x14ac:dyDescent="0.15">
      <c r="A2933">
        <v>2932</v>
      </c>
      <c r="B2933" t="s">
        <v>339</v>
      </c>
      <c r="C2933" t="s">
        <v>353</v>
      </c>
      <c r="D2933" t="s">
        <v>6100</v>
      </c>
      <c r="E2933" t="s">
        <v>6101</v>
      </c>
      <c r="F2933" s="46">
        <v>46097.325896296286</v>
      </c>
      <c r="G2933" s="46">
        <v>46097.325896296286</v>
      </c>
      <c r="H2933">
        <v>0</v>
      </c>
    </row>
    <row r="2934" spans="1:8" x14ac:dyDescent="0.15">
      <c r="A2934">
        <v>2933</v>
      </c>
      <c r="B2934" t="s">
        <v>339</v>
      </c>
      <c r="C2934" t="s">
        <v>353</v>
      </c>
      <c r="D2934" t="s">
        <v>6102</v>
      </c>
      <c r="E2934" t="s">
        <v>6103</v>
      </c>
      <c r="F2934" s="46">
        <v>46097.325896296286</v>
      </c>
      <c r="G2934" s="46">
        <v>46097.325896296286</v>
      </c>
      <c r="H2934">
        <v>0</v>
      </c>
    </row>
    <row r="2935" spans="1:8" x14ac:dyDescent="0.15">
      <c r="A2935">
        <v>2934</v>
      </c>
      <c r="B2935" t="s">
        <v>339</v>
      </c>
      <c r="C2935" t="s">
        <v>353</v>
      </c>
      <c r="D2935" t="s">
        <v>6104</v>
      </c>
      <c r="E2935" t="s">
        <v>6105</v>
      </c>
      <c r="F2935" s="46">
        <v>46097.325896296286</v>
      </c>
      <c r="G2935" s="46">
        <v>46097.325896296286</v>
      </c>
      <c r="H2935">
        <v>0</v>
      </c>
    </row>
    <row r="2936" spans="1:8" x14ac:dyDescent="0.15">
      <c r="A2936">
        <v>2935</v>
      </c>
      <c r="B2936" t="s">
        <v>339</v>
      </c>
      <c r="C2936" t="s">
        <v>353</v>
      </c>
      <c r="D2936" t="s">
        <v>6106</v>
      </c>
      <c r="E2936" t="s">
        <v>6107</v>
      </c>
      <c r="F2936" s="46">
        <v>46097.325896296286</v>
      </c>
      <c r="G2936" s="46">
        <v>46097.325896296286</v>
      </c>
      <c r="H2936">
        <v>0</v>
      </c>
    </row>
    <row r="2937" spans="1:8" x14ac:dyDescent="0.15">
      <c r="A2937">
        <v>2936</v>
      </c>
      <c r="B2937" t="s">
        <v>339</v>
      </c>
      <c r="C2937" t="s">
        <v>353</v>
      </c>
      <c r="D2937" t="s">
        <v>6108</v>
      </c>
      <c r="E2937" t="s">
        <v>6109</v>
      </c>
      <c r="F2937" s="46">
        <v>46097.325896481481</v>
      </c>
      <c r="G2937" s="46">
        <v>46097.325896481481</v>
      </c>
      <c r="H2937">
        <v>0</v>
      </c>
    </row>
    <row r="2938" spans="1:8" x14ac:dyDescent="0.15">
      <c r="A2938">
        <v>2937</v>
      </c>
      <c r="B2938" t="s">
        <v>339</v>
      </c>
      <c r="C2938" t="s">
        <v>353</v>
      </c>
      <c r="D2938" t="s">
        <v>6110</v>
      </c>
      <c r="E2938" t="s">
        <v>6111</v>
      </c>
      <c r="F2938" s="46">
        <v>46097.325896481481</v>
      </c>
      <c r="G2938" s="46">
        <v>46097.325896481481</v>
      </c>
      <c r="H2938">
        <v>0</v>
      </c>
    </row>
    <row r="2939" spans="1:8" x14ac:dyDescent="0.15">
      <c r="A2939">
        <v>2938</v>
      </c>
      <c r="B2939" t="s">
        <v>339</v>
      </c>
      <c r="C2939" t="s">
        <v>353</v>
      </c>
      <c r="D2939" t="s">
        <v>6112</v>
      </c>
      <c r="E2939" t="s">
        <v>6113</v>
      </c>
      <c r="F2939" s="46">
        <v>46097.325896481481</v>
      </c>
      <c r="G2939" s="46">
        <v>46097.325896481481</v>
      </c>
      <c r="H2939">
        <v>0</v>
      </c>
    </row>
    <row r="2940" spans="1:8" x14ac:dyDescent="0.15">
      <c r="A2940">
        <v>2939</v>
      </c>
      <c r="B2940" t="s">
        <v>339</v>
      </c>
      <c r="C2940" t="s">
        <v>353</v>
      </c>
      <c r="D2940" t="s">
        <v>6114</v>
      </c>
      <c r="E2940" t="s">
        <v>6113</v>
      </c>
      <c r="F2940" s="46">
        <v>46097.325896481481</v>
      </c>
      <c r="G2940" s="46">
        <v>46097.325896481481</v>
      </c>
      <c r="H2940">
        <v>0</v>
      </c>
    </row>
    <row r="2941" spans="1:8" x14ac:dyDescent="0.15">
      <c r="A2941">
        <v>2940</v>
      </c>
      <c r="B2941" t="s">
        <v>339</v>
      </c>
      <c r="C2941" t="s">
        <v>353</v>
      </c>
      <c r="D2941" t="s">
        <v>6115</v>
      </c>
      <c r="E2941" t="s">
        <v>6113</v>
      </c>
      <c r="F2941" s="46">
        <v>46097.325896481481</v>
      </c>
      <c r="G2941" s="46">
        <v>46097.325896481481</v>
      </c>
      <c r="H2941">
        <v>0</v>
      </c>
    </row>
    <row r="2942" spans="1:8" x14ac:dyDescent="0.15">
      <c r="A2942">
        <v>2941</v>
      </c>
      <c r="B2942" t="s">
        <v>339</v>
      </c>
      <c r="C2942" t="s">
        <v>353</v>
      </c>
      <c r="D2942" t="s">
        <v>6116</v>
      </c>
      <c r="E2942" t="s">
        <v>6113</v>
      </c>
      <c r="F2942" s="46">
        <v>46097.325896481481</v>
      </c>
      <c r="G2942" s="46">
        <v>46097.325896481481</v>
      </c>
      <c r="H2942">
        <v>0</v>
      </c>
    </row>
    <row r="2943" spans="1:8" x14ac:dyDescent="0.15">
      <c r="A2943">
        <v>2942</v>
      </c>
      <c r="B2943" t="s">
        <v>339</v>
      </c>
      <c r="C2943" t="s">
        <v>353</v>
      </c>
      <c r="D2943" t="s">
        <v>6117</v>
      </c>
      <c r="E2943" t="s">
        <v>746</v>
      </c>
      <c r="F2943" s="46">
        <v>46097.325896481481</v>
      </c>
      <c r="G2943" s="46">
        <v>46097.325896481481</v>
      </c>
      <c r="H2943">
        <v>0</v>
      </c>
    </row>
    <row r="2944" spans="1:8" x14ac:dyDescent="0.15">
      <c r="A2944">
        <v>2943</v>
      </c>
      <c r="B2944" t="s">
        <v>339</v>
      </c>
      <c r="C2944" t="s">
        <v>353</v>
      </c>
      <c r="D2944" t="s">
        <v>6118</v>
      </c>
      <c r="E2944" t="s">
        <v>746</v>
      </c>
      <c r="F2944" s="46">
        <v>46097.325896481481</v>
      </c>
      <c r="G2944" s="46">
        <v>46097.325896481481</v>
      </c>
      <c r="H2944">
        <v>0</v>
      </c>
    </row>
    <row r="2945" spans="1:8" x14ac:dyDescent="0.15">
      <c r="A2945">
        <v>2944</v>
      </c>
      <c r="B2945" t="s">
        <v>339</v>
      </c>
      <c r="C2945" t="s">
        <v>353</v>
      </c>
      <c r="D2945" t="s">
        <v>6119</v>
      </c>
      <c r="E2945" t="s">
        <v>6120</v>
      </c>
      <c r="F2945" s="46">
        <v>46097.325896481481</v>
      </c>
      <c r="G2945" s="46">
        <v>46097.325896481481</v>
      </c>
      <c r="H2945">
        <v>0</v>
      </c>
    </row>
    <row r="2946" spans="1:8" x14ac:dyDescent="0.15">
      <c r="A2946">
        <v>2945</v>
      </c>
      <c r="B2946" t="s">
        <v>339</v>
      </c>
      <c r="C2946" t="s">
        <v>353</v>
      </c>
      <c r="D2946" t="s">
        <v>6121</v>
      </c>
      <c r="E2946" t="s">
        <v>6120</v>
      </c>
      <c r="F2946" s="46">
        <v>46097.325896481481</v>
      </c>
      <c r="G2946" s="46">
        <v>46097.325896481481</v>
      </c>
      <c r="H2946">
        <v>0</v>
      </c>
    </row>
    <row r="2947" spans="1:8" x14ac:dyDescent="0.15">
      <c r="A2947">
        <v>2946</v>
      </c>
      <c r="B2947" t="s">
        <v>339</v>
      </c>
      <c r="C2947" t="s">
        <v>353</v>
      </c>
      <c r="D2947" t="s">
        <v>6122</v>
      </c>
      <c r="E2947" t="s">
        <v>6123</v>
      </c>
      <c r="F2947" s="46">
        <v>46097.325896481481</v>
      </c>
      <c r="G2947" s="46">
        <v>46097.325896655093</v>
      </c>
      <c r="H2947">
        <v>16</v>
      </c>
    </row>
    <row r="2948" spans="1:8" x14ac:dyDescent="0.15">
      <c r="A2948">
        <v>2947</v>
      </c>
      <c r="B2948" t="s">
        <v>339</v>
      </c>
      <c r="C2948" t="s">
        <v>353</v>
      </c>
      <c r="D2948" t="s">
        <v>6124</v>
      </c>
      <c r="E2948" t="s">
        <v>6123</v>
      </c>
      <c r="F2948" s="46">
        <v>46097.325896655093</v>
      </c>
      <c r="G2948" s="46">
        <v>46097.325896655093</v>
      </c>
      <c r="H2948">
        <v>0</v>
      </c>
    </row>
    <row r="2949" spans="1:8" x14ac:dyDescent="0.15">
      <c r="A2949">
        <v>2948</v>
      </c>
      <c r="B2949" t="s">
        <v>339</v>
      </c>
      <c r="C2949" t="s">
        <v>353</v>
      </c>
      <c r="D2949" t="s">
        <v>6125</v>
      </c>
      <c r="E2949" t="s">
        <v>6126</v>
      </c>
      <c r="F2949" s="46">
        <v>46097.325896655093</v>
      </c>
      <c r="G2949" s="46">
        <v>46097.325896655093</v>
      </c>
      <c r="H2949">
        <v>0</v>
      </c>
    </row>
    <row r="2950" spans="1:8" x14ac:dyDescent="0.15">
      <c r="A2950">
        <v>2949</v>
      </c>
      <c r="B2950" t="s">
        <v>339</v>
      </c>
      <c r="C2950" t="s">
        <v>353</v>
      </c>
      <c r="D2950" t="s">
        <v>6127</v>
      </c>
      <c r="E2950" t="s">
        <v>6128</v>
      </c>
      <c r="F2950" s="46">
        <v>46097.325896655093</v>
      </c>
      <c r="G2950" s="46">
        <v>46097.325896655093</v>
      </c>
      <c r="H2950">
        <v>0</v>
      </c>
    </row>
    <row r="2951" spans="1:8" x14ac:dyDescent="0.15">
      <c r="A2951">
        <v>2950</v>
      </c>
      <c r="B2951" t="s">
        <v>339</v>
      </c>
      <c r="C2951" t="s">
        <v>353</v>
      </c>
      <c r="D2951" t="s">
        <v>6129</v>
      </c>
      <c r="E2951" t="s">
        <v>6128</v>
      </c>
      <c r="F2951" s="46">
        <v>46097.325896655093</v>
      </c>
      <c r="G2951" s="46">
        <v>46097.325896655093</v>
      </c>
      <c r="H2951">
        <v>0</v>
      </c>
    </row>
    <row r="2952" spans="1:8" x14ac:dyDescent="0.15">
      <c r="A2952">
        <v>2951</v>
      </c>
      <c r="B2952" t="s">
        <v>339</v>
      </c>
      <c r="C2952" t="s">
        <v>353</v>
      </c>
      <c r="D2952" t="s">
        <v>6130</v>
      </c>
      <c r="E2952" t="s">
        <v>6131</v>
      </c>
      <c r="F2952" s="46">
        <v>46097.325896655093</v>
      </c>
      <c r="G2952" s="46">
        <v>46097.325896655093</v>
      </c>
      <c r="H2952">
        <v>0</v>
      </c>
    </row>
    <row r="2953" spans="1:8" x14ac:dyDescent="0.15">
      <c r="A2953">
        <v>2952</v>
      </c>
      <c r="B2953" t="s">
        <v>339</v>
      </c>
      <c r="C2953" t="s">
        <v>353</v>
      </c>
      <c r="D2953" t="s">
        <v>6132</v>
      </c>
      <c r="E2953" t="s">
        <v>6133</v>
      </c>
      <c r="F2953" s="46">
        <v>46097.325896655093</v>
      </c>
      <c r="G2953" s="46">
        <v>46097.325896655093</v>
      </c>
      <c r="H2953">
        <v>0</v>
      </c>
    </row>
    <row r="2954" spans="1:8" x14ac:dyDescent="0.15">
      <c r="A2954">
        <v>2953</v>
      </c>
      <c r="B2954" t="s">
        <v>339</v>
      </c>
      <c r="C2954" t="s">
        <v>353</v>
      </c>
      <c r="D2954" s="13" t="s">
        <v>6134</v>
      </c>
      <c r="E2954" t="s">
        <v>6135</v>
      </c>
      <c r="F2954" s="46">
        <v>46097.325896655093</v>
      </c>
      <c r="G2954" s="46">
        <v>46097.325896655093</v>
      </c>
      <c r="H2954">
        <v>0</v>
      </c>
    </row>
    <row r="2955" spans="1:8" x14ac:dyDescent="0.15">
      <c r="A2955">
        <v>2954</v>
      </c>
      <c r="B2955" t="s">
        <v>339</v>
      </c>
      <c r="C2955" t="s">
        <v>353</v>
      </c>
      <c r="D2955" t="s">
        <v>6136</v>
      </c>
      <c r="E2955" t="s">
        <v>6137</v>
      </c>
      <c r="F2955" s="46">
        <v>46097.325896655093</v>
      </c>
      <c r="G2955" s="46">
        <v>46097.325896655093</v>
      </c>
      <c r="H2955">
        <v>0</v>
      </c>
    </row>
    <row r="2956" spans="1:8" x14ac:dyDescent="0.15">
      <c r="A2956">
        <v>2955</v>
      </c>
      <c r="B2956" t="s">
        <v>339</v>
      </c>
      <c r="C2956" t="s">
        <v>353</v>
      </c>
      <c r="D2956" t="s">
        <v>6138</v>
      </c>
      <c r="E2956" t="s">
        <v>6139</v>
      </c>
      <c r="F2956" s="46">
        <v>46097.325896655093</v>
      </c>
      <c r="G2956" s="46">
        <v>46097.325896840281</v>
      </c>
      <c r="H2956">
        <v>15</v>
      </c>
    </row>
    <row r="2957" spans="1:8" x14ac:dyDescent="0.15">
      <c r="A2957">
        <v>2956</v>
      </c>
      <c r="B2957" t="s">
        <v>339</v>
      </c>
      <c r="C2957" t="s">
        <v>353</v>
      </c>
      <c r="D2957" t="s">
        <v>6140</v>
      </c>
      <c r="E2957" t="s">
        <v>6141</v>
      </c>
      <c r="F2957" s="46">
        <v>46097.325896840281</v>
      </c>
      <c r="G2957" s="46">
        <v>46097.325896840281</v>
      </c>
      <c r="H2957">
        <v>0</v>
      </c>
    </row>
    <row r="2958" spans="1:8" x14ac:dyDescent="0.15">
      <c r="A2958">
        <v>2957</v>
      </c>
      <c r="B2958" t="s">
        <v>339</v>
      </c>
      <c r="C2958" t="s">
        <v>353</v>
      </c>
      <c r="D2958" t="s">
        <v>6142</v>
      </c>
      <c r="E2958" t="s">
        <v>6143</v>
      </c>
      <c r="F2958" s="46">
        <v>46097.325896840281</v>
      </c>
      <c r="G2958" s="46">
        <v>46097.325896840281</v>
      </c>
      <c r="H2958">
        <v>0</v>
      </c>
    </row>
    <row r="2959" spans="1:8" x14ac:dyDescent="0.15">
      <c r="A2959">
        <v>2958</v>
      </c>
      <c r="B2959" t="s">
        <v>339</v>
      </c>
      <c r="C2959" t="s">
        <v>353</v>
      </c>
      <c r="D2959" t="s">
        <v>6144</v>
      </c>
      <c r="E2959" t="s">
        <v>6145</v>
      </c>
      <c r="F2959" s="46">
        <v>46097.325896840281</v>
      </c>
      <c r="G2959" s="46">
        <v>46097.325896840281</v>
      </c>
      <c r="H2959">
        <v>0</v>
      </c>
    </row>
    <row r="2960" spans="1:8" x14ac:dyDescent="0.15">
      <c r="A2960">
        <v>2959</v>
      </c>
      <c r="B2960" t="s">
        <v>339</v>
      </c>
      <c r="C2960" t="s">
        <v>353</v>
      </c>
      <c r="D2960" t="s">
        <v>6146</v>
      </c>
      <c r="E2960" t="s">
        <v>6147</v>
      </c>
      <c r="F2960" s="46">
        <v>46097.325896840281</v>
      </c>
      <c r="G2960" s="46">
        <v>46097.325896840281</v>
      </c>
      <c r="H2960">
        <v>0</v>
      </c>
    </row>
    <row r="2961" spans="1:8" x14ac:dyDescent="0.15">
      <c r="A2961">
        <v>2960</v>
      </c>
      <c r="B2961" t="s">
        <v>339</v>
      </c>
      <c r="C2961" t="s">
        <v>353</v>
      </c>
      <c r="D2961" t="s">
        <v>6148</v>
      </c>
      <c r="E2961" t="s">
        <v>6149</v>
      </c>
      <c r="F2961" s="46">
        <v>46097.325896840281</v>
      </c>
      <c r="G2961" s="46">
        <v>46097.325896840281</v>
      </c>
      <c r="H2961">
        <v>0</v>
      </c>
    </row>
    <row r="2962" spans="1:8" x14ac:dyDescent="0.15">
      <c r="A2962">
        <v>2961</v>
      </c>
      <c r="B2962" t="s">
        <v>339</v>
      </c>
      <c r="C2962" t="s">
        <v>353</v>
      </c>
      <c r="D2962" t="s">
        <v>6150</v>
      </c>
      <c r="E2962" t="s">
        <v>6149</v>
      </c>
      <c r="F2962" s="46">
        <v>46097.325896840281</v>
      </c>
      <c r="G2962" s="46">
        <v>46097.325896840281</v>
      </c>
      <c r="H2962">
        <v>0</v>
      </c>
    </row>
    <row r="2963" spans="1:8" x14ac:dyDescent="0.15">
      <c r="A2963">
        <v>2962</v>
      </c>
      <c r="B2963" t="s">
        <v>339</v>
      </c>
      <c r="C2963" t="s">
        <v>353</v>
      </c>
      <c r="D2963" t="s">
        <v>6151</v>
      </c>
      <c r="E2963" t="s">
        <v>6149</v>
      </c>
      <c r="F2963" s="46">
        <v>46097.325896840281</v>
      </c>
      <c r="G2963" s="46">
        <v>46097.325896840281</v>
      </c>
      <c r="H2963">
        <v>0</v>
      </c>
    </row>
    <row r="2964" spans="1:8" x14ac:dyDescent="0.15">
      <c r="A2964">
        <v>2963</v>
      </c>
      <c r="B2964" t="s">
        <v>339</v>
      </c>
      <c r="C2964" t="s">
        <v>353</v>
      </c>
      <c r="D2964" t="s">
        <v>6152</v>
      </c>
      <c r="E2964" t="s">
        <v>6149</v>
      </c>
      <c r="F2964" s="46">
        <v>46097.325896840281</v>
      </c>
      <c r="G2964" s="46">
        <v>46097.325896840281</v>
      </c>
      <c r="H2964">
        <v>0</v>
      </c>
    </row>
    <row r="2965" spans="1:8" x14ac:dyDescent="0.15">
      <c r="A2965">
        <v>2964</v>
      </c>
      <c r="B2965" t="s">
        <v>339</v>
      </c>
      <c r="C2965" t="s">
        <v>353</v>
      </c>
      <c r="D2965" t="s">
        <v>6153</v>
      </c>
      <c r="E2965" t="s">
        <v>6154</v>
      </c>
      <c r="F2965" s="46">
        <v>46097.325896840281</v>
      </c>
      <c r="G2965" s="46">
        <v>46097.325897025461</v>
      </c>
      <c r="H2965">
        <v>16</v>
      </c>
    </row>
    <row r="2966" spans="1:8" x14ac:dyDescent="0.15">
      <c r="A2966">
        <v>2965</v>
      </c>
      <c r="B2966" t="s">
        <v>339</v>
      </c>
      <c r="C2966" t="s">
        <v>353</v>
      </c>
      <c r="D2966" t="s">
        <v>6155</v>
      </c>
      <c r="E2966" t="s">
        <v>6154</v>
      </c>
      <c r="F2966" s="46">
        <v>46097.325897025461</v>
      </c>
      <c r="G2966" s="46">
        <v>46097.325897025461</v>
      </c>
      <c r="H2966">
        <v>0</v>
      </c>
    </row>
    <row r="2967" spans="1:8" x14ac:dyDescent="0.15">
      <c r="A2967">
        <v>2966</v>
      </c>
      <c r="B2967" t="s">
        <v>339</v>
      </c>
      <c r="C2967" t="s">
        <v>353</v>
      </c>
      <c r="D2967" t="s">
        <v>6156</v>
      </c>
      <c r="E2967" t="s">
        <v>6154</v>
      </c>
      <c r="F2967" s="46">
        <v>46097.325897025461</v>
      </c>
      <c r="G2967" s="46">
        <v>46097.325897025461</v>
      </c>
      <c r="H2967">
        <v>0</v>
      </c>
    </row>
    <row r="2968" spans="1:8" x14ac:dyDescent="0.15">
      <c r="A2968">
        <v>2967</v>
      </c>
      <c r="B2968" t="s">
        <v>339</v>
      </c>
      <c r="C2968" t="s">
        <v>353</v>
      </c>
      <c r="D2968" t="s">
        <v>6157</v>
      </c>
      <c r="E2968" t="s">
        <v>6154</v>
      </c>
      <c r="F2968" s="46">
        <v>46097.325897025461</v>
      </c>
      <c r="G2968" s="46">
        <v>46097.325897025461</v>
      </c>
      <c r="H2968">
        <v>0</v>
      </c>
    </row>
    <row r="2969" spans="1:8" x14ac:dyDescent="0.15">
      <c r="A2969">
        <v>2968</v>
      </c>
      <c r="B2969" t="s">
        <v>339</v>
      </c>
      <c r="C2969" t="s">
        <v>353</v>
      </c>
      <c r="D2969" t="s">
        <v>6158</v>
      </c>
      <c r="E2969" t="s">
        <v>6159</v>
      </c>
      <c r="F2969" s="46">
        <v>46097.325897025461</v>
      </c>
      <c r="G2969" s="46">
        <v>46097.325897025461</v>
      </c>
      <c r="H2969">
        <v>0</v>
      </c>
    </row>
    <row r="2970" spans="1:8" x14ac:dyDescent="0.15">
      <c r="A2970">
        <v>2969</v>
      </c>
      <c r="B2970" t="s">
        <v>339</v>
      </c>
      <c r="C2970" t="s">
        <v>353</v>
      </c>
      <c r="D2970" t="s">
        <v>6160</v>
      </c>
      <c r="E2970" t="s">
        <v>6161</v>
      </c>
      <c r="F2970" s="46">
        <v>46097.325897025461</v>
      </c>
      <c r="G2970" s="46">
        <v>46097.325897025461</v>
      </c>
      <c r="H2970">
        <v>0</v>
      </c>
    </row>
    <row r="2971" spans="1:8" x14ac:dyDescent="0.15">
      <c r="A2971">
        <v>2970</v>
      </c>
      <c r="B2971" t="s">
        <v>339</v>
      </c>
      <c r="C2971" t="s">
        <v>353</v>
      </c>
      <c r="D2971" t="s">
        <v>6162</v>
      </c>
      <c r="E2971" t="s">
        <v>6163</v>
      </c>
      <c r="F2971" s="46">
        <v>46097.325897025461</v>
      </c>
      <c r="G2971" s="46">
        <v>46097.325897025461</v>
      </c>
      <c r="H2971">
        <v>0</v>
      </c>
    </row>
    <row r="2972" spans="1:8" x14ac:dyDescent="0.15">
      <c r="A2972">
        <v>2971</v>
      </c>
      <c r="B2972" t="s">
        <v>339</v>
      </c>
      <c r="C2972" t="s">
        <v>353</v>
      </c>
      <c r="D2972" t="s">
        <v>6164</v>
      </c>
      <c r="E2972" t="s">
        <v>6165</v>
      </c>
      <c r="F2972" s="46">
        <v>46097.325897025461</v>
      </c>
      <c r="G2972" s="46">
        <v>46097.325897025461</v>
      </c>
      <c r="H2972">
        <v>0</v>
      </c>
    </row>
    <row r="2973" spans="1:8" x14ac:dyDescent="0.15">
      <c r="A2973">
        <v>2972</v>
      </c>
      <c r="B2973" t="s">
        <v>339</v>
      </c>
      <c r="C2973" t="s">
        <v>353</v>
      </c>
      <c r="D2973" t="s">
        <v>6166</v>
      </c>
      <c r="E2973" t="s">
        <v>6167</v>
      </c>
      <c r="F2973" s="46">
        <v>46097.325897025461</v>
      </c>
      <c r="G2973" s="46">
        <v>46097.325897025461</v>
      </c>
      <c r="H2973">
        <v>0</v>
      </c>
    </row>
    <row r="2974" spans="1:8" x14ac:dyDescent="0.15">
      <c r="A2974">
        <v>2973</v>
      </c>
      <c r="B2974" t="s">
        <v>339</v>
      </c>
      <c r="C2974" t="s">
        <v>353</v>
      </c>
      <c r="D2974" t="s">
        <v>6168</v>
      </c>
      <c r="E2974" t="s">
        <v>6169</v>
      </c>
      <c r="F2974" s="46">
        <v>46097.325897025461</v>
      </c>
      <c r="G2974" s="46">
        <v>46097.325897025461</v>
      </c>
      <c r="H2974">
        <v>0</v>
      </c>
    </row>
    <row r="2975" spans="1:8" x14ac:dyDescent="0.15">
      <c r="A2975">
        <v>2974</v>
      </c>
      <c r="B2975" t="s">
        <v>339</v>
      </c>
      <c r="C2975" t="s">
        <v>353</v>
      </c>
      <c r="D2975" t="s">
        <v>6170</v>
      </c>
      <c r="E2975" t="s">
        <v>6171</v>
      </c>
      <c r="F2975" s="46">
        <v>46097.325897025461</v>
      </c>
      <c r="G2975" s="46">
        <v>46097.325897199073</v>
      </c>
      <c r="H2975">
        <v>16</v>
      </c>
    </row>
    <row r="2976" spans="1:8" x14ac:dyDescent="0.15">
      <c r="A2976">
        <v>2975</v>
      </c>
      <c r="B2976" t="s">
        <v>339</v>
      </c>
      <c r="C2976" t="s">
        <v>353</v>
      </c>
      <c r="D2976" t="s">
        <v>6172</v>
      </c>
      <c r="E2976" t="s">
        <v>6173</v>
      </c>
      <c r="F2976" s="46">
        <v>46097.325897199073</v>
      </c>
      <c r="G2976" s="46">
        <v>46097.325897199073</v>
      </c>
      <c r="H2976">
        <v>0</v>
      </c>
    </row>
    <row r="2977" spans="1:8" x14ac:dyDescent="0.15">
      <c r="A2977">
        <v>2976</v>
      </c>
      <c r="B2977" t="s">
        <v>339</v>
      </c>
      <c r="C2977" t="s">
        <v>353</v>
      </c>
      <c r="D2977" t="s">
        <v>6174</v>
      </c>
      <c r="E2977" t="s">
        <v>6175</v>
      </c>
      <c r="F2977" s="46">
        <v>46097.325897199073</v>
      </c>
      <c r="G2977" s="46">
        <v>46097.325897199073</v>
      </c>
      <c r="H2977">
        <v>0</v>
      </c>
    </row>
    <row r="2978" spans="1:8" x14ac:dyDescent="0.15">
      <c r="A2978">
        <v>2977</v>
      </c>
      <c r="B2978" t="s">
        <v>339</v>
      </c>
      <c r="C2978" t="s">
        <v>353</v>
      </c>
      <c r="D2978" t="s">
        <v>6176</v>
      </c>
      <c r="E2978" t="s">
        <v>6175</v>
      </c>
      <c r="F2978" s="46">
        <v>46097.325897199073</v>
      </c>
      <c r="G2978" s="46">
        <v>46097.325897199073</v>
      </c>
      <c r="H2978">
        <v>0</v>
      </c>
    </row>
    <row r="2979" spans="1:8" x14ac:dyDescent="0.15">
      <c r="A2979">
        <v>2978</v>
      </c>
      <c r="B2979" t="s">
        <v>339</v>
      </c>
      <c r="C2979" t="s">
        <v>353</v>
      </c>
      <c r="D2979" t="s">
        <v>6177</v>
      </c>
      <c r="E2979" t="s">
        <v>6178</v>
      </c>
      <c r="F2979" s="46">
        <v>46097.325897199073</v>
      </c>
      <c r="G2979" s="46">
        <v>46097.325897199073</v>
      </c>
      <c r="H2979">
        <v>0</v>
      </c>
    </row>
    <row r="2980" spans="1:8" x14ac:dyDescent="0.15">
      <c r="A2980">
        <v>2979</v>
      </c>
      <c r="B2980" t="s">
        <v>339</v>
      </c>
      <c r="C2980" t="s">
        <v>353</v>
      </c>
      <c r="D2980" t="s">
        <v>6179</v>
      </c>
      <c r="E2980" t="s">
        <v>6180</v>
      </c>
      <c r="F2980" s="46">
        <v>46097.325897199073</v>
      </c>
      <c r="G2980" s="46">
        <v>46097.325897199073</v>
      </c>
      <c r="H2980">
        <v>0</v>
      </c>
    </row>
    <row r="2981" spans="1:8" x14ac:dyDescent="0.15">
      <c r="A2981">
        <v>2980</v>
      </c>
      <c r="B2981" t="s">
        <v>339</v>
      </c>
      <c r="C2981" t="s">
        <v>353</v>
      </c>
      <c r="D2981" t="s">
        <v>6181</v>
      </c>
      <c r="E2981" t="s">
        <v>6182</v>
      </c>
      <c r="F2981" s="46">
        <v>46097.325897199073</v>
      </c>
      <c r="G2981" s="46">
        <v>46097.325897199073</v>
      </c>
      <c r="H2981">
        <v>0</v>
      </c>
    </row>
    <row r="2982" spans="1:8" x14ac:dyDescent="0.15">
      <c r="A2982">
        <v>2981</v>
      </c>
      <c r="B2982" t="s">
        <v>339</v>
      </c>
      <c r="C2982" t="s">
        <v>353</v>
      </c>
      <c r="D2982" t="s">
        <v>6183</v>
      </c>
      <c r="E2982" t="s">
        <v>6182</v>
      </c>
      <c r="F2982" s="46">
        <v>46097.325897199073</v>
      </c>
      <c r="G2982" s="46">
        <v>46097.325897199073</v>
      </c>
      <c r="H2982">
        <v>0</v>
      </c>
    </row>
    <row r="2983" spans="1:8" x14ac:dyDescent="0.15">
      <c r="A2983">
        <v>2982</v>
      </c>
      <c r="B2983" t="s">
        <v>339</v>
      </c>
      <c r="C2983" t="s">
        <v>353</v>
      </c>
      <c r="D2983" t="s">
        <v>6184</v>
      </c>
      <c r="E2983" t="s">
        <v>6182</v>
      </c>
      <c r="F2983" s="46">
        <v>46097.325897199073</v>
      </c>
      <c r="G2983" s="46">
        <v>46097.325897199073</v>
      </c>
      <c r="H2983">
        <v>0</v>
      </c>
    </row>
    <row r="2984" spans="1:8" x14ac:dyDescent="0.15">
      <c r="A2984">
        <v>2983</v>
      </c>
      <c r="B2984" t="s">
        <v>339</v>
      </c>
      <c r="C2984" t="s">
        <v>353</v>
      </c>
      <c r="D2984" t="s">
        <v>6185</v>
      </c>
      <c r="E2984" t="s">
        <v>6186</v>
      </c>
      <c r="F2984" s="46">
        <v>46097.325897199073</v>
      </c>
      <c r="G2984" s="46">
        <v>46097.325897199073</v>
      </c>
      <c r="H2984">
        <v>0</v>
      </c>
    </row>
    <row r="2985" spans="1:8" x14ac:dyDescent="0.15">
      <c r="A2985">
        <v>2984</v>
      </c>
      <c r="B2985" t="s">
        <v>339</v>
      </c>
      <c r="C2985" t="s">
        <v>353</v>
      </c>
      <c r="D2985" t="s">
        <v>6187</v>
      </c>
      <c r="E2985" t="s">
        <v>6186</v>
      </c>
      <c r="F2985" s="46">
        <v>46097.325897199073</v>
      </c>
      <c r="G2985" s="46">
        <v>46097.325897199073</v>
      </c>
      <c r="H2985">
        <v>0</v>
      </c>
    </row>
    <row r="2986" spans="1:8" x14ac:dyDescent="0.15">
      <c r="A2986">
        <v>2985</v>
      </c>
      <c r="B2986" t="s">
        <v>339</v>
      </c>
      <c r="C2986" t="s">
        <v>353</v>
      </c>
      <c r="D2986" t="s">
        <v>6188</v>
      </c>
      <c r="E2986" t="s">
        <v>6189</v>
      </c>
      <c r="F2986" s="46">
        <v>46097.325897199073</v>
      </c>
      <c r="G2986" s="46">
        <v>46097.32589738426</v>
      </c>
      <c r="H2986">
        <v>15</v>
      </c>
    </row>
    <row r="2987" spans="1:8" x14ac:dyDescent="0.15">
      <c r="A2987">
        <v>2986</v>
      </c>
      <c r="B2987" t="s">
        <v>339</v>
      </c>
      <c r="C2987" t="s">
        <v>353</v>
      </c>
      <c r="D2987" t="s">
        <v>6190</v>
      </c>
      <c r="E2987" t="s">
        <v>6191</v>
      </c>
      <c r="F2987" s="46">
        <v>46097.32589738426</v>
      </c>
      <c r="G2987" s="46">
        <v>46097.32589738426</v>
      </c>
      <c r="H2987">
        <v>0</v>
      </c>
    </row>
    <row r="2988" spans="1:8" x14ac:dyDescent="0.15">
      <c r="A2988">
        <v>2987</v>
      </c>
      <c r="B2988" t="s">
        <v>339</v>
      </c>
      <c r="C2988" t="s">
        <v>353</v>
      </c>
      <c r="D2988" t="s">
        <v>6192</v>
      </c>
      <c r="E2988" t="s">
        <v>6193</v>
      </c>
      <c r="F2988" s="46">
        <v>46097.32589738426</v>
      </c>
      <c r="G2988" s="46">
        <v>46097.32589738426</v>
      </c>
      <c r="H2988">
        <v>0</v>
      </c>
    </row>
    <row r="2989" spans="1:8" x14ac:dyDescent="0.15">
      <c r="A2989">
        <v>2988</v>
      </c>
      <c r="B2989" t="s">
        <v>339</v>
      </c>
      <c r="C2989" t="s">
        <v>353</v>
      </c>
      <c r="D2989" t="s">
        <v>6194</v>
      </c>
      <c r="E2989" t="s">
        <v>6195</v>
      </c>
      <c r="F2989" s="46">
        <v>46097.32589738426</v>
      </c>
      <c r="G2989" s="46">
        <v>46097.32589738426</v>
      </c>
      <c r="H2989">
        <v>0</v>
      </c>
    </row>
    <row r="2990" spans="1:8" x14ac:dyDescent="0.15">
      <c r="A2990">
        <v>2989</v>
      </c>
      <c r="B2990" t="s">
        <v>339</v>
      </c>
      <c r="C2990" t="s">
        <v>353</v>
      </c>
      <c r="D2990" t="s">
        <v>6196</v>
      </c>
      <c r="E2990" t="s">
        <v>6197</v>
      </c>
      <c r="F2990" s="46">
        <v>46097.32589738426</v>
      </c>
      <c r="G2990" s="46">
        <v>46097.32589738426</v>
      </c>
      <c r="H2990">
        <v>0</v>
      </c>
    </row>
    <row r="2991" spans="1:8" x14ac:dyDescent="0.15">
      <c r="A2991">
        <v>2990</v>
      </c>
      <c r="B2991" t="s">
        <v>339</v>
      </c>
      <c r="C2991" t="s">
        <v>353</v>
      </c>
      <c r="D2991" t="s">
        <v>6198</v>
      </c>
      <c r="E2991" t="s">
        <v>6197</v>
      </c>
      <c r="F2991" s="46">
        <v>46097.32589738426</v>
      </c>
      <c r="G2991" s="46">
        <v>46097.32589738426</v>
      </c>
      <c r="H2991">
        <v>0</v>
      </c>
    </row>
    <row r="2992" spans="1:8" x14ac:dyDescent="0.15">
      <c r="A2992">
        <v>2991</v>
      </c>
      <c r="B2992" t="s">
        <v>339</v>
      </c>
      <c r="C2992" t="s">
        <v>353</v>
      </c>
      <c r="D2992" t="s">
        <v>6199</v>
      </c>
      <c r="E2992" t="s">
        <v>6197</v>
      </c>
      <c r="F2992" s="46">
        <v>46097.32589738426</v>
      </c>
      <c r="G2992" s="46">
        <v>46097.32589738426</v>
      </c>
      <c r="H2992">
        <v>0</v>
      </c>
    </row>
    <row r="2993" spans="1:8" x14ac:dyDescent="0.15">
      <c r="A2993">
        <v>2992</v>
      </c>
      <c r="B2993" t="s">
        <v>339</v>
      </c>
      <c r="C2993" t="s">
        <v>353</v>
      </c>
      <c r="D2993" t="s">
        <v>6200</v>
      </c>
      <c r="E2993" t="s">
        <v>6197</v>
      </c>
      <c r="F2993" s="46">
        <v>46097.32589738426</v>
      </c>
      <c r="G2993" s="46">
        <v>46097.32589738426</v>
      </c>
      <c r="H2993">
        <v>0</v>
      </c>
    </row>
    <row r="2994" spans="1:8" x14ac:dyDescent="0.15">
      <c r="A2994">
        <v>2993</v>
      </c>
      <c r="B2994" t="s">
        <v>339</v>
      </c>
      <c r="C2994" t="s">
        <v>353</v>
      </c>
      <c r="D2994" t="s">
        <v>6201</v>
      </c>
      <c r="E2994" t="s">
        <v>6197</v>
      </c>
      <c r="F2994" s="46">
        <v>46097.32589738426</v>
      </c>
      <c r="G2994" s="46">
        <v>46097.32589738426</v>
      </c>
      <c r="H2994">
        <v>0</v>
      </c>
    </row>
    <row r="2995" spans="1:8" x14ac:dyDescent="0.15">
      <c r="A2995">
        <v>2994</v>
      </c>
      <c r="B2995" t="s">
        <v>339</v>
      </c>
      <c r="C2995" t="s">
        <v>353</v>
      </c>
      <c r="D2995" t="s">
        <v>6202</v>
      </c>
      <c r="E2995" t="s">
        <v>6203</v>
      </c>
      <c r="F2995" s="46">
        <v>46097.32589738426</v>
      </c>
      <c r="G2995" s="46">
        <v>46097.32589738426</v>
      </c>
      <c r="H2995">
        <v>0</v>
      </c>
    </row>
    <row r="2996" spans="1:8" x14ac:dyDescent="0.15">
      <c r="A2996">
        <v>2995</v>
      </c>
      <c r="B2996" t="s">
        <v>339</v>
      </c>
      <c r="C2996" t="s">
        <v>353</v>
      </c>
      <c r="D2996" t="s">
        <v>6204</v>
      </c>
      <c r="E2996" t="s">
        <v>6205</v>
      </c>
      <c r="F2996" s="46">
        <v>46097.32589738426</v>
      </c>
      <c r="G2996" s="46">
        <v>46097.325897557872</v>
      </c>
      <c r="H2996">
        <v>16</v>
      </c>
    </row>
    <row r="2997" spans="1:8" x14ac:dyDescent="0.15">
      <c r="A2997">
        <v>2996</v>
      </c>
      <c r="B2997" t="s">
        <v>339</v>
      </c>
      <c r="C2997" t="s">
        <v>353</v>
      </c>
      <c r="D2997" t="s">
        <v>6206</v>
      </c>
      <c r="E2997" t="s">
        <v>6207</v>
      </c>
      <c r="F2997" s="46">
        <v>46097.325897557872</v>
      </c>
      <c r="G2997" s="46">
        <v>46097.325897557872</v>
      </c>
      <c r="H2997">
        <v>0</v>
      </c>
    </row>
    <row r="2998" spans="1:8" x14ac:dyDescent="0.15">
      <c r="A2998">
        <v>2997</v>
      </c>
      <c r="B2998" t="s">
        <v>339</v>
      </c>
      <c r="C2998" t="s">
        <v>353</v>
      </c>
      <c r="D2998" t="s">
        <v>6208</v>
      </c>
      <c r="E2998" t="s">
        <v>6207</v>
      </c>
      <c r="F2998" s="46">
        <v>46097.325897557872</v>
      </c>
      <c r="G2998" s="46">
        <v>46097.325897557872</v>
      </c>
      <c r="H2998">
        <v>0</v>
      </c>
    </row>
    <row r="2999" spans="1:8" x14ac:dyDescent="0.15">
      <c r="A2999">
        <v>2998</v>
      </c>
      <c r="B2999" t="s">
        <v>339</v>
      </c>
      <c r="C2999" t="s">
        <v>353</v>
      </c>
      <c r="D2999" t="s">
        <v>6209</v>
      </c>
      <c r="E2999" t="s">
        <v>6207</v>
      </c>
      <c r="F2999" s="46">
        <v>46097.325897557872</v>
      </c>
      <c r="G2999" s="46">
        <v>46097.325897557872</v>
      </c>
      <c r="H2999">
        <v>0</v>
      </c>
    </row>
    <row r="3000" spans="1:8" x14ac:dyDescent="0.15">
      <c r="A3000">
        <v>2999</v>
      </c>
      <c r="B3000" t="s">
        <v>339</v>
      </c>
      <c r="C3000" t="s">
        <v>353</v>
      </c>
      <c r="D3000" t="s">
        <v>6210</v>
      </c>
      <c r="E3000" t="s">
        <v>6211</v>
      </c>
      <c r="F3000" s="46">
        <v>46097.325897557872</v>
      </c>
      <c r="G3000" s="46">
        <v>46097.325897557872</v>
      </c>
      <c r="H3000">
        <v>0</v>
      </c>
    </row>
    <row r="3001" spans="1:8" x14ac:dyDescent="0.15">
      <c r="A3001">
        <v>3000</v>
      </c>
      <c r="B3001" t="s">
        <v>339</v>
      </c>
      <c r="C3001" t="s">
        <v>353</v>
      </c>
      <c r="D3001" t="s">
        <v>6212</v>
      </c>
      <c r="E3001" t="s">
        <v>6213</v>
      </c>
      <c r="F3001" s="46">
        <v>46097.325897557872</v>
      </c>
      <c r="G3001" s="46">
        <v>46097.325897557872</v>
      </c>
      <c r="H3001">
        <v>0</v>
      </c>
    </row>
    <row r="3002" spans="1:8" x14ac:dyDescent="0.15">
      <c r="A3002">
        <v>3001</v>
      </c>
      <c r="B3002" t="s">
        <v>339</v>
      </c>
      <c r="C3002" t="s">
        <v>353</v>
      </c>
      <c r="D3002" t="s">
        <v>6214</v>
      </c>
      <c r="E3002" t="s">
        <v>6215</v>
      </c>
      <c r="F3002" s="46">
        <v>46097.325897557872</v>
      </c>
      <c r="G3002" s="46">
        <v>46097.325897557872</v>
      </c>
      <c r="H3002">
        <v>0</v>
      </c>
    </row>
    <row r="3003" spans="1:8" x14ac:dyDescent="0.15">
      <c r="A3003">
        <v>3002</v>
      </c>
      <c r="B3003" t="s">
        <v>339</v>
      </c>
      <c r="C3003" t="s">
        <v>353</v>
      </c>
      <c r="D3003" t="s">
        <v>6216</v>
      </c>
      <c r="E3003" t="s">
        <v>6217</v>
      </c>
      <c r="F3003" s="46">
        <v>46097.325897557872</v>
      </c>
      <c r="G3003" s="46">
        <v>46097.325897557872</v>
      </c>
      <c r="H3003">
        <v>0</v>
      </c>
    </row>
    <row r="3004" spans="1:8" x14ac:dyDescent="0.15">
      <c r="A3004">
        <v>3003</v>
      </c>
      <c r="B3004" t="s">
        <v>339</v>
      </c>
      <c r="C3004" t="s">
        <v>353</v>
      </c>
      <c r="D3004" t="s">
        <v>6218</v>
      </c>
      <c r="E3004" t="s">
        <v>6217</v>
      </c>
      <c r="F3004" s="46">
        <v>46097.325897557872</v>
      </c>
      <c r="G3004" s="46">
        <v>46097.325897557872</v>
      </c>
      <c r="H3004">
        <v>0</v>
      </c>
    </row>
    <row r="3005" spans="1:8" x14ac:dyDescent="0.15">
      <c r="A3005">
        <v>3004</v>
      </c>
      <c r="B3005" t="s">
        <v>339</v>
      </c>
      <c r="C3005" t="s">
        <v>353</v>
      </c>
      <c r="D3005" t="s">
        <v>6219</v>
      </c>
      <c r="E3005" t="s">
        <v>6220</v>
      </c>
      <c r="F3005" s="46">
        <v>46097.325897557872</v>
      </c>
      <c r="G3005" s="46">
        <v>46097.325897557872</v>
      </c>
      <c r="H3005">
        <v>0</v>
      </c>
    </row>
    <row r="3006" spans="1:8" x14ac:dyDescent="0.15">
      <c r="A3006">
        <v>3005</v>
      </c>
      <c r="B3006" t="s">
        <v>339</v>
      </c>
      <c r="C3006" t="s">
        <v>353</v>
      </c>
      <c r="D3006" t="s">
        <v>6221</v>
      </c>
      <c r="E3006" t="s">
        <v>6222</v>
      </c>
      <c r="F3006" s="46">
        <v>46097.325897557872</v>
      </c>
      <c r="G3006" s="46">
        <v>46097.325897743052</v>
      </c>
      <c r="H3006">
        <v>16</v>
      </c>
    </row>
    <row r="3007" spans="1:8" x14ac:dyDescent="0.15">
      <c r="A3007">
        <v>3006</v>
      </c>
      <c r="B3007" t="s">
        <v>339</v>
      </c>
      <c r="C3007" t="s">
        <v>353</v>
      </c>
      <c r="D3007" t="s">
        <v>6223</v>
      </c>
      <c r="E3007" t="s">
        <v>6224</v>
      </c>
      <c r="F3007" s="46">
        <v>46097.325897743052</v>
      </c>
      <c r="G3007" s="46">
        <v>46097.325897743052</v>
      </c>
      <c r="H3007">
        <v>0</v>
      </c>
    </row>
    <row r="3008" spans="1:8" x14ac:dyDescent="0.15">
      <c r="A3008">
        <v>3007</v>
      </c>
      <c r="B3008" t="s">
        <v>339</v>
      </c>
      <c r="C3008" t="s">
        <v>353</v>
      </c>
      <c r="D3008" t="s">
        <v>6225</v>
      </c>
      <c r="E3008" t="s">
        <v>6226</v>
      </c>
      <c r="F3008" s="46">
        <v>46097.325897743052</v>
      </c>
      <c r="G3008" s="46">
        <v>46097.325897743052</v>
      </c>
      <c r="H3008">
        <v>0</v>
      </c>
    </row>
    <row r="3009" spans="1:8" x14ac:dyDescent="0.15">
      <c r="A3009">
        <v>3008</v>
      </c>
      <c r="B3009" t="s">
        <v>339</v>
      </c>
      <c r="C3009" t="s">
        <v>353</v>
      </c>
      <c r="D3009" t="s">
        <v>6227</v>
      </c>
      <c r="E3009" t="s">
        <v>6228</v>
      </c>
      <c r="F3009" s="46">
        <v>46097.325897743052</v>
      </c>
      <c r="G3009" s="46">
        <v>46097.325897743052</v>
      </c>
      <c r="H3009">
        <v>0</v>
      </c>
    </row>
    <row r="3010" spans="1:8" x14ac:dyDescent="0.15">
      <c r="A3010">
        <v>3009</v>
      </c>
      <c r="B3010" t="s">
        <v>339</v>
      </c>
      <c r="C3010" t="s">
        <v>353</v>
      </c>
      <c r="D3010" t="s">
        <v>6229</v>
      </c>
      <c r="E3010" t="s">
        <v>6230</v>
      </c>
      <c r="F3010" s="46">
        <v>46097.325897743052</v>
      </c>
      <c r="G3010" s="46">
        <v>46097.325897743052</v>
      </c>
      <c r="H3010">
        <v>0</v>
      </c>
    </row>
    <row r="3011" spans="1:8" x14ac:dyDescent="0.15">
      <c r="A3011">
        <v>3010</v>
      </c>
      <c r="B3011" t="s">
        <v>339</v>
      </c>
      <c r="C3011" t="s">
        <v>353</v>
      </c>
      <c r="D3011" t="s">
        <v>6231</v>
      </c>
      <c r="E3011" t="s">
        <v>6230</v>
      </c>
      <c r="F3011" s="46">
        <v>46097.325897743052</v>
      </c>
      <c r="G3011" s="46">
        <v>46097.325897743052</v>
      </c>
      <c r="H3011">
        <v>0</v>
      </c>
    </row>
    <row r="3012" spans="1:8" x14ac:dyDescent="0.15">
      <c r="A3012">
        <v>3011</v>
      </c>
      <c r="B3012" t="s">
        <v>339</v>
      </c>
      <c r="C3012" t="s">
        <v>353</v>
      </c>
      <c r="D3012" t="s">
        <v>6232</v>
      </c>
      <c r="E3012" t="s">
        <v>6233</v>
      </c>
      <c r="F3012" s="46">
        <v>46097.325897743052</v>
      </c>
      <c r="G3012" s="46">
        <v>46097.325897743052</v>
      </c>
      <c r="H3012">
        <v>0</v>
      </c>
    </row>
    <row r="3013" spans="1:8" x14ac:dyDescent="0.15">
      <c r="A3013">
        <v>3012</v>
      </c>
      <c r="B3013" t="s">
        <v>339</v>
      </c>
      <c r="C3013" t="s">
        <v>353</v>
      </c>
      <c r="D3013" t="s">
        <v>6234</v>
      </c>
      <c r="E3013" t="s">
        <v>6233</v>
      </c>
      <c r="F3013" s="46">
        <v>46097.325897743052</v>
      </c>
      <c r="G3013" s="46">
        <v>46097.325897743052</v>
      </c>
      <c r="H3013">
        <v>0</v>
      </c>
    </row>
    <row r="3014" spans="1:8" x14ac:dyDescent="0.15">
      <c r="A3014">
        <v>3013</v>
      </c>
      <c r="B3014" t="s">
        <v>339</v>
      </c>
      <c r="C3014" t="s">
        <v>353</v>
      </c>
      <c r="D3014" t="s">
        <v>6235</v>
      </c>
      <c r="E3014" t="s">
        <v>6233</v>
      </c>
      <c r="F3014" s="46">
        <v>46097.325897743052</v>
      </c>
      <c r="G3014" s="46">
        <v>46097.325897743052</v>
      </c>
      <c r="H3014">
        <v>0</v>
      </c>
    </row>
    <row r="3015" spans="1:8" x14ac:dyDescent="0.15">
      <c r="A3015">
        <v>3014</v>
      </c>
      <c r="B3015" t="s">
        <v>339</v>
      </c>
      <c r="C3015" t="s">
        <v>353</v>
      </c>
      <c r="D3015" t="s">
        <v>6236</v>
      </c>
      <c r="E3015" t="s">
        <v>6237</v>
      </c>
      <c r="F3015" s="46">
        <v>46097.325897743052</v>
      </c>
      <c r="G3015" s="46">
        <v>46097.325897743052</v>
      </c>
      <c r="H3015">
        <v>0</v>
      </c>
    </row>
    <row r="3016" spans="1:8" x14ac:dyDescent="0.15">
      <c r="A3016">
        <v>3015</v>
      </c>
      <c r="B3016" t="s">
        <v>339</v>
      </c>
      <c r="C3016" t="s">
        <v>353</v>
      </c>
      <c r="D3016" t="s">
        <v>6238</v>
      </c>
      <c r="E3016" t="s">
        <v>6237</v>
      </c>
      <c r="F3016" s="46">
        <v>46097.325897743052</v>
      </c>
      <c r="G3016" s="46">
        <v>46097.325897743052</v>
      </c>
      <c r="H3016">
        <v>0</v>
      </c>
    </row>
    <row r="3017" spans="1:8" x14ac:dyDescent="0.15">
      <c r="A3017">
        <v>3016</v>
      </c>
      <c r="B3017" t="s">
        <v>339</v>
      </c>
      <c r="C3017" t="s">
        <v>353</v>
      </c>
      <c r="D3017" t="s">
        <v>6239</v>
      </c>
      <c r="E3017" t="s">
        <v>6240</v>
      </c>
      <c r="F3017" s="46">
        <v>46097.325897743052</v>
      </c>
      <c r="G3017" s="46">
        <v>46097.32589792824</v>
      </c>
      <c r="H3017">
        <v>15</v>
      </c>
    </row>
    <row r="3018" spans="1:8" x14ac:dyDescent="0.15">
      <c r="A3018">
        <v>3017</v>
      </c>
      <c r="B3018" t="s">
        <v>339</v>
      </c>
      <c r="C3018" t="s">
        <v>353</v>
      </c>
      <c r="D3018" t="s">
        <v>6241</v>
      </c>
      <c r="E3018" t="s">
        <v>6240</v>
      </c>
      <c r="F3018" s="46">
        <v>46097.32589792824</v>
      </c>
      <c r="G3018" s="46">
        <v>46097.32589792824</v>
      </c>
      <c r="H3018">
        <v>0</v>
      </c>
    </row>
    <row r="3019" spans="1:8" x14ac:dyDescent="0.15">
      <c r="A3019">
        <v>3018</v>
      </c>
      <c r="B3019" t="s">
        <v>339</v>
      </c>
      <c r="C3019" t="s">
        <v>353</v>
      </c>
      <c r="D3019" t="s">
        <v>6242</v>
      </c>
      <c r="E3019" t="s">
        <v>6240</v>
      </c>
      <c r="F3019" s="46">
        <v>46097.32589792824</v>
      </c>
      <c r="G3019" s="46">
        <v>46097.32589792824</v>
      </c>
      <c r="H3019">
        <v>0</v>
      </c>
    </row>
    <row r="3020" spans="1:8" x14ac:dyDescent="0.15">
      <c r="A3020">
        <v>3019</v>
      </c>
      <c r="B3020" t="s">
        <v>339</v>
      </c>
      <c r="C3020" t="s">
        <v>353</v>
      </c>
      <c r="D3020" t="s">
        <v>6243</v>
      </c>
      <c r="E3020" t="s">
        <v>6240</v>
      </c>
      <c r="F3020" s="46">
        <v>46097.32589792824</v>
      </c>
      <c r="G3020" s="46">
        <v>46097.32589792824</v>
      </c>
      <c r="H3020">
        <v>0</v>
      </c>
    </row>
    <row r="3021" spans="1:8" x14ac:dyDescent="0.15">
      <c r="A3021">
        <v>3020</v>
      </c>
      <c r="B3021" t="s">
        <v>339</v>
      </c>
      <c r="C3021" t="s">
        <v>353</v>
      </c>
      <c r="D3021" t="s">
        <v>6244</v>
      </c>
      <c r="E3021" t="s">
        <v>6245</v>
      </c>
      <c r="F3021" s="46">
        <v>46097.32589792824</v>
      </c>
      <c r="G3021" s="46">
        <v>46097.32589792824</v>
      </c>
      <c r="H3021">
        <v>0</v>
      </c>
    </row>
    <row r="3022" spans="1:8" x14ac:dyDescent="0.15">
      <c r="A3022">
        <v>3021</v>
      </c>
      <c r="B3022" t="s">
        <v>339</v>
      </c>
      <c r="C3022" t="s">
        <v>353</v>
      </c>
      <c r="D3022" t="s">
        <v>6246</v>
      </c>
      <c r="E3022" t="s">
        <v>6247</v>
      </c>
      <c r="F3022" s="46">
        <v>46097.32589792824</v>
      </c>
      <c r="G3022" s="46">
        <v>46097.32589792824</v>
      </c>
      <c r="H3022">
        <v>0</v>
      </c>
    </row>
    <row r="3023" spans="1:8" x14ac:dyDescent="0.15">
      <c r="A3023">
        <v>3022</v>
      </c>
      <c r="B3023" t="s">
        <v>339</v>
      </c>
      <c r="C3023" t="s">
        <v>353</v>
      </c>
      <c r="D3023" t="s">
        <v>6248</v>
      </c>
      <c r="E3023" t="s">
        <v>6247</v>
      </c>
      <c r="F3023" s="46">
        <v>46097.32589792824</v>
      </c>
      <c r="G3023" s="46">
        <v>46097.32589792824</v>
      </c>
      <c r="H3023">
        <v>0</v>
      </c>
    </row>
    <row r="3024" spans="1:8" x14ac:dyDescent="0.15">
      <c r="A3024">
        <v>3023</v>
      </c>
      <c r="B3024" t="s">
        <v>339</v>
      </c>
      <c r="C3024" t="s">
        <v>353</v>
      </c>
      <c r="D3024" t="s">
        <v>6249</v>
      </c>
      <c r="E3024" t="s">
        <v>6247</v>
      </c>
      <c r="F3024" s="46">
        <v>46097.32589792824</v>
      </c>
      <c r="G3024" s="46">
        <v>46097.32589792824</v>
      </c>
      <c r="H3024">
        <v>0</v>
      </c>
    </row>
    <row r="3025" spans="1:8" x14ac:dyDescent="0.15">
      <c r="A3025">
        <v>3024</v>
      </c>
      <c r="B3025" t="s">
        <v>339</v>
      </c>
      <c r="C3025" t="s">
        <v>353</v>
      </c>
      <c r="D3025" t="s">
        <v>6250</v>
      </c>
      <c r="E3025" t="s">
        <v>6251</v>
      </c>
      <c r="F3025" s="46">
        <v>46097.32589792824</v>
      </c>
      <c r="G3025" s="46">
        <v>46097.32589792824</v>
      </c>
      <c r="H3025">
        <v>0</v>
      </c>
    </row>
    <row r="3026" spans="1:8" x14ac:dyDescent="0.15">
      <c r="A3026">
        <v>3025</v>
      </c>
      <c r="B3026" t="s">
        <v>339</v>
      </c>
      <c r="C3026" t="s">
        <v>353</v>
      </c>
      <c r="D3026" t="s">
        <v>6252</v>
      </c>
      <c r="E3026" t="s">
        <v>6251</v>
      </c>
      <c r="F3026" s="46">
        <v>46097.32589792824</v>
      </c>
      <c r="G3026" s="46">
        <v>46097.32589792824</v>
      </c>
      <c r="H3026">
        <v>0</v>
      </c>
    </row>
    <row r="3027" spans="1:8" x14ac:dyDescent="0.15">
      <c r="A3027">
        <v>3026</v>
      </c>
      <c r="B3027" t="s">
        <v>339</v>
      </c>
      <c r="C3027" t="s">
        <v>353</v>
      </c>
      <c r="D3027" t="s">
        <v>6253</v>
      </c>
      <c r="E3027" t="s">
        <v>6251</v>
      </c>
      <c r="F3027" s="46">
        <v>46097.32589792824</v>
      </c>
      <c r="G3027" s="46">
        <v>46097.325898101852</v>
      </c>
      <c r="H3027">
        <v>16</v>
      </c>
    </row>
    <row r="3028" spans="1:8" x14ac:dyDescent="0.15">
      <c r="A3028">
        <v>3027</v>
      </c>
      <c r="B3028" t="s">
        <v>339</v>
      </c>
      <c r="C3028" t="s">
        <v>353</v>
      </c>
      <c r="D3028" t="s">
        <v>6254</v>
      </c>
      <c r="E3028" t="s">
        <v>6255</v>
      </c>
      <c r="F3028" s="46">
        <v>46097.325898101852</v>
      </c>
      <c r="G3028" s="46">
        <v>46097.325898101852</v>
      </c>
      <c r="H3028">
        <v>0</v>
      </c>
    </row>
    <row r="3029" spans="1:8" x14ac:dyDescent="0.15">
      <c r="A3029">
        <v>3028</v>
      </c>
      <c r="B3029" t="s">
        <v>339</v>
      </c>
      <c r="C3029" t="s">
        <v>353</v>
      </c>
      <c r="D3029" t="s">
        <v>6256</v>
      </c>
      <c r="E3029" t="s">
        <v>6255</v>
      </c>
      <c r="F3029" s="46">
        <v>46097.325898101852</v>
      </c>
      <c r="G3029" s="46">
        <v>46097.325898101852</v>
      </c>
      <c r="H3029">
        <v>0</v>
      </c>
    </row>
    <row r="3030" spans="1:8" x14ac:dyDescent="0.15">
      <c r="A3030">
        <v>3029</v>
      </c>
      <c r="B3030" t="s">
        <v>339</v>
      </c>
      <c r="C3030" t="s">
        <v>353</v>
      </c>
      <c r="D3030" t="s">
        <v>6257</v>
      </c>
      <c r="E3030" t="s">
        <v>6255</v>
      </c>
      <c r="F3030" s="46">
        <v>46097.325898101852</v>
      </c>
      <c r="G3030" s="46">
        <v>46097.325898101852</v>
      </c>
      <c r="H3030">
        <v>0</v>
      </c>
    </row>
    <row r="3031" spans="1:8" x14ac:dyDescent="0.15">
      <c r="A3031">
        <v>3030</v>
      </c>
      <c r="B3031" t="s">
        <v>339</v>
      </c>
      <c r="C3031" t="s">
        <v>353</v>
      </c>
      <c r="D3031" t="s">
        <v>6258</v>
      </c>
      <c r="E3031" t="s">
        <v>6259</v>
      </c>
      <c r="F3031" s="46">
        <v>46097.325898101852</v>
      </c>
      <c r="G3031" s="46">
        <v>46097.325898101852</v>
      </c>
      <c r="H3031">
        <v>0</v>
      </c>
    </row>
    <row r="3032" spans="1:8" x14ac:dyDescent="0.15">
      <c r="A3032">
        <v>3031</v>
      </c>
      <c r="B3032" t="s">
        <v>339</v>
      </c>
      <c r="C3032" t="s">
        <v>353</v>
      </c>
      <c r="D3032" t="s">
        <v>6260</v>
      </c>
      <c r="E3032" t="s">
        <v>6261</v>
      </c>
      <c r="F3032" s="46">
        <v>46097.325898101852</v>
      </c>
      <c r="G3032" s="46">
        <v>46097.325898101852</v>
      </c>
      <c r="H3032">
        <v>0</v>
      </c>
    </row>
    <row r="3033" spans="1:8" x14ac:dyDescent="0.15">
      <c r="A3033">
        <v>3032</v>
      </c>
      <c r="B3033" t="s">
        <v>339</v>
      </c>
      <c r="C3033" t="s">
        <v>353</v>
      </c>
      <c r="D3033" t="s">
        <v>6262</v>
      </c>
      <c r="E3033" t="s">
        <v>6263</v>
      </c>
      <c r="F3033" s="46">
        <v>46097.325898101852</v>
      </c>
      <c r="G3033" s="46">
        <v>46097.325898101852</v>
      </c>
      <c r="H3033">
        <v>0</v>
      </c>
    </row>
    <row r="3034" spans="1:8" x14ac:dyDescent="0.15">
      <c r="A3034">
        <v>3033</v>
      </c>
      <c r="B3034" t="s">
        <v>339</v>
      </c>
      <c r="C3034" t="s">
        <v>353</v>
      </c>
      <c r="D3034" t="s">
        <v>6264</v>
      </c>
      <c r="E3034" t="s">
        <v>6265</v>
      </c>
      <c r="F3034" s="46">
        <v>46097.325898101852</v>
      </c>
      <c r="G3034" s="46">
        <v>46097.325898101852</v>
      </c>
      <c r="H3034">
        <v>0</v>
      </c>
    </row>
    <row r="3035" spans="1:8" x14ac:dyDescent="0.15">
      <c r="A3035">
        <v>3034</v>
      </c>
      <c r="B3035" t="s">
        <v>339</v>
      </c>
      <c r="C3035" t="s">
        <v>353</v>
      </c>
      <c r="D3035" t="s">
        <v>6266</v>
      </c>
      <c r="E3035" t="s">
        <v>6267</v>
      </c>
      <c r="F3035" s="46">
        <v>46097.325898101852</v>
      </c>
      <c r="G3035" s="46">
        <v>46097.325898101852</v>
      </c>
      <c r="H3035">
        <v>0</v>
      </c>
    </row>
    <row r="3036" spans="1:8" x14ac:dyDescent="0.15">
      <c r="A3036">
        <v>3035</v>
      </c>
      <c r="B3036" t="s">
        <v>339</v>
      </c>
      <c r="C3036" t="s">
        <v>353</v>
      </c>
      <c r="D3036" t="s">
        <v>6268</v>
      </c>
      <c r="E3036" t="s">
        <v>6267</v>
      </c>
      <c r="F3036" s="46">
        <v>46097.325898101852</v>
      </c>
      <c r="G3036" s="46">
        <v>46097.325898101852</v>
      </c>
      <c r="H3036">
        <v>0</v>
      </c>
    </row>
    <row r="3037" spans="1:8" x14ac:dyDescent="0.15">
      <c r="A3037">
        <v>3036</v>
      </c>
      <c r="B3037" t="s">
        <v>339</v>
      </c>
      <c r="C3037" t="s">
        <v>353</v>
      </c>
      <c r="D3037" t="s">
        <v>6269</v>
      </c>
      <c r="E3037" t="s">
        <v>6267</v>
      </c>
      <c r="F3037" s="46">
        <v>46097.325898101852</v>
      </c>
      <c r="G3037" s="46">
        <v>46097.325898101852</v>
      </c>
      <c r="H3037">
        <v>0</v>
      </c>
    </row>
    <row r="3038" spans="1:8" x14ac:dyDescent="0.15">
      <c r="A3038">
        <v>3037</v>
      </c>
      <c r="B3038" t="s">
        <v>339</v>
      </c>
      <c r="C3038" t="s">
        <v>353</v>
      </c>
      <c r="D3038" t="s">
        <v>6270</v>
      </c>
      <c r="E3038" t="s">
        <v>6267</v>
      </c>
      <c r="F3038" s="46">
        <v>46097.325898101852</v>
      </c>
      <c r="G3038" s="46">
        <v>46097.325898287039</v>
      </c>
      <c r="H3038">
        <v>15</v>
      </c>
    </row>
    <row r="3039" spans="1:8" x14ac:dyDescent="0.15">
      <c r="A3039">
        <v>3038</v>
      </c>
      <c r="B3039" t="s">
        <v>339</v>
      </c>
      <c r="C3039" t="s">
        <v>353</v>
      </c>
      <c r="D3039" t="s">
        <v>6271</v>
      </c>
      <c r="E3039" t="s">
        <v>6272</v>
      </c>
      <c r="F3039" s="46">
        <v>46097.325898287039</v>
      </c>
      <c r="G3039" s="46">
        <v>46097.325898287039</v>
      </c>
      <c r="H3039">
        <v>0</v>
      </c>
    </row>
    <row r="3040" spans="1:8" x14ac:dyDescent="0.15">
      <c r="A3040">
        <v>3039</v>
      </c>
      <c r="B3040" t="s">
        <v>339</v>
      </c>
      <c r="C3040" t="s">
        <v>353</v>
      </c>
      <c r="D3040" t="s">
        <v>6273</v>
      </c>
      <c r="E3040" t="s">
        <v>6274</v>
      </c>
      <c r="F3040" s="46">
        <v>46097.325898287039</v>
      </c>
      <c r="G3040" s="46">
        <v>46097.325898287039</v>
      </c>
      <c r="H3040">
        <v>0</v>
      </c>
    </row>
    <row r="3041" spans="1:8" x14ac:dyDescent="0.15">
      <c r="A3041">
        <v>3040</v>
      </c>
      <c r="B3041" t="s">
        <v>339</v>
      </c>
      <c r="C3041" t="s">
        <v>353</v>
      </c>
      <c r="D3041" t="s">
        <v>6275</v>
      </c>
      <c r="E3041" t="s">
        <v>6274</v>
      </c>
      <c r="F3041" s="46">
        <v>46097.325898287039</v>
      </c>
      <c r="G3041" s="46">
        <v>46097.325898287039</v>
      </c>
      <c r="H3041">
        <v>0</v>
      </c>
    </row>
    <row r="3042" spans="1:8" x14ac:dyDescent="0.15">
      <c r="A3042">
        <v>3041</v>
      </c>
      <c r="B3042" t="s">
        <v>339</v>
      </c>
      <c r="C3042" t="s">
        <v>353</v>
      </c>
      <c r="D3042" t="s">
        <v>6276</v>
      </c>
      <c r="E3042" t="s">
        <v>6274</v>
      </c>
      <c r="F3042" s="46">
        <v>46097.325898287039</v>
      </c>
      <c r="G3042" s="46">
        <v>46097.325898287039</v>
      </c>
      <c r="H3042">
        <v>0</v>
      </c>
    </row>
    <row r="3043" spans="1:8" x14ac:dyDescent="0.15">
      <c r="A3043">
        <v>3042</v>
      </c>
      <c r="B3043" t="s">
        <v>339</v>
      </c>
      <c r="C3043" t="s">
        <v>353</v>
      </c>
      <c r="D3043" t="s">
        <v>6277</v>
      </c>
      <c r="E3043" t="s">
        <v>6278</v>
      </c>
      <c r="F3043" s="46">
        <v>46097.325898287039</v>
      </c>
      <c r="G3043" s="46">
        <v>46097.325898287039</v>
      </c>
      <c r="H3043">
        <v>0</v>
      </c>
    </row>
    <row r="3044" spans="1:8" x14ac:dyDescent="0.15">
      <c r="A3044">
        <v>3043</v>
      </c>
      <c r="B3044" t="s">
        <v>339</v>
      </c>
      <c r="C3044" t="s">
        <v>353</v>
      </c>
      <c r="D3044" t="s">
        <v>6279</v>
      </c>
      <c r="E3044" t="s">
        <v>6280</v>
      </c>
      <c r="F3044" s="46">
        <v>46097.325898287039</v>
      </c>
      <c r="G3044" s="46">
        <v>46097.325898287039</v>
      </c>
      <c r="H3044">
        <v>0</v>
      </c>
    </row>
    <row r="3045" spans="1:8" x14ac:dyDescent="0.15">
      <c r="A3045">
        <v>3044</v>
      </c>
      <c r="B3045" t="s">
        <v>339</v>
      </c>
      <c r="C3045" t="s">
        <v>353</v>
      </c>
      <c r="D3045" t="s">
        <v>6281</v>
      </c>
      <c r="E3045" t="s">
        <v>6280</v>
      </c>
      <c r="F3045" s="46">
        <v>46097.325898287039</v>
      </c>
      <c r="G3045" s="46">
        <v>46097.325898287039</v>
      </c>
      <c r="H3045">
        <v>0</v>
      </c>
    </row>
    <row r="3046" spans="1:8" x14ac:dyDescent="0.15">
      <c r="A3046">
        <v>3045</v>
      </c>
      <c r="B3046" t="s">
        <v>339</v>
      </c>
      <c r="C3046" t="s">
        <v>353</v>
      </c>
      <c r="D3046" t="s">
        <v>6282</v>
      </c>
      <c r="E3046" t="s">
        <v>6280</v>
      </c>
      <c r="F3046" s="46">
        <v>46097.325898287039</v>
      </c>
      <c r="G3046" s="46">
        <v>46097.325898287039</v>
      </c>
      <c r="H3046">
        <v>0</v>
      </c>
    </row>
    <row r="3047" spans="1:8" x14ac:dyDescent="0.15">
      <c r="A3047">
        <v>3046</v>
      </c>
      <c r="B3047" t="s">
        <v>339</v>
      </c>
      <c r="C3047" t="s">
        <v>353</v>
      </c>
      <c r="D3047" t="s">
        <v>6283</v>
      </c>
      <c r="E3047" t="s">
        <v>6280</v>
      </c>
      <c r="F3047" s="46">
        <v>46097.325898287039</v>
      </c>
      <c r="G3047" s="46">
        <v>46097.325898287039</v>
      </c>
      <c r="H3047">
        <v>0</v>
      </c>
    </row>
    <row r="3048" spans="1:8" x14ac:dyDescent="0.15">
      <c r="A3048">
        <v>3047</v>
      </c>
      <c r="B3048" t="s">
        <v>339</v>
      </c>
      <c r="C3048" t="s">
        <v>353</v>
      </c>
      <c r="D3048" t="s">
        <v>6284</v>
      </c>
      <c r="E3048" t="s">
        <v>6280</v>
      </c>
      <c r="F3048" s="46">
        <v>46097.325898287039</v>
      </c>
      <c r="G3048" s="46">
        <v>46097.32589847222</v>
      </c>
      <c r="H3048">
        <v>16</v>
      </c>
    </row>
    <row r="3049" spans="1:8" x14ac:dyDescent="0.15">
      <c r="A3049">
        <v>3048</v>
      </c>
      <c r="B3049" t="s">
        <v>339</v>
      </c>
      <c r="C3049" t="s">
        <v>353</v>
      </c>
      <c r="D3049" t="s">
        <v>6285</v>
      </c>
      <c r="E3049" t="s">
        <v>6280</v>
      </c>
      <c r="F3049" s="46">
        <v>46097.32589847222</v>
      </c>
      <c r="G3049" s="46">
        <v>46097.32589847222</v>
      </c>
      <c r="H3049">
        <v>0</v>
      </c>
    </row>
    <row r="3050" spans="1:8" x14ac:dyDescent="0.15">
      <c r="A3050">
        <v>3049</v>
      </c>
      <c r="B3050" t="s">
        <v>339</v>
      </c>
      <c r="C3050" t="s">
        <v>353</v>
      </c>
      <c r="D3050" t="s">
        <v>6286</v>
      </c>
      <c r="E3050" t="s">
        <v>6287</v>
      </c>
      <c r="F3050" s="46">
        <v>46097.32589847222</v>
      </c>
      <c r="G3050" s="46">
        <v>46097.32589847222</v>
      </c>
      <c r="H3050">
        <v>0</v>
      </c>
    </row>
    <row r="3051" spans="1:8" x14ac:dyDescent="0.15">
      <c r="A3051">
        <v>3050</v>
      </c>
      <c r="B3051" t="s">
        <v>339</v>
      </c>
      <c r="C3051" t="s">
        <v>353</v>
      </c>
      <c r="D3051" t="s">
        <v>6288</v>
      </c>
      <c r="E3051" t="s">
        <v>6289</v>
      </c>
      <c r="F3051" s="46">
        <v>46097.32589847222</v>
      </c>
      <c r="G3051" s="46">
        <v>46097.32589847222</v>
      </c>
      <c r="H3051">
        <v>0</v>
      </c>
    </row>
    <row r="3052" spans="1:8" x14ac:dyDescent="0.15">
      <c r="A3052">
        <v>3051</v>
      </c>
      <c r="B3052" t="s">
        <v>339</v>
      </c>
      <c r="C3052" t="s">
        <v>353</v>
      </c>
      <c r="D3052" t="s">
        <v>6290</v>
      </c>
      <c r="E3052" t="s">
        <v>6289</v>
      </c>
      <c r="F3052" s="46">
        <v>46097.32589847222</v>
      </c>
      <c r="G3052" s="46">
        <v>46097.32589847222</v>
      </c>
      <c r="H3052">
        <v>0</v>
      </c>
    </row>
    <row r="3053" spans="1:8" x14ac:dyDescent="0.15">
      <c r="A3053">
        <v>3052</v>
      </c>
      <c r="B3053" t="s">
        <v>339</v>
      </c>
      <c r="C3053" t="s">
        <v>353</v>
      </c>
      <c r="D3053" t="s">
        <v>6291</v>
      </c>
      <c r="E3053" t="s">
        <v>6292</v>
      </c>
      <c r="F3053" s="46">
        <v>46097.32589847222</v>
      </c>
      <c r="G3053" s="46">
        <v>46097.32589847222</v>
      </c>
      <c r="H3053">
        <v>0</v>
      </c>
    </row>
    <row r="3054" spans="1:8" x14ac:dyDescent="0.15">
      <c r="A3054">
        <v>3053</v>
      </c>
      <c r="B3054" t="s">
        <v>339</v>
      </c>
      <c r="C3054" t="s">
        <v>353</v>
      </c>
      <c r="D3054" t="s">
        <v>6293</v>
      </c>
      <c r="E3054" t="s">
        <v>6292</v>
      </c>
      <c r="F3054" s="46">
        <v>46097.32589847222</v>
      </c>
      <c r="G3054" s="46">
        <v>46097.32589847222</v>
      </c>
      <c r="H3054">
        <v>0</v>
      </c>
    </row>
    <row r="3055" spans="1:8" x14ac:dyDescent="0.15">
      <c r="A3055">
        <v>3054</v>
      </c>
      <c r="B3055" t="s">
        <v>339</v>
      </c>
      <c r="C3055" t="s">
        <v>353</v>
      </c>
      <c r="D3055" t="s">
        <v>6294</v>
      </c>
      <c r="E3055" t="s">
        <v>6292</v>
      </c>
      <c r="F3055" s="46">
        <v>46097.32589847222</v>
      </c>
      <c r="G3055" s="46">
        <v>46097.32589847222</v>
      </c>
      <c r="H3055">
        <v>0</v>
      </c>
    </row>
    <row r="3056" spans="1:8" x14ac:dyDescent="0.15">
      <c r="A3056">
        <v>3055</v>
      </c>
      <c r="B3056" t="s">
        <v>339</v>
      </c>
      <c r="C3056" t="s">
        <v>353</v>
      </c>
      <c r="D3056" t="s">
        <v>6295</v>
      </c>
      <c r="E3056" t="s">
        <v>6296</v>
      </c>
      <c r="F3056" s="46">
        <v>46097.32589847222</v>
      </c>
      <c r="G3056" s="46">
        <v>46097.32589847222</v>
      </c>
      <c r="H3056">
        <v>0</v>
      </c>
    </row>
    <row r="3057" spans="1:8" x14ac:dyDescent="0.15">
      <c r="A3057">
        <v>3056</v>
      </c>
      <c r="B3057" t="s">
        <v>339</v>
      </c>
      <c r="C3057" t="s">
        <v>353</v>
      </c>
      <c r="D3057" t="s">
        <v>6297</v>
      </c>
      <c r="E3057" t="s">
        <v>6296</v>
      </c>
      <c r="F3057" s="46">
        <v>46097.32589847222</v>
      </c>
      <c r="G3057" s="46">
        <v>46097.32589847222</v>
      </c>
      <c r="H3057">
        <v>0</v>
      </c>
    </row>
    <row r="3058" spans="1:8" x14ac:dyDescent="0.15">
      <c r="A3058">
        <v>3057</v>
      </c>
      <c r="B3058" t="s">
        <v>339</v>
      </c>
      <c r="C3058" t="s">
        <v>353</v>
      </c>
      <c r="D3058" t="s">
        <v>6298</v>
      </c>
      <c r="E3058" t="s">
        <v>6299</v>
      </c>
      <c r="F3058" s="46">
        <v>46097.32589847222</v>
      </c>
      <c r="G3058" s="46">
        <v>46097.32589847222</v>
      </c>
      <c r="H3058">
        <v>0</v>
      </c>
    </row>
    <row r="3059" spans="1:8" x14ac:dyDescent="0.15">
      <c r="A3059">
        <v>3058</v>
      </c>
      <c r="B3059" t="s">
        <v>339</v>
      </c>
      <c r="C3059" t="s">
        <v>353</v>
      </c>
      <c r="D3059" t="s">
        <v>6300</v>
      </c>
      <c r="E3059" t="s">
        <v>6301</v>
      </c>
      <c r="F3059" s="46">
        <v>46097.32589847222</v>
      </c>
      <c r="G3059" s="46">
        <v>46097.325898645831</v>
      </c>
      <c r="H3059">
        <v>16</v>
      </c>
    </row>
    <row r="3060" spans="1:8" x14ac:dyDescent="0.15">
      <c r="A3060">
        <v>3059</v>
      </c>
      <c r="B3060" t="s">
        <v>339</v>
      </c>
      <c r="C3060" t="s">
        <v>353</v>
      </c>
      <c r="D3060" t="s">
        <v>6302</v>
      </c>
      <c r="E3060" t="s">
        <v>6301</v>
      </c>
      <c r="F3060" s="46">
        <v>46097.325898645831</v>
      </c>
      <c r="G3060" s="46">
        <v>46097.325898645831</v>
      </c>
      <c r="H3060">
        <v>0</v>
      </c>
    </row>
    <row r="3061" spans="1:8" x14ac:dyDescent="0.15">
      <c r="A3061">
        <v>3060</v>
      </c>
      <c r="B3061" t="s">
        <v>339</v>
      </c>
      <c r="C3061" t="s">
        <v>353</v>
      </c>
      <c r="D3061" t="s">
        <v>6303</v>
      </c>
      <c r="E3061" t="s">
        <v>6304</v>
      </c>
      <c r="F3061" s="46">
        <v>46097.325898645831</v>
      </c>
      <c r="G3061" s="46">
        <v>46097.325898645831</v>
      </c>
      <c r="H3061">
        <v>0</v>
      </c>
    </row>
    <row r="3062" spans="1:8" x14ac:dyDescent="0.15">
      <c r="A3062">
        <v>3061</v>
      </c>
      <c r="B3062" t="s">
        <v>339</v>
      </c>
      <c r="C3062" t="s">
        <v>353</v>
      </c>
      <c r="D3062" t="s">
        <v>6305</v>
      </c>
      <c r="E3062" t="s">
        <v>6304</v>
      </c>
      <c r="F3062" s="46">
        <v>46097.325898645831</v>
      </c>
      <c r="G3062" s="46">
        <v>46097.325898645831</v>
      </c>
      <c r="H3062">
        <v>0</v>
      </c>
    </row>
    <row r="3063" spans="1:8" x14ac:dyDescent="0.15">
      <c r="A3063">
        <v>3062</v>
      </c>
      <c r="B3063" t="s">
        <v>339</v>
      </c>
      <c r="C3063" t="s">
        <v>353</v>
      </c>
      <c r="D3063" t="s">
        <v>6306</v>
      </c>
      <c r="E3063" t="s">
        <v>6307</v>
      </c>
      <c r="F3063" s="46">
        <v>46097.325898645831</v>
      </c>
      <c r="G3063" s="46">
        <v>46097.325898645831</v>
      </c>
      <c r="H3063">
        <v>0</v>
      </c>
    </row>
    <row r="3064" spans="1:8" x14ac:dyDescent="0.15">
      <c r="A3064">
        <v>3063</v>
      </c>
      <c r="B3064" t="s">
        <v>339</v>
      </c>
      <c r="C3064" t="s">
        <v>353</v>
      </c>
      <c r="D3064" t="s">
        <v>6308</v>
      </c>
      <c r="E3064" t="s">
        <v>6307</v>
      </c>
      <c r="F3064" s="46">
        <v>46097.325898645831</v>
      </c>
      <c r="G3064" s="46">
        <v>46097.325898645831</v>
      </c>
      <c r="H3064">
        <v>0</v>
      </c>
    </row>
    <row r="3065" spans="1:8" x14ac:dyDescent="0.15">
      <c r="A3065">
        <v>3064</v>
      </c>
      <c r="B3065" t="s">
        <v>339</v>
      </c>
      <c r="C3065" t="s">
        <v>353</v>
      </c>
      <c r="D3065" t="s">
        <v>6309</v>
      </c>
      <c r="E3065" t="s">
        <v>6310</v>
      </c>
      <c r="F3065" s="46">
        <v>46097.325898645831</v>
      </c>
      <c r="G3065" s="46">
        <v>46097.325898645831</v>
      </c>
      <c r="H3065">
        <v>0</v>
      </c>
    </row>
    <row r="3066" spans="1:8" x14ac:dyDescent="0.15">
      <c r="A3066">
        <v>3065</v>
      </c>
      <c r="B3066" t="s">
        <v>339</v>
      </c>
      <c r="C3066" t="s">
        <v>353</v>
      </c>
      <c r="D3066" t="s">
        <v>6311</v>
      </c>
      <c r="E3066" t="s">
        <v>6310</v>
      </c>
      <c r="F3066" s="46">
        <v>46097.325898645831</v>
      </c>
      <c r="G3066" s="46">
        <v>46097.325898645831</v>
      </c>
      <c r="H3066">
        <v>0</v>
      </c>
    </row>
    <row r="3067" spans="1:8" x14ac:dyDescent="0.15">
      <c r="A3067">
        <v>3066</v>
      </c>
      <c r="B3067" t="s">
        <v>339</v>
      </c>
      <c r="C3067" t="s">
        <v>353</v>
      </c>
      <c r="D3067" t="s">
        <v>6312</v>
      </c>
      <c r="E3067" t="s">
        <v>6310</v>
      </c>
      <c r="F3067" s="46">
        <v>46097.325898645831</v>
      </c>
      <c r="G3067" s="46">
        <v>46097.325898645831</v>
      </c>
      <c r="H3067">
        <v>0</v>
      </c>
    </row>
    <row r="3068" spans="1:8" x14ac:dyDescent="0.15">
      <c r="A3068">
        <v>3067</v>
      </c>
      <c r="B3068" t="s">
        <v>339</v>
      </c>
      <c r="C3068" t="s">
        <v>353</v>
      </c>
      <c r="D3068" t="s">
        <v>6313</v>
      </c>
      <c r="E3068" t="s">
        <v>6314</v>
      </c>
      <c r="F3068" s="46">
        <v>46097.325898645831</v>
      </c>
      <c r="G3068" s="46">
        <v>46097.325898645831</v>
      </c>
      <c r="H3068">
        <v>0</v>
      </c>
    </row>
    <row r="3069" spans="1:8" x14ac:dyDescent="0.15">
      <c r="A3069">
        <v>3068</v>
      </c>
      <c r="B3069" t="s">
        <v>339</v>
      </c>
      <c r="C3069" t="s">
        <v>353</v>
      </c>
      <c r="D3069" t="s">
        <v>6315</v>
      </c>
      <c r="E3069" t="s">
        <v>6314</v>
      </c>
      <c r="F3069" s="46">
        <v>46097.325898645831</v>
      </c>
      <c r="G3069" s="46">
        <v>46097.325898831019</v>
      </c>
      <c r="H3069">
        <v>15</v>
      </c>
    </row>
    <row r="3070" spans="1:8" x14ac:dyDescent="0.15">
      <c r="A3070">
        <v>3069</v>
      </c>
      <c r="B3070" t="s">
        <v>339</v>
      </c>
      <c r="C3070" t="s">
        <v>353</v>
      </c>
      <c r="D3070" t="s">
        <v>6316</v>
      </c>
      <c r="E3070" t="s">
        <v>747</v>
      </c>
      <c r="F3070" s="46">
        <v>46097.325898831019</v>
      </c>
      <c r="G3070" s="46">
        <v>46097.325898831019</v>
      </c>
      <c r="H3070">
        <v>0</v>
      </c>
    </row>
    <row r="3071" spans="1:8" x14ac:dyDescent="0.15">
      <c r="A3071">
        <v>3070</v>
      </c>
      <c r="B3071" t="s">
        <v>339</v>
      </c>
      <c r="C3071" t="s">
        <v>353</v>
      </c>
      <c r="D3071" t="s">
        <v>6317</v>
      </c>
      <c r="E3071" t="s">
        <v>748</v>
      </c>
      <c r="F3071" s="46">
        <v>46097.325898831019</v>
      </c>
      <c r="G3071" s="46">
        <v>46097.325898831019</v>
      </c>
      <c r="H3071">
        <v>0</v>
      </c>
    </row>
    <row r="3072" spans="1:8" x14ac:dyDescent="0.15">
      <c r="A3072">
        <v>3071</v>
      </c>
      <c r="B3072" t="s">
        <v>339</v>
      </c>
      <c r="C3072" t="s">
        <v>353</v>
      </c>
      <c r="D3072" t="s">
        <v>6318</v>
      </c>
      <c r="E3072" t="s">
        <v>6319</v>
      </c>
      <c r="F3072" s="46">
        <v>46097.325898831019</v>
      </c>
      <c r="G3072" s="46">
        <v>46097.325898831019</v>
      </c>
      <c r="H3072">
        <v>0</v>
      </c>
    </row>
    <row r="3073" spans="1:8" x14ac:dyDescent="0.15">
      <c r="A3073">
        <v>3072</v>
      </c>
      <c r="B3073" t="s">
        <v>339</v>
      </c>
      <c r="C3073" t="s">
        <v>353</v>
      </c>
      <c r="D3073" t="s">
        <v>6320</v>
      </c>
      <c r="E3073" t="s">
        <v>6319</v>
      </c>
      <c r="F3073" s="46">
        <v>46097.325898831019</v>
      </c>
      <c r="G3073" s="46">
        <v>46097.325898831019</v>
      </c>
      <c r="H3073">
        <v>0</v>
      </c>
    </row>
    <row r="3074" spans="1:8" x14ac:dyDescent="0.15">
      <c r="A3074">
        <v>3073</v>
      </c>
      <c r="B3074" t="s">
        <v>339</v>
      </c>
      <c r="C3074" t="s">
        <v>353</v>
      </c>
      <c r="D3074" t="s">
        <v>6321</v>
      </c>
      <c r="E3074" t="s">
        <v>6319</v>
      </c>
      <c r="F3074" s="46">
        <v>46097.325898831019</v>
      </c>
      <c r="G3074" s="46">
        <v>46097.325898831019</v>
      </c>
      <c r="H3074">
        <v>0</v>
      </c>
    </row>
    <row r="3075" spans="1:8" x14ac:dyDescent="0.15">
      <c r="A3075">
        <v>3074</v>
      </c>
      <c r="B3075" t="s">
        <v>339</v>
      </c>
      <c r="C3075" t="s">
        <v>353</v>
      </c>
      <c r="D3075" t="s">
        <v>6322</v>
      </c>
      <c r="E3075" t="s">
        <v>6319</v>
      </c>
      <c r="F3075" s="46">
        <v>46097.325898831019</v>
      </c>
      <c r="G3075" s="46">
        <v>46097.325898831019</v>
      </c>
      <c r="H3075">
        <v>0</v>
      </c>
    </row>
    <row r="3076" spans="1:8" x14ac:dyDescent="0.15">
      <c r="A3076">
        <v>3075</v>
      </c>
      <c r="B3076" t="s">
        <v>339</v>
      </c>
      <c r="C3076" t="s">
        <v>353</v>
      </c>
      <c r="D3076" t="s">
        <v>6323</v>
      </c>
      <c r="E3076" t="s">
        <v>6319</v>
      </c>
      <c r="F3076" s="46">
        <v>46097.325898831019</v>
      </c>
      <c r="G3076" s="46">
        <v>46097.325898831019</v>
      </c>
      <c r="H3076">
        <v>0</v>
      </c>
    </row>
    <row r="3077" spans="1:8" x14ac:dyDescent="0.15">
      <c r="A3077">
        <v>3076</v>
      </c>
      <c r="B3077" t="s">
        <v>339</v>
      </c>
      <c r="C3077" t="s">
        <v>353</v>
      </c>
      <c r="D3077" t="s">
        <v>6324</v>
      </c>
      <c r="E3077" t="s">
        <v>6319</v>
      </c>
      <c r="F3077" s="46">
        <v>46097.325898831019</v>
      </c>
      <c r="G3077" s="46">
        <v>46097.325898831019</v>
      </c>
      <c r="H3077">
        <v>0</v>
      </c>
    </row>
    <row r="3078" spans="1:8" x14ac:dyDescent="0.15">
      <c r="A3078">
        <v>3077</v>
      </c>
      <c r="B3078" t="s">
        <v>339</v>
      </c>
      <c r="C3078" t="s">
        <v>353</v>
      </c>
      <c r="D3078" t="s">
        <v>6325</v>
      </c>
      <c r="E3078" t="s">
        <v>6326</v>
      </c>
      <c r="F3078" s="46">
        <v>46097.325898831019</v>
      </c>
      <c r="G3078" s="46">
        <v>46097.325898831019</v>
      </c>
      <c r="H3078">
        <v>0</v>
      </c>
    </row>
    <row r="3079" spans="1:8" x14ac:dyDescent="0.15">
      <c r="A3079">
        <v>3078</v>
      </c>
      <c r="B3079" t="s">
        <v>339</v>
      </c>
      <c r="C3079" t="s">
        <v>353</v>
      </c>
      <c r="D3079" t="s">
        <v>6327</v>
      </c>
      <c r="E3079" t="s">
        <v>6328</v>
      </c>
      <c r="F3079" s="46">
        <v>46097.325898831019</v>
      </c>
      <c r="G3079" s="46">
        <v>46097.325898831019</v>
      </c>
      <c r="H3079">
        <v>0</v>
      </c>
    </row>
    <row r="3080" spans="1:8" x14ac:dyDescent="0.15">
      <c r="A3080">
        <v>3079</v>
      </c>
      <c r="B3080" t="s">
        <v>339</v>
      </c>
      <c r="C3080" t="s">
        <v>353</v>
      </c>
      <c r="D3080" t="s">
        <v>6329</v>
      </c>
      <c r="E3080" t="s">
        <v>6330</v>
      </c>
      <c r="F3080" s="46">
        <v>46097.325898831019</v>
      </c>
      <c r="G3080" s="46">
        <v>46097.325899004631</v>
      </c>
      <c r="H3080">
        <v>16</v>
      </c>
    </row>
    <row r="3081" spans="1:8" x14ac:dyDescent="0.15">
      <c r="A3081">
        <v>3080</v>
      </c>
      <c r="B3081" t="s">
        <v>339</v>
      </c>
      <c r="C3081" t="s">
        <v>353</v>
      </c>
      <c r="D3081" t="s">
        <v>6331</v>
      </c>
      <c r="E3081" t="s">
        <v>6332</v>
      </c>
      <c r="F3081" s="46">
        <v>46097.325899004631</v>
      </c>
      <c r="G3081" s="46">
        <v>46097.325899004631</v>
      </c>
      <c r="H3081">
        <v>0</v>
      </c>
    </row>
    <row r="3082" spans="1:8" x14ac:dyDescent="0.15">
      <c r="A3082">
        <v>3081</v>
      </c>
      <c r="B3082" t="s">
        <v>339</v>
      </c>
      <c r="C3082" t="s">
        <v>353</v>
      </c>
      <c r="D3082" t="s">
        <v>6333</v>
      </c>
      <c r="E3082" t="s">
        <v>6332</v>
      </c>
      <c r="F3082" s="46">
        <v>46097.325899004631</v>
      </c>
      <c r="G3082" s="46">
        <v>46097.325899004631</v>
      </c>
      <c r="H3082">
        <v>0</v>
      </c>
    </row>
    <row r="3083" spans="1:8" x14ac:dyDescent="0.15">
      <c r="A3083">
        <v>3082</v>
      </c>
      <c r="B3083" t="s">
        <v>339</v>
      </c>
      <c r="C3083" t="s">
        <v>353</v>
      </c>
      <c r="D3083" t="s">
        <v>6334</v>
      </c>
      <c r="E3083" t="s">
        <v>6332</v>
      </c>
      <c r="F3083" s="46">
        <v>46097.325899004631</v>
      </c>
      <c r="G3083" s="46">
        <v>46097.325899004631</v>
      </c>
      <c r="H3083">
        <v>0</v>
      </c>
    </row>
    <row r="3084" spans="1:8" x14ac:dyDescent="0.15">
      <c r="A3084">
        <v>3083</v>
      </c>
      <c r="B3084" t="s">
        <v>339</v>
      </c>
      <c r="C3084" t="s">
        <v>353</v>
      </c>
      <c r="D3084" t="s">
        <v>6335</v>
      </c>
      <c r="E3084" t="s">
        <v>6332</v>
      </c>
      <c r="F3084" s="46">
        <v>46097.325899004631</v>
      </c>
      <c r="G3084" s="46">
        <v>46097.325899004631</v>
      </c>
      <c r="H3084">
        <v>0</v>
      </c>
    </row>
    <row r="3085" spans="1:8" x14ac:dyDescent="0.15">
      <c r="A3085">
        <v>3084</v>
      </c>
      <c r="B3085" t="s">
        <v>339</v>
      </c>
      <c r="C3085" t="s">
        <v>353</v>
      </c>
      <c r="D3085" t="s">
        <v>6336</v>
      </c>
      <c r="E3085" t="s">
        <v>6332</v>
      </c>
      <c r="F3085" s="46">
        <v>46097.325899004631</v>
      </c>
      <c r="G3085" s="46">
        <v>46097.325899004631</v>
      </c>
      <c r="H3085">
        <v>0</v>
      </c>
    </row>
    <row r="3086" spans="1:8" x14ac:dyDescent="0.15">
      <c r="A3086">
        <v>3085</v>
      </c>
      <c r="B3086" t="s">
        <v>339</v>
      </c>
      <c r="C3086" t="s">
        <v>353</v>
      </c>
      <c r="D3086" t="s">
        <v>6337</v>
      </c>
      <c r="E3086" t="s">
        <v>6332</v>
      </c>
      <c r="F3086" s="46">
        <v>46097.325899004631</v>
      </c>
      <c r="G3086" s="46">
        <v>46097.325899004631</v>
      </c>
      <c r="H3086">
        <v>0</v>
      </c>
    </row>
    <row r="3087" spans="1:8" x14ac:dyDescent="0.15">
      <c r="A3087">
        <v>3086</v>
      </c>
      <c r="B3087" t="s">
        <v>339</v>
      </c>
      <c r="C3087" t="s">
        <v>353</v>
      </c>
      <c r="D3087" t="s">
        <v>6338</v>
      </c>
      <c r="E3087" t="s">
        <v>6339</v>
      </c>
      <c r="F3087" s="46">
        <v>46097.325899004631</v>
      </c>
      <c r="G3087" s="46">
        <v>46097.325899004631</v>
      </c>
      <c r="H3087">
        <v>0</v>
      </c>
    </row>
    <row r="3088" spans="1:8" x14ac:dyDescent="0.15">
      <c r="A3088">
        <v>3087</v>
      </c>
      <c r="B3088" t="s">
        <v>339</v>
      </c>
      <c r="C3088" t="s">
        <v>353</v>
      </c>
      <c r="D3088" t="s">
        <v>6340</v>
      </c>
      <c r="E3088" t="s">
        <v>6341</v>
      </c>
      <c r="F3088" s="46">
        <v>46097.325899004631</v>
      </c>
      <c r="G3088" s="46">
        <v>46097.325899004631</v>
      </c>
      <c r="H3088">
        <v>0</v>
      </c>
    </row>
    <row r="3089" spans="1:8" x14ac:dyDescent="0.15">
      <c r="A3089">
        <v>3088</v>
      </c>
      <c r="B3089" t="s">
        <v>339</v>
      </c>
      <c r="C3089" t="s">
        <v>353</v>
      </c>
      <c r="D3089" t="s">
        <v>6342</v>
      </c>
      <c r="E3089" t="s">
        <v>6343</v>
      </c>
      <c r="F3089" s="46">
        <v>46097.325899004631</v>
      </c>
      <c r="G3089" s="46">
        <v>46097.325899004631</v>
      </c>
      <c r="H3089">
        <v>0</v>
      </c>
    </row>
    <row r="3090" spans="1:8" x14ac:dyDescent="0.15">
      <c r="A3090">
        <v>3089</v>
      </c>
      <c r="B3090" t="s">
        <v>339</v>
      </c>
      <c r="C3090" t="s">
        <v>353</v>
      </c>
      <c r="D3090" t="s">
        <v>6344</v>
      </c>
      <c r="E3090" t="s">
        <v>6345</v>
      </c>
      <c r="F3090" s="46">
        <v>46097.325899004631</v>
      </c>
      <c r="G3090" s="46">
        <v>46097.325899189818</v>
      </c>
      <c r="H3090">
        <v>16</v>
      </c>
    </row>
    <row r="3091" spans="1:8" x14ac:dyDescent="0.15">
      <c r="A3091">
        <v>3090</v>
      </c>
      <c r="B3091" t="s">
        <v>339</v>
      </c>
      <c r="C3091" t="s">
        <v>353</v>
      </c>
      <c r="D3091" t="s">
        <v>6346</v>
      </c>
      <c r="E3091" t="s">
        <v>6347</v>
      </c>
      <c r="F3091" s="46">
        <v>46097.325899189818</v>
      </c>
      <c r="G3091" s="46">
        <v>46097.325899189818</v>
      </c>
      <c r="H3091">
        <v>0</v>
      </c>
    </row>
    <row r="3092" spans="1:8" x14ac:dyDescent="0.15">
      <c r="A3092">
        <v>3091</v>
      </c>
      <c r="B3092" t="s">
        <v>339</v>
      </c>
      <c r="C3092" t="s">
        <v>353</v>
      </c>
      <c r="D3092" t="s">
        <v>6348</v>
      </c>
      <c r="E3092" t="s">
        <v>6349</v>
      </c>
      <c r="F3092" s="46">
        <v>46097.325899189818</v>
      </c>
      <c r="G3092" s="46">
        <v>46097.325899189818</v>
      </c>
      <c r="H3092">
        <v>0</v>
      </c>
    </row>
    <row r="3093" spans="1:8" x14ac:dyDescent="0.15">
      <c r="A3093">
        <v>3092</v>
      </c>
      <c r="B3093" t="s">
        <v>339</v>
      </c>
      <c r="C3093" t="s">
        <v>353</v>
      </c>
      <c r="D3093" t="s">
        <v>6350</v>
      </c>
      <c r="E3093" t="s">
        <v>6349</v>
      </c>
      <c r="F3093" s="46">
        <v>46097.325899189818</v>
      </c>
      <c r="G3093" s="46">
        <v>46097.325899189818</v>
      </c>
      <c r="H3093">
        <v>0</v>
      </c>
    </row>
    <row r="3094" spans="1:8" x14ac:dyDescent="0.15">
      <c r="A3094">
        <v>3093</v>
      </c>
      <c r="B3094" t="s">
        <v>339</v>
      </c>
      <c r="C3094" t="s">
        <v>353</v>
      </c>
      <c r="D3094" t="s">
        <v>6351</v>
      </c>
      <c r="E3094" t="s">
        <v>6349</v>
      </c>
      <c r="F3094" s="46">
        <v>46097.325899189818</v>
      </c>
      <c r="G3094" s="46">
        <v>46097.325899189818</v>
      </c>
      <c r="H3094">
        <v>0</v>
      </c>
    </row>
    <row r="3095" spans="1:8" x14ac:dyDescent="0.15">
      <c r="A3095">
        <v>3094</v>
      </c>
      <c r="B3095" t="s">
        <v>339</v>
      </c>
      <c r="C3095" t="s">
        <v>353</v>
      </c>
      <c r="D3095" t="s">
        <v>6352</v>
      </c>
      <c r="E3095" t="s">
        <v>6353</v>
      </c>
      <c r="F3095" s="46">
        <v>46097.325899189818</v>
      </c>
      <c r="G3095" s="46">
        <v>46097.325899189818</v>
      </c>
      <c r="H3095">
        <v>0</v>
      </c>
    </row>
    <row r="3096" spans="1:8" x14ac:dyDescent="0.15">
      <c r="A3096">
        <v>3095</v>
      </c>
      <c r="B3096" t="s">
        <v>339</v>
      </c>
      <c r="C3096" t="s">
        <v>353</v>
      </c>
      <c r="D3096" t="s">
        <v>6354</v>
      </c>
      <c r="E3096" t="s">
        <v>749</v>
      </c>
      <c r="F3096" s="46">
        <v>46097.325899189818</v>
      </c>
      <c r="G3096" s="46">
        <v>46097.325899189818</v>
      </c>
      <c r="H3096">
        <v>0</v>
      </c>
    </row>
    <row r="3097" spans="1:8" x14ac:dyDescent="0.15">
      <c r="A3097">
        <v>3096</v>
      </c>
      <c r="B3097" t="s">
        <v>339</v>
      </c>
      <c r="C3097" t="s">
        <v>353</v>
      </c>
      <c r="D3097" t="s">
        <v>6355</v>
      </c>
      <c r="E3097" t="s">
        <v>750</v>
      </c>
      <c r="F3097" s="46">
        <v>46097.325899189818</v>
      </c>
      <c r="G3097" s="46">
        <v>46097.325899189818</v>
      </c>
      <c r="H3097">
        <v>0</v>
      </c>
    </row>
    <row r="3098" spans="1:8" x14ac:dyDescent="0.15">
      <c r="A3098">
        <v>3097</v>
      </c>
      <c r="B3098" t="s">
        <v>339</v>
      </c>
      <c r="C3098" t="s">
        <v>353</v>
      </c>
      <c r="D3098" t="s">
        <v>6356</v>
      </c>
      <c r="E3098" t="s">
        <v>750</v>
      </c>
      <c r="F3098" s="46">
        <v>46097.325899189818</v>
      </c>
      <c r="G3098" s="46">
        <v>46097.325899189818</v>
      </c>
      <c r="H3098">
        <v>0</v>
      </c>
    </row>
    <row r="3099" spans="1:8" x14ac:dyDescent="0.15">
      <c r="A3099">
        <v>3098</v>
      </c>
      <c r="B3099" t="s">
        <v>339</v>
      </c>
      <c r="C3099" t="s">
        <v>353</v>
      </c>
      <c r="D3099" t="s">
        <v>6357</v>
      </c>
      <c r="E3099" t="s">
        <v>750</v>
      </c>
      <c r="F3099" s="46">
        <v>46097.325899189818</v>
      </c>
      <c r="G3099" s="46">
        <v>46097.325899189818</v>
      </c>
      <c r="H3099">
        <v>0</v>
      </c>
    </row>
    <row r="3100" spans="1:8" x14ac:dyDescent="0.15">
      <c r="A3100">
        <v>3099</v>
      </c>
      <c r="B3100" t="s">
        <v>339</v>
      </c>
      <c r="C3100" t="s">
        <v>353</v>
      </c>
      <c r="D3100" t="s">
        <v>6358</v>
      </c>
      <c r="E3100" t="s">
        <v>750</v>
      </c>
      <c r="F3100" s="46">
        <v>46097.325899189818</v>
      </c>
      <c r="G3100" s="46">
        <v>46097.325899189818</v>
      </c>
      <c r="H3100">
        <v>0</v>
      </c>
    </row>
    <row r="3101" spans="1:8" x14ac:dyDescent="0.15">
      <c r="A3101">
        <v>3100</v>
      </c>
      <c r="B3101" t="s">
        <v>339</v>
      </c>
      <c r="C3101" t="s">
        <v>353</v>
      </c>
      <c r="D3101" t="s">
        <v>6359</v>
      </c>
      <c r="E3101" t="s">
        <v>750</v>
      </c>
      <c r="F3101" s="46">
        <v>46097.325899189818</v>
      </c>
      <c r="G3101" s="46">
        <v>46097.325899374999</v>
      </c>
      <c r="H3101">
        <v>15</v>
      </c>
    </row>
    <row r="3102" spans="1:8" x14ac:dyDescent="0.15">
      <c r="A3102">
        <v>3101</v>
      </c>
      <c r="B3102" t="s">
        <v>339</v>
      </c>
      <c r="C3102" t="s">
        <v>353</v>
      </c>
      <c r="D3102" t="s">
        <v>6360</v>
      </c>
      <c r="E3102" t="s">
        <v>750</v>
      </c>
      <c r="F3102" s="46">
        <v>46097.325899374999</v>
      </c>
      <c r="G3102" s="46">
        <v>46097.325899374999</v>
      </c>
      <c r="H3102">
        <v>0</v>
      </c>
    </row>
    <row r="3103" spans="1:8" x14ac:dyDescent="0.15">
      <c r="A3103">
        <v>3102</v>
      </c>
      <c r="B3103" t="s">
        <v>339</v>
      </c>
      <c r="C3103" t="s">
        <v>353</v>
      </c>
      <c r="D3103" t="s">
        <v>6361</v>
      </c>
      <c r="E3103" t="s">
        <v>750</v>
      </c>
      <c r="F3103" s="46">
        <v>46097.325899374999</v>
      </c>
      <c r="G3103" s="46">
        <v>46097.325899374999</v>
      </c>
      <c r="H3103">
        <v>0</v>
      </c>
    </row>
    <row r="3104" spans="1:8" x14ac:dyDescent="0.15">
      <c r="A3104">
        <v>3103</v>
      </c>
      <c r="B3104" t="s">
        <v>339</v>
      </c>
      <c r="C3104" t="s">
        <v>353</v>
      </c>
      <c r="D3104" t="s">
        <v>6362</v>
      </c>
      <c r="E3104" t="s">
        <v>750</v>
      </c>
      <c r="F3104" s="46">
        <v>46097.325899374999</v>
      </c>
      <c r="G3104" s="46">
        <v>46097.325899374999</v>
      </c>
      <c r="H3104">
        <v>0</v>
      </c>
    </row>
    <row r="3105" spans="1:8" x14ac:dyDescent="0.15">
      <c r="A3105">
        <v>3104</v>
      </c>
      <c r="B3105" t="s">
        <v>339</v>
      </c>
      <c r="C3105" t="s">
        <v>353</v>
      </c>
      <c r="D3105" t="s">
        <v>6363</v>
      </c>
      <c r="E3105" t="s">
        <v>750</v>
      </c>
      <c r="F3105" s="46">
        <v>46097.325899374999</v>
      </c>
      <c r="G3105" s="46">
        <v>46097.325899374999</v>
      </c>
      <c r="H3105">
        <v>0</v>
      </c>
    </row>
    <row r="3106" spans="1:8" x14ac:dyDescent="0.15">
      <c r="A3106">
        <v>3105</v>
      </c>
      <c r="B3106" t="s">
        <v>339</v>
      </c>
      <c r="C3106" t="s">
        <v>353</v>
      </c>
      <c r="D3106" t="s">
        <v>6364</v>
      </c>
      <c r="E3106" t="s">
        <v>750</v>
      </c>
      <c r="F3106" s="46">
        <v>46097.325899374999</v>
      </c>
      <c r="G3106" s="46">
        <v>46097.325899374999</v>
      </c>
      <c r="H3106">
        <v>0</v>
      </c>
    </row>
    <row r="3107" spans="1:8" x14ac:dyDescent="0.15">
      <c r="A3107">
        <v>3106</v>
      </c>
      <c r="B3107" t="s">
        <v>339</v>
      </c>
      <c r="C3107" t="s">
        <v>353</v>
      </c>
      <c r="D3107" t="s">
        <v>6365</v>
      </c>
      <c r="E3107" t="s">
        <v>750</v>
      </c>
      <c r="F3107" s="46">
        <v>46097.325899374999</v>
      </c>
      <c r="G3107" s="46">
        <v>46097.325899374999</v>
      </c>
      <c r="H3107">
        <v>0</v>
      </c>
    </row>
    <row r="3108" spans="1:8" x14ac:dyDescent="0.15">
      <c r="A3108">
        <v>3107</v>
      </c>
      <c r="B3108" t="s">
        <v>339</v>
      </c>
      <c r="C3108" t="s">
        <v>353</v>
      </c>
      <c r="D3108" t="s">
        <v>6366</v>
      </c>
      <c r="E3108" t="s">
        <v>6367</v>
      </c>
      <c r="F3108" s="46">
        <v>46097.325899374999</v>
      </c>
      <c r="G3108" s="46">
        <v>46097.325899374999</v>
      </c>
      <c r="H3108">
        <v>0</v>
      </c>
    </row>
    <row r="3109" spans="1:8" x14ac:dyDescent="0.15">
      <c r="A3109">
        <v>3108</v>
      </c>
      <c r="B3109" t="s">
        <v>339</v>
      </c>
      <c r="C3109" t="s">
        <v>353</v>
      </c>
      <c r="D3109" t="s">
        <v>6368</v>
      </c>
      <c r="E3109" t="s">
        <v>6367</v>
      </c>
      <c r="F3109" s="46">
        <v>46097.325899374999</v>
      </c>
      <c r="G3109" s="46">
        <v>46097.325899374999</v>
      </c>
      <c r="H3109">
        <v>0</v>
      </c>
    </row>
    <row r="3110" spans="1:8" x14ac:dyDescent="0.15">
      <c r="A3110">
        <v>3109</v>
      </c>
      <c r="B3110" t="s">
        <v>339</v>
      </c>
      <c r="C3110" t="s">
        <v>353</v>
      </c>
      <c r="D3110" t="s">
        <v>6369</v>
      </c>
      <c r="E3110" t="s">
        <v>6367</v>
      </c>
      <c r="F3110" s="46">
        <v>46097.325899374999</v>
      </c>
      <c r="G3110" s="46">
        <v>46097.325899374999</v>
      </c>
      <c r="H3110">
        <v>0</v>
      </c>
    </row>
    <row r="3111" spans="1:8" x14ac:dyDescent="0.15">
      <c r="A3111">
        <v>3110</v>
      </c>
      <c r="B3111" t="s">
        <v>339</v>
      </c>
      <c r="C3111" t="s">
        <v>353</v>
      </c>
      <c r="D3111" t="s">
        <v>6370</v>
      </c>
      <c r="E3111" t="s">
        <v>6367</v>
      </c>
      <c r="F3111" s="46">
        <v>46097.325899374999</v>
      </c>
      <c r="G3111" s="46">
        <v>46097.32589954861</v>
      </c>
      <c r="H3111">
        <v>16</v>
      </c>
    </row>
    <row r="3112" spans="1:8" x14ac:dyDescent="0.15">
      <c r="A3112">
        <v>3111</v>
      </c>
      <c r="B3112" t="s">
        <v>339</v>
      </c>
      <c r="C3112" t="s">
        <v>353</v>
      </c>
      <c r="D3112" t="s">
        <v>6371</v>
      </c>
      <c r="E3112" t="s">
        <v>6367</v>
      </c>
      <c r="F3112" s="46">
        <v>46097.32589954861</v>
      </c>
      <c r="G3112" s="46">
        <v>46097.32589954861</v>
      </c>
      <c r="H3112">
        <v>0</v>
      </c>
    </row>
    <row r="3113" spans="1:8" x14ac:dyDescent="0.15">
      <c r="A3113">
        <v>3112</v>
      </c>
      <c r="B3113" t="s">
        <v>339</v>
      </c>
      <c r="C3113" t="s">
        <v>353</v>
      </c>
      <c r="D3113" t="s">
        <v>6372</v>
      </c>
      <c r="E3113" t="s">
        <v>6367</v>
      </c>
      <c r="F3113" s="46">
        <v>46097.32589954861</v>
      </c>
      <c r="G3113" s="46">
        <v>46097.32589954861</v>
      </c>
      <c r="H3113">
        <v>0</v>
      </c>
    </row>
    <row r="3114" spans="1:8" x14ac:dyDescent="0.15">
      <c r="A3114">
        <v>3113</v>
      </c>
      <c r="B3114" t="s">
        <v>339</v>
      </c>
      <c r="C3114" t="s">
        <v>353</v>
      </c>
      <c r="D3114" t="s">
        <v>6373</v>
      </c>
      <c r="E3114" t="s">
        <v>6367</v>
      </c>
      <c r="F3114" s="46">
        <v>46097.32589954861</v>
      </c>
      <c r="G3114" s="46">
        <v>46097.32589954861</v>
      </c>
      <c r="H3114">
        <v>0</v>
      </c>
    </row>
    <row r="3115" spans="1:8" x14ac:dyDescent="0.15">
      <c r="A3115">
        <v>3114</v>
      </c>
      <c r="B3115" t="s">
        <v>339</v>
      </c>
      <c r="C3115" t="s">
        <v>353</v>
      </c>
      <c r="D3115" t="s">
        <v>6374</v>
      </c>
      <c r="E3115" t="s">
        <v>6367</v>
      </c>
      <c r="F3115" s="46">
        <v>46097.32589954861</v>
      </c>
      <c r="G3115" s="46">
        <v>46097.32589954861</v>
      </c>
      <c r="H3115">
        <v>0</v>
      </c>
    </row>
    <row r="3116" spans="1:8" x14ac:dyDescent="0.15">
      <c r="A3116">
        <v>3115</v>
      </c>
      <c r="B3116" t="s">
        <v>339</v>
      </c>
      <c r="C3116" t="s">
        <v>353</v>
      </c>
      <c r="D3116" t="s">
        <v>6375</v>
      </c>
      <c r="E3116" t="s">
        <v>6367</v>
      </c>
      <c r="F3116" s="46">
        <v>46097.32589954861</v>
      </c>
      <c r="G3116" s="46">
        <v>46097.32589954861</v>
      </c>
      <c r="H3116">
        <v>0</v>
      </c>
    </row>
    <row r="3117" spans="1:8" x14ac:dyDescent="0.15">
      <c r="A3117">
        <v>3116</v>
      </c>
      <c r="B3117" t="s">
        <v>339</v>
      </c>
      <c r="C3117" t="s">
        <v>353</v>
      </c>
      <c r="D3117" t="s">
        <v>6376</v>
      </c>
      <c r="E3117" t="s">
        <v>6367</v>
      </c>
      <c r="F3117" s="46">
        <v>46097.32589954861</v>
      </c>
      <c r="G3117" s="46">
        <v>46097.32589954861</v>
      </c>
      <c r="H3117">
        <v>0</v>
      </c>
    </row>
    <row r="3118" spans="1:8" x14ac:dyDescent="0.15">
      <c r="A3118">
        <v>3117</v>
      </c>
      <c r="B3118" t="s">
        <v>339</v>
      </c>
      <c r="C3118" t="s">
        <v>353</v>
      </c>
      <c r="D3118" t="s">
        <v>6377</v>
      </c>
      <c r="E3118" t="s">
        <v>6378</v>
      </c>
      <c r="F3118" s="46">
        <v>46097.32589954861</v>
      </c>
      <c r="G3118" s="46">
        <v>46097.32589954861</v>
      </c>
      <c r="H3118">
        <v>0</v>
      </c>
    </row>
    <row r="3119" spans="1:8" x14ac:dyDescent="0.15">
      <c r="A3119">
        <v>3118</v>
      </c>
      <c r="B3119" t="s">
        <v>339</v>
      </c>
      <c r="C3119" t="s">
        <v>353</v>
      </c>
      <c r="D3119" t="s">
        <v>6379</v>
      </c>
      <c r="E3119" t="s">
        <v>6378</v>
      </c>
      <c r="F3119" s="46">
        <v>46097.32589954861</v>
      </c>
      <c r="G3119" s="46">
        <v>46097.32589954861</v>
      </c>
      <c r="H3119">
        <v>0</v>
      </c>
    </row>
    <row r="3120" spans="1:8" x14ac:dyDescent="0.15">
      <c r="A3120">
        <v>3119</v>
      </c>
      <c r="B3120" t="s">
        <v>339</v>
      </c>
      <c r="C3120" t="s">
        <v>353</v>
      </c>
      <c r="D3120" t="s">
        <v>6380</v>
      </c>
      <c r="E3120" t="s">
        <v>6378</v>
      </c>
      <c r="F3120" s="46">
        <v>46097.32589954861</v>
      </c>
      <c r="G3120" s="46">
        <v>46097.32589954861</v>
      </c>
      <c r="H3120">
        <v>0</v>
      </c>
    </row>
    <row r="3121" spans="1:8" x14ac:dyDescent="0.15">
      <c r="A3121">
        <v>3120</v>
      </c>
      <c r="B3121" t="s">
        <v>339</v>
      </c>
      <c r="C3121" t="s">
        <v>353</v>
      </c>
      <c r="D3121" t="s">
        <v>6381</v>
      </c>
      <c r="E3121" t="s">
        <v>6378</v>
      </c>
      <c r="F3121" s="46">
        <v>46097.32589954861</v>
      </c>
      <c r="G3121" s="46">
        <v>46097.32589954861</v>
      </c>
      <c r="H3121">
        <v>0</v>
      </c>
    </row>
    <row r="3122" spans="1:8" x14ac:dyDescent="0.15">
      <c r="A3122">
        <v>3121</v>
      </c>
      <c r="B3122" t="s">
        <v>339</v>
      </c>
      <c r="C3122" t="s">
        <v>353</v>
      </c>
      <c r="D3122" t="s">
        <v>6382</v>
      </c>
      <c r="E3122" t="s">
        <v>6378</v>
      </c>
      <c r="F3122" s="46">
        <v>46097.32589954861</v>
      </c>
      <c r="G3122" s="46">
        <v>46097.325899733798</v>
      </c>
      <c r="H3122">
        <v>15</v>
      </c>
    </row>
    <row r="3123" spans="1:8" x14ac:dyDescent="0.15">
      <c r="A3123">
        <v>3122</v>
      </c>
      <c r="B3123" t="s">
        <v>339</v>
      </c>
      <c r="C3123" t="s">
        <v>353</v>
      </c>
      <c r="D3123" t="s">
        <v>6383</v>
      </c>
      <c r="E3123" t="s">
        <v>6378</v>
      </c>
      <c r="F3123" s="46">
        <v>46097.325899733798</v>
      </c>
      <c r="G3123" s="46">
        <v>46097.325899733798</v>
      </c>
      <c r="H3123">
        <v>0</v>
      </c>
    </row>
    <row r="3124" spans="1:8" x14ac:dyDescent="0.15">
      <c r="A3124">
        <v>3123</v>
      </c>
      <c r="B3124" t="s">
        <v>339</v>
      </c>
      <c r="C3124" t="s">
        <v>353</v>
      </c>
      <c r="D3124" t="s">
        <v>6384</v>
      </c>
      <c r="E3124" t="s">
        <v>6378</v>
      </c>
      <c r="F3124" s="46">
        <v>46097.325899733798</v>
      </c>
      <c r="G3124" s="46">
        <v>46097.325899733798</v>
      </c>
      <c r="H3124">
        <v>0</v>
      </c>
    </row>
    <row r="3125" spans="1:8" x14ac:dyDescent="0.15">
      <c r="A3125">
        <v>3124</v>
      </c>
      <c r="B3125" t="s">
        <v>339</v>
      </c>
      <c r="C3125" t="s">
        <v>353</v>
      </c>
      <c r="D3125" t="s">
        <v>6385</v>
      </c>
      <c r="E3125" t="s">
        <v>6386</v>
      </c>
      <c r="F3125" s="46">
        <v>46097.325899733798</v>
      </c>
      <c r="G3125" s="46">
        <v>46097.325899733798</v>
      </c>
      <c r="H3125">
        <v>0</v>
      </c>
    </row>
    <row r="3126" spans="1:8" x14ac:dyDescent="0.15">
      <c r="A3126">
        <v>3125</v>
      </c>
      <c r="B3126" t="s">
        <v>339</v>
      </c>
      <c r="C3126" t="s">
        <v>353</v>
      </c>
      <c r="D3126" t="s">
        <v>6387</v>
      </c>
      <c r="E3126" t="s">
        <v>6386</v>
      </c>
      <c r="F3126" s="46">
        <v>46097.325899733798</v>
      </c>
      <c r="G3126" s="46">
        <v>46097.325899733798</v>
      </c>
      <c r="H3126">
        <v>0</v>
      </c>
    </row>
    <row r="3127" spans="1:8" x14ac:dyDescent="0.15">
      <c r="A3127">
        <v>3126</v>
      </c>
      <c r="B3127" t="s">
        <v>339</v>
      </c>
      <c r="C3127" t="s">
        <v>353</v>
      </c>
      <c r="D3127" t="s">
        <v>6388</v>
      </c>
      <c r="E3127" t="s">
        <v>6386</v>
      </c>
      <c r="F3127" s="46">
        <v>46097.325899733798</v>
      </c>
      <c r="G3127" s="46">
        <v>46097.325899733798</v>
      </c>
      <c r="H3127">
        <v>0</v>
      </c>
    </row>
    <row r="3128" spans="1:8" x14ac:dyDescent="0.15">
      <c r="A3128">
        <v>3127</v>
      </c>
      <c r="B3128" t="s">
        <v>339</v>
      </c>
      <c r="C3128" t="s">
        <v>353</v>
      </c>
      <c r="D3128" t="s">
        <v>6389</v>
      </c>
      <c r="E3128" t="s">
        <v>6386</v>
      </c>
      <c r="F3128" s="46">
        <v>46097.325899733798</v>
      </c>
      <c r="G3128" s="46">
        <v>46097.325899733798</v>
      </c>
      <c r="H3128">
        <v>0</v>
      </c>
    </row>
    <row r="3129" spans="1:8" x14ac:dyDescent="0.15">
      <c r="A3129">
        <v>3128</v>
      </c>
      <c r="B3129" t="s">
        <v>339</v>
      </c>
      <c r="C3129" t="s">
        <v>353</v>
      </c>
      <c r="D3129" t="s">
        <v>6390</v>
      </c>
      <c r="E3129" t="s">
        <v>6386</v>
      </c>
      <c r="F3129" s="46">
        <v>46097.325899733798</v>
      </c>
      <c r="G3129" s="46">
        <v>46097.325899733798</v>
      </c>
      <c r="H3129">
        <v>0</v>
      </c>
    </row>
    <row r="3130" spans="1:8" x14ac:dyDescent="0.15">
      <c r="A3130">
        <v>3129</v>
      </c>
      <c r="B3130" t="s">
        <v>339</v>
      </c>
      <c r="C3130" t="s">
        <v>353</v>
      </c>
      <c r="D3130" t="s">
        <v>6391</v>
      </c>
      <c r="E3130" t="s">
        <v>6386</v>
      </c>
      <c r="F3130" s="46">
        <v>46097.325899733798</v>
      </c>
      <c r="G3130" s="46">
        <v>46097.325899733798</v>
      </c>
      <c r="H3130">
        <v>0</v>
      </c>
    </row>
    <row r="3131" spans="1:8" x14ac:dyDescent="0.15">
      <c r="A3131">
        <v>3130</v>
      </c>
      <c r="B3131" t="s">
        <v>339</v>
      </c>
      <c r="C3131" t="s">
        <v>353</v>
      </c>
      <c r="D3131" t="s">
        <v>6392</v>
      </c>
      <c r="E3131" t="s">
        <v>6386</v>
      </c>
      <c r="F3131" s="46">
        <v>46097.325899733798</v>
      </c>
      <c r="G3131" s="46">
        <v>46097.325899733798</v>
      </c>
      <c r="H3131">
        <v>0</v>
      </c>
    </row>
    <row r="3132" spans="1:8" x14ac:dyDescent="0.15">
      <c r="A3132">
        <v>3131</v>
      </c>
      <c r="B3132" t="s">
        <v>339</v>
      </c>
      <c r="C3132" t="s">
        <v>353</v>
      </c>
      <c r="D3132" t="s">
        <v>6393</v>
      </c>
      <c r="E3132" t="s">
        <v>6386</v>
      </c>
      <c r="F3132" s="46">
        <v>46097.325899733798</v>
      </c>
      <c r="G3132" s="46">
        <v>46097.325899733798</v>
      </c>
      <c r="H3132">
        <v>0</v>
      </c>
    </row>
    <row r="3133" spans="1:8" x14ac:dyDescent="0.15">
      <c r="A3133">
        <v>3132</v>
      </c>
      <c r="B3133" t="s">
        <v>339</v>
      </c>
      <c r="C3133" t="s">
        <v>353</v>
      </c>
      <c r="D3133" t="s">
        <v>6394</v>
      </c>
      <c r="E3133" t="s">
        <v>6386</v>
      </c>
      <c r="F3133" s="46">
        <v>46097.325899733798</v>
      </c>
      <c r="G3133" s="46">
        <v>46097.325899918978</v>
      </c>
      <c r="H3133">
        <v>16</v>
      </c>
    </row>
    <row r="3134" spans="1:8" x14ac:dyDescent="0.15">
      <c r="A3134">
        <v>3133</v>
      </c>
      <c r="B3134" t="s">
        <v>339</v>
      </c>
      <c r="C3134" t="s">
        <v>353</v>
      </c>
      <c r="D3134" t="s">
        <v>6395</v>
      </c>
      <c r="E3134" t="s">
        <v>6386</v>
      </c>
      <c r="F3134" s="46">
        <v>46097.325899918978</v>
      </c>
      <c r="G3134" s="46">
        <v>46097.325899918978</v>
      </c>
      <c r="H3134">
        <v>0</v>
      </c>
    </row>
    <row r="3135" spans="1:8" x14ac:dyDescent="0.15">
      <c r="A3135">
        <v>3134</v>
      </c>
      <c r="B3135" t="s">
        <v>339</v>
      </c>
      <c r="C3135" t="s">
        <v>353</v>
      </c>
      <c r="D3135" t="s">
        <v>6396</v>
      </c>
      <c r="E3135" t="s">
        <v>6386</v>
      </c>
      <c r="F3135" s="46">
        <v>46097.325899918978</v>
      </c>
      <c r="G3135" s="46">
        <v>46097.325899918978</v>
      </c>
      <c r="H3135">
        <v>0</v>
      </c>
    </row>
    <row r="3136" spans="1:8" x14ac:dyDescent="0.15">
      <c r="A3136">
        <v>3135</v>
      </c>
      <c r="B3136" t="s">
        <v>339</v>
      </c>
      <c r="C3136" t="s">
        <v>353</v>
      </c>
      <c r="D3136" t="s">
        <v>6397</v>
      </c>
      <c r="E3136" t="s">
        <v>6398</v>
      </c>
      <c r="F3136" s="46">
        <v>46097.325899918978</v>
      </c>
      <c r="G3136" s="46">
        <v>46097.325899918978</v>
      </c>
      <c r="H3136">
        <v>0</v>
      </c>
    </row>
    <row r="3137" spans="1:8" x14ac:dyDescent="0.15">
      <c r="A3137">
        <v>3136</v>
      </c>
      <c r="B3137" t="s">
        <v>339</v>
      </c>
      <c r="C3137" t="s">
        <v>353</v>
      </c>
      <c r="D3137" t="s">
        <v>6399</v>
      </c>
      <c r="E3137" t="s">
        <v>751</v>
      </c>
      <c r="F3137" s="46">
        <v>46097.325899918978</v>
      </c>
      <c r="G3137" s="46">
        <v>46097.325899918978</v>
      </c>
      <c r="H3137">
        <v>0</v>
      </c>
    </row>
    <row r="3138" spans="1:8" x14ac:dyDescent="0.15">
      <c r="A3138">
        <v>3137</v>
      </c>
      <c r="B3138" t="s">
        <v>339</v>
      </c>
      <c r="C3138" t="s">
        <v>353</v>
      </c>
      <c r="D3138" t="s">
        <v>6400</v>
      </c>
      <c r="E3138" t="s">
        <v>6401</v>
      </c>
      <c r="F3138" s="46">
        <v>46097.325899918978</v>
      </c>
      <c r="G3138" s="46">
        <v>46097.325899918978</v>
      </c>
      <c r="H3138">
        <v>0</v>
      </c>
    </row>
    <row r="3139" spans="1:8" x14ac:dyDescent="0.15">
      <c r="A3139">
        <v>3138</v>
      </c>
      <c r="B3139" t="s">
        <v>339</v>
      </c>
      <c r="C3139" t="s">
        <v>353</v>
      </c>
      <c r="D3139" t="s">
        <v>6402</v>
      </c>
      <c r="E3139" t="s">
        <v>6401</v>
      </c>
      <c r="F3139" s="46">
        <v>46097.325899918978</v>
      </c>
      <c r="G3139" s="46">
        <v>46097.325899918978</v>
      </c>
      <c r="H3139">
        <v>0</v>
      </c>
    </row>
    <row r="3140" spans="1:8" x14ac:dyDescent="0.15">
      <c r="A3140">
        <v>3139</v>
      </c>
      <c r="B3140" t="s">
        <v>339</v>
      </c>
      <c r="C3140" t="s">
        <v>353</v>
      </c>
      <c r="D3140" t="s">
        <v>6403</v>
      </c>
      <c r="E3140" t="s">
        <v>6401</v>
      </c>
      <c r="F3140" s="46">
        <v>46097.325899918978</v>
      </c>
      <c r="G3140" s="46">
        <v>46097.325899918978</v>
      </c>
      <c r="H3140">
        <v>0</v>
      </c>
    </row>
    <row r="3141" spans="1:8" x14ac:dyDescent="0.15">
      <c r="A3141">
        <v>3140</v>
      </c>
      <c r="B3141" t="s">
        <v>339</v>
      </c>
      <c r="C3141" t="s">
        <v>353</v>
      </c>
      <c r="D3141" t="s">
        <v>6404</v>
      </c>
      <c r="E3141" t="s">
        <v>6405</v>
      </c>
      <c r="F3141" s="46">
        <v>46097.325899918978</v>
      </c>
      <c r="G3141" s="46">
        <v>46097.325899918978</v>
      </c>
      <c r="H3141">
        <v>0</v>
      </c>
    </row>
    <row r="3142" spans="1:8" x14ac:dyDescent="0.15">
      <c r="A3142">
        <v>3141</v>
      </c>
      <c r="B3142" t="s">
        <v>339</v>
      </c>
      <c r="C3142" t="s">
        <v>353</v>
      </c>
      <c r="D3142" t="s">
        <v>6406</v>
      </c>
      <c r="E3142" t="s">
        <v>6405</v>
      </c>
      <c r="F3142" s="46">
        <v>46097.325899918978</v>
      </c>
      <c r="G3142" s="46">
        <v>46097.325899918978</v>
      </c>
      <c r="H3142">
        <v>0</v>
      </c>
    </row>
    <row r="3143" spans="1:8" x14ac:dyDescent="0.15">
      <c r="A3143">
        <v>3142</v>
      </c>
      <c r="B3143" t="s">
        <v>339</v>
      </c>
      <c r="C3143" t="s">
        <v>353</v>
      </c>
      <c r="D3143" t="s">
        <v>6407</v>
      </c>
      <c r="E3143" t="s">
        <v>6405</v>
      </c>
      <c r="F3143" s="46">
        <v>46097.325899918978</v>
      </c>
      <c r="G3143" s="46">
        <v>46097.32590009259</v>
      </c>
      <c r="H3143">
        <v>16</v>
      </c>
    </row>
    <row r="3144" spans="1:8" x14ac:dyDescent="0.15">
      <c r="A3144">
        <v>3143</v>
      </c>
      <c r="B3144" t="s">
        <v>339</v>
      </c>
      <c r="C3144" t="s">
        <v>353</v>
      </c>
      <c r="D3144" t="s">
        <v>6408</v>
      </c>
      <c r="E3144" t="s">
        <v>6405</v>
      </c>
      <c r="F3144" s="46">
        <v>46097.32590009259</v>
      </c>
      <c r="G3144" s="46">
        <v>46097.32590009259</v>
      </c>
      <c r="H3144">
        <v>0</v>
      </c>
    </row>
    <row r="3145" spans="1:8" x14ac:dyDescent="0.15">
      <c r="A3145">
        <v>3144</v>
      </c>
      <c r="B3145" t="s">
        <v>339</v>
      </c>
      <c r="C3145" t="s">
        <v>353</v>
      </c>
      <c r="D3145" t="s">
        <v>6409</v>
      </c>
      <c r="E3145" t="s">
        <v>6405</v>
      </c>
      <c r="F3145" s="46">
        <v>46097.32590009259</v>
      </c>
      <c r="G3145" s="46">
        <v>46097.32590009259</v>
      </c>
      <c r="H3145">
        <v>0</v>
      </c>
    </row>
    <row r="3146" spans="1:8" x14ac:dyDescent="0.15">
      <c r="A3146">
        <v>3145</v>
      </c>
      <c r="B3146" t="s">
        <v>339</v>
      </c>
      <c r="C3146" t="s">
        <v>353</v>
      </c>
      <c r="D3146" t="s">
        <v>6410</v>
      </c>
      <c r="E3146" t="s">
        <v>6405</v>
      </c>
      <c r="F3146" s="46">
        <v>46097.32590009259</v>
      </c>
      <c r="G3146" s="46">
        <v>46097.32590009259</v>
      </c>
      <c r="H3146">
        <v>0</v>
      </c>
    </row>
    <row r="3147" spans="1:8" x14ac:dyDescent="0.15">
      <c r="A3147">
        <v>3146</v>
      </c>
      <c r="B3147" t="s">
        <v>339</v>
      </c>
      <c r="C3147" t="s">
        <v>353</v>
      </c>
      <c r="D3147" t="s">
        <v>6411</v>
      </c>
      <c r="E3147" t="s">
        <v>6405</v>
      </c>
      <c r="F3147" s="46">
        <v>46097.32590009259</v>
      </c>
      <c r="G3147" s="46">
        <v>46097.32590009259</v>
      </c>
      <c r="H3147">
        <v>0</v>
      </c>
    </row>
    <row r="3148" spans="1:8" x14ac:dyDescent="0.15">
      <c r="A3148">
        <v>3147</v>
      </c>
      <c r="B3148" t="s">
        <v>339</v>
      </c>
      <c r="C3148" t="s">
        <v>353</v>
      </c>
      <c r="D3148" t="s">
        <v>6412</v>
      </c>
      <c r="E3148" t="s">
        <v>6413</v>
      </c>
      <c r="F3148" s="46">
        <v>46097.32590009259</v>
      </c>
      <c r="G3148" s="46">
        <v>46097.32590009259</v>
      </c>
      <c r="H3148">
        <v>0</v>
      </c>
    </row>
    <row r="3149" spans="1:8" x14ac:dyDescent="0.15">
      <c r="A3149">
        <v>3148</v>
      </c>
      <c r="B3149" t="s">
        <v>339</v>
      </c>
      <c r="C3149" t="s">
        <v>353</v>
      </c>
      <c r="D3149" t="s">
        <v>6414</v>
      </c>
      <c r="E3149" t="s">
        <v>6413</v>
      </c>
      <c r="F3149" s="46">
        <v>46097.32590009259</v>
      </c>
      <c r="G3149" s="46">
        <v>46097.32590009259</v>
      </c>
      <c r="H3149">
        <v>0</v>
      </c>
    </row>
    <row r="3150" spans="1:8" x14ac:dyDescent="0.15">
      <c r="A3150">
        <v>3149</v>
      </c>
      <c r="B3150" t="s">
        <v>339</v>
      </c>
      <c r="C3150" t="s">
        <v>353</v>
      </c>
      <c r="D3150" t="s">
        <v>6415</v>
      </c>
      <c r="E3150" t="s">
        <v>6413</v>
      </c>
      <c r="F3150" s="46">
        <v>46097.32590009259</v>
      </c>
      <c r="G3150" s="46">
        <v>46097.32590009259</v>
      </c>
      <c r="H3150">
        <v>0</v>
      </c>
    </row>
    <row r="3151" spans="1:8" x14ac:dyDescent="0.15">
      <c r="A3151">
        <v>3150</v>
      </c>
      <c r="B3151" t="s">
        <v>339</v>
      </c>
      <c r="C3151" t="s">
        <v>353</v>
      </c>
      <c r="D3151" t="s">
        <v>6416</v>
      </c>
      <c r="E3151" t="s">
        <v>6413</v>
      </c>
      <c r="F3151" s="46">
        <v>46097.32590009259</v>
      </c>
      <c r="G3151" s="46">
        <v>46097.32590009259</v>
      </c>
      <c r="H3151">
        <v>0</v>
      </c>
    </row>
    <row r="3152" spans="1:8" x14ac:dyDescent="0.15">
      <c r="A3152">
        <v>3151</v>
      </c>
      <c r="B3152" t="s">
        <v>339</v>
      </c>
      <c r="C3152" t="s">
        <v>353</v>
      </c>
      <c r="D3152" t="s">
        <v>6417</v>
      </c>
      <c r="E3152" t="s">
        <v>6413</v>
      </c>
      <c r="F3152" s="46">
        <v>46097.32590009259</v>
      </c>
      <c r="G3152" s="46">
        <v>46097.32590009259</v>
      </c>
      <c r="H3152">
        <v>0</v>
      </c>
    </row>
    <row r="3153" spans="1:8" x14ac:dyDescent="0.15">
      <c r="A3153">
        <v>3152</v>
      </c>
      <c r="B3153" t="s">
        <v>339</v>
      </c>
      <c r="C3153" t="s">
        <v>353</v>
      </c>
      <c r="D3153" t="s">
        <v>6418</v>
      </c>
      <c r="E3153" t="s">
        <v>6413</v>
      </c>
      <c r="F3153" s="46">
        <v>46097.32590009259</v>
      </c>
      <c r="G3153" s="46">
        <v>46097.32590009259</v>
      </c>
      <c r="H3153">
        <v>0</v>
      </c>
    </row>
    <row r="3154" spans="1:8" x14ac:dyDescent="0.15">
      <c r="A3154">
        <v>3153</v>
      </c>
      <c r="B3154" t="s">
        <v>339</v>
      </c>
      <c r="C3154" t="s">
        <v>353</v>
      </c>
      <c r="D3154" t="s">
        <v>6419</v>
      </c>
      <c r="E3154" t="s">
        <v>6413</v>
      </c>
      <c r="F3154" s="46">
        <v>46097.325900277778</v>
      </c>
      <c r="G3154" s="46">
        <v>46097.325900277778</v>
      </c>
      <c r="H3154">
        <v>0</v>
      </c>
    </row>
    <row r="3155" spans="1:8" x14ac:dyDescent="0.15">
      <c r="A3155">
        <v>3154</v>
      </c>
      <c r="B3155" t="s">
        <v>339</v>
      </c>
      <c r="C3155" t="s">
        <v>353</v>
      </c>
      <c r="D3155" t="s">
        <v>6420</v>
      </c>
      <c r="E3155" t="s">
        <v>6413</v>
      </c>
      <c r="F3155" s="46">
        <v>46097.325900277778</v>
      </c>
      <c r="G3155" s="46">
        <v>46097.325900277778</v>
      </c>
      <c r="H3155">
        <v>0</v>
      </c>
    </row>
    <row r="3156" spans="1:8" x14ac:dyDescent="0.15">
      <c r="A3156">
        <v>3155</v>
      </c>
      <c r="B3156" t="s">
        <v>339</v>
      </c>
      <c r="C3156" t="s">
        <v>353</v>
      </c>
      <c r="D3156" t="s">
        <v>6421</v>
      </c>
      <c r="E3156" t="s">
        <v>6413</v>
      </c>
      <c r="F3156" s="46">
        <v>46097.325900277778</v>
      </c>
      <c r="G3156" s="46">
        <v>46097.325900277778</v>
      </c>
      <c r="H3156">
        <v>0</v>
      </c>
    </row>
    <row r="3157" spans="1:8" x14ac:dyDescent="0.15">
      <c r="A3157">
        <v>3156</v>
      </c>
      <c r="B3157" t="s">
        <v>339</v>
      </c>
      <c r="C3157" t="s">
        <v>353</v>
      </c>
      <c r="D3157" t="s">
        <v>6422</v>
      </c>
      <c r="E3157" t="s">
        <v>6423</v>
      </c>
      <c r="F3157" s="46">
        <v>46097.325900277778</v>
      </c>
      <c r="G3157" s="46">
        <v>46097.325900277778</v>
      </c>
      <c r="H3157">
        <v>0</v>
      </c>
    </row>
    <row r="3158" spans="1:8" x14ac:dyDescent="0.15">
      <c r="A3158">
        <v>3157</v>
      </c>
      <c r="B3158" t="s">
        <v>339</v>
      </c>
      <c r="C3158" t="s">
        <v>353</v>
      </c>
      <c r="D3158" t="s">
        <v>6424</v>
      </c>
      <c r="E3158" t="s">
        <v>6423</v>
      </c>
      <c r="F3158" s="46">
        <v>46097.325900277778</v>
      </c>
      <c r="G3158" s="46">
        <v>46097.325900277778</v>
      </c>
      <c r="H3158">
        <v>0</v>
      </c>
    </row>
    <row r="3159" spans="1:8" x14ac:dyDescent="0.15">
      <c r="A3159">
        <v>3158</v>
      </c>
      <c r="B3159" t="s">
        <v>339</v>
      </c>
      <c r="C3159" t="s">
        <v>353</v>
      </c>
      <c r="D3159" t="s">
        <v>6425</v>
      </c>
      <c r="E3159" t="s">
        <v>6423</v>
      </c>
      <c r="F3159" s="46">
        <v>46097.325900277778</v>
      </c>
      <c r="G3159" s="46">
        <v>46097.325900277778</v>
      </c>
      <c r="H3159">
        <v>0</v>
      </c>
    </row>
    <row r="3160" spans="1:8" x14ac:dyDescent="0.15">
      <c r="A3160">
        <v>3159</v>
      </c>
      <c r="B3160" t="s">
        <v>339</v>
      </c>
      <c r="C3160" t="s">
        <v>353</v>
      </c>
      <c r="D3160" t="s">
        <v>6426</v>
      </c>
      <c r="E3160" t="s">
        <v>6423</v>
      </c>
      <c r="F3160" s="46">
        <v>46097.325900277778</v>
      </c>
      <c r="G3160" s="46">
        <v>46097.325900277778</v>
      </c>
      <c r="H3160">
        <v>0</v>
      </c>
    </row>
    <row r="3161" spans="1:8" x14ac:dyDescent="0.15">
      <c r="A3161">
        <v>3160</v>
      </c>
      <c r="B3161" t="s">
        <v>339</v>
      </c>
      <c r="C3161" t="s">
        <v>353</v>
      </c>
      <c r="D3161" t="s">
        <v>6427</v>
      </c>
      <c r="E3161" t="s">
        <v>6423</v>
      </c>
      <c r="F3161" s="46">
        <v>46097.325900277778</v>
      </c>
      <c r="G3161" s="46">
        <v>46097.325900277778</v>
      </c>
      <c r="H3161">
        <v>0</v>
      </c>
    </row>
    <row r="3162" spans="1:8" x14ac:dyDescent="0.15">
      <c r="A3162">
        <v>3161</v>
      </c>
      <c r="B3162" t="s">
        <v>339</v>
      </c>
      <c r="C3162" t="s">
        <v>353</v>
      </c>
      <c r="D3162" t="s">
        <v>6428</v>
      </c>
      <c r="E3162" t="s">
        <v>6423</v>
      </c>
      <c r="F3162" s="46">
        <v>46097.325900277778</v>
      </c>
      <c r="G3162" s="46">
        <v>46097.325900277778</v>
      </c>
      <c r="H3162">
        <v>0</v>
      </c>
    </row>
    <row r="3163" spans="1:8" x14ac:dyDescent="0.15">
      <c r="A3163">
        <v>3162</v>
      </c>
      <c r="B3163" t="s">
        <v>339</v>
      </c>
      <c r="C3163" t="s">
        <v>353</v>
      </c>
      <c r="D3163" t="s">
        <v>6429</v>
      </c>
      <c r="E3163" t="s">
        <v>6423</v>
      </c>
      <c r="F3163" s="46">
        <v>46097.325900277778</v>
      </c>
      <c r="G3163" s="46">
        <v>46097.325900277778</v>
      </c>
      <c r="H3163">
        <v>0</v>
      </c>
    </row>
    <row r="3164" spans="1:8" x14ac:dyDescent="0.15">
      <c r="A3164">
        <v>3163</v>
      </c>
      <c r="B3164" t="s">
        <v>339</v>
      </c>
      <c r="C3164" t="s">
        <v>353</v>
      </c>
      <c r="D3164" t="s">
        <v>6430</v>
      </c>
      <c r="E3164" t="s">
        <v>6431</v>
      </c>
      <c r="F3164" s="46">
        <v>46097.325900277778</v>
      </c>
      <c r="G3164" s="46">
        <v>46097.325900451389</v>
      </c>
      <c r="H3164">
        <v>16</v>
      </c>
    </row>
    <row r="3165" spans="1:8" x14ac:dyDescent="0.15">
      <c r="A3165">
        <v>3164</v>
      </c>
      <c r="B3165" t="s">
        <v>339</v>
      </c>
      <c r="C3165" t="s">
        <v>353</v>
      </c>
      <c r="D3165" t="s">
        <v>6432</v>
      </c>
      <c r="E3165" t="s">
        <v>6433</v>
      </c>
      <c r="F3165" s="46">
        <v>46097.325900451389</v>
      </c>
      <c r="G3165" s="46">
        <v>46097.325900451389</v>
      </c>
      <c r="H3165">
        <v>0</v>
      </c>
    </row>
    <row r="3166" spans="1:8" x14ac:dyDescent="0.15">
      <c r="A3166">
        <v>3165</v>
      </c>
      <c r="B3166" t="s">
        <v>339</v>
      </c>
      <c r="C3166" t="s">
        <v>353</v>
      </c>
      <c r="D3166" t="s">
        <v>6434</v>
      </c>
      <c r="E3166" t="s">
        <v>6435</v>
      </c>
      <c r="F3166" s="46">
        <v>46097.325900451389</v>
      </c>
      <c r="G3166" s="46">
        <v>46097.325900451389</v>
      </c>
      <c r="H3166">
        <v>0</v>
      </c>
    </row>
    <row r="3167" spans="1:8" x14ac:dyDescent="0.15">
      <c r="A3167">
        <v>3166</v>
      </c>
      <c r="B3167" t="s">
        <v>339</v>
      </c>
      <c r="C3167" t="s">
        <v>353</v>
      </c>
      <c r="D3167" t="s">
        <v>6436</v>
      </c>
      <c r="E3167" t="s">
        <v>6435</v>
      </c>
      <c r="F3167" s="46">
        <v>46097.325900451389</v>
      </c>
      <c r="G3167" s="46">
        <v>46097.325900451389</v>
      </c>
      <c r="H3167">
        <v>0</v>
      </c>
    </row>
    <row r="3168" spans="1:8" x14ac:dyDescent="0.15">
      <c r="A3168">
        <v>3167</v>
      </c>
      <c r="B3168" t="s">
        <v>339</v>
      </c>
      <c r="C3168" t="s">
        <v>353</v>
      </c>
      <c r="D3168" t="s">
        <v>6437</v>
      </c>
      <c r="E3168" t="s">
        <v>6438</v>
      </c>
      <c r="F3168" s="46">
        <v>46097.325900451389</v>
      </c>
      <c r="G3168" s="46">
        <v>46097.325900451389</v>
      </c>
      <c r="H3168">
        <v>0</v>
      </c>
    </row>
    <row r="3169" spans="1:8" x14ac:dyDescent="0.15">
      <c r="A3169">
        <v>3168</v>
      </c>
      <c r="B3169" t="s">
        <v>339</v>
      </c>
      <c r="C3169" t="s">
        <v>353</v>
      </c>
      <c r="D3169" t="s">
        <v>6439</v>
      </c>
      <c r="E3169" t="s">
        <v>6438</v>
      </c>
      <c r="F3169" s="46">
        <v>46097.325900451389</v>
      </c>
      <c r="G3169" s="46">
        <v>46097.325900451389</v>
      </c>
      <c r="H3169">
        <v>0</v>
      </c>
    </row>
    <row r="3170" spans="1:8" x14ac:dyDescent="0.15">
      <c r="A3170">
        <v>3169</v>
      </c>
      <c r="B3170" t="s">
        <v>339</v>
      </c>
      <c r="C3170" t="s">
        <v>353</v>
      </c>
      <c r="D3170" t="s">
        <v>6440</v>
      </c>
      <c r="E3170" t="s">
        <v>6438</v>
      </c>
      <c r="F3170" s="46">
        <v>46097.325900451389</v>
      </c>
      <c r="G3170" s="46">
        <v>46097.325900451389</v>
      </c>
      <c r="H3170">
        <v>0</v>
      </c>
    </row>
    <row r="3171" spans="1:8" x14ac:dyDescent="0.15">
      <c r="A3171">
        <v>3170</v>
      </c>
      <c r="B3171" t="s">
        <v>339</v>
      </c>
      <c r="C3171" t="s">
        <v>353</v>
      </c>
      <c r="D3171" t="s">
        <v>6441</v>
      </c>
      <c r="E3171" t="s">
        <v>753</v>
      </c>
      <c r="F3171" s="46">
        <v>46097.325900451389</v>
      </c>
      <c r="G3171" s="46">
        <v>46097.325900451389</v>
      </c>
      <c r="H3171">
        <v>0</v>
      </c>
    </row>
    <row r="3172" spans="1:8" x14ac:dyDescent="0.15">
      <c r="A3172">
        <v>3171</v>
      </c>
      <c r="B3172" t="s">
        <v>339</v>
      </c>
      <c r="C3172" t="s">
        <v>353</v>
      </c>
      <c r="D3172" t="s">
        <v>6442</v>
      </c>
      <c r="E3172" t="s">
        <v>753</v>
      </c>
      <c r="F3172" s="46">
        <v>46097.325900451389</v>
      </c>
      <c r="G3172" s="46">
        <v>46097.325900451389</v>
      </c>
      <c r="H3172">
        <v>0</v>
      </c>
    </row>
    <row r="3173" spans="1:8" x14ac:dyDescent="0.15">
      <c r="A3173">
        <v>3172</v>
      </c>
      <c r="B3173" t="s">
        <v>339</v>
      </c>
      <c r="C3173" t="s">
        <v>353</v>
      </c>
      <c r="D3173" t="s">
        <v>6443</v>
      </c>
      <c r="E3173" t="s">
        <v>753</v>
      </c>
      <c r="F3173" s="46">
        <v>46097.325900451389</v>
      </c>
      <c r="G3173" s="46">
        <v>46097.325900451389</v>
      </c>
      <c r="H3173">
        <v>0</v>
      </c>
    </row>
    <row r="3174" spans="1:8" x14ac:dyDescent="0.15">
      <c r="A3174">
        <v>3173</v>
      </c>
      <c r="B3174" t="s">
        <v>339</v>
      </c>
      <c r="C3174" t="s">
        <v>353</v>
      </c>
      <c r="D3174" t="s">
        <v>6444</v>
      </c>
      <c r="E3174" t="s">
        <v>753</v>
      </c>
      <c r="F3174" s="46">
        <v>46097.325900451389</v>
      </c>
      <c r="G3174" s="46">
        <v>46097.325900636577</v>
      </c>
      <c r="H3174">
        <v>16</v>
      </c>
    </row>
    <row r="3175" spans="1:8" x14ac:dyDescent="0.15">
      <c r="A3175">
        <v>3174</v>
      </c>
      <c r="B3175" t="s">
        <v>339</v>
      </c>
      <c r="C3175" t="s">
        <v>353</v>
      </c>
      <c r="D3175" t="s">
        <v>6445</v>
      </c>
      <c r="E3175" t="s">
        <v>753</v>
      </c>
      <c r="F3175" s="46">
        <v>46097.325900636577</v>
      </c>
      <c r="G3175" s="46">
        <v>46097.325900636577</v>
      </c>
      <c r="H3175">
        <v>0</v>
      </c>
    </row>
    <row r="3176" spans="1:8" x14ac:dyDescent="0.15">
      <c r="A3176">
        <v>3175</v>
      </c>
      <c r="B3176" t="s">
        <v>339</v>
      </c>
      <c r="C3176" t="s">
        <v>353</v>
      </c>
      <c r="D3176" t="s">
        <v>6446</v>
      </c>
      <c r="E3176" t="s">
        <v>753</v>
      </c>
      <c r="F3176" s="46">
        <v>46097.325900636577</v>
      </c>
      <c r="G3176" s="46">
        <v>46097.325900636577</v>
      </c>
      <c r="H3176">
        <v>0</v>
      </c>
    </row>
    <row r="3177" spans="1:8" x14ac:dyDescent="0.15">
      <c r="A3177">
        <v>3176</v>
      </c>
      <c r="B3177" t="s">
        <v>339</v>
      </c>
      <c r="C3177" t="s">
        <v>353</v>
      </c>
      <c r="D3177" t="s">
        <v>6447</v>
      </c>
      <c r="E3177" t="s">
        <v>753</v>
      </c>
      <c r="F3177" s="46">
        <v>46097.325900636577</v>
      </c>
      <c r="G3177" s="46">
        <v>46097.325900636577</v>
      </c>
      <c r="H3177">
        <v>0</v>
      </c>
    </row>
    <row r="3178" spans="1:8" x14ac:dyDescent="0.15">
      <c r="A3178">
        <v>3177</v>
      </c>
      <c r="B3178" t="s">
        <v>339</v>
      </c>
      <c r="C3178" t="s">
        <v>353</v>
      </c>
      <c r="D3178" t="s">
        <v>6448</v>
      </c>
      <c r="E3178" t="s">
        <v>753</v>
      </c>
      <c r="F3178" s="46">
        <v>46097.325900636577</v>
      </c>
      <c r="G3178" s="46">
        <v>46097.325900636577</v>
      </c>
      <c r="H3178">
        <v>0</v>
      </c>
    </row>
    <row r="3179" spans="1:8" x14ac:dyDescent="0.15">
      <c r="A3179">
        <v>3178</v>
      </c>
      <c r="B3179" t="s">
        <v>339</v>
      </c>
      <c r="C3179" t="s">
        <v>353</v>
      </c>
      <c r="D3179" t="s">
        <v>6449</v>
      </c>
      <c r="E3179" t="s">
        <v>753</v>
      </c>
      <c r="F3179" s="46">
        <v>46097.325900636577</v>
      </c>
      <c r="G3179" s="46">
        <v>46097.325900636577</v>
      </c>
      <c r="H3179">
        <v>0</v>
      </c>
    </row>
    <row r="3180" spans="1:8" x14ac:dyDescent="0.15">
      <c r="A3180">
        <v>3179</v>
      </c>
      <c r="B3180" t="s">
        <v>339</v>
      </c>
      <c r="C3180" t="s">
        <v>353</v>
      </c>
      <c r="D3180" t="s">
        <v>6450</v>
      </c>
      <c r="E3180" t="s">
        <v>753</v>
      </c>
      <c r="F3180" s="46">
        <v>46097.325900636577</v>
      </c>
      <c r="G3180" s="46">
        <v>46097.325900636577</v>
      </c>
      <c r="H3180">
        <v>0</v>
      </c>
    </row>
    <row r="3181" spans="1:8" x14ac:dyDescent="0.15">
      <c r="A3181">
        <v>3180</v>
      </c>
      <c r="B3181" t="s">
        <v>339</v>
      </c>
      <c r="C3181" t="s">
        <v>353</v>
      </c>
      <c r="D3181" t="s">
        <v>6451</v>
      </c>
      <c r="E3181" t="s">
        <v>753</v>
      </c>
      <c r="F3181" s="46">
        <v>46097.325900636577</v>
      </c>
      <c r="G3181" s="46">
        <v>46097.325900636577</v>
      </c>
      <c r="H3181">
        <v>0</v>
      </c>
    </row>
    <row r="3182" spans="1:8" x14ac:dyDescent="0.15">
      <c r="A3182">
        <v>3181</v>
      </c>
      <c r="B3182" t="s">
        <v>339</v>
      </c>
      <c r="C3182" t="s">
        <v>353</v>
      </c>
      <c r="D3182" t="s">
        <v>6452</v>
      </c>
      <c r="E3182" t="s">
        <v>753</v>
      </c>
      <c r="F3182" s="46">
        <v>46097.325900636577</v>
      </c>
      <c r="G3182" s="46">
        <v>46097.325900636577</v>
      </c>
      <c r="H3182">
        <v>0</v>
      </c>
    </row>
    <row r="3183" spans="1:8" x14ac:dyDescent="0.15">
      <c r="A3183">
        <v>3182</v>
      </c>
      <c r="B3183" t="s">
        <v>339</v>
      </c>
      <c r="C3183" t="s">
        <v>353</v>
      </c>
      <c r="D3183" t="s">
        <v>6453</v>
      </c>
      <c r="E3183" t="s">
        <v>753</v>
      </c>
      <c r="F3183" s="46">
        <v>46097.325900636577</v>
      </c>
      <c r="G3183" s="46">
        <v>46097.325900636577</v>
      </c>
      <c r="H3183">
        <v>0</v>
      </c>
    </row>
    <row r="3184" spans="1:8" x14ac:dyDescent="0.15">
      <c r="A3184">
        <v>3183</v>
      </c>
      <c r="B3184" t="s">
        <v>339</v>
      </c>
      <c r="C3184" t="s">
        <v>353</v>
      </c>
      <c r="D3184" t="s">
        <v>6454</v>
      </c>
      <c r="E3184" t="s">
        <v>753</v>
      </c>
      <c r="F3184" s="46">
        <v>46097.325900636577</v>
      </c>
      <c r="G3184" s="46">
        <v>46097.325900636577</v>
      </c>
      <c r="H3184">
        <v>0</v>
      </c>
    </row>
    <row r="3185" spans="1:8" x14ac:dyDescent="0.15">
      <c r="A3185">
        <v>3184</v>
      </c>
      <c r="B3185" t="s">
        <v>339</v>
      </c>
      <c r="C3185" t="s">
        <v>353</v>
      </c>
      <c r="D3185" t="s">
        <v>6455</v>
      </c>
      <c r="E3185" t="s">
        <v>753</v>
      </c>
      <c r="F3185" s="46">
        <v>46097.325900636577</v>
      </c>
      <c r="G3185" s="46">
        <v>46097.325900821757</v>
      </c>
      <c r="H3185">
        <v>15</v>
      </c>
    </row>
    <row r="3186" spans="1:8" x14ac:dyDescent="0.15">
      <c r="A3186">
        <v>3185</v>
      </c>
      <c r="B3186" t="s">
        <v>339</v>
      </c>
      <c r="C3186" t="s">
        <v>353</v>
      </c>
      <c r="D3186" t="s">
        <v>6456</v>
      </c>
      <c r="E3186" t="s">
        <v>753</v>
      </c>
      <c r="F3186" s="46">
        <v>46097.325900821757</v>
      </c>
      <c r="G3186" s="46">
        <v>46097.325900821757</v>
      </c>
      <c r="H3186">
        <v>0</v>
      </c>
    </row>
    <row r="3187" spans="1:8" x14ac:dyDescent="0.15">
      <c r="A3187">
        <v>3186</v>
      </c>
      <c r="B3187" t="s">
        <v>339</v>
      </c>
      <c r="C3187" t="s">
        <v>353</v>
      </c>
      <c r="D3187" t="s">
        <v>6457</v>
      </c>
      <c r="E3187" t="s">
        <v>753</v>
      </c>
      <c r="F3187" s="46">
        <v>46097.325900821757</v>
      </c>
      <c r="G3187" s="46">
        <v>46097.325900821757</v>
      </c>
      <c r="H3187">
        <v>0</v>
      </c>
    </row>
    <row r="3188" spans="1:8" x14ac:dyDescent="0.15">
      <c r="A3188">
        <v>3187</v>
      </c>
      <c r="B3188" t="s">
        <v>339</v>
      </c>
      <c r="C3188" t="s">
        <v>353</v>
      </c>
      <c r="D3188" t="s">
        <v>6458</v>
      </c>
      <c r="E3188" t="s">
        <v>754</v>
      </c>
      <c r="F3188" s="46">
        <v>46097.325900821757</v>
      </c>
      <c r="G3188" s="46">
        <v>46097.325900821757</v>
      </c>
      <c r="H3188">
        <v>0</v>
      </c>
    </row>
    <row r="3189" spans="1:8" x14ac:dyDescent="0.15">
      <c r="A3189">
        <v>3188</v>
      </c>
      <c r="B3189" t="s">
        <v>339</v>
      </c>
      <c r="C3189" t="s">
        <v>353</v>
      </c>
      <c r="D3189" t="s">
        <v>6459</v>
      </c>
      <c r="E3189" t="s">
        <v>754</v>
      </c>
      <c r="F3189" s="46">
        <v>46097.325900821757</v>
      </c>
      <c r="G3189" s="46">
        <v>46097.325900821757</v>
      </c>
      <c r="H3189">
        <v>0</v>
      </c>
    </row>
    <row r="3190" spans="1:8" x14ac:dyDescent="0.15">
      <c r="A3190">
        <v>3189</v>
      </c>
      <c r="B3190" t="s">
        <v>339</v>
      </c>
      <c r="C3190" t="s">
        <v>353</v>
      </c>
      <c r="D3190" t="s">
        <v>6460</v>
      </c>
      <c r="E3190" t="s">
        <v>754</v>
      </c>
      <c r="F3190" s="46">
        <v>46097.325900821757</v>
      </c>
      <c r="G3190" s="46">
        <v>46097.325900821757</v>
      </c>
      <c r="H3190">
        <v>0</v>
      </c>
    </row>
    <row r="3191" spans="1:8" x14ac:dyDescent="0.15">
      <c r="A3191">
        <v>3190</v>
      </c>
      <c r="B3191" t="s">
        <v>339</v>
      </c>
      <c r="C3191" t="s">
        <v>353</v>
      </c>
      <c r="D3191" t="s">
        <v>6461</v>
      </c>
      <c r="E3191" t="s">
        <v>754</v>
      </c>
      <c r="F3191" s="46">
        <v>46097.325900821757</v>
      </c>
      <c r="G3191" s="46">
        <v>46097.325900821757</v>
      </c>
      <c r="H3191">
        <v>0</v>
      </c>
    </row>
    <row r="3192" spans="1:8" x14ac:dyDescent="0.15">
      <c r="A3192">
        <v>3191</v>
      </c>
      <c r="B3192" t="s">
        <v>339</v>
      </c>
      <c r="C3192" t="s">
        <v>353</v>
      </c>
      <c r="D3192" t="s">
        <v>6462</v>
      </c>
      <c r="E3192" t="s">
        <v>754</v>
      </c>
      <c r="F3192" s="46">
        <v>46097.325900821757</v>
      </c>
      <c r="G3192" s="46">
        <v>46097.325900821757</v>
      </c>
      <c r="H3192">
        <v>0</v>
      </c>
    </row>
    <row r="3193" spans="1:8" x14ac:dyDescent="0.15">
      <c r="A3193">
        <v>3192</v>
      </c>
      <c r="B3193" t="s">
        <v>339</v>
      </c>
      <c r="C3193" t="s">
        <v>353</v>
      </c>
      <c r="D3193" t="s">
        <v>6463</v>
      </c>
      <c r="E3193" t="s">
        <v>6464</v>
      </c>
      <c r="F3193" s="46">
        <v>46097.325900821757</v>
      </c>
      <c r="G3193" s="46">
        <v>46097.325900821757</v>
      </c>
      <c r="H3193">
        <v>0</v>
      </c>
    </row>
    <row r="3194" spans="1:8" x14ac:dyDescent="0.15">
      <c r="A3194">
        <v>3193</v>
      </c>
      <c r="B3194" t="s">
        <v>339</v>
      </c>
      <c r="C3194" t="s">
        <v>353</v>
      </c>
      <c r="D3194" t="s">
        <v>6465</v>
      </c>
      <c r="E3194" t="s">
        <v>6464</v>
      </c>
      <c r="F3194" s="46">
        <v>46097.325900821757</v>
      </c>
      <c r="G3194" s="46">
        <v>46097.325900821757</v>
      </c>
      <c r="H3194">
        <v>0</v>
      </c>
    </row>
    <row r="3195" spans="1:8" x14ac:dyDescent="0.15">
      <c r="A3195">
        <v>3194</v>
      </c>
      <c r="B3195" t="s">
        <v>339</v>
      </c>
      <c r="C3195" t="s">
        <v>353</v>
      </c>
      <c r="D3195" t="s">
        <v>6466</v>
      </c>
      <c r="E3195" t="s">
        <v>6464</v>
      </c>
      <c r="F3195" s="46">
        <v>46097.325900821757</v>
      </c>
      <c r="G3195" s="46">
        <v>46097.325900821757</v>
      </c>
      <c r="H3195">
        <v>0</v>
      </c>
    </row>
    <row r="3196" spans="1:8" x14ac:dyDescent="0.15">
      <c r="A3196">
        <v>3195</v>
      </c>
      <c r="B3196" t="s">
        <v>339</v>
      </c>
      <c r="C3196" t="s">
        <v>353</v>
      </c>
      <c r="D3196" t="s">
        <v>6467</v>
      </c>
      <c r="E3196" t="s">
        <v>6464</v>
      </c>
      <c r="F3196" s="46">
        <v>46097.325900821757</v>
      </c>
      <c r="G3196" s="46">
        <v>46097.325900995369</v>
      </c>
      <c r="H3196">
        <v>16</v>
      </c>
    </row>
    <row r="3197" spans="1:8" x14ac:dyDescent="0.15">
      <c r="A3197">
        <v>3196</v>
      </c>
      <c r="B3197" t="s">
        <v>339</v>
      </c>
      <c r="C3197" t="s">
        <v>353</v>
      </c>
      <c r="D3197" t="s">
        <v>6468</v>
      </c>
      <c r="E3197" t="s">
        <v>6464</v>
      </c>
      <c r="F3197" s="46">
        <v>46097.325900995369</v>
      </c>
      <c r="G3197" s="46">
        <v>46097.325900995369</v>
      </c>
      <c r="H3197">
        <v>0</v>
      </c>
    </row>
    <row r="3198" spans="1:8" x14ac:dyDescent="0.15">
      <c r="A3198">
        <v>3197</v>
      </c>
      <c r="B3198" t="s">
        <v>339</v>
      </c>
      <c r="C3198" t="s">
        <v>353</v>
      </c>
      <c r="D3198" t="s">
        <v>6469</v>
      </c>
      <c r="E3198" t="s">
        <v>6464</v>
      </c>
      <c r="F3198" s="46">
        <v>46097.325900995369</v>
      </c>
      <c r="G3198" s="46">
        <v>46097.325900995369</v>
      </c>
      <c r="H3198">
        <v>0</v>
      </c>
    </row>
    <row r="3199" spans="1:8" x14ac:dyDescent="0.15">
      <c r="A3199">
        <v>3198</v>
      </c>
      <c r="B3199" t="s">
        <v>339</v>
      </c>
      <c r="C3199" t="s">
        <v>353</v>
      </c>
      <c r="D3199" t="s">
        <v>6470</v>
      </c>
      <c r="E3199" t="s">
        <v>6464</v>
      </c>
      <c r="F3199" s="46">
        <v>46097.325900995369</v>
      </c>
      <c r="G3199" s="46">
        <v>46097.325900995369</v>
      </c>
      <c r="H3199">
        <v>0</v>
      </c>
    </row>
    <row r="3200" spans="1:8" x14ac:dyDescent="0.15">
      <c r="A3200">
        <v>3199</v>
      </c>
      <c r="B3200" t="s">
        <v>339</v>
      </c>
      <c r="C3200" t="s">
        <v>353</v>
      </c>
      <c r="D3200" t="s">
        <v>6471</v>
      </c>
      <c r="E3200" t="s">
        <v>6464</v>
      </c>
      <c r="F3200" s="46">
        <v>46097.325900995369</v>
      </c>
      <c r="G3200" s="46">
        <v>46097.325900995369</v>
      </c>
      <c r="H3200">
        <v>0</v>
      </c>
    </row>
    <row r="3201" spans="1:8" x14ac:dyDescent="0.15">
      <c r="A3201">
        <v>3200</v>
      </c>
      <c r="B3201" t="s">
        <v>339</v>
      </c>
      <c r="C3201" t="s">
        <v>353</v>
      </c>
      <c r="D3201" t="s">
        <v>6472</v>
      </c>
      <c r="E3201" t="s">
        <v>6473</v>
      </c>
      <c r="F3201" s="46">
        <v>46097.325900995369</v>
      </c>
      <c r="G3201" s="46">
        <v>46097.325900995369</v>
      </c>
      <c r="H3201">
        <v>0</v>
      </c>
    </row>
    <row r="3202" spans="1:8" x14ac:dyDescent="0.15">
      <c r="A3202">
        <v>3201</v>
      </c>
      <c r="B3202" t="s">
        <v>339</v>
      </c>
      <c r="C3202" t="s">
        <v>353</v>
      </c>
      <c r="D3202" t="s">
        <v>6474</v>
      </c>
      <c r="E3202" t="s">
        <v>6473</v>
      </c>
      <c r="F3202" s="46">
        <v>46097.325900995369</v>
      </c>
      <c r="G3202" s="46">
        <v>46097.325900995369</v>
      </c>
      <c r="H3202">
        <v>0</v>
      </c>
    </row>
    <row r="3203" spans="1:8" x14ac:dyDescent="0.15">
      <c r="A3203">
        <v>3202</v>
      </c>
      <c r="B3203" t="s">
        <v>339</v>
      </c>
      <c r="C3203" t="s">
        <v>353</v>
      </c>
      <c r="D3203" t="s">
        <v>6475</v>
      </c>
      <c r="E3203" t="s">
        <v>6473</v>
      </c>
      <c r="F3203" s="46">
        <v>46097.325900995369</v>
      </c>
      <c r="G3203" s="46">
        <v>46097.325900995369</v>
      </c>
      <c r="H3203">
        <v>0</v>
      </c>
    </row>
    <row r="3204" spans="1:8" x14ac:dyDescent="0.15">
      <c r="A3204">
        <v>3203</v>
      </c>
      <c r="B3204" t="s">
        <v>339</v>
      </c>
      <c r="C3204" t="s">
        <v>353</v>
      </c>
      <c r="D3204" t="s">
        <v>6476</v>
      </c>
      <c r="E3204" t="s">
        <v>6473</v>
      </c>
      <c r="F3204" s="46">
        <v>46097.325900995369</v>
      </c>
      <c r="G3204" s="46">
        <v>46097.325900995369</v>
      </c>
      <c r="H3204">
        <v>0</v>
      </c>
    </row>
    <row r="3205" spans="1:8" x14ac:dyDescent="0.15">
      <c r="A3205">
        <v>3204</v>
      </c>
      <c r="B3205" t="s">
        <v>339</v>
      </c>
      <c r="C3205" t="s">
        <v>353</v>
      </c>
      <c r="D3205" t="s">
        <v>6477</v>
      </c>
      <c r="E3205" t="s">
        <v>6473</v>
      </c>
      <c r="F3205" s="46">
        <v>46097.325900995369</v>
      </c>
      <c r="G3205" s="46">
        <v>46097.325900995369</v>
      </c>
      <c r="H3205">
        <v>0</v>
      </c>
    </row>
    <row r="3206" spans="1:8" x14ac:dyDescent="0.15">
      <c r="A3206">
        <v>3205</v>
      </c>
      <c r="B3206" t="s">
        <v>339</v>
      </c>
      <c r="C3206" t="s">
        <v>353</v>
      </c>
      <c r="D3206" t="s">
        <v>6478</v>
      </c>
      <c r="E3206" t="s">
        <v>6473</v>
      </c>
      <c r="F3206" s="46">
        <v>46097.325900995369</v>
      </c>
      <c r="G3206" s="46">
        <v>46097.325901180557</v>
      </c>
      <c r="H3206">
        <v>15</v>
      </c>
    </row>
    <row r="3207" spans="1:8" x14ac:dyDescent="0.15">
      <c r="A3207">
        <v>3206</v>
      </c>
      <c r="B3207" t="s">
        <v>339</v>
      </c>
      <c r="C3207" t="s">
        <v>353</v>
      </c>
      <c r="D3207" t="s">
        <v>6479</v>
      </c>
      <c r="E3207" t="s">
        <v>6473</v>
      </c>
      <c r="F3207" s="46">
        <v>46097.325901180557</v>
      </c>
      <c r="G3207" s="46">
        <v>46097.325901180557</v>
      </c>
      <c r="H3207">
        <v>0</v>
      </c>
    </row>
    <row r="3208" spans="1:8" x14ac:dyDescent="0.15">
      <c r="A3208">
        <v>3207</v>
      </c>
      <c r="B3208" t="s">
        <v>339</v>
      </c>
      <c r="C3208" t="s">
        <v>353</v>
      </c>
      <c r="D3208" t="s">
        <v>6480</v>
      </c>
      <c r="E3208" t="s">
        <v>6481</v>
      </c>
      <c r="F3208" s="46">
        <v>46097.325901180557</v>
      </c>
      <c r="G3208" s="46">
        <v>46097.325901180557</v>
      </c>
      <c r="H3208">
        <v>0</v>
      </c>
    </row>
    <row r="3209" spans="1:8" x14ac:dyDescent="0.15">
      <c r="A3209">
        <v>3208</v>
      </c>
      <c r="B3209" t="s">
        <v>339</v>
      </c>
      <c r="C3209" t="s">
        <v>353</v>
      </c>
      <c r="D3209" t="s">
        <v>6482</v>
      </c>
      <c r="E3209" t="s">
        <v>6481</v>
      </c>
      <c r="F3209" s="46">
        <v>46097.325901180557</v>
      </c>
      <c r="G3209" s="46">
        <v>46097.325901180557</v>
      </c>
      <c r="H3209">
        <v>0</v>
      </c>
    </row>
    <row r="3210" spans="1:8" x14ac:dyDescent="0.15">
      <c r="A3210">
        <v>3209</v>
      </c>
      <c r="B3210" t="s">
        <v>339</v>
      </c>
      <c r="C3210" t="s">
        <v>353</v>
      </c>
      <c r="D3210" t="s">
        <v>6483</v>
      </c>
      <c r="E3210" t="s">
        <v>6481</v>
      </c>
      <c r="F3210" s="46">
        <v>46097.325901180557</v>
      </c>
      <c r="G3210" s="46">
        <v>46097.325901180557</v>
      </c>
      <c r="H3210">
        <v>0</v>
      </c>
    </row>
    <row r="3211" spans="1:8" x14ac:dyDescent="0.15">
      <c r="A3211">
        <v>3210</v>
      </c>
      <c r="B3211" t="s">
        <v>339</v>
      </c>
      <c r="C3211" t="s">
        <v>353</v>
      </c>
      <c r="D3211" t="s">
        <v>6484</v>
      </c>
      <c r="E3211" t="s">
        <v>6481</v>
      </c>
      <c r="F3211" s="46">
        <v>46097.325901180557</v>
      </c>
      <c r="G3211" s="46">
        <v>46097.325901180557</v>
      </c>
      <c r="H3211">
        <v>0</v>
      </c>
    </row>
    <row r="3212" spans="1:8" x14ac:dyDescent="0.15">
      <c r="A3212">
        <v>3211</v>
      </c>
      <c r="B3212" t="s">
        <v>339</v>
      </c>
      <c r="C3212" t="s">
        <v>353</v>
      </c>
      <c r="D3212" t="s">
        <v>6485</v>
      </c>
      <c r="E3212" t="s">
        <v>6481</v>
      </c>
      <c r="F3212" s="46">
        <v>46097.325901180557</v>
      </c>
      <c r="G3212" s="46">
        <v>46097.325901180557</v>
      </c>
      <c r="H3212">
        <v>0</v>
      </c>
    </row>
    <row r="3213" spans="1:8" x14ac:dyDescent="0.15">
      <c r="A3213">
        <v>3212</v>
      </c>
      <c r="B3213" t="s">
        <v>339</v>
      </c>
      <c r="C3213" t="s">
        <v>353</v>
      </c>
      <c r="D3213" t="s">
        <v>6486</v>
      </c>
      <c r="E3213" t="s">
        <v>6487</v>
      </c>
      <c r="F3213" s="46">
        <v>46097.325901180557</v>
      </c>
      <c r="G3213" s="46">
        <v>46097.325901180557</v>
      </c>
      <c r="H3213">
        <v>0</v>
      </c>
    </row>
    <row r="3214" spans="1:8" x14ac:dyDescent="0.15">
      <c r="A3214">
        <v>3213</v>
      </c>
      <c r="B3214" t="s">
        <v>339</v>
      </c>
      <c r="C3214" t="s">
        <v>353</v>
      </c>
      <c r="D3214" t="s">
        <v>6488</v>
      </c>
      <c r="E3214" t="s">
        <v>6487</v>
      </c>
      <c r="F3214" s="46">
        <v>46097.325901180557</v>
      </c>
      <c r="G3214" s="46">
        <v>46097.325901180557</v>
      </c>
      <c r="H3214">
        <v>0</v>
      </c>
    </row>
    <row r="3215" spans="1:8" x14ac:dyDescent="0.15">
      <c r="A3215">
        <v>3214</v>
      </c>
      <c r="B3215" t="s">
        <v>339</v>
      </c>
      <c r="C3215" t="s">
        <v>353</v>
      </c>
      <c r="D3215" t="s">
        <v>6489</v>
      </c>
      <c r="E3215" t="s">
        <v>6487</v>
      </c>
      <c r="F3215" s="46">
        <v>46097.325901180557</v>
      </c>
      <c r="G3215" s="46">
        <v>46097.325901180557</v>
      </c>
      <c r="H3215">
        <v>0</v>
      </c>
    </row>
    <row r="3216" spans="1:8" x14ac:dyDescent="0.15">
      <c r="A3216">
        <v>3215</v>
      </c>
      <c r="B3216" t="s">
        <v>339</v>
      </c>
      <c r="C3216" t="s">
        <v>353</v>
      </c>
      <c r="D3216" t="s">
        <v>6490</v>
      </c>
      <c r="E3216" t="s">
        <v>6487</v>
      </c>
      <c r="F3216" s="46">
        <v>46097.325901180557</v>
      </c>
      <c r="G3216" s="46">
        <v>46097.325901365737</v>
      </c>
      <c r="H3216">
        <v>16</v>
      </c>
    </row>
    <row r="3217" spans="1:8" x14ac:dyDescent="0.15">
      <c r="A3217">
        <v>3216</v>
      </c>
      <c r="B3217" t="s">
        <v>339</v>
      </c>
      <c r="C3217" t="s">
        <v>353</v>
      </c>
      <c r="D3217" t="s">
        <v>6491</v>
      </c>
      <c r="E3217" t="s">
        <v>6492</v>
      </c>
      <c r="F3217" s="46">
        <v>46097.325901365737</v>
      </c>
      <c r="G3217" s="46">
        <v>46097.325901365737</v>
      </c>
      <c r="H3217">
        <v>0</v>
      </c>
    </row>
    <row r="3218" spans="1:8" x14ac:dyDescent="0.15">
      <c r="A3218">
        <v>3217</v>
      </c>
      <c r="B3218" t="s">
        <v>339</v>
      </c>
      <c r="C3218" t="s">
        <v>353</v>
      </c>
      <c r="D3218" t="s">
        <v>6493</v>
      </c>
      <c r="E3218" t="s">
        <v>6494</v>
      </c>
      <c r="F3218" s="46">
        <v>46097.325901365737</v>
      </c>
      <c r="G3218" s="46">
        <v>46097.325901365737</v>
      </c>
      <c r="H3218">
        <v>0</v>
      </c>
    </row>
    <row r="3219" spans="1:8" x14ac:dyDescent="0.15">
      <c r="A3219">
        <v>3218</v>
      </c>
      <c r="B3219" t="s">
        <v>339</v>
      </c>
      <c r="C3219" t="s">
        <v>353</v>
      </c>
      <c r="D3219" t="s">
        <v>6495</v>
      </c>
      <c r="E3219" t="s">
        <v>6494</v>
      </c>
      <c r="F3219" s="46">
        <v>46097.325901365737</v>
      </c>
      <c r="G3219" s="46">
        <v>46097.325901365737</v>
      </c>
      <c r="H3219">
        <v>0</v>
      </c>
    </row>
    <row r="3220" spans="1:8" x14ac:dyDescent="0.15">
      <c r="A3220">
        <v>3219</v>
      </c>
      <c r="B3220" t="s">
        <v>339</v>
      </c>
      <c r="C3220" t="s">
        <v>353</v>
      </c>
      <c r="D3220" t="s">
        <v>6496</v>
      </c>
      <c r="E3220" t="s">
        <v>6494</v>
      </c>
      <c r="F3220" s="46">
        <v>46097.325901365737</v>
      </c>
      <c r="G3220" s="46">
        <v>46097.325901365737</v>
      </c>
      <c r="H3220">
        <v>0</v>
      </c>
    </row>
    <row r="3221" spans="1:8" x14ac:dyDescent="0.15">
      <c r="A3221">
        <v>3220</v>
      </c>
      <c r="B3221" t="s">
        <v>339</v>
      </c>
      <c r="C3221" t="s">
        <v>353</v>
      </c>
      <c r="D3221" t="s">
        <v>6497</v>
      </c>
      <c r="E3221" t="s">
        <v>6498</v>
      </c>
      <c r="F3221" s="46">
        <v>46097.325901365737</v>
      </c>
      <c r="G3221" s="46">
        <v>46097.325901365737</v>
      </c>
      <c r="H3221">
        <v>0</v>
      </c>
    </row>
    <row r="3222" spans="1:8" x14ac:dyDescent="0.15">
      <c r="A3222">
        <v>3221</v>
      </c>
      <c r="B3222" t="s">
        <v>339</v>
      </c>
      <c r="C3222" t="s">
        <v>353</v>
      </c>
      <c r="D3222" t="s">
        <v>6499</v>
      </c>
      <c r="E3222" t="s">
        <v>6498</v>
      </c>
      <c r="F3222" s="46">
        <v>46097.325901365737</v>
      </c>
      <c r="G3222" s="46">
        <v>46097.325901365737</v>
      </c>
      <c r="H3222">
        <v>0</v>
      </c>
    </row>
    <row r="3223" spans="1:8" x14ac:dyDescent="0.15">
      <c r="A3223">
        <v>3222</v>
      </c>
      <c r="B3223" t="s">
        <v>339</v>
      </c>
      <c r="C3223" t="s">
        <v>353</v>
      </c>
      <c r="D3223" t="s">
        <v>6500</v>
      </c>
      <c r="E3223" t="s">
        <v>6498</v>
      </c>
      <c r="F3223" s="46">
        <v>46097.325901365737</v>
      </c>
      <c r="G3223" s="46">
        <v>46097.325901365737</v>
      </c>
      <c r="H3223">
        <v>0</v>
      </c>
    </row>
    <row r="3224" spans="1:8" x14ac:dyDescent="0.15">
      <c r="A3224">
        <v>3223</v>
      </c>
      <c r="B3224" t="s">
        <v>339</v>
      </c>
      <c r="C3224" t="s">
        <v>353</v>
      </c>
      <c r="D3224" t="s">
        <v>6501</v>
      </c>
      <c r="E3224" t="s">
        <v>6502</v>
      </c>
      <c r="F3224" s="46">
        <v>46097.325901365737</v>
      </c>
      <c r="G3224" s="46">
        <v>46097.325901365737</v>
      </c>
      <c r="H3224">
        <v>0</v>
      </c>
    </row>
    <row r="3225" spans="1:8" x14ac:dyDescent="0.15">
      <c r="A3225">
        <v>3224</v>
      </c>
      <c r="B3225" t="s">
        <v>339</v>
      </c>
      <c r="C3225" t="s">
        <v>353</v>
      </c>
      <c r="D3225" t="s">
        <v>6503</v>
      </c>
      <c r="E3225" t="s">
        <v>6502</v>
      </c>
      <c r="F3225" s="46">
        <v>46097.325901365737</v>
      </c>
      <c r="G3225" s="46">
        <v>46097.325901365737</v>
      </c>
      <c r="H3225">
        <v>0</v>
      </c>
    </row>
    <row r="3226" spans="1:8" x14ac:dyDescent="0.15">
      <c r="A3226">
        <v>3225</v>
      </c>
      <c r="B3226" t="s">
        <v>339</v>
      </c>
      <c r="C3226" t="s">
        <v>353</v>
      </c>
      <c r="D3226" t="s">
        <v>6504</v>
      </c>
      <c r="E3226" t="s">
        <v>6505</v>
      </c>
      <c r="F3226" s="46">
        <v>46097.325901365737</v>
      </c>
      <c r="G3226" s="46">
        <v>46097.325901365737</v>
      </c>
      <c r="H3226">
        <v>0</v>
      </c>
    </row>
    <row r="3227" spans="1:8" x14ac:dyDescent="0.15">
      <c r="A3227">
        <v>3226</v>
      </c>
      <c r="B3227" t="s">
        <v>339</v>
      </c>
      <c r="C3227" t="s">
        <v>353</v>
      </c>
      <c r="D3227" t="s">
        <v>6506</v>
      </c>
      <c r="E3227" t="s">
        <v>6507</v>
      </c>
      <c r="F3227" s="46">
        <v>46097.325901365737</v>
      </c>
      <c r="G3227" s="46">
        <v>46097.325901539349</v>
      </c>
      <c r="H3227">
        <v>16</v>
      </c>
    </row>
    <row r="3228" spans="1:8" x14ac:dyDescent="0.15">
      <c r="A3228">
        <v>3227</v>
      </c>
      <c r="B3228" t="s">
        <v>339</v>
      </c>
      <c r="C3228" t="s">
        <v>353</v>
      </c>
      <c r="D3228" t="s">
        <v>6508</v>
      </c>
      <c r="E3228" t="s">
        <v>6507</v>
      </c>
      <c r="F3228" s="46">
        <v>46097.325901539349</v>
      </c>
      <c r="G3228" s="46">
        <v>46097.325901539349</v>
      </c>
      <c r="H3228">
        <v>0</v>
      </c>
    </row>
    <row r="3229" spans="1:8" x14ac:dyDescent="0.15">
      <c r="A3229">
        <v>3228</v>
      </c>
      <c r="B3229" t="s">
        <v>339</v>
      </c>
      <c r="C3229" t="s">
        <v>353</v>
      </c>
      <c r="D3229" t="s">
        <v>6509</v>
      </c>
      <c r="E3229" t="s">
        <v>6510</v>
      </c>
      <c r="F3229" s="46">
        <v>46097.325901539349</v>
      </c>
      <c r="G3229" s="46">
        <v>46097.325901539349</v>
      </c>
      <c r="H3229">
        <v>0</v>
      </c>
    </row>
    <row r="3230" spans="1:8" x14ac:dyDescent="0.15">
      <c r="A3230">
        <v>3229</v>
      </c>
      <c r="B3230" t="s">
        <v>339</v>
      </c>
      <c r="C3230" t="s">
        <v>353</v>
      </c>
      <c r="D3230" t="s">
        <v>6511</v>
      </c>
      <c r="E3230" t="s">
        <v>6510</v>
      </c>
      <c r="F3230" s="46">
        <v>46097.325901539349</v>
      </c>
      <c r="G3230" s="46">
        <v>46097.325901539349</v>
      </c>
      <c r="H3230">
        <v>0</v>
      </c>
    </row>
    <row r="3231" spans="1:8" x14ac:dyDescent="0.15">
      <c r="A3231">
        <v>3230</v>
      </c>
      <c r="B3231" t="s">
        <v>339</v>
      </c>
      <c r="C3231" t="s">
        <v>353</v>
      </c>
      <c r="D3231" t="s">
        <v>6512</v>
      </c>
      <c r="E3231" t="s">
        <v>6513</v>
      </c>
      <c r="F3231" s="46">
        <v>46097.325901539349</v>
      </c>
      <c r="G3231" s="46">
        <v>46097.325901539349</v>
      </c>
      <c r="H3231">
        <v>0</v>
      </c>
    </row>
    <row r="3232" spans="1:8" x14ac:dyDescent="0.15">
      <c r="A3232">
        <v>3231</v>
      </c>
      <c r="B3232" t="s">
        <v>339</v>
      </c>
      <c r="C3232" t="s">
        <v>353</v>
      </c>
      <c r="D3232" t="s">
        <v>6514</v>
      </c>
      <c r="E3232" t="s">
        <v>6513</v>
      </c>
      <c r="F3232" s="46">
        <v>46097.325901539349</v>
      </c>
      <c r="G3232" s="46">
        <v>46097.325901539349</v>
      </c>
      <c r="H3232">
        <v>0</v>
      </c>
    </row>
    <row r="3233" spans="1:8" x14ac:dyDescent="0.15">
      <c r="A3233">
        <v>3232</v>
      </c>
      <c r="B3233" t="s">
        <v>339</v>
      </c>
      <c r="C3233" t="s">
        <v>353</v>
      </c>
      <c r="D3233" t="s">
        <v>6515</v>
      </c>
      <c r="E3233" t="s">
        <v>6513</v>
      </c>
      <c r="F3233" s="46">
        <v>46097.325901539349</v>
      </c>
      <c r="G3233" s="46">
        <v>46097.325901539349</v>
      </c>
      <c r="H3233">
        <v>0</v>
      </c>
    </row>
    <row r="3234" spans="1:8" x14ac:dyDescent="0.15">
      <c r="A3234">
        <v>3233</v>
      </c>
      <c r="B3234" t="s">
        <v>339</v>
      </c>
      <c r="C3234" t="s">
        <v>353</v>
      </c>
      <c r="D3234" t="s">
        <v>6516</v>
      </c>
      <c r="E3234" t="s">
        <v>6513</v>
      </c>
      <c r="F3234" s="46">
        <v>46097.325901539349</v>
      </c>
      <c r="G3234" s="46">
        <v>46097.325901539349</v>
      </c>
      <c r="H3234">
        <v>0</v>
      </c>
    </row>
    <row r="3235" spans="1:8" x14ac:dyDescent="0.15">
      <c r="A3235">
        <v>3234</v>
      </c>
      <c r="B3235" t="s">
        <v>339</v>
      </c>
      <c r="C3235" t="s">
        <v>353</v>
      </c>
      <c r="D3235" t="s">
        <v>6517</v>
      </c>
      <c r="E3235" t="s">
        <v>6513</v>
      </c>
      <c r="F3235" s="46">
        <v>46097.325901539349</v>
      </c>
      <c r="G3235" s="46">
        <v>46097.325901539349</v>
      </c>
      <c r="H3235">
        <v>0</v>
      </c>
    </row>
    <row r="3236" spans="1:8" x14ac:dyDescent="0.15">
      <c r="A3236">
        <v>3235</v>
      </c>
      <c r="B3236" t="s">
        <v>339</v>
      </c>
      <c r="C3236" t="s">
        <v>353</v>
      </c>
      <c r="D3236" t="s">
        <v>6518</v>
      </c>
      <c r="E3236" t="s">
        <v>6513</v>
      </c>
      <c r="F3236" s="46">
        <v>46097.325901539349</v>
      </c>
      <c r="G3236" s="46">
        <v>46097.325901539349</v>
      </c>
      <c r="H3236">
        <v>0</v>
      </c>
    </row>
    <row r="3237" spans="1:8" x14ac:dyDescent="0.15">
      <c r="A3237">
        <v>3236</v>
      </c>
      <c r="B3237" t="s">
        <v>339</v>
      </c>
      <c r="C3237" t="s">
        <v>353</v>
      </c>
      <c r="D3237" t="s">
        <v>6519</v>
      </c>
      <c r="E3237" t="s">
        <v>6513</v>
      </c>
      <c r="F3237" s="46">
        <v>46097.325901539349</v>
      </c>
      <c r="G3237" s="46">
        <v>46097.325901724536</v>
      </c>
      <c r="H3237">
        <v>15</v>
      </c>
    </row>
    <row r="3238" spans="1:8" x14ac:dyDescent="0.15">
      <c r="A3238">
        <v>3237</v>
      </c>
      <c r="B3238" t="s">
        <v>339</v>
      </c>
      <c r="C3238" t="s">
        <v>353</v>
      </c>
      <c r="D3238" t="s">
        <v>6520</v>
      </c>
      <c r="E3238" t="s">
        <v>6513</v>
      </c>
      <c r="F3238" s="46">
        <v>46097.325901724536</v>
      </c>
      <c r="G3238" s="46">
        <v>46097.325901724536</v>
      </c>
      <c r="H3238">
        <v>0</v>
      </c>
    </row>
    <row r="3239" spans="1:8" x14ac:dyDescent="0.15">
      <c r="A3239">
        <v>3238</v>
      </c>
      <c r="B3239" t="s">
        <v>339</v>
      </c>
      <c r="C3239" t="s">
        <v>353</v>
      </c>
      <c r="D3239" t="s">
        <v>6521</v>
      </c>
      <c r="E3239" t="s">
        <v>6513</v>
      </c>
      <c r="F3239" s="46">
        <v>46097.325901724536</v>
      </c>
      <c r="G3239" s="46">
        <v>46097.325901724536</v>
      </c>
      <c r="H3239">
        <v>0</v>
      </c>
    </row>
    <row r="3240" spans="1:8" x14ac:dyDescent="0.15">
      <c r="A3240">
        <v>3239</v>
      </c>
      <c r="B3240" t="s">
        <v>339</v>
      </c>
      <c r="C3240" t="s">
        <v>353</v>
      </c>
      <c r="D3240" t="s">
        <v>6522</v>
      </c>
      <c r="E3240" t="s">
        <v>6513</v>
      </c>
      <c r="F3240" s="46">
        <v>46097.325901724536</v>
      </c>
      <c r="G3240" s="46">
        <v>46097.325901724536</v>
      </c>
      <c r="H3240">
        <v>0</v>
      </c>
    </row>
    <row r="3241" spans="1:8" x14ac:dyDescent="0.15">
      <c r="A3241">
        <v>3240</v>
      </c>
      <c r="B3241" t="s">
        <v>339</v>
      </c>
      <c r="C3241" t="s">
        <v>353</v>
      </c>
      <c r="D3241" t="s">
        <v>6523</v>
      </c>
      <c r="E3241" t="s">
        <v>6513</v>
      </c>
      <c r="F3241" s="46">
        <v>46097.325901724536</v>
      </c>
      <c r="G3241" s="46">
        <v>46097.325901724536</v>
      </c>
      <c r="H3241">
        <v>0</v>
      </c>
    </row>
    <row r="3242" spans="1:8" x14ac:dyDescent="0.15">
      <c r="A3242">
        <v>3241</v>
      </c>
      <c r="B3242" t="s">
        <v>339</v>
      </c>
      <c r="C3242" t="s">
        <v>353</v>
      </c>
      <c r="D3242" t="s">
        <v>6524</v>
      </c>
      <c r="E3242" t="s">
        <v>6513</v>
      </c>
      <c r="F3242" s="46">
        <v>46097.325901724536</v>
      </c>
      <c r="G3242" s="46">
        <v>46097.325901724536</v>
      </c>
      <c r="H3242">
        <v>0</v>
      </c>
    </row>
    <row r="3243" spans="1:8" x14ac:dyDescent="0.15">
      <c r="A3243">
        <v>3242</v>
      </c>
      <c r="B3243" t="s">
        <v>339</v>
      </c>
      <c r="C3243" t="s">
        <v>353</v>
      </c>
      <c r="D3243" t="s">
        <v>6525</v>
      </c>
      <c r="E3243" t="s">
        <v>6526</v>
      </c>
      <c r="F3243" s="46">
        <v>46097.325901724536</v>
      </c>
      <c r="G3243" s="46">
        <v>46097.325901724536</v>
      </c>
      <c r="H3243">
        <v>0</v>
      </c>
    </row>
    <row r="3244" spans="1:8" x14ac:dyDescent="0.15">
      <c r="A3244">
        <v>3243</v>
      </c>
      <c r="B3244" t="s">
        <v>339</v>
      </c>
      <c r="C3244" t="s">
        <v>353</v>
      </c>
      <c r="D3244" t="s">
        <v>6527</v>
      </c>
      <c r="E3244" t="s">
        <v>6528</v>
      </c>
      <c r="F3244" s="46">
        <v>46097.325901724536</v>
      </c>
      <c r="G3244" s="46">
        <v>46097.325901724536</v>
      </c>
      <c r="H3244">
        <v>0</v>
      </c>
    </row>
    <row r="3245" spans="1:8" x14ac:dyDescent="0.15">
      <c r="A3245">
        <v>3244</v>
      </c>
      <c r="B3245" t="s">
        <v>339</v>
      </c>
      <c r="C3245" t="s">
        <v>353</v>
      </c>
      <c r="D3245" t="s">
        <v>6529</v>
      </c>
      <c r="E3245" t="s">
        <v>6528</v>
      </c>
      <c r="F3245" s="46">
        <v>46097.325901724536</v>
      </c>
      <c r="G3245" s="46">
        <v>46097.325901724536</v>
      </c>
      <c r="H3245">
        <v>0</v>
      </c>
    </row>
    <row r="3246" spans="1:8" x14ac:dyDescent="0.15">
      <c r="A3246">
        <v>3245</v>
      </c>
      <c r="B3246" t="s">
        <v>339</v>
      </c>
      <c r="C3246" t="s">
        <v>353</v>
      </c>
      <c r="D3246" t="s">
        <v>6530</v>
      </c>
      <c r="E3246" t="s">
        <v>6528</v>
      </c>
      <c r="F3246" s="46">
        <v>46097.325901724536</v>
      </c>
      <c r="G3246" s="46">
        <v>46097.325901724536</v>
      </c>
      <c r="H3246">
        <v>0</v>
      </c>
    </row>
    <row r="3247" spans="1:8" x14ac:dyDescent="0.15">
      <c r="A3247">
        <v>3246</v>
      </c>
      <c r="B3247" t="s">
        <v>339</v>
      </c>
      <c r="C3247" t="s">
        <v>353</v>
      </c>
      <c r="D3247" t="s">
        <v>6531</v>
      </c>
      <c r="E3247" t="s">
        <v>6528</v>
      </c>
      <c r="F3247" s="46">
        <v>46097.325901724536</v>
      </c>
      <c r="G3247" s="46">
        <v>46097.325901724536</v>
      </c>
      <c r="H3247">
        <v>0</v>
      </c>
    </row>
    <row r="3248" spans="1:8" x14ac:dyDescent="0.15">
      <c r="A3248">
        <v>3247</v>
      </c>
      <c r="B3248" t="s">
        <v>339</v>
      </c>
      <c r="C3248" t="s">
        <v>353</v>
      </c>
      <c r="D3248" t="s">
        <v>6532</v>
      </c>
      <c r="E3248" t="s">
        <v>6528</v>
      </c>
      <c r="F3248" s="46">
        <v>46097.325901724536</v>
      </c>
      <c r="G3248" s="46">
        <v>46097.325901898148</v>
      </c>
      <c r="H3248">
        <v>16</v>
      </c>
    </row>
    <row r="3249" spans="1:8" x14ac:dyDescent="0.15">
      <c r="A3249">
        <v>3248</v>
      </c>
      <c r="B3249" t="s">
        <v>339</v>
      </c>
      <c r="C3249" t="s">
        <v>353</v>
      </c>
      <c r="D3249" t="s">
        <v>6533</v>
      </c>
      <c r="E3249" t="s">
        <v>6528</v>
      </c>
      <c r="F3249" s="46">
        <v>46097.325901898148</v>
      </c>
      <c r="G3249" s="46">
        <v>46097.325901898148</v>
      </c>
      <c r="H3249">
        <v>0</v>
      </c>
    </row>
    <row r="3250" spans="1:8" x14ac:dyDescent="0.15">
      <c r="A3250">
        <v>3249</v>
      </c>
      <c r="B3250" t="s">
        <v>339</v>
      </c>
      <c r="C3250" t="s">
        <v>353</v>
      </c>
      <c r="D3250" t="s">
        <v>6534</v>
      </c>
      <c r="E3250" t="s">
        <v>6528</v>
      </c>
      <c r="F3250" s="46">
        <v>46097.325901898148</v>
      </c>
      <c r="G3250" s="46">
        <v>46097.325901898148</v>
      </c>
      <c r="H3250">
        <v>0</v>
      </c>
    </row>
    <row r="3251" spans="1:8" x14ac:dyDescent="0.15">
      <c r="A3251">
        <v>3250</v>
      </c>
      <c r="B3251" t="s">
        <v>339</v>
      </c>
      <c r="C3251" t="s">
        <v>353</v>
      </c>
      <c r="D3251" t="s">
        <v>6535</v>
      </c>
      <c r="E3251" t="s">
        <v>6528</v>
      </c>
      <c r="F3251" s="46">
        <v>46097.325901898148</v>
      </c>
      <c r="G3251" s="46">
        <v>46097.325901898148</v>
      </c>
      <c r="H3251">
        <v>0</v>
      </c>
    </row>
    <row r="3252" spans="1:8" x14ac:dyDescent="0.15">
      <c r="A3252">
        <v>3251</v>
      </c>
      <c r="B3252" t="s">
        <v>339</v>
      </c>
      <c r="C3252" t="s">
        <v>353</v>
      </c>
      <c r="D3252" t="s">
        <v>6536</v>
      </c>
      <c r="E3252" t="s">
        <v>6528</v>
      </c>
      <c r="F3252" s="46">
        <v>46097.325901898148</v>
      </c>
      <c r="G3252" s="46">
        <v>46097.325901898148</v>
      </c>
      <c r="H3252">
        <v>0</v>
      </c>
    </row>
    <row r="3253" spans="1:8" x14ac:dyDescent="0.15">
      <c r="A3253">
        <v>3252</v>
      </c>
      <c r="B3253" t="s">
        <v>339</v>
      </c>
      <c r="C3253" t="s">
        <v>353</v>
      </c>
      <c r="D3253" t="s">
        <v>6537</v>
      </c>
      <c r="E3253" t="s">
        <v>6528</v>
      </c>
      <c r="F3253" s="46">
        <v>46097.325901898148</v>
      </c>
      <c r="G3253" s="46">
        <v>46097.325901898148</v>
      </c>
      <c r="H3253">
        <v>0</v>
      </c>
    </row>
    <row r="3254" spans="1:8" x14ac:dyDescent="0.15">
      <c r="A3254">
        <v>3253</v>
      </c>
      <c r="B3254" t="s">
        <v>339</v>
      </c>
      <c r="C3254" t="s">
        <v>353</v>
      </c>
      <c r="D3254" t="s">
        <v>6538</v>
      </c>
      <c r="E3254" t="s">
        <v>6528</v>
      </c>
      <c r="F3254" s="46">
        <v>46097.325901898148</v>
      </c>
      <c r="G3254" s="46">
        <v>46097.325901898148</v>
      </c>
      <c r="H3254">
        <v>0</v>
      </c>
    </row>
    <row r="3255" spans="1:8" x14ac:dyDescent="0.15">
      <c r="A3255">
        <v>3254</v>
      </c>
      <c r="B3255" t="s">
        <v>339</v>
      </c>
      <c r="C3255" t="s">
        <v>353</v>
      </c>
      <c r="D3255" t="s">
        <v>6539</v>
      </c>
      <c r="E3255" t="s">
        <v>6528</v>
      </c>
      <c r="F3255" s="46">
        <v>46097.325901898148</v>
      </c>
      <c r="G3255" s="46">
        <v>46097.325901898148</v>
      </c>
      <c r="H3255">
        <v>0</v>
      </c>
    </row>
    <row r="3256" spans="1:8" x14ac:dyDescent="0.15">
      <c r="A3256">
        <v>3255</v>
      </c>
      <c r="B3256" t="s">
        <v>339</v>
      </c>
      <c r="C3256" t="s">
        <v>353</v>
      </c>
      <c r="D3256" t="s">
        <v>6540</v>
      </c>
      <c r="E3256" t="s">
        <v>6528</v>
      </c>
      <c r="F3256" s="46">
        <v>46097.325901898148</v>
      </c>
      <c r="G3256" s="46">
        <v>46097.325901898148</v>
      </c>
      <c r="H3256">
        <v>0</v>
      </c>
    </row>
    <row r="3257" spans="1:8" x14ac:dyDescent="0.15">
      <c r="A3257">
        <v>3256</v>
      </c>
      <c r="B3257" t="s">
        <v>339</v>
      </c>
      <c r="C3257" t="s">
        <v>353</v>
      </c>
      <c r="D3257" t="s">
        <v>6541</v>
      </c>
      <c r="E3257" t="s">
        <v>6528</v>
      </c>
      <c r="F3257" s="46">
        <v>46097.325901898148</v>
      </c>
      <c r="G3257" s="46">
        <v>46097.325901898148</v>
      </c>
      <c r="H3257">
        <v>0</v>
      </c>
    </row>
    <row r="3258" spans="1:8" x14ac:dyDescent="0.15">
      <c r="A3258">
        <v>3257</v>
      </c>
      <c r="B3258" t="s">
        <v>339</v>
      </c>
      <c r="C3258" t="s">
        <v>353</v>
      </c>
      <c r="D3258" t="s">
        <v>6542</v>
      </c>
      <c r="E3258" t="s">
        <v>6543</v>
      </c>
      <c r="F3258" s="46">
        <v>46097.325901898148</v>
      </c>
      <c r="G3258" s="46">
        <v>46097.325901898148</v>
      </c>
      <c r="H3258">
        <v>0</v>
      </c>
    </row>
    <row r="3259" spans="1:8" x14ac:dyDescent="0.15">
      <c r="A3259">
        <v>3258</v>
      </c>
      <c r="B3259" t="s">
        <v>339</v>
      </c>
      <c r="C3259" t="s">
        <v>353</v>
      </c>
      <c r="D3259" t="s">
        <v>6544</v>
      </c>
      <c r="E3259" t="s">
        <v>6543</v>
      </c>
      <c r="F3259" s="46">
        <v>46097.325901898148</v>
      </c>
      <c r="G3259" s="46">
        <v>46097.325902083343</v>
      </c>
      <c r="H3259">
        <v>16</v>
      </c>
    </row>
    <row r="3260" spans="1:8" x14ac:dyDescent="0.15">
      <c r="A3260">
        <v>3259</v>
      </c>
      <c r="B3260" t="s">
        <v>339</v>
      </c>
      <c r="C3260" t="s">
        <v>353</v>
      </c>
      <c r="D3260" t="s">
        <v>6545</v>
      </c>
      <c r="E3260" t="s">
        <v>6546</v>
      </c>
      <c r="F3260" s="46">
        <v>46097.325902083343</v>
      </c>
      <c r="G3260" s="46">
        <v>46097.325902083343</v>
      </c>
      <c r="H3260">
        <v>0</v>
      </c>
    </row>
    <row r="3261" spans="1:8" x14ac:dyDescent="0.15">
      <c r="A3261">
        <v>3260</v>
      </c>
      <c r="B3261" t="s">
        <v>339</v>
      </c>
      <c r="C3261" t="s">
        <v>353</v>
      </c>
      <c r="D3261" t="s">
        <v>6547</v>
      </c>
      <c r="E3261" t="s">
        <v>6546</v>
      </c>
      <c r="F3261" s="46">
        <v>46097.325902083343</v>
      </c>
      <c r="G3261" s="46">
        <v>46097.325902083343</v>
      </c>
      <c r="H3261">
        <v>0</v>
      </c>
    </row>
    <row r="3262" spans="1:8" x14ac:dyDescent="0.15">
      <c r="A3262">
        <v>3261</v>
      </c>
      <c r="B3262" t="s">
        <v>339</v>
      </c>
      <c r="C3262" t="s">
        <v>353</v>
      </c>
      <c r="D3262" t="s">
        <v>6548</v>
      </c>
      <c r="E3262" t="s">
        <v>6546</v>
      </c>
      <c r="F3262" s="46">
        <v>46097.325902083343</v>
      </c>
      <c r="G3262" s="46">
        <v>46097.325902083343</v>
      </c>
      <c r="H3262">
        <v>0</v>
      </c>
    </row>
    <row r="3263" spans="1:8" x14ac:dyDescent="0.15">
      <c r="A3263">
        <v>3262</v>
      </c>
      <c r="B3263" t="s">
        <v>339</v>
      </c>
      <c r="C3263" t="s">
        <v>353</v>
      </c>
      <c r="D3263" t="s">
        <v>6549</v>
      </c>
      <c r="E3263" t="s">
        <v>6550</v>
      </c>
      <c r="F3263" s="46">
        <v>46097.325902083343</v>
      </c>
      <c r="G3263" s="46">
        <v>46097.325902083343</v>
      </c>
      <c r="H3263">
        <v>0</v>
      </c>
    </row>
    <row r="3264" spans="1:8" x14ac:dyDescent="0.15">
      <c r="A3264">
        <v>3263</v>
      </c>
      <c r="B3264" t="s">
        <v>339</v>
      </c>
      <c r="C3264" t="s">
        <v>353</v>
      </c>
      <c r="D3264" t="s">
        <v>6551</v>
      </c>
      <c r="E3264" t="s">
        <v>6550</v>
      </c>
      <c r="F3264" s="46">
        <v>46097.325902083343</v>
      </c>
      <c r="G3264" s="46">
        <v>46097.325902083343</v>
      </c>
      <c r="H3264">
        <v>0</v>
      </c>
    </row>
    <row r="3265" spans="1:8" x14ac:dyDescent="0.15">
      <c r="A3265">
        <v>3264</v>
      </c>
      <c r="B3265" t="s">
        <v>339</v>
      </c>
      <c r="C3265" t="s">
        <v>353</v>
      </c>
      <c r="D3265" t="s">
        <v>6552</v>
      </c>
      <c r="E3265" t="s">
        <v>6550</v>
      </c>
      <c r="F3265" s="46">
        <v>46097.325902083343</v>
      </c>
      <c r="G3265" s="46">
        <v>46097.325902083343</v>
      </c>
      <c r="H3265">
        <v>0</v>
      </c>
    </row>
    <row r="3266" spans="1:8" x14ac:dyDescent="0.15">
      <c r="A3266">
        <v>3265</v>
      </c>
      <c r="B3266" t="s">
        <v>339</v>
      </c>
      <c r="C3266" t="s">
        <v>353</v>
      </c>
      <c r="D3266" t="s">
        <v>6553</v>
      </c>
      <c r="E3266" t="s">
        <v>6550</v>
      </c>
      <c r="F3266" s="46">
        <v>46097.325902083343</v>
      </c>
      <c r="G3266" s="46">
        <v>46097.325902083343</v>
      </c>
      <c r="H3266">
        <v>0</v>
      </c>
    </row>
    <row r="3267" spans="1:8" x14ac:dyDescent="0.15">
      <c r="A3267">
        <v>3266</v>
      </c>
      <c r="B3267" t="s">
        <v>339</v>
      </c>
      <c r="C3267" t="s">
        <v>353</v>
      </c>
      <c r="D3267" t="s">
        <v>6554</v>
      </c>
      <c r="E3267" t="s">
        <v>6550</v>
      </c>
      <c r="F3267" s="46">
        <v>46097.325902083343</v>
      </c>
      <c r="G3267" s="46">
        <v>46097.325902083343</v>
      </c>
      <c r="H3267">
        <v>0</v>
      </c>
    </row>
    <row r="3268" spans="1:8" x14ac:dyDescent="0.15">
      <c r="A3268">
        <v>3267</v>
      </c>
      <c r="B3268" t="s">
        <v>339</v>
      </c>
      <c r="C3268" t="s">
        <v>353</v>
      </c>
      <c r="D3268" t="s">
        <v>6555</v>
      </c>
      <c r="E3268" t="s">
        <v>6550</v>
      </c>
      <c r="F3268" s="46">
        <v>46097.325902083343</v>
      </c>
      <c r="G3268" s="46">
        <v>46097.325902083343</v>
      </c>
      <c r="H3268">
        <v>0</v>
      </c>
    </row>
    <row r="3269" spans="1:8" x14ac:dyDescent="0.15">
      <c r="A3269">
        <v>3268</v>
      </c>
      <c r="B3269" t="s">
        <v>339</v>
      </c>
      <c r="C3269" t="s">
        <v>353</v>
      </c>
      <c r="D3269" t="s">
        <v>6556</v>
      </c>
      <c r="E3269" t="s">
        <v>6557</v>
      </c>
      <c r="F3269" s="46">
        <v>46097.325902083343</v>
      </c>
      <c r="G3269" s="46">
        <v>46097.325902268523</v>
      </c>
      <c r="H3269">
        <v>15</v>
      </c>
    </row>
    <row r="3270" spans="1:8" x14ac:dyDescent="0.15">
      <c r="A3270">
        <v>3269</v>
      </c>
      <c r="B3270" t="s">
        <v>339</v>
      </c>
      <c r="C3270" t="s">
        <v>353</v>
      </c>
      <c r="D3270" t="s">
        <v>6558</v>
      </c>
      <c r="E3270" t="s">
        <v>6557</v>
      </c>
      <c r="F3270" s="46">
        <v>46097.325902268523</v>
      </c>
      <c r="G3270" s="46">
        <v>46097.325902268523</v>
      </c>
      <c r="H3270">
        <v>0</v>
      </c>
    </row>
    <row r="3271" spans="1:8" x14ac:dyDescent="0.15">
      <c r="A3271">
        <v>3270</v>
      </c>
      <c r="B3271" t="s">
        <v>339</v>
      </c>
      <c r="C3271" t="s">
        <v>353</v>
      </c>
      <c r="D3271" t="s">
        <v>6559</v>
      </c>
      <c r="E3271" t="s">
        <v>6557</v>
      </c>
      <c r="F3271" s="46">
        <v>46097.325902268523</v>
      </c>
      <c r="G3271" s="46">
        <v>46097.325902268523</v>
      </c>
      <c r="H3271">
        <v>0</v>
      </c>
    </row>
    <row r="3272" spans="1:8" x14ac:dyDescent="0.15">
      <c r="A3272">
        <v>3271</v>
      </c>
      <c r="B3272" t="s">
        <v>339</v>
      </c>
      <c r="C3272" t="s">
        <v>353</v>
      </c>
      <c r="D3272" t="s">
        <v>6560</v>
      </c>
      <c r="E3272" t="s">
        <v>6557</v>
      </c>
      <c r="F3272" s="46">
        <v>46097.325902268523</v>
      </c>
      <c r="G3272" s="46">
        <v>46097.325902268523</v>
      </c>
      <c r="H3272">
        <v>0</v>
      </c>
    </row>
    <row r="3273" spans="1:8" x14ac:dyDescent="0.15">
      <c r="A3273">
        <v>3272</v>
      </c>
      <c r="B3273" t="s">
        <v>339</v>
      </c>
      <c r="C3273" t="s">
        <v>353</v>
      </c>
      <c r="D3273" t="s">
        <v>6561</v>
      </c>
      <c r="E3273" t="s">
        <v>6557</v>
      </c>
      <c r="F3273" s="46">
        <v>46097.325902268523</v>
      </c>
      <c r="G3273" s="46">
        <v>46097.325902268523</v>
      </c>
      <c r="H3273">
        <v>0</v>
      </c>
    </row>
    <row r="3274" spans="1:8" x14ac:dyDescent="0.15">
      <c r="A3274">
        <v>3273</v>
      </c>
      <c r="B3274" t="s">
        <v>339</v>
      </c>
      <c r="C3274" t="s">
        <v>353</v>
      </c>
      <c r="D3274" t="s">
        <v>6562</v>
      </c>
      <c r="E3274" t="s">
        <v>6557</v>
      </c>
      <c r="F3274" s="46">
        <v>46097.325902268523</v>
      </c>
      <c r="G3274" s="46">
        <v>46097.325902268523</v>
      </c>
      <c r="H3274">
        <v>0</v>
      </c>
    </row>
    <row r="3275" spans="1:8" x14ac:dyDescent="0.15">
      <c r="A3275">
        <v>3274</v>
      </c>
      <c r="B3275" t="s">
        <v>339</v>
      </c>
      <c r="C3275" t="s">
        <v>353</v>
      </c>
      <c r="D3275" t="s">
        <v>6563</v>
      </c>
      <c r="E3275" t="s">
        <v>6557</v>
      </c>
      <c r="F3275" s="46">
        <v>46097.325902268523</v>
      </c>
      <c r="G3275" s="46">
        <v>46097.325902268523</v>
      </c>
      <c r="H3275">
        <v>0</v>
      </c>
    </row>
    <row r="3276" spans="1:8" x14ac:dyDescent="0.15">
      <c r="A3276">
        <v>3275</v>
      </c>
      <c r="B3276" t="s">
        <v>339</v>
      </c>
      <c r="C3276" t="s">
        <v>353</v>
      </c>
      <c r="D3276" t="s">
        <v>6564</v>
      </c>
      <c r="E3276" t="s">
        <v>6557</v>
      </c>
      <c r="F3276" s="46">
        <v>46097.325902268523</v>
      </c>
      <c r="G3276" s="46">
        <v>46097.325902268523</v>
      </c>
      <c r="H3276">
        <v>0</v>
      </c>
    </row>
    <row r="3277" spans="1:8" x14ac:dyDescent="0.15">
      <c r="A3277">
        <v>3276</v>
      </c>
      <c r="B3277" t="s">
        <v>339</v>
      </c>
      <c r="C3277" t="s">
        <v>353</v>
      </c>
      <c r="D3277" t="s">
        <v>6565</v>
      </c>
      <c r="E3277" t="s">
        <v>6557</v>
      </c>
      <c r="F3277" s="46">
        <v>46097.325902268523</v>
      </c>
      <c r="G3277" s="46">
        <v>46097.325902268523</v>
      </c>
      <c r="H3277">
        <v>0</v>
      </c>
    </row>
    <row r="3278" spans="1:8" x14ac:dyDescent="0.15">
      <c r="A3278">
        <v>3277</v>
      </c>
      <c r="B3278" t="s">
        <v>339</v>
      </c>
      <c r="C3278" t="s">
        <v>353</v>
      </c>
      <c r="D3278" t="s">
        <v>6566</v>
      </c>
      <c r="E3278" t="s">
        <v>6557</v>
      </c>
      <c r="F3278" s="46">
        <v>46097.325902268523</v>
      </c>
      <c r="G3278" s="46">
        <v>46097.325902268523</v>
      </c>
      <c r="H3278">
        <v>0</v>
      </c>
    </row>
    <row r="3279" spans="1:8" x14ac:dyDescent="0.15">
      <c r="A3279">
        <v>3278</v>
      </c>
      <c r="B3279" t="s">
        <v>339</v>
      </c>
      <c r="C3279" t="s">
        <v>353</v>
      </c>
      <c r="D3279" t="s">
        <v>6567</v>
      </c>
      <c r="E3279" t="s">
        <v>6557</v>
      </c>
      <c r="F3279" s="46">
        <v>46097.325902268523</v>
      </c>
      <c r="G3279" s="46">
        <v>46097.325902268523</v>
      </c>
      <c r="H3279">
        <v>0</v>
      </c>
    </row>
    <row r="3280" spans="1:8" x14ac:dyDescent="0.15">
      <c r="A3280">
        <v>3279</v>
      </c>
      <c r="B3280" t="s">
        <v>339</v>
      </c>
      <c r="C3280" t="s">
        <v>353</v>
      </c>
      <c r="D3280" t="s">
        <v>6568</v>
      </c>
      <c r="E3280" t="s">
        <v>6569</v>
      </c>
      <c r="F3280" s="46">
        <v>46097.325902268523</v>
      </c>
      <c r="G3280" s="46">
        <v>46097.325902442128</v>
      </c>
      <c r="H3280">
        <v>16</v>
      </c>
    </row>
    <row r="3281" spans="1:8" x14ac:dyDescent="0.15">
      <c r="A3281">
        <v>3280</v>
      </c>
      <c r="B3281" t="s">
        <v>339</v>
      </c>
      <c r="C3281" t="s">
        <v>353</v>
      </c>
      <c r="D3281" t="s">
        <v>6570</v>
      </c>
      <c r="E3281" t="s">
        <v>6571</v>
      </c>
      <c r="F3281" s="46">
        <v>46097.325902442128</v>
      </c>
      <c r="G3281" s="46">
        <v>46097.325902442128</v>
      </c>
      <c r="H3281">
        <v>0</v>
      </c>
    </row>
    <row r="3282" spans="1:8" x14ac:dyDescent="0.15">
      <c r="A3282">
        <v>3281</v>
      </c>
      <c r="B3282" t="s">
        <v>339</v>
      </c>
      <c r="C3282" t="s">
        <v>353</v>
      </c>
      <c r="D3282" t="s">
        <v>6572</v>
      </c>
      <c r="E3282" t="s">
        <v>6573</v>
      </c>
      <c r="F3282" s="46">
        <v>46097.325902442128</v>
      </c>
      <c r="G3282" s="46">
        <v>46097.325902442128</v>
      </c>
      <c r="H3282">
        <v>0</v>
      </c>
    </row>
    <row r="3283" spans="1:8" x14ac:dyDescent="0.15">
      <c r="A3283">
        <v>3282</v>
      </c>
      <c r="B3283" t="s">
        <v>339</v>
      </c>
      <c r="C3283" t="s">
        <v>353</v>
      </c>
      <c r="D3283" t="s">
        <v>6574</v>
      </c>
      <c r="E3283" t="s">
        <v>6575</v>
      </c>
      <c r="F3283" s="46">
        <v>46097.325902442128</v>
      </c>
      <c r="G3283" s="46">
        <v>46097.325902442128</v>
      </c>
      <c r="H3283">
        <v>0</v>
      </c>
    </row>
    <row r="3284" spans="1:8" x14ac:dyDescent="0.15">
      <c r="A3284">
        <v>3283</v>
      </c>
      <c r="B3284" t="s">
        <v>339</v>
      </c>
      <c r="C3284" t="s">
        <v>353</v>
      </c>
      <c r="D3284" t="s">
        <v>6576</v>
      </c>
      <c r="E3284" t="s">
        <v>6575</v>
      </c>
      <c r="F3284" s="46">
        <v>46097.325902442128</v>
      </c>
      <c r="G3284" s="46">
        <v>46097.325902442128</v>
      </c>
      <c r="H3284">
        <v>0</v>
      </c>
    </row>
    <row r="3285" spans="1:8" x14ac:dyDescent="0.15">
      <c r="A3285">
        <v>3284</v>
      </c>
      <c r="B3285" t="s">
        <v>339</v>
      </c>
      <c r="C3285" t="s">
        <v>353</v>
      </c>
      <c r="D3285" t="s">
        <v>6577</v>
      </c>
      <c r="E3285" t="s">
        <v>6578</v>
      </c>
      <c r="F3285" s="46">
        <v>46097.325902442128</v>
      </c>
      <c r="G3285" s="46">
        <v>46097.325902442128</v>
      </c>
      <c r="H3285">
        <v>0</v>
      </c>
    </row>
    <row r="3286" spans="1:8" x14ac:dyDescent="0.15">
      <c r="A3286">
        <v>3285</v>
      </c>
      <c r="B3286" t="s">
        <v>339</v>
      </c>
      <c r="C3286" t="s">
        <v>353</v>
      </c>
      <c r="D3286" t="s">
        <v>6579</v>
      </c>
      <c r="E3286" t="s">
        <v>6578</v>
      </c>
      <c r="F3286" s="46">
        <v>46097.325902442128</v>
      </c>
      <c r="G3286" s="46">
        <v>46097.325902442128</v>
      </c>
      <c r="H3286">
        <v>0</v>
      </c>
    </row>
    <row r="3287" spans="1:8" x14ac:dyDescent="0.15">
      <c r="A3287">
        <v>3286</v>
      </c>
      <c r="B3287" t="s">
        <v>339</v>
      </c>
      <c r="C3287" t="s">
        <v>353</v>
      </c>
      <c r="D3287" t="s">
        <v>6580</v>
      </c>
      <c r="E3287" t="s">
        <v>6581</v>
      </c>
      <c r="F3287" s="46">
        <v>46097.325902442128</v>
      </c>
      <c r="G3287" s="46">
        <v>46097.325902442128</v>
      </c>
      <c r="H3287">
        <v>0</v>
      </c>
    </row>
    <row r="3288" spans="1:8" x14ac:dyDescent="0.15">
      <c r="A3288">
        <v>3287</v>
      </c>
      <c r="B3288" t="s">
        <v>339</v>
      </c>
      <c r="C3288" t="s">
        <v>353</v>
      </c>
      <c r="D3288" t="s">
        <v>6582</v>
      </c>
      <c r="E3288" t="s">
        <v>6581</v>
      </c>
      <c r="F3288" s="46">
        <v>46097.325902442128</v>
      </c>
      <c r="G3288" s="46">
        <v>46097.325902442128</v>
      </c>
      <c r="H3288">
        <v>0</v>
      </c>
    </row>
    <row r="3289" spans="1:8" x14ac:dyDescent="0.15">
      <c r="A3289">
        <v>3288</v>
      </c>
      <c r="B3289" t="s">
        <v>339</v>
      </c>
      <c r="C3289" t="s">
        <v>353</v>
      </c>
      <c r="D3289" t="s">
        <v>6583</v>
      </c>
      <c r="E3289" t="s">
        <v>6584</v>
      </c>
      <c r="F3289" s="46">
        <v>46097.325902442128</v>
      </c>
      <c r="G3289" s="46">
        <v>46097.325902442128</v>
      </c>
      <c r="H3289">
        <v>0</v>
      </c>
    </row>
    <row r="3290" spans="1:8" x14ac:dyDescent="0.15">
      <c r="A3290">
        <v>3289</v>
      </c>
      <c r="B3290" t="s">
        <v>339</v>
      </c>
      <c r="C3290" t="s">
        <v>353</v>
      </c>
      <c r="D3290" t="s">
        <v>6585</v>
      </c>
      <c r="E3290" t="s">
        <v>6584</v>
      </c>
      <c r="F3290" s="46">
        <v>46097.325902442128</v>
      </c>
      <c r="G3290" s="46">
        <v>46097.325902442128</v>
      </c>
      <c r="H3290">
        <v>0</v>
      </c>
    </row>
    <row r="3291" spans="1:8" x14ac:dyDescent="0.15">
      <c r="A3291">
        <v>3290</v>
      </c>
      <c r="B3291" t="s">
        <v>339</v>
      </c>
      <c r="C3291" t="s">
        <v>353</v>
      </c>
      <c r="D3291" t="s">
        <v>6586</v>
      </c>
      <c r="E3291" t="s">
        <v>6587</v>
      </c>
      <c r="F3291" s="46">
        <v>46097.325902442128</v>
      </c>
      <c r="G3291" s="46">
        <v>46097.325902627323</v>
      </c>
      <c r="H3291">
        <v>15</v>
      </c>
    </row>
    <row r="3292" spans="1:8" x14ac:dyDescent="0.15">
      <c r="A3292">
        <v>3291</v>
      </c>
      <c r="B3292" t="s">
        <v>339</v>
      </c>
      <c r="C3292" t="s">
        <v>353</v>
      </c>
      <c r="D3292" t="s">
        <v>6588</v>
      </c>
      <c r="E3292" t="s">
        <v>6587</v>
      </c>
      <c r="F3292" s="46">
        <v>46097.325902627323</v>
      </c>
      <c r="G3292" s="46">
        <v>46097.325902627323</v>
      </c>
      <c r="H3292">
        <v>0</v>
      </c>
    </row>
    <row r="3293" spans="1:8" x14ac:dyDescent="0.15">
      <c r="A3293">
        <v>3292</v>
      </c>
      <c r="B3293" t="s">
        <v>339</v>
      </c>
      <c r="C3293" t="s">
        <v>353</v>
      </c>
      <c r="D3293" t="s">
        <v>6589</v>
      </c>
      <c r="E3293" t="s">
        <v>6590</v>
      </c>
      <c r="F3293" s="46">
        <v>46097.325902627323</v>
      </c>
      <c r="G3293" s="46">
        <v>46097.325902627323</v>
      </c>
      <c r="H3293">
        <v>0</v>
      </c>
    </row>
    <row r="3294" spans="1:8" x14ac:dyDescent="0.15">
      <c r="A3294">
        <v>3293</v>
      </c>
      <c r="B3294" t="s">
        <v>339</v>
      </c>
      <c r="C3294" t="s">
        <v>353</v>
      </c>
      <c r="D3294" t="s">
        <v>6591</v>
      </c>
      <c r="E3294" t="s">
        <v>6590</v>
      </c>
      <c r="F3294" s="46">
        <v>46097.325902627323</v>
      </c>
      <c r="G3294" s="46">
        <v>46097.325902627323</v>
      </c>
      <c r="H3294">
        <v>0</v>
      </c>
    </row>
    <row r="3295" spans="1:8" x14ac:dyDescent="0.15">
      <c r="A3295">
        <v>3294</v>
      </c>
      <c r="B3295" t="s">
        <v>339</v>
      </c>
      <c r="C3295" t="s">
        <v>353</v>
      </c>
      <c r="D3295" t="s">
        <v>6592</v>
      </c>
      <c r="E3295" t="s">
        <v>6593</v>
      </c>
      <c r="F3295" s="46">
        <v>46097.325902627323</v>
      </c>
      <c r="G3295" s="46">
        <v>46097.325902627323</v>
      </c>
      <c r="H3295">
        <v>0</v>
      </c>
    </row>
    <row r="3296" spans="1:8" x14ac:dyDescent="0.15">
      <c r="A3296">
        <v>3295</v>
      </c>
      <c r="B3296" t="s">
        <v>339</v>
      </c>
      <c r="C3296" t="s">
        <v>353</v>
      </c>
      <c r="D3296" t="s">
        <v>6594</v>
      </c>
      <c r="E3296" t="s">
        <v>6593</v>
      </c>
      <c r="F3296" s="46">
        <v>46097.325902627323</v>
      </c>
      <c r="G3296" s="46">
        <v>46097.325902627323</v>
      </c>
      <c r="H3296">
        <v>0</v>
      </c>
    </row>
    <row r="3297" spans="1:8" x14ac:dyDescent="0.15">
      <c r="A3297">
        <v>3296</v>
      </c>
      <c r="B3297" t="s">
        <v>339</v>
      </c>
      <c r="C3297" t="s">
        <v>353</v>
      </c>
      <c r="D3297" t="s">
        <v>6595</v>
      </c>
      <c r="E3297" t="s">
        <v>6596</v>
      </c>
      <c r="F3297" s="46">
        <v>46097.325902627323</v>
      </c>
      <c r="G3297" s="46">
        <v>46097.325902627323</v>
      </c>
      <c r="H3297">
        <v>0</v>
      </c>
    </row>
    <row r="3298" spans="1:8" x14ac:dyDescent="0.15">
      <c r="A3298">
        <v>3297</v>
      </c>
      <c r="B3298" t="s">
        <v>339</v>
      </c>
      <c r="C3298" t="s">
        <v>353</v>
      </c>
      <c r="D3298" t="s">
        <v>6597</v>
      </c>
      <c r="E3298" t="s">
        <v>6596</v>
      </c>
      <c r="F3298" s="46">
        <v>46097.325902627323</v>
      </c>
      <c r="G3298" s="46">
        <v>46097.325902627323</v>
      </c>
      <c r="H3298">
        <v>0</v>
      </c>
    </row>
    <row r="3299" spans="1:8" x14ac:dyDescent="0.15">
      <c r="A3299">
        <v>3298</v>
      </c>
      <c r="B3299" t="s">
        <v>339</v>
      </c>
      <c r="C3299" t="s">
        <v>353</v>
      </c>
      <c r="D3299" t="s">
        <v>6598</v>
      </c>
      <c r="E3299" t="s">
        <v>6599</v>
      </c>
      <c r="F3299" s="46">
        <v>46097.325902627323</v>
      </c>
      <c r="G3299" s="46">
        <v>46097.325902627323</v>
      </c>
      <c r="H3299">
        <v>0</v>
      </c>
    </row>
    <row r="3300" spans="1:8" x14ac:dyDescent="0.15">
      <c r="A3300">
        <v>3299</v>
      </c>
      <c r="B3300" t="s">
        <v>339</v>
      </c>
      <c r="C3300" t="s">
        <v>353</v>
      </c>
      <c r="D3300" t="s">
        <v>6600</v>
      </c>
      <c r="E3300" t="s">
        <v>6599</v>
      </c>
      <c r="F3300" s="46">
        <v>46097.325902627323</v>
      </c>
      <c r="G3300" s="46">
        <v>46097.325902627323</v>
      </c>
      <c r="H3300">
        <v>0</v>
      </c>
    </row>
    <row r="3301" spans="1:8" x14ac:dyDescent="0.15">
      <c r="A3301">
        <v>3300</v>
      </c>
      <c r="B3301" t="s">
        <v>339</v>
      </c>
      <c r="C3301" t="s">
        <v>353</v>
      </c>
      <c r="D3301" t="s">
        <v>6601</v>
      </c>
      <c r="E3301" t="s">
        <v>6602</v>
      </c>
      <c r="F3301" s="46">
        <v>46097.325902627323</v>
      </c>
      <c r="G3301" s="46">
        <v>46097.325902812503</v>
      </c>
      <c r="H3301">
        <v>16</v>
      </c>
    </row>
    <row r="3302" spans="1:8" x14ac:dyDescent="0.15">
      <c r="A3302">
        <v>3301</v>
      </c>
      <c r="B3302" t="s">
        <v>339</v>
      </c>
      <c r="C3302" t="s">
        <v>353</v>
      </c>
      <c r="D3302" t="s">
        <v>6603</v>
      </c>
      <c r="E3302" t="s">
        <v>6602</v>
      </c>
      <c r="F3302" s="46">
        <v>46097.325902812503</v>
      </c>
      <c r="G3302" s="46">
        <v>46097.325902812503</v>
      </c>
      <c r="H3302">
        <v>0</v>
      </c>
    </row>
    <row r="3303" spans="1:8" x14ac:dyDescent="0.15">
      <c r="A3303">
        <v>3302</v>
      </c>
      <c r="B3303" t="s">
        <v>339</v>
      </c>
      <c r="C3303" t="s">
        <v>353</v>
      </c>
      <c r="D3303" t="s">
        <v>6604</v>
      </c>
      <c r="E3303" t="s">
        <v>6605</v>
      </c>
      <c r="F3303" s="46">
        <v>46097.325902812503</v>
      </c>
      <c r="G3303" s="46">
        <v>46097.325902812503</v>
      </c>
      <c r="H3303">
        <v>0</v>
      </c>
    </row>
    <row r="3304" spans="1:8" x14ac:dyDescent="0.15">
      <c r="A3304">
        <v>3303</v>
      </c>
      <c r="B3304" t="s">
        <v>339</v>
      </c>
      <c r="C3304" t="s">
        <v>353</v>
      </c>
      <c r="D3304" t="s">
        <v>6606</v>
      </c>
      <c r="E3304" t="s">
        <v>6605</v>
      </c>
      <c r="F3304" s="46">
        <v>46097.325902812503</v>
      </c>
      <c r="G3304" s="46">
        <v>46097.325902812503</v>
      </c>
      <c r="H3304">
        <v>0</v>
      </c>
    </row>
    <row r="3305" spans="1:8" x14ac:dyDescent="0.15">
      <c r="A3305">
        <v>3304</v>
      </c>
      <c r="B3305" t="s">
        <v>339</v>
      </c>
      <c r="C3305" t="s">
        <v>353</v>
      </c>
      <c r="D3305" t="s">
        <v>6607</v>
      </c>
      <c r="E3305" t="s">
        <v>6608</v>
      </c>
      <c r="F3305" s="46">
        <v>46097.325902812503</v>
      </c>
      <c r="G3305" s="46">
        <v>46097.325902812503</v>
      </c>
      <c r="H3305">
        <v>0</v>
      </c>
    </row>
    <row r="3306" spans="1:8" x14ac:dyDescent="0.15">
      <c r="A3306">
        <v>3305</v>
      </c>
      <c r="B3306" t="s">
        <v>339</v>
      </c>
      <c r="C3306" t="s">
        <v>353</v>
      </c>
      <c r="D3306" t="s">
        <v>6609</v>
      </c>
      <c r="E3306" t="s">
        <v>6608</v>
      </c>
      <c r="F3306" s="46">
        <v>46097.325902812503</v>
      </c>
      <c r="G3306" s="46">
        <v>46097.325902812503</v>
      </c>
      <c r="H3306">
        <v>0</v>
      </c>
    </row>
    <row r="3307" spans="1:8" x14ac:dyDescent="0.15">
      <c r="A3307">
        <v>3306</v>
      </c>
      <c r="B3307" t="s">
        <v>339</v>
      </c>
      <c r="C3307" t="s">
        <v>353</v>
      </c>
      <c r="D3307" t="s">
        <v>6610</v>
      </c>
      <c r="E3307" t="s">
        <v>6611</v>
      </c>
      <c r="F3307" s="46">
        <v>46097.325902812503</v>
      </c>
      <c r="G3307" s="46">
        <v>46097.325902812503</v>
      </c>
      <c r="H3307">
        <v>0</v>
      </c>
    </row>
    <row r="3308" spans="1:8" x14ac:dyDescent="0.15">
      <c r="A3308">
        <v>3307</v>
      </c>
      <c r="B3308" t="s">
        <v>339</v>
      </c>
      <c r="C3308" t="s">
        <v>353</v>
      </c>
      <c r="D3308" t="s">
        <v>6612</v>
      </c>
      <c r="E3308" t="s">
        <v>6611</v>
      </c>
      <c r="F3308" s="46">
        <v>46097.325902812503</v>
      </c>
      <c r="G3308" s="46">
        <v>46097.325902812503</v>
      </c>
      <c r="H3308">
        <v>0</v>
      </c>
    </row>
    <row r="3309" spans="1:8" x14ac:dyDescent="0.15">
      <c r="A3309">
        <v>3308</v>
      </c>
      <c r="B3309" t="s">
        <v>339</v>
      </c>
      <c r="C3309" t="s">
        <v>353</v>
      </c>
      <c r="D3309" t="s">
        <v>6613</v>
      </c>
      <c r="E3309" t="s">
        <v>6614</v>
      </c>
      <c r="F3309" s="46">
        <v>46097.325902812503</v>
      </c>
      <c r="G3309" s="46">
        <v>46097.325902812503</v>
      </c>
      <c r="H3309">
        <v>0</v>
      </c>
    </row>
    <row r="3310" spans="1:8" x14ac:dyDescent="0.15">
      <c r="A3310">
        <v>3309</v>
      </c>
      <c r="B3310" t="s">
        <v>339</v>
      </c>
      <c r="C3310" t="s">
        <v>353</v>
      </c>
      <c r="D3310" t="s">
        <v>6615</v>
      </c>
      <c r="E3310" t="s">
        <v>6614</v>
      </c>
      <c r="F3310" s="46">
        <v>46097.325902812503</v>
      </c>
      <c r="G3310" s="46">
        <v>46097.325902812503</v>
      </c>
      <c r="H3310">
        <v>0</v>
      </c>
    </row>
    <row r="3311" spans="1:8" x14ac:dyDescent="0.15">
      <c r="A3311">
        <v>3310</v>
      </c>
      <c r="B3311" t="s">
        <v>339</v>
      </c>
      <c r="C3311" t="s">
        <v>353</v>
      </c>
      <c r="D3311" t="s">
        <v>6616</v>
      </c>
      <c r="E3311" t="s">
        <v>6617</v>
      </c>
      <c r="F3311" s="46">
        <v>46097.325902812503</v>
      </c>
      <c r="G3311" s="46">
        <v>46097.325902986107</v>
      </c>
      <c r="H3311">
        <v>16</v>
      </c>
    </row>
    <row r="3312" spans="1:8" x14ac:dyDescent="0.15">
      <c r="A3312">
        <v>3311</v>
      </c>
      <c r="B3312" t="s">
        <v>339</v>
      </c>
      <c r="C3312" t="s">
        <v>353</v>
      </c>
      <c r="D3312" t="s">
        <v>6618</v>
      </c>
      <c r="E3312" t="s">
        <v>6617</v>
      </c>
      <c r="F3312" s="46">
        <v>46097.325902986107</v>
      </c>
      <c r="G3312" s="46">
        <v>46097.325902986107</v>
      </c>
      <c r="H3312">
        <v>0</v>
      </c>
    </row>
    <row r="3313" spans="1:8" x14ac:dyDescent="0.15">
      <c r="A3313">
        <v>3312</v>
      </c>
      <c r="B3313" t="s">
        <v>339</v>
      </c>
      <c r="C3313" t="s">
        <v>353</v>
      </c>
      <c r="D3313" t="s">
        <v>6619</v>
      </c>
      <c r="E3313" t="s">
        <v>6620</v>
      </c>
      <c r="F3313" s="46">
        <v>46097.325902986107</v>
      </c>
      <c r="G3313" s="46">
        <v>46097.325902986107</v>
      </c>
      <c r="H3313">
        <v>0</v>
      </c>
    </row>
    <row r="3314" spans="1:8" x14ac:dyDescent="0.15">
      <c r="A3314">
        <v>3313</v>
      </c>
      <c r="B3314" t="s">
        <v>339</v>
      </c>
      <c r="C3314" t="s">
        <v>353</v>
      </c>
      <c r="D3314" t="s">
        <v>6621</v>
      </c>
      <c r="E3314" t="s">
        <v>6620</v>
      </c>
      <c r="F3314" s="46">
        <v>46097.325902986107</v>
      </c>
      <c r="G3314" s="46">
        <v>46097.325902986107</v>
      </c>
      <c r="H3314">
        <v>0</v>
      </c>
    </row>
    <row r="3315" spans="1:8" x14ac:dyDescent="0.15">
      <c r="A3315">
        <v>3314</v>
      </c>
      <c r="B3315" t="s">
        <v>339</v>
      </c>
      <c r="C3315" t="s">
        <v>353</v>
      </c>
      <c r="D3315" t="s">
        <v>6622</v>
      </c>
      <c r="E3315" t="s">
        <v>6620</v>
      </c>
      <c r="F3315" s="46">
        <v>46097.325902986107</v>
      </c>
      <c r="G3315" s="46">
        <v>46097.325902986107</v>
      </c>
      <c r="H3315">
        <v>0</v>
      </c>
    </row>
    <row r="3316" spans="1:8" x14ac:dyDescent="0.15">
      <c r="A3316">
        <v>3315</v>
      </c>
      <c r="B3316" t="s">
        <v>339</v>
      </c>
      <c r="C3316" t="s">
        <v>353</v>
      </c>
      <c r="D3316" t="s">
        <v>6623</v>
      </c>
      <c r="E3316" t="s">
        <v>6620</v>
      </c>
      <c r="F3316" s="46">
        <v>46097.325902986107</v>
      </c>
      <c r="G3316" s="46">
        <v>46097.325902986107</v>
      </c>
      <c r="H3316">
        <v>0</v>
      </c>
    </row>
    <row r="3317" spans="1:8" x14ac:dyDescent="0.15">
      <c r="A3317">
        <v>3316</v>
      </c>
      <c r="B3317" t="s">
        <v>339</v>
      </c>
      <c r="C3317" t="s">
        <v>353</v>
      </c>
      <c r="D3317" t="s">
        <v>6624</v>
      </c>
      <c r="E3317" t="s">
        <v>6620</v>
      </c>
      <c r="F3317" s="46">
        <v>46097.325902986107</v>
      </c>
      <c r="G3317" s="46">
        <v>46097.325902986107</v>
      </c>
      <c r="H3317">
        <v>0</v>
      </c>
    </row>
    <row r="3318" spans="1:8" x14ac:dyDescent="0.15">
      <c r="A3318">
        <v>3317</v>
      </c>
      <c r="B3318" t="s">
        <v>339</v>
      </c>
      <c r="C3318" t="s">
        <v>353</v>
      </c>
      <c r="D3318" t="s">
        <v>6625</v>
      </c>
      <c r="E3318" t="s">
        <v>6620</v>
      </c>
      <c r="F3318" s="46">
        <v>46097.325902986107</v>
      </c>
      <c r="G3318" s="46">
        <v>46097.325902986107</v>
      </c>
      <c r="H3318">
        <v>0</v>
      </c>
    </row>
    <row r="3319" spans="1:8" x14ac:dyDescent="0.15">
      <c r="A3319">
        <v>3318</v>
      </c>
      <c r="B3319" t="s">
        <v>339</v>
      </c>
      <c r="C3319" t="s">
        <v>353</v>
      </c>
      <c r="D3319" t="s">
        <v>6626</v>
      </c>
      <c r="E3319" t="s">
        <v>6627</v>
      </c>
      <c r="F3319" s="46">
        <v>46097.325902986107</v>
      </c>
      <c r="G3319" s="46">
        <v>46097.325902986107</v>
      </c>
      <c r="H3319">
        <v>0</v>
      </c>
    </row>
    <row r="3320" spans="1:8" x14ac:dyDescent="0.15">
      <c r="A3320">
        <v>3319</v>
      </c>
      <c r="B3320" t="s">
        <v>339</v>
      </c>
      <c r="C3320" t="s">
        <v>353</v>
      </c>
      <c r="D3320" t="s">
        <v>6628</v>
      </c>
      <c r="E3320" t="s">
        <v>6629</v>
      </c>
      <c r="F3320" s="46">
        <v>46097.325902986107</v>
      </c>
      <c r="G3320" s="46">
        <v>46097.325902986107</v>
      </c>
      <c r="H3320">
        <v>0</v>
      </c>
    </row>
    <row r="3321" spans="1:8" x14ac:dyDescent="0.15">
      <c r="A3321">
        <v>3320</v>
      </c>
      <c r="B3321" t="s">
        <v>339</v>
      </c>
      <c r="C3321" t="s">
        <v>353</v>
      </c>
      <c r="D3321" t="s">
        <v>6630</v>
      </c>
      <c r="E3321" t="s">
        <v>6629</v>
      </c>
      <c r="F3321" s="46">
        <v>46097.325902986107</v>
      </c>
      <c r="G3321" s="46">
        <v>46097.325902986107</v>
      </c>
      <c r="H3321">
        <v>0</v>
      </c>
    </row>
    <row r="3322" spans="1:8" x14ac:dyDescent="0.15">
      <c r="A3322">
        <v>3321</v>
      </c>
      <c r="B3322" t="s">
        <v>339</v>
      </c>
      <c r="C3322" t="s">
        <v>353</v>
      </c>
      <c r="D3322" t="s">
        <v>6631</v>
      </c>
      <c r="E3322" t="s">
        <v>6629</v>
      </c>
      <c r="F3322" s="46">
        <v>46097.325903171302</v>
      </c>
      <c r="G3322" s="46">
        <v>46097.325903171302</v>
      </c>
      <c r="H3322">
        <v>0</v>
      </c>
    </row>
    <row r="3323" spans="1:8" x14ac:dyDescent="0.15">
      <c r="A3323">
        <v>3322</v>
      </c>
      <c r="B3323" t="s">
        <v>339</v>
      </c>
      <c r="C3323" t="s">
        <v>353</v>
      </c>
      <c r="D3323" t="s">
        <v>6632</v>
      </c>
      <c r="E3323" t="s">
        <v>6629</v>
      </c>
      <c r="F3323" s="46">
        <v>46097.325903171302</v>
      </c>
      <c r="G3323" s="46">
        <v>46097.325903171302</v>
      </c>
      <c r="H3323">
        <v>0</v>
      </c>
    </row>
    <row r="3324" spans="1:8" x14ac:dyDescent="0.15">
      <c r="A3324">
        <v>3323</v>
      </c>
      <c r="B3324" t="s">
        <v>339</v>
      </c>
      <c r="C3324" t="s">
        <v>353</v>
      </c>
      <c r="D3324" t="s">
        <v>6633</v>
      </c>
      <c r="E3324" t="s">
        <v>6629</v>
      </c>
      <c r="F3324" s="46">
        <v>46097.325903171302</v>
      </c>
      <c r="G3324" s="46">
        <v>46097.325903171302</v>
      </c>
      <c r="H3324">
        <v>0</v>
      </c>
    </row>
    <row r="3325" spans="1:8" x14ac:dyDescent="0.15">
      <c r="A3325">
        <v>3324</v>
      </c>
      <c r="B3325" t="s">
        <v>339</v>
      </c>
      <c r="C3325" t="s">
        <v>353</v>
      </c>
      <c r="D3325" t="s">
        <v>6634</v>
      </c>
      <c r="E3325" t="s">
        <v>755</v>
      </c>
      <c r="F3325" s="46">
        <v>46097.325903171302</v>
      </c>
      <c r="G3325" s="46">
        <v>46097.325903171302</v>
      </c>
      <c r="H3325">
        <v>0</v>
      </c>
    </row>
    <row r="3326" spans="1:8" x14ac:dyDescent="0.15">
      <c r="A3326">
        <v>3325</v>
      </c>
      <c r="B3326" t="s">
        <v>339</v>
      </c>
      <c r="C3326" t="s">
        <v>353</v>
      </c>
      <c r="D3326" t="s">
        <v>6635</v>
      </c>
      <c r="E3326" t="s">
        <v>755</v>
      </c>
      <c r="F3326" s="46">
        <v>46097.325903171302</v>
      </c>
      <c r="G3326" s="46">
        <v>46097.325903171302</v>
      </c>
      <c r="H3326">
        <v>0</v>
      </c>
    </row>
    <row r="3327" spans="1:8" x14ac:dyDescent="0.15">
      <c r="A3327">
        <v>3326</v>
      </c>
      <c r="B3327" t="s">
        <v>339</v>
      </c>
      <c r="C3327" t="s">
        <v>353</v>
      </c>
      <c r="D3327" t="s">
        <v>6636</v>
      </c>
      <c r="E3327" t="s">
        <v>755</v>
      </c>
      <c r="F3327" s="46">
        <v>46097.325903171302</v>
      </c>
      <c r="G3327" s="46">
        <v>46097.325903171302</v>
      </c>
      <c r="H3327">
        <v>0</v>
      </c>
    </row>
    <row r="3328" spans="1:8" x14ac:dyDescent="0.15">
      <c r="A3328">
        <v>3327</v>
      </c>
      <c r="B3328" t="s">
        <v>339</v>
      </c>
      <c r="C3328" t="s">
        <v>353</v>
      </c>
      <c r="D3328" t="s">
        <v>6637</v>
      </c>
      <c r="E3328" t="s">
        <v>755</v>
      </c>
      <c r="F3328" s="46">
        <v>46097.325903171302</v>
      </c>
      <c r="G3328" s="46">
        <v>46097.325903171302</v>
      </c>
      <c r="H3328">
        <v>0</v>
      </c>
    </row>
    <row r="3329" spans="1:8" x14ac:dyDescent="0.15">
      <c r="A3329">
        <v>3328</v>
      </c>
      <c r="B3329" t="s">
        <v>339</v>
      </c>
      <c r="C3329" t="s">
        <v>353</v>
      </c>
      <c r="D3329" t="s">
        <v>6638</v>
      </c>
      <c r="E3329" t="s">
        <v>755</v>
      </c>
      <c r="F3329" s="46">
        <v>46097.325903171302</v>
      </c>
      <c r="G3329" s="46">
        <v>46097.325903171302</v>
      </c>
      <c r="H3329">
        <v>0</v>
      </c>
    </row>
    <row r="3330" spans="1:8" x14ac:dyDescent="0.15">
      <c r="A3330">
        <v>3329</v>
      </c>
      <c r="B3330" t="s">
        <v>339</v>
      </c>
      <c r="C3330" t="s">
        <v>353</v>
      </c>
      <c r="D3330" t="s">
        <v>6639</v>
      </c>
      <c r="E3330" t="s">
        <v>755</v>
      </c>
      <c r="F3330" s="46">
        <v>46097.325903171302</v>
      </c>
      <c r="G3330" s="46">
        <v>46097.325903171302</v>
      </c>
      <c r="H3330">
        <v>0</v>
      </c>
    </row>
    <row r="3331" spans="1:8" x14ac:dyDescent="0.15">
      <c r="A3331">
        <v>3330</v>
      </c>
      <c r="B3331" t="s">
        <v>339</v>
      </c>
      <c r="C3331" t="s">
        <v>353</v>
      </c>
      <c r="D3331" t="s">
        <v>6640</v>
      </c>
      <c r="E3331" t="s">
        <v>755</v>
      </c>
      <c r="F3331" s="46">
        <v>46097.325903171302</v>
      </c>
      <c r="G3331" s="46">
        <v>46097.325903171302</v>
      </c>
      <c r="H3331">
        <v>0</v>
      </c>
    </row>
    <row r="3332" spans="1:8" x14ac:dyDescent="0.15">
      <c r="A3332">
        <v>3331</v>
      </c>
      <c r="B3332" t="s">
        <v>339</v>
      </c>
      <c r="C3332" t="s">
        <v>353</v>
      </c>
      <c r="D3332" t="s">
        <v>6641</v>
      </c>
      <c r="E3332" t="s">
        <v>755</v>
      </c>
      <c r="F3332" s="46">
        <v>46097.325903171302</v>
      </c>
      <c r="G3332" s="46">
        <v>46097.325903344907</v>
      </c>
      <c r="H3332">
        <v>16</v>
      </c>
    </row>
    <row r="3333" spans="1:8" x14ac:dyDescent="0.15">
      <c r="A3333">
        <v>3332</v>
      </c>
      <c r="B3333" t="s">
        <v>339</v>
      </c>
      <c r="C3333" t="s">
        <v>353</v>
      </c>
      <c r="D3333" t="s">
        <v>6642</v>
      </c>
      <c r="E3333" t="s">
        <v>755</v>
      </c>
      <c r="F3333" s="46">
        <v>46097.325903344907</v>
      </c>
      <c r="G3333" s="46">
        <v>46097.325903344907</v>
      </c>
      <c r="H3333">
        <v>0</v>
      </c>
    </row>
    <row r="3334" spans="1:8" x14ac:dyDescent="0.15">
      <c r="A3334">
        <v>3333</v>
      </c>
      <c r="B3334" t="s">
        <v>339</v>
      </c>
      <c r="C3334" t="s">
        <v>353</v>
      </c>
      <c r="D3334" t="s">
        <v>6643</v>
      </c>
      <c r="E3334" t="s">
        <v>755</v>
      </c>
      <c r="F3334" s="46">
        <v>46097.325903344907</v>
      </c>
      <c r="G3334" s="46">
        <v>46097.325903344907</v>
      </c>
      <c r="H3334">
        <v>0</v>
      </c>
    </row>
    <row r="3335" spans="1:8" x14ac:dyDescent="0.15">
      <c r="A3335">
        <v>3334</v>
      </c>
      <c r="B3335" t="s">
        <v>339</v>
      </c>
      <c r="C3335" t="s">
        <v>353</v>
      </c>
      <c r="D3335" t="s">
        <v>6644</v>
      </c>
      <c r="E3335" t="s">
        <v>6645</v>
      </c>
      <c r="F3335" s="46">
        <v>46097.325903344907</v>
      </c>
      <c r="G3335" s="46">
        <v>46097.325903344907</v>
      </c>
      <c r="H3335">
        <v>0</v>
      </c>
    </row>
    <row r="3336" spans="1:8" x14ac:dyDescent="0.15">
      <c r="A3336">
        <v>3335</v>
      </c>
      <c r="B3336" t="s">
        <v>339</v>
      </c>
      <c r="C3336" t="s">
        <v>353</v>
      </c>
      <c r="D3336" t="s">
        <v>6646</v>
      </c>
      <c r="E3336" t="s">
        <v>6645</v>
      </c>
      <c r="F3336" s="46">
        <v>46097.325903344907</v>
      </c>
      <c r="G3336" s="46">
        <v>46097.325903344907</v>
      </c>
      <c r="H3336">
        <v>0</v>
      </c>
    </row>
    <row r="3337" spans="1:8" x14ac:dyDescent="0.15">
      <c r="A3337">
        <v>3336</v>
      </c>
      <c r="B3337" t="s">
        <v>339</v>
      </c>
      <c r="C3337" t="s">
        <v>353</v>
      </c>
      <c r="D3337" t="s">
        <v>6647</v>
      </c>
      <c r="E3337" t="s">
        <v>6645</v>
      </c>
      <c r="F3337" s="46">
        <v>46097.325903344907</v>
      </c>
      <c r="G3337" s="46">
        <v>46097.325903344907</v>
      </c>
      <c r="H3337">
        <v>0</v>
      </c>
    </row>
    <row r="3338" spans="1:8" x14ac:dyDescent="0.15">
      <c r="A3338">
        <v>3337</v>
      </c>
      <c r="B3338" t="s">
        <v>339</v>
      </c>
      <c r="C3338" t="s">
        <v>353</v>
      </c>
      <c r="D3338" t="s">
        <v>6648</v>
      </c>
      <c r="E3338" t="s">
        <v>6645</v>
      </c>
      <c r="F3338" s="46">
        <v>46097.325903344907</v>
      </c>
      <c r="G3338" s="46">
        <v>46097.325903344907</v>
      </c>
      <c r="H3338">
        <v>0</v>
      </c>
    </row>
    <row r="3339" spans="1:8" x14ac:dyDescent="0.15">
      <c r="A3339">
        <v>3338</v>
      </c>
      <c r="B3339" t="s">
        <v>339</v>
      </c>
      <c r="C3339" t="s">
        <v>353</v>
      </c>
      <c r="D3339" t="s">
        <v>6649</v>
      </c>
      <c r="E3339" t="s">
        <v>6645</v>
      </c>
      <c r="F3339" s="46">
        <v>46097.325903344907</v>
      </c>
      <c r="G3339" s="46">
        <v>46097.325903344907</v>
      </c>
      <c r="H3339">
        <v>0</v>
      </c>
    </row>
    <row r="3340" spans="1:8" x14ac:dyDescent="0.15">
      <c r="A3340">
        <v>3339</v>
      </c>
      <c r="B3340" t="s">
        <v>339</v>
      </c>
      <c r="C3340" t="s">
        <v>353</v>
      </c>
      <c r="D3340" t="s">
        <v>6650</v>
      </c>
      <c r="E3340" t="s">
        <v>6651</v>
      </c>
      <c r="F3340" s="46">
        <v>46097.325903344907</v>
      </c>
      <c r="G3340" s="46">
        <v>46097.325903344907</v>
      </c>
      <c r="H3340">
        <v>0</v>
      </c>
    </row>
    <row r="3341" spans="1:8" x14ac:dyDescent="0.15">
      <c r="A3341">
        <v>3340</v>
      </c>
      <c r="B3341" t="s">
        <v>339</v>
      </c>
      <c r="C3341" t="s">
        <v>353</v>
      </c>
      <c r="D3341" t="s">
        <v>6652</v>
      </c>
      <c r="E3341" t="s">
        <v>6651</v>
      </c>
      <c r="F3341" s="46">
        <v>46097.325903344907</v>
      </c>
      <c r="G3341" s="46">
        <v>46097.325903344907</v>
      </c>
      <c r="H3341">
        <v>0</v>
      </c>
    </row>
    <row r="3342" spans="1:8" x14ac:dyDescent="0.15">
      <c r="A3342">
        <v>3341</v>
      </c>
      <c r="B3342" t="s">
        <v>339</v>
      </c>
      <c r="C3342" t="s">
        <v>353</v>
      </c>
      <c r="D3342" t="s">
        <v>6653</v>
      </c>
      <c r="E3342" t="s">
        <v>6654</v>
      </c>
      <c r="F3342" s="46">
        <v>46097.325903344907</v>
      </c>
      <c r="G3342" s="46">
        <v>46097.325903530087</v>
      </c>
      <c r="H3342">
        <v>16</v>
      </c>
    </row>
    <row r="3343" spans="1:8" x14ac:dyDescent="0.15">
      <c r="A3343">
        <v>3342</v>
      </c>
      <c r="B3343" t="s">
        <v>339</v>
      </c>
      <c r="C3343" t="s">
        <v>353</v>
      </c>
      <c r="D3343" t="s">
        <v>6655</v>
      </c>
      <c r="E3343" t="s">
        <v>6656</v>
      </c>
      <c r="F3343" s="46">
        <v>46097.325903530087</v>
      </c>
      <c r="G3343" s="46">
        <v>46097.325903530087</v>
      </c>
      <c r="H3343">
        <v>0</v>
      </c>
    </row>
    <row r="3344" spans="1:8" x14ac:dyDescent="0.15">
      <c r="A3344">
        <v>3343</v>
      </c>
      <c r="B3344" t="s">
        <v>339</v>
      </c>
      <c r="C3344" t="s">
        <v>353</v>
      </c>
      <c r="D3344" t="s">
        <v>6657</v>
      </c>
      <c r="E3344" t="s">
        <v>6656</v>
      </c>
      <c r="F3344" s="46">
        <v>46097.325903530087</v>
      </c>
      <c r="G3344" s="46">
        <v>46097.325903530087</v>
      </c>
      <c r="H3344">
        <v>0</v>
      </c>
    </row>
    <row r="3345" spans="1:8" x14ac:dyDescent="0.15">
      <c r="A3345">
        <v>3344</v>
      </c>
      <c r="B3345" t="s">
        <v>339</v>
      </c>
      <c r="C3345" t="s">
        <v>353</v>
      </c>
      <c r="D3345" t="s">
        <v>6658</v>
      </c>
      <c r="E3345" t="s">
        <v>6656</v>
      </c>
      <c r="F3345" s="46">
        <v>46097.325903530087</v>
      </c>
      <c r="G3345" s="46">
        <v>46097.325903530087</v>
      </c>
      <c r="H3345">
        <v>0</v>
      </c>
    </row>
    <row r="3346" spans="1:8" x14ac:dyDescent="0.15">
      <c r="A3346">
        <v>3345</v>
      </c>
      <c r="B3346" t="s">
        <v>339</v>
      </c>
      <c r="C3346" t="s">
        <v>353</v>
      </c>
      <c r="D3346" t="s">
        <v>6659</v>
      </c>
      <c r="E3346" t="s">
        <v>6656</v>
      </c>
      <c r="F3346" s="46">
        <v>46097.325903530087</v>
      </c>
      <c r="G3346" s="46">
        <v>46097.325903530087</v>
      </c>
      <c r="H3346">
        <v>0</v>
      </c>
    </row>
    <row r="3347" spans="1:8" x14ac:dyDescent="0.15">
      <c r="A3347">
        <v>3346</v>
      </c>
      <c r="B3347" t="s">
        <v>339</v>
      </c>
      <c r="C3347" t="s">
        <v>353</v>
      </c>
      <c r="D3347" t="s">
        <v>6660</v>
      </c>
      <c r="E3347" t="s">
        <v>6656</v>
      </c>
      <c r="F3347" s="46">
        <v>46097.325903530087</v>
      </c>
      <c r="G3347" s="46">
        <v>46097.325903530087</v>
      </c>
      <c r="H3347">
        <v>0</v>
      </c>
    </row>
    <row r="3348" spans="1:8" x14ac:dyDescent="0.15">
      <c r="A3348">
        <v>3347</v>
      </c>
      <c r="B3348" t="s">
        <v>339</v>
      </c>
      <c r="C3348" t="s">
        <v>353</v>
      </c>
      <c r="D3348" t="s">
        <v>6661</v>
      </c>
      <c r="E3348" t="s">
        <v>6662</v>
      </c>
      <c r="F3348" s="46">
        <v>46097.325903530087</v>
      </c>
      <c r="G3348" s="46">
        <v>46097.325903530087</v>
      </c>
      <c r="H3348">
        <v>0</v>
      </c>
    </row>
    <row r="3349" spans="1:8" x14ac:dyDescent="0.15">
      <c r="A3349">
        <v>3348</v>
      </c>
      <c r="B3349" t="s">
        <v>339</v>
      </c>
      <c r="C3349" t="s">
        <v>353</v>
      </c>
      <c r="D3349" t="s">
        <v>6663</v>
      </c>
      <c r="E3349" t="s">
        <v>6664</v>
      </c>
      <c r="F3349" s="46">
        <v>46097.325903530087</v>
      </c>
      <c r="G3349" s="46">
        <v>46097.325903530087</v>
      </c>
      <c r="H3349">
        <v>0</v>
      </c>
    </row>
    <row r="3350" spans="1:8" x14ac:dyDescent="0.15">
      <c r="A3350">
        <v>3349</v>
      </c>
      <c r="B3350" t="s">
        <v>339</v>
      </c>
      <c r="C3350" t="s">
        <v>353</v>
      </c>
      <c r="D3350" t="s">
        <v>6665</v>
      </c>
      <c r="E3350" t="s">
        <v>6664</v>
      </c>
      <c r="F3350" s="46">
        <v>46097.325903530087</v>
      </c>
      <c r="G3350" s="46">
        <v>46097.325903530087</v>
      </c>
      <c r="H3350">
        <v>0</v>
      </c>
    </row>
    <row r="3351" spans="1:8" x14ac:dyDescent="0.15">
      <c r="A3351">
        <v>3350</v>
      </c>
      <c r="B3351" t="s">
        <v>339</v>
      </c>
      <c r="C3351" t="s">
        <v>353</v>
      </c>
      <c r="D3351" t="s">
        <v>6666</v>
      </c>
      <c r="E3351" t="s">
        <v>6664</v>
      </c>
      <c r="F3351" s="46">
        <v>46097.325903530087</v>
      </c>
      <c r="G3351" s="46">
        <v>46097.325903530087</v>
      </c>
      <c r="H3351">
        <v>0</v>
      </c>
    </row>
    <row r="3352" spans="1:8" x14ac:dyDescent="0.15">
      <c r="A3352">
        <v>3351</v>
      </c>
      <c r="B3352" t="s">
        <v>339</v>
      </c>
      <c r="C3352" t="s">
        <v>353</v>
      </c>
      <c r="D3352" t="s">
        <v>6667</v>
      </c>
      <c r="E3352" t="s">
        <v>6668</v>
      </c>
      <c r="F3352" s="46">
        <v>46097.325903530087</v>
      </c>
      <c r="G3352" s="46">
        <v>46097.325903530087</v>
      </c>
      <c r="H3352">
        <v>0</v>
      </c>
    </row>
    <row r="3353" spans="1:8" x14ac:dyDescent="0.15">
      <c r="A3353">
        <v>3352</v>
      </c>
      <c r="B3353" t="s">
        <v>339</v>
      </c>
      <c r="C3353" t="s">
        <v>353</v>
      </c>
      <c r="D3353" t="s">
        <v>6669</v>
      </c>
      <c r="E3353" t="s">
        <v>6668</v>
      </c>
      <c r="F3353" s="46">
        <v>46097.325903530087</v>
      </c>
      <c r="G3353" s="46">
        <v>46097.325903715267</v>
      </c>
      <c r="H3353">
        <v>15</v>
      </c>
    </row>
    <row r="3354" spans="1:8" x14ac:dyDescent="0.15">
      <c r="A3354">
        <v>3353</v>
      </c>
      <c r="B3354" t="s">
        <v>339</v>
      </c>
      <c r="C3354" t="s">
        <v>353</v>
      </c>
      <c r="D3354" t="s">
        <v>6670</v>
      </c>
      <c r="E3354" t="s">
        <v>6668</v>
      </c>
      <c r="F3354" s="46">
        <v>46097.325903715267</v>
      </c>
      <c r="G3354" s="46">
        <v>46097.325903715267</v>
      </c>
      <c r="H3354">
        <v>0</v>
      </c>
    </row>
    <row r="3355" spans="1:8" x14ac:dyDescent="0.15">
      <c r="A3355">
        <v>3354</v>
      </c>
      <c r="B3355" t="s">
        <v>339</v>
      </c>
      <c r="C3355" t="s">
        <v>353</v>
      </c>
      <c r="D3355" t="s">
        <v>6671</v>
      </c>
      <c r="E3355" t="s">
        <v>6668</v>
      </c>
      <c r="F3355" s="46">
        <v>46097.325903715267</v>
      </c>
      <c r="G3355" s="46">
        <v>46097.325903715267</v>
      </c>
      <c r="H3355">
        <v>0</v>
      </c>
    </row>
    <row r="3356" spans="1:8" x14ac:dyDescent="0.15">
      <c r="A3356">
        <v>3355</v>
      </c>
      <c r="B3356" t="s">
        <v>339</v>
      </c>
      <c r="C3356" t="s">
        <v>353</v>
      </c>
      <c r="D3356" t="s">
        <v>6672</v>
      </c>
      <c r="E3356" t="s">
        <v>6668</v>
      </c>
      <c r="F3356" s="46">
        <v>46097.325903715267</v>
      </c>
      <c r="G3356" s="46">
        <v>46097.325903715267</v>
      </c>
      <c r="H3356">
        <v>0</v>
      </c>
    </row>
    <row r="3357" spans="1:8" x14ac:dyDescent="0.15">
      <c r="A3357">
        <v>3356</v>
      </c>
      <c r="B3357" t="s">
        <v>339</v>
      </c>
      <c r="C3357" t="s">
        <v>353</v>
      </c>
      <c r="D3357" t="s">
        <v>6673</v>
      </c>
      <c r="E3357" t="s">
        <v>6668</v>
      </c>
      <c r="F3357" s="46">
        <v>46097.325903715267</v>
      </c>
      <c r="G3357" s="46">
        <v>46097.325903715267</v>
      </c>
      <c r="H3357">
        <v>0</v>
      </c>
    </row>
    <row r="3358" spans="1:8" x14ac:dyDescent="0.15">
      <c r="A3358">
        <v>3357</v>
      </c>
      <c r="B3358" t="s">
        <v>339</v>
      </c>
      <c r="C3358" t="s">
        <v>353</v>
      </c>
      <c r="D3358" t="s">
        <v>6674</v>
      </c>
      <c r="E3358" t="s">
        <v>6668</v>
      </c>
      <c r="F3358" s="46">
        <v>46097.325903715267</v>
      </c>
      <c r="G3358" s="46">
        <v>46097.325903715267</v>
      </c>
      <c r="H3358">
        <v>0</v>
      </c>
    </row>
    <row r="3359" spans="1:8" x14ac:dyDescent="0.15">
      <c r="A3359">
        <v>3358</v>
      </c>
      <c r="B3359" t="s">
        <v>339</v>
      </c>
      <c r="C3359" t="s">
        <v>353</v>
      </c>
      <c r="D3359" t="s">
        <v>6675</v>
      </c>
      <c r="E3359" t="s">
        <v>6668</v>
      </c>
      <c r="F3359" s="46">
        <v>46097.325903715267</v>
      </c>
      <c r="G3359" s="46">
        <v>46097.325903715267</v>
      </c>
      <c r="H3359">
        <v>0</v>
      </c>
    </row>
    <row r="3360" spans="1:8" x14ac:dyDescent="0.15">
      <c r="A3360">
        <v>3359</v>
      </c>
      <c r="B3360" t="s">
        <v>339</v>
      </c>
      <c r="C3360" t="s">
        <v>353</v>
      </c>
      <c r="D3360" t="s">
        <v>6676</v>
      </c>
      <c r="E3360" t="s">
        <v>6677</v>
      </c>
      <c r="F3360" s="46">
        <v>46097.325903715267</v>
      </c>
      <c r="G3360" s="46">
        <v>46097.325903715267</v>
      </c>
      <c r="H3360">
        <v>0</v>
      </c>
    </row>
    <row r="3361" spans="1:8" x14ac:dyDescent="0.15">
      <c r="A3361">
        <v>3360</v>
      </c>
      <c r="B3361" t="s">
        <v>339</v>
      </c>
      <c r="C3361" t="s">
        <v>353</v>
      </c>
      <c r="D3361" t="s">
        <v>6678</v>
      </c>
      <c r="E3361" t="s">
        <v>6679</v>
      </c>
      <c r="F3361" s="46">
        <v>46097.325903715267</v>
      </c>
      <c r="G3361" s="46">
        <v>46097.325903715267</v>
      </c>
      <c r="H3361">
        <v>0</v>
      </c>
    </row>
    <row r="3362" spans="1:8" x14ac:dyDescent="0.15">
      <c r="A3362">
        <v>3361</v>
      </c>
      <c r="B3362" t="s">
        <v>339</v>
      </c>
      <c r="C3362" t="s">
        <v>353</v>
      </c>
      <c r="D3362" t="s">
        <v>6680</v>
      </c>
      <c r="E3362" t="s">
        <v>6681</v>
      </c>
      <c r="F3362" s="46">
        <v>46097.325903715267</v>
      </c>
      <c r="G3362" s="46">
        <v>46097.325903715267</v>
      </c>
      <c r="H3362">
        <v>0</v>
      </c>
    </row>
    <row r="3363" spans="1:8" x14ac:dyDescent="0.15">
      <c r="A3363">
        <v>3362</v>
      </c>
      <c r="B3363" t="s">
        <v>339</v>
      </c>
      <c r="C3363" t="s">
        <v>353</v>
      </c>
      <c r="D3363" t="s">
        <v>6682</v>
      </c>
      <c r="E3363" t="s">
        <v>6681</v>
      </c>
      <c r="F3363" s="46">
        <v>46097.325903715267</v>
      </c>
      <c r="G3363" s="46">
        <v>46097.325903888886</v>
      </c>
      <c r="H3363">
        <v>16</v>
      </c>
    </row>
    <row r="3364" spans="1:8" x14ac:dyDescent="0.15">
      <c r="A3364">
        <v>3363</v>
      </c>
      <c r="B3364" t="s">
        <v>339</v>
      </c>
      <c r="C3364" t="s">
        <v>353</v>
      </c>
      <c r="D3364" t="s">
        <v>6683</v>
      </c>
      <c r="E3364" t="s">
        <v>6684</v>
      </c>
      <c r="F3364" s="46">
        <v>46097.325903888886</v>
      </c>
      <c r="G3364" s="46">
        <v>46097.325903888886</v>
      </c>
      <c r="H3364">
        <v>0</v>
      </c>
    </row>
    <row r="3365" spans="1:8" x14ac:dyDescent="0.15">
      <c r="A3365">
        <v>3364</v>
      </c>
      <c r="B3365" t="s">
        <v>339</v>
      </c>
      <c r="C3365" t="s">
        <v>353</v>
      </c>
      <c r="D3365" t="s">
        <v>6685</v>
      </c>
      <c r="E3365" t="s">
        <v>6686</v>
      </c>
      <c r="F3365" s="46">
        <v>46097.325903888886</v>
      </c>
      <c r="G3365" s="46">
        <v>46097.325903888886</v>
      </c>
      <c r="H3365">
        <v>0</v>
      </c>
    </row>
    <row r="3366" spans="1:8" x14ac:dyDescent="0.15">
      <c r="A3366">
        <v>3365</v>
      </c>
      <c r="B3366" t="s">
        <v>339</v>
      </c>
      <c r="C3366" t="s">
        <v>353</v>
      </c>
      <c r="D3366" t="s">
        <v>6687</v>
      </c>
      <c r="E3366" t="s">
        <v>6688</v>
      </c>
      <c r="F3366" s="46">
        <v>46097.325903888886</v>
      </c>
      <c r="G3366" s="46">
        <v>46097.325903888886</v>
      </c>
      <c r="H3366">
        <v>0</v>
      </c>
    </row>
    <row r="3367" spans="1:8" x14ac:dyDescent="0.15">
      <c r="A3367">
        <v>3366</v>
      </c>
      <c r="B3367" t="s">
        <v>339</v>
      </c>
      <c r="C3367" t="s">
        <v>353</v>
      </c>
      <c r="D3367" t="s">
        <v>6689</v>
      </c>
      <c r="E3367" t="s">
        <v>6690</v>
      </c>
      <c r="F3367" s="46">
        <v>46097.325903888886</v>
      </c>
      <c r="G3367" s="46">
        <v>46097.325903888886</v>
      </c>
      <c r="H3367">
        <v>0</v>
      </c>
    </row>
    <row r="3368" spans="1:8" x14ac:dyDescent="0.15">
      <c r="A3368">
        <v>3367</v>
      </c>
      <c r="B3368" t="s">
        <v>339</v>
      </c>
      <c r="C3368" t="s">
        <v>353</v>
      </c>
      <c r="D3368" t="s">
        <v>6691</v>
      </c>
      <c r="E3368" t="s">
        <v>6690</v>
      </c>
      <c r="F3368" s="46">
        <v>46097.325903888886</v>
      </c>
      <c r="G3368" s="46">
        <v>46097.325903888886</v>
      </c>
      <c r="H3368">
        <v>0</v>
      </c>
    </row>
    <row r="3369" spans="1:8" x14ac:dyDescent="0.15">
      <c r="A3369">
        <v>3368</v>
      </c>
      <c r="B3369" t="s">
        <v>339</v>
      </c>
      <c r="C3369" t="s">
        <v>353</v>
      </c>
      <c r="D3369" t="s">
        <v>6692</v>
      </c>
      <c r="E3369" t="s">
        <v>6690</v>
      </c>
      <c r="F3369" s="46">
        <v>46097.325903888886</v>
      </c>
      <c r="G3369" s="46">
        <v>46097.325903888886</v>
      </c>
      <c r="H3369">
        <v>0</v>
      </c>
    </row>
    <row r="3370" spans="1:8" x14ac:dyDescent="0.15">
      <c r="A3370">
        <v>3369</v>
      </c>
      <c r="B3370" t="s">
        <v>339</v>
      </c>
      <c r="C3370" t="s">
        <v>353</v>
      </c>
      <c r="D3370" t="s">
        <v>6693</v>
      </c>
      <c r="E3370" t="s">
        <v>6690</v>
      </c>
      <c r="F3370" s="46">
        <v>46097.325903888886</v>
      </c>
      <c r="G3370" s="46">
        <v>46097.325903888886</v>
      </c>
      <c r="H3370">
        <v>0</v>
      </c>
    </row>
    <row r="3371" spans="1:8" x14ac:dyDescent="0.15">
      <c r="A3371">
        <v>3370</v>
      </c>
      <c r="B3371" t="s">
        <v>339</v>
      </c>
      <c r="C3371" t="s">
        <v>353</v>
      </c>
      <c r="D3371" t="s">
        <v>6694</v>
      </c>
      <c r="E3371" t="s">
        <v>6690</v>
      </c>
      <c r="F3371" s="46">
        <v>46097.325903888886</v>
      </c>
      <c r="G3371" s="46">
        <v>46097.325903888886</v>
      </c>
      <c r="H3371">
        <v>0</v>
      </c>
    </row>
    <row r="3372" spans="1:8" x14ac:dyDescent="0.15">
      <c r="A3372">
        <v>3371</v>
      </c>
      <c r="B3372" t="s">
        <v>339</v>
      </c>
      <c r="C3372" t="s">
        <v>353</v>
      </c>
      <c r="D3372" t="s">
        <v>6695</v>
      </c>
      <c r="E3372" t="s">
        <v>6690</v>
      </c>
      <c r="F3372" s="46">
        <v>46097.325903888886</v>
      </c>
      <c r="G3372" s="46">
        <v>46097.325903888886</v>
      </c>
      <c r="H3372">
        <v>0</v>
      </c>
    </row>
    <row r="3373" spans="1:8" x14ac:dyDescent="0.15">
      <c r="A3373">
        <v>3372</v>
      </c>
      <c r="B3373" t="s">
        <v>339</v>
      </c>
      <c r="C3373" t="s">
        <v>353</v>
      </c>
      <c r="D3373" t="s">
        <v>6696</v>
      </c>
      <c r="E3373" t="s">
        <v>6690</v>
      </c>
      <c r="F3373" s="46">
        <v>46097.325903888886</v>
      </c>
      <c r="G3373" s="46">
        <v>46097.325903888886</v>
      </c>
      <c r="H3373">
        <v>0</v>
      </c>
    </row>
    <row r="3374" spans="1:8" x14ac:dyDescent="0.15">
      <c r="A3374">
        <v>3373</v>
      </c>
      <c r="B3374" t="s">
        <v>339</v>
      </c>
      <c r="C3374" t="s">
        <v>353</v>
      </c>
      <c r="D3374" t="s">
        <v>6697</v>
      </c>
      <c r="E3374" t="s">
        <v>6690</v>
      </c>
      <c r="F3374" s="46">
        <v>46097.325903888886</v>
      </c>
      <c r="G3374" s="46">
        <v>46097.325904074067</v>
      </c>
      <c r="H3374">
        <v>15</v>
      </c>
    </row>
    <row r="3375" spans="1:8" x14ac:dyDescent="0.15">
      <c r="A3375">
        <v>3374</v>
      </c>
      <c r="B3375" t="s">
        <v>339</v>
      </c>
      <c r="C3375" t="s">
        <v>353</v>
      </c>
      <c r="D3375" t="s">
        <v>6698</v>
      </c>
      <c r="E3375" t="s">
        <v>6690</v>
      </c>
      <c r="F3375" s="46">
        <v>46097.325904074067</v>
      </c>
      <c r="G3375" s="46">
        <v>46097.325904074067</v>
      </c>
      <c r="H3375">
        <v>0</v>
      </c>
    </row>
    <row r="3376" spans="1:8" x14ac:dyDescent="0.15">
      <c r="A3376">
        <v>3375</v>
      </c>
      <c r="B3376" t="s">
        <v>339</v>
      </c>
      <c r="C3376" t="s">
        <v>353</v>
      </c>
      <c r="D3376" t="s">
        <v>6699</v>
      </c>
      <c r="E3376" t="s">
        <v>6690</v>
      </c>
      <c r="F3376" s="46">
        <v>46097.325904074067</v>
      </c>
      <c r="G3376" s="46">
        <v>46097.325904074067</v>
      </c>
      <c r="H3376">
        <v>0</v>
      </c>
    </row>
    <row r="3377" spans="1:8" x14ac:dyDescent="0.15">
      <c r="A3377">
        <v>3376</v>
      </c>
      <c r="B3377" t="s">
        <v>339</v>
      </c>
      <c r="C3377" t="s">
        <v>353</v>
      </c>
      <c r="D3377" t="s">
        <v>6700</v>
      </c>
      <c r="E3377" t="s">
        <v>6690</v>
      </c>
      <c r="F3377" s="46">
        <v>46097.325904074067</v>
      </c>
      <c r="G3377" s="46">
        <v>46097.325904074067</v>
      </c>
      <c r="H3377">
        <v>0</v>
      </c>
    </row>
    <row r="3378" spans="1:8" x14ac:dyDescent="0.15">
      <c r="A3378">
        <v>3377</v>
      </c>
      <c r="B3378" t="s">
        <v>339</v>
      </c>
      <c r="C3378" t="s">
        <v>353</v>
      </c>
      <c r="D3378" t="s">
        <v>6701</v>
      </c>
      <c r="E3378" t="s">
        <v>6690</v>
      </c>
      <c r="F3378" s="46">
        <v>46097.325904074067</v>
      </c>
      <c r="G3378" s="46">
        <v>46097.325904074067</v>
      </c>
      <c r="H3378">
        <v>0</v>
      </c>
    </row>
    <row r="3379" spans="1:8" x14ac:dyDescent="0.15">
      <c r="A3379">
        <v>3378</v>
      </c>
      <c r="B3379" t="s">
        <v>339</v>
      </c>
      <c r="C3379" t="s">
        <v>353</v>
      </c>
      <c r="D3379" t="s">
        <v>6702</v>
      </c>
      <c r="E3379" t="s">
        <v>6690</v>
      </c>
      <c r="F3379" s="46">
        <v>46097.325904074067</v>
      </c>
      <c r="G3379" s="46">
        <v>46097.325904074067</v>
      </c>
      <c r="H3379">
        <v>0</v>
      </c>
    </row>
    <row r="3380" spans="1:8" x14ac:dyDescent="0.15">
      <c r="A3380">
        <v>3379</v>
      </c>
      <c r="B3380" t="s">
        <v>339</v>
      </c>
      <c r="C3380" t="s">
        <v>353</v>
      </c>
      <c r="D3380" t="s">
        <v>6703</v>
      </c>
      <c r="E3380" t="s">
        <v>6690</v>
      </c>
      <c r="F3380" s="46">
        <v>46097.325904074067</v>
      </c>
      <c r="G3380" s="46">
        <v>46097.325904074067</v>
      </c>
      <c r="H3380">
        <v>0</v>
      </c>
    </row>
    <row r="3381" spans="1:8" x14ac:dyDescent="0.15">
      <c r="A3381">
        <v>3380</v>
      </c>
      <c r="B3381" t="s">
        <v>339</v>
      </c>
      <c r="C3381" t="s">
        <v>353</v>
      </c>
      <c r="D3381" t="s">
        <v>6704</v>
      </c>
      <c r="E3381" t="s">
        <v>6690</v>
      </c>
      <c r="F3381" s="46">
        <v>46097.325904074067</v>
      </c>
      <c r="G3381" s="46">
        <v>46097.325904074067</v>
      </c>
      <c r="H3381">
        <v>0</v>
      </c>
    </row>
    <row r="3382" spans="1:8" x14ac:dyDescent="0.15">
      <c r="A3382">
        <v>3381</v>
      </c>
      <c r="B3382" t="s">
        <v>339</v>
      </c>
      <c r="C3382" t="s">
        <v>353</v>
      </c>
      <c r="D3382" t="s">
        <v>6705</v>
      </c>
      <c r="E3382" t="s">
        <v>6690</v>
      </c>
      <c r="F3382" s="46">
        <v>46097.325904074067</v>
      </c>
      <c r="G3382" s="46">
        <v>46097.325904074067</v>
      </c>
      <c r="H3382">
        <v>0</v>
      </c>
    </row>
    <row r="3383" spans="1:8" x14ac:dyDescent="0.15">
      <c r="A3383">
        <v>3382</v>
      </c>
      <c r="B3383" t="s">
        <v>339</v>
      </c>
      <c r="C3383" t="s">
        <v>353</v>
      </c>
      <c r="D3383" t="s">
        <v>6706</v>
      </c>
      <c r="E3383" t="s">
        <v>6690</v>
      </c>
      <c r="F3383" s="46">
        <v>46097.325904074067</v>
      </c>
      <c r="G3383" s="46">
        <v>46097.325904074067</v>
      </c>
      <c r="H3383">
        <v>0</v>
      </c>
    </row>
    <row r="3384" spans="1:8" x14ac:dyDescent="0.15">
      <c r="A3384">
        <v>3383</v>
      </c>
      <c r="B3384" t="s">
        <v>339</v>
      </c>
      <c r="C3384" t="s">
        <v>353</v>
      </c>
      <c r="D3384" t="s">
        <v>6707</v>
      </c>
      <c r="E3384" t="s">
        <v>6690</v>
      </c>
      <c r="F3384" s="46">
        <v>46097.325904074067</v>
      </c>
      <c r="G3384" s="46">
        <v>46097.325904074067</v>
      </c>
      <c r="H3384">
        <v>0</v>
      </c>
    </row>
    <row r="3385" spans="1:8" x14ac:dyDescent="0.15">
      <c r="A3385">
        <v>3384</v>
      </c>
      <c r="B3385" t="s">
        <v>339</v>
      </c>
      <c r="C3385" t="s">
        <v>353</v>
      </c>
      <c r="D3385" t="s">
        <v>6708</v>
      </c>
      <c r="E3385" t="s">
        <v>6690</v>
      </c>
      <c r="F3385" s="46">
        <v>46097.325904074067</v>
      </c>
      <c r="G3385" s="46">
        <v>46097.325904259262</v>
      </c>
      <c r="H3385">
        <v>16</v>
      </c>
    </row>
    <row r="3386" spans="1:8" x14ac:dyDescent="0.15">
      <c r="A3386">
        <v>3385</v>
      </c>
      <c r="B3386" t="s">
        <v>339</v>
      </c>
      <c r="C3386" t="s">
        <v>353</v>
      </c>
      <c r="D3386" t="s">
        <v>6709</v>
      </c>
      <c r="E3386" t="s">
        <v>6690</v>
      </c>
      <c r="F3386" s="46">
        <v>46097.325904259262</v>
      </c>
      <c r="G3386" s="46">
        <v>46097.325904259262</v>
      </c>
      <c r="H3386">
        <v>0</v>
      </c>
    </row>
    <row r="3387" spans="1:8" x14ac:dyDescent="0.15">
      <c r="A3387">
        <v>3386</v>
      </c>
      <c r="B3387" t="s">
        <v>339</v>
      </c>
      <c r="C3387" t="s">
        <v>353</v>
      </c>
      <c r="D3387" t="s">
        <v>6710</v>
      </c>
      <c r="E3387" t="s">
        <v>6690</v>
      </c>
      <c r="F3387" s="46">
        <v>46097.325904259262</v>
      </c>
      <c r="G3387" s="46">
        <v>46097.325904259262</v>
      </c>
      <c r="H3387">
        <v>0</v>
      </c>
    </row>
    <row r="3388" spans="1:8" x14ac:dyDescent="0.15">
      <c r="A3388">
        <v>3387</v>
      </c>
      <c r="B3388" t="s">
        <v>339</v>
      </c>
      <c r="C3388" t="s">
        <v>353</v>
      </c>
      <c r="D3388" t="s">
        <v>6711</v>
      </c>
      <c r="E3388" t="s">
        <v>6690</v>
      </c>
      <c r="F3388" s="46">
        <v>46097.325904259262</v>
      </c>
      <c r="G3388" s="46">
        <v>46097.325904259262</v>
      </c>
      <c r="H3388">
        <v>0</v>
      </c>
    </row>
    <row r="3389" spans="1:8" x14ac:dyDescent="0.15">
      <c r="A3389">
        <v>3388</v>
      </c>
      <c r="B3389" t="s">
        <v>339</v>
      </c>
      <c r="C3389" t="s">
        <v>353</v>
      </c>
      <c r="D3389" t="s">
        <v>6712</v>
      </c>
      <c r="E3389" t="s">
        <v>6690</v>
      </c>
      <c r="F3389" s="46">
        <v>46097.325904259262</v>
      </c>
      <c r="G3389" s="46">
        <v>46097.325904259262</v>
      </c>
      <c r="H3389">
        <v>0</v>
      </c>
    </row>
    <row r="3390" spans="1:8" x14ac:dyDescent="0.15">
      <c r="A3390">
        <v>3389</v>
      </c>
      <c r="B3390" t="s">
        <v>339</v>
      </c>
      <c r="C3390" t="s">
        <v>353</v>
      </c>
      <c r="D3390" t="s">
        <v>6713</v>
      </c>
      <c r="E3390" t="s">
        <v>6690</v>
      </c>
      <c r="F3390" s="46">
        <v>46097.325904259262</v>
      </c>
      <c r="G3390" s="46">
        <v>46097.325904259262</v>
      </c>
      <c r="H3390">
        <v>0</v>
      </c>
    </row>
    <row r="3391" spans="1:8" x14ac:dyDescent="0.15">
      <c r="A3391">
        <v>3390</v>
      </c>
      <c r="B3391" t="s">
        <v>339</v>
      </c>
      <c r="C3391" t="s">
        <v>353</v>
      </c>
      <c r="D3391" t="s">
        <v>6714</v>
      </c>
      <c r="E3391" t="s">
        <v>6715</v>
      </c>
      <c r="F3391" s="46">
        <v>46097.325904259262</v>
      </c>
      <c r="G3391" s="46">
        <v>46097.325904259262</v>
      </c>
      <c r="H3391">
        <v>0</v>
      </c>
    </row>
    <row r="3392" spans="1:8" x14ac:dyDescent="0.15">
      <c r="A3392">
        <v>3391</v>
      </c>
      <c r="B3392" t="s">
        <v>339</v>
      </c>
      <c r="C3392" t="s">
        <v>353</v>
      </c>
      <c r="D3392" t="s">
        <v>6716</v>
      </c>
      <c r="E3392" t="s">
        <v>6717</v>
      </c>
      <c r="F3392" s="46">
        <v>46097.325904259262</v>
      </c>
      <c r="G3392" s="46">
        <v>46097.325904259262</v>
      </c>
      <c r="H3392">
        <v>0</v>
      </c>
    </row>
    <row r="3393" spans="1:8" x14ac:dyDescent="0.15">
      <c r="A3393">
        <v>3392</v>
      </c>
      <c r="B3393" t="s">
        <v>339</v>
      </c>
      <c r="C3393" t="s">
        <v>353</v>
      </c>
      <c r="D3393" t="s">
        <v>6718</v>
      </c>
      <c r="E3393" t="s">
        <v>6717</v>
      </c>
      <c r="F3393" s="46">
        <v>46097.325904259262</v>
      </c>
      <c r="G3393" s="46">
        <v>46097.325904259262</v>
      </c>
      <c r="H3393">
        <v>0</v>
      </c>
    </row>
    <row r="3394" spans="1:8" x14ac:dyDescent="0.15">
      <c r="A3394">
        <v>3393</v>
      </c>
      <c r="B3394" t="s">
        <v>339</v>
      </c>
      <c r="C3394" t="s">
        <v>353</v>
      </c>
      <c r="D3394" t="s">
        <v>6719</v>
      </c>
      <c r="E3394" t="s">
        <v>6717</v>
      </c>
      <c r="F3394" s="46">
        <v>46097.325904259262</v>
      </c>
      <c r="G3394" s="46">
        <v>46097.325904259262</v>
      </c>
      <c r="H3394">
        <v>0</v>
      </c>
    </row>
    <row r="3395" spans="1:8" x14ac:dyDescent="0.15">
      <c r="A3395">
        <v>3394</v>
      </c>
      <c r="B3395" t="s">
        <v>339</v>
      </c>
      <c r="C3395" t="s">
        <v>353</v>
      </c>
      <c r="D3395" t="s">
        <v>6720</v>
      </c>
      <c r="E3395" t="s">
        <v>6717</v>
      </c>
      <c r="F3395" s="46">
        <v>46097.325904259262</v>
      </c>
      <c r="G3395" s="46">
        <v>46097.325904432873</v>
      </c>
      <c r="H3395">
        <v>16</v>
      </c>
    </row>
    <row r="3396" spans="1:8" x14ac:dyDescent="0.15">
      <c r="A3396">
        <v>3395</v>
      </c>
      <c r="B3396" t="s">
        <v>339</v>
      </c>
      <c r="C3396" t="s">
        <v>353</v>
      </c>
      <c r="D3396" t="s">
        <v>6721</v>
      </c>
      <c r="E3396" t="s">
        <v>6717</v>
      </c>
      <c r="F3396" s="46">
        <v>46097.325904432873</v>
      </c>
      <c r="G3396" s="46">
        <v>46097.325904432873</v>
      </c>
      <c r="H3396">
        <v>0</v>
      </c>
    </row>
    <row r="3397" spans="1:8" x14ac:dyDescent="0.15">
      <c r="A3397">
        <v>3396</v>
      </c>
      <c r="B3397" t="s">
        <v>339</v>
      </c>
      <c r="C3397" t="s">
        <v>353</v>
      </c>
      <c r="D3397" t="s">
        <v>6722</v>
      </c>
      <c r="E3397" t="s">
        <v>6717</v>
      </c>
      <c r="F3397" s="46">
        <v>46097.325904432873</v>
      </c>
      <c r="G3397" s="46">
        <v>46097.325904432873</v>
      </c>
      <c r="H3397">
        <v>0</v>
      </c>
    </row>
    <row r="3398" spans="1:8" x14ac:dyDescent="0.15">
      <c r="A3398">
        <v>3397</v>
      </c>
      <c r="B3398" t="s">
        <v>339</v>
      </c>
      <c r="C3398" t="s">
        <v>353</v>
      </c>
      <c r="D3398" t="s">
        <v>6723</v>
      </c>
      <c r="E3398" t="s">
        <v>6717</v>
      </c>
      <c r="F3398" s="46">
        <v>46097.325904432873</v>
      </c>
      <c r="G3398" s="46">
        <v>46097.325904432873</v>
      </c>
      <c r="H3398">
        <v>0</v>
      </c>
    </row>
    <row r="3399" spans="1:8" x14ac:dyDescent="0.15">
      <c r="A3399">
        <v>3398</v>
      </c>
      <c r="B3399" t="s">
        <v>339</v>
      </c>
      <c r="C3399" t="s">
        <v>353</v>
      </c>
      <c r="D3399" t="s">
        <v>6724</v>
      </c>
      <c r="E3399" t="s">
        <v>6717</v>
      </c>
      <c r="F3399" s="46">
        <v>46097.325904432873</v>
      </c>
      <c r="G3399" s="46">
        <v>46097.325904432873</v>
      </c>
      <c r="H3399">
        <v>0</v>
      </c>
    </row>
    <row r="3400" spans="1:8" x14ac:dyDescent="0.15">
      <c r="A3400">
        <v>3399</v>
      </c>
      <c r="B3400" t="s">
        <v>339</v>
      </c>
      <c r="C3400" t="s">
        <v>353</v>
      </c>
      <c r="D3400" t="s">
        <v>6725</v>
      </c>
      <c r="E3400" t="s">
        <v>6717</v>
      </c>
      <c r="F3400" s="46">
        <v>46097.325904432873</v>
      </c>
      <c r="G3400" s="46">
        <v>46097.325904432873</v>
      </c>
      <c r="H3400">
        <v>0</v>
      </c>
    </row>
    <row r="3401" spans="1:8" x14ac:dyDescent="0.15">
      <c r="A3401">
        <v>3400</v>
      </c>
      <c r="B3401" t="s">
        <v>339</v>
      </c>
      <c r="C3401" t="s">
        <v>353</v>
      </c>
      <c r="D3401" t="s">
        <v>6726</v>
      </c>
      <c r="E3401" t="s">
        <v>6717</v>
      </c>
      <c r="F3401" s="46">
        <v>46097.325904432873</v>
      </c>
      <c r="G3401" s="46">
        <v>46097.325904432873</v>
      </c>
      <c r="H3401">
        <v>0</v>
      </c>
    </row>
    <row r="3402" spans="1:8" x14ac:dyDescent="0.15">
      <c r="A3402">
        <v>3401</v>
      </c>
      <c r="B3402" t="s">
        <v>339</v>
      </c>
      <c r="C3402" t="s">
        <v>353</v>
      </c>
      <c r="D3402" t="s">
        <v>6727</v>
      </c>
      <c r="E3402" t="s">
        <v>6717</v>
      </c>
      <c r="F3402" s="46">
        <v>46097.325904432873</v>
      </c>
      <c r="G3402" s="46">
        <v>46097.325904432873</v>
      </c>
      <c r="H3402">
        <v>0</v>
      </c>
    </row>
    <row r="3403" spans="1:8" x14ac:dyDescent="0.15">
      <c r="A3403">
        <v>3402</v>
      </c>
      <c r="B3403" t="s">
        <v>339</v>
      </c>
      <c r="C3403" t="s">
        <v>353</v>
      </c>
      <c r="D3403" t="s">
        <v>6728</v>
      </c>
      <c r="E3403" t="s">
        <v>6729</v>
      </c>
      <c r="F3403" s="46">
        <v>46097.325904432873</v>
      </c>
      <c r="G3403" s="46">
        <v>46097.325904432873</v>
      </c>
      <c r="H3403">
        <v>0</v>
      </c>
    </row>
    <row r="3404" spans="1:8" x14ac:dyDescent="0.15">
      <c r="A3404">
        <v>3403</v>
      </c>
      <c r="B3404" t="s">
        <v>339</v>
      </c>
      <c r="C3404" t="s">
        <v>353</v>
      </c>
      <c r="D3404" t="s">
        <v>6730</v>
      </c>
      <c r="E3404" t="s">
        <v>6731</v>
      </c>
      <c r="F3404" s="46">
        <v>46097.325904432873</v>
      </c>
      <c r="G3404" s="46">
        <v>46097.325904432873</v>
      </c>
      <c r="H3404">
        <v>0</v>
      </c>
    </row>
    <row r="3405" spans="1:8" x14ac:dyDescent="0.15">
      <c r="A3405">
        <v>3404</v>
      </c>
      <c r="B3405" t="s">
        <v>339</v>
      </c>
      <c r="C3405" t="s">
        <v>353</v>
      </c>
      <c r="D3405" t="s">
        <v>6732</v>
      </c>
      <c r="E3405" t="s">
        <v>6731</v>
      </c>
      <c r="F3405" s="46">
        <v>46097.325904432873</v>
      </c>
      <c r="G3405" s="46">
        <v>46097.325904432873</v>
      </c>
      <c r="H3405">
        <v>0</v>
      </c>
    </row>
    <row r="3406" spans="1:8" x14ac:dyDescent="0.15">
      <c r="A3406">
        <v>3405</v>
      </c>
      <c r="B3406" t="s">
        <v>339</v>
      </c>
      <c r="C3406" t="s">
        <v>353</v>
      </c>
      <c r="D3406" t="s">
        <v>6733</v>
      </c>
      <c r="E3406" t="s">
        <v>6731</v>
      </c>
      <c r="F3406" s="46">
        <v>46097.325904432873</v>
      </c>
      <c r="G3406" s="46">
        <v>46097.325904618046</v>
      </c>
      <c r="H3406">
        <v>15</v>
      </c>
    </row>
    <row r="3407" spans="1:8" x14ac:dyDescent="0.15">
      <c r="A3407">
        <v>3406</v>
      </c>
      <c r="B3407" t="s">
        <v>339</v>
      </c>
      <c r="C3407" t="s">
        <v>353</v>
      </c>
      <c r="D3407" t="s">
        <v>6734</v>
      </c>
      <c r="E3407" t="s">
        <v>6731</v>
      </c>
      <c r="F3407" s="46">
        <v>46097.325904618046</v>
      </c>
      <c r="G3407" s="46">
        <v>46097.325904618046</v>
      </c>
      <c r="H3407">
        <v>0</v>
      </c>
    </row>
    <row r="3408" spans="1:8" x14ac:dyDescent="0.15">
      <c r="A3408">
        <v>3407</v>
      </c>
      <c r="B3408" t="s">
        <v>339</v>
      </c>
      <c r="C3408" t="s">
        <v>353</v>
      </c>
      <c r="D3408" t="s">
        <v>6735</v>
      </c>
      <c r="E3408" t="s">
        <v>6731</v>
      </c>
      <c r="F3408" s="46">
        <v>46097.325904618046</v>
      </c>
      <c r="G3408" s="46">
        <v>46097.325904618046</v>
      </c>
      <c r="H3408">
        <v>0</v>
      </c>
    </row>
    <row r="3409" spans="1:8" x14ac:dyDescent="0.15">
      <c r="A3409">
        <v>3408</v>
      </c>
      <c r="B3409" t="s">
        <v>339</v>
      </c>
      <c r="C3409" t="s">
        <v>353</v>
      </c>
      <c r="D3409" t="s">
        <v>6736</v>
      </c>
      <c r="E3409" t="s">
        <v>6731</v>
      </c>
      <c r="F3409" s="46">
        <v>46097.325904618046</v>
      </c>
      <c r="G3409" s="46">
        <v>46097.325904618046</v>
      </c>
      <c r="H3409">
        <v>0</v>
      </c>
    </row>
    <row r="3410" spans="1:8" x14ac:dyDescent="0.15">
      <c r="A3410">
        <v>3409</v>
      </c>
      <c r="B3410" t="s">
        <v>339</v>
      </c>
      <c r="C3410" t="s">
        <v>353</v>
      </c>
      <c r="D3410" t="s">
        <v>6737</v>
      </c>
      <c r="E3410" t="s">
        <v>6731</v>
      </c>
      <c r="F3410" s="46">
        <v>46097.325904618046</v>
      </c>
      <c r="G3410" s="46">
        <v>46097.325904618046</v>
      </c>
      <c r="H3410">
        <v>0</v>
      </c>
    </row>
    <row r="3411" spans="1:8" x14ac:dyDescent="0.15">
      <c r="A3411">
        <v>3410</v>
      </c>
      <c r="B3411" t="s">
        <v>339</v>
      </c>
      <c r="C3411" t="s">
        <v>353</v>
      </c>
      <c r="D3411" t="s">
        <v>6738</v>
      </c>
      <c r="E3411" t="s">
        <v>6731</v>
      </c>
      <c r="F3411" s="46">
        <v>46097.325904618046</v>
      </c>
      <c r="G3411" s="46">
        <v>46097.325904618046</v>
      </c>
      <c r="H3411">
        <v>0</v>
      </c>
    </row>
    <row r="3412" spans="1:8" x14ac:dyDescent="0.15">
      <c r="A3412">
        <v>3411</v>
      </c>
      <c r="B3412" t="s">
        <v>339</v>
      </c>
      <c r="C3412" t="s">
        <v>353</v>
      </c>
      <c r="D3412" t="s">
        <v>6739</v>
      </c>
      <c r="E3412" t="s">
        <v>6740</v>
      </c>
      <c r="F3412" s="46">
        <v>46097.325904618046</v>
      </c>
      <c r="G3412" s="46">
        <v>46097.325904618046</v>
      </c>
      <c r="H3412">
        <v>0</v>
      </c>
    </row>
    <row r="3413" spans="1:8" x14ac:dyDescent="0.15">
      <c r="A3413">
        <v>3412</v>
      </c>
      <c r="B3413" t="s">
        <v>339</v>
      </c>
      <c r="C3413" t="s">
        <v>353</v>
      </c>
      <c r="D3413" t="s">
        <v>6741</v>
      </c>
      <c r="E3413" t="s">
        <v>6742</v>
      </c>
      <c r="F3413" s="46">
        <v>46097.325904618046</v>
      </c>
      <c r="G3413" s="46">
        <v>46097.325904618046</v>
      </c>
      <c r="H3413">
        <v>0</v>
      </c>
    </row>
    <row r="3414" spans="1:8" x14ac:dyDescent="0.15">
      <c r="A3414">
        <v>3413</v>
      </c>
      <c r="B3414" t="s">
        <v>339</v>
      </c>
      <c r="C3414" t="s">
        <v>353</v>
      </c>
      <c r="D3414" t="s">
        <v>6743</v>
      </c>
      <c r="E3414" t="s">
        <v>6744</v>
      </c>
      <c r="F3414" s="46">
        <v>46097.325904618046</v>
      </c>
      <c r="G3414" s="46">
        <v>46097.325904618046</v>
      </c>
      <c r="H3414">
        <v>0</v>
      </c>
    </row>
    <row r="3415" spans="1:8" x14ac:dyDescent="0.15">
      <c r="A3415">
        <v>3414</v>
      </c>
      <c r="B3415" t="s">
        <v>339</v>
      </c>
      <c r="C3415" t="s">
        <v>353</v>
      </c>
      <c r="D3415" t="s">
        <v>6745</v>
      </c>
      <c r="E3415" t="s">
        <v>6744</v>
      </c>
      <c r="F3415" s="46">
        <v>46097.325904618046</v>
      </c>
      <c r="G3415" s="46">
        <v>46097.325904618046</v>
      </c>
      <c r="H3415">
        <v>0</v>
      </c>
    </row>
    <row r="3416" spans="1:8" x14ac:dyDescent="0.15">
      <c r="A3416">
        <v>3415</v>
      </c>
      <c r="B3416" t="s">
        <v>339</v>
      </c>
      <c r="C3416" t="s">
        <v>353</v>
      </c>
      <c r="D3416" t="s">
        <v>6746</v>
      </c>
      <c r="E3416" t="s">
        <v>6744</v>
      </c>
      <c r="F3416" s="46">
        <v>46097.325904618046</v>
      </c>
      <c r="G3416" s="46">
        <v>46097.325904791673</v>
      </c>
      <c r="H3416">
        <v>16</v>
      </c>
    </row>
    <row r="3417" spans="1:8" x14ac:dyDescent="0.15">
      <c r="A3417">
        <v>3416</v>
      </c>
      <c r="B3417" t="s">
        <v>339</v>
      </c>
      <c r="C3417" t="s">
        <v>353</v>
      </c>
      <c r="D3417" t="s">
        <v>6747</v>
      </c>
      <c r="E3417" t="s">
        <v>6744</v>
      </c>
      <c r="F3417" s="46">
        <v>46097.325904791673</v>
      </c>
      <c r="G3417" s="46">
        <v>46097.325904791673</v>
      </c>
      <c r="H3417">
        <v>0</v>
      </c>
    </row>
    <row r="3418" spans="1:8" x14ac:dyDescent="0.15">
      <c r="A3418">
        <v>3417</v>
      </c>
      <c r="B3418" t="s">
        <v>339</v>
      </c>
      <c r="C3418" t="s">
        <v>353</v>
      </c>
      <c r="D3418" t="s">
        <v>6748</v>
      </c>
      <c r="E3418" t="s">
        <v>6744</v>
      </c>
      <c r="F3418" s="46">
        <v>46097.325904791673</v>
      </c>
      <c r="G3418" s="46">
        <v>46097.325904791673</v>
      </c>
      <c r="H3418">
        <v>0</v>
      </c>
    </row>
    <row r="3419" spans="1:8" x14ac:dyDescent="0.15">
      <c r="A3419">
        <v>3418</v>
      </c>
      <c r="B3419" t="s">
        <v>339</v>
      </c>
      <c r="C3419" t="s">
        <v>353</v>
      </c>
      <c r="D3419" t="s">
        <v>6749</v>
      </c>
      <c r="E3419" t="s">
        <v>6744</v>
      </c>
      <c r="F3419" s="46">
        <v>46097.325904791673</v>
      </c>
      <c r="G3419" s="46">
        <v>46097.325904791673</v>
      </c>
      <c r="H3419">
        <v>0</v>
      </c>
    </row>
    <row r="3420" spans="1:8" x14ac:dyDescent="0.15">
      <c r="A3420">
        <v>3419</v>
      </c>
      <c r="B3420" t="s">
        <v>339</v>
      </c>
      <c r="C3420" t="s">
        <v>353</v>
      </c>
      <c r="D3420" t="s">
        <v>6750</v>
      </c>
      <c r="E3420" t="s">
        <v>6744</v>
      </c>
      <c r="F3420" s="46">
        <v>46097.325904791673</v>
      </c>
      <c r="G3420" s="46">
        <v>46097.325904791673</v>
      </c>
      <c r="H3420">
        <v>0</v>
      </c>
    </row>
    <row r="3421" spans="1:8" x14ac:dyDescent="0.15">
      <c r="A3421">
        <v>3420</v>
      </c>
      <c r="B3421" t="s">
        <v>339</v>
      </c>
      <c r="C3421" t="s">
        <v>353</v>
      </c>
      <c r="D3421" t="s">
        <v>6751</v>
      </c>
      <c r="E3421" t="s">
        <v>6744</v>
      </c>
      <c r="F3421" s="46">
        <v>46097.325904791673</v>
      </c>
      <c r="G3421" s="46">
        <v>46097.325904791673</v>
      </c>
      <c r="H3421">
        <v>0</v>
      </c>
    </row>
    <row r="3422" spans="1:8" x14ac:dyDescent="0.15">
      <c r="A3422">
        <v>3421</v>
      </c>
      <c r="B3422" t="s">
        <v>339</v>
      </c>
      <c r="C3422" t="s">
        <v>353</v>
      </c>
      <c r="D3422" t="s">
        <v>6752</v>
      </c>
      <c r="E3422" t="s">
        <v>6744</v>
      </c>
      <c r="F3422" s="46">
        <v>46097.325904791673</v>
      </c>
      <c r="G3422" s="46">
        <v>46097.325904791673</v>
      </c>
      <c r="H3422">
        <v>0</v>
      </c>
    </row>
    <row r="3423" spans="1:8" x14ac:dyDescent="0.15">
      <c r="A3423">
        <v>3422</v>
      </c>
      <c r="B3423" t="s">
        <v>339</v>
      </c>
      <c r="C3423" t="s">
        <v>353</v>
      </c>
      <c r="D3423" t="s">
        <v>6753</v>
      </c>
      <c r="E3423" t="s">
        <v>6754</v>
      </c>
      <c r="F3423" s="46">
        <v>46097.325904791673</v>
      </c>
      <c r="G3423" s="46">
        <v>46097.325904791673</v>
      </c>
      <c r="H3423">
        <v>0</v>
      </c>
    </row>
    <row r="3424" spans="1:8" x14ac:dyDescent="0.15">
      <c r="A3424">
        <v>3423</v>
      </c>
      <c r="B3424" t="s">
        <v>339</v>
      </c>
      <c r="C3424" t="s">
        <v>353</v>
      </c>
      <c r="D3424" t="s">
        <v>6755</v>
      </c>
      <c r="E3424" t="s">
        <v>6754</v>
      </c>
      <c r="F3424" s="46">
        <v>46097.325904791673</v>
      </c>
      <c r="G3424" s="46">
        <v>46097.325904791673</v>
      </c>
      <c r="H3424">
        <v>0</v>
      </c>
    </row>
    <row r="3425" spans="1:8" x14ac:dyDescent="0.15">
      <c r="A3425">
        <v>3424</v>
      </c>
      <c r="B3425" t="s">
        <v>339</v>
      </c>
      <c r="C3425" t="s">
        <v>353</v>
      </c>
      <c r="D3425" t="s">
        <v>6756</v>
      </c>
      <c r="E3425" t="s">
        <v>6757</v>
      </c>
      <c r="F3425" s="46">
        <v>46097.325904791673</v>
      </c>
      <c r="G3425" s="46">
        <v>46097.325904791673</v>
      </c>
      <c r="H3425">
        <v>0</v>
      </c>
    </row>
    <row r="3426" spans="1:8" x14ac:dyDescent="0.15">
      <c r="A3426">
        <v>3425</v>
      </c>
      <c r="B3426" t="s">
        <v>339</v>
      </c>
      <c r="C3426" t="s">
        <v>353</v>
      </c>
      <c r="D3426" t="s">
        <v>6758</v>
      </c>
      <c r="E3426" t="s">
        <v>6757</v>
      </c>
      <c r="F3426" s="46">
        <v>46097.325904791673</v>
      </c>
      <c r="G3426" s="46">
        <v>46097.325904791673</v>
      </c>
      <c r="H3426">
        <v>0</v>
      </c>
    </row>
    <row r="3427" spans="1:8" x14ac:dyDescent="0.15">
      <c r="A3427">
        <v>3426</v>
      </c>
      <c r="B3427" t="s">
        <v>339</v>
      </c>
      <c r="C3427" t="s">
        <v>353</v>
      </c>
      <c r="D3427" t="s">
        <v>6759</v>
      </c>
      <c r="E3427" t="s">
        <v>6757</v>
      </c>
      <c r="F3427" s="46">
        <v>46097.325904976853</v>
      </c>
      <c r="G3427" s="46">
        <v>46097.325904976853</v>
      </c>
      <c r="H3427">
        <v>0</v>
      </c>
    </row>
    <row r="3428" spans="1:8" x14ac:dyDescent="0.15">
      <c r="A3428">
        <v>3427</v>
      </c>
      <c r="B3428" t="s">
        <v>339</v>
      </c>
      <c r="C3428" t="s">
        <v>353</v>
      </c>
      <c r="D3428" t="s">
        <v>6760</v>
      </c>
      <c r="E3428" t="s">
        <v>6757</v>
      </c>
      <c r="F3428" s="46">
        <v>46097.325904976853</v>
      </c>
      <c r="G3428" s="46">
        <v>46097.325904976853</v>
      </c>
      <c r="H3428">
        <v>0</v>
      </c>
    </row>
    <row r="3429" spans="1:8" x14ac:dyDescent="0.15">
      <c r="A3429">
        <v>3428</v>
      </c>
      <c r="B3429" t="s">
        <v>339</v>
      </c>
      <c r="C3429" t="s">
        <v>353</v>
      </c>
      <c r="D3429" t="s">
        <v>6761</v>
      </c>
      <c r="E3429" t="s">
        <v>6757</v>
      </c>
      <c r="F3429" s="46">
        <v>46097.325904976853</v>
      </c>
      <c r="G3429" s="46">
        <v>46097.325904976853</v>
      </c>
      <c r="H3429">
        <v>0</v>
      </c>
    </row>
    <row r="3430" spans="1:8" x14ac:dyDescent="0.15">
      <c r="A3430">
        <v>3429</v>
      </c>
      <c r="B3430" t="s">
        <v>339</v>
      </c>
      <c r="C3430" t="s">
        <v>353</v>
      </c>
      <c r="D3430" t="s">
        <v>6762</v>
      </c>
      <c r="E3430" t="s">
        <v>6763</v>
      </c>
      <c r="F3430" s="46">
        <v>46097.325904976853</v>
      </c>
      <c r="G3430" s="46">
        <v>46097.325904976853</v>
      </c>
      <c r="H3430">
        <v>0</v>
      </c>
    </row>
    <row r="3431" spans="1:8" x14ac:dyDescent="0.15">
      <c r="A3431">
        <v>3430</v>
      </c>
      <c r="B3431" t="s">
        <v>339</v>
      </c>
      <c r="C3431" t="s">
        <v>353</v>
      </c>
      <c r="D3431" t="s">
        <v>6764</v>
      </c>
      <c r="E3431" t="s">
        <v>6765</v>
      </c>
      <c r="F3431" s="46">
        <v>46097.325904976853</v>
      </c>
      <c r="G3431" s="46">
        <v>46097.325904976853</v>
      </c>
      <c r="H3431">
        <v>0</v>
      </c>
    </row>
    <row r="3432" spans="1:8" x14ac:dyDescent="0.15">
      <c r="A3432">
        <v>3431</v>
      </c>
      <c r="B3432" t="s">
        <v>339</v>
      </c>
      <c r="C3432" t="s">
        <v>353</v>
      </c>
      <c r="D3432" t="s">
        <v>6766</v>
      </c>
      <c r="E3432" t="s">
        <v>6765</v>
      </c>
      <c r="F3432" s="46">
        <v>46097.325904976853</v>
      </c>
      <c r="G3432" s="46">
        <v>46097.325904976853</v>
      </c>
      <c r="H3432">
        <v>0</v>
      </c>
    </row>
    <row r="3433" spans="1:8" x14ac:dyDescent="0.15">
      <c r="A3433">
        <v>3432</v>
      </c>
      <c r="B3433" t="s">
        <v>339</v>
      </c>
      <c r="C3433" t="s">
        <v>353</v>
      </c>
      <c r="D3433" t="s">
        <v>6767</v>
      </c>
      <c r="E3433" t="s">
        <v>6765</v>
      </c>
      <c r="F3433" s="46">
        <v>46097.325904976853</v>
      </c>
      <c r="G3433" s="46">
        <v>46097.325904976853</v>
      </c>
      <c r="H3433">
        <v>0</v>
      </c>
    </row>
    <row r="3434" spans="1:8" x14ac:dyDescent="0.15">
      <c r="A3434">
        <v>3433</v>
      </c>
      <c r="B3434" t="s">
        <v>339</v>
      </c>
      <c r="C3434" t="s">
        <v>353</v>
      </c>
      <c r="D3434" t="s">
        <v>6768</v>
      </c>
      <c r="E3434" t="s">
        <v>6765</v>
      </c>
      <c r="F3434" s="46">
        <v>46097.325904976853</v>
      </c>
      <c r="G3434" s="46">
        <v>46097.325904976853</v>
      </c>
      <c r="H3434">
        <v>0</v>
      </c>
    </row>
    <row r="3435" spans="1:8" x14ac:dyDescent="0.15">
      <c r="A3435">
        <v>3434</v>
      </c>
      <c r="B3435" t="s">
        <v>339</v>
      </c>
      <c r="C3435" t="s">
        <v>353</v>
      </c>
      <c r="D3435" t="s">
        <v>6769</v>
      </c>
      <c r="E3435" t="s">
        <v>6765</v>
      </c>
      <c r="F3435" s="46">
        <v>46097.325904976853</v>
      </c>
      <c r="G3435" s="46">
        <v>46097.325904976853</v>
      </c>
      <c r="H3435">
        <v>0</v>
      </c>
    </row>
    <row r="3436" spans="1:8" x14ac:dyDescent="0.15">
      <c r="A3436">
        <v>3435</v>
      </c>
      <c r="B3436" t="s">
        <v>339</v>
      </c>
      <c r="C3436" t="s">
        <v>353</v>
      </c>
      <c r="D3436" t="s">
        <v>6770</v>
      </c>
      <c r="E3436" t="s">
        <v>6765</v>
      </c>
      <c r="F3436" s="46">
        <v>46097.325904976853</v>
      </c>
      <c r="G3436" s="46">
        <v>46097.325904976853</v>
      </c>
      <c r="H3436">
        <v>0</v>
      </c>
    </row>
    <row r="3437" spans="1:8" x14ac:dyDescent="0.15">
      <c r="A3437">
        <v>3436</v>
      </c>
      <c r="B3437" t="s">
        <v>339</v>
      </c>
      <c r="C3437" t="s">
        <v>353</v>
      </c>
      <c r="D3437" t="s">
        <v>6771</v>
      </c>
      <c r="E3437" t="s">
        <v>6765</v>
      </c>
      <c r="F3437" s="46">
        <v>46097.325904976853</v>
      </c>
      <c r="G3437" s="46">
        <v>46097.325905162033</v>
      </c>
      <c r="H3437">
        <v>15</v>
      </c>
    </row>
    <row r="3438" spans="1:8" x14ac:dyDescent="0.15">
      <c r="A3438">
        <v>3437</v>
      </c>
      <c r="B3438" t="s">
        <v>339</v>
      </c>
      <c r="C3438" t="s">
        <v>353</v>
      </c>
      <c r="D3438" t="s">
        <v>6772</v>
      </c>
      <c r="E3438" t="s">
        <v>6765</v>
      </c>
      <c r="F3438" s="46">
        <v>46097.325905162033</v>
      </c>
      <c r="G3438" s="46">
        <v>46097.325905162033</v>
      </c>
      <c r="H3438">
        <v>0</v>
      </c>
    </row>
    <row r="3439" spans="1:8" x14ac:dyDescent="0.15">
      <c r="A3439">
        <v>3438</v>
      </c>
      <c r="B3439" t="s">
        <v>339</v>
      </c>
      <c r="C3439" t="s">
        <v>353</v>
      </c>
      <c r="D3439" t="s">
        <v>6773</v>
      </c>
      <c r="E3439" t="s">
        <v>6774</v>
      </c>
      <c r="F3439" s="46">
        <v>46097.325905162033</v>
      </c>
      <c r="G3439" s="46">
        <v>46097.325905162033</v>
      </c>
      <c r="H3439">
        <v>0</v>
      </c>
    </row>
    <row r="3440" spans="1:8" x14ac:dyDescent="0.15">
      <c r="A3440">
        <v>3439</v>
      </c>
      <c r="B3440" t="s">
        <v>339</v>
      </c>
      <c r="C3440" t="s">
        <v>353</v>
      </c>
      <c r="D3440" t="s">
        <v>6775</v>
      </c>
      <c r="E3440" t="s">
        <v>6774</v>
      </c>
      <c r="F3440" s="46">
        <v>46097.325905162033</v>
      </c>
      <c r="G3440" s="46">
        <v>46097.325905162033</v>
      </c>
      <c r="H3440">
        <v>0</v>
      </c>
    </row>
    <row r="3441" spans="1:8" x14ac:dyDescent="0.15">
      <c r="A3441">
        <v>3440</v>
      </c>
      <c r="B3441" t="s">
        <v>339</v>
      </c>
      <c r="C3441" t="s">
        <v>353</v>
      </c>
      <c r="D3441" t="s">
        <v>6776</v>
      </c>
      <c r="E3441" t="s">
        <v>6777</v>
      </c>
      <c r="F3441" s="46">
        <v>46097.325905162033</v>
      </c>
      <c r="G3441" s="46">
        <v>46097.325905162033</v>
      </c>
      <c r="H3441">
        <v>0</v>
      </c>
    </row>
    <row r="3442" spans="1:8" x14ac:dyDescent="0.15">
      <c r="A3442">
        <v>3441</v>
      </c>
      <c r="B3442" t="s">
        <v>339</v>
      </c>
      <c r="C3442" t="s">
        <v>353</v>
      </c>
      <c r="D3442" t="s">
        <v>6778</v>
      </c>
      <c r="E3442" t="s">
        <v>6779</v>
      </c>
      <c r="F3442" s="46">
        <v>46097.325905162033</v>
      </c>
      <c r="G3442" s="46">
        <v>46097.325905162033</v>
      </c>
      <c r="H3442">
        <v>0</v>
      </c>
    </row>
    <row r="3443" spans="1:8" x14ac:dyDescent="0.15">
      <c r="A3443">
        <v>3442</v>
      </c>
      <c r="B3443" t="s">
        <v>339</v>
      </c>
      <c r="C3443" t="s">
        <v>353</v>
      </c>
      <c r="D3443" t="s">
        <v>6780</v>
      </c>
      <c r="E3443" t="s">
        <v>759</v>
      </c>
      <c r="F3443" s="46">
        <v>46097.325905162033</v>
      </c>
      <c r="G3443" s="46">
        <v>46097.325905162033</v>
      </c>
      <c r="H3443">
        <v>0</v>
      </c>
    </row>
    <row r="3444" spans="1:8" x14ac:dyDescent="0.15">
      <c r="A3444">
        <v>3443</v>
      </c>
      <c r="B3444" t="s">
        <v>339</v>
      </c>
      <c r="C3444" t="s">
        <v>353</v>
      </c>
      <c r="D3444" t="s">
        <v>6781</v>
      </c>
      <c r="E3444" t="s">
        <v>759</v>
      </c>
      <c r="F3444" s="46">
        <v>46097.325905162033</v>
      </c>
      <c r="G3444" s="46">
        <v>46097.325905162033</v>
      </c>
      <c r="H3444">
        <v>0</v>
      </c>
    </row>
    <row r="3445" spans="1:8" x14ac:dyDescent="0.15">
      <c r="A3445">
        <v>3444</v>
      </c>
      <c r="B3445" t="s">
        <v>339</v>
      </c>
      <c r="C3445" t="s">
        <v>353</v>
      </c>
      <c r="D3445" t="s">
        <v>6782</v>
      </c>
      <c r="E3445" t="s">
        <v>759</v>
      </c>
      <c r="F3445" s="46">
        <v>46097.325905162033</v>
      </c>
      <c r="G3445" s="46">
        <v>46097.325905162033</v>
      </c>
      <c r="H3445">
        <v>0</v>
      </c>
    </row>
    <row r="3446" spans="1:8" x14ac:dyDescent="0.15">
      <c r="A3446">
        <v>3445</v>
      </c>
      <c r="B3446" t="s">
        <v>339</v>
      </c>
      <c r="C3446" t="s">
        <v>353</v>
      </c>
      <c r="D3446" t="s">
        <v>6783</v>
      </c>
      <c r="E3446" t="s">
        <v>759</v>
      </c>
      <c r="F3446" s="46">
        <v>46097.325905162033</v>
      </c>
      <c r="G3446" s="46">
        <v>46097.325905162033</v>
      </c>
      <c r="H3446">
        <v>0</v>
      </c>
    </row>
    <row r="3447" spans="1:8" x14ac:dyDescent="0.15">
      <c r="A3447">
        <v>3446</v>
      </c>
      <c r="B3447" t="s">
        <v>339</v>
      </c>
      <c r="C3447" t="s">
        <v>353</v>
      </c>
      <c r="D3447" t="s">
        <v>6784</v>
      </c>
      <c r="E3447" t="s">
        <v>759</v>
      </c>
      <c r="F3447" s="46">
        <v>46097.325905162033</v>
      </c>
      <c r="G3447" s="46">
        <v>46097.325905335652</v>
      </c>
      <c r="H3447">
        <v>16</v>
      </c>
    </row>
    <row r="3448" spans="1:8" x14ac:dyDescent="0.15">
      <c r="A3448">
        <v>3447</v>
      </c>
      <c r="B3448" t="s">
        <v>339</v>
      </c>
      <c r="C3448" t="s">
        <v>353</v>
      </c>
      <c r="D3448" t="s">
        <v>6785</v>
      </c>
      <c r="E3448" t="s">
        <v>759</v>
      </c>
      <c r="F3448" s="46">
        <v>46097.325905335652</v>
      </c>
      <c r="G3448" s="46">
        <v>46097.325905335652</v>
      </c>
      <c r="H3448">
        <v>0</v>
      </c>
    </row>
    <row r="3449" spans="1:8" x14ac:dyDescent="0.15">
      <c r="A3449">
        <v>3448</v>
      </c>
      <c r="B3449" t="s">
        <v>339</v>
      </c>
      <c r="C3449" t="s">
        <v>353</v>
      </c>
      <c r="D3449" t="s">
        <v>6786</v>
      </c>
      <c r="E3449" t="s">
        <v>759</v>
      </c>
      <c r="F3449" s="46">
        <v>46097.325905335652</v>
      </c>
      <c r="G3449" s="46">
        <v>46097.325905335652</v>
      </c>
      <c r="H3449">
        <v>0</v>
      </c>
    </row>
    <row r="3450" spans="1:8" x14ac:dyDescent="0.15">
      <c r="A3450">
        <v>3449</v>
      </c>
      <c r="B3450" t="s">
        <v>339</v>
      </c>
      <c r="C3450" t="s">
        <v>353</v>
      </c>
      <c r="D3450" t="s">
        <v>6787</v>
      </c>
      <c r="E3450" t="s">
        <v>759</v>
      </c>
      <c r="F3450" s="46">
        <v>46097.325905335652</v>
      </c>
      <c r="G3450" s="46">
        <v>46097.325905335652</v>
      </c>
      <c r="H3450">
        <v>0</v>
      </c>
    </row>
    <row r="3451" spans="1:8" x14ac:dyDescent="0.15">
      <c r="A3451">
        <v>3450</v>
      </c>
      <c r="B3451" t="s">
        <v>339</v>
      </c>
      <c r="C3451" t="s">
        <v>353</v>
      </c>
      <c r="D3451" t="s">
        <v>6788</v>
      </c>
      <c r="E3451" t="s">
        <v>759</v>
      </c>
      <c r="F3451" s="46">
        <v>46097.325905335652</v>
      </c>
      <c r="G3451" s="46">
        <v>46097.325905335652</v>
      </c>
      <c r="H3451">
        <v>0</v>
      </c>
    </row>
    <row r="3452" spans="1:8" x14ac:dyDescent="0.15">
      <c r="A3452">
        <v>3451</v>
      </c>
      <c r="B3452" t="s">
        <v>339</v>
      </c>
      <c r="C3452" t="s">
        <v>353</v>
      </c>
      <c r="D3452" t="s">
        <v>6789</v>
      </c>
      <c r="E3452" t="s">
        <v>759</v>
      </c>
      <c r="F3452" s="46">
        <v>46097.325905335652</v>
      </c>
      <c r="G3452" s="46">
        <v>46097.325905335652</v>
      </c>
      <c r="H3452">
        <v>0</v>
      </c>
    </row>
    <row r="3453" spans="1:8" x14ac:dyDescent="0.15">
      <c r="A3453">
        <v>3452</v>
      </c>
      <c r="B3453" t="s">
        <v>339</v>
      </c>
      <c r="C3453" t="s">
        <v>353</v>
      </c>
      <c r="D3453" t="s">
        <v>6790</v>
      </c>
      <c r="E3453" t="s">
        <v>6791</v>
      </c>
      <c r="F3453" s="46">
        <v>46097.325905335652</v>
      </c>
      <c r="G3453" s="46">
        <v>46097.325905335652</v>
      </c>
      <c r="H3453">
        <v>0</v>
      </c>
    </row>
    <row r="3454" spans="1:8" x14ac:dyDescent="0.15">
      <c r="A3454">
        <v>3453</v>
      </c>
      <c r="B3454" t="s">
        <v>339</v>
      </c>
      <c r="C3454" t="s">
        <v>353</v>
      </c>
      <c r="D3454" t="s">
        <v>6792</v>
      </c>
      <c r="E3454" t="s">
        <v>6791</v>
      </c>
      <c r="F3454" s="46">
        <v>46097.325905335652</v>
      </c>
      <c r="G3454" s="46">
        <v>46097.325905335652</v>
      </c>
      <c r="H3454">
        <v>0</v>
      </c>
    </row>
    <row r="3455" spans="1:8" x14ac:dyDescent="0.15">
      <c r="A3455">
        <v>3454</v>
      </c>
      <c r="B3455" t="s">
        <v>339</v>
      </c>
      <c r="C3455" t="s">
        <v>353</v>
      </c>
      <c r="D3455" t="s">
        <v>6793</v>
      </c>
      <c r="E3455" t="s">
        <v>6791</v>
      </c>
      <c r="F3455" s="46">
        <v>46097.325905335652</v>
      </c>
      <c r="G3455" s="46">
        <v>46097.325905335652</v>
      </c>
      <c r="H3455">
        <v>0</v>
      </c>
    </row>
    <row r="3456" spans="1:8" x14ac:dyDescent="0.15">
      <c r="A3456">
        <v>3455</v>
      </c>
      <c r="B3456" t="s">
        <v>339</v>
      </c>
      <c r="C3456" t="s">
        <v>353</v>
      </c>
      <c r="D3456" t="s">
        <v>6794</v>
      </c>
      <c r="E3456" t="s">
        <v>6791</v>
      </c>
      <c r="F3456" s="46">
        <v>46097.325905335652</v>
      </c>
      <c r="G3456" s="46">
        <v>46097.325905335652</v>
      </c>
      <c r="H3456">
        <v>0</v>
      </c>
    </row>
    <row r="3457" spans="1:8" x14ac:dyDescent="0.15">
      <c r="A3457">
        <v>3456</v>
      </c>
      <c r="B3457" t="s">
        <v>339</v>
      </c>
      <c r="C3457" t="s">
        <v>353</v>
      </c>
      <c r="D3457" t="s">
        <v>6795</v>
      </c>
      <c r="E3457" t="s">
        <v>6791</v>
      </c>
      <c r="F3457" s="46">
        <v>46097.325905335652</v>
      </c>
      <c r="G3457" s="46">
        <v>46097.325905335652</v>
      </c>
      <c r="H3457">
        <v>0</v>
      </c>
    </row>
    <row r="3458" spans="1:8" x14ac:dyDescent="0.15">
      <c r="A3458">
        <v>3457</v>
      </c>
      <c r="B3458" t="s">
        <v>339</v>
      </c>
      <c r="C3458" t="s">
        <v>353</v>
      </c>
      <c r="D3458" t="s">
        <v>6796</v>
      </c>
      <c r="E3458" t="s">
        <v>6791</v>
      </c>
      <c r="F3458" s="46">
        <v>46097.325905335652</v>
      </c>
      <c r="G3458" s="46">
        <v>46097.325905520833</v>
      </c>
      <c r="H3458">
        <v>15</v>
      </c>
    </row>
    <row r="3459" spans="1:8" x14ac:dyDescent="0.15">
      <c r="A3459">
        <v>3458</v>
      </c>
      <c r="B3459" t="s">
        <v>339</v>
      </c>
      <c r="C3459" t="s">
        <v>353</v>
      </c>
      <c r="D3459" t="s">
        <v>6797</v>
      </c>
      <c r="E3459" t="s">
        <v>760</v>
      </c>
      <c r="F3459" s="46">
        <v>46097.325905520833</v>
      </c>
      <c r="G3459" s="46">
        <v>46097.325905520833</v>
      </c>
      <c r="H3459">
        <v>0</v>
      </c>
    </row>
    <row r="3460" spans="1:8" x14ac:dyDescent="0.15">
      <c r="A3460">
        <v>3459</v>
      </c>
      <c r="B3460" t="s">
        <v>339</v>
      </c>
      <c r="C3460" t="s">
        <v>353</v>
      </c>
      <c r="D3460" t="s">
        <v>6798</v>
      </c>
      <c r="E3460" t="s">
        <v>6799</v>
      </c>
      <c r="F3460" s="46">
        <v>46097.325905520833</v>
      </c>
      <c r="G3460" s="46">
        <v>46097.325905520833</v>
      </c>
      <c r="H3460">
        <v>0</v>
      </c>
    </row>
    <row r="3461" spans="1:8" x14ac:dyDescent="0.15">
      <c r="A3461">
        <v>3460</v>
      </c>
      <c r="B3461" t="s">
        <v>339</v>
      </c>
      <c r="C3461" t="s">
        <v>353</v>
      </c>
      <c r="D3461" t="s">
        <v>6800</v>
      </c>
      <c r="E3461" t="s">
        <v>6801</v>
      </c>
      <c r="F3461" s="46">
        <v>46097.325905520833</v>
      </c>
      <c r="G3461" s="46">
        <v>46097.325905520833</v>
      </c>
      <c r="H3461">
        <v>0</v>
      </c>
    </row>
    <row r="3462" spans="1:8" x14ac:dyDescent="0.15">
      <c r="A3462">
        <v>3461</v>
      </c>
      <c r="B3462" t="s">
        <v>339</v>
      </c>
      <c r="C3462" t="s">
        <v>353</v>
      </c>
      <c r="D3462" t="s">
        <v>6802</v>
      </c>
      <c r="E3462" t="s">
        <v>6803</v>
      </c>
      <c r="F3462" s="46">
        <v>46097.325905520833</v>
      </c>
      <c r="G3462" s="46">
        <v>46097.325905520833</v>
      </c>
      <c r="H3462">
        <v>0</v>
      </c>
    </row>
    <row r="3463" spans="1:8" x14ac:dyDescent="0.15">
      <c r="A3463">
        <v>3462</v>
      </c>
      <c r="B3463" t="s">
        <v>339</v>
      </c>
      <c r="C3463" t="s">
        <v>353</v>
      </c>
      <c r="D3463" t="s">
        <v>6804</v>
      </c>
      <c r="E3463" t="s">
        <v>6805</v>
      </c>
      <c r="F3463" s="46">
        <v>46097.325905520833</v>
      </c>
      <c r="G3463" s="46">
        <v>46097.325905520833</v>
      </c>
      <c r="H3463">
        <v>0</v>
      </c>
    </row>
    <row r="3464" spans="1:8" x14ac:dyDescent="0.15">
      <c r="A3464">
        <v>3463</v>
      </c>
      <c r="B3464" t="s">
        <v>339</v>
      </c>
      <c r="C3464" t="s">
        <v>353</v>
      </c>
      <c r="D3464" t="s">
        <v>6806</v>
      </c>
      <c r="E3464" t="s">
        <v>6805</v>
      </c>
      <c r="F3464" s="46">
        <v>46097.325905520833</v>
      </c>
      <c r="G3464" s="46">
        <v>46097.325905520833</v>
      </c>
      <c r="H3464">
        <v>0</v>
      </c>
    </row>
    <row r="3465" spans="1:8" x14ac:dyDescent="0.15">
      <c r="A3465">
        <v>3464</v>
      </c>
      <c r="B3465" t="s">
        <v>339</v>
      </c>
      <c r="C3465" t="s">
        <v>353</v>
      </c>
      <c r="D3465" t="s">
        <v>6807</v>
      </c>
      <c r="E3465" t="s">
        <v>6805</v>
      </c>
      <c r="F3465" s="46">
        <v>46097.325905520833</v>
      </c>
      <c r="G3465" s="46">
        <v>46097.325905520833</v>
      </c>
      <c r="H3465">
        <v>0</v>
      </c>
    </row>
    <row r="3466" spans="1:8" x14ac:dyDescent="0.15">
      <c r="A3466">
        <v>3465</v>
      </c>
      <c r="B3466" t="s">
        <v>339</v>
      </c>
      <c r="C3466" t="s">
        <v>353</v>
      </c>
      <c r="D3466" t="s">
        <v>6808</v>
      </c>
      <c r="E3466" t="s">
        <v>6805</v>
      </c>
      <c r="F3466" s="46">
        <v>46097.325905520833</v>
      </c>
      <c r="G3466" s="46">
        <v>46097.325905520833</v>
      </c>
      <c r="H3466">
        <v>0</v>
      </c>
    </row>
    <row r="3467" spans="1:8" x14ac:dyDescent="0.15">
      <c r="A3467">
        <v>3466</v>
      </c>
      <c r="B3467" t="s">
        <v>339</v>
      </c>
      <c r="C3467" t="s">
        <v>353</v>
      </c>
      <c r="D3467" t="s">
        <v>6809</v>
      </c>
      <c r="E3467" t="s">
        <v>6805</v>
      </c>
      <c r="F3467" s="46">
        <v>46097.325905520833</v>
      </c>
      <c r="G3467" s="46">
        <v>46097.325905520833</v>
      </c>
      <c r="H3467">
        <v>0</v>
      </c>
    </row>
    <row r="3468" spans="1:8" x14ac:dyDescent="0.15">
      <c r="A3468">
        <v>3467</v>
      </c>
      <c r="B3468" t="s">
        <v>339</v>
      </c>
      <c r="C3468" t="s">
        <v>353</v>
      </c>
      <c r="D3468" t="s">
        <v>6810</v>
      </c>
      <c r="E3468" t="s">
        <v>6805</v>
      </c>
      <c r="F3468" s="46">
        <v>46097.325905520833</v>
      </c>
      <c r="G3468" s="46">
        <v>46097.32590570602</v>
      </c>
      <c r="H3468">
        <v>16</v>
      </c>
    </row>
    <row r="3469" spans="1:8" x14ac:dyDescent="0.15">
      <c r="A3469">
        <v>3468</v>
      </c>
      <c r="B3469" t="s">
        <v>339</v>
      </c>
      <c r="C3469" t="s">
        <v>353</v>
      </c>
      <c r="D3469" t="s">
        <v>6811</v>
      </c>
      <c r="E3469" t="s">
        <v>6805</v>
      </c>
      <c r="F3469" s="46">
        <v>46097.32590570602</v>
      </c>
      <c r="G3469" s="46">
        <v>46097.32590570602</v>
      </c>
      <c r="H3469">
        <v>0</v>
      </c>
    </row>
    <row r="3470" spans="1:8" x14ac:dyDescent="0.15">
      <c r="A3470">
        <v>3469</v>
      </c>
      <c r="B3470" t="s">
        <v>339</v>
      </c>
      <c r="C3470" t="s">
        <v>353</v>
      </c>
      <c r="D3470" t="s">
        <v>6812</v>
      </c>
      <c r="E3470" t="s">
        <v>6805</v>
      </c>
      <c r="F3470" s="46">
        <v>46097.32590570602</v>
      </c>
      <c r="G3470" s="46">
        <v>46097.32590570602</v>
      </c>
      <c r="H3470">
        <v>0</v>
      </c>
    </row>
    <row r="3471" spans="1:8" x14ac:dyDescent="0.15">
      <c r="A3471">
        <v>3470</v>
      </c>
      <c r="B3471" t="s">
        <v>339</v>
      </c>
      <c r="C3471" t="s">
        <v>353</v>
      </c>
      <c r="D3471" t="s">
        <v>6813</v>
      </c>
      <c r="E3471" t="s">
        <v>6805</v>
      </c>
      <c r="F3471" s="46">
        <v>46097.32590570602</v>
      </c>
      <c r="G3471" s="46">
        <v>46097.32590570602</v>
      </c>
      <c r="H3471">
        <v>0</v>
      </c>
    </row>
    <row r="3472" spans="1:8" x14ac:dyDescent="0.15">
      <c r="A3472">
        <v>3471</v>
      </c>
      <c r="B3472" t="s">
        <v>339</v>
      </c>
      <c r="C3472" t="s">
        <v>353</v>
      </c>
      <c r="D3472" t="s">
        <v>6814</v>
      </c>
      <c r="E3472" t="s">
        <v>6805</v>
      </c>
      <c r="F3472" s="46">
        <v>46097.32590570602</v>
      </c>
      <c r="G3472" s="46">
        <v>46097.32590570602</v>
      </c>
      <c r="H3472">
        <v>0</v>
      </c>
    </row>
    <row r="3473" spans="1:8" x14ac:dyDescent="0.15">
      <c r="A3473">
        <v>3472</v>
      </c>
      <c r="B3473" t="s">
        <v>339</v>
      </c>
      <c r="C3473" t="s">
        <v>353</v>
      </c>
      <c r="D3473" t="s">
        <v>6815</v>
      </c>
      <c r="E3473" t="s">
        <v>6805</v>
      </c>
      <c r="F3473" s="46">
        <v>46097.32590570602</v>
      </c>
      <c r="G3473" s="46">
        <v>46097.32590570602</v>
      </c>
      <c r="H3473">
        <v>0</v>
      </c>
    </row>
    <row r="3474" spans="1:8" x14ac:dyDescent="0.15">
      <c r="A3474">
        <v>3473</v>
      </c>
      <c r="B3474" t="s">
        <v>339</v>
      </c>
      <c r="C3474" t="s">
        <v>353</v>
      </c>
      <c r="D3474" t="s">
        <v>6816</v>
      </c>
      <c r="E3474" t="s">
        <v>6817</v>
      </c>
      <c r="F3474" s="46">
        <v>46097.32590570602</v>
      </c>
      <c r="G3474" s="46">
        <v>46097.32590570602</v>
      </c>
      <c r="H3474">
        <v>0</v>
      </c>
    </row>
    <row r="3475" spans="1:8" x14ac:dyDescent="0.15">
      <c r="A3475">
        <v>3474</v>
      </c>
      <c r="B3475" t="s">
        <v>339</v>
      </c>
      <c r="C3475" t="s">
        <v>353</v>
      </c>
      <c r="D3475" t="s">
        <v>6818</v>
      </c>
      <c r="E3475" t="s">
        <v>761</v>
      </c>
      <c r="F3475" s="46">
        <v>46097.32590570602</v>
      </c>
      <c r="G3475" s="46">
        <v>46097.32590570602</v>
      </c>
      <c r="H3475">
        <v>0</v>
      </c>
    </row>
    <row r="3476" spans="1:8" x14ac:dyDescent="0.15">
      <c r="A3476">
        <v>3475</v>
      </c>
      <c r="B3476" t="s">
        <v>339</v>
      </c>
      <c r="C3476" t="s">
        <v>353</v>
      </c>
      <c r="D3476" t="s">
        <v>6819</v>
      </c>
      <c r="E3476" t="s">
        <v>761</v>
      </c>
      <c r="F3476" s="46">
        <v>46097.32590570602</v>
      </c>
      <c r="G3476" s="46">
        <v>46097.32590570602</v>
      </c>
      <c r="H3476">
        <v>0</v>
      </c>
    </row>
    <row r="3477" spans="1:8" x14ac:dyDescent="0.15">
      <c r="A3477">
        <v>3476</v>
      </c>
      <c r="B3477" t="s">
        <v>339</v>
      </c>
      <c r="C3477" t="s">
        <v>353</v>
      </c>
      <c r="D3477" t="s">
        <v>6820</v>
      </c>
      <c r="E3477" t="s">
        <v>761</v>
      </c>
      <c r="F3477" s="46">
        <v>46097.32590570602</v>
      </c>
      <c r="G3477" s="46">
        <v>46097.32590570602</v>
      </c>
      <c r="H3477">
        <v>0</v>
      </c>
    </row>
    <row r="3478" spans="1:8" x14ac:dyDescent="0.15">
      <c r="A3478">
        <v>3477</v>
      </c>
      <c r="B3478" t="s">
        <v>339</v>
      </c>
      <c r="C3478" t="s">
        <v>353</v>
      </c>
      <c r="D3478" t="s">
        <v>6821</v>
      </c>
      <c r="E3478" t="s">
        <v>761</v>
      </c>
      <c r="F3478" s="46">
        <v>46097.32590570602</v>
      </c>
      <c r="G3478" s="46">
        <v>46097.32590570602</v>
      </c>
      <c r="H3478">
        <v>0</v>
      </c>
    </row>
    <row r="3479" spans="1:8" x14ac:dyDescent="0.15">
      <c r="A3479">
        <v>3478</v>
      </c>
      <c r="B3479" t="s">
        <v>339</v>
      </c>
      <c r="C3479" t="s">
        <v>353</v>
      </c>
      <c r="D3479" t="s">
        <v>6822</v>
      </c>
      <c r="E3479" t="s">
        <v>761</v>
      </c>
      <c r="F3479" s="46">
        <v>46097.32590570602</v>
      </c>
      <c r="G3479" s="46">
        <v>46097.325905879632</v>
      </c>
      <c r="H3479">
        <v>16</v>
      </c>
    </row>
    <row r="3480" spans="1:8" x14ac:dyDescent="0.15">
      <c r="A3480">
        <v>3479</v>
      </c>
      <c r="B3480" t="s">
        <v>339</v>
      </c>
      <c r="C3480" t="s">
        <v>353</v>
      </c>
      <c r="D3480" t="s">
        <v>6823</v>
      </c>
      <c r="E3480" t="s">
        <v>761</v>
      </c>
      <c r="F3480" s="46">
        <v>46097.325905879632</v>
      </c>
      <c r="G3480" s="46">
        <v>46097.325905879632</v>
      </c>
      <c r="H3480">
        <v>0</v>
      </c>
    </row>
    <row r="3481" spans="1:8" x14ac:dyDescent="0.15">
      <c r="A3481">
        <v>3480</v>
      </c>
      <c r="B3481" t="s">
        <v>339</v>
      </c>
      <c r="C3481" t="s">
        <v>353</v>
      </c>
      <c r="D3481" t="s">
        <v>6824</v>
      </c>
      <c r="E3481" t="s">
        <v>761</v>
      </c>
      <c r="F3481" s="46">
        <v>46097.325905879632</v>
      </c>
      <c r="G3481" s="46">
        <v>46097.325905879632</v>
      </c>
      <c r="H3481">
        <v>0</v>
      </c>
    </row>
    <row r="3482" spans="1:8" x14ac:dyDescent="0.15">
      <c r="A3482">
        <v>3481</v>
      </c>
      <c r="B3482" t="s">
        <v>339</v>
      </c>
      <c r="C3482" t="s">
        <v>353</v>
      </c>
      <c r="D3482" t="s">
        <v>6825</v>
      </c>
      <c r="E3482" t="s">
        <v>761</v>
      </c>
      <c r="F3482" s="46">
        <v>46097.325905879632</v>
      </c>
      <c r="G3482" s="46">
        <v>46097.325905879632</v>
      </c>
      <c r="H3482">
        <v>0</v>
      </c>
    </row>
    <row r="3483" spans="1:8" x14ac:dyDescent="0.15">
      <c r="A3483">
        <v>3482</v>
      </c>
      <c r="B3483" t="s">
        <v>339</v>
      </c>
      <c r="C3483" t="s">
        <v>353</v>
      </c>
      <c r="D3483" t="s">
        <v>6826</v>
      </c>
      <c r="E3483" t="s">
        <v>761</v>
      </c>
      <c r="F3483" s="46">
        <v>46097.325905879632</v>
      </c>
      <c r="G3483" s="46">
        <v>46097.325905879632</v>
      </c>
      <c r="H3483">
        <v>0</v>
      </c>
    </row>
    <row r="3484" spans="1:8" x14ac:dyDescent="0.15">
      <c r="A3484">
        <v>3483</v>
      </c>
      <c r="B3484" t="s">
        <v>339</v>
      </c>
      <c r="C3484" t="s">
        <v>353</v>
      </c>
      <c r="D3484" t="s">
        <v>6827</v>
      </c>
      <c r="E3484" t="s">
        <v>6828</v>
      </c>
      <c r="F3484" s="46">
        <v>46097.325905879632</v>
      </c>
      <c r="G3484" s="46">
        <v>46097.325905879632</v>
      </c>
      <c r="H3484">
        <v>0</v>
      </c>
    </row>
    <row r="3485" spans="1:8" x14ac:dyDescent="0.15">
      <c r="A3485">
        <v>3484</v>
      </c>
      <c r="B3485" t="s">
        <v>339</v>
      </c>
      <c r="C3485" t="s">
        <v>353</v>
      </c>
      <c r="D3485" t="s">
        <v>6829</v>
      </c>
      <c r="E3485" t="s">
        <v>6828</v>
      </c>
      <c r="F3485" s="46">
        <v>46097.325905879632</v>
      </c>
      <c r="G3485" s="46">
        <v>46097.325905879632</v>
      </c>
      <c r="H3485">
        <v>0</v>
      </c>
    </row>
    <row r="3486" spans="1:8" x14ac:dyDescent="0.15">
      <c r="A3486">
        <v>3485</v>
      </c>
      <c r="B3486" t="s">
        <v>339</v>
      </c>
      <c r="C3486" t="s">
        <v>353</v>
      </c>
      <c r="D3486" t="s">
        <v>6830</v>
      </c>
      <c r="E3486" t="s">
        <v>6831</v>
      </c>
      <c r="F3486" s="46">
        <v>46097.325905879632</v>
      </c>
      <c r="G3486" s="46">
        <v>46097.325905879632</v>
      </c>
      <c r="H3486">
        <v>0</v>
      </c>
    </row>
    <row r="3487" spans="1:8" x14ac:dyDescent="0.15">
      <c r="A3487">
        <v>3486</v>
      </c>
      <c r="B3487" t="s">
        <v>339</v>
      </c>
      <c r="C3487" t="s">
        <v>353</v>
      </c>
      <c r="D3487" t="s">
        <v>6832</v>
      </c>
      <c r="E3487" t="s">
        <v>6831</v>
      </c>
      <c r="F3487" s="46">
        <v>46097.325905879632</v>
      </c>
      <c r="G3487" s="46">
        <v>46097.325905879632</v>
      </c>
      <c r="H3487">
        <v>0</v>
      </c>
    </row>
    <row r="3488" spans="1:8" x14ac:dyDescent="0.15">
      <c r="A3488">
        <v>3487</v>
      </c>
      <c r="B3488" t="s">
        <v>339</v>
      </c>
      <c r="C3488" t="s">
        <v>353</v>
      </c>
      <c r="D3488" t="s">
        <v>6833</v>
      </c>
      <c r="E3488" t="s">
        <v>6831</v>
      </c>
      <c r="F3488" s="46">
        <v>46097.325905879632</v>
      </c>
      <c r="G3488" s="46">
        <v>46097.325905879632</v>
      </c>
      <c r="H3488">
        <v>0</v>
      </c>
    </row>
    <row r="3489" spans="1:8" x14ac:dyDescent="0.15">
      <c r="A3489">
        <v>3488</v>
      </c>
      <c r="B3489" t="s">
        <v>339</v>
      </c>
      <c r="C3489" t="s">
        <v>353</v>
      </c>
      <c r="D3489" t="s">
        <v>6834</v>
      </c>
      <c r="E3489" t="s">
        <v>6831</v>
      </c>
      <c r="F3489" s="46">
        <v>46097.325905879632</v>
      </c>
      <c r="G3489" s="46">
        <v>46097.325905879632</v>
      </c>
      <c r="H3489">
        <v>0</v>
      </c>
    </row>
    <row r="3490" spans="1:8" x14ac:dyDescent="0.15">
      <c r="A3490">
        <v>3489</v>
      </c>
      <c r="B3490" t="s">
        <v>339</v>
      </c>
      <c r="C3490" t="s">
        <v>353</v>
      </c>
      <c r="D3490" t="s">
        <v>6835</v>
      </c>
      <c r="E3490" t="s">
        <v>6836</v>
      </c>
      <c r="F3490" s="46">
        <v>46097.325906064812</v>
      </c>
      <c r="G3490" s="46">
        <v>46097.325906064812</v>
      </c>
      <c r="H3490">
        <v>0</v>
      </c>
    </row>
    <row r="3491" spans="1:8" x14ac:dyDescent="0.15">
      <c r="A3491">
        <v>3490</v>
      </c>
      <c r="B3491" t="s">
        <v>339</v>
      </c>
      <c r="C3491" t="s">
        <v>353</v>
      </c>
      <c r="D3491" t="s">
        <v>6837</v>
      </c>
      <c r="E3491" t="s">
        <v>6836</v>
      </c>
      <c r="F3491" s="46">
        <v>46097.325906064812</v>
      </c>
      <c r="G3491" s="46">
        <v>46097.325906064812</v>
      </c>
      <c r="H3491">
        <v>0</v>
      </c>
    </row>
    <row r="3492" spans="1:8" x14ac:dyDescent="0.15">
      <c r="A3492">
        <v>3491</v>
      </c>
      <c r="B3492" t="s">
        <v>339</v>
      </c>
      <c r="C3492" t="s">
        <v>353</v>
      </c>
      <c r="D3492" t="s">
        <v>6838</v>
      </c>
      <c r="E3492" t="s">
        <v>6836</v>
      </c>
      <c r="F3492" s="46">
        <v>46097.325906064812</v>
      </c>
      <c r="G3492" s="46">
        <v>46097.325906064812</v>
      </c>
      <c r="H3492">
        <v>0</v>
      </c>
    </row>
    <row r="3493" spans="1:8" x14ac:dyDescent="0.15">
      <c r="A3493">
        <v>3492</v>
      </c>
      <c r="B3493" t="s">
        <v>339</v>
      </c>
      <c r="C3493" t="s">
        <v>353</v>
      </c>
      <c r="D3493" t="s">
        <v>6839</v>
      </c>
      <c r="E3493" t="s">
        <v>6836</v>
      </c>
      <c r="F3493" s="46">
        <v>46097.325906064812</v>
      </c>
      <c r="G3493" s="46">
        <v>46097.325906064812</v>
      </c>
      <c r="H3493">
        <v>0</v>
      </c>
    </row>
    <row r="3494" spans="1:8" x14ac:dyDescent="0.15">
      <c r="A3494">
        <v>3493</v>
      </c>
      <c r="B3494" t="s">
        <v>339</v>
      </c>
      <c r="C3494" t="s">
        <v>353</v>
      </c>
      <c r="D3494" t="s">
        <v>6840</v>
      </c>
      <c r="E3494" t="s">
        <v>6841</v>
      </c>
      <c r="F3494" s="46">
        <v>46097.325906064812</v>
      </c>
      <c r="G3494" s="46">
        <v>46097.325906064812</v>
      </c>
      <c r="H3494">
        <v>0</v>
      </c>
    </row>
    <row r="3495" spans="1:8" x14ac:dyDescent="0.15">
      <c r="A3495">
        <v>3494</v>
      </c>
      <c r="B3495" t="s">
        <v>339</v>
      </c>
      <c r="C3495" t="s">
        <v>353</v>
      </c>
      <c r="D3495" t="s">
        <v>6842</v>
      </c>
      <c r="E3495" t="s">
        <v>6843</v>
      </c>
      <c r="F3495" s="46">
        <v>46097.325906064812</v>
      </c>
      <c r="G3495" s="46">
        <v>46097.325906064812</v>
      </c>
      <c r="H3495">
        <v>0</v>
      </c>
    </row>
    <row r="3496" spans="1:8" x14ac:dyDescent="0.15">
      <c r="A3496">
        <v>3495</v>
      </c>
      <c r="B3496" t="s">
        <v>339</v>
      </c>
      <c r="C3496" t="s">
        <v>353</v>
      </c>
      <c r="D3496" t="s">
        <v>6844</v>
      </c>
      <c r="E3496" t="s">
        <v>6843</v>
      </c>
      <c r="F3496" s="46">
        <v>46097.325906064812</v>
      </c>
      <c r="G3496" s="46">
        <v>46097.325906064812</v>
      </c>
      <c r="H3496">
        <v>0</v>
      </c>
    </row>
    <row r="3497" spans="1:8" x14ac:dyDescent="0.15">
      <c r="A3497">
        <v>3496</v>
      </c>
      <c r="B3497" t="s">
        <v>339</v>
      </c>
      <c r="C3497" t="s">
        <v>353</v>
      </c>
      <c r="D3497" t="s">
        <v>6845</v>
      </c>
      <c r="E3497" t="s">
        <v>6843</v>
      </c>
      <c r="F3497" s="46">
        <v>46097.325906064812</v>
      </c>
      <c r="G3497" s="46">
        <v>46097.325906064812</v>
      </c>
      <c r="H3497">
        <v>0</v>
      </c>
    </row>
    <row r="3498" spans="1:8" x14ac:dyDescent="0.15">
      <c r="A3498">
        <v>3497</v>
      </c>
      <c r="B3498" t="s">
        <v>339</v>
      </c>
      <c r="C3498" t="s">
        <v>353</v>
      </c>
      <c r="D3498" t="s">
        <v>6846</v>
      </c>
      <c r="E3498" t="s">
        <v>6847</v>
      </c>
      <c r="F3498" s="46">
        <v>46097.325906064812</v>
      </c>
      <c r="G3498" s="46">
        <v>46097.325906064812</v>
      </c>
      <c r="H3498">
        <v>0</v>
      </c>
    </row>
    <row r="3499" spans="1:8" x14ac:dyDescent="0.15">
      <c r="A3499">
        <v>3498</v>
      </c>
      <c r="B3499" t="s">
        <v>339</v>
      </c>
      <c r="C3499" t="s">
        <v>353</v>
      </c>
      <c r="D3499" t="s">
        <v>6848</v>
      </c>
      <c r="E3499" t="s">
        <v>6847</v>
      </c>
      <c r="F3499" s="46">
        <v>46097.325906064812</v>
      </c>
      <c r="G3499" s="46">
        <v>46097.325906064812</v>
      </c>
      <c r="H3499">
        <v>0</v>
      </c>
    </row>
    <row r="3500" spans="1:8" x14ac:dyDescent="0.15">
      <c r="A3500">
        <v>3499</v>
      </c>
      <c r="B3500" t="s">
        <v>339</v>
      </c>
      <c r="C3500" t="s">
        <v>353</v>
      </c>
      <c r="D3500" t="s">
        <v>6849</v>
      </c>
      <c r="E3500" t="s">
        <v>6850</v>
      </c>
      <c r="F3500" s="46">
        <v>46097.325906064812</v>
      </c>
      <c r="G3500" s="46">
        <v>46097.325906238417</v>
      </c>
      <c r="H3500">
        <v>16</v>
      </c>
    </row>
    <row r="3501" spans="1:8" x14ac:dyDescent="0.15">
      <c r="A3501">
        <v>3500</v>
      </c>
      <c r="B3501" t="s">
        <v>339</v>
      </c>
      <c r="C3501" t="s">
        <v>353</v>
      </c>
      <c r="D3501" t="s">
        <v>6851</v>
      </c>
      <c r="E3501" t="s">
        <v>6850</v>
      </c>
      <c r="F3501" s="46">
        <v>46097.325906238417</v>
      </c>
      <c r="G3501" s="46">
        <v>46097.325906238417</v>
      </c>
      <c r="H3501">
        <v>0</v>
      </c>
    </row>
    <row r="3502" spans="1:8" x14ac:dyDescent="0.15">
      <c r="A3502">
        <v>3501</v>
      </c>
      <c r="B3502" t="s">
        <v>339</v>
      </c>
      <c r="C3502" t="s">
        <v>353</v>
      </c>
      <c r="D3502" t="s">
        <v>6852</v>
      </c>
      <c r="E3502" t="s">
        <v>6850</v>
      </c>
      <c r="F3502" s="46">
        <v>46097.325906238417</v>
      </c>
      <c r="G3502" s="46">
        <v>46097.325906238417</v>
      </c>
      <c r="H3502">
        <v>0</v>
      </c>
    </row>
    <row r="3503" spans="1:8" x14ac:dyDescent="0.15">
      <c r="A3503">
        <v>3502</v>
      </c>
      <c r="B3503" t="s">
        <v>339</v>
      </c>
      <c r="C3503" t="s">
        <v>353</v>
      </c>
      <c r="D3503" t="s">
        <v>6853</v>
      </c>
      <c r="E3503" t="s">
        <v>6850</v>
      </c>
      <c r="F3503" s="46">
        <v>46097.325906238417</v>
      </c>
      <c r="G3503" s="46">
        <v>46097.325906238417</v>
      </c>
      <c r="H3503">
        <v>0</v>
      </c>
    </row>
    <row r="3504" spans="1:8" x14ac:dyDescent="0.15">
      <c r="A3504">
        <v>3503</v>
      </c>
      <c r="B3504" t="s">
        <v>339</v>
      </c>
      <c r="C3504" t="s">
        <v>353</v>
      </c>
      <c r="D3504" t="s">
        <v>6854</v>
      </c>
      <c r="E3504" t="s">
        <v>6850</v>
      </c>
      <c r="F3504" s="46">
        <v>46097.325906238417</v>
      </c>
      <c r="G3504" s="46">
        <v>46097.325906238417</v>
      </c>
      <c r="H3504">
        <v>0</v>
      </c>
    </row>
    <row r="3505" spans="1:8" x14ac:dyDescent="0.15">
      <c r="A3505">
        <v>3504</v>
      </c>
      <c r="B3505" t="s">
        <v>339</v>
      </c>
      <c r="C3505" t="s">
        <v>353</v>
      </c>
      <c r="D3505" t="s">
        <v>6855</v>
      </c>
      <c r="E3505" t="s">
        <v>6850</v>
      </c>
      <c r="F3505" s="46">
        <v>46097.325906238417</v>
      </c>
      <c r="G3505" s="46">
        <v>46097.325906238417</v>
      </c>
      <c r="H3505">
        <v>0</v>
      </c>
    </row>
    <row r="3506" spans="1:8" x14ac:dyDescent="0.15">
      <c r="A3506">
        <v>3505</v>
      </c>
      <c r="B3506" t="s">
        <v>339</v>
      </c>
      <c r="C3506" t="s">
        <v>353</v>
      </c>
      <c r="D3506" t="s">
        <v>6856</v>
      </c>
      <c r="E3506" t="s">
        <v>6850</v>
      </c>
      <c r="F3506" s="46">
        <v>46097.325906238417</v>
      </c>
      <c r="G3506" s="46">
        <v>46097.325906238417</v>
      </c>
      <c r="H3506">
        <v>0</v>
      </c>
    </row>
    <row r="3507" spans="1:8" x14ac:dyDescent="0.15">
      <c r="A3507">
        <v>3506</v>
      </c>
      <c r="B3507" t="s">
        <v>339</v>
      </c>
      <c r="C3507" t="s">
        <v>353</v>
      </c>
      <c r="D3507" t="s">
        <v>6857</v>
      </c>
      <c r="E3507" t="s">
        <v>6850</v>
      </c>
      <c r="F3507" s="46">
        <v>46097.325906238417</v>
      </c>
      <c r="G3507" s="46">
        <v>46097.325906238417</v>
      </c>
      <c r="H3507">
        <v>0</v>
      </c>
    </row>
    <row r="3508" spans="1:8" x14ac:dyDescent="0.15">
      <c r="A3508">
        <v>3507</v>
      </c>
      <c r="B3508" t="s">
        <v>339</v>
      </c>
      <c r="C3508" t="s">
        <v>353</v>
      </c>
      <c r="D3508" t="s">
        <v>6858</v>
      </c>
      <c r="E3508" t="s">
        <v>6850</v>
      </c>
      <c r="F3508" s="46">
        <v>46097.325906238417</v>
      </c>
      <c r="G3508" s="46">
        <v>46097.325906238417</v>
      </c>
      <c r="H3508">
        <v>0</v>
      </c>
    </row>
    <row r="3509" spans="1:8" x14ac:dyDescent="0.15">
      <c r="A3509">
        <v>3508</v>
      </c>
      <c r="B3509" t="s">
        <v>339</v>
      </c>
      <c r="C3509" t="s">
        <v>353</v>
      </c>
      <c r="D3509" t="s">
        <v>6859</v>
      </c>
      <c r="E3509" t="s">
        <v>6850</v>
      </c>
      <c r="F3509" s="46">
        <v>46097.325906238417</v>
      </c>
      <c r="G3509" s="46">
        <v>46097.325906238417</v>
      </c>
      <c r="H3509">
        <v>0</v>
      </c>
    </row>
    <row r="3510" spans="1:8" x14ac:dyDescent="0.15">
      <c r="A3510">
        <v>3509</v>
      </c>
      <c r="B3510" t="s">
        <v>339</v>
      </c>
      <c r="C3510" t="s">
        <v>353</v>
      </c>
      <c r="D3510" t="s">
        <v>6860</v>
      </c>
      <c r="E3510" t="s">
        <v>6850</v>
      </c>
      <c r="F3510" s="46">
        <v>46097.325906238417</v>
      </c>
      <c r="G3510" s="46">
        <v>46097.325906423612</v>
      </c>
      <c r="H3510">
        <v>16</v>
      </c>
    </row>
    <row r="3511" spans="1:8" x14ac:dyDescent="0.15">
      <c r="A3511">
        <v>3510</v>
      </c>
      <c r="B3511" t="s">
        <v>339</v>
      </c>
      <c r="C3511" t="s">
        <v>353</v>
      </c>
      <c r="D3511" t="s">
        <v>6861</v>
      </c>
      <c r="E3511" t="s">
        <v>6850</v>
      </c>
      <c r="F3511" s="46">
        <v>46097.325906423612</v>
      </c>
      <c r="G3511" s="46">
        <v>46097.325906423612</v>
      </c>
      <c r="H3511">
        <v>0</v>
      </c>
    </row>
    <row r="3512" spans="1:8" x14ac:dyDescent="0.15">
      <c r="A3512">
        <v>3511</v>
      </c>
      <c r="B3512" t="s">
        <v>339</v>
      </c>
      <c r="C3512" t="s">
        <v>353</v>
      </c>
      <c r="D3512" t="s">
        <v>6862</v>
      </c>
      <c r="E3512" t="s">
        <v>6850</v>
      </c>
      <c r="F3512" s="46">
        <v>46097.325906423612</v>
      </c>
      <c r="G3512" s="46">
        <v>46097.325906423612</v>
      </c>
      <c r="H3512">
        <v>0</v>
      </c>
    </row>
    <row r="3513" spans="1:8" x14ac:dyDescent="0.15">
      <c r="A3513">
        <v>3512</v>
      </c>
      <c r="B3513" t="s">
        <v>339</v>
      </c>
      <c r="C3513" t="s">
        <v>353</v>
      </c>
      <c r="D3513" t="s">
        <v>6863</v>
      </c>
      <c r="E3513" t="s">
        <v>6850</v>
      </c>
      <c r="F3513" s="46">
        <v>46097.325906423612</v>
      </c>
      <c r="G3513" s="46">
        <v>46097.325906423612</v>
      </c>
      <c r="H3513">
        <v>0</v>
      </c>
    </row>
    <row r="3514" spans="1:8" x14ac:dyDescent="0.15">
      <c r="A3514">
        <v>3513</v>
      </c>
      <c r="B3514" t="s">
        <v>339</v>
      </c>
      <c r="C3514" t="s">
        <v>353</v>
      </c>
      <c r="D3514" t="s">
        <v>6864</v>
      </c>
      <c r="E3514" t="s">
        <v>6850</v>
      </c>
      <c r="F3514" s="46">
        <v>46097.325906423612</v>
      </c>
      <c r="G3514" s="46">
        <v>46097.325906423612</v>
      </c>
      <c r="H3514">
        <v>0</v>
      </c>
    </row>
    <row r="3515" spans="1:8" x14ac:dyDescent="0.15">
      <c r="A3515">
        <v>3514</v>
      </c>
      <c r="B3515" t="s">
        <v>339</v>
      </c>
      <c r="C3515" t="s">
        <v>353</v>
      </c>
      <c r="D3515" t="s">
        <v>6865</v>
      </c>
      <c r="E3515" t="s">
        <v>6850</v>
      </c>
      <c r="F3515" s="46">
        <v>46097.325906423612</v>
      </c>
      <c r="G3515" s="46">
        <v>46097.325906423612</v>
      </c>
      <c r="H3515">
        <v>0</v>
      </c>
    </row>
    <row r="3516" spans="1:8" x14ac:dyDescent="0.15">
      <c r="A3516">
        <v>3515</v>
      </c>
      <c r="B3516" t="s">
        <v>339</v>
      </c>
      <c r="C3516" t="s">
        <v>353</v>
      </c>
      <c r="D3516" t="s">
        <v>6866</v>
      </c>
      <c r="E3516" t="s">
        <v>6850</v>
      </c>
      <c r="F3516" s="46">
        <v>46097.325906423612</v>
      </c>
      <c r="G3516" s="46">
        <v>46097.325906423612</v>
      </c>
      <c r="H3516">
        <v>0</v>
      </c>
    </row>
    <row r="3517" spans="1:8" x14ac:dyDescent="0.15">
      <c r="A3517">
        <v>3516</v>
      </c>
      <c r="B3517" t="s">
        <v>339</v>
      </c>
      <c r="C3517" t="s">
        <v>353</v>
      </c>
      <c r="D3517" t="s">
        <v>6867</v>
      </c>
      <c r="E3517" t="s">
        <v>6850</v>
      </c>
      <c r="F3517" s="46">
        <v>46097.325906423612</v>
      </c>
      <c r="G3517" s="46">
        <v>46097.325906423612</v>
      </c>
      <c r="H3517">
        <v>0</v>
      </c>
    </row>
    <row r="3518" spans="1:8" x14ac:dyDescent="0.15">
      <c r="A3518">
        <v>3517</v>
      </c>
      <c r="B3518" t="s">
        <v>339</v>
      </c>
      <c r="C3518" t="s">
        <v>353</v>
      </c>
      <c r="D3518" t="s">
        <v>6868</v>
      </c>
      <c r="E3518" t="s">
        <v>6869</v>
      </c>
      <c r="F3518" s="46">
        <v>46097.325906423612</v>
      </c>
      <c r="G3518" s="46">
        <v>46097.325906423612</v>
      </c>
      <c r="H3518">
        <v>0</v>
      </c>
    </row>
    <row r="3519" spans="1:8" x14ac:dyDescent="0.15">
      <c r="A3519">
        <v>3518</v>
      </c>
      <c r="B3519" t="s">
        <v>339</v>
      </c>
      <c r="C3519" t="s">
        <v>353</v>
      </c>
      <c r="D3519" t="s">
        <v>6870</v>
      </c>
      <c r="E3519" t="s">
        <v>6869</v>
      </c>
      <c r="F3519" s="46">
        <v>46097.325906423612</v>
      </c>
      <c r="G3519" s="46">
        <v>46097.325906423612</v>
      </c>
      <c r="H3519">
        <v>0</v>
      </c>
    </row>
    <row r="3520" spans="1:8" x14ac:dyDescent="0.15">
      <c r="A3520">
        <v>3519</v>
      </c>
      <c r="B3520" t="s">
        <v>339</v>
      </c>
      <c r="C3520" t="s">
        <v>353</v>
      </c>
      <c r="D3520" t="s">
        <v>6871</v>
      </c>
      <c r="E3520" t="s">
        <v>6872</v>
      </c>
      <c r="F3520" s="46">
        <v>46097.325906423612</v>
      </c>
      <c r="G3520" s="46">
        <v>46097.325906423612</v>
      </c>
      <c r="H3520">
        <v>0</v>
      </c>
    </row>
    <row r="3521" spans="1:8" x14ac:dyDescent="0.15">
      <c r="A3521">
        <v>3520</v>
      </c>
      <c r="B3521" t="s">
        <v>339</v>
      </c>
      <c r="C3521" t="s">
        <v>353</v>
      </c>
      <c r="D3521" t="s">
        <v>6873</v>
      </c>
      <c r="E3521" t="s">
        <v>6874</v>
      </c>
      <c r="F3521" s="46">
        <v>46097.325906423612</v>
      </c>
      <c r="G3521" s="46">
        <v>46097.325906608799</v>
      </c>
      <c r="H3521">
        <v>15</v>
      </c>
    </row>
    <row r="3522" spans="1:8" x14ac:dyDescent="0.15">
      <c r="A3522">
        <v>3521</v>
      </c>
      <c r="B3522" t="s">
        <v>339</v>
      </c>
      <c r="C3522" t="s">
        <v>353</v>
      </c>
      <c r="D3522" t="s">
        <v>6875</v>
      </c>
      <c r="E3522" t="s">
        <v>6876</v>
      </c>
      <c r="F3522" s="46">
        <v>46097.325906608799</v>
      </c>
      <c r="G3522" s="46">
        <v>46097.325906608799</v>
      </c>
      <c r="H3522">
        <v>0</v>
      </c>
    </row>
    <row r="3523" spans="1:8" x14ac:dyDescent="0.15">
      <c r="A3523">
        <v>3522</v>
      </c>
      <c r="B3523" t="s">
        <v>339</v>
      </c>
      <c r="C3523" t="s">
        <v>353</v>
      </c>
      <c r="D3523" t="s">
        <v>6877</v>
      </c>
      <c r="E3523" t="s">
        <v>6876</v>
      </c>
      <c r="F3523" s="46">
        <v>46097.325906608799</v>
      </c>
      <c r="G3523" s="46">
        <v>46097.325906608799</v>
      </c>
      <c r="H3523">
        <v>0</v>
      </c>
    </row>
    <row r="3524" spans="1:8" x14ac:dyDescent="0.15">
      <c r="A3524">
        <v>3523</v>
      </c>
      <c r="B3524" t="s">
        <v>339</v>
      </c>
      <c r="C3524" t="s">
        <v>353</v>
      </c>
      <c r="D3524" t="s">
        <v>6878</v>
      </c>
      <c r="E3524" t="s">
        <v>6879</v>
      </c>
      <c r="F3524" s="46">
        <v>46097.325906608799</v>
      </c>
      <c r="G3524" s="46">
        <v>46097.325906608799</v>
      </c>
      <c r="H3524">
        <v>0</v>
      </c>
    </row>
    <row r="3525" spans="1:8" x14ac:dyDescent="0.15">
      <c r="A3525">
        <v>3524</v>
      </c>
      <c r="B3525" t="s">
        <v>339</v>
      </c>
      <c r="C3525" t="s">
        <v>353</v>
      </c>
      <c r="D3525" t="s">
        <v>6880</v>
      </c>
      <c r="E3525" t="s">
        <v>6881</v>
      </c>
      <c r="F3525" s="46">
        <v>46097.325906608799</v>
      </c>
      <c r="G3525" s="46">
        <v>46097.325906608799</v>
      </c>
      <c r="H3525">
        <v>0</v>
      </c>
    </row>
    <row r="3526" spans="1:8" x14ac:dyDescent="0.15">
      <c r="A3526">
        <v>3525</v>
      </c>
      <c r="B3526" t="s">
        <v>339</v>
      </c>
      <c r="C3526" t="s">
        <v>353</v>
      </c>
      <c r="D3526" t="s">
        <v>6882</v>
      </c>
      <c r="E3526" t="s">
        <v>6883</v>
      </c>
      <c r="F3526" s="46">
        <v>46097.325906608799</v>
      </c>
      <c r="G3526" s="46">
        <v>46097.325906608799</v>
      </c>
      <c r="H3526">
        <v>0</v>
      </c>
    </row>
    <row r="3527" spans="1:8" x14ac:dyDescent="0.15">
      <c r="A3527">
        <v>3526</v>
      </c>
      <c r="B3527" t="s">
        <v>339</v>
      </c>
      <c r="C3527" t="s">
        <v>353</v>
      </c>
      <c r="D3527" t="s">
        <v>6884</v>
      </c>
      <c r="E3527" t="s">
        <v>6883</v>
      </c>
      <c r="F3527" s="46">
        <v>46097.325906608799</v>
      </c>
      <c r="G3527" s="46">
        <v>46097.325906608799</v>
      </c>
      <c r="H3527">
        <v>0</v>
      </c>
    </row>
    <row r="3528" spans="1:8" x14ac:dyDescent="0.15">
      <c r="A3528">
        <v>3527</v>
      </c>
      <c r="B3528" t="s">
        <v>339</v>
      </c>
      <c r="C3528" t="s">
        <v>353</v>
      </c>
      <c r="D3528" t="s">
        <v>6885</v>
      </c>
      <c r="E3528" t="s">
        <v>6886</v>
      </c>
      <c r="F3528" s="46">
        <v>46097.325906608799</v>
      </c>
      <c r="G3528" s="46">
        <v>46097.325906608799</v>
      </c>
      <c r="H3528">
        <v>0</v>
      </c>
    </row>
    <row r="3529" spans="1:8" x14ac:dyDescent="0.15">
      <c r="A3529">
        <v>3528</v>
      </c>
      <c r="B3529" t="s">
        <v>339</v>
      </c>
      <c r="C3529" t="s">
        <v>353</v>
      </c>
      <c r="D3529" t="s">
        <v>6887</v>
      </c>
      <c r="E3529" t="s">
        <v>6886</v>
      </c>
      <c r="F3529" s="46">
        <v>46097.325906608799</v>
      </c>
      <c r="G3529" s="46">
        <v>46097.325906608799</v>
      </c>
      <c r="H3529">
        <v>0</v>
      </c>
    </row>
    <row r="3530" spans="1:8" x14ac:dyDescent="0.15">
      <c r="A3530">
        <v>3529</v>
      </c>
      <c r="B3530" t="s">
        <v>339</v>
      </c>
      <c r="C3530" t="s">
        <v>353</v>
      </c>
      <c r="D3530" t="s">
        <v>6888</v>
      </c>
      <c r="E3530" t="s">
        <v>6886</v>
      </c>
      <c r="F3530" s="46">
        <v>46097.325906608799</v>
      </c>
      <c r="G3530" s="46">
        <v>46097.325906608799</v>
      </c>
      <c r="H3530">
        <v>0</v>
      </c>
    </row>
    <row r="3531" spans="1:8" x14ac:dyDescent="0.15">
      <c r="A3531">
        <v>3530</v>
      </c>
      <c r="B3531" t="s">
        <v>339</v>
      </c>
      <c r="C3531" t="s">
        <v>353</v>
      </c>
      <c r="D3531" t="s">
        <v>6889</v>
      </c>
      <c r="E3531" t="s">
        <v>6890</v>
      </c>
      <c r="F3531" s="46">
        <v>46097.325906608799</v>
      </c>
      <c r="G3531" s="46">
        <v>46097.325906782411</v>
      </c>
      <c r="H3531">
        <v>16</v>
      </c>
    </row>
    <row r="3532" spans="1:8" x14ac:dyDescent="0.15">
      <c r="A3532">
        <v>3531</v>
      </c>
      <c r="B3532" t="s">
        <v>339</v>
      </c>
      <c r="C3532" t="s">
        <v>353</v>
      </c>
      <c r="D3532" t="s">
        <v>6891</v>
      </c>
      <c r="E3532" t="s">
        <v>6890</v>
      </c>
      <c r="F3532" s="46">
        <v>46097.325906782411</v>
      </c>
      <c r="G3532" s="46">
        <v>46097.325906782411</v>
      </c>
      <c r="H3532">
        <v>0</v>
      </c>
    </row>
    <row r="3533" spans="1:8" x14ac:dyDescent="0.15">
      <c r="A3533">
        <v>3532</v>
      </c>
      <c r="B3533" t="s">
        <v>339</v>
      </c>
      <c r="C3533" t="s">
        <v>353</v>
      </c>
      <c r="D3533" t="s">
        <v>6892</v>
      </c>
      <c r="E3533" t="s">
        <v>6893</v>
      </c>
      <c r="F3533" s="46">
        <v>46097.325906782411</v>
      </c>
      <c r="G3533" s="46">
        <v>46097.325906782411</v>
      </c>
      <c r="H3533">
        <v>0</v>
      </c>
    </row>
    <row r="3534" spans="1:8" x14ac:dyDescent="0.15">
      <c r="A3534">
        <v>3533</v>
      </c>
      <c r="B3534" t="s">
        <v>339</v>
      </c>
      <c r="C3534" t="s">
        <v>353</v>
      </c>
      <c r="D3534" t="s">
        <v>6894</v>
      </c>
      <c r="E3534" t="s">
        <v>6893</v>
      </c>
      <c r="F3534" s="46">
        <v>46097.325906782411</v>
      </c>
      <c r="G3534" s="46">
        <v>46097.325906782411</v>
      </c>
      <c r="H3534">
        <v>0</v>
      </c>
    </row>
    <row r="3535" spans="1:8" x14ac:dyDescent="0.15">
      <c r="A3535">
        <v>3534</v>
      </c>
      <c r="B3535" t="s">
        <v>339</v>
      </c>
      <c r="C3535" t="s">
        <v>353</v>
      </c>
      <c r="D3535" t="s">
        <v>6895</v>
      </c>
      <c r="E3535" t="s">
        <v>763</v>
      </c>
      <c r="F3535" s="46">
        <v>46097.325906782411</v>
      </c>
      <c r="G3535" s="46">
        <v>46097.325906782411</v>
      </c>
      <c r="H3535">
        <v>0</v>
      </c>
    </row>
    <row r="3536" spans="1:8" x14ac:dyDescent="0.15">
      <c r="A3536">
        <v>3535</v>
      </c>
      <c r="B3536" t="s">
        <v>339</v>
      </c>
      <c r="C3536" t="s">
        <v>353</v>
      </c>
      <c r="D3536" t="s">
        <v>6896</v>
      </c>
      <c r="E3536" t="s">
        <v>763</v>
      </c>
      <c r="F3536" s="46">
        <v>46097.325906782411</v>
      </c>
      <c r="G3536" s="46">
        <v>46097.325906782411</v>
      </c>
      <c r="H3536">
        <v>0</v>
      </c>
    </row>
    <row r="3537" spans="1:8" x14ac:dyDescent="0.15">
      <c r="A3537">
        <v>3536</v>
      </c>
      <c r="B3537" t="s">
        <v>339</v>
      </c>
      <c r="C3537" t="s">
        <v>353</v>
      </c>
      <c r="D3537" t="s">
        <v>6897</v>
      </c>
      <c r="E3537" t="s">
        <v>763</v>
      </c>
      <c r="F3537" s="46">
        <v>46097.325906782411</v>
      </c>
      <c r="G3537" s="46">
        <v>46097.325906782411</v>
      </c>
      <c r="H3537">
        <v>0</v>
      </c>
    </row>
    <row r="3538" spans="1:8" x14ac:dyDescent="0.15">
      <c r="A3538">
        <v>3537</v>
      </c>
      <c r="B3538" t="s">
        <v>339</v>
      </c>
      <c r="C3538" t="s">
        <v>353</v>
      </c>
      <c r="D3538" t="s">
        <v>6898</v>
      </c>
      <c r="E3538" t="s">
        <v>6899</v>
      </c>
      <c r="F3538" s="46">
        <v>46097.325906782411</v>
      </c>
      <c r="G3538" s="46">
        <v>46097.325906782411</v>
      </c>
      <c r="H3538">
        <v>0</v>
      </c>
    </row>
    <row r="3539" spans="1:8" x14ac:dyDescent="0.15">
      <c r="A3539">
        <v>3538</v>
      </c>
      <c r="B3539" t="s">
        <v>339</v>
      </c>
      <c r="C3539" t="s">
        <v>353</v>
      </c>
      <c r="D3539" t="s">
        <v>6900</v>
      </c>
      <c r="E3539" t="s">
        <v>6901</v>
      </c>
      <c r="F3539" s="46">
        <v>46097.325906782411</v>
      </c>
      <c r="G3539" s="46">
        <v>46097.325906782411</v>
      </c>
      <c r="H3539">
        <v>0</v>
      </c>
    </row>
    <row r="3540" spans="1:8" x14ac:dyDescent="0.15">
      <c r="A3540">
        <v>3539</v>
      </c>
      <c r="B3540" t="s">
        <v>339</v>
      </c>
      <c r="C3540" t="s">
        <v>353</v>
      </c>
      <c r="D3540" t="s">
        <v>6902</v>
      </c>
      <c r="E3540" t="s">
        <v>6903</v>
      </c>
      <c r="F3540" s="46">
        <v>46097.325906782411</v>
      </c>
      <c r="G3540" s="46">
        <v>46097.325906782411</v>
      </c>
      <c r="H3540">
        <v>0</v>
      </c>
    </row>
    <row r="3541" spans="1:8" x14ac:dyDescent="0.15">
      <c r="A3541">
        <v>3540</v>
      </c>
      <c r="B3541" t="s">
        <v>339</v>
      </c>
      <c r="C3541" t="s">
        <v>353</v>
      </c>
      <c r="D3541" t="s">
        <v>6904</v>
      </c>
      <c r="E3541" t="s">
        <v>6905</v>
      </c>
      <c r="F3541" s="46">
        <v>46097.325906782411</v>
      </c>
      <c r="G3541" s="46">
        <v>46097.325906782411</v>
      </c>
      <c r="H3541">
        <v>0</v>
      </c>
    </row>
    <row r="3542" spans="1:8" x14ac:dyDescent="0.15">
      <c r="A3542">
        <v>3541</v>
      </c>
      <c r="B3542" t="s">
        <v>339</v>
      </c>
      <c r="C3542" t="s">
        <v>353</v>
      </c>
      <c r="D3542" t="s">
        <v>6906</v>
      </c>
      <c r="E3542" t="s">
        <v>6907</v>
      </c>
      <c r="F3542" s="46">
        <v>46097.325906782411</v>
      </c>
      <c r="G3542" s="46">
        <v>46097.325906967591</v>
      </c>
      <c r="H3542">
        <v>15</v>
      </c>
    </row>
    <row r="3543" spans="1:8" x14ac:dyDescent="0.15">
      <c r="A3543">
        <v>3542</v>
      </c>
      <c r="B3543" t="s">
        <v>339</v>
      </c>
      <c r="C3543" t="s">
        <v>353</v>
      </c>
      <c r="D3543" t="s">
        <v>6908</v>
      </c>
      <c r="E3543" t="s">
        <v>6907</v>
      </c>
      <c r="F3543" s="46">
        <v>46097.325906967591</v>
      </c>
      <c r="G3543" s="46">
        <v>46097.325906967591</v>
      </c>
      <c r="H3543">
        <v>0</v>
      </c>
    </row>
    <row r="3544" spans="1:8" x14ac:dyDescent="0.15">
      <c r="A3544">
        <v>3543</v>
      </c>
      <c r="B3544" t="s">
        <v>339</v>
      </c>
      <c r="C3544" t="s">
        <v>353</v>
      </c>
      <c r="D3544" t="s">
        <v>6909</v>
      </c>
      <c r="E3544" t="s">
        <v>6910</v>
      </c>
      <c r="F3544" s="46">
        <v>46097.325906967591</v>
      </c>
      <c r="G3544" s="46">
        <v>46097.325906967591</v>
      </c>
      <c r="H3544">
        <v>0</v>
      </c>
    </row>
    <row r="3545" spans="1:8" x14ac:dyDescent="0.15">
      <c r="A3545">
        <v>3544</v>
      </c>
      <c r="B3545" t="s">
        <v>339</v>
      </c>
      <c r="C3545" t="s">
        <v>353</v>
      </c>
      <c r="D3545" t="s">
        <v>6911</v>
      </c>
      <c r="E3545" t="s">
        <v>6910</v>
      </c>
      <c r="F3545" s="46">
        <v>46097.325906967591</v>
      </c>
      <c r="G3545" s="46">
        <v>46097.325906967591</v>
      </c>
      <c r="H3545">
        <v>0</v>
      </c>
    </row>
    <row r="3546" spans="1:8" x14ac:dyDescent="0.15">
      <c r="A3546">
        <v>3545</v>
      </c>
      <c r="B3546" t="s">
        <v>339</v>
      </c>
      <c r="C3546" t="s">
        <v>353</v>
      </c>
      <c r="D3546" t="s">
        <v>6912</v>
      </c>
      <c r="E3546" t="s">
        <v>6913</v>
      </c>
      <c r="F3546" s="46">
        <v>46097.325906967591</v>
      </c>
      <c r="G3546" s="46">
        <v>46097.325906967591</v>
      </c>
      <c r="H3546">
        <v>0</v>
      </c>
    </row>
    <row r="3547" spans="1:8" x14ac:dyDescent="0.15">
      <c r="A3547">
        <v>3546</v>
      </c>
      <c r="B3547" t="s">
        <v>339</v>
      </c>
      <c r="C3547" t="s">
        <v>353</v>
      </c>
      <c r="D3547" t="s">
        <v>6914</v>
      </c>
      <c r="E3547" t="s">
        <v>6915</v>
      </c>
      <c r="F3547" s="46">
        <v>46097.325906967591</v>
      </c>
      <c r="G3547" s="46">
        <v>46097.325906967591</v>
      </c>
      <c r="H3547">
        <v>0</v>
      </c>
    </row>
    <row r="3548" spans="1:8" x14ac:dyDescent="0.15">
      <c r="A3548">
        <v>3547</v>
      </c>
      <c r="B3548" t="s">
        <v>339</v>
      </c>
      <c r="C3548" t="s">
        <v>353</v>
      </c>
      <c r="D3548" t="s">
        <v>6916</v>
      </c>
      <c r="E3548" t="s">
        <v>6915</v>
      </c>
      <c r="F3548" s="46">
        <v>46097.325906967591</v>
      </c>
      <c r="G3548" s="46">
        <v>46097.325906967591</v>
      </c>
      <c r="H3548">
        <v>0</v>
      </c>
    </row>
    <row r="3549" spans="1:8" x14ac:dyDescent="0.15">
      <c r="A3549">
        <v>3548</v>
      </c>
      <c r="B3549" t="s">
        <v>339</v>
      </c>
      <c r="C3549" t="s">
        <v>353</v>
      </c>
      <c r="D3549" t="s">
        <v>6917</v>
      </c>
      <c r="E3549" t="s">
        <v>6915</v>
      </c>
      <c r="F3549" s="46">
        <v>46097.325906967591</v>
      </c>
      <c r="G3549" s="46">
        <v>46097.325906967591</v>
      </c>
      <c r="H3549">
        <v>0</v>
      </c>
    </row>
    <row r="3550" spans="1:8" x14ac:dyDescent="0.15">
      <c r="A3550">
        <v>3549</v>
      </c>
      <c r="B3550" t="s">
        <v>339</v>
      </c>
      <c r="C3550" t="s">
        <v>353</v>
      </c>
      <c r="D3550" t="s">
        <v>6918</v>
      </c>
      <c r="E3550" t="s">
        <v>6919</v>
      </c>
      <c r="F3550" s="46">
        <v>46097.325906967591</v>
      </c>
      <c r="G3550" s="46">
        <v>46097.325906967591</v>
      </c>
      <c r="H3550">
        <v>0</v>
      </c>
    </row>
    <row r="3551" spans="1:8" x14ac:dyDescent="0.15">
      <c r="A3551">
        <v>3550</v>
      </c>
      <c r="B3551" t="s">
        <v>339</v>
      </c>
      <c r="C3551" t="s">
        <v>353</v>
      </c>
      <c r="D3551" t="s">
        <v>6920</v>
      </c>
      <c r="E3551" t="s">
        <v>6919</v>
      </c>
      <c r="F3551" s="46">
        <v>46097.325906967591</v>
      </c>
      <c r="G3551" s="46">
        <v>46097.325906967591</v>
      </c>
      <c r="H3551">
        <v>0</v>
      </c>
    </row>
    <row r="3552" spans="1:8" x14ac:dyDescent="0.15">
      <c r="A3552">
        <v>3551</v>
      </c>
      <c r="B3552" t="s">
        <v>339</v>
      </c>
      <c r="C3552" t="s">
        <v>353</v>
      </c>
      <c r="D3552" t="s">
        <v>6921</v>
      </c>
      <c r="E3552" t="s">
        <v>6919</v>
      </c>
      <c r="F3552" s="46">
        <v>46097.325906967591</v>
      </c>
      <c r="G3552" s="46">
        <v>46097.325907152779</v>
      </c>
      <c r="H3552">
        <v>16</v>
      </c>
    </row>
    <row r="3553" spans="1:8" x14ac:dyDescent="0.15">
      <c r="A3553">
        <v>3552</v>
      </c>
      <c r="B3553" t="s">
        <v>339</v>
      </c>
      <c r="C3553" t="s">
        <v>353</v>
      </c>
      <c r="D3553" t="s">
        <v>6922</v>
      </c>
      <c r="E3553" t="s">
        <v>6923</v>
      </c>
      <c r="F3553" s="46">
        <v>46097.325907152779</v>
      </c>
      <c r="G3553" s="46">
        <v>46097.325907152779</v>
      </c>
      <c r="H3553">
        <v>0</v>
      </c>
    </row>
    <row r="3554" spans="1:8" x14ac:dyDescent="0.15">
      <c r="A3554">
        <v>3553</v>
      </c>
      <c r="B3554" t="s">
        <v>339</v>
      </c>
      <c r="C3554" t="s">
        <v>353</v>
      </c>
      <c r="D3554" t="s">
        <v>6924</v>
      </c>
      <c r="E3554" t="s">
        <v>6925</v>
      </c>
      <c r="F3554" s="46">
        <v>46097.325907152779</v>
      </c>
      <c r="G3554" s="46">
        <v>46097.325907152779</v>
      </c>
      <c r="H3554">
        <v>0</v>
      </c>
    </row>
    <row r="3555" spans="1:8" x14ac:dyDescent="0.15">
      <c r="A3555">
        <v>3554</v>
      </c>
      <c r="B3555" t="s">
        <v>339</v>
      </c>
      <c r="C3555" t="s">
        <v>353</v>
      </c>
      <c r="D3555" t="s">
        <v>6926</v>
      </c>
      <c r="E3555" t="s">
        <v>6925</v>
      </c>
      <c r="F3555" s="46">
        <v>46097.325907152779</v>
      </c>
      <c r="G3555" s="46">
        <v>46097.325907152779</v>
      </c>
      <c r="H3555">
        <v>0</v>
      </c>
    </row>
    <row r="3556" spans="1:8" x14ac:dyDescent="0.15">
      <c r="A3556">
        <v>3555</v>
      </c>
      <c r="B3556" t="s">
        <v>339</v>
      </c>
      <c r="C3556" t="s">
        <v>353</v>
      </c>
      <c r="D3556" t="s">
        <v>6927</v>
      </c>
      <c r="E3556" t="s">
        <v>6928</v>
      </c>
      <c r="F3556" s="46">
        <v>46097.325907152779</v>
      </c>
      <c r="G3556" s="46">
        <v>46097.325907152779</v>
      </c>
      <c r="H3556">
        <v>0</v>
      </c>
    </row>
    <row r="3557" spans="1:8" x14ac:dyDescent="0.15">
      <c r="A3557">
        <v>3556</v>
      </c>
      <c r="B3557" t="s">
        <v>339</v>
      </c>
      <c r="C3557" t="s">
        <v>353</v>
      </c>
      <c r="D3557" t="s">
        <v>6929</v>
      </c>
      <c r="E3557" t="s">
        <v>6928</v>
      </c>
      <c r="F3557" s="46">
        <v>46097.325907152779</v>
      </c>
      <c r="G3557" s="46">
        <v>46097.325907152779</v>
      </c>
      <c r="H3557">
        <v>0</v>
      </c>
    </row>
    <row r="3558" spans="1:8" x14ac:dyDescent="0.15">
      <c r="A3558">
        <v>3557</v>
      </c>
      <c r="B3558" t="s">
        <v>339</v>
      </c>
      <c r="C3558" t="s">
        <v>353</v>
      </c>
      <c r="D3558" t="s">
        <v>6930</v>
      </c>
      <c r="E3558" t="s">
        <v>6931</v>
      </c>
      <c r="F3558" s="46">
        <v>46097.325907152779</v>
      </c>
      <c r="G3558" s="46">
        <v>46097.325907152779</v>
      </c>
      <c r="H3558">
        <v>0</v>
      </c>
    </row>
    <row r="3559" spans="1:8" x14ac:dyDescent="0.15">
      <c r="A3559">
        <v>3558</v>
      </c>
      <c r="B3559" t="s">
        <v>339</v>
      </c>
      <c r="C3559" t="s">
        <v>353</v>
      </c>
      <c r="D3559" t="s">
        <v>6932</v>
      </c>
      <c r="E3559" t="s">
        <v>6931</v>
      </c>
      <c r="F3559" s="46">
        <v>46097.325907152779</v>
      </c>
      <c r="G3559" s="46">
        <v>46097.325907152779</v>
      </c>
      <c r="H3559">
        <v>0</v>
      </c>
    </row>
    <row r="3560" spans="1:8" x14ac:dyDescent="0.15">
      <c r="A3560">
        <v>3559</v>
      </c>
      <c r="B3560" t="s">
        <v>339</v>
      </c>
      <c r="C3560" t="s">
        <v>353</v>
      </c>
      <c r="D3560" t="s">
        <v>6933</v>
      </c>
      <c r="E3560" t="s">
        <v>6931</v>
      </c>
      <c r="F3560" s="46">
        <v>46097.325907152779</v>
      </c>
      <c r="G3560" s="46">
        <v>46097.325907152779</v>
      </c>
      <c r="H3560">
        <v>0</v>
      </c>
    </row>
    <row r="3561" spans="1:8" x14ac:dyDescent="0.15">
      <c r="A3561">
        <v>3560</v>
      </c>
      <c r="B3561" t="s">
        <v>339</v>
      </c>
      <c r="C3561" t="s">
        <v>353</v>
      </c>
      <c r="D3561" t="s">
        <v>6934</v>
      </c>
      <c r="E3561" t="s">
        <v>6931</v>
      </c>
      <c r="F3561" s="46">
        <v>46097.325907152779</v>
      </c>
      <c r="G3561" s="46">
        <v>46097.325907152779</v>
      </c>
      <c r="H3561">
        <v>0</v>
      </c>
    </row>
    <row r="3562" spans="1:8" x14ac:dyDescent="0.15">
      <c r="A3562">
        <v>3561</v>
      </c>
      <c r="B3562" t="s">
        <v>339</v>
      </c>
      <c r="C3562" t="s">
        <v>353</v>
      </c>
      <c r="D3562" t="s">
        <v>6935</v>
      </c>
      <c r="E3562" t="s">
        <v>6931</v>
      </c>
      <c r="F3562" s="46">
        <v>46097.325907152779</v>
      </c>
      <c r="G3562" s="46">
        <v>46097.325907152779</v>
      </c>
      <c r="H3562">
        <v>0</v>
      </c>
    </row>
    <row r="3563" spans="1:8" x14ac:dyDescent="0.15">
      <c r="A3563">
        <v>3562</v>
      </c>
      <c r="B3563" t="s">
        <v>339</v>
      </c>
      <c r="C3563" t="s">
        <v>353</v>
      </c>
      <c r="D3563" t="s">
        <v>6936</v>
      </c>
      <c r="E3563" t="s">
        <v>6931</v>
      </c>
      <c r="F3563" s="46">
        <v>46097.325907152779</v>
      </c>
      <c r="G3563" s="46">
        <v>46097.325907326391</v>
      </c>
      <c r="H3563">
        <v>16</v>
      </c>
    </row>
    <row r="3564" spans="1:8" x14ac:dyDescent="0.15">
      <c r="A3564">
        <v>3563</v>
      </c>
      <c r="B3564" t="s">
        <v>339</v>
      </c>
      <c r="C3564" t="s">
        <v>353</v>
      </c>
      <c r="D3564" t="s">
        <v>6937</v>
      </c>
      <c r="E3564" t="s">
        <v>6931</v>
      </c>
      <c r="F3564" s="46">
        <v>46097.325907326391</v>
      </c>
      <c r="G3564" s="46">
        <v>46097.325907326391</v>
      </c>
      <c r="H3564">
        <v>0</v>
      </c>
    </row>
    <row r="3565" spans="1:8" x14ac:dyDescent="0.15">
      <c r="A3565">
        <v>3564</v>
      </c>
      <c r="B3565" t="s">
        <v>339</v>
      </c>
      <c r="C3565" t="s">
        <v>353</v>
      </c>
      <c r="D3565" t="s">
        <v>6938</v>
      </c>
      <c r="E3565" t="s">
        <v>6931</v>
      </c>
      <c r="F3565" s="46">
        <v>46097.325907326391</v>
      </c>
      <c r="G3565" s="46">
        <v>46097.325907326391</v>
      </c>
      <c r="H3565">
        <v>0</v>
      </c>
    </row>
    <row r="3566" spans="1:8" x14ac:dyDescent="0.15">
      <c r="A3566">
        <v>3565</v>
      </c>
      <c r="B3566" t="s">
        <v>339</v>
      </c>
      <c r="C3566" t="s">
        <v>353</v>
      </c>
      <c r="D3566" t="s">
        <v>6939</v>
      </c>
      <c r="E3566" t="s">
        <v>6931</v>
      </c>
      <c r="F3566" s="46">
        <v>46097.325907326391</v>
      </c>
      <c r="G3566" s="46">
        <v>46097.325907326391</v>
      </c>
      <c r="H3566">
        <v>0</v>
      </c>
    </row>
    <row r="3567" spans="1:8" x14ac:dyDescent="0.15">
      <c r="A3567">
        <v>3566</v>
      </c>
      <c r="B3567" t="s">
        <v>339</v>
      </c>
      <c r="C3567" t="s">
        <v>353</v>
      </c>
      <c r="D3567" t="s">
        <v>6940</v>
      </c>
      <c r="E3567" t="s">
        <v>6931</v>
      </c>
      <c r="F3567" s="46">
        <v>46097.325907326391</v>
      </c>
      <c r="G3567" s="46">
        <v>46097.325907326391</v>
      </c>
      <c r="H3567">
        <v>0</v>
      </c>
    </row>
    <row r="3568" spans="1:8" x14ac:dyDescent="0.15">
      <c r="A3568">
        <v>3567</v>
      </c>
      <c r="B3568" t="s">
        <v>339</v>
      </c>
      <c r="C3568" t="s">
        <v>353</v>
      </c>
      <c r="D3568" t="s">
        <v>6941</v>
      </c>
      <c r="E3568" t="s">
        <v>6931</v>
      </c>
      <c r="F3568" s="46">
        <v>46097.325907326391</v>
      </c>
      <c r="G3568" s="46">
        <v>46097.325907326391</v>
      </c>
      <c r="H3568">
        <v>0</v>
      </c>
    </row>
    <row r="3569" spans="1:8" x14ac:dyDescent="0.15">
      <c r="A3569">
        <v>3568</v>
      </c>
      <c r="B3569" t="s">
        <v>339</v>
      </c>
      <c r="C3569" t="s">
        <v>353</v>
      </c>
      <c r="D3569" t="s">
        <v>6942</v>
      </c>
      <c r="E3569" t="s">
        <v>6931</v>
      </c>
      <c r="F3569" s="46">
        <v>46097.325907326391</v>
      </c>
      <c r="G3569" s="46">
        <v>46097.325907326391</v>
      </c>
      <c r="H3569">
        <v>0</v>
      </c>
    </row>
    <row r="3570" spans="1:8" x14ac:dyDescent="0.15">
      <c r="A3570">
        <v>3569</v>
      </c>
      <c r="B3570" t="s">
        <v>339</v>
      </c>
      <c r="C3570" t="s">
        <v>353</v>
      </c>
      <c r="D3570" t="s">
        <v>6943</v>
      </c>
      <c r="E3570" t="s">
        <v>6931</v>
      </c>
      <c r="F3570" s="46">
        <v>46097.325907326391</v>
      </c>
      <c r="G3570" s="46">
        <v>46097.325907326391</v>
      </c>
      <c r="H3570">
        <v>0</v>
      </c>
    </row>
    <row r="3571" spans="1:8" x14ac:dyDescent="0.15">
      <c r="A3571">
        <v>3570</v>
      </c>
      <c r="B3571" t="s">
        <v>339</v>
      </c>
      <c r="C3571" t="s">
        <v>353</v>
      </c>
      <c r="D3571" t="s">
        <v>6944</v>
      </c>
      <c r="E3571" t="s">
        <v>6931</v>
      </c>
      <c r="F3571" s="46">
        <v>46097.325907326391</v>
      </c>
      <c r="G3571" s="46">
        <v>46097.325907326391</v>
      </c>
      <c r="H3571">
        <v>0</v>
      </c>
    </row>
    <row r="3572" spans="1:8" x14ac:dyDescent="0.15">
      <c r="A3572">
        <v>3571</v>
      </c>
      <c r="B3572" t="s">
        <v>339</v>
      </c>
      <c r="C3572" t="s">
        <v>353</v>
      </c>
      <c r="D3572" t="s">
        <v>6945</v>
      </c>
      <c r="E3572" t="s">
        <v>6931</v>
      </c>
      <c r="F3572" s="46">
        <v>46097.325907326391</v>
      </c>
      <c r="G3572" s="46">
        <v>46097.325907326391</v>
      </c>
      <c r="H3572">
        <v>0</v>
      </c>
    </row>
    <row r="3573" spans="1:8" x14ac:dyDescent="0.15">
      <c r="A3573">
        <v>3572</v>
      </c>
      <c r="B3573" t="s">
        <v>339</v>
      </c>
      <c r="C3573" t="s">
        <v>353</v>
      </c>
      <c r="D3573" t="s">
        <v>6946</v>
      </c>
      <c r="E3573" t="s">
        <v>6931</v>
      </c>
      <c r="F3573" s="46">
        <v>46097.325907326391</v>
      </c>
      <c r="G3573" s="46">
        <v>46097.325907511571</v>
      </c>
      <c r="H3573">
        <v>15</v>
      </c>
    </row>
    <row r="3574" spans="1:8" x14ac:dyDescent="0.15">
      <c r="A3574">
        <v>3573</v>
      </c>
      <c r="B3574" t="s">
        <v>339</v>
      </c>
      <c r="C3574" t="s">
        <v>353</v>
      </c>
      <c r="D3574" t="s">
        <v>6947</v>
      </c>
      <c r="E3574" t="s">
        <v>6931</v>
      </c>
      <c r="F3574" s="46">
        <v>46097.325907511571</v>
      </c>
      <c r="G3574" s="46">
        <v>46097.325907511571</v>
      </c>
      <c r="H3574">
        <v>0</v>
      </c>
    </row>
    <row r="3575" spans="1:8" x14ac:dyDescent="0.15">
      <c r="A3575">
        <v>3574</v>
      </c>
      <c r="B3575" t="s">
        <v>339</v>
      </c>
      <c r="C3575" t="s">
        <v>353</v>
      </c>
      <c r="D3575" t="s">
        <v>6948</v>
      </c>
      <c r="E3575" t="s">
        <v>6931</v>
      </c>
      <c r="F3575" s="46">
        <v>46097.325907511571</v>
      </c>
      <c r="G3575" s="46">
        <v>46097.325907511571</v>
      </c>
      <c r="H3575">
        <v>0</v>
      </c>
    </row>
    <row r="3576" spans="1:8" x14ac:dyDescent="0.15">
      <c r="A3576">
        <v>3575</v>
      </c>
      <c r="B3576" t="s">
        <v>339</v>
      </c>
      <c r="C3576" t="s">
        <v>353</v>
      </c>
      <c r="D3576" t="s">
        <v>6949</v>
      </c>
      <c r="E3576" t="s">
        <v>6931</v>
      </c>
      <c r="F3576" s="46">
        <v>46097.325907511571</v>
      </c>
      <c r="G3576" s="46">
        <v>46097.325907511571</v>
      </c>
      <c r="H3576">
        <v>0</v>
      </c>
    </row>
    <row r="3577" spans="1:8" x14ac:dyDescent="0.15">
      <c r="A3577">
        <v>3576</v>
      </c>
      <c r="B3577" t="s">
        <v>339</v>
      </c>
      <c r="C3577" t="s">
        <v>353</v>
      </c>
      <c r="D3577" t="s">
        <v>6950</v>
      </c>
      <c r="E3577" t="s">
        <v>6931</v>
      </c>
      <c r="F3577" s="46">
        <v>46097.325907511571</v>
      </c>
      <c r="G3577" s="46">
        <v>46097.325907511571</v>
      </c>
      <c r="H3577">
        <v>0</v>
      </c>
    </row>
    <row r="3578" spans="1:8" x14ac:dyDescent="0.15">
      <c r="A3578">
        <v>3577</v>
      </c>
      <c r="B3578" t="s">
        <v>339</v>
      </c>
      <c r="C3578" t="s">
        <v>353</v>
      </c>
      <c r="D3578" t="s">
        <v>6951</v>
      </c>
      <c r="E3578" t="s">
        <v>6931</v>
      </c>
      <c r="F3578" s="46">
        <v>46097.325907511571</v>
      </c>
      <c r="G3578" s="46">
        <v>46097.325907511571</v>
      </c>
      <c r="H3578">
        <v>0</v>
      </c>
    </row>
    <row r="3579" spans="1:8" x14ac:dyDescent="0.15">
      <c r="A3579">
        <v>3578</v>
      </c>
      <c r="B3579" t="s">
        <v>339</v>
      </c>
      <c r="C3579" t="s">
        <v>353</v>
      </c>
      <c r="D3579" t="s">
        <v>6952</v>
      </c>
      <c r="E3579" t="s">
        <v>6931</v>
      </c>
      <c r="F3579" s="46">
        <v>46097.325907511571</v>
      </c>
      <c r="G3579" s="46">
        <v>46097.325907511571</v>
      </c>
      <c r="H3579">
        <v>0</v>
      </c>
    </row>
    <row r="3580" spans="1:8" x14ac:dyDescent="0.15">
      <c r="A3580">
        <v>3579</v>
      </c>
      <c r="B3580" t="s">
        <v>339</v>
      </c>
      <c r="C3580" t="s">
        <v>353</v>
      </c>
      <c r="D3580" t="s">
        <v>6953</v>
      </c>
      <c r="E3580" t="s">
        <v>6954</v>
      </c>
      <c r="F3580" s="46">
        <v>46097.325907511571</v>
      </c>
      <c r="G3580" s="46">
        <v>46097.325907511571</v>
      </c>
      <c r="H3580">
        <v>0</v>
      </c>
    </row>
    <row r="3581" spans="1:8" x14ac:dyDescent="0.15">
      <c r="A3581">
        <v>3580</v>
      </c>
      <c r="B3581" t="s">
        <v>339</v>
      </c>
      <c r="C3581" t="s">
        <v>353</v>
      </c>
      <c r="D3581" t="s">
        <v>6955</v>
      </c>
      <c r="E3581" t="s">
        <v>6954</v>
      </c>
      <c r="F3581" s="46">
        <v>46097.325907511571</v>
      </c>
      <c r="G3581" s="46">
        <v>46097.325907511571</v>
      </c>
      <c r="H3581">
        <v>0</v>
      </c>
    </row>
    <row r="3582" spans="1:8" x14ac:dyDescent="0.15">
      <c r="A3582">
        <v>3581</v>
      </c>
      <c r="B3582" t="s">
        <v>339</v>
      </c>
      <c r="C3582" t="s">
        <v>353</v>
      </c>
      <c r="D3582" t="s">
        <v>6956</v>
      </c>
      <c r="E3582" t="s">
        <v>6954</v>
      </c>
      <c r="F3582" s="46">
        <v>46097.325907511571</v>
      </c>
      <c r="G3582" s="46">
        <v>46097.325907511571</v>
      </c>
      <c r="H3582">
        <v>0</v>
      </c>
    </row>
    <row r="3583" spans="1:8" x14ac:dyDescent="0.15">
      <c r="A3583">
        <v>3582</v>
      </c>
      <c r="B3583" t="s">
        <v>339</v>
      </c>
      <c r="C3583" t="s">
        <v>353</v>
      </c>
      <c r="D3583" t="s">
        <v>6957</v>
      </c>
      <c r="E3583" t="s">
        <v>6954</v>
      </c>
      <c r="F3583" s="46">
        <v>46097.325907511571</v>
      </c>
      <c r="G3583" s="46">
        <v>46097.325907511571</v>
      </c>
      <c r="H3583">
        <v>0</v>
      </c>
    </row>
    <row r="3584" spans="1:8" x14ac:dyDescent="0.15">
      <c r="A3584">
        <v>3583</v>
      </c>
      <c r="B3584" t="s">
        <v>339</v>
      </c>
      <c r="C3584" t="s">
        <v>353</v>
      </c>
      <c r="D3584" t="s">
        <v>6958</v>
      </c>
      <c r="E3584" t="s">
        <v>6959</v>
      </c>
      <c r="F3584" s="46">
        <v>46097.325907511571</v>
      </c>
      <c r="G3584" s="46">
        <v>46097.325907685183</v>
      </c>
      <c r="H3584">
        <v>16</v>
      </c>
    </row>
    <row r="3585" spans="1:8" x14ac:dyDescent="0.15">
      <c r="A3585">
        <v>3584</v>
      </c>
      <c r="B3585" t="s">
        <v>339</v>
      </c>
      <c r="C3585" t="s">
        <v>353</v>
      </c>
      <c r="D3585" t="s">
        <v>6960</v>
      </c>
      <c r="E3585" t="s">
        <v>6959</v>
      </c>
      <c r="F3585" s="46">
        <v>46097.325907685183</v>
      </c>
      <c r="G3585" s="46">
        <v>46097.325907685183</v>
      </c>
      <c r="H3585">
        <v>0</v>
      </c>
    </row>
    <row r="3586" spans="1:8" x14ac:dyDescent="0.15">
      <c r="A3586">
        <v>3585</v>
      </c>
      <c r="B3586" t="s">
        <v>339</v>
      </c>
      <c r="C3586" t="s">
        <v>353</v>
      </c>
      <c r="D3586" t="s">
        <v>6961</v>
      </c>
      <c r="E3586" t="s">
        <v>6959</v>
      </c>
      <c r="F3586" s="46">
        <v>46097.325907685183</v>
      </c>
      <c r="G3586" s="46">
        <v>46097.325907685183</v>
      </c>
      <c r="H3586">
        <v>0</v>
      </c>
    </row>
    <row r="3587" spans="1:8" x14ac:dyDescent="0.15">
      <c r="A3587">
        <v>3586</v>
      </c>
      <c r="B3587" t="s">
        <v>339</v>
      </c>
      <c r="C3587" t="s">
        <v>353</v>
      </c>
      <c r="D3587" t="s">
        <v>6962</v>
      </c>
      <c r="E3587" t="s">
        <v>6959</v>
      </c>
      <c r="F3587" s="46">
        <v>46097.325907685183</v>
      </c>
      <c r="G3587" s="46">
        <v>46097.325907685183</v>
      </c>
      <c r="H3587">
        <v>0</v>
      </c>
    </row>
    <row r="3588" spans="1:8" x14ac:dyDescent="0.15">
      <c r="A3588">
        <v>3587</v>
      </c>
      <c r="B3588" t="s">
        <v>339</v>
      </c>
      <c r="C3588" t="s">
        <v>353</v>
      </c>
      <c r="D3588" t="s">
        <v>6963</v>
      </c>
      <c r="E3588" t="s">
        <v>6959</v>
      </c>
      <c r="F3588" s="46">
        <v>46097.325907685183</v>
      </c>
      <c r="G3588" s="46">
        <v>46097.325907685183</v>
      </c>
      <c r="H3588">
        <v>0</v>
      </c>
    </row>
    <row r="3589" spans="1:8" x14ac:dyDescent="0.15">
      <c r="A3589">
        <v>3588</v>
      </c>
      <c r="B3589" t="s">
        <v>339</v>
      </c>
      <c r="C3589" t="s">
        <v>353</v>
      </c>
      <c r="D3589" t="s">
        <v>6964</v>
      </c>
      <c r="E3589" t="s">
        <v>6959</v>
      </c>
      <c r="F3589" s="46">
        <v>46097.325907685183</v>
      </c>
      <c r="G3589" s="46">
        <v>46097.325907685183</v>
      </c>
      <c r="H3589">
        <v>0</v>
      </c>
    </row>
    <row r="3590" spans="1:8" x14ac:dyDescent="0.15">
      <c r="A3590">
        <v>3589</v>
      </c>
      <c r="B3590" t="s">
        <v>339</v>
      </c>
      <c r="C3590" t="s">
        <v>353</v>
      </c>
      <c r="D3590" t="s">
        <v>6965</v>
      </c>
      <c r="E3590" t="s">
        <v>6959</v>
      </c>
      <c r="F3590" s="46">
        <v>46097.325907685183</v>
      </c>
      <c r="G3590" s="46">
        <v>46097.325907685183</v>
      </c>
      <c r="H3590">
        <v>0</v>
      </c>
    </row>
    <row r="3591" spans="1:8" x14ac:dyDescent="0.15">
      <c r="A3591">
        <v>3590</v>
      </c>
      <c r="B3591" t="s">
        <v>339</v>
      </c>
      <c r="C3591" t="s">
        <v>353</v>
      </c>
      <c r="D3591" t="s">
        <v>6966</v>
      </c>
      <c r="E3591" t="s">
        <v>6959</v>
      </c>
      <c r="F3591" s="46">
        <v>46097.325907685183</v>
      </c>
      <c r="G3591" s="46">
        <v>46097.325907685183</v>
      </c>
      <c r="H3591">
        <v>0</v>
      </c>
    </row>
    <row r="3592" spans="1:8" x14ac:dyDescent="0.15">
      <c r="A3592">
        <v>3591</v>
      </c>
      <c r="B3592" t="s">
        <v>339</v>
      </c>
      <c r="C3592" t="s">
        <v>353</v>
      </c>
      <c r="D3592" t="s">
        <v>6967</v>
      </c>
      <c r="E3592" t="s">
        <v>6959</v>
      </c>
      <c r="F3592" s="46">
        <v>46097.325907685183</v>
      </c>
      <c r="G3592" s="46">
        <v>46097.325907685183</v>
      </c>
      <c r="H3592">
        <v>0</v>
      </c>
    </row>
    <row r="3593" spans="1:8" x14ac:dyDescent="0.15">
      <c r="A3593">
        <v>3592</v>
      </c>
      <c r="B3593" t="s">
        <v>339</v>
      </c>
      <c r="C3593" t="s">
        <v>353</v>
      </c>
      <c r="D3593" t="s">
        <v>6968</v>
      </c>
      <c r="E3593" t="s">
        <v>6959</v>
      </c>
      <c r="F3593" s="46">
        <v>46097.325907685183</v>
      </c>
      <c r="G3593" s="46">
        <v>46097.325907685183</v>
      </c>
      <c r="H3593">
        <v>0</v>
      </c>
    </row>
    <row r="3594" spans="1:8" x14ac:dyDescent="0.15">
      <c r="A3594">
        <v>3593</v>
      </c>
      <c r="B3594" t="s">
        <v>339</v>
      </c>
      <c r="C3594" t="s">
        <v>353</v>
      </c>
      <c r="D3594" t="s">
        <v>6969</v>
      </c>
      <c r="E3594" t="s">
        <v>6959</v>
      </c>
      <c r="F3594" s="46">
        <v>46097.325907685183</v>
      </c>
      <c r="G3594" s="46">
        <v>46097.32590787037</v>
      </c>
      <c r="H3594">
        <v>16</v>
      </c>
    </row>
    <row r="3595" spans="1:8" x14ac:dyDescent="0.15">
      <c r="A3595">
        <v>3594</v>
      </c>
      <c r="B3595" t="s">
        <v>339</v>
      </c>
      <c r="C3595" t="s">
        <v>353</v>
      </c>
      <c r="D3595" t="s">
        <v>6970</v>
      </c>
      <c r="E3595" t="s">
        <v>6959</v>
      </c>
      <c r="F3595" s="46">
        <v>46097.32590787037</v>
      </c>
      <c r="G3595" s="46">
        <v>46097.32590787037</v>
      </c>
      <c r="H3595">
        <v>0</v>
      </c>
    </row>
    <row r="3596" spans="1:8" x14ac:dyDescent="0.15">
      <c r="A3596">
        <v>3595</v>
      </c>
      <c r="B3596" t="s">
        <v>339</v>
      </c>
      <c r="C3596" t="s">
        <v>353</v>
      </c>
      <c r="D3596" t="s">
        <v>6971</v>
      </c>
      <c r="E3596" t="s">
        <v>6959</v>
      </c>
      <c r="F3596" s="46">
        <v>46097.32590787037</v>
      </c>
      <c r="G3596" s="46">
        <v>46097.32590787037</v>
      </c>
      <c r="H3596">
        <v>0</v>
      </c>
    </row>
    <row r="3597" spans="1:8" x14ac:dyDescent="0.15">
      <c r="A3597">
        <v>3596</v>
      </c>
      <c r="B3597" t="s">
        <v>339</v>
      </c>
      <c r="C3597" t="s">
        <v>353</v>
      </c>
      <c r="D3597" t="s">
        <v>6972</v>
      </c>
      <c r="E3597" t="s">
        <v>6959</v>
      </c>
      <c r="F3597" s="46">
        <v>46097.32590787037</v>
      </c>
      <c r="G3597" s="46">
        <v>46097.32590787037</v>
      </c>
      <c r="H3597">
        <v>0</v>
      </c>
    </row>
    <row r="3598" spans="1:8" x14ac:dyDescent="0.15">
      <c r="A3598">
        <v>3597</v>
      </c>
      <c r="B3598" t="s">
        <v>339</v>
      </c>
      <c r="C3598" t="s">
        <v>353</v>
      </c>
      <c r="D3598" t="s">
        <v>6973</v>
      </c>
      <c r="E3598" t="s">
        <v>765</v>
      </c>
      <c r="F3598" s="46">
        <v>46097.32590787037</v>
      </c>
      <c r="G3598" s="46">
        <v>46097.32590787037</v>
      </c>
      <c r="H3598">
        <v>0</v>
      </c>
    </row>
    <row r="3599" spans="1:8" x14ac:dyDescent="0.15">
      <c r="A3599">
        <v>3598</v>
      </c>
      <c r="B3599" t="s">
        <v>339</v>
      </c>
      <c r="C3599" t="s">
        <v>353</v>
      </c>
      <c r="D3599" t="s">
        <v>6974</v>
      </c>
      <c r="E3599" t="s">
        <v>765</v>
      </c>
      <c r="F3599" s="46">
        <v>46097.32590787037</v>
      </c>
      <c r="G3599" s="46">
        <v>46097.32590787037</v>
      </c>
      <c r="H3599">
        <v>0</v>
      </c>
    </row>
    <row r="3600" spans="1:8" x14ac:dyDescent="0.15">
      <c r="A3600">
        <v>3599</v>
      </c>
      <c r="B3600" t="s">
        <v>339</v>
      </c>
      <c r="C3600" t="s">
        <v>353</v>
      </c>
      <c r="D3600" t="s">
        <v>6975</v>
      </c>
      <c r="E3600" t="s">
        <v>765</v>
      </c>
      <c r="F3600" s="46">
        <v>46097.32590787037</v>
      </c>
      <c r="G3600" s="46">
        <v>46097.32590787037</v>
      </c>
      <c r="H3600">
        <v>0</v>
      </c>
    </row>
    <row r="3601" spans="1:8" x14ac:dyDescent="0.15">
      <c r="A3601">
        <v>3600</v>
      </c>
      <c r="B3601" t="s">
        <v>339</v>
      </c>
      <c r="C3601" t="s">
        <v>353</v>
      </c>
      <c r="D3601" t="s">
        <v>6976</v>
      </c>
      <c r="E3601" t="s">
        <v>765</v>
      </c>
      <c r="F3601" s="46">
        <v>46097.32590787037</v>
      </c>
      <c r="G3601" s="46">
        <v>46097.32590787037</v>
      </c>
      <c r="H3601">
        <v>0</v>
      </c>
    </row>
    <row r="3602" spans="1:8" x14ac:dyDescent="0.15">
      <c r="A3602">
        <v>3601</v>
      </c>
      <c r="B3602" t="s">
        <v>339</v>
      </c>
      <c r="C3602" t="s">
        <v>353</v>
      </c>
      <c r="D3602" t="s">
        <v>6977</v>
      </c>
      <c r="E3602" t="s">
        <v>765</v>
      </c>
      <c r="F3602" s="46">
        <v>46097.32590787037</v>
      </c>
      <c r="G3602" s="46">
        <v>46097.32590787037</v>
      </c>
      <c r="H3602">
        <v>0</v>
      </c>
    </row>
    <row r="3603" spans="1:8" x14ac:dyDescent="0.15">
      <c r="A3603">
        <v>3602</v>
      </c>
      <c r="B3603" t="s">
        <v>339</v>
      </c>
      <c r="C3603" t="s">
        <v>353</v>
      </c>
      <c r="D3603" t="s">
        <v>6978</v>
      </c>
      <c r="E3603" t="s">
        <v>765</v>
      </c>
      <c r="F3603" s="46">
        <v>46097.32590787037</v>
      </c>
      <c r="G3603" s="46">
        <v>46097.32590787037</v>
      </c>
      <c r="H3603">
        <v>0</v>
      </c>
    </row>
    <row r="3604" spans="1:8" x14ac:dyDescent="0.15">
      <c r="A3604">
        <v>3603</v>
      </c>
      <c r="B3604" t="s">
        <v>339</v>
      </c>
      <c r="C3604" t="s">
        <v>353</v>
      </c>
      <c r="D3604" t="s">
        <v>6979</v>
      </c>
      <c r="E3604" t="s">
        <v>765</v>
      </c>
      <c r="F3604" s="46">
        <v>46097.32590787037</v>
      </c>
      <c r="G3604" s="46">
        <v>46097.32590787037</v>
      </c>
      <c r="H3604">
        <v>0</v>
      </c>
    </row>
    <row r="3605" spans="1:8" x14ac:dyDescent="0.15">
      <c r="A3605">
        <v>3604</v>
      </c>
      <c r="B3605" t="s">
        <v>339</v>
      </c>
      <c r="C3605" t="s">
        <v>353</v>
      </c>
      <c r="D3605" t="s">
        <v>6980</v>
      </c>
      <c r="E3605" t="s">
        <v>765</v>
      </c>
      <c r="F3605" s="46">
        <v>46097.32590787037</v>
      </c>
      <c r="G3605" s="46">
        <v>46097.325908055558</v>
      </c>
      <c r="H3605">
        <v>15</v>
      </c>
    </row>
    <row r="3606" spans="1:8" x14ac:dyDescent="0.15">
      <c r="A3606">
        <v>3605</v>
      </c>
      <c r="B3606" t="s">
        <v>339</v>
      </c>
      <c r="C3606" t="s">
        <v>353</v>
      </c>
      <c r="D3606" t="s">
        <v>6981</v>
      </c>
      <c r="E3606" t="s">
        <v>765</v>
      </c>
      <c r="F3606" s="46">
        <v>46097.325908055558</v>
      </c>
      <c r="G3606" s="46">
        <v>46097.325908055558</v>
      </c>
      <c r="H3606">
        <v>0</v>
      </c>
    </row>
    <row r="3607" spans="1:8" x14ac:dyDescent="0.15">
      <c r="A3607">
        <v>3606</v>
      </c>
      <c r="B3607" t="s">
        <v>339</v>
      </c>
      <c r="C3607" t="s">
        <v>353</v>
      </c>
      <c r="D3607" t="s">
        <v>6982</v>
      </c>
      <c r="E3607" t="s">
        <v>765</v>
      </c>
      <c r="F3607" s="46">
        <v>46097.325908055558</v>
      </c>
      <c r="G3607" s="46">
        <v>46097.325908055558</v>
      </c>
      <c r="H3607">
        <v>0</v>
      </c>
    </row>
    <row r="3608" spans="1:8" x14ac:dyDescent="0.15">
      <c r="A3608">
        <v>3607</v>
      </c>
      <c r="B3608" t="s">
        <v>339</v>
      </c>
      <c r="C3608" t="s">
        <v>353</v>
      </c>
      <c r="D3608" t="s">
        <v>6983</v>
      </c>
      <c r="E3608" t="s">
        <v>765</v>
      </c>
      <c r="F3608" s="46">
        <v>46097.325908055558</v>
      </c>
      <c r="G3608" s="46">
        <v>46097.325908055558</v>
      </c>
      <c r="H3608">
        <v>0</v>
      </c>
    </row>
    <row r="3609" spans="1:8" x14ac:dyDescent="0.15">
      <c r="A3609">
        <v>3608</v>
      </c>
      <c r="B3609" t="s">
        <v>339</v>
      </c>
      <c r="C3609" t="s">
        <v>353</v>
      </c>
      <c r="D3609" t="s">
        <v>6984</v>
      </c>
      <c r="E3609" t="s">
        <v>765</v>
      </c>
      <c r="F3609" s="46">
        <v>46097.325908055558</v>
      </c>
      <c r="G3609" s="46">
        <v>46097.325908055558</v>
      </c>
      <c r="H3609">
        <v>0</v>
      </c>
    </row>
    <row r="3610" spans="1:8" x14ac:dyDescent="0.15">
      <c r="A3610">
        <v>3609</v>
      </c>
      <c r="B3610" t="s">
        <v>339</v>
      </c>
      <c r="C3610" t="s">
        <v>353</v>
      </c>
      <c r="D3610" t="s">
        <v>6985</v>
      </c>
      <c r="E3610" t="s">
        <v>765</v>
      </c>
      <c r="F3610" s="46">
        <v>46097.325908055558</v>
      </c>
      <c r="G3610" s="46">
        <v>46097.325908055558</v>
      </c>
      <c r="H3610">
        <v>0</v>
      </c>
    </row>
    <row r="3611" spans="1:8" x14ac:dyDescent="0.15">
      <c r="A3611">
        <v>3610</v>
      </c>
      <c r="B3611" t="s">
        <v>339</v>
      </c>
      <c r="C3611" t="s">
        <v>353</v>
      </c>
      <c r="D3611" t="s">
        <v>6986</v>
      </c>
      <c r="E3611" t="s">
        <v>765</v>
      </c>
      <c r="F3611" s="46">
        <v>46097.325908055558</v>
      </c>
      <c r="G3611" s="46">
        <v>46097.325908055558</v>
      </c>
      <c r="H3611">
        <v>0</v>
      </c>
    </row>
    <row r="3612" spans="1:8" x14ac:dyDescent="0.15">
      <c r="A3612">
        <v>3611</v>
      </c>
      <c r="B3612" t="s">
        <v>339</v>
      </c>
      <c r="C3612" t="s">
        <v>353</v>
      </c>
      <c r="D3612" t="s">
        <v>6987</v>
      </c>
      <c r="E3612" t="s">
        <v>6988</v>
      </c>
      <c r="F3612" s="46">
        <v>46097.325908055558</v>
      </c>
      <c r="G3612" s="46">
        <v>46097.325908055558</v>
      </c>
      <c r="H3612">
        <v>0</v>
      </c>
    </row>
    <row r="3613" spans="1:8" x14ac:dyDescent="0.15">
      <c r="A3613">
        <v>3612</v>
      </c>
      <c r="B3613" t="s">
        <v>339</v>
      </c>
      <c r="C3613" t="s">
        <v>353</v>
      </c>
      <c r="D3613" t="s">
        <v>6989</v>
      </c>
      <c r="E3613" t="s">
        <v>6990</v>
      </c>
      <c r="F3613" s="46">
        <v>46097.325908055558</v>
      </c>
      <c r="G3613" s="46">
        <v>46097.325908055558</v>
      </c>
      <c r="H3613">
        <v>0</v>
      </c>
    </row>
    <row r="3614" spans="1:8" x14ac:dyDescent="0.15">
      <c r="A3614">
        <v>3613</v>
      </c>
      <c r="B3614" t="s">
        <v>339</v>
      </c>
      <c r="C3614" t="s">
        <v>353</v>
      </c>
      <c r="D3614" t="s">
        <v>6991</v>
      </c>
      <c r="E3614" t="s">
        <v>6990</v>
      </c>
      <c r="F3614" s="46">
        <v>46097.325908055558</v>
      </c>
      <c r="G3614" s="46">
        <v>46097.325908055558</v>
      </c>
      <c r="H3614">
        <v>0</v>
      </c>
    </row>
    <row r="3615" spans="1:8" x14ac:dyDescent="0.15">
      <c r="A3615">
        <v>3614</v>
      </c>
      <c r="B3615" t="s">
        <v>339</v>
      </c>
      <c r="C3615" t="s">
        <v>353</v>
      </c>
      <c r="D3615" t="s">
        <v>6992</v>
      </c>
      <c r="E3615" t="s">
        <v>6993</v>
      </c>
      <c r="F3615" s="46">
        <v>46097.325908055558</v>
      </c>
      <c r="G3615" s="46">
        <v>46097.32590822917</v>
      </c>
      <c r="H3615">
        <v>16</v>
      </c>
    </row>
    <row r="3616" spans="1:8" x14ac:dyDescent="0.15">
      <c r="A3616">
        <v>3615</v>
      </c>
      <c r="B3616" t="s">
        <v>339</v>
      </c>
      <c r="C3616" t="s">
        <v>353</v>
      </c>
      <c r="D3616" t="s">
        <v>6994</v>
      </c>
      <c r="E3616" t="s">
        <v>6995</v>
      </c>
      <c r="F3616" s="46">
        <v>46097.32590822917</v>
      </c>
      <c r="G3616" s="46">
        <v>46097.32590822917</v>
      </c>
      <c r="H3616">
        <v>0</v>
      </c>
    </row>
    <row r="3617" spans="1:8" x14ac:dyDescent="0.15">
      <c r="A3617">
        <v>3616</v>
      </c>
      <c r="B3617" t="s">
        <v>339</v>
      </c>
      <c r="C3617" t="s">
        <v>353</v>
      </c>
      <c r="D3617" t="s">
        <v>6996</v>
      </c>
      <c r="E3617" t="s">
        <v>766</v>
      </c>
      <c r="F3617" s="46">
        <v>46097.32590822917</v>
      </c>
      <c r="G3617" s="46">
        <v>46097.32590822917</v>
      </c>
      <c r="H3617">
        <v>0</v>
      </c>
    </row>
    <row r="3618" spans="1:8" x14ac:dyDescent="0.15">
      <c r="A3618">
        <v>3617</v>
      </c>
      <c r="B3618" t="s">
        <v>339</v>
      </c>
      <c r="C3618" t="s">
        <v>353</v>
      </c>
      <c r="D3618" t="s">
        <v>6997</v>
      </c>
      <c r="E3618" t="s">
        <v>766</v>
      </c>
      <c r="F3618" s="46">
        <v>46097.32590822917</v>
      </c>
      <c r="G3618" s="46">
        <v>46097.32590822917</v>
      </c>
      <c r="H3618">
        <v>0</v>
      </c>
    </row>
    <row r="3619" spans="1:8" x14ac:dyDescent="0.15">
      <c r="A3619">
        <v>3618</v>
      </c>
      <c r="B3619" t="s">
        <v>339</v>
      </c>
      <c r="C3619" t="s">
        <v>353</v>
      </c>
      <c r="D3619" t="s">
        <v>6998</v>
      </c>
      <c r="E3619" t="s">
        <v>766</v>
      </c>
      <c r="F3619" s="46">
        <v>46097.32590822917</v>
      </c>
      <c r="G3619" s="46">
        <v>46097.32590822917</v>
      </c>
      <c r="H3619">
        <v>0</v>
      </c>
    </row>
    <row r="3620" spans="1:8" x14ac:dyDescent="0.15">
      <c r="A3620">
        <v>3619</v>
      </c>
      <c r="B3620" t="s">
        <v>339</v>
      </c>
      <c r="C3620" t="s">
        <v>353</v>
      </c>
      <c r="D3620" t="s">
        <v>6999</v>
      </c>
      <c r="E3620" t="s">
        <v>766</v>
      </c>
      <c r="F3620" s="46">
        <v>46097.32590822917</v>
      </c>
      <c r="G3620" s="46">
        <v>46097.32590822917</v>
      </c>
      <c r="H3620">
        <v>0</v>
      </c>
    </row>
    <row r="3621" spans="1:8" x14ac:dyDescent="0.15">
      <c r="A3621">
        <v>3620</v>
      </c>
      <c r="B3621" t="s">
        <v>339</v>
      </c>
      <c r="C3621" t="s">
        <v>353</v>
      </c>
      <c r="D3621" t="s">
        <v>7000</v>
      </c>
      <c r="E3621" t="s">
        <v>7001</v>
      </c>
      <c r="F3621" s="46">
        <v>46097.32590822917</v>
      </c>
      <c r="G3621" s="46">
        <v>46097.32590822917</v>
      </c>
      <c r="H3621">
        <v>0</v>
      </c>
    </row>
    <row r="3622" spans="1:8" x14ac:dyDescent="0.15">
      <c r="A3622">
        <v>3621</v>
      </c>
      <c r="B3622" t="s">
        <v>339</v>
      </c>
      <c r="C3622" t="s">
        <v>353</v>
      </c>
      <c r="D3622" t="s">
        <v>7002</v>
      </c>
      <c r="E3622" t="s">
        <v>767</v>
      </c>
      <c r="F3622" s="46">
        <v>46097.32590822917</v>
      </c>
      <c r="G3622" s="46">
        <v>46097.32590822917</v>
      </c>
      <c r="H3622">
        <v>0</v>
      </c>
    </row>
    <row r="3623" spans="1:8" x14ac:dyDescent="0.15">
      <c r="A3623">
        <v>3622</v>
      </c>
      <c r="B3623" t="s">
        <v>339</v>
      </c>
      <c r="C3623" t="s">
        <v>353</v>
      </c>
      <c r="D3623" t="s">
        <v>7003</v>
      </c>
      <c r="E3623" t="s">
        <v>768</v>
      </c>
      <c r="F3623" s="46">
        <v>46097.32590822917</v>
      </c>
      <c r="G3623" s="46">
        <v>46097.32590822917</v>
      </c>
      <c r="H3623">
        <v>0</v>
      </c>
    </row>
    <row r="3624" spans="1:8" x14ac:dyDescent="0.15">
      <c r="A3624">
        <v>3623</v>
      </c>
      <c r="B3624" t="s">
        <v>339</v>
      </c>
      <c r="C3624" t="s">
        <v>353</v>
      </c>
      <c r="D3624" t="s">
        <v>7004</v>
      </c>
      <c r="E3624" t="s">
        <v>768</v>
      </c>
      <c r="F3624" s="46">
        <v>46097.32590822917</v>
      </c>
      <c r="G3624" s="46">
        <v>46097.32590822917</v>
      </c>
      <c r="H3624">
        <v>0</v>
      </c>
    </row>
    <row r="3625" spans="1:8" x14ac:dyDescent="0.15">
      <c r="A3625">
        <v>3624</v>
      </c>
      <c r="B3625" t="s">
        <v>339</v>
      </c>
      <c r="C3625" t="s">
        <v>353</v>
      </c>
      <c r="D3625" t="s">
        <v>7005</v>
      </c>
      <c r="E3625" t="s">
        <v>768</v>
      </c>
      <c r="F3625" s="46">
        <v>46097.32590822917</v>
      </c>
      <c r="G3625" s="46">
        <v>46097.32590822917</v>
      </c>
      <c r="H3625">
        <v>0</v>
      </c>
    </row>
    <row r="3626" spans="1:8" x14ac:dyDescent="0.15">
      <c r="A3626">
        <v>3625</v>
      </c>
      <c r="B3626" t="s">
        <v>339</v>
      </c>
      <c r="C3626" t="s">
        <v>353</v>
      </c>
      <c r="D3626" t="s">
        <v>7006</v>
      </c>
      <c r="E3626" t="s">
        <v>768</v>
      </c>
      <c r="F3626" s="46">
        <v>46097.32590822917</v>
      </c>
      <c r="G3626" s="46">
        <v>46097.32590841435</v>
      </c>
      <c r="H3626">
        <v>15</v>
      </c>
    </row>
    <row r="3627" spans="1:8" x14ac:dyDescent="0.15">
      <c r="A3627">
        <v>3626</v>
      </c>
      <c r="B3627" t="s">
        <v>339</v>
      </c>
      <c r="C3627" t="s">
        <v>353</v>
      </c>
      <c r="D3627" t="s">
        <v>7007</v>
      </c>
      <c r="E3627" t="s">
        <v>768</v>
      </c>
      <c r="F3627" s="46">
        <v>46097.32590841435</v>
      </c>
      <c r="G3627" s="46">
        <v>46097.32590841435</v>
      </c>
      <c r="H3627">
        <v>0</v>
      </c>
    </row>
    <row r="3628" spans="1:8" x14ac:dyDescent="0.15">
      <c r="A3628">
        <v>3627</v>
      </c>
      <c r="B3628" t="s">
        <v>339</v>
      </c>
      <c r="C3628" t="s">
        <v>353</v>
      </c>
      <c r="D3628" t="s">
        <v>7008</v>
      </c>
      <c r="E3628" t="s">
        <v>768</v>
      </c>
      <c r="F3628" s="46">
        <v>46097.32590841435</v>
      </c>
      <c r="G3628" s="46">
        <v>46097.32590841435</v>
      </c>
      <c r="H3628">
        <v>0</v>
      </c>
    </row>
    <row r="3629" spans="1:8" x14ac:dyDescent="0.15">
      <c r="A3629">
        <v>3628</v>
      </c>
      <c r="B3629" t="s">
        <v>339</v>
      </c>
      <c r="C3629" t="s">
        <v>353</v>
      </c>
      <c r="D3629" t="s">
        <v>7009</v>
      </c>
      <c r="E3629" t="s">
        <v>768</v>
      </c>
      <c r="F3629" s="46">
        <v>46097.32590841435</v>
      </c>
      <c r="G3629" s="46">
        <v>46097.32590841435</v>
      </c>
      <c r="H3629">
        <v>0</v>
      </c>
    </row>
    <row r="3630" spans="1:8" x14ac:dyDescent="0.15">
      <c r="A3630">
        <v>3629</v>
      </c>
      <c r="B3630" t="s">
        <v>339</v>
      </c>
      <c r="C3630" t="s">
        <v>353</v>
      </c>
      <c r="D3630" t="s">
        <v>7010</v>
      </c>
      <c r="E3630" t="s">
        <v>768</v>
      </c>
      <c r="F3630" s="46">
        <v>46097.32590841435</v>
      </c>
      <c r="G3630" s="46">
        <v>46097.32590841435</v>
      </c>
      <c r="H3630">
        <v>0</v>
      </c>
    </row>
    <row r="3631" spans="1:8" x14ac:dyDescent="0.15">
      <c r="A3631">
        <v>3630</v>
      </c>
      <c r="B3631" t="s">
        <v>339</v>
      </c>
      <c r="C3631" t="s">
        <v>353</v>
      </c>
      <c r="D3631" t="s">
        <v>7011</v>
      </c>
      <c r="E3631" t="s">
        <v>768</v>
      </c>
      <c r="F3631" s="46">
        <v>46097.32590841435</v>
      </c>
      <c r="G3631" s="46">
        <v>46097.32590841435</v>
      </c>
      <c r="H3631">
        <v>0</v>
      </c>
    </row>
    <row r="3632" spans="1:8" x14ac:dyDescent="0.15">
      <c r="A3632">
        <v>3631</v>
      </c>
      <c r="B3632" t="s">
        <v>339</v>
      </c>
      <c r="C3632" t="s">
        <v>353</v>
      </c>
      <c r="D3632" t="s">
        <v>7012</v>
      </c>
      <c r="E3632" t="s">
        <v>7013</v>
      </c>
      <c r="F3632" s="46">
        <v>46097.32590841435</v>
      </c>
      <c r="G3632" s="46">
        <v>46097.32590841435</v>
      </c>
      <c r="H3632">
        <v>0</v>
      </c>
    </row>
    <row r="3633" spans="1:8" x14ac:dyDescent="0.15">
      <c r="A3633">
        <v>3632</v>
      </c>
      <c r="B3633" t="s">
        <v>339</v>
      </c>
      <c r="C3633" t="s">
        <v>353</v>
      </c>
      <c r="D3633" t="s">
        <v>7014</v>
      </c>
      <c r="E3633" t="s">
        <v>7013</v>
      </c>
      <c r="F3633" s="46">
        <v>46097.32590841435</v>
      </c>
      <c r="G3633" s="46">
        <v>46097.32590841435</v>
      </c>
      <c r="H3633">
        <v>0</v>
      </c>
    </row>
    <row r="3634" spans="1:8" x14ac:dyDescent="0.15">
      <c r="A3634">
        <v>3633</v>
      </c>
      <c r="B3634" t="s">
        <v>339</v>
      </c>
      <c r="C3634" t="s">
        <v>353</v>
      </c>
      <c r="D3634" t="s">
        <v>7015</v>
      </c>
      <c r="E3634" t="s">
        <v>7016</v>
      </c>
      <c r="F3634" s="46">
        <v>46097.32590841435</v>
      </c>
      <c r="G3634" s="46">
        <v>46097.32590841435</v>
      </c>
      <c r="H3634">
        <v>0</v>
      </c>
    </row>
    <row r="3635" spans="1:8" x14ac:dyDescent="0.15">
      <c r="A3635">
        <v>3634</v>
      </c>
      <c r="B3635" t="s">
        <v>339</v>
      </c>
      <c r="C3635" t="s">
        <v>353</v>
      </c>
      <c r="D3635" t="s">
        <v>7017</v>
      </c>
      <c r="E3635" t="s">
        <v>7016</v>
      </c>
      <c r="F3635" s="46">
        <v>46097.32590841435</v>
      </c>
      <c r="G3635" s="46">
        <v>46097.32590841435</v>
      </c>
      <c r="H3635">
        <v>0</v>
      </c>
    </row>
    <row r="3636" spans="1:8" x14ac:dyDescent="0.15">
      <c r="A3636">
        <v>3635</v>
      </c>
      <c r="B3636" t="s">
        <v>339</v>
      </c>
      <c r="C3636" t="s">
        <v>353</v>
      </c>
      <c r="D3636" t="s">
        <v>7018</v>
      </c>
      <c r="E3636" t="s">
        <v>7019</v>
      </c>
      <c r="F3636" s="46">
        <v>46097.32590841435</v>
      </c>
      <c r="G3636" s="46">
        <v>46097.325908599538</v>
      </c>
      <c r="H3636">
        <v>16</v>
      </c>
    </row>
    <row r="3637" spans="1:8" x14ac:dyDescent="0.15">
      <c r="A3637">
        <v>3636</v>
      </c>
      <c r="B3637" t="s">
        <v>339</v>
      </c>
      <c r="C3637" t="s">
        <v>353</v>
      </c>
      <c r="D3637" t="s">
        <v>7020</v>
      </c>
      <c r="E3637" t="s">
        <v>7021</v>
      </c>
      <c r="F3637" s="46">
        <v>46097.325908599538</v>
      </c>
      <c r="G3637" s="46">
        <v>46097.325908599538</v>
      </c>
      <c r="H3637">
        <v>0</v>
      </c>
    </row>
    <row r="3638" spans="1:8" x14ac:dyDescent="0.15">
      <c r="A3638">
        <v>3637</v>
      </c>
      <c r="B3638" t="s">
        <v>339</v>
      </c>
      <c r="C3638" t="s">
        <v>353</v>
      </c>
      <c r="D3638" t="s">
        <v>7022</v>
      </c>
      <c r="E3638" t="s">
        <v>7021</v>
      </c>
      <c r="F3638" s="46">
        <v>46097.325908599538</v>
      </c>
      <c r="G3638" s="46">
        <v>46097.325908599538</v>
      </c>
      <c r="H3638">
        <v>0</v>
      </c>
    </row>
    <row r="3639" spans="1:8" x14ac:dyDescent="0.15">
      <c r="A3639">
        <v>3638</v>
      </c>
      <c r="B3639" t="s">
        <v>339</v>
      </c>
      <c r="C3639" t="s">
        <v>353</v>
      </c>
      <c r="D3639" t="s">
        <v>7023</v>
      </c>
      <c r="E3639" t="s">
        <v>7021</v>
      </c>
      <c r="F3639" s="46">
        <v>46097.325908599538</v>
      </c>
      <c r="G3639" s="46">
        <v>46097.325908599538</v>
      </c>
      <c r="H3639">
        <v>0</v>
      </c>
    </row>
    <row r="3640" spans="1:8" x14ac:dyDescent="0.15">
      <c r="A3640">
        <v>3639</v>
      </c>
      <c r="B3640" t="s">
        <v>339</v>
      </c>
      <c r="C3640" t="s">
        <v>353</v>
      </c>
      <c r="D3640" t="s">
        <v>7024</v>
      </c>
      <c r="E3640" t="s">
        <v>7025</v>
      </c>
      <c r="F3640" s="46">
        <v>46097.325908599538</v>
      </c>
      <c r="G3640" s="46">
        <v>46097.325908599538</v>
      </c>
      <c r="H3640">
        <v>0</v>
      </c>
    </row>
    <row r="3641" spans="1:8" x14ac:dyDescent="0.15">
      <c r="A3641">
        <v>3640</v>
      </c>
      <c r="B3641" t="s">
        <v>339</v>
      </c>
      <c r="C3641" t="s">
        <v>353</v>
      </c>
      <c r="D3641" t="s">
        <v>7026</v>
      </c>
      <c r="E3641" t="s">
        <v>7025</v>
      </c>
      <c r="F3641" s="46">
        <v>46097.325908599538</v>
      </c>
      <c r="G3641" s="46">
        <v>46097.325908599538</v>
      </c>
      <c r="H3641">
        <v>0</v>
      </c>
    </row>
    <row r="3642" spans="1:8" x14ac:dyDescent="0.15">
      <c r="A3642">
        <v>3641</v>
      </c>
      <c r="B3642" t="s">
        <v>339</v>
      </c>
      <c r="C3642" t="s">
        <v>353</v>
      </c>
      <c r="D3642" t="s">
        <v>7027</v>
      </c>
      <c r="E3642" t="s">
        <v>7028</v>
      </c>
      <c r="F3642" s="46">
        <v>46097.325908599538</v>
      </c>
      <c r="G3642" s="46">
        <v>46097.325908599538</v>
      </c>
      <c r="H3642">
        <v>0</v>
      </c>
    </row>
    <row r="3643" spans="1:8" x14ac:dyDescent="0.15">
      <c r="A3643">
        <v>3642</v>
      </c>
      <c r="B3643" t="s">
        <v>339</v>
      </c>
      <c r="C3643" t="s">
        <v>353</v>
      </c>
      <c r="D3643" t="s">
        <v>7029</v>
      </c>
      <c r="E3643" t="s">
        <v>7028</v>
      </c>
      <c r="F3643" s="46">
        <v>46097.325908599538</v>
      </c>
      <c r="G3643" s="46">
        <v>46097.325908599538</v>
      </c>
      <c r="H3643">
        <v>0</v>
      </c>
    </row>
    <row r="3644" spans="1:8" x14ac:dyDescent="0.15">
      <c r="A3644">
        <v>3643</v>
      </c>
      <c r="B3644" t="s">
        <v>339</v>
      </c>
      <c r="C3644" t="s">
        <v>353</v>
      </c>
      <c r="D3644" t="s">
        <v>7030</v>
      </c>
      <c r="E3644" t="s">
        <v>7028</v>
      </c>
      <c r="F3644" s="46">
        <v>46097.325908599538</v>
      </c>
      <c r="G3644" s="46">
        <v>46097.325908599538</v>
      </c>
      <c r="H3644">
        <v>0</v>
      </c>
    </row>
    <row r="3645" spans="1:8" x14ac:dyDescent="0.15">
      <c r="A3645">
        <v>3644</v>
      </c>
      <c r="B3645" t="s">
        <v>339</v>
      </c>
      <c r="C3645" t="s">
        <v>353</v>
      </c>
      <c r="D3645" t="s">
        <v>7031</v>
      </c>
      <c r="E3645" t="s">
        <v>7028</v>
      </c>
      <c r="F3645" s="46">
        <v>46097.325908599538</v>
      </c>
      <c r="G3645" s="46">
        <v>46097.325908599538</v>
      </c>
      <c r="H3645">
        <v>0</v>
      </c>
    </row>
    <row r="3646" spans="1:8" x14ac:dyDescent="0.15">
      <c r="A3646">
        <v>3645</v>
      </c>
      <c r="B3646" t="s">
        <v>339</v>
      </c>
      <c r="C3646" t="s">
        <v>353</v>
      </c>
      <c r="D3646" t="s">
        <v>7032</v>
      </c>
      <c r="E3646" t="s">
        <v>7028</v>
      </c>
      <c r="F3646" s="46">
        <v>46097.325908599538</v>
      </c>
      <c r="G3646" s="46">
        <v>46097.325908773149</v>
      </c>
      <c r="H3646">
        <v>16</v>
      </c>
    </row>
    <row r="3647" spans="1:8" x14ac:dyDescent="0.15">
      <c r="A3647">
        <v>3646</v>
      </c>
      <c r="B3647" t="s">
        <v>339</v>
      </c>
      <c r="C3647" t="s">
        <v>353</v>
      </c>
      <c r="D3647" t="s">
        <v>7033</v>
      </c>
      <c r="E3647" t="s">
        <v>7028</v>
      </c>
      <c r="F3647" s="46">
        <v>46097.325908773149</v>
      </c>
      <c r="G3647" s="46">
        <v>46097.325908773149</v>
      </c>
      <c r="H3647">
        <v>0</v>
      </c>
    </row>
    <row r="3648" spans="1:8" x14ac:dyDescent="0.15">
      <c r="A3648">
        <v>3647</v>
      </c>
      <c r="B3648" t="s">
        <v>339</v>
      </c>
      <c r="C3648" t="s">
        <v>353</v>
      </c>
      <c r="D3648" t="s">
        <v>7034</v>
      </c>
      <c r="E3648" t="s">
        <v>7028</v>
      </c>
      <c r="F3648" s="46">
        <v>46097.325908773149</v>
      </c>
      <c r="G3648" s="46">
        <v>46097.325908773149</v>
      </c>
      <c r="H3648">
        <v>0</v>
      </c>
    </row>
    <row r="3649" spans="1:8" x14ac:dyDescent="0.15">
      <c r="A3649">
        <v>3648</v>
      </c>
      <c r="B3649" t="s">
        <v>339</v>
      </c>
      <c r="C3649" t="s">
        <v>353</v>
      </c>
      <c r="D3649" t="s">
        <v>7035</v>
      </c>
      <c r="E3649" t="s">
        <v>7028</v>
      </c>
      <c r="F3649" s="46">
        <v>46097.325908773149</v>
      </c>
      <c r="G3649" s="46">
        <v>46097.325908773149</v>
      </c>
      <c r="H3649">
        <v>0</v>
      </c>
    </row>
    <row r="3650" spans="1:8" x14ac:dyDescent="0.15">
      <c r="A3650">
        <v>3649</v>
      </c>
      <c r="B3650" t="s">
        <v>339</v>
      </c>
      <c r="C3650" t="s">
        <v>353</v>
      </c>
      <c r="D3650" t="s">
        <v>7036</v>
      </c>
      <c r="E3650" t="s">
        <v>7028</v>
      </c>
      <c r="F3650" s="46">
        <v>46097.325908773149</v>
      </c>
      <c r="G3650" s="46">
        <v>46097.325908773149</v>
      </c>
      <c r="H3650">
        <v>0</v>
      </c>
    </row>
    <row r="3651" spans="1:8" x14ac:dyDescent="0.15">
      <c r="A3651">
        <v>3650</v>
      </c>
      <c r="B3651" t="s">
        <v>339</v>
      </c>
      <c r="C3651" t="s">
        <v>353</v>
      </c>
      <c r="D3651" t="s">
        <v>7037</v>
      </c>
      <c r="E3651" t="s">
        <v>7028</v>
      </c>
      <c r="F3651" s="46">
        <v>46097.325908773149</v>
      </c>
      <c r="G3651" s="46">
        <v>46097.325908773149</v>
      </c>
      <c r="H3651">
        <v>0</v>
      </c>
    </row>
    <row r="3652" spans="1:8" x14ac:dyDescent="0.15">
      <c r="A3652">
        <v>3651</v>
      </c>
      <c r="B3652" t="s">
        <v>339</v>
      </c>
      <c r="C3652" t="s">
        <v>353</v>
      </c>
      <c r="D3652" t="s">
        <v>7038</v>
      </c>
      <c r="E3652" t="s">
        <v>7028</v>
      </c>
      <c r="F3652" s="46">
        <v>46097.325908773149</v>
      </c>
      <c r="G3652" s="46">
        <v>46097.325908773149</v>
      </c>
      <c r="H3652">
        <v>0</v>
      </c>
    </row>
    <row r="3653" spans="1:8" x14ac:dyDescent="0.15">
      <c r="A3653">
        <v>3652</v>
      </c>
      <c r="B3653" t="s">
        <v>339</v>
      </c>
      <c r="C3653" t="s">
        <v>353</v>
      </c>
      <c r="D3653" t="s">
        <v>7039</v>
      </c>
      <c r="E3653" t="s">
        <v>7040</v>
      </c>
      <c r="F3653" s="46">
        <v>46097.325908773149</v>
      </c>
      <c r="G3653" s="46">
        <v>46097.325908773149</v>
      </c>
      <c r="H3653">
        <v>0</v>
      </c>
    </row>
    <row r="3654" spans="1:8" x14ac:dyDescent="0.15">
      <c r="A3654">
        <v>3653</v>
      </c>
      <c r="B3654" t="s">
        <v>339</v>
      </c>
      <c r="C3654" t="s">
        <v>353</v>
      </c>
      <c r="D3654" t="s">
        <v>7041</v>
      </c>
      <c r="E3654" t="s">
        <v>7042</v>
      </c>
      <c r="F3654" s="46">
        <v>46097.325908773149</v>
      </c>
      <c r="G3654" s="46">
        <v>46097.325908773149</v>
      </c>
      <c r="H3654">
        <v>0</v>
      </c>
    </row>
    <row r="3655" spans="1:8" x14ac:dyDescent="0.15">
      <c r="A3655">
        <v>3654</v>
      </c>
      <c r="B3655" t="s">
        <v>339</v>
      </c>
      <c r="C3655" t="s">
        <v>353</v>
      </c>
      <c r="D3655" t="s">
        <v>7043</v>
      </c>
      <c r="E3655" t="s">
        <v>7042</v>
      </c>
      <c r="F3655" s="46">
        <v>46097.325908773149</v>
      </c>
      <c r="G3655" s="46">
        <v>46097.325908773149</v>
      </c>
      <c r="H3655">
        <v>0</v>
      </c>
    </row>
    <row r="3656" spans="1:8" x14ac:dyDescent="0.15">
      <c r="A3656">
        <v>3655</v>
      </c>
      <c r="B3656" t="s">
        <v>339</v>
      </c>
      <c r="C3656" t="s">
        <v>353</v>
      </c>
      <c r="D3656" t="s">
        <v>7044</v>
      </c>
      <c r="E3656" t="s">
        <v>7042</v>
      </c>
      <c r="F3656" s="46">
        <v>46097.325908773149</v>
      </c>
      <c r="G3656" s="46">
        <v>46097.32590895833</v>
      </c>
      <c r="H3656">
        <v>15</v>
      </c>
    </row>
    <row r="3657" spans="1:8" x14ac:dyDescent="0.15">
      <c r="A3657">
        <v>3656</v>
      </c>
      <c r="B3657" t="s">
        <v>339</v>
      </c>
      <c r="C3657" t="s">
        <v>353</v>
      </c>
      <c r="D3657" t="s">
        <v>7045</v>
      </c>
      <c r="E3657" t="s">
        <v>7042</v>
      </c>
      <c r="F3657" s="46">
        <v>46097.32590895833</v>
      </c>
      <c r="G3657" s="46">
        <v>46097.32590895833</v>
      </c>
      <c r="H3657">
        <v>0</v>
      </c>
    </row>
    <row r="3658" spans="1:8" x14ac:dyDescent="0.15">
      <c r="A3658">
        <v>3657</v>
      </c>
      <c r="B3658" t="s">
        <v>339</v>
      </c>
      <c r="C3658" t="s">
        <v>353</v>
      </c>
      <c r="D3658" t="s">
        <v>7046</v>
      </c>
      <c r="E3658" t="s">
        <v>7042</v>
      </c>
      <c r="F3658" s="46">
        <v>46097.32590895833</v>
      </c>
      <c r="G3658" s="46">
        <v>46097.32590895833</v>
      </c>
      <c r="H3658">
        <v>0</v>
      </c>
    </row>
    <row r="3659" spans="1:8" x14ac:dyDescent="0.15">
      <c r="A3659">
        <v>3658</v>
      </c>
      <c r="B3659" t="s">
        <v>339</v>
      </c>
      <c r="C3659" t="s">
        <v>353</v>
      </c>
      <c r="D3659" t="s">
        <v>7047</v>
      </c>
      <c r="E3659" t="s">
        <v>7042</v>
      </c>
      <c r="F3659" s="46">
        <v>46097.32590895833</v>
      </c>
      <c r="G3659" s="46">
        <v>46097.32590895833</v>
      </c>
      <c r="H3659">
        <v>0</v>
      </c>
    </row>
    <row r="3660" spans="1:8" x14ac:dyDescent="0.15">
      <c r="A3660">
        <v>3659</v>
      </c>
      <c r="B3660" t="s">
        <v>339</v>
      </c>
      <c r="C3660" t="s">
        <v>353</v>
      </c>
      <c r="D3660" t="s">
        <v>7048</v>
      </c>
      <c r="E3660" t="s">
        <v>7042</v>
      </c>
      <c r="F3660" s="46">
        <v>46097.32590895833</v>
      </c>
      <c r="G3660" s="46">
        <v>46097.32590895833</v>
      </c>
      <c r="H3660">
        <v>0</v>
      </c>
    </row>
    <row r="3661" spans="1:8" x14ac:dyDescent="0.15">
      <c r="A3661">
        <v>3660</v>
      </c>
      <c r="B3661" t="s">
        <v>339</v>
      </c>
      <c r="C3661" t="s">
        <v>353</v>
      </c>
      <c r="D3661" t="s">
        <v>7049</v>
      </c>
      <c r="E3661" t="s">
        <v>7042</v>
      </c>
      <c r="F3661" s="46">
        <v>46097.32590895833</v>
      </c>
      <c r="G3661" s="46">
        <v>46097.32590895833</v>
      </c>
      <c r="H3661">
        <v>0</v>
      </c>
    </row>
    <row r="3662" spans="1:8" x14ac:dyDescent="0.15">
      <c r="A3662">
        <v>3661</v>
      </c>
      <c r="B3662" t="s">
        <v>339</v>
      </c>
      <c r="C3662" t="s">
        <v>353</v>
      </c>
      <c r="D3662" t="s">
        <v>7050</v>
      </c>
      <c r="E3662" t="s">
        <v>7042</v>
      </c>
      <c r="F3662" s="46">
        <v>46097.32590895833</v>
      </c>
      <c r="G3662" s="46">
        <v>46097.32590895833</v>
      </c>
      <c r="H3662">
        <v>0</v>
      </c>
    </row>
    <row r="3663" spans="1:8" x14ac:dyDescent="0.15">
      <c r="A3663">
        <v>3662</v>
      </c>
      <c r="B3663" t="s">
        <v>339</v>
      </c>
      <c r="C3663" t="s">
        <v>353</v>
      </c>
      <c r="D3663" t="s">
        <v>7051</v>
      </c>
      <c r="E3663" t="s">
        <v>7042</v>
      </c>
      <c r="F3663" s="46">
        <v>46097.32590895833</v>
      </c>
      <c r="G3663" s="46">
        <v>46097.32590895833</v>
      </c>
      <c r="H3663">
        <v>0</v>
      </c>
    </row>
    <row r="3664" spans="1:8" x14ac:dyDescent="0.15">
      <c r="A3664">
        <v>3663</v>
      </c>
      <c r="B3664" t="s">
        <v>339</v>
      </c>
      <c r="C3664" t="s">
        <v>353</v>
      </c>
      <c r="D3664" t="s">
        <v>7052</v>
      </c>
      <c r="E3664" t="s">
        <v>7042</v>
      </c>
      <c r="F3664" s="46">
        <v>46097.32590895833</v>
      </c>
      <c r="G3664" s="46">
        <v>46097.32590895833</v>
      </c>
      <c r="H3664">
        <v>0</v>
      </c>
    </row>
    <row r="3665" spans="1:8" x14ac:dyDescent="0.15">
      <c r="A3665">
        <v>3664</v>
      </c>
      <c r="B3665" t="s">
        <v>339</v>
      </c>
      <c r="C3665" t="s">
        <v>353</v>
      </c>
      <c r="D3665" t="s">
        <v>7053</v>
      </c>
      <c r="E3665" t="s">
        <v>7054</v>
      </c>
      <c r="F3665" s="46">
        <v>46097.32590895833</v>
      </c>
      <c r="G3665" s="46">
        <v>46097.325909131941</v>
      </c>
      <c r="H3665">
        <v>16</v>
      </c>
    </row>
    <row r="3666" spans="1:8" x14ac:dyDescent="0.15">
      <c r="A3666">
        <v>3665</v>
      </c>
      <c r="B3666" t="s">
        <v>339</v>
      </c>
      <c r="C3666" t="s">
        <v>353</v>
      </c>
      <c r="D3666" t="s">
        <v>7055</v>
      </c>
      <c r="E3666" t="s">
        <v>7054</v>
      </c>
      <c r="F3666" s="46">
        <v>46097.325909131941</v>
      </c>
      <c r="G3666" s="46">
        <v>46097.325909131941</v>
      </c>
      <c r="H3666">
        <v>0</v>
      </c>
    </row>
    <row r="3667" spans="1:8" x14ac:dyDescent="0.15">
      <c r="A3667">
        <v>3666</v>
      </c>
      <c r="B3667" t="s">
        <v>339</v>
      </c>
      <c r="C3667" t="s">
        <v>353</v>
      </c>
      <c r="D3667" t="s">
        <v>7056</v>
      </c>
      <c r="E3667" t="s">
        <v>7054</v>
      </c>
      <c r="F3667" s="46">
        <v>46097.325909131941</v>
      </c>
      <c r="G3667" s="46">
        <v>46097.325909131941</v>
      </c>
      <c r="H3667">
        <v>0</v>
      </c>
    </row>
    <row r="3668" spans="1:8" x14ac:dyDescent="0.15">
      <c r="A3668">
        <v>3667</v>
      </c>
      <c r="B3668" t="s">
        <v>339</v>
      </c>
      <c r="C3668" t="s">
        <v>353</v>
      </c>
      <c r="D3668" t="s">
        <v>7057</v>
      </c>
      <c r="E3668" t="s">
        <v>7054</v>
      </c>
      <c r="F3668" s="46">
        <v>46097.325909131941</v>
      </c>
      <c r="G3668" s="46">
        <v>46097.325909131941</v>
      </c>
      <c r="H3668">
        <v>0</v>
      </c>
    </row>
    <row r="3669" spans="1:8" x14ac:dyDescent="0.15">
      <c r="A3669">
        <v>3668</v>
      </c>
      <c r="B3669" t="s">
        <v>339</v>
      </c>
      <c r="C3669" t="s">
        <v>353</v>
      </c>
      <c r="D3669" t="s">
        <v>7058</v>
      </c>
      <c r="E3669" t="s">
        <v>7054</v>
      </c>
      <c r="F3669" s="46">
        <v>46097.325909131941</v>
      </c>
      <c r="G3669" s="46">
        <v>46097.325909131941</v>
      </c>
      <c r="H3669">
        <v>0</v>
      </c>
    </row>
    <row r="3670" spans="1:8" x14ac:dyDescent="0.15">
      <c r="A3670">
        <v>3669</v>
      </c>
      <c r="B3670" t="s">
        <v>339</v>
      </c>
      <c r="C3670" t="s">
        <v>353</v>
      </c>
      <c r="D3670" t="s">
        <v>7059</v>
      </c>
      <c r="E3670" t="s">
        <v>7060</v>
      </c>
      <c r="F3670" s="46">
        <v>46097.325909131941</v>
      </c>
      <c r="G3670" s="46">
        <v>46097.325909131941</v>
      </c>
      <c r="H3670">
        <v>0</v>
      </c>
    </row>
    <row r="3671" spans="1:8" x14ac:dyDescent="0.15">
      <c r="A3671">
        <v>3670</v>
      </c>
      <c r="B3671" t="s">
        <v>339</v>
      </c>
      <c r="C3671" t="s">
        <v>353</v>
      </c>
      <c r="D3671" t="s">
        <v>7061</v>
      </c>
      <c r="E3671" t="s">
        <v>7062</v>
      </c>
      <c r="F3671" s="46">
        <v>46097.325909131941</v>
      </c>
      <c r="G3671" s="46">
        <v>46097.325909131941</v>
      </c>
      <c r="H3671">
        <v>0</v>
      </c>
    </row>
    <row r="3672" spans="1:8" x14ac:dyDescent="0.15">
      <c r="A3672">
        <v>3671</v>
      </c>
      <c r="B3672" t="s">
        <v>339</v>
      </c>
      <c r="C3672" t="s">
        <v>353</v>
      </c>
      <c r="D3672" t="s">
        <v>7063</v>
      </c>
      <c r="E3672" t="s">
        <v>7062</v>
      </c>
      <c r="F3672" s="46">
        <v>46097.325909131941</v>
      </c>
      <c r="G3672" s="46">
        <v>46097.325909131941</v>
      </c>
      <c r="H3672">
        <v>0</v>
      </c>
    </row>
    <row r="3673" spans="1:8" x14ac:dyDescent="0.15">
      <c r="A3673">
        <v>3672</v>
      </c>
      <c r="B3673" t="s">
        <v>339</v>
      </c>
      <c r="C3673" t="s">
        <v>353</v>
      </c>
      <c r="D3673" t="s">
        <v>7064</v>
      </c>
      <c r="E3673" t="s">
        <v>7065</v>
      </c>
      <c r="F3673" s="46">
        <v>46097.325909131941</v>
      </c>
      <c r="G3673" s="46">
        <v>46097.325909131941</v>
      </c>
      <c r="H3673">
        <v>0</v>
      </c>
    </row>
    <row r="3674" spans="1:8" x14ac:dyDescent="0.15">
      <c r="A3674">
        <v>3673</v>
      </c>
      <c r="B3674" t="s">
        <v>339</v>
      </c>
      <c r="C3674" t="s">
        <v>353</v>
      </c>
      <c r="D3674" t="s">
        <v>7066</v>
      </c>
      <c r="E3674" t="s">
        <v>7067</v>
      </c>
      <c r="F3674" s="46">
        <v>46097.325909131941</v>
      </c>
      <c r="G3674" s="46">
        <v>46097.325909317129</v>
      </c>
      <c r="H3674">
        <v>16</v>
      </c>
    </row>
    <row r="3675" spans="1:8" x14ac:dyDescent="0.15">
      <c r="A3675">
        <v>3674</v>
      </c>
      <c r="B3675" t="s">
        <v>339</v>
      </c>
      <c r="C3675" t="s">
        <v>353</v>
      </c>
      <c r="D3675" t="s">
        <v>7068</v>
      </c>
      <c r="E3675" t="s">
        <v>7067</v>
      </c>
      <c r="F3675" s="46">
        <v>46097.325909317129</v>
      </c>
      <c r="G3675" s="46">
        <v>46097.325909317129</v>
      </c>
      <c r="H3675">
        <v>0</v>
      </c>
    </row>
    <row r="3676" spans="1:8" x14ac:dyDescent="0.15">
      <c r="A3676">
        <v>3675</v>
      </c>
      <c r="B3676" t="s">
        <v>339</v>
      </c>
      <c r="C3676" t="s">
        <v>353</v>
      </c>
      <c r="D3676" t="s">
        <v>7069</v>
      </c>
      <c r="E3676" t="s">
        <v>7067</v>
      </c>
      <c r="F3676" s="46">
        <v>46097.325909317129</v>
      </c>
      <c r="G3676" s="46">
        <v>46097.325909317129</v>
      </c>
      <c r="H3676">
        <v>0</v>
      </c>
    </row>
    <row r="3677" spans="1:8" x14ac:dyDescent="0.15">
      <c r="A3677">
        <v>3676</v>
      </c>
      <c r="B3677" t="s">
        <v>339</v>
      </c>
      <c r="C3677" t="s">
        <v>353</v>
      </c>
      <c r="D3677" t="s">
        <v>7070</v>
      </c>
      <c r="E3677" t="s">
        <v>7067</v>
      </c>
      <c r="F3677" s="46">
        <v>46097.325909317129</v>
      </c>
      <c r="G3677" s="46">
        <v>46097.325909317129</v>
      </c>
      <c r="H3677">
        <v>0</v>
      </c>
    </row>
    <row r="3678" spans="1:8" x14ac:dyDescent="0.15">
      <c r="A3678">
        <v>3677</v>
      </c>
      <c r="B3678" t="s">
        <v>339</v>
      </c>
      <c r="C3678" t="s">
        <v>353</v>
      </c>
      <c r="D3678" t="s">
        <v>7071</v>
      </c>
      <c r="E3678" t="s">
        <v>7067</v>
      </c>
      <c r="F3678" s="46">
        <v>46097.325909317129</v>
      </c>
      <c r="G3678" s="46">
        <v>46097.325909317129</v>
      </c>
      <c r="H3678">
        <v>0</v>
      </c>
    </row>
    <row r="3679" spans="1:8" x14ac:dyDescent="0.15">
      <c r="A3679">
        <v>3678</v>
      </c>
      <c r="B3679" t="s">
        <v>339</v>
      </c>
      <c r="C3679" t="s">
        <v>353</v>
      </c>
      <c r="D3679" t="s">
        <v>7072</v>
      </c>
      <c r="E3679" t="s">
        <v>7067</v>
      </c>
      <c r="F3679" s="46">
        <v>46097.325909317129</v>
      </c>
      <c r="G3679" s="46">
        <v>46097.325909317129</v>
      </c>
      <c r="H3679">
        <v>0</v>
      </c>
    </row>
    <row r="3680" spans="1:8" x14ac:dyDescent="0.15">
      <c r="A3680">
        <v>3679</v>
      </c>
      <c r="B3680" t="s">
        <v>339</v>
      </c>
      <c r="C3680" t="s">
        <v>353</v>
      </c>
      <c r="D3680" t="s">
        <v>7073</v>
      </c>
      <c r="E3680" t="s">
        <v>7067</v>
      </c>
      <c r="F3680" s="46">
        <v>46097.325909317129</v>
      </c>
      <c r="G3680" s="46">
        <v>46097.325909317129</v>
      </c>
      <c r="H3680">
        <v>0</v>
      </c>
    </row>
    <row r="3681" spans="1:8" x14ac:dyDescent="0.15">
      <c r="A3681">
        <v>3680</v>
      </c>
      <c r="B3681" t="s">
        <v>339</v>
      </c>
      <c r="C3681" t="s">
        <v>353</v>
      </c>
      <c r="D3681" t="s">
        <v>7074</v>
      </c>
      <c r="E3681" t="s">
        <v>7067</v>
      </c>
      <c r="F3681" s="46">
        <v>46097.325909317129</v>
      </c>
      <c r="G3681" s="46">
        <v>46097.325909317129</v>
      </c>
      <c r="H3681">
        <v>0</v>
      </c>
    </row>
    <row r="3682" spans="1:8" x14ac:dyDescent="0.15">
      <c r="A3682">
        <v>3681</v>
      </c>
      <c r="B3682" t="s">
        <v>339</v>
      </c>
      <c r="C3682" t="s">
        <v>353</v>
      </c>
      <c r="D3682" t="s">
        <v>7075</v>
      </c>
      <c r="E3682" t="s">
        <v>7067</v>
      </c>
      <c r="F3682" s="46">
        <v>46097.325909317129</v>
      </c>
      <c r="G3682" s="46">
        <v>46097.325909317129</v>
      </c>
      <c r="H3682">
        <v>0</v>
      </c>
    </row>
    <row r="3683" spans="1:8" x14ac:dyDescent="0.15">
      <c r="A3683">
        <v>3682</v>
      </c>
      <c r="B3683" t="s">
        <v>339</v>
      </c>
      <c r="C3683" t="s">
        <v>353</v>
      </c>
      <c r="D3683" t="s">
        <v>7076</v>
      </c>
      <c r="E3683" t="s">
        <v>7067</v>
      </c>
      <c r="F3683" s="46">
        <v>46097.325909317129</v>
      </c>
      <c r="G3683" s="46">
        <v>46097.325909317129</v>
      </c>
      <c r="H3683">
        <v>0</v>
      </c>
    </row>
    <row r="3684" spans="1:8" x14ac:dyDescent="0.15">
      <c r="A3684">
        <v>3683</v>
      </c>
      <c r="B3684" t="s">
        <v>339</v>
      </c>
      <c r="C3684" t="s">
        <v>353</v>
      </c>
      <c r="D3684" t="s">
        <v>7077</v>
      </c>
      <c r="E3684" t="s">
        <v>7078</v>
      </c>
      <c r="F3684" s="46">
        <v>46097.325909317129</v>
      </c>
      <c r="G3684" s="46">
        <v>46097.325909502317</v>
      </c>
      <c r="H3684">
        <v>15</v>
      </c>
    </row>
    <row r="3685" spans="1:8" x14ac:dyDescent="0.15">
      <c r="A3685">
        <v>3684</v>
      </c>
      <c r="B3685" t="s">
        <v>339</v>
      </c>
      <c r="C3685" t="s">
        <v>353</v>
      </c>
      <c r="D3685" t="s">
        <v>7079</v>
      </c>
      <c r="E3685" t="s">
        <v>770</v>
      </c>
      <c r="F3685" s="46">
        <v>46097.325909502317</v>
      </c>
      <c r="G3685" s="46">
        <v>46097.325909502317</v>
      </c>
      <c r="H3685">
        <v>0</v>
      </c>
    </row>
    <row r="3686" spans="1:8" x14ac:dyDescent="0.15">
      <c r="A3686">
        <v>3685</v>
      </c>
      <c r="B3686" t="s">
        <v>339</v>
      </c>
      <c r="C3686" t="s">
        <v>353</v>
      </c>
      <c r="D3686" t="s">
        <v>7080</v>
      </c>
      <c r="E3686" t="s">
        <v>7081</v>
      </c>
      <c r="F3686" s="46">
        <v>46097.325909502317</v>
      </c>
      <c r="G3686" s="46">
        <v>46097.325909502317</v>
      </c>
      <c r="H3686">
        <v>0</v>
      </c>
    </row>
    <row r="3687" spans="1:8" x14ac:dyDescent="0.15">
      <c r="A3687">
        <v>3686</v>
      </c>
      <c r="B3687" t="s">
        <v>339</v>
      </c>
      <c r="C3687" t="s">
        <v>353</v>
      </c>
      <c r="D3687" t="s">
        <v>7082</v>
      </c>
      <c r="E3687" t="s">
        <v>7081</v>
      </c>
      <c r="F3687" s="46">
        <v>46097.325909502317</v>
      </c>
      <c r="G3687" s="46">
        <v>46097.325909502317</v>
      </c>
      <c r="H3687">
        <v>0</v>
      </c>
    </row>
    <row r="3688" spans="1:8" x14ac:dyDescent="0.15">
      <c r="A3688">
        <v>3687</v>
      </c>
      <c r="B3688" t="s">
        <v>339</v>
      </c>
      <c r="C3688" t="s">
        <v>353</v>
      </c>
      <c r="D3688" t="s">
        <v>7083</v>
      </c>
      <c r="E3688" t="s">
        <v>7081</v>
      </c>
      <c r="F3688" s="46">
        <v>46097.325909502317</v>
      </c>
      <c r="G3688" s="46">
        <v>46097.325909502317</v>
      </c>
      <c r="H3688">
        <v>0</v>
      </c>
    </row>
    <row r="3689" spans="1:8" x14ac:dyDescent="0.15">
      <c r="A3689">
        <v>3688</v>
      </c>
      <c r="B3689" t="s">
        <v>339</v>
      </c>
      <c r="C3689" t="s">
        <v>353</v>
      </c>
      <c r="D3689" t="s">
        <v>7084</v>
      </c>
      <c r="E3689" t="s">
        <v>7085</v>
      </c>
      <c r="F3689" s="46">
        <v>46097.325909502317</v>
      </c>
      <c r="G3689" s="46">
        <v>46097.325909502317</v>
      </c>
      <c r="H3689">
        <v>0</v>
      </c>
    </row>
    <row r="3690" spans="1:8" x14ac:dyDescent="0.15">
      <c r="A3690">
        <v>3689</v>
      </c>
      <c r="B3690" t="s">
        <v>339</v>
      </c>
      <c r="C3690" t="s">
        <v>353</v>
      </c>
      <c r="D3690" t="s">
        <v>7086</v>
      </c>
      <c r="E3690" t="s">
        <v>7085</v>
      </c>
      <c r="F3690" s="46">
        <v>46097.325909502317</v>
      </c>
      <c r="G3690" s="46">
        <v>46097.325909502317</v>
      </c>
      <c r="H3690">
        <v>0</v>
      </c>
    </row>
    <row r="3691" spans="1:8" x14ac:dyDescent="0.15">
      <c r="A3691">
        <v>3690</v>
      </c>
      <c r="B3691" t="s">
        <v>339</v>
      </c>
      <c r="C3691" t="s">
        <v>353</v>
      </c>
      <c r="D3691" t="s">
        <v>7087</v>
      </c>
      <c r="E3691" t="s">
        <v>7088</v>
      </c>
      <c r="F3691" s="46">
        <v>46097.325909502317</v>
      </c>
      <c r="G3691" s="46">
        <v>46097.325909502317</v>
      </c>
      <c r="H3691">
        <v>0</v>
      </c>
    </row>
    <row r="3692" spans="1:8" x14ac:dyDescent="0.15">
      <c r="A3692">
        <v>3691</v>
      </c>
      <c r="B3692" t="s">
        <v>339</v>
      </c>
      <c r="C3692" t="s">
        <v>353</v>
      </c>
      <c r="D3692" t="s">
        <v>7089</v>
      </c>
      <c r="E3692" t="s">
        <v>7088</v>
      </c>
      <c r="F3692" s="46">
        <v>46097.325909502317</v>
      </c>
      <c r="G3692" s="46">
        <v>46097.325909502317</v>
      </c>
      <c r="H3692">
        <v>0</v>
      </c>
    </row>
    <row r="3693" spans="1:8" x14ac:dyDescent="0.15">
      <c r="A3693">
        <v>3692</v>
      </c>
      <c r="B3693" t="s">
        <v>339</v>
      </c>
      <c r="C3693" t="s">
        <v>353</v>
      </c>
      <c r="D3693" t="s">
        <v>7090</v>
      </c>
      <c r="E3693" t="s">
        <v>7088</v>
      </c>
      <c r="F3693" s="46">
        <v>46097.325909502317</v>
      </c>
      <c r="G3693" s="46">
        <v>46097.325909502317</v>
      </c>
      <c r="H3693">
        <v>0</v>
      </c>
    </row>
    <row r="3694" spans="1:8" x14ac:dyDescent="0.15">
      <c r="A3694">
        <v>3693</v>
      </c>
      <c r="B3694" t="s">
        <v>339</v>
      </c>
      <c r="C3694" t="s">
        <v>353</v>
      </c>
      <c r="D3694" t="s">
        <v>7091</v>
      </c>
      <c r="E3694" t="s">
        <v>7088</v>
      </c>
      <c r="F3694" s="46">
        <v>46097.325909502317</v>
      </c>
      <c r="G3694" s="46">
        <v>46097.325909675928</v>
      </c>
      <c r="H3694">
        <v>16</v>
      </c>
    </row>
    <row r="3695" spans="1:8" x14ac:dyDescent="0.15">
      <c r="A3695">
        <v>3694</v>
      </c>
      <c r="B3695" t="s">
        <v>339</v>
      </c>
      <c r="C3695" t="s">
        <v>353</v>
      </c>
      <c r="D3695" t="s">
        <v>7092</v>
      </c>
      <c r="E3695" t="s">
        <v>7093</v>
      </c>
      <c r="F3695" s="46">
        <v>46097.325909675928</v>
      </c>
      <c r="G3695" s="46">
        <v>46097.325909675928</v>
      </c>
      <c r="H3695">
        <v>0</v>
      </c>
    </row>
    <row r="3696" spans="1:8" x14ac:dyDescent="0.15">
      <c r="A3696">
        <v>3695</v>
      </c>
      <c r="B3696" t="s">
        <v>339</v>
      </c>
      <c r="C3696" t="s">
        <v>353</v>
      </c>
      <c r="D3696" t="s">
        <v>7094</v>
      </c>
      <c r="E3696" t="s">
        <v>7095</v>
      </c>
      <c r="F3696" s="46">
        <v>46097.325909675928</v>
      </c>
      <c r="G3696" s="46">
        <v>46097.325909675928</v>
      </c>
      <c r="H3696">
        <v>0</v>
      </c>
    </row>
    <row r="3697" spans="1:8" x14ac:dyDescent="0.15">
      <c r="A3697">
        <v>3696</v>
      </c>
      <c r="B3697" t="s">
        <v>339</v>
      </c>
      <c r="C3697" t="s">
        <v>353</v>
      </c>
      <c r="D3697" t="s">
        <v>7096</v>
      </c>
      <c r="E3697" t="s">
        <v>7095</v>
      </c>
      <c r="F3697" s="46">
        <v>46097.325909675928</v>
      </c>
      <c r="G3697" s="46">
        <v>46097.325909675928</v>
      </c>
      <c r="H3697">
        <v>0</v>
      </c>
    </row>
    <row r="3698" spans="1:8" x14ac:dyDescent="0.15">
      <c r="A3698">
        <v>3697</v>
      </c>
      <c r="B3698" t="s">
        <v>339</v>
      </c>
      <c r="C3698" t="s">
        <v>353</v>
      </c>
      <c r="D3698" t="s">
        <v>7097</v>
      </c>
      <c r="E3698" t="s">
        <v>7098</v>
      </c>
      <c r="F3698" s="46">
        <v>46097.325909675928</v>
      </c>
      <c r="G3698" s="46">
        <v>46097.325909675928</v>
      </c>
      <c r="H3698">
        <v>0</v>
      </c>
    </row>
    <row r="3699" spans="1:8" x14ac:dyDescent="0.15">
      <c r="A3699">
        <v>3698</v>
      </c>
      <c r="B3699" t="s">
        <v>339</v>
      </c>
      <c r="C3699" t="s">
        <v>353</v>
      </c>
      <c r="D3699" t="s">
        <v>7099</v>
      </c>
      <c r="E3699" t="s">
        <v>7098</v>
      </c>
      <c r="F3699" s="46">
        <v>46097.325909675928</v>
      </c>
      <c r="G3699" s="46">
        <v>46097.325909675928</v>
      </c>
      <c r="H3699">
        <v>0</v>
      </c>
    </row>
    <row r="3700" spans="1:8" x14ac:dyDescent="0.15">
      <c r="A3700">
        <v>3699</v>
      </c>
      <c r="B3700" t="s">
        <v>339</v>
      </c>
      <c r="C3700" t="s">
        <v>353</v>
      </c>
      <c r="D3700" t="s">
        <v>7100</v>
      </c>
      <c r="E3700" t="s">
        <v>7098</v>
      </c>
      <c r="F3700" s="46">
        <v>46097.325909675928</v>
      </c>
      <c r="G3700" s="46">
        <v>46097.325909675928</v>
      </c>
      <c r="H3700">
        <v>0</v>
      </c>
    </row>
    <row r="3701" spans="1:8" x14ac:dyDescent="0.15">
      <c r="A3701">
        <v>3700</v>
      </c>
      <c r="B3701" t="s">
        <v>339</v>
      </c>
      <c r="C3701" t="s">
        <v>353</v>
      </c>
      <c r="D3701" t="s">
        <v>7101</v>
      </c>
      <c r="E3701" t="s">
        <v>7098</v>
      </c>
      <c r="F3701" s="46">
        <v>46097.325909675928</v>
      </c>
      <c r="G3701" s="46">
        <v>46097.325909675928</v>
      </c>
      <c r="H3701">
        <v>0</v>
      </c>
    </row>
    <row r="3702" spans="1:8" x14ac:dyDescent="0.15">
      <c r="A3702">
        <v>3701</v>
      </c>
      <c r="B3702" t="s">
        <v>339</v>
      </c>
      <c r="C3702" t="s">
        <v>353</v>
      </c>
      <c r="D3702" t="s">
        <v>7102</v>
      </c>
      <c r="E3702" t="s">
        <v>7098</v>
      </c>
      <c r="F3702" s="46">
        <v>46097.325909675928</v>
      </c>
      <c r="G3702" s="46">
        <v>46097.325909675928</v>
      </c>
      <c r="H3702">
        <v>0</v>
      </c>
    </row>
    <row r="3703" spans="1:8" x14ac:dyDescent="0.15">
      <c r="A3703">
        <v>3702</v>
      </c>
      <c r="B3703" t="s">
        <v>339</v>
      </c>
      <c r="C3703" t="s">
        <v>353</v>
      </c>
      <c r="D3703" t="s">
        <v>7103</v>
      </c>
      <c r="E3703" t="s">
        <v>7098</v>
      </c>
      <c r="F3703" s="46">
        <v>46097.325909675928</v>
      </c>
      <c r="G3703" s="46">
        <v>46097.325909675928</v>
      </c>
      <c r="H3703">
        <v>0</v>
      </c>
    </row>
    <row r="3704" spans="1:8" x14ac:dyDescent="0.15">
      <c r="A3704">
        <v>3703</v>
      </c>
      <c r="B3704" t="s">
        <v>339</v>
      </c>
      <c r="C3704" t="s">
        <v>353</v>
      </c>
      <c r="D3704" t="s">
        <v>7104</v>
      </c>
      <c r="E3704" t="s">
        <v>7098</v>
      </c>
      <c r="F3704" s="46">
        <v>46097.325909675928</v>
      </c>
      <c r="G3704" s="46">
        <v>46097.325909861109</v>
      </c>
      <c r="H3704">
        <v>15</v>
      </c>
    </row>
    <row r="3705" spans="1:8" x14ac:dyDescent="0.15">
      <c r="A3705">
        <v>3704</v>
      </c>
      <c r="B3705" t="s">
        <v>339</v>
      </c>
      <c r="C3705" t="s">
        <v>353</v>
      </c>
      <c r="D3705" t="s">
        <v>7105</v>
      </c>
      <c r="E3705" t="s">
        <v>7098</v>
      </c>
      <c r="F3705" s="46">
        <v>46097.325909861109</v>
      </c>
      <c r="G3705" s="46">
        <v>46097.325909861109</v>
      </c>
      <c r="H3705">
        <v>0</v>
      </c>
    </row>
    <row r="3706" spans="1:8" x14ac:dyDescent="0.15">
      <c r="A3706">
        <v>3705</v>
      </c>
      <c r="B3706" t="s">
        <v>339</v>
      </c>
      <c r="C3706" t="s">
        <v>353</v>
      </c>
      <c r="D3706" t="s">
        <v>7106</v>
      </c>
      <c r="E3706" t="s">
        <v>7098</v>
      </c>
      <c r="F3706" s="46">
        <v>46097.325909861109</v>
      </c>
      <c r="G3706" s="46">
        <v>46097.325909861109</v>
      </c>
      <c r="H3706">
        <v>0</v>
      </c>
    </row>
    <row r="3707" spans="1:8" x14ac:dyDescent="0.15">
      <c r="A3707">
        <v>3706</v>
      </c>
      <c r="B3707" t="s">
        <v>339</v>
      </c>
      <c r="C3707" t="s">
        <v>353</v>
      </c>
      <c r="D3707" t="s">
        <v>7107</v>
      </c>
      <c r="E3707" t="s">
        <v>7098</v>
      </c>
      <c r="F3707" s="46">
        <v>46097.325909861109</v>
      </c>
      <c r="G3707" s="46">
        <v>46097.325909861109</v>
      </c>
      <c r="H3707">
        <v>0</v>
      </c>
    </row>
    <row r="3708" spans="1:8" x14ac:dyDescent="0.15">
      <c r="A3708">
        <v>3707</v>
      </c>
      <c r="B3708" t="s">
        <v>339</v>
      </c>
      <c r="C3708" t="s">
        <v>353</v>
      </c>
      <c r="D3708" t="s">
        <v>7108</v>
      </c>
      <c r="E3708" t="s">
        <v>7109</v>
      </c>
      <c r="F3708" s="46">
        <v>46097.325909861109</v>
      </c>
      <c r="G3708" s="46">
        <v>46097.325909861109</v>
      </c>
      <c r="H3708">
        <v>0</v>
      </c>
    </row>
    <row r="3709" spans="1:8" x14ac:dyDescent="0.15">
      <c r="A3709">
        <v>3708</v>
      </c>
      <c r="B3709" t="s">
        <v>339</v>
      </c>
      <c r="C3709" t="s">
        <v>353</v>
      </c>
      <c r="D3709" t="s">
        <v>7110</v>
      </c>
      <c r="E3709" t="s">
        <v>7109</v>
      </c>
      <c r="F3709" s="46">
        <v>46097.325909861109</v>
      </c>
      <c r="G3709" s="46">
        <v>46097.325909861109</v>
      </c>
      <c r="H3709">
        <v>0</v>
      </c>
    </row>
    <row r="3710" spans="1:8" x14ac:dyDescent="0.15">
      <c r="A3710">
        <v>3709</v>
      </c>
      <c r="B3710" t="s">
        <v>339</v>
      </c>
      <c r="C3710" t="s">
        <v>353</v>
      </c>
      <c r="D3710" t="s">
        <v>7111</v>
      </c>
      <c r="E3710" t="s">
        <v>7109</v>
      </c>
      <c r="F3710" s="46">
        <v>46097.325909861109</v>
      </c>
      <c r="G3710" s="46">
        <v>46097.325909861109</v>
      </c>
      <c r="H3710">
        <v>0</v>
      </c>
    </row>
    <row r="3711" spans="1:8" x14ac:dyDescent="0.15">
      <c r="A3711">
        <v>3710</v>
      </c>
      <c r="B3711" t="s">
        <v>339</v>
      </c>
      <c r="C3711" t="s">
        <v>353</v>
      </c>
      <c r="D3711" t="s">
        <v>7112</v>
      </c>
      <c r="E3711" t="s">
        <v>7109</v>
      </c>
      <c r="F3711" s="46">
        <v>46097.325909861109</v>
      </c>
      <c r="G3711" s="46">
        <v>46097.325909861109</v>
      </c>
      <c r="H3711">
        <v>0</v>
      </c>
    </row>
    <row r="3712" spans="1:8" x14ac:dyDescent="0.15">
      <c r="A3712">
        <v>3711</v>
      </c>
      <c r="B3712" t="s">
        <v>339</v>
      </c>
      <c r="C3712" t="s">
        <v>353</v>
      </c>
      <c r="D3712" t="s">
        <v>7113</v>
      </c>
      <c r="E3712" t="s">
        <v>7109</v>
      </c>
      <c r="F3712" s="46">
        <v>46097.325909861109</v>
      </c>
      <c r="G3712" s="46">
        <v>46097.325909861109</v>
      </c>
      <c r="H3712">
        <v>0</v>
      </c>
    </row>
    <row r="3713" spans="1:8" x14ac:dyDescent="0.15">
      <c r="A3713">
        <v>3712</v>
      </c>
      <c r="B3713" t="s">
        <v>339</v>
      </c>
      <c r="C3713" t="s">
        <v>353</v>
      </c>
      <c r="D3713" t="s">
        <v>7114</v>
      </c>
      <c r="E3713" t="s">
        <v>7109</v>
      </c>
      <c r="F3713" s="46">
        <v>46097.325909861109</v>
      </c>
      <c r="G3713" s="46">
        <v>46097.325909861109</v>
      </c>
      <c r="H3713">
        <v>0</v>
      </c>
    </row>
    <row r="3714" spans="1:8" x14ac:dyDescent="0.15">
      <c r="A3714">
        <v>3713</v>
      </c>
      <c r="B3714" t="s">
        <v>339</v>
      </c>
      <c r="C3714" t="s">
        <v>353</v>
      </c>
      <c r="D3714" t="s">
        <v>7115</v>
      </c>
      <c r="E3714" t="s">
        <v>7109</v>
      </c>
      <c r="F3714" s="46">
        <v>46097.325909861109</v>
      </c>
      <c r="G3714" s="46">
        <v>46097.325910046296</v>
      </c>
      <c r="H3714">
        <v>16</v>
      </c>
    </row>
    <row r="3715" spans="1:8" x14ac:dyDescent="0.15">
      <c r="A3715">
        <v>3714</v>
      </c>
      <c r="B3715" t="s">
        <v>339</v>
      </c>
      <c r="C3715" t="s">
        <v>353</v>
      </c>
      <c r="D3715" t="s">
        <v>7116</v>
      </c>
      <c r="E3715" t="s">
        <v>7109</v>
      </c>
      <c r="F3715" s="46">
        <v>46097.325910046296</v>
      </c>
      <c r="G3715" s="46">
        <v>46097.325910046296</v>
      </c>
      <c r="H3715">
        <v>0</v>
      </c>
    </row>
    <row r="3716" spans="1:8" x14ac:dyDescent="0.15">
      <c r="A3716">
        <v>3715</v>
      </c>
      <c r="B3716" t="s">
        <v>339</v>
      </c>
      <c r="C3716" t="s">
        <v>353</v>
      </c>
      <c r="D3716" t="s">
        <v>7117</v>
      </c>
      <c r="E3716" t="s">
        <v>7109</v>
      </c>
      <c r="F3716" s="46">
        <v>46097.325910046296</v>
      </c>
      <c r="G3716" s="46">
        <v>46097.325910046296</v>
      </c>
      <c r="H3716">
        <v>0</v>
      </c>
    </row>
    <row r="3717" spans="1:8" x14ac:dyDescent="0.15">
      <c r="A3717">
        <v>3716</v>
      </c>
      <c r="B3717" t="s">
        <v>339</v>
      </c>
      <c r="C3717" t="s">
        <v>353</v>
      </c>
      <c r="D3717" t="s">
        <v>7118</v>
      </c>
      <c r="E3717" t="s">
        <v>7109</v>
      </c>
      <c r="F3717" s="46">
        <v>46097.325910046296</v>
      </c>
      <c r="G3717" s="46">
        <v>46097.325910046296</v>
      </c>
      <c r="H3717">
        <v>0</v>
      </c>
    </row>
    <row r="3718" spans="1:8" x14ac:dyDescent="0.15">
      <c r="A3718">
        <v>3717</v>
      </c>
      <c r="B3718" t="s">
        <v>339</v>
      </c>
      <c r="C3718" t="s">
        <v>353</v>
      </c>
      <c r="D3718" t="s">
        <v>7119</v>
      </c>
      <c r="E3718" t="s">
        <v>7109</v>
      </c>
      <c r="F3718" s="46">
        <v>46097.325910046296</v>
      </c>
      <c r="G3718" s="46">
        <v>46097.325910046296</v>
      </c>
      <c r="H3718">
        <v>0</v>
      </c>
    </row>
    <row r="3719" spans="1:8" x14ac:dyDescent="0.15">
      <c r="A3719">
        <v>3718</v>
      </c>
      <c r="B3719" t="s">
        <v>339</v>
      </c>
      <c r="C3719" t="s">
        <v>353</v>
      </c>
      <c r="D3719" t="s">
        <v>7120</v>
      </c>
      <c r="E3719" t="s">
        <v>7109</v>
      </c>
      <c r="F3719" s="46">
        <v>46097.325910046296</v>
      </c>
      <c r="G3719" s="46">
        <v>46097.325910046296</v>
      </c>
      <c r="H3719">
        <v>0</v>
      </c>
    </row>
    <row r="3720" spans="1:8" x14ac:dyDescent="0.15">
      <c r="A3720">
        <v>3719</v>
      </c>
      <c r="B3720" t="s">
        <v>339</v>
      </c>
      <c r="C3720" t="s">
        <v>353</v>
      </c>
      <c r="D3720" t="s">
        <v>7121</v>
      </c>
      <c r="E3720" t="s">
        <v>7122</v>
      </c>
      <c r="F3720" s="46">
        <v>46097.325910046296</v>
      </c>
      <c r="G3720" s="46">
        <v>46097.325910046296</v>
      </c>
      <c r="H3720">
        <v>0</v>
      </c>
    </row>
    <row r="3721" spans="1:8" x14ac:dyDescent="0.15">
      <c r="A3721">
        <v>3720</v>
      </c>
      <c r="B3721" t="s">
        <v>339</v>
      </c>
      <c r="C3721" t="s">
        <v>353</v>
      </c>
      <c r="D3721" t="s">
        <v>7123</v>
      </c>
      <c r="E3721" t="s">
        <v>7122</v>
      </c>
      <c r="F3721" s="46">
        <v>46097.325910046296</v>
      </c>
      <c r="G3721" s="46">
        <v>46097.325910046296</v>
      </c>
      <c r="H3721">
        <v>0</v>
      </c>
    </row>
    <row r="3722" spans="1:8" x14ac:dyDescent="0.15">
      <c r="A3722">
        <v>3721</v>
      </c>
      <c r="B3722" t="s">
        <v>339</v>
      </c>
      <c r="C3722" t="s">
        <v>353</v>
      </c>
      <c r="D3722" t="s">
        <v>7124</v>
      </c>
      <c r="E3722" t="s">
        <v>7122</v>
      </c>
      <c r="F3722" s="46">
        <v>46097.325910046296</v>
      </c>
      <c r="G3722" s="46">
        <v>46097.325910046296</v>
      </c>
      <c r="H3722">
        <v>0</v>
      </c>
    </row>
    <row r="3723" spans="1:8" x14ac:dyDescent="0.15">
      <c r="A3723">
        <v>3722</v>
      </c>
      <c r="B3723" t="s">
        <v>339</v>
      </c>
      <c r="C3723" t="s">
        <v>353</v>
      </c>
      <c r="D3723" t="s">
        <v>7125</v>
      </c>
      <c r="E3723" t="s">
        <v>7126</v>
      </c>
      <c r="F3723" s="46">
        <v>46097.325910046296</v>
      </c>
      <c r="G3723" s="46">
        <v>46097.325910046296</v>
      </c>
      <c r="H3723">
        <v>0</v>
      </c>
    </row>
    <row r="3724" spans="1:8" x14ac:dyDescent="0.15">
      <c r="A3724">
        <v>3723</v>
      </c>
      <c r="B3724" t="s">
        <v>339</v>
      </c>
      <c r="C3724" t="s">
        <v>353</v>
      </c>
      <c r="D3724" t="s">
        <v>7127</v>
      </c>
      <c r="E3724" t="s">
        <v>7128</v>
      </c>
      <c r="F3724" s="46">
        <v>46097.325910046296</v>
      </c>
      <c r="G3724" s="46">
        <v>46097.325910046296</v>
      </c>
      <c r="H3724">
        <v>0</v>
      </c>
    </row>
    <row r="3725" spans="1:8" x14ac:dyDescent="0.15">
      <c r="A3725">
        <v>3724</v>
      </c>
      <c r="B3725" t="s">
        <v>339</v>
      </c>
      <c r="C3725" t="s">
        <v>353</v>
      </c>
      <c r="D3725" t="s">
        <v>7129</v>
      </c>
      <c r="E3725" t="s">
        <v>7128</v>
      </c>
      <c r="F3725" s="46">
        <v>46097.325910046296</v>
      </c>
      <c r="G3725" s="46">
        <v>46097.325910219908</v>
      </c>
      <c r="H3725">
        <v>16</v>
      </c>
    </row>
    <row r="3726" spans="1:8" x14ac:dyDescent="0.15">
      <c r="A3726">
        <v>3725</v>
      </c>
      <c r="B3726" t="s">
        <v>339</v>
      </c>
      <c r="C3726" t="s">
        <v>353</v>
      </c>
      <c r="D3726" t="s">
        <v>7130</v>
      </c>
      <c r="E3726" t="s">
        <v>7128</v>
      </c>
      <c r="F3726" s="46">
        <v>46097.325910219908</v>
      </c>
      <c r="G3726" s="46">
        <v>46097.325910219908</v>
      </c>
      <c r="H3726">
        <v>0</v>
      </c>
    </row>
    <row r="3727" spans="1:8" x14ac:dyDescent="0.15">
      <c r="A3727">
        <v>3726</v>
      </c>
      <c r="B3727" t="s">
        <v>339</v>
      </c>
      <c r="C3727" t="s">
        <v>353</v>
      </c>
      <c r="D3727" t="s">
        <v>7131</v>
      </c>
      <c r="E3727" t="s">
        <v>7128</v>
      </c>
      <c r="F3727" s="46">
        <v>46097.325910219908</v>
      </c>
      <c r="G3727" s="46">
        <v>46097.325910219908</v>
      </c>
      <c r="H3727">
        <v>0</v>
      </c>
    </row>
    <row r="3728" spans="1:8" x14ac:dyDescent="0.15">
      <c r="A3728">
        <v>3727</v>
      </c>
      <c r="B3728" t="s">
        <v>339</v>
      </c>
      <c r="C3728" t="s">
        <v>353</v>
      </c>
      <c r="D3728" t="s">
        <v>7132</v>
      </c>
      <c r="E3728" t="s">
        <v>7128</v>
      </c>
      <c r="F3728" s="46">
        <v>46097.325910219908</v>
      </c>
      <c r="G3728" s="46">
        <v>46097.325910219908</v>
      </c>
      <c r="H3728">
        <v>0</v>
      </c>
    </row>
    <row r="3729" spans="1:8" x14ac:dyDescent="0.15">
      <c r="A3729">
        <v>3728</v>
      </c>
      <c r="B3729" t="s">
        <v>339</v>
      </c>
      <c r="C3729" t="s">
        <v>353</v>
      </c>
      <c r="D3729" t="s">
        <v>7133</v>
      </c>
      <c r="E3729" t="s">
        <v>7128</v>
      </c>
      <c r="F3729" s="46">
        <v>46097.325910219908</v>
      </c>
      <c r="G3729" s="46">
        <v>46097.325910219908</v>
      </c>
      <c r="H3729">
        <v>0</v>
      </c>
    </row>
    <row r="3730" spans="1:8" x14ac:dyDescent="0.15">
      <c r="A3730">
        <v>3729</v>
      </c>
      <c r="B3730" t="s">
        <v>339</v>
      </c>
      <c r="C3730" t="s">
        <v>353</v>
      </c>
      <c r="D3730" t="s">
        <v>7134</v>
      </c>
      <c r="E3730" t="s">
        <v>7128</v>
      </c>
      <c r="F3730" s="46">
        <v>46097.325910219908</v>
      </c>
      <c r="G3730" s="46">
        <v>46097.325910219908</v>
      </c>
      <c r="H3730">
        <v>0</v>
      </c>
    </row>
    <row r="3731" spans="1:8" x14ac:dyDescent="0.15">
      <c r="A3731">
        <v>3730</v>
      </c>
      <c r="B3731" t="s">
        <v>339</v>
      </c>
      <c r="C3731" t="s">
        <v>353</v>
      </c>
      <c r="D3731" t="s">
        <v>7135</v>
      </c>
      <c r="E3731" t="s">
        <v>7128</v>
      </c>
      <c r="F3731" s="46">
        <v>46097.325910219908</v>
      </c>
      <c r="G3731" s="46">
        <v>46097.325910219908</v>
      </c>
      <c r="H3731">
        <v>0</v>
      </c>
    </row>
    <row r="3732" spans="1:8" x14ac:dyDescent="0.15">
      <c r="A3732">
        <v>3731</v>
      </c>
      <c r="B3732" t="s">
        <v>339</v>
      </c>
      <c r="C3732" t="s">
        <v>353</v>
      </c>
      <c r="D3732" t="s">
        <v>7136</v>
      </c>
      <c r="E3732" t="s">
        <v>7128</v>
      </c>
      <c r="F3732" s="46">
        <v>46097.325910219908</v>
      </c>
      <c r="G3732" s="46">
        <v>46097.325910219908</v>
      </c>
      <c r="H3732">
        <v>0</v>
      </c>
    </row>
    <row r="3733" spans="1:8" x14ac:dyDescent="0.15">
      <c r="A3733">
        <v>3732</v>
      </c>
      <c r="B3733" t="s">
        <v>339</v>
      </c>
      <c r="C3733" t="s">
        <v>353</v>
      </c>
      <c r="D3733" t="s">
        <v>7137</v>
      </c>
      <c r="E3733" t="s">
        <v>7138</v>
      </c>
      <c r="F3733" s="46">
        <v>46097.325910219908</v>
      </c>
      <c r="G3733" s="46">
        <v>46097.325910219908</v>
      </c>
      <c r="H3733">
        <v>0</v>
      </c>
    </row>
    <row r="3734" spans="1:8" x14ac:dyDescent="0.15">
      <c r="A3734">
        <v>3733</v>
      </c>
      <c r="B3734" t="s">
        <v>339</v>
      </c>
      <c r="C3734" t="s">
        <v>353</v>
      </c>
      <c r="D3734" t="s">
        <v>7139</v>
      </c>
      <c r="E3734" t="s">
        <v>7138</v>
      </c>
      <c r="F3734" s="46">
        <v>46097.325910219908</v>
      </c>
      <c r="G3734" s="46">
        <v>46097.325910219908</v>
      </c>
      <c r="H3734">
        <v>0</v>
      </c>
    </row>
    <row r="3735" spans="1:8" x14ac:dyDescent="0.15">
      <c r="A3735">
        <v>3734</v>
      </c>
      <c r="B3735" t="s">
        <v>339</v>
      </c>
      <c r="C3735" t="s">
        <v>353</v>
      </c>
      <c r="D3735" t="s">
        <v>7140</v>
      </c>
      <c r="E3735" t="s">
        <v>7138</v>
      </c>
      <c r="F3735" s="46">
        <v>46097.325910219908</v>
      </c>
      <c r="G3735" s="46">
        <v>46097.325910405103</v>
      </c>
      <c r="H3735">
        <v>15</v>
      </c>
    </row>
    <row r="3736" spans="1:8" x14ac:dyDescent="0.15">
      <c r="A3736">
        <v>3735</v>
      </c>
      <c r="B3736" t="s">
        <v>339</v>
      </c>
      <c r="C3736" t="s">
        <v>353</v>
      </c>
      <c r="D3736" t="s">
        <v>7141</v>
      </c>
      <c r="E3736" t="s">
        <v>7142</v>
      </c>
      <c r="F3736" s="46">
        <v>46097.325910405103</v>
      </c>
      <c r="G3736" s="46">
        <v>46097.325910405103</v>
      </c>
      <c r="H3736">
        <v>0</v>
      </c>
    </row>
    <row r="3737" spans="1:8" x14ac:dyDescent="0.15">
      <c r="A3737">
        <v>3736</v>
      </c>
      <c r="B3737" t="s">
        <v>339</v>
      </c>
      <c r="C3737" t="s">
        <v>353</v>
      </c>
      <c r="D3737" t="s">
        <v>7143</v>
      </c>
      <c r="E3737" t="s">
        <v>7144</v>
      </c>
      <c r="F3737" s="46">
        <v>46097.325910405103</v>
      </c>
      <c r="G3737" s="46">
        <v>46097.325910405103</v>
      </c>
      <c r="H3737">
        <v>0</v>
      </c>
    </row>
    <row r="3738" spans="1:8" x14ac:dyDescent="0.15">
      <c r="A3738">
        <v>3737</v>
      </c>
      <c r="B3738" t="s">
        <v>339</v>
      </c>
      <c r="C3738" t="s">
        <v>353</v>
      </c>
      <c r="D3738" t="s">
        <v>7145</v>
      </c>
      <c r="E3738" t="s">
        <v>7144</v>
      </c>
      <c r="F3738" s="46">
        <v>46097.325910405103</v>
      </c>
      <c r="G3738" s="46">
        <v>46097.325910405103</v>
      </c>
      <c r="H3738">
        <v>0</v>
      </c>
    </row>
    <row r="3739" spans="1:8" x14ac:dyDescent="0.15">
      <c r="A3739">
        <v>3738</v>
      </c>
      <c r="B3739" t="s">
        <v>339</v>
      </c>
      <c r="C3739" t="s">
        <v>353</v>
      </c>
      <c r="D3739" t="s">
        <v>7146</v>
      </c>
      <c r="E3739" t="s">
        <v>7144</v>
      </c>
      <c r="F3739" s="46">
        <v>46097.325910405103</v>
      </c>
      <c r="G3739" s="46">
        <v>46097.325910405103</v>
      </c>
      <c r="H3739">
        <v>0</v>
      </c>
    </row>
    <row r="3740" spans="1:8" x14ac:dyDescent="0.15">
      <c r="A3740">
        <v>3739</v>
      </c>
      <c r="B3740" t="s">
        <v>339</v>
      </c>
      <c r="C3740" t="s">
        <v>353</v>
      </c>
      <c r="D3740" t="s">
        <v>7147</v>
      </c>
      <c r="E3740" t="s">
        <v>7144</v>
      </c>
      <c r="F3740" s="46">
        <v>46097.325910405103</v>
      </c>
      <c r="G3740" s="46">
        <v>46097.325910405103</v>
      </c>
      <c r="H3740">
        <v>0</v>
      </c>
    </row>
    <row r="3741" spans="1:8" x14ac:dyDescent="0.15">
      <c r="A3741">
        <v>3740</v>
      </c>
      <c r="B3741" t="s">
        <v>339</v>
      </c>
      <c r="C3741" t="s">
        <v>353</v>
      </c>
      <c r="D3741" t="s">
        <v>7148</v>
      </c>
      <c r="E3741" t="s">
        <v>7144</v>
      </c>
      <c r="F3741" s="46">
        <v>46097.325910405103</v>
      </c>
      <c r="G3741" s="46">
        <v>46097.325910405103</v>
      </c>
      <c r="H3741">
        <v>0</v>
      </c>
    </row>
    <row r="3742" spans="1:8" x14ac:dyDescent="0.15">
      <c r="A3742">
        <v>3741</v>
      </c>
      <c r="B3742" t="s">
        <v>339</v>
      </c>
      <c r="C3742" t="s">
        <v>353</v>
      </c>
      <c r="D3742" t="s">
        <v>7149</v>
      </c>
      <c r="E3742" t="s">
        <v>771</v>
      </c>
      <c r="F3742" s="46">
        <v>46097.325910405103</v>
      </c>
      <c r="G3742" s="46">
        <v>46097.325910405103</v>
      </c>
      <c r="H3742">
        <v>0</v>
      </c>
    </row>
    <row r="3743" spans="1:8" x14ac:dyDescent="0.15">
      <c r="A3743">
        <v>3742</v>
      </c>
      <c r="B3743" t="s">
        <v>339</v>
      </c>
      <c r="C3743" t="s">
        <v>353</v>
      </c>
      <c r="D3743" t="s">
        <v>7150</v>
      </c>
      <c r="E3743" t="s">
        <v>771</v>
      </c>
      <c r="F3743" s="46">
        <v>46097.325910405103</v>
      </c>
      <c r="G3743" s="46">
        <v>46097.325910405103</v>
      </c>
      <c r="H3743">
        <v>0</v>
      </c>
    </row>
    <row r="3744" spans="1:8" x14ac:dyDescent="0.15">
      <c r="A3744">
        <v>3743</v>
      </c>
      <c r="B3744" t="s">
        <v>339</v>
      </c>
      <c r="C3744" t="s">
        <v>353</v>
      </c>
      <c r="D3744" t="s">
        <v>7151</v>
      </c>
      <c r="E3744" t="s">
        <v>771</v>
      </c>
      <c r="F3744" s="46">
        <v>46097.325910405103</v>
      </c>
      <c r="G3744" s="46">
        <v>46097.325910405103</v>
      </c>
      <c r="H3744">
        <v>0</v>
      </c>
    </row>
    <row r="3745" spans="1:8" x14ac:dyDescent="0.15">
      <c r="A3745">
        <v>3744</v>
      </c>
      <c r="B3745" t="s">
        <v>339</v>
      </c>
      <c r="C3745" t="s">
        <v>353</v>
      </c>
      <c r="D3745" t="s">
        <v>7152</v>
      </c>
      <c r="E3745" t="s">
        <v>771</v>
      </c>
      <c r="F3745" s="46">
        <v>46097.325910405103</v>
      </c>
      <c r="G3745" s="46">
        <v>46097.325910405103</v>
      </c>
      <c r="H3745">
        <v>0</v>
      </c>
    </row>
    <row r="3746" spans="1:8" x14ac:dyDescent="0.15">
      <c r="A3746">
        <v>3745</v>
      </c>
      <c r="B3746" t="s">
        <v>339</v>
      </c>
      <c r="C3746" t="s">
        <v>353</v>
      </c>
      <c r="D3746" t="s">
        <v>7153</v>
      </c>
      <c r="E3746" t="s">
        <v>771</v>
      </c>
      <c r="F3746" s="46">
        <v>46097.325910405103</v>
      </c>
      <c r="G3746" s="46">
        <v>46097.3259105787</v>
      </c>
      <c r="H3746">
        <v>16</v>
      </c>
    </row>
    <row r="3747" spans="1:8" x14ac:dyDescent="0.15">
      <c r="A3747">
        <v>3746</v>
      </c>
      <c r="B3747" t="s">
        <v>339</v>
      </c>
      <c r="C3747" t="s">
        <v>353</v>
      </c>
      <c r="D3747" t="s">
        <v>7154</v>
      </c>
      <c r="E3747" t="s">
        <v>771</v>
      </c>
      <c r="F3747" s="46">
        <v>46097.3259105787</v>
      </c>
      <c r="G3747" s="46">
        <v>46097.3259105787</v>
      </c>
      <c r="H3747">
        <v>0</v>
      </c>
    </row>
    <row r="3748" spans="1:8" x14ac:dyDescent="0.15">
      <c r="A3748">
        <v>3747</v>
      </c>
      <c r="B3748" t="s">
        <v>339</v>
      </c>
      <c r="C3748" t="s">
        <v>353</v>
      </c>
      <c r="D3748" t="s">
        <v>7155</v>
      </c>
      <c r="E3748" t="s">
        <v>771</v>
      </c>
      <c r="F3748" s="46">
        <v>46097.3259105787</v>
      </c>
      <c r="G3748" s="46">
        <v>46097.3259105787</v>
      </c>
      <c r="H3748">
        <v>0</v>
      </c>
    </row>
    <row r="3749" spans="1:8" x14ac:dyDescent="0.15">
      <c r="A3749">
        <v>3748</v>
      </c>
      <c r="B3749" t="s">
        <v>339</v>
      </c>
      <c r="C3749" t="s">
        <v>353</v>
      </c>
      <c r="D3749" t="s">
        <v>7156</v>
      </c>
      <c r="E3749" t="s">
        <v>771</v>
      </c>
      <c r="F3749" s="46">
        <v>46097.3259105787</v>
      </c>
      <c r="G3749" s="46">
        <v>46097.3259105787</v>
      </c>
      <c r="H3749">
        <v>0</v>
      </c>
    </row>
    <row r="3750" spans="1:8" x14ac:dyDescent="0.15">
      <c r="A3750">
        <v>3749</v>
      </c>
      <c r="B3750" t="s">
        <v>339</v>
      </c>
      <c r="C3750" t="s">
        <v>353</v>
      </c>
      <c r="D3750" t="s">
        <v>7157</v>
      </c>
      <c r="E3750" t="s">
        <v>771</v>
      </c>
      <c r="F3750" s="46">
        <v>46097.3259105787</v>
      </c>
      <c r="G3750" s="46">
        <v>46097.3259105787</v>
      </c>
      <c r="H3750">
        <v>0</v>
      </c>
    </row>
    <row r="3751" spans="1:8" x14ac:dyDescent="0.15">
      <c r="A3751">
        <v>3750</v>
      </c>
      <c r="B3751" t="s">
        <v>339</v>
      </c>
      <c r="C3751" t="s">
        <v>353</v>
      </c>
      <c r="D3751" t="s">
        <v>7158</v>
      </c>
      <c r="E3751" t="s">
        <v>771</v>
      </c>
      <c r="F3751" s="46">
        <v>46097.3259105787</v>
      </c>
      <c r="G3751" s="46">
        <v>46097.3259105787</v>
      </c>
      <c r="H3751">
        <v>0</v>
      </c>
    </row>
    <row r="3752" spans="1:8" x14ac:dyDescent="0.15">
      <c r="A3752">
        <v>3751</v>
      </c>
      <c r="B3752" t="s">
        <v>339</v>
      </c>
      <c r="C3752" t="s">
        <v>353</v>
      </c>
      <c r="D3752" t="s">
        <v>7159</v>
      </c>
      <c r="E3752" t="s">
        <v>771</v>
      </c>
      <c r="F3752" s="46">
        <v>46097.3259105787</v>
      </c>
      <c r="G3752" s="46">
        <v>46097.3259105787</v>
      </c>
      <c r="H3752">
        <v>0</v>
      </c>
    </row>
    <row r="3753" spans="1:8" x14ac:dyDescent="0.15">
      <c r="A3753">
        <v>3752</v>
      </c>
      <c r="B3753" t="s">
        <v>339</v>
      </c>
      <c r="C3753" t="s">
        <v>353</v>
      </c>
      <c r="D3753" t="s">
        <v>7160</v>
      </c>
      <c r="E3753" t="s">
        <v>771</v>
      </c>
      <c r="F3753" s="46">
        <v>46097.3259105787</v>
      </c>
      <c r="G3753" s="46">
        <v>46097.3259105787</v>
      </c>
      <c r="H3753">
        <v>0</v>
      </c>
    </row>
    <row r="3754" spans="1:8" x14ac:dyDescent="0.15">
      <c r="A3754">
        <v>3753</v>
      </c>
      <c r="B3754" t="s">
        <v>339</v>
      </c>
      <c r="C3754" t="s">
        <v>353</v>
      </c>
      <c r="D3754" t="s">
        <v>7161</v>
      </c>
      <c r="E3754" t="s">
        <v>771</v>
      </c>
      <c r="F3754" s="46">
        <v>46097.3259105787</v>
      </c>
      <c r="G3754" s="46">
        <v>46097.3259105787</v>
      </c>
      <c r="H3754">
        <v>0</v>
      </c>
    </row>
    <row r="3755" spans="1:8" x14ac:dyDescent="0.15">
      <c r="A3755">
        <v>3754</v>
      </c>
      <c r="B3755" t="s">
        <v>339</v>
      </c>
      <c r="C3755" t="s">
        <v>353</v>
      </c>
      <c r="D3755" t="s">
        <v>7162</v>
      </c>
      <c r="E3755" t="s">
        <v>771</v>
      </c>
      <c r="F3755" s="46">
        <v>46097.3259105787</v>
      </c>
      <c r="G3755" s="46">
        <v>46097.3259105787</v>
      </c>
      <c r="H3755">
        <v>0</v>
      </c>
    </row>
    <row r="3756" spans="1:8" x14ac:dyDescent="0.15">
      <c r="A3756">
        <v>3755</v>
      </c>
      <c r="B3756" t="s">
        <v>339</v>
      </c>
      <c r="C3756" t="s">
        <v>353</v>
      </c>
      <c r="D3756" t="s">
        <v>7163</v>
      </c>
      <c r="E3756" t="s">
        <v>771</v>
      </c>
      <c r="F3756" s="46">
        <v>46097.3259105787</v>
      </c>
      <c r="G3756" s="46">
        <v>46097.325910763888</v>
      </c>
      <c r="H3756">
        <v>16</v>
      </c>
    </row>
    <row r="3757" spans="1:8" x14ac:dyDescent="0.15">
      <c r="A3757">
        <v>3756</v>
      </c>
      <c r="B3757" t="s">
        <v>339</v>
      </c>
      <c r="C3757" t="s">
        <v>353</v>
      </c>
      <c r="D3757" t="s">
        <v>7164</v>
      </c>
      <c r="E3757" t="s">
        <v>7165</v>
      </c>
      <c r="F3757" s="46">
        <v>46097.325910763888</v>
      </c>
      <c r="G3757" s="46">
        <v>46097.325910763888</v>
      </c>
      <c r="H3757">
        <v>0</v>
      </c>
    </row>
    <row r="3758" spans="1:8" x14ac:dyDescent="0.15">
      <c r="A3758">
        <v>3757</v>
      </c>
      <c r="B3758" t="s">
        <v>339</v>
      </c>
      <c r="C3758" t="s">
        <v>353</v>
      </c>
      <c r="D3758" t="s">
        <v>7166</v>
      </c>
      <c r="E3758" t="s">
        <v>7165</v>
      </c>
      <c r="F3758" s="46">
        <v>46097.325910763888</v>
      </c>
      <c r="G3758" s="46">
        <v>46097.325910763888</v>
      </c>
      <c r="H3758">
        <v>0</v>
      </c>
    </row>
    <row r="3759" spans="1:8" x14ac:dyDescent="0.15">
      <c r="A3759">
        <v>3758</v>
      </c>
      <c r="B3759" t="s">
        <v>339</v>
      </c>
      <c r="C3759" t="s">
        <v>353</v>
      </c>
      <c r="D3759" t="s">
        <v>7167</v>
      </c>
      <c r="E3759" t="s">
        <v>7165</v>
      </c>
      <c r="F3759" s="46">
        <v>46097.325910763888</v>
      </c>
      <c r="G3759" s="46">
        <v>46097.325910763888</v>
      </c>
      <c r="H3759">
        <v>0</v>
      </c>
    </row>
    <row r="3760" spans="1:8" x14ac:dyDescent="0.15">
      <c r="A3760">
        <v>3759</v>
      </c>
      <c r="B3760" t="s">
        <v>339</v>
      </c>
      <c r="C3760" t="s">
        <v>353</v>
      </c>
      <c r="D3760" t="s">
        <v>7168</v>
      </c>
      <c r="E3760" t="s">
        <v>7165</v>
      </c>
      <c r="F3760" s="46">
        <v>46097.325910763888</v>
      </c>
      <c r="G3760" s="46">
        <v>46097.325910763888</v>
      </c>
      <c r="H3760">
        <v>0</v>
      </c>
    </row>
    <row r="3761" spans="1:8" x14ac:dyDescent="0.15">
      <c r="A3761">
        <v>3760</v>
      </c>
      <c r="B3761" t="s">
        <v>339</v>
      </c>
      <c r="C3761" t="s">
        <v>353</v>
      </c>
      <c r="D3761" t="s">
        <v>7169</v>
      </c>
      <c r="E3761" t="s">
        <v>7165</v>
      </c>
      <c r="F3761" s="46">
        <v>46097.325910763888</v>
      </c>
      <c r="G3761" s="46">
        <v>46097.325910763888</v>
      </c>
      <c r="H3761">
        <v>0</v>
      </c>
    </row>
    <row r="3762" spans="1:8" x14ac:dyDescent="0.15">
      <c r="A3762">
        <v>3761</v>
      </c>
      <c r="B3762" t="s">
        <v>339</v>
      </c>
      <c r="C3762" t="s">
        <v>353</v>
      </c>
      <c r="D3762" t="s">
        <v>7170</v>
      </c>
      <c r="E3762" t="s">
        <v>7165</v>
      </c>
      <c r="F3762" s="46">
        <v>46097.325910763888</v>
      </c>
      <c r="G3762" s="46">
        <v>46097.325910763888</v>
      </c>
      <c r="H3762">
        <v>0</v>
      </c>
    </row>
    <row r="3763" spans="1:8" x14ac:dyDescent="0.15">
      <c r="A3763">
        <v>3762</v>
      </c>
      <c r="B3763" t="s">
        <v>339</v>
      </c>
      <c r="C3763" t="s">
        <v>353</v>
      </c>
      <c r="D3763" t="s">
        <v>7171</v>
      </c>
      <c r="E3763" t="s">
        <v>7165</v>
      </c>
      <c r="F3763" s="46">
        <v>46097.325910763888</v>
      </c>
      <c r="G3763" s="46">
        <v>46097.325910763888</v>
      </c>
      <c r="H3763">
        <v>0</v>
      </c>
    </row>
    <row r="3764" spans="1:8" x14ac:dyDescent="0.15">
      <c r="A3764">
        <v>3763</v>
      </c>
      <c r="B3764" t="s">
        <v>339</v>
      </c>
      <c r="C3764" t="s">
        <v>353</v>
      </c>
      <c r="D3764" t="s">
        <v>7172</v>
      </c>
      <c r="E3764" t="s">
        <v>7165</v>
      </c>
      <c r="F3764" s="46">
        <v>46097.325910763888</v>
      </c>
      <c r="G3764" s="46">
        <v>46097.325910763888</v>
      </c>
      <c r="H3764">
        <v>0</v>
      </c>
    </row>
    <row r="3765" spans="1:8" x14ac:dyDescent="0.15">
      <c r="A3765">
        <v>3764</v>
      </c>
      <c r="B3765" t="s">
        <v>339</v>
      </c>
      <c r="C3765" t="s">
        <v>353</v>
      </c>
      <c r="D3765" t="s">
        <v>7173</v>
      </c>
      <c r="E3765" t="s">
        <v>7174</v>
      </c>
      <c r="F3765" s="46">
        <v>46097.325910763888</v>
      </c>
      <c r="G3765" s="46">
        <v>46097.325910763888</v>
      </c>
      <c r="H3765">
        <v>0</v>
      </c>
    </row>
    <row r="3766" spans="1:8" x14ac:dyDescent="0.15">
      <c r="A3766">
        <v>3765</v>
      </c>
      <c r="B3766" t="s">
        <v>339</v>
      </c>
      <c r="C3766" t="s">
        <v>353</v>
      </c>
      <c r="D3766" t="s">
        <v>7175</v>
      </c>
      <c r="E3766" t="s">
        <v>773</v>
      </c>
      <c r="F3766" s="46">
        <v>46097.325910763888</v>
      </c>
      <c r="G3766" s="46">
        <v>46097.325910949083</v>
      </c>
      <c r="H3766">
        <v>15</v>
      </c>
    </row>
    <row r="3767" spans="1:8" x14ac:dyDescent="0.15">
      <c r="A3767">
        <v>3766</v>
      </c>
      <c r="B3767" t="s">
        <v>339</v>
      </c>
      <c r="C3767" t="s">
        <v>353</v>
      </c>
      <c r="D3767" t="s">
        <v>7176</v>
      </c>
      <c r="E3767" t="s">
        <v>773</v>
      </c>
      <c r="F3767" s="46">
        <v>46097.325910949083</v>
      </c>
      <c r="G3767" s="46">
        <v>46097.325910949083</v>
      </c>
      <c r="H3767">
        <v>0</v>
      </c>
    </row>
    <row r="3768" spans="1:8" x14ac:dyDescent="0.15">
      <c r="A3768">
        <v>3767</v>
      </c>
      <c r="B3768" t="s">
        <v>339</v>
      </c>
      <c r="C3768" t="s">
        <v>353</v>
      </c>
      <c r="D3768" t="s">
        <v>7177</v>
      </c>
      <c r="E3768" t="s">
        <v>773</v>
      </c>
      <c r="F3768" s="46">
        <v>46097.325910949083</v>
      </c>
      <c r="G3768" s="46">
        <v>46097.325910949083</v>
      </c>
      <c r="H3768">
        <v>0</v>
      </c>
    </row>
    <row r="3769" spans="1:8" x14ac:dyDescent="0.15">
      <c r="A3769">
        <v>3768</v>
      </c>
      <c r="B3769" t="s">
        <v>339</v>
      </c>
      <c r="C3769" t="s">
        <v>353</v>
      </c>
      <c r="D3769" t="s">
        <v>7178</v>
      </c>
      <c r="E3769" t="s">
        <v>774</v>
      </c>
      <c r="F3769" s="46">
        <v>46097.325910949083</v>
      </c>
      <c r="G3769" s="46">
        <v>46097.325910949083</v>
      </c>
      <c r="H3769">
        <v>0</v>
      </c>
    </row>
    <row r="3770" spans="1:8" x14ac:dyDescent="0.15">
      <c r="A3770">
        <v>3769</v>
      </c>
      <c r="B3770" t="s">
        <v>339</v>
      </c>
      <c r="C3770" t="s">
        <v>353</v>
      </c>
      <c r="D3770" t="s">
        <v>7179</v>
      </c>
      <c r="E3770" t="s">
        <v>774</v>
      </c>
      <c r="F3770" s="46">
        <v>46097.325910949083</v>
      </c>
      <c r="G3770" s="46">
        <v>46097.325910949083</v>
      </c>
      <c r="H3770">
        <v>0</v>
      </c>
    </row>
    <row r="3771" spans="1:8" x14ac:dyDescent="0.15">
      <c r="A3771">
        <v>3770</v>
      </c>
      <c r="B3771" t="s">
        <v>339</v>
      </c>
      <c r="C3771" t="s">
        <v>353</v>
      </c>
      <c r="D3771" t="s">
        <v>7180</v>
      </c>
      <c r="E3771" t="s">
        <v>7181</v>
      </c>
      <c r="F3771" s="46">
        <v>46097.325910949083</v>
      </c>
      <c r="G3771" s="46">
        <v>46097.325910949083</v>
      </c>
      <c r="H3771">
        <v>0</v>
      </c>
    </row>
    <row r="3772" spans="1:8" x14ac:dyDescent="0.15">
      <c r="A3772">
        <v>3771</v>
      </c>
      <c r="B3772" t="s">
        <v>339</v>
      </c>
      <c r="C3772" t="s">
        <v>353</v>
      </c>
      <c r="D3772" t="s">
        <v>7182</v>
      </c>
      <c r="E3772" t="s">
        <v>776</v>
      </c>
      <c r="F3772" s="46">
        <v>46097.325910949083</v>
      </c>
      <c r="G3772" s="46">
        <v>46097.325910949083</v>
      </c>
      <c r="H3772">
        <v>0</v>
      </c>
    </row>
    <row r="3773" spans="1:8" x14ac:dyDescent="0.15">
      <c r="A3773">
        <v>3772</v>
      </c>
      <c r="B3773" t="s">
        <v>339</v>
      </c>
      <c r="C3773" t="s">
        <v>353</v>
      </c>
      <c r="D3773" t="s">
        <v>7183</v>
      </c>
      <c r="E3773" t="s">
        <v>776</v>
      </c>
      <c r="F3773" s="46">
        <v>46097.325910949083</v>
      </c>
      <c r="G3773" s="46">
        <v>46097.325910949083</v>
      </c>
      <c r="H3773">
        <v>0</v>
      </c>
    </row>
    <row r="3774" spans="1:8" x14ac:dyDescent="0.15">
      <c r="A3774">
        <v>3773</v>
      </c>
      <c r="B3774" t="s">
        <v>339</v>
      </c>
      <c r="C3774" t="s">
        <v>353</v>
      </c>
      <c r="D3774" t="s">
        <v>7184</v>
      </c>
      <c r="E3774" t="s">
        <v>776</v>
      </c>
      <c r="F3774" s="46">
        <v>46097.325910949083</v>
      </c>
      <c r="G3774" s="46">
        <v>46097.325910949083</v>
      </c>
      <c r="H3774">
        <v>0</v>
      </c>
    </row>
    <row r="3775" spans="1:8" x14ac:dyDescent="0.15">
      <c r="A3775">
        <v>3774</v>
      </c>
      <c r="B3775" t="s">
        <v>339</v>
      </c>
      <c r="C3775" t="s">
        <v>353</v>
      </c>
      <c r="D3775" t="s">
        <v>7185</v>
      </c>
      <c r="E3775" t="s">
        <v>776</v>
      </c>
      <c r="F3775" s="46">
        <v>46097.325910949083</v>
      </c>
      <c r="G3775" s="46">
        <v>46097.325910949083</v>
      </c>
      <c r="H3775">
        <v>0</v>
      </c>
    </row>
    <row r="3776" spans="1:8" x14ac:dyDescent="0.15">
      <c r="A3776">
        <v>3775</v>
      </c>
      <c r="B3776" t="s">
        <v>339</v>
      </c>
      <c r="C3776" t="s">
        <v>353</v>
      </c>
      <c r="D3776" t="s">
        <v>7186</v>
      </c>
      <c r="E3776" t="s">
        <v>776</v>
      </c>
      <c r="F3776" s="46">
        <v>46097.325910949083</v>
      </c>
      <c r="G3776" s="46">
        <v>46097.325910949083</v>
      </c>
      <c r="H3776">
        <v>0</v>
      </c>
    </row>
    <row r="3777" spans="1:8" x14ac:dyDescent="0.15">
      <c r="A3777">
        <v>3776</v>
      </c>
      <c r="B3777" t="s">
        <v>339</v>
      </c>
      <c r="C3777" t="s">
        <v>353</v>
      </c>
      <c r="D3777" t="s">
        <v>7187</v>
      </c>
      <c r="E3777" t="s">
        <v>776</v>
      </c>
      <c r="F3777" s="46">
        <v>46097.325910949083</v>
      </c>
      <c r="G3777" s="46">
        <v>46097.325911122687</v>
      </c>
      <c r="H3777">
        <v>16</v>
      </c>
    </row>
    <row r="3778" spans="1:8" x14ac:dyDescent="0.15">
      <c r="A3778">
        <v>3777</v>
      </c>
      <c r="B3778" t="s">
        <v>339</v>
      </c>
      <c r="C3778" t="s">
        <v>353</v>
      </c>
      <c r="D3778" t="s">
        <v>7188</v>
      </c>
      <c r="E3778" t="s">
        <v>7189</v>
      </c>
      <c r="F3778" s="46">
        <v>46097.325911122687</v>
      </c>
      <c r="G3778" s="46">
        <v>46097.325911122687</v>
      </c>
      <c r="H3778">
        <v>0</v>
      </c>
    </row>
    <row r="3779" spans="1:8" x14ac:dyDescent="0.15">
      <c r="A3779">
        <v>3778</v>
      </c>
      <c r="B3779" t="s">
        <v>339</v>
      </c>
      <c r="C3779" t="s">
        <v>353</v>
      </c>
      <c r="D3779" t="s">
        <v>7190</v>
      </c>
      <c r="E3779" t="s">
        <v>7189</v>
      </c>
      <c r="F3779" s="46">
        <v>46097.325911122687</v>
      </c>
      <c r="G3779" s="46">
        <v>46097.325911122687</v>
      </c>
      <c r="H3779">
        <v>0</v>
      </c>
    </row>
    <row r="3780" spans="1:8" x14ac:dyDescent="0.15">
      <c r="A3780">
        <v>3779</v>
      </c>
      <c r="B3780" t="s">
        <v>339</v>
      </c>
      <c r="C3780" t="s">
        <v>353</v>
      </c>
      <c r="D3780" t="s">
        <v>7191</v>
      </c>
      <c r="E3780" t="s">
        <v>7192</v>
      </c>
      <c r="F3780" s="46">
        <v>46097.325911122687</v>
      </c>
      <c r="G3780" s="46">
        <v>46097.325911122687</v>
      </c>
      <c r="H3780">
        <v>0</v>
      </c>
    </row>
    <row r="3781" spans="1:8" x14ac:dyDescent="0.15">
      <c r="A3781">
        <v>3780</v>
      </c>
      <c r="B3781" t="s">
        <v>339</v>
      </c>
      <c r="C3781" t="s">
        <v>353</v>
      </c>
      <c r="D3781" t="s">
        <v>7193</v>
      </c>
      <c r="E3781" t="s">
        <v>7192</v>
      </c>
      <c r="F3781" s="46">
        <v>46097.325911122687</v>
      </c>
      <c r="G3781" s="46">
        <v>46097.325911122687</v>
      </c>
      <c r="H3781">
        <v>0</v>
      </c>
    </row>
    <row r="3782" spans="1:8" x14ac:dyDescent="0.15">
      <c r="A3782">
        <v>3781</v>
      </c>
      <c r="B3782" t="s">
        <v>339</v>
      </c>
      <c r="C3782" t="s">
        <v>353</v>
      </c>
      <c r="D3782" t="s">
        <v>7194</v>
      </c>
      <c r="E3782" t="s">
        <v>7192</v>
      </c>
      <c r="F3782" s="46">
        <v>46097.325911122687</v>
      </c>
      <c r="G3782" s="46">
        <v>46097.325911122687</v>
      </c>
      <c r="H3782">
        <v>0</v>
      </c>
    </row>
    <row r="3783" spans="1:8" x14ac:dyDescent="0.15">
      <c r="A3783">
        <v>3782</v>
      </c>
      <c r="B3783" t="s">
        <v>339</v>
      </c>
      <c r="C3783" t="s">
        <v>353</v>
      </c>
      <c r="D3783" t="s">
        <v>7195</v>
      </c>
      <c r="E3783" t="s">
        <v>7192</v>
      </c>
      <c r="F3783" s="46">
        <v>46097.325911122687</v>
      </c>
      <c r="G3783" s="46">
        <v>46097.325911122687</v>
      </c>
      <c r="H3783">
        <v>0</v>
      </c>
    </row>
    <row r="3784" spans="1:8" x14ac:dyDescent="0.15">
      <c r="A3784">
        <v>3783</v>
      </c>
      <c r="B3784" t="s">
        <v>339</v>
      </c>
      <c r="C3784" t="s">
        <v>353</v>
      </c>
      <c r="D3784" t="s">
        <v>7196</v>
      </c>
      <c r="E3784" t="s">
        <v>7192</v>
      </c>
      <c r="F3784" s="46">
        <v>46097.325911122687</v>
      </c>
      <c r="G3784" s="46">
        <v>46097.325911122687</v>
      </c>
      <c r="H3784">
        <v>0</v>
      </c>
    </row>
    <row r="3785" spans="1:8" x14ac:dyDescent="0.15">
      <c r="A3785">
        <v>3784</v>
      </c>
      <c r="B3785" t="s">
        <v>339</v>
      </c>
      <c r="C3785" t="s">
        <v>353</v>
      </c>
      <c r="D3785" t="s">
        <v>7197</v>
      </c>
      <c r="E3785" t="s">
        <v>7192</v>
      </c>
      <c r="F3785" s="46">
        <v>46097.325911122687</v>
      </c>
      <c r="G3785" s="46">
        <v>46097.325911122687</v>
      </c>
      <c r="H3785">
        <v>0</v>
      </c>
    </row>
    <row r="3786" spans="1:8" x14ac:dyDescent="0.15">
      <c r="A3786">
        <v>3785</v>
      </c>
      <c r="B3786" t="s">
        <v>339</v>
      </c>
      <c r="C3786" t="s">
        <v>353</v>
      </c>
      <c r="D3786" t="s">
        <v>7198</v>
      </c>
      <c r="E3786" t="s">
        <v>7199</v>
      </c>
      <c r="F3786" s="46">
        <v>46097.325911122687</v>
      </c>
      <c r="G3786" s="46">
        <v>46097.325911122687</v>
      </c>
      <c r="H3786">
        <v>0</v>
      </c>
    </row>
    <row r="3787" spans="1:8" x14ac:dyDescent="0.15">
      <c r="A3787">
        <v>3786</v>
      </c>
      <c r="B3787" t="s">
        <v>339</v>
      </c>
      <c r="C3787" t="s">
        <v>353</v>
      </c>
      <c r="D3787" t="s">
        <v>7200</v>
      </c>
      <c r="E3787" t="s">
        <v>7201</v>
      </c>
      <c r="F3787" s="46">
        <v>46097.325911122687</v>
      </c>
      <c r="G3787" s="46">
        <v>46097.325911122687</v>
      </c>
      <c r="H3787">
        <v>0</v>
      </c>
    </row>
    <row r="3788" spans="1:8" x14ac:dyDescent="0.15">
      <c r="A3788">
        <v>3787</v>
      </c>
      <c r="B3788" t="s">
        <v>339</v>
      </c>
      <c r="C3788" t="s">
        <v>353</v>
      </c>
      <c r="D3788" t="s">
        <v>7202</v>
      </c>
      <c r="E3788" t="s">
        <v>7203</v>
      </c>
      <c r="F3788" s="46">
        <v>46097.325911122687</v>
      </c>
      <c r="G3788" s="46">
        <v>46097.325911307867</v>
      </c>
      <c r="H3788">
        <v>15</v>
      </c>
    </row>
    <row r="3789" spans="1:8" x14ac:dyDescent="0.15">
      <c r="A3789">
        <v>3788</v>
      </c>
      <c r="B3789" t="s">
        <v>339</v>
      </c>
      <c r="C3789" t="s">
        <v>353</v>
      </c>
      <c r="D3789" t="s">
        <v>7204</v>
      </c>
      <c r="E3789" t="s">
        <v>7205</v>
      </c>
      <c r="F3789" s="46">
        <v>46097.325911307867</v>
      </c>
      <c r="G3789" s="46">
        <v>46097.325911307867</v>
      </c>
      <c r="H3789">
        <v>0</v>
      </c>
    </row>
    <row r="3790" spans="1:8" x14ac:dyDescent="0.15">
      <c r="A3790">
        <v>3789</v>
      </c>
      <c r="B3790" t="s">
        <v>339</v>
      </c>
      <c r="C3790" t="s">
        <v>353</v>
      </c>
      <c r="D3790" t="s">
        <v>7206</v>
      </c>
      <c r="E3790" t="s">
        <v>7205</v>
      </c>
      <c r="F3790" s="46">
        <v>46097.325911307867</v>
      </c>
      <c r="G3790" s="46">
        <v>46097.325911307867</v>
      </c>
      <c r="H3790">
        <v>0</v>
      </c>
    </row>
    <row r="3791" spans="1:8" x14ac:dyDescent="0.15">
      <c r="A3791">
        <v>3790</v>
      </c>
      <c r="B3791" t="s">
        <v>339</v>
      </c>
      <c r="C3791" t="s">
        <v>353</v>
      </c>
      <c r="D3791" t="s">
        <v>7207</v>
      </c>
      <c r="E3791" t="s">
        <v>7208</v>
      </c>
      <c r="F3791" s="46">
        <v>46097.325911307867</v>
      </c>
      <c r="G3791" s="46">
        <v>46097.325911307867</v>
      </c>
      <c r="H3791">
        <v>0</v>
      </c>
    </row>
    <row r="3792" spans="1:8" x14ac:dyDescent="0.15">
      <c r="A3792">
        <v>3791</v>
      </c>
      <c r="B3792" t="s">
        <v>339</v>
      </c>
      <c r="C3792" t="s">
        <v>353</v>
      </c>
      <c r="D3792" t="s">
        <v>7209</v>
      </c>
      <c r="E3792" t="s">
        <v>7210</v>
      </c>
      <c r="F3792" s="46">
        <v>46097.325911307867</v>
      </c>
      <c r="G3792" s="46">
        <v>46097.325911307867</v>
      </c>
      <c r="H3792">
        <v>0</v>
      </c>
    </row>
    <row r="3793" spans="1:8" x14ac:dyDescent="0.15">
      <c r="A3793">
        <v>3792</v>
      </c>
      <c r="B3793" t="s">
        <v>339</v>
      </c>
      <c r="C3793" t="s">
        <v>353</v>
      </c>
      <c r="D3793" t="s">
        <v>7211</v>
      </c>
      <c r="E3793" t="s">
        <v>7210</v>
      </c>
      <c r="F3793" s="46">
        <v>46097.325911307867</v>
      </c>
      <c r="G3793" s="46">
        <v>46097.325911307867</v>
      </c>
      <c r="H3793">
        <v>0</v>
      </c>
    </row>
    <row r="3794" spans="1:8" x14ac:dyDescent="0.15">
      <c r="A3794">
        <v>3793</v>
      </c>
      <c r="B3794" t="s">
        <v>339</v>
      </c>
      <c r="C3794" t="s">
        <v>353</v>
      </c>
      <c r="D3794" t="s">
        <v>7212</v>
      </c>
      <c r="E3794" t="s">
        <v>7210</v>
      </c>
      <c r="F3794" s="46">
        <v>46097.325911307867</v>
      </c>
      <c r="G3794" s="46">
        <v>46097.325911307867</v>
      </c>
      <c r="H3794">
        <v>0</v>
      </c>
    </row>
    <row r="3795" spans="1:8" x14ac:dyDescent="0.15">
      <c r="A3795">
        <v>3794</v>
      </c>
      <c r="B3795" t="s">
        <v>339</v>
      </c>
      <c r="C3795" t="s">
        <v>353</v>
      </c>
      <c r="D3795" t="s">
        <v>7213</v>
      </c>
      <c r="E3795" t="s">
        <v>7210</v>
      </c>
      <c r="F3795" s="46">
        <v>46097.325911307867</v>
      </c>
      <c r="G3795" s="46">
        <v>46097.325911307867</v>
      </c>
      <c r="H3795">
        <v>0</v>
      </c>
    </row>
    <row r="3796" spans="1:8" x14ac:dyDescent="0.15">
      <c r="A3796">
        <v>3795</v>
      </c>
      <c r="B3796" t="s">
        <v>339</v>
      </c>
      <c r="C3796" t="s">
        <v>353</v>
      </c>
      <c r="D3796" t="s">
        <v>7214</v>
      </c>
      <c r="E3796" t="s">
        <v>7210</v>
      </c>
      <c r="F3796" s="46">
        <v>46097.325911307867</v>
      </c>
      <c r="G3796" s="46">
        <v>46097.325911307867</v>
      </c>
      <c r="H3796">
        <v>0</v>
      </c>
    </row>
    <row r="3797" spans="1:8" x14ac:dyDescent="0.15">
      <c r="A3797">
        <v>3796</v>
      </c>
      <c r="B3797" t="s">
        <v>339</v>
      </c>
      <c r="C3797" t="s">
        <v>353</v>
      </c>
      <c r="D3797" t="s">
        <v>7215</v>
      </c>
      <c r="E3797" t="s">
        <v>7216</v>
      </c>
      <c r="F3797" s="46">
        <v>46097.325911307867</v>
      </c>
      <c r="G3797" s="46">
        <v>46097.325911307867</v>
      </c>
      <c r="H3797">
        <v>0</v>
      </c>
    </row>
    <row r="3798" spans="1:8" x14ac:dyDescent="0.15">
      <c r="A3798">
        <v>3797</v>
      </c>
      <c r="B3798" t="s">
        <v>339</v>
      </c>
      <c r="C3798" t="s">
        <v>353</v>
      </c>
      <c r="D3798" t="s">
        <v>7217</v>
      </c>
      <c r="E3798" t="s">
        <v>7216</v>
      </c>
      <c r="F3798" s="46">
        <v>46097.325911307867</v>
      </c>
      <c r="G3798" s="46">
        <v>46097.325911493062</v>
      </c>
      <c r="H3798">
        <v>16</v>
      </c>
    </row>
    <row r="3799" spans="1:8" x14ac:dyDescent="0.15">
      <c r="A3799">
        <v>3798</v>
      </c>
      <c r="B3799" t="s">
        <v>339</v>
      </c>
      <c r="C3799" t="s">
        <v>353</v>
      </c>
      <c r="D3799" t="s">
        <v>7218</v>
      </c>
      <c r="E3799" t="s">
        <v>7216</v>
      </c>
      <c r="F3799" s="46">
        <v>46097.325911493062</v>
      </c>
      <c r="G3799" s="46">
        <v>46097.325911493062</v>
      </c>
      <c r="H3799">
        <v>0</v>
      </c>
    </row>
    <row r="3800" spans="1:8" x14ac:dyDescent="0.15">
      <c r="A3800">
        <v>3799</v>
      </c>
      <c r="B3800" t="s">
        <v>339</v>
      </c>
      <c r="C3800" t="s">
        <v>353</v>
      </c>
      <c r="D3800" t="s">
        <v>7219</v>
      </c>
      <c r="E3800" t="s">
        <v>7216</v>
      </c>
      <c r="F3800" s="46">
        <v>46097.325911493062</v>
      </c>
      <c r="G3800" s="46">
        <v>46097.325911493062</v>
      </c>
      <c r="H3800">
        <v>0</v>
      </c>
    </row>
    <row r="3801" spans="1:8" x14ac:dyDescent="0.15">
      <c r="A3801">
        <v>3800</v>
      </c>
      <c r="B3801" t="s">
        <v>339</v>
      </c>
      <c r="C3801" t="s">
        <v>353</v>
      </c>
      <c r="D3801" t="s">
        <v>7220</v>
      </c>
      <c r="E3801" t="s">
        <v>7221</v>
      </c>
      <c r="F3801" s="46">
        <v>46097.325911493062</v>
      </c>
      <c r="G3801" s="46">
        <v>46097.325911493062</v>
      </c>
      <c r="H3801">
        <v>0</v>
      </c>
    </row>
    <row r="3802" spans="1:8" x14ac:dyDescent="0.15">
      <c r="A3802">
        <v>3801</v>
      </c>
      <c r="B3802" t="s">
        <v>339</v>
      </c>
      <c r="C3802" t="s">
        <v>353</v>
      </c>
      <c r="D3802" t="s">
        <v>7222</v>
      </c>
      <c r="E3802" t="s">
        <v>7223</v>
      </c>
      <c r="F3802" s="46">
        <v>46097.325911493062</v>
      </c>
      <c r="G3802" s="46">
        <v>46097.325911493062</v>
      </c>
      <c r="H3802">
        <v>0</v>
      </c>
    </row>
    <row r="3803" spans="1:8" x14ac:dyDescent="0.15">
      <c r="A3803">
        <v>3802</v>
      </c>
      <c r="B3803" t="s">
        <v>339</v>
      </c>
      <c r="C3803" t="s">
        <v>353</v>
      </c>
      <c r="D3803" t="s">
        <v>7224</v>
      </c>
      <c r="E3803" t="s">
        <v>7223</v>
      </c>
      <c r="F3803" s="46">
        <v>46097.325911493062</v>
      </c>
      <c r="G3803" s="46">
        <v>46097.325911493062</v>
      </c>
      <c r="H3803">
        <v>0</v>
      </c>
    </row>
    <row r="3804" spans="1:8" x14ac:dyDescent="0.15">
      <c r="A3804">
        <v>3803</v>
      </c>
      <c r="B3804" t="s">
        <v>339</v>
      </c>
      <c r="C3804" t="s">
        <v>353</v>
      </c>
      <c r="D3804" t="s">
        <v>7225</v>
      </c>
      <c r="E3804" t="s">
        <v>7223</v>
      </c>
      <c r="F3804" s="46">
        <v>46097.325911493062</v>
      </c>
      <c r="G3804" s="46">
        <v>46097.325911493062</v>
      </c>
      <c r="H3804">
        <v>0</v>
      </c>
    </row>
    <row r="3805" spans="1:8" x14ac:dyDescent="0.15">
      <c r="A3805">
        <v>3804</v>
      </c>
      <c r="B3805" t="s">
        <v>339</v>
      </c>
      <c r="C3805" t="s">
        <v>353</v>
      </c>
      <c r="D3805" t="s">
        <v>7226</v>
      </c>
      <c r="E3805" t="s">
        <v>7223</v>
      </c>
      <c r="F3805" s="46">
        <v>46097.325911493062</v>
      </c>
      <c r="G3805" s="46">
        <v>46097.325911493062</v>
      </c>
      <c r="H3805">
        <v>0</v>
      </c>
    </row>
    <row r="3806" spans="1:8" x14ac:dyDescent="0.15">
      <c r="A3806">
        <v>3805</v>
      </c>
      <c r="B3806" t="s">
        <v>339</v>
      </c>
      <c r="C3806" t="s">
        <v>353</v>
      </c>
      <c r="D3806" t="s">
        <v>7227</v>
      </c>
      <c r="E3806" t="s">
        <v>7228</v>
      </c>
      <c r="F3806" s="46">
        <v>46097.325911493062</v>
      </c>
      <c r="G3806" s="46">
        <v>46097.325911493062</v>
      </c>
      <c r="H3806">
        <v>0</v>
      </c>
    </row>
    <row r="3807" spans="1:8" x14ac:dyDescent="0.15">
      <c r="A3807">
        <v>3806</v>
      </c>
      <c r="B3807" t="s">
        <v>339</v>
      </c>
      <c r="C3807" t="s">
        <v>353</v>
      </c>
      <c r="D3807" t="s">
        <v>7229</v>
      </c>
      <c r="E3807" t="s">
        <v>7230</v>
      </c>
      <c r="F3807" s="46">
        <v>46097.325911493062</v>
      </c>
      <c r="G3807" s="46">
        <v>46097.325911493062</v>
      </c>
      <c r="H3807">
        <v>0</v>
      </c>
    </row>
    <row r="3808" spans="1:8" x14ac:dyDescent="0.15">
      <c r="A3808">
        <v>3807</v>
      </c>
      <c r="B3808" t="s">
        <v>339</v>
      </c>
      <c r="C3808" t="s">
        <v>353</v>
      </c>
      <c r="D3808" t="s">
        <v>7231</v>
      </c>
      <c r="E3808" t="s">
        <v>7230</v>
      </c>
      <c r="F3808" s="46">
        <v>46097.325911493062</v>
      </c>
      <c r="G3808" s="46">
        <v>46097.325911493062</v>
      </c>
      <c r="H3808">
        <v>0</v>
      </c>
    </row>
    <row r="3809" spans="1:8" x14ac:dyDescent="0.15">
      <c r="A3809">
        <v>3808</v>
      </c>
      <c r="B3809" t="s">
        <v>339</v>
      </c>
      <c r="C3809" t="s">
        <v>353</v>
      </c>
      <c r="D3809" t="s">
        <v>7232</v>
      </c>
      <c r="E3809" t="s">
        <v>7233</v>
      </c>
      <c r="F3809" s="46">
        <v>46097.325911493062</v>
      </c>
      <c r="G3809" s="46">
        <v>46097.325911666667</v>
      </c>
      <c r="H3809">
        <v>16</v>
      </c>
    </row>
    <row r="3810" spans="1:8" x14ac:dyDescent="0.15">
      <c r="A3810">
        <v>3809</v>
      </c>
      <c r="B3810" t="s">
        <v>339</v>
      </c>
      <c r="C3810" t="s">
        <v>353</v>
      </c>
      <c r="D3810" t="s">
        <v>7234</v>
      </c>
      <c r="E3810" t="s">
        <v>7235</v>
      </c>
      <c r="F3810" s="46">
        <v>46097.325911666667</v>
      </c>
      <c r="G3810" s="46">
        <v>46097.325911666667</v>
      </c>
      <c r="H3810">
        <v>0</v>
      </c>
    </row>
    <row r="3811" spans="1:8" x14ac:dyDescent="0.15">
      <c r="A3811">
        <v>3810</v>
      </c>
      <c r="B3811" t="s">
        <v>339</v>
      </c>
      <c r="C3811" t="s">
        <v>353</v>
      </c>
      <c r="D3811" t="s">
        <v>7236</v>
      </c>
      <c r="E3811" t="s">
        <v>7237</v>
      </c>
      <c r="F3811" s="46">
        <v>46097.325911666667</v>
      </c>
      <c r="G3811" s="46">
        <v>46097.325911666667</v>
      </c>
      <c r="H3811">
        <v>0</v>
      </c>
    </row>
    <row r="3812" spans="1:8" x14ac:dyDescent="0.15">
      <c r="A3812">
        <v>3811</v>
      </c>
      <c r="B3812" t="s">
        <v>339</v>
      </c>
      <c r="C3812" t="s">
        <v>353</v>
      </c>
      <c r="D3812" t="s">
        <v>7238</v>
      </c>
      <c r="E3812" t="s">
        <v>7239</v>
      </c>
      <c r="F3812" s="46">
        <v>46097.325911666667</v>
      </c>
      <c r="G3812" s="46">
        <v>46097.325911666667</v>
      </c>
      <c r="H3812">
        <v>0</v>
      </c>
    </row>
    <row r="3813" spans="1:8" x14ac:dyDescent="0.15">
      <c r="A3813">
        <v>3812</v>
      </c>
      <c r="B3813" t="s">
        <v>339</v>
      </c>
      <c r="C3813" t="s">
        <v>353</v>
      </c>
      <c r="D3813" t="s">
        <v>7240</v>
      </c>
      <c r="E3813" t="s">
        <v>7241</v>
      </c>
      <c r="F3813" s="46">
        <v>46097.325911666667</v>
      </c>
      <c r="G3813" s="46">
        <v>46097.325911666667</v>
      </c>
      <c r="H3813">
        <v>0</v>
      </c>
    </row>
    <row r="3814" spans="1:8" x14ac:dyDescent="0.15">
      <c r="A3814">
        <v>3813</v>
      </c>
      <c r="B3814" t="s">
        <v>339</v>
      </c>
      <c r="C3814" t="s">
        <v>353</v>
      </c>
      <c r="D3814" t="s">
        <v>7242</v>
      </c>
      <c r="E3814" t="s">
        <v>7243</v>
      </c>
      <c r="F3814" s="46">
        <v>46097.325911666667</v>
      </c>
      <c r="G3814" s="46">
        <v>46097.325911666667</v>
      </c>
      <c r="H3814">
        <v>0</v>
      </c>
    </row>
    <row r="3815" spans="1:8" x14ac:dyDescent="0.15">
      <c r="A3815">
        <v>3814</v>
      </c>
      <c r="B3815" t="s">
        <v>339</v>
      </c>
      <c r="C3815" t="s">
        <v>353</v>
      </c>
      <c r="D3815" t="s">
        <v>7244</v>
      </c>
      <c r="E3815" t="s">
        <v>7245</v>
      </c>
      <c r="F3815" s="46">
        <v>46097.325911666667</v>
      </c>
      <c r="G3815" s="46">
        <v>46097.325911666667</v>
      </c>
      <c r="H3815">
        <v>0</v>
      </c>
    </row>
    <row r="3816" spans="1:8" x14ac:dyDescent="0.15">
      <c r="A3816">
        <v>3815</v>
      </c>
      <c r="B3816" t="s">
        <v>339</v>
      </c>
      <c r="C3816" t="s">
        <v>353</v>
      </c>
      <c r="D3816" t="s">
        <v>7246</v>
      </c>
      <c r="E3816" t="s">
        <v>7245</v>
      </c>
      <c r="F3816" s="46">
        <v>46097.325911666667</v>
      </c>
      <c r="G3816" s="46">
        <v>46097.325911666667</v>
      </c>
      <c r="H3816">
        <v>0</v>
      </c>
    </row>
    <row r="3817" spans="1:8" x14ac:dyDescent="0.15">
      <c r="A3817">
        <v>3816</v>
      </c>
      <c r="B3817" t="s">
        <v>339</v>
      </c>
      <c r="C3817" t="s">
        <v>353</v>
      </c>
      <c r="D3817" t="s">
        <v>7247</v>
      </c>
      <c r="E3817" t="s">
        <v>7245</v>
      </c>
      <c r="F3817" s="46">
        <v>46097.325911666667</v>
      </c>
      <c r="G3817" s="46">
        <v>46097.325911666667</v>
      </c>
      <c r="H3817">
        <v>0</v>
      </c>
    </row>
    <row r="3818" spans="1:8" x14ac:dyDescent="0.15">
      <c r="A3818">
        <v>3817</v>
      </c>
      <c r="B3818" t="s">
        <v>339</v>
      </c>
      <c r="C3818" t="s">
        <v>353</v>
      </c>
      <c r="D3818" t="s">
        <v>7248</v>
      </c>
      <c r="E3818" t="s">
        <v>7249</v>
      </c>
      <c r="F3818" s="46">
        <v>46097.325911666667</v>
      </c>
      <c r="G3818" s="46">
        <v>46097.325911666667</v>
      </c>
      <c r="H3818">
        <v>0</v>
      </c>
    </row>
    <row r="3819" spans="1:8" x14ac:dyDescent="0.15">
      <c r="A3819">
        <v>3818</v>
      </c>
      <c r="B3819" t="s">
        <v>339</v>
      </c>
      <c r="C3819" t="s">
        <v>353</v>
      </c>
      <c r="D3819" t="s">
        <v>7250</v>
      </c>
      <c r="E3819" t="s">
        <v>7249</v>
      </c>
      <c r="F3819" s="46">
        <v>46097.325911666667</v>
      </c>
      <c r="G3819" s="46">
        <v>46097.325911851847</v>
      </c>
      <c r="H3819">
        <v>15</v>
      </c>
    </row>
    <row r="3820" spans="1:8" x14ac:dyDescent="0.15">
      <c r="A3820">
        <v>3819</v>
      </c>
      <c r="B3820" t="s">
        <v>339</v>
      </c>
      <c r="C3820" t="s">
        <v>353</v>
      </c>
      <c r="D3820" t="s">
        <v>7251</v>
      </c>
      <c r="E3820" t="s">
        <v>7252</v>
      </c>
      <c r="F3820" s="46">
        <v>46097.325911851847</v>
      </c>
      <c r="G3820" s="46">
        <v>46097.325911851847</v>
      </c>
      <c r="H3820">
        <v>0</v>
      </c>
    </row>
    <row r="3821" spans="1:8" x14ac:dyDescent="0.15">
      <c r="A3821">
        <v>3820</v>
      </c>
      <c r="B3821" t="s">
        <v>339</v>
      </c>
      <c r="C3821" t="s">
        <v>353</v>
      </c>
      <c r="D3821" t="s">
        <v>7253</v>
      </c>
      <c r="E3821" t="s">
        <v>7252</v>
      </c>
      <c r="F3821" s="46">
        <v>46097.325911851847</v>
      </c>
      <c r="G3821" s="46">
        <v>46097.325911851847</v>
      </c>
      <c r="H3821">
        <v>0</v>
      </c>
    </row>
    <row r="3822" spans="1:8" x14ac:dyDescent="0.15">
      <c r="A3822">
        <v>3821</v>
      </c>
      <c r="B3822" t="s">
        <v>339</v>
      </c>
      <c r="C3822" t="s">
        <v>353</v>
      </c>
      <c r="D3822" t="s">
        <v>7254</v>
      </c>
      <c r="E3822" t="s">
        <v>7255</v>
      </c>
      <c r="F3822" s="46">
        <v>46097.325911851847</v>
      </c>
      <c r="G3822" s="46">
        <v>46097.325911851847</v>
      </c>
      <c r="H3822">
        <v>0</v>
      </c>
    </row>
    <row r="3823" spans="1:8" x14ac:dyDescent="0.15">
      <c r="A3823">
        <v>3822</v>
      </c>
      <c r="B3823" t="s">
        <v>339</v>
      </c>
      <c r="C3823" t="s">
        <v>353</v>
      </c>
      <c r="D3823" t="s">
        <v>7256</v>
      </c>
      <c r="E3823" t="s">
        <v>7257</v>
      </c>
      <c r="F3823" s="46">
        <v>46097.325911851847</v>
      </c>
      <c r="G3823" s="46">
        <v>46097.325911851847</v>
      </c>
      <c r="H3823">
        <v>0</v>
      </c>
    </row>
    <row r="3824" spans="1:8" x14ac:dyDescent="0.15">
      <c r="A3824">
        <v>3823</v>
      </c>
      <c r="B3824" t="s">
        <v>339</v>
      </c>
      <c r="C3824" t="s">
        <v>353</v>
      </c>
      <c r="D3824" t="s">
        <v>7258</v>
      </c>
      <c r="E3824" t="s">
        <v>7259</v>
      </c>
      <c r="F3824" s="46">
        <v>46097.325911851847</v>
      </c>
      <c r="G3824" s="46">
        <v>46097.325911851847</v>
      </c>
      <c r="H3824">
        <v>0</v>
      </c>
    </row>
    <row r="3825" spans="1:8" x14ac:dyDescent="0.15">
      <c r="A3825">
        <v>3824</v>
      </c>
      <c r="B3825" t="s">
        <v>339</v>
      </c>
      <c r="C3825" t="s">
        <v>353</v>
      </c>
      <c r="D3825" t="s">
        <v>7260</v>
      </c>
      <c r="E3825" t="s">
        <v>7261</v>
      </c>
      <c r="F3825" s="46">
        <v>46097.325911851847</v>
      </c>
      <c r="G3825" s="46">
        <v>46097.325911851847</v>
      </c>
      <c r="H3825">
        <v>0</v>
      </c>
    </row>
    <row r="3826" spans="1:8" x14ac:dyDescent="0.15">
      <c r="A3826">
        <v>3825</v>
      </c>
      <c r="B3826" t="s">
        <v>339</v>
      </c>
      <c r="C3826" t="s">
        <v>353</v>
      </c>
      <c r="D3826" t="s">
        <v>7262</v>
      </c>
      <c r="E3826" t="s">
        <v>7263</v>
      </c>
      <c r="F3826" s="46">
        <v>46097.325911851847</v>
      </c>
      <c r="G3826" s="46">
        <v>46097.325911851847</v>
      </c>
      <c r="H3826">
        <v>0</v>
      </c>
    </row>
    <row r="3827" spans="1:8" x14ac:dyDescent="0.15">
      <c r="A3827">
        <v>3826</v>
      </c>
      <c r="B3827" t="s">
        <v>339</v>
      </c>
      <c r="C3827" t="s">
        <v>353</v>
      </c>
      <c r="D3827" t="s">
        <v>7264</v>
      </c>
      <c r="E3827" t="s">
        <v>7265</v>
      </c>
      <c r="F3827" s="46">
        <v>46097.325911851847</v>
      </c>
      <c r="G3827" s="46">
        <v>46097.325911851847</v>
      </c>
      <c r="H3827">
        <v>0</v>
      </c>
    </row>
    <row r="3828" spans="1:8" x14ac:dyDescent="0.15">
      <c r="A3828">
        <v>3827</v>
      </c>
      <c r="B3828" t="s">
        <v>339</v>
      </c>
      <c r="C3828" t="s">
        <v>353</v>
      </c>
      <c r="D3828" t="s">
        <v>7266</v>
      </c>
      <c r="E3828" t="s">
        <v>7267</v>
      </c>
      <c r="F3828" s="46">
        <v>46097.325911851847</v>
      </c>
      <c r="G3828" s="46">
        <v>46097.325911851847</v>
      </c>
      <c r="H3828">
        <v>0</v>
      </c>
    </row>
    <row r="3829" spans="1:8" x14ac:dyDescent="0.15">
      <c r="A3829">
        <v>3828</v>
      </c>
      <c r="B3829" t="s">
        <v>339</v>
      </c>
      <c r="C3829" t="s">
        <v>353</v>
      </c>
      <c r="D3829" t="s">
        <v>7268</v>
      </c>
      <c r="E3829" t="s">
        <v>7269</v>
      </c>
      <c r="F3829" s="46">
        <v>46097.325911851847</v>
      </c>
      <c r="G3829" s="46">
        <v>46097.325912025473</v>
      </c>
      <c r="H3829">
        <v>16</v>
      </c>
    </row>
    <row r="3830" spans="1:8" x14ac:dyDescent="0.15">
      <c r="A3830">
        <v>3829</v>
      </c>
      <c r="B3830" t="s">
        <v>339</v>
      </c>
      <c r="C3830" t="s">
        <v>353</v>
      </c>
      <c r="D3830" t="s">
        <v>7270</v>
      </c>
      <c r="E3830" t="s">
        <v>7269</v>
      </c>
      <c r="F3830" s="46">
        <v>46097.325912025473</v>
      </c>
      <c r="G3830" s="46">
        <v>46097.325912025473</v>
      </c>
      <c r="H3830">
        <v>0</v>
      </c>
    </row>
    <row r="3831" spans="1:8" x14ac:dyDescent="0.15">
      <c r="A3831">
        <v>3830</v>
      </c>
      <c r="B3831" t="s">
        <v>339</v>
      </c>
      <c r="C3831" t="s">
        <v>353</v>
      </c>
      <c r="D3831" t="s">
        <v>7271</v>
      </c>
      <c r="E3831" t="s">
        <v>7269</v>
      </c>
      <c r="F3831" s="46">
        <v>46097.325912025473</v>
      </c>
      <c r="G3831" s="46">
        <v>46097.325912025473</v>
      </c>
      <c r="H3831">
        <v>0</v>
      </c>
    </row>
    <row r="3832" spans="1:8" x14ac:dyDescent="0.15">
      <c r="A3832">
        <v>3831</v>
      </c>
      <c r="B3832" t="s">
        <v>339</v>
      </c>
      <c r="C3832" t="s">
        <v>353</v>
      </c>
      <c r="D3832" t="s">
        <v>7272</v>
      </c>
      <c r="E3832" t="s">
        <v>7269</v>
      </c>
      <c r="F3832" s="46">
        <v>46097.325912025473</v>
      </c>
      <c r="G3832" s="46">
        <v>46097.325912083332</v>
      </c>
      <c r="H3832">
        <v>4</v>
      </c>
    </row>
    <row r="3833" spans="1:8" x14ac:dyDescent="0.15">
      <c r="A3833">
        <v>3832</v>
      </c>
      <c r="B3833" t="s">
        <v>339</v>
      </c>
      <c r="C3833" t="s">
        <v>353</v>
      </c>
      <c r="D3833" t="s">
        <v>7273</v>
      </c>
      <c r="E3833" t="s">
        <v>7274</v>
      </c>
      <c r="F3833" s="46">
        <v>46097.325912083332</v>
      </c>
      <c r="G3833" s="46">
        <v>46097.325912094908</v>
      </c>
      <c r="H3833">
        <v>1</v>
      </c>
    </row>
    <row r="3834" spans="1:8" x14ac:dyDescent="0.15">
      <c r="A3834">
        <v>3833</v>
      </c>
      <c r="B3834" t="s">
        <v>339</v>
      </c>
      <c r="C3834" t="s">
        <v>353</v>
      </c>
      <c r="D3834" t="s">
        <v>7275</v>
      </c>
      <c r="E3834" t="s">
        <v>7274</v>
      </c>
      <c r="F3834" s="46">
        <v>46097.325912106477</v>
      </c>
      <c r="G3834" s="46">
        <v>46097.325912118053</v>
      </c>
      <c r="H3834">
        <v>1</v>
      </c>
    </row>
    <row r="3835" spans="1:8" x14ac:dyDescent="0.15">
      <c r="A3835">
        <v>3834</v>
      </c>
      <c r="B3835" t="s">
        <v>339</v>
      </c>
      <c r="C3835" t="s">
        <v>353</v>
      </c>
      <c r="D3835" t="s">
        <v>7276</v>
      </c>
      <c r="E3835" t="s">
        <v>7277</v>
      </c>
      <c r="F3835" s="46">
        <v>46097.325912118053</v>
      </c>
      <c r="G3835" s="46">
        <v>46097.325912129629</v>
      </c>
      <c r="H3835">
        <v>1</v>
      </c>
    </row>
    <row r="3836" spans="1:8" x14ac:dyDescent="0.15">
      <c r="A3836">
        <v>3835</v>
      </c>
      <c r="B3836" t="s">
        <v>339</v>
      </c>
      <c r="C3836" t="s">
        <v>353</v>
      </c>
      <c r="D3836" t="s">
        <v>7278</v>
      </c>
      <c r="E3836" t="s">
        <v>7277</v>
      </c>
      <c r="F3836" s="46">
        <v>46097.325912141197</v>
      </c>
      <c r="G3836" s="46">
        <v>46097.325912152781</v>
      </c>
      <c r="H3836">
        <v>1</v>
      </c>
    </row>
    <row r="3837" spans="1:8" x14ac:dyDescent="0.15">
      <c r="A3837">
        <v>3836</v>
      </c>
      <c r="B3837" t="s">
        <v>339</v>
      </c>
      <c r="C3837" t="s">
        <v>353</v>
      </c>
      <c r="D3837" t="s">
        <v>7279</v>
      </c>
      <c r="E3837" t="s">
        <v>7277</v>
      </c>
      <c r="F3837" s="46">
        <v>46097.325912152781</v>
      </c>
      <c r="G3837" s="46">
        <v>46097.325912152781</v>
      </c>
      <c r="H3837">
        <v>1</v>
      </c>
    </row>
    <row r="3838" spans="1:8" x14ac:dyDescent="0.15">
      <c r="A3838">
        <v>3837</v>
      </c>
      <c r="B3838" t="s">
        <v>339</v>
      </c>
      <c r="C3838" t="s">
        <v>353</v>
      </c>
      <c r="D3838" t="s">
        <v>7280</v>
      </c>
      <c r="E3838" t="s">
        <v>7277</v>
      </c>
      <c r="F3838" s="46">
        <v>46097.325912152781</v>
      </c>
      <c r="G3838" s="46">
        <v>46097.325912152781</v>
      </c>
      <c r="H3838">
        <v>0</v>
      </c>
    </row>
    <row r="3839" spans="1:8" x14ac:dyDescent="0.15">
      <c r="A3839">
        <v>3838</v>
      </c>
      <c r="B3839" t="s">
        <v>339</v>
      </c>
      <c r="C3839" t="s">
        <v>353</v>
      </c>
      <c r="D3839" t="s">
        <v>7281</v>
      </c>
      <c r="E3839" t="s">
        <v>777</v>
      </c>
      <c r="F3839" s="46">
        <v>46097.325912152781</v>
      </c>
      <c r="G3839" s="46">
        <v>46097.325912152781</v>
      </c>
      <c r="H3839">
        <v>0</v>
      </c>
    </row>
    <row r="3840" spans="1:8" x14ac:dyDescent="0.15">
      <c r="A3840">
        <v>3839</v>
      </c>
      <c r="B3840" t="s">
        <v>339</v>
      </c>
      <c r="C3840" t="s">
        <v>353</v>
      </c>
      <c r="D3840" t="s">
        <v>7282</v>
      </c>
      <c r="E3840" t="s">
        <v>7283</v>
      </c>
      <c r="F3840" s="46">
        <v>46097.325912152781</v>
      </c>
      <c r="G3840" s="46">
        <v>46097.325912152781</v>
      </c>
      <c r="H3840">
        <v>0</v>
      </c>
    </row>
    <row r="3841" spans="1:8" x14ac:dyDescent="0.15">
      <c r="A3841">
        <v>3840</v>
      </c>
      <c r="B3841" t="s">
        <v>339</v>
      </c>
      <c r="C3841" t="s">
        <v>353</v>
      </c>
      <c r="D3841" t="s">
        <v>7284</v>
      </c>
      <c r="E3841" t="s">
        <v>7285</v>
      </c>
      <c r="F3841" s="46">
        <v>46097.325912152781</v>
      </c>
      <c r="G3841" s="46">
        <v>46097.325912152781</v>
      </c>
      <c r="H3841">
        <v>0</v>
      </c>
    </row>
    <row r="3842" spans="1:8" x14ac:dyDescent="0.15">
      <c r="A3842">
        <v>3841</v>
      </c>
      <c r="B3842" t="s">
        <v>339</v>
      </c>
      <c r="C3842" t="s">
        <v>353</v>
      </c>
      <c r="D3842" t="s">
        <v>7286</v>
      </c>
      <c r="E3842" t="s">
        <v>7287</v>
      </c>
      <c r="F3842" s="46">
        <v>46097.325912152781</v>
      </c>
      <c r="G3842" s="46">
        <v>46097.325912152781</v>
      </c>
      <c r="H3842">
        <v>0</v>
      </c>
    </row>
    <row r="3843" spans="1:8" x14ac:dyDescent="0.15">
      <c r="A3843">
        <v>3842</v>
      </c>
      <c r="B3843" t="s">
        <v>339</v>
      </c>
      <c r="C3843" t="s">
        <v>353</v>
      </c>
      <c r="D3843" t="s">
        <v>7288</v>
      </c>
      <c r="E3843" t="s">
        <v>7287</v>
      </c>
      <c r="F3843" s="46">
        <v>46097.325912152781</v>
      </c>
      <c r="G3843" s="46">
        <v>46097.325912152781</v>
      </c>
      <c r="H3843">
        <v>0</v>
      </c>
    </row>
    <row r="3844" spans="1:8" x14ac:dyDescent="0.15">
      <c r="A3844">
        <v>3843</v>
      </c>
      <c r="B3844" t="s">
        <v>339</v>
      </c>
      <c r="C3844" t="s">
        <v>353</v>
      </c>
      <c r="D3844" t="s">
        <v>7289</v>
      </c>
      <c r="E3844" t="s">
        <v>7287</v>
      </c>
      <c r="F3844" s="46">
        <v>46097.325912152781</v>
      </c>
      <c r="G3844" s="46">
        <v>46097.325912152781</v>
      </c>
      <c r="H3844">
        <v>0</v>
      </c>
    </row>
    <row r="3845" spans="1:8" x14ac:dyDescent="0.15">
      <c r="A3845">
        <v>3844</v>
      </c>
      <c r="B3845" t="s">
        <v>339</v>
      </c>
      <c r="C3845" t="s">
        <v>353</v>
      </c>
      <c r="D3845" t="s">
        <v>7290</v>
      </c>
      <c r="E3845" t="s">
        <v>7291</v>
      </c>
      <c r="F3845" s="46">
        <v>46097.325912152781</v>
      </c>
      <c r="G3845" s="46">
        <v>46097.325912152781</v>
      </c>
      <c r="H3845">
        <v>0</v>
      </c>
    </row>
    <row r="3846" spans="1:8" x14ac:dyDescent="0.15">
      <c r="A3846">
        <v>3845</v>
      </c>
      <c r="B3846" t="s">
        <v>339</v>
      </c>
      <c r="C3846" t="s">
        <v>353</v>
      </c>
      <c r="D3846" t="s">
        <v>7292</v>
      </c>
      <c r="E3846" t="s">
        <v>7291</v>
      </c>
      <c r="F3846" s="46">
        <v>46097.325912152781</v>
      </c>
      <c r="G3846" s="46">
        <v>46097.325912152781</v>
      </c>
      <c r="H3846">
        <v>0</v>
      </c>
    </row>
    <row r="3847" spans="1:8" x14ac:dyDescent="0.15">
      <c r="A3847">
        <v>3846</v>
      </c>
      <c r="B3847" t="s">
        <v>339</v>
      </c>
      <c r="C3847" t="s">
        <v>353</v>
      </c>
      <c r="D3847" t="s">
        <v>7293</v>
      </c>
      <c r="E3847" t="s">
        <v>7294</v>
      </c>
      <c r="F3847" s="46">
        <v>46097.325912152781</v>
      </c>
      <c r="G3847" s="46">
        <v>46097.325912337961</v>
      </c>
      <c r="H3847">
        <v>16</v>
      </c>
    </row>
    <row r="3848" spans="1:8" x14ac:dyDescent="0.15">
      <c r="A3848">
        <v>3847</v>
      </c>
      <c r="B3848" t="s">
        <v>339</v>
      </c>
      <c r="C3848" t="s">
        <v>353</v>
      </c>
      <c r="D3848" t="s">
        <v>7295</v>
      </c>
      <c r="E3848" t="s">
        <v>7294</v>
      </c>
      <c r="F3848" s="46">
        <v>46097.325912337961</v>
      </c>
      <c r="G3848" s="46">
        <v>46097.325912337961</v>
      </c>
      <c r="H3848">
        <v>0</v>
      </c>
    </row>
    <row r="3849" spans="1:8" x14ac:dyDescent="0.15">
      <c r="A3849">
        <v>3848</v>
      </c>
      <c r="B3849" t="s">
        <v>339</v>
      </c>
      <c r="C3849" t="s">
        <v>353</v>
      </c>
      <c r="D3849" t="s">
        <v>7296</v>
      </c>
      <c r="E3849" t="s">
        <v>7294</v>
      </c>
      <c r="F3849" s="46">
        <v>46097.325912337961</v>
      </c>
      <c r="G3849" s="46">
        <v>46097.325912337961</v>
      </c>
      <c r="H3849">
        <v>0</v>
      </c>
    </row>
    <row r="3850" spans="1:8" x14ac:dyDescent="0.15">
      <c r="A3850">
        <v>3849</v>
      </c>
      <c r="B3850" t="s">
        <v>339</v>
      </c>
      <c r="C3850" t="s">
        <v>353</v>
      </c>
      <c r="D3850" t="s">
        <v>7297</v>
      </c>
      <c r="E3850" t="s">
        <v>7298</v>
      </c>
      <c r="F3850" s="46">
        <v>46097.325912337961</v>
      </c>
      <c r="G3850" s="46">
        <v>46097.325912337961</v>
      </c>
      <c r="H3850">
        <v>0</v>
      </c>
    </row>
    <row r="3851" spans="1:8" x14ac:dyDescent="0.15">
      <c r="A3851">
        <v>3850</v>
      </c>
      <c r="B3851" t="s">
        <v>339</v>
      </c>
      <c r="C3851" t="s">
        <v>353</v>
      </c>
      <c r="D3851" t="s">
        <v>7299</v>
      </c>
      <c r="E3851" t="s">
        <v>7300</v>
      </c>
      <c r="F3851" s="46">
        <v>46097.325912337961</v>
      </c>
      <c r="G3851" s="46">
        <v>46097.325912337961</v>
      </c>
      <c r="H3851">
        <v>0</v>
      </c>
    </row>
    <row r="3852" spans="1:8" x14ac:dyDescent="0.15">
      <c r="A3852">
        <v>3851</v>
      </c>
      <c r="B3852" t="s">
        <v>339</v>
      </c>
      <c r="C3852" t="s">
        <v>353</v>
      </c>
      <c r="D3852" t="s">
        <v>7301</v>
      </c>
      <c r="E3852" t="s">
        <v>7300</v>
      </c>
      <c r="F3852" s="46">
        <v>46097.325912337961</v>
      </c>
      <c r="G3852" s="46">
        <v>46097.325912337961</v>
      </c>
      <c r="H3852">
        <v>0</v>
      </c>
    </row>
    <row r="3853" spans="1:8" x14ac:dyDescent="0.15">
      <c r="A3853">
        <v>3852</v>
      </c>
      <c r="B3853" t="s">
        <v>339</v>
      </c>
      <c r="C3853" t="s">
        <v>353</v>
      </c>
      <c r="D3853" t="s">
        <v>7302</v>
      </c>
      <c r="E3853" t="s">
        <v>7300</v>
      </c>
      <c r="F3853" s="46">
        <v>46097.325912337961</v>
      </c>
      <c r="G3853" s="46">
        <v>46097.325912337961</v>
      </c>
      <c r="H3853">
        <v>0</v>
      </c>
    </row>
    <row r="3854" spans="1:8" x14ac:dyDescent="0.15">
      <c r="A3854">
        <v>3853</v>
      </c>
      <c r="B3854" t="s">
        <v>339</v>
      </c>
      <c r="C3854" t="s">
        <v>353</v>
      </c>
      <c r="D3854" t="s">
        <v>7303</v>
      </c>
      <c r="E3854" t="s">
        <v>7300</v>
      </c>
      <c r="F3854" s="46">
        <v>46097.325912337961</v>
      </c>
      <c r="G3854" s="46">
        <v>46097.325912337961</v>
      </c>
      <c r="H3854">
        <v>0</v>
      </c>
    </row>
    <row r="3855" spans="1:8" x14ac:dyDescent="0.15">
      <c r="A3855">
        <v>3854</v>
      </c>
      <c r="B3855" t="s">
        <v>339</v>
      </c>
      <c r="C3855" t="s">
        <v>353</v>
      </c>
      <c r="D3855" t="s">
        <v>7304</v>
      </c>
      <c r="E3855" t="s">
        <v>7300</v>
      </c>
      <c r="F3855" s="46">
        <v>46097.325912337961</v>
      </c>
      <c r="G3855" s="46">
        <v>46097.325912337961</v>
      </c>
      <c r="H3855">
        <v>0</v>
      </c>
    </row>
    <row r="3856" spans="1:8" x14ac:dyDescent="0.15">
      <c r="A3856">
        <v>3855</v>
      </c>
      <c r="B3856" t="s">
        <v>339</v>
      </c>
      <c r="C3856" t="s">
        <v>353</v>
      </c>
      <c r="D3856" t="s">
        <v>7305</v>
      </c>
      <c r="E3856" t="s">
        <v>7306</v>
      </c>
      <c r="F3856" s="46">
        <v>46097.325912337961</v>
      </c>
      <c r="G3856" s="46">
        <v>46097.325912337961</v>
      </c>
      <c r="H3856">
        <v>0</v>
      </c>
    </row>
    <row r="3857" spans="1:8" x14ac:dyDescent="0.15">
      <c r="A3857">
        <v>3856</v>
      </c>
      <c r="B3857" t="s">
        <v>339</v>
      </c>
      <c r="C3857" t="s">
        <v>353</v>
      </c>
      <c r="D3857" t="s">
        <v>7307</v>
      </c>
      <c r="E3857" t="s">
        <v>7306</v>
      </c>
      <c r="F3857" s="46">
        <v>46097.325912337961</v>
      </c>
      <c r="G3857" s="46">
        <v>46097.325912523149</v>
      </c>
      <c r="H3857">
        <v>15</v>
      </c>
    </row>
    <row r="3858" spans="1:8" x14ac:dyDescent="0.15">
      <c r="A3858">
        <v>3857</v>
      </c>
      <c r="B3858" t="s">
        <v>339</v>
      </c>
      <c r="C3858" t="s">
        <v>353</v>
      </c>
      <c r="D3858" t="s">
        <v>7308</v>
      </c>
      <c r="E3858" t="s">
        <v>7306</v>
      </c>
      <c r="F3858" s="46">
        <v>46097.325912523149</v>
      </c>
      <c r="G3858" s="46">
        <v>46097.325912523149</v>
      </c>
      <c r="H3858">
        <v>0</v>
      </c>
    </row>
    <row r="3859" spans="1:8" x14ac:dyDescent="0.15">
      <c r="A3859">
        <v>3858</v>
      </c>
      <c r="B3859" t="s">
        <v>339</v>
      </c>
      <c r="C3859" t="s">
        <v>353</v>
      </c>
      <c r="D3859" t="s">
        <v>7309</v>
      </c>
      <c r="E3859" t="s">
        <v>7310</v>
      </c>
      <c r="F3859" s="46">
        <v>46097.325912523149</v>
      </c>
      <c r="G3859" s="46">
        <v>46097.325912523149</v>
      </c>
      <c r="H3859">
        <v>0</v>
      </c>
    </row>
    <row r="3860" spans="1:8" x14ac:dyDescent="0.15">
      <c r="A3860">
        <v>3859</v>
      </c>
      <c r="B3860" t="s">
        <v>339</v>
      </c>
      <c r="C3860" t="s">
        <v>353</v>
      </c>
      <c r="D3860" t="s">
        <v>7311</v>
      </c>
      <c r="E3860" t="s">
        <v>7310</v>
      </c>
      <c r="F3860" s="46">
        <v>46097.325912523149</v>
      </c>
      <c r="G3860" s="46">
        <v>46097.325912523149</v>
      </c>
      <c r="H3860">
        <v>0</v>
      </c>
    </row>
    <row r="3861" spans="1:8" x14ac:dyDescent="0.15">
      <c r="A3861">
        <v>3860</v>
      </c>
      <c r="B3861" t="s">
        <v>339</v>
      </c>
      <c r="C3861" t="s">
        <v>353</v>
      </c>
      <c r="D3861" t="s">
        <v>7312</v>
      </c>
      <c r="E3861" t="s">
        <v>7310</v>
      </c>
      <c r="F3861" s="46">
        <v>46097.325912523149</v>
      </c>
      <c r="G3861" s="46">
        <v>46097.325912523149</v>
      </c>
      <c r="H3861">
        <v>0</v>
      </c>
    </row>
    <row r="3862" spans="1:8" x14ac:dyDescent="0.15">
      <c r="A3862">
        <v>3861</v>
      </c>
      <c r="B3862" t="s">
        <v>339</v>
      </c>
      <c r="C3862" t="s">
        <v>353</v>
      </c>
      <c r="D3862" t="s">
        <v>7313</v>
      </c>
      <c r="E3862" t="s">
        <v>7314</v>
      </c>
      <c r="F3862" s="46">
        <v>46097.325912523149</v>
      </c>
      <c r="G3862" s="46">
        <v>46097.325912523149</v>
      </c>
      <c r="H3862">
        <v>0</v>
      </c>
    </row>
    <row r="3863" spans="1:8" x14ac:dyDescent="0.15">
      <c r="A3863">
        <v>3862</v>
      </c>
      <c r="B3863" t="s">
        <v>339</v>
      </c>
      <c r="C3863" t="s">
        <v>353</v>
      </c>
      <c r="D3863" t="s">
        <v>7315</v>
      </c>
      <c r="E3863" t="s">
        <v>7316</v>
      </c>
      <c r="F3863" s="46">
        <v>46097.325912523149</v>
      </c>
      <c r="G3863" s="46">
        <v>46097.325912523149</v>
      </c>
      <c r="H3863">
        <v>0</v>
      </c>
    </row>
    <row r="3864" spans="1:8" x14ac:dyDescent="0.15">
      <c r="A3864">
        <v>3863</v>
      </c>
      <c r="B3864" t="s">
        <v>339</v>
      </c>
      <c r="C3864" t="s">
        <v>353</v>
      </c>
      <c r="D3864" t="s">
        <v>7317</v>
      </c>
      <c r="E3864" t="s">
        <v>7318</v>
      </c>
      <c r="F3864" s="46">
        <v>46097.325912523149</v>
      </c>
      <c r="G3864" s="46">
        <v>46097.325912523149</v>
      </c>
      <c r="H3864">
        <v>0</v>
      </c>
    </row>
    <row r="3865" spans="1:8" x14ac:dyDescent="0.15">
      <c r="A3865">
        <v>3864</v>
      </c>
      <c r="B3865" t="s">
        <v>339</v>
      </c>
      <c r="C3865" t="s">
        <v>353</v>
      </c>
      <c r="D3865" t="s">
        <v>7319</v>
      </c>
      <c r="E3865" t="s">
        <v>7318</v>
      </c>
      <c r="F3865" s="46">
        <v>46097.325912523149</v>
      </c>
      <c r="G3865" s="46">
        <v>46097.325912523149</v>
      </c>
      <c r="H3865">
        <v>0</v>
      </c>
    </row>
    <row r="3866" spans="1:8" x14ac:dyDescent="0.15">
      <c r="A3866">
        <v>3865</v>
      </c>
      <c r="B3866" t="s">
        <v>339</v>
      </c>
      <c r="C3866" t="s">
        <v>353</v>
      </c>
      <c r="D3866" t="s">
        <v>7320</v>
      </c>
      <c r="E3866" t="s">
        <v>7321</v>
      </c>
      <c r="F3866" s="46">
        <v>46097.325912523149</v>
      </c>
      <c r="G3866" s="46">
        <v>46097.325912523149</v>
      </c>
      <c r="H3866">
        <v>0</v>
      </c>
    </row>
    <row r="3867" spans="1:8" x14ac:dyDescent="0.15">
      <c r="A3867">
        <v>3866</v>
      </c>
      <c r="B3867" t="s">
        <v>339</v>
      </c>
      <c r="C3867" t="s">
        <v>353</v>
      </c>
      <c r="D3867" t="s">
        <v>7322</v>
      </c>
      <c r="E3867" t="s">
        <v>7323</v>
      </c>
      <c r="F3867" s="46">
        <v>46097.325912523149</v>
      </c>
      <c r="G3867" s="46">
        <v>46097.325912523149</v>
      </c>
      <c r="H3867">
        <v>0</v>
      </c>
    </row>
    <row r="3868" spans="1:8" x14ac:dyDescent="0.15">
      <c r="A3868">
        <v>3867</v>
      </c>
      <c r="B3868" t="s">
        <v>339</v>
      </c>
      <c r="C3868" t="s">
        <v>353</v>
      </c>
      <c r="D3868" t="s">
        <v>7324</v>
      </c>
      <c r="E3868" t="s">
        <v>7325</v>
      </c>
      <c r="F3868" s="46">
        <v>46097.325912523149</v>
      </c>
      <c r="G3868" s="46">
        <v>46097.32591269676</v>
      </c>
      <c r="H3868">
        <v>16</v>
      </c>
    </row>
    <row r="3869" spans="1:8" x14ac:dyDescent="0.15">
      <c r="A3869">
        <v>3868</v>
      </c>
      <c r="B3869" t="s">
        <v>339</v>
      </c>
      <c r="C3869" t="s">
        <v>353</v>
      </c>
      <c r="D3869" t="s">
        <v>7326</v>
      </c>
      <c r="E3869" t="s">
        <v>7325</v>
      </c>
      <c r="F3869" s="46">
        <v>46097.32591269676</v>
      </c>
      <c r="G3869" s="46">
        <v>46097.32591269676</v>
      </c>
      <c r="H3869">
        <v>0</v>
      </c>
    </row>
    <row r="3870" spans="1:8" x14ac:dyDescent="0.15">
      <c r="A3870">
        <v>3869</v>
      </c>
      <c r="B3870" t="s">
        <v>339</v>
      </c>
      <c r="C3870" t="s">
        <v>353</v>
      </c>
      <c r="D3870" t="s">
        <v>7327</v>
      </c>
      <c r="E3870" t="s">
        <v>7325</v>
      </c>
      <c r="F3870" s="46">
        <v>46097.32591269676</v>
      </c>
      <c r="G3870" s="46">
        <v>46097.32591269676</v>
      </c>
      <c r="H3870">
        <v>0</v>
      </c>
    </row>
    <row r="3871" spans="1:8" x14ac:dyDescent="0.15">
      <c r="A3871">
        <v>3870</v>
      </c>
      <c r="B3871" t="s">
        <v>339</v>
      </c>
      <c r="C3871" t="s">
        <v>353</v>
      </c>
      <c r="D3871" t="s">
        <v>7328</v>
      </c>
      <c r="E3871" t="s">
        <v>7325</v>
      </c>
      <c r="F3871" s="46">
        <v>46097.32591269676</v>
      </c>
      <c r="G3871" s="46">
        <v>46097.32591269676</v>
      </c>
      <c r="H3871">
        <v>0</v>
      </c>
    </row>
    <row r="3872" spans="1:8" x14ac:dyDescent="0.15">
      <c r="A3872">
        <v>3871</v>
      </c>
      <c r="B3872" t="s">
        <v>339</v>
      </c>
      <c r="C3872" t="s">
        <v>353</v>
      </c>
      <c r="D3872" t="s">
        <v>7329</v>
      </c>
      <c r="E3872" t="s">
        <v>7330</v>
      </c>
      <c r="F3872" s="46">
        <v>46097.32591269676</v>
      </c>
      <c r="G3872" s="46">
        <v>46097.32591269676</v>
      </c>
      <c r="H3872">
        <v>0</v>
      </c>
    </row>
    <row r="3873" spans="1:8" x14ac:dyDescent="0.15">
      <c r="A3873">
        <v>3872</v>
      </c>
      <c r="B3873" t="s">
        <v>339</v>
      </c>
      <c r="C3873" t="s">
        <v>353</v>
      </c>
      <c r="D3873" t="s">
        <v>7331</v>
      </c>
      <c r="E3873" t="s">
        <v>7332</v>
      </c>
      <c r="F3873" s="46">
        <v>46097.32591269676</v>
      </c>
      <c r="G3873" s="46">
        <v>46097.32591269676</v>
      </c>
      <c r="H3873">
        <v>0</v>
      </c>
    </row>
    <row r="3874" spans="1:8" x14ac:dyDescent="0.15">
      <c r="A3874">
        <v>3873</v>
      </c>
      <c r="B3874" t="s">
        <v>339</v>
      </c>
      <c r="C3874" t="s">
        <v>353</v>
      </c>
      <c r="D3874" t="s">
        <v>7333</v>
      </c>
      <c r="E3874" t="s">
        <v>7332</v>
      </c>
      <c r="F3874" s="46">
        <v>46097.32591269676</v>
      </c>
      <c r="G3874" s="46">
        <v>46097.32591269676</v>
      </c>
      <c r="H3874">
        <v>0</v>
      </c>
    </row>
    <row r="3875" spans="1:8" x14ac:dyDescent="0.15">
      <c r="A3875">
        <v>3874</v>
      </c>
      <c r="B3875" t="s">
        <v>339</v>
      </c>
      <c r="C3875" t="s">
        <v>353</v>
      </c>
      <c r="D3875" t="s">
        <v>7334</v>
      </c>
      <c r="E3875" t="s">
        <v>7335</v>
      </c>
      <c r="F3875" s="46">
        <v>46097.32591269676</v>
      </c>
      <c r="G3875" s="46">
        <v>46097.32591269676</v>
      </c>
      <c r="H3875">
        <v>0</v>
      </c>
    </row>
    <row r="3876" spans="1:8" x14ac:dyDescent="0.15">
      <c r="A3876">
        <v>3875</v>
      </c>
      <c r="B3876" t="s">
        <v>339</v>
      </c>
      <c r="C3876" t="s">
        <v>353</v>
      </c>
      <c r="D3876" t="s">
        <v>7336</v>
      </c>
      <c r="E3876" t="s">
        <v>7335</v>
      </c>
      <c r="F3876" s="46">
        <v>46097.32591269676</v>
      </c>
      <c r="G3876" s="46">
        <v>46097.32591269676</v>
      </c>
      <c r="H3876">
        <v>0</v>
      </c>
    </row>
    <row r="3877" spans="1:8" x14ac:dyDescent="0.15">
      <c r="A3877">
        <v>3876</v>
      </c>
      <c r="B3877" t="s">
        <v>339</v>
      </c>
      <c r="C3877" t="s">
        <v>353</v>
      </c>
      <c r="D3877" t="s">
        <v>7337</v>
      </c>
      <c r="E3877" t="s">
        <v>7338</v>
      </c>
      <c r="F3877" s="46">
        <v>46097.32591269676</v>
      </c>
      <c r="G3877" s="46">
        <v>46097.32591269676</v>
      </c>
      <c r="H3877">
        <v>0</v>
      </c>
    </row>
    <row r="3878" spans="1:8" x14ac:dyDescent="0.15">
      <c r="A3878">
        <v>3877</v>
      </c>
      <c r="B3878" t="s">
        <v>339</v>
      </c>
      <c r="C3878" t="s">
        <v>353</v>
      </c>
      <c r="D3878" t="s">
        <v>7339</v>
      </c>
      <c r="E3878" t="s">
        <v>7338</v>
      </c>
      <c r="F3878" s="46">
        <v>46097.32591269676</v>
      </c>
      <c r="G3878" s="46">
        <v>46097.325912881941</v>
      </c>
      <c r="H3878">
        <v>15</v>
      </c>
    </row>
    <row r="3879" spans="1:8" x14ac:dyDescent="0.15">
      <c r="A3879">
        <v>3878</v>
      </c>
      <c r="B3879" t="s">
        <v>339</v>
      </c>
      <c r="C3879" t="s">
        <v>353</v>
      </c>
      <c r="D3879" t="s">
        <v>7340</v>
      </c>
      <c r="E3879" t="s">
        <v>7338</v>
      </c>
      <c r="F3879" s="46">
        <v>46097.325912881941</v>
      </c>
      <c r="G3879" s="46">
        <v>46097.325912881941</v>
      </c>
      <c r="H3879">
        <v>0</v>
      </c>
    </row>
    <row r="3880" spans="1:8" x14ac:dyDescent="0.15">
      <c r="A3880">
        <v>3879</v>
      </c>
      <c r="B3880" t="s">
        <v>339</v>
      </c>
      <c r="C3880" t="s">
        <v>353</v>
      </c>
      <c r="D3880" t="s">
        <v>7341</v>
      </c>
      <c r="E3880" t="s">
        <v>7342</v>
      </c>
      <c r="F3880" s="46">
        <v>46097.325912881941</v>
      </c>
      <c r="G3880" s="46">
        <v>46097.325912881941</v>
      </c>
      <c r="H3880">
        <v>0</v>
      </c>
    </row>
    <row r="3881" spans="1:8" x14ac:dyDescent="0.15">
      <c r="A3881">
        <v>3880</v>
      </c>
      <c r="B3881" t="s">
        <v>339</v>
      </c>
      <c r="C3881" t="s">
        <v>353</v>
      </c>
      <c r="D3881" t="s">
        <v>7343</v>
      </c>
      <c r="E3881" t="s">
        <v>7342</v>
      </c>
      <c r="F3881" s="46">
        <v>46097.325912881941</v>
      </c>
      <c r="G3881" s="46">
        <v>46097.325912881941</v>
      </c>
      <c r="H3881">
        <v>0</v>
      </c>
    </row>
    <row r="3882" spans="1:8" x14ac:dyDescent="0.15">
      <c r="A3882">
        <v>3881</v>
      </c>
      <c r="B3882" t="s">
        <v>339</v>
      </c>
      <c r="C3882" t="s">
        <v>353</v>
      </c>
      <c r="D3882" t="s">
        <v>7344</v>
      </c>
      <c r="E3882" t="s">
        <v>7345</v>
      </c>
      <c r="F3882" s="46">
        <v>46097.325912881941</v>
      </c>
      <c r="G3882" s="46">
        <v>46097.325912881941</v>
      </c>
      <c r="H3882">
        <v>0</v>
      </c>
    </row>
    <row r="3883" spans="1:8" x14ac:dyDescent="0.15">
      <c r="A3883">
        <v>3882</v>
      </c>
      <c r="B3883" t="s">
        <v>339</v>
      </c>
      <c r="C3883" t="s">
        <v>353</v>
      </c>
      <c r="D3883" t="s">
        <v>7346</v>
      </c>
      <c r="E3883" t="s">
        <v>7347</v>
      </c>
      <c r="F3883" s="46">
        <v>46097.325912881941</v>
      </c>
      <c r="G3883" s="46">
        <v>46097.325912881941</v>
      </c>
      <c r="H3883">
        <v>0</v>
      </c>
    </row>
    <row r="3884" spans="1:8" x14ac:dyDescent="0.15">
      <c r="A3884">
        <v>3883</v>
      </c>
      <c r="B3884" t="s">
        <v>339</v>
      </c>
      <c r="C3884" t="s">
        <v>353</v>
      </c>
      <c r="D3884" t="s">
        <v>7348</v>
      </c>
      <c r="E3884" t="s">
        <v>7347</v>
      </c>
      <c r="F3884" s="46">
        <v>46097.325912881941</v>
      </c>
      <c r="G3884" s="46">
        <v>46097.325912881941</v>
      </c>
      <c r="H3884">
        <v>0</v>
      </c>
    </row>
    <row r="3885" spans="1:8" x14ac:dyDescent="0.15">
      <c r="A3885">
        <v>3884</v>
      </c>
      <c r="B3885" t="s">
        <v>339</v>
      </c>
      <c r="C3885" t="s">
        <v>353</v>
      </c>
      <c r="D3885" t="s">
        <v>7349</v>
      </c>
      <c r="E3885" t="s">
        <v>7347</v>
      </c>
      <c r="F3885" s="46">
        <v>46097.325912881941</v>
      </c>
      <c r="G3885" s="46">
        <v>46097.325912881941</v>
      </c>
      <c r="H3885">
        <v>0</v>
      </c>
    </row>
    <row r="3886" spans="1:8" x14ac:dyDescent="0.15">
      <c r="A3886">
        <v>3885</v>
      </c>
      <c r="B3886" t="s">
        <v>339</v>
      </c>
      <c r="C3886" t="s">
        <v>353</v>
      </c>
      <c r="D3886" t="s">
        <v>7350</v>
      </c>
      <c r="E3886" t="s">
        <v>7351</v>
      </c>
      <c r="F3886" s="46">
        <v>46097.325912881941</v>
      </c>
      <c r="G3886" s="46">
        <v>46097.325912881941</v>
      </c>
      <c r="H3886">
        <v>0</v>
      </c>
    </row>
    <row r="3887" spans="1:8" x14ac:dyDescent="0.15">
      <c r="A3887">
        <v>3886</v>
      </c>
      <c r="B3887" t="s">
        <v>339</v>
      </c>
      <c r="C3887" t="s">
        <v>353</v>
      </c>
      <c r="D3887" t="s">
        <v>7352</v>
      </c>
      <c r="E3887" t="s">
        <v>7351</v>
      </c>
      <c r="F3887" s="46">
        <v>46097.325912881941</v>
      </c>
      <c r="G3887" s="46">
        <v>46097.325912881941</v>
      </c>
      <c r="H3887">
        <v>0</v>
      </c>
    </row>
    <row r="3888" spans="1:8" x14ac:dyDescent="0.15">
      <c r="A3888">
        <v>3887</v>
      </c>
      <c r="B3888" t="s">
        <v>339</v>
      </c>
      <c r="C3888" t="s">
        <v>353</v>
      </c>
      <c r="D3888" t="s">
        <v>7353</v>
      </c>
      <c r="E3888" t="s">
        <v>7354</v>
      </c>
      <c r="F3888" s="46">
        <v>46097.325912881941</v>
      </c>
      <c r="G3888" s="46">
        <v>46097.325913067129</v>
      </c>
      <c r="H3888">
        <v>16</v>
      </c>
    </row>
    <row r="3889" spans="1:8" x14ac:dyDescent="0.15">
      <c r="A3889">
        <v>3888</v>
      </c>
      <c r="B3889" t="s">
        <v>339</v>
      </c>
      <c r="C3889" t="s">
        <v>353</v>
      </c>
      <c r="D3889" t="s">
        <v>7355</v>
      </c>
      <c r="E3889" t="s">
        <v>7354</v>
      </c>
      <c r="F3889" s="46">
        <v>46097.325913067129</v>
      </c>
      <c r="G3889" s="46">
        <v>46097.325913067129</v>
      </c>
      <c r="H3889">
        <v>0</v>
      </c>
    </row>
    <row r="3890" spans="1:8" x14ac:dyDescent="0.15">
      <c r="A3890">
        <v>3889</v>
      </c>
      <c r="B3890" t="s">
        <v>339</v>
      </c>
      <c r="C3890" t="s">
        <v>353</v>
      </c>
      <c r="D3890" t="s">
        <v>7356</v>
      </c>
      <c r="E3890" t="s">
        <v>7357</v>
      </c>
      <c r="F3890" s="46">
        <v>46097.325913067129</v>
      </c>
      <c r="G3890" s="46">
        <v>46097.325913067129</v>
      </c>
      <c r="H3890">
        <v>0</v>
      </c>
    </row>
    <row r="3891" spans="1:8" x14ac:dyDescent="0.15">
      <c r="A3891">
        <v>3890</v>
      </c>
      <c r="B3891" t="s">
        <v>339</v>
      </c>
      <c r="C3891" t="s">
        <v>353</v>
      </c>
      <c r="D3891" t="s">
        <v>7358</v>
      </c>
      <c r="E3891" t="s">
        <v>7357</v>
      </c>
      <c r="F3891" s="46">
        <v>46097.325913067129</v>
      </c>
      <c r="G3891" s="46">
        <v>46097.325913067129</v>
      </c>
      <c r="H3891">
        <v>0</v>
      </c>
    </row>
    <row r="3892" spans="1:8" x14ac:dyDescent="0.15">
      <c r="A3892">
        <v>3891</v>
      </c>
      <c r="B3892" t="s">
        <v>339</v>
      </c>
      <c r="C3892" t="s">
        <v>353</v>
      </c>
      <c r="D3892" t="s">
        <v>7359</v>
      </c>
      <c r="E3892" t="s">
        <v>7357</v>
      </c>
      <c r="F3892" s="46">
        <v>46097.325913067129</v>
      </c>
      <c r="G3892" s="46">
        <v>46097.325913067129</v>
      </c>
      <c r="H3892">
        <v>0</v>
      </c>
    </row>
    <row r="3893" spans="1:8" x14ac:dyDescent="0.15">
      <c r="A3893">
        <v>3892</v>
      </c>
      <c r="B3893" t="s">
        <v>339</v>
      </c>
      <c r="C3893" t="s">
        <v>353</v>
      </c>
      <c r="D3893" t="s">
        <v>7360</v>
      </c>
      <c r="E3893" t="s">
        <v>7357</v>
      </c>
      <c r="F3893" s="46">
        <v>46097.325913067129</v>
      </c>
      <c r="G3893" s="46">
        <v>46097.325913067129</v>
      </c>
      <c r="H3893">
        <v>0</v>
      </c>
    </row>
    <row r="3894" spans="1:8" x14ac:dyDescent="0.15">
      <c r="A3894">
        <v>3893</v>
      </c>
      <c r="B3894" t="s">
        <v>339</v>
      </c>
      <c r="C3894" t="s">
        <v>353</v>
      </c>
      <c r="D3894" t="s">
        <v>7361</v>
      </c>
      <c r="E3894" t="s">
        <v>7357</v>
      </c>
      <c r="F3894" s="46">
        <v>46097.325913067129</v>
      </c>
      <c r="G3894" s="46">
        <v>46097.325913067129</v>
      </c>
      <c r="H3894">
        <v>0</v>
      </c>
    </row>
    <row r="3895" spans="1:8" x14ac:dyDescent="0.15">
      <c r="A3895">
        <v>3894</v>
      </c>
      <c r="B3895" t="s">
        <v>339</v>
      </c>
      <c r="C3895" t="s">
        <v>353</v>
      </c>
      <c r="D3895" t="s">
        <v>7362</v>
      </c>
      <c r="E3895" t="s">
        <v>7357</v>
      </c>
      <c r="F3895" s="46">
        <v>46097.325913067129</v>
      </c>
      <c r="G3895" s="46">
        <v>46097.325913067129</v>
      </c>
      <c r="H3895">
        <v>0</v>
      </c>
    </row>
    <row r="3896" spans="1:8" x14ac:dyDescent="0.15">
      <c r="A3896">
        <v>3895</v>
      </c>
      <c r="B3896" t="s">
        <v>339</v>
      </c>
      <c r="C3896" t="s">
        <v>353</v>
      </c>
      <c r="D3896" t="s">
        <v>7363</v>
      </c>
      <c r="E3896" t="s">
        <v>7364</v>
      </c>
      <c r="F3896" s="46">
        <v>46097.325913067129</v>
      </c>
      <c r="G3896" s="46">
        <v>46097.325913067129</v>
      </c>
      <c r="H3896">
        <v>0</v>
      </c>
    </row>
    <row r="3897" spans="1:8" x14ac:dyDescent="0.15">
      <c r="A3897">
        <v>3896</v>
      </c>
      <c r="B3897" t="s">
        <v>339</v>
      </c>
      <c r="C3897" t="s">
        <v>353</v>
      </c>
      <c r="D3897" t="s">
        <v>7365</v>
      </c>
      <c r="E3897" t="s">
        <v>7364</v>
      </c>
      <c r="F3897" s="46">
        <v>46097.325913067129</v>
      </c>
      <c r="G3897" s="46">
        <v>46097.325913067129</v>
      </c>
      <c r="H3897">
        <v>0</v>
      </c>
    </row>
    <row r="3898" spans="1:8" x14ac:dyDescent="0.15">
      <c r="A3898">
        <v>3897</v>
      </c>
      <c r="B3898" t="s">
        <v>339</v>
      </c>
      <c r="C3898" t="s">
        <v>353</v>
      </c>
      <c r="D3898" t="s">
        <v>7366</v>
      </c>
      <c r="E3898" t="s">
        <v>7367</v>
      </c>
      <c r="F3898" s="46">
        <v>46097.325913067129</v>
      </c>
      <c r="G3898" s="46">
        <v>46097.32591324074</v>
      </c>
      <c r="H3898">
        <v>16</v>
      </c>
    </row>
    <row r="3899" spans="1:8" x14ac:dyDescent="0.15">
      <c r="A3899">
        <v>3898</v>
      </c>
      <c r="B3899" t="s">
        <v>339</v>
      </c>
      <c r="C3899" t="s">
        <v>353</v>
      </c>
      <c r="D3899" t="s">
        <v>7368</v>
      </c>
      <c r="E3899" t="s">
        <v>7367</v>
      </c>
      <c r="F3899" s="46">
        <v>46097.32591324074</v>
      </c>
      <c r="G3899" s="46">
        <v>46097.325913252324</v>
      </c>
      <c r="H3899">
        <v>0</v>
      </c>
    </row>
    <row r="3900" spans="1:8" x14ac:dyDescent="0.15">
      <c r="A3900">
        <v>3899</v>
      </c>
      <c r="B3900" t="s">
        <v>339</v>
      </c>
      <c r="C3900" t="s">
        <v>353</v>
      </c>
      <c r="D3900" t="s">
        <v>7369</v>
      </c>
      <c r="E3900" t="s">
        <v>7370</v>
      </c>
      <c r="F3900" s="46">
        <v>46097.325913252324</v>
      </c>
      <c r="G3900" s="46">
        <v>46097.325913252324</v>
      </c>
      <c r="H3900">
        <v>0</v>
      </c>
    </row>
    <row r="3901" spans="1:8" x14ac:dyDescent="0.15">
      <c r="A3901">
        <v>3900</v>
      </c>
      <c r="B3901" t="s">
        <v>339</v>
      </c>
      <c r="C3901" t="s">
        <v>353</v>
      </c>
      <c r="D3901" t="s">
        <v>7371</v>
      </c>
      <c r="E3901" t="s">
        <v>7370</v>
      </c>
      <c r="F3901" s="46">
        <v>46097.325913252324</v>
      </c>
      <c r="G3901" s="46">
        <v>46097.325913252324</v>
      </c>
      <c r="H3901">
        <v>0</v>
      </c>
    </row>
    <row r="3902" spans="1:8" x14ac:dyDescent="0.15">
      <c r="A3902">
        <v>3901</v>
      </c>
      <c r="B3902" t="s">
        <v>339</v>
      </c>
      <c r="C3902" t="s">
        <v>353</v>
      </c>
      <c r="D3902" t="s">
        <v>7372</v>
      </c>
      <c r="E3902" t="s">
        <v>7373</v>
      </c>
      <c r="F3902" s="46">
        <v>46097.325913252324</v>
      </c>
      <c r="G3902" s="46">
        <v>46097.325913252324</v>
      </c>
      <c r="H3902">
        <v>0</v>
      </c>
    </row>
    <row r="3903" spans="1:8" x14ac:dyDescent="0.15">
      <c r="A3903">
        <v>3902</v>
      </c>
      <c r="B3903" t="s">
        <v>339</v>
      </c>
      <c r="C3903" t="s">
        <v>353</v>
      </c>
      <c r="D3903" t="s">
        <v>7374</v>
      </c>
      <c r="E3903" t="s">
        <v>7373</v>
      </c>
      <c r="F3903" s="46">
        <v>46097.325913252324</v>
      </c>
      <c r="G3903" s="46">
        <v>46097.325913252324</v>
      </c>
      <c r="H3903">
        <v>0</v>
      </c>
    </row>
    <row r="3904" spans="1:8" x14ac:dyDescent="0.15">
      <c r="A3904">
        <v>3903</v>
      </c>
      <c r="B3904" t="s">
        <v>339</v>
      </c>
      <c r="C3904" t="s">
        <v>353</v>
      </c>
      <c r="D3904" t="s">
        <v>7375</v>
      </c>
      <c r="E3904" t="s">
        <v>7376</v>
      </c>
      <c r="F3904" s="46">
        <v>46097.325913252324</v>
      </c>
      <c r="G3904" s="46">
        <v>46097.325913252324</v>
      </c>
      <c r="H3904">
        <v>0</v>
      </c>
    </row>
    <row r="3905" spans="1:8" x14ac:dyDescent="0.15">
      <c r="A3905">
        <v>3904</v>
      </c>
      <c r="B3905" t="s">
        <v>339</v>
      </c>
      <c r="C3905" t="s">
        <v>353</v>
      </c>
      <c r="D3905" t="s">
        <v>7377</v>
      </c>
      <c r="E3905" t="s">
        <v>7376</v>
      </c>
      <c r="F3905" s="46">
        <v>46097.325913252324</v>
      </c>
      <c r="G3905" s="46">
        <v>46097.325913252324</v>
      </c>
      <c r="H3905">
        <v>0</v>
      </c>
    </row>
    <row r="3906" spans="1:8" x14ac:dyDescent="0.15">
      <c r="A3906">
        <v>3905</v>
      </c>
      <c r="B3906" t="s">
        <v>339</v>
      </c>
      <c r="C3906" t="s">
        <v>353</v>
      </c>
      <c r="D3906" t="s">
        <v>7378</v>
      </c>
      <c r="E3906" t="s">
        <v>7379</v>
      </c>
      <c r="F3906" s="46">
        <v>46097.325913252324</v>
      </c>
      <c r="G3906" s="46">
        <v>46097.325913252324</v>
      </c>
      <c r="H3906">
        <v>0</v>
      </c>
    </row>
    <row r="3907" spans="1:8" x14ac:dyDescent="0.15">
      <c r="A3907">
        <v>3906</v>
      </c>
      <c r="B3907" t="s">
        <v>339</v>
      </c>
      <c r="C3907" t="s">
        <v>353</v>
      </c>
      <c r="D3907" t="s">
        <v>7380</v>
      </c>
      <c r="E3907" t="s">
        <v>7381</v>
      </c>
      <c r="F3907" s="46">
        <v>46097.325913252324</v>
      </c>
      <c r="G3907" s="46">
        <v>46097.325913252324</v>
      </c>
      <c r="H3907">
        <v>0</v>
      </c>
    </row>
    <row r="3908" spans="1:8" x14ac:dyDescent="0.15">
      <c r="A3908">
        <v>3907</v>
      </c>
      <c r="B3908" t="s">
        <v>339</v>
      </c>
      <c r="C3908" t="s">
        <v>353</v>
      </c>
      <c r="D3908" t="s">
        <v>7382</v>
      </c>
      <c r="E3908" t="s">
        <v>7381</v>
      </c>
      <c r="F3908" s="46">
        <v>46097.325913252324</v>
      </c>
      <c r="G3908" s="46">
        <v>46097.325913252324</v>
      </c>
      <c r="H3908">
        <v>0</v>
      </c>
    </row>
    <row r="3909" spans="1:8" x14ac:dyDescent="0.15">
      <c r="A3909">
        <v>3908</v>
      </c>
      <c r="B3909" t="s">
        <v>339</v>
      </c>
      <c r="C3909" t="s">
        <v>353</v>
      </c>
      <c r="D3909" t="s">
        <v>7383</v>
      </c>
      <c r="E3909" t="s">
        <v>7384</v>
      </c>
      <c r="F3909" s="46">
        <v>46097.325913252324</v>
      </c>
      <c r="G3909" s="46">
        <v>46097.325913425928</v>
      </c>
      <c r="H3909">
        <v>16</v>
      </c>
    </row>
    <row r="3910" spans="1:8" x14ac:dyDescent="0.15">
      <c r="A3910">
        <v>3909</v>
      </c>
      <c r="B3910" t="s">
        <v>339</v>
      </c>
      <c r="C3910" t="s">
        <v>353</v>
      </c>
      <c r="D3910" t="s">
        <v>7385</v>
      </c>
      <c r="E3910" t="s">
        <v>7384</v>
      </c>
      <c r="F3910" s="46">
        <v>46097.325913425928</v>
      </c>
      <c r="G3910" s="46">
        <v>46097.325913425928</v>
      </c>
      <c r="H3910">
        <v>0</v>
      </c>
    </row>
    <row r="3911" spans="1:8" x14ac:dyDescent="0.15">
      <c r="A3911">
        <v>3910</v>
      </c>
      <c r="B3911" t="s">
        <v>339</v>
      </c>
      <c r="C3911" t="s">
        <v>353</v>
      </c>
      <c r="D3911" t="s">
        <v>7386</v>
      </c>
      <c r="E3911" t="s">
        <v>7387</v>
      </c>
      <c r="F3911" s="46">
        <v>46097.325913425928</v>
      </c>
      <c r="G3911" s="46">
        <v>46097.325913425928</v>
      </c>
      <c r="H3911">
        <v>0</v>
      </c>
    </row>
    <row r="3912" spans="1:8" x14ac:dyDescent="0.15">
      <c r="A3912">
        <v>3911</v>
      </c>
      <c r="B3912" t="s">
        <v>339</v>
      </c>
      <c r="C3912" t="s">
        <v>353</v>
      </c>
      <c r="D3912" t="s">
        <v>7388</v>
      </c>
      <c r="E3912" t="s">
        <v>7389</v>
      </c>
      <c r="F3912" s="46">
        <v>46097.325913425928</v>
      </c>
      <c r="G3912" s="46">
        <v>46097.325913425928</v>
      </c>
      <c r="H3912">
        <v>0</v>
      </c>
    </row>
    <row r="3913" spans="1:8" x14ac:dyDescent="0.15">
      <c r="A3913">
        <v>3912</v>
      </c>
      <c r="B3913" t="s">
        <v>339</v>
      </c>
      <c r="C3913" t="s">
        <v>353</v>
      </c>
      <c r="D3913" t="s">
        <v>7390</v>
      </c>
      <c r="E3913" t="s">
        <v>7391</v>
      </c>
      <c r="F3913" s="46">
        <v>46097.325913425928</v>
      </c>
      <c r="G3913" s="46">
        <v>46097.325913425928</v>
      </c>
      <c r="H3913">
        <v>0</v>
      </c>
    </row>
    <row r="3914" spans="1:8" x14ac:dyDescent="0.15">
      <c r="A3914">
        <v>3913</v>
      </c>
      <c r="B3914" t="s">
        <v>339</v>
      </c>
      <c r="C3914" t="s">
        <v>353</v>
      </c>
      <c r="D3914" t="s">
        <v>7392</v>
      </c>
      <c r="E3914" t="s">
        <v>7393</v>
      </c>
      <c r="F3914" s="46">
        <v>46097.325913425928</v>
      </c>
      <c r="G3914" s="46">
        <v>46097.325913425928</v>
      </c>
      <c r="H3914">
        <v>0</v>
      </c>
    </row>
    <row r="3915" spans="1:8" x14ac:dyDescent="0.15">
      <c r="A3915">
        <v>3914</v>
      </c>
      <c r="B3915" t="s">
        <v>339</v>
      </c>
      <c r="C3915" t="s">
        <v>353</v>
      </c>
      <c r="D3915" t="s">
        <v>7394</v>
      </c>
      <c r="E3915" t="s">
        <v>7393</v>
      </c>
      <c r="F3915" s="46">
        <v>46097.325913425928</v>
      </c>
      <c r="G3915" s="46">
        <v>46097.325913425928</v>
      </c>
      <c r="H3915">
        <v>0</v>
      </c>
    </row>
    <row r="3916" spans="1:8" x14ac:dyDescent="0.15">
      <c r="A3916">
        <v>3915</v>
      </c>
      <c r="B3916" t="s">
        <v>339</v>
      </c>
      <c r="C3916" t="s">
        <v>353</v>
      </c>
      <c r="D3916" t="s">
        <v>7395</v>
      </c>
      <c r="E3916" t="s">
        <v>7396</v>
      </c>
      <c r="F3916" s="46">
        <v>46097.325913425928</v>
      </c>
      <c r="G3916" s="46">
        <v>46097.325913425928</v>
      </c>
      <c r="H3916">
        <v>0</v>
      </c>
    </row>
    <row r="3917" spans="1:8" x14ac:dyDescent="0.15">
      <c r="A3917">
        <v>3916</v>
      </c>
      <c r="B3917" t="s">
        <v>339</v>
      </c>
      <c r="C3917" t="s">
        <v>353</v>
      </c>
      <c r="D3917" t="s">
        <v>7397</v>
      </c>
      <c r="E3917" t="s">
        <v>7396</v>
      </c>
      <c r="F3917" s="46">
        <v>46097.325913425928</v>
      </c>
      <c r="G3917" s="46">
        <v>46097.325913425928</v>
      </c>
      <c r="H3917">
        <v>0</v>
      </c>
    </row>
    <row r="3918" spans="1:8" x14ac:dyDescent="0.15">
      <c r="A3918">
        <v>3917</v>
      </c>
      <c r="B3918" t="s">
        <v>339</v>
      </c>
      <c r="C3918" t="s">
        <v>353</v>
      </c>
      <c r="D3918" t="s">
        <v>7398</v>
      </c>
      <c r="E3918" t="s">
        <v>7399</v>
      </c>
      <c r="F3918" s="46">
        <v>46097.325913425928</v>
      </c>
      <c r="G3918" s="46">
        <v>46097.325913425928</v>
      </c>
      <c r="H3918">
        <v>0</v>
      </c>
    </row>
    <row r="3919" spans="1:8" x14ac:dyDescent="0.15">
      <c r="A3919">
        <v>3918</v>
      </c>
      <c r="B3919" t="s">
        <v>339</v>
      </c>
      <c r="C3919" t="s">
        <v>353</v>
      </c>
      <c r="D3919" t="s">
        <v>7400</v>
      </c>
      <c r="E3919" t="s">
        <v>7401</v>
      </c>
      <c r="F3919" s="46">
        <v>46097.325913425928</v>
      </c>
      <c r="G3919" s="46">
        <v>46097.325913611108</v>
      </c>
      <c r="H3919">
        <v>16</v>
      </c>
    </row>
    <row r="3920" spans="1:8" x14ac:dyDescent="0.15">
      <c r="A3920">
        <v>3919</v>
      </c>
      <c r="B3920" t="s">
        <v>339</v>
      </c>
      <c r="C3920" t="s">
        <v>353</v>
      </c>
      <c r="D3920" t="s">
        <v>7402</v>
      </c>
      <c r="E3920" t="s">
        <v>7403</v>
      </c>
      <c r="F3920" s="46">
        <v>46097.325913611108</v>
      </c>
      <c r="G3920" s="46">
        <v>46097.325913611108</v>
      </c>
      <c r="H3920">
        <v>0</v>
      </c>
    </row>
    <row r="3921" spans="1:8" x14ac:dyDescent="0.15">
      <c r="A3921">
        <v>3920</v>
      </c>
      <c r="B3921" t="s">
        <v>339</v>
      </c>
      <c r="C3921" t="s">
        <v>353</v>
      </c>
      <c r="D3921" t="s">
        <v>7404</v>
      </c>
      <c r="E3921" t="s">
        <v>7405</v>
      </c>
      <c r="F3921" s="46">
        <v>46097.325913611108</v>
      </c>
      <c r="G3921" s="46">
        <v>46097.325913611108</v>
      </c>
      <c r="H3921">
        <v>0</v>
      </c>
    </row>
    <row r="3922" spans="1:8" x14ac:dyDescent="0.15">
      <c r="A3922">
        <v>3921</v>
      </c>
      <c r="B3922" t="s">
        <v>339</v>
      </c>
      <c r="C3922" t="s">
        <v>353</v>
      </c>
      <c r="D3922" t="s">
        <v>7406</v>
      </c>
      <c r="E3922" t="s">
        <v>7407</v>
      </c>
      <c r="F3922" s="46">
        <v>46097.325913611108</v>
      </c>
      <c r="G3922" s="46">
        <v>46097.325913611108</v>
      </c>
      <c r="H3922">
        <v>0</v>
      </c>
    </row>
    <row r="3923" spans="1:8" x14ac:dyDescent="0.15">
      <c r="A3923">
        <v>3922</v>
      </c>
      <c r="B3923" t="s">
        <v>339</v>
      </c>
      <c r="C3923" t="s">
        <v>353</v>
      </c>
      <c r="D3923" t="s">
        <v>7408</v>
      </c>
      <c r="E3923" t="s">
        <v>7407</v>
      </c>
      <c r="F3923" s="46">
        <v>46097.325913611108</v>
      </c>
      <c r="G3923" s="46">
        <v>46097.325913611108</v>
      </c>
      <c r="H3923">
        <v>0</v>
      </c>
    </row>
    <row r="3924" spans="1:8" x14ac:dyDescent="0.15">
      <c r="A3924">
        <v>3923</v>
      </c>
      <c r="B3924" t="s">
        <v>339</v>
      </c>
      <c r="C3924" t="s">
        <v>353</v>
      </c>
      <c r="D3924" t="s">
        <v>7409</v>
      </c>
      <c r="E3924" t="s">
        <v>7410</v>
      </c>
      <c r="F3924" s="46">
        <v>46097.325913611108</v>
      </c>
      <c r="G3924" s="46">
        <v>46097.325913611108</v>
      </c>
      <c r="H3924">
        <v>0</v>
      </c>
    </row>
    <row r="3925" spans="1:8" x14ac:dyDescent="0.15">
      <c r="A3925">
        <v>3924</v>
      </c>
      <c r="B3925" t="s">
        <v>339</v>
      </c>
      <c r="C3925" t="s">
        <v>353</v>
      </c>
      <c r="D3925" t="s">
        <v>7411</v>
      </c>
      <c r="E3925" t="s">
        <v>7410</v>
      </c>
      <c r="F3925" s="46">
        <v>46097.325913611108</v>
      </c>
      <c r="G3925" s="46">
        <v>46097.325913611108</v>
      </c>
      <c r="H3925">
        <v>0</v>
      </c>
    </row>
    <row r="3926" spans="1:8" x14ac:dyDescent="0.15">
      <c r="A3926">
        <v>3925</v>
      </c>
      <c r="B3926" t="s">
        <v>339</v>
      </c>
      <c r="C3926" t="s">
        <v>353</v>
      </c>
      <c r="D3926" t="s">
        <v>7412</v>
      </c>
      <c r="E3926" t="s">
        <v>7413</v>
      </c>
      <c r="F3926" s="46">
        <v>46097.325913611108</v>
      </c>
      <c r="G3926" s="46">
        <v>46097.325913611108</v>
      </c>
      <c r="H3926">
        <v>0</v>
      </c>
    </row>
    <row r="3927" spans="1:8" x14ac:dyDescent="0.15">
      <c r="A3927">
        <v>3926</v>
      </c>
      <c r="B3927" t="s">
        <v>339</v>
      </c>
      <c r="C3927" t="s">
        <v>353</v>
      </c>
      <c r="D3927" t="s">
        <v>7414</v>
      </c>
      <c r="E3927" t="s">
        <v>7415</v>
      </c>
      <c r="F3927" s="46">
        <v>46097.325913611108</v>
      </c>
      <c r="G3927" s="46">
        <v>46097.325913611108</v>
      </c>
      <c r="H3927">
        <v>0</v>
      </c>
    </row>
    <row r="3928" spans="1:8" x14ac:dyDescent="0.15">
      <c r="A3928">
        <v>3927</v>
      </c>
      <c r="B3928" t="s">
        <v>339</v>
      </c>
      <c r="C3928" t="s">
        <v>353</v>
      </c>
      <c r="D3928" t="s">
        <v>7416</v>
      </c>
      <c r="E3928" t="s">
        <v>7415</v>
      </c>
      <c r="F3928" s="46">
        <v>46097.325913611108</v>
      </c>
      <c r="G3928" s="46">
        <v>46097.325913611108</v>
      </c>
      <c r="H3928">
        <v>0</v>
      </c>
    </row>
    <row r="3929" spans="1:8" x14ac:dyDescent="0.15">
      <c r="A3929">
        <v>3928</v>
      </c>
      <c r="B3929" t="s">
        <v>339</v>
      </c>
      <c r="C3929" t="s">
        <v>353</v>
      </c>
      <c r="D3929" t="s">
        <v>7417</v>
      </c>
      <c r="E3929" t="s">
        <v>7415</v>
      </c>
      <c r="F3929" s="46">
        <v>46097.325913611108</v>
      </c>
      <c r="G3929" s="46">
        <v>46097.325913611108</v>
      </c>
      <c r="H3929">
        <v>0</v>
      </c>
    </row>
    <row r="3930" spans="1:8" x14ac:dyDescent="0.15">
      <c r="A3930">
        <v>3929</v>
      </c>
      <c r="B3930" t="s">
        <v>339</v>
      </c>
      <c r="C3930" t="s">
        <v>353</v>
      </c>
      <c r="D3930" t="s">
        <v>7418</v>
      </c>
      <c r="E3930" t="s">
        <v>7415</v>
      </c>
      <c r="F3930" s="46">
        <v>46097.325913611108</v>
      </c>
      <c r="G3930" s="46">
        <v>46097.325913796303</v>
      </c>
      <c r="H3930">
        <v>15</v>
      </c>
    </row>
    <row r="3931" spans="1:8" x14ac:dyDescent="0.15">
      <c r="A3931">
        <v>3930</v>
      </c>
      <c r="B3931" t="s">
        <v>339</v>
      </c>
      <c r="C3931" t="s">
        <v>353</v>
      </c>
      <c r="D3931" t="s">
        <v>7419</v>
      </c>
      <c r="E3931" t="s">
        <v>7415</v>
      </c>
      <c r="F3931" s="46">
        <v>46097.325913796303</v>
      </c>
      <c r="G3931" s="46">
        <v>46097.325913796303</v>
      </c>
      <c r="H3931">
        <v>0</v>
      </c>
    </row>
    <row r="3932" spans="1:8" x14ac:dyDescent="0.15">
      <c r="A3932">
        <v>3931</v>
      </c>
      <c r="B3932" t="s">
        <v>339</v>
      </c>
      <c r="C3932" t="s">
        <v>353</v>
      </c>
      <c r="D3932" t="s">
        <v>7420</v>
      </c>
      <c r="E3932" t="s">
        <v>7415</v>
      </c>
      <c r="F3932" s="46">
        <v>46097.325913796303</v>
      </c>
      <c r="G3932" s="46">
        <v>46097.325913796303</v>
      </c>
      <c r="H3932">
        <v>0</v>
      </c>
    </row>
    <row r="3933" spans="1:8" x14ac:dyDescent="0.15">
      <c r="A3933">
        <v>3932</v>
      </c>
      <c r="B3933" t="s">
        <v>339</v>
      </c>
      <c r="C3933" t="s">
        <v>353</v>
      </c>
      <c r="D3933" t="s">
        <v>7421</v>
      </c>
      <c r="E3933" t="s">
        <v>7415</v>
      </c>
      <c r="F3933" s="46">
        <v>46097.325913796303</v>
      </c>
      <c r="G3933" s="46">
        <v>46097.325913796303</v>
      </c>
      <c r="H3933">
        <v>0</v>
      </c>
    </row>
    <row r="3934" spans="1:8" x14ac:dyDescent="0.15">
      <c r="A3934">
        <v>3933</v>
      </c>
      <c r="B3934" t="s">
        <v>339</v>
      </c>
      <c r="C3934" t="s">
        <v>353</v>
      </c>
      <c r="D3934" t="s">
        <v>7422</v>
      </c>
      <c r="E3934" t="s">
        <v>7415</v>
      </c>
      <c r="F3934" s="46">
        <v>46097.325913796303</v>
      </c>
      <c r="G3934" s="46">
        <v>46097.325913796303</v>
      </c>
      <c r="H3934">
        <v>0</v>
      </c>
    </row>
    <row r="3935" spans="1:8" x14ac:dyDescent="0.15">
      <c r="A3935">
        <v>3934</v>
      </c>
      <c r="B3935" t="s">
        <v>339</v>
      </c>
      <c r="C3935" t="s">
        <v>353</v>
      </c>
      <c r="D3935" t="s">
        <v>7423</v>
      </c>
      <c r="E3935" t="s">
        <v>7415</v>
      </c>
      <c r="F3935" s="46">
        <v>46097.325913796303</v>
      </c>
      <c r="G3935" s="46">
        <v>46097.325913796303</v>
      </c>
      <c r="H3935">
        <v>0</v>
      </c>
    </row>
    <row r="3936" spans="1:8" x14ac:dyDescent="0.15">
      <c r="A3936">
        <v>3935</v>
      </c>
      <c r="B3936" t="s">
        <v>339</v>
      </c>
      <c r="C3936" t="s">
        <v>353</v>
      </c>
      <c r="D3936" t="s">
        <v>7424</v>
      </c>
      <c r="E3936" t="s">
        <v>7415</v>
      </c>
      <c r="F3936" s="46">
        <v>46097.325913796303</v>
      </c>
      <c r="G3936" s="46">
        <v>46097.325913796303</v>
      </c>
      <c r="H3936">
        <v>0</v>
      </c>
    </row>
    <row r="3937" spans="1:8" x14ac:dyDescent="0.15">
      <c r="A3937">
        <v>3936</v>
      </c>
      <c r="B3937" t="s">
        <v>339</v>
      </c>
      <c r="C3937" t="s">
        <v>353</v>
      </c>
      <c r="D3937" t="s">
        <v>7425</v>
      </c>
      <c r="E3937" t="s">
        <v>7415</v>
      </c>
      <c r="F3937" s="46">
        <v>46097.325913796303</v>
      </c>
      <c r="G3937" s="46">
        <v>46097.325913796303</v>
      </c>
      <c r="H3937">
        <v>0</v>
      </c>
    </row>
    <row r="3938" spans="1:8" x14ac:dyDescent="0.15">
      <c r="A3938">
        <v>3937</v>
      </c>
      <c r="B3938" t="s">
        <v>339</v>
      </c>
      <c r="C3938" t="s">
        <v>353</v>
      </c>
      <c r="D3938" t="s">
        <v>7426</v>
      </c>
      <c r="E3938" t="s">
        <v>7415</v>
      </c>
      <c r="F3938" s="46">
        <v>46097.325913796303</v>
      </c>
      <c r="G3938" s="46">
        <v>46097.325913796303</v>
      </c>
      <c r="H3938">
        <v>0</v>
      </c>
    </row>
    <row r="3939" spans="1:8" x14ac:dyDescent="0.15">
      <c r="A3939">
        <v>3938</v>
      </c>
      <c r="B3939" t="s">
        <v>339</v>
      </c>
      <c r="C3939" t="s">
        <v>353</v>
      </c>
      <c r="D3939" t="s">
        <v>7427</v>
      </c>
      <c r="E3939" t="s">
        <v>7415</v>
      </c>
      <c r="F3939" s="46">
        <v>46097.325913796303</v>
      </c>
      <c r="G3939" s="46">
        <v>46097.325913796303</v>
      </c>
      <c r="H3939">
        <v>0</v>
      </c>
    </row>
    <row r="3940" spans="1:8" x14ac:dyDescent="0.15">
      <c r="A3940">
        <v>3939</v>
      </c>
      <c r="B3940" t="s">
        <v>339</v>
      </c>
      <c r="C3940" t="s">
        <v>353</v>
      </c>
      <c r="D3940" t="s">
        <v>7428</v>
      </c>
      <c r="E3940" t="s">
        <v>7415</v>
      </c>
      <c r="F3940" s="46">
        <v>46097.325913796303</v>
      </c>
      <c r="G3940" s="46">
        <v>46097.325913969908</v>
      </c>
      <c r="H3940">
        <v>16</v>
      </c>
    </row>
    <row r="3941" spans="1:8" x14ac:dyDescent="0.15">
      <c r="A3941">
        <v>3940</v>
      </c>
      <c r="B3941" t="s">
        <v>339</v>
      </c>
      <c r="C3941" t="s">
        <v>353</v>
      </c>
      <c r="D3941" t="s">
        <v>7429</v>
      </c>
      <c r="E3941" t="s">
        <v>7415</v>
      </c>
      <c r="F3941" s="46">
        <v>46097.325913969908</v>
      </c>
      <c r="G3941" s="46">
        <v>46097.325913969908</v>
      </c>
      <c r="H3941">
        <v>0</v>
      </c>
    </row>
    <row r="3942" spans="1:8" x14ac:dyDescent="0.15">
      <c r="A3942">
        <v>3941</v>
      </c>
      <c r="B3942" t="s">
        <v>339</v>
      </c>
      <c r="C3942" t="s">
        <v>353</v>
      </c>
      <c r="D3942" t="s">
        <v>7430</v>
      </c>
      <c r="E3942" t="s">
        <v>7415</v>
      </c>
      <c r="F3942" s="46">
        <v>46097.325913969908</v>
      </c>
      <c r="G3942" s="46">
        <v>46097.325913969908</v>
      </c>
      <c r="H3942">
        <v>0</v>
      </c>
    </row>
    <row r="3943" spans="1:8" x14ac:dyDescent="0.15">
      <c r="A3943">
        <v>3942</v>
      </c>
      <c r="B3943" t="s">
        <v>339</v>
      </c>
      <c r="C3943" t="s">
        <v>353</v>
      </c>
      <c r="D3943" t="s">
        <v>7431</v>
      </c>
      <c r="E3943" t="s">
        <v>7415</v>
      </c>
      <c r="F3943" s="46">
        <v>46097.325913969908</v>
      </c>
      <c r="G3943" s="46">
        <v>46097.325913969908</v>
      </c>
      <c r="H3943">
        <v>0</v>
      </c>
    </row>
    <row r="3944" spans="1:8" x14ac:dyDescent="0.15">
      <c r="A3944">
        <v>3943</v>
      </c>
      <c r="B3944" t="s">
        <v>339</v>
      </c>
      <c r="C3944" t="s">
        <v>353</v>
      </c>
      <c r="D3944" t="s">
        <v>7432</v>
      </c>
      <c r="E3944" t="s">
        <v>7415</v>
      </c>
      <c r="F3944" s="46">
        <v>46097.325913969908</v>
      </c>
      <c r="G3944" s="46">
        <v>46097.325913969908</v>
      </c>
      <c r="H3944">
        <v>0</v>
      </c>
    </row>
    <row r="3945" spans="1:8" x14ac:dyDescent="0.15">
      <c r="A3945">
        <v>3944</v>
      </c>
      <c r="B3945" t="s">
        <v>339</v>
      </c>
      <c r="C3945" t="s">
        <v>353</v>
      </c>
      <c r="D3945" t="s">
        <v>7433</v>
      </c>
      <c r="E3945" t="s">
        <v>7415</v>
      </c>
      <c r="F3945" s="46">
        <v>46097.325913969908</v>
      </c>
      <c r="G3945" s="46">
        <v>46097.325913969908</v>
      </c>
      <c r="H3945">
        <v>0</v>
      </c>
    </row>
    <row r="3946" spans="1:8" x14ac:dyDescent="0.15">
      <c r="A3946">
        <v>3945</v>
      </c>
      <c r="B3946" t="s">
        <v>339</v>
      </c>
      <c r="C3946" t="s">
        <v>353</v>
      </c>
      <c r="D3946" t="s">
        <v>7434</v>
      </c>
      <c r="E3946" t="s">
        <v>7415</v>
      </c>
      <c r="F3946" s="46">
        <v>46097.325913969908</v>
      </c>
      <c r="G3946" s="46">
        <v>46097.325913969908</v>
      </c>
      <c r="H3946">
        <v>0</v>
      </c>
    </row>
    <row r="3947" spans="1:8" x14ac:dyDescent="0.15">
      <c r="A3947">
        <v>3946</v>
      </c>
      <c r="B3947" t="s">
        <v>339</v>
      </c>
      <c r="C3947" t="s">
        <v>353</v>
      </c>
      <c r="D3947" t="s">
        <v>7435</v>
      </c>
      <c r="E3947" t="s">
        <v>7415</v>
      </c>
      <c r="F3947" s="46">
        <v>46097.325913969908</v>
      </c>
      <c r="G3947" s="46">
        <v>46097.325913969908</v>
      </c>
      <c r="H3947">
        <v>0</v>
      </c>
    </row>
    <row r="3948" spans="1:8" x14ac:dyDescent="0.15">
      <c r="A3948">
        <v>3947</v>
      </c>
      <c r="B3948" t="s">
        <v>339</v>
      </c>
      <c r="C3948" t="s">
        <v>353</v>
      </c>
      <c r="D3948" t="s">
        <v>7436</v>
      </c>
      <c r="E3948" t="s">
        <v>7415</v>
      </c>
      <c r="F3948" s="46">
        <v>46097.325913969908</v>
      </c>
      <c r="G3948" s="46">
        <v>46097.325913969908</v>
      </c>
      <c r="H3948">
        <v>0</v>
      </c>
    </row>
    <row r="3949" spans="1:8" x14ac:dyDescent="0.15">
      <c r="A3949">
        <v>3948</v>
      </c>
      <c r="B3949" t="s">
        <v>339</v>
      </c>
      <c r="C3949" t="s">
        <v>353</v>
      </c>
      <c r="D3949" t="s">
        <v>7437</v>
      </c>
      <c r="E3949" t="s">
        <v>7415</v>
      </c>
      <c r="F3949" s="46">
        <v>46097.325913969908</v>
      </c>
      <c r="G3949" s="46">
        <v>46097.325913969908</v>
      </c>
      <c r="H3949">
        <v>0</v>
      </c>
    </row>
    <row r="3950" spans="1:8" x14ac:dyDescent="0.15">
      <c r="A3950">
        <v>3949</v>
      </c>
      <c r="B3950" t="s">
        <v>339</v>
      </c>
      <c r="C3950" t="s">
        <v>353</v>
      </c>
      <c r="D3950" t="s">
        <v>7438</v>
      </c>
      <c r="E3950" t="s">
        <v>7415</v>
      </c>
      <c r="F3950" s="46">
        <v>46097.325913969908</v>
      </c>
      <c r="G3950" s="46">
        <v>46097.325913969908</v>
      </c>
      <c r="H3950">
        <v>0</v>
      </c>
    </row>
    <row r="3951" spans="1:8" x14ac:dyDescent="0.15">
      <c r="A3951">
        <v>3950</v>
      </c>
      <c r="B3951" t="s">
        <v>339</v>
      </c>
      <c r="C3951" t="s">
        <v>353</v>
      </c>
      <c r="D3951" t="s">
        <v>7439</v>
      </c>
      <c r="E3951" t="s">
        <v>7415</v>
      </c>
      <c r="F3951" s="46">
        <v>46097.325913969908</v>
      </c>
      <c r="G3951" s="46">
        <v>46097.325914155103</v>
      </c>
      <c r="H3951">
        <v>15</v>
      </c>
    </row>
    <row r="3952" spans="1:8" x14ac:dyDescent="0.15">
      <c r="A3952">
        <v>3951</v>
      </c>
      <c r="B3952" t="s">
        <v>339</v>
      </c>
      <c r="C3952" t="s">
        <v>353</v>
      </c>
      <c r="D3952" t="s">
        <v>7440</v>
      </c>
      <c r="E3952" t="s">
        <v>7415</v>
      </c>
      <c r="F3952" s="46">
        <v>46097.325914155103</v>
      </c>
      <c r="G3952" s="46">
        <v>46097.325914155103</v>
      </c>
      <c r="H3952">
        <v>0</v>
      </c>
    </row>
    <row r="3953" spans="1:8" x14ac:dyDescent="0.15">
      <c r="A3953">
        <v>3952</v>
      </c>
      <c r="B3953" t="s">
        <v>339</v>
      </c>
      <c r="C3953" t="s">
        <v>353</v>
      </c>
      <c r="D3953" t="s">
        <v>7441</v>
      </c>
      <c r="E3953" t="s">
        <v>7415</v>
      </c>
      <c r="F3953" s="46">
        <v>46097.325914155103</v>
      </c>
      <c r="G3953" s="46">
        <v>46097.325914155103</v>
      </c>
      <c r="H3953">
        <v>0</v>
      </c>
    </row>
    <row r="3954" spans="1:8" x14ac:dyDescent="0.15">
      <c r="A3954">
        <v>3953</v>
      </c>
      <c r="B3954" t="s">
        <v>339</v>
      </c>
      <c r="C3954" t="s">
        <v>353</v>
      </c>
      <c r="D3954" t="s">
        <v>7442</v>
      </c>
      <c r="E3954" t="s">
        <v>7443</v>
      </c>
      <c r="F3954" s="46">
        <v>46097.325914155103</v>
      </c>
      <c r="G3954" s="46">
        <v>46097.325914155103</v>
      </c>
      <c r="H3954">
        <v>0</v>
      </c>
    </row>
    <row r="3955" spans="1:8" x14ac:dyDescent="0.15">
      <c r="A3955">
        <v>3954</v>
      </c>
      <c r="B3955" t="s">
        <v>339</v>
      </c>
      <c r="C3955" t="s">
        <v>353</v>
      </c>
      <c r="D3955" t="s">
        <v>7444</v>
      </c>
      <c r="E3955" t="s">
        <v>7445</v>
      </c>
      <c r="F3955" s="46">
        <v>46097.325914155103</v>
      </c>
      <c r="G3955" s="46">
        <v>46097.325914155103</v>
      </c>
      <c r="H3955">
        <v>0</v>
      </c>
    </row>
    <row r="3956" spans="1:8" x14ac:dyDescent="0.15">
      <c r="A3956">
        <v>3955</v>
      </c>
      <c r="B3956" t="s">
        <v>339</v>
      </c>
      <c r="C3956" t="s">
        <v>353</v>
      </c>
      <c r="D3956" t="s">
        <v>7446</v>
      </c>
      <c r="E3956" t="s">
        <v>7445</v>
      </c>
      <c r="F3956" s="46">
        <v>46097.325914155103</v>
      </c>
      <c r="G3956" s="46">
        <v>46097.325914155103</v>
      </c>
      <c r="H3956">
        <v>0</v>
      </c>
    </row>
    <row r="3957" spans="1:8" x14ac:dyDescent="0.15">
      <c r="A3957">
        <v>3956</v>
      </c>
      <c r="B3957" t="s">
        <v>339</v>
      </c>
      <c r="C3957" t="s">
        <v>353</v>
      </c>
      <c r="D3957" t="s">
        <v>7447</v>
      </c>
      <c r="E3957" t="s">
        <v>7445</v>
      </c>
      <c r="F3957" s="46">
        <v>46097.325914155103</v>
      </c>
      <c r="G3957" s="46">
        <v>46097.325914155103</v>
      </c>
      <c r="H3957">
        <v>0</v>
      </c>
    </row>
    <row r="3958" spans="1:8" x14ac:dyDescent="0.15">
      <c r="A3958">
        <v>3957</v>
      </c>
      <c r="B3958" t="s">
        <v>339</v>
      </c>
      <c r="C3958" t="s">
        <v>353</v>
      </c>
      <c r="D3958" t="s">
        <v>7448</v>
      </c>
      <c r="E3958" t="s">
        <v>7449</v>
      </c>
      <c r="F3958" s="46">
        <v>46097.325914155103</v>
      </c>
      <c r="G3958" s="46">
        <v>46097.325914155103</v>
      </c>
      <c r="H3958">
        <v>0</v>
      </c>
    </row>
    <row r="3959" spans="1:8" x14ac:dyDescent="0.15">
      <c r="A3959">
        <v>3958</v>
      </c>
      <c r="B3959" t="s">
        <v>339</v>
      </c>
      <c r="C3959" t="s">
        <v>353</v>
      </c>
      <c r="D3959" t="s">
        <v>7450</v>
      </c>
      <c r="E3959" t="s">
        <v>7451</v>
      </c>
      <c r="F3959" s="46">
        <v>46097.325914155103</v>
      </c>
      <c r="G3959" s="46">
        <v>46097.325914155103</v>
      </c>
      <c r="H3959">
        <v>0</v>
      </c>
    </row>
    <row r="3960" spans="1:8" x14ac:dyDescent="0.15">
      <c r="A3960">
        <v>3959</v>
      </c>
      <c r="B3960" t="s">
        <v>339</v>
      </c>
      <c r="C3960" t="s">
        <v>353</v>
      </c>
      <c r="D3960" t="s">
        <v>7452</v>
      </c>
      <c r="E3960" t="s">
        <v>7451</v>
      </c>
      <c r="F3960" s="46">
        <v>46097.325914155103</v>
      </c>
      <c r="G3960" s="46">
        <v>46097.325914155103</v>
      </c>
      <c r="H3960">
        <v>0</v>
      </c>
    </row>
    <row r="3961" spans="1:8" x14ac:dyDescent="0.15">
      <c r="A3961">
        <v>3960</v>
      </c>
      <c r="B3961" t="s">
        <v>339</v>
      </c>
      <c r="C3961" t="s">
        <v>353</v>
      </c>
      <c r="D3961" t="s">
        <v>7453</v>
      </c>
      <c r="E3961" t="s">
        <v>7451</v>
      </c>
      <c r="F3961" s="46">
        <v>46097.325914155103</v>
      </c>
      <c r="G3961" s="46">
        <v>46097.325914155103</v>
      </c>
      <c r="H3961">
        <v>0</v>
      </c>
    </row>
    <row r="3962" spans="1:8" x14ac:dyDescent="0.15">
      <c r="A3962">
        <v>3961</v>
      </c>
      <c r="B3962" t="s">
        <v>339</v>
      </c>
      <c r="C3962" t="s">
        <v>353</v>
      </c>
      <c r="D3962" t="s">
        <v>7454</v>
      </c>
      <c r="E3962" t="s">
        <v>7451</v>
      </c>
      <c r="F3962" s="46">
        <v>46097.325914155103</v>
      </c>
      <c r="G3962" s="46">
        <v>46097.325914340283</v>
      </c>
      <c r="H3962">
        <v>16</v>
      </c>
    </row>
    <row r="3963" spans="1:8" x14ac:dyDescent="0.15">
      <c r="A3963">
        <v>3962</v>
      </c>
      <c r="B3963" t="s">
        <v>339</v>
      </c>
      <c r="C3963" t="s">
        <v>353</v>
      </c>
      <c r="D3963" t="s">
        <v>7455</v>
      </c>
      <c r="E3963" t="s">
        <v>7451</v>
      </c>
      <c r="F3963" s="46">
        <v>46097.325914340283</v>
      </c>
      <c r="G3963" s="46">
        <v>46097.325914340283</v>
      </c>
      <c r="H3963">
        <v>0</v>
      </c>
    </row>
    <row r="3964" spans="1:8" x14ac:dyDescent="0.15">
      <c r="A3964">
        <v>3963</v>
      </c>
      <c r="B3964" t="s">
        <v>339</v>
      </c>
      <c r="C3964" t="s">
        <v>353</v>
      </c>
      <c r="D3964" t="s">
        <v>7456</v>
      </c>
      <c r="E3964" t="s">
        <v>7451</v>
      </c>
      <c r="F3964" s="46">
        <v>46097.325914340283</v>
      </c>
      <c r="G3964" s="46">
        <v>46097.325914340283</v>
      </c>
      <c r="H3964">
        <v>0</v>
      </c>
    </row>
    <row r="3965" spans="1:8" x14ac:dyDescent="0.15">
      <c r="A3965">
        <v>3964</v>
      </c>
      <c r="B3965" t="s">
        <v>339</v>
      </c>
      <c r="C3965" t="s">
        <v>353</v>
      </c>
      <c r="D3965" t="s">
        <v>7457</v>
      </c>
      <c r="E3965" t="s">
        <v>7451</v>
      </c>
      <c r="F3965" s="46">
        <v>46097.325914340283</v>
      </c>
      <c r="G3965" s="46">
        <v>46097.325914340283</v>
      </c>
      <c r="H3965">
        <v>0</v>
      </c>
    </row>
    <row r="3966" spans="1:8" x14ac:dyDescent="0.15">
      <c r="A3966">
        <v>3965</v>
      </c>
      <c r="B3966" t="s">
        <v>339</v>
      </c>
      <c r="C3966" t="s">
        <v>353</v>
      </c>
      <c r="D3966" t="s">
        <v>7458</v>
      </c>
      <c r="E3966" t="s">
        <v>7451</v>
      </c>
      <c r="F3966" s="46">
        <v>46097.325914340283</v>
      </c>
      <c r="G3966" s="46">
        <v>46097.325914340283</v>
      </c>
      <c r="H3966">
        <v>0</v>
      </c>
    </row>
    <row r="3967" spans="1:8" x14ac:dyDescent="0.15">
      <c r="A3967">
        <v>3966</v>
      </c>
      <c r="B3967" t="s">
        <v>339</v>
      </c>
      <c r="C3967" t="s">
        <v>353</v>
      </c>
      <c r="D3967" t="s">
        <v>7459</v>
      </c>
      <c r="E3967" t="s">
        <v>7451</v>
      </c>
      <c r="F3967" s="46">
        <v>46097.325914340283</v>
      </c>
      <c r="G3967" s="46">
        <v>46097.325914340283</v>
      </c>
      <c r="H3967">
        <v>0</v>
      </c>
    </row>
    <row r="3968" spans="1:8" x14ac:dyDescent="0.15">
      <c r="A3968">
        <v>3967</v>
      </c>
      <c r="B3968" t="s">
        <v>339</v>
      </c>
      <c r="C3968" t="s">
        <v>353</v>
      </c>
      <c r="D3968" t="s">
        <v>7460</v>
      </c>
      <c r="E3968" t="s">
        <v>7451</v>
      </c>
      <c r="F3968" s="46">
        <v>46097.325914340283</v>
      </c>
      <c r="G3968" s="46">
        <v>46097.325914340283</v>
      </c>
      <c r="H3968">
        <v>0</v>
      </c>
    </row>
    <row r="3969" spans="1:8" x14ac:dyDescent="0.15">
      <c r="A3969">
        <v>3968</v>
      </c>
      <c r="B3969" t="s">
        <v>339</v>
      </c>
      <c r="C3969" t="s">
        <v>353</v>
      </c>
      <c r="D3969" t="s">
        <v>7461</v>
      </c>
      <c r="E3969" t="s">
        <v>7451</v>
      </c>
      <c r="F3969" s="46">
        <v>46097.325914340283</v>
      </c>
      <c r="G3969" s="46">
        <v>46097.325914340283</v>
      </c>
      <c r="H3969">
        <v>0</v>
      </c>
    </row>
    <row r="3970" spans="1:8" x14ac:dyDescent="0.15">
      <c r="A3970">
        <v>3969</v>
      </c>
      <c r="B3970" t="s">
        <v>339</v>
      </c>
      <c r="C3970" t="s">
        <v>353</v>
      </c>
      <c r="D3970" t="s">
        <v>7462</v>
      </c>
      <c r="E3970" t="s">
        <v>7451</v>
      </c>
      <c r="F3970" s="46">
        <v>46097.325914340283</v>
      </c>
      <c r="G3970" s="46">
        <v>46097.325914340283</v>
      </c>
      <c r="H3970">
        <v>0</v>
      </c>
    </row>
    <row r="3971" spans="1:8" x14ac:dyDescent="0.15">
      <c r="A3971">
        <v>3970</v>
      </c>
      <c r="B3971" t="s">
        <v>339</v>
      </c>
      <c r="C3971" t="s">
        <v>353</v>
      </c>
      <c r="D3971" t="s">
        <v>7463</v>
      </c>
      <c r="E3971" t="s">
        <v>7451</v>
      </c>
      <c r="F3971" s="46">
        <v>46097.325914340283</v>
      </c>
      <c r="G3971" s="46">
        <v>46097.325914340283</v>
      </c>
      <c r="H3971">
        <v>0</v>
      </c>
    </row>
    <row r="3972" spans="1:8" x14ac:dyDescent="0.15">
      <c r="A3972">
        <v>3971</v>
      </c>
      <c r="B3972" t="s">
        <v>339</v>
      </c>
      <c r="C3972" t="s">
        <v>353</v>
      </c>
      <c r="D3972" t="s">
        <v>7464</v>
      </c>
      <c r="E3972" t="s">
        <v>7451</v>
      </c>
      <c r="F3972" s="46">
        <v>46097.325914340283</v>
      </c>
      <c r="G3972" s="46">
        <v>46097.325914513887</v>
      </c>
      <c r="H3972">
        <v>16</v>
      </c>
    </row>
    <row r="3973" spans="1:8" x14ac:dyDescent="0.15">
      <c r="A3973">
        <v>3972</v>
      </c>
      <c r="B3973" t="s">
        <v>339</v>
      </c>
      <c r="C3973" t="s">
        <v>353</v>
      </c>
      <c r="D3973" t="s">
        <v>7465</v>
      </c>
      <c r="E3973" t="s">
        <v>7451</v>
      </c>
      <c r="F3973" s="46">
        <v>46097.325914513887</v>
      </c>
      <c r="G3973" s="46">
        <v>46097.325914513887</v>
      </c>
      <c r="H3973">
        <v>0</v>
      </c>
    </row>
    <row r="3974" spans="1:8" x14ac:dyDescent="0.15">
      <c r="A3974">
        <v>3973</v>
      </c>
      <c r="B3974" t="s">
        <v>339</v>
      </c>
      <c r="C3974" t="s">
        <v>353</v>
      </c>
      <c r="D3974" t="s">
        <v>7466</v>
      </c>
      <c r="E3974" t="s">
        <v>7451</v>
      </c>
      <c r="F3974" s="46">
        <v>46097.325914513887</v>
      </c>
      <c r="G3974" s="46">
        <v>46097.325914513887</v>
      </c>
      <c r="H3974">
        <v>0</v>
      </c>
    </row>
    <row r="3975" spans="1:8" x14ac:dyDescent="0.15">
      <c r="A3975">
        <v>3974</v>
      </c>
      <c r="B3975" t="s">
        <v>339</v>
      </c>
      <c r="C3975" t="s">
        <v>353</v>
      </c>
      <c r="D3975" t="s">
        <v>7467</v>
      </c>
      <c r="E3975" t="s">
        <v>7451</v>
      </c>
      <c r="F3975" s="46">
        <v>46097.325914513887</v>
      </c>
      <c r="G3975" s="46">
        <v>46097.325914513887</v>
      </c>
      <c r="H3975">
        <v>0</v>
      </c>
    </row>
    <row r="3976" spans="1:8" x14ac:dyDescent="0.15">
      <c r="A3976">
        <v>3975</v>
      </c>
      <c r="B3976" t="s">
        <v>339</v>
      </c>
      <c r="C3976" t="s">
        <v>353</v>
      </c>
      <c r="D3976" t="s">
        <v>7468</v>
      </c>
      <c r="E3976" t="s">
        <v>7451</v>
      </c>
      <c r="F3976" s="46">
        <v>46097.325914513887</v>
      </c>
      <c r="G3976" s="46">
        <v>46097.325914513887</v>
      </c>
      <c r="H3976">
        <v>0</v>
      </c>
    </row>
    <row r="3977" spans="1:8" x14ac:dyDescent="0.15">
      <c r="A3977">
        <v>3976</v>
      </c>
      <c r="B3977" t="s">
        <v>339</v>
      </c>
      <c r="C3977" t="s">
        <v>353</v>
      </c>
      <c r="D3977" t="s">
        <v>7469</v>
      </c>
      <c r="E3977" t="s">
        <v>7470</v>
      </c>
      <c r="F3977" s="46">
        <v>46097.325914513887</v>
      </c>
      <c r="G3977" s="46">
        <v>46097.325914513887</v>
      </c>
      <c r="H3977">
        <v>0</v>
      </c>
    </row>
    <row r="3978" spans="1:8" x14ac:dyDescent="0.15">
      <c r="A3978">
        <v>3977</v>
      </c>
      <c r="B3978" t="s">
        <v>339</v>
      </c>
      <c r="C3978" t="s">
        <v>353</v>
      </c>
      <c r="D3978" t="s">
        <v>7471</v>
      </c>
      <c r="E3978" t="s">
        <v>7470</v>
      </c>
      <c r="F3978" s="46">
        <v>46097.325914513887</v>
      </c>
      <c r="G3978" s="46">
        <v>46097.325914513887</v>
      </c>
      <c r="H3978">
        <v>0</v>
      </c>
    </row>
    <row r="3979" spans="1:8" x14ac:dyDescent="0.15">
      <c r="A3979">
        <v>3978</v>
      </c>
      <c r="B3979" t="s">
        <v>339</v>
      </c>
      <c r="C3979" t="s">
        <v>353</v>
      </c>
      <c r="D3979" t="s">
        <v>7472</v>
      </c>
      <c r="E3979" t="s">
        <v>7473</v>
      </c>
      <c r="F3979" s="46">
        <v>46097.325914513887</v>
      </c>
      <c r="G3979" s="46">
        <v>46097.325914513887</v>
      </c>
      <c r="H3979">
        <v>0</v>
      </c>
    </row>
    <row r="3980" spans="1:8" x14ac:dyDescent="0.15">
      <c r="A3980">
        <v>3979</v>
      </c>
      <c r="B3980" t="s">
        <v>339</v>
      </c>
      <c r="C3980" t="s">
        <v>353</v>
      </c>
      <c r="D3980" t="s">
        <v>7474</v>
      </c>
      <c r="E3980" t="s">
        <v>7473</v>
      </c>
      <c r="F3980" s="46">
        <v>46097.325914513887</v>
      </c>
      <c r="G3980" s="46">
        <v>46097.325914513887</v>
      </c>
      <c r="H3980">
        <v>0</v>
      </c>
    </row>
    <row r="3981" spans="1:8" x14ac:dyDescent="0.15">
      <c r="A3981">
        <v>3980</v>
      </c>
      <c r="B3981" t="s">
        <v>339</v>
      </c>
      <c r="C3981" t="s">
        <v>353</v>
      </c>
      <c r="D3981" t="s">
        <v>7475</v>
      </c>
      <c r="E3981" t="s">
        <v>7473</v>
      </c>
      <c r="F3981" s="46">
        <v>46097.325914513887</v>
      </c>
      <c r="G3981" s="46">
        <v>46097.325914513887</v>
      </c>
      <c r="H3981">
        <v>0</v>
      </c>
    </row>
    <row r="3982" spans="1:8" x14ac:dyDescent="0.15">
      <c r="A3982">
        <v>3981</v>
      </c>
      <c r="B3982" t="s">
        <v>339</v>
      </c>
      <c r="C3982" t="s">
        <v>353</v>
      </c>
      <c r="D3982" t="s">
        <v>7476</v>
      </c>
      <c r="E3982" t="s">
        <v>7473</v>
      </c>
      <c r="F3982" s="46">
        <v>46097.325914513887</v>
      </c>
      <c r="G3982" s="46">
        <v>46097.325914513887</v>
      </c>
      <c r="H3982">
        <v>0</v>
      </c>
    </row>
    <row r="3983" spans="1:8" x14ac:dyDescent="0.15">
      <c r="A3983">
        <v>3982</v>
      </c>
      <c r="B3983" t="s">
        <v>339</v>
      </c>
      <c r="C3983" t="s">
        <v>353</v>
      </c>
      <c r="D3983" t="s">
        <v>7477</v>
      </c>
      <c r="E3983" t="s">
        <v>7473</v>
      </c>
      <c r="F3983" s="46">
        <v>46097.325914513887</v>
      </c>
      <c r="G3983" s="46">
        <v>46097.325914699068</v>
      </c>
      <c r="H3983">
        <v>15</v>
      </c>
    </row>
    <row r="3984" spans="1:8" x14ac:dyDescent="0.15">
      <c r="A3984">
        <v>3983</v>
      </c>
      <c r="B3984" t="s">
        <v>339</v>
      </c>
      <c r="C3984" t="s">
        <v>353</v>
      </c>
      <c r="D3984" t="s">
        <v>7478</v>
      </c>
      <c r="E3984" t="s">
        <v>7473</v>
      </c>
      <c r="F3984" s="46">
        <v>46097.325914699068</v>
      </c>
      <c r="G3984" s="46">
        <v>46097.325914699068</v>
      </c>
      <c r="H3984">
        <v>0</v>
      </c>
    </row>
    <row r="3985" spans="1:8" x14ac:dyDescent="0.15">
      <c r="A3985">
        <v>3984</v>
      </c>
      <c r="B3985" t="s">
        <v>339</v>
      </c>
      <c r="C3985" t="s">
        <v>353</v>
      </c>
      <c r="D3985" t="s">
        <v>7479</v>
      </c>
      <c r="E3985" t="s">
        <v>7473</v>
      </c>
      <c r="F3985" s="46">
        <v>46097.325914699068</v>
      </c>
      <c r="G3985" s="46">
        <v>46097.325914699068</v>
      </c>
      <c r="H3985">
        <v>0</v>
      </c>
    </row>
    <row r="3986" spans="1:8" x14ac:dyDescent="0.15">
      <c r="A3986">
        <v>3985</v>
      </c>
      <c r="B3986" t="s">
        <v>339</v>
      </c>
      <c r="C3986" t="s">
        <v>353</v>
      </c>
      <c r="D3986" t="s">
        <v>7480</v>
      </c>
      <c r="E3986" t="s">
        <v>7473</v>
      </c>
      <c r="F3986" s="46">
        <v>46097.325914699068</v>
      </c>
      <c r="G3986" s="46">
        <v>46097.325914699068</v>
      </c>
      <c r="H3986">
        <v>0</v>
      </c>
    </row>
    <row r="3987" spans="1:8" x14ac:dyDescent="0.15">
      <c r="A3987">
        <v>3986</v>
      </c>
      <c r="B3987" t="s">
        <v>339</v>
      </c>
      <c r="C3987" t="s">
        <v>353</v>
      </c>
      <c r="D3987" t="s">
        <v>7481</v>
      </c>
      <c r="E3987" t="s">
        <v>7473</v>
      </c>
      <c r="F3987" s="46">
        <v>46097.325914699068</v>
      </c>
      <c r="G3987" s="46">
        <v>46097.325914699068</v>
      </c>
      <c r="H3987">
        <v>0</v>
      </c>
    </row>
    <row r="3988" spans="1:8" x14ac:dyDescent="0.15">
      <c r="A3988">
        <v>3987</v>
      </c>
      <c r="B3988" t="s">
        <v>339</v>
      </c>
      <c r="C3988" t="s">
        <v>353</v>
      </c>
      <c r="D3988" t="s">
        <v>7482</v>
      </c>
      <c r="E3988" t="s">
        <v>7473</v>
      </c>
      <c r="F3988" s="46">
        <v>46097.325914699068</v>
      </c>
      <c r="G3988" s="46">
        <v>46097.325914699068</v>
      </c>
      <c r="H3988">
        <v>0</v>
      </c>
    </row>
    <row r="3989" spans="1:8" x14ac:dyDescent="0.15">
      <c r="A3989">
        <v>3988</v>
      </c>
      <c r="B3989" t="s">
        <v>339</v>
      </c>
      <c r="C3989" t="s">
        <v>353</v>
      </c>
      <c r="D3989" t="s">
        <v>7483</v>
      </c>
      <c r="E3989" t="s">
        <v>7473</v>
      </c>
      <c r="F3989" s="46">
        <v>46097.325914699068</v>
      </c>
      <c r="G3989" s="46">
        <v>46097.325914699068</v>
      </c>
      <c r="H3989">
        <v>0</v>
      </c>
    </row>
    <row r="3990" spans="1:8" x14ac:dyDescent="0.15">
      <c r="A3990">
        <v>3989</v>
      </c>
      <c r="B3990" t="s">
        <v>339</v>
      </c>
      <c r="C3990" t="s">
        <v>353</v>
      </c>
      <c r="D3990" t="s">
        <v>7484</v>
      </c>
      <c r="E3990" t="s">
        <v>7473</v>
      </c>
      <c r="F3990" s="46">
        <v>46097.325914699068</v>
      </c>
      <c r="G3990" s="46">
        <v>46097.325914699068</v>
      </c>
      <c r="H3990">
        <v>0</v>
      </c>
    </row>
    <row r="3991" spans="1:8" x14ac:dyDescent="0.15">
      <c r="A3991">
        <v>3990</v>
      </c>
      <c r="B3991" t="s">
        <v>339</v>
      </c>
      <c r="C3991" t="s">
        <v>353</v>
      </c>
      <c r="D3991" t="s">
        <v>7485</v>
      </c>
      <c r="E3991" t="s">
        <v>7473</v>
      </c>
      <c r="F3991" s="46">
        <v>46097.325914699068</v>
      </c>
      <c r="G3991" s="46">
        <v>46097.325914699068</v>
      </c>
      <c r="H3991">
        <v>0</v>
      </c>
    </row>
    <row r="3992" spans="1:8" x14ac:dyDescent="0.15">
      <c r="A3992">
        <v>3991</v>
      </c>
      <c r="B3992" t="s">
        <v>339</v>
      </c>
      <c r="C3992" t="s">
        <v>353</v>
      </c>
      <c r="D3992" t="s">
        <v>7486</v>
      </c>
      <c r="E3992" t="s">
        <v>7473</v>
      </c>
      <c r="F3992" s="46">
        <v>46097.325914699068</v>
      </c>
      <c r="G3992" s="46">
        <v>46097.325914699068</v>
      </c>
      <c r="H3992">
        <v>0</v>
      </c>
    </row>
    <row r="3993" spans="1:8" x14ac:dyDescent="0.15">
      <c r="A3993">
        <v>3992</v>
      </c>
      <c r="B3993" t="s">
        <v>339</v>
      </c>
      <c r="C3993" t="s">
        <v>353</v>
      </c>
      <c r="D3993" t="s">
        <v>7487</v>
      </c>
      <c r="E3993" t="s">
        <v>7473</v>
      </c>
      <c r="F3993" s="46">
        <v>46097.325914699068</v>
      </c>
      <c r="G3993" s="46">
        <v>46097.325914699068</v>
      </c>
      <c r="H3993">
        <v>0</v>
      </c>
    </row>
    <row r="3994" spans="1:8" x14ac:dyDescent="0.15">
      <c r="A3994">
        <v>3993</v>
      </c>
      <c r="B3994" t="s">
        <v>339</v>
      </c>
      <c r="C3994" t="s">
        <v>353</v>
      </c>
      <c r="D3994" t="s">
        <v>7488</v>
      </c>
      <c r="E3994" t="s">
        <v>7473</v>
      </c>
      <c r="F3994" s="46">
        <v>46097.325914699068</v>
      </c>
      <c r="G3994" s="46">
        <v>46097.325914872687</v>
      </c>
      <c r="H3994">
        <v>16</v>
      </c>
    </row>
    <row r="3995" spans="1:8" x14ac:dyDescent="0.15">
      <c r="A3995">
        <v>3994</v>
      </c>
      <c r="B3995" t="s">
        <v>339</v>
      </c>
      <c r="C3995" t="s">
        <v>353</v>
      </c>
      <c r="D3995" t="s">
        <v>7489</v>
      </c>
      <c r="E3995" t="s">
        <v>7473</v>
      </c>
      <c r="F3995" s="46">
        <v>46097.325914872687</v>
      </c>
      <c r="G3995" s="46">
        <v>46097.325914872687</v>
      </c>
      <c r="H3995">
        <v>0</v>
      </c>
    </row>
    <row r="3996" spans="1:8" x14ac:dyDescent="0.15">
      <c r="A3996">
        <v>3995</v>
      </c>
      <c r="B3996" t="s">
        <v>339</v>
      </c>
      <c r="C3996" t="s">
        <v>353</v>
      </c>
      <c r="D3996" t="s">
        <v>7490</v>
      </c>
      <c r="E3996" t="s">
        <v>7473</v>
      </c>
      <c r="F3996" s="46">
        <v>46097.325914872687</v>
      </c>
      <c r="G3996" s="46">
        <v>46097.325914872687</v>
      </c>
      <c r="H3996">
        <v>0</v>
      </c>
    </row>
    <row r="3997" spans="1:8" x14ac:dyDescent="0.15">
      <c r="A3997">
        <v>3996</v>
      </c>
      <c r="B3997" t="s">
        <v>339</v>
      </c>
      <c r="C3997" t="s">
        <v>353</v>
      </c>
      <c r="D3997" t="s">
        <v>7491</v>
      </c>
      <c r="E3997" t="s">
        <v>7473</v>
      </c>
      <c r="F3997" s="46">
        <v>46097.325914872687</v>
      </c>
      <c r="G3997" s="46">
        <v>46097.325914872687</v>
      </c>
      <c r="H3997">
        <v>0</v>
      </c>
    </row>
    <row r="3998" spans="1:8" x14ac:dyDescent="0.15">
      <c r="A3998">
        <v>3997</v>
      </c>
      <c r="B3998" t="s">
        <v>339</v>
      </c>
      <c r="C3998" t="s">
        <v>353</v>
      </c>
      <c r="D3998" t="s">
        <v>7492</v>
      </c>
      <c r="E3998" t="s">
        <v>7473</v>
      </c>
      <c r="F3998" s="46">
        <v>46097.325914872687</v>
      </c>
      <c r="G3998" s="46">
        <v>46097.325914872687</v>
      </c>
      <c r="H3998">
        <v>0</v>
      </c>
    </row>
    <row r="3999" spans="1:8" x14ac:dyDescent="0.15">
      <c r="A3999">
        <v>3998</v>
      </c>
      <c r="B3999" t="s">
        <v>339</v>
      </c>
      <c r="C3999" t="s">
        <v>353</v>
      </c>
      <c r="D3999" t="s">
        <v>7493</v>
      </c>
      <c r="E3999" t="s">
        <v>7473</v>
      </c>
      <c r="F3999" s="46">
        <v>46097.325914872687</v>
      </c>
      <c r="G3999" s="46">
        <v>46097.325914872687</v>
      </c>
      <c r="H3999">
        <v>0</v>
      </c>
    </row>
    <row r="4000" spans="1:8" x14ac:dyDescent="0.15">
      <c r="A4000">
        <v>3999</v>
      </c>
      <c r="B4000" t="s">
        <v>339</v>
      </c>
      <c r="C4000" t="s">
        <v>353</v>
      </c>
      <c r="D4000" t="s">
        <v>7494</v>
      </c>
      <c r="E4000" t="s">
        <v>7473</v>
      </c>
      <c r="F4000" s="46">
        <v>46097.325914872687</v>
      </c>
      <c r="G4000" s="46">
        <v>46097.325914872687</v>
      </c>
      <c r="H4000">
        <v>0</v>
      </c>
    </row>
    <row r="4001" spans="1:8" x14ac:dyDescent="0.15">
      <c r="A4001">
        <v>4000</v>
      </c>
      <c r="B4001" t="s">
        <v>339</v>
      </c>
      <c r="C4001" t="s">
        <v>353</v>
      </c>
      <c r="D4001" t="s">
        <v>7495</v>
      </c>
      <c r="E4001" t="s">
        <v>7473</v>
      </c>
      <c r="F4001" s="46">
        <v>46097.325914872687</v>
      </c>
      <c r="G4001" s="46">
        <v>46097.325914872687</v>
      </c>
      <c r="H4001">
        <v>0</v>
      </c>
    </row>
    <row r="4002" spans="1:8" x14ac:dyDescent="0.15">
      <c r="A4002">
        <v>4001</v>
      </c>
      <c r="B4002" t="s">
        <v>339</v>
      </c>
      <c r="C4002" t="s">
        <v>353</v>
      </c>
      <c r="D4002" t="s">
        <v>7496</v>
      </c>
      <c r="E4002" t="s">
        <v>7473</v>
      </c>
      <c r="F4002" s="46">
        <v>46097.325914872687</v>
      </c>
      <c r="G4002" s="46">
        <v>46097.325914872687</v>
      </c>
      <c r="H4002">
        <v>0</v>
      </c>
    </row>
    <row r="4003" spans="1:8" x14ac:dyDescent="0.15">
      <c r="A4003">
        <v>4002</v>
      </c>
      <c r="B4003" t="s">
        <v>339</v>
      </c>
      <c r="C4003" t="s">
        <v>353</v>
      </c>
      <c r="D4003" t="s">
        <v>7497</v>
      </c>
      <c r="E4003" t="s">
        <v>7473</v>
      </c>
      <c r="F4003" s="46">
        <v>46097.325914872687</v>
      </c>
      <c r="G4003" s="46">
        <v>46097.325914872687</v>
      </c>
      <c r="H4003">
        <v>0</v>
      </c>
    </row>
    <row r="4004" spans="1:8" x14ac:dyDescent="0.15">
      <c r="A4004">
        <v>4003</v>
      </c>
      <c r="B4004" t="s">
        <v>339</v>
      </c>
      <c r="C4004" t="s">
        <v>353</v>
      </c>
      <c r="D4004" t="s">
        <v>7498</v>
      </c>
      <c r="E4004" t="s">
        <v>7473</v>
      </c>
      <c r="F4004" s="46">
        <v>46097.325914872687</v>
      </c>
      <c r="G4004" s="46">
        <v>46097.325915057867</v>
      </c>
      <c r="H4004">
        <v>16</v>
      </c>
    </row>
    <row r="4005" spans="1:8" x14ac:dyDescent="0.15">
      <c r="A4005">
        <v>4004</v>
      </c>
      <c r="B4005" t="s">
        <v>339</v>
      </c>
      <c r="C4005" t="s">
        <v>353</v>
      </c>
      <c r="D4005" t="s">
        <v>7499</v>
      </c>
      <c r="E4005" t="s">
        <v>7473</v>
      </c>
      <c r="F4005" s="46">
        <v>46097.325915057867</v>
      </c>
      <c r="G4005" s="46">
        <v>46097.325915057867</v>
      </c>
      <c r="H4005">
        <v>0</v>
      </c>
    </row>
    <row r="4006" spans="1:8" x14ac:dyDescent="0.15">
      <c r="A4006">
        <v>4005</v>
      </c>
      <c r="B4006" t="s">
        <v>339</v>
      </c>
      <c r="C4006" t="s">
        <v>353</v>
      </c>
      <c r="D4006" t="s">
        <v>7500</v>
      </c>
      <c r="E4006" t="s">
        <v>7501</v>
      </c>
      <c r="F4006" s="46">
        <v>46097.325915057867</v>
      </c>
      <c r="G4006" s="46">
        <v>46097.325915057867</v>
      </c>
      <c r="H4006">
        <v>0</v>
      </c>
    </row>
    <row r="4007" spans="1:8" x14ac:dyDescent="0.15">
      <c r="A4007">
        <v>4006</v>
      </c>
      <c r="B4007" t="s">
        <v>339</v>
      </c>
      <c r="C4007" t="s">
        <v>353</v>
      </c>
      <c r="D4007" t="s">
        <v>7502</v>
      </c>
      <c r="E4007" t="s">
        <v>7503</v>
      </c>
      <c r="F4007" s="46">
        <v>46097.325915057867</v>
      </c>
      <c r="G4007" s="46">
        <v>46097.325915057867</v>
      </c>
      <c r="H4007">
        <v>0</v>
      </c>
    </row>
    <row r="4008" spans="1:8" x14ac:dyDescent="0.15">
      <c r="A4008">
        <v>4007</v>
      </c>
      <c r="B4008" t="s">
        <v>339</v>
      </c>
      <c r="C4008" t="s">
        <v>353</v>
      </c>
      <c r="D4008" t="s">
        <v>7504</v>
      </c>
      <c r="E4008" t="s">
        <v>7503</v>
      </c>
      <c r="F4008" s="46">
        <v>46097.325915057867</v>
      </c>
      <c r="G4008" s="46">
        <v>46097.325915057867</v>
      </c>
      <c r="H4008">
        <v>0</v>
      </c>
    </row>
    <row r="4009" spans="1:8" x14ac:dyDescent="0.15">
      <c r="A4009">
        <v>4008</v>
      </c>
      <c r="B4009" t="s">
        <v>339</v>
      </c>
      <c r="C4009" t="s">
        <v>353</v>
      </c>
      <c r="D4009" t="s">
        <v>7505</v>
      </c>
      <c r="E4009" t="s">
        <v>7503</v>
      </c>
      <c r="F4009" s="46">
        <v>46097.325915057867</v>
      </c>
      <c r="G4009" s="46">
        <v>46097.325915057867</v>
      </c>
      <c r="H4009">
        <v>0</v>
      </c>
    </row>
    <row r="4010" spans="1:8" x14ac:dyDescent="0.15">
      <c r="A4010">
        <v>4009</v>
      </c>
      <c r="B4010" t="s">
        <v>339</v>
      </c>
      <c r="C4010" t="s">
        <v>353</v>
      </c>
      <c r="D4010" t="s">
        <v>7506</v>
      </c>
      <c r="E4010" t="s">
        <v>7503</v>
      </c>
      <c r="F4010" s="46">
        <v>46097.325915057867</v>
      </c>
      <c r="G4010" s="46">
        <v>46097.325915057867</v>
      </c>
      <c r="H4010">
        <v>0</v>
      </c>
    </row>
    <row r="4011" spans="1:8" x14ac:dyDescent="0.15">
      <c r="A4011">
        <v>4010</v>
      </c>
      <c r="B4011" t="s">
        <v>339</v>
      </c>
      <c r="C4011" t="s">
        <v>353</v>
      </c>
      <c r="D4011" t="s">
        <v>7507</v>
      </c>
      <c r="E4011" t="s">
        <v>7503</v>
      </c>
      <c r="F4011" s="46">
        <v>46097.325915057867</v>
      </c>
      <c r="G4011" s="46">
        <v>46097.325915057867</v>
      </c>
      <c r="H4011">
        <v>0</v>
      </c>
    </row>
    <row r="4012" spans="1:8" x14ac:dyDescent="0.15">
      <c r="A4012">
        <v>4011</v>
      </c>
      <c r="B4012" t="s">
        <v>339</v>
      </c>
      <c r="C4012" t="s">
        <v>353</v>
      </c>
      <c r="D4012" t="s">
        <v>7508</v>
      </c>
      <c r="E4012" t="s">
        <v>7503</v>
      </c>
      <c r="F4012" s="46">
        <v>46097.325915057867</v>
      </c>
      <c r="G4012" s="46">
        <v>46097.325915057867</v>
      </c>
      <c r="H4012">
        <v>0</v>
      </c>
    </row>
    <row r="4013" spans="1:8" x14ac:dyDescent="0.15">
      <c r="A4013">
        <v>4012</v>
      </c>
      <c r="B4013" t="s">
        <v>339</v>
      </c>
      <c r="C4013" t="s">
        <v>353</v>
      </c>
      <c r="D4013" t="s">
        <v>7509</v>
      </c>
      <c r="E4013" t="s">
        <v>7503</v>
      </c>
      <c r="F4013" s="46">
        <v>46097.325915057867</v>
      </c>
      <c r="G4013" s="46">
        <v>46097.325915057867</v>
      </c>
      <c r="H4013">
        <v>0</v>
      </c>
    </row>
    <row r="4014" spans="1:8" x14ac:dyDescent="0.15">
      <c r="A4014">
        <v>4013</v>
      </c>
      <c r="B4014" t="s">
        <v>339</v>
      </c>
      <c r="C4014" t="s">
        <v>353</v>
      </c>
      <c r="D4014" t="s">
        <v>7510</v>
      </c>
      <c r="E4014" t="s">
        <v>7503</v>
      </c>
      <c r="F4014" s="46">
        <v>46097.325915057867</v>
      </c>
      <c r="G4014" s="46">
        <v>46097.325915057867</v>
      </c>
      <c r="H4014">
        <v>0</v>
      </c>
    </row>
    <row r="4015" spans="1:8" x14ac:dyDescent="0.15">
      <c r="A4015">
        <v>4014</v>
      </c>
      <c r="B4015" t="s">
        <v>339</v>
      </c>
      <c r="C4015" t="s">
        <v>353</v>
      </c>
      <c r="D4015" t="s">
        <v>7511</v>
      </c>
      <c r="E4015" t="s">
        <v>7503</v>
      </c>
      <c r="F4015" s="46">
        <v>46097.325915057867</v>
      </c>
      <c r="G4015" s="46">
        <v>46097.325915243047</v>
      </c>
      <c r="H4015">
        <v>15</v>
      </c>
    </row>
    <row r="4016" spans="1:8" x14ac:dyDescent="0.15">
      <c r="A4016">
        <v>4015</v>
      </c>
      <c r="B4016" t="s">
        <v>339</v>
      </c>
      <c r="C4016" t="s">
        <v>353</v>
      </c>
      <c r="D4016" t="s">
        <v>7512</v>
      </c>
      <c r="E4016" t="s">
        <v>7513</v>
      </c>
      <c r="F4016" s="46">
        <v>46097.325915243047</v>
      </c>
      <c r="G4016" s="46">
        <v>46097.325915243047</v>
      </c>
      <c r="H4016">
        <v>0</v>
      </c>
    </row>
    <row r="4017" spans="1:8" x14ac:dyDescent="0.15">
      <c r="A4017">
        <v>4016</v>
      </c>
      <c r="B4017" t="s">
        <v>339</v>
      </c>
      <c r="C4017" t="s">
        <v>353</v>
      </c>
      <c r="D4017" t="s">
        <v>7514</v>
      </c>
      <c r="E4017" t="s">
        <v>7513</v>
      </c>
      <c r="F4017" s="46">
        <v>46097.325915243047</v>
      </c>
      <c r="G4017" s="46">
        <v>46097.325915243047</v>
      </c>
      <c r="H4017">
        <v>0</v>
      </c>
    </row>
    <row r="4018" spans="1:8" x14ac:dyDescent="0.15">
      <c r="A4018">
        <v>4017</v>
      </c>
      <c r="B4018" t="s">
        <v>339</v>
      </c>
      <c r="C4018" t="s">
        <v>353</v>
      </c>
      <c r="D4018" t="s">
        <v>7515</v>
      </c>
      <c r="E4018" t="s">
        <v>7513</v>
      </c>
      <c r="F4018" s="46">
        <v>46097.325915243047</v>
      </c>
      <c r="G4018" s="46">
        <v>46097.325915243047</v>
      </c>
      <c r="H4018">
        <v>0</v>
      </c>
    </row>
    <row r="4019" spans="1:8" x14ac:dyDescent="0.15">
      <c r="A4019">
        <v>4018</v>
      </c>
      <c r="B4019" t="s">
        <v>339</v>
      </c>
      <c r="C4019" t="s">
        <v>353</v>
      </c>
      <c r="D4019" t="s">
        <v>7516</v>
      </c>
      <c r="E4019" t="s">
        <v>7513</v>
      </c>
      <c r="F4019" s="46">
        <v>46097.325915243047</v>
      </c>
      <c r="G4019" s="46">
        <v>46097.325915243047</v>
      </c>
      <c r="H4019">
        <v>0</v>
      </c>
    </row>
    <row r="4020" spans="1:8" x14ac:dyDescent="0.15">
      <c r="A4020">
        <v>4019</v>
      </c>
      <c r="B4020" t="s">
        <v>339</v>
      </c>
      <c r="C4020" t="s">
        <v>353</v>
      </c>
      <c r="D4020" t="s">
        <v>7517</v>
      </c>
      <c r="E4020" t="s">
        <v>7513</v>
      </c>
      <c r="F4020" s="46">
        <v>46097.325915243047</v>
      </c>
      <c r="G4020" s="46">
        <v>46097.325915243047</v>
      </c>
      <c r="H4020">
        <v>0</v>
      </c>
    </row>
    <row r="4021" spans="1:8" x14ac:dyDescent="0.15">
      <c r="A4021">
        <v>4020</v>
      </c>
      <c r="B4021" t="s">
        <v>339</v>
      </c>
      <c r="C4021" t="s">
        <v>353</v>
      </c>
      <c r="D4021" t="s">
        <v>7518</v>
      </c>
      <c r="E4021" t="s">
        <v>7513</v>
      </c>
      <c r="F4021" s="46">
        <v>46097.325915243047</v>
      </c>
      <c r="G4021" s="46">
        <v>46097.325915243047</v>
      </c>
      <c r="H4021">
        <v>0</v>
      </c>
    </row>
    <row r="4022" spans="1:8" x14ac:dyDescent="0.15">
      <c r="A4022">
        <v>4021</v>
      </c>
      <c r="B4022" t="s">
        <v>339</v>
      </c>
      <c r="C4022" t="s">
        <v>353</v>
      </c>
      <c r="D4022" t="s">
        <v>7519</v>
      </c>
      <c r="E4022" t="s">
        <v>7513</v>
      </c>
      <c r="F4022" s="46">
        <v>46097.325915243047</v>
      </c>
      <c r="G4022" s="46">
        <v>46097.325915243047</v>
      </c>
      <c r="H4022">
        <v>0</v>
      </c>
    </row>
    <row r="4023" spans="1:8" x14ac:dyDescent="0.15">
      <c r="A4023">
        <v>4022</v>
      </c>
      <c r="B4023" t="s">
        <v>339</v>
      </c>
      <c r="C4023" t="s">
        <v>353</v>
      </c>
      <c r="D4023" t="s">
        <v>7520</v>
      </c>
      <c r="E4023" t="s">
        <v>7513</v>
      </c>
      <c r="F4023" s="46">
        <v>46097.325915243047</v>
      </c>
      <c r="G4023" s="46">
        <v>46097.325915243047</v>
      </c>
      <c r="H4023">
        <v>0</v>
      </c>
    </row>
    <row r="4024" spans="1:8" x14ac:dyDescent="0.15">
      <c r="A4024">
        <v>4023</v>
      </c>
      <c r="B4024" t="s">
        <v>339</v>
      </c>
      <c r="C4024" t="s">
        <v>353</v>
      </c>
      <c r="D4024" t="s">
        <v>7521</v>
      </c>
      <c r="E4024" t="s">
        <v>7513</v>
      </c>
      <c r="F4024" s="46">
        <v>46097.325915243047</v>
      </c>
      <c r="G4024" s="46">
        <v>46097.325915243047</v>
      </c>
      <c r="H4024">
        <v>0</v>
      </c>
    </row>
    <row r="4025" spans="1:8" x14ac:dyDescent="0.15">
      <c r="A4025">
        <v>4024</v>
      </c>
      <c r="B4025" t="s">
        <v>339</v>
      </c>
      <c r="C4025" t="s">
        <v>353</v>
      </c>
      <c r="D4025" t="s">
        <v>7522</v>
      </c>
      <c r="E4025" t="s">
        <v>7513</v>
      </c>
      <c r="F4025" s="46">
        <v>46097.325915243047</v>
      </c>
      <c r="G4025" s="46">
        <v>46097.325915416674</v>
      </c>
      <c r="H4025">
        <v>16</v>
      </c>
    </row>
    <row r="4026" spans="1:8" x14ac:dyDescent="0.15">
      <c r="A4026">
        <v>4025</v>
      </c>
      <c r="B4026" t="s">
        <v>339</v>
      </c>
      <c r="C4026" t="s">
        <v>353</v>
      </c>
      <c r="D4026" t="s">
        <v>7523</v>
      </c>
      <c r="E4026" t="s">
        <v>7513</v>
      </c>
      <c r="F4026" s="46">
        <v>46097.325915416674</v>
      </c>
      <c r="G4026" s="46">
        <v>46097.325915416674</v>
      </c>
      <c r="H4026">
        <v>0</v>
      </c>
    </row>
    <row r="4027" spans="1:8" x14ac:dyDescent="0.15">
      <c r="A4027">
        <v>4026</v>
      </c>
      <c r="B4027" t="s">
        <v>339</v>
      </c>
      <c r="C4027" t="s">
        <v>353</v>
      </c>
      <c r="D4027" t="s">
        <v>7524</v>
      </c>
      <c r="E4027" t="s">
        <v>7513</v>
      </c>
      <c r="F4027" s="46">
        <v>46097.325915416674</v>
      </c>
      <c r="G4027" s="46">
        <v>46097.325915416674</v>
      </c>
      <c r="H4027">
        <v>0</v>
      </c>
    </row>
    <row r="4028" spans="1:8" x14ac:dyDescent="0.15">
      <c r="A4028">
        <v>4027</v>
      </c>
      <c r="B4028" t="s">
        <v>339</v>
      </c>
      <c r="C4028" t="s">
        <v>353</v>
      </c>
      <c r="D4028" t="s">
        <v>7525</v>
      </c>
      <c r="E4028" t="s">
        <v>7513</v>
      </c>
      <c r="F4028" s="46">
        <v>46097.325915416674</v>
      </c>
      <c r="G4028" s="46">
        <v>46097.325915416674</v>
      </c>
      <c r="H4028">
        <v>0</v>
      </c>
    </row>
    <row r="4029" spans="1:8" x14ac:dyDescent="0.15">
      <c r="A4029">
        <v>4028</v>
      </c>
      <c r="B4029" t="s">
        <v>339</v>
      </c>
      <c r="C4029" t="s">
        <v>353</v>
      </c>
      <c r="D4029" t="s">
        <v>7526</v>
      </c>
      <c r="E4029" t="s">
        <v>7527</v>
      </c>
      <c r="F4029" s="46">
        <v>46097.325915416674</v>
      </c>
      <c r="G4029" s="46">
        <v>46097.325915416674</v>
      </c>
      <c r="H4029">
        <v>0</v>
      </c>
    </row>
    <row r="4030" spans="1:8" x14ac:dyDescent="0.15">
      <c r="A4030">
        <v>4029</v>
      </c>
      <c r="B4030" t="s">
        <v>339</v>
      </c>
      <c r="C4030" t="s">
        <v>353</v>
      </c>
      <c r="D4030" t="s">
        <v>7528</v>
      </c>
      <c r="E4030" t="s">
        <v>7529</v>
      </c>
      <c r="F4030" s="46">
        <v>46097.325915416674</v>
      </c>
      <c r="G4030" s="46">
        <v>46097.325915416674</v>
      </c>
      <c r="H4030">
        <v>0</v>
      </c>
    </row>
    <row r="4031" spans="1:8" x14ac:dyDescent="0.15">
      <c r="A4031">
        <v>4030</v>
      </c>
      <c r="B4031" t="s">
        <v>339</v>
      </c>
      <c r="C4031" t="s">
        <v>353</v>
      </c>
      <c r="D4031" t="s">
        <v>7530</v>
      </c>
      <c r="E4031" t="s">
        <v>7529</v>
      </c>
      <c r="F4031" s="46">
        <v>46097.325915416674</v>
      </c>
      <c r="G4031" s="46">
        <v>46097.325915416674</v>
      </c>
      <c r="H4031">
        <v>0</v>
      </c>
    </row>
    <row r="4032" spans="1:8" x14ac:dyDescent="0.15">
      <c r="A4032">
        <v>4031</v>
      </c>
      <c r="B4032" t="s">
        <v>339</v>
      </c>
      <c r="C4032" t="s">
        <v>353</v>
      </c>
      <c r="D4032" t="s">
        <v>7531</v>
      </c>
      <c r="E4032" t="s">
        <v>7532</v>
      </c>
      <c r="F4032" s="46">
        <v>46097.325915416674</v>
      </c>
      <c r="G4032" s="46">
        <v>46097.325915416674</v>
      </c>
      <c r="H4032">
        <v>0</v>
      </c>
    </row>
    <row r="4033" spans="1:8" x14ac:dyDescent="0.15">
      <c r="A4033">
        <v>4032</v>
      </c>
      <c r="B4033" t="s">
        <v>339</v>
      </c>
      <c r="C4033" t="s">
        <v>353</v>
      </c>
      <c r="D4033" t="s">
        <v>7533</v>
      </c>
      <c r="E4033" t="s">
        <v>7532</v>
      </c>
      <c r="F4033" s="46">
        <v>46097.325915416674</v>
      </c>
      <c r="G4033" s="46">
        <v>46097.325915416674</v>
      </c>
      <c r="H4033">
        <v>0</v>
      </c>
    </row>
    <row r="4034" spans="1:8" x14ac:dyDescent="0.15">
      <c r="A4034">
        <v>4033</v>
      </c>
      <c r="B4034" t="s">
        <v>339</v>
      </c>
      <c r="C4034" t="s">
        <v>353</v>
      </c>
      <c r="D4034" t="s">
        <v>7534</v>
      </c>
      <c r="E4034" t="s">
        <v>7532</v>
      </c>
      <c r="F4034" s="46">
        <v>46097.325915416674</v>
      </c>
      <c r="G4034" s="46">
        <v>46097.325915416674</v>
      </c>
      <c r="H4034">
        <v>0</v>
      </c>
    </row>
    <row r="4035" spans="1:8" x14ac:dyDescent="0.15">
      <c r="A4035">
        <v>4034</v>
      </c>
      <c r="B4035" t="s">
        <v>339</v>
      </c>
      <c r="C4035" t="s">
        <v>353</v>
      </c>
      <c r="D4035" t="s">
        <v>7535</v>
      </c>
      <c r="E4035" t="s">
        <v>7536</v>
      </c>
      <c r="F4035" s="46">
        <v>46097.325915416674</v>
      </c>
      <c r="G4035" s="46">
        <v>46097.325915416674</v>
      </c>
      <c r="H4035">
        <v>0</v>
      </c>
    </row>
    <row r="4036" spans="1:8" x14ac:dyDescent="0.15">
      <c r="A4036">
        <v>4035</v>
      </c>
      <c r="B4036" t="s">
        <v>339</v>
      </c>
      <c r="C4036" t="s">
        <v>353</v>
      </c>
      <c r="D4036" t="s">
        <v>7537</v>
      </c>
      <c r="E4036" t="s">
        <v>7536</v>
      </c>
      <c r="F4036" s="46">
        <v>46097.325915416674</v>
      </c>
      <c r="G4036" s="46">
        <v>46097.325915601847</v>
      </c>
      <c r="H4036">
        <v>15</v>
      </c>
    </row>
    <row r="4037" spans="1:8" x14ac:dyDescent="0.15">
      <c r="A4037">
        <v>4036</v>
      </c>
      <c r="B4037" t="s">
        <v>339</v>
      </c>
      <c r="C4037" t="s">
        <v>353</v>
      </c>
      <c r="D4037" t="s">
        <v>7538</v>
      </c>
      <c r="E4037" t="s">
        <v>7536</v>
      </c>
      <c r="F4037" s="46">
        <v>46097.325915601847</v>
      </c>
      <c r="G4037" s="46">
        <v>46097.325915601847</v>
      </c>
      <c r="H4037">
        <v>0</v>
      </c>
    </row>
    <row r="4038" spans="1:8" x14ac:dyDescent="0.15">
      <c r="A4038">
        <v>4037</v>
      </c>
      <c r="B4038" t="s">
        <v>339</v>
      </c>
      <c r="C4038" t="s">
        <v>353</v>
      </c>
      <c r="D4038" t="s">
        <v>7539</v>
      </c>
      <c r="E4038" t="s">
        <v>7536</v>
      </c>
      <c r="F4038" s="46">
        <v>46097.325915601847</v>
      </c>
      <c r="G4038" s="46">
        <v>46097.325915601847</v>
      </c>
      <c r="H4038">
        <v>0</v>
      </c>
    </row>
    <row r="4039" spans="1:8" x14ac:dyDescent="0.15">
      <c r="A4039">
        <v>4038</v>
      </c>
      <c r="B4039" t="s">
        <v>339</v>
      </c>
      <c r="C4039" t="s">
        <v>353</v>
      </c>
      <c r="D4039" t="s">
        <v>7540</v>
      </c>
      <c r="E4039" t="s">
        <v>7536</v>
      </c>
      <c r="F4039" s="46">
        <v>46097.325915601847</v>
      </c>
      <c r="G4039" s="46">
        <v>46097.325915601847</v>
      </c>
      <c r="H4039">
        <v>0</v>
      </c>
    </row>
    <row r="4040" spans="1:8" x14ac:dyDescent="0.15">
      <c r="A4040">
        <v>4039</v>
      </c>
      <c r="B4040" t="s">
        <v>339</v>
      </c>
      <c r="C4040" t="s">
        <v>353</v>
      </c>
      <c r="D4040" t="s">
        <v>7541</v>
      </c>
      <c r="E4040" t="s">
        <v>7536</v>
      </c>
      <c r="F4040" s="46">
        <v>46097.325915601847</v>
      </c>
      <c r="G4040" s="46">
        <v>46097.325915601847</v>
      </c>
      <c r="H4040">
        <v>0</v>
      </c>
    </row>
    <row r="4041" spans="1:8" x14ac:dyDescent="0.15">
      <c r="A4041">
        <v>4040</v>
      </c>
      <c r="B4041" t="s">
        <v>339</v>
      </c>
      <c r="C4041" t="s">
        <v>353</v>
      </c>
      <c r="D4041" t="s">
        <v>7542</v>
      </c>
      <c r="E4041" t="s">
        <v>7536</v>
      </c>
      <c r="F4041" s="46">
        <v>46097.325915601847</v>
      </c>
      <c r="G4041" s="46">
        <v>46097.325915601847</v>
      </c>
      <c r="H4041">
        <v>0</v>
      </c>
    </row>
    <row r="4042" spans="1:8" x14ac:dyDescent="0.15">
      <c r="A4042">
        <v>4041</v>
      </c>
      <c r="B4042" t="s">
        <v>339</v>
      </c>
      <c r="C4042" t="s">
        <v>353</v>
      </c>
      <c r="D4042" t="s">
        <v>7543</v>
      </c>
      <c r="E4042" t="s">
        <v>7536</v>
      </c>
      <c r="F4042" s="46">
        <v>46097.325915601847</v>
      </c>
      <c r="G4042" s="46">
        <v>46097.325915601847</v>
      </c>
      <c r="H4042">
        <v>0</v>
      </c>
    </row>
    <row r="4043" spans="1:8" x14ac:dyDescent="0.15">
      <c r="A4043">
        <v>4042</v>
      </c>
      <c r="B4043" t="s">
        <v>339</v>
      </c>
      <c r="C4043" t="s">
        <v>353</v>
      </c>
      <c r="D4043" t="s">
        <v>7544</v>
      </c>
      <c r="E4043" t="s">
        <v>7536</v>
      </c>
      <c r="F4043" s="46">
        <v>46097.325915601847</v>
      </c>
      <c r="G4043" s="46">
        <v>46097.325915601847</v>
      </c>
      <c r="H4043">
        <v>0</v>
      </c>
    </row>
    <row r="4044" spans="1:8" x14ac:dyDescent="0.15">
      <c r="A4044">
        <v>4043</v>
      </c>
      <c r="B4044" t="s">
        <v>339</v>
      </c>
      <c r="C4044" t="s">
        <v>353</v>
      </c>
      <c r="D4044" t="s">
        <v>7545</v>
      </c>
      <c r="E4044" t="s">
        <v>7536</v>
      </c>
      <c r="F4044" s="46">
        <v>46097.325915601847</v>
      </c>
      <c r="G4044" s="46">
        <v>46097.325915601847</v>
      </c>
      <c r="H4044">
        <v>0</v>
      </c>
    </row>
    <row r="4045" spans="1:8" x14ac:dyDescent="0.15">
      <c r="A4045">
        <v>4044</v>
      </c>
      <c r="B4045" t="s">
        <v>339</v>
      </c>
      <c r="C4045" t="s">
        <v>353</v>
      </c>
      <c r="D4045" t="s">
        <v>7546</v>
      </c>
      <c r="E4045" t="s">
        <v>7536</v>
      </c>
      <c r="F4045" s="46">
        <v>46097.325915601847</v>
      </c>
      <c r="G4045" s="46">
        <v>46097.325915601847</v>
      </c>
      <c r="H4045">
        <v>0</v>
      </c>
    </row>
    <row r="4046" spans="1:8" x14ac:dyDescent="0.15">
      <c r="A4046">
        <v>4045</v>
      </c>
      <c r="B4046" t="s">
        <v>339</v>
      </c>
      <c r="C4046" t="s">
        <v>353</v>
      </c>
      <c r="D4046" t="s">
        <v>7547</v>
      </c>
      <c r="E4046" t="s">
        <v>7536</v>
      </c>
      <c r="F4046" s="46">
        <v>46097.325915601847</v>
      </c>
      <c r="G4046" s="46">
        <v>46097.325915787027</v>
      </c>
      <c r="H4046">
        <v>16</v>
      </c>
    </row>
    <row r="4047" spans="1:8" x14ac:dyDescent="0.15">
      <c r="A4047">
        <v>4046</v>
      </c>
      <c r="B4047" t="s">
        <v>339</v>
      </c>
      <c r="C4047" t="s">
        <v>353</v>
      </c>
      <c r="D4047" t="s">
        <v>7548</v>
      </c>
      <c r="E4047" t="s">
        <v>7536</v>
      </c>
      <c r="F4047" s="46">
        <v>46097.325915787027</v>
      </c>
      <c r="G4047" s="46">
        <v>46097.325915787027</v>
      </c>
      <c r="H4047">
        <v>0</v>
      </c>
    </row>
    <row r="4048" spans="1:8" x14ac:dyDescent="0.15">
      <c r="A4048">
        <v>4047</v>
      </c>
      <c r="B4048" t="s">
        <v>339</v>
      </c>
      <c r="C4048" t="s">
        <v>353</v>
      </c>
      <c r="D4048" t="s">
        <v>7549</v>
      </c>
      <c r="E4048" t="s">
        <v>7536</v>
      </c>
      <c r="F4048" s="46">
        <v>46097.325915787027</v>
      </c>
      <c r="G4048" s="46">
        <v>46097.325915787027</v>
      </c>
      <c r="H4048">
        <v>0</v>
      </c>
    </row>
    <row r="4049" spans="1:8" x14ac:dyDescent="0.15">
      <c r="A4049">
        <v>4048</v>
      </c>
      <c r="B4049" t="s">
        <v>339</v>
      </c>
      <c r="C4049" t="s">
        <v>353</v>
      </c>
      <c r="D4049" t="s">
        <v>7550</v>
      </c>
      <c r="E4049" t="s">
        <v>7536</v>
      </c>
      <c r="F4049" s="46">
        <v>46097.325915787027</v>
      </c>
      <c r="G4049" s="46">
        <v>46097.325915787027</v>
      </c>
      <c r="H4049">
        <v>0</v>
      </c>
    </row>
    <row r="4050" spans="1:8" x14ac:dyDescent="0.15">
      <c r="A4050">
        <v>4049</v>
      </c>
      <c r="B4050" t="s">
        <v>339</v>
      </c>
      <c r="C4050" t="s">
        <v>353</v>
      </c>
      <c r="D4050" t="s">
        <v>7551</v>
      </c>
      <c r="E4050" t="s">
        <v>7536</v>
      </c>
      <c r="F4050" s="46">
        <v>46097.325915787027</v>
      </c>
      <c r="G4050" s="46">
        <v>46097.325915787027</v>
      </c>
      <c r="H4050">
        <v>0</v>
      </c>
    </row>
    <row r="4051" spans="1:8" x14ac:dyDescent="0.15">
      <c r="A4051">
        <v>4050</v>
      </c>
      <c r="B4051" t="s">
        <v>339</v>
      </c>
      <c r="C4051" t="s">
        <v>353</v>
      </c>
      <c r="D4051" t="s">
        <v>7552</v>
      </c>
      <c r="E4051" t="s">
        <v>7536</v>
      </c>
      <c r="F4051" s="46">
        <v>46097.325915787027</v>
      </c>
      <c r="G4051" s="46">
        <v>46097.325915787027</v>
      </c>
      <c r="H4051">
        <v>0</v>
      </c>
    </row>
    <row r="4052" spans="1:8" x14ac:dyDescent="0.15">
      <c r="A4052">
        <v>4051</v>
      </c>
      <c r="B4052" t="s">
        <v>339</v>
      </c>
      <c r="C4052" t="s">
        <v>353</v>
      </c>
      <c r="D4052" t="s">
        <v>7553</v>
      </c>
      <c r="E4052" t="s">
        <v>7536</v>
      </c>
      <c r="F4052" s="46">
        <v>46097.325915787027</v>
      </c>
      <c r="G4052" s="46">
        <v>46097.325915787027</v>
      </c>
      <c r="H4052">
        <v>0</v>
      </c>
    </row>
    <row r="4053" spans="1:8" x14ac:dyDescent="0.15">
      <c r="A4053">
        <v>4052</v>
      </c>
      <c r="B4053" t="s">
        <v>339</v>
      </c>
      <c r="C4053" t="s">
        <v>353</v>
      </c>
      <c r="D4053" t="s">
        <v>7554</v>
      </c>
      <c r="E4053" t="s">
        <v>7536</v>
      </c>
      <c r="F4053" s="46">
        <v>46097.325915787027</v>
      </c>
      <c r="G4053" s="46">
        <v>46097.325915787027</v>
      </c>
      <c r="H4053">
        <v>0</v>
      </c>
    </row>
    <row r="4054" spans="1:8" x14ac:dyDescent="0.15">
      <c r="A4054">
        <v>4053</v>
      </c>
      <c r="B4054" t="s">
        <v>339</v>
      </c>
      <c r="C4054" t="s">
        <v>353</v>
      </c>
      <c r="D4054" t="s">
        <v>7555</v>
      </c>
      <c r="E4054" t="s">
        <v>7536</v>
      </c>
      <c r="F4054" s="46">
        <v>46097.325915787027</v>
      </c>
      <c r="G4054" s="46">
        <v>46097.325915787027</v>
      </c>
      <c r="H4054">
        <v>0</v>
      </c>
    </row>
    <row r="4055" spans="1:8" x14ac:dyDescent="0.15">
      <c r="A4055">
        <v>4054</v>
      </c>
      <c r="B4055" t="s">
        <v>339</v>
      </c>
      <c r="C4055" t="s">
        <v>353</v>
      </c>
      <c r="D4055" t="s">
        <v>7556</v>
      </c>
      <c r="E4055" t="s">
        <v>7536</v>
      </c>
      <c r="F4055" s="46">
        <v>46097.325915787027</v>
      </c>
      <c r="G4055" s="46">
        <v>46097.325915787027</v>
      </c>
      <c r="H4055">
        <v>0</v>
      </c>
    </row>
    <row r="4056" spans="1:8" x14ac:dyDescent="0.15">
      <c r="A4056">
        <v>4055</v>
      </c>
      <c r="B4056" t="s">
        <v>339</v>
      </c>
      <c r="C4056" t="s">
        <v>353</v>
      </c>
      <c r="D4056" t="s">
        <v>7557</v>
      </c>
      <c r="E4056" t="s">
        <v>7536</v>
      </c>
      <c r="F4056" s="46">
        <v>46097.325915787027</v>
      </c>
      <c r="G4056" s="46">
        <v>46097.325915787027</v>
      </c>
      <c r="H4056">
        <v>0</v>
      </c>
    </row>
    <row r="4057" spans="1:8" x14ac:dyDescent="0.15">
      <c r="A4057">
        <v>4056</v>
      </c>
      <c r="B4057" t="s">
        <v>339</v>
      </c>
      <c r="C4057" t="s">
        <v>353</v>
      </c>
      <c r="D4057" t="s">
        <v>7558</v>
      </c>
      <c r="E4057" t="s">
        <v>7536</v>
      </c>
      <c r="F4057" s="46">
        <v>46097.325915787027</v>
      </c>
      <c r="G4057" s="46">
        <v>46097.325915960653</v>
      </c>
      <c r="H4057">
        <v>16</v>
      </c>
    </row>
    <row r="4058" spans="1:8" x14ac:dyDescent="0.15">
      <c r="A4058">
        <v>4057</v>
      </c>
      <c r="B4058" t="s">
        <v>339</v>
      </c>
      <c r="C4058" t="s">
        <v>353</v>
      </c>
      <c r="D4058" t="s">
        <v>7559</v>
      </c>
      <c r="E4058" t="s">
        <v>7536</v>
      </c>
      <c r="F4058" s="46">
        <v>46097.325915960653</v>
      </c>
      <c r="G4058" s="46">
        <v>46097.325915960653</v>
      </c>
      <c r="H4058">
        <v>0</v>
      </c>
    </row>
    <row r="4059" spans="1:8" x14ac:dyDescent="0.15">
      <c r="A4059">
        <v>4058</v>
      </c>
      <c r="B4059" t="s">
        <v>339</v>
      </c>
      <c r="C4059" t="s">
        <v>353</v>
      </c>
      <c r="D4059" t="s">
        <v>7560</v>
      </c>
      <c r="E4059" t="s">
        <v>7536</v>
      </c>
      <c r="F4059" s="46">
        <v>46097.325915960653</v>
      </c>
      <c r="G4059" s="46">
        <v>46097.325915960653</v>
      </c>
      <c r="H4059">
        <v>0</v>
      </c>
    </row>
    <row r="4060" spans="1:8" x14ac:dyDescent="0.15">
      <c r="A4060">
        <v>4059</v>
      </c>
      <c r="B4060" t="s">
        <v>339</v>
      </c>
      <c r="C4060" t="s">
        <v>353</v>
      </c>
      <c r="D4060" t="s">
        <v>7561</v>
      </c>
      <c r="E4060" t="s">
        <v>7536</v>
      </c>
      <c r="F4060" s="46">
        <v>46097.325915960653</v>
      </c>
      <c r="G4060" s="46">
        <v>46097.325915960653</v>
      </c>
      <c r="H4060">
        <v>0</v>
      </c>
    </row>
    <row r="4061" spans="1:8" x14ac:dyDescent="0.15">
      <c r="A4061">
        <v>4060</v>
      </c>
      <c r="B4061" t="s">
        <v>339</v>
      </c>
      <c r="C4061" t="s">
        <v>353</v>
      </c>
      <c r="D4061" t="s">
        <v>7562</v>
      </c>
      <c r="E4061" t="s">
        <v>7536</v>
      </c>
      <c r="F4061" s="46">
        <v>46097.325915960653</v>
      </c>
      <c r="G4061" s="46">
        <v>46097.325915960653</v>
      </c>
      <c r="H4061">
        <v>0</v>
      </c>
    </row>
    <row r="4062" spans="1:8" x14ac:dyDescent="0.15">
      <c r="A4062">
        <v>4061</v>
      </c>
      <c r="B4062" t="s">
        <v>339</v>
      </c>
      <c r="C4062" t="s">
        <v>353</v>
      </c>
      <c r="D4062" t="s">
        <v>7563</v>
      </c>
      <c r="E4062" t="s">
        <v>7536</v>
      </c>
      <c r="F4062" s="46">
        <v>46097.325915960653</v>
      </c>
      <c r="G4062" s="46">
        <v>46097.325915960653</v>
      </c>
      <c r="H4062">
        <v>0</v>
      </c>
    </row>
    <row r="4063" spans="1:8" x14ac:dyDescent="0.15">
      <c r="A4063">
        <v>4062</v>
      </c>
      <c r="B4063" t="s">
        <v>339</v>
      </c>
      <c r="C4063" t="s">
        <v>353</v>
      </c>
      <c r="D4063" t="s">
        <v>7564</v>
      </c>
      <c r="E4063" t="s">
        <v>7536</v>
      </c>
      <c r="F4063" s="46">
        <v>46097.325915960653</v>
      </c>
      <c r="G4063" s="46">
        <v>46097.325915960653</v>
      </c>
      <c r="H4063">
        <v>0</v>
      </c>
    </row>
    <row r="4064" spans="1:8" x14ac:dyDescent="0.15">
      <c r="A4064">
        <v>4063</v>
      </c>
      <c r="B4064" t="s">
        <v>339</v>
      </c>
      <c r="C4064" t="s">
        <v>353</v>
      </c>
      <c r="D4064" t="s">
        <v>7565</v>
      </c>
      <c r="E4064" t="s">
        <v>7566</v>
      </c>
      <c r="F4064" s="46">
        <v>46097.325915960653</v>
      </c>
      <c r="G4064" s="46">
        <v>46097.325915960653</v>
      </c>
      <c r="H4064">
        <v>0</v>
      </c>
    </row>
    <row r="4065" spans="1:8" x14ac:dyDescent="0.15">
      <c r="A4065">
        <v>4064</v>
      </c>
      <c r="B4065" t="s">
        <v>339</v>
      </c>
      <c r="C4065" t="s">
        <v>353</v>
      </c>
      <c r="D4065" t="s">
        <v>7567</v>
      </c>
      <c r="E4065" t="s">
        <v>7568</v>
      </c>
      <c r="F4065" s="46">
        <v>46097.325915960653</v>
      </c>
      <c r="G4065" s="46">
        <v>46097.325915960653</v>
      </c>
      <c r="H4065">
        <v>0</v>
      </c>
    </row>
    <row r="4066" spans="1:8" x14ac:dyDescent="0.15">
      <c r="A4066">
        <v>4065</v>
      </c>
      <c r="B4066" t="s">
        <v>339</v>
      </c>
      <c r="C4066" t="s">
        <v>353</v>
      </c>
      <c r="D4066" t="s">
        <v>7569</v>
      </c>
      <c r="E4066" t="s">
        <v>7568</v>
      </c>
      <c r="F4066" s="46">
        <v>46097.325915960653</v>
      </c>
      <c r="G4066" s="46">
        <v>46097.325915960653</v>
      </c>
      <c r="H4066">
        <v>0</v>
      </c>
    </row>
    <row r="4067" spans="1:8" x14ac:dyDescent="0.15">
      <c r="A4067">
        <v>4066</v>
      </c>
      <c r="B4067" t="s">
        <v>339</v>
      </c>
      <c r="C4067" t="s">
        <v>353</v>
      </c>
      <c r="D4067" t="s">
        <v>7570</v>
      </c>
      <c r="E4067" t="s">
        <v>7568</v>
      </c>
      <c r="F4067" s="46">
        <v>46097.325915960653</v>
      </c>
      <c r="G4067" s="46">
        <v>46097.325916145834</v>
      </c>
      <c r="H4067">
        <v>15</v>
      </c>
    </row>
    <row r="4068" spans="1:8" x14ac:dyDescent="0.15">
      <c r="A4068">
        <v>4067</v>
      </c>
      <c r="B4068" t="s">
        <v>339</v>
      </c>
      <c r="C4068" t="s">
        <v>353</v>
      </c>
      <c r="D4068" t="s">
        <v>7571</v>
      </c>
      <c r="E4068" t="s">
        <v>7568</v>
      </c>
      <c r="F4068" s="46">
        <v>46097.325916145834</v>
      </c>
      <c r="G4068" s="46">
        <v>46097.325916145834</v>
      </c>
      <c r="H4068">
        <v>0</v>
      </c>
    </row>
    <row r="4069" spans="1:8" x14ac:dyDescent="0.15">
      <c r="A4069">
        <v>4068</v>
      </c>
      <c r="B4069" t="s">
        <v>339</v>
      </c>
      <c r="C4069" t="s">
        <v>353</v>
      </c>
      <c r="D4069" t="s">
        <v>7572</v>
      </c>
      <c r="E4069" t="s">
        <v>7568</v>
      </c>
      <c r="F4069" s="46">
        <v>46097.325916145834</v>
      </c>
      <c r="G4069" s="46">
        <v>46097.325916145834</v>
      </c>
      <c r="H4069">
        <v>0</v>
      </c>
    </row>
    <row r="4070" spans="1:8" x14ac:dyDescent="0.15">
      <c r="A4070">
        <v>4069</v>
      </c>
      <c r="B4070" t="s">
        <v>339</v>
      </c>
      <c r="C4070" t="s">
        <v>353</v>
      </c>
      <c r="D4070" t="s">
        <v>7573</v>
      </c>
      <c r="E4070" t="s">
        <v>7574</v>
      </c>
      <c r="F4070" s="46">
        <v>46097.325916145834</v>
      </c>
      <c r="G4070" s="46">
        <v>46097.325916145834</v>
      </c>
      <c r="H4070">
        <v>0</v>
      </c>
    </row>
    <row r="4071" spans="1:8" x14ac:dyDescent="0.15">
      <c r="A4071">
        <v>4070</v>
      </c>
      <c r="B4071" t="s">
        <v>339</v>
      </c>
      <c r="C4071" t="s">
        <v>353</v>
      </c>
      <c r="D4071" t="s">
        <v>7575</v>
      </c>
      <c r="E4071" t="s">
        <v>7576</v>
      </c>
      <c r="F4071" s="46">
        <v>46097.325916145834</v>
      </c>
      <c r="G4071" s="46">
        <v>46097.325916145834</v>
      </c>
      <c r="H4071">
        <v>0</v>
      </c>
    </row>
    <row r="4072" spans="1:8" x14ac:dyDescent="0.15">
      <c r="A4072">
        <v>4071</v>
      </c>
      <c r="B4072" t="s">
        <v>339</v>
      </c>
      <c r="C4072" t="s">
        <v>353</v>
      </c>
      <c r="D4072" t="s">
        <v>7577</v>
      </c>
      <c r="E4072" t="s">
        <v>7578</v>
      </c>
      <c r="F4072" s="46">
        <v>46097.325916145834</v>
      </c>
      <c r="G4072" s="46">
        <v>46097.325916145834</v>
      </c>
      <c r="H4072">
        <v>0</v>
      </c>
    </row>
    <row r="4073" spans="1:8" x14ac:dyDescent="0.15">
      <c r="A4073">
        <v>4072</v>
      </c>
      <c r="B4073" t="s">
        <v>339</v>
      </c>
      <c r="C4073" t="s">
        <v>353</v>
      </c>
      <c r="D4073" t="s">
        <v>7579</v>
      </c>
      <c r="E4073" t="s">
        <v>7578</v>
      </c>
      <c r="F4073" s="46">
        <v>46097.325916145834</v>
      </c>
      <c r="G4073" s="46">
        <v>46097.325916145834</v>
      </c>
      <c r="H4073">
        <v>0</v>
      </c>
    </row>
    <row r="4074" spans="1:8" x14ac:dyDescent="0.15">
      <c r="A4074">
        <v>4073</v>
      </c>
      <c r="B4074" t="s">
        <v>339</v>
      </c>
      <c r="C4074" t="s">
        <v>353</v>
      </c>
      <c r="D4074" t="s">
        <v>7580</v>
      </c>
      <c r="E4074" t="s">
        <v>7581</v>
      </c>
      <c r="F4074" s="46">
        <v>46097.325916145834</v>
      </c>
      <c r="G4074" s="46">
        <v>46097.325916145834</v>
      </c>
      <c r="H4074">
        <v>0</v>
      </c>
    </row>
    <row r="4075" spans="1:8" x14ac:dyDescent="0.15">
      <c r="A4075">
        <v>4074</v>
      </c>
      <c r="B4075" t="s">
        <v>339</v>
      </c>
      <c r="C4075" t="s">
        <v>353</v>
      </c>
      <c r="D4075" t="s">
        <v>7582</v>
      </c>
      <c r="E4075" t="s">
        <v>7581</v>
      </c>
      <c r="F4075" s="46">
        <v>46097.325916145834</v>
      </c>
      <c r="G4075" s="46">
        <v>46097.325916145834</v>
      </c>
      <c r="H4075">
        <v>0</v>
      </c>
    </row>
    <row r="4076" spans="1:8" x14ac:dyDescent="0.15">
      <c r="A4076">
        <v>4075</v>
      </c>
      <c r="B4076" t="s">
        <v>339</v>
      </c>
      <c r="C4076" t="s">
        <v>353</v>
      </c>
      <c r="D4076" t="s">
        <v>7583</v>
      </c>
      <c r="E4076" t="s">
        <v>7584</v>
      </c>
      <c r="F4076" s="46">
        <v>46097.325916145834</v>
      </c>
      <c r="G4076" s="46">
        <v>46097.325916145834</v>
      </c>
      <c r="H4076">
        <v>0</v>
      </c>
    </row>
    <row r="4077" spans="1:8" x14ac:dyDescent="0.15">
      <c r="A4077">
        <v>4076</v>
      </c>
      <c r="B4077" t="s">
        <v>339</v>
      </c>
      <c r="C4077" t="s">
        <v>353</v>
      </c>
      <c r="D4077" t="s">
        <v>7585</v>
      </c>
      <c r="E4077" t="s">
        <v>7584</v>
      </c>
      <c r="F4077" s="46">
        <v>46097.325916145834</v>
      </c>
      <c r="G4077" s="46">
        <v>46097.325916145834</v>
      </c>
      <c r="H4077">
        <v>0</v>
      </c>
    </row>
    <row r="4078" spans="1:8" x14ac:dyDescent="0.15">
      <c r="A4078">
        <v>4077</v>
      </c>
      <c r="B4078" t="s">
        <v>339</v>
      </c>
      <c r="C4078" t="s">
        <v>353</v>
      </c>
      <c r="D4078" t="s">
        <v>7586</v>
      </c>
      <c r="E4078" t="s">
        <v>7587</v>
      </c>
      <c r="F4078" s="46">
        <v>46097.325916145834</v>
      </c>
      <c r="G4078" s="46">
        <v>46097.325916319453</v>
      </c>
      <c r="H4078">
        <v>16</v>
      </c>
    </row>
    <row r="4079" spans="1:8" x14ac:dyDescent="0.15">
      <c r="A4079">
        <v>4078</v>
      </c>
      <c r="B4079" t="s">
        <v>339</v>
      </c>
      <c r="C4079" t="s">
        <v>353</v>
      </c>
      <c r="D4079" t="s">
        <v>7588</v>
      </c>
      <c r="E4079" t="s">
        <v>7587</v>
      </c>
      <c r="F4079" s="46">
        <v>46097.325916319453</v>
      </c>
      <c r="G4079" s="46">
        <v>46097.325916319453</v>
      </c>
      <c r="H4079">
        <v>0</v>
      </c>
    </row>
    <row r="4080" spans="1:8" x14ac:dyDescent="0.15">
      <c r="A4080">
        <v>4079</v>
      </c>
      <c r="B4080" t="s">
        <v>339</v>
      </c>
      <c r="C4080" t="s">
        <v>353</v>
      </c>
      <c r="D4080" t="s">
        <v>7589</v>
      </c>
      <c r="E4080" t="s">
        <v>7587</v>
      </c>
      <c r="F4080" s="46">
        <v>46097.325916319453</v>
      </c>
      <c r="G4080" s="46">
        <v>46097.325916319453</v>
      </c>
      <c r="H4080">
        <v>0</v>
      </c>
    </row>
    <row r="4081" spans="1:8" x14ac:dyDescent="0.15">
      <c r="A4081">
        <v>4080</v>
      </c>
      <c r="B4081" t="s">
        <v>339</v>
      </c>
      <c r="C4081" t="s">
        <v>353</v>
      </c>
      <c r="D4081" t="s">
        <v>7590</v>
      </c>
      <c r="E4081" t="s">
        <v>7587</v>
      </c>
      <c r="F4081" s="46">
        <v>46097.325916319453</v>
      </c>
      <c r="G4081" s="46">
        <v>46097.325916319453</v>
      </c>
      <c r="H4081">
        <v>0</v>
      </c>
    </row>
    <row r="4082" spans="1:8" x14ac:dyDescent="0.15">
      <c r="A4082">
        <v>4081</v>
      </c>
      <c r="B4082" t="s">
        <v>339</v>
      </c>
      <c r="C4082" t="s">
        <v>353</v>
      </c>
      <c r="D4082" t="s">
        <v>7591</v>
      </c>
      <c r="E4082" t="s">
        <v>7587</v>
      </c>
      <c r="F4082" s="46">
        <v>46097.325916319453</v>
      </c>
      <c r="G4082" s="46">
        <v>46097.325916319453</v>
      </c>
      <c r="H4082">
        <v>0</v>
      </c>
    </row>
    <row r="4083" spans="1:8" x14ac:dyDescent="0.15">
      <c r="A4083">
        <v>4082</v>
      </c>
      <c r="B4083" t="s">
        <v>339</v>
      </c>
      <c r="C4083" t="s">
        <v>353</v>
      </c>
      <c r="D4083" t="s">
        <v>7592</v>
      </c>
      <c r="E4083" t="s">
        <v>7587</v>
      </c>
      <c r="F4083" s="46">
        <v>46097.325916319453</v>
      </c>
      <c r="G4083" s="46">
        <v>46097.325916319453</v>
      </c>
      <c r="H4083">
        <v>0</v>
      </c>
    </row>
    <row r="4084" spans="1:8" x14ac:dyDescent="0.15">
      <c r="A4084">
        <v>4083</v>
      </c>
      <c r="B4084" t="s">
        <v>339</v>
      </c>
      <c r="C4084" t="s">
        <v>353</v>
      </c>
      <c r="D4084" t="s">
        <v>7593</v>
      </c>
      <c r="E4084" t="s">
        <v>7587</v>
      </c>
      <c r="F4084" s="46">
        <v>46097.325916319453</v>
      </c>
      <c r="G4084" s="46">
        <v>46097.325916319453</v>
      </c>
      <c r="H4084">
        <v>0</v>
      </c>
    </row>
    <row r="4085" spans="1:8" x14ac:dyDescent="0.15">
      <c r="A4085">
        <v>4084</v>
      </c>
      <c r="B4085" t="s">
        <v>339</v>
      </c>
      <c r="C4085" t="s">
        <v>353</v>
      </c>
      <c r="D4085" t="s">
        <v>7594</v>
      </c>
      <c r="E4085" t="s">
        <v>7587</v>
      </c>
      <c r="F4085" s="46">
        <v>46097.325916319453</v>
      </c>
      <c r="G4085" s="46">
        <v>46097.325916319453</v>
      </c>
      <c r="H4085">
        <v>0</v>
      </c>
    </row>
    <row r="4086" spans="1:8" x14ac:dyDescent="0.15">
      <c r="A4086">
        <v>4085</v>
      </c>
      <c r="B4086" t="s">
        <v>339</v>
      </c>
      <c r="C4086" t="s">
        <v>353</v>
      </c>
      <c r="D4086" t="s">
        <v>7595</v>
      </c>
      <c r="E4086" t="s">
        <v>7596</v>
      </c>
      <c r="F4086" s="46">
        <v>46097.325916319453</v>
      </c>
      <c r="G4086" s="46">
        <v>46097.325916319453</v>
      </c>
      <c r="H4086">
        <v>0</v>
      </c>
    </row>
    <row r="4087" spans="1:8" x14ac:dyDescent="0.15">
      <c r="A4087">
        <v>4086</v>
      </c>
      <c r="B4087" t="s">
        <v>339</v>
      </c>
      <c r="C4087" t="s">
        <v>353</v>
      </c>
      <c r="D4087" t="s">
        <v>7597</v>
      </c>
      <c r="E4087" t="s">
        <v>7596</v>
      </c>
      <c r="F4087" s="46">
        <v>46097.325916319453</v>
      </c>
      <c r="G4087" s="46">
        <v>46097.325916319453</v>
      </c>
      <c r="H4087">
        <v>0</v>
      </c>
    </row>
    <row r="4088" spans="1:8" x14ac:dyDescent="0.15">
      <c r="A4088">
        <v>4087</v>
      </c>
      <c r="B4088" t="s">
        <v>339</v>
      </c>
      <c r="C4088" t="s">
        <v>353</v>
      </c>
      <c r="D4088" t="s">
        <v>7598</v>
      </c>
      <c r="E4088" t="s">
        <v>7596</v>
      </c>
      <c r="F4088" s="46">
        <v>46097.325916319453</v>
      </c>
      <c r="G4088" s="46">
        <v>46097.325916504633</v>
      </c>
      <c r="H4088">
        <v>16</v>
      </c>
    </row>
    <row r="4089" spans="1:8" x14ac:dyDescent="0.15">
      <c r="A4089">
        <v>4088</v>
      </c>
      <c r="B4089" t="s">
        <v>339</v>
      </c>
      <c r="C4089" t="s">
        <v>353</v>
      </c>
      <c r="D4089" t="s">
        <v>7599</v>
      </c>
      <c r="E4089" t="s">
        <v>7596</v>
      </c>
      <c r="F4089" s="46">
        <v>46097.325916504633</v>
      </c>
      <c r="G4089" s="46">
        <v>46097.325916504633</v>
      </c>
      <c r="H4089">
        <v>0</v>
      </c>
    </row>
    <row r="4090" spans="1:8" x14ac:dyDescent="0.15">
      <c r="A4090">
        <v>4089</v>
      </c>
      <c r="B4090" t="s">
        <v>339</v>
      </c>
      <c r="C4090" t="s">
        <v>353</v>
      </c>
      <c r="D4090" t="s">
        <v>7600</v>
      </c>
      <c r="E4090" t="s">
        <v>7596</v>
      </c>
      <c r="F4090" s="46">
        <v>46097.325916504633</v>
      </c>
      <c r="G4090" s="46">
        <v>46097.325916504633</v>
      </c>
      <c r="H4090">
        <v>0</v>
      </c>
    </row>
    <row r="4091" spans="1:8" x14ac:dyDescent="0.15">
      <c r="A4091">
        <v>4090</v>
      </c>
      <c r="B4091" t="s">
        <v>339</v>
      </c>
      <c r="C4091" t="s">
        <v>353</v>
      </c>
      <c r="D4091" t="s">
        <v>7601</v>
      </c>
      <c r="E4091" t="s">
        <v>7596</v>
      </c>
      <c r="F4091" s="46">
        <v>46097.325916504633</v>
      </c>
      <c r="G4091" s="46">
        <v>46097.325916504633</v>
      </c>
      <c r="H4091">
        <v>0</v>
      </c>
    </row>
    <row r="4092" spans="1:8" x14ac:dyDescent="0.15">
      <c r="A4092">
        <v>4091</v>
      </c>
      <c r="B4092" t="s">
        <v>339</v>
      </c>
      <c r="C4092" t="s">
        <v>353</v>
      </c>
      <c r="D4092" t="s">
        <v>7602</v>
      </c>
      <c r="E4092" t="s">
        <v>7596</v>
      </c>
      <c r="F4092" s="46">
        <v>46097.325916504633</v>
      </c>
      <c r="G4092" s="46">
        <v>46097.325916504633</v>
      </c>
      <c r="H4092">
        <v>0</v>
      </c>
    </row>
    <row r="4093" spans="1:8" x14ac:dyDescent="0.15">
      <c r="A4093">
        <v>4092</v>
      </c>
      <c r="B4093" t="s">
        <v>339</v>
      </c>
      <c r="C4093" t="s">
        <v>353</v>
      </c>
      <c r="D4093" t="s">
        <v>7603</v>
      </c>
      <c r="E4093" t="s">
        <v>7596</v>
      </c>
      <c r="F4093" s="46">
        <v>46097.325916504633</v>
      </c>
      <c r="G4093" s="46">
        <v>46097.325916504633</v>
      </c>
      <c r="H4093">
        <v>0</v>
      </c>
    </row>
    <row r="4094" spans="1:8" x14ac:dyDescent="0.15">
      <c r="A4094">
        <v>4093</v>
      </c>
      <c r="B4094" t="s">
        <v>339</v>
      </c>
      <c r="C4094" t="s">
        <v>353</v>
      </c>
      <c r="D4094" t="s">
        <v>7604</v>
      </c>
      <c r="E4094" t="s">
        <v>7596</v>
      </c>
      <c r="F4094" s="46">
        <v>46097.325916504633</v>
      </c>
      <c r="G4094" s="46">
        <v>46097.325916504633</v>
      </c>
      <c r="H4094">
        <v>0</v>
      </c>
    </row>
    <row r="4095" spans="1:8" x14ac:dyDescent="0.15">
      <c r="A4095">
        <v>4094</v>
      </c>
      <c r="B4095" t="s">
        <v>339</v>
      </c>
      <c r="C4095" t="s">
        <v>353</v>
      </c>
      <c r="D4095" t="s">
        <v>7605</v>
      </c>
      <c r="E4095" t="s">
        <v>7596</v>
      </c>
      <c r="F4095" s="46">
        <v>46097.325916504633</v>
      </c>
      <c r="G4095" s="46">
        <v>46097.325916504633</v>
      </c>
      <c r="H4095">
        <v>0</v>
      </c>
    </row>
    <row r="4096" spans="1:8" x14ac:dyDescent="0.15">
      <c r="A4096">
        <v>4095</v>
      </c>
      <c r="B4096" t="s">
        <v>339</v>
      </c>
      <c r="C4096" t="s">
        <v>353</v>
      </c>
      <c r="D4096" t="s">
        <v>7606</v>
      </c>
      <c r="E4096" t="s">
        <v>7596</v>
      </c>
      <c r="F4096" s="46">
        <v>46097.325916504633</v>
      </c>
      <c r="G4096" s="46">
        <v>46097.325916504633</v>
      </c>
      <c r="H4096">
        <v>0</v>
      </c>
    </row>
    <row r="4097" spans="1:8" x14ac:dyDescent="0.15">
      <c r="A4097">
        <v>4096</v>
      </c>
      <c r="B4097" t="s">
        <v>339</v>
      </c>
      <c r="C4097" t="s">
        <v>353</v>
      </c>
      <c r="D4097" t="s">
        <v>7607</v>
      </c>
      <c r="E4097" t="s">
        <v>7596</v>
      </c>
      <c r="F4097" s="46">
        <v>46097.325916504633</v>
      </c>
      <c r="G4097" s="46">
        <v>46097.325916504633</v>
      </c>
      <c r="H4097">
        <v>0</v>
      </c>
    </row>
    <row r="4098" spans="1:8" x14ac:dyDescent="0.15">
      <c r="A4098">
        <v>4097</v>
      </c>
      <c r="B4098" t="s">
        <v>339</v>
      </c>
      <c r="C4098" t="s">
        <v>353</v>
      </c>
      <c r="D4098" t="s">
        <v>7608</v>
      </c>
      <c r="E4098" t="s">
        <v>7596</v>
      </c>
      <c r="F4098" s="46">
        <v>46097.325916504633</v>
      </c>
      <c r="G4098" s="46">
        <v>46097.325916504633</v>
      </c>
      <c r="H4098">
        <v>0</v>
      </c>
    </row>
    <row r="4099" spans="1:8" x14ac:dyDescent="0.15">
      <c r="A4099">
        <v>4098</v>
      </c>
      <c r="B4099" t="s">
        <v>339</v>
      </c>
      <c r="C4099" t="s">
        <v>353</v>
      </c>
      <c r="D4099" t="s">
        <v>7609</v>
      </c>
      <c r="E4099" t="s">
        <v>7596</v>
      </c>
      <c r="F4099" s="46">
        <v>46097.325916689813</v>
      </c>
      <c r="G4099" s="46">
        <v>46097.325916689813</v>
      </c>
      <c r="H4099">
        <v>0</v>
      </c>
    </row>
    <row r="4100" spans="1:8" x14ac:dyDescent="0.15">
      <c r="A4100">
        <v>4099</v>
      </c>
      <c r="B4100" t="s">
        <v>339</v>
      </c>
      <c r="C4100" t="s">
        <v>353</v>
      </c>
      <c r="D4100" t="s">
        <v>7610</v>
      </c>
      <c r="E4100" t="s">
        <v>7596</v>
      </c>
      <c r="F4100" s="46">
        <v>46097.325916689813</v>
      </c>
      <c r="G4100" s="46">
        <v>46097.325916689813</v>
      </c>
      <c r="H4100">
        <v>0</v>
      </c>
    </row>
    <row r="4101" spans="1:8" x14ac:dyDescent="0.15">
      <c r="A4101">
        <v>4100</v>
      </c>
      <c r="B4101" t="s">
        <v>339</v>
      </c>
      <c r="C4101" t="s">
        <v>353</v>
      </c>
      <c r="D4101" t="s">
        <v>7611</v>
      </c>
      <c r="E4101" t="s">
        <v>7596</v>
      </c>
      <c r="F4101" s="46">
        <v>46097.325916689813</v>
      </c>
      <c r="G4101" s="46">
        <v>46097.325916689813</v>
      </c>
      <c r="H4101">
        <v>0</v>
      </c>
    </row>
    <row r="4102" spans="1:8" x14ac:dyDescent="0.15">
      <c r="A4102">
        <v>4101</v>
      </c>
      <c r="B4102" t="s">
        <v>339</v>
      </c>
      <c r="C4102" t="s">
        <v>353</v>
      </c>
      <c r="D4102" t="s">
        <v>7612</v>
      </c>
      <c r="E4102" t="s">
        <v>7613</v>
      </c>
      <c r="F4102" s="46">
        <v>46097.325916689813</v>
      </c>
      <c r="G4102" s="46">
        <v>46097.325916689813</v>
      </c>
      <c r="H4102">
        <v>0</v>
      </c>
    </row>
    <row r="4103" spans="1:8" x14ac:dyDescent="0.15">
      <c r="A4103">
        <v>4102</v>
      </c>
      <c r="B4103" t="s">
        <v>339</v>
      </c>
      <c r="C4103" t="s">
        <v>353</v>
      </c>
      <c r="D4103" t="s">
        <v>7614</v>
      </c>
      <c r="E4103" t="s">
        <v>7613</v>
      </c>
      <c r="F4103" s="46">
        <v>46097.325916689813</v>
      </c>
      <c r="G4103" s="46">
        <v>46097.325916689813</v>
      </c>
      <c r="H4103">
        <v>0</v>
      </c>
    </row>
    <row r="4104" spans="1:8" x14ac:dyDescent="0.15">
      <c r="A4104">
        <v>4103</v>
      </c>
      <c r="B4104" t="s">
        <v>339</v>
      </c>
      <c r="C4104" t="s">
        <v>353</v>
      </c>
      <c r="D4104" t="s">
        <v>7615</v>
      </c>
      <c r="E4104" t="s">
        <v>7613</v>
      </c>
      <c r="F4104" s="46">
        <v>46097.325916689813</v>
      </c>
      <c r="G4104" s="46">
        <v>46097.325916689813</v>
      </c>
      <c r="H4104">
        <v>0</v>
      </c>
    </row>
    <row r="4105" spans="1:8" x14ac:dyDescent="0.15">
      <c r="A4105">
        <v>4104</v>
      </c>
      <c r="B4105" t="s">
        <v>339</v>
      </c>
      <c r="C4105" t="s">
        <v>353</v>
      </c>
      <c r="D4105" t="s">
        <v>7616</v>
      </c>
      <c r="E4105" t="s">
        <v>7617</v>
      </c>
      <c r="F4105" s="46">
        <v>46097.325916689813</v>
      </c>
      <c r="G4105" s="46">
        <v>46097.325916689813</v>
      </c>
      <c r="H4105">
        <v>0</v>
      </c>
    </row>
    <row r="4106" spans="1:8" x14ac:dyDescent="0.15">
      <c r="A4106">
        <v>4105</v>
      </c>
      <c r="B4106" t="s">
        <v>339</v>
      </c>
      <c r="C4106" t="s">
        <v>353</v>
      </c>
      <c r="D4106" t="s">
        <v>7618</v>
      </c>
      <c r="E4106" t="s">
        <v>7617</v>
      </c>
      <c r="F4106" s="46">
        <v>46097.325916689813</v>
      </c>
      <c r="G4106" s="46">
        <v>46097.325916689813</v>
      </c>
      <c r="H4106">
        <v>0</v>
      </c>
    </row>
    <row r="4107" spans="1:8" x14ac:dyDescent="0.15">
      <c r="A4107">
        <v>4106</v>
      </c>
      <c r="B4107" t="s">
        <v>339</v>
      </c>
      <c r="C4107" t="s">
        <v>353</v>
      </c>
      <c r="D4107" t="s">
        <v>7619</v>
      </c>
      <c r="E4107" t="s">
        <v>7620</v>
      </c>
      <c r="F4107" s="46">
        <v>46097.325916689813</v>
      </c>
      <c r="G4107" s="46">
        <v>46097.325916689813</v>
      </c>
      <c r="H4107">
        <v>0</v>
      </c>
    </row>
    <row r="4108" spans="1:8" x14ac:dyDescent="0.15">
      <c r="A4108">
        <v>4107</v>
      </c>
      <c r="B4108" t="s">
        <v>339</v>
      </c>
      <c r="C4108" t="s">
        <v>353</v>
      </c>
      <c r="D4108" t="s">
        <v>7621</v>
      </c>
      <c r="E4108" t="s">
        <v>7622</v>
      </c>
      <c r="F4108" s="46">
        <v>46097.325916689813</v>
      </c>
      <c r="G4108" s="46">
        <v>46097.325916689813</v>
      </c>
      <c r="H4108">
        <v>0</v>
      </c>
    </row>
    <row r="4109" spans="1:8" x14ac:dyDescent="0.15">
      <c r="A4109">
        <v>4108</v>
      </c>
      <c r="B4109" t="s">
        <v>339</v>
      </c>
      <c r="C4109" t="s">
        <v>353</v>
      </c>
      <c r="D4109" t="s">
        <v>7623</v>
      </c>
      <c r="E4109" t="s">
        <v>7622</v>
      </c>
      <c r="F4109" s="46">
        <v>46097.325916689813</v>
      </c>
      <c r="G4109" s="46">
        <v>46097.325916863418</v>
      </c>
      <c r="H4109">
        <v>16</v>
      </c>
    </row>
    <row r="4110" spans="1:8" x14ac:dyDescent="0.15">
      <c r="A4110">
        <v>4109</v>
      </c>
      <c r="B4110" t="s">
        <v>339</v>
      </c>
      <c r="C4110" t="s">
        <v>353</v>
      </c>
      <c r="D4110" t="s">
        <v>7624</v>
      </c>
      <c r="E4110" t="s">
        <v>7625</v>
      </c>
      <c r="F4110" s="46">
        <v>46097.325916863418</v>
      </c>
      <c r="G4110" s="46">
        <v>46097.325916863418</v>
      </c>
      <c r="H4110">
        <v>0</v>
      </c>
    </row>
    <row r="4111" spans="1:8" x14ac:dyDescent="0.15">
      <c r="A4111">
        <v>4110</v>
      </c>
      <c r="B4111" t="s">
        <v>339</v>
      </c>
      <c r="C4111" t="s">
        <v>353</v>
      </c>
      <c r="D4111" t="s">
        <v>7626</v>
      </c>
      <c r="E4111" t="s">
        <v>7627</v>
      </c>
      <c r="F4111" s="46">
        <v>46097.325916863418</v>
      </c>
      <c r="G4111" s="46">
        <v>46097.325916863418</v>
      </c>
      <c r="H4111">
        <v>0</v>
      </c>
    </row>
    <row r="4112" spans="1:8" x14ac:dyDescent="0.15">
      <c r="A4112">
        <v>4111</v>
      </c>
      <c r="B4112" t="s">
        <v>339</v>
      </c>
      <c r="C4112" t="s">
        <v>353</v>
      </c>
      <c r="D4112" t="s">
        <v>7628</v>
      </c>
      <c r="E4112" t="s">
        <v>7629</v>
      </c>
      <c r="F4112" s="46">
        <v>46097.325916863418</v>
      </c>
      <c r="G4112" s="46">
        <v>46097.325916863418</v>
      </c>
      <c r="H4112">
        <v>0</v>
      </c>
    </row>
    <row r="4113" spans="1:8" x14ac:dyDescent="0.15">
      <c r="A4113">
        <v>4112</v>
      </c>
      <c r="B4113" t="s">
        <v>339</v>
      </c>
      <c r="C4113" t="s">
        <v>353</v>
      </c>
      <c r="D4113" t="s">
        <v>7630</v>
      </c>
      <c r="E4113" t="s">
        <v>7631</v>
      </c>
      <c r="F4113" s="46">
        <v>46097.325916863418</v>
      </c>
      <c r="G4113" s="46">
        <v>46097.325916863418</v>
      </c>
      <c r="H4113">
        <v>0</v>
      </c>
    </row>
    <row r="4114" spans="1:8" x14ac:dyDescent="0.15">
      <c r="A4114">
        <v>4113</v>
      </c>
      <c r="B4114" t="s">
        <v>339</v>
      </c>
      <c r="C4114" t="s">
        <v>353</v>
      </c>
      <c r="D4114" t="s">
        <v>7632</v>
      </c>
      <c r="E4114" t="s">
        <v>7631</v>
      </c>
      <c r="F4114" s="46">
        <v>46097.325916863418</v>
      </c>
      <c r="G4114" s="46">
        <v>46097.325916863418</v>
      </c>
      <c r="H4114">
        <v>0</v>
      </c>
    </row>
    <row r="4115" spans="1:8" x14ac:dyDescent="0.15">
      <c r="A4115">
        <v>4114</v>
      </c>
      <c r="B4115" t="s">
        <v>339</v>
      </c>
      <c r="C4115" t="s">
        <v>353</v>
      </c>
      <c r="D4115" t="s">
        <v>7633</v>
      </c>
      <c r="E4115" t="s">
        <v>7631</v>
      </c>
      <c r="F4115" s="46">
        <v>46097.325916863418</v>
      </c>
      <c r="G4115" s="46">
        <v>46097.325916863418</v>
      </c>
      <c r="H4115">
        <v>0</v>
      </c>
    </row>
    <row r="4116" spans="1:8" x14ac:dyDescent="0.15">
      <c r="A4116">
        <v>4115</v>
      </c>
      <c r="B4116" t="s">
        <v>339</v>
      </c>
      <c r="C4116" t="s">
        <v>353</v>
      </c>
      <c r="D4116" t="s">
        <v>7634</v>
      </c>
      <c r="E4116" t="s">
        <v>7635</v>
      </c>
      <c r="F4116" s="46">
        <v>46097.325916863418</v>
      </c>
      <c r="G4116" s="46">
        <v>46097.325916863418</v>
      </c>
      <c r="H4116">
        <v>0</v>
      </c>
    </row>
    <row r="4117" spans="1:8" x14ac:dyDescent="0.15">
      <c r="A4117">
        <v>4116</v>
      </c>
      <c r="B4117" t="s">
        <v>339</v>
      </c>
      <c r="C4117" t="s">
        <v>353</v>
      </c>
      <c r="D4117" t="s">
        <v>7636</v>
      </c>
      <c r="E4117" t="s">
        <v>7635</v>
      </c>
      <c r="F4117" s="46">
        <v>46097.325916863418</v>
      </c>
      <c r="G4117" s="46">
        <v>46097.325916863418</v>
      </c>
      <c r="H4117">
        <v>0</v>
      </c>
    </row>
    <row r="4118" spans="1:8" x14ac:dyDescent="0.15">
      <c r="A4118">
        <v>4117</v>
      </c>
      <c r="B4118" t="s">
        <v>339</v>
      </c>
      <c r="C4118" t="s">
        <v>353</v>
      </c>
      <c r="D4118" t="s">
        <v>7637</v>
      </c>
      <c r="E4118" t="s">
        <v>7638</v>
      </c>
      <c r="F4118" s="46">
        <v>46097.325916863418</v>
      </c>
      <c r="G4118" s="46">
        <v>46097.325916863418</v>
      </c>
      <c r="H4118">
        <v>0</v>
      </c>
    </row>
    <row r="4119" spans="1:8" x14ac:dyDescent="0.15">
      <c r="A4119">
        <v>4118</v>
      </c>
      <c r="B4119" t="s">
        <v>339</v>
      </c>
      <c r="C4119" t="s">
        <v>353</v>
      </c>
      <c r="D4119" t="s">
        <v>7639</v>
      </c>
      <c r="E4119" t="s">
        <v>7640</v>
      </c>
      <c r="F4119" s="46">
        <v>46097.325916863418</v>
      </c>
      <c r="G4119" s="46">
        <v>46097.325917048613</v>
      </c>
      <c r="H4119">
        <v>15</v>
      </c>
    </row>
    <row r="4120" spans="1:8" x14ac:dyDescent="0.15">
      <c r="A4120">
        <v>4119</v>
      </c>
      <c r="B4120" t="s">
        <v>339</v>
      </c>
      <c r="C4120" t="s">
        <v>353</v>
      </c>
      <c r="D4120" t="s">
        <v>7641</v>
      </c>
      <c r="E4120" t="s">
        <v>7642</v>
      </c>
      <c r="F4120" s="46">
        <v>46097.325917048613</v>
      </c>
      <c r="G4120" s="46">
        <v>46097.325917048613</v>
      </c>
      <c r="H4120">
        <v>0</v>
      </c>
    </row>
    <row r="4121" spans="1:8" x14ac:dyDescent="0.15">
      <c r="A4121">
        <v>4120</v>
      </c>
      <c r="B4121" t="s">
        <v>339</v>
      </c>
      <c r="C4121" t="s">
        <v>353</v>
      </c>
      <c r="D4121" t="s">
        <v>7643</v>
      </c>
      <c r="E4121" t="s">
        <v>7644</v>
      </c>
      <c r="F4121" s="46">
        <v>46097.325917048613</v>
      </c>
      <c r="G4121" s="46">
        <v>46097.325917048613</v>
      </c>
      <c r="H4121">
        <v>0</v>
      </c>
    </row>
    <row r="4122" spans="1:8" x14ac:dyDescent="0.15">
      <c r="A4122">
        <v>4121</v>
      </c>
      <c r="B4122" t="s">
        <v>339</v>
      </c>
      <c r="C4122" t="s">
        <v>353</v>
      </c>
      <c r="D4122" t="s">
        <v>7645</v>
      </c>
      <c r="E4122" t="s">
        <v>7646</v>
      </c>
      <c r="F4122" s="46">
        <v>46097.325917048613</v>
      </c>
      <c r="G4122" s="46">
        <v>46097.325917048613</v>
      </c>
      <c r="H4122">
        <v>0</v>
      </c>
    </row>
    <row r="4123" spans="1:8" x14ac:dyDescent="0.15">
      <c r="A4123">
        <v>4122</v>
      </c>
      <c r="B4123" t="s">
        <v>339</v>
      </c>
      <c r="C4123" t="s">
        <v>353</v>
      </c>
      <c r="D4123" t="s">
        <v>7647</v>
      </c>
      <c r="E4123" t="s">
        <v>7646</v>
      </c>
      <c r="F4123" s="46">
        <v>46097.325917048613</v>
      </c>
      <c r="G4123" s="46">
        <v>46097.325917048613</v>
      </c>
      <c r="H4123">
        <v>0</v>
      </c>
    </row>
    <row r="4124" spans="1:8" x14ac:dyDescent="0.15">
      <c r="A4124">
        <v>4123</v>
      </c>
      <c r="B4124" t="s">
        <v>339</v>
      </c>
      <c r="C4124" t="s">
        <v>353</v>
      </c>
      <c r="D4124" t="s">
        <v>7648</v>
      </c>
      <c r="E4124" t="s">
        <v>7646</v>
      </c>
      <c r="F4124" s="46">
        <v>46097.325917048613</v>
      </c>
      <c r="G4124" s="46">
        <v>46097.325917048613</v>
      </c>
      <c r="H4124">
        <v>0</v>
      </c>
    </row>
    <row r="4125" spans="1:8" x14ac:dyDescent="0.15">
      <c r="A4125">
        <v>4124</v>
      </c>
      <c r="B4125" t="s">
        <v>339</v>
      </c>
      <c r="C4125" t="s">
        <v>353</v>
      </c>
      <c r="D4125" t="s">
        <v>7649</v>
      </c>
      <c r="E4125" t="s">
        <v>7646</v>
      </c>
      <c r="F4125" s="46">
        <v>46097.325917048613</v>
      </c>
      <c r="G4125" s="46">
        <v>46097.325917048613</v>
      </c>
      <c r="H4125">
        <v>0</v>
      </c>
    </row>
    <row r="4126" spans="1:8" x14ac:dyDescent="0.15">
      <c r="A4126">
        <v>4125</v>
      </c>
      <c r="B4126" t="s">
        <v>339</v>
      </c>
      <c r="C4126" t="s">
        <v>353</v>
      </c>
      <c r="D4126" t="s">
        <v>7650</v>
      </c>
      <c r="E4126" t="s">
        <v>7651</v>
      </c>
      <c r="F4126" s="46">
        <v>46097.325917048613</v>
      </c>
      <c r="G4126" s="46">
        <v>46097.325917048613</v>
      </c>
      <c r="H4126">
        <v>0</v>
      </c>
    </row>
    <row r="4127" spans="1:8" x14ac:dyDescent="0.15">
      <c r="A4127">
        <v>4126</v>
      </c>
      <c r="B4127" t="s">
        <v>339</v>
      </c>
      <c r="C4127" t="s">
        <v>353</v>
      </c>
      <c r="D4127" t="s">
        <v>7652</v>
      </c>
      <c r="E4127" t="s">
        <v>7651</v>
      </c>
      <c r="F4127" s="46">
        <v>46097.325917048613</v>
      </c>
      <c r="G4127" s="46">
        <v>46097.325917048613</v>
      </c>
      <c r="H4127">
        <v>0</v>
      </c>
    </row>
    <row r="4128" spans="1:8" x14ac:dyDescent="0.15">
      <c r="A4128">
        <v>4127</v>
      </c>
      <c r="B4128" t="s">
        <v>339</v>
      </c>
      <c r="C4128" t="s">
        <v>353</v>
      </c>
      <c r="D4128" t="s">
        <v>7653</v>
      </c>
      <c r="E4128" t="s">
        <v>7654</v>
      </c>
      <c r="F4128" s="46">
        <v>46097.325917048613</v>
      </c>
      <c r="G4128" s="46">
        <v>46097.325917048613</v>
      </c>
      <c r="H4128">
        <v>0</v>
      </c>
    </row>
    <row r="4129" spans="1:8" x14ac:dyDescent="0.15">
      <c r="A4129">
        <v>4128</v>
      </c>
      <c r="B4129" t="s">
        <v>339</v>
      </c>
      <c r="C4129" t="s">
        <v>353</v>
      </c>
      <c r="D4129" t="s">
        <v>7655</v>
      </c>
      <c r="E4129" t="s">
        <v>7654</v>
      </c>
      <c r="F4129" s="46">
        <v>46097.325917048613</v>
      </c>
      <c r="G4129" s="46">
        <v>46097.325917222217</v>
      </c>
      <c r="H4129">
        <v>16</v>
      </c>
    </row>
    <row r="4130" spans="1:8" x14ac:dyDescent="0.15">
      <c r="A4130">
        <v>4129</v>
      </c>
      <c r="B4130" t="s">
        <v>339</v>
      </c>
      <c r="C4130" t="s">
        <v>353</v>
      </c>
      <c r="D4130" t="s">
        <v>7656</v>
      </c>
      <c r="E4130" t="s">
        <v>7654</v>
      </c>
      <c r="F4130" s="46">
        <v>46097.325917222217</v>
      </c>
      <c r="G4130" s="46">
        <v>46097.325917222217</v>
      </c>
      <c r="H4130">
        <v>0</v>
      </c>
    </row>
    <row r="4131" spans="1:8" x14ac:dyDescent="0.15">
      <c r="A4131">
        <v>4130</v>
      </c>
      <c r="B4131" t="s">
        <v>339</v>
      </c>
      <c r="C4131" t="s">
        <v>353</v>
      </c>
      <c r="D4131" t="s">
        <v>7657</v>
      </c>
      <c r="E4131" t="s">
        <v>7654</v>
      </c>
      <c r="F4131" s="46">
        <v>46097.325917222217</v>
      </c>
      <c r="G4131" s="46">
        <v>46097.325917222217</v>
      </c>
      <c r="H4131">
        <v>0</v>
      </c>
    </row>
    <row r="4132" spans="1:8" x14ac:dyDescent="0.15">
      <c r="A4132">
        <v>4131</v>
      </c>
      <c r="B4132" t="s">
        <v>339</v>
      </c>
      <c r="C4132" t="s">
        <v>353</v>
      </c>
      <c r="D4132" t="s">
        <v>7658</v>
      </c>
      <c r="E4132" t="s">
        <v>7654</v>
      </c>
      <c r="F4132" s="46">
        <v>46097.325917222217</v>
      </c>
      <c r="G4132" s="46">
        <v>46097.325917222217</v>
      </c>
      <c r="H4132">
        <v>0</v>
      </c>
    </row>
    <row r="4133" spans="1:8" x14ac:dyDescent="0.15">
      <c r="A4133">
        <v>4132</v>
      </c>
      <c r="B4133" t="s">
        <v>339</v>
      </c>
      <c r="C4133" t="s">
        <v>353</v>
      </c>
      <c r="D4133" t="s">
        <v>7659</v>
      </c>
      <c r="E4133" t="s">
        <v>7654</v>
      </c>
      <c r="F4133" s="46">
        <v>46097.325917222217</v>
      </c>
      <c r="G4133" s="46">
        <v>46097.325917222217</v>
      </c>
      <c r="H4133">
        <v>0</v>
      </c>
    </row>
    <row r="4134" spans="1:8" x14ac:dyDescent="0.15">
      <c r="A4134">
        <v>4133</v>
      </c>
      <c r="B4134" t="s">
        <v>339</v>
      </c>
      <c r="C4134" t="s">
        <v>353</v>
      </c>
      <c r="D4134" t="s">
        <v>7660</v>
      </c>
      <c r="E4134" t="s">
        <v>7654</v>
      </c>
      <c r="F4134" s="46">
        <v>46097.325917222217</v>
      </c>
      <c r="G4134" s="46">
        <v>46097.325917222217</v>
      </c>
      <c r="H4134">
        <v>0</v>
      </c>
    </row>
    <row r="4135" spans="1:8" x14ac:dyDescent="0.15">
      <c r="A4135">
        <v>4134</v>
      </c>
      <c r="B4135" t="s">
        <v>339</v>
      </c>
      <c r="C4135" t="s">
        <v>353</v>
      </c>
      <c r="D4135" t="s">
        <v>7661</v>
      </c>
      <c r="E4135" t="s">
        <v>7654</v>
      </c>
      <c r="F4135" s="46">
        <v>46097.325917222217</v>
      </c>
      <c r="G4135" s="46">
        <v>46097.325917222217</v>
      </c>
      <c r="H4135">
        <v>0</v>
      </c>
    </row>
    <row r="4136" spans="1:8" x14ac:dyDescent="0.15">
      <c r="A4136">
        <v>4135</v>
      </c>
      <c r="B4136" t="s">
        <v>339</v>
      </c>
      <c r="C4136" t="s">
        <v>353</v>
      </c>
      <c r="D4136" t="s">
        <v>7662</v>
      </c>
      <c r="E4136" t="s">
        <v>779</v>
      </c>
      <c r="F4136" s="46">
        <v>46097.325917222217</v>
      </c>
      <c r="G4136" s="46">
        <v>46097.325917222217</v>
      </c>
      <c r="H4136">
        <v>0</v>
      </c>
    </row>
    <row r="4137" spans="1:8" x14ac:dyDescent="0.15">
      <c r="A4137">
        <v>4136</v>
      </c>
      <c r="B4137" t="s">
        <v>339</v>
      </c>
      <c r="C4137" t="s">
        <v>353</v>
      </c>
      <c r="D4137" t="s">
        <v>7663</v>
      </c>
      <c r="E4137" t="s">
        <v>779</v>
      </c>
      <c r="F4137" s="46">
        <v>46097.325917222217</v>
      </c>
      <c r="G4137" s="46">
        <v>46097.325917222217</v>
      </c>
      <c r="H4137">
        <v>0</v>
      </c>
    </row>
    <row r="4138" spans="1:8" x14ac:dyDescent="0.15">
      <c r="A4138">
        <v>4137</v>
      </c>
      <c r="B4138" t="s">
        <v>339</v>
      </c>
      <c r="C4138" t="s">
        <v>353</v>
      </c>
      <c r="D4138" t="s">
        <v>7664</v>
      </c>
      <c r="E4138" t="s">
        <v>779</v>
      </c>
      <c r="F4138" s="46">
        <v>46097.325917222217</v>
      </c>
      <c r="G4138" s="46">
        <v>46097.325917222217</v>
      </c>
      <c r="H4138">
        <v>0</v>
      </c>
    </row>
    <row r="4139" spans="1:8" x14ac:dyDescent="0.15">
      <c r="A4139">
        <v>4138</v>
      </c>
      <c r="B4139" t="s">
        <v>339</v>
      </c>
      <c r="C4139" t="s">
        <v>353</v>
      </c>
      <c r="D4139" t="s">
        <v>7665</v>
      </c>
      <c r="E4139" t="s">
        <v>779</v>
      </c>
      <c r="F4139" s="46">
        <v>46097.325917222217</v>
      </c>
      <c r="G4139" s="46">
        <v>46097.325917222217</v>
      </c>
      <c r="H4139">
        <v>0</v>
      </c>
    </row>
    <row r="4140" spans="1:8" x14ac:dyDescent="0.15">
      <c r="A4140">
        <v>4139</v>
      </c>
      <c r="B4140" t="s">
        <v>339</v>
      </c>
      <c r="C4140" t="s">
        <v>353</v>
      </c>
      <c r="D4140" t="s">
        <v>7666</v>
      </c>
      <c r="E4140" t="s">
        <v>779</v>
      </c>
      <c r="F4140" s="46">
        <v>46097.325917222217</v>
      </c>
      <c r="G4140" s="46">
        <v>46097.325917407397</v>
      </c>
      <c r="H4140">
        <v>16</v>
      </c>
    </row>
    <row r="4141" spans="1:8" x14ac:dyDescent="0.15">
      <c r="A4141">
        <v>4140</v>
      </c>
      <c r="B4141" t="s">
        <v>339</v>
      </c>
      <c r="C4141" t="s">
        <v>353</v>
      </c>
      <c r="D4141" t="s">
        <v>7667</v>
      </c>
      <c r="E4141" t="s">
        <v>779</v>
      </c>
      <c r="F4141" s="46">
        <v>46097.325917407397</v>
      </c>
      <c r="G4141" s="46">
        <v>46097.325917407397</v>
      </c>
      <c r="H4141">
        <v>0</v>
      </c>
    </row>
    <row r="4142" spans="1:8" x14ac:dyDescent="0.15">
      <c r="A4142">
        <v>4141</v>
      </c>
      <c r="B4142" t="s">
        <v>339</v>
      </c>
      <c r="C4142" t="s">
        <v>353</v>
      </c>
      <c r="D4142" t="s">
        <v>7668</v>
      </c>
      <c r="E4142" t="s">
        <v>7669</v>
      </c>
      <c r="F4142" s="46">
        <v>46097.325917407397</v>
      </c>
      <c r="G4142" s="46">
        <v>46097.325917407397</v>
      </c>
      <c r="H4142">
        <v>0</v>
      </c>
    </row>
    <row r="4143" spans="1:8" x14ac:dyDescent="0.15">
      <c r="A4143">
        <v>4142</v>
      </c>
      <c r="B4143" t="s">
        <v>339</v>
      </c>
      <c r="C4143" t="s">
        <v>353</v>
      </c>
      <c r="D4143" t="s">
        <v>7670</v>
      </c>
      <c r="E4143" t="s">
        <v>7669</v>
      </c>
      <c r="F4143" s="46">
        <v>46097.325917407397</v>
      </c>
      <c r="G4143" s="46">
        <v>46097.325917407397</v>
      </c>
      <c r="H4143">
        <v>0</v>
      </c>
    </row>
    <row r="4144" spans="1:8" x14ac:dyDescent="0.15">
      <c r="A4144">
        <v>4143</v>
      </c>
      <c r="B4144" t="s">
        <v>339</v>
      </c>
      <c r="C4144" t="s">
        <v>353</v>
      </c>
      <c r="D4144" t="s">
        <v>7671</v>
      </c>
      <c r="E4144" t="s">
        <v>7669</v>
      </c>
      <c r="F4144" s="46">
        <v>46097.325917407397</v>
      </c>
      <c r="G4144" s="46">
        <v>46097.325917407397</v>
      </c>
      <c r="H4144">
        <v>0</v>
      </c>
    </row>
    <row r="4145" spans="1:8" x14ac:dyDescent="0.15">
      <c r="A4145">
        <v>4144</v>
      </c>
      <c r="B4145" t="s">
        <v>339</v>
      </c>
      <c r="C4145" t="s">
        <v>353</v>
      </c>
      <c r="D4145" t="s">
        <v>7672</v>
      </c>
      <c r="E4145" t="s">
        <v>7669</v>
      </c>
      <c r="F4145" s="46">
        <v>46097.325917407397</v>
      </c>
      <c r="G4145" s="46">
        <v>46097.325917407397</v>
      </c>
      <c r="H4145">
        <v>0</v>
      </c>
    </row>
    <row r="4146" spans="1:8" x14ac:dyDescent="0.15">
      <c r="A4146">
        <v>4145</v>
      </c>
      <c r="B4146" t="s">
        <v>339</v>
      </c>
      <c r="C4146" t="s">
        <v>353</v>
      </c>
      <c r="D4146" t="s">
        <v>7673</v>
      </c>
      <c r="E4146" t="s">
        <v>7674</v>
      </c>
      <c r="F4146" s="46">
        <v>46097.325917407397</v>
      </c>
      <c r="G4146" s="46">
        <v>46097.325917407397</v>
      </c>
      <c r="H4146">
        <v>0</v>
      </c>
    </row>
    <row r="4147" spans="1:8" x14ac:dyDescent="0.15">
      <c r="A4147">
        <v>4146</v>
      </c>
      <c r="B4147" t="s">
        <v>339</v>
      </c>
      <c r="C4147" t="s">
        <v>353</v>
      </c>
      <c r="D4147" t="s">
        <v>7675</v>
      </c>
      <c r="E4147" t="s">
        <v>7674</v>
      </c>
      <c r="F4147" s="46">
        <v>46097.325917407397</v>
      </c>
      <c r="G4147" s="46">
        <v>46097.325917407397</v>
      </c>
      <c r="H4147">
        <v>0</v>
      </c>
    </row>
    <row r="4148" spans="1:8" x14ac:dyDescent="0.15">
      <c r="A4148">
        <v>4147</v>
      </c>
      <c r="B4148" t="s">
        <v>339</v>
      </c>
      <c r="C4148" t="s">
        <v>353</v>
      </c>
      <c r="D4148" t="s">
        <v>7676</v>
      </c>
      <c r="E4148" t="s">
        <v>7677</v>
      </c>
      <c r="F4148" s="46">
        <v>46097.325917407397</v>
      </c>
      <c r="G4148" s="46">
        <v>46097.325917407397</v>
      </c>
      <c r="H4148">
        <v>0</v>
      </c>
    </row>
    <row r="4149" spans="1:8" x14ac:dyDescent="0.15">
      <c r="A4149">
        <v>4148</v>
      </c>
      <c r="B4149" t="s">
        <v>339</v>
      </c>
      <c r="C4149" t="s">
        <v>353</v>
      </c>
      <c r="D4149" t="s">
        <v>7678</v>
      </c>
      <c r="E4149" t="s">
        <v>7677</v>
      </c>
      <c r="F4149" s="46">
        <v>46097.325917407397</v>
      </c>
      <c r="G4149" s="46">
        <v>46097.325917407397</v>
      </c>
      <c r="H4149">
        <v>0</v>
      </c>
    </row>
    <row r="4150" spans="1:8" x14ac:dyDescent="0.15">
      <c r="A4150">
        <v>4149</v>
      </c>
      <c r="B4150" t="s">
        <v>339</v>
      </c>
      <c r="C4150" t="s">
        <v>353</v>
      </c>
      <c r="D4150" t="s">
        <v>7679</v>
      </c>
      <c r="E4150" t="s">
        <v>7680</v>
      </c>
      <c r="F4150" s="46">
        <v>46097.325917407397</v>
      </c>
      <c r="G4150" s="46">
        <v>46097.325917592592</v>
      </c>
      <c r="H4150">
        <v>15</v>
      </c>
    </row>
    <row r="4151" spans="1:8" x14ac:dyDescent="0.15">
      <c r="A4151">
        <v>4150</v>
      </c>
      <c r="B4151" t="s">
        <v>339</v>
      </c>
      <c r="C4151" t="s">
        <v>353</v>
      </c>
      <c r="D4151" t="s">
        <v>7681</v>
      </c>
      <c r="E4151" t="s">
        <v>7682</v>
      </c>
      <c r="F4151" s="46">
        <v>46097.325917592592</v>
      </c>
      <c r="G4151" s="46">
        <v>46097.325917592592</v>
      </c>
      <c r="H4151">
        <v>0</v>
      </c>
    </row>
    <row r="4152" spans="1:8" x14ac:dyDescent="0.15">
      <c r="A4152">
        <v>4151</v>
      </c>
      <c r="B4152" t="s">
        <v>339</v>
      </c>
      <c r="C4152" t="s">
        <v>353</v>
      </c>
      <c r="D4152" t="s">
        <v>7683</v>
      </c>
      <c r="E4152" t="s">
        <v>7682</v>
      </c>
      <c r="F4152" s="46">
        <v>46097.325917592592</v>
      </c>
      <c r="G4152" s="46">
        <v>46097.325917592592</v>
      </c>
      <c r="H4152">
        <v>0</v>
      </c>
    </row>
    <row r="4153" spans="1:8" x14ac:dyDescent="0.15">
      <c r="A4153">
        <v>4152</v>
      </c>
      <c r="B4153" t="s">
        <v>339</v>
      </c>
      <c r="C4153" t="s">
        <v>353</v>
      </c>
      <c r="D4153" t="s">
        <v>7684</v>
      </c>
      <c r="E4153" t="s">
        <v>7682</v>
      </c>
      <c r="F4153" s="46">
        <v>46097.325917592592</v>
      </c>
      <c r="G4153" s="46">
        <v>46097.325917592592</v>
      </c>
      <c r="H4153">
        <v>0</v>
      </c>
    </row>
    <row r="4154" spans="1:8" x14ac:dyDescent="0.15">
      <c r="A4154">
        <v>4153</v>
      </c>
      <c r="B4154" t="s">
        <v>339</v>
      </c>
      <c r="C4154" t="s">
        <v>353</v>
      </c>
      <c r="D4154" t="s">
        <v>7685</v>
      </c>
      <c r="E4154" t="s">
        <v>7686</v>
      </c>
      <c r="F4154" s="46">
        <v>46097.325917592592</v>
      </c>
      <c r="G4154" s="46">
        <v>46097.325917592592</v>
      </c>
      <c r="H4154">
        <v>0</v>
      </c>
    </row>
    <row r="4155" spans="1:8" x14ac:dyDescent="0.15">
      <c r="A4155">
        <v>4154</v>
      </c>
      <c r="B4155" t="s">
        <v>339</v>
      </c>
      <c r="C4155" t="s">
        <v>353</v>
      </c>
      <c r="D4155" t="s">
        <v>7687</v>
      </c>
      <c r="E4155" t="s">
        <v>7688</v>
      </c>
      <c r="F4155" s="46">
        <v>46097.325917592592</v>
      </c>
      <c r="G4155" s="46">
        <v>46097.325917592592</v>
      </c>
      <c r="H4155">
        <v>0</v>
      </c>
    </row>
    <row r="4156" spans="1:8" x14ac:dyDescent="0.15">
      <c r="A4156">
        <v>4155</v>
      </c>
      <c r="B4156" t="s">
        <v>339</v>
      </c>
      <c r="C4156" t="s">
        <v>353</v>
      </c>
      <c r="D4156" t="s">
        <v>7689</v>
      </c>
      <c r="E4156" t="s">
        <v>7688</v>
      </c>
      <c r="F4156" s="46">
        <v>46097.325917592592</v>
      </c>
      <c r="G4156" s="46">
        <v>46097.325917592592</v>
      </c>
      <c r="H4156">
        <v>0</v>
      </c>
    </row>
    <row r="4157" spans="1:8" x14ac:dyDescent="0.15">
      <c r="A4157">
        <v>4156</v>
      </c>
      <c r="B4157" t="s">
        <v>339</v>
      </c>
      <c r="C4157" t="s">
        <v>353</v>
      </c>
      <c r="D4157" t="s">
        <v>7690</v>
      </c>
      <c r="E4157" t="s">
        <v>7691</v>
      </c>
      <c r="F4157" s="46">
        <v>46097.325917592592</v>
      </c>
      <c r="G4157" s="46">
        <v>46097.325917592592</v>
      </c>
      <c r="H4157">
        <v>0</v>
      </c>
    </row>
    <row r="4158" spans="1:8" x14ac:dyDescent="0.15">
      <c r="A4158">
        <v>4157</v>
      </c>
      <c r="B4158" t="s">
        <v>339</v>
      </c>
      <c r="C4158" t="s">
        <v>353</v>
      </c>
      <c r="D4158" t="s">
        <v>7692</v>
      </c>
      <c r="E4158" t="s">
        <v>7691</v>
      </c>
      <c r="F4158" s="46">
        <v>46097.325917592592</v>
      </c>
      <c r="G4158" s="46">
        <v>46097.325917592592</v>
      </c>
      <c r="H4158">
        <v>0</v>
      </c>
    </row>
    <row r="4159" spans="1:8" x14ac:dyDescent="0.15">
      <c r="A4159">
        <v>4158</v>
      </c>
      <c r="B4159" t="s">
        <v>339</v>
      </c>
      <c r="C4159" t="s">
        <v>353</v>
      </c>
      <c r="D4159" t="s">
        <v>7693</v>
      </c>
      <c r="E4159" t="s">
        <v>7691</v>
      </c>
      <c r="F4159" s="46">
        <v>46097.325917592592</v>
      </c>
      <c r="G4159" s="46">
        <v>46097.325917592592</v>
      </c>
      <c r="H4159">
        <v>0</v>
      </c>
    </row>
    <row r="4160" spans="1:8" x14ac:dyDescent="0.15">
      <c r="A4160">
        <v>4159</v>
      </c>
      <c r="B4160" t="s">
        <v>339</v>
      </c>
      <c r="C4160" t="s">
        <v>353</v>
      </c>
      <c r="D4160" t="s">
        <v>7694</v>
      </c>
      <c r="E4160" t="s">
        <v>7695</v>
      </c>
      <c r="F4160" s="46">
        <v>46097.325917592592</v>
      </c>
      <c r="G4160" s="46">
        <v>46097.325917766197</v>
      </c>
      <c r="H4160">
        <v>16</v>
      </c>
    </row>
    <row r="4161" spans="1:8" x14ac:dyDescent="0.15">
      <c r="A4161">
        <v>4160</v>
      </c>
      <c r="B4161" t="s">
        <v>339</v>
      </c>
      <c r="C4161" t="s">
        <v>353</v>
      </c>
      <c r="D4161" t="s">
        <v>7696</v>
      </c>
      <c r="E4161" t="s">
        <v>7695</v>
      </c>
      <c r="F4161" s="46">
        <v>46097.325917766197</v>
      </c>
      <c r="G4161" s="46">
        <v>46097.325917766197</v>
      </c>
      <c r="H4161">
        <v>0</v>
      </c>
    </row>
    <row r="4162" spans="1:8" x14ac:dyDescent="0.15">
      <c r="A4162">
        <v>4161</v>
      </c>
      <c r="B4162" t="s">
        <v>339</v>
      </c>
      <c r="C4162" t="s">
        <v>353</v>
      </c>
      <c r="D4162" t="s">
        <v>7697</v>
      </c>
      <c r="E4162" t="s">
        <v>7698</v>
      </c>
      <c r="F4162" s="46">
        <v>46097.325917766197</v>
      </c>
      <c r="G4162" s="46">
        <v>46097.325917766197</v>
      </c>
      <c r="H4162">
        <v>0</v>
      </c>
    </row>
    <row r="4163" spans="1:8" x14ac:dyDescent="0.15">
      <c r="A4163">
        <v>4162</v>
      </c>
      <c r="B4163" t="s">
        <v>339</v>
      </c>
      <c r="C4163" t="s">
        <v>353</v>
      </c>
      <c r="D4163" t="s">
        <v>7699</v>
      </c>
      <c r="E4163" t="s">
        <v>7698</v>
      </c>
      <c r="F4163" s="46">
        <v>46097.325917766197</v>
      </c>
      <c r="G4163" s="46">
        <v>46097.325917766197</v>
      </c>
      <c r="H4163">
        <v>0</v>
      </c>
    </row>
    <row r="4164" spans="1:8" x14ac:dyDescent="0.15">
      <c r="A4164">
        <v>4163</v>
      </c>
      <c r="B4164" t="s">
        <v>339</v>
      </c>
      <c r="C4164" t="s">
        <v>353</v>
      </c>
      <c r="D4164" t="s">
        <v>7700</v>
      </c>
      <c r="E4164" t="s">
        <v>7701</v>
      </c>
      <c r="F4164" s="46">
        <v>46097.325917766197</v>
      </c>
      <c r="G4164" s="46">
        <v>46097.325917766197</v>
      </c>
      <c r="H4164">
        <v>0</v>
      </c>
    </row>
    <row r="4165" spans="1:8" x14ac:dyDescent="0.15">
      <c r="A4165">
        <v>4164</v>
      </c>
      <c r="B4165" t="s">
        <v>339</v>
      </c>
      <c r="C4165" t="s">
        <v>353</v>
      </c>
      <c r="D4165" t="s">
        <v>7702</v>
      </c>
      <c r="E4165" t="s">
        <v>7701</v>
      </c>
      <c r="F4165" s="46">
        <v>46097.325917766197</v>
      </c>
      <c r="G4165" s="46">
        <v>46097.325917766197</v>
      </c>
      <c r="H4165">
        <v>0</v>
      </c>
    </row>
    <row r="4166" spans="1:8" x14ac:dyDescent="0.15">
      <c r="A4166">
        <v>4165</v>
      </c>
      <c r="B4166" t="s">
        <v>339</v>
      </c>
      <c r="C4166" t="s">
        <v>353</v>
      </c>
      <c r="D4166" t="s">
        <v>7703</v>
      </c>
      <c r="E4166" t="s">
        <v>7704</v>
      </c>
      <c r="F4166" s="46">
        <v>46097.325917766197</v>
      </c>
      <c r="G4166" s="46">
        <v>46097.325917766197</v>
      </c>
      <c r="H4166">
        <v>0</v>
      </c>
    </row>
    <row r="4167" spans="1:8" x14ac:dyDescent="0.15">
      <c r="A4167">
        <v>4166</v>
      </c>
      <c r="B4167" t="s">
        <v>339</v>
      </c>
      <c r="C4167" t="s">
        <v>353</v>
      </c>
      <c r="D4167" t="s">
        <v>7705</v>
      </c>
      <c r="E4167" t="s">
        <v>7704</v>
      </c>
      <c r="F4167" s="46">
        <v>46097.325917766197</v>
      </c>
      <c r="G4167" s="46">
        <v>46097.325917766197</v>
      </c>
      <c r="H4167">
        <v>0</v>
      </c>
    </row>
    <row r="4168" spans="1:8" x14ac:dyDescent="0.15">
      <c r="A4168">
        <v>4167</v>
      </c>
      <c r="B4168" t="s">
        <v>339</v>
      </c>
      <c r="C4168" t="s">
        <v>353</v>
      </c>
      <c r="D4168" t="s">
        <v>7706</v>
      </c>
      <c r="E4168" t="s">
        <v>7707</v>
      </c>
      <c r="F4168" s="46">
        <v>46097.325917766197</v>
      </c>
      <c r="G4168" s="46">
        <v>46097.325917766197</v>
      </c>
      <c r="H4168">
        <v>0</v>
      </c>
    </row>
    <row r="4169" spans="1:8" x14ac:dyDescent="0.15">
      <c r="A4169">
        <v>4168</v>
      </c>
      <c r="B4169" t="s">
        <v>339</v>
      </c>
      <c r="C4169" t="s">
        <v>353</v>
      </c>
      <c r="D4169" t="s">
        <v>7708</v>
      </c>
      <c r="E4169" t="s">
        <v>7707</v>
      </c>
      <c r="F4169" s="46">
        <v>46097.325917766197</v>
      </c>
      <c r="G4169" s="46">
        <v>46097.325917766197</v>
      </c>
      <c r="H4169">
        <v>0</v>
      </c>
    </row>
    <row r="4170" spans="1:8" x14ac:dyDescent="0.15">
      <c r="A4170">
        <v>4169</v>
      </c>
      <c r="B4170" t="s">
        <v>339</v>
      </c>
      <c r="C4170" t="s">
        <v>353</v>
      </c>
      <c r="D4170" t="s">
        <v>7709</v>
      </c>
      <c r="E4170" t="s">
        <v>7710</v>
      </c>
      <c r="F4170" s="46">
        <v>46097.325917766197</v>
      </c>
      <c r="G4170" s="46">
        <v>46097.325917951392</v>
      </c>
      <c r="H4170">
        <v>15</v>
      </c>
    </row>
    <row r="4171" spans="1:8" x14ac:dyDescent="0.15">
      <c r="A4171">
        <v>4170</v>
      </c>
      <c r="B4171" t="s">
        <v>339</v>
      </c>
      <c r="C4171" t="s">
        <v>353</v>
      </c>
      <c r="D4171" t="s">
        <v>7711</v>
      </c>
      <c r="E4171" t="s">
        <v>7712</v>
      </c>
      <c r="F4171" s="46">
        <v>46097.325917951392</v>
      </c>
      <c r="G4171" s="46">
        <v>46097.325917951392</v>
      </c>
      <c r="H4171">
        <v>0</v>
      </c>
    </row>
    <row r="4172" spans="1:8" x14ac:dyDescent="0.15">
      <c r="A4172">
        <v>4171</v>
      </c>
      <c r="B4172" t="s">
        <v>339</v>
      </c>
      <c r="C4172" t="s">
        <v>353</v>
      </c>
      <c r="D4172" t="s">
        <v>7713</v>
      </c>
      <c r="E4172" t="s">
        <v>7712</v>
      </c>
      <c r="F4172" s="46">
        <v>46097.325917951392</v>
      </c>
      <c r="G4172" s="46">
        <v>46097.325917951392</v>
      </c>
      <c r="H4172">
        <v>0</v>
      </c>
    </row>
    <row r="4173" spans="1:8" x14ac:dyDescent="0.15">
      <c r="A4173">
        <v>4172</v>
      </c>
      <c r="B4173" t="s">
        <v>339</v>
      </c>
      <c r="C4173" t="s">
        <v>353</v>
      </c>
      <c r="D4173" t="s">
        <v>7714</v>
      </c>
      <c r="E4173" t="s">
        <v>7715</v>
      </c>
      <c r="F4173" s="46">
        <v>46097.325917951392</v>
      </c>
      <c r="G4173" s="46">
        <v>46097.325917951392</v>
      </c>
      <c r="H4173">
        <v>0</v>
      </c>
    </row>
    <row r="4174" spans="1:8" x14ac:dyDescent="0.15">
      <c r="A4174">
        <v>4173</v>
      </c>
      <c r="B4174" t="s">
        <v>339</v>
      </c>
      <c r="C4174" t="s">
        <v>353</v>
      </c>
      <c r="D4174" t="s">
        <v>7716</v>
      </c>
      <c r="E4174" t="s">
        <v>7715</v>
      </c>
      <c r="F4174" s="46">
        <v>46097.325917951392</v>
      </c>
      <c r="G4174" s="46">
        <v>46097.325917951392</v>
      </c>
      <c r="H4174">
        <v>0</v>
      </c>
    </row>
    <row r="4175" spans="1:8" x14ac:dyDescent="0.15">
      <c r="A4175">
        <v>4174</v>
      </c>
      <c r="B4175" t="s">
        <v>339</v>
      </c>
      <c r="C4175" t="s">
        <v>353</v>
      </c>
      <c r="D4175" t="s">
        <v>7717</v>
      </c>
      <c r="E4175" t="s">
        <v>7718</v>
      </c>
      <c r="F4175" s="46">
        <v>46097.325917951392</v>
      </c>
      <c r="G4175" s="46">
        <v>46097.325917951392</v>
      </c>
      <c r="H4175">
        <v>0</v>
      </c>
    </row>
    <row r="4176" spans="1:8" x14ac:dyDescent="0.15">
      <c r="A4176">
        <v>4175</v>
      </c>
      <c r="B4176" t="s">
        <v>339</v>
      </c>
      <c r="C4176" t="s">
        <v>353</v>
      </c>
      <c r="D4176" t="s">
        <v>7719</v>
      </c>
      <c r="E4176" t="s">
        <v>7720</v>
      </c>
      <c r="F4176" s="46">
        <v>46097.325917951392</v>
      </c>
      <c r="G4176" s="46">
        <v>46097.325917951392</v>
      </c>
      <c r="H4176">
        <v>0</v>
      </c>
    </row>
    <row r="4177" spans="1:8" x14ac:dyDescent="0.15">
      <c r="A4177">
        <v>4176</v>
      </c>
      <c r="B4177" t="s">
        <v>339</v>
      </c>
      <c r="C4177" t="s">
        <v>353</v>
      </c>
      <c r="D4177" t="s">
        <v>7721</v>
      </c>
      <c r="E4177" t="s">
        <v>7720</v>
      </c>
      <c r="F4177" s="46">
        <v>46097.325917951392</v>
      </c>
      <c r="G4177" s="46">
        <v>46097.325917951392</v>
      </c>
      <c r="H4177">
        <v>0</v>
      </c>
    </row>
    <row r="4178" spans="1:8" x14ac:dyDescent="0.15">
      <c r="A4178">
        <v>4177</v>
      </c>
      <c r="B4178" t="s">
        <v>339</v>
      </c>
      <c r="C4178" t="s">
        <v>353</v>
      </c>
      <c r="D4178" t="s">
        <v>7722</v>
      </c>
      <c r="E4178" t="s">
        <v>7720</v>
      </c>
      <c r="F4178" s="46">
        <v>46097.325917951392</v>
      </c>
      <c r="G4178" s="46">
        <v>46097.325917951392</v>
      </c>
      <c r="H4178">
        <v>0</v>
      </c>
    </row>
    <row r="4179" spans="1:8" x14ac:dyDescent="0.15">
      <c r="A4179">
        <v>4178</v>
      </c>
      <c r="B4179" t="s">
        <v>339</v>
      </c>
      <c r="C4179" t="s">
        <v>353</v>
      </c>
      <c r="D4179" t="s">
        <v>7723</v>
      </c>
      <c r="E4179" t="s">
        <v>7724</v>
      </c>
      <c r="F4179" s="46">
        <v>46097.325917951392</v>
      </c>
      <c r="G4179" s="46">
        <v>46097.325917951392</v>
      </c>
      <c r="H4179">
        <v>0</v>
      </c>
    </row>
    <row r="4180" spans="1:8" x14ac:dyDescent="0.15">
      <c r="A4180">
        <v>4179</v>
      </c>
      <c r="B4180" t="s">
        <v>339</v>
      </c>
      <c r="C4180" t="s">
        <v>353</v>
      </c>
      <c r="D4180" t="s">
        <v>7725</v>
      </c>
      <c r="E4180" t="s">
        <v>7724</v>
      </c>
      <c r="F4180" s="46">
        <v>46097.325917951392</v>
      </c>
      <c r="G4180" s="46">
        <v>46097.325917951392</v>
      </c>
      <c r="H4180">
        <v>0</v>
      </c>
    </row>
    <row r="4181" spans="1:8" x14ac:dyDescent="0.15">
      <c r="A4181">
        <v>4180</v>
      </c>
      <c r="B4181" t="s">
        <v>339</v>
      </c>
      <c r="C4181" t="s">
        <v>353</v>
      </c>
      <c r="D4181" t="s">
        <v>7726</v>
      </c>
      <c r="E4181" t="s">
        <v>7727</v>
      </c>
      <c r="F4181" s="46">
        <v>46097.325917951392</v>
      </c>
      <c r="G4181" s="46">
        <v>46097.325918136572</v>
      </c>
      <c r="H4181">
        <v>16</v>
      </c>
    </row>
    <row r="4182" spans="1:8" x14ac:dyDescent="0.15">
      <c r="A4182">
        <v>4181</v>
      </c>
      <c r="B4182" t="s">
        <v>339</v>
      </c>
      <c r="C4182" t="s">
        <v>353</v>
      </c>
      <c r="D4182" t="s">
        <v>7728</v>
      </c>
      <c r="E4182" t="s">
        <v>7729</v>
      </c>
      <c r="F4182" s="46">
        <v>46097.325918136572</v>
      </c>
      <c r="G4182" s="46">
        <v>46097.325918136572</v>
      </c>
      <c r="H4182">
        <v>0</v>
      </c>
    </row>
    <row r="4183" spans="1:8" x14ac:dyDescent="0.15">
      <c r="A4183">
        <v>4182</v>
      </c>
      <c r="B4183" t="s">
        <v>339</v>
      </c>
      <c r="C4183" t="s">
        <v>353</v>
      </c>
      <c r="D4183" t="s">
        <v>7730</v>
      </c>
      <c r="E4183" t="s">
        <v>7729</v>
      </c>
      <c r="F4183" s="46">
        <v>46097.325918136572</v>
      </c>
      <c r="G4183" s="46">
        <v>46097.325918136572</v>
      </c>
      <c r="H4183">
        <v>0</v>
      </c>
    </row>
    <row r="4184" spans="1:8" x14ac:dyDescent="0.15">
      <c r="A4184">
        <v>4183</v>
      </c>
      <c r="B4184" t="s">
        <v>339</v>
      </c>
      <c r="C4184" t="s">
        <v>353</v>
      </c>
      <c r="D4184" t="s">
        <v>7731</v>
      </c>
      <c r="E4184" t="s">
        <v>7729</v>
      </c>
      <c r="F4184" s="46">
        <v>46097.325918136572</v>
      </c>
      <c r="G4184" s="46">
        <v>46097.325918136572</v>
      </c>
      <c r="H4184">
        <v>0</v>
      </c>
    </row>
    <row r="4185" spans="1:8" x14ac:dyDescent="0.15">
      <c r="A4185">
        <v>4184</v>
      </c>
      <c r="B4185" t="s">
        <v>339</v>
      </c>
      <c r="C4185" t="s">
        <v>353</v>
      </c>
      <c r="D4185" t="s">
        <v>7732</v>
      </c>
      <c r="E4185" t="s">
        <v>7729</v>
      </c>
      <c r="F4185" s="46">
        <v>46097.325918136572</v>
      </c>
      <c r="G4185" s="46">
        <v>46097.325918136572</v>
      </c>
      <c r="H4185">
        <v>0</v>
      </c>
    </row>
    <row r="4186" spans="1:8" x14ac:dyDescent="0.15">
      <c r="A4186">
        <v>4185</v>
      </c>
      <c r="B4186" t="s">
        <v>339</v>
      </c>
      <c r="C4186" t="s">
        <v>353</v>
      </c>
      <c r="D4186" t="s">
        <v>7733</v>
      </c>
      <c r="E4186" t="s">
        <v>7729</v>
      </c>
      <c r="F4186" s="46">
        <v>46097.325918136572</v>
      </c>
      <c r="G4186" s="46">
        <v>46097.325918136572</v>
      </c>
      <c r="H4186">
        <v>0</v>
      </c>
    </row>
    <row r="4187" spans="1:8" x14ac:dyDescent="0.15">
      <c r="A4187">
        <v>4186</v>
      </c>
      <c r="B4187" t="s">
        <v>339</v>
      </c>
      <c r="C4187" t="s">
        <v>353</v>
      </c>
      <c r="D4187" t="s">
        <v>7734</v>
      </c>
      <c r="E4187" t="s">
        <v>7729</v>
      </c>
      <c r="F4187" s="46">
        <v>46097.325918136572</v>
      </c>
      <c r="G4187" s="46">
        <v>46097.325918136572</v>
      </c>
      <c r="H4187">
        <v>0</v>
      </c>
    </row>
    <row r="4188" spans="1:8" x14ac:dyDescent="0.15">
      <c r="A4188">
        <v>4187</v>
      </c>
      <c r="B4188" t="s">
        <v>339</v>
      </c>
      <c r="C4188" t="s">
        <v>353</v>
      </c>
      <c r="D4188" t="s">
        <v>7735</v>
      </c>
      <c r="E4188" t="s">
        <v>7729</v>
      </c>
      <c r="F4188" s="46">
        <v>46097.325918136572</v>
      </c>
      <c r="G4188" s="46">
        <v>46097.325918136572</v>
      </c>
      <c r="H4188">
        <v>0</v>
      </c>
    </row>
    <row r="4189" spans="1:8" x14ac:dyDescent="0.15">
      <c r="A4189">
        <v>4188</v>
      </c>
      <c r="B4189" t="s">
        <v>339</v>
      </c>
      <c r="C4189" t="s">
        <v>353</v>
      </c>
      <c r="D4189" t="s">
        <v>7736</v>
      </c>
      <c r="E4189" t="s">
        <v>7729</v>
      </c>
      <c r="F4189" s="46">
        <v>46097.325918136572</v>
      </c>
      <c r="G4189" s="46">
        <v>46097.325918136572</v>
      </c>
      <c r="H4189">
        <v>0</v>
      </c>
    </row>
    <row r="4190" spans="1:8" x14ac:dyDescent="0.15">
      <c r="A4190">
        <v>4189</v>
      </c>
      <c r="B4190" t="s">
        <v>339</v>
      </c>
      <c r="C4190" t="s">
        <v>353</v>
      </c>
      <c r="D4190" t="s">
        <v>7737</v>
      </c>
      <c r="E4190" t="s">
        <v>7729</v>
      </c>
      <c r="F4190" s="46">
        <v>46097.325918136572</v>
      </c>
      <c r="G4190" s="46">
        <v>46097.325918136572</v>
      </c>
      <c r="H4190">
        <v>0</v>
      </c>
    </row>
    <row r="4191" spans="1:8" x14ac:dyDescent="0.15">
      <c r="A4191">
        <v>4190</v>
      </c>
      <c r="B4191" t="s">
        <v>339</v>
      </c>
      <c r="C4191" t="s">
        <v>353</v>
      </c>
      <c r="D4191" t="s">
        <v>7738</v>
      </c>
      <c r="E4191" t="s">
        <v>7729</v>
      </c>
      <c r="F4191" s="46">
        <v>46097.325918136572</v>
      </c>
      <c r="G4191" s="46">
        <v>46097.325918136572</v>
      </c>
      <c r="H4191">
        <v>0</v>
      </c>
    </row>
    <row r="4192" spans="1:8" x14ac:dyDescent="0.15">
      <c r="A4192">
        <v>4191</v>
      </c>
      <c r="B4192" t="s">
        <v>339</v>
      </c>
      <c r="C4192" t="s">
        <v>353</v>
      </c>
      <c r="D4192" t="s">
        <v>7739</v>
      </c>
      <c r="E4192" t="s">
        <v>7729</v>
      </c>
      <c r="F4192" s="46">
        <v>46097.325918310184</v>
      </c>
      <c r="G4192" s="46">
        <v>46097.325918310184</v>
      </c>
      <c r="H4192">
        <v>0</v>
      </c>
    </row>
    <row r="4193" spans="1:8" x14ac:dyDescent="0.15">
      <c r="A4193">
        <v>4192</v>
      </c>
      <c r="B4193" t="s">
        <v>339</v>
      </c>
      <c r="C4193" t="s">
        <v>353</v>
      </c>
      <c r="D4193" t="s">
        <v>7740</v>
      </c>
      <c r="E4193" t="s">
        <v>7729</v>
      </c>
      <c r="F4193" s="46">
        <v>46097.325918310184</v>
      </c>
      <c r="G4193" s="46">
        <v>46097.325918310184</v>
      </c>
      <c r="H4193">
        <v>0</v>
      </c>
    </row>
    <row r="4194" spans="1:8" x14ac:dyDescent="0.15">
      <c r="A4194">
        <v>4193</v>
      </c>
      <c r="B4194" t="s">
        <v>339</v>
      </c>
      <c r="C4194" t="s">
        <v>353</v>
      </c>
      <c r="D4194" t="s">
        <v>7741</v>
      </c>
      <c r="E4194" t="s">
        <v>7729</v>
      </c>
      <c r="F4194" s="46">
        <v>46097.325918310184</v>
      </c>
      <c r="G4194" s="46">
        <v>46097.325918310184</v>
      </c>
      <c r="H4194">
        <v>0</v>
      </c>
    </row>
    <row r="4195" spans="1:8" x14ac:dyDescent="0.15">
      <c r="A4195">
        <v>4194</v>
      </c>
      <c r="B4195" t="s">
        <v>339</v>
      </c>
      <c r="C4195" t="s">
        <v>353</v>
      </c>
      <c r="D4195" t="s">
        <v>7742</v>
      </c>
      <c r="E4195" t="s">
        <v>7743</v>
      </c>
      <c r="F4195" s="46">
        <v>46097.325918310184</v>
      </c>
      <c r="G4195" s="46">
        <v>46097.325918310184</v>
      </c>
      <c r="H4195">
        <v>0</v>
      </c>
    </row>
    <row r="4196" spans="1:8" x14ac:dyDescent="0.15">
      <c r="A4196">
        <v>4195</v>
      </c>
      <c r="B4196" t="s">
        <v>339</v>
      </c>
      <c r="C4196" t="s">
        <v>353</v>
      </c>
      <c r="D4196" t="s">
        <v>7744</v>
      </c>
      <c r="E4196" t="s">
        <v>7745</v>
      </c>
      <c r="F4196" s="46">
        <v>46097.325918310184</v>
      </c>
      <c r="G4196" s="46">
        <v>46097.325918310184</v>
      </c>
      <c r="H4196">
        <v>0</v>
      </c>
    </row>
    <row r="4197" spans="1:8" x14ac:dyDescent="0.15">
      <c r="A4197">
        <v>4196</v>
      </c>
      <c r="B4197" t="s">
        <v>339</v>
      </c>
      <c r="C4197" t="s">
        <v>353</v>
      </c>
      <c r="D4197" t="s">
        <v>7746</v>
      </c>
      <c r="E4197" t="s">
        <v>7745</v>
      </c>
      <c r="F4197" s="46">
        <v>46097.325918310184</v>
      </c>
      <c r="G4197" s="46">
        <v>46097.325918310184</v>
      </c>
      <c r="H4197">
        <v>0</v>
      </c>
    </row>
    <row r="4198" spans="1:8" x14ac:dyDescent="0.15">
      <c r="A4198">
        <v>4197</v>
      </c>
      <c r="B4198" t="s">
        <v>339</v>
      </c>
      <c r="C4198" t="s">
        <v>353</v>
      </c>
      <c r="D4198" t="s">
        <v>7747</v>
      </c>
      <c r="E4198" t="s">
        <v>7745</v>
      </c>
      <c r="F4198" s="46">
        <v>46097.325918310184</v>
      </c>
      <c r="G4198" s="46">
        <v>46097.325918310184</v>
      </c>
      <c r="H4198">
        <v>0</v>
      </c>
    </row>
    <row r="4199" spans="1:8" x14ac:dyDescent="0.15">
      <c r="A4199">
        <v>4198</v>
      </c>
      <c r="B4199" t="s">
        <v>339</v>
      </c>
      <c r="C4199" t="s">
        <v>353</v>
      </c>
      <c r="D4199" t="s">
        <v>7748</v>
      </c>
      <c r="E4199" t="s">
        <v>7749</v>
      </c>
      <c r="F4199" s="46">
        <v>46097.325918310184</v>
      </c>
      <c r="G4199" s="46">
        <v>46097.325918310184</v>
      </c>
      <c r="H4199">
        <v>0</v>
      </c>
    </row>
    <row r="4200" spans="1:8" x14ac:dyDescent="0.15">
      <c r="A4200">
        <v>4199</v>
      </c>
      <c r="B4200" t="s">
        <v>339</v>
      </c>
      <c r="C4200" t="s">
        <v>353</v>
      </c>
      <c r="D4200" t="s">
        <v>7750</v>
      </c>
      <c r="E4200" t="s">
        <v>7749</v>
      </c>
      <c r="F4200" s="46">
        <v>46097.325918310184</v>
      </c>
      <c r="G4200" s="46">
        <v>46097.325918310184</v>
      </c>
      <c r="H4200">
        <v>0</v>
      </c>
    </row>
    <row r="4201" spans="1:8" x14ac:dyDescent="0.15">
      <c r="A4201">
        <v>4200</v>
      </c>
      <c r="B4201" t="s">
        <v>339</v>
      </c>
      <c r="C4201" t="s">
        <v>353</v>
      </c>
      <c r="D4201" t="s">
        <v>7751</v>
      </c>
      <c r="E4201" t="s">
        <v>7749</v>
      </c>
      <c r="F4201" s="46">
        <v>46097.325918310184</v>
      </c>
      <c r="G4201" s="46">
        <v>46097.325918310184</v>
      </c>
      <c r="H4201">
        <v>0</v>
      </c>
    </row>
    <row r="4202" spans="1:8" x14ac:dyDescent="0.15">
      <c r="A4202">
        <v>4201</v>
      </c>
      <c r="B4202" t="s">
        <v>339</v>
      </c>
      <c r="C4202" t="s">
        <v>353</v>
      </c>
      <c r="D4202" t="s">
        <v>7752</v>
      </c>
      <c r="E4202" t="s">
        <v>7749</v>
      </c>
      <c r="F4202" s="46">
        <v>46097.325918310184</v>
      </c>
      <c r="G4202" s="46">
        <v>46097.325918495371</v>
      </c>
      <c r="H4202">
        <v>15</v>
      </c>
    </row>
    <row r="4203" spans="1:8" x14ac:dyDescent="0.15">
      <c r="A4203">
        <v>4202</v>
      </c>
      <c r="B4203" t="s">
        <v>339</v>
      </c>
      <c r="C4203" t="s">
        <v>353</v>
      </c>
      <c r="D4203" t="s">
        <v>7753</v>
      </c>
      <c r="E4203" t="s">
        <v>7754</v>
      </c>
      <c r="F4203" s="46">
        <v>46097.325918495371</v>
      </c>
      <c r="G4203" s="46">
        <v>46097.325918495371</v>
      </c>
      <c r="H4203">
        <v>0</v>
      </c>
    </row>
    <row r="4204" spans="1:8" x14ac:dyDescent="0.15">
      <c r="A4204">
        <v>4203</v>
      </c>
      <c r="B4204" t="s">
        <v>339</v>
      </c>
      <c r="C4204" t="s">
        <v>353</v>
      </c>
      <c r="D4204" t="s">
        <v>7755</v>
      </c>
      <c r="E4204" t="s">
        <v>7754</v>
      </c>
      <c r="F4204" s="46">
        <v>46097.325918495371</v>
      </c>
      <c r="G4204" s="46">
        <v>46097.325918495371</v>
      </c>
      <c r="H4204">
        <v>0</v>
      </c>
    </row>
    <row r="4205" spans="1:8" x14ac:dyDescent="0.15">
      <c r="A4205">
        <v>4204</v>
      </c>
      <c r="B4205" t="s">
        <v>339</v>
      </c>
      <c r="C4205" t="s">
        <v>353</v>
      </c>
      <c r="D4205" t="s">
        <v>7756</v>
      </c>
      <c r="E4205" t="s">
        <v>7757</v>
      </c>
      <c r="F4205" s="46">
        <v>46097.325918495371</v>
      </c>
      <c r="G4205" s="46">
        <v>46097.325918495371</v>
      </c>
      <c r="H4205">
        <v>0</v>
      </c>
    </row>
    <row r="4206" spans="1:8" x14ac:dyDescent="0.15">
      <c r="A4206">
        <v>4205</v>
      </c>
      <c r="B4206" t="s">
        <v>339</v>
      </c>
      <c r="C4206" t="s">
        <v>353</v>
      </c>
      <c r="D4206" t="s">
        <v>7758</v>
      </c>
      <c r="E4206" t="s">
        <v>7759</v>
      </c>
      <c r="F4206" s="46">
        <v>46097.325918495371</v>
      </c>
      <c r="G4206" s="46">
        <v>46097.325918495371</v>
      </c>
      <c r="H4206">
        <v>0</v>
      </c>
    </row>
    <row r="4207" spans="1:8" x14ac:dyDescent="0.15">
      <c r="A4207">
        <v>4206</v>
      </c>
      <c r="B4207" t="s">
        <v>339</v>
      </c>
      <c r="C4207" t="s">
        <v>353</v>
      </c>
      <c r="D4207" t="s">
        <v>7760</v>
      </c>
      <c r="E4207" t="s">
        <v>7759</v>
      </c>
      <c r="F4207" s="46">
        <v>46097.325918495371</v>
      </c>
      <c r="G4207" s="46">
        <v>46097.325918495371</v>
      </c>
      <c r="H4207">
        <v>0</v>
      </c>
    </row>
    <row r="4208" spans="1:8" x14ac:dyDescent="0.15">
      <c r="A4208">
        <v>4207</v>
      </c>
      <c r="B4208" t="s">
        <v>339</v>
      </c>
      <c r="C4208" t="s">
        <v>353</v>
      </c>
      <c r="D4208" t="s">
        <v>7761</v>
      </c>
      <c r="E4208" t="s">
        <v>7759</v>
      </c>
      <c r="F4208" s="46">
        <v>46097.325918495371</v>
      </c>
      <c r="G4208" s="46">
        <v>46097.325918495371</v>
      </c>
      <c r="H4208">
        <v>0</v>
      </c>
    </row>
    <row r="4209" spans="1:8" x14ac:dyDescent="0.15">
      <c r="A4209">
        <v>4208</v>
      </c>
      <c r="B4209" t="s">
        <v>339</v>
      </c>
      <c r="C4209" t="s">
        <v>353</v>
      </c>
      <c r="D4209" t="s">
        <v>7762</v>
      </c>
      <c r="E4209" t="s">
        <v>7759</v>
      </c>
      <c r="F4209" s="46">
        <v>46097.325918495371</v>
      </c>
      <c r="G4209" s="46">
        <v>46097.325918495371</v>
      </c>
      <c r="H4209">
        <v>0</v>
      </c>
    </row>
    <row r="4210" spans="1:8" x14ac:dyDescent="0.15">
      <c r="A4210">
        <v>4209</v>
      </c>
      <c r="B4210" t="s">
        <v>339</v>
      </c>
      <c r="C4210" t="s">
        <v>353</v>
      </c>
      <c r="D4210" t="s">
        <v>7763</v>
      </c>
      <c r="E4210" t="s">
        <v>7759</v>
      </c>
      <c r="F4210" s="46">
        <v>46097.325918495371</v>
      </c>
      <c r="G4210" s="46">
        <v>46097.325918495371</v>
      </c>
      <c r="H4210">
        <v>0</v>
      </c>
    </row>
    <row r="4211" spans="1:8" x14ac:dyDescent="0.15">
      <c r="A4211">
        <v>4210</v>
      </c>
      <c r="B4211" t="s">
        <v>339</v>
      </c>
      <c r="C4211" t="s">
        <v>353</v>
      </c>
      <c r="D4211" t="s">
        <v>7764</v>
      </c>
      <c r="E4211" t="s">
        <v>7759</v>
      </c>
      <c r="F4211" s="46">
        <v>46097.325918495371</v>
      </c>
      <c r="G4211" s="46">
        <v>46097.325918495371</v>
      </c>
      <c r="H4211">
        <v>0</v>
      </c>
    </row>
    <row r="4212" spans="1:8" x14ac:dyDescent="0.15">
      <c r="A4212">
        <v>4211</v>
      </c>
      <c r="B4212" t="s">
        <v>339</v>
      </c>
      <c r="C4212" t="s">
        <v>353</v>
      </c>
      <c r="D4212" t="s">
        <v>7765</v>
      </c>
      <c r="E4212" t="s">
        <v>7759</v>
      </c>
      <c r="F4212" s="46">
        <v>46097.325918495371</v>
      </c>
      <c r="G4212" s="46">
        <v>46097.325918668983</v>
      </c>
      <c r="H4212">
        <v>16</v>
      </c>
    </row>
    <row r="4213" spans="1:8" x14ac:dyDescent="0.15">
      <c r="A4213">
        <v>4212</v>
      </c>
      <c r="B4213" t="s">
        <v>339</v>
      </c>
      <c r="C4213" t="s">
        <v>353</v>
      </c>
      <c r="D4213" t="s">
        <v>7766</v>
      </c>
      <c r="E4213" t="s">
        <v>7759</v>
      </c>
      <c r="F4213" s="46">
        <v>46097.325918668983</v>
      </c>
      <c r="G4213" s="46">
        <v>46097.325918668983</v>
      </c>
      <c r="H4213">
        <v>0</v>
      </c>
    </row>
    <row r="4214" spans="1:8" x14ac:dyDescent="0.15">
      <c r="A4214">
        <v>4213</v>
      </c>
      <c r="B4214" t="s">
        <v>339</v>
      </c>
      <c r="C4214" t="s">
        <v>353</v>
      </c>
      <c r="D4214" t="s">
        <v>7767</v>
      </c>
      <c r="E4214" t="s">
        <v>7759</v>
      </c>
      <c r="F4214" s="46">
        <v>46097.325918668983</v>
      </c>
      <c r="G4214" s="46">
        <v>46097.325918668983</v>
      </c>
      <c r="H4214">
        <v>0</v>
      </c>
    </row>
    <row r="4215" spans="1:8" x14ac:dyDescent="0.15">
      <c r="A4215">
        <v>4214</v>
      </c>
      <c r="B4215" t="s">
        <v>339</v>
      </c>
      <c r="C4215" t="s">
        <v>353</v>
      </c>
      <c r="D4215" t="s">
        <v>7768</v>
      </c>
      <c r="E4215" t="s">
        <v>7769</v>
      </c>
      <c r="F4215" s="46">
        <v>46097.325918668983</v>
      </c>
      <c r="G4215" s="46">
        <v>46097.325918668983</v>
      </c>
      <c r="H4215">
        <v>0</v>
      </c>
    </row>
    <row r="4216" spans="1:8" x14ac:dyDescent="0.15">
      <c r="A4216">
        <v>4215</v>
      </c>
      <c r="B4216" t="s">
        <v>339</v>
      </c>
      <c r="C4216" t="s">
        <v>353</v>
      </c>
      <c r="D4216" t="s">
        <v>7770</v>
      </c>
      <c r="E4216" t="s">
        <v>7771</v>
      </c>
      <c r="F4216" s="46">
        <v>46097.325918668983</v>
      </c>
      <c r="G4216" s="46">
        <v>46097.325918668983</v>
      </c>
      <c r="H4216">
        <v>0</v>
      </c>
    </row>
    <row r="4217" spans="1:8" x14ac:dyDescent="0.15">
      <c r="A4217">
        <v>4216</v>
      </c>
      <c r="B4217" t="s">
        <v>339</v>
      </c>
      <c r="C4217" t="s">
        <v>353</v>
      </c>
      <c r="D4217" t="s">
        <v>7772</v>
      </c>
      <c r="E4217" t="s">
        <v>7771</v>
      </c>
      <c r="F4217" s="46">
        <v>46097.325918668983</v>
      </c>
      <c r="G4217" s="46">
        <v>46097.325918668983</v>
      </c>
      <c r="H4217">
        <v>0</v>
      </c>
    </row>
    <row r="4218" spans="1:8" x14ac:dyDescent="0.15">
      <c r="A4218">
        <v>4217</v>
      </c>
      <c r="B4218" t="s">
        <v>339</v>
      </c>
      <c r="C4218" t="s">
        <v>353</v>
      </c>
      <c r="D4218" t="s">
        <v>7773</v>
      </c>
      <c r="E4218" t="s">
        <v>7771</v>
      </c>
      <c r="F4218" s="46">
        <v>46097.325918668983</v>
      </c>
      <c r="G4218" s="46">
        <v>46097.325918668983</v>
      </c>
      <c r="H4218">
        <v>0</v>
      </c>
    </row>
    <row r="4219" spans="1:8" x14ac:dyDescent="0.15">
      <c r="A4219">
        <v>4218</v>
      </c>
      <c r="B4219" t="s">
        <v>339</v>
      </c>
      <c r="C4219" t="s">
        <v>353</v>
      </c>
      <c r="D4219" t="s">
        <v>7774</v>
      </c>
      <c r="E4219" t="s">
        <v>7775</v>
      </c>
      <c r="F4219" s="46">
        <v>46097.325918668983</v>
      </c>
      <c r="G4219" s="46">
        <v>46097.325918668983</v>
      </c>
      <c r="H4219">
        <v>0</v>
      </c>
    </row>
    <row r="4220" spans="1:8" x14ac:dyDescent="0.15">
      <c r="A4220">
        <v>4219</v>
      </c>
      <c r="B4220" t="s">
        <v>339</v>
      </c>
      <c r="C4220" t="s">
        <v>353</v>
      </c>
      <c r="D4220" t="s">
        <v>7776</v>
      </c>
      <c r="E4220" t="s">
        <v>7777</v>
      </c>
      <c r="F4220" s="46">
        <v>46097.325918668983</v>
      </c>
      <c r="G4220" s="46">
        <v>46097.325918668983</v>
      </c>
      <c r="H4220">
        <v>0</v>
      </c>
    </row>
    <row r="4221" spans="1:8" x14ac:dyDescent="0.15">
      <c r="A4221">
        <v>4220</v>
      </c>
      <c r="B4221" t="s">
        <v>339</v>
      </c>
      <c r="C4221" t="s">
        <v>353</v>
      </c>
      <c r="D4221" t="s">
        <v>7778</v>
      </c>
      <c r="E4221" t="s">
        <v>7777</v>
      </c>
      <c r="F4221" s="46">
        <v>46097.325918668983</v>
      </c>
      <c r="G4221" s="46">
        <v>46097.325918668983</v>
      </c>
      <c r="H4221">
        <v>0</v>
      </c>
    </row>
    <row r="4222" spans="1:8" x14ac:dyDescent="0.15">
      <c r="A4222">
        <v>4221</v>
      </c>
      <c r="B4222" t="s">
        <v>339</v>
      </c>
      <c r="C4222" t="s">
        <v>353</v>
      </c>
      <c r="D4222" t="s">
        <v>7779</v>
      </c>
      <c r="E4222" t="s">
        <v>7777</v>
      </c>
      <c r="F4222" s="46">
        <v>46097.325918668983</v>
      </c>
      <c r="G4222" s="46">
        <v>46097.325918668983</v>
      </c>
      <c r="H4222">
        <v>0</v>
      </c>
    </row>
    <row r="4223" spans="1:8" x14ac:dyDescent="0.15">
      <c r="A4223">
        <v>4222</v>
      </c>
      <c r="B4223" t="s">
        <v>339</v>
      </c>
      <c r="C4223" t="s">
        <v>353</v>
      </c>
      <c r="D4223" t="s">
        <v>7780</v>
      </c>
      <c r="E4223" t="s">
        <v>7781</v>
      </c>
      <c r="F4223" s="46">
        <v>46097.325918668983</v>
      </c>
      <c r="G4223" s="46">
        <v>46097.325918854163</v>
      </c>
      <c r="H4223">
        <v>16</v>
      </c>
    </row>
    <row r="4224" spans="1:8" x14ac:dyDescent="0.15">
      <c r="A4224">
        <v>4223</v>
      </c>
      <c r="B4224" t="s">
        <v>339</v>
      </c>
      <c r="C4224" t="s">
        <v>353</v>
      </c>
      <c r="D4224" t="s">
        <v>7782</v>
      </c>
      <c r="E4224" t="s">
        <v>7781</v>
      </c>
      <c r="F4224" s="46">
        <v>46097.325918854163</v>
      </c>
      <c r="G4224" s="46">
        <v>46097.325918854163</v>
      </c>
      <c r="H4224">
        <v>0</v>
      </c>
    </row>
    <row r="4225" spans="1:8" x14ac:dyDescent="0.15">
      <c r="A4225">
        <v>4224</v>
      </c>
      <c r="B4225" t="s">
        <v>339</v>
      </c>
      <c r="C4225" t="s">
        <v>353</v>
      </c>
      <c r="D4225" t="s">
        <v>7783</v>
      </c>
      <c r="E4225" t="s">
        <v>7784</v>
      </c>
      <c r="F4225" s="46">
        <v>46097.325918854163</v>
      </c>
      <c r="G4225" s="46">
        <v>46097.325918854163</v>
      </c>
      <c r="H4225">
        <v>0</v>
      </c>
    </row>
    <row r="4226" spans="1:8" x14ac:dyDescent="0.15">
      <c r="A4226">
        <v>4225</v>
      </c>
      <c r="B4226" t="s">
        <v>339</v>
      </c>
      <c r="C4226" t="s">
        <v>353</v>
      </c>
      <c r="D4226" t="s">
        <v>7785</v>
      </c>
      <c r="E4226" t="s">
        <v>7784</v>
      </c>
      <c r="F4226" s="46">
        <v>46097.325918854163</v>
      </c>
      <c r="G4226" s="46">
        <v>46097.325918854163</v>
      </c>
      <c r="H4226">
        <v>0</v>
      </c>
    </row>
    <row r="4227" spans="1:8" x14ac:dyDescent="0.15">
      <c r="A4227">
        <v>4226</v>
      </c>
      <c r="B4227" t="s">
        <v>339</v>
      </c>
      <c r="C4227" t="s">
        <v>353</v>
      </c>
      <c r="D4227" t="s">
        <v>7786</v>
      </c>
      <c r="E4227" t="s">
        <v>7784</v>
      </c>
      <c r="F4227" s="46">
        <v>46097.325918854163</v>
      </c>
      <c r="G4227" s="46">
        <v>46097.325918854163</v>
      </c>
      <c r="H4227">
        <v>0</v>
      </c>
    </row>
    <row r="4228" spans="1:8" x14ac:dyDescent="0.15">
      <c r="A4228">
        <v>4227</v>
      </c>
      <c r="B4228" t="s">
        <v>339</v>
      </c>
      <c r="C4228" t="s">
        <v>353</v>
      </c>
      <c r="D4228" t="s">
        <v>7787</v>
      </c>
      <c r="E4228" t="s">
        <v>7784</v>
      </c>
      <c r="F4228" s="46">
        <v>46097.325918854163</v>
      </c>
      <c r="G4228" s="46">
        <v>46097.325918854163</v>
      </c>
      <c r="H4228">
        <v>0</v>
      </c>
    </row>
    <row r="4229" spans="1:8" x14ac:dyDescent="0.15">
      <c r="A4229">
        <v>4228</v>
      </c>
      <c r="B4229" t="s">
        <v>339</v>
      </c>
      <c r="C4229" t="s">
        <v>353</v>
      </c>
      <c r="D4229" t="s">
        <v>7788</v>
      </c>
      <c r="E4229" t="s">
        <v>7789</v>
      </c>
      <c r="F4229" s="46">
        <v>46097.325918854163</v>
      </c>
      <c r="G4229" s="46">
        <v>46097.325918854163</v>
      </c>
      <c r="H4229">
        <v>0</v>
      </c>
    </row>
    <row r="4230" spans="1:8" x14ac:dyDescent="0.15">
      <c r="A4230">
        <v>4229</v>
      </c>
      <c r="B4230" t="s">
        <v>339</v>
      </c>
      <c r="C4230" t="s">
        <v>353</v>
      </c>
      <c r="D4230" t="s">
        <v>7790</v>
      </c>
      <c r="E4230" t="s">
        <v>7789</v>
      </c>
      <c r="F4230" s="46">
        <v>46097.325918854163</v>
      </c>
      <c r="G4230" s="46">
        <v>46097.325918854163</v>
      </c>
      <c r="H4230">
        <v>0</v>
      </c>
    </row>
    <row r="4231" spans="1:8" x14ac:dyDescent="0.15">
      <c r="A4231">
        <v>4230</v>
      </c>
      <c r="B4231" t="s">
        <v>339</v>
      </c>
      <c r="C4231" t="s">
        <v>353</v>
      </c>
      <c r="D4231" t="s">
        <v>7791</v>
      </c>
      <c r="E4231" t="s">
        <v>7792</v>
      </c>
      <c r="F4231" s="46">
        <v>46097.325918854163</v>
      </c>
      <c r="G4231" s="46">
        <v>46097.325918854163</v>
      </c>
      <c r="H4231">
        <v>0</v>
      </c>
    </row>
    <row r="4232" spans="1:8" x14ac:dyDescent="0.15">
      <c r="A4232">
        <v>4231</v>
      </c>
      <c r="B4232" t="s">
        <v>339</v>
      </c>
      <c r="C4232" t="s">
        <v>353</v>
      </c>
      <c r="D4232" t="s">
        <v>7793</v>
      </c>
      <c r="E4232" t="s">
        <v>7794</v>
      </c>
      <c r="F4232" s="46">
        <v>46097.325918854163</v>
      </c>
      <c r="G4232" s="46">
        <v>46097.325918854163</v>
      </c>
      <c r="H4232">
        <v>0</v>
      </c>
    </row>
    <row r="4233" spans="1:8" x14ac:dyDescent="0.15">
      <c r="A4233">
        <v>4232</v>
      </c>
      <c r="B4233" t="s">
        <v>339</v>
      </c>
      <c r="C4233" t="s">
        <v>353</v>
      </c>
      <c r="D4233" t="s">
        <v>7795</v>
      </c>
      <c r="E4233" t="s">
        <v>7796</v>
      </c>
      <c r="F4233" s="46">
        <v>46097.325918854163</v>
      </c>
      <c r="G4233" s="46">
        <v>46097.325919039351</v>
      </c>
      <c r="H4233">
        <v>15</v>
      </c>
    </row>
    <row r="4234" spans="1:8" x14ac:dyDescent="0.15">
      <c r="A4234">
        <v>4233</v>
      </c>
      <c r="B4234" t="s">
        <v>339</v>
      </c>
      <c r="C4234" t="s">
        <v>353</v>
      </c>
      <c r="D4234" t="s">
        <v>7797</v>
      </c>
      <c r="E4234" t="s">
        <v>7796</v>
      </c>
      <c r="F4234" s="46">
        <v>46097.325919039351</v>
      </c>
      <c r="G4234" s="46">
        <v>46097.325919039351</v>
      </c>
      <c r="H4234">
        <v>0</v>
      </c>
    </row>
    <row r="4235" spans="1:8" x14ac:dyDescent="0.15">
      <c r="A4235">
        <v>4234</v>
      </c>
      <c r="B4235" t="s">
        <v>339</v>
      </c>
      <c r="C4235" t="s">
        <v>353</v>
      </c>
      <c r="D4235" t="s">
        <v>7798</v>
      </c>
      <c r="E4235" t="s">
        <v>7799</v>
      </c>
      <c r="F4235" s="46">
        <v>46097.325919039351</v>
      </c>
      <c r="G4235" s="46">
        <v>46097.325919039351</v>
      </c>
      <c r="H4235">
        <v>0</v>
      </c>
    </row>
    <row r="4236" spans="1:8" x14ac:dyDescent="0.15">
      <c r="A4236">
        <v>4235</v>
      </c>
      <c r="B4236" t="s">
        <v>339</v>
      </c>
      <c r="C4236" t="s">
        <v>353</v>
      </c>
      <c r="D4236" t="s">
        <v>7800</v>
      </c>
      <c r="E4236" t="s">
        <v>7799</v>
      </c>
      <c r="F4236" s="46">
        <v>46097.325919039351</v>
      </c>
      <c r="G4236" s="46">
        <v>46097.325919039351</v>
      </c>
      <c r="H4236">
        <v>0</v>
      </c>
    </row>
    <row r="4237" spans="1:8" x14ac:dyDescent="0.15">
      <c r="A4237">
        <v>4236</v>
      </c>
      <c r="B4237" t="s">
        <v>339</v>
      </c>
      <c r="C4237" t="s">
        <v>353</v>
      </c>
      <c r="D4237" t="s">
        <v>7801</v>
      </c>
      <c r="E4237" t="s">
        <v>7802</v>
      </c>
      <c r="F4237" s="46">
        <v>46097.325919039351</v>
      </c>
      <c r="G4237" s="46">
        <v>46097.325919039351</v>
      </c>
      <c r="H4237">
        <v>0</v>
      </c>
    </row>
    <row r="4238" spans="1:8" x14ac:dyDescent="0.15">
      <c r="A4238">
        <v>4237</v>
      </c>
      <c r="B4238" t="s">
        <v>339</v>
      </c>
      <c r="C4238" t="s">
        <v>353</v>
      </c>
      <c r="D4238" t="s">
        <v>7803</v>
      </c>
      <c r="E4238" t="s">
        <v>7804</v>
      </c>
      <c r="F4238" s="46">
        <v>46097.325919039351</v>
      </c>
      <c r="G4238" s="46">
        <v>46097.325919039351</v>
      </c>
      <c r="H4238">
        <v>0</v>
      </c>
    </row>
    <row r="4239" spans="1:8" x14ac:dyDescent="0.15">
      <c r="A4239">
        <v>4238</v>
      </c>
      <c r="B4239" t="s">
        <v>339</v>
      </c>
      <c r="C4239" t="s">
        <v>353</v>
      </c>
      <c r="D4239" t="s">
        <v>7805</v>
      </c>
      <c r="E4239" t="s">
        <v>7806</v>
      </c>
      <c r="F4239" s="46">
        <v>46097.325919039351</v>
      </c>
      <c r="G4239" s="46">
        <v>46097.325919039351</v>
      </c>
      <c r="H4239">
        <v>0</v>
      </c>
    </row>
    <row r="4240" spans="1:8" x14ac:dyDescent="0.15">
      <c r="A4240">
        <v>4239</v>
      </c>
      <c r="B4240" t="s">
        <v>339</v>
      </c>
      <c r="C4240" t="s">
        <v>353</v>
      </c>
      <c r="D4240" t="s">
        <v>7807</v>
      </c>
      <c r="E4240" t="s">
        <v>7808</v>
      </c>
      <c r="F4240" s="46">
        <v>46097.325919039351</v>
      </c>
      <c r="G4240" s="46">
        <v>46097.325919039351</v>
      </c>
      <c r="H4240">
        <v>0</v>
      </c>
    </row>
    <row r="4241" spans="1:8" x14ac:dyDescent="0.15">
      <c r="A4241">
        <v>4240</v>
      </c>
      <c r="B4241" t="s">
        <v>339</v>
      </c>
      <c r="C4241" t="s">
        <v>353</v>
      </c>
      <c r="D4241" t="s">
        <v>7809</v>
      </c>
      <c r="E4241" t="s">
        <v>7810</v>
      </c>
      <c r="F4241" s="46">
        <v>46097.325919039351</v>
      </c>
      <c r="G4241" s="46">
        <v>46097.325919039351</v>
      </c>
      <c r="H4241">
        <v>0</v>
      </c>
    </row>
    <row r="4242" spans="1:8" x14ac:dyDescent="0.15">
      <c r="A4242">
        <v>4241</v>
      </c>
      <c r="B4242" t="s">
        <v>339</v>
      </c>
      <c r="C4242" t="s">
        <v>353</v>
      </c>
      <c r="D4242" t="s">
        <v>7811</v>
      </c>
      <c r="E4242" t="s">
        <v>7810</v>
      </c>
      <c r="F4242" s="46">
        <v>46097.325919039351</v>
      </c>
      <c r="G4242" s="46">
        <v>46097.325919039351</v>
      </c>
      <c r="H4242">
        <v>0</v>
      </c>
    </row>
    <row r="4243" spans="1:8" x14ac:dyDescent="0.15">
      <c r="A4243">
        <v>4242</v>
      </c>
      <c r="B4243" t="s">
        <v>339</v>
      </c>
      <c r="C4243" t="s">
        <v>353</v>
      </c>
      <c r="D4243" t="s">
        <v>7812</v>
      </c>
      <c r="E4243" t="s">
        <v>7810</v>
      </c>
      <c r="F4243" s="46">
        <v>46097.325919039351</v>
      </c>
      <c r="G4243" s="46">
        <v>46097.325919212963</v>
      </c>
      <c r="H4243">
        <v>16</v>
      </c>
    </row>
    <row r="4244" spans="1:8" x14ac:dyDescent="0.15">
      <c r="A4244">
        <v>4243</v>
      </c>
      <c r="B4244" t="s">
        <v>339</v>
      </c>
      <c r="C4244" t="s">
        <v>353</v>
      </c>
      <c r="D4244" t="s">
        <v>7813</v>
      </c>
      <c r="E4244" t="s">
        <v>7810</v>
      </c>
      <c r="F4244" s="46">
        <v>46097.325919212963</v>
      </c>
      <c r="G4244" s="46">
        <v>46097.325919212963</v>
      </c>
      <c r="H4244">
        <v>0</v>
      </c>
    </row>
    <row r="4245" spans="1:8" x14ac:dyDescent="0.15">
      <c r="A4245">
        <v>4244</v>
      </c>
      <c r="B4245" t="s">
        <v>339</v>
      </c>
      <c r="C4245" t="s">
        <v>353</v>
      </c>
      <c r="D4245" t="s">
        <v>7814</v>
      </c>
      <c r="E4245" t="s">
        <v>7810</v>
      </c>
      <c r="F4245" s="46">
        <v>46097.325919212963</v>
      </c>
      <c r="G4245" s="46">
        <v>46097.325919212963</v>
      </c>
      <c r="H4245">
        <v>0</v>
      </c>
    </row>
    <row r="4246" spans="1:8" x14ac:dyDescent="0.15">
      <c r="A4246">
        <v>4245</v>
      </c>
      <c r="B4246" t="s">
        <v>339</v>
      </c>
      <c r="C4246" t="s">
        <v>353</v>
      </c>
      <c r="D4246" t="s">
        <v>7815</v>
      </c>
      <c r="E4246" t="s">
        <v>7816</v>
      </c>
      <c r="F4246" s="46">
        <v>46097.325919212963</v>
      </c>
      <c r="G4246" s="46">
        <v>46097.325919212963</v>
      </c>
      <c r="H4246">
        <v>0</v>
      </c>
    </row>
    <row r="4247" spans="1:8" x14ac:dyDescent="0.15">
      <c r="A4247">
        <v>4246</v>
      </c>
      <c r="B4247" t="s">
        <v>339</v>
      </c>
      <c r="C4247" t="s">
        <v>353</v>
      </c>
      <c r="D4247" t="s">
        <v>7817</v>
      </c>
      <c r="E4247" t="s">
        <v>780</v>
      </c>
      <c r="F4247" s="46">
        <v>46097.325919212963</v>
      </c>
      <c r="G4247" s="46">
        <v>46097.325919212963</v>
      </c>
      <c r="H4247">
        <v>0</v>
      </c>
    </row>
    <row r="4248" spans="1:8" x14ac:dyDescent="0.15">
      <c r="A4248">
        <v>4247</v>
      </c>
      <c r="B4248" t="s">
        <v>339</v>
      </c>
      <c r="C4248" t="s">
        <v>353</v>
      </c>
      <c r="D4248" t="s">
        <v>7818</v>
      </c>
      <c r="E4248" t="s">
        <v>780</v>
      </c>
      <c r="F4248" s="46">
        <v>46097.325919212963</v>
      </c>
      <c r="G4248" s="46">
        <v>46097.325919212963</v>
      </c>
      <c r="H4248">
        <v>0</v>
      </c>
    </row>
    <row r="4249" spans="1:8" x14ac:dyDescent="0.15">
      <c r="A4249">
        <v>4248</v>
      </c>
      <c r="B4249" t="s">
        <v>339</v>
      </c>
      <c r="C4249" t="s">
        <v>353</v>
      </c>
      <c r="D4249" t="s">
        <v>7819</v>
      </c>
      <c r="E4249" t="s">
        <v>780</v>
      </c>
      <c r="F4249" s="46">
        <v>46097.325919212963</v>
      </c>
      <c r="G4249" s="46">
        <v>46097.325919212963</v>
      </c>
      <c r="H4249">
        <v>0</v>
      </c>
    </row>
    <row r="4250" spans="1:8" x14ac:dyDescent="0.15">
      <c r="A4250">
        <v>4249</v>
      </c>
      <c r="B4250" t="s">
        <v>339</v>
      </c>
      <c r="C4250" t="s">
        <v>353</v>
      </c>
      <c r="D4250" t="s">
        <v>7820</v>
      </c>
      <c r="E4250" t="s">
        <v>780</v>
      </c>
      <c r="F4250" s="46">
        <v>46097.325919212963</v>
      </c>
      <c r="G4250" s="46">
        <v>46097.325919212963</v>
      </c>
      <c r="H4250">
        <v>0</v>
      </c>
    </row>
    <row r="4251" spans="1:8" x14ac:dyDescent="0.15">
      <c r="A4251">
        <v>4250</v>
      </c>
      <c r="B4251" t="s">
        <v>339</v>
      </c>
      <c r="C4251" t="s">
        <v>353</v>
      </c>
      <c r="D4251" t="s">
        <v>7821</v>
      </c>
      <c r="E4251" t="s">
        <v>7822</v>
      </c>
      <c r="F4251" s="46">
        <v>46097.325919212963</v>
      </c>
      <c r="G4251" s="46">
        <v>46097.325919212963</v>
      </c>
      <c r="H4251">
        <v>0</v>
      </c>
    </row>
    <row r="4252" spans="1:8" x14ac:dyDescent="0.15">
      <c r="A4252">
        <v>4251</v>
      </c>
      <c r="B4252" t="s">
        <v>339</v>
      </c>
      <c r="C4252" t="s">
        <v>353</v>
      </c>
      <c r="D4252" t="s">
        <v>7823</v>
      </c>
      <c r="E4252" t="s">
        <v>7824</v>
      </c>
      <c r="F4252" s="46">
        <v>46097.325919212963</v>
      </c>
      <c r="G4252" s="46">
        <v>46097.325919212963</v>
      </c>
      <c r="H4252">
        <v>0</v>
      </c>
    </row>
    <row r="4253" spans="1:8" x14ac:dyDescent="0.15">
      <c r="A4253">
        <v>4252</v>
      </c>
      <c r="B4253" t="s">
        <v>339</v>
      </c>
      <c r="C4253" t="s">
        <v>353</v>
      </c>
      <c r="D4253" t="s">
        <v>7825</v>
      </c>
      <c r="E4253" t="s">
        <v>7826</v>
      </c>
      <c r="F4253" s="46">
        <v>46097.325919212963</v>
      </c>
      <c r="G4253" s="46">
        <v>46097.325919212963</v>
      </c>
      <c r="H4253">
        <v>0</v>
      </c>
    </row>
    <row r="4254" spans="1:8" x14ac:dyDescent="0.15">
      <c r="A4254">
        <v>4253</v>
      </c>
      <c r="B4254" t="s">
        <v>339</v>
      </c>
      <c r="C4254" t="s">
        <v>353</v>
      </c>
      <c r="D4254" t="s">
        <v>7827</v>
      </c>
      <c r="E4254" t="s">
        <v>7828</v>
      </c>
      <c r="F4254" s="46">
        <v>46097.325919212963</v>
      </c>
      <c r="G4254" s="46">
        <v>46097.32591939815</v>
      </c>
      <c r="H4254">
        <v>16</v>
      </c>
    </row>
    <row r="4255" spans="1:8" x14ac:dyDescent="0.15">
      <c r="A4255">
        <v>4254</v>
      </c>
      <c r="B4255" t="s">
        <v>339</v>
      </c>
      <c r="C4255" t="s">
        <v>353</v>
      </c>
      <c r="D4255" t="s">
        <v>7829</v>
      </c>
      <c r="E4255" t="s">
        <v>7828</v>
      </c>
      <c r="F4255" s="46">
        <v>46097.32591939815</v>
      </c>
      <c r="G4255" s="46">
        <v>46097.32591939815</v>
      </c>
      <c r="H4255">
        <v>0</v>
      </c>
    </row>
    <row r="4256" spans="1:8" x14ac:dyDescent="0.15">
      <c r="A4256">
        <v>4255</v>
      </c>
      <c r="B4256" t="s">
        <v>339</v>
      </c>
      <c r="C4256" t="s">
        <v>353</v>
      </c>
      <c r="D4256" t="s">
        <v>7830</v>
      </c>
      <c r="E4256" t="s">
        <v>7828</v>
      </c>
      <c r="F4256" s="46">
        <v>46097.32591939815</v>
      </c>
      <c r="G4256" s="46">
        <v>46097.32591939815</v>
      </c>
      <c r="H4256">
        <v>0</v>
      </c>
    </row>
    <row r="4257" spans="1:8" x14ac:dyDescent="0.15">
      <c r="A4257">
        <v>4256</v>
      </c>
      <c r="B4257" t="s">
        <v>339</v>
      </c>
      <c r="C4257" t="s">
        <v>353</v>
      </c>
      <c r="D4257" t="s">
        <v>7831</v>
      </c>
      <c r="E4257" t="s">
        <v>7828</v>
      </c>
      <c r="F4257" s="46">
        <v>46097.32591939815</v>
      </c>
      <c r="G4257" s="46">
        <v>46097.32591939815</v>
      </c>
      <c r="H4257">
        <v>0</v>
      </c>
    </row>
    <row r="4258" spans="1:8" x14ac:dyDescent="0.15">
      <c r="A4258">
        <v>4257</v>
      </c>
      <c r="B4258" t="s">
        <v>339</v>
      </c>
      <c r="C4258" t="s">
        <v>353</v>
      </c>
      <c r="D4258" t="s">
        <v>7832</v>
      </c>
      <c r="E4258" t="s">
        <v>7828</v>
      </c>
      <c r="F4258" s="46">
        <v>46097.32591939815</v>
      </c>
      <c r="G4258" s="46">
        <v>46097.32591939815</v>
      </c>
      <c r="H4258">
        <v>0</v>
      </c>
    </row>
    <row r="4259" spans="1:8" x14ac:dyDescent="0.15">
      <c r="A4259">
        <v>4258</v>
      </c>
      <c r="B4259" t="s">
        <v>339</v>
      </c>
      <c r="C4259" t="s">
        <v>353</v>
      </c>
      <c r="D4259" t="s">
        <v>7833</v>
      </c>
      <c r="E4259" t="s">
        <v>7828</v>
      </c>
      <c r="F4259" s="46">
        <v>46097.32591939815</v>
      </c>
      <c r="G4259" s="46">
        <v>46097.32591939815</v>
      </c>
      <c r="H4259">
        <v>0</v>
      </c>
    </row>
    <row r="4260" spans="1:8" x14ac:dyDescent="0.15">
      <c r="A4260">
        <v>4259</v>
      </c>
      <c r="B4260" t="s">
        <v>339</v>
      </c>
      <c r="C4260" t="s">
        <v>353</v>
      </c>
      <c r="D4260" t="s">
        <v>7834</v>
      </c>
      <c r="E4260" t="s">
        <v>7828</v>
      </c>
      <c r="F4260" s="46">
        <v>46097.32591939815</v>
      </c>
      <c r="G4260" s="46">
        <v>46097.32591939815</v>
      </c>
      <c r="H4260">
        <v>0</v>
      </c>
    </row>
    <row r="4261" spans="1:8" x14ac:dyDescent="0.15">
      <c r="A4261">
        <v>4260</v>
      </c>
      <c r="B4261" t="s">
        <v>339</v>
      </c>
      <c r="C4261" t="s">
        <v>353</v>
      </c>
      <c r="D4261" t="s">
        <v>7835</v>
      </c>
      <c r="E4261" t="s">
        <v>7836</v>
      </c>
      <c r="F4261" s="46">
        <v>46097.32591939815</v>
      </c>
      <c r="G4261" s="46">
        <v>46097.32591939815</v>
      </c>
      <c r="H4261">
        <v>0</v>
      </c>
    </row>
    <row r="4262" spans="1:8" x14ac:dyDescent="0.15">
      <c r="A4262">
        <v>4261</v>
      </c>
      <c r="B4262" t="s">
        <v>339</v>
      </c>
      <c r="C4262" t="s">
        <v>353</v>
      </c>
      <c r="D4262" t="s">
        <v>7837</v>
      </c>
      <c r="E4262" t="s">
        <v>7836</v>
      </c>
      <c r="F4262" s="46">
        <v>46097.32591939815</v>
      </c>
      <c r="G4262" s="46">
        <v>46097.32591939815</v>
      </c>
      <c r="H4262">
        <v>0</v>
      </c>
    </row>
    <row r="4263" spans="1:8" x14ac:dyDescent="0.15">
      <c r="A4263">
        <v>4262</v>
      </c>
      <c r="B4263" t="s">
        <v>339</v>
      </c>
      <c r="C4263" t="s">
        <v>353</v>
      </c>
      <c r="D4263" t="s">
        <v>7838</v>
      </c>
      <c r="E4263" t="s">
        <v>7836</v>
      </c>
      <c r="F4263" s="46">
        <v>46097.32591939815</v>
      </c>
      <c r="G4263" s="46">
        <v>46097.32591939815</v>
      </c>
      <c r="H4263">
        <v>0</v>
      </c>
    </row>
    <row r="4264" spans="1:8" x14ac:dyDescent="0.15">
      <c r="A4264">
        <v>4263</v>
      </c>
      <c r="B4264" t="s">
        <v>339</v>
      </c>
      <c r="C4264" t="s">
        <v>353</v>
      </c>
      <c r="D4264" t="s">
        <v>7839</v>
      </c>
      <c r="E4264" t="s">
        <v>7836</v>
      </c>
      <c r="F4264" s="46">
        <v>46097.32591939815</v>
      </c>
      <c r="G4264" s="46">
        <v>46097.325919583331</v>
      </c>
      <c r="H4264">
        <v>15</v>
      </c>
    </row>
    <row r="4265" spans="1:8" x14ac:dyDescent="0.15">
      <c r="A4265">
        <v>4264</v>
      </c>
      <c r="B4265" t="s">
        <v>339</v>
      </c>
      <c r="C4265" t="s">
        <v>353</v>
      </c>
      <c r="D4265" t="s">
        <v>7840</v>
      </c>
      <c r="E4265" t="s">
        <v>7836</v>
      </c>
      <c r="F4265" s="46">
        <v>46097.325919583331</v>
      </c>
      <c r="G4265" s="46">
        <v>46097.325919583331</v>
      </c>
      <c r="H4265">
        <v>0</v>
      </c>
    </row>
    <row r="4266" spans="1:8" x14ac:dyDescent="0.15">
      <c r="A4266">
        <v>4265</v>
      </c>
      <c r="B4266" t="s">
        <v>339</v>
      </c>
      <c r="C4266" t="s">
        <v>353</v>
      </c>
      <c r="D4266" t="s">
        <v>7841</v>
      </c>
      <c r="E4266" t="s">
        <v>7836</v>
      </c>
      <c r="F4266" s="46">
        <v>46097.325919583331</v>
      </c>
      <c r="G4266" s="46">
        <v>46097.325919618059</v>
      </c>
      <c r="H4266">
        <v>3</v>
      </c>
    </row>
    <row r="4267" spans="1:8" x14ac:dyDescent="0.15">
      <c r="A4267">
        <v>4266</v>
      </c>
      <c r="B4267" t="s">
        <v>339</v>
      </c>
      <c r="C4267" t="s">
        <v>353</v>
      </c>
      <c r="D4267" t="s">
        <v>7842</v>
      </c>
      <c r="E4267" t="s">
        <v>7843</v>
      </c>
      <c r="F4267" s="46">
        <v>46097.325919618059</v>
      </c>
      <c r="G4267" s="46">
        <v>46097.325919618059</v>
      </c>
      <c r="H4267">
        <v>1</v>
      </c>
    </row>
    <row r="4268" spans="1:8" x14ac:dyDescent="0.15">
      <c r="A4268">
        <v>4267</v>
      </c>
      <c r="B4268" t="s">
        <v>339</v>
      </c>
      <c r="C4268" t="s">
        <v>353</v>
      </c>
      <c r="D4268" t="s">
        <v>7844</v>
      </c>
      <c r="E4268" t="s">
        <v>7845</v>
      </c>
      <c r="F4268" s="46">
        <v>46097.325919618059</v>
      </c>
      <c r="G4268" s="46">
        <v>46097.325919618059</v>
      </c>
      <c r="H4268">
        <v>0</v>
      </c>
    </row>
    <row r="4269" spans="1:8" x14ac:dyDescent="0.15">
      <c r="A4269">
        <v>4268</v>
      </c>
      <c r="B4269" t="s">
        <v>339</v>
      </c>
      <c r="C4269" t="s">
        <v>353</v>
      </c>
      <c r="D4269" t="s">
        <v>7846</v>
      </c>
      <c r="E4269" t="s">
        <v>7845</v>
      </c>
      <c r="F4269" s="46">
        <v>46097.325919618059</v>
      </c>
      <c r="G4269" s="46">
        <v>46097.325919618059</v>
      </c>
      <c r="H4269">
        <v>0</v>
      </c>
    </row>
    <row r="4270" spans="1:8" x14ac:dyDescent="0.15">
      <c r="A4270">
        <v>4269</v>
      </c>
      <c r="B4270" t="s">
        <v>339</v>
      </c>
      <c r="C4270" t="s">
        <v>353</v>
      </c>
      <c r="D4270" t="s">
        <v>7847</v>
      </c>
      <c r="E4270" t="s">
        <v>7845</v>
      </c>
      <c r="F4270" s="46">
        <v>46097.325919618059</v>
      </c>
      <c r="G4270" s="46">
        <v>46097.325919618059</v>
      </c>
      <c r="H4270">
        <v>0</v>
      </c>
    </row>
    <row r="4271" spans="1:8" x14ac:dyDescent="0.15">
      <c r="A4271">
        <v>4270</v>
      </c>
      <c r="B4271" t="s">
        <v>339</v>
      </c>
      <c r="C4271" t="s">
        <v>353</v>
      </c>
      <c r="D4271" t="s">
        <v>7848</v>
      </c>
      <c r="E4271" t="s">
        <v>7849</v>
      </c>
      <c r="F4271" s="46">
        <v>46097.325919618059</v>
      </c>
      <c r="G4271" s="46">
        <v>46097.325919618059</v>
      </c>
      <c r="H4271">
        <v>0</v>
      </c>
    </row>
    <row r="4272" spans="1:8" x14ac:dyDescent="0.15">
      <c r="A4272">
        <v>4271</v>
      </c>
      <c r="B4272" t="s">
        <v>339</v>
      </c>
      <c r="C4272" t="s">
        <v>353</v>
      </c>
      <c r="D4272" t="s">
        <v>7850</v>
      </c>
      <c r="E4272" t="s">
        <v>7849</v>
      </c>
      <c r="F4272" s="46">
        <v>46097.325919618059</v>
      </c>
      <c r="G4272" s="46">
        <v>46097.325919618059</v>
      </c>
      <c r="H4272">
        <v>0</v>
      </c>
    </row>
    <row r="4273" spans="1:8" x14ac:dyDescent="0.15">
      <c r="A4273">
        <v>4272</v>
      </c>
      <c r="B4273" t="s">
        <v>339</v>
      </c>
      <c r="C4273" t="s">
        <v>353</v>
      </c>
      <c r="D4273" t="s">
        <v>7851</v>
      </c>
      <c r="E4273" t="s">
        <v>781</v>
      </c>
      <c r="F4273" s="46">
        <v>46097.325919618059</v>
      </c>
      <c r="G4273" s="46">
        <v>46097.325919618059</v>
      </c>
      <c r="H4273">
        <v>0</v>
      </c>
    </row>
    <row r="4274" spans="1:8" x14ac:dyDescent="0.15">
      <c r="A4274">
        <v>4273</v>
      </c>
      <c r="B4274" t="s">
        <v>339</v>
      </c>
      <c r="C4274" t="s">
        <v>353</v>
      </c>
      <c r="D4274" t="s">
        <v>7852</v>
      </c>
      <c r="E4274" t="s">
        <v>781</v>
      </c>
      <c r="F4274" s="46">
        <v>46097.325919618059</v>
      </c>
      <c r="G4274" s="46">
        <v>46097.325919618059</v>
      </c>
      <c r="H4274">
        <v>0</v>
      </c>
    </row>
    <row r="4275" spans="1:8" x14ac:dyDescent="0.15">
      <c r="A4275">
        <v>4274</v>
      </c>
      <c r="B4275" t="s">
        <v>339</v>
      </c>
      <c r="C4275" t="s">
        <v>353</v>
      </c>
      <c r="D4275" t="s">
        <v>7853</v>
      </c>
      <c r="E4275" t="s">
        <v>7854</v>
      </c>
      <c r="F4275" s="46">
        <v>46097.325919618059</v>
      </c>
      <c r="G4275" s="46">
        <v>46097.325919618059</v>
      </c>
      <c r="H4275">
        <v>0</v>
      </c>
    </row>
    <row r="4276" spans="1:8" x14ac:dyDescent="0.15">
      <c r="A4276">
        <v>4275</v>
      </c>
      <c r="B4276" t="s">
        <v>339</v>
      </c>
      <c r="C4276" t="s">
        <v>353</v>
      </c>
      <c r="D4276" t="s">
        <v>7855</v>
      </c>
      <c r="E4276" t="s">
        <v>7854</v>
      </c>
      <c r="F4276" s="46">
        <v>46097.325919618059</v>
      </c>
      <c r="G4276" s="46">
        <v>46097.325919618059</v>
      </c>
      <c r="H4276">
        <v>0</v>
      </c>
    </row>
    <row r="4277" spans="1:8" x14ac:dyDescent="0.15">
      <c r="A4277">
        <v>4276</v>
      </c>
      <c r="B4277" t="s">
        <v>339</v>
      </c>
      <c r="C4277" t="s">
        <v>353</v>
      </c>
      <c r="D4277" t="s">
        <v>7856</v>
      </c>
      <c r="E4277" t="s">
        <v>7857</v>
      </c>
      <c r="F4277" s="46">
        <v>46097.325919618059</v>
      </c>
      <c r="G4277" s="46">
        <v>46097.325919803239</v>
      </c>
      <c r="H4277">
        <v>15</v>
      </c>
    </row>
    <row r="4278" spans="1:8" x14ac:dyDescent="0.15">
      <c r="A4278">
        <v>4277</v>
      </c>
      <c r="B4278" t="s">
        <v>339</v>
      </c>
      <c r="C4278" t="s">
        <v>353</v>
      </c>
      <c r="D4278" t="s">
        <v>7858</v>
      </c>
      <c r="E4278" t="s">
        <v>7859</v>
      </c>
      <c r="F4278" s="46">
        <v>46097.325919803239</v>
      </c>
      <c r="G4278" s="46">
        <v>46097.325919803239</v>
      </c>
      <c r="H4278">
        <v>0</v>
      </c>
    </row>
    <row r="4279" spans="1:8" x14ac:dyDescent="0.15">
      <c r="A4279">
        <v>4278</v>
      </c>
      <c r="B4279" t="s">
        <v>339</v>
      </c>
      <c r="C4279" t="s">
        <v>353</v>
      </c>
      <c r="D4279" t="s">
        <v>7860</v>
      </c>
      <c r="E4279" t="s">
        <v>7861</v>
      </c>
      <c r="F4279" s="46">
        <v>46097.325919803239</v>
      </c>
      <c r="G4279" s="46">
        <v>46097.325919803239</v>
      </c>
      <c r="H4279">
        <v>0</v>
      </c>
    </row>
    <row r="4280" spans="1:8" x14ac:dyDescent="0.15">
      <c r="A4280">
        <v>4279</v>
      </c>
      <c r="B4280" t="s">
        <v>339</v>
      </c>
      <c r="C4280" t="s">
        <v>353</v>
      </c>
      <c r="D4280" t="s">
        <v>7862</v>
      </c>
      <c r="E4280" t="s">
        <v>7863</v>
      </c>
      <c r="F4280" s="46">
        <v>46097.325919803239</v>
      </c>
      <c r="G4280" s="46">
        <v>46097.325919803239</v>
      </c>
      <c r="H4280">
        <v>0</v>
      </c>
    </row>
    <row r="4281" spans="1:8" x14ac:dyDescent="0.15">
      <c r="A4281">
        <v>4280</v>
      </c>
      <c r="B4281" t="s">
        <v>339</v>
      </c>
      <c r="C4281" t="s">
        <v>353</v>
      </c>
      <c r="D4281" t="s">
        <v>7864</v>
      </c>
      <c r="E4281" t="s">
        <v>7865</v>
      </c>
      <c r="F4281" s="46">
        <v>46097.325919803239</v>
      </c>
      <c r="G4281" s="46">
        <v>46097.325919803239</v>
      </c>
      <c r="H4281">
        <v>0</v>
      </c>
    </row>
    <row r="4282" spans="1:8" x14ac:dyDescent="0.15">
      <c r="A4282">
        <v>4281</v>
      </c>
      <c r="B4282" t="s">
        <v>339</v>
      </c>
      <c r="C4282" t="s">
        <v>353</v>
      </c>
      <c r="D4282" t="s">
        <v>7866</v>
      </c>
      <c r="E4282" t="s">
        <v>7867</v>
      </c>
      <c r="F4282" s="46">
        <v>46097.325919803239</v>
      </c>
      <c r="G4282" s="46">
        <v>46097.325919803239</v>
      </c>
      <c r="H4282">
        <v>0</v>
      </c>
    </row>
    <row r="4283" spans="1:8" x14ac:dyDescent="0.15">
      <c r="A4283">
        <v>4282</v>
      </c>
      <c r="B4283" t="s">
        <v>339</v>
      </c>
      <c r="C4283" t="s">
        <v>353</v>
      </c>
      <c r="D4283" t="s">
        <v>7868</v>
      </c>
      <c r="E4283" t="s">
        <v>7869</v>
      </c>
      <c r="F4283" s="46">
        <v>46097.325919803239</v>
      </c>
      <c r="G4283" s="46">
        <v>46097.325919803239</v>
      </c>
      <c r="H4283">
        <v>0</v>
      </c>
    </row>
    <row r="4284" spans="1:8" x14ac:dyDescent="0.15">
      <c r="A4284">
        <v>4283</v>
      </c>
      <c r="B4284" t="s">
        <v>339</v>
      </c>
      <c r="C4284" t="s">
        <v>353</v>
      </c>
      <c r="D4284" t="s">
        <v>7870</v>
      </c>
      <c r="E4284" t="s">
        <v>7871</v>
      </c>
      <c r="F4284" s="46">
        <v>46097.325919803239</v>
      </c>
      <c r="G4284" s="46">
        <v>46097.325919803239</v>
      </c>
      <c r="H4284">
        <v>0</v>
      </c>
    </row>
    <row r="4285" spans="1:8" x14ac:dyDescent="0.15">
      <c r="A4285">
        <v>4284</v>
      </c>
      <c r="B4285" t="s">
        <v>339</v>
      </c>
      <c r="C4285" t="s">
        <v>353</v>
      </c>
      <c r="D4285" t="s">
        <v>7872</v>
      </c>
      <c r="E4285" t="s">
        <v>782</v>
      </c>
      <c r="F4285" s="46">
        <v>46097.325919803239</v>
      </c>
      <c r="G4285" s="46">
        <v>46097.325919803239</v>
      </c>
      <c r="H4285">
        <v>0</v>
      </c>
    </row>
    <row r="4286" spans="1:8" x14ac:dyDescent="0.15">
      <c r="A4286">
        <v>4285</v>
      </c>
      <c r="B4286" t="s">
        <v>339</v>
      </c>
      <c r="C4286" t="s">
        <v>353</v>
      </c>
      <c r="D4286" t="s">
        <v>7873</v>
      </c>
      <c r="E4286" t="s">
        <v>783</v>
      </c>
      <c r="F4286" s="46">
        <v>46097.325919803239</v>
      </c>
      <c r="G4286" s="46">
        <v>46097.325919803239</v>
      </c>
      <c r="H4286">
        <v>0</v>
      </c>
    </row>
    <row r="4287" spans="1:8" x14ac:dyDescent="0.15">
      <c r="A4287">
        <v>4286</v>
      </c>
      <c r="B4287" t="s">
        <v>339</v>
      </c>
      <c r="C4287" t="s">
        <v>353</v>
      </c>
      <c r="D4287" t="s">
        <v>7874</v>
      </c>
      <c r="E4287" t="s">
        <v>784</v>
      </c>
      <c r="F4287" s="46">
        <v>46097.325919803239</v>
      </c>
      <c r="G4287" s="46">
        <v>46097.325919803239</v>
      </c>
      <c r="H4287">
        <v>0</v>
      </c>
    </row>
    <row r="4288" spans="1:8" x14ac:dyDescent="0.15">
      <c r="A4288">
        <v>4287</v>
      </c>
      <c r="B4288" t="s">
        <v>339</v>
      </c>
      <c r="C4288" t="s">
        <v>353</v>
      </c>
      <c r="D4288" t="s">
        <v>7875</v>
      </c>
      <c r="E4288" t="s">
        <v>784</v>
      </c>
      <c r="F4288" s="46">
        <v>46097.325919988427</v>
      </c>
      <c r="G4288" s="46">
        <v>46097.325919988427</v>
      </c>
      <c r="H4288">
        <v>0</v>
      </c>
    </row>
    <row r="4289" spans="1:8" x14ac:dyDescent="0.15">
      <c r="A4289">
        <v>4288</v>
      </c>
      <c r="B4289" t="s">
        <v>339</v>
      </c>
      <c r="C4289" t="s">
        <v>353</v>
      </c>
      <c r="D4289" t="s">
        <v>7876</v>
      </c>
      <c r="E4289" t="s">
        <v>784</v>
      </c>
      <c r="F4289" s="46">
        <v>46097.325919988427</v>
      </c>
      <c r="G4289" s="46">
        <v>46097.325919988427</v>
      </c>
      <c r="H4289">
        <v>0</v>
      </c>
    </row>
    <row r="4290" spans="1:8" x14ac:dyDescent="0.15">
      <c r="A4290">
        <v>4289</v>
      </c>
      <c r="B4290" t="s">
        <v>339</v>
      </c>
      <c r="C4290" t="s">
        <v>353</v>
      </c>
      <c r="D4290" t="s">
        <v>7877</v>
      </c>
      <c r="E4290" t="s">
        <v>7878</v>
      </c>
      <c r="F4290" s="46">
        <v>46097.325919988427</v>
      </c>
      <c r="G4290" s="46">
        <v>46097.325919988427</v>
      </c>
      <c r="H4290">
        <v>0</v>
      </c>
    </row>
    <row r="4291" spans="1:8" x14ac:dyDescent="0.15">
      <c r="A4291">
        <v>4290</v>
      </c>
      <c r="B4291" t="s">
        <v>339</v>
      </c>
      <c r="C4291" t="s">
        <v>353</v>
      </c>
      <c r="D4291" t="s">
        <v>7879</v>
      </c>
      <c r="E4291" t="s">
        <v>7880</v>
      </c>
      <c r="F4291" s="46">
        <v>46097.325919988427</v>
      </c>
      <c r="G4291" s="46">
        <v>46097.325919988427</v>
      </c>
      <c r="H4291">
        <v>0</v>
      </c>
    </row>
    <row r="4292" spans="1:8" x14ac:dyDescent="0.15">
      <c r="A4292">
        <v>4291</v>
      </c>
      <c r="B4292" t="s">
        <v>339</v>
      </c>
      <c r="C4292" t="s">
        <v>353</v>
      </c>
      <c r="D4292" t="s">
        <v>7881</v>
      </c>
      <c r="E4292" t="s">
        <v>7880</v>
      </c>
      <c r="F4292" s="46">
        <v>46097.325919988427</v>
      </c>
      <c r="G4292" s="46">
        <v>46097.325919988427</v>
      </c>
      <c r="H4292">
        <v>0</v>
      </c>
    </row>
    <row r="4293" spans="1:8" x14ac:dyDescent="0.15">
      <c r="A4293">
        <v>4292</v>
      </c>
      <c r="B4293" t="s">
        <v>339</v>
      </c>
      <c r="C4293" t="s">
        <v>353</v>
      </c>
      <c r="D4293" t="s">
        <v>7882</v>
      </c>
      <c r="E4293" t="s">
        <v>7883</v>
      </c>
      <c r="F4293" s="46">
        <v>46097.325919988427</v>
      </c>
      <c r="G4293" s="46">
        <v>46097.325919988427</v>
      </c>
      <c r="H4293">
        <v>0</v>
      </c>
    </row>
    <row r="4294" spans="1:8" x14ac:dyDescent="0.15">
      <c r="A4294">
        <v>4293</v>
      </c>
      <c r="B4294" t="s">
        <v>339</v>
      </c>
      <c r="C4294" t="s">
        <v>353</v>
      </c>
      <c r="D4294" t="s">
        <v>7884</v>
      </c>
      <c r="E4294" t="s">
        <v>7883</v>
      </c>
      <c r="F4294" s="46">
        <v>46097.325919988427</v>
      </c>
      <c r="G4294" s="46">
        <v>46097.325919988427</v>
      </c>
      <c r="H4294">
        <v>0</v>
      </c>
    </row>
    <row r="4295" spans="1:8" x14ac:dyDescent="0.15">
      <c r="A4295">
        <v>4294</v>
      </c>
      <c r="B4295" t="s">
        <v>339</v>
      </c>
      <c r="C4295" t="s">
        <v>353</v>
      </c>
      <c r="D4295" t="s">
        <v>7885</v>
      </c>
      <c r="E4295" t="s">
        <v>7883</v>
      </c>
      <c r="F4295" s="46">
        <v>46097.325919988427</v>
      </c>
      <c r="G4295" s="46">
        <v>46097.325919988427</v>
      </c>
      <c r="H4295">
        <v>0</v>
      </c>
    </row>
    <row r="4296" spans="1:8" x14ac:dyDescent="0.15">
      <c r="A4296">
        <v>4295</v>
      </c>
      <c r="B4296" t="s">
        <v>339</v>
      </c>
      <c r="C4296" t="s">
        <v>353</v>
      </c>
      <c r="D4296" t="s">
        <v>7886</v>
      </c>
      <c r="E4296" t="s">
        <v>7883</v>
      </c>
      <c r="F4296" s="46">
        <v>46097.325919988427</v>
      </c>
      <c r="G4296" s="46">
        <v>46097.325919988427</v>
      </c>
      <c r="H4296">
        <v>0</v>
      </c>
    </row>
    <row r="4297" spans="1:8" x14ac:dyDescent="0.15">
      <c r="A4297">
        <v>4296</v>
      </c>
      <c r="B4297" t="s">
        <v>339</v>
      </c>
      <c r="C4297" t="s">
        <v>353</v>
      </c>
      <c r="D4297" t="s">
        <v>7887</v>
      </c>
      <c r="E4297" t="s">
        <v>7888</v>
      </c>
      <c r="F4297" s="46">
        <v>46097.325919988427</v>
      </c>
      <c r="G4297" s="46">
        <v>46097.325919988427</v>
      </c>
      <c r="H4297">
        <v>0</v>
      </c>
    </row>
    <row r="4298" spans="1:8" x14ac:dyDescent="0.15">
      <c r="A4298">
        <v>4297</v>
      </c>
      <c r="B4298" t="s">
        <v>339</v>
      </c>
      <c r="C4298" t="s">
        <v>353</v>
      </c>
      <c r="D4298" t="s">
        <v>7889</v>
      </c>
      <c r="E4298" t="s">
        <v>7888</v>
      </c>
      <c r="F4298" s="46">
        <v>46097.325919988427</v>
      </c>
      <c r="G4298" s="46">
        <v>46097.325920162039</v>
      </c>
      <c r="H4298">
        <v>16</v>
      </c>
    </row>
    <row r="4299" spans="1:8" x14ac:dyDescent="0.15">
      <c r="A4299">
        <v>4298</v>
      </c>
      <c r="B4299" t="s">
        <v>339</v>
      </c>
      <c r="C4299" t="s">
        <v>353</v>
      </c>
      <c r="D4299" t="s">
        <v>7890</v>
      </c>
      <c r="E4299" t="s">
        <v>7888</v>
      </c>
      <c r="F4299" s="46">
        <v>46097.325920162039</v>
      </c>
      <c r="G4299" s="46">
        <v>46097.325920162039</v>
      </c>
      <c r="H4299">
        <v>0</v>
      </c>
    </row>
    <row r="4300" spans="1:8" x14ac:dyDescent="0.15">
      <c r="A4300">
        <v>4299</v>
      </c>
      <c r="B4300" t="s">
        <v>339</v>
      </c>
      <c r="C4300" t="s">
        <v>353</v>
      </c>
      <c r="D4300" t="s">
        <v>7891</v>
      </c>
      <c r="E4300" t="s">
        <v>7888</v>
      </c>
      <c r="F4300" s="46">
        <v>46097.325920162039</v>
      </c>
      <c r="G4300" s="46">
        <v>46097.325920162039</v>
      </c>
      <c r="H4300">
        <v>0</v>
      </c>
    </row>
    <row r="4301" spans="1:8" x14ac:dyDescent="0.15">
      <c r="A4301">
        <v>4300</v>
      </c>
      <c r="B4301" t="s">
        <v>339</v>
      </c>
      <c r="C4301" t="s">
        <v>353</v>
      </c>
      <c r="D4301" t="s">
        <v>7892</v>
      </c>
      <c r="E4301" t="s">
        <v>7888</v>
      </c>
      <c r="F4301" s="46">
        <v>46097.325920162039</v>
      </c>
      <c r="G4301" s="46">
        <v>46097.325920162039</v>
      </c>
      <c r="H4301">
        <v>0</v>
      </c>
    </row>
    <row r="4302" spans="1:8" x14ac:dyDescent="0.15">
      <c r="A4302">
        <v>4301</v>
      </c>
      <c r="B4302" t="s">
        <v>339</v>
      </c>
      <c r="C4302" t="s">
        <v>353</v>
      </c>
      <c r="D4302" t="s">
        <v>7893</v>
      </c>
      <c r="E4302" t="s">
        <v>7894</v>
      </c>
      <c r="F4302" s="46">
        <v>46097.325920162039</v>
      </c>
      <c r="G4302" s="46">
        <v>46097.325920162039</v>
      </c>
      <c r="H4302">
        <v>0</v>
      </c>
    </row>
    <row r="4303" spans="1:8" x14ac:dyDescent="0.15">
      <c r="A4303">
        <v>4302</v>
      </c>
      <c r="B4303" t="s">
        <v>339</v>
      </c>
      <c r="C4303" t="s">
        <v>353</v>
      </c>
      <c r="D4303" t="s">
        <v>7895</v>
      </c>
      <c r="E4303" t="s">
        <v>7894</v>
      </c>
      <c r="F4303" s="46">
        <v>46097.325920162039</v>
      </c>
      <c r="G4303" s="46">
        <v>46097.325920162039</v>
      </c>
      <c r="H4303">
        <v>0</v>
      </c>
    </row>
    <row r="4304" spans="1:8" x14ac:dyDescent="0.15">
      <c r="A4304">
        <v>4303</v>
      </c>
      <c r="B4304" t="s">
        <v>339</v>
      </c>
      <c r="C4304" t="s">
        <v>353</v>
      </c>
      <c r="D4304" t="s">
        <v>7896</v>
      </c>
      <c r="E4304" t="s">
        <v>7894</v>
      </c>
      <c r="F4304" s="46">
        <v>46097.325920162039</v>
      </c>
      <c r="G4304" s="46">
        <v>46097.325920162039</v>
      </c>
      <c r="H4304">
        <v>0</v>
      </c>
    </row>
    <row r="4305" spans="1:8" x14ac:dyDescent="0.15">
      <c r="A4305">
        <v>4304</v>
      </c>
      <c r="B4305" t="s">
        <v>339</v>
      </c>
      <c r="C4305" t="s">
        <v>353</v>
      </c>
      <c r="D4305" t="s">
        <v>7897</v>
      </c>
      <c r="E4305" t="s">
        <v>7894</v>
      </c>
      <c r="F4305" s="46">
        <v>46097.325920162039</v>
      </c>
      <c r="G4305" s="46">
        <v>46097.325920162039</v>
      </c>
      <c r="H4305">
        <v>0</v>
      </c>
    </row>
    <row r="4306" spans="1:8" x14ac:dyDescent="0.15">
      <c r="A4306">
        <v>4305</v>
      </c>
      <c r="B4306" t="s">
        <v>339</v>
      </c>
      <c r="C4306" t="s">
        <v>353</v>
      </c>
      <c r="D4306" t="s">
        <v>7898</v>
      </c>
      <c r="E4306" t="s">
        <v>7894</v>
      </c>
      <c r="F4306" s="46">
        <v>46097.325920162039</v>
      </c>
      <c r="G4306" s="46">
        <v>46097.325920162039</v>
      </c>
      <c r="H4306">
        <v>0</v>
      </c>
    </row>
    <row r="4307" spans="1:8" x14ac:dyDescent="0.15">
      <c r="A4307">
        <v>4306</v>
      </c>
      <c r="B4307" t="s">
        <v>339</v>
      </c>
      <c r="C4307" t="s">
        <v>353</v>
      </c>
      <c r="D4307" t="s">
        <v>7899</v>
      </c>
      <c r="E4307" t="s">
        <v>7894</v>
      </c>
      <c r="F4307" s="46">
        <v>46097.325920162039</v>
      </c>
      <c r="G4307" s="46">
        <v>46097.325920162039</v>
      </c>
      <c r="H4307">
        <v>0</v>
      </c>
    </row>
    <row r="4308" spans="1:8" x14ac:dyDescent="0.15">
      <c r="A4308">
        <v>4307</v>
      </c>
      <c r="B4308" t="s">
        <v>339</v>
      </c>
      <c r="C4308" t="s">
        <v>353</v>
      </c>
      <c r="D4308" t="s">
        <v>7900</v>
      </c>
      <c r="E4308" t="s">
        <v>7894</v>
      </c>
      <c r="F4308" s="46">
        <v>46097.325920162039</v>
      </c>
      <c r="G4308" s="46">
        <v>46097.325920162039</v>
      </c>
      <c r="H4308">
        <v>0</v>
      </c>
    </row>
    <row r="4309" spans="1:8" x14ac:dyDescent="0.15">
      <c r="A4309">
        <v>4308</v>
      </c>
      <c r="B4309" t="s">
        <v>339</v>
      </c>
      <c r="C4309" t="s">
        <v>353</v>
      </c>
      <c r="D4309" t="s">
        <v>7901</v>
      </c>
      <c r="E4309" t="s">
        <v>7902</v>
      </c>
      <c r="F4309" s="46">
        <v>46097.325920162039</v>
      </c>
      <c r="G4309" s="46">
        <v>46097.325920347219</v>
      </c>
      <c r="H4309">
        <v>15</v>
      </c>
    </row>
    <row r="4310" spans="1:8" x14ac:dyDescent="0.15">
      <c r="A4310">
        <v>4309</v>
      </c>
      <c r="B4310" t="s">
        <v>339</v>
      </c>
      <c r="C4310" t="s">
        <v>353</v>
      </c>
      <c r="D4310" t="s">
        <v>7903</v>
      </c>
      <c r="E4310" t="s">
        <v>7902</v>
      </c>
      <c r="F4310" s="46">
        <v>46097.325920347219</v>
      </c>
      <c r="G4310" s="46">
        <v>46097.325920347219</v>
      </c>
      <c r="H4310">
        <v>0</v>
      </c>
    </row>
    <row r="4311" spans="1:8" x14ac:dyDescent="0.15">
      <c r="A4311">
        <v>4310</v>
      </c>
      <c r="B4311" t="s">
        <v>339</v>
      </c>
      <c r="C4311" t="s">
        <v>353</v>
      </c>
      <c r="D4311" t="s">
        <v>7904</v>
      </c>
      <c r="E4311" t="s">
        <v>7905</v>
      </c>
      <c r="F4311" s="46">
        <v>46097.325920347219</v>
      </c>
      <c r="G4311" s="46">
        <v>46097.325920347219</v>
      </c>
      <c r="H4311">
        <v>0</v>
      </c>
    </row>
    <row r="4312" spans="1:8" x14ac:dyDescent="0.15">
      <c r="A4312">
        <v>4311</v>
      </c>
      <c r="B4312" t="s">
        <v>339</v>
      </c>
      <c r="C4312" t="s">
        <v>353</v>
      </c>
      <c r="D4312" t="s">
        <v>7906</v>
      </c>
      <c r="E4312" t="s">
        <v>7907</v>
      </c>
      <c r="F4312" s="46">
        <v>46097.325920347219</v>
      </c>
      <c r="G4312" s="46">
        <v>46097.325920347219</v>
      </c>
      <c r="H4312">
        <v>0</v>
      </c>
    </row>
    <row r="4313" spans="1:8" x14ac:dyDescent="0.15">
      <c r="A4313">
        <v>4312</v>
      </c>
      <c r="B4313" t="s">
        <v>339</v>
      </c>
      <c r="C4313" t="s">
        <v>353</v>
      </c>
      <c r="D4313" t="s">
        <v>7908</v>
      </c>
      <c r="E4313" t="s">
        <v>7907</v>
      </c>
      <c r="F4313" s="46">
        <v>46097.325920347219</v>
      </c>
      <c r="G4313" s="46">
        <v>46097.325920347219</v>
      </c>
      <c r="H4313">
        <v>0</v>
      </c>
    </row>
    <row r="4314" spans="1:8" x14ac:dyDescent="0.15">
      <c r="A4314">
        <v>4313</v>
      </c>
      <c r="B4314" t="s">
        <v>339</v>
      </c>
      <c r="C4314" t="s">
        <v>353</v>
      </c>
      <c r="D4314" t="s">
        <v>7909</v>
      </c>
      <c r="E4314" t="s">
        <v>7907</v>
      </c>
      <c r="F4314" s="46">
        <v>46097.325920347219</v>
      </c>
      <c r="G4314" s="46">
        <v>46097.325920347219</v>
      </c>
      <c r="H4314">
        <v>0</v>
      </c>
    </row>
    <row r="4315" spans="1:8" x14ac:dyDescent="0.15">
      <c r="A4315">
        <v>4314</v>
      </c>
      <c r="B4315" t="s">
        <v>339</v>
      </c>
      <c r="C4315" t="s">
        <v>353</v>
      </c>
      <c r="D4315" t="s">
        <v>7910</v>
      </c>
      <c r="E4315" t="s">
        <v>7911</v>
      </c>
      <c r="F4315" s="46">
        <v>46097.325920347219</v>
      </c>
      <c r="G4315" s="46">
        <v>46097.325920347219</v>
      </c>
      <c r="H4315">
        <v>0</v>
      </c>
    </row>
    <row r="4316" spans="1:8" x14ac:dyDescent="0.15">
      <c r="A4316">
        <v>4315</v>
      </c>
      <c r="B4316" t="s">
        <v>339</v>
      </c>
      <c r="C4316" t="s">
        <v>353</v>
      </c>
      <c r="D4316" t="s">
        <v>7912</v>
      </c>
      <c r="E4316" t="s">
        <v>7911</v>
      </c>
      <c r="F4316" s="46">
        <v>46097.325920347219</v>
      </c>
      <c r="G4316" s="46">
        <v>46097.325920347219</v>
      </c>
      <c r="H4316">
        <v>0</v>
      </c>
    </row>
    <row r="4317" spans="1:8" x14ac:dyDescent="0.15">
      <c r="A4317">
        <v>4316</v>
      </c>
      <c r="B4317" t="s">
        <v>339</v>
      </c>
      <c r="C4317" t="s">
        <v>353</v>
      </c>
      <c r="D4317" t="s">
        <v>7913</v>
      </c>
      <c r="E4317" t="s">
        <v>7911</v>
      </c>
      <c r="F4317" s="46">
        <v>46097.325920347219</v>
      </c>
      <c r="G4317" s="46">
        <v>46097.325920497693</v>
      </c>
      <c r="H4317">
        <v>13</v>
      </c>
    </row>
    <row r="4318" spans="1:8" x14ac:dyDescent="0.15">
      <c r="A4318">
        <v>4317</v>
      </c>
      <c r="B4318" t="s">
        <v>339</v>
      </c>
      <c r="C4318" t="s">
        <v>353</v>
      </c>
      <c r="D4318" t="s">
        <v>7914</v>
      </c>
      <c r="E4318" t="s">
        <v>7915</v>
      </c>
      <c r="F4318" s="46">
        <v>46097.325920509262</v>
      </c>
      <c r="G4318" s="46">
        <v>46097.325920509262</v>
      </c>
      <c r="H4318">
        <v>0</v>
      </c>
    </row>
    <row r="4319" spans="1:8" x14ac:dyDescent="0.15">
      <c r="A4319">
        <v>4318</v>
      </c>
      <c r="B4319" t="s">
        <v>339</v>
      </c>
      <c r="C4319" t="s">
        <v>353</v>
      </c>
      <c r="D4319" t="s">
        <v>7916</v>
      </c>
      <c r="E4319" t="s">
        <v>7917</v>
      </c>
      <c r="F4319" s="46">
        <v>46097.325920509262</v>
      </c>
      <c r="G4319" s="46">
        <v>46097.325920509262</v>
      </c>
      <c r="H4319">
        <v>0</v>
      </c>
    </row>
    <row r="4320" spans="1:8" x14ac:dyDescent="0.15">
      <c r="A4320">
        <v>4319</v>
      </c>
      <c r="B4320" t="s">
        <v>339</v>
      </c>
      <c r="C4320" t="s">
        <v>353</v>
      </c>
      <c r="D4320" t="s">
        <v>7918</v>
      </c>
      <c r="E4320" t="s">
        <v>7919</v>
      </c>
      <c r="F4320" s="46">
        <v>46097.325920509262</v>
      </c>
      <c r="G4320" s="46">
        <v>46097.325920509262</v>
      </c>
      <c r="H4320">
        <v>0</v>
      </c>
    </row>
    <row r="4321" spans="1:8" x14ac:dyDescent="0.15">
      <c r="A4321">
        <v>4320</v>
      </c>
      <c r="B4321" t="s">
        <v>339</v>
      </c>
      <c r="C4321" t="s">
        <v>353</v>
      </c>
      <c r="D4321" t="s">
        <v>7920</v>
      </c>
      <c r="E4321" t="s">
        <v>7921</v>
      </c>
      <c r="F4321" s="46">
        <v>46097.325920509262</v>
      </c>
      <c r="G4321" s="46">
        <v>46097.325920509262</v>
      </c>
      <c r="H4321">
        <v>0</v>
      </c>
    </row>
    <row r="4322" spans="1:8" x14ac:dyDescent="0.15">
      <c r="A4322">
        <v>4321</v>
      </c>
      <c r="B4322" t="s">
        <v>339</v>
      </c>
      <c r="C4322" t="s">
        <v>353</v>
      </c>
      <c r="D4322" t="s">
        <v>7922</v>
      </c>
      <c r="E4322" t="s">
        <v>7921</v>
      </c>
      <c r="F4322" s="46">
        <v>46097.325920509262</v>
      </c>
      <c r="G4322" s="46">
        <v>46097.325920509262</v>
      </c>
      <c r="H4322">
        <v>0</v>
      </c>
    </row>
    <row r="4323" spans="1:8" x14ac:dyDescent="0.15">
      <c r="A4323">
        <v>4322</v>
      </c>
      <c r="B4323" t="s">
        <v>339</v>
      </c>
      <c r="C4323" t="s">
        <v>353</v>
      </c>
      <c r="D4323" t="s">
        <v>7923</v>
      </c>
      <c r="E4323" t="s">
        <v>7924</v>
      </c>
      <c r="F4323" s="46">
        <v>46097.325920509262</v>
      </c>
      <c r="G4323" s="46">
        <v>46097.325920509262</v>
      </c>
      <c r="H4323">
        <v>0</v>
      </c>
    </row>
    <row r="4324" spans="1:8" x14ac:dyDescent="0.15">
      <c r="A4324">
        <v>4323</v>
      </c>
      <c r="B4324" t="s">
        <v>339</v>
      </c>
      <c r="C4324" t="s">
        <v>353</v>
      </c>
      <c r="D4324" t="s">
        <v>7925</v>
      </c>
      <c r="E4324" t="s">
        <v>7926</v>
      </c>
      <c r="F4324" s="46">
        <v>46097.325920509262</v>
      </c>
      <c r="G4324" s="46">
        <v>46097.325920509262</v>
      </c>
      <c r="H4324">
        <v>0</v>
      </c>
    </row>
    <row r="4325" spans="1:8" x14ac:dyDescent="0.15">
      <c r="A4325">
        <v>4324</v>
      </c>
      <c r="B4325" t="s">
        <v>339</v>
      </c>
      <c r="C4325" t="s">
        <v>353</v>
      </c>
      <c r="D4325" t="s">
        <v>7927</v>
      </c>
      <c r="E4325" t="s">
        <v>7926</v>
      </c>
      <c r="F4325" s="46">
        <v>46097.325920509262</v>
      </c>
      <c r="G4325" s="46">
        <v>46097.325920509262</v>
      </c>
      <c r="H4325">
        <v>0</v>
      </c>
    </row>
    <row r="4326" spans="1:8" x14ac:dyDescent="0.15">
      <c r="A4326">
        <v>4325</v>
      </c>
      <c r="B4326" t="s">
        <v>339</v>
      </c>
      <c r="C4326" t="s">
        <v>353</v>
      </c>
      <c r="D4326" t="s">
        <v>7928</v>
      </c>
      <c r="E4326" t="s">
        <v>7929</v>
      </c>
      <c r="F4326" s="46">
        <v>46097.325920509262</v>
      </c>
      <c r="G4326" s="46">
        <v>46097.325920509262</v>
      </c>
      <c r="H4326">
        <v>0</v>
      </c>
    </row>
    <row r="4327" spans="1:8" x14ac:dyDescent="0.15">
      <c r="A4327">
        <v>4326</v>
      </c>
      <c r="B4327" t="s">
        <v>339</v>
      </c>
      <c r="C4327" t="s">
        <v>353</v>
      </c>
      <c r="D4327" t="s">
        <v>7930</v>
      </c>
      <c r="E4327" t="s">
        <v>7931</v>
      </c>
      <c r="F4327" s="46">
        <v>46097.325920509262</v>
      </c>
      <c r="G4327" s="46">
        <v>46097.325920509262</v>
      </c>
      <c r="H4327">
        <v>0</v>
      </c>
    </row>
    <row r="4328" spans="1:8" x14ac:dyDescent="0.15">
      <c r="A4328">
        <v>4327</v>
      </c>
      <c r="B4328" t="s">
        <v>339</v>
      </c>
      <c r="C4328" t="s">
        <v>353</v>
      </c>
      <c r="D4328" t="s">
        <v>7932</v>
      </c>
      <c r="E4328" t="s">
        <v>7931</v>
      </c>
      <c r="F4328" s="46">
        <v>46097.325920509262</v>
      </c>
      <c r="G4328" s="46">
        <v>46097.325920682873</v>
      </c>
      <c r="H4328">
        <v>16</v>
      </c>
    </row>
    <row r="4329" spans="1:8" x14ac:dyDescent="0.15">
      <c r="A4329">
        <v>4328</v>
      </c>
      <c r="B4329" t="s">
        <v>339</v>
      </c>
      <c r="C4329" t="s">
        <v>353</v>
      </c>
      <c r="D4329" t="s">
        <v>7933</v>
      </c>
      <c r="E4329" t="s">
        <v>7934</v>
      </c>
      <c r="F4329" s="46">
        <v>46097.325920682873</v>
      </c>
      <c r="G4329" s="46">
        <v>46097.325920682873</v>
      </c>
      <c r="H4329">
        <v>0</v>
      </c>
    </row>
    <row r="4330" spans="1:8" x14ac:dyDescent="0.15">
      <c r="A4330">
        <v>4329</v>
      </c>
      <c r="B4330" t="s">
        <v>339</v>
      </c>
      <c r="C4330" t="s">
        <v>353</v>
      </c>
      <c r="D4330" t="s">
        <v>7935</v>
      </c>
      <c r="E4330" t="s">
        <v>7936</v>
      </c>
      <c r="F4330" s="46">
        <v>46097.325920682873</v>
      </c>
      <c r="G4330" s="46">
        <v>46097.325920682873</v>
      </c>
      <c r="H4330">
        <v>0</v>
      </c>
    </row>
    <row r="4331" spans="1:8" x14ac:dyDescent="0.15">
      <c r="A4331">
        <v>4330</v>
      </c>
      <c r="B4331" t="s">
        <v>339</v>
      </c>
      <c r="C4331" t="s">
        <v>353</v>
      </c>
      <c r="D4331" t="s">
        <v>7937</v>
      </c>
      <c r="E4331" t="s">
        <v>7938</v>
      </c>
      <c r="F4331" s="46">
        <v>46097.325920682873</v>
      </c>
      <c r="G4331" s="46">
        <v>46097.325920682873</v>
      </c>
      <c r="H4331">
        <v>0</v>
      </c>
    </row>
    <row r="4332" spans="1:8" x14ac:dyDescent="0.15">
      <c r="A4332">
        <v>4331</v>
      </c>
      <c r="B4332" t="s">
        <v>339</v>
      </c>
      <c r="C4332" t="s">
        <v>353</v>
      </c>
      <c r="D4332" t="s">
        <v>7939</v>
      </c>
      <c r="E4332" t="s">
        <v>7940</v>
      </c>
      <c r="F4332" s="46">
        <v>46097.325920682873</v>
      </c>
      <c r="G4332" s="46">
        <v>46097.325920682873</v>
      </c>
      <c r="H4332">
        <v>0</v>
      </c>
    </row>
    <row r="4333" spans="1:8" x14ac:dyDescent="0.15">
      <c r="A4333">
        <v>4332</v>
      </c>
      <c r="B4333" t="s">
        <v>339</v>
      </c>
      <c r="C4333" t="s">
        <v>353</v>
      </c>
      <c r="D4333" t="s">
        <v>7941</v>
      </c>
      <c r="E4333" t="s">
        <v>7942</v>
      </c>
      <c r="F4333" s="46">
        <v>46097.325920682873</v>
      </c>
      <c r="G4333" s="46">
        <v>46097.325920682873</v>
      </c>
      <c r="H4333">
        <v>0</v>
      </c>
    </row>
    <row r="4334" spans="1:8" x14ac:dyDescent="0.15">
      <c r="A4334">
        <v>4333</v>
      </c>
      <c r="B4334" t="s">
        <v>339</v>
      </c>
      <c r="C4334" t="s">
        <v>353</v>
      </c>
      <c r="D4334" t="s">
        <v>7943</v>
      </c>
      <c r="E4334" t="s">
        <v>7942</v>
      </c>
      <c r="F4334" s="46">
        <v>46097.325920682873</v>
      </c>
      <c r="G4334" s="46">
        <v>46097.325920682873</v>
      </c>
      <c r="H4334">
        <v>0</v>
      </c>
    </row>
    <row r="4335" spans="1:8" x14ac:dyDescent="0.15">
      <c r="A4335">
        <v>4334</v>
      </c>
      <c r="B4335" t="s">
        <v>339</v>
      </c>
      <c r="C4335" t="s">
        <v>353</v>
      </c>
      <c r="D4335" t="s">
        <v>7944</v>
      </c>
      <c r="E4335" t="s">
        <v>7945</v>
      </c>
      <c r="F4335" s="46">
        <v>46097.325920682873</v>
      </c>
      <c r="G4335" s="46">
        <v>46097.325920682873</v>
      </c>
      <c r="H4335">
        <v>0</v>
      </c>
    </row>
    <row r="4336" spans="1:8" x14ac:dyDescent="0.15">
      <c r="A4336">
        <v>4335</v>
      </c>
      <c r="B4336" t="s">
        <v>339</v>
      </c>
      <c r="C4336" t="s">
        <v>353</v>
      </c>
      <c r="D4336" t="s">
        <v>7946</v>
      </c>
      <c r="E4336" t="s">
        <v>7945</v>
      </c>
      <c r="F4336" s="46">
        <v>46097.325920682873</v>
      </c>
      <c r="G4336" s="46">
        <v>46097.325920682873</v>
      </c>
      <c r="H4336">
        <v>0</v>
      </c>
    </row>
    <row r="4337" spans="1:8" x14ac:dyDescent="0.15">
      <c r="A4337">
        <v>4336</v>
      </c>
      <c r="B4337" t="s">
        <v>339</v>
      </c>
      <c r="C4337" t="s">
        <v>353</v>
      </c>
      <c r="D4337" t="s">
        <v>7947</v>
      </c>
      <c r="E4337" t="s">
        <v>7948</v>
      </c>
      <c r="F4337" s="46">
        <v>46097.325920682873</v>
      </c>
      <c r="G4337" s="46">
        <v>46097.325920682873</v>
      </c>
      <c r="H4337">
        <v>0</v>
      </c>
    </row>
    <row r="4338" spans="1:8" x14ac:dyDescent="0.15">
      <c r="A4338">
        <v>4337</v>
      </c>
      <c r="B4338" t="s">
        <v>339</v>
      </c>
      <c r="C4338" t="s">
        <v>353</v>
      </c>
      <c r="D4338" t="s">
        <v>7949</v>
      </c>
      <c r="E4338" t="s">
        <v>7950</v>
      </c>
      <c r="F4338" s="46">
        <v>46097.325920682873</v>
      </c>
      <c r="G4338" s="46">
        <v>46097.325920868047</v>
      </c>
      <c r="H4338">
        <v>15</v>
      </c>
    </row>
    <row r="4339" spans="1:8" x14ac:dyDescent="0.15">
      <c r="A4339">
        <v>4338</v>
      </c>
      <c r="B4339" t="s">
        <v>339</v>
      </c>
      <c r="C4339" t="s">
        <v>353</v>
      </c>
      <c r="D4339" t="s">
        <v>7951</v>
      </c>
      <c r="E4339" t="s">
        <v>7952</v>
      </c>
      <c r="F4339" s="46">
        <v>46097.325920868047</v>
      </c>
      <c r="G4339" s="46">
        <v>46097.325920868047</v>
      </c>
      <c r="H4339">
        <v>0</v>
      </c>
    </row>
    <row r="4340" spans="1:8" x14ac:dyDescent="0.15">
      <c r="A4340">
        <v>4339</v>
      </c>
      <c r="B4340" t="s">
        <v>339</v>
      </c>
      <c r="C4340" t="s">
        <v>353</v>
      </c>
      <c r="D4340" t="s">
        <v>7953</v>
      </c>
      <c r="E4340" t="s">
        <v>7954</v>
      </c>
      <c r="F4340" s="46">
        <v>46097.325920868047</v>
      </c>
      <c r="G4340" s="46">
        <v>46097.325920868047</v>
      </c>
      <c r="H4340">
        <v>0</v>
      </c>
    </row>
    <row r="4341" spans="1:8" x14ac:dyDescent="0.15">
      <c r="A4341">
        <v>4340</v>
      </c>
      <c r="B4341" t="s">
        <v>339</v>
      </c>
      <c r="C4341" t="s">
        <v>353</v>
      </c>
      <c r="D4341" t="s">
        <v>7955</v>
      </c>
      <c r="E4341" t="s">
        <v>7954</v>
      </c>
      <c r="F4341" s="46">
        <v>46097.325920868047</v>
      </c>
      <c r="G4341" s="46">
        <v>46097.325920868047</v>
      </c>
      <c r="H4341">
        <v>0</v>
      </c>
    </row>
    <row r="4342" spans="1:8" x14ac:dyDescent="0.15">
      <c r="A4342">
        <v>4341</v>
      </c>
      <c r="B4342" t="s">
        <v>339</v>
      </c>
      <c r="C4342" t="s">
        <v>353</v>
      </c>
      <c r="D4342" t="s">
        <v>7956</v>
      </c>
      <c r="E4342" t="s">
        <v>7954</v>
      </c>
      <c r="F4342" s="46">
        <v>46097.325920868047</v>
      </c>
      <c r="G4342" s="46">
        <v>46097.325920868047</v>
      </c>
      <c r="H4342">
        <v>0</v>
      </c>
    </row>
    <row r="4343" spans="1:8" x14ac:dyDescent="0.15">
      <c r="A4343">
        <v>4342</v>
      </c>
      <c r="B4343" t="s">
        <v>339</v>
      </c>
      <c r="C4343" t="s">
        <v>353</v>
      </c>
      <c r="D4343" t="s">
        <v>7957</v>
      </c>
      <c r="E4343" t="s">
        <v>7958</v>
      </c>
      <c r="F4343" s="46">
        <v>46097.325920868047</v>
      </c>
      <c r="G4343" s="46">
        <v>46097.325920868047</v>
      </c>
      <c r="H4343">
        <v>0</v>
      </c>
    </row>
    <row r="4344" spans="1:8" x14ac:dyDescent="0.15">
      <c r="A4344">
        <v>4343</v>
      </c>
      <c r="B4344" t="s">
        <v>339</v>
      </c>
      <c r="C4344" t="s">
        <v>353</v>
      </c>
      <c r="D4344" t="s">
        <v>7959</v>
      </c>
      <c r="E4344" t="s">
        <v>7958</v>
      </c>
      <c r="F4344" s="46">
        <v>46097.325920868047</v>
      </c>
      <c r="G4344" s="46">
        <v>46097.325920868047</v>
      </c>
      <c r="H4344">
        <v>0</v>
      </c>
    </row>
    <row r="4345" spans="1:8" x14ac:dyDescent="0.15">
      <c r="A4345">
        <v>4344</v>
      </c>
      <c r="B4345" t="s">
        <v>339</v>
      </c>
      <c r="C4345" t="s">
        <v>353</v>
      </c>
      <c r="D4345" t="s">
        <v>7960</v>
      </c>
      <c r="E4345" t="s">
        <v>7958</v>
      </c>
      <c r="F4345" s="46">
        <v>46097.325920868047</v>
      </c>
      <c r="G4345" s="46">
        <v>46097.325920868047</v>
      </c>
      <c r="H4345">
        <v>0</v>
      </c>
    </row>
    <row r="4346" spans="1:8" x14ac:dyDescent="0.15">
      <c r="A4346">
        <v>4345</v>
      </c>
      <c r="B4346" t="s">
        <v>339</v>
      </c>
      <c r="C4346" t="s">
        <v>353</v>
      </c>
      <c r="D4346" t="s">
        <v>7961</v>
      </c>
      <c r="E4346" t="s">
        <v>7962</v>
      </c>
      <c r="F4346" s="46">
        <v>46097.325920868047</v>
      </c>
      <c r="G4346" s="46">
        <v>46097.325920868047</v>
      </c>
      <c r="H4346">
        <v>0</v>
      </c>
    </row>
    <row r="4347" spans="1:8" x14ac:dyDescent="0.15">
      <c r="A4347">
        <v>4346</v>
      </c>
      <c r="B4347" t="s">
        <v>339</v>
      </c>
      <c r="C4347" t="s">
        <v>353</v>
      </c>
      <c r="D4347" t="s">
        <v>7963</v>
      </c>
      <c r="E4347" t="s">
        <v>7962</v>
      </c>
      <c r="F4347" s="46">
        <v>46097.325920868047</v>
      </c>
      <c r="G4347" s="46">
        <v>46097.325920868047</v>
      </c>
      <c r="H4347">
        <v>0</v>
      </c>
    </row>
    <row r="4348" spans="1:8" x14ac:dyDescent="0.15">
      <c r="A4348">
        <v>4347</v>
      </c>
      <c r="B4348" t="s">
        <v>339</v>
      </c>
      <c r="C4348" t="s">
        <v>353</v>
      </c>
      <c r="D4348" t="s">
        <v>7964</v>
      </c>
      <c r="E4348" t="s">
        <v>7962</v>
      </c>
      <c r="F4348" s="46">
        <v>46097.325920868047</v>
      </c>
      <c r="G4348" s="46">
        <v>46097.325921041673</v>
      </c>
      <c r="H4348">
        <v>16</v>
      </c>
    </row>
    <row r="4349" spans="1:8" x14ac:dyDescent="0.15">
      <c r="A4349">
        <v>4348</v>
      </c>
      <c r="B4349" t="s">
        <v>339</v>
      </c>
      <c r="C4349" t="s">
        <v>353</v>
      </c>
      <c r="D4349" t="s">
        <v>7965</v>
      </c>
      <c r="E4349" t="s">
        <v>7966</v>
      </c>
      <c r="F4349" s="46">
        <v>46097.325921041673</v>
      </c>
      <c r="G4349" s="46">
        <v>46097.325921041673</v>
      </c>
      <c r="H4349">
        <v>0</v>
      </c>
    </row>
    <row r="4350" spans="1:8" x14ac:dyDescent="0.15">
      <c r="A4350">
        <v>4349</v>
      </c>
      <c r="B4350" t="s">
        <v>339</v>
      </c>
      <c r="C4350" t="s">
        <v>353</v>
      </c>
      <c r="D4350" t="s">
        <v>7967</v>
      </c>
      <c r="E4350" t="s">
        <v>7968</v>
      </c>
      <c r="F4350" s="46">
        <v>46097.325921041673</v>
      </c>
      <c r="G4350" s="46">
        <v>46097.325921041673</v>
      </c>
      <c r="H4350">
        <v>0</v>
      </c>
    </row>
    <row r="4351" spans="1:8" x14ac:dyDescent="0.15">
      <c r="A4351">
        <v>4350</v>
      </c>
      <c r="B4351" t="s">
        <v>339</v>
      </c>
      <c r="C4351" t="s">
        <v>353</v>
      </c>
      <c r="D4351" t="s">
        <v>7969</v>
      </c>
      <c r="E4351" t="s">
        <v>7968</v>
      </c>
      <c r="F4351" s="46">
        <v>46097.325921041673</v>
      </c>
      <c r="G4351" s="46">
        <v>46097.325921041673</v>
      </c>
      <c r="H4351">
        <v>0</v>
      </c>
    </row>
    <row r="4352" spans="1:8" x14ac:dyDescent="0.15">
      <c r="A4352">
        <v>4351</v>
      </c>
      <c r="B4352" t="s">
        <v>339</v>
      </c>
      <c r="C4352" t="s">
        <v>353</v>
      </c>
      <c r="D4352" t="s">
        <v>7970</v>
      </c>
      <c r="E4352" t="s">
        <v>7971</v>
      </c>
      <c r="F4352" s="46">
        <v>46097.325921041673</v>
      </c>
      <c r="G4352" s="46">
        <v>46097.325921041673</v>
      </c>
      <c r="H4352">
        <v>0</v>
      </c>
    </row>
    <row r="4353" spans="1:8" x14ac:dyDescent="0.15">
      <c r="A4353">
        <v>4352</v>
      </c>
      <c r="B4353" t="s">
        <v>339</v>
      </c>
      <c r="C4353" t="s">
        <v>353</v>
      </c>
      <c r="D4353" t="s">
        <v>7972</v>
      </c>
      <c r="E4353" t="s">
        <v>7971</v>
      </c>
      <c r="F4353" s="46">
        <v>46097.325921041673</v>
      </c>
      <c r="G4353" s="46">
        <v>46097.325921041673</v>
      </c>
      <c r="H4353">
        <v>0</v>
      </c>
    </row>
    <row r="4354" spans="1:8" x14ac:dyDescent="0.15">
      <c r="A4354">
        <v>4353</v>
      </c>
      <c r="B4354" t="s">
        <v>339</v>
      </c>
      <c r="C4354" t="s">
        <v>353</v>
      </c>
      <c r="D4354" t="s">
        <v>7973</v>
      </c>
      <c r="E4354" t="s">
        <v>7971</v>
      </c>
      <c r="F4354" s="46">
        <v>46097.325921041673</v>
      </c>
      <c r="G4354" s="46">
        <v>46097.325921041673</v>
      </c>
      <c r="H4354">
        <v>0</v>
      </c>
    </row>
    <row r="4355" spans="1:8" x14ac:dyDescent="0.15">
      <c r="A4355">
        <v>4354</v>
      </c>
      <c r="B4355" t="s">
        <v>339</v>
      </c>
      <c r="C4355" t="s">
        <v>353</v>
      </c>
      <c r="D4355" t="s">
        <v>7974</v>
      </c>
      <c r="E4355" t="s">
        <v>7971</v>
      </c>
      <c r="F4355" s="46">
        <v>46097.325921041673</v>
      </c>
      <c r="G4355" s="46">
        <v>46097.325921041673</v>
      </c>
      <c r="H4355">
        <v>0</v>
      </c>
    </row>
    <row r="4356" spans="1:8" x14ac:dyDescent="0.15">
      <c r="A4356">
        <v>4355</v>
      </c>
      <c r="B4356" t="s">
        <v>339</v>
      </c>
      <c r="C4356" t="s">
        <v>353</v>
      </c>
      <c r="D4356" t="s">
        <v>7975</v>
      </c>
      <c r="E4356" t="s">
        <v>7971</v>
      </c>
      <c r="F4356" s="46">
        <v>46097.325921041673</v>
      </c>
      <c r="G4356" s="46">
        <v>46097.325921041673</v>
      </c>
      <c r="H4356">
        <v>0</v>
      </c>
    </row>
    <row r="4357" spans="1:8" x14ac:dyDescent="0.15">
      <c r="A4357">
        <v>4356</v>
      </c>
      <c r="B4357" t="s">
        <v>339</v>
      </c>
      <c r="C4357" t="s">
        <v>353</v>
      </c>
      <c r="D4357" t="s">
        <v>7976</v>
      </c>
      <c r="E4357" t="s">
        <v>7971</v>
      </c>
      <c r="F4357" s="46">
        <v>46097.325921041673</v>
      </c>
      <c r="G4357" s="46">
        <v>46097.325921041673</v>
      </c>
      <c r="H4357">
        <v>0</v>
      </c>
    </row>
    <row r="4358" spans="1:8" x14ac:dyDescent="0.15">
      <c r="A4358">
        <v>4357</v>
      </c>
      <c r="B4358" t="s">
        <v>339</v>
      </c>
      <c r="C4358" t="s">
        <v>353</v>
      </c>
      <c r="D4358" t="s">
        <v>7977</v>
      </c>
      <c r="E4358" t="s">
        <v>7971</v>
      </c>
      <c r="F4358" s="46">
        <v>46097.325921041673</v>
      </c>
      <c r="G4358" s="46">
        <v>46097.325921041673</v>
      </c>
      <c r="H4358">
        <v>0</v>
      </c>
    </row>
    <row r="4359" spans="1:8" x14ac:dyDescent="0.15">
      <c r="A4359">
        <v>4358</v>
      </c>
      <c r="B4359" t="s">
        <v>339</v>
      </c>
      <c r="C4359" t="s">
        <v>353</v>
      </c>
      <c r="D4359" t="s">
        <v>7978</v>
      </c>
      <c r="E4359" t="s">
        <v>7971</v>
      </c>
      <c r="F4359" s="46">
        <v>46097.325921041673</v>
      </c>
      <c r="G4359" s="46">
        <v>46097.325921226853</v>
      </c>
      <c r="H4359">
        <v>16</v>
      </c>
    </row>
    <row r="4360" spans="1:8" x14ac:dyDescent="0.15">
      <c r="A4360">
        <v>4359</v>
      </c>
      <c r="B4360" t="s">
        <v>339</v>
      </c>
      <c r="C4360" t="s">
        <v>353</v>
      </c>
      <c r="D4360" t="s">
        <v>7979</v>
      </c>
      <c r="E4360" t="s">
        <v>7971</v>
      </c>
      <c r="F4360" s="46">
        <v>46097.325921226853</v>
      </c>
      <c r="G4360" s="46">
        <v>46097.325921226853</v>
      </c>
      <c r="H4360">
        <v>0</v>
      </c>
    </row>
    <row r="4361" spans="1:8" x14ac:dyDescent="0.15">
      <c r="A4361">
        <v>4360</v>
      </c>
      <c r="B4361" t="s">
        <v>339</v>
      </c>
      <c r="C4361" t="s">
        <v>353</v>
      </c>
      <c r="D4361" t="s">
        <v>7980</v>
      </c>
      <c r="E4361" t="s">
        <v>7971</v>
      </c>
      <c r="F4361" s="46">
        <v>46097.325921226853</v>
      </c>
      <c r="G4361" s="46">
        <v>46097.325921226853</v>
      </c>
      <c r="H4361">
        <v>0</v>
      </c>
    </row>
    <row r="4362" spans="1:8" x14ac:dyDescent="0.15">
      <c r="A4362">
        <v>4361</v>
      </c>
      <c r="B4362" t="s">
        <v>339</v>
      </c>
      <c r="C4362" t="s">
        <v>353</v>
      </c>
      <c r="D4362" t="s">
        <v>7981</v>
      </c>
      <c r="E4362" t="s">
        <v>7971</v>
      </c>
      <c r="F4362" s="46">
        <v>46097.325921226853</v>
      </c>
      <c r="G4362" s="46">
        <v>46097.325921226853</v>
      </c>
      <c r="H4362">
        <v>0</v>
      </c>
    </row>
    <row r="4363" spans="1:8" x14ac:dyDescent="0.15">
      <c r="A4363">
        <v>4362</v>
      </c>
      <c r="B4363" t="s">
        <v>339</v>
      </c>
      <c r="C4363" t="s">
        <v>353</v>
      </c>
      <c r="D4363" t="s">
        <v>7982</v>
      </c>
      <c r="E4363" t="s">
        <v>7983</v>
      </c>
      <c r="F4363" s="46">
        <v>46097.325921226853</v>
      </c>
      <c r="G4363" s="46">
        <v>46097.325921226853</v>
      </c>
      <c r="H4363">
        <v>0</v>
      </c>
    </row>
    <row r="4364" spans="1:8" x14ac:dyDescent="0.15">
      <c r="A4364">
        <v>4363</v>
      </c>
      <c r="B4364" t="s">
        <v>339</v>
      </c>
      <c r="C4364" t="s">
        <v>353</v>
      </c>
      <c r="D4364" t="s">
        <v>7984</v>
      </c>
      <c r="E4364" t="s">
        <v>7985</v>
      </c>
      <c r="F4364" s="46">
        <v>46097.325921226853</v>
      </c>
      <c r="G4364" s="46">
        <v>46097.325921226853</v>
      </c>
      <c r="H4364">
        <v>0</v>
      </c>
    </row>
    <row r="4365" spans="1:8" x14ac:dyDescent="0.15">
      <c r="A4365">
        <v>4364</v>
      </c>
      <c r="B4365" t="s">
        <v>339</v>
      </c>
      <c r="C4365" t="s">
        <v>353</v>
      </c>
      <c r="D4365" t="s">
        <v>7986</v>
      </c>
      <c r="E4365" t="s">
        <v>7987</v>
      </c>
      <c r="F4365" s="46">
        <v>46097.325921226853</v>
      </c>
      <c r="G4365" s="46">
        <v>46097.325921226853</v>
      </c>
      <c r="H4365">
        <v>0</v>
      </c>
    </row>
    <row r="4366" spans="1:8" x14ac:dyDescent="0.15">
      <c r="A4366">
        <v>4365</v>
      </c>
      <c r="B4366" t="s">
        <v>339</v>
      </c>
      <c r="C4366" t="s">
        <v>353</v>
      </c>
      <c r="D4366" t="s">
        <v>7988</v>
      </c>
      <c r="E4366" t="s">
        <v>7987</v>
      </c>
      <c r="F4366" s="46">
        <v>46097.325921226853</v>
      </c>
      <c r="G4366" s="46">
        <v>46097.325921226853</v>
      </c>
      <c r="H4366">
        <v>0</v>
      </c>
    </row>
    <row r="4367" spans="1:8" x14ac:dyDescent="0.15">
      <c r="A4367">
        <v>4366</v>
      </c>
      <c r="B4367" t="s">
        <v>339</v>
      </c>
      <c r="C4367" t="s">
        <v>353</v>
      </c>
      <c r="D4367" t="s">
        <v>7989</v>
      </c>
      <c r="E4367" t="s">
        <v>7990</v>
      </c>
      <c r="F4367" s="46">
        <v>46097.325921226853</v>
      </c>
      <c r="G4367" s="46">
        <v>46097.325921226853</v>
      </c>
      <c r="H4367">
        <v>0</v>
      </c>
    </row>
    <row r="4368" spans="1:8" x14ac:dyDescent="0.15">
      <c r="A4368">
        <v>4367</v>
      </c>
      <c r="B4368" t="s">
        <v>339</v>
      </c>
      <c r="C4368" t="s">
        <v>353</v>
      </c>
      <c r="D4368" t="s">
        <v>7991</v>
      </c>
      <c r="E4368" t="s">
        <v>7990</v>
      </c>
      <c r="F4368" s="46">
        <v>46097.325921226853</v>
      </c>
      <c r="G4368" s="46">
        <v>46097.325921226853</v>
      </c>
      <c r="H4368">
        <v>0</v>
      </c>
    </row>
    <row r="4369" spans="1:8" x14ac:dyDescent="0.15">
      <c r="A4369">
        <v>4368</v>
      </c>
      <c r="B4369" t="s">
        <v>339</v>
      </c>
      <c r="C4369" t="s">
        <v>353</v>
      </c>
      <c r="D4369" t="s">
        <v>7992</v>
      </c>
      <c r="E4369" t="s">
        <v>7993</v>
      </c>
      <c r="F4369" s="46">
        <v>46097.325921226853</v>
      </c>
      <c r="G4369" s="46">
        <v>46097.325921226853</v>
      </c>
      <c r="H4369">
        <v>0</v>
      </c>
    </row>
    <row r="4370" spans="1:8" x14ac:dyDescent="0.15">
      <c r="A4370">
        <v>4369</v>
      </c>
      <c r="B4370" t="s">
        <v>339</v>
      </c>
      <c r="C4370" t="s">
        <v>353</v>
      </c>
      <c r="D4370" t="s">
        <v>7994</v>
      </c>
      <c r="E4370" t="s">
        <v>7993</v>
      </c>
      <c r="F4370" s="46">
        <v>46097.325921412033</v>
      </c>
      <c r="G4370" s="46">
        <v>46097.325921412033</v>
      </c>
      <c r="H4370">
        <v>0</v>
      </c>
    </row>
    <row r="4371" spans="1:8" x14ac:dyDescent="0.15">
      <c r="A4371">
        <v>4370</v>
      </c>
      <c r="B4371" t="s">
        <v>339</v>
      </c>
      <c r="C4371" t="s">
        <v>353</v>
      </c>
      <c r="D4371" t="s">
        <v>7995</v>
      </c>
      <c r="E4371" t="s">
        <v>7993</v>
      </c>
      <c r="F4371" s="46">
        <v>46097.325921412033</v>
      </c>
      <c r="G4371" s="46">
        <v>46097.325921412033</v>
      </c>
      <c r="H4371">
        <v>0</v>
      </c>
    </row>
    <row r="4372" spans="1:8" x14ac:dyDescent="0.15">
      <c r="A4372">
        <v>4371</v>
      </c>
      <c r="B4372" t="s">
        <v>339</v>
      </c>
      <c r="C4372" t="s">
        <v>353</v>
      </c>
      <c r="D4372" t="s">
        <v>7996</v>
      </c>
      <c r="E4372" t="s">
        <v>7993</v>
      </c>
      <c r="F4372" s="46">
        <v>46097.325921412033</v>
      </c>
      <c r="G4372" s="46">
        <v>46097.325921412033</v>
      </c>
      <c r="H4372">
        <v>0</v>
      </c>
    </row>
    <row r="4373" spans="1:8" x14ac:dyDescent="0.15">
      <c r="A4373">
        <v>4372</v>
      </c>
      <c r="B4373" t="s">
        <v>339</v>
      </c>
      <c r="C4373" t="s">
        <v>353</v>
      </c>
      <c r="D4373" t="s">
        <v>7997</v>
      </c>
      <c r="E4373" t="s">
        <v>7998</v>
      </c>
      <c r="F4373" s="46">
        <v>46097.325921412033</v>
      </c>
      <c r="G4373" s="46">
        <v>46097.325921412033</v>
      </c>
      <c r="H4373">
        <v>0</v>
      </c>
    </row>
    <row r="4374" spans="1:8" x14ac:dyDescent="0.15">
      <c r="A4374">
        <v>4373</v>
      </c>
      <c r="B4374" t="s">
        <v>339</v>
      </c>
      <c r="C4374" t="s">
        <v>353</v>
      </c>
      <c r="D4374" t="s">
        <v>7999</v>
      </c>
      <c r="E4374" t="s">
        <v>8000</v>
      </c>
      <c r="F4374" s="46">
        <v>46097.325921412033</v>
      </c>
      <c r="G4374" s="46">
        <v>46097.325921412033</v>
      </c>
      <c r="H4374">
        <v>0</v>
      </c>
    </row>
    <row r="4375" spans="1:8" x14ac:dyDescent="0.15">
      <c r="A4375">
        <v>4374</v>
      </c>
      <c r="B4375" t="s">
        <v>339</v>
      </c>
      <c r="C4375" t="s">
        <v>353</v>
      </c>
      <c r="D4375" t="s">
        <v>8001</v>
      </c>
      <c r="E4375" t="s">
        <v>8000</v>
      </c>
      <c r="F4375" s="46">
        <v>46097.325921412033</v>
      </c>
      <c r="G4375" s="46">
        <v>46097.325921412033</v>
      </c>
      <c r="H4375">
        <v>0</v>
      </c>
    </row>
    <row r="4376" spans="1:8" x14ac:dyDescent="0.15">
      <c r="A4376">
        <v>4375</v>
      </c>
      <c r="B4376" t="s">
        <v>339</v>
      </c>
      <c r="C4376" t="s">
        <v>353</v>
      </c>
      <c r="D4376" t="s">
        <v>8002</v>
      </c>
      <c r="E4376" t="s">
        <v>8000</v>
      </c>
      <c r="F4376" s="46">
        <v>46097.325921412033</v>
      </c>
      <c r="G4376" s="46">
        <v>46097.325921412033</v>
      </c>
      <c r="H4376">
        <v>0</v>
      </c>
    </row>
    <row r="4377" spans="1:8" x14ac:dyDescent="0.15">
      <c r="A4377">
        <v>4376</v>
      </c>
      <c r="B4377" t="s">
        <v>339</v>
      </c>
      <c r="C4377" t="s">
        <v>353</v>
      </c>
      <c r="D4377" t="s">
        <v>8003</v>
      </c>
      <c r="E4377" t="s">
        <v>8000</v>
      </c>
      <c r="F4377" s="46">
        <v>46097.325921412033</v>
      </c>
      <c r="G4377" s="46">
        <v>46097.325921412033</v>
      </c>
      <c r="H4377">
        <v>0</v>
      </c>
    </row>
    <row r="4378" spans="1:8" x14ac:dyDescent="0.15">
      <c r="A4378">
        <v>4377</v>
      </c>
      <c r="B4378" t="s">
        <v>339</v>
      </c>
      <c r="C4378" t="s">
        <v>353</v>
      </c>
      <c r="D4378" t="s">
        <v>8004</v>
      </c>
      <c r="E4378" t="s">
        <v>8000</v>
      </c>
      <c r="F4378" s="46">
        <v>46097.325921412033</v>
      </c>
      <c r="G4378" s="46">
        <v>46097.325921412033</v>
      </c>
      <c r="H4378">
        <v>0</v>
      </c>
    </row>
    <row r="4379" spans="1:8" x14ac:dyDescent="0.15">
      <c r="A4379">
        <v>4378</v>
      </c>
      <c r="B4379" t="s">
        <v>339</v>
      </c>
      <c r="C4379" t="s">
        <v>353</v>
      </c>
      <c r="D4379" t="s">
        <v>8005</v>
      </c>
      <c r="E4379" t="s">
        <v>8000</v>
      </c>
      <c r="F4379" s="46">
        <v>46097.325921412033</v>
      </c>
      <c r="G4379" s="46">
        <v>46097.325921412033</v>
      </c>
      <c r="H4379">
        <v>0</v>
      </c>
    </row>
    <row r="4380" spans="1:8" x14ac:dyDescent="0.15">
      <c r="A4380">
        <v>4379</v>
      </c>
      <c r="B4380" t="s">
        <v>339</v>
      </c>
      <c r="C4380" t="s">
        <v>353</v>
      </c>
      <c r="D4380" t="s">
        <v>8006</v>
      </c>
      <c r="E4380" t="s">
        <v>8000</v>
      </c>
      <c r="F4380" s="46">
        <v>46097.325921412033</v>
      </c>
      <c r="G4380" s="46">
        <v>46097.325921585652</v>
      </c>
      <c r="H4380">
        <v>16</v>
      </c>
    </row>
    <row r="4381" spans="1:8" x14ac:dyDescent="0.15">
      <c r="A4381">
        <v>4380</v>
      </c>
      <c r="B4381" t="s">
        <v>339</v>
      </c>
      <c r="C4381" t="s">
        <v>353</v>
      </c>
      <c r="D4381" t="s">
        <v>8007</v>
      </c>
      <c r="E4381" t="s">
        <v>8000</v>
      </c>
      <c r="F4381" s="46">
        <v>46097.325921585652</v>
      </c>
      <c r="G4381" s="46">
        <v>46097.325921585652</v>
      </c>
      <c r="H4381">
        <v>0</v>
      </c>
    </row>
    <row r="4382" spans="1:8" x14ac:dyDescent="0.15">
      <c r="A4382">
        <v>4381</v>
      </c>
      <c r="B4382" t="s">
        <v>339</v>
      </c>
      <c r="C4382" t="s">
        <v>353</v>
      </c>
      <c r="D4382" t="s">
        <v>8008</v>
      </c>
      <c r="E4382" t="s">
        <v>8000</v>
      </c>
      <c r="F4382" s="46">
        <v>46097.325921585652</v>
      </c>
      <c r="G4382" s="46">
        <v>46097.325921585652</v>
      </c>
      <c r="H4382">
        <v>0</v>
      </c>
    </row>
    <row r="4383" spans="1:8" x14ac:dyDescent="0.15">
      <c r="A4383">
        <v>4382</v>
      </c>
      <c r="B4383" t="s">
        <v>339</v>
      </c>
      <c r="C4383" t="s">
        <v>353</v>
      </c>
      <c r="D4383" t="s">
        <v>8009</v>
      </c>
      <c r="E4383" t="s">
        <v>8000</v>
      </c>
      <c r="F4383" s="46">
        <v>46097.325921585652</v>
      </c>
      <c r="G4383" s="46">
        <v>46097.325921585652</v>
      </c>
      <c r="H4383">
        <v>0</v>
      </c>
    </row>
    <row r="4384" spans="1:8" x14ac:dyDescent="0.15">
      <c r="A4384">
        <v>4383</v>
      </c>
      <c r="B4384" t="s">
        <v>339</v>
      </c>
      <c r="C4384" t="s">
        <v>353</v>
      </c>
      <c r="D4384" t="s">
        <v>8010</v>
      </c>
      <c r="E4384" t="s">
        <v>8000</v>
      </c>
      <c r="F4384" s="46">
        <v>46097.325921585652</v>
      </c>
      <c r="G4384" s="46">
        <v>46097.325921585652</v>
      </c>
      <c r="H4384">
        <v>0</v>
      </c>
    </row>
    <row r="4385" spans="1:8" x14ac:dyDescent="0.15">
      <c r="A4385">
        <v>4384</v>
      </c>
      <c r="B4385" t="s">
        <v>339</v>
      </c>
      <c r="C4385" t="s">
        <v>353</v>
      </c>
      <c r="D4385" t="s">
        <v>8011</v>
      </c>
      <c r="E4385" t="s">
        <v>8012</v>
      </c>
      <c r="F4385" s="46">
        <v>46097.325921585652</v>
      </c>
      <c r="G4385" s="46">
        <v>46097.325921585652</v>
      </c>
      <c r="H4385">
        <v>0</v>
      </c>
    </row>
    <row r="4386" spans="1:8" x14ac:dyDescent="0.15">
      <c r="A4386">
        <v>4385</v>
      </c>
      <c r="B4386" t="s">
        <v>339</v>
      </c>
      <c r="C4386" t="s">
        <v>353</v>
      </c>
      <c r="D4386" t="s">
        <v>8013</v>
      </c>
      <c r="E4386" t="s">
        <v>8014</v>
      </c>
      <c r="F4386" s="46">
        <v>46097.325921585652</v>
      </c>
      <c r="G4386" s="46">
        <v>46097.325921585652</v>
      </c>
      <c r="H4386">
        <v>0</v>
      </c>
    </row>
    <row r="4387" spans="1:8" x14ac:dyDescent="0.15">
      <c r="A4387">
        <v>4386</v>
      </c>
      <c r="B4387" t="s">
        <v>339</v>
      </c>
      <c r="C4387" t="s">
        <v>353</v>
      </c>
      <c r="D4387" t="s">
        <v>8015</v>
      </c>
      <c r="E4387" t="s">
        <v>8016</v>
      </c>
      <c r="F4387" s="46">
        <v>46097.325921585652</v>
      </c>
      <c r="G4387" s="46">
        <v>46097.325921585652</v>
      </c>
      <c r="H4387">
        <v>0</v>
      </c>
    </row>
    <row r="4388" spans="1:8" x14ac:dyDescent="0.15">
      <c r="A4388">
        <v>4387</v>
      </c>
      <c r="B4388" t="s">
        <v>339</v>
      </c>
      <c r="C4388" t="s">
        <v>353</v>
      </c>
      <c r="D4388" t="s">
        <v>8017</v>
      </c>
      <c r="E4388" t="s">
        <v>8018</v>
      </c>
      <c r="F4388" s="46">
        <v>46097.325921585652</v>
      </c>
      <c r="G4388" s="46">
        <v>46097.325921585652</v>
      </c>
      <c r="H4388">
        <v>0</v>
      </c>
    </row>
    <row r="4389" spans="1:8" x14ac:dyDescent="0.15">
      <c r="A4389">
        <v>4388</v>
      </c>
      <c r="B4389" t="s">
        <v>339</v>
      </c>
      <c r="C4389" t="s">
        <v>353</v>
      </c>
      <c r="D4389" t="s">
        <v>8019</v>
      </c>
      <c r="E4389" t="s">
        <v>8018</v>
      </c>
      <c r="F4389" s="46">
        <v>46097.325921585652</v>
      </c>
      <c r="G4389" s="46">
        <v>46097.325921585652</v>
      </c>
      <c r="H4389">
        <v>0</v>
      </c>
    </row>
    <row r="4390" spans="1:8" x14ac:dyDescent="0.15">
      <c r="A4390">
        <v>4389</v>
      </c>
      <c r="B4390" t="s">
        <v>339</v>
      </c>
      <c r="C4390" t="s">
        <v>353</v>
      </c>
      <c r="D4390" t="s">
        <v>8020</v>
      </c>
      <c r="E4390" t="s">
        <v>8018</v>
      </c>
      <c r="F4390" s="46">
        <v>46097.325921585652</v>
      </c>
      <c r="G4390" s="46">
        <v>46097.325921770833</v>
      </c>
      <c r="H4390">
        <v>15</v>
      </c>
    </row>
    <row r="4391" spans="1:8" x14ac:dyDescent="0.15">
      <c r="A4391">
        <v>4390</v>
      </c>
      <c r="B4391" t="s">
        <v>339</v>
      </c>
      <c r="C4391" t="s">
        <v>353</v>
      </c>
      <c r="D4391" t="s">
        <v>8021</v>
      </c>
      <c r="E4391" t="s">
        <v>8022</v>
      </c>
      <c r="F4391" s="46">
        <v>46097.325921770833</v>
      </c>
      <c r="G4391" s="46">
        <v>46097.325921770833</v>
      </c>
      <c r="H4391">
        <v>0</v>
      </c>
    </row>
    <row r="4392" spans="1:8" x14ac:dyDescent="0.15">
      <c r="A4392">
        <v>4391</v>
      </c>
      <c r="B4392" t="s">
        <v>339</v>
      </c>
      <c r="C4392" t="s">
        <v>353</v>
      </c>
      <c r="D4392" t="s">
        <v>8023</v>
      </c>
      <c r="E4392" t="s">
        <v>8022</v>
      </c>
      <c r="F4392" s="46">
        <v>46097.325921770833</v>
      </c>
      <c r="G4392" s="46">
        <v>46097.325921770833</v>
      </c>
      <c r="H4392">
        <v>0</v>
      </c>
    </row>
    <row r="4393" spans="1:8" x14ac:dyDescent="0.15">
      <c r="A4393">
        <v>4392</v>
      </c>
      <c r="B4393" t="s">
        <v>339</v>
      </c>
      <c r="C4393" t="s">
        <v>353</v>
      </c>
      <c r="D4393" t="s">
        <v>8024</v>
      </c>
      <c r="E4393" t="s">
        <v>8022</v>
      </c>
      <c r="F4393" s="46">
        <v>46097.325921770833</v>
      </c>
      <c r="G4393" s="46">
        <v>46097.325921770833</v>
      </c>
      <c r="H4393">
        <v>0</v>
      </c>
    </row>
    <row r="4394" spans="1:8" x14ac:dyDescent="0.15">
      <c r="A4394">
        <v>4393</v>
      </c>
      <c r="B4394" t="s">
        <v>339</v>
      </c>
      <c r="C4394" t="s">
        <v>353</v>
      </c>
      <c r="D4394" t="s">
        <v>8025</v>
      </c>
      <c r="E4394" t="s">
        <v>8022</v>
      </c>
      <c r="F4394" s="46">
        <v>46097.325921770833</v>
      </c>
      <c r="G4394" s="46">
        <v>46097.325921770833</v>
      </c>
      <c r="H4394">
        <v>0</v>
      </c>
    </row>
    <row r="4395" spans="1:8" x14ac:dyDescent="0.15">
      <c r="A4395">
        <v>4394</v>
      </c>
      <c r="B4395" t="s">
        <v>339</v>
      </c>
      <c r="C4395" t="s">
        <v>353</v>
      </c>
      <c r="D4395" t="s">
        <v>8026</v>
      </c>
      <c r="E4395" t="s">
        <v>8022</v>
      </c>
      <c r="F4395" s="46">
        <v>46097.325921770833</v>
      </c>
      <c r="G4395" s="46">
        <v>46097.325921770833</v>
      </c>
      <c r="H4395">
        <v>0</v>
      </c>
    </row>
    <row r="4396" spans="1:8" x14ac:dyDescent="0.15">
      <c r="A4396">
        <v>4395</v>
      </c>
      <c r="B4396" t="s">
        <v>339</v>
      </c>
      <c r="C4396" t="s">
        <v>353</v>
      </c>
      <c r="D4396" t="s">
        <v>8027</v>
      </c>
      <c r="E4396" t="s">
        <v>8028</v>
      </c>
      <c r="F4396" s="46">
        <v>46097.325921770833</v>
      </c>
      <c r="G4396" s="46">
        <v>46097.325921770833</v>
      </c>
      <c r="H4396">
        <v>0</v>
      </c>
    </row>
    <row r="4397" spans="1:8" x14ac:dyDescent="0.15">
      <c r="A4397">
        <v>4396</v>
      </c>
      <c r="B4397" t="s">
        <v>339</v>
      </c>
      <c r="C4397" t="s">
        <v>353</v>
      </c>
      <c r="D4397" t="s">
        <v>8029</v>
      </c>
      <c r="E4397" t="s">
        <v>8028</v>
      </c>
      <c r="F4397" s="46">
        <v>46097.325921770833</v>
      </c>
      <c r="G4397" s="46">
        <v>46097.325921770833</v>
      </c>
      <c r="H4397">
        <v>0</v>
      </c>
    </row>
    <row r="4398" spans="1:8" x14ac:dyDescent="0.15">
      <c r="A4398">
        <v>4397</v>
      </c>
      <c r="B4398" t="s">
        <v>339</v>
      </c>
      <c r="C4398" t="s">
        <v>353</v>
      </c>
      <c r="D4398" t="s">
        <v>8030</v>
      </c>
      <c r="E4398" t="s">
        <v>8031</v>
      </c>
      <c r="F4398" s="46">
        <v>46097.325921770833</v>
      </c>
      <c r="G4398" s="46">
        <v>46097.325921770833</v>
      </c>
      <c r="H4398">
        <v>0</v>
      </c>
    </row>
    <row r="4399" spans="1:8" x14ac:dyDescent="0.15">
      <c r="A4399">
        <v>4398</v>
      </c>
      <c r="B4399" t="s">
        <v>339</v>
      </c>
      <c r="C4399" t="s">
        <v>353</v>
      </c>
      <c r="D4399" t="s">
        <v>8032</v>
      </c>
      <c r="E4399" t="s">
        <v>8031</v>
      </c>
      <c r="F4399" s="46">
        <v>46097.325921770833</v>
      </c>
      <c r="G4399" s="46">
        <v>46097.325921770833</v>
      </c>
      <c r="H4399">
        <v>0</v>
      </c>
    </row>
    <row r="4400" spans="1:8" x14ac:dyDescent="0.15">
      <c r="A4400">
        <v>4399</v>
      </c>
      <c r="B4400" t="s">
        <v>339</v>
      </c>
      <c r="C4400" t="s">
        <v>353</v>
      </c>
      <c r="D4400" t="s">
        <v>8033</v>
      </c>
      <c r="E4400" t="s">
        <v>8031</v>
      </c>
      <c r="F4400" s="46">
        <v>46097.325921770833</v>
      </c>
      <c r="G4400" s="46">
        <v>46097.325921770833</v>
      </c>
      <c r="H4400">
        <v>0</v>
      </c>
    </row>
    <row r="4401" spans="1:8" x14ac:dyDescent="0.15">
      <c r="A4401">
        <v>4400</v>
      </c>
      <c r="B4401" t="s">
        <v>339</v>
      </c>
      <c r="C4401" t="s">
        <v>353</v>
      </c>
      <c r="D4401" t="s">
        <v>8034</v>
      </c>
      <c r="E4401" t="s">
        <v>8031</v>
      </c>
      <c r="F4401" s="46">
        <v>46097.325921770833</v>
      </c>
      <c r="G4401" s="46">
        <v>46097.32592195602</v>
      </c>
      <c r="H4401">
        <v>16</v>
      </c>
    </row>
    <row r="4402" spans="1:8" x14ac:dyDescent="0.15">
      <c r="A4402">
        <v>4401</v>
      </c>
      <c r="B4402" t="s">
        <v>339</v>
      </c>
      <c r="C4402" t="s">
        <v>353</v>
      </c>
      <c r="D4402" t="s">
        <v>8035</v>
      </c>
      <c r="E4402" t="s">
        <v>8031</v>
      </c>
      <c r="F4402" s="46">
        <v>46097.32592195602</v>
      </c>
      <c r="G4402" s="46">
        <v>46097.32592195602</v>
      </c>
      <c r="H4402">
        <v>0</v>
      </c>
    </row>
    <row r="4403" spans="1:8" x14ac:dyDescent="0.15">
      <c r="A4403">
        <v>4402</v>
      </c>
      <c r="B4403" t="s">
        <v>339</v>
      </c>
      <c r="C4403" t="s">
        <v>353</v>
      </c>
      <c r="D4403" t="s">
        <v>8036</v>
      </c>
      <c r="E4403" t="s">
        <v>8037</v>
      </c>
      <c r="F4403" s="46">
        <v>46097.32592195602</v>
      </c>
      <c r="G4403" s="46">
        <v>46097.32592195602</v>
      </c>
      <c r="H4403">
        <v>0</v>
      </c>
    </row>
    <row r="4404" spans="1:8" x14ac:dyDescent="0.15">
      <c r="A4404">
        <v>4403</v>
      </c>
      <c r="B4404" t="s">
        <v>339</v>
      </c>
      <c r="C4404" t="s">
        <v>353</v>
      </c>
      <c r="D4404" t="s">
        <v>8038</v>
      </c>
      <c r="E4404" t="s">
        <v>8039</v>
      </c>
      <c r="F4404" s="46">
        <v>46097.32592195602</v>
      </c>
      <c r="G4404" s="46">
        <v>46097.32592195602</v>
      </c>
      <c r="H4404">
        <v>0</v>
      </c>
    </row>
    <row r="4405" spans="1:8" x14ac:dyDescent="0.15">
      <c r="A4405">
        <v>4404</v>
      </c>
      <c r="B4405" t="s">
        <v>339</v>
      </c>
      <c r="C4405" t="s">
        <v>353</v>
      </c>
      <c r="D4405" t="s">
        <v>8040</v>
      </c>
      <c r="E4405" t="s">
        <v>8039</v>
      </c>
      <c r="F4405" s="46">
        <v>46097.32592195602</v>
      </c>
      <c r="G4405" s="46">
        <v>46097.32592195602</v>
      </c>
      <c r="H4405">
        <v>0</v>
      </c>
    </row>
    <row r="4406" spans="1:8" x14ac:dyDescent="0.15">
      <c r="A4406">
        <v>4405</v>
      </c>
      <c r="B4406" t="s">
        <v>339</v>
      </c>
      <c r="C4406" t="s">
        <v>353</v>
      </c>
      <c r="D4406" t="s">
        <v>8041</v>
      </c>
      <c r="E4406" t="s">
        <v>8039</v>
      </c>
      <c r="F4406" s="46">
        <v>46097.32592195602</v>
      </c>
      <c r="G4406" s="46">
        <v>46097.32592195602</v>
      </c>
      <c r="H4406">
        <v>0</v>
      </c>
    </row>
    <row r="4407" spans="1:8" x14ac:dyDescent="0.15">
      <c r="A4407">
        <v>4406</v>
      </c>
      <c r="B4407" t="s">
        <v>339</v>
      </c>
      <c r="C4407" t="s">
        <v>353</v>
      </c>
      <c r="D4407" t="s">
        <v>8042</v>
      </c>
      <c r="E4407" t="s">
        <v>8039</v>
      </c>
      <c r="F4407" s="46">
        <v>46097.32592195602</v>
      </c>
      <c r="G4407" s="46">
        <v>46097.32592195602</v>
      </c>
      <c r="H4407">
        <v>0</v>
      </c>
    </row>
    <row r="4408" spans="1:8" x14ac:dyDescent="0.15">
      <c r="A4408">
        <v>4407</v>
      </c>
      <c r="B4408" t="s">
        <v>339</v>
      </c>
      <c r="C4408" t="s">
        <v>353</v>
      </c>
      <c r="D4408" t="s">
        <v>8043</v>
      </c>
      <c r="E4408" t="s">
        <v>8044</v>
      </c>
      <c r="F4408" s="46">
        <v>46097.32592195602</v>
      </c>
      <c r="G4408" s="46">
        <v>46097.32592195602</v>
      </c>
      <c r="H4408">
        <v>0</v>
      </c>
    </row>
    <row r="4409" spans="1:8" x14ac:dyDescent="0.15">
      <c r="A4409">
        <v>4408</v>
      </c>
      <c r="B4409" t="s">
        <v>339</v>
      </c>
      <c r="C4409" t="s">
        <v>353</v>
      </c>
      <c r="D4409" t="s">
        <v>8045</v>
      </c>
      <c r="E4409" t="s">
        <v>8046</v>
      </c>
      <c r="F4409" s="46">
        <v>46097.32592195602</v>
      </c>
      <c r="G4409" s="46">
        <v>46097.32592195602</v>
      </c>
      <c r="H4409">
        <v>0</v>
      </c>
    </row>
    <row r="4410" spans="1:8" x14ac:dyDescent="0.15">
      <c r="A4410">
        <v>4409</v>
      </c>
      <c r="B4410" t="s">
        <v>339</v>
      </c>
      <c r="C4410" t="s">
        <v>353</v>
      </c>
      <c r="D4410" t="s">
        <v>8047</v>
      </c>
      <c r="E4410" t="s">
        <v>8048</v>
      </c>
      <c r="F4410" s="46">
        <v>46097.32592195602</v>
      </c>
      <c r="G4410" s="46">
        <v>46097.32592195602</v>
      </c>
      <c r="H4410">
        <v>0</v>
      </c>
    </row>
    <row r="4411" spans="1:8" x14ac:dyDescent="0.15">
      <c r="A4411">
        <v>4410</v>
      </c>
      <c r="B4411" t="s">
        <v>339</v>
      </c>
      <c r="C4411" t="s">
        <v>353</v>
      </c>
      <c r="D4411" t="s">
        <v>8049</v>
      </c>
      <c r="E4411" t="s">
        <v>8050</v>
      </c>
      <c r="F4411" s="46">
        <v>46097.32592195602</v>
      </c>
      <c r="G4411" s="46">
        <v>46097.325922129632</v>
      </c>
      <c r="H4411">
        <v>16</v>
      </c>
    </row>
    <row r="4412" spans="1:8" x14ac:dyDescent="0.15">
      <c r="A4412">
        <v>4411</v>
      </c>
      <c r="B4412" t="s">
        <v>339</v>
      </c>
      <c r="C4412" t="s">
        <v>353</v>
      </c>
      <c r="D4412" t="s">
        <v>8051</v>
      </c>
      <c r="E4412" t="s">
        <v>8050</v>
      </c>
      <c r="F4412" s="46">
        <v>46097.325922129632</v>
      </c>
      <c r="G4412" s="46">
        <v>46097.325922129632</v>
      </c>
      <c r="H4412">
        <v>0</v>
      </c>
    </row>
    <row r="4413" spans="1:8" x14ac:dyDescent="0.15">
      <c r="A4413">
        <v>4412</v>
      </c>
      <c r="B4413" t="s">
        <v>339</v>
      </c>
      <c r="C4413" t="s">
        <v>353</v>
      </c>
      <c r="D4413" t="s">
        <v>8052</v>
      </c>
      <c r="E4413" t="s">
        <v>8050</v>
      </c>
      <c r="F4413" s="46">
        <v>46097.325922129632</v>
      </c>
      <c r="G4413" s="46">
        <v>46097.325922129632</v>
      </c>
      <c r="H4413">
        <v>0</v>
      </c>
    </row>
    <row r="4414" spans="1:8" x14ac:dyDescent="0.15">
      <c r="A4414">
        <v>4413</v>
      </c>
      <c r="B4414" t="s">
        <v>339</v>
      </c>
      <c r="C4414" t="s">
        <v>353</v>
      </c>
      <c r="D4414" t="s">
        <v>8053</v>
      </c>
      <c r="E4414" t="s">
        <v>8050</v>
      </c>
      <c r="F4414" s="46">
        <v>46097.325922129632</v>
      </c>
      <c r="G4414" s="46">
        <v>46097.325922129632</v>
      </c>
      <c r="H4414">
        <v>0</v>
      </c>
    </row>
    <row r="4415" spans="1:8" x14ac:dyDescent="0.15">
      <c r="A4415">
        <v>4414</v>
      </c>
      <c r="B4415" t="s">
        <v>339</v>
      </c>
      <c r="C4415" t="s">
        <v>353</v>
      </c>
      <c r="D4415" t="s">
        <v>8054</v>
      </c>
      <c r="E4415" t="s">
        <v>8050</v>
      </c>
      <c r="F4415" s="46">
        <v>46097.325922129632</v>
      </c>
      <c r="G4415" s="46">
        <v>46097.325922129632</v>
      </c>
      <c r="H4415">
        <v>0</v>
      </c>
    </row>
    <row r="4416" spans="1:8" x14ac:dyDescent="0.15">
      <c r="A4416">
        <v>4415</v>
      </c>
      <c r="B4416" t="s">
        <v>339</v>
      </c>
      <c r="C4416" t="s">
        <v>353</v>
      </c>
      <c r="D4416" t="s">
        <v>8055</v>
      </c>
      <c r="E4416" t="s">
        <v>8050</v>
      </c>
      <c r="F4416" s="46">
        <v>46097.325922129632</v>
      </c>
      <c r="G4416" s="46">
        <v>46097.325922129632</v>
      </c>
      <c r="H4416">
        <v>0</v>
      </c>
    </row>
    <row r="4417" spans="1:8" x14ac:dyDescent="0.15">
      <c r="A4417">
        <v>4416</v>
      </c>
      <c r="B4417" t="s">
        <v>339</v>
      </c>
      <c r="C4417" t="s">
        <v>353</v>
      </c>
      <c r="D4417" t="s">
        <v>8056</v>
      </c>
      <c r="E4417" t="s">
        <v>8050</v>
      </c>
      <c r="F4417" s="46">
        <v>46097.325922129632</v>
      </c>
      <c r="G4417" s="46">
        <v>46097.325922129632</v>
      </c>
      <c r="H4417">
        <v>0</v>
      </c>
    </row>
    <row r="4418" spans="1:8" x14ac:dyDescent="0.15">
      <c r="A4418">
        <v>4417</v>
      </c>
      <c r="B4418" t="s">
        <v>339</v>
      </c>
      <c r="C4418" t="s">
        <v>353</v>
      </c>
      <c r="D4418" t="s">
        <v>8057</v>
      </c>
      <c r="E4418" t="s">
        <v>8050</v>
      </c>
      <c r="F4418" s="46">
        <v>46097.325922129632</v>
      </c>
      <c r="G4418" s="46">
        <v>46097.325922129632</v>
      </c>
      <c r="H4418">
        <v>0</v>
      </c>
    </row>
    <row r="4419" spans="1:8" x14ac:dyDescent="0.15">
      <c r="A4419">
        <v>4418</v>
      </c>
      <c r="B4419" t="s">
        <v>339</v>
      </c>
      <c r="C4419" t="s">
        <v>353</v>
      </c>
      <c r="D4419" t="s">
        <v>8058</v>
      </c>
      <c r="E4419" t="s">
        <v>8050</v>
      </c>
      <c r="F4419" s="46">
        <v>46097.325922129632</v>
      </c>
      <c r="G4419" s="46">
        <v>46097.325922129632</v>
      </c>
      <c r="H4419">
        <v>0</v>
      </c>
    </row>
    <row r="4420" spans="1:8" x14ac:dyDescent="0.15">
      <c r="A4420">
        <v>4419</v>
      </c>
      <c r="B4420" t="s">
        <v>339</v>
      </c>
      <c r="C4420" t="s">
        <v>353</v>
      </c>
      <c r="D4420" t="s">
        <v>8059</v>
      </c>
      <c r="E4420" t="s">
        <v>8050</v>
      </c>
      <c r="F4420" s="46">
        <v>46097.325922129632</v>
      </c>
      <c r="G4420" s="46">
        <v>46097.325922129632</v>
      </c>
      <c r="H4420">
        <v>0</v>
      </c>
    </row>
    <row r="4421" spans="1:8" x14ac:dyDescent="0.15">
      <c r="A4421">
        <v>4420</v>
      </c>
      <c r="B4421" t="s">
        <v>339</v>
      </c>
      <c r="C4421" t="s">
        <v>353</v>
      </c>
      <c r="D4421" t="s">
        <v>8060</v>
      </c>
      <c r="E4421" t="s">
        <v>8050</v>
      </c>
      <c r="F4421" s="46">
        <v>46097.325922129632</v>
      </c>
      <c r="G4421" s="46">
        <v>46097.325922129632</v>
      </c>
      <c r="H4421">
        <v>0</v>
      </c>
    </row>
    <row r="4422" spans="1:8" x14ac:dyDescent="0.15">
      <c r="A4422">
        <v>4421</v>
      </c>
      <c r="B4422" t="s">
        <v>339</v>
      </c>
      <c r="C4422" t="s">
        <v>353</v>
      </c>
      <c r="D4422" t="s">
        <v>8061</v>
      </c>
      <c r="E4422" t="s">
        <v>8050</v>
      </c>
      <c r="F4422" s="46">
        <v>46097.325922129632</v>
      </c>
      <c r="G4422" s="46">
        <v>46097.325922314812</v>
      </c>
      <c r="H4422">
        <v>15</v>
      </c>
    </row>
    <row r="4423" spans="1:8" x14ac:dyDescent="0.15">
      <c r="A4423">
        <v>4422</v>
      </c>
      <c r="B4423" t="s">
        <v>339</v>
      </c>
      <c r="C4423" t="s">
        <v>353</v>
      </c>
      <c r="D4423" t="s">
        <v>8062</v>
      </c>
      <c r="E4423" t="s">
        <v>8050</v>
      </c>
      <c r="F4423" s="46">
        <v>46097.325922314812</v>
      </c>
      <c r="G4423" s="46">
        <v>46097.325922314812</v>
      </c>
      <c r="H4423">
        <v>0</v>
      </c>
    </row>
    <row r="4424" spans="1:8" x14ac:dyDescent="0.15">
      <c r="A4424">
        <v>4423</v>
      </c>
      <c r="B4424" t="s">
        <v>339</v>
      </c>
      <c r="C4424" t="s">
        <v>353</v>
      </c>
      <c r="D4424" t="s">
        <v>8063</v>
      </c>
      <c r="E4424" t="s">
        <v>8064</v>
      </c>
      <c r="F4424" s="46">
        <v>46097.325922314812</v>
      </c>
      <c r="G4424" s="46">
        <v>46097.325922314812</v>
      </c>
      <c r="H4424">
        <v>0</v>
      </c>
    </row>
    <row r="4425" spans="1:8" x14ac:dyDescent="0.15">
      <c r="A4425">
        <v>4424</v>
      </c>
      <c r="B4425" t="s">
        <v>339</v>
      </c>
      <c r="C4425" t="s">
        <v>353</v>
      </c>
      <c r="D4425" t="s">
        <v>8065</v>
      </c>
      <c r="E4425" t="s">
        <v>8066</v>
      </c>
      <c r="F4425" s="46">
        <v>46097.325922314812</v>
      </c>
      <c r="G4425" s="46">
        <v>46097.325922314812</v>
      </c>
      <c r="H4425">
        <v>0</v>
      </c>
    </row>
    <row r="4426" spans="1:8" x14ac:dyDescent="0.15">
      <c r="A4426">
        <v>4425</v>
      </c>
      <c r="B4426" t="s">
        <v>339</v>
      </c>
      <c r="C4426" t="s">
        <v>353</v>
      </c>
      <c r="D4426" t="s">
        <v>8067</v>
      </c>
      <c r="E4426" t="s">
        <v>8066</v>
      </c>
      <c r="F4426" s="46">
        <v>46097.325922314812</v>
      </c>
      <c r="G4426" s="46">
        <v>46097.325922314812</v>
      </c>
      <c r="H4426">
        <v>0</v>
      </c>
    </row>
    <row r="4427" spans="1:8" x14ac:dyDescent="0.15">
      <c r="A4427">
        <v>4426</v>
      </c>
      <c r="B4427" t="s">
        <v>339</v>
      </c>
      <c r="C4427" t="s">
        <v>353</v>
      </c>
      <c r="D4427" t="s">
        <v>8068</v>
      </c>
      <c r="E4427" t="s">
        <v>8069</v>
      </c>
      <c r="F4427" s="46">
        <v>46097.325922314812</v>
      </c>
      <c r="G4427" s="46">
        <v>46097.325922314812</v>
      </c>
      <c r="H4427">
        <v>0</v>
      </c>
    </row>
    <row r="4428" spans="1:8" x14ac:dyDescent="0.15">
      <c r="A4428">
        <v>4427</v>
      </c>
      <c r="B4428" t="s">
        <v>339</v>
      </c>
      <c r="C4428" t="s">
        <v>353</v>
      </c>
      <c r="D4428" t="s">
        <v>8070</v>
      </c>
      <c r="E4428" t="s">
        <v>8069</v>
      </c>
      <c r="F4428" s="46">
        <v>46097.325922314812</v>
      </c>
      <c r="G4428" s="46">
        <v>46097.325922314812</v>
      </c>
      <c r="H4428">
        <v>0</v>
      </c>
    </row>
    <row r="4429" spans="1:8" x14ac:dyDescent="0.15">
      <c r="A4429">
        <v>4428</v>
      </c>
      <c r="B4429" t="s">
        <v>339</v>
      </c>
      <c r="C4429" t="s">
        <v>353</v>
      </c>
      <c r="D4429" t="s">
        <v>8071</v>
      </c>
      <c r="E4429" t="s">
        <v>8069</v>
      </c>
      <c r="F4429" s="46">
        <v>46097.325922314812</v>
      </c>
      <c r="G4429" s="46">
        <v>46097.325922314812</v>
      </c>
      <c r="H4429">
        <v>0</v>
      </c>
    </row>
    <row r="4430" spans="1:8" x14ac:dyDescent="0.15">
      <c r="A4430">
        <v>4429</v>
      </c>
      <c r="B4430" t="s">
        <v>339</v>
      </c>
      <c r="C4430" t="s">
        <v>353</v>
      </c>
      <c r="D4430" t="s">
        <v>8072</v>
      </c>
      <c r="E4430" t="s">
        <v>8069</v>
      </c>
      <c r="F4430" s="46">
        <v>46097.325922314812</v>
      </c>
      <c r="G4430" s="46">
        <v>46097.325922314812</v>
      </c>
      <c r="H4430">
        <v>0</v>
      </c>
    </row>
    <row r="4431" spans="1:8" x14ac:dyDescent="0.15">
      <c r="A4431">
        <v>4430</v>
      </c>
      <c r="B4431" t="s">
        <v>339</v>
      </c>
      <c r="C4431" t="s">
        <v>353</v>
      </c>
      <c r="D4431" t="s">
        <v>8073</v>
      </c>
      <c r="E4431" t="s">
        <v>8069</v>
      </c>
      <c r="F4431" s="46">
        <v>46097.325922314812</v>
      </c>
      <c r="G4431" s="46">
        <v>46097.325922314812</v>
      </c>
      <c r="H4431">
        <v>0</v>
      </c>
    </row>
    <row r="4432" spans="1:8" x14ac:dyDescent="0.15">
      <c r="A4432">
        <v>4431</v>
      </c>
      <c r="B4432" t="s">
        <v>339</v>
      </c>
      <c r="C4432" t="s">
        <v>353</v>
      </c>
      <c r="D4432" t="s">
        <v>8074</v>
      </c>
      <c r="E4432" t="s">
        <v>8069</v>
      </c>
      <c r="F4432" s="46">
        <v>46097.325922314812</v>
      </c>
      <c r="G4432" s="46">
        <v>46097.325922488417</v>
      </c>
      <c r="H4432">
        <v>16</v>
      </c>
    </row>
    <row r="4433" spans="1:8" x14ac:dyDescent="0.15">
      <c r="A4433">
        <v>4432</v>
      </c>
      <c r="B4433" t="s">
        <v>339</v>
      </c>
      <c r="C4433" t="s">
        <v>353</v>
      </c>
      <c r="D4433" t="s">
        <v>8075</v>
      </c>
      <c r="E4433" t="s">
        <v>8069</v>
      </c>
      <c r="F4433" s="46">
        <v>46097.325922488417</v>
      </c>
      <c r="G4433" s="46">
        <v>46097.325922488417</v>
      </c>
      <c r="H4433">
        <v>0</v>
      </c>
    </row>
    <row r="4434" spans="1:8" x14ac:dyDescent="0.15">
      <c r="A4434">
        <v>4433</v>
      </c>
      <c r="B4434" t="s">
        <v>339</v>
      </c>
      <c r="C4434" t="s">
        <v>353</v>
      </c>
      <c r="D4434" t="s">
        <v>8076</v>
      </c>
      <c r="E4434" t="s">
        <v>8069</v>
      </c>
      <c r="F4434" s="46">
        <v>46097.325922488417</v>
      </c>
      <c r="G4434" s="46">
        <v>46097.325922488417</v>
      </c>
      <c r="H4434">
        <v>0</v>
      </c>
    </row>
    <row r="4435" spans="1:8" x14ac:dyDescent="0.15">
      <c r="A4435">
        <v>4434</v>
      </c>
      <c r="B4435" t="s">
        <v>339</v>
      </c>
      <c r="C4435" t="s">
        <v>353</v>
      </c>
      <c r="D4435" t="s">
        <v>8077</v>
      </c>
      <c r="E4435" t="s">
        <v>8069</v>
      </c>
      <c r="F4435" s="46">
        <v>46097.325922488417</v>
      </c>
      <c r="G4435" s="46">
        <v>46097.325922488417</v>
      </c>
      <c r="H4435">
        <v>0</v>
      </c>
    </row>
    <row r="4436" spans="1:8" x14ac:dyDescent="0.15">
      <c r="A4436">
        <v>4435</v>
      </c>
      <c r="B4436" t="s">
        <v>339</v>
      </c>
      <c r="C4436" t="s">
        <v>353</v>
      </c>
      <c r="D4436" t="s">
        <v>8078</v>
      </c>
      <c r="E4436" t="s">
        <v>8069</v>
      </c>
      <c r="F4436" s="46">
        <v>46097.325922488417</v>
      </c>
      <c r="G4436" s="46">
        <v>46097.325922488417</v>
      </c>
      <c r="H4436">
        <v>0</v>
      </c>
    </row>
    <row r="4437" spans="1:8" x14ac:dyDescent="0.15">
      <c r="A4437">
        <v>4436</v>
      </c>
      <c r="B4437" t="s">
        <v>339</v>
      </c>
      <c r="C4437" t="s">
        <v>353</v>
      </c>
      <c r="D4437" t="s">
        <v>8079</v>
      </c>
      <c r="E4437" t="s">
        <v>8069</v>
      </c>
      <c r="F4437" s="46">
        <v>46097.325922488417</v>
      </c>
      <c r="G4437" s="46">
        <v>46097.325922488417</v>
      </c>
      <c r="H4437">
        <v>0</v>
      </c>
    </row>
    <row r="4438" spans="1:8" x14ac:dyDescent="0.15">
      <c r="A4438">
        <v>4437</v>
      </c>
      <c r="B4438" t="s">
        <v>339</v>
      </c>
      <c r="C4438" t="s">
        <v>353</v>
      </c>
      <c r="D4438" t="s">
        <v>8080</v>
      </c>
      <c r="E4438" t="s">
        <v>8069</v>
      </c>
      <c r="F4438" s="46">
        <v>46097.325922488417</v>
      </c>
      <c r="G4438" s="46">
        <v>46097.325922488417</v>
      </c>
      <c r="H4438">
        <v>0</v>
      </c>
    </row>
    <row r="4439" spans="1:8" x14ac:dyDescent="0.15">
      <c r="A4439">
        <v>4438</v>
      </c>
      <c r="B4439" t="s">
        <v>339</v>
      </c>
      <c r="C4439" t="s">
        <v>353</v>
      </c>
      <c r="D4439" t="s">
        <v>8081</v>
      </c>
      <c r="E4439" t="s">
        <v>8069</v>
      </c>
      <c r="F4439" s="46">
        <v>46097.325922488417</v>
      </c>
      <c r="G4439" s="46">
        <v>46097.325922488417</v>
      </c>
      <c r="H4439">
        <v>0</v>
      </c>
    </row>
    <row r="4440" spans="1:8" x14ac:dyDescent="0.15">
      <c r="A4440">
        <v>4439</v>
      </c>
      <c r="B4440" t="s">
        <v>339</v>
      </c>
      <c r="C4440" t="s">
        <v>353</v>
      </c>
      <c r="D4440" t="s">
        <v>8082</v>
      </c>
      <c r="E4440" t="s">
        <v>8069</v>
      </c>
      <c r="F4440" s="46">
        <v>46097.325922488417</v>
      </c>
      <c r="G4440" s="46">
        <v>46097.325922488417</v>
      </c>
      <c r="H4440">
        <v>0</v>
      </c>
    </row>
    <row r="4441" spans="1:8" x14ac:dyDescent="0.15">
      <c r="A4441">
        <v>4440</v>
      </c>
      <c r="B4441" t="s">
        <v>339</v>
      </c>
      <c r="C4441" t="s">
        <v>353</v>
      </c>
      <c r="D4441" t="s">
        <v>8083</v>
      </c>
      <c r="E4441" t="s">
        <v>8069</v>
      </c>
      <c r="F4441" s="46">
        <v>46097.325922488417</v>
      </c>
      <c r="G4441" s="46">
        <v>46097.325922488417</v>
      </c>
      <c r="H4441">
        <v>0</v>
      </c>
    </row>
    <row r="4442" spans="1:8" x14ac:dyDescent="0.15">
      <c r="A4442">
        <v>4441</v>
      </c>
      <c r="B4442" t="s">
        <v>339</v>
      </c>
      <c r="C4442" t="s">
        <v>353</v>
      </c>
      <c r="D4442" t="s">
        <v>8084</v>
      </c>
      <c r="E4442" t="s">
        <v>8069</v>
      </c>
      <c r="F4442" s="46">
        <v>46097.325922488417</v>
      </c>
      <c r="G4442" s="46">
        <v>46097.325922488417</v>
      </c>
      <c r="H4442">
        <v>0</v>
      </c>
    </row>
    <row r="4443" spans="1:8" x14ac:dyDescent="0.15">
      <c r="A4443">
        <v>4442</v>
      </c>
      <c r="B4443" t="s">
        <v>339</v>
      </c>
      <c r="C4443" t="s">
        <v>353</v>
      </c>
      <c r="D4443" t="s">
        <v>8085</v>
      </c>
      <c r="E4443" t="s">
        <v>8086</v>
      </c>
      <c r="F4443" s="46">
        <v>46097.325922488417</v>
      </c>
      <c r="G4443" s="46">
        <v>46097.325922673612</v>
      </c>
      <c r="H4443">
        <v>16</v>
      </c>
    </row>
    <row r="4444" spans="1:8" x14ac:dyDescent="0.15">
      <c r="A4444">
        <v>4443</v>
      </c>
      <c r="B4444" t="s">
        <v>339</v>
      </c>
      <c r="C4444" t="s">
        <v>353</v>
      </c>
      <c r="D4444" t="s">
        <v>8087</v>
      </c>
      <c r="E4444" t="s">
        <v>8086</v>
      </c>
      <c r="F4444" s="46">
        <v>46097.325922673612</v>
      </c>
      <c r="G4444" s="46">
        <v>46097.325922673612</v>
      </c>
      <c r="H4444">
        <v>0</v>
      </c>
    </row>
    <row r="4445" spans="1:8" x14ac:dyDescent="0.15">
      <c r="A4445">
        <v>4444</v>
      </c>
      <c r="B4445" t="s">
        <v>339</v>
      </c>
      <c r="C4445" t="s">
        <v>353</v>
      </c>
      <c r="D4445" t="s">
        <v>8088</v>
      </c>
      <c r="E4445" t="s">
        <v>8086</v>
      </c>
      <c r="F4445" s="46">
        <v>46097.325922673612</v>
      </c>
      <c r="G4445" s="46">
        <v>46097.325922673612</v>
      </c>
      <c r="H4445">
        <v>0</v>
      </c>
    </row>
    <row r="4446" spans="1:8" x14ac:dyDescent="0.15">
      <c r="A4446">
        <v>4445</v>
      </c>
      <c r="B4446" t="s">
        <v>339</v>
      </c>
      <c r="C4446" t="s">
        <v>353</v>
      </c>
      <c r="D4446" t="s">
        <v>8089</v>
      </c>
      <c r="E4446" t="s">
        <v>8090</v>
      </c>
      <c r="F4446" s="46">
        <v>46097.325922673612</v>
      </c>
      <c r="G4446" s="46">
        <v>46097.325922673612</v>
      </c>
      <c r="H4446">
        <v>0</v>
      </c>
    </row>
    <row r="4447" spans="1:8" x14ac:dyDescent="0.15">
      <c r="A4447">
        <v>4446</v>
      </c>
      <c r="B4447" t="s">
        <v>339</v>
      </c>
      <c r="C4447" t="s">
        <v>353</v>
      </c>
      <c r="D4447" t="s">
        <v>8091</v>
      </c>
      <c r="E4447" t="s">
        <v>8090</v>
      </c>
      <c r="F4447" s="46">
        <v>46097.325922673612</v>
      </c>
      <c r="G4447" s="46">
        <v>46097.325922673612</v>
      </c>
      <c r="H4447">
        <v>0</v>
      </c>
    </row>
    <row r="4448" spans="1:8" x14ac:dyDescent="0.15">
      <c r="A4448">
        <v>4447</v>
      </c>
      <c r="B4448" t="s">
        <v>339</v>
      </c>
      <c r="C4448" t="s">
        <v>353</v>
      </c>
      <c r="D4448" t="s">
        <v>8092</v>
      </c>
      <c r="E4448" t="s">
        <v>8090</v>
      </c>
      <c r="F4448" s="46">
        <v>46097.325922673612</v>
      </c>
      <c r="G4448" s="46">
        <v>46097.325922673612</v>
      </c>
      <c r="H4448">
        <v>0</v>
      </c>
    </row>
    <row r="4449" spans="1:8" x14ac:dyDescent="0.15">
      <c r="A4449">
        <v>4448</v>
      </c>
      <c r="B4449" t="s">
        <v>339</v>
      </c>
      <c r="C4449" t="s">
        <v>353</v>
      </c>
      <c r="D4449" t="s">
        <v>8093</v>
      </c>
      <c r="E4449" t="s">
        <v>8094</v>
      </c>
      <c r="F4449" s="46">
        <v>46097.325922673612</v>
      </c>
      <c r="G4449" s="46">
        <v>46097.325922673612</v>
      </c>
      <c r="H4449">
        <v>0</v>
      </c>
    </row>
    <row r="4450" spans="1:8" x14ac:dyDescent="0.15">
      <c r="A4450">
        <v>4449</v>
      </c>
      <c r="B4450" t="s">
        <v>339</v>
      </c>
      <c r="C4450" t="s">
        <v>353</v>
      </c>
      <c r="D4450" t="s">
        <v>8095</v>
      </c>
      <c r="E4450" t="s">
        <v>8096</v>
      </c>
      <c r="F4450" s="46">
        <v>46097.325922673612</v>
      </c>
      <c r="G4450" s="46">
        <v>46097.325922673612</v>
      </c>
      <c r="H4450">
        <v>0</v>
      </c>
    </row>
    <row r="4451" spans="1:8" x14ac:dyDescent="0.15">
      <c r="A4451">
        <v>4450</v>
      </c>
      <c r="B4451" t="s">
        <v>339</v>
      </c>
      <c r="C4451" t="s">
        <v>353</v>
      </c>
      <c r="D4451" t="s">
        <v>8097</v>
      </c>
      <c r="E4451" t="s">
        <v>8098</v>
      </c>
      <c r="F4451" s="46">
        <v>46097.325922673612</v>
      </c>
      <c r="G4451" s="46">
        <v>46097.325922673612</v>
      </c>
      <c r="H4451">
        <v>0</v>
      </c>
    </row>
    <row r="4452" spans="1:8" x14ac:dyDescent="0.15">
      <c r="A4452">
        <v>4451</v>
      </c>
      <c r="B4452" t="s">
        <v>339</v>
      </c>
      <c r="C4452" t="s">
        <v>353</v>
      </c>
      <c r="D4452" t="s">
        <v>8099</v>
      </c>
      <c r="E4452" t="s">
        <v>8098</v>
      </c>
      <c r="F4452" s="46">
        <v>46097.325922673612</v>
      </c>
      <c r="G4452" s="46">
        <v>46097.325922673612</v>
      </c>
      <c r="H4452">
        <v>0</v>
      </c>
    </row>
    <row r="4453" spans="1:8" x14ac:dyDescent="0.15">
      <c r="A4453">
        <v>4452</v>
      </c>
      <c r="B4453" t="s">
        <v>339</v>
      </c>
      <c r="C4453" t="s">
        <v>353</v>
      </c>
      <c r="D4453" t="s">
        <v>8100</v>
      </c>
      <c r="E4453" t="s">
        <v>8098</v>
      </c>
      <c r="F4453" s="46">
        <v>46097.325922673612</v>
      </c>
      <c r="G4453" s="46">
        <v>46097.325922858799</v>
      </c>
      <c r="H4453">
        <v>15</v>
      </c>
    </row>
    <row r="4454" spans="1:8" x14ac:dyDescent="0.15">
      <c r="A4454">
        <v>4453</v>
      </c>
      <c r="B4454" t="s">
        <v>339</v>
      </c>
      <c r="C4454" t="s">
        <v>353</v>
      </c>
      <c r="D4454" t="s">
        <v>8101</v>
      </c>
      <c r="E4454" t="s">
        <v>8098</v>
      </c>
      <c r="F4454" s="46">
        <v>46097.325922858799</v>
      </c>
      <c r="G4454" s="46">
        <v>46097.325922858799</v>
      </c>
      <c r="H4454">
        <v>0</v>
      </c>
    </row>
    <row r="4455" spans="1:8" x14ac:dyDescent="0.15">
      <c r="A4455">
        <v>4454</v>
      </c>
      <c r="B4455" t="s">
        <v>339</v>
      </c>
      <c r="C4455" t="s">
        <v>353</v>
      </c>
      <c r="D4455" t="s">
        <v>8102</v>
      </c>
      <c r="E4455" t="s">
        <v>8098</v>
      </c>
      <c r="F4455" s="46">
        <v>46097.325922858799</v>
      </c>
      <c r="G4455" s="46">
        <v>46097.325922858799</v>
      </c>
      <c r="H4455">
        <v>0</v>
      </c>
    </row>
    <row r="4456" spans="1:8" x14ac:dyDescent="0.15">
      <c r="A4456">
        <v>4455</v>
      </c>
      <c r="B4456" t="s">
        <v>339</v>
      </c>
      <c r="C4456" t="s">
        <v>353</v>
      </c>
      <c r="D4456" t="s">
        <v>8103</v>
      </c>
      <c r="E4456" t="s">
        <v>8098</v>
      </c>
      <c r="F4456" s="46">
        <v>46097.325922858799</v>
      </c>
      <c r="G4456" s="46">
        <v>46097.325922858799</v>
      </c>
      <c r="H4456">
        <v>0</v>
      </c>
    </row>
    <row r="4457" spans="1:8" x14ac:dyDescent="0.15">
      <c r="A4457">
        <v>4456</v>
      </c>
      <c r="B4457" t="s">
        <v>339</v>
      </c>
      <c r="C4457" t="s">
        <v>353</v>
      </c>
      <c r="D4457" t="s">
        <v>8104</v>
      </c>
      <c r="E4457" t="s">
        <v>8105</v>
      </c>
      <c r="F4457" s="46">
        <v>46097.325922858799</v>
      </c>
      <c r="G4457" s="46">
        <v>46097.325922858799</v>
      </c>
      <c r="H4457">
        <v>0</v>
      </c>
    </row>
    <row r="4458" spans="1:8" x14ac:dyDescent="0.15">
      <c r="A4458">
        <v>4457</v>
      </c>
      <c r="B4458" t="s">
        <v>339</v>
      </c>
      <c r="C4458" t="s">
        <v>353</v>
      </c>
      <c r="D4458" t="s">
        <v>8106</v>
      </c>
      <c r="E4458" t="s">
        <v>8107</v>
      </c>
      <c r="F4458" s="46">
        <v>46097.325922858799</v>
      </c>
      <c r="G4458" s="46">
        <v>46097.325922858799</v>
      </c>
      <c r="H4458">
        <v>0</v>
      </c>
    </row>
    <row r="4459" spans="1:8" x14ac:dyDescent="0.15">
      <c r="A4459">
        <v>4458</v>
      </c>
      <c r="B4459" t="s">
        <v>339</v>
      </c>
      <c r="C4459" t="s">
        <v>353</v>
      </c>
      <c r="D4459" t="s">
        <v>8108</v>
      </c>
      <c r="E4459" t="s">
        <v>8107</v>
      </c>
      <c r="F4459" s="46">
        <v>46097.325922858799</v>
      </c>
      <c r="G4459" s="46">
        <v>46097.325922858799</v>
      </c>
      <c r="H4459">
        <v>0</v>
      </c>
    </row>
    <row r="4460" spans="1:8" x14ac:dyDescent="0.15">
      <c r="A4460">
        <v>4459</v>
      </c>
      <c r="B4460" t="s">
        <v>339</v>
      </c>
      <c r="C4460" t="s">
        <v>353</v>
      </c>
      <c r="D4460" t="s">
        <v>8109</v>
      </c>
      <c r="E4460" t="s">
        <v>8107</v>
      </c>
      <c r="F4460" s="46">
        <v>46097.325922858799</v>
      </c>
      <c r="G4460" s="46">
        <v>46097.325922858799</v>
      </c>
      <c r="H4460">
        <v>0</v>
      </c>
    </row>
    <row r="4461" spans="1:8" x14ac:dyDescent="0.15">
      <c r="A4461">
        <v>4460</v>
      </c>
      <c r="B4461" t="s">
        <v>339</v>
      </c>
      <c r="C4461" t="s">
        <v>353</v>
      </c>
      <c r="D4461" t="s">
        <v>8110</v>
      </c>
      <c r="E4461" t="s">
        <v>8111</v>
      </c>
      <c r="F4461" s="46">
        <v>46097.325922858799</v>
      </c>
      <c r="G4461" s="46">
        <v>46097.325922858799</v>
      </c>
      <c r="H4461">
        <v>0</v>
      </c>
    </row>
    <row r="4462" spans="1:8" x14ac:dyDescent="0.15">
      <c r="A4462">
        <v>4461</v>
      </c>
      <c r="B4462" t="s">
        <v>339</v>
      </c>
      <c r="C4462" t="s">
        <v>353</v>
      </c>
      <c r="D4462" t="s">
        <v>8112</v>
      </c>
      <c r="E4462" t="s">
        <v>8111</v>
      </c>
      <c r="F4462" s="46">
        <v>46097.325922858799</v>
      </c>
      <c r="G4462" s="46">
        <v>46097.325922858799</v>
      </c>
      <c r="H4462">
        <v>0</v>
      </c>
    </row>
    <row r="4463" spans="1:8" x14ac:dyDescent="0.15">
      <c r="A4463">
        <v>4462</v>
      </c>
      <c r="B4463" t="s">
        <v>339</v>
      </c>
      <c r="C4463" t="s">
        <v>353</v>
      </c>
      <c r="D4463" t="s">
        <v>8113</v>
      </c>
      <c r="E4463" t="s">
        <v>8114</v>
      </c>
      <c r="F4463" s="46">
        <v>46097.325922858799</v>
      </c>
      <c r="G4463" s="46">
        <v>46097.325923032397</v>
      </c>
      <c r="H4463">
        <v>16</v>
      </c>
    </row>
    <row r="4464" spans="1:8" x14ac:dyDescent="0.15">
      <c r="A4464">
        <v>4463</v>
      </c>
      <c r="B4464" t="s">
        <v>339</v>
      </c>
      <c r="C4464" t="s">
        <v>353</v>
      </c>
      <c r="D4464" t="s">
        <v>8115</v>
      </c>
      <c r="E4464" t="s">
        <v>8114</v>
      </c>
      <c r="F4464" s="46">
        <v>46097.325923032397</v>
      </c>
      <c r="G4464" s="46">
        <v>46097.325923032397</v>
      </c>
      <c r="H4464">
        <v>0</v>
      </c>
    </row>
    <row r="4465" spans="1:8" x14ac:dyDescent="0.15">
      <c r="A4465">
        <v>4464</v>
      </c>
      <c r="B4465" t="s">
        <v>339</v>
      </c>
      <c r="C4465" t="s">
        <v>353</v>
      </c>
      <c r="D4465" t="s">
        <v>8116</v>
      </c>
      <c r="E4465" t="s">
        <v>8114</v>
      </c>
      <c r="F4465" s="46">
        <v>46097.325923032397</v>
      </c>
      <c r="G4465" s="46">
        <v>46097.325923032397</v>
      </c>
      <c r="H4465">
        <v>0</v>
      </c>
    </row>
    <row r="4466" spans="1:8" x14ac:dyDescent="0.15">
      <c r="A4466">
        <v>4465</v>
      </c>
      <c r="B4466" t="s">
        <v>339</v>
      </c>
      <c r="C4466" t="s">
        <v>353</v>
      </c>
      <c r="D4466" t="s">
        <v>8117</v>
      </c>
      <c r="E4466" t="s">
        <v>8118</v>
      </c>
      <c r="F4466" s="46">
        <v>46097.325923032397</v>
      </c>
      <c r="G4466" s="46">
        <v>46097.325923032397</v>
      </c>
      <c r="H4466">
        <v>0</v>
      </c>
    </row>
    <row r="4467" spans="1:8" x14ac:dyDescent="0.15">
      <c r="A4467">
        <v>4466</v>
      </c>
      <c r="B4467" t="s">
        <v>339</v>
      </c>
      <c r="C4467" t="s">
        <v>353</v>
      </c>
      <c r="D4467" t="s">
        <v>8119</v>
      </c>
      <c r="E4467" t="s">
        <v>8120</v>
      </c>
      <c r="F4467" s="46">
        <v>46097.325923032397</v>
      </c>
      <c r="G4467" s="46">
        <v>46097.325923032397</v>
      </c>
      <c r="H4467">
        <v>0</v>
      </c>
    </row>
    <row r="4468" spans="1:8" x14ac:dyDescent="0.15">
      <c r="A4468">
        <v>4467</v>
      </c>
      <c r="B4468" t="s">
        <v>339</v>
      </c>
      <c r="C4468" t="s">
        <v>353</v>
      </c>
      <c r="D4468" t="s">
        <v>8121</v>
      </c>
      <c r="E4468" t="s">
        <v>8120</v>
      </c>
      <c r="F4468" s="46">
        <v>46097.325923032397</v>
      </c>
      <c r="G4468" s="46">
        <v>46097.325923032397</v>
      </c>
      <c r="H4468">
        <v>0</v>
      </c>
    </row>
    <row r="4469" spans="1:8" x14ac:dyDescent="0.15">
      <c r="A4469">
        <v>4468</v>
      </c>
      <c r="B4469" t="s">
        <v>339</v>
      </c>
      <c r="C4469" t="s">
        <v>353</v>
      </c>
      <c r="D4469" t="s">
        <v>8122</v>
      </c>
      <c r="E4469" t="s">
        <v>8120</v>
      </c>
      <c r="F4469" s="46">
        <v>46097.325923032397</v>
      </c>
      <c r="G4469" s="46">
        <v>46097.325923032397</v>
      </c>
      <c r="H4469">
        <v>0</v>
      </c>
    </row>
    <row r="4470" spans="1:8" x14ac:dyDescent="0.15">
      <c r="A4470">
        <v>4469</v>
      </c>
      <c r="B4470" t="s">
        <v>339</v>
      </c>
      <c r="C4470" t="s">
        <v>353</v>
      </c>
      <c r="D4470" t="s">
        <v>8123</v>
      </c>
      <c r="E4470" t="s">
        <v>8120</v>
      </c>
      <c r="F4470" s="46">
        <v>46097.325923032397</v>
      </c>
      <c r="G4470" s="46">
        <v>46097.325923032397</v>
      </c>
      <c r="H4470">
        <v>0</v>
      </c>
    </row>
    <row r="4471" spans="1:8" x14ac:dyDescent="0.15">
      <c r="A4471">
        <v>4470</v>
      </c>
      <c r="B4471" t="s">
        <v>339</v>
      </c>
      <c r="C4471" t="s">
        <v>353</v>
      </c>
      <c r="D4471" t="s">
        <v>8124</v>
      </c>
      <c r="E4471" t="s">
        <v>8120</v>
      </c>
      <c r="F4471" s="46">
        <v>46097.325923032397</v>
      </c>
      <c r="G4471" s="46">
        <v>46097.325923032397</v>
      </c>
      <c r="H4471">
        <v>0</v>
      </c>
    </row>
    <row r="4472" spans="1:8" x14ac:dyDescent="0.15">
      <c r="A4472">
        <v>4471</v>
      </c>
      <c r="B4472" t="s">
        <v>339</v>
      </c>
      <c r="C4472" t="s">
        <v>353</v>
      </c>
      <c r="D4472" t="s">
        <v>8125</v>
      </c>
      <c r="E4472" t="s">
        <v>8120</v>
      </c>
      <c r="F4472" s="46">
        <v>46097.325923032397</v>
      </c>
      <c r="G4472" s="46">
        <v>46097.325923032397</v>
      </c>
      <c r="H4472">
        <v>0</v>
      </c>
    </row>
    <row r="4473" spans="1:8" x14ac:dyDescent="0.15">
      <c r="A4473">
        <v>4472</v>
      </c>
      <c r="B4473" t="s">
        <v>339</v>
      </c>
      <c r="C4473" t="s">
        <v>353</v>
      </c>
      <c r="D4473" t="s">
        <v>8126</v>
      </c>
      <c r="E4473" t="s">
        <v>8120</v>
      </c>
      <c r="F4473" s="46">
        <v>46097.325923032397</v>
      </c>
      <c r="G4473" s="46">
        <v>46097.325923032397</v>
      </c>
      <c r="H4473">
        <v>0</v>
      </c>
    </row>
    <row r="4474" spans="1:8" x14ac:dyDescent="0.15">
      <c r="A4474">
        <v>4473</v>
      </c>
      <c r="B4474" t="s">
        <v>339</v>
      </c>
      <c r="C4474" t="s">
        <v>353</v>
      </c>
      <c r="D4474" t="s">
        <v>8127</v>
      </c>
      <c r="E4474" t="s">
        <v>8120</v>
      </c>
      <c r="F4474" s="46">
        <v>46097.325923032397</v>
      </c>
      <c r="G4474" s="46">
        <v>46097.325923217591</v>
      </c>
      <c r="H4474">
        <v>15</v>
      </c>
    </row>
    <row r="4475" spans="1:8" x14ac:dyDescent="0.15">
      <c r="A4475">
        <v>4474</v>
      </c>
      <c r="B4475" t="s">
        <v>339</v>
      </c>
      <c r="C4475" t="s">
        <v>353</v>
      </c>
      <c r="D4475" t="s">
        <v>8128</v>
      </c>
      <c r="E4475" t="s">
        <v>8120</v>
      </c>
      <c r="F4475" s="46">
        <v>46097.325923217591</v>
      </c>
      <c r="G4475" s="46">
        <v>46097.325923217591</v>
      </c>
      <c r="H4475">
        <v>0</v>
      </c>
    </row>
    <row r="4476" spans="1:8" x14ac:dyDescent="0.15">
      <c r="A4476">
        <v>4475</v>
      </c>
      <c r="B4476" t="s">
        <v>339</v>
      </c>
      <c r="C4476" t="s">
        <v>353</v>
      </c>
      <c r="D4476" t="s">
        <v>8129</v>
      </c>
      <c r="E4476" t="s">
        <v>8130</v>
      </c>
      <c r="F4476" s="46">
        <v>46097.325923217591</v>
      </c>
      <c r="G4476" s="46">
        <v>46097.325923217591</v>
      </c>
      <c r="H4476">
        <v>0</v>
      </c>
    </row>
    <row r="4477" spans="1:8" x14ac:dyDescent="0.15">
      <c r="A4477">
        <v>4476</v>
      </c>
      <c r="B4477" t="s">
        <v>339</v>
      </c>
      <c r="C4477" t="s">
        <v>353</v>
      </c>
      <c r="D4477" t="s">
        <v>8131</v>
      </c>
      <c r="E4477" t="s">
        <v>8130</v>
      </c>
      <c r="F4477" s="46">
        <v>46097.325923217591</v>
      </c>
      <c r="G4477" s="46">
        <v>46097.325923217591</v>
      </c>
      <c r="H4477">
        <v>0</v>
      </c>
    </row>
    <row r="4478" spans="1:8" x14ac:dyDescent="0.15">
      <c r="A4478">
        <v>4477</v>
      </c>
      <c r="B4478" t="s">
        <v>339</v>
      </c>
      <c r="C4478" t="s">
        <v>353</v>
      </c>
      <c r="D4478" t="s">
        <v>8132</v>
      </c>
      <c r="E4478" t="s">
        <v>8130</v>
      </c>
      <c r="F4478" s="46">
        <v>46097.325923217591</v>
      </c>
      <c r="G4478" s="46">
        <v>46097.325923217591</v>
      </c>
      <c r="H4478">
        <v>0</v>
      </c>
    </row>
    <row r="4479" spans="1:8" x14ac:dyDescent="0.15">
      <c r="A4479">
        <v>4478</v>
      </c>
      <c r="B4479" t="s">
        <v>339</v>
      </c>
      <c r="C4479" t="s">
        <v>353</v>
      </c>
      <c r="D4479" t="s">
        <v>8133</v>
      </c>
      <c r="E4479" t="s">
        <v>8130</v>
      </c>
      <c r="F4479" s="46">
        <v>46097.325923217591</v>
      </c>
      <c r="G4479" s="46">
        <v>46097.325923217591</v>
      </c>
      <c r="H4479">
        <v>0</v>
      </c>
    </row>
    <row r="4480" spans="1:8" x14ac:dyDescent="0.15">
      <c r="A4480">
        <v>4479</v>
      </c>
      <c r="B4480" t="s">
        <v>339</v>
      </c>
      <c r="C4480" t="s">
        <v>353</v>
      </c>
      <c r="D4480" t="s">
        <v>8134</v>
      </c>
      <c r="E4480" t="s">
        <v>8135</v>
      </c>
      <c r="F4480" s="46">
        <v>46097.325923217591</v>
      </c>
      <c r="G4480" s="46">
        <v>46097.325923217591</v>
      </c>
      <c r="H4480">
        <v>0</v>
      </c>
    </row>
    <row r="4481" spans="1:8" x14ac:dyDescent="0.15">
      <c r="A4481">
        <v>4480</v>
      </c>
      <c r="B4481" t="s">
        <v>339</v>
      </c>
      <c r="C4481" t="s">
        <v>353</v>
      </c>
      <c r="D4481" t="s">
        <v>8136</v>
      </c>
      <c r="E4481" t="s">
        <v>8135</v>
      </c>
      <c r="F4481" s="46">
        <v>46097.325923217591</v>
      </c>
      <c r="G4481" s="46">
        <v>46097.325923217591</v>
      </c>
      <c r="H4481">
        <v>0</v>
      </c>
    </row>
    <row r="4482" spans="1:8" x14ac:dyDescent="0.15">
      <c r="A4482">
        <v>4481</v>
      </c>
      <c r="B4482" t="s">
        <v>339</v>
      </c>
      <c r="C4482" t="s">
        <v>353</v>
      </c>
      <c r="D4482" t="s">
        <v>8137</v>
      </c>
      <c r="E4482" t="s">
        <v>8138</v>
      </c>
      <c r="F4482" s="46">
        <v>46097.325923217591</v>
      </c>
      <c r="G4482" s="46">
        <v>46097.325923217591</v>
      </c>
      <c r="H4482">
        <v>0</v>
      </c>
    </row>
    <row r="4483" spans="1:8" x14ac:dyDescent="0.15">
      <c r="A4483">
        <v>4482</v>
      </c>
      <c r="B4483" t="s">
        <v>339</v>
      </c>
      <c r="C4483" t="s">
        <v>353</v>
      </c>
      <c r="D4483" t="s">
        <v>8139</v>
      </c>
      <c r="E4483" t="s">
        <v>8138</v>
      </c>
      <c r="F4483" s="46">
        <v>46097.325923217591</v>
      </c>
      <c r="G4483" s="46">
        <v>46097.325923217591</v>
      </c>
      <c r="H4483">
        <v>0</v>
      </c>
    </row>
    <row r="4484" spans="1:8" x14ac:dyDescent="0.15">
      <c r="A4484">
        <v>4483</v>
      </c>
      <c r="B4484" t="s">
        <v>339</v>
      </c>
      <c r="C4484" t="s">
        <v>353</v>
      </c>
      <c r="D4484" t="s">
        <v>8140</v>
      </c>
      <c r="E4484" t="s">
        <v>8141</v>
      </c>
      <c r="F4484" s="46">
        <v>46097.325923217591</v>
      </c>
      <c r="G4484" s="46">
        <v>46097.325923217591</v>
      </c>
      <c r="H4484">
        <v>0</v>
      </c>
    </row>
    <row r="4485" spans="1:8" x14ac:dyDescent="0.15">
      <c r="A4485">
        <v>4484</v>
      </c>
      <c r="B4485" t="s">
        <v>339</v>
      </c>
      <c r="C4485" t="s">
        <v>353</v>
      </c>
      <c r="D4485" t="s">
        <v>8142</v>
      </c>
      <c r="E4485" t="s">
        <v>8143</v>
      </c>
      <c r="F4485" s="46">
        <v>46097.325923217591</v>
      </c>
      <c r="G4485" s="46">
        <v>46097.325923402779</v>
      </c>
      <c r="H4485">
        <v>16</v>
      </c>
    </row>
    <row r="4486" spans="1:8" x14ac:dyDescent="0.15">
      <c r="A4486">
        <v>4485</v>
      </c>
      <c r="B4486" t="s">
        <v>339</v>
      </c>
      <c r="C4486" t="s">
        <v>353</v>
      </c>
      <c r="D4486" t="s">
        <v>8144</v>
      </c>
      <c r="E4486" t="s">
        <v>8143</v>
      </c>
      <c r="F4486" s="46">
        <v>46097.325923402779</v>
      </c>
      <c r="G4486" s="46">
        <v>46097.325923402779</v>
      </c>
      <c r="H4486">
        <v>0</v>
      </c>
    </row>
    <row r="4487" spans="1:8" x14ac:dyDescent="0.15">
      <c r="A4487">
        <v>4486</v>
      </c>
      <c r="B4487" t="s">
        <v>339</v>
      </c>
      <c r="C4487" t="s">
        <v>353</v>
      </c>
      <c r="D4487" t="s">
        <v>8145</v>
      </c>
      <c r="E4487" t="s">
        <v>8143</v>
      </c>
      <c r="F4487" s="46">
        <v>46097.325923402779</v>
      </c>
      <c r="G4487" s="46">
        <v>46097.325923402779</v>
      </c>
      <c r="H4487">
        <v>0</v>
      </c>
    </row>
    <row r="4488" spans="1:8" x14ac:dyDescent="0.15">
      <c r="A4488">
        <v>4487</v>
      </c>
      <c r="B4488" t="s">
        <v>339</v>
      </c>
      <c r="C4488" t="s">
        <v>353</v>
      </c>
      <c r="D4488" t="s">
        <v>8146</v>
      </c>
      <c r="E4488" t="s">
        <v>8143</v>
      </c>
      <c r="F4488" s="46">
        <v>46097.325923402779</v>
      </c>
      <c r="G4488" s="46">
        <v>46097.325923402779</v>
      </c>
      <c r="H4488">
        <v>0</v>
      </c>
    </row>
    <row r="4489" spans="1:8" x14ac:dyDescent="0.15">
      <c r="A4489">
        <v>4488</v>
      </c>
      <c r="B4489" t="s">
        <v>339</v>
      </c>
      <c r="C4489" t="s">
        <v>353</v>
      </c>
      <c r="D4489" t="s">
        <v>8147</v>
      </c>
      <c r="E4489" t="s">
        <v>8143</v>
      </c>
      <c r="F4489" s="46">
        <v>46097.325923402779</v>
      </c>
      <c r="G4489" s="46">
        <v>46097.325923402779</v>
      </c>
      <c r="H4489">
        <v>0</v>
      </c>
    </row>
    <row r="4490" spans="1:8" x14ac:dyDescent="0.15">
      <c r="A4490">
        <v>4489</v>
      </c>
      <c r="B4490" t="s">
        <v>339</v>
      </c>
      <c r="C4490" t="s">
        <v>353</v>
      </c>
      <c r="D4490" t="s">
        <v>8148</v>
      </c>
      <c r="E4490" t="s">
        <v>8149</v>
      </c>
      <c r="F4490" s="46">
        <v>46097.325923402779</v>
      </c>
      <c r="G4490" s="46">
        <v>46097.325923402779</v>
      </c>
      <c r="H4490">
        <v>0</v>
      </c>
    </row>
    <row r="4491" spans="1:8" x14ac:dyDescent="0.15">
      <c r="A4491">
        <v>4490</v>
      </c>
      <c r="B4491" t="s">
        <v>339</v>
      </c>
      <c r="C4491" t="s">
        <v>353</v>
      </c>
      <c r="D4491" t="s">
        <v>8150</v>
      </c>
      <c r="E4491" t="s">
        <v>8151</v>
      </c>
      <c r="F4491" s="46">
        <v>46097.325923402779</v>
      </c>
      <c r="G4491" s="46">
        <v>46097.325923402779</v>
      </c>
      <c r="H4491">
        <v>0</v>
      </c>
    </row>
    <row r="4492" spans="1:8" x14ac:dyDescent="0.15">
      <c r="A4492">
        <v>4491</v>
      </c>
      <c r="B4492" t="s">
        <v>339</v>
      </c>
      <c r="C4492" t="s">
        <v>353</v>
      </c>
      <c r="D4492" t="s">
        <v>8152</v>
      </c>
      <c r="E4492" t="s">
        <v>8153</v>
      </c>
      <c r="F4492" s="46">
        <v>46097.325923402779</v>
      </c>
      <c r="G4492" s="46">
        <v>46097.325923402779</v>
      </c>
      <c r="H4492">
        <v>0</v>
      </c>
    </row>
    <row r="4493" spans="1:8" x14ac:dyDescent="0.15">
      <c r="A4493">
        <v>4492</v>
      </c>
      <c r="B4493" t="s">
        <v>339</v>
      </c>
      <c r="C4493" t="s">
        <v>353</v>
      </c>
      <c r="D4493" t="s">
        <v>8154</v>
      </c>
      <c r="E4493" t="s">
        <v>8155</v>
      </c>
      <c r="F4493" s="46">
        <v>46097.325923402779</v>
      </c>
      <c r="G4493" s="46">
        <v>46097.325923402779</v>
      </c>
      <c r="H4493">
        <v>0</v>
      </c>
    </row>
    <row r="4494" spans="1:8" x14ac:dyDescent="0.15">
      <c r="A4494">
        <v>4493</v>
      </c>
      <c r="B4494" t="s">
        <v>339</v>
      </c>
      <c r="C4494" t="s">
        <v>353</v>
      </c>
      <c r="D4494" t="s">
        <v>8156</v>
      </c>
      <c r="E4494" t="s">
        <v>8157</v>
      </c>
      <c r="F4494" s="46">
        <v>46097.325923402779</v>
      </c>
      <c r="G4494" s="46">
        <v>46097.325923402779</v>
      </c>
      <c r="H4494">
        <v>0</v>
      </c>
    </row>
    <row r="4495" spans="1:8" x14ac:dyDescent="0.15">
      <c r="A4495">
        <v>4494</v>
      </c>
      <c r="B4495" t="s">
        <v>339</v>
      </c>
      <c r="C4495" t="s">
        <v>353</v>
      </c>
      <c r="D4495" t="s">
        <v>8158</v>
      </c>
      <c r="E4495" t="s">
        <v>8159</v>
      </c>
      <c r="F4495" s="46">
        <v>46097.325923402779</v>
      </c>
      <c r="G4495" s="46">
        <v>46097.325923576391</v>
      </c>
      <c r="H4495">
        <v>16</v>
      </c>
    </row>
    <row r="4496" spans="1:8" x14ac:dyDescent="0.15">
      <c r="A4496">
        <v>4495</v>
      </c>
      <c r="B4496" t="s">
        <v>339</v>
      </c>
      <c r="C4496" t="s">
        <v>353</v>
      </c>
      <c r="D4496" t="s">
        <v>8160</v>
      </c>
      <c r="E4496" t="s">
        <v>8159</v>
      </c>
      <c r="F4496" s="46">
        <v>46097.325923576391</v>
      </c>
      <c r="G4496" s="46">
        <v>46097.325923576391</v>
      </c>
      <c r="H4496">
        <v>0</v>
      </c>
    </row>
    <row r="4497" spans="1:8" x14ac:dyDescent="0.15">
      <c r="A4497">
        <v>4496</v>
      </c>
      <c r="B4497" t="s">
        <v>339</v>
      </c>
      <c r="C4497" t="s">
        <v>353</v>
      </c>
      <c r="D4497" t="s">
        <v>8161</v>
      </c>
      <c r="E4497" t="s">
        <v>8159</v>
      </c>
      <c r="F4497" s="46">
        <v>46097.325923576391</v>
      </c>
      <c r="G4497" s="46">
        <v>46097.325923576391</v>
      </c>
      <c r="H4497">
        <v>0</v>
      </c>
    </row>
    <row r="4498" spans="1:8" x14ac:dyDescent="0.15">
      <c r="A4498">
        <v>4497</v>
      </c>
      <c r="B4498" t="s">
        <v>339</v>
      </c>
      <c r="C4498" t="s">
        <v>353</v>
      </c>
      <c r="D4498" t="s">
        <v>8162</v>
      </c>
      <c r="E4498" t="s">
        <v>787</v>
      </c>
      <c r="F4498" s="46">
        <v>46097.325923576391</v>
      </c>
      <c r="G4498" s="46">
        <v>46097.325923576391</v>
      </c>
      <c r="H4498">
        <v>0</v>
      </c>
    </row>
    <row r="4499" spans="1:8" x14ac:dyDescent="0.15">
      <c r="A4499">
        <v>4498</v>
      </c>
      <c r="B4499" t="s">
        <v>339</v>
      </c>
      <c r="C4499" t="s">
        <v>353</v>
      </c>
      <c r="D4499" t="s">
        <v>8163</v>
      </c>
      <c r="E4499" t="s">
        <v>787</v>
      </c>
      <c r="F4499" s="46">
        <v>46097.325923576391</v>
      </c>
      <c r="G4499" s="46">
        <v>46097.325923576391</v>
      </c>
      <c r="H4499">
        <v>0</v>
      </c>
    </row>
    <row r="4500" spans="1:8" x14ac:dyDescent="0.15">
      <c r="A4500">
        <v>4499</v>
      </c>
      <c r="B4500" t="s">
        <v>339</v>
      </c>
      <c r="C4500" t="s">
        <v>353</v>
      </c>
      <c r="D4500" t="s">
        <v>8164</v>
      </c>
      <c r="E4500" t="s">
        <v>787</v>
      </c>
      <c r="F4500" s="46">
        <v>46097.325923576391</v>
      </c>
      <c r="G4500" s="46">
        <v>46097.325923576391</v>
      </c>
      <c r="H4500">
        <v>0</v>
      </c>
    </row>
    <row r="4501" spans="1:8" x14ac:dyDescent="0.15">
      <c r="A4501">
        <v>4500</v>
      </c>
      <c r="B4501" t="s">
        <v>339</v>
      </c>
      <c r="C4501" t="s">
        <v>353</v>
      </c>
      <c r="D4501" t="s">
        <v>8165</v>
      </c>
      <c r="E4501" t="s">
        <v>787</v>
      </c>
      <c r="F4501" s="46">
        <v>46097.325923576391</v>
      </c>
      <c r="G4501" s="46">
        <v>46097.325923576391</v>
      </c>
      <c r="H4501">
        <v>0</v>
      </c>
    </row>
    <row r="4502" spans="1:8" x14ac:dyDescent="0.15">
      <c r="A4502">
        <v>4501</v>
      </c>
      <c r="B4502" t="s">
        <v>339</v>
      </c>
      <c r="C4502" t="s">
        <v>353</v>
      </c>
      <c r="D4502" t="s">
        <v>8166</v>
      </c>
      <c r="E4502" t="s">
        <v>787</v>
      </c>
      <c r="F4502" s="46">
        <v>46097.325923576391</v>
      </c>
      <c r="G4502" s="46">
        <v>46097.325923576391</v>
      </c>
      <c r="H4502">
        <v>0</v>
      </c>
    </row>
    <row r="4503" spans="1:8" x14ac:dyDescent="0.15">
      <c r="A4503">
        <v>4502</v>
      </c>
      <c r="B4503" t="s">
        <v>339</v>
      </c>
      <c r="C4503" t="s">
        <v>353</v>
      </c>
      <c r="D4503" t="s">
        <v>8167</v>
      </c>
      <c r="E4503" t="s">
        <v>787</v>
      </c>
      <c r="F4503" s="46">
        <v>46097.325923576391</v>
      </c>
      <c r="G4503" s="46">
        <v>46097.325923576391</v>
      </c>
      <c r="H4503">
        <v>0</v>
      </c>
    </row>
    <row r="4504" spans="1:8" x14ac:dyDescent="0.15">
      <c r="A4504">
        <v>4503</v>
      </c>
      <c r="B4504" t="s">
        <v>339</v>
      </c>
      <c r="C4504" t="s">
        <v>353</v>
      </c>
      <c r="D4504" t="s">
        <v>8168</v>
      </c>
      <c r="E4504" t="s">
        <v>787</v>
      </c>
      <c r="F4504" s="46">
        <v>46097.325923576391</v>
      </c>
      <c r="G4504" s="46">
        <v>46097.325923576391</v>
      </c>
      <c r="H4504">
        <v>0</v>
      </c>
    </row>
    <row r="4505" spans="1:8" x14ac:dyDescent="0.15">
      <c r="A4505">
        <v>4504</v>
      </c>
      <c r="B4505" t="s">
        <v>339</v>
      </c>
      <c r="C4505" t="s">
        <v>353</v>
      </c>
      <c r="D4505" t="s">
        <v>8169</v>
      </c>
      <c r="E4505" t="s">
        <v>8170</v>
      </c>
      <c r="F4505" s="46">
        <v>46097.325923576391</v>
      </c>
      <c r="G4505" s="46">
        <v>46097.325923576391</v>
      </c>
      <c r="H4505">
        <v>0</v>
      </c>
    </row>
    <row r="4506" spans="1:8" x14ac:dyDescent="0.15">
      <c r="A4506">
        <v>4505</v>
      </c>
      <c r="B4506" t="s">
        <v>339</v>
      </c>
      <c r="C4506" t="s">
        <v>353</v>
      </c>
      <c r="D4506" t="s">
        <v>8171</v>
      </c>
      <c r="E4506" t="s">
        <v>8172</v>
      </c>
      <c r="F4506" s="46">
        <v>46097.325923576391</v>
      </c>
      <c r="G4506" s="46">
        <v>46097.325923761571</v>
      </c>
      <c r="H4506">
        <v>15</v>
      </c>
    </row>
    <row r="4507" spans="1:8" x14ac:dyDescent="0.15">
      <c r="A4507">
        <v>4506</v>
      </c>
      <c r="B4507" t="s">
        <v>339</v>
      </c>
      <c r="C4507" t="s">
        <v>353</v>
      </c>
      <c r="D4507" t="s">
        <v>8173</v>
      </c>
      <c r="E4507" t="s">
        <v>8174</v>
      </c>
      <c r="F4507" s="46">
        <v>46097.325923761571</v>
      </c>
      <c r="G4507" s="46">
        <v>46097.325923761571</v>
      </c>
      <c r="H4507">
        <v>0</v>
      </c>
    </row>
    <row r="4508" spans="1:8" x14ac:dyDescent="0.15">
      <c r="A4508">
        <v>4507</v>
      </c>
      <c r="B4508" t="s">
        <v>339</v>
      </c>
      <c r="C4508" t="s">
        <v>353</v>
      </c>
      <c r="D4508" t="s">
        <v>8175</v>
      </c>
      <c r="E4508" t="s">
        <v>8176</v>
      </c>
      <c r="F4508" s="46">
        <v>46097.325923761571</v>
      </c>
      <c r="G4508" s="46">
        <v>46097.325923761571</v>
      </c>
      <c r="H4508">
        <v>0</v>
      </c>
    </row>
    <row r="4509" spans="1:8" x14ac:dyDescent="0.15">
      <c r="A4509">
        <v>4508</v>
      </c>
      <c r="B4509" t="s">
        <v>339</v>
      </c>
      <c r="C4509" t="s">
        <v>353</v>
      </c>
      <c r="D4509" t="s">
        <v>8177</v>
      </c>
      <c r="E4509" t="s">
        <v>8176</v>
      </c>
      <c r="F4509" s="46">
        <v>46097.325923761571</v>
      </c>
      <c r="G4509" s="46">
        <v>46097.325923761571</v>
      </c>
      <c r="H4509">
        <v>0</v>
      </c>
    </row>
    <row r="4510" spans="1:8" x14ac:dyDescent="0.15">
      <c r="A4510">
        <v>4509</v>
      </c>
      <c r="B4510" t="s">
        <v>339</v>
      </c>
      <c r="C4510" t="s">
        <v>353</v>
      </c>
      <c r="D4510" t="s">
        <v>8178</v>
      </c>
      <c r="E4510" t="s">
        <v>8179</v>
      </c>
      <c r="F4510" s="46">
        <v>46097.325923761571</v>
      </c>
      <c r="G4510" s="46">
        <v>46097.325923761571</v>
      </c>
      <c r="H4510">
        <v>0</v>
      </c>
    </row>
    <row r="4511" spans="1:8" x14ac:dyDescent="0.15">
      <c r="A4511">
        <v>4510</v>
      </c>
      <c r="B4511" t="s">
        <v>339</v>
      </c>
      <c r="C4511" t="s">
        <v>353</v>
      </c>
      <c r="D4511" t="s">
        <v>8180</v>
      </c>
      <c r="E4511" t="s">
        <v>8179</v>
      </c>
      <c r="F4511" s="46">
        <v>46097.325923761571</v>
      </c>
      <c r="G4511" s="46">
        <v>46097.325923761571</v>
      </c>
      <c r="H4511">
        <v>0</v>
      </c>
    </row>
    <row r="4512" spans="1:8" x14ac:dyDescent="0.15">
      <c r="A4512">
        <v>4511</v>
      </c>
      <c r="B4512" t="s">
        <v>339</v>
      </c>
      <c r="C4512" t="s">
        <v>353</v>
      </c>
      <c r="D4512" t="s">
        <v>8181</v>
      </c>
      <c r="E4512" t="s">
        <v>8179</v>
      </c>
      <c r="F4512" s="46">
        <v>46097.325923761571</v>
      </c>
      <c r="G4512" s="46">
        <v>46097.325923761571</v>
      </c>
      <c r="H4512">
        <v>0</v>
      </c>
    </row>
    <row r="4513" spans="1:8" x14ac:dyDescent="0.15">
      <c r="A4513">
        <v>4512</v>
      </c>
      <c r="B4513" t="s">
        <v>339</v>
      </c>
      <c r="C4513" t="s">
        <v>353</v>
      </c>
      <c r="D4513" t="s">
        <v>8182</v>
      </c>
      <c r="E4513" t="s">
        <v>8179</v>
      </c>
      <c r="F4513" s="46">
        <v>46097.325923761571</v>
      </c>
      <c r="G4513" s="46">
        <v>46097.325923761571</v>
      </c>
      <c r="H4513">
        <v>0</v>
      </c>
    </row>
    <row r="4514" spans="1:8" x14ac:dyDescent="0.15">
      <c r="A4514">
        <v>4513</v>
      </c>
      <c r="B4514" t="s">
        <v>339</v>
      </c>
      <c r="C4514" t="s">
        <v>353</v>
      </c>
      <c r="D4514" t="s">
        <v>8183</v>
      </c>
      <c r="E4514" t="s">
        <v>8184</v>
      </c>
      <c r="F4514" s="46">
        <v>46097.325923761571</v>
      </c>
      <c r="G4514" s="46">
        <v>46097.325923761571</v>
      </c>
      <c r="H4514">
        <v>0</v>
      </c>
    </row>
    <row r="4515" spans="1:8" x14ac:dyDescent="0.15">
      <c r="A4515">
        <v>4514</v>
      </c>
      <c r="B4515" t="s">
        <v>339</v>
      </c>
      <c r="C4515" t="s">
        <v>353</v>
      </c>
      <c r="D4515" t="s">
        <v>8185</v>
      </c>
      <c r="E4515" t="s">
        <v>8184</v>
      </c>
      <c r="F4515" s="46">
        <v>46097.325923761571</v>
      </c>
      <c r="G4515" s="46">
        <v>46097.325923761571</v>
      </c>
      <c r="H4515">
        <v>0</v>
      </c>
    </row>
    <row r="4516" spans="1:8" x14ac:dyDescent="0.15">
      <c r="A4516">
        <v>4515</v>
      </c>
      <c r="B4516" t="s">
        <v>339</v>
      </c>
      <c r="C4516" t="s">
        <v>353</v>
      </c>
      <c r="D4516" t="s">
        <v>8186</v>
      </c>
      <c r="E4516" t="s">
        <v>8184</v>
      </c>
      <c r="F4516" s="46">
        <v>46097.325923761571</v>
      </c>
      <c r="G4516" s="46">
        <v>46097.325923761571</v>
      </c>
      <c r="H4516">
        <v>0</v>
      </c>
    </row>
    <row r="4517" spans="1:8" x14ac:dyDescent="0.15">
      <c r="A4517">
        <v>4516</v>
      </c>
      <c r="B4517" t="s">
        <v>339</v>
      </c>
      <c r="C4517" t="s">
        <v>353</v>
      </c>
      <c r="D4517" t="s">
        <v>8187</v>
      </c>
      <c r="E4517" t="s">
        <v>8188</v>
      </c>
      <c r="F4517" s="46">
        <v>46097.325923935183</v>
      </c>
      <c r="G4517" s="46">
        <v>46097.325923935183</v>
      </c>
      <c r="H4517">
        <v>0</v>
      </c>
    </row>
    <row r="4518" spans="1:8" x14ac:dyDescent="0.15">
      <c r="A4518">
        <v>4517</v>
      </c>
      <c r="B4518" t="s">
        <v>339</v>
      </c>
      <c r="C4518" t="s">
        <v>353</v>
      </c>
      <c r="D4518" t="s">
        <v>8189</v>
      </c>
      <c r="E4518" t="s">
        <v>8188</v>
      </c>
      <c r="F4518" s="46">
        <v>46097.325923935183</v>
      </c>
      <c r="G4518" s="46">
        <v>46097.325923935183</v>
      </c>
      <c r="H4518">
        <v>0</v>
      </c>
    </row>
    <row r="4519" spans="1:8" x14ac:dyDescent="0.15">
      <c r="A4519">
        <v>4518</v>
      </c>
      <c r="B4519" t="s">
        <v>339</v>
      </c>
      <c r="C4519" t="s">
        <v>353</v>
      </c>
      <c r="D4519" t="s">
        <v>8190</v>
      </c>
      <c r="E4519" t="s">
        <v>8191</v>
      </c>
      <c r="F4519" s="46">
        <v>46097.325923935183</v>
      </c>
      <c r="G4519" s="46">
        <v>46097.325923935183</v>
      </c>
      <c r="H4519">
        <v>0</v>
      </c>
    </row>
    <row r="4520" spans="1:8" x14ac:dyDescent="0.15">
      <c r="A4520">
        <v>4519</v>
      </c>
      <c r="B4520" t="s">
        <v>339</v>
      </c>
      <c r="C4520" t="s">
        <v>353</v>
      </c>
      <c r="D4520" t="s">
        <v>8192</v>
      </c>
      <c r="E4520" t="s">
        <v>8193</v>
      </c>
      <c r="F4520" s="46">
        <v>46097.325923935183</v>
      </c>
      <c r="G4520" s="46">
        <v>46097.325923935183</v>
      </c>
      <c r="H4520">
        <v>0</v>
      </c>
    </row>
    <row r="4521" spans="1:8" x14ac:dyDescent="0.15">
      <c r="A4521">
        <v>4520</v>
      </c>
      <c r="B4521" t="s">
        <v>339</v>
      </c>
      <c r="C4521" t="s">
        <v>353</v>
      </c>
      <c r="D4521" t="s">
        <v>8194</v>
      </c>
      <c r="E4521" t="s">
        <v>8195</v>
      </c>
      <c r="F4521" s="46">
        <v>46097.325923935183</v>
      </c>
      <c r="G4521" s="46">
        <v>46097.325923935183</v>
      </c>
      <c r="H4521">
        <v>0</v>
      </c>
    </row>
    <row r="4522" spans="1:8" x14ac:dyDescent="0.15">
      <c r="A4522">
        <v>4521</v>
      </c>
      <c r="B4522" t="s">
        <v>339</v>
      </c>
      <c r="C4522" t="s">
        <v>353</v>
      </c>
      <c r="D4522" t="s">
        <v>8196</v>
      </c>
      <c r="E4522" t="s">
        <v>8195</v>
      </c>
      <c r="F4522" s="46">
        <v>46097.325923935183</v>
      </c>
      <c r="G4522" s="46">
        <v>46097.325923935183</v>
      </c>
      <c r="H4522">
        <v>0</v>
      </c>
    </row>
    <row r="4523" spans="1:8" x14ac:dyDescent="0.15">
      <c r="A4523">
        <v>4522</v>
      </c>
      <c r="B4523" t="s">
        <v>339</v>
      </c>
      <c r="C4523" t="s">
        <v>353</v>
      </c>
      <c r="D4523" t="s">
        <v>8197</v>
      </c>
      <c r="E4523" t="s">
        <v>8195</v>
      </c>
      <c r="F4523" s="46">
        <v>46097.325923935183</v>
      </c>
      <c r="G4523" s="46">
        <v>46097.325923935183</v>
      </c>
      <c r="H4523">
        <v>0</v>
      </c>
    </row>
    <row r="4524" spans="1:8" x14ac:dyDescent="0.15">
      <c r="A4524">
        <v>4523</v>
      </c>
      <c r="B4524" t="s">
        <v>339</v>
      </c>
      <c r="C4524" t="s">
        <v>353</v>
      </c>
      <c r="D4524" t="s">
        <v>8198</v>
      </c>
      <c r="E4524" t="s">
        <v>8195</v>
      </c>
      <c r="F4524" s="46">
        <v>46097.325923935183</v>
      </c>
      <c r="G4524" s="46">
        <v>46097.325923935183</v>
      </c>
      <c r="H4524">
        <v>0</v>
      </c>
    </row>
    <row r="4525" spans="1:8" x14ac:dyDescent="0.15">
      <c r="A4525">
        <v>4524</v>
      </c>
      <c r="B4525" t="s">
        <v>339</v>
      </c>
      <c r="C4525" t="s">
        <v>353</v>
      </c>
      <c r="D4525" t="s">
        <v>8199</v>
      </c>
      <c r="E4525" t="s">
        <v>8200</v>
      </c>
      <c r="F4525" s="46">
        <v>46097.325923935183</v>
      </c>
      <c r="G4525" s="46">
        <v>46097.325923935183</v>
      </c>
      <c r="H4525">
        <v>0</v>
      </c>
    </row>
    <row r="4526" spans="1:8" x14ac:dyDescent="0.15">
      <c r="A4526">
        <v>4525</v>
      </c>
      <c r="B4526" t="s">
        <v>339</v>
      </c>
      <c r="C4526" t="s">
        <v>353</v>
      </c>
      <c r="D4526" t="s">
        <v>8201</v>
      </c>
      <c r="E4526" t="s">
        <v>8200</v>
      </c>
      <c r="F4526" s="46">
        <v>46097.325923935183</v>
      </c>
      <c r="G4526" s="46">
        <v>46097.325923935183</v>
      </c>
      <c r="H4526">
        <v>0</v>
      </c>
    </row>
    <row r="4527" spans="1:8" x14ac:dyDescent="0.15">
      <c r="A4527">
        <v>4526</v>
      </c>
      <c r="B4527" t="s">
        <v>339</v>
      </c>
      <c r="C4527" t="s">
        <v>353</v>
      </c>
      <c r="D4527" t="s">
        <v>8202</v>
      </c>
      <c r="E4527" t="s">
        <v>8200</v>
      </c>
      <c r="F4527" s="46">
        <v>46097.325923935183</v>
      </c>
      <c r="G4527" s="46">
        <v>46097.32592412037</v>
      </c>
      <c r="H4527">
        <v>16</v>
      </c>
    </row>
    <row r="4528" spans="1:8" x14ac:dyDescent="0.15">
      <c r="A4528">
        <v>4527</v>
      </c>
      <c r="B4528" t="s">
        <v>339</v>
      </c>
      <c r="C4528" t="s">
        <v>353</v>
      </c>
      <c r="D4528" t="s">
        <v>8203</v>
      </c>
      <c r="E4528" t="s">
        <v>8200</v>
      </c>
      <c r="F4528" s="46">
        <v>46097.32592412037</v>
      </c>
      <c r="G4528" s="46">
        <v>46097.32592412037</v>
      </c>
      <c r="H4528">
        <v>0</v>
      </c>
    </row>
    <row r="4529" spans="1:8" x14ac:dyDescent="0.15">
      <c r="A4529">
        <v>4528</v>
      </c>
      <c r="B4529" t="s">
        <v>339</v>
      </c>
      <c r="C4529" t="s">
        <v>353</v>
      </c>
      <c r="D4529" t="s">
        <v>8204</v>
      </c>
      <c r="E4529" t="s">
        <v>8200</v>
      </c>
      <c r="F4529" s="46">
        <v>46097.32592412037</v>
      </c>
      <c r="G4529" s="46">
        <v>46097.32592412037</v>
      </c>
      <c r="H4529">
        <v>0</v>
      </c>
    </row>
    <row r="4530" spans="1:8" x14ac:dyDescent="0.15">
      <c r="A4530">
        <v>4529</v>
      </c>
      <c r="B4530" t="s">
        <v>339</v>
      </c>
      <c r="C4530" t="s">
        <v>353</v>
      </c>
      <c r="D4530" t="s">
        <v>8205</v>
      </c>
      <c r="E4530" t="s">
        <v>8206</v>
      </c>
      <c r="F4530" s="46">
        <v>46097.32592412037</v>
      </c>
      <c r="G4530" s="46">
        <v>46097.32592412037</v>
      </c>
      <c r="H4530">
        <v>0</v>
      </c>
    </row>
    <row r="4531" spans="1:8" x14ac:dyDescent="0.15">
      <c r="A4531">
        <v>4530</v>
      </c>
      <c r="B4531" t="s">
        <v>339</v>
      </c>
      <c r="C4531" t="s">
        <v>353</v>
      </c>
      <c r="D4531" t="s">
        <v>8207</v>
      </c>
      <c r="E4531" t="s">
        <v>8206</v>
      </c>
      <c r="F4531" s="46">
        <v>46097.32592412037</v>
      </c>
      <c r="G4531" s="46">
        <v>46097.32592412037</v>
      </c>
      <c r="H4531">
        <v>0</v>
      </c>
    </row>
    <row r="4532" spans="1:8" x14ac:dyDescent="0.15">
      <c r="A4532">
        <v>4531</v>
      </c>
      <c r="B4532" t="s">
        <v>339</v>
      </c>
      <c r="C4532" t="s">
        <v>353</v>
      </c>
      <c r="D4532" t="s">
        <v>8208</v>
      </c>
      <c r="E4532" t="s">
        <v>8209</v>
      </c>
      <c r="F4532" s="46">
        <v>46097.32592412037</v>
      </c>
      <c r="G4532" s="46">
        <v>46097.32592412037</v>
      </c>
      <c r="H4532">
        <v>0</v>
      </c>
    </row>
    <row r="4533" spans="1:8" x14ac:dyDescent="0.15">
      <c r="A4533">
        <v>4532</v>
      </c>
      <c r="B4533" t="s">
        <v>339</v>
      </c>
      <c r="C4533" t="s">
        <v>353</v>
      </c>
      <c r="D4533" t="s">
        <v>8210</v>
      </c>
      <c r="E4533" t="s">
        <v>8209</v>
      </c>
      <c r="F4533" s="46">
        <v>46097.32592412037</v>
      </c>
      <c r="G4533" s="46">
        <v>46097.32592412037</v>
      </c>
      <c r="H4533">
        <v>0</v>
      </c>
    </row>
    <row r="4534" spans="1:8" x14ac:dyDescent="0.15">
      <c r="A4534">
        <v>4533</v>
      </c>
      <c r="B4534" t="s">
        <v>339</v>
      </c>
      <c r="C4534" t="s">
        <v>353</v>
      </c>
      <c r="D4534" t="s">
        <v>8211</v>
      </c>
      <c r="E4534" t="s">
        <v>8209</v>
      </c>
      <c r="F4534" s="46">
        <v>46097.32592412037</v>
      </c>
      <c r="G4534" s="46">
        <v>46097.32592412037</v>
      </c>
      <c r="H4534">
        <v>0</v>
      </c>
    </row>
    <row r="4535" spans="1:8" x14ac:dyDescent="0.15">
      <c r="A4535">
        <v>4534</v>
      </c>
      <c r="B4535" t="s">
        <v>339</v>
      </c>
      <c r="C4535" t="s">
        <v>353</v>
      </c>
      <c r="D4535" t="s">
        <v>8212</v>
      </c>
      <c r="E4535" t="s">
        <v>8209</v>
      </c>
      <c r="F4535" s="46">
        <v>46097.32592412037</v>
      </c>
      <c r="G4535" s="46">
        <v>46097.32592412037</v>
      </c>
      <c r="H4535">
        <v>0</v>
      </c>
    </row>
    <row r="4536" spans="1:8" x14ac:dyDescent="0.15">
      <c r="A4536">
        <v>4535</v>
      </c>
      <c r="B4536" t="s">
        <v>339</v>
      </c>
      <c r="C4536" t="s">
        <v>353</v>
      </c>
      <c r="D4536" t="s">
        <v>8213</v>
      </c>
      <c r="E4536" t="s">
        <v>8209</v>
      </c>
      <c r="F4536" s="46">
        <v>46097.32592412037</v>
      </c>
      <c r="G4536" s="46">
        <v>46097.32592412037</v>
      </c>
      <c r="H4536">
        <v>0</v>
      </c>
    </row>
    <row r="4537" spans="1:8" x14ac:dyDescent="0.15">
      <c r="A4537">
        <v>4536</v>
      </c>
      <c r="B4537" t="s">
        <v>339</v>
      </c>
      <c r="C4537" t="s">
        <v>353</v>
      </c>
      <c r="D4537" t="s">
        <v>8214</v>
      </c>
      <c r="E4537" t="s">
        <v>8215</v>
      </c>
      <c r="F4537" s="46">
        <v>46097.32592412037</v>
      </c>
      <c r="G4537" s="46">
        <v>46097.325924305558</v>
      </c>
      <c r="H4537">
        <v>15</v>
      </c>
    </row>
    <row r="4538" spans="1:8" x14ac:dyDescent="0.15">
      <c r="A4538">
        <v>4537</v>
      </c>
      <c r="B4538" t="s">
        <v>339</v>
      </c>
      <c r="C4538" t="s">
        <v>353</v>
      </c>
      <c r="D4538" t="s">
        <v>8216</v>
      </c>
      <c r="E4538" t="s">
        <v>8217</v>
      </c>
      <c r="F4538" s="46">
        <v>46097.325924305558</v>
      </c>
      <c r="G4538" s="46">
        <v>46097.325924305558</v>
      </c>
      <c r="H4538">
        <v>0</v>
      </c>
    </row>
    <row r="4539" spans="1:8" x14ac:dyDescent="0.15">
      <c r="A4539">
        <v>4538</v>
      </c>
      <c r="B4539" t="s">
        <v>339</v>
      </c>
      <c r="C4539" t="s">
        <v>353</v>
      </c>
      <c r="D4539" t="s">
        <v>8218</v>
      </c>
      <c r="E4539" t="s">
        <v>8217</v>
      </c>
      <c r="F4539" s="46">
        <v>46097.325924305558</v>
      </c>
      <c r="G4539" s="46">
        <v>46097.325924305558</v>
      </c>
      <c r="H4539">
        <v>0</v>
      </c>
    </row>
    <row r="4540" spans="1:8" x14ac:dyDescent="0.15">
      <c r="A4540">
        <v>4539</v>
      </c>
      <c r="B4540" t="s">
        <v>339</v>
      </c>
      <c r="C4540" t="s">
        <v>353</v>
      </c>
      <c r="D4540" t="s">
        <v>8219</v>
      </c>
      <c r="E4540" t="s">
        <v>8220</v>
      </c>
      <c r="F4540" s="46">
        <v>46097.325924305558</v>
      </c>
      <c r="G4540" s="46">
        <v>46097.325924305558</v>
      </c>
      <c r="H4540">
        <v>0</v>
      </c>
    </row>
    <row r="4541" spans="1:8" x14ac:dyDescent="0.15">
      <c r="A4541">
        <v>4540</v>
      </c>
      <c r="B4541" t="s">
        <v>339</v>
      </c>
      <c r="C4541" t="s">
        <v>353</v>
      </c>
      <c r="D4541" t="s">
        <v>8221</v>
      </c>
      <c r="E4541" t="s">
        <v>8220</v>
      </c>
      <c r="F4541" s="46">
        <v>46097.325924305558</v>
      </c>
      <c r="G4541" s="46">
        <v>46097.325924305558</v>
      </c>
      <c r="H4541">
        <v>0</v>
      </c>
    </row>
    <row r="4542" spans="1:8" x14ac:dyDescent="0.15">
      <c r="A4542">
        <v>4541</v>
      </c>
      <c r="B4542" t="s">
        <v>339</v>
      </c>
      <c r="C4542" t="s">
        <v>353</v>
      </c>
      <c r="D4542" t="s">
        <v>8222</v>
      </c>
      <c r="E4542" t="s">
        <v>8223</v>
      </c>
      <c r="F4542" s="46">
        <v>46097.325924305558</v>
      </c>
      <c r="G4542" s="46">
        <v>46097.325924305558</v>
      </c>
      <c r="H4542">
        <v>0</v>
      </c>
    </row>
    <row r="4543" spans="1:8" x14ac:dyDescent="0.15">
      <c r="A4543">
        <v>4542</v>
      </c>
      <c r="B4543" t="s">
        <v>339</v>
      </c>
      <c r="C4543" t="s">
        <v>353</v>
      </c>
      <c r="D4543" t="s">
        <v>8224</v>
      </c>
      <c r="E4543" t="s">
        <v>8223</v>
      </c>
      <c r="F4543" s="46">
        <v>46097.325924305558</v>
      </c>
      <c r="G4543" s="46">
        <v>46097.325924305558</v>
      </c>
      <c r="H4543">
        <v>0</v>
      </c>
    </row>
    <row r="4544" spans="1:8" x14ac:dyDescent="0.15">
      <c r="A4544">
        <v>4543</v>
      </c>
      <c r="B4544" t="s">
        <v>339</v>
      </c>
      <c r="C4544" t="s">
        <v>353</v>
      </c>
      <c r="D4544" t="s">
        <v>8225</v>
      </c>
      <c r="E4544" t="s">
        <v>8226</v>
      </c>
      <c r="F4544" s="46">
        <v>46097.325924305558</v>
      </c>
      <c r="G4544" s="46">
        <v>46097.325924305558</v>
      </c>
      <c r="H4544">
        <v>0</v>
      </c>
    </row>
    <row r="4545" spans="1:8" x14ac:dyDescent="0.15">
      <c r="A4545">
        <v>4544</v>
      </c>
      <c r="B4545" t="s">
        <v>339</v>
      </c>
      <c r="C4545" t="s">
        <v>353</v>
      </c>
      <c r="D4545" t="s">
        <v>8227</v>
      </c>
      <c r="E4545" t="s">
        <v>8226</v>
      </c>
      <c r="F4545" s="46">
        <v>46097.325924305558</v>
      </c>
      <c r="G4545" s="46">
        <v>46097.325924305558</v>
      </c>
      <c r="H4545">
        <v>0</v>
      </c>
    </row>
    <row r="4546" spans="1:8" x14ac:dyDescent="0.15">
      <c r="A4546">
        <v>4545</v>
      </c>
      <c r="B4546" t="s">
        <v>339</v>
      </c>
      <c r="C4546" t="s">
        <v>353</v>
      </c>
      <c r="D4546" t="s">
        <v>8228</v>
      </c>
      <c r="E4546" t="s">
        <v>8226</v>
      </c>
      <c r="F4546" s="46">
        <v>46097.325924305558</v>
      </c>
      <c r="G4546" s="46">
        <v>46097.325924305558</v>
      </c>
      <c r="H4546">
        <v>0</v>
      </c>
    </row>
    <row r="4547" spans="1:8" x14ac:dyDescent="0.15">
      <c r="A4547">
        <v>4546</v>
      </c>
      <c r="B4547" t="s">
        <v>339</v>
      </c>
      <c r="C4547" t="s">
        <v>353</v>
      </c>
      <c r="D4547" t="s">
        <v>8229</v>
      </c>
      <c r="E4547" t="s">
        <v>8226</v>
      </c>
      <c r="F4547" s="46">
        <v>46097.325924305558</v>
      </c>
      <c r="G4547" s="46">
        <v>46097.325924305558</v>
      </c>
      <c r="H4547">
        <v>0</v>
      </c>
    </row>
    <row r="4548" spans="1:8" x14ac:dyDescent="0.15">
      <c r="A4548">
        <v>4547</v>
      </c>
      <c r="B4548" t="s">
        <v>339</v>
      </c>
      <c r="C4548" t="s">
        <v>353</v>
      </c>
      <c r="D4548" t="s">
        <v>8230</v>
      </c>
      <c r="E4548" t="s">
        <v>8226</v>
      </c>
      <c r="F4548" s="46">
        <v>46097.325924305558</v>
      </c>
      <c r="G4548" s="46">
        <v>46097.32592447917</v>
      </c>
      <c r="H4548">
        <v>16</v>
      </c>
    </row>
    <row r="4549" spans="1:8" x14ac:dyDescent="0.15">
      <c r="A4549">
        <v>4548</v>
      </c>
      <c r="B4549" t="s">
        <v>339</v>
      </c>
      <c r="C4549" t="s">
        <v>353</v>
      </c>
      <c r="D4549" t="s">
        <v>8231</v>
      </c>
      <c r="E4549" t="s">
        <v>8226</v>
      </c>
      <c r="F4549" s="46">
        <v>46097.32592447917</v>
      </c>
      <c r="G4549" s="46">
        <v>46097.32592447917</v>
      </c>
      <c r="H4549">
        <v>0</v>
      </c>
    </row>
    <row r="4550" spans="1:8" x14ac:dyDescent="0.15">
      <c r="A4550">
        <v>4549</v>
      </c>
      <c r="B4550" t="s">
        <v>339</v>
      </c>
      <c r="C4550" t="s">
        <v>353</v>
      </c>
      <c r="D4550" t="s">
        <v>8232</v>
      </c>
      <c r="E4550" t="s">
        <v>788</v>
      </c>
      <c r="F4550" s="46">
        <v>46097.32592447917</v>
      </c>
      <c r="G4550" s="46">
        <v>46097.32592447917</v>
      </c>
      <c r="H4550">
        <v>0</v>
      </c>
    </row>
    <row r="4551" spans="1:8" x14ac:dyDescent="0.15">
      <c r="A4551">
        <v>4550</v>
      </c>
      <c r="B4551" t="s">
        <v>339</v>
      </c>
      <c r="C4551" t="s">
        <v>353</v>
      </c>
      <c r="D4551" t="s">
        <v>8233</v>
      </c>
      <c r="E4551" t="s">
        <v>788</v>
      </c>
      <c r="F4551" s="46">
        <v>46097.32592447917</v>
      </c>
      <c r="G4551" s="46">
        <v>46097.32592447917</v>
      </c>
      <c r="H4551">
        <v>0</v>
      </c>
    </row>
    <row r="4552" spans="1:8" x14ac:dyDescent="0.15">
      <c r="A4552">
        <v>4551</v>
      </c>
      <c r="B4552" t="s">
        <v>339</v>
      </c>
      <c r="C4552" t="s">
        <v>353</v>
      </c>
      <c r="D4552" t="s">
        <v>8234</v>
      </c>
      <c r="E4552" t="s">
        <v>788</v>
      </c>
      <c r="F4552" s="46">
        <v>46097.32592447917</v>
      </c>
      <c r="G4552" s="46">
        <v>46097.32592447917</v>
      </c>
      <c r="H4552">
        <v>0</v>
      </c>
    </row>
    <row r="4553" spans="1:8" x14ac:dyDescent="0.15">
      <c r="A4553">
        <v>4552</v>
      </c>
      <c r="B4553" t="s">
        <v>339</v>
      </c>
      <c r="C4553" t="s">
        <v>353</v>
      </c>
      <c r="D4553" t="s">
        <v>8235</v>
      </c>
      <c r="E4553" t="s">
        <v>8236</v>
      </c>
      <c r="F4553" s="46">
        <v>46097.32592447917</v>
      </c>
      <c r="G4553" s="46">
        <v>46097.32592447917</v>
      </c>
      <c r="H4553">
        <v>0</v>
      </c>
    </row>
    <row r="4554" spans="1:8" x14ac:dyDescent="0.15">
      <c r="A4554">
        <v>4553</v>
      </c>
      <c r="B4554" t="s">
        <v>339</v>
      </c>
      <c r="C4554" t="s">
        <v>353</v>
      </c>
      <c r="D4554" t="s">
        <v>8237</v>
      </c>
      <c r="E4554" t="s">
        <v>8238</v>
      </c>
      <c r="F4554" s="46">
        <v>46097.32592447917</v>
      </c>
      <c r="G4554" s="46">
        <v>46097.32592447917</v>
      </c>
      <c r="H4554">
        <v>0</v>
      </c>
    </row>
    <row r="4555" spans="1:8" x14ac:dyDescent="0.15">
      <c r="A4555">
        <v>4554</v>
      </c>
      <c r="B4555" t="s">
        <v>339</v>
      </c>
      <c r="C4555" t="s">
        <v>353</v>
      </c>
      <c r="D4555" t="s">
        <v>8239</v>
      </c>
      <c r="E4555" t="s">
        <v>8238</v>
      </c>
      <c r="F4555" s="46">
        <v>46097.32592447917</v>
      </c>
      <c r="G4555" s="46">
        <v>46097.32592447917</v>
      </c>
      <c r="H4555">
        <v>0</v>
      </c>
    </row>
    <row r="4556" spans="1:8" x14ac:dyDescent="0.15">
      <c r="A4556">
        <v>4555</v>
      </c>
      <c r="B4556" t="s">
        <v>339</v>
      </c>
      <c r="C4556" t="s">
        <v>353</v>
      </c>
      <c r="D4556" t="s">
        <v>8240</v>
      </c>
      <c r="E4556" t="s">
        <v>8241</v>
      </c>
      <c r="F4556" s="46">
        <v>46097.32592447917</v>
      </c>
      <c r="G4556" s="46">
        <v>46097.32592447917</v>
      </c>
      <c r="H4556">
        <v>0</v>
      </c>
    </row>
    <row r="4557" spans="1:8" x14ac:dyDescent="0.15">
      <c r="A4557">
        <v>4556</v>
      </c>
      <c r="B4557" t="s">
        <v>339</v>
      </c>
      <c r="C4557" t="s">
        <v>353</v>
      </c>
      <c r="D4557" t="s">
        <v>8242</v>
      </c>
      <c r="E4557" t="s">
        <v>8241</v>
      </c>
      <c r="F4557" s="46">
        <v>46097.32592447917</v>
      </c>
      <c r="G4557" s="46">
        <v>46097.32592447917</v>
      </c>
      <c r="H4557">
        <v>0</v>
      </c>
    </row>
    <row r="4558" spans="1:8" x14ac:dyDescent="0.15">
      <c r="A4558">
        <v>4557</v>
      </c>
      <c r="B4558" t="s">
        <v>339</v>
      </c>
      <c r="C4558" t="s">
        <v>353</v>
      </c>
      <c r="D4558" t="s">
        <v>8243</v>
      </c>
      <c r="E4558" t="s">
        <v>8241</v>
      </c>
      <c r="F4558" s="46">
        <v>46097.32592447917</v>
      </c>
      <c r="G4558" s="46">
        <v>46097.32592466435</v>
      </c>
      <c r="H4558">
        <v>15</v>
      </c>
    </row>
    <row r="4559" spans="1:8" x14ac:dyDescent="0.15">
      <c r="A4559">
        <v>4558</v>
      </c>
      <c r="B4559" t="s">
        <v>339</v>
      </c>
      <c r="C4559" t="s">
        <v>353</v>
      </c>
      <c r="D4559" t="s">
        <v>8244</v>
      </c>
      <c r="E4559" t="s">
        <v>8245</v>
      </c>
      <c r="F4559" s="46">
        <v>46097.32592466435</v>
      </c>
      <c r="G4559" s="46">
        <v>46097.32592466435</v>
      </c>
      <c r="H4559">
        <v>0</v>
      </c>
    </row>
    <row r="4560" spans="1:8" x14ac:dyDescent="0.15">
      <c r="A4560">
        <v>4559</v>
      </c>
      <c r="B4560" t="s">
        <v>339</v>
      </c>
      <c r="C4560" t="s">
        <v>353</v>
      </c>
      <c r="D4560" t="s">
        <v>8246</v>
      </c>
      <c r="E4560" t="s">
        <v>8245</v>
      </c>
      <c r="F4560" s="46">
        <v>46097.32592466435</v>
      </c>
      <c r="G4560" s="46">
        <v>46097.32592466435</v>
      </c>
      <c r="H4560">
        <v>0</v>
      </c>
    </row>
    <row r="4561" spans="1:8" x14ac:dyDescent="0.15">
      <c r="A4561">
        <v>4560</v>
      </c>
      <c r="B4561" t="s">
        <v>339</v>
      </c>
      <c r="C4561" t="s">
        <v>353</v>
      </c>
      <c r="D4561" t="s">
        <v>8247</v>
      </c>
      <c r="E4561" t="s">
        <v>8245</v>
      </c>
      <c r="F4561" s="46">
        <v>46097.32592466435</v>
      </c>
      <c r="G4561" s="46">
        <v>46097.32592466435</v>
      </c>
      <c r="H4561">
        <v>0</v>
      </c>
    </row>
    <row r="4562" spans="1:8" x14ac:dyDescent="0.15">
      <c r="A4562">
        <v>4561</v>
      </c>
      <c r="B4562" t="s">
        <v>339</v>
      </c>
      <c r="C4562" t="s">
        <v>353</v>
      </c>
      <c r="D4562" t="s">
        <v>8248</v>
      </c>
      <c r="E4562" t="s">
        <v>8245</v>
      </c>
      <c r="F4562" s="46">
        <v>46097.32592466435</v>
      </c>
      <c r="G4562" s="46">
        <v>46097.32592466435</v>
      </c>
      <c r="H4562">
        <v>0</v>
      </c>
    </row>
    <row r="4563" spans="1:8" x14ac:dyDescent="0.15">
      <c r="A4563">
        <v>4562</v>
      </c>
      <c r="B4563" t="s">
        <v>339</v>
      </c>
      <c r="C4563" t="s">
        <v>353</v>
      </c>
      <c r="D4563" t="s">
        <v>8249</v>
      </c>
      <c r="E4563" t="s">
        <v>8245</v>
      </c>
      <c r="F4563" s="46">
        <v>46097.32592466435</v>
      </c>
      <c r="G4563" s="46">
        <v>46097.32592466435</v>
      </c>
      <c r="H4563">
        <v>0</v>
      </c>
    </row>
    <row r="4564" spans="1:8" x14ac:dyDescent="0.15">
      <c r="A4564">
        <v>4563</v>
      </c>
      <c r="B4564" t="s">
        <v>339</v>
      </c>
      <c r="C4564" t="s">
        <v>353</v>
      </c>
      <c r="D4564" t="s">
        <v>8250</v>
      </c>
      <c r="E4564" t="s">
        <v>8251</v>
      </c>
      <c r="F4564" s="46">
        <v>46097.32592466435</v>
      </c>
      <c r="G4564" s="46">
        <v>46097.32592466435</v>
      </c>
      <c r="H4564">
        <v>0</v>
      </c>
    </row>
    <row r="4565" spans="1:8" x14ac:dyDescent="0.15">
      <c r="A4565">
        <v>4564</v>
      </c>
      <c r="B4565" t="s">
        <v>339</v>
      </c>
      <c r="C4565" t="s">
        <v>353</v>
      </c>
      <c r="D4565" t="s">
        <v>8252</v>
      </c>
      <c r="E4565" t="s">
        <v>790</v>
      </c>
      <c r="F4565" s="46">
        <v>46097.32592466435</v>
      </c>
      <c r="G4565" s="46">
        <v>46097.32592466435</v>
      </c>
      <c r="H4565">
        <v>0</v>
      </c>
    </row>
    <row r="4566" spans="1:8" x14ac:dyDescent="0.15">
      <c r="A4566">
        <v>4565</v>
      </c>
      <c r="B4566" t="s">
        <v>339</v>
      </c>
      <c r="C4566" t="s">
        <v>353</v>
      </c>
      <c r="D4566" t="s">
        <v>8253</v>
      </c>
      <c r="E4566" t="s">
        <v>790</v>
      </c>
      <c r="F4566" s="46">
        <v>46097.32592466435</v>
      </c>
      <c r="G4566" s="46">
        <v>46097.32592466435</v>
      </c>
      <c r="H4566">
        <v>0</v>
      </c>
    </row>
    <row r="4567" spans="1:8" x14ac:dyDescent="0.15">
      <c r="A4567">
        <v>4566</v>
      </c>
      <c r="B4567" t="s">
        <v>339</v>
      </c>
      <c r="C4567" t="s">
        <v>353</v>
      </c>
      <c r="D4567" t="s">
        <v>8254</v>
      </c>
      <c r="E4567" t="s">
        <v>790</v>
      </c>
      <c r="F4567" s="46">
        <v>46097.32592466435</v>
      </c>
      <c r="G4567" s="46">
        <v>46097.32592466435</v>
      </c>
      <c r="H4567">
        <v>0</v>
      </c>
    </row>
    <row r="4568" spans="1:8" x14ac:dyDescent="0.15">
      <c r="A4568">
        <v>4567</v>
      </c>
      <c r="B4568" t="s">
        <v>339</v>
      </c>
      <c r="C4568" t="s">
        <v>353</v>
      </c>
      <c r="D4568" t="s">
        <v>8255</v>
      </c>
      <c r="E4568" t="s">
        <v>790</v>
      </c>
      <c r="F4568" s="46">
        <v>46097.32592466435</v>
      </c>
      <c r="G4568" s="46">
        <v>46097.32592466435</v>
      </c>
      <c r="H4568">
        <v>0</v>
      </c>
    </row>
    <row r="4569" spans="1:8" x14ac:dyDescent="0.15">
      <c r="A4569">
        <v>4568</v>
      </c>
      <c r="B4569" t="s">
        <v>339</v>
      </c>
      <c r="C4569" t="s">
        <v>353</v>
      </c>
      <c r="D4569" t="s">
        <v>8256</v>
      </c>
      <c r="E4569" t="s">
        <v>790</v>
      </c>
      <c r="F4569" s="46">
        <v>46097.32592466435</v>
      </c>
      <c r="G4569" s="46">
        <v>46097.325924849538</v>
      </c>
      <c r="H4569">
        <v>16</v>
      </c>
    </row>
    <row r="4570" spans="1:8" x14ac:dyDescent="0.15">
      <c r="A4570">
        <v>4569</v>
      </c>
      <c r="B4570" t="s">
        <v>339</v>
      </c>
      <c r="C4570" t="s">
        <v>353</v>
      </c>
      <c r="D4570" t="s">
        <v>8257</v>
      </c>
      <c r="E4570" t="s">
        <v>790</v>
      </c>
      <c r="F4570" s="46">
        <v>46097.325924849538</v>
      </c>
      <c r="G4570" s="46">
        <v>46097.325924849538</v>
      </c>
      <c r="H4570">
        <v>0</v>
      </c>
    </row>
    <row r="4571" spans="1:8" x14ac:dyDescent="0.15">
      <c r="A4571">
        <v>4570</v>
      </c>
      <c r="B4571" t="s">
        <v>339</v>
      </c>
      <c r="C4571" t="s">
        <v>353</v>
      </c>
      <c r="D4571" t="s">
        <v>8258</v>
      </c>
      <c r="E4571" t="s">
        <v>790</v>
      </c>
      <c r="F4571" s="46">
        <v>46097.325924849538</v>
      </c>
      <c r="G4571" s="46">
        <v>46097.325924849538</v>
      </c>
      <c r="H4571">
        <v>0</v>
      </c>
    </row>
    <row r="4572" spans="1:8" x14ac:dyDescent="0.15">
      <c r="A4572">
        <v>4571</v>
      </c>
      <c r="B4572" t="s">
        <v>339</v>
      </c>
      <c r="C4572" t="s">
        <v>353</v>
      </c>
      <c r="D4572" t="s">
        <v>8259</v>
      </c>
      <c r="E4572" t="s">
        <v>790</v>
      </c>
      <c r="F4572" s="46">
        <v>46097.325924849538</v>
      </c>
      <c r="G4572" s="46">
        <v>46097.325924849538</v>
      </c>
      <c r="H4572">
        <v>0</v>
      </c>
    </row>
    <row r="4573" spans="1:8" x14ac:dyDescent="0.15">
      <c r="A4573">
        <v>4572</v>
      </c>
      <c r="B4573" t="s">
        <v>339</v>
      </c>
      <c r="C4573" t="s">
        <v>353</v>
      </c>
      <c r="D4573" t="s">
        <v>8260</v>
      </c>
      <c r="E4573" t="s">
        <v>8261</v>
      </c>
      <c r="F4573" s="46">
        <v>46097.325924849538</v>
      </c>
      <c r="G4573" s="46">
        <v>46097.325924849538</v>
      </c>
      <c r="H4573">
        <v>0</v>
      </c>
    </row>
    <row r="4574" spans="1:8" x14ac:dyDescent="0.15">
      <c r="A4574">
        <v>4573</v>
      </c>
      <c r="B4574" t="s">
        <v>339</v>
      </c>
      <c r="C4574" t="s">
        <v>353</v>
      </c>
      <c r="D4574" t="s">
        <v>8262</v>
      </c>
      <c r="E4574" t="s">
        <v>8261</v>
      </c>
      <c r="F4574" s="46">
        <v>46097.325924849538</v>
      </c>
      <c r="G4574" s="46">
        <v>46097.325924849538</v>
      </c>
      <c r="H4574">
        <v>0</v>
      </c>
    </row>
    <row r="4575" spans="1:8" x14ac:dyDescent="0.15">
      <c r="A4575">
        <v>4574</v>
      </c>
      <c r="B4575" t="s">
        <v>339</v>
      </c>
      <c r="C4575" t="s">
        <v>353</v>
      </c>
      <c r="D4575" t="s">
        <v>8263</v>
      </c>
      <c r="E4575" t="s">
        <v>8261</v>
      </c>
      <c r="F4575" s="46">
        <v>46097.325924849538</v>
      </c>
      <c r="G4575" s="46">
        <v>46097.325924849538</v>
      </c>
      <c r="H4575">
        <v>0</v>
      </c>
    </row>
    <row r="4576" spans="1:8" x14ac:dyDescent="0.15">
      <c r="A4576">
        <v>4575</v>
      </c>
      <c r="B4576" t="s">
        <v>339</v>
      </c>
      <c r="C4576" t="s">
        <v>353</v>
      </c>
      <c r="D4576" t="s">
        <v>8264</v>
      </c>
      <c r="E4576" t="s">
        <v>8265</v>
      </c>
      <c r="F4576" s="46">
        <v>46097.325924849538</v>
      </c>
      <c r="G4576" s="46">
        <v>46097.325924849538</v>
      </c>
      <c r="H4576">
        <v>0</v>
      </c>
    </row>
    <row r="4577" spans="1:8" x14ac:dyDescent="0.15">
      <c r="A4577">
        <v>4576</v>
      </c>
      <c r="B4577" t="s">
        <v>339</v>
      </c>
      <c r="C4577" t="s">
        <v>353</v>
      </c>
      <c r="D4577" t="s">
        <v>8266</v>
      </c>
      <c r="E4577" t="s">
        <v>791</v>
      </c>
      <c r="F4577" s="46">
        <v>46097.325924849538</v>
      </c>
      <c r="G4577" s="46">
        <v>46097.325924849538</v>
      </c>
      <c r="H4577">
        <v>0</v>
      </c>
    </row>
    <row r="4578" spans="1:8" x14ac:dyDescent="0.15">
      <c r="A4578">
        <v>4577</v>
      </c>
      <c r="B4578" t="s">
        <v>339</v>
      </c>
      <c r="C4578" t="s">
        <v>353</v>
      </c>
      <c r="D4578" t="s">
        <v>8267</v>
      </c>
      <c r="E4578" t="s">
        <v>791</v>
      </c>
      <c r="F4578" s="46">
        <v>46097.325924849538</v>
      </c>
      <c r="G4578" s="46">
        <v>46097.325924849538</v>
      </c>
      <c r="H4578">
        <v>0</v>
      </c>
    </row>
    <row r="4579" spans="1:8" x14ac:dyDescent="0.15">
      <c r="A4579">
        <v>4578</v>
      </c>
      <c r="B4579" t="s">
        <v>339</v>
      </c>
      <c r="C4579" t="s">
        <v>353</v>
      </c>
      <c r="D4579" t="s">
        <v>8268</v>
      </c>
      <c r="E4579" t="s">
        <v>791</v>
      </c>
      <c r="F4579" s="46">
        <v>46097.325924849538</v>
      </c>
      <c r="G4579" s="46">
        <v>46097.325924849538</v>
      </c>
      <c r="H4579">
        <v>0</v>
      </c>
    </row>
    <row r="4580" spans="1:8" x14ac:dyDescent="0.15">
      <c r="A4580">
        <v>4579</v>
      </c>
      <c r="B4580" t="s">
        <v>339</v>
      </c>
      <c r="C4580" t="s">
        <v>353</v>
      </c>
      <c r="D4580" t="s">
        <v>8269</v>
      </c>
      <c r="E4580" t="s">
        <v>791</v>
      </c>
      <c r="F4580" s="46">
        <v>46097.325924849538</v>
      </c>
      <c r="G4580" s="46">
        <v>46097.325925023149</v>
      </c>
      <c r="H4580">
        <v>16</v>
      </c>
    </row>
    <row r="4581" spans="1:8" x14ac:dyDescent="0.15">
      <c r="A4581">
        <v>4580</v>
      </c>
      <c r="B4581" t="s">
        <v>339</v>
      </c>
      <c r="C4581" t="s">
        <v>353</v>
      </c>
      <c r="D4581" t="s">
        <v>8270</v>
      </c>
      <c r="E4581" t="s">
        <v>791</v>
      </c>
      <c r="F4581" s="46">
        <v>46097.325925023149</v>
      </c>
      <c r="G4581" s="46">
        <v>46097.325925023149</v>
      </c>
      <c r="H4581">
        <v>0</v>
      </c>
    </row>
    <row r="4582" spans="1:8" x14ac:dyDescent="0.15">
      <c r="A4582">
        <v>4581</v>
      </c>
      <c r="B4582" t="s">
        <v>339</v>
      </c>
      <c r="C4582" t="s">
        <v>353</v>
      </c>
      <c r="D4582" t="s">
        <v>8271</v>
      </c>
      <c r="E4582" t="s">
        <v>791</v>
      </c>
      <c r="F4582" s="46">
        <v>46097.325925023149</v>
      </c>
      <c r="G4582" s="46">
        <v>46097.325925023149</v>
      </c>
      <c r="H4582">
        <v>0</v>
      </c>
    </row>
    <row r="4583" spans="1:8" x14ac:dyDescent="0.15">
      <c r="A4583">
        <v>4582</v>
      </c>
      <c r="B4583" t="s">
        <v>339</v>
      </c>
      <c r="C4583" t="s">
        <v>353</v>
      </c>
      <c r="D4583" t="s">
        <v>8272</v>
      </c>
      <c r="E4583" t="s">
        <v>791</v>
      </c>
      <c r="F4583" s="46">
        <v>46097.325925023149</v>
      </c>
      <c r="G4583" s="46">
        <v>46097.325925023149</v>
      </c>
      <c r="H4583">
        <v>0</v>
      </c>
    </row>
    <row r="4584" spans="1:8" x14ac:dyDescent="0.15">
      <c r="A4584">
        <v>4583</v>
      </c>
      <c r="B4584" t="s">
        <v>339</v>
      </c>
      <c r="C4584" t="s">
        <v>353</v>
      </c>
      <c r="D4584" t="s">
        <v>8273</v>
      </c>
      <c r="E4584" t="s">
        <v>791</v>
      </c>
      <c r="F4584" s="46">
        <v>46097.325925023149</v>
      </c>
      <c r="G4584" s="46">
        <v>46097.325925023149</v>
      </c>
      <c r="H4584">
        <v>0</v>
      </c>
    </row>
    <row r="4585" spans="1:8" x14ac:dyDescent="0.15">
      <c r="A4585">
        <v>4584</v>
      </c>
      <c r="B4585" t="s">
        <v>339</v>
      </c>
      <c r="C4585" t="s">
        <v>353</v>
      </c>
      <c r="D4585" t="s">
        <v>8274</v>
      </c>
      <c r="E4585" t="s">
        <v>792</v>
      </c>
      <c r="F4585" s="46">
        <v>46097.325925023149</v>
      </c>
      <c r="G4585" s="46">
        <v>46097.325925023149</v>
      </c>
      <c r="H4585">
        <v>0</v>
      </c>
    </row>
    <row r="4586" spans="1:8" x14ac:dyDescent="0.15">
      <c r="A4586">
        <v>4585</v>
      </c>
      <c r="B4586" t="s">
        <v>339</v>
      </c>
      <c r="C4586" t="s">
        <v>353</v>
      </c>
      <c r="D4586" t="s">
        <v>8275</v>
      </c>
      <c r="E4586" t="s">
        <v>792</v>
      </c>
      <c r="F4586" s="46">
        <v>46097.325925023149</v>
      </c>
      <c r="G4586" s="46">
        <v>46097.325925023149</v>
      </c>
      <c r="H4586">
        <v>0</v>
      </c>
    </row>
    <row r="4587" spans="1:8" x14ac:dyDescent="0.15">
      <c r="A4587">
        <v>4586</v>
      </c>
      <c r="B4587" t="s">
        <v>339</v>
      </c>
      <c r="C4587" t="s">
        <v>353</v>
      </c>
      <c r="D4587" t="s">
        <v>8276</v>
      </c>
      <c r="E4587" t="s">
        <v>792</v>
      </c>
      <c r="F4587" s="46">
        <v>46097.325925023149</v>
      </c>
      <c r="G4587" s="46">
        <v>46097.325925023149</v>
      </c>
      <c r="H4587">
        <v>0</v>
      </c>
    </row>
    <row r="4588" spans="1:8" x14ac:dyDescent="0.15">
      <c r="A4588">
        <v>4587</v>
      </c>
      <c r="B4588" t="s">
        <v>339</v>
      </c>
      <c r="C4588" t="s">
        <v>353</v>
      </c>
      <c r="D4588" t="s">
        <v>8277</v>
      </c>
      <c r="E4588" t="s">
        <v>792</v>
      </c>
      <c r="F4588" s="46">
        <v>46097.325925023149</v>
      </c>
      <c r="G4588" s="46">
        <v>46097.325925023149</v>
      </c>
      <c r="H4588">
        <v>0</v>
      </c>
    </row>
    <row r="4589" spans="1:8" x14ac:dyDescent="0.15">
      <c r="A4589">
        <v>4588</v>
      </c>
      <c r="B4589" t="s">
        <v>339</v>
      </c>
      <c r="C4589" t="s">
        <v>353</v>
      </c>
      <c r="D4589" t="s">
        <v>8278</v>
      </c>
      <c r="E4589" t="s">
        <v>792</v>
      </c>
      <c r="F4589" s="46">
        <v>46097.325925023149</v>
      </c>
      <c r="G4589" s="46">
        <v>46097.325925023149</v>
      </c>
      <c r="H4589">
        <v>0</v>
      </c>
    </row>
    <row r="4590" spans="1:8" x14ac:dyDescent="0.15">
      <c r="A4590">
        <v>4589</v>
      </c>
      <c r="B4590" t="s">
        <v>339</v>
      </c>
      <c r="C4590" t="s">
        <v>353</v>
      </c>
      <c r="D4590" t="s">
        <v>8279</v>
      </c>
      <c r="E4590" t="s">
        <v>792</v>
      </c>
      <c r="F4590" s="46">
        <v>46097.325925023149</v>
      </c>
      <c r="G4590" s="46">
        <v>46097.32592520833</v>
      </c>
      <c r="H4590">
        <v>15</v>
      </c>
    </row>
    <row r="4591" spans="1:8" x14ac:dyDescent="0.15">
      <c r="A4591">
        <v>4590</v>
      </c>
      <c r="B4591" t="s">
        <v>339</v>
      </c>
      <c r="C4591" t="s">
        <v>353</v>
      </c>
      <c r="D4591" t="s">
        <v>8280</v>
      </c>
      <c r="E4591" t="s">
        <v>792</v>
      </c>
      <c r="F4591" s="46">
        <v>46097.32592520833</v>
      </c>
      <c r="G4591" s="46">
        <v>46097.32592520833</v>
      </c>
      <c r="H4591">
        <v>0</v>
      </c>
    </row>
    <row r="4592" spans="1:8" x14ac:dyDescent="0.15">
      <c r="A4592">
        <v>4591</v>
      </c>
      <c r="B4592" t="s">
        <v>339</v>
      </c>
      <c r="C4592" t="s">
        <v>353</v>
      </c>
      <c r="D4592" t="s">
        <v>8281</v>
      </c>
      <c r="E4592" t="s">
        <v>792</v>
      </c>
      <c r="F4592" s="46">
        <v>46097.32592520833</v>
      </c>
      <c r="G4592" s="46">
        <v>46097.32592520833</v>
      </c>
      <c r="H4592">
        <v>0</v>
      </c>
    </row>
    <row r="4593" spans="1:8" x14ac:dyDescent="0.15">
      <c r="A4593">
        <v>4592</v>
      </c>
      <c r="B4593" t="s">
        <v>339</v>
      </c>
      <c r="C4593" t="s">
        <v>353</v>
      </c>
      <c r="D4593" t="s">
        <v>8282</v>
      </c>
      <c r="E4593" t="s">
        <v>792</v>
      </c>
      <c r="F4593" s="46">
        <v>46097.32592520833</v>
      </c>
      <c r="G4593" s="46">
        <v>46097.32592520833</v>
      </c>
      <c r="H4593">
        <v>0</v>
      </c>
    </row>
    <row r="4594" spans="1:8" x14ac:dyDescent="0.15">
      <c r="A4594">
        <v>4593</v>
      </c>
      <c r="B4594" t="s">
        <v>339</v>
      </c>
      <c r="C4594" t="s">
        <v>353</v>
      </c>
      <c r="D4594" t="s">
        <v>8283</v>
      </c>
      <c r="E4594" t="s">
        <v>792</v>
      </c>
      <c r="F4594" s="46">
        <v>46097.32592520833</v>
      </c>
      <c r="G4594" s="46">
        <v>46097.32592520833</v>
      </c>
      <c r="H4594">
        <v>0</v>
      </c>
    </row>
    <row r="4595" spans="1:8" x14ac:dyDescent="0.15">
      <c r="A4595">
        <v>4594</v>
      </c>
      <c r="B4595" t="s">
        <v>339</v>
      </c>
      <c r="C4595" t="s">
        <v>353</v>
      </c>
      <c r="D4595" t="s">
        <v>8284</v>
      </c>
      <c r="E4595" t="s">
        <v>792</v>
      </c>
      <c r="F4595" s="46">
        <v>46097.32592520833</v>
      </c>
      <c r="G4595" s="46">
        <v>46097.32592520833</v>
      </c>
      <c r="H4595">
        <v>0</v>
      </c>
    </row>
    <row r="4596" spans="1:8" x14ac:dyDescent="0.15">
      <c r="A4596">
        <v>4595</v>
      </c>
      <c r="B4596" t="s">
        <v>339</v>
      </c>
      <c r="C4596" t="s">
        <v>353</v>
      </c>
      <c r="D4596" t="s">
        <v>8285</v>
      </c>
      <c r="E4596" t="s">
        <v>792</v>
      </c>
      <c r="F4596" s="46">
        <v>46097.32592520833</v>
      </c>
      <c r="G4596" s="46">
        <v>46097.32592520833</v>
      </c>
      <c r="H4596">
        <v>0</v>
      </c>
    </row>
    <row r="4597" spans="1:8" x14ac:dyDescent="0.15">
      <c r="A4597">
        <v>4596</v>
      </c>
      <c r="B4597" t="s">
        <v>339</v>
      </c>
      <c r="C4597" t="s">
        <v>353</v>
      </c>
      <c r="D4597" t="s">
        <v>8286</v>
      </c>
      <c r="E4597" t="s">
        <v>792</v>
      </c>
      <c r="F4597" s="46">
        <v>46097.32592520833</v>
      </c>
      <c r="G4597" s="46">
        <v>46097.32592520833</v>
      </c>
      <c r="H4597">
        <v>0</v>
      </c>
    </row>
    <row r="4598" spans="1:8" x14ac:dyDescent="0.15">
      <c r="A4598">
        <v>4597</v>
      </c>
      <c r="B4598" t="s">
        <v>339</v>
      </c>
      <c r="C4598" t="s">
        <v>353</v>
      </c>
      <c r="D4598" t="s">
        <v>8287</v>
      </c>
      <c r="E4598" t="s">
        <v>792</v>
      </c>
      <c r="F4598" s="46">
        <v>46097.32592520833</v>
      </c>
      <c r="G4598" s="46">
        <v>46097.32592520833</v>
      </c>
      <c r="H4598">
        <v>0</v>
      </c>
    </row>
    <row r="4599" spans="1:8" x14ac:dyDescent="0.15">
      <c r="A4599">
        <v>4598</v>
      </c>
      <c r="B4599" t="s">
        <v>339</v>
      </c>
      <c r="C4599" t="s">
        <v>353</v>
      </c>
      <c r="D4599" t="s">
        <v>8288</v>
      </c>
      <c r="E4599" t="s">
        <v>792</v>
      </c>
      <c r="F4599" s="46">
        <v>46097.32592520833</v>
      </c>
      <c r="G4599" s="46">
        <v>46097.32592520833</v>
      </c>
      <c r="H4599">
        <v>0</v>
      </c>
    </row>
    <row r="4600" spans="1:8" x14ac:dyDescent="0.15">
      <c r="A4600">
        <v>4599</v>
      </c>
      <c r="B4600" t="s">
        <v>339</v>
      </c>
      <c r="C4600" t="s">
        <v>353</v>
      </c>
      <c r="D4600" t="s">
        <v>8289</v>
      </c>
      <c r="E4600" t="s">
        <v>792</v>
      </c>
      <c r="F4600" s="46">
        <v>46097.32592520833</v>
      </c>
      <c r="G4600" s="46">
        <v>46097.32592520833</v>
      </c>
      <c r="H4600">
        <v>0</v>
      </c>
    </row>
    <row r="4601" spans="1:8" x14ac:dyDescent="0.15">
      <c r="A4601">
        <v>4600</v>
      </c>
      <c r="B4601" t="s">
        <v>339</v>
      </c>
      <c r="C4601" t="s">
        <v>353</v>
      </c>
      <c r="D4601" t="s">
        <v>8290</v>
      </c>
      <c r="E4601" t="s">
        <v>792</v>
      </c>
      <c r="F4601" s="46">
        <v>46097.32592520833</v>
      </c>
      <c r="G4601" s="46">
        <v>46097.325925381941</v>
      </c>
      <c r="H4601">
        <v>16</v>
      </c>
    </row>
    <row r="4602" spans="1:8" x14ac:dyDescent="0.15">
      <c r="A4602">
        <v>4601</v>
      </c>
      <c r="B4602" t="s">
        <v>339</v>
      </c>
      <c r="C4602" t="s">
        <v>353</v>
      </c>
      <c r="D4602" t="s">
        <v>8291</v>
      </c>
      <c r="E4602" t="s">
        <v>792</v>
      </c>
      <c r="F4602" s="46">
        <v>46097.325925381941</v>
      </c>
      <c r="G4602" s="46">
        <v>46097.325925381941</v>
      </c>
      <c r="H4602">
        <v>0</v>
      </c>
    </row>
    <row r="4603" spans="1:8" x14ac:dyDescent="0.15">
      <c r="A4603">
        <v>4602</v>
      </c>
      <c r="B4603" t="s">
        <v>339</v>
      </c>
      <c r="C4603" t="s">
        <v>353</v>
      </c>
      <c r="D4603" t="s">
        <v>8292</v>
      </c>
      <c r="E4603" t="s">
        <v>792</v>
      </c>
      <c r="F4603" s="46">
        <v>46097.325925381941</v>
      </c>
      <c r="G4603" s="46">
        <v>46097.325925381941</v>
      </c>
      <c r="H4603">
        <v>0</v>
      </c>
    </row>
    <row r="4604" spans="1:8" x14ac:dyDescent="0.15">
      <c r="A4604">
        <v>4603</v>
      </c>
      <c r="B4604" t="s">
        <v>339</v>
      </c>
      <c r="C4604" t="s">
        <v>353</v>
      </c>
      <c r="D4604" t="s">
        <v>8293</v>
      </c>
      <c r="E4604" t="s">
        <v>792</v>
      </c>
      <c r="F4604" s="46">
        <v>46097.325925381941</v>
      </c>
      <c r="G4604" s="46">
        <v>46097.325925381941</v>
      </c>
      <c r="H4604">
        <v>0</v>
      </c>
    </row>
    <row r="4605" spans="1:8" x14ac:dyDescent="0.15">
      <c r="A4605">
        <v>4604</v>
      </c>
      <c r="B4605" t="s">
        <v>339</v>
      </c>
      <c r="C4605" t="s">
        <v>353</v>
      </c>
      <c r="D4605" t="s">
        <v>8294</v>
      </c>
      <c r="E4605" t="s">
        <v>792</v>
      </c>
      <c r="F4605" s="46">
        <v>46097.325925381941</v>
      </c>
      <c r="G4605" s="46">
        <v>46097.325925381941</v>
      </c>
      <c r="H4605">
        <v>0</v>
      </c>
    </row>
    <row r="4606" spans="1:8" x14ac:dyDescent="0.15">
      <c r="A4606">
        <v>4605</v>
      </c>
      <c r="B4606" t="s">
        <v>339</v>
      </c>
      <c r="C4606" t="s">
        <v>353</v>
      </c>
      <c r="D4606" t="s">
        <v>8295</v>
      </c>
      <c r="E4606" t="s">
        <v>792</v>
      </c>
      <c r="F4606" s="46">
        <v>46097.325925381941</v>
      </c>
      <c r="G4606" s="46">
        <v>46097.325925381941</v>
      </c>
      <c r="H4606">
        <v>0</v>
      </c>
    </row>
    <row r="4607" spans="1:8" x14ac:dyDescent="0.15">
      <c r="A4607">
        <v>4606</v>
      </c>
      <c r="B4607" t="s">
        <v>339</v>
      </c>
      <c r="C4607" t="s">
        <v>353</v>
      </c>
      <c r="D4607" t="s">
        <v>8296</v>
      </c>
      <c r="E4607" t="s">
        <v>792</v>
      </c>
      <c r="F4607" s="46">
        <v>46097.325925381941</v>
      </c>
      <c r="G4607" s="46">
        <v>46097.325925381941</v>
      </c>
      <c r="H4607">
        <v>0</v>
      </c>
    </row>
    <row r="4608" spans="1:8" x14ac:dyDescent="0.15">
      <c r="A4608">
        <v>4607</v>
      </c>
      <c r="B4608" t="s">
        <v>339</v>
      </c>
      <c r="C4608" t="s">
        <v>353</v>
      </c>
      <c r="D4608" t="s">
        <v>8297</v>
      </c>
      <c r="E4608" t="s">
        <v>792</v>
      </c>
      <c r="F4608" s="46">
        <v>46097.325925381941</v>
      </c>
      <c r="G4608" s="46">
        <v>46097.325925381941</v>
      </c>
      <c r="H4608">
        <v>0</v>
      </c>
    </row>
    <row r="4609" spans="1:8" x14ac:dyDescent="0.15">
      <c r="A4609">
        <v>4608</v>
      </c>
      <c r="B4609" t="s">
        <v>339</v>
      </c>
      <c r="C4609" t="s">
        <v>353</v>
      </c>
      <c r="D4609" t="s">
        <v>8298</v>
      </c>
      <c r="E4609" t="s">
        <v>792</v>
      </c>
      <c r="F4609" s="46">
        <v>46097.325925381941</v>
      </c>
      <c r="G4609" s="46">
        <v>46097.325925381941</v>
      </c>
      <c r="H4609">
        <v>0</v>
      </c>
    </row>
    <row r="4610" spans="1:8" x14ac:dyDescent="0.15">
      <c r="A4610">
        <v>4609</v>
      </c>
      <c r="B4610" t="s">
        <v>339</v>
      </c>
      <c r="C4610" t="s">
        <v>353</v>
      </c>
      <c r="D4610" t="s">
        <v>8299</v>
      </c>
      <c r="E4610" t="s">
        <v>792</v>
      </c>
      <c r="F4610" s="46">
        <v>46097.325925381941</v>
      </c>
      <c r="G4610" s="46">
        <v>46097.325925381941</v>
      </c>
      <c r="H4610">
        <v>0</v>
      </c>
    </row>
    <row r="4611" spans="1:8" x14ac:dyDescent="0.15">
      <c r="A4611">
        <v>4610</v>
      </c>
      <c r="B4611" t="s">
        <v>339</v>
      </c>
      <c r="C4611" t="s">
        <v>353</v>
      </c>
      <c r="D4611" t="s">
        <v>8300</v>
      </c>
      <c r="E4611" t="s">
        <v>792</v>
      </c>
      <c r="F4611" s="46">
        <v>46097.325925381941</v>
      </c>
      <c r="G4611" s="46">
        <v>46097.325925381941</v>
      </c>
      <c r="H4611">
        <v>0</v>
      </c>
    </row>
    <row r="4612" spans="1:8" x14ac:dyDescent="0.15">
      <c r="A4612">
        <v>4611</v>
      </c>
      <c r="B4612" t="s">
        <v>339</v>
      </c>
      <c r="C4612" t="s">
        <v>353</v>
      </c>
      <c r="D4612" t="s">
        <v>8301</v>
      </c>
      <c r="E4612" t="s">
        <v>792</v>
      </c>
      <c r="F4612" s="46">
        <v>46097.325925381941</v>
      </c>
      <c r="G4612" s="46">
        <v>46097.325925567129</v>
      </c>
      <c r="H4612">
        <v>16</v>
      </c>
    </row>
    <row r="4613" spans="1:8" x14ac:dyDescent="0.15">
      <c r="A4613">
        <v>4612</v>
      </c>
      <c r="B4613" t="s">
        <v>339</v>
      </c>
      <c r="C4613" t="s">
        <v>353</v>
      </c>
      <c r="D4613" t="s">
        <v>8302</v>
      </c>
      <c r="E4613" t="s">
        <v>792</v>
      </c>
      <c r="F4613" s="46">
        <v>46097.325925567129</v>
      </c>
      <c r="G4613" s="46">
        <v>46097.325925567129</v>
      </c>
      <c r="H4613">
        <v>0</v>
      </c>
    </row>
    <row r="4614" spans="1:8" x14ac:dyDescent="0.15">
      <c r="A4614">
        <v>4613</v>
      </c>
      <c r="B4614" t="s">
        <v>339</v>
      </c>
      <c r="C4614" t="s">
        <v>353</v>
      </c>
      <c r="D4614" t="s">
        <v>8303</v>
      </c>
      <c r="E4614" t="s">
        <v>792</v>
      </c>
      <c r="F4614" s="46">
        <v>46097.325925567129</v>
      </c>
      <c r="G4614" s="46">
        <v>46097.325925567129</v>
      </c>
      <c r="H4614">
        <v>0</v>
      </c>
    </row>
    <row r="4615" spans="1:8" x14ac:dyDescent="0.15">
      <c r="A4615">
        <v>4614</v>
      </c>
      <c r="B4615" t="s">
        <v>339</v>
      </c>
      <c r="C4615" t="s">
        <v>353</v>
      </c>
      <c r="D4615" t="s">
        <v>8304</v>
      </c>
      <c r="E4615" t="s">
        <v>792</v>
      </c>
      <c r="F4615" s="46">
        <v>46097.325925567129</v>
      </c>
      <c r="G4615" s="46">
        <v>46097.325925567129</v>
      </c>
      <c r="H4615">
        <v>0</v>
      </c>
    </row>
    <row r="4616" spans="1:8" x14ac:dyDescent="0.15">
      <c r="A4616">
        <v>4615</v>
      </c>
      <c r="B4616" t="s">
        <v>339</v>
      </c>
      <c r="C4616" t="s">
        <v>353</v>
      </c>
      <c r="D4616" t="s">
        <v>8305</v>
      </c>
      <c r="E4616" t="s">
        <v>8306</v>
      </c>
      <c r="F4616" s="46">
        <v>46097.325925567129</v>
      </c>
      <c r="G4616" s="46">
        <v>46097.325925567129</v>
      </c>
      <c r="H4616">
        <v>0</v>
      </c>
    </row>
    <row r="4617" spans="1:8" x14ac:dyDescent="0.15">
      <c r="A4617">
        <v>4616</v>
      </c>
      <c r="B4617" t="s">
        <v>339</v>
      </c>
      <c r="C4617" t="s">
        <v>353</v>
      </c>
      <c r="D4617" t="s">
        <v>8307</v>
      </c>
      <c r="E4617" t="s">
        <v>8308</v>
      </c>
      <c r="F4617" s="46">
        <v>46097.325925567129</v>
      </c>
      <c r="G4617" s="46">
        <v>46097.325925567129</v>
      </c>
      <c r="H4617">
        <v>0</v>
      </c>
    </row>
    <row r="4618" spans="1:8" x14ac:dyDescent="0.15">
      <c r="A4618">
        <v>4617</v>
      </c>
      <c r="B4618" t="s">
        <v>339</v>
      </c>
      <c r="C4618" t="s">
        <v>353</v>
      </c>
      <c r="D4618" t="s">
        <v>8309</v>
      </c>
      <c r="E4618" t="s">
        <v>8308</v>
      </c>
      <c r="F4618" s="46">
        <v>46097.325925567129</v>
      </c>
      <c r="G4618" s="46">
        <v>46097.325925567129</v>
      </c>
      <c r="H4618">
        <v>0</v>
      </c>
    </row>
    <row r="4619" spans="1:8" x14ac:dyDescent="0.15">
      <c r="A4619">
        <v>4618</v>
      </c>
      <c r="B4619" t="s">
        <v>339</v>
      </c>
      <c r="C4619" t="s">
        <v>353</v>
      </c>
      <c r="D4619" t="s">
        <v>8310</v>
      </c>
      <c r="E4619" t="s">
        <v>8311</v>
      </c>
      <c r="F4619" s="46">
        <v>46097.325925567129</v>
      </c>
      <c r="G4619" s="46">
        <v>46097.325925567129</v>
      </c>
      <c r="H4619">
        <v>0</v>
      </c>
    </row>
    <row r="4620" spans="1:8" x14ac:dyDescent="0.15">
      <c r="A4620">
        <v>4619</v>
      </c>
      <c r="B4620" t="s">
        <v>339</v>
      </c>
      <c r="C4620" t="s">
        <v>353</v>
      </c>
      <c r="D4620" t="s">
        <v>8312</v>
      </c>
      <c r="E4620" t="s">
        <v>8311</v>
      </c>
      <c r="F4620" s="46">
        <v>46097.325925567129</v>
      </c>
      <c r="G4620" s="46">
        <v>46097.325925567129</v>
      </c>
      <c r="H4620">
        <v>0</v>
      </c>
    </row>
    <row r="4621" spans="1:8" x14ac:dyDescent="0.15">
      <c r="A4621">
        <v>4620</v>
      </c>
      <c r="B4621" t="s">
        <v>339</v>
      </c>
      <c r="C4621" t="s">
        <v>353</v>
      </c>
      <c r="D4621" t="s">
        <v>8313</v>
      </c>
      <c r="E4621" t="s">
        <v>8311</v>
      </c>
      <c r="F4621" s="46">
        <v>46097.325925567129</v>
      </c>
      <c r="G4621" s="46">
        <v>46097.325925567129</v>
      </c>
      <c r="H4621">
        <v>0</v>
      </c>
    </row>
    <row r="4622" spans="1:8" x14ac:dyDescent="0.15">
      <c r="A4622">
        <v>4621</v>
      </c>
      <c r="B4622" t="s">
        <v>339</v>
      </c>
      <c r="C4622" t="s">
        <v>353</v>
      </c>
      <c r="D4622" t="s">
        <v>8314</v>
      </c>
      <c r="E4622" t="s">
        <v>8311</v>
      </c>
      <c r="F4622" s="46">
        <v>46097.325925567129</v>
      </c>
      <c r="G4622" s="46">
        <v>46097.325925752317</v>
      </c>
      <c r="H4622">
        <v>15</v>
      </c>
    </row>
    <row r="4623" spans="1:8" x14ac:dyDescent="0.15">
      <c r="A4623">
        <v>4622</v>
      </c>
      <c r="B4623" t="s">
        <v>339</v>
      </c>
      <c r="C4623" t="s">
        <v>353</v>
      </c>
      <c r="D4623" t="s">
        <v>8315</v>
      </c>
      <c r="E4623" t="s">
        <v>8316</v>
      </c>
      <c r="F4623" s="46">
        <v>46097.325925752317</v>
      </c>
      <c r="G4623" s="46">
        <v>46097.325925752317</v>
      </c>
      <c r="H4623">
        <v>0</v>
      </c>
    </row>
    <row r="4624" spans="1:8" x14ac:dyDescent="0.15">
      <c r="A4624">
        <v>4623</v>
      </c>
      <c r="B4624" t="s">
        <v>339</v>
      </c>
      <c r="C4624" t="s">
        <v>353</v>
      </c>
      <c r="D4624" t="s">
        <v>8317</v>
      </c>
      <c r="E4624" t="s">
        <v>8316</v>
      </c>
      <c r="F4624" s="46">
        <v>46097.325925752317</v>
      </c>
      <c r="G4624" s="46">
        <v>46097.325925752317</v>
      </c>
      <c r="H4624">
        <v>0</v>
      </c>
    </row>
    <row r="4625" spans="1:8" x14ac:dyDescent="0.15">
      <c r="A4625">
        <v>4624</v>
      </c>
      <c r="B4625" t="s">
        <v>339</v>
      </c>
      <c r="C4625" t="s">
        <v>353</v>
      </c>
      <c r="D4625" t="s">
        <v>8318</v>
      </c>
      <c r="E4625" t="s">
        <v>8319</v>
      </c>
      <c r="F4625" s="46">
        <v>46097.325925752317</v>
      </c>
      <c r="G4625" s="46">
        <v>46097.325925752317</v>
      </c>
      <c r="H4625">
        <v>0</v>
      </c>
    </row>
    <row r="4626" spans="1:8" x14ac:dyDescent="0.15">
      <c r="A4626">
        <v>4625</v>
      </c>
      <c r="B4626" t="s">
        <v>339</v>
      </c>
      <c r="C4626" t="s">
        <v>353</v>
      </c>
      <c r="D4626" t="s">
        <v>8320</v>
      </c>
      <c r="E4626" t="s">
        <v>8319</v>
      </c>
      <c r="F4626" s="46">
        <v>46097.325925752317</v>
      </c>
      <c r="G4626" s="46">
        <v>46097.325925752317</v>
      </c>
      <c r="H4626">
        <v>0</v>
      </c>
    </row>
    <row r="4627" spans="1:8" x14ac:dyDescent="0.15">
      <c r="A4627">
        <v>4626</v>
      </c>
      <c r="B4627" t="s">
        <v>339</v>
      </c>
      <c r="C4627" t="s">
        <v>353</v>
      </c>
      <c r="D4627" t="s">
        <v>8321</v>
      </c>
      <c r="E4627" t="s">
        <v>8322</v>
      </c>
      <c r="F4627" s="46">
        <v>46097.325925752317</v>
      </c>
      <c r="G4627" s="46">
        <v>46097.325925752317</v>
      </c>
      <c r="H4627">
        <v>0</v>
      </c>
    </row>
    <row r="4628" spans="1:8" x14ac:dyDescent="0.15">
      <c r="A4628">
        <v>4627</v>
      </c>
      <c r="B4628" t="s">
        <v>339</v>
      </c>
      <c r="C4628" t="s">
        <v>353</v>
      </c>
      <c r="D4628" t="s">
        <v>8323</v>
      </c>
      <c r="E4628" t="s">
        <v>8322</v>
      </c>
      <c r="F4628" s="46">
        <v>46097.325925752317</v>
      </c>
      <c r="G4628" s="46">
        <v>46097.325925752317</v>
      </c>
      <c r="H4628">
        <v>0</v>
      </c>
    </row>
    <row r="4629" spans="1:8" x14ac:dyDescent="0.15">
      <c r="A4629">
        <v>4628</v>
      </c>
      <c r="B4629" t="s">
        <v>339</v>
      </c>
      <c r="C4629" t="s">
        <v>353</v>
      </c>
      <c r="D4629" t="s">
        <v>8324</v>
      </c>
      <c r="E4629" t="s">
        <v>8325</v>
      </c>
      <c r="F4629" s="46">
        <v>46097.325925752317</v>
      </c>
      <c r="G4629" s="46">
        <v>46097.325925752317</v>
      </c>
      <c r="H4629">
        <v>0</v>
      </c>
    </row>
    <row r="4630" spans="1:8" x14ac:dyDescent="0.15">
      <c r="A4630">
        <v>4629</v>
      </c>
      <c r="B4630" t="s">
        <v>339</v>
      </c>
      <c r="C4630" t="s">
        <v>353</v>
      </c>
      <c r="D4630" t="s">
        <v>8326</v>
      </c>
      <c r="E4630" t="s">
        <v>8325</v>
      </c>
      <c r="F4630" s="46">
        <v>46097.325925752317</v>
      </c>
      <c r="G4630" s="46">
        <v>46097.325925752317</v>
      </c>
      <c r="H4630">
        <v>0</v>
      </c>
    </row>
    <row r="4631" spans="1:8" x14ac:dyDescent="0.15">
      <c r="A4631">
        <v>4630</v>
      </c>
      <c r="B4631" t="s">
        <v>339</v>
      </c>
      <c r="C4631" t="s">
        <v>353</v>
      </c>
      <c r="D4631" t="s">
        <v>8327</v>
      </c>
      <c r="E4631" t="s">
        <v>8328</v>
      </c>
      <c r="F4631" s="46">
        <v>46097.325925752317</v>
      </c>
      <c r="G4631" s="46">
        <v>46097.325925752317</v>
      </c>
      <c r="H4631">
        <v>0</v>
      </c>
    </row>
    <row r="4632" spans="1:8" x14ac:dyDescent="0.15">
      <c r="A4632">
        <v>4631</v>
      </c>
      <c r="B4632" t="s">
        <v>339</v>
      </c>
      <c r="C4632" t="s">
        <v>353</v>
      </c>
      <c r="D4632" t="s">
        <v>8329</v>
      </c>
      <c r="E4632" t="s">
        <v>8328</v>
      </c>
      <c r="F4632" s="46">
        <v>46097.325925752317</v>
      </c>
      <c r="G4632" s="46">
        <v>46097.325925925928</v>
      </c>
      <c r="H4632">
        <v>16</v>
      </c>
    </row>
    <row r="4633" spans="1:8" x14ac:dyDescent="0.15">
      <c r="A4633">
        <v>4632</v>
      </c>
      <c r="B4633" t="s">
        <v>339</v>
      </c>
      <c r="C4633" t="s">
        <v>353</v>
      </c>
      <c r="D4633" t="s">
        <v>8330</v>
      </c>
      <c r="E4633" t="s">
        <v>8331</v>
      </c>
      <c r="F4633" s="46">
        <v>46097.325925925928</v>
      </c>
      <c r="G4633" s="46">
        <v>46097.325925925928</v>
      </c>
      <c r="H4633">
        <v>0</v>
      </c>
    </row>
    <row r="4634" spans="1:8" x14ac:dyDescent="0.15">
      <c r="A4634">
        <v>4633</v>
      </c>
      <c r="B4634" t="s">
        <v>339</v>
      </c>
      <c r="C4634" t="s">
        <v>353</v>
      </c>
      <c r="D4634" t="s">
        <v>8332</v>
      </c>
      <c r="E4634" t="s">
        <v>8331</v>
      </c>
      <c r="F4634" s="46">
        <v>46097.325925925928</v>
      </c>
      <c r="G4634" s="46">
        <v>46097.325925925928</v>
      </c>
      <c r="H4634">
        <v>0</v>
      </c>
    </row>
    <row r="4635" spans="1:8" x14ac:dyDescent="0.15">
      <c r="A4635">
        <v>4634</v>
      </c>
      <c r="B4635" t="s">
        <v>339</v>
      </c>
      <c r="C4635" t="s">
        <v>353</v>
      </c>
      <c r="D4635" t="s">
        <v>8333</v>
      </c>
      <c r="E4635" t="s">
        <v>8334</v>
      </c>
      <c r="F4635" s="46">
        <v>46097.325925925928</v>
      </c>
      <c r="G4635" s="46">
        <v>46097.325925925928</v>
      </c>
      <c r="H4635">
        <v>0</v>
      </c>
    </row>
    <row r="4636" spans="1:8" x14ac:dyDescent="0.15">
      <c r="A4636">
        <v>4635</v>
      </c>
      <c r="B4636" t="s">
        <v>339</v>
      </c>
      <c r="C4636" t="s">
        <v>353</v>
      </c>
      <c r="D4636" t="s">
        <v>8335</v>
      </c>
      <c r="E4636" t="s">
        <v>8334</v>
      </c>
      <c r="F4636" s="46">
        <v>46097.325925925928</v>
      </c>
      <c r="G4636" s="46">
        <v>46097.325925925928</v>
      </c>
      <c r="H4636">
        <v>0</v>
      </c>
    </row>
    <row r="4637" spans="1:8" x14ac:dyDescent="0.15">
      <c r="A4637">
        <v>4636</v>
      </c>
      <c r="B4637" t="s">
        <v>339</v>
      </c>
      <c r="C4637" t="s">
        <v>353</v>
      </c>
      <c r="D4637" t="s">
        <v>8336</v>
      </c>
      <c r="E4637" t="s">
        <v>8337</v>
      </c>
      <c r="F4637" s="46">
        <v>46097.325925925928</v>
      </c>
      <c r="G4637" s="46">
        <v>46097.325925925928</v>
      </c>
      <c r="H4637">
        <v>0</v>
      </c>
    </row>
    <row r="4638" spans="1:8" x14ac:dyDescent="0.15">
      <c r="A4638">
        <v>4637</v>
      </c>
      <c r="B4638" t="s">
        <v>339</v>
      </c>
      <c r="C4638" t="s">
        <v>353</v>
      </c>
      <c r="D4638" t="s">
        <v>8338</v>
      </c>
      <c r="E4638" t="s">
        <v>8339</v>
      </c>
      <c r="F4638" s="46">
        <v>46097.325925925928</v>
      </c>
      <c r="G4638" s="46">
        <v>46097.325925925928</v>
      </c>
      <c r="H4638">
        <v>0</v>
      </c>
    </row>
    <row r="4639" spans="1:8" x14ac:dyDescent="0.15">
      <c r="A4639">
        <v>4638</v>
      </c>
      <c r="B4639" t="s">
        <v>339</v>
      </c>
      <c r="C4639" t="s">
        <v>353</v>
      </c>
      <c r="D4639" t="s">
        <v>8340</v>
      </c>
      <c r="E4639" t="s">
        <v>8341</v>
      </c>
      <c r="F4639" s="46">
        <v>46097.325925925928</v>
      </c>
      <c r="G4639" s="46">
        <v>46097.325925925928</v>
      </c>
      <c r="H4639">
        <v>0</v>
      </c>
    </row>
    <row r="4640" spans="1:8" x14ac:dyDescent="0.15">
      <c r="A4640">
        <v>4639</v>
      </c>
      <c r="B4640" t="s">
        <v>339</v>
      </c>
      <c r="C4640" t="s">
        <v>353</v>
      </c>
      <c r="D4640" t="s">
        <v>8342</v>
      </c>
      <c r="E4640" t="s">
        <v>8343</v>
      </c>
      <c r="F4640" s="46">
        <v>46097.325925925928</v>
      </c>
      <c r="G4640" s="46">
        <v>46097.325925925928</v>
      </c>
      <c r="H4640">
        <v>0</v>
      </c>
    </row>
    <row r="4641" spans="1:8" x14ac:dyDescent="0.15">
      <c r="A4641">
        <v>4640</v>
      </c>
      <c r="B4641" t="s">
        <v>339</v>
      </c>
      <c r="C4641" t="s">
        <v>353</v>
      </c>
      <c r="D4641" t="s">
        <v>8344</v>
      </c>
      <c r="E4641" t="s">
        <v>8345</v>
      </c>
      <c r="F4641" s="46">
        <v>46097.325925925928</v>
      </c>
      <c r="G4641" s="46">
        <v>46097.325925925928</v>
      </c>
      <c r="H4641">
        <v>0</v>
      </c>
    </row>
    <row r="4642" spans="1:8" x14ac:dyDescent="0.15">
      <c r="A4642">
        <v>4641</v>
      </c>
      <c r="B4642" t="s">
        <v>339</v>
      </c>
      <c r="C4642" t="s">
        <v>353</v>
      </c>
      <c r="D4642" t="s">
        <v>8346</v>
      </c>
      <c r="E4642" t="s">
        <v>8345</v>
      </c>
      <c r="F4642" s="46">
        <v>46097.325925925928</v>
      </c>
      <c r="G4642" s="46">
        <v>46097.325926111109</v>
      </c>
      <c r="H4642">
        <v>15</v>
      </c>
    </row>
    <row r="4643" spans="1:8" x14ac:dyDescent="0.15">
      <c r="A4643">
        <v>4642</v>
      </c>
      <c r="B4643" t="s">
        <v>339</v>
      </c>
      <c r="C4643" t="s">
        <v>353</v>
      </c>
      <c r="D4643" t="s">
        <v>8347</v>
      </c>
      <c r="E4643" t="s">
        <v>8348</v>
      </c>
      <c r="F4643" s="46">
        <v>46097.325926111109</v>
      </c>
      <c r="G4643" s="46">
        <v>46097.325926111109</v>
      </c>
      <c r="H4643">
        <v>0</v>
      </c>
    </row>
    <row r="4644" spans="1:8" x14ac:dyDescent="0.15">
      <c r="A4644">
        <v>4643</v>
      </c>
      <c r="B4644" t="s">
        <v>339</v>
      </c>
      <c r="C4644" t="s">
        <v>353</v>
      </c>
      <c r="D4644" t="s">
        <v>8349</v>
      </c>
      <c r="E4644" t="s">
        <v>8348</v>
      </c>
      <c r="F4644" s="46">
        <v>46097.325926111109</v>
      </c>
      <c r="G4644" s="46">
        <v>46097.325926111109</v>
      </c>
      <c r="H4644">
        <v>0</v>
      </c>
    </row>
    <row r="4645" spans="1:8" x14ac:dyDescent="0.15">
      <c r="A4645">
        <v>4644</v>
      </c>
      <c r="B4645" t="s">
        <v>339</v>
      </c>
      <c r="C4645" t="s">
        <v>353</v>
      </c>
      <c r="D4645" t="s">
        <v>8350</v>
      </c>
      <c r="E4645" t="s">
        <v>8351</v>
      </c>
      <c r="F4645" s="46">
        <v>46097.325926111109</v>
      </c>
      <c r="G4645" s="46">
        <v>46097.325926111109</v>
      </c>
      <c r="H4645">
        <v>0</v>
      </c>
    </row>
    <row r="4646" spans="1:8" x14ac:dyDescent="0.15">
      <c r="A4646">
        <v>4645</v>
      </c>
      <c r="B4646" t="s">
        <v>339</v>
      </c>
      <c r="C4646" t="s">
        <v>353</v>
      </c>
      <c r="D4646" t="s">
        <v>8352</v>
      </c>
      <c r="E4646" t="s">
        <v>8353</v>
      </c>
      <c r="F4646" s="46">
        <v>46097.325926111109</v>
      </c>
      <c r="G4646" s="46">
        <v>46097.325926111109</v>
      </c>
      <c r="H4646">
        <v>0</v>
      </c>
    </row>
    <row r="4647" spans="1:8" x14ac:dyDescent="0.15">
      <c r="A4647">
        <v>4646</v>
      </c>
      <c r="B4647" t="s">
        <v>339</v>
      </c>
      <c r="C4647" t="s">
        <v>353</v>
      </c>
      <c r="D4647" t="s">
        <v>8354</v>
      </c>
      <c r="E4647" t="s">
        <v>8355</v>
      </c>
      <c r="F4647" s="46">
        <v>46097.325926111109</v>
      </c>
      <c r="G4647" s="46">
        <v>46097.325926111109</v>
      </c>
      <c r="H4647">
        <v>0</v>
      </c>
    </row>
    <row r="4648" spans="1:8" x14ac:dyDescent="0.15">
      <c r="A4648">
        <v>4647</v>
      </c>
      <c r="B4648" t="s">
        <v>339</v>
      </c>
      <c r="C4648" t="s">
        <v>353</v>
      </c>
      <c r="D4648" t="s">
        <v>8356</v>
      </c>
      <c r="E4648" t="s">
        <v>8355</v>
      </c>
      <c r="F4648" s="46">
        <v>46097.325926111109</v>
      </c>
      <c r="G4648" s="46">
        <v>46097.325926111109</v>
      </c>
      <c r="H4648">
        <v>0</v>
      </c>
    </row>
    <row r="4649" spans="1:8" x14ac:dyDescent="0.15">
      <c r="A4649">
        <v>4648</v>
      </c>
      <c r="B4649" t="s">
        <v>339</v>
      </c>
      <c r="C4649" t="s">
        <v>353</v>
      </c>
      <c r="D4649" t="s">
        <v>8357</v>
      </c>
      <c r="E4649" t="s">
        <v>8358</v>
      </c>
      <c r="F4649" s="46">
        <v>46097.325926111109</v>
      </c>
      <c r="G4649" s="46">
        <v>46097.325926111109</v>
      </c>
      <c r="H4649">
        <v>0</v>
      </c>
    </row>
    <row r="4650" spans="1:8" x14ac:dyDescent="0.15">
      <c r="A4650">
        <v>4649</v>
      </c>
      <c r="B4650" t="s">
        <v>339</v>
      </c>
      <c r="C4650" t="s">
        <v>353</v>
      </c>
      <c r="D4650" t="s">
        <v>8359</v>
      </c>
      <c r="E4650" t="s">
        <v>8360</v>
      </c>
      <c r="F4650" s="46">
        <v>46097.325926111109</v>
      </c>
      <c r="G4650" s="46">
        <v>46097.325926111109</v>
      </c>
      <c r="H4650">
        <v>0</v>
      </c>
    </row>
    <row r="4651" spans="1:8" x14ac:dyDescent="0.15">
      <c r="A4651">
        <v>4650</v>
      </c>
      <c r="B4651" t="s">
        <v>339</v>
      </c>
      <c r="C4651" t="s">
        <v>353</v>
      </c>
      <c r="D4651" t="s">
        <v>8361</v>
      </c>
      <c r="E4651" t="s">
        <v>8362</v>
      </c>
      <c r="F4651" s="46">
        <v>46097.325926111109</v>
      </c>
      <c r="G4651" s="46">
        <v>46097.325926111109</v>
      </c>
      <c r="H4651">
        <v>0</v>
      </c>
    </row>
    <row r="4652" spans="1:8" x14ac:dyDescent="0.15">
      <c r="A4652">
        <v>4651</v>
      </c>
      <c r="B4652" t="s">
        <v>339</v>
      </c>
      <c r="C4652" t="s">
        <v>353</v>
      </c>
      <c r="D4652" t="s">
        <v>8363</v>
      </c>
      <c r="E4652" t="s">
        <v>8364</v>
      </c>
      <c r="F4652" s="46">
        <v>46097.325926111109</v>
      </c>
      <c r="G4652" s="46">
        <v>46097.325926296297</v>
      </c>
      <c r="H4652">
        <v>16</v>
      </c>
    </row>
    <row r="4653" spans="1:8" x14ac:dyDescent="0.15">
      <c r="A4653">
        <v>4652</v>
      </c>
      <c r="B4653" t="s">
        <v>339</v>
      </c>
      <c r="C4653" t="s">
        <v>353</v>
      </c>
      <c r="D4653" t="s">
        <v>8365</v>
      </c>
      <c r="E4653" t="s">
        <v>8366</v>
      </c>
      <c r="F4653" s="46">
        <v>46097.325926296297</v>
      </c>
      <c r="G4653" s="46">
        <v>46097.325926296297</v>
      </c>
      <c r="H4653">
        <v>0</v>
      </c>
    </row>
    <row r="4654" spans="1:8" x14ac:dyDescent="0.15">
      <c r="A4654">
        <v>4653</v>
      </c>
      <c r="B4654" t="s">
        <v>339</v>
      </c>
      <c r="C4654" t="s">
        <v>353</v>
      </c>
      <c r="D4654" t="s">
        <v>8367</v>
      </c>
      <c r="E4654" t="s">
        <v>8368</v>
      </c>
      <c r="F4654" s="46">
        <v>46097.325926296297</v>
      </c>
      <c r="G4654" s="46">
        <v>46097.325926296297</v>
      </c>
      <c r="H4654">
        <v>0</v>
      </c>
    </row>
    <row r="4655" spans="1:8" x14ac:dyDescent="0.15">
      <c r="A4655">
        <v>4654</v>
      </c>
      <c r="B4655" t="s">
        <v>339</v>
      </c>
      <c r="C4655" t="s">
        <v>353</v>
      </c>
      <c r="D4655" t="s">
        <v>8369</v>
      </c>
      <c r="E4655" t="s">
        <v>8370</v>
      </c>
      <c r="F4655" s="46">
        <v>46097.325926296297</v>
      </c>
      <c r="G4655" s="46">
        <v>46097.325926296297</v>
      </c>
      <c r="H4655">
        <v>0</v>
      </c>
    </row>
    <row r="4656" spans="1:8" x14ac:dyDescent="0.15">
      <c r="A4656">
        <v>4655</v>
      </c>
      <c r="B4656" t="s">
        <v>339</v>
      </c>
      <c r="C4656" t="s">
        <v>353</v>
      </c>
      <c r="D4656" t="s">
        <v>8371</v>
      </c>
      <c r="E4656" t="s">
        <v>8370</v>
      </c>
      <c r="F4656" s="46">
        <v>46097.325926296297</v>
      </c>
      <c r="G4656" s="46">
        <v>46097.325926296297</v>
      </c>
      <c r="H4656">
        <v>0</v>
      </c>
    </row>
    <row r="4657" spans="1:8" x14ac:dyDescent="0.15">
      <c r="A4657">
        <v>4656</v>
      </c>
      <c r="B4657" t="s">
        <v>339</v>
      </c>
      <c r="C4657" t="s">
        <v>353</v>
      </c>
      <c r="D4657" t="s">
        <v>8372</v>
      </c>
      <c r="E4657" t="s">
        <v>8373</v>
      </c>
      <c r="F4657" s="46">
        <v>46097.325926296297</v>
      </c>
      <c r="G4657" s="46">
        <v>46097.325926296297</v>
      </c>
      <c r="H4657">
        <v>0</v>
      </c>
    </row>
    <row r="4658" spans="1:8" x14ac:dyDescent="0.15">
      <c r="A4658">
        <v>4657</v>
      </c>
      <c r="B4658" t="s">
        <v>339</v>
      </c>
      <c r="C4658" t="s">
        <v>353</v>
      </c>
      <c r="D4658" t="s">
        <v>8374</v>
      </c>
      <c r="E4658" t="s">
        <v>8373</v>
      </c>
      <c r="F4658" s="46">
        <v>46097.325926296297</v>
      </c>
      <c r="G4658" s="46">
        <v>46097.325926296297</v>
      </c>
      <c r="H4658">
        <v>0</v>
      </c>
    </row>
    <row r="4659" spans="1:8" x14ac:dyDescent="0.15">
      <c r="A4659">
        <v>4658</v>
      </c>
      <c r="B4659" t="s">
        <v>339</v>
      </c>
      <c r="C4659" t="s">
        <v>353</v>
      </c>
      <c r="D4659" t="s">
        <v>8375</v>
      </c>
      <c r="E4659" t="s">
        <v>8376</v>
      </c>
      <c r="F4659" s="46">
        <v>46097.325926296297</v>
      </c>
      <c r="G4659" s="46">
        <v>46097.325926296297</v>
      </c>
      <c r="H4659">
        <v>0</v>
      </c>
    </row>
    <row r="4660" spans="1:8" x14ac:dyDescent="0.15">
      <c r="A4660">
        <v>4659</v>
      </c>
      <c r="B4660" t="s">
        <v>339</v>
      </c>
      <c r="C4660" t="s">
        <v>353</v>
      </c>
      <c r="D4660" t="s">
        <v>8377</v>
      </c>
      <c r="E4660" t="s">
        <v>8376</v>
      </c>
      <c r="F4660" s="46">
        <v>46097.325926296297</v>
      </c>
      <c r="G4660" s="46">
        <v>46097.325926296297</v>
      </c>
      <c r="H4660">
        <v>0</v>
      </c>
    </row>
    <row r="4661" spans="1:8" x14ac:dyDescent="0.15">
      <c r="A4661">
        <v>4660</v>
      </c>
      <c r="B4661" t="s">
        <v>339</v>
      </c>
      <c r="C4661" t="s">
        <v>353</v>
      </c>
      <c r="D4661" t="s">
        <v>8378</v>
      </c>
      <c r="E4661" t="s">
        <v>8376</v>
      </c>
      <c r="F4661" s="46">
        <v>46097.325926296297</v>
      </c>
      <c r="G4661" s="46">
        <v>46097.325926296297</v>
      </c>
      <c r="H4661">
        <v>0</v>
      </c>
    </row>
    <row r="4662" spans="1:8" x14ac:dyDescent="0.15">
      <c r="A4662">
        <v>4661</v>
      </c>
      <c r="B4662" t="s">
        <v>339</v>
      </c>
      <c r="C4662" t="s">
        <v>353</v>
      </c>
      <c r="D4662" t="s">
        <v>8379</v>
      </c>
      <c r="E4662" t="s">
        <v>8376</v>
      </c>
      <c r="F4662" s="46">
        <v>46097.325926296297</v>
      </c>
      <c r="G4662" s="46">
        <v>46097.325926469908</v>
      </c>
      <c r="H4662">
        <v>16</v>
      </c>
    </row>
    <row r="4663" spans="1:8" x14ac:dyDescent="0.15">
      <c r="A4663">
        <v>4662</v>
      </c>
      <c r="B4663" t="s">
        <v>339</v>
      </c>
      <c r="C4663" t="s">
        <v>353</v>
      </c>
      <c r="D4663" t="s">
        <v>8380</v>
      </c>
      <c r="E4663" t="s">
        <v>8376</v>
      </c>
      <c r="F4663" s="46">
        <v>46097.325926469908</v>
      </c>
      <c r="G4663" s="46">
        <v>46097.325926469908</v>
      </c>
      <c r="H4663">
        <v>0</v>
      </c>
    </row>
    <row r="4664" spans="1:8" x14ac:dyDescent="0.15">
      <c r="A4664">
        <v>4663</v>
      </c>
      <c r="B4664" t="s">
        <v>339</v>
      </c>
      <c r="C4664" t="s">
        <v>353</v>
      </c>
      <c r="D4664" t="s">
        <v>8381</v>
      </c>
      <c r="E4664" t="s">
        <v>8376</v>
      </c>
      <c r="F4664" s="46">
        <v>46097.325926469908</v>
      </c>
      <c r="G4664" s="46">
        <v>46097.325926469908</v>
      </c>
      <c r="H4664">
        <v>0</v>
      </c>
    </row>
    <row r="4665" spans="1:8" x14ac:dyDescent="0.15">
      <c r="A4665">
        <v>4664</v>
      </c>
      <c r="B4665" t="s">
        <v>339</v>
      </c>
      <c r="C4665" t="s">
        <v>353</v>
      </c>
      <c r="D4665" t="s">
        <v>8382</v>
      </c>
      <c r="E4665" t="s">
        <v>8376</v>
      </c>
      <c r="F4665" s="46">
        <v>46097.325926469908</v>
      </c>
      <c r="G4665" s="46">
        <v>46097.325926469908</v>
      </c>
      <c r="H4665">
        <v>0</v>
      </c>
    </row>
    <row r="4666" spans="1:8" x14ac:dyDescent="0.15">
      <c r="A4666">
        <v>4665</v>
      </c>
      <c r="B4666" t="s">
        <v>339</v>
      </c>
      <c r="C4666" t="s">
        <v>353</v>
      </c>
      <c r="D4666" t="s">
        <v>8383</v>
      </c>
      <c r="E4666" t="s">
        <v>8376</v>
      </c>
      <c r="F4666" s="46">
        <v>46097.325926469908</v>
      </c>
      <c r="G4666" s="46">
        <v>46097.325926469908</v>
      </c>
      <c r="H4666">
        <v>0</v>
      </c>
    </row>
    <row r="4667" spans="1:8" x14ac:dyDescent="0.15">
      <c r="A4667">
        <v>4666</v>
      </c>
      <c r="B4667" t="s">
        <v>339</v>
      </c>
      <c r="C4667" t="s">
        <v>353</v>
      </c>
      <c r="D4667" t="s">
        <v>8384</v>
      </c>
      <c r="E4667" t="s">
        <v>8376</v>
      </c>
      <c r="F4667" s="46">
        <v>46097.325926469908</v>
      </c>
      <c r="G4667" s="46">
        <v>46097.325926469908</v>
      </c>
      <c r="H4667">
        <v>0</v>
      </c>
    </row>
    <row r="4668" spans="1:8" x14ac:dyDescent="0.15">
      <c r="A4668">
        <v>4667</v>
      </c>
      <c r="B4668" t="s">
        <v>339</v>
      </c>
      <c r="C4668" t="s">
        <v>353</v>
      </c>
      <c r="D4668" t="s">
        <v>8385</v>
      </c>
      <c r="E4668" t="s">
        <v>8376</v>
      </c>
      <c r="F4668" s="46">
        <v>46097.325926469908</v>
      </c>
      <c r="G4668" s="46">
        <v>46097.325926469908</v>
      </c>
      <c r="H4668">
        <v>0</v>
      </c>
    </row>
    <row r="4669" spans="1:8" x14ac:dyDescent="0.15">
      <c r="A4669">
        <v>4668</v>
      </c>
      <c r="B4669" t="s">
        <v>339</v>
      </c>
      <c r="C4669" t="s">
        <v>353</v>
      </c>
      <c r="D4669" t="s">
        <v>8386</v>
      </c>
      <c r="E4669" t="s">
        <v>8376</v>
      </c>
      <c r="F4669" s="46">
        <v>46097.325926469908</v>
      </c>
      <c r="G4669" s="46">
        <v>46097.325926469908</v>
      </c>
      <c r="H4669">
        <v>0</v>
      </c>
    </row>
    <row r="4670" spans="1:8" x14ac:dyDescent="0.15">
      <c r="A4670">
        <v>4669</v>
      </c>
      <c r="B4670" t="s">
        <v>339</v>
      </c>
      <c r="C4670" t="s">
        <v>353</v>
      </c>
      <c r="D4670" t="s">
        <v>8387</v>
      </c>
      <c r="E4670" t="s">
        <v>8376</v>
      </c>
      <c r="F4670" s="46">
        <v>46097.325926469908</v>
      </c>
      <c r="G4670" s="46">
        <v>46097.325926469908</v>
      </c>
      <c r="H4670">
        <v>0</v>
      </c>
    </row>
    <row r="4671" spans="1:8" x14ac:dyDescent="0.15">
      <c r="A4671">
        <v>4670</v>
      </c>
      <c r="B4671" t="s">
        <v>339</v>
      </c>
      <c r="C4671" t="s">
        <v>353</v>
      </c>
      <c r="D4671" t="s">
        <v>8388</v>
      </c>
      <c r="E4671" t="s">
        <v>8376</v>
      </c>
      <c r="F4671" s="46">
        <v>46097.325926469908</v>
      </c>
      <c r="G4671" s="46">
        <v>46097.325926469908</v>
      </c>
      <c r="H4671">
        <v>0</v>
      </c>
    </row>
    <row r="4672" spans="1:8" x14ac:dyDescent="0.15">
      <c r="A4672">
        <v>4671</v>
      </c>
      <c r="B4672" t="s">
        <v>339</v>
      </c>
      <c r="C4672" t="s">
        <v>353</v>
      </c>
      <c r="D4672" t="s">
        <v>8389</v>
      </c>
      <c r="E4672" t="s">
        <v>8376</v>
      </c>
      <c r="F4672" s="46">
        <v>46097.325926469908</v>
      </c>
      <c r="G4672" s="46">
        <v>46097.325926469908</v>
      </c>
      <c r="H4672">
        <v>0</v>
      </c>
    </row>
    <row r="4673" spans="1:8" x14ac:dyDescent="0.15">
      <c r="A4673">
        <v>4672</v>
      </c>
      <c r="B4673" t="s">
        <v>339</v>
      </c>
      <c r="C4673" t="s">
        <v>353</v>
      </c>
      <c r="D4673" t="s">
        <v>8390</v>
      </c>
      <c r="E4673" t="s">
        <v>8376</v>
      </c>
      <c r="F4673" s="46">
        <v>46097.325926469908</v>
      </c>
      <c r="G4673" s="46">
        <v>46097.325926655103</v>
      </c>
      <c r="H4673">
        <v>15</v>
      </c>
    </row>
    <row r="4674" spans="1:8" x14ac:dyDescent="0.15">
      <c r="A4674">
        <v>4673</v>
      </c>
      <c r="B4674" t="s">
        <v>339</v>
      </c>
      <c r="C4674" t="s">
        <v>353</v>
      </c>
      <c r="D4674" t="s">
        <v>8391</v>
      </c>
      <c r="E4674" t="s">
        <v>8376</v>
      </c>
      <c r="F4674" s="46">
        <v>46097.325926655103</v>
      </c>
      <c r="G4674" s="46">
        <v>46097.325926655103</v>
      </c>
      <c r="H4674">
        <v>0</v>
      </c>
    </row>
    <row r="4675" spans="1:8" x14ac:dyDescent="0.15">
      <c r="A4675">
        <v>4674</v>
      </c>
      <c r="B4675" t="s">
        <v>339</v>
      </c>
      <c r="C4675" t="s">
        <v>353</v>
      </c>
      <c r="D4675" t="s">
        <v>8392</v>
      </c>
      <c r="E4675" t="s">
        <v>8376</v>
      </c>
      <c r="F4675" s="46">
        <v>46097.325926655103</v>
      </c>
      <c r="G4675" s="46">
        <v>46097.325926655103</v>
      </c>
      <c r="H4675">
        <v>0</v>
      </c>
    </row>
    <row r="4676" spans="1:8" x14ac:dyDescent="0.15">
      <c r="A4676">
        <v>4675</v>
      </c>
      <c r="B4676" t="s">
        <v>339</v>
      </c>
      <c r="C4676" t="s">
        <v>353</v>
      </c>
      <c r="D4676" t="s">
        <v>8393</v>
      </c>
      <c r="E4676" t="s">
        <v>8376</v>
      </c>
      <c r="F4676" s="46">
        <v>46097.325926655103</v>
      </c>
      <c r="G4676" s="46">
        <v>46097.325926655103</v>
      </c>
      <c r="H4676">
        <v>0</v>
      </c>
    </row>
    <row r="4677" spans="1:8" x14ac:dyDescent="0.15">
      <c r="A4677">
        <v>4676</v>
      </c>
      <c r="B4677" t="s">
        <v>339</v>
      </c>
      <c r="C4677" t="s">
        <v>353</v>
      </c>
      <c r="D4677" t="s">
        <v>8394</v>
      </c>
      <c r="E4677" t="s">
        <v>8376</v>
      </c>
      <c r="F4677" s="46">
        <v>46097.325926655103</v>
      </c>
      <c r="G4677" s="46">
        <v>46097.325926655103</v>
      </c>
      <c r="H4677">
        <v>0</v>
      </c>
    </row>
    <row r="4678" spans="1:8" x14ac:dyDescent="0.15">
      <c r="A4678">
        <v>4677</v>
      </c>
      <c r="B4678" t="s">
        <v>339</v>
      </c>
      <c r="C4678" t="s">
        <v>353</v>
      </c>
      <c r="D4678" t="s">
        <v>8395</v>
      </c>
      <c r="E4678" t="s">
        <v>8396</v>
      </c>
      <c r="F4678" s="46">
        <v>46097.325926655103</v>
      </c>
      <c r="G4678" s="46">
        <v>46097.325926655103</v>
      </c>
      <c r="H4678">
        <v>0</v>
      </c>
    </row>
    <row r="4679" spans="1:8" x14ac:dyDescent="0.15">
      <c r="A4679">
        <v>4678</v>
      </c>
      <c r="B4679" t="s">
        <v>339</v>
      </c>
      <c r="C4679" t="s">
        <v>353</v>
      </c>
      <c r="D4679" t="s">
        <v>8397</v>
      </c>
      <c r="E4679" t="s">
        <v>8396</v>
      </c>
      <c r="F4679" s="46">
        <v>46097.325926655103</v>
      </c>
      <c r="G4679" s="46">
        <v>46097.325926655103</v>
      </c>
      <c r="H4679">
        <v>0</v>
      </c>
    </row>
    <row r="4680" spans="1:8" x14ac:dyDescent="0.15">
      <c r="A4680">
        <v>4679</v>
      </c>
      <c r="B4680" t="s">
        <v>339</v>
      </c>
      <c r="C4680" t="s">
        <v>353</v>
      </c>
      <c r="D4680" t="s">
        <v>8398</v>
      </c>
      <c r="E4680" t="s">
        <v>8396</v>
      </c>
      <c r="F4680" s="46">
        <v>46097.325926655103</v>
      </c>
      <c r="G4680" s="46">
        <v>46097.325926655103</v>
      </c>
      <c r="H4680">
        <v>0</v>
      </c>
    </row>
    <row r="4681" spans="1:8" x14ac:dyDescent="0.15">
      <c r="A4681">
        <v>4680</v>
      </c>
      <c r="B4681" t="s">
        <v>339</v>
      </c>
      <c r="C4681" t="s">
        <v>353</v>
      </c>
      <c r="D4681" t="s">
        <v>8399</v>
      </c>
      <c r="E4681" t="s">
        <v>8400</v>
      </c>
      <c r="F4681" s="46">
        <v>46097.325926655103</v>
      </c>
      <c r="G4681" s="46">
        <v>46097.325926655103</v>
      </c>
      <c r="H4681">
        <v>0</v>
      </c>
    </row>
    <row r="4682" spans="1:8" x14ac:dyDescent="0.15">
      <c r="A4682">
        <v>4681</v>
      </c>
      <c r="B4682" t="s">
        <v>339</v>
      </c>
      <c r="C4682" t="s">
        <v>353</v>
      </c>
      <c r="D4682" t="s">
        <v>8401</v>
      </c>
      <c r="E4682" t="s">
        <v>8400</v>
      </c>
      <c r="F4682" s="46">
        <v>46097.325926655103</v>
      </c>
      <c r="G4682" s="46">
        <v>46097.325926655103</v>
      </c>
      <c r="H4682">
        <v>0</v>
      </c>
    </row>
    <row r="4683" spans="1:8" x14ac:dyDescent="0.15">
      <c r="A4683">
        <v>4682</v>
      </c>
      <c r="B4683" t="s">
        <v>339</v>
      </c>
      <c r="C4683" t="s">
        <v>353</v>
      </c>
      <c r="D4683" t="s">
        <v>8402</v>
      </c>
      <c r="E4683" t="s">
        <v>8400</v>
      </c>
      <c r="F4683" s="46">
        <v>46097.325926655103</v>
      </c>
      <c r="G4683" s="46">
        <v>46097.3259268287</v>
      </c>
      <c r="H4683">
        <v>16</v>
      </c>
    </row>
    <row r="4684" spans="1:8" x14ac:dyDescent="0.15">
      <c r="A4684">
        <v>4683</v>
      </c>
      <c r="B4684" t="s">
        <v>339</v>
      </c>
      <c r="C4684" t="s">
        <v>353</v>
      </c>
      <c r="D4684" t="s">
        <v>8403</v>
      </c>
      <c r="E4684" t="s">
        <v>8400</v>
      </c>
      <c r="F4684" s="46">
        <v>46097.3259268287</v>
      </c>
      <c r="G4684" s="46">
        <v>46097.3259268287</v>
      </c>
      <c r="H4684">
        <v>0</v>
      </c>
    </row>
    <row r="4685" spans="1:8" x14ac:dyDescent="0.15">
      <c r="A4685">
        <v>4684</v>
      </c>
      <c r="B4685" t="s">
        <v>339</v>
      </c>
      <c r="C4685" t="s">
        <v>353</v>
      </c>
      <c r="D4685" t="s">
        <v>8404</v>
      </c>
      <c r="E4685" t="s">
        <v>8400</v>
      </c>
      <c r="F4685" s="46">
        <v>46097.3259268287</v>
      </c>
      <c r="G4685" s="46">
        <v>46097.3259268287</v>
      </c>
      <c r="H4685">
        <v>0</v>
      </c>
    </row>
    <row r="4686" spans="1:8" x14ac:dyDescent="0.15">
      <c r="A4686">
        <v>4685</v>
      </c>
      <c r="B4686" t="s">
        <v>339</v>
      </c>
      <c r="C4686" t="s">
        <v>353</v>
      </c>
      <c r="D4686" t="s">
        <v>8405</v>
      </c>
      <c r="E4686" t="s">
        <v>8400</v>
      </c>
      <c r="F4686" s="46">
        <v>46097.3259268287</v>
      </c>
      <c r="G4686" s="46">
        <v>46097.3259268287</v>
      </c>
      <c r="H4686">
        <v>0</v>
      </c>
    </row>
    <row r="4687" spans="1:8" x14ac:dyDescent="0.15">
      <c r="A4687">
        <v>4686</v>
      </c>
      <c r="B4687" t="s">
        <v>339</v>
      </c>
      <c r="C4687" t="s">
        <v>353</v>
      </c>
      <c r="D4687" t="s">
        <v>8406</v>
      </c>
      <c r="E4687" t="s">
        <v>8407</v>
      </c>
      <c r="F4687" s="46">
        <v>46097.3259268287</v>
      </c>
      <c r="G4687" s="46">
        <v>46097.3259268287</v>
      </c>
      <c r="H4687">
        <v>0</v>
      </c>
    </row>
    <row r="4688" spans="1:8" x14ac:dyDescent="0.15">
      <c r="A4688">
        <v>4687</v>
      </c>
      <c r="B4688" t="s">
        <v>339</v>
      </c>
      <c r="C4688" t="s">
        <v>353</v>
      </c>
      <c r="D4688" t="s">
        <v>8408</v>
      </c>
      <c r="E4688" t="s">
        <v>8409</v>
      </c>
      <c r="F4688" s="46">
        <v>46097.3259268287</v>
      </c>
      <c r="G4688" s="46">
        <v>46097.3259268287</v>
      </c>
      <c r="H4688">
        <v>0</v>
      </c>
    </row>
    <row r="4689" spans="1:8" x14ac:dyDescent="0.15">
      <c r="A4689">
        <v>4688</v>
      </c>
      <c r="B4689" t="s">
        <v>339</v>
      </c>
      <c r="C4689" t="s">
        <v>353</v>
      </c>
      <c r="D4689" t="s">
        <v>8410</v>
      </c>
      <c r="E4689" t="s">
        <v>8409</v>
      </c>
      <c r="F4689" s="46">
        <v>46097.3259268287</v>
      </c>
      <c r="G4689" s="46">
        <v>46097.3259268287</v>
      </c>
      <c r="H4689">
        <v>0</v>
      </c>
    </row>
    <row r="4690" spans="1:8" x14ac:dyDescent="0.15">
      <c r="A4690">
        <v>4689</v>
      </c>
      <c r="B4690" t="s">
        <v>339</v>
      </c>
      <c r="C4690" t="s">
        <v>353</v>
      </c>
      <c r="D4690" t="s">
        <v>8411</v>
      </c>
      <c r="E4690" t="s">
        <v>8409</v>
      </c>
      <c r="F4690" s="46">
        <v>46097.3259268287</v>
      </c>
      <c r="G4690" s="46">
        <v>46097.3259268287</v>
      </c>
      <c r="H4690">
        <v>0</v>
      </c>
    </row>
    <row r="4691" spans="1:8" x14ac:dyDescent="0.15">
      <c r="A4691">
        <v>4690</v>
      </c>
      <c r="B4691" t="s">
        <v>339</v>
      </c>
      <c r="C4691" t="s">
        <v>353</v>
      </c>
      <c r="D4691" t="s">
        <v>8412</v>
      </c>
      <c r="E4691" t="s">
        <v>8409</v>
      </c>
      <c r="F4691" s="46">
        <v>46097.3259268287</v>
      </c>
      <c r="G4691" s="46">
        <v>46097.3259268287</v>
      </c>
      <c r="H4691">
        <v>0</v>
      </c>
    </row>
    <row r="4692" spans="1:8" x14ac:dyDescent="0.15">
      <c r="A4692">
        <v>4691</v>
      </c>
      <c r="B4692" t="s">
        <v>339</v>
      </c>
      <c r="C4692" t="s">
        <v>353</v>
      </c>
      <c r="D4692" t="s">
        <v>8413</v>
      </c>
      <c r="E4692" t="s">
        <v>8414</v>
      </c>
      <c r="F4692" s="46">
        <v>46097.3259268287</v>
      </c>
      <c r="G4692" s="46">
        <v>46097.3259268287</v>
      </c>
      <c r="H4692">
        <v>0</v>
      </c>
    </row>
    <row r="4693" spans="1:8" x14ac:dyDescent="0.15">
      <c r="A4693">
        <v>4692</v>
      </c>
      <c r="B4693" t="s">
        <v>339</v>
      </c>
      <c r="C4693" t="s">
        <v>353</v>
      </c>
      <c r="D4693" t="s">
        <v>8415</v>
      </c>
      <c r="E4693" t="s">
        <v>8414</v>
      </c>
      <c r="F4693" s="46">
        <v>46097.3259268287</v>
      </c>
      <c r="G4693" s="46">
        <v>46097.325927013888</v>
      </c>
      <c r="H4693">
        <v>16</v>
      </c>
    </row>
    <row r="4694" spans="1:8" x14ac:dyDescent="0.15">
      <c r="A4694">
        <v>4693</v>
      </c>
      <c r="B4694" t="s">
        <v>339</v>
      </c>
      <c r="C4694" t="s">
        <v>353</v>
      </c>
      <c r="D4694" t="s">
        <v>8416</v>
      </c>
      <c r="E4694" t="s">
        <v>8414</v>
      </c>
      <c r="F4694" s="46">
        <v>46097.325927013888</v>
      </c>
      <c r="G4694" s="46">
        <v>46097.325927013888</v>
      </c>
      <c r="H4694">
        <v>0</v>
      </c>
    </row>
    <row r="4695" spans="1:8" x14ac:dyDescent="0.15">
      <c r="A4695">
        <v>4694</v>
      </c>
      <c r="B4695" t="s">
        <v>339</v>
      </c>
      <c r="C4695" t="s">
        <v>353</v>
      </c>
      <c r="D4695" t="s">
        <v>8417</v>
      </c>
      <c r="E4695" t="s">
        <v>8418</v>
      </c>
      <c r="F4695" s="46">
        <v>46097.325927013888</v>
      </c>
      <c r="G4695" s="46">
        <v>46097.325927013888</v>
      </c>
      <c r="H4695">
        <v>0</v>
      </c>
    </row>
    <row r="4696" spans="1:8" x14ac:dyDescent="0.15">
      <c r="A4696">
        <v>4695</v>
      </c>
      <c r="B4696" t="s">
        <v>339</v>
      </c>
      <c r="C4696" t="s">
        <v>353</v>
      </c>
      <c r="D4696" t="s">
        <v>8419</v>
      </c>
      <c r="E4696" t="s">
        <v>8420</v>
      </c>
      <c r="F4696" s="46">
        <v>46097.325927013888</v>
      </c>
      <c r="G4696" s="46">
        <v>46097.325927013888</v>
      </c>
      <c r="H4696">
        <v>0</v>
      </c>
    </row>
    <row r="4697" spans="1:8" x14ac:dyDescent="0.15">
      <c r="A4697">
        <v>4696</v>
      </c>
      <c r="B4697" t="s">
        <v>339</v>
      </c>
      <c r="C4697" t="s">
        <v>353</v>
      </c>
      <c r="D4697" t="s">
        <v>8421</v>
      </c>
      <c r="E4697" t="s">
        <v>8420</v>
      </c>
      <c r="F4697" s="46">
        <v>46097.325927013888</v>
      </c>
      <c r="G4697" s="46">
        <v>46097.325927013888</v>
      </c>
      <c r="H4697">
        <v>0</v>
      </c>
    </row>
    <row r="4698" spans="1:8" x14ac:dyDescent="0.15">
      <c r="A4698">
        <v>4697</v>
      </c>
      <c r="B4698" t="s">
        <v>339</v>
      </c>
      <c r="C4698" t="s">
        <v>353</v>
      </c>
      <c r="D4698" t="s">
        <v>8422</v>
      </c>
      <c r="E4698" t="s">
        <v>8420</v>
      </c>
      <c r="F4698" s="46">
        <v>46097.325927013888</v>
      </c>
      <c r="G4698" s="46">
        <v>46097.325927013888</v>
      </c>
      <c r="H4698">
        <v>0</v>
      </c>
    </row>
    <row r="4699" spans="1:8" x14ac:dyDescent="0.15">
      <c r="A4699">
        <v>4698</v>
      </c>
      <c r="B4699" t="s">
        <v>339</v>
      </c>
      <c r="C4699" t="s">
        <v>353</v>
      </c>
      <c r="D4699" t="s">
        <v>8423</v>
      </c>
      <c r="E4699" t="s">
        <v>8420</v>
      </c>
      <c r="F4699" s="46">
        <v>46097.325927013888</v>
      </c>
      <c r="G4699" s="46">
        <v>46097.325927013888</v>
      </c>
      <c r="H4699">
        <v>0</v>
      </c>
    </row>
    <row r="4700" spans="1:8" x14ac:dyDescent="0.15">
      <c r="A4700">
        <v>4699</v>
      </c>
      <c r="B4700" t="s">
        <v>339</v>
      </c>
      <c r="C4700" t="s">
        <v>353</v>
      </c>
      <c r="D4700" t="s">
        <v>8424</v>
      </c>
      <c r="E4700" t="s">
        <v>8420</v>
      </c>
      <c r="F4700" s="46">
        <v>46097.325927013888</v>
      </c>
      <c r="G4700" s="46">
        <v>46097.325927013888</v>
      </c>
      <c r="H4700">
        <v>0</v>
      </c>
    </row>
    <row r="4701" spans="1:8" x14ac:dyDescent="0.15">
      <c r="A4701">
        <v>4700</v>
      </c>
      <c r="B4701" t="s">
        <v>339</v>
      </c>
      <c r="C4701" t="s">
        <v>353</v>
      </c>
      <c r="D4701" t="s">
        <v>8425</v>
      </c>
      <c r="E4701" t="s">
        <v>8420</v>
      </c>
      <c r="F4701" s="46">
        <v>46097.325927013888</v>
      </c>
      <c r="G4701" s="46">
        <v>46097.325927013888</v>
      </c>
      <c r="H4701">
        <v>0</v>
      </c>
    </row>
    <row r="4702" spans="1:8" x14ac:dyDescent="0.15">
      <c r="A4702">
        <v>4701</v>
      </c>
      <c r="B4702" t="s">
        <v>339</v>
      </c>
      <c r="C4702" t="s">
        <v>353</v>
      </c>
      <c r="D4702" t="s">
        <v>8426</v>
      </c>
      <c r="E4702" t="s">
        <v>8420</v>
      </c>
      <c r="F4702" s="46">
        <v>46097.325927013888</v>
      </c>
      <c r="G4702" s="46">
        <v>46097.325927013888</v>
      </c>
      <c r="H4702">
        <v>0</v>
      </c>
    </row>
    <row r="4703" spans="1:8" x14ac:dyDescent="0.15">
      <c r="A4703">
        <v>4702</v>
      </c>
      <c r="B4703" t="s">
        <v>339</v>
      </c>
      <c r="C4703" t="s">
        <v>353</v>
      </c>
      <c r="D4703" t="s">
        <v>8427</v>
      </c>
      <c r="E4703" t="s">
        <v>8420</v>
      </c>
      <c r="F4703" s="46">
        <v>46097.325927013888</v>
      </c>
      <c r="G4703" s="46">
        <v>46097.325927013888</v>
      </c>
      <c r="H4703">
        <v>0</v>
      </c>
    </row>
    <row r="4704" spans="1:8" x14ac:dyDescent="0.15">
      <c r="A4704">
        <v>4703</v>
      </c>
      <c r="B4704" t="s">
        <v>339</v>
      </c>
      <c r="C4704" t="s">
        <v>353</v>
      </c>
      <c r="D4704" t="s">
        <v>8428</v>
      </c>
      <c r="E4704" t="s">
        <v>8420</v>
      </c>
      <c r="F4704" s="46">
        <v>46097.325927013888</v>
      </c>
      <c r="G4704" s="46">
        <v>46097.325927199083</v>
      </c>
      <c r="H4704">
        <v>15</v>
      </c>
    </row>
    <row r="4705" spans="1:8" x14ac:dyDescent="0.15">
      <c r="A4705">
        <v>4704</v>
      </c>
      <c r="B4705" t="s">
        <v>339</v>
      </c>
      <c r="C4705" t="s">
        <v>353</v>
      </c>
      <c r="D4705" t="s">
        <v>8429</v>
      </c>
      <c r="E4705" t="s">
        <v>8420</v>
      </c>
      <c r="F4705" s="46">
        <v>46097.325927199083</v>
      </c>
      <c r="G4705" s="46">
        <v>46097.325927199083</v>
      </c>
      <c r="H4705">
        <v>0</v>
      </c>
    </row>
    <row r="4706" spans="1:8" x14ac:dyDescent="0.15">
      <c r="A4706">
        <v>4705</v>
      </c>
      <c r="B4706" t="s">
        <v>339</v>
      </c>
      <c r="C4706" t="s">
        <v>353</v>
      </c>
      <c r="D4706" t="s">
        <v>8430</v>
      </c>
      <c r="E4706" t="s">
        <v>8420</v>
      </c>
      <c r="F4706" s="46">
        <v>46097.325927199083</v>
      </c>
      <c r="G4706" s="46">
        <v>46097.325927199083</v>
      </c>
      <c r="H4706">
        <v>0</v>
      </c>
    </row>
    <row r="4707" spans="1:8" x14ac:dyDescent="0.15">
      <c r="A4707">
        <v>4706</v>
      </c>
      <c r="B4707" t="s">
        <v>339</v>
      </c>
      <c r="C4707" t="s">
        <v>353</v>
      </c>
      <c r="D4707" t="s">
        <v>8431</v>
      </c>
      <c r="E4707" t="s">
        <v>8420</v>
      </c>
      <c r="F4707" s="46">
        <v>46097.325927199083</v>
      </c>
      <c r="G4707" s="46">
        <v>46097.325927199083</v>
      </c>
      <c r="H4707">
        <v>0</v>
      </c>
    </row>
    <row r="4708" spans="1:8" x14ac:dyDescent="0.15">
      <c r="A4708">
        <v>4707</v>
      </c>
      <c r="B4708" t="s">
        <v>339</v>
      </c>
      <c r="C4708" t="s">
        <v>353</v>
      </c>
      <c r="D4708" t="s">
        <v>8432</v>
      </c>
      <c r="E4708" t="s">
        <v>793</v>
      </c>
      <c r="F4708" s="46">
        <v>46097.325927199083</v>
      </c>
      <c r="G4708" s="46">
        <v>46097.325927199083</v>
      </c>
      <c r="H4708">
        <v>0</v>
      </c>
    </row>
    <row r="4709" spans="1:8" x14ac:dyDescent="0.15">
      <c r="A4709">
        <v>4708</v>
      </c>
      <c r="B4709" t="s">
        <v>339</v>
      </c>
      <c r="C4709" t="s">
        <v>353</v>
      </c>
      <c r="D4709" t="s">
        <v>8433</v>
      </c>
      <c r="E4709" t="s">
        <v>793</v>
      </c>
      <c r="F4709" s="46">
        <v>46097.325927199083</v>
      </c>
      <c r="G4709" s="46">
        <v>46097.325927199083</v>
      </c>
      <c r="H4709">
        <v>0</v>
      </c>
    </row>
    <row r="4710" spans="1:8" x14ac:dyDescent="0.15">
      <c r="A4710">
        <v>4709</v>
      </c>
      <c r="B4710" t="s">
        <v>339</v>
      </c>
      <c r="C4710" t="s">
        <v>353</v>
      </c>
      <c r="D4710" t="s">
        <v>8434</v>
      </c>
      <c r="E4710" t="s">
        <v>793</v>
      </c>
      <c r="F4710" s="46">
        <v>46097.325927199083</v>
      </c>
      <c r="G4710" s="46">
        <v>46097.325927199083</v>
      </c>
      <c r="H4710">
        <v>0</v>
      </c>
    </row>
    <row r="4711" spans="1:8" x14ac:dyDescent="0.15">
      <c r="A4711">
        <v>4710</v>
      </c>
      <c r="B4711" t="s">
        <v>339</v>
      </c>
      <c r="C4711" t="s">
        <v>353</v>
      </c>
      <c r="D4711" t="s">
        <v>8435</v>
      </c>
      <c r="E4711" t="s">
        <v>793</v>
      </c>
      <c r="F4711" s="46">
        <v>46097.325927199083</v>
      </c>
      <c r="G4711" s="46">
        <v>46097.325927199083</v>
      </c>
      <c r="H4711">
        <v>0</v>
      </c>
    </row>
    <row r="4712" spans="1:8" x14ac:dyDescent="0.15">
      <c r="A4712">
        <v>4711</v>
      </c>
      <c r="B4712" t="s">
        <v>339</v>
      </c>
      <c r="C4712" t="s">
        <v>353</v>
      </c>
      <c r="D4712" t="s">
        <v>8436</v>
      </c>
      <c r="E4712" t="s">
        <v>793</v>
      </c>
      <c r="F4712" s="46">
        <v>46097.325927199083</v>
      </c>
      <c r="G4712" s="46">
        <v>46097.325927199083</v>
      </c>
      <c r="H4712">
        <v>0</v>
      </c>
    </row>
    <row r="4713" spans="1:8" x14ac:dyDescent="0.15">
      <c r="A4713">
        <v>4712</v>
      </c>
      <c r="B4713" t="s">
        <v>339</v>
      </c>
      <c r="C4713" t="s">
        <v>353</v>
      </c>
      <c r="D4713" t="s">
        <v>8437</v>
      </c>
      <c r="E4713" t="s">
        <v>793</v>
      </c>
      <c r="F4713" s="46">
        <v>46097.325927199083</v>
      </c>
      <c r="G4713" s="46">
        <v>46097.325927199083</v>
      </c>
      <c r="H4713">
        <v>0</v>
      </c>
    </row>
    <row r="4714" spans="1:8" x14ac:dyDescent="0.15">
      <c r="A4714">
        <v>4713</v>
      </c>
      <c r="B4714" t="s">
        <v>339</v>
      </c>
      <c r="C4714" t="s">
        <v>353</v>
      </c>
      <c r="D4714" t="s">
        <v>8438</v>
      </c>
      <c r="E4714" t="s">
        <v>793</v>
      </c>
      <c r="F4714" s="46">
        <v>46097.325927199083</v>
      </c>
      <c r="G4714" s="46">
        <v>46097.325927372687</v>
      </c>
      <c r="H4714">
        <v>16</v>
      </c>
    </row>
    <row r="4715" spans="1:8" x14ac:dyDescent="0.15">
      <c r="A4715">
        <v>4714</v>
      </c>
      <c r="B4715" t="s">
        <v>339</v>
      </c>
      <c r="C4715" t="s">
        <v>353</v>
      </c>
      <c r="D4715" t="s">
        <v>8439</v>
      </c>
      <c r="E4715" t="s">
        <v>793</v>
      </c>
      <c r="F4715" s="46">
        <v>46097.325927372687</v>
      </c>
      <c r="G4715" s="46">
        <v>46097.325927372687</v>
      </c>
      <c r="H4715">
        <v>0</v>
      </c>
    </row>
    <row r="4716" spans="1:8" x14ac:dyDescent="0.15">
      <c r="A4716">
        <v>4715</v>
      </c>
      <c r="B4716" t="s">
        <v>339</v>
      </c>
      <c r="C4716" t="s">
        <v>353</v>
      </c>
      <c r="D4716" t="s">
        <v>8440</v>
      </c>
      <c r="E4716" t="s">
        <v>793</v>
      </c>
      <c r="F4716" s="46">
        <v>46097.325927372687</v>
      </c>
      <c r="G4716" s="46">
        <v>46097.325927372687</v>
      </c>
      <c r="H4716">
        <v>0</v>
      </c>
    </row>
    <row r="4717" spans="1:8" x14ac:dyDescent="0.15">
      <c r="A4717">
        <v>4716</v>
      </c>
      <c r="B4717" t="s">
        <v>339</v>
      </c>
      <c r="C4717" t="s">
        <v>353</v>
      </c>
      <c r="D4717" t="s">
        <v>8441</v>
      </c>
      <c r="E4717" t="s">
        <v>793</v>
      </c>
      <c r="F4717" s="46">
        <v>46097.325927372687</v>
      </c>
      <c r="G4717" s="46">
        <v>46097.325927372687</v>
      </c>
      <c r="H4717">
        <v>0</v>
      </c>
    </row>
    <row r="4718" spans="1:8" x14ac:dyDescent="0.15">
      <c r="A4718">
        <v>4717</v>
      </c>
      <c r="B4718" t="s">
        <v>339</v>
      </c>
      <c r="C4718" t="s">
        <v>353</v>
      </c>
      <c r="D4718" t="s">
        <v>8442</v>
      </c>
      <c r="E4718" t="s">
        <v>793</v>
      </c>
      <c r="F4718" s="46">
        <v>46097.325927372687</v>
      </c>
      <c r="G4718" s="46">
        <v>46097.325927372687</v>
      </c>
      <c r="H4718">
        <v>0</v>
      </c>
    </row>
    <row r="4719" spans="1:8" x14ac:dyDescent="0.15">
      <c r="A4719">
        <v>4718</v>
      </c>
      <c r="B4719" t="s">
        <v>339</v>
      </c>
      <c r="C4719" t="s">
        <v>353</v>
      </c>
      <c r="D4719" t="s">
        <v>8443</v>
      </c>
      <c r="E4719" t="s">
        <v>793</v>
      </c>
      <c r="F4719" s="46">
        <v>46097.325927372687</v>
      </c>
      <c r="G4719" s="46">
        <v>46097.325927372687</v>
      </c>
      <c r="H4719">
        <v>0</v>
      </c>
    </row>
    <row r="4720" spans="1:8" x14ac:dyDescent="0.15">
      <c r="A4720">
        <v>4719</v>
      </c>
      <c r="B4720" t="s">
        <v>339</v>
      </c>
      <c r="C4720" t="s">
        <v>353</v>
      </c>
      <c r="D4720" t="s">
        <v>8444</v>
      </c>
      <c r="E4720" t="s">
        <v>793</v>
      </c>
      <c r="F4720" s="46">
        <v>46097.325927372687</v>
      </c>
      <c r="G4720" s="46">
        <v>46097.325927372687</v>
      </c>
      <c r="H4720">
        <v>0</v>
      </c>
    </row>
    <row r="4721" spans="1:8" x14ac:dyDescent="0.15">
      <c r="A4721">
        <v>4720</v>
      </c>
      <c r="B4721" t="s">
        <v>339</v>
      </c>
      <c r="C4721" t="s">
        <v>353</v>
      </c>
      <c r="D4721" t="s">
        <v>8445</v>
      </c>
      <c r="E4721" t="s">
        <v>793</v>
      </c>
      <c r="F4721" s="46">
        <v>46097.325927372687</v>
      </c>
      <c r="G4721" s="46">
        <v>46097.325927372687</v>
      </c>
      <c r="H4721">
        <v>0</v>
      </c>
    </row>
    <row r="4722" spans="1:8" x14ac:dyDescent="0.15">
      <c r="A4722">
        <v>4721</v>
      </c>
      <c r="B4722" t="s">
        <v>339</v>
      </c>
      <c r="C4722" t="s">
        <v>353</v>
      </c>
      <c r="D4722" t="s">
        <v>8446</v>
      </c>
      <c r="E4722" t="s">
        <v>793</v>
      </c>
      <c r="F4722" s="46">
        <v>46097.325927372687</v>
      </c>
      <c r="G4722" s="46">
        <v>46097.325927372687</v>
      </c>
      <c r="H4722">
        <v>0</v>
      </c>
    </row>
    <row r="4723" spans="1:8" x14ac:dyDescent="0.15">
      <c r="A4723">
        <v>4722</v>
      </c>
      <c r="B4723" t="s">
        <v>339</v>
      </c>
      <c r="C4723" t="s">
        <v>353</v>
      </c>
      <c r="D4723" t="s">
        <v>8447</v>
      </c>
      <c r="E4723" t="s">
        <v>793</v>
      </c>
      <c r="F4723" s="46">
        <v>46097.325927372687</v>
      </c>
      <c r="G4723" s="46">
        <v>46097.325927372687</v>
      </c>
      <c r="H4723">
        <v>0</v>
      </c>
    </row>
    <row r="4724" spans="1:8" x14ac:dyDescent="0.15">
      <c r="A4724">
        <v>4723</v>
      </c>
      <c r="B4724" t="s">
        <v>339</v>
      </c>
      <c r="C4724" t="s">
        <v>353</v>
      </c>
      <c r="D4724" t="s">
        <v>8448</v>
      </c>
      <c r="E4724" t="s">
        <v>793</v>
      </c>
      <c r="F4724" s="46">
        <v>46097.325927372687</v>
      </c>
      <c r="G4724" s="46">
        <v>46097.325927372687</v>
      </c>
      <c r="H4724">
        <v>0</v>
      </c>
    </row>
    <row r="4725" spans="1:8" x14ac:dyDescent="0.15">
      <c r="A4725">
        <v>4724</v>
      </c>
      <c r="B4725" t="s">
        <v>339</v>
      </c>
      <c r="C4725" t="s">
        <v>353</v>
      </c>
      <c r="D4725" t="s">
        <v>8449</v>
      </c>
      <c r="E4725" t="s">
        <v>793</v>
      </c>
      <c r="F4725" s="46">
        <v>46097.325927372687</v>
      </c>
      <c r="G4725" s="46">
        <v>46097.325927557868</v>
      </c>
      <c r="H4725">
        <v>15</v>
      </c>
    </row>
    <row r="4726" spans="1:8" x14ac:dyDescent="0.15">
      <c r="A4726">
        <v>4725</v>
      </c>
      <c r="B4726" t="s">
        <v>339</v>
      </c>
      <c r="C4726" t="s">
        <v>353</v>
      </c>
      <c r="D4726" t="s">
        <v>8450</v>
      </c>
      <c r="E4726" t="s">
        <v>793</v>
      </c>
      <c r="F4726" s="46">
        <v>46097.325927557868</v>
      </c>
      <c r="G4726" s="46">
        <v>46097.325927557868</v>
      </c>
      <c r="H4726">
        <v>0</v>
      </c>
    </row>
    <row r="4727" spans="1:8" x14ac:dyDescent="0.15">
      <c r="A4727">
        <v>4726</v>
      </c>
      <c r="B4727" t="s">
        <v>339</v>
      </c>
      <c r="C4727" t="s">
        <v>353</v>
      </c>
      <c r="D4727" t="s">
        <v>8451</v>
      </c>
      <c r="E4727" t="s">
        <v>793</v>
      </c>
      <c r="F4727" s="46">
        <v>46097.325927557868</v>
      </c>
      <c r="G4727" s="46">
        <v>46097.325927557868</v>
      </c>
      <c r="H4727">
        <v>0</v>
      </c>
    </row>
    <row r="4728" spans="1:8" x14ac:dyDescent="0.15">
      <c r="A4728">
        <v>4727</v>
      </c>
      <c r="B4728" t="s">
        <v>339</v>
      </c>
      <c r="C4728" t="s">
        <v>353</v>
      </c>
      <c r="D4728" t="s">
        <v>8452</v>
      </c>
      <c r="E4728" t="s">
        <v>793</v>
      </c>
      <c r="F4728" s="46">
        <v>46097.325927557868</v>
      </c>
      <c r="G4728" s="46">
        <v>46097.325927557868</v>
      </c>
      <c r="H4728">
        <v>0</v>
      </c>
    </row>
    <row r="4729" spans="1:8" x14ac:dyDescent="0.15">
      <c r="A4729">
        <v>4728</v>
      </c>
      <c r="B4729" t="s">
        <v>339</v>
      </c>
      <c r="C4729" t="s">
        <v>353</v>
      </c>
      <c r="D4729" t="s">
        <v>8453</v>
      </c>
      <c r="E4729" t="s">
        <v>793</v>
      </c>
      <c r="F4729" s="46">
        <v>46097.325927557868</v>
      </c>
      <c r="G4729" s="46">
        <v>46097.325927557868</v>
      </c>
      <c r="H4729">
        <v>0</v>
      </c>
    </row>
    <row r="4730" spans="1:8" x14ac:dyDescent="0.15">
      <c r="A4730">
        <v>4729</v>
      </c>
      <c r="B4730" t="s">
        <v>339</v>
      </c>
      <c r="C4730" t="s">
        <v>353</v>
      </c>
      <c r="D4730" t="s">
        <v>8454</v>
      </c>
      <c r="E4730" t="s">
        <v>793</v>
      </c>
      <c r="F4730" s="46">
        <v>46097.325927557868</v>
      </c>
      <c r="G4730" s="46">
        <v>46097.325927557868</v>
      </c>
      <c r="H4730">
        <v>0</v>
      </c>
    </row>
    <row r="4731" spans="1:8" x14ac:dyDescent="0.15">
      <c r="A4731">
        <v>4730</v>
      </c>
      <c r="B4731" t="s">
        <v>339</v>
      </c>
      <c r="C4731" t="s">
        <v>353</v>
      </c>
      <c r="D4731" t="s">
        <v>8455</v>
      </c>
      <c r="E4731" t="s">
        <v>793</v>
      </c>
      <c r="F4731" s="46">
        <v>46097.325927557868</v>
      </c>
      <c r="G4731" s="46">
        <v>46097.325927557868</v>
      </c>
      <c r="H4731">
        <v>0</v>
      </c>
    </row>
    <row r="4732" spans="1:8" x14ac:dyDescent="0.15">
      <c r="A4732">
        <v>4731</v>
      </c>
      <c r="B4732" t="s">
        <v>339</v>
      </c>
      <c r="C4732" t="s">
        <v>353</v>
      </c>
      <c r="D4732" t="s">
        <v>8456</v>
      </c>
      <c r="E4732" t="s">
        <v>8457</v>
      </c>
      <c r="F4732" s="46">
        <v>46097.325927557868</v>
      </c>
      <c r="G4732" s="46">
        <v>46097.325927557868</v>
      </c>
      <c r="H4732">
        <v>0</v>
      </c>
    </row>
    <row r="4733" spans="1:8" x14ac:dyDescent="0.15">
      <c r="A4733">
        <v>4732</v>
      </c>
      <c r="B4733" t="s">
        <v>339</v>
      </c>
      <c r="C4733" t="s">
        <v>353</v>
      </c>
      <c r="D4733" t="s">
        <v>8458</v>
      </c>
      <c r="E4733" t="s">
        <v>8457</v>
      </c>
      <c r="F4733" s="46">
        <v>46097.325927557868</v>
      </c>
      <c r="G4733" s="46">
        <v>46097.325927557868</v>
      </c>
      <c r="H4733">
        <v>0</v>
      </c>
    </row>
    <row r="4734" spans="1:8" x14ac:dyDescent="0.15">
      <c r="A4734">
        <v>4733</v>
      </c>
      <c r="B4734" t="s">
        <v>339</v>
      </c>
      <c r="C4734" t="s">
        <v>353</v>
      </c>
      <c r="D4734" t="s">
        <v>8459</v>
      </c>
      <c r="E4734" t="s">
        <v>8457</v>
      </c>
      <c r="F4734" s="46">
        <v>46097.325927557868</v>
      </c>
      <c r="G4734" s="46">
        <v>46097.325927557868</v>
      </c>
      <c r="H4734">
        <v>0</v>
      </c>
    </row>
    <row r="4735" spans="1:8" x14ac:dyDescent="0.15">
      <c r="A4735">
        <v>4734</v>
      </c>
      <c r="B4735" t="s">
        <v>339</v>
      </c>
      <c r="C4735" t="s">
        <v>353</v>
      </c>
      <c r="D4735" t="s">
        <v>8460</v>
      </c>
      <c r="E4735" t="s">
        <v>8461</v>
      </c>
      <c r="F4735" s="46">
        <v>46097.325927557868</v>
      </c>
      <c r="G4735" s="46">
        <v>46097.325927743062</v>
      </c>
      <c r="H4735">
        <v>16</v>
      </c>
    </row>
    <row r="4736" spans="1:8" x14ac:dyDescent="0.15">
      <c r="A4736">
        <v>4735</v>
      </c>
      <c r="B4736" t="s">
        <v>339</v>
      </c>
      <c r="C4736" t="s">
        <v>353</v>
      </c>
      <c r="D4736" t="s">
        <v>8462</v>
      </c>
      <c r="E4736" t="s">
        <v>8461</v>
      </c>
      <c r="F4736" s="46">
        <v>46097.325927743062</v>
      </c>
      <c r="G4736" s="46">
        <v>46097.325927743062</v>
      </c>
      <c r="H4736">
        <v>0</v>
      </c>
    </row>
    <row r="4737" spans="1:8" x14ac:dyDescent="0.15">
      <c r="A4737">
        <v>4736</v>
      </c>
      <c r="B4737" t="s">
        <v>339</v>
      </c>
      <c r="C4737" t="s">
        <v>353</v>
      </c>
      <c r="D4737" t="s">
        <v>8463</v>
      </c>
      <c r="E4737" t="s">
        <v>8464</v>
      </c>
      <c r="F4737" s="46">
        <v>46097.325927743062</v>
      </c>
      <c r="G4737" s="46">
        <v>46097.325927743062</v>
      </c>
      <c r="H4737">
        <v>0</v>
      </c>
    </row>
    <row r="4738" spans="1:8" x14ac:dyDescent="0.15">
      <c r="A4738">
        <v>4737</v>
      </c>
      <c r="B4738" t="s">
        <v>339</v>
      </c>
      <c r="C4738" t="s">
        <v>353</v>
      </c>
      <c r="D4738" t="s">
        <v>8465</v>
      </c>
      <c r="E4738" t="s">
        <v>8466</v>
      </c>
      <c r="F4738" s="46">
        <v>46097.325927743062</v>
      </c>
      <c r="G4738" s="46">
        <v>46097.325927743062</v>
      </c>
      <c r="H4738">
        <v>0</v>
      </c>
    </row>
    <row r="4739" spans="1:8" x14ac:dyDescent="0.15">
      <c r="A4739">
        <v>4738</v>
      </c>
      <c r="B4739" t="s">
        <v>339</v>
      </c>
      <c r="C4739" t="s">
        <v>353</v>
      </c>
      <c r="D4739" t="s">
        <v>8467</v>
      </c>
      <c r="E4739" t="s">
        <v>8468</v>
      </c>
      <c r="F4739" s="46">
        <v>46097.325927743062</v>
      </c>
      <c r="G4739" s="46">
        <v>46097.325927743062</v>
      </c>
      <c r="H4739">
        <v>0</v>
      </c>
    </row>
    <row r="4740" spans="1:8" x14ac:dyDescent="0.15">
      <c r="A4740">
        <v>4739</v>
      </c>
      <c r="B4740" t="s">
        <v>339</v>
      </c>
      <c r="C4740" t="s">
        <v>353</v>
      </c>
      <c r="D4740" t="s">
        <v>8469</v>
      </c>
      <c r="E4740" t="s">
        <v>8468</v>
      </c>
      <c r="F4740" s="46">
        <v>46097.325927743062</v>
      </c>
      <c r="G4740" s="46">
        <v>46097.325927743062</v>
      </c>
      <c r="H4740">
        <v>0</v>
      </c>
    </row>
    <row r="4741" spans="1:8" x14ac:dyDescent="0.15">
      <c r="A4741">
        <v>4740</v>
      </c>
      <c r="B4741" t="s">
        <v>339</v>
      </c>
      <c r="C4741" t="s">
        <v>353</v>
      </c>
      <c r="D4741" t="s">
        <v>8470</v>
      </c>
      <c r="E4741" t="s">
        <v>8471</v>
      </c>
      <c r="F4741" s="46">
        <v>46097.325927743062</v>
      </c>
      <c r="G4741" s="46">
        <v>46097.325927743062</v>
      </c>
      <c r="H4741">
        <v>0</v>
      </c>
    </row>
    <row r="4742" spans="1:8" x14ac:dyDescent="0.15">
      <c r="A4742">
        <v>4741</v>
      </c>
      <c r="B4742" t="s">
        <v>339</v>
      </c>
      <c r="C4742" t="s">
        <v>353</v>
      </c>
      <c r="D4742" t="s">
        <v>8472</v>
      </c>
      <c r="E4742" t="s">
        <v>8471</v>
      </c>
      <c r="F4742" s="46">
        <v>46097.325927743062</v>
      </c>
      <c r="G4742" s="46">
        <v>46097.325927743062</v>
      </c>
      <c r="H4742">
        <v>0</v>
      </c>
    </row>
    <row r="4743" spans="1:8" x14ac:dyDescent="0.15">
      <c r="A4743">
        <v>4742</v>
      </c>
      <c r="B4743" t="s">
        <v>339</v>
      </c>
      <c r="C4743" t="s">
        <v>353</v>
      </c>
      <c r="D4743" t="s">
        <v>8473</v>
      </c>
      <c r="E4743" t="s">
        <v>8474</v>
      </c>
      <c r="F4743" s="46">
        <v>46097.325927743062</v>
      </c>
      <c r="G4743" s="46">
        <v>46097.325927743062</v>
      </c>
      <c r="H4743">
        <v>0</v>
      </c>
    </row>
    <row r="4744" spans="1:8" x14ac:dyDescent="0.15">
      <c r="A4744">
        <v>4743</v>
      </c>
      <c r="B4744" t="s">
        <v>339</v>
      </c>
      <c r="C4744" t="s">
        <v>353</v>
      </c>
      <c r="D4744" t="s">
        <v>8475</v>
      </c>
      <c r="E4744" t="s">
        <v>8474</v>
      </c>
      <c r="F4744" s="46">
        <v>46097.325927743062</v>
      </c>
      <c r="G4744" s="46">
        <v>46097.325927743062</v>
      </c>
      <c r="H4744">
        <v>0</v>
      </c>
    </row>
    <row r="4745" spans="1:8" x14ac:dyDescent="0.15">
      <c r="A4745">
        <v>4744</v>
      </c>
      <c r="B4745" t="s">
        <v>339</v>
      </c>
      <c r="C4745" t="s">
        <v>353</v>
      </c>
      <c r="D4745" t="s">
        <v>8476</v>
      </c>
      <c r="E4745" t="s">
        <v>8474</v>
      </c>
      <c r="F4745" s="46">
        <v>46097.325927743062</v>
      </c>
      <c r="G4745" s="46">
        <v>46097.325927743062</v>
      </c>
      <c r="H4745">
        <v>0</v>
      </c>
    </row>
    <row r="4746" spans="1:8" x14ac:dyDescent="0.15">
      <c r="A4746">
        <v>4745</v>
      </c>
      <c r="B4746" t="s">
        <v>339</v>
      </c>
      <c r="C4746" t="s">
        <v>353</v>
      </c>
      <c r="D4746" t="s">
        <v>8477</v>
      </c>
      <c r="E4746" t="s">
        <v>8478</v>
      </c>
      <c r="F4746" s="46">
        <v>46097.325927743062</v>
      </c>
      <c r="G4746" s="46">
        <v>46097.325927916667</v>
      </c>
      <c r="H4746">
        <v>16</v>
      </c>
    </row>
    <row r="4747" spans="1:8" x14ac:dyDescent="0.15">
      <c r="A4747">
        <v>4746</v>
      </c>
      <c r="B4747" t="s">
        <v>339</v>
      </c>
      <c r="C4747" t="s">
        <v>353</v>
      </c>
      <c r="D4747" t="s">
        <v>8479</v>
      </c>
      <c r="E4747" t="s">
        <v>8480</v>
      </c>
      <c r="F4747" s="46">
        <v>46097.325927916667</v>
      </c>
      <c r="G4747" s="46">
        <v>46097.325927916667</v>
      </c>
      <c r="H4747">
        <v>0</v>
      </c>
    </row>
    <row r="4748" spans="1:8" x14ac:dyDescent="0.15">
      <c r="A4748">
        <v>4747</v>
      </c>
      <c r="B4748" t="s">
        <v>339</v>
      </c>
      <c r="C4748" t="s">
        <v>353</v>
      </c>
      <c r="D4748" t="s">
        <v>8481</v>
      </c>
      <c r="E4748" t="s">
        <v>8482</v>
      </c>
      <c r="F4748" s="46">
        <v>46097.325927916667</v>
      </c>
      <c r="G4748" s="46">
        <v>46097.325927916667</v>
      </c>
      <c r="H4748">
        <v>0</v>
      </c>
    </row>
    <row r="4749" spans="1:8" x14ac:dyDescent="0.15">
      <c r="A4749">
        <v>4748</v>
      </c>
      <c r="B4749" t="s">
        <v>339</v>
      </c>
      <c r="C4749" t="s">
        <v>353</v>
      </c>
      <c r="D4749" t="s">
        <v>8483</v>
      </c>
      <c r="E4749" t="s">
        <v>8482</v>
      </c>
      <c r="F4749" s="46">
        <v>46097.325927916667</v>
      </c>
      <c r="G4749" s="46">
        <v>46097.325927916667</v>
      </c>
      <c r="H4749">
        <v>0</v>
      </c>
    </row>
    <row r="4750" spans="1:8" x14ac:dyDescent="0.15">
      <c r="A4750">
        <v>4749</v>
      </c>
      <c r="B4750" t="s">
        <v>339</v>
      </c>
      <c r="C4750" t="s">
        <v>353</v>
      </c>
      <c r="D4750" t="s">
        <v>8484</v>
      </c>
      <c r="E4750" t="s">
        <v>8485</v>
      </c>
      <c r="F4750" s="46">
        <v>46097.325927916667</v>
      </c>
      <c r="G4750" s="46">
        <v>46097.325927916667</v>
      </c>
      <c r="H4750">
        <v>0</v>
      </c>
    </row>
    <row r="4751" spans="1:8" x14ac:dyDescent="0.15">
      <c r="A4751">
        <v>4750</v>
      </c>
      <c r="B4751" t="s">
        <v>339</v>
      </c>
      <c r="C4751" t="s">
        <v>353</v>
      </c>
      <c r="D4751" t="s">
        <v>8486</v>
      </c>
      <c r="E4751" t="s">
        <v>8485</v>
      </c>
      <c r="F4751" s="46">
        <v>46097.325927916667</v>
      </c>
      <c r="G4751" s="46">
        <v>46097.325927916667</v>
      </c>
      <c r="H4751">
        <v>0</v>
      </c>
    </row>
    <row r="4752" spans="1:8" x14ac:dyDescent="0.15">
      <c r="A4752">
        <v>4751</v>
      </c>
      <c r="B4752" t="s">
        <v>339</v>
      </c>
      <c r="C4752" t="s">
        <v>353</v>
      </c>
      <c r="D4752" t="s">
        <v>8487</v>
      </c>
      <c r="E4752" t="s">
        <v>8485</v>
      </c>
      <c r="F4752" s="46">
        <v>46097.325927916667</v>
      </c>
      <c r="G4752" s="46">
        <v>46097.325927916667</v>
      </c>
      <c r="H4752">
        <v>0</v>
      </c>
    </row>
    <row r="4753" spans="1:8" x14ac:dyDescent="0.15">
      <c r="A4753">
        <v>4752</v>
      </c>
      <c r="B4753" t="s">
        <v>339</v>
      </c>
      <c r="C4753" t="s">
        <v>353</v>
      </c>
      <c r="D4753" t="s">
        <v>8488</v>
      </c>
      <c r="E4753" t="s">
        <v>8489</v>
      </c>
      <c r="F4753" s="46">
        <v>46097.325927916667</v>
      </c>
      <c r="G4753" s="46">
        <v>46097.325927916667</v>
      </c>
      <c r="H4753">
        <v>0</v>
      </c>
    </row>
    <row r="4754" spans="1:8" x14ac:dyDescent="0.15">
      <c r="A4754">
        <v>4753</v>
      </c>
      <c r="B4754" t="s">
        <v>339</v>
      </c>
      <c r="C4754" t="s">
        <v>353</v>
      </c>
      <c r="D4754" t="s">
        <v>8490</v>
      </c>
      <c r="E4754" t="s">
        <v>8489</v>
      </c>
      <c r="F4754" s="46">
        <v>46097.325927916667</v>
      </c>
      <c r="G4754" s="46">
        <v>46097.325927916667</v>
      </c>
      <c r="H4754">
        <v>0</v>
      </c>
    </row>
    <row r="4755" spans="1:8" x14ac:dyDescent="0.15">
      <c r="A4755">
        <v>4754</v>
      </c>
      <c r="B4755" t="s">
        <v>339</v>
      </c>
      <c r="C4755" t="s">
        <v>353</v>
      </c>
      <c r="D4755" t="s">
        <v>8491</v>
      </c>
      <c r="E4755" t="s">
        <v>8489</v>
      </c>
      <c r="F4755" s="46">
        <v>46097.325927916667</v>
      </c>
      <c r="G4755" s="46">
        <v>46097.325927916667</v>
      </c>
      <c r="H4755">
        <v>0</v>
      </c>
    </row>
    <row r="4756" spans="1:8" x14ac:dyDescent="0.15">
      <c r="A4756">
        <v>4755</v>
      </c>
      <c r="B4756" t="s">
        <v>339</v>
      </c>
      <c r="C4756" t="s">
        <v>353</v>
      </c>
      <c r="D4756" t="s">
        <v>8492</v>
      </c>
      <c r="E4756" t="s">
        <v>8493</v>
      </c>
      <c r="F4756" s="46">
        <v>46097.325927916667</v>
      </c>
      <c r="G4756" s="46">
        <v>46097.325928101847</v>
      </c>
      <c r="H4756">
        <v>15</v>
      </c>
    </row>
    <row r="4757" spans="1:8" x14ac:dyDescent="0.15">
      <c r="A4757">
        <v>4756</v>
      </c>
      <c r="B4757" t="s">
        <v>339</v>
      </c>
      <c r="C4757" t="s">
        <v>353</v>
      </c>
      <c r="D4757" t="s">
        <v>8494</v>
      </c>
      <c r="E4757" t="s">
        <v>8493</v>
      </c>
      <c r="F4757" s="46">
        <v>46097.325928101847</v>
      </c>
      <c r="G4757" s="46">
        <v>46097.325928101847</v>
      </c>
      <c r="H4757">
        <v>0</v>
      </c>
    </row>
    <row r="4758" spans="1:8" x14ac:dyDescent="0.15">
      <c r="A4758">
        <v>4757</v>
      </c>
      <c r="B4758" t="s">
        <v>339</v>
      </c>
      <c r="C4758" t="s">
        <v>353</v>
      </c>
      <c r="D4758" t="s">
        <v>8495</v>
      </c>
      <c r="E4758" t="s">
        <v>8496</v>
      </c>
      <c r="F4758" s="46">
        <v>46097.325928101847</v>
      </c>
      <c r="G4758" s="46">
        <v>46097.325928101847</v>
      </c>
      <c r="H4758">
        <v>0</v>
      </c>
    </row>
    <row r="4759" spans="1:8" x14ac:dyDescent="0.15">
      <c r="A4759">
        <v>4758</v>
      </c>
      <c r="B4759" t="s">
        <v>339</v>
      </c>
      <c r="C4759" t="s">
        <v>353</v>
      </c>
      <c r="D4759" t="s">
        <v>8497</v>
      </c>
      <c r="E4759" t="s">
        <v>8498</v>
      </c>
      <c r="F4759" s="46">
        <v>46097.325928101847</v>
      </c>
      <c r="G4759" s="46">
        <v>46097.325928101847</v>
      </c>
      <c r="H4759">
        <v>0</v>
      </c>
    </row>
    <row r="4760" spans="1:8" x14ac:dyDescent="0.15">
      <c r="A4760">
        <v>4759</v>
      </c>
      <c r="B4760" t="s">
        <v>339</v>
      </c>
      <c r="C4760" t="s">
        <v>353</v>
      </c>
      <c r="D4760" t="s">
        <v>8499</v>
      </c>
      <c r="E4760" t="s">
        <v>8498</v>
      </c>
      <c r="F4760" s="46">
        <v>46097.325928101847</v>
      </c>
      <c r="G4760" s="46">
        <v>46097.325928101847</v>
      </c>
      <c r="H4760">
        <v>0</v>
      </c>
    </row>
    <row r="4761" spans="1:8" x14ac:dyDescent="0.15">
      <c r="A4761">
        <v>4760</v>
      </c>
      <c r="B4761" t="s">
        <v>339</v>
      </c>
      <c r="C4761" t="s">
        <v>353</v>
      </c>
      <c r="D4761" t="s">
        <v>8500</v>
      </c>
      <c r="E4761" t="s">
        <v>8498</v>
      </c>
      <c r="F4761" s="46">
        <v>46097.325928101847</v>
      </c>
      <c r="G4761" s="46">
        <v>46097.325928101847</v>
      </c>
      <c r="H4761">
        <v>0</v>
      </c>
    </row>
    <row r="4762" spans="1:8" x14ac:dyDescent="0.15">
      <c r="A4762">
        <v>4761</v>
      </c>
      <c r="B4762" t="s">
        <v>339</v>
      </c>
      <c r="C4762" t="s">
        <v>353</v>
      </c>
      <c r="D4762" t="s">
        <v>8501</v>
      </c>
      <c r="E4762" t="s">
        <v>8502</v>
      </c>
      <c r="F4762" s="46">
        <v>46097.325928101847</v>
      </c>
      <c r="G4762" s="46">
        <v>46097.325928101847</v>
      </c>
      <c r="H4762">
        <v>0</v>
      </c>
    </row>
    <row r="4763" spans="1:8" x14ac:dyDescent="0.15">
      <c r="A4763">
        <v>4762</v>
      </c>
      <c r="B4763" t="s">
        <v>339</v>
      </c>
      <c r="C4763" t="s">
        <v>353</v>
      </c>
      <c r="D4763" t="s">
        <v>8503</v>
      </c>
      <c r="E4763" t="s">
        <v>8502</v>
      </c>
      <c r="F4763" s="46">
        <v>46097.325928101847</v>
      </c>
      <c r="G4763" s="46">
        <v>46097.325928101847</v>
      </c>
      <c r="H4763">
        <v>0</v>
      </c>
    </row>
    <row r="4764" spans="1:8" x14ac:dyDescent="0.15">
      <c r="A4764">
        <v>4763</v>
      </c>
      <c r="B4764" t="s">
        <v>339</v>
      </c>
      <c r="C4764" t="s">
        <v>353</v>
      </c>
      <c r="D4764" t="s">
        <v>8504</v>
      </c>
      <c r="E4764" t="s">
        <v>8502</v>
      </c>
      <c r="F4764" s="46">
        <v>46097.325928101847</v>
      </c>
      <c r="G4764" s="46">
        <v>46097.325928101847</v>
      </c>
      <c r="H4764">
        <v>0</v>
      </c>
    </row>
    <row r="4765" spans="1:8" x14ac:dyDescent="0.15">
      <c r="A4765">
        <v>4764</v>
      </c>
      <c r="B4765" t="s">
        <v>339</v>
      </c>
      <c r="C4765" t="s">
        <v>353</v>
      </c>
      <c r="D4765" t="s">
        <v>8505</v>
      </c>
      <c r="E4765" t="s">
        <v>8506</v>
      </c>
      <c r="F4765" s="46">
        <v>46097.325928101847</v>
      </c>
      <c r="G4765" s="46">
        <v>46097.325928101847</v>
      </c>
      <c r="H4765">
        <v>0</v>
      </c>
    </row>
    <row r="4766" spans="1:8" x14ac:dyDescent="0.15">
      <c r="A4766">
        <v>4765</v>
      </c>
      <c r="B4766" t="s">
        <v>339</v>
      </c>
      <c r="C4766" t="s">
        <v>353</v>
      </c>
      <c r="D4766" t="s">
        <v>8507</v>
      </c>
      <c r="E4766" t="s">
        <v>8508</v>
      </c>
      <c r="F4766" s="46">
        <v>46097.325928101847</v>
      </c>
      <c r="G4766" s="46">
        <v>46097.325928101847</v>
      </c>
      <c r="H4766">
        <v>0</v>
      </c>
    </row>
    <row r="4767" spans="1:8" x14ac:dyDescent="0.15">
      <c r="A4767">
        <v>4766</v>
      </c>
      <c r="B4767" t="s">
        <v>339</v>
      </c>
      <c r="C4767" t="s">
        <v>353</v>
      </c>
      <c r="D4767" t="s">
        <v>8509</v>
      </c>
      <c r="E4767" t="s">
        <v>8510</v>
      </c>
      <c r="F4767" s="46">
        <v>46097.325928275473</v>
      </c>
      <c r="G4767" s="46">
        <v>46097.325928275473</v>
      </c>
      <c r="H4767">
        <v>0</v>
      </c>
    </row>
    <row r="4768" spans="1:8" x14ac:dyDescent="0.15">
      <c r="A4768">
        <v>4767</v>
      </c>
      <c r="B4768" t="s">
        <v>339</v>
      </c>
      <c r="C4768" t="s">
        <v>353</v>
      </c>
      <c r="D4768" t="s">
        <v>8511</v>
      </c>
      <c r="E4768" t="s">
        <v>8510</v>
      </c>
      <c r="F4768" s="46">
        <v>46097.325928275473</v>
      </c>
      <c r="G4768" s="46">
        <v>46097.325928275473</v>
      </c>
      <c r="H4768">
        <v>0</v>
      </c>
    </row>
    <row r="4769" spans="1:8" x14ac:dyDescent="0.15">
      <c r="A4769">
        <v>4768</v>
      </c>
      <c r="B4769" t="s">
        <v>339</v>
      </c>
      <c r="C4769" t="s">
        <v>353</v>
      </c>
      <c r="D4769" t="s">
        <v>8512</v>
      </c>
      <c r="E4769" t="s">
        <v>8513</v>
      </c>
      <c r="F4769" s="46">
        <v>46097.325928275473</v>
      </c>
      <c r="G4769" s="46">
        <v>46097.325928275473</v>
      </c>
      <c r="H4769">
        <v>0</v>
      </c>
    </row>
    <row r="4770" spans="1:8" x14ac:dyDescent="0.15">
      <c r="A4770">
        <v>4769</v>
      </c>
      <c r="B4770" t="s">
        <v>339</v>
      </c>
      <c r="C4770" t="s">
        <v>353</v>
      </c>
      <c r="D4770" t="s">
        <v>8514</v>
      </c>
      <c r="E4770" t="s">
        <v>8513</v>
      </c>
      <c r="F4770" s="46">
        <v>46097.325928275473</v>
      </c>
      <c r="G4770" s="46">
        <v>46097.325928275473</v>
      </c>
      <c r="H4770">
        <v>0</v>
      </c>
    </row>
    <row r="4771" spans="1:8" x14ac:dyDescent="0.15">
      <c r="A4771">
        <v>4770</v>
      </c>
      <c r="B4771" t="s">
        <v>339</v>
      </c>
      <c r="C4771" t="s">
        <v>353</v>
      </c>
      <c r="D4771" t="s">
        <v>8515</v>
      </c>
      <c r="E4771" t="s">
        <v>8513</v>
      </c>
      <c r="F4771" s="46">
        <v>46097.325928275473</v>
      </c>
      <c r="G4771" s="46">
        <v>46097.325928275473</v>
      </c>
      <c r="H4771">
        <v>0</v>
      </c>
    </row>
    <row r="4772" spans="1:8" x14ac:dyDescent="0.15">
      <c r="A4772">
        <v>4771</v>
      </c>
      <c r="B4772" t="s">
        <v>339</v>
      </c>
      <c r="C4772" t="s">
        <v>353</v>
      </c>
      <c r="D4772" t="s">
        <v>8516</v>
      </c>
      <c r="E4772" t="s">
        <v>8513</v>
      </c>
      <c r="F4772" s="46">
        <v>46097.325928275473</v>
      </c>
      <c r="G4772" s="46">
        <v>46097.325928275473</v>
      </c>
      <c r="H4772">
        <v>0</v>
      </c>
    </row>
    <row r="4773" spans="1:8" x14ac:dyDescent="0.15">
      <c r="A4773">
        <v>4772</v>
      </c>
      <c r="B4773" t="s">
        <v>339</v>
      </c>
      <c r="C4773" t="s">
        <v>353</v>
      </c>
      <c r="D4773" t="s">
        <v>8517</v>
      </c>
      <c r="E4773" t="s">
        <v>8513</v>
      </c>
      <c r="F4773" s="46">
        <v>46097.325928275473</v>
      </c>
      <c r="G4773" s="46">
        <v>46097.325928275473</v>
      </c>
      <c r="H4773">
        <v>0</v>
      </c>
    </row>
    <row r="4774" spans="1:8" x14ac:dyDescent="0.15">
      <c r="A4774">
        <v>4773</v>
      </c>
      <c r="B4774" t="s">
        <v>339</v>
      </c>
      <c r="C4774" t="s">
        <v>353</v>
      </c>
      <c r="D4774" t="s">
        <v>8518</v>
      </c>
      <c r="E4774" t="s">
        <v>8513</v>
      </c>
      <c r="F4774" s="46">
        <v>46097.325928275473</v>
      </c>
      <c r="G4774" s="46">
        <v>46097.325928275473</v>
      </c>
      <c r="H4774">
        <v>0</v>
      </c>
    </row>
    <row r="4775" spans="1:8" x14ac:dyDescent="0.15">
      <c r="A4775">
        <v>4774</v>
      </c>
      <c r="B4775" t="s">
        <v>339</v>
      </c>
      <c r="C4775" t="s">
        <v>353</v>
      </c>
      <c r="D4775" t="s">
        <v>8519</v>
      </c>
      <c r="E4775" t="s">
        <v>8513</v>
      </c>
      <c r="F4775" s="46">
        <v>46097.325928275473</v>
      </c>
      <c r="G4775" s="46">
        <v>46097.325928275473</v>
      </c>
      <c r="H4775">
        <v>0</v>
      </c>
    </row>
    <row r="4776" spans="1:8" x14ac:dyDescent="0.15">
      <c r="A4776">
        <v>4775</v>
      </c>
      <c r="B4776" t="s">
        <v>339</v>
      </c>
      <c r="C4776" t="s">
        <v>353</v>
      </c>
      <c r="D4776" t="s">
        <v>8520</v>
      </c>
      <c r="E4776" t="s">
        <v>8513</v>
      </c>
      <c r="F4776" s="46">
        <v>46097.325928275473</v>
      </c>
      <c r="G4776" s="46">
        <v>46097.325928275473</v>
      </c>
      <c r="H4776">
        <v>0</v>
      </c>
    </row>
    <row r="4777" spans="1:8" x14ac:dyDescent="0.15">
      <c r="A4777">
        <v>4776</v>
      </c>
      <c r="B4777" t="s">
        <v>339</v>
      </c>
      <c r="C4777" t="s">
        <v>353</v>
      </c>
      <c r="D4777" t="s">
        <v>8521</v>
      </c>
      <c r="E4777" t="s">
        <v>8513</v>
      </c>
      <c r="F4777" s="46">
        <v>46097.325928275473</v>
      </c>
      <c r="G4777" s="46">
        <v>46097.325928460647</v>
      </c>
      <c r="H4777">
        <v>16</v>
      </c>
    </row>
    <row r="4778" spans="1:8" x14ac:dyDescent="0.15">
      <c r="A4778">
        <v>4777</v>
      </c>
      <c r="B4778" t="s">
        <v>339</v>
      </c>
      <c r="C4778" t="s">
        <v>353</v>
      </c>
      <c r="D4778" t="s">
        <v>8522</v>
      </c>
      <c r="E4778" t="s">
        <v>8523</v>
      </c>
      <c r="F4778" s="46">
        <v>46097.325928460647</v>
      </c>
      <c r="G4778" s="46">
        <v>46097.325928460647</v>
      </c>
      <c r="H4778">
        <v>0</v>
      </c>
    </row>
    <row r="4779" spans="1:8" x14ac:dyDescent="0.15">
      <c r="A4779">
        <v>4778</v>
      </c>
      <c r="B4779" t="s">
        <v>339</v>
      </c>
      <c r="C4779" t="s">
        <v>353</v>
      </c>
      <c r="D4779" t="s">
        <v>8524</v>
      </c>
      <c r="E4779" t="s">
        <v>8523</v>
      </c>
      <c r="F4779" s="46">
        <v>46097.325928460647</v>
      </c>
      <c r="G4779" s="46">
        <v>46097.325928460647</v>
      </c>
      <c r="H4779">
        <v>0</v>
      </c>
    </row>
    <row r="4780" spans="1:8" x14ac:dyDescent="0.15">
      <c r="A4780">
        <v>4779</v>
      </c>
      <c r="B4780" t="s">
        <v>339</v>
      </c>
      <c r="C4780" t="s">
        <v>353</v>
      </c>
      <c r="D4780" t="s">
        <v>8525</v>
      </c>
      <c r="E4780" t="s">
        <v>8523</v>
      </c>
      <c r="F4780" s="46">
        <v>46097.325928460647</v>
      </c>
      <c r="G4780" s="46">
        <v>46097.325928460647</v>
      </c>
      <c r="H4780">
        <v>0</v>
      </c>
    </row>
    <row r="4781" spans="1:8" x14ac:dyDescent="0.15">
      <c r="A4781">
        <v>4780</v>
      </c>
      <c r="B4781" t="s">
        <v>339</v>
      </c>
      <c r="C4781" t="s">
        <v>353</v>
      </c>
      <c r="D4781" t="s">
        <v>8526</v>
      </c>
      <c r="E4781" t="s">
        <v>8523</v>
      </c>
      <c r="F4781" s="46">
        <v>46097.325928460647</v>
      </c>
      <c r="G4781" s="46">
        <v>46097.325928460647</v>
      </c>
      <c r="H4781">
        <v>0</v>
      </c>
    </row>
    <row r="4782" spans="1:8" x14ac:dyDescent="0.15">
      <c r="A4782">
        <v>4781</v>
      </c>
      <c r="B4782" t="s">
        <v>339</v>
      </c>
      <c r="C4782" t="s">
        <v>353</v>
      </c>
      <c r="D4782" t="s">
        <v>8527</v>
      </c>
      <c r="E4782" t="s">
        <v>8523</v>
      </c>
      <c r="F4782" s="46">
        <v>46097.325928460647</v>
      </c>
      <c r="G4782" s="46">
        <v>46097.325928460647</v>
      </c>
      <c r="H4782">
        <v>0</v>
      </c>
    </row>
    <row r="4783" spans="1:8" x14ac:dyDescent="0.15">
      <c r="A4783">
        <v>4782</v>
      </c>
      <c r="B4783" t="s">
        <v>339</v>
      </c>
      <c r="C4783" t="s">
        <v>353</v>
      </c>
      <c r="D4783" t="s">
        <v>8528</v>
      </c>
      <c r="E4783" t="s">
        <v>8529</v>
      </c>
      <c r="F4783" s="46">
        <v>46097.325928460647</v>
      </c>
      <c r="G4783" s="46">
        <v>46097.325928460647</v>
      </c>
      <c r="H4783">
        <v>0</v>
      </c>
    </row>
    <row r="4784" spans="1:8" x14ac:dyDescent="0.15">
      <c r="A4784">
        <v>4783</v>
      </c>
      <c r="B4784" t="s">
        <v>339</v>
      </c>
      <c r="C4784" t="s">
        <v>353</v>
      </c>
      <c r="D4784" t="s">
        <v>8530</v>
      </c>
      <c r="E4784" t="s">
        <v>8529</v>
      </c>
      <c r="F4784" s="46">
        <v>46097.325928460647</v>
      </c>
      <c r="G4784" s="46">
        <v>46097.325928460647</v>
      </c>
      <c r="H4784">
        <v>0</v>
      </c>
    </row>
    <row r="4785" spans="1:8" x14ac:dyDescent="0.15">
      <c r="A4785">
        <v>4784</v>
      </c>
      <c r="B4785" t="s">
        <v>339</v>
      </c>
      <c r="C4785" t="s">
        <v>353</v>
      </c>
      <c r="D4785" t="s">
        <v>8531</v>
      </c>
      <c r="E4785" t="s">
        <v>8529</v>
      </c>
      <c r="F4785" s="46">
        <v>46097.325928460647</v>
      </c>
      <c r="G4785" s="46">
        <v>46097.325928460647</v>
      </c>
      <c r="H4785">
        <v>0</v>
      </c>
    </row>
    <row r="4786" spans="1:8" x14ac:dyDescent="0.15">
      <c r="A4786">
        <v>4785</v>
      </c>
      <c r="B4786" t="s">
        <v>339</v>
      </c>
      <c r="C4786" t="s">
        <v>353</v>
      </c>
      <c r="D4786" t="s">
        <v>8532</v>
      </c>
      <c r="E4786" t="s">
        <v>8529</v>
      </c>
      <c r="F4786" s="46">
        <v>46097.325928460647</v>
      </c>
      <c r="G4786" s="46">
        <v>46097.325928460647</v>
      </c>
      <c r="H4786">
        <v>0</v>
      </c>
    </row>
    <row r="4787" spans="1:8" x14ac:dyDescent="0.15">
      <c r="A4787">
        <v>4786</v>
      </c>
      <c r="B4787" t="s">
        <v>339</v>
      </c>
      <c r="C4787" t="s">
        <v>353</v>
      </c>
      <c r="D4787" t="s">
        <v>8533</v>
      </c>
      <c r="E4787" t="s">
        <v>8534</v>
      </c>
      <c r="F4787" s="46">
        <v>46097.325928460647</v>
      </c>
      <c r="G4787" s="46">
        <v>46097.325928460647</v>
      </c>
      <c r="H4787">
        <v>0</v>
      </c>
    </row>
    <row r="4788" spans="1:8" x14ac:dyDescent="0.15">
      <c r="A4788">
        <v>4787</v>
      </c>
      <c r="B4788" t="s">
        <v>339</v>
      </c>
      <c r="C4788" t="s">
        <v>353</v>
      </c>
      <c r="D4788" t="s">
        <v>8535</v>
      </c>
      <c r="E4788" t="s">
        <v>798</v>
      </c>
      <c r="F4788" s="46">
        <v>46097.325928645827</v>
      </c>
      <c r="G4788" s="46">
        <v>46097.325928645827</v>
      </c>
      <c r="H4788">
        <v>0</v>
      </c>
    </row>
    <row r="4789" spans="1:8" x14ac:dyDescent="0.15">
      <c r="A4789">
        <v>4788</v>
      </c>
      <c r="B4789" t="s">
        <v>339</v>
      </c>
      <c r="C4789" t="s">
        <v>353</v>
      </c>
      <c r="D4789" t="s">
        <v>8536</v>
      </c>
      <c r="E4789" t="s">
        <v>8537</v>
      </c>
      <c r="F4789" s="46">
        <v>46097.325928645827</v>
      </c>
      <c r="G4789" s="46">
        <v>46097.325928645827</v>
      </c>
      <c r="H4789">
        <v>0</v>
      </c>
    </row>
    <row r="4790" spans="1:8" x14ac:dyDescent="0.15">
      <c r="A4790">
        <v>4789</v>
      </c>
      <c r="B4790" t="s">
        <v>339</v>
      </c>
      <c r="C4790" t="s">
        <v>353</v>
      </c>
      <c r="D4790" t="s">
        <v>8538</v>
      </c>
      <c r="E4790" t="s">
        <v>8539</v>
      </c>
      <c r="F4790" s="46">
        <v>46097.325928645827</v>
      </c>
      <c r="G4790" s="46">
        <v>46097.325928645827</v>
      </c>
      <c r="H4790">
        <v>0</v>
      </c>
    </row>
    <row r="4791" spans="1:8" x14ac:dyDescent="0.15">
      <c r="A4791">
        <v>4790</v>
      </c>
      <c r="B4791" t="s">
        <v>339</v>
      </c>
      <c r="C4791" t="s">
        <v>353</v>
      </c>
      <c r="D4791" t="s">
        <v>8540</v>
      </c>
      <c r="E4791" t="s">
        <v>8541</v>
      </c>
      <c r="F4791" s="46">
        <v>46097.325928645827</v>
      </c>
      <c r="G4791" s="46">
        <v>46097.325928645827</v>
      </c>
      <c r="H4791">
        <v>0</v>
      </c>
    </row>
    <row r="4792" spans="1:8" x14ac:dyDescent="0.15">
      <c r="A4792">
        <v>4791</v>
      </c>
      <c r="B4792" t="s">
        <v>339</v>
      </c>
      <c r="C4792" t="s">
        <v>353</v>
      </c>
      <c r="D4792" t="s">
        <v>8542</v>
      </c>
      <c r="E4792" t="s">
        <v>8543</v>
      </c>
      <c r="F4792" s="46">
        <v>46097.325928645827</v>
      </c>
      <c r="G4792" s="46">
        <v>46097.325928645827</v>
      </c>
      <c r="H4792">
        <v>0</v>
      </c>
    </row>
    <row r="4793" spans="1:8" x14ac:dyDescent="0.15">
      <c r="A4793">
        <v>4792</v>
      </c>
      <c r="B4793" t="s">
        <v>339</v>
      </c>
      <c r="C4793" t="s">
        <v>353</v>
      </c>
      <c r="D4793" t="s">
        <v>8544</v>
      </c>
      <c r="E4793" t="s">
        <v>8545</v>
      </c>
      <c r="F4793" s="46">
        <v>46097.325928645827</v>
      </c>
      <c r="G4793" s="46">
        <v>46097.325928645827</v>
      </c>
      <c r="H4793">
        <v>0</v>
      </c>
    </row>
    <row r="4794" spans="1:8" x14ac:dyDescent="0.15">
      <c r="A4794">
        <v>4793</v>
      </c>
      <c r="B4794" t="s">
        <v>339</v>
      </c>
      <c r="C4794" t="s">
        <v>353</v>
      </c>
      <c r="D4794" t="s">
        <v>8546</v>
      </c>
      <c r="E4794" t="s">
        <v>8545</v>
      </c>
      <c r="F4794" s="46">
        <v>46097.325928645827</v>
      </c>
      <c r="G4794" s="46">
        <v>46097.325928645827</v>
      </c>
      <c r="H4794">
        <v>0</v>
      </c>
    </row>
    <row r="4795" spans="1:8" x14ac:dyDescent="0.15">
      <c r="A4795">
        <v>4794</v>
      </c>
      <c r="B4795" t="s">
        <v>339</v>
      </c>
      <c r="C4795" t="s">
        <v>353</v>
      </c>
      <c r="D4795" t="s">
        <v>8547</v>
      </c>
      <c r="E4795" t="s">
        <v>8545</v>
      </c>
      <c r="F4795" s="46">
        <v>46097.325928645827</v>
      </c>
      <c r="G4795" s="46">
        <v>46097.325928645827</v>
      </c>
      <c r="H4795">
        <v>0</v>
      </c>
    </row>
    <row r="4796" spans="1:8" x14ac:dyDescent="0.15">
      <c r="A4796">
        <v>4795</v>
      </c>
      <c r="B4796" t="s">
        <v>339</v>
      </c>
      <c r="C4796" t="s">
        <v>353</v>
      </c>
      <c r="D4796" t="s">
        <v>8548</v>
      </c>
      <c r="E4796" t="s">
        <v>8545</v>
      </c>
      <c r="F4796" s="46">
        <v>46097.325928645827</v>
      </c>
      <c r="G4796" s="46">
        <v>46097.325928645827</v>
      </c>
      <c r="H4796">
        <v>0</v>
      </c>
    </row>
    <row r="4797" spans="1:8" x14ac:dyDescent="0.15">
      <c r="A4797">
        <v>4796</v>
      </c>
      <c r="B4797" t="s">
        <v>339</v>
      </c>
      <c r="C4797" t="s">
        <v>353</v>
      </c>
      <c r="D4797" t="s">
        <v>8549</v>
      </c>
      <c r="E4797" t="s">
        <v>8545</v>
      </c>
      <c r="F4797" s="46">
        <v>46097.325928645827</v>
      </c>
      <c r="G4797" s="46">
        <v>46097.325928645827</v>
      </c>
      <c r="H4797">
        <v>0</v>
      </c>
    </row>
    <row r="4798" spans="1:8" x14ac:dyDescent="0.15">
      <c r="A4798">
        <v>4797</v>
      </c>
      <c r="B4798" t="s">
        <v>339</v>
      </c>
      <c r="C4798" t="s">
        <v>353</v>
      </c>
      <c r="D4798" t="s">
        <v>8550</v>
      </c>
      <c r="E4798" t="s">
        <v>8545</v>
      </c>
      <c r="F4798" s="46">
        <v>46097.325928645827</v>
      </c>
      <c r="G4798" s="46">
        <v>46097.325928819453</v>
      </c>
      <c r="H4798">
        <v>16</v>
      </c>
    </row>
    <row r="4799" spans="1:8" x14ac:dyDescent="0.15">
      <c r="A4799">
        <v>4798</v>
      </c>
      <c r="B4799" t="s">
        <v>339</v>
      </c>
      <c r="C4799" t="s">
        <v>353</v>
      </c>
      <c r="D4799" t="s">
        <v>8551</v>
      </c>
      <c r="E4799" t="s">
        <v>8545</v>
      </c>
      <c r="F4799" s="46">
        <v>46097.325928819453</v>
      </c>
      <c r="G4799" s="46">
        <v>46097.325928819453</v>
      </c>
      <c r="H4799">
        <v>0</v>
      </c>
    </row>
    <row r="4800" spans="1:8" x14ac:dyDescent="0.15">
      <c r="A4800">
        <v>4799</v>
      </c>
      <c r="B4800" t="s">
        <v>339</v>
      </c>
      <c r="C4800" t="s">
        <v>353</v>
      </c>
      <c r="D4800" t="s">
        <v>8552</v>
      </c>
      <c r="E4800" t="s">
        <v>8545</v>
      </c>
      <c r="F4800" s="46">
        <v>46097.325928819453</v>
      </c>
      <c r="G4800" s="46">
        <v>46097.325928819453</v>
      </c>
      <c r="H4800">
        <v>0</v>
      </c>
    </row>
    <row r="4801" spans="1:8" x14ac:dyDescent="0.15">
      <c r="A4801">
        <v>4800</v>
      </c>
      <c r="B4801" t="s">
        <v>339</v>
      </c>
      <c r="C4801" t="s">
        <v>353</v>
      </c>
      <c r="D4801" t="s">
        <v>8553</v>
      </c>
      <c r="E4801" t="s">
        <v>8545</v>
      </c>
      <c r="F4801" s="46">
        <v>46097.325928819453</v>
      </c>
      <c r="G4801" s="46">
        <v>46097.325928819453</v>
      </c>
      <c r="H4801">
        <v>0</v>
      </c>
    </row>
    <row r="4802" spans="1:8" x14ac:dyDescent="0.15">
      <c r="A4802">
        <v>4801</v>
      </c>
      <c r="B4802" t="s">
        <v>339</v>
      </c>
      <c r="C4802" t="s">
        <v>353</v>
      </c>
      <c r="D4802" t="s">
        <v>8554</v>
      </c>
      <c r="E4802" t="s">
        <v>8555</v>
      </c>
      <c r="F4802" s="46">
        <v>46097.325928819453</v>
      </c>
      <c r="G4802" s="46">
        <v>46097.325928819453</v>
      </c>
      <c r="H4802">
        <v>0</v>
      </c>
    </row>
    <row r="4803" spans="1:8" x14ac:dyDescent="0.15">
      <c r="A4803">
        <v>4802</v>
      </c>
      <c r="B4803" t="s">
        <v>339</v>
      </c>
      <c r="C4803" t="s">
        <v>353</v>
      </c>
      <c r="D4803" t="s">
        <v>8556</v>
      </c>
      <c r="E4803" t="s">
        <v>8555</v>
      </c>
      <c r="F4803" s="46">
        <v>46097.325928819453</v>
      </c>
      <c r="G4803" s="46">
        <v>46097.325928819453</v>
      </c>
      <c r="H4803">
        <v>0</v>
      </c>
    </row>
    <row r="4804" spans="1:8" x14ac:dyDescent="0.15">
      <c r="A4804">
        <v>4803</v>
      </c>
      <c r="B4804" t="s">
        <v>339</v>
      </c>
      <c r="C4804" t="s">
        <v>353</v>
      </c>
      <c r="D4804" t="s">
        <v>8557</v>
      </c>
      <c r="E4804" t="s">
        <v>8558</v>
      </c>
      <c r="F4804" s="46">
        <v>46097.325928819453</v>
      </c>
      <c r="G4804" s="46">
        <v>46097.325928819453</v>
      </c>
      <c r="H4804">
        <v>0</v>
      </c>
    </row>
    <row r="4805" spans="1:8" x14ac:dyDescent="0.15">
      <c r="A4805">
        <v>4804</v>
      </c>
      <c r="B4805" t="s">
        <v>339</v>
      </c>
      <c r="C4805" t="s">
        <v>353</v>
      </c>
      <c r="D4805" t="s">
        <v>8559</v>
      </c>
      <c r="E4805" t="s">
        <v>8558</v>
      </c>
      <c r="F4805" s="46">
        <v>46097.325928819453</v>
      </c>
      <c r="G4805" s="46">
        <v>46097.325928819453</v>
      </c>
      <c r="H4805">
        <v>0</v>
      </c>
    </row>
    <row r="4806" spans="1:8" x14ac:dyDescent="0.15">
      <c r="A4806">
        <v>4805</v>
      </c>
      <c r="B4806" t="s">
        <v>339</v>
      </c>
      <c r="C4806" t="s">
        <v>353</v>
      </c>
      <c r="D4806" t="s">
        <v>8560</v>
      </c>
      <c r="E4806" t="s">
        <v>8561</v>
      </c>
      <c r="F4806" s="46">
        <v>46097.325928819453</v>
      </c>
      <c r="G4806" s="46">
        <v>46097.325928819453</v>
      </c>
      <c r="H4806">
        <v>0</v>
      </c>
    </row>
    <row r="4807" spans="1:8" x14ac:dyDescent="0.15">
      <c r="A4807">
        <v>4806</v>
      </c>
      <c r="B4807" t="s">
        <v>339</v>
      </c>
      <c r="C4807" t="s">
        <v>353</v>
      </c>
      <c r="D4807" t="s">
        <v>8562</v>
      </c>
      <c r="E4807" t="s">
        <v>8561</v>
      </c>
      <c r="F4807" s="46">
        <v>46097.325928819453</v>
      </c>
      <c r="G4807" s="46">
        <v>46097.325928819453</v>
      </c>
      <c r="H4807">
        <v>0</v>
      </c>
    </row>
    <row r="4808" spans="1:8" x14ac:dyDescent="0.15">
      <c r="A4808">
        <v>4807</v>
      </c>
      <c r="B4808" t="s">
        <v>339</v>
      </c>
      <c r="C4808" t="s">
        <v>353</v>
      </c>
      <c r="D4808" t="s">
        <v>8563</v>
      </c>
      <c r="E4808" t="s">
        <v>8564</v>
      </c>
      <c r="F4808" s="46">
        <v>46097.325928819453</v>
      </c>
      <c r="G4808" s="46">
        <v>46097.325929004634</v>
      </c>
      <c r="H4808">
        <v>15</v>
      </c>
    </row>
    <row r="4809" spans="1:8" x14ac:dyDescent="0.15">
      <c r="A4809">
        <v>4808</v>
      </c>
      <c r="B4809" t="s">
        <v>339</v>
      </c>
      <c r="C4809" t="s">
        <v>353</v>
      </c>
      <c r="D4809" t="s">
        <v>8565</v>
      </c>
      <c r="E4809" t="s">
        <v>8564</v>
      </c>
      <c r="F4809" s="46">
        <v>46097.325929004634</v>
      </c>
      <c r="G4809" s="46">
        <v>46097.325929004634</v>
      </c>
      <c r="H4809">
        <v>0</v>
      </c>
    </row>
    <row r="4810" spans="1:8" x14ac:dyDescent="0.15">
      <c r="A4810">
        <v>4809</v>
      </c>
      <c r="B4810" t="s">
        <v>339</v>
      </c>
      <c r="C4810" t="s">
        <v>353</v>
      </c>
      <c r="D4810" t="s">
        <v>8566</v>
      </c>
      <c r="E4810" t="s">
        <v>8564</v>
      </c>
      <c r="F4810" s="46">
        <v>46097.325929004634</v>
      </c>
      <c r="G4810" s="46">
        <v>46097.325929004634</v>
      </c>
      <c r="H4810">
        <v>0</v>
      </c>
    </row>
    <row r="4811" spans="1:8" x14ac:dyDescent="0.15">
      <c r="A4811">
        <v>4810</v>
      </c>
      <c r="B4811" t="s">
        <v>339</v>
      </c>
      <c r="C4811" t="s">
        <v>353</v>
      </c>
      <c r="D4811" t="s">
        <v>8567</v>
      </c>
      <c r="E4811" t="s">
        <v>8568</v>
      </c>
      <c r="F4811" s="46">
        <v>46097.325929004634</v>
      </c>
      <c r="G4811" s="46">
        <v>46097.325929004634</v>
      </c>
      <c r="H4811">
        <v>0</v>
      </c>
    </row>
    <row r="4812" spans="1:8" x14ac:dyDescent="0.15">
      <c r="A4812">
        <v>4811</v>
      </c>
      <c r="B4812" t="s">
        <v>339</v>
      </c>
      <c r="C4812" t="s">
        <v>353</v>
      </c>
      <c r="D4812" t="s">
        <v>8569</v>
      </c>
      <c r="E4812" t="s">
        <v>8568</v>
      </c>
      <c r="F4812" s="46">
        <v>46097.325929004634</v>
      </c>
      <c r="G4812" s="46">
        <v>46097.325929004634</v>
      </c>
      <c r="H4812">
        <v>0</v>
      </c>
    </row>
    <row r="4813" spans="1:8" x14ac:dyDescent="0.15">
      <c r="A4813">
        <v>4812</v>
      </c>
      <c r="B4813" t="s">
        <v>339</v>
      </c>
      <c r="C4813" t="s">
        <v>353</v>
      </c>
      <c r="D4813" t="s">
        <v>8570</v>
      </c>
      <c r="E4813" t="s">
        <v>8568</v>
      </c>
      <c r="F4813" s="46">
        <v>46097.325929004634</v>
      </c>
      <c r="G4813" s="46">
        <v>46097.325929004634</v>
      </c>
      <c r="H4813">
        <v>0</v>
      </c>
    </row>
    <row r="4814" spans="1:8" x14ac:dyDescent="0.15">
      <c r="A4814">
        <v>4813</v>
      </c>
      <c r="B4814" t="s">
        <v>339</v>
      </c>
      <c r="C4814" t="s">
        <v>353</v>
      </c>
      <c r="D4814" t="s">
        <v>8571</v>
      </c>
      <c r="E4814" t="s">
        <v>8568</v>
      </c>
      <c r="F4814" s="46">
        <v>46097.325929004634</v>
      </c>
      <c r="G4814" s="46">
        <v>46097.325929004634</v>
      </c>
      <c r="H4814">
        <v>0</v>
      </c>
    </row>
    <row r="4815" spans="1:8" x14ac:dyDescent="0.15">
      <c r="A4815">
        <v>4814</v>
      </c>
      <c r="B4815" t="s">
        <v>339</v>
      </c>
      <c r="C4815" t="s">
        <v>353</v>
      </c>
      <c r="D4815" t="s">
        <v>8572</v>
      </c>
      <c r="E4815" t="s">
        <v>8568</v>
      </c>
      <c r="F4815" s="46">
        <v>46097.325929004634</v>
      </c>
      <c r="G4815" s="46">
        <v>46097.325929004634</v>
      </c>
      <c r="H4815">
        <v>0</v>
      </c>
    </row>
    <row r="4816" spans="1:8" x14ac:dyDescent="0.15">
      <c r="A4816">
        <v>4815</v>
      </c>
      <c r="B4816" t="s">
        <v>339</v>
      </c>
      <c r="C4816" t="s">
        <v>353</v>
      </c>
      <c r="D4816" t="s">
        <v>8573</v>
      </c>
      <c r="E4816" t="s">
        <v>8574</v>
      </c>
      <c r="F4816" s="46">
        <v>46097.325929004634</v>
      </c>
      <c r="G4816" s="46">
        <v>46097.325929004634</v>
      </c>
      <c r="H4816">
        <v>0</v>
      </c>
    </row>
    <row r="4817" spans="1:8" x14ac:dyDescent="0.15">
      <c r="A4817">
        <v>4816</v>
      </c>
      <c r="B4817" t="s">
        <v>339</v>
      </c>
      <c r="C4817" t="s">
        <v>353</v>
      </c>
      <c r="D4817" t="s">
        <v>8575</v>
      </c>
      <c r="E4817" t="s">
        <v>8574</v>
      </c>
      <c r="F4817" s="46">
        <v>46097.325929004634</v>
      </c>
      <c r="G4817" s="46">
        <v>46097.325929004634</v>
      </c>
      <c r="H4817">
        <v>0</v>
      </c>
    </row>
    <row r="4818" spans="1:8" x14ac:dyDescent="0.15">
      <c r="A4818">
        <v>4817</v>
      </c>
      <c r="B4818" t="s">
        <v>339</v>
      </c>
      <c r="C4818" t="s">
        <v>353</v>
      </c>
      <c r="D4818" t="s">
        <v>8576</v>
      </c>
      <c r="E4818" t="s">
        <v>8574</v>
      </c>
      <c r="F4818" s="46">
        <v>46097.325929004634</v>
      </c>
      <c r="G4818" s="46">
        <v>46097.325929004634</v>
      </c>
      <c r="H4818">
        <v>0</v>
      </c>
    </row>
    <row r="4819" spans="1:8" x14ac:dyDescent="0.15">
      <c r="A4819">
        <v>4818</v>
      </c>
      <c r="B4819" t="s">
        <v>339</v>
      </c>
      <c r="C4819" t="s">
        <v>353</v>
      </c>
      <c r="D4819" t="s">
        <v>8577</v>
      </c>
      <c r="E4819" t="s">
        <v>8574</v>
      </c>
      <c r="F4819" s="46">
        <v>46097.325929189807</v>
      </c>
      <c r="G4819" s="46">
        <v>46097.325929189807</v>
      </c>
      <c r="H4819">
        <v>0</v>
      </c>
    </row>
    <row r="4820" spans="1:8" x14ac:dyDescent="0.15">
      <c r="A4820">
        <v>4819</v>
      </c>
      <c r="B4820" t="s">
        <v>339</v>
      </c>
      <c r="C4820" t="s">
        <v>353</v>
      </c>
      <c r="D4820" t="s">
        <v>8578</v>
      </c>
      <c r="E4820" t="s">
        <v>8574</v>
      </c>
      <c r="F4820" s="46">
        <v>46097.325929189807</v>
      </c>
      <c r="G4820" s="46">
        <v>46097.325929189807</v>
      </c>
      <c r="H4820">
        <v>0</v>
      </c>
    </row>
    <row r="4821" spans="1:8" x14ac:dyDescent="0.15">
      <c r="A4821">
        <v>4820</v>
      </c>
      <c r="B4821" t="s">
        <v>339</v>
      </c>
      <c r="C4821" t="s">
        <v>353</v>
      </c>
      <c r="D4821" t="s">
        <v>8579</v>
      </c>
      <c r="E4821" t="s">
        <v>8574</v>
      </c>
      <c r="F4821" s="46">
        <v>46097.325929189807</v>
      </c>
      <c r="G4821" s="46">
        <v>46097.325929189807</v>
      </c>
      <c r="H4821">
        <v>0</v>
      </c>
    </row>
    <row r="4822" spans="1:8" x14ac:dyDescent="0.15">
      <c r="A4822">
        <v>4821</v>
      </c>
      <c r="B4822" t="s">
        <v>339</v>
      </c>
      <c r="C4822" t="s">
        <v>353</v>
      </c>
      <c r="D4822" t="s">
        <v>8580</v>
      </c>
      <c r="E4822" t="s">
        <v>8574</v>
      </c>
      <c r="F4822" s="46">
        <v>46097.325929189807</v>
      </c>
      <c r="G4822" s="46">
        <v>46097.325929189807</v>
      </c>
      <c r="H4822">
        <v>0</v>
      </c>
    </row>
    <row r="4823" spans="1:8" x14ac:dyDescent="0.15">
      <c r="A4823">
        <v>4822</v>
      </c>
      <c r="B4823" t="s">
        <v>339</v>
      </c>
      <c r="C4823" t="s">
        <v>353</v>
      </c>
      <c r="D4823" t="s">
        <v>8581</v>
      </c>
      <c r="E4823" t="s">
        <v>8574</v>
      </c>
      <c r="F4823" s="46">
        <v>46097.325929189807</v>
      </c>
      <c r="G4823" s="46">
        <v>46097.325929189807</v>
      </c>
      <c r="H4823">
        <v>0</v>
      </c>
    </row>
    <row r="4824" spans="1:8" x14ac:dyDescent="0.15">
      <c r="A4824">
        <v>4823</v>
      </c>
      <c r="B4824" t="s">
        <v>339</v>
      </c>
      <c r="C4824" t="s">
        <v>353</v>
      </c>
      <c r="D4824" t="s">
        <v>8582</v>
      </c>
      <c r="E4824" t="s">
        <v>8574</v>
      </c>
      <c r="F4824" s="46">
        <v>46097.325929189807</v>
      </c>
      <c r="G4824" s="46">
        <v>46097.325929189807</v>
      </c>
      <c r="H4824">
        <v>0</v>
      </c>
    </row>
    <row r="4825" spans="1:8" x14ac:dyDescent="0.15">
      <c r="A4825">
        <v>4824</v>
      </c>
      <c r="B4825" t="s">
        <v>339</v>
      </c>
      <c r="C4825" t="s">
        <v>353</v>
      </c>
      <c r="D4825" t="s">
        <v>8583</v>
      </c>
      <c r="E4825" t="s">
        <v>8574</v>
      </c>
      <c r="F4825" s="46">
        <v>46097.325929189807</v>
      </c>
      <c r="G4825" s="46">
        <v>46097.325929189807</v>
      </c>
      <c r="H4825">
        <v>0</v>
      </c>
    </row>
    <row r="4826" spans="1:8" x14ac:dyDescent="0.15">
      <c r="A4826">
        <v>4825</v>
      </c>
      <c r="B4826" t="s">
        <v>339</v>
      </c>
      <c r="C4826" t="s">
        <v>353</v>
      </c>
      <c r="D4826" t="s">
        <v>8584</v>
      </c>
      <c r="E4826" t="s">
        <v>8585</v>
      </c>
      <c r="F4826" s="46">
        <v>46097.325929189807</v>
      </c>
      <c r="G4826" s="46">
        <v>46097.325929189807</v>
      </c>
      <c r="H4826">
        <v>0</v>
      </c>
    </row>
    <row r="4827" spans="1:8" x14ac:dyDescent="0.15">
      <c r="A4827">
        <v>4826</v>
      </c>
      <c r="B4827" t="s">
        <v>339</v>
      </c>
      <c r="C4827" t="s">
        <v>353</v>
      </c>
      <c r="D4827" t="s">
        <v>8586</v>
      </c>
      <c r="E4827" t="s">
        <v>8587</v>
      </c>
      <c r="F4827" s="46">
        <v>46097.325929189807</v>
      </c>
      <c r="G4827" s="46">
        <v>46097.325929189807</v>
      </c>
      <c r="H4827">
        <v>0</v>
      </c>
    </row>
    <row r="4828" spans="1:8" x14ac:dyDescent="0.15">
      <c r="A4828">
        <v>4827</v>
      </c>
      <c r="B4828" t="s">
        <v>339</v>
      </c>
      <c r="C4828" t="s">
        <v>353</v>
      </c>
      <c r="D4828" t="s">
        <v>8588</v>
      </c>
      <c r="E4828" t="s">
        <v>8587</v>
      </c>
      <c r="F4828" s="46">
        <v>46097.325929189807</v>
      </c>
      <c r="G4828" s="46">
        <v>46097.325929189807</v>
      </c>
      <c r="H4828">
        <v>0</v>
      </c>
    </row>
    <row r="4829" spans="1:8" x14ac:dyDescent="0.15">
      <c r="A4829">
        <v>4828</v>
      </c>
      <c r="B4829" t="s">
        <v>339</v>
      </c>
      <c r="C4829" t="s">
        <v>353</v>
      </c>
      <c r="D4829" t="s">
        <v>8589</v>
      </c>
      <c r="E4829" t="s">
        <v>8587</v>
      </c>
      <c r="F4829" s="46">
        <v>46097.325929189807</v>
      </c>
      <c r="G4829" s="46">
        <v>46097.325929363433</v>
      </c>
      <c r="H4829">
        <v>16</v>
      </c>
    </row>
    <row r="4830" spans="1:8" x14ac:dyDescent="0.15">
      <c r="A4830">
        <v>4829</v>
      </c>
      <c r="B4830" t="s">
        <v>339</v>
      </c>
      <c r="C4830" t="s">
        <v>353</v>
      </c>
      <c r="D4830" t="s">
        <v>8590</v>
      </c>
      <c r="E4830" t="s">
        <v>8587</v>
      </c>
      <c r="F4830" s="46">
        <v>46097.325929363433</v>
      </c>
      <c r="G4830" s="46">
        <v>46097.325929363433</v>
      </c>
      <c r="H4830">
        <v>0</v>
      </c>
    </row>
    <row r="4831" spans="1:8" x14ac:dyDescent="0.15">
      <c r="A4831">
        <v>4830</v>
      </c>
      <c r="B4831" t="s">
        <v>339</v>
      </c>
      <c r="C4831" t="s">
        <v>353</v>
      </c>
      <c r="D4831" t="s">
        <v>8591</v>
      </c>
      <c r="E4831" t="s">
        <v>8592</v>
      </c>
      <c r="F4831" s="46">
        <v>46097.325929363433</v>
      </c>
      <c r="G4831" s="46">
        <v>46097.325929363433</v>
      </c>
      <c r="H4831">
        <v>0</v>
      </c>
    </row>
    <row r="4832" spans="1:8" x14ac:dyDescent="0.15">
      <c r="A4832">
        <v>4831</v>
      </c>
      <c r="B4832" t="s">
        <v>339</v>
      </c>
      <c r="C4832" t="s">
        <v>353</v>
      </c>
      <c r="D4832" t="s">
        <v>8593</v>
      </c>
      <c r="E4832" t="s">
        <v>8594</v>
      </c>
      <c r="F4832" s="46">
        <v>46097.325929363433</v>
      </c>
      <c r="G4832" s="46">
        <v>46097.325929363433</v>
      </c>
      <c r="H4832">
        <v>0</v>
      </c>
    </row>
    <row r="4833" spans="1:8" x14ac:dyDescent="0.15">
      <c r="A4833">
        <v>4832</v>
      </c>
      <c r="B4833" t="s">
        <v>339</v>
      </c>
      <c r="C4833" t="s">
        <v>353</v>
      </c>
      <c r="D4833" t="s">
        <v>8595</v>
      </c>
      <c r="E4833" t="s">
        <v>8594</v>
      </c>
      <c r="F4833" s="46">
        <v>46097.325929363433</v>
      </c>
      <c r="G4833" s="46">
        <v>46097.325929363433</v>
      </c>
      <c r="H4833">
        <v>0</v>
      </c>
    </row>
    <row r="4834" spans="1:8" x14ac:dyDescent="0.15">
      <c r="A4834">
        <v>4833</v>
      </c>
      <c r="B4834" t="s">
        <v>339</v>
      </c>
      <c r="C4834" t="s">
        <v>353</v>
      </c>
      <c r="D4834" t="s">
        <v>8596</v>
      </c>
      <c r="E4834" t="s">
        <v>8594</v>
      </c>
      <c r="F4834" s="46">
        <v>46097.325929363433</v>
      </c>
      <c r="G4834" s="46">
        <v>46097.325929363433</v>
      </c>
      <c r="H4834">
        <v>0</v>
      </c>
    </row>
    <row r="4835" spans="1:8" x14ac:dyDescent="0.15">
      <c r="A4835">
        <v>4834</v>
      </c>
      <c r="B4835" t="s">
        <v>339</v>
      </c>
      <c r="C4835" t="s">
        <v>353</v>
      </c>
      <c r="D4835" t="s">
        <v>8597</v>
      </c>
      <c r="E4835" t="s">
        <v>8594</v>
      </c>
      <c r="F4835" s="46">
        <v>46097.325929363433</v>
      </c>
      <c r="G4835" s="46">
        <v>46097.325929363433</v>
      </c>
      <c r="H4835">
        <v>0</v>
      </c>
    </row>
    <row r="4836" spans="1:8" x14ac:dyDescent="0.15">
      <c r="A4836">
        <v>4835</v>
      </c>
      <c r="B4836" t="s">
        <v>339</v>
      </c>
      <c r="C4836" t="s">
        <v>353</v>
      </c>
      <c r="D4836" t="s">
        <v>8598</v>
      </c>
      <c r="E4836" t="s">
        <v>8594</v>
      </c>
      <c r="F4836" s="46">
        <v>46097.325929363433</v>
      </c>
      <c r="G4836" s="46">
        <v>46097.325929363433</v>
      </c>
      <c r="H4836">
        <v>0</v>
      </c>
    </row>
    <row r="4837" spans="1:8" x14ac:dyDescent="0.15">
      <c r="A4837">
        <v>4836</v>
      </c>
      <c r="B4837" t="s">
        <v>339</v>
      </c>
      <c r="C4837" t="s">
        <v>353</v>
      </c>
      <c r="D4837" t="s">
        <v>8599</v>
      </c>
      <c r="E4837" t="s">
        <v>8594</v>
      </c>
      <c r="F4837" s="46">
        <v>46097.325929363433</v>
      </c>
      <c r="G4837" s="46">
        <v>46097.325929363433</v>
      </c>
      <c r="H4837">
        <v>0</v>
      </c>
    </row>
    <row r="4838" spans="1:8" x14ac:dyDescent="0.15">
      <c r="A4838">
        <v>4837</v>
      </c>
      <c r="B4838" t="s">
        <v>339</v>
      </c>
      <c r="C4838" t="s">
        <v>353</v>
      </c>
      <c r="D4838" t="s">
        <v>8600</v>
      </c>
      <c r="E4838" t="s">
        <v>8594</v>
      </c>
      <c r="F4838" s="46">
        <v>46097.325929363433</v>
      </c>
      <c r="G4838" s="46">
        <v>46097.325929363433</v>
      </c>
      <c r="H4838">
        <v>0</v>
      </c>
    </row>
    <row r="4839" spans="1:8" x14ac:dyDescent="0.15">
      <c r="A4839">
        <v>4838</v>
      </c>
      <c r="B4839" t="s">
        <v>339</v>
      </c>
      <c r="C4839" t="s">
        <v>353</v>
      </c>
      <c r="D4839" t="s">
        <v>8601</v>
      </c>
      <c r="E4839" t="s">
        <v>8594</v>
      </c>
      <c r="F4839" s="46">
        <v>46097.325929363433</v>
      </c>
      <c r="G4839" s="46">
        <v>46097.325929548613</v>
      </c>
      <c r="H4839">
        <v>15</v>
      </c>
    </row>
    <row r="4840" spans="1:8" x14ac:dyDescent="0.15">
      <c r="A4840">
        <v>4839</v>
      </c>
      <c r="B4840" t="s">
        <v>339</v>
      </c>
      <c r="C4840" t="s">
        <v>353</v>
      </c>
      <c r="D4840" t="s">
        <v>8602</v>
      </c>
      <c r="E4840" t="s">
        <v>8594</v>
      </c>
      <c r="F4840" s="46">
        <v>46097.325929548613</v>
      </c>
      <c r="G4840" s="46">
        <v>46097.325929548613</v>
      </c>
      <c r="H4840">
        <v>0</v>
      </c>
    </row>
    <row r="4841" spans="1:8" x14ac:dyDescent="0.15">
      <c r="A4841">
        <v>4840</v>
      </c>
      <c r="B4841" t="s">
        <v>339</v>
      </c>
      <c r="C4841" t="s">
        <v>353</v>
      </c>
      <c r="D4841" t="s">
        <v>8603</v>
      </c>
      <c r="E4841" t="s">
        <v>8594</v>
      </c>
      <c r="F4841" s="46">
        <v>46097.325929548613</v>
      </c>
      <c r="G4841" s="46">
        <v>46097.325929548613</v>
      </c>
      <c r="H4841">
        <v>0</v>
      </c>
    </row>
    <row r="4842" spans="1:8" x14ac:dyDescent="0.15">
      <c r="A4842">
        <v>4841</v>
      </c>
      <c r="B4842" t="s">
        <v>339</v>
      </c>
      <c r="C4842" t="s">
        <v>353</v>
      </c>
      <c r="D4842" t="s">
        <v>8604</v>
      </c>
      <c r="E4842" t="s">
        <v>8594</v>
      </c>
      <c r="F4842" s="46">
        <v>46097.325929548613</v>
      </c>
      <c r="G4842" s="46">
        <v>46097.325929548613</v>
      </c>
      <c r="H4842">
        <v>0</v>
      </c>
    </row>
    <row r="4843" spans="1:8" x14ac:dyDescent="0.15">
      <c r="A4843">
        <v>4842</v>
      </c>
      <c r="B4843" t="s">
        <v>339</v>
      </c>
      <c r="C4843" t="s">
        <v>353</v>
      </c>
      <c r="D4843" t="s">
        <v>8605</v>
      </c>
      <c r="E4843" t="s">
        <v>8594</v>
      </c>
      <c r="F4843" s="46">
        <v>46097.325929548613</v>
      </c>
      <c r="G4843" s="46">
        <v>46097.325929548613</v>
      </c>
      <c r="H4843">
        <v>0</v>
      </c>
    </row>
    <row r="4844" spans="1:8" x14ac:dyDescent="0.15">
      <c r="A4844">
        <v>4843</v>
      </c>
      <c r="B4844" t="s">
        <v>339</v>
      </c>
      <c r="C4844" t="s">
        <v>353</v>
      </c>
      <c r="D4844" t="s">
        <v>8606</v>
      </c>
      <c r="E4844" t="s">
        <v>8594</v>
      </c>
      <c r="F4844" s="46">
        <v>46097.325929548613</v>
      </c>
      <c r="G4844" s="46">
        <v>46097.325929548613</v>
      </c>
      <c r="H4844">
        <v>0</v>
      </c>
    </row>
    <row r="4845" spans="1:8" x14ac:dyDescent="0.15">
      <c r="A4845">
        <v>4844</v>
      </c>
      <c r="B4845" t="s">
        <v>339</v>
      </c>
      <c r="C4845" t="s">
        <v>353</v>
      </c>
      <c r="D4845" t="s">
        <v>8607</v>
      </c>
      <c r="E4845" t="s">
        <v>8594</v>
      </c>
      <c r="F4845" s="46">
        <v>46097.325929548613</v>
      </c>
      <c r="G4845" s="46">
        <v>46097.325929548613</v>
      </c>
      <c r="H4845">
        <v>0</v>
      </c>
    </row>
    <row r="4846" spans="1:8" x14ac:dyDescent="0.15">
      <c r="A4846">
        <v>4845</v>
      </c>
      <c r="B4846" t="s">
        <v>339</v>
      </c>
      <c r="C4846" t="s">
        <v>353</v>
      </c>
      <c r="D4846" t="s">
        <v>8608</v>
      </c>
      <c r="E4846" t="s">
        <v>8594</v>
      </c>
      <c r="F4846" s="46">
        <v>46097.325929548613</v>
      </c>
      <c r="G4846" s="46">
        <v>46097.325929548613</v>
      </c>
      <c r="H4846">
        <v>0</v>
      </c>
    </row>
    <row r="4847" spans="1:8" x14ac:dyDescent="0.15">
      <c r="A4847">
        <v>4846</v>
      </c>
      <c r="B4847" t="s">
        <v>339</v>
      </c>
      <c r="C4847" t="s">
        <v>353</v>
      </c>
      <c r="D4847" t="s">
        <v>8609</v>
      </c>
      <c r="E4847" t="s">
        <v>8594</v>
      </c>
      <c r="F4847" s="46">
        <v>46097.325929548613</v>
      </c>
      <c r="G4847" s="46">
        <v>46097.325929548613</v>
      </c>
      <c r="H4847">
        <v>0</v>
      </c>
    </row>
    <row r="4848" spans="1:8" x14ac:dyDescent="0.15">
      <c r="A4848">
        <v>4847</v>
      </c>
      <c r="B4848" t="s">
        <v>339</v>
      </c>
      <c r="C4848" t="s">
        <v>353</v>
      </c>
      <c r="D4848" t="s">
        <v>8610</v>
      </c>
      <c r="E4848" t="s">
        <v>8611</v>
      </c>
      <c r="F4848" s="46">
        <v>46097.325929548613</v>
      </c>
      <c r="G4848" s="46">
        <v>46097.325929548613</v>
      </c>
      <c r="H4848">
        <v>0</v>
      </c>
    </row>
    <row r="4849" spans="1:8" x14ac:dyDescent="0.15">
      <c r="A4849">
        <v>4848</v>
      </c>
      <c r="B4849" t="s">
        <v>339</v>
      </c>
      <c r="C4849" t="s">
        <v>353</v>
      </c>
      <c r="D4849" t="s">
        <v>8612</v>
      </c>
      <c r="E4849" t="s">
        <v>8613</v>
      </c>
      <c r="F4849" s="46">
        <v>46097.325929548613</v>
      </c>
      <c r="G4849" s="46">
        <v>46097.325929722218</v>
      </c>
      <c r="H4849">
        <v>16</v>
      </c>
    </row>
    <row r="4850" spans="1:8" x14ac:dyDescent="0.15">
      <c r="A4850">
        <v>4849</v>
      </c>
      <c r="B4850" t="s">
        <v>339</v>
      </c>
      <c r="C4850" t="s">
        <v>353</v>
      </c>
      <c r="D4850" t="s">
        <v>8614</v>
      </c>
      <c r="E4850" t="s">
        <v>8613</v>
      </c>
      <c r="F4850" s="46">
        <v>46097.325929722218</v>
      </c>
      <c r="G4850" s="46">
        <v>46097.325929722218</v>
      </c>
      <c r="H4850">
        <v>0</v>
      </c>
    </row>
    <row r="4851" spans="1:8" x14ac:dyDescent="0.15">
      <c r="A4851">
        <v>4850</v>
      </c>
      <c r="B4851" t="s">
        <v>339</v>
      </c>
      <c r="C4851" t="s">
        <v>353</v>
      </c>
      <c r="D4851" t="s">
        <v>8615</v>
      </c>
      <c r="E4851" t="s">
        <v>8613</v>
      </c>
      <c r="F4851" s="46">
        <v>46097.325929722218</v>
      </c>
      <c r="G4851" s="46">
        <v>46097.325929722218</v>
      </c>
      <c r="H4851">
        <v>0</v>
      </c>
    </row>
    <row r="4852" spans="1:8" x14ac:dyDescent="0.15">
      <c r="A4852">
        <v>4851</v>
      </c>
      <c r="B4852" t="s">
        <v>339</v>
      </c>
      <c r="C4852" t="s">
        <v>353</v>
      </c>
      <c r="D4852" t="s">
        <v>8616</v>
      </c>
      <c r="E4852" t="s">
        <v>8613</v>
      </c>
      <c r="F4852" s="46">
        <v>46097.325929722218</v>
      </c>
      <c r="G4852" s="46">
        <v>46097.325929722218</v>
      </c>
      <c r="H4852">
        <v>0</v>
      </c>
    </row>
    <row r="4853" spans="1:8" x14ac:dyDescent="0.15">
      <c r="A4853">
        <v>4852</v>
      </c>
      <c r="B4853" t="s">
        <v>339</v>
      </c>
      <c r="C4853" t="s">
        <v>353</v>
      </c>
      <c r="D4853" t="s">
        <v>8617</v>
      </c>
      <c r="E4853" t="s">
        <v>8613</v>
      </c>
      <c r="F4853" s="46">
        <v>46097.325929722218</v>
      </c>
      <c r="G4853" s="46">
        <v>46097.325929722218</v>
      </c>
      <c r="H4853">
        <v>0</v>
      </c>
    </row>
    <row r="4854" spans="1:8" x14ac:dyDescent="0.15">
      <c r="A4854">
        <v>4853</v>
      </c>
      <c r="B4854" t="s">
        <v>339</v>
      </c>
      <c r="C4854" t="s">
        <v>353</v>
      </c>
      <c r="D4854" t="s">
        <v>8618</v>
      </c>
      <c r="E4854" t="s">
        <v>8613</v>
      </c>
      <c r="F4854" s="46">
        <v>46097.325929722218</v>
      </c>
      <c r="G4854" s="46">
        <v>46097.325929722218</v>
      </c>
      <c r="H4854">
        <v>0</v>
      </c>
    </row>
    <row r="4855" spans="1:8" x14ac:dyDescent="0.15">
      <c r="A4855">
        <v>4854</v>
      </c>
      <c r="B4855" t="s">
        <v>339</v>
      </c>
      <c r="C4855" t="s">
        <v>353</v>
      </c>
      <c r="D4855" t="s">
        <v>8619</v>
      </c>
      <c r="E4855" t="s">
        <v>8613</v>
      </c>
      <c r="F4855" s="46">
        <v>46097.325929722218</v>
      </c>
      <c r="G4855" s="46">
        <v>46097.325929722218</v>
      </c>
      <c r="H4855">
        <v>0</v>
      </c>
    </row>
    <row r="4856" spans="1:8" x14ac:dyDescent="0.15">
      <c r="A4856">
        <v>4855</v>
      </c>
      <c r="B4856" t="s">
        <v>339</v>
      </c>
      <c r="C4856" t="s">
        <v>353</v>
      </c>
      <c r="D4856" t="s">
        <v>8620</v>
      </c>
      <c r="E4856" t="s">
        <v>8613</v>
      </c>
      <c r="F4856" s="46">
        <v>46097.325929722218</v>
      </c>
      <c r="G4856" s="46">
        <v>46097.325929722218</v>
      </c>
      <c r="H4856">
        <v>0</v>
      </c>
    </row>
    <row r="4857" spans="1:8" x14ac:dyDescent="0.15">
      <c r="A4857">
        <v>4856</v>
      </c>
      <c r="B4857" t="s">
        <v>339</v>
      </c>
      <c r="C4857" t="s">
        <v>353</v>
      </c>
      <c r="D4857" t="s">
        <v>8621</v>
      </c>
      <c r="E4857" t="s">
        <v>8613</v>
      </c>
      <c r="F4857" s="46">
        <v>46097.325929722218</v>
      </c>
      <c r="G4857" s="46">
        <v>46097.325929722218</v>
      </c>
      <c r="H4857">
        <v>0</v>
      </c>
    </row>
    <row r="4858" spans="1:8" x14ac:dyDescent="0.15">
      <c r="A4858">
        <v>4857</v>
      </c>
      <c r="B4858" t="s">
        <v>339</v>
      </c>
      <c r="C4858" t="s">
        <v>353</v>
      </c>
      <c r="D4858" t="s">
        <v>8622</v>
      </c>
      <c r="E4858" t="s">
        <v>8613</v>
      </c>
      <c r="F4858" s="46">
        <v>46097.325929722218</v>
      </c>
      <c r="G4858" s="46">
        <v>46097.325929722218</v>
      </c>
      <c r="H4858">
        <v>0</v>
      </c>
    </row>
    <row r="4859" spans="1:8" x14ac:dyDescent="0.15">
      <c r="A4859">
        <v>4858</v>
      </c>
      <c r="B4859" t="s">
        <v>339</v>
      </c>
      <c r="C4859" t="s">
        <v>353</v>
      </c>
      <c r="D4859" t="s">
        <v>8623</v>
      </c>
      <c r="E4859" t="s">
        <v>8613</v>
      </c>
      <c r="F4859" s="46">
        <v>46097.325929722218</v>
      </c>
      <c r="G4859" s="46">
        <v>46097.325929722218</v>
      </c>
      <c r="H4859">
        <v>0</v>
      </c>
    </row>
    <row r="4860" spans="1:8" x14ac:dyDescent="0.15">
      <c r="A4860">
        <v>4859</v>
      </c>
      <c r="B4860" t="s">
        <v>339</v>
      </c>
      <c r="C4860" t="s">
        <v>353</v>
      </c>
      <c r="D4860" t="s">
        <v>8624</v>
      </c>
      <c r="E4860" t="s">
        <v>8613</v>
      </c>
      <c r="F4860" s="46">
        <v>46097.325929722218</v>
      </c>
      <c r="G4860" s="46">
        <v>46097.325929907413</v>
      </c>
      <c r="H4860">
        <v>16</v>
      </c>
    </row>
    <row r="4861" spans="1:8" x14ac:dyDescent="0.15">
      <c r="A4861">
        <v>4860</v>
      </c>
      <c r="B4861" t="s">
        <v>339</v>
      </c>
      <c r="C4861" t="s">
        <v>353</v>
      </c>
      <c r="D4861" t="s">
        <v>8625</v>
      </c>
      <c r="E4861" t="s">
        <v>799</v>
      </c>
      <c r="F4861" s="46">
        <v>46097.325929907413</v>
      </c>
      <c r="G4861" s="46">
        <v>46097.325929907413</v>
      </c>
      <c r="H4861">
        <v>0</v>
      </c>
    </row>
    <row r="4862" spans="1:8" x14ac:dyDescent="0.15">
      <c r="A4862">
        <v>4861</v>
      </c>
      <c r="B4862" t="s">
        <v>339</v>
      </c>
      <c r="C4862" t="s">
        <v>353</v>
      </c>
      <c r="D4862" t="s">
        <v>8626</v>
      </c>
      <c r="E4862" t="s">
        <v>799</v>
      </c>
      <c r="F4862" s="46">
        <v>46097.325929907413</v>
      </c>
      <c r="G4862" s="46">
        <v>46097.325929907413</v>
      </c>
      <c r="H4862">
        <v>0</v>
      </c>
    </row>
    <row r="4863" spans="1:8" x14ac:dyDescent="0.15">
      <c r="A4863">
        <v>4862</v>
      </c>
      <c r="B4863" t="s">
        <v>339</v>
      </c>
      <c r="C4863" t="s">
        <v>353</v>
      </c>
      <c r="D4863" t="s">
        <v>8627</v>
      </c>
      <c r="E4863" t="s">
        <v>799</v>
      </c>
      <c r="F4863" s="46">
        <v>46097.325929907413</v>
      </c>
      <c r="G4863" s="46">
        <v>46097.325929907413</v>
      </c>
      <c r="H4863">
        <v>0</v>
      </c>
    </row>
    <row r="4864" spans="1:8" x14ac:dyDescent="0.15">
      <c r="A4864">
        <v>4863</v>
      </c>
      <c r="B4864" t="s">
        <v>339</v>
      </c>
      <c r="C4864" t="s">
        <v>353</v>
      </c>
      <c r="D4864" t="s">
        <v>8628</v>
      </c>
      <c r="E4864" t="s">
        <v>799</v>
      </c>
      <c r="F4864" s="46">
        <v>46097.325929907413</v>
      </c>
      <c r="G4864" s="46">
        <v>46097.325929907413</v>
      </c>
      <c r="H4864">
        <v>0</v>
      </c>
    </row>
    <row r="4865" spans="1:8" x14ac:dyDescent="0.15">
      <c r="A4865">
        <v>4864</v>
      </c>
      <c r="B4865" t="s">
        <v>339</v>
      </c>
      <c r="C4865" t="s">
        <v>353</v>
      </c>
      <c r="D4865" t="s">
        <v>8629</v>
      </c>
      <c r="E4865" t="s">
        <v>799</v>
      </c>
      <c r="F4865" s="46">
        <v>46097.325929907413</v>
      </c>
      <c r="G4865" s="46">
        <v>46097.325929907413</v>
      </c>
      <c r="H4865">
        <v>0</v>
      </c>
    </row>
    <row r="4866" spans="1:8" x14ac:dyDescent="0.15">
      <c r="A4866">
        <v>4865</v>
      </c>
      <c r="B4866" t="s">
        <v>339</v>
      </c>
      <c r="C4866" t="s">
        <v>353</v>
      </c>
      <c r="D4866" t="s">
        <v>8630</v>
      </c>
      <c r="E4866" t="s">
        <v>799</v>
      </c>
      <c r="F4866" s="46">
        <v>46097.325929907413</v>
      </c>
      <c r="G4866" s="46">
        <v>46097.325929907413</v>
      </c>
      <c r="H4866">
        <v>0</v>
      </c>
    </row>
    <row r="4867" spans="1:8" x14ac:dyDescent="0.15">
      <c r="A4867">
        <v>4866</v>
      </c>
      <c r="B4867" t="s">
        <v>339</v>
      </c>
      <c r="C4867" t="s">
        <v>353</v>
      </c>
      <c r="D4867" t="s">
        <v>8631</v>
      </c>
      <c r="E4867" t="s">
        <v>799</v>
      </c>
      <c r="F4867" s="46">
        <v>46097.325929907413</v>
      </c>
      <c r="G4867" s="46">
        <v>46097.325929907413</v>
      </c>
      <c r="H4867">
        <v>0</v>
      </c>
    </row>
    <row r="4868" spans="1:8" x14ac:dyDescent="0.15">
      <c r="A4868">
        <v>4867</v>
      </c>
      <c r="B4868" t="s">
        <v>339</v>
      </c>
      <c r="C4868" t="s">
        <v>353</v>
      </c>
      <c r="D4868" t="s">
        <v>8632</v>
      </c>
      <c r="E4868" t="s">
        <v>799</v>
      </c>
      <c r="F4868" s="46">
        <v>46097.325929907413</v>
      </c>
      <c r="G4868" s="46">
        <v>46097.325929907413</v>
      </c>
      <c r="H4868">
        <v>0</v>
      </c>
    </row>
    <row r="4869" spans="1:8" x14ac:dyDescent="0.15">
      <c r="A4869">
        <v>4868</v>
      </c>
      <c r="B4869" t="s">
        <v>339</v>
      </c>
      <c r="C4869" t="s">
        <v>353</v>
      </c>
      <c r="D4869" t="s">
        <v>8633</v>
      </c>
      <c r="E4869" t="s">
        <v>799</v>
      </c>
      <c r="F4869" s="46">
        <v>46097.325929907413</v>
      </c>
      <c r="G4869" s="46">
        <v>46097.325929907413</v>
      </c>
      <c r="H4869">
        <v>0</v>
      </c>
    </row>
    <row r="4870" spans="1:8" x14ac:dyDescent="0.15">
      <c r="A4870">
        <v>4869</v>
      </c>
      <c r="B4870" t="s">
        <v>339</v>
      </c>
      <c r="C4870" t="s">
        <v>353</v>
      </c>
      <c r="D4870" t="s">
        <v>8634</v>
      </c>
      <c r="E4870" t="s">
        <v>799</v>
      </c>
      <c r="F4870" s="46">
        <v>46097.325929907413</v>
      </c>
      <c r="G4870" s="46">
        <v>46097.325929907413</v>
      </c>
      <c r="H4870">
        <v>0</v>
      </c>
    </row>
    <row r="4871" spans="1:8" x14ac:dyDescent="0.15">
      <c r="A4871">
        <v>4870</v>
      </c>
      <c r="B4871" t="s">
        <v>339</v>
      </c>
      <c r="C4871" t="s">
        <v>353</v>
      </c>
      <c r="D4871" t="s">
        <v>8635</v>
      </c>
      <c r="E4871" t="s">
        <v>799</v>
      </c>
      <c r="F4871" s="46">
        <v>46097.325929907413</v>
      </c>
      <c r="G4871" s="46">
        <v>46097.325930092593</v>
      </c>
      <c r="H4871">
        <v>15</v>
      </c>
    </row>
    <row r="4872" spans="1:8" x14ac:dyDescent="0.15">
      <c r="A4872">
        <v>4871</v>
      </c>
      <c r="B4872" t="s">
        <v>339</v>
      </c>
      <c r="C4872" t="s">
        <v>353</v>
      </c>
      <c r="D4872" t="s">
        <v>8636</v>
      </c>
      <c r="E4872" t="s">
        <v>799</v>
      </c>
      <c r="F4872" s="46">
        <v>46097.325930092593</v>
      </c>
      <c r="G4872" s="46">
        <v>46097.325930092593</v>
      </c>
      <c r="H4872">
        <v>0</v>
      </c>
    </row>
    <row r="4873" spans="1:8" x14ac:dyDescent="0.15">
      <c r="A4873">
        <v>4872</v>
      </c>
      <c r="B4873" t="s">
        <v>339</v>
      </c>
      <c r="C4873" t="s">
        <v>353</v>
      </c>
      <c r="D4873" t="s">
        <v>8637</v>
      </c>
      <c r="E4873" t="s">
        <v>799</v>
      </c>
      <c r="F4873" s="46">
        <v>46097.325930092593</v>
      </c>
      <c r="G4873" s="46">
        <v>46097.325930092593</v>
      </c>
      <c r="H4873">
        <v>0</v>
      </c>
    </row>
    <row r="4874" spans="1:8" x14ac:dyDescent="0.15">
      <c r="A4874">
        <v>4873</v>
      </c>
      <c r="B4874" t="s">
        <v>339</v>
      </c>
      <c r="C4874" t="s">
        <v>353</v>
      </c>
      <c r="D4874" t="s">
        <v>8638</v>
      </c>
      <c r="E4874" t="s">
        <v>799</v>
      </c>
      <c r="F4874" s="46">
        <v>46097.325930092593</v>
      </c>
      <c r="G4874" s="46">
        <v>46097.325930092593</v>
      </c>
      <c r="H4874">
        <v>0</v>
      </c>
    </row>
    <row r="4875" spans="1:8" x14ac:dyDescent="0.15">
      <c r="A4875">
        <v>4874</v>
      </c>
      <c r="B4875" t="s">
        <v>339</v>
      </c>
      <c r="C4875" t="s">
        <v>353</v>
      </c>
      <c r="D4875" t="s">
        <v>8639</v>
      </c>
      <c r="E4875" t="s">
        <v>799</v>
      </c>
      <c r="F4875" s="46">
        <v>46097.325930092593</v>
      </c>
      <c r="G4875" s="46">
        <v>46097.325930092593</v>
      </c>
      <c r="H4875">
        <v>0</v>
      </c>
    </row>
    <row r="4876" spans="1:8" x14ac:dyDescent="0.15">
      <c r="A4876">
        <v>4875</v>
      </c>
      <c r="B4876" t="s">
        <v>339</v>
      </c>
      <c r="C4876" t="s">
        <v>353</v>
      </c>
      <c r="D4876" t="s">
        <v>8640</v>
      </c>
      <c r="E4876" t="s">
        <v>799</v>
      </c>
      <c r="F4876" s="46">
        <v>46097.325930092593</v>
      </c>
      <c r="G4876" s="46">
        <v>46097.325930092593</v>
      </c>
      <c r="H4876">
        <v>0</v>
      </c>
    </row>
    <row r="4877" spans="1:8" x14ac:dyDescent="0.15">
      <c r="A4877">
        <v>4876</v>
      </c>
      <c r="B4877" t="s">
        <v>339</v>
      </c>
      <c r="C4877" t="s">
        <v>353</v>
      </c>
      <c r="D4877" t="s">
        <v>8641</v>
      </c>
      <c r="E4877" t="s">
        <v>799</v>
      </c>
      <c r="F4877" s="46">
        <v>46097.325930092593</v>
      </c>
      <c r="G4877" s="46">
        <v>46097.325930092593</v>
      </c>
      <c r="H4877">
        <v>0</v>
      </c>
    </row>
    <row r="4878" spans="1:8" x14ac:dyDescent="0.15">
      <c r="A4878">
        <v>4877</v>
      </c>
      <c r="B4878" t="s">
        <v>339</v>
      </c>
      <c r="C4878" t="s">
        <v>353</v>
      </c>
      <c r="D4878" t="s">
        <v>8642</v>
      </c>
      <c r="E4878" t="s">
        <v>799</v>
      </c>
      <c r="F4878" s="46">
        <v>46097.325930092593</v>
      </c>
      <c r="G4878" s="46">
        <v>46097.325930092593</v>
      </c>
      <c r="H4878">
        <v>0</v>
      </c>
    </row>
    <row r="4879" spans="1:8" x14ac:dyDescent="0.15">
      <c r="A4879">
        <v>4878</v>
      </c>
      <c r="B4879" t="s">
        <v>339</v>
      </c>
      <c r="C4879" t="s">
        <v>353</v>
      </c>
      <c r="D4879" t="s">
        <v>8643</v>
      </c>
      <c r="E4879" t="s">
        <v>799</v>
      </c>
      <c r="F4879" s="46">
        <v>46097.325930092593</v>
      </c>
      <c r="G4879" s="46">
        <v>46097.325930092593</v>
      </c>
      <c r="H4879">
        <v>0</v>
      </c>
    </row>
    <row r="4880" spans="1:8" x14ac:dyDescent="0.15">
      <c r="A4880">
        <v>4879</v>
      </c>
      <c r="B4880" t="s">
        <v>339</v>
      </c>
      <c r="C4880" t="s">
        <v>353</v>
      </c>
      <c r="D4880" t="s">
        <v>8644</v>
      </c>
      <c r="E4880" t="s">
        <v>799</v>
      </c>
      <c r="F4880" s="46">
        <v>46097.325930092593</v>
      </c>
      <c r="G4880" s="46">
        <v>46097.325930092593</v>
      </c>
      <c r="H4880">
        <v>0</v>
      </c>
    </row>
    <row r="4881" spans="1:8" x14ac:dyDescent="0.15">
      <c r="A4881">
        <v>4880</v>
      </c>
      <c r="B4881" t="s">
        <v>339</v>
      </c>
      <c r="C4881" t="s">
        <v>353</v>
      </c>
      <c r="D4881" t="s">
        <v>8645</v>
      </c>
      <c r="E4881" t="s">
        <v>799</v>
      </c>
      <c r="F4881" s="46">
        <v>46097.325930092593</v>
      </c>
      <c r="G4881" s="46">
        <v>46097.325930266197</v>
      </c>
      <c r="H4881">
        <v>16</v>
      </c>
    </row>
    <row r="4882" spans="1:8" x14ac:dyDescent="0.15">
      <c r="A4882">
        <v>4881</v>
      </c>
      <c r="B4882" t="s">
        <v>339</v>
      </c>
      <c r="C4882" t="s">
        <v>353</v>
      </c>
      <c r="D4882" t="s">
        <v>8646</v>
      </c>
      <c r="E4882" t="s">
        <v>800</v>
      </c>
      <c r="F4882" s="46">
        <v>46097.325930266197</v>
      </c>
      <c r="G4882" s="46">
        <v>46097.325930266197</v>
      </c>
      <c r="H4882">
        <v>0</v>
      </c>
    </row>
    <row r="4883" spans="1:8" x14ac:dyDescent="0.15">
      <c r="A4883">
        <v>4882</v>
      </c>
      <c r="B4883" t="s">
        <v>339</v>
      </c>
      <c r="C4883" t="s">
        <v>353</v>
      </c>
      <c r="D4883" t="s">
        <v>8647</v>
      </c>
      <c r="E4883" t="s">
        <v>800</v>
      </c>
      <c r="F4883" s="46">
        <v>46097.325930266197</v>
      </c>
      <c r="G4883" s="46">
        <v>46097.325930266197</v>
      </c>
      <c r="H4883">
        <v>0</v>
      </c>
    </row>
    <row r="4884" spans="1:8" x14ac:dyDescent="0.15">
      <c r="A4884">
        <v>4883</v>
      </c>
      <c r="B4884" t="s">
        <v>339</v>
      </c>
      <c r="C4884" t="s">
        <v>353</v>
      </c>
      <c r="D4884" t="s">
        <v>8648</v>
      </c>
      <c r="E4884" t="s">
        <v>800</v>
      </c>
      <c r="F4884" s="46">
        <v>46097.325930266197</v>
      </c>
      <c r="G4884" s="46">
        <v>46097.325930266197</v>
      </c>
      <c r="H4884">
        <v>0</v>
      </c>
    </row>
    <row r="4885" spans="1:8" x14ac:dyDescent="0.15">
      <c r="A4885">
        <v>4884</v>
      </c>
      <c r="B4885" t="s">
        <v>339</v>
      </c>
      <c r="C4885" t="s">
        <v>353</v>
      </c>
      <c r="D4885" t="s">
        <v>8649</v>
      </c>
      <c r="E4885" t="s">
        <v>800</v>
      </c>
      <c r="F4885" s="46">
        <v>46097.325930266197</v>
      </c>
      <c r="G4885" s="46">
        <v>46097.325930266197</v>
      </c>
      <c r="H4885">
        <v>0</v>
      </c>
    </row>
    <row r="4886" spans="1:8" x14ac:dyDescent="0.15">
      <c r="A4886">
        <v>4885</v>
      </c>
      <c r="B4886" t="s">
        <v>339</v>
      </c>
      <c r="C4886" t="s">
        <v>353</v>
      </c>
      <c r="D4886" t="s">
        <v>8650</v>
      </c>
      <c r="E4886" t="s">
        <v>800</v>
      </c>
      <c r="F4886" s="46">
        <v>46097.325930266197</v>
      </c>
      <c r="G4886" s="46">
        <v>46097.325930266197</v>
      </c>
      <c r="H4886">
        <v>0</v>
      </c>
    </row>
    <row r="4887" spans="1:8" x14ac:dyDescent="0.15">
      <c r="A4887">
        <v>4886</v>
      </c>
      <c r="B4887" t="s">
        <v>339</v>
      </c>
      <c r="C4887" t="s">
        <v>353</v>
      </c>
      <c r="D4887" t="s">
        <v>8651</v>
      </c>
      <c r="E4887" t="s">
        <v>800</v>
      </c>
      <c r="F4887" s="46">
        <v>46097.325930266197</v>
      </c>
      <c r="G4887" s="46">
        <v>46097.325930266197</v>
      </c>
      <c r="H4887">
        <v>0</v>
      </c>
    </row>
    <row r="4888" spans="1:8" x14ac:dyDescent="0.15">
      <c r="A4888">
        <v>4887</v>
      </c>
      <c r="B4888" t="s">
        <v>339</v>
      </c>
      <c r="C4888" t="s">
        <v>353</v>
      </c>
      <c r="D4888" t="s">
        <v>8652</v>
      </c>
      <c r="E4888" t="s">
        <v>800</v>
      </c>
      <c r="F4888" s="46">
        <v>46097.325930266197</v>
      </c>
      <c r="G4888" s="46">
        <v>46097.325930266197</v>
      </c>
      <c r="H4888">
        <v>0</v>
      </c>
    </row>
    <row r="4889" spans="1:8" x14ac:dyDescent="0.15">
      <c r="A4889">
        <v>4888</v>
      </c>
      <c r="B4889" t="s">
        <v>339</v>
      </c>
      <c r="C4889" t="s">
        <v>353</v>
      </c>
      <c r="D4889" t="s">
        <v>8653</v>
      </c>
      <c r="E4889" t="s">
        <v>800</v>
      </c>
      <c r="F4889" s="46">
        <v>46097.325930266197</v>
      </c>
      <c r="G4889" s="46">
        <v>46097.325930266197</v>
      </c>
      <c r="H4889">
        <v>0</v>
      </c>
    </row>
    <row r="4890" spans="1:8" x14ac:dyDescent="0.15">
      <c r="A4890">
        <v>4889</v>
      </c>
      <c r="B4890" t="s">
        <v>339</v>
      </c>
      <c r="C4890" t="s">
        <v>353</v>
      </c>
      <c r="D4890" t="s">
        <v>8654</v>
      </c>
      <c r="E4890" t="s">
        <v>8655</v>
      </c>
      <c r="F4890" s="46">
        <v>46097.325930266197</v>
      </c>
      <c r="G4890" s="46">
        <v>46097.325930266197</v>
      </c>
      <c r="H4890">
        <v>0</v>
      </c>
    </row>
    <row r="4891" spans="1:8" x14ac:dyDescent="0.15">
      <c r="A4891">
        <v>4890</v>
      </c>
      <c r="B4891" t="s">
        <v>339</v>
      </c>
      <c r="C4891" t="s">
        <v>353</v>
      </c>
      <c r="D4891" t="s">
        <v>8656</v>
      </c>
      <c r="E4891" t="s">
        <v>8655</v>
      </c>
      <c r="F4891" s="46">
        <v>46097.325930266197</v>
      </c>
      <c r="G4891" s="46">
        <v>46097.325930266197</v>
      </c>
      <c r="H4891">
        <v>0</v>
      </c>
    </row>
    <row r="4892" spans="1:8" x14ac:dyDescent="0.15">
      <c r="A4892">
        <v>4891</v>
      </c>
      <c r="B4892" t="s">
        <v>339</v>
      </c>
      <c r="C4892" t="s">
        <v>353</v>
      </c>
      <c r="D4892" t="s">
        <v>8657</v>
      </c>
      <c r="E4892" t="s">
        <v>8655</v>
      </c>
      <c r="F4892" s="46">
        <v>46097.325930451392</v>
      </c>
      <c r="G4892" s="46">
        <v>46097.325930451392</v>
      </c>
      <c r="H4892">
        <v>0</v>
      </c>
    </row>
    <row r="4893" spans="1:8" x14ac:dyDescent="0.15">
      <c r="A4893">
        <v>4892</v>
      </c>
      <c r="B4893" t="s">
        <v>339</v>
      </c>
      <c r="C4893" t="s">
        <v>353</v>
      </c>
      <c r="D4893" t="s">
        <v>8658</v>
      </c>
      <c r="E4893" t="s">
        <v>8655</v>
      </c>
      <c r="F4893" s="46">
        <v>46097.325930451392</v>
      </c>
      <c r="G4893" s="46">
        <v>46097.325930451392</v>
      </c>
      <c r="H4893">
        <v>0</v>
      </c>
    </row>
    <row r="4894" spans="1:8" x14ac:dyDescent="0.15">
      <c r="A4894">
        <v>4893</v>
      </c>
      <c r="B4894" t="s">
        <v>339</v>
      </c>
      <c r="C4894" t="s">
        <v>353</v>
      </c>
      <c r="D4894" t="s">
        <v>8659</v>
      </c>
      <c r="E4894" t="s">
        <v>8660</v>
      </c>
      <c r="F4894" s="46">
        <v>46097.325930451392</v>
      </c>
      <c r="G4894" s="46">
        <v>46097.325930451392</v>
      </c>
      <c r="H4894">
        <v>0</v>
      </c>
    </row>
    <row r="4895" spans="1:8" x14ac:dyDescent="0.15">
      <c r="A4895">
        <v>4894</v>
      </c>
      <c r="B4895" t="s">
        <v>339</v>
      </c>
      <c r="C4895" t="s">
        <v>353</v>
      </c>
      <c r="D4895" t="s">
        <v>8661</v>
      </c>
      <c r="E4895" t="s">
        <v>8662</v>
      </c>
      <c r="F4895" s="46">
        <v>46097.325930451392</v>
      </c>
      <c r="G4895" s="46">
        <v>46097.325930451392</v>
      </c>
      <c r="H4895">
        <v>0</v>
      </c>
    </row>
    <row r="4896" spans="1:8" x14ac:dyDescent="0.15">
      <c r="A4896">
        <v>4895</v>
      </c>
      <c r="B4896" t="s">
        <v>339</v>
      </c>
      <c r="C4896" t="s">
        <v>353</v>
      </c>
      <c r="D4896" t="s">
        <v>8663</v>
      </c>
      <c r="E4896" t="s">
        <v>8662</v>
      </c>
      <c r="F4896" s="46">
        <v>46097.325930451392</v>
      </c>
      <c r="G4896" s="46">
        <v>46097.325930451392</v>
      </c>
      <c r="H4896">
        <v>0</v>
      </c>
    </row>
    <row r="4897" spans="1:8" x14ac:dyDescent="0.15">
      <c r="A4897">
        <v>4896</v>
      </c>
      <c r="B4897" t="s">
        <v>339</v>
      </c>
      <c r="C4897" t="s">
        <v>353</v>
      </c>
      <c r="D4897" t="s">
        <v>8664</v>
      </c>
      <c r="E4897" t="s">
        <v>8665</v>
      </c>
      <c r="F4897" s="46">
        <v>46097.325930451392</v>
      </c>
      <c r="G4897" s="46">
        <v>46097.325930451392</v>
      </c>
      <c r="H4897">
        <v>0</v>
      </c>
    </row>
    <row r="4898" spans="1:8" x14ac:dyDescent="0.15">
      <c r="A4898">
        <v>4897</v>
      </c>
      <c r="B4898" t="s">
        <v>339</v>
      </c>
      <c r="C4898" t="s">
        <v>353</v>
      </c>
      <c r="D4898" t="s">
        <v>8666</v>
      </c>
      <c r="E4898" t="s">
        <v>8665</v>
      </c>
      <c r="F4898" s="46">
        <v>46097.325930451392</v>
      </c>
      <c r="G4898" s="46">
        <v>46097.325930451392</v>
      </c>
      <c r="H4898">
        <v>0</v>
      </c>
    </row>
    <row r="4899" spans="1:8" x14ac:dyDescent="0.15">
      <c r="A4899">
        <v>4898</v>
      </c>
      <c r="B4899" t="s">
        <v>339</v>
      </c>
      <c r="C4899" t="s">
        <v>353</v>
      </c>
      <c r="D4899" t="s">
        <v>8667</v>
      </c>
      <c r="E4899" t="s">
        <v>8668</v>
      </c>
      <c r="F4899" s="46">
        <v>46097.325930451392</v>
      </c>
      <c r="G4899" s="46">
        <v>46097.325930451392</v>
      </c>
      <c r="H4899">
        <v>0</v>
      </c>
    </row>
    <row r="4900" spans="1:8" x14ac:dyDescent="0.15">
      <c r="A4900">
        <v>4899</v>
      </c>
      <c r="B4900" t="s">
        <v>339</v>
      </c>
      <c r="C4900" t="s">
        <v>353</v>
      </c>
      <c r="D4900" t="s">
        <v>8669</v>
      </c>
      <c r="E4900" t="s">
        <v>8670</v>
      </c>
      <c r="F4900" s="46">
        <v>46097.325930451392</v>
      </c>
      <c r="G4900" s="46">
        <v>46097.325930451392</v>
      </c>
      <c r="H4900">
        <v>0</v>
      </c>
    </row>
    <row r="4901" spans="1:8" x14ac:dyDescent="0.15">
      <c r="A4901">
        <v>4900</v>
      </c>
      <c r="B4901" t="s">
        <v>339</v>
      </c>
      <c r="C4901" t="s">
        <v>353</v>
      </c>
      <c r="D4901" t="s">
        <v>8671</v>
      </c>
      <c r="E4901" t="s">
        <v>8670</v>
      </c>
      <c r="F4901" s="46">
        <v>46097.325930451392</v>
      </c>
      <c r="G4901" s="46">
        <v>46097.325930451392</v>
      </c>
      <c r="H4901">
        <v>0</v>
      </c>
    </row>
    <row r="4902" spans="1:8" x14ac:dyDescent="0.15">
      <c r="A4902">
        <v>4901</v>
      </c>
      <c r="B4902" t="s">
        <v>339</v>
      </c>
      <c r="C4902" t="s">
        <v>353</v>
      </c>
      <c r="D4902" t="s">
        <v>8672</v>
      </c>
      <c r="E4902" t="s">
        <v>8673</v>
      </c>
      <c r="F4902" s="46">
        <v>46097.325930451392</v>
      </c>
      <c r="G4902" s="46">
        <v>46097.325930636573</v>
      </c>
      <c r="H4902">
        <v>16</v>
      </c>
    </row>
    <row r="4903" spans="1:8" x14ac:dyDescent="0.15">
      <c r="A4903">
        <v>4902</v>
      </c>
      <c r="B4903" t="s">
        <v>339</v>
      </c>
      <c r="C4903" t="s">
        <v>353</v>
      </c>
      <c r="D4903" t="s">
        <v>8674</v>
      </c>
      <c r="E4903" t="s">
        <v>8675</v>
      </c>
      <c r="F4903" s="46">
        <v>46097.325930636573</v>
      </c>
      <c r="G4903" s="46">
        <v>46097.325930636573</v>
      </c>
      <c r="H4903">
        <v>0</v>
      </c>
    </row>
    <row r="4904" spans="1:8" x14ac:dyDescent="0.15">
      <c r="A4904">
        <v>4903</v>
      </c>
      <c r="B4904" t="s">
        <v>339</v>
      </c>
      <c r="C4904" t="s">
        <v>353</v>
      </c>
      <c r="D4904" t="s">
        <v>8676</v>
      </c>
      <c r="E4904" t="s">
        <v>8675</v>
      </c>
      <c r="F4904" s="46">
        <v>46097.325930636573</v>
      </c>
      <c r="G4904" s="46">
        <v>46097.325930636573</v>
      </c>
      <c r="H4904">
        <v>0</v>
      </c>
    </row>
    <row r="4905" spans="1:8" x14ac:dyDescent="0.15">
      <c r="A4905">
        <v>4904</v>
      </c>
      <c r="B4905" t="s">
        <v>339</v>
      </c>
      <c r="C4905" t="s">
        <v>353</v>
      </c>
      <c r="D4905" t="s">
        <v>8677</v>
      </c>
      <c r="E4905" t="s">
        <v>8675</v>
      </c>
      <c r="F4905" s="46">
        <v>46097.325930636573</v>
      </c>
      <c r="G4905" s="46">
        <v>46097.325930636573</v>
      </c>
      <c r="H4905">
        <v>0</v>
      </c>
    </row>
    <row r="4906" spans="1:8" x14ac:dyDescent="0.15">
      <c r="A4906">
        <v>4905</v>
      </c>
      <c r="B4906" t="s">
        <v>339</v>
      </c>
      <c r="C4906" t="s">
        <v>353</v>
      </c>
      <c r="D4906" t="s">
        <v>8678</v>
      </c>
      <c r="E4906" t="s">
        <v>8675</v>
      </c>
      <c r="F4906" s="46">
        <v>46097.325930636573</v>
      </c>
      <c r="G4906" s="46">
        <v>46097.325930636573</v>
      </c>
      <c r="H4906">
        <v>0</v>
      </c>
    </row>
    <row r="4907" spans="1:8" x14ac:dyDescent="0.15">
      <c r="A4907">
        <v>4906</v>
      </c>
      <c r="B4907" t="s">
        <v>339</v>
      </c>
      <c r="C4907" t="s">
        <v>353</v>
      </c>
      <c r="D4907" t="s">
        <v>8679</v>
      </c>
      <c r="E4907" t="s">
        <v>8675</v>
      </c>
      <c r="F4907" s="46">
        <v>46097.325930636573</v>
      </c>
      <c r="G4907" s="46">
        <v>46097.325930636573</v>
      </c>
      <c r="H4907">
        <v>0</v>
      </c>
    </row>
    <row r="4908" spans="1:8" x14ac:dyDescent="0.15">
      <c r="A4908">
        <v>4907</v>
      </c>
      <c r="B4908" t="s">
        <v>339</v>
      </c>
      <c r="C4908" t="s">
        <v>353</v>
      </c>
      <c r="D4908" t="s">
        <v>8680</v>
      </c>
      <c r="E4908" t="s">
        <v>8675</v>
      </c>
      <c r="F4908" s="46">
        <v>46097.325930636573</v>
      </c>
      <c r="G4908" s="46">
        <v>46097.325930636573</v>
      </c>
      <c r="H4908">
        <v>0</v>
      </c>
    </row>
    <row r="4909" spans="1:8" x14ac:dyDescent="0.15">
      <c r="A4909">
        <v>4908</v>
      </c>
      <c r="B4909" t="s">
        <v>339</v>
      </c>
      <c r="C4909" t="s">
        <v>353</v>
      </c>
      <c r="D4909" t="s">
        <v>8681</v>
      </c>
      <c r="E4909" t="s">
        <v>8675</v>
      </c>
      <c r="F4909" s="46">
        <v>46097.325930636573</v>
      </c>
      <c r="G4909" s="46">
        <v>46097.325930636573</v>
      </c>
      <c r="H4909">
        <v>0</v>
      </c>
    </row>
    <row r="4910" spans="1:8" x14ac:dyDescent="0.15">
      <c r="A4910">
        <v>4909</v>
      </c>
      <c r="B4910" t="s">
        <v>339</v>
      </c>
      <c r="C4910" t="s">
        <v>353</v>
      </c>
      <c r="D4910" t="s">
        <v>8682</v>
      </c>
      <c r="E4910" t="s">
        <v>8683</v>
      </c>
      <c r="F4910" s="46">
        <v>46097.325930636573</v>
      </c>
      <c r="G4910" s="46">
        <v>46097.325930636573</v>
      </c>
      <c r="H4910">
        <v>0</v>
      </c>
    </row>
    <row r="4911" spans="1:8" x14ac:dyDescent="0.15">
      <c r="A4911">
        <v>4910</v>
      </c>
      <c r="B4911" t="s">
        <v>339</v>
      </c>
      <c r="C4911" t="s">
        <v>353</v>
      </c>
      <c r="D4911" t="s">
        <v>8684</v>
      </c>
      <c r="E4911" t="s">
        <v>8683</v>
      </c>
      <c r="F4911" s="46">
        <v>46097.325930636573</v>
      </c>
      <c r="G4911" s="46">
        <v>46097.325930636573</v>
      </c>
      <c r="H4911">
        <v>0</v>
      </c>
    </row>
    <row r="4912" spans="1:8" x14ac:dyDescent="0.15">
      <c r="A4912">
        <v>4911</v>
      </c>
      <c r="B4912" t="s">
        <v>339</v>
      </c>
      <c r="C4912" t="s">
        <v>353</v>
      </c>
      <c r="D4912" t="s">
        <v>8685</v>
      </c>
      <c r="E4912" t="s">
        <v>8683</v>
      </c>
      <c r="F4912" s="46">
        <v>46097.325930636573</v>
      </c>
      <c r="G4912" s="46">
        <v>46097.325930810177</v>
      </c>
      <c r="H4912">
        <v>16</v>
      </c>
    </row>
    <row r="4913" spans="1:8" x14ac:dyDescent="0.15">
      <c r="A4913">
        <v>4912</v>
      </c>
      <c r="B4913" t="s">
        <v>339</v>
      </c>
      <c r="C4913" t="s">
        <v>353</v>
      </c>
      <c r="D4913" t="s">
        <v>8686</v>
      </c>
      <c r="E4913" t="s">
        <v>8683</v>
      </c>
      <c r="F4913" s="46">
        <v>46097.325930810177</v>
      </c>
      <c r="G4913" s="46">
        <v>46097.325930810177</v>
      </c>
      <c r="H4913">
        <v>0</v>
      </c>
    </row>
    <row r="4914" spans="1:8" x14ac:dyDescent="0.15">
      <c r="A4914">
        <v>4913</v>
      </c>
      <c r="B4914" t="s">
        <v>339</v>
      </c>
      <c r="C4914" t="s">
        <v>353</v>
      </c>
      <c r="D4914" t="s">
        <v>8687</v>
      </c>
      <c r="E4914" t="s">
        <v>8688</v>
      </c>
      <c r="F4914" s="46">
        <v>46097.325930810177</v>
      </c>
      <c r="G4914" s="46">
        <v>46097.325930810177</v>
      </c>
      <c r="H4914">
        <v>0</v>
      </c>
    </row>
    <row r="4915" spans="1:8" x14ac:dyDescent="0.15">
      <c r="A4915">
        <v>4914</v>
      </c>
      <c r="B4915" t="s">
        <v>339</v>
      </c>
      <c r="C4915" t="s">
        <v>353</v>
      </c>
      <c r="D4915" t="s">
        <v>8689</v>
      </c>
      <c r="E4915" t="s">
        <v>8688</v>
      </c>
      <c r="F4915" s="46">
        <v>46097.325930810177</v>
      </c>
      <c r="G4915" s="46">
        <v>46097.325930810177</v>
      </c>
      <c r="H4915">
        <v>0</v>
      </c>
    </row>
    <row r="4916" spans="1:8" x14ac:dyDescent="0.15">
      <c r="A4916">
        <v>4915</v>
      </c>
      <c r="B4916" t="s">
        <v>339</v>
      </c>
      <c r="C4916" t="s">
        <v>353</v>
      </c>
      <c r="D4916" t="s">
        <v>8690</v>
      </c>
      <c r="E4916" t="s">
        <v>8688</v>
      </c>
      <c r="F4916" s="46">
        <v>46097.325930810177</v>
      </c>
      <c r="G4916" s="46">
        <v>46097.325930810177</v>
      </c>
      <c r="H4916">
        <v>0</v>
      </c>
    </row>
    <row r="4917" spans="1:8" x14ac:dyDescent="0.15">
      <c r="A4917">
        <v>4916</v>
      </c>
      <c r="B4917" t="s">
        <v>339</v>
      </c>
      <c r="C4917" t="s">
        <v>353</v>
      </c>
      <c r="D4917" t="s">
        <v>8691</v>
      </c>
      <c r="E4917" t="s">
        <v>8688</v>
      </c>
      <c r="F4917" s="46">
        <v>46097.325930810177</v>
      </c>
      <c r="G4917" s="46">
        <v>46097.325930810177</v>
      </c>
      <c r="H4917">
        <v>0</v>
      </c>
    </row>
    <row r="4918" spans="1:8" x14ac:dyDescent="0.15">
      <c r="A4918">
        <v>4917</v>
      </c>
      <c r="B4918" t="s">
        <v>339</v>
      </c>
      <c r="C4918" t="s">
        <v>353</v>
      </c>
      <c r="D4918" t="s">
        <v>8692</v>
      </c>
      <c r="E4918" t="s">
        <v>8688</v>
      </c>
      <c r="F4918" s="46">
        <v>46097.325930810177</v>
      </c>
      <c r="G4918" s="46">
        <v>46097.325930810177</v>
      </c>
      <c r="H4918">
        <v>0</v>
      </c>
    </row>
    <row r="4919" spans="1:8" x14ac:dyDescent="0.15">
      <c r="A4919">
        <v>4918</v>
      </c>
      <c r="B4919" t="s">
        <v>339</v>
      </c>
      <c r="C4919" t="s">
        <v>353</v>
      </c>
      <c r="D4919" t="s">
        <v>8693</v>
      </c>
      <c r="E4919" t="s">
        <v>8688</v>
      </c>
      <c r="F4919" s="46">
        <v>46097.325930810177</v>
      </c>
      <c r="G4919" s="46">
        <v>46097.325930810177</v>
      </c>
      <c r="H4919">
        <v>0</v>
      </c>
    </row>
    <row r="4920" spans="1:8" x14ac:dyDescent="0.15">
      <c r="A4920">
        <v>4919</v>
      </c>
      <c r="B4920" t="s">
        <v>339</v>
      </c>
      <c r="C4920" t="s">
        <v>353</v>
      </c>
      <c r="D4920" t="s">
        <v>8694</v>
      </c>
      <c r="E4920" t="s">
        <v>8695</v>
      </c>
      <c r="F4920" s="46">
        <v>46097.325930810177</v>
      </c>
      <c r="G4920" s="46">
        <v>46097.325930810177</v>
      </c>
      <c r="H4920">
        <v>0</v>
      </c>
    </row>
    <row r="4921" spans="1:8" x14ac:dyDescent="0.15">
      <c r="A4921">
        <v>4920</v>
      </c>
      <c r="B4921" t="s">
        <v>339</v>
      </c>
      <c r="C4921" t="s">
        <v>353</v>
      </c>
      <c r="D4921" t="s">
        <v>8696</v>
      </c>
      <c r="E4921" t="s">
        <v>8695</v>
      </c>
      <c r="F4921" s="46">
        <v>46097.325930810177</v>
      </c>
      <c r="G4921" s="46">
        <v>46097.325930810177</v>
      </c>
      <c r="H4921">
        <v>0</v>
      </c>
    </row>
    <row r="4922" spans="1:8" x14ac:dyDescent="0.15">
      <c r="A4922">
        <v>4921</v>
      </c>
      <c r="B4922" t="s">
        <v>339</v>
      </c>
      <c r="C4922" t="s">
        <v>353</v>
      </c>
      <c r="D4922" t="s">
        <v>8697</v>
      </c>
      <c r="E4922" t="s">
        <v>8695</v>
      </c>
      <c r="F4922" s="46">
        <v>46097.325930810177</v>
      </c>
      <c r="G4922" s="46">
        <v>46097.325930995372</v>
      </c>
      <c r="H4922">
        <v>15</v>
      </c>
    </row>
    <row r="4923" spans="1:8" x14ac:dyDescent="0.15">
      <c r="A4923">
        <v>4922</v>
      </c>
      <c r="B4923" t="s">
        <v>339</v>
      </c>
      <c r="C4923" t="s">
        <v>353</v>
      </c>
      <c r="D4923" t="s">
        <v>8698</v>
      </c>
      <c r="E4923" t="s">
        <v>8695</v>
      </c>
      <c r="F4923" s="46">
        <v>46097.325930995372</v>
      </c>
      <c r="G4923" s="46">
        <v>46097.325930995372</v>
      </c>
      <c r="H4923">
        <v>0</v>
      </c>
    </row>
    <row r="4924" spans="1:8" x14ac:dyDescent="0.15">
      <c r="A4924">
        <v>4923</v>
      </c>
      <c r="B4924" t="s">
        <v>339</v>
      </c>
      <c r="C4924" t="s">
        <v>353</v>
      </c>
      <c r="D4924" t="s">
        <v>8699</v>
      </c>
      <c r="E4924" t="s">
        <v>8700</v>
      </c>
      <c r="F4924" s="46">
        <v>46097.325930995372</v>
      </c>
      <c r="G4924" s="46">
        <v>46097.325930995372</v>
      </c>
      <c r="H4924">
        <v>0</v>
      </c>
    </row>
    <row r="4925" spans="1:8" x14ac:dyDescent="0.15">
      <c r="A4925">
        <v>4924</v>
      </c>
      <c r="B4925" t="s">
        <v>339</v>
      </c>
      <c r="C4925" t="s">
        <v>353</v>
      </c>
      <c r="D4925" t="s">
        <v>8701</v>
      </c>
      <c r="E4925" t="s">
        <v>8702</v>
      </c>
      <c r="F4925" s="46">
        <v>46097.325930995372</v>
      </c>
      <c r="G4925" s="46">
        <v>46097.325930995372</v>
      </c>
      <c r="H4925">
        <v>0</v>
      </c>
    </row>
    <row r="4926" spans="1:8" x14ac:dyDescent="0.15">
      <c r="A4926">
        <v>4925</v>
      </c>
      <c r="B4926" t="s">
        <v>339</v>
      </c>
      <c r="C4926" t="s">
        <v>353</v>
      </c>
      <c r="D4926" t="s">
        <v>8703</v>
      </c>
      <c r="E4926" t="s">
        <v>8704</v>
      </c>
      <c r="F4926" s="46">
        <v>46097.325930995372</v>
      </c>
      <c r="G4926" s="46">
        <v>46097.325930995372</v>
      </c>
      <c r="H4926">
        <v>0</v>
      </c>
    </row>
    <row r="4927" spans="1:8" x14ac:dyDescent="0.15">
      <c r="A4927">
        <v>4926</v>
      </c>
      <c r="B4927" t="s">
        <v>339</v>
      </c>
      <c r="C4927" t="s">
        <v>353</v>
      </c>
      <c r="D4927" t="s">
        <v>8705</v>
      </c>
      <c r="E4927" t="s">
        <v>8704</v>
      </c>
      <c r="F4927" s="46">
        <v>46097.325930995372</v>
      </c>
      <c r="G4927" s="46">
        <v>46097.325930995372</v>
      </c>
      <c r="H4927">
        <v>0</v>
      </c>
    </row>
    <row r="4928" spans="1:8" x14ac:dyDescent="0.15">
      <c r="A4928">
        <v>4927</v>
      </c>
      <c r="B4928" t="s">
        <v>339</v>
      </c>
      <c r="C4928" t="s">
        <v>353</v>
      </c>
      <c r="D4928" t="s">
        <v>8706</v>
      </c>
      <c r="E4928" t="s">
        <v>8704</v>
      </c>
      <c r="F4928" s="46">
        <v>46097.325930995372</v>
      </c>
      <c r="G4928" s="46">
        <v>46097.325930995372</v>
      </c>
      <c r="H4928">
        <v>0</v>
      </c>
    </row>
    <row r="4929" spans="1:8" x14ac:dyDescent="0.15">
      <c r="A4929">
        <v>4928</v>
      </c>
      <c r="B4929" t="s">
        <v>339</v>
      </c>
      <c r="C4929" t="s">
        <v>353</v>
      </c>
      <c r="D4929" t="s">
        <v>8707</v>
      </c>
      <c r="E4929" t="s">
        <v>8704</v>
      </c>
      <c r="F4929" s="46">
        <v>46097.325930995372</v>
      </c>
      <c r="G4929" s="46">
        <v>46097.325930995372</v>
      </c>
      <c r="H4929">
        <v>0</v>
      </c>
    </row>
    <row r="4930" spans="1:8" x14ac:dyDescent="0.15">
      <c r="A4930">
        <v>4929</v>
      </c>
      <c r="B4930" t="s">
        <v>339</v>
      </c>
      <c r="C4930" t="s">
        <v>353</v>
      </c>
      <c r="D4930" t="s">
        <v>8708</v>
      </c>
      <c r="E4930" t="s">
        <v>8709</v>
      </c>
      <c r="F4930" s="46">
        <v>46097.325930995372</v>
      </c>
      <c r="G4930" s="46">
        <v>46097.325930995372</v>
      </c>
      <c r="H4930">
        <v>0</v>
      </c>
    </row>
    <row r="4931" spans="1:8" x14ac:dyDescent="0.15">
      <c r="A4931">
        <v>4930</v>
      </c>
      <c r="B4931" t="s">
        <v>339</v>
      </c>
      <c r="C4931" t="s">
        <v>353</v>
      </c>
      <c r="D4931" t="s">
        <v>8710</v>
      </c>
      <c r="E4931" t="s">
        <v>8709</v>
      </c>
      <c r="F4931" s="46">
        <v>46097.325930995372</v>
      </c>
      <c r="G4931" s="46">
        <v>46097.325930995372</v>
      </c>
      <c r="H4931">
        <v>0</v>
      </c>
    </row>
    <row r="4932" spans="1:8" x14ac:dyDescent="0.15">
      <c r="A4932">
        <v>4931</v>
      </c>
      <c r="B4932" t="s">
        <v>339</v>
      </c>
      <c r="C4932" t="s">
        <v>353</v>
      </c>
      <c r="D4932" t="s">
        <v>8711</v>
      </c>
      <c r="E4932" t="s">
        <v>8709</v>
      </c>
      <c r="F4932" s="46">
        <v>46097.325930995372</v>
      </c>
      <c r="G4932" s="46">
        <v>46097.325930995372</v>
      </c>
      <c r="H4932">
        <v>0</v>
      </c>
    </row>
    <row r="4933" spans="1:8" x14ac:dyDescent="0.15">
      <c r="A4933">
        <v>4932</v>
      </c>
      <c r="B4933" t="s">
        <v>339</v>
      </c>
      <c r="C4933" t="s">
        <v>353</v>
      </c>
      <c r="D4933" t="s">
        <v>8712</v>
      </c>
      <c r="E4933" t="s">
        <v>8709</v>
      </c>
      <c r="F4933" s="46">
        <v>46097.325930995372</v>
      </c>
      <c r="G4933" s="46">
        <v>46097.325931168984</v>
      </c>
      <c r="H4933">
        <v>16</v>
      </c>
    </row>
    <row r="4934" spans="1:8" x14ac:dyDescent="0.15">
      <c r="A4934">
        <v>4933</v>
      </c>
      <c r="B4934" t="s">
        <v>339</v>
      </c>
      <c r="C4934" t="s">
        <v>353</v>
      </c>
      <c r="D4934" t="s">
        <v>8713</v>
      </c>
      <c r="E4934" t="s">
        <v>8709</v>
      </c>
      <c r="F4934" s="46">
        <v>46097.325931168984</v>
      </c>
      <c r="G4934" s="46">
        <v>46097.325931168984</v>
      </c>
      <c r="H4934">
        <v>0</v>
      </c>
    </row>
    <row r="4935" spans="1:8" x14ac:dyDescent="0.15">
      <c r="A4935">
        <v>4934</v>
      </c>
      <c r="B4935" t="s">
        <v>339</v>
      </c>
      <c r="C4935" t="s">
        <v>353</v>
      </c>
      <c r="D4935" t="s">
        <v>8714</v>
      </c>
      <c r="E4935" t="s">
        <v>8709</v>
      </c>
      <c r="F4935" s="46">
        <v>46097.325931168984</v>
      </c>
      <c r="G4935" s="46">
        <v>46097.325931168984</v>
      </c>
      <c r="H4935">
        <v>0</v>
      </c>
    </row>
    <row r="4936" spans="1:8" x14ac:dyDescent="0.15">
      <c r="A4936">
        <v>4935</v>
      </c>
      <c r="B4936" t="s">
        <v>339</v>
      </c>
      <c r="C4936" t="s">
        <v>353</v>
      </c>
      <c r="D4936" t="s">
        <v>8715</v>
      </c>
      <c r="E4936" t="s">
        <v>8709</v>
      </c>
      <c r="F4936" s="46">
        <v>46097.325931168984</v>
      </c>
      <c r="G4936" s="46">
        <v>46097.325931168984</v>
      </c>
      <c r="H4936">
        <v>0</v>
      </c>
    </row>
    <row r="4937" spans="1:8" x14ac:dyDescent="0.15">
      <c r="A4937">
        <v>4936</v>
      </c>
      <c r="B4937" t="s">
        <v>339</v>
      </c>
      <c r="C4937" t="s">
        <v>353</v>
      </c>
      <c r="D4937" t="s">
        <v>8716</v>
      </c>
      <c r="E4937" t="s">
        <v>8709</v>
      </c>
      <c r="F4937" s="46">
        <v>46097.325931168984</v>
      </c>
      <c r="G4937" s="46">
        <v>46097.325931168984</v>
      </c>
      <c r="H4937">
        <v>0</v>
      </c>
    </row>
    <row r="4938" spans="1:8" x14ac:dyDescent="0.15">
      <c r="A4938">
        <v>4937</v>
      </c>
      <c r="B4938" t="s">
        <v>339</v>
      </c>
      <c r="C4938" t="s">
        <v>353</v>
      </c>
      <c r="D4938" t="s">
        <v>8717</v>
      </c>
      <c r="E4938" t="s">
        <v>8709</v>
      </c>
      <c r="F4938" s="46">
        <v>46097.325931168984</v>
      </c>
      <c r="G4938" s="46">
        <v>46097.325931168984</v>
      </c>
      <c r="H4938">
        <v>0</v>
      </c>
    </row>
    <row r="4939" spans="1:8" x14ac:dyDescent="0.15">
      <c r="A4939">
        <v>4938</v>
      </c>
      <c r="B4939" t="s">
        <v>339</v>
      </c>
      <c r="C4939" t="s">
        <v>353</v>
      </c>
      <c r="D4939" t="s">
        <v>8718</v>
      </c>
      <c r="E4939" t="s">
        <v>8719</v>
      </c>
      <c r="F4939" s="46">
        <v>46097.325931168984</v>
      </c>
      <c r="G4939" s="46">
        <v>46097.325931168984</v>
      </c>
      <c r="H4939">
        <v>0</v>
      </c>
    </row>
    <row r="4940" spans="1:8" x14ac:dyDescent="0.15">
      <c r="A4940">
        <v>4939</v>
      </c>
      <c r="B4940" t="s">
        <v>339</v>
      </c>
      <c r="C4940" t="s">
        <v>353</v>
      </c>
      <c r="D4940" t="s">
        <v>8720</v>
      </c>
      <c r="E4940" t="s">
        <v>8719</v>
      </c>
      <c r="F4940" s="46">
        <v>46097.325931168984</v>
      </c>
      <c r="G4940" s="46">
        <v>46097.325931168984</v>
      </c>
      <c r="H4940">
        <v>0</v>
      </c>
    </row>
    <row r="4941" spans="1:8" x14ac:dyDescent="0.15">
      <c r="A4941">
        <v>4940</v>
      </c>
      <c r="B4941" t="s">
        <v>339</v>
      </c>
      <c r="C4941" t="s">
        <v>353</v>
      </c>
      <c r="D4941" t="s">
        <v>8721</v>
      </c>
      <c r="E4941" t="s">
        <v>8719</v>
      </c>
      <c r="F4941" s="46">
        <v>46097.325931168984</v>
      </c>
      <c r="G4941" s="46">
        <v>46097.325931168984</v>
      </c>
      <c r="H4941">
        <v>0</v>
      </c>
    </row>
    <row r="4942" spans="1:8" x14ac:dyDescent="0.15">
      <c r="A4942">
        <v>4941</v>
      </c>
      <c r="B4942" t="s">
        <v>339</v>
      </c>
      <c r="C4942" t="s">
        <v>353</v>
      </c>
      <c r="D4942" t="s">
        <v>8722</v>
      </c>
      <c r="E4942" t="s">
        <v>8719</v>
      </c>
      <c r="F4942" s="46">
        <v>46097.325931168984</v>
      </c>
      <c r="G4942" s="46">
        <v>46097.325931168984</v>
      </c>
      <c r="H4942">
        <v>0</v>
      </c>
    </row>
    <row r="4943" spans="1:8" x14ac:dyDescent="0.15">
      <c r="A4943">
        <v>4942</v>
      </c>
      <c r="B4943" t="s">
        <v>339</v>
      </c>
      <c r="C4943" t="s">
        <v>353</v>
      </c>
      <c r="D4943" t="s">
        <v>8723</v>
      </c>
      <c r="E4943" t="s">
        <v>8719</v>
      </c>
      <c r="F4943" s="46">
        <v>46097.325931168984</v>
      </c>
      <c r="G4943" s="46">
        <v>46097.325931354157</v>
      </c>
      <c r="H4943">
        <v>16</v>
      </c>
    </row>
    <row r="4944" spans="1:8" x14ac:dyDescent="0.15">
      <c r="A4944">
        <v>4943</v>
      </c>
      <c r="B4944" t="s">
        <v>339</v>
      </c>
      <c r="C4944" t="s">
        <v>353</v>
      </c>
      <c r="D4944" t="s">
        <v>8724</v>
      </c>
      <c r="E4944" t="s">
        <v>8719</v>
      </c>
      <c r="F4944" s="46">
        <v>46097.325931354157</v>
      </c>
      <c r="G4944" s="46">
        <v>46097.325931354157</v>
      </c>
      <c r="H4944">
        <v>0</v>
      </c>
    </row>
    <row r="4945" spans="1:8" x14ac:dyDescent="0.15">
      <c r="A4945">
        <v>4944</v>
      </c>
      <c r="B4945" t="s">
        <v>339</v>
      </c>
      <c r="C4945" t="s">
        <v>353</v>
      </c>
      <c r="D4945" t="s">
        <v>8725</v>
      </c>
      <c r="E4945" t="s">
        <v>8719</v>
      </c>
      <c r="F4945" s="46">
        <v>46097.325931354157</v>
      </c>
      <c r="G4945" s="46">
        <v>46097.325931354157</v>
      </c>
      <c r="H4945">
        <v>0</v>
      </c>
    </row>
    <row r="4946" spans="1:8" x14ac:dyDescent="0.15">
      <c r="A4946">
        <v>4945</v>
      </c>
      <c r="B4946" t="s">
        <v>339</v>
      </c>
      <c r="C4946" t="s">
        <v>353</v>
      </c>
      <c r="D4946" t="s">
        <v>8726</v>
      </c>
      <c r="E4946" t="s">
        <v>8719</v>
      </c>
      <c r="F4946" s="46">
        <v>46097.325931354157</v>
      </c>
      <c r="G4946" s="46">
        <v>46097.325931354157</v>
      </c>
      <c r="H4946">
        <v>0</v>
      </c>
    </row>
    <row r="4947" spans="1:8" x14ac:dyDescent="0.15">
      <c r="A4947">
        <v>4946</v>
      </c>
      <c r="B4947" t="s">
        <v>339</v>
      </c>
      <c r="C4947" t="s">
        <v>353</v>
      </c>
      <c r="D4947" t="s">
        <v>8727</v>
      </c>
      <c r="E4947" t="s">
        <v>8719</v>
      </c>
      <c r="F4947" s="46">
        <v>46097.325931354157</v>
      </c>
      <c r="G4947" s="46">
        <v>46097.325931354157</v>
      </c>
      <c r="H4947">
        <v>0</v>
      </c>
    </row>
    <row r="4948" spans="1:8" x14ac:dyDescent="0.15">
      <c r="A4948">
        <v>4947</v>
      </c>
      <c r="B4948" t="s">
        <v>339</v>
      </c>
      <c r="C4948" t="s">
        <v>353</v>
      </c>
      <c r="D4948" t="s">
        <v>8728</v>
      </c>
      <c r="E4948" t="s">
        <v>8719</v>
      </c>
      <c r="F4948" s="46">
        <v>46097.325931354157</v>
      </c>
      <c r="G4948" s="46">
        <v>46097.325931354157</v>
      </c>
      <c r="H4948">
        <v>0</v>
      </c>
    </row>
    <row r="4949" spans="1:8" x14ac:dyDescent="0.15">
      <c r="A4949">
        <v>4948</v>
      </c>
      <c r="B4949" t="s">
        <v>339</v>
      </c>
      <c r="C4949" t="s">
        <v>353</v>
      </c>
      <c r="D4949" t="s">
        <v>8729</v>
      </c>
      <c r="E4949" t="s">
        <v>8730</v>
      </c>
      <c r="F4949" s="46">
        <v>46097.325931354157</v>
      </c>
      <c r="G4949" s="46">
        <v>46097.325931354157</v>
      </c>
      <c r="H4949">
        <v>0</v>
      </c>
    </row>
    <row r="4950" spans="1:8" x14ac:dyDescent="0.15">
      <c r="A4950">
        <v>4949</v>
      </c>
      <c r="B4950" t="s">
        <v>339</v>
      </c>
      <c r="C4950" t="s">
        <v>353</v>
      </c>
      <c r="D4950" t="s">
        <v>8731</v>
      </c>
      <c r="E4950" t="s">
        <v>8730</v>
      </c>
      <c r="F4950" s="46">
        <v>46097.325931354157</v>
      </c>
      <c r="G4950" s="46">
        <v>46097.325931354157</v>
      </c>
      <c r="H4950">
        <v>0</v>
      </c>
    </row>
    <row r="4951" spans="1:8" x14ac:dyDescent="0.15">
      <c r="A4951">
        <v>4950</v>
      </c>
      <c r="B4951" t="s">
        <v>339</v>
      </c>
      <c r="C4951" t="s">
        <v>353</v>
      </c>
      <c r="D4951" t="s">
        <v>8732</v>
      </c>
      <c r="E4951" t="s">
        <v>8730</v>
      </c>
      <c r="F4951" s="46">
        <v>46097.325931354157</v>
      </c>
      <c r="G4951" s="46">
        <v>46097.325931354157</v>
      </c>
      <c r="H4951">
        <v>0</v>
      </c>
    </row>
    <row r="4952" spans="1:8" x14ac:dyDescent="0.15">
      <c r="A4952">
        <v>4951</v>
      </c>
      <c r="B4952" t="s">
        <v>339</v>
      </c>
      <c r="C4952" t="s">
        <v>353</v>
      </c>
      <c r="D4952" t="s">
        <v>8733</v>
      </c>
      <c r="E4952" t="s">
        <v>8730</v>
      </c>
      <c r="F4952" s="46">
        <v>46097.325931354157</v>
      </c>
      <c r="G4952" s="46">
        <v>46097.325931354157</v>
      </c>
      <c r="H4952">
        <v>0</v>
      </c>
    </row>
    <row r="4953" spans="1:8" x14ac:dyDescent="0.15">
      <c r="A4953">
        <v>4952</v>
      </c>
      <c r="B4953" t="s">
        <v>339</v>
      </c>
      <c r="C4953" t="s">
        <v>353</v>
      </c>
      <c r="D4953" t="s">
        <v>8734</v>
      </c>
      <c r="E4953" t="s">
        <v>8735</v>
      </c>
      <c r="F4953" s="46">
        <v>46097.325931354157</v>
      </c>
      <c r="G4953" s="46">
        <v>46097.325931354157</v>
      </c>
      <c r="H4953">
        <v>0</v>
      </c>
    </row>
    <row r="4954" spans="1:8" x14ac:dyDescent="0.15">
      <c r="A4954">
        <v>4953</v>
      </c>
      <c r="B4954" t="s">
        <v>339</v>
      </c>
      <c r="C4954" t="s">
        <v>353</v>
      </c>
      <c r="D4954" t="s">
        <v>8736</v>
      </c>
      <c r="E4954" t="s">
        <v>8735</v>
      </c>
      <c r="F4954" s="46">
        <v>46097.325931354157</v>
      </c>
      <c r="G4954" s="46">
        <v>46097.325931539352</v>
      </c>
      <c r="H4954">
        <v>15</v>
      </c>
    </row>
    <row r="4955" spans="1:8" x14ac:dyDescent="0.15">
      <c r="A4955">
        <v>4954</v>
      </c>
      <c r="B4955" t="s">
        <v>339</v>
      </c>
      <c r="C4955" t="s">
        <v>353</v>
      </c>
      <c r="D4955" t="s">
        <v>8737</v>
      </c>
      <c r="E4955" t="s">
        <v>8735</v>
      </c>
      <c r="F4955" s="46">
        <v>46097.325931539352</v>
      </c>
      <c r="G4955" s="46">
        <v>46097.325931539352</v>
      </c>
      <c r="H4955">
        <v>0</v>
      </c>
    </row>
    <row r="4956" spans="1:8" x14ac:dyDescent="0.15">
      <c r="A4956">
        <v>4955</v>
      </c>
      <c r="B4956" t="s">
        <v>339</v>
      </c>
      <c r="C4956" t="s">
        <v>353</v>
      </c>
      <c r="D4956" t="s">
        <v>8738</v>
      </c>
      <c r="E4956" t="s">
        <v>8735</v>
      </c>
      <c r="F4956" s="46">
        <v>46097.325931539352</v>
      </c>
      <c r="G4956" s="46">
        <v>46097.325931539352</v>
      </c>
      <c r="H4956">
        <v>0</v>
      </c>
    </row>
    <row r="4957" spans="1:8" x14ac:dyDescent="0.15">
      <c r="A4957">
        <v>4956</v>
      </c>
      <c r="B4957" t="s">
        <v>339</v>
      </c>
      <c r="C4957" t="s">
        <v>353</v>
      </c>
      <c r="D4957" t="s">
        <v>8739</v>
      </c>
      <c r="E4957" t="s">
        <v>8735</v>
      </c>
      <c r="F4957" s="46">
        <v>46097.325931539352</v>
      </c>
      <c r="G4957" s="46">
        <v>46097.325931539352</v>
      </c>
      <c r="H4957">
        <v>0</v>
      </c>
    </row>
    <row r="4958" spans="1:8" x14ac:dyDescent="0.15">
      <c r="A4958">
        <v>4957</v>
      </c>
      <c r="B4958" t="s">
        <v>339</v>
      </c>
      <c r="C4958" t="s">
        <v>353</v>
      </c>
      <c r="D4958" t="s">
        <v>8740</v>
      </c>
      <c r="E4958" t="s">
        <v>8741</v>
      </c>
      <c r="F4958" s="46">
        <v>46097.325931539352</v>
      </c>
      <c r="G4958" s="46">
        <v>46097.325931539352</v>
      </c>
      <c r="H4958">
        <v>0</v>
      </c>
    </row>
    <row r="4959" spans="1:8" x14ac:dyDescent="0.15">
      <c r="A4959">
        <v>4958</v>
      </c>
      <c r="B4959" t="s">
        <v>339</v>
      </c>
      <c r="C4959" t="s">
        <v>353</v>
      </c>
      <c r="D4959" t="s">
        <v>8742</v>
      </c>
      <c r="E4959" t="s">
        <v>8743</v>
      </c>
      <c r="F4959" s="46">
        <v>46097.325931539352</v>
      </c>
      <c r="G4959" s="46">
        <v>46097.325931539352</v>
      </c>
      <c r="H4959">
        <v>0</v>
      </c>
    </row>
    <row r="4960" spans="1:8" x14ac:dyDescent="0.15">
      <c r="A4960">
        <v>4959</v>
      </c>
      <c r="B4960" t="s">
        <v>339</v>
      </c>
      <c r="C4960" t="s">
        <v>353</v>
      </c>
      <c r="D4960" t="s">
        <v>8744</v>
      </c>
      <c r="E4960" t="s">
        <v>8745</v>
      </c>
      <c r="F4960" s="46">
        <v>46097.325931539352</v>
      </c>
      <c r="G4960" s="46">
        <v>46097.325931539352</v>
      </c>
      <c r="H4960">
        <v>0</v>
      </c>
    </row>
    <row r="4961" spans="1:8" x14ac:dyDescent="0.15">
      <c r="A4961">
        <v>4960</v>
      </c>
      <c r="B4961" t="s">
        <v>339</v>
      </c>
      <c r="C4961" t="s">
        <v>353</v>
      </c>
      <c r="D4961" t="s">
        <v>8746</v>
      </c>
      <c r="E4961" t="s">
        <v>8745</v>
      </c>
      <c r="F4961" s="46">
        <v>46097.325931539352</v>
      </c>
      <c r="G4961" s="46">
        <v>46097.325931539352</v>
      </c>
      <c r="H4961">
        <v>0</v>
      </c>
    </row>
    <row r="4962" spans="1:8" x14ac:dyDescent="0.15">
      <c r="A4962">
        <v>4961</v>
      </c>
      <c r="B4962" t="s">
        <v>339</v>
      </c>
      <c r="C4962" t="s">
        <v>353</v>
      </c>
      <c r="D4962" t="s">
        <v>8747</v>
      </c>
      <c r="E4962" t="s">
        <v>8745</v>
      </c>
      <c r="F4962" s="46">
        <v>46097.325931539352</v>
      </c>
      <c r="G4962" s="46">
        <v>46097.325931539352</v>
      </c>
      <c r="H4962">
        <v>0</v>
      </c>
    </row>
    <row r="4963" spans="1:8" x14ac:dyDescent="0.15">
      <c r="A4963">
        <v>4962</v>
      </c>
      <c r="B4963" t="s">
        <v>339</v>
      </c>
      <c r="C4963" t="s">
        <v>353</v>
      </c>
      <c r="D4963" t="s">
        <v>8748</v>
      </c>
      <c r="E4963" t="s">
        <v>8745</v>
      </c>
      <c r="F4963" s="46">
        <v>46097.325931539352</v>
      </c>
      <c r="G4963" s="46">
        <v>46097.325931539352</v>
      </c>
      <c r="H4963">
        <v>0</v>
      </c>
    </row>
    <row r="4964" spans="1:8" x14ac:dyDescent="0.15">
      <c r="A4964">
        <v>4963</v>
      </c>
      <c r="B4964" t="s">
        <v>339</v>
      </c>
      <c r="C4964" t="s">
        <v>353</v>
      </c>
      <c r="D4964" t="s">
        <v>8749</v>
      </c>
      <c r="E4964" t="s">
        <v>8745</v>
      </c>
      <c r="F4964" s="46">
        <v>46097.325931539352</v>
      </c>
      <c r="G4964" s="46">
        <v>46097.325931712963</v>
      </c>
      <c r="H4964">
        <v>16</v>
      </c>
    </row>
    <row r="4965" spans="1:8" x14ac:dyDescent="0.15">
      <c r="A4965">
        <v>4964</v>
      </c>
      <c r="B4965" t="s">
        <v>339</v>
      </c>
      <c r="C4965" t="s">
        <v>353</v>
      </c>
      <c r="D4965" t="s">
        <v>8750</v>
      </c>
      <c r="E4965" t="s">
        <v>8745</v>
      </c>
      <c r="F4965" s="46">
        <v>46097.325931712963</v>
      </c>
      <c r="G4965" s="46">
        <v>46097.325931712963</v>
      </c>
      <c r="H4965">
        <v>0</v>
      </c>
    </row>
    <row r="4966" spans="1:8" x14ac:dyDescent="0.15">
      <c r="A4966">
        <v>4965</v>
      </c>
      <c r="B4966" t="s">
        <v>339</v>
      </c>
      <c r="C4966" t="s">
        <v>353</v>
      </c>
      <c r="D4966" t="s">
        <v>8751</v>
      </c>
      <c r="E4966" t="s">
        <v>8745</v>
      </c>
      <c r="F4966" s="46">
        <v>46097.325931712963</v>
      </c>
      <c r="G4966" s="46">
        <v>46097.325931712963</v>
      </c>
      <c r="H4966">
        <v>0</v>
      </c>
    </row>
    <row r="4967" spans="1:8" x14ac:dyDescent="0.15">
      <c r="A4967">
        <v>4966</v>
      </c>
      <c r="B4967" t="s">
        <v>339</v>
      </c>
      <c r="C4967" t="s">
        <v>353</v>
      </c>
      <c r="D4967" t="s">
        <v>8752</v>
      </c>
      <c r="E4967" t="s">
        <v>8745</v>
      </c>
      <c r="F4967" s="46">
        <v>46097.325931712963</v>
      </c>
      <c r="G4967" s="46">
        <v>46097.325931712963</v>
      </c>
      <c r="H4967">
        <v>0</v>
      </c>
    </row>
    <row r="4968" spans="1:8" x14ac:dyDescent="0.15">
      <c r="A4968">
        <v>4967</v>
      </c>
      <c r="B4968" t="s">
        <v>339</v>
      </c>
      <c r="C4968" t="s">
        <v>353</v>
      </c>
      <c r="D4968" t="s">
        <v>8753</v>
      </c>
      <c r="E4968" t="s">
        <v>8745</v>
      </c>
      <c r="F4968" s="46">
        <v>46097.325931712963</v>
      </c>
      <c r="G4968" s="46">
        <v>46097.325931712963</v>
      </c>
      <c r="H4968">
        <v>0</v>
      </c>
    </row>
    <row r="4969" spans="1:8" x14ac:dyDescent="0.15">
      <c r="A4969">
        <v>4968</v>
      </c>
      <c r="B4969" t="s">
        <v>339</v>
      </c>
      <c r="C4969" t="s">
        <v>353</v>
      </c>
      <c r="D4969" t="s">
        <v>8754</v>
      </c>
      <c r="E4969" t="s">
        <v>8745</v>
      </c>
      <c r="F4969" s="46">
        <v>46097.325931712963</v>
      </c>
      <c r="G4969" s="46">
        <v>46097.325931712963</v>
      </c>
      <c r="H4969">
        <v>0</v>
      </c>
    </row>
    <row r="4970" spans="1:8" x14ac:dyDescent="0.15">
      <c r="A4970">
        <v>4969</v>
      </c>
      <c r="B4970" t="s">
        <v>339</v>
      </c>
      <c r="C4970" t="s">
        <v>353</v>
      </c>
      <c r="D4970" t="s">
        <v>8755</v>
      </c>
      <c r="E4970" t="s">
        <v>8745</v>
      </c>
      <c r="F4970" s="46">
        <v>46097.325931712963</v>
      </c>
      <c r="G4970" s="46">
        <v>46097.325931712963</v>
      </c>
      <c r="H4970">
        <v>0</v>
      </c>
    </row>
    <row r="4971" spans="1:8" x14ac:dyDescent="0.15">
      <c r="A4971">
        <v>4970</v>
      </c>
      <c r="B4971" t="s">
        <v>339</v>
      </c>
      <c r="C4971" t="s">
        <v>353</v>
      </c>
      <c r="D4971" t="s">
        <v>8756</v>
      </c>
      <c r="E4971" t="s">
        <v>8757</v>
      </c>
      <c r="F4971" s="46">
        <v>46097.325931712963</v>
      </c>
      <c r="G4971" s="46">
        <v>46097.325931712963</v>
      </c>
      <c r="H4971">
        <v>0</v>
      </c>
    </row>
    <row r="4972" spans="1:8" x14ac:dyDescent="0.15">
      <c r="A4972">
        <v>4971</v>
      </c>
      <c r="B4972" t="s">
        <v>339</v>
      </c>
      <c r="C4972" t="s">
        <v>353</v>
      </c>
      <c r="D4972" t="s">
        <v>8758</v>
      </c>
      <c r="E4972" t="s">
        <v>8759</v>
      </c>
      <c r="F4972" s="46">
        <v>46097.325931712963</v>
      </c>
      <c r="G4972" s="46">
        <v>46097.325931712963</v>
      </c>
      <c r="H4972">
        <v>0</v>
      </c>
    </row>
    <row r="4973" spans="1:8" x14ac:dyDescent="0.15">
      <c r="A4973">
        <v>4972</v>
      </c>
      <c r="B4973" t="s">
        <v>339</v>
      </c>
      <c r="C4973" t="s">
        <v>353</v>
      </c>
      <c r="D4973" t="s">
        <v>8760</v>
      </c>
      <c r="E4973" t="s">
        <v>8761</v>
      </c>
      <c r="F4973" s="46">
        <v>46097.325931712963</v>
      </c>
      <c r="G4973" s="46">
        <v>46097.325931712963</v>
      </c>
      <c r="H4973">
        <v>0</v>
      </c>
    </row>
    <row r="4974" spans="1:8" x14ac:dyDescent="0.15">
      <c r="A4974">
        <v>4973</v>
      </c>
      <c r="B4974" t="s">
        <v>339</v>
      </c>
      <c r="C4974" t="s">
        <v>353</v>
      </c>
      <c r="D4974" t="s">
        <v>8762</v>
      </c>
      <c r="E4974" t="s">
        <v>8763</v>
      </c>
      <c r="F4974" s="46">
        <v>46097.325931712963</v>
      </c>
      <c r="G4974" s="46">
        <v>46097.325931712963</v>
      </c>
      <c r="H4974">
        <v>0</v>
      </c>
    </row>
    <row r="4975" spans="1:8" x14ac:dyDescent="0.15">
      <c r="A4975">
        <v>4974</v>
      </c>
      <c r="B4975" t="s">
        <v>339</v>
      </c>
      <c r="C4975" t="s">
        <v>353</v>
      </c>
      <c r="D4975" t="s">
        <v>8764</v>
      </c>
      <c r="E4975" t="s">
        <v>8765</v>
      </c>
      <c r="F4975" s="46">
        <v>46097.325931712963</v>
      </c>
      <c r="G4975" s="46">
        <v>46097.325931898151</v>
      </c>
      <c r="H4975">
        <v>15</v>
      </c>
    </row>
    <row r="4976" spans="1:8" x14ac:dyDescent="0.15">
      <c r="A4976">
        <v>4975</v>
      </c>
      <c r="B4976" t="s">
        <v>339</v>
      </c>
      <c r="C4976" t="s">
        <v>353</v>
      </c>
      <c r="D4976" t="s">
        <v>8766</v>
      </c>
      <c r="E4976" t="s">
        <v>8765</v>
      </c>
      <c r="F4976" s="46">
        <v>46097.325931898151</v>
      </c>
      <c r="G4976" s="46">
        <v>46097.325931898151</v>
      </c>
      <c r="H4976">
        <v>0</v>
      </c>
    </row>
    <row r="4977" spans="1:8" x14ac:dyDescent="0.15">
      <c r="A4977">
        <v>4976</v>
      </c>
      <c r="B4977" t="s">
        <v>339</v>
      </c>
      <c r="C4977" t="s">
        <v>353</v>
      </c>
      <c r="D4977" t="s">
        <v>8767</v>
      </c>
      <c r="E4977" t="s">
        <v>8768</v>
      </c>
      <c r="F4977" s="46">
        <v>46097.325931898151</v>
      </c>
      <c r="G4977" s="46">
        <v>46097.325931898151</v>
      </c>
      <c r="H4977">
        <v>0</v>
      </c>
    </row>
    <row r="4978" spans="1:8" x14ac:dyDescent="0.15">
      <c r="A4978">
        <v>4977</v>
      </c>
      <c r="B4978" t="s">
        <v>339</v>
      </c>
      <c r="C4978" t="s">
        <v>353</v>
      </c>
      <c r="D4978" t="s">
        <v>8769</v>
      </c>
      <c r="E4978" t="s">
        <v>8768</v>
      </c>
      <c r="F4978" s="46">
        <v>46097.325931898151</v>
      </c>
      <c r="G4978" s="46">
        <v>46097.325931898151</v>
      </c>
      <c r="H4978">
        <v>0</v>
      </c>
    </row>
    <row r="4979" spans="1:8" x14ac:dyDescent="0.15">
      <c r="A4979">
        <v>4978</v>
      </c>
      <c r="B4979" t="s">
        <v>339</v>
      </c>
      <c r="C4979" t="s">
        <v>353</v>
      </c>
      <c r="D4979" t="s">
        <v>8770</v>
      </c>
      <c r="E4979" t="s">
        <v>801</v>
      </c>
      <c r="F4979" s="46">
        <v>46097.325931898151</v>
      </c>
      <c r="G4979" s="46">
        <v>46097.325931898151</v>
      </c>
      <c r="H4979">
        <v>0</v>
      </c>
    </row>
    <row r="4980" spans="1:8" x14ac:dyDescent="0.15">
      <c r="A4980">
        <v>4979</v>
      </c>
      <c r="B4980" t="s">
        <v>339</v>
      </c>
      <c r="C4980" t="s">
        <v>353</v>
      </c>
      <c r="D4980" t="s">
        <v>8771</v>
      </c>
      <c r="E4980" t="s">
        <v>8772</v>
      </c>
      <c r="F4980" s="46">
        <v>46097.325931898151</v>
      </c>
      <c r="G4980" s="46">
        <v>46097.325931898151</v>
      </c>
      <c r="H4980">
        <v>0</v>
      </c>
    </row>
    <row r="4981" spans="1:8" x14ac:dyDescent="0.15">
      <c r="A4981">
        <v>4980</v>
      </c>
      <c r="B4981" t="s">
        <v>339</v>
      </c>
      <c r="C4981" t="s">
        <v>353</v>
      </c>
      <c r="D4981" t="s">
        <v>8773</v>
      </c>
      <c r="E4981" t="s">
        <v>8774</v>
      </c>
      <c r="F4981" s="46">
        <v>46097.325931898151</v>
      </c>
      <c r="G4981" s="46">
        <v>46097.325931898151</v>
      </c>
      <c r="H4981">
        <v>0</v>
      </c>
    </row>
    <row r="4982" spans="1:8" x14ac:dyDescent="0.15">
      <c r="A4982">
        <v>4981</v>
      </c>
      <c r="B4982" t="s">
        <v>339</v>
      </c>
      <c r="C4982" t="s">
        <v>353</v>
      </c>
      <c r="D4982" t="s">
        <v>8775</v>
      </c>
      <c r="E4982" t="s">
        <v>8774</v>
      </c>
      <c r="F4982" s="46">
        <v>46097.325931898151</v>
      </c>
      <c r="G4982" s="46">
        <v>46097.325931898151</v>
      </c>
      <c r="H4982">
        <v>0</v>
      </c>
    </row>
    <row r="4983" spans="1:8" x14ac:dyDescent="0.15">
      <c r="A4983">
        <v>4982</v>
      </c>
      <c r="B4983" t="s">
        <v>339</v>
      </c>
      <c r="C4983" t="s">
        <v>353</v>
      </c>
      <c r="D4983" t="s">
        <v>8776</v>
      </c>
      <c r="E4983" t="s">
        <v>8777</v>
      </c>
      <c r="F4983" s="46">
        <v>46097.325931898151</v>
      </c>
      <c r="G4983" s="46">
        <v>46097.325931898151</v>
      </c>
      <c r="H4983">
        <v>0</v>
      </c>
    </row>
    <row r="4984" spans="1:8" x14ac:dyDescent="0.15">
      <c r="A4984">
        <v>4983</v>
      </c>
      <c r="B4984" t="s">
        <v>339</v>
      </c>
      <c r="C4984" t="s">
        <v>353</v>
      </c>
      <c r="D4984" t="s">
        <v>8778</v>
      </c>
      <c r="E4984" t="s">
        <v>8779</v>
      </c>
      <c r="F4984" s="46">
        <v>46097.325931898151</v>
      </c>
      <c r="G4984" s="46">
        <v>46097.325931898151</v>
      </c>
      <c r="H4984">
        <v>0</v>
      </c>
    </row>
    <row r="4985" spans="1:8" x14ac:dyDescent="0.15">
      <c r="A4985">
        <v>4984</v>
      </c>
      <c r="B4985" t="s">
        <v>339</v>
      </c>
      <c r="C4985" t="s">
        <v>353</v>
      </c>
      <c r="D4985" t="s">
        <v>8780</v>
      </c>
      <c r="E4985" t="s">
        <v>8781</v>
      </c>
      <c r="F4985" s="46">
        <v>46097.325931898151</v>
      </c>
      <c r="G4985" s="46">
        <v>46097.325932083331</v>
      </c>
      <c r="H4985">
        <v>16</v>
      </c>
    </row>
    <row r="4986" spans="1:8" x14ac:dyDescent="0.15">
      <c r="A4986">
        <v>4985</v>
      </c>
      <c r="B4986" t="s">
        <v>339</v>
      </c>
      <c r="C4986" t="s">
        <v>353</v>
      </c>
      <c r="D4986" t="s">
        <v>8782</v>
      </c>
      <c r="E4986" t="s">
        <v>8783</v>
      </c>
      <c r="F4986" s="46">
        <v>46097.325932083331</v>
      </c>
      <c r="G4986" s="46">
        <v>46097.325932083331</v>
      </c>
      <c r="H4986">
        <v>0</v>
      </c>
    </row>
    <row r="4987" spans="1:8" x14ac:dyDescent="0.15">
      <c r="A4987">
        <v>4986</v>
      </c>
      <c r="B4987" t="s">
        <v>339</v>
      </c>
      <c r="C4987" t="s">
        <v>353</v>
      </c>
      <c r="D4987" t="s">
        <v>8784</v>
      </c>
      <c r="E4987" t="s">
        <v>8783</v>
      </c>
      <c r="F4987" s="46">
        <v>46097.325932083331</v>
      </c>
      <c r="G4987" s="46">
        <v>46097.325932083331</v>
      </c>
      <c r="H4987">
        <v>0</v>
      </c>
    </row>
    <row r="4988" spans="1:8" x14ac:dyDescent="0.15">
      <c r="A4988">
        <v>4987</v>
      </c>
      <c r="B4988" t="s">
        <v>339</v>
      </c>
      <c r="C4988" t="s">
        <v>353</v>
      </c>
      <c r="D4988" t="s">
        <v>8785</v>
      </c>
      <c r="E4988" t="s">
        <v>8786</v>
      </c>
      <c r="F4988" s="46">
        <v>46097.325932083331</v>
      </c>
      <c r="G4988" s="46">
        <v>46097.325932083331</v>
      </c>
      <c r="H4988">
        <v>0</v>
      </c>
    </row>
    <row r="4989" spans="1:8" x14ac:dyDescent="0.15">
      <c r="A4989">
        <v>4988</v>
      </c>
      <c r="B4989" t="s">
        <v>339</v>
      </c>
      <c r="C4989" t="s">
        <v>353</v>
      </c>
      <c r="D4989" t="s">
        <v>8787</v>
      </c>
      <c r="E4989" t="s">
        <v>8786</v>
      </c>
      <c r="F4989" s="46">
        <v>46097.325932083331</v>
      </c>
      <c r="G4989" s="46">
        <v>46097.325932083331</v>
      </c>
      <c r="H4989">
        <v>0</v>
      </c>
    </row>
    <row r="4990" spans="1:8" x14ac:dyDescent="0.15">
      <c r="A4990">
        <v>4989</v>
      </c>
      <c r="B4990" t="s">
        <v>339</v>
      </c>
      <c r="C4990" t="s">
        <v>353</v>
      </c>
      <c r="D4990" t="s">
        <v>8788</v>
      </c>
      <c r="E4990" t="s">
        <v>8789</v>
      </c>
      <c r="F4990" s="46">
        <v>46097.325932083331</v>
      </c>
      <c r="G4990" s="46">
        <v>46097.325932083331</v>
      </c>
      <c r="H4990">
        <v>0</v>
      </c>
    </row>
    <row r="4991" spans="1:8" x14ac:dyDescent="0.15">
      <c r="A4991">
        <v>4990</v>
      </c>
      <c r="B4991" t="s">
        <v>339</v>
      </c>
      <c r="C4991" t="s">
        <v>353</v>
      </c>
      <c r="D4991" t="s">
        <v>8790</v>
      </c>
      <c r="E4991" t="s">
        <v>8789</v>
      </c>
      <c r="F4991" s="46">
        <v>46097.325932083331</v>
      </c>
      <c r="G4991" s="46">
        <v>46097.325932083331</v>
      </c>
      <c r="H4991">
        <v>0</v>
      </c>
    </row>
    <row r="4992" spans="1:8" x14ac:dyDescent="0.15">
      <c r="A4992">
        <v>4991</v>
      </c>
      <c r="B4992" t="s">
        <v>339</v>
      </c>
      <c r="C4992" t="s">
        <v>353</v>
      </c>
      <c r="D4992" t="s">
        <v>8791</v>
      </c>
      <c r="E4992" t="s">
        <v>8792</v>
      </c>
      <c r="F4992" s="46">
        <v>46097.325932083331</v>
      </c>
      <c r="G4992" s="46">
        <v>46097.325932083331</v>
      </c>
      <c r="H4992">
        <v>0</v>
      </c>
    </row>
    <row r="4993" spans="1:8" x14ac:dyDescent="0.15">
      <c r="A4993">
        <v>4992</v>
      </c>
      <c r="B4993" t="s">
        <v>339</v>
      </c>
      <c r="C4993" t="s">
        <v>353</v>
      </c>
      <c r="D4993" t="s">
        <v>8793</v>
      </c>
      <c r="E4993" t="s">
        <v>8794</v>
      </c>
      <c r="F4993" s="46">
        <v>46097.325932083331</v>
      </c>
      <c r="G4993" s="46">
        <v>46097.325932083331</v>
      </c>
      <c r="H4993">
        <v>0</v>
      </c>
    </row>
    <row r="4994" spans="1:8" x14ac:dyDescent="0.15">
      <c r="A4994">
        <v>4993</v>
      </c>
      <c r="B4994" t="s">
        <v>339</v>
      </c>
      <c r="C4994" t="s">
        <v>353</v>
      </c>
      <c r="D4994" t="s">
        <v>8795</v>
      </c>
      <c r="E4994" t="s">
        <v>8794</v>
      </c>
      <c r="F4994" s="46">
        <v>46097.325932083331</v>
      </c>
      <c r="G4994" s="46">
        <v>46097.325932083331</v>
      </c>
      <c r="H4994">
        <v>0</v>
      </c>
    </row>
    <row r="4995" spans="1:8" x14ac:dyDescent="0.15">
      <c r="A4995">
        <v>4994</v>
      </c>
      <c r="B4995" t="s">
        <v>339</v>
      </c>
      <c r="C4995" t="s">
        <v>353</v>
      </c>
      <c r="D4995" t="s">
        <v>8796</v>
      </c>
      <c r="E4995" t="s">
        <v>8794</v>
      </c>
      <c r="F4995" s="46">
        <v>46097.325932083331</v>
      </c>
      <c r="G4995" s="46">
        <v>46097.325932083331</v>
      </c>
      <c r="H4995">
        <v>0</v>
      </c>
    </row>
    <row r="4996" spans="1:8" x14ac:dyDescent="0.15">
      <c r="A4996">
        <v>4995</v>
      </c>
      <c r="B4996" t="s">
        <v>339</v>
      </c>
      <c r="C4996" t="s">
        <v>353</v>
      </c>
      <c r="D4996" t="s">
        <v>8797</v>
      </c>
      <c r="E4996" t="s">
        <v>8794</v>
      </c>
      <c r="F4996" s="46">
        <v>46097.325932083331</v>
      </c>
      <c r="G4996" s="46">
        <v>46097.325932256943</v>
      </c>
      <c r="H4996">
        <v>16</v>
      </c>
    </row>
    <row r="4997" spans="1:8" x14ac:dyDescent="0.15">
      <c r="A4997">
        <v>4996</v>
      </c>
      <c r="B4997" t="s">
        <v>339</v>
      </c>
      <c r="C4997" t="s">
        <v>353</v>
      </c>
      <c r="D4997" t="s">
        <v>8798</v>
      </c>
      <c r="E4997" t="s">
        <v>8799</v>
      </c>
      <c r="F4997" s="46">
        <v>46097.325932256943</v>
      </c>
      <c r="G4997" s="46">
        <v>46097.325932256943</v>
      </c>
      <c r="H4997">
        <v>0</v>
      </c>
    </row>
    <row r="4998" spans="1:8" x14ac:dyDescent="0.15">
      <c r="A4998">
        <v>4997</v>
      </c>
      <c r="B4998" t="s">
        <v>339</v>
      </c>
      <c r="C4998" t="s">
        <v>353</v>
      </c>
      <c r="D4998" t="s">
        <v>8800</v>
      </c>
      <c r="E4998" t="s">
        <v>8799</v>
      </c>
      <c r="F4998" s="46">
        <v>46097.325932256943</v>
      </c>
      <c r="G4998" s="46">
        <v>46097.325932256943</v>
      </c>
      <c r="H4998">
        <v>0</v>
      </c>
    </row>
    <row r="4999" spans="1:8" x14ac:dyDescent="0.15">
      <c r="A4999">
        <v>4998</v>
      </c>
      <c r="B4999" t="s">
        <v>339</v>
      </c>
      <c r="C4999" t="s">
        <v>353</v>
      </c>
      <c r="D4999" t="s">
        <v>8801</v>
      </c>
      <c r="E4999" t="s">
        <v>8799</v>
      </c>
      <c r="F4999" s="46">
        <v>46097.325932256943</v>
      </c>
      <c r="G4999" s="46">
        <v>46097.325932256943</v>
      </c>
      <c r="H4999">
        <v>0</v>
      </c>
    </row>
    <row r="5000" spans="1:8" x14ac:dyDescent="0.15">
      <c r="A5000">
        <v>4999</v>
      </c>
      <c r="B5000" t="s">
        <v>339</v>
      </c>
      <c r="C5000" t="s">
        <v>353</v>
      </c>
      <c r="D5000" t="s">
        <v>8802</v>
      </c>
      <c r="E5000" t="s">
        <v>8799</v>
      </c>
      <c r="F5000" s="46">
        <v>46097.325932256943</v>
      </c>
      <c r="G5000" s="46">
        <v>46097.325932256943</v>
      </c>
      <c r="H5000">
        <v>0</v>
      </c>
    </row>
    <row r="5001" spans="1:8" x14ac:dyDescent="0.15">
      <c r="A5001">
        <v>5000</v>
      </c>
      <c r="B5001" t="s">
        <v>339</v>
      </c>
      <c r="C5001" t="s">
        <v>353</v>
      </c>
      <c r="D5001" t="s">
        <v>8803</v>
      </c>
      <c r="E5001" t="s">
        <v>8804</v>
      </c>
      <c r="F5001" s="46">
        <v>46097.325932256943</v>
      </c>
      <c r="G5001" s="46">
        <v>46097.325932256943</v>
      </c>
      <c r="H5001">
        <v>0</v>
      </c>
    </row>
    <row r="5002" spans="1:8" x14ac:dyDescent="0.15">
      <c r="A5002">
        <v>5001</v>
      </c>
      <c r="B5002" t="s">
        <v>339</v>
      </c>
      <c r="C5002" t="s">
        <v>353</v>
      </c>
      <c r="D5002" t="s">
        <v>8805</v>
      </c>
      <c r="E5002" t="s">
        <v>8806</v>
      </c>
      <c r="F5002" s="46">
        <v>46097.325932256943</v>
      </c>
      <c r="G5002" s="46">
        <v>46097.325932256943</v>
      </c>
      <c r="H5002">
        <v>0</v>
      </c>
    </row>
    <row r="5003" spans="1:8" x14ac:dyDescent="0.15">
      <c r="A5003">
        <v>5002</v>
      </c>
      <c r="B5003" t="s">
        <v>339</v>
      </c>
      <c r="C5003" t="s">
        <v>353</v>
      </c>
      <c r="D5003" t="s">
        <v>8807</v>
      </c>
      <c r="E5003" t="s">
        <v>8806</v>
      </c>
      <c r="F5003" s="46">
        <v>46097.325932256943</v>
      </c>
      <c r="G5003" s="46">
        <v>46097.325932256943</v>
      </c>
      <c r="H5003">
        <v>0</v>
      </c>
    </row>
    <row r="5004" spans="1:8" x14ac:dyDescent="0.15">
      <c r="A5004">
        <v>5003</v>
      </c>
      <c r="B5004" t="s">
        <v>339</v>
      </c>
      <c r="C5004" t="s">
        <v>353</v>
      </c>
      <c r="D5004" t="s">
        <v>8808</v>
      </c>
      <c r="E5004" t="s">
        <v>8806</v>
      </c>
      <c r="F5004" s="46">
        <v>46097.325932256943</v>
      </c>
      <c r="G5004" s="46">
        <v>46097.325932256943</v>
      </c>
      <c r="H5004">
        <v>0</v>
      </c>
    </row>
    <row r="5005" spans="1:8" x14ac:dyDescent="0.15">
      <c r="A5005">
        <v>5004</v>
      </c>
      <c r="B5005" t="s">
        <v>339</v>
      </c>
      <c r="C5005" t="s">
        <v>353</v>
      </c>
      <c r="D5005" t="s">
        <v>8809</v>
      </c>
      <c r="E5005" t="s">
        <v>8810</v>
      </c>
      <c r="F5005" s="46">
        <v>46097.325932256943</v>
      </c>
      <c r="G5005" s="46">
        <v>46097.325932256943</v>
      </c>
      <c r="H5005">
        <v>0</v>
      </c>
    </row>
    <row r="5006" spans="1:8" x14ac:dyDescent="0.15">
      <c r="A5006">
        <v>5005</v>
      </c>
      <c r="B5006" t="s">
        <v>339</v>
      </c>
      <c r="C5006" t="s">
        <v>353</v>
      </c>
      <c r="D5006" t="s">
        <v>8811</v>
      </c>
      <c r="E5006" t="s">
        <v>8812</v>
      </c>
      <c r="F5006" s="46">
        <v>46097.325932256943</v>
      </c>
      <c r="G5006" s="46">
        <v>46097.325932442131</v>
      </c>
      <c r="H5006">
        <v>15</v>
      </c>
    </row>
    <row r="5007" spans="1:8" x14ac:dyDescent="0.15">
      <c r="A5007">
        <v>5006</v>
      </c>
      <c r="B5007" t="s">
        <v>339</v>
      </c>
      <c r="C5007" t="s">
        <v>353</v>
      </c>
      <c r="D5007" t="s">
        <v>8813</v>
      </c>
      <c r="E5007" t="s">
        <v>8814</v>
      </c>
      <c r="F5007" s="46">
        <v>46097.325932442131</v>
      </c>
      <c r="G5007" s="46">
        <v>46097.325932442131</v>
      </c>
      <c r="H5007">
        <v>0</v>
      </c>
    </row>
    <row r="5008" spans="1:8" x14ac:dyDescent="0.15">
      <c r="A5008">
        <v>5007</v>
      </c>
      <c r="B5008" t="s">
        <v>339</v>
      </c>
      <c r="C5008" t="s">
        <v>353</v>
      </c>
      <c r="D5008" t="s">
        <v>8815</v>
      </c>
      <c r="E5008" t="s">
        <v>8814</v>
      </c>
      <c r="F5008" s="46">
        <v>46097.325932442131</v>
      </c>
      <c r="G5008" s="46">
        <v>46097.325932442131</v>
      </c>
      <c r="H5008">
        <v>0</v>
      </c>
    </row>
    <row r="5009" spans="1:8" x14ac:dyDescent="0.15">
      <c r="A5009">
        <v>5008</v>
      </c>
      <c r="B5009" t="s">
        <v>339</v>
      </c>
      <c r="C5009" t="s">
        <v>353</v>
      </c>
      <c r="D5009" t="s">
        <v>8816</v>
      </c>
      <c r="E5009" t="s">
        <v>8814</v>
      </c>
      <c r="F5009" s="46">
        <v>46097.325932442131</v>
      </c>
      <c r="G5009" s="46">
        <v>46097.325932442131</v>
      </c>
      <c r="H5009">
        <v>0</v>
      </c>
    </row>
    <row r="5010" spans="1:8" x14ac:dyDescent="0.15">
      <c r="A5010">
        <v>5009</v>
      </c>
      <c r="B5010" t="s">
        <v>339</v>
      </c>
      <c r="C5010" t="s">
        <v>353</v>
      </c>
      <c r="D5010" t="s">
        <v>8817</v>
      </c>
      <c r="E5010" t="s">
        <v>8818</v>
      </c>
      <c r="F5010" s="46">
        <v>46097.325932442131</v>
      </c>
      <c r="G5010" s="46">
        <v>46097.325932442131</v>
      </c>
      <c r="H5010">
        <v>0</v>
      </c>
    </row>
    <row r="5011" spans="1:8" x14ac:dyDescent="0.15">
      <c r="A5011">
        <v>5010</v>
      </c>
      <c r="B5011" t="s">
        <v>339</v>
      </c>
      <c r="C5011" t="s">
        <v>353</v>
      </c>
      <c r="D5011" t="s">
        <v>8819</v>
      </c>
      <c r="E5011" t="s">
        <v>8818</v>
      </c>
      <c r="F5011" s="46">
        <v>46097.325932442131</v>
      </c>
      <c r="G5011" s="46">
        <v>46097.325932442131</v>
      </c>
      <c r="H5011">
        <v>0</v>
      </c>
    </row>
    <row r="5012" spans="1:8" x14ac:dyDescent="0.15">
      <c r="A5012">
        <v>5011</v>
      </c>
      <c r="B5012" t="s">
        <v>339</v>
      </c>
      <c r="C5012" t="s">
        <v>353</v>
      </c>
      <c r="D5012" t="s">
        <v>8820</v>
      </c>
      <c r="E5012" t="s">
        <v>8821</v>
      </c>
      <c r="F5012" s="46">
        <v>46097.325932442131</v>
      </c>
      <c r="G5012" s="46">
        <v>46097.325932442131</v>
      </c>
      <c r="H5012">
        <v>0</v>
      </c>
    </row>
    <row r="5013" spans="1:8" x14ac:dyDescent="0.15">
      <c r="A5013">
        <v>5012</v>
      </c>
      <c r="B5013" t="s">
        <v>339</v>
      </c>
      <c r="C5013" t="s">
        <v>353</v>
      </c>
      <c r="D5013" t="s">
        <v>8822</v>
      </c>
      <c r="E5013" t="s">
        <v>8821</v>
      </c>
      <c r="F5013" s="46">
        <v>46097.325932442131</v>
      </c>
      <c r="G5013" s="46">
        <v>46097.325932442131</v>
      </c>
      <c r="H5013">
        <v>0</v>
      </c>
    </row>
    <row r="5014" spans="1:8" x14ac:dyDescent="0.15">
      <c r="A5014">
        <v>5013</v>
      </c>
      <c r="B5014" t="s">
        <v>339</v>
      </c>
      <c r="C5014" t="s">
        <v>353</v>
      </c>
      <c r="D5014" t="s">
        <v>8823</v>
      </c>
      <c r="E5014" t="s">
        <v>8824</v>
      </c>
      <c r="F5014" s="46">
        <v>46097.325932442131</v>
      </c>
      <c r="G5014" s="46">
        <v>46097.325932442131</v>
      </c>
      <c r="H5014">
        <v>0</v>
      </c>
    </row>
    <row r="5015" spans="1:8" x14ac:dyDescent="0.15">
      <c r="A5015">
        <v>5014</v>
      </c>
      <c r="B5015" t="s">
        <v>339</v>
      </c>
      <c r="C5015" t="s">
        <v>353</v>
      </c>
      <c r="D5015" t="s">
        <v>8825</v>
      </c>
      <c r="E5015" t="s">
        <v>8824</v>
      </c>
      <c r="F5015" s="46">
        <v>46097.325932442131</v>
      </c>
      <c r="G5015" s="46">
        <v>46097.325932442131</v>
      </c>
      <c r="H5015">
        <v>0</v>
      </c>
    </row>
    <row r="5016" spans="1:8" x14ac:dyDescent="0.15">
      <c r="A5016">
        <v>5015</v>
      </c>
      <c r="B5016" t="s">
        <v>339</v>
      </c>
      <c r="C5016" t="s">
        <v>353</v>
      </c>
      <c r="D5016" t="s">
        <v>8826</v>
      </c>
      <c r="E5016" t="s">
        <v>8827</v>
      </c>
      <c r="F5016" s="46">
        <v>46097.325932442131</v>
      </c>
      <c r="G5016" s="46">
        <v>46097.325932615742</v>
      </c>
      <c r="H5016">
        <v>16</v>
      </c>
    </row>
    <row r="5017" spans="1:8" x14ac:dyDescent="0.15">
      <c r="A5017">
        <v>5016</v>
      </c>
      <c r="B5017" t="s">
        <v>339</v>
      </c>
      <c r="C5017" t="s">
        <v>353</v>
      </c>
      <c r="D5017" t="s">
        <v>8828</v>
      </c>
      <c r="E5017" t="s">
        <v>8827</v>
      </c>
      <c r="F5017" s="46">
        <v>46097.325932615742</v>
      </c>
      <c r="G5017" s="46">
        <v>46097.325932615742</v>
      </c>
      <c r="H5017">
        <v>0</v>
      </c>
    </row>
    <row r="5018" spans="1:8" x14ac:dyDescent="0.15">
      <c r="A5018">
        <v>5017</v>
      </c>
      <c r="B5018" t="s">
        <v>339</v>
      </c>
      <c r="C5018" t="s">
        <v>353</v>
      </c>
      <c r="D5018" t="s">
        <v>8829</v>
      </c>
      <c r="E5018" t="s">
        <v>8827</v>
      </c>
      <c r="F5018" s="46">
        <v>46097.325932615742</v>
      </c>
      <c r="G5018" s="46">
        <v>46097.325932615742</v>
      </c>
      <c r="H5018">
        <v>0</v>
      </c>
    </row>
    <row r="5019" spans="1:8" x14ac:dyDescent="0.15">
      <c r="A5019">
        <v>5018</v>
      </c>
      <c r="B5019" t="s">
        <v>339</v>
      </c>
      <c r="C5019" t="s">
        <v>353</v>
      </c>
      <c r="D5019" t="s">
        <v>8830</v>
      </c>
      <c r="E5019" t="s">
        <v>8827</v>
      </c>
      <c r="F5019" s="46">
        <v>46097.325932615742</v>
      </c>
      <c r="G5019" s="46">
        <v>46097.325932615742</v>
      </c>
      <c r="H5019">
        <v>0</v>
      </c>
    </row>
    <row r="5020" spans="1:8" x14ac:dyDescent="0.15">
      <c r="A5020">
        <v>5019</v>
      </c>
      <c r="B5020" t="s">
        <v>339</v>
      </c>
      <c r="C5020" t="s">
        <v>353</v>
      </c>
      <c r="D5020" t="s">
        <v>8831</v>
      </c>
      <c r="E5020" t="s">
        <v>8832</v>
      </c>
      <c r="F5020" s="46">
        <v>46097.325932615742</v>
      </c>
      <c r="G5020" s="46">
        <v>46097.325932615742</v>
      </c>
      <c r="H5020">
        <v>0</v>
      </c>
    </row>
    <row r="5021" spans="1:8" x14ac:dyDescent="0.15">
      <c r="A5021">
        <v>5020</v>
      </c>
      <c r="B5021" t="s">
        <v>339</v>
      </c>
      <c r="C5021" t="s">
        <v>353</v>
      </c>
      <c r="D5021" t="s">
        <v>8833</v>
      </c>
      <c r="E5021" t="s">
        <v>8832</v>
      </c>
      <c r="F5021" s="46">
        <v>46097.325932615742</v>
      </c>
      <c r="G5021" s="46">
        <v>46097.325932615742</v>
      </c>
      <c r="H5021">
        <v>0</v>
      </c>
    </row>
    <row r="5022" spans="1:8" x14ac:dyDescent="0.15">
      <c r="A5022">
        <v>5021</v>
      </c>
      <c r="B5022" t="s">
        <v>339</v>
      </c>
      <c r="C5022" t="s">
        <v>353</v>
      </c>
      <c r="D5022" t="s">
        <v>8834</v>
      </c>
      <c r="E5022" t="s">
        <v>8832</v>
      </c>
      <c r="F5022" s="46">
        <v>46097.325932615742</v>
      </c>
      <c r="G5022" s="46">
        <v>46097.325932615742</v>
      </c>
      <c r="H5022">
        <v>0</v>
      </c>
    </row>
    <row r="5023" spans="1:8" x14ac:dyDescent="0.15">
      <c r="A5023">
        <v>5022</v>
      </c>
      <c r="B5023" t="s">
        <v>339</v>
      </c>
      <c r="C5023" t="s">
        <v>353</v>
      </c>
      <c r="D5023" t="s">
        <v>8835</v>
      </c>
      <c r="E5023" t="s">
        <v>8836</v>
      </c>
      <c r="F5023" s="46">
        <v>46097.325932615742</v>
      </c>
      <c r="G5023" s="46">
        <v>46097.325932615742</v>
      </c>
      <c r="H5023">
        <v>0</v>
      </c>
    </row>
    <row r="5024" spans="1:8" x14ac:dyDescent="0.15">
      <c r="A5024">
        <v>5023</v>
      </c>
      <c r="B5024" t="s">
        <v>339</v>
      </c>
      <c r="C5024" t="s">
        <v>353</v>
      </c>
      <c r="D5024" t="s">
        <v>8837</v>
      </c>
      <c r="E5024" t="s">
        <v>8838</v>
      </c>
      <c r="F5024" s="46">
        <v>46097.325932615742</v>
      </c>
      <c r="G5024" s="46">
        <v>46097.325932615742</v>
      </c>
      <c r="H5024">
        <v>0</v>
      </c>
    </row>
    <row r="5025" spans="1:8" x14ac:dyDescent="0.15">
      <c r="A5025">
        <v>5024</v>
      </c>
      <c r="B5025" t="s">
        <v>339</v>
      </c>
      <c r="C5025" t="s">
        <v>353</v>
      </c>
      <c r="D5025" t="s">
        <v>8839</v>
      </c>
      <c r="E5025" t="s">
        <v>8840</v>
      </c>
      <c r="F5025" s="46">
        <v>46097.325932615742</v>
      </c>
      <c r="G5025" s="46">
        <v>46097.325932615742</v>
      </c>
      <c r="H5025">
        <v>0</v>
      </c>
    </row>
    <row r="5026" spans="1:8" x14ac:dyDescent="0.15">
      <c r="A5026">
        <v>5025</v>
      </c>
      <c r="B5026" t="s">
        <v>339</v>
      </c>
      <c r="C5026" t="s">
        <v>353</v>
      </c>
      <c r="D5026" t="s">
        <v>8841</v>
      </c>
      <c r="E5026" t="s">
        <v>8842</v>
      </c>
      <c r="F5026" s="46">
        <v>46097.325932615742</v>
      </c>
      <c r="G5026" s="46">
        <v>46097.325932615742</v>
      </c>
      <c r="H5026">
        <v>0</v>
      </c>
    </row>
    <row r="5027" spans="1:8" x14ac:dyDescent="0.15">
      <c r="A5027">
        <v>5026</v>
      </c>
      <c r="B5027" t="s">
        <v>339</v>
      </c>
      <c r="C5027" t="s">
        <v>353</v>
      </c>
      <c r="D5027" t="s">
        <v>8843</v>
      </c>
      <c r="E5027" t="s">
        <v>8844</v>
      </c>
      <c r="F5027" s="46">
        <v>46097.325932615742</v>
      </c>
      <c r="G5027" s="46">
        <v>46097.325932800923</v>
      </c>
      <c r="H5027">
        <v>16</v>
      </c>
    </row>
    <row r="5028" spans="1:8" x14ac:dyDescent="0.15">
      <c r="A5028">
        <v>5027</v>
      </c>
      <c r="B5028" t="s">
        <v>339</v>
      </c>
      <c r="C5028" t="s">
        <v>353</v>
      </c>
      <c r="D5028" t="s">
        <v>8845</v>
      </c>
      <c r="E5028" t="s">
        <v>8844</v>
      </c>
      <c r="F5028" s="46">
        <v>46097.325932800923</v>
      </c>
      <c r="G5028" s="46">
        <v>46097.325932800923</v>
      </c>
      <c r="H5028">
        <v>0</v>
      </c>
    </row>
    <row r="5029" spans="1:8" x14ac:dyDescent="0.15">
      <c r="A5029">
        <v>5028</v>
      </c>
      <c r="B5029" t="s">
        <v>339</v>
      </c>
      <c r="C5029" t="s">
        <v>353</v>
      </c>
      <c r="D5029" t="s">
        <v>8846</v>
      </c>
      <c r="E5029" t="s">
        <v>8847</v>
      </c>
      <c r="F5029" s="46">
        <v>46097.325932800923</v>
      </c>
      <c r="G5029" s="46">
        <v>46097.325932800923</v>
      </c>
      <c r="H5029">
        <v>0</v>
      </c>
    </row>
    <row r="5030" spans="1:8" x14ac:dyDescent="0.15">
      <c r="A5030">
        <v>5029</v>
      </c>
      <c r="B5030" t="s">
        <v>339</v>
      </c>
      <c r="C5030" t="s">
        <v>353</v>
      </c>
      <c r="D5030" t="s">
        <v>8848</v>
      </c>
      <c r="E5030" t="s">
        <v>8847</v>
      </c>
      <c r="F5030" s="46">
        <v>46097.325932800923</v>
      </c>
      <c r="G5030" s="46">
        <v>46097.325932800923</v>
      </c>
      <c r="H5030">
        <v>0</v>
      </c>
    </row>
    <row r="5031" spans="1:8" x14ac:dyDescent="0.15">
      <c r="A5031">
        <v>5030</v>
      </c>
      <c r="B5031" t="s">
        <v>339</v>
      </c>
      <c r="C5031" t="s">
        <v>353</v>
      </c>
      <c r="D5031" t="s">
        <v>8849</v>
      </c>
      <c r="E5031" t="s">
        <v>8847</v>
      </c>
      <c r="F5031" s="46">
        <v>46097.325932800923</v>
      </c>
      <c r="G5031" s="46">
        <v>46097.325932800923</v>
      </c>
      <c r="H5031">
        <v>0</v>
      </c>
    </row>
    <row r="5032" spans="1:8" x14ac:dyDescent="0.15">
      <c r="A5032">
        <v>5031</v>
      </c>
      <c r="B5032" t="s">
        <v>339</v>
      </c>
      <c r="C5032" t="s">
        <v>353</v>
      </c>
      <c r="D5032" t="s">
        <v>8850</v>
      </c>
      <c r="E5032" t="s">
        <v>8851</v>
      </c>
      <c r="F5032" s="46">
        <v>46097.325932800923</v>
      </c>
      <c r="G5032" s="46">
        <v>46097.325932800923</v>
      </c>
      <c r="H5032">
        <v>0</v>
      </c>
    </row>
    <row r="5033" spans="1:8" x14ac:dyDescent="0.15">
      <c r="A5033">
        <v>5032</v>
      </c>
      <c r="B5033" t="s">
        <v>339</v>
      </c>
      <c r="C5033" t="s">
        <v>353</v>
      </c>
      <c r="D5033" t="s">
        <v>8852</v>
      </c>
      <c r="E5033" t="s">
        <v>8853</v>
      </c>
      <c r="F5033" s="46">
        <v>46097.325932800923</v>
      </c>
      <c r="G5033" s="46">
        <v>46097.325932800923</v>
      </c>
      <c r="H5033">
        <v>0</v>
      </c>
    </row>
    <row r="5034" spans="1:8" x14ac:dyDescent="0.15">
      <c r="A5034">
        <v>5033</v>
      </c>
      <c r="B5034" t="s">
        <v>339</v>
      </c>
      <c r="C5034" t="s">
        <v>353</v>
      </c>
      <c r="D5034" t="s">
        <v>8854</v>
      </c>
      <c r="E5034" t="s">
        <v>8855</v>
      </c>
      <c r="F5034" s="46">
        <v>46097.325932800923</v>
      </c>
      <c r="G5034" s="46">
        <v>46097.325932800923</v>
      </c>
      <c r="H5034">
        <v>0</v>
      </c>
    </row>
    <row r="5035" spans="1:8" x14ac:dyDescent="0.15">
      <c r="A5035">
        <v>5034</v>
      </c>
      <c r="B5035" t="s">
        <v>339</v>
      </c>
      <c r="C5035" t="s">
        <v>353</v>
      </c>
      <c r="D5035" t="s">
        <v>8856</v>
      </c>
      <c r="E5035" t="s">
        <v>8855</v>
      </c>
      <c r="F5035" s="46">
        <v>46097.325932800923</v>
      </c>
      <c r="G5035" s="46">
        <v>46097.325932800923</v>
      </c>
      <c r="H5035">
        <v>0</v>
      </c>
    </row>
    <row r="5036" spans="1:8" x14ac:dyDescent="0.15">
      <c r="A5036">
        <v>5035</v>
      </c>
      <c r="B5036" t="s">
        <v>339</v>
      </c>
      <c r="C5036" t="s">
        <v>353</v>
      </c>
      <c r="D5036" t="s">
        <v>8857</v>
      </c>
      <c r="E5036" t="s">
        <v>8855</v>
      </c>
      <c r="F5036" s="46">
        <v>46097.325932800923</v>
      </c>
      <c r="G5036" s="46">
        <v>46097.325932800923</v>
      </c>
      <c r="H5036">
        <v>0</v>
      </c>
    </row>
    <row r="5037" spans="1:8" x14ac:dyDescent="0.15">
      <c r="A5037">
        <v>5036</v>
      </c>
      <c r="B5037" t="s">
        <v>339</v>
      </c>
      <c r="C5037" t="s">
        <v>353</v>
      </c>
      <c r="D5037" t="s">
        <v>8858</v>
      </c>
      <c r="E5037" t="s">
        <v>8855</v>
      </c>
      <c r="F5037" s="46">
        <v>46097.325932800923</v>
      </c>
      <c r="G5037" s="46">
        <v>46097.32593298611</v>
      </c>
      <c r="H5037">
        <v>15</v>
      </c>
    </row>
    <row r="5038" spans="1:8" x14ac:dyDescent="0.15">
      <c r="A5038">
        <v>5037</v>
      </c>
      <c r="B5038" t="s">
        <v>339</v>
      </c>
      <c r="C5038" t="s">
        <v>353</v>
      </c>
      <c r="D5038" t="s">
        <v>8859</v>
      </c>
      <c r="E5038" t="s">
        <v>803</v>
      </c>
      <c r="F5038" s="46">
        <v>46097.32593298611</v>
      </c>
      <c r="G5038" s="46">
        <v>46097.32593298611</v>
      </c>
      <c r="H5038">
        <v>0</v>
      </c>
    </row>
    <row r="5039" spans="1:8" x14ac:dyDescent="0.15">
      <c r="A5039">
        <v>5038</v>
      </c>
      <c r="B5039" t="s">
        <v>339</v>
      </c>
      <c r="C5039" t="s">
        <v>353</v>
      </c>
      <c r="D5039" t="s">
        <v>8860</v>
      </c>
      <c r="E5039" t="s">
        <v>8861</v>
      </c>
      <c r="F5039" s="46">
        <v>46097.32593298611</v>
      </c>
      <c r="G5039" s="46">
        <v>46097.32593298611</v>
      </c>
      <c r="H5039">
        <v>0</v>
      </c>
    </row>
    <row r="5040" spans="1:8" x14ac:dyDescent="0.15">
      <c r="A5040">
        <v>5039</v>
      </c>
      <c r="B5040" t="s">
        <v>339</v>
      </c>
      <c r="C5040" t="s">
        <v>353</v>
      </c>
      <c r="D5040" t="s">
        <v>8862</v>
      </c>
      <c r="E5040" t="s">
        <v>8861</v>
      </c>
      <c r="F5040" s="46">
        <v>46097.32593298611</v>
      </c>
      <c r="G5040" s="46">
        <v>46097.32593298611</v>
      </c>
      <c r="H5040">
        <v>0</v>
      </c>
    </row>
    <row r="5041" spans="1:8" x14ac:dyDescent="0.15">
      <c r="A5041">
        <v>5040</v>
      </c>
      <c r="B5041" t="s">
        <v>339</v>
      </c>
      <c r="C5041" t="s">
        <v>353</v>
      </c>
      <c r="D5041" t="s">
        <v>8863</v>
      </c>
      <c r="E5041" t="s">
        <v>8864</v>
      </c>
      <c r="F5041" s="46">
        <v>46097.32593298611</v>
      </c>
      <c r="G5041" s="46">
        <v>46097.32593298611</v>
      </c>
      <c r="H5041">
        <v>0</v>
      </c>
    </row>
    <row r="5042" spans="1:8" x14ac:dyDescent="0.15">
      <c r="A5042">
        <v>5041</v>
      </c>
      <c r="B5042" t="s">
        <v>339</v>
      </c>
      <c r="C5042" t="s">
        <v>353</v>
      </c>
      <c r="D5042" t="s">
        <v>8865</v>
      </c>
      <c r="E5042" t="s">
        <v>8864</v>
      </c>
      <c r="F5042" s="46">
        <v>46097.32593298611</v>
      </c>
      <c r="G5042" s="46">
        <v>46097.32593298611</v>
      </c>
      <c r="H5042">
        <v>0</v>
      </c>
    </row>
    <row r="5043" spans="1:8" x14ac:dyDescent="0.15">
      <c r="A5043">
        <v>5042</v>
      </c>
      <c r="B5043" t="s">
        <v>339</v>
      </c>
      <c r="C5043" t="s">
        <v>353</v>
      </c>
      <c r="D5043" t="s">
        <v>8866</v>
      </c>
      <c r="E5043" t="s">
        <v>8867</v>
      </c>
      <c r="F5043" s="46">
        <v>46097.32593298611</v>
      </c>
      <c r="G5043" s="46">
        <v>46097.32593298611</v>
      </c>
      <c r="H5043">
        <v>0</v>
      </c>
    </row>
    <row r="5044" spans="1:8" x14ac:dyDescent="0.15">
      <c r="A5044">
        <v>5043</v>
      </c>
      <c r="B5044" t="s">
        <v>339</v>
      </c>
      <c r="C5044" t="s">
        <v>353</v>
      </c>
      <c r="D5044" t="s">
        <v>8868</v>
      </c>
      <c r="E5044" t="s">
        <v>8869</v>
      </c>
      <c r="F5044" s="46">
        <v>46097.32593298611</v>
      </c>
      <c r="G5044" s="46">
        <v>46097.32593298611</v>
      </c>
      <c r="H5044">
        <v>0</v>
      </c>
    </row>
    <row r="5045" spans="1:8" x14ac:dyDescent="0.15">
      <c r="A5045">
        <v>5044</v>
      </c>
      <c r="B5045" t="s">
        <v>339</v>
      </c>
      <c r="C5045" t="s">
        <v>353</v>
      </c>
      <c r="D5045" t="s">
        <v>8870</v>
      </c>
      <c r="E5045" t="s">
        <v>8869</v>
      </c>
      <c r="F5045" s="46">
        <v>46097.32593298611</v>
      </c>
      <c r="G5045" s="46">
        <v>46097.32593298611</v>
      </c>
      <c r="H5045">
        <v>0</v>
      </c>
    </row>
    <row r="5046" spans="1:8" x14ac:dyDescent="0.15">
      <c r="A5046">
        <v>5045</v>
      </c>
      <c r="B5046" t="s">
        <v>339</v>
      </c>
      <c r="C5046" t="s">
        <v>353</v>
      </c>
      <c r="D5046" t="s">
        <v>8871</v>
      </c>
      <c r="E5046" t="s">
        <v>8872</v>
      </c>
      <c r="F5046" s="46">
        <v>46097.32593298611</v>
      </c>
      <c r="G5046" s="46">
        <v>46097.32593298611</v>
      </c>
      <c r="H5046">
        <v>0</v>
      </c>
    </row>
    <row r="5047" spans="1:8" x14ac:dyDescent="0.15">
      <c r="A5047">
        <v>5046</v>
      </c>
      <c r="B5047" t="s">
        <v>339</v>
      </c>
      <c r="C5047" t="s">
        <v>353</v>
      </c>
      <c r="D5047" t="s">
        <v>8873</v>
      </c>
      <c r="E5047" t="s">
        <v>8874</v>
      </c>
      <c r="F5047" s="46">
        <v>46097.32593298611</v>
      </c>
      <c r="G5047" s="46">
        <v>46097.325933159722</v>
      </c>
      <c r="H5047">
        <v>16</v>
      </c>
    </row>
    <row r="5048" spans="1:8" x14ac:dyDescent="0.15">
      <c r="A5048">
        <v>5047</v>
      </c>
      <c r="B5048" t="s">
        <v>339</v>
      </c>
      <c r="C5048" t="s">
        <v>353</v>
      </c>
      <c r="D5048" t="s">
        <v>8875</v>
      </c>
      <c r="E5048" t="s">
        <v>8876</v>
      </c>
      <c r="F5048" s="46">
        <v>46097.325933159722</v>
      </c>
      <c r="G5048" s="46">
        <v>46097.325933159722</v>
      </c>
      <c r="H5048">
        <v>0</v>
      </c>
    </row>
    <row r="5049" spans="1:8" x14ac:dyDescent="0.15">
      <c r="A5049">
        <v>5048</v>
      </c>
      <c r="B5049" t="s">
        <v>339</v>
      </c>
      <c r="C5049" t="s">
        <v>353</v>
      </c>
      <c r="D5049" t="s">
        <v>8877</v>
      </c>
      <c r="E5049" t="s">
        <v>8876</v>
      </c>
      <c r="F5049" s="46">
        <v>46097.325933159722</v>
      </c>
      <c r="G5049" s="46">
        <v>46097.325933159722</v>
      </c>
      <c r="H5049">
        <v>0</v>
      </c>
    </row>
    <row r="5050" spans="1:8" x14ac:dyDescent="0.15">
      <c r="A5050">
        <v>5049</v>
      </c>
      <c r="B5050" t="s">
        <v>339</v>
      </c>
      <c r="C5050" t="s">
        <v>353</v>
      </c>
      <c r="D5050" t="s">
        <v>8878</v>
      </c>
      <c r="E5050" t="s">
        <v>8876</v>
      </c>
      <c r="F5050" s="46">
        <v>46097.325933159722</v>
      </c>
      <c r="G5050" s="46">
        <v>46097.325933159722</v>
      </c>
      <c r="H5050">
        <v>0</v>
      </c>
    </row>
    <row r="5051" spans="1:8" x14ac:dyDescent="0.15">
      <c r="A5051">
        <v>5050</v>
      </c>
      <c r="B5051" t="s">
        <v>339</v>
      </c>
      <c r="C5051" t="s">
        <v>353</v>
      </c>
      <c r="D5051" t="s">
        <v>8879</v>
      </c>
      <c r="E5051" t="s">
        <v>8880</v>
      </c>
      <c r="F5051" s="46">
        <v>46097.325933159722</v>
      </c>
      <c r="G5051" s="46">
        <v>46097.325933159722</v>
      </c>
      <c r="H5051">
        <v>0</v>
      </c>
    </row>
    <row r="5052" spans="1:8" x14ac:dyDescent="0.15">
      <c r="A5052">
        <v>5051</v>
      </c>
      <c r="B5052" t="s">
        <v>339</v>
      </c>
      <c r="C5052" t="s">
        <v>353</v>
      </c>
      <c r="D5052" t="s">
        <v>8881</v>
      </c>
      <c r="E5052" t="s">
        <v>8882</v>
      </c>
      <c r="F5052" s="46">
        <v>46097.325933159722</v>
      </c>
      <c r="G5052" s="46">
        <v>46097.325933159722</v>
      </c>
      <c r="H5052">
        <v>0</v>
      </c>
    </row>
    <row r="5053" spans="1:8" x14ac:dyDescent="0.15">
      <c r="A5053">
        <v>5052</v>
      </c>
      <c r="B5053" t="s">
        <v>339</v>
      </c>
      <c r="C5053" t="s">
        <v>353</v>
      </c>
      <c r="D5053" t="s">
        <v>8883</v>
      </c>
      <c r="E5053" t="s">
        <v>8884</v>
      </c>
      <c r="F5053" s="46">
        <v>46097.325933159722</v>
      </c>
      <c r="G5053" s="46">
        <v>46097.325933159722</v>
      </c>
      <c r="H5053">
        <v>0</v>
      </c>
    </row>
    <row r="5054" spans="1:8" x14ac:dyDescent="0.15">
      <c r="A5054">
        <v>5053</v>
      </c>
      <c r="B5054" t="s">
        <v>339</v>
      </c>
      <c r="C5054" t="s">
        <v>353</v>
      </c>
      <c r="D5054" t="s">
        <v>8885</v>
      </c>
      <c r="E5054" t="s">
        <v>8886</v>
      </c>
      <c r="F5054" s="46">
        <v>46097.325933159722</v>
      </c>
      <c r="G5054" s="46">
        <v>46097.325933159722</v>
      </c>
      <c r="H5054">
        <v>0</v>
      </c>
    </row>
    <row r="5055" spans="1:8" x14ac:dyDescent="0.15">
      <c r="A5055">
        <v>5054</v>
      </c>
      <c r="B5055" t="s">
        <v>339</v>
      </c>
      <c r="C5055" t="s">
        <v>353</v>
      </c>
      <c r="D5055" t="s">
        <v>8887</v>
      </c>
      <c r="E5055" t="s">
        <v>8888</v>
      </c>
      <c r="F5055" s="46">
        <v>46097.325933159722</v>
      </c>
      <c r="G5055" s="46">
        <v>46097.32593334491</v>
      </c>
      <c r="H5055">
        <v>15</v>
      </c>
    </row>
    <row r="5056" spans="1:8" x14ac:dyDescent="0.15">
      <c r="A5056">
        <v>5055</v>
      </c>
      <c r="B5056" t="s">
        <v>339</v>
      </c>
      <c r="C5056" t="s">
        <v>353</v>
      </c>
      <c r="D5056" t="s">
        <v>8889</v>
      </c>
      <c r="E5056" t="s">
        <v>8888</v>
      </c>
      <c r="F5056" s="46">
        <v>46097.32593334491</v>
      </c>
      <c r="G5056" s="46">
        <v>46097.32593334491</v>
      </c>
      <c r="H5056">
        <v>0</v>
      </c>
    </row>
    <row r="5057" spans="1:8" x14ac:dyDescent="0.15">
      <c r="A5057">
        <v>5056</v>
      </c>
      <c r="B5057" t="s">
        <v>339</v>
      </c>
      <c r="C5057" t="s">
        <v>353</v>
      </c>
      <c r="D5057" t="s">
        <v>8890</v>
      </c>
      <c r="E5057" t="s">
        <v>8888</v>
      </c>
      <c r="F5057" s="46">
        <v>46097.32593334491</v>
      </c>
      <c r="G5057" s="46">
        <v>46097.32593334491</v>
      </c>
      <c r="H5057">
        <v>0</v>
      </c>
    </row>
    <row r="5058" spans="1:8" x14ac:dyDescent="0.15">
      <c r="A5058">
        <v>5057</v>
      </c>
      <c r="B5058" t="s">
        <v>339</v>
      </c>
      <c r="C5058" t="s">
        <v>353</v>
      </c>
      <c r="D5058" t="s">
        <v>8891</v>
      </c>
      <c r="E5058" t="s">
        <v>8888</v>
      </c>
      <c r="F5058" s="46">
        <v>46097.32593334491</v>
      </c>
      <c r="G5058" s="46">
        <v>46097.32593334491</v>
      </c>
      <c r="H5058">
        <v>0</v>
      </c>
    </row>
    <row r="5059" spans="1:8" x14ac:dyDescent="0.15">
      <c r="A5059">
        <v>5058</v>
      </c>
      <c r="B5059" t="s">
        <v>339</v>
      </c>
      <c r="C5059" t="s">
        <v>353</v>
      </c>
      <c r="D5059" t="s">
        <v>8892</v>
      </c>
      <c r="E5059" t="s">
        <v>8893</v>
      </c>
      <c r="F5059" s="46">
        <v>46097.32593334491</v>
      </c>
      <c r="G5059" s="46">
        <v>46097.32593334491</v>
      </c>
      <c r="H5059">
        <v>0</v>
      </c>
    </row>
    <row r="5060" spans="1:8" x14ac:dyDescent="0.15">
      <c r="A5060">
        <v>5059</v>
      </c>
      <c r="B5060" t="s">
        <v>339</v>
      </c>
      <c r="C5060" t="s">
        <v>353</v>
      </c>
      <c r="D5060" t="s">
        <v>8894</v>
      </c>
      <c r="E5060" t="s">
        <v>8893</v>
      </c>
      <c r="F5060" s="46">
        <v>46097.32593334491</v>
      </c>
      <c r="G5060" s="46">
        <v>46097.32593334491</v>
      </c>
      <c r="H5060">
        <v>0</v>
      </c>
    </row>
    <row r="5061" spans="1:8" x14ac:dyDescent="0.15">
      <c r="A5061">
        <v>5060</v>
      </c>
      <c r="B5061" t="s">
        <v>339</v>
      </c>
      <c r="C5061" t="s">
        <v>353</v>
      </c>
      <c r="D5061" t="s">
        <v>8895</v>
      </c>
      <c r="E5061" t="s">
        <v>8893</v>
      </c>
      <c r="F5061" s="46">
        <v>46097.32593334491</v>
      </c>
      <c r="G5061" s="46">
        <v>46097.32593334491</v>
      </c>
      <c r="H5061">
        <v>0</v>
      </c>
    </row>
    <row r="5062" spans="1:8" x14ac:dyDescent="0.15">
      <c r="A5062">
        <v>5061</v>
      </c>
      <c r="B5062" t="s">
        <v>339</v>
      </c>
      <c r="C5062" t="s">
        <v>353</v>
      </c>
      <c r="D5062" t="s">
        <v>8896</v>
      </c>
      <c r="E5062" t="s">
        <v>8897</v>
      </c>
      <c r="F5062" s="46">
        <v>46097.32593334491</v>
      </c>
      <c r="G5062" s="46">
        <v>46097.32593334491</v>
      </c>
      <c r="H5062">
        <v>0</v>
      </c>
    </row>
    <row r="5063" spans="1:8" x14ac:dyDescent="0.15">
      <c r="A5063">
        <v>5062</v>
      </c>
      <c r="B5063" t="s">
        <v>339</v>
      </c>
      <c r="C5063" t="s">
        <v>353</v>
      </c>
      <c r="D5063" t="s">
        <v>8898</v>
      </c>
      <c r="E5063" t="s">
        <v>8897</v>
      </c>
      <c r="F5063" s="46">
        <v>46097.32593334491</v>
      </c>
      <c r="G5063" s="46">
        <v>46097.32593334491</v>
      </c>
      <c r="H5063">
        <v>0</v>
      </c>
    </row>
    <row r="5064" spans="1:8" x14ac:dyDescent="0.15">
      <c r="A5064">
        <v>5063</v>
      </c>
      <c r="B5064" t="s">
        <v>339</v>
      </c>
      <c r="C5064" t="s">
        <v>353</v>
      </c>
      <c r="D5064" t="s">
        <v>8899</v>
      </c>
      <c r="E5064" t="s">
        <v>8897</v>
      </c>
      <c r="F5064" s="46">
        <v>46097.32593334491</v>
      </c>
      <c r="G5064" s="46">
        <v>46097.32593334491</v>
      </c>
      <c r="H5064">
        <v>0</v>
      </c>
    </row>
    <row r="5065" spans="1:8" x14ac:dyDescent="0.15">
      <c r="A5065">
        <v>5064</v>
      </c>
      <c r="B5065" t="s">
        <v>339</v>
      </c>
      <c r="C5065" t="s">
        <v>353</v>
      </c>
      <c r="D5065" t="s">
        <v>8900</v>
      </c>
      <c r="E5065" t="s">
        <v>8897</v>
      </c>
      <c r="F5065" s="46">
        <v>46097.32593334491</v>
      </c>
      <c r="G5065" s="46">
        <v>46097.32593353009</v>
      </c>
      <c r="H5065">
        <v>16</v>
      </c>
    </row>
    <row r="5066" spans="1:8" x14ac:dyDescent="0.15">
      <c r="A5066">
        <v>5065</v>
      </c>
      <c r="B5066" t="s">
        <v>339</v>
      </c>
      <c r="C5066" t="s">
        <v>353</v>
      </c>
      <c r="D5066" t="s">
        <v>8901</v>
      </c>
      <c r="E5066" t="s">
        <v>8897</v>
      </c>
      <c r="F5066" s="46">
        <v>46097.32593353009</v>
      </c>
      <c r="G5066" s="46">
        <v>46097.32593353009</v>
      </c>
      <c r="H5066">
        <v>0</v>
      </c>
    </row>
    <row r="5067" spans="1:8" x14ac:dyDescent="0.15">
      <c r="A5067">
        <v>5066</v>
      </c>
      <c r="B5067" t="s">
        <v>339</v>
      </c>
      <c r="C5067" t="s">
        <v>353</v>
      </c>
      <c r="D5067" t="s">
        <v>8902</v>
      </c>
      <c r="E5067" t="s">
        <v>8903</v>
      </c>
      <c r="F5067" s="46">
        <v>46097.32593353009</v>
      </c>
      <c r="G5067" s="46">
        <v>46097.32593353009</v>
      </c>
      <c r="H5067">
        <v>0</v>
      </c>
    </row>
    <row r="5068" spans="1:8" x14ac:dyDescent="0.15">
      <c r="A5068">
        <v>5067</v>
      </c>
      <c r="B5068" t="s">
        <v>339</v>
      </c>
      <c r="C5068" t="s">
        <v>353</v>
      </c>
      <c r="D5068" t="s">
        <v>8904</v>
      </c>
      <c r="E5068" t="s">
        <v>8903</v>
      </c>
      <c r="F5068" s="46">
        <v>46097.32593353009</v>
      </c>
      <c r="G5068" s="46">
        <v>46097.32593353009</v>
      </c>
      <c r="H5068">
        <v>0</v>
      </c>
    </row>
    <row r="5069" spans="1:8" x14ac:dyDescent="0.15">
      <c r="A5069">
        <v>5068</v>
      </c>
      <c r="B5069" t="s">
        <v>339</v>
      </c>
      <c r="C5069" t="s">
        <v>353</v>
      </c>
      <c r="D5069" t="s">
        <v>8905</v>
      </c>
      <c r="E5069" t="s">
        <v>8906</v>
      </c>
      <c r="F5069" s="46">
        <v>46097.32593353009</v>
      </c>
      <c r="G5069" s="46">
        <v>46097.32593353009</v>
      </c>
      <c r="H5069">
        <v>0</v>
      </c>
    </row>
    <row r="5070" spans="1:8" x14ac:dyDescent="0.15">
      <c r="A5070">
        <v>5069</v>
      </c>
      <c r="B5070" t="s">
        <v>339</v>
      </c>
      <c r="C5070" t="s">
        <v>353</v>
      </c>
      <c r="D5070" t="s">
        <v>8907</v>
      </c>
      <c r="E5070" t="s">
        <v>8906</v>
      </c>
      <c r="F5070" s="46">
        <v>46097.32593353009</v>
      </c>
      <c r="G5070" s="46">
        <v>46097.32593353009</v>
      </c>
      <c r="H5070">
        <v>0</v>
      </c>
    </row>
    <row r="5071" spans="1:8" x14ac:dyDescent="0.15">
      <c r="A5071">
        <v>5070</v>
      </c>
      <c r="B5071" t="s">
        <v>339</v>
      </c>
      <c r="C5071" t="s">
        <v>353</v>
      </c>
      <c r="D5071" t="s">
        <v>8908</v>
      </c>
      <c r="E5071" t="s">
        <v>8909</v>
      </c>
      <c r="F5071" s="46">
        <v>46097.32593353009</v>
      </c>
      <c r="G5071" s="46">
        <v>46097.32593353009</v>
      </c>
      <c r="H5071">
        <v>0</v>
      </c>
    </row>
    <row r="5072" spans="1:8" x14ac:dyDescent="0.15">
      <c r="A5072">
        <v>5071</v>
      </c>
      <c r="B5072" t="s">
        <v>339</v>
      </c>
      <c r="C5072" t="s">
        <v>353</v>
      </c>
      <c r="D5072" t="s">
        <v>8910</v>
      </c>
      <c r="E5072" t="s">
        <v>8909</v>
      </c>
      <c r="F5072" s="46">
        <v>46097.32593353009</v>
      </c>
      <c r="G5072" s="46">
        <v>46097.32593353009</v>
      </c>
      <c r="H5072">
        <v>0</v>
      </c>
    </row>
    <row r="5073" spans="1:8" x14ac:dyDescent="0.15">
      <c r="A5073">
        <v>5072</v>
      </c>
      <c r="B5073" t="s">
        <v>339</v>
      </c>
      <c r="C5073" t="s">
        <v>353</v>
      </c>
      <c r="D5073" t="s">
        <v>8911</v>
      </c>
      <c r="E5073" t="s">
        <v>8909</v>
      </c>
      <c r="F5073" s="46">
        <v>46097.32593353009</v>
      </c>
      <c r="G5073" s="46">
        <v>46097.32593353009</v>
      </c>
      <c r="H5073">
        <v>0</v>
      </c>
    </row>
    <row r="5074" spans="1:8" x14ac:dyDescent="0.15">
      <c r="A5074">
        <v>5073</v>
      </c>
      <c r="B5074" t="s">
        <v>339</v>
      </c>
      <c r="C5074" t="s">
        <v>353</v>
      </c>
      <c r="D5074" t="s">
        <v>8912</v>
      </c>
      <c r="E5074" t="s">
        <v>8909</v>
      </c>
      <c r="F5074" s="46">
        <v>46097.32593353009</v>
      </c>
      <c r="G5074" s="46">
        <v>46097.32593353009</v>
      </c>
      <c r="H5074">
        <v>0</v>
      </c>
    </row>
    <row r="5075" spans="1:8" x14ac:dyDescent="0.15">
      <c r="A5075">
        <v>5074</v>
      </c>
      <c r="B5075" t="s">
        <v>339</v>
      </c>
      <c r="C5075" t="s">
        <v>353</v>
      </c>
      <c r="D5075" t="s">
        <v>8913</v>
      </c>
      <c r="E5075" t="s">
        <v>8914</v>
      </c>
      <c r="F5075" s="46">
        <v>46097.32593353009</v>
      </c>
      <c r="G5075" s="46">
        <v>46097.32593353009</v>
      </c>
      <c r="H5075">
        <v>0</v>
      </c>
    </row>
    <row r="5076" spans="1:8" x14ac:dyDescent="0.15">
      <c r="A5076">
        <v>5075</v>
      </c>
      <c r="B5076" t="s">
        <v>339</v>
      </c>
      <c r="C5076" t="s">
        <v>353</v>
      </c>
      <c r="D5076" t="s">
        <v>8915</v>
      </c>
      <c r="E5076" t="s">
        <v>8914</v>
      </c>
      <c r="F5076" s="46">
        <v>46097.32593353009</v>
      </c>
      <c r="G5076" s="46">
        <v>46097.325933703702</v>
      </c>
      <c r="H5076">
        <v>16</v>
      </c>
    </row>
    <row r="5077" spans="1:8" x14ac:dyDescent="0.15">
      <c r="A5077">
        <v>5076</v>
      </c>
      <c r="B5077" t="s">
        <v>339</v>
      </c>
      <c r="C5077" t="s">
        <v>353</v>
      </c>
      <c r="D5077" t="s">
        <v>8916</v>
      </c>
      <c r="E5077" t="s">
        <v>8917</v>
      </c>
      <c r="F5077" s="46">
        <v>46097.325933703702</v>
      </c>
      <c r="G5077" s="46">
        <v>46097.325933703702</v>
      </c>
      <c r="H5077">
        <v>0</v>
      </c>
    </row>
    <row r="5078" spans="1:8" x14ac:dyDescent="0.15">
      <c r="A5078">
        <v>5077</v>
      </c>
      <c r="B5078" t="s">
        <v>339</v>
      </c>
      <c r="C5078" t="s">
        <v>353</v>
      </c>
      <c r="D5078" t="s">
        <v>8918</v>
      </c>
      <c r="E5078" t="s">
        <v>8919</v>
      </c>
      <c r="F5078" s="46">
        <v>46097.325933703702</v>
      </c>
      <c r="G5078" s="46">
        <v>46097.325933703702</v>
      </c>
      <c r="H5078">
        <v>0</v>
      </c>
    </row>
    <row r="5079" spans="1:8" x14ac:dyDescent="0.15">
      <c r="A5079">
        <v>5078</v>
      </c>
      <c r="B5079" t="s">
        <v>339</v>
      </c>
      <c r="C5079" t="s">
        <v>353</v>
      </c>
      <c r="D5079" t="s">
        <v>8920</v>
      </c>
      <c r="E5079" t="s">
        <v>8921</v>
      </c>
      <c r="F5079" s="46">
        <v>46097.325933703702</v>
      </c>
      <c r="G5079" s="46">
        <v>46097.325933703702</v>
      </c>
      <c r="H5079">
        <v>0</v>
      </c>
    </row>
    <row r="5080" spans="1:8" x14ac:dyDescent="0.15">
      <c r="A5080">
        <v>5079</v>
      </c>
      <c r="B5080" t="s">
        <v>339</v>
      </c>
      <c r="C5080" t="s">
        <v>353</v>
      </c>
      <c r="D5080" t="s">
        <v>8922</v>
      </c>
      <c r="E5080" t="s">
        <v>8921</v>
      </c>
      <c r="F5080" s="46">
        <v>46097.325933703702</v>
      </c>
      <c r="G5080" s="46">
        <v>46097.325933703702</v>
      </c>
      <c r="H5080">
        <v>0</v>
      </c>
    </row>
    <row r="5081" spans="1:8" x14ac:dyDescent="0.15">
      <c r="A5081">
        <v>5080</v>
      </c>
      <c r="B5081" t="s">
        <v>339</v>
      </c>
      <c r="C5081" t="s">
        <v>353</v>
      </c>
      <c r="D5081" t="s">
        <v>8923</v>
      </c>
      <c r="E5081" t="s">
        <v>8921</v>
      </c>
      <c r="F5081" s="46">
        <v>46097.325933703702</v>
      </c>
      <c r="G5081" s="46">
        <v>46097.325933703702</v>
      </c>
      <c r="H5081">
        <v>0</v>
      </c>
    </row>
    <row r="5082" spans="1:8" x14ac:dyDescent="0.15">
      <c r="A5082">
        <v>5081</v>
      </c>
      <c r="B5082" t="s">
        <v>339</v>
      </c>
      <c r="C5082" t="s">
        <v>353</v>
      </c>
      <c r="D5082" t="s">
        <v>8924</v>
      </c>
      <c r="E5082" t="s">
        <v>8925</v>
      </c>
      <c r="F5082" s="46">
        <v>46097.325933703702</v>
      </c>
      <c r="G5082" s="46">
        <v>46097.325933703702</v>
      </c>
      <c r="H5082">
        <v>0</v>
      </c>
    </row>
    <row r="5083" spans="1:8" x14ac:dyDescent="0.15">
      <c r="A5083">
        <v>5082</v>
      </c>
      <c r="B5083" t="s">
        <v>339</v>
      </c>
      <c r="C5083" t="s">
        <v>353</v>
      </c>
      <c r="D5083" t="s">
        <v>8926</v>
      </c>
      <c r="E5083" t="s">
        <v>8925</v>
      </c>
      <c r="F5083" s="46">
        <v>46097.325933703702</v>
      </c>
      <c r="G5083" s="46">
        <v>46097.325933703702</v>
      </c>
      <c r="H5083">
        <v>0</v>
      </c>
    </row>
    <row r="5084" spans="1:8" x14ac:dyDescent="0.15">
      <c r="A5084">
        <v>5083</v>
      </c>
      <c r="B5084" t="s">
        <v>339</v>
      </c>
      <c r="C5084" t="s">
        <v>353</v>
      </c>
      <c r="D5084" t="s">
        <v>8927</v>
      </c>
      <c r="E5084" t="s">
        <v>8925</v>
      </c>
      <c r="F5084" s="46">
        <v>46097.325933703702</v>
      </c>
      <c r="G5084" s="46">
        <v>46097.325933703702</v>
      </c>
      <c r="H5084">
        <v>0</v>
      </c>
    </row>
    <row r="5085" spans="1:8" x14ac:dyDescent="0.15">
      <c r="A5085">
        <v>5084</v>
      </c>
      <c r="B5085" t="s">
        <v>339</v>
      </c>
      <c r="C5085" t="s">
        <v>353</v>
      </c>
      <c r="D5085" t="s">
        <v>8928</v>
      </c>
      <c r="E5085" t="s">
        <v>8925</v>
      </c>
      <c r="F5085" s="46">
        <v>46097.325933703702</v>
      </c>
      <c r="G5085" s="46">
        <v>46097.325933703702</v>
      </c>
      <c r="H5085">
        <v>0</v>
      </c>
    </row>
    <row r="5086" spans="1:8" x14ac:dyDescent="0.15">
      <c r="A5086">
        <v>5085</v>
      </c>
      <c r="B5086" t="s">
        <v>339</v>
      </c>
      <c r="C5086" t="s">
        <v>353</v>
      </c>
      <c r="D5086" t="s">
        <v>8929</v>
      </c>
      <c r="E5086" t="s">
        <v>8930</v>
      </c>
      <c r="F5086" s="46">
        <v>46097.325933703702</v>
      </c>
      <c r="G5086" s="46">
        <v>46097.325933888889</v>
      </c>
      <c r="H5086">
        <v>15</v>
      </c>
    </row>
    <row r="5087" spans="1:8" x14ac:dyDescent="0.15">
      <c r="A5087">
        <v>5086</v>
      </c>
      <c r="B5087" t="s">
        <v>339</v>
      </c>
      <c r="C5087" t="s">
        <v>353</v>
      </c>
      <c r="D5087" t="s">
        <v>8931</v>
      </c>
      <c r="E5087" t="s">
        <v>8930</v>
      </c>
      <c r="F5087" s="46">
        <v>46097.325933888889</v>
      </c>
      <c r="G5087" s="46">
        <v>46097.325933888889</v>
      </c>
      <c r="H5087">
        <v>0</v>
      </c>
    </row>
    <row r="5088" spans="1:8" x14ac:dyDescent="0.15">
      <c r="A5088">
        <v>5087</v>
      </c>
      <c r="B5088" t="s">
        <v>339</v>
      </c>
      <c r="C5088" t="s">
        <v>353</v>
      </c>
      <c r="D5088" t="s">
        <v>8932</v>
      </c>
      <c r="E5088" t="s">
        <v>8930</v>
      </c>
      <c r="F5088" s="46">
        <v>46097.325933888889</v>
      </c>
      <c r="G5088" s="46">
        <v>46097.325933888889</v>
      </c>
      <c r="H5088">
        <v>0</v>
      </c>
    </row>
    <row r="5089" spans="1:8" x14ac:dyDescent="0.15">
      <c r="A5089">
        <v>5088</v>
      </c>
      <c r="B5089" t="s">
        <v>339</v>
      </c>
      <c r="C5089" t="s">
        <v>353</v>
      </c>
      <c r="D5089" t="s">
        <v>8933</v>
      </c>
      <c r="E5089" t="s">
        <v>8930</v>
      </c>
      <c r="F5089" s="46">
        <v>46097.325933888889</v>
      </c>
      <c r="G5089" s="46">
        <v>46097.325933888889</v>
      </c>
      <c r="H5089">
        <v>0</v>
      </c>
    </row>
    <row r="5090" spans="1:8" x14ac:dyDescent="0.15">
      <c r="A5090">
        <v>5089</v>
      </c>
      <c r="B5090" t="s">
        <v>339</v>
      </c>
      <c r="C5090" t="s">
        <v>353</v>
      </c>
      <c r="D5090" t="s">
        <v>8934</v>
      </c>
      <c r="E5090" t="s">
        <v>8930</v>
      </c>
      <c r="F5090" s="46">
        <v>46097.325933888889</v>
      </c>
      <c r="G5090" s="46">
        <v>46097.325933888889</v>
      </c>
      <c r="H5090">
        <v>0</v>
      </c>
    </row>
    <row r="5091" spans="1:8" x14ac:dyDescent="0.15">
      <c r="A5091">
        <v>5090</v>
      </c>
      <c r="B5091" t="s">
        <v>339</v>
      </c>
      <c r="C5091" t="s">
        <v>353</v>
      </c>
      <c r="D5091" t="s">
        <v>8935</v>
      </c>
      <c r="E5091" t="s">
        <v>8930</v>
      </c>
      <c r="F5091" s="46">
        <v>46097.325933888889</v>
      </c>
      <c r="G5091" s="46">
        <v>46097.325933888889</v>
      </c>
      <c r="H5091">
        <v>0</v>
      </c>
    </row>
    <row r="5092" spans="1:8" x14ac:dyDescent="0.15">
      <c r="A5092">
        <v>5091</v>
      </c>
      <c r="B5092" t="s">
        <v>339</v>
      </c>
      <c r="C5092" t="s">
        <v>353</v>
      </c>
      <c r="D5092" t="s">
        <v>8936</v>
      </c>
      <c r="E5092" t="s">
        <v>8930</v>
      </c>
      <c r="F5092" s="46">
        <v>46097.325933888889</v>
      </c>
      <c r="G5092" s="46">
        <v>46097.325933888889</v>
      </c>
      <c r="H5092">
        <v>0</v>
      </c>
    </row>
    <row r="5093" spans="1:8" x14ac:dyDescent="0.15">
      <c r="A5093">
        <v>5092</v>
      </c>
      <c r="B5093" t="s">
        <v>339</v>
      </c>
      <c r="C5093" t="s">
        <v>353</v>
      </c>
      <c r="D5093" t="s">
        <v>8937</v>
      </c>
      <c r="E5093" t="s">
        <v>8938</v>
      </c>
      <c r="F5093" s="46">
        <v>46097.325933888889</v>
      </c>
      <c r="G5093" s="46">
        <v>46097.325933888889</v>
      </c>
      <c r="H5093">
        <v>0</v>
      </c>
    </row>
    <row r="5094" spans="1:8" x14ac:dyDescent="0.15">
      <c r="A5094">
        <v>5093</v>
      </c>
      <c r="B5094" t="s">
        <v>339</v>
      </c>
      <c r="C5094" t="s">
        <v>353</v>
      </c>
      <c r="D5094" t="s">
        <v>8939</v>
      </c>
      <c r="E5094" t="s">
        <v>8938</v>
      </c>
      <c r="F5094" s="46">
        <v>46097.325933888889</v>
      </c>
      <c r="G5094" s="46">
        <v>46097.325933888889</v>
      </c>
      <c r="H5094">
        <v>0</v>
      </c>
    </row>
    <row r="5095" spans="1:8" x14ac:dyDescent="0.15">
      <c r="A5095">
        <v>5094</v>
      </c>
      <c r="B5095" t="s">
        <v>339</v>
      </c>
      <c r="C5095" t="s">
        <v>353</v>
      </c>
      <c r="D5095" t="s">
        <v>8940</v>
      </c>
      <c r="E5095" t="s">
        <v>8941</v>
      </c>
      <c r="F5095" s="46">
        <v>46097.325933888889</v>
      </c>
      <c r="G5095" s="46">
        <v>46097.325933888889</v>
      </c>
      <c r="H5095">
        <v>0</v>
      </c>
    </row>
    <row r="5096" spans="1:8" x14ac:dyDescent="0.15">
      <c r="A5096">
        <v>5095</v>
      </c>
      <c r="B5096" t="s">
        <v>339</v>
      </c>
      <c r="C5096" t="s">
        <v>353</v>
      </c>
      <c r="D5096" t="s">
        <v>8942</v>
      </c>
      <c r="E5096" t="s">
        <v>8941</v>
      </c>
      <c r="F5096" s="46">
        <v>46097.325933888889</v>
      </c>
      <c r="G5096" s="46">
        <v>46097.325933888889</v>
      </c>
      <c r="H5096">
        <v>0</v>
      </c>
    </row>
    <row r="5097" spans="1:8" x14ac:dyDescent="0.15">
      <c r="A5097">
        <v>5096</v>
      </c>
      <c r="B5097" t="s">
        <v>339</v>
      </c>
      <c r="C5097" t="s">
        <v>353</v>
      </c>
      <c r="D5097" t="s">
        <v>8943</v>
      </c>
      <c r="E5097" t="s">
        <v>8941</v>
      </c>
      <c r="F5097" s="46">
        <v>46097.325933888889</v>
      </c>
      <c r="G5097" s="46">
        <v>46097.325934062501</v>
      </c>
      <c r="H5097">
        <v>16</v>
      </c>
    </row>
    <row r="5098" spans="1:8" x14ac:dyDescent="0.15">
      <c r="A5098">
        <v>5097</v>
      </c>
      <c r="B5098" t="s">
        <v>339</v>
      </c>
      <c r="C5098" t="s">
        <v>353</v>
      </c>
      <c r="D5098" t="s">
        <v>8944</v>
      </c>
      <c r="E5098" t="s">
        <v>8945</v>
      </c>
      <c r="F5098" s="46">
        <v>46097.325934062501</v>
      </c>
      <c r="G5098" s="46">
        <v>46097.325934062501</v>
      </c>
      <c r="H5098">
        <v>0</v>
      </c>
    </row>
    <row r="5099" spans="1:8" x14ac:dyDescent="0.15">
      <c r="A5099">
        <v>5098</v>
      </c>
      <c r="B5099" t="s">
        <v>339</v>
      </c>
      <c r="C5099" t="s">
        <v>353</v>
      </c>
      <c r="D5099" t="s">
        <v>8946</v>
      </c>
      <c r="E5099" t="s">
        <v>8945</v>
      </c>
      <c r="F5099" s="46">
        <v>46097.325934062501</v>
      </c>
      <c r="G5099" s="46">
        <v>46097.325934062501</v>
      </c>
      <c r="H5099">
        <v>0</v>
      </c>
    </row>
    <row r="5100" spans="1:8" x14ac:dyDescent="0.15">
      <c r="A5100">
        <v>5099</v>
      </c>
      <c r="B5100" t="s">
        <v>339</v>
      </c>
      <c r="C5100" t="s">
        <v>353</v>
      </c>
      <c r="D5100" t="s">
        <v>8947</v>
      </c>
      <c r="E5100" t="s">
        <v>8948</v>
      </c>
      <c r="F5100" s="46">
        <v>46097.325934062501</v>
      </c>
      <c r="G5100" s="46">
        <v>46097.325934062501</v>
      </c>
      <c r="H5100">
        <v>0</v>
      </c>
    </row>
    <row r="5101" spans="1:8" x14ac:dyDescent="0.15">
      <c r="A5101">
        <v>5100</v>
      </c>
      <c r="B5101" t="s">
        <v>339</v>
      </c>
      <c r="C5101" t="s">
        <v>353</v>
      </c>
      <c r="D5101" t="s">
        <v>8949</v>
      </c>
      <c r="E5101" t="s">
        <v>8948</v>
      </c>
      <c r="F5101" s="46">
        <v>46097.325934062501</v>
      </c>
      <c r="G5101" s="46">
        <v>46097.325934062501</v>
      </c>
      <c r="H5101">
        <v>0</v>
      </c>
    </row>
    <row r="5102" spans="1:8" x14ac:dyDescent="0.15">
      <c r="A5102">
        <v>5101</v>
      </c>
      <c r="B5102" t="s">
        <v>339</v>
      </c>
      <c r="C5102" t="s">
        <v>353</v>
      </c>
      <c r="D5102" t="s">
        <v>8950</v>
      </c>
      <c r="E5102" t="s">
        <v>8951</v>
      </c>
      <c r="F5102" s="46">
        <v>46097.325934062501</v>
      </c>
      <c r="G5102" s="46">
        <v>46097.325934062501</v>
      </c>
      <c r="H5102">
        <v>0</v>
      </c>
    </row>
    <row r="5103" spans="1:8" x14ac:dyDescent="0.15">
      <c r="A5103">
        <v>5102</v>
      </c>
      <c r="B5103" t="s">
        <v>339</v>
      </c>
      <c r="C5103" t="s">
        <v>353</v>
      </c>
      <c r="D5103" t="s">
        <v>8952</v>
      </c>
      <c r="E5103" t="s">
        <v>8953</v>
      </c>
      <c r="F5103" s="46">
        <v>46097.325934062501</v>
      </c>
      <c r="G5103" s="46">
        <v>46097.325934062501</v>
      </c>
      <c r="H5103">
        <v>0</v>
      </c>
    </row>
    <row r="5104" spans="1:8" x14ac:dyDescent="0.15">
      <c r="A5104">
        <v>5103</v>
      </c>
      <c r="B5104" t="s">
        <v>339</v>
      </c>
      <c r="C5104" t="s">
        <v>353</v>
      </c>
      <c r="D5104" t="s">
        <v>8954</v>
      </c>
      <c r="E5104" t="s">
        <v>8953</v>
      </c>
      <c r="F5104" s="46">
        <v>46097.325934062501</v>
      </c>
      <c r="G5104" s="46">
        <v>46097.325934062501</v>
      </c>
      <c r="H5104">
        <v>0</v>
      </c>
    </row>
    <row r="5105" spans="1:8" x14ac:dyDescent="0.15">
      <c r="A5105">
        <v>5104</v>
      </c>
      <c r="B5105" t="s">
        <v>339</v>
      </c>
      <c r="C5105" t="s">
        <v>353</v>
      </c>
      <c r="D5105" t="s">
        <v>8955</v>
      </c>
      <c r="E5105" t="s">
        <v>8956</v>
      </c>
      <c r="F5105" s="46">
        <v>46097.325934062501</v>
      </c>
      <c r="G5105" s="46">
        <v>46097.325934062501</v>
      </c>
      <c r="H5105">
        <v>0</v>
      </c>
    </row>
    <row r="5106" spans="1:8" x14ac:dyDescent="0.15">
      <c r="A5106">
        <v>5105</v>
      </c>
      <c r="B5106" t="s">
        <v>339</v>
      </c>
      <c r="C5106" t="s">
        <v>353</v>
      </c>
      <c r="D5106" t="s">
        <v>8957</v>
      </c>
      <c r="E5106" t="s">
        <v>8956</v>
      </c>
      <c r="F5106" s="46">
        <v>46097.325934062501</v>
      </c>
      <c r="G5106" s="46">
        <v>46097.325934062501</v>
      </c>
      <c r="H5106">
        <v>0</v>
      </c>
    </row>
    <row r="5107" spans="1:8" x14ac:dyDescent="0.15">
      <c r="A5107">
        <v>5106</v>
      </c>
      <c r="B5107" t="s">
        <v>339</v>
      </c>
      <c r="C5107" t="s">
        <v>353</v>
      </c>
      <c r="D5107" t="s">
        <v>8958</v>
      </c>
      <c r="E5107" t="s">
        <v>8959</v>
      </c>
      <c r="F5107" s="46">
        <v>46097.325934062501</v>
      </c>
      <c r="G5107" s="46">
        <v>46097.325934247689</v>
      </c>
      <c r="H5107">
        <v>16</v>
      </c>
    </row>
    <row r="5108" spans="1:8" x14ac:dyDescent="0.15">
      <c r="A5108">
        <v>5107</v>
      </c>
      <c r="B5108" t="s">
        <v>339</v>
      </c>
      <c r="C5108" t="s">
        <v>353</v>
      </c>
      <c r="D5108" t="s">
        <v>8960</v>
      </c>
      <c r="E5108" t="s">
        <v>8959</v>
      </c>
      <c r="F5108" s="46">
        <v>46097.325934247689</v>
      </c>
      <c r="G5108" s="46">
        <v>46097.325934247689</v>
      </c>
      <c r="H5108">
        <v>0</v>
      </c>
    </row>
    <row r="5109" spans="1:8" x14ac:dyDescent="0.15">
      <c r="A5109">
        <v>5108</v>
      </c>
      <c r="B5109" t="s">
        <v>339</v>
      </c>
      <c r="C5109" t="s">
        <v>353</v>
      </c>
      <c r="D5109" t="s">
        <v>8961</v>
      </c>
      <c r="E5109" t="s">
        <v>805</v>
      </c>
      <c r="F5109" s="46">
        <v>46097.325934247689</v>
      </c>
      <c r="G5109" s="46">
        <v>46097.325934247689</v>
      </c>
      <c r="H5109">
        <v>0</v>
      </c>
    </row>
    <row r="5110" spans="1:8" x14ac:dyDescent="0.15">
      <c r="A5110">
        <v>5109</v>
      </c>
      <c r="B5110" t="s">
        <v>339</v>
      </c>
      <c r="C5110" t="s">
        <v>353</v>
      </c>
      <c r="D5110" t="s">
        <v>8962</v>
      </c>
      <c r="E5110" t="s">
        <v>810</v>
      </c>
      <c r="F5110" s="46">
        <v>46097.325934247689</v>
      </c>
      <c r="G5110" s="46">
        <v>46097.325934247689</v>
      </c>
      <c r="H5110">
        <v>0</v>
      </c>
    </row>
    <row r="5111" spans="1:8" x14ac:dyDescent="0.15">
      <c r="A5111">
        <v>5110</v>
      </c>
      <c r="B5111" t="s">
        <v>339</v>
      </c>
      <c r="C5111" t="s">
        <v>353</v>
      </c>
      <c r="D5111" t="s">
        <v>8963</v>
      </c>
      <c r="E5111" t="s">
        <v>8964</v>
      </c>
      <c r="F5111" s="46">
        <v>46097.325934247689</v>
      </c>
      <c r="G5111" s="46">
        <v>46097.325934247689</v>
      </c>
      <c r="H5111">
        <v>0</v>
      </c>
    </row>
    <row r="5112" spans="1:8" x14ac:dyDescent="0.15">
      <c r="A5112">
        <v>5111</v>
      </c>
      <c r="B5112" t="s">
        <v>339</v>
      </c>
      <c r="C5112" t="s">
        <v>353</v>
      </c>
      <c r="D5112" t="s">
        <v>8965</v>
      </c>
      <c r="E5112" t="s">
        <v>8966</v>
      </c>
      <c r="F5112" s="46">
        <v>46097.325934247689</v>
      </c>
      <c r="G5112" s="46">
        <v>46097.325934247689</v>
      </c>
      <c r="H5112">
        <v>0</v>
      </c>
    </row>
    <row r="5113" spans="1:8" x14ac:dyDescent="0.15">
      <c r="A5113">
        <v>5112</v>
      </c>
      <c r="B5113" t="s">
        <v>339</v>
      </c>
      <c r="C5113" t="s">
        <v>353</v>
      </c>
      <c r="D5113" t="s">
        <v>8967</v>
      </c>
      <c r="E5113" t="s">
        <v>8968</v>
      </c>
      <c r="F5113" s="46">
        <v>46097.325934247689</v>
      </c>
      <c r="G5113" s="46">
        <v>46097.325934247689</v>
      </c>
      <c r="H5113">
        <v>0</v>
      </c>
    </row>
    <row r="5114" spans="1:8" x14ac:dyDescent="0.15">
      <c r="A5114">
        <v>5113</v>
      </c>
      <c r="B5114" t="s">
        <v>339</v>
      </c>
      <c r="C5114" t="s">
        <v>353</v>
      </c>
      <c r="D5114" t="s">
        <v>8969</v>
      </c>
      <c r="E5114" t="s">
        <v>8970</v>
      </c>
      <c r="F5114" s="46">
        <v>46097.325934247689</v>
      </c>
      <c r="G5114" s="46">
        <v>46097.325934247689</v>
      </c>
      <c r="H5114">
        <v>0</v>
      </c>
    </row>
    <row r="5115" spans="1:8" x14ac:dyDescent="0.15">
      <c r="A5115">
        <v>5114</v>
      </c>
      <c r="B5115" t="s">
        <v>339</v>
      </c>
      <c r="C5115" t="s">
        <v>353</v>
      </c>
      <c r="D5115" t="s">
        <v>8971</v>
      </c>
      <c r="E5115" t="s">
        <v>8972</v>
      </c>
      <c r="F5115" s="46">
        <v>46097.325934247689</v>
      </c>
      <c r="G5115" s="46">
        <v>46097.325934247689</v>
      </c>
      <c r="H5115">
        <v>0</v>
      </c>
    </row>
    <row r="5116" spans="1:8" x14ac:dyDescent="0.15">
      <c r="A5116">
        <v>5115</v>
      </c>
      <c r="B5116" t="s">
        <v>339</v>
      </c>
      <c r="C5116" t="s">
        <v>353</v>
      </c>
      <c r="D5116" t="s">
        <v>8973</v>
      </c>
      <c r="E5116" t="s">
        <v>8974</v>
      </c>
      <c r="F5116" s="46">
        <v>46097.325934247689</v>
      </c>
      <c r="G5116" s="46">
        <v>46097.325934247689</v>
      </c>
      <c r="H5116">
        <v>0</v>
      </c>
    </row>
    <row r="5117" spans="1:8" x14ac:dyDescent="0.15">
      <c r="A5117">
        <v>5116</v>
      </c>
      <c r="B5117" t="s">
        <v>339</v>
      </c>
      <c r="C5117" t="s">
        <v>353</v>
      </c>
      <c r="D5117" t="s">
        <v>8975</v>
      </c>
      <c r="E5117" t="s">
        <v>8976</v>
      </c>
      <c r="F5117" s="46">
        <v>46097.325934247689</v>
      </c>
      <c r="G5117" s="46">
        <v>46097.325934432869</v>
      </c>
      <c r="H5117">
        <v>15</v>
      </c>
    </row>
    <row r="5118" spans="1:8" x14ac:dyDescent="0.15">
      <c r="A5118">
        <v>5117</v>
      </c>
      <c r="B5118" t="s">
        <v>339</v>
      </c>
      <c r="C5118" t="s">
        <v>353</v>
      </c>
      <c r="D5118" t="s">
        <v>8977</v>
      </c>
      <c r="E5118" t="s">
        <v>8978</v>
      </c>
      <c r="F5118" s="46">
        <v>46097.325934432869</v>
      </c>
      <c r="G5118" s="46">
        <v>46097.325934432869</v>
      </c>
      <c r="H5118">
        <v>0</v>
      </c>
    </row>
    <row r="5119" spans="1:8" x14ac:dyDescent="0.15">
      <c r="A5119">
        <v>5118</v>
      </c>
      <c r="B5119" t="s">
        <v>339</v>
      </c>
      <c r="C5119" t="s">
        <v>353</v>
      </c>
      <c r="D5119" t="s">
        <v>8979</v>
      </c>
      <c r="E5119" t="s">
        <v>8980</v>
      </c>
      <c r="F5119" s="46">
        <v>46097.325934432869</v>
      </c>
      <c r="G5119" s="46">
        <v>46097.325934432869</v>
      </c>
      <c r="H5119">
        <v>0</v>
      </c>
    </row>
    <row r="5120" spans="1:8" x14ac:dyDescent="0.15">
      <c r="A5120">
        <v>5119</v>
      </c>
      <c r="B5120" t="s">
        <v>339</v>
      </c>
      <c r="C5120" t="s">
        <v>353</v>
      </c>
      <c r="D5120" t="s">
        <v>8981</v>
      </c>
      <c r="E5120" t="s">
        <v>8980</v>
      </c>
      <c r="F5120" s="46">
        <v>46097.325934432869</v>
      </c>
      <c r="G5120" s="46">
        <v>46097.325934432869</v>
      </c>
      <c r="H5120">
        <v>0</v>
      </c>
    </row>
    <row r="5121" spans="1:8" x14ac:dyDescent="0.15">
      <c r="A5121">
        <v>5120</v>
      </c>
      <c r="B5121" t="s">
        <v>339</v>
      </c>
      <c r="C5121" t="s">
        <v>353</v>
      </c>
      <c r="D5121" t="s">
        <v>8982</v>
      </c>
      <c r="E5121" t="s">
        <v>8983</v>
      </c>
      <c r="F5121" s="46">
        <v>46097.325934432869</v>
      </c>
      <c r="G5121" s="46">
        <v>46097.325934432869</v>
      </c>
      <c r="H5121">
        <v>0</v>
      </c>
    </row>
    <row r="5122" spans="1:8" x14ac:dyDescent="0.15">
      <c r="A5122">
        <v>5121</v>
      </c>
      <c r="B5122" t="s">
        <v>339</v>
      </c>
      <c r="C5122" t="s">
        <v>353</v>
      </c>
      <c r="D5122" t="s">
        <v>8984</v>
      </c>
      <c r="E5122" t="s">
        <v>8985</v>
      </c>
      <c r="F5122" s="46">
        <v>46097.325934432869</v>
      </c>
      <c r="G5122" s="46">
        <v>46097.325934432869</v>
      </c>
      <c r="H5122">
        <v>0</v>
      </c>
    </row>
    <row r="5123" spans="1:8" x14ac:dyDescent="0.15">
      <c r="A5123">
        <v>5122</v>
      </c>
      <c r="B5123" t="s">
        <v>339</v>
      </c>
      <c r="C5123" t="s">
        <v>353</v>
      </c>
      <c r="D5123" t="s">
        <v>8986</v>
      </c>
      <c r="E5123" t="s">
        <v>8985</v>
      </c>
      <c r="F5123" s="46">
        <v>46097.325934432869</v>
      </c>
      <c r="G5123" s="46">
        <v>46097.325934432869</v>
      </c>
      <c r="H5123">
        <v>0</v>
      </c>
    </row>
    <row r="5124" spans="1:8" x14ac:dyDescent="0.15">
      <c r="A5124">
        <v>5123</v>
      </c>
      <c r="B5124" t="s">
        <v>339</v>
      </c>
      <c r="C5124" t="s">
        <v>353</v>
      </c>
      <c r="D5124" t="s">
        <v>8987</v>
      </c>
      <c r="E5124" t="s">
        <v>8988</v>
      </c>
      <c r="F5124" s="46">
        <v>46097.325934432869</v>
      </c>
      <c r="G5124" s="46">
        <v>46097.325934432869</v>
      </c>
      <c r="H5124">
        <v>0</v>
      </c>
    </row>
    <row r="5125" spans="1:8" x14ac:dyDescent="0.15">
      <c r="A5125">
        <v>5124</v>
      </c>
      <c r="B5125" t="s">
        <v>339</v>
      </c>
      <c r="C5125" t="s">
        <v>353</v>
      </c>
      <c r="D5125" t="s">
        <v>8989</v>
      </c>
      <c r="E5125" t="s">
        <v>8990</v>
      </c>
      <c r="F5125" s="46">
        <v>46097.325934432869</v>
      </c>
      <c r="G5125" s="46">
        <v>46097.325934432869</v>
      </c>
      <c r="H5125">
        <v>0</v>
      </c>
    </row>
    <row r="5126" spans="1:8" x14ac:dyDescent="0.15">
      <c r="A5126">
        <v>5125</v>
      </c>
      <c r="B5126" t="s">
        <v>339</v>
      </c>
      <c r="C5126" t="s">
        <v>353</v>
      </c>
      <c r="D5126" t="s">
        <v>8991</v>
      </c>
      <c r="E5126" t="s">
        <v>8992</v>
      </c>
      <c r="F5126" s="46">
        <v>46097.325934432869</v>
      </c>
      <c r="G5126" s="46">
        <v>46097.325934432869</v>
      </c>
      <c r="H5126">
        <v>0</v>
      </c>
    </row>
    <row r="5127" spans="1:8" x14ac:dyDescent="0.15">
      <c r="A5127">
        <v>5126</v>
      </c>
      <c r="B5127" t="s">
        <v>339</v>
      </c>
      <c r="C5127" t="s">
        <v>353</v>
      </c>
      <c r="D5127" t="s">
        <v>8993</v>
      </c>
      <c r="E5127" t="s">
        <v>8994</v>
      </c>
      <c r="F5127" s="46">
        <v>46097.325934432869</v>
      </c>
      <c r="G5127" s="46">
        <v>46097.325934432869</v>
      </c>
      <c r="H5127">
        <v>0</v>
      </c>
    </row>
    <row r="5128" spans="1:8" x14ac:dyDescent="0.15">
      <c r="A5128">
        <v>5127</v>
      </c>
      <c r="B5128" t="s">
        <v>339</v>
      </c>
      <c r="C5128" t="s">
        <v>353</v>
      </c>
      <c r="D5128" t="s">
        <v>8995</v>
      </c>
      <c r="E5128" t="s">
        <v>8996</v>
      </c>
      <c r="F5128" s="46">
        <v>46097.325934432869</v>
      </c>
      <c r="G5128" s="46">
        <v>46097.325934606481</v>
      </c>
      <c r="H5128">
        <v>16</v>
      </c>
    </row>
    <row r="5129" spans="1:8" x14ac:dyDescent="0.15">
      <c r="A5129">
        <v>5128</v>
      </c>
      <c r="B5129" t="s">
        <v>339</v>
      </c>
      <c r="C5129" t="s">
        <v>353</v>
      </c>
      <c r="D5129" t="s">
        <v>8997</v>
      </c>
      <c r="E5129" t="s">
        <v>8996</v>
      </c>
      <c r="F5129" s="46">
        <v>46097.325934606481</v>
      </c>
      <c r="G5129" s="46">
        <v>46097.325934606481</v>
      </c>
      <c r="H5129">
        <v>0</v>
      </c>
    </row>
    <row r="5130" spans="1:8" x14ac:dyDescent="0.15">
      <c r="A5130">
        <v>5129</v>
      </c>
      <c r="B5130" t="s">
        <v>339</v>
      </c>
      <c r="C5130" t="s">
        <v>353</v>
      </c>
      <c r="D5130" t="s">
        <v>8998</v>
      </c>
      <c r="E5130" t="s">
        <v>8996</v>
      </c>
      <c r="F5130" s="46">
        <v>46097.325934606481</v>
      </c>
      <c r="G5130" s="46">
        <v>46097.325934606481</v>
      </c>
      <c r="H5130">
        <v>0</v>
      </c>
    </row>
    <row r="5131" spans="1:8" x14ac:dyDescent="0.15">
      <c r="A5131">
        <v>5130</v>
      </c>
      <c r="B5131" t="s">
        <v>339</v>
      </c>
      <c r="C5131" t="s">
        <v>353</v>
      </c>
      <c r="D5131" t="s">
        <v>8999</v>
      </c>
      <c r="E5131" t="s">
        <v>8996</v>
      </c>
      <c r="F5131" s="46">
        <v>46097.325934606481</v>
      </c>
      <c r="G5131" s="46">
        <v>46097.325934606481</v>
      </c>
      <c r="H5131">
        <v>0</v>
      </c>
    </row>
    <row r="5132" spans="1:8" x14ac:dyDescent="0.15">
      <c r="A5132">
        <v>5131</v>
      </c>
      <c r="B5132" t="s">
        <v>339</v>
      </c>
      <c r="C5132" t="s">
        <v>353</v>
      </c>
      <c r="D5132" t="s">
        <v>9000</v>
      </c>
      <c r="E5132" t="s">
        <v>8996</v>
      </c>
      <c r="F5132" s="46">
        <v>46097.325934606481</v>
      </c>
      <c r="G5132" s="46">
        <v>46097.325934606481</v>
      </c>
      <c r="H5132">
        <v>0</v>
      </c>
    </row>
    <row r="5133" spans="1:8" x14ac:dyDescent="0.15">
      <c r="A5133">
        <v>5132</v>
      </c>
      <c r="B5133" t="s">
        <v>339</v>
      </c>
      <c r="C5133" t="s">
        <v>353</v>
      </c>
      <c r="D5133" t="s">
        <v>9001</v>
      </c>
      <c r="E5133" t="s">
        <v>9002</v>
      </c>
      <c r="F5133" s="46">
        <v>46097.325934606481</v>
      </c>
      <c r="G5133" s="46">
        <v>46097.325934606481</v>
      </c>
      <c r="H5133">
        <v>0</v>
      </c>
    </row>
    <row r="5134" spans="1:8" x14ac:dyDescent="0.15">
      <c r="A5134">
        <v>5133</v>
      </c>
      <c r="B5134" t="s">
        <v>339</v>
      </c>
      <c r="C5134" t="s">
        <v>353</v>
      </c>
      <c r="D5134" t="s">
        <v>9003</v>
      </c>
      <c r="E5134" t="s">
        <v>9002</v>
      </c>
      <c r="F5134" s="46">
        <v>46097.325934606481</v>
      </c>
      <c r="G5134" s="46">
        <v>46097.325934606481</v>
      </c>
      <c r="H5134">
        <v>0</v>
      </c>
    </row>
    <row r="5135" spans="1:8" x14ac:dyDescent="0.15">
      <c r="A5135">
        <v>5134</v>
      </c>
      <c r="B5135" t="s">
        <v>339</v>
      </c>
      <c r="C5135" t="s">
        <v>353</v>
      </c>
      <c r="D5135" t="s">
        <v>9004</v>
      </c>
      <c r="E5135" t="s">
        <v>9002</v>
      </c>
      <c r="F5135" s="46">
        <v>46097.325934606481</v>
      </c>
      <c r="G5135" s="46">
        <v>46097.325934606481</v>
      </c>
      <c r="H5135">
        <v>0</v>
      </c>
    </row>
    <row r="5136" spans="1:8" x14ac:dyDescent="0.15">
      <c r="A5136">
        <v>5135</v>
      </c>
      <c r="B5136" t="s">
        <v>339</v>
      </c>
      <c r="C5136" t="s">
        <v>353</v>
      </c>
      <c r="D5136" t="s">
        <v>9005</v>
      </c>
      <c r="E5136" t="s">
        <v>9002</v>
      </c>
      <c r="F5136" s="46">
        <v>46097.325934606481</v>
      </c>
      <c r="G5136" s="46">
        <v>46097.325934606481</v>
      </c>
      <c r="H5136">
        <v>0</v>
      </c>
    </row>
    <row r="5137" spans="1:8" x14ac:dyDescent="0.15">
      <c r="A5137">
        <v>5136</v>
      </c>
      <c r="B5137" t="s">
        <v>339</v>
      </c>
      <c r="C5137" t="s">
        <v>353</v>
      </c>
      <c r="D5137" t="s">
        <v>9006</v>
      </c>
      <c r="E5137" t="s">
        <v>9002</v>
      </c>
      <c r="F5137" s="46">
        <v>46097.325934606481</v>
      </c>
      <c r="G5137" s="46">
        <v>46097.325934606481</v>
      </c>
      <c r="H5137">
        <v>0</v>
      </c>
    </row>
    <row r="5138" spans="1:8" x14ac:dyDescent="0.15">
      <c r="A5138">
        <v>5137</v>
      </c>
      <c r="B5138" t="s">
        <v>339</v>
      </c>
      <c r="C5138" t="s">
        <v>353</v>
      </c>
      <c r="D5138" t="s">
        <v>9007</v>
      </c>
      <c r="E5138" t="s">
        <v>9008</v>
      </c>
      <c r="F5138" s="46">
        <v>46097.325934606481</v>
      </c>
      <c r="G5138" s="46">
        <v>46097.325934791668</v>
      </c>
      <c r="H5138">
        <v>15</v>
      </c>
    </row>
    <row r="5139" spans="1:8" x14ac:dyDescent="0.15">
      <c r="A5139">
        <v>5138</v>
      </c>
      <c r="B5139" t="s">
        <v>339</v>
      </c>
      <c r="C5139" t="s">
        <v>353</v>
      </c>
      <c r="D5139" t="s">
        <v>9009</v>
      </c>
      <c r="E5139" t="s">
        <v>9008</v>
      </c>
      <c r="F5139" s="46">
        <v>46097.325934791668</v>
      </c>
      <c r="G5139" s="46">
        <v>46097.325934791668</v>
      </c>
      <c r="H5139">
        <v>0</v>
      </c>
    </row>
    <row r="5140" spans="1:8" x14ac:dyDescent="0.15">
      <c r="A5140">
        <v>5139</v>
      </c>
      <c r="B5140" t="s">
        <v>339</v>
      </c>
      <c r="C5140" t="s">
        <v>353</v>
      </c>
      <c r="D5140" t="s">
        <v>9010</v>
      </c>
      <c r="E5140" t="s">
        <v>9008</v>
      </c>
      <c r="F5140" s="46">
        <v>46097.325934791668</v>
      </c>
      <c r="G5140" s="46">
        <v>46097.325934791668</v>
      </c>
      <c r="H5140">
        <v>0</v>
      </c>
    </row>
    <row r="5141" spans="1:8" x14ac:dyDescent="0.15">
      <c r="A5141">
        <v>5140</v>
      </c>
      <c r="B5141" t="s">
        <v>339</v>
      </c>
      <c r="C5141" t="s">
        <v>353</v>
      </c>
      <c r="D5141" t="s">
        <v>9011</v>
      </c>
      <c r="E5141" t="s">
        <v>9012</v>
      </c>
      <c r="F5141" s="46">
        <v>46097.325934791668</v>
      </c>
      <c r="G5141" s="46">
        <v>46097.325934791668</v>
      </c>
      <c r="H5141">
        <v>0</v>
      </c>
    </row>
    <row r="5142" spans="1:8" x14ac:dyDescent="0.15">
      <c r="A5142">
        <v>5141</v>
      </c>
      <c r="B5142" t="s">
        <v>339</v>
      </c>
      <c r="C5142" t="s">
        <v>353</v>
      </c>
      <c r="D5142" t="s">
        <v>9013</v>
      </c>
      <c r="E5142" t="s">
        <v>9014</v>
      </c>
      <c r="F5142" s="46">
        <v>46097.325934791668</v>
      </c>
      <c r="G5142" s="46">
        <v>46097.325934791668</v>
      </c>
      <c r="H5142">
        <v>0</v>
      </c>
    </row>
    <row r="5143" spans="1:8" x14ac:dyDescent="0.15">
      <c r="A5143">
        <v>5142</v>
      </c>
      <c r="B5143" t="s">
        <v>339</v>
      </c>
      <c r="C5143" t="s">
        <v>353</v>
      </c>
      <c r="D5143" t="s">
        <v>9015</v>
      </c>
      <c r="E5143" t="s">
        <v>9014</v>
      </c>
      <c r="F5143" s="46">
        <v>46097.325934791668</v>
      </c>
      <c r="G5143" s="46">
        <v>46097.325934791668</v>
      </c>
      <c r="H5143">
        <v>0</v>
      </c>
    </row>
    <row r="5144" spans="1:8" x14ac:dyDescent="0.15">
      <c r="A5144">
        <v>5143</v>
      </c>
      <c r="B5144" t="s">
        <v>339</v>
      </c>
      <c r="C5144" t="s">
        <v>353</v>
      </c>
      <c r="D5144" t="s">
        <v>9016</v>
      </c>
      <c r="E5144" t="s">
        <v>9014</v>
      </c>
      <c r="F5144" s="46">
        <v>46097.325934791668</v>
      </c>
      <c r="G5144" s="46">
        <v>46097.325934791668</v>
      </c>
      <c r="H5144">
        <v>0</v>
      </c>
    </row>
    <row r="5145" spans="1:8" x14ac:dyDescent="0.15">
      <c r="A5145">
        <v>5144</v>
      </c>
      <c r="B5145" t="s">
        <v>339</v>
      </c>
      <c r="C5145" t="s">
        <v>353</v>
      </c>
      <c r="D5145" t="s">
        <v>9017</v>
      </c>
      <c r="E5145" t="s">
        <v>9018</v>
      </c>
      <c r="F5145" s="46">
        <v>46097.325934791668</v>
      </c>
      <c r="G5145" s="46">
        <v>46097.325934791668</v>
      </c>
      <c r="H5145">
        <v>0</v>
      </c>
    </row>
    <row r="5146" spans="1:8" x14ac:dyDescent="0.15">
      <c r="A5146">
        <v>5145</v>
      </c>
      <c r="B5146" t="s">
        <v>339</v>
      </c>
      <c r="C5146" t="s">
        <v>353</v>
      </c>
      <c r="D5146" t="s">
        <v>9019</v>
      </c>
      <c r="E5146" t="s">
        <v>9020</v>
      </c>
      <c r="F5146" s="46">
        <v>46097.325934791668</v>
      </c>
      <c r="G5146" s="46">
        <v>46097.325934791668</v>
      </c>
      <c r="H5146">
        <v>0</v>
      </c>
    </row>
    <row r="5147" spans="1:8" x14ac:dyDescent="0.15">
      <c r="A5147">
        <v>5146</v>
      </c>
      <c r="B5147" t="s">
        <v>339</v>
      </c>
      <c r="C5147" t="s">
        <v>353</v>
      </c>
      <c r="D5147" t="s">
        <v>9021</v>
      </c>
      <c r="E5147" t="s">
        <v>9020</v>
      </c>
      <c r="F5147" s="46">
        <v>46097.325934791668</v>
      </c>
      <c r="G5147" s="46">
        <v>46097.325934791668</v>
      </c>
      <c r="H5147">
        <v>0</v>
      </c>
    </row>
    <row r="5148" spans="1:8" x14ac:dyDescent="0.15">
      <c r="A5148">
        <v>5147</v>
      </c>
      <c r="B5148" t="s">
        <v>339</v>
      </c>
      <c r="C5148" t="s">
        <v>353</v>
      </c>
      <c r="D5148" t="s">
        <v>9022</v>
      </c>
      <c r="E5148" t="s">
        <v>9020</v>
      </c>
      <c r="F5148" s="46">
        <v>46097.325934791668</v>
      </c>
      <c r="G5148" s="46">
        <v>46097.325934791668</v>
      </c>
      <c r="H5148">
        <v>0</v>
      </c>
    </row>
    <row r="5149" spans="1:8" x14ac:dyDescent="0.15">
      <c r="A5149">
        <v>5148</v>
      </c>
      <c r="B5149" t="s">
        <v>339</v>
      </c>
      <c r="C5149" t="s">
        <v>353</v>
      </c>
      <c r="D5149" t="s">
        <v>9023</v>
      </c>
      <c r="E5149" t="s">
        <v>9024</v>
      </c>
      <c r="F5149" s="46">
        <v>46097.325934791668</v>
      </c>
      <c r="G5149" s="46">
        <v>46097.325934976849</v>
      </c>
      <c r="H5149">
        <v>16</v>
      </c>
    </row>
    <row r="5150" spans="1:8" x14ac:dyDescent="0.15">
      <c r="A5150">
        <v>5149</v>
      </c>
      <c r="B5150" t="s">
        <v>339</v>
      </c>
      <c r="C5150" t="s">
        <v>353</v>
      </c>
      <c r="D5150" t="s">
        <v>9025</v>
      </c>
      <c r="E5150" t="s">
        <v>9026</v>
      </c>
      <c r="F5150" s="46">
        <v>46097.325934976849</v>
      </c>
      <c r="G5150" s="46">
        <v>46097.325934976849</v>
      </c>
      <c r="H5150">
        <v>0</v>
      </c>
    </row>
    <row r="5151" spans="1:8" x14ac:dyDescent="0.15">
      <c r="A5151">
        <v>5150</v>
      </c>
      <c r="B5151" t="s">
        <v>339</v>
      </c>
      <c r="C5151" t="s">
        <v>353</v>
      </c>
      <c r="D5151" t="s">
        <v>9027</v>
      </c>
      <c r="E5151" t="s">
        <v>9028</v>
      </c>
      <c r="F5151" s="46">
        <v>46097.325934976849</v>
      </c>
      <c r="G5151" s="46">
        <v>46097.325934976849</v>
      </c>
      <c r="H5151">
        <v>0</v>
      </c>
    </row>
    <row r="5152" spans="1:8" x14ac:dyDescent="0.15">
      <c r="A5152">
        <v>5151</v>
      </c>
      <c r="B5152" t="s">
        <v>339</v>
      </c>
      <c r="C5152" t="s">
        <v>353</v>
      </c>
      <c r="D5152" t="s">
        <v>9029</v>
      </c>
      <c r="E5152" t="s">
        <v>9030</v>
      </c>
      <c r="F5152" s="46">
        <v>46097.325934976849</v>
      </c>
      <c r="G5152" s="46">
        <v>46097.325934976849</v>
      </c>
      <c r="H5152">
        <v>0</v>
      </c>
    </row>
    <row r="5153" spans="1:8" x14ac:dyDescent="0.15">
      <c r="A5153">
        <v>5152</v>
      </c>
      <c r="B5153" t="s">
        <v>339</v>
      </c>
      <c r="C5153" t="s">
        <v>353</v>
      </c>
      <c r="D5153" t="s">
        <v>9031</v>
      </c>
      <c r="E5153" t="s">
        <v>9032</v>
      </c>
      <c r="F5153" s="46">
        <v>46097.325934976849</v>
      </c>
      <c r="G5153" s="46">
        <v>46097.325934976849</v>
      </c>
      <c r="H5153">
        <v>0</v>
      </c>
    </row>
    <row r="5154" spans="1:8" x14ac:dyDescent="0.15">
      <c r="A5154">
        <v>5153</v>
      </c>
      <c r="B5154" t="s">
        <v>339</v>
      </c>
      <c r="C5154" t="s">
        <v>353</v>
      </c>
      <c r="D5154" t="s">
        <v>9033</v>
      </c>
      <c r="E5154" t="s">
        <v>9032</v>
      </c>
      <c r="F5154" s="46">
        <v>46097.325934976849</v>
      </c>
      <c r="G5154" s="46">
        <v>46097.325934976849</v>
      </c>
      <c r="H5154">
        <v>0</v>
      </c>
    </row>
    <row r="5155" spans="1:8" x14ac:dyDescent="0.15">
      <c r="A5155">
        <v>5154</v>
      </c>
      <c r="B5155" t="s">
        <v>339</v>
      </c>
      <c r="C5155" t="s">
        <v>353</v>
      </c>
      <c r="D5155" t="s">
        <v>9034</v>
      </c>
      <c r="E5155" t="s">
        <v>9032</v>
      </c>
      <c r="F5155" s="46">
        <v>46097.325934976849</v>
      </c>
      <c r="G5155" s="46">
        <v>46097.325934976849</v>
      </c>
      <c r="H5155">
        <v>0</v>
      </c>
    </row>
    <row r="5156" spans="1:8" x14ac:dyDescent="0.15">
      <c r="A5156">
        <v>5155</v>
      </c>
      <c r="B5156" t="s">
        <v>339</v>
      </c>
      <c r="C5156" t="s">
        <v>353</v>
      </c>
      <c r="D5156" t="s">
        <v>9035</v>
      </c>
      <c r="E5156" t="s">
        <v>9032</v>
      </c>
      <c r="F5156" s="46">
        <v>46097.325934976849</v>
      </c>
      <c r="G5156" s="46">
        <v>46097.325934976849</v>
      </c>
      <c r="H5156">
        <v>0</v>
      </c>
    </row>
    <row r="5157" spans="1:8" x14ac:dyDescent="0.15">
      <c r="A5157">
        <v>5156</v>
      </c>
      <c r="B5157" t="s">
        <v>339</v>
      </c>
      <c r="C5157" t="s">
        <v>353</v>
      </c>
      <c r="D5157" t="s">
        <v>9036</v>
      </c>
      <c r="E5157" t="s">
        <v>9037</v>
      </c>
      <c r="F5157" s="46">
        <v>46097.325934976849</v>
      </c>
      <c r="G5157" s="46">
        <v>46097.325934976849</v>
      </c>
      <c r="H5157">
        <v>0</v>
      </c>
    </row>
    <row r="5158" spans="1:8" x14ac:dyDescent="0.15">
      <c r="A5158">
        <v>5157</v>
      </c>
      <c r="B5158" t="s">
        <v>339</v>
      </c>
      <c r="C5158" t="s">
        <v>353</v>
      </c>
      <c r="D5158" t="s">
        <v>9038</v>
      </c>
      <c r="E5158" t="s">
        <v>9039</v>
      </c>
      <c r="F5158" s="46">
        <v>46097.325934976849</v>
      </c>
      <c r="G5158" s="46">
        <v>46097.325934976849</v>
      </c>
      <c r="H5158">
        <v>0</v>
      </c>
    </row>
    <row r="5159" spans="1:8" x14ac:dyDescent="0.15">
      <c r="A5159">
        <v>5158</v>
      </c>
      <c r="B5159" t="s">
        <v>339</v>
      </c>
      <c r="C5159" t="s">
        <v>353</v>
      </c>
      <c r="D5159" t="s">
        <v>9040</v>
      </c>
      <c r="E5159" t="s">
        <v>9041</v>
      </c>
      <c r="F5159" s="46">
        <v>46097.325934976849</v>
      </c>
      <c r="G5159" s="46">
        <v>46097.32593515046</v>
      </c>
      <c r="H5159">
        <v>16</v>
      </c>
    </row>
    <row r="5160" spans="1:8" x14ac:dyDescent="0.15">
      <c r="A5160">
        <v>5159</v>
      </c>
      <c r="B5160" t="s">
        <v>339</v>
      </c>
      <c r="C5160" t="s">
        <v>353</v>
      </c>
      <c r="D5160" t="s">
        <v>9042</v>
      </c>
      <c r="E5160" t="s">
        <v>9041</v>
      </c>
      <c r="F5160" s="46">
        <v>46097.32593515046</v>
      </c>
      <c r="G5160" s="46">
        <v>46097.32593515046</v>
      </c>
      <c r="H5160">
        <v>0</v>
      </c>
    </row>
    <row r="5161" spans="1:8" x14ac:dyDescent="0.15">
      <c r="A5161">
        <v>5160</v>
      </c>
      <c r="B5161" t="s">
        <v>339</v>
      </c>
      <c r="C5161" t="s">
        <v>353</v>
      </c>
      <c r="D5161" t="s">
        <v>9043</v>
      </c>
      <c r="E5161" t="s">
        <v>9041</v>
      </c>
      <c r="F5161" s="46">
        <v>46097.32593515046</v>
      </c>
      <c r="G5161" s="46">
        <v>46097.32593515046</v>
      </c>
      <c r="H5161">
        <v>0</v>
      </c>
    </row>
    <row r="5162" spans="1:8" x14ac:dyDescent="0.15">
      <c r="A5162">
        <v>5161</v>
      </c>
      <c r="B5162" t="s">
        <v>339</v>
      </c>
      <c r="C5162" t="s">
        <v>353</v>
      </c>
      <c r="D5162" t="s">
        <v>9044</v>
      </c>
      <c r="E5162" t="s">
        <v>9041</v>
      </c>
      <c r="F5162" s="46">
        <v>46097.32593515046</v>
      </c>
      <c r="G5162" s="46">
        <v>46097.32593515046</v>
      </c>
      <c r="H5162">
        <v>0</v>
      </c>
    </row>
    <row r="5163" spans="1:8" x14ac:dyDescent="0.15">
      <c r="A5163">
        <v>5162</v>
      </c>
      <c r="B5163" t="s">
        <v>339</v>
      </c>
      <c r="C5163" t="s">
        <v>353</v>
      </c>
      <c r="D5163" t="s">
        <v>9045</v>
      </c>
      <c r="E5163" t="s">
        <v>9041</v>
      </c>
      <c r="F5163" s="46">
        <v>46097.32593515046</v>
      </c>
      <c r="G5163" s="46">
        <v>46097.32593515046</v>
      </c>
      <c r="H5163">
        <v>0</v>
      </c>
    </row>
    <row r="5164" spans="1:8" x14ac:dyDescent="0.15">
      <c r="A5164">
        <v>5163</v>
      </c>
      <c r="B5164" t="s">
        <v>339</v>
      </c>
      <c r="C5164" t="s">
        <v>353</v>
      </c>
      <c r="D5164" t="s">
        <v>9046</v>
      </c>
      <c r="E5164" t="s">
        <v>9041</v>
      </c>
      <c r="F5164" s="46">
        <v>46097.32593515046</v>
      </c>
      <c r="G5164" s="46">
        <v>46097.32593515046</v>
      </c>
      <c r="H5164">
        <v>0</v>
      </c>
    </row>
    <row r="5165" spans="1:8" x14ac:dyDescent="0.15">
      <c r="A5165">
        <v>5164</v>
      </c>
      <c r="B5165" t="s">
        <v>339</v>
      </c>
      <c r="C5165" t="s">
        <v>353</v>
      </c>
      <c r="D5165" t="s">
        <v>9047</v>
      </c>
      <c r="E5165" t="s">
        <v>9041</v>
      </c>
      <c r="F5165" s="46">
        <v>46097.32593515046</v>
      </c>
      <c r="G5165" s="46">
        <v>46097.32593515046</v>
      </c>
      <c r="H5165">
        <v>0</v>
      </c>
    </row>
    <row r="5166" spans="1:8" x14ac:dyDescent="0.15">
      <c r="A5166">
        <v>5165</v>
      </c>
      <c r="B5166" t="s">
        <v>339</v>
      </c>
      <c r="C5166" t="s">
        <v>353</v>
      </c>
      <c r="D5166" t="s">
        <v>9048</v>
      </c>
      <c r="E5166" t="s">
        <v>9041</v>
      </c>
      <c r="F5166" s="46">
        <v>46097.32593515046</v>
      </c>
      <c r="G5166" s="46">
        <v>46097.32593515046</v>
      </c>
      <c r="H5166">
        <v>0</v>
      </c>
    </row>
    <row r="5167" spans="1:8" x14ac:dyDescent="0.15">
      <c r="A5167">
        <v>5166</v>
      </c>
      <c r="B5167" t="s">
        <v>339</v>
      </c>
      <c r="C5167" t="s">
        <v>353</v>
      </c>
      <c r="D5167" t="s">
        <v>9049</v>
      </c>
      <c r="E5167" t="s">
        <v>9041</v>
      </c>
      <c r="F5167" s="46">
        <v>46097.32593515046</v>
      </c>
      <c r="G5167" s="46">
        <v>46097.32593515046</v>
      </c>
      <c r="H5167">
        <v>0</v>
      </c>
    </row>
    <row r="5168" spans="1:8" x14ac:dyDescent="0.15">
      <c r="A5168">
        <v>5167</v>
      </c>
      <c r="B5168" t="s">
        <v>339</v>
      </c>
      <c r="C5168" t="s">
        <v>353</v>
      </c>
      <c r="D5168" t="s">
        <v>9050</v>
      </c>
      <c r="E5168" t="s">
        <v>9041</v>
      </c>
      <c r="F5168" s="46">
        <v>46097.32593515046</v>
      </c>
      <c r="G5168" s="46">
        <v>46097.32593515046</v>
      </c>
      <c r="H5168">
        <v>0</v>
      </c>
    </row>
    <row r="5169" spans="1:8" x14ac:dyDescent="0.15">
      <c r="A5169">
        <v>5168</v>
      </c>
      <c r="B5169" t="s">
        <v>339</v>
      </c>
      <c r="C5169" t="s">
        <v>353</v>
      </c>
      <c r="D5169" t="s">
        <v>9051</v>
      </c>
      <c r="E5169" t="s">
        <v>9041</v>
      </c>
      <c r="F5169" s="46">
        <v>46097.32593515046</v>
      </c>
      <c r="G5169" s="46">
        <v>46097.32593515046</v>
      </c>
      <c r="H5169">
        <v>0</v>
      </c>
    </row>
    <row r="5170" spans="1:8" x14ac:dyDescent="0.15">
      <c r="A5170">
        <v>5169</v>
      </c>
      <c r="B5170" t="s">
        <v>339</v>
      </c>
      <c r="C5170" t="s">
        <v>353</v>
      </c>
      <c r="D5170" t="s">
        <v>9052</v>
      </c>
      <c r="E5170" t="s">
        <v>9041</v>
      </c>
      <c r="F5170" s="46">
        <v>46097.32593515046</v>
      </c>
      <c r="G5170" s="46">
        <v>46097.325935335648</v>
      </c>
      <c r="H5170">
        <v>15</v>
      </c>
    </row>
    <row r="5171" spans="1:8" x14ac:dyDescent="0.15">
      <c r="A5171">
        <v>5170</v>
      </c>
      <c r="B5171" t="s">
        <v>339</v>
      </c>
      <c r="C5171" t="s">
        <v>353</v>
      </c>
      <c r="D5171" t="s">
        <v>9053</v>
      </c>
      <c r="E5171" t="s">
        <v>9041</v>
      </c>
      <c r="F5171" s="46">
        <v>46097.325935335648</v>
      </c>
      <c r="G5171" s="46">
        <v>46097.325935335648</v>
      </c>
      <c r="H5171">
        <v>0</v>
      </c>
    </row>
    <row r="5172" spans="1:8" x14ac:dyDescent="0.15">
      <c r="A5172">
        <v>5171</v>
      </c>
      <c r="B5172" t="s">
        <v>339</v>
      </c>
      <c r="C5172" t="s">
        <v>353</v>
      </c>
      <c r="D5172" t="s">
        <v>9054</v>
      </c>
      <c r="E5172" t="s">
        <v>9041</v>
      </c>
      <c r="F5172" s="46">
        <v>46097.325935335648</v>
      </c>
      <c r="G5172" s="46">
        <v>46097.325935335648</v>
      </c>
      <c r="H5172">
        <v>0</v>
      </c>
    </row>
    <row r="5173" spans="1:8" x14ac:dyDescent="0.15">
      <c r="A5173">
        <v>5172</v>
      </c>
      <c r="B5173" t="s">
        <v>339</v>
      </c>
      <c r="C5173" t="s">
        <v>353</v>
      </c>
      <c r="D5173" t="s">
        <v>9055</v>
      </c>
      <c r="E5173" t="s">
        <v>9041</v>
      </c>
      <c r="F5173" s="46">
        <v>46097.325935335648</v>
      </c>
      <c r="G5173" s="46">
        <v>46097.325935335648</v>
      </c>
      <c r="H5173">
        <v>0</v>
      </c>
    </row>
    <row r="5174" spans="1:8" x14ac:dyDescent="0.15">
      <c r="A5174">
        <v>5173</v>
      </c>
      <c r="B5174" t="s">
        <v>339</v>
      </c>
      <c r="C5174" t="s">
        <v>353</v>
      </c>
      <c r="D5174" t="s">
        <v>9056</v>
      </c>
      <c r="E5174" t="s">
        <v>9041</v>
      </c>
      <c r="F5174" s="46">
        <v>46097.325935335648</v>
      </c>
      <c r="G5174" s="46">
        <v>46097.325935335648</v>
      </c>
      <c r="H5174">
        <v>0</v>
      </c>
    </row>
    <row r="5175" spans="1:8" x14ac:dyDescent="0.15">
      <c r="A5175">
        <v>5174</v>
      </c>
      <c r="B5175" t="s">
        <v>339</v>
      </c>
      <c r="C5175" t="s">
        <v>353</v>
      </c>
      <c r="D5175" t="s">
        <v>9057</v>
      </c>
      <c r="E5175" t="s">
        <v>9041</v>
      </c>
      <c r="F5175" s="46">
        <v>46097.325935335648</v>
      </c>
      <c r="G5175" s="46">
        <v>46097.325935335648</v>
      </c>
      <c r="H5175">
        <v>0</v>
      </c>
    </row>
    <row r="5176" spans="1:8" x14ac:dyDescent="0.15">
      <c r="A5176">
        <v>5175</v>
      </c>
      <c r="B5176" t="s">
        <v>339</v>
      </c>
      <c r="C5176" t="s">
        <v>353</v>
      </c>
      <c r="D5176" t="s">
        <v>9058</v>
      </c>
      <c r="E5176" t="s">
        <v>9041</v>
      </c>
      <c r="F5176" s="46">
        <v>46097.325935335648</v>
      </c>
      <c r="G5176" s="46">
        <v>46097.325935335648</v>
      </c>
      <c r="H5176">
        <v>0</v>
      </c>
    </row>
    <row r="5177" spans="1:8" x14ac:dyDescent="0.15">
      <c r="A5177">
        <v>5176</v>
      </c>
      <c r="B5177" t="s">
        <v>339</v>
      </c>
      <c r="C5177" t="s">
        <v>353</v>
      </c>
      <c r="D5177" t="s">
        <v>9059</v>
      </c>
      <c r="E5177" t="s">
        <v>9041</v>
      </c>
      <c r="F5177" s="46">
        <v>46097.325935335648</v>
      </c>
      <c r="G5177" s="46">
        <v>46097.325935335648</v>
      </c>
      <c r="H5177">
        <v>0</v>
      </c>
    </row>
    <row r="5178" spans="1:8" x14ac:dyDescent="0.15">
      <c r="A5178">
        <v>5177</v>
      </c>
      <c r="B5178" t="s">
        <v>339</v>
      </c>
      <c r="C5178" t="s">
        <v>353</v>
      </c>
      <c r="D5178" t="s">
        <v>9060</v>
      </c>
      <c r="E5178" t="s">
        <v>9041</v>
      </c>
      <c r="F5178" s="46">
        <v>46097.325935335648</v>
      </c>
      <c r="G5178" s="46">
        <v>46097.325935335648</v>
      </c>
      <c r="H5178">
        <v>0</v>
      </c>
    </row>
    <row r="5179" spans="1:8" x14ac:dyDescent="0.15">
      <c r="A5179">
        <v>5178</v>
      </c>
      <c r="B5179" t="s">
        <v>339</v>
      </c>
      <c r="C5179" t="s">
        <v>353</v>
      </c>
      <c r="D5179" t="s">
        <v>9061</v>
      </c>
      <c r="E5179" t="s">
        <v>9041</v>
      </c>
      <c r="F5179" s="46">
        <v>46097.325935335648</v>
      </c>
      <c r="G5179" s="46">
        <v>46097.325935335648</v>
      </c>
      <c r="H5179">
        <v>0</v>
      </c>
    </row>
    <row r="5180" spans="1:8" x14ac:dyDescent="0.15">
      <c r="A5180">
        <v>5179</v>
      </c>
      <c r="B5180" t="s">
        <v>339</v>
      </c>
      <c r="C5180" t="s">
        <v>353</v>
      </c>
      <c r="D5180" t="s">
        <v>9062</v>
      </c>
      <c r="E5180" t="s">
        <v>9041</v>
      </c>
      <c r="F5180" s="46">
        <v>46097.325935335648</v>
      </c>
      <c r="G5180" s="46">
        <v>46097.325935335648</v>
      </c>
      <c r="H5180">
        <v>0</v>
      </c>
    </row>
    <row r="5181" spans="1:8" x14ac:dyDescent="0.15">
      <c r="A5181">
        <v>5180</v>
      </c>
      <c r="B5181" t="s">
        <v>339</v>
      </c>
      <c r="C5181" t="s">
        <v>353</v>
      </c>
      <c r="D5181" t="s">
        <v>9063</v>
      </c>
      <c r="E5181" t="s">
        <v>9064</v>
      </c>
      <c r="F5181" s="46">
        <v>46097.325935335648</v>
      </c>
      <c r="G5181" s="46">
        <v>46097.32593550926</v>
      </c>
      <c r="H5181">
        <v>16</v>
      </c>
    </row>
    <row r="5182" spans="1:8" x14ac:dyDescent="0.15">
      <c r="A5182">
        <v>5181</v>
      </c>
      <c r="B5182" t="s">
        <v>339</v>
      </c>
      <c r="C5182" t="s">
        <v>353</v>
      </c>
      <c r="D5182" t="s">
        <v>9065</v>
      </c>
      <c r="E5182" t="s">
        <v>9064</v>
      </c>
      <c r="F5182" s="46">
        <v>46097.32593550926</v>
      </c>
      <c r="G5182" s="46">
        <v>46097.32593550926</v>
      </c>
      <c r="H5182">
        <v>0</v>
      </c>
    </row>
    <row r="5183" spans="1:8" x14ac:dyDescent="0.15">
      <c r="A5183">
        <v>5182</v>
      </c>
      <c r="B5183" t="s">
        <v>339</v>
      </c>
      <c r="C5183" t="s">
        <v>353</v>
      </c>
      <c r="D5183" t="s">
        <v>9066</v>
      </c>
      <c r="E5183" t="s">
        <v>9064</v>
      </c>
      <c r="F5183" s="46">
        <v>46097.32593550926</v>
      </c>
      <c r="G5183" s="46">
        <v>46097.32593550926</v>
      </c>
      <c r="H5183">
        <v>0</v>
      </c>
    </row>
    <row r="5184" spans="1:8" x14ac:dyDescent="0.15">
      <c r="A5184">
        <v>5183</v>
      </c>
      <c r="B5184" t="s">
        <v>339</v>
      </c>
      <c r="C5184" t="s">
        <v>353</v>
      </c>
      <c r="D5184" t="s">
        <v>9067</v>
      </c>
      <c r="E5184" t="s">
        <v>9064</v>
      </c>
      <c r="F5184" s="46">
        <v>46097.32593550926</v>
      </c>
      <c r="G5184" s="46">
        <v>46097.32593550926</v>
      </c>
      <c r="H5184">
        <v>0</v>
      </c>
    </row>
    <row r="5185" spans="1:8" x14ac:dyDescent="0.15">
      <c r="A5185">
        <v>5184</v>
      </c>
      <c r="B5185" t="s">
        <v>339</v>
      </c>
      <c r="C5185" t="s">
        <v>353</v>
      </c>
      <c r="D5185" t="s">
        <v>9068</v>
      </c>
      <c r="E5185" t="s">
        <v>9064</v>
      </c>
      <c r="F5185" s="46">
        <v>46097.32593550926</v>
      </c>
      <c r="G5185" s="46">
        <v>46097.32593550926</v>
      </c>
      <c r="H5185">
        <v>0</v>
      </c>
    </row>
    <row r="5186" spans="1:8" x14ac:dyDescent="0.15">
      <c r="A5186">
        <v>5185</v>
      </c>
      <c r="B5186" t="s">
        <v>339</v>
      </c>
      <c r="C5186" t="s">
        <v>353</v>
      </c>
      <c r="D5186" t="s">
        <v>9069</v>
      </c>
      <c r="E5186" t="s">
        <v>9064</v>
      </c>
      <c r="F5186" s="46">
        <v>46097.32593550926</v>
      </c>
      <c r="G5186" s="46">
        <v>46097.32593550926</v>
      </c>
      <c r="H5186">
        <v>0</v>
      </c>
    </row>
    <row r="5187" spans="1:8" x14ac:dyDescent="0.15">
      <c r="A5187">
        <v>5186</v>
      </c>
      <c r="B5187" t="s">
        <v>339</v>
      </c>
      <c r="C5187" t="s">
        <v>353</v>
      </c>
      <c r="D5187" t="s">
        <v>9070</v>
      </c>
      <c r="E5187" t="s">
        <v>9064</v>
      </c>
      <c r="F5187" s="46">
        <v>46097.32593550926</v>
      </c>
      <c r="G5187" s="46">
        <v>46097.32593550926</v>
      </c>
      <c r="H5187">
        <v>0</v>
      </c>
    </row>
    <row r="5188" spans="1:8" x14ac:dyDescent="0.15">
      <c r="A5188">
        <v>5187</v>
      </c>
      <c r="B5188" t="s">
        <v>339</v>
      </c>
      <c r="C5188" t="s">
        <v>353</v>
      </c>
      <c r="D5188" t="s">
        <v>9071</v>
      </c>
      <c r="E5188" t="s">
        <v>9064</v>
      </c>
      <c r="F5188" s="46">
        <v>46097.32593550926</v>
      </c>
      <c r="G5188" s="46">
        <v>46097.32593550926</v>
      </c>
      <c r="H5188">
        <v>0</v>
      </c>
    </row>
    <row r="5189" spans="1:8" x14ac:dyDescent="0.15">
      <c r="A5189">
        <v>5188</v>
      </c>
      <c r="B5189" t="s">
        <v>339</v>
      </c>
      <c r="C5189" t="s">
        <v>353</v>
      </c>
      <c r="D5189" t="s">
        <v>9072</v>
      </c>
      <c r="E5189" t="s">
        <v>9064</v>
      </c>
      <c r="F5189" s="46">
        <v>46097.32593550926</v>
      </c>
      <c r="G5189" s="46">
        <v>46097.32593550926</v>
      </c>
      <c r="H5189">
        <v>0</v>
      </c>
    </row>
    <row r="5190" spans="1:8" x14ac:dyDescent="0.15">
      <c r="A5190">
        <v>5189</v>
      </c>
      <c r="B5190" t="s">
        <v>339</v>
      </c>
      <c r="C5190" t="s">
        <v>353</v>
      </c>
      <c r="D5190" t="s">
        <v>9073</v>
      </c>
      <c r="E5190" t="s">
        <v>9064</v>
      </c>
      <c r="F5190" s="46">
        <v>46097.32593550926</v>
      </c>
      <c r="G5190" s="46">
        <v>46097.32593550926</v>
      </c>
      <c r="H5190">
        <v>0</v>
      </c>
    </row>
    <row r="5191" spans="1:8" x14ac:dyDescent="0.15">
      <c r="A5191">
        <v>5190</v>
      </c>
      <c r="B5191" t="s">
        <v>339</v>
      </c>
      <c r="C5191" t="s">
        <v>353</v>
      </c>
      <c r="D5191" t="s">
        <v>9074</v>
      </c>
      <c r="E5191" t="s">
        <v>9064</v>
      </c>
      <c r="F5191" s="46">
        <v>46097.32593550926</v>
      </c>
      <c r="G5191" s="46">
        <v>46097.325935694447</v>
      </c>
      <c r="H5191">
        <v>16</v>
      </c>
    </row>
    <row r="5192" spans="1:8" x14ac:dyDescent="0.15">
      <c r="A5192">
        <v>5191</v>
      </c>
      <c r="B5192" t="s">
        <v>339</v>
      </c>
      <c r="C5192" t="s">
        <v>353</v>
      </c>
      <c r="D5192" t="s">
        <v>9075</v>
      </c>
      <c r="E5192" t="s">
        <v>9064</v>
      </c>
      <c r="F5192" s="46">
        <v>46097.325935694447</v>
      </c>
      <c r="G5192" s="46">
        <v>46097.325935694447</v>
      </c>
      <c r="H5192">
        <v>0</v>
      </c>
    </row>
    <row r="5193" spans="1:8" x14ac:dyDescent="0.15">
      <c r="A5193">
        <v>5192</v>
      </c>
      <c r="B5193" t="s">
        <v>339</v>
      </c>
      <c r="C5193" t="s">
        <v>353</v>
      </c>
      <c r="D5193" t="s">
        <v>9076</v>
      </c>
      <c r="E5193" t="s">
        <v>9077</v>
      </c>
      <c r="F5193" s="46">
        <v>46097.325935694447</v>
      </c>
      <c r="G5193" s="46">
        <v>46097.325935694447</v>
      </c>
      <c r="H5193">
        <v>0</v>
      </c>
    </row>
    <row r="5194" spans="1:8" x14ac:dyDescent="0.15">
      <c r="A5194">
        <v>5193</v>
      </c>
      <c r="B5194" t="s">
        <v>339</v>
      </c>
      <c r="C5194" t="s">
        <v>353</v>
      </c>
      <c r="D5194" t="s">
        <v>9078</v>
      </c>
      <c r="E5194" t="s">
        <v>9079</v>
      </c>
      <c r="F5194" s="46">
        <v>46097.325935694447</v>
      </c>
      <c r="G5194" s="46">
        <v>46097.325935694447</v>
      </c>
      <c r="H5194">
        <v>0</v>
      </c>
    </row>
    <row r="5195" spans="1:8" x14ac:dyDescent="0.15">
      <c r="A5195">
        <v>5194</v>
      </c>
      <c r="B5195" t="s">
        <v>339</v>
      </c>
      <c r="C5195" t="s">
        <v>353</v>
      </c>
      <c r="D5195" t="s">
        <v>9080</v>
      </c>
      <c r="E5195" t="s">
        <v>9079</v>
      </c>
      <c r="F5195" s="46">
        <v>46097.325935694447</v>
      </c>
      <c r="G5195" s="46">
        <v>46097.325935694447</v>
      </c>
      <c r="H5195">
        <v>0</v>
      </c>
    </row>
    <row r="5196" spans="1:8" x14ac:dyDescent="0.15">
      <c r="A5196">
        <v>5195</v>
      </c>
      <c r="B5196" t="s">
        <v>339</v>
      </c>
      <c r="C5196" t="s">
        <v>353</v>
      </c>
      <c r="D5196" t="s">
        <v>9081</v>
      </c>
      <c r="E5196" t="s">
        <v>9082</v>
      </c>
      <c r="F5196" s="46">
        <v>46097.325935694447</v>
      </c>
      <c r="G5196" s="46">
        <v>46097.325935694447</v>
      </c>
      <c r="H5196">
        <v>0</v>
      </c>
    </row>
    <row r="5197" spans="1:8" x14ac:dyDescent="0.15">
      <c r="A5197">
        <v>5196</v>
      </c>
      <c r="B5197" t="s">
        <v>339</v>
      </c>
      <c r="C5197" t="s">
        <v>353</v>
      </c>
      <c r="D5197" t="s">
        <v>9083</v>
      </c>
      <c r="E5197" t="s">
        <v>9082</v>
      </c>
      <c r="F5197" s="46">
        <v>46097.325935694447</v>
      </c>
      <c r="G5197" s="46">
        <v>46097.325935694447</v>
      </c>
      <c r="H5197">
        <v>0</v>
      </c>
    </row>
    <row r="5198" spans="1:8" x14ac:dyDescent="0.15">
      <c r="A5198">
        <v>5197</v>
      </c>
      <c r="B5198" t="s">
        <v>339</v>
      </c>
      <c r="C5198" t="s">
        <v>353</v>
      </c>
      <c r="D5198" t="s">
        <v>9084</v>
      </c>
      <c r="E5198" t="s">
        <v>9082</v>
      </c>
      <c r="F5198" s="46">
        <v>46097.325935694447</v>
      </c>
      <c r="G5198" s="46">
        <v>46097.325935694447</v>
      </c>
      <c r="H5198">
        <v>0</v>
      </c>
    </row>
    <row r="5199" spans="1:8" x14ac:dyDescent="0.15">
      <c r="A5199">
        <v>5198</v>
      </c>
      <c r="B5199" t="s">
        <v>339</v>
      </c>
      <c r="C5199" t="s">
        <v>353</v>
      </c>
      <c r="D5199" t="s">
        <v>9085</v>
      </c>
      <c r="E5199" t="s">
        <v>9082</v>
      </c>
      <c r="F5199" s="46">
        <v>46097.325935694447</v>
      </c>
      <c r="G5199" s="46">
        <v>46097.325935694447</v>
      </c>
      <c r="H5199">
        <v>0</v>
      </c>
    </row>
    <row r="5200" spans="1:8" x14ac:dyDescent="0.15">
      <c r="A5200">
        <v>5199</v>
      </c>
      <c r="B5200" t="s">
        <v>339</v>
      </c>
      <c r="C5200" t="s">
        <v>353</v>
      </c>
      <c r="D5200" t="s">
        <v>9086</v>
      </c>
      <c r="E5200" t="s">
        <v>9082</v>
      </c>
      <c r="F5200" s="46">
        <v>46097.325935694447</v>
      </c>
      <c r="G5200" s="46">
        <v>46097.325935694447</v>
      </c>
      <c r="H5200">
        <v>0</v>
      </c>
    </row>
    <row r="5201" spans="1:8" x14ac:dyDescent="0.15">
      <c r="A5201">
        <v>5200</v>
      </c>
      <c r="B5201" t="s">
        <v>339</v>
      </c>
      <c r="C5201" t="s">
        <v>353</v>
      </c>
      <c r="D5201" t="s">
        <v>9087</v>
      </c>
      <c r="E5201" t="s">
        <v>9082</v>
      </c>
      <c r="F5201" s="46">
        <v>46097.325935694447</v>
      </c>
      <c r="G5201" s="46">
        <v>46097.325935879628</v>
      </c>
      <c r="H5201">
        <v>15</v>
      </c>
    </row>
    <row r="5202" spans="1:8" x14ac:dyDescent="0.15">
      <c r="A5202">
        <v>5201</v>
      </c>
      <c r="B5202" t="s">
        <v>339</v>
      </c>
      <c r="C5202" t="s">
        <v>353</v>
      </c>
      <c r="D5202" t="s">
        <v>9088</v>
      </c>
      <c r="E5202" t="s">
        <v>9082</v>
      </c>
      <c r="F5202" s="46">
        <v>46097.325935879628</v>
      </c>
      <c r="G5202" s="46">
        <v>46097.325935879628</v>
      </c>
      <c r="H5202">
        <v>0</v>
      </c>
    </row>
    <row r="5203" spans="1:8" x14ac:dyDescent="0.15">
      <c r="A5203">
        <v>5202</v>
      </c>
      <c r="B5203" t="s">
        <v>339</v>
      </c>
      <c r="C5203" t="s">
        <v>353</v>
      </c>
      <c r="D5203" t="s">
        <v>9089</v>
      </c>
      <c r="E5203" t="s">
        <v>9082</v>
      </c>
      <c r="F5203" s="46">
        <v>46097.325935879628</v>
      </c>
      <c r="G5203" s="46">
        <v>46097.325935879628</v>
      </c>
      <c r="H5203">
        <v>0</v>
      </c>
    </row>
    <row r="5204" spans="1:8" x14ac:dyDescent="0.15">
      <c r="A5204">
        <v>5203</v>
      </c>
      <c r="B5204" t="s">
        <v>339</v>
      </c>
      <c r="C5204" t="s">
        <v>353</v>
      </c>
      <c r="D5204" t="s">
        <v>9090</v>
      </c>
      <c r="E5204" t="s">
        <v>9082</v>
      </c>
      <c r="F5204" s="46">
        <v>46097.325935879628</v>
      </c>
      <c r="G5204" s="46">
        <v>46097.325935879628</v>
      </c>
      <c r="H5204">
        <v>0</v>
      </c>
    </row>
    <row r="5205" spans="1:8" x14ac:dyDescent="0.15">
      <c r="A5205">
        <v>5204</v>
      </c>
      <c r="B5205" t="s">
        <v>339</v>
      </c>
      <c r="C5205" t="s">
        <v>353</v>
      </c>
      <c r="D5205" t="s">
        <v>9091</v>
      </c>
      <c r="E5205" t="s">
        <v>9082</v>
      </c>
      <c r="F5205" s="46">
        <v>46097.325935879628</v>
      </c>
      <c r="G5205" s="46">
        <v>46097.325935879628</v>
      </c>
      <c r="H5205">
        <v>0</v>
      </c>
    </row>
    <row r="5206" spans="1:8" x14ac:dyDescent="0.15">
      <c r="A5206">
        <v>5205</v>
      </c>
      <c r="B5206" t="s">
        <v>339</v>
      </c>
      <c r="C5206" t="s">
        <v>353</v>
      </c>
      <c r="D5206" t="s">
        <v>9092</v>
      </c>
      <c r="E5206" t="s">
        <v>9082</v>
      </c>
      <c r="F5206" s="46">
        <v>46097.325935879628</v>
      </c>
      <c r="G5206" s="46">
        <v>46097.325935879628</v>
      </c>
      <c r="H5206">
        <v>0</v>
      </c>
    </row>
    <row r="5207" spans="1:8" x14ac:dyDescent="0.15">
      <c r="A5207">
        <v>5206</v>
      </c>
      <c r="B5207" t="s">
        <v>339</v>
      </c>
      <c r="C5207" t="s">
        <v>353</v>
      </c>
      <c r="D5207" t="s">
        <v>9093</v>
      </c>
      <c r="E5207" t="s">
        <v>9082</v>
      </c>
      <c r="F5207" s="46">
        <v>46097.325935879628</v>
      </c>
      <c r="G5207" s="46">
        <v>46097.325935879628</v>
      </c>
      <c r="H5207">
        <v>0</v>
      </c>
    </row>
    <row r="5208" spans="1:8" x14ac:dyDescent="0.15">
      <c r="A5208">
        <v>5207</v>
      </c>
      <c r="B5208" t="s">
        <v>339</v>
      </c>
      <c r="C5208" t="s">
        <v>353</v>
      </c>
      <c r="D5208" t="s">
        <v>9094</v>
      </c>
      <c r="E5208" t="s">
        <v>9082</v>
      </c>
      <c r="F5208" s="46">
        <v>46097.325935879628</v>
      </c>
      <c r="G5208" s="46">
        <v>46097.325935879628</v>
      </c>
      <c r="H5208">
        <v>0</v>
      </c>
    </row>
    <row r="5209" spans="1:8" x14ac:dyDescent="0.15">
      <c r="A5209">
        <v>5208</v>
      </c>
      <c r="B5209" t="s">
        <v>339</v>
      </c>
      <c r="C5209" t="s">
        <v>353</v>
      </c>
      <c r="D5209" t="s">
        <v>9095</v>
      </c>
      <c r="E5209" t="s">
        <v>9082</v>
      </c>
      <c r="F5209" s="46">
        <v>46097.325935879628</v>
      </c>
      <c r="G5209" s="46">
        <v>46097.325935879628</v>
      </c>
      <c r="H5209">
        <v>0</v>
      </c>
    </row>
    <row r="5210" spans="1:8" x14ac:dyDescent="0.15">
      <c r="A5210">
        <v>5209</v>
      </c>
      <c r="B5210" t="s">
        <v>339</v>
      </c>
      <c r="C5210" t="s">
        <v>353</v>
      </c>
      <c r="D5210" t="s">
        <v>9096</v>
      </c>
      <c r="E5210" t="s">
        <v>9082</v>
      </c>
      <c r="F5210" s="46">
        <v>46097.325935879628</v>
      </c>
      <c r="G5210" s="46">
        <v>46097.325935879628</v>
      </c>
      <c r="H5210">
        <v>0</v>
      </c>
    </row>
    <row r="5211" spans="1:8" x14ac:dyDescent="0.15">
      <c r="A5211">
        <v>5210</v>
      </c>
      <c r="B5211" t="s">
        <v>339</v>
      </c>
      <c r="C5211" t="s">
        <v>353</v>
      </c>
      <c r="D5211" t="s">
        <v>9097</v>
      </c>
      <c r="E5211" t="s">
        <v>9082</v>
      </c>
      <c r="F5211" s="46">
        <v>46097.325935879628</v>
      </c>
      <c r="G5211" s="46">
        <v>46097.325935879628</v>
      </c>
      <c r="H5211">
        <v>0</v>
      </c>
    </row>
    <row r="5212" spans="1:8" x14ac:dyDescent="0.15">
      <c r="A5212">
        <v>5211</v>
      </c>
      <c r="B5212" t="s">
        <v>339</v>
      </c>
      <c r="C5212" t="s">
        <v>353</v>
      </c>
      <c r="D5212" t="s">
        <v>9098</v>
      </c>
      <c r="E5212" t="s">
        <v>9082</v>
      </c>
      <c r="F5212" s="46">
        <v>46097.325935879628</v>
      </c>
      <c r="G5212" s="46">
        <v>46097.325936053239</v>
      </c>
      <c r="H5212">
        <v>16</v>
      </c>
    </row>
    <row r="5213" spans="1:8" x14ac:dyDescent="0.15">
      <c r="A5213">
        <v>5212</v>
      </c>
      <c r="B5213" t="s">
        <v>339</v>
      </c>
      <c r="C5213" t="s">
        <v>353</v>
      </c>
      <c r="D5213" t="s">
        <v>9099</v>
      </c>
      <c r="E5213" t="s">
        <v>9082</v>
      </c>
      <c r="F5213" s="46">
        <v>46097.325936053239</v>
      </c>
      <c r="G5213" s="46">
        <v>46097.325936053239</v>
      </c>
      <c r="H5213">
        <v>0</v>
      </c>
    </row>
    <row r="5214" spans="1:8" x14ac:dyDescent="0.15">
      <c r="A5214">
        <v>5213</v>
      </c>
      <c r="B5214" t="s">
        <v>339</v>
      </c>
      <c r="C5214" t="s">
        <v>353</v>
      </c>
      <c r="D5214" t="s">
        <v>9100</v>
      </c>
      <c r="E5214" t="s">
        <v>9082</v>
      </c>
      <c r="F5214" s="46">
        <v>46097.325936053239</v>
      </c>
      <c r="G5214" s="46">
        <v>46097.325936053239</v>
      </c>
      <c r="H5214">
        <v>0</v>
      </c>
    </row>
    <row r="5215" spans="1:8" x14ac:dyDescent="0.15">
      <c r="A5215">
        <v>5214</v>
      </c>
      <c r="B5215" t="s">
        <v>339</v>
      </c>
      <c r="C5215" t="s">
        <v>353</v>
      </c>
      <c r="D5215" t="s">
        <v>9101</v>
      </c>
      <c r="E5215" t="s">
        <v>9102</v>
      </c>
      <c r="F5215" s="46">
        <v>46097.325936053239</v>
      </c>
      <c r="G5215" s="46">
        <v>46097.325936053239</v>
      </c>
      <c r="H5215">
        <v>0</v>
      </c>
    </row>
    <row r="5216" spans="1:8" x14ac:dyDescent="0.15">
      <c r="A5216">
        <v>5215</v>
      </c>
      <c r="B5216" t="s">
        <v>339</v>
      </c>
      <c r="C5216" t="s">
        <v>353</v>
      </c>
      <c r="D5216" t="s">
        <v>9103</v>
      </c>
      <c r="E5216" t="s">
        <v>9104</v>
      </c>
      <c r="F5216" s="46">
        <v>46097.325936053239</v>
      </c>
      <c r="G5216" s="46">
        <v>46097.325936053239</v>
      </c>
      <c r="H5216">
        <v>0</v>
      </c>
    </row>
    <row r="5217" spans="1:8" x14ac:dyDescent="0.15">
      <c r="A5217">
        <v>5216</v>
      </c>
      <c r="B5217" t="s">
        <v>339</v>
      </c>
      <c r="C5217" t="s">
        <v>353</v>
      </c>
      <c r="D5217" t="s">
        <v>9105</v>
      </c>
      <c r="E5217" t="s">
        <v>9104</v>
      </c>
      <c r="F5217" s="46">
        <v>46097.325936053239</v>
      </c>
      <c r="G5217" s="46">
        <v>46097.325936053239</v>
      </c>
      <c r="H5217">
        <v>0</v>
      </c>
    </row>
    <row r="5218" spans="1:8" x14ac:dyDescent="0.15">
      <c r="A5218">
        <v>5217</v>
      </c>
      <c r="B5218" t="s">
        <v>339</v>
      </c>
      <c r="C5218" t="s">
        <v>353</v>
      </c>
      <c r="D5218" t="s">
        <v>9106</v>
      </c>
      <c r="E5218" t="s">
        <v>9104</v>
      </c>
      <c r="F5218" s="46">
        <v>46097.325936053239</v>
      </c>
      <c r="G5218" s="46">
        <v>46097.325936053239</v>
      </c>
      <c r="H5218">
        <v>0</v>
      </c>
    </row>
    <row r="5219" spans="1:8" x14ac:dyDescent="0.15">
      <c r="A5219">
        <v>5218</v>
      </c>
      <c r="B5219" t="s">
        <v>339</v>
      </c>
      <c r="C5219" t="s">
        <v>353</v>
      </c>
      <c r="D5219" t="s">
        <v>9107</v>
      </c>
      <c r="E5219" t="s">
        <v>9104</v>
      </c>
      <c r="F5219" s="46">
        <v>46097.325936053239</v>
      </c>
      <c r="G5219" s="46">
        <v>46097.325936053239</v>
      </c>
      <c r="H5219">
        <v>0</v>
      </c>
    </row>
    <row r="5220" spans="1:8" x14ac:dyDescent="0.15">
      <c r="A5220">
        <v>5219</v>
      </c>
      <c r="B5220" t="s">
        <v>339</v>
      </c>
      <c r="C5220" t="s">
        <v>353</v>
      </c>
      <c r="D5220" t="s">
        <v>9108</v>
      </c>
      <c r="E5220" t="s">
        <v>9104</v>
      </c>
      <c r="F5220" s="46">
        <v>46097.325936053239</v>
      </c>
      <c r="G5220" s="46">
        <v>46097.325936053239</v>
      </c>
      <c r="H5220">
        <v>0</v>
      </c>
    </row>
    <row r="5221" spans="1:8" x14ac:dyDescent="0.15">
      <c r="A5221">
        <v>5220</v>
      </c>
      <c r="B5221" t="s">
        <v>339</v>
      </c>
      <c r="C5221" t="s">
        <v>353</v>
      </c>
      <c r="D5221" t="s">
        <v>9109</v>
      </c>
      <c r="E5221" t="s">
        <v>9104</v>
      </c>
      <c r="F5221" s="46">
        <v>46097.325936053239</v>
      </c>
      <c r="G5221" s="46">
        <v>46097.325936053239</v>
      </c>
      <c r="H5221">
        <v>0</v>
      </c>
    </row>
    <row r="5222" spans="1:8" x14ac:dyDescent="0.15">
      <c r="A5222">
        <v>5221</v>
      </c>
      <c r="B5222" t="s">
        <v>339</v>
      </c>
      <c r="C5222" t="s">
        <v>353</v>
      </c>
      <c r="D5222" t="s">
        <v>9110</v>
      </c>
      <c r="E5222" t="s">
        <v>9104</v>
      </c>
      <c r="F5222" s="46">
        <v>46097.325936053239</v>
      </c>
      <c r="G5222" s="46">
        <v>46097.325936053239</v>
      </c>
      <c r="H5222">
        <v>0</v>
      </c>
    </row>
    <row r="5223" spans="1:8" x14ac:dyDescent="0.15">
      <c r="A5223">
        <v>5222</v>
      </c>
      <c r="B5223" t="s">
        <v>339</v>
      </c>
      <c r="C5223" t="s">
        <v>353</v>
      </c>
      <c r="D5223" t="s">
        <v>9111</v>
      </c>
      <c r="E5223" t="s">
        <v>9104</v>
      </c>
      <c r="F5223" s="46">
        <v>46097.325936053239</v>
      </c>
      <c r="G5223" s="46">
        <v>46097.325936238427</v>
      </c>
      <c r="H5223">
        <v>15</v>
      </c>
    </row>
    <row r="5224" spans="1:8" x14ac:dyDescent="0.15">
      <c r="A5224">
        <v>5223</v>
      </c>
      <c r="B5224" t="s">
        <v>339</v>
      </c>
      <c r="C5224" t="s">
        <v>353</v>
      </c>
      <c r="D5224" t="s">
        <v>9112</v>
      </c>
      <c r="E5224" t="s">
        <v>9104</v>
      </c>
      <c r="F5224" s="46">
        <v>46097.325936238427</v>
      </c>
      <c r="G5224" s="46">
        <v>46097.325936238427</v>
      </c>
      <c r="H5224">
        <v>0</v>
      </c>
    </row>
    <row r="5225" spans="1:8" x14ac:dyDescent="0.15">
      <c r="A5225">
        <v>5224</v>
      </c>
      <c r="B5225" t="s">
        <v>339</v>
      </c>
      <c r="C5225" t="s">
        <v>353</v>
      </c>
      <c r="D5225" t="s">
        <v>9113</v>
      </c>
      <c r="E5225" t="s">
        <v>9104</v>
      </c>
      <c r="F5225" s="46">
        <v>46097.325936238427</v>
      </c>
      <c r="G5225" s="46">
        <v>46097.325936238427</v>
      </c>
      <c r="H5225">
        <v>0</v>
      </c>
    </row>
    <row r="5226" spans="1:8" x14ac:dyDescent="0.15">
      <c r="A5226">
        <v>5225</v>
      </c>
      <c r="B5226" t="s">
        <v>339</v>
      </c>
      <c r="C5226" t="s">
        <v>353</v>
      </c>
      <c r="D5226" t="s">
        <v>9114</v>
      </c>
      <c r="E5226" t="s">
        <v>9104</v>
      </c>
      <c r="F5226" s="46">
        <v>46097.325936238427</v>
      </c>
      <c r="G5226" s="46">
        <v>46097.325936238427</v>
      </c>
      <c r="H5226">
        <v>0</v>
      </c>
    </row>
    <row r="5227" spans="1:8" x14ac:dyDescent="0.15">
      <c r="A5227">
        <v>5226</v>
      </c>
      <c r="B5227" t="s">
        <v>339</v>
      </c>
      <c r="C5227" t="s">
        <v>353</v>
      </c>
      <c r="D5227" t="s">
        <v>9115</v>
      </c>
      <c r="E5227" t="s">
        <v>9104</v>
      </c>
      <c r="F5227" s="46">
        <v>46097.325936238427</v>
      </c>
      <c r="G5227" s="46">
        <v>46097.325936238427</v>
      </c>
      <c r="H5227">
        <v>0</v>
      </c>
    </row>
    <row r="5228" spans="1:8" x14ac:dyDescent="0.15">
      <c r="A5228">
        <v>5227</v>
      </c>
      <c r="B5228" t="s">
        <v>339</v>
      </c>
      <c r="C5228" t="s">
        <v>353</v>
      </c>
      <c r="D5228" t="s">
        <v>9116</v>
      </c>
      <c r="E5228" t="s">
        <v>9104</v>
      </c>
      <c r="F5228" s="46">
        <v>46097.325936238427</v>
      </c>
      <c r="G5228" s="46">
        <v>46097.325936238427</v>
      </c>
      <c r="H5228">
        <v>0</v>
      </c>
    </row>
    <row r="5229" spans="1:8" x14ac:dyDescent="0.15">
      <c r="A5229">
        <v>5228</v>
      </c>
      <c r="B5229" t="s">
        <v>339</v>
      </c>
      <c r="C5229" t="s">
        <v>353</v>
      </c>
      <c r="D5229" t="s">
        <v>9117</v>
      </c>
      <c r="E5229" t="s">
        <v>9118</v>
      </c>
      <c r="F5229" s="46">
        <v>46097.325936238427</v>
      </c>
      <c r="G5229" s="46">
        <v>46097.325936238427</v>
      </c>
      <c r="H5229">
        <v>0</v>
      </c>
    </row>
    <row r="5230" spans="1:8" x14ac:dyDescent="0.15">
      <c r="A5230">
        <v>5229</v>
      </c>
      <c r="B5230" t="s">
        <v>339</v>
      </c>
      <c r="C5230" t="s">
        <v>353</v>
      </c>
      <c r="D5230" t="s">
        <v>9119</v>
      </c>
      <c r="E5230" t="s">
        <v>9120</v>
      </c>
      <c r="F5230" s="46">
        <v>46097.325936238427</v>
      </c>
      <c r="G5230" s="46">
        <v>46097.325936238427</v>
      </c>
      <c r="H5230">
        <v>0</v>
      </c>
    </row>
    <row r="5231" spans="1:8" x14ac:dyDescent="0.15">
      <c r="A5231">
        <v>5230</v>
      </c>
      <c r="B5231" t="s">
        <v>339</v>
      </c>
      <c r="C5231" t="s">
        <v>353</v>
      </c>
      <c r="D5231" t="s">
        <v>9121</v>
      </c>
      <c r="E5231" t="s">
        <v>9120</v>
      </c>
      <c r="F5231" s="46">
        <v>46097.325936238427</v>
      </c>
      <c r="G5231" s="46">
        <v>46097.325936238427</v>
      </c>
      <c r="H5231">
        <v>0</v>
      </c>
    </row>
    <row r="5232" spans="1:8" x14ac:dyDescent="0.15">
      <c r="A5232">
        <v>5231</v>
      </c>
      <c r="B5232" t="s">
        <v>339</v>
      </c>
      <c r="C5232" t="s">
        <v>353</v>
      </c>
      <c r="D5232" t="s">
        <v>9122</v>
      </c>
      <c r="E5232" t="s">
        <v>9120</v>
      </c>
      <c r="F5232" s="46">
        <v>46097.325936238427</v>
      </c>
      <c r="G5232" s="46">
        <v>46097.325936238427</v>
      </c>
      <c r="H5232">
        <v>0</v>
      </c>
    </row>
    <row r="5233" spans="1:8" x14ac:dyDescent="0.15">
      <c r="A5233">
        <v>5232</v>
      </c>
      <c r="B5233" t="s">
        <v>339</v>
      </c>
      <c r="C5233" t="s">
        <v>353</v>
      </c>
      <c r="D5233" t="s">
        <v>9123</v>
      </c>
      <c r="E5233" t="s">
        <v>9124</v>
      </c>
      <c r="F5233" s="46">
        <v>46097.325936238427</v>
      </c>
      <c r="G5233" s="46">
        <v>46097.325936423607</v>
      </c>
      <c r="H5233">
        <v>16</v>
      </c>
    </row>
    <row r="5234" spans="1:8" x14ac:dyDescent="0.15">
      <c r="A5234">
        <v>5233</v>
      </c>
      <c r="B5234" t="s">
        <v>339</v>
      </c>
      <c r="C5234" t="s">
        <v>353</v>
      </c>
      <c r="D5234" t="s">
        <v>9125</v>
      </c>
      <c r="E5234" t="s">
        <v>9126</v>
      </c>
      <c r="F5234" s="46">
        <v>46097.325936423607</v>
      </c>
      <c r="G5234" s="46">
        <v>46097.325936423607</v>
      </c>
      <c r="H5234">
        <v>0</v>
      </c>
    </row>
    <row r="5235" spans="1:8" x14ac:dyDescent="0.15">
      <c r="A5235">
        <v>5234</v>
      </c>
      <c r="B5235" t="s">
        <v>339</v>
      </c>
      <c r="C5235" t="s">
        <v>353</v>
      </c>
      <c r="D5235" t="s">
        <v>9127</v>
      </c>
      <c r="E5235" t="s">
        <v>9126</v>
      </c>
      <c r="F5235" s="46">
        <v>46097.325936423607</v>
      </c>
      <c r="G5235" s="46">
        <v>46097.325936423607</v>
      </c>
      <c r="H5235">
        <v>0</v>
      </c>
    </row>
    <row r="5236" spans="1:8" x14ac:dyDescent="0.15">
      <c r="A5236">
        <v>5235</v>
      </c>
      <c r="B5236" t="s">
        <v>339</v>
      </c>
      <c r="C5236" t="s">
        <v>353</v>
      </c>
      <c r="D5236" t="s">
        <v>9128</v>
      </c>
      <c r="E5236" t="s">
        <v>9126</v>
      </c>
      <c r="F5236" s="46">
        <v>46097.325936423607</v>
      </c>
      <c r="G5236" s="46">
        <v>46097.325936423607</v>
      </c>
      <c r="H5236">
        <v>0</v>
      </c>
    </row>
    <row r="5237" spans="1:8" x14ac:dyDescent="0.15">
      <c r="A5237">
        <v>5236</v>
      </c>
      <c r="B5237" t="s">
        <v>339</v>
      </c>
      <c r="C5237" t="s">
        <v>353</v>
      </c>
      <c r="D5237" t="s">
        <v>9129</v>
      </c>
      <c r="E5237" t="s">
        <v>9126</v>
      </c>
      <c r="F5237" s="46">
        <v>46097.325936423607</v>
      </c>
      <c r="G5237" s="46">
        <v>46097.325936423607</v>
      </c>
      <c r="H5237">
        <v>0</v>
      </c>
    </row>
    <row r="5238" spans="1:8" x14ac:dyDescent="0.15">
      <c r="A5238">
        <v>5237</v>
      </c>
      <c r="B5238" t="s">
        <v>339</v>
      </c>
      <c r="C5238" t="s">
        <v>353</v>
      </c>
      <c r="D5238" t="s">
        <v>9130</v>
      </c>
      <c r="E5238" t="s">
        <v>9126</v>
      </c>
      <c r="F5238" s="46">
        <v>46097.325936423607</v>
      </c>
      <c r="G5238" s="46">
        <v>46097.325936423607</v>
      </c>
      <c r="H5238">
        <v>0</v>
      </c>
    </row>
    <row r="5239" spans="1:8" x14ac:dyDescent="0.15">
      <c r="A5239">
        <v>5238</v>
      </c>
      <c r="B5239" t="s">
        <v>339</v>
      </c>
      <c r="C5239" t="s">
        <v>353</v>
      </c>
      <c r="D5239" t="s">
        <v>9131</v>
      </c>
      <c r="E5239" t="s">
        <v>9126</v>
      </c>
      <c r="F5239" s="46">
        <v>46097.325936423607</v>
      </c>
      <c r="G5239" s="46">
        <v>46097.325936423607</v>
      </c>
      <c r="H5239">
        <v>0</v>
      </c>
    </row>
    <row r="5240" spans="1:8" x14ac:dyDescent="0.15">
      <c r="A5240">
        <v>5239</v>
      </c>
      <c r="B5240" t="s">
        <v>339</v>
      </c>
      <c r="C5240" t="s">
        <v>353</v>
      </c>
      <c r="D5240" t="s">
        <v>9132</v>
      </c>
      <c r="E5240" t="s">
        <v>9126</v>
      </c>
      <c r="F5240" s="46">
        <v>46097.325936423607</v>
      </c>
      <c r="G5240" s="46">
        <v>46097.325936423607</v>
      </c>
      <c r="H5240">
        <v>0</v>
      </c>
    </row>
    <row r="5241" spans="1:8" x14ac:dyDescent="0.15">
      <c r="A5241">
        <v>5240</v>
      </c>
      <c r="B5241" t="s">
        <v>339</v>
      </c>
      <c r="C5241" t="s">
        <v>353</v>
      </c>
      <c r="D5241" t="s">
        <v>9133</v>
      </c>
      <c r="E5241" t="s">
        <v>9126</v>
      </c>
      <c r="F5241" s="46">
        <v>46097.325936423607</v>
      </c>
      <c r="G5241" s="46">
        <v>46097.325936423607</v>
      </c>
      <c r="H5241">
        <v>0</v>
      </c>
    </row>
    <row r="5242" spans="1:8" x14ac:dyDescent="0.15">
      <c r="A5242">
        <v>5241</v>
      </c>
      <c r="B5242" t="s">
        <v>339</v>
      </c>
      <c r="C5242" t="s">
        <v>353</v>
      </c>
      <c r="D5242" t="s">
        <v>9134</v>
      </c>
      <c r="E5242" t="s">
        <v>9126</v>
      </c>
      <c r="F5242" s="46">
        <v>46097.325936423607</v>
      </c>
      <c r="G5242" s="46">
        <v>46097.325936423607</v>
      </c>
      <c r="H5242">
        <v>0</v>
      </c>
    </row>
    <row r="5243" spans="1:8" x14ac:dyDescent="0.15">
      <c r="A5243">
        <v>5242</v>
      </c>
      <c r="B5243" t="s">
        <v>339</v>
      </c>
      <c r="C5243" t="s">
        <v>353</v>
      </c>
      <c r="D5243" t="s">
        <v>9135</v>
      </c>
      <c r="E5243" t="s">
        <v>9126</v>
      </c>
      <c r="F5243" s="46">
        <v>46097.325936423607</v>
      </c>
      <c r="G5243" s="46">
        <v>46097.325936423607</v>
      </c>
      <c r="H5243">
        <v>0</v>
      </c>
    </row>
    <row r="5244" spans="1:8" x14ac:dyDescent="0.15">
      <c r="A5244">
        <v>5243</v>
      </c>
      <c r="B5244" t="s">
        <v>339</v>
      </c>
      <c r="C5244" t="s">
        <v>353</v>
      </c>
      <c r="D5244" t="s">
        <v>9136</v>
      </c>
      <c r="E5244" t="s">
        <v>9126</v>
      </c>
      <c r="F5244" s="46">
        <v>46097.325936423607</v>
      </c>
      <c r="G5244" s="46">
        <v>46097.325936597219</v>
      </c>
      <c r="H5244">
        <v>16</v>
      </c>
    </row>
    <row r="5245" spans="1:8" x14ac:dyDescent="0.15">
      <c r="A5245">
        <v>5244</v>
      </c>
      <c r="B5245" t="s">
        <v>339</v>
      </c>
      <c r="C5245" t="s">
        <v>353</v>
      </c>
      <c r="D5245" t="s">
        <v>9137</v>
      </c>
      <c r="E5245" t="s">
        <v>9126</v>
      </c>
      <c r="F5245" s="46">
        <v>46097.325936597219</v>
      </c>
      <c r="G5245" s="46">
        <v>46097.325936597219</v>
      </c>
      <c r="H5245">
        <v>0</v>
      </c>
    </row>
    <row r="5246" spans="1:8" x14ac:dyDescent="0.15">
      <c r="A5246">
        <v>5245</v>
      </c>
      <c r="B5246" t="s">
        <v>339</v>
      </c>
      <c r="C5246" t="s">
        <v>353</v>
      </c>
      <c r="D5246" t="s">
        <v>9138</v>
      </c>
      <c r="E5246" t="s">
        <v>9126</v>
      </c>
      <c r="F5246" s="46">
        <v>46097.325936597219</v>
      </c>
      <c r="G5246" s="46">
        <v>46097.325936597219</v>
      </c>
      <c r="H5246">
        <v>0</v>
      </c>
    </row>
    <row r="5247" spans="1:8" x14ac:dyDescent="0.15">
      <c r="A5247">
        <v>5246</v>
      </c>
      <c r="B5247" t="s">
        <v>339</v>
      </c>
      <c r="C5247" t="s">
        <v>353</v>
      </c>
      <c r="D5247" t="s">
        <v>9139</v>
      </c>
      <c r="E5247" t="s">
        <v>9126</v>
      </c>
      <c r="F5247" s="46">
        <v>46097.325936597219</v>
      </c>
      <c r="G5247" s="46">
        <v>46097.325936597219</v>
      </c>
      <c r="H5247">
        <v>0</v>
      </c>
    </row>
    <row r="5248" spans="1:8" x14ac:dyDescent="0.15">
      <c r="A5248">
        <v>5247</v>
      </c>
      <c r="B5248" t="s">
        <v>339</v>
      </c>
      <c r="C5248" t="s">
        <v>353</v>
      </c>
      <c r="D5248" t="s">
        <v>9140</v>
      </c>
      <c r="E5248" t="s">
        <v>9126</v>
      </c>
      <c r="F5248" s="46">
        <v>46097.325936597219</v>
      </c>
      <c r="G5248" s="46">
        <v>46097.325936597219</v>
      </c>
      <c r="H5248">
        <v>0</v>
      </c>
    </row>
    <row r="5249" spans="1:8" x14ac:dyDescent="0.15">
      <c r="A5249">
        <v>5248</v>
      </c>
      <c r="B5249" t="s">
        <v>339</v>
      </c>
      <c r="C5249" t="s">
        <v>353</v>
      </c>
      <c r="D5249" t="s">
        <v>9141</v>
      </c>
      <c r="E5249" t="s">
        <v>9126</v>
      </c>
      <c r="F5249" s="46">
        <v>46097.325936597219</v>
      </c>
      <c r="G5249" s="46">
        <v>46097.325936597219</v>
      </c>
      <c r="H5249">
        <v>0</v>
      </c>
    </row>
    <row r="5250" spans="1:8" x14ac:dyDescent="0.15">
      <c r="A5250">
        <v>5249</v>
      </c>
      <c r="B5250" t="s">
        <v>339</v>
      </c>
      <c r="C5250" t="s">
        <v>353</v>
      </c>
      <c r="D5250" t="s">
        <v>9142</v>
      </c>
      <c r="E5250" t="s">
        <v>9126</v>
      </c>
      <c r="F5250" s="46">
        <v>46097.325936597219</v>
      </c>
      <c r="G5250" s="46">
        <v>46097.325936597219</v>
      </c>
      <c r="H5250">
        <v>0</v>
      </c>
    </row>
    <row r="5251" spans="1:8" x14ac:dyDescent="0.15">
      <c r="A5251">
        <v>5250</v>
      </c>
      <c r="B5251" t="s">
        <v>339</v>
      </c>
      <c r="C5251" t="s">
        <v>353</v>
      </c>
      <c r="D5251" t="s">
        <v>9143</v>
      </c>
      <c r="E5251" t="s">
        <v>9126</v>
      </c>
      <c r="F5251" s="46">
        <v>46097.325936597219</v>
      </c>
      <c r="G5251" s="46">
        <v>46097.325936597219</v>
      </c>
      <c r="H5251">
        <v>0</v>
      </c>
    </row>
    <row r="5252" spans="1:8" x14ac:dyDescent="0.15">
      <c r="A5252">
        <v>5251</v>
      </c>
      <c r="B5252" t="s">
        <v>339</v>
      </c>
      <c r="C5252" t="s">
        <v>353</v>
      </c>
      <c r="D5252" t="s">
        <v>9144</v>
      </c>
      <c r="E5252" t="s">
        <v>9126</v>
      </c>
      <c r="F5252" s="46">
        <v>46097.325936597219</v>
      </c>
      <c r="G5252" s="46">
        <v>46097.325936597219</v>
      </c>
      <c r="H5252">
        <v>0</v>
      </c>
    </row>
    <row r="5253" spans="1:8" x14ac:dyDescent="0.15">
      <c r="A5253">
        <v>5252</v>
      </c>
      <c r="B5253" t="s">
        <v>339</v>
      </c>
      <c r="C5253" t="s">
        <v>353</v>
      </c>
      <c r="D5253" t="s">
        <v>9145</v>
      </c>
      <c r="E5253" t="s">
        <v>9126</v>
      </c>
      <c r="F5253" s="46">
        <v>46097.325936597219</v>
      </c>
      <c r="G5253" s="46">
        <v>46097.325936597219</v>
      </c>
      <c r="H5253">
        <v>0</v>
      </c>
    </row>
    <row r="5254" spans="1:8" x14ac:dyDescent="0.15">
      <c r="A5254">
        <v>5253</v>
      </c>
      <c r="B5254" t="s">
        <v>339</v>
      </c>
      <c r="C5254" t="s">
        <v>353</v>
      </c>
      <c r="D5254" t="s">
        <v>9146</v>
      </c>
      <c r="E5254" t="s">
        <v>9126</v>
      </c>
      <c r="F5254" s="46">
        <v>46097.325936597219</v>
      </c>
      <c r="G5254" s="46">
        <v>46097.325936597219</v>
      </c>
      <c r="H5254">
        <v>0</v>
      </c>
    </row>
    <row r="5255" spans="1:8" x14ac:dyDescent="0.15">
      <c r="A5255">
        <v>5254</v>
      </c>
      <c r="B5255" t="s">
        <v>339</v>
      </c>
      <c r="C5255" t="s">
        <v>353</v>
      </c>
      <c r="D5255" t="s">
        <v>9147</v>
      </c>
      <c r="E5255" t="s">
        <v>9148</v>
      </c>
      <c r="F5255" s="46">
        <v>46097.325936597219</v>
      </c>
      <c r="G5255" s="46">
        <v>46097.325936782407</v>
      </c>
      <c r="H5255">
        <v>15</v>
      </c>
    </row>
    <row r="5256" spans="1:8" x14ac:dyDescent="0.15">
      <c r="A5256">
        <v>5255</v>
      </c>
      <c r="B5256" t="s">
        <v>339</v>
      </c>
      <c r="C5256" t="s">
        <v>353</v>
      </c>
      <c r="D5256" t="s">
        <v>9149</v>
      </c>
      <c r="E5256" t="s">
        <v>9148</v>
      </c>
      <c r="F5256" s="46">
        <v>46097.325936782407</v>
      </c>
      <c r="G5256" s="46">
        <v>46097.325936782407</v>
      </c>
      <c r="H5256">
        <v>0</v>
      </c>
    </row>
    <row r="5257" spans="1:8" x14ac:dyDescent="0.15">
      <c r="A5257">
        <v>5256</v>
      </c>
      <c r="B5257" t="s">
        <v>339</v>
      </c>
      <c r="C5257" t="s">
        <v>353</v>
      </c>
      <c r="D5257" t="s">
        <v>9150</v>
      </c>
      <c r="E5257" t="s">
        <v>9148</v>
      </c>
      <c r="F5257" s="46">
        <v>46097.325936782407</v>
      </c>
      <c r="G5257" s="46">
        <v>46097.325936782407</v>
      </c>
      <c r="H5257">
        <v>0</v>
      </c>
    </row>
    <row r="5258" spans="1:8" x14ac:dyDescent="0.15">
      <c r="A5258">
        <v>5257</v>
      </c>
      <c r="B5258" t="s">
        <v>339</v>
      </c>
      <c r="C5258" t="s">
        <v>353</v>
      </c>
      <c r="D5258" t="s">
        <v>9151</v>
      </c>
      <c r="E5258" t="s">
        <v>9148</v>
      </c>
      <c r="F5258" s="46">
        <v>46097.325936782407</v>
      </c>
      <c r="G5258" s="46">
        <v>46097.325936782407</v>
      </c>
      <c r="H5258">
        <v>0</v>
      </c>
    </row>
    <row r="5259" spans="1:8" x14ac:dyDescent="0.15">
      <c r="A5259">
        <v>5258</v>
      </c>
      <c r="B5259" t="s">
        <v>339</v>
      </c>
      <c r="C5259" t="s">
        <v>353</v>
      </c>
      <c r="D5259" t="s">
        <v>9152</v>
      </c>
      <c r="E5259" t="s">
        <v>9148</v>
      </c>
      <c r="F5259" s="46">
        <v>46097.325936782407</v>
      </c>
      <c r="G5259" s="46">
        <v>46097.325936782407</v>
      </c>
      <c r="H5259">
        <v>0</v>
      </c>
    </row>
    <row r="5260" spans="1:8" x14ac:dyDescent="0.15">
      <c r="A5260">
        <v>5259</v>
      </c>
      <c r="B5260" t="s">
        <v>339</v>
      </c>
      <c r="C5260" t="s">
        <v>353</v>
      </c>
      <c r="D5260" t="s">
        <v>9153</v>
      </c>
      <c r="E5260" t="s">
        <v>9148</v>
      </c>
      <c r="F5260" s="46">
        <v>46097.325936782407</v>
      </c>
      <c r="G5260" s="46">
        <v>46097.325936782407</v>
      </c>
      <c r="H5260">
        <v>0</v>
      </c>
    </row>
    <row r="5261" spans="1:8" x14ac:dyDescent="0.15">
      <c r="A5261">
        <v>5260</v>
      </c>
      <c r="B5261" t="s">
        <v>339</v>
      </c>
      <c r="C5261" t="s">
        <v>353</v>
      </c>
      <c r="D5261" t="s">
        <v>9154</v>
      </c>
      <c r="E5261" t="s">
        <v>9148</v>
      </c>
      <c r="F5261" s="46">
        <v>46097.325936782407</v>
      </c>
      <c r="G5261" s="46">
        <v>46097.325936782407</v>
      </c>
      <c r="H5261">
        <v>0</v>
      </c>
    </row>
    <row r="5262" spans="1:8" x14ac:dyDescent="0.15">
      <c r="A5262">
        <v>5261</v>
      </c>
      <c r="B5262" t="s">
        <v>339</v>
      </c>
      <c r="C5262" t="s">
        <v>353</v>
      </c>
      <c r="D5262" t="s">
        <v>9155</v>
      </c>
      <c r="E5262" t="s">
        <v>9148</v>
      </c>
      <c r="F5262" s="46">
        <v>46097.325936782407</v>
      </c>
      <c r="G5262" s="46">
        <v>46097.325936782407</v>
      </c>
      <c r="H5262">
        <v>0</v>
      </c>
    </row>
    <row r="5263" spans="1:8" x14ac:dyDescent="0.15">
      <c r="A5263">
        <v>5262</v>
      </c>
      <c r="B5263" t="s">
        <v>339</v>
      </c>
      <c r="C5263" t="s">
        <v>353</v>
      </c>
      <c r="D5263" t="s">
        <v>9156</v>
      </c>
      <c r="E5263" t="s">
        <v>9148</v>
      </c>
      <c r="F5263" s="46">
        <v>46097.325936782407</v>
      </c>
      <c r="G5263" s="46">
        <v>46097.325936782407</v>
      </c>
      <c r="H5263">
        <v>0</v>
      </c>
    </row>
    <row r="5264" spans="1:8" x14ac:dyDescent="0.15">
      <c r="A5264">
        <v>5263</v>
      </c>
      <c r="B5264" t="s">
        <v>339</v>
      </c>
      <c r="C5264" t="s">
        <v>353</v>
      </c>
      <c r="D5264" t="s">
        <v>9157</v>
      </c>
      <c r="E5264" t="s">
        <v>9148</v>
      </c>
      <c r="F5264" s="46">
        <v>46097.325936782407</v>
      </c>
      <c r="G5264" s="46">
        <v>46097.325936782407</v>
      </c>
      <c r="H5264">
        <v>0</v>
      </c>
    </row>
    <row r="5265" spans="1:8" x14ac:dyDescent="0.15">
      <c r="A5265">
        <v>5264</v>
      </c>
      <c r="B5265" t="s">
        <v>339</v>
      </c>
      <c r="C5265" t="s">
        <v>353</v>
      </c>
      <c r="D5265" t="s">
        <v>9158</v>
      </c>
      <c r="E5265" t="s">
        <v>9148</v>
      </c>
      <c r="F5265" s="46">
        <v>46097.325936782407</v>
      </c>
      <c r="G5265" s="46">
        <v>46097.325936956018</v>
      </c>
      <c r="H5265">
        <v>16</v>
      </c>
    </row>
    <row r="5266" spans="1:8" x14ac:dyDescent="0.15">
      <c r="A5266">
        <v>5265</v>
      </c>
      <c r="B5266" t="s">
        <v>339</v>
      </c>
      <c r="C5266" t="s">
        <v>353</v>
      </c>
      <c r="D5266" t="s">
        <v>9159</v>
      </c>
      <c r="E5266" t="s">
        <v>9148</v>
      </c>
      <c r="F5266" s="46">
        <v>46097.325936956018</v>
      </c>
      <c r="G5266" s="46">
        <v>46097.325936956018</v>
      </c>
      <c r="H5266">
        <v>0</v>
      </c>
    </row>
    <row r="5267" spans="1:8" x14ac:dyDescent="0.15">
      <c r="A5267">
        <v>5266</v>
      </c>
      <c r="B5267" t="s">
        <v>339</v>
      </c>
      <c r="C5267" t="s">
        <v>353</v>
      </c>
      <c r="D5267" t="s">
        <v>9160</v>
      </c>
      <c r="E5267" t="s">
        <v>9148</v>
      </c>
      <c r="F5267" s="46">
        <v>46097.325936956018</v>
      </c>
      <c r="G5267" s="46">
        <v>46097.325936956018</v>
      </c>
      <c r="H5267">
        <v>0</v>
      </c>
    </row>
    <row r="5268" spans="1:8" x14ac:dyDescent="0.15">
      <c r="A5268">
        <v>5267</v>
      </c>
      <c r="B5268" t="s">
        <v>339</v>
      </c>
      <c r="C5268" t="s">
        <v>353</v>
      </c>
      <c r="D5268" t="s">
        <v>9161</v>
      </c>
      <c r="E5268" t="s">
        <v>9148</v>
      </c>
      <c r="F5268" s="46">
        <v>46097.325936956018</v>
      </c>
      <c r="G5268" s="46">
        <v>46097.325936956018</v>
      </c>
      <c r="H5268">
        <v>0</v>
      </c>
    </row>
    <row r="5269" spans="1:8" x14ac:dyDescent="0.15">
      <c r="A5269">
        <v>5268</v>
      </c>
      <c r="B5269" t="s">
        <v>339</v>
      </c>
      <c r="C5269" t="s">
        <v>353</v>
      </c>
      <c r="D5269" t="s">
        <v>9162</v>
      </c>
      <c r="E5269" t="s">
        <v>9148</v>
      </c>
      <c r="F5269" s="46">
        <v>46097.325936956018</v>
      </c>
      <c r="G5269" s="46">
        <v>46097.325936956018</v>
      </c>
      <c r="H5269">
        <v>0</v>
      </c>
    </row>
    <row r="5270" spans="1:8" x14ac:dyDescent="0.15">
      <c r="A5270">
        <v>5269</v>
      </c>
      <c r="B5270" t="s">
        <v>339</v>
      </c>
      <c r="C5270" t="s">
        <v>353</v>
      </c>
      <c r="D5270" t="s">
        <v>9163</v>
      </c>
      <c r="E5270" t="s">
        <v>9148</v>
      </c>
      <c r="F5270" s="46">
        <v>46097.325936956018</v>
      </c>
      <c r="G5270" s="46">
        <v>46097.325936956018</v>
      </c>
      <c r="H5270">
        <v>0</v>
      </c>
    </row>
    <row r="5271" spans="1:8" x14ac:dyDescent="0.15">
      <c r="A5271">
        <v>5270</v>
      </c>
      <c r="B5271" t="s">
        <v>339</v>
      </c>
      <c r="C5271" t="s">
        <v>353</v>
      </c>
      <c r="D5271" t="s">
        <v>9164</v>
      </c>
      <c r="E5271" t="s">
        <v>9148</v>
      </c>
      <c r="F5271" s="46">
        <v>46097.325936956018</v>
      </c>
      <c r="G5271" s="46">
        <v>46097.325936956018</v>
      </c>
      <c r="H5271">
        <v>0</v>
      </c>
    </row>
    <row r="5272" spans="1:8" x14ac:dyDescent="0.15">
      <c r="A5272">
        <v>5271</v>
      </c>
      <c r="B5272" t="s">
        <v>339</v>
      </c>
      <c r="C5272" t="s">
        <v>353</v>
      </c>
      <c r="D5272" t="s">
        <v>9165</v>
      </c>
      <c r="E5272" t="s">
        <v>9148</v>
      </c>
      <c r="F5272" s="46">
        <v>46097.325936956018</v>
      </c>
      <c r="G5272" s="46">
        <v>46097.325936956018</v>
      </c>
      <c r="H5272">
        <v>0</v>
      </c>
    </row>
    <row r="5273" spans="1:8" x14ac:dyDescent="0.15">
      <c r="A5273">
        <v>5272</v>
      </c>
      <c r="B5273" t="s">
        <v>339</v>
      </c>
      <c r="C5273" t="s">
        <v>353</v>
      </c>
      <c r="D5273" t="s">
        <v>9166</v>
      </c>
      <c r="E5273" t="s">
        <v>9148</v>
      </c>
      <c r="F5273" s="46">
        <v>46097.325936956018</v>
      </c>
      <c r="G5273" s="46">
        <v>46097.325936956018</v>
      </c>
      <c r="H5273">
        <v>0</v>
      </c>
    </row>
    <row r="5274" spans="1:8" x14ac:dyDescent="0.15">
      <c r="A5274">
        <v>5273</v>
      </c>
      <c r="B5274" t="s">
        <v>339</v>
      </c>
      <c r="C5274" t="s">
        <v>353</v>
      </c>
      <c r="D5274" t="s">
        <v>9167</v>
      </c>
      <c r="E5274" t="s">
        <v>9168</v>
      </c>
      <c r="F5274" s="46">
        <v>46097.325936956018</v>
      </c>
      <c r="G5274" s="46">
        <v>46097.325936956018</v>
      </c>
      <c r="H5274">
        <v>0</v>
      </c>
    </row>
    <row r="5275" spans="1:8" x14ac:dyDescent="0.15">
      <c r="A5275">
        <v>5274</v>
      </c>
      <c r="B5275" t="s">
        <v>339</v>
      </c>
      <c r="C5275" t="s">
        <v>353</v>
      </c>
      <c r="D5275" t="s">
        <v>9169</v>
      </c>
      <c r="E5275" t="s">
        <v>9170</v>
      </c>
      <c r="F5275" s="46">
        <v>46097.325936956018</v>
      </c>
      <c r="G5275" s="46">
        <v>46097.325936956018</v>
      </c>
      <c r="H5275">
        <v>0</v>
      </c>
    </row>
    <row r="5276" spans="1:8" x14ac:dyDescent="0.15">
      <c r="A5276">
        <v>5275</v>
      </c>
      <c r="B5276" t="s">
        <v>339</v>
      </c>
      <c r="C5276" t="s">
        <v>353</v>
      </c>
      <c r="D5276" t="s">
        <v>9171</v>
      </c>
      <c r="E5276" t="s">
        <v>9172</v>
      </c>
      <c r="F5276" s="46">
        <v>46097.325936956018</v>
      </c>
      <c r="G5276" s="46">
        <v>46097.325937141213</v>
      </c>
      <c r="H5276">
        <v>16</v>
      </c>
    </row>
    <row r="5277" spans="1:8" x14ac:dyDescent="0.15">
      <c r="A5277">
        <v>5276</v>
      </c>
      <c r="B5277" t="s">
        <v>339</v>
      </c>
      <c r="C5277" t="s">
        <v>353</v>
      </c>
      <c r="D5277" t="s">
        <v>9173</v>
      </c>
      <c r="E5277" t="s">
        <v>9174</v>
      </c>
      <c r="F5277" s="46">
        <v>46097.325937141213</v>
      </c>
      <c r="G5277" s="46">
        <v>46097.325937141213</v>
      </c>
      <c r="H5277">
        <v>0</v>
      </c>
    </row>
    <row r="5278" spans="1:8" x14ac:dyDescent="0.15">
      <c r="A5278">
        <v>5277</v>
      </c>
      <c r="B5278" t="s">
        <v>339</v>
      </c>
      <c r="C5278" t="s">
        <v>353</v>
      </c>
      <c r="D5278" t="s">
        <v>9175</v>
      </c>
      <c r="E5278" t="s">
        <v>9174</v>
      </c>
      <c r="F5278" s="46">
        <v>46097.325937141213</v>
      </c>
      <c r="G5278" s="46">
        <v>46097.325937141213</v>
      </c>
      <c r="H5278">
        <v>0</v>
      </c>
    </row>
    <row r="5279" spans="1:8" x14ac:dyDescent="0.15">
      <c r="A5279">
        <v>5278</v>
      </c>
      <c r="B5279" t="s">
        <v>339</v>
      </c>
      <c r="C5279" t="s">
        <v>353</v>
      </c>
      <c r="D5279" t="s">
        <v>9176</v>
      </c>
      <c r="E5279" t="s">
        <v>9174</v>
      </c>
      <c r="F5279" s="46">
        <v>46097.325937141213</v>
      </c>
      <c r="G5279" s="46">
        <v>46097.325937141213</v>
      </c>
      <c r="H5279">
        <v>0</v>
      </c>
    </row>
    <row r="5280" spans="1:8" x14ac:dyDescent="0.15">
      <c r="A5280">
        <v>5279</v>
      </c>
      <c r="B5280" t="s">
        <v>339</v>
      </c>
      <c r="C5280" t="s">
        <v>353</v>
      </c>
      <c r="D5280" t="s">
        <v>9177</v>
      </c>
      <c r="E5280" t="s">
        <v>9174</v>
      </c>
      <c r="F5280" s="46">
        <v>46097.325937141213</v>
      </c>
      <c r="G5280" s="46">
        <v>46097.325937141213</v>
      </c>
      <c r="H5280">
        <v>0</v>
      </c>
    </row>
    <row r="5281" spans="1:8" x14ac:dyDescent="0.15">
      <c r="A5281">
        <v>5280</v>
      </c>
      <c r="B5281" t="s">
        <v>339</v>
      </c>
      <c r="C5281" t="s">
        <v>353</v>
      </c>
      <c r="D5281" t="s">
        <v>9178</v>
      </c>
      <c r="E5281" t="s">
        <v>9174</v>
      </c>
      <c r="F5281" s="46">
        <v>46097.325937141213</v>
      </c>
      <c r="G5281" s="46">
        <v>46097.325937141213</v>
      </c>
      <c r="H5281">
        <v>0</v>
      </c>
    </row>
    <row r="5282" spans="1:8" x14ac:dyDescent="0.15">
      <c r="A5282">
        <v>5281</v>
      </c>
      <c r="B5282" t="s">
        <v>339</v>
      </c>
      <c r="C5282" t="s">
        <v>353</v>
      </c>
      <c r="D5282" t="s">
        <v>9179</v>
      </c>
      <c r="E5282" t="s">
        <v>9174</v>
      </c>
      <c r="F5282" s="46">
        <v>46097.325937141213</v>
      </c>
      <c r="G5282" s="46">
        <v>46097.325937141213</v>
      </c>
      <c r="H5282">
        <v>0</v>
      </c>
    </row>
    <row r="5283" spans="1:8" x14ac:dyDescent="0.15">
      <c r="A5283">
        <v>5282</v>
      </c>
      <c r="B5283" t="s">
        <v>339</v>
      </c>
      <c r="C5283" t="s">
        <v>353</v>
      </c>
      <c r="D5283" t="s">
        <v>9180</v>
      </c>
      <c r="E5283" t="s">
        <v>9174</v>
      </c>
      <c r="F5283" s="46">
        <v>46097.325937141213</v>
      </c>
      <c r="G5283" s="46">
        <v>46097.325937141213</v>
      </c>
      <c r="H5283">
        <v>0</v>
      </c>
    </row>
    <row r="5284" spans="1:8" x14ac:dyDescent="0.15">
      <c r="A5284">
        <v>5283</v>
      </c>
      <c r="B5284" t="s">
        <v>339</v>
      </c>
      <c r="C5284" t="s">
        <v>353</v>
      </c>
      <c r="D5284" t="s">
        <v>9181</v>
      </c>
      <c r="E5284" t="s">
        <v>9174</v>
      </c>
      <c r="F5284" s="46">
        <v>46097.325937141213</v>
      </c>
      <c r="G5284" s="46">
        <v>46097.325937141213</v>
      </c>
      <c r="H5284">
        <v>0</v>
      </c>
    </row>
    <row r="5285" spans="1:8" x14ac:dyDescent="0.15">
      <c r="A5285">
        <v>5284</v>
      </c>
      <c r="B5285" t="s">
        <v>339</v>
      </c>
      <c r="C5285" t="s">
        <v>353</v>
      </c>
      <c r="D5285" t="s">
        <v>9182</v>
      </c>
      <c r="E5285" t="s">
        <v>9174</v>
      </c>
      <c r="F5285" s="46">
        <v>46097.325937141213</v>
      </c>
      <c r="G5285" s="46">
        <v>46097.325937141213</v>
      </c>
      <c r="H5285">
        <v>0</v>
      </c>
    </row>
    <row r="5286" spans="1:8" x14ac:dyDescent="0.15">
      <c r="A5286">
        <v>5285</v>
      </c>
      <c r="B5286" t="s">
        <v>339</v>
      </c>
      <c r="C5286" t="s">
        <v>353</v>
      </c>
      <c r="D5286" t="s">
        <v>9183</v>
      </c>
      <c r="E5286" t="s">
        <v>9174</v>
      </c>
      <c r="F5286" s="46">
        <v>46097.325937141213</v>
      </c>
      <c r="G5286" s="46">
        <v>46097.325937141213</v>
      </c>
      <c r="H5286">
        <v>0</v>
      </c>
    </row>
    <row r="5287" spans="1:8" x14ac:dyDescent="0.15">
      <c r="A5287">
        <v>5286</v>
      </c>
      <c r="B5287" t="s">
        <v>339</v>
      </c>
      <c r="C5287" t="s">
        <v>353</v>
      </c>
      <c r="D5287" t="s">
        <v>9184</v>
      </c>
      <c r="E5287" t="s">
        <v>9174</v>
      </c>
      <c r="F5287" s="46">
        <v>46097.325937326394</v>
      </c>
      <c r="G5287" s="46">
        <v>46097.325937326394</v>
      </c>
      <c r="H5287">
        <v>0</v>
      </c>
    </row>
    <row r="5288" spans="1:8" x14ac:dyDescent="0.15">
      <c r="A5288">
        <v>5287</v>
      </c>
      <c r="B5288" t="s">
        <v>339</v>
      </c>
      <c r="C5288" t="s">
        <v>353</v>
      </c>
      <c r="D5288" t="s">
        <v>9185</v>
      </c>
      <c r="E5288" t="s">
        <v>9174</v>
      </c>
      <c r="F5288" s="46">
        <v>46097.325937326394</v>
      </c>
      <c r="G5288" s="46">
        <v>46097.325937326394</v>
      </c>
      <c r="H5288">
        <v>0</v>
      </c>
    </row>
    <row r="5289" spans="1:8" x14ac:dyDescent="0.15">
      <c r="A5289">
        <v>5288</v>
      </c>
      <c r="B5289" t="s">
        <v>339</v>
      </c>
      <c r="C5289" t="s">
        <v>353</v>
      </c>
      <c r="D5289" t="s">
        <v>9186</v>
      </c>
      <c r="E5289" t="s">
        <v>9174</v>
      </c>
      <c r="F5289" s="46">
        <v>46097.325937326394</v>
      </c>
      <c r="G5289" s="46">
        <v>46097.325937326394</v>
      </c>
      <c r="H5289">
        <v>0</v>
      </c>
    </row>
    <row r="5290" spans="1:8" x14ac:dyDescent="0.15">
      <c r="A5290">
        <v>5289</v>
      </c>
      <c r="B5290" t="s">
        <v>339</v>
      </c>
      <c r="C5290" t="s">
        <v>353</v>
      </c>
      <c r="D5290" t="s">
        <v>9187</v>
      </c>
      <c r="E5290" t="s">
        <v>9174</v>
      </c>
      <c r="F5290" s="46">
        <v>46097.325937326394</v>
      </c>
      <c r="G5290" s="46">
        <v>46097.325937326394</v>
      </c>
      <c r="H5290">
        <v>0</v>
      </c>
    </row>
    <row r="5291" spans="1:8" x14ac:dyDescent="0.15">
      <c r="A5291">
        <v>5290</v>
      </c>
      <c r="B5291" t="s">
        <v>339</v>
      </c>
      <c r="C5291" t="s">
        <v>353</v>
      </c>
      <c r="D5291" t="s">
        <v>9188</v>
      </c>
      <c r="E5291" t="s">
        <v>9174</v>
      </c>
      <c r="F5291" s="46">
        <v>46097.325937326394</v>
      </c>
      <c r="G5291" s="46">
        <v>46097.325937326394</v>
      </c>
      <c r="H5291">
        <v>0</v>
      </c>
    </row>
    <row r="5292" spans="1:8" x14ac:dyDescent="0.15">
      <c r="A5292">
        <v>5291</v>
      </c>
      <c r="B5292" t="s">
        <v>339</v>
      </c>
      <c r="C5292" t="s">
        <v>353</v>
      </c>
      <c r="D5292" t="s">
        <v>9189</v>
      </c>
      <c r="E5292" t="s">
        <v>9174</v>
      </c>
      <c r="F5292" s="46">
        <v>46097.325937326394</v>
      </c>
      <c r="G5292" s="46">
        <v>46097.325937326394</v>
      </c>
      <c r="H5292">
        <v>0</v>
      </c>
    </row>
    <row r="5293" spans="1:8" x14ac:dyDescent="0.15">
      <c r="A5293">
        <v>5292</v>
      </c>
      <c r="B5293" t="s">
        <v>339</v>
      </c>
      <c r="C5293" t="s">
        <v>353</v>
      </c>
      <c r="D5293" t="s">
        <v>9190</v>
      </c>
      <c r="E5293" t="s">
        <v>9174</v>
      </c>
      <c r="F5293" s="46">
        <v>46097.325937326394</v>
      </c>
      <c r="G5293" s="46">
        <v>46097.325937326394</v>
      </c>
      <c r="H5293">
        <v>0</v>
      </c>
    </row>
    <row r="5294" spans="1:8" x14ac:dyDescent="0.15">
      <c r="A5294">
        <v>5293</v>
      </c>
      <c r="B5294" t="s">
        <v>339</v>
      </c>
      <c r="C5294" t="s">
        <v>353</v>
      </c>
      <c r="D5294" t="s">
        <v>9191</v>
      </c>
      <c r="E5294" t="s">
        <v>9174</v>
      </c>
      <c r="F5294" s="46">
        <v>46097.325937326394</v>
      </c>
      <c r="G5294" s="46">
        <v>46097.325937326394</v>
      </c>
      <c r="H5294">
        <v>0</v>
      </c>
    </row>
    <row r="5295" spans="1:8" x14ac:dyDescent="0.15">
      <c r="A5295">
        <v>5294</v>
      </c>
      <c r="B5295" t="s">
        <v>339</v>
      </c>
      <c r="C5295" t="s">
        <v>353</v>
      </c>
      <c r="D5295" t="s">
        <v>9192</v>
      </c>
      <c r="E5295" t="s">
        <v>9174</v>
      </c>
      <c r="F5295" s="46">
        <v>46097.325937326394</v>
      </c>
      <c r="G5295" s="46">
        <v>46097.325937326394</v>
      </c>
      <c r="H5295">
        <v>0</v>
      </c>
    </row>
    <row r="5296" spans="1:8" x14ac:dyDescent="0.15">
      <c r="A5296">
        <v>5295</v>
      </c>
      <c r="B5296" t="s">
        <v>339</v>
      </c>
      <c r="C5296" t="s">
        <v>353</v>
      </c>
      <c r="D5296" t="s">
        <v>9193</v>
      </c>
      <c r="E5296" t="s">
        <v>9174</v>
      </c>
      <c r="F5296" s="46">
        <v>46097.325937326394</v>
      </c>
      <c r="G5296" s="46">
        <v>46097.325937326394</v>
      </c>
      <c r="H5296">
        <v>0</v>
      </c>
    </row>
    <row r="5297" spans="1:8" x14ac:dyDescent="0.15">
      <c r="A5297">
        <v>5296</v>
      </c>
      <c r="B5297" t="s">
        <v>339</v>
      </c>
      <c r="C5297" t="s">
        <v>353</v>
      </c>
      <c r="D5297" t="s">
        <v>9194</v>
      </c>
      <c r="E5297" t="s">
        <v>9174</v>
      </c>
      <c r="F5297" s="46">
        <v>46097.325937326394</v>
      </c>
      <c r="G5297" s="46">
        <v>46097.325937499998</v>
      </c>
      <c r="H5297">
        <v>16</v>
      </c>
    </row>
    <row r="5298" spans="1:8" x14ac:dyDescent="0.15">
      <c r="A5298">
        <v>5297</v>
      </c>
      <c r="B5298" t="s">
        <v>339</v>
      </c>
      <c r="C5298" t="s">
        <v>353</v>
      </c>
      <c r="D5298" t="s">
        <v>9195</v>
      </c>
      <c r="E5298" t="s">
        <v>9174</v>
      </c>
      <c r="F5298" s="46">
        <v>46097.325937499998</v>
      </c>
      <c r="G5298" s="46">
        <v>46097.325937499998</v>
      </c>
      <c r="H5298">
        <v>0</v>
      </c>
    </row>
    <row r="5299" spans="1:8" x14ac:dyDescent="0.15">
      <c r="A5299">
        <v>5298</v>
      </c>
      <c r="B5299" t="s">
        <v>339</v>
      </c>
      <c r="C5299" t="s">
        <v>353</v>
      </c>
      <c r="D5299" t="s">
        <v>9196</v>
      </c>
      <c r="E5299" t="s">
        <v>9197</v>
      </c>
      <c r="F5299" s="46">
        <v>46097.325937499998</v>
      </c>
      <c r="G5299" s="46">
        <v>46097.325937499998</v>
      </c>
      <c r="H5299">
        <v>0</v>
      </c>
    </row>
    <row r="5300" spans="1:8" x14ac:dyDescent="0.15">
      <c r="A5300">
        <v>5299</v>
      </c>
      <c r="B5300" t="s">
        <v>339</v>
      </c>
      <c r="C5300" t="s">
        <v>353</v>
      </c>
      <c r="D5300" t="s">
        <v>9198</v>
      </c>
      <c r="E5300" t="s">
        <v>9197</v>
      </c>
      <c r="F5300" s="46">
        <v>46097.325937499998</v>
      </c>
      <c r="G5300" s="46">
        <v>46097.325937499998</v>
      </c>
      <c r="H5300">
        <v>0</v>
      </c>
    </row>
    <row r="5301" spans="1:8" x14ac:dyDescent="0.15">
      <c r="A5301">
        <v>5300</v>
      </c>
      <c r="B5301" t="s">
        <v>339</v>
      </c>
      <c r="C5301" t="s">
        <v>353</v>
      </c>
      <c r="D5301" t="s">
        <v>9199</v>
      </c>
      <c r="E5301" t="s">
        <v>9197</v>
      </c>
      <c r="F5301" s="46">
        <v>46097.325937499998</v>
      </c>
      <c r="G5301" s="46">
        <v>46097.325937499998</v>
      </c>
      <c r="H5301">
        <v>0</v>
      </c>
    </row>
    <row r="5302" spans="1:8" x14ac:dyDescent="0.15">
      <c r="A5302">
        <v>5301</v>
      </c>
      <c r="B5302" t="s">
        <v>339</v>
      </c>
      <c r="C5302" t="s">
        <v>353</v>
      </c>
      <c r="D5302" t="s">
        <v>9200</v>
      </c>
      <c r="E5302" t="s">
        <v>9197</v>
      </c>
      <c r="F5302" s="46">
        <v>46097.325937499998</v>
      </c>
      <c r="G5302" s="46">
        <v>46097.325937499998</v>
      </c>
      <c r="H5302">
        <v>0</v>
      </c>
    </row>
    <row r="5303" spans="1:8" x14ac:dyDescent="0.15">
      <c r="A5303">
        <v>5302</v>
      </c>
      <c r="B5303" t="s">
        <v>339</v>
      </c>
      <c r="C5303" t="s">
        <v>353</v>
      </c>
      <c r="D5303" t="s">
        <v>9201</v>
      </c>
      <c r="E5303" t="s">
        <v>9197</v>
      </c>
      <c r="F5303" s="46">
        <v>46097.325937499998</v>
      </c>
      <c r="G5303" s="46">
        <v>46097.325937499998</v>
      </c>
      <c r="H5303">
        <v>0</v>
      </c>
    </row>
    <row r="5304" spans="1:8" x14ac:dyDescent="0.15">
      <c r="A5304">
        <v>5303</v>
      </c>
      <c r="B5304" t="s">
        <v>339</v>
      </c>
      <c r="C5304" t="s">
        <v>353</v>
      </c>
      <c r="D5304" t="s">
        <v>9202</v>
      </c>
      <c r="E5304" t="s">
        <v>9197</v>
      </c>
      <c r="F5304" s="46">
        <v>46097.325937499998</v>
      </c>
      <c r="G5304" s="46">
        <v>46097.325937499998</v>
      </c>
      <c r="H5304">
        <v>0</v>
      </c>
    </row>
    <row r="5305" spans="1:8" x14ac:dyDescent="0.15">
      <c r="A5305">
        <v>5304</v>
      </c>
      <c r="B5305" t="s">
        <v>339</v>
      </c>
      <c r="C5305" t="s">
        <v>353</v>
      </c>
      <c r="D5305" t="s">
        <v>9203</v>
      </c>
      <c r="E5305" t="s">
        <v>9197</v>
      </c>
      <c r="F5305" s="46">
        <v>46097.325937499998</v>
      </c>
      <c r="G5305" s="46">
        <v>46097.325937499998</v>
      </c>
      <c r="H5305">
        <v>0</v>
      </c>
    </row>
    <row r="5306" spans="1:8" x14ac:dyDescent="0.15">
      <c r="A5306">
        <v>5305</v>
      </c>
      <c r="B5306" t="s">
        <v>339</v>
      </c>
      <c r="C5306" t="s">
        <v>353</v>
      </c>
      <c r="D5306" t="s">
        <v>9204</v>
      </c>
      <c r="E5306" t="s">
        <v>9197</v>
      </c>
      <c r="F5306" s="46">
        <v>46097.325937499998</v>
      </c>
      <c r="G5306" s="46">
        <v>46097.325937499998</v>
      </c>
      <c r="H5306">
        <v>0</v>
      </c>
    </row>
    <row r="5307" spans="1:8" x14ac:dyDescent="0.15">
      <c r="A5307">
        <v>5306</v>
      </c>
      <c r="B5307" t="s">
        <v>339</v>
      </c>
      <c r="C5307" t="s">
        <v>353</v>
      </c>
      <c r="D5307" t="s">
        <v>9205</v>
      </c>
      <c r="E5307" t="s">
        <v>9197</v>
      </c>
      <c r="F5307" s="46">
        <v>46097.325937499998</v>
      </c>
      <c r="G5307" s="46">
        <v>46097.325937499998</v>
      </c>
      <c r="H5307">
        <v>0</v>
      </c>
    </row>
    <row r="5308" spans="1:8" x14ac:dyDescent="0.15">
      <c r="A5308">
        <v>5307</v>
      </c>
      <c r="B5308" t="s">
        <v>339</v>
      </c>
      <c r="C5308" t="s">
        <v>353</v>
      </c>
      <c r="D5308" t="s">
        <v>9206</v>
      </c>
      <c r="E5308" t="s">
        <v>9207</v>
      </c>
      <c r="F5308" s="46">
        <v>46097.325937499998</v>
      </c>
      <c r="G5308" s="46">
        <v>46097.325937685193</v>
      </c>
      <c r="H5308">
        <v>15</v>
      </c>
    </row>
    <row r="5309" spans="1:8" x14ac:dyDescent="0.15">
      <c r="A5309">
        <v>5308</v>
      </c>
      <c r="B5309" t="s">
        <v>339</v>
      </c>
      <c r="C5309" t="s">
        <v>353</v>
      </c>
      <c r="D5309" t="s">
        <v>9208</v>
      </c>
      <c r="E5309" t="s">
        <v>9209</v>
      </c>
      <c r="F5309" s="46">
        <v>46097.325937685193</v>
      </c>
      <c r="G5309" s="46">
        <v>46097.325937685193</v>
      </c>
      <c r="H5309">
        <v>0</v>
      </c>
    </row>
    <row r="5310" spans="1:8" x14ac:dyDescent="0.15">
      <c r="A5310">
        <v>5309</v>
      </c>
      <c r="B5310" t="s">
        <v>339</v>
      </c>
      <c r="C5310" t="s">
        <v>353</v>
      </c>
      <c r="D5310" t="s">
        <v>9210</v>
      </c>
      <c r="E5310" t="s">
        <v>9211</v>
      </c>
      <c r="F5310" s="46">
        <v>46097.325937685193</v>
      </c>
      <c r="G5310" s="46">
        <v>46097.325937685193</v>
      </c>
      <c r="H5310">
        <v>0</v>
      </c>
    </row>
    <row r="5311" spans="1:8" x14ac:dyDescent="0.15">
      <c r="A5311">
        <v>5310</v>
      </c>
      <c r="B5311" t="s">
        <v>339</v>
      </c>
      <c r="C5311" t="s">
        <v>353</v>
      </c>
      <c r="D5311" t="s">
        <v>9212</v>
      </c>
      <c r="E5311" t="s">
        <v>9213</v>
      </c>
      <c r="F5311" s="46">
        <v>46097.325937685193</v>
      </c>
      <c r="G5311" s="46">
        <v>46097.325937685193</v>
      </c>
      <c r="H5311">
        <v>0</v>
      </c>
    </row>
    <row r="5312" spans="1:8" x14ac:dyDescent="0.15">
      <c r="A5312">
        <v>5311</v>
      </c>
      <c r="B5312" t="s">
        <v>339</v>
      </c>
      <c r="C5312" t="s">
        <v>353</v>
      </c>
      <c r="D5312" t="s">
        <v>9214</v>
      </c>
      <c r="E5312" t="s">
        <v>9213</v>
      </c>
      <c r="F5312" s="46">
        <v>46097.325937685193</v>
      </c>
      <c r="G5312" s="46">
        <v>46097.325937685193</v>
      </c>
      <c r="H5312">
        <v>0</v>
      </c>
    </row>
    <row r="5313" spans="1:8" x14ac:dyDescent="0.15">
      <c r="A5313">
        <v>5312</v>
      </c>
      <c r="B5313" t="s">
        <v>339</v>
      </c>
      <c r="C5313" t="s">
        <v>353</v>
      </c>
      <c r="D5313" t="s">
        <v>9215</v>
      </c>
      <c r="E5313" t="s">
        <v>9216</v>
      </c>
      <c r="F5313" s="46">
        <v>46097.325937685193</v>
      </c>
      <c r="G5313" s="46">
        <v>46097.325937685193</v>
      </c>
      <c r="H5313">
        <v>0</v>
      </c>
    </row>
    <row r="5314" spans="1:8" x14ac:dyDescent="0.15">
      <c r="A5314">
        <v>5313</v>
      </c>
      <c r="B5314" t="s">
        <v>339</v>
      </c>
      <c r="C5314" t="s">
        <v>353</v>
      </c>
      <c r="D5314" t="s">
        <v>9217</v>
      </c>
      <c r="E5314" t="s">
        <v>9218</v>
      </c>
      <c r="F5314" s="46">
        <v>46097.325937685193</v>
      </c>
      <c r="G5314" s="46">
        <v>46097.325937685193</v>
      </c>
      <c r="H5314">
        <v>0</v>
      </c>
    </row>
    <row r="5315" spans="1:8" x14ac:dyDescent="0.15">
      <c r="A5315">
        <v>5314</v>
      </c>
      <c r="B5315" t="s">
        <v>339</v>
      </c>
      <c r="C5315" t="s">
        <v>353</v>
      </c>
      <c r="D5315" t="s">
        <v>9219</v>
      </c>
      <c r="E5315" t="s">
        <v>9218</v>
      </c>
      <c r="F5315" s="46">
        <v>46097.325937685193</v>
      </c>
      <c r="G5315" s="46">
        <v>46097.325937685193</v>
      </c>
      <c r="H5315">
        <v>0</v>
      </c>
    </row>
    <row r="5316" spans="1:8" x14ac:dyDescent="0.15">
      <c r="A5316">
        <v>5315</v>
      </c>
      <c r="B5316" t="s">
        <v>339</v>
      </c>
      <c r="C5316" t="s">
        <v>353</v>
      </c>
      <c r="D5316" t="s">
        <v>9220</v>
      </c>
      <c r="E5316" t="s">
        <v>9218</v>
      </c>
      <c r="F5316" s="46">
        <v>46097.325937685193</v>
      </c>
      <c r="G5316" s="46">
        <v>46097.325937685193</v>
      </c>
      <c r="H5316">
        <v>0</v>
      </c>
    </row>
    <row r="5317" spans="1:8" x14ac:dyDescent="0.15">
      <c r="A5317">
        <v>5316</v>
      </c>
      <c r="B5317" t="s">
        <v>339</v>
      </c>
      <c r="C5317" t="s">
        <v>353</v>
      </c>
      <c r="D5317" t="s">
        <v>9221</v>
      </c>
      <c r="E5317" t="s">
        <v>9222</v>
      </c>
      <c r="F5317" s="46">
        <v>46097.325937685193</v>
      </c>
      <c r="G5317" s="46">
        <v>46097.325937685193</v>
      </c>
      <c r="H5317">
        <v>0</v>
      </c>
    </row>
    <row r="5318" spans="1:8" x14ac:dyDescent="0.15">
      <c r="A5318">
        <v>5317</v>
      </c>
      <c r="B5318" t="s">
        <v>339</v>
      </c>
      <c r="C5318" t="s">
        <v>353</v>
      </c>
      <c r="D5318" t="s">
        <v>9223</v>
      </c>
      <c r="E5318" t="s">
        <v>9222</v>
      </c>
      <c r="F5318" s="46">
        <v>46097.325937685193</v>
      </c>
      <c r="G5318" s="46">
        <v>46097.325937870373</v>
      </c>
      <c r="H5318">
        <v>16</v>
      </c>
    </row>
    <row r="5319" spans="1:8" x14ac:dyDescent="0.15">
      <c r="A5319">
        <v>5318</v>
      </c>
      <c r="B5319" t="s">
        <v>339</v>
      </c>
      <c r="C5319" t="s">
        <v>353</v>
      </c>
      <c r="D5319" t="s">
        <v>9224</v>
      </c>
      <c r="E5319" t="s">
        <v>9225</v>
      </c>
      <c r="F5319" s="46">
        <v>46097.325937870373</v>
      </c>
      <c r="G5319" s="46">
        <v>46097.325937870373</v>
      </c>
      <c r="H5319">
        <v>0</v>
      </c>
    </row>
    <row r="5320" spans="1:8" x14ac:dyDescent="0.15">
      <c r="A5320">
        <v>5319</v>
      </c>
      <c r="B5320" t="s">
        <v>339</v>
      </c>
      <c r="C5320" t="s">
        <v>353</v>
      </c>
      <c r="D5320" t="s">
        <v>9226</v>
      </c>
      <c r="E5320" t="s">
        <v>9225</v>
      </c>
      <c r="F5320" s="46">
        <v>46097.325937870373</v>
      </c>
      <c r="G5320" s="46">
        <v>46097.325937870373</v>
      </c>
      <c r="H5320">
        <v>0</v>
      </c>
    </row>
    <row r="5321" spans="1:8" x14ac:dyDescent="0.15">
      <c r="A5321">
        <v>5320</v>
      </c>
      <c r="B5321" t="s">
        <v>339</v>
      </c>
      <c r="C5321" t="s">
        <v>353</v>
      </c>
      <c r="D5321" t="s">
        <v>9227</v>
      </c>
      <c r="E5321" t="s">
        <v>9228</v>
      </c>
      <c r="F5321" s="46">
        <v>46097.325937870373</v>
      </c>
      <c r="G5321" s="46">
        <v>46097.325937870373</v>
      </c>
      <c r="H5321">
        <v>0</v>
      </c>
    </row>
    <row r="5322" spans="1:8" x14ac:dyDescent="0.15">
      <c r="A5322">
        <v>5321</v>
      </c>
      <c r="B5322" t="s">
        <v>339</v>
      </c>
      <c r="C5322" t="s">
        <v>353</v>
      </c>
      <c r="D5322" t="s">
        <v>9229</v>
      </c>
      <c r="E5322" t="s">
        <v>9228</v>
      </c>
      <c r="F5322" s="46">
        <v>46097.325937870373</v>
      </c>
      <c r="G5322" s="46">
        <v>46097.325937870373</v>
      </c>
      <c r="H5322">
        <v>0</v>
      </c>
    </row>
    <row r="5323" spans="1:8" x14ac:dyDescent="0.15">
      <c r="A5323">
        <v>5322</v>
      </c>
      <c r="B5323" t="s">
        <v>339</v>
      </c>
      <c r="C5323" t="s">
        <v>353</v>
      </c>
      <c r="D5323" t="s">
        <v>9230</v>
      </c>
      <c r="E5323" t="s">
        <v>9231</v>
      </c>
      <c r="F5323" s="46">
        <v>46097.325937870373</v>
      </c>
      <c r="G5323" s="46">
        <v>46097.325937870373</v>
      </c>
      <c r="H5323">
        <v>0</v>
      </c>
    </row>
    <row r="5324" spans="1:8" x14ac:dyDescent="0.15">
      <c r="A5324">
        <v>5323</v>
      </c>
      <c r="B5324" t="s">
        <v>339</v>
      </c>
      <c r="C5324" t="s">
        <v>353</v>
      </c>
      <c r="D5324" t="s">
        <v>9232</v>
      </c>
      <c r="E5324" t="s">
        <v>9231</v>
      </c>
      <c r="F5324" s="46">
        <v>46097.325937870373</v>
      </c>
      <c r="G5324" s="46">
        <v>46097.325937870373</v>
      </c>
      <c r="H5324">
        <v>0</v>
      </c>
    </row>
    <row r="5325" spans="1:8" x14ac:dyDescent="0.15">
      <c r="A5325">
        <v>5324</v>
      </c>
      <c r="B5325" t="s">
        <v>339</v>
      </c>
      <c r="C5325" t="s">
        <v>353</v>
      </c>
      <c r="D5325" t="s">
        <v>9233</v>
      </c>
      <c r="E5325" t="s">
        <v>9234</v>
      </c>
      <c r="F5325" s="46">
        <v>46097.325937870373</v>
      </c>
      <c r="G5325" s="46">
        <v>46097.325937870373</v>
      </c>
      <c r="H5325">
        <v>0</v>
      </c>
    </row>
    <row r="5326" spans="1:8" x14ac:dyDescent="0.15">
      <c r="A5326">
        <v>5325</v>
      </c>
      <c r="B5326" t="s">
        <v>339</v>
      </c>
      <c r="C5326" t="s">
        <v>353</v>
      </c>
      <c r="D5326" t="s">
        <v>9235</v>
      </c>
      <c r="E5326" t="s">
        <v>9234</v>
      </c>
      <c r="F5326" s="46">
        <v>46097.325937870373</v>
      </c>
      <c r="G5326" s="46">
        <v>46097.325937870373</v>
      </c>
      <c r="H5326">
        <v>0</v>
      </c>
    </row>
    <row r="5327" spans="1:8" x14ac:dyDescent="0.15">
      <c r="A5327">
        <v>5326</v>
      </c>
      <c r="B5327" t="s">
        <v>339</v>
      </c>
      <c r="C5327" t="s">
        <v>353</v>
      </c>
      <c r="D5327" t="s">
        <v>9236</v>
      </c>
      <c r="E5327" t="s">
        <v>9234</v>
      </c>
      <c r="F5327" s="46">
        <v>46097.325937870373</v>
      </c>
      <c r="G5327" s="46">
        <v>46097.325937870373</v>
      </c>
      <c r="H5327">
        <v>0</v>
      </c>
    </row>
    <row r="5328" spans="1:8" x14ac:dyDescent="0.15">
      <c r="A5328">
        <v>5327</v>
      </c>
      <c r="B5328" t="s">
        <v>339</v>
      </c>
      <c r="C5328" t="s">
        <v>353</v>
      </c>
      <c r="D5328" t="s">
        <v>9237</v>
      </c>
      <c r="E5328" t="s">
        <v>9234</v>
      </c>
      <c r="F5328" s="46">
        <v>46097.325937870373</v>
      </c>
      <c r="G5328" s="46">
        <v>46097.325938043978</v>
      </c>
      <c r="H5328">
        <v>16</v>
      </c>
    </row>
    <row r="5329" spans="1:8" x14ac:dyDescent="0.15">
      <c r="A5329">
        <v>5328</v>
      </c>
      <c r="B5329" t="s">
        <v>339</v>
      </c>
      <c r="C5329" t="s">
        <v>353</v>
      </c>
      <c r="D5329" t="s">
        <v>9238</v>
      </c>
      <c r="E5329" t="s">
        <v>9239</v>
      </c>
      <c r="F5329" s="46">
        <v>46097.325938043978</v>
      </c>
      <c r="G5329" s="46">
        <v>46097.325938043978</v>
      </c>
      <c r="H5329">
        <v>0</v>
      </c>
    </row>
    <row r="5330" spans="1:8" x14ac:dyDescent="0.15">
      <c r="A5330">
        <v>5329</v>
      </c>
      <c r="B5330" t="s">
        <v>339</v>
      </c>
      <c r="C5330" t="s">
        <v>353</v>
      </c>
      <c r="D5330" t="s">
        <v>9240</v>
      </c>
      <c r="E5330" t="s">
        <v>9239</v>
      </c>
      <c r="F5330" s="46">
        <v>46097.325938043978</v>
      </c>
      <c r="G5330" s="46">
        <v>46097.325938043978</v>
      </c>
      <c r="H5330">
        <v>0</v>
      </c>
    </row>
    <row r="5331" spans="1:8" x14ac:dyDescent="0.15">
      <c r="A5331">
        <v>5330</v>
      </c>
      <c r="B5331" t="s">
        <v>339</v>
      </c>
      <c r="C5331" t="s">
        <v>353</v>
      </c>
      <c r="D5331" t="s">
        <v>9241</v>
      </c>
      <c r="E5331" t="s">
        <v>9239</v>
      </c>
      <c r="F5331" s="46">
        <v>46097.325938043978</v>
      </c>
      <c r="G5331" s="46">
        <v>46097.325938043978</v>
      </c>
      <c r="H5331">
        <v>0</v>
      </c>
    </row>
    <row r="5332" spans="1:8" x14ac:dyDescent="0.15">
      <c r="A5332">
        <v>5331</v>
      </c>
      <c r="B5332" t="s">
        <v>339</v>
      </c>
      <c r="C5332" t="s">
        <v>353</v>
      </c>
      <c r="D5332" t="s">
        <v>9242</v>
      </c>
      <c r="E5332" t="s">
        <v>9243</v>
      </c>
      <c r="F5332" s="46">
        <v>46097.325938043978</v>
      </c>
      <c r="G5332" s="46">
        <v>46097.325938043978</v>
      </c>
      <c r="H5332">
        <v>0</v>
      </c>
    </row>
    <row r="5333" spans="1:8" x14ac:dyDescent="0.15">
      <c r="A5333">
        <v>5332</v>
      </c>
      <c r="B5333" t="s">
        <v>339</v>
      </c>
      <c r="C5333" t="s">
        <v>353</v>
      </c>
      <c r="D5333" t="s">
        <v>9244</v>
      </c>
      <c r="E5333" t="s">
        <v>9243</v>
      </c>
      <c r="F5333" s="46">
        <v>46097.325938043978</v>
      </c>
      <c r="G5333" s="46">
        <v>46097.325938043978</v>
      </c>
      <c r="H5333">
        <v>0</v>
      </c>
    </row>
    <row r="5334" spans="1:8" x14ac:dyDescent="0.15">
      <c r="A5334">
        <v>5333</v>
      </c>
      <c r="B5334" t="s">
        <v>339</v>
      </c>
      <c r="C5334" t="s">
        <v>353</v>
      </c>
      <c r="D5334" t="s">
        <v>9245</v>
      </c>
      <c r="E5334" t="s">
        <v>9243</v>
      </c>
      <c r="F5334" s="46">
        <v>46097.325938043978</v>
      </c>
      <c r="G5334" s="46">
        <v>46097.325938043978</v>
      </c>
      <c r="H5334">
        <v>0</v>
      </c>
    </row>
    <row r="5335" spans="1:8" x14ac:dyDescent="0.15">
      <c r="A5335">
        <v>5334</v>
      </c>
      <c r="B5335" t="s">
        <v>339</v>
      </c>
      <c r="C5335" t="s">
        <v>353</v>
      </c>
      <c r="D5335" t="s">
        <v>9246</v>
      </c>
      <c r="E5335" t="s">
        <v>9243</v>
      </c>
      <c r="F5335" s="46">
        <v>46097.325938043978</v>
      </c>
      <c r="G5335" s="46">
        <v>46097.325938043978</v>
      </c>
      <c r="H5335">
        <v>0</v>
      </c>
    </row>
    <row r="5336" spans="1:8" x14ac:dyDescent="0.15">
      <c r="A5336">
        <v>5335</v>
      </c>
      <c r="B5336" t="s">
        <v>339</v>
      </c>
      <c r="C5336" t="s">
        <v>353</v>
      </c>
      <c r="D5336" t="s">
        <v>9247</v>
      </c>
      <c r="E5336" t="s">
        <v>9248</v>
      </c>
      <c r="F5336" s="46">
        <v>46097.325938043978</v>
      </c>
      <c r="G5336" s="46">
        <v>46097.325938043978</v>
      </c>
      <c r="H5336">
        <v>0</v>
      </c>
    </row>
    <row r="5337" spans="1:8" x14ac:dyDescent="0.15">
      <c r="A5337">
        <v>5336</v>
      </c>
      <c r="B5337" t="s">
        <v>339</v>
      </c>
      <c r="C5337" t="s">
        <v>353</v>
      </c>
      <c r="D5337" t="s">
        <v>9249</v>
      </c>
      <c r="E5337" t="s">
        <v>9250</v>
      </c>
      <c r="F5337" s="46">
        <v>46097.325938043978</v>
      </c>
      <c r="G5337" s="46">
        <v>46097.325938043978</v>
      </c>
      <c r="H5337">
        <v>0</v>
      </c>
    </row>
    <row r="5338" spans="1:8" x14ac:dyDescent="0.15">
      <c r="A5338">
        <v>5337</v>
      </c>
      <c r="B5338" t="s">
        <v>339</v>
      </c>
      <c r="C5338" t="s">
        <v>353</v>
      </c>
      <c r="D5338" t="s">
        <v>9251</v>
      </c>
      <c r="E5338" t="s">
        <v>9252</v>
      </c>
      <c r="F5338" s="46">
        <v>46097.325938043978</v>
      </c>
      <c r="G5338" s="46">
        <v>46097.325938043978</v>
      </c>
      <c r="H5338">
        <v>0</v>
      </c>
    </row>
    <row r="5339" spans="1:8" x14ac:dyDescent="0.15">
      <c r="A5339">
        <v>5338</v>
      </c>
      <c r="B5339" t="s">
        <v>339</v>
      </c>
      <c r="C5339" t="s">
        <v>353</v>
      </c>
      <c r="D5339" t="s">
        <v>9253</v>
      </c>
      <c r="E5339" t="s">
        <v>9252</v>
      </c>
      <c r="F5339" s="46">
        <v>46097.325938229173</v>
      </c>
      <c r="G5339" s="46">
        <v>46097.325938229173</v>
      </c>
      <c r="H5339">
        <v>0</v>
      </c>
    </row>
    <row r="5340" spans="1:8" x14ac:dyDescent="0.15">
      <c r="A5340">
        <v>5339</v>
      </c>
      <c r="B5340" t="s">
        <v>339</v>
      </c>
      <c r="C5340" t="s">
        <v>353</v>
      </c>
      <c r="D5340" t="s">
        <v>9254</v>
      </c>
      <c r="E5340" t="s">
        <v>816</v>
      </c>
      <c r="F5340" s="46">
        <v>46097.325938229173</v>
      </c>
      <c r="G5340" s="46">
        <v>46097.325938229173</v>
      </c>
      <c r="H5340">
        <v>0</v>
      </c>
    </row>
    <row r="5341" spans="1:8" x14ac:dyDescent="0.15">
      <c r="A5341">
        <v>5340</v>
      </c>
      <c r="B5341" t="s">
        <v>339</v>
      </c>
      <c r="C5341" t="s">
        <v>353</v>
      </c>
      <c r="D5341" t="s">
        <v>9255</v>
      </c>
      <c r="E5341" t="s">
        <v>816</v>
      </c>
      <c r="F5341" s="46">
        <v>46097.325938229173</v>
      </c>
      <c r="G5341" s="46">
        <v>46097.325938229173</v>
      </c>
      <c r="H5341">
        <v>0</v>
      </c>
    </row>
    <row r="5342" spans="1:8" x14ac:dyDescent="0.15">
      <c r="A5342">
        <v>5341</v>
      </c>
      <c r="B5342" t="s">
        <v>339</v>
      </c>
      <c r="C5342" t="s">
        <v>353</v>
      </c>
      <c r="D5342" t="s">
        <v>9256</v>
      </c>
      <c r="E5342" t="s">
        <v>816</v>
      </c>
      <c r="F5342" s="46">
        <v>46097.325938229173</v>
      </c>
      <c r="G5342" s="46">
        <v>46097.325938229173</v>
      </c>
      <c r="H5342">
        <v>0</v>
      </c>
    </row>
    <row r="5343" spans="1:8" x14ac:dyDescent="0.15">
      <c r="A5343">
        <v>5342</v>
      </c>
      <c r="B5343" t="s">
        <v>339</v>
      </c>
      <c r="C5343" t="s">
        <v>353</v>
      </c>
      <c r="D5343" t="s">
        <v>9257</v>
      </c>
      <c r="E5343" t="s">
        <v>816</v>
      </c>
      <c r="F5343" s="46">
        <v>46097.325938229173</v>
      </c>
      <c r="G5343" s="46">
        <v>46097.325938229173</v>
      </c>
      <c r="H5343">
        <v>0</v>
      </c>
    </row>
    <row r="5344" spans="1:8" x14ac:dyDescent="0.15">
      <c r="A5344">
        <v>5343</v>
      </c>
      <c r="B5344" t="s">
        <v>339</v>
      </c>
      <c r="C5344" t="s">
        <v>353</v>
      </c>
      <c r="D5344" t="s">
        <v>9258</v>
      </c>
      <c r="E5344" t="s">
        <v>816</v>
      </c>
      <c r="F5344" s="46">
        <v>46097.325938229173</v>
      </c>
      <c r="G5344" s="46">
        <v>46097.325938229173</v>
      </c>
      <c r="H5344">
        <v>0</v>
      </c>
    </row>
    <row r="5345" spans="1:8" x14ac:dyDescent="0.15">
      <c r="A5345">
        <v>5344</v>
      </c>
      <c r="B5345" t="s">
        <v>339</v>
      </c>
      <c r="C5345" t="s">
        <v>353</v>
      </c>
      <c r="D5345" t="s">
        <v>9259</v>
      </c>
      <c r="E5345" t="s">
        <v>816</v>
      </c>
      <c r="F5345" s="46">
        <v>46097.325938229173</v>
      </c>
      <c r="G5345" s="46">
        <v>46097.325938229173</v>
      </c>
      <c r="H5345">
        <v>0</v>
      </c>
    </row>
    <row r="5346" spans="1:8" x14ac:dyDescent="0.15">
      <c r="A5346">
        <v>5345</v>
      </c>
      <c r="B5346" t="s">
        <v>339</v>
      </c>
      <c r="C5346" t="s">
        <v>353</v>
      </c>
      <c r="D5346" t="s">
        <v>9260</v>
      </c>
      <c r="E5346" t="s">
        <v>817</v>
      </c>
      <c r="F5346" s="46">
        <v>46097.325938229173</v>
      </c>
      <c r="G5346" s="46">
        <v>46097.325938229173</v>
      </c>
      <c r="H5346">
        <v>0</v>
      </c>
    </row>
    <row r="5347" spans="1:8" x14ac:dyDescent="0.15">
      <c r="A5347">
        <v>5346</v>
      </c>
      <c r="B5347" t="s">
        <v>339</v>
      </c>
      <c r="C5347" t="s">
        <v>353</v>
      </c>
      <c r="D5347" t="s">
        <v>9261</v>
      </c>
      <c r="E5347" t="s">
        <v>817</v>
      </c>
      <c r="F5347" s="46">
        <v>46097.325938229173</v>
      </c>
      <c r="G5347" s="46">
        <v>46097.325938229173</v>
      </c>
      <c r="H5347">
        <v>0</v>
      </c>
    </row>
    <row r="5348" spans="1:8" x14ac:dyDescent="0.15">
      <c r="A5348">
        <v>5347</v>
      </c>
      <c r="B5348" t="s">
        <v>339</v>
      </c>
      <c r="C5348" t="s">
        <v>353</v>
      </c>
      <c r="D5348" t="s">
        <v>9262</v>
      </c>
      <c r="E5348" t="s">
        <v>9263</v>
      </c>
      <c r="F5348" s="46">
        <v>46097.325938229173</v>
      </c>
      <c r="G5348" s="46">
        <v>46097.325938229173</v>
      </c>
      <c r="H5348">
        <v>0</v>
      </c>
    </row>
    <row r="5349" spans="1:8" x14ac:dyDescent="0.15">
      <c r="A5349">
        <v>5348</v>
      </c>
      <c r="B5349" t="s">
        <v>339</v>
      </c>
      <c r="C5349" t="s">
        <v>353</v>
      </c>
      <c r="D5349" t="s">
        <v>9264</v>
      </c>
      <c r="E5349" t="s">
        <v>9263</v>
      </c>
      <c r="F5349" s="46">
        <v>46097.325938229173</v>
      </c>
      <c r="G5349" s="46">
        <v>46097.325938402777</v>
      </c>
      <c r="H5349">
        <v>16</v>
      </c>
    </row>
    <row r="5350" spans="1:8" x14ac:dyDescent="0.15">
      <c r="A5350">
        <v>5349</v>
      </c>
      <c r="B5350" t="s">
        <v>339</v>
      </c>
      <c r="C5350" t="s">
        <v>353</v>
      </c>
      <c r="D5350" t="s">
        <v>9265</v>
      </c>
      <c r="E5350" t="s">
        <v>9266</v>
      </c>
      <c r="F5350" s="46">
        <v>46097.325938402777</v>
      </c>
      <c r="G5350" s="46">
        <v>46097.325938402777</v>
      </c>
      <c r="H5350">
        <v>0</v>
      </c>
    </row>
    <row r="5351" spans="1:8" x14ac:dyDescent="0.15">
      <c r="A5351">
        <v>5350</v>
      </c>
      <c r="B5351" t="s">
        <v>339</v>
      </c>
      <c r="C5351" t="s">
        <v>353</v>
      </c>
      <c r="D5351" t="s">
        <v>9267</v>
      </c>
      <c r="E5351" t="s">
        <v>9268</v>
      </c>
      <c r="F5351" s="46">
        <v>46097.325938402777</v>
      </c>
      <c r="G5351" s="46">
        <v>46097.325938402777</v>
      </c>
      <c r="H5351">
        <v>0</v>
      </c>
    </row>
    <row r="5352" spans="1:8" x14ac:dyDescent="0.15">
      <c r="A5352">
        <v>5351</v>
      </c>
      <c r="B5352" t="s">
        <v>339</v>
      </c>
      <c r="C5352" t="s">
        <v>353</v>
      </c>
      <c r="D5352" t="s">
        <v>9269</v>
      </c>
      <c r="E5352" t="s">
        <v>9268</v>
      </c>
      <c r="F5352" s="46">
        <v>46097.325938402777</v>
      </c>
      <c r="G5352" s="46">
        <v>46097.325938402777</v>
      </c>
      <c r="H5352">
        <v>0</v>
      </c>
    </row>
    <row r="5353" spans="1:8" x14ac:dyDescent="0.15">
      <c r="A5353">
        <v>5352</v>
      </c>
      <c r="B5353" t="s">
        <v>339</v>
      </c>
      <c r="C5353" t="s">
        <v>353</v>
      </c>
      <c r="D5353" t="s">
        <v>9270</v>
      </c>
      <c r="E5353" t="s">
        <v>9271</v>
      </c>
      <c r="F5353" s="46">
        <v>46097.325938402777</v>
      </c>
      <c r="G5353" s="46">
        <v>46097.325938402777</v>
      </c>
      <c r="H5353">
        <v>0</v>
      </c>
    </row>
    <row r="5354" spans="1:8" x14ac:dyDescent="0.15">
      <c r="A5354">
        <v>5353</v>
      </c>
      <c r="B5354" t="s">
        <v>339</v>
      </c>
      <c r="C5354" t="s">
        <v>353</v>
      </c>
      <c r="D5354" t="s">
        <v>9272</v>
      </c>
      <c r="E5354" t="s">
        <v>9271</v>
      </c>
      <c r="F5354" s="46">
        <v>46097.325938402777</v>
      </c>
      <c r="G5354" s="46">
        <v>46097.325938402777</v>
      </c>
      <c r="H5354">
        <v>0</v>
      </c>
    </row>
    <row r="5355" spans="1:8" x14ac:dyDescent="0.15">
      <c r="A5355">
        <v>5354</v>
      </c>
      <c r="B5355" t="s">
        <v>339</v>
      </c>
      <c r="C5355" t="s">
        <v>353</v>
      </c>
      <c r="D5355" t="s">
        <v>9273</v>
      </c>
      <c r="E5355" t="s">
        <v>9271</v>
      </c>
      <c r="F5355" s="46">
        <v>46097.325938402777</v>
      </c>
      <c r="G5355" s="46">
        <v>46097.325938402777</v>
      </c>
      <c r="H5355">
        <v>0</v>
      </c>
    </row>
    <row r="5356" spans="1:8" x14ac:dyDescent="0.15">
      <c r="A5356">
        <v>5355</v>
      </c>
      <c r="B5356" t="s">
        <v>339</v>
      </c>
      <c r="C5356" t="s">
        <v>353</v>
      </c>
      <c r="D5356" t="s">
        <v>9274</v>
      </c>
      <c r="E5356" t="s">
        <v>9271</v>
      </c>
      <c r="F5356" s="46">
        <v>46097.325938402777</v>
      </c>
      <c r="G5356" s="46">
        <v>46097.325938402777</v>
      </c>
      <c r="H5356">
        <v>0</v>
      </c>
    </row>
    <row r="5357" spans="1:8" x14ac:dyDescent="0.15">
      <c r="A5357">
        <v>5356</v>
      </c>
      <c r="B5357" t="s">
        <v>339</v>
      </c>
      <c r="C5357" t="s">
        <v>353</v>
      </c>
      <c r="D5357" t="s">
        <v>9275</v>
      </c>
      <c r="E5357" t="s">
        <v>9271</v>
      </c>
      <c r="F5357" s="46">
        <v>46097.325938402777</v>
      </c>
      <c r="G5357" s="46">
        <v>46097.325938402777</v>
      </c>
      <c r="H5357">
        <v>0</v>
      </c>
    </row>
    <row r="5358" spans="1:8" x14ac:dyDescent="0.15">
      <c r="A5358">
        <v>5357</v>
      </c>
      <c r="B5358" t="s">
        <v>339</v>
      </c>
      <c r="C5358" t="s">
        <v>353</v>
      </c>
      <c r="D5358" t="s">
        <v>9276</v>
      </c>
      <c r="E5358" t="s">
        <v>9277</v>
      </c>
      <c r="F5358" s="46">
        <v>46097.325938402777</v>
      </c>
      <c r="G5358" s="46">
        <v>46097.325938402777</v>
      </c>
      <c r="H5358">
        <v>0</v>
      </c>
    </row>
    <row r="5359" spans="1:8" x14ac:dyDescent="0.15">
      <c r="A5359">
        <v>5358</v>
      </c>
      <c r="B5359" t="s">
        <v>339</v>
      </c>
      <c r="C5359" t="s">
        <v>353</v>
      </c>
      <c r="D5359" t="s">
        <v>9278</v>
      </c>
      <c r="E5359" t="s">
        <v>9279</v>
      </c>
      <c r="F5359" s="46">
        <v>46097.325938402777</v>
      </c>
      <c r="G5359" s="46">
        <v>46097.325938402777</v>
      </c>
      <c r="H5359">
        <v>0</v>
      </c>
    </row>
    <row r="5360" spans="1:8" x14ac:dyDescent="0.15">
      <c r="A5360">
        <v>5359</v>
      </c>
      <c r="B5360" t="s">
        <v>339</v>
      </c>
      <c r="C5360" t="s">
        <v>353</v>
      </c>
      <c r="D5360" t="s">
        <v>9280</v>
      </c>
      <c r="E5360" t="s">
        <v>9281</v>
      </c>
      <c r="F5360" s="46">
        <v>46097.325938402777</v>
      </c>
      <c r="G5360" s="46">
        <v>46097.325938587957</v>
      </c>
      <c r="H5360">
        <v>16</v>
      </c>
    </row>
    <row r="5361" spans="1:8" x14ac:dyDescent="0.15">
      <c r="A5361">
        <v>5360</v>
      </c>
      <c r="B5361" t="s">
        <v>339</v>
      </c>
      <c r="C5361" t="s">
        <v>353</v>
      </c>
      <c r="D5361" t="s">
        <v>9282</v>
      </c>
      <c r="E5361" t="s">
        <v>9283</v>
      </c>
      <c r="F5361" s="46">
        <v>46097.325938587957</v>
      </c>
      <c r="G5361" s="46">
        <v>46097.325938587957</v>
      </c>
      <c r="H5361">
        <v>0</v>
      </c>
    </row>
    <row r="5362" spans="1:8" x14ac:dyDescent="0.15">
      <c r="A5362">
        <v>5361</v>
      </c>
      <c r="B5362" t="s">
        <v>339</v>
      </c>
      <c r="C5362" t="s">
        <v>353</v>
      </c>
      <c r="D5362" t="s">
        <v>9284</v>
      </c>
      <c r="E5362" t="s">
        <v>9285</v>
      </c>
      <c r="F5362" s="46">
        <v>46097.325938587957</v>
      </c>
      <c r="G5362" s="46">
        <v>46097.325938587957</v>
      </c>
      <c r="H5362">
        <v>0</v>
      </c>
    </row>
    <row r="5363" spans="1:8" x14ac:dyDescent="0.15">
      <c r="A5363">
        <v>5362</v>
      </c>
      <c r="B5363" t="s">
        <v>339</v>
      </c>
      <c r="C5363" t="s">
        <v>353</v>
      </c>
      <c r="D5363" t="s">
        <v>9286</v>
      </c>
      <c r="E5363" t="s">
        <v>9285</v>
      </c>
      <c r="F5363" s="46">
        <v>46097.325938587957</v>
      </c>
      <c r="G5363" s="46">
        <v>46097.325938587957</v>
      </c>
      <c r="H5363">
        <v>0</v>
      </c>
    </row>
    <row r="5364" spans="1:8" x14ac:dyDescent="0.15">
      <c r="A5364">
        <v>5363</v>
      </c>
      <c r="B5364" t="s">
        <v>339</v>
      </c>
      <c r="C5364" t="s">
        <v>353</v>
      </c>
      <c r="D5364" t="s">
        <v>9287</v>
      </c>
      <c r="E5364" t="s">
        <v>9285</v>
      </c>
      <c r="F5364" s="46">
        <v>46097.325938587957</v>
      </c>
      <c r="G5364" s="46">
        <v>46097.325938587957</v>
      </c>
      <c r="H5364">
        <v>0</v>
      </c>
    </row>
    <row r="5365" spans="1:8" x14ac:dyDescent="0.15">
      <c r="A5365">
        <v>5364</v>
      </c>
      <c r="B5365" t="s">
        <v>339</v>
      </c>
      <c r="C5365" t="s">
        <v>353</v>
      </c>
      <c r="D5365" t="s">
        <v>9288</v>
      </c>
      <c r="E5365" t="s">
        <v>9285</v>
      </c>
      <c r="F5365" s="46">
        <v>46097.325938587957</v>
      </c>
      <c r="G5365" s="46">
        <v>46097.325938587957</v>
      </c>
      <c r="H5365">
        <v>0</v>
      </c>
    </row>
    <row r="5366" spans="1:8" x14ac:dyDescent="0.15">
      <c r="A5366">
        <v>5365</v>
      </c>
      <c r="B5366" t="s">
        <v>339</v>
      </c>
      <c r="C5366" t="s">
        <v>353</v>
      </c>
      <c r="D5366" t="s">
        <v>9289</v>
      </c>
      <c r="E5366" t="s">
        <v>9285</v>
      </c>
      <c r="F5366" s="46">
        <v>46097.325938587957</v>
      </c>
      <c r="G5366" s="46">
        <v>46097.325938587957</v>
      </c>
      <c r="H5366">
        <v>0</v>
      </c>
    </row>
    <row r="5367" spans="1:8" x14ac:dyDescent="0.15">
      <c r="A5367">
        <v>5366</v>
      </c>
      <c r="B5367" t="s">
        <v>339</v>
      </c>
      <c r="C5367" t="s">
        <v>353</v>
      </c>
      <c r="D5367" t="s">
        <v>9290</v>
      </c>
      <c r="E5367" t="s">
        <v>9285</v>
      </c>
      <c r="F5367" s="46">
        <v>46097.325938587957</v>
      </c>
      <c r="G5367" s="46">
        <v>46097.325938587957</v>
      </c>
      <c r="H5367">
        <v>0</v>
      </c>
    </row>
    <row r="5368" spans="1:8" x14ac:dyDescent="0.15">
      <c r="A5368">
        <v>5367</v>
      </c>
      <c r="B5368" t="s">
        <v>339</v>
      </c>
      <c r="C5368" t="s">
        <v>353</v>
      </c>
      <c r="D5368" t="s">
        <v>9291</v>
      </c>
      <c r="E5368" t="s">
        <v>9285</v>
      </c>
      <c r="F5368" s="46">
        <v>46097.325938587957</v>
      </c>
      <c r="G5368" s="46">
        <v>46097.325938587957</v>
      </c>
      <c r="H5368">
        <v>0</v>
      </c>
    </row>
    <row r="5369" spans="1:8" x14ac:dyDescent="0.15">
      <c r="A5369">
        <v>5368</v>
      </c>
      <c r="B5369" t="s">
        <v>339</v>
      </c>
      <c r="C5369" t="s">
        <v>353</v>
      </c>
      <c r="D5369" t="s">
        <v>9292</v>
      </c>
      <c r="E5369" t="s">
        <v>9285</v>
      </c>
      <c r="F5369" s="46">
        <v>46097.325938587957</v>
      </c>
      <c r="G5369" s="46">
        <v>46097.325938587957</v>
      </c>
      <c r="H5369">
        <v>0</v>
      </c>
    </row>
    <row r="5370" spans="1:8" x14ac:dyDescent="0.15">
      <c r="A5370">
        <v>5369</v>
      </c>
      <c r="B5370" t="s">
        <v>339</v>
      </c>
      <c r="C5370" t="s">
        <v>353</v>
      </c>
      <c r="D5370" t="s">
        <v>9293</v>
      </c>
      <c r="E5370" t="s">
        <v>9294</v>
      </c>
      <c r="F5370" s="46">
        <v>46097.325938587957</v>
      </c>
      <c r="G5370" s="46">
        <v>46097.325938773152</v>
      </c>
      <c r="H5370">
        <v>15</v>
      </c>
    </row>
    <row r="5371" spans="1:8" x14ac:dyDescent="0.15">
      <c r="A5371">
        <v>5370</v>
      </c>
      <c r="B5371" t="s">
        <v>339</v>
      </c>
      <c r="C5371" t="s">
        <v>353</v>
      </c>
      <c r="D5371" t="s">
        <v>9295</v>
      </c>
      <c r="E5371" t="s">
        <v>9294</v>
      </c>
      <c r="F5371" s="46">
        <v>46097.325938773152</v>
      </c>
      <c r="G5371" s="46">
        <v>46097.325938773152</v>
      </c>
      <c r="H5371">
        <v>0</v>
      </c>
    </row>
    <row r="5372" spans="1:8" x14ac:dyDescent="0.15">
      <c r="A5372">
        <v>5371</v>
      </c>
      <c r="B5372" t="s">
        <v>339</v>
      </c>
      <c r="C5372" t="s">
        <v>353</v>
      </c>
      <c r="D5372" t="s">
        <v>9296</v>
      </c>
      <c r="E5372" t="s">
        <v>9294</v>
      </c>
      <c r="F5372" s="46">
        <v>46097.325938773152</v>
      </c>
      <c r="G5372" s="46">
        <v>46097.325938773152</v>
      </c>
      <c r="H5372">
        <v>0</v>
      </c>
    </row>
    <row r="5373" spans="1:8" x14ac:dyDescent="0.15">
      <c r="A5373">
        <v>5372</v>
      </c>
      <c r="B5373" t="s">
        <v>339</v>
      </c>
      <c r="C5373" t="s">
        <v>353</v>
      </c>
      <c r="D5373" t="s">
        <v>9297</v>
      </c>
      <c r="E5373" t="s">
        <v>9294</v>
      </c>
      <c r="F5373" s="46">
        <v>46097.325938773152</v>
      </c>
      <c r="G5373" s="46">
        <v>46097.325938773152</v>
      </c>
      <c r="H5373">
        <v>0</v>
      </c>
    </row>
    <row r="5374" spans="1:8" x14ac:dyDescent="0.15">
      <c r="A5374">
        <v>5373</v>
      </c>
      <c r="B5374" t="s">
        <v>339</v>
      </c>
      <c r="C5374" t="s">
        <v>353</v>
      </c>
      <c r="D5374" t="s">
        <v>9298</v>
      </c>
      <c r="E5374" t="s">
        <v>9294</v>
      </c>
      <c r="F5374" s="46">
        <v>46097.325938773152</v>
      </c>
      <c r="G5374" s="46">
        <v>46097.325938773152</v>
      </c>
      <c r="H5374">
        <v>0</v>
      </c>
    </row>
    <row r="5375" spans="1:8" x14ac:dyDescent="0.15">
      <c r="A5375">
        <v>5374</v>
      </c>
      <c r="B5375" t="s">
        <v>339</v>
      </c>
      <c r="C5375" t="s">
        <v>353</v>
      </c>
      <c r="D5375" t="s">
        <v>9299</v>
      </c>
      <c r="E5375" t="s">
        <v>9294</v>
      </c>
      <c r="F5375" s="46">
        <v>46097.325938773152</v>
      </c>
      <c r="G5375" s="46">
        <v>46097.325938773152</v>
      </c>
      <c r="H5375">
        <v>0</v>
      </c>
    </row>
    <row r="5376" spans="1:8" x14ac:dyDescent="0.15">
      <c r="A5376">
        <v>5375</v>
      </c>
      <c r="B5376" t="s">
        <v>339</v>
      </c>
      <c r="C5376" t="s">
        <v>353</v>
      </c>
      <c r="D5376" t="s">
        <v>9300</v>
      </c>
      <c r="E5376" t="s">
        <v>9294</v>
      </c>
      <c r="F5376" s="46">
        <v>46097.325938773152</v>
      </c>
      <c r="G5376" s="46">
        <v>46097.325938773152</v>
      </c>
      <c r="H5376">
        <v>0</v>
      </c>
    </row>
    <row r="5377" spans="1:8" x14ac:dyDescent="0.15">
      <c r="A5377">
        <v>5376</v>
      </c>
      <c r="B5377" t="s">
        <v>339</v>
      </c>
      <c r="C5377" t="s">
        <v>353</v>
      </c>
      <c r="D5377" t="s">
        <v>9301</v>
      </c>
      <c r="E5377" t="s">
        <v>9294</v>
      </c>
      <c r="F5377" s="46">
        <v>46097.325938773152</v>
      </c>
      <c r="G5377" s="46">
        <v>46097.325938773152</v>
      </c>
      <c r="H5377">
        <v>0</v>
      </c>
    </row>
    <row r="5378" spans="1:8" x14ac:dyDescent="0.15">
      <c r="A5378">
        <v>5377</v>
      </c>
      <c r="B5378" t="s">
        <v>339</v>
      </c>
      <c r="C5378" t="s">
        <v>353</v>
      </c>
      <c r="D5378" t="s">
        <v>9302</v>
      </c>
      <c r="E5378" t="s">
        <v>9294</v>
      </c>
      <c r="F5378" s="46">
        <v>46097.325938773152</v>
      </c>
      <c r="G5378" s="46">
        <v>46097.325938773152</v>
      </c>
      <c r="H5378">
        <v>0</v>
      </c>
    </row>
    <row r="5379" spans="1:8" x14ac:dyDescent="0.15">
      <c r="A5379">
        <v>5378</v>
      </c>
      <c r="B5379" t="s">
        <v>339</v>
      </c>
      <c r="C5379" t="s">
        <v>353</v>
      </c>
      <c r="D5379" t="s">
        <v>9303</v>
      </c>
      <c r="E5379" t="s">
        <v>9294</v>
      </c>
      <c r="F5379" s="46">
        <v>46097.325938773152</v>
      </c>
      <c r="G5379" s="46">
        <v>46097.325938773152</v>
      </c>
      <c r="H5379">
        <v>0</v>
      </c>
    </row>
    <row r="5380" spans="1:8" x14ac:dyDescent="0.15">
      <c r="A5380">
        <v>5379</v>
      </c>
      <c r="B5380" t="s">
        <v>339</v>
      </c>
      <c r="C5380" t="s">
        <v>353</v>
      </c>
      <c r="D5380" t="s">
        <v>9304</v>
      </c>
      <c r="E5380" t="s">
        <v>9305</v>
      </c>
      <c r="F5380" s="46">
        <v>46097.325938773152</v>
      </c>
      <c r="G5380" s="46">
        <v>46097.325938773152</v>
      </c>
      <c r="H5380">
        <v>0</v>
      </c>
    </row>
    <row r="5381" spans="1:8" x14ac:dyDescent="0.15">
      <c r="A5381">
        <v>5380</v>
      </c>
      <c r="B5381" t="s">
        <v>339</v>
      </c>
      <c r="C5381" t="s">
        <v>353</v>
      </c>
      <c r="D5381" t="s">
        <v>9306</v>
      </c>
      <c r="E5381" t="s">
        <v>9307</v>
      </c>
      <c r="F5381" s="46">
        <v>46097.325938773152</v>
      </c>
      <c r="G5381" s="46">
        <v>46097.325938946757</v>
      </c>
      <c r="H5381">
        <v>16</v>
      </c>
    </row>
    <row r="5382" spans="1:8" x14ac:dyDescent="0.15">
      <c r="A5382">
        <v>5381</v>
      </c>
      <c r="B5382" t="s">
        <v>339</v>
      </c>
      <c r="C5382" t="s">
        <v>353</v>
      </c>
      <c r="D5382" t="s">
        <v>9308</v>
      </c>
      <c r="E5382" t="s">
        <v>9309</v>
      </c>
      <c r="F5382" s="46">
        <v>46097.325938946757</v>
      </c>
      <c r="G5382" s="46">
        <v>46097.325938946757</v>
      </c>
      <c r="H5382">
        <v>0</v>
      </c>
    </row>
    <row r="5383" spans="1:8" x14ac:dyDescent="0.15">
      <c r="A5383">
        <v>5382</v>
      </c>
      <c r="B5383" t="s">
        <v>339</v>
      </c>
      <c r="C5383" t="s">
        <v>353</v>
      </c>
      <c r="D5383" t="s">
        <v>9310</v>
      </c>
      <c r="E5383" t="s">
        <v>9311</v>
      </c>
      <c r="F5383" s="46">
        <v>46097.325938946757</v>
      </c>
      <c r="G5383" s="46">
        <v>46097.325938946757</v>
      </c>
      <c r="H5383">
        <v>0</v>
      </c>
    </row>
    <row r="5384" spans="1:8" x14ac:dyDescent="0.15">
      <c r="A5384">
        <v>5383</v>
      </c>
      <c r="B5384" t="s">
        <v>339</v>
      </c>
      <c r="C5384" t="s">
        <v>353</v>
      </c>
      <c r="D5384" t="s">
        <v>9312</v>
      </c>
      <c r="E5384" t="s">
        <v>9311</v>
      </c>
      <c r="F5384" s="46">
        <v>46097.325938946757</v>
      </c>
      <c r="G5384" s="46">
        <v>46097.325938946757</v>
      </c>
      <c r="H5384">
        <v>0</v>
      </c>
    </row>
    <row r="5385" spans="1:8" x14ac:dyDescent="0.15">
      <c r="A5385">
        <v>5384</v>
      </c>
      <c r="B5385" t="s">
        <v>339</v>
      </c>
      <c r="C5385" t="s">
        <v>353</v>
      </c>
      <c r="D5385" t="s">
        <v>9313</v>
      </c>
      <c r="E5385" t="s">
        <v>9314</v>
      </c>
      <c r="F5385" s="46">
        <v>46097.325938946757</v>
      </c>
      <c r="G5385" s="46">
        <v>46097.325938946757</v>
      </c>
      <c r="H5385">
        <v>0</v>
      </c>
    </row>
    <row r="5386" spans="1:8" x14ac:dyDescent="0.15">
      <c r="A5386">
        <v>5385</v>
      </c>
      <c r="B5386" t="s">
        <v>339</v>
      </c>
      <c r="C5386" t="s">
        <v>353</v>
      </c>
      <c r="D5386" t="s">
        <v>9315</v>
      </c>
      <c r="E5386" t="s">
        <v>9314</v>
      </c>
      <c r="F5386" s="46">
        <v>46097.325938946757</v>
      </c>
      <c r="G5386" s="46">
        <v>46097.325938946757</v>
      </c>
      <c r="H5386">
        <v>0</v>
      </c>
    </row>
    <row r="5387" spans="1:8" x14ac:dyDescent="0.15">
      <c r="A5387">
        <v>5386</v>
      </c>
      <c r="B5387" t="s">
        <v>339</v>
      </c>
      <c r="C5387" t="s">
        <v>353</v>
      </c>
      <c r="D5387" t="s">
        <v>9316</v>
      </c>
      <c r="E5387" t="s">
        <v>9317</v>
      </c>
      <c r="F5387" s="46">
        <v>46097.325938946757</v>
      </c>
      <c r="G5387" s="46">
        <v>46097.325938946757</v>
      </c>
      <c r="H5387">
        <v>0</v>
      </c>
    </row>
    <row r="5388" spans="1:8" x14ac:dyDescent="0.15">
      <c r="A5388">
        <v>5387</v>
      </c>
      <c r="B5388" t="s">
        <v>339</v>
      </c>
      <c r="C5388" t="s">
        <v>353</v>
      </c>
      <c r="D5388" t="s">
        <v>9318</v>
      </c>
      <c r="E5388" t="s">
        <v>9319</v>
      </c>
      <c r="F5388" s="46">
        <v>46097.325938946757</v>
      </c>
      <c r="G5388" s="46">
        <v>46097.325938946757</v>
      </c>
      <c r="H5388">
        <v>0</v>
      </c>
    </row>
    <row r="5389" spans="1:8" x14ac:dyDescent="0.15">
      <c r="A5389">
        <v>5388</v>
      </c>
      <c r="B5389" t="s">
        <v>339</v>
      </c>
      <c r="C5389" t="s">
        <v>353</v>
      </c>
      <c r="D5389" t="s">
        <v>9320</v>
      </c>
      <c r="E5389" t="s">
        <v>9319</v>
      </c>
      <c r="F5389" s="46">
        <v>46097.325938946757</v>
      </c>
      <c r="G5389" s="46">
        <v>46097.325938946757</v>
      </c>
      <c r="H5389">
        <v>0</v>
      </c>
    </row>
    <row r="5390" spans="1:8" x14ac:dyDescent="0.15">
      <c r="A5390">
        <v>5389</v>
      </c>
      <c r="B5390" t="s">
        <v>339</v>
      </c>
      <c r="C5390" t="s">
        <v>353</v>
      </c>
      <c r="D5390" t="s">
        <v>9321</v>
      </c>
      <c r="E5390" t="s">
        <v>9319</v>
      </c>
      <c r="F5390" s="46">
        <v>46097.325938946757</v>
      </c>
      <c r="G5390" s="46">
        <v>46097.325938946757</v>
      </c>
      <c r="H5390">
        <v>0</v>
      </c>
    </row>
    <row r="5391" spans="1:8" x14ac:dyDescent="0.15">
      <c r="A5391">
        <v>5390</v>
      </c>
      <c r="B5391" t="s">
        <v>339</v>
      </c>
      <c r="C5391" t="s">
        <v>353</v>
      </c>
      <c r="D5391" t="s">
        <v>9322</v>
      </c>
      <c r="E5391" t="s">
        <v>9319</v>
      </c>
      <c r="F5391" s="46">
        <v>46097.325938946757</v>
      </c>
      <c r="G5391" s="46">
        <v>46097.325939131937</v>
      </c>
      <c r="H5391">
        <v>15</v>
      </c>
    </row>
    <row r="5392" spans="1:8" x14ac:dyDescent="0.15">
      <c r="A5392">
        <v>5391</v>
      </c>
      <c r="B5392" t="s">
        <v>339</v>
      </c>
      <c r="C5392" t="s">
        <v>353</v>
      </c>
      <c r="D5392" t="s">
        <v>9323</v>
      </c>
      <c r="E5392" t="s">
        <v>9319</v>
      </c>
      <c r="F5392" s="46">
        <v>46097.325939131937</v>
      </c>
      <c r="G5392" s="46">
        <v>46097.325939131937</v>
      </c>
      <c r="H5392">
        <v>0</v>
      </c>
    </row>
    <row r="5393" spans="1:8" x14ac:dyDescent="0.15">
      <c r="A5393">
        <v>5392</v>
      </c>
      <c r="B5393" t="s">
        <v>339</v>
      </c>
      <c r="C5393" t="s">
        <v>353</v>
      </c>
      <c r="D5393" t="s">
        <v>9324</v>
      </c>
      <c r="E5393" t="s">
        <v>9325</v>
      </c>
      <c r="F5393" s="46">
        <v>46097.325939131937</v>
      </c>
      <c r="G5393" s="46">
        <v>46097.325939131937</v>
      </c>
      <c r="H5393">
        <v>0</v>
      </c>
    </row>
    <row r="5394" spans="1:8" x14ac:dyDescent="0.15">
      <c r="A5394">
        <v>5393</v>
      </c>
      <c r="B5394" t="s">
        <v>339</v>
      </c>
      <c r="C5394" t="s">
        <v>353</v>
      </c>
      <c r="D5394" t="s">
        <v>9326</v>
      </c>
      <c r="E5394" t="s">
        <v>9325</v>
      </c>
      <c r="F5394" s="46">
        <v>46097.325939131937</v>
      </c>
      <c r="G5394" s="46">
        <v>46097.325939131937</v>
      </c>
      <c r="H5394">
        <v>0</v>
      </c>
    </row>
    <row r="5395" spans="1:8" x14ac:dyDescent="0.15">
      <c r="A5395">
        <v>5394</v>
      </c>
      <c r="B5395" t="s">
        <v>339</v>
      </c>
      <c r="C5395" t="s">
        <v>353</v>
      </c>
      <c r="D5395" t="s">
        <v>9327</v>
      </c>
      <c r="E5395" t="s">
        <v>9328</v>
      </c>
      <c r="F5395" s="46">
        <v>46097.325939131937</v>
      </c>
      <c r="G5395" s="46">
        <v>46097.325939131937</v>
      </c>
      <c r="H5395">
        <v>0</v>
      </c>
    </row>
    <row r="5396" spans="1:8" x14ac:dyDescent="0.15">
      <c r="A5396">
        <v>5395</v>
      </c>
      <c r="B5396" t="s">
        <v>339</v>
      </c>
      <c r="C5396" t="s">
        <v>353</v>
      </c>
      <c r="D5396" t="s">
        <v>9329</v>
      </c>
      <c r="E5396" t="s">
        <v>9328</v>
      </c>
      <c r="F5396" s="46">
        <v>46097.325939131937</v>
      </c>
      <c r="G5396" s="46">
        <v>46097.325939131937</v>
      </c>
      <c r="H5396">
        <v>0</v>
      </c>
    </row>
    <row r="5397" spans="1:8" x14ac:dyDescent="0.15">
      <c r="A5397">
        <v>5396</v>
      </c>
      <c r="B5397" t="s">
        <v>339</v>
      </c>
      <c r="C5397" t="s">
        <v>353</v>
      </c>
      <c r="D5397" t="s">
        <v>9330</v>
      </c>
      <c r="E5397" t="s">
        <v>9331</v>
      </c>
      <c r="F5397" s="46">
        <v>46097.325939131937</v>
      </c>
      <c r="G5397" s="46">
        <v>46097.325939131937</v>
      </c>
      <c r="H5397">
        <v>0</v>
      </c>
    </row>
    <row r="5398" spans="1:8" x14ac:dyDescent="0.15">
      <c r="A5398">
        <v>5397</v>
      </c>
      <c r="B5398" t="s">
        <v>339</v>
      </c>
      <c r="C5398" t="s">
        <v>353</v>
      </c>
      <c r="D5398" t="s">
        <v>9332</v>
      </c>
      <c r="E5398" t="s">
        <v>9331</v>
      </c>
      <c r="F5398" s="46">
        <v>46097.325939131937</v>
      </c>
      <c r="G5398" s="46">
        <v>46097.325939131937</v>
      </c>
      <c r="H5398">
        <v>0</v>
      </c>
    </row>
    <row r="5399" spans="1:8" x14ac:dyDescent="0.15">
      <c r="A5399">
        <v>5398</v>
      </c>
      <c r="B5399" t="s">
        <v>339</v>
      </c>
      <c r="C5399" t="s">
        <v>353</v>
      </c>
      <c r="D5399" t="s">
        <v>9333</v>
      </c>
      <c r="E5399" t="s">
        <v>9334</v>
      </c>
      <c r="F5399" s="46">
        <v>46097.325939131937</v>
      </c>
      <c r="G5399" s="46">
        <v>46097.325939131937</v>
      </c>
      <c r="H5399">
        <v>0</v>
      </c>
    </row>
    <row r="5400" spans="1:8" x14ac:dyDescent="0.15">
      <c r="A5400">
        <v>5399</v>
      </c>
      <c r="B5400" t="s">
        <v>339</v>
      </c>
      <c r="C5400" t="s">
        <v>353</v>
      </c>
      <c r="D5400" t="s">
        <v>9335</v>
      </c>
      <c r="E5400" t="s">
        <v>9334</v>
      </c>
      <c r="F5400" s="46">
        <v>46097.325939131937</v>
      </c>
      <c r="G5400" s="46">
        <v>46097.325939131937</v>
      </c>
      <c r="H5400">
        <v>0</v>
      </c>
    </row>
    <row r="5401" spans="1:8" x14ac:dyDescent="0.15">
      <c r="A5401">
        <v>5400</v>
      </c>
      <c r="B5401" t="s">
        <v>339</v>
      </c>
      <c r="C5401" t="s">
        <v>353</v>
      </c>
      <c r="D5401" t="s">
        <v>9336</v>
      </c>
      <c r="E5401" t="s">
        <v>9337</v>
      </c>
      <c r="F5401" s="46">
        <v>46097.325939131937</v>
      </c>
      <c r="G5401" s="46">
        <v>46097.325939131937</v>
      </c>
      <c r="H5401">
        <v>0</v>
      </c>
    </row>
    <row r="5402" spans="1:8" x14ac:dyDescent="0.15">
      <c r="A5402">
        <v>5401</v>
      </c>
      <c r="B5402" t="s">
        <v>339</v>
      </c>
      <c r="C5402" t="s">
        <v>353</v>
      </c>
      <c r="D5402" t="s">
        <v>9338</v>
      </c>
      <c r="E5402" t="s">
        <v>9337</v>
      </c>
      <c r="F5402" s="46">
        <v>46097.325939131937</v>
      </c>
      <c r="G5402" s="46">
        <v>46097.325939317132</v>
      </c>
      <c r="H5402">
        <v>16</v>
      </c>
    </row>
    <row r="5403" spans="1:8" x14ac:dyDescent="0.15">
      <c r="A5403">
        <v>5402</v>
      </c>
      <c r="B5403" t="s">
        <v>339</v>
      </c>
      <c r="C5403" t="s">
        <v>353</v>
      </c>
      <c r="D5403" t="s">
        <v>9339</v>
      </c>
      <c r="E5403" t="s">
        <v>9337</v>
      </c>
      <c r="F5403" s="46">
        <v>46097.325939317132</v>
      </c>
      <c r="G5403" s="46">
        <v>46097.325939317132</v>
      </c>
      <c r="H5403">
        <v>0</v>
      </c>
    </row>
    <row r="5404" spans="1:8" x14ac:dyDescent="0.15">
      <c r="A5404">
        <v>5403</v>
      </c>
      <c r="B5404" t="s">
        <v>339</v>
      </c>
      <c r="C5404" t="s">
        <v>353</v>
      </c>
      <c r="D5404" t="s">
        <v>9340</v>
      </c>
      <c r="E5404" t="s">
        <v>9337</v>
      </c>
      <c r="F5404" s="46">
        <v>46097.325939317132</v>
      </c>
      <c r="G5404" s="46">
        <v>46097.325939317132</v>
      </c>
      <c r="H5404">
        <v>0</v>
      </c>
    </row>
    <row r="5405" spans="1:8" x14ac:dyDescent="0.15">
      <c r="A5405">
        <v>5404</v>
      </c>
      <c r="B5405" t="s">
        <v>339</v>
      </c>
      <c r="C5405" t="s">
        <v>353</v>
      </c>
      <c r="D5405" t="s">
        <v>9341</v>
      </c>
      <c r="E5405" t="s">
        <v>9337</v>
      </c>
      <c r="F5405" s="46">
        <v>46097.325939317132</v>
      </c>
      <c r="G5405" s="46">
        <v>46097.325939317132</v>
      </c>
      <c r="H5405">
        <v>0</v>
      </c>
    </row>
    <row r="5406" spans="1:8" x14ac:dyDescent="0.15">
      <c r="A5406">
        <v>5405</v>
      </c>
      <c r="B5406" t="s">
        <v>339</v>
      </c>
      <c r="C5406" t="s">
        <v>353</v>
      </c>
      <c r="D5406" t="s">
        <v>9342</v>
      </c>
      <c r="E5406" t="s">
        <v>9337</v>
      </c>
      <c r="F5406" s="46">
        <v>46097.325939317132</v>
      </c>
      <c r="G5406" s="46">
        <v>46097.325939317132</v>
      </c>
      <c r="H5406">
        <v>0</v>
      </c>
    </row>
    <row r="5407" spans="1:8" x14ac:dyDescent="0.15">
      <c r="A5407">
        <v>5406</v>
      </c>
      <c r="B5407" t="s">
        <v>339</v>
      </c>
      <c r="C5407" t="s">
        <v>353</v>
      </c>
      <c r="D5407" t="s">
        <v>9343</v>
      </c>
      <c r="E5407" t="s">
        <v>9344</v>
      </c>
      <c r="F5407" s="46">
        <v>46097.325939317132</v>
      </c>
      <c r="G5407" s="46">
        <v>46097.325939317132</v>
      </c>
      <c r="H5407">
        <v>0</v>
      </c>
    </row>
    <row r="5408" spans="1:8" x14ac:dyDescent="0.15">
      <c r="A5408">
        <v>5407</v>
      </c>
      <c r="B5408" t="s">
        <v>339</v>
      </c>
      <c r="C5408" t="s">
        <v>353</v>
      </c>
      <c r="D5408" t="s">
        <v>9345</v>
      </c>
      <c r="E5408" t="s">
        <v>9346</v>
      </c>
      <c r="F5408" s="46">
        <v>46097.325939317132</v>
      </c>
      <c r="G5408" s="46">
        <v>46097.325939317132</v>
      </c>
      <c r="H5408">
        <v>0</v>
      </c>
    </row>
    <row r="5409" spans="1:8" x14ac:dyDescent="0.15">
      <c r="A5409">
        <v>5408</v>
      </c>
      <c r="B5409" t="s">
        <v>339</v>
      </c>
      <c r="C5409" t="s">
        <v>353</v>
      </c>
      <c r="D5409" t="s">
        <v>9347</v>
      </c>
      <c r="E5409" t="s">
        <v>9348</v>
      </c>
      <c r="F5409" s="46">
        <v>46097.325939317132</v>
      </c>
      <c r="G5409" s="46">
        <v>46097.325939317132</v>
      </c>
      <c r="H5409">
        <v>0</v>
      </c>
    </row>
    <row r="5410" spans="1:8" x14ac:dyDescent="0.15">
      <c r="A5410">
        <v>5409</v>
      </c>
      <c r="B5410" t="s">
        <v>339</v>
      </c>
      <c r="C5410" t="s">
        <v>353</v>
      </c>
      <c r="D5410" t="s">
        <v>9349</v>
      </c>
      <c r="E5410" t="s">
        <v>9348</v>
      </c>
      <c r="F5410" s="46">
        <v>46097.325939317132</v>
      </c>
      <c r="G5410" s="46">
        <v>46097.325939317132</v>
      </c>
      <c r="H5410">
        <v>0</v>
      </c>
    </row>
    <row r="5411" spans="1:8" x14ac:dyDescent="0.15">
      <c r="A5411">
        <v>5410</v>
      </c>
      <c r="B5411" t="s">
        <v>339</v>
      </c>
      <c r="C5411" t="s">
        <v>353</v>
      </c>
      <c r="D5411" t="s">
        <v>9350</v>
      </c>
      <c r="E5411" t="s">
        <v>9348</v>
      </c>
      <c r="F5411" s="46">
        <v>46097.325939317132</v>
      </c>
      <c r="G5411" s="46">
        <v>46097.325939317132</v>
      </c>
      <c r="H5411">
        <v>0</v>
      </c>
    </row>
    <row r="5412" spans="1:8" x14ac:dyDescent="0.15">
      <c r="A5412">
        <v>5411</v>
      </c>
      <c r="B5412" t="s">
        <v>339</v>
      </c>
      <c r="C5412" t="s">
        <v>353</v>
      </c>
      <c r="D5412" t="s">
        <v>9351</v>
      </c>
      <c r="E5412" t="s">
        <v>9348</v>
      </c>
      <c r="F5412" s="46">
        <v>46097.325939317132</v>
      </c>
      <c r="G5412" s="46">
        <v>46097.325939490744</v>
      </c>
      <c r="H5412">
        <v>16</v>
      </c>
    </row>
    <row r="5413" spans="1:8" x14ac:dyDescent="0.15">
      <c r="A5413">
        <v>5412</v>
      </c>
      <c r="B5413" t="s">
        <v>339</v>
      </c>
      <c r="C5413" t="s">
        <v>353</v>
      </c>
      <c r="D5413" t="s">
        <v>9352</v>
      </c>
      <c r="E5413" t="s">
        <v>9348</v>
      </c>
      <c r="F5413" s="46">
        <v>46097.325939490744</v>
      </c>
      <c r="G5413" s="46">
        <v>46097.325939490744</v>
      </c>
      <c r="H5413">
        <v>0</v>
      </c>
    </row>
    <row r="5414" spans="1:8" x14ac:dyDescent="0.15">
      <c r="A5414">
        <v>5413</v>
      </c>
      <c r="B5414" t="s">
        <v>339</v>
      </c>
      <c r="C5414" t="s">
        <v>353</v>
      </c>
      <c r="D5414" t="s">
        <v>9353</v>
      </c>
      <c r="E5414" t="s">
        <v>9354</v>
      </c>
      <c r="F5414" s="46">
        <v>46097.325939490744</v>
      </c>
      <c r="G5414" s="46">
        <v>46097.325939490744</v>
      </c>
      <c r="H5414">
        <v>0</v>
      </c>
    </row>
    <row r="5415" spans="1:8" x14ac:dyDescent="0.15">
      <c r="A5415">
        <v>5414</v>
      </c>
      <c r="B5415" t="s">
        <v>339</v>
      </c>
      <c r="C5415" t="s">
        <v>353</v>
      </c>
      <c r="D5415" t="s">
        <v>9355</v>
      </c>
      <c r="E5415" t="s">
        <v>9354</v>
      </c>
      <c r="F5415" s="46">
        <v>46097.325939490744</v>
      </c>
      <c r="G5415" s="46">
        <v>46097.325939490744</v>
      </c>
      <c r="H5415">
        <v>0</v>
      </c>
    </row>
    <row r="5416" spans="1:8" x14ac:dyDescent="0.15">
      <c r="A5416">
        <v>5415</v>
      </c>
      <c r="B5416" t="s">
        <v>339</v>
      </c>
      <c r="C5416" t="s">
        <v>353</v>
      </c>
      <c r="D5416" t="s">
        <v>9356</v>
      </c>
      <c r="E5416" t="s">
        <v>9354</v>
      </c>
      <c r="F5416" s="46">
        <v>46097.325939490744</v>
      </c>
      <c r="G5416" s="46">
        <v>46097.325939490744</v>
      </c>
      <c r="H5416">
        <v>0</v>
      </c>
    </row>
    <row r="5417" spans="1:8" x14ac:dyDescent="0.15">
      <c r="A5417">
        <v>5416</v>
      </c>
      <c r="B5417" t="s">
        <v>339</v>
      </c>
      <c r="C5417" t="s">
        <v>353</v>
      </c>
      <c r="D5417" t="s">
        <v>9357</v>
      </c>
      <c r="E5417" t="s">
        <v>9354</v>
      </c>
      <c r="F5417" s="46">
        <v>46097.325939490744</v>
      </c>
      <c r="G5417" s="46">
        <v>46097.325939490744</v>
      </c>
      <c r="H5417">
        <v>0</v>
      </c>
    </row>
    <row r="5418" spans="1:8" x14ac:dyDescent="0.15">
      <c r="A5418">
        <v>5417</v>
      </c>
      <c r="B5418" t="s">
        <v>339</v>
      </c>
      <c r="C5418" t="s">
        <v>353</v>
      </c>
      <c r="D5418" t="s">
        <v>9358</v>
      </c>
      <c r="E5418" t="s">
        <v>9354</v>
      </c>
      <c r="F5418" s="46">
        <v>46097.325939490744</v>
      </c>
      <c r="G5418" s="46">
        <v>46097.325939490744</v>
      </c>
      <c r="H5418">
        <v>0</v>
      </c>
    </row>
    <row r="5419" spans="1:8" x14ac:dyDescent="0.15">
      <c r="A5419">
        <v>5418</v>
      </c>
      <c r="B5419" t="s">
        <v>339</v>
      </c>
      <c r="C5419" t="s">
        <v>353</v>
      </c>
      <c r="D5419" t="s">
        <v>9359</v>
      </c>
      <c r="E5419" t="s">
        <v>9360</v>
      </c>
      <c r="F5419" s="46">
        <v>46097.325939490744</v>
      </c>
      <c r="G5419" s="46">
        <v>46097.325939490744</v>
      </c>
      <c r="H5419">
        <v>0</v>
      </c>
    </row>
    <row r="5420" spans="1:8" x14ac:dyDescent="0.15">
      <c r="A5420">
        <v>5419</v>
      </c>
      <c r="B5420" t="s">
        <v>339</v>
      </c>
      <c r="C5420" t="s">
        <v>353</v>
      </c>
      <c r="D5420" t="s">
        <v>9361</v>
      </c>
      <c r="E5420" t="s">
        <v>9360</v>
      </c>
      <c r="F5420" s="46">
        <v>46097.325939490744</v>
      </c>
      <c r="G5420" s="46">
        <v>46097.325939490744</v>
      </c>
      <c r="H5420">
        <v>0</v>
      </c>
    </row>
    <row r="5421" spans="1:8" x14ac:dyDescent="0.15">
      <c r="A5421">
        <v>5420</v>
      </c>
      <c r="B5421" t="s">
        <v>339</v>
      </c>
      <c r="C5421" t="s">
        <v>353</v>
      </c>
      <c r="D5421" t="s">
        <v>9362</v>
      </c>
      <c r="E5421" t="s">
        <v>9363</v>
      </c>
      <c r="F5421" s="46">
        <v>46097.325939490744</v>
      </c>
      <c r="G5421" s="46">
        <v>46097.325939490744</v>
      </c>
      <c r="H5421">
        <v>0</v>
      </c>
    </row>
    <row r="5422" spans="1:8" x14ac:dyDescent="0.15">
      <c r="A5422">
        <v>5421</v>
      </c>
      <c r="B5422" t="s">
        <v>339</v>
      </c>
      <c r="C5422" t="s">
        <v>353</v>
      </c>
      <c r="D5422" t="s">
        <v>9364</v>
      </c>
      <c r="E5422" t="s">
        <v>9365</v>
      </c>
      <c r="F5422" s="46">
        <v>46097.325939490744</v>
      </c>
      <c r="G5422" s="46">
        <v>46097.325939675917</v>
      </c>
      <c r="H5422">
        <v>15</v>
      </c>
    </row>
    <row r="5423" spans="1:8" x14ac:dyDescent="0.15">
      <c r="A5423">
        <v>5422</v>
      </c>
      <c r="B5423" t="s">
        <v>339</v>
      </c>
      <c r="C5423" t="s">
        <v>353</v>
      </c>
      <c r="D5423" t="s">
        <v>9366</v>
      </c>
      <c r="E5423" t="s">
        <v>9367</v>
      </c>
      <c r="F5423" s="46">
        <v>46097.325939675917</v>
      </c>
      <c r="G5423" s="46">
        <v>46097.325939675917</v>
      </c>
      <c r="H5423">
        <v>0</v>
      </c>
    </row>
    <row r="5424" spans="1:8" x14ac:dyDescent="0.15">
      <c r="A5424">
        <v>5423</v>
      </c>
      <c r="B5424" t="s">
        <v>339</v>
      </c>
      <c r="C5424" t="s">
        <v>353</v>
      </c>
      <c r="D5424" t="s">
        <v>9368</v>
      </c>
      <c r="E5424" t="s">
        <v>9367</v>
      </c>
      <c r="F5424" s="46">
        <v>46097.325939675917</v>
      </c>
      <c r="G5424" s="46">
        <v>46097.325939675917</v>
      </c>
      <c r="H5424">
        <v>0</v>
      </c>
    </row>
    <row r="5425" spans="1:8" x14ac:dyDescent="0.15">
      <c r="A5425">
        <v>5424</v>
      </c>
      <c r="B5425" t="s">
        <v>339</v>
      </c>
      <c r="C5425" t="s">
        <v>353</v>
      </c>
      <c r="D5425" t="s">
        <v>9369</v>
      </c>
      <c r="E5425" t="s">
        <v>9370</v>
      </c>
      <c r="F5425" s="46">
        <v>46097.325939675917</v>
      </c>
      <c r="G5425" s="46">
        <v>46097.325939675917</v>
      </c>
      <c r="H5425">
        <v>0</v>
      </c>
    </row>
    <row r="5426" spans="1:8" x14ac:dyDescent="0.15">
      <c r="A5426">
        <v>5425</v>
      </c>
      <c r="B5426" t="s">
        <v>339</v>
      </c>
      <c r="C5426" t="s">
        <v>353</v>
      </c>
      <c r="D5426" t="s">
        <v>9371</v>
      </c>
      <c r="E5426" t="s">
        <v>9370</v>
      </c>
      <c r="F5426" s="46">
        <v>46097.325939675917</v>
      </c>
      <c r="G5426" s="46">
        <v>46097.325939675917</v>
      </c>
      <c r="H5426">
        <v>0</v>
      </c>
    </row>
    <row r="5427" spans="1:8" x14ac:dyDescent="0.15">
      <c r="A5427">
        <v>5426</v>
      </c>
      <c r="B5427" t="s">
        <v>339</v>
      </c>
      <c r="C5427" t="s">
        <v>353</v>
      </c>
      <c r="D5427" t="s">
        <v>9372</v>
      </c>
      <c r="E5427" t="s">
        <v>9370</v>
      </c>
      <c r="F5427" s="46">
        <v>46097.325939675917</v>
      </c>
      <c r="G5427" s="46">
        <v>46097.325939675917</v>
      </c>
      <c r="H5427">
        <v>0</v>
      </c>
    </row>
    <row r="5428" spans="1:8" x14ac:dyDescent="0.15">
      <c r="A5428">
        <v>5427</v>
      </c>
      <c r="B5428" t="s">
        <v>339</v>
      </c>
      <c r="C5428" t="s">
        <v>353</v>
      </c>
      <c r="D5428" t="s">
        <v>9373</v>
      </c>
      <c r="E5428" t="s">
        <v>9370</v>
      </c>
      <c r="F5428" s="46">
        <v>46097.325939675917</v>
      </c>
      <c r="G5428" s="46">
        <v>46097.325939675917</v>
      </c>
      <c r="H5428">
        <v>0</v>
      </c>
    </row>
    <row r="5429" spans="1:8" x14ac:dyDescent="0.15">
      <c r="A5429">
        <v>5428</v>
      </c>
      <c r="B5429" t="s">
        <v>339</v>
      </c>
      <c r="C5429" t="s">
        <v>353</v>
      </c>
      <c r="D5429" t="s">
        <v>9374</v>
      </c>
      <c r="E5429" t="s">
        <v>9370</v>
      </c>
      <c r="F5429" s="46">
        <v>46097.325939675917</v>
      </c>
      <c r="G5429" s="46">
        <v>46097.325939675917</v>
      </c>
      <c r="H5429">
        <v>0</v>
      </c>
    </row>
    <row r="5430" spans="1:8" x14ac:dyDescent="0.15">
      <c r="A5430">
        <v>5429</v>
      </c>
      <c r="B5430" t="s">
        <v>339</v>
      </c>
      <c r="C5430" t="s">
        <v>353</v>
      </c>
      <c r="D5430" t="s">
        <v>9375</v>
      </c>
      <c r="E5430" t="s">
        <v>9370</v>
      </c>
      <c r="F5430" s="46">
        <v>46097.325939675917</v>
      </c>
      <c r="G5430" s="46">
        <v>46097.325939675917</v>
      </c>
      <c r="H5430">
        <v>0</v>
      </c>
    </row>
    <row r="5431" spans="1:8" x14ac:dyDescent="0.15">
      <c r="A5431">
        <v>5430</v>
      </c>
      <c r="B5431" t="s">
        <v>339</v>
      </c>
      <c r="C5431" t="s">
        <v>353</v>
      </c>
      <c r="D5431" t="s">
        <v>9376</v>
      </c>
      <c r="E5431" t="s">
        <v>9370</v>
      </c>
      <c r="F5431" s="46">
        <v>46097.325939675917</v>
      </c>
      <c r="G5431" s="46">
        <v>46097.325939675917</v>
      </c>
      <c r="H5431">
        <v>0</v>
      </c>
    </row>
    <row r="5432" spans="1:8" x14ac:dyDescent="0.15">
      <c r="A5432">
        <v>5431</v>
      </c>
      <c r="B5432" t="s">
        <v>339</v>
      </c>
      <c r="C5432" t="s">
        <v>353</v>
      </c>
      <c r="D5432" t="s">
        <v>9377</v>
      </c>
      <c r="E5432" t="s">
        <v>9370</v>
      </c>
      <c r="F5432" s="46">
        <v>46097.325939675917</v>
      </c>
      <c r="G5432" s="46">
        <v>46097.325939675917</v>
      </c>
      <c r="H5432">
        <v>0</v>
      </c>
    </row>
    <row r="5433" spans="1:8" x14ac:dyDescent="0.15">
      <c r="A5433">
        <v>5432</v>
      </c>
      <c r="B5433" t="s">
        <v>339</v>
      </c>
      <c r="C5433" t="s">
        <v>353</v>
      </c>
      <c r="D5433" t="s">
        <v>9378</v>
      </c>
      <c r="E5433" t="s">
        <v>9379</v>
      </c>
      <c r="F5433" s="46">
        <v>46097.325939675917</v>
      </c>
      <c r="G5433" s="46">
        <v>46097.325939849543</v>
      </c>
      <c r="H5433">
        <v>16</v>
      </c>
    </row>
    <row r="5434" spans="1:8" x14ac:dyDescent="0.15">
      <c r="A5434">
        <v>5433</v>
      </c>
      <c r="B5434" t="s">
        <v>339</v>
      </c>
      <c r="C5434" t="s">
        <v>353</v>
      </c>
      <c r="D5434" t="s">
        <v>9380</v>
      </c>
      <c r="E5434" t="s">
        <v>9381</v>
      </c>
      <c r="F5434" s="46">
        <v>46097.325939849543</v>
      </c>
      <c r="G5434" s="46">
        <v>46097.325939849543</v>
      </c>
      <c r="H5434">
        <v>0</v>
      </c>
    </row>
    <row r="5435" spans="1:8" x14ac:dyDescent="0.15">
      <c r="A5435">
        <v>5434</v>
      </c>
      <c r="B5435" t="s">
        <v>339</v>
      </c>
      <c r="C5435" t="s">
        <v>353</v>
      </c>
      <c r="D5435" t="s">
        <v>9382</v>
      </c>
      <c r="E5435" t="s">
        <v>9381</v>
      </c>
      <c r="F5435" s="46">
        <v>46097.325939849543</v>
      </c>
      <c r="G5435" s="46">
        <v>46097.325939849543</v>
      </c>
      <c r="H5435">
        <v>0</v>
      </c>
    </row>
    <row r="5436" spans="1:8" x14ac:dyDescent="0.15">
      <c r="A5436">
        <v>5435</v>
      </c>
      <c r="B5436" t="s">
        <v>339</v>
      </c>
      <c r="C5436" t="s">
        <v>353</v>
      </c>
      <c r="D5436" t="s">
        <v>9383</v>
      </c>
      <c r="E5436" t="s">
        <v>9381</v>
      </c>
      <c r="F5436" s="46">
        <v>46097.325939849543</v>
      </c>
      <c r="G5436" s="46">
        <v>46097.325939849543</v>
      </c>
      <c r="H5436">
        <v>0</v>
      </c>
    </row>
    <row r="5437" spans="1:8" x14ac:dyDescent="0.15">
      <c r="A5437">
        <v>5436</v>
      </c>
      <c r="B5437" t="s">
        <v>339</v>
      </c>
      <c r="C5437" t="s">
        <v>353</v>
      </c>
      <c r="D5437" t="s">
        <v>9384</v>
      </c>
      <c r="E5437" t="s">
        <v>9381</v>
      </c>
      <c r="F5437" s="46">
        <v>46097.325939849543</v>
      </c>
      <c r="G5437" s="46">
        <v>46097.325939849543</v>
      </c>
      <c r="H5437">
        <v>0</v>
      </c>
    </row>
    <row r="5438" spans="1:8" x14ac:dyDescent="0.15">
      <c r="A5438">
        <v>5437</v>
      </c>
      <c r="B5438" t="s">
        <v>339</v>
      </c>
      <c r="C5438" t="s">
        <v>353</v>
      </c>
      <c r="D5438" t="s">
        <v>9385</v>
      </c>
      <c r="E5438" t="s">
        <v>9381</v>
      </c>
      <c r="F5438" s="46">
        <v>46097.325939849543</v>
      </c>
      <c r="G5438" s="46">
        <v>46097.325939849543</v>
      </c>
      <c r="H5438">
        <v>0</v>
      </c>
    </row>
    <row r="5439" spans="1:8" x14ac:dyDescent="0.15">
      <c r="A5439">
        <v>5438</v>
      </c>
      <c r="B5439" t="s">
        <v>339</v>
      </c>
      <c r="C5439" t="s">
        <v>353</v>
      </c>
      <c r="D5439" t="s">
        <v>9386</v>
      </c>
      <c r="E5439" t="s">
        <v>9381</v>
      </c>
      <c r="F5439" s="46">
        <v>46097.325939849543</v>
      </c>
      <c r="G5439" s="46">
        <v>46097.325939849543</v>
      </c>
      <c r="H5439">
        <v>0</v>
      </c>
    </row>
    <row r="5440" spans="1:8" x14ac:dyDescent="0.15">
      <c r="A5440">
        <v>5439</v>
      </c>
      <c r="B5440" t="s">
        <v>339</v>
      </c>
      <c r="C5440" t="s">
        <v>353</v>
      </c>
      <c r="D5440" t="s">
        <v>9387</v>
      </c>
      <c r="E5440" t="s">
        <v>9381</v>
      </c>
      <c r="F5440" s="46">
        <v>46097.325939849543</v>
      </c>
      <c r="G5440" s="46">
        <v>46097.325939849543</v>
      </c>
      <c r="H5440">
        <v>0</v>
      </c>
    </row>
    <row r="5441" spans="1:8" x14ac:dyDescent="0.15">
      <c r="A5441">
        <v>5440</v>
      </c>
      <c r="B5441" t="s">
        <v>339</v>
      </c>
      <c r="C5441" t="s">
        <v>353</v>
      </c>
      <c r="D5441" t="s">
        <v>9388</v>
      </c>
      <c r="E5441" t="s">
        <v>9381</v>
      </c>
      <c r="F5441" s="46">
        <v>46097.325939849543</v>
      </c>
      <c r="G5441" s="46">
        <v>46097.325939849543</v>
      </c>
      <c r="H5441">
        <v>0</v>
      </c>
    </row>
    <row r="5442" spans="1:8" x14ac:dyDescent="0.15">
      <c r="A5442">
        <v>5441</v>
      </c>
      <c r="B5442" t="s">
        <v>339</v>
      </c>
      <c r="C5442" t="s">
        <v>353</v>
      </c>
      <c r="D5442" t="s">
        <v>9389</v>
      </c>
      <c r="E5442" t="s">
        <v>9381</v>
      </c>
      <c r="F5442" s="46">
        <v>46097.325939849543</v>
      </c>
      <c r="G5442" s="46">
        <v>46097.325939849543</v>
      </c>
      <c r="H5442">
        <v>0</v>
      </c>
    </row>
    <row r="5443" spans="1:8" x14ac:dyDescent="0.15">
      <c r="A5443">
        <v>5442</v>
      </c>
      <c r="B5443" t="s">
        <v>339</v>
      </c>
      <c r="C5443" t="s">
        <v>353</v>
      </c>
      <c r="D5443" t="s">
        <v>9390</v>
      </c>
      <c r="E5443" t="s">
        <v>9381</v>
      </c>
      <c r="F5443" s="46">
        <v>46097.325939849543</v>
      </c>
      <c r="G5443" s="46">
        <v>46097.325940034723</v>
      </c>
      <c r="H5443">
        <v>16</v>
      </c>
    </row>
    <row r="5444" spans="1:8" x14ac:dyDescent="0.15">
      <c r="A5444">
        <v>5443</v>
      </c>
      <c r="B5444" t="s">
        <v>339</v>
      </c>
      <c r="C5444" t="s">
        <v>353</v>
      </c>
      <c r="D5444" t="s">
        <v>9391</v>
      </c>
      <c r="E5444" t="s">
        <v>9381</v>
      </c>
      <c r="F5444" s="46">
        <v>46097.325940034723</v>
      </c>
      <c r="G5444" s="46">
        <v>46097.325940034723</v>
      </c>
      <c r="H5444">
        <v>0</v>
      </c>
    </row>
    <row r="5445" spans="1:8" x14ac:dyDescent="0.15">
      <c r="A5445">
        <v>5444</v>
      </c>
      <c r="B5445" t="s">
        <v>339</v>
      </c>
      <c r="C5445" t="s">
        <v>353</v>
      </c>
      <c r="D5445" t="s">
        <v>9392</v>
      </c>
      <c r="E5445" t="s">
        <v>9381</v>
      </c>
      <c r="F5445" s="46">
        <v>46097.325940034723</v>
      </c>
      <c r="G5445" s="46">
        <v>46097.325940034723</v>
      </c>
      <c r="H5445">
        <v>0</v>
      </c>
    </row>
    <row r="5446" spans="1:8" x14ac:dyDescent="0.15">
      <c r="A5446">
        <v>5445</v>
      </c>
      <c r="B5446" t="s">
        <v>339</v>
      </c>
      <c r="C5446" t="s">
        <v>353</v>
      </c>
      <c r="D5446" t="s">
        <v>9393</v>
      </c>
      <c r="E5446" t="s">
        <v>9381</v>
      </c>
      <c r="F5446" s="46">
        <v>46097.325940034723</v>
      </c>
      <c r="G5446" s="46">
        <v>46097.325940034723</v>
      </c>
      <c r="H5446">
        <v>0</v>
      </c>
    </row>
    <row r="5447" spans="1:8" x14ac:dyDescent="0.15">
      <c r="A5447">
        <v>5446</v>
      </c>
      <c r="B5447" t="s">
        <v>339</v>
      </c>
      <c r="C5447" t="s">
        <v>353</v>
      </c>
      <c r="D5447" t="s">
        <v>9394</v>
      </c>
      <c r="E5447" t="s">
        <v>9395</v>
      </c>
      <c r="F5447" s="46">
        <v>46097.325940034723</v>
      </c>
      <c r="G5447" s="46">
        <v>46097.325940034723</v>
      </c>
      <c r="H5447">
        <v>0</v>
      </c>
    </row>
    <row r="5448" spans="1:8" x14ac:dyDescent="0.15">
      <c r="A5448">
        <v>5447</v>
      </c>
      <c r="B5448" t="s">
        <v>339</v>
      </c>
      <c r="C5448" t="s">
        <v>353</v>
      </c>
      <c r="D5448" t="s">
        <v>9396</v>
      </c>
      <c r="E5448" t="s">
        <v>9395</v>
      </c>
      <c r="F5448" s="46">
        <v>46097.325940034723</v>
      </c>
      <c r="G5448" s="46">
        <v>46097.325940034723</v>
      </c>
      <c r="H5448">
        <v>0</v>
      </c>
    </row>
    <row r="5449" spans="1:8" x14ac:dyDescent="0.15">
      <c r="A5449">
        <v>5448</v>
      </c>
      <c r="B5449" t="s">
        <v>339</v>
      </c>
      <c r="C5449" t="s">
        <v>353</v>
      </c>
      <c r="D5449" t="s">
        <v>9397</v>
      </c>
      <c r="E5449" t="s">
        <v>9398</v>
      </c>
      <c r="F5449" s="46">
        <v>46097.325940034723</v>
      </c>
      <c r="G5449" s="46">
        <v>46097.325940034723</v>
      </c>
      <c r="H5449">
        <v>0</v>
      </c>
    </row>
    <row r="5450" spans="1:8" x14ac:dyDescent="0.15">
      <c r="A5450">
        <v>5449</v>
      </c>
      <c r="B5450" t="s">
        <v>339</v>
      </c>
      <c r="C5450" t="s">
        <v>353</v>
      </c>
      <c r="D5450" t="s">
        <v>9399</v>
      </c>
      <c r="E5450" t="s">
        <v>9398</v>
      </c>
      <c r="F5450" s="46">
        <v>46097.325940034723</v>
      </c>
      <c r="G5450" s="46">
        <v>46097.325940034723</v>
      </c>
      <c r="H5450">
        <v>0</v>
      </c>
    </row>
    <row r="5451" spans="1:8" x14ac:dyDescent="0.15">
      <c r="A5451">
        <v>5450</v>
      </c>
      <c r="B5451" t="s">
        <v>339</v>
      </c>
      <c r="C5451" t="s">
        <v>353</v>
      </c>
      <c r="D5451" t="s">
        <v>9400</v>
      </c>
      <c r="E5451" t="s">
        <v>9401</v>
      </c>
      <c r="F5451" s="46">
        <v>46097.325940034723</v>
      </c>
      <c r="G5451" s="46">
        <v>46097.325940034723</v>
      </c>
      <c r="H5451">
        <v>0</v>
      </c>
    </row>
    <row r="5452" spans="1:8" x14ac:dyDescent="0.15">
      <c r="A5452">
        <v>5451</v>
      </c>
      <c r="B5452" t="s">
        <v>339</v>
      </c>
      <c r="C5452" t="s">
        <v>353</v>
      </c>
      <c r="D5452" t="s">
        <v>9402</v>
      </c>
      <c r="E5452" t="s">
        <v>9403</v>
      </c>
      <c r="F5452" s="46">
        <v>46097.325940034723</v>
      </c>
      <c r="G5452" s="46">
        <v>46097.325940034723</v>
      </c>
      <c r="H5452">
        <v>0</v>
      </c>
    </row>
    <row r="5453" spans="1:8" x14ac:dyDescent="0.15">
      <c r="A5453">
        <v>5452</v>
      </c>
      <c r="B5453" t="s">
        <v>339</v>
      </c>
      <c r="C5453" t="s">
        <v>353</v>
      </c>
      <c r="D5453" t="s">
        <v>9404</v>
      </c>
      <c r="E5453" t="s">
        <v>9405</v>
      </c>
      <c r="F5453" s="46">
        <v>46097.325940034723</v>
      </c>
      <c r="G5453" s="46">
        <v>46097.325940219911</v>
      </c>
      <c r="H5453">
        <v>15</v>
      </c>
    </row>
    <row r="5454" spans="1:8" x14ac:dyDescent="0.15">
      <c r="A5454">
        <v>5453</v>
      </c>
      <c r="B5454" t="s">
        <v>339</v>
      </c>
      <c r="C5454" t="s">
        <v>353</v>
      </c>
      <c r="D5454" t="s">
        <v>9406</v>
      </c>
      <c r="E5454" t="s">
        <v>9407</v>
      </c>
      <c r="F5454" s="46">
        <v>46097.325940219911</v>
      </c>
      <c r="G5454" s="46">
        <v>46097.325940219911</v>
      </c>
      <c r="H5454">
        <v>0</v>
      </c>
    </row>
    <row r="5455" spans="1:8" x14ac:dyDescent="0.15">
      <c r="A5455">
        <v>5454</v>
      </c>
      <c r="B5455" t="s">
        <v>339</v>
      </c>
      <c r="C5455" t="s">
        <v>353</v>
      </c>
      <c r="D5455" t="s">
        <v>9408</v>
      </c>
      <c r="E5455" t="s">
        <v>9407</v>
      </c>
      <c r="F5455" s="46">
        <v>46097.325940219911</v>
      </c>
      <c r="G5455" s="46">
        <v>46097.325940219911</v>
      </c>
      <c r="H5455">
        <v>0</v>
      </c>
    </row>
    <row r="5456" spans="1:8" x14ac:dyDescent="0.15">
      <c r="A5456">
        <v>5455</v>
      </c>
      <c r="B5456" t="s">
        <v>339</v>
      </c>
      <c r="C5456" t="s">
        <v>353</v>
      </c>
      <c r="D5456" t="s">
        <v>9409</v>
      </c>
      <c r="E5456" t="s">
        <v>9410</v>
      </c>
      <c r="F5456" s="46">
        <v>46097.325940219911</v>
      </c>
      <c r="G5456" s="46">
        <v>46097.325940219911</v>
      </c>
      <c r="H5456">
        <v>0</v>
      </c>
    </row>
    <row r="5457" spans="1:8" x14ac:dyDescent="0.15">
      <c r="A5457">
        <v>5456</v>
      </c>
      <c r="B5457" t="s">
        <v>339</v>
      </c>
      <c r="C5457" t="s">
        <v>353</v>
      </c>
      <c r="D5457" t="s">
        <v>9411</v>
      </c>
      <c r="E5457" t="s">
        <v>9412</v>
      </c>
      <c r="F5457" s="46">
        <v>46097.325940219911</v>
      </c>
      <c r="G5457" s="46">
        <v>46097.325940219911</v>
      </c>
      <c r="H5457">
        <v>0</v>
      </c>
    </row>
    <row r="5458" spans="1:8" x14ac:dyDescent="0.15">
      <c r="A5458">
        <v>5457</v>
      </c>
      <c r="B5458" t="s">
        <v>339</v>
      </c>
      <c r="C5458" t="s">
        <v>353</v>
      </c>
      <c r="D5458" t="s">
        <v>9413</v>
      </c>
      <c r="E5458" t="s">
        <v>9412</v>
      </c>
      <c r="F5458" s="46">
        <v>46097.325940219911</v>
      </c>
      <c r="G5458" s="46">
        <v>46097.325940219911</v>
      </c>
      <c r="H5458">
        <v>0</v>
      </c>
    </row>
    <row r="5459" spans="1:8" x14ac:dyDescent="0.15">
      <c r="A5459">
        <v>5458</v>
      </c>
      <c r="B5459" t="s">
        <v>339</v>
      </c>
      <c r="C5459" t="s">
        <v>353</v>
      </c>
      <c r="D5459" t="s">
        <v>9414</v>
      </c>
      <c r="E5459" t="s">
        <v>9412</v>
      </c>
      <c r="F5459" s="46">
        <v>46097.325940219911</v>
      </c>
      <c r="G5459" s="46">
        <v>46097.325940219911</v>
      </c>
      <c r="H5459">
        <v>0</v>
      </c>
    </row>
    <row r="5460" spans="1:8" x14ac:dyDescent="0.15">
      <c r="A5460">
        <v>5459</v>
      </c>
      <c r="B5460" t="s">
        <v>339</v>
      </c>
      <c r="C5460" t="s">
        <v>353</v>
      </c>
      <c r="D5460" t="s">
        <v>9415</v>
      </c>
      <c r="E5460" t="s">
        <v>9416</v>
      </c>
      <c r="F5460" s="46">
        <v>46097.325940219911</v>
      </c>
      <c r="G5460" s="46">
        <v>46097.325940219911</v>
      </c>
      <c r="H5460">
        <v>0</v>
      </c>
    </row>
    <row r="5461" spans="1:8" x14ac:dyDescent="0.15">
      <c r="A5461">
        <v>5460</v>
      </c>
      <c r="B5461" t="s">
        <v>339</v>
      </c>
      <c r="C5461" t="s">
        <v>353</v>
      </c>
      <c r="D5461" t="s">
        <v>9417</v>
      </c>
      <c r="E5461" t="s">
        <v>9416</v>
      </c>
      <c r="F5461" s="46">
        <v>46097.325940219911</v>
      </c>
      <c r="G5461" s="46">
        <v>46097.325940219911</v>
      </c>
      <c r="H5461">
        <v>0</v>
      </c>
    </row>
    <row r="5462" spans="1:8" x14ac:dyDescent="0.15">
      <c r="A5462">
        <v>5461</v>
      </c>
      <c r="B5462" t="s">
        <v>339</v>
      </c>
      <c r="C5462" t="s">
        <v>353</v>
      </c>
      <c r="D5462" t="s">
        <v>9418</v>
      </c>
      <c r="E5462" t="s">
        <v>9416</v>
      </c>
      <c r="F5462" s="46">
        <v>46097.325940219911</v>
      </c>
      <c r="G5462" s="46">
        <v>46097.325940219911</v>
      </c>
      <c r="H5462">
        <v>0</v>
      </c>
    </row>
    <row r="5463" spans="1:8" x14ac:dyDescent="0.15">
      <c r="A5463">
        <v>5462</v>
      </c>
      <c r="B5463" t="s">
        <v>339</v>
      </c>
      <c r="C5463" t="s">
        <v>353</v>
      </c>
      <c r="D5463" t="s">
        <v>9419</v>
      </c>
      <c r="E5463" t="s">
        <v>9416</v>
      </c>
      <c r="F5463" s="46">
        <v>46097.325940219911</v>
      </c>
      <c r="G5463" s="46">
        <v>46097.325940219911</v>
      </c>
      <c r="H5463">
        <v>0</v>
      </c>
    </row>
    <row r="5464" spans="1:8" x14ac:dyDescent="0.15">
      <c r="A5464">
        <v>5463</v>
      </c>
      <c r="B5464" t="s">
        <v>339</v>
      </c>
      <c r="C5464" t="s">
        <v>353</v>
      </c>
      <c r="D5464" t="s">
        <v>9420</v>
      </c>
      <c r="E5464" t="s">
        <v>9416</v>
      </c>
      <c r="F5464" s="46">
        <v>46097.325940219911</v>
      </c>
      <c r="G5464" s="46">
        <v>46097.325940393523</v>
      </c>
      <c r="H5464">
        <v>16</v>
      </c>
    </row>
    <row r="5465" spans="1:8" x14ac:dyDescent="0.15">
      <c r="A5465">
        <v>5464</v>
      </c>
      <c r="B5465" t="s">
        <v>339</v>
      </c>
      <c r="C5465" t="s">
        <v>353</v>
      </c>
      <c r="D5465" t="s">
        <v>9421</v>
      </c>
      <c r="E5465" t="s">
        <v>9416</v>
      </c>
      <c r="F5465" s="46">
        <v>46097.325940393523</v>
      </c>
      <c r="G5465" s="46">
        <v>46097.325940393523</v>
      </c>
      <c r="H5465">
        <v>0</v>
      </c>
    </row>
    <row r="5466" spans="1:8" x14ac:dyDescent="0.15">
      <c r="A5466">
        <v>5465</v>
      </c>
      <c r="B5466" t="s">
        <v>339</v>
      </c>
      <c r="C5466" t="s">
        <v>353</v>
      </c>
      <c r="D5466" t="s">
        <v>9422</v>
      </c>
      <c r="E5466" t="s">
        <v>9423</v>
      </c>
      <c r="F5466" s="46">
        <v>46097.325940393523</v>
      </c>
      <c r="G5466" s="46">
        <v>46097.325940393523</v>
      </c>
      <c r="H5466">
        <v>0</v>
      </c>
    </row>
    <row r="5467" spans="1:8" x14ac:dyDescent="0.15">
      <c r="A5467">
        <v>5466</v>
      </c>
      <c r="B5467" t="s">
        <v>339</v>
      </c>
      <c r="C5467" t="s">
        <v>353</v>
      </c>
      <c r="D5467" t="s">
        <v>9424</v>
      </c>
      <c r="E5467" t="s">
        <v>9423</v>
      </c>
      <c r="F5467" s="46">
        <v>46097.325940393523</v>
      </c>
      <c r="G5467" s="46">
        <v>46097.325940393523</v>
      </c>
      <c r="H5467">
        <v>0</v>
      </c>
    </row>
    <row r="5468" spans="1:8" x14ac:dyDescent="0.15">
      <c r="A5468">
        <v>5467</v>
      </c>
      <c r="B5468" t="s">
        <v>339</v>
      </c>
      <c r="C5468" t="s">
        <v>353</v>
      </c>
      <c r="D5468" t="s">
        <v>9425</v>
      </c>
      <c r="E5468" t="s">
        <v>9426</v>
      </c>
      <c r="F5468" s="46">
        <v>46097.325940393523</v>
      </c>
      <c r="G5468" s="46">
        <v>46097.325940393523</v>
      </c>
      <c r="H5468">
        <v>0</v>
      </c>
    </row>
    <row r="5469" spans="1:8" x14ac:dyDescent="0.15">
      <c r="A5469">
        <v>5468</v>
      </c>
      <c r="B5469" t="s">
        <v>339</v>
      </c>
      <c r="C5469" t="s">
        <v>353</v>
      </c>
      <c r="D5469" t="s">
        <v>9427</v>
      </c>
      <c r="E5469" t="s">
        <v>9428</v>
      </c>
      <c r="F5469" s="46">
        <v>46097.325940393523</v>
      </c>
      <c r="G5469" s="46">
        <v>46097.325940393523</v>
      </c>
      <c r="H5469">
        <v>0</v>
      </c>
    </row>
    <row r="5470" spans="1:8" x14ac:dyDescent="0.15">
      <c r="A5470">
        <v>5469</v>
      </c>
      <c r="B5470" t="s">
        <v>339</v>
      </c>
      <c r="C5470" t="s">
        <v>353</v>
      </c>
      <c r="D5470" t="s">
        <v>9429</v>
      </c>
      <c r="E5470" t="s">
        <v>9428</v>
      </c>
      <c r="F5470" s="46">
        <v>46097.325940393523</v>
      </c>
      <c r="G5470" s="46">
        <v>46097.325940393523</v>
      </c>
      <c r="H5470">
        <v>0</v>
      </c>
    </row>
    <row r="5471" spans="1:8" x14ac:dyDescent="0.15">
      <c r="A5471">
        <v>5470</v>
      </c>
      <c r="B5471" t="s">
        <v>339</v>
      </c>
      <c r="C5471" t="s">
        <v>353</v>
      </c>
      <c r="D5471" t="s">
        <v>9430</v>
      </c>
      <c r="E5471" t="s">
        <v>9428</v>
      </c>
      <c r="F5471" s="46">
        <v>46097.325940393523</v>
      </c>
      <c r="G5471" s="46">
        <v>46097.325940393523</v>
      </c>
      <c r="H5471">
        <v>0</v>
      </c>
    </row>
    <row r="5472" spans="1:8" x14ac:dyDescent="0.15">
      <c r="A5472">
        <v>5471</v>
      </c>
      <c r="B5472" t="s">
        <v>339</v>
      </c>
      <c r="C5472" t="s">
        <v>353</v>
      </c>
      <c r="D5472" t="s">
        <v>9431</v>
      </c>
      <c r="E5472" t="s">
        <v>9428</v>
      </c>
      <c r="F5472" s="46">
        <v>46097.325940393523</v>
      </c>
      <c r="G5472" s="46">
        <v>46097.325940393523</v>
      </c>
      <c r="H5472">
        <v>0</v>
      </c>
    </row>
    <row r="5473" spans="1:8" x14ac:dyDescent="0.15">
      <c r="A5473">
        <v>5472</v>
      </c>
      <c r="B5473" t="s">
        <v>339</v>
      </c>
      <c r="C5473" t="s">
        <v>353</v>
      </c>
      <c r="D5473" t="s">
        <v>9432</v>
      </c>
      <c r="E5473" t="s">
        <v>9428</v>
      </c>
      <c r="F5473" s="46">
        <v>46097.325940393523</v>
      </c>
      <c r="G5473" s="46">
        <v>46097.325940393523</v>
      </c>
      <c r="H5473">
        <v>0</v>
      </c>
    </row>
    <row r="5474" spans="1:8" x14ac:dyDescent="0.15">
      <c r="A5474">
        <v>5473</v>
      </c>
      <c r="B5474" t="s">
        <v>339</v>
      </c>
      <c r="C5474" t="s">
        <v>353</v>
      </c>
      <c r="D5474" t="s">
        <v>9433</v>
      </c>
      <c r="E5474" t="s">
        <v>9428</v>
      </c>
      <c r="F5474" s="46">
        <v>46097.325940393523</v>
      </c>
      <c r="G5474" s="46">
        <v>46097.325940393523</v>
      </c>
      <c r="H5474">
        <v>0</v>
      </c>
    </row>
    <row r="5475" spans="1:8" x14ac:dyDescent="0.15">
      <c r="A5475">
        <v>5474</v>
      </c>
      <c r="B5475" t="s">
        <v>339</v>
      </c>
      <c r="C5475" t="s">
        <v>353</v>
      </c>
      <c r="D5475" t="s">
        <v>9434</v>
      </c>
      <c r="E5475" t="s">
        <v>9428</v>
      </c>
      <c r="F5475" s="46">
        <v>46097.325940393523</v>
      </c>
      <c r="G5475" s="46">
        <v>46097.325940578703</v>
      </c>
      <c r="H5475">
        <v>15</v>
      </c>
    </row>
    <row r="5476" spans="1:8" x14ac:dyDescent="0.15">
      <c r="A5476">
        <v>5475</v>
      </c>
      <c r="B5476" t="s">
        <v>339</v>
      </c>
      <c r="C5476" t="s">
        <v>353</v>
      </c>
      <c r="D5476" t="s">
        <v>9435</v>
      </c>
      <c r="E5476" t="s">
        <v>9436</v>
      </c>
      <c r="F5476" s="46">
        <v>46097.325940578703</v>
      </c>
      <c r="G5476" s="46">
        <v>46097.325940578703</v>
      </c>
      <c r="H5476">
        <v>0</v>
      </c>
    </row>
    <row r="5477" spans="1:8" x14ac:dyDescent="0.15">
      <c r="A5477">
        <v>5476</v>
      </c>
      <c r="B5477" t="s">
        <v>339</v>
      </c>
      <c r="C5477" t="s">
        <v>353</v>
      </c>
      <c r="D5477" t="s">
        <v>9437</v>
      </c>
      <c r="E5477" t="s">
        <v>9436</v>
      </c>
      <c r="F5477" s="46">
        <v>46097.325940578703</v>
      </c>
      <c r="G5477" s="46">
        <v>46097.325940578703</v>
      </c>
      <c r="H5477">
        <v>0</v>
      </c>
    </row>
    <row r="5478" spans="1:8" x14ac:dyDescent="0.15">
      <c r="A5478">
        <v>5477</v>
      </c>
      <c r="B5478" t="s">
        <v>339</v>
      </c>
      <c r="C5478" t="s">
        <v>353</v>
      </c>
      <c r="D5478" t="s">
        <v>9438</v>
      </c>
      <c r="E5478" t="s">
        <v>9439</v>
      </c>
      <c r="F5478" s="46">
        <v>46097.325940578703</v>
      </c>
      <c r="G5478" s="46">
        <v>46097.325940578703</v>
      </c>
      <c r="H5478">
        <v>0</v>
      </c>
    </row>
    <row r="5479" spans="1:8" x14ac:dyDescent="0.15">
      <c r="A5479">
        <v>5478</v>
      </c>
      <c r="B5479" t="s">
        <v>339</v>
      </c>
      <c r="C5479" t="s">
        <v>353</v>
      </c>
      <c r="D5479" t="s">
        <v>9440</v>
      </c>
      <c r="E5479" t="s">
        <v>9441</v>
      </c>
      <c r="F5479" s="46">
        <v>46097.325940578703</v>
      </c>
      <c r="G5479" s="46">
        <v>46097.325940578703</v>
      </c>
      <c r="H5479">
        <v>0</v>
      </c>
    </row>
    <row r="5480" spans="1:8" x14ac:dyDescent="0.15">
      <c r="A5480">
        <v>5479</v>
      </c>
      <c r="B5480" t="s">
        <v>339</v>
      </c>
      <c r="C5480" t="s">
        <v>353</v>
      </c>
      <c r="D5480" t="s">
        <v>9442</v>
      </c>
      <c r="E5480" t="s">
        <v>9441</v>
      </c>
      <c r="F5480" s="46">
        <v>46097.325940578703</v>
      </c>
      <c r="G5480" s="46">
        <v>46097.325940578703</v>
      </c>
      <c r="H5480">
        <v>0</v>
      </c>
    </row>
    <row r="5481" spans="1:8" x14ac:dyDescent="0.15">
      <c r="A5481">
        <v>5480</v>
      </c>
      <c r="B5481" t="s">
        <v>339</v>
      </c>
      <c r="C5481" t="s">
        <v>353</v>
      </c>
      <c r="D5481" t="s">
        <v>9443</v>
      </c>
      <c r="E5481" t="s">
        <v>9441</v>
      </c>
      <c r="F5481" s="46">
        <v>46097.325940578703</v>
      </c>
      <c r="G5481" s="46">
        <v>46097.325940578703</v>
      </c>
      <c r="H5481">
        <v>0</v>
      </c>
    </row>
    <row r="5482" spans="1:8" x14ac:dyDescent="0.15">
      <c r="A5482">
        <v>5481</v>
      </c>
      <c r="B5482" t="s">
        <v>339</v>
      </c>
      <c r="C5482" t="s">
        <v>353</v>
      </c>
      <c r="D5482" t="s">
        <v>9444</v>
      </c>
      <c r="E5482" t="s">
        <v>9441</v>
      </c>
      <c r="F5482" s="46">
        <v>46097.325940578703</v>
      </c>
      <c r="G5482" s="46">
        <v>46097.325940578703</v>
      </c>
      <c r="H5482">
        <v>0</v>
      </c>
    </row>
    <row r="5483" spans="1:8" x14ac:dyDescent="0.15">
      <c r="A5483">
        <v>5482</v>
      </c>
      <c r="B5483" t="s">
        <v>339</v>
      </c>
      <c r="C5483" t="s">
        <v>353</v>
      </c>
      <c r="D5483" t="s">
        <v>9445</v>
      </c>
      <c r="E5483" t="s">
        <v>9441</v>
      </c>
      <c r="F5483" s="46">
        <v>46097.325940578703</v>
      </c>
      <c r="G5483" s="46">
        <v>46097.325940578703</v>
      </c>
      <c r="H5483">
        <v>0</v>
      </c>
    </row>
    <row r="5484" spans="1:8" x14ac:dyDescent="0.15">
      <c r="A5484">
        <v>5483</v>
      </c>
      <c r="B5484" t="s">
        <v>339</v>
      </c>
      <c r="C5484" t="s">
        <v>353</v>
      </c>
      <c r="D5484" t="s">
        <v>9446</v>
      </c>
      <c r="E5484" t="s">
        <v>819</v>
      </c>
      <c r="F5484" s="46">
        <v>46097.325940578703</v>
      </c>
      <c r="G5484" s="46">
        <v>46097.325940578703</v>
      </c>
      <c r="H5484">
        <v>0</v>
      </c>
    </row>
    <row r="5485" spans="1:8" x14ac:dyDescent="0.15">
      <c r="A5485">
        <v>5484</v>
      </c>
      <c r="B5485" t="s">
        <v>339</v>
      </c>
      <c r="C5485" t="s">
        <v>353</v>
      </c>
      <c r="D5485" t="s">
        <v>9447</v>
      </c>
      <c r="E5485" t="s">
        <v>819</v>
      </c>
      <c r="F5485" s="46">
        <v>46097.325940578703</v>
      </c>
      <c r="G5485" s="46">
        <v>46097.325940763891</v>
      </c>
      <c r="H5485">
        <v>16</v>
      </c>
    </row>
    <row r="5486" spans="1:8" x14ac:dyDescent="0.15">
      <c r="A5486">
        <v>5485</v>
      </c>
      <c r="B5486" t="s">
        <v>339</v>
      </c>
      <c r="C5486" t="s">
        <v>353</v>
      </c>
      <c r="D5486" t="s">
        <v>9448</v>
      </c>
      <c r="E5486" t="s">
        <v>819</v>
      </c>
      <c r="F5486" s="46">
        <v>46097.325940763891</v>
      </c>
      <c r="G5486" s="46">
        <v>46097.325940763891</v>
      </c>
      <c r="H5486">
        <v>0</v>
      </c>
    </row>
    <row r="5487" spans="1:8" x14ac:dyDescent="0.15">
      <c r="A5487">
        <v>5486</v>
      </c>
      <c r="B5487" t="s">
        <v>339</v>
      </c>
      <c r="C5487" t="s">
        <v>353</v>
      </c>
      <c r="D5487" t="s">
        <v>9449</v>
      </c>
      <c r="E5487" t="s">
        <v>819</v>
      </c>
      <c r="F5487" s="46">
        <v>46097.325940763891</v>
      </c>
      <c r="G5487" s="46">
        <v>46097.325940763891</v>
      </c>
      <c r="H5487">
        <v>0</v>
      </c>
    </row>
    <row r="5488" spans="1:8" x14ac:dyDescent="0.15">
      <c r="A5488">
        <v>5487</v>
      </c>
      <c r="B5488" t="s">
        <v>339</v>
      </c>
      <c r="C5488" t="s">
        <v>353</v>
      </c>
      <c r="D5488" t="s">
        <v>9450</v>
      </c>
      <c r="E5488" t="s">
        <v>819</v>
      </c>
      <c r="F5488" s="46">
        <v>46097.325940763891</v>
      </c>
      <c r="G5488" s="46">
        <v>46097.325940763891</v>
      </c>
      <c r="H5488">
        <v>0</v>
      </c>
    </row>
    <row r="5489" spans="1:8" x14ac:dyDescent="0.15">
      <c r="A5489">
        <v>5488</v>
      </c>
      <c r="B5489" t="s">
        <v>339</v>
      </c>
      <c r="C5489" t="s">
        <v>353</v>
      </c>
      <c r="D5489" t="s">
        <v>9451</v>
      </c>
      <c r="E5489" t="s">
        <v>819</v>
      </c>
      <c r="F5489" s="46">
        <v>46097.325940763891</v>
      </c>
      <c r="G5489" s="46">
        <v>46097.325940763891</v>
      </c>
      <c r="H5489">
        <v>0</v>
      </c>
    </row>
    <row r="5490" spans="1:8" x14ac:dyDescent="0.15">
      <c r="A5490">
        <v>5489</v>
      </c>
      <c r="B5490" t="s">
        <v>339</v>
      </c>
      <c r="C5490" t="s">
        <v>353</v>
      </c>
      <c r="D5490" t="s">
        <v>9452</v>
      </c>
      <c r="E5490" t="s">
        <v>819</v>
      </c>
      <c r="F5490" s="46">
        <v>46097.325940763891</v>
      </c>
      <c r="G5490" s="46">
        <v>46097.325940763891</v>
      </c>
      <c r="H5490">
        <v>0</v>
      </c>
    </row>
    <row r="5491" spans="1:8" x14ac:dyDescent="0.15">
      <c r="A5491">
        <v>5490</v>
      </c>
      <c r="B5491" t="s">
        <v>339</v>
      </c>
      <c r="C5491" t="s">
        <v>353</v>
      </c>
      <c r="D5491" t="s">
        <v>9453</v>
      </c>
      <c r="E5491" t="s">
        <v>819</v>
      </c>
      <c r="F5491" s="46">
        <v>46097.325940763891</v>
      </c>
      <c r="G5491" s="46">
        <v>46097.325940763891</v>
      </c>
      <c r="H5491">
        <v>0</v>
      </c>
    </row>
    <row r="5492" spans="1:8" x14ac:dyDescent="0.15">
      <c r="A5492">
        <v>5491</v>
      </c>
      <c r="B5492" t="s">
        <v>339</v>
      </c>
      <c r="C5492" t="s">
        <v>353</v>
      </c>
      <c r="D5492" t="s">
        <v>9454</v>
      </c>
      <c r="E5492" t="s">
        <v>819</v>
      </c>
      <c r="F5492" s="46">
        <v>46097.325940763891</v>
      </c>
      <c r="G5492" s="46">
        <v>46097.325940763891</v>
      </c>
      <c r="H5492">
        <v>0</v>
      </c>
    </row>
    <row r="5493" spans="1:8" x14ac:dyDescent="0.15">
      <c r="A5493">
        <v>5492</v>
      </c>
      <c r="B5493" t="s">
        <v>339</v>
      </c>
      <c r="C5493" t="s">
        <v>353</v>
      </c>
      <c r="D5493" t="s">
        <v>9455</v>
      </c>
      <c r="E5493" t="s">
        <v>820</v>
      </c>
      <c r="F5493" s="46">
        <v>46097.325940763891</v>
      </c>
      <c r="G5493" s="46">
        <v>46097.325940763891</v>
      </c>
      <c r="H5493">
        <v>0</v>
      </c>
    </row>
    <row r="5494" spans="1:8" x14ac:dyDescent="0.15">
      <c r="A5494">
        <v>5493</v>
      </c>
      <c r="B5494" t="s">
        <v>339</v>
      </c>
      <c r="C5494" t="s">
        <v>353</v>
      </c>
      <c r="D5494" t="s">
        <v>9456</v>
      </c>
      <c r="E5494" t="s">
        <v>9457</v>
      </c>
      <c r="F5494" s="46">
        <v>46097.325940763891</v>
      </c>
      <c r="G5494" s="46">
        <v>46097.325940763891</v>
      </c>
      <c r="H5494">
        <v>0</v>
      </c>
    </row>
    <row r="5495" spans="1:8" x14ac:dyDescent="0.15">
      <c r="A5495">
        <v>5494</v>
      </c>
      <c r="B5495" t="s">
        <v>339</v>
      </c>
      <c r="C5495" t="s">
        <v>353</v>
      </c>
      <c r="D5495" t="s">
        <v>9458</v>
      </c>
      <c r="E5495" t="s">
        <v>9457</v>
      </c>
      <c r="F5495" s="46">
        <v>46097.325940763891</v>
      </c>
      <c r="G5495" s="46">
        <v>46097.325940763891</v>
      </c>
      <c r="H5495">
        <v>0</v>
      </c>
    </row>
    <row r="5496" spans="1:8" x14ac:dyDescent="0.15">
      <c r="A5496">
        <v>5495</v>
      </c>
      <c r="B5496" t="s">
        <v>339</v>
      </c>
      <c r="C5496" t="s">
        <v>353</v>
      </c>
      <c r="D5496" t="s">
        <v>9459</v>
      </c>
      <c r="E5496" t="s">
        <v>9460</v>
      </c>
      <c r="F5496" s="46">
        <v>46097.325940763891</v>
      </c>
      <c r="G5496" s="46">
        <v>46097.325940937502</v>
      </c>
      <c r="H5496">
        <v>16</v>
      </c>
    </row>
    <row r="5497" spans="1:8" x14ac:dyDescent="0.15">
      <c r="A5497">
        <v>5496</v>
      </c>
      <c r="B5497" t="s">
        <v>339</v>
      </c>
      <c r="C5497" t="s">
        <v>353</v>
      </c>
      <c r="D5497" t="s">
        <v>9461</v>
      </c>
      <c r="E5497" t="s">
        <v>9460</v>
      </c>
      <c r="F5497" s="46">
        <v>46097.325940937502</v>
      </c>
      <c r="G5497" s="46">
        <v>46097.325940937502</v>
      </c>
      <c r="H5497">
        <v>0</v>
      </c>
    </row>
    <row r="5498" spans="1:8" x14ac:dyDescent="0.15">
      <c r="A5498">
        <v>5497</v>
      </c>
      <c r="B5498" t="s">
        <v>339</v>
      </c>
      <c r="C5498" t="s">
        <v>353</v>
      </c>
      <c r="D5498" t="s">
        <v>9462</v>
      </c>
      <c r="E5498" t="s">
        <v>9463</v>
      </c>
      <c r="F5498" s="46">
        <v>46097.325940937502</v>
      </c>
      <c r="G5498" s="46">
        <v>46097.325940937502</v>
      </c>
      <c r="H5498">
        <v>0</v>
      </c>
    </row>
    <row r="5499" spans="1:8" x14ac:dyDescent="0.15">
      <c r="A5499">
        <v>5498</v>
      </c>
      <c r="B5499" t="s">
        <v>339</v>
      </c>
      <c r="C5499" t="s">
        <v>353</v>
      </c>
      <c r="D5499" t="s">
        <v>9464</v>
      </c>
      <c r="E5499" t="s">
        <v>9463</v>
      </c>
      <c r="F5499" s="46">
        <v>46097.325940937502</v>
      </c>
      <c r="G5499" s="46">
        <v>46097.325940937502</v>
      </c>
      <c r="H5499">
        <v>0</v>
      </c>
    </row>
    <row r="5500" spans="1:8" x14ac:dyDescent="0.15">
      <c r="A5500">
        <v>5499</v>
      </c>
      <c r="B5500" t="s">
        <v>339</v>
      </c>
      <c r="C5500" t="s">
        <v>353</v>
      </c>
      <c r="D5500" t="s">
        <v>9465</v>
      </c>
      <c r="E5500" t="s">
        <v>9466</v>
      </c>
      <c r="F5500" s="46">
        <v>46097.325940937502</v>
      </c>
      <c r="G5500" s="46">
        <v>46097.325940937502</v>
      </c>
      <c r="H5500">
        <v>0</v>
      </c>
    </row>
    <row r="5501" spans="1:8" x14ac:dyDescent="0.15">
      <c r="A5501">
        <v>5500</v>
      </c>
      <c r="B5501" t="s">
        <v>339</v>
      </c>
      <c r="C5501" t="s">
        <v>353</v>
      </c>
      <c r="D5501" t="s">
        <v>9467</v>
      </c>
      <c r="E5501" t="s">
        <v>9466</v>
      </c>
      <c r="F5501" s="46">
        <v>46097.325940937502</v>
      </c>
      <c r="G5501" s="46">
        <v>46097.325940937502</v>
      </c>
      <c r="H5501">
        <v>0</v>
      </c>
    </row>
    <row r="5502" spans="1:8" x14ac:dyDescent="0.15">
      <c r="A5502">
        <v>5501</v>
      </c>
      <c r="B5502" t="s">
        <v>339</v>
      </c>
      <c r="C5502" t="s">
        <v>353</v>
      </c>
      <c r="D5502" t="s">
        <v>9468</v>
      </c>
      <c r="E5502" t="s">
        <v>9469</v>
      </c>
      <c r="F5502" s="46">
        <v>46097.325940937502</v>
      </c>
      <c r="G5502" s="46">
        <v>46097.325940937502</v>
      </c>
      <c r="H5502">
        <v>0</v>
      </c>
    </row>
    <row r="5503" spans="1:8" x14ac:dyDescent="0.15">
      <c r="A5503">
        <v>5502</v>
      </c>
      <c r="B5503" t="s">
        <v>339</v>
      </c>
      <c r="C5503" t="s">
        <v>353</v>
      </c>
      <c r="D5503" t="s">
        <v>9470</v>
      </c>
      <c r="E5503" t="s">
        <v>9469</v>
      </c>
      <c r="F5503" s="46">
        <v>46097.325940937502</v>
      </c>
      <c r="G5503" s="46">
        <v>46097.325940937502</v>
      </c>
      <c r="H5503">
        <v>0</v>
      </c>
    </row>
    <row r="5504" spans="1:8" x14ac:dyDescent="0.15">
      <c r="A5504">
        <v>5503</v>
      </c>
      <c r="B5504" t="s">
        <v>339</v>
      </c>
      <c r="C5504" t="s">
        <v>353</v>
      </c>
      <c r="D5504" t="s">
        <v>9471</v>
      </c>
      <c r="E5504" t="s">
        <v>9469</v>
      </c>
      <c r="F5504" s="46">
        <v>46097.325940937502</v>
      </c>
      <c r="G5504" s="46">
        <v>46097.325940937502</v>
      </c>
      <c r="H5504">
        <v>0</v>
      </c>
    </row>
    <row r="5505" spans="1:8" x14ac:dyDescent="0.15">
      <c r="A5505">
        <v>5504</v>
      </c>
      <c r="B5505" t="s">
        <v>339</v>
      </c>
      <c r="C5505" t="s">
        <v>353</v>
      </c>
      <c r="D5505" t="s">
        <v>9472</v>
      </c>
      <c r="E5505" t="s">
        <v>821</v>
      </c>
      <c r="F5505" s="46">
        <v>46097.325940937502</v>
      </c>
      <c r="G5505" s="46">
        <v>46097.325940937502</v>
      </c>
      <c r="H5505">
        <v>0</v>
      </c>
    </row>
    <row r="5506" spans="1:8" x14ac:dyDescent="0.15">
      <c r="A5506">
        <v>5505</v>
      </c>
      <c r="B5506" t="s">
        <v>339</v>
      </c>
      <c r="C5506" t="s">
        <v>353</v>
      </c>
      <c r="D5506" t="s">
        <v>9473</v>
      </c>
      <c r="E5506" t="s">
        <v>821</v>
      </c>
      <c r="F5506" s="46">
        <v>46097.325940937502</v>
      </c>
      <c r="G5506" s="46">
        <v>46097.325940937502</v>
      </c>
      <c r="H5506">
        <v>0</v>
      </c>
    </row>
    <row r="5507" spans="1:8" x14ac:dyDescent="0.15">
      <c r="A5507">
        <v>5506</v>
      </c>
      <c r="B5507" t="s">
        <v>339</v>
      </c>
      <c r="C5507" t="s">
        <v>353</v>
      </c>
      <c r="D5507" t="s">
        <v>9474</v>
      </c>
      <c r="E5507" t="s">
        <v>821</v>
      </c>
      <c r="F5507" s="46">
        <v>46097.325941122683</v>
      </c>
      <c r="G5507" s="46">
        <v>46097.325941122683</v>
      </c>
      <c r="H5507">
        <v>0</v>
      </c>
    </row>
    <row r="5508" spans="1:8" x14ac:dyDescent="0.15">
      <c r="A5508">
        <v>5507</v>
      </c>
      <c r="B5508" t="s">
        <v>339</v>
      </c>
      <c r="C5508" t="s">
        <v>353</v>
      </c>
      <c r="D5508" t="s">
        <v>9475</v>
      </c>
      <c r="E5508" t="s">
        <v>821</v>
      </c>
      <c r="F5508" s="46">
        <v>46097.325941122683</v>
      </c>
      <c r="G5508" s="46">
        <v>46097.325941122683</v>
      </c>
      <c r="H5508">
        <v>0</v>
      </c>
    </row>
    <row r="5509" spans="1:8" x14ac:dyDescent="0.15">
      <c r="A5509">
        <v>5508</v>
      </c>
      <c r="B5509" t="s">
        <v>339</v>
      </c>
      <c r="C5509" t="s">
        <v>353</v>
      </c>
      <c r="D5509" t="s">
        <v>9476</v>
      </c>
      <c r="E5509" t="s">
        <v>821</v>
      </c>
      <c r="F5509" s="46">
        <v>46097.325941122683</v>
      </c>
      <c r="G5509" s="46">
        <v>46097.325941122683</v>
      </c>
      <c r="H5509">
        <v>0</v>
      </c>
    </row>
    <row r="5510" spans="1:8" x14ac:dyDescent="0.15">
      <c r="A5510">
        <v>5509</v>
      </c>
      <c r="B5510" t="s">
        <v>339</v>
      </c>
      <c r="C5510" t="s">
        <v>353</v>
      </c>
      <c r="D5510" t="s">
        <v>9477</v>
      </c>
      <c r="E5510" t="s">
        <v>821</v>
      </c>
      <c r="F5510" s="46">
        <v>46097.325941122683</v>
      </c>
      <c r="G5510" s="46">
        <v>46097.325941122683</v>
      </c>
      <c r="H5510">
        <v>0</v>
      </c>
    </row>
    <row r="5511" spans="1:8" x14ac:dyDescent="0.15">
      <c r="A5511">
        <v>5510</v>
      </c>
      <c r="B5511" t="s">
        <v>339</v>
      </c>
      <c r="C5511" t="s">
        <v>353</v>
      </c>
      <c r="D5511" t="s">
        <v>9478</v>
      </c>
      <c r="E5511" t="s">
        <v>821</v>
      </c>
      <c r="F5511" s="46">
        <v>46097.325941122683</v>
      </c>
      <c r="G5511" s="46">
        <v>46097.325941122683</v>
      </c>
      <c r="H5511">
        <v>0</v>
      </c>
    </row>
    <row r="5512" spans="1:8" x14ac:dyDescent="0.15">
      <c r="A5512">
        <v>5511</v>
      </c>
      <c r="B5512" t="s">
        <v>339</v>
      </c>
      <c r="C5512" t="s">
        <v>353</v>
      </c>
      <c r="D5512" t="s">
        <v>9479</v>
      </c>
      <c r="E5512" t="s">
        <v>821</v>
      </c>
      <c r="F5512" s="46">
        <v>46097.325941122683</v>
      </c>
      <c r="G5512" s="46">
        <v>46097.325941122683</v>
      </c>
      <c r="H5512">
        <v>0</v>
      </c>
    </row>
    <row r="5513" spans="1:8" x14ac:dyDescent="0.15">
      <c r="A5513">
        <v>5512</v>
      </c>
      <c r="B5513" t="s">
        <v>339</v>
      </c>
      <c r="C5513" t="s">
        <v>353</v>
      </c>
      <c r="D5513" t="s">
        <v>9480</v>
      </c>
      <c r="E5513" t="s">
        <v>821</v>
      </c>
      <c r="F5513" s="46">
        <v>46097.325941122683</v>
      </c>
      <c r="G5513" s="46">
        <v>46097.325941122683</v>
      </c>
      <c r="H5513">
        <v>0</v>
      </c>
    </row>
    <row r="5514" spans="1:8" x14ac:dyDescent="0.15">
      <c r="A5514">
        <v>5513</v>
      </c>
      <c r="B5514" t="s">
        <v>339</v>
      </c>
      <c r="C5514" t="s">
        <v>353</v>
      </c>
      <c r="D5514" t="s">
        <v>9481</v>
      </c>
      <c r="E5514" t="s">
        <v>821</v>
      </c>
      <c r="F5514" s="46">
        <v>46097.325941122683</v>
      </c>
      <c r="G5514" s="46">
        <v>46097.325941122683</v>
      </c>
      <c r="H5514">
        <v>0</v>
      </c>
    </row>
    <row r="5515" spans="1:8" x14ac:dyDescent="0.15">
      <c r="A5515">
        <v>5514</v>
      </c>
      <c r="B5515" t="s">
        <v>339</v>
      </c>
      <c r="C5515" t="s">
        <v>353</v>
      </c>
      <c r="D5515" t="s">
        <v>9482</v>
      </c>
      <c r="E5515" t="s">
        <v>821</v>
      </c>
      <c r="F5515" s="46">
        <v>46097.325941122683</v>
      </c>
      <c r="G5515" s="46">
        <v>46097.325941122683</v>
      </c>
      <c r="H5515">
        <v>0</v>
      </c>
    </row>
    <row r="5516" spans="1:8" x14ac:dyDescent="0.15">
      <c r="A5516">
        <v>5515</v>
      </c>
      <c r="B5516" t="s">
        <v>339</v>
      </c>
      <c r="C5516" t="s">
        <v>353</v>
      </c>
      <c r="D5516" t="s">
        <v>9483</v>
      </c>
      <c r="E5516" t="s">
        <v>821</v>
      </c>
      <c r="F5516" s="46">
        <v>46097.325941122683</v>
      </c>
      <c r="G5516" s="46">
        <v>46097.325941122683</v>
      </c>
      <c r="H5516">
        <v>0</v>
      </c>
    </row>
    <row r="5517" spans="1:8" x14ac:dyDescent="0.15">
      <c r="A5517">
        <v>5516</v>
      </c>
      <c r="B5517" t="s">
        <v>339</v>
      </c>
      <c r="C5517" t="s">
        <v>353</v>
      </c>
      <c r="D5517" t="s">
        <v>9484</v>
      </c>
      <c r="E5517" t="s">
        <v>821</v>
      </c>
      <c r="F5517" s="46">
        <v>46097.325941122683</v>
      </c>
      <c r="G5517" s="46">
        <v>46097.325941296287</v>
      </c>
      <c r="H5517">
        <v>16</v>
      </c>
    </row>
    <row r="5518" spans="1:8" x14ac:dyDescent="0.15">
      <c r="A5518">
        <v>5517</v>
      </c>
      <c r="B5518" t="s">
        <v>339</v>
      </c>
      <c r="C5518" t="s">
        <v>353</v>
      </c>
      <c r="D5518" t="s">
        <v>9485</v>
      </c>
      <c r="E5518" t="s">
        <v>821</v>
      </c>
      <c r="F5518" s="46">
        <v>46097.325941296287</v>
      </c>
      <c r="G5518" s="46">
        <v>46097.325941296287</v>
      </c>
      <c r="H5518">
        <v>0</v>
      </c>
    </row>
    <row r="5519" spans="1:8" x14ac:dyDescent="0.15">
      <c r="A5519">
        <v>5518</v>
      </c>
      <c r="B5519" t="s">
        <v>339</v>
      </c>
      <c r="C5519" t="s">
        <v>353</v>
      </c>
      <c r="D5519" t="s">
        <v>9486</v>
      </c>
      <c r="E5519" t="s">
        <v>821</v>
      </c>
      <c r="F5519" s="46">
        <v>46097.325941296287</v>
      </c>
      <c r="G5519" s="46">
        <v>46097.325941296287</v>
      </c>
      <c r="H5519">
        <v>0</v>
      </c>
    </row>
    <row r="5520" spans="1:8" x14ac:dyDescent="0.15">
      <c r="A5520">
        <v>5519</v>
      </c>
      <c r="B5520" t="s">
        <v>339</v>
      </c>
      <c r="C5520" t="s">
        <v>353</v>
      </c>
      <c r="D5520" t="s">
        <v>9487</v>
      </c>
      <c r="E5520" t="s">
        <v>821</v>
      </c>
      <c r="F5520" s="46">
        <v>46097.325941296287</v>
      </c>
      <c r="G5520" s="46">
        <v>46097.325941296287</v>
      </c>
      <c r="H5520">
        <v>0</v>
      </c>
    </row>
    <row r="5521" spans="1:8" x14ac:dyDescent="0.15">
      <c r="A5521">
        <v>5520</v>
      </c>
      <c r="B5521" t="s">
        <v>339</v>
      </c>
      <c r="C5521" t="s">
        <v>353</v>
      </c>
      <c r="D5521" t="s">
        <v>9488</v>
      </c>
      <c r="E5521" t="s">
        <v>821</v>
      </c>
      <c r="F5521" s="46">
        <v>46097.325941296287</v>
      </c>
      <c r="G5521" s="46">
        <v>46097.325941296287</v>
      </c>
      <c r="H5521">
        <v>0</v>
      </c>
    </row>
    <row r="5522" spans="1:8" x14ac:dyDescent="0.15">
      <c r="A5522">
        <v>5521</v>
      </c>
      <c r="B5522" t="s">
        <v>339</v>
      </c>
      <c r="C5522" t="s">
        <v>353</v>
      </c>
      <c r="D5522" t="s">
        <v>9489</v>
      </c>
      <c r="E5522" t="s">
        <v>9490</v>
      </c>
      <c r="F5522" s="46">
        <v>46097.325941296287</v>
      </c>
      <c r="G5522" s="46">
        <v>46097.325941296287</v>
      </c>
      <c r="H5522">
        <v>0</v>
      </c>
    </row>
    <row r="5523" spans="1:8" x14ac:dyDescent="0.15">
      <c r="A5523">
        <v>5522</v>
      </c>
      <c r="B5523" t="s">
        <v>339</v>
      </c>
      <c r="C5523" t="s">
        <v>353</v>
      </c>
      <c r="D5523" t="s">
        <v>9491</v>
      </c>
      <c r="E5523" t="s">
        <v>9490</v>
      </c>
      <c r="F5523" s="46">
        <v>46097.325941296287</v>
      </c>
      <c r="G5523" s="46">
        <v>46097.325941296287</v>
      </c>
      <c r="H5523">
        <v>0</v>
      </c>
    </row>
    <row r="5524" spans="1:8" x14ac:dyDescent="0.15">
      <c r="A5524">
        <v>5523</v>
      </c>
      <c r="B5524" t="s">
        <v>339</v>
      </c>
      <c r="C5524" t="s">
        <v>353</v>
      </c>
      <c r="D5524" t="s">
        <v>9492</v>
      </c>
      <c r="E5524" t="s">
        <v>9490</v>
      </c>
      <c r="F5524" s="46">
        <v>46097.325941296287</v>
      </c>
      <c r="G5524" s="46">
        <v>46097.325941296287</v>
      </c>
      <c r="H5524">
        <v>0</v>
      </c>
    </row>
    <row r="5525" spans="1:8" x14ac:dyDescent="0.15">
      <c r="A5525">
        <v>5524</v>
      </c>
      <c r="B5525" t="s">
        <v>339</v>
      </c>
      <c r="C5525" t="s">
        <v>353</v>
      </c>
      <c r="D5525" t="s">
        <v>9493</v>
      </c>
      <c r="E5525" t="s">
        <v>9494</v>
      </c>
      <c r="F5525" s="46">
        <v>46097.325941296287</v>
      </c>
      <c r="G5525" s="46">
        <v>46097.325941296287</v>
      </c>
      <c r="H5525">
        <v>0</v>
      </c>
    </row>
    <row r="5526" spans="1:8" x14ac:dyDescent="0.15">
      <c r="A5526">
        <v>5525</v>
      </c>
      <c r="B5526" t="s">
        <v>339</v>
      </c>
      <c r="C5526" t="s">
        <v>353</v>
      </c>
      <c r="D5526" t="s">
        <v>9495</v>
      </c>
      <c r="E5526" t="s">
        <v>9494</v>
      </c>
      <c r="F5526" s="46">
        <v>46097.325941296287</v>
      </c>
      <c r="G5526" s="46">
        <v>46097.325941296287</v>
      </c>
      <c r="H5526">
        <v>0</v>
      </c>
    </row>
    <row r="5527" spans="1:8" x14ac:dyDescent="0.15">
      <c r="A5527">
        <v>5526</v>
      </c>
      <c r="B5527" t="s">
        <v>339</v>
      </c>
      <c r="C5527" t="s">
        <v>353</v>
      </c>
      <c r="D5527" t="s">
        <v>9496</v>
      </c>
      <c r="E5527" t="s">
        <v>9497</v>
      </c>
      <c r="F5527" s="46">
        <v>46097.325941296287</v>
      </c>
      <c r="G5527" s="46">
        <v>46097.325941296287</v>
      </c>
      <c r="H5527">
        <v>0</v>
      </c>
    </row>
    <row r="5528" spans="1:8" x14ac:dyDescent="0.15">
      <c r="A5528">
        <v>5527</v>
      </c>
      <c r="B5528" t="s">
        <v>339</v>
      </c>
      <c r="C5528" t="s">
        <v>353</v>
      </c>
      <c r="D5528" t="s">
        <v>9498</v>
      </c>
      <c r="E5528" t="s">
        <v>822</v>
      </c>
      <c r="F5528" s="46">
        <v>46097.325941296287</v>
      </c>
      <c r="G5528" s="46">
        <v>46097.325941481482</v>
      </c>
      <c r="H5528">
        <v>16</v>
      </c>
    </row>
    <row r="5529" spans="1:8" x14ac:dyDescent="0.15">
      <c r="A5529">
        <v>5528</v>
      </c>
      <c r="B5529" t="s">
        <v>339</v>
      </c>
      <c r="C5529" t="s">
        <v>353</v>
      </c>
      <c r="D5529" t="s">
        <v>9499</v>
      </c>
      <c r="E5529" t="s">
        <v>9500</v>
      </c>
      <c r="F5529" s="46">
        <v>46097.325941481482</v>
      </c>
      <c r="G5529" s="46">
        <v>46097.325941481482</v>
      </c>
      <c r="H5529">
        <v>0</v>
      </c>
    </row>
    <row r="5530" spans="1:8" x14ac:dyDescent="0.15">
      <c r="A5530">
        <v>5529</v>
      </c>
      <c r="B5530" t="s">
        <v>339</v>
      </c>
      <c r="C5530" t="s">
        <v>353</v>
      </c>
      <c r="D5530" t="s">
        <v>9501</v>
      </c>
      <c r="E5530" t="s">
        <v>9502</v>
      </c>
      <c r="F5530" s="46">
        <v>46097.325941481482</v>
      </c>
      <c r="G5530" s="46">
        <v>46097.325941481482</v>
      </c>
      <c r="H5530">
        <v>0</v>
      </c>
    </row>
    <row r="5531" spans="1:8" x14ac:dyDescent="0.15">
      <c r="A5531">
        <v>5530</v>
      </c>
      <c r="B5531" t="s">
        <v>339</v>
      </c>
      <c r="C5531" t="s">
        <v>353</v>
      </c>
      <c r="D5531" t="s">
        <v>9503</v>
      </c>
      <c r="E5531" t="s">
        <v>9502</v>
      </c>
      <c r="F5531" s="46">
        <v>46097.325941481482</v>
      </c>
      <c r="G5531" s="46">
        <v>46097.325941481482</v>
      </c>
      <c r="H5531">
        <v>0</v>
      </c>
    </row>
    <row r="5532" spans="1:8" x14ac:dyDescent="0.15">
      <c r="A5532">
        <v>5531</v>
      </c>
      <c r="B5532" t="s">
        <v>339</v>
      </c>
      <c r="C5532" t="s">
        <v>353</v>
      </c>
      <c r="D5532" t="s">
        <v>9504</v>
      </c>
      <c r="E5532" t="s">
        <v>825</v>
      </c>
      <c r="F5532" s="46">
        <v>46097.325941481482</v>
      </c>
      <c r="G5532" s="46">
        <v>46097.325941481482</v>
      </c>
      <c r="H5532">
        <v>0</v>
      </c>
    </row>
    <row r="5533" spans="1:8" x14ac:dyDescent="0.15">
      <c r="A5533">
        <v>5532</v>
      </c>
      <c r="B5533" t="s">
        <v>339</v>
      </c>
      <c r="C5533" t="s">
        <v>353</v>
      </c>
      <c r="D5533" t="s">
        <v>9505</v>
      </c>
      <c r="E5533" t="s">
        <v>825</v>
      </c>
      <c r="F5533" s="46">
        <v>46097.325941481482</v>
      </c>
      <c r="G5533" s="46">
        <v>46097.325941481482</v>
      </c>
      <c r="H5533">
        <v>0</v>
      </c>
    </row>
    <row r="5534" spans="1:8" x14ac:dyDescent="0.15">
      <c r="A5534">
        <v>5533</v>
      </c>
      <c r="B5534" t="s">
        <v>339</v>
      </c>
      <c r="C5534" t="s">
        <v>353</v>
      </c>
      <c r="D5534" t="s">
        <v>9506</v>
      </c>
      <c r="E5534" t="s">
        <v>825</v>
      </c>
      <c r="F5534" s="46">
        <v>46097.325941481482</v>
      </c>
      <c r="G5534" s="46">
        <v>46097.325941481482</v>
      </c>
      <c r="H5534">
        <v>0</v>
      </c>
    </row>
    <row r="5535" spans="1:8" x14ac:dyDescent="0.15">
      <c r="A5535">
        <v>5534</v>
      </c>
      <c r="B5535" t="s">
        <v>339</v>
      </c>
      <c r="C5535" t="s">
        <v>353</v>
      </c>
      <c r="D5535" t="s">
        <v>9507</v>
      </c>
      <c r="E5535" t="s">
        <v>825</v>
      </c>
      <c r="F5535" s="46">
        <v>46097.325941481482</v>
      </c>
      <c r="G5535" s="46">
        <v>46097.325941481482</v>
      </c>
      <c r="H5535">
        <v>0</v>
      </c>
    </row>
    <row r="5536" spans="1:8" x14ac:dyDescent="0.15">
      <c r="A5536">
        <v>5535</v>
      </c>
      <c r="B5536" t="s">
        <v>339</v>
      </c>
      <c r="C5536" t="s">
        <v>353</v>
      </c>
      <c r="D5536" t="s">
        <v>9508</v>
      </c>
      <c r="E5536" t="s">
        <v>825</v>
      </c>
      <c r="F5536" s="46">
        <v>46097.325941481482</v>
      </c>
      <c r="G5536" s="46">
        <v>46097.325941481482</v>
      </c>
      <c r="H5536">
        <v>0</v>
      </c>
    </row>
    <row r="5537" spans="1:8" x14ac:dyDescent="0.15">
      <c r="A5537">
        <v>5536</v>
      </c>
      <c r="B5537" t="s">
        <v>339</v>
      </c>
      <c r="C5537" t="s">
        <v>353</v>
      </c>
      <c r="D5537" t="s">
        <v>9509</v>
      </c>
      <c r="E5537" t="s">
        <v>825</v>
      </c>
      <c r="F5537" s="46">
        <v>46097.325941481482</v>
      </c>
      <c r="G5537" s="46">
        <v>46097.325941481482</v>
      </c>
      <c r="H5537">
        <v>0</v>
      </c>
    </row>
    <row r="5538" spans="1:8" x14ac:dyDescent="0.15">
      <c r="A5538">
        <v>5537</v>
      </c>
      <c r="B5538" t="s">
        <v>339</v>
      </c>
      <c r="C5538" t="s">
        <v>353</v>
      </c>
      <c r="D5538" t="s">
        <v>9510</v>
      </c>
      <c r="E5538" t="s">
        <v>825</v>
      </c>
      <c r="F5538" s="46">
        <v>46097.325941481482</v>
      </c>
      <c r="G5538" s="46">
        <v>46097.325941481482</v>
      </c>
      <c r="H5538">
        <v>0</v>
      </c>
    </row>
    <row r="5539" spans="1:8" x14ac:dyDescent="0.15">
      <c r="A5539">
        <v>5538</v>
      </c>
      <c r="B5539" t="s">
        <v>339</v>
      </c>
      <c r="C5539" t="s">
        <v>353</v>
      </c>
      <c r="D5539" t="s">
        <v>9511</v>
      </c>
      <c r="E5539" t="s">
        <v>825</v>
      </c>
      <c r="F5539" s="46">
        <v>46097.325941481482</v>
      </c>
      <c r="G5539" s="46">
        <v>46097.32594166667</v>
      </c>
      <c r="H5539">
        <v>15</v>
      </c>
    </row>
    <row r="5540" spans="1:8" x14ac:dyDescent="0.15">
      <c r="A5540">
        <v>5539</v>
      </c>
      <c r="B5540" t="s">
        <v>339</v>
      </c>
      <c r="C5540" t="s">
        <v>353</v>
      </c>
      <c r="D5540" t="s">
        <v>9512</v>
      </c>
      <c r="E5540" t="s">
        <v>825</v>
      </c>
      <c r="F5540" s="46">
        <v>46097.32594166667</v>
      </c>
      <c r="G5540" s="46">
        <v>46097.32594166667</v>
      </c>
      <c r="H5540">
        <v>0</v>
      </c>
    </row>
    <row r="5541" spans="1:8" x14ac:dyDescent="0.15">
      <c r="A5541">
        <v>5540</v>
      </c>
      <c r="B5541" t="s">
        <v>339</v>
      </c>
      <c r="C5541" t="s">
        <v>353</v>
      </c>
      <c r="D5541" t="s">
        <v>9513</v>
      </c>
      <c r="E5541" t="s">
        <v>825</v>
      </c>
      <c r="F5541" s="46">
        <v>46097.32594166667</v>
      </c>
      <c r="G5541" s="46">
        <v>46097.32594166667</v>
      </c>
      <c r="H5541">
        <v>0</v>
      </c>
    </row>
    <row r="5542" spans="1:8" x14ac:dyDescent="0.15">
      <c r="A5542">
        <v>5541</v>
      </c>
      <c r="B5542" t="s">
        <v>339</v>
      </c>
      <c r="C5542" t="s">
        <v>353</v>
      </c>
      <c r="D5542" t="s">
        <v>9514</v>
      </c>
      <c r="E5542" t="s">
        <v>825</v>
      </c>
      <c r="F5542" s="46">
        <v>46097.32594166667</v>
      </c>
      <c r="G5542" s="46">
        <v>46097.32594166667</v>
      </c>
      <c r="H5542">
        <v>0</v>
      </c>
    </row>
    <row r="5543" spans="1:8" x14ac:dyDescent="0.15">
      <c r="A5543">
        <v>5542</v>
      </c>
      <c r="B5543" t="s">
        <v>339</v>
      </c>
      <c r="C5543" t="s">
        <v>353</v>
      </c>
      <c r="D5543" t="s">
        <v>9515</v>
      </c>
      <c r="E5543" t="s">
        <v>825</v>
      </c>
      <c r="F5543" s="46">
        <v>46097.32594166667</v>
      </c>
      <c r="G5543" s="46">
        <v>46097.32594166667</v>
      </c>
      <c r="H5543">
        <v>0</v>
      </c>
    </row>
    <row r="5544" spans="1:8" x14ac:dyDescent="0.15">
      <c r="A5544">
        <v>5543</v>
      </c>
      <c r="B5544" t="s">
        <v>339</v>
      </c>
      <c r="C5544" t="s">
        <v>353</v>
      </c>
      <c r="D5544" t="s">
        <v>9516</v>
      </c>
      <c r="E5544" t="s">
        <v>825</v>
      </c>
      <c r="F5544" s="46">
        <v>46097.32594166667</v>
      </c>
      <c r="G5544" s="46">
        <v>46097.32594166667</v>
      </c>
      <c r="H5544">
        <v>0</v>
      </c>
    </row>
    <row r="5545" spans="1:8" x14ac:dyDescent="0.15">
      <c r="A5545">
        <v>5544</v>
      </c>
      <c r="B5545" t="s">
        <v>339</v>
      </c>
      <c r="C5545" t="s">
        <v>353</v>
      </c>
      <c r="D5545" t="s">
        <v>9517</v>
      </c>
      <c r="E5545" t="s">
        <v>825</v>
      </c>
      <c r="F5545" s="46">
        <v>46097.32594166667</v>
      </c>
      <c r="G5545" s="46">
        <v>46097.32594166667</v>
      </c>
      <c r="H5545">
        <v>0</v>
      </c>
    </row>
    <row r="5546" spans="1:8" x14ac:dyDescent="0.15">
      <c r="A5546">
        <v>5545</v>
      </c>
      <c r="B5546" t="s">
        <v>339</v>
      </c>
      <c r="C5546" t="s">
        <v>353</v>
      </c>
      <c r="D5546" t="s">
        <v>9518</v>
      </c>
      <c r="E5546" t="s">
        <v>825</v>
      </c>
      <c r="F5546" s="46">
        <v>46097.32594166667</v>
      </c>
      <c r="G5546" s="46">
        <v>46097.32594166667</v>
      </c>
      <c r="H5546">
        <v>0</v>
      </c>
    </row>
    <row r="5547" spans="1:8" x14ac:dyDescent="0.15">
      <c r="A5547">
        <v>5546</v>
      </c>
      <c r="B5547" t="s">
        <v>339</v>
      </c>
      <c r="C5547" t="s">
        <v>353</v>
      </c>
      <c r="D5547" t="s">
        <v>9519</v>
      </c>
      <c r="E5547" t="s">
        <v>825</v>
      </c>
      <c r="F5547" s="46">
        <v>46097.32594166667</v>
      </c>
      <c r="G5547" s="46">
        <v>46097.32594166667</v>
      </c>
      <c r="H5547">
        <v>0</v>
      </c>
    </row>
    <row r="5548" spans="1:8" x14ac:dyDescent="0.15">
      <c r="A5548">
        <v>5547</v>
      </c>
      <c r="B5548" t="s">
        <v>339</v>
      </c>
      <c r="C5548" t="s">
        <v>353</v>
      </c>
      <c r="D5548" t="s">
        <v>9520</v>
      </c>
      <c r="E5548" t="s">
        <v>825</v>
      </c>
      <c r="F5548" s="46">
        <v>46097.32594166667</v>
      </c>
      <c r="G5548" s="46">
        <v>46097.32594166667</v>
      </c>
      <c r="H5548">
        <v>0</v>
      </c>
    </row>
    <row r="5549" spans="1:8" x14ac:dyDescent="0.15">
      <c r="A5549">
        <v>5548</v>
      </c>
      <c r="B5549" t="s">
        <v>339</v>
      </c>
      <c r="C5549" t="s">
        <v>353</v>
      </c>
      <c r="D5549" t="s">
        <v>9521</v>
      </c>
      <c r="E5549" t="s">
        <v>825</v>
      </c>
      <c r="F5549" s="46">
        <v>46097.32594166667</v>
      </c>
      <c r="G5549" s="46">
        <v>46097.325941840281</v>
      </c>
      <c r="H5549">
        <v>16</v>
      </c>
    </row>
    <row r="5550" spans="1:8" x14ac:dyDescent="0.15">
      <c r="A5550">
        <v>5549</v>
      </c>
      <c r="B5550" t="s">
        <v>339</v>
      </c>
      <c r="C5550" t="s">
        <v>353</v>
      </c>
      <c r="D5550" t="s">
        <v>9522</v>
      </c>
      <c r="E5550" t="s">
        <v>825</v>
      </c>
      <c r="F5550" s="46">
        <v>46097.325941840281</v>
      </c>
      <c r="G5550" s="46">
        <v>46097.325941840281</v>
      </c>
      <c r="H5550">
        <v>0</v>
      </c>
    </row>
    <row r="5551" spans="1:8" x14ac:dyDescent="0.15">
      <c r="A5551">
        <v>5550</v>
      </c>
      <c r="B5551" t="s">
        <v>339</v>
      </c>
      <c r="C5551" t="s">
        <v>353</v>
      </c>
      <c r="D5551" t="s">
        <v>9523</v>
      </c>
      <c r="E5551" t="s">
        <v>825</v>
      </c>
      <c r="F5551" s="46">
        <v>46097.325941840281</v>
      </c>
      <c r="G5551" s="46">
        <v>46097.325941840281</v>
      </c>
      <c r="H5551">
        <v>0</v>
      </c>
    </row>
    <row r="5552" spans="1:8" x14ac:dyDescent="0.15">
      <c r="A5552">
        <v>5551</v>
      </c>
      <c r="B5552" t="s">
        <v>339</v>
      </c>
      <c r="C5552" t="s">
        <v>353</v>
      </c>
      <c r="D5552" t="s">
        <v>9524</v>
      </c>
      <c r="E5552" t="s">
        <v>825</v>
      </c>
      <c r="F5552" s="46">
        <v>46097.325941840281</v>
      </c>
      <c r="G5552" s="46">
        <v>46097.325941840281</v>
      </c>
      <c r="H5552">
        <v>0</v>
      </c>
    </row>
    <row r="5553" spans="1:8" x14ac:dyDescent="0.15">
      <c r="A5553">
        <v>5552</v>
      </c>
      <c r="B5553" t="s">
        <v>339</v>
      </c>
      <c r="C5553" t="s">
        <v>353</v>
      </c>
      <c r="D5553" t="s">
        <v>9525</v>
      </c>
      <c r="E5553" t="s">
        <v>825</v>
      </c>
      <c r="F5553" s="46">
        <v>46097.325941840281</v>
      </c>
      <c r="G5553" s="46">
        <v>46097.325941840281</v>
      </c>
      <c r="H5553">
        <v>0</v>
      </c>
    </row>
    <row r="5554" spans="1:8" x14ac:dyDescent="0.15">
      <c r="A5554">
        <v>5553</v>
      </c>
      <c r="B5554" t="s">
        <v>339</v>
      </c>
      <c r="C5554" t="s">
        <v>353</v>
      </c>
      <c r="D5554" t="s">
        <v>9526</v>
      </c>
      <c r="E5554" t="s">
        <v>825</v>
      </c>
      <c r="F5554" s="46">
        <v>46097.325941840281</v>
      </c>
      <c r="G5554" s="46">
        <v>46097.325941840281</v>
      </c>
      <c r="H5554">
        <v>0</v>
      </c>
    </row>
    <row r="5555" spans="1:8" x14ac:dyDescent="0.15">
      <c r="A5555">
        <v>5554</v>
      </c>
      <c r="B5555" t="s">
        <v>339</v>
      </c>
      <c r="C5555" t="s">
        <v>353</v>
      </c>
      <c r="D5555" t="s">
        <v>9527</v>
      </c>
      <c r="E5555" t="s">
        <v>825</v>
      </c>
      <c r="F5555" s="46">
        <v>46097.325941840281</v>
      </c>
      <c r="G5555" s="46">
        <v>46097.325941840281</v>
      </c>
      <c r="H5555">
        <v>0</v>
      </c>
    </row>
    <row r="5556" spans="1:8" x14ac:dyDescent="0.15">
      <c r="A5556">
        <v>5555</v>
      </c>
      <c r="B5556" t="s">
        <v>339</v>
      </c>
      <c r="C5556" t="s">
        <v>353</v>
      </c>
      <c r="D5556" t="s">
        <v>9528</v>
      </c>
      <c r="E5556" t="s">
        <v>825</v>
      </c>
      <c r="F5556" s="46">
        <v>46097.325941840281</v>
      </c>
      <c r="G5556" s="46">
        <v>46097.325941840281</v>
      </c>
      <c r="H5556">
        <v>0</v>
      </c>
    </row>
    <row r="5557" spans="1:8" x14ac:dyDescent="0.15">
      <c r="A5557">
        <v>5556</v>
      </c>
      <c r="B5557" t="s">
        <v>339</v>
      </c>
      <c r="C5557" t="s">
        <v>353</v>
      </c>
      <c r="D5557" t="s">
        <v>9529</v>
      </c>
      <c r="E5557" t="s">
        <v>825</v>
      </c>
      <c r="F5557" s="46">
        <v>46097.325941840281</v>
      </c>
      <c r="G5557" s="46">
        <v>46097.325941840281</v>
      </c>
      <c r="H5557">
        <v>0</v>
      </c>
    </row>
    <row r="5558" spans="1:8" x14ac:dyDescent="0.15">
      <c r="A5558">
        <v>5557</v>
      </c>
      <c r="B5558" t="s">
        <v>339</v>
      </c>
      <c r="C5558" t="s">
        <v>353</v>
      </c>
      <c r="D5558" t="s">
        <v>9530</v>
      </c>
      <c r="E5558" t="s">
        <v>825</v>
      </c>
      <c r="F5558" s="46">
        <v>46097.325941840281</v>
      </c>
      <c r="G5558" s="46">
        <v>46097.325941840281</v>
      </c>
      <c r="H5558">
        <v>0</v>
      </c>
    </row>
    <row r="5559" spans="1:8" x14ac:dyDescent="0.15">
      <c r="A5559">
        <v>5558</v>
      </c>
      <c r="B5559" t="s">
        <v>339</v>
      </c>
      <c r="C5559" t="s">
        <v>353</v>
      </c>
      <c r="D5559" t="s">
        <v>9531</v>
      </c>
      <c r="E5559" t="s">
        <v>825</v>
      </c>
      <c r="F5559" s="46">
        <v>46097.325941840281</v>
      </c>
      <c r="G5559" s="46">
        <v>46097.325941840281</v>
      </c>
      <c r="H5559">
        <v>0</v>
      </c>
    </row>
    <row r="5560" spans="1:8" x14ac:dyDescent="0.15">
      <c r="A5560">
        <v>5559</v>
      </c>
      <c r="B5560" t="s">
        <v>339</v>
      </c>
      <c r="C5560" t="s">
        <v>353</v>
      </c>
      <c r="D5560" t="s">
        <v>9532</v>
      </c>
      <c r="E5560" t="s">
        <v>826</v>
      </c>
      <c r="F5560" s="46">
        <v>46097.325941840281</v>
      </c>
      <c r="G5560" s="46">
        <v>46097.325942025462</v>
      </c>
      <c r="H5560">
        <v>15</v>
      </c>
    </row>
    <row r="5561" spans="1:8" x14ac:dyDescent="0.15">
      <c r="A5561">
        <v>5560</v>
      </c>
      <c r="B5561" t="s">
        <v>339</v>
      </c>
      <c r="C5561" t="s">
        <v>353</v>
      </c>
      <c r="D5561" t="s">
        <v>9533</v>
      </c>
      <c r="E5561" t="s">
        <v>826</v>
      </c>
      <c r="F5561" s="46">
        <v>46097.325942025462</v>
      </c>
      <c r="G5561" s="46">
        <v>46097.325942025462</v>
      </c>
      <c r="H5561">
        <v>0</v>
      </c>
    </row>
    <row r="5562" spans="1:8" x14ac:dyDescent="0.15">
      <c r="A5562">
        <v>5561</v>
      </c>
      <c r="B5562" t="s">
        <v>339</v>
      </c>
      <c r="C5562" t="s">
        <v>353</v>
      </c>
      <c r="D5562" t="s">
        <v>9534</v>
      </c>
      <c r="E5562" t="s">
        <v>826</v>
      </c>
      <c r="F5562" s="46">
        <v>46097.325942025462</v>
      </c>
      <c r="G5562" s="46">
        <v>46097.325942025462</v>
      </c>
      <c r="H5562">
        <v>0</v>
      </c>
    </row>
    <row r="5563" spans="1:8" x14ac:dyDescent="0.15">
      <c r="A5563">
        <v>5562</v>
      </c>
      <c r="B5563" t="s">
        <v>339</v>
      </c>
      <c r="C5563" t="s">
        <v>353</v>
      </c>
      <c r="D5563" t="s">
        <v>9535</v>
      </c>
      <c r="E5563" t="s">
        <v>826</v>
      </c>
      <c r="F5563" s="46">
        <v>46097.325942025462</v>
      </c>
      <c r="G5563" s="46">
        <v>46097.325942025462</v>
      </c>
      <c r="H5563">
        <v>0</v>
      </c>
    </row>
    <row r="5564" spans="1:8" x14ac:dyDescent="0.15">
      <c r="A5564">
        <v>5563</v>
      </c>
      <c r="B5564" t="s">
        <v>339</v>
      </c>
      <c r="C5564" t="s">
        <v>353</v>
      </c>
      <c r="D5564" t="s">
        <v>9536</v>
      </c>
      <c r="E5564" t="s">
        <v>826</v>
      </c>
      <c r="F5564" s="46">
        <v>46097.325942025462</v>
      </c>
      <c r="G5564" s="46">
        <v>46097.325942025462</v>
      </c>
      <c r="H5564">
        <v>0</v>
      </c>
    </row>
    <row r="5565" spans="1:8" x14ac:dyDescent="0.15">
      <c r="A5565">
        <v>5564</v>
      </c>
      <c r="B5565" t="s">
        <v>339</v>
      </c>
      <c r="C5565" t="s">
        <v>353</v>
      </c>
      <c r="D5565" t="s">
        <v>9537</v>
      </c>
      <c r="E5565" t="s">
        <v>826</v>
      </c>
      <c r="F5565" s="46">
        <v>46097.325942025462</v>
      </c>
      <c r="G5565" s="46">
        <v>46097.325942025462</v>
      </c>
      <c r="H5565">
        <v>0</v>
      </c>
    </row>
    <row r="5566" spans="1:8" x14ac:dyDescent="0.15">
      <c r="A5566">
        <v>5565</v>
      </c>
      <c r="B5566" t="s">
        <v>339</v>
      </c>
      <c r="C5566" t="s">
        <v>353</v>
      </c>
      <c r="D5566" t="s">
        <v>9538</v>
      </c>
      <c r="E5566" t="s">
        <v>9539</v>
      </c>
      <c r="F5566" s="46">
        <v>46097.325942025462</v>
      </c>
      <c r="G5566" s="46">
        <v>46097.325942025462</v>
      </c>
      <c r="H5566">
        <v>0</v>
      </c>
    </row>
    <row r="5567" spans="1:8" x14ac:dyDescent="0.15">
      <c r="A5567">
        <v>5566</v>
      </c>
      <c r="B5567" t="s">
        <v>339</v>
      </c>
      <c r="C5567" t="s">
        <v>353</v>
      </c>
      <c r="D5567" t="s">
        <v>9540</v>
      </c>
      <c r="E5567" t="s">
        <v>9541</v>
      </c>
      <c r="F5567" s="46">
        <v>46097.325942025462</v>
      </c>
      <c r="G5567" s="46">
        <v>46097.325942025462</v>
      </c>
      <c r="H5567">
        <v>0</v>
      </c>
    </row>
    <row r="5568" spans="1:8" x14ac:dyDescent="0.15">
      <c r="A5568">
        <v>5567</v>
      </c>
      <c r="B5568" t="s">
        <v>339</v>
      </c>
      <c r="C5568" t="s">
        <v>353</v>
      </c>
      <c r="D5568" t="s">
        <v>9542</v>
      </c>
      <c r="E5568" t="s">
        <v>9543</v>
      </c>
      <c r="F5568" s="46">
        <v>46097.325942025462</v>
      </c>
      <c r="G5568" s="46">
        <v>46097.325942025462</v>
      </c>
      <c r="H5568">
        <v>0</v>
      </c>
    </row>
    <row r="5569" spans="1:8" x14ac:dyDescent="0.15">
      <c r="A5569">
        <v>5568</v>
      </c>
      <c r="B5569" t="s">
        <v>339</v>
      </c>
      <c r="C5569" t="s">
        <v>353</v>
      </c>
      <c r="D5569" t="s">
        <v>9544</v>
      </c>
      <c r="E5569" t="s">
        <v>9545</v>
      </c>
      <c r="F5569" s="46">
        <v>46097.325942025462</v>
      </c>
      <c r="G5569" s="46">
        <v>46097.325942025462</v>
      </c>
      <c r="H5569">
        <v>0</v>
      </c>
    </row>
    <row r="5570" spans="1:8" x14ac:dyDescent="0.15">
      <c r="A5570">
        <v>5569</v>
      </c>
      <c r="B5570" t="s">
        <v>339</v>
      </c>
      <c r="C5570" t="s">
        <v>353</v>
      </c>
      <c r="D5570" t="s">
        <v>9546</v>
      </c>
      <c r="E5570" t="s">
        <v>9547</v>
      </c>
      <c r="F5570" s="46">
        <v>46097.325942025462</v>
      </c>
      <c r="G5570" s="46">
        <v>46097.325942210649</v>
      </c>
      <c r="H5570">
        <v>16</v>
      </c>
    </row>
    <row r="5571" spans="1:8" x14ac:dyDescent="0.15">
      <c r="A5571">
        <v>5570</v>
      </c>
      <c r="B5571" t="s">
        <v>339</v>
      </c>
      <c r="C5571" t="s">
        <v>353</v>
      </c>
      <c r="D5571" t="s">
        <v>9548</v>
      </c>
      <c r="E5571" t="s">
        <v>9549</v>
      </c>
      <c r="F5571" s="46">
        <v>46097.325942210649</v>
      </c>
      <c r="G5571" s="46">
        <v>46097.325942210649</v>
      </c>
      <c r="H5571">
        <v>0</v>
      </c>
    </row>
    <row r="5572" spans="1:8" x14ac:dyDescent="0.15">
      <c r="A5572">
        <v>5571</v>
      </c>
      <c r="B5572" t="s">
        <v>339</v>
      </c>
      <c r="C5572" t="s">
        <v>353</v>
      </c>
      <c r="D5572" t="s">
        <v>9550</v>
      </c>
      <c r="E5572" t="s">
        <v>9551</v>
      </c>
      <c r="F5572" s="46">
        <v>46097.325942210649</v>
      </c>
      <c r="G5572" s="46">
        <v>46097.325942210649</v>
      </c>
      <c r="H5572">
        <v>0</v>
      </c>
    </row>
    <row r="5573" spans="1:8" x14ac:dyDescent="0.15">
      <c r="A5573">
        <v>5572</v>
      </c>
      <c r="B5573" t="s">
        <v>339</v>
      </c>
      <c r="C5573" t="s">
        <v>353</v>
      </c>
      <c r="D5573" t="s">
        <v>9552</v>
      </c>
      <c r="E5573" t="s">
        <v>9551</v>
      </c>
      <c r="F5573" s="46">
        <v>46097.325942210649</v>
      </c>
      <c r="G5573" s="46">
        <v>46097.325942210649</v>
      </c>
      <c r="H5573">
        <v>0</v>
      </c>
    </row>
    <row r="5574" spans="1:8" x14ac:dyDescent="0.15">
      <c r="A5574">
        <v>5573</v>
      </c>
      <c r="B5574" t="s">
        <v>339</v>
      </c>
      <c r="C5574" t="s">
        <v>353</v>
      </c>
      <c r="D5574" t="s">
        <v>9553</v>
      </c>
      <c r="E5574" t="s">
        <v>9551</v>
      </c>
      <c r="F5574" s="46">
        <v>46097.325942210649</v>
      </c>
      <c r="G5574" s="46">
        <v>46097.325942210649</v>
      </c>
      <c r="H5574">
        <v>0</v>
      </c>
    </row>
    <row r="5575" spans="1:8" x14ac:dyDescent="0.15">
      <c r="A5575">
        <v>5574</v>
      </c>
      <c r="B5575" t="s">
        <v>339</v>
      </c>
      <c r="C5575" t="s">
        <v>353</v>
      </c>
      <c r="D5575" t="s">
        <v>9554</v>
      </c>
      <c r="E5575" t="s">
        <v>9551</v>
      </c>
      <c r="F5575" s="46">
        <v>46097.325942210649</v>
      </c>
      <c r="G5575" s="46">
        <v>46097.325942210649</v>
      </c>
      <c r="H5575">
        <v>0</v>
      </c>
    </row>
    <row r="5576" spans="1:8" x14ac:dyDescent="0.15">
      <c r="A5576">
        <v>5575</v>
      </c>
      <c r="B5576" t="s">
        <v>339</v>
      </c>
      <c r="C5576" t="s">
        <v>353</v>
      </c>
      <c r="D5576" t="s">
        <v>9555</v>
      </c>
      <c r="E5576" t="s">
        <v>9551</v>
      </c>
      <c r="F5576" s="46">
        <v>46097.325942210649</v>
      </c>
      <c r="G5576" s="46">
        <v>46097.325942210649</v>
      </c>
      <c r="H5576">
        <v>0</v>
      </c>
    </row>
    <row r="5577" spans="1:8" x14ac:dyDescent="0.15">
      <c r="A5577">
        <v>5576</v>
      </c>
      <c r="B5577" t="s">
        <v>339</v>
      </c>
      <c r="C5577" t="s">
        <v>353</v>
      </c>
      <c r="D5577" t="s">
        <v>9556</v>
      </c>
      <c r="E5577" t="s">
        <v>9557</v>
      </c>
      <c r="F5577" s="46">
        <v>46097.325942210649</v>
      </c>
      <c r="G5577" s="46">
        <v>46097.325942210649</v>
      </c>
      <c r="H5577">
        <v>0</v>
      </c>
    </row>
    <row r="5578" spans="1:8" x14ac:dyDescent="0.15">
      <c r="A5578">
        <v>5577</v>
      </c>
      <c r="B5578" t="s">
        <v>339</v>
      </c>
      <c r="C5578" t="s">
        <v>353</v>
      </c>
      <c r="D5578" t="s">
        <v>9558</v>
      </c>
      <c r="E5578" t="s">
        <v>9559</v>
      </c>
      <c r="F5578" s="46">
        <v>46097.325942210649</v>
      </c>
      <c r="G5578" s="46">
        <v>46097.325942210649</v>
      </c>
      <c r="H5578">
        <v>0</v>
      </c>
    </row>
    <row r="5579" spans="1:8" x14ac:dyDescent="0.15">
      <c r="A5579">
        <v>5578</v>
      </c>
      <c r="B5579" t="s">
        <v>339</v>
      </c>
      <c r="C5579" t="s">
        <v>353</v>
      </c>
      <c r="D5579" t="s">
        <v>9560</v>
      </c>
      <c r="E5579" t="s">
        <v>9561</v>
      </c>
      <c r="F5579" s="46">
        <v>46097.325942210649</v>
      </c>
      <c r="G5579" s="46">
        <v>46097.325942210649</v>
      </c>
      <c r="H5579">
        <v>0</v>
      </c>
    </row>
    <row r="5580" spans="1:8" x14ac:dyDescent="0.15">
      <c r="A5580">
        <v>5579</v>
      </c>
      <c r="B5580" t="s">
        <v>339</v>
      </c>
      <c r="C5580" t="s">
        <v>353</v>
      </c>
      <c r="D5580" t="s">
        <v>9562</v>
      </c>
      <c r="E5580" t="s">
        <v>9561</v>
      </c>
      <c r="F5580" s="46">
        <v>46097.325942210649</v>
      </c>
      <c r="G5580" s="46">
        <v>46097.325942210649</v>
      </c>
      <c r="H5580">
        <v>0</v>
      </c>
    </row>
    <row r="5581" spans="1:8" x14ac:dyDescent="0.15">
      <c r="A5581">
        <v>5580</v>
      </c>
      <c r="B5581" t="s">
        <v>339</v>
      </c>
      <c r="C5581" t="s">
        <v>353</v>
      </c>
      <c r="D5581" t="s">
        <v>9563</v>
      </c>
      <c r="E5581" t="s">
        <v>9561</v>
      </c>
      <c r="F5581" s="46">
        <v>46097.325942210649</v>
      </c>
      <c r="G5581" s="46">
        <v>46097.325942384261</v>
      </c>
      <c r="H5581">
        <v>16</v>
      </c>
    </row>
    <row r="5582" spans="1:8" x14ac:dyDescent="0.15">
      <c r="A5582">
        <v>5581</v>
      </c>
      <c r="B5582" t="s">
        <v>339</v>
      </c>
      <c r="C5582" t="s">
        <v>353</v>
      </c>
      <c r="D5582" t="s">
        <v>9564</v>
      </c>
      <c r="E5582" t="s">
        <v>9565</v>
      </c>
      <c r="F5582" s="46">
        <v>46097.325942384261</v>
      </c>
      <c r="G5582" s="46">
        <v>46097.325942384261</v>
      </c>
      <c r="H5582">
        <v>0</v>
      </c>
    </row>
    <row r="5583" spans="1:8" x14ac:dyDescent="0.15">
      <c r="A5583">
        <v>5582</v>
      </c>
      <c r="B5583" t="s">
        <v>339</v>
      </c>
      <c r="C5583" t="s">
        <v>353</v>
      </c>
      <c r="D5583" t="s">
        <v>9566</v>
      </c>
      <c r="E5583" t="s">
        <v>9565</v>
      </c>
      <c r="F5583" s="46">
        <v>46097.325942384261</v>
      </c>
      <c r="G5583" s="46">
        <v>46097.325942384261</v>
      </c>
      <c r="H5583">
        <v>0</v>
      </c>
    </row>
    <row r="5584" spans="1:8" x14ac:dyDescent="0.15">
      <c r="A5584">
        <v>5583</v>
      </c>
      <c r="B5584" t="s">
        <v>339</v>
      </c>
      <c r="C5584" t="s">
        <v>353</v>
      </c>
      <c r="D5584" t="s">
        <v>9567</v>
      </c>
      <c r="E5584" t="s">
        <v>9565</v>
      </c>
      <c r="F5584" s="46">
        <v>46097.325942384261</v>
      </c>
      <c r="G5584" s="46">
        <v>46097.325942384261</v>
      </c>
      <c r="H5584">
        <v>0</v>
      </c>
    </row>
    <row r="5585" spans="1:8" x14ac:dyDescent="0.15">
      <c r="A5585">
        <v>5584</v>
      </c>
      <c r="B5585" t="s">
        <v>339</v>
      </c>
      <c r="C5585" t="s">
        <v>353</v>
      </c>
      <c r="D5585" t="s">
        <v>9568</v>
      </c>
      <c r="E5585" t="s">
        <v>9569</v>
      </c>
      <c r="F5585" s="46">
        <v>46097.325942384261</v>
      </c>
      <c r="G5585" s="46">
        <v>46097.325942384261</v>
      </c>
      <c r="H5585">
        <v>0</v>
      </c>
    </row>
    <row r="5586" spans="1:8" x14ac:dyDescent="0.15">
      <c r="A5586">
        <v>5585</v>
      </c>
      <c r="B5586" t="s">
        <v>339</v>
      </c>
      <c r="C5586" t="s">
        <v>353</v>
      </c>
      <c r="D5586" t="s">
        <v>9570</v>
      </c>
      <c r="E5586" t="s">
        <v>9569</v>
      </c>
      <c r="F5586" s="46">
        <v>46097.325942384261</v>
      </c>
      <c r="G5586" s="46">
        <v>46097.325942384261</v>
      </c>
      <c r="H5586">
        <v>0</v>
      </c>
    </row>
    <row r="5587" spans="1:8" x14ac:dyDescent="0.15">
      <c r="A5587">
        <v>5586</v>
      </c>
      <c r="B5587" t="s">
        <v>339</v>
      </c>
      <c r="C5587" t="s">
        <v>353</v>
      </c>
      <c r="D5587" t="s">
        <v>9571</v>
      </c>
      <c r="E5587" t="s">
        <v>9569</v>
      </c>
      <c r="F5587" s="46">
        <v>46097.325942384261</v>
      </c>
      <c r="G5587" s="46">
        <v>46097.325942384261</v>
      </c>
      <c r="H5587">
        <v>0</v>
      </c>
    </row>
    <row r="5588" spans="1:8" x14ac:dyDescent="0.15">
      <c r="A5588">
        <v>5587</v>
      </c>
      <c r="B5588" t="s">
        <v>339</v>
      </c>
      <c r="C5588" t="s">
        <v>353</v>
      </c>
      <c r="D5588" t="s">
        <v>9572</v>
      </c>
      <c r="E5588" t="s">
        <v>9569</v>
      </c>
      <c r="F5588" s="46">
        <v>46097.325942384261</v>
      </c>
      <c r="G5588" s="46">
        <v>46097.325942384261</v>
      </c>
      <c r="H5588">
        <v>0</v>
      </c>
    </row>
    <row r="5589" spans="1:8" x14ac:dyDescent="0.15">
      <c r="A5589">
        <v>5588</v>
      </c>
      <c r="B5589" t="s">
        <v>339</v>
      </c>
      <c r="C5589" t="s">
        <v>353</v>
      </c>
      <c r="D5589" t="s">
        <v>9573</v>
      </c>
      <c r="E5589" t="s">
        <v>9569</v>
      </c>
      <c r="F5589" s="46">
        <v>46097.325942384261</v>
      </c>
      <c r="G5589" s="46">
        <v>46097.325942384261</v>
      </c>
      <c r="H5589">
        <v>0</v>
      </c>
    </row>
    <row r="5590" spans="1:8" x14ac:dyDescent="0.15">
      <c r="A5590">
        <v>5589</v>
      </c>
      <c r="B5590" t="s">
        <v>339</v>
      </c>
      <c r="C5590" t="s">
        <v>353</v>
      </c>
      <c r="D5590" t="s">
        <v>9574</v>
      </c>
      <c r="E5590" t="s">
        <v>9569</v>
      </c>
      <c r="F5590" s="46">
        <v>46097.325942384261</v>
      </c>
      <c r="G5590" s="46">
        <v>46097.325942384261</v>
      </c>
      <c r="H5590">
        <v>0</v>
      </c>
    </row>
    <row r="5591" spans="1:8" x14ac:dyDescent="0.15">
      <c r="A5591">
        <v>5590</v>
      </c>
      <c r="B5591" t="s">
        <v>339</v>
      </c>
      <c r="C5591" t="s">
        <v>353</v>
      </c>
      <c r="D5591" t="s">
        <v>9575</v>
      </c>
      <c r="E5591" t="s">
        <v>9576</v>
      </c>
      <c r="F5591" s="46">
        <v>46097.325942384261</v>
      </c>
      <c r="G5591" s="46">
        <v>46097.325942569441</v>
      </c>
      <c r="H5591">
        <v>15</v>
      </c>
    </row>
    <row r="5592" spans="1:8" x14ac:dyDescent="0.15">
      <c r="A5592">
        <v>5591</v>
      </c>
      <c r="B5592" t="s">
        <v>339</v>
      </c>
      <c r="C5592" t="s">
        <v>353</v>
      </c>
      <c r="D5592" t="s">
        <v>9577</v>
      </c>
      <c r="E5592" t="s">
        <v>9576</v>
      </c>
      <c r="F5592" s="46">
        <v>46097.325942569441</v>
      </c>
      <c r="G5592" s="46">
        <v>46097.325942569441</v>
      </c>
      <c r="H5592">
        <v>0</v>
      </c>
    </row>
    <row r="5593" spans="1:8" x14ac:dyDescent="0.15">
      <c r="A5593">
        <v>5592</v>
      </c>
      <c r="B5593" t="s">
        <v>339</v>
      </c>
      <c r="C5593" t="s">
        <v>353</v>
      </c>
      <c r="D5593" t="s">
        <v>9578</v>
      </c>
      <c r="E5593" t="s">
        <v>828</v>
      </c>
      <c r="F5593" s="46">
        <v>46097.325942569441</v>
      </c>
      <c r="G5593" s="46">
        <v>46097.325942569441</v>
      </c>
      <c r="H5593">
        <v>0</v>
      </c>
    </row>
    <row r="5594" spans="1:8" x14ac:dyDescent="0.15">
      <c r="A5594">
        <v>5593</v>
      </c>
      <c r="B5594" t="s">
        <v>339</v>
      </c>
      <c r="C5594" t="s">
        <v>353</v>
      </c>
      <c r="D5594" t="s">
        <v>9579</v>
      </c>
      <c r="E5594" t="s">
        <v>828</v>
      </c>
      <c r="F5594" s="46">
        <v>46097.325942569441</v>
      </c>
      <c r="G5594" s="46">
        <v>46097.325942569441</v>
      </c>
      <c r="H5594">
        <v>0</v>
      </c>
    </row>
    <row r="5595" spans="1:8" x14ac:dyDescent="0.15">
      <c r="A5595">
        <v>5594</v>
      </c>
      <c r="B5595" t="s">
        <v>339</v>
      </c>
      <c r="C5595" t="s">
        <v>353</v>
      </c>
      <c r="D5595" t="s">
        <v>9580</v>
      </c>
      <c r="E5595" t="s">
        <v>828</v>
      </c>
      <c r="F5595" s="46">
        <v>46097.325942569441</v>
      </c>
      <c r="G5595" s="46">
        <v>46097.325942569441</v>
      </c>
      <c r="H5595">
        <v>0</v>
      </c>
    </row>
    <row r="5596" spans="1:8" x14ac:dyDescent="0.15">
      <c r="A5596">
        <v>5595</v>
      </c>
      <c r="B5596" t="s">
        <v>339</v>
      </c>
      <c r="C5596" t="s">
        <v>353</v>
      </c>
      <c r="D5596" t="s">
        <v>9581</v>
      </c>
      <c r="E5596" t="s">
        <v>828</v>
      </c>
      <c r="F5596" s="46">
        <v>46097.325942569441</v>
      </c>
      <c r="G5596" s="46">
        <v>46097.325942569441</v>
      </c>
      <c r="H5596">
        <v>0</v>
      </c>
    </row>
    <row r="5597" spans="1:8" x14ac:dyDescent="0.15">
      <c r="A5597">
        <v>5596</v>
      </c>
      <c r="B5597" t="s">
        <v>339</v>
      </c>
      <c r="C5597" t="s">
        <v>353</v>
      </c>
      <c r="D5597" t="s">
        <v>9582</v>
      </c>
      <c r="E5597" t="s">
        <v>828</v>
      </c>
      <c r="F5597" s="46">
        <v>46097.325942569441</v>
      </c>
      <c r="G5597" s="46">
        <v>46097.325942569441</v>
      </c>
      <c r="H5597">
        <v>0</v>
      </c>
    </row>
    <row r="5598" spans="1:8" x14ac:dyDescent="0.15">
      <c r="A5598">
        <v>5597</v>
      </c>
      <c r="B5598" t="s">
        <v>339</v>
      </c>
      <c r="C5598" t="s">
        <v>353</v>
      </c>
      <c r="D5598" t="s">
        <v>9583</v>
      </c>
      <c r="E5598" t="s">
        <v>828</v>
      </c>
      <c r="F5598" s="46">
        <v>46097.325942569441</v>
      </c>
      <c r="G5598" s="46">
        <v>46097.325942569441</v>
      </c>
      <c r="H5598">
        <v>0</v>
      </c>
    </row>
    <row r="5599" spans="1:8" x14ac:dyDescent="0.15">
      <c r="A5599">
        <v>5598</v>
      </c>
      <c r="B5599" t="s">
        <v>339</v>
      </c>
      <c r="C5599" t="s">
        <v>353</v>
      </c>
      <c r="D5599" t="s">
        <v>9584</v>
      </c>
      <c r="E5599" t="s">
        <v>828</v>
      </c>
      <c r="F5599" s="46">
        <v>46097.325942569441</v>
      </c>
      <c r="G5599" s="46">
        <v>46097.325942569441</v>
      </c>
      <c r="H5599">
        <v>0</v>
      </c>
    </row>
    <row r="5600" spans="1:8" x14ac:dyDescent="0.15">
      <c r="A5600">
        <v>5599</v>
      </c>
      <c r="B5600" t="s">
        <v>339</v>
      </c>
      <c r="C5600" t="s">
        <v>353</v>
      </c>
      <c r="D5600" t="s">
        <v>9585</v>
      </c>
      <c r="E5600" t="s">
        <v>828</v>
      </c>
      <c r="F5600" s="46">
        <v>46097.325942569441</v>
      </c>
      <c r="G5600" s="46">
        <v>46097.325942569441</v>
      </c>
      <c r="H5600">
        <v>0</v>
      </c>
    </row>
    <row r="5601" spans="1:8" x14ac:dyDescent="0.15">
      <c r="A5601">
        <v>5600</v>
      </c>
      <c r="B5601" t="s">
        <v>339</v>
      </c>
      <c r="C5601" t="s">
        <v>353</v>
      </c>
      <c r="D5601" t="s">
        <v>9586</v>
      </c>
      <c r="E5601" t="s">
        <v>9587</v>
      </c>
      <c r="F5601" s="46">
        <v>46097.325942569441</v>
      </c>
      <c r="G5601" s="46">
        <v>46097.325942569441</v>
      </c>
      <c r="H5601">
        <v>0</v>
      </c>
    </row>
    <row r="5602" spans="1:8" x14ac:dyDescent="0.15">
      <c r="A5602">
        <v>5601</v>
      </c>
      <c r="B5602" t="s">
        <v>339</v>
      </c>
      <c r="C5602" t="s">
        <v>353</v>
      </c>
      <c r="D5602" t="s">
        <v>9588</v>
      </c>
      <c r="E5602" t="s">
        <v>9587</v>
      </c>
      <c r="F5602" s="46">
        <v>46097.325942569441</v>
      </c>
      <c r="G5602" s="46">
        <v>46097.325942743053</v>
      </c>
      <c r="H5602">
        <v>16</v>
      </c>
    </row>
    <row r="5603" spans="1:8" x14ac:dyDescent="0.15">
      <c r="A5603">
        <v>5602</v>
      </c>
      <c r="B5603" t="s">
        <v>339</v>
      </c>
      <c r="C5603" t="s">
        <v>353</v>
      </c>
      <c r="D5603" t="s">
        <v>9589</v>
      </c>
      <c r="E5603" t="s">
        <v>9587</v>
      </c>
      <c r="F5603" s="46">
        <v>46097.325942743053</v>
      </c>
      <c r="G5603" s="46">
        <v>46097.325942743053</v>
      </c>
      <c r="H5603">
        <v>0</v>
      </c>
    </row>
    <row r="5604" spans="1:8" x14ac:dyDescent="0.15">
      <c r="A5604">
        <v>5603</v>
      </c>
      <c r="B5604" t="s">
        <v>339</v>
      </c>
      <c r="C5604" t="s">
        <v>353</v>
      </c>
      <c r="D5604" t="s">
        <v>9590</v>
      </c>
      <c r="E5604" t="s">
        <v>829</v>
      </c>
      <c r="F5604" s="46">
        <v>46097.325942743053</v>
      </c>
      <c r="G5604" s="46">
        <v>46097.325942743053</v>
      </c>
      <c r="H5604">
        <v>0</v>
      </c>
    </row>
    <row r="5605" spans="1:8" x14ac:dyDescent="0.15">
      <c r="A5605">
        <v>5604</v>
      </c>
      <c r="B5605" t="s">
        <v>339</v>
      </c>
      <c r="C5605" t="s">
        <v>353</v>
      </c>
      <c r="D5605" t="s">
        <v>9591</v>
      </c>
      <c r="E5605" t="s">
        <v>829</v>
      </c>
      <c r="F5605" s="46">
        <v>46097.325942743053</v>
      </c>
      <c r="G5605" s="46">
        <v>46097.325942743053</v>
      </c>
      <c r="H5605">
        <v>0</v>
      </c>
    </row>
    <row r="5606" spans="1:8" x14ac:dyDescent="0.15">
      <c r="A5606">
        <v>5605</v>
      </c>
      <c r="B5606" t="s">
        <v>339</v>
      </c>
      <c r="C5606" t="s">
        <v>353</v>
      </c>
      <c r="D5606" t="s">
        <v>9592</v>
      </c>
      <c r="E5606" t="s">
        <v>9593</v>
      </c>
      <c r="F5606" s="46">
        <v>46097.325942743053</v>
      </c>
      <c r="G5606" s="46">
        <v>46097.325942743053</v>
      </c>
      <c r="H5606">
        <v>0</v>
      </c>
    </row>
    <row r="5607" spans="1:8" x14ac:dyDescent="0.15">
      <c r="A5607">
        <v>5606</v>
      </c>
      <c r="B5607" t="s">
        <v>339</v>
      </c>
      <c r="C5607" t="s">
        <v>353</v>
      </c>
      <c r="D5607" t="s">
        <v>9594</v>
      </c>
      <c r="E5607" t="s">
        <v>830</v>
      </c>
      <c r="F5607" s="46">
        <v>46097.325942743053</v>
      </c>
      <c r="G5607" s="46">
        <v>46097.325942743053</v>
      </c>
      <c r="H5607">
        <v>0</v>
      </c>
    </row>
    <row r="5608" spans="1:8" x14ac:dyDescent="0.15">
      <c r="A5608">
        <v>5607</v>
      </c>
      <c r="B5608" t="s">
        <v>339</v>
      </c>
      <c r="C5608" t="s">
        <v>353</v>
      </c>
      <c r="D5608" t="s">
        <v>9595</v>
      </c>
      <c r="E5608" t="s">
        <v>830</v>
      </c>
      <c r="F5608" s="46">
        <v>46097.325942743053</v>
      </c>
      <c r="G5608" s="46">
        <v>46097.325942743053</v>
      </c>
      <c r="H5608">
        <v>0</v>
      </c>
    </row>
    <row r="5609" spans="1:8" x14ac:dyDescent="0.15">
      <c r="A5609">
        <v>5608</v>
      </c>
      <c r="B5609" t="s">
        <v>339</v>
      </c>
      <c r="C5609" t="s">
        <v>353</v>
      </c>
      <c r="D5609" t="s">
        <v>9596</v>
      </c>
      <c r="E5609" t="s">
        <v>830</v>
      </c>
      <c r="F5609" s="46">
        <v>46097.325942743053</v>
      </c>
      <c r="G5609" s="46">
        <v>46097.325942743053</v>
      </c>
      <c r="H5609">
        <v>0</v>
      </c>
    </row>
    <row r="5610" spans="1:8" x14ac:dyDescent="0.15">
      <c r="A5610">
        <v>5609</v>
      </c>
      <c r="B5610" t="s">
        <v>339</v>
      </c>
      <c r="C5610" t="s">
        <v>353</v>
      </c>
      <c r="D5610" t="s">
        <v>9597</v>
      </c>
      <c r="E5610" t="s">
        <v>830</v>
      </c>
      <c r="F5610" s="46">
        <v>46097.325942743053</v>
      </c>
      <c r="G5610" s="46">
        <v>46097.325942743053</v>
      </c>
      <c r="H5610">
        <v>0</v>
      </c>
    </row>
    <row r="5611" spans="1:8" x14ac:dyDescent="0.15">
      <c r="A5611">
        <v>5610</v>
      </c>
      <c r="B5611" t="s">
        <v>339</v>
      </c>
      <c r="C5611" t="s">
        <v>353</v>
      </c>
      <c r="D5611" t="s">
        <v>9598</v>
      </c>
      <c r="E5611" t="s">
        <v>830</v>
      </c>
      <c r="F5611" s="46">
        <v>46097.325942743053</v>
      </c>
      <c r="G5611" s="46">
        <v>46097.325942743053</v>
      </c>
      <c r="H5611">
        <v>0</v>
      </c>
    </row>
    <row r="5612" spans="1:8" x14ac:dyDescent="0.15">
      <c r="A5612">
        <v>5611</v>
      </c>
      <c r="B5612" t="s">
        <v>339</v>
      </c>
      <c r="C5612" t="s">
        <v>353</v>
      </c>
      <c r="D5612" t="s">
        <v>9599</v>
      </c>
      <c r="E5612" t="s">
        <v>830</v>
      </c>
      <c r="F5612" s="46">
        <v>46097.325942743053</v>
      </c>
      <c r="G5612" s="46">
        <v>46097.325942928241</v>
      </c>
      <c r="H5612">
        <v>16</v>
      </c>
    </row>
    <row r="5613" spans="1:8" x14ac:dyDescent="0.15">
      <c r="A5613">
        <v>5612</v>
      </c>
      <c r="B5613" t="s">
        <v>339</v>
      </c>
      <c r="C5613" t="s">
        <v>353</v>
      </c>
      <c r="D5613" t="s">
        <v>9600</v>
      </c>
      <c r="E5613" t="s">
        <v>830</v>
      </c>
      <c r="F5613" s="46">
        <v>46097.325942928241</v>
      </c>
      <c r="G5613" s="46">
        <v>46097.325942928241</v>
      </c>
      <c r="H5613">
        <v>0</v>
      </c>
    </row>
    <row r="5614" spans="1:8" x14ac:dyDescent="0.15">
      <c r="A5614">
        <v>5613</v>
      </c>
      <c r="B5614" t="s">
        <v>339</v>
      </c>
      <c r="C5614" t="s">
        <v>353</v>
      </c>
      <c r="D5614" t="s">
        <v>9601</v>
      </c>
      <c r="E5614" t="s">
        <v>830</v>
      </c>
      <c r="F5614" s="46">
        <v>46097.325942928241</v>
      </c>
      <c r="G5614" s="46">
        <v>46097.325942928241</v>
      </c>
      <c r="H5614">
        <v>0</v>
      </c>
    </row>
    <row r="5615" spans="1:8" x14ac:dyDescent="0.15">
      <c r="A5615">
        <v>5614</v>
      </c>
      <c r="B5615" t="s">
        <v>339</v>
      </c>
      <c r="C5615" t="s">
        <v>353</v>
      </c>
      <c r="D5615" t="s">
        <v>9602</v>
      </c>
      <c r="E5615" t="s">
        <v>830</v>
      </c>
      <c r="F5615" s="46">
        <v>46097.325942928241</v>
      </c>
      <c r="G5615" s="46">
        <v>46097.325942928241</v>
      </c>
      <c r="H5615">
        <v>0</v>
      </c>
    </row>
    <row r="5616" spans="1:8" x14ac:dyDescent="0.15">
      <c r="A5616">
        <v>5615</v>
      </c>
      <c r="B5616" t="s">
        <v>339</v>
      </c>
      <c r="C5616" t="s">
        <v>353</v>
      </c>
      <c r="D5616" t="s">
        <v>9603</v>
      </c>
      <c r="E5616" t="s">
        <v>830</v>
      </c>
      <c r="F5616" s="46">
        <v>46097.325942928241</v>
      </c>
      <c r="G5616" s="46">
        <v>46097.325942928241</v>
      </c>
      <c r="H5616">
        <v>0</v>
      </c>
    </row>
    <row r="5617" spans="1:8" x14ac:dyDescent="0.15">
      <c r="A5617">
        <v>5616</v>
      </c>
      <c r="B5617" t="s">
        <v>339</v>
      </c>
      <c r="C5617" t="s">
        <v>353</v>
      </c>
      <c r="D5617" t="s">
        <v>9604</v>
      </c>
      <c r="E5617" t="s">
        <v>830</v>
      </c>
      <c r="F5617" s="46">
        <v>46097.325942928241</v>
      </c>
      <c r="G5617" s="46">
        <v>46097.325942928241</v>
      </c>
      <c r="H5617">
        <v>0</v>
      </c>
    </row>
    <row r="5618" spans="1:8" x14ac:dyDescent="0.15">
      <c r="A5618">
        <v>5617</v>
      </c>
      <c r="B5618" t="s">
        <v>339</v>
      </c>
      <c r="C5618" t="s">
        <v>353</v>
      </c>
      <c r="D5618" t="s">
        <v>9605</v>
      </c>
      <c r="E5618" t="s">
        <v>830</v>
      </c>
      <c r="F5618" s="46">
        <v>46097.325942928241</v>
      </c>
      <c r="G5618" s="46">
        <v>46097.325942928241</v>
      </c>
      <c r="H5618">
        <v>0</v>
      </c>
    </row>
    <row r="5619" spans="1:8" x14ac:dyDescent="0.15">
      <c r="A5619">
        <v>5618</v>
      </c>
      <c r="B5619" t="s">
        <v>339</v>
      </c>
      <c r="C5619" t="s">
        <v>353</v>
      </c>
      <c r="D5619" t="s">
        <v>9606</v>
      </c>
      <c r="E5619" t="s">
        <v>830</v>
      </c>
      <c r="F5619" s="46">
        <v>46097.325942928241</v>
      </c>
      <c r="G5619" s="46">
        <v>46097.325942928241</v>
      </c>
      <c r="H5619">
        <v>0</v>
      </c>
    </row>
    <row r="5620" spans="1:8" x14ac:dyDescent="0.15">
      <c r="A5620">
        <v>5619</v>
      </c>
      <c r="B5620" t="s">
        <v>339</v>
      </c>
      <c r="C5620" t="s">
        <v>353</v>
      </c>
      <c r="D5620" t="s">
        <v>9607</v>
      </c>
      <c r="E5620" t="s">
        <v>830</v>
      </c>
      <c r="F5620" s="46">
        <v>46097.325942928241</v>
      </c>
      <c r="G5620" s="46">
        <v>46097.325942928241</v>
      </c>
      <c r="H5620">
        <v>0</v>
      </c>
    </row>
    <row r="5621" spans="1:8" x14ac:dyDescent="0.15">
      <c r="A5621">
        <v>5620</v>
      </c>
      <c r="B5621" t="s">
        <v>339</v>
      </c>
      <c r="C5621" t="s">
        <v>353</v>
      </c>
      <c r="D5621" t="s">
        <v>9608</v>
      </c>
      <c r="E5621" t="s">
        <v>830</v>
      </c>
      <c r="F5621" s="46">
        <v>46097.325942928241</v>
      </c>
      <c r="G5621" s="46">
        <v>46097.325942928241</v>
      </c>
      <c r="H5621">
        <v>0</v>
      </c>
    </row>
    <row r="5622" spans="1:8" x14ac:dyDescent="0.15">
      <c r="A5622">
        <v>5621</v>
      </c>
      <c r="B5622" t="s">
        <v>339</v>
      </c>
      <c r="C5622" t="s">
        <v>353</v>
      </c>
      <c r="D5622" t="s">
        <v>9609</v>
      </c>
      <c r="E5622" t="s">
        <v>830</v>
      </c>
      <c r="F5622" s="46">
        <v>46097.325942928241</v>
      </c>
      <c r="G5622" s="46">
        <v>46097.325942928241</v>
      </c>
      <c r="H5622">
        <v>0</v>
      </c>
    </row>
    <row r="5623" spans="1:8" x14ac:dyDescent="0.15">
      <c r="A5623">
        <v>5622</v>
      </c>
      <c r="B5623" t="s">
        <v>339</v>
      </c>
      <c r="C5623" t="s">
        <v>353</v>
      </c>
      <c r="D5623" t="s">
        <v>9610</v>
      </c>
      <c r="E5623" t="s">
        <v>830</v>
      </c>
      <c r="F5623" s="46">
        <v>46097.325942928241</v>
      </c>
      <c r="G5623" s="46">
        <v>46097.325943113428</v>
      </c>
      <c r="H5623">
        <v>15</v>
      </c>
    </row>
    <row r="5624" spans="1:8" x14ac:dyDescent="0.15">
      <c r="A5624">
        <v>5623</v>
      </c>
      <c r="B5624" t="s">
        <v>339</v>
      </c>
      <c r="C5624" t="s">
        <v>353</v>
      </c>
      <c r="D5624" t="s">
        <v>9611</v>
      </c>
      <c r="E5624" t="s">
        <v>830</v>
      </c>
      <c r="F5624" s="46">
        <v>46097.325943113428</v>
      </c>
      <c r="G5624" s="46">
        <v>46097.325943113428</v>
      </c>
      <c r="H5624">
        <v>0</v>
      </c>
    </row>
    <row r="5625" spans="1:8" x14ac:dyDescent="0.15">
      <c r="A5625">
        <v>5624</v>
      </c>
      <c r="B5625" t="s">
        <v>339</v>
      </c>
      <c r="C5625" t="s">
        <v>353</v>
      </c>
      <c r="D5625" t="s">
        <v>9612</v>
      </c>
      <c r="E5625" t="s">
        <v>830</v>
      </c>
      <c r="F5625" s="46">
        <v>46097.325943113428</v>
      </c>
      <c r="G5625" s="46">
        <v>46097.325943113428</v>
      </c>
      <c r="H5625">
        <v>0</v>
      </c>
    </row>
    <row r="5626" spans="1:8" x14ac:dyDescent="0.15">
      <c r="A5626">
        <v>5625</v>
      </c>
      <c r="B5626" t="s">
        <v>339</v>
      </c>
      <c r="C5626" t="s">
        <v>353</v>
      </c>
      <c r="D5626" t="s">
        <v>9613</v>
      </c>
      <c r="E5626" t="s">
        <v>830</v>
      </c>
      <c r="F5626" s="46">
        <v>46097.325943113428</v>
      </c>
      <c r="G5626" s="46">
        <v>46097.325943113428</v>
      </c>
      <c r="H5626">
        <v>0</v>
      </c>
    </row>
    <row r="5627" spans="1:8" x14ac:dyDescent="0.15">
      <c r="A5627">
        <v>5626</v>
      </c>
      <c r="B5627" t="s">
        <v>339</v>
      </c>
      <c r="C5627" t="s">
        <v>353</v>
      </c>
      <c r="D5627" t="s">
        <v>9614</v>
      </c>
      <c r="E5627" t="s">
        <v>830</v>
      </c>
      <c r="F5627" s="46">
        <v>46097.325943113428</v>
      </c>
      <c r="G5627" s="46">
        <v>46097.325943113428</v>
      </c>
      <c r="H5627">
        <v>0</v>
      </c>
    </row>
    <row r="5628" spans="1:8" x14ac:dyDescent="0.15">
      <c r="A5628">
        <v>5627</v>
      </c>
      <c r="B5628" t="s">
        <v>339</v>
      </c>
      <c r="C5628" t="s">
        <v>353</v>
      </c>
      <c r="D5628" t="s">
        <v>9615</v>
      </c>
      <c r="E5628" t="s">
        <v>830</v>
      </c>
      <c r="F5628" s="46">
        <v>46097.325943113428</v>
      </c>
      <c r="G5628" s="46">
        <v>46097.325943113428</v>
      </c>
      <c r="H5628">
        <v>0</v>
      </c>
    </row>
    <row r="5629" spans="1:8" x14ac:dyDescent="0.15">
      <c r="A5629">
        <v>5628</v>
      </c>
      <c r="B5629" t="s">
        <v>339</v>
      </c>
      <c r="C5629" t="s">
        <v>353</v>
      </c>
      <c r="D5629" t="s">
        <v>9616</v>
      </c>
      <c r="E5629" t="s">
        <v>830</v>
      </c>
      <c r="F5629" s="46">
        <v>46097.325943113428</v>
      </c>
      <c r="G5629" s="46">
        <v>46097.325943113428</v>
      </c>
      <c r="H5629">
        <v>0</v>
      </c>
    </row>
    <row r="5630" spans="1:8" x14ac:dyDescent="0.15">
      <c r="A5630">
        <v>5629</v>
      </c>
      <c r="B5630" t="s">
        <v>339</v>
      </c>
      <c r="C5630" t="s">
        <v>353</v>
      </c>
      <c r="D5630" t="s">
        <v>9617</v>
      </c>
      <c r="E5630" t="s">
        <v>830</v>
      </c>
      <c r="F5630" s="46">
        <v>46097.325943113428</v>
      </c>
      <c r="G5630" s="46">
        <v>46097.325943113428</v>
      </c>
      <c r="H5630">
        <v>0</v>
      </c>
    </row>
    <row r="5631" spans="1:8" x14ac:dyDescent="0.15">
      <c r="A5631">
        <v>5630</v>
      </c>
      <c r="B5631" t="s">
        <v>339</v>
      </c>
      <c r="C5631" t="s">
        <v>353</v>
      </c>
      <c r="D5631" t="s">
        <v>9618</v>
      </c>
      <c r="E5631" t="s">
        <v>830</v>
      </c>
      <c r="F5631" s="46">
        <v>46097.325943113428</v>
      </c>
      <c r="G5631" s="46">
        <v>46097.325943113428</v>
      </c>
      <c r="H5631">
        <v>0</v>
      </c>
    </row>
    <row r="5632" spans="1:8" x14ac:dyDescent="0.15">
      <c r="A5632">
        <v>5631</v>
      </c>
      <c r="B5632" t="s">
        <v>339</v>
      </c>
      <c r="C5632" t="s">
        <v>353</v>
      </c>
      <c r="D5632" t="s">
        <v>9619</v>
      </c>
      <c r="E5632" t="s">
        <v>830</v>
      </c>
      <c r="F5632" s="46">
        <v>46097.325943113428</v>
      </c>
      <c r="G5632" s="46">
        <v>46097.325943113428</v>
      </c>
      <c r="H5632">
        <v>0</v>
      </c>
    </row>
    <row r="5633" spans="1:8" x14ac:dyDescent="0.15">
      <c r="A5633">
        <v>5632</v>
      </c>
      <c r="B5633" t="s">
        <v>339</v>
      </c>
      <c r="C5633" t="s">
        <v>353</v>
      </c>
      <c r="D5633" t="s">
        <v>9620</v>
      </c>
      <c r="E5633" t="s">
        <v>831</v>
      </c>
      <c r="F5633" s="46">
        <v>46097.325943113428</v>
      </c>
      <c r="G5633" s="46">
        <v>46097.325943113428</v>
      </c>
      <c r="H5633">
        <v>0</v>
      </c>
    </row>
    <row r="5634" spans="1:8" x14ac:dyDescent="0.15">
      <c r="A5634">
        <v>5633</v>
      </c>
      <c r="B5634" t="s">
        <v>339</v>
      </c>
      <c r="C5634" t="s">
        <v>353</v>
      </c>
      <c r="D5634" t="s">
        <v>9621</v>
      </c>
      <c r="E5634" t="s">
        <v>831</v>
      </c>
      <c r="F5634" s="46">
        <v>46097.32594328704</v>
      </c>
      <c r="G5634" s="46">
        <v>46097.32594328704</v>
      </c>
      <c r="H5634">
        <v>0</v>
      </c>
    </row>
    <row r="5635" spans="1:8" x14ac:dyDescent="0.15">
      <c r="A5635">
        <v>5634</v>
      </c>
      <c r="B5635" t="s">
        <v>339</v>
      </c>
      <c r="C5635" t="s">
        <v>353</v>
      </c>
      <c r="D5635" t="s">
        <v>9622</v>
      </c>
      <c r="E5635" t="s">
        <v>831</v>
      </c>
      <c r="F5635" s="46">
        <v>46097.32594328704</v>
      </c>
      <c r="G5635" s="46">
        <v>46097.32594328704</v>
      </c>
      <c r="H5635">
        <v>0</v>
      </c>
    </row>
    <row r="5636" spans="1:8" x14ac:dyDescent="0.15">
      <c r="A5636">
        <v>5635</v>
      </c>
      <c r="B5636" t="s">
        <v>339</v>
      </c>
      <c r="C5636" t="s">
        <v>353</v>
      </c>
      <c r="D5636" t="s">
        <v>9623</v>
      </c>
      <c r="E5636" t="s">
        <v>831</v>
      </c>
      <c r="F5636" s="46">
        <v>46097.32594328704</v>
      </c>
      <c r="G5636" s="46">
        <v>46097.32594328704</v>
      </c>
      <c r="H5636">
        <v>0</v>
      </c>
    </row>
    <row r="5637" spans="1:8" x14ac:dyDescent="0.15">
      <c r="A5637">
        <v>5636</v>
      </c>
      <c r="B5637" t="s">
        <v>339</v>
      </c>
      <c r="C5637" t="s">
        <v>353</v>
      </c>
      <c r="D5637" t="s">
        <v>9624</v>
      </c>
      <c r="E5637" t="s">
        <v>831</v>
      </c>
      <c r="F5637" s="46">
        <v>46097.32594328704</v>
      </c>
      <c r="G5637" s="46">
        <v>46097.32594328704</v>
      </c>
      <c r="H5637">
        <v>0</v>
      </c>
    </row>
    <row r="5638" spans="1:8" x14ac:dyDescent="0.15">
      <c r="A5638">
        <v>5637</v>
      </c>
      <c r="B5638" t="s">
        <v>339</v>
      </c>
      <c r="C5638" t="s">
        <v>353</v>
      </c>
      <c r="D5638" t="s">
        <v>9625</v>
      </c>
      <c r="E5638" t="s">
        <v>831</v>
      </c>
      <c r="F5638" s="46">
        <v>46097.32594328704</v>
      </c>
      <c r="G5638" s="46">
        <v>46097.32594328704</v>
      </c>
      <c r="H5638">
        <v>0</v>
      </c>
    </row>
    <row r="5639" spans="1:8" x14ac:dyDescent="0.15">
      <c r="A5639">
        <v>5638</v>
      </c>
      <c r="B5639" t="s">
        <v>339</v>
      </c>
      <c r="C5639" t="s">
        <v>353</v>
      </c>
      <c r="D5639" t="s">
        <v>9626</v>
      </c>
      <c r="E5639" t="s">
        <v>9627</v>
      </c>
      <c r="F5639" s="46">
        <v>46097.32594328704</v>
      </c>
      <c r="G5639" s="46">
        <v>46097.32594328704</v>
      </c>
      <c r="H5639">
        <v>0</v>
      </c>
    </row>
    <row r="5640" spans="1:8" x14ac:dyDescent="0.15">
      <c r="A5640">
        <v>5639</v>
      </c>
      <c r="B5640" t="s">
        <v>339</v>
      </c>
      <c r="C5640" t="s">
        <v>353</v>
      </c>
      <c r="D5640" t="s">
        <v>9628</v>
      </c>
      <c r="E5640" t="s">
        <v>9629</v>
      </c>
      <c r="F5640" s="46">
        <v>46097.32594328704</v>
      </c>
      <c r="G5640" s="46">
        <v>46097.32594328704</v>
      </c>
      <c r="H5640">
        <v>0</v>
      </c>
    </row>
    <row r="5641" spans="1:8" x14ac:dyDescent="0.15">
      <c r="A5641">
        <v>5640</v>
      </c>
      <c r="B5641" t="s">
        <v>339</v>
      </c>
      <c r="C5641" t="s">
        <v>353</v>
      </c>
      <c r="D5641" t="s">
        <v>9630</v>
      </c>
      <c r="E5641" t="s">
        <v>9631</v>
      </c>
      <c r="F5641" s="46">
        <v>46097.32594328704</v>
      </c>
      <c r="G5641" s="46">
        <v>46097.32594328704</v>
      </c>
      <c r="H5641">
        <v>0</v>
      </c>
    </row>
    <row r="5642" spans="1:8" x14ac:dyDescent="0.15">
      <c r="A5642">
        <v>5641</v>
      </c>
      <c r="B5642" t="s">
        <v>339</v>
      </c>
      <c r="C5642" t="s">
        <v>353</v>
      </c>
      <c r="D5642" t="s">
        <v>9632</v>
      </c>
      <c r="E5642" t="s">
        <v>9631</v>
      </c>
      <c r="F5642" s="46">
        <v>46097.32594328704</v>
      </c>
      <c r="G5642" s="46">
        <v>46097.32594328704</v>
      </c>
      <c r="H5642">
        <v>0</v>
      </c>
    </row>
    <row r="5643" spans="1:8" x14ac:dyDescent="0.15">
      <c r="A5643">
        <v>5642</v>
      </c>
      <c r="B5643" t="s">
        <v>339</v>
      </c>
      <c r="C5643" t="s">
        <v>353</v>
      </c>
      <c r="D5643" t="s">
        <v>9633</v>
      </c>
      <c r="E5643" t="s">
        <v>9631</v>
      </c>
      <c r="F5643" s="46">
        <v>46097.32594328704</v>
      </c>
      <c r="G5643" s="46">
        <v>46097.32594328704</v>
      </c>
      <c r="H5643">
        <v>0</v>
      </c>
    </row>
    <row r="5644" spans="1:8" x14ac:dyDescent="0.15">
      <c r="A5644">
        <v>5643</v>
      </c>
      <c r="B5644" t="s">
        <v>339</v>
      </c>
      <c r="C5644" t="s">
        <v>353</v>
      </c>
      <c r="D5644" t="s">
        <v>9634</v>
      </c>
      <c r="E5644" t="s">
        <v>9635</v>
      </c>
      <c r="F5644" s="46">
        <v>46097.32594328704</v>
      </c>
      <c r="G5644" s="46">
        <v>46097.32594347222</v>
      </c>
      <c r="H5644">
        <v>15</v>
      </c>
    </row>
    <row r="5645" spans="1:8" x14ac:dyDescent="0.15">
      <c r="A5645">
        <v>5644</v>
      </c>
      <c r="B5645" t="s">
        <v>339</v>
      </c>
      <c r="C5645" t="s">
        <v>353</v>
      </c>
      <c r="D5645" t="s">
        <v>9636</v>
      </c>
      <c r="E5645" t="s">
        <v>9637</v>
      </c>
      <c r="F5645" s="46">
        <v>46097.32594347222</v>
      </c>
      <c r="G5645" s="46">
        <v>46097.32594347222</v>
      </c>
      <c r="H5645">
        <v>0</v>
      </c>
    </row>
    <row r="5646" spans="1:8" x14ac:dyDescent="0.15">
      <c r="A5646">
        <v>5645</v>
      </c>
      <c r="B5646" t="s">
        <v>339</v>
      </c>
      <c r="C5646" t="s">
        <v>353</v>
      </c>
      <c r="D5646" t="s">
        <v>9638</v>
      </c>
      <c r="E5646" t="s">
        <v>9639</v>
      </c>
      <c r="F5646" s="46">
        <v>46097.32594347222</v>
      </c>
      <c r="G5646" s="46">
        <v>46097.32594347222</v>
      </c>
      <c r="H5646">
        <v>0</v>
      </c>
    </row>
    <row r="5647" spans="1:8" x14ac:dyDescent="0.15">
      <c r="A5647">
        <v>5646</v>
      </c>
      <c r="B5647" t="s">
        <v>339</v>
      </c>
      <c r="C5647" t="s">
        <v>353</v>
      </c>
      <c r="D5647" t="s">
        <v>9640</v>
      </c>
      <c r="E5647" t="s">
        <v>9641</v>
      </c>
      <c r="F5647" s="46">
        <v>46097.32594347222</v>
      </c>
      <c r="G5647" s="46">
        <v>46097.32594347222</v>
      </c>
      <c r="H5647">
        <v>0</v>
      </c>
    </row>
    <row r="5648" spans="1:8" x14ac:dyDescent="0.15">
      <c r="A5648">
        <v>5647</v>
      </c>
      <c r="B5648" t="s">
        <v>339</v>
      </c>
      <c r="C5648" t="s">
        <v>353</v>
      </c>
      <c r="D5648" t="s">
        <v>9642</v>
      </c>
      <c r="E5648" t="s">
        <v>9643</v>
      </c>
      <c r="F5648" s="46">
        <v>46097.32594347222</v>
      </c>
      <c r="G5648" s="46">
        <v>46097.32594347222</v>
      </c>
      <c r="H5648">
        <v>0</v>
      </c>
    </row>
    <row r="5649" spans="1:8" x14ac:dyDescent="0.15">
      <c r="A5649">
        <v>5648</v>
      </c>
      <c r="B5649" t="s">
        <v>339</v>
      </c>
      <c r="C5649" t="s">
        <v>353</v>
      </c>
      <c r="D5649" t="s">
        <v>9644</v>
      </c>
      <c r="E5649" t="s">
        <v>9643</v>
      </c>
      <c r="F5649" s="46">
        <v>46097.32594347222</v>
      </c>
      <c r="G5649" s="46">
        <v>46097.32594347222</v>
      </c>
      <c r="H5649">
        <v>0</v>
      </c>
    </row>
    <row r="5650" spans="1:8" x14ac:dyDescent="0.15">
      <c r="A5650">
        <v>5649</v>
      </c>
      <c r="B5650" t="s">
        <v>339</v>
      </c>
      <c r="C5650" t="s">
        <v>353</v>
      </c>
      <c r="D5650" t="s">
        <v>9645</v>
      </c>
      <c r="E5650" t="s">
        <v>9646</v>
      </c>
      <c r="F5650" s="46">
        <v>46097.32594347222</v>
      </c>
      <c r="G5650" s="46">
        <v>46097.32594347222</v>
      </c>
      <c r="H5650">
        <v>0</v>
      </c>
    </row>
    <row r="5651" spans="1:8" x14ac:dyDescent="0.15">
      <c r="A5651">
        <v>5650</v>
      </c>
      <c r="B5651" t="s">
        <v>339</v>
      </c>
      <c r="C5651" t="s">
        <v>353</v>
      </c>
      <c r="D5651" t="s">
        <v>9647</v>
      </c>
      <c r="E5651" t="s">
        <v>9648</v>
      </c>
      <c r="F5651" s="46">
        <v>46097.32594347222</v>
      </c>
      <c r="G5651" s="46">
        <v>46097.32594347222</v>
      </c>
      <c r="H5651">
        <v>0</v>
      </c>
    </row>
    <row r="5652" spans="1:8" x14ac:dyDescent="0.15">
      <c r="A5652">
        <v>5651</v>
      </c>
      <c r="B5652" t="s">
        <v>339</v>
      </c>
      <c r="C5652" t="s">
        <v>353</v>
      </c>
      <c r="D5652" t="s">
        <v>9649</v>
      </c>
      <c r="E5652" t="s">
        <v>9650</v>
      </c>
      <c r="F5652" s="46">
        <v>46097.32594347222</v>
      </c>
      <c r="G5652" s="46">
        <v>46097.32594347222</v>
      </c>
      <c r="H5652">
        <v>0</v>
      </c>
    </row>
    <row r="5653" spans="1:8" x14ac:dyDescent="0.15">
      <c r="A5653">
        <v>5652</v>
      </c>
      <c r="B5653" t="s">
        <v>339</v>
      </c>
      <c r="C5653" t="s">
        <v>353</v>
      </c>
      <c r="D5653" t="s">
        <v>9651</v>
      </c>
      <c r="E5653" t="s">
        <v>9652</v>
      </c>
      <c r="F5653" s="46">
        <v>46097.32594347222</v>
      </c>
      <c r="G5653" s="46">
        <v>46097.32594347222</v>
      </c>
      <c r="H5653">
        <v>0</v>
      </c>
    </row>
    <row r="5654" spans="1:8" x14ac:dyDescent="0.15">
      <c r="A5654">
        <v>5653</v>
      </c>
      <c r="B5654" t="s">
        <v>339</v>
      </c>
      <c r="C5654" t="s">
        <v>353</v>
      </c>
      <c r="D5654" t="s">
        <v>9653</v>
      </c>
      <c r="E5654" t="s">
        <v>9654</v>
      </c>
      <c r="F5654" s="46">
        <v>46097.32594347222</v>
      </c>
      <c r="G5654" s="46">
        <v>46097.325943657408</v>
      </c>
      <c r="H5654">
        <v>16</v>
      </c>
    </row>
    <row r="5655" spans="1:8" x14ac:dyDescent="0.15">
      <c r="A5655">
        <v>5654</v>
      </c>
      <c r="B5655" t="s">
        <v>339</v>
      </c>
      <c r="C5655" t="s">
        <v>353</v>
      </c>
      <c r="D5655" t="s">
        <v>9655</v>
      </c>
      <c r="E5655" t="s">
        <v>835</v>
      </c>
      <c r="F5655" s="46">
        <v>46097.325943657408</v>
      </c>
      <c r="G5655" s="46">
        <v>46097.325943657408</v>
      </c>
      <c r="H5655">
        <v>0</v>
      </c>
    </row>
    <row r="5656" spans="1:8" x14ac:dyDescent="0.15">
      <c r="A5656">
        <v>5655</v>
      </c>
      <c r="B5656" t="s">
        <v>339</v>
      </c>
      <c r="C5656" t="s">
        <v>353</v>
      </c>
      <c r="D5656" t="s">
        <v>9656</v>
      </c>
      <c r="E5656" t="s">
        <v>9657</v>
      </c>
      <c r="F5656" s="46">
        <v>46097.325943657408</v>
      </c>
      <c r="G5656" s="46">
        <v>46097.325943657408</v>
      </c>
      <c r="H5656">
        <v>0</v>
      </c>
    </row>
    <row r="5657" spans="1:8" x14ac:dyDescent="0.15">
      <c r="A5657">
        <v>5656</v>
      </c>
      <c r="B5657" t="s">
        <v>339</v>
      </c>
      <c r="C5657" t="s">
        <v>353</v>
      </c>
      <c r="D5657" t="s">
        <v>9658</v>
      </c>
      <c r="E5657" t="s">
        <v>9659</v>
      </c>
      <c r="F5657" s="46">
        <v>46097.325943657408</v>
      </c>
      <c r="G5657" s="46">
        <v>46097.325943657408</v>
      </c>
      <c r="H5657">
        <v>0</v>
      </c>
    </row>
    <row r="5658" spans="1:8" x14ac:dyDescent="0.15">
      <c r="A5658">
        <v>5657</v>
      </c>
      <c r="B5658" t="s">
        <v>339</v>
      </c>
      <c r="C5658" t="s">
        <v>353</v>
      </c>
      <c r="D5658" t="s">
        <v>9660</v>
      </c>
      <c r="E5658" t="s">
        <v>9661</v>
      </c>
      <c r="F5658" s="46">
        <v>46097.325943657408</v>
      </c>
      <c r="G5658" s="46">
        <v>46097.325943657408</v>
      </c>
      <c r="H5658">
        <v>0</v>
      </c>
    </row>
    <row r="5659" spans="1:8" x14ac:dyDescent="0.15">
      <c r="A5659">
        <v>5658</v>
      </c>
      <c r="B5659" t="s">
        <v>339</v>
      </c>
      <c r="C5659" t="s">
        <v>353</v>
      </c>
      <c r="D5659" t="s">
        <v>9662</v>
      </c>
      <c r="E5659" t="s">
        <v>9661</v>
      </c>
      <c r="F5659" s="46">
        <v>46097.325943657408</v>
      </c>
      <c r="G5659" s="46">
        <v>46097.325943657408</v>
      </c>
      <c r="H5659">
        <v>0</v>
      </c>
    </row>
    <row r="5660" spans="1:8" x14ac:dyDescent="0.15">
      <c r="A5660">
        <v>5659</v>
      </c>
      <c r="B5660" t="s">
        <v>339</v>
      </c>
      <c r="C5660" t="s">
        <v>353</v>
      </c>
      <c r="D5660" t="s">
        <v>9663</v>
      </c>
      <c r="E5660" t="s">
        <v>9661</v>
      </c>
      <c r="F5660" s="46">
        <v>46097.325943657408</v>
      </c>
      <c r="G5660" s="46">
        <v>46097.325943657408</v>
      </c>
      <c r="H5660">
        <v>0</v>
      </c>
    </row>
    <row r="5661" spans="1:8" x14ac:dyDescent="0.15">
      <c r="A5661">
        <v>5660</v>
      </c>
      <c r="B5661" t="s">
        <v>339</v>
      </c>
      <c r="C5661" t="s">
        <v>353</v>
      </c>
      <c r="D5661" t="s">
        <v>9664</v>
      </c>
      <c r="E5661" t="s">
        <v>9661</v>
      </c>
      <c r="F5661" s="46">
        <v>46097.325943657408</v>
      </c>
      <c r="G5661" s="46">
        <v>46097.325943657408</v>
      </c>
      <c r="H5661">
        <v>0</v>
      </c>
    </row>
    <row r="5662" spans="1:8" x14ac:dyDescent="0.15">
      <c r="A5662">
        <v>5661</v>
      </c>
      <c r="B5662" t="s">
        <v>339</v>
      </c>
      <c r="C5662" t="s">
        <v>353</v>
      </c>
      <c r="D5662" t="s">
        <v>9665</v>
      </c>
      <c r="E5662" t="s">
        <v>9666</v>
      </c>
      <c r="F5662" s="46">
        <v>46097.325943657408</v>
      </c>
      <c r="G5662" s="46">
        <v>46097.325943657408</v>
      </c>
      <c r="H5662">
        <v>0</v>
      </c>
    </row>
    <row r="5663" spans="1:8" x14ac:dyDescent="0.15">
      <c r="A5663">
        <v>5662</v>
      </c>
      <c r="B5663" t="s">
        <v>339</v>
      </c>
      <c r="C5663" t="s">
        <v>353</v>
      </c>
      <c r="D5663" t="s">
        <v>9667</v>
      </c>
      <c r="E5663" t="s">
        <v>839</v>
      </c>
      <c r="F5663" s="46">
        <v>46097.325943657408</v>
      </c>
      <c r="G5663" s="46">
        <v>46097.325943657408</v>
      </c>
      <c r="H5663">
        <v>0</v>
      </c>
    </row>
    <row r="5664" spans="1:8" x14ac:dyDescent="0.15">
      <c r="A5664">
        <v>5663</v>
      </c>
      <c r="B5664" t="s">
        <v>339</v>
      </c>
      <c r="C5664" t="s">
        <v>353</v>
      </c>
      <c r="D5664" t="s">
        <v>9668</v>
      </c>
      <c r="E5664" t="s">
        <v>839</v>
      </c>
      <c r="F5664" s="46">
        <v>46097.325943657408</v>
      </c>
      <c r="G5664" s="46">
        <v>46097.325943657408</v>
      </c>
      <c r="H5664">
        <v>0</v>
      </c>
    </row>
    <row r="5665" spans="1:8" x14ac:dyDescent="0.15">
      <c r="A5665">
        <v>5664</v>
      </c>
      <c r="B5665" t="s">
        <v>339</v>
      </c>
      <c r="C5665" t="s">
        <v>353</v>
      </c>
      <c r="D5665" t="s">
        <v>9669</v>
      </c>
      <c r="E5665" t="s">
        <v>839</v>
      </c>
      <c r="F5665" s="46">
        <v>46097.325943657408</v>
      </c>
      <c r="G5665" s="46">
        <v>46097.32594383102</v>
      </c>
      <c r="H5665">
        <v>16</v>
      </c>
    </row>
    <row r="5666" spans="1:8" x14ac:dyDescent="0.15">
      <c r="A5666">
        <v>5665</v>
      </c>
      <c r="B5666" t="s">
        <v>339</v>
      </c>
      <c r="C5666" t="s">
        <v>353</v>
      </c>
      <c r="D5666" t="s">
        <v>9670</v>
      </c>
      <c r="E5666" t="s">
        <v>839</v>
      </c>
      <c r="F5666" s="46">
        <v>46097.32594383102</v>
      </c>
      <c r="G5666" s="46">
        <v>46097.32594383102</v>
      </c>
      <c r="H5666">
        <v>0</v>
      </c>
    </row>
    <row r="5667" spans="1:8" x14ac:dyDescent="0.15">
      <c r="A5667">
        <v>5666</v>
      </c>
      <c r="B5667" t="s">
        <v>339</v>
      </c>
      <c r="C5667" t="s">
        <v>353</v>
      </c>
      <c r="D5667" t="s">
        <v>9671</v>
      </c>
      <c r="E5667" t="s">
        <v>839</v>
      </c>
      <c r="F5667" s="46">
        <v>46097.32594383102</v>
      </c>
      <c r="G5667" s="46">
        <v>46097.32594383102</v>
      </c>
      <c r="H5667">
        <v>0</v>
      </c>
    </row>
    <row r="5668" spans="1:8" x14ac:dyDescent="0.15">
      <c r="A5668">
        <v>5667</v>
      </c>
      <c r="B5668" t="s">
        <v>339</v>
      </c>
      <c r="C5668" t="s">
        <v>353</v>
      </c>
      <c r="D5668" t="s">
        <v>9672</v>
      </c>
      <c r="E5668" t="s">
        <v>839</v>
      </c>
      <c r="F5668" s="46">
        <v>46097.32594383102</v>
      </c>
      <c r="G5668" s="46">
        <v>46097.32594383102</v>
      </c>
      <c r="H5668">
        <v>0</v>
      </c>
    </row>
    <row r="5669" spans="1:8" x14ac:dyDescent="0.15">
      <c r="A5669">
        <v>5668</v>
      </c>
      <c r="B5669" t="s">
        <v>339</v>
      </c>
      <c r="C5669" t="s">
        <v>353</v>
      </c>
      <c r="D5669" t="s">
        <v>9673</v>
      </c>
      <c r="E5669" t="s">
        <v>839</v>
      </c>
      <c r="F5669" s="46">
        <v>46097.32594383102</v>
      </c>
      <c r="G5669" s="46">
        <v>46097.32594383102</v>
      </c>
      <c r="H5669">
        <v>0</v>
      </c>
    </row>
    <row r="5670" spans="1:8" x14ac:dyDescent="0.15">
      <c r="A5670">
        <v>5669</v>
      </c>
      <c r="B5670" t="s">
        <v>339</v>
      </c>
      <c r="C5670" t="s">
        <v>353</v>
      </c>
      <c r="D5670" t="s">
        <v>9674</v>
      </c>
      <c r="E5670" t="s">
        <v>839</v>
      </c>
      <c r="F5670" s="46">
        <v>46097.32594383102</v>
      </c>
      <c r="G5670" s="46">
        <v>46097.32594383102</v>
      </c>
      <c r="H5670">
        <v>0</v>
      </c>
    </row>
    <row r="5671" spans="1:8" x14ac:dyDescent="0.15">
      <c r="A5671">
        <v>5670</v>
      </c>
      <c r="B5671" t="s">
        <v>339</v>
      </c>
      <c r="C5671" t="s">
        <v>353</v>
      </c>
      <c r="D5671" t="s">
        <v>9675</v>
      </c>
      <c r="E5671" t="s">
        <v>839</v>
      </c>
      <c r="F5671" s="46">
        <v>46097.32594383102</v>
      </c>
      <c r="G5671" s="46">
        <v>46097.32594383102</v>
      </c>
      <c r="H5671">
        <v>0</v>
      </c>
    </row>
    <row r="5672" spans="1:8" x14ac:dyDescent="0.15">
      <c r="A5672">
        <v>5671</v>
      </c>
      <c r="B5672" t="s">
        <v>339</v>
      </c>
      <c r="C5672" t="s">
        <v>353</v>
      </c>
      <c r="D5672" t="s">
        <v>9676</v>
      </c>
      <c r="E5672" t="s">
        <v>839</v>
      </c>
      <c r="F5672" s="46">
        <v>46097.32594383102</v>
      </c>
      <c r="G5672" s="46">
        <v>46097.32594383102</v>
      </c>
      <c r="H5672">
        <v>0</v>
      </c>
    </row>
    <row r="5673" spans="1:8" x14ac:dyDescent="0.15">
      <c r="A5673">
        <v>5672</v>
      </c>
      <c r="B5673" t="s">
        <v>339</v>
      </c>
      <c r="C5673" t="s">
        <v>353</v>
      </c>
      <c r="D5673" t="s">
        <v>9677</v>
      </c>
      <c r="E5673" t="s">
        <v>840</v>
      </c>
      <c r="F5673" s="46">
        <v>46097.32594383102</v>
      </c>
      <c r="G5673" s="46">
        <v>46097.32594383102</v>
      </c>
      <c r="H5673">
        <v>0</v>
      </c>
    </row>
    <row r="5674" spans="1:8" x14ac:dyDescent="0.15">
      <c r="A5674">
        <v>5673</v>
      </c>
      <c r="B5674" t="s">
        <v>339</v>
      </c>
      <c r="C5674" t="s">
        <v>353</v>
      </c>
      <c r="D5674" t="s">
        <v>9678</v>
      </c>
      <c r="E5674" t="s">
        <v>840</v>
      </c>
      <c r="F5674" s="46">
        <v>46097.32594383102</v>
      </c>
      <c r="G5674" s="46">
        <v>46097.32594383102</v>
      </c>
      <c r="H5674">
        <v>0</v>
      </c>
    </row>
    <row r="5675" spans="1:8" x14ac:dyDescent="0.15">
      <c r="A5675">
        <v>5674</v>
      </c>
      <c r="B5675" t="s">
        <v>339</v>
      </c>
      <c r="C5675" t="s">
        <v>353</v>
      </c>
      <c r="D5675" t="s">
        <v>9679</v>
      </c>
      <c r="E5675" t="s">
        <v>9680</v>
      </c>
      <c r="F5675" s="46">
        <v>46097.32594383102</v>
      </c>
      <c r="G5675" s="46">
        <v>46097.3259440162</v>
      </c>
      <c r="H5675">
        <v>15</v>
      </c>
    </row>
    <row r="5676" spans="1:8" x14ac:dyDescent="0.15">
      <c r="A5676">
        <v>5675</v>
      </c>
      <c r="B5676" t="s">
        <v>339</v>
      </c>
      <c r="C5676" t="s">
        <v>353</v>
      </c>
      <c r="D5676" t="s">
        <v>9681</v>
      </c>
      <c r="E5676" t="s">
        <v>9682</v>
      </c>
      <c r="F5676" s="46">
        <v>46097.3259440162</v>
      </c>
      <c r="G5676" s="46">
        <v>46097.3259440162</v>
      </c>
      <c r="H5676">
        <v>0</v>
      </c>
    </row>
    <row r="5677" spans="1:8" x14ac:dyDescent="0.15">
      <c r="A5677">
        <v>5676</v>
      </c>
      <c r="B5677" t="s">
        <v>339</v>
      </c>
      <c r="C5677" t="s">
        <v>353</v>
      </c>
      <c r="D5677" t="s">
        <v>9683</v>
      </c>
      <c r="E5677" t="s">
        <v>9684</v>
      </c>
      <c r="F5677" s="46">
        <v>46097.3259440162</v>
      </c>
      <c r="G5677" s="46">
        <v>46097.3259440162</v>
      </c>
      <c r="H5677">
        <v>0</v>
      </c>
    </row>
    <row r="5678" spans="1:8" x14ac:dyDescent="0.15">
      <c r="A5678">
        <v>5677</v>
      </c>
      <c r="B5678" t="s">
        <v>339</v>
      </c>
      <c r="C5678" t="s">
        <v>353</v>
      </c>
      <c r="D5678" t="s">
        <v>9685</v>
      </c>
      <c r="E5678" t="s">
        <v>9684</v>
      </c>
      <c r="F5678" s="46">
        <v>46097.3259440162</v>
      </c>
      <c r="G5678" s="46">
        <v>46097.3259440162</v>
      </c>
      <c r="H5678">
        <v>0</v>
      </c>
    </row>
    <row r="5679" spans="1:8" x14ac:dyDescent="0.15">
      <c r="A5679">
        <v>5678</v>
      </c>
      <c r="B5679" t="s">
        <v>339</v>
      </c>
      <c r="C5679" t="s">
        <v>353</v>
      </c>
      <c r="D5679" t="s">
        <v>9686</v>
      </c>
      <c r="E5679" t="s">
        <v>9684</v>
      </c>
      <c r="F5679" s="46">
        <v>46097.3259440162</v>
      </c>
      <c r="G5679" s="46">
        <v>46097.3259440162</v>
      </c>
      <c r="H5679">
        <v>0</v>
      </c>
    </row>
    <row r="5680" spans="1:8" x14ac:dyDescent="0.15">
      <c r="A5680">
        <v>5679</v>
      </c>
      <c r="B5680" t="s">
        <v>339</v>
      </c>
      <c r="C5680" t="s">
        <v>353</v>
      </c>
      <c r="D5680" t="s">
        <v>9687</v>
      </c>
      <c r="E5680" t="s">
        <v>9688</v>
      </c>
      <c r="F5680" s="46">
        <v>46097.3259440162</v>
      </c>
      <c r="G5680" s="46">
        <v>46097.3259440162</v>
      </c>
      <c r="H5680">
        <v>0</v>
      </c>
    </row>
    <row r="5681" spans="1:8" x14ac:dyDescent="0.15">
      <c r="A5681">
        <v>5680</v>
      </c>
      <c r="B5681" t="s">
        <v>339</v>
      </c>
      <c r="C5681" t="s">
        <v>353</v>
      </c>
      <c r="D5681" t="s">
        <v>9689</v>
      </c>
      <c r="E5681" t="s">
        <v>9690</v>
      </c>
      <c r="F5681" s="46">
        <v>46097.3259440162</v>
      </c>
      <c r="G5681" s="46">
        <v>46097.3259440162</v>
      </c>
      <c r="H5681">
        <v>0</v>
      </c>
    </row>
    <row r="5682" spans="1:8" x14ac:dyDescent="0.15">
      <c r="A5682">
        <v>5681</v>
      </c>
      <c r="B5682" t="s">
        <v>339</v>
      </c>
      <c r="C5682" t="s">
        <v>353</v>
      </c>
      <c r="D5682" t="s">
        <v>9691</v>
      </c>
      <c r="E5682" t="s">
        <v>9690</v>
      </c>
      <c r="F5682" s="46">
        <v>46097.3259440162</v>
      </c>
      <c r="G5682" s="46">
        <v>46097.3259440162</v>
      </c>
      <c r="H5682">
        <v>0</v>
      </c>
    </row>
    <row r="5683" spans="1:8" x14ac:dyDescent="0.15">
      <c r="A5683">
        <v>5682</v>
      </c>
      <c r="B5683" t="s">
        <v>339</v>
      </c>
      <c r="C5683" t="s">
        <v>353</v>
      </c>
      <c r="D5683" t="s">
        <v>9692</v>
      </c>
      <c r="E5683" t="s">
        <v>9690</v>
      </c>
      <c r="F5683" s="46">
        <v>46097.3259440162</v>
      </c>
      <c r="G5683" s="46">
        <v>46097.3259440162</v>
      </c>
      <c r="H5683">
        <v>0</v>
      </c>
    </row>
    <row r="5684" spans="1:8" x14ac:dyDescent="0.15">
      <c r="A5684">
        <v>5683</v>
      </c>
      <c r="B5684" t="s">
        <v>339</v>
      </c>
      <c r="C5684" t="s">
        <v>353</v>
      </c>
      <c r="D5684" t="s">
        <v>9693</v>
      </c>
      <c r="E5684" t="s">
        <v>9690</v>
      </c>
      <c r="F5684" s="46">
        <v>46097.3259440162</v>
      </c>
      <c r="G5684" s="46">
        <v>46097.3259440162</v>
      </c>
      <c r="H5684">
        <v>0</v>
      </c>
    </row>
    <row r="5685" spans="1:8" x14ac:dyDescent="0.15">
      <c r="A5685">
        <v>5684</v>
      </c>
      <c r="B5685" t="s">
        <v>339</v>
      </c>
      <c r="C5685" t="s">
        <v>353</v>
      </c>
      <c r="D5685" t="s">
        <v>9694</v>
      </c>
      <c r="E5685" t="s">
        <v>9690</v>
      </c>
      <c r="F5685" s="46">
        <v>46097.3259440162</v>
      </c>
      <c r="G5685" s="46">
        <v>46097.3259440162</v>
      </c>
      <c r="H5685">
        <v>0</v>
      </c>
    </row>
    <row r="5686" spans="1:8" x14ac:dyDescent="0.15">
      <c r="A5686">
        <v>5685</v>
      </c>
      <c r="B5686" t="s">
        <v>339</v>
      </c>
      <c r="C5686" t="s">
        <v>353</v>
      </c>
      <c r="D5686" t="s">
        <v>9695</v>
      </c>
      <c r="E5686" t="s">
        <v>9690</v>
      </c>
      <c r="F5686" s="46">
        <v>46097.3259440162</v>
      </c>
      <c r="G5686" s="46">
        <v>46097.325944189812</v>
      </c>
      <c r="H5686">
        <v>16</v>
      </c>
    </row>
    <row r="5687" spans="1:8" x14ac:dyDescent="0.15">
      <c r="A5687">
        <v>5686</v>
      </c>
      <c r="B5687" t="s">
        <v>339</v>
      </c>
      <c r="C5687" t="s">
        <v>353</v>
      </c>
      <c r="D5687" t="s">
        <v>9696</v>
      </c>
      <c r="E5687" t="s">
        <v>9690</v>
      </c>
      <c r="F5687" s="46">
        <v>46097.325944189812</v>
      </c>
      <c r="G5687" s="46">
        <v>46097.325944189812</v>
      </c>
      <c r="H5687">
        <v>0</v>
      </c>
    </row>
    <row r="5688" spans="1:8" x14ac:dyDescent="0.15">
      <c r="A5688">
        <v>5687</v>
      </c>
      <c r="B5688" t="s">
        <v>339</v>
      </c>
      <c r="C5688" t="s">
        <v>353</v>
      </c>
      <c r="D5688" t="s">
        <v>9697</v>
      </c>
      <c r="E5688" t="s">
        <v>9690</v>
      </c>
      <c r="F5688" s="46">
        <v>46097.325944189812</v>
      </c>
      <c r="G5688" s="46">
        <v>46097.325944189812</v>
      </c>
      <c r="H5688">
        <v>0</v>
      </c>
    </row>
    <row r="5689" spans="1:8" x14ac:dyDescent="0.15">
      <c r="A5689">
        <v>5688</v>
      </c>
      <c r="B5689" t="s">
        <v>339</v>
      </c>
      <c r="C5689" t="s">
        <v>353</v>
      </c>
      <c r="D5689" t="s">
        <v>9698</v>
      </c>
      <c r="E5689" t="s">
        <v>9699</v>
      </c>
      <c r="F5689" s="46">
        <v>46097.325944189812</v>
      </c>
      <c r="G5689" s="46">
        <v>46097.325944189812</v>
      </c>
      <c r="H5689">
        <v>0</v>
      </c>
    </row>
    <row r="5690" spans="1:8" x14ac:dyDescent="0.15">
      <c r="A5690">
        <v>5689</v>
      </c>
      <c r="B5690" t="s">
        <v>339</v>
      </c>
      <c r="C5690" t="s">
        <v>353</v>
      </c>
      <c r="D5690" t="s">
        <v>9700</v>
      </c>
      <c r="E5690" t="s">
        <v>9699</v>
      </c>
      <c r="F5690" s="46">
        <v>46097.325944189812</v>
      </c>
      <c r="G5690" s="46">
        <v>46097.325944189812</v>
      </c>
      <c r="H5690">
        <v>0</v>
      </c>
    </row>
    <row r="5691" spans="1:8" x14ac:dyDescent="0.15">
      <c r="A5691">
        <v>5690</v>
      </c>
      <c r="B5691" t="s">
        <v>339</v>
      </c>
      <c r="C5691" t="s">
        <v>353</v>
      </c>
      <c r="D5691" t="s">
        <v>9701</v>
      </c>
      <c r="E5691" t="s">
        <v>9699</v>
      </c>
      <c r="F5691" s="46">
        <v>46097.325944189812</v>
      </c>
      <c r="G5691" s="46">
        <v>46097.325944189812</v>
      </c>
      <c r="H5691">
        <v>0</v>
      </c>
    </row>
    <row r="5692" spans="1:8" x14ac:dyDescent="0.15">
      <c r="A5692">
        <v>5691</v>
      </c>
      <c r="B5692" t="s">
        <v>339</v>
      </c>
      <c r="C5692" t="s">
        <v>353</v>
      </c>
      <c r="D5692" t="s">
        <v>9702</v>
      </c>
      <c r="E5692" t="s">
        <v>9699</v>
      </c>
      <c r="F5692" s="46">
        <v>46097.325944189812</v>
      </c>
      <c r="G5692" s="46">
        <v>46097.325944189812</v>
      </c>
      <c r="H5692">
        <v>0</v>
      </c>
    </row>
    <row r="5693" spans="1:8" x14ac:dyDescent="0.15">
      <c r="A5693">
        <v>5692</v>
      </c>
      <c r="B5693" t="s">
        <v>339</v>
      </c>
      <c r="C5693" t="s">
        <v>353</v>
      </c>
      <c r="D5693" t="s">
        <v>9703</v>
      </c>
      <c r="E5693" t="s">
        <v>9699</v>
      </c>
      <c r="F5693" s="46">
        <v>46097.325944189812</v>
      </c>
      <c r="G5693" s="46">
        <v>46097.325944189812</v>
      </c>
      <c r="H5693">
        <v>0</v>
      </c>
    </row>
    <row r="5694" spans="1:8" x14ac:dyDescent="0.15">
      <c r="A5694">
        <v>5693</v>
      </c>
      <c r="B5694" t="s">
        <v>339</v>
      </c>
      <c r="C5694" t="s">
        <v>353</v>
      </c>
      <c r="D5694" t="s">
        <v>9704</v>
      </c>
      <c r="E5694" t="s">
        <v>9699</v>
      </c>
      <c r="F5694" s="46">
        <v>46097.325944189812</v>
      </c>
      <c r="G5694" s="46">
        <v>46097.325944189812</v>
      </c>
      <c r="H5694">
        <v>0</v>
      </c>
    </row>
    <row r="5695" spans="1:8" x14ac:dyDescent="0.15">
      <c r="A5695">
        <v>5694</v>
      </c>
      <c r="B5695" t="s">
        <v>339</v>
      </c>
      <c r="C5695" t="s">
        <v>353</v>
      </c>
      <c r="D5695" t="s">
        <v>9705</v>
      </c>
      <c r="E5695" t="s">
        <v>9699</v>
      </c>
      <c r="F5695" s="46">
        <v>46097.325944189812</v>
      </c>
      <c r="G5695" s="46">
        <v>46097.325944189812</v>
      </c>
      <c r="H5695">
        <v>0</v>
      </c>
    </row>
    <row r="5696" spans="1:8" x14ac:dyDescent="0.15">
      <c r="A5696">
        <v>5695</v>
      </c>
      <c r="B5696" t="s">
        <v>339</v>
      </c>
      <c r="C5696" t="s">
        <v>353</v>
      </c>
      <c r="D5696" t="s">
        <v>9706</v>
      </c>
      <c r="E5696" t="s">
        <v>9699</v>
      </c>
      <c r="F5696" s="46">
        <v>46097.325944189812</v>
      </c>
      <c r="G5696" s="46">
        <v>46097.325944374999</v>
      </c>
      <c r="H5696">
        <v>16</v>
      </c>
    </row>
    <row r="5697" spans="1:8" x14ac:dyDescent="0.15">
      <c r="A5697">
        <v>5696</v>
      </c>
      <c r="B5697" t="s">
        <v>339</v>
      </c>
      <c r="C5697" t="s">
        <v>353</v>
      </c>
      <c r="D5697" t="s">
        <v>9707</v>
      </c>
      <c r="E5697" t="s">
        <v>9699</v>
      </c>
      <c r="F5697" s="46">
        <v>46097.325944374999</v>
      </c>
      <c r="G5697" s="46">
        <v>46097.325944374999</v>
      </c>
      <c r="H5697">
        <v>0</v>
      </c>
    </row>
    <row r="5698" spans="1:8" x14ac:dyDescent="0.15">
      <c r="A5698">
        <v>5697</v>
      </c>
      <c r="B5698" t="s">
        <v>339</v>
      </c>
      <c r="C5698" t="s">
        <v>353</v>
      </c>
      <c r="D5698" t="s">
        <v>9708</v>
      </c>
      <c r="E5698" t="s">
        <v>9699</v>
      </c>
      <c r="F5698" s="46">
        <v>46097.325944374999</v>
      </c>
      <c r="G5698" s="46">
        <v>46097.325944374999</v>
      </c>
      <c r="H5698">
        <v>0</v>
      </c>
    </row>
    <row r="5699" spans="1:8" x14ac:dyDescent="0.15">
      <c r="A5699">
        <v>5698</v>
      </c>
      <c r="B5699" t="s">
        <v>339</v>
      </c>
      <c r="C5699" t="s">
        <v>353</v>
      </c>
      <c r="D5699" t="s">
        <v>9709</v>
      </c>
      <c r="E5699" t="s">
        <v>841</v>
      </c>
      <c r="F5699" s="46">
        <v>46097.325944374999</v>
      </c>
      <c r="G5699" s="46">
        <v>46097.325944374999</v>
      </c>
      <c r="H5699">
        <v>0</v>
      </c>
    </row>
    <row r="5700" spans="1:8" x14ac:dyDescent="0.15">
      <c r="A5700">
        <v>5699</v>
      </c>
      <c r="B5700" t="s">
        <v>339</v>
      </c>
      <c r="C5700" t="s">
        <v>353</v>
      </c>
      <c r="D5700" t="s">
        <v>9710</v>
      </c>
      <c r="E5700" t="s">
        <v>841</v>
      </c>
      <c r="F5700" s="46">
        <v>46097.325944374999</v>
      </c>
      <c r="G5700" s="46">
        <v>46097.325944374999</v>
      </c>
      <c r="H5700">
        <v>0</v>
      </c>
    </row>
    <row r="5701" spans="1:8" x14ac:dyDescent="0.15">
      <c r="A5701">
        <v>5700</v>
      </c>
      <c r="B5701" t="s">
        <v>339</v>
      </c>
      <c r="C5701" t="s">
        <v>353</v>
      </c>
      <c r="D5701" t="s">
        <v>9711</v>
      </c>
      <c r="E5701" t="s">
        <v>841</v>
      </c>
      <c r="F5701" s="46">
        <v>46097.325944374999</v>
      </c>
      <c r="G5701" s="46">
        <v>46097.325944374999</v>
      </c>
      <c r="H5701">
        <v>0</v>
      </c>
    </row>
    <row r="5702" spans="1:8" x14ac:dyDescent="0.15">
      <c r="A5702">
        <v>5701</v>
      </c>
      <c r="B5702" t="s">
        <v>339</v>
      </c>
      <c r="C5702" t="s">
        <v>353</v>
      </c>
      <c r="D5702" t="s">
        <v>9712</v>
      </c>
      <c r="E5702" t="s">
        <v>841</v>
      </c>
      <c r="F5702" s="46">
        <v>46097.325944374999</v>
      </c>
      <c r="G5702" s="46">
        <v>46097.325944374999</v>
      </c>
      <c r="H5702">
        <v>0</v>
      </c>
    </row>
    <row r="5703" spans="1:8" x14ac:dyDescent="0.15">
      <c r="A5703">
        <v>5702</v>
      </c>
      <c r="B5703" t="s">
        <v>339</v>
      </c>
      <c r="C5703" t="s">
        <v>353</v>
      </c>
      <c r="D5703" t="s">
        <v>9713</v>
      </c>
      <c r="E5703" t="s">
        <v>841</v>
      </c>
      <c r="F5703" s="46">
        <v>46097.325944374999</v>
      </c>
      <c r="G5703" s="46">
        <v>46097.325944374999</v>
      </c>
      <c r="H5703">
        <v>0</v>
      </c>
    </row>
    <row r="5704" spans="1:8" x14ac:dyDescent="0.15">
      <c r="A5704">
        <v>5703</v>
      </c>
      <c r="B5704" t="s">
        <v>339</v>
      </c>
      <c r="C5704" t="s">
        <v>353</v>
      </c>
      <c r="D5704" t="s">
        <v>9714</v>
      </c>
      <c r="E5704" t="s">
        <v>9715</v>
      </c>
      <c r="F5704" s="46">
        <v>46097.325944374999</v>
      </c>
      <c r="G5704" s="46">
        <v>46097.325944374999</v>
      </c>
      <c r="H5704">
        <v>0</v>
      </c>
    </row>
    <row r="5705" spans="1:8" x14ac:dyDescent="0.15">
      <c r="A5705">
        <v>5704</v>
      </c>
      <c r="B5705" t="s">
        <v>339</v>
      </c>
      <c r="C5705" t="s">
        <v>353</v>
      </c>
      <c r="D5705" t="s">
        <v>9716</v>
      </c>
      <c r="E5705" t="s">
        <v>9717</v>
      </c>
      <c r="F5705" s="46">
        <v>46097.325944374999</v>
      </c>
      <c r="G5705" s="46">
        <v>46097.325944374999</v>
      </c>
      <c r="H5705">
        <v>0</v>
      </c>
    </row>
    <row r="5706" spans="1:8" x14ac:dyDescent="0.15">
      <c r="A5706">
        <v>5705</v>
      </c>
      <c r="B5706" t="s">
        <v>339</v>
      </c>
      <c r="C5706" t="s">
        <v>353</v>
      </c>
      <c r="D5706" t="s">
        <v>9718</v>
      </c>
      <c r="E5706" t="s">
        <v>9719</v>
      </c>
      <c r="F5706" s="46">
        <v>46097.325944374999</v>
      </c>
      <c r="G5706" s="46">
        <v>46097.325944560187</v>
      </c>
      <c r="H5706">
        <v>15</v>
      </c>
    </row>
    <row r="5707" spans="1:8" x14ac:dyDescent="0.15">
      <c r="A5707">
        <v>5706</v>
      </c>
      <c r="B5707" t="s">
        <v>339</v>
      </c>
      <c r="C5707" t="s">
        <v>353</v>
      </c>
      <c r="D5707" t="s">
        <v>9720</v>
      </c>
      <c r="E5707" t="s">
        <v>9721</v>
      </c>
      <c r="F5707" s="46">
        <v>46097.325944560187</v>
      </c>
      <c r="G5707" s="46">
        <v>46097.325944560187</v>
      </c>
      <c r="H5707">
        <v>0</v>
      </c>
    </row>
    <row r="5708" spans="1:8" x14ac:dyDescent="0.15">
      <c r="A5708">
        <v>5707</v>
      </c>
      <c r="B5708" t="s">
        <v>339</v>
      </c>
      <c r="C5708" t="s">
        <v>353</v>
      </c>
      <c r="D5708" t="s">
        <v>9722</v>
      </c>
      <c r="E5708" t="s">
        <v>9721</v>
      </c>
      <c r="F5708" s="46">
        <v>46097.325944560187</v>
      </c>
      <c r="G5708" s="46">
        <v>46097.325944560187</v>
      </c>
      <c r="H5708">
        <v>0</v>
      </c>
    </row>
    <row r="5709" spans="1:8" x14ac:dyDescent="0.15">
      <c r="A5709">
        <v>5708</v>
      </c>
      <c r="B5709" t="s">
        <v>339</v>
      </c>
      <c r="C5709" t="s">
        <v>353</v>
      </c>
      <c r="D5709" t="s">
        <v>9723</v>
      </c>
      <c r="E5709" t="s">
        <v>9724</v>
      </c>
      <c r="F5709" s="46">
        <v>46097.325944560187</v>
      </c>
      <c r="G5709" s="46">
        <v>46097.325944560187</v>
      </c>
      <c r="H5709">
        <v>0</v>
      </c>
    </row>
    <row r="5710" spans="1:8" x14ac:dyDescent="0.15">
      <c r="A5710">
        <v>5709</v>
      </c>
      <c r="B5710" t="s">
        <v>339</v>
      </c>
      <c r="C5710" t="s">
        <v>353</v>
      </c>
      <c r="D5710" t="s">
        <v>9725</v>
      </c>
      <c r="E5710" t="s">
        <v>9726</v>
      </c>
      <c r="F5710" s="46">
        <v>46097.325944560187</v>
      </c>
      <c r="G5710" s="46">
        <v>46097.325944560187</v>
      </c>
      <c r="H5710">
        <v>0</v>
      </c>
    </row>
    <row r="5711" spans="1:8" x14ac:dyDescent="0.15">
      <c r="A5711">
        <v>5710</v>
      </c>
      <c r="B5711" t="s">
        <v>339</v>
      </c>
      <c r="C5711" t="s">
        <v>353</v>
      </c>
      <c r="D5711" t="s">
        <v>9727</v>
      </c>
      <c r="E5711" t="s">
        <v>9728</v>
      </c>
      <c r="F5711" s="46">
        <v>46097.325944560187</v>
      </c>
      <c r="G5711" s="46">
        <v>46097.325944560187</v>
      </c>
      <c r="H5711">
        <v>0</v>
      </c>
    </row>
    <row r="5712" spans="1:8" x14ac:dyDescent="0.15">
      <c r="A5712">
        <v>5711</v>
      </c>
      <c r="B5712" t="s">
        <v>339</v>
      </c>
      <c r="C5712" t="s">
        <v>353</v>
      </c>
      <c r="D5712" t="s">
        <v>9729</v>
      </c>
      <c r="E5712" t="s">
        <v>9728</v>
      </c>
      <c r="F5712" s="46">
        <v>46097.325944560187</v>
      </c>
      <c r="G5712" s="46">
        <v>46097.325944560187</v>
      </c>
      <c r="H5712">
        <v>0</v>
      </c>
    </row>
    <row r="5713" spans="1:8" x14ac:dyDescent="0.15">
      <c r="A5713">
        <v>5712</v>
      </c>
      <c r="B5713" t="s">
        <v>339</v>
      </c>
      <c r="C5713" t="s">
        <v>353</v>
      </c>
      <c r="D5713" t="s">
        <v>9730</v>
      </c>
      <c r="E5713" t="s">
        <v>9731</v>
      </c>
      <c r="F5713" s="46">
        <v>46097.325944560187</v>
      </c>
      <c r="G5713" s="46">
        <v>46097.325944560187</v>
      </c>
      <c r="H5713">
        <v>0</v>
      </c>
    </row>
    <row r="5714" spans="1:8" x14ac:dyDescent="0.15">
      <c r="A5714">
        <v>5713</v>
      </c>
      <c r="B5714" t="s">
        <v>339</v>
      </c>
      <c r="C5714" t="s">
        <v>353</v>
      </c>
      <c r="D5714" t="s">
        <v>9732</v>
      </c>
      <c r="E5714" t="s">
        <v>9731</v>
      </c>
      <c r="F5714" s="46">
        <v>46097.325944560187</v>
      </c>
      <c r="G5714" s="46">
        <v>46097.325944560187</v>
      </c>
      <c r="H5714">
        <v>0</v>
      </c>
    </row>
    <row r="5715" spans="1:8" x14ac:dyDescent="0.15">
      <c r="A5715">
        <v>5714</v>
      </c>
      <c r="B5715" t="s">
        <v>339</v>
      </c>
      <c r="C5715" t="s">
        <v>353</v>
      </c>
      <c r="D5715" t="s">
        <v>9733</v>
      </c>
      <c r="E5715" t="s">
        <v>9734</v>
      </c>
      <c r="F5715" s="46">
        <v>46097.325944560187</v>
      </c>
      <c r="G5715" s="46">
        <v>46097.325944560187</v>
      </c>
      <c r="H5715">
        <v>0</v>
      </c>
    </row>
    <row r="5716" spans="1:8" x14ac:dyDescent="0.15">
      <c r="A5716">
        <v>5715</v>
      </c>
      <c r="B5716" t="s">
        <v>339</v>
      </c>
      <c r="C5716" t="s">
        <v>353</v>
      </c>
      <c r="D5716" t="s">
        <v>9735</v>
      </c>
      <c r="E5716" t="s">
        <v>9734</v>
      </c>
      <c r="F5716" s="46">
        <v>46097.325944560187</v>
      </c>
      <c r="G5716" s="46">
        <v>46097.325944560187</v>
      </c>
      <c r="H5716">
        <v>0</v>
      </c>
    </row>
    <row r="5717" spans="1:8" x14ac:dyDescent="0.15">
      <c r="A5717">
        <v>5716</v>
      </c>
      <c r="B5717" t="s">
        <v>339</v>
      </c>
      <c r="C5717" t="s">
        <v>353</v>
      </c>
      <c r="D5717" t="s">
        <v>9736</v>
      </c>
      <c r="E5717" t="s">
        <v>9734</v>
      </c>
      <c r="F5717" s="46">
        <v>46097.325944560187</v>
      </c>
      <c r="G5717" s="46">
        <v>46097.325944733799</v>
      </c>
      <c r="H5717">
        <v>16</v>
      </c>
    </row>
    <row r="5718" spans="1:8" x14ac:dyDescent="0.15">
      <c r="A5718">
        <v>5717</v>
      </c>
      <c r="B5718" t="s">
        <v>339</v>
      </c>
      <c r="C5718" t="s">
        <v>353</v>
      </c>
      <c r="D5718" t="s">
        <v>9737</v>
      </c>
      <c r="E5718" t="s">
        <v>9734</v>
      </c>
      <c r="F5718" s="46">
        <v>46097.325944733799</v>
      </c>
      <c r="G5718" s="46">
        <v>46097.325944733799</v>
      </c>
      <c r="H5718">
        <v>0</v>
      </c>
    </row>
    <row r="5719" spans="1:8" x14ac:dyDescent="0.15">
      <c r="A5719">
        <v>5718</v>
      </c>
      <c r="B5719" t="s">
        <v>339</v>
      </c>
      <c r="C5719" t="s">
        <v>353</v>
      </c>
      <c r="D5719" t="s">
        <v>9738</v>
      </c>
      <c r="E5719" t="s">
        <v>9739</v>
      </c>
      <c r="F5719" s="46">
        <v>46097.325944733799</v>
      </c>
      <c r="G5719" s="46">
        <v>46097.325944733799</v>
      </c>
      <c r="H5719">
        <v>0</v>
      </c>
    </row>
    <row r="5720" spans="1:8" x14ac:dyDescent="0.15">
      <c r="A5720">
        <v>5719</v>
      </c>
      <c r="B5720" t="s">
        <v>339</v>
      </c>
      <c r="C5720" t="s">
        <v>353</v>
      </c>
      <c r="D5720" t="s">
        <v>9740</v>
      </c>
      <c r="E5720" t="s">
        <v>9739</v>
      </c>
      <c r="F5720" s="46">
        <v>46097.325944733799</v>
      </c>
      <c r="G5720" s="46">
        <v>46097.325944733799</v>
      </c>
      <c r="H5720">
        <v>0</v>
      </c>
    </row>
    <row r="5721" spans="1:8" x14ac:dyDescent="0.15">
      <c r="A5721">
        <v>5720</v>
      </c>
      <c r="B5721" t="s">
        <v>339</v>
      </c>
      <c r="C5721" t="s">
        <v>353</v>
      </c>
      <c r="D5721" t="s">
        <v>9741</v>
      </c>
      <c r="E5721" t="s">
        <v>9739</v>
      </c>
      <c r="F5721" s="46">
        <v>46097.325944733799</v>
      </c>
      <c r="G5721" s="46">
        <v>46097.325944733799</v>
      </c>
      <c r="H5721">
        <v>0</v>
      </c>
    </row>
    <row r="5722" spans="1:8" x14ac:dyDescent="0.15">
      <c r="A5722">
        <v>5721</v>
      </c>
      <c r="B5722" t="s">
        <v>339</v>
      </c>
      <c r="C5722" t="s">
        <v>353</v>
      </c>
      <c r="D5722" t="s">
        <v>9742</v>
      </c>
      <c r="E5722" t="s">
        <v>9743</v>
      </c>
      <c r="F5722" s="46">
        <v>46097.325944733799</v>
      </c>
      <c r="G5722" s="46">
        <v>46097.325944733799</v>
      </c>
      <c r="H5722">
        <v>0</v>
      </c>
    </row>
    <row r="5723" spans="1:8" x14ac:dyDescent="0.15">
      <c r="A5723">
        <v>5722</v>
      </c>
      <c r="B5723" t="s">
        <v>339</v>
      </c>
      <c r="C5723" t="s">
        <v>353</v>
      </c>
      <c r="D5723" t="s">
        <v>9744</v>
      </c>
      <c r="E5723" t="s">
        <v>9743</v>
      </c>
      <c r="F5723" s="46">
        <v>46097.325944733799</v>
      </c>
      <c r="G5723" s="46">
        <v>46097.325944733799</v>
      </c>
      <c r="H5723">
        <v>0</v>
      </c>
    </row>
    <row r="5724" spans="1:8" x14ac:dyDescent="0.15">
      <c r="A5724">
        <v>5723</v>
      </c>
      <c r="B5724" t="s">
        <v>339</v>
      </c>
      <c r="C5724" t="s">
        <v>353</v>
      </c>
      <c r="D5724" t="s">
        <v>9745</v>
      </c>
      <c r="E5724" t="s">
        <v>842</v>
      </c>
      <c r="F5724" s="46">
        <v>46097.325944733799</v>
      </c>
      <c r="G5724" s="46">
        <v>46097.325944733799</v>
      </c>
      <c r="H5724">
        <v>0</v>
      </c>
    </row>
    <row r="5725" spans="1:8" x14ac:dyDescent="0.15">
      <c r="A5725">
        <v>5724</v>
      </c>
      <c r="B5725" t="s">
        <v>339</v>
      </c>
      <c r="C5725" t="s">
        <v>353</v>
      </c>
      <c r="D5725" t="s">
        <v>9746</v>
      </c>
      <c r="E5725" t="s">
        <v>843</v>
      </c>
      <c r="F5725" s="46">
        <v>46097.325944733799</v>
      </c>
      <c r="G5725" s="46">
        <v>46097.325944733799</v>
      </c>
      <c r="H5725">
        <v>0</v>
      </c>
    </row>
    <row r="5726" spans="1:8" x14ac:dyDescent="0.15">
      <c r="A5726">
        <v>5725</v>
      </c>
      <c r="B5726" t="s">
        <v>339</v>
      </c>
      <c r="C5726" t="s">
        <v>353</v>
      </c>
      <c r="D5726" t="s">
        <v>9747</v>
      </c>
      <c r="E5726" t="s">
        <v>843</v>
      </c>
      <c r="F5726" s="46">
        <v>46097.325944733799</v>
      </c>
      <c r="G5726" s="46">
        <v>46097.325944733799</v>
      </c>
      <c r="H5726">
        <v>0</v>
      </c>
    </row>
    <row r="5727" spans="1:8" x14ac:dyDescent="0.15">
      <c r="A5727">
        <v>5726</v>
      </c>
      <c r="B5727" t="s">
        <v>339</v>
      </c>
      <c r="C5727" t="s">
        <v>353</v>
      </c>
      <c r="D5727" t="s">
        <v>9748</v>
      </c>
      <c r="E5727" t="s">
        <v>843</v>
      </c>
      <c r="F5727" s="46">
        <v>46097.325944733799</v>
      </c>
      <c r="G5727" s="46">
        <v>46097.325944918979</v>
      </c>
      <c r="H5727">
        <v>15</v>
      </c>
    </row>
    <row r="5728" spans="1:8" x14ac:dyDescent="0.15">
      <c r="A5728">
        <v>5727</v>
      </c>
      <c r="B5728" t="s">
        <v>339</v>
      </c>
      <c r="C5728" t="s">
        <v>353</v>
      </c>
      <c r="D5728" t="s">
        <v>9749</v>
      </c>
      <c r="E5728" t="s">
        <v>843</v>
      </c>
      <c r="F5728" s="46">
        <v>46097.325944918979</v>
      </c>
      <c r="G5728" s="46">
        <v>46097.325944918979</v>
      </c>
      <c r="H5728">
        <v>0</v>
      </c>
    </row>
    <row r="5729" spans="1:8" x14ac:dyDescent="0.15">
      <c r="A5729">
        <v>5728</v>
      </c>
      <c r="B5729" t="s">
        <v>339</v>
      </c>
      <c r="C5729" t="s">
        <v>353</v>
      </c>
      <c r="D5729" t="s">
        <v>9750</v>
      </c>
      <c r="E5729" t="s">
        <v>843</v>
      </c>
      <c r="F5729" s="46">
        <v>46097.325944918979</v>
      </c>
      <c r="G5729" s="46">
        <v>46097.325944918979</v>
      </c>
      <c r="H5729">
        <v>0</v>
      </c>
    </row>
    <row r="5730" spans="1:8" x14ac:dyDescent="0.15">
      <c r="A5730">
        <v>5729</v>
      </c>
      <c r="B5730" t="s">
        <v>339</v>
      </c>
      <c r="C5730" t="s">
        <v>353</v>
      </c>
      <c r="D5730" t="s">
        <v>9751</v>
      </c>
      <c r="E5730" t="s">
        <v>843</v>
      </c>
      <c r="F5730" s="46">
        <v>46097.325944918979</v>
      </c>
      <c r="G5730" s="46">
        <v>46097.325944918979</v>
      </c>
      <c r="H5730">
        <v>0</v>
      </c>
    </row>
    <row r="5731" spans="1:8" x14ac:dyDescent="0.15">
      <c r="A5731">
        <v>5730</v>
      </c>
      <c r="B5731" t="s">
        <v>339</v>
      </c>
      <c r="C5731" t="s">
        <v>353</v>
      </c>
      <c r="D5731" t="s">
        <v>9752</v>
      </c>
      <c r="E5731" t="s">
        <v>843</v>
      </c>
      <c r="F5731" s="46">
        <v>46097.325944918979</v>
      </c>
      <c r="G5731" s="46">
        <v>46097.325944918979</v>
      </c>
      <c r="H5731">
        <v>0</v>
      </c>
    </row>
    <row r="5732" spans="1:8" x14ac:dyDescent="0.15">
      <c r="A5732">
        <v>5731</v>
      </c>
      <c r="B5732" t="s">
        <v>339</v>
      </c>
      <c r="C5732" t="s">
        <v>353</v>
      </c>
      <c r="D5732" t="s">
        <v>9753</v>
      </c>
      <c r="E5732" t="s">
        <v>843</v>
      </c>
      <c r="F5732" s="46">
        <v>46097.325944918979</v>
      </c>
      <c r="G5732" s="46">
        <v>46097.325944918979</v>
      </c>
      <c r="H5732">
        <v>0</v>
      </c>
    </row>
    <row r="5733" spans="1:8" x14ac:dyDescent="0.15">
      <c r="A5733">
        <v>5732</v>
      </c>
      <c r="B5733" t="s">
        <v>339</v>
      </c>
      <c r="C5733" t="s">
        <v>353</v>
      </c>
      <c r="D5733" t="s">
        <v>9754</v>
      </c>
      <c r="E5733" t="s">
        <v>843</v>
      </c>
      <c r="F5733" s="46">
        <v>46097.325944918979</v>
      </c>
      <c r="G5733" s="46">
        <v>46097.325944918979</v>
      </c>
      <c r="H5733">
        <v>0</v>
      </c>
    </row>
    <row r="5734" spans="1:8" x14ac:dyDescent="0.15">
      <c r="A5734">
        <v>5733</v>
      </c>
      <c r="B5734" t="s">
        <v>339</v>
      </c>
      <c r="C5734" t="s">
        <v>353</v>
      </c>
      <c r="D5734" t="s">
        <v>9755</v>
      </c>
      <c r="E5734" t="s">
        <v>843</v>
      </c>
      <c r="F5734" s="46">
        <v>46097.325944918979</v>
      </c>
      <c r="G5734" s="46">
        <v>46097.325944918979</v>
      </c>
      <c r="H5734">
        <v>0</v>
      </c>
    </row>
    <row r="5735" spans="1:8" x14ac:dyDescent="0.15">
      <c r="A5735">
        <v>5734</v>
      </c>
      <c r="B5735" t="s">
        <v>339</v>
      </c>
      <c r="C5735" t="s">
        <v>353</v>
      </c>
      <c r="D5735" t="s">
        <v>9756</v>
      </c>
      <c r="E5735" t="s">
        <v>843</v>
      </c>
      <c r="F5735" s="46">
        <v>46097.325944918979</v>
      </c>
      <c r="G5735" s="46">
        <v>46097.325944918979</v>
      </c>
      <c r="H5735">
        <v>0</v>
      </c>
    </row>
    <row r="5736" spans="1:8" x14ac:dyDescent="0.15">
      <c r="A5736">
        <v>5735</v>
      </c>
      <c r="B5736" t="s">
        <v>339</v>
      </c>
      <c r="C5736" t="s">
        <v>353</v>
      </c>
      <c r="D5736" t="s">
        <v>9757</v>
      </c>
      <c r="E5736" t="s">
        <v>843</v>
      </c>
      <c r="F5736" s="46">
        <v>46097.325944918979</v>
      </c>
      <c r="G5736" s="46">
        <v>46097.325944918979</v>
      </c>
      <c r="H5736">
        <v>0</v>
      </c>
    </row>
    <row r="5737" spans="1:8" x14ac:dyDescent="0.15">
      <c r="A5737">
        <v>5736</v>
      </c>
      <c r="B5737" t="s">
        <v>339</v>
      </c>
      <c r="C5737" t="s">
        <v>353</v>
      </c>
      <c r="D5737" t="s">
        <v>9758</v>
      </c>
      <c r="E5737" t="s">
        <v>843</v>
      </c>
      <c r="F5737" s="46">
        <v>46097.325944918979</v>
      </c>
      <c r="G5737" s="46">
        <v>46097.325944918979</v>
      </c>
      <c r="H5737">
        <v>0</v>
      </c>
    </row>
    <row r="5738" spans="1:8" x14ac:dyDescent="0.15">
      <c r="A5738">
        <v>5737</v>
      </c>
      <c r="B5738" t="s">
        <v>339</v>
      </c>
      <c r="C5738" t="s">
        <v>353</v>
      </c>
      <c r="D5738" t="s">
        <v>9759</v>
      </c>
      <c r="E5738" t="s">
        <v>843</v>
      </c>
      <c r="F5738" s="46">
        <v>46097.325944918979</v>
      </c>
      <c r="G5738" s="46">
        <v>46097.325945104167</v>
      </c>
      <c r="H5738">
        <v>16</v>
      </c>
    </row>
    <row r="5739" spans="1:8" x14ac:dyDescent="0.15">
      <c r="A5739">
        <v>5738</v>
      </c>
      <c r="B5739" t="s">
        <v>339</v>
      </c>
      <c r="C5739" t="s">
        <v>353</v>
      </c>
      <c r="D5739" t="s">
        <v>9760</v>
      </c>
      <c r="E5739" t="s">
        <v>843</v>
      </c>
      <c r="F5739" s="46">
        <v>46097.325945104167</v>
      </c>
      <c r="G5739" s="46">
        <v>46097.325945104167</v>
      </c>
      <c r="H5739">
        <v>0</v>
      </c>
    </row>
    <row r="5740" spans="1:8" x14ac:dyDescent="0.15">
      <c r="A5740">
        <v>5739</v>
      </c>
      <c r="B5740" t="s">
        <v>339</v>
      </c>
      <c r="C5740" t="s">
        <v>353</v>
      </c>
      <c r="D5740" t="s">
        <v>9761</v>
      </c>
      <c r="E5740" t="s">
        <v>843</v>
      </c>
      <c r="F5740" s="46">
        <v>46097.325945104167</v>
      </c>
      <c r="G5740" s="46">
        <v>46097.325945104167</v>
      </c>
      <c r="H5740">
        <v>0</v>
      </c>
    </row>
    <row r="5741" spans="1:8" x14ac:dyDescent="0.15">
      <c r="A5741">
        <v>5740</v>
      </c>
      <c r="B5741" t="s">
        <v>339</v>
      </c>
      <c r="C5741" t="s">
        <v>353</v>
      </c>
      <c r="D5741" t="s">
        <v>9762</v>
      </c>
      <c r="E5741" t="s">
        <v>843</v>
      </c>
      <c r="F5741" s="46">
        <v>46097.325945104167</v>
      </c>
      <c r="G5741" s="46">
        <v>46097.325945104167</v>
      </c>
      <c r="H5741">
        <v>0</v>
      </c>
    </row>
    <row r="5742" spans="1:8" x14ac:dyDescent="0.15">
      <c r="A5742">
        <v>5741</v>
      </c>
      <c r="B5742" t="s">
        <v>339</v>
      </c>
      <c r="C5742" t="s">
        <v>353</v>
      </c>
      <c r="D5742" t="s">
        <v>9763</v>
      </c>
      <c r="E5742" t="s">
        <v>843</v>
      </c>
      <c r="F5742" s="46">
        <v>46097.325945104167</v>
      </c>
      <c r="G5742" s="46">
        <v>46097.325945104167</v>
      </c>
      <c r="H5742">
        <v>0</v>
      </c>
    </row>
    <row r="5743" spans="1:8" x14ac:dyDescent="0.15">
      <c r="A5743">
        <v>5742</v>
      </c>
      <c r="B5743" t="s">
        <v>339</v>
      </c>
      <c r="C5743" t="s">
        <v>353</v>
      </c>
      <c r="D5743" t="s">
        <v>9764</v>
      </c>
      <c r="E5743" t="s">
        <v>9765</v>
      </c>
      <c r="F5743" s="46">
        <v>46097.325945104167</v>
      </c>
      <c r="G5743" s="46">
        <v>46097.325945104167</v>
      </c>
      <c r="H5743">
        <v>0</v>
      </c>
    </row>
    <row r="5744" spans="1:8" x14ac:dyDescent="0.15">
      <c r="A5744">
        <v>5743</v>
      </c>
      <c r="B5744" t="s">
        <v>339</v>
      </c>
      <c r="C5744" t="s">
        <v>353</v>
      </c>
      <c r="D5744" t="s">
        <v>9766</v>
      </c>
      <c r="E5744" t="s">
        <v>9767</v>
      </c>
      <c r="F5744" s="46">
        <v>46097.325945104167</v>
      </c>
      <c r="G5744" s="46">
        <v>46097.325945104167</v>
      </c>
      <c r="H5744">
        <v>0</v>
      </c>
    </row>
    <row r="5745" spans="1:8" x14ac:dyDescent="0.15">
      <c r="A5745">
        <v>5744</v>
      </c>
      <c r="B5745" t="s">
        <v>339</v>
      </c>
      <c r="C5745" t="s">
        <v>353</v>
      </c>
      <c r="D5745" t="s">
        <v>9768</v>
      </c>
      <c r="E5745" t="s">
        <v>9769</v>
      </c>
      <c r="F5745" s="46">
        <v>46097.325945104167</v>
      </c>
      <c r="G5745" s="46">
        <v>46097.325945104167</v>
      </c>
      <c r="H5745">
        <v>0</v>
      </c>
    </row>
    <row r="5746" spans="1:8" x14ac:dyDescent="0.15">
      <c r="A5746">
        <v>5745</v>
      </c>
      <c r="B5746" t="s">
        <v>339</v>
      </c>
      <c r="C5746" t="s">
        <v>353</v>
      </c>
      <c r="D5746" t="s">
        <v>9770</v>
      </c>
      <c r="E5746" t="s">
        <v>9769</v>
      </c>
      <c r="F5746" s="46">
        <v>46097.325945104167</v>
      </c>
      <c r="G5746" s="46">
        <v>46097.325945104167</v>
      </c>
      <c r="H5746">
        <v>0</v>
      </c>
    </row>
    <row r="5747" spans="1:8" x14ac:dyDescent="0.15">
      <c r="A5747">
        <v>5746</v>
      </c>
      <c r="B5747" t="s">
        <v>339</v>
      </c>
      <c r="C5747" t="s">
        <v>353</v>
      </c>
      <c r="D5747" t="s">
        <v>9771</v>
      </c>
      <c r="E5747" t="s">
        <v>9772</v>
      </c>
      <c r="F5747" s="46">
        <v>46097.325945104167</v>
      </c>
      <c r="G5747" s="46">
        <v>46097.325945104167</v>
      </c>
      <c r="H5747">
        <v>0</v>
      </c>
    </row>
    <row r="5748" spans="1:8" x14ac:dyDescent="0.15">
      <c r="A5748">
        <v>5747</v>
      </c>
      <c r="B5748" t="s">
        <v>339</v>
      </c>
      <c r="C5748" t="s">
        <v>353</v>
      </c>
      <c r="D5748" t="s">
        <v>9773</v>
      </c>
      <c r="E5748" t="s">
        <v>9774</v>
      </c>
      <c r="F5748" s="46">
        <v>46097.325945104167</v>
      </c>
      <c r="G5748" s="46">
        <v>46097.325945104167</v>
      </c>
      <c r="H5748">
        <v>0</v>
      </c>
    </row>
    <row r="5749" spans="1:8" x14ac:dyDescent="0.15">
      <c r="A5749">
        <v>5748</v>
      </c>
      <c r="B5749" t="s">
        <v>339</v>
      </c>
      <c r="C5749" t="s">
        <v>353</v>
      </c>
      <c r="D5749" t="s">
        <v>9775</v>
      </c>
      <c r="E5749" t="s">
        <v>9776</v>
      </c>
      <c r="F5749" s="46">
        <v>46097.325945277778</v>
      </c>
      <c r="G5749" s="46">
        <v>46097.325945277778</v>
      </c>
      <c r="H5749">
        <v>0</v>
      </c>
    </row>
    <row r="5750" spans="1:8" x14ac:dyDescent="0.15">
      <c r="A5750">
        <v>5749</v>
      </c>
      <c r="B5750" t="s">
        <v>339</v>
      </c>
      <c r="C5750" t="s">
        <v>353</v>
      </c>
      <c r="D5750" t="s">
        <v>9777</v>
      </c>
      <c r="E5750" t="s">
        <v>9778</v>
      </c>
      <c r="F5750" s="46">
        <v>46097.325945277778</v>
      </c>
      <c r="G5750" s="46">
        <v>46097.325945277778</v>
      </c>
      <c r="H5750">
        <v>0</v>
      </c>
    </row>
    <row r="5751" spans="1:8" x14ac:dyDescent="0.15">
      <c r="A5751">
        <v>5750</v>
      </c>
      <c r="B5751" t="s">
        <v>339</v>
      </c>
      <c r="C5751" t="s">
        <v>353</v>
      </c>
      <c r="D5751" t="s">
        <v>9779</v>
      </c>
      <c r="E5751" t="s">
        <v>9780</v>
      </c>
      <c r="F5751" s="46">
        <v>46097.325945277778</v>
      </c>
      <c r="G5751" s="46">
        <v>46097.325945277778</v>
      </c>
      <c r="H5751">
        <v>0</v>
      </c>
    </row>
    <row r="5752" spans="1:8" x14ac:dyDescent="0.15">
      <c r="A5752">
        <v>5751</v>
      </c>
      <c r="B5752" t="s">
        <v>339</v>
      </c>
      <c r="C5752" t="s">
        <v>353</v>
      </c>
      <c r="D5752" t="s">
        <v>9781</v>
      </c>
      <c r="E5752" t="s">
        <v>9780</v>
      </c>
      <c r="F5752" s="46">
        <v>46097.325945277778</v>
      </c>
      <c r="G5752" s="46">
        <v>46097.325945277778</v>
      </c>
      <c r="H5752">
        <v>0</v>
      </c>
    </row>
    <row r="5753" spans="1:8" x14ac:dyDescent="0.15">
      <c r="A5753">
        <v>5752</v>
      </c>
      <c r="B5753" t="s">
        <v>339</v>
      </c>
      <c r="C5753" t="s">
        <v>353</v>
      </c>
      <c r="D5753" t="s">
        <v>9782</v>
      </c>
      <c r="E5753" t="s">
        <v>9780</v>
      </c>
      <c r="F5753" s="46">
        <v>46097.325945277778</v>
      </c>
      <c r="G5753" s="46">
        <v>46097.325945277778</v>
      </c>
      <c r="H5753">
        <v>0</v>
      </c>
    </row>
    <row r="5754" spans="1:8" x14ac:dyDescent="0.15">
      <c r="A5754">
        <v>5753</v>
      </c>
      <c r="B5754" t="s">
        <v>339</v>
      </c>
      <c r="C5754" t="s">
        <v>353</v>
      </c>
      <c r="D5754" t="s">
        <v>9783</v>
      </c>
      <c r="E5754" t="s">
        <v>9780</v>
      </c>
      <c r="F5754" s="46">
        <v>46097.325945277778</v>
      </c>
      <c r="G5754" s="46">
        <v>46097.325945277778</v>
      </c>
      <c r="H5754">
        <v>0</v>
      </c>
    </row>
    <row r="5755" spans="1:8" x14ac:dyDescent="0.15">
      <c r="A5755">
        <v>5754</v>
      </c>
      <c r="B5755" t="s">
        <v>339</v>
      </c>
      <c r="C5755" t="s">
        <v>353</v>
      </c>
      <c r="D5755" t="s">
        <v>9784</v>
      </c>
      <c r="E5755" t="s">
        <v>9780</v>
      </c>
      <c r="F5755" s="46">
        <v>46097.325945277778</v>
      </c>
      <c r="G5755" s="46">
        <v>46097.325945277778</v>
      </c>
      <c r="H5755">
        <v>0</v>
      </c>
    </row>
    <row r="5756" spans="1:8" x14ac:dyDescent="0.15">
      <c r="A5756">
        <v>5755</v>
      </c>
      <c r="B5756" t="s">
        <v>339</v>
      </c>
      <c r="C5756" t="s">
        <v>353</v>
      </c>
      <c r="D5756" t="s">
        <v>9785</v>
      </c>
      <c r="E5756" t="s">
        <v>9780</v>
      </c>
      <c r="F5756" s="46">
        <v>46097.325945277778</v>
      </c>
      <c r="G5756" s="46">
        <v>46097.325945277778</v>
      </c>
      <c r="H5756">
        <v>0</v>
      </c>
    </row>
    <row r="5757" spans="1:8" x14ac:dyDescent="0.15">
      <c r="A5757">
        <v>5756</v>
      </c>
      <c r="B5757" t="s">
        <v>339</v>
      </c>
      <c r="C5757" t="s">
        <v>353</v>
      </c>
      <c r="D5757" t="s">
        <v>9786</v>
      </c>
      <c r="E5757" t="s">
        <v>9780</v>
      </c>
      <c r="F5757" s="46">
        <v>46097.325945277778</v>
      </c>
      <c r="G5757" s="46">
        <v>46097.325945277778</v>
      </c>
      <c r="H5757">
        <v>0</v>
      </c>
    </row>
    <row r="5758" spans="1:8" x14ac:dyDescent="0.15">
      <c r="A5758">
        <v>5757</v>
      </c>
      <c r="B5758" t="s">
        <v>339</v>
      </c>
      <c r="C5758" t="s">
        <v>353</v>
      </c>
      <c r="D5758" t="s">
        <v>9787</v>
      </c>
      <c r="E5758" t="s">
        <v>9780</v>
      </c>
      <c r="F5758" s="46">
        <v>46097.325945277778</v>
      </c>
      <c r="G5758" s="46">
        <v>46097.325945277778</v>
      </c>
      <c r="H5758">
        <v>0</v>
      </c>
    </row>
    <row r="5759" spans="1:8" x14ac:dyDescent="0.15">
      <c r="A5759">
        <v>5758</v>
      </c>
      <c r="B5759" t="s">
        <v>339</v>
      </c>
      <c r="C5759" t="s">
        <v>353</v>
      </c>
      <c r="D5759" t="s">
        <v>9788</v>
      </c>
      <c r="E5759" t="s">
        <v>9789</v>
      </c>
      <c r="F5759" s="46">
        <v>46097.325945277778</v>
      </c>
      <c r="G5759" s="46">
        <v>46097.325945462973</v>
      </c>
      <c r="H5759">
        <v>15</v>
      </c>
    </row>
    <row r="5760" spans="1:8" x14ac:dyDescent="0.15">
      <c r="A5760">
        <v>5759</v>
      </c>
      <c r="B5760" t="s">
        <v>339</v>
      </c>
      <c r="C5760" t="s">
        <v>353</v>
      </c>
      <c r="D5760" t="s">
        <v>9790</v>
      </c>
      <c r="E5760" t="s">
        <v>9789</v>
      </c>
      <c r="F5760" s="46">
        <v>46097.325945462973</v>
      </c>
      <c r="G5760" s="46">
        <v>46097.325945462973</v>
      </c>
      <c r="H5760">
        <v>0</v>
      </c>
    </row>
    <row r="5761" spans="1:8" x14ac:dyDescent="0.15">
      <c r="A5761">
        <v>5760</v>
      </c>
      <c r="B5761" t="s">
        <v>339</v>
      </c>
      <c r="C5761" t="s">
        <v>353</v>
      </c>
      <c r="D5761" t="s">
        <v>9791</v>
      </c>
      <c r="E5761" t="s">
        <v>9789</v>
      </c>
      <c r="F5761" s="46">
        <v>46097.325945462973</v>
      </c>
      <c r="G5761" s="46">
        <v>46097.325945462973</v>
      </c>
      <c r="H5761">
        <v>0</v>
      </c>
    </row>
    <row r="5762" spans="1:8" x14ac:dyDescent="0.15">
      <c r="A5762">
        <v>5761</v>
      </c>
      <c r="B5762" t="s">
        <v>339</v>
      </c>
      <c r="C5762" t="s">
        <v>353</v>
      </c>
      <c r="D5762" t="s">
        <v>9792</v>
      </c>
      <c r="E5762" t="s">
        <v>9789</v>
      </c>
      <c r="F5762" s="46">
        <v>46097.325945462973</v>
      </c>
      <c r="G5762" s="46">
        <v>46097.325945462973</v>
      </c>
      <c r="H5762">
        <v>0</v>
      </c>
    </row>
    <row r="5763" spans="1:8" x14ac:dyDescent="0.15">
      <c r="A5763">
        <v>5762</v>
      </c>
      <c r="B5763" t="s">
        <v>339</v>
      </c>
      <c r="C5763" t="s">
        <v>353</v>
      </c>
      <c r="D5763" t="s">
        <v>9793</v>
      </c>
      <c r="E5763" t="s">
        <v>9789</v>
      </c>
      <c r="F5763" s="46">
        <v>46097.325945462973</v>
      </c>
      <c r="G5763" s="46">
        <v>46097.325945462973</v>
      </c>
      <c r="H5763">
        <v>0</v>
      </c>
    </row>
    <row r="5764" spans="1:8" x14ac:dyDescent="0.15">
      <c r="A5764">
        <v>5763</v>
      </c>
      <c r="B5764" t="s">
        <v>339</v>
      </c>
      <c r="C5764" t="s">
        <v>353</v>
      </c>
      <c r="D5764" t="s">
        <v>9794</v>
      </c>
      <c r="E5764" t="s">
        <v>9789</v>
      </c>
      <c r="F5764" s="46">
        <v>46097.325945462973</v>
      </c>
      <c r="G5764" s="46">
        <v>46097.325945462973</v>
      </c>
      <c r="H5764">
        <v>0</v>
      </c>
    </row>
    <row r="5765" spans="1:8" x14ac:dyDescent="0.15">
      <c r="A5765">
        <v>5764</v>
      </c>
      <c r="B5765" t="s">
        <v>339</v>
      </c>
      <c r="C5765" t="s">
        <v>353</v>
      </c>
      <c r="D5765" t="s">
        <v>9795</v>
      </c>
      <c r="E5765" t="s">
        <v>9789</v>
      </c>
      <c r="F5765" s="46">
        <v>46097.325945462973</v>
      </c>
      <c r="G5765" s="46">
        <v>46097.325945462973</v>
      </c>
      <c r="H5765">
        <v>0</v>
      </c>
    </row>
    <row r="5766" spans="1:8" x14ac:dyDescent="0.15">
      <c r="A5766">
        <v>5765</v>
      </c>
      <c r="B5766" t="s">
        <v>339</v>
      </c>
      <c r="C5766" t="s">
        <v>353</v>
      </c>
      <c r="D5766" t="s">
        <v>9796</v>
      </c>
      <c r="E5766" t="s">
        <v>9789</v>
      </c>
      <c r="F5766" s="46">
        <v>46097.325945462973</v>
      </c>
      <c r="G5766" s="46">
        <v>46097.325945462973</v>
      </c>
      <c r="H5766">
        <v>0</v>
      </c>
    </row>
    <row r="5767" spans="1:8" x14ac:dyDescent="0.15">
      <c r="A5767">
        <v>5766</v>
      </c>
      <c r="B5767" t="s">
        <v>339</v>
      </c>
      <c r="C5767" t="s">
        <v>353</v>
      </c>
      <c r="D5767" t="s">
        <v>9797</v>
      </c>
      <c r="E5767" t="s">
        <v>9789</v>
      </c>
      <c r="F5767" s="46">
        <v>46097.325945462973</v>
      </c>
      <c r="G5767" s="46">
        <v>46097.325945462973</v>
      </c>
      <c r="H5767">
        <v>0</v>
      </c>
    </row>
    <row r="5768" spans="1:8" x14ac:dyDescent="0.15">
      <c r="A5768">
        <v>5767</v>
      </c>
      <c r="B5768" t="s">
        <v>339</v>
      </c>
      <c r="C5768" t="s">
        <v>353</v>
      </c>
      <c r="D5768" t="s">
        <v>9798</v>
      </c>
      <c r="E5768" t="s">
        <v>9789</v>
      </c>
      <c r="F5768" s="46">
        <v>46097.325945462973</v>
      </c>
      <c r="G5768" s="46">
        <v>46097.325945462973</v>
      </c>
      <c r="H5768">
        <v>0</v>
      </c>
    </row>
    <row r="5769" spans="1:8" x14ac:dyDescent="0.15">
      <c r="A5769">
        <v>5768</v>
      </c>
      <c r="B5769" t="s">
        <v>339</v>
      </c>
      <c r="C5769" t="s">
        <v>353</v>
      </c>
      <c r="D5769" t="s">
        <v>9799</v>
      </c>
      <c r="E5769" t="s">
        <v>9789</v>
      </c>
      <c r="F5769" s="46">
        <v>46097.325945462973</v>
      </c>
      <c r="G5769" s="46">
        <v>46097.325945462973</v>
      </c>
      <c r="H5769">
        <v>0</v>
      </c>
    </row>
    <row r="5770" spans="1:8" x14ac:dyDescent="0.15">
      <c r="A5770">
        <v>5769</v>
      </c>
      <c r="B5770" t="s">
        <v>339</v>
      </c>
      <c r="C5770" t="s">
        <v>353</v>
      </c>
      <c r="D5770" t="s">
        <v>9800</v>
      </c>
      <c r="E5770" t="s">
        <v>9789</v>
      </c>
      <c r="F5770" s="46">
        <v>46097.325945462973</v>
      </c>
      <c r="G5770" s="46">
        <v>46097.325945636578</v>
      </c>
      <c r="H5770">
        <v>16</v>
      </c>
    </row>
    <row r="5771" spans="1:8" x14ac:dyDescent="0.15">
      <c r="A5771">
        <v>5770</v>
      </c>
      <c r="B5771" t="s">
        <v>339</v>
      </c>
      <c r="C5771" t="s">
        <v>353</v>
      </c>
      <c r="D5771" t="s">
        <v>9801</v>
      </c>
      <c r="E5771" t="s">
        <v>9789</v>
      </c>
      <c r="F5771" s="46">
        <v>46097.325945636578</v>
      </c>
      <c r="G5771" s="46">
        <v>46097.325945636578</v>
      </c>
      <c r="H5771">
        <v>0</v>
      </c>
    </row>
    <row r="5772" spans="1:8" x14ac:dyDescent="0.15">
      <c r="A5772">
        <v>5771</v>
      </c>
      <c r="B5772" t="s">
        <v>339</v>
      </c>
      <c r="C5772" t="s">
        <v>353</v>
      </c>
      <c r="D5772" t="s">
        <v>9802</v>
      </c>
      <c r="E5772" t="s">
        <v>9803</v>
      </c>
      <c r="F5772" s="46">
        <v>46097.325945636578</v>
      </c>
      <c r="G5772" s="46">
        <v>46097.325945636578</v>
      </c>
      <c r="H5772">
        <v>0</v>
      </c>
    </row>
    <row r="5773" spans="1:8" x14ac:dyDescent="0.15">
      <c r="A5773">
        <v>5772</v>
      </c>
      <c r="B5773" t="s">
        <v>339</v>
      </c>
      <c r="C5773" t="s">
        <v>353</v>
      </c>
      <c r="D5773" t="s">
        <v>9804</v>
      </c>
      <c r="E5773" t="s">
        <v>9803</v>
      </c>
      <c r="F5773" s="46">
        <v>46097.325945636578</v>
      </c>
      <c r="G5773" s="46">
        <v>46097.325945636578</v>
      </c>
      <c r="H5773">
        <v>0</v>
      </c>
    </row>
    <row r="5774" spans="1:8" x14ac:dyDescent="0.15">
      <c r="A5774">
        <v>5773</v>
      </c>
      <c r="B5774" t="s">
        <v>339</v>
      </c>
      <c r="C5774" t="s">
        <v>353</v>
      </c>
      <c r="D5774" t="s">
        <v>9805</v>
      </c>
      <c r="E5774" t="s">
        <v>9806</v>
      </c>
      <c r="F5774" s="46">
        <v>46097.325945636578</v>
      </c>
      <c r="G5774" s="46">
        <v>46097.325945636578</v>
      </c>
      <c r="H5774">
        <v>0</v>
      </c>
    </row>
    <row r="5775" spans="1:8" x14ac:dyDescent="0.15">
      <c r="A5775">
        <v>5774</v>
      </c>
      <c r="B5775" t="s">
        <v>339</v>
      </c>
      <c r="C5775" t="s">
        <v>353</v>
      </c>
      <c r="D5775" t="s">
        <v>9807</v>
      </c>
      <c r="E5775" t="s">
        <v>9806</v>
      </c>
      <c r="F5775" s="46">
        <v>46097.325945636578</v>
      </c>
      <c r="G5775" s="46">
        <v>46097.325945636578</v>
      </c>
      <c r="H5775">
        <v>0</v>
      </c>
    </row>
    <row r="5776" spans="1:8" x14ac:dyDescent="0.15">
      <c r="A5776">
        <v>5775</v>
      </c>
      <c r="B5776" t="s">
        <v>339</v>
      </c>
      <c r="C5776" t="s">
        <v>353</v>
      </c>
      <c r="D5776" t="s">
        <v>9808</v>
      </c>
      <c r="E5776" t="s">
        <v>9806</v>
      </c>
      <c r="F5776" s="46">
        <v>46097.325945636578</v>
      </c>
      <c r="G5776" s="46">
        <v>46097.325945636578</v>
      </c>
      <c r="H5776">
        <v>0</v>
      </c>
    </row>
    <row r="5777" spans="1:8" x14ac:dyDescent="0.15">
      <c r="A5777">
        <v>5776</v>
      </c>
      <c r="B5777" t="s">
        <v>339</v>
      </c>
      <c r="C5777" t="s">
        <v>353</v>
      </c>
      <c r="D5777" t="s">
        <v>9809</v>
      </c>
      <c r="E5777" t="s">
        <v>9806</v>
      </c>
      <c r="F5777" s="46">
        <v>46097.325945636578</v>
      </c>
      <c r="G5777" s="46">
        <v>46097.325945636578</v>
      </c>
      <c r="H5777">
        <v>0</v>
      </c>
    </row>
    <row r="5778" spans="1:8" x14ac:dyDescent="0.15">
      <c r="A5778">
        <v>5777</v>
      </c>
      <c r="B5778" t="s">
        <v>339</v>
      </c>
      <c r="C5778" t="s">
        <v>353</v>
      </c>
      <c r="D5778" t="s">
        <v>9810</v>
      </c>
      <c r="E5778" t="s">
        <v>9806</v>
      </c>
      <c r="F5778" s="46">
        <v>46097.325945636578</v>
      </c>
      <c r="G5778" s="46">
        <v>46097.325945636578</v>
      </c>
      <c r="H5778">
        <v>0</v>
      </c>
    </row>
    <row r="5779" spans="1:8" x14ac:dyDescent="0.15">
      <c r="A5779">
        <v>5778</v>
      </c>
      <c r="B5779" t="s">
        <v>339</v>
      </c>
      <c r="C5779" t="s">
        <v>353</v>
      </c>
      <c r="D5779" t="s">
        <v>9811</v>
      </c>
      <c r="E5779" t="s">
        <v>9806</v>
      </c>
      <c r="F5779" s="46">
        <v>46097.325945636578</v>
      </c>
      <c r="G5779" s="46">
        <v>46097.325945636578</v>
      </c>
      <c r="H5779">
        <v>0</v>
      </c>
    </row>
    <row r="5780" spans="1:8" x14ac:dyDescent="0.15">
      <c r="A5780">
        <v>5779</v>
      </c>
      <c r="B5780" t="s">
        <v>339</v>
      </c>
      <c r="C5780" t="s">
        <v>353</v>
      </c>
      <c r="D5780" t="s">
        <v>9812</v>
      </c>
      <c r="E5780" t="s">
        <v>9806</v>
      </c>
      <c r="F5780" s="46">
        <v>46097.325945636578</v>
      </c>
      <c r="G5780" s="46">
        <v>46097.325945821758</v>
      </c>
      <c r="H5780">
        <v>16</v>
      </c>
    </row>
    <row r="5781" spans="1:8" x14ac:dyDescent="0.15">
      <c r="A5781">
        <v>5780</v>
      </c>
      <c r="B5781" t="s">
        <v>339</v>
      </c>
      <c r="C5781" t="s">
        <v>353</v>
      </c>
      <c r="D5781" t="s">
        <v>9813</v>
      </c>
      <c r="E5781" t="s">
        <v>9806</v>
      </c>
      <c r="F5781" s="46">
        <v>46097.325945821758</v>
      </c>
      <c r="G5781" s="46">
        <v>46097.325945821758</v>
      </c>
      <c r="H5781">
        <v>0</v>
      </c>
    </row>
    <row r="5782" spans="1:8" x14ac:dyDescent="0.15">
      <c r="A5782">
        <v>5781</v>
      </c>
      <c r="B5782" t="s">
        <v>339</v>
      </c>
      <c r="C5782" t="s">
        <v>353</v>
      </c>
      <c r="D5782" t="s">
        <v>9814</v>
      </c>
      <c r="E5782" t="s">
        <v>9806</v>
      </c>
      <c r="F5782" s="46">
        <v>46097.325945821758</v>
      </c>
      <c r="G5782" s="46">
        <v>46097.325945821758</v>
      </c>
      <c r="H5782">
        <v>0</v>
      </c>
    </row>
    <row r="5783" spans="1:8" x14ac:dyDescent="0.15">
      <c r="A5783">
        <v>5782</v>
      </c>
      <c r="B5783" t="s">
        <v>339</v>
      </c>
      <c r="C5783" t="s">
        <v>353</v>
      </c>
      <c r="D5783" t="s">
        <v>9815</v>
      </c>
      <c r="E5783" t="s">
        <v>9806</v>
      </c>
      <c r="F5783" s="46">
        <v>46097.325945821758</v>
      </c>
      <c r="G5783" s="46">
        <v>46097.325945868048</v>
      </c>
      <c r="H5783">
        <v>4</v>
      </c>
    </row>
    <row r="5784" spans="1:8" x14ac:dyDescent="0.15">
      <c r="A5784">
        <v>5783</v>
      </c>
      <c r="B5784" t="s">
        <v>339</v>
      </c>
      <c r="C5784" t="s">
        <v>353</v>
      </c>
      <c r="D5784" t="s">
        <v>9816</v>
      </c>
      <c r="E5784" t="s">
        <v>9806</v>
      </c>
      <c r="F5784" s="46">
        <v>46097.325945868048</v>
      </c>
      <c r="G5784" s="46">
        <v>46097.325945868048</v>
      </c>
      <c r="H5784">
        <v>0</v>
      </c>
    </row>
    <row r="5785" spans="1:8" x14ac:dyDescent="0.15">
      <c r="A5785">
        <v>5784</v>
      </c>
      <c r="B5785" t="s">
        <v>339</v>
      </c>
      <c r="C5785" t="s">
        <v>353</v>
      </c>
      <c r="D5785" t="s">
        <v>9817</v>
      </c>
      <c r="E5785" t="s">
        <v>9806</v>
      </c>
      <c r="F5785" s="46">
        <v>46097.325945868048</v>
      </c>
      <c r="G5785" s="46">
        <v>46097.325945868048</v>
      </c>
      <c r="H5785">
        <v>0</v>
      </c>
    </row>
    <row r="5786" spans="1:8" x14ac:dyDescent="0.15">
      <c r="A5786">
        <v>5785</v>
      </c>
      <c r="B5786" t="s">
        <v>339</v>
      </c>
      <c r="C5786" t="s">
        <v>353</v>
      </c>
      <c r="D5786" t="s">
        <v>9818</v>
      </c>
      <c r="E5786" t="s">
        <v>9806</v>
      </c>
      <c r="F5786" s="46">
        <v>46097.325945868048</v>
      </c>
      <c r="G5786" s="46">
        <v>46097.325945868048</v>
      </c>
      <c r="H5786">
        <v>0</v>
      </c>
    </row>
    <row r="5787" spans="1:8" x14ac:dyDescent="0.15">
      <c r="A5787">
        <v>5786</v>
      </c>
      <c r="B5787" t="s">
        <v>339</v>
      </c>
      <c r="C5787" t="s">
        <v>353</v>
      </c>
      <c r="D5787" t="s">
        <v>9819</v>
      </c>
      <c r="E5787" t="s">
        <v>844</v>
      </c>
      <c r="F5787" s="46">
        <v>46097.325945868048</v>
      </c>
      <c r="G5787" s="46">
        <v>46097.325945868048</v>
      </c>
      <c r="H5787">
        <v>0</v>
      </c>
    </row>
    <row r="5788" spans="1:8" x14ac:dyDescent="0.15">
      <c r="A5788">
        <v>5787</v>
      </c>
      <c r="B5788" t="s">
        <v>339</v>
      </c>
      <c r="C5788" t="s">
        <v>353</v>
      </c>
      <c r="D5788" t="s">
        <v>9820</v>
      </c>
      <c r="E5788" t="s">
        <v>9821</v>
      </c>
      <c r="F5788" s="46">
        <v>46097.325945868048</v>
      </c>
      <c r="G5788" s="46">
        <v>46097.325945868048</v>
      </c>
      <c r="H5788">
        <v>0</v>
      </c>
    </row>
    <row r="5789" spans="1:8" x14ac:dyDescent="0.15">
      <c r="A5789">
        <v>5788</v>
      </c>
      <c r="B5789" t="s">
        <v>339</v>
      </c>
      <c r="C5789" t="s">
        <v>353</v>
      </c>
      <c r="D5789" t="s">
        <v>9822</v>
      </c>
      <c r="E5789" t="s">
        <v>9823</v>
      </c>
      <c r="F5789" s="46">
        <v>46097.325945868048</v>
      </c>
      <c r="G5789" s="46">
        <v>46097.325945868048</v>
      </c>
      <c r="H5789">
        <v>0</v>
      </c>
    </row>
    <row r="5790" spans="1:8" x14ac:dyDescent="0.15">
      <c r="A5790">
        <v>5789</v>
      </c>
      <c r="B5790" t="s">
        <v>339</v>
      </c>
      <c r="C5790" t="s">
        <v>353</v>
      </c>
      <c r="D5790" t="s">
        <v>9824</v>
      </c>
      <c r="E5790" t="s">
        <v>9825</v>
      </c>
      <c r="F5790" s="46">
        <v>46097.325945868048</v>
      </c>
      <c r="G5790" s="46">
        <v>46097.325945868048</v>
      </c>
      <c r="H5790">
        <v>0</v>
      </c>
    </row>
    <row r="5791" spans="1:8" x14ac:dyDescent="0.15">
      <c r="A5791">
        <v>5790</v>
      </c>
      <c r="B5791" t="s">
        <v>339</v>
      </c>
      <c r="C5791" t="s">
        <v>353</v>
      </c>
      <c r="D5791" t="s">
        <v>9826</v>
      </c>
      <c r="E5791" t="s">
        <v>9827</v>
      </c>
      <c r="F5791" s="46">
        <v>46097.325945868048</v>
      </c>
      <c r="G5791" s="46">
        <v>46097.325945868048</v>
      </c>
      <c r="H5791">
        <v>0</v>
      </c>
    </row>
    <row r="5792" spans="1:8" x14ac:dyDescent="0.15">
      <c r="A5792">
        <v>5791</v>
      </c>
      <c r="B5792" t="s">
        <v>339</v>
      </c>
      <c r="C5792" t="s">
        <v>353</v>
      </c>
      <c r="D5792" t="s">
        <v>9828</v>
      </c>
      <c r="E5792" t="s">
        <v>9829</v>
      </c>
      <c r="F5792" s="46">
        <v>46097.325945868048</v>
      </c>
      <c r="G5792" s="46">
        <v>46097.325945868048</v>
      </c>
      <c r="H5792">
        <v>0</v>
      </c>
    </row>
    <row r="5793" spans="1:8" x14ac:dyDescent="0.15">
      <c r="A5793">
        <v>5792</v>
      </c>
      <c r="B5793" t="s">
        <v>339</v>
      </c>
      <c r="C5793" t="s">
        <v>353</v>
      </c>
      <c r="D5793" t="s">
        <v>9830</v>
      </c>
      <c r="E5793" t="s">
        <v>9829</v>
      </c>
      <c r="F5793" s="46">
        <v>46097.325945868048</v>
      </c>
      <c r="G5793" s="46">
        <v>46097.325945868048</v>
      </c>
      <c r="H5793">
        <v>0</v>
      </c>
    </row>
    <row r="5794" spans="1:8" x14ac:dyDescent="0.15">
      <c r="A5794">
        <v>5793</v>
      </c>
      <c r="B5794" t="s">
        <v>339</v>
      </c>
      <c r="C5794" t="s">
        <v>353</v>
      </c>
      <c r="D5794" t="s">
        <v>9831</v>
      </c>
      <c r="E5794" t="s">
        <v>9829</v>
      </c>
      <c r="F5794" s="46">
        <v>46097.325945868048</v>
      </c>
      <c r="G5794" s="46">
        <v>46097.325946053243</v>
      </c>
      <c r="H5794">
        <v>15</v>
      </c>
    </row>
    <row r="5795" spans="1:8" x14ac:dyDescent="0.15">
      <c r="A5795">
        <v>5794</v>
      </c>
      <c r="B5795" t="s">
        <v>339</v>
      </c>
      <c r="C5795" t="s">
        <v>353</v>
      </c>
      <c r="D5795" t="s">
        <v>9832</v>
      </c>
      <c r="E5795" t="s">
        <v>9833</v>
      </c>
      <c r="F5795" s="46">
        <v>46097.325946053243</v>
      </c>
      <c r="G5795" s="46">
        <v>46097.325946053243</v>
      </c>
      <c r="H5795">
        <v>0</v>
      </c>
    </row>
    <row r="5796" spans="1:8" x14ac:dyDescent="0.15">
      <c r="A5796">
        <v>5795</v>
      </c>
      <c r="B5796" t="s">
        <v>339</v>
      </c>
      <c r="C5796" t="s">
        <v>353</v>
      </c>
      <c r="D5796" t="s">
        <v>9834</v>
      </c>
      <c r="E5796" t="s">
        <v>9835</v>
      </c>
      <c r="F5796" s="46">
        <v>46097.325946053243</v>
      </c>
      <c r="G5796" s="46">
        <v>46097.325946053243</v>
      </c>
      <c r="H5796">
        <v>0</v>
      </c>
    </row>
    <row r="5797" spans="1:8" x14ac:dyDescent="0.15">
      <c r="A5797">
        <v>5796</v>
      </c>
      <c r="B5797" t="s">
        <v>339</v>
      </c>
      <c r="C5797" t="s">
        <v>353</v>
      </c>
      <c r="D5797" t="s">
        <v>9836</v>
      </c>
      <c r="E5797" t="s">
        <v>9835</v>
      </c>
      <c r="F5797" s="46">
        <v>46097.325946053243</v>
      </c>
      <c r="G5797" s="46">
        <v>46097.325946053243</v>
      </c>
      <c r="H5797">
        <v>0</v>
      </c>
    </row>
    <row r="5798" spans="1:8" x14ac:dyDescent="0.15">
      <c r="A5798">
        <v>5797</v>
      </c>
      <c r="B5798" t="s">
        <v>339</v>
      </c>
      <c r="C5798" t="s">
        <v>353</v>
      </c>
      <c r="D5798" t="s">
        <v>9837</v>
      </c>
      <c r="E5798" t="s">
        <v>9838</v>
      </c>
      <c r="F5798" s="46">
        <v>46097.325946053243</v>
      </c>
      <c r="G5798" s="46">
        <v>46097.325946053243</v>
      </c>
      <c r="H5798">
        <v>0</v>
      </c>
    </row>
    <row r="5799" spans="1:8" x14ac:dyDescent="0.15">
      <c r="A5799">
        <v>5798</v>
      </c>
      <c r="B5799" t="s">
        <v>339</v>
      </c>
      <c r="C5799" t="s">
        <v>353</v>
      </c>
      <c r="D5799" t="s">
        <v>9839</v>
      </c>
      <c r="E5799" t="s">
        <v>845</v>
      </c>
      <c r="F5799" s="46">
        <v>46097.325946053243</v>
      </c>
      <c r="G5799" s="46">
        <v>46097.325946053243</v>
      </c>
      <c r="H5799">
        <v>0</v>
      </c>
    </row>
    <row r="5800" spans="1:8" x14ac:dyDescent="0.15">
      <c r="A5800">
        <v>5799</v>
      </c>
      <c r="B5800" t="s">
        <v>339</v>
      </c>
      <c r="C5800" t="s">
        <v>353</v>
      </c>
      <c r="D5800" t="s">
        <v>9840</v>
      </c>
      <c r="E5800" t="s">
        <v>846</v>
      </c>
      <c r="F5800" s="46">
        <v>46097.325946053243</v>
      </c>
      <c r="G5800" s="46">
        <v>46097.325946053243</v>
      </c>
      <c r="H5800">
        <v>0</v>
      </c>
    </row>
    <row r="5801" spans="1:8" x14ac:dyDescent="0.15">
      <c r="A5801">
        <v>5800</v>
      </c>
      <c r="B5801" t="s">
        <v>339</v>
      </c>
      <c r="C5801" t="s">
        <v>353</v>
      </c>
      <c r="D5801" t="s">
        <v>9841</v>
      </c>
      <c r="E5801" t="s">
        <v>9842</v>
      </c>
      <c r="F5801" s="46">
        <v>46097.325946053243</v>
      </c>
      <c r="G5801" s="46">
        <v>46097.325946053243</v>
      </c>
      <c r="H5801">
        <v>0</v>
      </c>
    </row>
    <row r="5802" spans="1:8" x14ac:dyDescent="0.15">
      <c r="A5802">
        <v>5801</v>
      </c>
      <c r="B5802" t="s">
        <v>339</v>
      </c>
      <c r="C5802" t="s">
        <v>353</v>
      </c>
      <c r="D5802" t="s">
        <v>9843</v>
      </c>
      <c r="E5802" t="s">
        <v>9844</v>
      </c>
      <c r="F5802" s="46">
        <v>46097.325946053243</v>
      </c>
      <c r="G5802" s="46">
        <v>46097.325946053243</v>
      </c>
      <c r="H5802">
        <v>0</v>
      </c>
    </row>
    <row r="5803" spans="1:8" x14ac:dyDescent="0.15">
      <c r="A5803">
        <v>5802</v>
      </c>
      <c r="B5803" t="s">
        <v>339</v>
      </c>
      <c r="C5803" t="s">
        <v>353</v>
      </c>
      <c r="D5803" t="s">
        <v>9845</v>
      </c>
      <c r="E5803" t="s">
        <v>9846</v>
      </c>
      <c r="F5803" s="46">
        <v>46097.325946053243</v>
      </c>
      <c r="G5803" s="46">
        <v>46097.325946053243</v>
      </c>
      <c r="H5803">
        <v>0</v>
      </c>
    </row>
    <row r="5804" spans="1:8" x14ac:dyDescent="0.15">
      <c r="A5804">
        <v>5803</v>
      </c>
      <c r="B5804" t="s">
        <v>339</v>
      </c>
      <c r="C5804" t="s">
        <v>353</v>
      </c>
      <c r="D5804" t="s">
        <v>9847</v>
      </c>
      <c r="E5804" t="s">
        <v>9848</v>
      </c>
      <c r="F5804" s="46">
        <v>46097.325946053243</v>
      </c>
      <c r="G5804" s="46">
        <v>46097.325946238423</v>
      </c>
      <c r="H5804">
        <v>16</v>
      </c>
    </row>
    <row r="5805" spans="1:8" x14ac:dyDescent="0.15">
      <c r="A5805">
        <v>5804</v>
      </c>
      <c r="B5805" t="s">
        <v>339</v>
      </c>
      <c r="C5805" t="s">
        <v>353</v>
      </c>
      <c r="D5805" t="s">
        <v>9849</v>
      </c>
      <c r="E5805" t="s">
        <v>9848</v>
      </c>
      <c r="F5805" s="46">
        <v>46097.325946238423</v>
      </c>
      <c r="G5805" s="46">
        <v>46097.325946238423</v>
      </c>
      <c r="H5805">
        <v>0</v>
      </c>
    </row>
    <row r="5806" spans="1:8" x14ac:dyDescent="0.15">
      <c r="A5806">
        <v>5805</v>
      </c>
      <c r="B5806" t="s">
        <v>339</v>
      </c>
      <c r="C5806" t="s">
        <v>353</v>
      </c>
      <c r="D5806" t="s">
        <v>9850</v>
      </c>
      <c r="E5806" t="s">
        <v>9848</v>
      </c>
      <c r="F5806" s="46">
        <v>46097.325946238423</v>
      </c>
      <c r="G5806" s="46">
        <v>46097.325946238423</v>
      </c>
      <c r="H5806">
        <v>0</v>
      </c>
    </row>
    <row r="5807" spans="1:8" x14ac:dyDescent="0.15">
      <c r="A5807">
        <v>5806</v>
      </c>
      <c r="B5807" t="s">
        <v>339</v>
      </c>
      <c r="C5807" t="s">
        <v>353</v>
      </c>
      <c r="D5807" t="s">
        <v>9851</v>
      </c>
      <c r="E5807" t="s">
        <v>9852</v>
      </c>
      <c r="F5807" s="46">
        <v>46097.325946238423</v>
      </c>
      <c r="G5807" s="46">
        <v>46097.325946238423</v>
      </c>
      <c r="H5807">
        <v>0</v>
      </c>
    </row>
    <row r="5808" spans="1:8" x14ac:dyDescent="0.15">
      <c r="A5808">
        <v>5807</v>
      </c>
      <c r="B5808" t="s">
        <v>339</v>
      </c>
      <c r="C5808" t="s">
        <v>353</v>
      </c>
      <c r="D5808" t="s">
        <v>9853</v>
      </c>
      <c r="E5808" t="s">
        <v>9852</v>
      </c>
      <c r="F5808" s="46">
        <v>46097.325946238423</v>
      </c>
      <c r="G5808" s="46">
        <v>46097.325946238423</v>
      </c>
      <c r="H5808">
        <v>0</v>
      </c>
    </row>
    <row r="5809" spans="1:8" x14ac:dyDescent="0.15">
      <c r="A5809">
        <v>5808</v>
      </c>
      <c r="B5809" t="s">
        <v>339</v>
      </c>
      <c r="C5809" t="s">
        <v>353</v>
      </c>
      <c r="D5809" t="s">
        <v>9854</v>
      </c>
      <c r="E5809" t="s">
        <v>9852</v>
      </c>
      <c r="F5809" s="46">
        <v>46097.325946238423</v>
      </c>
      <c r="G5809" s="46">
        <v>46097.325946238423</v>
      </c>
      <c r="H5809">
        <v>0</v>
      </c>
    </row>
    <row r="5810" spans="1:8" x14ac:dyDescent="0.15">
      <c r="A5810">
        <v>5809</v>
      </c>
      <c r="B5810" t="s">
        <v>339</v>
      </c>
      <c r="C5810" t="s">
        <v>353</v>
      </c>
      <c r="D5810" t="s">
        <v>9855</v>
      </c>
      <c r="E5810" t="s">
        <v>9852</v>
      </c>
      <c r="F5810" s="46">
        <v>46097.325946238423</v>
      </c>
      <c r="G5810" s="46">
        <v>46097.325946238423</v>
      </c>
      <c r="H5810">
        <v>0</v>
      </c>
    </row>
    <row r="5811" spans="1:8" x14ac:dyDescent="0.15">
      <c r="A5811">
        <v>5810</v>
      </c>
      <c r="B5811" t="s">
        <v>339</v>
      </c>
      <c r="C5811" t="s">
        <v>353</v>
      </c>
      <c r="D5811" t="s">
        <v>9856</v>
      </c>
      <c r="E5811" t="s">
        <v>9852</v>
      </c>
      <c r="F5811" s="46">
        <v>46097.325946238423</v>
      </c>
      <c r="G5811" s="46">
        <v>46097.325946238423</v>
      </c>
      <c r="H5811">
        <v>0</v>
      </c>
    </row>
    <row r="5812" spans="1:8" x14ac:dyDescent="0.15">
      <c r="A5812">
        <v>5811</v>
      </c>
      <c r="B5812" t="s">
        <v>339</v>
      </c>
      <c r="C5812" t="s">
        <v>353</v>
      </c>
      <c r="D5812" t="s">
        <v>9857</v>
      </c>
      <c r="E5812" t="s">
        <v>9852</v>
      </c>
      <c r="F5812" s="46">
        <v>46097.325946238423</v>
      </c>
      <c r="G5812" s="46">
        <v>46097.325946238423</v>
      </c>
      <c r="H5812">
        <v>0</v>
      </c>
    </row>
    <row r="5813" spans="1:8" x14ac:dyDescent="0.15">
      <c r="A5813">
        <v>5812</v>
      </c>
      <c r="B5813" t="s">
        <v>339</v>
      </c>
      <c r="C5813" t="s">
        <v>353</v>
      </c>
      <c r="D5813" t="s">
        <v>9858</v>
      </c>
      <c r="E5813" t="s">
        <v>9852</v>
      </c>
      <c r="F5813" s="46">
        <v>46097.325946238423</v>
      </c>
      <c r="G5813" s="46">
        <v>46097.325946238423</v>
      </c>
      <c r="H5813">
        <v>0</v>
      </c>
    </row>
    <row r="5814" spans="1:8" x14ac:dyDescent="0.15">
      <c r="A5814">
        <v>5813</v>
      </c>
      <c r="B5814" t="s">
        <v>339</v>
      </c>
      <c r="C5814" t="s">
        <v>353</v>
      </c>
      <c r="D5814" t="s">
        <v>9859</v>
      </c>
      <c r="E5814" t="s">
        <v>9852</v>
      </c>
      <c r="F5814" s="46">
        <v>46097.325946238423</v>
      </c>
      <c r="G5814" s="46">
        <v>46097.325946238423</v>
      </c>
      <c r="H5814">
        <v>0</v>
      </c>
    </row>
    <row r="5815" spans="1:8" x14ac:dyDescent="0.15">
      <c r="A5815">
        <v>5814</v>
      </c>
      <c r="B5815" t="s">
        <v>339</v>
      </c>
      <c r="C5815" t="s">
        <v>353</v>
      </c>
      <c r="D5815" t="s">
        <v>9860</v>
      </c>
      <c r="E5815" t="s">
        <v>9852</v>
      </c>
      <c r="F5815" s="46">
        <v>46097.325946238423</v>
      </c>
      <c r="G5815" s="46">
        <v>46097.325946412027</v>
      </c>
      <c r="H5815">
        <v>16</v>
      </c>
    </row>
    <row r="5816" spans="1:8" x14ac:dyDescent="0.15">
      <c r="A5816">
        <v>5815</v>
      </c>
      <c r="B5816" t="s">
        <v>339</v>
      </c>
      <c r="C5816" t="s">
        <v>353</v>
      </c>
      <c r="D5816" t="s">
        <v>9861</v>
      </c>
      <c r="E5816" t="s">
        <v>9852</v>
      </c>
      <c r="F5816" s="46">
        <v>46097.325946412027</v>
      </c>
      <c r="G5816" s="46">
        <v>46097.325946412027</v>
      </c>
      <c r="H5816">
        <v>0</v>
      </c>
    </row>
    <row r="5817" spans="1:8" x14ac:dyDescent="0.15">
      <c r="A5817">
        <v>5816</v>
      </c>
      <c r="B5817" t="s">
        <v>339</v>
      </c>
      <c r="C5817" t="s">
        <v>353</v>
      </c>
      <c r="D5817" t="s">
        <v>9862</v>
      </c>
      <c r="E5817" t="s">
        <v>9852</v>
      </c>
      <c r="F5817" s="46">
        <v>46097.325946412027</v>
      </c>
      <c r="G5817" s="46">
        <v>46097.325946412027</v>
      </c>
      <c r="H5817">
        <v>0</v>
      </c>
    </row>
    <row r="5818" spans="1:8" x14ac:dyDescent="0.15">
      <c r="A5818">
        <v>5817</v>
      </c>
      <c r="B5818" t="s">
        <v>339</v>
      </c>
      <c r="C5818" t="s">
        <v>353</v>
      </c>
      <c r="D5818" t="s">
        <v>9863</v>
      </c>
      <c r="E5818" t="s">
        <v>9852</v>
      </c>
      <c r="F5818" s="46">
        <v>46097.325946412027</v>
      </c>
      <c r="G5818" s="46">
        <v>46097.325946412027</v>
      </c>
      <c r="H5818">
        <v>0</v>
      </c>
    </row>
    <row r="5819" spans="1:8" x14ac:dyDescent="0.15">
      <c r="A5819">
        <v>5818</v>
      </c>
      <c r="B5819" t="s">
        <v>339</v>
      </c>
      <c r="C5819" t="s">
        <v>353</v>
      </c>
      <c r="D5819" t="s">
        <v>9864</v>
      </c>
      <c r="E5819" t="s">
        <v>9852</v>
      </c>
      <c r="F5819" s="46">
        <v>46097.325946412027</v>
      </c>
      <c r="G5819" s="46">
        <v>46097.325946412027</v>
      </c>
      <c r="H5819">
        <v>0</v>
      </c>
    </row>
    <row r="5820" spans="1:8" x14ac:dyDescent="0.15">
      <c r="A5820">
        <v>5819</v>
      </c>
      <c r="B5820" t="s">
        <v>339</v>
      </c>
      <c r="C5820" t="s">
        <v>353</v>
      </c>
      <c r="D5820" t="s">
        <v>9865</v>
      </c>
      <c r="E5820" t="s">
        <v>9852</v>
      </c>
      <c r="F5820" s="46">
        <v>46097.325946412027</v>
      </c>
      <c r="G5820" s="46">
        <v>46097.325946412027</v>
      </c>
      <c r="H5820">
        <v>0</v>
      </c>
    </row>
    <row r="5821" spans="1:8" x14ac:dyDescent="0.15">
      <c r="A5821">
        <v>5820</v>
      </c>
      <c r="B5821" t="s">
        <v>339</v>
      </c>
      <c r="C5821" t="s">
        <v>353</v>
      </c>
      <c r="D5821" t="s">
        <v>9866</v>
      </c>
      <c r="E5821" t="s">
        <v>9852</v>
      </c>
      <c r="F5821" s="46">
        <v>46097.325946412027</v>
      </c>
      <c r="G5821" s="46">
        <v>46097.325946412027</v>
      </c>
      <c r="H5821">
        <v>0</v>
      </c>
    </row>
    <row r="5822" spans="1:8" x14ac:dyDescent="0.15">
      <c r="A5822">
        <v>5821</v>
      </c>
      <c r="B5822" t="s">
        <v>339</v>
      </c>
      <c r="C5822" t="s">
        <v>353</v>
      </c>
      <c r="D5822" t="s">
        <v>9867</v>
      </c>
      <c r="E5822" t="s">
        <v>9852</v>
      </c>
      <c r="F5822" s="46">
        <v>46097.325946412027</v>
      </c>
      <c r="G5822" s="46">
        <v>46097.325946412027</v>
      </c>
      <c r="H5822">
        <v>0</v>
      </c>
    </row>
    <row r="5823" spans="1:8" x14ac:dyDescent="0.15">
      <c r="A5823">
        <v>5822</v>
      </c>
      <c r="B5823" t="s">
        <v>339</v>
      </c>
      <c r="C5823" t="s">
        <v>353</v>
      </c>
      <c r="D5823" t="s">
        <v>9868</v>
      </c>
      <c r="E5823" t="s">
        <v>9852</v>
      </c>
      <c r="F5823" s="46">
        <v>46097.325946412027</v>
      </c>
      <c r="G5823" s="46">
        <v>46097.325946412027</v>
      </c>
      <c r="H5823">
        <v>0</v>
      </c>
    </row>
    <row r="5824" spans="1:8" x14ac:dyDescent="0.15">
      <c r="A5824">
        <v>5823</v>
      </c>
      <c r="B5824" t="s">
        <v>339</v>
      </c>
      <c r="C5824" t="s">
        <v>353</v>
      </c>
      <c r="D5824" t="s">
        <v>9869</v>
      </c>
      <c r="E5824" t="s">
        <v>9870</v>
      </c>
      <c r="F5824" s="46">
        <v>46097.325946412027</v>
      </c>
      <c r="G5824" s="46">
        <v>46097.325946412027</v>
      </c>
      <c r="H5824">
        <v>0</v>
      </c>
    </row>
    <row r="5825" spans="1:8" x14ac:dyDescent="0.15">
      <c r="A5825">
        <v>5824</v>
      </c>
      <c r="B5825" t="s">
        <v>339</v>
      </c>
      <c r="C5825" t="s">
        <v>353</v>
      </c>
      <c r="D5825" t="s">
        <v>9871</v>
      </c>
      <c r="E5825" t="s">
        <v>9872</v>
      </c>
      <c r="F5825" s="46">
        <v>46097.325946412027</v>
      </c>
      <c r="G5825" s="46">
        <v>46097.325946597222</v>
      </c>
      <c r="H5825">
        <v>15</v>
      </c>
    </row>
    <row r="5826" spans="1:8" x14ac:dyDescent="0.15">
      <c r="A5826">
        <v>5825</v>
      </c>
      <c r="B5826" t="s">
        <v>339</v>
      </c>
      <c r="C5826" t="s">
        <v>353</v>
      </c>
      <c r="D5826" t="s">
        <v>9873</v>
      </c>
      <c r="E5826" t="s">
        <v>9874</v>
      </c>
      <c r="F5826" s="46">
        <v>46097.325946597222</v>
      </c>
      <c r="G5826" s="46">
        <v>46097.325946597222</v>
      </c>
      <c r="H5826">
        <v>0</v>
      </c>
    </row>
    <row r="5827" spans="1:8" x14ac:dyDescent="0.15">
      <c r="A5827">
        <v>5826</v>
      </c>
      <c r="B5827" t="s">
        <v>339</v>
      </c>
      <c r="C5827" t="s">
        <v>353</v>
      </c>
      <c r="D5827" t="s">
        <v>9875</v>
      </c>
      <c r="E5827" t="s">
        <v>9874</v>
      </c>
      <c r="F5827" s="46">
        <v>46097.325946597222</v>
      </c>
      <c r="G5827" s="46">
        <v>46097.325946597222</v>
      </c>
      <c r="H5827">
        <v>0</v>
      </c>
    </row>
    <row r="5828" spans="1:8" x14ac:dyDescent="0.15">
      <c r="A5828">
        <v>5827</v>
      </c>
      <c r="B5828" t="s">
        <v>339</v>
      </c>
      <c r="C5828" t="s">
        <v>353</v>
      </c>
      <c r="D5828" t="s">
        <v>9876</v>
      </c>
      <c r="E5828" t="s">
        <v>9874</v>
      </c>
      <c r="F5828" s="46">
        <v>46097.325946597222</v>
      </c>
      <c r="G5828" s="46">
        <v>46097.325946597222</v>
      </c>
      <c r="H5828">
        <v>0</v>
      </c>
    </row>
    <row r="5829" spans="1:8" x14ac:dyDescent="0.15">
      <c r="A5829">
        <v>5828</v>
      </c>
      <c r="B5829" t="s">
        <v>339</v>
      </c>
      <c r="C5829" t="s">
        <v>353</v>
      </c>
      <c r="D5829" t="s">
        <v>9877</v>
      </c>
      <c r="E5829" t="s">
        <v>9874</v>
      </c>
      <c r="F5829" s="46">
        <v>46097.325946597222</v>
      </c>
      <c r="G5829" s="46">
        <v>46097.325946597222</v>
      </c>
      <c r="H5829">
        <v>0</v>
      </c>
    </row>
    <row r="5830" spans="1:8" x14ac:dyDescent="0.15">
      <c r="A5830">
        <v>5829</v>
      </c>
      <c r="B5830" t="s">
        <v>339</v>
      </c>
      <c r="C5830" t="s">
        <v>353</v>
      </c>
      <c r="D5830" t="s">
        <v>9878</v>
      </c>
      <c r="E5830" t="s">
        <v>9874</v>
      </c>
      <c r="F5830" s="46">
        <v>46097.325946597222</v>
      </c>
      <c r="G5830" s="46">
        <v>46097.325946597222</v>
      </c>
      <c r="H5830">
        <v>0</v>
      </c>
    </row>
    <row r="5831" spans="1:8" x14ac:dyDescent="0.15">
      <c r="A5831">
        <v>5830</v>
      </c>
      <c r="B5831" t="s">
        <v>339</v>
      </c>
      <c r="C5831" t="s">
        <v>353</v>
      </c>
      <c r="D5831" t="s">
        <v>9879</v>
      </c>
      <c r="E5831" t="s">
        <v>9880</v>
      </c>
      <c r="F5831" s="46">
        <v>46097.325946597222</v>
      </c>
      <c r="G5831" s="46">
        <v>46097.325946597222</v>
      </c>
      <c r="H5831">
        <v>0</v>
      </c>
    </row>
    <row r="5832" spans="1:8" x14ac:dyDescent="0.15">
      <c r="A5832">
        <v>5831</v>
      </c>
      <c r="B5832" t="s">
        <v>339</v>
      </c>
      <c r="C5832" t="s">
        <v>353</v>
      </c>
      <c r="D5832" t="s">
        <v>9881</v>
      </c>
      <c r="E5832" t="s">
        <v>9882</v>
      </c>
      <c r="F5832" s="46">
        <v>46097.325946597222</v>
      </c>
      <c r="G5832" s="46">
        <v>46097.325946597222</v>
      </c>
      <c r="H5832">
        <v>0</v>
      </c>
    </row>
    <row r="5833" spans="1:8" x14ac:dyDescent="0.15">
      <c r="A5833">
        <v>5832</v>
      </c>
      <c r="B5833" t="s">
        <v>339</v>
      </c>
      <c r="C5833" t="s">
        <v>353</v>
      </c>
      <c r="D5833" t="s">
        <v>9883</v>
      </c>
      <c r="E5833" t="s">
        <v>9882</v>
      </c>
      <c r="F5833" s="46">
        <v>46097.325946597222</v>
      </c>
      <c r="G5833" s="46">
        <v>46097.325946597222</v>
      </c>
      <c r="H5833">
        <v>0</v>
      </c>
    </row>
    <row r="5834" spans="1:8" x14ac:dyDescent="0.15">
      <c r="A5834">
        <v>5833</v>
      </c>
      <c r="B5834" t="s">
        <v>339</v>
      </c>
      <c r="C5834" t="s">
        <v>353</v>
      </c>
      <c r="D5834" t="s">
        <v>9884</v>
      </c>
      <c r="E5834" t="s">
        <v>9885</v>
      </c>
      <c r="F5834" s="46">
        <v>46097.325946597222</v>
      </c>
      <c r="G5834" s="46">
        <v>46097.325946597222</v>
      </c>
      <c r="H5834">
        <v>0</v>
      </c>
    </row>
    <row r="5835" spans="1:8" x14ac:dyDescent="0.15">
      <c r="A5835">
        <v>5834</v>
      </c>
      <c r="B5835" t="s">
        <v>339</v>
      </c>
      <c r="C5835" t="s">
        <v>353</v>
      </c>
      <c r="D5835" t="s">
        <v>9886</v>
      </c>
      <c r="E5835" t="s">
        <v>9887</v>
      </c>
      <c r="F5835" s="46">
        <v>46097.325946597222</v>
      </c>
      <c r="G5835" s="46">
        <v>46097.325946597222</v>
      </c>
      <c r="H5835">
        <v>0</v>
      </c>
    </row>
    <row r="5836" spans="1:8" x14ac:dyDescent="0.15">
      <c r="A5836">
        <v>5835</v>
      </c>
      <c r="B5836" t="s">
        <v>339</v>
      </c>
      <c r="C5836" t="s">
        <v>353</v>
      </c>
      <c r="D5836" t="s">
        <v>9888</v>
      </c>
      <c r="E5836" t="s">
        <v>9887</v>
      </c>
      <c r="F5836" s="46">
        <v>46097.325946597222</v>
      </c>
      <c r="G5836" s="46">
        <v>46097.325946770827</v>
      </c>
      <c r="H5836">
        <v>16</v>
      </c>
    </row>
    <row r="5837" spans="1:8" x14ac:dyDescent="0.15">
      <c r="A5837">
        <v>5836</v>
      </c>
      <c r="B5837" t="s">
        <v>339</v>
      </c>
      <c r="C5837" t="s">
        <v>353</v>
      </c>
      <c r="D5837" t="s">
        <v>9889</v>
      </c>
      <c r="E5837" t="s">
        <v>9890</v>
      </c>
      <c r="F5837" s="46">
        <v>46097.325946770827</v>
      </c>
      <c r="G5837" s="46">
        <v>46097.325946770827</v>
      </c>
      <c r="H5837">
        <v>0</v>
      </c>
    </row>
    <row r="5838" spans="1:8" x14ac:dyDescent="0.15">
      <c r="A5838">
        <v>5837</v>
      </c>
      <c r="B5838" t="s">
        <v>339</v>
      </c>
      <c r="C5838" t="s">
        <v>353</v>
      </c>
      <c r="D5838" t="s">
        <v>9891</v>
      </c>
      <c r="E5838" t="s">
        <v>9892</v>
      </c>
      <c r="F5838" s="46">
        <v>46097.325946770827</v>
      </c>
      <c r="G5838" s="46">
        <v>46097.325946770827</v>
      </c>
      <c r="H5838">
        <v>0</v>
      </c>
    </row>
    <row r="5839" spans="1:8" x14ac:dyDescent="0.15">
      <c r="A5839">
        <v>5838</v>
      </c>
      <c r="B5839" t="s">
        <v>339</v>
      </c>
      <c r="C5839" t="s">
        <v>353</v>
      </c>
      <c r="D5839" t="s">
        <v>9893</v>
      </c>
      <c r="E5839" t="s">
        <v>9892</v>
      </c>
      <c r="F5839" s="46">
        <v>46097.325946770827</v>
      </c>
      <c r="G5839" s="46">
        <v>46097.325946770827</v>
      </c>
      <c r="H5839">
        <v>0</v>
      </c>
    </row>
    <row r="5840" spans="1:8" x14ac:dyDescent="0.15">
      <c r="A5840">
        <v>5839</v>
      </c>
      <c r="B5840" t="s">
        <v>339</v>
      </c>
      <c r="C5840" t="s">
        <v>353</v>
      </c>
      <c r="D5840" t="s">
        <v>9894</v>
      </c>
      <c r="E5840" t="s">
        <v>9892</v>
      </c>
      <c r="F5840" s="46">
        <v>46097.325946770827</v>
      </c>
      <c r="G5840" s="46">
        <v>46097.325946770827</v>
      </c>
      <c r="H5840">
        <v>0</v>
      </c>
    </row>
    <row r="5841" spans="1:8" x14ac:dyDescent="0.15">
      <c r="A5841">
        <v>5840</v>
      </c>
      <c r="B5841" t="s">
        <v>339</v>
      </c>
      <c r="C5841" t="s">
        <v>353</v>
      </c>
      <c r="D5841" t="s">
        <v>9895</v>
      </c>
      <c r="E5841" t="s">
        <v>9892</v>
      </c>
      <c r="F5841" s="46">
        <v>46097.325946770827</v>
      </c>
      <c r="G5841" s="46">
        <v>46097.325946770827</v>
      </c>
      <c r="H5841">
        <v>0</v>
      </c>
    </row>
    <row r="5842" spans="1:8" x14ac:dyDescent="0.15">
      <c r="A5842">
        <v>5841</v>
      </c>
      <c r="B5842" t="s">
        <v>339</v>
      </c>
      <c r="C5842" t="s">
        <v>353</v>
      </c>
      <c r="D5842" t="s">
        <v>9896</v>
      </c>
      <c r="E5842" t="s">
        <v>9892</v>
      </c>
      <c r="F5842" s="46">
        <v>46097.325946770827</v>
      </c>
      <c r="G5842" s="46">
        <v>46097.325946770827</v>
      </c>
      <c r="H5842">
        <v>0</v>
      </c>
    </row>
    <row r="5843" spans="1:8" x14ac:dyDescent="0.15">
      <c r="A5843">
        <v>5842</v>
      </c>
      <c r="B5843" t="s">
        <v>339</v>
      </c>
      <c r="C5843" t="s">
        <v>353</v>
      </c>
      <c r="D5843" t="s">
        <v>9897</v>
      </c>
      <c r="E5843" t="s">
        <v>9898</v>
      </c>
      <c r="F5843" s="46">
        <v>46097.325946770827</v>
      </c>
      <c r="G5843" s="46">
        <v>46097.325946770827</v>
      </c>
      <c r="H5843">
        <v>0</v>
      </c>
    </row>
    <row r="5844" spans="1:8" x14ac:dyDescent="0.15">
      <c r="A5844">
        <v>5843</v>
      </c>
      <c r="B5844" t="s">
        <v>339</v>
      </c>
      <c r="C5844" t="s">
        <v>353</v>
      </c>
      <c r="D5844" t="s">
        <v>9899</v>
      </c>
      <c r="E5844" t="s">
        <v>9900</v>
      </c>
      <c r="F5844" s="46">
        <v>46097.325946770827</v>
      </c>
      <c r="G5844" s="46">
        <v>46097.325946770827</v>
      </c>
      <c r="H5844">
        <v>0</v>
      </c>
    </row>
    <row r="5845" spans="1:8" x14ac:dyDescent="0.15">
      <c r="A5845">
        <v>5844</v>
      </c>
      <c r="B5845" t="s">
        <v>339</v>
      </c>
      <c r="C5845" t="s">
        <v>353</v>
      </c>
      <c r="D5845" t="s">
        <v>9901</v>
      </c>
      <c r="E5845" t="s">
        <v>9900</v>
      </c>
      <c r="F5845" s="46">
        <v>46097.325946770827</v>
      </c>
      <c r="G5845" s="46">
        <v>46097.325946770827</v>
      </c>
      <c r="H5845">
        <v>0</v>
      </c>
    </row>
    <row r="5846" spans="1:8" x14ac:dyDescent="0.15">
      <c r="A5846">
        <v>5845</v>
      </c>
      <c r="B5846" t="s">
        <v>339</v>
      </c>
      <c r="C5846" t="s">
        <v>353</v>
      </c>
      <c r="D5846" t="s">
        <v>9902</v>
      </c>
      <c r="E5846" t="s">
        <v>9903</v>
      </c>
      <c r="F5846" s="46">
        <v>46097.325946770827</v>
      </c>
      <c r="G5846" s="46">
        <v>46097.325946956022</v>
      </c>
      <c r="H5846">
        <v>16</v>
      </c>
    </row>
    <row r="5847" spans="1:8" x14ac:dyDescent="0.15">
      <c r="A5847">
        <v>5846</v>
      </c>
      <c r="B5847" t="s">
        <v>339</v>
      </c>
      <c r="C5847" t="s">
        <v>353</v>
      </c>
      <c r="D5847" t="s">
        <v>9904</v>
      </c>
      <c r="E5847" t="s">
        <v>9903</v>
      </c>
      <c r="F5847" s="46">
        <v>46097.325946956022</v>
      </c>
      <c r="G5847" s="46">
        <v>46097.325946956022</v>
      </c>
      <c r="H5847">
        <v>0</v>
      </c>
    </row>
    <row r="5848" spans="1:8" x14ac:dyDescent="0.15">
      <c r="A5848">
        <v>5847</v>
      </c>
      <c r="B5848" t="s">
        <v>339</v>
      </c>
      <c r="C5848" t="s">
        <v>353</v>
      </c>
      <c r="D5848" t="s">
        <v>9905</v>
      </c>
      <c r="E5848" t="s">
        <v>9903</v>
      </c>
      <c r="F5848" s="46">
        <v>46097.325946956022</v>
      </c>
      <c r="G5848" s="46">
        <v>46097.325946956022</v>
      </c>
      <c r="H5848">
        <v>0</v>
      </c>
    </row>
    <row r="5849" spans="1:8" x14ac:dyDescent="0.15">
      <c r="A5849">
        <v>5848</v>
      </c>
      <c r="B5849" t="s">
        <v>339</v>
      </c>
      <c r="C5849" t="s">
        <v>353</v>
      </c>
      <c r="D5849" t="s">
        <v>9906</v>
      </c>
      <c r="E5849" t="s">
        <v>9907</v>
      </c>
      <c r="F5849" s="46">
        <v>46097.325946956022</v>
      </c>
      <c r="G5849" s="46">
        <v>46097.325946956022</v>
      </c>
      <c r="H5849">
        <v>0</v>
      </c>
    </row>
    <row r="5850" spans="1:8" x14ac:dyDescent="0.15">
      <c r="A5850">
        <v>5849</v>
      </c>
      <c r="B5850" t="s">
        <v>339</v>
      </c>
      <c r="C5850" t="s">
        <v>353</v>
      </c>
      <c r="D5850" t="s">
        <v>9908</v>
      </c>
      <c r="E5850" t="s">
        <v>9907</v>
      </c>
      <c r="F5850" s="46">
        <v>46097.325946956022</v>
      </c>
      <c r="G5850" s="46">
        <v>46097.325946956022</v>
      </c>
      <c r="H5850">
        <v>0</v>
      </c>
    </row>
    <row r="5851" spans="1:8" x14ac:dyDescent="0.15">
      <c r="A5851">
        <v>5850</v>
      </c>
      <c r="B5851" t="s">
        <v>339</v>
      </c>
      <c r="C5851" t="s">
        <v>353</v>
      </c>
      <c r="D5851" t="s">
        <v>9909</v>
      </c>
      <c r="E5851" t="s">
        <v>9907</v>
      </c>
      <c r="F5851" s="46">
        <v>46097.325946956022</v>
      </c>
      <c r="G5851" s="46">
        <v>46097.325946956022</v>
      </c>
      <c r="H5851">
        <v>0</v>
      </c>
    </row>
    <row r="5852" spans="1:8" x14ac:dyDescent="0.15">
      <c r="A5852">
        <v>5851</v>
      </c>
      <c r="B5852" t="s">
        <v>339</v>
      </c>
      <c r="C5852" t="s">
        <v>353</v>
      </c>
      <c r="D5852" t="s">
        <v>9910</v>
      </c>
      <c r="E5852" t="s">
        <v>9911</v>
      </c>
      <c r="F5852" s="46">
        <v>46097.325946956022</v>
      </c>
      <c r="G5852" s="46">
        <v>46097.325946956022</v>
      </c>
      <c r="H5852">
        <v>0</v>
      </c>
    </row>
    <row r="5853" spans="1:8" x14ac:dyDescent="0.15">
      <c r="A5853">
        <v>5852</v>
      </c>
      <c r="B5853" t="s">
        <v>339</v>
      </c>
      <c r="C5853" t="s">
        <v>353</v>
      </c>
      <c r="D5853" t="s">
        <v>9912</v>
      </c>
      <c r="E5853" t="s">
        <v>9913</v>
      </c>
      <c r="F5853" s="46">
        <v>46097.325946956022</v>
      </c>
      <c r="G5853" s="46">
        <v>46097.325946956022</v>
      </c>
      <c r="H5853">
        <v>0</v>
      </c>
    </row>
    <row r="5854" spans="1:8" x14ac:dyDescent="0.15">
      <c r="A5854">
        <v>5853</v>
      </c>
      <c r="B5854" t="s">
        <v>339</v>
      </c>
      <c r="C5854" t="s">
        <v>353</v>
      </c>
      <c r="D5854" t="s">
        <v>9914</v>
      </c>
      <c r="E5854" t="s">
        <v>9915</v>
      </c>
      <c r="F5854" s="46">
        <v>46097.325946956022</v>
      </c>
      <c r="G5854" s="46">
        <v>46097.325946956022</v>
      </c>
      <c r="H5854">
        <v>0</v>
      </c>
    </row>
    <row r="5855" spans="1:8" x14ac:dyDescent="0.15">
      <c r="A5855">
        <v>5854</v>
      </c>
      <c r="B5855" t="s">
        <v>339</v>
      </c>
      <c r="C5855" t="s">
        <v>353</v>
      </c>
      <c r="D5855" t="s">
        <v>9916</v>
      </c>
      <c r="E5855" t="s">
        <v>9917</v>
      </c>
      <c r="F5855" s="46">
        <v>46097.325946956022</v>
      </c>
      <c r="G5855" s="46">
        <v>46097.325946956022</v>
      </c>
      <c r="H5855">
        <v>0</v>
      </c>
    </row>
    <row r="5856" spans="1:8" x14ac:dyDescent="0.15">
      <c r="A5856">
        <v>5855</v>
      </c>
      <c r="B5856" t="s">
        <v>339</v>
      </c>
      <c r="C5856" t="s">
        <v>353</v>
      </c>
      <c r="D5856" t="s">
        <v>9918</v>
      </c>
      <c r="E5856" t="s">
        <v>9917</v>
      </c>
      <c r="F5856" s="46">
        <v>46097.325946956022</v>
      </c>
      <c r="G5856" s="46">
        <v>46097.325947141202</v>
      </c>
      <c r="H5856">
        <v>15</v>
      </c>
    </row>
    <row r="5857" spans="1:8" x14ac:dyDescent="0.15">
      <c r="A5857">
        <v>5856</v>
      </c>
      <c r="B5857" t="s">
        <v>339</v>
      </c>
      <c r="C5857" t="s">
        <v>353</v>
      </c>
      <c r="D5857" t="s">
        <v>9919</v>
      </c>
      <c r="E5857" t="s">
        <v>9917</v>
      </c>
      <c r="F5857" s="46">
        <v>46097.325947141202</v>
      </c>
      <c r="G5857" s="46">
        <v>46097.325947141202</v>
      </c>
      <c r="H5857">
        <v>0</v>
      </c>
    </row>
    <row r="5858" spans="1:8" x14ac:dyDescent="0.15">
      <c r="A5858">
        <v>5857</v>
      </c>
      <c r="B5858" t="s">
        <v>339</v>
      </c>
      <c r="C5858" t="s">
        <v>353</v>
      </c>
      <c r="D5858" t="s">
        <v>9920</v>
      </c>
      <c r="E5858" t="s">
        <v>9917</v>
      </c>
      <c r="F5858" s="46">
        <v>46097.325947141202</v>
      </c>
      <c r="G5858" s="46">
        <v>46097.325947141202</v>
      </c>
      <c r="H5858">
        <v>0</v>
      </c>
    </row>
    <row r="5859" spans="1:8" x14ac:dyDescent="0.15">
      <c r="A5859">
        <v>5858</v>
      </c>
      <c r="B5859" t="s">
        <v>339</v>
      </c>
      <c r="C5859" t="s">
        <v>353</v>
      </c>
      <c r="D5859" t="s">
        <v>9921</v>
      </c>
      <c r="E5859" t="s">
        <v>9917</v>
      </c>
      <c r="F5859" s="46">
        <v>46097.325947141202</v>
      </c>
      <c r="G5859" s="46">
        <v>46097.325947141202</v>
      </c>
      <c r="H5859">
        <v>0</v>
      </c>
    </row>
    <row r="5860" spans="1:8" x14ac:dyDescent="0.15">
      <c r="A5860">
        <v>5859</v>
      </c>
      <c r="B5860" t="s">
        <v>339</v>
      </c>
      <c r="C5860" t="s">
        <v>353</v>
      </c>
      <c r="D5860" t="s">
        <v>9922</v>
      </c>
      <c r="E5860" t="s">
        <v>9923</v>
      </c>
      <c r="F5860" s="46">
        <v>46097.325947141202</v>
      </c>
      <c r="G5860" s="46">
        <v>46097.325947141202</v>
      </c>
      <c r="H5860">
        <v>0</v>
      </c>
    </row>
    <row r="5861" spans="1:8" x14ac:dyDescent="0.15">
      <c r="A5861">
        <v>5860</v>
      </c>
      <c r="B5861" t="s">
        <v>339</v>
      </c>
      <c r="C5861" t="s">
        <v>353</v>
      </c>
      <c r="D5861" t="s">
        <v>9924</v>
      </c>
      <c r="E5861" t="s">
        <v>9923</v>
      </c>
      <c r="F5861" s="46">
        <v>46097.325947141202</v>
      </c>
      <c r="G5861" s="46">
        <v>46097.325947141202</v>
      </c>
      <c r="H5861">
        <v>0</v>
      </c>
    </row>
    <row r="5862" spans="1:8" x14ac:dyDescent="0.15">
      <c r="A5862">
        <v>5861</v>
      </c>
      <c r="B5862" t="s">
        <v>339</v>
      </c>
      <c r="C5862" t="s">
        <v>353</v>
      </c>
      <c r="D5862" t="s">
        <v>9925</v>
      </c>
      <c r="E5862" t="s">
        <v>9923</v>
      </c>
      <c r="F5862" s="46">
        <v>46097.325947141202</v>
      </c>
      <c r="G5862" s="46">
        <v>46097.325947141202</v>
      </c>
      <c r="H5862">
        <v>0</v>
      </c>
    </row>
    <row r="5863" spans="1:8" x14ac:dyDescent="0.15">
      <c r="A5863">
        <v>5862</v>
      </c>
      <c r="B5863" t="s">
        <v>339</v>
      </c>
      <c r="C5863" t="s">
        <v>353</v>
      </c>
      <c r="D5863" t="s">
        <v>9926</v>
      </c>
      <c r="E5863" t="s">
        <v>9923</v>
      </c>
      <c r="F5863" s="46">
        <v>46097.325947141202</v>
      </c>
      <c r="G5863" s="46">
        <v>46097.325947141202</v>
      </c>
      <c r="H5863">
        <v>0</v>
      </c>
    </row>
    <row r="5864" spans="1:8" x14ac:dyDescent="0.15">
      <c r="A5864">
        <v>5863</v>
      </c>
      <c r="B5864" t="s">
        <v>339</v>
      </c>
      <c r="C5864" t="s">
        <v>353</v>
      </c>
      <c r="D5864" t="s">
        <v>9927</v>
      </c>
      <c r="E5864" t="s">
        <v>9923</v>
      </c>
      <c r="F5864" s="46">
        <v>46097.325947141202</v>
      </c>
      <c r="G5864" s="46">
        <v>46097.325947141202</v>
      </c>
      <c r="H5864">
        <v>0</v>
      </c>
    </row>
    <row r="5865" spans="1:8" x14ac:dyDescent="0.15">
      <c r="A5865">
        <v>5864</v>
      </c>
      <c r="B5865" t="s">
        <v>339</v>
      </c>
      <c r="C5865" t="s">
        <v>353</v>
      </c>
      <c r="D5865" t="s">
        <v>9928</v>
      </c>
      <c r="E5865" t="s">
        <v>9923</v>
      </c>
      <c r="F5865" s="46">
        <v>46097.325947141202</v>
      </c>
      <c r="G5865" s="46">
        <v>46097.325947141202</v>
      </c>
      <c r="H5865">
        <v>0</v>
      </c>
    </row>
    <row r="5866" spans="1:8" x14ac:dyDescent="0.15">
      <c r="A5866">
        <v>5865</v>
      </c>
      <c r="B5866" t="s">
        <v>339</v>
      </c>
      <c r="C5866" t="s">
        <v>353</v>
      </c>
      <c r="D5866" t="s">
        <v>9929</v>
      </c>
      <c r="E5866" t="s">
        <v>9930</v>
      </c>
      <c r="F5866" s="46">
        <v>46097.325947141202</v>
      </c>
      <c r="G5866" s="46">
        <v>46097.325947141202</v>
      </c>
      <c r="H5866">
        <v>0</v>
      </c>
    </row>
    <row r="5867" spans="1:8" x14ac:dyDescent="0.15">
      <c r="A5867">
        <v>5866</v>
      </c>
      <c r="B5867" t="s">
        <v>339</v>
      </c>
      <c r="C5867" t="s">
        <v>353</v>
      </c>
      <c r="D5867" t="s">
        <v>9931</v>
      </c>
      <c r="E5867" t="s">
        <v>9932</v>
      </c>
      <c r="F5867" s="46">
        <v>46097.325947141202</v>
      </c>
      <c r="G5867" s="46">
        <v>46097.325947314806</v>
      </c>
      <c r="H5867">
        <v>16</v>
      </c>
    </row>
    <row r="5868" spans="1:8" x14ac:dyDescent="0.15">
      <c r="A5868">
        <v>5867</v>
      </c>
      <c r="B5868" t="s">
        <v>339</v>
      </c>
      <c r="C5868" t="s">
        <v>353</v>
      </c>
      <c r="D5868" t="s">
        <v>9933</v>
      </c>
      <c r="E5868" t="s">
        <v>9934</v>
      </c>
      <c r="F5868" s="46">
        <v>46097.325947314806</v>
      </c>
      <c r="G5868" s="46">
        <v>46097.325947314806</v>
      </c>
      <c r="H5868">
        <v>0</v>
      </c>
    </row>
    <row r="5869" spans="1:8" x14ac:dyDescent="0.15">
      <c r="A5869">
        <v>5868</v>
      </c>
      <c r="B5869" t="s">
        <v>339</v>
      </c>
      <c r="C5869" t="s">
        <v>353</v>
      </c>
      <c r="D5869" t="s">
        <v>9935</v>
      </c>
      <c r="E5869" t="s">
        <v>9936</v>
      </c>
      <c r="F5869" s="46">
        <v>46097.325947314806</v>
      </c>
      <c r="G5869" s="46">
        <v>46097.325947314806</v>
      </c>
      <c r="H5869">
        <v>0</v>
      </c>
    </row>
    <row r="5870" spans="1:8" x14ac:dyDescent="0.15">
      <c r="A5870">
        <v>5869</v>
      </c>
      <c r="B5870" t="s">
        <v>339</v>
      </c>
      <c r="C5870" t="s">
        <v>353</v>
      </c>
      <c r="D5870" t="s">
        <v>9937</v>
      </c>
      <c r="E5870" t="s">
        <v>9936</v>
      </c>
      <c r="F5870" s="46">
        <v>46097.325947314806</v>
      </c>
      <c r="G5870" s="46">
        <v>46097.325947314806</v>
      </c>
      <c r="H5870">
        <v>0</v>
      </c>
    </row>
    <row r="5871" spans="1:8" x14ac:dyDescent="0.15">
      <c r="A5871">
        <v>5870</v>
      </c>
      <c r="B5871" t="s">
        <v>339</v>
      </c>
      <c r="C5871" t="s">
        <v>353</v>
      </c>
      <c r="D5871" t="s">
        <v>9938</v>
      </c>
      <c r="E5871" t="s">
        <v>9936</v>
      </c>
      <c r="F5871" s="46">
        <v>46097.325947314806</v>
      </c>
      <c r="G5871" s="46">
        <v>46097.325947314806</v>
      </c>
      <c r="H5871">
        <v>0</v>
      </c>
    </row>
    <row r="5872" spans="1:8" x14ac:dyDescent="0.15">
      <c r="A5872">
        <v>5871</v>
      </c>
      <c r="B5872" t="s">
        <v>339</v>
      </c>
      <c r="C5872" t="s">
        <v>353</v>
      </c>
      <c r="D5872" t="s">
        <v>9939</v>
      </c>
      <c r="E5872" t="s">
        <v>9936</v>
      </c>
      <c r="F5872" s="46">
        <v>46097.325947314806</v>
      </c>
      <c r="G5872" s="46">
        <v>46097.325947314806</v>
      </c>
      <c r="H5872">
        <v>0</v>
      </c>
    </row>
    <row r="5873" spans="1:8" x14ac:dyDescent="0.15">
      <c r="A5873">
        <v>5872</v>
      </c>
      <c r="B5873" t="s">
        <v>339</v>
      </c>
      <c r="C5873" t="s">
        <v>353</v>
      </c>
      <c r="D5873" t="s">
        <v>9940</v>
      </c>
      <c r="E5873" t="s">
        <v>9936</v>
      </c>
      <c r="F5873" s="46">
        <v>46097.325947314806</v>
      </c>
      <c r="G5873" s="46">
        <v>46097.325947314806</v>
      </c>
      <c r="H5873">
        <v>0</v>
      </c>
    </row>
    <row r="5874" spans="1:8" x14ac:dyDescent="0.15">
      <c r="A5874">
        <v>5873</v>
      </c>
      <c r="B5874" t="s">
        <v>339</v>
      </c>
      <c r="C5874" t="s">
        <v>353</v>
      </c>
      <c r="D5874" t="s">
        <v>9941</v>
      </c>
      <c r="E5874" t="s">
        <v>9942</v>
      </c>
      <c r="F5874" s="46">
        <v>46097.325947314806</v>
      </c>
      <c r="G5874" s="46">
        <v>46097.325947314806</v>
      </c>
      <c r="H5874">
        <v>0</v>
      </c>
    </row>
    <row r="5875" spans="1:8" x14ac:dyDescent="0.15">
      <c r="A5875">
        <v>5874</v>
      </c>
      <c r="B5875" t="s">
        <v>339</v>
      </c>
      <c r="C5875" t="s">
        <v>353</v>
      </c>
      <c r="D5875" t="s">
        <v>9943</v>
      </c>
      <c r="E5875" t="s">
        <v>9944</v>
      </c>
      <c r="F5875" s="46">
        <v>46097.325947314806</v>
      </c>
      <c r="G5875" s="46">
        <v>46097.325947314806</v>
      </c>
      <c r="H5875">
        <v>0</v>
      </c>
    </row>
    <row r="5876" spans="1:8" x14ac:dyDescent="0.15">
      <c r="A5876">
        <v>5875</v>
      </c>
      <c r="B5876" t="s">
        <v>339</v>
      </c>
      <c r="C5876" t="s">
        <v>353</v>
      </c>
      <c r="D5876" t="s">
        <v>9945</v>
      </c>
      <c r="E5876" t="s">
        <v>9946</v>
      </c>
      <c r="F5876" s="46">
        <v>46097.325947314806</v>
      </c>
      <c r="G5876" s="46">
        <v>46097.325947314806</v>
      </c>
      <c r="H5876">
        <v>0</v>
      </c>
    </row>
    <row r="5877" spans="1:8" x14ac:dyDescent="0.15">
      <c r="A5877">
        <v>5876</v>
      </c>
      <c r="B5877" t="s">
        <v>339</v>
      </c>
      <c r="C5877" t="s">
        <v>353</v>
      </c>
      <c r="D5877" t="s">
        <v>9947</v>
      </c>
      <c r="E5877" t="s">
        <v>9948</v>
      </c>
      <c r="F5877" s="46">
        <v>46097.325947314806</v>
      </c>
      <c r="G5877" s="46">
        <v>46097.325947500001</v>
      </c>
      <c r="H5877">
        <v>15</v>
      </c>
    </row>
    <row r="5878" spans="1:8" x14ac:dyDescent="0.15">
      <c r="A5878">
        <v>5877</v>
      </c>
      <c r="B5878" t="s">
        <v>339</v>
      </c>
      <c r="C5878" t="s">
        <v>353</v>
      </c>
      <c r="D5878" t="s">
        <v>9949</v>
      </c>
      <c r="E5878" t="s">
        <v>9950</v>
      </c>
      <c r="F5878" s="46">
        <v>46097.325947500001</v>
      </c>
      <c r="G5878" s="46">
        <v>46097.325947500001</v>
      </c>
      <c r="H5878">
        <v>0</v>
      </c>
    </row>
    <row r="5879" spans="1:8" x14ac:dyDescent="0.15">
      <c r="A5879">
        <v>5878</v>
      </c>
      <c r="B5879" t="s">
        <v>339</v>
      </c>
      <c r="C5879" t="s">
        <v>353</v>
      </c>
      <c r="D5879" t="s">
        <v>9951</v>
      </c>
      <c r="E5879" t="s">
        <v>9950</v>
      </c>
      <c r="F5879" s="46">
        <v>46097.325947500001</v>
      </c>
      <c r="G5879" s="46">
        <v>46097.325947500001</v>
      </c>
      <c r="H5879">
        <v>0</v>
      </c>
    </row>
    <row r="5880" spans="1:8" x14ac:dyDescent="0.15">
      <c r="A5880">
        <v>5879</v>
      </c>
      <c r="B5880" t="s">
        <v>339</v>
      </c>
      <c r="C5880" t="s">
        <v>353</v>
      </c>
      <c r="D5880" t="s">
        <v>9952</v>
      </c>
      <c r="E5880" t="s">
        <v>9950</v>
      </c>
      <c r="F5880" s="46">
        <v>46097.325947500001</v>
      </c>
      <c r="G5880" s="46">
        <v>46097.325947500001</v>
      </c>
      <c r="H5880">
        <v>0</v>
      </c>
    </row>
    <row r="5881" spans="1:8" x14ac:dyDescent="0.15">
      <c r="A5881">
        <v>5880</v>
      </c>
      <c r="B5881" t="s">
        <v>339</v>
      </c>
      <c r="C5881" t="s">
        <v>353</v>
      </c>
      <c r="D5881" t="s">
        <v>9953</v>
      </c>
      <c r="E5881" t="s">
        <v>9954</v>
      </c>
      <c r="F5881" s="46">
        <v>46097.325947500001</v>
      </c>
      <c r="G5881" s="46">
        <v>46097.325947500001</v>
      </c>
      <c r="H5881">
        <v>0</v>
      </c>
    </row>
    <row r="5882" spans="1:8" x14ac:dyDescent="0.15">
      <c r="A5882">
        <v>5881</v>
      </c>
      <c r="B5882" t="s">
        <v>339</v>
      </c>
      <c r="C5882" t="s">
        <v>353</v>
      </c>
      <c r="D5882" t="s">
        <v>9955</v>
      </c>
      <c r="E5882" t="s">
        <v>9956</v>
      </c>
      <c r="F5882" s="46">
        <v>46097.325947500001</v>
      </c>
      <c r="G5882" s="46">
        <v>46097.325947500001</v>
      </c>
      <c r="H5882">
        <v>0</v>
      </c>
    </row>
    <row r="5883" spans="1:8" x14ac:dyDescent="0.15">
      <c r="A5883">
        <v>5882</v>
      </c>
      <c r="B5883" t="s">
        <v>339</v>
      </c>
      <c r="C5883" t="s">
        <v>353</v>
      </c>
      <c r="D5883" t="s">
        <v>9957</v>
      </c>
      <c r="E5883" t="s">
        <v>9956</v>
      </c>
      <c r="F5883" s="46">
        <v>46097.325947500001</v>
      </c>
      <c r="G5883" s="46">
        <v>46097.325947500001</v>
      </c>
      <c r="H5883">
        <v>0</v>
      </c>
    </row>
    <row r="5884" spans="1:8" x14ac:dyDescent="0.15">
      <c r="A5884">
        <v>5883</v>
      </c>
      <c r="B5884" t="s">
        <v>339</v>
      </c>
      <c r="C5884" t="s">
        <v>353</v>
      </c>
      <c r="D5884" t="s">
        <v>9958</v>
      </c>
      <c r="E5884" t="s">
        <v>9956</v>
      </c>
      <c r="F5884" s="46">
        <v>46097.325947500001</v>
      </c>
      <c r="G5884" s="46">
        <v>46097.325947500001</v>
      </c>
      <c r="H5884">
        <v>0</v>
      </c>
    </row>
    <row r="5885" spans="1:8" x14ac:dyDescent="0.15">
      <c r="A5885">
        <v>5884</v>
      </c>
      <c r="B5885" t="s">
        <v>339</v>
      </c>
      <c r="C5885" t="s">
        <v>353</v>
      </c>
      <c r="D5885" t="s">
        <v>9959</v>
      </c>
      <c r="E5885" t="s">
        <v>9956</v>
      </c>
      <c r="F5885" s="46">
        <v>46097.325947500001</v>
      </c>
      <c r="G5885" s="46">
        <v>46097.325947500001</v>
      </c>
      <c r="H5885">
        <v>0</v>
      </c>
    </row>
    <row r="5886" spans="1:8" x14ac:dyDescent="0.15">
      <c r="A5886">
        <v>5885</v>
      </c>
      <c r="B5886" t="s">
        <v>339</v>
      </c>
      <c r="C5886" t="s">
        <v>353</v>
      </c>
      <c r="D5886" t="s">
        <v>9960</v>
      </c>
      <c r="E5886" t="s">
        <v>9956</v>
      </c>
      <c r="F5886" s="46">
        <v>46097.325947500001</v>
      </c>
      <c r="G5886" s="46">
        <v>46097.325947500001</v>
      </c>
      <c r="H5886">
        <v>0</v>
      </c>
    </row>
    <row r="5887" spans="1:8" x14ac:dyDescent="0.15">
      <c r="A5887">
        <v>5886</v>
      </c>
      <c r="B5887" t="s">
        <v>339</v>
      </c>
      <c r="C5887" t="s">
        <v>353</v>
      </c>
      <c r="D5887" t="s">
        <v>9961</v>
      </c>
      <c r="E5887" t="s">
        <v>9956</v>
      </c>
      <c r="F5887" s="46">
        <v>46097.325947500001</v>
      </c>
      <c r="G5887" s="46">
        <v>46097.325947500001</v>
      </c>
      <c r="H5887">
        <v>0</v>
      </c>
    </row>
    <row r="5888" spans="1:8" x14ac:dyDescent="0.15">
      <c r="A5888">
        <v>5887</v>
      </c>
      <c r="B5888" t="s">
        <v>339</v>
      </c>
      <c r="C5888" t="s">
        <v>353</v>
      </c>
      <c r="D5888" t="s">
        <v>9962</v>
      </c>
      <c r="E5888" t="s">
        <v>9956</v>
      </c>
      <c r="F5888" s="46">
        <v>46097.325947500001</v>
      </c>
      <c r="G5888" s="46">
        <v>46097.325947685182</v>
      </c>
      <c r="H5888">
        <v>16</v>
      </c>
    </row>
    <row r="5889" spans="1:8" x14ac:dyDescent="0.15">
      <c r="A5889">
        <v>5888</v>
      </c>
      <c r="B5889" t="s">
        <v>339</v>
      </c>
      <c r="C5889" t="s">
        <v>353</v>
      </c>
      <c r="D5889" t="s">
        <v>9963</v>
      </c>
      <c r="E5889" t="s">
        <v>9956</v>
      </c>
      <c r="F5889" s="46">
        <v>46097.325947685182</v>
      </c>
      <c r="G5889" s="46">
        <v>46097.325947685182</v>
      </c>
      <c r="H5889">
        <v>0</v>
      </c>
    </row>
    <row r="5890" spans="1:8" x14ac:dyDescent="0.15">
      <c r="A5890">
        <v>5889</v>
      </c>
      <c r="B5890" t="s">
        <v>339</v>
      </c>
      <c r="C5890" t="s">
        <v>353</v>
      </c>
      <c r="D5890" t="s">
        <v>9964</v>
      </c>
      <c r="E5890" t="s">
        <v>9956</v>
      </c>
      <c r="F5890" s="46">
        <v>46097.325947685182</v>
      </c>
      <c r="G5890" s="46">
        <v>46097.325947685182</v>
      </c>
      <c r="H5890">
        <v>0</v>
      </c>
    </row>
    <row r="5891" spans="1:8" x14ac:dyDescent="0.15">
      <c r="A5891">
        <v>5890</v>
      </c>
      <c r="B5891" t="s">
        <v>339</v>
      </c>
      <c r="C5891" t="s">
        <v>353</v>
      </c>
      <c r="D5891" t="s">
        <v>9965</v>
      </c>
      <c r="E5891" t="s">
        <v>9956</v>
      </c>
      <c r="F5891" s="46">
        <v>46097.325947685182</v>
      </c>
      <c r="G5891" s="46">
        <v>46097.325947685182</v>
      </c>
      <c r="H5891">
        <v>0</v>
      </c>
    </row>
    <row r="5892" spans="1:8" x14ac:dyDescent="0.15">
      <c r="A5892">
        <v>5891</v>
      </c>
      <c r="B5892" t="s">
        <v>339</v>
      </c>
      <c r="C5892" t="s">
        <v>353</v>
      </c>
      <c r="D5892" t="s">
        <v>9966</v>
      </c>
      <c r="E5892" t="s">
        <v>9956</v>
      </c>
      <c r="F5892" s="46">
        <v>46097.325947685182</v>
      </c>
      <c r="G5892" s="46">
        <v>46097.325947685182</v>
      </c>
      <c r="H5892">
        <v>0</v>
      </c>
    </row>
    <row r="5893" spans="1:8" x14ac:dyDescent="0.15">
      <c r="A5893">
        <v>5892</v>
      </c>
      <c r="B5893" t="s">
        <v>339</v>
      </c>
      <c r="C5893" t="s">
        <v>353</v>
      </c>
      <c r="D5893" t="s">
        <v>9967</v>
      </c>
      <c r="E5893" t="s">
        <v>9956</v>
      </c>
      <c r="F5893" s="46">
        <v>46097.325947685182</v>
      </c>
      <c r="G5893" s="46">
        <v>46097.325947685182</v>
      </c>
      <c r="H5893">
        <v>0</v>
      </c>
    </row>
    <row r="5894" spans="1:8" x14ac:dyDescent="0.15">
      <c r="A5894">
        <v>5893</v>
      </c>
      <c r="B5894" t="s">
        <v>339</v>
      </c>
      <c r="C5894" t="s">
        <v>353</v>
      </c>
      <c r="D5894" t="s">
        <v>9968</v>
      </c>
      <c r="E5894" t="s">
        <v>9956</v>
      </c>
      <c r="F5894" s="46">
        <v>46097.325947685182</v>
      </c>
      <c r="G5894" s="46">
        <v>46097.325947685182</v>
      </c>
      <c r="H5894">
        <v>0</v>
      </c>
    </row>
    <row r="5895" spans="1:8" x14ac:dyDescent="0.15">
      <c r="A5895">
        <v>5894</v>
      </c>
      <c r="B5895" t="s">
        <v>339</v>
      </c>
      <c r="C5895" t="s">
        <v>353</v>
      </c>
      <c r="D5895" t="s">
        <v>9969</v>
      </c>
      <c r="E5895" t="s">
        <v>9956</v>
      </c>
      <c r="F5895" s="46">
        <v>46097.325947685182</v>
      </c>
      <c r="G5895" s="46">
        <v>46097.325947685182</v>
      </c>
      <c r="H5895">
        <v>0</v>
      </c>
    </row>
    <row r="5896" spans="1:8" x14ac:dyDescent="0.15">
      <c r="A5896">
        <v>5895</v>
      </c>
      <c r="B5896" t="s">
        <v>339</v>
      </c>
      <c r="C5896" t="s">
        <v>353</v>
      </c>
      <c r="D5896" t="s">
        <v>9970</v>
      </c>
      <c r="E5896" t="s">
        <v>9956</v>
      </c>
      <c r="F5896" s="46">
        <v>46097.325947685182</v>
      </c>
      <c r="G5896" s="46">
        <v>46097.325947685182</v>
      </c>
      <c r="H5896">
        <v>0</v>
      </c>
    </row>
    <row r="5897" spans="1:8" x14ac:dyDescent="0.15">
      <c r="A5897">
        <v>5896</v>
      </c>
      <c r="B5897" t="s">
        <v>339</v>
      </c>
      <c r="C5897" t="s">
        <v>353</v>
      </c>
      <c r="D5897" t="s">
        <v>9971</v>
      </c>
      <c r="E5897" t="s">
        <v>9956</v>
      </c>
      <c r="F5897" s="46">
        <v>46097.325947685182</v>
      </c>
      <c r="G5897" s="46">
        <v>46097.325947685182</v>
      </c>
      <c r="H5897">
        <v>0</v>
      </c>
    </row>
    <row r="5898" spans="1:8" x14ac:dyDescent="0.15">
      <c r="A5898">
        <v>5897</v>
      </c>
      <c r="B5898" t="s">
        <v>339</v>
      </c>
      <c r="C5898" t="s">
        <v>353</v>
      </c>
      <c r="D5898" t="s">
        <v>9972</v>
      </c>
      <c r="E5898" t="s">
        <v>9956</v>
      </c>
      <c r="F5898" s="46">
        <v>46097.325947685182</v>
      </c>
      <c r="G5898" s="46">
        <v>46097.325947685182</v>
      </c>
      <c r="H5898">
        <v>0</v>
      </c>
    </row>
    <row r="5899" spans="1:8" x14ac:dyDescent="0.15">
      <c r="A5899">
        <v>5898</v>
      </c>
      <c r="B5899" t="s">
        <v>339</v>
      </c>
      <c r="C5899" t="s">
        <v>353</v>
      </c>
      <c r="D5899" t="s">
        <v>9973</v>
      </c>
      <c r="E5899" t="s">
        <v>9974</v>
      </c>
      <c r="F5899" s="46">
        <v>46097.325947685182</v>
      </c>
      <c r="G5899" s="46">
        <v>46097.325947858793</v>
      </c>
      <c r="H5899">
        <v>16</v>
      </c>
    </row>
    <row r="5900" spans="1:8" x14ac:dyDescent="0.15">
      <c r="A5900">
        <v>5899</v>
      </c>
      <c r="B5900" t="s">
        <v>339</v>
      </c>
      <c r="C5900" t="s">
        <v>353</v>
      </c>
      <c r="D5900" t="s">
        <v>9975</v>
      </c>
      <c r="E5900" t="s">
        <v>9976</v>
      </c>
      <c r="F5900" s="46">
        <v>46097.325947858793</v>
      </c>
      <c r="G5900" s="46">
        <v>46097.325947858793</v>
      </c>
      <c r="H5900">
        <v>0</v>
      </c>
    </row>
    <row r="5901" spans="1:8" x14ac:dyDescent="0.15">
      <c r="A5901">
        <v>5900</v>
      </c>
      <c r="B5901" t="s">
        <v>339</v>
      </c>
      <c r="C5901" t="s">
        <v>353</v>
      </c>
      <c r="D5901" t="s">
        <v>9977</v>
      </c>
      <c r="E5901" t="s">
        <v>9978</v>
      </c>
      <c r="F5901" s="46">
        <v>46097.325947858793</v>
      </c>
      <c r="G5901" s="46">
        <v>46097.325947858793</v>
      </c>
      <c r="H5901">
        <v>0</v>
      </c>
    </row>
    <row r="5902" spans="1:8" x14ac:dyDescent="0.15">
      <c r="A5902">
        <v>5901</v>
      </c>
      <c r="B5902" t="s">
        <v>339</v>
      </c>
      <c r="C5902" t="s">
        <v>353</v>
      </c>
      <c r="D5902" t="s">
        <v>9979</v>
      </c>
      <c r="E5902" t="s">
        <v>9980</v>
      </c>
      <c r="F5902" s="46">
        <v>46097.325947858793</v>
      </c>
      <c r="G5902" s="46">
        <v>46097.325947858793</v>
      </c>
      <c r="H5902">
        <v>0</v>
      </c>
    </row>
    <row r="5903" spans="1:8" x14ac:dyDescent="0.15">
      <c r="A5903">
        <v>5902</v>
      </c>
      <c r="B5903" t="s">
        <v>339</v>
      </c>
      <c r="C5903" t="s">
        <v>353</v>
      </c>
      <c r="D5903" t="s">
        <v>9981</v>
      </c>
      <c r="E5903" t="s">
        <v>9982</v>
      </c>
      <c r="F5903" s="46">
        <v>46097.325947858793</v>
      </c>
      <c r="G5903" s="46">
        <v>46097.325947858793</v>
      </c>
      <c r="H5903">
        <v>0</v>
      </c>
    </row>
    <row r="5904" spans="1:8" x14ac:dyDescent="0.15">
      <c r="A5904">
        <v>5903</v>
      </c>
      <c r="B5904" t="s">
        <v>339</v>
      </c>
      <c r="C5904" t="s">
        <v>353</v>
      </c>
      <c r="D5904" t="s">
        <v>9983</v>
      </c>
      <c r="E5904" t="s">
        <v>9982</v>
      </c>
      <c r="F5904" s="46">
        <v>46097.325947858793</v>
      </c>
      <c r="G5904" s="46">
        <v>46097.325947858793</v>
      </c>
      <c r="H5904">
        <v>0</v>
      </c>
    </row>
    <row r="5905" spans="1:8" x14ac:dyDescent="0.15">
      <c r="A5905">
        <v>5904</v>
      </c>
      <c r="B5905" t="s">
        <v>339</v>
      </c>
      <c r="C5905" t="s">
        <v>353</v>
      </c>
      <c r="D5905" t="s">
        <v>9984</v>
      </c>
      <c r="E5905" t="s">
        <v>9985</v>
      </c>
      <c r="F5905" s="46">
        <v>46097.325947858793</v>
      </c>
      <c r="G5905" s="46">
        <v>46097.325947858793</v>
      </c>
      <c r="H5905">
        <v>0</v>
      </c>
    </row>
    <row r="5906" spans="1:8" x14ac:dyDescent="0.15">
      <c r="A5906">
        <v>5905</v>
      </c>
      <c r="B5906" t="s">
        <v>339</v>
      </c>
      <c r="C5906" t="s">
        <v>353</v>
      </c>
      <c r="D5906" t="s">
        <v>9986</v>
      </c>
      <c r="E5906" t="s">
        <v>9987</v>
      </c>
      <c r="F5906" s="46">
        <v>46097.325947858793</v>
      </c>
      <c r="G5906" s="46">
        <v>46097.325947858793</v>
      </c>
      <c r="H5906">
        <v>0</v>
      </c>
    </row>
    <row r="5907" spans="1:8" x14ac:dyDescent="0.15">
      <c r="A5907">
        <v>5906</v>
      </c>
      <c r="B5907" t="s">
        <v>339</v>
      </c>
      <c r="C5907" t="s">
        <v>353</v>
      </c>
      <c r="D5907" t="s">
        <v>9988</v>
      </c>
      <c r="E5907" t="s">
        <v>9987</v>
      </c>
      <c r="F5907" s="46">
        <v>46097.325947858793</v>
      </c>
      <c r="G5907" s="46">
        <v>46097.325947858793</v>
      </c>
      <c r="H5907">
        <v>0</v>
      </c>
    </row>
    <row r="5908" spans="1:8" x14ac:dyDescent="0.15">
      <c r="A5908">
        <v>5907</v>
      </c>
      <c r="B5908" t="s">
        <v>339</v>
      </c>
      <c r="C5908" t="s">
        <v>353</v>
      </c>
      <c r="D5908" t="s">
        <v>9989</v>
      </c>
      <c r="E5908" t="s">
        <v>9990</v>
      </c>
      <c r="F5908" s="46">
        <v>46097.325947858793</v>
      </c>
      <c r="G5908" s="46">
        <v>46097.325947858793</v>
      </c>
      <c r="H5908">
        <v>0</v>
      </c>
    </row>
    <row r="5909" spans="1:8" x14ac:dyDescent="0.15">
      <c r="A5909">
        <v>5908</v>
      </c>
      <c r="B5909" t="s">
        <v>339</v>
      </c>
      <c r="C5909" t="s">
        <v>353</v>
      </c>
      <c r="D5909" t="s">
        <v>9991</v>
      </c>
      <c r="E5909" t="s">
        <v>9992</v>
      </c>
      <c r="F5909" s="46">
        <v>46097.325947858793</v>
      </c>
      <c r="G5909" s="46">
        <v>46097.325948043981</v>
      </c>
      <c r="H5909">
        <v>15</v>
      </c>
    </row>
    <row r="5910" spans="1:8" x14ac:dyDescent="0.15">
      <c r="A5910">
        <v>5909</v>
      </c>
      <c r="B5910" t="s">
        <v>339</v>
      </c>
      <c r="C5910" t="s">
        <v>353</v>
      </c>
      <c r="D5910" t="s">
        <v>9993</v>
      </c>
      <c r="E5910" t="s">
        <v>9994</v>
      </c>
      <c r="F5910" s="46">
        <v>46097.325948043981</v>
      </c>
      <c r="G5910" s="46">
        <v>46097.325948043981</v>
      </c>
      <c r="H5910">
        <v>0</v>
      </c>
    </row>
    <row r="5911" spans="1:8" x14ac:dyDescent="0.15">
      <c r="A5911">
        <v>5910</v>
      </c>
      <c r="B5911" t="s">
        <v>339</v>
      </c>
      <c r="C5911" t="s">
        <v>353</v>
      </c>
      <c r="D5911" t="s">
        <v>9995</v>
      </c>
      <c r="E5911" t="s">
        <v>9994</v>
      </c>
      <c r="F5911" s="46">
        <v>46097.325948043981</v>
      </c>
      <c r="G5911" s="46">
        <v>46097.325948043981</v>
      </c>
      <c r="H5911">
        <v>0</v>
      </c>
    </row>
    <row r="5912" spans="1:8" x14ac:dyDescent="0.15">
      <c r="A5912">
        <v>5911</v>
      </c>
      <c r="B5912" t="s">
        <v>339</v>
      </c>
      <c r="C5912" t="s">
        <v>353</v>
      </c>
      <c r="D5912" t="s">
        <v>9996</v>
      </c>
      <c r="E5912" t="s">
        <v>9997</v>
      </c>
      <c r="F5912" s="46">
        <v>46097.325948043981</v>
      </c>
      <c r="G5912" s="46">
        <v>46097.325948043981</v>
      </c>
      <c r="H5912">
        <v>0</v>
      </c>
    </row>
    <row r="5913" spans="1:8" x14ac:dyDescent="0.15">
      <c r="A5913">
        <v>5912</v>
      </c>
      <c r="B5913" t="s">
        <v>339</v>
      </c>
      <c r="C5913" t="s">
        <v>353</v>
      </c>
      <c r="D5913" t="s">
        <v>9998</v>
      </c>
      <c r="E5913" t="s">
        <v>9999</v>
      </c>
      <c r="F5913" s="46">
        <v>46097.325948043981</v>
      </c>
      <c r="G5913" s="46">
        <v>46097.325948043981</v>
      </c>
      <c r="H5913">
        <v>0</v>
      </c>
    </row>
    <row r="5914" spans="1:8" x14ac:dyDescent="0.15">
      <c r="A5914">
        <v>5913</v>
      </c>
      <c r="B5914" t="s">
        <v>339</v>
      </c>
      <c r="C5914" t="s">
        <v>353</v>
      </c>
      <c r="D5914" t="s">
        <v>10000</v>
      </c>
      <c r="E5914" t="s">
        <v>10001</v>
      </c>
      <c r="F5914" s="46">
        <v>46097.325948043981</v>
      </c>
      <c r="G5914" s="46">
        <v>46097.325948043981</v>
      </c>
      <c r="H5914">
        <v>0</v>
      </c>
    </row>
    <row r="5915" spans="1:8" x14ac:dyDescent="0.15">
      <c r="A5915">
        <v>5914</v>
      </c>
      <c r="B5915" t="s">
        <v>339</v>
      </c>
      <c r="C5915" t="s">
        <v>353</v>
      </c>
      <c r="D5915" t="s">
        <v>10002</v>
      </c>
      <c r="E5915" t="s">
        <v>10001</v>
      </c>
      <c r="F5915" s="46">
        <v>46097.325948043981</v>
      </c>
      <c r="G5915" s="46">
        <v>46097.325948043981</v>
      </c>
      <c r="H5915">
        <v>0</v>
      </c>
    </row>
    <row r="5916" spans="1:8" x14ac:dyDescent="0.15">
      <c r="A5916">
        <v>5915</v>
      </c>
      <c r="B5916" t="s">
        <v>339</v>
      </c>
      <c r="C5916" t="s">
        <v>353</v>
      </c>
      <c r="D5916" t="s">
        <v>10003</v>
      </c>
      <c r="E5916" t="s">
        <v>10004</v>
      </c>
      <c r="F5916" s="46">
        <v>46097.325948043981</v>
      </c>
      <c r="G5916" s="46">
        <v>46097.325948043981</v>
      </c>
      <c r="H5916">
        <v>0</v>
      </c>
    </row>
    <row r="5917" spans="1:8" x14ac:dyDescent="0.15">
      <c r="A5917">
        <v>5916</v>
      </c>
      <c r="B5917" t="s">
        <v>339</v>
      </c>
      <c r="C5917" t="s">
        <v>353</v>
      </c>
      <c r="D5917" t="s">
        <v>10005</v>
      </c>
      <c r="E5917" t="s">
        <v>10004</v>
      </c>
      <c r="F5917" s="46">
        <v>46097.325948043981</v>
      </c>
      <c r="G5917" s="46">
        <v>46097.325948043981</v>
      </c>
      <c r="H5917">
        <v>0</v>
      </c>
    </row>
    <row r="5918" spans="1:8" x14ac:dyDescent="0.15">
      <c r="A5918">
        <v>5917</v>
      </c>
      <c r="B5918" t="s">
        <v>339</v>
      </c>
      <c r="C5918" t="s">
        <v>353</v>
      </c>
      <c r="D5918" t="s">
        <v>10006</v>
      </c>
      <c r="E5918" t="s">
        <v>10004</v>
      </c>
      <c r="F5918" s="46">
        <v>46097.325948043981</v>
      </c>
      <c r="G5918" s="46">
        <v>46097.325948043981</v>
      </c>
      <c r="H5918">
        <v>0</v>
      </c>
    </row>
    <row r="5919" spans="1:8" x14ac:dyDescent="0.15">
      <c r="A5919">
        <v>5918</v>
      </c>
      <c r="B5919" t="s">
        <v>339</v>
      </c>
      <c r="C5919" t="s">
        <v>353</v>
      </c>
      <c r="D5919" t="s">
        <v>10007</v>
      </c>
      <c r="E5919" t="s">
        <v>10008</v>
      </c>
      <c r="F5919" s="46">
        <v>46097.325948043981</v>
      </c>
      <c r="G5919" s="46">
        <v>46097.325948043981</v>
      </c>
      <c r="H5919">
        <v>0</v>
      </c>
    </row>
    <row r="5920" spans="1:8" x14ac:dyDescent="0.15">
      <c r="A5920">
        <v>5919</v>
      </c>
      <c r="B5920" t="s">
        <v>339</v>
      </c>
      <c r="C5920" t="s">
        <v>353</v>
      </c>
      <c r="D5920" t="s">
        <v>10009</v>
      </c>
      <c r="E5920" t="s">
        <v>10008</v>
      </c>
      <c r="F5920" s="46">
        <v>46097.325948043981</v>
      </c>
      <c r="G5920" s="46">
        <v>46097.325948217593</v>
      </c>
      <c r="H5920">
        <v>16</v>
      </c>
    </row>
    <row r="5921" spans="1:8" x14ac:dyDescent="0.15">
      <c r="A5921">
        <v>5920</v>
      </c>
      <c r="B5921" t="s">
        <v>339</v>
      </c>
      <c r="C5921" t="s">
        <v>353</v>
      </c>
      <c r="D5921" t="s">
        <v>10010</v>
      </c>
      <c r="E5921" t="s">
        <v>10008</v>
      </c>
      <c r="F5921" s="46">
        <v>46097.325948217593</v>
      </c>
      <c r="G5921" s="46">
        <v>46097.325948217593</v>
      </c>
      <c r="H5921">
        <v>0</v>
      </c>
    </row>
    <row r="5922" spans="1:8" x14ac:dyDescent="0.15">
      <c r="A5922">
        <v>5921</v>
      </c>
      <c r="B5922" t="s">
        <v>339</v>
      </c>
      <c r="C5922" t="s">
        <v>353</v>
      </c>
      <c r="D5922" t="s">
        <v>10011</v>
      </c>
      <c r="E5922" t="s">
        <v>10008</v>
      </c>
      <c r="F5922" s="46">
        <v>46097.325948217593</v>
      </c>
      <c r="G5922" s="46">
        <v>46097.325948217593</v>
      </c>
      <c r="H5922">
        <v>0</v>
      </c>
    </row>
    <row r="5923" spans="1:8" x14ac:dyDescent="0.15">
      <c r="A5923">
        <v>5922</v>
      </c>
      <c r="B5923" t="s">
        <v>339</v>
      </c>
      <c r="C5923" t="s">
        <v>353</v>
      </c>
      <c r="D5923" t="s">
        <v>10012</v>
      </c>
      <c r="E5923" t="s">
        <v>10008</v>
      </c>
      <c r="F5923" s="46">
        <v>46097.325948217593</v>
      </c>
      <c r="G5923" s="46">
        <v>46097.325948217593</v>
      </c>
      <c r="H5923">
        <v>0</v>
      </c>
    </row>
    <row r="5924" spans="1:8" x14ac:dyDescent="0.15">
      <c r="A5924">
        <v>5923</v>
      </c>
      <c r="B5924" t="s">
        <v>339</v>
      </c>
      <c r="C5924" t="s">
        <v>353</v>
      </c>
      <c r="D5924" t="s">
        <v>10013</v>
      </c>
      <c r="E5924" t="s">
        <v>10014</v>
      </c>
      <c r="F5924" s="46">
        <v>46097.325948217593</v>
      </c>
      <c r="G5924" s="46">
        <v>46097.325948217593</v>
      </c>
      <c r="H5924">
        <v>0</v>
      </c>
    </row>
    <row r="5925" spans="1:8" x14ac:dyDescent="0.15">
      <c r="A5925">
        <v>5924</v>
      </c>
      <c r="B5925" t="s">
        <v>339</v>
      </c>
      <c r="C5925" t="s">
        <v>353</v>
      </c>
      <c r="D5925" t="s">
        <v>10015</v>
      </c>
      <c r="E5925" t="s">
        <v>10014</v>
      </c>
      <c r="F5925" s="46">
        <v>46097.325948217593</v>
      </c>
      <c r="G5925" s="46">
        <v>46097.325948217593</v>
      </c>
      <c r="H5925">
        <v>0</v>
      </c>
    </row>
    <row r="5926" spans="1:8" x14ac:dyDescent="0.15">
      <c r="A5926">
        <v>5925</v>
      </c>
      <c r="B5926" t="s">
        <v>339</v>
      </c>
      <c r="C5926" t="s">
        <v>353</v>
      </c>
      <c r="D5926" t="s">
        <v>10016</v>
      </c>
      <c r="E5926" t="s">
        <v>10014</v>
      </c>
      <c r="F5926" s="46">
        <v>46097.325948217593</v>
      </c>
      <c r="G5926" s="46">
        <v>46097.325948217593</v>
      </c>
      <c r="H5926">
        <v>0</v>
      </c>
    </row>
    <row r="5927" spans="1:8" x14ac:dyDescent="0.15">
      <c r="A5927">
        <v>5926</v>
      </c>
      <c r="B5927" t="s">
        <v>339</v>
      </c>
      <c r="C5927" t="s">
        <v>353</v>
      </c>
      <c r="D5927" t="s">
        <v>10017</v>
      </c>
      <c r="E5927" t="s">
        <v>10018</v>
      </c>
      <c r="F5927" s="46">
        <v>46097.325948217593</v>
      </c>
      <c r="G5927" s="46">
        <v>46097.325948217593</v>
      </c>
      <c r="H5927">
        <v>0</v>
      </c>
    </row>
    <row r="5928" spans="1:8" x14ac:dyDescent="0.15">
      <c r="A5928">
        <v>5927</v>
      </c>
      <c r="B5928" t="s">
        <v>339</v>
      </c>
      <c r="C5928" t="s">
        <v>353</v>
      </c>
      <c r="D5928" t="s">
        <v>10019</v>
      </c>
      <c r="E5928" t="s">
        <v>10020</v>
      </c>
      <c r="F5928" s="46">
        <v>46097.325948217593</v>
      </c>
      <c r="G5928" s="46">
        <v>46097.325948217593</v>
      </c>
      <c r="H5928">
        <v>0</v>
      </c>
    </row>
    <row r="5929" spans="1:8" x14ac:dyDescent="0.15">
      <c r="A5929">
        <v>5928</v>
      </c>
      <c r="B5929" t="s">
        <v>339</v>
      </c>
      <c r="C5929" t="s">
        <v>353</v>
      </c>
      <c r="D5929" t="s">
        <v>10021</v>
      </c>
      <c r="E5929" t="s">
        <v>10020</v>
      </c>
      <c r="F5929" s="46">
        <v>46097.325948217593</v>
      </c>
      <c r="G5929" s="46">
        <v>46097.325948217593</v>
      </c>
      <c r="H5929">
        <v>0</v>
      </c>
    </row>
    <row r="5930" spans="1:8" x14ac:dyDescent="0.15">
      <c r="A5930">
        <v>5929</v>
      </c>
      <c r="B5930" t="s">
        <v>339</v>
      </c>
      <c r="C5930" t="s">
        <v>353</v>
      </c>
      <c r="D5930" t="s">
        <v>10022</v>
      </c>
      <c r="E5930" t="s">
        <v>10023</v>
      </c>
      <c r="F5930" s="46">
        <v>46097.325948217593</v>
      </c>
      <c r="G5930" s="46">
        <v>46097.325948217593</v>
      </c>
      <c r="H5930">
        <v>0</v>
      </c>
    </row>
    <row r="5931" spans="1:8" x14ac:dyDescent="0.15">
      <c r="A5931">
        <v>5930</v>
      </c>
      <c r="B5931" t="s">
        <v>339</v>
      </c>
      <c r="C5931" t="s">
        <v>353</v>
      </c>
      <c r="D5931" t="s">
        <v>10024</v>
      </c>
      <c r="E5931" t="s">
        <v>10025</v>
      </c>
      <c r="F5931" s="46">
        <v>46097.32594840278</v>
      </c>
      <c r="G5931" s="46">
        <v>46097.32594840278</v>
      </c>
      <c r="H5931">
        <v>0</v>
      </c>
    </row>
    <row r="5932" spans="1:8" x14ac:dyDescent="0.15">
      <c r="A5932">
        <v>5931</v>
      </c>
      <c r="B5932" t="s">
        <v>339</v>
      </c>
      <c r="C5932" t="s">
        <v>353</v>
      </c>
      <c r="D5932" t="s">
        <v>10026</v>
      </c>
      <c r="E5932" t="s">
        <v>10027</v>
      </c>
      <c r="F5932" s="46">
        <v>46097.32594840278</v>
      </c>
      <c r="G5932" s="46">
        <v>46097.32594840278</v>
      </c>
      <c r="H5932">
        <v>0</v>
      </c>
    </row>
    <row r="5933" spans="1:8" x14ac:dyDescent="0.15">
      <c r="A5933">
        <v>5932</v>
      </c>
      <c r="B5933" t="s">
        <v>339</v>
      </c>
      <c r="C5933" t="s">
        <v>353</v>
      </c>
      <c r="D5933" t="s">
        <v>10028</v>
      </c>
      <c r="E5933" t="s">
        <v>10029</v>
      </c>
      <c r="F5933" s="46">
        <v>46097.32594840278</v>
      </c>
      <c r="G5933" s="46">
        <v>46097.32594840278</v>
      </c>
      <c r="H5933">
        <v>0</v>
      </c>
    </row>
    <row r="5934" spans="1:8" x14ac:dyDescent="0.15">
      <c r="A5934">
        <v>5933</v>
      </c>
      <c r="B5934" t="s">
        <v>339</v>
      </c>
      <c r="C5934" t="s">
        <v>353</v>
      </c>
      <c r="D5934" t="s">
        <v>10030</v>
      </c>
      <c r="E5934" t="s">
        <v>10029</v>
      </c>
      <c r="F5934" s="46">
        <v>46097.32594840278</v>
      </c>
      <c r="G5934" s="46">
        <v>46097.32594840278</v>
      </c>
      <c r="H5934">
        <v>0</v>
      </c>
    </row>
    <row r="5935" spans="1:8" x14ac:dyDescent="0.15">
      <c r="A5935">
        <v>5934</v>
      </c>
      <c r="B5935" t="s">
        <v>339</v>
      </c>
      <c r="C5935" t="s">
        <v>353</v>
      </c>
      <c r="D5935" t="s">
        <v>10031</v>
      </c>
      <c r="E5935" t="s">
        <v>10032</v>
      </c>
      <c r="F5935" s="46">
        <v>46097.32594840278</v>
      </c>
      <c r="G5935" s="46">
        <v>46097.32594840278</v>
      </c>
      <c r="H5935">
        <v>0</v>
      </c>
    </row>
    <row r="5936" spans="1:8" x14ac:dyDescent="0.15">
      <c r="A5936">
        <v>5935</v>
      </c>
      <c r="B5936" t="s">
        <v>339</v>
      </c>
      <c r="C5936" t="s">
        <v>353</v>
      </c>
      <c r="D5936" t="s">
        <v>10033</v>
      </c>
      <c r="E5936" t="s">
        <v>10034</v>
      </c>
      <c r="F5936" s="46">
        <v>46097.32594840278</v>
      </c>
      <c r="G5936" s="46">
        <v>46097.32594840278</v>
      </c>
      <c r="H5936">
        <v>0</v>
      </c>
    </row>
    <row r="5937" spans="1:8" x14ac:dyDescent="0.15">
      <c r="A5937">
        <v>5936</v>
      </c>
      <c r="B5937" t="s">
        <v>339</v>
      </c>
      <c r="C5937" t="s">
        <v>353</v>
      </c>
      <c r="D5937" t="s">
        <v>10035</v>
      </c>
      <c r="E5937" t="s">
        <v>10034</v>
      </c>
      <c r="F5937" s="46">
        <v>46097.32594840278</v>
      </c>
      <c r="G5937" s="46">
        <v>46097.32594840278</v>
      </c>
      <c r="H5937">
        <v>0</v>
      </c>
    </row>
    <row r="5938" spans="1:8" x14ac:dyDescent="0.15">
      <c r="A5938">
        <v>5937</v>
      </c>
      <c r="B5938" t="s">
        <v>339</v>
      </c>
      <c r="C5938" t="s">
        <v>353</v>
      </c>
      <c r="D5938" t="s">
        <v>10036</v>
      </c>
      <c r="E5938" t="s">
        <v>10037</v>
      </c>
      <c r="F5938" s="46">
        <v>46097.32594840278</v>
      </c>
      <c r="G5938" s="46">
        <v>46097.32594840278</v>
      </c>
      <c r="H5938">
        <v>0</v>
      </c>
    </row>
    <row r="5939" spans="1:8" x14ac:dyDescent="0.15">
      <c r="A5939">
        <v>5938</v>
      </c>
      <c r="B5939" t="s">
        <v>339</v>
      </c>
      <c r="C5939" t="s">
        <v>353</v>
      </c>
      <c r="D5939" t="s">
        <v>10038</v>
      </c>
      <c r="E5939" t="s">
        <v>10037</v>
      </c>
      <c r="F5939" s="46">
        <v>46097.32594840278</v>
      </c>
      <c r="G5939" s="46">
        <v>46097.32594840278</v>
      </c>
      <c r="H5939">
        <v>0</v>
      </c>
    </row>
    <row r="5940" spans="1:8" x14ac:dyDescent="0.15">
      <c r="A5940">
        <v>5939</v>
      </c>
      <c r="B5940" t="s">
        <v>339</v>
      </c>
      <c r="C5940" t="s">
        <v>353</v>
      </c>
      <c r="D5940" t="s">
        <v>10039</v>
      </c>
      <c r="E5940" t="s">
        <v>10040</v>
      </c>
      <c r="F5940" s="46">
        <v>46097.32594840278</v>
      </c>
      <c r="G5940" s="46">
        <v>46097.32594840278</v>
      </c>
      <c r="H5940">
        <v>0</v>
      </c>
    </row>
    <row r="5941" spans="1:8" x14ac:dyDescent="0.15">
      <c r="A5941">
        <v>5940</v>
      </c>
      <c r="B5941" t="s">
        <v>339</v>
      </c>
      <c r="C5941" t="s">
        <v>353</v>
      </c>
      <c r="D5941" t="s">
        <v>10041</v>
      </c>
      <c r="E5941" t="s">
        <v>10042</v>
      </c>
      <c r="F5941" s="46">
        <v>46097.32594840278</v>
      </c>
      <c r="G5941" s="46">
        <v>46097.325948587961</v>
      </c>
      <c r="H5941">
        <v>15</v>
      </c>
    </row>
    <row r="5942" spans="1:8" x14ac:dyDescent="0.15">
      <c r="A5942">
        <v>5941</v>
      </c>
      <c r="B5942" t="s">
        <v>339</v>
      </c>
      <c r="C5942" t="s">
        <v>353</v>
      </c>
      <c r="D5942" t="s">
        <v>10043</v>
      </c>
      <c r="E5942" t="s">
        <v>10042</v>
      </c>
      <c r="F5942" s="46">
        <v>46097.325948587961</v>
      </c>
      <c r="G5942" s="46">
        <v>46097.325948587961</v>
      </c>
      <c r="H5942">
        <v>0</v>
      </c>
    </row>
    <row r="5943" spans="1:8" x14ac:dyDescent="0.15">
      <c r="A5943">
        <v>5942</v>
      </c>
      <c r="B5943" t="s">
        <v>339</v>
      </c>
      <c r="C5943" t="s">
        <v>353</v>
      </c>
      <c r="D5943" t="s">
        <v>10044</v>
      </c>
      <c r="E5943" t="s">
        <v>10042</v>
      </c>
      <c r="F5943" s="46">
        <v>46097.325948587961</v>
      </c>
      <c r="G5943" s="46">
        <v>46097.325948587961</v>
      </c>
      <c r="H5943">
        <v>0</v>
      </c>
    </row>
    <row r="5944" spans="1:8" x14ac:dyDescent="0.15">
      <c r="A5944">
        <v>5943</v>
      </c>
      <c r="B5944" t="s">
        <v>339</v>
      </c>
      <c r="C5944" t="s">
        <v>353</v>
      </c>
      <c r="D5944" t="s">
        <v>10045</v>
      </c>
      <c r="E5944" t="s">
        <v>10042</v>
      </c>
      <c r="F5944" s="46">
        <v>46097.325948587961</v>
      </c>
      <c r="G5944" s="46">
        <v>46097.325948587961</v>
      </c>
      <c r="H5944">
        <v>0</v>
      </c>
    </row>
    <row r="5945" spans="1:8" x14ac:dyDescent="0.15">
      <c r="A5945">
        <v>5944</v>
      </c>
      <c r="B5945" t="s">
        <v>339</v>
      </c>
      <c r="C5945" t="s">
        <v>353</v>
      </c>
      <c r="D5945" t="s">
        <v>10046</v>
      </c>
      <c r="E5945" t="s">
        <v>10042</v>
      </c>
      <c r="F5945" s="46">
        <v>46097.325948587961</v>
      </c>
      <c r="G5945" s="46">
        <v>46097.325948587961</v>
      </c>
      <c r="H5945">
        <v>0</v>
      </c>
    </row>
    <row r="5946" spans="1:8" x14ac:dyDescent="0.15">
      <c r="A5946">
        <v>5945</v>
      </c>
      <c r="B5946" t="s">
        <v>339</v>
      </c>
      <c r="C5946" t="s">
        <v>353</v>
      </c>
      <c r="D5946" t="s">
        <v>10047</v>
      </c>
      <c r="E5946" t="s">
        <v>10042</v>
      </c>
      <c r="F5946" s="46">
        <v>46097.325948587961</v>
      </c>
      <c r="G5946" s="46">
        <v>46097.325948587961</v>
      </c>
      <c r="H5946">
        <v>0</v>
      </c>
    </row>
    <row r="5947" spans="1:8" x14ac:dyDescent="0.15">
      <c r="A5947">
        <v>5946</v>
      </c>
      <c r="B5947" t="s">
        <v>339</v>
      </c>
      <c r="C5947" t="s">
        <v>353</v>
      </c>
      <c r="D5947" t="s">
        <v>10048</v>
      </c>
      <c r="E5947" t="s">
        <v>10042</v>
      </c>
      <c r="F5947" s="46">
        <v>46097.325948587961</v>
      </c>
      <c r="G5947" s="46">
        <v>46097.325948587961</v>
      </c>
      <c r="H5947">
        <v>0</v>
      </c>
    </row>
    <row r="5948" spans="1:8" x14ac:dyDescent="0.15">
      <c r="A5948">
        <v>5947</v>
      </c>
      <c r="B5948" t="s">
        <v>339</v>
      </c>
      <c r="C5948" t="s">
        <v>353</v>
      </c>
      <c r="D5948" t="s">
        <v>10049</v>
      </c>
      <c r="E5948" t="s">
        <v>10042</v>
      </c>
      <c r="F5948" s="46">
        <v>46097.325948587961</v>
      </c>
      <c r="G5948" s="46">
        <v>46097.325948587961</v>
      </c>
      <c r="H5948">
        <v>0</v>
      </c>
    </row>
    <row r="5949" spans="1:8" x14ac:dyDescent="0.15">
      <c r="A5949">
        <v>5948</v>
      </c>
      <c r="B5949" t="s">
        <v>339</v>
      </c>
      <c r="C5949" t="s">
        <v>353</v>
      </c>
      <c r="D5949" t="s">
        <v>10050</v>
      </c>
      <c r="E5949" t="s">
        <v>10042</v>
      </c>
      <c r="F5949" s="46">
        <v>46097.325948587961</v>
      </c>
      <c r="G5949" s="46">
        <v>46097.325948587961</v>
      </c>
      <c r="H5949">
        <v>0</v>
      </c>
    </row>
    <row r="5950" spans="1:8" x14ac:dyDescent="0.15">
      <c r="A5950">
        <v>5949</v>
      </c>
      <c r="B5950" t="s">
        <v>339</v>
      </c>
      <c r="C5950" t="s">
        <v>353</v>
      </c>
      <c r="D5950" t="s">
        <v>10051</v>
      </c>
      <c r="E5950" t="s">
        <v>10042</v>
      </c>
      <c r="F5950" s="46">
        <v>46097.325948587961</v>
      </c>
      <c r="G5950" s="46">
        <v>46097.325948587961</v>
      </c>
      <c r="H5950">
        <v>0</v>
      </c>
    </row>
    <row r="5951" spans="1:8" x14ac:dyDescent="0.15">
      <c r="A5951">
        <v>5950</v>
      </c>
      <c r="B5951" t="s">
        <v>339</v>
      </c>
      <c r="C5951" t="s">
        <v>353</v>
      </c>
      <c r="D5951" t="s">
        <v>10052</v>
      </c>
      <c r="E5951" t="s">
        <v>10053</v>
      </c>
      <c r="F5951" s="46">
        <v>46097.325948587961</v>
      </c>
      <c r="G5951" s="46">
        <v>46097.325948761572</v>
      </c>
      <c r="H5951">
        <v>16</v>
      </c>
    </row>
    <row r="5952" spans="1:8" x14ac:dyDescent="0.15">
      <c r="A5952">
        <v>5951</v>
      </c>
      <c r="B5952" t="s">
        <v>339</v>
      </c>
      <c r="C5952" t="s">
        <v>353</v>
      </c>
      <c r="D5952" t="s">
        <v>10054</v>
      </c>
      <c r="E5952" t="s">
        <v>10053</v>
      </c>
      <c r="F5952" s="46">
        <v>46097.325948761572</v>
      </c>
      <c r="G5952" s="46">
        <v>46097.325948761572</v>
      </c>
      <c r="H5952">
        <v>0</v>
      </c>
    </row>
    <row r="5953" spans="1:8" x14ac:dyDescent="0.15">
      <c r="A5953">
        <v>5952</v>
      </c>
      <c r="B5953" t="s">
        <v>339</v>
      </c>
      <c r="C5953" t="s">
        <v>353</v>
      </c>
      <c r="D5953" t="s">
        <v>10055</v>
      </c>
      <c r="E5953" t="s">
        <v>10053</v>
      </c>
      <c r="F5953" s="46">
        <v>46097.325948761572</v>
      </c>
      <c r="G5953" s="46">
        <v>46097.325948761572</v>
      </c>
      <c r="H5953">
        <v>0</v>
      </c>
    </row>
    <row r="5954" spans="1:8" x14ac:dyDescent="0.15">
      <c r="A5954">
        <v>5953</v>
      </c>
      <c r="B5954" t="s">
        <v>339</v>
      </c>
      <c r="C5954" t="s">
        <v>353</v>
      </c>
      <c r="D5954" t="s">
        <v>10056</v>
      </c>
      <c r="E5954" t="s">
        <v>10053</v>
      </c>
      <c r="F5954" s="46">
        <v>46097.325948761572</v>
      </c>
      <c r="G5954" s="46">
        <v>46097.325948761572</v>
      </c>
      <c r="H5954">
        <v>0</v>
      </c>
    </row>
    <row r="5955" spans="1:8" x14ac:dyDescent="0.15">
      <c r="A5955">
        <v>5954</v>
      </c>
      <c r="B5955" t="s">
        <v>339</v>
      </c>
      <c r="C5955" t="s">
        <v>353</v>
      </c>
      <c r="D5955" t="s">
        <v>10057</v>
      </c>
      <c r="E5955" t="s">
        <v>10053</v>
      </c>
      <c r="F5955" s="46">
        <v>46097.325948761572</v>
      </c>
      <c r="G5955" s="46">
        <v>46097.325948761572</v>
      </c>
      <c r="H5955">
        <v>0</v>
      </c>
    </row>
    <row r="5956" spans="1:8" x14ac:dyDescent="0.15">
      <c r="A5956">
        <v>5955</v>
      </c>
      <c r="B5956" t="s">
        <v>339</v>
      </c>
      <c r="C5956" t="s">
        <v>353</v>
      </c>
      <c r="D5956" t="s">
        <v>10058</v>
      </c>
      <c r="E5956" t="s">
        <v>10053</v>
      </c>
      <c r="F5956" s="46">
        <v>46097.325948761572</v>
      </c>
      <c r="G5956" s="46">
        <v>46097.325948761572</v>
      </c>
      <c r="H5956">
        <v>0</v>
      </c>
    </row>
    <row r="5957" spans="1:8" x14ac:dyDescent="0.15">
      <c r="A5957">
        <v>5956</v>
      </c>
      <c r="B5957" t="s">
        <v>339</v>
      </c>
      <c r="C5957" t="s">
        <v>353</v>
      </c>
      <c r="D5957" t="s">
        <v>10059</v>
      </c>
      <c r="E5957" t="s">
        <v>10053</v>
      </c>
      <c r="F5957" s="46">
        <v>46097.325948761572</v>
      </c>
      <c r="G5957" s="46">
        <v>46097.325948761572</v>
      </c>
      <c r="H5957">
        <v>0</v>
      </c>
    </row>
    <row r="5958" spans="1:8" x14ac:dyDescent="0.15">
      <c r="A5958">
        <v>5957</v>
      </c>
      <c r="B5958" t="s">
        <v>339</v>
      </c>
      <c r="C5958" t="s">
        <v>353</v>
      </c>
      <c r="D5958" t="s">
        <v>10060</v>
      </c>
      <c r="E5958" t="s">
        <v>10053</v>
      </c>
      <c r="F5958" s="46">
        <v>46097.325948761572</v>
      </c>
      <c r="G5958" s="46">
        <v>46097.325948761572</v>
      </c>
      <c r="H5958">
        <v>0</v>
      </c>
    </row>
    <row r="5959" spans="1:8" x14ac:dyDescent="0.15">
      <c r="A5959">
        <v>5958</v>
      </c>
      <c r="B5959" t="s">
        <v>339</v>
      </c>
      <c r="C5959" t="s">
        <v>353</v>
      </c>
      <c r="D5959" t="s">
        <v>10061</v>
      </c>
      <c r="E5959" t="s">
        <v>10062</v>
      </c>
      <c r="F5959" s="46">
        <v>46097.325948761572</v>
      </c>
      <c r="G5959" s="46">
        <v>46097.325948761572</v>
      </c>
      <c r="H5959">
        <v>0</v>
      </c>
    </row>
    <row r="5960" spans="1:8" x14ac:dyDescent="0.15">
      <c r="A5960">
        <v>5959</v>
      </c>
      <c r="B5960" t="s">
        <v>339</v>
      </c>
      <c r="C5960" t="s">
        <v>353</v>
      </c>
      <c r="D5960" t="s">
        <v>10063</v>
      </c>
      <c r="E5960" t="s">
        <v>10062</v>
      </c>
      <c r="F5960" s="46">
        <v>46097.325948761572</v>
      </c>
      <c r="G5960" s="46">
        <v>46097.325948761572</v>
      </c>
      <c r="H5960">
        <v>0</v>
      </c>
    </row>
    <row r="5961" spans="1:8" x14ac:dyDescent="0.15">
      <c r="A5961">
        <v>5960</v>
      </c>
      <c r="B5961" t="s">
        <v>339</v>
      </c>
      <c r="C5961" t="s">
        <v>353</v>
      </c>
      <c r="D5961" t="s">
        <v>10064</v>
      </c>
      <c r="E5961" t="s">
        <v>10062</v>
      </c>
      <c r="F5961" s="46">
        <v>46097.325948761572</v>
      </c>
      <c r="G5961" s="46">
        <v>46097.325948761572</v>
      </c>
      <c r="H5961">
        <v>0</v>
      </c>
    </row>
    <row r="5962" spans="1:8" x14ac:dyDescent="0.15">
      <c r="A5962">
        <v>5961</v>
      </c>
      <c r="B5962" t="s">
        <v>339</v>
      </c>
      <c r="C5962" t="s">
        <v>353</v>
      </c>
      <c r="D5962" t="s">
        <v>10065</v>
      </c>
      <c r="E5962" t="s">
        <v>10062</v>
      </c>
      <c r="F5962" s="46">
        <v>46097.32594894676</v>
      </c>
      <c r="G5962" s="46">
        <v>46097.32594894676</v>
      </c>
      <c r="H5962">
        <v>0</v>
      </c>
    </row>
    <row r="5963" spans="1:8" x14ac:dyDescent="0.15">
      <c r="A5963">
        <v>5962</v>
      </c>
      <c r="B5963" t="s">
        <v>339</v>
      </c>
      <c r="C5963" t="s">
        <v>353</v>
      </c>
      <c r="D5963" t="s">
        <v>10066</v>
      </c>
      <c r="E5963" t="s">
        <v>10062</v>
      </c>
      <c r="F5963" s="46">
        <v>46097.32594894676</v>
      </c>
      <c r="G5963" s="46">
        <v>46097.32594894676</v>
      </c>
      <c r="H5963">
        <v>0</v>
      </c>
    </row>
    <row r="5964" spans="1:8" x14ac:dyDescent="0.15">
      <c r="A5964">
        <v>5963</v>
      </c>
      <c r="B5964" t="s">
        <v>339</v>
      </c>
      <c r="C5964" t="s">
        <v>353</v>
      </c>
      <c r="D5964" t="s">
        <v>10067</v>
      </c>
      <c r="E5964" t="s">
        <v>10062</v>
      </c>
      <c r="F5964" s="46">
        <v>46097.32594894676</v>
      </c>
      <c r="G5964" s="46">
        <v>46097.32594894676</v>
      </c>
      <c r="H5964">
        <v>0</v>
      </c>
    </row>
    <row r="5965" spans="1:8" x14ac:dyDescent="0.15">
      <c r="A5965">
        <v>5964</v>
      </c>
      <c r="B5965" t="s">
        <v>339</v>
      </c>
      <c r="C5965" t="s">
        <v>353</v>
      </c>
      <c r="D5965" t="s">
        <v>10068</v>
      </c>
      <c r="E5965" t="s">
        <v>10062</v>
      </c>
      <c r="F5965" s="46">
        <v>46097.32594894676</v>
      </c>
      <c r="G5965" s="46">
        <v>46097.32594894676</v>
      </c>
      <c r="H5965">
        <v>0</v>
      </c>
    </row>
    <row r="5966" spans="1:8" x14ac:dyDescent="0.15">
      <c r="A5966">
        <v>5965</v>
      </c>
      <c r="B5966" t="s">
        <v>339</v>
      </c>
      <c r="C5966" t="s">
        <v>353</v>
      </c>
      <c r="D5966" t="s">
        <v>10069</v>
      </c>
      <c r="E5966" t="s">
        <v>10062</v>
      </c>
      <c r="F5966" s="46">
        <v>46097.32594894676</v>
      </c>
      <c r="G5966" s="46">
        <v>46097.32594894676</v>
      </c>
      <c r="H5966">
        <v>0</v>
      </c>
    </row>
    <row r="5967" spans="1:8" x14ac:dyDescent="0.15">
      <c r="A5967">
        <v>5966</v>
      </c>
      <c r="B5967" t="s">
        <v>339</v>
      </c>
      <c r="C5967" t="s">
        <v>353</v>
      </c>
      <c r="D5967" t="s">
        <v>10070</v>
      </c>
      <c r="E5967" t="s">
        <v>10062</v>
      </c>
      <c r="F5967" s="46">
        <v>46097.32594894676</v>
      </c>
      <c r="G5967" s="46">
        <v>46097.32594894676</v>
      </c>
      <c r="H5967">
        <v>0</v>
      </c>
    </row>
    <row r="5968" spans="1:8" x14ac:dyDescent="0.15">
      <c r="A5968">
        <v>5967</v>
      </c>
      <c r="B5968" t="s">
        <v>339</v>
      </c>
      <c r="C5968" t="s">
        <v>353</v>
      </c>
      <c r="D5968" t="s">
        <v>10071</v>
      </c>
      <c r="E5968" t="s">
        <v>10062</v>
      </c>
      <c r="F5968" s="46">
        <v>46097.32594894676</v>
      </c>
      <c r="G5968" s="46">
        <v>46097.32594894676</v>
      </c>
      <c r="H5968">
        <v>0</v>
      </c>
    </row>
    <row r="5969" spans="1:8" x14ac:dyDescent="0.15">
      <c r="A5969">
        <v>5968</v>
      </c>
      <c r="B5969" t="s">
        <v>339</v>
      </c>
      <c r="C5969" t="s">
        <v>353</v>
      </c>
      <c r="D5969" t="s">
        <v>10072</v>
      </c>
      <c r="E5969" t="s">
        <v>10062</v>
      </c>
      <c r="F5969" s="46">
        <v>46097.32594894676</v>
      </c>
      <c r="G5969" s="46">
        <v>46097.32594894676</v>
      </c>
      <c r="H5969">
        <v>0</v>
      </c>
    </row>
    <row r="5970" spans="1:8" x14ac:dyDescent="0.15">
      <c r="A5970">
        <v>5969</v>
      </c>
      <c r="B5970" t="s">
        <v>339</v>
      </c>
      <c r="C5970" t="s">
        <v>353</v>
      </c>
      <c r="D5970" t="s">
        <v>10073</v>
      </c>
      <c r="E5970" t="s">
        <v>10074</v>
      </c>
      <c r="F5970" s="46">
        <v>46097.32594894676</v>
      </c>
      <c r="G5970" s="46">
        <v>46097.32594894676</v>
      </c>
      <c r="H5970">
        <v>0</v>
      </c>
    </row>
    <row r="5971" spans="1:8" x14ac:dyDescent="0.15">
      <c r="A5971">
        <v>5970</v>
      </c>
      <c r="B5971" t="s">
        <v>339</v>
      </c>
      <c r="C5971" t="s">
        <v>353</v>
      </c>
      <c r="D5971" t="s">
        <v>10075</v>
      </c>
      <c r="E5971" t="s">
        <v>10074</v>
      </c>
      <c r="F5971" s="46">
        <v>46097.32594894676</v>
      </c>
      <c r="G5971" s="46">
        <v>46097.32594894676</v>
      </c>
      <c r="H5971">
        <v>0</v>
      </c>
    </row>
    <row r="5972" spans="1:8" x14ac:dyDescent="0.15">
      <c r="A5972">
        <v>5971</v>
      </c>
      <c r="B5972" t="s">
        <v>339</v>
      </c>
      <c r="C5972" t="s">
        <v>353</v>
      </c>
      <c r="D5972" t="s">
        <v>10076</v>
      </c>
      <c r="E5972" t="s">
        <v>10074</v>
      </c>
      <c r="F5972" s="46">
        <v>46097.32594894676</v>
      </c>
      <c r="G5972" s="46">
        <v>46097.325949131948</v>
      </c>
      <c r="H5972">
        <v>16</v>
      </c>
    </row>
    <row r="5973" spans="1:8" x14ac:dyDescent="0.15">
      <c r="A5973">
        <v>5972</v>
      </c>
      <c r="B5973" t="s">
        <v>339</v>
      </c>
      <c r="C5973" t="s">
        <v>353</v>
      </c>
      <c r="D5973" t="s">
        <v>10077</v>
      </c>
      <c r="E5973" t="s">
        <v>10074</v>
      </c>
      <c r="F5973" s="46">
        <v>46097.325949131948</v>
      </c>
      <c r="G5973" s="46">
        <v>46097.325949131948</v>
      </c>
      <c r="H5973">
        <v>0</v>
      </c>
    </row>
    <row r="5974" spans="1:8" x14ac:dyDescent="0.15">
      <c r="A5974">
        <v>5973</v>
      </c>
      <c r="B5974" t="s">
        <v>339</v>
      </c>
      <c r="C5974" t="s">
        <v>353</v>
      </c>
      <c r="D5974" t="s">
        <v>10078</v>
      </c>
      <c r="E5974" t="s">
        <v>10074</v>
      </c>
      <c r="F5974" s="46">
        <v>46097.325949131948</v>
      </c>
      <c r="G5974" s="46">
        <v>46097.325949131948</v>
      </c>
      <c r="H5974">
        <v>0</v>
      </c>
    </row>
    <row r="5975" spans="1:8" x14ac:dyDescent="0.15">
      <c r="A5975">
        <v>5974</v>
      </c>
      <c r="B5975" t="s">
        <v>339</v>
      </c>
      <c r="C5975" t="s">
        <v>353</v>
      </c>
      <c r="D5975" t="s">
        <v>10079</v>
      </c>
      <c r="E5975" t="s">
        <v>10080</v>
      </c>
      <c r="F5975" s="46">
        <v>46097.325949131948</v>
      </c>
      <c r="G5975" s="46">
        <v>46097.325949131948</v>
      </c>
      <c r="H5975">
        <v>0</v>
      </c>
    </row>
    <row r="5976" spans="1:8" x14ac:dyDescent="0.15">
      <c r="A5976">
        <v>5975</v>
      </c>
      <c r="B5976" t="s">
        <v>339</v>
      </c>
      <c r="C5976" t="s">
        <v>353</v>
      </c>
      <c r="D5976" t="s">
        <v>10081</v>
      </c>
      <c r="E5976" t="s">
        <v>10080</v>
      </c>
      <c r="F5976" s="46">
        <v>46097.325949131948</v>
      </c>
      <c r="G5976" s="46">
        <v>46097.325949131948</v>
      </c>
      <c r="H5976">
        <v>0</v>
      </c>
    </row>
    <row r="5977" spans="1:8" x14ac:dyDescent="0.15">
      <c r="A5977">
        <v>5976</v>
      </c>
      <c r="B5977" t="s">
        <v>339</v>
      </c>
      <c r="C5977" t="s">
        <v>353</v>
      </c>
      <c r="D5977" t="s">
        <v>10082</v>
      </c>
      <c r="E5977" t="s">
        <v>10080</v>
      </c>
      <c r="F5977" s="46">
        <v>46097.325949131948</v>
      </c>
      <c r="G5977" s="46">
        <v>46097.325949131948</v>
      </c>
      <c r="H5977">
        <v>0</v>
      </c>
    </row>
    <row r="5978" spans="1:8" x14ac:dyDescent="0.15">
      <c r="A5978">
        <v>5977</v>
      </c>
      <c r="B5978" t="s">
        <v>339</v>
      </c>
      <c r="C5978" t="s">
        <v>353</v>
      </c>
      <c r="D5978" t="s">
        <v>10083</v>
      </c>
      <c r="E5978" t="s">
        <v>10080</v>
      </c>
      <c r="F5978" s="46">
        <v>46097.325949131948</v>
      </c>
      <c r="G5978" s="46">
        <v>46097.325949131948</v>
      </c>
      <c r="H5978">
        <v>0</v>
      </c>
    </row>
    <row r="5979" spans="1:8" x14ac:dyDescent="0.15">
      <c r="A5979">
        <v>5978</v>
      </c>
      <c r="B5979" t="s">
        <v>339</v>
      </c>
      <c r="C5979" t="s">
        <v>353</v>
      </c>
      <c r="D5979" t="s">
        <v>10084</v>
      </c>
      <c r="E5979" t="s">
        <v>10080</v>
      </c>
      <c r="F5979" s="46">
        <v>46097.325949131948</v>
      </c>
      <c r="G5979" s="46">
        <v>46097.325949131948</v>
      </c>
      <c r="H5979">
        <v>0</v>
      </c>
    </row>
    <row r="5980" spans="1:8" x14ac:dyDescent="0.15">
      <c r="A5980">
        <v>5979</v>
      </c>
      <c r="B5980" t="s">
        <v>339</v>
      </c>
      <c r="C5980" t="s">
        <v>353</v>
      </c>
      <c r="D5980" t="s">
        <v>10085</v>
      </c>
      <c r="E5980" t="s">
        <v>10080</v>
      </c>
      <c r="F5980" s="46">
        <v>46097.325949131948</v>
      </c>
      <c r="G5980" s="46">
        <v>46097.325949131948</v>
      </c>
      <c r="H5980">
        <v>0</v>
      </c>
    </row>
    <row r="5981" spans="1:8" x14ac:dyDescent="0.15">
      <c r="A5981">
        <v>5980</v>
      </c>
      <c r="B5981" t="s">
        <v>339</v>
      </c>
      <c r="C5981" t="s">
        <v>353</v>
      </c>
      <c r="D5981" t="s">
        <v>10086</v>
      </c>
      <c r="E5981" t="s">
        <v>10087</v>
      </c>
      <c r="F5981" s="46">
        <v>46097.325949131948</v>
      </c>
      <c r="G5981" s="46">
        <v>46097.325949131948</v>
      </c>
      <c r="H5981">
        <v>0</v>
      </c>
    </row>
    <row r="5982" spans="1:8" x14ac:dyDescent="0.15">
      <c r="A5982">
        <v>5981</v>
      </c>
      <c r="B5982" t="s">
        <v>339</v>
      </c>
      <c r="C5982" t="s">
        <v>353</v>
      </c>
      <c r="D5982" t="s">
        <v>10088</v>
      </c>
      <c r="E5982" t="s">
        <v>10089</v>
      </c>
      <c r="F5982" s="46">
        <v>46097.325949131948</v>
      </c>
      <c r="G5982" s="46">
        <v>46097.325949305552</v>
      </c>
      <c r="H5982">
        <v>16</v>
      </c>
    </row>
    <row r="5983" spans="1:8" x14ac:dyDescent="0.15">
      <c r="A5983">
        <v>5982</v>
      </c>
      <c r="B5983" t="s">
        <v>339</v>
      </c>
      <c r="C5983" t="s">
        <v>353</v>
      </c>
      <c r="D5983" t="s">
        <v>10090</v>
      </c>
      <c r="E5983" t="s">
        <v>10089</v>
      </c>
      <c r="F5983" s="46">
        <v>46097.325949305552</v>
      </c>
      <c r="G5983" s="46">
        <v>46097.325949305552</v>
      </c>
      <c r="H5983">
        <v>0</v>
      </c>
    </row>
    <row r="5984" spans="1:8" x14ac:dyDescent="0.15">
      <c r="A5984">
        <v>5983</v>
      </c>
      <c r="B5984" t="s">
        <v>339</v>
      </c>
      <c r="C5984" t="s">
        <v>353</v>
      </c>
      <c r="D5984" t="s">
        <v>10091</v>
      </c>
      <c r="E5984" t="s">
        <v>10089</v>
      </c>
      <c r="F5984" s="46">
        <v>46097.325949305552</v>
      </c>
      <c r="G5984" s="46">
        <v>46097.325949305552</v>
      </c>
      <c r="H5984">
        <v>0</v>
      </c>
    </row>
    <row r="5985" spans="1:8" x14ac:dyDescent="0.15">
      <c r="A5985">
        <v>5984</v>
      </c>
      <c r="B5985" t="s">
        <v>339</v>
      </c>
      <c r="C5985" t="s">
        <v>353</v>
      </c>
      <c r="D5985" t="s">
        <v>10092</v>
      </c>
      <c r="E5985" t="s">
        <v>10093</v>
      </c>
      <c r="F5985" s="46">
        <v>46097.325949305552</v>
      </c>
      <c r="G5985" s="46">
        <v>46097.325949305552</v>
      </c>
      <c r="H5985">
        <v>0</v>
      </c>
    </row>
    <row r="5986" spans="1:8" x14ac:dyDescent="0.15">
      <c r="A5986">
        <v>5985</v>
      </c>
      <c r="B5986" t="s">
        <v>339</v>
      </c>
      <c r="C5986" t="s">
        <v>353</v>
      </c>
      <c r="D5986" t="s">
        <v>10094</v>
      </c>
      <c r="E5986" t="s">
        <v>10093</v>
      </c>
      <c r="F5986" s="46">
        <v>46097.325949305552</v>
      </c>
      <c r="G5986" s="46">
        <v>46097.325949305552</v>
      </c>
      <c r="H5986">
        <v>0</v>
      </c>
    </row>
    <row r="5987" spans="1:8" x14ac:dyDescent="0.15">
      <c r="A5987">
        <v>5986</v>
      </c>
      <c r="B5987" t="s">
        <v>339</v>
      </c>
      <c r="C5987" t="s">
        <v>353</v>
      </c>
      <c r="D5987" t="s">
        <v>10095</v>
      </c>
      <c r="E5987" t="s">
        <v>10093</v>
      </c>
      <c r="F5987" s="46">
        <v>46097.325949305552</v>
      </c>
      <c r="G5987" s="46">
        <v>46097.325949305552</v>
      </c>
      <c r="H5987">
        <v>0</v>
      </c>
    </row>
    <row r="5988" spans="1:8" x14ac:dyDescent="0.15">
      <c r="A5988">
        <v>5987</v>
      </c>
      <c r="B5988" t="s">
        <v>339</v>
      </c>
      <c r="C5988" t="s">
        <v>353</v>
      </c>
      <c r="D5988" t="s">
        <v>10096</v>
      </c>
      <c r="E5988" t="s">
        <v>10093</v>
      </c>
      <c r="F5988" s="46">
        <v>46097.325949305552</v>
      </c>
      <c r="G5988" s="46">
        <v>46097.325949305552</v>
      </c>
      <c r="H5988">
        <v>0</v>
      </c>
    </row>
    <row r="5989" spans="1:8" x14ac:dyDescent="0.15">
      <c r="A5989">
        <v>5988</v>
      </c>
      <c r="B5989" t="s">
        <v>339</v>
      </c>
      <c r="C5989" t="s">
        <v>353</v>
      </c>
      <c r="D5989" t="s">
        <v>10097</v>
      </c>
      <c r="E5989" t="s">
        <v>10093</v>
      </c>
      <c r="F5989" s="46">
        <v>46097.325949305552</v>
      </c>
      <c r="G5989" s="46">
        <v>46097.325949305552</v>
      </c>
      <c r="H5989">
        <v>0</v>
      </c>
    </row>
    <row r="5990" spans="1:8" x14ac:dyDescent="0.15">
      <c r="A5990">
        <v>5989</v>
      </c>
      <c r="B5990" t="s">
        <v>339</v>
      </c>
      <c r="C5990" t="s">
        <v>353</v>
      </c>
      <c r="D5990" t="s">
        <v>10098</v>
      </c>
      <c r="E5990" t="s">
        <v>10093</v>
      </c>
      <c r="F5990" s="46">
        <v>46097.325949305552</v>
      </c>
      <c r="G5990" s="46">
        <v>46097.325949305552</v>
      </c>
      <c r="H5990">
        <v>0</v>
      </c>
    </row>
    <row r="5991" spans="1:8" x14ac:dyDescent="0.15">
      <c r="A5991">
        <v>5990</v>
      </c>
      <c r="B5991" t="s">
        <v>339</v>
      </c>
      <c r="C5991" t="s">
        <v>353</v>
      </c>
      <c r="D5991" t="s">
        <v>10099</v>
      </c>
      <c r="E5991" t="s">
        <v>10093</v>
      </c>
      <c r="F5991" s="46">
        <v>46097.325949305552</v>
      </c>
      <c r="G5991" s="46">
        <v>46097.325949305552</v>
      </c>
      <c r="H5991">
        <v>0</v>
      </c>
    </row>
    <row r="5992" spans="1:8" x14ac:dyDescent="0.15">
      <c r="A5992">
        <v>5991</v>
      </c>
      <c r="B5992" t="s">
        <v>339</v>
      </c>
      <c r="C5992" t="s">
        <v>353</v>
      </c>
      <c r="D5992" t="s">
        <v>10100</v>
      </c>
      <c r="E5992" t="s">
        <v>10093</v>
      </c>
      <c r="F5992" s="46">
        <v>46097.325949305552</v>
      </c>
      <c r="G5992" s="46">
        <v>46097.32594949074</v>
      </c>
      <c r="H5992">
        <v>15</v>
      </c>
    </row>
    <row r="5993" spans="1:8" x14ac:dyDescent="0.15">
      <c r="A5993">
        <v>5992</v>
      </c>
      <c r="B5993" t="s">
        <v>339</v>
      </c>
      <c r="C5993" t="s">
        <v>353</v>
      </c>
      <c r="D5993" t="s">
        <v>10101</v>
      </c>
      <c r="E5993" t="s">
        <v>10093</v>
      </c>
      <c r="F5993" s="46">
        <v>46097.32594949074</v>
      </c>
      <c r="G5993" s="46">
        <v>46097.32594949074</v>
      </c>
      <c r="H5993">
        <v>0</v>
      </c>
    </row>
    <row r="5994" spans="1:8" x14ac:dyDescent="0.15">
      <c r="A5994">
        <v>5993</v>
      </c>
      <c r="B5994" t="s">
        <v>339</v>
      </c>
      <c r="C5994" t="s">
        <v>353</v>
      </c>
      <c r="D5994" t="s">
        <v>10102</v>
      </c>
      <c r="E5994" t="s">
        <v>10093</v>
      </c>
      <c r="F5994" s="46">
        <v>46097.32594949074</v>
      </c>
      <c r="G5994" s="46">
        <v>46097.32594949074</v>
      </c>
      <c r="H5994">
        <v>0</v>
      </c>
    </row>
    <row r="5995" spans="1:8" x14ac:dyDescent="0.15">
      <c r="A5995">
        <v>5994</v>
      </c>
      <c r="B5995" t="s">
        <v>339</v>
      </c>
      <c r="C5995" t="s">
        <v>353</v>
      </c>
      <c r="D5995" t="s">
        <v>10103</v>
      </c>
      <c r="E5995" t="s">
        <v>10093</v>
      </c>
      <c r="F5995" s="46">
        <v>46097.32594949074</v>
      </c>
      <c r="G5995" s="46">
        <v>46097.32594949074</v>
      </c>
      <c r="H5995">
        <v>0</v>
      </c>
    </row>
    <row r="5996" spans="1:8" x14ac:dyDescent="0.15">
      <c r="A5996">
        <v>5995</v>
      </c>
      <c r="B5996" t="s">
        <v>339</v>
      </c>
      <c r="C5996" t="s">
        <v>353</v>
      </c>
      <c r="D5996" t="s">
        <v>10104</v>
      </c>
      <c r="E5996" t="s">
        <v>10093</v>
      </c>
      <c r="F5996" s="46">
        <v>46097.32594949074</v>
      </c>
      <c r="G5996" s="46">
        <v>46097.32594949074</v>
      </c>
      <c r="H5996">
        <v>0</v>
      </c>
    </row>
    <row r="5997" spans="1:8" x14ac:dyDescent="0.15">
      <c r="A5997">
        <v>5996</v>
      </c>
      <c r="B5997" t="s">
        <v>339</v>
      </c>
      <c r="C5997" t="s">
        <v>353</v>
      </c>
      <c r="D5997" t="s">
        <v>10105</v>
      </c>
      <c r="E5997" t="s">
        <v>10106</v>
      </c>
      <c r="F5997" s="46">
        <v>46097.32594949074</v>
      </c>
      <c r="G5997" s="46">
        <v>46097.32594949074</v>
      </c>
      <c r="H5997">
        <v>0</v>
      </c>
    </row>
    <row r="5998" spans="1:8" x14ac:dyDescent="0.15">
      <c r="A5998">
        <v>5997</v>
      </c>
      <c r="B5998" t="s">
        <v>339</v>
      </c>
      <c r="C5998" t="s">
        <v>353</v>
      </c>
      <c r="D5998" t="s">
        <v>10107</v>
      </c>
      <c r="E5998" t="s">
        <v>10106</v>
      </c>
      <c r="F5998" s="46">
        <v>46097.32594949074</v>
      </c>
      <c r="G5998" s="46">
        <v>46097.32594949074</v>
      </c>
      <c r="H5998">
        <v>0</v>
      </c>
    </row>
    <row r="5999" spans="1:8" x14ac:dyDescent="0.15">
      <c r="A5999">
        <v>5998</v>
      </c>
      <c r="B5999" t="s">
        <v>339</v>
      </c>
      <c r="C5999" t="s">
        <v>353</v>
      </c>
      <c r="D5999" t="s">
        <v>10108</v>
      </c>
      <c r="E5999" t="s">
        <v>10109</v>
      </c>
      <c r="F5999" s="46">
        <v>46097.32594949074</v>
      </c>
      <c r="G5999" s="46">
        <v>46097.32594949074</v>
      </c>
      <c r="H5999">
        <v>0</v>
      </c>
    </row>
    <row r="6000" spans="1:8" x14ac:dyDescent="0.15">
      <c r="A6000">
        <v>5999</v>
      </c>
      <c r="B6000" t="s">
        <v>339</v>
      </c>
      <c r="C6000" t="s">
        <v>353</v>
      </c>
      <c r="D6000" t="s">
        <v>10110</v>
      </c>
      <c r="E6000" t="s">
        <v>10109</v>
      </c>
      <c r="F6000" s="46">
        <v>46097.32594949074</v>
      </c>
      <c r="G6000" s="46">
        <v>46097.32594949074</v>
      </c>
      <c r="H6000">
        <v>0</v>
      </c>
    </row>
    <row r="6001" spans="1:8" x14ac:dyDescent="0.15">
      <c r="A6001">
        <v>6000</v>
      </c>
      <c r="B6001" t="s">
        <v>339</v>
      </c>
      <c r="C6001" t="s">
        <v>353</v>
      </c>
      <c r="D6001" t="s">
        <v>10111</v>
      </c>
      <c r="E6001" t="s">
        <v>10112</v>
      </c>
      <c r="F6001" s="46">
        <v>46097.32594949074</v>
      </c>
      <c r="G6001" s="46">
        <v>46097.32594949074</v>
      </c>
      <c r="H6001">
        <v>0</v>
      </c>
    </row>
    <row r="6002" spans="1:8" x14ac:dyDescent="0.15">
      <c r="A6002">
        <v>6001</v>
      </c>
      <c r="B6002" t="s">
        <v>339</v>
      </c>
      <c r="C6002" t="s">
        <v>353</v>
      </c>
      <c r="D6002" t="s">
        <v>10113</v>
      </c>
      <c r="E6002" t="s">
        <v>10114</v>
      </c>
      <c r="F6002" s="46">
        <v>46097.32594949074</v>
      </c>
      <c r="G6002" s="46">
        <v>46097.325949664351</v>
      </c>
      <c r="H6002">
        <v>16</v>
      </c>
    </row>
    <row r="6003" spans="1:8" x14ac:dyDescent="0.15">
      <c r="A6003">
        <v>6002</v>
      </c>
      <c r="B6003" t="s">
        <v>339</v>
      </c>
      <c r="C6003" t="s">
        <v>353</v>
      </c>
      <c r="D6003" t="s">
        <v>10115</v>
      </c>
      <c r="E6003" t="s">
        <v>10116</v>
      </c>
      <c r="F6003" s="46">
        <v>46097.325949664351</v>
      </c>
      <c r="G6003" s="46">
        <v>46097.325949664351</v>
      </c>
      <c r="H6003">
        <v>0</v>
      </c>
    </row>
    <row r="6004" spans="1:8" x14ac:dyDescent="0.15">
      <c r="A6004">
        <v>6003</v>
      </c>
      <c r="B6004" t="s">
        <v>339</v>
      </c>
      <c r="C6004" t="s">
        <v>353</v>
      </c>
      <c r="D6004" t="s">
        <v>10117</v>
      </c>
      <c r="E6004" t="s">
        <v>10116</v>
      </c>
      <c r="F6004" s="46">
        <v>46097.325949664351</v>
      </c>
      <c r="G6004" s="46">
        <v>46097.325949664351</v>
      </c>
      <c r="H6004">
        <v>0</v>
      </c>
    </row>
    <row r="6005" spans="1:8" x14ac:dyDescent="0.15">
      <c r="A6005">
        <v>6004</v>
      </c>
      <c r="B6005" t="s">
        <v>339</v>
      </c>
      <c r="C6005" t="s">
        <v>353</v>
      </c>
      <c r="D6005" t="s">
        <v>10118</v>
      </c>
      <c r="E6005" t="s">
        <v>10119</v>
      </c>
      <c r="F6005" s="46">
        <v>46097.325949664351</v>
      </c>
      <c r="G6005" s="46">
        <v>46097.325949664351</v>
      </c>
      <c r="H6005">
        <v>0</v>
      </c>
    </row>
    <row r="6006" spans="1:8" x14ac:dyDescent="0.15">
      <c r="A6006">
        <v>6005</v>
      </c>
      <c r="B6006" t="s">
        <v>339</v>
      </c>
      <c r="C6006" t="s">
        <v>353</v>
      </c>
      <c r="D6006" t="s">
        <v>10120</v>
      </c>
      <c r="E6006" t="s">
        <v>847</v>
      </c>
      <c r="F6006" s="46">
        <v>46097.325949664351</v>
      </c>
      <c r="G6006" s="46">
        <v>46097.325949664351</v>
      </c>
      <c r="H6006">
        <v>0</v>
      </c>
    </row>
    <row r="6007" spans="1:8" x14ac:dyDescent="0.15">
      <c r="A6007">
        <v>6006</v>
      </c>
      <c r="B6007" t="s">
        <v>339</v>
      </c>
      <c r="C6007" t="s">
        <v>353</v>
      </c>
      <c r="D6007" t="s">
        <v>10121</v>
      </c>
      <c r="E6007" t="s">
        <v>847</v>
      </c>
      <c r="F6007" s="46">
        <v>46097.325949664351</v>
      </c>
      <c r="G6007" s="46">
        <v>46097.325949664351</v>
      </c>
      <c r="H6007">
        <v>0</v>
      </c>
    </row>
    <row r="6008" spans="1:8" x14ac:dyDescent="0.15">
      <c r="A6008">
        <v>6007</v>
      </c>
      <c r="B6008" t="s">
        <v>339</v>
      </c>
      <c r="C6008" t="s">
        <v>353</v>
      </c>
      <c r="D6008" t="s">
        <v>10122</v>
      </c>
      <c r="E6008" t="s">
        <v>847</v>
      </c>
      <c r="F6008" s="46">
        <v>46097.325949664351</v>
      </c>
      <c r="G6008" s="46">
        <v>46097.325949664351</v>
      </c>
      <c r="H6008">
        <v>0</v>
      </c>
    </row>
    <row r="6009" spans="1:8" x14ac:dyDescent="0.15">
      <c r="A6009">
        <v>6008</v>
      </c>
      <c r="B6009" t="s">
        <v>339</v>
      </c>
      <c r="C6009" t="s">
        <v>353</v>
      </c>
      <c r="D6009" t="s">
        <v>10123</v>
      </c>
      <c r="E6009" t="s">
        <v>847</v>
      </c>
      <c r="F6009" s="46">
        <v>46097.325949664351</v>
      </c>
      <c r="G6009" s="46">
        <v>46097.325949664351</v>
      </c>
      <c r="H6009">
        <v>0</v>
      </c>
    </row>
    <row r="6010" spans="1:8" x14ac:dyDescent="0.15">
      <c r="A6010">
        <v>6009</v>
      </c>
      <c r="B6010" t="s">
        <v>339</v>
      </c>
      <c r="C6010" t="s">
        <v>353</v>
      </c>
      <c r="D6010" t="s">
        <v>10124</v>
      </c>
      <c r="E6010" t="s">
        <v>10125</v>
      </c>
      <c r="F6010" s="46">
        <v>46097.325949664351</v>
      </c>
      <c r="G6010" s="46">
        <v>46097.325949664351</v>
      </c>
      <c r="H6010">
        <v>0</v>
      </c>
    </row>
    <row r="6011" spans="1:8" x14ac:dyDescent="0.15">
      <c r="A6011">
        <v>6010</v>
      </c>
      <c r="B6011" t="s">
        <v>339</v>
      </c>
      <c r="C6011" t="s">
        <v>353</v>
      </c>
      <c r="D6011" t="s">
        <v>10126</v>
      </c>
      <c r="E6011" t="s">
        <v>10127</v>
      </c>
      <c r="F6011" s="46">
        <v>46097.325949664351</v>
      </c>
      <c r="G6011" s="46">
        <v>46097.325949664351</v>
      </c>
      <c r="H6011">
        <v>0</v>
      </c>
    </row>
    <row r="6012" spans="1:8" x14ac:dyDescent="0.15">
      <c r="A6012">
        <v>6011</v>
      </c>
      <c r="B6012" t="s">
        <v>339</v>
      </c>
      <c r="C6012" t="s">
        <v>353</v>
      </c>
      <c r="D6012" t="s">
        <v>10128</v>
      </c>
      <c r="E6012" t="s">
        <v>10127</v>
      </c>
      <c r="F6012" s="46">
        <v>46097.325949664351</v>
      </c>
      <c r="G6012" s="46">
        <v>46097.325949664351</v>
      </c>
      <c r="H6012">
        <v>0</v>
      </c>
    </row>
    <row r="6013" spans="1:8" x14ac:dyDescent="0.15">
      <c r="A6013">
        <v>6012</v>
      </c>
      <c r="B6013" t="s">
        <v>339</v>
      </c>
      <c r="C6013" t="s">
        <v>353</v>
      </c>
      <c r="D6013" t="s">
        <v>10129</v>
      </c>
      <c r="E6013" t="s">
        <v>10127</v>
      </c>
      <c r="F6013" s="46">
        <v>46097.325949664351</v>
      </c>
      <c r="G6013" s="46">
        <v>46097.325949849539</v>
      </c>
      <c r="H6013">
        <v>16</v>
      </c>
    </row>
    <row r="6014" spans="1:8" x14ac:dyDescent="0.15">
      <c r="A6014">
        <v>6013</v>
      </c>
      <c r="B6014" t="s">
        <v>339</v>
      </c>
      <c r="C6014" t="s">
        <v>353</v>
      </c>
      <c r="D6014" t="s">
        <v>10130</v>
      </c>
      <c r="E6014" t="s">
        <v>10131</v>
      </c>
      <c r="F6014" s="46">
        <v>46097.325949849539</v>
      </c>
      <c r="G6014" s="46">
        <v>46097.325949849539</v>
      </c>
      <c r="H6014">
        <v>0</v>
      </c>
    </row>
    <row r="6015" spans="1:8" x14ac:dyDescent="0.15">
      <c r="A6015">
        <v>6014</v>
      </c>
      <c r="B6015" t="s">
        <v>339</v>
      </c>
      <c r="C6015" t="s">
        <v>353</v>
      </c>
      <c r="D6015" t="s">
        <v>10132</v>
      </c>
      <c r="E6015" t="s">
        <v>10133</v>
      </c>
      <c r="F6015" s="46">
        <v>46097.325949849539</v>
      </c>
      <c r="G6015" s="46">
        <v>46097.325949849539</v>
      </c>
      <c r="H6015">
        <v>0</v>
      </c>
    </row>
    <row r="6016" spans="1:8" x14ac:dyDescent="0.15">
      <c r="A6016">
        <v>6015</v>
      </c>
      <c r="B6016" t="s">
        <v>339</v>
      </c>
      <c r="C6016" t="s">
        <v>353</v>
      </c>
      <c r="D6016" t="s">
        <v>10134</v>
      </c>
      <c r="E6016" t="s">
        <v>10135</v>
      </c>
      <c r="F6016" s="46">
        <v>46097.325949849539</v>
      </c>
      <c r="G6016" s="46">
        <v>46097.325949849539</v>
      </c>
      <c r="H6016">
        <v>0</v>
      </c>
    </row>
    <row r="6017" spans="1:8" x14ac:dyDescent="0.15">
      <c r="A6017">
        <v>6016</v>
      </c>
      <c r="B6017" t="s">
        <v>339</v>
      </c>
      <c r="C6017" t="s">
        <v>353</v>
      </c>
      <c r="D6017" t="s">
        <v>10136</v>
      </c>
      <c r="E6017" t="s">
        <v>10135</v>
      </c>
      <c r="F6017" s="46">
        <v>46097.325949849539</v>
      </c>
      <c r="G6017" s="46">
        <v>46097.325949849539</v>
      </c>
      <c r="H6017">
        <v>0</v>
      </c>
    </row>
    <row r="6018" spans="1:8" x14ac:dyDescent="0.15">
      <c r="A6018">
        <v>6017</v>
      </c>
      <c r="B6018" t="s">
        <v>339</v>
      </c>
      <c r="C6018" t="s">
        <v>353</v>
      </c>
      <c r="D6018" t="s">
        <v>10137</v>
      </c>
      <c r="E6018" t="s">
        <v>10135</v>
      </c>
      <c r="F6018" s="46">
        <v>46097.325949849539</v>
      </c>
      <c r="G6018" s="46">
        <v>46097.325949849539</v>
      </c>
      <c r="H6018">
        <v>0</v>
      </c>
    </row>
    <row r="6019" spans="1:8" x14ac:dyDescent="0.15">
      <c r="A6019">
        <v>6018</v>
      </c>
      <c r="B6019" t="s">
        <v>339</v>
      </c>
      <c r="C6019" t="s">
        <v>353</v>
      </c>
      <c r="D6019" t="s">
        <v>10138</v>
      </c>
      <c r="E6019" t="s">
        <v>10135</v>
      </c>
      <c r="F6019" s="46">
        <v>46097.325949849539</v>
      </c>
      <c r="G6019" s="46">
        <v>46097.325949849539</v>
      </c>
      <c r="H6019">
        <v>0</v>
      </c>
    </row>
    <row r="6020" spans="1:8" x14ac:dyDescent="0.15">
      <c r="A6020">
        <v>6019</v>
      </c>
      <c r="B6020" t="s">
        <v>339</v>
      </c>
      <c r="C6020" t="s">
        <v>353</v>
      </c>
      <c r="D6020" t="s">
        <v>10139</v>
      </c>
      <c r="E6020" t="s">
        <v>10135</v>
      </c>
      <c r="F6020" s="46">
        <v>46097.325949849539</v>
      </c>
      <c r="G6020" s="46">
        <v>46097.325949849539</v>
      </c>
      <c r="H6020">
        <v>0</v>
      </c>
    </row>
    <row r="6021" spans="1:8" x14ac:dyDescent="0.15">
      <c r="A6021">
        <v>6020</v>
      </c>
      <c r="B6021" t="s">
        <v>339</v>
      </c>
      <c r="C6021" t="s">
        <v>353</v>
      </c>
      <c r="D6021" t="s">
        <v>10140</v>
      </c>
      <c r="E6021" t="s">
        <v>10135</v>
      </c>
      <c r="F6021" s="46">
        <v>46097.325949849539</v>
      </c>
      <c r="G6021" s="46">
        <v>46097.325949849539</v>
      </c>
      <c r="H6021">
        <v>0</v>
      </c>
    </row>
    <row r="6022" spans="1:8" x14ac:dyDescent="0.15">
      <c r="A6022">
        <v>6021</v>
      </c>
      <c r="B6022" t="s">
        <v>339</v>
      </c>
      <c r="C6022" t="s">
        <v>353</v>
      </c>
      <c r="D6022" t="s">
        <v>10141</v>
      </c>
      <c r="E6022" t="s">
        <v>10142</v>
      </c>
      <c r="F6022" s="46">
        <v>46097.325949849539</v>
      </c>
      <c r="G6022" s="46">
        <v>46097.325949849539</v>
      </c>
      <c r="H6022">
        <v>0</v>
      </c>
    </row>
    <row r="6023" spans="1:8" x14ac:dyDescent="0.15">
      <c r="A6023">
        <v>6022</v>
      </c>
      <c r="B6023" t="s">
        <v>339</v>
      </c>
      <c r="C6023" t="s">
        <v>353</v>
      </c>
      <c r="D6023" t="s">
        <v>10143</v>
      </c>
      <c r="E6023" t="s">
        <v>10144</v>
      </c>
      <c r="F6023" s="46">
        <v>46097.325949849539</v>
      </c>
      <c r="G6023" s="46">
        <v>46097.325950034719</v>
      </c>
      <c r="H6023">
        <v>15</v>
      </c>
    </row>
    <row r="6024" spans="1:8" x14ac:dyDescent="0.15">
      <c r="A6024">
        <v>6023</v>
      </c>
      <c r="B6024" t="s">
        <v>339</v>
      </c>
      <c r="C6024" t="s">
        <v>353</v>
      </c>
      <c r="D6024" t="s">
        <v>10145</v>
      </c>
      <c r="E6024" t="s">
        <v>10146</v>
      </c>
      <c r="F6024" s="46">
        <v>46097.325950034719</v>
      </c>
      <c r="G6024" s="46">
        <v>46097.325950034719</v>
      </c>
      <c r="H6024">
        <v>0</v>
      </c>
    </row>
    <row r="6025" spans="1:8" x14ac:dyDescent="0.15">
      <c r="A6025">
        <v>6024</v>
      </c>
      <c r="B6025" t="s">
        <v>339</v>
      </c>
      <c r="C6025" t="s">
        <v>353</v>
      </c>
      <c r="D6025" t="s">
        <v>10147</v>
      </c>
      <c r="E6025" t="s">
        <v>10146</v>
      </c>
      <c r="F6025" s="46">
        <v>46097.325950034719</v>
      </c>
      <c r="G6025" s="46">
        <v>46097.325950034719</v>
      </c>
      <c r="H6025">
        <v>0</v>
      </c>
    </row>
    <row r="6026" spans="1:8" x14ac:dyDescent="0.15">
      <c r="A6026">
        <v>6025</v>
      </c>
      <c r="B6026" t="s">
        <v>339</v>
      </c>
      <c r="C6026" t="s">
        <v>353</v>
      </c>
      <c r="D6026" t="s">
        <v>10148</v>
      </c>
      <c r="E6026" t="s">
        <v>10149</v>
      </c>
      <c r="F6026" s="46">
        <v>46097.325950034719</v>
      </c>
      <c r="G6026" s="46">
        <v>46097.325950034719</v>
      </c>
      <c r="H6026">
        <v>0</v>
      </c>
    </row>
    <row r="6027" spans="1:8" x14ac:dyDescent="0.15">
      <c r="A6027">
        <v>6026</v>
      </c>
      <c r="B6027" t="s">
        <v>339</v>
      </c>
      <c r="C6027" t="s">
        <v>353</v>
      </c>
      <c r="D6027" t="s">
        <v>10150</v>
      </c>
      <c r="E6027" t="s">
        <v>10151</v>
      </c>
      <c r="F6027" s="46">
        <v>46097.325950034719</v>
      </c>
      <c r="G6027" s="46">
        <v>46097.325950034719</v>
      </c>
      <c r="H6027">
        <v>0</v>
      </c>
    </row>
    <row r="6028" spans="1:8" x14ac:dyDescent="0.15">
      <c r="A6028">
        <v>6027</v>
      </c>
      <c r="B6028" t="s">
        <v>339</v>
      </c>
      <c r="C6028" t="s">
        <v>353</v>
      </c>
      <c r="D6028" t="s">
        <v>10152</v>
      </c>
      <c r="E6028" t="s">
        <v>10153</v>
      </c>
      <c r="F6028" s="46">
        <v>46097.325950034719</v>
      </c>
      <c r="G6028" s="46">
        <v>46097.325950034719</v>
      </c>
      <c r="H6028">
        <v>0</v>
      </c>
    </row>
    <row r="6029" spans="1:8" x14ac:dyDescent="0.15">
      <c r="A6029">
        <v>6028</v>
      </c>
      <c r="B6029" t="s">
        <v>339</v>
      </c>
      <c r="C6029" t="s">
        <v>353</v>
      </c>
      <c r="D6029" t="s">
        <v>10154</v>
      </c>
      <c r="E6029" t="s">
        <v>10153</v>
      </c>
      <c r="F6029" s="46">
        <v>46097.325950034719</v>
      </c>
      <c r="G6029" s="46">
        <v>46097.325950034719</v>
      </c>
      <c r="H6029">
        <v>0</v>
      </c>
    </row>
    <row r="6030" spans="1:8" x14ac:dyDescent="0.15">
      <c r="A6030">
        <v>6029</v>
      </c>
      <c r="B6030" t="s">
        <v>339</v>
      </c>
      <c r="C6030" t="s">
        <v>353</v>
      </c>
      <c r="D6030" t="s">
        <v>10155</v>
      </c>
      <c r="E6030" t="s">
        <v>10153</v>
      </c>
      <c r="F6030" s="46">
        <v>46097.325950034719</v>
      </c>
      <c r="G6030" s="46">
        <v>46097.325950034719</v>
      </c>
      <c r="H6030">
        <v>0</v>
      </c>
    </row>
    <row r="6031" spans="1:8" x14ac:dyDescent="0.15">
      <c r="A6031">
        <v>6030</v>
      </c>
      <c r="B6031" t="s">
        <v>339</v>
      </c>
      <c r="C6031" t="s">
        <v>353</v>
      </c>
      <c r="D6031" t="s">
        <v>10156</v>
      </c>
      <c r="E6031" t="s">
        <v>10157</v>
      </c>
      <c r="F6031" s="46">
        <v>46097.325950034719</v>
      </c>
      <c r="G6031" s="46">
        <v>46097.325950034719</v>
      </c>
      <c r="H6031">
        <v>0</v>
      </c>
    </row>
    <row r="6032" spans="1:8" x14ac:dyDescent="0.15">
      <c r="A6032">
        <v>6031</v>
      </c>
      <c r="B6032" t="s">
        <v>339</v>
      </c>
      <c r="C6032" t="s">
        <v>353</v>
      </c>
      <c r="D6032" t="s">
        <v>10158</v>
      </c>
      <c r="E6032" t="s">
        <v>10159</v>
      </c>
      <c r="F6032" s="46">
        <v>46097.325950034719</v>
      </c>
      <c r="G6032" s="46">
        <v>46097.325950034719</v>
      </c>
      <c r="H6032">
        <v>0</v>
      </c>
    </row>
    <row r="6033" spans="1:8" x14ac:dyDescent="0.15">
      <c r="A6033">
        <v>6032</v>
      </c>
      <c r="B6033" t="s">
        <v>339</v>
      </c>
      <c r="C6033" t="s">
        <v>353</v>
      </c>
      <c r="D6033" t="s">
        <v>10160</v>
      </c>
      <c r="E6033" t="s">
        <v>10161</v>
      </c>
      <c r="F6033" s="46">
        <v>46097.325950034719</v>
      </c>
      <c r="G6033" s="46">
        <v>46097.325950034719</v>
      </c>
      <c r="H6033">
        <v>0</v>
      </c>
    </row>
    <row r="6034" spans="1:8" x14ac:dyDescent="0.15">
      <c r="A6034">
        <v>6033</v>
      </c>
      <c r="B6034" t="s">
        <v>339</v>
      </c>
      <c r="C6034" t="s">
        <v>353</v>
      </c>
      <c r="D6034" t="s">
        <v>10162</v>
      </c>
      <c r="E6034" t="s">
        <v>10161</v>
      </c>
      <c r="F6034" s="46">
        <v>46097.325950034719</v>
      </c>
      <c r="G6034" s="46">
        <v>46097.325950208331</v>
      </c>
      <c r="H6034">
        <v>16</v>
      </c>
    </row>
    <row r="6035" spans="1:8" x14ac:dyDescent="0.15">
      <c r="A6035">
        <v>6034</v>
      </c>
      <c r="B6035" t="s">
        <v>339</v>
      </c>
      <c r="C6035" t="s">
        <v>353</v>
      </c>
      <c r="D6035" t="s">
        <v>10163</v>
      </c>
      <c r="E6035" t="s">
        <v>10161</v>
      </c>
      <c r="F6035" s="46">
        <v>46097.325950208331</v>
      </c>
      <c r="G6035" s="46">
        <v>46097.325950208331</v>
      </c>
      <c r="H6035">
        <v>0</v>
      </c>
    </row>
    <row r="6036" spans="1:8" x14ac:dyDescent="0.15">
      <c r="A6036">
        <v>6035</v>
      </c>
      <c r="B6036" t="s">
        <v>339</v>
      </c>
      <c r="C6036" t="s">
        <v>353</v>
      </c>
      <c r="D6036" t="s">
        <v>10164</v>
      </c>
      <c r="E6036" t="s">
        <v>10165</v>
      </c>
      <c r="F6036" s="46">
        <v>46097.325950208331</v>
      </c>
      <c r="G6036" s="46">
        <v>46097.325950208331</v>
      </c>
      <c r="H6036">
        <v>0</v>
      </c>
    </row>
    <row r="6037" spans="1:8" x14ac:dyDescent="0.15">
      <c r="A6037">
        <v>6036</v>
      </c>
      <c r="B6037" t="s">
        <v>339</v>
      </c>
      <c r="C6037" t="s">
        <v>353</v>
      </c>
      <c r="D6037" t="s">
        <v>10166</v>
      </c>
      <c r="E6037" t="s">
        <v>10165</v>
      </c>
      <c r="F6037" s="46">
        <v>46097.325950208331</v>
      </c>
      <c r="G6037" s="46">
        <v>46097.325950208331</v>
      </c>
      <c r="H6037">
        <v>0</v>
      </c>
    </row>
    <row r="6038" spans="1:8" x14ac:dyDescent="0.15">
      <c r="A6038">
        <v>6037</v>
      </c>
      <c r="B6038" t="s">
        <v>339</v>
      </c>
      <c r="C6038" t="s">
        <v>353</v>
      </c>
      <c r="D6038" t="s">
        <v>10167</v>
      </c>
      <c r="E6038" t="s">
        <v>10165</v>
      </c>
      <c r="F6038" s="46">
        <v>46097.325950208331</v>
      </c>
      <c r="G6038" s="46">
        <v>46097.325950208331</v>
      </c>
      <c r="H6038">
        <v>0</v>
      </c>
    </row>
    <row r="6039" spans="1:8" x14ac:dyDescent="0.15">
      <c r="A6039">
        <v>6038</v>
      </c>
      <c r="B6039" t="s">
        <v>339</v>
      </c>
      <c r="C6039" t="s">
        <v>353</v>
      </c>
      <c r="D6039" t="s">
        <v>10168</v>
      </c>
      <c r="E6039" t="s">
        <v>10165</v>
      </c>
      <c r="F6039" s="46">
        <v>46097.325950208331</v>
      </c>
      <c r="G6039" s="46">
        <v>46097.325950208331</v>
      </c>
      <c r="H6039">
        <v>0</v>
      </c>
    </row>
    <row r="6040" spans="1:8" x14ac:dyDescent="0.15">
      <c r="A6040">
        <v>6039</v>
      </c>
      <c r="B6040" t="s">
        <v>339</v>
      </c>
      <c r="C6040" t="s">
        <v>353</v>
      </c>
      <c r="D6040" t="s">
        <v>10169</v>
      </c>
      <c r="E6040" t="s">
        <v>10165</v>
      </c>
      <c r="F6040" s="46">
        <v>46097.325950208331</v>
      </c>
      <c r="G6040" s="46">
        <v>46097.325950208331</v>
      </c>
      <c r="H6040">
        <v>0</v>
      </c>
    </row>
    <row r="6041" spans="1:8" x14ac:dyDescent="0.15">
      <c r="A6041">
        <v>6040</v>
      </c>
      <c r="B6041" t="s">
        <v>339</v>
      </c>
      <c r="C6041" t="s">
        <v>353</v>
      </c>
      <c r="D6041" t="s">
        <v>10170</v>
      </c>
      <c r="E6041" t="s">
        <v>10165</v>
      </c>
      <c r="F6041" s="46">
        <v>46097.325950208331</v>
      </c>
      <c r="G6041" s="46">
        <v>46097.325950208331</v>
      </c>
      <c r="H6041">
        <v>0</v>
      </c>
    </row>
    <row r="6042" spans="1:8" x14ac:dyDescent="0.15">
      <c r="A6042">
        <v>6041</v>
      </c>
      <c r="B6042" t="s">
        <v>339</v>
      </c>
      <c r="C6042" t="s">
        <v>353</v>
      </c>
      <c r="D6042" t="s">
        <v>10171</v>
      </c>
      <c r="E6042" t="s">
        <v>10165</v>
      </c>
      <c r="F6042" s="46">
        <v>46097.325950208331</v>
      </c>
      <c r="G6042" s="46">
        <v>46097.325950208331</v>
      </c>
      <c r="H6042">
        <v>0</v>
      </c>
    </row>
    <row r="6043" spans="1:8" x14ac:dyDescent="0.15">
      <c r="A6043">
        <v>6042</v>
      </c>
      <c r="B6043" t="s">
        <v>339</v>
      </c>
      <c r="C6043" t="s">
        <v>353</v>
      </c>
      <c r="D6043" t="s">
        <v>10172</v>
      </c>
      <c r="E6043" t="s">
        <v>848</v>
      </c>
      <c r="F6043" s="46">
        <v>46097.325950208331</v>
      </c>
      <c r="G6043" s="46">
        <v>46097.325950208331</v>
      </c>
      <c r="H6043">
        <v>0</v>
      </c>
    </row>
    <row r="6044" spans="1:8" x14ac:dyDescent="0.15">
      <c r="A6044">
        <v>6043</v>
      </c>
      <c r="B6044" t="s">
        <v>339</v>
      </c>
      <c r="C6044" t="s">
        <v>353</v>
      </c>
      <c r="D6044" t="s">
        <v>10173</v>
      </c>
      <c r="E6044" t="s">
        <v>10174</v>
      </c>
      <c r="F6044" s="46">
        <v>46097.325950208331</v>
      </c>
      <c r="G6044" s="46">
        <v>46097.325950208331</v>
      </c>
      <c r="H6044">
        <v>0</v>
      </c>
    </row>
    <row r="6045" spans="1:8" x14ac:dyDescent="0.15">
      <c r="A6045">
        <v>6044</v>
      </c>
      <c r="B6045" t="s">
        <v>339</v>
      </c>
      <c r="C6045" t="s">
        <v>353</v>
      </c>
      <c r="D6045" t="s">
        <v>10175</v>
      </c>
      <c r="E6045" t="s">
        <v>10176</v>
      </c>
      <c r="F6045" s="46">
        <v>46097.325950208331</v>
      </c>
      <c r="G6045" s="46">
        <v>46097.325950393519</v>
      </c>
      <c r="H6045">
        <v>15</v>
      </c>
    </row>
    <row r="6046" spans="1:8" x14ac:dyDescent="0.15">
      <c r="A6046">
        <v>6045</v>
      </c>
      <c r="B6046" t="s">
        <v>339</v>
      </c>
      <c r="C6046" t="s">
        <v>353</v>
      </c>
      <c r="D6046" t="s">
        <v>10177</v>
      </c>
      <c r="E6046" t="s">
        <v>10178</v>
      </c>
      <c r="F6046" s="46">
        <v>46097.325950393519</v>
      </c>
      <c r="G6046" s="46">
        <v>46097.325950393519</v>
      </c>
      <c r="H6046">
        <v>0</v>
      </c>
    </row>
    <row r="6047" spans="1:8" x14ac:dyDescent="0.15">
      <c r="A6047">
        <v>6046</v>
      </c>
      <c r="B6047" t="s">
        <v>339</v>
      </c>
      <c r="C6047" t="s">
        <v>353</v>
      </c>
      <c r="D6047" t="s">
        <v>10179</v>
      </c>
      <c r="E6047" t="s">
        <v>10178</v>
      </c>
      <c r="F6047" s="46">
        <v>46097.325950393519</v>
      </c>
      <c r="G6047" s="46">
        <v>46097.325950393519</v>
      </c>
      <c r="H6047">
        <v>0</v>
      </c>
    </row>
    <row r="6048" spans="1:8" x14ac:dyDescent="0.15">
      <c r="A6048">
        <v>6047</v>
      </c>
      <c r="B6048" t="s">
        <v>339</v>
      </c>
      <c r="C6048" t="s">
        <v>353</v>
      </c>
      <c r="D6048" t="s">
        <v>10180</v>
      </c>
      <c r="E6048" t="s">
        <v>10181</v>
      </c>
      <c r="F6048" s="46">
        <v>46097.325950393519</v>
      </c>
      <c r="G6048" s="46">
        <v>46097.325950393519</v>
      </c>
      <c r="H6048">
        <v>0</v>
      </c>
    </row>
    <row r="6049" spans="1:8" x14ac:dyDescent="0.15">
      <c r="A6049">
        <v>6048</v>
      </c>
      <c r="B6049" t="s">
        <v>339</v>
      </c>
      <c r="C6049" t="s">
        <v>353</v>
      </c>
      <c r="D6049" t="s">
        <v>10182</v>
      </c>
      <c r="E6049" t="s">
        <v>10181</v>
      </c>
      <c r="F6049" s="46">
        <v>46097.325950393519</v>
      </c>
      <c r="G6049" s="46">
        <v>46097.325950393519</v>
      </c>
      <c r="H6049">
        <v>0</v>
      </c>
    </row>
    <row r="6050" spans="1:8" x14ac:dyDescent="0.15">
      <c r="A6050">
        <v>6049</v>
      </c>
      <c r="B6050" t="s">
        <v>339</v>
      </c>
      <c r="C6050" t="s">
        <v>353</v>
      </c>
      <c r="D6050" t="s">
        <v>10183</v>
      </c>
      <c r="E6050" t="s">
        <v>10181</v>
      </c>
      <c r="F6050" s="46">
        <v>46097.325950393519</v>
      </c>
      <c r="G6050" s="46">
        <v>46097.325950393519</v>
      </c>
      <c r="H6050">
        <v>0</v>
      </c>
    </row>
    <row r="6051" spans="1:8" x14ac:dyDescent="0.15">
      <c r="A6051">
        <v>6050</v>
      </c>
      <c r="B6051" t="s">
        <v>339</v>
      </c>
      <c r="C6051" t="s">
        <v>353</v>
      </c>
      <c r="D6051" t="s">
        <v>10184</v>
      </c>
      <c r="E6051" t="s">
        <v>10185</v>
      </c>
      <c r="F6051" s="46">
        <v>46097.325950393519</v>
      </c>
      <c r="G6051" s="46">
        <v>46097.325950393519</v>
      </c>
      <c r="H6051">
        <v>0</v>
      </c>
    </row>
    <row r="6052" spans="1:8" x14ac:dyDescent="0.15">
      <c r="A6052">
        <v>6051</v>
      </c>
      <c r="B6052" t="s">
        <v>339</v>
      </c>
      <c r="C6052" t="s">
        <v>353</v>
      </c>
      <c r="D6052" t="s">
        <v>10186</v>
      </c>
      <c r="E6052" t="s">
        <v>10185</v>
      </c>
      <c r="F6052" s="46">
        <v>46097.325950393519</v>
      </c>
      <c r="G6052" s="46">
        <v>46097.325950393519</v>
      </c>
      <c r="H6052">
        <v>0</v>
      </c>
    </row>
    <row r="6053" spans="1:8" x14ac:dyDescent="0.15">
      <c r="A6053">
        <v>6052</v>
      </c>
      <c r="B6053" t="s">
        <v>339</v>
      </c>
      <c r="C6053" t="s">
        <v>353</v>
      </c>
      <c r="D6053" t="s">
        <v>10187</v>
      </c>
      <c r="E6053" t="s">
        <v>10185</v>
      </c>
      <c r="F6053" s="46">
        <v>46097.325950393519</v>
      </c>
      <c r="G6053" s="46">
        <v>46097.325950393519</v>
      </c>
      <c r="H6053">
        <v>0</v>
      </c>
    </row>
    <row r="6054" spans="1:8" x14ac:dyDescent="0.15">
      <c r="A6054">
        <v>6053</v>
      </c>
      <c r="B6054" t="s">
        <v>339</v>
      </c>
      <c r="C6054" t="s">
        <v>353</v>
      </c>
      <c r="D6054" t="s">
        <v>10188</v>
      </c>
      <c r="E6054" t="s">
        <v>10189</v>
      </c>
      <c r="F6054" s="46">
        <v>46097.325950393519</v>
      </c>
      <c r="G6054" s="46">
        <v>46097.325950393519</v>
      </c>
      <c r="H6054">
        <v>0</v>
      </c>
    </row>
    <row r="6055" spans="1:8" x14ac:dyDescent="0.15">
      <c r="A6055">
        <v>6054</v>
      </c>
      <c r="B6055" t="s">
        <v>339</v>
      </c>
      <c r="C6055" t="s">
        <v>353</v>
      </c>
      <c r="D6055" t="s">
        <v>10190</v>
      </c>
      <c r="E6055" t="s">
        <v>10189</v>
      </c>
      <c r="F6055" s="46">
        <v>46097.325950393519</v>
      </c>
      <c r="G6055" s="46">
        <v>46097.325950578706</v>
      </c>
      <c r="H6055">
        <v>16</v>
      </c>
    </row>
    <row r="6056" spans="1:8" x14ac:dyDescent="0.15">
      <c r="A6056">
        <v>6055</v>
      </c>
      <c r="B6056" t="s">
        <v>339</v>
      </c>
      <c r="C6056" t="s">
        <v>353</v>
      </c>
      <c r="D6056" t="s">
        <v>10191</v>
      </c>
      <c r="E6056" t="s">
        <v>10189</v>
      </c>
      <c r="F6056" s="46">
        <v>46097.325950578706</v>
      </c>
      <c r="G6056" s="46">
        <v>46097.325950578706</v>
      </c>
      <c r="H6056">
        <v>0</v>
      </c>
    </row>
    <row r="6057" spans="1:8" x14ac:dyDescent="0.15">
      <c r="A6057">
        <v>6056</v>
      </c>
      <c r="B6057" t="s">
        <v>339</v>
      </c>
      <c r="C6057" t="s">
        <v>353</v>
      </c>
      <c r="D6057" t="s">
        <v>10192</v>
      </c>
      <c r="E6057" t="s">
        <v>10193</v>
      </c>
      <c r="F6057" s="46">
        <v>46097.325950578706</v>
      </c>
      <c r="G6057" s="46">
        <v>46097.325950578706</v>
      </c>
      <c r="H6057">
        <v>0</v>
      </c>
    </row>
    <row r="6058" spans="1:8" x14ac:dyDescent="0.15">
      <c r="A6058">
        <v>6057</v>
      </c>
      <c r="B6058" t="s">
        <v>339</v>
      </c>
      <c r="C6058" t="s">
        <v>353</v>
      </c>
      <c r="D6058" t="s">
        <v>10194</v>
      </c>
      <c r="E6058" t="s">
        <v>10193</v>
      </c>
      <c r="F6058" s="46">
        <v>46097.325950578706</v>
      </c>
      <c r="G6058" s="46">
        <v>46097.325950578706</v>
      </c>
      <c r="H6058">
        <v>0</v>
      </c>
    </row>
    <row r="6059" spans="1:8" x14ac:dyDescent="0.15">
      <c r="A6059">
        <v>6058</v>
      </c>
      <c r="B6059" t="s">
        <v>339</v>
      </c>
      <c r="C6059" t="s">
        <v>353</v>
      </c>
      <c r="D6059" t="s">
        <v>10195</v>
      </c>
      <c r="E6059" t="s">
        <v>10196</v>
      </c>
      <c r="F6059" s="46">
        <v>46097.325950578706</v>
      </c>
      <c r="G6059" s="46">
        <v>46097.325950578706</v>
      </c>
      <c r="H6059">
        <v>0</v>
      </c>
    </row>
    <row r="6060" spans="1:8" x14ac:dyDescent="0.15">
      <c r="A6060">
        <v>6059</v>
      </c>
      <c r="B6060" t="s">
        <v>339</v>
      </c>
      <c r="C6060" t="s">
        <v>353</v>
      </c>
      <c r="D6060" t="s">
        <v>10197</v>
      </c>
      <c r="E6060" t="s">
        <v>10196</v>
      </c>
      <c r="F6060" s="46">
        <v>46097.325950578706</v>
      </c>
      <c r="G6060" s="46">
        <v>46097.325950578706</v>
      </c>
      <c r="H6060">
        <v>0</v>
      </c>
    </row>
    <row r="6061" spans="1:8" x14ac:dyDescent="0.15">
      <c r="A6061">
        <v>6060</v>
      </c>
      <c r="B6061" t="s">
        <v>339</v>
      </c>
      <c r="C6061" t="s">
        <v>353</v>
      </c>
      <c r="D6061" t="s">
        <v>10198</v>
      </c>
      <c r="E6061" t="s">
        <v>10199</v>
      </c>
      <c r="F6061" s="46">
        <v>46097.325950578706</v>
      </c>
      <c r="G6061" s="46">
        <v>46097.325950578706</v>
      </c>
      <c r="H6061">
        <v>0</v>
      </c>
    </row>
    <row r="6062" spans="1:8" x14ac:dyDescent="0.15">
      <c r="A6062">
        <v>6061</v>
      </c>
      <c r="B6062" t="s">
        <v>339</v>
      </c>
      <c r="C6062" t="s">
        <v>353</v>
      </c>
      <c r="D6062" t="s">
        <v>10200</v>
      </c>
      <c r="E6062" t="s">
        <v>10201</v>
      </c>
      <c r="F6062" s="46">
        <v>46097.325950578706</v>
      </c>
      <c r="G6062" s="46">
        <v>46097.325950578706</v>
      </c>
      <c r="H6062">
        <v>0</v>
      </c>
    </row>
    <row r="6063" spans="1:8" x14ac:dyDescent="0.15">
      <c r="A6063">
        <v>6062</v>
      </c>
      <c r="B6063" t="s">
        <v>339</v>
      </c>
      <c r="C6063" t="s">
        <v>353</v>
      </c>
      <c r="D6063" t="s">
        <v>10202</v>
      </c>
      <c r="E6063" t="s">
        <v>10203</v>
      </c>
      <c r="F6063" s="46">
        <v>46097.325950578706</v>
      </c>
      <c r="G6063" s="46">
        <v>46097.325950578706</v>
      </c>
      <c r="H6063">
        <v>0</v>
      </c>
    </row>
    <row r="6064" spans="1:8" x14ac:dyDescent="0.15">
      <c r="A6064">
        <v>6063</v>
      </c>
      <c r="B6064" t="s">
        <v>339</v>
      </c>
      <c r="C6064" t="s">
        <v>353</v>
      </c>
      <c r="D6064" t="s">
        <v>10204</v>
      </c>
      <c r="E6064" t="s">
        <v>10203</v>
      </c>
      <c r="F6064" s="46">
        <v>46097.325950578706</v>
      </c>
      <c r="G6064" s="46">
        <v>46097.325950578706</v>
      </c>
      <c r="H6064">
        <v>0</v>
      </c>
    </row>
    <row r="6065" spans="1:8" x14ac:dyDescent="0.15">
      <c r="A6065">
        <v>6064</v>
      </c>
      <c r="B6065" t="s">
        <v>339</v>
      </c>
      <c r="C6065" t="s">
        <v>353</v>
      </c>
      <c r="D6065" t="s">
        <v>10205</v>
      </c>
      <c r="E6065" t="s">
        <v>10206</v>
      </c>
      <c r="F6065" s="46">
        <v>46097.325950578706</v>
      </c>
      <c r="G6065" s="46">
        <v>46097.325950752318</v>
      </c>
      <c r="H6065">
        <v>16</v>
      </c>
    </row>
    <row r="6066" spans="1:8" x14ac:dyDescent="0.15">
      <c r="A6066">
        <v>6065</v>
      </c>
      <c r="B6066" t="s">
        <v>339</v>
      </c>
      <c r="C6066" t="s">
        <v>353</v>
      </c>
      <c r="D6066" t="s">
        <v>10207</v>
      </c>
      <c r="E6066" t="s">
        <v>10208</v>
      </c>
      <c r="F6066" s="46">
        <v>46097.325950752318</v>
      </c>
      <c r="G6066" s="46">
        <v>46097.325950752318</v>
      </c>
      <c r="H6066">
        <v>0</v>
      </c>
    </row>
    <row r="6067" spans="1:8" x14ac:dyDescent="0.15">
      <c r="A6067">
        <v>6066</v>
      </c>
      <c r="B6067" t="s">
        <v>339</v>
      </c>
      <c r="C6067" t="s">
        <v>353</v>
      </c>
      <c r="D6067" t="s">
        <v>10209</v>
      </c>
      <c r="E6067" t="s">
        <v>10210</v>
      </c>
      <c r="F6067" s="46">
        <v>46097.325950752318</v>
      </c>
      <c r="G6067" s="46">
        <v>46097.325950752318</v>
      </c>
      <c r="H6067">
        <v>0</v>
      </c>
    </row>
    <row r="6068" spans="1:8" x14ac:dyDescent="0.15">
      <c r="A6068">
        <v>6067</v>
      </c>
      <c r="B6068" t="s">
        <v>339</v>
      </c>
      <c r="C6068" t="s">
        <v>353</v>
      </c>
      <c r="D6068" t="s">
        <v>10211</v>
      </c>
      <c r="E6068" t="s">
        <v>10212</v>
      </c>
      <c r="F6068" s="46">
        <v>46097.325950752318</v>
      </c>
      <c r="G6068" s="46">
        <v>46097.325950752318</v>
      </c>
      <c r="H6068">
        <v>0</v>
      </c>
    </row>
    <row r="6069" spans="1:8" x14ac:dyDescent="0.15">
      <c r="A6069">
        <v>6068</v>
      </c>
      <c r="B6069" t="s">
        <v>339</v>
      </c>
      <c r="C6069" t="s">
        <v>353</v>
      </c>
      <c r="D6069" t="s">
        <v>10213</v>
      </c>
      <c r="E6069" t="s">
        <v>10212</v>
      </c>
      <c r="F6069" s="46">
        <v>46097.325950752318</v>
      </c>
      <c r="G6069" s="46">
        <v>46097.325950752318</v>
      </c>
      <c r="H6069">
        <v>0</v>
      </c>
    </row>
    <row r="6070" spans="1:8" x14ac:dyDescent="0.15">
      <c r="A6070">
        <v>6069</v>
      </c>
      <c r="B6070" t="s">
        <v>339</v>
      </c>
      <c r="C6070" t="s">
        <v>353</v>
      </c>
      <c r="D6070" t="s">
        <v>10214</v>
      </c>
      <c r="E6070" t="s">
        <v>10215</v>
      </c>
      <c r="F6070" s="46">
        <v>46097.325950752318</v>
      </c>
      <c r="G6070" s="46">
        <v>46097.325950752318</v>
      </c>
      <c r="H6070">
        <v>0</v>
      </c>
    </row>
    <row r="6071" spans="1:8" x14ac:dyDescent="0.15">
      <c r="A6071">
        <v>6070</v>
      </c>
      <c r="B6071" t="s">
        <v>339</v>
      </c>
      <c r="C6071" t="s">
        <v>353</v>
      </c>
      <c r="D6071" t="s">
        <v>10216</v>
      </c>
      <c r="E6071" t="s">
        <v>10215</v>
      </c>
      <c r="F6071" s="46">
        <v>46097.325950752318</v>
      </c>
      <c r="G6071" s="46">
        <v>46097.325950752318</v>
      </c>
      <c r="H6071">
        <v>0</v>
      </c>
    </row>
    <row r="6072" spans="1:8" x14ac:dyDescent="0.15">
      <c r="A6072">
        <v>6071</v>
      </c>
      <c r="B6072" t="s">
        <v>339</v>
      </c>
      <c r="C6072" t="s">
        <v>353</v>
      </c>
      <c r="D6072" t="s">
        <v>10217</v>
      </c>
      <c r="E6072" t="s">
        <v>10218</v>
      </c>
      <c r="F6072" s="46">
        <v>46097.325950752318</v>
      </c>
      <c r="G6072" s="46">
        <v>46097.325950752318</v>
      </c>
      <c r="H6072">
        <v>0</v>
      </c>
    </row>
    <row r="6073" spans="1:8" x14ac:dyDescent="0.15">
      <c r="A6073">
        <v>6072</v>
      </c>
      <c r="B6073" t="s">
        <v>339</v>
      </c>
      <c r="C6073" t="s">
        <v>353</v>
      </c>
      <c r="D6073" t="s">
        <v>10219</v>
      </c>
      <c r="E6073" t="s">
        <v>10218</v>
      </c>
      <c r="F6073" s="46">
        <v>46097.325950752318</v>
      </c>
      <c r="G6073" s="46">
        <v>46097.325950752318</v>
      </c>
      <c r="H6073">
        <v>0</v>
      </c>
    </row>
    <row r="6074" spans="1:8" x14ac:dyDescent="0.15">
      <c r="A6074">
        <v>6073</v>
      </c>
      <c r="B6074" t="s">
        <v>339</v>
      </c>
      <c r="C6074" t="s">
        <v>353</v>
      </c>
      <c r="D6074" t="s">
        <v>10220</v>
      </c>
      <c r="E6074" t="s">
        <v>10221</v>
      </c>
      <c r="F6074" s="46">
        <v>46097.325950752318</v>
      </c>
      <c r="G6074" s="46">
        <v>46097.325950752318</v>
      </c>
      <c r="H6074">
        <v>0</v>
      </c>
    </row>
    <row r="6075" spans="1:8" x14ac:dyDescent="0.15">
      <c r="A6075">
        <v>6074</v>
      </c>
      <c r="B6075" t="s">
        <v>339</v>
      </c>
      <c r="C6075" t="s">
        <v>353</v>
      </c>
      <c r="D6075" t="s">
        <v>10222</v>
      </c>
      <c r="E6075" t="s">
        <v>10221</v>
      </c>
      <c r="F6075" s="46">
        <v>46097.325950752318</v>
      </c>
      <c r="G6075" s="46">
        <v>46097.325950752318</v>
      </c>
      <c r="H6075">
        <v>0</v>
      </c>
    </row>
    <row r="6076" spans="1:8" x14ac:dyDescent="0.15">
      <c r="A6076">
        <v>6075</v>
      </c>
      <c r="B6076" t="s">
        <v>339</v>
      </c>
      <c r="C6076" t="s">
        <v>353</v>
      </c>
      <c r="D6076" t="s">
        <v>10223</v>
      </c>
      <c r="E6076" t="s">
        <v>10221</v>
      </c>
      <c r="F6076" s="46">
        <v>46097.325950752318</v>
      </c>
      <c r="G6076" s="46">
        <v>46097.325950937498</v>
      </c>
      <c r="H6076">
        <v>15</v>
      </c>
    </row>
    <row r="6077" spans="1:8" x14ac:dyDescent="0.15">
      <c r="A6077">
        <v>6076</v>
      </c>
      <c r="B6077" t="s">
        <v>339</v>
      </c>
      <c r="C6077" t="s">
        <v>353</v>
      </c>
      <c r="D6077" t="s">
        <v>10224</v>
      </c>
      <c r="E6077" t="s">
        <v>10221</v>
      </c>
      <c r="F6077" s="46">
        <v>46097.325950937498</v>
      </c>
      <c r="G6077" s="46">
        <v>46097.325950937498</v>
      </c>
      <c r="H6077">
        <v>0</v>
      </c>
    </row>
    <row r="6078" spans="1:8" x14ac:dyDescent="0.15">
      <c r="A6078">
        <v>6077</v>
      </c>
      <c r="B6078" t="s">
        <v>339</v>
      </c>
      <c r="C6078" t="s">
        <v>353</v>
      </c>
      <c r="D6078" t="s">
        <v>10225</v>
      </c>
      <c r="E6078" t="s">
        <v>10221</v>
      </c>
      <c r="F6078" s="46">
        <v>46097.325950937498</v>
      </c>
      <c r="G6078" s="46">
        <v>46097.325950937498</v>
      </c>
      <c r="H6078">
        <v>0</v>
      </c>
    </row>
    <row r="6079" spans="1:8" x14ac:dyDescent="0.15">
      <c r="A6079">
        <v>6078</v>
      </c>
      <c r="B6079" t="s">
        <v>339</v>
      </c>
      <c r="C6079" t="s">
        <v>353</v>
      </c>
      <c r="D6079" t="s">
        <v>10226</v>
      </c>
      <c r="E6079" t="s">
        <v>10227</v>
      </c>
      <c r="F6079" s="46">
        <v>46097.325950937498</v>
      </c>
      <c r="G6079" s="46">
        <v>46097.325950937498</v>
      </c>
      <c r="H6079">
        <v>0</v>
      </c>
    </row>
    <row r="6080" spans="1:8" x14ac:dyDescent="0.15">
      <c r="A6080">
        <v>6079</v>
      </c>
      <c r="B6080" t="s">
        <v>339</v>
      </c>
      <c r="C6080" t="s">
        <v>353</v>
      </c>
      <c r="D6080" t="s">
        <v>10228</v>
      </c>
      <c r="E6080" t="s">
        <v>10227</v>
      </c>
      <c r="F6080" s="46">
        <v>46097.325950937498</v>
      </c>
      <c r="G6080" s="46">
        <v>46097.325950937498</v>
      </c>
      <c r="H6080">
        <v>0</v>
      </c>
    </row>
    <row r="6081" spans="1:8" x14ac:dyDescent="0.15">
      <c r="A6081">
        <v>6080</v>
      </c>
      <c r="B6081" t="s">
        <v>339</v>
      </c>
      <c r="C6081" t="s">
        <v>353</v>
      </c>
      <c r="D6081" t="s">
        <v>10229</v>
      </c>
      <c r="E6081" t="s">
        <v>10227</v>
      </c>
      <c r="F6081" s="46">
        <v>46097.325950937498</v>
      </c>
      <c r="G6081" s="46">
        <v>46097.325950937498</v>
      </c>
      <c r="H6081">
        <v>0</v>
      </c>
    </row>
    <row r="6082" spans="1:8" x14ac:dyDescent="0.15">
      <c r="A6082">
        <v>6081</v>
      </c>
      <c r="B6082" t="s">
        <v>339</v>
      </c>
      <c r="C6082" t="s">
        <v>353</v>
      </c>
      <c r="D6082" t="s">
        <v>10230</v>
      </c>
      <c r="E6082" t="s">
        <v>10227</v>
      </c>
      <c r="F6082" s="46">
        <v>46097.325950937498</v>
      </c>
      <c r="G6082" s="46">
        <v>46097.325950937498</v>
      </c>
      <c r="H6082">
        <v>0</v>
      </c>
    </row>
    <row r="6083" spans="1:8" x14ac:dyDescent="0.15">
      <c r="A6083">
        <v>6082</v>
      </c>
      <c r="B6083" t="s">
        <v>339</v>
      </c>
      <c r="C6083" t="s">
        <v>353</v>
      </c>
      <c r="D6083" t="s">
        <v>10231</v>
      </c>
      <c r="E6083" t="s">
        <v>10227</v>
      </c>
      <c r="F6083" s="46">
        <v>46097.325950937498</v>
      </c>
      <c r="G6083" s="46">
        <v>46097.325950937498</v>
      </c>
      <c r="H6083">
        <v>0</v>
      </c>
    </row>
    <row r="6084" spans="1:8" x14ac:dyDescent="0.15">
      <c r="A6084">
        <v>6083</v>
      </c>
      <c r="B6084" t="s">
        <v>339</v>
      </c>
      <c r="C6084" t="s">
        <v>353</v>
      </c>
      <c r="D6084" t="s">
        <v>10232</v>
      </c>
      <c r="E6084" t="s">
        <v>10227</v>
      </c>
      <c r="F6084" s="46">
        <v>46097.325950937498</v>
      </c>
      <c r="G6084" s="46">
        <v>46097.325950937498</v>
      </c>
      <c r="H6084">
        <v>0</v>
      </c>
    </row>
    <row r="6085" spans="1:8" x14ac:dyDescent="0.15">
      <c r="A6085">
        <v>6084</v>
      </c>
      <c r="B6085" t="s">
        <v>339</v>
      </c>
      <c r="C6085" t="s">
        <v>353</v>
      </c>
      <c r="D6085" t="s">
        <v>10233</v>
      </c>
      <c r="E6085" t="s">
        <v>10227</v>
      </c>
      <c r="F6085" s="46">
        <v>46097.325950937498</v>
      </c>
      <c r="G6085" s="46">
        <v>46097.325950937498</v>
      </c>
      <c r="H6085">
        <v>0</v>
      </c>
    </row>
    <row r="6086" spans="1:8" x14ac:dyDescent="0.15">
      <c r="A6086">
        <v>6085</v>
      </c>
      <c r="B6086" t="s">
        <v>339</v>
      </c>
      <c r="C6086" t="s">
        <v>353</v>
      </c>
      <c r="D6086" t="s">
        <v>10234</v>
      </c>
      <c r="E6086" t="s">
        <v>10227</v>
      </c>
      <c r="F6086" s="46">
        <v>46097.325950937498</v>
      </c>
      <c r="G6086" s="46">
        <v>46097.32595111111</v>
      </c>
      <c r="H6086">
        <v>16</v>
      </c>
    </row>
    <row r="6087" spans="1:8" x14ac:dyDescent="0.15">
      <c r="A6087">
        <v>6086</v>
      </c>
      <c r="B6087" t="s">
        <v>339</v>
      </c>
      <c r="C6087" t="s">
        <v>353</v>
      </c>
      <c r="D6087" t="s">
        <v>10235</v>
      </c>
      <c r="E6087" t="s">
        <v>10227</v>
      </c>
      <c r="F6087" s="46">
        <v>46097.32595111111</v>
      </c>
      <c r="G6087" s="46">
        <v>46097.32595111111</v>
      </c>
      <c r="H6087">
        <v>0</v>
      </c>
    </row>
    <row r="6088" spans="1:8" x14ac:dyDescent="0.15">
      <c r="A6088">
        <v>6087</v>
      </c>
      <c r="B6088" t="s">
        <v>339</v>
      </c>
      <c r="C6088" t="s">
        <v>353</v>
      </c>
      <c r="D6088" t="s">
        <v>10236</v>
      </c>
      <c r="E6088" t="s">
        <v>10227</v>
      </c>
      <c r="F6088" s="46">
        <v>46097.32595111111</v>
      </c>
      <c r="G6088" s="46">
        <v>46097.32595111111</v>
      </c>
      <c r="H6088">
        <v>0</v>
      </c>
    </row>
    <row r="6089" spans="1:8" x14ac:dyDescent="0.15">
      <c r="A6089">
        <v>6088</v>
      </c>
      <c r="B6089" t="s">
        <v>339</v>
      </c>
      <c r="C6089" t="s">
        <v>353</v>
      </c>
      <c r="D6089" t="s">
        <v>10237</v>
      </c>
      <c r="E6089" t="s">
        <v>10227</v>
      </c>
      <c r="F6089" s="46">
        <v>46097.32595111111</v>
      </c>
      <c r="G6089" s="46">
        <v>46097.32595111111</v>
      </c>
      <c r="H6089">
        <v>0</v>
      </c>
    </row>
    <row r="6090" spans="1:8" x14ac:dyDescent="0.15">
      <c r="A6090">
        <v>6089</v>
      </c>
      <c r="B6090" t="s">
        <v>339</v>
      </c>
      <c r="C6090" t="s">
        <v>353</v>
      </c>
      <c r="D6090" t="s">
        <v>10238</v>
      </c>
      <c r="E6090" t="s">
        <v>10227</v>
      </c>
      <c r="F6090" s="46">
        <v>46097.32595111111</v>
      </c>
      <c r="G6090" s="46">
        <v>46097.32595111111</v>
      </c>
      <c r="H6090">
        <v>0</v>
      </c>
    </row>
    <row r="6091" spans="1:8" x14ac:dyDescent="0.15">
      <c r="A6091">
        <v>6090</v>
      </c>
      <c r="B6091" t="s">
        <v>339</v>
      </c>
      <c r="C6091" t="s">
        <v>353</v>
      </c>
      <c r="D6091" t="s">
        <v>10239</v>
      </c>
      <c r="E6091" t="s">
        <v>10227</v>
      </c>
      <c r="F6091" s="46">
        <v>46097.32595111111</v>
      </c>
      <c r="G6091" s="46">
        <v>46097.32595111111</v>
      </c>
      <c r="H6091">
        <v>0</v>
      </c>
    </row>
    <row r="6092" spans="1:8" x14ac:dyDescent="0.15">
      <c r="A6092">
        <v>6091</v>
      </c>
      <c r="B6092" t="s">
        <v>339</v>
      </c>
      <c r="C6092" t="s">
        <v>353</v>
      </c>
      <c r="D6092" t="s">
        <v>10240</v>
      </c>
      <c r="E6092" t="s">
        <v>10241</v>
      </c>
      <c r="F6092" s="46">
        <v>46097.32595111111</v>
      </c>
      <c r="G6092" s="46">
        <v>46097.32595111111</v>
      </c>
      <c r="H6092">
        <v>0</v>
      </c>
    </row>
    <row r="6093" spans="1:8" x14ac:dyDescent="0.15">
      <c r="A6093">
        <v>6092</v>
      </c>
      <c r="B6093" t="s">
        <v>339</v>
      </c>
      <c r="C6093" t="s">
        <v>353</v>
      </c>
      <c r="D6093" t="s">
        <v>10242</v>
      </c>
      <c r="E6093" t="s">
        <v>10243</v>
      </c>
      <c r="F6093" s="46">
        <v>46097.32595111111</v>
      </c>
      <c r="G6093" s="46">
        <v>46097.32595111111</v>
      </c>
      <c r="H6093">
        <v>0</v>
      </c>
    </row>
    <row r="6094" spans="1:8" x14ac:dyDescent="0.15">
      <c r="A6094">
        <v>6093</v>
      </c>
      <c r="B6094" t="s">
        <v>339</v>
      </c>
      <c r="C6094" t="s">
        <v>353</v>
      </c>
      <c r="D6094" t="s">
        <v>10244</v>
      </c>
      <c r="E6094" t="s">
        <v>10245</v>
      </c>
      <c r="F6094" s="46">
        <v>46097.32595111111</v>
      </c>
      <c r="G6094" s="46">
        <v>46097.32595111111</v>
      </c>
      <c r="H6094">
        <v>0</v>
      </c>
    </row>
    <row r="6095" spans="1:8" x14ac:dyDescent="0.15">
      <c r="A6095">
        <v>6094</v>
      </c>
      <c r="B6095" t="s">
        <v>339</v>
      </c>
      <c r="C6095" t="s">
        <v>353</v>
      </c>
      <c r="D6095" t="s">
        <v>10246</v>
      </c>
      <c r="E6095" t="s">
        <v>10247</v>
      </c>
      <c r="F6095" s="46">
        <v>46097.32595111111</v>
      </c>
      <c r="G6095" s="46">
        <v>46097.32595111111</v>
      </c>
      <c r="H6095">
        <v>0</v>
      </c>
    </row>
    <row r="6096" spans="1:8" x14ac:dyDescent="0.15">
      <c r="A6096">
        <v>6095</v>
      </c>
      <c r="B6096" t="s">
        <v>339</v>
      </c>
      <c r="C6096" t="s">
        <v>353</v>
      </c>
      <c r="D6096" t="s">
        <v>10248</v>
      </c>
      <c r="E6096" t="s">
        <v>850</v>
      </c>
      <c r="F6096" s="46">
        <v>46097.32595111111</v>
      </c>
      <c r="G6096" s="46">
        <v>46097.325951296298</v>
      </c>
      <c r="H6096">
        <v>16</v>
      </c>
    </row>
    <row r="6097" spans="1:8" x14ac:dyDescent="0.15">
      <c r="A6097">
        <v>6096</v>
      </c>
      <c r="B6097" t="s">
        <v>339</v>
      </c>
      <c r="C6097" t="s">
        <v>353</v>
      </c>
      <c r="D6097" t="s">
        <v>10249</v>
      </c>
      <c r="E6097" t="s">
        <v>850</v>
      </c>
      <c r="F6097" s="46">
        <v>46097.325951296298</v>
      </c>
      <c r="G6097" s="46">
        <v>46097.325951296298</v>
      </c>
      <c r="H6097">
        <v>0</v>
      </c>
    </row>
    <row r="6098" spans="1:8" x14ac:dyDescent="0.15">
      <c r="A6098">
        <v>6097</v>
      </c>
      <c r="B6098" t="s">
        <v>339</v>
      </c>
      <c r="C6098" t="s">
        <v>353</v>
      </c>
      <c r="D6098" t="s">
        <v>10250</v>
      </c>
      <c r="E6098" t="s">
        <v>850</v>
      </c>
      <c r="F6098" s="46">
        <v>46097.325951296298</v>
      </c>
      <c r="G6098" s="46">
        <v>46097.325951296298</v>
      </c>
      <c r="H6098">
        <v>0</v>
      </c>
    </row>
    <row r="6099" spans="1:8" x14ac:dyDescent="0.15">
      <c r="A6099">
        <v>6098</v>
      </c>
      <c r="B6099" t="s">
        <v>339</v>
      </c>
      <c r="C6099" t="s">
        <v>353</v>
      </c>
      <c r="D6099" t="s">
        <v>10251</v>
      </c>
      <c r="E6099" t="s">
        <v>850</v>
      </c>
      <c r="F6099" s="46">
        <v>46097.325951296298</v>
      </c>
      <c r="G6099" s="46">
        <v>46097.325951296298</v>
      </c>
      <c r="H6099">
        <v>0</v>
      </c>
    </row>
    <row r="6100" spans="1:8" x14ac:dyDescent="0.15">
      <c r="A6100">
        <v>6099</v>
      </c>
      <c r="B6100" t="s">
        <v>339</v>
      </c>
      <c r="C6100" t="s">
        <v>353</v>
      </c>
      <c r="D6100" t="s">
        <v>10252</v>
      </c>
      <c r="E6100" t="s">
        <v>850</v>
      </c>
      <c r="F6100" s="46">
        <v>46097.325951296298</v>
      </c>
      <c r="G6100" s="46">
        <v>46097.325951296298</v>
      </c>
      <c r="H6100">
        <v>0</v>
      </c>
    </row>
    <row r="6101" spans="1:8" x14ac:dyDescent="0.15">
      <c r="A6101">
        <v>6100</v>
      </c>
      <c r="B6101" t="s">
        <v>339</v>
      </c>
      <c r="C6101" t="s">
        <v>353</v>
      </c>
      <c r="D6101" t="s">
        <v>10253</v>
      </c>
      <c r="E6101" t="s">
        <v>850</v>
      </c>
      <c r="F6101" s="46">
        <v>46097.325951296298</v>
      </c>
      <c r="G6101" s="46">
        <v>46097.325951296298</v>
      </c>
      <c r="H6101">
        <v>0</v>
      </c>
    </row>
    <row r="6102" spans="1:8" x14ac:dyDescent="0.15">
      <c r="A6102">
        <v>6101</v>
      </c>
      <c r="B6102" t="s">
        <v>339</v>
      </c>
      <c r="C6102" t="s">
        <v>353</v>
      </c>
      <c r="D6102" t="s">
        <v>10254</v>
      </c>
      <c r="E6102" t="s">
        <v>850</v>
      </c>
      <c r="F6102" s="46">
        <v>46097.325951296298</v>
      </c>
      <c r="G6102" s="46">
        <v>46097.325951296298</v>
      </c>
      <c r="H6102">
        <v>0</v>
      </c>
    </row>
    <row r="6103" spans="1:8" x14ac:dyDescent="0.15">
      <c r="A6103">
        <v>6102</v>
      </c>
      <c r="B6103" t="s">
        <v>339</v>
      </c>
      <c r="C6103" t="s">
        <v>353</v>
      </c>
      <c r="D6103" t="s">
        <v>10255</v>
      </c>
      <c r="E6103" t="s">
        <v>10256</v>
      </c>
      <c r="F6103" s="46">
        <v>46097.325951296298</v>
      </c>
      <c r="G6103" s="46">
        <v>46097.325951296298</v>
      </c>
      <c r="H6103">
        <v>0</v>
      </c>
    </row>
    <row r="6104" spans="1:8" x14ac:dyDescent="0.15">
      <c r="A6104">
        <v>6103</v>
      </c>
      <c r="B6104" t="s">
        <v>339</v>
      </c>
      <c r="C6104" t="s">
        <v>353</v>
      </c>
      <c r="D6104" t="s">
        <v>10257</v>
      </c>
      <c r="E6104" t="s">
        <v>10258</v>
      </c>
      <c r="F6104" s="46">
        <v>46097.325951296298</v>
      </c>
      <c r="G6104" s="46">
        <v>46097.325951296298</v>
      </c>
      <c r="H6104">
        <v>0</v>
      </c>
    </row>
    <row r="6105" spans="1:8" x14ac:dyDescent="0.15">
      <c r="A6105">
        <v>6104</v>
      </c>
      <c r="B6105" t="s">
        <v>339</v>
      </c>
      <c r="C6105" t="s">
        <v>353</v>
      </c>
      <c r="D6105" t="s">
        <v>10259</v>
      </c>
      <c r="E6105" t="s">
        <v>10258</v>
      </c>
      <c r="F6105" s="46">
        <v>46097.325951296298</v>
      </c>
      <c r="G6105" s="46">
        <v>46097.325951296298</v>
      </c>
      <c r="H6105">
        <v>0</v>
      </c>
    </row>
    <row r="6106" spans="1:8" x14ac:dyDescent="0.15">
      <c r="A6106">
        <v>6105</v>
      </c>
      <c r="B6106" t="s">
        <v>339</v>
      </c>
      <c r="C6106" t="s">
        <v>353</v>
      </c>
      <c r="D6106" t="s">
        <v>10260</v>
      </c>
      <c r="E6106" t="s">
        <v>10258</v>
      </c>
      <c r="F6106" s="46">
        <v>46097.325951296298</v>
      </c>
      <c r="G6106" s="46">
        <v>46097.325951296298</v>
      </c>
      <c r="H6106">
        <v>0</v>
      </c>
    </row>
    <row r="6107" spans="1:8" x14ac:dyDescent="0.15">
      <c r="A6107">
        <v>6106</v>
      </c>
      <c r="B6107" t="s">
        <v>339</v>
      </c>
      <c r="C6107" t="s">
        <v>353</v>
      </c>
      <c r="D6107" t="s">
        <v>10261</v>
      </c>
      <c r="E6107" t="s">
        <v>10262</v>
      </c>
      <c r="F6107" s="46">
        <v>46097.325951296298</v>
      </c>
      <c r="G6107" s="46">
        <v>46097.325951481478</v>
      </c>
      <c r="H6107">
        <v>15</v>
      </c>
    </row>
    <row r="6108" spans="1:8" x14ac:dyDescent="0.15">
      <c r="A6108">
        <v>6107</v>
      </c>
      <c r="B6108" t="s">
        <v>339</v>
      </c>
      <c r="C6108" t="s">
        <v>353</v>
      </c>
      <c r="D6108" t="s">
        <v>10263</v>
      </c>
      <c r="E6108" t="s">
        <v>10262</v>
      </c>
      <c r="F6108" s="46">
        <v>46097.325951481478</v>
      </c>
      <c r="G6108" s="46">
        <v>46097.325951481478</v>
      </c>
      <c r="H6108">
        <v>0</v>
      </c>
    </row>
    <row r="6109" spans="1:8" x14ac:dyDescent="0.15">
      <c r="A6109">
        <v>6108</v>
      </c>
      <c r="B6109" t="s">
        <v>339</v>
      </c>
      <c r="C6109" t="s">
        <v>353</v>
      </c>
      <c r="D6109" t="s">
        <v>10264</v>
      </c>
      <c r="E6109" t="s">
        <v>10265</v>
      </c>
      <c r="F6109" s="46">
        <v>46097.325951481478</v>
      </c>
      <c r="G6109" s="46">
        <v>46097.325951481478</v>
      </c>
      <c r="H6109">
        <v>0</v>
      </c>
    </row>
    <row r="6110" spans="1:8" x14ac:dyDescent="0.15">
      <c r="A6110">
        <v>6109</v>
      </c>
      <c r="B6110" t="s">
        <v>339</v>
      </c>
      <c r="C6110" t="s">
        <v>353</v>
      </c>
      <c r="D6110" t="s">
        <v>10266</v>
      </c>
      <c r="E6110" t="s">
        <v>852</v>
      </c>
      <c r="F6110" s="46">
        <v>46097.325951481478</v>
      </c>
      <c r="G6110" s="46">
        <v>46097.325951481478</v>
      </c>
      <c r="H6110">
        <v>0</v>
      </c>
    </row>
    <row r="6111" spans="1:8" x14ac:dyDescent="0.15">
      <c r="A6111">
        <v>6110</v>
      </c>
      <c r="B6111" t="s">
        <v>339</v>
      </c>
      <c r="C6111" t="s">
        <v>353</v>
      </c>
      <c r="D6111" t="s">
        <v>10267</v>
      </c>
      <c r="E6111" t="s">
        <v>852</v>
      </c>
      <c r="F6111" s="46">
        <v>46097.325951481478</v>
      </c>
      <c r="G6111" s="46">
        <v>46097.325951481478</v>
      </c>
      <c r="H6111">
        <v>0</v>
      </c>
    </row>
    <row r="6112" spans="1:8" x14ac:dyDescent="0.15">
      <c r="A6112">
        <v>6111</v>
      </c>
      <c r="B6112" t="s">
        <v>339</v>
      </c>
      <c r="C6112" t="s">
        <v>353</v>
      </c>
      <c r="D6112" t="s">
        <v>10268</v>
      </c>
      <c r="E6112" t="s">
        <v>852</v>
      </c>
      <c r="F6112" s="46">
        <v>46097.325951481478</v>
      </c>
      <c r="G6112" s="46">
        <v>46097.325951481478</v>
      </c>
      <c r="H6112">
        <v>0</v>
      </c>
    </row>
    <row r="6113" spans="1:8" x14ac:dyDescent="0.15">
      <c r="A6113">
        <v>6112</v>
      </c>
      <c r="B6113" t="s">
        <v>339</v>
      </c>
      <c r="C6113" t="s">
        <v>353</v>
      </c>
      <c r="D6113" t="s">
        <v>10269</v>
      </c>
      <c r="E6113" t="s">
        <v>852</v>
      </c>
      <c r="F6113" s="46">
        <v>46097.325951481478</v>
      </c>
      <c r="G6113" s="46">
        <v>46097.325951481478</v>
      </c>
      <c r="H6113">
        <v>0</v>
      </c>
    </row>
    <row r="6114" spans="1:8" x14ac:dyDescent="0.15">
      <c r="A6114">
        <v>6113</v>
      </c>
      <c r="B6114" t="s">
        <v>339</v>
      </c>
      <c r="C6114" t="s">
        <v>353</v>
      </c>
      <c r="D6114" t="s">
        <v>10270</v>
      </c>
      <c r="E6114" t="s">
        <v>852</v>
      </c>
      <c r="F6114" s="46">
        <v>46097.325951481478</v>
      </c>
      <c r="G6114" s="46">
        <v>46097.325951481478</v>
      </c>
      <c r="H6114">
        <v>0</v>
      </c>
    </row>
    <row r="6115" spans="1:8" x14ac:dyDescent="0.15">
      <c r="A6115">
        <v>6114</v>
      </c>
      <c r="B6115" t="s">
        <v>339</v>
      </c>
      <c r="C6115" t="s">
        <v>353</v>
      </c>
      <c r="D6115" t="s">
        <v>10271</v>
      </c>
      <c r="E6115" t="s">
        <v>10272</v>
      </c>
      <c r="F6115" s="46">
        <v>46097.325951481478</v>
      </c>
      <c r="G6115" s="46">
        <v>46097.325951481478</v>
      </c>
      <c r="H6115">
        <v>0</v>
      </c>
    </row>
    <row r="6116" spans="1:8" x14ac:dyDescent="0.15">
      <c r="A6116">
        <v>6115</v>
      </c>
      <c r="B6116" t="s">
        <v>339</v>
      </c>
      <c r="C6116" t="s">
        <v>353</v>
      </c>
      <c r="D6116" t="s">
        <v>10273</v>
      </c>
      <c r="E6116" t="s">
        <v>10272</v>
      </c>
      <c r="F6116" s="46">
        <v>46097.325951481478</v>
      </c>
      <c r="G6116" s="46">
        <v>46097.325951481478</v>
      </c>
      <c r="H6116">
        <v>0</v>
      </c>
    </row>
    <row r="6117" spans="1:8" x14ac:dyDescent="0.15">
      <c r="A6117">
        <v>6116</v>
      </c>
      <c r="B6117" t="s">
        <v>339</v>
      </c>
      <c r="C6117" t="s">
        <v>353</v>
      </c>
      <c r="D6117" t="s">
        <v>10274</v>
      </c>
      <c r="E6117" t="s">
        <v>10272</v>
      </c>
      <c r="F6117" s="46">
        <v>46097.325951481478</v>
      </c>
      <c r="G6117" s="46">
        <v>46097.32595165509</v>
      </c>
      <c r="H6117">
        <v>16</v>
      </c>
    </row>
    <row r="6118" spans="1:8" x14ac:dyDescent="0.15">
      <c r="A6118">
        <v>6117</v>
      </c>
      <c r="B6118" t="s">
        <v>339</v>
      </c>
      <c r="C6118" t="s">
        <v>353</v>
      </c>
      <c r="D6118" t="s">
        <v>10275</v>
      </c>
      <c r="E6118" t="s">
        <v>10272</v>
      </c>
      <c r="F6118" s="46">
        <v>46097.32595165509</v>
      </c>
      <c r="G6118" s="46">
        <v>46097.32595165509</v>
      </c>
      <c r="H6118">
        <v>0</v>
      </c>
    </row>
    <row r="6119" spans="1:8" x14ac:dyDescent="0.15">
      <c r="A6119">
        <v>6118</v>
      </c>
      <c r="B6119" t="s">
        <v>339</v>
      </c>
      <c r="C6119" t="s">
        <v>353</v>
      </c>
      <c r="D6119" t="s">
        <v>10276</v>
      </c>
      <c r="E6119" t="s">
        <v>10272</v>
      </c>
      <c r="F6119" s="46">
        <v>46097.32595165509</v>
      </c>
      <c r="G6119" s="46">
        <v>46097.32595165509</v>
      </c>
      <c r="H6119">
        <v>0</v>
      </c>
    </row>
    <row r="6120" spans="1:8" x14ac:dyDescent="0.15">
      <c r="A6120">
        <v>6119</v>
      </c>
      <c r="B6120" t="s">
        <v>339</v>
      </c>
      <c r="C6120" t="s">
        <v>353</v>
      </c>
      <c r="D6120" t="s">
        <v>10277</v>
      </c>
      <c r="E6120" t="s">
        <v>10278</v>
      </c>
      <c r="F6120" s="46">
        <v>46097.32595165509</v>
      </c>
      <c r="G6120" s="46">
        <v>46097.32595165509</v>
      </c>
      <c r="H6120">
        <v>0</v>
      </c>
    </row>
    <row r="6121" spans="1:8" x14ac:dyDescent="0.15">
      <c r="A6121">
        <v>6120</v>
      </c>
      <c r="B6121" t="s">
        <v>339</v>
      </c>
      <c r="C6121" t="s">
        <v>353</v>
      </c>
      <c r="D6121" t="s">
        <v>10279</v>
      </c>
      <c r="E6121" t="s">
        <v>10280</v>
      </c>
      <c r="F6121" s="46">
        <v>46097.32595165509</v>
      </c>
      <c r="G6121" s="46">
        <v>46097.32595165509</v>
      </c>
      <c r="H6121">
        <v>0</v>
      </c>
    </row>
    <row r="6122" spans="1:8" x14ac:dyDescent="0.15">
      <c r="A6122">
        <v>6121</v>
      </c>
      <c r="B6122" t="s">
        <v>339</v>
      </c>
      <c r="C6122" t="s">
        <v>353</v>
      </c>
      <c r="D6122" t="s">
        <v>10281</v>
      </c>
      <c r="E6122" t="s">
        <v>10280</v>
      </c>
      <c r="F6122" s="46">
        <v>46097.32595165509</v>
      </c>
      <c r="G6122" s="46">
        <v>46097.32595165509</v>
      </c>
      <c r="H6122">
        <v>0</v>
      </c>
    </row>
    <row r="6123" spans="1:8" x14ac:dyDescent="0.15">
      <c r="A6123">
        <v>6122</v>
      </c>
      <c r="B6123" t="s">
        <v>339</v>
      </c>
      <c r="C6123" t="s">
        <v>353</v>
      </c>
      <c r="D6123" t="s">
        <v>10282</v>
      </c>
      <c r="E6123" t="s">
        <v>10283</v>
      </c>
      <c r="F6123" s="46">
        <v>46097.32595165509</v>
      </c>
      <c r="G6123" s="46">
        <v>46097.32595165509</v>
      </c>
      <c r="H6123">
        <v>0</v>
      </c>
    </row>
    <row r="6124" spans="1:8" x14ac:dyDescent="0.15">
      <c r="A6124">
        <v>6123</v>
      </c>
      <c r="B6124" t="s">
        <v>339</v>
      </c>
      <c r="C6124" t="s">
        <v>353</v>
      </c>
      <c r="D6124" t="s">
        <v>10284</v>
      </c>
      <c r="E6124" t="s">
        <v>10285</v>
      </c>
      <c r="F6124" s="46">
        <v>46097.32595165509</v>
      </c>
      <c r="G6124" s="46">
        <v>46097.325951782397</v>
      </c>
      <c r="H6124">
        <v>10</v>
      </c>
    </row>
    <row r="6125" spans="1:8" x14ac:dyDescent="0.15">
      <c r="A6125">
        <v>6124</v>
      </c>
      <c r="B6125" t="s">
        <v>339</v>
      </c>
      <c r="C6125" t="s">
        <v>353</v>
      </c>
      <c r="D6125" t="s">
        <v>10286</v>
      </c>
      <c r="E6125" t="s">
        <v>10285</v>
      </c>
      <c r="F6125" s="46">
        <v>46097.325951782397</v>
      </c>
      <c r="G6125" s="46">
        <v>46097.325951805557</v>
      </c>
      <c r="H6125">
        <v>2</v>
      </c>
    </row>
    <row r="6126" spans="1:8" x14ac:dyDescent="0.15">
      <c r="A6126">
        <v>6125</v>
      </c>
      <c r="B6126" t="s">
        <v>339</v>
      </c>
      <c r="C6126" t="s">
        <v>353</v>
      </c>
      <c r="D6126" t="s">
        <v>10287</v>
      </c>
      <c r="E6126" t="s">
        <v>10285</v>
      </c>
      <c r="F6126" s="46">
        <v>46097.325951805557</v>
      </c>
      <c r="G6126" s="46">
        <v>46097.325951805557</v>
      </c>
      <c r="H6126">
        <v>1</v>
      </c>
    </row>
    <row r="6127" spans="1:8" x14ac:dyDescent="0.15">
      <c r="A6127">
        <v>6126</v>
      </c>
      <c r="B6127" t="s">
        <v>339</v>
      </c>
      <c r="C6127" t="s">
        <v>353</v>
      </c>
      <c r="D6127" t="s">
        <v>10288</v>
      </c>
      <c r="E6127" t="s">
        <v>10285</v>
      </c>
      <c r="F6127" s="46">
        <v>46097.325951805557</v>
      </c>
      <c r="G6127" s="46">
        <v>46097.325951828701</v>
      </c>
      <c r="H6127">
        <v>2</v>
      </c>
    </row>
    <row r="6128" spans="1:8" x14ac:dyDescent="0.15">
      <c r="A6128">
        <v>6127</v>
      </c>
      <c r="B6128" t="s">
        <v>339</v>
      </c>
      <c r="C6128" t="s">
        <v>353</v>
      </c>
      <c r="D6128" t="s">
        <v>10289</v>
      </c>
      <c r="E6128" t="s">
        <v>10285</v>
      </c>
      <c r="F6128" s="46">
        <v>46097.325951828701</v>
      </c>
      <c r="G6128" s="46">
        <v>46097.325951851853</v>
      </c>
      <c r="H6128">
        <v>2</v>
      </c>
    </row>
    <row r="6129" spans="1:8" x14ac:dyDescent="0.15">
      <c r="A6129">
        <v>6128</v>
      </c>
      <c r="B6129" t="s">
        <v>339</v>
      </c>
      <c r="C6129" t="s">
        <v>353</v>
      </c>
      <c r="D6129" t="s">
        <v>10290</v>
      </c>
      <c r="E6129" t="s">
        <v>10291</v>
      </c>
      <c r="F6129" s="46">
        <v>46097.325951851853</v>
      </c>
      <c r="G6129" s="46">
        <v>46097.32595186343</v>
      </c>
      <c r="H6129">
        <v>1</v>
      </c>
    </row>
    <row r="6130" spans="1:8" x14ac:dyDescent="0.15">
      <c r="A6130">
        <v>6129</v>
      </c>
      <c r="B6130" t="s">
        <v>339</v>
      </c>
      <c r="C6130" t="s">
        <v>353</v>
      </c>
      <c r="D6130" t="s">
        <v>10292</v>
      </c>
      <c r="E6130" t="s">
        <v>10291</v>
      </c>
      <c r="F6130" s="46">
        <v>46097.32595186343</v>
      </c>
      <c r="G6130" s="46">
        <v>46097.325951886567</v>
      </c>
      <c r="H6130">
        <v>2</v>
      </c>
    </row>
    <row r="6131" spans="1:8" x14ac:dyDescent="0.15">
      <c r="A6131">
        <v>6130</v>
      </c>
      <c r="B6131" t="s">
        <v>339</v>
      </c>
      <c r="C6131" t="s">
        <v>353</v>
      </c>
      <c r="D6131" t="s">
        <v>10293</v>
      </c>
      <c r="E6131" t="s">
        <v>10291</v>
      </c>
      <c r="F6131" s="46">
        <v>46097.325951886567</v>
      </c>
      <c r="G6131" s="46">
        <v>46097.32595189815</v>
      </c>
      <c r="H6131">
        <v>1</v>
      </c>
    </row>
    <row r="6132" spans="1:8" x14ac:dyDescent="0.15">
      <c r="A6132">
        <v>6131</v>
      </c>
      <c r="B6132" t="s">
        <v>339</v>
      </c>
      <c r="C6132" t="s">
        <v>353</v>
      </c>
      <c r="D6132" t="s">
        <v>10294</v>
      </c>
      <c r="E6132" t="s">
        <v>10291</v>
      </c>
      <c r="F6132" s="46">
        <v>46097.32595189815</v>
      </c>
      <c r="G6132" s="46">
        <v>46097.325951921302</v>
      </c>
      <c r="H6132">
        <v>2</v>
      </c>
    </row>
    <row r="6133" spans="1:8" x14ac:dyDescent="0.15">
      <c r="A6133">
        <v>6132</v>
      </c>
      <c r="B6133" t="s">
        <v>339</v>
      </c>
      <c r="C6133" t="s">
        <v>353</v>
      </c>
      <c r="D6133" t="s">
        <v>10295</v>
      </c>
      <c r="E6133" t="s">
        <v>10291</v>
      </c>
      <c r="F6133" s="46">
        <v>46097.325951921302</v>
      </c>
      <c r="G6133" s="46">
        <v>46097.325951932871</v>
      </c>
      <c r="H6133">
        <v>1</v>
      </c>
    </row>
    <row r="6134" spans="1:8" x14ac:dyDescent="0.15">
      <c r="A6134">
        <v>6133</v>
      </c>
      <c r="B6134" t="s">
        <v>339</v>
      </c>
      <c r="C6134" t="s">
        <v>353</v>
      </c>
      <c r="D6134" t="s">
        <v>10296</v>
      </c>
      <c r="E6134" t="s">
        <v>10291</v>
      </c>
      <c r="F6134" s="46">
        <v>46097.325951932871</v>
      </c>
      <c r="G6134" s="46">
        <v>46097.325951956023</v>
      </c>
      <c r="H6134">
        <v>2</v>
      </c>
    </row>
    <row r="6135" spans="1:8" x14ac:dyDescent="0.15">
      <c r="A6135">
        <v>6134</v>
      </c>
      <c r="B6135" t="s">
        <v>339</v>
      </c>
      <c r="C6135" t="s">
        <v>353</v>
      </c>
      <c r="D6135" t="s">
        <v>10297</v>
      </c>
      <c r="E6135" t="s">
        <v>10298</v>
      </c>
      <c r="F6135" s="46">
        <v>46097.325951956023</v>
      </c>
      <c r="G6135" s="46">
        <v>46097.325951967592</v>
      </c>
      <c r="H6135">
        <v>1</v>
      </c>
    </row>
    <row r="6136" spans="1:8" x14ac:dyDescent="0.15">
      <c r="A6136">
        <v>6135</v>
      </c>
      <c r="B6136" t="s">
        <v>339</v>
      </c>
      <c r="C6136" t="s">
        <v>353</v>
      </c>
      <c r="D6136" t="s">
        <v>10299</v>
      </c>
      <c r="E6136" t="s">
        <v>10298</v>
      </c>
      <c r="F6136" s="46">
        <v>46097.325951967592</v>
      </c>
      <c r="G6136" s="46">
        <v>46097.325951990737</v>
      </c>
      <c r="H6136">
        <v>2</v>
      </c>
    </row>
    <row r="6137" spans="1:8" x14ac:dyDescent="0.15">
      <c r="A6137">
        <v>6136</v>
      </c>
      <c r="B6137" t="s">
        <v>339</v>
      </c>
      <c r="C6137" t="s">
        <v>353</v>
      </c>
      <c r="D6137" t="s">
        <v>10300</v>
      </c>
      <c r="E6137" t="s">
        <v>10301</v>
      </c>
      <c r="F6137" s="46">
        <v>46097.325951990737</v>
      </c>
      <c r="G6137" s="46">
        <v>46097.325952002313</v>
      </c>
      <c r="H6137">
        <v>1</v>
      </c>
    </row>
    <row r="6138" spans="1:8" x14ac:dyDescent="0.15">
      <c r="A6138">
        <v>6137</v>
      </c>
      <c r="B6138" t="s">
        <v>339</v>
      </c>
      <c r="C6138" t="s">
        <v>353</v>
      </c>
      <c r="D6138" t="s">
        <v>10302</v>
      </c>
      <c r="E6138" t="s">
        <v>10303</v>
      </c>
      <c r="F6138" s="46">
        <v>46097.325952002313</v>
      </c>
      <c r="G6138" s="46">
        <v>46097.325952025472</v>
      </c>
      <c r="H6138">
        <v>2</v>
      </c>
    </row>
    <row r="6139" spans="1:8" x14ac:dyDescent="0.15">
      <c r="A6139">
        <v>6138</v>
      </c>
      <c r="B6139" t="s">
        <v>339</v>
      </c>
      <c r="C6139" t="s">
        <v>353</v>
      </c>
      <c r="D6139" t="s">
        <v>10304</v>
      </c>
      <c r="E6139" t="s">
        <v>10305</v>
      </c>
      <c r="F6139" s="46">
        <v>46097.325952025472</v>
      </c>
      <c r="G6139" s="46">
        <v>46097.325952037027</v>
      </c>
      <c r="H6139">
        <v>1</v>
      </c>
    </row>
    <row r="6140" spans="1:8" x14ac:dyDescent="0.15">
      <c r="A6140">
        <v>6139</v>
      </c>
      <c r="B6140" t="s">
        <v>339</v>
      </c>
      <c r="C6140" t="s">
        <v>353</v>
      </c>
      <c r="D6140" t="s">
        <v>10306</v>
      </c>
      <c r="E6140" t="s">
        <v>10305</v>
      </c>
      <c r="F6140" s="46">
        <v>46097.325952037027</v>
      </c>
      <c r="G6140" s="46">
        <v>46097.325952060193</v>
      </c>
      <c r="H6140">
        <v>2</v>
      </c>
    </row>
    <row r="6141" spans="1:8" x14ac:dyDescent="0.15">
      <c r="A6141">
        <v>6140</v>
      </c>
      <c r="B6141" t="s">
        <v>339</v>
      </c>
      <c r="C6141" t="s">
        <v>353</v>
      </c>
      <c r="D6141" t="s">
        <v>10307</v>
      </c>
      <c r="E6141" t="s">
        <v>10305</v>
      </c>
      <c r="F6141" s="46">
        <v>46097.325952060193</v>
      </c>
      <c r="G6141" s="46">
        <v>46097.325952071762</v>
      </c>
      <c r="H6141">
        <v>1</v>
      </c>
    </row>
    <row r="6142" spans="1:8" x14ac:dyDescent="0.15">
      <c r="A6142">
        <v>6141</v>
      </c>
      <c r="B6142" t="s">
        <v>339</v>
      </c>
      <c r="C6142" t="s">
        <v>353</v>
      </c>
      <c r="D6142" t="s">
        <v>10308</v>
      </c>
      <c r="E6142" t="s">
        <v>10305</v>
      </c>
      <c r="F6142" s="46">
        <v>46097.325952071762</v>
      </c>
      <c r="G6142" s="46">
        <v>46097.325952094907</v>
      </c>
      <c r="H6142">
        <v>2</v>
      </c>
    </row>
    <row r="6143" spans="1:8" x14ac:dyDescent="0.15">
      <c r="A6143">
        <v>6142</v>
      </c>
      <c r="B6143" t="s">
        <v>339</v>
      </c>
      <c r="C6143" t="s">
        <v>353</v>
      </c>
      <c r="D6143" t="s">
        <v>10309</v>
      </c>
      <c r="E6143" t="s">
        <v>10305</v>
      </c>
      <c r="F6143" s="46">
        <v>46097.325952094907</v>
      </c>
      <c r="G6143" s="46">
        <v>46097.325952106483</v>
      </c>
      <c r="H6143">
        <v>1</v>
      </c>
    </row>
    <row r="6144" spans="1:8" x14ac:dyDescent="0.15">
      <c r="A6144">
        <v>6143</v>
      </c>
      <c r="B6144" t="s">
        <v>339</v>
      </c>
      <c r="C6144" t="s">
        <v>353</v>
      </c>
      <c r="D6144" t="s">
        <v>10310</v>
      </c>
      <c r="E6144" t="s">
        <v>10305</v>
      </c>
      <c r="F6144" s="46">
        <v>46097.325952106483</v>
      </c>
      <c r="G6144" s="46">
        <v>46097.325952129628</v>
      </c>
      <c r="H6144">
        <v>2</v>
      </c>
    </row>
    <row r="6145" spans="1:8" x14ac:dyDescent="0.15">
      <c r="A6145">
        <v>6144</v>
      </c>
      <c r="B6145" t="s">
        <v>339</v>
      </c>
      <c r="C6145" t="s">
        <v>353</v>
      </c>
      <c r="D6145" t="s">
        <v>10311</v>
      </c>
      <c r="E6145" t="s">
        <v>10312</v>
      </c>
      <c r="F6145" s="46">
        <v>46097.325952129628</v>
      </c>
      <c r="G6145" s="46">
        <v>46097.325952141196</v>
      </c>
      <c r="H6145">
        <v>1</v>
      </c>
    </row>
    <row r="6146" spans="1:8" x14ac:dyDescent="0.15">
      <c r="A6146">
        <v>6145</v>
      </c>
      <c r="B6146" t="s">
        <v>339</v>
      </c>
      <c r="C6146" t="s">
        <v>353</v>
      </c>
      <c r="D6146" t="s">
        <v>10313</v>
      </c>
      <c r="E6146" t="s">
        <v>10314</v>
      </c>
      <c r="F6146" s="46">
        <v>46097.325952141196</v>
      </c>
      <c r="G6146" s="46">
        <v>46097.325952164349</v>
      </c>
      <c r="H6146">
        <v>2</v>
      </c>
    </row>
    <row r="6147" spans="1:8" x14ac:dyDescent="0.15">
      <c r="A6147">
        <v>6146</v>
      </c>
      <c r="B6147" t="s">
        <v>339</v>
      </c>
      <c r="C6147" t="s">
        <v>353</v>
      </c>
      <c r="D6147" t="s">
        <v>10315</v>
      </c>
      <c r="E6147" t="s">
        <v>10316</v>
      </c>
      <c r="F6147" s="46">
        <v>46097.325952164349</v>
      </c>
      <c r="G6147" s="46">
        <v>46097.325952175917</v>
      </c>
      <c r="H6147">
        <v>1</v>
      </c>
    </row>
    <row r="6148" spans="1:8" x14ac:dyDescent="0.15">
      <c r="A6148">
        <v>6147</v>
      </c>
      <c r="B6148" t="s">
        <v>339</v>
      </c>
      <c r="C6148" t="s">
        <v>353</v>
      </c>
      <c r="D6148" t="s">
        <v>10317</v>
      </c>
      <c r="E6148" t="s">
        <v>10316</v>
      </c>
      <c r="F6148" s="46">
        <v>46097.325952175917</v>
      </c>
      <c r="G6148" s="46">
        <v>46097.325952199077</v>
      </c>
      <c r="H6148">
        <v>2</v>
      </c>
    </row>
    <row r="6149" spans="1:8" x14ac:dyDescent="0.15">
      <c r="A6149">
        <v>6148</v>
      </c>
      <c r="B6149" t="s">
        <v>339</v>
      </c>
      <c r="C6149" t="s">
        <v>353</v>
      </c>
      <c r="D6149" t="s">
        <v>10318</v>
      </c>
      <c r="E6149" t="s">
        <v>10319</v>
      </c>
      <c r="F6149" s="46">
        <v>46097.325952199077</v>
      </c>
      <c r="G6149" s="46">
        <v>46097.325952210653</v>
      </c>
      <c r="H6149">
        <v>1</v>
      </c>
    </row>
    <row r="6150" spans="1:8" x14ac:dyDescent="0.15">
      <c r="A6150">
        <v>6149</v>
      </c>
      <c r="B6150" t="s">
        <v>339</v>
      </c>
      <c r="C6150" t="s">
        <v>353</v>
      </c>
      <c r="D6150" t="s">
        <v>10320</v>
      </c>
      <c r="E6150" t="s">
        <v>10321</v>
      </c>
      <c r="F6150" s="46">
        <v>46097.325952210653</v>
      </c>
      <c r="G6150" s="46">
        <v>46097.325952233798</v>
      </c>
      <c r="H6150">
        <v>2</v>
      </c>
    </row>
    <row r="6151" spans="1:8" x14ac:dyDescent="0.15">
      <c r="A6151">
        <v>6150</v>
      </c>
      <c r="B6151" t="s">
        <v>339</v>
      </c>
      <c r="C6151" t="s">
        <v>353</v>
      </c>
      <c r="D6151" t="s">
        <v>10322</v>
      </c>
      <c r="E6151" t="s">
        <v>10323</v>
      </c>
      <c r="F6151" s="46">
        <v>46097.325952233798</v>
      </c>
      <c r="G6151" s="46">
        <v>46097.325952245374</v>
      </c>
      <c r="H6151">
        <v>1</v>
      </c>
    </row>
    <row r="6152" spans="1:8" x14ac:dyDescent="0.15">
      <c r="A6152">
        <v>6151</v>
      </c>
      <c r="B6152" t="s">
        <v>339</v>
      </c>
      <c r="C6152" t="s">
        <v>353</v>
      </c>
      <c r="D6152" t="s">
        <v>10324</v>
      </c>
      <c r="E6152" t="s">
        <v>10323</v>
      </c>
      <c r="F6152" s="46">
        <v>46097.325952245374</v>
      </c>
      <c r="G6152" s="46">
        <v>46097.325952280087</v>
      </c>
      <c r="H6152">
        <v>2</v>
      </c>
    </row>
    <row r="6153" spans="1:8" x14ac:dyDescent="0.15">
      <c r="A6153">
        <v>6152</v>
      </c>
      <c r="B6153" t="s">
        <v>339</v>
      </c>
      <c r="C6153" t="s">
        <v>353</v>
      </c>
      <c r="D6153" t="s">
        <v>10325</v>
      </c>
      <c r="E6153" t="s">
        <v>10326</v>
      </c>
      <c r="F6153" s="46">
        <v>46097.325952280087</v>
      </c>
      <c r="G6153" s="46">
        <v>46097.325952291663</v>
      </c>
      <c r="H6153">
        <v>1</v>
      </c>
    </row>
    <row r="6154" spans="1:8" x14ac:dyDescent="0.15">
      <c r="A6154">
        <v>6153</v>
      </c>
      <c r="B6154" t="s">
        <v>339</v>
      </c>
      <c r="C6154" t="s">
        <v>353</v>
      </c>
      <c r="D6154" t="s">
        <v>10327</v>
      </c>
      <c r="E6154" t="s">
        <v>10326</v>
      </c>
      <c r="F6154" s="46">
        <v>46097.325952291663</v>
      </c>
      <c r="G6154" s="46">
        <v>46097.325952314823</v>
      </c>
      <c r="H6154">
        <v>2</v>
      </c>
    </row>
    <row r="6155" spans="1:8" x14ac:dyDescent="0.15">
      <c r="A6155">
        <v>6154</v>
      </c>
      <c r="B6155" t="s">
        <v>339</v>
      </c>
      <c r="C6155" t="s">
        <v>353</v>
      </c>
      <c r="D6155" t="s">
        <v>10328</v>
      </c>
      <c r="E6155" t="s">
        <v>10326</v>
      </c>
      <c r="F6155" s="46">
        <v>46097.325952314823</v>
      </c>
      <c r="G6155" s="46">
        <v>46097.325952326391</v>
      </c>
      <c r="H6155">
        <v>1</v>
      </c>
    </row>
    <row r="6156" spans="1:8" x14ac:dyDescent="0.15">
      <c r="A6156">
        <v>6155</v>
      </c>
      <c r="B6156" t="s">
        <v>339</v>
      </c>
      <c r="C6156" t="s">
        <v>353</v>
      </c>
      <c r="D6156" t="s">
        <v>10329</v>
      </c>
      <c r="E6156" t="s">
        <v>10326</v>
      </c>
      <c r="F6156" s="46">
        <v>46097.325952326391</v>
      </c>
      <c r="G6156" s="46">
        <v>46097.325952349544</v>
      </c>
      <c r="H6156">
        <v>2</v>
      </c>
    </row>
    <row r="6157" spans="1:8" x14ac:dyDescent="0.15">
      <c r="A6157">
        <v>6156</v>
      </c>
      <c r="B6157" t="s">
        <v>339</v>
      </c>
      <c r="C6157" t="s">
        <v>353</v>
      </c>
      <c r="D6157" t="s">
        <v>10330</v>
      </c>
      <c r="E6157" t="s">
        <v>10326</v>
      </c>
      <c r="F6157" s="46">
        <v>46097.325952349544</v>
      </c>
      <c r="G6157" s="46">
        <v>46097.325952361112</v>
      </c>
      <c r="H6157">
        <v>1</v>
      </c>
    </row>
    <row r="6158" spans="1:8" x14ac:dyDescent="0.15">
      <c r="A6158">
        <v>6157</v>
      </c>
      <c r="B6158" t="s">
        <v>339</v>
      </c>
      <c r="C6158" t="s">
        <v>353</v>
      </c>
      <c r="D6158" t="s">
        <v>10331</v>
      </c>
      <c r="E6158" t="s">
        <v>10332</v>
      </c>
      <c r="F6158" s="46">
        <v>46097.325952361112</v>
      </c>
      <c r="G6158" s="46">
        <v>46097.325952372688</v>
      </c>
      <c r="H6158">
        <v>1</v>
      </c>
    </row>
    <row r="6159" spans="1:8" x14ac:dyDescent="0.15">
      <c r="A6159">
        <v>6158</v>
      </c>
      <c r="B6159" t="s">
        <v>339</v>
      </c>
      <c r="C6159" t="s">
        <v>353</v>
      </c>
      <c r="D6159" t="s">
        <v>10333</v>
      </c>
      <c r="E6159" t="s">
        <v>10332</v>
      </c>
      <c r="F6159" s="46">
        <v>46097.325952372688</v>
      </c>
      <c r="G6159" s="46">
        <v>46097.325952395833</v>
      </c>
      <c r="H6159">
        <v>2</v>
      </c>
    </row>
    <row r="6160" spans="1:8" x14ac:dyDescent="0.15">
      <c r="A6160">
        <v>6159</v>
      </c>
      <c r="B6160" t="s">
        <v>339</v>
      </c>
      <c r="C6160" t="s">
        <v>353</v>
      </c>
      <c r="D6160" t="s">
        <v>10334</v>
      </c>
      <c r="E6160" t="s">
        <v>10332</v>
      </c>
      <c r="F6160" s="46">
        <v>46097.325952395833</v>
      </c>
      <c r="G6160" s="46">
        <v>46097.325952407409</v>
      </c>
      <c r="H6160">
        <v>1</v>
      </c>
    </row>
    <row r="6161" spans="1:8" x14ac:dyDescent="0.15">
      <c r="A6161">
        <v>6160</v>
      </c>
      <c r="B6161" t="s">
        <v>339</v>
      </c>
      <c r="C6161" t="s">
        <v>353</v>
      </c>
      <c r="D6161" t="s">
        <v>10335</v>
      </c>
      <c r="E6161" t="s">
        <v>10336</v>
      </c>
      <c r="F6161" s="46">
        <v>46097.325952407409</v>
      </c>
      <c r="G6161" s="46">
        <v>46097.325952430547</v>
      </c>
      <c r="H6161">
        <v>2</v>
      </c>
    </row>
    <row r="6162" spans="1:8" x14ac:dyDescent="0.15">
      <c r="A6162">
        <v>6161</v>
      </c>
      <c r="B6162" t="s">
        <v>339</v>
      </c>
      <c r="C6162" t="s">
        <v>353</v>
      </c>
      <c r="D6162" t="s">
        <v>10337</v>
      </c>
      <c r="E6162" t="s">
        <v>10336</v>
      </c>
      <c r="F6162" s="46">
        <v>46097.325952430547</v>
      </c>
      <c r="G6162" s="46">
        <v>46097.32595244213</v>
      </c>
      <c r="H6162">
        <v>1</v>
      </c>
    </row>
    <row r="6163" spans="1:8" x14ac:dyDescent="0.15">
      <c r="A6163">
        <v>6162</v>
      </c>
      <c r="B6163" t="s">
        <v>339</v>
      </c>
      <c r="C6163" t="s">
        <v>353</v>
      </c>
      <c r="D6163" t="s">
        <v>10338</v>
      </c>
      <c r="E6163" t="s">
        <v>10336</v>
      </c>
      <c r="F6163" s="46">
        <v>46097.325952453713</v>
      </c>
      <c r="G6163" s="46">
        <v>46097.325952453713</v>
      </c>
      <c r="H6163">
        <v>0</v>
      </c>
    </row>
    <row r="6164" spans="1:8" x14ac:dyDescent="0.15">
      <c r="A6164">
        <v>6163</v>
      </c>
      <c r="B6164" t="s">
        <v>339</v>
      </c>
      <c r="C6164" t="s">
        <v>353</v>
      </c>
      <c r="D6164" t="s">
        <v>10339</v>
      </c>
      <c r="E6164" t="s">
        <v>10340</v>
      </c>
      <c r="F6164" s="46">
        <v>46097.325952453713</v>
      </c>
      <c r="G6164" s="46">
        <v>46097.325952453713</v>
      </c>
      <c r="H6164">
        <v>0</v>
      </c>
    </row>
    <row r="6165" spans="1:8" x14ac:dyDescent="0.15">
      <c r="A6165">
        <v>6164</v>
      </c>
      <c r="B6165" t="s">
        <v>339</v>
      </c>
      <c r="C6165" t="s">
        <v>353</v>
      </c>
      <c r="D6165" t="s">
        <v>10341</v>
      </c>
      <c r="E6165" t="s">
        <v>10340</v>
      </c>
      <c r="F6165" s="46">
        <v>46097.325952453713</v>
      </c>
      <c r="G6165" s="46">
        <v>46097.325952453713</v>
      </c>
      <c r="H6165">
        <v>0</v>
      </c>
    </row>
    <row r="6166" spans="1:8" x14ac:dyDescent="0.15">
      <c r="A6166">
        <v>6165</v>
      </c>
      <c r="B6166" t="s">
        <v>339</v>
      </c>
      <c r="C6166" t="s">
        <v>353</v>
      </c>
      <c r="D6166" t="s">
        <v>10342</v>
      </c>
      <c r="E6166" t="s">
        <v>10340</v>
      </c>
      <c r="F6166" s="46">
        <v>46097.325952453713</v>
      </c>
      <c r="G6166" s="46">
        <v>46097.325952453713</v>
      </c>
      <c r="H6166">
        <v>0</v>
      </c>
    </row>
    <row r="6167" spans="1:8" x14ac:dyDescent="0.15">
      <c r="A6167">
        <v>6166</v>
      </c>
      <c r="B6167" t="s">
        <v>339</v>
      </c>
      <c r="C6167" t="s">
        <v>353</v>
      </c>
      <c r="D6167" t="s">
        <v>10343</v>
      </c>
      <c r="E6167" t="s">
        <v>10340</v>
      </c>
      <c r="F6167" s="46">
        <v>46097.325952453713</v>
      </c>
      <c r="G6167" s="46">
        <v>46097.325952453713</v>
      </c>
      <c r="H6167">
        <v>0</v>
      </c>
    </row>
    <row r="6168" spans="1:8" x14ac:dyDescent="0.15">
      <c r="A6168">
        <v>6167</v>
      </c>
      <c r="B6168" t="s">
        <v>339</v>
      </c>
      <c r="C6168" t="s">
        <v>353</v>
      </c>
      <c r="D6168" t="s">
        <v>10344</v>
      </c>
      <c r="E6168" t="s">
        <v>10340</v>
      </c>
      <c r="F6168" s="46">
        <v>46097.325952453713</v>
      </c>
      <c r="G6168" s="46">
        <v>46097.325952453713</v>
      </c>
      <c r="H6168">
        <v>0</v>
      </c>
    </row>
    <row r="6169" spans="1:8" x14ac:dyDescent="0.15">
      <c r="A6169">
        <v>6168</v>
      </c>
      <c r="B6169" t="s">
        <v>339</v>
      </c>
      <c r="C6169" t="s">
        <v>353</v>
      </c>
      <c r="D6169" t="s">
        <v>10345</v>
      </c>
      <c r="E6169" t="s">
        <v>10346</v>
      </c>
      <c r="F6169" s="46">
        <v>46097.325952453713</v>
      </c>
      <c r="G6169" s="46">
        <v>46097.325952453713</v>
      </c>
      <c r="H6169">
        <v>0</v>
      </c>
    </row>
    <row r="6170" spans="1:8" x14ac:dyDescent="0.15">
      <c r="A6170">
        <v>6169</v>
      </c>
      <c r="B6170" t="s">
        <v>339</v>
      </c>
      <c r="C6170" t="s">
        <v>353</v>
      </c>
      <c r="D6170" t="s">
        <v>10347</v>
      </c>
      <c r="E6170" t="s">
        <v>10348</v>
      </c>
      <c r="F6170" s="46">
        <v>46097.325952453713</v>
      </c>
      <c r="G6170" s="46">
        <v>46097.325952453713</v>
      </c>
      <c r="H6170">
        <v>0</v>
      </c>
    </row>
    <row r="6171" spans="1:8" x14ac:dyDescent="0.15">
      <c r="A6171">
        <v>6170</v>
      </c>
      <c r="B6171" t="s">
        <v>339</v>
      </c>
      <c r="C6171" t="s">
        <v>353</v>
      </c>
      <c r="D6171" t="s">
        <v>10349</v>
      </c>
      <c r="E6171" t="s">
        <v>10350</v>
      </c>
      <c r="F6171" s="46">
        <v>46097.325952453713</v>
      </c>
      <c r="G6171" s="46">
        <v>46097.325952453713</v>
      </c>
      <c r="H6171">
        <v>0</v>
      </c>
    </row>
    <row r="6172" spans="1:8" x14ac:dyDescent="0.15">
      <c r="A6172">
        <v>6171</v>
      </c>
      <c r="B6172" t="s">
        <v>339</v>
      </c>
      <c r="C6172" t="s">
        <v>353</v>
      </c>
      <c r="D6172" t="s">
        <v>10351</v>
      </c>
      <c r="E6172" t="s">
        <v>10350</v>
      </c>
      <c r="F6172" s="46">
        <v>46097.325952453713</v>
      </c>
      <c r="G6172" s="46">
        <v>46097.325952453713</v>
      </c>
      <c r="H6172">
        <v>0</v>
      </c>
    </row>
    <row r="6173" spans="1:8" x14ac:dyDescent="0.15">
      <c r="A6173">
        <v>6172</v>
      </c>
      <c r="B6173" t="s">
        <v>339</v>
      </c>
      <c r="C6173" t="s">
        <v>353</v>
      </c>
      <c r="D6173" t="s">
        <v>10352</v>
      </c>
      <c r="E6173" t="s">
        <v>10350</v>
      </c>
      <c r="F6173" s="46">
        <v>46097.325952453713</v>
      </c>
      <c r="G6173" s="46">
        <v>46097.325952627318</v>
      </c>
      <c r="H6173">
        <v>16</v>
      </c>
    </row>
    <row r="6174" spans="1:8" x14ac:dyDescent="0.15">
      <c r="A6174">
        <v>6173</v>
      </c>
      <c r="B6174" t="s">
        <v>339</v>
      </c>
      <c r="C6174" t="s">
        <v>353</v>
      </c>
      <c r="D6174" t="s">
        <v>10353</v>
      </c>
      <c r="E6174" t="s">
        <v>10354</v>
      </c>
      <c r="F6174" s="46">
        <v>46097.325952627318</v>
      </c>
      <c r="G6174" s="46">
        <v>46097.325952627318</v>
      </c>
      <c r="H6174">
        <v>0</v>
      </c>
    </row>
    <row r="6175" spans="1:8" x14ac:dyDescent="0.15">
      <c r="A6175">
        <v>6174</v>
      </c>
      <c r="B6175" t="s">
        <v>339</v>
      </c>
      <c r="C6175" t="s">
        <v>353</v>
      </c>
      <c r="D6175" t="s">
        <v>10355</v>
      </c>
      <c r="E6175" t="s">
        <v>10354</v>
      </c>
      <c r="F6175" s="46">
        <v>46097.325952627318</v>
      </c>
      <c r="G6175" s="46">
        <v>46097.325952627318</v>
      </c>
      <c r="H6175">
        <v>0</v>
      </c>
    </row>
    <row r="6176" spans="1:8" x14ac:dyDescent="0.15">
      <c r="A6176">
        <v>6175</v>
      </c>
      <c r="B6176" t="s">
        <v>339</v>
      </c>
      <c r="C6176" t="s">
        <v>353</v>
      </c>
      <c r="D6176" t="s">
        <v>10356</v>
      </c>
      <c r="E6176" t="s">
        <v>10354</v>
      </c>
      <c r="F6176" s="46">
        <v>46097.325952627318</v>
      </c>
      <c r="G6176" s="46">
        <v>46097.325952627318</v>
      </c>
      <c r="H6176">
        <v>0</v>
      </c>
    </row>
    <row r="6177" spans="1:8" x14ac:dyDescent="0.15">
      <c r="A6177">
        <v>6176</v>
      </c>
      <c r="B6177" t="s">
        <v>339</v>
      </c>
      <c r="C6177" t="s">
        <v>353</v>
      </c>
      <c r="D6177" t="s">
        <v>10357</v>
      </c>
      <c r="E6177" t="s">
        <v>10358</v>
      </c>
      <c r="F6177" s="46">
        <v>46097.325952627318</v>
      </c>
      <c r="G6177" s="46">
        <v>46097.325952627318</v>
      </c>
      <c r="H6177">
        <v>0</v>
      </c>
    </row>
    <row r="6178" spans="1:8" x14ac:dyDescent="0.15">
      <c r="A6178">
        <v>6177</v>
      </c>
      <c r="B6178" t="s">
        <v>339</v>
      </c>
      <c r="C6178" t="s">
        <v>353</v>
      </c>
      <c r="D6178" t="s">
        <v>10359</v>
      </c>
      <c r="E6178" t="s">
        <v>10358</v>
      </c>
      <c r="F6178" s="46">
        <v>46097.325952627318</v>
      </c>
      <c r="G6178" s="46">
        <v>46097.325952627318</v>
      </c>
      <c r="H6178">
        <v>0</v>
      </c>
    </row>
    <row r="6179" spans="1:8" x14ac:dyDescent="0.15">
      <c r="A6179">
        <v>6178</v>
      </c>
      <c r="B6179" t="s">
        <v>339</v>
      </c>
      <c r="C6179" t="s">
        <v>353</v>
      </c>
      <c r="D6179" t="s">
        <v>10360</v>
      </c>
      <c r="E6179" t="s">
        <v>10358</v>
      </c>
      <c r="F6179" s="46">
        <v>46097.325952627318</v>
      </c>
      <c r="G6179" s="46">
        <v>46097.325952627318</v>
      </c>
      <c r="H6179">
        <v>0</v>
      </c>
    </row>
    <row r="6180" spans="1:8" x14ac:dyDescent="0.15">
      <c r="A6180">
        <v>6179</v>
      </c>
      <c r="B6180" t="s">
        <v>339</v>
      </c>
      <c r="C6180" t="s">
        <v>353</v>
      </c>
      <c r="D6180" t="s">
        <v>10361</v>
      </c>
      <c r="E6180" t="s">
        <v>10362</v>
      </c>
      <c r="F6180" s="46">
        <v>46097.325952627318</v>
      </c>
      <c r="G6180" s="46">
        <v>46097.325952627318</v>
      </c>
      <c r="H6180">
        <v>0</v>
      </c>
    </row>
    <row r="6181" spans="1:8" x14ac:dyDescent="0.15">
      <c r="A6181">
        <v>6180</v>
      </c>
      <c r="B6181" t="s">
        <v>339</v>
      </c>
      <c r="C6181" t="s">
        <v>353</v>
      </c>
      <c r="D6181" t="s">
        <v>10363</v>
      </c>
      <c r="E6181" t="s">
        <v>10362</v>
      </c>
      <c r="F6181" s="46">
        <v>46097.325952627318</v>
      </c>
      <c r="G6181" s="46">
        <v>46097.325952627318</v>
      </c>
      <c r="H6181">
        <v>0</v>
      </c>
    </row>
    <row r="6182" spans="1:8" x14ac:dyDescent="0.15">
      <c r="A6182">
        <v>6181</v>
      </c>
      <c r="B6182" t="s">
        <v>339</v>
      </c>
      <c r="C6182" t="s">
        <v>353</v>
      </c>
      <c r="D6182" t="s">
        <v>10364</v>
      </c>
      <c r="E6182" t="s">
        <v>10365</v>
      </c>
      <c r="F6182" s="46">
        <v>46097.325952627318</v>
      </c>
      <c r="G6182" s="46">
        <v>46097.325952627318</v>
      </c>
      <c r="H6182">
        <v>0</v>
      </c>
    </row>
    <row r="6183" spans="1:8" x14ac:dyDescent="0.15">
      <c r="A6183">
        <v>6182</v>
      </c>
      <c r="B6183" t="s">
        <v>339</v>
      </c>
      <c r="C6183" t="s">
        <v>353</v>
      </c>
      <c r="D6183" t="s">
        <v>10366</v>
      </c>
      <c r="E6183" t="s">
        <v>10367</v>
      </c>
      <c r="F6183" s="46">
        <v>46097.325952627318</v>
      </c>
      <c r="G6183" s="46">
        <v>46097.325952812498</v>
      </c>
      <c r="H6183">
        <v>16</v>
      </c>
    </row>
    <row r="6184" spans="1:8" x14ac:dyDescent="0.15">
      <c r="A6184">
        <v>6183</v>
      </c>
      <c r="B6184" t="s">
        <v>339</v>
      </c>
      <c r="C6184" t="s">
        <v>353</v>
      </c>
      <c r="D6184" t="s">
        <v>10368</v>
      </c>
      <c r="E6184" t="s">
        <v>10369</v>
      </c>
      <c r="F6184" s="46">
        <v>46097.325952812498</v>
      </c>
      <c r="G6184" s="46">
        <v>46097.325952812498</v>
      </c>
      <c r="H6184">
        <v>0</v>
      </c>
    </row>
    <row r="6185" spans="1:8" x14ac:dyDescent="0.15">
      <c r="A6185">
        <v>6184</v>
      </c>
      <c r="B6185" t="s">
        <v>339</v>
      </c>
      <c r="C6185" t="s">
        <v>353</v>
      </c>
      <c r="D6185" t="s">
        <v>10370</v>
      </c>
      <c r="E6185" t="s">
        <v>10369</v>
      </c>
      <c r="F6185" s="46">
        <v>46097.325952812498</v>
      </c>
      <c r="G6185" s="46">
        <v>46097.325952812498</v>
      </c>
      <c r="H6185">
        <v>0</v>
      </c>
    </row>
    <row r="6186" spans="1:8" x14ac:dyDescent="0.15">
      <c r="A6186">
        <v>6185</v>
      </c>
      <c r="B6186" t="s">
        <v>339</v>
      </c>
      <c r="C6186" t="s">
        <v>353</v>
      </c>
      <c r="D6186" t="s">
        <v>10371</v>
      </c>
      <c r="E6186" t="s">
        <v>10372</v>
      </c>
      <c r="F6186" s="46">
        <v>46097.325952812498</v>
      </c>
      <c r="G6186" s="46">
        <v>46097.325952812498</v>
      </c>
      <c r="H6186">
        <v>0</v>
      </c>
    </row>
    <row r="6187" spans="1:8" x14ac:dyDescent="0.15">
      <c r="A6187">
        <v>6186</v>
      </c>
      <c r="B6187" t="s">
        <v>339</v>
      </c>
      <c r="C6187" t="s">
        <v>353</v>
      </c>
      <c r="D6187" t="s">
        <v>10373</v>
      </c>
      <c r="E6187" t="s">
        <v>10372</v>
      </c>
      <c r="F6187" s="46">
        <v>46097.325952812498</v>
      </c>
      <c r="G6187" s="46">
        <v>46097.325952812498</v>
      </c>
      <c r="H6187">
        <v>0</v>
      </c>
    </row>
    <row r="6188" spans="1:8" x14ac:dyDescent="0.15">
      <c r="A6188">
        <v>6187</v>
      </c>
      <c r="B6188" t="s">
        <v>339</v>
      </c>
      <c r="C6188" t="s">
        <v>353</v>
      </c>
      <c r="D6188" t="s">
        <v>10374</v>
      </c>
      <c r="E6188" t="s">
        <v>10372</v>
      </c>
      <c r="F6188" s="46">
        <v>46097.325952812498</v>
      </c>
      <c r="G6188" s="46">
        <v>46097.325952812498</v>
      </c>
      <c r="H6188">
        <v>0</v>
      </c>
    </row>
    <row r="6189" spans="1:8" x14ac:dyDescent="0.15">
      <c r="A6189">
        <v>6188</v>
      </c>
      <c r="B6189" t="s">
        <v>339</v>
      </c>
      <c r="C6189" t="s">
        <v>353</v>
      </c>
      <c r="D6189" t="s">
        <v>10375</v>
      </c>
      <c r="E6189" t="s">
        <v>10372</v>
      </c>
      <c r="F6189" s="46">
        <v>46097.325952812498</v>
      </c>
      <c r="G6189" s="46">
        <v>46097.325952812498</v>
      </c>
      <c r="H6189">
        <v>0</v>
      </c>
    </row>
    <row r="6190" spans="1:8" x14ac:dyDescent="0.15">
      <c r="A6190">
        <v>6189</v>
      </c>
      <c r="B6190" t="s">
        <v>339</v>
      </c>
      <c r="C6190" t="s">
        <v>353</v>
      </c>
      <c r="D6190" t="s">
        <v>10376</v>
      </c>
      <c r="E6190" t="s">
        <v>10372</v>
      </c>
      <c r="F6190" s="46">
        <v>46097.325952812498</v>
      </c>
      <c r="G6190" s="46">
        <v>46097.325952812498</v>
      </c>
      <c r="H6190">
        <v>0</v>
      </c>
    </row>
    <row r="6191" spans="1:8" x14ac:dyDescent="0.15">
      <c r="A6191">
        <v>6190</v>
      </c>
      <c r="B6191" t="s">
        <v>339</v>
      </c>
      <c r="C6191" t="s">
        <v>353</v>
      </c>
      <c r="D6191" t="s">
        <v>10377</v>
      </c>
      <c r="E6191" t="s">
        <v>10372</v>
      </c>
      <c r="F6191" s="46">
        <v>46097.325952812498</v>
      </c>
      <c r="G6191" s="46">
        <v>46097.325952812498</v>
      </c>
      <c r="H6191">
        <v>0</v>
      </c>
    </row>
    <row r="6192" spans="1:8" x14ac:dyDescent="0.15">
      <c r="A6192">
        <v>6191</v>
      </c>
      <c r="B6192" t="s">
        <v>339</v>
      </c>
      <c r="C6192" t="s">
        <v>353</v>
      </c>
      <c r="D6192" t="s">
        <v>10378</v>
      </c>
      <c r="E6192" t="s">
        <v>10372</v>
      </c>
      <c r="F6192" s="46">
        <v>46097.325952812498</v>
      </c>
      <c r="G6192" s="46">
        <v>46097.325952812498</v>
      </c>
      <c r="H6192">
        <v>0</v>
      </c>
    </row>
    <row r="6193" spans="1:8" x14ac:dyDescent="0.15">
      <c r="A6193">
        <v>6192</v>
      </c>
      <c r="B6193" t="s">
        <v>339</v>
      </c>
      <c r="C6193" t="s">
        <v>353</v>
      </c>
      <c r="D6193" t="s">
        <v>10379</v>
      </c>
      <c r="E6193" t="s">
        <v>10372</v>
      </c>
      <c r="F6193" s="46">
        <v>46097.325952812498</v>
      </c>
      <c r="G6193" s="46">
        <v>46097.325952812498</v>
      </c>
      <c r="H6193">
        <v>0</v>
      </c>
    </row>
    <row r="6194" spans="1:8" x14ac:dyDescent="0.15">
      <c r="A6194">
        <v>6193</v>
      </c>
      <c r="B6194" t="s">
        <v>339</v>
      </c>
      <c r="C6194" t="s">
        <v>353</v>
      </c>
      <c r="D6194" t="s">
        <v>10380</v>
      </c>
      <c r="E6194" t="s">
        <v>10372</v>
      </c>
      <c r="F6194" s="46">
        <v>46097.325952812498</v>
      </c>
      <c r="G6194" s="46">
        <v>46097.325952997693</v>
      </c>
      <c r="H6194">
        <v>15</v>
      </c>
    </row>
    <row r="6195" spans="1:8" x14ac:dyDescent="0.15">
      <c r="A6195">
        <v>6194</v>
      </c>
      <c r="B6195" t="s">
        <v>339</v>
      </c>
      <c r="C6195" t="s">
        <v>353</v>
      </c>
      <c r="D6195" t="s">
        <v>10381</v>
      </c>
      <c r="E6195" t="s">
        <v>10372</v>
      </c>
      <c r="F6195" s="46">
        <v>46097.325952997693</v>
      </c>
      <c r="G6195" s="46">
        <v>46097.325952997693</v>
      </c>
      <c r="H6195">
        <v>0</v>
      </c>
    </row>
    <row r="6196" spans="1:8" x14ac:dyDescent="0.15">
      <c r="A6196">
        <v>6195</v>
      </c>
      <c r="B6196" t="s">
        <v>339</v>
      </c>
      <c r="C6196" t="s">
        <v>353</v>
      </c>
      <c r="D6196" t="s">
        <v>10382</v>
      </c>
      <c r="E6196" t="s">
        <v>10372</v>
      </c>
      <c r="F6196" s="46">
        <v>46097.325952997693</v>
      </c>
      <c r="G6196" s="46">
        <v>46097.325952997693</v>
      </c>
      <c r="H6196">
        <v>0</v>
      </c>
    </row>
    <row r="6197" spans="1:8" x14ac:dyDescent="0.15">
      <c r="A6197">
        <v>6196</v>
      </c>
      <c r="B6197" t="s">
        <v>339</v>
      </c>
      <c r="C6197" t="s">
        <v>353</v>
      </c>
      <c r="D6197" t="s">
        <v>10383</v>
      </c>
      <c r="E6197" t="s">
        <v>10372</v>
      </c>
      <c r="F6197" s="46">
        <v>46097.325952997693</v>
      </c>
      <c r="G6197" s="46">
        <v>46097.325952997693</v>
      </c>
      <c r="H6197">
        <v>0</v>
      </c>
    </row>
    <row r="6198" spans="1:8" x14ac:dyDescent="0.15">
      <c r="A6198">
        <v>6197</v>
      </c>
      <c r="B6198" t="s">
        <v>339</v>
      </c>
      <c r="C6198" t="s">
        <v>353</v>
      </c>
      <c r="D6198" t="s">
        <v>10384</v>
      </c>
      <c r="E6198" t="s">
        <v>10385</v>
      </c>
      <c r="F6198" s="46">
        <v>46097.325952997693</v>
      </c>
      <c r="G6198" s="46">
        <v>46097.325952997693</v>
      </c>
      <c r="H6198">
        <v>0</v>
      </c>
    </row>
    <row r="6199" spans="1:8" x14ac:dyDescent="0.15">
      <c r="A6199">
        <v>6198</v>
      </c>
      <c r="B6199" t="s">
        <v>339</v>
      </c>
      <c r="C6199" t="s">
        <v>353</v>
      </c>
      <c r="D6199" t="s">
        <v>10386</v>
      </c>
      <c r="E6199" t="s">
        <v>10385</v>
      </c>
      <c r="F6199" s="46">
        <v>46097.325952997693</v>
      </c>
      <c r="G6199" s="46">
        <v>46097.325952997693</v>
      </c>
      <c r="H6199">
        <v>0</v>
      </c>
    </row>
    <row r="6200" spans="1:8" x14ac:dyDescent="0.15">
      <c r="A6200">
        <v>6199</v>
      </c>
      <c r="B6200" t="s">
        <v>339</v>
      </c>
      <c r="C6200" t="s">
        <v>353</v>
      </c>
      <c r="D6200" t="s">
        <v>10387</v>
      </c>
      <c r="E6200" t="s">
        <v>10385</v>
      </c>
      <c r="F6200" s="46">
        <v>46097.325952997693</v>
      </c>
      <c r="G6200" s="46">
        <v>46097.325952997693</v>
      </c>
      <c r="H6200">
        <v>0</v>
      </c>
    </row>
    <row r="6201" spans="1:8" x14ac:dyDescent="0.15">
      <c r="A6201">
        <v>6200</v>
      </c>
      <c r="B6201" t="s">
        <v>339</v>
      </c>
      <c r="C6201" t="s">
        <v>353</v>
      </c>
      <c r="D6201" t="s">
        <v>10388</v>
      </c>
      <c r="E6201" t="s">
        <v>10389</v>
      </c>
      <c r="F6201" s="46">
        <v>46097.325952997693</v>
      </c>
      <c r="G6201" s="46">
        <v>46097.325952997693</v>
      </c>
      <c r="H6201">
        <v>0</v>
      </c>
    </row>
    <row r="6202" spans="1:8" x14ac:dyDescent="0.15">
      <c r="A6202">
        <v>6201</v>
      </c>
      <c r="B6202" t="s">
        <v>339</v>
      </c>
      <c r="C6202" t="s">
        <v>353</v>
      </c>
      <c r="D6202" t="s">
        <v>10390</v>
      </c>
      <c r="E6202" t="s">
        <v>10389</v>
      </c>
      <c r="F6202" s="46">
        <v>46097.325952997693</v>
      </c>
      <c r="G6202" s="46">
        <v>46097.325952997693</v>
      </c>
      <c r="H6202">
        <v>0</v>
      </c>
    </row>
    <row r="6203" spans="1:8" x14ac:dyDescent="0.15">
      <c r="A6203">
        <v>6202</v>
      </c>
      <c r="B6203" t="s">
        <v>339</v>
      </c>
      <c r="C6203" t="s">
        <v>353</v>
      </c>
      <c r="D6203" t="s">
        <v>10391</v>
      </c>
      <c r="E6203" t="s">
        <v>10389</v>
      </c>
      <c r="F6203" s="46">
        <v>46097.325952997693</v>
      </c>
      <c r="G6203" s="46">
        <v>46097.325952997693</v>
      </c>
      <c r="H6203">
        <v>0</v>
      </c>
    </row>
    <row r="6204" spans="1:8" x14ac:dyDescent="0.15">
      <c r="A6204">
        <v>6203</v>
      </c>
      <c r="B6204" t="s">
        <v>339</v>
      </c>
      <c r="C6204" t="s">
        <v>353</v>
      </c>
      <c r="D6204" t="s">
        <v>10392</v>
      </c>
      <c r="E6204" t="s">
        <v>10389</v>
      </c>
      <c r="F6204" s="46">
        <v>46097.325952997693</v>
      </c>
      <c r="G6204" s="46">
        <v>46097.325952997693</v>
      </c>
      <c r="H6204">
        <v>0</v>
      </c>
    </row>
    <row r="6205" spans="1:8" x14ac:dyDescent="0.15">
      <c r="A6205">
        <v>6204</v>
      </c>
      <c r="B6205" t="s">
        <v>339</v>
      </c>
      <c r="C6205" t="s">
        <v>353</v>
      </c>
      <c r="D6205" t="s">
        <v>10393</v>
      </c>
      <c r="E6205" t="s">
        <v>10394</v>
      </c>
      <c r="F6205" s="46">
        <v>46097.325952997693</v>
      </c>
      <c r="G6205" s="46">
        <v>46097.325953171297</v>
      </c>
      <c r="H6205">
        <v>16</v>
      </c>
    </row>
    <row r="6206" spans="1:8" x14ac:dyDescent="0.15">
      <c r="A6206">
        <v>6205</v>
      </c>
      <c r="B6206" t="s">
        <v>339</v>
      </c>
      <c r="C6206" t="s">
        <v>353</v>
      </c>
      <c r="D6206" t="s">
        <v>10395</v>
      </c>
      <c r="E6206" t="s">
        <v>10396</v>
      </c>
      <c r="F6206" s="46">
        <v>46097.325953171297</v>
      </c>
      <c r="G6206" s="46">
        <v>46097.325953171297</v>
      </c>
      <c r="H6206">
        <v>0</v>
      </c>
    </row>
    <row r="6207" spans="1:8" x14ac:dyDescent="0.15">
      <c r="A6207">
        <v>6206</v>
      </c>
      <c r="B6207" t="s">
        <v>339</v>
      </c>
      <c r="C6207" t="s">
        <v>353</v>
      </c>
      <c r="D6207" t="s">
        <v>10397</v>
      </c>
      <c r="E6207" t="s">
        <v>10398</v>
      </c>
      <c r="F6207" s="46">
        <v>46097.325953171297</v>
      </c>
      <c r="G6207" s="46">
        <v>46097.325953171297</v>
      </c>
      <c r="H6207">
        <v>0</v>
      </c>
    </row>
    <row r="6208" spans="1:8" x14ac:dyDescent="0.15">
      <c r="A6208">
        <v>6207</v>
      </c>
      <c r="B6208" t="s">
        <v>339</v>
      </c>
      <c r="C6208" t="s">
        <v>353</v>
      </c>
      <c r="D6208" t="s">
        <v>10399</v>
      </c>
      <c r="E6208" t="s">
        <v>10398</v>
      </c>
      <c r="F6208" s="46">
        <v>46097.325953171297</v>
      </c>
      <c r="G6208" s="46">
        <v>46097.325953171297</v>
      </c>
      <c r="H6208">
        <v>0</v>
      </c>
    </row>
    <row r="6209" spans="1:8" x14ac:dyDescent="0.15">
      <c r="A6209">
        <v>6208</v>
      </c>
      <c r="B6209" t="s">
        <v>339</v>
      </c>
      <c r="C6209" t="s">
        <v>353</v>
      </c>
      <c r="D6209" t="s">
        <v>10400</v>
      </c>
      <c r="E6209" t="s">
        <v>10398</v>
      </c>
      <c r="F6209" s="46">
        <v>46097.325953171297</v>
      </c>
      <c r="G6209" s="46">
        <v>46097.325953171297</v>
      </c>
      <c r="H6209">
        <v>0</v>
      </c>
    </row>
    <row r="6210" spans="1:8" x14ac:dyDescent="0.15">
      <c r="A6210">
        <v>6209</v>
      </c>
      <c r="B6210" t="s">
        <v>339</v>
      </c>
      <c r="C6210" t="s">
        <v>353</v>
      </c>
      <c r="D6210" t="s">
        <v>10401</v>
      </c>
      <c r="E6210" t="s">
        <v>10398</v>
      </c>
      <c r="F6210" s="46">
        <v>46097.325953171297</v>
      </c>
      <c r="G6210" s="46">
        <v>46097.325953171297</v>
      </c>
      <c r="H6210">
        <v>0</v>
      </c>
    </row>
    <row r="6211" spans="1:8" x14ac:dyDescent="0.15">
      <c r="A6211">
        <v>6210</v>
      </c>
      <c r="B6211" t="s">
        <v>339</v>
      </c>
      <c r="C6211" t="s">
        <v>353</v>
      </c>
      <c r="D6211" t="s">
        <v>10402</v>
      </c>
      <c r="E6211" t="s">
        <v>10398</v>
      </c>
      <c r="F6211" s="46">
        <v>46097.325953171297</v>
      </c>
      <c r="G6211" s="46">
        <v>46097.325953287043</v>
      </c>
      <c r="H6211">
        <v>9</v>
      </c>
    </row>
    <row r="6212" spans="1:8" x14ac:dyDescent="0.15">
      <c r="A6212">
        <v>6211</v>
      </c>
      <c r="B6212" t="s">
        <v>339</v>
      </c>
      <c r="C6212" t="s">
        <v>353</v>
      </c>
      <c r="D6212" t="s">
        <v>10403</v>
      </c>
      <c r="E6212" t="s">
        <v>10404</v>
      </c>
      <c r="F6212" s="46">
        <v>46097.325953287043</v>
      </c>
      <c r="G6212" s="46">
        <v>46097.325953287043</v>
      </c>
      <c r="H6212">
        <v>0</v>
      </c>
    </row>
    <row r="6213" spans="1:8" x14ac:dyDescent="0.15">
      <c r="A6213">
        <v>6212</v>
      </c>
      <c r="B6213" t="s">
        <v>339</v>
      </c>
      <c r="C6213" t="s">
        <v>353</v>
      </c>
      <c r="D6213" t="s">
        <v>10405</v>
      </c>
      <c r="E6213" t="s">
        <v>10404</v>
      </c>
      <c r="F6213" s="46">
        <v>46097.325953287043</v>
      </c>
      <c r="G6213" s="46">
        <v>46097.325953287043</v>
      </c>
      <c r="H6213">
        <v>0</v>
      </c>
    </row>
    <row r="6214" spans="1:8" x14ac:dyDescent="0.15">
      <c r="A6214">
        <v>6213</v>
      </c>
      <c r="B6214" t="s">
        <v>339</v>
      </c>
      <c r="C6214" t="s">
        <v>353</v>
      </c>
      <c r="D6214" t="s">
        <v>10406</v>
      </c>
      <c r="E6214" t="s">
        <v>10404</v>
      </c>
      <c r="F6214" s="46">
        <v>46097.325953287043</v>
      </c>
      <c r="G6214" s="46">
        <v>46097.325953287043</v>
      </c>
      <c r="H6214">
        <v>0</v>
      </c>
    </row>
    <row r="6215" spans="1:8" x14ac:dyDescent="0.15">
      <c r="A6215">
        <v>6214</v>
      </c>
      <c r="B6215" t="s">
        <v>339</v>
      </c>
      <c r="C6215" t="s">
        <v>353</v>
      </c>
      <c r="D6215" t="s">
        <v>10407</v>
      </c>
      <c r="E6215" t="s">
        <v>10404</v>
      </c>
      <c r="F6215" s="46">
        <v>46097.325953287043</v>
      </c>
      <c r="G6215" s="46">
        <v>46097.325953287043</v>
      </c>
      <c r="H6215">
        <v>0</v>
      </c>
    </row>
    <row r="6216" spans="1:8" x14ac:dyDescent="0.15">
      <c r="A6216">
        <v>6215</v>
      </c>
      <c r="B6216" t="s">
        <v>339</v>
      </c>
      <c r="C6216" t="s">
        <v>353</v>
      </c>
      <c r="D6216" t="s">
        <v>10408</v>
      </c>
      <c r="E6216" t="s">
        <v>10404</v>
      </c>
      <c r="F6216" s="46">
        <v>46097.325953287043</v>
      </c>
      <c r="G6216" s="46">
        <v>46097.325953287043</v>
      </c>
      <c r="H6216">
        <v>0</v>
      </c>
    </row>
    <row r="6217" spans="1:8" x14ac:dyDescent="0.15">
      <c r="A6217">
        <v>6216</v>
      </c>
      <c r="B6217" t="s">
        <v>339</v>
      </c>
      <c r="C6217" t="s">
        <v>353</v>
      </c>
      <c r="D6217" t="s">
        <v>10409</v>
      </c>
      <c r="E6217" t="s">
        <v>10404</v>
      </c>
      <c r="F6217" s="46">
        <v>46097.325953287043</v>
      </c>
      <c r="G6217" s="46">
        <v>46097.325953287043</v>
      </c>
      <c r="H6217">
        <v>0</v>
      </c>
    </row>
    <row r="6218" spans="1:8" x14ac:dyDescent="0.15">
      <c r="A6218">
        <v>6217</v>
      </c>
      <c r="B6218" t="s">
        <v>339</v>
      </c>
      <c r="C6218" t="s">
        <v>353</v>
      </c>
      <c r="D6218" t="s">
        <v>10410</v>
      </c>
      <c r="E6218" t="s">
        <v>10404</v>
      </c>
      <c r="F6218" s="46">
        <v>46097.325953287043</v>
      </c>
      <c r="G6218" s="46">
        <v>46097.325953287043</v>
      </c>
      <c r="H6218">
        <v>0</v>
      </c>
    </row>
    <row r="6219" spans="1:8" x14ac:dyDescent="0.15">
      <c r="A6219">
        <v>6218</v>
      </c>
      <c r="B6219" t="s">
        <v>339</v>
      </c>
      <c r="C6219" t="s">
        <v>353</v>
      </c>
      <c r="D6219" t="s">
        <v>10411</v>
      </c>
      <c r="E6219" t="s">
        <v>10404</v>
      </c>
      <c r="F6219" s="46">
        <v>46097.325953287043</v>
      </c>
      <c r="G6219" s="46">
        <v>46097.325953287043</v>
      </c>
      <c r="H6219">
        <v>0</v>
      </c>
    </row>
    <row r="6220" spans="1:8" x14ac:dyDescent="0.15">
      <c r="A6220">
        <v>6219</v>
      </c>
      <c r="B6220" t="s">
        <v>339</v>
      </c>
      <c r="C6220" t="s">
        <v>353</v>
      </c>
      <c r="D6220" t="s">
        <v>10412</v>
      </c>
      <c r="E6220" t="s">
        <v>10404</v>
      </c>
      <c r="F6220" s="46">
        <v>46097.325953287043</v>
      </c>
      <c r="G6220" s="46">
        <v>46097.325953287043</v>
      </c>
      <c r="H6220">
        <v>0</v>
      </c>
    </row>
    <row r="6221" spans="1:8" x14ac:dyDescent="0.15">
      <c r="A6221">
        <v>6220</v>
      </c>
      <c r="B6221" t="s">
        <v>339</v>
      </c>
      <c r="C6221" t="s">
        <v>353</v>
      </c>
      <c r="D6221" t="s">
        <v>10413</v>
      </c>
      <c r="E6221" t="s">
        <v>10414</v>
      </c>
      <c r="F6221" s="46">
        <v>46097.325953287043</v>
      </c>
      <c r="G6221" s="46">
        <v>46097.325953449072</v>
      </c>
      <c r="H6221">
        <v>15</v>
      </c>
    </row>
    <row r="6222" spans="1:8" x14ac:dyDescent="0.15">
      <c r="A6222">
        <v>6221</v>
      </c>
      <c r="B6222" t="s">
        <v>339</v>
      </c>
      <c r="C6222" t="s">
        <v>353</v>
      </c>
      <c r="D6222" t="s">
        <v>10415</v>
      </c>
      <c r="E6222" t="s">
        <v>10416</v>
      </c>
      <c r="F6222" s="46">
        <v>46097.325953449072</v>
      </c>
      <c r="G6222" s="46">
        <v>46097.325953449072</v>
      </c>
      <c r="H6222">
        <v>0</v>
      </c>
    </row>
    <row r="6223" spans="1:8" x14ac:dyDescent="0.15">
      <c r="A6223">
        <v>6222</v>
      </c>
      <c r="B6223" t="s">
        <v>339</v>
      </c>
      <c r="C6223" t="s">
        <v>353</v>
      </c>
      <c r="D6223" t="s">
        <v>10417</v>
      </c>
      <c r="E6223" t="s">
        <v>10416</v>
      </c>
      <c r="F6223" s="46">
        <v>46097.325953449072</v>
      </c>
      <c r="G6223" s="46">
        <v>46097.325953449072</v>
      </c>
      <c r="H6223">
        <v>0</v>
      </c>
    </row>
    <row r="6224" spans="1:8" x14ac:dyDescent="0.15">
      <c r="A6224">
        <v>6223</v>
      </c>
      <c r="B6224" t="s">
        <v>339</v>
      </c>
      <c r="C6224" t="s">
        <v>353</v>
      </c>
      <c r="D6224" t="s">
        <v>10418</v>
      </c>
      <c r="E6224" t="s">
        <v>10416</v>
      </c>
      <c r="F6224" s="46">
        <v>46097.325953449072</v>
      </c>
      <c r="G6224" s="46">
        <v>46097.325953449072</v>
      </c>
      <c r="H6224">
        <v>0</v>
      </c>
    </row>
    <row r="6225" spans="1:8" x14ac:dyDescent="0.15">
      <c r="A6225">
        <v>6224</v>
      </c>
      <c r="B6225" t="s">
        <v>339</v>
      </c>
      <c r="C6225" t="s">
        <v>353</v>
      </c>
      <c r="D6225" t="s">
        <v>10419</v>
      </c>
      <c r="E6225" t="s">
        <v>10416</v>
      </c>
      <c r="F6225" s="46">
        <v>46097.325953449072</v>
      </c>
      <c r="G6225" s="46">
        <v>46097.325953449072</v>
      </c>
      <c r="H6225">
        <v>0</v>
      </c>
    </row>
    <row r="6226" spans="1:8" x14ac:dyDescent="0.15">
      <c r="A6226">
        <v>6225</v>
      </c>
      <c r="B6226" t="s">
        <v>339</v>
      </c>
      <c r="C6226" t="s">
        <v>353</v>
      </c>
      <c r="D6226" t="s">
        <v>10420</v>
      </c>
      <c r="E6226" t="s">
        <v>10416</v>
      </c>
      <c r="F6226" s="46">
        <v>46097.325953449072</v>
      </c>
      <c r="G6226" s="46">
        <v>46097.325953449072</v>
      </c>
      <c r="H6226">
        <v>0</v>
      </c>
    </row>
    <row r="6227" spans="1:8" x14ac:dyDescent="0.15">
      <c r="A6227">
        <v>6226</v>
      </c>
      <c r="B6227" t="s">
        <v>339</v>
      </c>
      <c r="C6227" t="s">
        <v>353</v>
      </c>
      <c r="D6227" t="s">
        <v>10421</v>
      </c>
      <c r="E6227" t="s">
        <v>10416</v>
      </c>
      <c r="F6227" s="46">
        <v>46097.325953449072</v>
      </c>
      <c r="G6227" s="46">
        <v>46097.325953449072</v>
      </c>
      <c r="H6227">
        <v>0</v>
      </c>
    </row>
    <row r="6228" spans="1:8" x14ac:dyDescent="0.15">
      <c r="A6228">
        <v>6227</v>
      </c>
      <c r="B6228" t="s">
        <v>339</v>
      </c>
      <c r="C6228" t="s">
        <v>353</v>
      </c>
      <c r="D6228" t="s">
        <v>10422</v>
      </c>
      <c r="E6228" t="s">
        <v>10416</v>
      </c>
      <c r="F6228" s="46">
        <v>46097.325953449072</v>
      </c>
      <c r="G6228" s="46">
        <v>46097.325953449072</v>
      </c>
      <c r="H6228">
        <v>0</v>
      </c>
    </row>
    <row r="6229" spans="1:8" x14ac:dyDescent="0.15">
      <c r="A6229">
        <v>6228</v>
      </c>
      <c r="B6229" t="s">
        <v>339</v>
      </c>
      <c r="C6229" t="s">
        <v>353</v>
      </c>
      <c r="D6229" t="s">
        <v>10423</v>
      </c>
      <c r="E6229" t="s">
        <v>10416</v>
      </c>
      <c r="F6229" s="46">
        <v>46097.325953449072</v>
      </c>
      <c r="G6229" s="46">
        <v>46097.325953449072</v>
      </c>
      <c r="H6229">
        <v>0</v>
      </c>
    </row>
    <row r="6230" spans="1:8" x14ac:dyDescent="0.15">
      <c r="A6230">
        <v>6229</v>
      </c>
      <c r="B6230" t="s">
        <v>339</v>
      </c>
      <c r="C6230" t="s">
        <v>353</v>
      </c>
      <c r="D6230" t="s">
        <v>10424</v>
      </c>
      <c r="E6230" t="s">
        <v>10425</v>
      </c>
      <c r="F6230" s="46">
        <v>46097.325953449072</v>
      </c>
      <c r="G6230" s="46">
        <v>46097.325953449072</v>
      </c>
      <c r="H6230">
        <v>0</v>
      </c>
    </row>
    <row r="6231" spans="1:8" x14ac:dyDescent="0.15">
      <c r="A6231">
        <v>6230</v>
      </c>
      <c r="B6231" t="s">
        <v>339</v>
      </c>
      <c r="C6231" t="s">
        <v>353</v>
      </c>
      <c r="D6231" t="s">
        <v>10426</v>
      </c>
      <c r="E6231" t="s">
        <v>10425</v>
      </c>
      <c r="F6231" s="46">
        <v>46097.325953449072</v>
      </c>
      <c r="G6231" s="46">
        <v>46097.325953634259</v>
      </c>
      <c r="H6231">
        <v>16</v>
      </c>
    </row>
    <row r="6232" spans="1:8" x14ac:dyDescent="0.15">
      <c r="A6232">
        <v>6231</v>
      </c>
      <c r="B6232" t="s">
        <v>339</v>
      </c>
      <c r="C6232" t="s">
        <v>353</v>
      </c>
      <c r="D6232" t="s">
        <v>10427</v>
      </c>
      <c r="E6232" t="s">
        <v>10425</v>
      </c>
      <c r="F6232" s="46">
        <v>46097.325953634259</v>
      </c>
      <c r="G6232" s="46">
        <v>46097.325953634259</v>
      </c>
      <c r="H6232">
        <v>0</v>
      </c>
    </row>
    <row r="6233" spans="1:8" x14ac:dyDescent="0.15">
      <c r="A6233">
        <v>6232</v>
      </c>
      <c r="B6233" t="s">
        <v>339</v>
      </c>
      <c r="C6233" t="s">
        <v>353</v>
      </c>
      <c r="D6233" t="s">
        <v>10428</v>
      </c>
      <c r="E6233" t="s">
        <v>10429</v>
      </c>
      <c r="F6233" s="46">
        <v>46097.325953634259</v>
      </c>
      <c r="G6233" s="46">
        <v>46097.325953634259</v>
      </c>
      <c r="H6233">
        <v>0</v>
      </c>
    </row>
    <row r="6234" spans="1:8" x14ac:dyDescent="0.15">
      <c r="A6234">
        <v>6233</v>
      </c>
      <c r="B6234" t="s">
        <v>339</v>
      </c>
      <c r="C6234" t="s">
        <v>353</v>
      </c>
      <c r="D6234" t="s">
        <v>10430</v>
      </c>
      <c r="E6234" t="s">
        <v>10431</v>
      </c>
      <c r="F6234" s="46">
        <v>46097.325953634259</v>
      </c>
      <c r="G6234" s="46">
        <v>46097.325953634259</v>
      </c>
      <c r="H6234">
        <v>0</v>
      </c>
    </row>
    <row r="6235" spans="1:8" x14ac:dyDescent="0.15">
      <c r="A6235">
        <v>6234</v>
      </c>
      <c r="B6235" t="s">
        <v>339</v>
      </c>
      <c r="C6235" t="s">
        <v>353</v>
      </c>
      <c r="D6235" t="s">
        <v>10432</v>
      </c>
      <c r="E6235" t="s">
        <v>10433</v>
      </c>
      <c r="F6235" s="46">
        <v>46097.325953634259</v>
      </c>
      <c r="G6235" s="46">
        <v>46097.325953634259</v>
      </c>
      <c r="H6235">
        <v>0</v>
      </c>
    </row>
    <row r="6236" spans="1:8" x14ac:dyDescent="0.15">
      <c r="A6236">
        <v>6235</v>
      </c>
      <c r="B6236" t="s">
        <v>339</v>
      </c>
      <c r="C6236" t="s">
        <v>353</v>
      </c>
      <c r="D6236" t="s">
        <v>10434</v>
      </c>
      <c r="E6236" t="s">
        <v>10435</v>
      </c>
      <c r="F6236" s="46">
        <v>46097.325953634259</v>
      </c>
      <c r="G6236" s="46">
        <v>46097.325953634259</v>
      </c>
      <c r="H6236">
        <v>0</v>
      </c>
    </row>
    <row r="6237" spans="1:8" x14ac:dyDescent="0.15">
      <c r="A6237">
        <v>6236</v>
      </c>
      <c r="B6237" t="s">
        <v>339</v>
      </c>
      <c r="C6237" t="s">
        <v>353</v>
      </c>
      <c r="D6237" t="s">
        <v>10436</v>
      </c>
      <c r="E6237" t="s">
        <v>10437</v>
      </c>
      <c r="F6237" s="46">
        <v>46097.325953634259</v>
      </c>
      <c r="G6237" s="46">
        <v>46097.325953634259</v>
      </c>
      <c r="H6237">
        <v>0</v>
      </c>
    </row>
    <row r="6238" spans="1:8" x14ac:dyDescent="0.15">
      <c r="A6238">
        <v>6237</v>
      </c>
      <c r="B6238" t="s">
        <v>339</v>
      </c>
      <c r="C6238" t="s">
        <v>353</v>
      </c>
      <c r="D6238" t="s">
        <v>10438</v>
      </c>
      <c r="E6238" t="s">
        <v>10439</v>
      </c>
      <c r="F6238" s="46">
        <v>46097.325953634259</v>
      </c>
      <c r="G6238" s="46">
        <v>46097.325953634259</v>
      </c>
      <c r="H6238">
        <v>0</v>
      </c>
    </row>
    <row r="6239" spans="1:8" x14ac:dyDescent="0.15">
      <c r="A6239">
        <v>6238</v>
      </c>
      <c r="B6239" t="s">
        <v>339</v>
      </c>
      <c r="C6239" t="s">
        <v>353</v>
      </c>
      <c r="D6239" t="s">
        <v>10440</v>
      </c>
      <c r="E6239" t="s">
        <v>10441</v>
      </c>
      <c r="F6239" s="46">
        <v>46097.325953634259</v>
      </c>
      <c r="G6239" s="46">
        <v>46097.325953634259</v>
      </c>
      <c r="H6239">
        <v>0</v>
      </c>
    </row>
    <row r="6240" spans="1:8" x14ac:dyDescent="0.15">
      <c r="A6240">
        <v>6239</v>
      </c>
      <c r="B6240" t="s">
        <v>339</v>
      </c>
      <c r="C6240" t="s">
        <v>353</v>
      </c>
      <c r="D6240" t="s">
        <v>10442</v>
      </c>
      <c r="E6240" t="s">
        <v>10443</v>
      </c>
      <c r="F6240" s="46">
        <v>46097.325953634259</v>
      </c>
      <c r="G6240" s="46">
        <v>46097.325953634259</v>
      </c>
      <c r="H6240">
        <v>0</v>
      </c>
    </row>
    <row r="6241" spans="1:8" x14ac:dyDescent="0.15">
      <c r="A6241">
        <v>6240</v>
      </c>
      <c r="B6241" t="s">
        <v>339</v>
      </c>
      <c r="C6241" t="s">
        <v>353</v>
      </c>
      <c r="D6241" t="s">
        <v>10444</v>
      </c>
      <c r="E6241" t="s">
        <v>10445</v>
      </c>
      <c r="F6241" s="46">
        <v>46097.325953634259</v>
      </c>
      <c r="G6241" s="46">
        <v>46097.325953634259</v>
      </c>
      <c r="H6241">
        <v>0</v>
      </c>
    </row>
    <row r="6242" spans="1:8" x14ac:dyDescent="0.15">
      <c r="A6242">
        <v>6241</v>
      </c>
      <c r="B6242" t="s">
        <v>339</v>
      </c>
      <c r="C6242" t="s">
        <v>353</v>
      </c>
      <c r="D6242" t="s">
        <v>10446</v>
      </c>
      <c r="E6242" t="s">
        <v>10445</v>
      </c>
      <c r="F6242" s="46">
        <v>46097.325953634259</v>
      </c>
      <c r="G6242" s="46">
        <v>46097.325953819447</v>
      </c>
      <c r="H6242">
        <v>15</v>
      </c>
    </row>
    <row r="6243" spans="1:8" x14ac:dyDescent="0.15">
      <c r="A6243">
        <v>6242</v>
      </c>
      <c r="B6243" t="s">
        <v>339</v>
      </c>
      <c r="C6243" t="s">
        <v>353</v>
      </c>
      <c r="D6243" t="s">
        <v>10447</v>
      </c>
      <c r="E6243" t="s">
        <v>10448</v>
      </c>
      <c r="F6243" s="46">
        <v>46097.325953819447</v>
      </c>
      <c r="G6243" s="46">
        <v>46097.325953819447</v>
      </c>
      <c r="H6243">
        <v>0</v>
      </c>
    </row>
    <row r="6244" spans="1:8" x14ac:dyDescent="0.15">
      <c r="A6244">
        <v>6243</v>
      </c>
      <c r="B6244" t="s">
        <v>339</v>
      </c>
      <c r="C6244" t="s">
        <v>353</v>
      </c>
      <c r="D6244" t="s">
        <v>10449</v>
      </c>
      <c r="E6244" t="s">
        <v>10448</v>
      </c>
      <c r="F6244" s="46">
        <v>46097.325953819447</v>
      </c>
      <c r="G6244" s="46">
        <v>46097.325953819447</v>
      </c>
      <c r="H6244">
        <v>0</v>
      </c>
    </row>
    <row r="6245" spans="1:8" x14ac:dyDescent="0.15">
      <c r="A6245">
        <v>6244</v>
      </c>
      <c r="B6245" t="s">
        <v>339</v>
      </c>
      <c r="C6245" t="s">
        <v>353</v>
      </c>
      <c r="D6245" t="s">
        <v>10450</v>
      </c>
      <c r="E6245" t="s">
        <v>10451</v>
      </c>
      <c r="F6245" s="46">
        <v>46097.325953819447</v>
      </c>
      <c r="G6245" s="46">
        <v>46097.325953819447</v>
      </c>
      <c r="H6245">
        <v>0</v>
      </c>
    </row>
    <row r="6246" spans="1:8" x14ac:dyDescent="0.15">
      <c r="A6246">
        <v>6245</v>
      </c>
      <c r="B6246" t="s">
        <v>339</v>
      </c>
      <c r="C6246" t="s">
        <v>353</v>
      </c>
      <c r="D6246" t="s">
        <v>10452</v>
      </c>
      <c r="E6246" t="s">
        <v>10451</v>
      </c>
      <c r="F6246" s="46">
        <v>46097.325953819447</v>
      </c>
      <c r="G6246" s="46">
        <v>46097.325953819447</v>
      </c>
      <c r="H6246">
        <v>0</v>
      </c>
    </row>
    <row r="6247" spans="1:8" x14ac:dyDescent="0.15">
      <c r="A6247">
        <v>6246</v>
      </c>
      <c r="B6247" t="s">
        <v>339</v>
      </c>
      <c r="C6247" t="s">
        <v>353</v>
      </c>
      <c r="D6247" t="s">
        <v>10453</v>
      </c>
      <c r="E6247" t="s">
        <v>10451</v>
      </c>
      <c r="F6247" s="46">
        <v>46097.325953819447</v>
      </c>
      <c r="G6247" s="46">
        <v>46097.325953819447</v>
      </c>
      <c r="H6247">
        <v>0</v>
      </c>
    </row>
    <row r="6248" spans="1:8" x14ac:dyDescent="0.15">
      <c r="A6248">
        <v>6247</v>
      </c>
      <c r="B6248" t="s">
        <v>339</v>
      </c>
      <c r="C6248" t="s">
        <v>353</v>
      </c>
      <c r="D6248" t="s">
        <v>10454</v>
      </c>
      <c r="E6248" t="s">
        <v>10455</v>
      </c>
      <c r="F6248" s="46">
        <v>46097.325953819447</v>
      </c>
      <c r="G6248" s="46">
        <v>46097.325953819447</v>
      </c>
      <c r="H6248">
        <v>0</v>
      </c>
    </row>
    <row r="6249" spans="1:8" x14ac:dyDescent="0.15">
      <c r="A6249">
        <v>6248</v>
      </c>
      <c r="B6249" t="s">
        <v>339</v>
      </c>
      <c r="C6249" t="s">
        <v>353</v>
      </c>
      <c r="D6249" t="s">
        <v>10456</v>
      </c>
      <c r="E6249" t="s">
        <v>10455</v>
      </c>
      <c r="F6249" s="46">
        <v>46097.325953819447</v>
      </c>
      <c r="G6249" s="46">
        <v>46097.325953819447</v>
      </c>
      <c r="H6249">
        <v>0</v>
      </c>
    </row>
    <row r="6250" spans="1:8" x14ac:dyDescent="0.15">
      <c r="A6250">
        <v>6249</v>
      </c>
      <c r="B6250" t="s">
        <v>339</v>
      </c>
      <c r="C6250" t="s">
        <v>353</v>
      </c>
      <c r="D6250" t="s">
        <v>10457</v>
      </c>
      <c r="E6250" t="s">
        <v>10458</v>
      </c>
      <c r="F6250" s="46">
        <v>46097.325953819447</v>
      </c>
      <c r="G6250" s="46">
        <v>46097.325953819447</v>
      </c>
      <c r="H6250">
        <v>0</v>
      </c>
    </row>
    <row r="6251" spans="1:8" x14ac:dyDescent="0.15">
      <c r="A6251">
        <v>6250</v>
      </c>
      <c r="B6251" t="s">
        <v>339</v>
      </c>
      <c r="C6251" t="s">
        <v>353</v>
      </c>
      <c r="D6251" t="s">
        <v>10459</v>
      </c>
      <c r="E6251" t="s">
        <v>10458</v>
      </c>
      <c r="F6251" s="46">
        <v>46097.325953819447</v>
      </c>
      <c r="G6251" s="46">
        <v>46097.325953819447</v>
      </c>
      <c r="H6251">
        <v>0</v>
      </c>
    </row>
    <row r="6252" spans="1:8" x14ac:dyDescent="0.15">
      <c r="A6252">
        <v>6251</v>
      </c>
      <c r="B6252" t="s">
        <v>339</v>
      </c>
      <c r="C6252" t="s">
        <v>353</v>
      </c>
      <c r="D6252" t="s">
        <v>10460</v>
      </c>
      <c r="E6252" t="s">
        <v>10461</v>
      </c>
      <c r="F6252" s="46">
        <v>46097.325953819447</v>
      </c>
      <c r="G6252" s="46">
        <v>46097.325953993059</v>
      </c>
      <c r="H6252">
        <v>16</v>
      </c>
    </row>
    <row r="6253" spans="1:8" x14ac:dyDescent="0.15">
      <c r="A6253">
        <v>6252</v>
      </c>
      <c r="B6253" t="s">
        <v>339</v>
      </c>
      <c r="C6253" t="s">
        <v>353</v>
      </c>
      <c r="D6253" t="s">
        <v>10462</v>
      </c>
      <c r="E6253" t="s">
        <v>10463</v>
      </c>
      <c r="F6253" s="46">
        <v>46097.325953993059</v>
      </c>
      <c r="G6253" s="46">
        <v>46097.325953993059</v>
      </c>
      <c r="H6253">
        <v>0</v>
      </c>
    </row>
    <row r="6254" spans="1:8" x14ac:dyDescent="0.15">
      <c r="A6254">
        <v>6253</v>
      </c>
      <c r="B6254" t="s">
        <v>339</v>
      </c>
      <c r="C6254" t="s">
        <v>353</v>
      </c>
      <c r="D6254" t="s">
        <v>10464</v>
      </c>
      <c r="E6254" t="s">
        <v>10465</v>
      </c>
      <c r="F6254" s="46">
        <v>46097.325953993059</v>
      </c>
      <c r="G6254" s="46">
        <v>46097.325953993059</v>
      </c>
      <c r="H6254">
        <v>0</v>
      </c>
    </row>
    <row r="6255" spans="1:8" x14ac:dyDescent="0.15">
      <c r="A6255">
        <v>6254</v>
      </c>
      <c r="B6255" t="s">
        <v>339</v>
      </c>
      <c r="C6255" t="s">
        <v>353</v>
      </c>
      <c r="D6255" t="s">
        <v>10466</v>
      </c>
      <c r="E6255" t="s">
        <v>10465</v>
      </c>
      <c r="F6255" s="46">
        <v>46097.325953993059</v>
      </c>
      <c r="G6255" s="46">
        <v>46097.325953993059</v>
      </c>
      <c r="H6255">
        <v>0</v>
      </c>
    </row>
    <row r="6256" spans="1:8" x14ac:dyDescent="0.15">
      <c r="A6256">
        <v>6255</v>
      </c>
      <c r="B6256" t="s">
        <v>339</v>
      </c>
      <c r="C6256" t="s">
        <v>353</v>
      </c>
      <c r="D6256" t="s">
        <v>10467</v>
      </c>
      <c r="E6256" t="s">
        <v>10465</v>
      </c>
      <c r="F6256" s="46">
        <v>46097.325953993059</v>
      </c>
      <c r="G6256" s="46">
        <v>46097.325953993059</v>
      </c>
      <c r="H6256">
        <v>0</v>
      </c>
    </row>
    <row r="6257" spans="1:8" x14ac:dyDescent="0.15">
      <c r="A6257">
        <v>6256</v>
      </c>
      <c r="B6257" t="s">
        <v>339</v>
      </c>
      <c r="C6257" t="s">
        <v>353</v>
      </c>
      <c r="D6257" t="s">
        <v>10468</v>
      </c>
      <c r="E6257" t="s">
        <v>10465</v>
      </c>
      <c r="F6257" s="46">
        <v>46097.325953993059</v>
      </c>
      <c r="G6257" s="46">
        <v>46097.325953993059</v>
      </c>
      <c r="H6257">
        <v>0</v>
      </c>
    </row>
    <row r="6258" spans="1:8" x14ac:dyDescent="0.15">
      <c r="A6258">
        <v>6257</v>
      </c>
      <c r="B6258" t="s">
        <v>339</v>
      </c>
      <c r="C6258" t="s">
        <v>353</v>
      </c>
      <c r="D6258" t="s">
        <v>10469</v>
      </c>
      <c r="E6258" t="s">
        <v>10465</v>
      </c>
      <c r="F6258" s="46">
        <v>46097.325953993059</v>
      </c>
      <c r="G6258" s="46">
        <v>46097.325953993059</v>
      </c>
      <c r="H6258">
        <v>0</v>
      </c>
    </row>
    <row r="6259" spans="1:8" x14ac:dyDescent="0.15">
      <c r="A6259">
        <v>6258</v>
      </c>
      <c r="B6259" t="s">
        <v>339</v>
      </c>
      <c r="C6259" t="s">
        <v>353</v>
      </c>
      <c r="D6259" t="s">
        <v>10470</v>
      </c>
      <c r="E6259" t="s">
        <v>10465</v>
      </c>
      <c r="F6259" s="46">
        <v>46097.325953993059</v>
      </c>
      <c r="G6259" s="46">
        <v>46097.325953993059</v>
      </c>
      <c r="H6259">
        <v>0</v>
      </c>
    </row>
    <row r="6260" spans="1:8" x14ac:dyDescent="0.15">
      <c r="A6260">
        <v>6259</v>
      </c>
      <c r="B6260" t="s">
        <v>339</v>
      </c>
      <c r="C6260" t="s">
        <v>353</v>
      </c>
      <c r="D6260" t="s">
        <v>10471</v>
      </c>
      <c r="E6260" t="s">
        <v>10465</v>
      </c>
      <c r="F6260" s="46">
        <v>46097.325953993059</v>
      </c>
      <c r="G6260" s="46">
        <v>46097.325953993059</v>
      </c>
      <c r="H6260">
        <v>0</v>
      </c>
    </row>
    <row r="6261" spans="1:8" x14ac:dyDescent="0.15">
      <c r="A6261">
        <v>6260</v>
      </c>
      <c r="B6261" t="s">
        <v>339</v>
      </c>
      <c r="C6261" t="s">
        <v>353</v>
      </c>
      <c r="D6261" t="s">
        <v>10472</v>
      </c>
      <c r="E6261" t="s">
        <v>10465</v>
      </c>
      <c r="F6261" s="46">
        <v>46097.325953993059</v>
      </c>
      <c r="G6261" s="46">
        <v>46097.325953993059</v>
      </c>
      <c r="H6261">
        <v>0</v>
      </c>
    </row>
    <row r="6262" spans="1:8" x14ac:dyDescent="0.15">
      <c r="A6262">
        <v>6261</v>
      </c>
      <c r="B6262" t="s">
        <v>339</v>
      </c>
      <c r="C6262" t="s">
        <v>353</v>
      </c>
      <c r="D6262" t="s">
        <v>10473</v>
      </c>
      <c r="E6262" t="s">
        <v>10465</v>
      </c>
      <c r="F6262" s="46">
        <v>46097.325953993059</v>
      </c>
      <c r="G6262" s="46">
        <v>46097.325954178239</v>
      </c>
      <c r="H6262">
        <v>16</v>
      </c>
    </row>
    <row r="6263" spans="1:8" x14ac:dyDescent="0.15">
      <c r="A6263">
        <v>6262</v>
      </c>
      <c r="B6263" t="s">
        <v>339</v>
      </c>
      <c r="C6263" t="s">
        <v>353</v>
      </c>
      <c r="D6263" t="s">
        <v>10474</v>
      </c>
      <c r="E6263" t="s">
        <v>10475</v>
      </c>
      <c r="F6263" s="46">
        <v>46097.325954178239</v>
      </c>
      <c r="G6263" s="46">
        <v>46097.325954178239</v>
      </c>
      <c r="H6263">
        <v>0</v>
      </c>
    </row>
    <row r="6264" spans="1:8" x14ac:dyDescent="0.15">
      <c r="A6264">
        <v>6263</v>
      </c>
      <c r="B6264" t="s">
        <v>339</v>
      </c>
      <c r="C6264" t="s">
        <v>353</v>
      </c>
      <c r="D6264" t="s">
        <v>10476</v>
      </c>
      <c r="E6264" t="s">
        <v>10475</v>
      </c>
      <c r="F6264" s="46">
        <v>46097.325954178239</v>
      </c>
      <c r="G6264" s="46">
        <v>46097.325954178239</v>
      </c>
      <c r="H6264">
        <v>0</v>
      </c>
    </row>
    <row r="6265" spans="1:8" x14ac:dyDescent="0.15">
      <c r="A6265">
        <v>6264</v>
      </c>
      <c r="B6265" t="s">
        <v>339</v>
      </c>
      <c r="C6265" t="s">
        <v>353</v>
      </c>
      <c r="D6265" t="s">
        <v>10477</v>
      </c>
      <c r="E6265" t="s">
        <v>10475</v>
      </c>
      <c r="F6265" s="46">
        <v>46097.325954178239</v>
      </c>
      <c r="G6265" s="46">
        <v>46097.325954178239</v>
      </c>
      <c r="H6265">
        <v>0</v>
      </c>
    </row>
    <row r="6266" spans="1:8" x14ac:dyDescent="0.15">
      <c r="A6266">
        <v>6265</v>
      </c>
      <c r="B6266" t="s">
        <v>339</v>
      </c>
      <c r="C6266" t="s">
        <v>353</v>
      </c>
      <c r="D6266" t="s">
        <v>10478</v>
      </c>
      <c r="E6266" t="s">
        <v>10475</v>
      </c>
      <c r="F6266" s="46">
        <v>46097.325954178239</v>
      </c>
      <c r="G6266" s="46">
        <v>46097.325954178239</v>
      </c>
      <c r="H6266">
        <v>0</v>
      </c>
    </row>
    <row r="6267" spans="1:8" x14ac:dyDescent="0.15">
      <c r="A6267">
        <v>6266</v>
      </c>
      <c r="B6267" t="s">
        <v>339</v>
      </c>
      <c r="C6267" t="s">
        <v>353</v>
      </c>
      <c r="D6267" t="s">
        <v>10479</v>
      </c>
      <c r="E6267" t="s">
        <v>10475</v>
      </c>
      <c r="F6267" s="46">
        <v>46097.325954178239</v>
      </c>
      <c r="G6267" s="46">
        <v>46097.325954178239</v>
      </c>
      <c r="H6267">
        <v>0</v>
      </c>
    </row>
    <row r="6268" spans="1:8" x14ac:dyDescent="0.15">
      <c r="A6268">
        <v>6267</v>
      </c>
      <c r="B6268" t="s">
        <v>339</v>
      </c>
      <c r="C6268" t="s">
        <v>353</v>
      </c>
      <c r="D6268" t="s">
        <v>10480</v>
      </c>
      <c r="E6268" t="s">
        <v>10475</v>
      </c>
      <c r="F6268" s="46">
        <v>46097.325954178239</v>
      </c>
      <c r="G6268" s="46">
        <v>46097.325954178239</v>
      </c>
      <c r="H6268">
        <v>0</v>
      </c>
    </row>
    <row r="6269" spans="1:8" x14ac:dyDescent="0.15">
      <c r="A6269">
        <v>6268</v>
      </c>
      <c r="B6269" t="s">
        <v>339</v>
      </c>
      <c r="C6269" t="s">
        <v>353</v>
      </c>
      <c r="D6269" t="s">
        <v>10481</v>
      </c>
      <c r="E6269" t="s">
        <v>10475</v>
      </c>
      <c r="F6269" s="46">
        <v>46097.325954178239</v>
      </c>
      <c r="G6269" s="46">
        <v>46097.325954178239</v>
      </c>
      <c r="H6269">
        <v>0</v>
      </c>
    </row>
    <row r="6270" spans="1:8" x14ac:dyDescent="0.15">
      <c r="A6270">
        <v>6269</v>
      </c>
      <c r="B6270" t="s">
        <v>339</v>
      </c>
      <c r="C6270" t="s">
        <v>353</v>
      </c>
      <c r="D6270" t="s">
        <v>10482</v>
      </c>
      <c r="E6270" t="s">
        <v>10483</v>
      </c>
      <c r="F6270" s="46">
        <v>46097.325954178239</v>
      </c>
      <c r="G6270" s="46">
        <v>46097.325954178239</v>
      </c>
      <c r="H6270">
        <v>0</v>
      </c>
    </row>
    <row r="6271" spans="1:8" x14ac:dyDescent="0.15">
      <c r="A6271">
        <v>6270</v>
      </c>
      <c r="B6271" t="s">
        <v>339</v>
      </c>
      <c r="C6271" t="s">
        <v>353</v>
      </c>
      <c r="D6271" t="s">
        <v>10484</v>
      </c>
      <c r="E6271" t="s">
        <v>10485</v>
      </c>
      <c r="F6271" s="46">
        <v>46097.325954178239</v>
      </c>
      <c r="G6271" s="46">
        <v>46097.325954178239</v>
      </c>
      <c r="H6271">
        <v>0</v>
      </c>
    </row>
    <row r="6272" spans="1:8" x14ac:dyDescent="0.15">
      <c r="A6272">
        <v>6271</v>
      </c>
      <c r="B6272" t="s">
        <v>339</v>
      </c>
      <c r="C6272" t="s">
        <v>353</v>
      </c>
      <c r="D6272" t="s">
        <v>10486</v>
      </c>
      <c r="E6272" t="s">
        <v>10487</v>
      </c>
      <c r="F6272" s="46">
        <v>46097.325954178239</v>
      </c>
      <c r="G6272" s="46">
        <v>46097.325954363427</v>
      </c>
      <c r="H6272">
        <v>15</v>
      </c>
    </row>
    <row r="6273" spans="1:8" x14ac:dyDescent="0.15">
      <c r="A6273">
        <v>6272</v>
      </c>
      <c r="B6273" t="s">
        <v>339</v>
      </c>
      <c r="C6273" t="s">
        <v>353</v>
      </c>
      <c r="D6273" t="s">
        <v>10488</v>
      </c>
      <c r="E6273" t="s">
        <v>10487</v>
      </c>
      <c r="F6273" s="46">
        <v>46097.325954363427</v>
      </c>
      <c r="G6273" s="46">
        <v>46097.325954363427</v>
      </c>
      <c r="H6273">
        <v>0</v>
      </c>
    </row>
    <row r="6274" spans="1:8" x14ac:dyDescent="0.15">
      <c r="A6274">
        <v>6273</v>
      </c>
      <c r="B6274" t="s">
        <v>339</v>
      </c>
      <c r="C6274" t="s">
        <v>353</v>
      </c>
      <c r="D6274" t="s">
        <v>10489</v>
      </c>
      <c r="E6274" t="s">
        <v>10487</v>
      </c>
      <c r="F6274" s="46">
        <v>46097.325954363427</v>
      </c>
      <c r="G6274" s="46">
        <v>46097.325954363427</v>
      </c>
      <c r="H6274">
        <v>0</v>
      </c>
    </row>
    <row r="6275" spans="1:8" x14ac:dyDescent="0.15">
      <c r="A6275">
        <v>6274</v>
      </c>
      <c r="B6275" t="s">
        <v>339</v>
      </c>
      <c r="C6275" t="s">
        <v>353</v>
      </c>
      <c r="D6275" t="s">
        <v>10490</v>
      </c>
      <c r="E6275" t="s">
        <v>10487</v>
      </c>
      <c r="F6275" s="46">
        <v>46097.325954363427</v>
      </c>
      <c r="G6275" s="46">
        <v>46097.325954363427</v>
      </c>
      <c r="H6275">
        <v>0</v>
      </c>
    </row>
    <row r="6276" spans="1:8" x14ac:dyDescent="0.15">
      <c r="A6276">
        <v>6275</v>
      </c>
      <c r="B6276" t="s">
        <v>339</v>
      </c>
      <c r="C6276" t="s">
        <v>353</v>
      </c>
      <c r="D6276" t="s">
        <v>10491</v>
      </c>
      <c r="E6276" t="s">
        <v>10487</v>
      </c>
      <c r="F6276" s="46">
        <v>46097.325954363427</v>
      </c>
      <c r="G6276" s="46">
        <v>46097.325954363427</v>
      </c>
      <c r="H6276">
        <v>0</v>
      </c>
    </row>
    <row r="6277" spans="1:8" x14ac:dyDescent="0.15">
      <c r="A6277">
        <v>6276</v>
      </c>
      <c r="B6277" t="s">
        <v>339</v>
      </c>
      <c r="C6277" t="s">
        <v>353</v>
      </c>
      <c r="D6277" t="s">
        <v>10492</v>
      </c>
      <c r="E6277" t="s">
        <v>10493</v>
      </c>
      <c r="F6277" s="46">
        <v>46097.325954363427</v>
      </c>
      <c r="G6277" s="46">
        <v>46097.325954363427</v>
      </c>
      <c r="H6277">
        <v>0</v>
      </c>
    </row>
    <row r="6278" spans="1:8" x14ac:dyDescent="0.15">
      <c r="A6278">
        <v>6277</v>
      </c>
      <c r="B6278" t="s">
        <v>339</v>
      </c>
      <c r="C6278" t="s">
        <v>353</v>
      </c>
      <c r="D6278" t="s">
        <v>10494</v>
      </c>
      <c r="E6278" t="s">
        <v>10495</v>
      </c>
      <c r="F6278" s="46">
        <v>46097.325954363427</v>
      </c>
      <c r="G6278" s="46">
        <v>46097.325954363427</v>
      </c>
      <c r="H6278">
        <v>0</v>
      </c>
    </row>
    <row r="6279" spans="1:8" x14ac:dyDescent="0.15">
      <c r="A6279">
        <v>6278</v>
      </c>
      <c r="B6279" t="s">
        <v>339</v>
      </c>
      <c r="C6279" t="s">
        <v>353</v>
      </c>
      <c r="D6279" t="s">
        <v>10496</v>
      </c>
      <c r="E6279" t="s">
        <v>10497</v>
      </c>
      <c r="F6279" s="46">
        <v>46097.325954363427</v>
      </c>
      <c r="G6279" s="46">
        <v>46097.325954363427</v>
      </c>
      <c r="H6279">
        <v>0</v>
      </c>
    </row>
    <row r="6280" spans="1:8" x14ac:dyDescent="0.15">
      <c r="A6280">
        <v>6279</v>
      </c>
      <c r="B6280" t="s">
        <v>339</v>
      </c>
      <c r="C6280" t="s">
        <v>353</v>
      </c>
      <c r="D6280" t="s">
        <v>10498</v>
      </c>
      <c r="E6280" t="s">
        <v>10499</v>
      </c>
      <c r="F6280" s="46">
        <v>46097.325954363427</v>
      </c>
      <c r="G6280" s="46">
        <v>46097.325954363427</v>
      </c>
      <c r="H6280">
        <v>0</v>
      </c>
    </row>
    <row r="6281" spans="1:8" x14ac:dyDescent="0.15">
      <c r="A6281">
        <v>6280</v>
      </c>
      <c r="B6281" t="s">
        <v>339</v>
      </c>
      <c r="C6281" t="s">
        <v>353</v>
      </c>
      <c r="D6281" t="s">
        <v>10500</v>
      </c>
      <c r="E6281" t="s">
        <v>10501</v>
      </c>
      <c r="F6281" s="46">
        <v>46097.325954363427</v>
      </c>
      <c r="G6281" s="46">
        <v>46097.325954363427</v>
      </c>
      <c r="H6281">
        <v>0</v>
      </c>
    </row>
    <row r="6282" spans="1:8" x14ac:dyDescent="0.15">
      <c r="A6282">
        <v>6281</v>
      </c>
      <c r="B6282" t="s">
        <v>339</v>
      </c>
      <c r="C6282" t="s">
        <v>353</v>
      </c>
      <c r="D6282" t="s">
        <v>10502</v>
      </c>
      <c r="E6282" t="s">
        <v>10503</v>
      </c>
      <c r="F6282" s="46">
        <v>46097.325954363427</v>
      </c>
      <c r="G6282" s="46">
        <v>46097.325954363427</v>
      </c>
      <c r="H6282">
        <v>0</v>
      </c>
    </row>
    <row r="6283" spans="1:8" x14ac:dyDescent="0.15">
      <c r="A6283">
        <v>6282</v>
      </c>
      <c r="B6283" t="s">
        <v>339</v>
      </c>
      <c r="C6283" t="s">
        <v>353</v>
      </c>
      <c r="D6283" t="s">
        <v>10504</v>
      </c>
      <c r="E6283" t="s">
        <v>10503</v>
      </c>
      <c r="F6283" s="46">
        <v>46097.325954363427</v>
      </c>
      <c r="G6283" s="46">
        <v>46097.325954537038</v>
      </c>
      <c r="H6283">
        <v>16</v>
      </c>
    </row>
    <row r="6284" spans="1:8" x14ac:dyDescent="0.15">
      <c r="A6284">
        <v>6283</v>
      </c>
      <c r="B6284" t="s">
        <v>339</v>
      </c>
      <c r="C6284" t="s">
        <v>353</v>
      </c>
      <c r="D6284" t="s">
        <v>10505</v>
      </c>
      <c r="E6284" t="s">
        <v>10506</v>
      </c>
      <c r="F6284" s="46">
        <v>46097.325954537038</v>
      </c>
      <c r="G6284" s="46">
        <v>46097.325954537038</v>
      </c>
      <c r="H6284">
        <v>0</v>
      </c>
    </row>
    <row r="6285" spans="1:8" x14ac:dyDescent="0.15">
      <c r="A6285">
        <v>6284</v>
      </c>
      <c r="B6285" t="s">
        <v>339</v>
      </c>
      <c r="C6285" t="s">
        <v>353</v>
      </c>
      <c r="D6285" t="s">
        <v>10507</v>
      </c>
      <c r="E6285" t="s">
        <v>10506</v>
      </c>
      <c r="F6285" s="46">
        <v>46097.325954537038</v>
      </c>
      <c r="G6285" s="46">
        <v>46097.325954537038</v>
      </c>
      <c r="H6285">
        <v>0</v>
      </c>
    </row>
    <row r="6286" spans="1:8" x14ac:dyDescent="0.15">
      <c r="A6286">
        <v>6285</v>
      </c>
      <c r="B6286" t="s">
        <v>339</v>
      </c>
      <c r="C6286" t="s">
        <v>353</v>
      </c>
      <c r="D6286" t="s">
        <v>10508</v>
      </c>
      <c r="E6286" t="s">
        <v>10506</v>
      </c>
      <c r="F6286" s="46">
        <v>46097.325954537038</v>
      </c>
      <c r="G6286" s="46">
        <v>46097.325954537038</v>
      </c>
      <c r="H6286">
        <v>0</v>
      </c>
    </row>
    <row r="6287" spans="1:8" x14ac:dyDescent="0.15">
      <c r="A6287">
        <v>6286</v>
      </c>
      <c r="B6287" t="s">
        <v>339</v>
      </c>
      <c r="C6287" t="s">
        <v>353</v>
      </c>
      <c r="D6287" t="s">
        <v>10509</v>
      </c>
      <c r="E6287" t="s">
        <v>10510</v>
      </c>
      <c r="F6287" s="46">
        <v>46097.325954537038</v>
      </c>
      <c r="G6287" s="46">
        <v>46097.325954537038</v>
      </c>
      <c r="H6287">
        <v>0</v>
      </c>
    </row>
    <row r="6288" spans="1:8" x14ac:dyDescent="0.15">
      <c r="A6288">
        <v>6287</v>
      </c>
      <c r="B6288" t="s">
        <v>339</v>
      </c>
      <c r="C6288" t="s">
        <v>353</v>
      </c>
      <c r="D6288" t="s">
        <v>10511</v>
      </c>
      <c r="E6288" t="s">
        <v>10510</v>
      </c>
      <c r="F6288" s="46">
        <v>46097.325954537038</v>
      </c>
      <c r="G6288" s="46">
        <v>46097.325954537038</v>
      </c>
      <c r="H6288">
        <v>0</v>
      </c>
    </row>
    <row r="6289" spans="1:8" x14ac:dyDescent="0.15">
      <c r="A6289">
        <v>6288</v>
      </c>
      <c r="B6289" t="s">
        <v>339</v>
      </c>
      <c r="C6289" t="s">
        <v>353</v>
      </c>
      <c r="D6289" t="s">
        <v>10512</v>
      </c>
      <c r="E6289" t="s">
        <v>10510</v>
      </c>
      <c r="F6289" s="46">
        <v>46097.325954537038</v>
      </c>
      <c r="G6289" s="46">
        <v>46097.325954537038</v>
      </c>
      <c r="H6289">
        <v>0</v>
      </c>
    </row>
    <row r="6290" spans="1:8" x14ac:dyDescent="0.15">
      <c r="A6290">
        <v>6289</v>
      </c>
      <c r="B6290" t="s">
        <v>339</v>
      </c>
      <c r="C6290" t="s">
        <v>353</v>
      </c>
      <c r="D6290" t="s">
        <v>10513</v>
      </c>
      <c r="E6290" t="s">
        <v>10510</v>
      </c>
      <c r="F6290" s="46">
        <v>46097.325954537038</v>
      </c>
      <c r="G6290" s="46">
        <v>46097.325954537038</v>
      </c>
      <c r="H6290">
        <v>0</v>
      </c>
    </row>
    <row r="6291" spans="1:8" x14ac:dyDescent="0.15">
      <c r="A6291">
        <v>6290</v>
      </c>
      <c r="B6291" t="s">
        <v>339</v>
      </c>
      <c r="C6291" t="s">
        <v>353</v>
      </c>
      <c r="D6291" t="s">
        <v>10514</v>
      </c>
      <c r="E6291" t="s">
        <v>10515</v>
      </c>
      <c r="F6291" s="46">
        <v>46097.325954537038</v>
      </c>
      <c r="G6291" s="46">
        <v>46097.325954537038</v>
      </c>
      <c r="H6291">
        <v>0</v>
      </c>
    </row>
    <row r="6292" spans="1:8" x14ac:dyDescent="0.15">
      <c r="A6292">
        <v>6291</v>
      </c>
      <c r="B6292" t="s">
        <v>339</v>
      </c>
      <c r="C6292" t="s">
        <v>353</v>
      </c>
      <c r="D6292" t="s">
        <v>10516</v>
      </c>
      <c r="E6292" t="s">
        <v>10517</v>
      </c>
      <c r="F6292" s="46">
        <v>46097.325954537038</v>
      </c>
      <c r="G6292" s="46">
        <v>46097.325954537038</v>
      </c>
      <c r="H6292">
        <v>0</v>
      </c>
    </row>
    <row r="6293" spans="1:8" x14ac:dyDescent="0.15">
      <c r="A6293">
        <v>6292</v>
      </c>
      <c r="B6293" t="s">
        <v>339</v>
      </c>
      <c r="C6293" t="s">
        <v>353</v>
      </c>
      <c r="D6293" t="s">
        <v>10518</v>
      </c>
      <c r="E6293" t="s">
        <v>10517</v>
      </c>
      <c r="F6293" s="46">
        <v>46097.325954537038</v>
      </c>
      <c r="G6293" s="46">
        <v>46097.325954722219</v>
      </c>
      <c r="H6293">
        <v>15</v>
      </c>
    </row>
    <row r="6294" spans="1:8" x14ac:dyDescent="0.15">
      <c r="A6294">
        <v>6293</v>
      </c>
      <c r="B6294" t="s">
        <v>339</v>
      </c>
      <c r="C6294" t="s">
        <v>353</v>
      </c>
      <c r="D6294" t="s">
        <v>10519</v>
      </c>
      <c r="E6294" t="s">
        <v>10520</v>
      </c>
      <c r="F6294" s="46">
        <v>46097.325954722219</v>
      </c>
      <c r="G6294" s="46">
        <v>46097.325954722219</v>
      </c>
      <c r="H6294">
        <v>0</v>
      </c>
    </row>
    <row r="6295" spans="1:8" x14ac:dyDescent="0.15">
      <c r="A6295">
        <v>6294</v>
      </c>
      <c r="B6295" t="s">
        <v>339</v>
      </c>
      <c r="C6295" t="s">
        <v>353</v>
      </c>
      <c r="D6295" t="s">
        <v>10521</v>
      </c>
      <c r="E6295" t="s">
        <v>10520</v>
      </c>
      <c r="F6295" s="46">
        <v>46097.325954722219</v>
      </c>
      <c r="G6295" s="46">
        <v>46097.325954722219</v>
      </c>
      <c r="H6295">
        <v>0</v>
      </c>
    </row>
    <row r="6296" spans="1:8" x14ac:dyDescent="0.15">
      <c r="A6296">
        <v>6295</v>
      </c>
      <c r="B6296" t="s">
        <v>339</v>
      </c>
      <c r="C6296" t="s">
        <v>353</v>
      </c>
      <c r="D6296" t="s">
        <v>10522</v>
      </c>
      <c r="E6296" t="s">
        <v>10520</v>
      </c>
      <c r="F6296" s="46">
        <v>46097.325954722219</v>
      </c>
      <c r="G6296" s="46">
        <v>46097.325954722219</v>
      </c>
      <c r="H6296">
        <v>0</v>
      </c>
    </row>
    <row r="6297" spans="1:8" x14ac:dyDescent="0.15">
      <c r="A6297">
        <v>6296</v>
      </c>
      <c r="B6297" t="s">
        <v>339</v>
      </c>
      <c r="C6297" t="s">
        <v>353</v>
      </c>
      <c r="D6297" t="s">
        <v>10523</v>
      </c>
      <c r="E6297" t="s">
        <v>10520</v>
      </c>
      <c r="F6297" s="46">
        <v>46097.325954722219</v>
      </c>
      <c r="G6297" s="46">
        <v>46097.325954722219</v>
      </c>
      <c r="H6297">
        <v>0</v>
      </c>
    </row>
    <row r="6298" spans="1:8" x14ac:dyDescent="0.15">
      <c r="A6298">
        <v>6297</v>
      </c>
      <c r="B6298" t="s">
        <v>339</v>
      </c>
      <c r="C6298" t="s">
        <v>353</v>
      </c>
      <c r="D6298" t="s">
        <v>10524</v>
      </c>
      <c r="E6298" t="s">
        <v>10520</v>
      </c>
      <c r="F6298" s="46">
        <v>46097.325954722219</v>
      </c>
      <c r="G6298" s="46">
        <v>46097.325954722219</v>
      </c>
      <c r="H6298">
        <v>0</v>
      </c>
    </row>
    <row r="6299" spans="1:8" x14ac:dyDescent="0.15">
      <c r="A6299">
        <v>6298</v>
      </c>
      <c r="B6299" t="s">
        <v>339</v>
      </c>
      <c r="C6299" t="s">
        <v>353</v>
      </c>
      <c r="D6299" t="s">
        <v>10525</v>
      </c>
      <c r="E6299" t="s">
        <v>10520</v>
      </c>
      <c r="F6299" s="46">
        <v>46097.325954722219</v>
      </c>
      <c r="G6299" s="46">
        <v>46097.325954722219</v>
      </c>
      <c r="H6299">
        <v>0</v>
      </c>
    </row>
    <row r="6300" spans="1:8" x14ac:dyDescent="0.15">
      <c r="A6300">
        <v>6299</v>
      </c>
      <c r="B6300" t="s">
        <v>339</v>
      </c>
      <c r="C6300" t="s">
        <v>353</v>
      </c>
      <c r="D6300" t="s">
        <v>10526</v>
      </c>
      <c r="E6300" t="s">
        <v>10520</v>
      </c>
      <c r="F6300" s="46">
        <v>46097.325954722219</v>
      </c>
      <c r="G6300" s="46">
        <v>46097.325954722219</v>
      </c>
      <c r="H6300">
        <v>0</v>
      </c>
    </row>
    <row r="6301" spans="1:8" x14ac:dyDescent="0.15">
      <c r="A6301">
        <v>6300</v>
      </c>
      <c r="B6301" t="s">
        <v>339</v>
      </c>
      <c r="C6301" t="s">
        <v>353</v>
      </c>
      <c r="D6301" t="s">
        <v>10527</v>
      </c>
      <c r="E6301" t="s">
        <v>10528</v>
      </c>
      <c r="F6301" s="46">
        <v>46097.325954722219</v>
      </c>
      <c r="G6301" s="46">
        <v>46097.325954722219</v>
      </c>
      <c r="H6301">
        <v>0</v>
      </c>
    </row>
    <row r="6302" spans="1:8" x14ac:dyDescent="0.15">
      <c r="A6302">
        <v>6301</v>
      </c>
      <c r="B6302" t="s">
        <v>339</v>
      </c>
      <c r="C6302" t="s">
        <v>353</v>
      </c>
      <c r="D6302" t="s">
        <v>10529</v>
      </c>
      <c r="E6302" t="s">
        <v>10528</v>
      </c>
      <c r="F6302" s="46">
        <v>46097.325954722219</v>
      </c>
      <c r="G6302" s="46">
        <v>46097.325954722219</v>
      </c>
      <c r="H6302">
        <v>0</v>
      </c>
    </row>
    <row r="6303" spans="1:8" x14ac:dyDescent="0.15">
      <c r="A6303">
        <v>6302</v>
      </c>
      <c r="B6303" t="s">
        <v>339</v>
      </c>
      <c r="C6303" t="s">
        <v>353</v>
      </c>
      <c r="D6303" t="s">
        <v>10530</v>
      </c>
      <c r="E6303" t="s">
        <v>10528</v>
      </c>
      <c r="F6303" s="46">
        <v>46097.325954722219</v>
      </c>
      <c r="G6303" s="46">
        <v>46097.325954722219</v>
      </c>
      <c r="H6303">
        <v>0</v>
      </c>
    </row>
    <row r="6304" spans="1:8" x14ac:dyDescent="0.15">
      <c r="A6304">
        <v>6303</v>
      </c>
      <c r="B6304" t="s">
        <v>339</v>
      </c>
      <c r="C6304" t="s">
        <v>353</v>
      </c>
      <c r="D6304" t="s">
        <v>10531</v>
      </c>
      <c r="E6304" t="s">
        <v>10528</v>
      </c>
      <c r="F6304" s="46">
        <v>46097.325954722219</v>
      </c>
      <c r="G6304" s="46">
        <v>46097.325954907406</v>
      </c>
      <c r="H6304">
        <v>16</v>
      </c>
    </row>
    <row r="6305" spans="1:8" x14ac:dyDescent="0.15">
      <c r="A6305">
        <v>6304</v>
      </c>
      <c r="B6305" t="s">
        <v>339</v>
      </c>
      <c r="C6305" t="s">
        <v>353</v>
      </c>
      <c r="D6305" t="s">
        <v>10532</v>
      </c>
      <c r="E6305" t="s">
        <v>10528</v>
      </c>
      <c r="F6305" s="46">
        <v>46097.325954907406</v>
      </c>
      <c r="G6305" s="46">
        <v>46097.325954907406</v>
      </c>
      <c r="H6305">
        <v>0</v>
      </c>
    </row>
    <row r="6306" spans="1:8" x14ac:dyDescent="0.15">
      <c r="A6306">
        <v>6305</v>
      </c>
      <c r="B6306" t="s">
        <v>339</v>
      </c>
      <c r="C6306" t="s">
        <v>353</v>
      </c>
      <c r="D6306" t="s">
        <v>10533</v>
      </c>
      <c r="E6306" t="s">
        <v>10534</v>
      </c>
      <c r="F6306" s="46">
        <v>46097.325954907406</v>
      </c>
      <c r="G6306" s="46">
        <v>46097.325954907406</v>
      </c>
      <c r="H6306">
        <v>0</v>
      </c>
    </row>
    <row r="6307" spans="1:8" x14ac:dyDescent="0.15">
      <c r="A6307">
        <v>6306</v>
      </c>
      <c r="B6307" t="s">
        <v>339</v>
      </c>
      <c r="C6307" t="s">
        <v>353</v>
      </c>
      <c r="D6307" t="s">
        <v>10535</v>
      </c>
      <c r="E6307" t="s">
        <v>10534</v>
      </c>
      <c r="F6307" s="46">
        <v>46097.325954907406</v>
      </c>
      <c r="G6307" s="46">
        <v>46097.325954907406</v>
      </c>
      <c r="H6307">
        <v>0</v>
      </c>
    </row>
    <row r="6308" spans="1:8" x14ac:dyDescent="0.15">
      <c r="A6308">
        <v>6307</v>
      </c>
      <c r="B6308" t="s">
        <v>339</v>
      </c>
      <c r="C6308" t="s">
        <v>353</v>
      </c>
      <c r="D6308" t="s">
        <v>10536</v>
      </c>
      <c r="E6308" t="s">
        <v>10534</v>
      </c>
      <c r="F6308" s="46">
        <v>46097.325954907406</v>
      </c>
      <c r="G6308" s="46">
        <v>46097.325954907406</v>
      </c>
      <c r="H6308">
        <v>0</v>
      </c>
    </row>
    <row r="6309" spans="1:8" x14ac:dyDescent="0.15">
      <c r="A6309">
        <v>6308</v>
      </c>
      <c r="B6309" t="s">
        <v>339</v>
      </c>
      <c r="C6309" t="s">
        <v>353</v>
      </c>
      <c r="D6309" t="s">
        <v>10537</v>
      </c>
      <c r="E6309" t="s">
        <v>10538</v>
      </c>
      <c r="F6309" s="46">
        <v>46097.325954907406</v>
      </c>
      <c r="G6309" s="46">
        <v>46097.325954907406</v>
      </c>
      <c r="H6309">
        <v>0</v>
      </c>
    </row>
    <row r="6310" spans="1:8" x14ac:dyDescent="0.15">
      <c r="A6310">
        <v>6309</v>
      </c>
      <c r="B6310" t="s">
        <v>339</v>
      </c>
      <c r="C6310" t="s">
        <v>353</v>
      </c>
      <c r="D6310" t="s">
        <v>10539</v>
      </c>
      <c r="E6310" t="s">
        <v>10540</v>
      </c>
      <c r="F6310" s="46">
        <v>46097.325954907406</v>
      </c>
      <c r="G6310" s="46">
        <v>46097.325954907406</v>
      </c>
      <c r="H6310">
        <v>0</v>
      </c>
    </row>
    <row r="6311" spans="1:8" x14ac:dyDescent="0.15">
      <c r="A6311">
        <v>6310</v>
      </c>
      <c r="B6311" t="s">
        <v>339</v>
      </c>
      <c r="C6311" t="s">
        <v>353</v>
      </c>
      <c r="D6311" t="s">
        <v>10541</v>
      </c>
      <c r="E6311" t="s">
        <v>10542</v>
      </c>
      <c r="F6311" s="46">
        <v>46097.325954907406</v>
      </c>
      <c r="G6311" s="46">
        <v>46097.325954907406</v>
      </c>
      <c r="H6311">
        <v>0</v>
      </c>
    </row>
    <row r="6312" spans="1:8" x14ac:dyDescent="0.15">
      <c r="A6312">
        <v>6311</v>
      </c>
      <c r="B6312" t="s">
        <v>339</v>
      </c>
      <c r="C6312" t="s">
        <v>353</v>
      </c>
      <c r="D6312" t="s">
        <v>10543</v>
      </c>
      <c r="E6312" t="s">
        <v>10542</v>
      </c>
      <c r="F6312" s="46">
        <v>46097.325954907406</v>
      </c>
      <c r="G6312" s="46">
        <v>46097.325954907406</v>
      </c>
      <c r="H6312">
        <v>0</v>
      </c>
    </row>
    <row r="6313" spans="1:8" x14ac:dyDescent="0.15">
      <c r="A6313">
        <v>6312</v>
      </c>
      <c r="B6313" t="s">
        <v>339</v>
      </c>
      <c r="C6313" t="s">
        <v>353</v>
      </c>
      <c r="D6313" t="s">
        <v>10544</v>
      </c>
      <c r="E6313" t="s">
        <v>10545</v>
      </c>
      <c r="F6313" s="46">
        <v>46097.325954907406</v>
      </c>
      <c r="G6313" s="46">
        <v>46097.325954907406</v>
      </c>
      <c r="H6313">
        <v>0</v>
      </c>
    </row>
    <row r="6314" spans="1:8" x14ac:dyDescent="0.15">
      <c r="A6314">
        <v>6313</v>
      </c>
      <c r="B6314" t="s">
        <v>339</v>
      </c>
      <c r="C6314" t="s">
        <v>353</v>
      </c>
      <c r="D6314" t="s">
        <v>10546</v>
      </c>
      <c r="E6314" t="s">
        <v>10545</v>
      </c>
      <c r="F6314" s="46">
        <v>46097.325954907406</v>
      </c>
      <c r="G6314" s="46">
        <v>46097.325955081018</v>
      </c>
      <c r="H6314">
        <v>16</v>
      </c>
    </row>
    <row r="6315" spans="1:8" x14ac:dyDescent="0.15">
      <c r="A6315">
        <v>6314</v>
      </c>
      <c r="B6315" t="s">
        <v>339</v>
      </c>
      <c r="C6315" t="s">
        <v>353</v>
      </c>
      <c r="D6315" t="s">
        <v>10547</v>
      </c>
      <c r="E6315" t="s">
        <v>10545</v>
      </c>
      <c r="F6315" s="46">
        <v>46097.325955081018</v>
      </c>
      <c r="G6315" s="46">
        <v>46097.325955081018</v>
      </c>
      <c r="H6315">
        <v>0</v>
      </c>
    </row>
    <row r="6316" spans="1:8" x14ac:dyDescent="0.15">
      <c r="A6316">
        <v>6315</v>
      </c>
      <c r="B6316" t="s">
        <v>339</v>
      </c>
      <c r="C6316" t="s">
        <v>353</v>
      </c>
      <c r="D6316" t="s">
        <v>10548</v>
      </c>
      <c r="E6316" t="s">
        <v>10545</v>
      </c>
      <c r="F6316" s="46">
        <v>46097.325955081018</v>
      </c>
      <c r="G6316" s="46">
        <v>46097.325955081018</v>
      </c>
      <c r="H6316">
        <v>0</v>
      </c>
    </row>
    <row r="6317" spans="1:8" x14ac:dyDescent="0.15">
      <c r="A6317">
        <v>6316</v>
      </c>
      <c r="B6317" t="s">
        <v>339</v>
      </c>
      <c r="C6317" t="s">
        <v>353</v>
      </c>
      <c r="D6317" t="s">
        <v>10549</v>
      </c>
      <c r="E6317" t="s">
        <v>10545</v>
      </c>
      <c r="F6317" s="46">
        <v>46097.325955081018</v>
      </c>
      <c r="G6317" s="46">
        <v>46097.325955081018</v>
      </c>
      <c r="H6317">
        <v>0</v>
      </c>
    </row>
    <row r="6318" spans="1:8" x14ac:dyDescent="0.15">
      <c r="A6318">
        <v>6317</v>
      </c>
      <c r="B6318" t="s">
        <v>339</v>
      </c>
      <c r="C6318" t="s">
        <v>353</v>
      </c>
      <c r="D6318" t="s">
        <v>10550</v>
      </c>
      <c r="E6318" t="s">
        <v>10545</v>
      </c>
      <c r="F6318" s="46">
        <v>46097.325955081018</v>
      </c>
      <c r="G6318" s="46">
        <v>46097.325955081018</v>
      </c>
      <c r="H6318">
        <v>0</v>
      </c>
    </row>
    <row r="6319" spans="1:8" x14ac:dyDescent="0.15">
      <c r="A6319">
        <v>6318</v>
      </c>
      <c r="B6319" t="s">
        <v>339</v>
      </c>
      <c r="C6319" t="s">
        <v>353</v>
      </c>
      <c r="D6319" t="s">
        <v>10551</v>
      </c>
      <c r="E6319" t="s">
        <v>10552</v>
      </c>
      <c r="F6319" s="46">
        <v>46097.325955081018</v>
      </c>
      <c r="G6319" s="46">
        <v>46097.325955081018</v>
      </c>
      <c r="H6319">
        <v>0</v>
      </c>
    </row>
    <row r="6320" spans="1:8" x14ac:dyDescent="0.15">
      <c r="A6320">
        <v>6319</v>
      </c>
      <c r="B6320" t="s">
        <v>339</v>
      </c>
      <c r="C6320" t="s">
        <v>353</v>
      </c>
      <c r="D6320" t="s">
        <v>10553</v>
      </c>
      <c r="E6320" t="s">
        <v>10554</v>
      </c>
      <c r="F6320" s="46">
        <v>46097.325955081018</v>
      </c>
      <c r="G6320" s="46">
        <v>46097.325955081018</v>
      </c>
      <c r="H6320">
        <v>0</v>
      </c>
    </row>
    <row r="6321" spans="1:8" x14ac:dyDescent="0.15">
      <c r="A6321">
        <v>6320</v>
      </c>
      <c r="B6321" t="s">
        <v>339</v>
      </c>
      <c r="C6321" t="s">
        <v>353</v>
      </c>
      <c r="D6321" t="s">
        <v>10555</v>
      </c>
      <c r="E6321" t="s">
        <v>10556</v>
      </c>
      <c r="F6321" s="46">
        <v>46097.325955081018</v>
      </c>
      <c r="G6321" s="46">
        <v>46097.325955081018</v>
      </c>
      <c r="H6321">
        <v>0</v>
      </c>
    </row>
    <row r="6322" spans="1:8" x14ac:dyDescent="0.15">
      <c r="A6322">
        <v>6321</v>
      </c>
      <c r="B6322" t="s">
        <v>339</v>
      </c>
      <c r="C6322" t="s">
        <v>353</v>
      </c>
      <c r="D6322" t="s">
        <v>10557</v>
      </c>
      <c r="E6322" t="s">
        <v>10556</v>
      </c>
      <c r="F6322" s="46">
        <v>46097.325955081018</v>
      </c>
      <c r="G6322" s="46">
        <v>46097.325955081018</v>
      </c>
      <c r="H6322">
        <v>0</v>
      </c>
    </row>
    <row r="6323" spans="1:8" x14ac:dyDescent="0.15">
      <c r="A6323">
        <v>6322</v>
      </c>
      <c r="B6323" t="s">
        <v>339</v>
      </c>
      <c r="C6323" t="s">
        <v>353</v>
      </c>
      <c r="D6323" t="s">
        <v>10558</v>
      </c>
      <c r="E6323" t="s">
        <v>10559</v>
      </c>
      <c r="F6323" s="46">
        <v>46097.325955081018</v>
      </c>
      <c r="G6323" s="46">
        <v>46097.325955081018</v>
      </c>
      <c r="H6323">
        <v>0</v>
      </c>
    </row>
    <row r="6324" spans="1:8" x14ac:dyDescent="0.15">
      <c r="A6324">
        <v>6323</v>
      </c>
      <c r="B6324" t="s">
        <v>339</v>
      </c>
      <c r="C6324" t="s">
        <v>353</v>
      </c>
      <c r="D6324" t="s">
        <v>10560</v>
      </c>
      <c r="E6324" t="s">
        <v>10559</v>
      </c>
      <c r="F6324" s="46">
        <v>46097.325955081018</v>
      </c>
      <c r="G6324" s="46">
        <v>46097.325955081018</v>
      </c>
      <c r="H6324">
        <v>0</v>
      </c>
    </row>
    <row r="6325" spans="1:8" x14ac:dyDescent="0.15">
      <c r="A6325">
        <v>6324</v>
      </c>
      <c r="B6325" t="s">
        <v>339</v>
      </c>
      <c r="C6325" t="s">
        <v>353</v>
      </c>
      <c r="D6325" t="s">
        <v>10561</v>
      </c>
      <c r="E6325" t="s">
        <v>10562</v>
      </c>
      <c r="F6325" s="46">
        <v>46097.325955081018</v>
      </c>
      <c r="G6325" s="46">
        <v>46097.325955266213</v>
      </c>
      <c r="H6325">
        <v>15</v>
      </c>
    </row>
    <row r="6326" spans="1:8" x14ac:dyDescent="0.15">
      <c r="A6326">
        <v>6325</v>
      </c>
      <c r="B6326" t="s">
        <v>339</v>
      </c>
      <c r="C6326" t="s">
        <v>353</v>
      </c>
      <c r="D6326" t="s">
        <v>10563</v>
      </c>
      <c r="E6326" t="s">
        <v>10564</v>
      </c>
      <c r="F6326" s="46">
        <v>46097.325955266213</v>
      </c>
      <c r="G6326" s="46">
        <v>46097.325955266213</v>
      </c>
      <c r="H6326">
        <v>0</v>
      </c>
    </row>
    <row r="6327" spans="1:8" x14ac:dyDescent="0.15">
      <c r="A6327">
        <v>6326</v>
      </c>
      <c r="B6327" t="s">
        <v>339</v>
      </c>
      <c r="C6327" t="s">
        <v>353</v>
      </c>
      <c r="D6327" t="s">
        <v>10565</v>
      </c>
      <c r="E6327" t="s">
        <v>10564</v>
      </c>
      <c r="F6327" s="46">
        <v>46097.325955266213</v>
      </c>
      <c r="G6327" s="46">
        <v>46097.325955266213</v>
      </c>
      <c r="H6327">
        <v>0</v>
      </c>
    </row>
    <row r="6328" spans="1:8" x14ac:dyDescent="0.15">
      <c r="A6328">
        <v>6327</v>
      </c>
      <c r="B6328" t="s">
        <v>339</v>
      </c>
      <c r="C6328" t="s">
        <v>353</v>
      </c>
      <c r="D6328" t="s">
        <v>10566</v>
      </c>
      <c r="E6328" t="s">
        <v>10567</v>
      </c>
      <c r="F6328" s="46">
        <v>46097.325955266213</v>
      </c>
      <c r="G6328" s="46">
        <v>46097.325955266213</v>
      </c>
      <c r="H6328">
        <v>0</v>
      </c>
    </row>
    <row r="6329" spans="1:8" x14ac:dyDescent="0.15">
      <c r="A6329">
        <v>6328</v>
      </c>
      <c r="B6329" t="s">
        <v>339</v>
      </c>
      <c r="C6329" t="s">
        <v>353</v>
      </c>
      <c r="D6329" t="s">
        <v>10568</v>
      </c>
      <c r="E6329" t="s">
        <v>10567</v>
      </c>
      <c r="F6329" s="46">
        <v>46097.325955266213</v>
      </c>
      <c r="G6329" s="46">
        <v>46097.325955266213</v>
      </c>
      <c r="H6329">
        <v>0</v>
      </c>
    </row>
    <row r="6330" spans="1:8" x14ac:dyDescent="0.15">
      <c r="A6330">
        <v>6329</v>
      </c>
      <c r="B6330" t="s">
        <v>339</v>
      </c>
      <c r="C6330" t="s">
        <v>353</v>
      </c>
      <c r="D6330" t="s">
        <v>10569</v>
      </c>
      <c r="E6330" t="s">
        <v>10570</v>
      </c>
      <c r="F6330" s="46">
        <v>46097.325955266213</v>
      </c>
      <c r="G6330" s="46">
        <v>46097.325955266213</v>
      </c>
      <c r="H6330">
        <v>0</v>
      </c>
    </row>
    <row r="6331" spans="1:8" x14ac:dyDescent="0.15">
      <c r="A6331">
        <v>6330</v>
      </c>
      <c r="B6331" t="s">
        <v>339</v>
      </c>
      <c r="C6331" t="s">
        <v>353</v>
      </c>
      <c r="D6331" t="s">
        <v>10571</v>
      </c>
      <c r="E6331" t="s">
        <v>10572</v>
      </c>
      <c r="F6331" s="46">
        <v>46097.325955266213</v>
      </c>
      <c r="G6331" s="46">
        <v>46097.325955266213</v>
      </c>
      <c r="H6331">
        <v>0</v>
      </c>
    </row>
    <row r="6332" spans="1:8" x14ac:dyDescent="0.15">
      <c r="A6332">
        <v>6331</v>
      </c>
      <c r="B6332" t="s">
        <v>339</v>
      </c>
      <c r="C6332" t="s">
        <v>353</v>
      </c>
      <c r="D6332" t="s">
        <v>10573</v>
      </c>
      <c r="E6332" t="s">
        <v>10574</v>
      </c>
      <c r="F6332" s="46">
        <v>46097.325955266213</v>
      </c>
      <c r="G6332" s="46">
        <v>46097.325955266213</v>
      </c>
      <c r="H6332">
        <v>0</v>
      </c>
    </row>
    <row r="6333" spans="1:8" x14ac:dyDescent="0.15">
      <c r="A6333">
        <v>6332</v>
      </c>
      <c r="B6333" t="s">
        <v>339</v>
      </c>
      <c r="C6333" t="s">
        <v>353</v>
      </c>
      <c r="D6333" t="s">
        <v>10575</v>
      </c>
      <c r="E6333" t="s">
        <v>10574</v>
      </c>
      <c r="F6333" s="46">
        <v>46097.325955266213</v>
      </c>
      <c r="G6333" s="46">
        <v>46097.325955266213</v>
      </c>
      <c r="H6333">
        <v>0</v>
      </c>
    </row>
    <row r="6334" spans="1:8" x14ac:dyDescent="0.15">
      <c r="A6334">
        <v>6333</v>
      </c>
      <c r="B6334" t="s">
        <v>339</v>
      </c>
      <c r="C6334" t="s">
        <v>353</v>
      </c>
      <c r="D6334" t="s">
        <v>10576</v>
      </c>
      <c r="E6334" t="s">
        <v>10574</v>
      </c>
      <c r="F6334" s="46">
        <v>46097.325955266213</v>
      </c>
      <c r="G6334" s="46">
        <v>46097.325955266213</v>
      </c>
      <c r="H6334">
        <v>0</v>
      </c>
    </row>
    <row r="6335" spans="1:8" x14ac:dyDescent="0.15">
      <c r="A6335">
        <v>6334</v>
      </c>
      <c r="B6335" t="s">
        <v>339</v>
      </c>
      <c r="C6335" t="s">
        <v>353</v>
      </c>
      <c r="D6335" t="s">
        <v>10577</v>
      </c>
      <c r="E6335" t="s">
        <v>10574</v>
      </c>
      <c r="F6335" s="46">
        <v>46097.325955266213</v>
      </c>
      <c r="G6335" s="46">
        <v>46097.325955439817</v>
      </c>
      <c r="H6335">
        <v>16</v>
      </c>
    </row>
    <row r="6336" spans="1:8" x14ac:dyDescent="0.15">
      <c r="A6336">
        <v>6335</v>
      </c>
      <c r="B6336" t="s">
        <v>339</v>
      </c>
      <c r="C6336" t="s">
        <v>353</v>
      </c>
      <c r="D6336" t="s">
        <v>10578</v>
      </c>
      <c r="E6336" t="s">
        <v>10579</v>
      </c>
      <c r="F6336" s="46">
        <v>46097.325955439817</v>
      </c>
      <c r="G6336" s="46">
        <v>46097.325955439817</v>
      </c>
      <c r="H6336">
        <v>0</v>
      </c>
    </row>
    <row r="6337" spans="1:8" x14ac:dyDescent="0.15">
      <c r="A6337">
        <v>6336</v>
      </c>
      <c r="B6337" t="s">
        <v>339</v>
      </c>
      <c r="C6337" t="s">
        <v>353</v>
      </c>
      <c r="D6337" t="s">
        <v>10580</v>
      </c>
      <c r="E6337" t="s">
        <v>10579</v>
      </c>
      <c r="F6337" s="46">
        <v>46097.325955439817</v>
      </c>
      <c r="G6337" s="46">
        <v>46097.325955439817</v>
      </c>
      <c r="H6337">
        <v>0</v>
      </c>
    </row>
    <row r="6338" spans="1:8" x14ac:dyDescent="0.15">
      <c r="A6338">
        <v>6337</v>
      </c>
      <c r="B6338" t="s">
        <v>339</v>
      </c>
      <c r="C6338" t="s">
        <v>353</v>
      </c>
      <c r="D6338" t="s">
        <v>10581</v>
      </c>
      <c r="E6338" t="s">
        <v>10582</v>
      </c>
      <c r="F6338" s="46">
        <v>46097.325955439817</v>
      </c>
      <c r="G6338" s="46">
        <v>46097.325955439817</v>
      </c>
      <c r="H6338">
        <v>0</v>
      </c>
    </row>
    <row r="6339" spans="1:8" x14ac:dyDescent="0.15">
      <c r="A6339">
        <v>6338</v>
      </c>
      <c r="B6339" t="s">
        <v>339</v>
      </c>
      <c r="C6339" t="s">
        <v>353</v>
      </c>
      <c r="D6339" t="s">
        <v>10583</v>
      </c>
      <c r="E6339" t="s">
        <v>10584</v>
      </c>
      <c r="F6339" s="46">
        <v>46097.325955439817</v>
      </c>
      <c r="G6339" s="46">
        <v>46097.325955439817</v>
      </c>
      <c r="H6339">
        <v>0</v>
      </c>
    </row>
    <row r="6340" spans="1:8" x14ac:dyDescent="0.15">
      <c r="A6340">
        <v>6339</v>
      </c>
      <c r="B6340" t="s">
        <v>339</v>
      </c>
      <c r="C6340" t="s">
        <v>353</v>
      </c>
      <c r="D6340" t="s">
        <v>10585</v>
      </c>
      <c r="E6340" t="s">
        <v>10586</v>
      </c>
      <c r="F6340" s="46">
        <v>46097.325955439817</v>
      </c>
      <c r="G6340" s="46">
        <v>46097.325955439817</v>
      </c>
      <c r="H6340">
        <v>0</v>
      </c>
    </row>
    <row r="6341" spans="1:8" x14ac:dyDescent="0.15">
      <c r="A6341">
        <v>6340</v>
      </c>
      <c r="B6341" t="s">
        <v>339</v>
      </c>
      <c r="C6341" t="s">
        <v>353</v>
      </c>
      <c r="D6341" t="s">
        <v>10587</v>
      </c>
      <c r="E6341" t="s">
        <v>10586</v>
      </c>
      <c r="F6341" s="46">
        <v>46097.325955439817</v>
      </c>
      <c r="G6341" s="46">
        <v>46097.325955439817</v>
      </c>
      <c r="H6341">
        <v>0</v>
      </c>
    </row>
    <row r="6342" spans="1:8" x14ac:dyDescent="0.15">
      <c r="A6342">
        <v>6341</v>
      </c>
      <c r="B6342" t="s">
        <v>339</v>
      </c>
      <c r="C6342" t="s">
        <v>353</v>
      </c>
      <c r="D6342" t="s">
        <v>10588</v>
      </c>
      <c r="E6342" t="s">
        <v>10586</v>
      </c>
      <c r="F6342" s="46">
        <v>46097.325955439817</v>
      </c>
      <c r="G6342" s="46">
        <v>46097.325955439817</v>
      </c>
      <c r="H6342">
        <v>0</v>
      </c>
    </row>
    <row r="6343" spans="1:8" x14ac:dyDescent="0.15">
      <c r="A6343">
        <v>6342</v>
      </c>
      <c r="B6343" t="s">
        <v>339</v>
      </c>
      <c r="C6343" t="s">
        <v>353</v>
      </c>
      <c r="D6343" t="s">
        <v>10589</v>
      </c>
      <c r="E6343" t="s">
        <v>10586</v>
      </c>
      <c r="F6343" s="46">
        <v>46097.325955439817</v>
      </c>
      <c r="G6343" s="46">
        <v>46097.325955439817</v>
      </c>
      <c r="H6343">
        <v>0</v>
      </c>
    </row>
    <row r="6344" spans="1:8" x14ac:dyDescent="0.15">
      <c r="A6344">
        <v>6343</v>
      </c>
      <c r="B6344" t="s">
        <v>339</v>
      </c>
      <c r="C6344" t="s">
        <v>353</v>
      </c>
      <c r="D6344" t="s">
        <v>10590</v>
      </c>
      <c r="E6344" t="s">
        <v>10591</v>
      </c>
      <c r="F6344" s="46">
        <v>46097.325955439817</v>
      </c>
      <c r="G6344" s="46">
        <v>46097.325955439817</v>
      </c>
      <c r="H6344">
        <v>0</v>
      </c>
    </row>
    <row r="6345" spans="1:8" x14ac:dyDescent="0.15">
      <c r="A6345">
        <v>6344</v>
      </c>
      <c r="B6345" t="s">
        <v>339</v>
      </c>
      <c r="C6345" t="s">
        <v>353</v>
      </c>
      <c r="D6345" t="s">
        <v>10592</v>
      </c>
      <c r="E6345" t="s">
        <v>10593</v>
      </c>
      <c r="F6345" s="46">
        <v>46097.325955439817</v>
      </c>
      <c r="G6345" s="46">
        <v>46097.325955439817</v>
      </c>
      <c r="H6345">
        <v>0</v>
      </c>
    </row>
    <row r="6346" spans="1:8" x14ac:dyDescent="0.15">
      <c r="A6346">
        <v>6345</v>
      </c>
      <c r="B6346" t="s">
        <v>339</v>
      </c>
      <c r="C6346" t="s">
        <v>353</v>
      </c>
      <c r="D6346" t="s">
        <v>10594</v>
      </c>
      <c r="E6346" t="s">
        <v>10593</v>
      </c>
      <c r="F6346" s="46">
        <v>46097.325955439817</v>
      </c>
      <c r="G6346" s="46">
        <v>46097.325955624998</v>
      </c>
      <c r="H6346">
        <v>16</v>
      </c>
    </row>
    <row r="6347" spans="1:8" x14ac:dyDescent="0.15">
      <c r="A6347">
        <v>6346</v>
      </c>
      <c r="B6347" t="s">
        <v>339</v>
      </c>
      <c r="C6347" t="s">
        <v>353</v>
      </c>
      <c r="D6347" t="s">
        <v>10595</v>
      </c>
      <c r="E6347" t="s">
        <v>10593</v>
      </c>
      <c r="F6347" s="46">
        <v>46097.325955624998</v>
      </c>
      <c r="G6347" s="46">
        <v>46097.325955624998</v>
      </c>
      <c r="H6347">
        <v>0</v>
      </c>
    </row>
    <row r="6348" spans="1:8" x14ac:dyDescent="0.15">
      <c r="A6348">
        <v>6347</v>
      </c>
      <c r="B6348" t="s">
        <v>339</v>
      </c>
      <c r="C6348" t="s">
        <v>353</v>
      </c>
      <c r="D6348" t="s">
        <v>10596</v>
      </c>
      <c r="E6348" t="s">
        <v>10593</v>
      </c>
      <c r="F6348" s="46">
        <v>46097.325955624998</v>
      </c>
      <c r="G6348" s="46">
        <v>46097.325955624998</v>
      </c>
      <c r="H6348">
        <v>0</v>
      </c>
    </row>
    <row r="6349" spans="1:8" x14ac:dyDescent="0.15">
      <c r="A6349">
        <v>6348</v>
      </c>
      <c r="B6349" t="s">
        <v>339</v>
      </c>
      <c r="C6349" t="s">
        <v>353</v>
      </c>
      <c r="D6349" t="s">
        <v>10597</v>
      </c>
      <c r="E6349" t="s">
        <v>10593</v>
      </c>
      <c r="F6349" s="46">
        <v>46097.325955624998</v>
      </c>
      <c r="G6349" s="46">
        <v>46097.325955624998</v>
      </c>
      <c r="H6349">
        <v>0</v>
      </c>
    </row>
    <row r="6350" spans="1:8" x14ac:dyDescent="0.15">
      <c r="A6350">
        <v>6349</v>
      </c>
      <c r="B6350" t="s">
        <v>339</v>
      </c>
      <c r="C6350" t="s">
        <v>353</v>
      </c>
      <c r="D6350" t="s">
        <v>10598</v>
      </c>
      <c r="E6350" t="s">
        <v>10599</v>
      </c>
      <c r="F6350" s="46">
        <v>46097.325955624998</v>
      </c>
      <c r="G6350" s="46">
        <v>46097.325955624998</v>
      </c>
      <c r="H6350">
        <v>0</v>
      </c>
    </row>
    <row r="6351" spans="1:8" x14ac:dyDescent="0.15">
      <c r="A6351">
        <v>6350</v>
      </c>
      <c r="B6351" t="s">
        <v>339</v>
      </c>
      <c r="C6351" t="s">
        <v>353</v>
      </c>
      <c r="D6351" t="s">
        <v>10600</v>
      </c>
      <c r="E6351" t="s">
        <v>10599</v>
      </c>
      <c r="F6351" s="46">
        <v>46097.325955624998</v>
      </c>
      <c r="G6351" s="46">
        <v>46097.325955624998</v>
      </c>
      <c r="H6351">
        <v>0</v>
      </c>
    </row>
    <row r="6352" spans="1:8" x14ac:dyDescent="0.15">
      <c r="A6352">
        <v>6351</v>
      </c>
      <c r="B6352" t="s">
        <v>339</v>
      </c>
      <c r="C6352" t="s">
        <v>353</v>
      </c>
      <c r="D6352" t="s">
        <v>10601</v>
      </c>
      <c r="E6352" t="s">
        <v>10599</v>
      </c>
      <c r="F6352" s="46">
        <v>46097.325955624998</v>
      </c>
      <c r="G6352" s="46">
        <v>46097.325955624998</v>
      </c>
      <c r="H6352">
        <v>0</v>
      </c>
    </row>
    <row r="6353" spans="1:8" x14ac:dyDescent="0.15">
      <c r="A6353">
        <v>6352</v>
      </c>
      <c r="B6353" t="s">
        <v>339</v>
      </c>
      <c r="C6353" t="s">
        <v>353</v>
      </c>
      <c r="D6353" t="s">
        <v>10602</v>
      </c>
      <c r="E6353" t="s">
        <v>10599</v>
      </c>
      <c r="F6353" s="46">
        <v>46097.325955624998</v>
      </c>
      <c r="G6353" s="46">
        <v>46097.325955624998</v>
      </c>
      <c r="H6353">
        <v>0</v>
      </c>
    </row>
    <row r="6354" spans="1:8" x14ac:dyDescent="0.15">
      <c r="A6354">
        <v>6353</v>
      </c>
      <c r="B6354" t="s">
        <v>339</v>
      </c>
      <c r="C6354" t="s">
        <v>353</v>
      </c>
      <c r="D6354" t="s">
        <v>10603</v>
      </c>
      <c r="E6354" t="s">
        <v>10599</v>
      </c>
      <c r="F6354" s="46">
        <v>46097.325955624998</v>
      </c>
      <c r="G6354" s="46">
        <v>46097.325955624998</v>
      </c>
      <c r="H6354">
        <v>0</v>
      </c>
    </row>
    <row r="6355" spans="1:8" x14ac:dyDescent="0.15">
      <c r="A6355">
        <v>6354</v>
      </c>
      <c r="B6355" t="s">
        <v>339</v>
      </c>
      <c r="C6355" t="s">
        <v>353</v>
      </c>
      <c r="D6355" t="s">
        <v>10604</v>
      </c>
      <c r="E6355" t="s">
        <v>10605</v>
      </c>
      <c r="F6355" s="46">
        <v>46097.325955624998</v>
      </c>
      <c r="G6355" s="46">
        <v>46097.325955624998</v>
      </c>
      <c r="H6355">
        <v>0</v>
      </c>
    </row>
    <row r="6356" spans="1:8" x14ac:dyDescent="0.15">
      <c r="A6356">
        <v>6355</v>
      </c>
      <c r="B6356" t="s">
        <v>339</v>
      </c>
      <c r="C6356" t="s">
        <v>353</v>
      </c>
      <c r="D6356" t="s">
        <v>10606</v>
      </c>
      <c r="E6356" t="s">
        <v>10607</v>
      </c>
      <c r="F6356" s="46">
        <v>46097.325955624998</v>
      </c>
      <c r="G6356" s="46">
        <v>46097.325955810193</v>
      </c>
      <c r="H6356">
        <v>15</v>
      </c>
    </row>
    <row r="6357" spans="1:8" x14ac:dyDescent="0.15">
      <c r="A6357">
        <v>6356</v>
      </c>
      <c r="B6357" t="s">
        <v>339</v>
      </c>
      <c r="C6357" t="s">
        <v>353</v>
      </c>
      <c r="D6357" t="s">
        <v>10608</v>
      </c>
      <c r="E6357" t="s">
        <v>10609</v>
      </c>
      <c r="F6357" s="46">
        <v>46097.325955810193</v>
      </c>
      <c r="G6357" s="46">
        <v>46097.325955810193</v>
      </c>
      <c r="H6357">
        <v>0</v>
      </c>
    </row>
    <row r="6358" spans="1:8" x14ac:dyDescent="0.15">
      <c r="A6358">
        <v>6357</v>
      </c>
      <c r="B6358" t="s">
        <v>339</v>
      </c>
      <c r="C6358" t="s">
        <v>353</v>
      </c>
      <c r="D6358" t="s">
        <v>10610</v>
      </c>
      <c r="E6358" t="s">
        <v>10609</v>
      </c>
      <c r="F6358" s="46">
        <v>46097.325955810193</v>
      </c>
      <c r="G6358" s="46">
        <v>46097.325955810193</v>
      </c>
      <c r="H6358">
        <v>0</v>
      </c>
    </row>
    <row r="6359" spans="1:8" x14ac:dyDescent="0.15">
      <c r="A6359">
        <v>6358</v>
      </c>
      <c r="B6359" t="s">
        <v>339</v>
      </c>
      <c r="C6359" t="s">
        <v>353</v>
      </c>
      <c r="D6359" t="s">
        <v>10611</v>
      </c>
      <c r="E6359" t="s">
        <v>10609</v>
      </c>
      <c r="F6359" s="46">
        <v>46097.325955810193</v>
      </c>
      <c r="G6359" s="46">
        <v>46097.325955810193</v>
      </c>
      <c r="H6359">
        <v>0</v>
      </c>
    </row>
    <row r="6360" spans="1:8" x14ac:dyDescent="0.15">
      <c r="A6360">
        <v>6359</v>
      </c>
      <c r="B6360" t="s">
        <v>339</v>
      </c>
      <c r="C6360" t="s">
        <v>353</v>
      </c>
      <c r="D6360" t="s">
        <v>10612</v>
      </c>
      <c r="E6360" t="s">
        <v>10609</v>
      </c>
      <c r="F6360" s="46">
        <v>46097.325955810193</v>
      </c>
      <c r="G6360" s="46">
        <v>46097.325955810193</v>
      </c>
      <c r="H6360">
        <v>0</v>
      </c>
    </row>
    <row r="6361" spans="1:8" x14ac:dyDescent="0.15">
      <c r="A6361">
        <v>6360</v>
      </c>
      <c r="B6361" t="s">
        <v>339</v>
      </c>
      <c r="C6361" t="s">
        <v>353</v>
      </c>
      <c r="D6361" t="s">
        <v>10613</v>
      </c>
      <c r="E6361" t="s">
        <v>10609</v>
      </c>
      <c r="F6361" s="46">
        <v>46097.325955810193</v>
      </c>
      <c r="G6361" s="46">
        <v>46097.325955810193</v>
      </c>
      <c r="H6361">
        <v>0</v>
      </c>
    </row>
    <row r="6362" spans="1:8" x14ac:dyDescent="0.15">
      <c r="A6362">
        <v>6361</v>
      </c>
      <c r="B6362" t="s">
        <v>339</v>
      </c>
      <c r="C6362" t="s">
        <v>353</v>
      </c>
      <c r="D6362" t="s">
        <v>10614</v>
      </c>
      <c r="E6362" t="s">
        <v>10615</v>
      </c>
      <c r="F6362" s="46">
        <v>46097.325955810193</v>
      </c>
      <c r="G6362" s="46">
        <v>46097.325955810193</v>
      </c>
      <c r="H6362">
        <v>0</v>
      </c>
    </row>
    <row r="6363" spans="1:8" x14ac:dyDescent="0.15">
      <c r="A6363">
        <v>6362</v>
      </c>
      <c r="B6363" t="s">
        <v>339</v>
      </c>
      <c r="C6363" t="s">
        <v>353</v>
      </c>
      <c r="D6363" t="s">
        <v>10616</v>
      </c>
      <c r="E6363" t="s">
        <v>10615</v>
      </c>
      <c r="F6363" s="46">
        <v>46097.325955810193</v>
      </c>
      <c r="G6363" s="46">
        <v>46097.325955810193</v>
      </c>
      <c r="H6363">
        <v>0</v>
      </c>
    </row>
    <row r="6364" spans="1:8" x14ac:dyDescent="0.15">
      <c r="A6364">
        <v>6363</v>
      </c>
      <c r="B6364" t="s">
        <v>339</v>
      </c>
      <c r="C6364" t="s">
        <v>353</v>
      </c>
      <c r="D6364" t="s">
        <v>10617</v>
      </c>
      <c r="E6364" t="s">
        <v>10618</v>
      </c>
      <c r="F6364" s="46">
        <v>46097.325955810193</v>
      </c>
      <c r="G6364" s="46">
        <v>46097.325955810193</v>
      </c>
      <c r="H6364">
        <v>0</v>
      </c>
    </row>
    <row r="6365" spans="1:8" x14ac:dyDescent="0.15">
      <c r="A6365">
        <v>6364</v>
      </c>
      <c r="B6365" t="s">
        <v>339</v>
      </c>
      <c r="C6365" t="s">
        <v>353</v>
      </c>
      <c r="D6365" t="s">
        <v>10619</v>
      </c>
      <c r="E6365" t="s">
        <v>10618</v>
      </c>
      <c r="F6365" s="46">
        <v>46097.325955810193</v>
      </c>
      <c r="G6365" s="46">
        <v>46097.325955810193</v>
      </c>
      <c r="H6365">
        <v>0</v>
      </c>
    </row>
    <row r="6366" spans="1:8" x14ac:dyDescent="0.15">
      <c r="A6366">
        <v>6365</v>
      </c>
      <c r="B6366" t="s">
        <v>339</v>
      </c>
      <c r="C6366" t="s">
        <v>353</v>
      </c>
      <c r="D6366" t="s">
        <v>10620</v>
      </c>
      <c r="E6366" t="s">
        <v>10621</v>
      </c>
      <c r="F6366" s="46">
        <v>46097.325955810193</v>
      </c>
      <c r="G6366" s="46">
        <v>46097.325955983797</v>
      </c>
      <c r="H6366">
        <v>16</v>
      </c>
    </row>
    <row r="6367" spans="1:8" x14ac:dyDescent="0.15">
      <c r="A6367">
        <v>6366</v>
      </c>
      <c r="B6367" t="s">
        <v>339</v>
      </c>
      <c r="C6367" t="s">
        <v>353</v>
      </c>
      <c r="D6367" t="s">
        <v>10622</v>
      </c>
      <c r="E6367" t="s">
        <v>10623</v>
      </c>
      <c r="F6367" s="46">
        <v>46097.325955983797</v>
      </c>
      <c r="G6367" s="46">
        <v>46097.325955983797</v>
      </c>
      <c r="H6367">
        <v>0</v>
      </c>
    </row>
    <row r="6368" spans="1:8" x14ac:dyDescent="0.15">
      <c r="A6368">
        <v>6367</v>
      </c>
      <c r="B6368" t="s">
        <v>339</v>
      </c>
      <c r="C6368" t="s">
        <v>353</v>
      </c>
      <c r="D6368" t="s">
        <v>10624</v>
      </c>
      <c r="E6368" t="s">
        <v>10625</v>
      </c>
      <c r="F6368" s="46">
        <v>46097.325955983797</v>
      </c>
      <c r="G6368" s="46">
        <v>46097.325955983797</v>
      </c>
      <c r="H6368">
        <v>0</v>
      </c>
    </row>
    <row r="6369" spans="1:8" x14ac:dyDescent="0.15">
      <c r="A6369">
        <v>6368</v>
      </c>
      <c r="B6369" t="s">
        <v>339</v>
      </c>
      <c r="C6369" t="s">
        <v>353</v>
      </c>
      <c r="D6369" t="s">
        <v>10626</v>
      </c>
      <c r="E6369" t="s">
        <v>10627</v>
      </c>
      <c r="F6369" s="46">
        <v>46097.325955983797</v>
      </c>
      <c r="G6369" s="46">
        <v>46097.325955983797</v>
      </c>
      <c r="H6369">
        <v>0</v>
      </c>
    </row>
    <row r="6370" spans="1:8" x14ac:dyDescent="0.15">
      <c r="A6370">
        <v>6369</v>
      </c>
      <c r="B6370" t="s">
        <v>339</v>
      </c>
      <c r="C6370" t="s">
        <v>353</v>
      </c>
      <c r="D6370" t="s">
        <v>10628</v>
      </c>
      <c r="E6370" t="s">
        <v>10627</v>
      </c>
      <c r="F6370" s="46">
        <v>46097.325955983797</v>
      </c>
      <c r="G6370" s="46">
        <v>46097.325955983797</v>
      </c>
      <c r="H6370">
        <v>0</v>
      </c>
    </row>
    <row r="6371" spans="1:8" x14ac:dyDescent="0.15">
      <c r="A6371">
        <v>6370</v>
      </c>
      <c r="B6371" t="s">
        <v>339</v>
      </c>
      <c r="C6371" t="s">
        <v>353</v>
      </c>
      <c r="D6371" t="s">
        <v>10629</v>
      </c>
      <c r="E6371" t="s">
        <v>10627</v>
      </c>
      <c r="F6371" s="46">
        <v>46097.325955983797</v>
      </c>
      <c r="G6371" s="46">
        <v>46097.325955983797</v>
      </c>
      <c r="H6371">
        <v>0</v>
      </c>
    </row>
    <row r="6372" spans="1:8" x14ac:dyDescent="0.15">
      <c r="A6372">
        <v>6371</v>
      </c>
      <c r="B6372" t="s">
        <v>339</v>
      </c>
      <c r="C6372" t="s">
        <v>353</v>
      </c>
      <c r="D6372" t="s">
        <v>10630</v>
      </c>
      <c r="E6372" t="s">
        <v>10627</v>
      </c>
      <c r="F6372" s="46">
        <v>46097.325955983797</v>
      </c>
      <c r="G6372" s="46">
        <v>46097.325955983797</v>
      </c>
      <c r="H6372">
        <v>0</v>
      </c>
    </row>
    <row r="6373" spans="1:8" x14ac:dyDescent="0.15">
      <c r="A6373">
        <v>6372</v>
      </c>
      <c r="B6373" t="s">
        <v>339</v>
      </c>
      <c r="C6373" t="s">
        <v>353</v>
      </c>
      <c r="D6373" t="s">
        <v>10631</v>
      </c>
      <c r="E6373" t="s">
        <v>10632</v>
      </c>
      <c r="F6373" s="46">
        <v>46097.325955983797</v>
      </c>
      <c r="G6373" s="46">
        <v>46097.325955983797</v>
      </c>
      <c r="H6373">
        <v>0</v>
      </c>
    </row>
    <row r="6374" spans="1:8" x14ac:dyDescent="0.15">
      <c r="A6374">
        <v>6373</v>
      </c>
      <c r="B6374" t="s">
        <v>339</v>
      </c>
      <c r="C6374" t="s">
        <v>353</v>
      </c>
      <c r="D6374" t="s">
        <v>10633</v>
      </c>
      <c r="E6374" t="s">
        <v>10632</v>
      </c>
      <c r="F6374" s="46">
        <v>46097.325955983797</v>
      </c>
      <c r="G6374" s="46">
        <v>46097.325955983797</v>
      </c>
      <c r="H6374">
        <v>0</v>
      </c>
    </row>
    <row r="6375" spans="1:8" x14ac:dyDescent="0.15">
      <c r="A6375">
        <v>6374</v>
      </c>
      <c r="B6375" t="s">
        <v>339</v>
      </c>
      <c r="C6375" t="s">
        <v>353</v>
      </c>
      <c r="D6375" t="s">
        <v>10634</v>
      </c>
      <c r="E6375" t="s">
        <v>10632</v>
      </c>
      <c r="F6375" s="46">
        <v>46097.325955983797</v>
      </c>
      <c r="G6375" s="46">
        <v>46097.325955983797</v>
      </c>
      <c r="H6375">
        <v>0</v>
      </c>
    </row>
    <row r="6376" spans="1:8" x14ac:dyDescent="0.15">
      <c r="A6376">
        <v>6375</v>
      </c>
      <c r="B6376" t="s">
        <v>339</v>
      </c>
      <c r="C6376" t="s">
        <v>353</v>
      </c>
      <c r="D6376" t="s">
        <v>10635</v>
      </c>
      <c r="E6376" t="s">
        <v>10632</v>
      </c>
      <c r="F6376" s="46">
        <v>46097.325955983797</v>
      </c>
      <c r="G6376" s="46">
        <v>46097.325955983797</v>
      </c>
      <c r="H6376">
        <v>0</v>
      </c>
    </row>
    <row r="6377" spans="1:8" x14ac:dyDescent="0.15">
      <c r="A6377">
        <v>6376</v>
      </c>
      <c r="B6377" t="s">
        <v>339</v>
      </c>
      <c r="C6377" t="s">
        <v>353</v>
      </c>
      <c r="D6377" t="s">
        <v>10636</v>
      </c>
      <c r="E6377" t="s">
        <v>10632</v>
      </c>
      <c r="F6377" s="46">
        <v>46097.325955983797</v>
      </c>
      <c r="G6377" s="46">
        <v>46097.325956168977</v>
      </c>
      <c r="H6377">
        <v>15</v>
      </c>
    </row>
    <row r="6378" spans="1:8" x14ac:dyDescent="0.15">
      <c r="A6378">
        <v>6377</v>
      </c>
      <c r="B6378" t="s">
        <v>339</v>
      </c>
      <c r="C6378" t="s">
        <v>353</v>
      </c>
      <c r="D6378" t="s">
        <v>10637</v>
      </c>
      <c r="E6378" t="s">
        <v>10638</v>
      </c>
      <c r="F6378" s="46">
        <v>46097.325956168977</v>
      </c>
      <c r="G6378" s="46">
        <v>46097.325956168977</v>
      </c>
      <c r="H6378">
        <v>0</v>
      </c>
    </row>
    <row r="6379" spans="1:8" x14ac:dyDescent="0.15">
      <c r="A6379">
        <v>6378</v>
      </c>
      <c r="B6379" t="s">
        <v>339</v>
      </c>
      <c r="C6379" t="s">
        <v>353</v>
      </c>
      <c r="D6379" t="s">
        <v>10639</v>
      </c>
      <c r="E6379" t="s">
        <v>10640</v>
      </c>
      <c r="F6379" s="46">
        <v>46097.325956168977</v>
      </c>
      <c r="G6379" s="46">
        <v>46097.325956168977</v>
      </c>
      <c r="H6379">
        <v>0</v>
      </c>
    </row>
    <row r="6380" spans="1:8" x14ac:dyDescent="0.15">
      <c r="A6380">
        <v>6379</v>
      </c>
      <c r="B6380" t="s">
        <v>339</v>
      </c>
      <c r="C6380" t="s">
        <v>353</v>
      </c>
      <c r="D6380" t="s">
        <v>10641</v>
      </c>
      <c r="E6380" t="s">
        <v>10640</v>
      </c>
      <c r="F6380" s="46">
        <v>46097.325956168977</v>
      </c>
      <c r="G6380" s="46">
        <v>46097.325956168977</v>
      </c>
      <c r="H6380">
        <v>0</v>
      </c>
    </row>
    <row r="6381" spans="1:8" x14ac:dyDescent="0.15">
      <c r="A6381">
        <v>6380</v>
      </c>
      <c r="B6381" t="s">
        <v>339</v>
      </c>
      <c r="C6381" t="s">
        <v>353</v>
      </c>
      <c r="D6381" t="s">
        <v>10642</v>
      </c>
      <c r="E6381" t="s">
        <v>10640</v>
      </c>
      <c r="F6381" s="46">
        <v>46097.325956168977</v>
      </c>
      <c r="G6381" s="46">
        <v>46097.325956168977</v>
      </c>
      <c r="H6381">
        <v>0</v>
      </c>
    </row>
    <row r="6382" spans="1:8" x14ac:dyDescent="0.15">
      <c r="A6382">
        <v>6381</v>
      </c>
      <c r="B6382" t="s">
        <v>339</v>
      </c>
      <c r="C6382" t="s">
        <v>353</v>
      </c>
      <c r="D6382" t="s">
        <v>10643</v>
      </c>
      <c r="E6382" t="s">
        <v>10640</v>
      </c>
      <c r="F6382" s="46">
        <v>46097.325956168977</v>
      </c>
      <c r="G6382" s="46">
        <v>46097.325956168977</v>
      </c>
      <c r="H6382">
        <v>0</v>
      </c>
    </row>
    <row r="6383" spans="1:8" x14ac:dyDescent="0.15">
      <c r="A6383">
        <v>6382</v>
      </c>
      <c r="B6383" t="s">
        <v>339</v>
      </c>
      <c r="C6383" t="s">
        <v>353</v>
      </c>
      <c r="D6383" t="s">
        <v>10644</v>
      </c>
      <c r="E6383" t="s">
        <v>10640</v>
      </c>
      <c r="F6383" s="46">
        <v>46097.325956168977</v>
      </c>
      <c r="G6383" s="46">
        <v>46097.325956168977</v>
      </c>
      <c r="H6383">
        <v>0</v>
      </c>
    </row>
    <row r="6384" spans="1:8" x14ac:dyDescent="0.15">
      <c r="A6384">
        <v>6383</v>
      </c>
      <c r="B6384" t="s">
        <v>339</v>
      </c>
      <c r="C6384" t="s">
        <v>353</v>
      </c>
      <c r="D6384" t="s">
        <v>10645</v>
      </c>
      <c r="E6384" t="s">
        <v>10640</v>
      </c>
      <c r="F6384" s="46">
        <v>46097.325956168977</v>
      </c>
      <c r="G6384" s="46">
        <v>46097.325956168977</v>
      </c>
      <c r="H6384">
        <v>0</v>
      </c>
    </row>
    <row r="6385" spans="1:8" x14ac:dyDescent="0.15">
      <c r="A6385">
        <v>6384</v>
      </c>
      <c r="B6385" t="s">
        <v>339</v>
      </c>
      <c r="C6385" t="s">
        <v>353</v>
      </c>
      <c r="D6385" t="s">
        <v>10646</v>
      </c>
      <c r="E6385" t="s">
        <v>10647</v>
      </c>
      <c r="F6385" s="46">
        <v>46097.325956168977</v>
      </c>
      <c r="G6385" s="46">
        <v>46097.325956168977</v>
      </c>
      <c r="H6385">
        <v>0</v>
      </c>
    </row>
    <row r="6386" spans="1:8" x14ac:dyDescent="0.15">
      <c r="A6386">
        <v>6385</v>
      </c>
      <c r="B6386" t="s">
        <v>339</v>
      </c>
      <c r="C6386" t="s">
        <v>353</v>
      </c>
      <c r="D6386" t="s">
        <v>10648</v>
      </c>
      <c r="E6386" t="s">
        <v>10649</v>
      </c>
      <c r="F6386" s="46">
        <v>46097.325956168977</v>
      </c>
      <c r="G6386" s="46">
        <v>46097.325956168977</v>
      </c>
      <c r="H6386">
        <v>0</v>
      </c>
    </row>
    <row r="6387" spans="1:8" x14ac:dyDescent="0.15">
      <c r="A6387">
        <v>6386</v>
      </c>
      <c r="B6387" t="s">
        <v>339</v>
      </c>
      <c r="C6387" t="s">
        <v>353</v>
      </c>
      <c r="D6387" t="s">
        <v>10650</v>
      </c>
      <c r="E6387" t="s">
        <v>10649</v>
      </c>
      <c r="F6387" s="46">
        <v>46097.325956168977</v>
      </c>
      <c r="G6387" s="46">
        <v>46097.325956354172</v>
      </c>
      <c r="H6387">
        <v>16</v>
      </c>
    </row>
    <row r="6388" spans="1:8" x14ac:dyDescent="0.15">
      <c r="A6388">
        <v>6387</v>
      </c>
      <c r="B6388" t="s">
        <v>339</v>
      </c>
      <c r="C6388" t="s">
        <v>353</v>
      </c>
      <c r="D6388" t="s">
        <v>10651</v>
      </c>
      <c r="E6388" t="s">
        <v>10649</v>
      </c>
      <c r="F6388" s="46">
        <v>46097.325956354172</v>
      </c>
      <c r="G6388" s="46">
        <v>46097.325956354172</v>
      </c>
      <c r="H6388">
        <v>0</v>
      </c>
    </row>
    <row r="6389" spans="1:8" x14ac:dyDescent="0.15">
      <c r="A6389">
        <v>6388</v>
      </c>
      <c r="B6389" t="s">
        <v>339</v>
      </c>
      <c r="C6389" t="s">
        <v>353</v>
      </c>
      <c r="D6389" t="s">
        <v>10652</v>
      </c>
      <c r="E6389" t="s">
        <v>10649</v>
      </c>
      <c r="F6389" s="46">
        <v>46097.325956354172</v>
      </c>
      <c r="G6389" s="46">
        <v>46097.325956354172</v>
      </c>
      <c r="H6389">
        <v>0</v>
      </c>
    </row>
    <row r="6390" spans="1:8" x14ac:dyDescent="0.15">
      <c r="A6390">
        <v>6389</v>
      </c>
      <c r="B6390" t="s">
        <v>339</v>
      </c>
      <c r="C6390" t="s">
        <v>353</v>
      </c>
      <c r="D6390" t="s">
        <v>10653</v>
      </c>
      <c r="E6390" t="s">
        <v>10649</v>
      </c>
      <c r="F6390" s="46">
        <v>46097.325956354172</v>
      </c>
      <c r="G6390" s="46">
        <v>46097.325956354172</v>
      </c>
      <c r="H6390">
        <v>0</v>
      </c>
    </row>
    <row r="6391" spans="1:8" x14ac:dyDescent="0.15">
      <c r="A6391">
        <v>6390</v>
      </c>
      <c r="B6391" t="s">
        <v>339</v>
      </c>
      <c r="C6391" t="s">
        <v>353</v>
      </c>
      <c r="D6391" t="s">
        <v>10654</v>
      </c>
      <c r="E6391" t="s">
        <v>10649</v>
      </c>
      <c r="F6391" s="46">
        <v>46097.325956354172</v>
      </c>
      <c r="G6391" s="46">
        <v>46097.325956354172</v>
      </c>
      <c r="H6391">
        <v>0</v>
      </c>
    </row>
    <row r="6392" spans="1:8" x14ac:dyDescent="0.15">
      <c r="A6392">
        <v>6391</v>
      </c>
      <c r="B6392" t="s">
        <v>339</v>
      </c>
      <c r="C6392" t="s">
        <v>353</v>
      </c>
      <c r="D6392" t="s">
        <v>10655</v>
      </c>
      <c r="E6392" t="s">
        <v>10649</v>
      </c>
      <c r="F6392" s="46">
        <v>46097.325956354172</v>
      </c>
      <c r="G6392" s="46">
        <v>46097.325956354172</v>
      </c>
      <c r="H6392">
        <v>0</v>
      </c>
    </row>
    <row r="6393" spans="1:8" x14ac:dyDescent="0.15">
      <c r="A6393">
        <v>6392</v>
      </c>
      <c r="B6393" t="s">
        <v>339</v>
      </c>
      <c r="C6393" t="s">
        <v>353</v>
      </c>
      <c r="D6393" t="s">
        <v>10656</v>
      </c>
      <c r="E6393" t="s">
        <v>10649</v>
      </c>
      <c r="F6393" s="46">
        <v>46097.325956354172</v>
      </c>
      <c r="G6393" s="46">
        <v>46097.325956354172</v>
      </c>
      <c r="H6393">
        <v>0</v>
      </c>
    </row>
    <row r="6394" spans="1:8" x14ac:dyDescent="0.15">
      <c r="A6394">
        <v>6393</v>
      </c>
      <c r="B6394" t="s">
        <v>339</v>
      </c>
      <c r="C6394" t="s">
        <v>353</v>
      </c>
      <c r="D6394" t="s">
        <v>10657</v>
      </c>
      <c r="E6394" t="s">
        <v>10649</v>
      </c>
      <c r="F6394" s="46">
        <v>46097.325956354172</v>
      </c>
      <c r="G6394" s="46">
        <v>46097.325956354172</v>
      </c>
      <c r="H6394">
        <v>0</v>
      </c>
    </row>
    <row r="6395" spans="1:8" x14ac:dyDescent="0.15">
      <c r="A6395">
        <v>6394</v>
      </c>
      <c r="B6395" t="s">
        <v>339</v>
      </c>
      <c r="C6395" t="s">
        <v>353</v>
      </c>
      <c r="D6395" t="s">
        <v>10658</v>
      </c>
      <c r="E6395" t="s">
        <v>10649</v>
      </c>
      <c r="F6395" s="46">
        <v>46097.325956354172</v>
      </c>
      <c r="G6395" s="46">
        <v>46097.325956354172</v>
      </c>
      <c r="H6395">
        <v>0</v>
      </c>
    </row>
    <row r="6396" spans="1:8" x14ac:dyDescent="0.15">
      <c r="A6396">
        <v>6395</v>
      </c>
      <c r="B6396" t="s">
        <v>339</v>
      </c>
      <c r="C6396" t="s">
        <v>353</v>
      </c>
      <c r="D6396" t="s">
        <v>10659</v>
      </c>
      <c r="E6396" t="s">
        <v>10649</v>
      </c>
      <c r="F6396" s="46">
        <v>46097.325956354172</v>
      </c>
      <c r="G6396" s="46">
        <v>46097.325956354172</v>
      </c>
      <c r="H6396">
        <v>0</v>
      </c>
    </row>
    <row r="6397" spans="1:8" x14ac:dyDescent="0.15">
      <c r="A6397">
        <v>6396</v>
      </c>
      <c r="B6397" t="s">
        <v>339</v>
      </c>
      <c r="C6397" t="s">
        <v>353</v>
      </c>
      <c r="D6397" t="s">
        <v>10660</v>
      </c>
      <c r="E6397" t="s">
        <v>10649</v>
      </c>
      <c r="F6397" s="46">
        <v>46097.325956354172</v>
      </c>
      <c r="G6397" s="46">
        <v>46097.325956354172</v>
      </c>
      <c r="H6397">
        <v>0</v>
      </c>
    </row>
    <row r="6398" spans="1:8" x14ac:dyDescent="0.15">
      <c r="A6398">
        <v>6397</v>
      </c>
      <c r="B6398" t="s">
        <v>339</v>
      </c>
      <c r="C6398" t="s">
        <v>353</v>
      </c>
      <c r="D6398" t="s">
        <v>10661</v>
      </c>
      <c r="E6398" t="s">
        <v>10649</v>
      </c>
      <c r="F6398" s="46">
        <v>46097.325956354172</v>
      </c>
      <c r="G6398" s="46">
        <v>46097.325956527777</v>
      </c>
      <c r="H6398">
        <v>16</v>
      </c>
    </row>
    <row r="6399" spans="1:8" x14ac:dyDescent="0.15">
      <c r="A6399">
        <v>6398</v>
      </c>
      <c r="B6399" t="s">
        <v>339</v>
      </c>
      <c r="C6399" t="s">
        <v>353</v>
      </c>
      <c r="D6399" t="s">
        <v>10662</v>
      </c>
      <c r="E6399" t="s">
        <v>10649</v>
      </c>
      <c r="F6399" s="46">
        <v>46097.325956527777</v>
      </c>
      <c r="G6399" s="46">
        <v>46097.325956527777</v>
      </c>
      <c r="H6399">
        <v>0</v>
      </c>
    </row>
    <row r="6400" spans="1:8" x14ac:dyDescent="0.15">
      <c r="A6400">
        <v>6399</v>
      </c>
      <c r="B6400" t="s">
        <v>339</v>
      </c>
      <c r="C6400" t="s">
        <v>353</v>
      </c>
      <c r="D6400" t="s">
        <v>10663</v>
      </c>
      <c r="E6400" t="s">
        <v>10649</v>
      </c>
      <c r="F6400" s="46">
        <v>46097.325956527777</v>
      </c>
      <c r="G6400" s="46">
        <v>46097.325956527777</v>
      </c>
      <c r="H6400">
        <v>0</v>
      </c>
    </row>
    <row r="6401" spans="1:8" x14ac:dyDescent="0.15">
      <c r="A6401">
        <v>6400</v>
      </c>
      <c r="B6401" t="s">
        <v>339</v>
      </c>
      <c r="C6401" t="s">
        <v>353</v>
      </c>
      <c r="D6401" t="s">
        <v>10664</v>
      </c>
      <c r="E6401" t="s">
        <v>10649</v>
      </c>
      <c r="F6401" s="46">
        <v>46097.325956527777</v>
      </c>
      <c r="G6401" s="46">
        <v>46097.325956527777</v>
      </c>
      <c r="H6401">
        <v>0</v>
      </c>
    </row>
    <row r="6402" spans="1:8" x14ac:dyDescent="0.15">
      <c r="A6402">
        <v>6401</v>
      </c>
      <c r="B6402" t="s">
        <v>339</v>
      </c>
      <c r="C6402" t="s">
        <v>353</v>
      </c>
      <c r="D6402" t="s">
        <v>10665</v>
      </c>
      <c r="E6402" t="s">
        <v>10649</v>
      </c>
      <c r="F6402" s="46">
        <v>46097.325956527777</v>
      </c>
      <c r="G6402" s="46">
        <v>46097.325956527777</v>
      </c>
      <c r="H6402">
        <v>0</v>
      </c>
    </row>
    <row r="6403" spans="1:8" x14ac:dyDescent="0.15">
      <c r="A6403">
        <v>6402</v>
      </c>
      <c r="B6403" t="s">
        <v>339</v>
      </c>
      <c r="C6403" t="s">
        <v>353</v>
      </c>
      <c r="D6403" t="s">
        <v>10666</v>
      </c>
      <c r="E6403" t="s">
        <v>10649</v>
      </c>
      <c r="F6403" s="46">
        <v>46097.325956527777</v>
      </c>
      <c r="G6403" s="46">
        <v>46097.325956527777</v>
      </c>
      <c r="H6403">
        <v>0</v>
      </c>
    </row>
    <row r="6404" spans="1:8" x14ac:dyDescent="0.15">
      <c r="A6404">
        <v>6403</v>
      </c>
      <c r="B6404" t="s">
        <v>339</v>
      </c>
      <c r="C6404" t="s">
        <v>353</v>
      </c>
      <c r="D6404" t="s">
        <v>10667</v>
      </c>
      <c r="E6404" t="s">
        <v>10649</v>
      </c>
      <c r="F6404" s="46">
        <v>46097.325956527777</v>
      </c>
      <c r="G6404" s="46">
        <v>46097.325956527777</v>
      </c>
      <c r="H6404">
        <v>0</v>
      </c>
    </row>
    <row r="6405" spans="1:8" x14ac:dyDescent="0.15">
      <c r="A6405">
        <v>6404</v>
      </c>
      <c r="B6405" t="s">
        <v>339</v>
      </c>
      <c r="C6405" t="s">
        <v>353</v>
      </c>
      <c r="D6405" t="s">
        <v>10668</v>
      </c>
      <c r="E6405" t="s">
        <v>10649</v>
      </c>
      <c r="F6405" s="46">
        <v>46097.325956527777</v>
      </c>
      <c r="G6405" s="46">
        <v>46097.325956527777</v>
      </c>
      <c r="H6405">
        <v>0</v>
      </c>
    </row>
    <row r="6406" spans="1:8" x14ac:dyDescent="0.15">
      <c r="A6406">
        <v>6405</v>
      </c>
      <c r="B6406" t="s">
        <v>339</v>
      </c>
      <c r="C6406" t="s">
        <v>353</v>
      </c>
      <c r="D6406" t="s">
        <v>10669</v>
      </c>
      <c r="E6406" t="s">
        <v>10649</v>
      </c>
      <c r="F6406" s="46">
        <v>46097.325956527777</v>
      </c>
      <c r="G6406" s="46">
        <v>46097.325956527777</v>
      </c>
      <c r="H6406">
        <v>0</v>
      </c>
    </row>
    <row r="6407" spans="1:8" x14ac:dyDescent="0.15">
      <c r="A6407">
        <v>6406</v>
      </c>
      <c r="B6407" t="s">
        <v>339</v>
      </c>
      <c r="C6407" t="s">
        <v>353</v>
      </c>
      <c r="D6407" t="s">
        <v>10670</v>
      </c>
      <c r="E6407" t="s">
        <v>10649</v>
      </c>
      <c r="F6407" s="46">
        <v>46097.325956527777</v>
      </c>
      <c r="G6407" s="46">
        <v>46097.325956527777</v>
      </c>
      <c r="H6407">
        <v>0</v>
      </c>
    </row>
    <row r="6408" spans="1:8" x14ac:dyDescent="0.15">
      <c r="A6408">
        <v>6407</v>
      </c>
      <c r="B6408" t="s">
        <v>339</v>
      </c>
      <c r="C6408" t="s">
        <v>353</v>
      </c>
      <c r="D6408" t="s">
        <v>10671</v>
      </c>
      <c r="E6408" t="s">
        <v>10649</v>
      </c>
      <c r="F6408" s="46">
        <v>46097.325956527777</v>
      </c>
      <c r="G6408" s="46">
        <v>46097.325956527777</v>
      </c>
      <c r="H6408">
        <v>0</v>
      </c>
    </row>
    <row r="6409" spans="1:8" x14ac:dyDescent="0.15">
      <c r="A6409">
        <v>6408</v>
      </c>
      <c r="B6409" t="s">
        <v>339</v>
      </c>
      <c r="C6409" t="s">
        <v>353</v>
      </c>
      <c r="D6409" t="s">
        <v>10672</v>
      </c>
      <c r="E6409" t="s">
        <v>10649</v>
      </c>
      <c r="F6409" s="46">
        <v>46097.325956712957</v>
      </c>
      <c r="G6409" s="46">
        <v>46097.325956712957</v>
      </c>
      <c r="H6409">
        <v>0</v>
      </c>
    </row>
    <row r="6410" spans="1:8" x14ac:dyDescent="0.15">
      <c r="A6410">
        <v>6409</v>
      </c>
      <c r="B6410" t="s">
        <v>339</v>
      </c>
      <c r="C6410" t="s">
        <v>353</v>
      </c>
      <c r="D6410" t="s">
        <v>10673</v>
      </c>
      <c r="E6410" t="s">
        <v>10649</v>
      </c>
      <c r="F6410" s="46">
        <v>46097.325956712957</v>
      </c>
      <c r="G6410" s="46">
        <v>46097.325956712957</v>
      </c>
      <c r="H6410">
        <v>0</v>
      </c>
    </row>
    <row r="6411" spans="1:8" x14ac:dyDescent="0.15">
      <c r="A6411">
        <v>6410</v>
      </c>
      <c r="B6411" t="s">
        <v>339</v>
      </c>
      <c r="C6411" t="s">
        <v>353</v>
      </c>
      <c r="D6411" t="s">
        <v>10674</v>
      </c>
      <c r="E6411" t="s">
        <v>10649</v>
      </c>
      <c r="F6411" s="46">
        <v>46097.325956712957</v>
      </c>
      <c r="G6411" s="46">
        <v>46097.325956712957</v>
      </c>
      <c r="H6411">
        <v>0</v>
      </c>
    </row>
    <row r="6412" spans="1:8" x14ac:dyDescent="0.15">
      <c r="A6412">
        <v>6411</v>
      </c>
      <c r="B6412" t="s">
        <v>339</v>
      </c>
      <c r="C6412" t="s">
        <v>353</v>
      </c>
      <c r="D6412" t="s">
        <v>10675</v>
      </c>
      <c r="E6412" t="s">
        <v>10649</v>
      </c>
      <c r="F6412" s="46">
        <v>46097.325956712957</v>
      </c>
      <c r="G6412" s="46">
        <v>46097.325956712957</v>
      </c>
      <c r="H6412">
        <v>0</v>
      </c>
    </row>
    <row r="6413" spans="1:8" x14ac:dyDescent="0.15">
      <c r="A6413">
        <v>6412</v>
      </c>
      <c r="B6413" t="s">
        <v>339</v>
      </c>
      <c r="C6413" t="s">
        <v>353</v>
      </c>
      <c r="D6413" t="s">
        <v>10676</v>
      </c>
      <c r="E6413" t="s">
        <v>10649</v>
      </c>
      <c r="F6413" s="46">
        <v>46097.325956712957</v>
      </c>
      <c r="G6413" s="46">
        <v>46097.325956712957</v>
      </c>
      <c r="H6413">
        <v>0</v>
      </c>
    </row>
    <row r="6414" spans="1:8" x14ac:dyDescent="0.15">
      <c r="A6414">
        <v>6413</v>
      </c>
      <c r="B6414" t="s">
        <v>339</v>
      </c>
      <c r="C6414" t="s">
        <v>353</v>
      </c>
      <c r="D6414" t="s">
        <v>10677</v>
      </c>
      <c r="E6414" t="s">
        <v>10649</v>
      </c>
      <c r="F6414" s="46">
        <v>46097.325956712957</v>
      </c>
      <c r="G6414" s="46">
        <v>46097.325956712957</v>
      </c>
      <c r="H6414">
        <v>0</v>
      </c>
    </row>
    <row r="6415" spans="1:8" x14ac:dyDescent="0.15">
      <c r="A6415">
        <v>6414</v>
      </c>
      <c r="B6415" t="s">
        <v>339</v>
      </c>
      <c r="C6415" t="s">
        <v>353</v>
      </c>
      <c r="D6415" t="s">
        <v>10678</v>
      </c>
      <c r="E6415" t="s">
        <v>10679</v>
      </c>
      <c r="F6415" s="46">
        <v>46097.325956712957</v>
      </c>
      <c r="G6415" s="46">
        <v>46097.325956712957</v>
      </c>
      <c r="H6415">
        <v>0</v>
      </c>
    </row>
    <row r="6416" spans="1:8" x14ac:dyDescent="0.15">
      <c r="A6416">
        <v>6415</v>
      </c>
      <c r="B6416" t="s">
        <v>339</v>
      </c>
      <c r="C6416" t="s">
        <v>353</v>
      </c>
      <c r="D6416" t="s">
        <v>10680</v>
      </c>
      <c r="E6416" t="s">
        <v>10681</v>
      </c>
      <c r="F6416" s="46">
        <v>46097.325956712957</v>
      </c>
      <c r="G6416" s="46">
        <v>46097.325956712957</v>
      </c>
      <c r="H6416">
        <v>0</v>
      </c>
    </row>
    <row r="6417" spans="1:8" x14ac:dyDescent="0.15">
      <c r="A6417">
        <v>6416</v>
      </c>
      <c r="B6417" t="s">
        <v>339</v>
      </c>
      <c r="C6417" t="s">
        <v>353</v>
      </c>
      <c r="D6417" t="s">
        <v>10682</v>
      </c>
      <c r="E6417" t="s">
        <v>10683</v>
      </c>
      <c r="F6417" s="46">
        <v>46097.325956712957</v>
      </c>
      <c r="G6417" s="46">
        <v>46097.325956712957</v>
      </c>
      <c r="H6417">
        <v>0</v>
      </c>
    </row>
    <row r="6418" spans="1:8" x14ac:dyDescent="0.15">
      <c r="A6418">
        <v>6417</v>
      </c>
      <c r="B6418" t="s">
        <v>339</v>
      </c>
      <c r="C6418" t="s">
        <v>353</v>
      </c>
      <c r="D6418" t="s">
        <v>10684</v>
      </c>
      <c r="E6418" t="s">
        <v>10683</v>
      </c>
      <c r="F6418" s="46">
        <v>46097.325956712957</v>
      </c>
      <c r="G6418" s="46">
        <v>46097.325956712957</v>
      </c>
      <c r="H6418">
        <v>0</v>
      </c>
    </row>
    <row r="6419" spans="1:8" x14ac:dyDescent="0.15">
      <c r="A6419">
        <v>6418</v>
      </c>
      <c r="B6419" t="s">
        <v>339</v>
      </c>
      <c r="C6419" t="s">
        <v>353</v>
      </c>
      <c r="D6419" t="s">
        <v>10685</v>
      </c>
      <c r="E6419" t="s">
        <v>10683</v>
      </c>
      <c r="F6419" s="46">
        <v>46097.325956712957</v>
      </c>
      <c r="G6419" s="46">
        <v>46097.325956886583</v>
      </c>
      <c r="H6419">
        <v>16</v>
      </c>
    </row>
    <row r="6420" spans="1:8" x14ac:dyDescent="0.15">
      <c r="A6420">
        <v>6419</v>
      </c>
      <c r="B6420" t="s">
        <v>339</v>
      </c>
      <c r="C6420" t="s">
        <v>353</v>
      </c>
      <c r="D6420" t="s">
        <v>10686</v>
      </c>
      <c r="E6420" t="s">
        <v>10683</v>
      </c>
      <c r="F6420" s="46">
        <v>46097.325956886583</v>
      </c>
      <c r="G6420" s="46">
        <v>46097.325956886583</v>
      </c>
      <c r="H6420">
        <v>0</v>
      </c>
    </row>
    <row r="6421" spans="1:8" x14ac:dyDescent="0.15">
      <c r="A6421">
        <v>6420</v>
      </c>
      <c r="B6421" t="s">
        <v>339</v>
      </c>
      <c r="C6421" t="s">
        <v>353</v>
      </c>
      <c r="D6421" t="s">
        <v>10687</v>
      </c>
      <c r="E6421" t="s">
        <v>10683</v>
      </c>
      <c r="F6421" s="46">
        <v>46097.325956886583</v>
      </c>
      <c r="G6421" s="46">
        <v>46097.325956886583</v>
      </c>
      <c r="H6421">
        <v>0</v>
      </c>
    </row>
    <row r="6422" spans="1:8" x14ac:dyDescent="0.15">
      <c r="A6422">
        <v>6421</v>
      </c>
      <c r="B6422" t="s">
        <v>339</v>
      </c>
      <c r="C6422" t="s">
        <v>353</v>
      </c>
      <c r="D6422" t="s">
        <v>10688</v>
      </c>
      <c r="E6422" t="s">
        <v>10689</v>
      </c>
      <c r="F6422" s="46">
        <v>46097.325956886583</v>
      </c>
      <c r="G6422" s="46">
        <v>46097.325956886583</v>
      </c>
      <c r="H6422">
        <v>0</v>
      </c>
    </row>
    <row r="6423" spans="1:8" x14ac:dyDescent="0.15">
      <c r="A6423">
        <v>6422</v>
      </c>
      <c r="B6423" t="s">
        <v>339</v>
      </c>
      <c r="C6423" t="s">
        <v>353</v>
      </c>
      <c r="D6423" t="s">
        <v>10690</v>
      </c>
      <c r="E6423" t="s">
        <v>10691</v>
      </c>
      <c r="F6423" s="46">
        <v>46097.325956886583</v>
      </c>
      <c r="G6423" s="46">
        <v>46097.325956886583</v>
      </c>
      <c r="H6423">
        <v>0</v>
      </c>
    </row>
    <row r="6424" spans="1:8" x14ac:dyDescent="0.15">
      <c r="A6424">
        <v>6423</v>
      </c>
      <c r="B6424" t="s">
        <v>339</v>
      </c>
      <c r="C6424" t="s">
        <v>353</v>
      </c>
      <c r="D6424" t="s">
        <v>10692</v>
      </c>
      <c r="E6424" t="s">
        <v>10691</v>
      </c>
      <c r="F6424" s="46">
        <v>46097.325956886583</v>
      </c>
      <c r="G6424" s="46">
        <v>46097.325956886583</v>
      </c>
      <c r="H6424">
        <v>0</v>
      </c>
    </row>
    <row r="6425" spans="1:8" x14ac:dyDescent="0.15">
      <c r="A6425">
        <v>6424</v>
      </c>
      <c r="B6425" t="s">
        <v>339</v>
      </c>
      <c r="C6425" t="s">
        <v>353</v>
      </c>
      <c r="D6425" t="s">
        <v>10693</v>
      </c>
      <c r="E6425" t="s">
        <v>10691</v>
      </c>
      <c r="F6425" s="46">
        <v>46097.325956886583</v>
      </c>
      <c r="G6425" s="46">
        <v>46097.325956886583</v>
      </c>
      <c r="H6425">
        <v>0</v>
      </c>
    </row>
    <row r="6426" spans="1:8" x14ac:dyDescent="0.15">
      <c r="A6426">
        <v>6425</v>
      </c>
      <c r="B6426" t="s">
        <v>339</v>
      </c>
      <c r="C6426" t="s">
        <v>353</v>
      </c>
      <c r="D6426" t="s">
        <v>10694</v>
      </c>
      <c r="E6426" t="s">
        <v>10691</v>
      </c>
      <c r="F6426" s="46">
        <v>46097.325956886583</v>
      </c>
      <c r="G6426" s="46">
        <v>46097.325956886583</v>
      </c>
      <c r="H6426">
        <v>0</v>
      </c>
    </row>
    <row r="6427" spans="1:8" x14ac:dyDescent="0.15">
      <c r="A6427">
        <v>6426</v>
      </c>
      <c r="B6427" t="s">
        <v>339</v>
      </c>
      <c r="C6427" t="s">
        <v>353</v>
      </c>
      <c r="D6427" t="s">
        <v>10695</v>
      </c>
      <c r="E6427" t="s">
        <v>10691</v>
      </c>
      <c r="F6427" s="46">
        <v>46097.325956886583</v>
      </c>
      <c r="G6427" s="46">
        <v>46097.325956886583</v>
      </c>
      <c r="H6427">
        <v>0</v>
      </c>
    </row>
    <row r="6428" spans="1:8" x14ac:dyDescent="0.15">
      <c r="A6428">
        <v>6427</v>
      </c>
      <c r="B6428" t="s">
        <v>339</v>
      </c>
      <c r="C6428" t="s">
        <v>353</v>
      </c>
      <c r="D6428" t="s">
        <v>10696</v>
      </c>
      <c r="E6428" t="s">
        <v>10691</v>
      </c>
      <c r="F6428" s="46">
        <v>46097.325956886583</v>
      </c>
      <c r="G6428" s="46">
        <v>46097.325956886583</v>
      </c>
      <c r="H6428">
        <v>0</v>
      </c>
    </row>
    <row r="6429" spans="1:8" x14ac:dyDescent="0.15">
      <c r="A6429">
        <v>6428</v>
      </c>
      <c r="B6429" t="s">
        <v>339</v>
      </c>
      <c r="C6429" t="s">
        <v>353</v>
      </c>
      <c r="D6429" t="s">
        <v>10697</v>
      </c>
      <c r="E6429" t="s">
        <v>10691</v>
      </c>
      <c r="F6429" s="46">
        <v>46097.325956886583</v>
      </c>
      <c r="G6429" s="46">
        <v>46097.325957071756</v>
      </c>
      <c r="H6429">
        <v>16</v>
      </c>
    </row>
    <row r="6430" spans="1:8" x14ac:dyDescent="0.15">
      <c r="A6430">
        <v>6429</v>
      </c>
      <c r="B6430" t="s">
        <v>339</v>
      </c>
      <c r="C6430" t="s">
        <v>353</v>
      </c>
      <c r="D6430" t="s">
        <v>10698</v>
      </c>
      <c r="E6430" t="s">
        <v>10691</v>
      </c>
      <c r="F6430" s="46">
        <v>46097.325957071756</v>
      </c>
      <c r="G6430" s="46">
        <v>46097.325957071756</v>
      </c>
      <c r="H6430">
        <v>0</v>
      </c>
    </row>
    <row r="6431" spans="1:8" x14ac:dyDescent="0.15">
      <c r="A6431">
        <v>6430</v>
      </c>
      <c r="B6431" t="s">
        <v>339</v>
      </c>
      <c r="C6431" t="s">
        <v>353</v>
      </c>
      <c r="D6431" t="s">
        <v>10699</v>
      </c>
      <c r="E6431" t="s">
        <v>10691</v>
      </c>
      <c r="F6431" s="46">
        <v>46097.325957071756</v>
      </c>
      <c r="G6431" s="46">
        <v>46097.325957071756</v>
      </c>
      <c r="H6431">
        <v>0</v>
      </c>
    </row>
    <row r="6432" spans="1:8" x14ac:dyDescent="0.15">
      <c r="A6432">
        <v>6431</v>
      </c>
      <c r="B6432" t="s">
        <v>339</v>
      </c>
      <c r="C6432" t="s">
        <v>353</v>
      </c>
      <c r="D6432" t="s">
        <v>10700</v>
      </c>
      <c r="E6432" t="s">
        <v>10691</v>
      </c>
      <c r="F6432" s="46">
        <v>46097.325957071756</v>
      </c>
      <c r="G6432" s="46">
        <v>46097.325957071756</v>
      </c>
      <c r="H6432">
        <v>0</v>
      </c>
    </row>
    <row r="6433" spans="1:8" x14ac:dyDescent="0.15">
      <c r="A6433">
        <v>6432</v>
      </c>
      <c r="B6433" t="s">
        <v>339</v>
      </c>
      <c r="C6433" t="s">
        <v>353</v>
      </c>
      <c r="D6433" t="s">
        <v>10701</v>
      </c>
      <c r="E6433" t="s">
        <v>10702</v>
      </c>
      <c r="F6433" s="46">
        <v>46097.325957071756</v>
      </c>
      <c r="G6433" s="46">
        <v>46097.325957071756</v>
      </c>
      <c r="H6433">
        <v>0</v>
      </c>
    </row>
    <row r="6434" spans="1:8" x14ac:dyDescent="0.15">
      <c r="A6434">
        <v>6433</v>
      </c>
      <c r="B6434" t="s">
        <v>339</v>
      </c>
      <c r="C6434" t="s">
        <v>353</v>
      </c>
      <c r="D6434" t="s">
        <v>10703</v>
      </c>
      <c r="E6434" t="s">
        <v>10702</v>
      </c>
      <c r="F6434" s="46">
        <v>46097.325957071756</v>
      </c>
      <c r="G6434" s="46">
        <v>46097.325957071756</v>
      </c>
      <c r="H6434">
        <v>0</v>
      </c>
    </row>
    <row r="6435" spans="1:8" x14ac:dyDescent="0.15">
      <c r="A6435">
        <v>6434</v>
      </c>
      <c r="B6435" t="s">
        <v>339</v>
      </c>
      <c r="C6435" t="s">
        <v>353</v>
      </c>
      <c r="D6435" t="s">
        <v>10704</v>
      </c>
      <c r="E6435" t="s">
        <v>10705</v>
      </c>
      <c r="F6435" s="46">
        <v>46097.325957071756</v>
      </c>
      <c r="G6435" s="46">
        <v>46097.325957071756</v>
      </c>
      <c r="H6435">
        <v>0</v>
      </c>
    </row>
    <row r="6436" spans="1:8" x14ac:dyDescent="0.15">
      <c r="A6436">
        <v>6435</v>
      </c>
      <c r="B6436" t="s">
        <v>339</v>
      </c>
      <c r="C6436" t="s">
        <v>353</v>
      </c>
      <c r="D6436" t="s">
        <v>10706</v>
      </c>
      <c r="E6436" t="s">
        <v>10705</v>
      </c>
      <c r="F6436" s="46">
        <v>46097.325957071756</v>
      </c>
      <c r="G6436" s="46">
        <v>46097.325957071756</v>
      </c>
      <c r="H6436">
        <v>0</v>
      </c>
    </row>
    <row r="6437" spans="1:8" x14ac:dyDescent="0.15">
      <c r="A6437">
        <v>6436</v>
      </c>
      <c r="B6437" t="s">
        <v>339</v>
      </c>
      <c r="C6437" t="s">
        <v>353</v>
      </c>
      <c r="D6437" t="s">
        <v>10707</v>
      </c>
      <c r="E6437" t="s">
        <v>10708</v>
      </c>
      <c r="F6437" s="46">
        <v>46097.325957071756</v>
      </c>
      <c r="G6437" s="46">
        <v>46097.325957071756</v>
      </c>
      <c r="H6437">
        <v>0</v>
      </c>
    </row>
    <row r="6438" spans="1:8" x14ac:dyDescent="0.15">
      <c r="A6438">
        <v>6437</v>
      </c>
      <c r="B6438" t="s">
        <v>339</v>
      </c>
      <c r="C6438" t="s">
        <v>353</v>
      </c>
      <c r="D6438" t="s">
        <v>10709</v>
      </c>
      <c r="E6438" t="s">
        <v>10708</v>
      </c>
      <c r="F6438" s="46">
        <v>46097.325957071756</v>
      </c>
      <c r="G6438" s="46">
        <v>46097.325957071756</v>
      </c>
      <c r="H6438">
        <v>0</v>
      </c>
    </row>
    <row r="6439" spans="1:8" x14ac:dyDescent="0.15">
      <c r="A6439">
        <v>6438</v>
      </c>
      <c r="B6439" t="s">
        <v>339</v>
      </c>
      <c r="C6439" t="s">
        <v>353</v>
      </c>
      <c r="D6439" t="s">
        <v>10710</v>
      </c>
      <c r="E6439" t="s">
        <v>10711</v>
      </c>
      <c r="F6439" s="46">
        <v>46097.325957071756</v>
      </c>
      <c r="G6439" s="46">
        <v>46097.325957071756</v>
      </c>
      <c r="H6439">
        <v>0</v>
      </c>
    </row>
    <row r="6440" spans="1:8" x14ac:dyDescent="0.15">
      <c r="A6440">
        <v>6439</v>
      </c>
      <c r="B6440" t="s">
        <v>339</v>
      </c>
      <c r="C6440" t="s">
        <v>353</v>
      </c>
      <c r="D6440" t="s">
        <v>10712</v>
      </c>
      <c r="E6440" t="s">
        <v>10713</v>
      </c>
      <c r="F6440" s="46">
        <v>46097.325957071756</v>
      </c>
      <c r="G6440" s="46">
        <v>46097.325957256937</v>
      </c>
      <c r="H6440">
        <v>15</v>
      </c>
    </row>
    <row r="6441" spans="1:8" x14ac:dyDescent="0.15">
      <c r="A6441">
        <v>6440</v>
      </c>
      <c r="B6441" t="s">
        <v>339</v>
      </c>
      <c r="C6441" t="s">
        <v>353</v>
      </c>
      <c r="D6441" t="s">
        <v>10714</v>
      </c>
      <c r="E6441" t="s">
        <v>10715</v>
      </c>
      <c r="F6441" s="46">
        <v>46097.325957256937</v>
      </c>
      <c r="G6441" s="46">
        <v>46097.325957256937</v>
      </c>
      <c r="H6441">
        <v>0</v>
      </c>
    </row>
    <row r="6442" spans="1:8" x14ac:dyDescent="0.15">
      <c r="A6442">
        <v>6441</v>
      </c>
      <c r="B6442" t="s">
        <v>339</v>
      </c>
      <c r="C6442" t="s">
        <v>353</v>
      </c>
      <c r="D6442" t="s">
        <v>10716</v>
      </c>
      <c r="E6442" t="s">
        <v>10717</v>
      </c>
      <c r="F6442" s="46">
        <v>46097.325957256937</v>
      </c>
      <c r="G6442" s="46">
        <v>46097.325957256937</v>
      </c>
      <c r="H6442">
        <v>0</v>
      </c>
    </row>
    <row r="6443" spans="1:8" x14ac:dyDescent="0.15">
      <c r="A6443">
        <v>6442</v>
      </c>
      <c r="B6443" t="s">
        <v>339</v>
      </c>
      <c r="C6443" t="s">
        <v>353</v>
      </c>
      <c r="D6443" t="s">
        <v>10718</v>
      </c>
      <c r="E6443" t="s">
        <v>10719</v>
      </c>
      <c r="F6443" s="46">
        <v>46097.325957256937</v>
      </c>
      <c r="G6443" s="46">
        <v>46097.325957256937</v>
      </c>
      <c r="H6443">
        <v>0</v>
      </c>
    </row>
    <row r="6444" spans="1:8" x14ac:dyDescent="0.15">
      <c r="A6444">
        <v>6443</v>
      </c>
      <c r="B6444" t="s">
        <v>339</v>
      </c>
      <c r="C6444" t="s">
        <v>353</v>
      </c>
      <c r="D6444" t="s">
        <v>10720</v>
      </c>
      <c r="E6444" t="s">
        <v>10721</v>
      </c>
      <c r="F6444" s="46">
        <v>46097.325957256937</v>
      </c>
      <c r="G6444" s="46">
        <v>46097.325957256937</v>
      </c>
      <c r="H6444">
        <v>0</v>
      </c>
    </row>
    <row r="6445" spans="1:8" x14ac:dyDescent="0.15">
      <c r="A6445">
        <v>6444</v>
      </c>
      <c r="B6445" t="s">
        <v>339</v>
      </c>
      <c r="C6445" t="s">
        <v>353</v>
      </c>
      <c r="D6445" t="s">
        <v>10722</v>
      </c>
      <c r="E6445" t="s">
        <v>10721</v>
      </c>
      <c r="F6445" s="46">
        <v>46097.325957256937</v>
      </c>
      <c r="G6445" s="46">
        <v>46097.325957256937</v>
      </c>
      <c r="H6445">
        <v>0</v>
      </c>
    </row>
    <row r="6446" spans="1:8" x14ac:dyDescent="0.15">
      <c r="A6446">
        <v>6445</v>
      </c>
      <c r="B6446" t="s">
        <v>339</v>
      </c>
      <c r="C6446" t="s">
        <v>353</v>
      </c>
      <c r="D6446" t="s">
        <v>10723</v>
      </c>
      <c r="E6446" t="s">
        <v>10724</v>
      </c>
      <c r="F6446" s="46">
        <v>46097.325957256937</v>
      </c>
      <c r="G6446" s="46">
        <v>46097.325957256937</v>
      </c>
      <c r="H6446">
        <v>0</v>
      </c>
    </row>
    <row r="6447" spans="1:8" x14ac:dyDescent="0.15">
      <c r="A6447">
        <v>6446</v>
      </c>
      <c r="B6447" t="s">
        <v>339</v>
      </c>
      <c r="C6447" t="s">
        <v>353</v>
      </c>
      <c r="D6447" t="s">
        <v>10725</v>
      </c>
      <c r="E6447" t="s">
        <v>10726</v>
      </c>
      <c r="F6447" s="46">
        <v>46097.325957256937</v>
      </c>
      <c r="G6447" s="46">
        <v>46097.325957256937</v>
      </c>
      <c r="H6447">
        <v>0</v>
      </c>
    </row>
    <row r="6448" spans="1:8" x14ac:dyDescent="0.15">
      <c r="A6448">
        <v>6447</v>
      </c>
      <c r="B6448" t="s">
        <v>339</v>
      </c>
      <c r="C6448" t="s">
        <v>353</v>
      </c>
      <c r="D6448" t="s">
        <v>10727</v>
      </c>
      <c r="E6448" t="s">
        <v>10726</v>
      </c>
      <c r="F6448" s="46">
        <v>46097.325957256937</v>
      </c>
      <c r="G6448" s="46">
        <v>46097.325957256937</v>
      </c>
      <c r="H6448">
        <v>0</v>
      </c>
    </row>
    <row r="6449" spans="1:8" x14ac:dyDescent="0.15">
      <c r="A6449">
        <v>6448</v>
      </c>
      <c r="B6449" t="s">
        <v>339</v>
      </c>
      <c r="C6449" t="s">
        <v>353</v>
      </c>
      <c r="D6449" t="s">
        <v>10728</v>
      </c>
      <c r="E6449" t="s">
        <v>10729</v>
      </c>
      <c r="F6449" s="46">
        <v>46097.325957256937</v>
      </c>
      <c r="G6449" s="46">
        <v>46097.325957256937</v>
      </c>
      <c r="H6449">
        <v>0</v>
      </c>
    </row>
    <row r="6450" spans="1:8" x14ac:dyDescent="0.15">
      <c r="A6450">
        <v>6449</v>
      </c>
      <c r="B6450" t="s">
        <v>339</v>
      </c>
      <c r="C6450" t="s">
        <v>353</v>
      </c>
      <c r="D6450" t="s">
        <v>10730</v>
      </c>
      <c r="E6450" t="s">
        <v>10731</v>
      </c>
      <c r="F6450" s="46">
        <v>46097.325957256937</v>
      </c>
      <c r="G6450" s="46">
        <v>46097.325957430563</v>
      </c>
      <c r="H6450">
        <v>16</v>
      </c>
    </row>
    <row r="6451" spans="1:8" x14ac:dyDescent="0.15">
      <c r="A6451">
        <v>6450</v>
      </c>
      <c r="B6451" t="s">
        <v>339</v>
      </c>
      <c r="C6451" t="s">
        <v>353</v>
      </c>
      <c r="D6451" t="s">
        <v>10732</v>
      </c>
      <c r="E6451" t="s">
        <v>10731</v>
      </c>
      <c r="F6451" s="46">
        <v>46097.325957430563</v>
      </c>
      <c r="G6451" s="46">
        <v>46097.325957430563</v>
      </c>
      <c r="H6451">
        <v>0</v>
      </c>
    </row>
    <row r="6452" spans="1:8" x14ac:dyDescent="0.15">
      <c r="A6452">
        <v>6451</v>
      </c>
      <c r="B6452" t="s">
        <v>339</v>
      </c>
      <c r="C6452" t="s">
        <v>353</v>
      </c>
      <c r="D6452" t="s">
        <v>10733</v>
      </c>
      <c r="E6452" t="s">
        <v>10731</v>
      </c>
      <c r="F6452" s="46">
        <v>46097.325957430563</v>
      </c>
      <c r="G6452" s="46">
        <v>46097.325957430563</v>
      </c>
      <c r="H6452">
        <v>0</v>
      </c>
    </row>
    <row r="6453" spans="1:8" x14ac:dyDescent="0.15">
      <c r="A6453">
        <v>6452</v>
      </c>
      <c r="B6453" t="s">
        <v>339</v>
      </c>
      <c r="C6453" t="s">
        <v>353</v>
      </c>
      <c r="D6453" t="s">
        <v>10734</v>
      </c>
      <c r="E6453" t="s">
        <v>10731</v>
      </c>
      <c r="F6453" s="46">
        <v>46097.325957430563</v>
      </c>
      <c r="G6453" s="46">
        <v>46097.325957430563</v>
      </c>
      <c r="H6453">
        <v>0</v>
      </c>
    </row>
    <row r="6454" spans="1:8" x14ac:dyDescent="0.15">
      <c r="A6454">
        <v>6453</v>
      </c>
      <c r="B6454" t="s">
        <v>339</v>
      </c>
      <c r="C6454" t="s">
        <v>353</v>
      </c>
      <c r="D6454" t="s">
        <v>10735</v>
      </c>
      <c r="E6454" t="s">
        <v>10731</v>
      </c>
      <c r="F6454" s="46">
        <v>46097.325957430563</v>
      </c>
      <c r="G6454" s="46">
        <v>46097.325957430563</v>
      </c>
      <c r="H6454">
        <v>0</v>
      </c>
    </row>
    <row r="6455" spans="1:8" x14ac:dyDescent="0.15">
      <c r="A6455">
        <v>6454</v>
      </c>
      <c r="B6455" t="s">
        <v>339</v>
      </c>
      <c r="C6455" t="s">
        <v>353</v>
      </c>
      <c r="D6455" t="s">
        <v>10736</v>
      </c>
      <c r="E6455" t="s">
        <v>10737</v>
      </c>
      <c r="F6455" s="46">
        <v>46097.325957430563</v>
      </c>
      <c r="G6455" s="46">
        <v>46097.325957430563</v>
      </c>
      <c r="H6455">
        <v>0</v>
      </c>
    </row>
    <row r="6456" spans="1:8" x14ac:dyDescent="0.15">
      <c r="A6456">
        <v>6455</v>
      </c>
      <c r="B6456" t="s">
        <v>339</v>
      </c>
      <c r="C6456" t="s">
        <v>353</v>
      </c>
      <c r="D6456" t="s">
        <v>10738</v>
      </c>
      <c r="E6456" t="s">
        <v>10737</v>
      </c>
      <c r="F6456" s="46">
        <v>46097.325957430563</v>
      </c>
      <c r="G6456" s="46">
        <v>46097.325957430563</v>
      </c>
      <c r="H6456">
        <v>0</v>
      </c>
    </row>
    <row r="6457" spans="1:8" x14ac:dyDescent="0.15">
      <c r="A6457">
        <v>6456</v>
      </c>
      <c r="B6457" t="s">
        <v>339</v>
      </c>
      <c r="C6457" t="s">
        <v>353</v>
      </c>
      <c r="D6457" t="s">
        <v>10739</v>
      </c>
      <c r="E6457" t="s">
        <v>10737</v>
      </c>
      <c r="F6457" s="46">
        <v>46097.325957430563</v>
      </c>
      <c r="G6457" s="46">
        <v>46097.325957430563</v>
      </c>
      <c r="H6457">
        <v>0</v>
      </c>
    </row>
    <row r="6458" spans="1:8" x14ac:dyDescent="0.15">
      <c r="A6458">
        <v>6457</v>
      </c>
      <c r="B6458" t="s">
        <v>339</v>
      </c>
      <c r="C6458" t="s">
        <v>353</v>
      </c>
      <c r="D6458" t="s">
        <v>10740</v>
      </c>
      <c r="E6458" t="s">
        <v>10737</v>
      </c>
      <c r="F6458" s="46">
        <v>46097.325957430563</v>
      </c>
      <c r="G6458" s="46">
        <v>46097.325957430563</v>
      </c>
      <c r="H6458">
        <v>0</v>
      </c>
    </row>
    <row r="6459" spans="1:8" x14ac:dyDescent="0.15">
      <c r="A6459">
        <v>6458</v>
      </c>
      <c r="B6459" t="s">
        <v>339</v>
      </c>
      <c r="C6459" t="s">
        <v>353</v>
      </c>
      <c r="D6459" t="s">
        <v>10741</v>
      </c>
      <c r="E6459" t="s">
        <v>10737</v>
      </c>
      <c r="F6459" s="46">
        <v>46097.325957430563</v>
      </c>
      <c r="G6459" s="46">
        <v>46097.325957430563</v>
      </c>
      <c r="H6459">
        <v>0</v>
      </c>
    </row>
    <row r="6460" spans="1:8" x14ac:dyDescent="0.15">
      <c r="A6460">
        <v>6459</v>
      </c>
      <c r="B6460" t="s">
        <v>339</v>
      </c>
      <c r="C6460" t="s">
        <v>353</v>
      </c>
      <c r="D6460" t="s">
        <v>10742</v>
      </c>
      <c r="E6460" t="s">
        <v>10743</v>
      </c>
      <c r="F6460" s="46">
        <v>46097.325957430563</v>
      </c>
      <c r="G6460" s="46">
        <v>46097.325957430563</v>
      </c>
      <c r="H6460">
        <v>0</v>
      </c>
    </row>
    <row r="6461" spans="1:8" x14ac:dyDescent="0.15">
      <c r="A6461">
        <v>6460</v>
      </c>
      <c r="B6461" t="s">
        <v>339</v>
      </c>
      <c r="C6461" t="s">
        <v>353</v>
      </c>
      <c r="D6461" t="s">
        <v>10744</v>
      </c>
      <c r="E6461" t="s">
        <v>10743</v>
      </c>
      <c r="F6461" s="46">
        <v>46097.325957430563</v>
      </c>
      <c r="G6461" s="46">
        <v>46097.325957615743</v>
      </c>
      <c r="H6461">
        <v>15</v>
      </c>
    </row>
    <row r="6462" spans="1:8" x14ac:dyDescent="0.15">
      <c r="A6462">
        <v>6461</v>
      </c>
      <c r="B6462" t="s">
        <v>339</v>
      </c>
      <c r="C6462" t="s">
        <v>353</v>
      </c>
      <c r="D6462" t="s">
        <v>10745</v>
      </c>
      <c r="E6462" t="s">
        <v>10746</v>
      </c>
      <c r="F6462" s="46">
        <v>46097.325957615743</v>
      </c>
      <c r="G6462" s="46">
        <v>46097.325957615743</v>
      </c>
      <c r="H6462">
        <v>0</v>
      </c>
    </row>
    <row r="6463" spans="1:8" x14ac:dyDescent="0.15">
      <c r="A6463">
        <v>6462</v>
      </c>
      <c r="B6463" t="s">
        <v>339</v>
      </c>
      <c r="C6463" t="s">
        <v>353</v>
      </c>
      <c r="D6463" t="s">
        <v>10747</v>
      </c>
      <c r="E6463" t="s">
        <v>10746</v>
      </c>
      <c r="F6463" s="46">
        <v>46097.325957615743</v>
      </c>
      <c r="G6463" s="46">
        <v>46097.325957615743</v>
      </c>
      <c r="H6463">
        <v>0</v>
      </c>
    </row>
    <row r="6464" spans="1:8" x14ac:dyDescent="0.15">
      <c r="A6464">
        <v>6463</v>
      </c>
      <c r="B6464" t="s">
        <v>339</v>
      </c>
      <c r="C6464" t="s">
        <v>353</v>
      </c>
      <c r="D6464" t="s">
        <v>10748</v>
      </c>
      <c r="E6464" t="s">
        <v>10746</v>
      </c>
      <c r="F6464" s="46">
        <v>46097.325957615743</v>
      </c>
      <c r="G6464" s="46">
        <v>46097.325957615743</v>
      </c>
      <c r="H6464">
        <v>0</v>
      </c>
    </row>
    <row r="6465" spans="1:8" x14ac:dyDescent="0.15">
      <c r="A6465">
        <v>6464</v>
      </c>
      <c r="B6465" t="s">
        <v>339</v>
      </c>
      <c r="C6465" t="s">
        <v>353</v>
      </c>
      <c r="D6465" t="s">
        <v>10749</v>
      </c>
      <c r="E6465" t="s">
        <v>10746</v>
      </c>
      <c r="F6465" s="46">
        <v>46097.325957615743</v>
      </c>
      <c r="G6465" s="46">
        <v>46097.325957615743</v>
      </c>
      <c r="H6465">
        <v>0</v>
      </c>
    </row>
    <row r="6466" spans="1:8" x14ac:dyDescent="0.15">
      <c r="A6466">
        <v>6465</v>
      </c>
      <c r="B6466" t="s">
        <v>339</v>
      </c>
      <c r="C6466" t="s">
        <v>353</v>
      </c>
      <c r="D6466" t="s">
        <v>10750</v>
      </c>
      <c r="E6466" t="s">
        <v>10746</v>
      </c>
      <c r="F6466" s="46">
        <v>46097.325957615743</v>
      </c>
      <c r="G6466" s="46">
        <v>46097.325957615743</v>
      </c>
      <c r="H6466">
        <v>0</v>
      </c>
    </row>
    <row r="6467" spans="1:8" x14ac:dyDescent="0.15">
      <c r="A6467">
        <v>6466</v>
      </c>
      <c r="B6467" t="s">
        <v>339</v>
      </c>
      <c r="C6467" t="s">
        <v>353</v>
      </c>
      <c r="D6467" t="s">
        <v>10751</v>
      </c>
      <c r="E6467" t="s">
        <v>10746</v>
      </c>
      <c r="F6467" s="46">
        <v>46097.325957615743</v>
      </c>
      <c r="G6467" s="46">
        <v>46097.325957615743</v>
      </c>
      <c r="H6467">
        <v>0</v>
      </c>
    </row>
    <row r="6468" spans="1:8" x14ac:dyDescent="0.15">
      <c r="A6468">
        <v>6467</v>
      </c>
      <c r="B6468" t="s">
        <v>339</v>
      </c>
      <c r="C6468" t="s">
        <v>353</v>
      </c>
      <c r="D6468" t="s">
        <v>10752</v>
      </c>
      <c r="E6468" t="s">
        <v>10753</v>
      </c>
      <c r="F6468" s="46">
        <v>46097.325957615743</v>
      </c>
      <c r="G6468" s="46">
        <v>46097.325957615743</v>
      </c>
      <c r="H6468">
        <v>0</v>
      </c>
    </row>
    <row r="6469" spans="1:8" x14ac:dyDescent="0.15">
      <c r="A6469">
        <v>6468</v>
      </c>
      <c r="B6469" t="s">
        <v>339</v>
      </c>
      <c r="C6469" t="s">
        <v>353</v>
      </c>
      <c r="D6469" t="s">
        <v>10754</v>
      </c>
      <c r="E6469" t="s">
        <v>10755</v>
      </c>
      <c r="F6469" s="46">
        <v>46097.325957615743</v>
      </c>
      <c r="G6469" s="46">
        <v>46097.325957615743</v>
      </c>
      <c r="H6469">
        <v>0</v>
      </c>
    </row>
    <row r="6470" spans="1:8" x14ac:dyDescent="0.15">
      <c r="A6470">
        <v>6469</v>
      </c>
      <c r="B6470" t="s">
        <v>339</v>
      </c>
      <c r="C6470" t="s">
        <v>353</v>
      </c>
      <c r="D6470" t="s">
        <v>10756</v>
      </c>
      <c r="E6470" t="s">
        <v>10757</v>
      </c>
      <c r="F6470" s="46">
        <v>46097.325957615743</v>
      </c>
      <c r="G6470" s="46">
        <v>46097.325957615743</v>
      </c>
      <c r="H6470">
        <v>0</v>
      </c>
    </row>
    <row r="6471" spans="1:8" x14ac:dyDescent="0.15">
      <c r="A6471">
        <v>6470</v>
      </c>
      <c r="B6471" t="s">
        <v>339</v>
      </c>
      <c r="C6471" t="s">
        <v>353</v>
      </c>
      <c r="D6471" t="s">
        <v>10758</v>
      </c>
      <c r="E6471" t="s">
        <v>10757</v>
      </c>
      <c r="F6471" s="46">
        <v>46097.325957615743</v>
      </c>
      <c r="G6471" s="46">
        <v>46097.325957800917</v>
      </c>
      <c r="H6471">
        <v>16</v>
      </c>
    </row>
    <row r="6472" spans="1:8" x14ac:dyDescent="0.15">
      <c r="A6472">
        <v>6471</v>
      </c>
      <c r="B6472" t="s">
        <v>339</v>
      </c>
      <c r="C6472" t="s">
        <v>353</v>
      </c>
      <c r="D6472" t="s">
        <v>10759</v>
      </c>
      <c r="E6472" t="s">
        <v>10757</v>
      </c>
      <c r="F6472" s="46">
        <v>46097.325957800917</v>
      </c>
      <c r="G6472" s="46">
        <v>46097.325957800917</v>
      </c>
      <c r="H6472">
        <v>0</v>
      </c>
    </row>
    <row r="6473" spans="1:8" x14ac:dyDescent="0.15">
      <c r="A6473">
        <v>6472</v>
      </c>
      <c r="B6473" t="s">
        <v>339</v>
      </c>
      <c r="C6473" t="s">
        <v>353</v>
      </c>
      <c r="D6473" t="s">
        <v>10760</v>
      </c>
      <c r="E6473" t="s">
        <v>10761</v>
      </c>
      <c r="F6473" s="46">
        <v>46097.325957800917</v>
      </c>
      <c r="G6473" s="46">
        <v>46097.325957800917</v>
      </c>
      <c r="H6473">
        <v>0</v>
      </c>
    </row>
    <row r="6474" spans="1:8" x14ac:dyDescent="0.15">
      <c r="A6474">
        <v>6473</v>
      </c>
      <c r="B6474" t="s">
        <v>339</v>
      </c>
      <c r="C6474" t="s">
        <v>353</v>
      </c>
      <c r="D6474" t="s">
        <v>10762</v>
      </c>
      <c r="E6474" t="s">
        <v>10761</v>
      </c>
      <c r="F6474" s="46">
        <v>46097.325957800917</v>
      </c>
      <c r="G6474" s="46">
        <v>46097.325957800917</v>
      </c>
      <c r="H6474">
        <v>0</v>
      </c>
    </row>
    <row r="6475" spans="1:8" x14ac:dyDescent="0.15">
      <c r="A6475">
        <v>6474</v>
      </c>
      <c r="B6475" t="s">
        <v>339</v>
      </c>
      <c r="C6475" t="s">
        <v>353</v>
      </c>
      <c r="D6475" t="s">
        <v>10763</v>
      </c>
      <c r="E6475" t="s">
        <v>10764</v>
      </c>
      <c r="F6475" s="46">
        <v>46097.325957800917</v>
      </c>
      <c r="G6475" s="46">
        <v>46097.325957800917</v>
      </c>
      <c r="H6475">
        <v>0</v>
      </c>
    </row>
    <row r="6476" spans="1:8" x14ac:dyDescent="0.15">
      <c r="A6476">
        <v>6475</v>
      </c>
      <c r="B6476" t="s">
        <v>339</v>
      </c>
      <c r="C6476" t="s">
        <v>353</v>
      </c>
      <c r="D6476" t="s">
        <v>10765</v>
      </c>
      <c r="E6476" t="s">
        <v>10764</v>
      </c>
      <c r="F6476" s="46">
        <v>46097.325957800917</v>
      </c>
      <c r="G6476" s="46">
        <v>46097.325957800917</v>
      </c>
      <c r="H6476">
        <v>0</v>
      </c>
    </row>
    <row r="6477" spans="1:8" x14ac:dyDescent="0.15">
      <c r="A6477">
        <v>6476</v>
      </c>
      <c r="B6477" t="s">
        <v>339</v>
      </c>
      <c r="C6477" t="s">
        <v>353</v>
      </c>
      <c r="D6477" t="s">
        <v>10766</v>
      </c>
      <c r="E6477" t="s">
        <v>10767</v>
      </c>
      <c r="F6477" s="46">
        <v>46097.325957800917</v>
      </c>
      <c r="G6477" s="46">
        <v>46097.325957800917</v>
      </c>
      <c r="H6477">
        <v>0</v>
      </c>
    </row>
    <row r="6478" spans="1:8" x14ac:dyDescent="0.15">
      <c r="A6478">
        <v>6477</v>
      </c>
      <c r="B6478" t="s">
        <v>339</v>
      </c>
      <c r="C6478" t="s">
        <v>353</v>
      </c>
      <c r="D6478" t="s">
        <v>10768</v>
      </c>
      <c r="E6478" t="s">
        <v>10769</v>
      </c>
      <c r="F6478" s="46">
        <v>46097.325957800917</v>
      </c>
      <c r="G6478" s="46">
        <v>46097.325957800917</v>
      </c>
      <c r="H6478">
        <v>0</v>
      </c>
    </row>
    <row r="6479" spans="1:8" x14ac:dyDescent="0.15">
      <c r="A6479">
        <v>6478</v>
      </c>
      <c r="B6479" t="s">
        <v>339</v>
      </c>
      <c r="C6479" t="s">
        <v>353</v>
      </c>
      <c r="D6479" t="s">
        <v>10770</v>
      </c>
      <c r="E6479" t="s">
        <v>10769</v>
      </c>
      <c r="F6479" s="46">
        <v>46097.325957800917</v>
      </c>
      <c r="G6479" s="46">
        <v>46097.325957800917</v>
      </c>
      <c r="H6479">
        <v>0</v>
      </c>
    </row>
    <row r="6480" spans="1:8" x14ac:dyDescent="0.15">
      <c r="A6480">
        <v>6479</v>
      </c>
      <c r="B6480" t="s">
        <v>339</v>
      </c>
      <c r="C6480" t="s">
        <v>353</v>
      </c>
      <c r="D6480" t="s">
        <v>10771</v>
      </c>
      <c r="E6480" t="s">
        <v>10772</v>
      </c>
      <c r="F6480" s="46">
        <v>46097.325957800917</v>
      </c>
      <c r="G6480" s="46">
        <v>46097.325957800917</v>
      </c>
      <c r="H6480">
        <v>0</v>
      </c>
    </row>
    <row r="6481" spans="1:8" x14ac:dyDescent="0.15">
      <c r="A6481">
        <v>6480</v>
      </c>
      <c r="B6481" t="s">
        <v>339</v>
      </c>
      <c r="C6481" t="s">
        <v>353</v>
      </c>
      <c r="D6481" t="s">
        <v>10773</v>
      </c>
      <c r="E6481" t="s">
        <v>10772</v>
      </c>
      <c r="F6481" s="46">
        <v>46097.325957800917</v>
      </c>
      <c r="G6481" s="46">
        <v>46097.325957800917</v>
      </c>
      <c r="H6481">
        <v>0</v>
      </c>
    </row>
    <row r="6482" spans="1:8" x14ac:dyDescent="0.15">
      <c r="A6482">
        <v>6481</v>
      </c>
      <c r="B6482" t="s">
        <v>339</v>
      </c>
      <c r="C6482" t="s">
        <v>353</v>
      </c>
      <c r="D6482" t="s">
        <v>10774</v>
      </c>
      <c r="E6482" t="s">
        <v>10772</v>
      </c>
      <c r="F6482" s="46">
        <v>46097.325957800917</v>
      </c>
      <c r="G6482" s="46">
        <v>46097.325957974543</v>
      </c>
      <c r="H6482">
        <v>16</v>
      </c>
    </row>
    <row r="6483" spans="1:8" x14ac:dyDescent="0.15">
      <c r="A6483">
        <v>6482</v>
      </c>
      <c r="B6483" t="s">
        <v>339</v>
      </c>
      <c r="C6483" t="s">
        <v>353</v>
      </c>
      <c r="D6483" t="s">
        <v>10775</v>
      </c>
      <c r="E6483" t="s">
        <v>10776</v>
      </c>
      <c r="F6483" s="46">
        <v>46097.325957974543</v>
      </c>
      <c r="G6483" s="46">
        <v>46097.325957974543</v>
      </c>
      <c r="H6483">
        <v>0</v>
      </c>
    </row>
    <row r="6484" spans="1:8" x14ac:dyDescent="0.15">
      <c r="A6484">
        <v>6483</v>
      </c>
      <c r="B6484" t="s">
        <v>339</v>
      </c>
      <c r="C6484" t="s">
        <v>353</v>
      </c>
      <c r="D6484" t="s">
        <v>10777</v>
      </c>
      <c r="E6484" t="s">
        <v>10776</v>
      </c>
      <c r="F6484" s="46">
        <v>46097.325957974543</v>
      </c>
      <c r="G6484" s="46">
        <v>46097.325957974543</v>
      </c>
      <c r="H6484">
        <v>0</v>
      </c>
    </row>
    <row r="6485" spans="1:8" x14ac:dyDescent="0.15">
      <c r="A6485">
        <v>6484</v>
      </c>
      <c r="B6485" t="s">
        <v>339</v>
      </c>
      <c r="C6485" t="s">
        <v>353</v>
      </c>
      <c r="D6485" t="s">
        <v>10778</v>
      </c>
      <c r="E6485" t="s">
        <v>10779</v>
      </c>
      <c r="F6485" s="46">
        <v>46097.325957974543</v>
      </c>
      <c r="G6485" s="46">
        <v>46097.325957974543</v>
      </c>
      <c r="H6485">
        <v>0</v>
      </c>
    </row>
    <row r="6486" spans="1:8" x14ac:dyDescent="0.15">
      <c r="A6486">
        <v>6485</v>
      </c>
      <c r="B6486" t="s">
        <v>339</v>
      </c>
      <c r="C6486" t="s">
        <v>353</v>
      </c>
      <c r="D6486" t="s">
        <v>10780</v>
      </c>
      <c r="E6486" t="s">
        <v>10781</v>
      </c>
      <c r="F6486" s="46">
        <v>46097.325957974543</v>
      </c>
      <c r="G6486" s="46">
        <v>46097.325957974543</v>
      </c>
      <c r="H6486">
        <v>0</v>
      </c>
    </row>
    <row r="6487" spans="1:8" x14ac:dyDescent="0.15">
      <c r="A6487">
        <v>6486</v>
      </c>
      <c r="B6487" t="s">
        <v>339</v>
      </c>
      <c r="C6487" t="s">
        <v>353</v>
      </c>
      <c r="D6487" t="s">
        <v>10782</v>
      </c>
      <c r="E6487" t="s">
        <v>10781</v>
      </c>
      <c r="F6487" s="46">
        <v>46097.325957974543</v>
      </c>
      <c r="G6487" s="46">
        <v>46097.325957974543</v>
      </c>
      <c r="H6487">
        <v>0</v>
      </c>
    </row>
    <row r="6488" spans="1:8" x14ac:dyDescent="0.15">
      <c r="A6488">
        <v>6487</v>
      </c>
      <c r="B6488" t="s">
        <v>339</v>
      </c>
      <c r="C6488" t="s">
        <v>353</v>
      </c>
      <c r="D6488" t="s">
        <v>10783</v>
      </c>
      <c r="E6488" t="s">
        <v>10781</v>
      </c>
      <c r="F6488" s="46">
        <v>46097.325957974543</v>
      </c>
      <c r="G6488" s="46">
        <v>46097.325957974543</v>
      </c>
      <c r="H6488">
        <v>0</v>
      </c>
    </row>
    <row r="6489" spans="1:8" x14ac:dyDescent="0.15">
      <c r="A6489">
        <v>6488</v>
      </c>
      <c r="B6489" t="s">
        <v>339</v>
      </c>
      <c r="C6489" t="s">
        <v>353</v>
      </c>
      <c r="D6489" t="s">
        <v>10784</v>
      </c>
      <c r="E6489" t="s">
        <v>10781</v>
      </c>
      <c r="F6489" s="46">
        <v>46097.325957974543</v>
      </c>
      <c r="G6489" s="46">
        <v>46097.325957974543</v>
      </c>
      <c r="H6489">
        <v>0</v>
      </c>
    </row>
    <row r="6490" spans="1:8" x14ac:dyDescent="0.15">
      <c r="A6490">
        <v>6489</v>
      </c>
      <c r="B6490" t="s">
        <v>339</v>
      </c>
      <c r="C6490" t="s">
        <v>353</v>
      </c>
      <c r="D6490" t="s">
        <v>10785</v>
      </c>
      <c r="E6490" t="s">
        <v>10781</v>
      </c>
      <c r="F6490" s="46">
        <v>46097.325957974543</v>
      </c>
      <c r="G6490" s="46">
        <v>46097.325957974543</v>
      </c>
      <c r="H6490">
        <v>0</v>
      </c>
    </row>
    <row r="6491" spans="1:8" x14ac:dyDescent="0.15">
      <c r="A6491">
        <v>6490</v>
      </c>
      <c r="B6491" t="s">
        <v>339</v>
      </c>
      <c r="C6491" t="s">
        <v>353</v>
      </c>
      <c r="D6491" t="s">
        <v>10786</v>
      </c>
      <c r="E6491" t="s">
        <v>10781</v>
      </c>
      <c r="F6491" s="46">
        <v>46097.325957974543</v>
      </c>
      <c r="G6491" s="46">
        <v>46097.325957974543</v>
      </c>
      <c r="H6491">
        <v>0</v>
      </c>
    </row>
    <row r="6492" spans="1:8" x14ac:dyDescent="0.15">
      <c r="A6492">
        <v>6491</v>
      </c>
      <c r="B6492" t="s">
        <v>339</v>
      </c>
      <c r="C6492" t="s">
        <v>353</v>
      </c>
      <c r="D6492" t="s">
        <v>10787</v>
      </c>
      <c r="E6492" t="s">
        <v>10781</v>
      </c>
      <c r="F6492" s="46">
        <v>46097.325957974543</v>
      </c>
      <c r="G6492" s="46">
        <v>46097.325957974543</v>
      </c>
      <c r="H6492">
        <v>0</v>
      </c>
    </row>
    <row r="6493" spans="1:8" x14ac:dyDescent="0.15">
      <c r="A6493">
        <v>6492</v>
      </c>
      <c r="B6493" t="s">
        <v>339</v>
      </c>
      <c r="C6493" t="s">
        <v>353</v>
      </c>
      <c r="D6493" t="s">
        <v>10788</v>
      </c>
      <c r="E6493" t="s">
        <v>10789</v>
      </c>
      <c r="F6493" s="46">
        <v>46097.325957974543</v>
      </c>
      <c r="G6493" s="46">
        <v>46097.325958159723</v>
      </c>
      <c r="H6493">
        <v>15</v>
      </c>
    </row>
    <row r="6494" spans="1:8" x14ac:dyDescent="0.15">
      <c r="A6494">
        <v>6493</v>
      </c>
      <c r="B6494" t="s">
        <v>339</v>
      </c>
      <c r="C6494" t="s">
        <v>353</v>
      </c>
      <c r="D6494" t="s">
        <v>10790</v>
      </c>
      <c r="E6494" t="s">
        <v>10791</v>
      </c>
      <c r="F6494" s="46">
        <v>46097.325958159723</v>
      </c>
      <c r="G6494" s="46">
        <v>46097.325958159723</v>
      </c>
      <c r="H6494">
        <v>0</v>
      </c>
    </row>
    <row r="6495" spans="1:8" x14ac:dyDescent="0.15">
      <c r="A6495">
        <v>6494</v>
      </c>
      <c r="B6495" t="s">
        <v>339</v>
      </c>
      <c r="C6495" t="s">
        <v>353</v>
      </c>
      <c r="D6495" t="s">
        <v>10792</v>
      </c>
      <c r="E6495" t="s">
        <v>10793</v>
      </c>
      <c r="F6495" s="46">
        <v>46097.325958159723</v>
      </c>
      <c r="G6495" s="46">
        <v>46097.325958159723</v>
      </c>
      <c r="H6495">
        <v>0</v>
      </c>
    </row>
    <row r="6496" spans="1:8" x14ac:dyDescent="0.15">
      <c r="A6496">
        <v>6495</v>
      </c>
      <c r="B6496" t="s">
        <v>339</v>
      </c>
      <c r="C6496" t="s">
        <v>353</v>
      </c>
      <c r="D6496" t="s">
        <v>10794</v>
      </c>
      <c r="E6496" t="s">
        <v>10795</v>
      </c>
      <c r="F6496" s="46">
        <v>46097.325958159723</v>
      </c>
      <c r="G6496" s="46">
        <v>46097.325958159723</v>
      </c>
      <c r="H6496">
        <v>0</v>
      </c>
    </row>
    <row r="6497" spans="1:8" x14ac:dyDescent="0.15">
      <c r="A6497">
        <v>6496</v>
      </c>
      <c r="B6497" t="s">
        <v>339</v>
      </c>
      <c r="C6497" t="s">
        <v>353</v>
      </c>
      <c r="D6497" t="s">
        <v>10796</v>
      </c>
      <c r="E6497" t="s">
        <v>10797</v>
      </c>
      <c r="F6497" s="46">
        <v>46097.325958159723</v>
      </c>
      <c r="G6497" s="46">
        <v>46097.325958159723</v>
      </c>
      <c r="H6497">
        <v>0</v>
      </c>
    </row>
    <row r="6498" spans="1:8" x14ac:dyDescent="0.15">
      <c r="A6498">
        <v>6497</v>
      </c>
      <c r="B6498" t="s">
        <v>339</v>
      </c>
      <c r="C6498" t="s">
        <v>353</v>
      </c>
      <c r="D6498" t="s">
        <v>10798</v>
      </c>
      <c r="E6498" t="s">
        <v>10799</v>
      </c>
      <c r="F6498" s="46">
        <v>46097.325958159723</v>
      </c>
      <c r="G6498" s="46">
        <v>46097.325958159723</v>
      </c>
      <c r="H6498">
        <v>0</v>
      </c>
    </row>
    <row r="6499" spans="1:8" x14ac:dyDescent="0.15">
      <c r="A6499">
        <v>6498</v>
      </c>
      <c r="B6499" t="s">
        <v>339</v>
      </c>
      <c r="C6499" t="s">
        <v>353</v>
      </c>
      <c r="D6499" t="s">
        <v>10800</v>
      </c>
      <c r="E6499" t="s">
        <v>10799</v>
      </c>
      <c r="F6499" s="46">
        <v>46097.325958159723</v>
      </c>
      <c r="G6499" s="46">
        <v>46097.325958159723</v>
      </c>
      <c r="H6499">
        <v>0</v>
      </c>
    </row>
    <row r="6500" spans="1:8" x14ac:dyDescent="0.15">
      <c r="A6500">
        <v>6499</v>
      </c>
      <c r="B6500" t="s">
        <v>339</v>
      </c>
      <c r="C6500" t="s">
        <v>353</v>
      </c>
      <c r="D6500" t="s">
        <v>10801</v>
      </c>
      <c r="E6500" t="s">
        <v>10799</v>
      </c>
      <c r="F6500" s="46">
        <v>46097.325958159723</v>
      </c>
      <c r="G6500" s="46">
        <v>46097.325958159723</v>
      </c>
      <c r="H6500">
        <v>0</v>
      </c>
    </row>
    <row r="6501" spans="1:8" x14ac:dyDescent="0.15">
      <c r="A6501">
        <v>6500</v>
      </c>
      <c r="B6501" t="s">
        <v>339</v>
      </c>
      <c r="C6501" t="s">
        <v>353</v>
      </c>
      <c r="D6501" t="s">
        <v>10802</v>
      </c>
      <c r="E6501" t="s">
        <v>10803</v>
      </c>
      <c r="F6501" s="46">
        <v>46097.325958159723</v>
      </c>
      <c r="G6501" s="46">
        <v>46097.325958159723</v>
      </c>
      <c r="H6501">
        <v>0</v>
      </c>
    </row>
    <row r="6502" spans="1:8" x14ac:dyDescent="0.15">
      <c r="A6502">
        <v>6501</v>
      </c>
      <c r="B6502" t="s">
        <v>339</v>
      </c>
      <c r="C6502" t="s">
        <v>353</v>
      </c>
      <c r="D6502" t="s">
        <v>10804</v>
      </c>
      <c r="E6502" t="s">
        <v>10803</v>
      </c>
      <c r="F6502" s="46">
        <v>46097.325958159723</v>
      </c>
      <c r="G6502" s="46">
        <v>46097.325958159723</v>
      </c>
      <c r="H6502">
        <v>0</v>
      </c>
    </row>
    <row r="6503" spans="1:8" x14ac:dyDescent="0.15">
      <c r="A6503">
        <v>6502</v>
      </c>
      <c r="B6503" t="s">
        <v>339</v>
      </c>
      <c r="C6503" t="s">
        <v>353</v>
      </c>
      <c r="D6503" t="s">
        <v>10805</v>
      </c>
      <c r="E6503" t="s">
        <v>10803</v>
      </c>
      <c r="F6503" s="46">
        <v>46097.325958159723</v>
      </c>
      <c r="G6503" s="46">
        <v>46097.325958333327</v>
      </c>
      <c r="H6503">
        <v>16</v>
      </c>
    </row>
    <row r="6504" spans="1:8" x14ac:dyDescent="0.15">
      <c r="A6504">
        <v>6503</v>
      </c>
      <c r="B6504" t="s">
        <v>339</v>
      </c>
      <c r="C6504" t="s">
        <v>353</v>
      </c>
      <c r="D6504" t="s">
        <v>10806</v>
      </c>
      <c r="E6504" t="s">
        <v>10803</v>
      </c>
      <c r="F6504" s="46">
        <v>46097.325958333327</v>
      </c>
      <c r="G6504" s="46">
        <v>46097.325958333327</v>
      </c>
      <c r="H6504">
        <v>0</v>
      </c>
    </row>
    <row r="6505" spans="1:8" x14ac:dyDescent="0.15">
      <c r="A6505">
        <v>6504</v>
      </c>
      <c r="B6505" t="s">
        <v>339</v>
      </c>
      <c r="C6505" t="s">
        <v>353</v>
      </c>
      <c r="D6505" t="s">
        <v>10807</v>
      </c>
      <c r="E6505" t="s">
        <v>10803</v>
      </c>
      <c r="F6505" s="46">
        <v>46097.325958333327</v>
      </c>
      <c r="G6505" s="46">
        <v>46097.325958333327</v>
      </c>
      <c r="H6505">
        <v>0</v>
      </c>
    </row>
    <row r="6506" spans="1:8" x14ac:dyDescent="0.15">
      <c r="A6506">
        <v>6505</v>
      </c>
      <c r="B6506" t="s">
        <v>339</v>
      </c>
      <c r="C6506" t="s">
        <v>353</v>
      </c>
      <c r="D6506" t="s">
        <v>10808</v>
      </c>
      <c r="E6506" t="s">
        <v>10803</v>
      </c>
      <c r="F6506" s="46">
        <v>46097.325958333327</v>
      </c>
      <c r="G6506" s="46">
        <v>46097.325958333327</v>
      </c>
      <c r="H6506">
        <v>0</v>
      </c>
    </row>
    <row r="6507" spans="1:8" x14ac:dyDescent="0.15">
      <c r="A6507">
        <v>6506</v>
      </c>
      <c r="B6507" t="s">
        <v>339</v>
      </c>
      <c r="C6507" t="s">
        <v>353</v>
      </c>
      <c r="D6507" t="s">
        <v>10809</v>
      </c>
      <c r="E6507" t="s">
        <v>10803</v>
      </c>
      <c r="F6507" s="46">
        <v>46097.325958333327</v>
      </c>
      <c r="G6507" s="46">
        <v>46097.325958333327</v>
      </c>
      <c r="H6507">
        <v>0</v>
      </c>
    </row>
    <row r="6508" spans="1:8" x14ac:dyDescent="0.15">
      <c r="A6508">
        <v>6507</v>
      </c>
      <c r="B6508" t="s">
        <v>339</v>
      </c>
      <c r="C6508" t="s">
        <v>353</v>
      </c>
      <c r="D6508" t="s">
        <v>10810</v>
      </c>
      <c r="E6508" t="s">
        <v>10803</v>
      </c>
      <c r="F6508" s="46">
        <v>46097.325958333327</v>
      </c>
      <c r="G6508" s="46">
        <v>46097.325958333327</v>
      </c>
      <c r="H6508">
        <v>0</v>
      </c>
    </row>
    <row r="6509" spans="1:8" x14ac:dyDescent="0.15">
      <c r="A6509">
        <v>6508</v>
      </c>
      <c r="B6509" t="s">
        <v>339</v>
      </c>
      <c r="C6509" t="s">
        <v>353</v>
      </c>
      <c r="D6509" t="s">
        <v>10811</v>
      </c>
      <c r="E6509" t="s">
        <v>10803</v>
      </c>
      <c r="F6509" s="46">
        <v>46097.325958333327</v>
      </c>
      <c r="G6509" s="46">
        <v>46097.325958333327</v>
      </c>
      <c r="H6509">
        <v>0</v>
      </c>
    </row>
    <row r="6510" spans="1:8" x14ac:dyDescent="0.15">
      <c r="A6510">
        <v>6509</v>
      </c>
      <c r="B6510" t="s">
        <v>339</v>
      </c>
      <c r="C6510" t="s">
        <v>353</v>
      </c>
      <c r="D6510" t="s">
        <v>10812</v>
      </c>
      <c r="E6510" t="s">
        <v>10803</v>
      </c>
      <c r="F6510" s="46">
        <v>46097.325958333327</v>
      </c>
      <c r="G6510" s="46">
        <v>46097.325958333327</v>
      </c>
      <c r="H6510">
        <v>0</v>
      </c>
    </row>
    <row r="6511" spans="1:8" x14ac:dyDescent="0.15">
      <c r="A6511">
        <v>6510</v>
      </c>
      <c r="B6511" t="s">
        <v>339</v>
      </c>
      <c r="C6511" t="s">
        <v>353</v>
      </c>
      <c r="D6511" t="s">
        <v>10813</v>
      </c>
      <c r="E6511" t="s">
        <v>10803</v>
      </c>
      <c r="F6511" s="46">
        <v>46097.325958333327</v>
      </c>
      <c r="G6511" s="46">
        <v>46097.325958333327</v>
      </c>
      <c r="H6511">
        <v>0</v>
      </c>
    </row>
    <row r="6512" spans="1:8" x14ac:dyDescent="0.15">
      <c r="A6512">
        <v>6511</v>
      </c>
      <c r="B6512" t="s">
        <v>339</v>
      </c>
      <c r="C6512" t="s">
        <v>353</v>
      </c>
      <c r="D6512" t="s">
        <v>10814</v>
      </c>
      <c r="E6512" t="s">
        <v>10803</v>
      </c>
      <c r="F6512" s="46">
        <v>46097.325958333327</v>
      </c>
      <c r="G6512" s="46">
        <v>46097.325958333327</v>
      </c>
      <c r="H6512">
        <v>0</v>
      </c>
    </row>
    <row r="6513" spans="1:8" x14ac:dyDescent="0.15">
      <c r="A6513">
        <v>6512</v>
      </c>
      <c r="B6513" t="s">
        <v>339</v>
      </c>
      <c r="C6513" t="s">
        <v>353</v>
      </c>
      <c r="D6513" t="s">
        <v>10815</v>
      </c>
      <c r="E6513" t="s">
        <v>10803</v>
      </c>
      <c r="F6513" s="46">
        <v>46097.325958333327</v>
      </c>
      <c r="G6513" s="46">
        <v>46097.325958333327</v>
      </c>
      <c r="H6513">
        <v>0</v>
      </c>
    </row>
    <row r="6514" spans="1:8" x14ac:dyDescent="0.15">
      <c r="A6514">
        <v>6513</v>
      </c>
      <c r="B6514" t="s">
        <v>339</v>
      </c>
      <c r="C6514" t="s">
        <v>353</v>
      </c>
      <c r="D6514" t="s">
        <v>10816</v>
      </c>
      <c r="E6514" t="s">
        <v>10803</v>
      </c>
      <c r="F6514" s="46">
        <v>46097.325958333327</v>
      </c>
      <c r="G6514" s="46">
        <v>46097.325958518522</v>
      </c>
      <c r="H6514">
        <v>16</v>
      </c>
    </row>
    <row r="6515" spans="1:8" x14ac:dyDescent="0.15">
      <c r="A6515">
        <v>6514</v>
      </c>
      <c r="B6515" t="s">
        <v>339</v>
      </c>
      <c r="C6515" t="s">
        <v>353</v>
      </c>
      <c r="D6515" t="s">
        <v>10817</v>
      </c>
      <c r="E6515" t="s">
        <v>10803</v>
      </c>
      <c r="F6515" s="46">
        <v>46097.325958518522</v>
      </c>
      <c r="G6515" s="46">
        <v>46097.325958518522</v>
      </c>
      <c r="H6515">
        <v>0</v>
      </c>
    </row>
    <row r="6516" spans="1:8" x14ac:dyDescent="0.15">
      <c r="A6516">
        <v>6515</v>
      </c>
      <c r="B6516" t="s">
        <v>339</v>
      </c>
      <c r="C6516" t="s">
        <v>353</v>
      </c>
      <c r="D6516" t="s">
        <v>10818</v>
      </c>
      <c r="E6516" t="s">
        <v>10803</v>
      </c>
      <c r="F6516" s="46">
        <v>46097.325958518522</v>
      </c>
      <c r="G6516" s="46">
        <v>46097.325958518522</v>
      </c>
      <c r="H6516">
        <v>0</v>
      </c>
    </row>
    <row r="6517" spans="1:8" x14ac:dyDescent="0.15">
      <c r="A6517">
        <v>6516</v>
      </c>
      <c r="B6517" t="s">
        <v>339</v>
      </c>
      <c r="C6517" t="s">
        <v>353</v>
      </c>
      <c r="D6517" t="s">
        <v>10819</v>
      </c>
      <c r="E6517" t="s">
        <v>10803</v>
      </c>
      <c r="F6517" s="46">
        <v>46097.325958518522</v>
      </c>
      <c r="G6517" s="46">
        <v>46097.325958518522</v>
      </c>
      <c r="H6517">
        <v>0</v>
      </c>
    </row>
    <row r="6518" spans="1:8" x14ac:dyDescent="0.15">
      <c r="A6518">
        <v>6517</v>
      </c>
      <c r="B6518" t="s">
        <v>339</v>
      </c>
      <c r="C6518" t="s">
        <v>353</v>
      </c>
      <c r="D6518" t="s">
        <v>10820</v>
      </c>
      <c r="E6518" t="s">
        <v>10803</v>
      </c>
      <c r="F6518" s="46">
        <v>46097.325958518522</v>
      </c>
      <c r="G6518" s="46">
        <v>46097.325958518522</v>
      </c>
      <c r="H6518">
        <v>0</v>
      </c>
    </row>
    <row r="6519" spans="1:8" x14ac:dyDescent="0.15">
      <c r="A6519">
        <v>6518</v>
      </c>
      <c r="B6519" t="s">
        <v>339</v>
      </c>
      <c r="C6519" t="s">
        <v>353</v>
      </c>
      <c r="D6519" t="s">
        <v>10821</v>
      </c>
      <c r="E6519" t="s">
        <v>10803</v>
      </c>
      <c r="F6519" s="46">
        <v>46097.325958518522</v>
      </c>
      <c r="G6519" s="46">
        <v>46097.325958518522</v>
      </c>
      <c r="H6519">
        <v>0</v>
      </c>
    </row>
    <row r="6520" spans="1:8" x14ac:dyDescent="0.15">
      <c r="A6520">
        <v>6519</v>
      </c>
      <c r="B6520" t="s">
        <v>339</v>
      </c>
      <c r="C6520" t="s">
        <v>353</v>
      </c>
      <c r="D6520" t="s">
        <v>10822</v>
      </c>
      <c r="E6520" t="s">
        <v>10803</v>
      </c>
      <c r="F6520" s="46">
        <v>46097.325958518522</v>
      </c>
      <c r="G6520" s="46">
        <v>46097.325958518522</v>
      </c>
      <c r="H6520">
        <v>0</v>
      </c>
    </row>
    <row r="6521" spans="1:8" x14ac:dyDescent="0.15">
      <c r="A6521">
        <v>6520</v>
      </c>
      <c r="B6521" t="s">
        <v>339</v>
      </c>
      <c r="C6521" t="s">
        <v>353</v>
      </c>
      <c r="D6521" t="s">
        <v>10823</v>
      </c>
      <c r="E6521" t="s">
        <v>10803</v>
      </c>
      <c r="F6521" s="46">
        <v>46097.325958518522</v>
      </c>
      <c r="G6521" s="46">
        <v>46097.325958518522</v>
      </c>
      <c r="H6521">
        <v>0</v>
      </c>
    </row>
    <row r="6522" spans="1:8" x14ac:dyDescent="0.15">
      <c r="A6522">
        <v>6521</v>
      </c>
      <c r="B6522" t="s">
        <v>339</v>
      </c>
      <c r="C6522" t="s">
        <v>353</v>
      </c>
      <c r="D6522" t="s">
        <v>10824</v>
      </c>
      <c r="E6522" t="s">
        <v>10803</v>
      </c>
      <c r="F6522" s="46">
        <v>46097.325958518522</v>
      </c>
      <c r="G6522" s="46">
        <v>46097.325958518522</v>
      </c>
      <c r="H6522">
        <v>0</v>
      </c>
    </row>
    <row r="6523" spans="1:8" x14ac:dyDescent="0.15">
      <c r="A6523">
        <v>6522</v>
      </c>
      <c r="B6523" t="s">
        <v>339</v>
      </c>
      <c r="C6523" t="s">
        <v>353</v>
      </c>
      <c r="D6523" t="s">
        <v>10825</v>
      </c>
      <c r="E6523" t="s">
        <v>10803</v>
      </c>
      <c r="F6523" s="46">
        <v>46097.325958518522</v>
      </c>
      <c r="G6523" s="46">
        <v>46097.325958518522</v>
      </c>
      <c r="H6523">
        <v>0</v>
      </c>
    </row>
    <row r="6524" spans="1:8" x14ac:dyDescent="0.15">
      <c r="A6524">
        <v>6523</v>
      </c>
      <c r="B6524" t="s">
        <v>339</v>
      </c>
      <c r="C6524" t="s">
        <v>353</v>
      </c>
      <c r="D6524" t="s">
        <v>10826</v>
      </c>
      <c r="E6524" t="s">
        <v>10803</v>
      </c>
      <c r="F6524" s="46">
        <v>46097.325958518522</v>
      </c>
      <c r="G6524" s="46">
        <v>46097.325958518522</v>
      </c>
      <c r="H6524">
        <v>0</v>
      </c>
    </row>
    <row r="6525" spans="1:8" x14ac:dyDescent="0.15">
      <c r="A6525">
        <v>6524</v>
      </c>
      <c r="B6525" t="s">
        <v>339</v>
      </c>
      <c r="C6525" t="s">
        <v>353</v>
      </c>
      <c r="D6525" t="s">
        <v>10827</v>
      </c>
      <c r="E6525" t="s">
        <v>10828</v>
      </c>
      <c r="F6525" s="46">
        <v>46097.325958518522</v>
      </c>
      <c r="G6525" s="46">
        <v>46097.325958703703</v>
      </c>
      <c r="H6525">
        <v>15</v>
      </c>
    </row>
    <row r="6526" spans="1:8" x14ac:dyDescent="0.15">
      <c r="A6526">
        <v>6525</v>
      </c>
      <c r="B6526" t="s">
        <v>339</v>
      </c>
      <c r="C6526" t="s">
        <v>353</v>
      </c>
      <c r="D6526" t="s">
        <v>10829</v>
      </c>
      <c r="E6526" t="s">
        <v>10830</v>
      </c>
      <c r="F6526" s="46">
        <v>46097.325958703703</v>
      </c>
      <c r="G6526" s="46">
        <v>46097.325958703703</v>
      </c>
      <c r="H6526">
        <v>0</v>
      </c>
    </row>
    <row r="6527" spans="1:8" x14ac:dyDescent="0.15">
      <c r="A6527">
        <v>6526</v>
      </c>
      <c r="B6527" t="s">
        <v>339</v>
      </c>
      <c r="C6527" t="s">
        <v>353</v>
      </c>
      <c r="D6527" t="s">
        <v>10831</v>
      </c>
      <c r="E6527" t="s">
        <v>10832</v>
      </c>
      <c r="F6527" s="46">
        <v>46097.325958703703</v>
      </c>
      <c r="G6527" s="46">
        <v>46097.325958703703</v>
      </c>
      <c r="H6527">
        <v>0</v>
      </c>
    </row>
    <row r="6528" spans="1:8" x14ac:dyDescent="0.15">
      <c r="A6528">
        <v>6527</v>
      </c>
      <c r="B6528" t="s">
        <v>339</v>
      </c>
      <c r="C6528" t="s">
        <v>353</v>
      </c>
      <c r="D6528" t="s">
        <v>10833</v>
      </c>
      <c r="E6528" t="s">
        <v>10834</v>
      </c>
      <c r="F6528" s="46">
        <v>46097.325958703703</v>
      </c>
      <c r="G6528" s="46">
        <v>46097.325958703703</v>
      </c>
      <c r="H6528">
        <v>0</v>
      </c>
    </row>
    <row r="6529" spans="1:8" x14ac:dyDescent="0.15">
      <c r="A6529">
        <v>6528</v>
      </c>
      <c r="B6529" t="s">
        <v>339</v>
      </c>
      <c r="C6529" t="s">
        <v>353</v>
      </c>
      <c r="D6529" t="s">
        <v>10835</v>
      </c>
      <c r="E6529" t="s">
        <v>10834</v>
      </c>
      <c r="F6529" s="46">
        <v>46097.325958703703</v>
      </c>
      <c r="G6529" s="46">
        <v>46097.325958703703</v>
      </c>
      <c r="H6529">
        <v>0</v>
      </c>
    </row>
    <row r="6530" spans="1:8" x14ac:dyDescent="0.15">
      <c r="A6530">
        <v>6529</v>
      </c>
      <c r="B6530" t="s">
        <v>339</v>
      </c>
      <c r="C6530" t="s">
        <v>353</v>
      </c>
      <c r="D6530" t="s">
        <v>10836</v>
      </c>
      <c r="E6530" t="s">
        <v>10834</v>
      </c>
      <c r="F6530" s="46">
        <v>46097.325958703703</v>
      </c>
      <c r="G6530" s="46">
        <v>46097.325958703703</v>
      </c>
      <c r="H6530">
        <v>0</v>
      </c>
    </row>
    <row r="6531" spans="1:8" x14ac:dyDescent="0.15">
      <c r="A6531">
        <v>6530</v>
      </c>
      <c r="B6531" t="s">
        <v>339</v>
      </c>
      <c r="C6531" t="s">
        <v>353</v>
      </c>
      <c r="D6531" t="s">
        <v>10837</v>
      </c>
      <c r="E6531" t="s">
        <v>10834</v>
      </c>
      <c r="F6531" s="46">
        <v>46097.325958703703</v>
      </c>
      <c r="G6531" s="46">
        <v>46097.325958703703</v>
      </c>
      <c r="H6531">
        <v>0</v>
      </c>
    </row>
    <row r="6532" spans="1:8" x14ac:dyDescent="0.15">
      <c r="A6532">
        <v>6531</v>
      </c>
      <c r="B6532" t="s">
        <v>339</v>
      </c>
      <c r="C6532" t="s">
        <v>353</v>
      </c>
      <c r="D6532" t="s">
        <v>10838</v>
      </c>
      <c r="E6532" t="s">
        <v>10834</v>
      </c>
      <c r="F6532" s="46">
        <v>46097.325958703703</v>
      </c>
      <c r="G6532" s="46">
        <v>46097.325958703703</v>
      </c>
      <c r="H6532">
        <v>0</v>
      </c>
    </row>
    <row r="6533" spans="1:8" x14ac:dyDescent="0.15">
      <c r="A6533">
        <v>6532</v>
      </c>
      <c r="B6533" t="s">
        <v>339</v>
      </c>
      <c r="C6533" t="s">
        <v>353</v>
      </c>
      <c r="D6533" t="s">
        <v>10839</v>
      </c>
      <c r="E6533" t="s">
        <v>10834</v>
      </c>
      <c r="F6533" s="46">
        <v>46097.325958703703</v>
      </c>
      <c r="G6533" s="46">
        <v>46097.325958703703</v>
      </c>
      <c r="H6533">
        <v>0</v>
      </c>
    </row>
    <row r="6534" spans="1:8" x14ac:dyDescent="0.15">
      <c r="A6534">
        <v>6533</v>
      </c>
      <c r="B6534" t="s">
        <v>339</v>
      </c>
      <c r="C6534" t="s">
        <v>353</v>
      </c>
      <c r="D6534" t="s">
        <v>10840</v>
      </c>
      <c r="E6534" t="s">
        <v>10834</v>
      </c>
      <c r="F6534" s="46">
        <v>46097.325958703703</v>
      </c>
      <c r="G6534" s="46">
        <v>46097.325958703703</v>
      </c>
      <c r="H6534">
        <v>0</v>
      </c>
    </row>
    <row r="6535" spans="1:8" x14ac:dyDescent="0.15">
      <c r="A6535">
        <v>6534</v>
      </c>
      <c r="B6535" t="s">
        <v>339</v>
      </c>
      <c r="C6535" t="s">
        <v>353</v>
      </c>
      <c r="D6535" t="s">
        <v>10841</v>
      </c>
      <c r="E6535" t="s">
        <v>10834</v>
      </c>
      <c r="F6535" s="46">
        <v>46097.325958703703</v>
      </c>
      <c r="G6535" s="46">
        <v>46097.325958877307</v>
      </c>
      <c r="H6535">
        <v>16</v>
      </c>
    </row>
    <row r="6536" spans="1:8" x14ac:dyDescent="0.15">
      <c r="A6536">
        <v>6535</v>
      </c>
      <c r="B6536" t="s">
        <v>339</v>
      </c>
      <c r="C6536" t="s">
        <v>353</v>
      </c>
      <c r="D6536" t="s">
        <v>10842</v>
      </c>
      <c r="E6536" t="s">
        <v>10834</v>
      </c>
      <c r="F6536" s="46">
        <v>46097.325958877307</v>
      </c>
      <c r="G6536" s="46">
        <v>46097.325958877307</v>
      </c>
      <c r="H6536">
        <v>0</v>
      </c>
    </row>
    <row r="6537" spans="1:8" x14ac:dyDescent="0.15">
      <c r="A6537">
        <v>6536</v>
      </c>
      <c r="B6537" t="s">
        <v>339</v>
      </c>
      <c r="C6537" t="s">
        <v>353</v>
      </c>
      <c r="D6537" t="s">
        <v>10843</v>
      </c>
      <c r="E6537" t="s">
        <v>10834</v>
      </c>
      <c r="F6537" s="46">
        <v>46097.325958877307</v>
      </c>
      <c r="G6537" s="46">
        <v>46097.325958877307</v>
      </c>
      <c r="H6537">
        <v>0</v>
      </c>
    </row>
    <row r="6538" spans="1:8" x14ac:dyDescent="0.15">
      <c r="A6538">
        <v>6537</v>
      </c>
      <c r="B6538" t="s">
        <v>339</v>
      </c>
      <c r="C6538" t="s">
        <v>353</v>
      </c>
      <c r="D6538" t="s">
        <v>10844</v>
      </c>
      <c r="E6538" t="s">
        <v>10834</v>
      </c>
      <c r="F6538" s="46">
        <v>46097.325958877307</v>
      </c>
      <c r="G6538" s="46">
        <v>46097.325958877307</v>
      </c>
      <c r="H6538">
        <v>0</v>
      </c>
    </row>
    <row r="6539" spans="1:8" x14ac:dyDescent="0.15">
      <c r="A6539">
        <v>6538</v>
      </c>
      <c r="B6539" t="s">
        <v>339</v>
      </c>
      <c r="C6539" t="s">
        <v>353</v>
      </c>
      <c r="D6539" t="s">
        <v>10845</v>
      </c>
      <c r="E6539" t="s">
        <v>10834</v>
      </c>
      <c r="F6539" s="46">
        <v>46097.325958877307</v>
      </c>
      <c r="G6539" s="46">
        <v>46097.325958877307</v>
      </c>
      <c r="H6539">
        <v>0</v>
      </c>
    </row>
    <row r="6540" spans="1:8" x14ac:dyDescent="0.15">
      <c r="A6540">
        <v>6539</v>
      </c>
      <c r="B6540" t="s">
        <v>339</v>
      </c>
      <c r="C6540" t="s">
        <v>353</v>
      </c>
      <c r="D6540" t="s">
        <v>10846</v>
      </c>
      <c r="E6540" t="s">
        <v>10834</v>
      </c>
      <c r="F6540" s="46">
        <v>46097.325958877307</v>
      </c>
      <c r="G6540" s="46">
        <v>46097.325958877307</v>
      </c>
      <c r="H6540">
        <v>0</v>
      </c>
    </row>
    <row r="6541" spans="1:8" x14ac:dyDescent="0.15">
      <c r="A6541">
        <v>6540</v>
      </c>
      <c r="B6541" t="s">
        <v>339</v>
      </c>
      <c r="C6541" t="s">
        <v>353</v>
      </c>
      <c r="D6541" t="s">
        <v>10847</v>
      </c>
      <c r="E6541" t="s">
        <v>10834</v>
      </c>
      <c r="F6541" s="46">
        <v>46097.325958877307</v>
      </c>
      <c r="G6541" s="46">
        <v>46097.325958877307</v>
      </c>
      <c r="H6541">
        <v>0</v>
      </c>
    </row>
    <row r="6542" spans="1:8" x14ac:dyDescent="0.15">
      <c r="A6542">
        <v>6541</v>
      </c>
      <c r="B6542" t="s">
        <v>339</v>
      </c>
      <c r="C6542" t="s">
        <v>353</v>
      </c>
      <c r="D6542" t="s">
        <v>10848</v>
      </c>
      <c r="E6542" t="s">
        <v>10834</v>
      </c>
      <c r="F6542" s="46">
        <v>46097.325958877307</v>
      </c>
      <c r="G6542" s="46">
        <v>46097.325958877307</v>
      </c>
      <c r="H6542">
        <v>0</v>
      </c>
    </row>
    <row r="6543" spans="1:8" x14ac:dyDescent="0.15">
      <c r="A6543">
        <v>6542</v>
      </c>
      <c r="B6543" t="s">
        <v>339</v>
      </c>
      <c r="C6543" t="s">
        <v>353</v>
      </c>
      <c r="D6543" t="s">
        <v>10849</v>
      </c>
      <c r="E6543" t="s">
        <v>10834</v>
      </c>
      <c r="F6543" s="46">
        <v>46097.325958877307</v>
      </c>
      <c r="G6543" s="46">
        <v>46097.325958877307</v>
      </c>
      <c r="H6543">
        <v>0</v>
      </c>
    </row>
    <row r="6544" spans="1:8" x14ac:dyDescent="0.15">
      <c r="A6544">
        <v>6543</v>
      </c>
      <c r="B6544" t="s">
        <v>339</v>
      </c>
      <c r="C6544" t="s">
        <v>353</v>
      </c>
      <c r="D6544" t="s">
        <v>10850</v>
      </c>
      <c r="E6544" t="s">
        <v>10834</v>
      </c>
      <c r="F6544" s="46">
        <v>46097.325958877307</v>
      </c>
      <c r="G6544" s="46">
        <v>46097.325958877307</v>
      </c>
      <c r="H6544">
        <v>0</v>
      </c>
    </row>
    <row r="6545" spans="1:8" x14ac:dyDescent="0.15">
      <c r="A6545">
        <v>6544</v>
      </c>
      <c r="B6545" t="s">
        <v>339</v>
      </c>
      <c r="C6545" t="s">
        <v>353</v>
      </c>
      <c r="D6545" t="s">
        <v>10851</v>
      </c>
      <c r="E6545" t="s">
        <v>10834</v>
      </c>
      <c r="F6545" s="46">
        <v>46097.325958877307</v>
      </c>
      <c r="G6545" s="46">
        <v>46097.325958877307</v>
      </c>
      <c r="H6545">
        <v>0</v>
      </c>
    </row>
    <row r="6546" spans="1:8" x14ac:dyDescent="0.15">
      <c r="A6546">
        <v>6545</v>
      </c>
      <c r="B6546" t="s">
        <v>339</v>
      </c>
      <c r="C6546" t="s">
        <v>353</v>
      </c>
      <c r="D6546" t="s">
        <v>10852</v>
      </c>
      <c r="E6546" t="s">
        <v>10834</v>
      </c>
      <c r="F6546" s="46">
        <v>46097.325958877307</v>
      </c>
      <c r="G6546" s="46">
        <v>46097.325959062502</v>
      </c>
      <c r="H6546">
        <v>15</v>
      </c>
    </row>
    <row r="6547" spans="1:8" x14ac:dyDescent="0.15">
      <c r="A6547">
        <v>6546</v>
      </c>
      <c r="B6547" t="s">
        <v>339</v>
      </c>
      <c r="C6547" t="s">
        <v>353</v>
      </c>
      <c r="D6547" t="s">
        <v>10853</v>
      </c>
      <c r="E6547" t="s">
        <v>10834</v>
      </c>
      <c r="F6547" s="46">
        <v>46097.325959062502</v>
      </c>
      <c r="G6547" s="46">
        <v>46097.325959062502</v>
      </c>
      <c r="H6547">
        <v>0</v>
      </c>
    </row>
    <row r="6548" spans="1:8" x14ac:dyDescent="0.15">
      <c r="A6548">
        <v>6547</v>
      </c>
      <c r="B6548" t="s">
        <v>339</v>
      </c>
      <c r="C6548" t="s">
        <v>353</v>
      </c>
      <c r="D6548" t="s">
        <v>10854</v>
      </c>
      <c r="E6548" t="s">
        <v>10834</v>
      </c>
      <c r="F6548" s="46">
        <v>46097.325959062502</v>
      </c>
      <c r="G6548" s="46">
        <v>46097.325959062502</v>
      </c>
      <c r="H6548">
        <v>0</v>
      </c>
    </row>
    <row r="6549" spans="1:8" x14ac:dyDescent="0.15">
      <c r="A6549">
        <v>6548</v>
      </c>
      <c r="B6549" t="s">
        <v>339</v>
      </c>
      <c r="C6549" t="s">
        <v>353</v>
      </c>
      <c r="D6549" t="s">
        <v>10855</v>
      </c>
      <c r="E6549" t="s">
        <v>10834</v>
      </c>
      <c r="F6549" s="46">
        <v>46097.325959062502</v>
      </c>
      <c r="G6549" s="46">
        <v>46097.325959062502</v>
      </c>
      <c r="H6549">
        <v>0</v>
      </c>
    </row>
    <row r="6550" spans="1:8" x14ac:dyDescent="0.15">
      <c r="A6550">
        <v>6549</v>
      </c>
      <c r="B6550" t="s">
        <v>339</v>
      </c>
      <c r="C6550" t="s">
        <v>353</v>
      </c>
      <c r="D6550" t="s">
        <v>10856</v>
      </c>
      <c r="E6550" t="s">
        <v>10834</v>
      </c>
      <c r="F6550" s="46">
        <v>46097.325959062502</v>
      </c>
      <c r="G6550" s="46">
        <v>46097.325959062502</v>
      </c>
      <c r="H6550">
        <v>0</v>
      </c>
    </row>
    <row r="6551" spans="1:8" x14ac:dyDescent="0.15">
      <c r="A6551">
        <v>6550</v>
      </c>
      <c r="B6551" t="s">
        <v>339</v>
      </c>
      <c r="C6551" t="s">
        <v>353</v>
      </c>
      <c r="D6551" t="s">
        <v>10857</v>
      </c>
      <c r="E6551" t="s">
        <v>10834</v>
      </c>
      <c r="F6551" s="46">
        <v>46097.325959062502</v>
      </c>
      <c r="G6551" s="46">
        <v>46097.325959062502</v>
      </c>
      <c r="H6551">
        <v>0</v>
      </c>
    </row>
    <row r="6552" spans="1:8" x14ac:dyDescent="0.15">
      <c r="A6552">
        <v>6551</v>
      </c>
      <c r="B6552" t="s">
        <v>339</v>
      </c>
      <c r="C6552" t="s">
        <v>353</v>
      </c>
      <c r="D6552" t="s">
        <v>10858</v>
      </c>
      <c r="E6552" t="s">
        <v>10834</v>
      </c>
      <c r="F6552" s="46">
        <v>46097.325959062502</v>
      </c>
      <c r="G6552" s="46">
        <v>46097.325959062502</v>
      </c>
      <c r="H6552">
        <v>0</v>
      </c>
    </row>
    <row r="6553" spans="1:8" x14ac:dyDescent="0.15">
      <c r="A6553">
        <v>6552</v>
      </c>
      <c r="B6553" t="s">
        <v>339</v>
      </c>
      <c r="C6553" t="s">
        <v>353</v>
      </c>
      <c r="D6553" t="s">
        <v>10859</v>
      </c>
      <c r="E6553" t="s">
        <v>10834</v>
      </c>
      <c r="F6553" s="46">
        <v>46097.325959062502</v>
      </c>
      <c r="G6553" s="46">
        <v>46097.325959062502</v>
      </c>
      <c r="H6553">
        <v>0</v>
      </c>
    </row>
    <row r="6554" spans="1:8" x14ac:dyDescent="0.15">
      <c r="A6554">
        <v>6553</v>
      </c>
      <c r="B6554" t="s">
        <v>339</v>
      </c>
      <c r="C6554" t="s">
        <v>353</v>
      </c>
      <c r="D6554" t="s">
        <v>10860</v>
      </c>
      <c r="E6554" t="s">
        <v>10834</v>
      </c>
      <c r="F6554" s="46">
        <v>46097.325959062502</v>
      </c>
      <c r="G6554" s="46">
        <v>46097.325959062502</v>
      </c>
      <c r="H6554">
        <v>0</v>
      </c>
    </row>
    <row r="6555" spans="1:8" x14ac:dyDescent="0.15">
      <c r="A6555">
        <v>6554</v>
      </c>
      <c r="B6555" t="s">
        <v>339</v>
      </c>
      <c r="C6555" t="s">
        <v>353</v>
      </c>
      <c r="D6555" t="s">
        <v>10861</v>
      </c>
      <c r="E6555" t="s">
        <v>10834</v>
      </c>
      <c r="F6555" s="46">
        <v>46097.325959062502</v>
      </c>
      <c r="G6555" s="46">
        <v>46097.325959062502</v>
      </c>
      <c r="H6555">
        <v>0</v>
      </c>
    </row>
    <row r="6556" spans="1:8" x14ac:dyDescent="0.15">
      <c r="A6556">
        <v>6555</v>
      </c>
      <c r="B6556" t="s">
        <v>339</v>
      </c>
      <c r="C6556" t="s">
        <v>353</v>
      </c>
      <c r="D6556" t="s">
        <v>10862</v>
      </c>
      <c r="E6556" t="s">
        <v>10834</v>
      </c>
      <c r="F6556" s="46">
        <v>46097.325959062502</v>
      </c>
      <c r="G6556" s="46">
        <v>46097.325959062502</v>
      </c>
      <c r="H6556">
        <v>0</v>
      </c>
    </row>
    <row r="6557" spans="1:8" x14ac:dyDescent="0.15">
      <c r="A6557">
        <v>6556</v>
      </c>
      <c r="B6557" t="s">
        <v>339</v>
      </c>
      <c r="C6557" t="s">
        <v>353</v>
      </c>
      <c r="D6557" t="s">
        <v>10863</v>
      </c>
      <c r="E6557" t="s">
        <v>10834</v>
      </c>
      <c r="F6557" s="46">
        <v>46097.325959062502</v>
      </c>
      <c r="G6557" s="46">
        <v>46097.325959247682</v>
      </c>
      <c r="H6557">
        <v>16</v>
      </c>
    </row>
    <row r="6558" spans="1:8" x14ac:dyDescent="0.15">
      <c r="A6558">
        <v>6557</v>
      </c>
      <c r="B6558" t="s">
        <v>339</v>
      </c>
      <c r="C6558" t="s">
        <v>353</v>
      </c>
      <c r="D6558" t="s">
        <v>10864</v>
      </c>
      <c r="E6558" t="s">
        <v>10834</v>
      </c>
      <c r="F6558" s="46">
        <v>46097.325959247682</v>
      </c>
      <c r="G6558" s="46">
        <v>46097.325959247682</v>
      </c>
      <c r="H6558">
        <v>0</v>
      </c>
    </row>
    <row r="6559" spans="1:8" x14ac:dyDescent="0.15">
      <c r="A6559">
        <v>6558</v>
      </c>
      <c r="B6559" t="s">
        <v>339</v>
      </c>
      <c r="C6559" t="s">
        <v>353</v>
      </c>
      <c r="D6559" t="s">
        <v>10865</v>
      </c>
      <c r="E6559" t="s">
        <v>10834</v>
      </c>
      <c r="F6559" s="46">
        <v>46097.325959247682</v>
      </c>
      <c r="G6559" s="46">
        <v>46097.325959247682</v>
      </c>
      <c r="H6559">
        <v>0</v>
      </c>
    </row>
    <row r="6560" spans="1:8" x14ac:dyDescent="0.15">
      <c r="A6560">
        <v>6559</v>
      </c>
      <c r="B6560" t="s">
        <v>339</v>
      </c>
      <c r="C6560" t="s">
        <v>353</v>
      </c>
      <c r="D6560" t="s">
        <v>10866</v>
      </c>
      <c r="E6560" t="s">
        <v>10834</v>
      </c>
      <c r="F6560" s="46">
        <v>46097.325959247682</v>
      </c>
      <c r="G6560" s="46">
        <v>46097.325959247682</v>
      </c>
      <c r="H6560">
        <v>0</v>
      </c>
    </row>
    <row r="6561" spans="1:8" x14ac:dyDescent="0.15">
      <c r="A6561">
        <v>6560</v>
      </c>
      <c r="B6561" t="s">
        <v>339</v>
      </c>
      <c r="C6561" t="s">
        <v>353</v>
      </c>
      <c r="D6561" t="s">
        <v>10867</v>
      </c>
      <c r="E6561" t="s">
        <v>10834</v>
      </c>
      <c r="F6561" s="46">
        <v>46097.325959247682</v>
      </c>
      <c r="G6561" s="46">
        <v>46097.325959247682</v>
      </c>
      <c r="H6561">
        <v>0</v>
      </c>
    </row>
    <row r="6562" spans="1:8" x14ac:dyDescent="0.15">
      <c r="A6562">
        <v>6561</v>
      </c>
      <c r="B6562" t="s">
        <v>339</v>
      </c>
      <c r="C6562" t="s">
        <v>353</v>
      </c>
      <c r="D6562" t="s">
        <v>10868</v>
      </c>
      <c r="E6562" t="s">
        <v>10834</v>
      </c>
      <c r="F6562" s="46">
        <v>46097.325959247682</v>
      </c>
      <c r="G6562" s="46">
        <v>46097.325959247682</v>
      </c>
      <c r="H6562">
        <v>0</v>
      </c>
    </row>
    <row r="6563" spans="1:8" x14ac:dyDescent="0.15">
      <c r="A6563">
        <v>6562</v>
      </c>
      <c r="B6563" t="s">
        <v>339</v>
      </c>
      <c r="C6563" t="s">
        <v>353</v>
      </c>
      <c r="D6563" t="s">
        <v>10869</v>
      </c>
      <c r="E6563" t="s">
        <v>10834</v>
      </c>
      <c r="F6563" s="46">
        <v>46097.325959247682</v>
      </c>
      <c r="G6563" s="46">
        <v>46097.325959247682</v>
      </c>
      <c r="H6563">
        <v>0</v>
      </c>
    </row>
    <row r="6564" spans="1:8" x14ac:dyDescent="0.15">
      <c r="A6564">
        <v>6563</v>
      </c>
      <c r="B6564" t="s">
        <v>339</v>
      </c>
      <c r="C6564" t="s">
        <v>353</v>
      </c>
      <c r="D6564" t="s">
        <v>10870</v>
      </c>
      <c r="E6564" t="s">
        <v>10871</v>
      </c>
      <c r="F6564" s="46">
        <v>46097.325959247682</v>
      </c>
      <c r="G6564" s="46">
        <v>46097.325959247682</v>
      </c>
      <c r="H6564">
        <v>0</v>
      </c>
    </row>
    <row r="6565" spans="1:8" x14ac:dyDescent="0.15">
      <c r="A6565">
        <v>6564</v>
      </c>
      <c r="B6565" t="s">
        <v>339</v>
      </c>
      <c r="C6565" t="s">
        <v>353</v>
      </c>
      <c r="D6565" t="s">
        <v>10872</v>
      </c>
      <c r="E6565" t="s">
        <v>10873</v>
      </c>
      <c r="F6565" s="46">
        <v>46097.325959247682</v>
      </c>
      <c r="G6565" s="46">
        <v>46097.325959247682</v>
      </c>
      <c r="H6565">
        <v>0</v>
      </c>
    </row>
    <row r="6566" spans="1:8" x14ac:dyDescent="0.15">
      <c r="A6566">
        <v>6565</v>
      </c>
      <c r="B6566" t="s">
        <v>339</v>
      </c>
      <c r="C6566" t="s">
        <v>353</v>
      </c>
      <c r="D6566" t="s">
        <v>10874</v>
      </c>
      <c r="E6566" t="s">
        <v>10873</v>
      </c>
      <c r="F6566" s="46">
        <v>46097.325959247682</v>
      </c>
      <c r="G6566" s="46">
        <v>46097.325959247682</v>
      </c>
      <c r="H6566">
        <v>0</v>
      </c>
    </row>
    <row r="6567" spans="1:8" x14ac:dyDescent="0.15">
      <c r="A6567">
        <v>6566</v>
      </c>
      <c r="B6567" t="s">
        <v>339</v>
      </c>
      <c r="C6567" t="s">
        <v>353</v>
      </c>
      <c r="D6567" t="s">
        <v>10875</v>
      </c>
      <c r="E6567" t="s">
        <v>10873</v>
      </c>
      <c r="F6567" s="46">
        <v>46097.325959247682</v>
      </c>
      <c r="G6567" s="46">
        <v>46097.325959421287</v>
      </c>
      <c r="H6567">
        <v>16</v>
      </c>
    </row>
    <row r="6568" spans="1:8" x14ac:dyDescent="0.15">
      <c r="A6568">
        <v>6567</v>
      </c>
      <c r="B6568" t="s">
        <v>339</v>
      </c>
      <c r="C6568" t="s">
        <v>353</v>
      </c>
      <c r="D6568" t="s">
        <v>10876</v>
      </c>
      <c r="E6568" t="s">
        <v>10873</v>
      </c>
      <c r="F6568" s="46">
        <v>46097.325959421287</v>
      </c>
      <c r="G6568" s="46">
        <v>46097.325959421287</v>
      </c>
      <c r="H6568">
        <v>0</v>
      </c>
    </row>
    <row r="6569" spans="1:8" x14ac:dyDescent="0.15">
      <c r="A6569">
        <v>6568</v>
      </c>
      <c r="B6569" t="s">
        <v>339</v>
      </c>
      <c r="C6569" t="s">
        <v>353</v>
      </c>
      <c r="D6569" t="s">
        <v>10877</v>
      </c>
      <c r="E6569" t="s">
        <v>10873</v>
      </c>
      <c r="F6569" s="46">
        <v>46097.325959421287</v>
      </c>
      <c r="G6569" s="46">
        <v>46097.325959421287</v>
      </c>
      <c r="H6569">
        <v>0</v>
      </c>
    </row>
    <row r="6570" spans="1:8" x14ac:dyDescent="0.15">
      <c r="A6570">
        <v>6569</v>
      </c>
      <c r="B6570" t="s">
        <v>339</v>
      </c>
      <c r="C6570" t="s">
        <v>353</v>
      </c>
      <c r="D6570" t="s">
        <v>10878</v>
      </c>
      <c r="E6570" t="s">
        <v>10873</v>
      </c>
      <c r="F6570" s="46">
        <v>46097.325959421287</v>
      </c>
      <c r="G6570" s="46">
        <v>46097.325959421287</v>
      </c>
      <c r="H6570">
        <v>0</v>
      </c>
    </row>
    <row r="6571" spans="1:8" x14ac:dyDescent="0.15">
      <c r="A6571">
        <v>6570</v>
      </c>
      <c r="B6571" t="s">
        <v>339</v>
      </c>
      <c r="C6571" t="s">
        <v>353</v>
      </c>
      <c r="D6571" t="s">
        <v>10879</v>
      </c>
      <c r="E6571" t="s">
        <v>10873</v>
      </c>
      <c r="F6571" s="46">
        <v>46097.325959421287</v>
      </c>
      <c r="G6571" s="46">
        <v>46097.325959421287</v>
      </c>
      <c r="H6571">
        <v>0</v>
      </c>
    </row>
    <row r="6572" spans="1:8" x14ac:dyDescent="0.15">
      <c r="A6572">
        <v>6571</v>
      </c>
      <c r="B6572" t="s">
        <v>339</v>
      </c>
      <c r="C6572" t="s">
        <v>353</v>
      </c>
      <c r="D6572" t="s">
        <v>10880</v>
      </c>
      <c r="E6572" t="s">
        <v>10873</v>
      </c>
      <c r="F6572" s="46">
        <v>46097.325959421287</v>
      </c>
      <c r="G6572" s="46">
        <v>46097.325959421287</v>
      </c>
      <c r="H6572">
        <v>0</v>
      </c>
    </row>
    <row r="6573" spans="1:8" x14ac:dyDescent="0.15">
      <c r="A6573">
        <v>6572</v>
      </c>
      <c r="B6573" t="s">
        <v>339</v>
      </c>
      <c r="C6573" t="s">
        <v>353</v>
      </c>
      <c r="D6573" t="s">
        <v>10881</v>
      </c>
      <c r="E6573" t="s">
        <v>10873</v>
      </c>
      <c r="F6573" s="46">
        <v>46097.325959421287</v>
      </c>
      <c r="G6573" s="46">
        <v>46097.325959421287</v>
      </c>
      <c r="H6573">
        <v>0</v>
      </c>
    </row>
    <row r="6574" spans="1:8" x14ac:dyDescent="0.15">
      <c r="A6574">
        <v>6573</v>
      </c>
      <c r="B6574" t="s">
        <v>339</v>
      </c>
      <c r="C6574" t="s">
        <v>353</v>
      </c>
      <c r="D6574" t="s">
        <v>10882</v>
      </c>
      <c r="E6574" t="s">
        <v>10873</v>
      </c>
      <c r="F6574" s="46">
        <v>46097.325959421287</v>
      </c>
      <c r="G6574" s="46">
        <v>46097.325959421287</v>
      </c>
      <c r="H6574">
        <v>0</v>
      </c>
    </row>
    <row r="6575" spans="1:8" x14ac:dyDescent="0.15">
      <c r="A6575">
        <v>6574</v>
      </c>
      <c r="B6575" t="s">
        <v>339</v>
      </c>
      <c r="C6575" t="s">
        <v>353</v>
      </c>
      <c r="D6575" t="s">
        <v>10883</v>
      </c>
      <c r="E6575" t="s">
        <v>10873</v>
      </c>
      <c r="F6575" s="46">
        <v>46097.325959421287</v>
      </c>
      <c r="G6575" s="46">
        <v>46097.325959421287</v>
      </c>
      <c r="H6575">
        <v>0</v>
      </c>
    </row>
    <row r="6576" spans="1:8" x14ac:dyDescent="0.15">
      <c r="A6576">
        <v>6575</v>
      </c>
      <c r="B6576" t="s">
        <v>339</v>
      </c>
      <c r="C6576" t="s">
        <v>353</v>
      </c>
      <c r="D6576" t="s">
        <v>10884</v>
      </c>
      <c r="E6576" t="s">
        <v>10885</v>
      </c>
      <c r="F6576" s="46">
        <v>46097.325959421287</v>
      </c>
      <c r="G6576" s="46">
        <v>46097.325959421287</v>
      </c>
      <c r="H6576">
        <v>0</v>
      </c>
    </row>
    <row r="6577" spans="1:8" x14ac:dyDescent="0.15">
      <c r="A6577">
        <v>6576</v>
      </c>
      <c r="B6577" t="s">
        <v>339</v>
      </c>
      <c r="C6577" t="s">
        <v>353</v>
      </c>
      <c r="D6577" t="s">
        <v>10886</v>
      </c>
      <c r="E6577" t="s">
        <v>10887</v>
      </c>
      <c r="F6577" s="46">
        <v>46097.325959421287</v>
      </c>
      <c r="G6577" s="46">
        <v>46097.325959421287</v>
      </c>
      <c r="H6577">
        <v>0</v>
      </c>
    </row>
    <row r="6578" spans="1:8" x14ac:dyDescent="0.15">
      <c r="A6578">
        <v>6577</v>
      </c>
      <c r="B6578" t="s">
        <v>339</v>
      </c>
      <c r="C6578" t="s">
        <v>353</v>
      </c>
      <c r="D6578" t="s">
        <v>10888</v>
      </c>
      <c r="E6578" t="s">
        <v>10887</v>
      </c>
      <c r="F6578" s="46">
        <v>46097.325959421287</v>
      </c>
      <c r="G6578" s="46">
        <v>46097.325959606482</v>
      </c>
      <c r="H6578">
        <v>15</v>
      </c>
    </row>
    <row r="6579" spans="1:8" x14ac:dyDescent="0.15">
      <c r="A6579">
        <v>6578</v>
      </c>
      <c r="B6579" t="s">
        <v>339</v>
      </c>
      <c r="C6579" t="s">
        <v>353</v>
      </c>
      <c r="D6579" t="s">
        <v>10889</v>
      </c>
      <c r="E6579" t="s">
        <v>10887</v>
      </c>
      <c r="F6579" s="46">
        <v>46097.325959606482</v>
      </c>
      <c r="G6579" s="46">
        <v>46097.325959606482</v>
      </c>
      <c r="H6579">
        <v>0</v>
      </c>
    </row>
    <row r="6580" spans="1:8" x14ac:dyDescent="0.15">
      <c r="A6580">
        <v>6579</v>
      </c>
      <c r="B6580" t="s">
        <v>339</v>
      </c>
      <c r="C6580" t="s">
        <v>353</v>
      </c>
      <c r="D6580" t="s">
        <v>10890</v>
      </c>
      <c r="E6580" t="s">
        <v>10891</v>
      </c>
      <c r="F6580" s="46">
        <v>46097.325959606482</v>
      </c>
      <c r="G6580" s="46">
        <v>46097.325959606482</v>
      </c>
      <c r="H6580">
        <v>0</v>
      </c>
    </row>
    <row r="6581" spans="1:8" x14ac:dyDescent="0.15">
      <c r="A6581">
        <v>6580</v>
      </c>
      <c r="B6581" t="s">
        <v>339</v>
      </c>
      <c r="C6581" t="s">
        <v>353</v>
      </c>
      <c r="D6581" t="s">
        <v>10892</v>
      </c>
      <c r="E6581" t="s">
        <v>10893</v>
      </c>
      <c r="F6581" s="46">
        <v>46097.325959606482</v>
      </c>
      <c r="G6581" s="46">
        <v>46097.325959606482</v>
      </c>
      <c r="H6581">
        <v>0</v>
      </c>
    </row>
    <row r="6582" spans="1:8" x14ac:dyDescent="0.15">
      <c r="A6582">
        <v>6581</v>
      </c>
      <c r="B6582" t="s">
        <v>339</v>
      </c>
      <c r="C6582" t="s">
        <v>353</v>
      </c>
      <c r="D6582" t="s">
        <v>10894</v>
      </c>
      <c r="E6582" t="s">
        <v>10893</v>
      </c>
      <c r="F6582" s="46">
        <v>46097.325959606482</v>
      </c>
      <c r="G6582" s="46">
        <v>46097.325959606482</v>
      </c>
      <c r="H6582">
        <v>0</v>
      </c>
    </row>
    <row r="6583" spans="1:8" x14ac:dyDescent="0.15">
      <c r="A6583">
        <v>6582</v>
      </c>
      <c r="B6583" t="s">
        <v>339</v>
      </c>
      <c r="C6583" t="s">
        <v>353</v>
      </c>
      <c r="D6583" t="s">
        <v>10895</v>
      </c>
      <c r="E6583" t="s">
        <v>10893</v>
      </c>
      <c r="F6583" s="46">
        <v>46097.325959606482</v>
      </c>
      <c r="G6583" s="46">
        <v>46097.325959606482</v>
      </c>
      <c r="H6583">
        <v>0</v>
      </c>
    </row>
    <row r="6584" spans="1:8" x14ac:dyDescent="0.15">
      <c r="A6584">
        <v>6583</v>
      </c>
      <c r="B6584" t="s">
        <v>339</v>
      </c>
      <c r="C6584" t="s">
        <v>353</v>
      </c>
      <c r="D6584" t="s">
        <v>10896</v>
      </c>
      <c r="E6584" t="s">
        <v>10897</v>
      </c>
      <c r="F6584" s="46">
        <v>46097.325959606482</v>
      </c>
      <c r="G6584" s="46">
        <v>46097.325959606482</v>
      </c>
      <c r="H6584">
        <v>0</v>
      </c>
    </row>
    <row r="6585" spans="1:8" x14ac:dyDescent="0.15">
      <c r="A6585">
        <v>6584</v>
      </c>
      <c r="B6585" t="s">
        <v>339</v>
      </c>
      <c r="C6585" t="s">
        <v>353</v>
      </c>
      <c r="D6585" t="s">
        <v>10898</v>
      </c>
      <c r="E6585" t="s">
        <v>10899</v>
      </c>
      <c r="F6585" s="46">
        <v>46097.325959606482</v>
      </c>
      <c r="G6585" s="46">
        <v>46097.325959606482</v>
      </c>
      <c r="H6585">
        <v>0</v>
      </c>
    </row>
    <row r="6586" spans="1:8" x14ac:dyDescent="0.15">
      <c r="A6586">
        <v>6585</v>
      </c>
      <c r="B6586" t="s">
        <v>339</v>
      </c>
      <c r="C6586" t="s">
        <v>353</v>
      </c>
      <c r="D6586" t="s">
        <v>10900</v>
      </c>
      <c r="E6586" t="s">
        <v>10901</v>
      </c>
      <c r="F6586" s="46">
        <v>46097.325959606482</v>
      </c>
      <c r="G6586" s="46">
        <v>46097.325959606482</v>
      </c>
      <c r="H6586">
        <v>0</v>
      </c>
    </row>
    <row r="6587" spans="1:8" x14ac:dyDescent="0.15">
      <c r="A6587">
        <v>6586</v>
      </c>
      <c r="B6587" t="s">
        <v>339</v>
      </c>
      <c r="C6587" t="s">
        <v>353</v>
      </c>
      <c r="D6587" t="s">
        <v>10902</v>
      </c>
      <c r="E6587" t="s">
        <v>10903</v>
      </c>
      <c r="F6587" s="46">
        <v>46097.325959606482</v>
      </c>
      <c r="G6587" s="46">
        <v>46097.325959606482</v>
      </c>
      <c r="H6587">
        <v>0</v>
      </c>
    </row>
    <row r="6588" spans="1:8" x14ac:dyDescent="0.15">
      <c r="A6588">
        <v>6587</v>
      </c>
      <c r="B6588" t="s">
        <v>339</v>
      </c>
      <c r="C6588" t="s">
        <v>353</v>
      </c>
      <c r="D6588" t="s">
        <v>10904</v>
      </c>
      <c r="E6588" t="s">
        <v>10903</v>
      </c>
      <c r="F6588" s="46">
        <v>46097.325959606482</v>
      </c>
      <c r="G6588" s="46">
        <v>46097.325959780093</v>
      </c>
      <c r="H6588">
        <v>16</v>
      </c>
    </row>
    <row r="6589" spans="1:8" x14ac:dyDescent="0.15">
      <c r="A6589">
        <v>6588</v>
      </c>
      <c r="B6589" t="s">
        <v>339</v>
      </c>
      <c r="C6589" t="s">
        <v>353</v>
      </c>
      <c r="D6589" t="s">
        <v>10905</v>
      </c>
      <c r="E6589" t="s">
        <v>10906</v>
      </c>
      <c r="F6589" s="46">
        <v>46097.325959780093</v>
      </c>
      <c r="G6589" s="46">
        <v>46097.325959780093</v>
      </c>
      <c r="H6589">
        <v>0</v>
      </c>
    </row>
    <row r="6590" spans="1:8" x14ac:dyDescent="0.15">
      <c r="A6590">
        <v>6589</v>
      </c>
      <c r="B6590" t="s">
        <v>339</v>
      </c>
      <c r="C6590" t="s">
        <v>353</v>
      </c>
      <c r="D6590" t="s">
        <v>10907</v>
      </c>
      <c r="E6590" t="s">
        <v>10906</v>
      </c>
      <c r="F6590" s="46">
        <v>46097.325959780093</v>
      </c>
      <c r="G6590" s="46">
        <v>46097.325959780093</v>
      </c>
      <c r="H6590">
        <v>0</v>
      </c>
    </row>
    <row r="6591" spans="1:8" x14ac:dyDescent="0.15">
      <c r="A6591">
        <v>6590</v>
      </c>
      <c r="B6591" t="s">
        <v>339</v>
      </c>
      <c r="C6591" t="s">
        <v>353</v>
      </c>
      <c r="D6591" t="s">
        <v>10908</v>
      </c>
      <c r="E6591" t="s">
        <v>10906</v>
      </c>
      <c r="F6591" s="46">
        <v>46097.325959780093</v>
      </c>
      <c r="G6591" s="46">
        <v>46097.325959780093</v>
      </c>
      <c r="H6591">
        <v>0</v>
      </c>
    </row>
    <row r="6592" spans="1:8" x14ac:dyDescent="0.15">
      <c r="A6592">
        <v>6591</v>
      </c>
      <c r="B6592" t="s">
        <v>339</v>
      </c>
      <c r="C6592" t="s">
        <v>353</v>
      </c>
      <c r="D6592" t="s">
        <v>10909</v>
      </c>
      <c r="E6592" t="s">
        <v>10906</v>
      </c>
      <c r="F6592" s="46">
        <v>46097.325959780093</v>
      </c>
      <c r="G6592" s="46">
        <v>46097.325959780093</v>
      </c>
      <c r="H6592">
        <v>0</v>
      </c>
    </row>
    <row r="6593" spans="1:8" x14ac:dyDescent="0.15">
      <c r="A6593">
        <v>6592</v>
      </c>
      <c r="B6593" t="s">
        <v>339</v>
      </c>
      <c r="C6593" t="s">
        <v>353</v>
      </c>
      <c r="D6593" t="s">
        <v>10910</v>
      </c>
      <c r="E6593" t="s">
        <v>10906</v>
      </c>
      <c r="F6593" s="46">
        <v>46097.325959780093</v>
      </c>
      <c r="G6593" s="46">
        <v>46097.325959780093</v>
      </c>
      <c r="H6593">
        <v>0</v>
      </c>
    </row>
    <row r="6594" spans="1:8" x14ac:dyDescent="0.15">
      <c r="A6594">
        <v>6593</v>
      </c>
      <c r="B6594" t="s">
        <v>339</v>
      </c>
      <c r="C6594" t="s">
        <v>353</v>
      </c>
      <c r="D6594" t="s">
        <v>10911</v>
      </c>
      <c r="E6594" t="s">
        <v>10912</v>
      </c>
      <c r="F6594" s="46">
        <v>46097.325959780093</v>
      </c>
      <c r="G6594" s="46">
        <v>46097.325959780093</v>
      </c>
      <c r="H6594">
        <v>0</v>
      </c>
    </row>
    <row r="6595" spans="1:8" x14ac:dyDescent="0.15">
      <c r="A6595">
        <v>6594</v>
      </c>
      <c r="B6595" t="s">
        <v>339</v>
      </c>
      <c r="C6595" t="s">
        <v>353</v>
      </c>
      <c r="D6595" t="s">
        <v>10913</v>
      </c>
      <c r="E6595" t="s">
        <v>10914</v>
      </c>
      <c r="F6595" s="46">
        <v>46097.325959780093</v>
      </c>
      <c r="G6595" s="46">
        <v>46097.325959780093</v>
      </c>
      <c r="H6595">
        <v>0</v>
      </c>
    </row>
    <row r="6596" spans="1:8" x14ac:dyDescent="0.15">
      <c r="A6596">
        <v>6595</v>
      </c>
      <c r="B6596" t="s">
        <v>339</v>
      </c>
      <c r="C6596" t="s">
        <v>353</v>
      </c>
      <c r="D6596" t="s">
        <v>10915</v>
      </c>
      <c r="E6596" t="s">
        <v>10916</v>
      </c>
      <c r="F6596" s="46">
        <v>46097.325959780093</v>
      </c>
      <c r="G6596" s="46">
        <v>46097.325959780093</v>
      </c>
      <c r="H6596">
        <v>0</v>
      </c>
    </row>
    <row r="6597" spans="1:8" x14ac:dyDescent="0.15">
      <c r="A6597">
        <v>6596</v>
      </c>
      <c r="B6597" t="s">
        <v>339</v>
      </c>
      <c r="C6597" t="s">
        <v>353</v>
      </c>
      <c r="D6597" t="s">
        <v>10917</v>
      </c>
      <c r="E6597" t="s">
        <v>10916</v>
      </c>
      <c r="F6597" s="46">
        <v>46097.325959780093</v>
      </c>
      <c r="G6597" s="46">
        <v>46097.325959780093</v>
      </c>
      <c r="H6597">
        <v>0</v>
      </c>
    </row>
    <row r="6598" spans="1:8" x14ac:dyDescent="0.15">
      <c r="A6598">
        <v>6597</v>
      </c>
      <c r="B6598" t="s">
        <v>339</v>
      </c>
      <c r="C6598" t="s">
        <v>353</v>
      </c>
      <c r="D6598" t="s">
        <v>10918</v>
      </c>
      <c r="E6598" t="s">
        <v>10919</v>
      </c>
      <c r="F6598" s="46">
        <v>46097.325959780093</v>
      </c>
      <c r="G6598" s="46">
        <v>46097.325959780093</v>
      </c>
      <c r="H6598">
        <v>0</v>
      </c>
    </row>
    <row r="6599" spans="1:8" x14ac:dyDescent="0.15">
      <c r="A6599">
        <v>6598</v>
      </c>
      <c r="B6599" t="s">
        <v>339</v>
      </c>
      <c r="C6599" t="s">
        <v>353</v>
      </c>
      <c r="D6599" t="s">
        <v>10920</v>
      </c>
      <c r="E6599" t="s">
        <v>10921</v>
      </c>
      <c r="F6599" s="46">
        <v>46097.325959780093</v>
      </c>
      <c r="G6599" s="46">
        <v>46097.325959965281</v>
      </c>
      <c r="H6599">
        <v>16</v>
      </c>
    </row>
    <row r="6600" spans="1:8" x14ac:dyDescent="0.15">
      <c r="A6600">
        <v>6599</v>
      </c>
      <c r="B6600" t="s">
        <v>339</v>
      </c>
      <c r="C6600" t="s">
        <v>353</v>
      </c>
      <c r="D6600" t="s">
        <v>10922</v>
      </c>
      <c r="E6600" t="s">
        <v>10923</v>
      </c>
      <c r="F6600" s="46">
        <v>46097.325959965281</v>
      </c>
      <c r="G6600" s="46">
        <v>46097.325959965281</v>
      </c>
      <c r="H6600">
        <v>0</v>
      </c>
    </row>
    <row r="6601" spans="1:8" x14ac:dyDescent="0.15">
      <c r="A6601">
        <v>6600</v>
      </c>
      <c r="B6601" t="s">
        <v>339</v>
      </c>
      <c r="C6601" t="s">
        <v>353</v>
      </c>
      <c r="D6601" t="s">
        <v>10924</v>
      </c>
      <c r="E6601" t="s">
        <v>10923</v>
      </c>
      <c r="F6601" s="46">
        <v>46097.325959965281</v>
      </c>
      <c r="G6601" s="46">
        <v>46097.325959965281</v>
      </c>
      <c r="H6601">
        <v>0</v>
      </c>
    </row>
    <row r="6602" spans="1:8" x14ac:dyDescent="0.15">
      <c r="A6602">
        <v>6601</v>
      </c>
      <c r="B6602" t="s">
        <v>339</v>
      </c>
      <c r="C6602" t="s">
        <v>353</v>
      </c>
      <c r="D6602" t="s">
        <v>10925</v>
      </c>
      <c r="E6602" t="s">
        <v>10926</v>
      </c>
      <c r="F6602" s="46">
        <v>46097.325959965281</v>
      </c>
      <c r="G6602" s="46">
        <v>46097.325959965281</v>
      </c>
      <c r="H6602">
        <v>0</v>
      </c>
    </row>
    <row r="6603" spans="1:8" x14ac:dyDescent="0.15">
      <c r="A6603">
        <v>6602</v>
      </c>
      <c r="B6603" t="s">
        <v>339</v>
      </c>
      <c r="C6603" t="s">
        <v>353</v>
      </c>
      <c r="D6603" t="s">
        <v>10927</v>
      </c>
      <c r="E6603" t="s">
        <v>10928</v>
      </c>
      <c r="F6603" s="46">
        <v>46097.325959965281</v>
      </c>
      <c r="G6603" s="46">
        <v>46097.325959965281</v>
      </c>
      <c r="H6603">
        <v>0</v>
      </c>
    </row>
    <row r="6604" spans="1:8" x14ac:dyDescent="0.15">
      <c r="A6604">
        <v>6603</v>
      </c>
      <c r="B6604" t="s">
        <v>339</v>
      </c>
      <c r="C6604" t="s">
        <v>353</v>
      </c>
      <c r="D6604" t="s">
        <v>10929</v>
      </c>
      <c r="E6604" t="s">
        <v>10930</v>
      </c>
      <c r="F6604" s="46">
        <v>46097.325959965281</v>
      </c>
      <c r="G6604" s="46">
        <v>46097.325959965281</v>
      </c>
      <c r="H6604">
        <v>0</v>
      </c>
    </row>
    <row r="6605" spans="1:8" x14ac:dyDescent="0.15">
      <c r="A6605">
        <v>6604</v>
      </c>
      <c r="B6605" t="s">
        <v>339</v>
      </c>
      <c r="C6605" t="s">
        <v>353</v>
      </c>
      <c r="D6605" t="s">
        <v>10931</v>
      </c>
      <c r="E6605" t="s">
        <v>10932</v>
      </c>
      <c r="F6605" s="46">
        <v>46097.325959965281</v>
      </c>
      <c r="G6605" s="46">
        <v>46097.325959965281</v>
      </c>
      <c r="H6605">
        <v>0</v>
      </c>
    </row>
    <row r="6606" spans="1:8" x14ac:dyDescent="0.15">
      <c r="A6606">
        <v>6605</v>
      </c>
      <c r="B6606" t="s">
        <v>339</v>
      </c>
      <c r="C6606" t="s">
        <v>353</v>
      </c>
      <c r="D6606" t="s">
        <v>10933</v>
      </c>
      <c r="E6606" t="s">
        <v>10934</v>
      </c>
      <c r="F6606" s="46">
        <v>46097.325959965281</v>
      </c>
      <c r="G6606" s="46">
        <v>46097.325959965281</v>
      </c>
      <c r="H6606">
        <v>0</v>
      </c>
    </row>
    <row r="6607" spans="1:8" x14ac:dyDescent="0.15">
      <c r="A6607">
        <v>6606</v>
      </c>
      <c r="B6607" t="s">
        <v>339</v>
      </c>
      <c r="C6607" t="s">
        <v>353</v>
      </c>
      <c r="D6607" t="s">
        <v>10935</v>
      </c>
      <c r="E6607" t="s">
        <v>10934</v>
      </c>
      <c r="F6607" s="46">
        <v>46097.325959965281</v>
      </c>
      <c r="G6607" s="46">
        <v>46097.325959965281</v>
      </c>
      <c r="H6607">
        <v>0</v>
      </c>
    </row>
    <row r="6608" spans="1:8" x14ac:dyDescent="0.15">
      <c r="A6608">
        <v>6607</v>
      </c>
      <c r="B6608" t="s">
        <v>339</v>
      </c>
      <c r="C6608" t="s">
        <v>353</v>
      </c>
      <c r="D6608" t="s">
        <v>10936</v>
      </c>
      <c r="E6608" t="s">
        <v>10937</v>
      </c>
      <c r="F6608" s="46">
        <v>46097.325959965281</v>
      </c>
      <c r="G6608" s="46">
        <v>46097.325959965281</v>
      </c>
      <c r="H6608">
        <v>0</v>
      </c>
    </row>
    <row r="6609" spans="1:8" x14ac:dyDescent="0.15">
      <c r="A6609">
        <v>6608</v>
      </c>
      <c r="B6609" t="s">
        <v>339</v>
      </c>
      <c r="C6609" t="s">
        <v>353</v>
      </c>
      <c r="D6609" t="s">
        <v>10938</v>
      </c>
      <c r="E6609" t="s">
        <v>10939</v>
      </c>
      <c r="F6609" s="46">
        <v>46097.325959965281</v>
      </c>
      <c r="G6609" s="46">
        <v>46097.325960150461</v>
      </c>
      <c r="H6609">
        <v>15</v>
      </c>
    </row>
    <row r="6610" spans="1:8" x14ac:dyDescent="0.15">
      <c r="A6610">
        <v>6609</v>
      </c>
      <c r="B6610" t="s">
        <v>339</v>
      </c>
      <c r="C6610" t="s">
        <v>353</v>
      </c>
      <c r="D6610" t="s">
        <v>10940</v>
      </c>
      <c r="E6610" t="s">
        <v>10939</v>
      </c>
      <c r="F6610" s="46">
        <v>46097.325960150461</v>
      </c>
      <c r="G6610" s="46">
        <v>46097.325960150461</v>
      </c>
      <c r="H6610">
        <v>0</v>
      </c>
    </row>
    <row r="6611" spans="1:8" x14ac:dyDescent="0.15">
      <c r="A6611">
        <v>6610</v>
      </c>
      <c r="B6611" t="s">
        <v>339</v>
      </c>
      <c r="C6611" t="s">
        <v>353</v>
      </c>
      <c r="D6611" t="s">
        <v>10941</v>
      </c>
      <c r="E6611" t="s">
        <v>10942</v>
      </c>
      <c r="F6611" s="46">
        <v>46097.325960150461</v>
      </c>
      <c r="G6611" s="46">
        <v>46097.325960150461</v>
      </c>
      <c r="H6611">
        <v>0</v>
      </c>
    </row>
    <row r="6612" spans="1:8" x14ac:dyDescent="0.15">
      <c r="A6612">
        <v>6611</v>
      </c>
      <c r="B6612" t="s">
        <v>339</v>
      </c>
      <c r="C6612" t="s">
        <v>353</v>
      </c>
      <c r="D6612" t="s">
        <v>10943</v>
      </c>
      <c r="E6612" t="s">
        <v>10942</v>
      </c>
      <c r="F6612" s="46">
        <v>46097.325960150461</v>
      </c>
      <c r="G6612" s="46">
        <v>46097.325960150461</v>
      </c>
      <c r="H6612">
        <v>0</v>
      </c>
    </row>
    <row r="6613" spans="1:8" x14ac:dyDescent="0.15">
      <c r="A6613">
        <v>6612</v>
      </c>
      <c r="B6613" t="s">
        <v>339</v>
      </c>
      <c r="C6613" t="s">
        <v>353</v>
      </c>
      <c r="D6613" t="s">
        <v>10944</v>
      </c>
      <c r="E6613" t="s">
        <v>10942</v>
      </c>
      <c r="F6613" s="46">
        <v>46097.325960150461</v>
      </c>
      <c r="G6613" s="46">
        <v>46097.325960150461</v>
      </c>
      <c r="H6613">
        <v>0</v>
      </c>
    </row>
    <row r="6614" spans="1:8" x14ac:dyDescent="0.15">
      <c r="A6614">
        <v>6613</v>
      </c>
      <c r="B6614" t="s">
        <v>339</v>
      </c>
      <c r="C6614" t="s">
        <v>353</v>
      </c>
      <c r="D6614" t="s">
        <v>10945</v>
      </c>
      <c r="E6614" t="s">
        <v>10942</v>
      </c>
      <c r="F6614" s="46">
        <v>46097.325960150461</v>
      </c>
      <c r="G6614" s="46">
        <v>46097.325960150461</v>
      </c>
      <c r="H6614">
        <v>0</v>
      </c>
    </row>
    <row r="6615" spans="1:8" x14ac:dyDescent="0.15">
      <c r="A6615">
        <v>6614</v>
      </c>
      <c r="B6615" t="s">
        <v>339</v>
      </c>
      <c r="C6615" t="s">
        <v>353</v>
      </c>
      <c r="D6615" t="s">
        <v>10946</v>
      </c>
      <c r="E6615" t="s">
        <v>10942</v>
      </c>
      <c r="F6615" s="46">
        <v>46097.325960150461</v>
      </c>
      <c r="G6615" s="46">
        <v>46097.325960150461</v>
      </c>
      <c r="H6615">
        <v>0</v>
      </c>
    </row>
    <row r="6616" spans="1:8" x14ac:dyDescent="0.15">
      <c r="A6616">
        <v>6615</v>
      </c>
      <c r="B6616" t="s">
        <v>339</v>
      </c>
      <c r="C6616" t="s">
        <v>353</v>
      </c>
      <c r="D6616" t="s">
        <v>10947</v>
      </c>
      <c r="E6616" t="s">
        <v>10942</v>
      </c>
      <c r="F6616" s="46">
        <v>46097.325960150461</v>
      </c>
      <c r="G6616" s="46">
        <v>46097.325960150461</v>
      </c>
      <c r="H6616">
        <v>0</v>
      </c>
    </row>
    <row r="6617" spans="1:8" x14ac:dyDescent="0.15">
      <c r="A6617">
        <v>6616</v>
      </c>
      <c r="B6617" t="s">
        <v>339</v>
      </c>
      <c r="C6617" t="s">
        <v>353</v>
      </c>
      <c r="D6617" t="s">
        <v>10948</v>
      </c>
      <c r="E6617" t="s">
        <v>10942</v>
      </c>
      <c r="F6617" s="46">
        <v>46097.325960150461</v>
      </c>
      <c r="G6617" s="46">
        <v>46097.325960150461</v>
      </c>
      <c r="H6617">
        <v>0</v>
      </c>
    </row>
    <row r="6618" spans="1:8" x14ac:dyDescent="0.15">
      <c r="A6618">
        <v>6617</v>
      </c>
      <c r="B6618" t="s">
        <v>339</v>
      </c>
      <c r="C6618" t="s">
        <v>353</v>
      </c>
      <c r="D6618" t="s">
        <v>10949</v>
      </c>
      <c r="E6618" t="s">
        <v>10942</v>
      </c>
      <c r="F6618" s="46">
        <v>46097.325960150461</v>
      </c>
      <c r="G6618" s="46">
        <v>46097.325960150461</v>
      </c>
      <c r="H6618">
        <v>0</v>
      </c>
    </row>
    <row r="6619" spans="1:8" x14ac:dyDescent="0.15">
      <c r="A6619">
        <v>6618</v>
      </c>
      <c r="B6619" t="s">
        <v>339</v>
      </c>
      <c r="C6619" t="s">
        <v>353</v>
      </c>
      <c r="D6619" t="s">
        <v>10950</v>
      </c>
      <c r="E6619" t="s">
        <v>10942</v>
      </c>
      <c r="F6619" s="46">
        <v>46097.325960150461</v>
      </c>
      <c r="G6619" s="46">
        <v>46097.325960150461</v>
      </c>
      <c r="H6619">
        <v>0</v>
      </c>
    </row>
    <row r="6620" spans="1:8" x14ac:dyDescent="0.15">
      <c r="A6620">
        <v>6619</v>
      </c>
      <c r="B6620" t="s">
        <v>339</v>
      </c>
      <c r="C6620" t="s">
        <v>353</v>
      </c>
      <c r="D6620" t="s">
        <v>10951</v>
      </c>
      <c r="E6620" t="s">
        <v>10952</v>
      </c>
      <c r="F6620" s="46">
        <v>46097.325960150461</v>
      </c>
      <c r="G6620" s="46">
        <v>46097.325960324073</v>
      </c>
      <c r="H6620">
        <v>16</v>
      </c>
    </row>
    <row r="6621" spans="1:8" x14ac:dyDescent="0.15">
      <c r="A6621">
        <v>6620</v>
      </c>
      <c r="B6621" t="s">
        <v>339</v>
      </c>
      <c r="C6621" t="s">
        <v>353</v>
      </c>
      <c r="D6621" t="s">
        <v>10953</v>
      </c>
      <c r="E6621" t="s">
        <v>10952</v>
      </c>
      <c r="F6621" s="46">
        <v>46097.325960324073</v>
      </c>
      <c r="G6621" s="46">
        <v>46097.325960324073</v>
      </c>
      <c r="H6621">
        <v>0</v>
      </c>
    </row>
    <row r="6622" spans="1:8" x14ac:dyDescent="0.15">
      <c r="A6622">
        <v>6621</v>
      </c>
      <c r="B6622" t="s">
        <v>339</v>
      </c>
      <c r="C6622" t="s">
        <v>353</v>
      </c>
      <c r="D6622" t="s">
        <v>10954</v>
      </c>
      <c r="E6622" t="s">
        <v>10952</v>
      </c>
      <c r="F6622" s="46">
        <v>46097.325960324073</v>
      </c>
      <c r="G6622" s="46">
        <v>46097.325960324073</v>
      </c>
      <c r="H6622">
        <v>0</v>
      </c>
    </row>
    <row r="6623" spans="1:8" x14ac:dyDescent="0.15">
      <c r="A6623">
        <v>6622</v>
      </c>
      <c r="B6623" t="s">
        <v>339</v>
      </c>
      <c r="C6623" t="s">
        <v>353</v>
      </c>
      <c r="D6623" t="s">
        <v>10955</v>
      </c>
      <c r="E6623" t="s">
        <v>10952</v>
      </c>
      <c r="F6623" s="46">
        <v>46097.325960324073</v>
      </c>
      <c r="G6623" s="46">
        <v>46097.325960324073</v>
      </c>
      <c r="H6623">
        <v>0</v>
      </c>
    </row>
    <row r="6624" spans="1:8" x14ac:dyDescent="0.15">
      <c r="A6624">
        <v>6623</v>
      </c>
      <c r="B6624" t="s">
        <v>339</v>
      </c>
      <c r="C6624" t="s">
        <v>353</v>
      </c>
      <c r="D6624" t="s">
        <v>10956</v>
      </c>
      <c r="E6624" t="s">
        <v>10952</v>
      </c>
      <c r="F6624" s="46">
        <v>46097.325960324073</v>
      </c>
      <c r="G6624" s="46">
        <v>46097.325960324073</v>
      </c>
      <c r="H6624">
        <v>0</v>
      </c>
    </row>
    <row r="6625" spans="1:8" x14ac:dyDescent="0.15">
      <c r="A6625">
        <v>6624</v>
      </c>
      <c r="B6625" t="s">
        <v>339</v>
      </c>
      <c r="C6625" t="s">
        <v>353</v>
      </c>
      <c r="D6625" t="s">
        <v>10957</v>
      </c>
      <c r="E6625" t="s">
        <v>10952</v>
      </c>
      <c r="F6625" s="46">
        <v>46097.325960324073</v>
      </c>
      <c r="G6625" s="46">
        <v>46097.325960324073</v>
      </c>
      <c r="H6625">
        <v>0</v>
      </c>
    </row>
    <row r="6626" spans="1:8" x14ac:dyDescent="0.15">
      <c r="A6626">
        <v>6625</v>
      </c>
      <c r="B6626" t="s">
        <v>339</v>
      </c>
      <c r="C6626" t="s">
        <v>353</v>
      </c>
      <c r="D6626" t="s">
        <v>10958</v>
      </c>
      <c r="E6626" t="s">
        <v>10952</v>
      </c>
      <c r="F6626" s="46">
        <v>46097.325960324073</v>
      </c>
      <c r="G6626" s="46">
        <v>46097.325960324073</v>
      </c>
      <c r="H6626">
        <v>0</v>
      </c>
    </row>
    <row r="6627" spans="1:8" x14ac:dyDescent="0.15">
      <c r="A6627">
        <v>6626</v>
      </c>
      <c r="B6627" t="s">
        <v>339</v>
      </c>
      <c r="C6627" t="s">
        <v>353</v>
      </c>
      <c r="D6627" t="s">
        <v>10959</v>
      </c>
      <c r="E6627" t="s">
        <v>10952</v>
      </c>
      <c r="F6627" s="46">
        <v>46097.325960324073</v>
      </c>
      <c r="G6627" s="46">
        <v>46097.325960324073</v>
      </c>
      <c r="H6627">
        <v>0</v>
      </c>
    </row>
    <row r="6628" spans="1:8" x14ac:dyDescent="0.15">
      <c r="A6628">
        <v>6627</v>
      </c>
      <c r="B6628" t="s">
        <v>339</v>
      </c>
      <c r="C6628" t="s">
        <v>353</v>
      </c>
      <c r="D6628" t="s">
        <v>10960</v>
      </c>
      <c r="E6628" t="s">
        <v>10952</v>
      </c>
      <c r="F6628" s="46">
        <v>46097.325960324073</v>
      </c>
      <c r="G6628" s="46">
        <v>46097.325960324073</v>
      </c>
      <c r="H6628">
        <v>0</v>
      </c>
    </row>
    <row r="6629" spans="1:8" x14ac:dyDescent="0.15">
      <c r="A6629">
        <v>6628</v>
      </c>
      <c r="B6629" t="s">
        <v>339</v>
      </c>
      <c r="C6629" t="s">
        <v>353</v>
      </c>
      <c r="D6629" t="s">
        <v>10961</v>
      </c>
      <c r="E6629" t="s">
        <v>10952</v>
      </c>
      <c r="F6629" s="46">
        <v>46097.325960324073</v>
      </c>
      <c r="G6629" s="46">
        <v>46097.325960324073</v>
      </c>
      <c r="H6629">
        <v>0</v>
      </c>
    </row>
    <row r="6630" spans="1:8" x14ac:dyDescent="0.15">
      <c r="A6630">
        <v>6629</v>
      </c>
      <c r="B6630" t="s">
        <v>339</v>
      </c>
      <c r="C6630" t="s">
        <v>353</v>
      </c>
      <c r="D6630" t="s">
        <v>10962</v>
      </c>
      <c r="E6630" t="s">
        <v>10963</v>
      </c>
      <c r="F6630" s="46">
        <v>46097.325960324073</v>
      </c>
      <c r="G6630" s="46">
        <v>46097.325960324073</v>
      </c>
      <c r="H6630">
        <v>0</v>
      </c>
    </row>
    <row r="6631" spans="1:8" x14ac:dyDescent="0.15">
      <c r="A6631">
        <v>6630</v>
      </c>
      <c r="B6631" t="s">
        <v>339</v>
      </c>
      <c r="C6631" t="s">
        <v>353</v>
      </c>
      <c r="D6631" t="s">
        <v>10964</v>
      </c>
      <c r="E6631" t="s">
        <v>10963</v>
      </c>
      <c r="F6631" s="46">
        <v>46097.325960324073</v>
      </c>
      <c r="G6631" s="46">
        <v>46097.325960509261</v>
      </c>
      <c r="H6631">
        <v>15</v>
      </c>
    </row>
    <row r="6632" spans="1:8" x14ac:dyDescent="0.15">
      <c r="A6632">
        <v>6631</v>
      </c>
      <c r="B6632" t="s">
        <v>339</v>
      </c>
      <c r="C6632" t="s">
        <v>353</v>
      </c>
      <c r="D6632" t="s">
        <v>10965</v>
      </c>
      <c r="E6632" t="s">
        <v>10963</v>
      </c>
      <c r="F6632" s="46">
        <v>46097.325960509261</v>
      </c>
      <c r="G6632" s="46">
        <v>46097.325960509261</v>
      </c>
      <c r="H6632">
        <v>0</v>
      </c>
    </row>
    <row r="6633" spans="1:8" x14ac:dyDescent="0.15">
      <c r="A6633">
        <v>6632</v>
      </c>
      <c r="B6633" t="s">
        <v>339</v>
      </c>
      <c r="C6633" t="s">
        <v>353</v>
      </c>
      <c r="D6633" t="s">
        <v>10966</v>
      </c>
      <c r="E6633" t="s">
        <v>10963</v>
      </c>
      <c r="F6633" s="46">
        <v>46097.325960509261</v>
      </c>
      <c r="G6633" s="46">
        <v>46097.325960509261</v>
      </c>
      <c r="H6633">
        <v>0</v>
      </c>
    </row>
    <row r="6634" spans="1:8" x14ac:dyDescent="0.15">
      <c r="A6634">
        <v>6633</v>
      </c>
      <c r="B6634" t="s">
        <v>339</v>
      </c>
      <c r="C6634" t="s">
        <v>353</v>
      </c>
      <c r="D6634" t="s">
        <v>10967</v>
      </c>
      <c r="E6634" t="s">
        <v>10963</v>
      </c>
      <c r="F6634" s="46">
        <v>46097.325960509261</v>
      </c>
      <c r="G6634" s="46">
        <v>46097.325960509261</v>
      </c>
      <c r="H6634">
        <v>0</v>
      </c>
    </row>
    <row r="6635" spans="1:8" x14ac:dyDescent="0.15">
      <c r="A6635">
        <v>6634</v>
      </c>
      <c r="B6635" t="s">
        <v>339</v>
      </c>
      <c r="C6635" t="s">
        <v>353</v>
      </c>
      <c r="D6635" t="s">
        <v>10968</v>
      </c>
      <c r="E6635" t="s">
        <v>10963</v>
      </c>
      <c r="F6635" s="46">
        <v>46097.325960509261</v>
      </c>
      <c r="G6635" s="46">
        <v>46097.325960509261</v>
      </c>
      <c r="H6635">
        <v>0</v>
      </c>
    </row>
    <row r="6636" spans="1:8" x14ac:dyDescent="0.15">
      <c r="A6636">
        <v>6635</v>
      </c>
      <c r="B6636" t="s">
        <v>339</v>
      </c>
      <c r="C6636" t="s">
        <v>353</v>
      </c>
      <c r="D6636" t="s">
        <v>10969</v>
      </c>
      <c r="E6636" t="s">
        <v>10963</v>
      </c>
      <c r="F6636" s="46">
        <v>46097.325960509261</v>
      </c>
      <c r="G6636" s="46">
        <v>46097.325960509261</v>
      </c>
      <c r="H6636">
        <v>0</v>
      </c>
    </row>
    <row r="6637" spans="1:8" x14ac:dyDescent="0.15">
      <c r="A6637">
        <v>6636</v>
      </c>
      <c r="B6637" t="s">
        <v>339</v>
      </c>
      <c r="C6637" t="s">
        <v>353</v>
      </c>
      <c r="D6637" t="s">
        <v>10970</v>
      </c>
      <c r="E6637" t="s">
        <v>10963</v>
      </c>
      <c r="F6637" s="46">
        <v>46097.325960509261</v>
      </c>
      <c r="G6637" s="46">
        <v>46097.325960509261</v>
      </c>
      <c r="H6637">
        <v>0</v>
      </c>
    </row>
    <row r="6638" spans="1:8" x14ac:dyDescent="0.15">
      <c r="A6638">
        <v>6637</v>
      </c>
      <c r="B6638" t="s">
        <v>339</v>
      </c>
      <c r="C6638" t="s">
        <v>353</v>
      </c>
      <c r="D6638" t="s">
        <v>10971</v>
      </c>
      <c r="E6638" t="s">
        <v>10963</v>
      </c>
      <c r="F6638" s="46">
        <v>46097.325960509261</v>
      </c>
      <c r="G6638" s="46">
        <v>46097.325960509261</v>
      </c>
      <c r="H6638">
        <v>0</v>
      </c>
    </row>
    <row r="6639" spans="1:8" x14ac:dyDescent="0.15">
      <c r="A6639">
        <v>6638</v>
      </c>
      <c r="B6639" t="s">
        <v>339</v>
      </c>
      <c r="C6639" t="s">
        <v>353</v>
      </c>
      <c r="D6639" t="s">
        <v>10972</v>
      </c>
      <c r="E6639" t="s">
        <v>10973</v>
      </c>
      <c r="F6639" s="46">
        <v>46097.325960509261</v>
      </c>
      <c r="G6639" s="46">
        <v>46097.325960509261</v>
      </c>
      <c r="H6639">
        <v>0</v>
      </c>
    </row>
    <row r="6640" spans="1:8" x14ac:dyDescent="0.15">
      <c r="A6640">
        <v>6639</v>
      </c>
      <c r="B6640" t="s">
        <v>339</v>
      </c>
      <c r="C6640" t="s">
        <v>353</v>
      </c>
      <c r="D6640" t="s">
        <v>10974</v>
      </c>
      <c r="E6640" t="s">
        <v>10973</v>
      </c>
      <c r="F6640" s="46">
        <v>46097.325960509261</v>
      </c>
      <c r="G6640" s="46">
        <v>46097.325960509261</v>
      </c>
      <c r="H6640">
        <v>0</v>
      </c>
    </row>
    <row r="6641" spans="1:8" x14ac:dyDescent="0.15">
      <c r="A6641">
        <v>6640</v>
      </c>
      <c r="B6641" t="s">
        <v>339</v>
      </c>
      <c r="C6641" t="s">
        <v>353</v>
      </c>
      <c r="D6641" t="s">
        <v>10975</v>
      </c>
      <c r="E6641" t="s">
        <v>10973</v>
      </c>
      <c r="F6641" s="46">
        <v>46097.325960509261</v>
      </c>
      <c r="G6641" s="46">
        <v>46097.325960694441</v>
      </c>
      <c r="H6641">
        <v>16</v>
      </c>
    </row>
    <row r="6642" spans="1:8" x14ac:dyDescent="0.15">
      <c r="A6642">
        <v>6641</v>
      </c>
      <c r="B6642" t="s">
        <v>339</v>
      </c>
      <c r="C6642" t="s">
        <v>353</v>
      </c>
      <c r="D6642" t="s">
        <v>10976</v>
      </c>
      <c r="E6642" t="s">
        <v>10973</v>
      </c>
      <c r="F6642" s="46">
        <v>46097.325960694441</v>
      </c>
      <c r="G6642" s="46">
        <v>46097.325960694441</v>
      </c>
      <c r="H6642">
        <v>0</v>
      </c>
    </row>
    <row r="6643" spans="1:8" x14ac:dyDescent="0.15">
      <c r="A6643">
        <v>6642</v>
      </c>
      <c r="B6643" t="s">
        <v>339</v>
      </c>
      <c r="C6643" t="s">
        <v>353</v>
      </c>
      <c r="D6643" t="s">
        <v>10977</v>
      </c>
      <c r="E6643" t="s">
        <v>10973</v>
      </c>
      <c r="F6643" s="46">
        <v>46097.325960694441</v>
      </c>
      <c r="G6643" s="46">
        <v>46097.325960694441</v>
      </c>
      <c r="H6643">
        <v>0</v>
      </c>
    </row>
    <row r="6644" spans="1:8" x14ac:dyDescent="0.15">
      <c r="A6644">
        <v>6643</v>
      </c>
      <c r="B6644" t="s">
        <v>339</v>
      </c>
      <c r="C6644" t="s">
        <v>353</v>
      </c>
      <c r="D6644" t="s">
        <v>10978</v>
      </c>
      <c r="E6644" t="s">
        <v>10973</v>
      </c>
      <c r="F6644" s="46">
        <v>46097.325960694441</v>
      </c>
      <c r="G6644" s="46">
        <v>46097.325960694441</v>
      </c>
      <c r="H6644">
        <v>0</v>
      </c>
    </row>
    <row r="6645" spans="1:8" x14ac:dyDescent="0.15">
      <c r="A6645">
        <v>6644</v>
      </c>
      <c r="B6645" t="s">
        <v>339</v>
      </c>
      <c r="C6645" t="s">
        <v>353</v>
      </c>
      <c r="D6645" t="s">
        <v>10979</v>
      </c>
      <c r="E6645" t="s">
        <v>10973</v>
      </c>
      <c r="F6645" s="46">
        <v>46097.325960694441</v>
      </c>
      <c r="G6645" s="46">
        <v>46097.325960694441</v>
      </c>
      <c r="H6645">
        <v>0</v>
      </c>
    </row>
    <row r="6646" spans="1:8" x14ac:dyDescent="0.15">
      <c r="A6646">
        <v>6645</v>
      </c>
      <c r="B6646" t="s">
        <v>339</v>
      </c>
      <c r="C6646" t="s">
        <v>353</v>
      </c>
      <c r="D6646" t="s">
        <v>10980</v>
      </c>
      <c r="E6646" t="s">
        <v>10981</v>
      </c>
      <c r="F6646" s="46">
        <v>46097.325960694441</v>
      </c>
      <c r="G6646" s="46">
        <v>46097.325960694441</v>
      </c>
      <c r="H6646">
        <v>0</v>
      </c>
    </row>
    <row r="6647" spans="1:8" x14ac:dyDescent="0.15">
      <c r="A6647">
        <v>6646</v>
      </c>
      <c r="B6647" t="s">
        <v>339</v>
      </c>
      <c r="C6647" t="s">
        <v>353</v>
      </c>
      <c r="D6647" t="s">
        <v>10982</v>
      </c>
      <c r="E6647" t="s">
        <v>10981</v>
      </c>
      <c r="F6647" s="46">
        <v>46097.325960694441</v>
      </c>
      <c r="G6647" s="46">
        <v>46097.325960694441</v>
      </c>
      <c r="H6647">
        <v>0</v>
      </c>
    </row>
    <row r="6648" spans="1:8" x14ac:dyDescent="0.15">
      <c r="A6648">
        <v>6647</v>
      </c>
      <c r="B6648" t="s">
        <v>339</v>
      </c>
      <c r="C6648" t="s">
        <v>353</v>
      </c>
      <c r="D6648" t="s">
        <v>10983</v>
      </c>
      <c r="E6648" t="s">
        <v>10981</v>
      </c>
      <c r="F6648" s="46">
        <v>46097.325960694441</v>
      </c>
      <c r="G6648" s="46">
        <v>46097.325960694441</v>
      </c>
      <c r="H6648">
        <v>0</v>
      </c>
    </row>
    <row r="6649" spans="1:8" x14ac:dyDescent="0.15">
      <c r="A6649">
        <v>6648</v>
      </c>
      <c r="B6649" t="s">
        <v>339</v>
      </c>
      <c r="C6649" t="s">
        <v>353</v>
      </c>
      <c r="D6649" t="s">
        <v>10984</v>
      </c>
      <c r="E6649" t="s">
        <v>10981</v>
      </c>
      <c r="F6649" s="46">
        <v>46097.325960694441</v>
      </c>
      <c r="G6649" s="46">
        <v>46097.325960694441</v>
      </c>
      <c r="H6649">
        <v>0</v>
      </c>
    </row>
    <row r="6650" spans="1:8" x14ac:dyDescent="0.15">
      <c r="A6650">
        <v>6649</v>
      </c>
      <c r="B6650" t="s">
        <v>339</v>
      </c>
      <c r="C6650" t="s">
        <v>353</v>
      </c>
      <c r="D6650" t="s">
        <v>10985</v>
      </c>
      <c r="E6650" t="s">
        <v>10981</v>
      </c>
      <c r="F6650" s="46">
        <v>46097.325960694441</v>
      </c>
      <c r="G6650" s="46">
        <v>46097.325960694441</v>
      </c>
      <c r="H6650">
        <v>0</v>
      </c>
    </row>
    <row r="6651" spans="1:8" x14ac:dyDescent="0.15">
      <c r="A6651">
        <v>6650</v>
      </c>
      <c r="B6651" t="s">
        <v>339</v>
      </c>
      <c r="C6651" t="s">
        <v>353</v>
      </c>
      <c r="D6651" t="s">
        <v>10986</v>
      </c>
      <c r="E6651" t="s">
        <v>10981</v>
      </c>
      <c r="F6651" s="46">
        <v>46097.325960694441</v>
      </c>
      <c r="G6651" s="46">
        <v>46097.325960694441</v>
      </c>
      <c r="H6651">
        <v>0</v>
      </c>
    </row>
    <row r="6652" spans="1:8" x14ac:dyDescent="0.15">
      <c r="A6652">
        <v>6651</v>
      </c>
      <c r="B6652" t="s">
        <v>339</v>
      </c>
      <c r="C6652" t="s">
        <v>353</v>
      </c>
      <c r="D6652" t="s">
        <v>10987</v>
      </c>
      <c r="E6652" t="s">
        <v>10981</v>
      </c>
      <c r="F6652" s="46">
        <v>46097.325960694441</v>
      </c>
      <c r="G6652" s="46">
        <v>46097.325960868053</v>
      </c>
      <c r="H6652">
        <v>16</v>
      </c>
    </row>
    <row r="6653" spans="1:8" x14ac:dyDescent="0.15">
      <c r="A6653">
        <v>6652</v>
      </c>
      <c r="B6653" t="s">
        <v>339</v>
      </c>
      <c r="C6653" t="s">
        <v>353</v>
      </c>
      <c r="D6653" t="s">
        <v>10988</v>
      </c>
      <c r="E6653" t="s">
        <v>10981</v>
      </c>
      <c r="F6653" s="46">
        <v>46097.325960868053</v>
      </c>
      <c r="G6653" s="46">
        <v>46097.325960868053</v>
      </c>
      <c r="H6653">
        <v>0</v>
      </c>
    </row>
    <row r="6654" spans="1:8" x14ac:dyDescent="0.15">
      <c r="A6654">
        <v>6653</v>
      </c>
      <c r="B6654" t="s">
        <v>339</v>
      </c>
      <c r="C6654" t="s">
        <v>353</v>
      </c>
      <c r="D6654" t="s">
        <v>10989</v>
      </c>
      <c r="E6654" t="s">
        <v>10981</v>
      </c>
      <c r="F6654" s="46">
        <v>46097.325960868053</v>
      </c>
      <c r="G6654" s="46">
        <v>46097.325960868053</v>
      </c>
      <c r="H6654">
        <v>0</v>
      </c>
    </row>
    <row r="6655" spans="1:8" x14ac:dyDescent="0.15">
      <c r="A6655">
        <v>6654</v>
      </c>
      <c r="B6655" t="s">
        <v>339</v>
      </c>
      <c r="C6655" t="s">
        <v>353</v>
      </c>
      <c r="D6655" t="s">
        <v>10990</v>
      </c>
      <c r="E6655" t="s">
        <v>10981</v>
      </c>
      <c r="F6655" s="46">
        <v>46097.325960868053</v>
      </c>
      <c r="G6655" s="46">
        <v>46097.325960868053</v>
      </c>
      <c r="H6655">
        <v>0</v>
      </c>
    </row>
    <row r="6656" spans="1:8" x14ac:dyDescent="0.15">
      <c r="A6656">
        <v>6655</v>
      </c>
      <c r="B6656" t="s">
        <v>339</v>
      </c>
      <c r="C6656" t="s">
        <v>353</v>
      </c>
      <c r="D6656" t="s">
        <v>10991</v>
      </c>
      <c r="E6656" t="s">
        <v>10981</v>
      </c>
      <c r="F6656" s="46">
        <v>46097.325960868053</v>
      </c>
      <c r="G6656" s="46">
        <v>46097.325960868053</v>
      </c>
      <c r="H6656">
        <v>0</v>
      </c>
    </row>
    <row r="6657" spans="1:8" x14ac:dyDescent="0.15">
      <c r="A6657">
        <v>6656</v>
      </c>
      <c r="B6657" t="s">
        <v>339</v>
      </c>
      <c r="C6657" t="s">
        <v>353</v>
      </c>
      <c r="D6657" t="s">
        <v>10992</v>
      </c>
      <c r="E6657" t="s">
        <v>10981</v>
      </c>
      <c r="F6657" s="46">
        <v>46097.325960868053</v>
      </c>
      <c r="G6657" s="46">
        <v>46097.325960868053</v>
      </c>
      <c r="H6657">
        <v>0</v>
      </c>
    </row>
    <row r="6658" spans="1:8" x14ac:dyDescent="0.15">
      <c r="A6658">
        <v>6657</v>
      </c>
      <c r="B6658" t="s">
        <v>339</v>
      </c>
      <c r="C6658" t="s">
        <v>353</v>
      </c>
      <c r="D6658" t="s">
        <v>10993</v>
      </c>
      <c r="E6658" t="s">
        <v>10981</v>
      </c>
      <c r="F6658" s="46">
        <v>46097.325960868053</v>
      </c>
      <c r="G6658" s="46">
        <v>46097.325960868053</v>
      </c>
      <c r="H6658">
        <v>0</v>
      </c>
    </row>
    <row r="6659" spans="1:8" x14ac:dyDescent="0.15">
      <c r="A6659">
        <v>6658</v>
      </c>
      <c r="B6659" t="s">
        <v>339</v>
      </c>
      <c r="C6659" t="s">
        <v>353</v>
      </c>
      <c r="D6659" t="s">
        <v>10994</v>
      </c>
      <c r="E6659" t="s">
        <v>10981</v>
      </c>
      <c r="F6659" s="46">
        <v>46097.325960868053</v>
      </c>
      <c r="G6659" s="46">
        <v>46097.325960868053</v>
      </c>
      <c r="H6659">
        <v>0</v>
      </c>
    </row>
    <row r="6660" spans="1:8" x14ac:dyDescent="0.15">
      <c r="A6660">
        <v>6659</v>
      </c>
      <c r="B6660" t="s">
        <v>339</v>
      </c>
      <c r="C6660" t="s">
        <v>353</v>
      </c>
      <c r="D6660" t="s">
        <v>10995</v>
      </c>
      <c r="E6660" t="s">
        <v>10981</v>
      </c>
      <c r="F6660" s="46">
        <v>46097.325960868053</v>
      </c>
      <c r="G6660" s="46">
        <v>46097.325960868053</v>
      </c>
      <c r="H6660">
        <v>0</v>
      </c>
    </row>
    <row r="6661" spans="1:8" x14ac:dyDescent="0.15">
      <c r="A6661">
        <v>6660</v>
      </c>
      <c r="B6661" t="s">
        <v>339</v>
      </c>
      <c r="C6661" t="s">
        <v>353</v>
      </c>
      <c r="D6661" t="s">
        <v>10996</v>
      </c>
      <c r="E6661" t="s">
        <v>10981</v>
      </c>
      <c r="F6661" s="46">
        <v>46097.325960868053</v>
      </c>
      <c r="G6661" s="46">
        <v>46097.325960868053</v>
      </c>
      <c r="H6661">
        <v>0</v>
      </c>
    </row>
    <row r="6662" spans="1:8" x14ac:dyDescent="0.15">
      <c r="A6662">
        <v>6661</v>
      </c>
      <c r="B6662" t="s">
        <v>339</v>
      </c>
      <c r="C6662" t="s">
        <v>353</v>
      </c>
      <c r="D6662" t="s">
        <v>10997</v>
      </c>
      <c r="E6662" t="s">
        <v>10981</v>
      </c>
      <c r="F6662" s="46">
        <v>46097.325960868053</v>
      </c>
      <c r="G6662" s="46">
        <v>46097.325960868053</v>
      </c>
      <c r="H6662">
        <v>0</v>
      </c>
    </row>
    <row r="6663" spans="1:8" x14ac:dyDescent="0.15">
      <c r="A6663">
        <v>6662</v>
      </c>
      <c r="B6663" t="s">
        <v>339</v>
      </c>
      <c r="C6663" t="s">
        <v>353</v>
      </c>
      <c r="D6663" t="s">
        <v>10998</v>
      </c>
      <c r="E6663" t="s">
        <v>10981</v>
      </c>
      <c r="F6663" s="46">
        <v>46097.32596105324</v>
      </c>
      <c r="G6663" s="46">
        <v>46097.32596105324</v>
      </c>
      <c r="H6663">
        <v>0</v>
      </c>
    </row>
    <row r="6664" spans="1:8" x14ac:dyDescent="0.15">
      <c r="A6664">
        <v>6663</v>
      </c>
      <c r="B6664" t="s">
        <v>339</v>
      </c>
      <c r="C6664" t="s">
        <v>353</v>
      </c>
      <c r="D6664" t="s">
        <v>10999</v>
      </c>
      <c r="E6664" t="s">
        <v>10981</v>
      </c>
      <c r="F6664" s="46">
        <v>46097.32596105324</v>
      </c>
      <c r="G6664" s="46">
        <v>46097.32596105324</v>
      </c>
      <c r="H6664">
        <v>0</v>
      </c>
    </row>
    <row r="6665" spans="1:8" x14ac:dyDescent="0.15">
      <c r="A6665">
        <v>6664</v>
      </c>
      <c r="B6665" t="s">
        <v>339</v>
      </c>
      <c r="C6665" t="s">
        <v>353</v>
      </c>
      <c r="D6665" t="s">
        <v>11000</v>
      </c>
      <c r="E6665" t="s">
        <v>10981</v>
      </c>
      <c r="F6665" s="46">
        <v>46097.32596105324</v>
      </c>
      <c r="G6665" s="46">
        <v>46097.32596105324</v>
      </c>
      <c r="H6665">
        <v>0</v>
      </c>
    </row>
    <row r="6666" spans="1:8" x14ac:dyDescent="0.15">
      <c r="A6666">
        <v>6665</v>
      </c>
      <c r="B6666" t="s">
        <v>339</v>
      </c>
      <c r="C6666" t="s">
        <v>353</v>
      </c>
      <c r="D6666" t="s">
        <v>11001</v>
      </c>
      <c r="E6666" t="s">
        <v>10981</v>
      </c>
      <c r="F6666" s="46">
        <v>46097.32596105324</v>
      </c>
      <c r="G6666" s="46">
        <v>46097.32596105324</v>
      </c>
      <c r="H6666">
        <v>0</v>
      </c>
    </row>
    <row r="6667" spans="1:8" x14ac:dyDescent="0.15">
      <c r="A6667">
        <v>6666</v>
      </c>
      <c r="B6667" t="s">
        <v>339</v>
      </c>
      <c r="C6667" t="s">
        <v>353</v>
      </c>
      <c r="D6667" t="s">
        <v>11002</v>
      </c>
      <c r="E6667" t="s">
        <v>10981</v>
      </c>
      <c r="F6667" s="46">
        <v>46097.32596105324</v>
      </c>
      <c r="G6667" s="46">
        <v>46097.32596105324</v>
      </c>
      <c r="H6667">
        <v>0</v>
      </c>
    </row>
    <row r="6668" spans="1:8" x14ac:dyDescent="0.15">
      <c r="A6668">
        <v>6667</v>
      </c>
      <c r="B6668" t="s">
        <v>339</v>
      </c>
      <c r="C6668" t="s">
        <v>353</v>
      </c>
      <c r="D6668" t="s">
        <v>11003</v>
      </c>
      <c r="E6668" t="s">
        <v>10981</v>
      </c>
      <c r="F6668" s="46">
        <v>46097.32596105324</v>
      </c>
      <c r="G6668" s="46">
        <v>46097.32596105324</v>
      </c>
      <c r="H6668">
        <v>0</v>
      </c>
    </row>
    <row r="6669" spans="1:8" x14ac:dyDescent="0.15">
      <c r="A6669">
        <v>6668</v>
      </c>
      <c r="B6669" t="s">
        <v>339</v>
      </c>
      <c r="C6669" t="s">
        <v>353</v>
      </c>
      <c r="D6669" t="s">
        <v>11004</v>
      </c>
      <c r="E6669" t="s">
        <v>11005</v>
      </c>
      <c r="F6669" s="46">
        <v>46097.32596105324</v>
      </c>
      <c r="G6669" s="46">
        <v>46097.32596105324</v>
      </c>
      <c r="H6669">
        <v>0</v>
      </c>
    </row>
    <row r="6670" spans="1:8" x14ac:dyDescent="0.15">
      <c r="A6670">
        <v>6669</v>
      </c>
      <c r="B6670" t="s">
        <v>339</v>
      </c>
      <c r="C6670" t="s">
        <v>353</v>
      </c>
      <c r="D6670" t="s">
        <v>11006</v>
      </c>
      <c r="E6670" t="s">
        <v>11005</v>
      </c>
      <c r="F6670" s="46">
        <v>46097.32596105324</v>
      </c>
      <c r="G6670" s="46">
        <v>46097.32596105324</v>
      </c>
      <c r="H6670">
        <v>0</v>
      </c>
    </row>
    <row r="6671" spans="1:8" x14ac:dyDescent="0.15">
      <c r="A6671">
        <v>6670</v>
      </c>
      <c r="B6671" t="s">
        <v>339</v>
      </c>
      <c r="C6671" t="s">
        <v>353</v>
      </c>
      <c r="D6671" t="s">
        <v>11007</v>
      </c>
      <c r="E6671" t="s">
        <v>11008</v>
      </c>
      <c r="F6671" s="46">
        <v>46097.32596105324</v>
      </c>
      <c r="G6671" s="46">
        <v>46097.32596105324</v>
      </c>
      <c r="H6671">
        <v>0</v>
      </c>
    </row>
    <row r="6672" spans="1:8" x14ac:dyDescent="0.15">
      <c r="A6672">
        <v>6671</v>
      </c>
      <c r="B6672" t="s">
        <v>339</v>
      </c>
      <c r="C6672" t="s">
        <v>353</v>
      </c>
      <c r="D6672" t="s">
        <v>11009</v>
      </c>
      <c r="E6672" t="s">
        <v>11008</v>
      </c>
      <c r="F6672" s="46">
        <v>46097.32596105324</v>
      </c>
      <c r="G6672" s="46">
        <v>46097.32596105324</v>
      </c>
      <c r="H6672">
        <v>0</v>
      </c>
    </row>
    <row r="6673" spans="1:8" x14ac:dyDescent="0.15">
      <c r="A6673">
        <v>6672</v>
      </c>
      <c r="B6673" t="s">
        <v>339</v>
      </c>
      <c r="C6673" t="s">
        <v>353</v>
      </c>
      <c r="D6673" t="s">
        <v>11010</v>
      </c>
      <c r="E6673" t="s">
        <v>11011</v>
      </c>
      <c r="F6673" s="46">
        <v>46097.32596105324</v>
      </c>
      <c r="G6673" s="46">
        <v>46097.325961226852</v>
      </c>
      <c r="H6673">
        <v>16</v>
      </c>
    </row>
    <row r="6674" spans="1:8" x14ac:dyDescent="0.15">
      <c r="A6674">
        <v>6673</v>
      </c>
      <c r="B6674" t="s">
        <v>339</v>
      </c>
      <c r="C6674" t="s">
        <v>353</v>
      </c>
      <c r="D6674" t="s">
        <v>11012</v>
      </c>
      <c r="E6674" t="s">
        <v>11011</v>
      </c>
      <c r="F6674" s="46">
        <v>46097.325961226852</v>
      </c>
      <c r="G6674" s="46">
        <v>46097.325961226852</v>
      </c>
      <c r="H6674">
        <v>0</v>
      </c>
    </row>
    <row r="6675" spans="1:8" x14ac:dyDescent="0.15">
      <c r="A6675">
        <v>6674</v>
      </c>
      <c r="B6675" t="s">
        <v>339</v>
      </c>
      <c r="C6675" t="s">
        <v>353</v>
      </c>
      <c r="D6675" t="s">
        <v>11013</v>
      </c>
      <c r="E6675" t="s">
        <v>11014</v>
      </c>
      <c r="F6675" s="46">
        <v>46097.325961226852</v>
      </c>
      <c r="G6675" s="46">
        <v>46097.325961226852</v>
      </c>
      <c r="H6675">
        <v>0</v>
      </c>
    </row>
    <row r="6676" spans="1:8" x14ac:dyDescent="0.15">
      <c r="A6676">
        <v>6675</v>
      </c>
      <c r="B6676" t="s">
        <v>339</v>
      </c>
      <c r="C6676" t="s">
        <v>353</v>
      </c>
      <c r="D6676" t="s">
        <v>11015</v>
      </c>
      <c r="E6676" t="s">
        <v>11016</v>
      </c>
      <c r="F6676" s="46">
        <v>46097.325961226852</v>
      </c>
      <c r="G6676" s="46">
        <v>46097.325961226852</v>
      </c>
      <c r="H6676">
        <v>0</v>
      </c>
    </row>
    <row r="6677" spans="1:8" x14ac:dyDescent="0.15">
      <c r="A6677">
        <v>6676</v>
      </c>
      <c r="B6677" t="s">
        <v>339</v>
      </c>
      <c r="C6677" t="s">
        <v>353</v>
      </c>
      <c r="D6677" t="s">
        <v>11017</v>
      </c>
      <c r="E6677" t="s">
        <v>11018</v>
      </c>
      <c r="F6677" s="46">
        <v>46097.325961226852</v>
      </c>
      <c r="G6677" s="46">
        <v>46097.325961226852</v>
      </c>
      <c r="H6677">
        <v>0</v>
      </c>
    </row>
    <row r="6678" spans="1:8" x14ac:dyDescent="0.15">
      <c r="A6678">
        <v>6677</v>
      </c>
      <c r="B6678" t="s">
        <v>339</v>
      </c>
      <c r="C6678" t="s">
        <v>353</v>
      </c>
      <c r="D6678" t="s">
        <v>11019</v>
      </c>
      <c r="E6678" t="s">
        <v>11018</v>
      </c>
      <c r="F6678" s="46">
        <v>46097.325961226852</v>
      </c>
      <c r="G6678" s="46">
        <v>46097.325961226852</v>
      </c>
      <c r="H6678">
        <v>0</v>
      </c>
    </row>
    <row r="6679" spans="1:8" x14ac:dyDescent="0.15">
      <c r="A6679">
        <v>6678</v>
      </c>
      <c r="B6679" t="s">
        <v>339</v>
      </c>
      <c r="C6679" t="s">
        <v>353</v>
      </c>
      <c r="D6679" t="s">
        <v>11020</v>
      </c>
      <c r="E6679" t="s">
        <v>11018</v>
      </c>
      <c r="F6679" s="46">
        <v>46097.325961226852</v>
      </c>
      <c r="G6679" s="46">
        <v>46097.325961226852</v>
      </c>
      <c r="H6679">
        <v>0</v>
      </c>
    </row>
    <row r="6680" spans="1:8" x14ac:dyDescent="0.15">
      <c r="A6680">
        <v>6679</v>
      </c>
      <c r="B6680" t="s">
        <v>339</v>
      </c>
      <c r="C6680" t="s">
        <v>353</v>
      </c>
      <c r="D6680" t="s">
        <v>11021</v>
      </c>
      <c r="E6680" t="s">
        <v>11018</v>
      </c>
      <c r="F6680" s="46">
        <v>46097.325961226852</v>
      </c>
      <c r="G6680" s="46">
        <v>46097.325961226852</v>
      </c>
      <c r="H6680">
        <v>0</v>
      </c>
    </row>
    <row r="6681" spans="1:8" x14ac:dyDescent="0.15">
      <c r="A6681">
        <v>6680</v>
      </c>
      <c r="B6681" t="s">
        <v>339</v>
      </c>
      <c r="C6681" t="s">
        <v>353</v>
      </c>
      <c r="D6681" t="s">
        <v>11022</v>
      </c>
      <c r="E6681" t="s">
        <v>11018</v>
      </c>
      <c r="F6681" s="46">
        <v>46097.325961226852</v>
      </c>
      <c r="G6681" s="46">
        <v>46097.325961226852</v>
      </c>
      <c r="H6681">
        <v>0</v>
      </c>
    </row>
    <row r="6682" spans="1:8" x14ac:dyDescent="0.15">
      <c r="A6682">
        <v>6681</v>
      </c>
      <c r="B6682" t="s">
        <v>339</v>
      </c>
      <c r="C6682" t="s">
        <v>353</v>
      </c>
      <c r="D6682" t="s">
        <v>11023</v>
      </c>
      <c r="E6682" t="s">
        <v>11018</v>
      </c>
      <c r="F6682" s="46">
        <v>46097.325961226852</v>
      </c>
      <c r="G6682" s="46">
        <v>46097.325961226852</v>
      </c>
      <c r="H6682">
        <v>0</v>
      </c>
    </row>
    <row r="6683" spans="1:8" x14ac:dyDescent="0.15">
      <c r="A6683">
        <v>6682</v>
      </c>
      <c r="B6683" t="s">
        <v>339</v>
      </c>
      <c r="C6683" t="s">
        <v>353</v>
      </c>
      <c r="D6683" t="s">
        <v>11024</v>
      </c>
      <c r="E6683" t="s">
        <v>11018</v>
      </c>
      <c r="F6683" s="46">
        <v>46097.325961226852</v>
      </c>
      <c r="G6683" s="46">
        <v>46097.325961226852</v>
      </c>
      <c r="H6683">
        <v>0</v>
      </c>
    </row>
    <row r="6684" spans="1:8" x14ac:dyDescent="0.15">
      <c r="A6684">
        <v>6683</v>
      </c>
      <c r="B6684" t="s">
        <v>339</v>
      </c>
      <c r="C6684" t="s">
        <v>353</v>
      </c>
      <c r="D6684" t="s">
        <v>11025</v>
      </c>
      <c r="E6684" t="s">
        <v>11026</v>
      </c>
      <c r="F6684" s="46">
        <v>46097.32596141204</v>
      </c>
      <c r="G6684" s="46">
        <v>46097.32596141204</v>
      </c>
      <c r="H6684">
        <v>0</v>
      </c>
    </row>
    <row r="6685" spans="1:8" x14ac:dyDescent="0.15">
      <c r="A6685">
        <v>6684</v>
      </c>
      <c r="B6685" t="s">
        <v>339</v>
      </c>
      <c r="C6685" t="s">
        <v>353</v>
      </c>
      <c r="D6685" t="s">
        <v>11027</v>
      </c>
      <c r="E6685" t="s">
        <v>11026</v>
      </c>
      <c r="F6685" s="46">
        <v>46097.32596141204</v>
      </c>
      <c r="G6685" s="46">
        <v>46097.32596141204</v>
      </c>
      <c r="H6685">
        <v>0</v>
      </c>
    </row>
    <row r="6686" spans="1:8" x14ac:dyDescent="0.15">
      <c r="A6686">
        <v>6685</v>
      </c>
      <c r="B6686" t="s">
        <v>339</v>
      </c>
      <c r="C6686" t="s">
        <v>353</v>
      </c>
      <c r="D6686" t="s">
        <v>11028</v>
      </c>
      <c r="E6686" t="s">
        <v>11026</v>
      </c>
      <c r="F6686" s="46">
        <v>46097.32596141204</v>
      </c>
      <c r="G6686" s="46">
        <v>46097.32596141204</v>
      </c>
      <c r="H6686">
        <v>0</v>
      </c>
    </row>
    <row r="6687" spans="1:8" x14ac:dyDescent="0.15">
      <c r="A6687">
        <v>6686</v>
      </c>
      <c r="B6687" t="s">
        <v>339</v>
      </c>
      <c r="C6687" t="s">
        <v>353</v>
      </c>
      <c r="D6687" t="s">
        <v>11029</v>
      </c>
      <c r="E6687" t="s">
        <v>11026</v>
      </c>
      <c r="F6687" s="46">
        <v>46097.32596141204</v>
      </c>
      <c r="G6687" s="46">
        <v>46097.32596141204</v>
      </c>
      <c r="H6687">
        <v>0</v>
      </c>
    </row>
    <row r="6688" spans="1:8" x14ac:dyDescent="0.15">
      <c r="A6688">
        <v>6687</v>
      </c>
      <c r="B6688" t="s">
        <v>339</v>
      </c>
      <c r="C6688" t="s">
        <v>353</v>
      </c>
      <c r="D6688" t="s">
        <v>11030</v>
      </c>
      <c r="E6688" t="s">
        <v>11026</v>
      </c>
      <c r="F6688" s="46">
        <v>46097.32596141204</v>
      </c>
      <c r="G6688" s="46">
        <v>46097.32596141204</v>
      </c>
      <c r="H6688">
        <v>0</v>
      </c>
    </row>
    <row r="6689" spans="1:8" x14ac:dyDescent="0.15">
      <c r="A6689">
        <v>6688</v>
      </c>
      <c r="B6689" t="s">
        <v>339</v>
      </c>
      <c r="C6689" t="s">
        <v>353</v>
      </c>
      <c r="D6689" t="s">
        <v>11031</v>
      </c>
      <c r="E6689" t="s">
        <v>11026</v>
      </c>
      <c r="F6689" s="46">
        <v>46097.32596141204</v>
      </c>
      <c r="G6689" s="46">
        <v>46097.32596141204</v>
      </c>
      <c r="H6689">
        <v>0</v>
      </c>
    </row>
    <row r="6690" spans="1:8" x14ac:dyDescent="0.15">
      <c r="A6690">
        <v>6689</v>
      </c>
      <c r="B6690" t="s">
        <v>339</v>
      </c>
      <c r="C6690" t="s">
        <v>353</v>
      </c>
      <c r="D6690" t="s">
        <v>11032</v>
      </c>
      <c r="E6690" t="s">
        <v>11026</v>
      </c>
      <c r="F6690" s="46">
        <v>46097.32596141204</v>
      </c>
      <c r="G6690" s="46">
        <v>46097.32596141204</v>
      </c>
      <c r="H6690">
        <v>0</v>
      </c>
    </row>
    <row r="6691" spans="1:8" x14ac:dyDescent="0.15">
      <c r="A6691">
        <v>6690</v>
      </c>
      <c r="B6691" t="s">
        <v>339</v>
      </c>
      <c r="C6691" t="s">
        <v>353</v>
      </c>
      <c r="D6691" t="s">
        <v>11033</v>
      </c>
      <c r="E6691" t="s">
        <v>11034</v>
      </c>
      <c r="F6691" s="46">
        <v>46097.32596141204</v>
      </c>
      <c r="G6691" s="46">
        <v>46097.32596141204</v>
      </c>
      <c r="H6691">
        <v>0</v>
      </c>
    </row>
    <row r="6692" spans="1:8" x14ac:dyDescent="0.15">
      <c r="A6692">
        <v>6691</v>
      </c>
      <c r="B6692" t="s">
        <v>339</v>
      </c>
      <c r="C6692" t="s">
        <v>353</v>
      </c>
      <c r="D6692" t="s">
        <v>11035</v>
      </c>
      <c r="E6692" t="s">
        <v>11034</v>
      </c>
      <c r="F6692" s="46">
        <v>46097.32596141204</v>
      </c>
      <c r="G6692" s="46">
        <v>46097.32596141204</v>
      </c>
      <c r="H6692">
        <v>0</v>
      </c>
    </row>
    <row r="6693" spans="1:8" x14ac:dyDescent="0.15">
      <c r="A6693">
        <v>6692</v>
      </c>
      <c r="B6693" t="s">
        <v>339</v>
      </c>
      <c r="C6693" t="s">
        <v>353</v>
      </c>
      <c r="D6693" t="s">
        <v>11036</v>
      </c>
      <c r="E6693" t="s">
        <v>11037</v>
      </c>
      <c r="F6693" s="46">
        <v>46097.32596141204</v>
      </c>
      <c r="G6693" s="46">
        <v>46097.32596141204</v>
      </c>
      <c r="H6693">
        <v>0</v>
      </c>
    </row>
    <row r="6694" spans="1:8" x14ac:dyDescent="0.15">
      <c r="A6694">
        <v>6693</v>
      </c>
      <c r="B6694" t="s">
        <v>339</v>
      </c>
      <c r="C6694" t="s">
        <v>353</v>
      </c>
      <c r="D6694" t="s">
        <v>11038</v>
      </c>
      <c r="E6694" t="s">
        <v>11037</v>
      </c>
      <c r="F6694" s="46">
        <v>46097.32596141204</v>
      </c>
      <c r="G6694" s="46">
        <v>46097.32596159722</v>
      </c>
      <c r="H6694">
        <v>15</v>
      </c>
    </row>
    <row r="6695" spans="1:8" x14ac:dyDescent="0.15">
      <c r="A6695">
        <v>6694</v>
      </c>
      <c r="B6695" t="s">
        <v>339</v>
      </c>
      <c r="C6695" t="s">
        <v>353</v>
      </c>
      <c r="D6695" t="s">
        <v>11039</v>
      </c>
      <c r="E6695" t="s">
        <v>11037</v>
      </c>
      <c r="F6695" s="46">
        <v>46097.32596159722</v>
      </c>
      <c r="G6695" s="46">
        <v>46097.32596159722</v>
      </c>
      <c r="H6695">
        <v>0</v>
      </c>
    </row>
    <row r="6696" spans="1:8" x14ac:dyDescent="0.15">
      <c r="A6696">
        <v>6695</v>
      </c>
      <c r="B6696" t="s">
        <v>339</v>
      </c>
      <c r="C6696" t="s">
        <v>353</v>
      </c>
      <c r="D6696" t="s">
        <v>11040</v>
      </c>
      <c r="E6696" t="s">
        <v>11041</v>
      </c>
      <c r="F6696" s="46">
        <v>46097.32596159722</v>
      </c>
      <c r="G6696" s="46">
        <v>46097.32596159722</v>
      </c>
      <c r="H6696">
        <v>0</v>
      </c>
    </row>
    <row r="6697" spans="1:8" x14ac:dyDescent="0.15">
      <c r="A6697">
        <v>6696</v>
      </c>
      <c r="B6697" t="s">
        <v>339</v>
      </c>
      <c r="C6697" t="s">
        <v>353</v>
      </c>
      <c r="D6697" t="s">
        <v>11042</v>
      </c>
      <c r="E6697" t="s">
        <v>11041</v>
      </c>
      <c r="F6697" s="46">
        <v>46097.32596159722</v>
      </c>
      <c r="G6697" s="46">
        <v>46097.32596159722</v>
      </c>
      <c r="H6697">
        <v>0</v>
      </c>
    </row>
    <row r="6698" spans="1:8" x14ac:dyDescent="0.15">
      <c r="A6698">
        <v>6697</v>
      </c>
      <c r="B6698" t="s">
        <v>339</v>
      </c>
      <c r="C6698" t="s">
        <v>353</v>
      </c>
      <c r="D6698" t="s">
        <v>11043</v>
      </c>
      <c r="E6698" t="s">
        <v>11044</v>
      </c>
      <c r="F6698" s="46">
        <v>46097.32596159722</v>
      </c>
      <c r="G6698" s="46">
        <v>46097.32596159722</v>
      </c>
      <c r="H6698">
        <v>0</v>
      </c>
    </row>
    <row r="6699" spans="1:8" x14ac:dyDescent="0.15">
      <c r="A6699">
        <v>6698</v>
      </c>
      <c r="B6699" t="s">
        <v>339</v>
      </c>
      <c r="C6699" t="s">
        <v>353</v>
      </c>
      <c r="D6699" t="s">
        <v>11045</v>
      </c>
      <c r="E6699" t="s">
        <v>11046</v>
      </c>
      <c r="F6699" s="46">
        <v>46097.32596159722</v>
      </c>
      <c r="G6699" s="46">
        <v>46097.32596159722</v>
      </c>
      <c r="H6699">
        <v>0</v>
      </c>
    </row>
    <row r="6700" spans="1:8" x14ac:dyDescent="0.15">
      <c r="A6700">
        <v>6699</v>
      </c>
      <c r="B6700" t="s">
        <v>339</v>
      </c>
      <c r="C6700" t="s">
        <v>353</v>
      </c>
      <c r="D6700" t="s">
        <v>11047</v>
      </c>
      <c r="E6700" t="s">
        <v>11046</v>
      </c>
      <c r="F6700" s="46">
        <v>46097.32596159722</v>
      </c>
      <c r="G6700" s="46">
        <v>46097.32596159722</v>
      </c>
      <c r="H6700">
        <v>0</v>
      </c>
    </row>
    <row r="6701" spans="1:8" x14ac:dyDescent="0.15">
      <c r="A6701">
        <v>6700</v>
      </c>
      <c r="B6701" t="s">
        <v>339</v>
      </c>
      <c r="C6701" t="s">
        <v>353</v>
      </c>
      <c r="D6701" t="s">
        <v>11048</v>
      </c>
      <c r="E6701" t="s">
        <v>11049</v>
      </c>
      <c r="F6701" s="46">
        <v>46097.32596159722</v>
      </c>
      <c r="G6701" s="46">
        <v>46097.32596159722</v>
      </c>
      <c r="H6701">
        <v>0</v>
      </c>
    </row>
    <row r="6702" spans="1:8" x14ac:dyDescent="0.15">
      <c r="A6702">
        <v>6701</v>
      </c>
      <c r="B6702" t="s">
        <v>339</v>
      </c>
      <c r="C6702" t="s">
        <v>353</v>
      </c>
      <c r="D6702" t="s">
        <v>11050</v>
      </c>
      <c r="E6702" t="s">
        <v>11049</v>
      </c>
      <c r="F6702" s="46">
        <v>46097.32596159722</v>
      </c>
      <c r="G6702" s="46">
        <v>46097.32596159722</v>
      </c>
      <c r="H6702">
        <v>0</v>
      </c>
    </row>
    <row r="6703" spans="1:8" x14ac:dyDescent="0.15">
      <c r="A6703">
        <v>6702</v>
      </c>
      <c r="B6703" t="s">
        <v>339</v>
      </c>
      <c r="C6703" t="s">
        <v>353</v>
      </c>
      <c r="D6703" t="s">
        <v>11051</v>
      </c>
      <c r="E6703" t="s">
        <v>11049</v>
      </c>
      <c r="F6703" s="46">
        <v>46097.32596159722</v>
      </c>
      <c r="G6703" s="46">
        <v>46097.32596159722</v>
      </c>
      <c r="H6703">
        <v>0</v>
      </c>
    </row>
    <row r="6704" spans="1:8" x14ac:dyDescent="0.15">
      <c r="A6704">
        <v>6703</v>
      </c>
      <c r="B6704" t="s">
        <v>339</v>
      </c>
      <c r="C6704" t="s">
        <v>353</v>
      </c>
      <c r="D6704" t="s">
        <v>11052</v>
      </c>
      <c r="E6704" t="s">
        <v>11049</v>
      </c>
      <c r="F6704" s="46">
        <v>46097.32596159722</v>
      </c>
      <c r="G6704" s="46">
        <v>46097.325961770832</v>
      </c>
      <c r="H6704">
        <v>16</v>
      </c>
    </row>
    <row r="6705" spans="1:8" x14ac:dyDescent="0.15">
      <c r="A6705">
        <v>6704</v>
      </c>
      <c r="B6705" t="s">
        <v>339</v>
      </c>
      <c r="C6705" t="s">
        <v>353</v>
      </c>
      <c r="D6705" t="s">
        <v>11053</v>
      </c>
      <c r="E6705" t="s">
        <v>11049</v>
      </c>
      <c r="F6705" s="46">
        <v>46097.325961770832</v>
      </c>
      <c r="G6705" s="46">
        <v>46097.325961770832</v>
      </c>
      <c r="H6705">
        <v>0</v>
      </c>
    </row>
    <row r="6706" spans="1:8" x14ac:dyDescent="0.15">
      <c r="A6706">
        <v>6705</v>
      </c>
      <c r="B6706" t="s">
        <v>339</v>
      </c>
      <c r="C6706" t="s">
        <v>353</v>
      </c>
      <c r="D6706" t="s">
        <v>11054</v>
      </c>
      <c r="E6706" t="s">
        <v>11049</v>
      </c>
      <c r="F6706" s="46">
        <v>46097.325961770832</v>
      </c>
      <c r="G6706" s="46">
        <v>46097.325961770832</v>
      </c>
      <c r="H6706">
        <v>0</v>
      </c>
    </row>
    <row r="6707" spans="1:8" x14ac:dyDescent="0.15">
      <c r="A6707">
        <v>6706</v>
      </c>
      <c r="B6707" t="s">
        <v>339</v>
      </c>
      <c r="C6707" t="s">
        <v>353</v>
      </c>
      <c r="D6707" t="s">
        <v>11055</v>
      </c>
      <c r="E6707" t="s">
        <v>11049</v>
      </c>
      <c r="F6707" s="46">
        <v>46097.325961770832</v>
      </c>
      <c r="G6707" s="46">
        <v>46097.325961770832</v>
      </c>
      <c r="H6707">
        <v>0</v>
      </c>
    </row>
    <row r="6708" spans="1:8" x14ac:dyDescent="0.15">
      <c r="A6708">
        <v>6707</v>
      </c>
      <c r="B6708" t="s">
        <v>339</v>
      </c>
      <c r="C6708" t="s">
        <v>353</v>
      </c>
      <c r="D6708" t="s">
        <v>11056</v>
      </c>
      <c r="E6708" t="s">
        <v>11049</v>
      </c>
      <c r="F6708" s="46">
        <v>46097.325961770832</v>
      </c>
      <c r="G6708" s="46">
        <v>46097.325961770832</v>
      </c>
      <c r="H6708">
        <v>0</v>
      </c>
    </row>
    <row r="6709" spans="1:8" x14ac:dyDescent="0.15">
      <c r="A6709">
        <v>6708</v>
      </c>
      <c r="B6709" t="s">
        <v>339</v>
      </c>
      <c r="C6709" t="s">
        <v>353</v>
      </c>
      <c r="D6709" t="s">
        <v>11057</v>
      </c>
      <c r="E6709" t="s">
        <v>11058</v>
      </c>
      <c r="F6709" s="46">
        <v>46097.325961770832</v>
      </c>
      <c r="G6709" s="46">
        <v>46097.325961770832</v>
      </c>
      <c r="H6709">
        <v>0</v>
      </c>
    </row>
    <row r="6710" spans="1:8" x14ac:dyDescent="0.15">
      <c r="A6710">
        <v>6709</v>
      </c>
      <c r="B6710" t="s">
        <v>339</v>
      </c>
      <c r="C6710" t="s">
        <v>353</v>
      </c>
      <c r="D6710" t="s">
        <v>11059</v>
      </c>
      <c r="E6710" t="s">
        <v>11058</v>
      </c>
      <c r="F6710" s="46">
        <v>46097.325961770832</v>
      </c>
      <c r="G6710" s="46">
        <v>46097.325961770832</v>
      </c>
      <c r="H6710">
        <v>0</v>
      </c>
    </row>
    <row r="6711" spans="1:8" x14ac:dyDescent="0.15">
      <c r="A6711">
        <v>6710</v>
      </c>
      <c r="B6711" t="s">
        <v>339</v>
      </c>
      <c r="C6711" t="s">
        <v>353</v>
      </c>
      <c r="D6711" t="s">
        <v>11060</v>
      </c>
      <c r="E6711" t="s">
        <v>11058</v>
      </c>
      <c r="F6711" s="46">
        <v>46097.325961770832</v>
      </c>
      <c r="G6711" s="46">
        <v>46097.325961770832</v>
      </c>
      <c r="H6711">
        <v>0</v>
      </c>
    </row>
    <row r="6712" spans="1:8" x14ac:dyDescent="0.15">
      <c r="A6712">
        <v>6711</v>
      </c>
      <c r="B6712" t="s">
        <v>339</v>
      </c>
      <c r="C6712" t="s">
        <v>353</v>
      </c>
      <c r="D6712" t="s">
        <v>11061</v>
      </c>
      <c r="E6712" t="s">
        <v>11058</v>
      </c>
      <c r="F6712" s="46">
        <v>46097.325961770832</v>
      </c>
      <c r="G6712" s="46">
        <v>46097.325961770832</v>
      </c>
      <c r="H6712">
        <v>0</v>
      </c>
    </row>
    <row r="6713" spans="1:8" x14ac:dyDescent="0.15">
      <c r="A6713">
        <v>6712</v>
      </c>
      <c r="B6713" t="s">
        <v>339</v>
      </c>
      <c r="C6713" t="s">
        <v>353</v>
      </c>
      <c r="D6713" t="s">
        <v>11062</v>
      </c>
      <c r="E6713" t="s">
        <v>11063</v>
      </c>
      <c r="F6713" s="46">
        <v>46097.325961770832</v>
      </c>
      <c r="G6713" s="46">
        <v>46097.325961770832</v>
      </c>
      <c r="H6713">
        <v>0</v>
      </c>
    </row>
    <row r="6714" spans="1:8" x14ac:dyDescent="0.15">
      <c r="A6714">
        <v>6713</v>
      </c>
      <c r="B6714" t="s">
        <v>339</v>
      </c>
      <c r="C6714" t="s">
        <v>353</v>
      </c>
      <c r="D6714" t="s">
        <v>11064</v>
      </c>
      <c r="E6714" t="s">
        <v>11065</v>
      </c>
      <c r="F6714" s="46">
        <v>46097.325961770832</v>
      </c>
      <c r="G6714" s="46">
        <v>46097.325961956019</v>
      </c>
      <c r="H6714">
        <v>15</v>
      </c>
    </row>
    <row r="6715" spans="1:8" x14ac:dyDescent="0.15">
      <c r="A6715">
        <v>6714</v>
      </c>
      <c r="B6715" t="s">
        <v>339</v>
      </c>
      <c r="C6715" t="s">
        <v>353</v>
      </c>
      <c r="D6715" t="s">
        <v>11066</v>
      </c>
      <c r="E6715" t="s">
        <v>11065</v>
      </c>
      <c r="F6715" s="46">
        <v>46097.325961956019</v>
      </c>
      <c r="G6715" s="46">
        <v>46097.325961956019</v>
      </c>
      <c r="H6715">
        <v>0</v>
      </c>
    </row>
    <row r="6716" spans="1:8" x14ac:dyDescent="0.15">
      <c r="A6716">
        <v>6715</v>
      </c>
      <c r="B6716" t="s">
        <v>339</v>
      </c>
      <c r="C6716" t="s">
        <v>353</v>
      </c>
      <c r="D6716" t="s">
        <v>11067</v>
      </c>
      <c r="E6716" t="s">
        <v>11068</v>
      </c>
      <c r="F6716" s="46">
        <v>46097.325961956019</v>
      </c>
      <c r="G6716" s="46">
        <v>46097.325961956019</v>
      </c>
      <c r="H6716">
        <v>0</v>
      </c>
    </row>
    <row r="6717" spans="1:8" x14ac:dyDescent="0.15">
      <c r="A6717">
        <v>6716</v>
      </c>
      <c r="B6717" t="s">
        <v>339</v>
      </c>
      <c r="C6717" t="s">
        <v>353</v>
      </c>
      <c r="D6717" t="s">
        <v>11069</v>
      </c>
      <c r="E6717" t="s">
        <v>11070</v>
      </c>
      <c r="F6717" s="46">
        <v>46097.325961956019</v>
      </c>
      <c r="G6717" s="46">
        <v>46097.325961956019</v>
      </c>
      <c r="H6717">
        <v>0</v>
      </c>
    </row>
    <row r="6718" spans="1:8" x14ac:dyDescent="0.15">
      <c r="A6718">
        <v>6717</v>
      </c>
      <c r="B6718" t="s">
        <v>339</v>
      </c>
      <c r="C6718" t="s">
        <v>353</v>
      </c>
      <c r="D6718" t="s">
        <v>11071</v>
      </c>
      <c r="E6718" t="s">
        <v>11072</v>
      </c>
      <c r="F6718" s="46">
        <v>46097.325961956019</v>
      </c>
      <c r="G6718" s="46">
        <v>46097.325961956019</v>
      </c>
      <c r="H6718">
        <v>0</v>
      </c>
    </row>
    <row r="6719" spans="1:8" x14ac:dyDescent="0.15">
      <c r="A6719">
        <v>6718</v>
      </c>
      <c r="B6719" t="s">
        <v>339</v>
      </c>
      <c r="C6719" t="s">
        <v>353</v>
      </c>
      <c r="D6719" t="s">
        <v>11073</v>
      </c>
      <c r="E6719" t="s">
        <v>11074</v>
      </c>
      <c r="F6719" s="46">
        <v>46097.325961956019</v>
      </c>
      <c r="G6719" s="46">
        <v>46097.325961956019</v>
      </c>
      <c r="H6719">
        <v>0</v>
      </c>
    </row>
    <row r="6720" spans="1:8" x14ac:dyDescent="0.15">
      <c r="A6720">
        <v>6719</v>
      </c>
      <c r="B6720" t="s">
        <v>339</v>
      </c>
      <c r="C6720" t="s">
        <v>353</v>
      </c>
      <c r="D6720" t="s">
        <v>11075</v>
      </c>
      <c r="E6720" t="s">
        <v>11074</v>
      </c>
      <c r="F6720" s="46">
        <v>46097.325961956019</v>
      </c>
      <c r="G6720" s="46">
        <v>46097.325961956019</v>
      </c>
      <c r="H6720">
        <v>0</v>
      </c>
    </row>
    <row r="6721" spans="1:8" x14ac:dyDescent="0.15">
      <c r="A6721">
        <v>6720</v>
      </c>
      <c r="B6721" t="s">
        <v>339</v>
      </c>
      <c r="C6721" t="s">
        <v>353</v>
      </c>
      <c r="D6721" t="s">
        <v>11076</v>
      </c>
      <c r="E6721" t="s">
        <v>11077</v>
      </c>
      <c r="F6721" s="46">
        <v>46097.325961956019</v>
      </c>
      <c r="G6721" s="46">
        <v>46097.325961956019</v>
      </c>
      <c r="H6721">
        <v>0</v>
      </c>
    </row>
    <row r="6722" spans="1:8" x14ac:dyDescent="0.15">
      <c r="A6722">
        <v>6721</v>
      </c>
      <c r="B6722" t="s">
        <v>339</v>
      </c>
      <c r="C6722" t="s">
        <v>353</v>
      </c>
      <c r="D6722" t="s">
        <v>11078</v>
      </c>
      <c r="E6722" t="s">
        <v>11079</v>
      </c>
      <c r="F6722" s="46">
        <v>46097.325961956019</v>
      </c>
      <c r="G6722" s="46">
        <v>46097.325961956019</v>
      </c>
      <c r="H6722">
        <v>0</v>
      </c>
    </row>
    <row r="6723" spans="1:8" x14ac:dyDescent="0.15">
      <c r="A6723">
        <v>6722</v>
      </c>
      <c r="B6723" t="s">
        <v>339</v>
      </c>
      <c r="C6723" t="s">
        <v>353</v>
      </c>
      <c r="D6723" t="s">
        <v>11080</v>
      </c>
      <c r="E6723" t="s">
        <v>11081</v>
      </c>
      <c r="F6723" s="46">
        <v>46097.325961956019</v>
      </c>
      <c r="G6723" s="46">
        <v>46097.325961956019</v>
      </c>
      <c r="H6723">
        <v>0</v>
      </c>
    </row>
    <row r="6724" spans="1:8" x14ac:dyDescent="0.15">
      <c r="A6724">
        <v>6723</v>
      </c>
      <c r="B6724" t="s">
        <v>339</v>
      </c>
      <c r="C6724" t="s">
        <v>353</v>
      </c>
      <c r="D6724" t="s">
        <v>11082</v>
      </c>
      <c r="E6724" t="s">
        <v>11081</v>
      </c>
      <c r="F6724" s="46">
        <v>46097.325961956019</v>
      </c>
      <c r="G6724" s="46">
        <v>46097.325961956019</v>
      </c>
      <c r="H6724">
        <v>0</v>
      </c>
    </row>
    <row r="6725" spans="1:8" x14ac:dyDescent="0.15">
      <c r="A6725">
        <v>6724</v>
      </c>
      <c r="B6725" t="s">
        <v>339</v>
      </c>
      <c r="C6725" t="s">
        <v>353</v>
      </c>
      <c r="D6725" t="s">
        <v>11083</v>
      </c>
      <c r="E6725" t="s">
        <v>11081</v>
      </c>
      <c r="F6725" s="46">
        <v>46097.325961956019</v>
      </c>
      <c r="G6725" s="46">
        <v>46097.325962141207</v>
      </c>
      <c r="H6725">
        <v>16</v>
      </c>
    </row>
    <row r="6726" spans="1:8" x14ac:dyDescent="0.15">
      <c r="A6726">
        <v>6725</v>
      </c>
      <c r="B6726" t="s">
        <v>339</v>
      </c>
      <c r="C6726" t="s">
        <v>353</v>
      </c>
      <c r="D6726" t="s">
        <v>11084</v>
      </c>
      <c r="E6726" t="s">
        <v>11081</v>
      </c>
      <c r="F6726" s="46">
        <v>46097.325962141207</v>
      </c>
      <c r="G6726" s="46">
        <v>46097.325962141207</v>
      </c>
      <c r="H6726">
        <v>0</v>
      </c>
    </row>
    <row r="6727" spans="1:8" x14ac:dyDescent="0.15">
      <c r="A6727">
        <v>6726</v>
      </c>
      <c r="B6727" t="s">
        <v>339</v>
      </c>
      <c r="C6727" t="s">
        <v>353</v>
      </c>
      <c r="D6727" t="s">
        <v>11085</v>
      </c>
      <c r="E6727" t="s">
        <v>11086</v>
      </c>
      <c r="F6727" s="46">
        <v>46097.325962141207</v>
      </c>
      <c r="G6727" s="46">
        <v>46097.325962141207</v>
      </c>
      <c r="H6727">
        <v>0</v>
      </c>
    </row>
    <row r="6728" spans="1:8" x14ac:dyDescent="0.15">
      <c r="A6728">
        <v>6727</v>
      </c>
      <c r="B6728" t="s">
        <v>339</v>
      </c>
      <c r="C6728" t="s">
        <v>353</v>
      </c>
      <c r="D6728" t="s">
        <v>11087</v>
      </c>
      <c r="E6728" t="s">
        <v>11086</v>
      </c>
      <c r="F6728" s="46">
        <v>46097.325962141207</v>
      </c>
      <c r="G6728" s="46">
        <v>46097.325962141207</v>
      </c>
      <c r="H6728">
        <v>0</v>
      </c>
    </row>
    <row r="6729" spans="1:8" x14ac:dyDescent="0.15">
      <c r="A6729">
        <v>6728</v>
      </c>
      <c r="B6729" t="s">
        <v>339</v>
      </c>
      <c r="C6729" t="s">
        <v>353</v>
      </c>
      <c r="D6729" t="s">
        <v>11088</v>
      </c>
      <c r="E6729" t="s">
        <v>11086</v>
      </c>
      <c r="F6729" s="46">
        <v>46097.325962141207</v>
      </c>
      <c r="G6729" s="46">
        <v>46097.325962141207</v>
      </c>
      <c r="H6729">
        <v>0</v>
      </c>
    </row>
    <row r="6730" spans="1:8" x14ac:dyDescent="0.15">
      <c r="A6730">
        <v>6729</v>
      </c>
      <c r="B6730" t="s">
        <v>339</v>
      </c>
      <c r="C6730" t="s">
        <v>353</v>
      </c>
      <c r="D6730" t="s">
        <v>11089</v>
      </c>
      <c r="E6730" t="s">
        <v>11086</v>
      </c>
      <c r="F6730" s="46">
        <v>46097.325962141207</v>
      </c>
      <c r="G6730" s="46">
        <v>46097.325962141207</v>
      </c>
      <c r="H6730">
        <v>0</v>
      </c>
    </row>
    <row r="6731" spans="1:8" x14ac:dyDescent="0.15">
      <c r="A6731">
        <v>6730</v>
      </c>
      <c r="B6731" t="s">
        <v>339</v>
      </c>
      <c r="C6731" t="s">
        <v>353</v>
      </c>
      <c r="D6731" t="s">
        <v>11090</v>
      </c>
      <c r="E6731" t="s">
        <v>11086</v>
      </c>
      <c r="F6731" s="46">
        <v>46097.325962141207</v>
      </c>
      <c r="G6731" s="46">
        <v>46097.325962141207</v>
      </c>
      <c r="H6731">
        <v>0</v>
      </c>
    </row>
    <row r="6732" spans="1:8" x14ac:dyDescent="0.15">
      <c r="A6732">
        <v>6731</v>
      </c>
      <c r="B6732" t="s">
        <v>339</v>
      </c>
      <c r="C6732" t="s">
        <v>353</v>
      </c>
      <c r="D6732" t="s">
        <v>11091</v>
      </c>
      <c r="E6732" t="s">
        <v>11086</v>
      </c>
      <c r="F6732" s="46">
        <v>46097.325962141207</v>
      </c>
      <c r="G6732" s="46">
        <v>46097.325962141207</v>
      </c>
      <c r="H6732">
        <v>0</v>
      </c>
    </row>
    <row r="6733" spans="1:8" x14ac:dyDescent="0.15">
      <c r="A6733">
        <v>6732</v>
      </c>
      <c r="B6733" t="s">
        <v>339</v>
      </c>
      <c r="C6733" t="s">
        <v>353</v>
      </c>
      <c r="D6733" t="s">
        <v>11092</v>
      </c>
      <c r="E6733" t="s">
        <v>11086</v>
      </c>
      <c r="F6733" s="46">
        <v>46097.325962141207</v>
      </c>
      <c r="G6733" s="46">
        <v>46097.325962141207</v>
      </c>
      <c r="H6733">
        <v>0</v>
      </c>
    </row>
    <row r="6734" spans="1:8" x14ac:dyDescent="0.15">
      <c r="A6734">
        <v>6733</v>
      </c>
      <c r="B6734" t="s">
        <v>339</v>
      </c>
      <c r="C6734" t="s">
        <v>353</v>
      </c>
      <c r="D6734" t="s">
        <v>11093</v>
      </c>
      <c r="E6734" t="s">
        <v>11094</v>
      </c>
      <c r="F6734" s="46">
        <v>46097.325962141207</v>
      </c>
      <c r="G6734" s="46">
        <v>46097.325962141207</v>
      </c>
      <c r="H6734">
        <v>0</v>
      </c>
    </row>
    <row r="6735" spans="1:8" x14ac:dyDescent="0.15">
      <c r="A6735">
        <v>6734</v>
      </c>
      <c r="B6735" t="s">
        <v>339</v>
      </c>
      <c r="C6735" t="s">
        <v>353</v>
      </c>
      <c r="D6735" t="s">
        <v>11095</v>
      </c>
      <c r="E6735" t="s">
        <v>11094</v>
      </c>
      <c r="F6735" s="46">
        <v>46097.325962141207</v>
      </c>
      <c r="G6735" s="46">
        <v>46097.325962314811</v>
      </c>
      <c r="H6735">
        <v>16</v>
      </c>
    </row>
    <row r="6736" spans="1:8" x14ac:dyDescent="0.15">
      <c r="A6736">
        <v>6735</v>
      </c>
      <c r="B6736" t="s">
        <v>339</v>
      </c>
      <c r="C6736" t="s">
        <v>353</v>
      </c>
      <c r="D6736" t="s">
        <v>11096</v>
      </c>
      <c r="E6736" t="s">
        <v>11097</v>
      </c>
      <c r="F6736" s="46">
        <v>46097.325962314811</v>
      </c>
      <c r="G6736" s="46">
        <v>46097.325962314811</v>
      </c>
      <c r="H6736">
        <v>0</v>
      </c>
    </row>
    <row r="6737" spans="1:8" x14ac:dyDescent="0.15">
      <c r="A6737">
        <v>6736</v>
      </c>
      <c r="B6737" t="s">
        <v>339</v>
      </c>
      <c r="C6737" t="s">
        <v>353</v>
      </c>
      <c r="D6737" t="s">
        <v>11098</v>
      </c>
      <c r="E6737" t="s">
        <v>11097</v>
      </c>
      <c r="F6737" s="46">
        <v>46097.325962314811</v>
      </c>
      <c r="G6737" s="46">
        <v>46097.325962314811</v>
      </c>
      <c r="H6737">
        <v>0</v>
      </c>
    </row>
    <row r="6738" spans="1:8" x14ac:dyDescent="0.15">
      <c r="A6738">
        <v>6737</v>
      </c>
      <c r="B6738" t="s">
        <v>339</v>
      </c>
      <c r="C6738" t="s">
        <v>353</v>
      </c>
      <c r="D6738" t="s">
        <v>11099</v>
      </c>
      <c r="E6738" t="s">
        <v>11100</v>
      </c>
      <c r="F6738" s="46">
        <v>46097.325962314811</v>
      </c>
      <c r="G6738" s="46">
        <v>46097.325962314811</v>
      </c>
      <c r="H6738">
        <v>0</v>
      </c>
    </row>
    <row r="6739" spans="1:8" x14ac:dyDescent="0.15">
      <c r="A6739">
        <v>6738</v>
      </c>
      <c r="B6739" t="s">
        <v>339</v>
      </c>
      <c r="C6739" t="s">
        <v>353</v>
      </c>
      <c r="D6739" t="s">
        <v>11101</v>
      </c>
      <c r="E6739" t="s">
        <v>11102</v>
      </c>
      <c r="F6739" s="46">
        <v>46097.325962314811</v>
      </c>
      <c r="G6739" s="46">
        <v>46097.325962314811</v>
      </c>
      <c r="H6739">
        <v>0</v>
      </c>
    </row>
    <row r="6740" spans="1:8" x14ac:dyDescent="0.15">
      <c r="A6740">
        <v>6739</v>
      </c>
      <c r="B6740" t="s">
        <v>339</v>
      </c>
      <c r="C6740" t="s">
        <v>353</v>
      </c>
      <c r="D6740" t="s">
        <v>11103</v>
      </c>
      <c r="E6740" t="s">
        <v>11102</v>
      </c>
      <c r="F6740" s="46">
        <v>46097.325962314811</v>
      </c>
      <c r="G6740" s="46">
        <v>46097.325962314811</v>
      </c>
      <c r="H6740">
        <v>0</v>
      </c>
    </row>
    <row r="6741" spans="1:8" x14ac:dyDescent="0.15">
      <c r="A6741">
        <v>6740</v>
      </c>
      <c r="B6741" t="s">
        <v>339</v>
      </c>
      <c r="C6741" t="s">
        <v>353</v>
      </c>
      <c r="D6741" t="s">
        <v>11104</v>
      </c>
      <c r="E6741" t="s">
        <v>11105</v>
      </c>
      <c r="F6741" s="46">
        <v>46097.325962314811</v>
      </c>
      <c r="G6741" s="46">
        <v>46097.325962314811</v>
      </c>
      <c r="H6741">
        <v>0</v>
      </c>
    </row>
    <row r="6742" spans="1:8" x14ac:dyDescent="0.15">
      <c r="A6742">
        <v>6741</v>
      </c>
      <c r="B6742" t="s">
        <v>339</v>
      </c>
      <c r="C6742" t="s">
        <v>353</v>
      </c>
      <c r="D6742" t="s">
        <v>11106</v>
      </c>
      <c r="E6742" t="s">
        <v>11105</v>
      </c>
      <c r="F6742" s="46">
        <v>46097.325962314811</v>
      </c>
      <c r="G6742" s="46">
        <v>46097.325962314811</v>
      </c>
      <c r="H6742">
        <v>0</v>
      </c>
    </row>
    <row r="6743" spans="1:8" x14ac:dyDescent="0.15">
      <c r="A6743">
        <v>6742</v>
      </c>
      <c r="B6743" t="s">
        <v>339</v>
      </c>
      <c r="C6743" t="s">
        <v>353</v>
      </c>
      <c r="D6743" t="s">
        <v>11107</v>
      </c>
      <c r="E6743" t="s">
        <v>11105</v>
      </c>
      <c r="F6743" s="46">
        <v>46097.325962314811</v>
      </c>
      <c r="G6743" s="46">
        <v>46097.325962314811</v>
      </c>
      <c r="H6743">
        <v>0</v>
      </c>
    </row>
    <row r="6744" spans="1:8" x14ac:dyDescent="0.15">
      <c r="A6744">
        <v>6743</v>
      </c>
      <c r="B6744" t="s">
        <v>339</v>
      </c>
      <c r="C6744" t="s">
        <v>353</v>
      </c>
      <c r="D6744" t="s">
        <v>11108</v>
      </c>
      <c r="E6744" t="s">
        <v>11105</v>
      </c>
      <c r="F6744" s="46">
        <v>46097.325962314811</v>
      </c>
      <c r="G6744" s="46">
        <v>46097.325962314811</v>
      </c>
      <c r="H6744">
        <v>0</v>
      </c>
    </row>
    <row r="6745" spans="1:8" x14ac:dyDescent="0.15">
      <c r="A6745">
        <v>6744</v>
      </c>
      <c r="B6745" t="s">
        <v>339</v>
      </c>
      <c r="C6745" t="s">
        <v>353</v>
      </c>
      <c r="D6745" t="s">
        <v>11109</v>
      </c>
      <c r="E6745" t="s">
        <v>11110</v>
      </c>
      <c r="F6745" s="46">
        <v>46097.325962314811</v>
      </c>
      <c r="G6745" s="46">
        <v>46097.325962314811</v>
      </c>
      <c r="H6745">
        <v>0</v>
      </c>
    </row>
    <row r="6746" spans="1:8" x14ac:dyDescent="0.15">
      <c r="A6746">
        <v>6745</v>
      </c>
      <c r="B6746" t="s">
        <v>339</v>
      </c>
      <c r="C6746" t="s">
        <v>353</v>
      </c>
      <c r="D6746" t="s">
        <v>11111</v>
      </c>
      <c r="E6746" t="s">
        <v>11110</v>
      </c>
      <c r="F6746" s="46">
        <v>46097.325962314811</v>
      </c>
      <c r="G6746" s="46">
        <v>46097.325962499999</v>
      </c>
      <c r="H6746">
        <v>15</v>
      </c>
    </row>
    <row r="6747" spans="1:8" x14ac:dyDescent="0.15">
      <c r="A6747">
        <v>6746</v>
      </c>
      <c r="B6747" t="s">
        <v>339</v>
      </c>
      <c r="C6747" t="s">
        <v>353</v>
      </c>
      <c r="D6747" t="s">
        <v>11112</v>
      </c>
      <c r="E6747" t="s">
        <v>11110</v>
      </c>
      <c r="F6747" s="46">
        <v>46097.325962499999</v>
      </c>
      <c r="G6747" s="46">
        <v>46097.325962499999</v>
      </c>
      <c r="H6747">
        <v>0</v>
      </c>
    </row>
    <row r="6748" spans="1:8" x14ac:dyDescent="0.15">
      <c r="A6748">
        <v>6747</v>
      </c>
      <c r="B6748" t="s">
        <v>339</v>
      </c>
      <c r="C6748" t="s">
        <v>353</v>
      </c>
      <c r="D6748" t="s">
        <v>11113</v>
      </c>
      <c r="E6748" t="s">
        <v>11114</v>
      </c>
      <c r="F6748" s="46">
        <v>46097.325962499999</v>
      </c>
      <c r="G6748" s="46">
        <v>46097.325962499999</v>
      </c>
      <c r="H6748">
        <v>0</v>
      </c>
    </row>
    <row r="6749" spans="1:8" x14ac:dyDescent="0.15">
      <c r="A6749">
        <v>6748</v>
      </c>
      <c r="B6749" t="s">
        <v>339</v>
      </c>
      <c r="C6749" t="s">
        <v>353</v>
      </c>
      <c r="D6749" t="s">
        <v>11115</v>
      </c>
      <c r="E6749" t="s">
        <v>11116</v>
      </c>
      <c r="F6749" s="46">
        <v>46097.325962499999</v>
      </c>
      <c r="G6749" s="46">
        <v>46097.325962499999</v>
      </c>
      <c r="H6749">
        <v>0</v>
      </c>
    </row>
    <row r="6750" spans="1:8" x14ac:dyDescent="0.15">
      <c r="A6750">
        <v>6749</v>
      </c>
      <c r="B6750" t="s">
        <v>339</v>
      </c>
      <c r="C6750" t="s">
        <v>353</v>
      </c>
      <c r="D6750" t="s">
        <v>11117</v>
      </c>
      <c r="E6750" t="s">
        <v>11116</v>
      </c>
      <c r="F6750" s="46">
        <v>46097.325962499999</v>
      </c>
      <c r="G6750" s="46">
        <v>46097.325962499999</v>
      </c>
      <c r="H6750">
        <v>0</v>
      </c>
    </row>
    <row r="6751" spans="1:8" x14ac:dyDescent="0.15">
      <c r="A6751">
        <v>6750</v>
      </c>
      <c r="B6751" t="s">
        <v>339</v>
      </c>
      <c r="C6751" t="s">
        <v>353</v>
      </c>
      <c r="D6751" t="s">
        <v>11118</v>
      </c>
      <c r="E6751" t="s">
        <v>11119</v>
      </c>
      <c r="F6751" s="46">
        <v>46097.325962499999</v>
      </c>
      <c r="G6751" s="46">
        <v>46097.325962499999</v>
      </c>
      <c r="H6751">
        <v>0</v>
      </c>
    </row>
    <row r="6752" spans="1:8" x14ac:dyDescent="0.15">
      <c r="A6752">
        <v>6751</v>
      </c>
      <c r="B6752" t="s">
        <v>339</v>
      </c>
      <c r="C6752" t="s">
        <v>353</v>
      </c>
      <c r="D6752" t="s">
        <v>11120</v>
      </c>
      <c r="E6752" t="s">
        <v>11119</v>
      </c>
      <c r="F6752" s="46">
        <v>46097.325962499999</v>
      </c>
      <c r="G6752" s="46">
        <v>46097.325962499999</v>
      </c>
      <c r="H6752">
        <v>0</v>
      </c>
    </row>
    <row r="6753" spans="1:8" x14ac:dyDescent="0.15">
      <c r="A6753">
        <v>6752</v>
      </c>
      <c r="B6753" t="s">
        <v>339</v>
      </c>
      <c r="C6753" t="s">
        <v>353</v>
      </c>
      <c r="D6753" t="s">
        <v>11121</v>
      </c>
      <c r="E6753" t="s">
        <v>11122</v>
      </c>
      <c r="F6753" s="46">
        <v>46097.325962499999</v>
      </c>
      <c r="G6753" s="46">
        <v>46097.325962499999</v>
      </c>
      <c r="H6753">
        <v>0</v>
      </c>
    </row>
    <row r="6754" spans="1:8" x14ac:dyDescent="0.15">
      <c r="A6754">
        <v>6753</v>
      </c>
      <c r="B6754" t="s">
        <v>339</v>
      </c>
      <c r="C6754" t="s">
        <v>353</v>
      </c>
      <c r="D6754" t="s">
        <v>11123</v>
      </c>
      <c r="E6754" t="s">
        <v>11124</v>
      </c>
      <c r="F6754" s="46">
        <v>46097.325962499999</v>
      </c>
      <c r="G6754" s="46">
        <v>46097.325962499999</v>
      </c>
      <c r="H6754">
        <v>0</v>
      </c>
    </row>
    <row r="6755" spans="1:8" x14ac:dyDescent="0.15">
      <c r="A6755">
        <v>6754</v>
      </c>
      <c r="B6755" t="s">
        <v>339</v>
      </c>
      <c r="C6755" t="s">
        <v>353</v>
      </c>
      <c r="D6755" t="s">
        <v>11125</v>
      </c>
      <c r="E6755" t="s">
        <v>11124</v>
      </c>
      <c r="F6755" s="46">
        <v>46097.325962499999</v>
      </c>
      <c r="G6755" s="46">
        <v>46097.325962499999</v>
      </c>
      <c r="H6755">
        <v>0</v>
      </c>
    </row>
    <row r="6756" spans="1:8" x14ac:dyDescent="0.15">
      <c r="A6756">
        <v>6755</v>
      </c>
      <c r="B6756" t="s">
        <v>339</v>
      </c>
      <c r="C6756" t="s">
        <v>353</v>
      </c>
      <c r="D6756" t="s">
        <v>11126</v>
      </c>
      <c r="E6756" t="s">
        <v>11124</v>
      </c>
      <c r="F6756" s="46">
        <v>46097.325962499999</v>
      </c>
      <c r="G6756" s="46">
        <v>46097.325962673611</v>
      </c>
      <c r="H6756">
        <v>16</v>
      </c>
    </row>
    <row r="6757" spans="1:8" x14ac:dyDescent="0.15">
      <c r="A6757">
        <v>6756</v>
      </c>
      <c r="B6757" t="s">
        <v>339</v>
      </c>
      <c r="C6757" t="s">
        <v>353</v>
      </c>
      <c r="D6757" t="s">
        <v>11127</v>
      </c>
      <c r="E6757" t="s">
        <v>11124</v>
      </c>
      <c r="F6757" s="46">
        <v>46097.325962673611</v>
      </c>
      <c r="G6757" s="46">
        <v>46097.325962673611</v>
      </c>
      <c r="H6757">
        <v>0</v>
      </c>
    </row>
    <row r="6758" spans="1:8" x14ac:dyDescent="0.15">
      <c r="A6758">
        <v>6757</v>
      </c>
      <c r="B6758" t="s">
        <v>339</v>
      </c>
      <c r="C6758" t="s">
        <v>353</v>
      </c>
      <c r="D6758" t="s">
        <v>11128</v>
      </c>
      <c r="E6758" t="s">
        <v>11129</v>
      </c>
      <c r="F6758" s="46">
        <v>46097.325962673611</v>
      </c>
      <c r="G6758" s="46">
        <v>46097.325962673611</v>
      </c>
      <c r="H6758">
        <v>0</v>
      </c>
    </row>
    <row r="6759" spans="1:8" x14ac:dyDescent="0.15">
      <c r="A6759">
        <v>6758</v>
      </c>
      <c r="B6759" t="s">
        <v>339</v>
      </c>
      <c r="C6759" t="s">
        <v>353</v>
      </c>
      <c r="D6759" t="s">
        <v>11130</v>
      </c>
      <c r="E6759" t="s">
        <v>11129</v>
      </c>
      <c r="F6759" s="46">
        <v>46097.325962673611</v>
      </c>
      <c r="G6759" s="46">
        <v>46097.325962673611</v>
      </c>
      <c r="H6759">
        <v>0</v>
      </c>
    </row>
    <row r="6760" spans="1:8" x14ac:dyDescent="0.15">
      <c r="A6760">
        <v>6759</v>
      </c>
      <c r="B6760" t="s">
        <v>339</v>
      </c>
      <c r="C6760" t="s">
        <v>353</v>
      </c>
      <c r="D6760" t="s">
        <v>11131</v>
      </c>
      <c r="E6760" t="s">
        <v>11129</v>
      </c>
      <c r="F6760" s="46">
        <v>46097.325962673611</v>
      </c>
      <c r="G6760" s="46">
        <v>46097.325962673611</v>
      </c>
      <c r="H6760">
        <v>0</v>
      </c>
    </row>
    <row r="6761" spans="1:8" x14ac:dyDescent="0.15">
      <c r="A6761">
        <v>6760</v>
      </c>
      <c r="B6761" t="s">
        <v>339</v>
      </c>
      <c r="C6761" t="s">
        <v>353</v>
      </c>
      <c r="D6761" t="s">
        <v>11132</v>
      </c>
      <c r="E6761" t="s">
        <v>11129</v>
      </c>
      <c r="F6761" s="46">
        <v>46097.325962673611</v>
      </c>
      <c r="G6761" s="46">
        <v>46097.325962673611</v>
      </c>
      <c r="H6761">
        <v>0</v>
      </c>
    </row>
    <row r="6762" spans="1:8" x14ac:dyDescent="0.15">
      <c r="A6762">
        <v>6761</v>
      </c>
      <c r="B6762" t="s">
        <v>339</v>
      </c>
      <c r="C6762" t="s">
        <v>353</v>
      </c>
      <c r="D6762" t="s">
        <v>11133</v>
      </c>
      <c r="E6762" t="s">
        <v>11129</v>
      </c>
      <c r="F6762" s="46">
        <v>46097.325962673611</v>
      </c>
      <c r="G6762" s="46">
        <v>46097.325962673611</v>
      </c>
      <c r="H6762">
        <v>0</v>
      </c>
    </row>
    <row r="6763" spans="1:8" x14ac:dyDescent="0.15">
      <c r="A6763">
        <v>6762</v>
      </c>
      <c r="B6763" t="s">
        <v>339</v>
      </c>
      <c r="C6763" t="s">
        <v>353</v>
      </c>
      <c r="D6763" t="s">
        <v>11134</v>
      </c>
      <c r="E6763" t="s">
        <v>11129</v>
      </c>
      <c r="F6763" s="46">
        <v>46097.325962673611</v>
      </c>
      <c r="G6763" s="46">
        <v>46097.325962673611</v>
      </c>
      <c r="H6763">
        <v>0</v>
      </c>
    </row>
    <row r="6764" spans="1:8" x14ac:dyDescent="0.15">
      <c r="A6764">
        <v>6763</v>
      </c>
      <c r="B6764" t="s">
        <v>339</v>
      </c>
      <c r="C6764" t="s">
        <v>353</v>
      </c>
      <c r="D6764" t="s">
        <v>11135</v>
      </c>
      <c r="E6764" t="s">
        <v>11129</v>
      </c>
      <c r="F6764" s="46">
        <v>46097.325962673611</v>
      </c>
      <c r="G6764" s="46">
        <v>46097.325962673611</v>
      </c>
      <c r="H6764">
        <v>0</v>
      </c>
    </row>
    <row r="6765" spans="1:8" x14ac:dyDescent="0.15">
      <c r="A6765">
        <v>6764</v>
      </c>
      <c r="B6765" t="s">
        <v>339</v>
      </c>
      <c r="C6765" t="s">
        <v>353</v>
      </c>
      <c r="D6765" t="s">
        <v>11136</v>
      </c>
      <c r="E6765" t="s">
        <v>11137</v>
      </c>
      <c r="F6765" s="46">
        <v>46097.325962673611</v>
      </c>
      <c r="G6765" s="46">
        <v>46097.325962673611</v>
      </c>
      <c r="H6765">
        <v>0</v>
      </c>
    </row>
    <row r="6766" spans="1:8" x14ac:dyDescent="0.15">
      <c r="A6766">
        <v>6765</v>
      </c>
      <c r="B6766" t="s">
        <v>339</v>
      </c>
      <c r="C6766" t="s">
        <v>353</v>
      </c>
      <c r="D6766" t="s">
        <v>11138</v>
      </c>
      <c r="E6766" t="s">
        <v>11139</v>
      </c>
      <c r="F6766" s="46">
        <v>46097.325962673611</v>
      </c>
      <c r="G6766" s="46">
        <v>46097.325962673611</v>
      </c>
      <c r="H6766">
        <v>0</v>
      </c>
    </row>
    <row r="6767" spans="1:8" x14ac:dyDescent="0.15">
      <c r="A6767">
        <v>6766</v>
      </c>
      <c r="B6767" t="s">
        <v>339</v>
      </c>
      <c r="C6767" t="s">
        <v>353</v>
      </c>
      <c r="D6767" t="s">
        <v>11140</v>
      </c>
      <c r="E6767" t="s">
        <v>11139</v>
      </c>
      <c r="F6767" s="46">
        <v>46097.325962673611</v>
      </c>
      <c r="G6767" s="46">
        <v>46097.325962858798</v>
      </c>
      <c r="H6767">
        <v>16</v>
      </c>
    </row>
    <row r="6768" spans="1:8" x14ac:dyDescent="0.15">
      <c r="A6768">
        <v>6767</v>
      </c>
      <c r="B6768" t="s">
        <v>339</v>
      </c>
      <c r="C6768" t="s">
        <v>353</v>
      </c>
      <c r="D6768" t="s">
        <v>11141</v>
      </c>
      <c r="E6768" t="s">
        <v>11139</v>
      </c>
      <c r="F6768" s="46">
        <v>46097.325962858798</v>
      </c>
      <c r="G6768" s="46">
        <v>46097.325962858798</v>
      </c>
      <c r="H6768">
        <v>0</v>
      </c>
    </row>
    <row r="6769" spans="1:8" x14ac:dyDescent="0.15">
      <c r="A6769">
        <v>6768</v>
      </c>
      <c r="B6769" t="s">
        <v>339</v>
      </c>
      <c r="C6769" t="s">
        <v>353</v>
      </c>
      <c r="D6769" t="s">
        <v>11142</v>
      </c>
      <c r="E6769" t="s">
        <v>11143</v>
      </c>
      <c r="F6769" s="46">
        <v>46097.325962858798</v>
      </c>
      <c r="G6769" s="46">
        <v>46097.325962858798</v>
      </c>
      <c r="H6769">
        <v>0</v>
      </c>
    </row>
    <row r="6770" spans="1:8" x14ac:dyDescent="0.15">
      <c r="A6770">
        <v>6769</v>
      </c>
      <c r="B6770" t="s">
        <v>339</v>
      </c>
      <c r="C6770" t="s">
        <v>353</v>
      </c>
      <c r="D6770" t="s">
        <v>11144</v>
      </c>
      <c r="E6770" t="s">
        <v>11145</v>
      </c>
      <c r="F6770" s="46">
        <v>46097.325962858798</v>
      </c>
      <c r="G6770" s="46">
        <v>46097.325962858798</v>
      </c>
      <c r="H6770">
        <v>0</v>
      </c>
    </row>
    <row r="6771" spans="1:8" x14ac:dyDescent="0.15">
      <c r="A6771">
        <v>6770</v>
      </c>
      <c r="B6771" t="s">
        <v>339</v>
      </c>
      <c r="C6771" t="s">
        <v>353</v>
      </c>
      <c r="D6771" t="s">
        <v>11146</v>
      </c>
      <c r="E6771" t="s">
        <v>11147</v>
      </c>
      <c r="F6771" s="46">
        <v>46097.325962858798</v>
      </c>
      <c r="G6771" s="46">
        <v>46097.325962858798</v>
      </c>
      <c r="H6771">
        <v>0</v>
      </c>
    </row>
    <row r="6772" spans="1:8" x14ac:dyDescent="0.15">
      <c r="A6772">
        <v>6771</v>
      </c>
      <c r="B6772" t="s">
        <v>339</v>
      </c>
      <c r="C6772" t="s">
        <v>353</v>
      </c>
      <c r="D6772" t="s">
        <v>11148</v>
      </c>
      <c r="E6772" t="s">
        <v>11147</v>
      </c>
      <c r="F6772" s="46">
        <v>46097.325962858798</v>
      </c>
      <c r="G6772" s="46">
        <v>46097.325962858798</v>
      </c>
      <c r="H6772">
        <v>0</v>
      </c>
    </row>
    <row r="6773" spans="1:8" x14ac:dyDescent="0.15">
      <c r="A6773">
        <v>6772</v>
      </c>
      <c r="B6773" t="s">
        <v>339</v>
      </c>
      <c r="C6773" t="s">
        <v>353</v>
      </c>
      <c r="D6773" t="s">
        <v>11149</v>
      </c>
      <c r="E6773" t="s">
        <v>11150</v>
      </c>
      <c r="F6773" s="46">
        <v>46097.325962858798</v>
      </c>
      <c r="G6773" s="46">
        <v>46097.325962858798</v>
      </c>
      <c r="H6773">
        <v>0</v>
      </c>
    </row>
    <row r="6774" spans="1:8" x14ac:dyDescent="0.15">
      <c r="A6774">
        <v>6773</v>
      </c>
      <c r="B6774" t="s">
        <v>339</v>
      </c>
      <c r="C6774" t="s">
        <v>353</v>
      </c>
      <c r="D6774" t="s">
        <v>11151</v>
      </c>
      <c r="E6774" t="s">
        <v>11150</v>
      </c>
      <c r="F6774" s="46">
        <v>46097.325962858798</v>
      </c>
      <c r="G6774" s="46">
        <v>46097.325962858798</v>
      </c>
      <c r="H6774">
        <v>0</v>
      </c>
    </row>
    <row r="6775" spans="1:8" x14ac:dyDescent="0.15">
      <c r="A6775">
        <v>6774</v>
      </c>
      <c r="B6775" t="s">
        <v>339</v>
      </c>
      <c r="C6775" t="s">
        <v>353</v>
      </c>
      <c r="D6775" t="s">
        <v>11152</v>
      </c>
      <c r="E6775" t="s">
        <v>11150</v>
      </c>
      <c r="F6775" s="46">
        <v>46097.325962858798</v>
      </c>
      <c r="G6775" s="46">
        <v>46097.325962858798</v>
      </c>
      <c r="H6775">
        <v>0</v>
      </c>
    </row>
    <row r="6776" spans="1:8" x14ac:dyDescent="0.15">
      <c r="A6776">
        <v>6775</v>
      </c>
      <c r="B6776" t="s">
        <v>339</v>
      </c>
      <c r="C6776" t="s">
        <v>353</v>
      </c>
      <c r="D6776" t="s">
        <v>11153</v>
      </c>
      <c r="E6776" t="s">
        <v>11150</v>
      </c>
      <c r="F6776" s="46">
        <v>46097.325962858798</v>
      </c>
      <c r="G6776" s="46">
        <v>46097.325962858798</v>
      </c>
      <c r="H6776">
        <v>0</v>
      </c>
    </row>
    <row r="6777" spans="1:8" x14ac:dyDescent="0.15">
      <c r="A6777">
        <v>6776</v>
      </c>
      <c r="B6777" t="s">
        <v>339</v>
      </c>
      <c r="C6777" t="s">
        <v>353</v>
      </c>
      <c r="D6777" t="s">
        <v>11154</v>
      </c>
      <c r="E6777" t="s">
        <v>11150</v>
      </c>
      <c r="F6777" s="46">
        <v>46097.325962858798</v>
      </c>
      <c r="G6777" s="46">
        <v>46097.325963043979</v>
      </c>
      <c r="H6777">
        <v>15</v>
      </c>
    </row>
    <row r="6778" spans="1:8" x14ac:dyDescent="0.15">
      <c r="A6778">
        <v>6777</v>
      </c>
      <c r="B6778" t="s">
        <v>339</v>
      </c>
      <c r="C6778" t="s">
        <v>353</v>
      </c>
      <c r="D6778" t="s">
        <v>11155</v>
      </c>
      <c r="E6778" t="s">
        <v>11150</v>
      </c>
      <c r="F6778" s="46">
        <v>46097.325963043979</v>
      </c>
      <c r="G6778" s="46">
        <v>46097.325963043979</v>
      </c>
      <c r="H6778">
        <v>0</v>
      </c>
    </row>
    <row r="6779" spans="1:8" x14ac:dyDescent="0.15">
      <c r="A6779">
        <v>6778</v>
      </c>
      <c r="B6779" t="s">
        <v>339</v>
      </c>
      <c r="C6779" t="s">
        <v>353</v>
      </c>
      <c r="D6779" t="s">
        <v>11156</v>
      </c>
      <c r="E6779" t="s">
        <v>11157</v>
      </c>
      <c r="F6779" s="46">
        <v>46097.325963043979</v>
      </c>
      <c r="G6779" s="46">
        <v>46097.325963043979</v>
      </c>
      <c r="H6779">
        <v>0</v>
      </c>
    </row>
    <row r="6780" spans="1:8" x14ac:dyDescent="0.15">
      <c r="A6780">
        <v>6779</v>
      </c>
      <c r="B6780" t="s">
        <v>339</v>
      </c>
      <c r="C6780" t="s">
        <v>353</v>
      </c>
      <c r="D6780" t="s">
        <v>11158</v>
      </c>
      <c r="E6780" t="s">
        <v>11157</v>
      </c>
      <c r="F6780" s="46">
        <v>46097.325963043979</v>
      </c>
      <c r="G6780" s="46">
        <v>46097.325963043979</v>
      </c>
      <c r="H6780">
        <v>0</v>
      </c>
    </row>
    <row r="6781" spans="1:8" x14ac:dyDescent="0.15">
      <c r="A6781">
        <v>6780</v>
      </c>
      <c r="B6781" t="s">
        <v>339</v>
      </c>
      <c r="C6781" t="s">
        <v>353</v>
      </c>
      <c r="D6781" t="s">
        <v>11159</v>
      </c>
      <c r="E6781" t="s">
        <v>11157</v>
      </c>
      <c r="F6781" s="46">
        <v>46097.325963043979</v>
      </c>
      <c r="G6781" s="46">
        <v>46097.325963043979</v>
      </c>
      <c r="H6781">
        <v>0</v>
      </c>
    </row>
    <row r="6782" spans="1:8" x14ac:dyDescent="0.15">
      <c r="A6782">
        <v>6781</v>
      </c>
      <c r="B6782" t="s">
        <v>339</v>
      </c>
      <c r="C6782" t="s">
        <v>353</v>
      </c>
      <c r="D6782" t="s">
        <v>11160</v>
      </c>
      <c r="E6782" t="s">
        <v>11161</v>
      </c>
      <c r="F6782" s="46">
        <v>46097.325963043979</v>
      </c>
      <c r="G6782" s="46">
        <v>46097.325963043979</v>
      </c>
      <c r="H6782">
        <v>0</v>
      </c>
    </row>
    <row r="6783" spans="1:8" x14ac:dyDescent="0.15">
      <c r="A6783">
        <v>6782</v>
      </c>
      <c r="B6783" t="s">
        <v>339</v>
      </c>
      <c r="C6783" t="s">
        <v>353</v>
      </c>
      <c r="D6783" t="s">
        <v>11162</v>
      </c>
      <c r="E6783" t="s">
        <v>11161</v>
      </c>
      <c r="F6783" s="46">
        <v>46097.325963043979</v>
      </c>
      <c r="G6783" s="46">
        <v>46097.325963043979</v>
      </c>
      <c r="H6783">
        <v>0</v>
      </c>
    </row>
    <row r="6784" spans="1:8" x14ac:dyDescent="0.15">
      <c r="A6784">
        <v>6783</v>
      </c>
      <c r="B6784" t="s">
        <v>339</v>
      </c>
      <c r="C6784" t="s">
        <v>353</v>
      </c>
      <c r="D6784" t="s">
        <v>11163</v>
      </c>
      <c r="E6784" t="s">
        <v>11161</v>
      </c>
      <c r="F6784" s="46">
        <v>46097.325963043979</v>
      </c>
      <c r="G6784" s="46">
        <v>46097.325963043979</v>
      </c>
      <c r="H6784">
        <v>0</v>
      </c>
    </row>
    <row r="6785" spans="1:8" x14ac:dyDescent="0.15">
      <c r="A6785">
        <v>6784</v>
      </c>
      <c r="B6785" t="s">
        <v>339</v>
      </c>
      <c r="C6785" t="s">
        <v>353</v>
      </c>
      <c r="D6785" t="s">
        <v>11164</v>
      </c>
      <c r="E6785" t="s">
        <v>11161</v>
      </c>
      <c r="F6785" s="46">
        <v>46097.325963043979</v>
      </c>
      <c r="G6785" s="46">
        <v>46097.325963043979</v>
      </c>
      <c r="H6785">
        <v>0</v>
      </c>
    </row>
    <row r="6786" spans="1:8" x14ac:dyDescent="0.15">
      <c r="A6786">
        <v>6785</v>
      </c>
      <c r="B6786" t="s">
        <v>339</v>
      </c>
      <c r="C6786" t="s">
        <v>353</v>
      </c>
      <c r="D6786" t="s">
        <v>11165</v>
      </c>
      <c r="E6786" t="s">
        <v>11161</v>
      </c>
      <c r="F6786" s="46">
        <v>46097.325963043979</v>
      </c>
      <c r="G6786" s="46">
        <v>46097.325963043979</v>
      </c>
      <c r="H6786">
        <v>0</v>
      </c>
    </row>
    <row r="6787" spans="1:8" x14ac:dyDescent="0.15">
      <c r="A6787">
        <v>6786</v>
      </c>
      <c r="B6787" t="s">
        <v>339</v>
      </c>
      <c r="C6787" t="s">
        <v>353</v>
      </c>
      <c r="D6787" t="s">
        <v>11166</v>
      </c>
      <c r="E6787" t="s">
        <v>11161</v>
      </c>
      <c r="F6787" s="46">
        <v>46097.325963043979</v>
      </c>
      <c r="G6787" s="46">
        <v>46097.325963043979</v>
      </c>
      <c r="H6787">
        <v>0</v>
      </c>
    </row>
    <row r="6788" spans="1:8" x14ac:dyDescent="0.15">
      <c r="A6788">
        <v>6787</v>
      </c>
      <c r="B6788" t="s">
        <v>339</v>
      </c>
      <c r="C6788" t="s">
        <v>353</v>
      </c>
      <c r="D6788" t="s">
        <v>11167</v>
      </c>
      <c r="E6788" t="s">
        <v>11168</v>
      </c>
      <c r="F6788" s="46">
        <v>46097.325963043979</v>
      </c>
      <c r="G6788" s="46">
        <v>46097.32596321759</v>
      </c>
      <c r="H6788">
        <v>16</v>
      </c>
    </row>
    <row r="6789" spans="1:8" x14ac:dyDescent="0.15">
      <c r="A6789">
        <v>6788</v>
      </c>
      <c r="B6789" t="s">
        <v>339</v>
      </c>
      <c r="C6789" t="s">
        <v>353</v>
      </c>
      <c r="D6789" t="s">
        <v>11169</v>
      </c>
      <c r="E6789" t="s">
        <v>11170</v>
      </c>
      <c r="F6789" s="46">
        <v>46097.32596321759</v>
      </c>
      <c r="G6789" s="46">
        <v>46097.32596321759</v>
      </c>
      <c r="H6789">
        <v>0</v>
      </c>
    </row>
    <row r="6790" spans="1:8" x14ac:dyDescent="0.15">
      <c r="A6790">
        <v>6789</v>
      </c>
      <c r="B6790" t="s">
        <v>339</v>
      </c>
      <c r="C6790" t="s">
        <v>353</v>
      </c>
      <c r="D6790" t="s">
        <v>11171</v>
      </c>
      <c r="E6790" t="s">
        <v>11172</v>
      </c>
      <c r="F6790" s="46">
        <v>46097.32596321759</v>
      </c>
      <c r="G6790" s="46">
        <v>46097.32596321759</v>
      </c>
      <c r="H6790">
        <v>0</v>
      </c>
    </row>
    <row r="6791" spans="1:8" x14ac:dyDescent="0.15">
      <c r="A6791">
        <v>6790</v>
      </c>
      <c r="B6791" t="s">
        <v>339</v>
      </c>
      <c r="C6791" t="s">
        <v>353</v>
      </c>
      <c r="D6791" t="s">
        <v>11173</v>
      </c>
      <c r="E6791" t="s">
        <v>11172</v>
      </c>
      <c r="F6791" s="46">
        <v>46097.32596321759</v>
      </c>
      <c r="G6791" s="46">
        <v>46097.32596321759</v>
      </c>
      <c r="H6791">
        <v>0</v>
      </c>
    </row>
    <row r="6792" spans="1:8" x14ac:dyDescent="0.15">
      <c r="A6792">
        <v>6791</v>
      </c>
      <c r="B6792" t="s">
        <v>339</v>
      </c>
      <c r="C6792" t="s">
        <v>353</v>
      </c>
      <c r="D6792" t="s">
        <v>11174</v>
      </c>
      <c r="E6792" t="s">
        <v>11172</v>
      </c>
      <c r="F6792" s="46">
        <v>46097.32596321759</v>
      </c>
      <c r="G6792" s="46">
        <v>46097.32596321759</v>
      </c>
      <c r="H6792">
        <v>0</v>
      </c>
    </row>
    <row r="6793" spans="1:8" x14ac:dyDescent="0.15">
      <c r="A6793">
        <v>6792</v>
      </c>
      <c r="B6793" t="s">
        <v>339</v>
      </c>
      <c r="C6793" t="s">
        <v>353</v>
      </c>
      <c r="D6793" t="s">
        <v>11175</v>
      </c>
      <c r="E6793" t="s">
        <v>11172</v>
      </c>
      <c r="F6793" s="46">
        <v>46097.32596321759</v>
      </c>
      <c r="G6793" s="46">
        <v>46097.32596321759</v>
      </c>
      <c r="H6793">
        <v>0</v>
      </c>
    </row>
    <row r="6794" spans="1:8" x14ac:dyDescent="0.15">
      <c r="A6794">
        <v>6793</v>
      </c>
      <c r="B6794" t="s">
        <v>339</v>
      </c>
      <c r="C6794" t="s">
        <v>353</v>
      </c>
      <c r="D6794" t="s">
        <v>11176</v>
      </c>
      <c r="E6794" t="s">
        <v>11177</v>
      </c>
      <c r="F6794" s="46">
        <v>46097.32596321759</v>
      </c>
      <c r="G6794" s="46">
        <v>46097.32596321759</v>
      </c>
      <c r="H6794">
        <v>0</v>
      </c>
    </row>
    <row r="6795" spans="1:8" x14ac:dyDescent="0.15">
      <c r="A6795">
        <v>6794</v>
      </c>
      <c r="B6795" t="s">
        <v>339</v>
      </c>
      <c r="C6795" t="s">
        <v>353</v>
      </c>
      <c r="D6795" t="s">
        <v>11178</v>
      </c>
      <c r="E6795" t="s">
        <v>11179</v>
      </c>
      <c r="F6795" s="46">
        <v>46097.32596321759</v>
      </c>
      <c r="G6795" s="46">
        <v>46097.32596321759</v>
      </c>
      <c r="H6795">
        <v>0</v>
      </c>
    </row>
    <row r="6796" spans="1:8" x14ac:dyDescent="0.15">
      <c r="A6796">
        <v>6795</v>
      </c>
      <c r="B6796" t="s">
        <v>339</v>
      </c>
      <c r="C6796" t="s">
        <v>353</v>
      </c>
      <c r="D6796" t="s">
        <v>11180</v>
      </c>
      <c r="E6796" t="s">
        <v>11181</v>
      </c>
      <c r="F6796" s="46">
        <v>46097.32596321759</v>
      </c>
      <c r="G6796" s="46">
        <v>46097.32596321759</v>
      </c>
      <c r="H6796">
        <v>0</v>
      </c>
    </row>
    <row r="6797" spans="1:8" x14ac:dyDescent="0.15">
      <c r="A6797">
        <v>6796</v>
      </c>
      <c r="B6797" t="s">
        <v>339</v>
      </c>
      <c r="C6797" t="s">
        <v>353</v>
      </c>
      <c r="D6797" t="s">
        <v>11182</v>
      </c>
      <c r="E6797" t="s">
        <v>11183</v>
      </c>
      <c r="F6797" s="46">
        <v>46097.32596321759</v>
      </c>
      <c r="G6797" s="46">
        <v>46097.32596321759</v>
      </c>
      <c r="H6797">
        <v>0</v>
      </c>
    </row>
    <row r="6798" spans="1:8" x14ac:dyDescent="0.15">
      <c r="A6798">
        <v>6797</v>
      </c>
      <c r="B6798" t="s">
        <v>339</v>
      </c>
      <c r="C6798" t="s">
        <v>353</v>
      </c>
      <c r="D6798" t="s">
        <v>11184</v>
      </c>
      <c r="E6798" t="s">
        <v>11183</v>
      </c>
      <c r="F6798" s="46">
        <v>46097.32596321759</v>
      </c>
      <c r="G6798" s="46">
        <v>46097.325963402778</v>
      </c>
      <c r="H6798">
        <v>15</v>
      </c>
    </row>
    <row r="6799" spans="1:8" x14ac:dyDescent="0.15">
      <c r="A6799">
        <v>6798</v>
      </c>
      <c r="B6799" t="s">
        <v>339</v>
      </c>
      <c r="C6799" t="s">
        <v>353</v>
      </c>
      <c r="D6799" t="s">
        <v>11185</v>
      </c>
      <c r="E6799" t="s">
        <v>11186</v>
      </c>
      <c r="F6799" s="46">
        <v>46097.325963402778</v>
      </c>
      <c r="G6799" s="46">
        <v>46097.325963402778</v>
      </c>
      <c r="H6799">
        <v>0</v>
      </c>
    </row>
    <row r="6800" spans="1:8" x14ac:dyDescent="0.15">
      <c r="A6800">
        <v>6799</v>
      </c>
      <c r="B6800" t="s">
        <v>339</v>
      </c>
      <c r="C6800" t="s">
        <v>353</v>
      </c>
      <c r="D6800" t="s">
        <v>11187</v>
      </c>
      <c r="E6800" t="s">
        <v>11188</v>
      </c>
      <c r="F6800" s="46">
        <v>46097.325963402778</v>
      </c>
      <c r="G6800" s="46">
        <v>46097.325963402778</v>
      </c>
      <c r="H6800">
        <v>0</v>
      </c>
    </row>
    <row r="6801" spans="1:8" x14ac:dyDescent="0.15">
      <c r="A6801">
        <v>6800</v>
      </c>
      <c r="B6801" t="s">
        <v>339</v>
      </c>
      <c r="C6801" t="s">
        <v>353</v>
      </c>
      <c r="D6801" t="s">
        <v>11189</v>
      </c>
      <c r="E6801" t="s">
        <v>11190</v>
      </c>
      <c r="F6801" s="46">
        <v>46097.325963402778</v>
      </c>
      <c r="G6801" s="46">
        <v>46097.325963402778</v>
      </c>
      <c r="H6801">
        <v>0</v>
      </c>
    </row>
    <row r="6802" spans="1:8" x14ac:dyDescent="0.15">
      <c r="A6802">
        <v>6801</v>
      </c>
      <c r="B6802" t="s">
        <v>339</v>
      </c>
      <c r="C6802" t="s">
        <v>353</v>
      </c>
      <c r="D6802" t="s">
        <v>11191</v>
      </c>
      <c r="E6802" t="s">
        <v>11192</v>
      </c>
      <c r="F6802" s="46">
        <v>46097.325963402778</v>
      </c>
      <c r="G6802" s="46">
        <v>46097.325963402778</v>
      </c>
      <c r="H6802">
        <v>0</v>
      </c>
    </row>
    <row r="6803" spans="1:8" x14ac:dyDescent="0.15">
      <c r="A6803">
        <v>6802</v>
      </c>
      <c r="B6803" t="s">
        <v>339</v>
      </c>
      <c r="C6803" t="s">
        <v>353</v>
      </c>
      <c r="D6803" t="s">
        <v>11193</v>
      </c>
      <c r="E6803" t="s">
        <v>11192</v>
      </c>
      <c r="F6803" s="46">
        <v>46097.325963402778</v>
      </c>
      <c r="G6803" s="46">
        <v>46097.325963402778</v>
      </c>
      <c r="H6803">
        <v>0</v>
      </c>
    </row>
    <row r="6804" spans="1:8" x14ac:dyDescent="0.15">
      <c r="A6804">
        <v>6803</v>
      </c>
      <c r="B6804" t="s">
        <v>339</v>
      </c>
      <c r="C6804" t="s">
        <v>353</v>
      </c>
      <c r="D6804" t="s">
        <v>11194</v>
      </c>
      <c r="E6804" t="s">
        <v>11195</v>
      </c>
      <c r="F6804" s="46">
        <v>46097.325963402778</v>
      </c>
      <c r="G6804" s="46">
        <v>46097.325963402778</v>
      </c>
      <c r="H6804">
        <v>0</v>
      </c>
    </row>
    <row r="6805" spans="1:8" x14ac:dyDescent="0.15">
      <c r="A6805">
        <v>6804</v>
      </c>
      <c r="B6805" t="s">
        <v>339</v>
      </c>
      <c r="C6805" t="s">
        <v>353</v>
      </c>
      <c r="D6805" t="s">
        <v>11196</v>
      </c>
      <c r="E6805" t="s">
        <v>11197</v>
      </c>
      <c r="F6805" s="46">
        <v>46097.325963402778</v>
      </c>
      <c r="G6805" s="46">
        <v>46097.325963402778</v>
      </c>
      <c r="H6805">
        <v>0</v>
      </c>
    </row>
    <row r="6806" spans="1:8" x14ac:dyDescent="0.15">
      <c r="A6806">
        <v>6805</v>
      </c>
      <c r="B6806" t="s">
        <v>339</v>
      </c>
      <c r="C6806" t="s">
        <v>353</v>
      </c>
      <c r="D6806" t="s">
        <v>11198</v>
      </c>
      <c r="E6806" t="s">
        <v>11199</v>
      </c>
      <c r="F6806" s="46">
        <v>46097.325963402778</v>
      </c>
      <c r="G6806" s="46">
        <v>46097.325963402778</v>
      </c>
      <c r="H6806">
        <v>0</v>
      </c>
    </row>
    <row r="6807" spans="1:8" x14ac:dyDescent="0.15">
      <c r="A6807">
        <v>6806</v>
      </c>
      <c r="B6807" t="s">
        <v>339</v>
      </c>
      <c r="C6807" t="s">
        <v>353</v>
      </c>
      <c r="D6807" t="s">
        <v>11200</v>
      </c>
      <c r="E6807" t="s">
        <v>11199</v>
      </c>
      <c r="F6807" s="46">
        <v>46097.325963402778</v>
      </c>
      <c r="G6807" s="46">
        <v>46097.325963402778</v>
      </c>
      <c r="H6807">
        <v>0</v>
      </c>
    </row>
    <row r="6808" spans="1:8" x14ac:dyDescent="0.15">
      <c r="A6808">
        <v>6807</v>
      </c>
      <c r="B6808" t="s">
        <v>339</v>
      </c>
      <c r="C6808" t="s">
        <v>353</v>
      </c>
      <c r="D6808" t="s">
        <v>11201</v>
      </c>
      <c r="E6808" t="s">
        <v>11202</v>
      </c>
      <c r="F6808" s="46">
        <v>46097.325963402778</v>
      </c>
      <c r="G6808" s="46">
        <v>46097.325963587973</v>
      </c>
      <c r="H6808">
        <v>16</v>
      </c>
    </row>
    <row r="6809" spans="1:8" x14ac:dyDescent="0.15">
      <c r="A6809">
        <v>6808</v>
      </c>
      <c r="B6809" t="s">
        <v>339</v>
      </c>
      <c r="C6809" t="s">
        <v>353</v>
      </c>
      <c r="D6809" t="s">
        <v>11203</v>
      </c>
      <c r="E6809" t="s">
        <v>11204</v>
      </c>
      <c r="F6809" s="46">
        <v>46097.325963587973</v>
      </c>
      <c r="G6809" s="46">
        <v>46097.325963587973</v>
      </c>
      <c r="H6809">
        <v>0</v>
      </c>
    </row>
    <row r="6810" spans="1:8" x14ac:dyDescent="0.15">
      <c r="A6810">
        <v>6809</v>
      </c>
      <c r="B6810" t="s">
        <v>339</v>
      </c>
      <c r="C6810" t="s">
        <v>353</v>
      </c>
      <c r="D6810" t="s">
        <v>11205</v>
      </c>
      <c r="E6810" t="s">
        <v>11204</v>
      </c>
      <c r="F6810" s="46">
        <v>46097.325963587973</v>
      </c>
      <c r="G6810" s="46">
        <v>46097.325963587973</v>
      </c>
      <c r="H6810">
        <v>0</v>
      </c>
    </row>
    <row r="6811" spans="1:8" x14ac:dyDescent="0.15">
      <c r="A6811">
        <v>6810</v>
      </c>
      <c r="B6811" t="s">
        <v>339</v>
      </c>
      <c r="C6811" t="s">
        <v>353</v>
      </c>
      <c r="D6811" t="s">
        <v>11206</v>
      </c>
      <c r="E6811" t="s">
        <v>11204</v>
      </c>
      <c r="F6811" s="46">
        <v>46097.325963587973</v>
      </c>
      <c r="G6811" s="46">
        <v>46097.325963587973</v>
      </c>
      <c r="H6811">
        <v>0</v>
      </c>
    </row>
    <row r="6812" spans="1:8" x14ac:dyDescent="0.15">
      <c r="A6812">
        <v>6811</v>
      </c>
      <c r="B6812" t="s">
        <v>339</v>
      </c>
      <c r="C6812" t="s">
        <v>353</v>
      </c>
      <c r="D6812" t="s">
        <v>11207</v>
      </c>
      <c r="E6812" t="s">
        <v>11208</v>
      </c>
      <c r="F6812" s="46">
        <v>46097.325963587973</v>
      </c>
      <c r="G6812" s="46">
        <v>46097.325963587973</v>
      </c>
      <c r="H6812">
        <v>0</v>
      </c>
    </row>
    <row r="6813" spans="1:8" x14ac:dyDescent="0.15">
      <c r="A6813">
        <v>6812</v>
      </c>
      <c r="B6813" t="s">
        <v>339</v>
      </c>
      <c r="C6813" t="s">
        <v>353</v>
      </c>
      <c r="D6813" t="s">
        <v>11209</v>
      </c>
      <c r="E6813" t="s">
        <v>11210</v>
      </c>
      <c r="F6813" s="46">
        <v>46097.325963587973</v>
      </c>
      <c r="G6813" s="46">
        <v>46097.325963587973</v>
      </c>
      <c r="H6813">
        <v>0</v>
      </c>
    </row>
    <row r="6814" spans="1:8" x14ac:dyDescent="0.15">
      <c r="A6814">
        <v>6813</v>
      </c>
      <c r="B6814" t="s">
        <v>339</v>
      </c>
      <c r="C6814" t="s">
        <v>353</v>
      </c>
      <c r="D6814" t="s">
        <v>11211</v>
      </c>
      <c r="E6814" t="s">
        <v>11210</v>
      </c>
      <c r="F6814" s="46">
        <v>46097.325963587973</v>
      </c>
      <c r="G6814" s="46">
        <v>46097.325963587973</v>
      </c>
      <c r="H6814">
        <v>0</v>
      </c>
    </row>
    <row r="6815" spans="1:8" x14ac:dyDescent="0.15">
      <c r="A6815">
        <v>6814</v>
      </c>
      <c r="B6815" t="s">
        <v>339</v>
      </c>
      <c r="C6815" t="s">
        <v>353</v>
      </c>
      <c r="D6815" t="s">
        <v>11212</v>
      </c>
      <c r="E6815" t="s">
        <v>11210</v>
      </c>
      <c r="F6815" s="46">
        <v>46097.325963587973</v>
      </c>
      <c r="G6815" s="46">
        <v>46097.325963587973</v>
      </c>
      <c r="H6815">
        <v>0</v>
      </c>
    </row>
    <row r="6816" spans="1:8" x14ac:dyDescent="0.15">
      <c r="A6816">
        <v>6815</v>
      </c>
      <c r="B6816" t="s">
        <v>339</v>
      </c>
      <c r="C6816" t="s">
        <v>353</v>
      </c>
      <c r="D6816" t="s">
        <v>11213</v>
      </c>
      <c r="E6816" t="s">
        <v>11210</v>
      </c>
      <c r="F6816" s="46">
        <v>46097.325963587973</v>
      </c>
      <c r="G6816" s="46">
        <v>46097.325963587973</v>
      </c>
      <c r="H6816">
        <v>0</v>
      </c>
    </row>
    <row r="6817" spans="1:8" x14ac:dyDescent="0.15">
      <c r="A6817">
        <v>6816</v>
      </c>
      <c r="B6817" t="s">
        <v>339</v>
      </c>
      <c r="C6817" t="s">
        <v>353</v>
      </c>
      <c r="D6817" t="s">
        <v>11214</v>
      </c>
      <c r="E6817" t="s">
        <v>11210</v>
      </c>
      <c r="F6817" s="46">
        <v>46097.325963587973</v>
      </c>
      <c r="G6817" s="46">
        <v>46097.325963587973</v>
      </c>
      <c r="H6817">
        <v>0</v>
      </c>
    </row>
    <row r="6818" spans="1:8" x14ac:dyDescent="0.15">
      <c r="A6818">
        <v>6817</v>
      </c>
      <c r="B6818" t="s">
        <v>339</v>
      </c>
      <c r="C6818" t="s">
        <v>353</v>
      </c>
      <c r="D6818" t="s">
        <v>11215</v>
      </c>
      <c r="E6818" t="s">
        <v>11210</v>
      </c>
      <c r="F6818" s="46">
        <v>46097.325963587973</v>
      </c>
      <c r="G6818" s="46">
        <v>46097.325963761577</v>
      </c>
      <c r="H6818">
        <v>16</v>
      </c>
    </row>
    <row r="6819" spans="1:8" x14ac:dyDescent="0.15">
      <c r="A6819">
        <v>6818</v>
      </c>
      <c r="B6819" t="s">
        <v>339</v>
      </c>
      <c r="C6819" t="s">
        <v>353</v>
      </c>
      <c r="D6819" t="s">
        <v>11216</v>
      </c>
      <c r="E6819" t="s">
        <v>11217</v>
      </c>
      <c r="F6819" s="46">
        <v>46097.325963761577</v>
      </c>
      <c r="G6819" s="46">
        <v>46097.325963761577</v>
      </c>
      <c r="H6819">
        <v>0</v>
      </c>
    </row>
    <row r="6820" spans="1:8" x14ac:dyDescent="0.15">
      <c r="A6820">
        <v>6819</v>
      </c>
      <c r="B6820" t="s">
        <v>339</v>
      </c>
      <c r="C6820" t="s">
        <v>353</v>
      </c>
      <c r="D6820" t="s">
        <v>11218</v>
      </c>
      <c r="E6820" t="s">
        <v>11219</v>
      </c>
      <c r="F6820" s="46">
        <v>46097.325963761577</v>
      </c>
      <c r="G6820" s="46">
        <v>46097.325963761577</v>
      </c>
      <c r="H6820">
        <v>0</v>
      </c>
    </row>
    <row r="6821" spans="1:8" x14ac:dyDescent="0.15">
      <c r="A6821">
        <v>6820</v>
      </c>
      <c r="B6821" t="s">
        <v>339</v>
      </c>
      <c r="C6821" t="s">
        <v>353</v>
      </c>
      <c r="D6821" t="s">
        <v>11220</v>
      </c>
      <c r="E6821" t="s">
        <v>11219</v>
      </c>
      <c r="F6821" s="46">
        <v>46097.325963761577</v>
      </c>
      <c r="G6821" s="46">
        <v>46097.325963761577</v>
      </c>
      <c r="H6821">
        <v>0</v>
      </c>
    </row>
    <row r="6822" spans="1:8" x14ac:dyDescent="0.15">
      <c r="F6822" s="46"/>
      <c r="G6822" s="46"/>
    </row>
    <row r="6823" spans="1:8" x14ac:dyDescent="0.15">
      <c r="F6823" s="46"/>
      <c r="G6823" s="46"/>
    </row>
    <row r="6824" spans="1:8" x14ac:dyDescent="0.15">
      <c r="F6824" s="46"/>
      <c r="G6824" s="46"/>
    </row>
    <row r="6825" spans="1:8" x14ac:dyDescent="0.15">
      <c r="F6825" s="46"/>
      <c r="G6825" s="46"/>
    </row>
    <row r="6826" spans="1:8" x14ac:dyDescent="0.15">
      <c r="F6826" s="46"/>
      <c r="G6826" s="46"/>
    </row>
    <row r="6827" spans="1:8" x14ac:dyDescent="0.15">
      <c r="F6827" s="46"/>
      <c r="G6827" s="46"/>
    </row>
    <row r="6828" spans="1:8" x14ac:dyDescent="0.15">
      <c r="F6828" s="46"/>
      <c r="G6828" s="46"/>
    </row>
    <row r="6829" spans="1:8" x14ac:dyDescent="0.15">
      <c r="F6829" s="46"/>
      <c r="G6829" s="46"/>
    </row>
    <row r="6830" spans="1:8" x14ac:dyDescent="0.15">
      <c r="F6830" s="46"/>
      <c r="G6830" s="46"/>
    </row>
    <row r="6831" spans="1:8" x14ac:dyDescent="0.15">
      <c r="F6831" s="46"/>
      <c r="G6831" s="46"/>
    </row>
    <row r="6832" spans="1:8" x14ac:dyDescent="0.15">
      <c r="F6832" s="46"/>
      <c r="G6832" s="46"/>
    </row>
    <row r="6833" spans="6:7" x14ac:dyDescent="0.15">
      <c r="F6833" s="46"/>
      <c r="G6833" s="46"/>
    </row>
    <row r="6834" spans="6:7" x14ac:dyDescent="0.15">
      <c r="F6834" s="46"/>
      <c r="G6834" s="46"/>
    </row>
    <row r="6835" spans="6:7" x14ac:dyDescent="0.15">
      <c r="F6835" s="46"/>
      <c r="G6835" s="46"/>
    </row>
    <row r="6836" spans="6:7" x14ac:dyDescent="0.15">
      <c r="F6836" s="46"/>
      <c r="G6836" s="46"/>
    </row>
    <row r="6837" spans="6:7" x14ac:dyDescent="0.15">
      <c r="F6837" s="46"/>
      <c r="G6837" s="46"/>
    </row>
    <row r="6838" spans="6:7" x14ac:dyDescent="0.15">
      <c r="F6838" s="46"/>
      <c r="G6838" s="46"/>
    </row>
    <row r="6839" spans="6:7" x14ac:dyDescent="0.15">
      <c r="F6839" s="46"/>
      <c r="G6839" s="46"/>
    </row>
    <row r="6840" spans="6:7" x14ac:dyDescent="0.15">
      <c r="F6840" s="46"/>
      <c r="G6840" s="46"/>
    </row>
    <row r="6841" spans="6:7" x14ac:dyDescent="0.15">
      <c r="F6841" s="46"/>
      <c r="G6841" s="46"/>
    </row>
    <row r="6842" spans="6:7" x14ac:dyDescent="0.15">
      <c r="F6842" s="46"/>
      <c r="G6842" s="46"/>
    </row>
    <row r="6843" spans="6:7" x14ac:dyDescent="0.15">
      <c r="F6843" s="46"/>
      <c r="G6843" s="46"/>
    </row>
    <row r="6844" spans="6:7" x14ac:dyDescent="0.15">
      <c r="F6844" s="46"/>
      <c r="G6844" s="46"/>
    </row>
    <row r="6845" spans="6:7" x14ac:dyDescent="0.15">
      <c r="F6845" s="46"/>
      <c r="G6845" s="46"/>
    </row>
    <row r="6846" spans="6:7" x14ac:dyDescent="0.15">
      <c r="F6846" s="46"/>
      <c r="G6846" s="46"/>
    </row>
    <row r="6847" spans="6:7" x14ac:dyDescent="0.15">
      <c r="F6847" s="46"/>
      <c r="G6847" s="46"/>
    </row>
    <row r="6848" spans="6:7" x14ac:dyDescent="0.15">
      <c r="F6848" s="46"/>
      <c r="G6848" s="46"/>
    </row>
    <row r="6849" spans="6:7" x14ac:dyDescent="0.15">
      <c r="F6849" s="46"/>
      <c r="G6849" s="46"/>
    </row>
    <row r="6850" spans="6:7" x14ac:dyDescent="0.15">
      <c r="F6850" s="46"/>
      <c r="G6850" s="46"/>
    </row>
    <row r="6851" spans="6:7" x14ac:dyDescent="0.15">
      <c r="F6851" s="46"/>
      <c r="G6851" s="46"/>
    </row>
    <row r="6852" spans="6:7" x14ac:dyDescent="0.15">
      <c r="F6852" s="46"/>
      <c r="G6852" s="46"/>
    </row>
    <row r="6853" spans="6:7" x14ac:dyDescent="0.15">
      <c r="F6853" s="46"/>
      <c r="G6853" s="46"/>
    </row>
    <row r="6854" spans="6:7" x14ac:dyDescent="0.15">
      <c r="F6854" s="46"/>
      <c r="G6854" s="46"/>
    </row>
    <row r="6855" spans="6:7" x14ac:dyDescent="0.15">
      <c r="F6855" s="46"/>
      <c r="G6855" s="46"/>
    </row>
    <row r="6856" spans="6:7" x14ac:dyDescent="0.15">
      <c r="F6856" s="46"/>
      <c r="G6856" s="46"/>
    </row>
    <row r="6857" spans="6:7" x14ac:dyDescent="0.15">
      <c r="F6857" s="46"/>
      <c r="G6857" s="46"/>
    </row>
    <row r="6858" spans="6:7" x14ac:dyDescent="0.15">
      <c r="F6858" s="46"/>
      <c r="G6858" s="46"/>
    </row>
    <row r="6859" spans="6:7" x14ac:dyDescent="0.15">
      <c r="F6859" s="46"/>
      <c r="G6859" s="46"/>
    </row>
    <row r="6860" spans="6:7" x14ac:dyDescent="0.15">
      <c r="F6860" s="46"/>
      <c r="G6860" s="46"/>
    </row>
    <row r="6861" spans="6:7" x14ac:dyDescent="0.15">
      <c r="F6861" s="46"/>
      <c r="G6861" s="46"/>
    </row>
    <row r="6862" spans="6:7" x14ac:dyDescent="0.15">
      <c r="F6862" s="46"/>
      <c r="G6862" s="46"/>
    </row>
    <row r="6863" spans="6:7" x14ac:dyDescent="0.15">
      <c r="F6863" s="46"/>
      <c r="G6863" s="46"/>
    </row>
    <row r="6864" spans="6:7" x14ac:dyDescent="0.15">
      <c r="F6864" s="46"/>
      <c r="G6864" s="46"/>
    </row>
    <row r="6865" spans="6:7" x14ac:dyDescent="0.15">
      <c r="F6865" s="46"/>
      <c r="G6865" s="46"/>
    </row>
    <row r="6866" spans="6:7" x14ac:dyDescent="0.15">
      <c r="F6866" s="46"/>
      <c r="G6866" s="46"/>
    </row>
    <row r="6867" spans="6:7" x14ac:dyDescent="0.15">
      <c r="F6867" s="46"/>
      <c r="G6867" s="46"/>
    </row>
    <row r="6868" spans="6:7" x14ac:dyDescent="0.15">
      <c r="F6868" s="46"/>
      <c r="G6868" s="46"/>
    </row>
    <row r="6869" spans="6:7" x14ac:dyDescent="0.15">
      <c r="F6869" s="46"/>
      <c r="G6869" s="46"/>
    </row>
    <row r="6870" spans="6:7" x14ac:dyDescent="0.15">
      <c r="F6870" s="46"/>
      <c r="G6870" s="46"/>
    </row>
    <row r="6871" spans="6:7" x14ac:dyDescent="0.15">
      <c r="F6871" s="46"/>
      <c r="G6871" s="46"/>
    </row>
    <row r="6872" spans="6:7" x14ac:dyDescent="0.15">
      <c r="F6872" s="46"/>
      <c r="G6872" s="46"/>
    </row>
    <row r="6873" spans="6:7" x14ac:dyDescent="0.15">
      <c r="F6873" s="46"/>
      <c r="G6873" s="46"/>
    </row>
    <row r="6874" spans="6:7" x14ac:dyDescent="0.15">
      <c r="F6874" s="46"/>
      <c r="G6874" s="46"/>
    </row>
    <row r="6875" spans="6:7" x14ac:dyDescent="0.15">
      <c r="F6875" s="46"/>
      <c r="G6875" s="46"/>
    </row>
    <row r="6876" spans="6:7" x14ac:dyDescent="0.15">
      <c r="F6876" s="46"/>
      <c r="G6876" s="46"/>
    </row>
    <row r="6877" spans="6:7" x14ac:dyDescent="0.15">
      <c r="F6877" s="46"/>
      <c r="G6877" s="46"/>
    </row>
    <row r="6878" spans="6:7" x14ac:dyDescent="0.15">
      <c r="F6878" s="46"/>
      <c r="G6878" s="46"/>
    </row>
    <row r="6879" spans="6:7" x14ac:dyDescent="0.15">
      <c r="F6879" s="46"/>
      <c r="G6879" s="46"/>
    </row>
    <row r="6880" spans="6:7" x14ac:dyDescent="0.15">
      <c r="F6880" s="46"/>
      <c r="G6880" s="46"/>
    </row>
    <row r="6881" spans="6:7" x14ac:dyDescent="0.15">
      <c r="F6881" s="46"/>
      <c r="G6881" s="46"/>
    </row>
    <row r="6882" spans="6:7" x14ac:dyDescent="0.15">
      <c r="F6882" s="46"/>
      <c r="G6882" s="46"/>
    </row>
    <row r="6883" spans="6:7" x14ac:dyDescent="0.15">
      <c r="F6883" s="46"/>
      <c r="G6883" s="46"/>
    </row>
    <row r="6884" spans="6:7" x14ac:dyDescent="0.15">
      <c r="F6884" s="46"/>
      <c r="G6884" s="46"/>
    </row>
    <row r="6885" spans="6:7" x14ac:dyDescent="0.15">
      <c r="F6885" s="46"/>
      <c r="G6885" s="46"/>
    </row>
    <row r="6886" spans="6:7" x14ac:dyDescent="0.15">
      <c r="F6886" s="46"/>
      <c r="G6886" s="46"/>
    </row>
    <row r="6887" spans="6:7" x14ac:dyDescent="0.15">
      <c r="F6887" s="46"/>
      <c r="G6887" s="46"/>
    </row>
    <row r="6888" spans="6:7" x14ac:dyDescent="0.15">
      <c r="F6888" s="46"/>
      <c r="G6888" s="46"/>
    </row>
    <row r="6889" spans="6:7" x14ac:dyDescent="0.15">
      <c r="F6889" s="46"/>
      <c r="G6889" s="46"/>
    </row>
    <row r="6890" spans="6:7" x14ac:dyDescent="0.15">
      <c r="F6890" s="46"/>
      <c r="G6890" s="46"/>
    </row>
    <row r="6891" spans="6:7" x14ac:dyDescent="0.15">
      <c r="F6891" s="46"/>
      <c r="G6891" s="46"/>
    </row>
    <row r="6892" spans="6:7" x14ac:dyDescent="0.15">
      <c r="F6892" s="46"/>
      <c r="G6892" s="46"/>
    </row>
    <row r="6893" spans="6:7" x14ac:dyDescent="0.15">
      <c r="F6893" s="46"/>
      <c r="G6893" s="46"/>
    </row>
    <row r="6894" spans="6:7" x14ac:dyDescent="0.15">
      <c r="F6894" s="46"/>
      <c r="G6894" s="46"/>
    </row>
    <row r="6895" spans="6:7" x14ac:dyDescent="0.15">
      <c r="F6895" s="46"/>
      <c r="G6895" s="46"/>
    </row>
    <row r="6896" spans="6:7" x14ac:dyDescent="0.15">
      <c r="F6896" s="46"/>
      <c r="G6896" s="46"/>
    </row>
    <row r="6897" spans="6:7" x14ac:dyDescent="0.15">
      <c r="F6897" s="46"/>
      <c r="G6897" s="46"/>
    </row>
    <row r="6898" spans="6:7" x14ac:dyDescent="0.15">
      <c r="F6898" s="46"/>
      <c r="G6898" s="46"/>
    </row>
    <row r="6899" spans="6:7" x14ac:dyDescent="0.15">
      <c r="F6899" s="46"/>
      <c r="G6899" s="46"/>
    </row>
    <row r="6900" spans="6:7" x14ac:dyDescent="0.15">
      <c r="F6900" s="46"/>
      <c r="G6900" s="46"/>
    </row>
    <row r="6901" spans="6:7" x14ac:dyDescent="0.15">
      <c r="F6901" s="46"/>
      <c r="G6901" s="46"/>
    </row>
    <row r="6902" spans="6:7" x14ac:dyDescent="0.15">
      <c r="F6902" s="46"/>
      <c r="G6902" s="46"/>
    </row>
    <row r="6903" spans="6:7" x14ac:dyDescent="0.15">
      <c r="F6903" s="46"/>
      <c r="G6903" s="46"/>
    </row>
    <row r="6904" spans="6:7" x14ac:dyDescent="0.15">
      <c r="F6904" s="46"/>
      <c r="G6904" s="46"/>
    </row>
    <row r="6905" spans="6:7" x14ac:dyDescent="0.15">
      <c r="F6905" s="46"/>
      <c r="G6905" s="46"/>
    </row>
    <row r="6906" spans="6:7" x14ac:dyDescent="0.15">
      <c r="F6906" s="46"/>
      <c r="G6906" s="46"/>
    </row>
    <row r="6907" spans="6:7" x14ac:dyDescent="0.15">
      <c r="F6907" s="46"/>
      <c r="G6907" s="46"/>
    </row>
    <row r="6908" spans="6:7" x14ac:dyDescent="0.15">
      <c r="F6908" s="46"/>
      <c r="G6908" s="46"/>
    </row>
    <row r="6909" spans="6:7" x14ac:dyDescent="0.15">
      <c r="F6909" s="46"/>
      <c r="G6909" s="46"/>
    </row>
    <row r="6910" spans="6:7" x14ac:dyDescent="0.15">
      <c r="F6910" s="46"/>
      <c r="G6910" s="46"/>
    </row>
    <row r="6911" spans="6:7" x14ac:dyDescent="0.15">
      <c r="F6911" s="46"/>
      <c r="G6911" s="46"/>
    </row>
    <row r="6912" spans="6:7" x14ac:dyDescent="0.15">
      <c r="F6912" s="46"/>
      <c r="G6912" s="46"/>
    </row>
    <row r="6913" spans="6:7" x14ac:dyDescent="0.15">
      <c r="F6913" s="46"/>
      <c r="G6913" s="46"/>
    </row>
    <row r="6914" spans="6:7" x14ac:dyDescent="0.15">
      <c r="F6914" s="46"/>
      <c r="G6914" s="46"/>
    </row>
    <row r="6915" spans="6:7" x14ac:dyDescent="0.15">
      <c r="F6915" s="46"/>
      <c r="G6915" s="46"/>
    </row>
    <row r="6916" spans="6:7" x14ac:dyDescent="0.15">
      <c r="F6916" s="46"/>
      <c r="G6916" s="46"/>
    </row>
    <row r="6917" spans="6:7" x14ac:dyDescent="0.15">
      <c r="F6917" s="46"/>
      <c r="G6917" s="46"/>
    </row>
    <row r="6918" spans="6:7" x14ac:dyDescent="0.15">
      <c r="F6918" s="46"/>
      <c r="G6918" s="46"/>
    </row>
    <row r="6919" spans="6:7" x14ac:dyDescent="0.15">
      <c r="F6919" s="46"/>
      <c r="G6919" s="46"/>
    </row>
    <row r="6920" spans="6:7" x14ac:dyDescent="0.15">
      <c r="F6920" s="46"/>
      <c r="G6920" s="46"/>
    </row>
    <row r="6921" spans="6:7" x14ac:dyDescent="0.15">
      <c r="F6921" s="46"/>
      <c r="G6921" s="46"/>
    </row>
    <row r="6922" spans="6:7" x14ac:dyDescent="0.15">
      <c r="F6922" s="46"/>
      <c r="G6922" s="46"/>
    </row>
    <row r="6923" spans="6:7" x14ac:dyDescent="0.15">
      <c r="F6923" s="46"/>
      <c r="G6923" s="46"/>
    </row>
    <row r="6924" spans="6:7" x14ac:dyDescent="0.15">
      <c r="F6924" s="46"/>
      <c r="G6924" s="46"/>
    </row>
    <row r="6925" spans="6:7" x14ac:dyDescent="0.15">
      <c r="F6925" s="46"/>
      <c r="G6925" s="46"/>
    </row>
    <row r="6926" spans="6:7" x14ac:dyDescent="0.15">
      <c r="F6926" s="46"/>
      <c r="G6926" s="46"/>
    </row>
    <row r="6927" spans="6:7" x14ac:dyDescent="0.15">
      <c r="F6927" s="46"/>
      <c r="G6927" s="46"/>
    </row>
    <row r="6928" spans="6:7" x14ac:dyDescent="0.15">
      <c r="F6928" s="46"/>
      <c r="G6928" s="46"/>
    </row>
    <row r="6929" spans="6:7" x14ac:dyDescent="0.15">
      <c r="F6929" s="46"/>
      <c r="G6929" s="46"/>
    </row>
    <row r="6930" spans="6:7" x14ac:dyDescent="0.15">
      <c r="F6930" s="46"/>
      <c r="G6930" s="46"/>
    </row>
    <row r="6931" spans="6:7" x14ac:dyDescent="0.15">
      <c r="F6931" s="46"/>
      <c r="G6931" s="46"/>
    </row>
    <row r="6932" spans="6:7" x14ac:dyDescent="0.15">
      <c r="F6932" s="46"/>
      <c r="G6932" s="46"/>
    </row>
    <row r="6933" spans="6:7" x14ac:dyDescent="0.15">
      <c r="F6933" s="46"/>
      <c r="G6933" s="46"/>
    </row>
    <row r="6934" spans="6:7" x14ac:dyDescent="0.15">
      <c r="F6934" s="46"/>
      <c r="G6934" s="46"/>
    </row>
    <row r="6935" spans="6:7" x14ac:dyDescent="0.15">
      <c r="F6935" s="46"/>
      <c r="G6935" s="46"/>
    </row>
    <row r="6936" spans="6:7" x14ac:dyDescent="0.15">
      <c r="F6936" s="46"/>
      <c r="G6936" s="46"/>
    </row>
    <row r="6937" spans="6:7" x14ac:dyDescent="0.15">
      <c r="F6937" s="46"/>
      <c r="G6937" s="46"/>
    </row>
    <row r="6938" spans="6:7" x14ac:dyDescent="0.15">
      <c r="F6938" s="46"/>
      <c r="G6938" s="46"/>
    </row>
    <row r="6939" spans="6:7" x14ac:dyDescent="0.15">
      <c r="F6939" s="46"/>
      <c r="G6939" s="46"/>
    </row>
    <row r="6940" spans="6:7" x14ac:dyDescent="0.15">
      <c r="F6940" s="46"/>
      <c r="G6940" s="46"/>
    </row>
    <row r="6941" spans="6:7" x14ac:dyDescent="0.15">
      <c r="F6941" s="46"/>
      <c r="G6941" s="46"/>
    </row>
    <row r="6942" spans="6:7" x14ac:dyDescent="0.15">
      <c r="F6942" s="46"/>
      <c r="G6942" s="46"/>
    </row>
    <row r="6943" spans="6:7" x14ac:dyDescent="0.15">
      <c r="F6943" s="46"/>
      <c r="G6943" s="46"/>
    </row>
    <row r="6944" spans="6:7" x14ac:dyDescent="0.15">
      <c r="F6944" s="46"/>
      <c r="G6944" s="46"/>
    </row>
    <row r="6945" spans="6:7" x14ac:dyDescent="0.15">
      <c r="F6945" s="46"/>
      <c r="G6945" s="46"/>
    </row>
    <row r="6946" spans="6:7" x14ac:dyDescent="0.15">
      <c r="F6946" s="46"/>
      <c r="G6946" s="46"/>
    </row>
    <row r="6947" spans="6:7" x14ac:dyDescent="0.15">
      <c r="F6947" s="46"/>
      <c r="G6947" s="46"/>
    </row>
    <row r="6948" spans="6:7" x14ac:dyDescent="0.15">
      <c r="F6948" s="46"/>
      <c r="G6948" s="46"/>
    </row>
    <row r="6949" spans="6:7" x14ac:dyDescent="0.15">
      <c r="F6949" s="46"/>
      <c r="G6949" s="46"/>
    </row>
    <row r="6950" spans="6:7" x14ac:dyDescent="0.15">
      <c r="F6950" s="46"/>
      <c r="G6950" s="46"/>
    </row>
    <row r="6951" spans="6:7" x14ac:dyDescent="0.15">
      <c r="F6951" s="46"/>
      <c r="G6951" s="46"/>
    </row>
    <row r="6952" spans="6:7" x14ac:dyDescent="0.15">
      <c r="F6952" s="46"/>
      <c r="G6952" s="46"/>
    </row>
    <row r="6953" spans="6:7" x14ac:dyDescent="0.15">
      <c r="F6953" s="46"/>
      <c r="G6953" s="46"/>
    </row>
    <row r="6954" spans="6:7" x14ac:dyDescent="0.15">
      <c r="F6954" s="46"/>
      <c r="G6954" s="46"/>
    </row>
    <row r="6955" spans="6:7" x14ac:dyDescent="0.15">
      <c r="F6955" s="46"/>
      <c r="G6955" s="46"/>
    </row>
    <row r="6956" spans="6:7" x14ac:dyDescent="0.15">
      <c r="F6956" s="46"/>
      <c r="G6956" s="46"/>
    </row>
    <row r="6957" spans="6:7" x14ac:dyDescent="0.15">
      <c r="F6957" s="46"/>
      <c r="G6957" s="46"/>
    </row>
    <row r="6958" spans="6:7" x14ac:dyDescent="0.15">
      <c r="F6958" s="46"/>
      <c r="G6958" s="46"/>
    </row>
    <row r="6959" spans="6:7" x14ac:dyDescent="0.15">
      <c r="F6959" s="46"/>
      <c r="G6959" s="46"/>
    </row>
    <row r="6960" spans="6:7" x14ac:dyDescent="0.15">
      <c r="F6960" s="46"/>
      <c r="G6960" s="46"/>
    </row>
    <row r="6961" spans="6:7" x14ac:dyDescent="0.15">
      <c r="F6961" s="46"/>
      <c r="G6961" s="46"/>
    </row>
    <row r="6962" spans="6:7" x14ac:dyDescent="0.15">
      <c r="F6962" s="46"/>
      <c r="G6962" s="46"/>
    </row>
    <row r="6963" spans="6:7" x14ac:dyDescent="0.15">
      <c r="F6963" s="46"/>
      <c r="G6963" s="46"/>
    </row>
    <row r="6964" spans="6:7" x14ac:dyDescent="0.15">
      <c r="F6964" s="46"/>
      <c r="G6964" s="46"/>
    </row>
    <row r="6965" spans="6:7" x14ac:dyDescent="0.15">
      <c r="F6965" s="46"/>
      <c r="G6965" s="46"/>
    </row>
    <row r="6966" spans="6:7" x14ac:dyDescent="0.15">
      <c r="F6966" s="46"/>
      <c r="G6966" s="46"/>
    </row>
    <row r="6967" spans="6:7" x14ac:dyDescent="0.15">
      <c r="F6967" s="46"/>
      <c r="G6967" s="46"/>
    </row>
    <row r="6968" spans="6:7" x14ac:dyDescent="0.15">
      <c r="F6968" s="46"/>
      <c r="G6968" s="46"/>
    </row>
    <row r="6969" spans="6:7" x14ac:dyDescent="0.15">
      <c r="F6969" s="46"/>
      <c r="G6969" s="46"/>
    </row>
    <row r="6970" spans="6:7" x14ac:dyDescent="0.15">
      <c r="F6970" s="46"/>
      <c r="G6970" s="46"/>
    </row>
    <row r="6971" spans="6:7" x14ac:dyDescent="0.15">
      <c r="F6971" s="46"/>
      <c r="G6971" s="46"/>
    </row>
    <row r="6972" spans="6:7" x14ac:dyDescent="0.15">
      <c r="F6972" s="46"/>
      <c r="G6972" s="46"/>
    </row>
    <row r="6973" spans="6:7" x14ac:dyDescent="0.15">
      <c r="F6973" s="46"/>
      <c r="G6973" s="46"/>
    </row>
    <row r="6974" spans="6:7" x14ac:dyDescent="0.15">
      <c r="F6974" s="46"/>
      <c r="G6974" s="46"/>
    </row>
    <row r="6975" spans="6:7" x14ac:dyDescent="0.15">
      <c r="F6975" s="46"/>
      <c r="G6975" s="46"/>
    </row>
    <row r="6976" spans="6:7" x14ac:dyDescent="0.15">
      <c r="F6976" s="46"/>
      <c r="G6976" s="46"/>
    </row>
    <row r="6977" spans="6:7" x14ac:dyDescent="0.15">
      <c r="F6977" s="46"/>
      <c r="G6977" s="46"/>
    </row>
    <row r="6978" spans="6:7" x14ac:dyDescent="0.15">
      <c r="F6978" s="46"/>
      <c r="G6978" s="46"/>
    </row>
    <row r="6979" spans="6:7" x14ac:dyDescent="0.15">
      <c r="F6979" s="46"/>
      <c r="G6979" s="46"/>
    </row>
    <row r="6980" spans="6:7" x14ac:dyDescent="0.15">
      <c r="F6980" s="46"/>
      <c r="G6980" s="46"/>
    </row>
    <row r="6981" spans="6:7" x14ac:dyDescent="0.15">
      <c r="F6981" s="46"/>
      <c r="G6981" s="46"/>
    </row>
    <row r="6982" spans="6:7" x14ac:dyDescent="0.15">
      <c r="F6982" s="46"/>
      <c r="G6982" s="46"/>
    </row>
    <row r="6983" spans="6:7" x14ac:dyDescent="0.15">
      <c r="F6983" s="46"/>
      <c r="G6983" s="46"/>
    </row>
    <row r="6984" spans="6:7" x14ac:dyDescent="0.15">
      <c r="F6984" s="46"/>
      <c r="G6984" s="46"/>
    </row>
    <row r="6985" spans="6:7" x14ac:dyDescent="0.15">
      <c r="F6985" s="46"/>
      <c r="G6985" s="46"/>
    </row>
    <row r="6986" spans="6:7" x14ac:dyDescent="0.15">
      <c r="F6986" s="46"/>
      <c r="G6986" s="46"/>
    </row>
    <row r="6987" spans="6:7" x14ac:dyDescent="0.15">
      <c r="F6987" s="46"/>
      <c r="G6987" s="46"/>
    </row>
    <row r="6988" spans="6:7" x14ac:dyDescent="0.15">
      <c r="F6988" s="46"/>
      <c r="G6988" s="46"/>
    </row>
    <row r="6989" spans="6:7" x14ac:dyDescent="0.15">
      <c r="F6989" s="46"/>
      <c r="G6989" s="46"/>
    </row>
    <row r="6990" spans="6:7" x14ac:dyDescent="0.15">
      <c r="F6990" s="46"/>
      <c r="G6990" s="46"/>
    </row>
    <row r="6991" spans="6:7" x14ac:dyDescent="0.15">
      <c r="F6991" s="46"/>
      <c r="G6991" s="46"/>
    </row>
    <row r="6992" spans="6:7" x14ac:dyDescent="0.15">
      <c r="F6992" s="46"/>
      <c r="G6992" s="46"/>
    </row>
    <row r="6993" spans="6:7" x14ac:dyDescent="0.15">
      <c r="F6993" s="46"/>
      <c r="G6993" s="46"/>
    </row>
    <row r="6994" spans="6:7" x14ac:dyDescent="0.15">
      <c r="F6994" s="46"/>
      <c r="G6994" s="46"/>
    </row>
    <row r="6995" spans="6:7" x14ac:dyDescent="0.15">
      <c r="F6995" s="46"/>
      <c r="G6995" s="46"/>
    </row>
    <row r="6996" spans="6:7" x14ac:dyDescent="0.15">
      <c r="F6996" s="46"/>
      <c r="G6996" s="46"/>
    </row>
    <row r="6997" spans="6:7" x14ac:dyDescent="0.15">
      <c r="F6997" s="46"/>
      <c r="G6997" s="46"/>
    </row>
    <row r="6998" spans="6:7" x14ac:dyDescent="0.15">
      <c r="F6998" s="46"/>
      <c r="G6998" s="46"/>
    </row>
    <row r="6999" spans="6:7" x14ac:dyDescent="0.15">
      <c r="F6999" s="46"/>
      <c r="G6999" s="46"/>
    </row>
    <row r="7000" spans="6:7" x14ac:dyDescent="0.15">
      <c r="F7000" s="46"/>
      <c r="G7000" s="46"/>
    </row>
    <row r="7001" spans="6:7" x14ac:dyDescent="0.15">
      <c r="F7001" s="46"/>
      <c r="G7001" s="46"/>
    </row>
    <row r="7002" spans="6:7" x14ac:dyDescent="0.15">
      <c r="F7002" s="46"/>
      <c r="G7002" s="46"/>
    </row>
    <row r="7003" spans="6:7" x14ac:dyDescent="0.15">
      <c r="F7003" s="46"/>
      <c r="G7003" s="46"/>
    </row>
    <row r="7004" spans="6:7" x14ac:dyDescent="0.15">
      <c r="F7004" s="46"/>
      <c r="G7004" s="46"/>
    </row>
    <row r="7005" spans="6:7" x14ac:dyDescent="0.15">
      <c r="F7005" s="46"/>
      <c r="G7005" s="46"/>
    </row>
    <row r="7006" spans="6:7" x14ac:dyDescent="0.15">
      <c r="F7006" s="46"/>
      <c r="G7006" s="46"/>
    </row>
    <row r="7007" spans="6:7" x14ac:dyDescent="0.15">
      <c r="F7007" s="46"/>
      <c r="G7007" s="46"/>
    </row>
    <row r="7008" spans="6:7" x14ac:dyDescent="0.15">
      <c r="F7008" s="46"/>
      <c r="G7008" s="46"/>
    </row>
    <row r="7009" spans="6:7" x14ac:dyDescent="0.15">
      <c r="F7009" s="46"/>
      <c r="G7009" s="46"/>
    </row>
    <row r="7010" spans="6:7" x14ac:dyDescent="0.15">
      <c r="F7010" s="46"/>
      <c r="G7010" s="46"/>
    </row>
    <row r="7011" spans="6:7" x14ac:dyDescent="0.15">
      <c r="F7011" s="46"/>
      <c r="G7011" s="46"/>
    </row>
    <row r="7012" spans="6:7" x14ac:dyDescent="0.15">
      <c r="F7012" s="46"/>
      <c r="G7012" s="46"/>
    </row>
    <row r="7013" spans="6:7" x14ac:dyDescent="0.15">
      <c r="F7013" s="46"/>
      <c r="G7013" s="46"/>
    </row>
    <row r="7014" spans="6:7" x14ac:dyDescent="0.15">
      <c r="F7014" s="46"/>
      <c r="G7014" s="46"/>
    </row>
    <row r="7015" spans="6:7" x14ac:dyDescent="0.15">
      <c r="F7015" s="46"/>
      <c r="G7015" s="46"/>
    </row>
    <row r="7016" spans="6:7" x14ac:dyDescent="0.15">
      <c r="F7016" s="46"/>
      <c r="G7016" s="46"/>
    </row>
    <row r="7017" spans="6:7" x14ac:dyDescent="0.15">
      <c r="F7017" s="46"/>
      <c r="G7017" s="46"/>
    </row>
    <row r="7018" spans="6:7" x14ac:dyDescent="0.15">
      <c r="F7018" s="46"/>
      <c r="G7018" s="46"/>
    </row>
    <row r="7019" spans="6:7" x14ac:dyDescent="0.15">
      <c r="F7019" s="46"/>
      <c r="G7019" s="46"/>
    </row>
    <row r="7020" spans="6:7" x14ac:dyDescent="0.15">
      <c r="F7020" s="46"/>
      <c r="G7020" s="46"/>
    </row>
    <row r="7021" spans="6:7" x14ac:dyDescent="0.15">
      <c r="F7021" s="46"/>
      <c r="G7021" s="46"/>
    </row>
    <row r="7022" spans="6:7" x14ac:dyDescent="0.15">
      <c r="F7022" s="46"/>
      <c r="G7022" s="46"/>
    </row>
    <row r="7023" spans="6:7" x14ac:dyDescent="0.15">
      <c r="F7023" s="46"/>
      <c r="G7023" s="46"/>
    </row>
    <row r="7024" spans="6:7" x14ac:dyDescent="0.15">
      <c r="F7024" s="46"/>
      <c r="G7024" s="46"/>
    </row>
    <row r="7025" spans="6:7" x14ac:dyDescent="0.15">
      <c r="F7025" s="46"/>
      <c r="G7025" s="46"/>
    </row>
    <row r="7026" spans="6:7" x14ac:dyDescent="0.15">
      <c r="F7026" s="46"/>
      <c r="G7026" s="46"/>
    </row>
    <row r="7027" spans="6:7" x14ac:dyDescent="0.15">
      <c r="F7027" s="46"/>
      <c r="G7027" s="46"/>
    </row>
    <row r="7028" spans="6:7" x14ac:dyDescent="0.15">
      <c r="F7028" s="46"/>
      <c r="G7028" s="46"/>
    </row>
    <row r="7029" spans="6:7" x14ac:dyDescent="0.15">
      <c r="F7029" s="46"/>
      <c r="G7029" s="46"/>
    </row>
    <row r="7030" spans="6:7" x14ac:dyDescent="0.15">
      <c r="F7030" s="46"/>
      <c r="G7030" s="46"/>
    </row>
    <row r="7031" spans="6:7" x14ac:dyDescent="0.15">
      <c r="F7031" s="46"/>
      <c r="G7031" s="46"/>
    </row>
    <row r="7032" spans="6:7" x14ac:dyDescent="0.15">
      <c r="F7032" s="46"/>
      <c r="G7032" s="46"/>
    </row>
    <row r="7033" spans="6:7" x14ac:dyDescent="0.15">
      <c r="F7033" s="46"/>
      <c r="G7033" s="46"/>
    </row>
    <row r="7034" spans="6:7" x14ac:dyDescent="0.15">
      <c r="F7034" s="46"/>
      <c r="G7034" s="46"/>
    </row>
    <row r="7035" spans="6:7" x14ac:dyDescent="0.15">
      <c r="F7035" s="46"/>
      <c r="G7035" s="46"/>
    </row>
    <row r="7036" spans="6:7" x14ac:dyDescent="0.15">
      <c r="F7036" s="46"/>
      <c r="G7036" s="46"/>
    </row>
    <row r="7037" spans="6:7" x14ac:dyDescent="0.15">
      <c r="F7037" s="46"/>
      <c r="G7037" s="46"/>
    </row>
    <row r="7038" spans="6:7" x14ac:dyDescent="0.15">
      <c r="F7038" s="46"/>
      <c r="G7038" s="46"/>
    </row>
    <row r="7039" spans="6:7" x14ac:dyDescent="0.15">
      <c r="F7039" s="46"/>
      <c r="G7039" s="46"/>
    </row>
    <row r="7040" spans="6:7" x14ac:dyDescent="0.15">
      <c r="F7040" s="46"/>
      <c r="G7040" s="46"/>
    </row>
    <row r="7041" spans="6:7" x14ac:dyDescent="0.15">
      <c r="F7041" s="46"/>
      <c r="G7041" s="46"/>
    </row>
    <row r="7042" spans="6:7" x14ac:dyDescent="0.15">
      <c r="F7042" s="46"/>
      <c r="G7042" s="46"/>
    </row>
    <row r="7043" spans="6:7" x14ac:dyDescent="0.15">
      <c r="F7043" s="46"/>
      <c r="G7043" s="46"/>
    </row>
    <row r="7044" spans="6:7" x14ac:dyDescent="0.15">
      <c r="F7044" s="46"/>
      <c r="G7044" s="46"/>
    </row>
    <row r="7045" spans="6:7" x14ac:dyDescent="0.15">
      <c r="F7045" s="46"/>
      <c r="G7045" s="46"/>
    </row>
    <row r="7046" spans="6:7" x14ac:dyDescent="0.15">
      <c r="F7046" s="46"/>
      <c r="G7046" s="46"/>
    </row>
    <row r="7047" spans="6:7" x14ac:dyDescent="0.15">
      <c r="F7047" s="46"/>
      <c r="G7047" s="46"/>
    </row>
    <row r="7048" spans="6:7" x14ac:dyDescent="0.15">
      <c r="F7048" s="46"/>
      <c r="G7048" s="46"/>
    </row>
    <row r="7049" spans="6:7" x14ac:dyDescent="0.15">
      <c r="F7049" s="46"/>
      <c r="G7049" s="46"/>
    </row>
    <row r="7050" spans="6:7" x14ac:dyDescent="0.15">
      <c r="F7050" s="46"/>
      <c r="G7050" s="46"/>
    </row>
    <row r="7051" spans="6:7" x14ac:dyDescent="0.15">
      <c r="F7051" s="46"/>
      <c r="G7051" s="46"/>
    </row>
    <row r="7052" spans="6:7" x14ac:dyDescent="0.15">
      <c r="F7052" s="46"/>
      <c r="G7052" s="46"/>
    </row>
    <row r="7053" spans="6:7" x14ac:dyDescent="0.15">
      <c r="F7053" s="46"/>
      <c r="G7053" s="46"/>
    </row>
    <row r="7054" spans="6:7" x14ac:dyDescent="0.15">
      <c r="F7054" s="46"/>
      <c r="G7054" s="46"/>
    </row>
    <row r="7055" spans="6:7" x14ac:dyDescent="0.15">
      <c r="F7055" s="46"/>
      <c r="G7055" s="46"/>
    </row>
    <row r="7056" spans="6:7" x14ac:dyDescent="0.15">
      <c r="F7056" s="46"/>
      <c r="G7056" s="46"/>
    </row>
    <row r="7057" spans="6:7" x14ac:dyDescent="0.15">
      <c r="F7057" s="46"/>
      <c r="G7057" s="46"/>
    </row>
    <row r="7058" spans="6:7" x14ac:dyDescent="0.15">
      <c r="F7058" s="46"/>
      <c r="G7058" s="46"/>
    </row>
    <row r="7059" spans="6:7" x14ac:dyDescent="0.15">
      <c r="F7059" s="46"/>
      <c r="G7059" s="46"/>
    </row>
    <row r="7060" spans="6:7" x14ac:dyDescent="0.15">
      <c r="F7060" s="46"/>
      <c r="G7060" s="46"/>
    </row>
    <row r="7061" spans="6:7" x14ac:dyDescent="0.15">
      <c r="F7061" s="46"/>
      <c r="G7061" s="46"/>
    </row>
    <row r="7062" spans="6:7" x14ac:dyDescent="0.15">
      <c r="F7062" s="46"/>
      <c r="G7062" s="46"/>
    </row>
    <row r="7063" spans="6:7" x14ac:dyDescent="0.15">
      <c r="F7063" s="46"/>
      <c r="G7063" s="46"/>
    </row>
    <row r="7064" spans="6:7" x14ac:dyDescent="0.15">
      <c r="F7064" s="46"/>
      <c r="G7064" s="46"/>
    </row>
    <row r="7065" spans="6:7" x14ac:dyDescent="0.15">
      <c r="F7065" s="46"/>
      <c r="G7065" s="46"/>
    </row>
    <row r="7066" spans="6:7" x14ac:dyDescent="0.15">
      <c r="F7066" s="46"/>
      <c r="G7066" s="46"/>
    </row>
    <row r="7067" spans="6:7" x14ac:dyDescent="0.15">
      <c r="F7067" s="46"/>
      <c r="G7067" s="46"/>
    </row>
    <row r="7068" spans="6:7" x14ac:dyDescent="0.15">
      <c r="F7068" s="46"/>
      <c r="G7068" s="46"/>
    </row>
    <row r="7069" spans="6:7" x14ac:dyDescent="0.15">
      <c r="F7069" s="46"/>
      <c r="G7069" s="46"/>
    </row>
    <row r="7070" spans="6:7" x14ac:dyDescent="0.15">
      <c r="F7070" s="46"/>
      <c r="G7070" s="46"/>
    </row>
    <row r="7071" spans="6:7" x14ac:dyDescent="0.15">
      <c r="F7071" s="46"/>
      <c r="G7071" s="46"/>
    </row>
    <row r="7072" spans="6:7" x14ac:dyDescent="0.15">
      <c r="F7072" s="46"/>
      <c r="G7072" s="46"/>
    </row>
    <row r="7073" spans="6:7" x14ac:dyDescent="0.15">
      <c r="F7073" s="46"/>
      <c r="G7073" s="46"/>
    </row>
    <row r="7074" spans="6:7" x14ac:dyDescent="0.15">
      <c r="F7074" s="46"/>
      <c r="G7074" s="46"/>
    </row>
    <row r="7075" spans="6:7" x14ac:dyDescent="0.15">
      <c r="F7075" s="46"/>
      <c r="G7075" s="46"/>
    </row>
    <row r="7076" spans="6:7" x14ac:dyDescent="0.15">
      <c r="F7076" s="46"/>
      <c r="G7076" s="46"/>
    </row>
    <row r="7077" spans="6:7" x14ac:dyDescent="0.15">
      <c r="F7077" s="46"/>
      <c r="G7077" s="46"/>
    </row>
    <row r="7078" spans="6:7" x14ac:dyDescent="0.15">
      <c r="F7078" s="46"/>
      <c r="G7078" s="46"/>
    </row>
    <row r="7079" spans="6:7" x14ac:dyDescent="0.15">
      <c r="F7079" s="46"/>
      <c r="G7079" s="46"/>
    </row>
    <row r="7080" spans="6:7" x14ac:dyDescent="0.15">
      <c r="F7080" s="46"/>
      <c r="G7080" s="46"/>
    </row>
    <row r="7081" spans="6:7" x14ac:dyDescent="0.15">
      <c r="F7081" s="46"/>
      <c r="G7081" s="46"/>
    </row>
    <row r="7082" spans="6:7" x14ac:dyDescent="0.15">
      <c r="F7082" s="46"/>
      <c r="G7082" s="46"/>
    </row>
    <row r="7083" spans="6:7" x14ac:dyDescent="0.15">
      <c r="F7083" s="46"/>
      <c r="G7083" s="46"/>
    </row>
    <row r="7084" spans="6:7" x14ac:dyDescent="0.15">
      <c r="F7084" s="46"/>
      <c r="G7084" s="46"/>
    </row>
    <row r="7085" spans="6:7" x14ac:dyDescent="0.15">
      <c r="F7085" s="46"/>
      <c r="G7085" s="46"/>
    </row>
    <row r="7086" spans="6:7" x14ac:dyDescent="0.15">
      <c r="F7086" s="46"/>
      <c r="G7086" s="46"/>
    </row>
    <row r="7087" spans="6:7" x14ac:dyDescent="0.15">
      <c r="F7087" s="46"/>
      <c r="G7087" s="46"/>
    </row>
    <row r="7088" spans="6:7" x14ac:dyDescent="0.15">
      <c r="F7088" s="46"/>
      <c r="G7088" s="46"/>
    </row>
    <row r="7089" spans="6:7" x14ac:dyDescent="0.15">
      <c r="F7089" s="46"/>
      <c r="G7089" s="46"/>
    </row>
    <row r="7090" spans="6:7" x14ac:dyDescent="0.15">
      <c r="F7090" s="46"/>
      <c r="G7090" s="46"/>
    </row>
    <row r="7091" spans="6:7" x14ac:dyDescent="0.15">
      <c r="F7091" s="46"/>
      <c r="G7091" s="46"/>
    </row>
    <row r="7092" spans="6:7" x14ac:dyDescent="0.15">
      <c r="F7092" s="46"/>
      <c r="G7092" s="46"/>
    </row>
    <row r="7093" spans="6:7" x14ac:dyDescent="0.15">
      <c r="F7093" s="46"/>
      <c r="G7093" s="46"/>
    </row>
    <row r="7094" spans="6:7" x14ac:dyDescent="0.15">
      <c r="F7094" s="46"/>
      <c r="G7094" s="46"/>
    </row>
    <row r="7095" spans="6:7" x14ac:dyDescent="0.15">
      <c r="F7095" s="46"/>
      <c r="G7095" s="46"/>
    </row>
    <row r="7096" spans="6:7" x14ac:dyDescent="0.15">
      <c r="F7096" s="46"/>
      <c r="G7096" s="46"/>
    </row>
    <row r="7097" spans="6:7" x14ac:dyDescent="0.15">
      <c r="F7097" s="46"/>
      <c r="G7097" s="46"/>
    </row>
    <row r="7098" spans="6:7" x14ac:dyDescent="0.15">
      <c r="F7098" s="46"/>
      <c r="G7098" s="46"/>
    </row>
    <row r="7099" spans="6:7" x14ac:dyDescent="0.15">
      <c r="F7099" s="46"/>
      <c r="G7099" s="46"/>
    </row>
    <row r="7100" spans="6:7" x14ac:dyDescent="0.15">
      <c r="F7100" s="46"/>
      <c r="G7100" s="46"/>
    </row>
    <row r="7101" spans="6:7" x14ac:dyDescent="0.15">
      <c r="F7101" s="46"/>
      <c r="G7101" s="46"/>
    </row>
    <row r="7102" spans="6:7" x14ac:dyDescent="0.15">
      <c r="F7102" s="46"/>
      <c r="G7102" s="46"/>
    </row>
    <row r="7103" spans="6:7" x14ac:dyDescent="0.15">
      <c r="F7103" s="46"/>
      <c r="G7103" s="46"/>
    </row>
    <row r="7104" spans="6:7" x14ac:dyDescent="0.15">
      <c r="F7104" s="46"/>
      <c r="G7104" s="46"/>
    </row>
    <row r="7105" spans="6:7" x14ac:dyDescent="0.15">
      <c r="F7105" s="46"/>
      <c r="G7105" s="46"/>
    </row>
    <row r="7106" spans="6:7" x14ac:dyDescent="0.15">
      <c r="F7106" s="46"/>
      <c r="G7106" s="46"/>
    </row>
    <row r="7107" spans="6:7" x14ac:dyDescent="0.15">
      <c r="F7107" s="46"/>
      <c r="G7107" s="46"/>
    </row>
    <row r="7108" spans="6:7" x14ac:dyDescent="0.15">
      <c r="F7108" s="46"/>
      <c r="G7108" s="46"/>
    </row>
    <row r="7109" spans="6:7" x14ac:dyDescent="0.15">
      <c r="F7109" s="46"/>
      <c r="G7109" s="46"/>
    </row>
    <row r="7110" spans="6:7" x14ac:dyDescent="0.15">
      <c r="F7110" s="46"/>
      <c r="G7110" s="46"/>
    </row>
    <row r="7111" spans="6:7" x14ac:dyDescent="0.15">
      <c r="F7111" s="46"/>
      <c r="G7111" s="46"/>
    </row>
    <row r="7112" spans="6:7" x14ac:dyDescent="0.15">
      <c r="F7112" s="46"/>
      <c r="G7112" s="46"/>
    </row>
    <row r="7113" spans="6:7" x14ac:dyDescent="0.15">
      <c r="F7113" s="46"/>
      <c r="G7113" s="46"/>
    </row>
    <row r="7114" spans="6:7" x14ac:dyDescent="0.15">
      <c r="F7114" s="46"/>
      <c r="G7114" s="46"/>
    </row>
    <row r="7115" spans="6:7" x14ac:dyDescent="0.15">
      <c r="F7115" s="46"/>
      <c r="G7115" s="46"/>
    </row>
    <row r="7116" spans="6:7" x14ac:dyDescent="0.15">
      <c r="F7116" s="46"/>
      <c r="G7116" s="46"/>
    </row>
    <row r="7117" spans="6:7" x14ac:dyDescent="0.15">
      <c r="F7117" s="46"/>
      <c r="G7117" s="46"/>
    </row>
    <row r="7118" spans="6:7" x14ac:dyDescent="0.15">
      <c r="F7118" s="46"/>
      <c r="G7118" s="46"/>
    </row>
    <row r="7119" spans="6:7" x14ac:dyDescent="0.15">
      <c r="F7119" s="46"/>
      <c r="G7119" s="46"/>
    </row>
    <row r="7120" spans="6:7" x14ac:dyDescent="0.15">
      <c r="F7120" s="46"/>
      <c r="G7120" s="46"/>
    </row>
    <row r="7121" spans="6:7" x14ac:dyDescent="0.15">
      <c r="F7121" s="46"/>
      <c r="G7121" s="46"/>
    </row>
    <row r="7122" spans="6:7" x14ac:dyDescent="0.15">
      <c r="F7122" s="46"/>
      <c r="G7122" s="46"/>
    </row>
    <row r="7123" spans="6:7" x14ac:dyDescent="0.15">
      <c r="F7123" s="46"/>
      <c r="G7123" s="46"/>
    </row>
    <row r="7124" spans="6:7" x14ac:dyDescent="0.15">
      <c r="F7124" s="46"/>
      <c r="G7124" s="46"/>
    </row>
    <row r="7125" spans="6:7" x14ac:dyDescent="0.15">
      <c r="F7125" s="46"/>
      <c r="G7125" s="46"/>
    </row>
    <row r="7126" spans="6:7" x14ac:dyDescent="0.15">
      <c r="F7126" s="46"/>
      <c r="G7126" s="46"/>
    </row>
    <row r="7127" spans="6:7" x14ac:dyDescent="0.15">
      <c r="F7127" s="46"/>
      <c r="G7127" s="46"/>
    </row>
    <row r="7128" spans="6:7" x14ac:dyDescent="0.15">
      <c r="F7128" s="46"/>
      <c r="G7128" s="46"/>
    </row>
    <row r="7129" spans="6:7" x14ac:dyDescent="0.15">
      <c r="F7129" s="46"/>
      <c r="G7129" s="46"/>
    </row>
    <row r="7130" spans="6:7" x14ac:dyDescent="0.15">
      <c r="F7130" s="46"/>
      <c r="G7130" s="46"/>
    </row>
    <row r="7131" spans="6:7" x14ac:dyDescent="0.15">
      <c r="F7131" s="46"/>
      <c r="G7131" s="46"/>
    </row>
    <row r="7132" spans="6:7" x14ac:dyDescent="0.15">
      <c r="F7132" s="46"/>
      <c r="G7132" s="46"/>
    </row>
    <row r="7133" spans="6:7" x14ac:dyDescent="0.15">
      <c r="F7133" s="46"/>
      <c r="G7133" s="46"/>
    </row>
    <row r="7134" spans="6:7" x14ac:dyDescent="0.15">
      <c r="F7134" s="46"/>
      <c r="G7134" s="46"/>
    </row>
    <row r="7135" spans="6:7" x14ac:dyDescent="0.15">
      <c r="F7135" s="46"/>
      <c r="G7135" s="46"/>
    </row>
    <row r="7136" spans="6:7" x14ac:dyDescent="0.15">
      <c r="F7136" s="46"/>
      <c r="G7136" s="46"/>
    </row>
    <row r="7137" spans="6:7" x14ac:dyDescent="0.15">
      <c r="F7137" s="46"/>
      <c r="G7137" s="46"/>
    </row>
    <row r="7138" spans="6:7" x14ac:dyDescent="0.15">
      <c r="F7138" s="46"/>
      <c r="G7138" s="46"/>
    </row>
    <row r="7139" spans="6:7" x14ac:dyDescent="0.15">
      <c r="F7139" s="46"/>
      <c r="G7139" s="46"/>
    </row>
    <row r="7140" spans="6:7" x14ac:dyDescent="0.15">
      <c r="F7140" s="46"/>
      <c r="G7140" s="46"/>
    </row>
    <row r="7141" spans="6:7" x14ac:dyDescent="0.15">
      <c r="F7141" s="46"/>
      <c r="G7141" s="46"/>
    </row>
    <row r="7142" spans="6:7" x14ac:dyDescent="0.15">
      <c r="F7142" s="46"/>
      <c r="G7142" s="46"/>
    </row>
    <row r="7143" spans="6:7" x14ac:dyDescent="0.15">
      <c r="F7143" s="46"/>
      <c r="G7143" s="46"/>
    </row>
    <row r="7144" spans="6:7" x14ac:dyDescent="0.15">
      <c r="F7144" s="46"/>
      <c r="G7144" s="46"/>
    </row>
    <row r="7145" spans="6:7" x14ac:dyDescent="0.15">
      <c r="F7145" s="46"/>
      <c r="G7145" s="46"/>
    </row>
    <row r="7146" spans="6:7" x14ac:dyDescent="0.15">
      <c r="F7146" s="46"/>
      <c r="G7146" s="46"/>
    </row>
    <row r="7147" spans="6:7" x14ac:dyDescent="0.15">
      <c r="F7147" s="46"/>
      <c r="G7147" s="46"/>
    </row>
    <row r="7148" spans="6:7" x14ac:dyDescent="0.15">
      <c r="F7148" s="46"/>
      <c r="G7148" s="46"/>
    </row>
    <row r="7149" spans="6:7" x14ac:dyDescent="0.15">
      <c r="F7149" s="46"/>
      <c r="G7149" s="46"/>
    </row>
    <row r="7150" spans="6:7" x14ac:dyDescent="0.15">
      <c r="F7150" s="46"/>
      <c r="G7150" s="4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822"/>
  <sheetViews>
    <sheetView topLeftCell="A6794" zoomScaleNormal="100" workbookViewId="0">
      <selection activeCell="E6822" sqref="E6822"/>
    </sheetView>
  </sheetViews>
  <sheetFormatPr baseColWidth="10" defaultColWidth="8.83203125" defaultRowHeight="13" x14ac:dyDescent="0.15"/>
  <cols>
    <col min="1" max="1" width="38.33203125" style="196" bestFit="1" customWidth="1"/>
    <col min="2" max="2" width="12.6640625" style="196" bestFit="1" customWidth="1"/>
    <col min="3" max="3" width="19.5" style="196" bestFit="1" customWidth="1"/>
    <col min="4" max="5" width="21.83203125" style="196" bestFit="1" customWidth="1"/>
    <col min="6" max="6" width="7.83203125" style="196" bestFit="1" customWidth="1"/>
    <col min="7" max="7" width="9.83203125" style="196" bestFit="1" customWidth="1"/>
    <col min="8" max="8" width="10.83203125" style="196" bestFit="1" customWidth="1"/>
    <col min="9" max="9" width="8.83203125" style="196" customWidth="1"/>
    <col min="10" max="16384" width="8.83203125" style="196"/>
  </cols>
  <sheetData>
    <row r="1" spans="1:8" x14ac:dyDescent="0.15">
      <c r="A1" s="196" t="s">
        <v>11221</v>
      </c>
      <c r="B1" s="196" t="s">
        <v>11222</v>
      </c>
      <c r="C1" s="196" t="s">
        <v>11223</v>
      </c>
      <c r="D1" s="196" t="s">
        <v>11224</v>
      </c>
      <c r="E1" s="196" t="s">
        <v>11225</v>
      </c>
      <c r="F1" s="196" t="s">
        <v>11226</v>
      </c>
      <c r="G1" s="196" t="s">
        <v>11227</v>
      </c>
      <c r="H1" s="196" t="s">
        <v>11228</v>
      </c>
    </row>
    <row r="2" spans="1:8" x14ac:dyDescent="0.15">
      <c r="A2" s="196" t="s">
        <v>11229</v>
      </c>
      <c r="B2" s="196" t="s">
        <v>11230</v>
      </c>
      <c r="C2" s="196" t="s">
        <v>11231</v>
      </c>
      <c r="D2" s="196" t="s">
        <v>11232</v>
      </c>
      <c r="E2" s="196" t="s">
        <v>11232</v>
      </c>
      <c r="F2" s="196" t="s">
        <v>11233</v>
      </c>
      <c r="G2" s="196" t="s">
        <v>11234</v>
      </c>
      <c r="H2" s="196" t="s">
        <v>11235</v>
      </c>
    </row>
    <row r="3" spans="1:8" x14ac:dyDescent="0.15">
      <c r="A3" s="196" t="s">
        <v>11229</v>
      </c>
      <c r="B3" s="196" t="s">
        <v>11230</v>
      </c>
      <c r="C3" s="196" t="s">
        <v>11236</v>
      </c>
      <c r="D3" s="196" t="s">
        <v>11237</v>
      </c>
      <c r="E3" s="196" t="s">
        <v>11237</v>
      </c>
      <c r="F3" s="196" t="s">
        <v>11233</v>
      </c>
      <c r="G3" s="196" t="s">
        <v>11234</v>
      </c>
      <c r="H3" s="196" t="s">
        <v>11235</v>
      </c>
    </row>
    <row r="4" spans="1:8" x14ac:dyDescent="0.15">
      <c r="A4" s="196" t="s">
        <v>11229</v>
      </c>
      <c r="B4" s="196" t="s">
        <v>11230</v>
      </c>
      <c r="C4" s="196" t="s">
        <v>11238</v>
      </c>
      <c r="D4" s="196" t="s">
        <v>11239</v>
      </c>
      <c r="E4" s="196" t="s">
        <v>11240</v>
      </c>
      <c r="F4" s="196" t="s">
        <v>11241</v>
      </c>
      <c r="G4" s="196" t="s">
        <v>11234</v>
      </c>
      <c r="H4" s="196" t="s">
        <v>11235</v>
      </c>
    </row>
    <row r="5" spans="1:8" x14ac:dyDescent="0.15">
      <c r="A5" s="196" t="s">
        <v>11229</v>
      </c>
      <c r="B5" s="196" t="s">
        <v>11230</v>
      </c>
      <c r="C5" s="196" t="s">
        <v>11242</v>
      </c>
      <c r="D5" s="196" t="s">
        <v>11243</v>
      </c>
      <c r="E5" s="196" t="s">
        <v>11244</v>
      </c>
      <c r="F5" s="196" t="s">
        <v>11241</v>
      </c>
      <c r="G5" s="196" t="s">
        <v>11234</v>
      </c>
      <c r="H5" s="196" t="s">
        <v>11235</v>
      </c>
    </row>
    <row r="6" spans="1:8" x14ac:dyDescent="0.15">
      <c r="A6" s="196" t="s">
        <v>11229</v>
      </c>
      <c r="B6" s="196" t="s">
        <v>11230</v>
      </c>
      <c r="C6" s="196" t="s">
        <v>11245</v>
      </c>
      <c r="D6" s="196" t="s">
        <v>11246</v>
      </c>
      <c r="E6" s="196" t="s">
        <v>11246</v>
      </c>
      <c r="F6" s="196" t="s">
        <v>11233</v>
      </c>
      <c r="G6" s="196" t="s">
        <v>11234</v>
      </c>
      <c r="H6" s="196" t="s">
        <v>11235</v>
      </c>
    </row>
    <row r="7" spans="1:8" x14ac:dyDescent="0.15">
      <c r="A7" s="196" t="s">
        <v>11229</v>
      </c>
      <c r="B7" s="196" t="s">
        <v>11230</v>
      </c>
      <c r="C7" s="196" t="s">
        <v>11247</v>
      </c>
      <c r="D7" s="196" t="s">
        <v>11248</v>
      </c>
      <c r="E7" s="196" t="s">
        <v>11248</v>
      </c>
      <c r="F7" s="196" t="s">
        <v>11233</v>
      </c>
      <c r="G7" s="196" t="s">
        <v>11234</v>
      </c>
      <c r="H7" s="196" t="s">
        <v>11235</v>
      </c>
    </row>
    <row r="8" spans="1:8" x14ac:dyDescent="0.15">
      <c r="A8" s="196" t="s">
        <v>11229</v>
      </c>
      <c r="B8" s="196" t="s">
        <v>11230</v>
      </c>
      <c r="C8" s="196" t="s">
        <v>11249</v>
      </c>
      <c r="D8" s="196" t="s">
        <v>11250</v>
      </c>
      <c r="E8" s="196" t="s">
        <v>11250</v>
      </c>
      <c r="F8" s="196" t="s">
        <v>11233</v>
      </c>
      <c r="G8" s="196" t="s">
        <v>11234</v>
      </c>
      <c r="H8" s="196" t="s">
        <v>11235</v>
      </c>
    </row>
    <row r="9" spans="1:8" x14ac:dyDescent="0.15">
      <c r="A9" s="196" t="s">
        <v>11229</v>
      </c>
      <c r="B9" s="196" t="s">
        <v>11230</v>
      </c>
      <c r="C9" s="196" t="s">
        <v>11251</v>
      </c>
      <c r="D9" s="196" t="s">
        <v>11252</v>
      </c>
      <c r="E9" s="196" t="s">
        <v>11252</v>
      </c>
      <c r="F9" s="196" t="s">
        <v>11233</v>
      </c>
      <c r="G9" s="196" t="s">
        <v>11234</v>
      </c>
      <c r="H9" s="196" t="s">
        <v>11235</v>
      </c>
    </row>
    <row r="10" spans="1:8" x14ac:dyDescent="0.15">
      <c r="A10" s="196" t="s">
        <v>11229</v>
      </c>
      <c r="B10" s="196" t="s">
        <v>11230</v>
      </c>
      <c r="C10" s="196" t="s">
        <v>11253</v>
      </c>
      <c r="D10" s="196" t="s">
        <v>11254</v>
      </c>
      <c r="E10" s="196" t="s">
        <v>11254</v>
      </c>
      <c r="F10" s="196" t="s">
        <v>11233</v>
      </c>
      <c r="G10" s="196" t="s">
        <v>11234</v>
      </c>
      <c r="H10" s="196" t="s">
        <v>11235</v>
      </c>
    </row>
    <row r="11" spans="1:8" x14ac:dyDescent="0.15">
      <c r="A11" s="196" t="s">
        <v>11229</v>
      </c>
      <c r="B11" s="196" t="s">
        <v>11230</v>
      </c>
      <c r="C11" s="196" t="s">
        <v>11255</v>
      </c>
      <c r="D11" s="196" t="s">
        <v>11256</v>
      </c>
      <c r="E11" s="196" t="s">
        <v>11257</v>
      </c>
      <c r="F11" s="196" t="s">
        <v>11241</v>
      </c>
      <c r="G11" s="196" t="s">
        <v>11234</v>
      </c>
      <c r="H11" s="196" t="s">
        <v>11235</v>
      </c>
    </row>
    <row r="12" spans="1:8" x14ac:dyDescent="0.15">
      <c r="A12" s="196" t="s">
        <v>11229</v>
      </c>
      <c r="B12" s="196" t="s">
        <v>11230</v>
      </c>
      <c r="C12" s="196" t="s">
        <v>11258</v>
      </c>
      <c r="D12" s="196" t="s">
        <v>11259</v>
      </c>
      <c r="E12" s="196" t="s">
        <v>11260</v>
      </c>
      <c r="F12" s="196" t="s">
        <v>11241</v>
      </c>
      <c r="G12" s="196" t="s">
        <v>11234</v>
      </c>
      <c r="H12" s="196" t="s">
        <v>11235</v>
      </c>
    </row>
    <row r="13" spans="1:8" x14ac:dyDescent="0.15">
      <c r="A13" s="196" t="s">
        <v>11229</v>
      </c>
      <c r="B13" s="196" t="s">
        <v>11230</v>
      </c>
      <c r="C13" s="196" t="s">
        <v>11261</v>
      </c>
      <c r="D13" s="196" t="s">
        <v>11262</v>
      </c>
      <c r="E13" s="196" t="s">
        <v>11262</v>
      </c>
      <c r="F13" s="196" t="s">
        <v>11233</v>
      </c>
      <c r="G13" s="196" t="s">
        <v>11234</v>
      </c>
      <c r="H13" s="196" t="s">
        <v>11235</v>
      </c>
    </row>
    <row r="14" spans="1:8" x14ac:dyDescent="0.15">
      <c r="A14" s="196" t="s">
        <v>11229</v>
      </c>
      <c r="B14" s="196" t="s">
        <v>11230</v>
      </c>
      <c r="C14" s="196" t="s">
        <v>11263</v>
      </c>
      <c r="D14" s="196" t="s">
        <v>11264</v>
      </c>
      <c r="E14" s="196" t="s">
        <v>11264</v>
      </c>
      <c r="F14" s="196" t="s">
        <v>11233</v>
      </c>
      <c r="G14" s="196" t="s">
        <v>11234</v>
      </c>
      <c r="H14" s="196" t="s">
        <v>11235</v>
      </c>
    </row>
    <row r="15" spans="1:8" x14ac:dyDescent="0.15">
      <c r="A15" s="196" t="s">
        <v>11229</v>
      </c>
      <c r="B15" s="196" t="s">
        <v>11230</v>
      </c>
      <c r="C15" s="196" t="s">
        <v>11265</v>
      </c>
      <c r="D15" s="196" t="s">
        <v>11266</v>
      </c>
      <c r="E15" s="196" t="s">
        <v>11267</v>
      </c>
      <c r="F15" s="196" t="s">
        <v>11268</v>
      </c>
      <c r="G15" s="196" t="s">
        <v>11234</v>
      </c>
      <c r="H15" s="196" t="s">
        <v>11235</v>
      </c>
    </row>
    <row r="16" spans="1:8" x14ac:dyDescent="0.15">
      <c r="A16" s="196" t="s">
        <v>11229</v>
      </c>
      <c r="B16" s="196" t="s">
        <v>11230</v>
      </c>
      <c r="C16" s="196" t="s">
        <v>11269</v>
      </c>
      <c r="D16" s="196" t="s">
        <v>11270</v>
      </c>
      <c r="E16" s="196" t="s">
        <v>11270</v>
      </c>
      <c r="F16" s="196" t="s">
        <v>11233</v>
      </c>
      <c r="G16" s="196" t="s">
        <v>11234</v>
      </c>
      <c r="H16" s="196" t="s">
        <v>11235</v>
      </c>
    </row>
    <row r="17" spans="1:8" x14ac:dyDescent="0.15">
      <c r="A17" s="196" t="s">
        <v>11229</v>
      </c>
      <c r="B17" s="196" t="s">
        <v>11230</v>
      </c>
      <c r="C17" s="196" t="s">
        <v>11271</v>
      </c>
      <c r="D17" s="196" t="s">
        <v>11272</v>
      </c>
      <c r="E17" s="196" t="s">
        <v>11272</v>
      </c>
      <c r="F17" s="196" t="s">
        <v>11233</v>
      </c>
      <c r="G17" s="196" t="s">
        <v>11234</v>
      </c>
      <c r="H17" s="196" t="s">
        <v>11235</v>
      </c>
    </row>
    <row r="18" spans="1:8" x14ac:dyDescent="0.15">
      <c r="A18" s="196" t="s">
        <v>11229</v>
      </c>
      <c r="B18" s="196" t="s">
        <v>11230</v>
      </c>
      <c r="C18" s="196" t="s">
        <v>11273</v>
      </c>
      <c r="D18" s="196" t="s">
        <v>11274</v>
      </c>
      <c r="E18" s="196" t="s">
        <v>11274</v>
      </c>
      <c r="F18" s="196" t="s">
        <v>11233</v>
      </c>
      <c r="G18" s="196" t="s">
        <v>11234</v>
      </c>
      <c r="H18" s="196" t="s">
        <v>11235</v>
      </c>
    </row>
    <row r="19" spans="1:8" x14ac:dyDescent="0.15">
      <c r="A19" s="196" t="s">
        <v>11229</v>
      </c>
      <c r="B19" s="196" t="s">
        <v>11230</v>
      </c>
      <c r="C19" s="196" t="s">
        <v>11275</v>
      </c>
      <c r="D19" s="196" t="s">
        <v>11276</v>
      </c>
      <c r="E19" s="196" t="s">
        <v>11277</v>
      </c>
      <c r="F19" s="196" t="s">
        <v>11268</v>
      </c>
      <c r="G19" s="196" t="s">
        <v>11234</v>
      </c>
      <c r="H19" s="196" t="s">
        <v>11235</v>
      </c>
    </row>
    <row r="20" spans="1:8" x14ac:dyDescent="0.15">
      <c r="A20" s="196" t="s">
        <v>11229</v>
      </c>
      <c r="B20" s="196" t="s">
        <v>11230</v>
      </c>
      <c r="C20" s="196" t="s">
        <v>11278</v>
      </c>
      <c r="D20" s="196" t="s">
        <v>11279</v>
      </c>
      <c r="E20" s="196" t="s">
        <v>11279</v>
      </c>
      <c r="F20" s="196" t="s">
        <v>11233</v>
      </c>
      <c r="G20" s="196" t="s">
        <v>11234</v>
      </c>
      <c r="H20" s="196" t="s">
        <v>11235</v>
      </c>
    </row>
    <row r="21" spans="1:8" x14ac:dyDescent="0.15">
      <c r="A21" s="196" t="s">
        <v>11229</v>
      </c>
      <c r="B21" s="196" t="s">
        <v>11230</v>
      </c>
      <c r="C21" s="196" t="s">
        <v>11280</v>
      </c>
      <c r="D21" s="196" t="s">
        <v>11281</v>
      </c>
      <c r="E21" s="196" t="s">
        <v>11281</v>
      </c>
      <c r="F21" s="196" t="s">
        <v>11233</v>
      </c>
      <c r="G21" s="196" t="s">
        <v>11234</v>
      </c>
      <c r="H21" s="196" t="s">
        <v>11235</v>
      </c>
    </row>
    <row r="22" spans="1:8" x14ac:dyDescent="0.15">
      <c r="A22" s="196" t="s">
        <v>11229</v>
      </c>
      <c r="B22" s="196" t="s">
        <v>11230</v>
      </c>
      <c r="C22" s="196" t="s">
        <v>11282</v>
      </c>
      <c r="D22" s="196" t="s">
        <v>11283</v>
      </c>
      <c r="E22" s="196" t="s">
        <v>11284</v>
      </c>
      <c r="F22" s="196" t="s">
        <v>11268</v>
      </c>
      <c r="G22" s="196" t="s">
        <v>11234</v>
      </c>
      <c r="H22" s="196" t="s">
        <v>11235</v>
      </c>
    </row>
    <row r="23" spans="1:8" x14ac:dyDescent="0.15">
      <c r="A23" s="196" t="s">
        <v>11229</v>
      </c>
      <c r="B23" s="196" t="s">
        <v>11230</v>
      </c>
      <c r="C23" s="196" t="s">
        <v>11285</v>
      </c>
      <c r="D23" s="196" t="s">
        <v>11286</v>
      </c>
      <c r="E23" s="196" t="s">
        <v>11286</v>
      </c>
      <c r="F23" s="196" t="s">
        <v>11233</v>
      </c>
      <c r="G23" s="196" t="s">
        <v>11234</v>
      </c>
      <c r="H23" s="196" t="s">
        <v>11235</v>
      </c>
    </row>
    <row r="24" spans="1:8" x14ac:dyDescent="0.15">
      <c r="A24" s="196" t="s">
        <v>11229</v>
      </c>
      <c r="B24" s="196" t="s">
        <v>11230</v>
      </c>
      <c r="C24" s="196" t="s">
        <v>11287</v>
      </c>
      <c r="D24" s="196" t="s">
        <v>11288</v>
      </c>
      <c r="E24" s="196" t="s">
        <v>11288</v>
      </c>
      <c r="F24" s="196" t="s">
        <v>11233</v>
      </c>
      <c r="G24" s="196" t="s">
        <v>11234</v>
      </c>
      <c r="H24" s="196" t="s">
        <v>11235</v>
      </c>
    </row>
    <row r="25" spans="1:8" x14ac:dyDescent="0.15">
      <c r="A25" s="196" t="s">
        <v>11229</v>
      </c>
      <c r="B25" s="196" t="s">
        <v>11230</v>
      </c>
      <c r="C25" s="196" t="s">
        <v>11289</v>
      </c>
      <c r="D25" s="196" t="s">
        <v>11290</v>
      </c>
      <c r="E25" s="196" t="s">
        <v>11291</v>
      </c>
      <c r="F25" s="196" t="s">
        <v>11241</v>
      </c>
      <c r="G25" s="196" t="s">
        <v>11234</v>
      </c>
      <c r="H25" s="196" t="s">
        <v>11235</v>
      </c>
    </row>
    <row r="26" spans="1:8" x14ac:dyDescent="0.15">
      <c r="A26" s="196" t="s">
        <v>11229</v>
      </c>
      <c r="B26" s="196" t="s">
        <v>11230</v>
      </c>
      <c r="C26" s="196" t="s">
        <v>11292</v>
      </c>
      <c r="D26" s="196" t="s">
        <v>11293</v>
      </c>
      <c r="E26" s="196" t="s">
        <v>11293</v>
      </c>
      <c r="F26" s="196" t="s">
        <v>11233</v>
      </c>
      <c r="G26" s="196" t="s">
        <v>11234</v>
      </c>
      <c r="H26" s="196" t="s">
        <v>11235</v>
      </c>
    </row>
    <row r="27" spans="1:8" x14ac:dyDescent="0.15">
      <c r="A27" s="196" t="s">
        <v>11229</v>
      </c>
      <c r="B27" s="196" t="s">
        <v>11230</v>
      </c>
      <c r="C27" s="196" t="s">
        <v>11294</v>
      </c>
      <c r="D27" s="196" t="s">
        <v>11295</v>
      </c>
      <c r="E27" s="196" t="s">
        <v>11295</v>
      </c>
      <c r="F27" s="196" t="s">
        <v>11233</v>
      </c>
      <c r="G27" s="196" t="s">
        <v>11234</v>
      </c>
      <c r="H27" s="196" t="s">
        <v>11235</v>
      </c>
    </row>
    <row r="28" spans="1:8" x14ac:dyDescent="0.15">
      <c r="A28" s="196" t="s">
        <v>11229</v>
      </c>
      <c r="B28" s="196" t="s">
        <v>11230</v>
      </c>
      <c r="C28" s="196" t="s">
        <v>11296</v>
      </c>
      <c r="D28" s="196" t="s">
        <v>11297</v>
      </c>
      <c r="E28" s="196" t="s">
        <v>11297</v>
      </c>
      <c r="F28" s="196" t="s">
        <v>11233</v>
      </c>
      <c r="G28" s="196" t="s">
        <v>11234</v>
      </c>
      <c r="H28" s="196" t="s">
        <v>11235</v>
      </c>
    </row>
    <row r="29" spans="1:8" x14ac:dyDescent="0.15">
      <c r="A29" s="196" t="s">
        <v>11229</v>
      </c>
      <c r="B29" s="196" t="s">
        <v>11230</v>
      </c>
      <c r="C29" s="196" t="s">
        <v>11298</v>
      </c>
      <c r="D29" s="196" t="s">
        <v>11299</v>
      </c>
      <c r="E29" s="196" t="s">
        <v>11300</v>
      </c>
      <c r="F29" s="196" t="s">
        <v>11241</v>
      </c>
      <c r="G29" s="196" t="s">
        <v>11234</v>
      </c>
      <c r="H29" s="196" t="s">
        <v>11235</v>
      </c>
    </row>
    <row r="30" spans="1:8" x14ac:dyDescent="0.15">
      <c r="A30" s="196" t="s">
        <v>11229</v>
      </c>
      <c r="B30" s="196" t="s">
        <v>11230</v>
      </c>
      <c r="C30" s="196" t="s">
        <v>11301</v>
      </c>
      <c r="D30" s="196" t="s">
        <v>11302</v>
      </c>
      <c r="E30" s="196" t="s">
        <v>11302</v>
      </c>
      <c r="F30" s="196" t="s">
        <v>11233</v>
      </c>
      <c r="G30" s="196" t="s">
        <v>11234</v>
      </c>
      <c r="H30" s="196" t="s">
        <v>11235</v>
      </c>
    </row>
    <row r="31" spans="1:8" x14ac:dyDescent="0.15">
      <c r="A31" s="196" t="s">
        <v>11229</v>
      </c>
      <c r="B31" s="196" t="s">
        <v>11230</v>
      </c>
      <c r="C31" s="196" t="s">
        <v>11303</v>
      </c>
      <c r="D31" s="196" t="s">
        <v>11304</v>
      </c>
      <c r="E31" s="196" t="s">
        <v>11304</v>
      </c>
      <c r="F31" s="196" t="s">
        <v>11233</v>
      </c>
      <c r="G31" s="196" t="s">
        <v>11234</v>
      </c>
      <c r="H31" s="196" t="s">
        <v>11235</v>
      </c>
    </row>
    <row r="32" spans="1:8" x14ac:dyDescent="0.15">
      <c r="A32" s="196" t="s">
        <v>11229</v>
      </c>
      <c r="B32" s="196" t="s">
        <v>11230</v>
      </c>
      <c r="C32" s="196" t="s">
        <v>11305</v>
      </c>
      <c r="D32" s="196" t="s">
        <v>11306</v>
      </c>
      <c r="E32" s="196" t="s">
        <v>11306</v>
      </c>
      <c r="F32" s="196" t="s">
        <v>11233</v>
      </c>
      <c r="G32" s="196" t="s">
        <v>11234</v>
      </c>
      <c r="H32" s="196" t="s">
        <v>11235</v>
      </c>
    </row>
    <row r="33" spans="1:8" x14ac:dyDescent="0.15">
      <c r="A33" s="196" t="s">
        <v>11229</v>
      </c>
      <c r="B33" s="196" t="s">
        <v>11230</v>
      </c>
      <c r="C33" s="196" t="s">
        <v>11307</v>
      </c>
      <c r="D33" s="196" t="s">
        <v>11308</v>
      </c>
      <c r="E33" s="196" t="s">
        <v>11309</v>
      </c>
      <c r="F33" s="196" t="s">
        <v>11241</v>
      </c>
      <c r="G33" s="196" t="s">
        <v>11234</v>
      </c>
      <c r="H33" s="196" t="s">
        <v>11235</v>
      </c>
    </row>
    <row r="34" spans="1:8" x14ac:dyDescent="0.15">
      <c r="A34" s="196" t="s">
        <v>11229</v>
      </c>
      <c r="B34" s="196" t="s">
        <v>11230</v>
      </c>
      <c r="C34" s="196" t="s">
        <v>11310</v>
      </c>
      <c r="D34" s="196" t="s">
        <v>11311</v>
      </c>
      <c r="E34" s="196" t="s">
        <v>11311</v>
      </c>
      <c r="F34" s="196" t="s">
        <v>11233</v>
      </c>
      <c r="G34" s="196" t="s">
        <v>11234</v>
      </c>
      <c r="H34" s="196" t="s">
        <v>11235</v>
      </c>
    </row>
    <row r="35" spans="1:8" x14ac:dyDescent="0.15">
      <c r="A35" s="196" t="s">
        <v>11229</v>
      </c>
      <c r="B35" s="196" t="s">
        <v>11230</v>
      </c>
      <c r="C35" s="196" t="s">
        <v>11312</v>
      </c>
      <c r="D35" s="196" t="s">
        <v>11313</v>
      </c>
      <c r="E35" s="196" t="s">
        <v>11313</v>
      </c>
      <c r="F35" s="196" t="s">
        <v>11233</v>
      </c>
      <c r="G35" s="196" t="s">
        <v>11234</v>
      </c>
      <c r="H35" s="196" t="s">
        <v>11235</v>
      </c>
    </row>
    <row r="36" spans="1:8" x14ac:dyDescent="0.15">
      <c r="A36" s="196" t="s">
        <v>11229</v>
      </c>
      <c r="B36" s="196" t="s">
        <v>11230</v>
      </c>
      <c r="C36" s="196" t="s">
        <v>11314</v>
      </c>
      <c r="D36" s="196" t="s">
        <v>11315</v>
      </c>
      <c r="E36" s="196" t="s">
        <v>11315</v>
      </c>
      <c r="F36" s="196" t="s">
        <v>11233</v>
      </c>
      <c r="G36" s="196" t="s">
        <v>11234</v>
      </c>
      <c r="H36" s="196" t="s">
        <v>11235</v>
      </c>
    </row>
    <row r="37" spans="1:8" x14ac:dyDescent="0.15">
      <c r="A37" s="196" t="s">
        <v>11229</v>
      </c>
      <c r="B37" s="196" t="s">
        <v>11230</v>
      </c>
      <c r="C37" s="196" t="s">
        <v>11316</v>
      </c>
      <c r="D37" s="196" t="s">
        <v>11317</v>
      </c>
      <c r="E37" s="196" t="s">
        <v>11317</v>
      </c>
      <c r="F37" s="196" t="s">
        <v>11233</v>
      </c>
      <c r="G37" s="196" t="s">
        <v>11234</v>
      </c>
      <c r="H37" s="196" t="s">
        <v>11235</v>
      </c>
    </row>
    <row r="38" spans="1:8" x14ac:dyDescent="0.15">
      <c r="A38" s="196" t="s">
        <v>11229</v>
      </c>
      <c r="B38" s="196" t="s">
        <v>11230</v>
      </c>
      <c r="C38" s="196" t="s">
        <v>11318</v>
      </c>
      <c r="D38" s="196" t="s">
        <v>11319</v>
      </c>
      <c r="E38" s="196" t="s">
        <v>11319</v>
      </c>
      <c r="F38" s="196" t="s">
        <v>11233</v>
      </c>
      <c r="G38" s="196" t="s">
        <v>11234</v>
      </c>
      <c r="H38" s="196" t="s">
        <v>11235</v>
      </c>
    </row>
    <row r="39" spans="1:8" x14ac:dyDescent="0.15">
      <c r="A39" s="196" t="s">
        <v>11229</v>
      </c>
      <c r="B39" s="196" t="s">
        <v>11230</v>
      </c>
      <c r="C39" s="196" t="s">
        <v>11320</v>
      </c>
      <c r="D39" s="196" t="s">
        <v>11321</v>
      </c>
      <c r="E39" s="196" t="s">
        <v>11321</v>
      </c>
      <c r="F39" s="196" t="s">
        <v>11233</v>
      </c>
      <c r="G39" s="196" t="s">
        <v>11234</v>
      </c>
      <c r="H39" s="196" t="s">
        <v>11235</v>
      </c>
    </row>
    <row r="40" spans="1:8" x14ac:dyDescent="0.15">
      <c r="A40" s="196" t="s">
        <v>11229</v>
      </c>
      <c r="B40" s="196" t="s">
        <v>11230</v>
      </c>
      <c r="C40" s="196" t="s">
        <v>11322</v>
      </c>
      <c r="D40" s="196" t="s">
        <v>11323</v>
      </c>
      <c r="E40" s="196" t="s">
        <v>11324</v>
      </c>
      <c r="F40" s="196" t="s">
        <v>11241</v>
      </c>
      <c r="G40" s="196" t="s">
        <v>11234</v>
      </c>
      <c r="H40" s="196" t="s">
        <v>11235</v>
      </c>
    </row>
    <row r="41" spans="1:8" x14ac:dyDescent="0.15">
      <c r="A41" s="196" t="s">
        <v>11229</v>
      </c>
      <c r="B41" s="196" t="s">
        <v>11230</v>
      </c>
      <c r="C41" s="196" t="s">
        <v>11325</v>
      </c>
      <c r="D41" s="196" t="s">
        <v>11326</v>
      </c>
      <c r="E41" s="196" t="s">
        <v>11326</v>
      </c>
      <c r="F41" s="196" t="s">
        <v>11233</v>
      </c>
      <c r="G41" s="196" t="s">
        <v>11234</v>
      </c>
      <c r="H41" s="196" t="s">
        <v>11235</v>
      </c>
    </row>
    <row r="42" spans="1:8" x14ac:dyDescent="0.15">
      <c r="A42" s="196" t="s">
        <v>11229</v>
      </c>
      <c r="B42" s="196" t="s">
        <v>11230</v>
      </c>
      <c r="C42" s="196" t="s">
        <v>11327</v>
      </c>
      <c r="D42" s="196" t="s">
        <v>11328</v>
      </c>
      <c r="E42" s="196" t="s">
        <v>11328</v>
      </c>
      <c r="F42" s="196" t="s">
        <v>11233</v>
      </c>
      <c r="G42" s="196" t="s">
        <v>11234</v>
      </c>
      <c r="H42" s="196" t="s">
        <v>11235</v>
      </c>
    </row>
    <row r="43" spans="1:8" x14ac:dyDescent="0.15">
      <c r="A43" s="196" t="s">
        <v>11229</v>
      </c>
      <c r="B43" s="196" t="s">
        <v>11230</v>
      </c>
      <c r="C43" s="196" t="s">
        <v>11329</v>
      </c>
      <c r="D43" s="196" t="s">
        <v>11330</v>
      </c>
      <c r="E43" s="196" t="s">
        <v>11330</v>
      </c>
      <c r="F43" s="196" t="s">
        <v>11233</v>
      </c>
      <c r="G43" s="196" t="s">
        <v>11234</v>
      </c>
      <c r="H43" s="196" t="s">
        <v>11235</v>
      </c>
    </row>
    <row r="44" spans="1:8" x14ac:dyDescent="0.15">
      <c r="A44" s="196" t="s">
        <v>11229</v>
      </c>
      <c r="B44" s="196" t="s">
        <v>11230</v>
      </c>
      <c r="C44" s="196" t="s">
        <v>11331</v>
      </c>
      <c r="D44" s="196" t="s">
        <v>11332</v>
      </c>
      <c r="E44" s="196" t="s">
        <v>11332</v>
      </c>
      <c r="F44" s="196" t="s">
        <v>11233</v>
      </c>
      <c r="G44" s="196" t="s">
        <v>11234</v>
      </c>
      <c r="H44" s="196" t="s">
        <v>11235</v>
      </c>
    </row>
    <row r="45" spans="1:8" x14ac:dyDescent="0.15">
      <c r="A45" s="196" t="s">
        <v>11229</v>
      </c>
      <c r="B45" s="196" t="s">
        <v>11230</v>
      </c>
      <c r="C45" s="196" t="s">
        <v>11333</v>
      </c>
      <c r="D45" s="196" t="s">
        <v>11334</v>
      </c>
      <c r="E45" s="196" t="s">
        <v>11334</v>
      </c>
      <c r="F45" s="196" t="s">
        <v>11233</v>
      </c>
      <c r="G45" s="196" t="s">
        <v>11234</v>
      </c>
      <c r="H45" s="196" t="s">
        <v>11235</v>
      </c>
    </row>
    <row r="46" spans="1:8" x14ac:dyDescent="0.15">
      <c r="A46" s="196" t="s">
        <v>11229</v>
      </c>
      <c r="B46" s="196" t="s">
        <v>11230</v>
      </c>
      <c r="C46" s="196" t="s">
        <v>11335</v>
      </c>
      <c r="D46" s="196" t="s">
        <v>11336</v>
      </c>
      <c r="E46" s="196" t="s">
        <v>11336</v>
      </c>
      <c r="F46" s="196" t="s">
        <v>11233</v>
      </c>
      <c r="G46" s="196" t="s">
        <v>11234</v>
      </c>
      <c r="H46" s="196" t="s">
        <v>11235</v>
      </c>
    </row>
    <row r="47" spans="1:8" x14ac:dyDescent="0.15">
      <c r="A47" s="196" t="s">
        <v>11229</v>
      </c>
      <c r="B47" s="196" t="s">
        <v>11230</v>
      </c>
      <c r="C47" s="196" t="s">
        <v>11337</v>
      </c>
      <c r="D47" s="196" t="s">
        <v>11338</v>
      </c>
      <c r="E47" s="196" t="s">
        <v>11338</v>
      </c>
      <c r="F47" s="196" t="s">
        <v>11233</v>
      </c>
      <c r="G47" s="196" t="s">
        <v>11234</v>
      </c>
      <c r="H47" s="196" t="s">
        <v>11235</v>
      </c>
    </row>
    <row r="48" spans="1:8" x14ac:dyDescent="0.15">
      <c r="A48" s="196" t="s">
        <v>11229</v>
      </c>
      <c r="B48" s="196" t="s">
        <v>11230</v>
      </c>
      <c r="C48" s="196" t="s">
        <v>11339</v>
      </c>
      <c r="D48" s="196" t="s">
        <v>11340</v>
      </c>
      <c r="E48" s="196" t="s">
        <v>11340</v>
      </c>
      <c r="F48" s="196" t="s">
        <v>11233</v>
      </c>
      <c r="G48" s="196" t="s">
        <v>11234</v>
      </c>
      <c r="H48" s="196" t="s">
        <v>11235</v>
      </c>
    </row>
    <row r="49" spans="1:8" x14ac:dyDescent="0.15">
      <c r="A49" s="196" t="s">
        <v>11229</v>
      </c>
      <c r="B49" s="196" t="s">
        <v>11230</v>
      </c>
      <c r="C49" s="196" t="s">
        <v>11341</v>
      </c>
      <c r="D49" s="196" t="s">
        <v>11342</v>
      </c>
      <c r="E49" s="196" t="s">
        <v>11343</v>
      </c>
      <c r="F49" s="196" t="s">
        <v>11241</v>
      </c>
      <c r="G49" s="196" t="s">
        <v>11234</v>
      </c>
      <c r="H49" s="196" t="s">
        <v>11235</v>
      </c>
    </row>
    <row r="50" spans="1:8" x14ac:dyDescent="0.15">
      <c r="A50" s="196" t="s">
        <v>11229</v>
      </c>
      <c r="B50" s="196" t="s">
        <v>11230</v>
      </c>
      <c r="C50" s="196" t="s">
        <v>11344</v>
      </c>
      <c r="D50" s="196" t="s">
        <v>11345</v>
      </c>
      <c r="E50" s="196" t="s">
        <v>11345</v>
      </c>
      <c r="F50" s="196" t="s">
        <v>11233</v>
      </c>
      <c r="G50" s="196" t="s">
        <v>11234</v>
      </c>
      <c r="H50" s="196" t="s">
        <v>11235</v>
      </c>
    </row>
    <row r="51" spans="1:8" x14ac:dyDescent="0.15">
      <c r="A51" s="196" t="s">
        <v>11229</v>
      </c>
      <c r="B51" s="196" t="s">
        <v>11230</v>
      </c>
      <c r="C51" s="196" t="s">
        <v>11346</v>
      </c>
      <c r="D51" s="196" t="s">
        <v>11347</v>
      </c>
      <c r="E51" s="196" t="s">
        <v>11347</v>
      </c>
      <c r="F51" s="196" t="s">
        <v>11233</v>
      </c>
      <c r="G51" s="196" t="s">
        <v>11234</v>
      </c>
      <c r="H51" s="196" t="s">
        <v>11235</v>
      </c>
    </row>
    <row r="52" spans="1:8" x14ac:dyDescent="0.15">
      <c r="A52" s="196" t="s">
        <v>11229</v>
      </c>
      <c r="B52" s="196" t="s">
        <v>11230</v>
      </c>
      <c r="C52" s="196" t="s">
        <v>11348</v>
      </c>
      <c r="D52" s="196" t="s">
        <v>11349</v>
      </c>
      <c r="E52" s="196" t="s">
        <v>11349</v>
      </c>
      <c r="F52" s="196" t="s">
        <v>11233</v>
      </c>
      <c r="G52" s="196" t="s">
        <v>11234</v>
      </c>
      <c r="H52" s="196" t="s">
        <v>11235</v>
      </c>
    </row>
    <row r="53" spans="1:8" x14ac:dyDescent="0.15">
      <c r="A53" s="196" t="s">
        <v>11229</v>
      </c>
      <c r="B53" s="196" t="s">
        <v>11230</v>
      </c>
      <c r="C53" s="196" t="s">
        <v>11350</v>
      </c>
      <c r="D53" s="196" t="s">
        <v>11351</v>
      </c>
      <c r="E53" s="196" t="s">
        <v>11352</v>
      </c>
      <c r="F53" s="196" t="s">
        <v>11241</v>
      </c>
      <c r="G53" s="196" t="s">
        <v>11234</v>
      </c>
      <c r="H53" s="196" t="s">
        <v>11235</v>
      </c>
    </row>
    <row r="54" spans="1:8" x14ac:dyDescent="0.15">
      <c r="A54" s="196" t="s">
        <v>11229</v>
      </c>
      <c r="B54" s="196" t="s">
        <v>11230</v>
      </c>
      <c r="C54" s="196" t="s">
        <v>11353</v>
      </c>
      <c r="D54" s="196" t="s">
        <v>11354</v>
      </c>
      <c r="E54" s="196" t="s">
        <v>11354</v>
      </c>
      <c r="F54" s="196" t="s">
        <v>11233</v>
      </c>
      <c r="G54" s="196" t="s">
        <v>11234</v>
      </c>
      <c r="H54" s="196" t="s">
        <v>11235</v>
      </c>
    </row>
    <row r="55" spans="1:8" x14ac:dyDescent="0.15">
      <c r="A55" s="196" t="s">
        <v>11229</v>
      </c>
      <c r="B55" s="196" t="s">
        <v>11230</v>
      </c>
      <c r="C55" s="196" t="s">
        <v>11355</v>
      </c>
      <c r="D55" s="196" t="s">
        <v>11356</v>
      </c>
      <c r="E55" s="196" t="s">
        <v>11357</v>
      </c>
      <c r="F55" s="196" t="s">
        <v>11268</v>
      </c>
      <c r="G55" s="196" t="s">
        <v>11234</v>
      </c>
      <c r="H55" s="196" t="s">
        <v>11235</v>
      </c>
    </row>
    <row r="56" spans="1:8" x14ac:dyDescent="0.15">
      <c r="A56" s="196" t="s">
        <v>11229</v>
      </c>
      <c r="B56" s="196" t="s">
        <v>11230</v>
      </c>
      <c r="C56" s="196" t="s">
        <v>11358</v>
      </c>
      <c r="D56" s="196" t="s">
        <v>11357</v>
      </c>
      <c r="E56" s="196" t="s">
        <v>11359</v>
      </c>
      <c r="F56" s="196" t="s">
        <v>11241</v>
      </c>
      <c r="G56" s="196" t="s">
        <v>11234</v>
      </c>
      <c r="H56" s="196" t="s">
        <v>11235</v>
      </c>
    </row>
    <row r="57" spans="1:8" x14ac:dyDescent="0.15">
      <c r="A57" s="196" t="s">
        <v>11229</v>
      </c>
      <c r="B57" s="196" t="s">
        <v>11230</v>
      </c>
      <c r="C57" s="196" t="s">
        <v>11360</v>
      </c>
      <c r="D57" s="196" t="s">
        <v>11361</v>
      </c>
      <c r="E57" s="196" t="s">
        <v>11361</v>
      </c>
      <c r="F57" s="196" t="s">
        <v>11233</v>
      </c>
      <c r="G57" s="196" t="s">
        <v>11234</v>
      </c>
      <c r="H57" s="196" t="s">
        <v>11235</v>
      </c>
    </row>
    <row r="58" spans="1:8" x14ac:dyDescent="0.15">
      <c r="A58" s="196" t="s">
        <v>11229</v>
      </c>
      <c r="B58" s="196" t="s">
        <v>11230</v>
      </c>
      <c r="C58" s="196" t="s">
        <v>11362</v>
      </c>
      <c r="D58" s="196" t="s">
        <v>11363</v>
      </c>
      <c r="E58" s="196" t="s">
        <v>11363</v>
      </c>
      <c r="F58" s="196" t="s">
        <v>11233</v>
      </c>
      <c r="G58" s="196" t="s">
        <v>11234</v>
      </c>
      <c r="H58" s="196" t="s">
        <v>11235</v>
      </c>
    </row>
    <row r="59" spans="1:8" x14ac:dyDescent="0.15">
      <c r="A59" s="196" t="s">
        <v>11229</v>
      </c>
      <c r="B59" s="196" t="s">
        <v>11230</v>
      </c>
      <c r="C59" s="196" t="s">
        <v>11364</v>
      </c>
      <c r="D59" s="196" t="s">
        <v>11365</v>
      </c>
      <c r="E59" s="196" t="s">
        <v>11365</v>
      </c>
      <c r="F59" s="196" t="s">
        <v>11233</v>
      </c>
      <c r="G59" s="196" t="s">
        <v>11234</v>
      </c>
      <c r="H59" s="196" t="s">
        <v>11235</v>
      </c>
    </row>
    <row r="60" spans="1:8" x14ac:dyDescent="0.15">
      <c r="A60" s="196" t="s">
        <v>11229</v>
      </c>
      <c r="B60" s="196" t="s">
        <v>11230</v>
      </c>
      <c r="C60" s="196" t="s">
        <v>11366</v>
      </c>
      <c r="D60" s="196" t="s">
        <v>11367</v>
      </c>
      <c r="E60" s="196" t="s">
        <v>11367</v>
      </c>
      <c r="F60" s="196" t="s">
        <v>11233</v>
      </c>
      <c r="G60" s="196" t="s">
        <v>11234</v>
      </c>
      <c r="H60" s="196" t="s">
        <v>11235</v>
      </c>
    </row>
    <row r="61" spans="1:8" x14ac:dyDescent="0.15">
      <c r="A61" s="196" t="s">
        <v>11229</v>
      </c>
      <c r="B61" s="196" t="s">
        <v>11230</v>
      </c>
      <c r="C61" s="196" t="s">
        <v>11368</v>
      </c>
      <c r="D61" s="196" t="s">
        <v>11369</v>
      </c>
      <c r="E61" s="196" t="s">
        <v>11369</v>
      </c>
      <c r="F61" s="196" t="s">
        <v>11233</v>
      </c>
      <c r="G61" s="196" t="s">
        <v>11234</v>
      </c>
      <c r="H61" s="196" t="s">
        <v>11235</v>
      </c>
    </row>
    <row r="62" spans="1:8" x14ac:dyDescent="0.15">
      <c r="A62" s="196" t="s">
        <v>11229</v>
      </c>
      <c r="B62" s="196" t="s">
        <v>11230</v>
      </c>
      <c r="C62" s="196" t="s">
        <v>11370</v>
      </c>
      <c r="D62" s="196" t="s">
        <v>11371</v>
      </c>
      <c r="E62" s="196" t="s">
        <v>11371</v>
      </c>
      <c r="F62" s="196" t="s">
        <v>11233</v>
      </c>
      <c r="G62" s="196" t="s">
        <v>11234</v>
      </c>
      <c r="H62" s="196" t="s">
        <v>11235</v>
      </c>
    </row>
    <row r="63" spans="1:8" x14ac:dyDescent="0.15">
      <c r="A63" s="196" t="s">
        <v>11229</v>
      </c>
      <c r="B63" s="196" t="s">
        <v>11230</v>
      </c>
      <c r="C63" s="196" t="s">
        <v>11372</v>
      </c>
      <c r="D63" s="196" t="s">
        <v>11373</v>
      </c>
      <c r="E63" s="196" t="s">
        <v>11373</v>
      </c>
      <c r="F63" s="196" t="s">
        <v>11233</v>
      </c>
      <c r="G63" s="196" t="s">
        <v>11234</v>
      </c>
      <c r="H63" s="196" t="s">
        <v>11235</v>
      </c>
    </row>
    <row r="64" spans="1:8" x14ac:dyDescent="0.15">
      <c r="A64" s="196" t="s">
        <v>11229</v>
      </c>
      <c r="B64" s="196" t="s">
        <v>11230</v>
      </c>
      <c r="C64" s="196" t="s">
        <v>11374</v>
      </c>
      <c r="D64" s="196" t="s">
        <v>11375</v>
      </c>
      <c r="E64" s="196" t="s">
        <v>11375</v>
      </c>
      <c r="F64" s="196" t="s">
        <v>11233</v>
      </c>
      <c r="G64" s="196" t="s">
        <v>11234</v>
      </c>
      <c r="H64" s="196" t="s">
        <v>11235</v>
      </c>
    </row>
    <row r="65" spans="1:8" x14ac:dyDescent="0.15">
      <c r="A65" s="196" t="s">
        <v>11229</v>
      </c>
      <c r="B65" s="196" t="s">
        <v>11230</v>
      </c>
      <c r="C65" s="196" t="s">
        <v>11376</v>
      </c>
      <c r="D65" s="196" t="s">
        <v>11377</v>
      </c>
      <c r="E65" s="196" t="s">
        <v>11377</v>
      </c>
      <c r="F65" s="196" t="s">
        <v>11233</v>
      </c>
      <c r="G65" s="196" t="s">
        <v>11234</v>
      </c>
      <c r="H65" s="196" t="s">
        <v>11235</v>
      </c>
    </row>
    <row r="66" spans="1:8" x14ac:dyDescent="0.15">
      <c r="A66" s="196" t="s">
        <v>11229</v>
      </c>
      <c r="B66" s="196" t="s">
        <v>11230</v>
      </c>
      <c r="C66" s="196" t="s">
        <v>11378</v>
      </c>
      <c r="D66" s="196" t="s">
        <v>11379</v>
      </c>
      <c r="E66" s="196" t="s">
        <v>11379</v>
      </c>
      <c r="F66" s="196" t="s">
        <v>11233</v>
      </c>
      <c r="G66" s="196" t="s">
        <v>11234</v>
      </c>
      <c r="H66" s="196" t="s">
        <v>11235</v>
      </c>
    </row>
    <row r="67" spans="1:8" x14ac:dyDescent="0.15">
      <c r="A67" s="196" t="s">
        <v>11229</v>
      </c>
      <c r="B67" s="196" t="s">
        <v>11230</v>
      </c>
      <c r="C67" s="196" t="s">
        <v>11380</v>
      </c>
      <c r="D67" s="196" t="s">
        <v>11381</v>
      </c>
      <c r="E67" s="196" t="s">
        <v>11381</v>
      </c>
      <c r="F67" s="196" t="s">
        <v>11233</v>
      </c>
      <c r="G67" s="196" t="s">
        <v>11234</v>
      </c>
      <c r="H67" s="196" t="s">
        <v>11235</v>
      </c>
    </row>
    <row r="68" spans="1:8" x14ac:dyDescent="0.15">
      <c r="A68" s="196" t="s">
        <v>11229</v>
      </c>
      <c r="B68" s="196" t="s">
        <v>11230</v>
      </c>
      <c r="C68" s="196" t="s">
        <v>11382</v>
      </c>
      <c r="D68" s="196" t="s">
        <v>11383</v>
      </c>
      <c r="E68" s="196" t="s">
        <v>11384</v>
      </c>
      <c r="F68" s="196" t="s">
        <v>11241</v>
      </c>
      <c r="G68" s="196" t="s">
        <v>11234</v>
      </c>
      <c r="H68" s="196" t="s">
        <v>11235</v>
      </c>
    </row>
    <row r="69" spans="1:8" x14ac:dyDescent="0.15">
      <c r="A69" s="196" t="s">
        <v>11229</v>
      </c>
      <c r="B69" s="196" t="s">
        <v>11230</v>
      </c>
      <c r="C69" s="196" t="s">
        <v>11385</v>
      </c>
      <c r="D69" s="196" t="s">
        <v>11384</v>
      </c>
      <c r="E69" s="196" t="s">
        <v>11386</v>
      </c>
      <c r="F69" s="196" t="s">
        <v>11268</v>
      </c>
      <c r="G69" s="196" t="s">
        <v>11234</v>
      </c>
      <c r="H69" s="196" t="s">
        <v>11235</v>
      </c>
    </row>
    <row r="70" spans="1:8" x14ac:dyDescent="0.15">
      <c r="A70" s="196" t="s">
        <v>11229</v>
      </c>
      <c r="B70" s="196" t="s">
        <v>11230</v>
      </c>
      <c r="C70" s="196" t="s">
        <v>11387</v>
      </c>
      <c r="D70" s="196" t="s">
        <v>11388</v>
      </c>
      <c r="E70" s="196" t="s">
        <v>11388</v>
      </c>
      <c r="F70" s="196" t="s">
        <v>11233</v>
      </c>
      <c r="G70" s="196" t="s">
        <v>11234</v>
      </c>
      <c r="H70" s="196" t="s">
        <v>11235</v>
      </c>
    </row>
    <row r="71" spans="1:8" x14ac:dyDescent="0.15">
      <c r="A71" s="196" t="s">
        <v>11229</v>
      </c>
      <c r="B71" s="196" t="s">
        <v>11230</v>
      </c>
      <c r="C71" s="196" t="s">
        <v>11389</v>
      </c>
      <c r="D71" s="196" t="s">
        <v>11390</v>
      </c>
      <c r="E71" s="196" t="s">
        <v>11390</v>
      </c>
      <c r="F71" s="196" t="s">
        <v>11233</v>
      </c>
      <c r="G71" s="196" t="s">
        <v>11234</v>
      </c>
      <c r="H71" s="196" t="s">
        <v>11235</v>
      </c>
    </row>
    <row r="72" spans="1:8" x14ac:dyDescent="0.15">
      <c r="A72" s="196" t="s">
        <v>11229</v>
      </c>
      <c r="B72" s="196" t="s">
        <v>11230</v>
      </c>
      <c r="C72" s="196" t="s">
        <v>11391</v>
      </c>
      <c r="D72" s="196" t="s">
        <v>11392</v>
      </c>
      <c r="E72" s="196" t="s">
        <v>11392</v>
      </c>
      <c r="F72" s="196" t="s">
        <v>11233</v>
      </c>
      <c r="G72" s="196" t="s">
        <v>11234</v>
      </c>
      <c r="H72" s="196" t="s">
        <v>11235</v>
      </c>
    </row>
    <row r="73" spans="1:8" x14ac:dyDescent="0.15">
      <c r="A73" s="196" t="s">
        <v>11229</v>
      </c>
      <c r="B73" s="196" t="s">
        <v>11230</v>
      </c>
      <c r="C73" s="196" t="s">
        <v>11393</v>
      </c>
      <c r="D73" s="196" t="s">
        <v>11394</v>
      </c>
      <c r="E73" s="196" t="s">
        <v>11394</v>
      </c>
      <c r="F73" s="196" t="s">
        <v>11233</v>
      </c>
      <c r="G73" s="196" t="s">
        <v>11234</v>
      </c>
      <c r="H73" s="196" t="s">
        <v>11235</v>
      </c>
    </row>
    <row r="74" spans="1:8" x14ac:dyDescent="0.15">
      <c r="A74" s="196" t="s">
        <v>11229</v>
      </c>
      <c r="B74" s="196" t="s">
        <v>11230</v>
      </c>
      <c r="C74" s="196" t="s">
        <v>11395</v>
      </c>
      <c r="D74" s="196" t="s">
        <v>11396</v>
      </c>
      <c r="E74" s="196" t="s">
        <v>11396</v>
      </c>
      <c r="F74" s="196" t="s">
        <v>11233</v>
      </c>
      <c r="G74" s="196" t="s">
        <v>11234</v>
      </c>
      <c r="H74" s="196" t="s">
        <v>11235</v>
      </c>
    </row>
    <row r="75" spans="1:8" x14ac:dyDescent="0.15">
      <c r="A75" s="196" t="s">
        <v>11229</v>
      </c>
      <c r="B75" s="196" t="s">
        <v>11230</v>
      </c>
      <c r="C75" s="196" t="s">
        <v>11397</v>
      </c>
      <c r="D75" s="196" t="s">
        <v>11398</v>
      </c>
      <c r="E75" s="196" t="s">
        <v>11399</v>
      </c>
      <c r="F75" s="196" t="s">
        <v>11268</v>
      </c>
      <c r="G75" s="196" t="s">
        <v>11234</v>
      </c>
      <c r="H75" s="196" t="s">
        <v>11235</v>
      </c>
    </row>
    <row r="76" spans="1:8" x14ac:dyDescent="0.15">
      <c r="A76" s="196" t="s">
        <v>11229</v>
      </c>
      <c r="B76" s="196" t="s">
        <v>11230</v>
      </c>
      <c r="C76" s="196" t="s">
        <v>11400</v>
      </c>
      <c r="D76" s="196" t="s">
        <v>11399</v>
      </c>
      <c r="E76" s="196" t="s">
        <v>11401</v>
      </c>
      <c r="F76" s="196" t="s">
        <v>11241</v>
      </c>
      <c r="G76" s="196" t="s">
        <v>11234</v>
      </c>
      <c r="H76" s="196" t="s">
        <v>11235</v>
      </c>
    </row>
    <row r="77" spans="1:8" x14ac:dyDescent="0.15">
      <c r="A77" s="196" t="s">
        <v>11229</v>
      </c>
      <c r="B77" s="196" t="s">
        <v>11230</v>
      </c>
      <c r="C77" s="196" t="s">
        <v>11402</v>
      </c>
      <c r="D77" s="196" t="s">
        <v>11403</v>
      </c>
      <c r="E77" s="196" t="s">
        <v>11403</v>
      </c>
      <c r="F77" s="196" t="s">
        <v>11233</v>
      </c>
      <c r="G77" s="196" t="s">
        <v>11234</v>
      </c>
      <c r="H77" s="196" t="s">
        <v>11235</v>
      </c>
    </row>
    <row r="78" spans="1:8" x14ac:dyDescent="0.15">
      <c r="A78" s="196" t="s">
        <v>11229</v>
      </c>
      <c r="B78" s="196" t="s">
        <v>11230</v>
      </c>
      <c r="C78" s="196" t="s">
        <v>11404</v>
      </c>
      <c r="D78" s="196" t="s">
        <v>11405</v>
      </c>
      <c r="E78" s="196" t="s">
        <v>11406</v>
      </c>
      <c r="F78" s="196" t="s">
        <v>11268</v>
      </c>
      <c r="G78" s="196" t="s">
        <v>11234</v>
      </c>
      <c r="H78" s="196" t="s">
        <v>11235</v>
      </c>
    </row>
    <row r="79" spans="1:8" x14ac:dyDescent="0.15">
      <c r="A79" s="196" t="s">
        <v>11229</v>
      </c>
      <c r="B79" s="196" t="s">
        <v>11230</v>
      </c>
      <c r="C79" s="196" t="s">
        <v>11407</v>
      </c>
      <c r="D79" s="196" t="s">
        <v>11406</v>
      </c>
      <c r="E79" s="196" t="s">
        <v>11408</v>
      </c>
      <c r="F79" s="196" t="s">
        <v>11241</v>
      </c>
      <c r="G79" s="196" t="s">
        <v>11234</v>
      </c>
      <c r="H79" s="196" t="s">
        <v>11235</v>
      </c>
    </row>
    <row r="80" spans="1:8" x14ac:dyDescent="0.15">
      <c r="A80" s="196" t="s">
        <v>11229</v>
      </c>
      <c r="B80" s="196" t="s">
        <v>11230</v>
      </c>
      <c r="C80" s="196" t="s">
        <v>11409</v>
      </c>
      <c r="D80" s="196" t="s">
        <v>11410</v>
      </c>
      <c r="E80" s="196" t="s">
        <v>11410</v>
      </c>
      <c r="F80" s="196" t="s">
        <v>11233</v>
      </c>
      <c r="G80" s="196" t="s">
        <v>11234</v>
      </c>
      <c r="H80" s="196" t="s">
        <v>11235</v>
      </c>
    </row>
    <row r="81" spans="1:8" x14ac:dyDescent="0.15">
      <c r="A81" s="196" t="s">
        <v>11229</v>
      </c>
      <c r="B81" s="196" t="s">
        <v>11230</v>
      </c>
      <c r="C81" s="196" t="s">
        <v>11411</v>
      </c>
      <c r="D81" s="196" t="s">
        <v>11412</v>
      </c>
      <c r="E81" s="196" t="s">
        <v>11412</v>
      </c>
      <c r="F81" s="196" t="s">
        <v>11233</v>
      </c>
      <c r="G81" s="196" t="s">
        <v>11234</v>
      </c>
      <c r="H81" s="196" t="s">
        <v>11235</v>
      </c>
    </row>
    <row r="82" spans="1:8" x14ac:dyDescent="0.15">
      <c r="A82" s="196" t="s">
        <v>11229</v>
      </c>
      <c r="B82" s="196" t="s">
        <v>11230</v>
      </c>
      <c r="C82" s="196" t="s">
        <v>11413</v>
      </c>
      <c r="D82" s="196" t="s">
        <v>11414</v>
      </c>
      <c r="E82" s="196" t="s">
        <v>11415</v>
      </c>
      <c r="F82" s="196" t="s">
        <v>11241</v>
      </c>
      <c r="G82" s="196" t="s">
        <v>11234</v>
      </c>
      <c r="H82" s="196" t="s">
        <v>11235</v>
      </c>
    </row>
    <row r="83" spans="1:8" x14ac:dyDescent="0.15">
      <c r="A83" s="196" t="s">
        <v>11229</v>
      </c>
      <c r="B83" s="196" t="s">
        <v>11230</v>
      </c>
      <c r="C83" s="196" t="s">
        <v>11416</v>
      </c>
      <c r="D83" s="196" t="s">
        <v>11417</v>
      </c>
      <c r="E83" s="196" t="s">
        <v>11417</v>
      </c>
      <c r="F83" s="196" t="s">
        <v>11233</v>
      </c>
      <c r="G83" s="196" t="s">
        <v>11234</v>
      </c>
      <c r="H83" s="196" t="s">
        <v>11235</v>
      </c>
    </row>
    <row r="84" spans="1:8" x14ac:dyDescent="0.15">
      <c r="A84" s="196" t="s">
        <v>11229</v>
      </c>
      <c r="B84" s="196" t="s">
        <v>11230</v>
      </c>
      <c r="C84" s="196" t="s">
        <v>11418</v>
      </c>
      <c r="D84" s="196" t="s">
        <v>11419</v>
      </c>
      <c r="E84" s="196" t="s">
        <v>11419</v>
      </c>
      <c r="F84" s="196" t="s">
        <v>11233</v>
      </c>
      <c r="G84" s="196" t="s">
        <v>11234</v>
      </c>
      <c r="H84" s="196" t="s">
        <v>11235</v>
      </c>
    </row>
    <row r="85" spans="1:8" x14ac:dyDescent="0.15">
      <c r="A85" s="196" t="s">
        <v>11229</v>
      </c>
      <c r="B85" s="196" t="s">
        <v>11230</v>
      </c>
      <c r="C85" s="196" t="s">
        <v>11420</v>
      </c>
      <c r="D85" s="196" t="s">
        <v>11421</v>
      </c>
      <c r="E85" s="196" t="s">
        <v>11421</v>
      </c>
      <c r="F85" s="196" t="s">
        <v>11233</v>
      </c>
      <c r="G85" s="196" t="s">
        <v>11234</v>
      </c>
      <c r="H85" s="196" t="s">
        <v>11235</v>
      </c>
    </row>
    <row r="86" spans="1:8" x14ac:dyDescent="0.15">
      <c r="A86" s="196" t="s">
        <v>11229</v>
      </c>
      <c r="B86" s="196" t="s">
        <v>11230</v>
      </c>
      <c r="C86" s="196" t="s">
        <v>11422</v>
      </c>
      <c r="D86" s="196" t="s">
        <v>11423</v>
      </c>
      <c r="E86" s="196" t="s">
        <v>11423</v>
      </c>
      <c r="F86" s="196" t="s">
        <v>11233</v>
      </c>
      <c r="G86" s="196" t="s">
        <v>11234</v>
      </c>
      <c r="H86" s="196" t="s">
        <v>11235</v>
      </c>
    </row>
    <row r="87" spans="1:8" x14ac:dyDescent="0.15">
      <c r="A87" s="196" t="s">
        <v>11229</v>
      </c>
      <c r="B87" s="196" t="s">
        <v>11230</v>
      </c>
      <c r="C87" s="196" t="s">
        <v>11424</v>
      </c>
      <c r="D87" s="196" t="s">
        <v>11425</v>
      </c>
      <c r="E87" s="196" t="s">
        <v>11425</v>
      </c>
      <c r="F87" s="196" t="s">
        <v>11233</v>
      </c>
      <c r="G87" s="196" t="s">
        <v>11234</v>
      </c>
      <c r="H87" s="196" t="s">
        <v>11235</v>
      </c>
    </row>
    <row r="88" spans="1:8" x14ac:dyDescent="0.15">
      <c r="A88" s="196" t="s">
        <v>11229</v>
      </c>
      <c r="B88" s="196" t="s">
        <v>11230</v>
      </c>
      <c r="C88" s="196" t="s">
        <v>11426</v>
      </c>
      <c r="D88" s="196" t="s">
        <v>11427</v>
      </c>
      <c r="E88" s="196" t="s">
        <v>11428</v>
      </c>
      <c r="F88" s="196" t="s">
        <v>11241</v>
      </c>
      <c r="G88" s="196" t="s">
        <v>11234</v>
      </c>
      <c r="H88" s="196" t="s">
        <v>11235</v>
      </c>
    </row>
    <row r="89" spans="1:8" x14ac:dyDescent="0.15">
      <c r="A89" s="196" t="s">
        <v>11229</v>
      </c>
      <c r="B89" s="196" t="s">
        <v>11230</v>
      </c>
      <c r="C89" s="196" t="s">
        <v>11429</v>
      </c>
      <c r="D89" s="196" t="s">
        <v>11428</v>
      </c>
      <c r="E89" s="196" t="s">
        <v>11430</v>
      </c>
      <c r="F89" s="196" t="s">
        <v>11241</v>
      </c>
      <c r="G89" s="196" t="s">
        <v>11234</v>
      </c>
      <c r="H89" s="196" t="s">
        <v>11235</v>
      </c>
    </row>
    <row r="90" spans="1:8" x14ac:dyDescent="0.15">
      <c r="A90" s="196" t="s">
        <v>11229</v>
      </c>
      <c r="B90" s="196" t="s">
        <v>11230</v>
      </c>
      <c r="C90" s="196" t="s">
        <v>11431</v>
      </c>
      <c r="D90" s="196" t="s">
        <v>11432</v>
      </c>
      <c r="E90" s="196" t="s">
        <v>11432</v>
      </c>
      <c r="F90" s="196" t="s">
        <v>11233</v>
      </c>
      <c r="G90" s="196" t="s">
        <v>11234</v>
      </c>
      <c r="H90" s="196" t="s">
        <v>11235</v>
      </c>
    </row>
    <row r="91" spans="1:8" x14ac:dyDescent="0.15">
      <c r="A91" s="196" t="s">
        <v>11229</v>
      </c>
      <c r="B91" s="196" t="s">
        <v>11230</v>
      </c>
      <c r="C91" s="196" t="s">
        <v>11433</v>
      </c>
      <c r="D91" s="196" t="s">
        <v>11434</v>
      </c>
      <c r="E91" s="196" t="s">
        <v>11434</v>
      </c>
      <c r="F91" s="196" t="s">
        <v>11233</v>
      </c>
      <c r="G91" s="196" t="s">
        <v>11234</v>
      </c>
      <c r="H91" s="196" t="s">
        <v>11235</v>
      </c>
    </row>
    <row r="92" spans="1:8" x14ac:dyDescent="0.15">
      <c r="A92" s="196" t="s">
        <v>11229</v>
      </c>
      <c r="B92" s="196" t="s">
        <v>11230</v>
      </c>
      <c r="C92" s="196" t="s">
        <v>11435</v>
      </c>
      <c r="D92" s="196" t="s">
        <v>11436</v>
      </c>
      <c r="E92" s="196" t="s">
        <v>11436</v>
      </c>
      <c r="F92" s="196" t="s">
        <v>11233</v>
      </c>
      <c r="G92" s="196" t="s">
        <v>11234</v>
      </c>
      <c r="H92" s="196" t="s">
        <v>11235</v>
      </c>
    </row>
    <row r="93" spans="1:8" x14ac:dyDescent="0.15">
      <c r="A93" s="196" t="s">
        <v>11229</v>
      </c>
      <c r="B93" s="196" t="s">
        <v>11230</v>
      </c>
      <c r="C93" s="196" t="s">
        <v>11437</v>
      </c>
      <c r="D93" s="196" t="s">
        <v>11438</v>
      </c>
      <c r="E93" s="196" t="s">
        <v>11438</v>
      </c>
      <c r="F93" s="196" t="s">
        <v>11233</v>
      </c>
      <c r="G93" s="196" t="s">
        <v>11234</v>
      </c>
      <c r="H93" s="196" t="s">
        <v>11235</v>
      </c>
    </row>
    <row r="94" spans="1:8" x14ac:dyDescent="0.15">
      <c r="A94" s="196" t="s">
        <v>11229</v>
      </c>
      <c r="B94" s="196" t="s">
        <v>11230</v>
      </c>
      <c r="C94" s="196" t="s">
        <v>11439</v>
      </c>
      <c r="D94" s="196" t="s">
        <v>11440</v>
      </c>
      <c r="E94" s="196" t="s">
        <v>11440</v>
      </c>
      <c r="F94" s="196" t="s">
        <v>11233</v>
      </c>
      <c r="G94" s="196" t="s">
        <v>11234</v>
      </c>
      <c r="H94" s="196" t="s">
        <v>11235</v>
      </c>
    </row>
    <row r="95" spans="1:8" x14ac:dyDescent="0.15">
      <c r="A95" s="196" t="s">
        <v>11229</v>
      </c>
      <c r="B95" s="196" t="s">
        <v>11230</v>
      </c>
      <c r="C95" s="196" t="s">
        <v>11441</v>
      </c>
      <c r="D95" s="196" t="s">
        <v>11442</v>
      </c>
      <c r="E95" s="196" t="s">
        <v>11443</v>
      </c>
      <c r="F95" s="196" t="s">
        <v>11241</v>
      </c>
      <c r="G95" s="196" t="s">
        <v>11234</v>
      </c>
      <c r="H95" s="196" t="s">
        <v>11235</v>
      </c>
    </row>
    <row r="96" spans="1:8" x14ac:dyDescent="0.15">
      <c r="A96" s="196" t="s">
        <v>11229</v>
      </c>
      <c r="B96" s="196" t="s">
        <v>11230</v>
      </c>
      <c r="C96" s="196" t="s">
        <v>11444</v>
      </c>
      <c r="D96" s="196" t="s">
        <v>11445</v>
      </c>
      <c r="E96" s="196" t="s">
        <v>11445</v>
      </c>
      <c r="F96" s="196" t="s">
        <v>11233</v>
      </c>
      <c r="G96" s="196" t="s">
        <v>11234</v>
      </c>
      <c r="H96" s="196" t="s">
        <v>11235</v>
      </c>
    </row>
    <row r="97" spans="1:8" x14ac:dyDescent="0.15">
      <c r="A97" s="196" t="s">
        <v>11229</v>
      </c>
      <c r="B97" s="196" t="s">
        <v>11230</v>
      </c>
      <c r="C97" s="196" t="s">
        <v>11446</v>
      </c>
      <c r="D97" s="196" t="s">
        <v>11447</v>
      </c>
      <c r="E97" s="196" t="s">
        <v>11447</v>
      </c>
      <c r="F97" s="196" t="s">
        <v>11233</v>
      </c>
      <c r="G97" s="196" t="s">
        <v>11234</v>
      </c>
      <c r="H97" s="196" t="s">
        <v>11235</v>
      </c>
    </row>
    <row r="98" spans="1:8" x14ac:dyDescent="0.15">
      <c r="A98" s="196" t="s">
        <v>11229</v>
      </c>
      <c r="B98" s="196" t="s">
        <v>11230</v>
      </c>
      <c r="C98" s="196" t="s">
        <v>11448</v>
      </c>
      <c r="D98" s="196" t="s">
        <v>11447</v>
      </c>
      <c r="E98" s="196" t="s">
        <v>11447</v>
      </c>
      <c r="F98" s="196" t="s">
        <v>11233</v>
      </c>
      <c r="G98" s="196" t="s">
        <v>11449</v>
      </c>
      <c r="H98" s="196" t="s">
        <v>11235</v>
      </c>
    </row>
    <row r="99" spans="1:8" x14ac:dyDescent="0.15">
      <c r="A99" s="196" t="s">
        <v>11229</v>
      </c>
      <c r="B99" s="196" t="s">
        <v>11230</v>
      </c>
      <c r="C99" s="196" t="s">
        <v>11450</v>
      </c>
      <c r="D99" s="196" t="s">
        <v>11451</v>
      </c>
      <c r="E99" s="196" t="s">
        <v>11451</v>
      </c>
      <c r="F99" s="196" t="s">
        <v>11233</v>
      </c>
      <c r="G99" s="196" t="s">
        <v>11234</v>
      </c>
      <c r="H99" s="196" t="s">
        <v>11235</v>
      </c>
    </row>
    <row r="100" spans="1:8" x14ac:dyDescent="0.15">
      <c r="A100" s="196" t="s">
        <v>11229</v>
      </c>
      <c r="B100" s="196" t="s">
        <v>11230</v>
      </c>
      <c r="C100" s="196" t="s">
        <v>11452</v>
      </c>
      <c r="D100" s="196" t="s">
        <v>11453</v>
      </c>
      <c r="E100" s="196" t="s">
        <v>11453</v>
      </c>
      <c r="F100" s="196" t="s">
        <v>11233</v>
      </c>
      <c r="G100" s="196" t="s">
        <v>11449</v>
      </c>
      <c r="H100" s="196" t="s">
        <v>11235</v>
      </c>
    </row>
    <row r="101" spans="1:8" x14ac:dyDescent="0.15">
      <c r="A101" s="196" t="s">
        <v>11229</v>
      </c>
      <c r="B101" s="196" t="s">
        <v>11230</v>
      </c>
      <c r="C101" s="196" t="s">
        <v>11454</v>
      </c>
      <c r="D101" s="196" t="s">
        <v>11455</v>
      </c>
      <c r="E101" s="196" t="s">
        <v>11456</v>
      </c>
      <c r="F101" s="196" t="s">
        <v>11241</v>
      </c>
      <c r="G101" s="196" t="s">
        <v>11449</v>
      </c>
      <c r="H101" s="196" t="s">
        <v>11235</v>
      </c>
    </row>
    <row r="102" spans="1:8" x14ac:dyDescent="0.15">
      <c r="A102" s="196" t="s">
        <v>11229</v>
      </c>
      <c r="B102" s="196" t="s">
        <v>11230</v>
      </c>
      <c r="C102" s="196" t="s">
        <v>11457</v>
      </c>
      <c r="D102" s="196" t="s">
        <v>11458</v>
      </c>
      <c r="E102" s="196" t="s">
        <v>11458</v>
      </c>
      <c r="F102" s="196" t="s">
        <v>11233</v>
      </c>
      <c r="G102" s="196" t="s">
        <v>11449</v>
      </c>
      <c r="H102" s="196" t="s">
        <v>11235</v>
      </c>
    </row>
    <row r="103" spans="1:8" x14ac:dyDescent="0.15">
      <c r="A103" s="196" t="s">
        <v>11229</v>
      </c>
      <c r="B103" s="196" t="s">
        <v>11230</v>
      </c>
      <c r="C103" s="196" t="s">
        <v>11459</v>
      </c>
      <c r="D103" s="196" t="s">
        <v>11460</v>
      </c>
      <c r="E103" s="196" t="s">
        <v>11460</v>
      </c>
      <c r="F103" s="196" t="s">
        <v>11233</v>
      </c>
      <c r="G103" s="196" t="s">
        <v>11449</v>
      </c>
      <c r="H103" s="196" t="s">
        <v>11235</v>
      </c>
    </row>
    <row r="104" spans="1:8" x14ac:dyDescent="0.15">
      <c r="A104" s="196" t="s">
        <v>11229</v>
      </c>
      <c r="B104" s="196" t="s">
        <v>11230</v>
      </c>
      <c r="C104" s="196" t="s">
        <v>11461</v>
      </c>
      <c r="D104" s="196" t="s">
        <v>11462</v>
      </c>
      <c r="E104" s="196" t="s">
        <v>11462</v>
      </c>
      <c r="F104" s="196" t="s">
        <v>11233</v>
      </c>
      <c r="G104" s="196" t="s">
        <v>11449</v>
      </c>
      <c r="H104" s="196" t="s">
        <v>11235</v>
      </c>
    </row>
    <row r="105" spans="1:8" x14ac:dyDescent="0.15">
      <c r="A105" s="196" t="s">
        <v>11229</v>
      </c>
      <c r="B105" s="196" t="s">
        <v>11230</v>
      </c>
      <c r="C105" s="196" t="s">
        <v>11463</v>
      </c>
      <c r="D105" s="196" t="s">
        <v>11464</v>
      </c>
      <c r="E105" s="196" t="s">
        <v>11464</v>
      </c>
      <c r="F105" s="196" t="s">
        <v>11233</v>
      </c>
      <c r="G105" s="196" t="s">
        <v>11449</v>
      </c>
      <c r="H105" s="196" t="s">
        <v>11235</v>
      </c>
    </row>
    <row r="106" spans="1:8" x14ac:dyDescent="0.15">
      <c r="A106" s="196" t="s">
        <v>11229</v>
      </c>
      <c r="B106" s="196" t="s">
        <v>11230</v>
      </c>
      <c r="C106" s="196" t="s">
        <v>11465</v>
      </c>
      <c r="D106" s="196" t="s">
        <v>11466</v>
      </c>
      <c r="E106" s="196" t="s">
        <v>11466</v>
      </c>
      <c r="F106" s="196" t="s">
        <v>11233</v>
      </c>
      <c r="G106" s="196" t="s">
        <v>11449</v>
      </c>
      <c r="H106" s="196" t="s">
        <v>11235</v>
      </c>
    </row>
    <row r="107" spans="1:8" x14ac:dyDescent="0.15">
      <c r="A107" s="196" t="s">
        <v>11229</v>
      </c>
      <c r="B107" s="196" t="s">
        <v>11230</v>
      </c>
      <c r="C107" s="196" t="s">
        <v>11467</v>
      </c>
      <c r="D107" s="196" t="s">
        <v>11468</v>
      </c>
      <c r="E107" s="196" t="s">
        <v>11468</v>
      </c>
      <c r="F107" s="196" t="s">
        <v>11233</v>
      </c>
      <c r="G107" s="196" t="s">
        <v>11449</v>
      </c>
      <c r="H107" s="196" t="s">
        <v>11235</v>
      </c>
    </row>
    <row r="108" spans="1:8" x14ac:dyDescent="0.15">
      <c r="A108" s="196" t="s">
        <v>11229</v>
      </c>
      <c r="B108" s="196" t="s">
        <v>11230</v>
      </c>
      <c r="C108" s="196" t="s">
        <v>11469</v>
      </c>
      <c r="D108" s="196" t="s">
        <v>11470</v>
      </c>
      <c r="E108" s="196" t="s">
        <v>11470</v>
      </c>
      <c r="F108" s="196" t="s">
        <v>11233</v>
      </c>
      <c r="G108" s="196" t="s">
        <v>11234</v>
      </c>
      <c r="H108" s="196" t="s">
        <v>11235</v>
      </c>
    </row>
    <row r="109" spans="1:8" x14ac:dyDescent="0.15">
      <c r="A109" s="196" t="s">
        <v>11229</v>
      </c>
      <c r="B109" s="196" t="s">
        <v>11230</v>
      </c>
      <c r="C109" s="196" t="s">
        <v>11471</v>
      </c>
      <c r="D109" s="196" t="s">
        <v>11472</v>
      </c>
      <c r="E109" s="196" t="s">
        <v>11472</v>
      </c>
      <c r="F109" s="196" t="s">
        <v>11233</v>
      </c>
      <c r="G109" s="196" t="s">
        <v>11234</v>
      </c>
      <c r="H109" s="196" t="s">
        <v>11235</v>
      </c>
    </row>
    <row r="110" spans="1:8" x14ac:dyDescent="0.15">
      <c r="A110" s="196" t="s">
        <v>11229</v>
      </c>
      <c r="B110" s="196" t="s">
        <v>11230</v>
      </c>
      <c r="C110" s="196" t="s">
        <v>11473</v>
      </c>
      <c r="D110" s="196" t="s">
        <v>11474</v>
      </c>
      <c r="E110" s="196" t="s">
        <v>11475</v>
      </c>
      <c r="F110" s="196" t="s">
        <v>11268</v>
      </c>
      <c r="G110" s="196" t="s">
        <v>11449</v>
      </c>
      <c r="H110" s="196" t="s">
        <v>11235</v>
      </c>
    </row>
    <row r="111" spans="1:8" x14ac:dyDescent="0.15">
      <c r="A111" s="196" t="s">
        <v>11229</v>
      </c>
      <c r="B111" s="196" t="s">
        <v>11230</v>
      </c>
      <c r="C111" s="196" t="s">
        <v>11476</v>
      </c>
      <c r="D111" s="196" t="s">
        <v>11477</v>
      </c>
      <c r="E111" s="196" t="s">
        <v>11477</v>
      </c>
      <c r="F111" s="196" t="s">
        <v>11233</v>
      </c>
      <c r="G111" s="196" t="s">
        <v>11449</v>
      </c>
      <c r="H111" s="196" t="s">
        <v>11235</v>
      </c>
    </row>
    <row r="112" spans="1:8" x14ac:dyDescent="0.15">
      <c r="A112" s="196" t="s">
        <v>11229</v>
      </c>
      <c r="B112" s="196" t="s">
        <v>11230</v>
      </c>
      <c r="C112" s="196" t="s">
        <v>11478</v>
      </c>
      <c r="D112" s="196" t="s">
        <v>11479</v>
      </c>
      <c r="E112" s="196" t="s">
        <v>11479</v>
      </c>
      <c r="F112" s="196" t="s">
        <v>11233</v>
      </c>
      <c r="G112" s="196" t="s">
        <v>11449</v>
      </c>
      <c r="H112" s="196" t="s">
        <v>11235</v>
      </c>
    </row>
    <row r="113" spans="1:8" x14ac:dyDescent="0.15">
      <c r="A113" s="196" t="s">
        <v>11229</v>
      </c>
      <c r="B113" s="196" t="s">
        <v>11230</v>
      </c>
      <c r="C113" s="196" t="s">
        <v>11480</v>
      </c>
      <c r="D113" s="196" t="s">
        <v>11481</v>
      </c>
      <c r="E113" s="196" t="s">
        <v>11482</v>
      </c>
      <c r="F113" s="196" t="s">
        <v>11241</v>
      </c>
      <c r="G113" s="196" t="s">
        <v>11449</v>
      </c>
      <c r="H113" s="196" t="s">
        <v>11235</v>
      </c>
    </row>
    <row r="114" spans="1:8" x14ac:dyDescent="0.15">
      <c r="A114" s="196" t="s">
        <v>11229</v>
      </c>
      <c r="B114" s="196" t="s">
        <v>11230</v>
      </c>
      <c r="C114" s="196" t="s">
        <v>11483</v>
      </c>
      <c r="D114" s="196" t="s">
        <v>11482</v>
      </c>
      <c r="E114" s="196" t="s">
        <v>11484</v>
      </c>
      <c r="F114" s="196" t="s">
        <v>11268</v>
      </c>
      <c r="G114" s="196" t="s">
        <v>11234</v>
      </c>
      <c r="H114" s="196" t="s">
        <v>11235</v>
      </c>
    </row>
    <row r="115" spans="1:8" x14ac:dyDescent="0.15">
      <c r="A115" s="196" t="s">
        <v>11229</v>
      </c>
      <c r="B115" s="196" t="s">
        <v>11230</v>
      </c>
      <c r="C115" s="196" t="s">
        <v>11485</v>
      </c>
      <c r="D115" s="196" t="s">
        <v>11484</v>
      </c>
      <c r="E115" s="196" t="s">
        <v>11484</v>
      </c>
      <c r="F115" s="196" t="s">
        <v>11233</v>
      </c>
      <c r="G115" s="196" t="s">
        <v>11449</v>
      </c>
      <c r="H115" s="196" t="s">
        <v>11235</v>
      </c>
    </row>
    <row r="116" spans="1:8" x14ac:dyDescent="0.15">
      <c r="A116" s="196" t="s">
        <v>11229</v>
      </c>
      <c r="B116" s="196" t="s">
        <v>11230</v>
      </c>
      <c r="C116" s="196" t="s">
        <v>11486</v>
      </c>
      <c r="D116" s="196" t="s">
        <v>11487</v>
      </c>
      <c r="E116" s="196" t="s">
        <v>11487</v>
      </c>
      <c r="F116" s="196" t="s">
        <v>11233</v>
      </c>
      <c r="G116" s="196" t="s">
        <v>11234</v>
      </c>
      <c r="H116" s="196" t="s">
        <v>11235</v>
      </c>
    </row>
    <row r="117" spans="1:8" x14ac:dyDescent="0.15">
      <c r="A117" s="196" t="s">
        <v>11229</v>
      </c>
      <c r="B117" s="196" t="s">
        <v>11230</v>
      </c>
      <c r="C117" s="196" t="s">
        <v>11488</v>
      </c>
      <c r="D117" s="196" t="s">
        <v>11487</v>
      </c>
      <c r="E117" s="196" t="s">
        <v>11487</v>
      </c>
      <c r="F117" s="196" t="s">
        <v>11233</v>
      </c>
      <c r="G117" s="196" t="s">
        <v>11449</v>
      </c>
      <c r="H117" s="196" t="s">
        <v>11235</v>
      </c>
    </row>
    <row r="118" spans="1:8" x14ac:dyDescent="0.15">
      <c r="A118" s="196" t="s">
        <v>11229</v>
      </c>
      <c r="B118" s="196" t="s">
        <v>11230</v>
      </c>
      <c r="C118" s="196" t="s">
        <v>11489</v>
      </c>
      <c r="D118" s="196" t="s">
        <v>11490</v>
      </c>
      <c r="E118" s="196" t="s">
        <v>11491</v>
      </c>
      <c r="F118" s="196" t="s">
        <v>11268</v>
      </c>
      <c r="G118" s="196" t="s">
        <v>11449</v>
      </c>
      <c r="H118" s="196" t="s">
        <v>11235</v>
      </c>
    </row>
    <row r="119" spans="1:8" x14ac:dyDescent="0.15">
      <c r="A119" s="196" t="s">
        <v>11229</v>
      </c>
      <c r="B119" s="196" t="s">
        <v>11230</v>
      </c>
      <c r="C119" s="196" t="s">
        <v>11492</v>
      </c>
      <c r="D119" s="196" t="s">
        <v>11493</v>
      </c>
      <c r="E119" s="196" t="s">
        <v>11493</v>
      </c>
      <c r="F119" s="196" t="s">
        <v>11233</v>
      </c>
      <c r="G119" s="196" t="s">
        <v>11449</v>
      </c>
      <c r="H119" s="196" t="s">
        <v>11235</v>
      </c>
    </row>
    <row r="120" spans="1:8" x14ac:dyDescent="0.15">
      <c r="A120" s="196" t="s">
        <v>11229</v>
      </c>
      <c r="B120" s="196" t="s">
        <v>11230</v>
      </c>
      <c r="C120" s="196" t="s">
        <v>11494</v>
      </c>
      <c r="D120" s="196" t="s">
        <v>11495</v>
      </c>
      <c r="E120" s="196" t="s">
        <v>11495</v>
      </c>
      <c r="F120" s="196" t="s">
        <v>11233</v>
      </c>
      <c r="G120" s="196" t="s">
        <v>11449</v>
      </c>
      <c r="H120" s="196" t="s">
        <v>11235</v>
      </c>
    </row>
    <row r="121" spans="1:8" x14ac:dyDescent="0.15">
      <c r="A121" s="196" t="s">
        <v>11229</v>
      </c>
      <c r="B121" s="196" t="s">
        <v>11230</v>
      </c>
      <c r="C121" s="196" t="s">
        <v>11496</v>
      </c>
      <c r="D121" s="196" t="s">
        <v>11497</v>
      </c>
      <c r="E121" s="196" t="s">
        <v>11498</v>
      </c>
      <c r="F121" s="196" t="s">
        <v>11241</v>
      </c>
      <c r="G121" s="196" t="s">
        <v>11449</v>
      </c>
      <c r="H121" s="196" t="s">
        <v>11235</v>
      </c>
    </row>
    <row r="122" spans="1:8" x14ac:dyDescent="0.15">
      <c r="A122" s="196" t="s">
        <v>11229</v>
      </c>
      <c r="B122" s="196" t="s">
        <v>11230</v>
      </c>
      <c r="C122" s="196" t="s">
        <v>11499</v>
      </c>
      <c r="D122" s="196" t="s">
        <v>11500</v>
      </c>
      <c r="E122" s="196" t="s">
        <v>11500</v>
      </c>
      <c r="F122" s="196" t="s">
        <v>11233</v>
      </c>
      <c r="G122" s="196" t="s">
        <v>11234</v>
      </c>
      <c r="H122" s="196" t="s">
        <v>11235</v>
      </c>
    </row>
    <row r="123" spans="1:8" x14ac:dyDescent="0.15">
      <c r="A123" s="196" t="s">
        <v>11229</v>
      </c>
      <c r="B123" s="196" t="s">
        <v>11230</v>
      </c>
      <c r="C123" s="196" t="s">
        <v>11501</v>
      </c>
      <c r="D123" s="196" t="s">
        <v>11502</v>
      </c>
      <c r="E123" s="196" t="s">
        <v>11503</v>
      </c>
      <c r="F123" s="196" t="s">
        <v>11268</v>
      </c>
      <c r="G123" s="196" t="s">
        <v>11234</v>
      </c>
      <c r="H123" s="196" t="s">
        <v>11235</v>
      </c>
    </row>
    <row r="124" spans="1:8" x14ac:dyDescent="0.15">
      <c r="A124" s="196" t="s">
        <v>11229</v>
      </c>
      <c r="B124" s="196" t="s">
        <v>11230</v>
      </c>
      <c r="C124" s="196" t="s">
        <v>11504</v>
      </c>
      <c r="D124" s="196" t="s">
        <v>11505</v>
      </c>
      <c r="E124" s="196" t="s">
        <v>11505</v>
      </c>
      <c r="F124" s="196" t="s">
        <v>11233</v>
      </c>
      <c r="G124" s="196" t="s">
        <v>11234</v>
      </c>
      <c r="H124" s="196" t="s">
        <v>11235</v>
      </c>
    </row>
    <row r="125" spans="1:8" x14ac:dyDescent="0.15">
      <c r="A125" s="196" t="s">
        <v>11229</v>
      </c>
      <c r="B125" s="196" t="s">
        <v>11230</v>
      </c>
      <c r="C125" s="196" t="s">
        <v>11506</v>
      </c>
      <c r="D125" s="196" t="s">
        <v>11507</v>
      </c>
      <c r="E125" s="196" t="s">
        <v>11507</v>
      </c>
      <c r="F125" s="196" t="s">
        <v>11233</v>
      </c>
      <c r="G125" s="196" t="s">
        <v>11449</v>
      </c>
      <c r="H125" s="196" t="s">
        <v>11235</v>
      </c>
    </row>
    <row r="126" spans="1:8" x14ac:dyDescent="0.15">
      <c r="A126" s="196" t="s">
        <v>11229</v>
      </c>
      <c r="B126" s="196" t="s">
        <v>11230</v>
      </c>
      <c r="C126" s="196" t="s">
        <v>11508</v>
      </c>
      <c r="D126" s="196" t="s">
        <v>11509</v>
      </c>
      <c r="E126" s="196" t="s">
        <v>11509</v>
      </c>
      <c r="F126" s="196" t="s">
        <v>11233</v>
      </c>
      <c r="G126" s="196" t="s">
        <v>11234</v>
      </c>
      <c r="H126" s="196" t="s">
        <v>11235</v>
      </c>
    </row>
    <row r="127" spans="1:8" x14ac:dyDescent="0.15">
      <c r="A127" s="196" t="s">
        <v>11229</v>
      </c>
      <c r="B127" s="196" t="s">
        <v>11230</v>
      </c>
      <c r="C127" s="196" t="s">
        <v>11510</v>
      </c>
      <c r="D127" s="196" t="s">
        <v>11511</v>
      </c>
      <c r="E127" s="196" t="s">
        <v>11512</v>
      </c>
      <c r="F127" s="196" t="s">
        <v>11241</v>
      </c>
      <c r="G127" s="196" t="s">
        <v>11234</v>
      </c>
      <c r="H127" s="196" t="s">
        <v>11235</v>
      </c>
    </row>
    <row r="128" spans="1:8" x14ac:dyDescent="0.15">
      <c r="A128" s="196" t="s">
        <v>11229</v>
      </c>
      <c r="B128" s="196" t="s">
        <v>11230</v>
      </c>
      <c r="C128" s="196" t="s">
        <v>11513</v>
      </c>
      <c r="D128" s="196" t="s">
        <v>11514</v>
      </c>
      <c r="E128" s="196" t="s">
        <v>11514</v>
      </c>
      <c r="F128" s="196" t="s">
        <v>11233</v>
      </c>
      <c r="G128" s="196" t="s">
        <v>11449</v>
      </c>
      <c r="H128" s="196" t="s">
        <v>11235</v>
      </c>
    </row>
    <row r="129" spans="1:8" x14ac:dyDescent="0.15">
      <c r="A129" s="196" t="s">
        <v>11229</v>
      </c>
      <c r="B129" s="196" t="s">
        <v>11230</v>
      </c>
      <c r="C129" s="196" t="s">
        <v>11515</v>
      </c>
      <c r="D129" s="196" t="s">
        <v>11516</v>
      </c>
      <c r="E129" s="196" t="s">
        <v>11516</v>
      </c>
      <c r="F129" s="196" t="s">
        <v>11233</v>
      </c>
      <c r="G129" s="196" t="s">
        <v>11449</v>
      </c>
      <c r="H129" s="196" t="s">
        <v>11235</v>
      </c>
    </row>
    <row r="130" spans="1:8" x14ac:dyDescent="0.15">
      <c r="A130" s="196" t="s">
        <v>11229</v>
      </c>
      <c r="B130" s="196" t="s">
        <v>11230</v>
      </c>
      <c r="C130" s="196" t="s">
        <v>11517</v>
      </c>
      <c r="D130" s="196" t="s">
        <v>11518</v>
      </c>
      <c r="E130" s="196" t="s">
        <v>11519</v>
      </c>
      <c r="F130" s="196" t="s">
        <v>11268</v>
      </c>
      <c r="G130" s="196" t="s">
        <v>11449</v>
      </c>
      <c r="H130" s="196" t="s">
        <v>11235</v>
      </c>
    </row>
    <row r="131" spans="1:8" x14ac:dyDescent="0.15">
      <c r="A131" s="196" t="s">
        <v>11229</v>
      </c>
      <c r="B131" s="196" t="s">
        <v>11230</v>
      </c>
      <c r="C131" s="196" t="s">
        <v>11520</v>
      </c>
      <c r="D131" s="196" t="s">
        <v>11521</v>
      </c>
      <c r="E131" s="196" t="s">
        <v>11521</v>
      </c>
      <c r="F131" s="196" t="s">
        <v>11233</v>
      </c>
      <c r="G131" s="196" t="s">
        <v>11449</v>
      </c>
      <c r="H131" s="196" t="s">
        <v>11235</v>
      </c>
    </row>
    <row r="132" spans="1:8" x14ac:dyDescent="0.15">
      <c r="A132" s="196" t="s">
        <v>11229</v>
      </c>
      <c r="B132" s="196" t="s">
        <v>11230</v>
      </c>
      <c r="C132" s="196" t="s">
        <v>11522</v>
      </c>
      <c r="D132" s="196" t="s">
        <v>11523</v>
      </c>
      <c r="E132" s="196" t="s">
        <v>11523</v>
      </c>
      <c r="F132" s="196" t="s">
        <v>11233</v>
      </c>
      <c r="G132" s="196" t="s">
        <v>11449</v>
      </c>
      <c r="H132" s="196" t="s">
        <v>11235</v>
      </c>
    </row>
    <row r="133" spans="1:8" x14ac:dyDescent="0.15">
      <c r="A133" s="196" t="s">
        <v>11229</v>
      </c>
      <c r="B133" s="196" t="s">
        <v>11230</v>
      </c>
      <c r="C133" s="196" t="s">
        <v>11524</v>
      </c>
      <c r="D133" s="196" t="s">
        <v>11525</v>
      </c>
      <c r="E133" s="196" t="s">
        <v>11525</v>
      </c>
      <c r="F133" s="196" t="s">
        <v>11233</v>
      </c>
      <c r="G133" s="196" t="s">
        <v>11449</v>
      </c>
      <c r="H133" s="196" t="s">
        <v>11235</v>
      </c>
    </row>
    <row r="134" spans="1:8" x14ac:dyDescent="0.15">
      <c r="A134" s="196" t="s">
        <v>11229</v>
      </c>
      <c r="B134" s="196" t="s">
        <v>11230</v>
      </c>
      <c r="C134" s="196" t="s">
        <v>11526</v>
      </c>
      <c r="D134" s="196" t="s">
        <v>11527</v>
      </c>
      <c r="E134" s="196" t="s">
        <v>11527</v>
      </c>
      <c r="F134" s="196" t="s">
        <v>11233</v>
      </c>
      <c r="G134" s="196" t="s">
        <v>11449</v>
      </c>
      <c r="H134" s="196" t="s">
        <v>11235</v>
      </c>
    </row>
    <row r="135" spans="1:8" x14ac:dyDescent="0.15">
      <c r="A135" s="196" t="s">
        <v>11229</v>
      </c>
      <c r="B135" s="196" t="s">
        <v>11230</v>
      </c>
      <c r="C135" s="196" t="s">
        <v>11528</v>
      </c>
      <c r="D135" s="196" t="s">
        <v>11529</v>
      </c>
      <c r="E135" s="196" t="s">
        <v>11529</v>
      </c>
      <c r="F135" s="196" t="s">
        <v>11233</v>
      </c>
      <c r="G135" s="196" t="s">
        <v>11234</v>
      </c>
      <c r="H135" s="196" t="s">
        <v>11235</v>
      </c>
    </row>
    <row r="136" spans="1:8" x14ac:dyDescent="0.15">
      <c r="A136" s="196" t="s">
        <v>11229</v>
      </c>
      <c r="B136" s="196" t="s">
        <v>11230</v>
      </c>
      <c r="C136" s="196" t="s">
        <v>11530</v>
      </c>
      <c r="D136" s="196" t="s">
        <v>11531</v>
      </c>
      <c r="E136" s="196" t="s">
        <v>11531</v>
      </c>
      <c r="F136" s="196" t="s">
        <v>11233</v>
      </c>
      <c r="G136" s="196" t="s">
        <v>11449</v>
      </c>
      <c r="H136" s="196" t="s">
        <v>11235</v>
      </c>
    </row>
    <row r="137" spans="1:8" x14ac:dyDescent="0.15">
      <c r="A137" s="196" t="s">
        <v>11229</v>
      </c>
      <c r="B137" s="196" t="s">
        <v>11230</v>
      </c>
      <c r="C137" s="196" t="s">
        <v>11532</v>
      </c>
      <c r="D137" s="196" t="s">
        <v>11533</v>
      </c>
      <c r="E137" s="196" t="s">
        <v>11533</v>
      </c>
      <c r="F137" s="196" t="s">
        <v>11233</v>
      </c>
      <c r="G137" s="196" t="s">
        <v>11449</v>
      </c>
      <c r="H137" s="196" t="s">
        <v>11235</v>
      </c>
    </row>
    <row r="138" spans="1:8" x14ac:dyDescent="0.15">
      <c r="A138" s="196" t="s">
        <v>11229</v>
      </c>
      <c r="B138" s="196" t="s">
        <v>11230</v>
      </c>
      <c r="C138" s="196" t="s">
        <v>11534</v>
      </c>
      <c r="D138" s="196" t="s">
        <v>11535</v>
      </c>
      <c r="E138" s="196" t="s">
        <v>11536</v>
      </c>
      <c r="F138" s="196" t="s">
        <v>11241</v>
      </c>
      <c r="G138" s="196" t="s">
        <v>11449</v>
      </c>
      <c r="H138" s="196" t="s">
        <v>11235</v>
      </c>
    </row>
    <row r="139" spans="1:8" x14ac:dyDescent="0.15">
      <c r="A139" s="196" t="s">
        <v>11229</v>
      </c>
      <c r="B139" s="196" t="s">
        <v>11230</v>
      </c>
      <c r="C139" s="196" t="s">
        <v>11537</v>
      </c>
      <c r="D139" s="196" t="s">
        <v>11538</v>
      </c>
      <c r="E139" s="196" t="s">
        <v>11538</v>
      </c>
      <c r="F139" s="196" t="s">
        <v>11233</v>
      </c>
      <c r="G139" s="196" t="s">
        <v>11449</v>
      </c>
      <c r="H139" s="196" t="s">
        <v>11235</v>
      </c>
    </row>
    <row r="140" spans="1:8" x14ac:dyDescent="0.15">
      <c r="A140" s="196" t="s">
        <v>11229</v>
      </c>
      <c r="B140" s="196" t="s">
        <v>11230</v>
      </c>
      <c r="C140" s="196" t="s">
        <v>11539</v>
      </c>
      <c r="D140" s="196" t="s">
        <v>11540</v>
      </c>
      <c r="E140" s="196" t="s">
        <v>11540</v>
      </c>
      <c r="F140" s="196" t="s">
        <v>11233</v>
      </c>
      <c r="G140" s="196" t="s">
        <v>11449</v>
      </c>
      <c r="H140" s="196" t="s">
        <v>11235</v>
      </c>
    </row>
    <row r="141" spans="1:8" x14ac:dyDescent="0.15">
      <c r="A141" s="196" t="s">
        <v>11229</v>
      </c>
      <c r="B141" s="196" t="s">
        <v>11230</v>
      </c>
      <c r="C141" s="196" t="s">
        <v>11541</v>
      </c>
      <c r="D141" s="196" t="s">
        <v>11542</v>
      </c>
      <c r="E141" s="196" t="s">
        <v>11542</v>
      </c>
      <c r="F141" s="196" t="s">
        <v>11233</v>
      </c>
      <c r="G141" s="196" t="s">
        <v>11449</v>
      </c>
      <c r="H141" s="196" t="s">
        <v>11235</v>
      </c>
    </row>
    <row r="142" spans="1:8" x14ac:dyDescent="0.15">
      <c r="A142" s="196" t="s">
        <v>11229</v>
      </c>
      <c r="B142" s="196" t="s">
        <v>11230</v>
      </c>
      <c r="C142" s="196" t="s">
        <v>11543</v>
      </c>
      <c r="D142" s="196" t="s">
        <v>11544</v>
      </c>
      <c r="E142" s="196" t="s">
        <v>11544</v>
      </c>
      <c r="F142" s="196" t="s">
        <v>11233</v>
      </c>
      <c r="G142" s="196" t="s">
        <v>11449</v>
      </c>
      <c r="H142" s="196" t="s">
        <v>11235</v>
      </c>
    </row>
    <row r="143" spans="1:8" x14ac:dyDescent="0.15">
      <c r="A143" s="196" t="s">
        <v>11229</v>
      </c>
      <c r="B143" s="196" t="s">
        <v>11230</v>
      </c>
      <c r="C143" s="196" t="s">
        <v>11545</v>
      </c>
      <c r="D143" s="196" t="s">
        <v>11544</v>
      </c>
      <c r="E143" s="196" t="s">
        <v>11544</v>
      </c>
      <c r="F143" s="196" t="s">
        <v>11233</v>
      </c>
      <c r="G143" s="196" t="s">
        <v>11234</v>
      </c>
      <c r="H143" s="196" t="s">
        <v>11235</v>
      </c>
    </row>
    <row r="144" spans="1:8" x14ac:dyDescent="0.15">
      <c r="A144" s="196" t="s">
        <v>11229</v>
      </c>
      <c r="B144" s="196" t="s">
        <v>11230</v>
      </c>
      <c r="C144" s="196" t="s">
        <v>11546</v>
      </c>
      <c r="D144" s="196" t="s">
        <v>11547</v>
      </c>
      <c r="E144" s="196" t="s">
        <v>11547</v>
      </c>
      <c r="F144" s="196" t="s">
        <v>11233</v>
      </c>
      <c r="G144" s="196" t="s">
        <v>11449</v>
      </c>
      <c r="H144" s="196" t="s">
        <v>11235</v>
      </c>
    </row>
    <row r="145" spans="1:8" x14ac:dyDescent="0.15">
      <c r="A145" s="196" t="s">
        <v>11229</v>
      </c>
      <c r="B145" s="196" t="s">
        <v>11230</v>
      </c>
      <c r="C145" s="196" t="s">
        <v>11548</v>
      </c>
      <c r="D145" s="196" t="s">
        <v>11547</v>
      </c>
      <c r="E145" s="196" t="s">
        <v>11547</v>
      </c>
      <c r="F145" s="196" t="s">
        <v>11233</v>
      </c>
      <c r="G145" s="196" t="s">
        <v>11234</v>
      </c>
      <c r="H145" s="196" t="s">
        <v>11235</v>
      </c>
    </row>
    <row r="146" spans="1:8" x14ac:dyDescent="0.15">
      <c r="A146" s="196" t="s">
        <v>11229</v>
      </c>
      <c r="B146" s="196" t="s">
        <v>11230</v>
      </c>
      <c r="C146" s="196" t="s">
        <v>11549</v>
      </c>
      <c r="D146" s="196" t="s">
        <v>11550</v>
      </c>
      <c r="E146" s="196" t="s">
        <v>11550</v>
      </c>
      <c r="F146" s="196" t="s">
        <v>11233</v>
      </c>
      <c r="G146" s="196" t="s">
        <v>11449</v>
      </c>
      <c r="H146" s="196" t="s">
        <v>11235</v>
      </c>
    </row>
    <row r="147" spans="1:8" x14ac:dyDescent="0.15">
      <c r="A147" s="196" t="s">
        <v>11229</v>
      </c>
      <c r="B147" s="196" t="s">
        <v>11230</v>
      </c>
      <c r="C147" s="196" t="s">
        <v>11551</v>
      </c>
      <c r="D147" s="196" t="s">
        <v>11550</v>
      </c>
      <c r="E147" s="196" t="s">
        <v>11550</v>
      </c>
      <c r="F147" s="196" t="s">
        <v>11233</v>
      </c>
      <c r="G147" s="196" t="s">
        <v>11234</v>
      </c>
      <c r="H147" s="196" t="s">
        <v>11235</v>
      </c>
    </row>
    <row r="148" spans="1:8" x14ac:dyDescent="0.15">
      <c r="A148" s="196" t="s">
        <v>11229</v>
      </c>
      <c r="B148" s="196" t="s">
        <v>11230</v>
      </c>
      <c r="C148" s="196" t="s">
        <v>11552</v>
      </c>
      <c r="D148" s="196" t="s">
        <v>11553</v>
      </c>
      <c r="E148" s="196" t="s">
        <v>11553</v>
      </c>
      <c r="F148" s="196" t="s">
        <v>11233</v>
      </c>
      <c r="G148" s="196" t="s">
        <v>11449</v>
      </c>
      <c r="H148" s="196" t="s">
        <v>11235</v>
      </c>
    </row>
    <row r="149" spans="1:8" x14ac:dyDescent="0.15">
      <c r="A149" s="196" t="s">
        <v>11229</v>
      </c>
      <c r="B149" s="196" t="s">
        <v>11230</v>
      </c>
      <c r="C149" s="196" t="s">
        <v>11554</v>
      </c>
      <c r="D149" s="196" t="s">
        <v>11553</v>
      </c>
      <c r="E149" s="196" t="s">
        <v>11553</v>
      </c>
      <c r="F149" s="196" t="s">
        <v>11233</v>
      </c>
      <c r="G149" s="196" t="s">
        <v>11234</v>
      </c>
      <c r="H149" s="196" t="s">
        <v>11235</v>
      </c>
    </row>
    <row r="150" spans="1:8" x14ac:dyDescent="0.15">
      <c r="A150" s="196" t="s">
        <v>11229</v>
      </c>
      <c r="B150" s="196" t="s">
        <v>11230</v>
      </c>
      <c r="C150" s="196" t="s">
        <v>11555</v>
      </c>
      <c r="D150" s="196" t="s">
        <v>11556</v>
      </c>
      <c r="E150" s="196" t="s">
        <v>11557</v>
      </c>
      <c r="F150" s="196" t="s">
        <v>11241</v>
      </c>
      <c r="G150" s="196" t="s">
        <v>11449</v>
      </c>
      <c r="H150" s="196" t="s">
        <v>11235</v>
      </c>
    </row>
    <row r="151" spans="1:8" x14ac:dyDescent="0.15">
      <c r="A151" s="196" t="s">
        <v>11229</v>
      </c>
      <c r="B151" s="196" t="s">
        <v>11230</v>
      </c>
      <c r="C151" s="196" t="s">
        <v>11558</v>
      </c>
      <c r="D151" s="196" t="s">
        <v>11556</v>
      </c>
      <c r="E151" s="196" t="s">
        <v>11556</v>
      </c>
      <c r="F151" s="196" t="s">
        <v>11233</v>
      </c>
      <c r="G151" s="196" t="s">
        <v>11234</v>
      </c>
      <c r="H151" s="196" t="s">
        <v>11235</v>
      </c>
    </row>
    <row r="152" spans="1:8" x14ac:dyDescent="0.15">
      <c r="A152" s="196" t="s">
        <v>11229</v>
      </c>
      <c r="B152" s="196" t="s">
        <v>11230</v>
      </c>
      <c r="C152" s="196" t="s">
        <v>11559</v>
      </c>
      <c r="D152" s="196" t="s">
        <v>11557</v>
      </c>
      <c r="E152" s="196" t="s">
        <v>11557</v>
      </c>
      <c r="F152" s="196" t="s">
        <v>11233</v>
      </c>
      <c r="G152" s="196" t="s">
        <v>11234</v>
      </c>
      <c r="H152" s="196" t="s">
        <v>11235</v>
      </c>
    </row>
    <row r="153" spans="1:8" x14ac:dyDescent="0.15">
      <c r="A153" s="196" t="s">
        <v>11229</v>
      </c>
      <c r="B153" s="196" t="s">
        <v>11230</v>
      </c>
      <c r="C153" s="196" t="s">
        <v>11560</v>
      </c>
      <c r="D153" s="196" t="s">
        <v>11561</v>
      </c>
      <c r="E153" s="196" t="s">
        <v>11561</v>
      </c>
      <c r="F153" s="196" t="s">
        <v>11233</v>
      </c>
      <c r="G153" s="196" t="s">
        <v>11449</v>
      </c>
      <c r="H153" s="196" t="s">
        <v>11235</v>
      </c>
    </row>
    <row r="154" spans="1:8" x14ac:dyDescent="0.15">
      <c r="A154" s="196" t="s">
        <v>11229</v>
      </c>
      <c r="B154" s="196" t="s">
        <v>11230</v>
      </c>
      <c r="C154" s="196" t="s">
        <v>11562</v>
      </c>
      <c r="D154" s="196" t="s">
        <v>11561</v>
      </c>
      <c r="E154" s="196" t="s">
        <v>11563</v>
      </c>
      <c r="F154" s="196" t="s">
        <v>11241</v>
      </c>
      <c r="G154" s="196" t="s">
        <v>11234</v>
      </c>
      <c r="H154" s="196" t="s">
        <v>11235</v>
      </c>
    </row>
    <row r="155" spans="1:8" x14ac:dyDescent="0.15">
      <c r="A155" s="196" t="s">
        <v>11229</v>
      </c>
      <c r="B155" s="196" t="s">
        <v>11230</v>
      </c>
      <c r="C155" s="196" t="s">
        <v>11564</v>
      </c>
      <c r="D155" s="196" t="s">
        <v>11563</v>
      </c>
      <c r="E155" s="196" t="s">
        <v>11563</v>
      </c>
      <c r="F155" s="196" t="s">
        <v>11233</v>
      </c>
      <c r="G155" s="196" t="s">
        <v>11449</v>
      </c>
      <c r="H155" s="196" t="s">
        <v>11235</v>
      </c>
    </row>
    <row r="156" spans="1:8" x14ac:dyDescent="0.15">
      <c r="A156" s="196" t="s">
        <v>11229</v>
      </c>
      <c r="B156" s="196" t="s">
        <v>11230</v>
      </c>
      <c r="C156" s="196" t="s">
        <v>11565</v>
      </c>
      <c r="D156" s="196" t="s">
        <v>11563</v>
      </c>
      <c r="E156" s="196" t="s">
        <v>11566</v>
      </c>
      <c r="F156" s="196" t="s">
        <v>11241</v>
      </c>
      <c r="G156" s="196" t="s">
        <v>11234</v>
      </c>
      <c r="H156" s="196" t="s">
        <v>11235</v>
      </c>
    </row>
    <row r="157" spans="1:8" x14ac:dyDescent="0.15">
      <c r="A157" s="196" t="s">
        <v>11229</v>
      </c>
      <c r="B157" s="196" t="s">
        <v>11230</v>
      </c>
      <c r="C157" s="196" t="s">
        <v>11567</v>
      </c>
      <c r="D157" s="196" t="s">
        <v>11566</v>
      </c>
      <c r="E157" s="196" t="s">
        <v>11566</v>
      </c>
      <c r="F157" s="196" t="s">
        <v>11233</v>
      </c>
      <c r="G157" s="196" t="s">
        <v>11449</v>
      </c>
      <c r="H157" s="196" t="s">
        <v>11235</v>
      </c>
    </row>
    <row r="158" spans="1:8" x14ac:dyDescent="0.15">
      <c r="A158" s="196" t="s">
        <v>11229</v>
      </c>
      <c r="B158" s="196" t="s">
        <v>11230</v>
      </c>
      <c r="C158" s="196" t="s">
        <v>11568</v>
      </c>
      <c r="D158" s="196" t="s">
        <v>11569</v>
      </c>
      <c r="E158" s="196" t="s">
        <v>11569</v>
      </c>
      <c r="F158" s="196" t="s">
        <v>11233</v>
      </c>
      <c r="G158" s="196" t="s">
        <v>11449</v>
      </c>
      <c r="H158" s="196" t="s">
        <v>11235</v>
      </c>
    </row>
    <row r="159" spans="1:8" x14ac:dyDescent="0.15">
      <c r="A159" s="196" t="s">
        <v>11229</v>
      </c>
      <c r="B159" s="196" t="s">
        <v>11230</v>
      </c>
      <c r="C159" s="196" t="s">
        <v>11570</v>
      </c>
      <c r="D159" s="196" t="s">
        <v>11571</v>
      </c>
      <c r="E159" s="196" t="s">
        <v>11571</v>
      </c>
      <c r="F159" s="196" t="s">
        <v>11233</v>
      </c>
      <c r="G159" s="196" t="s">
        <v>11449</v>
      </c>
      <c r="H159" s="196" t="s">
        <v>11235</v>
      </c>
    </row>
    <row r="160" spans="1:8" x14ac:dyDescent="0.15">
      <c r="A160" s="196" t="s">
        <v>11229</v>
      </c>
      <c r="B160" s="196" t="s">
        <v>11230</v>
      </c>
      <c r="C160" s="196" t="s">
        <v>11572</v>
      </c>
      <c r="D160" s="196" t="s">
        <v>11573</v>
      </c>
      <c r="E160" s="196" t="s">
        <v>11573</v>
      </c>
      <c r="F160" s="196" t="s">
        <v>11233</v>
      </c>
      <c r="G160" s="196" t="s">
        <v>11449</v>
      </c>
      <c r="H160" s="196" t="s">
        <v>11235</v>
      </c>
    </row>
    <row r="161" spans="1:8" x14ac:dyDescent="0.15">
      <c r="A161" s="196" t="s">
        <v>11229</v>
      </c>
      <c r="B161" s="196" t="s">
        <v>11230</v>
      </c>
      <c r="C161" s="196" t="s">
        <v>11574</v>
      </c>
      <c r="D161" s="196" t="s">
        <v>11575</v>
      </c>
      <c r="E161" s="196" t="s">
        <v>11575</v>
      </c>
      <c r="F161" s="196" t="s">
        <v>11233</v>
      </c>
      <c r="G161" s="196" t="s">
        <v>11234</v>
      </c>
      <c r="H161" s="196" t="s">
        <v>11235</v>
      </c>
    </row>
    <row r="162" spans="1:8" x14ac:dyDescent="0.15">
      <c r="A162" s="196" t="s">
        <v>11229</v>
      </c>
      <c r="B162" s="196" t="s">
        <v>11230</v>
      </c>
      <c r="C162" s="196" t="s">
        <v>11576</v>
      </c>
      <c r="D162" s="196" t="s">
        <v>11577</v>
      </c>
      <c r="E162" s="196" t="s">
        <v>11577</v>
      </c>
      <c r="F162" s="196" t="s">
        <v>11233</v>
      </c>
      <c r="G162" s="196" t="s">
        <v>11449</v>
      </c>
      <c r="H162" s="196" t="s">
        <v>11235</v>
      </c>
    </row>
    <row r="163" spans="1:8" x14ac:dyDescent="0.15">
      <c r="A163" s="196" t="s">
        <v>11229</v>
      </c>
      <c r="B163" s="196" t="s">
        <v>11230</v>
      </c>
      <c r="C163" s="196" t="s">
        <v>11578</v>
      </c>
      <c r="D163" s="196" t="s">
        <v>11579</v>
      </c>
      <c r="E163" s="196" t="s">
        <v>11579</v>
      </c>
      <c r="F163" s="196" t="s">
        <v>11233</v>
      </c>
      <c r="G163" s="196" t="s">
        <v>11449</v>
      </c>
      <c r="H163" s="196" t="s">
        <v>11235</v>
      </c>
    </row>
    <row r="164" spans="1:8" x14ac:dyDescent="0.15">
      <c r="A164" s="196" t="s">
        <v>11229</v>
      </c>
      <c r="B164" s="196" t="s">
        <v>11230</v>
      </c>
      <c r="C164" s="196" t="s">
        <v>11580</v>
      </c>
      <c r="D164" s="196" t="s">
        <v>11581</v>
      </c>
      <c r="E164" s="196" t="s">
        <v>11581</v>
      </c>
      <c r="F164" s="196" t="s">
        <v>11233</v>
      </c>
      <c r="G164" s="196" t="s">
        <v>11234</v>
      </c>
      <c r="H164" s="196" t="s">
        <v>11235</v>
      </c>
    </row>
    <row r="165" spans="1:8" x14ac:dyDescent="0.15">
      <c r="A165" s="196" t="s">
        <v>11229</v>
      </c>
      <c r="B165" s="196" t="s">
        <v>11230</v>
      </c>
      <c r="C165" s="196" t="s">
        <v>11582</v>
      </c>
      <c r="D165" s="196" t="s">
        <v>11583</v>
      </c>
      <c r="E165" s="196" t="s">
        <v>11583</v>
      </c>
      <c r="F165" s="196" t="s">
        <v>11233</v>
      </c>
      <c r="G165" s="196" t="s">
        <v>11449</v>
      </c>
      <c r="H165" s="196" t="s">
        <v>11235</v>
      </c>
    </row>
    <row r="166" spans="1:8" x14ac:dyDescent="0.15">
      <c r="A166" s="196" t="s">
        <v>11229</v>
      </c>
      <c r="B166" s="196" t="s">
        <v>11230</v>
      </c>
      <c r="C166" s="196" t="s">
        <v>11584</v>
      </c>
      <c r="D166" s="196" t="s">
        <v>11585</v>
      </c>
      <c r="E166" s="196" t="s">
        <v>11585</v>
      </c>
      <c r="F166" s="196" t="s">
        <v>11233</v>
      </c>
      <c r="G166" s="196" t="s">
        <v>11234</v>
      </c>
      <c r="H166" s="196" t="s">
        <v>11235</v>
      </c>
    </row>
    <row r="167" spans="1:8" x14ac:dyDescent="0.15">
      <c r="A167" s="196" t="s">
        <v>11229</v>
      </c>
      <c r="B167" s="196" t="s">
        <v>11230</v>
      </c>
      <c r="C167" s="196" t="s">
        <v>11586</v>
      </c>
      <c r="D167" s="196" t="s">
        <v>11587</v>
      </c>
      <c r="E167" s="196" t="s">
        <v>11587</v>
      </c>
      <c r="F167" s="196" t="s">
        <v>11233</v>
      </c>
      <c r="G167" s="196" t="s">
        <v>11449</v>
      </c>
      <c r="H167" s="196" t="s">
        <v>11235</v>
      </c>
    </row>
    <row r="168" spans="1:8" x14ac:dyDescent="0.15">
      <c r="A168" s="196" t="s">
        <v>11229</v>
      </c>
      <c r="B168" s="196" t="s">
        <v>11230</v>
      </c>
      <c r="C168" s="196" t="s">
        <v>11588</v>
      </c>
      <c r="D168" s="196" t="s">
        <v>11589</v>
      </c>
      <c r="E168" s="196" t="s">
        <v>11589</v>
      </c>
      <c r="F168" s="196" t="s">
        <v>11233</v>
      </c>
      <c r="G168" s="196" t="s">
        <v>11234</v>
      </c>
      <c r="H168" s="196" t="s">
        <v>11235</v>
      </c>
    </row>
    <row r="169" spans="1:8" x14ac:dyDescent="0.15">
      <c r="A169" s="196" t="s">
        <v>11229</v>
      </c>
      <c r="B169" s="196" t="s">
        <v>11230</v>
      </c>
      <c r="C169" s="196" t="s">
        <v>11590</v>
      </c>
      <c r="D169" s="196" t="s">
        <v>11591</v>
      </c>
      <c r="E169" s="196" t="s">
        <v>11592</v>
      </c>
      <c r="F169" s="196" t="s">
        <v>11241</v>
      </c>
      <c r="G169" s="196" t="s">
        <v>11234</v>
      </c>
      <c r="H169" s="196" t="s">
        <v>11235</v>
      </c>
    </row>
    <row r="170" spans="1:8" x14ac:dyDescent="0.15">
      <c r="A170" s="196" t="s">
        <v>11229</v>
      </c>
      <c r="B170" s="196" t="s">
        <v>11230</v>
      </c>
      <c r="C170" s="196" t="s">
        <v>11593</v>
      </c>
      <c r="D170" s="196" t="s">
        <v>11592</v>
      </c>
      <c r="E170" s="196" t="s">
        <v>11592</v>
      </c>
      <c r="F170" s="196" t="s">
        <v>11233</v>
      </c>
      <c r="G170" s="196" t="s">
        <v>11449</v>
      </c>
      <c r="H170" s="196" t="s">
        <v>11235</v>
      </c>
    </row>
    <row r="171" spans="1:8" x14ac:dyDescent="0.15">
      <c r="A171" s="196" t="s">
        <v>11229</v>
      </c>
      <c r="B171" s="196" t="s">
        <v>11230</v>
      </c>
      <c r="C171" s="196" t="s">
        <v>11594</v>
      </c>
      <c r="D171" s="196" t="s">
        <v>11595</v>
      </c>
      <c r="E171" s="196" t="s">
        <v>11596</v>
      </c>
      <c r="F171" s="196" t="s">
        <v>11268</v>
      </c>
      <c r="G171" s="196" t="s">
        <v>11234</v>
      </c>
      <c r="H171" s="196" t="s">
        <v>11235</v>
      </c>
    </row>
    <row r="172" spans="1:8" x14ac:dyDescent="0.15">
      <c r="A172" s="196" t="s">
        <v>11229</v>
      </c>
      <c r="B172" s="196" t="s">
        <v>11230</v>
      </c>
      <c r="C172" s="196" t="s">
        <v>11597</v>
      </c>
      <c r="D172" s="196" t="s">
        <v>11595</v>
      </c>
      <c r="E172" s="196" t="s">
        <v>11595</v>
      </c>
      <c r="F172" s="196" t="s">
        <v>11233</v>
      </c>
      <c r="G172" s="196" t="s">
        <v>11449</v>
      </c>
      <c r="H172" s="196" t="s">
        <v>11235</v>
      </c>
    </row>
    <row r="173" spans="1:8" x14ac:dyDescent="0.15">
      <c r="A173" s="196" t="s">
        <v>11229</v>
      </c>
      <c r="B173" s="196" t="s">
        <v>11230</v>
      </c>
      <c r="C173" s="196" t="s">
        <v>11598</v>
      </c>
      <c r="D173" s="196" t="s">
        <v>11599</v>
      </c>
      <c r="E173" s="196" t="s">
        <v>11599</v>
      </c>
      <c r="F173" s="196" t="s">
        <v>11233</v>
      </c>
      <c r="G173" s="196" t="s">
        <v>11234</v>
      </c>
      <c r="H173" s="196" t="s">
        <v>11235</v>
      </c>
    </row>
    <row r="174" spans="1:8" x14ac:dyDescent="0.15">
      <c r="A174" s="196" t="s">
        <v>11229</v>
      </c>
      <c r="B174" s="196" t="s">
        <v>11230</v>
      </c>
      <c r="C174" s="196" t="s">
        <v>11600</v>
      </c>
      <c r="D174" s="196" t="s">
        <v>11601</v>
      </c>
      <c r="E174" s="196" t="s">
        <v>11602</v>
      </c>
      <c r="F174" s="196" t="s">
        <v>11241</v>
      </c>
      <c r="G174" s="196" t="s">
        <v>11449</v>
      </c>
      <c r="H174" s="196" t="s">
        <v>11235</v>
      </c>
    </row>
    <row r="175" spans="1:8" x14ac:dyDescent="0.15">
      <c r="A175" s="196" t="s">
        <v>11229</v>
      </c>
      <c r="B175" s="196" t="s">
        <v>11230</v>
      </c>
      <c r="C175" s="196" t="s">
        <v>11603</v>
      </c>
      <c r="D175" s="196" t="s">
        <v>11604</v>
      </c>
      <c r="E175" s="196" t="s">
        <v>11604</v>
      </c>
      <c r="F175" s="196" t="s">
        <v>11233</v>
      </c>
      <c r="G175" s="196" t="s">
        <v>11234</v>
      </c>
      <c r="H175" s="196" t="s">
        <v>11235</v>
      </c>
    </row>
    <row r="176" spans="1:8" x14ac:dyDescent="0.15">
      <c r="A176" s="196" t="s">
        <v>11229</v>
      </c>
      <c r="B176" s="196" t="s">
        <v>11230</v>
      </c>
      <c r="C176" s="196" t="s">
        <v>11605</v>
      </c>
      <c r="D176" s="196" t="s">
        <v>11606</v>
      </c>
      <c r="E176" s="196" t="s">
        <v>11606</v>
      </c>
      <c r="F176" s="196" t="s">
        <v>11233</v>
      </c>
      <c r="G176" s="196" t="s">
        <v>11449</v>
      </c>
      <c r="H176" s="196" t="s">
        <v>11235</v>
      </c>
    </row>
    <row r="177" spans="1:8" x14ac:dyDescent="0.15">
      <c r="A177" s="196" t="s">
        <v>11229</v>
      </c>
      <c r="B177" s="196" t="s">
        <v>11230</v>
      </c>
      <c r="C177" s="196" t="s">
        <v>11607</v>
      </c>
      <c r="D177" s="196" t="s">
        <v>11608</v>
      </c>
      <c r="E177" s="196" t="s">
        <v>11609</v>
      </c>
      <c r="F177" s="196" t="s">
        <v>11268</v>
      </c>
      <c r="G177" s="196" t="s">
        <v>11449</v>
      </c>
      <c r="H177" s="196" t="s">
        <v>11235</v>
      </c>
    </row>
    <row r="178" spans="1:8" x14ac:dyDescent="0.15">
      <c r="A178" s="196" t="s">
        <v>11229</v>
      </c>
      <c r="B178" s="196" t="s">
        <v>11230</v>
      </c>
      <c r="C178" s="196" t="s">
        <v>11610</v>
      </c>
      <c r="D178" s="196" t="s">
        <v>11608</v>
      </c>
      <c r="E178" s="196" t="s">
        <v>11608</v>
      </c>
      <c r="F178" s="196" t="s">
        <v>11233</v>
      </c>
      <c r="G178" s="196" t="s">
        <v>11234</v>
      </c>
      <c r="H178" s="196" t="s">
        <v>11235</v>
      </c>
    </row>
    <row r="179" spans="1:8" x14ac:dyDescent="0.15">
      <c r="A179" s="196" t="s">
        <v>11229</v>
      </c>
      <c r="B179" s="196" t="s">
        <v>11230</v>
      </c>
      <c r="C179" s="196" t="s">
        <v>11611</v>
      </c>
      <c r="D179" s="196" t="s">
        <v>11609</v>
      </c>
      <c r="E179" s="196" t="s">
        <v>11612</v>
      </c>
      <c r="F179" s="196" t="s">
        <v>11241</v>
      </c>
      <c r="G179" s="196" t="s">
        <v>11449</v>
      </c>
      <c r="H179" s="196" t="s">
        <v>11235</v>
      </c>
    </row>
    <row r="180" spans="1:8" x14ac:dyDescent="0.15">
      <c r="A180" s="196" t="s">
        <v>11229</v>
      </c>
      <c r="B180" s="196" t="s">
        <v>11230</v>
      </c>
      <c r="C180" s="196" t="s">
        <v>11613</v>
      </c>
      <c r="D180" s="196" t="s">
        <v>11612</v>
      </c>
      <c r="E180" s="196" t="s">
        <v>11612</v>
      </c>
      <c r="F180" s="196" t="s">
        <v>11233</v>
      </c>
      <c r="G180" s="196" t="s">
        <v>11234</v>
      </c>
      <c r="H180" s="196" t="s">
        <v>11235</v>
      </c>
    </row>
    <row r="181" spans="1:8" x14ac:dyDescent="0.15">
      <c r="A181" s="196" t="s">
        <v>11229</v>
      </c>
      <c r="B181" s="196" t="s">
        <v>11230</v>
      </c>
      <c r="C181" s="196" t="s">
        <v>11614</v>
      </c>
      <c r="D181" s="196" t="s">
        <v>11615</v>
      </c>
      <c r="E181" s="196" t="s">
        <v>11615</v>
      </c>
      <c r="F181" s="196" t="s">
        <v>11233</v>
      </c>
      <c r="G181" s="196" t="s">
        <v>11449</v>
      </c>
      <c r="H181" s="196" t="s">
        <v>11235</v>
      </c>
    </row>
    <row r="182" spans="1:8" x14ac:dyDescent="0.15">
      <c r="A182" s="196" t="s">
        <v>11229</v>
      </c>
      <c r="B182" s="196" t="s">
        <v>11230</v>
      </c>
      <c r="C182" s="196" t="s">
        <v>11616</v>
      </c>
      <c r="D182" s="196" t="s">
        <v>11615</v>
      </c>
      <c r="E182" s="196" t="s">
        <v>11615</v>
      </c>
      <c r="F182" s="196" t="s">
        <v>11233</v>
      </c>
      <c r="G182" s="196" t="s">
        <v>11234</v>
      </c>
      <c r="H182" s="196" t="s">
        <v>11235</v>
      </c>
    </row>
    <row r="183" spans="1:8" x14ac:dyDescent="0.15">
      <c r="A183" s="196" t="s">
        <v>11229</v>
      </c>
      <c r="B183" s="196" t="s">
        <v>11230</v>
      </c>
      <c r="C183" s="196" t="s">
        <v>11617</v>
      </c>
      <c r="D183" s="196" t="s">
        <v>11618</v>
      </c>
      <c r="E183" s="196" t="s">
        <v>11618</v>
      </c>
      <c r="F183" s="196" t="s">
        <v>11233</v>
      </c>
      <c r="G183" s="196" t="s">
        <v>11449</v>
      </c>
      <c r="H183" s="196" t="s">
        <v>11235</v>
      </c>
    </row>
    <row r="184" spans="1:8" x14ac:dyDescent="0.15">
      <c r="A184" s="196" t="s">
        <v>11229</v>
      </c>
      <c r="B184" s="196" t="s">
        <v>11230</v>
      </c>
      <c r="C184" s="196" t="s">
        <v>11619</v>
      </c>
      <c r="D184" s="196" t="s">
        <v>11618</v>
      </c>
      <c r="E184" s="196" t="s">
        <v>11618</v>
      </c>
      <c r="F184" s="196" t="s">
        <v>11233</v>
      </c>
      <c r="G184" s="196" t="s">
        <v>11234</v>
      </c>
      <c r="H184" s="196" t="s">
        <v>11235</v>
      </c>
    </row>
    <row r="185" spans="1:8" x14ac:dyDescent="0.15">
      <c r="A185" s="196" t="s">
        <v>11229</v>
      </c>
      <c r="B185" s="196" t="s">
        <v>11230</v>
      </c>
      <c r="C185" s="196" t="s">
        <v>11620</v>
      </c>
      <c r="D185" s="196" t="s">
        <v>11621</v>
      </c>
      <c r="E185" s="196" t="s">
        <v>11621</v>
      </c>
      <c r="F185" s="196" t="s">
        <v>11233</v>
      </c>
      <c r="G185" s="196" t="s">
        <v>11449</v>
      </c>
      <c r="H185" s="196" t="s">
        <v>11235</v>
      </c>
    </row>
    <row r="186" spans="1:8" x14ac:dyDescent="0.15">
      <c r="A186" s="196" t="s">
        <v>11229</v>
      </c>
      <c r="B186" s="196" t="s">
        <v>11230</v>
      </c>
      <c r="C186" s="196" t="s">
        <v>11622</v>
      </c>
      <c r="D186" s="196" t="s">
        <v>11621</v>
      </c>
      <c r="E186" s="196" t="s">
        <v>11621</v>
      </c>
      <c r="F186" s="196" t="s">
        <v>11233</v>
      </c>
      <c r="G186" s="196" t="s">
        <v>11234</v>
      </c>
      <c r="H186" s="196" t="s">
        <v>11235</v>
      </c>
    </row>
    <row r="187" spans="1:8" x14ac:dyDescent="0.15">
      <c r="A187" s="196" t="s">
        <v>11229</v>
      </c>
      <c r="B187" s="196" t="s">
        <v>11230</v>
      </c>
      <c r="C187" s="196" t="s">
        <v>11623</v>
      </c>
      <c r="D187" s="196" t="s">
        <v>11624</v>
      </c>
      <c r="E187" s="196" t="s">
        <v>11624</v>
      </c>
      <c r="F187" s="196" t="s">
        <v>11233</v>
      </c>
      <c r="G187" s="196" t="s">
        <v>11449</v>
      </c>
      <c r="H187" s="196" t="s">
        <v>11235</v>
      </c>
    </row>
    <row r="188" spans="1:8" x14ac:dyDescent="0.15">
      <c r="A188" s="196" t="s">
        <v>11229</v>
      </c>
      <c r="B188" s="196" t="s">
        <v>11230</v>
      </c>
      <c r="C188" s="196" t="s">
        <v>11625</v>
      </c>
      <c r="D188" s="196" t="s">
        <v>11626</v>
      </c>
      <c r="E188" s="196" t="s">
        <v>11626</v>
      </c>
      <c r="F188" s="196" t="s">
        <v>11233</v>
      </c>
      <c r="G188" s="196" t="s">
        <v>11449</v>
      </c>
      <c r="H188" s="196" t="s">
        <v>11235</v>
      </c>
    </row>
    <row r="189" spans="1:8" x14ac:dyDescent="0.15">
      <c r="A189" s="196" t="s">
        <v>11229</v>
      </c>
      <c r="B189" s="196" t="s">
        <v>11230</v>
      </c>
      <c r="C189" s="196" t="s">
        <v>11627</v>
      </c>
      <c r="D189" s="196" t="s">
        <v>11628</v>
      </c>
      <c r="E189" s="196" t="s">
        <v>11628</v>
      </c>
      <c r="F189" s="196" t="s">
        <v>11233</v>
      </c>
      <c r="G189" s="196" t="s">
        <v>11449</v>
      </c>
      <c r="H189" s="196" t="s">
        <v>11235</v>
      </c>
    </row>
    <row r="190" spans="1:8" x14ac:dyDescent="0.15">
      <c r="A190" s="196" t="s">
        <v>11229</v>
      </c>
      <c r="B190" s="196" t="s">
        <v>11230</v>
      </c>
      <c r="C190" s="196" t="s">
        <v>11629</v>
      </c>
      <c r="D190" s="196" t="s">
        <v>11630</v>
      </c>
      <c r="E190" s="196" t="s">
        <v>11630</v>
      </c>
      <c r="F190" s="196" t="s">
        <v>11233</v>
      </c>
      <c r="G190" s="196" t="s">
        <v>11449</v>
      </c>
      <c r="H190" s="196" t="s">
        <v>11235</v>
      </c>
    </row>
    <row r="191" spans="1:8" x14ac:dyDescent="0.15">
      <c r="A191" s="196" t="s">
        <v>11229</v>
      </c>
      <c r="B191" s="196" t="s">
        <v>11230</v>
      </c>
      <c r="C191" s="196" t="s">
        <v>11631</v>
      </c>
      <c r="D191" s="196" t="s">
        <v>11632</v>
      </c>
      <c r="E191" s="196" t="s">
        <v>11632</v>
      </c>
      <c r="F191" s="196" t="s">
        <v>11233</v>
      </c>
      <c r="G191" s="196" t="s">
        <v>11449</v>
      </c>
      <c r="H191" s="196" t="s">
        <v>11235</v>
      </c>
    </row>
    <row r="192" spans="1:8" x14ac:dyDescent="0.15">
      <c r="A192" s="196" t="s">
        <v>11229</v>
      </c>
      <c r="B192" s="196" t="s">
        <v>11230</v>
      </c>
      <c r="C192" s="196" t="s">
        <v>11633</v>
      </c>
      <c r="D192" s="196" t="s">
        <v>11634</v>
      </c>
      <c r="E192" s="196" t="s">
        <v>11635</v>
      </c>
      <c r="F192" s="196" t="s">
        <v>11268</v>
      </c>
      <c r="G192" s="196" t="s">
        <v>11449</v>
      </c>
      <c r="H192" s="196" t="s">
        <v>11235</v>
      </c>
    </row>
    <row r="193" spans="1:8" x14ac:dyDescent="0.15">
      <c r="A193" s="196" t="s">
        <v>11229</v>
      </c>
      <c r="B193" s="196" t="s">
        <v>11230</v>
      </c>
      <c r="C193" s="196" t="s">
        <v>11636</v>
      </c>
      <c r="D193" s="196" t="s">
        <v>11635</v>
      </c>
      <c r="E193" s="196" t="s">
        <v>11637</v>
      </c>
      <c r="F193" s="196" t="s">
        <v>11241</v>
      </c>
      <c r="G193" s="196" t="s">
        <v>11449</v>
      </c>
      <c r="H193" s="196" t="s">
        <v>11235</v>
      </c>
    </row>
    <row r="194" spans="1:8" x14ac:dyDescent="0.15">
      <c r="A194" s="196" t="s">
        <v>11229</v>
      </c>
      <c r="B194" s="196" t="s">
        <v>11230</v>
      </c>
      <c r="C194" s="196" t="s">
        <v>11638</v>
      </c>
      <c r="D194" s="196" t="s">
        <v>11639</v>
      </c>
      <c r="E194" s="196" t="s">
        <v>11639</v>
      </c>
      <c r="F194" s="196" t="s">
        <v>11233</v>
      </c>
      <c r="G194" s="196" t="s">
        <v>11449</v>
      </c>
      <c r="H194" s="196" t="s">
        <v>11235</v>
      </c>
    </row>
    <row r="195" spans="1:8" x14ac:dyDescent="0.15">
      <c r="A195" s="196" t="s">
        <v>11229</v>
      </c>
      <c r="B195" s="196" t="s">
        <v>11230</v>
      </c>
      <c r="C195" s="196" t="s">
        <v>11640</v>
      </c>
      <c r="D195" s="196" t="s">
        <v>11641</v>
      </c>
      <c r="E195" s="196" t="s">
        <v>11641</v>
      </c>
      <c r="F195" s="196" t="s">
        <v>11233</v>
      </c>
      <c r="G195" s="196" t="s">
        <v>11449</v>
      </c>
      <c r="H195" s="196" t="s">
        <v>11235</v>
      </c>
    </row>
    <row r="196" spans="1:8" x14ac:dyDescent="0.15">
      <c r="A196" s="196" t="s">
        <v>11229</v>
      </c>
      <c r="B196" s="196" t="s">
        <v>11230</v>
      </c>
      <c r="C196" s="196" t="s">
        <v>11642</v>
      </c>
      <c r="D196" s="196" t="s">
        <v>11643</v>
      </c>
      <c r="E196" s="196" t="s">
        <v>11643</v>
      </c>
      <c r="F196" s="196" t="s">
        <v>11233</v>
      </c>
      <c r="G196" s="196" t="s">
        <v>11449</v>
      </c>
      <c r="H196" s="196" t="s">
        <v>11235</v>
      </c>
    </row>
    <row r="197" spans="1:8" x14ac:dyDescent="0.15">
      <c r="A197" s="196" t="s">
        <v>11229</v>
      </c>
      <c r="B197" s="196" t="s">
        <v>11230</v>
      </c>
      <c r="C197" s="196" t="s">
        <v>11644</v>
      </c>
      <c r="D197" s="196" t="s">
        <v>11645</v>
      </c>
      <c r="E197" s="196" t="s">
        <v>11645</v>
      </c>
      <c r="F197" s="196" t="s">
        <v>11233</v>
      </c>
      <c r="G197" s="196" t="s">
        <v>11449</v>
      </c>
      <c r="H197" s="196" t="s">
        <v>11235</v>
      </c>
    </row>
    <row r="198" spans="1:8" x14ac:dyDescent="0.15">
      <c r="A198" s="196" t="s">
        <v>11229</v>
      </c>
      <c r="B198" s="196" t="s">
        <v>11230</v>
      </c>
      <c r="C198" s="196" t="s">
        <v>11646</v>
      </c>
      <c r="D198" s="196" t="s">
        <v>11647</v>
      </c>
      <c r="E198" s="196" t="s">
        <v>11647</v>
      </c>
      <c r="F198" s="196" t="s">
        <v>11233</v>
      </c>
      <c r="G198" s="196" t="s">
        <v>11234</v>
      </c>
      <c r="H198" s="196" t="s">
        <v>11235</v>
      </c>
    </row>
    <row r="199" spans="1:8" x14ac:dyDescent="0.15">
      <c r="A199" s="196" t="s">
        <v>11229</v>
      </c>
      <c r="B199" s="196" t="s">
        <v>11230</v>
      </c>
      <c r="C199" s="196" t="s">
        <v>11648</v>
      </c>
      <c r="D199" s="196" t="s">
        <v>11649</v>
      </c>
      <c r="E199" s="196" t="s">
        <v>11650</v>
      </c>
      <c r="F199" s="196" t="s">
        <v>11268</v>
      </c>
      <c r="G199" s="196" t="s">
        <v>11449</v>
      </c>
      <c r="H199" s="196" t="s">
        <v>11235</v>
      </c>
    </row>
    <row r="200" spans="1:8" x14ac:dyDescent="0.15">
      <c r="A200" s="196" t="s">
        <v>11229</v>
      </c>
      <c r="B200" s="196" t="s">
        <v>11230</v>
      </c>
      <c r="C200" s="196" t="s">
        <v>11651</v>
      </c>
      <c r="D200" s="196" t="s">
        <v>11652</v>
      </c>
      <c r="E200" s="196" t="s">
        <v>11652</v>
      </c>
      <c r="F200" s="196" t="s">
        <v>11233</v>
      </c>
      <c r="G200" s="196" t="s">
        <v>11234</v>
      </c>
      <c r="H200" s="196" t="s">
        <v>11235</v>
      </c>
    </row>
    <row r="201" spans="1:8" x14ac:dyDescent="0.15">
      <c r="A201" s="196" t="s">
        <v>11229</v>
      </c>
      <c r="B201" s="196" t="s">
        <v>11230</v>
      </c>
      <c r="C201" s="196" t="s">
        <v>11653</v>
      </c>
      <c r="D201" s="196" t="s">
        <v>11654</v>
      </c>
      <c r="E201" s="196" t="s">
        <v>11654</v>
      </c>
      <c r="F201" s="196" t="s">
        <v>11233</v>
      </c>
      <c r="G201" s="196" t="s">
        <v>11234</v>
      </c>
      <c r="H201" s="196" t="s">
        <v>11235</v>
      </c>
    </row>
    <row r="202" spans="1:8" x14ac:dyDescent="0.15">
      <c r="A202" s="196" t="s">
        <v>11229</v>
      </c>
      <c r="B202" s="196" t="s">
        <v>11230</v>
      </c>
      <c r="C202" s="196" t="s">
        <v>11655</v>
      </c>
      <c r="D202" s="196" t="s">
        <v>11656</v>
      </c>
      <c r="E202" s="196" t="s">
        <v>11656</v>
      </c>
      <c r="F202" s="196" t="s">
        <v>11233</v>
      </c>
      <c r="G202" s="196" t="s">
        <v>11234</v>
      </c>
      <c r="H202" s="196" t="s">
        <v>11235</v>
      </c>
    </row>
    <row r="203" spans="1:8" x14ac:dyDescent="0.15">
      <c r="A203" s="196" t="s">
        <v>11229</v>
      </c>
      <c r="B203" s="196" t="s">
        <v>11230</v>
      </c>
      <c r="C203" s="196" t="s">
        <v>11657</v>
      </c>
      <c r="D203" s="196" t="s">
        <v>11658</v>
      </c>
      <c r="E203" s="196" t="s">
        <v>11658</v>
      </c>
      <c r="F203" s="196" t="s">
        <v>11233</v>
      </c>
      <c r="G203" s="196" t="s">
        <v>11449</v>
      </c>
      <c r="H203" s="196" t="s">
        <v>11235</v>
      </c>
    </row>
    <row r="204" spans="1:8" x14ac:dyDescent="0.15">
      <c r="A204" s="196" t="s">
        <v>11229</v>
      </c>
      <c r="B204" s="196" t="s">
        <v>11230</v>
      </c>
      <c r="C204" s="196" t="s">
        <v>11659</v>
      </c>
      <c r="D204" s="196" t="s">
        <v>11660</v>
      </c>
      <c r="E204" s="196" t="s">
        <v>11660</v>
      </c>
      <c r="F204" s="196" t="s">
        <v>11233</v>
      </c>
      <c r="G204" s="196" t="s">
        <v>11449</v>
      </c>
      <c r="H204" s="196" t="s">
        <v>11235</v>
      </c>
    </row>
    <row r="205" spans="1:8" x14ac:dyDescent="0.15">
      <c r="A205" s="196" t="s">
        <v>11229</v>
      </c>
      <c r="B205" s="196" t="s">
        <v>11230</v>
      </c>
      <c r="C205" s="196" t="s">
        <v>11661</v>
      </c>
      <c r="D205" s="196" t="s">
        <v>11662</v>
      </c>
      <c r="E205" s="196" t="s">
        <v>11662</v>
      </c>
      <c r="F205" s="196" t="s">
        <v>11233</v>
      </c>
      <c r="G205" s="196" t="s">
        <v>11234</v>
      </c>
      <c r="H205" s="196" t="s">
        <v>11235</v>
      </c>
    </row>
    <row r="206" spans="1:8" x14ac:dyDescent="0.15">
      <c r="A206" s="196" t="s">
        <v>11229</v>
      </c>
      <c r="B206" s="196" t="s">
        <v>11230</v>
      </c>
      <c r="C206" s="196" t="s">
        <v>11663</v>
      </c>
      <c r="D206" s="196" t="s">
        <v>11664</v>
      </c>
      <c r="E206" s="196" t="s">
        <v>11664</v>
      </c>
      <c r="F206" s="196" t="s">
        <v>11233</v>
      </c>
      <c r="G206" s="196" t="s">
        <v>11234</v>
      </c>
      <c r="H206" s="196" t="s">
        <v>11235</v>
      </c>
    </row>
    <row r="207" spans="1:8" x14ac:dyDescent="0.15">
      <c r="A207" s="196" t="s">
        <v>11229</v>
      </c>
      <c r="B207" s="196" t="s">
        <v>11230</v>
      </c>
      <c r="C207" s="196" t="s">
        <v>11665</v>
      </c>
      <c r="D207" s="196" t="s">
        <v>11666</v>
      </c>
      <c r="E207" s="196" t="s">
        <v>11666</v>
      </c>
      <c r="F207" s="196" t="s">
        <v>11233</v>
      </c>
      <c r="G207" s="196" t="s">
        <v>11234</v>
      </c>
      <c r="H207" s="196" t="s">
        <v>11235</v>
      </c>
    </row>
    <row r="208" spans="1:8" x14ac:dyDescent="0.15">
      <c r="A208" s="196" t="s">
        <v>11229</v>
      </c>
      <c r="B208" s="196" t="s">
        <v>11230</v>
      </c>
      <c r="C208" s="196" t="s">
        <v>11667</v>
      </c>
      <c r="D208" s="196" t="s">
        <v>11668</v>
      </c>
      <c r="E208" s="196" t="s">
        <v>11668</v>
      </c>
      <c r="F208" s="196" t="s">
        <v>11233</v>
      </c>
      <c r="G208" s="196" t="s">
        <v>11449</v>
      </c>
      <c r="H208" s="196" t="s">
        <v>11235</v>
      </c>
    </row>
    <row r="209" spans="1:8" x14ac:dyDescent="0.15">
      <c r="A209" s="196" t="s">
        <v>11229</v>
      </c>
      <c r="B209" s="196" t="s">
        <v>11230</v>
      </c>
      <c r="C209" s="196" t="s">
        <v>11669</v>
      </c>
      <c r="D209" s="196" t="s">
        <v>11670</v>
      </c>
      <c r="E209" s="196" t="s">
        <v>11670</v>
      </c>
      <c r="F209" s="196" t="s">
        <v>11233</v>
      </c>
      <c r="G209" s="196" t="s">
        <v>11234</v>
      </c>
      <c r="H209" s="196" t="s">
        <v>11235</v>
      </c>
    </row>
    <row r="210" spans="1:8" x14ac:dyDescent="0.15">
      <c r="A210" s="196" t="s">
        <v>11229</v>
      </c>
      <c r="B210" s="196" t="s">
        <v>11230</v>
      </c>
      <c r="C210" s="196" t="s">
        <v>11671</v>
      </c>
      <c r="D210" s="196" t="s">
        <v>11672</v>
      </c>
      <c r="E210" s="196" t="s">
        <v>11672</v>
      </c>
      <c r="F210" s="196" t="s">
        <v>11233</v>
      </c>
      <c r="G210" s="196" t="s">
        <v>11449</v>
      </c>
      <c r="H210" s="196" t="s">
        <v>11235</v>
      </c>
    </row>
    <row r="211" spans="1:8" x14ac:dyDescent="0.15">
      <c r="A211" s="196" t="s">
        <v>11229</v>
      </c>
      <c r="B211" s="196" t="s">
        <v>11230</v>
      </c>
      <c r="C211" s="196" t="s">
        <v>11673</v>
      </c>
      <c r="D211" s="196" t="s">
        <v>11674</v>
      </c>
      <c r="E211" s="196" t="s">
        <v>11674</v>
      </c>
      <c r="F211" s="196" t="s">
        <v>11233</v>
      </c>
      <c r="G211" s="196" t="s">
        <v>11234</v>
      </c>
      <c r="H211" s="196" t="s">
        <v>11235</v>
      </c>
    </row>
    <row r="212" spans="1:8" x14ac:dyDescent="0.15">
      <c r="A212" s="196" t="s">
        <v>11229</v>
      </c>
      <c r="B212" s="196" t="s">
        <v>11230</v>
      </c>
      <c r="C212" s="196" t="s">
        <v>11675</v>
      </c>
      <c r="D212" s="196" t="s">
        <v>11676</v>
      </c>
      <c r="E212" s="196" t="s">
        <v>11676</v>
      </c>
      <c r="F212" s="196" t="s">
        <v>11233</v>
      </c>
      <c r="G212" s="196" t="s">
        <v>11449</v>
      </c>
      <c r="H212" s="196" t="s">
        <v>11235</v>
      </c>
    </row>
    <row r="213" spans="1:8" x14ac:dyDescent="0.15">
      <c r="A213" s="196" t="s">
        <v>11229</v>
      </c>
      <c r="B213" s="196" t="s">
        <v>11230</v>
      </c>
      <c r="C213" s="196" t="s">
        <v>11677</v>
      </c>
      <c r="D213" s="196" t="s">
        <v>11678</v>
      </c>
      <c r="E213" s="196" t="s">
        <v>11679</v>
      </c>
      <c r="F213" s="196" t="s">
        <v>11241</v>
      </c>
      <c r="G213" s="196" t="s">
        <v>11449</v>
      </c>
      <c r="H213" s="196" t="s">
        <v>11235</v>
      </c>
    </row>
    <row r="214" spans="1:8" x14ac:dyDescent="0.15">
      <c r="A214" s="196" t="s">
        <v>11229</v>
      </c>
      <c r="B214" s="196" t="s">
        <v>11230</v>
      </c>
      <c r="C214" s="196" t="s">
        <v>11680</v>
      </c>
      <c r="D214" s="196" t="s">
        <v>11679</v>
      </c>
      <c r="E214" s="196" t="s">
        <v>11681</v>
      </c>
      <c r="F214" s="196" t="s">
        <v>11241</v>
      </c>
      <c r="G214" s="196" t="s">
        <v>11449</v>
      </c>
      <c r="H214" s="196" t="s">
        <v>11235</v>
      </c>
    </row>
    <row r="215" spans="1:8" x14ac:dyDescent="0.15">
      <c r="A215" s="196" t="s">
        <v>11229</v>
      </c>
      <c r="B215" s="196" t="s">
        <v>11230</v>
      </c>
      <c r="C215" s="196" t="s">
        <v>11682</v>
      </c>
      <c r="D215" s="196" t="s">
        <v>11683</v>
      </c>
      <c r="E215" s="196" t="s">
        <v>11683</v>
      </c>
      <c r="F215" s="196" t="s">
        <v>11233</v>
      </c>
      <c r="G215" s="196" t="s">
        <v>11449</v>
      </c>
      <c r="H215" s="196" t="s">
        <v>11235</v>
      </c>
    </row>
    <row r="216" spans="1:8" x14ac:dyDescent="0.15">
      <c r="A216" s="196" t="s">
        <v>11229</v>
      </c>
      <c r="B216" s="196" t="s">
        <v>11230</v>
      </c>
      <c r="C216" s="196" t="s">
        <v>11684</v>
      </c>
      <c r="D216" s="196" t="s">
        <v>11685</v>
      </c>
      <c r="E216" s="196" t="s">
        <v>11685</v>
      </c>
      <c r="F216" s="196" t="s">
        <v>11233</v>
      </c>
      <c r="G216" s="196" t="s">
        <v>11234</v>
      </c>
      <c r="H216" s="196" t="s">
        <v>11235</v>
      </c>
    </row>
    <row r="217" spans="1:8" x14ac:dyDescent="0.15">
      <c r="A217" s="196" t="s">
        <v>11229</v>
      </c>
      <c r="B217" s="196" t="s">
        <v>11230</v>
      </c>
      <c r="C217" s="196" t="s">
        <v>11686</v>
      </c>
      <c r="D217" s="196" t="s">
        <v>11687</v>
      </c>
      <c r="E217" s="196" t="s">
        <v>11687</v>
      </c>
      <c r="F217" s="196" t="s">
        <v>11233</v>
      </c>
      <c r="G217" s="196" t="s">
        <v>11234</v>
      </c>
      <c r="H217" s="196" t="s">
        <v>11235</v>
      </c>
    </row>
    <row r="218" spans="1:8" x14ac:dyDescent="0.15">
      <c r="A218" s="196" t="s">
        <v>11229</v>
      </c>
      <c r="B218" s="196" t="s">
        <v>11230</v>
      </c>
      <c r="C218" s="196" t="s">
        <v>11688</v>
      </c>
      <c r="D218" s="196" t="s">
        <v>11689</v>
      </c>
      <c r="E218" s="196" t="s">
        <v>11689</v>
      </c>
      <c r="F218" s="196" t="s">
        <v>11233</v>
      </c>
      <c r="G218" s="196" t="s">
        <v>11234</v>
      </c>
      <c r="H218" s="196" t="s">
        <v>11235</v>
      </c>
    </row>
    <row r="219" spans="1:8" x14ac:dyDescent="0.15">
      <c r="A219" s="196" t="s">
        <v>11229</v>
      </c>
      <c r="B219" s="196" t="s">
        <v>11230</v>
      </c>
      <c r="C219" s="196" t="s">
        <v>11690</v>
      </c>
      <c r="D219" s="196" t="s">
        <v>11691</v>
      </c>
      <c r="E219" s="196" t="s">
        <v>11691</v>
      </c>
      <c r="F219" s="196" t="s">
        <v>11233</v>
      </c>
      <c r="G219" s="196" t="s">
        <v>11449</v>
      </c>
      <c r="H219" s="196" t="s">
        <v>11235</v>
      </c>
    </row>
    <row r="220" spans="1:8" x14ac:dyDescent="0.15">
      <c r="A220" s="196" t="s">
        <v>11229</v>
      </c>
      <c r="B220" s="196" t="s">
        <v>11230</v>
      </c>
      <c r="C220" s="196" t="s">
        <v>11692</v>
      </c>
      <c r="D220" s="196" t="s">
        <v>11693</v>
      </c>
      <c r="E220" s="196" t="s">
        <v>11694</v>
      </c>
      <c r="F220" s="196" t="s">
        <v>11241</v>
      </c>
      <c r="G220" s="196" t="s">
        <v>11449</v>
      </c>
      <c r="H220" s="196" t="s">
        <v>11235</v>
      </c>
    </row>
    <row r="221" spans="1:8" x14ac:dyDescent="0.15">
      <c r="A221" s="196" t="s">
        <v>11229</v>
      </c>
      <c r="B221" s="196" t="s">
        <v>11230</v>
      </c>
      <c r="C221" s="196" t="s">
        <v>11695</v>
      </c>
      <c r="D221" s="196" t="s">
        <v>11696</v>
      </c>
      <c r="E221" s="196" t="s">
        <v>11696</v>
      </c>
      <c r="F221" s="196" t="s">
        <v>11233</v>
      </c>
      <c r="G221" s="196" t="s">
        <v>11449</v>
      </c>
      <c r="H221" s="196" t="s">
        <v>11235</v>
      </c>
    </row>
    <row r="222" spans="1:8" x14ac:dyDescent="0.15">
      <c r="A222" s="196" t="s">
        <v>11229</v>
      </c>
      <c r="B222" s="196" t="s">
        <v>11230</v>
      </c>
      <c r="C222" s="196" t="s">
        <v>11697</v>
      </c>
      <c r="D222" s="196" t="s">
        <v>11698</v>
      </c>
      <c r="E222" s="196" t="s">
        <v>11698</v>
      </c>
      <c r="F222" s="196" t="s">
        <v>11233</v>
      </c>
      <c r="G222" s="196" t="s">
        <v>11449</v>
      </c>
      <c r="H222" s="196" t="s">
        <v>11235</v>
      </c>
    </row>
    <row r="223" spans="1:8" x14ac:dyDescent="0.15">
      <c r="A223" s="196" t="s">
        <v>11229</v>
      </c>
      <c r="B223" s="196" t="s">
        <v>11230</v>
      </c>
      <c r="C223" s="196" t="s">
        <v>11699</v>
      </c>
      <c r="D223" s="196" t="s">
        <v>11700</v>
      </c>
      <c r="E223" s="196" t="s">
        <v>11700</v>
      </c>
      <c r="F223" s="196" t="s">
        <v>11233</v>
      </c>
      <c r="G223" s="196" t="s">
        <v>11449</v>
      </c>
      <c r="H223" s="196" t="s">
        <v>11235</v>
      </c>
    </row>
    <row r="224" spans="1:8" x14ac:dyDescent="0.15">
      <c r="A224" s="196" t="s">
        <v>11229</v>
      </c>
      <c r="B224" s="196" t="s">
        <v>11230</v>
      </c>
      <c r="C224" s="196" t="s">
        <v>11701</v>
      </c>
      <c r="D224" s="196" t="s">
        <v>11700</v>
      </c>
      <c r="E224" s="196" t="s">
        <v>11700</v>
      </c>
      <c r="F224" s="196" t="s">
        <v>11233</v>
      </c>
      <c r="G224" s="196" t="s">
        <v>11234</v>
      </c>
      <c r="H224" s="196" t="s">
        <v>11235</v>
      </c>
    </row>
    <row r="225" spans="1:8" x14ac:dyDescent="0.15">
      <c r="A225" s="196" t="s">
        <v>11229</v>
      </c>
      <c r="B225" s="196" t="s">
        <v>11230</v>
      </c>
      <c r="C225" s="196" t="s">
        <v>11702</v>
      </c>
      <c r="D225" s="196" t="s">
        <v>11703</v>
      </c>
      <c r="E225" s="196" t="s">
        <v>11703</v>
      </c>
      <c r="F225" s="196" t="s">
        <v>11233</v>
      </c>
      <c r="G225" s="196" t="s">
        <v>11234</v>
      </c>
      <c r="H225" s="196" t="s">
        <v>11235</v>
      </c>
    </row>
    <row r="226" spans="1:8" x14ac:dyDescent="0.15">
      <c r="A226" s="196" t="s">
        <v>11229</v>
      </c>
      <c r="B226" s="196" t="s">
        <v>11230</v>
      </c>
      <c r="C226" s="196" t="s">
        <v>11704</v>
      </c>
      <c r="D226" s="196" t="s">
        <v>11705</v>
      </c>
      <c r="E226" s="196" t="s">
        <v>11706</v>
      </c>
      <c r="F226" s="196" t="s">
        <v>11241</v>
      </c>
      <c r="G226" s="196" t="s">
        <v>11449</v>
      </c>
      <c r="H226" s="196" t="s">
        <v>11235</v>
      </c>
    </row>
    <row r="227" spans="1:8" x14ac:dyDescent="0.15">
      <c r="A227" s="196" t="s">
        <v>11229</v>
      </c>
      <c r="B227" s="196" t="s">
        <v>11230</v>
      </c>
      <c r="C227" s="196" t="s">
        <v>11707</v>
      </c>
      <c r="D227" s="196" t="s">
        <v>11708</v>
      </c>
      <c r="E227" s="196" t="s">
        <v>11708</v>
      </c>
      <c r="F227" s="196" t="s">
        <v>11233</v>
      </c>
      <c r="G227" s="196" t="s">
        <v>11449</v>
      </c>
      <c r="H227" s="196" t="s">
        <v>11235</v>
      </c>
    </row>
    <row r="228" spans="1:8" x14ac:dyDescent="0.15">
      <c r="A228" s="196" t="s">
        <v>11229</v>
      </c>
      <c r="B228" s="196" t="s">
        <v>11230</v>
      </c>
      <c r="C228" s="196" t="s">
        <v>11709</v>
      </c>
      <c r="D228" s="196" t="s">
        <v>11708</v>
      </c>
      <c r="E228" s="196" t="s">
        <v>11708</v>
      </c>
      <c r="F228" s="196" t="s">
        <v>11233</v>
      </c>
      <c r="G228" s="196" t="s">
        <v>11234</v>
      </c>
      <c r="H228" s="196" t="s">
        <v>11235</v>
      </c>
    </row>
    <row r="229" spans="1:8" x14ac:dyDescent="0.15">
      <c r="A229" s="196" t="s">
        <v>11229</v>
      </c>
      <c r="B229" s="196" t="s">
        <v>11230</v>
      </c>
      <c r="C229" s="196" t="s">
        <v>11710</v>
      </c>
      <c r="D229" s="196" t="s">
        <v>11711</v>
      </c>
      <c r="E229" s="196" t="s">
        <v>11711</v>
      </c>
      <c r="F229" s="196" t="s">
        <v>11233</v>
      </c>
      <c r="G229" s="196" t="s">
        <v>11449</v>
      </c>
      <c r="H229" s="196" t="s">
        <v>11235</v>
      </c>
    </row>
    <row r="230" spans="1:8" x14ac:dyDescent="0.15">
      <c r="A230" s="196" t="s">
        <v>11229</v>
      </c>
      <c r="B230" s="196" t="s">
        <v>11230</v>
      </c>
      <c r="C230" s="196" t="s">
        <v>11712</v>
      </c>
      <c r="D230" s="196" t="s">
        <v>11711</v>
      </c>
      <c r="E230" s="196" t="s">
        <v>11711</v>
      </c>
      <c r="F230" s="196" t="s">
        <v>11233</v>
      </c>
      <c r="G230" s="196" t="s">
        <v>11234</v>
      </c>
      <c r="H230" s="196" t="s">
        <v>11235</v>
      </c>
    </row>
    <row r="231" spans="1:8" x14ac:dyDescent="0.15">
      <c r="A231" s="196" t="s">
        <v>11229</v>
      </c>
      <c r="B231" s="196" t="s">
        <v>11230</v>
      </c>
      <c r="C231" s="196" t="s">
        <v>11713</v>
      </c>
      <c r="D231" s="196" t="s">
        <v>11714</v>
      </c>
      <c r="E231" s="196" t="s">
        <v>11714</v>
      </c>
      <c r="F231" s="196" t="s">
        <v>11233</v>
      </c>
      <c r="G231" s="196" t="s">
        <v>11449</v>
      </c>
      <c r="H231" s="196" t="s">
        <v>11235</v>
      </c>
    </row>
    <row r="232" spans="1:8" x14ac:dyDescent="0.15">
      <c r="A232" s="196" t="s">
        <v>11229</v>
      </c>
      <c r="B232" s="196" t="s">
        <v>11230</v>
      </c>
      <c r="C232" s="196" t="s">
        <v>11715</v>
      </c>
      <c r="D232" s="196" t="s">
        <v>11714</v>
      </c>
      <c r="E232" s="196" t="s">
        <v>11714</v>
      </c>
      <c r="F232" s="196" t="s">
        <v>11233</v>
      </c>
      <c r="G232" s="196" t="s">
        <v>11234</v>
      </c>
      <c r="H232" s="196" t="s">
        <v>11235</v>
      </c>
    </row>
    <row r="233" spans="1:8" x14ac:dyDescent="0.15">
      <c r="A233" s="196" t="s">
        <v>11229</v>
      </c>
      <c r="B233" s="196" t="s">
        <v>11230</v>
      </c>
      <c r="C233" s="196" t="s">
        <v>11716</v>
      </c>
      <c r="D233" s="196" t="s">
        <v>11717</v>
      </c>
      <c r="E233" s="196" t="s">
        <v>11718</v>
      </c>
      <c r="F233" s="196" t="s">
        <v>11241</v>
      </c>
      <c r="G233" s="196" t="s">
        <v>11234</v>
      </c>
      <c r="H233" s="196" t="s">
        <v>11235</v>
      </c>
    </row>
    <row r="234" spans="1:8" x14ac:dyDescent="0.15">
      <c r="A234" s="196" t="s">
        <v>11229</v>
      </c>
      <c r="B234" s="196" t="s">
        <v>11230</v>
      </c>
      <c r="C234" s="196" t="s">
        <v>11719</v>
      </c>
      <c r="D234" s="196" t="s">
        <v>11717</v>
      </c>
      <c r="E234" s="196" t="s">
        <v>11717</v>
      </c>
      <c r="F234" s="196" t="s">
        <v>11233</v>
      </c>
      <c r="G234" s="196" t="s">
        <v>11720</v>
      </c>
      <c r="H234" s="196" t="s">
        <v>11235</v>
      </c>
    </row>
    <row r="235" spans="1:8" x14ac:dyDescent="0.15">
      <c r="A235" s="196" t="s">
        <v>11229</v>
      </c>
      <c r="B235" s="196" t="s">
        <v>11230</v>
      </c>
      <c r="C235" s="196" t="s">
        <v>11721</v>
      </c>
      <c r="D235" s="196" t="s">
        <v>11718</v>
      </c>
      <c r="E235" s="196" t="s">
        <v>11722</v>
      </c>
      <c r="F235" s="196" t="s">
        <v>11268</v>
      </c>
      <c r="G235" s="196" t="s">
        <v>11234</v>
      </c>
      <c r="H235" s="196" t="s">
        <v>11235</v>
      </c>
    </row>
    <row r="236" spans="1:8" x14ac:dyDescent="0.15">
      <c r="A236" s="196" t="s">
        <v>11229</v>
      </c>
      <c r="B236" s="196" t="s">
        <v>11230</v>
      </c>
      <c r="C236" s="196" t="s">
        <v>11723</v>
      </c>
      <c r="D236" s="196" t="s">
        <v>11722</v>
      </c>
      <c r="E236" s="196" t="s">
        <v>11722</v>
      </c>
      <c r="F236" s="196" t="s">
        <v>11233</v>
      </c>
      <c r="G236" s="196" t="s">
        <v>11720</v>
      </c>
      <c r="H236" s="196" t="s">
        <v>11235</v>
      </c>
    </row>
    <row r="237" spans="1:8" x14ac:dyDescent="0.15">
      <c r="A237" s="196" t="s">
        <v>11229</v>
      </c>
      <c r="B237" s="196" t="s">
        <v>11230</v>
      </c>
      <c r="C237" s="196" t="s">
        <v>11724</v>
      </c>
      <c r="D237" s="196" t="s">
        <v>11725</v>
      </c>
      <c r="E237" s="196" t="s">
        <v>11726</v>
      </c>
      <c r="F237" s="196" t="s">
        <v>11241</v>
      </c>
      <c r="G237" s="196" t="s">
        <v>11449</v>
      </c>
      <c r="H237" s="196" t="s">
        <v>11235</v>
      </c>
    </row>
    <row r="238" spans="1:8" x14ac:dyDescent="0.15">
      <c r="A238" s="196" t="s">
        <v>11229</v>
      </c>
      <c r="B238" s="196" t="s">
        <v>11230</v>
      </c>
      <c r="C238" s="196" t="s">
        <v>11727</v>
      </c>
      <c r="D238" s="196" t="s">
        <v>11728</v>
      </c>
      <c r="E238" s="196" t="s">
        <v>11729</v>
      </c>
      <c r="F238" s="196" t="s">
        <v>11241</v>
      </c>
      <c r="G238" s="196" t="s">
        <v>11234</v>
      </c>
      <c r="H238" s="196" t="s">
        <v>11235</v>
      </c>
    </row>
    <row r="239" spans="1:8" x14ac:dyDescent="0.15">
      <c r="A239" s="196" t="s">
        <v>11229</v>
      </c>
      <c r="B239" s="196" t="s">
        <v>11230</v>
      </c>
      <c r="C239" s="196" t="s">
        <v>11730</v>
      </c>
      <c r="D239" s="196" t="s">
        <v>11729</v>
      </c>
      <c r="E239" s="196" t="s">
        <v>11729</v>
      </c>
      <c r="F239" s="196" t="s">
        <v>11233</v>
      </c>
      <c r="G239" s="196" t="s">
        <v>11720</v>
      </c>
      <c r="H239" s="196" t="s">
        <v>11235</v>
      </c>
    </row>
    <row r="240" spans="1:8" x14ac:dyDescent="0.15">
      <c r="A240" s="196" t="s">
        <v>11229</v>
      </c>
      <c r="B240" s="196" t="s">
        <v>11230</v>
      </c>
      <c r="C240" s="196" t="s">
        <v>11731</v>
      </c>
      <c r="D240" s="196" t="s">
        <v>11732</v>
      </c>
      <c r="E240" s="196" t="s">
        <v>11732</v>
      </c>
      <c r="F240" s="196" t="s">
        <v>11233</v>
      </c>
      <c r="G240" s="196" t="s">
        <v>11449</v>
      </c>
      <c r="H240" s="196" t="s">
        <v>11235</v>
      </c>
    </row>
    <row r="241" spans="1:8" x14ac:dyDescent="0.15">
      <c r="A241" s="196" t="s">
        <v>11229</v>
      </c>
      <c r="B241" s="196" t="s">
        <v>11230</v>
      </c>
      <c r="C241" s="196" t="s">
        <v>11733</v>
      </c>
      <c r="D241" s="196" t="s">
        <v>11734</v>
      </c>
      <c r="E241" s="196" t="s">
        <v>11734</v>
      </c>
      <c r="F241" s="196" t="s">
        <v>11233</v>
      </c>
      <c r="G241" s="196" t="s">
        <v>11234</v>
      </c>
      <c r="H241" s="196" t="s">
        <v>11235</v>
      </c>
    </row>
    <row r="242" spans="1:8" x14ac:dyDescent="0.15">
      <c r="A242" s="196" t="s">
        <v>11229</v>
      </c>
      <c r="B242" s="196" t="s">
        <v>11230</v>
      </c>
      <c r="C242" s="196" t="s">
        <v>11735</v>
      </c>
      <c r="D242" s="196" t="s">
        <v>11734</v>
      </c>
      <c r="E242" s="196" t="s">
        <v>11736</v>
      </c>
      <c r="F242" s="196" t="s">
        <v>11241</v>
      </c>
      <c r="G242" s="196" t="s">
        <v>11720</v>
      </c>
      <c r="H242" s="196" t="s">
        <v>11235</v>
      </c>
    </row>
    <row r="243" spans="1:8" x14ac:dyDescent="0.15">
      <c r="A243" s="196" t="s">
        <v>11229</v>
      </c>
      <c r="B243" s="196" t="s">
        <v>11230</v>
      </c>
      <c r="C243" s="196" t="s">
        <v>11737</v>
      </c>
      <c r="D243" s="196" t="s">
        <v>11736</v>
      </c>
      <c r="E243" s="196" t="s">
        <v>11738</v>
      </c>
      <c r="F243" s="196" t="s">
        <v>11241</v>
      </c>
      <c r="G243" s="196" t="s">
        <v>11234</v>
      </c>
      <c r="H243" s="196" t="s">
        <v>11235</v>
      </c>
    </row>
    <row r="244" spans="1:8" x14ac:dyDescent="0.15">
      <c r="A244" s="196" t="s">
        <v>11229</v>
      </c>
      <c r="B244" s="196" t="s">
        <v>11230</v>
      </c>
      <c r="C244" s="196" t="s">
        <v>11739</v>
      </c>
      <c r="D244" s="196" t="s">
        <v>11740</v>
      </c>
      <c r="E244" s="196" t="s">
        <v>11740</v>
      </c>
      <c r="F244" s="196" t="s">
        <v>11233</v>
      </c>
      <c r="G244" s="196" t="s">
        <v>11449</v>
      </c>
      <c r="H244" s="196" t="s">
        <v>11235</v>
      </c>
    </row>
    <row r="245" spans="1:8" x14ac:dyDescent="0.15">
      <c r="A245" s="196" t="s">
        <v>11229</v>
      </c>
      <c r="B245" s="196" t="s">
        <v>11230</v>
      </c>
      <c r="C245" s="196" t="s">
        <v>11741</v>
      </c>
      <c r="D245" s="196" t="s">
        <v>11742</v>
      </c>
      <c r="E245" s="196" t="s">
        <v>11742</v>
      </c>
      <c r="F245" s="196" t="s">
        <v>11233</v>
      </c>
      <c r="G245" s="196" t="s">
        <v>11720</v>
      </c>
      <c r="H245" s="196" t="s">
        <v>11235</v>
      </c>
    </row>
    <row r="246" spans="1:8" x14ac:dyDescent="0.15">
      <c r="A246" s="196" t="s">
        <v>11229</v>
      </c>
      <c r="B246" s="196" t="s">
        <v>11230</v>
      </c>
      <c r="C246" s="196" t="s">
        <v>11743</v>
      </c>
      <c r="D246" s="196" t="s">
        <v>11744</v>
      </c>
      <c r="E246" s="196" t="s">
        <v>11744</v>
      </c>
      <c r="F246" s="196" t="s">
        <v>11233</v>
      </c>
      <c r="G246" s="196" t="s">
        <v>11234</v>
      </c>
      <c r="H246" s="196" t="s">
        <v>11235</v>
      </c>
    </row>
    <row r="247" spans="1:8" x14ac:dyDescent="0.15">
      <c r="A247" s="196" t="s">
        <v>11229</v>
      </c>
      <c r="B247" s="196" t="s">
        <v>11230</v>
      </c>
      <c r="C247" s="196" t="s">
        <v>11745</v>
      </c>
      <c r="D247" s="196" t="s">
        <v>11746</v>
      </c>
      <c r="E247" s="196" t="s">
        <v>11746</v>
      </c>
      <c r="F247" s="196" t="s">
        <v>11233</v>
      </c>
      <c r="G247" s="196" t="s">
        <v>11449</v>
      </c>
      <c r="H247" s="196" t="s">
        <v>11235</v>
      </c>
    </row>
    <row r="248" spans="1:8" x14ac:dyDescent="0.15">
      <c r="A248" s="196" t="s">
        <v>11229</v>
      </c>
      <c r="B248" s="196" t="s">
        <v>11230</v>
      </c>
      <c r="C248" s="196" t="s">
        <v>11747</v>
      </c>
      <c r="D248" s="196" t="s">
        <v>11748</v>
      </c>
      <c r="E248" s="196" t="s">
        <v>11749</v>
      </c>
      <c r="F248" s="196" t="s">
        <v>11241</v>
      </c>
      <c r="G248" s="196" t="s">
        <v>11234</v>
      </c>
      <c r="H248" s="196" t="s">
        <v>11235</v>
      </c>
    </row>
    <row r="249" spans="1:8" x14ac:dyDescent="0.15">
      <c r="A249" s="196" t="s">
        <v>11229</v>
      </c>
      <c r="B249" s="196" t="s">
        <v>11230</v>
      </c>
      <c r="C249" s="196" t="s">
        <v>11750</v>
      </c>
      <c r="D249" s="196" t="s">
        <v>11749</v>
      </c>
      <c r="E249" s="196" t="s">
        <v>11749</v>
      </c>
      <c r="F249" s="196" t="s">
        <v>11233</v>
      </c>
      <c r="G249" s="196" t="s">
        <v>11720</v>
      </c>
      <c r="H249" s="196" t="s">
        <v>11235</v>
      </c>
    </row>
    <row r="250" spans="1:8" x14ac:dyDescent="0.15">
      <c r="A250" s="196" t="s">
        <v>11229</v>
      </c>
      <c r="B250" s="196" t="s">
        <v>11230</v>
      </c>
      <c r="C250" s="196" t="s">
        <v>11751</v>
      </c>
      <c r="D250" s="196" t="s">
        <v>11752</v>
      </c>
      <c r="E250" s="196" t="s">
        <v>11752</v>
      </c>
      <c r="F250" s="196" t="s">
        <v>11233</v>
      </c>
      <c r="G250" s="196" t="s">
        <v>11234</v>
      </c>
      <c r="H250" s="196" t="s">
        <v>11235</v>
      </c>
    </row>
    <row r="251" spans="1:8" x14ac:dyDescent="0.15">
      <c r="A251" s="196" t="s">
        <v>11229</v>
      </c>
      <c r="B251" s="196" t="s">
        <v>11230</v>
      </c>
      <c r="C251" s="196" t="s">
        <v>11753</v>
      </c>
      <c r="D251" s="196" t="s">
        <v>11754</v>
      </c>
      <c r="E251" s="196" t="s">
        <v>11754</v>
      </c>
      <c r="F251" s="196" t="s">
        <v>11233</v>
      </c>
      <c r="G251" s="196" t="s">
        <v>11449</v>
      </c>
      <c r="H251" s="196" t="s">
        <v>11235</v>
      </c>
    </row>
    <row r="252" spans="1:8" x14ac:dyDescent="0.15">
      <c r="A252" s="196" t="s">
        <v>11229</v>
      </c>
      <c r="B252" s="196" t="s">
        <v>11230</v>
      </c>
      <c r="C252" s="196" t="s">
        <v>11755</v>
      </c>
      <c r="D252" s="196" t="s">
        <v>11756</v>
      </c>
      <c r="E252" s="196" t="s">
        <v>11757</v>
      </c>
      <c r="F252" s="196" t="s">
        <v>11241</v>
      </c>
      <c r="G252" s="196" t="s">
        <v>11720</v>
      </c>
      <c r="H252" s="196" t="s">
        <v>11235</v>
      </c>
    </row>
    <row r="253" spans="1:8" x14ac:dyDescent="0.15">
      <c r="A253" s="196" t="s">
        <v>11229</v>
      </c>
      <c r="B253" s="196" t="s">
        <v>11230</v>
      </c>
      <c r="C253" s="196" t="s">
        <v>11758</v>
      </c>
      <c r="D253" s="196" t="s">
        <v>11757</v>
      </c>
      <c r="E253" s="196" t="s">
        <v>11757</v>
      </c>
      <c r="F253" s="196" t="s">
        <v>11233</v>
      </c>
      <c r="G253" s="196" t="s">
        <v>11234</v>
      </c>
      <c r="H253" s="196" t="s">
        <v>11235</v>
      </c>
    </row>
    <row r="254" spans="1:8" x14ac:dyDescent="0.15">
      <c r="A254" s="196" t="s">
        <v>11229</v>
      </c>
      <c r="B254" s="196" t="s">
        <v>11230</v>
      </c>
      <c r="C254" s="196" t="s">
        <v>11759</v>
      </c>
      <c r="D254" s="196" t="s">
        <v>11760</v>
      </c>
      <c r="E254" s="196" t="s">
        <v>11760</v>
      </c>
      <c r="F254" s="196" t="s">
        <v>11233</v>
      </c>
      <c r="G254" s="196" t="s">
        <v>11720</v>
      </c>
      <c r="H254" s="196" t="s">
        <v>11235</v>
      </c>
    </row>
    <row r="255" spans="1:8" x14ac:dyDescent="0.15">
      <c r="A255" s="196" t="s">
        <v>11229</v>
      </c>
      <c r="B255" s="196" t="s">
        <v>11230</v>
      </c>
      <c r="C255" s="196" t="s">
        <v>11761</v>
      </c>
      <c r="D255" s="196" t="s">
        <v>11760</v>
      </c>
      <c r="E255" s="196" t="s">
        <v>11760</v>
      </c>
      <c r="F255" s="196" t="s">
        <v>11233</v>
      </c>
      <c r="G255" s="196" t="s">
        <v>11234</v>
      </c>
      <c r="H255" s="196" t="s">
        <v>11235</v>
      </c>
    </row>
    <row r="256" spans="1:8" x14ac:dyDescent="0.15">
      <c r="A256" s="196" t="s">
        <v>11229</v>
      </c>
      <c r="B256" s="196" t="s">
        <v>11230</v>
      </c>
      <c r="C256" s="196" t="s">
        <v>11762</v>
      </c>
      <c r="D256" s="196" t="s">
        <v>11763</v>
      </c>
      <c r="E256" s="196" t="s">
        <v>11763</v>
      </c>
      <c r="F256" s="196" t="s">
        <v>11233</v>
      </c>
      <c r="G256" s="196" t="s">
        <v>11720</v>
      </c>
      <c r="H256" s="196" t="s">
        <v>11235</v>
      </c>
    </row>
    <row r="257" spans="1:8" x14ac:dyDescent="0.15">
      <c r="A257" s="196" t="s">
        <v>11229</v>
      </c>
      <c r="B257" s="196" t="s">
        <v>11230</v>
      </c>
      <c r="C257" s="196" t="s">
        <v>11764</v>
      </c>
      <c r="D257" s="196" t="s">
        <v>11763</v>
      </c>
      <c r="E257" s="196" t="s">
        <v>11763</v>
      </c>
      <c r="F257" s="196" t="s">
        <v>11233</v>
      </c>
      <c r="G257" s="196" t="s">
        <v>11234</v>
      </c>
      <c r="H257" s="196" t="s">
        <v>11235</v>
      </c>
    </row>
    <row r="258" spans="1:8" x14ac:dyDescent="0.15">
      <c r="A258" s="196" t="s">
        <v>11229</v>
      </c>
      <c r="B258" s="196" t="s">
        <v>11230</v>
      </c>
      <c r="C258" s="196" t="s">
        <v>11765</v>
      </c>
      <c r="D258" s="196" t="s">
        <v>11766</v>
      </c>
      <c r="E258" s="196" t="s">
        <v>11766</v>
      </c>
      <c r="F258" s="196" t="s">
        <v>11233</v>
      </c>
      <c r="G258" s="196" t="s">
        <v>11449</v>
      </c>
      <c r="H258" s="196" t="s">
        <v>11235</v>
      </c>
    </row>
    <row r="259" spans="1:8" x14ac:dyDescent="0.15">
      <c r="A259" s="196" t="s">
        <v>11229</v>
      </c>
      <c r="B259" s="196" t="s">
        <v>11230</v>
      </c>
      <c r="C259" s="196" t="s">
        <v>11767</v>
      </c>
      <c r="D259" s="196" t="s">
        <v>11768</v>
      </c>
      <c r="E259" s="196" t="s">
        <v>11768</v>
      </c>
      <c r="F259" s="196" t="s">
        <v>11233</v>
      </c>
      <c r="G259" s="196" t="s">
        <v>11234</v>
      </c>
      <c r="H259" s="196" t="s">
        <v>11235</v>
      </c>
    </row>
    <row r="260" spans="1:8" x14ac:dyDescent="0.15">
      <c r="A260" s="196" t="s">
        <v>11229</v>
      </c>
      <c r="B260" s="196" t="s">
        <v>11230</v>
      </c>
      <c r="C260" s="196" t="s">
        <v>11769</v>
      </c>
      <c r="D260" s="196" t="s">
        <v>11768</v>
      </c>
      <c r="E260" s="196" t="s">
        <v>11770</v>
      </c>
      <c r="F260" s="196" t="s">
        <v>11771</v>
      </c>
      <c r="G260" s="196" t="s">
        <v>11720</v>
      </c>
      <c r="H260" s="196" t="s">
        <v>11235</v>
      </c>
    </row>
    <row r="261" spans="1:8" x14ac:dyDescent="0.15">
      <c r="A261" s="196" t="s">
        <v>11229</v>
      </c>
      <c r="B261" s="196" t="s">
        <v>11230</v>
      </c>
      <c r="C261" s="196" t="s">
        <v>11772</v>
      </c>
      <c r="D261" s="196" t="s">
        <v>11770</v>
      </c>
      <c r="E261" s="196" t="s">
        <v>11770</v>
      </c>
      <c r="F261" s="196" t="s">
        <v>11233</v>
      </c>
      <c r="G261" s="196" t="s">
        <v>11234</v>
      </c>
      <c r="H261" s="196" t="s">
        <v>11235</v>
      </c>
    </row>
    <row r="262" spans="1:8" x14ac:dyDescent="0.15">
      <c r="A262" s="196" t="s">
        <v>11229</v>
      </c>
      <c r="B262" s="196" t="s">
        <v>11230</v>
      </c>
      <c r="C262" s="196" t="s">
        <v>11773</v>
      </c>
      <c r="D262" s="196" t="s">
        <v>11774</v>
      </c>
      <c r="E262" s="196" t="s">
        <v>11775</v>
      </c>
      <c r="F262" s="196" t="s">
        <v>11241</v>
      </c>
      <c r="G262" s="196" t="s">
        <v>11449</v>
      </c>
      <c r="H262" s="196" t="s">
        <v>11235</v>
      </c>
    </row>
    <row r="263" spans="1:8" x14ac:dyDescent="0.15">
      <c r="A263" s="196" t="s">
        <v>11229</v>
      </c>
      <c r="B263" s="196" t="s">
        <v>11230</v>
      </c>
      <c r="C263" s="196" t="s">
        <v>11776</v>
      </c>
      <c r="D263" s="196" t="s">
        <v>11777</v>
      </c>
      <c r="E263" s="196" t="s">
        <v>11778</v>
      </c>
      <c r="F263" s="196" t="s">
        <v>11241</v>
      </c>
      <c r="G263" s="196" t="s">
        <v>11720</v>
      </c>
      <c r="H263" s="196" t="s">
        <v>11235</v>
      </c>
    </row>
    <row r="264" spans="1:8" x14ac:dyDescent="0.15">
      <c r="A264" s="196" t="s">
        <v>11229</v>
      </c>
      <c r="B264" s="196" t="s">
        <v>11230</v>
      </c>
      <c r="C264" s="196" t="s">
        <v>11779</v>
      </c>
      <c r="D264" s="196" t="s">
        <v>11778</v>
      </c>
      <c r="E264" s="196" t="s">
        <v>11778</v>
      </c>
      <c r="F264" s="196" t="s">
        <v>11233</v>
      </c>
      <c r="G264" s="196" t="s">
        <v>11234</v>
      </c>
      <c r="H264" s="196" t="s">
        <v>11235</v>
      </c>
    </row>
    <row r="265" spans="1:8" x14ac:dyDescent="0.15">
      <c r="A265" s="196" t="s">
        <v>11229</v>
      </c>
      <c r="B265" s="196" t="s">
        <v>11230</v>
      </c>
      <c r="C265" s="196" t="s">
        <v>11780</v>
      </c>
      <c r="D265" s="196" t="s">
        <v>11781</v>
      </c>
      <c r="E265" s="196" t="s">
        <v>11781</v>
      </c>
      <c r="F265" s="196" t="s">
        <v>11233</v>
      </c>
      <c r="G265" s="196" t="s">
        <v>11449</v>
      </c>
      <c r="H265" s="196" t="s">
        <v>11235</v>
      </c>
    </row>
    <row r="266" spans="1:8" x14ac:dyDescent="0.15">
      <c r="A266" s="196" t="s">
        <v>11229</v>
      </c>
      <c r="B266" s="196" t="s">
        <v>11230</v>
      </c>
      <c r="C266" s="196" t="s">
        <v>11782</v>
      </c>
      <c r="D266" s="196" t="s">
        <v>11783</v>
      </c>
      <c r="E266" s="196" t="s">
        <v>11783</v>
      </c>
      <c r="F266" s="196" t="s">
        <v>11233</v>
      </c>
      <c r="G266" s="196" t="s">
        <v>11234</v>
      </c>
      <c r="H266" s="196" t="s">
        <v>11235</v>
      </c>
    </row>
    <row r="267" spans="1:8" x14ac:dyDescent="0.15">
      <c r="A267" s="196" t="s">
        <v>11229</v>
      </c>
      <c r="B267" s="196" t="s">
        <v>11230</v>
      </c>
      <c r="C267" s="196" t="s">
        <v>11784</v>
      </c>
      <c r="D267" s="196" t="s">
        <v>11783</v>
      </c>
      <c r="E267" s="196" t="s">
        <v>11785</v>
      </c>
      <c r="F267" s="196" t="s">
        <v>11268</v>
      </c>
      <c r="G267" s="196" t="s">
        <v>11720</v>
      </c>
      <c r="H267" s="196" t="s">
        <v>11235</v>
      </c>
    </row>
    <row r="268" spans="1:8" x14ac:dyDescent="0.15">
      <c r="A268" s="196" t="s">
        <v>11229</v>
      </c>
      <c r="B268" s="196" t="s">
        <v>11230</v>
      </c>
      <c r="C268" s="196" t="s">
        <v>11786</v>
      </c>
      <c r="D268" s="196" t="s">
        <v>11787</v>
      </c>
      <c r="E268" s="196" t="s">
        <v>11787</v>
      </c>
      <c r="F268" s="196" t="s">
        <v>11233</v>
      </c>
      <c r="G268" s="196" t="s">
        <v>11720</v>
      </c>
      <c r="H268" s="196" t="s">
        <v>11235</v>
      </c>
    </row>
    <row r="269" spans="1:8" x14ac:dyDescent="0.15">
      <c r="A269" s="196" t="s">
        <v>11229</v>
      </c>
      <c r="B269" s="196" t="s">
        <v>11230</v>
      </c>
      <c r="C269" s="196" t="s">
        <v>11788</v>
      </c>
      <c r="D269" s="196" t="s">
        <v>11789</v>
      </c>
      <c r="E269" s="196" t="s">
        <v>11789</v>
      </c>
      <c r="F269" s="196" t="s">
        <v>11233</v>
      </c>
      <c r="G269" s="196" t="s">
        <v>11449</v>
      </c>
      <c r="H269" s="196" t="s">
        <v>11235</v>
      </c>
    </row>
    <row r="270" spans="1:8" x14ac:dyDescent="0.15">
      <c r="A270" s="196" t="s">
        <v>11229</v>
      </c>
      <c r="B270" s="196" t="s">
        <v>11230</v>
      </c>
      <c r="C270" s="196" t="s">
        <v>11790</v>
      </c>
      <c r="D270" s="196" t="s">
        <v>11791</v>
      </c>
      <c r="E270" s="196" t="s">
        <v>11791</v>
      </c>
      <c r="F270" s="196" t="s">
        <v>11233</v>
      </c>
      <c r="G270" s="196" t="s">
        <v>11234</v>
      </c>
      <c r="H270" s="196" t="s">
        <v>11235</v>
      </c>
    </row>
    <row r="271" spans="1:8" x14ac:dyDescent="0.15">
      <c r="A271" s="196" t="s">
        <v>11229</v>
      </c>
      <c r="B271" s="196" t="s">
        <v>11230</v>
      </c>
      <c r="C271" s="196" t="s">
        <v>11792</v>
      </c>
      <c r="D271" s="196" t="s">
        <v>11791</v>
      </c>
      <c r="E271" s="196" t="s">
        <v>11791</v>
      </c>
      <c r="F271" s="196" t="s">
        <v>11233</v>
      </c>
      <c r="G271" s="196" t="s">
        <v>11720</v>
      </c>
      <c r="H271" s="196" t="s">
        <v>11235</v>
      </c>
    </row>
    <row r="272" spans="1:8" x14ac:dyDescent="0.15">
      <c r="A272" s="196" t="s">
        <v>11229</v>
      </c>
      <c r="B272" s="196" t="s">
        <v>11230</v>
      </c>
      <c r="C272" s="196" t="s">
        <v>11793</v>
      </c>
      <c r="D272" s="196" t="s">
        <v>11794</v>
      </c>
      <c r="E272" s="196" t="s">
        <v>11794</v>
      </c>
      <c r="F272" s="196" t="s">
        <v>11233</v>
      </c>
      <c r="G272" s="196" t="s">
        <v>11234</v>
      </c>
      <c r="H272" s="196" t="s">
        <v>11235</v>
      </c>
    </row>
    <row r="273" spans="1:8" x14ac:dyDescent="0.15">
      <c r="A273" s="196" t="s">
        <v>11229</v>
      </c>
      <c r="B273" s="196" t="s">
        <v>11230</v>
      </c>
      <c r="C273" s="196" t="s">
        <v>11795</v>
      </c>
      <c r="D273" s="196" t="s">
        <v>11794</v>
      </c>
      <c r="E273" s="196" t="s">
        <v>11794</v>
      </c>
      <c r="F273" s="196" t="s">
        <v>11233</v>
      </c>
      <c r="G273" s="196" t="s">
        <v>11720</v>
      </c>
      <c r="H273" s="196" t="s">
        <v>11235</v>
      </c>
    </row>
    <row r="274" spans="1:8" x14ac:dyDescent="0.15">
      <c r="A274" s="196" t="s">
        <v>11229</v>
      </c>
      <c r="B274" s="196" t="s">
        <v>11230</v>
      </c>
      <c r="C274" s="196" t="s">
        <v>11796</v>
      </c>
      <c r="D274" s="196" t="s">
        <v>11797</v>
      </c>
      <c r="E274" s="196" t="s">
        <v>11797</v>
      </c>
      <c r="F274" s="196" t="s">
        <v>11233</v>
      </c>
      <c r="G274" s="196" t="s">
        <v>11234</v>
      </c>
      <c r="H274" s="196" t="s">
        <v>11235</v>
      </c>
    </row>
    <row r="275" spans="1:8" x14ac:dyDescent="0.15">
      <c r="A275" s="196" t="s">
        <v>11229</v>
      </c>
      <c r="B275" s="196" t="s">
        <v>11230</v>
      </c>
      <c r="C275" s="196" t="s">
        <v>11798</v>
      </c>
      <c r="D275" s="196" t="s">
        <v>11797</v>
      </c>
      <c r="E275" s="196" t="s">
        <v>11799</v>
      </c>
      <c r="F275" s="196" t="s">
        <v>11268</v>
      </c>
      <c r="G275" s="196" t="s">
        <v>11720</v>
      </c>
      <c r="H275" s="196" t="s">
        <v>11235</v>
      </c>
    </row>
    <row r="276" spans="1:8" x14ac:dyDescent="0.15">
      <c r="A276" s="196" t="s">
        <v>11229</v>
      </c>
      <c r="B276" s="196" t="s">
        <v>11230</v>
      </c>
      <c r="C276" s="196" t="s">
        <v>11800</v>
      </c>
      <c r="D276" s="196" t="s">
        <v>11799</v>
      </c>
      <c r="E276" s="196" t="s">
        <v>11799</v>
      </c>
      <c r="F276" s="196" t="s">
        <v>11233</v>
      </c>
      <c r="G276" s="196" t="s">
        <v>11449</v>
      </c>
      <c r="H276" s="196" t="s">
        <v>11235</v>
      </c>
    </row>
    <row r="277" spans="1:8" x14ac:dyDescent="0.15">
      <c r="A277" s="196" t="s">
        <v>11229</v>
      </c>
      <c r="B277" s="196" t="s">
        <v>11230</v>
      </c>
      <c r="C277" s="196" t="s">
        <v>11801</v>
      </c>
      <c r="D277" s="196" t="s">
        <v>11802</v>
      </c>
      <c r="E277" s="196" t="s">
        <v>11803</v>
      </c>
      <c r="F277" s="196" t="s">
        <v>11241</v>
      </c>
      <c r="G277" s="196" t="s">
        <v>11449</v>
      </c>
      <c r="H277" s="196" t="s">
        <v>11235</v>
      </c>
    </row>
    <row r="278" spans="1:8" x14ac:dyDescent="0.15">
      <c r="A278" s="196" t="s">
        <v>11229</v>
      </c>
      <c r="B278" s="196" t="s">
        <v>11230</v>
      </c>
      <c r="C278" s="196" t="s">
        <v>11804</v>
      </c>
      <c r="D278" s="196" t="s">
        <v>11803</v>
      </c>
      <c r="E278" s="196" t="s">
        <v>11805</v>
      </c>
      <c r="F278" s="196" t="s">
        <v>11268</v>
      </c>
      <c r="G278" s="196" t="s">
        <v>11449</v>
      </c>
      <c r="H278" s="196" t="s">
        <v>11235</v>
      </c>
    </row>
    <row r="279" spans="1:8" x14ac:dyDescent="0.15">
      <c r="A279" s="196" t="s">
        <v>11229</v>
      </c>
      <c r="B279" s="196" t="s">
        <v>11230</v>
      </c>
      <c r="C279" s="196" t="s">
        <v>11806</v>
      </c>
      <c r="D279" s="196" t="s">
        <v>11807</v>
      </c>
      <c r="E279" s="196" t="s">
        <v>11808</v>
      </c>
      <c r="F279" s="196" t="s">
        <v>11241</v>
      </c>
      <c r="G279" s="196" t="s">
        <v>11234</v>
      </c>
      <c r="H279" s="196" t="s">
        <v>11235</v>
      </c>
    </row>
    <row r="280" spans="1:8" x14ac:dyDescent="0.15">
      <c r="A280" s="196" t="s">
        <v>11229</v>
      </c>
      <c r="B280" s="196" t="s">
        <v>11230</v>
      </c>
      <c r="C280" s="196" t="s">
        <v>11809</v>
      </c>
      <c r="D280" s="196" t="s">
        <v>11808</v>
      </c>
      <c r="E280" s="196" t="s">
        <v>11808</v>
      </c>
      <c r="F280" s="196" t="s">
        <v>11233</v>
      </c>
      <c r="G280" s="196" t="s">
        <v>11720</v>
      </c>
      <c r="H280" s="196" t="s">
        <v>11235</v>
      </c>
    </row>
    <row r="281" spans="1:8" x14ac:dyDescent="0.15">
      <c r="A281" s="196" t="s">
        <v>11229</v>
      </c>
      <c r="B281" s="196" t="s">
        <v>11230</v>
      </c>
      <c r="C281" s="196" t="s">
        <v>11810</v>
      </c>
      <c r="D281" s="196" t="s">
        <v>11811</v>
      </c>
      <c r="E281" s="196" t="s">
        <v>11811</v>
      </c>
      <c r="F281" s="196" t="s">
        <v>11233</v>
      </c>
      <c r="G281" s="196" t="s">
        <v>11234</v>
      </c>
      <c r="H281" s="196" t="s">
        <v>11235</v>
      </c>
    </row>
    <row r="282" spans="1:8" x14ac:dyDescent="0.15">
      <c r="A282" s="196" t="s">
        <v>11229</v>
      </c>
      <c r="B282" s="196" t="s">
        <v>11230</v>
      </c>
      <c r="C282" s="196" t="s">
        <v>11812</v>
      </c>
      <c r="D282" s="196" t="s">
        <v>11811</v>
      </c>
      <c r="E282" s="196" t="s">
        <v>11811</v>
      </c>
      <c r="F282" s="196" t="s">
        <v>11233</v>
      </c>
      <c r="G282" s="196" t="s">
        <v>11720</v>
      </c>
      <c r="H282" s="196" t="s">
        <v>11235</v>
      </c>
    </row>
    <row r="283" spans="1:8" x14ac:dyDescent="0.15">
      <c r="A283" s="196" t="s">
        <v>11229</v>
      </c>
      <c r="B283" s="196" t="s">
        <v>11230</v>
      </c>
      <c r="C283" s="196" t="s">
        <v>11813</v>
      </c>
      <c r="D283" s="196" t="s">
        <v>11814</v>
      </c>
      <c r="E283" s="196" t="s">
        <v>11814</v>
      </c>
      <c r="F283" s="196" t="s">
        <v>11233</v>
      </c>
      <c r="G283" s="196" t="s">
        <v>11234</v>
      </c>
      <c r="H283" s="196" t="s">
        <v>11235</v>
      </c>
    </row>
    <row r="284" spans="1:8" x14ac:dyDescent="0.15">
      <c r="A284" s="196" t="s">
        <v>11229</v>
      </c>
      <c r="B284" s="196" t="s">
        <v>11230</v>
      </c>
      <c r="C284" s="196" t="s">
        <v>11815</v>
      </c>
      <c r="D284" s="196" t="s">
        <v>11814</v>
      </c>
      <c r="E284" s="196" t="s">
        <v>11816</v>
      </c>
      <c r="F284" s="196" t="s">
        <v>11241</v>
      </c>
      <c r="G284" s="196" t="s">
        <v>11720</v>
      </c>
      <c r="H284" s="196" t="s">
        <v>11235</v>
      </c>
    </row>
    <row r="285" spans="1:8" x14ac:dyDescent="0.15">
      <c r="A285" s="196" t="s">
        <v>11229</v>
      </c>
      <c r="B285" s="196" t="s">
        <v>11230</v>
      </c>
      <c r="C285" s="196" t="s">
        <v>11817</v>
      </c>
      <c r="D285" s="196" t="s">
        <v>11816</v>
      </c>
      <c r="E285" s="196" t="s">
        <v>11816</v>
      </c>
      <c r="F285" s="196" t="s">
        <v>11233</v>
      </c>
      <c r="G285" s="196" t="s">
        <v>11449</v>
      </c>
      <c r="H285" s="196" t="s">
        <v>11235</v>
      </c>
    </row>
    <row r="286" spans="1:8" x14ac:dyDescent="0.15">
      <c r="A286" s="196" t="s">
        <v>11229</v>
      </c>
      <c r="B286" s="196" t="s">
        <v>11230</v>
      </c>
      <c r="C286" s="196" t="s">
        <v>11818</v>
      </c>
      <c r="D286" s="196" t="s">
        <v>11819</v>
      </c>
      <c r="E286" s="196" t="s">
        <v>11819</v>
      </c>
      <c r="F286" s="196" t="s">
        <v>11233</v>
      </c>
      <c r="G286" s="196" t="s">
        <v>11720</v>
      </c>
      <c r="H286" s="196" t="s">
        <v>11235</v>
      </c>
    </row>
    <row r="287" spans="1:8" x14ac:dyDescent="0.15">
      <c r="A287" s="196" t="s">
        <v>11229</v>
      </c>
      <c r="B287" s="196" t="s">
        <v>11230</v>
      </c>
      <c r="C287" s="196" t="s">
        <v>11820</v>
      </c>
      <c r="D287" s="196" t="s">
        <v>11821</v>
      </c>
      <c r="E287" s="196" t="s">
        <v>11821</v>
      </c>
      <c r="F287" s="196" t="s">
        <v>11233</v>
      </c>
      <c r="G287" s="196" t="s">
        <v>11720</v>
      </c>
      <c r="H287" s="196" t="s">
        <v>11235</v>
      </c>
    </row>
    <row r="288" spans="1:8" x14ac:dyDescent="0.15">
      <c r="A288" s="196" t="s">
        <v>11229</v>
      </c>
      <c r="B288" s="196" t="s">
        <v>11230</v>
      </c>
      <c r="C288" s="196" t="s">
        <v>11822</v>
      </c>
      <c r="D288" s="196" t="s">
        <v>11823</v>
      </c>
      <c r="E288" s="196" t="s">
        <v>11823</v>
      </c>
      <c r="F288" s="196" t="s">
        <v>11233</v>
      </c>
      <c r="G288" s="196" t="s">
        <v>11720</v>
      </c>
      <c r="H288" s="196" t="s">
        <v>11235</v>
      </c>
    </row>
    <row r="289" spans="1:8" x14ac:dyDescent="0.15">
      <c r="A289" s="196" t="s">
        <v>11229</v>
      </c>
      <c r="B289" s="196" t="s">
        <v>11230</v>
      </c>
      <c r="C289" s="196" t="s">
        <v>11824</v>
      </c>
      <c r="D289" s="196" t="s">
        <v>11825</v>
      </c>
      <c r="E289" s="196" t="s">
        <v>11825</v>
      </c>
      <c r="F289" s="196" t="s">
        <v>11233</v>
      </c>
      <c r="G289" s="196" t="s">
        <v>11720</v>
      </c>
      <c r="H289" s="196" t="s">
        <v>11235</v>
      </c>
    </row>
    <row r="290" spans="1:8" x14ac:dyDescent="0.15">
      <c r="A290" s="196" t="s">
        <v>11229</v>
      </c>
      <c r="B290" s="196" t="s">
        <v>11230</v>
      </c>
      <c r="C290" s="196" t="s">
        <v>11826</v>
      </c>
      <c r="D290" s="196" t="s">
        <v>11827</v>
      </c>
      <c r="E290" s="196" t="s">
        <v>11828</v>
      </c>
      <c r="F290" s="196" t="s">
        <v>11241</v>
      </c>
      <c r="G290" s="196" t="s">
        <v>11234</v>
      </c>
      <c r="H290" s="196" t="s">
        <v>11235</v>
      </c>
    </row>
    <row r="291" spans="1:8" x14ac:dyDescent="0.15">
      <c r="A291" s="196" t="s">
        <v>11229</v>
      </c>
      <c r="B291" s="196" t="s">
        <v>11230</v>
      </c>
      <c r="C291" s="196" t="s">
        <v>11829</v>
      </c>
      <c r="D291" s="196" t="s">
        <v>11830</v>
      </c>
      <c r="E291" s="196" t="s">
        <v>11830</v>
      </c>
      <c r="F291" s="196" t="s">
        <v>11233</v>
      </c>
      <c r="G291" s="196" t="s">
        <v>11449</v>
      </c>
      <c r="H291" s="196" t="s">
        <v>11235</v>
      </c>
    </row>
    <row r="292" spans="1:8" x14ac:dyDescent="0.15">
      <c r="A292" s="196" t="s">
        <v>11229</v>
      </c>
      <c r="B292" s="196" t="s">
        <v>11230</v>
      </c>
      <c r="C292" s="196" t="s">
        <v>11831</v>
      </c>
      <c r="D292" s="196" t="s">
        <v>11832</v>
      </c>
      <c r="E292" s="196" t="s">
        <v>11832</v>
      </c>
      <c r="F292" s="196" t="s">
        <v>11233</v>
      </c>
      <c r="G292" s="196" t="s">
        <v>11720</v>
      </c>
      <c r="H292" s="196" t="s">
        <v>11235</v>
      </c>
    </row>
    <row r="293" spans="1:8" x14ac:dyDescent="0.15">
      <c r="A293" s="196" t="s">
        <v>11229</v>
      </c>
      <c r="B293" s="196" t="s">
        <v>11230</v>
      </c>
      <c r="C293" s="196" t="s">
        <v>11833</v>
      </c>
      <c r="D293" s="196" t="s">
        <v>11834</v>
      </c>
      <c r="E293" s="196" t="s">
        <v>11834</v>
      </c>
      <c r="F293" s="196" t="s">
        <v>11233</v>
      </c>
      <c r="G293" s="196" t="s">
        <v>11720</v>
      </c>
      <c r="H293" s="196" t="s">
        <v>11235</v>
      </c>
    </row>
    <row r="294" spans="1:8" x14ac:dyDescent="0.15">
      <c r="A294" s="196" t="s">
        <v>11229</v>
      </c>
      <c r="B294" s="196" t="s">
        <v>11230</v>
      </c>
      <c r="C294" s="196" t="s">
        <v>11835</v>
      </c>
      <c r="D294" s="196" t="s">
        <v>11836</v>
      </c>
      <c r="E294" s="196" t="s">
        <v>11836</v>
      </c>
      <c r="F294" s="196" t="s">
        <v>11233</v>
      </c>
      <c r="G294" s="196" t="s">
        <v>11720</v>
      </c>
      <c r="H294" s="196" t="s">
        <v>11235</v>
      </c>
    </row>
    <row r="295" spans="1:8" x14ac:dyDescent="0.15">
      <c r="A295" s="196" t="s">
        <v>11229</v>
      </c>
      <c r="B295" s="196" t="s">
        <v>11230</v>
      </c>
      <c r="C295" s="196" t="s">
        <v>11837</v>
      </c>
      <c r="D295" s="196" t="s">
        <v>11838</v>
      </c>
      <c r="E295" s="196" t="s">
        <v>11839</v>
      </c>
      <c r="F295" s="196" t="s">
        <v>11241</v>
      </c>
      <c r="G295" s="196" t="s">
        <v>11720</v>
      </c>
      <c r="H295" s="196" t="s">
        <v>11235</v>
      </c>
    </row>
    <row r="296" spans="1:8" x14ac:dyDescent="0.15">
      <c r="A296" s="196" t="s">
        <v>11229</v>
      </c>
      <c r="B296" s="196" t="s">
        <v>11230</v>
      </c>
      <c r="C296" s="196" t="s">
        <v>11840</v>
      </c>
      <c r="D296" s="196" t="s">
        <v>11841</v>
      </c>
      <c r="E296" s="196" t="s">
        <v>11841</v>
      </c>
      <c r="F296" s="196" t="s">
        <v>11233</v>
      </c>
      <c r="G296" s="196" t="s">
        <v>11720</v>
      </c>
      <c r="H296" s="196" t="s">
        <v>11235</v>
      </c>
    </row>
    <row r="297" spans="1:8" x14ac:dyDescent="0.15">
      <c r="A297" s="196" t="s">
        <v>11229</v>
      </c>
      <c r="B297" s="196" t="s">
        <v>11230</v>
      </c>
      <c r="C297" s="196" t="s">
        <v>11842</v>
      </c>
      <c r="D297" s="196" t="s">
        <v>11843</v>
      </c>
      <c r="E297" s="196" t="s">
        <v>11843</v>
      </c>
      <c r="F297" s="196" t="s">
        <v>11233</v>
      </c>
      <c r="G297" s="196" t="s">
        <v>11720</v>
      </c>
      <c r="H297" s="196" t="s">
        <v>11235</v>
      </c>
    </row>
    <row r="298" spans="1:8" x14ac:dyDescent="0.15">
      <c r="A298" s="196" t="s">
        <v>11229</v>
      </c>
      <c r="B298" s="196" t="s">
        <v>11230</v>
      </c>
      <c r="C298" s="196" t="s">
        <v>11844</v>
      </c>
      <c r="D298" s="196" t="s">
        <v>11845</v>
      </c>
      <c r="E298" s="196" t="s">
        <v>11845</v>
      </c>
      <c r="F298" s="196" t="s">
        <v>11233</v>
      </c>
      <c r="G298" s="196" t="s">
        <v>11720</v>
      </c>
      <c r="H298" s="196" t="s">
        <v>11235</v>
      </c>
    </row>
    <row r="299" spans="1:8" x14ac:dyDescent="0.15">
      <c r="A299" s="196" t="s">
        <v>11229</v>
      </c>
      <c r="B299" s="196" t="s">
        <v>11230</v>
      </c>
      <c r="C299" s="196" t="s">
        <v>11846</v>
      </c>
      <c r="D299" s="196" t="s">
        <v>11847</v>
      </c>
      <c r="E299" s="196" t="s">
        <v>11848</v>
      </c>
      <c r="F299" s="196" t="s">
        <v>11241</v>
      </c>
      <c r="G299" s="196" t="s">
        <v>11720</v>
      </c>
      <c r="H299" s="196" t="s">
        <v>11235</v>
      </c>
    </row>
    <row r="300" spans="1:8" x14ac:dyDescent="0.15">
      <c r="A300" s="196" t="s">
        <v>11229</v>
      </c>
      <c r="B300" s="196" t="s">
        <v>11230</v>
      </c>
      <c r="C300" s="196" t="s">
        <v>11849</v>
      </c>
      <c r="D300" s="196" t="s">
        <v>11848</v>
      </c>
      <c r="E300" s="196" t="s">
        <v>11848</v>
      </c>
      <c r="F300" s="196" t="s">
        <v>11233</v>
      </c>
      <c r="G300" s="196" t="s">
        <v>11234</v>
      </c>
      <c r="H300" s="196" t="s">
        <v>11235</v>
      </c>
    </row>
    <row r="301" spans="1:8" x14ac:dyDescent="0.15">
      <c r="A301" s="196" t="s">
        <v>11229</v>
      </c>
      <c r="B301" s="196" t="s">
        <v>11230</v>
      </c>
      <c r="C301" s="196" t="s">
        <v>11850</v>
      </c>
      <c r="D301" s="196" t="s">
        <v>11851</v>
      </c>
      <c r="E301" s="196" t="s">
        <v>11851</v>
      </c>
      <c r="F301" s="196" t="s">
        <v>11233</v>
      </c>
      <c r="G301" s="196" t="s">
        <v>11720</v>
      </c>
      <c r="H301" s="196" t="s">
        <v>11235</v>
      </c>
    </row>
    <row r="302" spans="1:8" x14ac:dyDescent="0.15">
      <c r="A302" s="196" t="s">
        <v>11229</v>
      </c>
      <c r="B302" s="196" t="s">
        <v>11230</v>
      </c>
      <c r="C302" s="196" t="s">
        <v>11852</v>
      </c>
      <c r="D302" s="196" t="s">
        <v>11853</v>
      </c>
      <c r="E302" s="196" t="s">
        <v>11853</v>
      </c>
      <c r="F302" s="196" t="s">
        <v>11233</v>
      </c>
      <c r="G302" s="196" t="s">
        <v>11720</v>
      </c>
      <c r="H302" s="196" t="s">
        <v>11235</v>
      </c>
    </row>
    <row r="303" spans="1:8" x14ac:dyDescent="0.15">
      <c r="A303" s="196" t="s">
        <v>11229</v>
      </c>
      <c r="B303" s="196" t="s">
        <v>11230</v>
      </c>
      <c r="C303" s="196" t="s">
        <v>11854</v>
      </c>
      <c r="D303" s="196" t="s">
        <v>11853</v>
      </c>
      <c r="E303" s="196" t="s">
        <v>11853</v>
      </c>
      <c r="F303" s="196" t="s">
        <v>11233</v>
      </c>
      <c r="G303" s="196" t="s">
        <v>11449</v>
      </c>
      <c r="H303" s="196" t="s">
        <v>11235</v>
      </c>
    </row>
    <row r="304" spans="1:8" x14ac:dyDescent="0.15">
      <c r="A304" s="196" t="s">
        <v>11229</v>
      </c>
      <c r="B304" s="196" t="s">
        <v>11230</v>
      </c>
      <c r="C304" s="196" t="s">
        <v>11855</v>
      </c>
      <c r="D304" s="196" t="s">
        <v>11856</v>
      </c>
      <c r="E304" s="196" t="s">
        <v>11856</v>
      </c>
      <c r="F304" s="196" t="s">
        <v>11233</v>
      </c>
      <c r="G304" s="196" t="s">
        <v>11720</v>
      </c>
      <c r="H304" s="196" t="s">
        <v>11235</v>
      </c>
    </row>
    <row r="305" spans="1:8" x14ac:dyDescent="0.15">
      <c r="A305" s="196" t="s">
        <v>11229</v>
      </c>
      <c r="B305" s="196" t="s">
        <v>11230</v>
      </c>
      <c r="C305" s="196" t="s">
        <v>11857</v>
      </c>
      <c r="D305" s="196" t="s">
        <v>11858</v>
      </c>
      <c r="E305" s="196" t="s">
        <v>11858</v>
      </c>
      <c r="F305" s="196" t="s">
        <v>11233</v>
      </c>
      <c r="G305" s="196" t="s">
        <v>11720</v>
      </c>
      <c r="H305" s="196" t="s">
        <v>11235</v>
      </c>
    </row>
    <row r="306" spans="1:8" x14ac:dyDescent="0.15">
      <c r="A306" s="196" t="s">
        <v>11229</v>
      </c>
      <c r="B306" s="196" t="s">
        <v>11230</v>
      </c>
      <c r="C306" s="196" t="s">
        <v>11859</v>
      </c>
      <c r="D306" s="196" t="s">
        <v>11860</v>
      </c>
      <c r="E306" s="196" t="s">
        <v>11860</v>
      </c>
      <c r="F306" s="196" t="s">
        <v>11233</v>
      </c>
      <c r="G306" s="196" t="s">
        <v>11720</v>
      </c>
      <c r="H306" s="196" t="s">
        <v>11235</v>
      </c>
    </row>
    <row r="307" spans="1:8" x14ac:dyDescent="0.15">
      <c r="A307" s="196" t="s">
        <v>11229</v>
      </c>
      <c r="B307" s="196" t="s">
        <v>11230</v>
      </c>
      <c r="C307" s="196" t="s">
        <v>11861</v>
      </c>
      <c r="D307" s="196" t="s">
        <v>11862</v>
      </c>
      <c r="E307" s="196" t="s">
        <v>11863</v>
      </c>
      <c r="F307" s="196" t="s">
        <v>11268</v>
      </c>
      <c r="G307" s="196" t="s">
        <v>11720</v>
      </c>
      <c r="H307" s="196" t="s">
        <v>11235</v>
      </c>
    </row>
    <row r="308" spans="1:8" x14ac:dyDescent="0.15">
      <c r="A308" s="196" t="s">
        <v>11229</v>
      </c>
      <c r="B308" s="196" t="s">
        <v>11230</v>
      </c>
      <c r="C308" s="196" t="s">
        <v>11864</v>
      </c>
      <c r="D308" s="196" t="s">
        <v>11863</v>
      </c>
      <c r="E308" s="196" t="s">
        <v>11865</v>
      </c>
      <c r="F308" s="196" t="s">
        <v>11241</v>
      </c>
      <c r="G308" s="196" t="s">
        <v>11720</v>
      </c>
      <c r="H308" s="196" t="s">
        <v>11235</v>
      </c>
    </row>
    <row r="309" spans="1:8" x14ac:dyDescent="0.15">
      <c r="A309" s="196" t="s">
        <v>11229</v>
      </c>
      <c r="B309" s="196" t="s">
        <v>11230</v>
      </c>
      <c r="C309" s="196" t="s">
        <v>11866</v>
      </c>
      <c r="D309" s="196" t="s">
        <v>11867</v>
      </c>
      <c r="E309" s="196" t="s">
        <v>11867</v>
      </c>
      <c r="F309" s="196" t="s">
        <v>11233</v>
      </c>
      <c r="G309" s="196" t="s">
        <v>11234</v>
      </c>
      <c r="H309" s="196" t="s">
        <v>11235</v>
      </c>
    </row>
    <row r="310" spans="1:8" x14ac:dyDescent="0.15">
      <c r="A310" s="196" t="s">
        <v>11229</v>
      </c>
      <c r="B310" s="196" t="s">
        <v>11230</v>
      </c>
      <c r="C310" s="196" t="s">
        <v>11868</v>
      </c>
      <c r="D310" s="196" t="s">
        <v>11869</v>
      </c>
      <c r="E310" s="196" t="s">
        <v>11869</v>
      </c>
      <c r="F310" s="196" t="s">
        <v>11233</v>
      </c>
      <c r="G310" s="196" t="s">
        <v>11449</v>
      </c>
      <c r="H310" s="196" t="s">
        <v>11235</v>
      </c>
    </row>
    <row r="311" spans="1:8" x14ac:dyDescent="0.15">
      <c r="A311" s="196" t="s">
        <v>11229</v>
      </c>
      <c r="B311" s="196" t="s">
        <v>11230</v>
      </c>
      <c r="C311" s="196" t="s">
        <v>11870</v>
      </c>
      <c r="D311" s="196" t="s">
        <v>11871</v>
      </c>
      <c r="E311" s="196" t="s">
        <v>11871</v>
      </c>
      <c r="F311" s="196" t="s">
        <v>11233</v>
      </c>
      <c r="G311" s="196" t="s">
        <v>11449</v>
      </c>
      <c r="H311" s="196" t="s">
        <v>11235</v>
      </c>
    </row>
    <row r="312" spans="1:8" x14ac:dyDescent="0.15">
      <c r="A312" s="196" t="s">
        <v>11229</v>
      </c>
      <c r="B312" s="196" t="s">
        <v>11230</v>
      </c>
      <c r="C312" s="196" t="s">
        <v>11872</v>
      </c>
      <c r="D312" s="196" t="s">
        <v>11873</v>
      </c>
      <c r="E312" s="196" t="s">
        <v>11873</v>
      </c>
      <c r="F312" s="196" t="s">
        <v>11233</v>
      </c>
      <c r="G312" s="196" t="s">
        <v>11449</v>
      </c>
      <c r="H312" s="196" t="s">
        <v>11235</v>
      </c>
    </row>
    <row r="313" spans="1:8" x14ac:dyDescent="0.15">
      <c r="A313" s="196" t="s">
        <v>11229</v>
      </c>
      <c r="B313" s="196" t="s">
        <v>11230</v>
      </c>
      <c r="C313" s="196" t="s">
        <v>11874</v>
      </c>
      <c r="D313" s="196" t="s">
        <v>11875</v>
      </c>
      <c r="E313" s="196" t="s">
        <v>11875</v>
      </c>
      <c r="F313" s="196" t="s">
        <v>11233</v>
      </c>
      <c r="G313" s="196" t="s">
        <v>11720</v>
      </c>
      <c r="H313" s="196" t="s">
        <v>11235</v>
      </c>
    </row>
    <row r="314" spans="1:8" x14ac:dyDescent="0.15">
      <c r="A314" s="196" t="s">
        <v>11229</v>
      </c>
      <c r="B314" s="196" t="s">
        <v>11230</v>
      </c>
      <c r="C314" s="196" t="s">
        <v>11876</v>
      </c>
      <c r="D314" s="196" t="s">
        <v>11877</v>
      </c>
      <c r="E314" s="196" t="s">
        <v>11877</v>
      </c>
      <c r="F314" s="196" t="s">
        <v>11233</v>
      </c>
      <c r="G314" s="196" t="s">
        <v>11720</v>
      </c>
      <c r="H314" s="196" t="s">
        <v>11235</v>
      </c>
    </row>
    <row r="315" spans="1:8" x14ac:dyDescent="0.15">
      <c r="A315" s="196" t="s">
        <v>11229</v>
      </c>
      <c r="B315" s="196" t="s">
        <v>11230</v>
      </c>
      <c r="C315" s="196" t="s">
        <v>11878</v>
      </c>
      <c r="D315" s="196" t="s">
        <v>11879</v>
      </c>
      <c r="E315" s="196" t="s">
        <v>11880</v>
      </c>
      <c r="F315" s="196" t="s">
        <v>11268</v>
      </c>
      <c r="G315" s="196" t="s">
        <v>11720</v>
      </c>
      <c r="H315" s="196" t="s">
        <v>11235</v>
      </c>
    </row>
    <row r="316" spans="1:8" x14ac:dyDescent="0.15">
      <c r="A316" s="196" t="s">
        <v>11229</v>
      </c>
      <c r="B316" s="196" t="s">
        <v>11230</v>
      </c>
      <c r="C316" s="196" t="s">
        <v>11881</v>
      </c>
      <c r="D316" s="196" t="s">
        <v>11882</v>
      </c>
      <c r="E316" s="196" t="s">
        <v>11882</v>
      </c>
      <c r="F316" s="196" t="s">
        <v>11233</v>
      </c>
      <c r="G316" s="196" t="s">
        <v>11720</v>
      </c>
      <c r="H316" s="196" t="s">
        <v>11235</v>
      </c>
    </row>
    <row r="317" spans="1:8" x14ac:dyDescent="0.15">
      <c r="A317" s="196" t="s">
        <v>11229</v>
      </c>
      <c r="B317" s="196" t="s">
        <v>11230</v>
      </c>
      <c r="C317" s="196" t="s">
        <v>11883</v>
      </c>
      <c r="D317" s="196" t="s">
        <v>11884</v>
      </c>
      <c r="E317" s="196" t="s">
        <v>11885</v>
      </c>
      <c r="F317" s="196" t="s">
        <v>11241</v>
      </c>
      <c r="G317" s="196" t="s">
        <v>11234</v>
      </c>
      <c r="H317" s="196" t="s">
        <v>11235</v>
      </c>
    </row>
    <row r="318" spans="1:8" x14ac:dyDescent="0.15">
      <c r="A318" s="196" t="s">
        <v>11229</v>
      </c>
      <c r="B318" s="196" t="s">
        <v>11230</v>
      </c>
      <c r="C318" s="196" t="s">
        <v>11886</v>
      </c>
      <c r="D318" s="196" t="s">
        <v>11887</v>
      </c>
      <c r="E318" s="196" t="s">
        <v>11887</v>
      </c>
      <c r="F318" s="196" t="s">
        <v>11233</v>
      </c>
      <c r="G318" s="196" t="s">
        <v>11234</v>
      </c>
      <c r="H318" s="196" t="s">
        <v>11235</v>
      </c>
    </row>
    <row r="319" spans="1:8" x14ac:dyDescent="0.15">
      <c r="A319" s="196" t="s">
        <v>11229</v>
      </c>
      <c r="B319" s="196" t="s">
        <v>11230</v>
      </c>
      <c r="C319" s="196" t="s">
        <v>11888</v>
      </c>
      <c r="D319" s="196" t="s">
        <v>11889</v>
      </c>
      <c r="E319" s="196" t="s">
        <v>11889</v>
      </c>
      <c r="F319" s="196" t="s">
        <v>11233</v>
      </c>
      <c r="G319" s="196" t="s">
        <v>11449</v>
      </c>
      <c r="H319" s="196" t="s">
        <v>11235</v>
      </c>
    </row>
    <row r="320" spans="1:8" x14ac:dyDescent="0.15">
      <c r="A320" s="196" t="s">
        <v>11229</v>
      </c>
      <c r="B320" s="196" t="s">
        <v>11230</v>
      </c>
      <c r="C320" s="196" t="s">
        <v>11890</v>
      </c>
      <c r="D320" s="196" t="s">
        <v>11891</v>
      </c>
      <c r="E320" s="196" t="s">
        <v>11892</v>
      </c>
      <c r="F320" s="196" t="s">
        <v>11268</v>
      </c>
      <c r="G320" s="196" t="s">
        <v>11449</v>
      </c>
      <c r="H320" s="196" t="s">
        <v>11235</v>
      </c>
    </row>
    <row r="321" spans="1:8" x14ac:dyDescent="0.15">
      <c r="A321" s="196" t="s">
        <v>11229</v>
      </c>
      <c r="B321" s="196" t="s">
        <v>11230</v>
      </c>
      <c r="C321" s="196" t="s">
        <v>11893</v>
      </c>
      <c r="D321" s="196" t="s">
        <v>11892</v>
      </c>
      <c r="E321" s="196" t="s">
        <v>11894</v>
      </c>
      <c r="F321" s="196" t="s">
        <v>11241</v>
      </c>
      <c r="G321" s="196" t="s">
        <v>11449</v>
      </c>
      <c r="H321" s="196" t="s">
        <v>11235</v>
      </c>
    </row>
    <row r="322" spans="1:8" x14ac:dyDescent="0.15">
      <c r="A322" s="196" t="s">
        <v>11229</v>
      </c>
      <c r="B322" s="196" t="s">
        <v>11230</v>
      </c>
      <c r="C322" s="196" t="s">
        <v>11895</v>
      </c>
      <c r="D322" s="196" t="s">
        <v>11896</v>
      </c>
      <c r="E322" s="196" t="s">
        <v>11896</v>
      </c>
      <c r="F322" s="196" t="s">
        <v>11233</v>
      </c>
      <c r="G322" s="196" t="s">
        <v>11449</v>
      </c>
      <c r="H322" s="196" t="s">
        <v>11235</v>
      </c>
    </row>
    <row r="323" spans="1:8" x14ac:dyDescent="0.15">
      <c r="A323" s="196" t="s">
        <v>11229</v>
      </c>
      <c r="B323" s="196" t="s">
        <v>11230</v>
      </c>
      <c r="C323" s="196" t="s">
        <v>11897</v>
      </c>
      <c r="D323" s="196" t="s">
        <v>11898</v>
      </c>
      <c r="E323" s="196" t="s">
        <v>11899</v>
      </c>
      <c r="F323" s="196" t="s">
        <v>11900</v>
      </c>
      <c r="G323" s="196" t="s">
        <v>11449</v>
      </c>
      <c r="H323" s="196" t="s">
        <v>11235</v>
      </c>
    </row>
    <row r="324" spans="1:8" x14ac:dyDescent="0.15">
      <c r="A324" s="196" t="s">
        <v>11229</v>
      </c>
      <c r="B324" s="196" t="s">
        <v>11230</v>
      </c>
      <c r="C324" s="196" t="s">
        <v>11901</v>
      </c>
      <c r="D324" s="196" t="s">
        <v>11902</v>
      </c>
      <c r="E324" s="196" t="s">
        <v>11902</v>
      </c>
      <c r="F324" s="196" t="s">
        <v>11233</v>
      </c>
      <c r="G324" s="196" t="s">
        <v>11449</v>
      </c>
      <c r="H324" s="196" t="s">
        <v>11235</v>
      </c>
    </row>
    <row r="325" spans="1:8" x14ac:dyDescent="0.15">
      <c r="A325" s="196" t="s">
        <v>11229</v>
      </c>
      <c r="B325" s="196" t="s">
        <v>11230</v>
      </c>
      <c r="C325" s="196" t="s">
        <v>11903</v>
      </c>
      <c r="D325" s="196" t="s">
        <v>11904</v>
      </c>
      <c r="E325" s="196" t="s">
        <v>11904</v>
      </c>
      <c r="F325" s="196" t="s">
        <v>11233</v>
      </c>
      <c r="G325" s="196" t="s">
        <v>11449</v>
      </c>
      <c r="H325" s="196" t="s">
        <v>11235</v>
      </c>
    </row>
    <row r="326" spans="1:8" x14ac:dyDescent="0.15">
      <c r="A326" s="196" t="s">
        <v>11229</v>
      </c>
      <c r="B326" s="196" t="s">
        <v>11230</v>
      </c>
      <c r="C326" s="196" t="s">
        <v>11905</v>
      </c>
      <c r="D326" s="196" t="s">
        <v>11904</v>
      </c>
      <c r="E326" s="196" t="s">
        <v>11906</v>
      </c>
      <c r="F326" s="196" t="s">
        <v>11268</v>
      </c>
      <c r="G326" s="196" t="s">
        <v>11720</v>
      </c>
      <c r="H326" s="196" t="s">
        <v>11235</v>
      </c>
    </row>
    <row r="327" spans="1:8" x14ac:dyDescent="0.15">
      <c r="A327" s="196" t="s">
        <v>11229</v>
      </c>
      <c r="B327" s="196" t="s">
        <v>11230</v>
      </c>
      <c r="C327" s="196" t="s">
        <v>11907</v>
      </c>
      <c r="D327" s="196" t="s">
        <v>11906</v>
      </c>
      <c r="E327" s="196" t="s">
        <v>11906</v>
      </c>
      <c r="F327" s="196" t="s">
        <v>11233</v>
      </c>
      <c r="G327" s="196" t="s">
        <v>11449</v>
      </c>
      <c r="H327" s="196" t="s">
        <v>11235</v>
      </c>
    </row>
    <row r="328" spans="1:8" x14ac:dyDescent="0.15">
      <c r="A328" s="196" t="s">
        <v>11229</v>
      </c>
      <c r="B328" s="196" t="s">
        <v>11230</v>
      </c>
      <c r="C328" s="196" t="s">
        <v>11908</v>
      </c>
      <c r="D328" s="196" t="s">
        <v>11909</v>
      </c>
      <c r="E328" s="196" t="s">
        <v>11910</v>
      </c>
      <c r="F328" s="196" t="s">
        <v>11241</v>
      </c>
      <c r="G328" s="196" t="s">
        <v>11449</v>
      </c>
      <c r="H328" s="196" t="s">
        <v>11235</v>
      </c>
    </row>
    <row r="329" spans="1:8" x14ac:dyDescent="0.15">
      <c r="A329" s="196" t="s">
        <v>11229</v>
      </c>
      <c r="B329" s="196" t="s">
        <v>11230</v>
      </c>
      <c r="C329" s="196" t="s">
        <v>11911</v>
      </c>
      <c r="D329" s="196" t="s">
        <v>11909</v>
      </c>
      <c r="E329" s="196" t="s">
        <v>11909</v>
      </c>
      <c r="F329" s="196" t="s">
        <v>11233</v>
      </c>
      <c r="G329" s="196" t="s">
        <v>11720</v>
      </c>
      <c r="H329" s="196" t="s">
        <v>11235</v>
      </c>
    </row>
    <row r="330" spans="1:8" x14ac:dyDescent="0.15">
      <c r="A330" s="196" t="s">
        <v>11229</v>
      </c>
      <c r="B330" s="196" t="s">
        <v>11230</v>
      </c>
      <c r="C330" s="196" t="s">
        <v>11912</v>
      </c>
      <c r="D330" s="196" t="s">
        <v>11913</v>
      </c>
      <c r="E330" s="196" t="s">
        <v>11913</v>
      </c>
      <c r="F330" s="196" t="s">
        <v>11233</v>
      </c>
      <c r="G330" s="196" t="s">
        <v>11234</v>
      </c>
      <c r="H330" s="196" t="s">
        <v>11235</v>
      </c>
    </row>
    <row r="331" spans="1:8" x14ac:dyDescent="0.15">
      <c r="A331" s="196" t="s">
        <v>11229</v>
      </c>
      <c r="B331" s="196" t="s">
        <v>11230</v>
      </c>
      <c r="C331" s="196" t="s">
        <v>11914</v>
      </c>
      <c r="D331" s="196" t="s">
        <v>11915</v>
      </c>
      <c r="E331" s="196" t="s">
        <v>11915</v>
      </c>
      <c r="F331" s="196" t="s">
        <v>11233</v>
      </c>
      <c r="G331" s="196" t="s">
        <v>11720</v>
      </c>
      <c r="H331" s="196" t="s">
        <v>11235</v>
      </c>
    </row>
    <row r="332" spans="1:8" x14ac:dyDescent="0.15">
      <c r="A332" s="196" t="s">
        <v>11229</v>
      </c>
      <c r="B332" s="196" t="s">
        <v>11230</v>
      </c>
      <c r="C332" s="196" t="s">
        <v>11916</v>
      </c>
      <c r="D332" s="196" t="s">
        <v>11915</v>
      </c>
      <c r="E332" s="196" t="s">
        <v>11915</v>
      </c>
      <c r="F332" s="196" t="s">
        <v>11233</v>
      </c>
      <c r="G332" s="196" t="s">
        <v>11449</v>
      </c>
      <c r="H332" s="196" t="s">
        <v>11235</v>
      </c>
    </row>
    <row r="333" spans="1:8" x14ac:dyDescent="0.15">
      <c r="A333" s="196" t="s">
        <v>11229</v>
      </c>
      <c r="B333" s="196" t="s">
        <v>11230</v>
      </c>
      <c r="C333" s="196" t="s">
        <v>11917</v>
      </c>
      <c r="D333" s="196" t="s">
        <v>11918</v>
      </c>
      <c r="E333" s="196" t="s">
        <v>11918</v>
      </c>
      <c r="F333" s="196" t="s">
        <v>11233</v>
      </c>
      <c r="G333" s="196" t="s">
        <v>11449</v>
      </c>
      <c r="H333" s="196" t="s">
        <v>11235</v>
      </c>
    </row>
    <row r="334" spans="1:8" x14ac:dyDescent="0.15">
      <c r="A334" s="196" t="s">
        <v>11229</v>
      </c>
      <c r="B334" s="196" t="s">
        <v>11230</v>
      </c>
      <c r="C334" s="196" t="s">
        <v>11919</v>
      </c>
      <c r="D334" s="196" t="s">
        <v>11920</v>
      </c>
      <c r="E334" s="196" t="s">
        <v>11920</v>
      </c>
      <c r="F334" s="196" t="s">
        <v>11233</v>
      </c>
      <c r="G334" s="196" t="s">
        <v>11234</v>
      </c>
      <c r="H334" s="196" t="s">
        <v>11235</v>
      </c>
    </row>
    <row r="335" spans="1:8" x14ac:dyDescent="0.15">
      <c r="A335" s="196" t="s">
        <v>11229</v>
      </c>
      <c r="B335" s="196" t="s">
        <v>11230</v>
      </c>
      <c r="C335" s="196" t="s">
        <v>11921</v>
      </c>
      <c r="D335" s="196" t="s">
        <v>11922</v>
      </c>
      <c r="E335" s="196" t="s">
        <v>11922</v>
      </c>
      <c r="F335" s="196" t="s">
        <v>11233</v>
      </c>
      <c r="G335" s="196" t="s">
        <v>11234</v>
      </c>
      <c r="H335" s="196" t="s">
        <v>11235</v>
      </c>
    </row>
    <row r="336" spans="1:8" x14ac:dyDescent="0.15">
      <c r="A336" s="196" t="s">
        <v>11229</v>
      </c>
      <c r="B336" s="196" t="s">
        <v>11230</v>
      </c>
      <c r="C336" s="196" t="s">
        <v>11923</v>
      </c>
      <c r="D336" s="196" t="s">
        <v>11924</v>
      </c>
      <c r="E336" s="196" t="s">
        <v>11925</v>
      </c>
      <c r="F336" s="196" t="s">
        <v>11268</v>
      </c>
      <c r="G336" s="196" t="s">
        <v>11720</v>
      </c>
      <c r="H336" s="196" t="s">
        <v>11235</v>
      </c>
    </row>
    <row r="337" spans="1:8" x14ac:dyDescent="0.15">
      <c r="A337" s="196" t="s">
        <v>11229</v>
      </c>
      <c r="B337" s="196" t="s">
        <v>11230</v>
      </c>
      <c r="C337" s="196" t="s">
        <v>11926</v>
      </c>
      <c r="D337" s="196" t="s">
        <v>11925</v>
      </c>
      <c r="E337" s="196" t="s">
        <v>11925</v>
      </c>
      <c r="F337" s="196" t="s">
        <v>11233</v>
      </c>
      <c r="G337" s="196" t="s">
        <v>11449</v>
      </c>
      <c r="H337" s="196" t="s">
        <v>11235</v>
      </c>
    </row>
    <row r="338" spans="1:8" x14ac:dyDescent="0.15">
      <c r="A338" s="196" t="s">
        <v>11229</v>
      </c>
      <c r="B338" s="196" t="s">
        <v>11230</v>
      </c>
      <c r="C338" s="196" t="s">
        <v>11927</v>
      </c>
      <c r="D338" s="196" t="s">
        <v>11928</v>
      </c>
      <c r="E338" s="196" t="s">
        <v>11928</v>
      </c>
      <c r="F338" s="196" t="s">
        <v>11233</v>
      </c>
      <c r="G338" s="196" t="s">
        <v>11449</v>
      </c>
      <c r="H338" s="196" t="s">
        <v>11235</v>
      </c>
    </row>
    <row r="339" spans="1:8" x14ac:dyDescent="0.15">
      <c r="A339" s="196" t="s">
        <v>11229</v>
      </c>
      <c r="B339" s="196" t="s">
        <v>11230</v>
      </c>
      <c r="C339" s="196" t="s">
        <v>11929</v>
      </c>
      <c r="D339" s="196" t="s">
        <v>11930</v>
      </c>
      <c r="E339" s="196" t="s">
        <v>11930</v>
      </c>
      <c r="F339" s="196" t="s">
        <v>11233</v>
      </c>
      <c r="G339" s="196" t="s">
        <v>11234</v>
      </c>
      <c r="H339" s="196" t="s">
        <v>11235</v>
      </c>
    </row>
    <row r="340" spans="1:8" x14ac:dyDescent="0.15">
      <c r="A340" s="196" t="s">
        <v>11229</v>
      </c>
      <c r="B340" s="196" t="s">
        <v>11230</v>
      </c>
      <c r="C340" s="196" t="s">
        <v>11931</v>
      </c>
      <c r="D340" s="196" t="s">
        <v>11932</v>
      </c>
      <c r="E340" s="196" t="s">
        <v>11932</v>
      </c>
      <c r="F340" s="196" t="s">
        <v>11233</v>
      </c>
      <c r="G340" s="196" t="s">
        <v>11720</v>
      </c>
      <c r="H340" s="196" t="s">
        <v>11235</v>
      </c>
    </row>
    <row r="341" spans="1:8" x14ac:dyDescent="0.15">
      <c r="A341" s="196" t="s">
        <v>11229</v>
      </c>
      <c r="B341" s="196" t="s">
        <v>11230</v>
      </c>
      <c r="C341" s="196" t="s">
        <v>11933</v>
      </c>
      <c r="D341" s="196" t="s">
        <v>11934</v>
      </c>
      <c r="E341" s="196" t="s">
        <v>11935</v>
      </c>
      <c r="F341" s="196" t="s">
        <v>11241</v>
      </c>
      <c r="G341" s="196" t="s">
        <v>11720</v>
      </c>
      <c r="H341" s="196" t="s">
        <v>11235</v>
      </c>
    </row>
    <row r="342" spans="1:8" x14ac:dyDescent="0.15">
      <c r="A342" s="196" t="s">
        <v>11229</v>
      </c>
      <c r="B342" s="196" t="s">
        <v>11230</v>
      </c>
      <c r="C342" s="196" t="s">
        <v>11936</v>
      </c>
      <c r="D342" s="196" t="s">
        <v>11937</v>
      </c>
      <c r="E342" s="196" t="s">
        <v>11938</v>
      </c>
      <c r="F342" s="196" t="s">
        <v>11939</v>
      </c>
      <c r="G342" s="196" t="s">
        <v>11449</v>
      </c>
      <c r="H342" s="196" t="s">
        <v>11235</v>
      </c>
    </row>
    <row r="343" spans="1:8" x14ac:dyDescent="0.15">
      <c r="A343" s="196" t="s">
        <v>11229</v>
      </c>
      <c r="B343" s="196" t="s">
        <v>11230</v>
      </c>
      <c r="C343" s="196" t="s">
        <v>11940</v>
      </c>
      <c r="D343" s="196" t="s">
        <v>11941</v>
      </c>
      <c r="E343" s="196" t="s">
        <v>11941</v>
      </c>
      <c r="F343" s="196" t="s">
        <v>11233</v>
      </c>
      <c r="G343" s="196" t="s">
        <v>11234</v>
      </c>
      <c r="H343" s="196" t="s">
        <v>11235</v>
      </c>
    </row>
    <row r="344" spans="1:8" x14ac:dyDescent="0.15">
      <c r="A344" s="196" t="s">
        <v>11229</v>
      </c>
      <c r="B344" s="196" t="s">
        <v>11230</v>
      </c>
      <c r="C344" s="196" t="s">
        <v>11942</v>
      </c>
      <c r="D344" s="196" t="s">
        <v>11943</v>
      </c>
      <c r="E344" s="196" t="s">
        <v>11944</v>
      </c>
      <c r="F344" s="196" t="s">
        <v>11268</v>
      </c>
      <c r="G344" s="196" t="s">
        <v>11720</v>
      </c>
      <c r="H344" s="196" t="s">
        <v>11235</v>
      </c>
    </row>
    <row r="345" spans="1:8" x14ac:dyDescent="0.15">
      <c r="A345" s="196" t="s">
        <v>11229</v>
      </c>
      <c r="B345" s="196" t="s">
        <v>11230</v>
      </c>
      <c r="C345" s="196" t="s">
        <v>11945</v>
      </c>
      <c r="D345" s="196" t="s">
        <v>11944</v>
      </c>
      <c r="E345" s="196" t="s">
        <v>11946</v>
      </c>
      <c r="F345" s="196" t="s">
        <v>11241</v>
      </c>
      <c r="G345" s="196" t="s">
        <v>11234</v>
      </c>
      <c r="H345" s="196" t="s">
        <v>11235</v>
      </c>
    </row>
    <row r="346" spans="1:8" x14ac:dyDescent="0.15">
      <c r="A346" s="196" t="s">
        <v>11229</v>
      </c>
      <c r="B346" s="196" t="s">
        <v>11230</v>
      </c>
      <c r="C346" s="196" t="s">
        <v>11947</v>
      </c>
      <c r="D346" s="196" t="s">
        <v>11944</v>
      </c>
      <c r="E346" s="196" t="s">
        <v>11946</v>
      </c>
      <c r="F346" s="196" t="s">
        <v>11241</v>
      </c>
      <c r="G346" s="196" t="s">
        <v>11449</v>
      </c>
      <c r="H346" s="196" t="s">
        <v>11235</v>
      </c>
    </row>
    <row r="347" spans="1:8" x14ac:dyDescent="0.15">
      <c r="A347" s="196" t="s">
        <v>11229</v>
      </c>
      <c r="B347" s="196" t="s">
        <v>11230</v>
      </c>
      <c r="C347" s="196" t="s">
        <v>11948</v>
      </c>
      <c r="D347" s="196" t="s">
        <v>11949</v>
      </c>
      <c r="E347" s="196" t="s">
        <v>11949</v>
      </c>
      <c r="F347" s="196" t="s">
        <v>11233</v>
      </c>
      <c r="G347" s="196" t="s">
        <v>11234</v>
      </c>
      <c r="H347" s="196" t="s">
        <v>11235</v>
      </c>
    </row>
    <row r="348" spans="1:8" x14ac:dyDescent="0.15">
      <c r="A348" s="196" t="s">
        <v>11229</v>
      </c>
      <c r="B348" s="196" t="s">
        <v>11230</v>
      </c>
      <c r="C348" s="196" t="s">
        <v>11950</v>
      </c>
      <c r="D348" s="196" t="s">
        <v>11951</v>
      </c>
      <c r="E348" s="196" t="s">
        <v>11952</v>
      </c>
      <c r="F348" s="196" t="s">
        <v>11268</v>
      </c>
      <c r="G348" s="196" t="s">
        <v>11720</v>
      </c>
      <c r="H348" s="196" t="s">
        <v>11235</v>
      </c>
    </row>
    <row r="349" spans="1:8" x14ac:dyDescent="0.15">
      <c r="A349" s="196" t="s">
        <v>11229</v>
      </c>
      <c r="B349" s="196" t="s">
        <v>11230</v>
      </c>
      <c r="C349" s="196" t="s">
        <v>11953</v>
      </c>
      <c r="D349" s="196" t="s">
        <v>11954</v>
      </c>
      <c r="E349" s="196" t="s">
        <v>11954</v>
      </c>
      <c r="F349" s="196" t="s">
        <v>11233</v>
      </c>
      <c r="G349" s="196" t="s">
        <v>11720</v>
      </c>
      <c r="H349" s="196" t="s">
        <v>11235</v>
      </c>
    </row>
    <row r="350" spans="1:8" x14ac:dyDescent="0.15">
      <c r="A350" s="196" t="s">
        <v>11229</v>
      </c>
      <c r="B350" s="196" t="s">
        <v>11230</v>
      </c>
      <c r="C350" s="196" t="s">
        <v>11955</v>
      </c>
      <c r="D350" s="196" t="s">
        <v>11954</v>
      </c>
      <c r="E350" s="196" t="s">
        <v>11956</v>
      </c>
      <c r="F350" s="196" t="s">
        <v>11957</v>
      </c>
      <c r="G350" s="196" t="s">
        <v>11449</v>
      </c>
      <c r="H350" s="196" t="s">
        <v>11235</v>
      </c>
    </row>
    <row r="351" spans="1:8" x14ac:dyDescent="0.15">
      <c r="A351" s="196" t="s">
        <v>11229</v>
      </c>
      <c r="B351" s="196" t="s">
        <v>11230</v>
      </c>
      <c r="C351" s="196" t="s">
        <v>11958</v>
      </c>
      <c r="D351" s="196" t="s">
        <v>11954</v>
      </c>
      <c r="E351" s="196" t="s">
        <v>11959</v>
      </c>
      <c r="F351" s="196" t="s">
        <v>11241</v>
      </c>
      <c r="G351" s="196" t="s">
        <v>11234</v>
      </c>
      <c r="H351" s="196" t="s">
        <v>11235</v>
      </c>
    </row>
    <row r="352" spans="1:8" x14ac:dyDescent="0.15">
      <c r="A352" s="196" t="s">
        <v>11229</v>
      </c>
      <c r="B352" s="196" t="s">
        <v>11230</v>
      </c>
      <c r="C352" s="196" t="s">
        <v>11960</v>
      </c>
      <c r="D352" s="196" t="s">
        <v>11961</v>
      </c>
      <c r="E352" s="196" t="s">
        <v>11961</v>
      </c>
      <c r="F352" s="196" t="s">
        <v>11233</v>
      </c>
      <c r="G352" s="196" t="s">
        <v>11962</v>
      </c>
      <c r="H352" s="196" t="s">
        <v>11235</v>
      </c>
    </row>
    <row r="353" spans="1:8" x14ac:dyDescent="0.15">
      <c r="A353" s="196" t="s">
        <v>11229</v>
      </c>
      <c r="B353" s="196" t="s">
        <v>11230</v>
      </c>
      <c r="C353" s="196" t="s">
        <v>11963</v>
      </c>
      <c r="D353" s="196" t="s">
        <v>11964</v>
      </c>
      <c r="E353" s="196" t="s">
        <v>11965</v>
      </c>
      <c r="F353" s="196" t="s">
        <v>11241</v>
      </c>
      <c r="G353" s="196" t="s">
        <v>11720</v>
      </c>
      <c r="H353" s="196" t="s">
        <v>11235</v>
      </c>
    </row>
    <row r="354" spans="1:8" x14ac:dyDescent="0.15">
      <c r="A354" s="196" t="s">
        <v>11229</v>
      </c>
      <c r="B354" s="196" t="s">
        <v>11230</v>
      </c>
      <c r="C354" s="196" t="s">
        <v>11966</v>
      </c>
      <c r="D354" s="196" t="s">
        <v>11965</v>
      </c>
      <c r="E354" s="196" t="s">
        <v>11965</v>
      </c>
      <c r="F354" s="196" t="s">
        <v>11233</v>
      </c>
      <c r="G354" s="196" t="s">
        <v>11234</v>
      </c>
      <c r="H354" s="196" t="s">
        <v>11235</v>
      </c>
    </row>
    <row r="355" spans="1:8" x14ac:dyDescent="0.15">
      <c r="A355" s="196" t="s">
        <v>11229</v>
      </c>
      <c r="B355" s="196" t="s">
        <v>11230</v>
      </c>
      <c r="C355" s="196" t="s">
        <v>11967</v>
      </c>
      <c r="D355" s="196" t="s">
        <v>11968</v>
      </c>
      <c r="E355" s="196" t="s">
        <v>11968</v>
      </c>
      <c r="F355" s="196" t="s">
        <v>11233</v>
      </c>
      <c r="G355" s="196" t="s">
        <v>11234</v>
      </c>
      <c r="H355" s="196" t="s">
        <v>11235</v>
      </c>
    </row>
    <row r="356" spans="1:8" x14ac:dyDescent="0.15">
      <c r="A356" s="196" t="s">
        <v>11229</v>
      </c>
      <c r="B356" s="196" t="s">
        <v>11230</v>
      </c>
      <c r="C356" s="196" t="s">
        <v>11969</v>
      </c>
      <c r="D356" s="196" t="s">
        <v>11970</v>
      </c>
      <c r="E356" s="196" t="s">
        <v>11970</v>
      </c>
      <c r="F356" s="196" t="s">
        <v>11233</v>
      </c>
      <c r="G356" s="196" t="s">
        <v>11962</v>
      </c>
      <c r="H356" s="196" t="s">
        <v>11235</v>
      </c>
    </row>
    <row r="357" spans="1:8" x14ac:dyDescent="0.15">
      <c r="A357" s="196" t="s">
        <v>11229</v>
      </c>
      <c r="B357" s="196" t="s">
        <v>11230</v>
      </c>
      <c r="C357" s="196" t="s">
        <v>11971</v>
      </c>
      <c r="D357" s="196" t="s">
        <v>11972</v>
      </c>
      <c r="E357" s="196" t="s">
        <v>11972</v>
      </c>
      <c r="F357" s="196" t="s">
        <v>11233</v>
      </c>
      <c r="G357" s="196" t="s">
        <v>11720</v>
      </c>
      <c r="H357" s="196" t="s">
        <v>11235</v>
      </c>
    </row>
    <row r="358" spans="1:8" x14ac:dyDescent="0.15">
      <c r="A358" s="196" t="s">
        <v>11229</v>
      </c>
      <c r="B358" s="196" t="s">
        <v>11230</v>
      </c>
      <c r="C358" s="196" t="s">
        <v>11973</v>
      </c>
      <c r="D358" s="196" t="s">
        <v>11972</v>
      </c>
      <c r="E358" s="196" t="s">
        <v>11972</v>
      </c>
      <c r="F358" s="196" t="s">
        <v>11233</v>
      </c>
      <c r="G358" s="196" t="s">
        <v>11234</v>
      </c>
      <c r="H358" s="196" t="s">
        <v>11235</v>
      </c>
    </row>
    <row r="359" spans="1:8" x14ac:dyDescent="0.15">
      <c r="A359" s="196" t="s">
        <v>11229</v>
      </c>
      <c r="B359" s="196" t="s">
        <v>11230</v>
      </c>
      <c r="C359" s="196" t="s">
        <v>11974</v>
      </c>
      <c r="D359" s="196" t="s">
        <v>11975</v>
      </c>
      <c r="E359" s="196" t="s">
        <v>11976</v>
      </c>
      <c r="F359" s="196" t="s">
        <v>11241</v>
      </c>
      <c r="G359" s="196" t="s">
        <v>11234</v>
      </c>
      <c r="H359" s="196" t="s">
        <v>11235</v>
      </c>
    </row>
    <row r="360" spans="1:8" x14ac:dyDescent="0.15">
      <c r="A360" s="196" t="s">
        <v>11229</v>
      </c>
      <c r="B360" s="196" t="s">
        <v>11230</v>
      </c>
      <c r="C360" s="196" t="s">
        <v>11977</v>
      </c>
      <c r="D360" s="196" t="s">
        <v>11978</v>
      </c>
      <c r="E360" s="196" t="s">
        <v>11978</v>
      </c>
      <c r="F360" s="196" t="s">
        <v>11233</v>
      </c>
      <c r="G360" s="196" t="s">
        <v>11234</v>
      </c>
      <c r="H360" s="196" t="s">
        <v>11235</v>
      </c>
    </row>
    <row r="361" spans="1:8" x14ac:dyDescent="0.15">
      <c r="A361" s="196" t="s">
        <v>11229</v>
      </c>
      <c r="B361" s="196" t="s">
        <v>11230</v>
      </c>
      <c r="C361" s="196" t="s">
        <v>11979</v>
      </c>
      <c r="D361" s="196" t="s">
        <v>11980</v>
      </c>
      <c r="E361" s="196" t="s">
        <v>11980</v>
      </c>
      <c r="F361" s="196" t="s">
        <v>11233</v>
      </c>
      <c r="G361" s="196" t="s">
        <v>11234</v>
      </c>
      <c r="H361" s="196" t="s">
        <v>11235</v>
      </c>
    </row>
    <row r="362" spans="1:8" x14ac:dyDescent="0.15">
      <c r="A362" s="196" t="s">
        <v>11229</v>
      </c>
      <c r="B362" s="196" t="s">
        <v>11230</v>
      </c>
      <c r="C362" s="196" t="s">
        <v>11981</v>
      </c>
      <c r="D362" s="196" t="s">
        <v>11982</v>
      </c>
      <c r="E362" s="196" t="s">
        <v>11982</v>
      </c>
      <c r="F362" s="196" t="s">
        <v>11233</v>
      </c>
      <c r="G362" s="196" t="s">
        <v>11234</v>
      </c>
      <c r="H362" s="196" t="s">
        <v>11235</v>
      </c>
    </row>
    <row r="363" spans="1:8" x14ac:dyDescent="0.15">
      <c r="A363" s="196" t="s">
        <v>11229</v>
      </c>
      <c r="B363" s="196" t="s">
        <v>11230</v>
      </c>
      <c r="C363" s="196" t="s">
        <v>11983</v>
      </c>
      <c r="D363" s="196" t="s">
        <v>11984</v>
      </c>
      <c r="E363" s="196" t="s">
        <v>11984</v>
      </c>
      <c r="F363" s="196" t="s">
        <v>11233</v>
      </c>
      <c r="G363" s="196" t="s">
        <v>11234</v>
      </c>
      <c r="H363" s="196" t="s">
        <v>11235</v>
      </c>
    </row>
    <row r="364" spans="1:8" x14ac:dyDescent="0.15">
      <c r="A364" s="196" t="s">
        <v>11229</v>
      </c>
      <c r="B364" s="196" t="s">
        <v>11230</v>
      </c>
      <c r="C364" s="196" t="s">
        <v>11985</v>
      </c>
      <c r="D364" s="196" t="s">
        <v>11984</v>
      </c>
      <c r="E364" s="196" t="s">
        <v>11984</v>
      </c>
      <c r="F364" s="196" t="s">
        <v>11233</v>
      </c>
      <c r="G364" s="196" t="s">
        <v>11962</v>
      </c>
      <c r="H364" s="196" t="s">
        <v>11235</v>
      </c>
    </row>
    <row r="365" spans="1:8" x14ac:dyDescent="0.15">
      <c r="A365" s="196" t="s">
        <v>11229</v>
      </c>
      <c r="B365" s="196" t="s">
        <v>11230</v>
      </c>
      <c r="C365" s="196" t="s">
        <v>11986</v>
      </c>
      <c r="D365" s="196" t="s">
        <v>11987</v>
      </c>
      <c r="E365" s="196" t="s">
        <v>11988</v>
      </c>
      <c r="F365" s="196" t="s">
        <v>11241</v>
      </c>
      <c r="G365" s="196" t="s">
        <v>11720</v>
      </c>
      <c r="H365" s="196" t="s">
        <v>11235</v>
      </c>
    </row>
    <row r="366" spans="1:8" x14ac:dyDescent="0.15">
      <c r="A366" s="196" t="s">
        <v>11229</v>
      </c>
      <c r="B366" s="196" t="s">
        <v>11230</v>
      </c>
      <c r="C366" s="196" t="s">
        <v>11989</v>
      </c>
      <c r="D366" s="196" t="s">
        <v>11990</v>
      </c>
      <c r="E366" s="196" t="s">
        <v>11990</v>
      </c>
      <c r="F366" s="196" t="s">
        <v>11233</v>
      </c>
      <c r="G366" s="196" t="s">
        <v>11234</v>
      </c>
      <c r="H366" s="196" t="s">
        <v>11235</v>
      </c>
    </row>
    <row r="367" spans="1:8" x14ac:dyDescent="0.15">
      <c r="A367" s="196" t="s">
        <v>11229</v>
      </c>
      <c r="B367" s="196" t="s">
        <v>11230</v>
      </c>
      <c r="C367" s="196" t="s">
        <v>11991</v>
      </c>
      <c r="D367" s="196" t="s">
        <v>11992</v>
      </c>
      <c r="E367" s="196" t="s">
        <v>11992</v>
      </c>
      <c r="F367" s="196" t="s">
        <v>11233</v>
      </c>
      <c r="G367" s="196" t="s">
        <v>11234</v>
      </c>
      <c r="H367" s="196" t="s">
        <v>11235</v>
      </c>
    </row>
    <row r="368" spans="1:8" x14ac:dyDescent="0.15">
      <c r="A368" s="196" t="s">
        <v>11229</v>
      </c>
      <c r="B368" s="196" t="s">
        <v>11230</v>
      </c>
      <c r="C368" s="196" t="s">
        <v>11993</v>
      </c>
      <c r="D368" s="196" t="s">
        <v>11992</v>
      </c>
      <c r="E368" s="196" t="s">
        <v>11992</v>
      </c>
      <c r="F368" s="196" t="s">
        <v>11233</v>
      </c>
      <c r="G368" s="196" t="s">
        <v>11962</v>
      </c>
      <c r="H368" s="196" t="s">
        <v>11235</v>
      </c>
    </row>
    <row r="369" spans="1:8" x14ac:dyDescent="0.15">
      <c r="A369" s="196" t="s">
        <v>11229</v>
      </c>
      <c r="B369" s="196" t="s">
        <v>11230</v>
      </c>
      <c r="C369" s="196" t="s">
        <v>11994</v>
      </c>
      <c r="D369" s="196" t="s">
        <v>11995</v>
      </c>
      <c r="E369" s="196" t="s">
        <v>11995</v>
      </c>
      <c r="F369" s="196" t="s">
        <v>11233</v>
      </c>
      <c r="G369" s="196" t="s">
        <v>11720</v>
      </c>
      <c r="H369" s="196" t="s">
        <v>11235</v>
      </c>
    </row>
    <row r="370" spans="1:8" x14ac:dyDescent="0.15">
      <c r="A370" s="196" t="s">
        <v>11229</v>
      </c>
      <c r="B370" s="196" t="s">
        <v>11230</v>
      </c>
      <c r="C370" s="196" t="s">
        <v>11996</v>
      </c>
      <c r="D370" s="196" t="s">
        <v>11997</v>
      </c>
      <c r="E370" s="196" t="s">
        <v>11998</v>
      </c>
      <c r="F370" s="196" t="s">
        <v>11268</v>
      </c>
      <c r="G370" s="196" t="s">
        <v>11720</v>
      </c>
      <c r="H370" s="196" t="s">
        <v>11235</v>
      </c>
    </row>
    <row r="371" spans="1:8" x14ac:dyDescent="0.15">
      <c r="A371" s="196" t="s">
        <v>11229</v>
      </c>
      <c r="B371" s="196" t="s">
        <v>11230</v>
      </c>
      <c r="C371" s="196" t="s">
        <v>11999</v>
      </c>
      <c r="D371" s="196" t="s">
        <v>12000</v>
      </c>
      <c r="E371" s="196" t="s">
        <v>12000</v>
      </c>
      <c r="F371" s="196" t="s">
        <v>11233</v>
      </c>
      <c r="G371" s="196" t="s">
        <v>11720</v>
      </c>
      <c r="H371" s="196" t="s">
        <v>11235</v>
      </c>
    </row>
    <row r="372" spans="1:8" x14ac:dyDescent="0.15">
      <c r="A372" s="196" t="s">
        <v>11229</v>
      </c>
      <c r="B372" s="196" t="s">
        <v>11230</v>
      </c>
      <c r="C372" s="196" t="s">
        <v>12001</v>
      </c>
      <c r="D372" s="196" t="s">
        <v>12002</v>
      </c>
      <c r="E372" s="196" t="s">
        <v>12002</v>
      </c>
      <c r="F372" s="196" t="s">
        <v>11233</v>
      </c>
      <c r="G372" s="196" t="s">
        <v>11720</v>
      </c>
      <c r="H372" s="196" t="s">
        <v>11235</v>
      </c>
    </row>
    <row r="373" spans="1:8" x14ac:dyDescent="0.15">
      <c r="A373" s="196" t="s">
        <v>11229</v>
      </c>
      <c r="B373" s="196" t="s">
        <v>11230</v>
      </c>
      <c r="C373" s="196" t="s">
        <v>12003</v>
      </c>
      <c r="D373" s="196" t="s">
        <v>12004</v>
      </c>
      <c r="E373" s="196" t="s">
        <v>12004</v>
      </c>
      <c r="F373" s="196" t="s">
        <v>11233</v>
      </c>
      <c r="G373" s="196" t="s">
        <v>11720</v>
      </c>
      <c r="H373" s="196" t="s">
        <v>11235</v>
      </c>
    </row>
    <row r="374" spans="1:8" x14ac:dyDescent="0.15">
      <c r="A374" s="196" t="s">
        <v>11229</v>
      </c>
      <c r="B374" s="196" t="s">
        <v>11230</v>
      </c>
      <c r="C374" s="196" t="s">
        <v>12005</v>
      </c>
      <c r="D374" s="196" t="s">
        <v>12006</v>
      </c>
      <c r="E374" s="196" t="s">
        <v>12006</v>
      </c>
      <c r="F374" s="196" t="s">
        <v>11233</v>
      </c>
      <c r="G374" s="196" t="s">
        <v>11234</v>
      </c>
      <c r="H374" s="196" t="s">
        <v>11235</v>
      </c>
    </row>
    <row r="375" spans="1:8" x14ac:dyDescent="0.15">
      <c r="A375" s="196" t="s">
        <v>11229</v>
      </c>
      <c r="B375" s="196" t="s">
        <v>11230</v>
      </c>
      <c r="C375" s="196" t="s">
        <v>12007</v>
      </c>
      <c r="D375" s="196" t="s">
        <v>12006</v>
      </c>
      <c r="E375" s="196" t="s">
        <v>12006</v>
      </c>
      <c r="F375" s="196" t="s">
        <v>11233</v>
      </c>
      <c r="G375" s="196" t="s">
        <v>11962</v>
      </c>
      <c r="H375" s="196" t="s">
        <v>11235</v>
      </c>
    </row>
    <row r="376" spans="1:8" x14ac:dyDescent="0.15">
      <c r="A376" s="196" t="s">
        <v>11229</v>
      </c>
      <c r="B376" s="196" t="s">
        <v>11230</v>
      </c>
      <c r="C376" s="196" t="s">
        <v>12008</v>
      </c>
      <c r="D376" s="196" t="s">
        <v>11956</v>
      </c>
      <c r="E376" s="196" t="s">
        <v>11956</v>
      </c>
      <c r="F376" s="196" t="s">
        <v>11233</v>
      </c>
      <c r="G376" s="196" t="s">
        <v>11962</v>
      </c>
      <c r="H376" s="196" t="s">
        <v>11235</v>
      </c>
    </row>
    <row r="377" spans="1:8" x14ac:dyDescent="0.15">
      <c r="A377" s="196" t="s">
        <v>11229</v>
      </c>
      <c r="B377" s="196" t="s">
        <v>11230</v>
      </c>
      <c r="C377" s="196" t="s">
        <v>12009</v>
      </c>
      <c r="D377" s="196" t="s">
        <v>12010</v>
      </c>
      <c r="E377" s="196" t="s">
        <v>12011</v>
      </c>
      <c r="F377" s="196" t="s">
        <v>12012</v>
      </c>
      <c r="G377" s="196" t="s">
        <v>11449</v>
      </c>
      <c r="H377" s="196" t="s">
        <v>11235</v>
      </c>
    </row>
    <row r="378" spans="1:8" x14ac:dyDescent="0.15">
      <c r="A378" s="196" t="s">
        <v>11229</v>
      </c>
      <c r="B378" s="196" t="s">
        <v>11230</v>
      </c>
      <c r="C378" s="196" t="s">
        <v>12013</v>
      </c>
      <c r="D378" s="196" t="s">
        <v>12014</v>
      </c>
      <c r="E378" s="196" t="s">
        <v>12014</v>
      </c>
      <c r="F378" s="196" t="s">
        <v>11233</v>
      </c>
      <c r="G378" s="196" t="s">
        <v>11720</v>
      </c>
      <c r="H378" s="196" t="s">
        <v>11235</v>
      </c>
    </row>
    <row r="379" spans="1:8" x14ac:dyDescent="0.15">
      <c r="A379" s="196" t="s">
        <v>11229</v>
      </c>
      <c r="B379" s="196" t="s">
        <v>11230</v>
      </c>
      <c r="C379" s="196" t="s">
        <v>12015</v>
      </c>
      <c r="D379" s="196" t="s">
        <v>12016</v>
      </c>
      <c r="E379" s="196" t="s">
        <v>12016</v>
      </c>
      <c r="F379" s="196" t="s">
        <v>11233</v>
      </c>
      <c r="G379" s="196" t="s">
        <v>11720</v>
      </c>
      <c r="H379" s="196" t="s">
        <v>11235</v>
      </c>
    </row>
    <row r="380" spans="1:8" x14ac:dyDescent="0.15">
      <c r="A380" s="196" t="s">
        <v>11229</v>
      </c>
      <c r="B380" s="196" t="s">
        <v>11230</v>
      </c>
      <c r="C380" s="196" t="s">
        <v>12017</v>
      </c>
      <c r="D380" s="196" t="s">
        <v>12016</v>
      </c>
      <c r="E380" s="196" t="s">
        <v>12016</v>
      </c>
      <c r="F380" s="196" t="s">
        <v>11233</v>
      </c>
      <c r="G380" s="196" t="s">
        <v>11234</v>
      </c>
      <c r="H380" s="196" t="s">
        <v>11235</v>
      </c>
    </row>
    <row r="381" spans="1:8" x14ac:dyDescent="0.15">
      <c r="A381" s="196" t="s">
        <v>11229</v>
      </c>
      <c r="B381" s="196" t="s">
        <v>11230</v>
      </c>
      <c r="C381" s="196" t="s">
        <v>12018</v>
      </c>
      <c r="D381" s="196" t="s">
        <v>12019</v>
      </c>
      <c r="E381" s="196" t="s">
        <v>12019</v>
      </c>
      <c r="F381" s="196" t="s">
        <v>11233</v>
      </c>
      <c r="G381" s="196" t="s">
        <v>11720</v>
      </c>
      <c r="H381" s="196" t="s">
        <v>11235</v>
      </c>
    </row>
    <row r="382" spans="1:8" x14ac:dyDescent="0.15">
      <c r="A382" s="196" t="s">
        <v>11229</v>
      </c>
      <c r="B382" s="196" t="s">
        <v>11230</v>
      </c>
      <c r="C382" s="196" t="s">
        <v>12020</v>
      </c>
      <c r="D382" s="196" t="s">
        <v>12019</v>
      </c>
      <c r="E382" s="196" t="s">
        <v>12021</v>
      </c>
      <c r="F382" s="196" t="s">
        <v>11241</v>
      </c>
      <c r="G382" s="196" t="s">
        <v>11962</v>
      </c>
      <c r="H382" s="196" t="s">
        <v>11235</v>
      </c>
    </row>
    <row r="383" spans="1:8" x14ac:dyDescent="0.15">
      <c r="A383" s="196" t="s">
        <v>11229</v>
      </c>
      <c r="B383" s="196" t="s">
        <v>11230</v>
      </c>
      <c r="C383" s="196" t="s">
        <v>12022</v>
      </c>
      <c r="D383" s="196" t="s">
        <v>12021</v>
      </c>
      <c r="E383" s="196" t="s">
        <v>12021</v>
      </c>
      <c r="F383" s="196" t="s">
        <v>11233</v>
      </c>
      <c r="G383" s="196" t="s">
        <v>11720</v>
      </c>
      <c r="H383" s="196" t="s">
        <v>11235</v>
      </c>
    </row>
    <row r="384" spans="1:8" x14ac:dyDescent="0.15">
      <c r="A384" s="196" t="s">
        <v>11229</v>
      </c>
      <c r="B384" s="196" t="s">
        <v>11230</v>
      </c>
      <c r="C384" s="196" t="s">
        <v>12023</v>
      </c>
      <c r="D384" s="196" t="s">
        <v>12024</v>
      </c>
      <c r="E384" s="196" t="s">
        <v>12024</v>
      </c>
      <c r="F384" s="196" t="s">
        <v>11233</v>
      </c>
      <c r="G384" s="196" t="s">
        <v>11234</v>
      </c>
      <c r="H384" s="196" t="s">
        <v>11235</v>
      </c>
    </row>
    <row r="385" spans="1:8" x14ac:dyDescent="0.15">
      <c r="A385" s="196" t="s">
        <v>11229</v>
      </c>
      <c r="B385" s="196" t="s">
        <v>11230</v>
      </c>
      <c r="C385" s="196" t="s">
        <v>12025</v>
      </c>
      <c r="D385" s="196" t="s">
        <v>12026</v>
      </c>
      <c r="E385" s="196" t="s">
        <v>12027</v>
      </c>
      <c r="F385" s="196" t="s">
        <v>11268</v>
      </c>
      <c r="G385" s="196" t="s">
        <v>11234</v>
      </c>
      <c r="H385" s="196" t="s">
        <v>11235</v>
      </c>
    </row>
    <row r="386" spans="1:8" x14ac:dyDescent="0.15">
      <c r="A386" s="196" t="s">
        <v>11229</v>
      </c>
      <c r="B386" s="196" t="s">
        <v>11230</v>
      </c>
      <c r="C386" s="196" t="s">
        <v>12028</v>
      </c>
      <c r="D386" s="196" t="s">
        <v>12029</v>
      </c>
      <c r="E386" s="196" t="s">
        <v>12029</v>
      </c>
      <c r="F386" s="196" t="s">
        <v>11233</v>
      </c>
      <c r="G386" s="196" t="s">
        <v>11720</v>
      </c>
      <c r="H386" s="196" t="s">
        <v>11235</v>
      </c>
    </row>
    <row r="387" spans="1:8" x14ac:dyDescent="0.15">
      <c r="A387" s="196" t="s">
        <v>11229</v>
      </c>
      <c r="B387" s="196" t="s">
        <v>11230</v>
      </c>
      <c r="C387" s="196" t="s">
        <v>12030</v>
      </c>
      <c r="D387" s="196" t="s">
        <v>12029</v>
      </c>
      <c r="E387" s="196" t="s">
        <v>12029</v>
      </c>
      <c r="F387" s="196" t="s">
        <v>11233</v>
      </c>
      <c r="G387" s="196" t="s">
        <v>11962</v>
      </c>
      <c r="H387" s="196" t="s">
        <v>11235</v>
      </c>
    </row>
    <row r="388" spans="1:8" x14ac:dyDescent="0.15">
      <c r="A388" s="196" t="s">
        <v>11229</v>
      </c>
      <c r="B388" s="196" t="s">
        <v>11230</v>
      </c>
      <c r="C388" s="196" t="s">
        <v>12031</v>
      </c>
      <c r="D388" s="196" t="s">
        <v>12032</v>
      </c>
      <c r="E388" s="196" t="s">
        <v>12032</v>
      </c>
      <c r="F388" s="196" t="s">
        <v>11233</v>
      </c>
      <c r="G388" s="196" t="s">
        <v>11962</v>
      </c>
      <c r="H388" s="196" t="s">
        <v>11235</v>
      </c>
    </row>
    <row r="389" spans="1:8" x14ac:dyDescent="0.15">
      <c r="A389" s="196" t="s">
        <v>11229</v>
      </c>
      <c r="B389" s="196" t="s">
        <v>11230</v>
      </c>
      <c r="C389" s="196" t="s">
        <v>12033</v>
      </c>
      <c r="D389" s="196" t="s">
        <v>12034</v>
      </c>
      <c r="E389" s="196" t="s">
        <v>12035</v>
      </c>
      <c r="F389" s="196" t="s">
        <v>11268</v>
      </c>
      <c r="G389" s="196" t="s">
        <v>11234</v>
      </c>
      <c r="H389" s="196" t="s">
        <v>11235</v>
      </c>
    </row>
    <row r="390" spans="1:8" x14ac:dyDescent="0.15">
      <c r="A390" s="196" t="s">
        <v>11229</v>
      </c>
      <c r="B390" s="196" t="s">
        <v>11230</v>
      </c>
      <c r="C390" s="196" t="s">
        <v>12036</v>
      </c>
      <c r="D390" s="196" t="s">
        <v>12035</v>
      </c>
      <c r="E390" s="196" t="s">
        <v>12037</v>
      </c>
      <c r="F390" s="196" t="s">
        <v>11241</v>
      </c>
      <c r="G390" s="196" t="s">
        <v>11234</v>
      </c>
      <c r="H390" s="196" t="s">
        <v>11235</v>
      </c>
    </row>
    <row r="391" spans="1:8" x14ac:dyDescent="0.15">
      <c r="A391" s="196" t="s">
        <v>11229</v>
      </c>
      <c r="B391" s="196" t="s">
        <v>11230</v>
      </c>
      <c r="C391" s="196" t="s">
        <v>12038</v>
      </c>
      <c r="D391" s="196" t="s">
        <v>12035</v>
      </c>
      <c r="E391" s="196" t="s">
        <v>12035</v>
      </c>
      <c r="F391" s="196" t="s">
        <v>11233</v>
      </c>
      <c r="G391" s="196" t="s">
        <v>11720</v>
      </c>
      <c r="H391" s="196" t="s">
        <v>11235</v>
      </c>
    </row>
    <row r="392" spans="1:8" x14ac:dyDescent="0.15">
      <c r="A392" s="196" t="s">
        <v>11229</v>
      </c>
      <c r="B392" s="196" t="s">
        <v>11230</v>
      </c>
      <c r="C392" s="196" t="s">
        <v>12039</v>
      </c>
      <c r="D392" s="196" t="s">
        <v>12037</v>
      </c>
      <c r="E392" s="196" t="s">
        <v>12037</v>
      </c>
      <c r="F392" s="196" t="s">
        <v>11233</v>
      </c>
      <c r="G392" s="196" t="s">
        <v>11720</v>
      </c>
      <c r="H392" s="196" t="s">
        <v>11235</v>
      </c>
    </row>
    <row r="393" spans="1:8" x14ac:dyDescent="0.15">
      <c r="A393" s="196" t="s">
        <v>11229</v>
      </c>
      <c r="B393" s="196" t="s">
        <v>11230</v>
      </c>
      <c r="C393" s="196" t="s">
        <v>12040</v>
      </c>
      <c r="D393" s="196" t="s">
        <v>12037</v>
      </c>
      <c r="E393" s="196" t="s">
        <v>12037</v>
      </c>
      <c r="F393" s="196" t="s">
        <v>11233</v>
      </c>
      <c r="G393" s="196" t="s">
        <v>11962</v>
      </c>
      <c r="H393" s="196" t="s">
        <v>11235</v>
      </c>
    </row>
    <row r="394" spans="1:8" x14ac:dyDescent="0.15">
      <c r="A394" s="196" t="s">
        <v>11229</v>
      </c>
      <c r="B394" s="196" t="s">
        <v>11230</v>
      </c>
      <c r="C394" s="196" t="s">
        <v>12041</v>
      </c>
      <c r="D394" s="196" t="s">
        <v>12042</v>
      </c>
      <c r="E394" s="196" t="s">
        <v>12043</v>
      </c>
      <c r="F394" s="196" t="s">
        <v>11268</v>
      </c>
      <c r="G394" s="196" t="s">
        <v>11720</v>
      </c>
      <c r="H394" s="196" t="s">
        <v>11235</v>
      </c>
    </row>
    <row r="395" spans="1:8" x14ac:dyDescent="0.15">
      <c r="A395" s="196" t="s">
        <v>11229</v>
      </c>
      <c r="B395" s="196" t="s">
        <v>11230</v>
      </c>
      <c r="C395" s="196" t="s">
        <v>12044</v>
      </c>
      <c r="D395" s="196" t="s">
        <v>12042</v>
      </c>
      <c r="E395" s="196" t="s">
        <v>12043</v>
      </c>
      <c r="F395" s="196" t="s">
        <v>11268</v>
      </c>
      <c r="G395" s="196" t="s">
        <v>11962</v>
      </c>
      <c r="H395" s="196" t="s">
        <v>11235</v>
      </c>
    </row>
    <row r="396" spans="1:8" x14ac:dyDescent="0.15">
      <c r="A396" s="196" t="s">
        <v>11229</v>
      </c>
      <c r="B396" s="196" t="s">
        <v>11230</v>
      </c>
      <c r="C396" s="196" t="s">
        <v>12045</v>
      </c>
      <c r="D396" s="196" t="s">
        <v>12046</v>
      </c>
      <c r="E396" s="196" t="s">
        <v>12046</v>
      </c>
      <c r="F396" s="196" t="s">
        <v>11233</v>
      </c>
      <c r="G396" s="196" t="s">
        <v>11962</v>
      </c>
      <c r="H396" s="196" t="s">
        <v>11235</v>
      </c>
    </row>
    <row r="397" spans="1:8" x14ac:dyDescent="0.15">
      <c r="A397" s="196" t="s">
        <v>11229</v>
      </c>
      <c r="B397" s="196" t="s">
        <v>11230</v>
      </c>
      <c r="C397" s="196" t="s">
        <v>12047</v>
      </c>
      <c r="D397" s="196" t="s">
        <v>12048</v>
      </c>
      <c r="E397" s="196" t="s">
        <v>12048</v>
      </c>
      <c r="F397" s="196" t="s">
        <v>11233</v>
      </c>
      <c r="G397" s="196" t="s">
        <v>11962</v>
      </c>
      <c r="H397" s="196" t="s">
        <v>11235</v>
      </c>
    </row>
    <row r="398" spans="1:8" x14ac:dyDescent="0.15">
      <c r="A398" s="196" t="s">
        <v>11229</v>
      </c>
      <c r="B398" s="196" t="s">
        <v>11230</v>
      </c>
      <c r="C398" s="196" t="s">
        <v>12049</v>
      </c>
      <c r="D398" s="196" t="s">
        <v>12050</v>
      </c>
      <c r="E398" s="196" t="s">
        <v>12050</v>
      </c>
      <c r="F398" s="196" t="s">
        <v>11233</v>
      </c>
      <c r="G398" s="196" t="s">
        <v>11962</v>
      </c>
      <c r="H398" s="196" t="s">
        <v>11235</v>
      </c>
    </row>
    <row r="399" spans="1:8" x14ac:dyDescent="0.15">
      <c r="A399" s="196" t="s">
        <v>11229</v>
      </c>
      <c r="B399" s="196" t="s">
        <v>11230</v>
      </c>
      <c r="C399" s="196" t="s">
        <v>12051</v>
      </c>
      <c r="D399" s="196" t="s">
        <v>12052</v>
      </c>
      <c r="E399" s="196" t="s">
        <v>12053</v>
      </c>
      <c r="F399" s="196" t="s">
        <v>11241</v>
      </c>
      <c r="G399" s="196" t="s">
        <v>11234</v>
      </c>
      <c r="H399" s="196" t="s">
        <v>11235</v>
      </c>
    </row>
    <row r="400" spans="1:8" x14ac:dyDescent="0.15">
      <c r="A400" s="196" t="s">
        <v>11229</v>
      </c>
      <c r="B400" s="196" t="s">
        <v>11230</v>
      </c>
      <c r="C400" s="196" t="s">
        <v>12054</v>
      </c>
      <c r="D400" s="196" t="s">
        <v>12055</v>
      </c>
      <c r="E400" s="196" t="s">
        <v>12055</v>
      </c>
      <c r="F400" s="196" t="s">
        <v>11233</v>
      </c>
      <c r="G400" s="196" t="s">
        <v>11720</v>
      </c>
      <c r="H400" s="196" t="s">
        <v>11235</v>
      </c>
    </row>
    <row r="401" spans="1:8" x14ac:dyDescent="0.15">
      <c r="A401" s="196" t="s">
        <v>11229</v>
      </c>
      <c r="B401" s="196" t="s">
        <v>11230</v>
      </c>
      <c r="C401" s="196" t="s">
        <v>12056</v>
      </c>
      <c r="D401" s="196" t="s">
        <v>12057</v>
      </c>
      <c r="E401" s="196" t="s">
        <v>12057</v>
      </c>
      <c r="F401" s="196" t="s">
        <v>11233</v>
      </c>
      <c r="G401" s="196" t="s">
        <v>11962</v>
      </c>
      <c r="H401" s="196" t="s">
        <v>11235</v>
      </c>
    </row>
    <row r="402" spans="1:8" x14ac:dyDescent="0.15">
      <c r="A402" s="196" t="s">
        <v>11229</v>
      </c>
      <c r="B402" s="196" t="s">
        <v>11230</v>
      </c>
      <c r="C402" s="196" t="s">
        <v>12058</v>
      </c>
      <c r="D402" s="196" t="s">
        <v>12059</v>
      </c>
      <c r="E402" s="196" t="s">
        <v>12059</v>
      </c>
      <c r="F402" s="196" t="s">
        <v>11233</v>
      </c>
      <c r="G402" s="196" t="s">
        <v>11234</v>
      </c>
      <c r="H402" s="196" t="s">
        <v>11235</v>
      </c>
    </row>
    <row r="403" spans="1:8" x14ac:dyDescent="0.15">
      <c r="A403" s="196" t="s">
        <v>11229</v>
      </c>
      <c r="B403" s="196" t="s">
        <v>11230</v>
      </c>
      <c r="C403" s="196" t="s">
        <v>12060</v>
      </c>
      <c r="D403" s="196" t="s">
        <v>12061</v>
      </c>
      <c r="E403" s="196" t="s">
        <v>12061</v>
      </c>
      <c r="F403" s="196" t="s">
        <v>11233</v>
      </c>
      <c r="G403" s="196" t="s">
        <v>11720</v>
      </c>
      <c r="H403" s="196" t="s">
        <v>11235</v>
      </c>
    </row>
    <row r="404" spans="1:8" x14ac:dyDescent="0.15">
      <c r="A404" s="196" t="s">
        <v>11229</v>
      </c>
      <c r="B404" s="196" t="s">
        <v>11230</v>
      </c>
      <c r="C404" s="196" t="s">
        <v>12062</v>
      </c>
      <c r="D404" s="196" t="s">
        <v>12063</v>
      </c>
      <c r="E404" s="196" t="s">
        <v>12064</v>
      </c>
      <c r="F404" s="196" t="s">
        <v>11241</v>
      </c>
      <c r="G404" s="196" t="s">
        <v>11962</v>
      </c>
      <c r="H404" s="196" t="s">
        <v>11235</v>
      </c>
    </row>
    <row r="405" spans="1:8" x14ac:dyDescent="0.15">
      <c r="A405" s="196" t="s">
        <v>11229</v>
      </c>
      <c r="B405" s="196" t="s">
        <v>11230</v>
      </c>
      <c r="C405" s="196" t="s">
        <v>12065</v>
      </c>
      <c r="D405" s="196" t="s">
        <v>12066</v>
      </c>
      <c r="E405" s="196" t="s">
        <v>12066</v>
      </c>
      <c r="F405" s="196" t="s">
        <v>11233</v>
      </c>
      <c r="G405" s="196" t="s">
        <v>11962</v>
      </c>
      <c r="H405" s="196" t="s">
        <v>11235</v>
      </c>
    </row>
    <row r="406" spans="1:8" x14ac:dyDescent="0.15">
      <c r="A406" s="196" t="s">
        <v>11229</v>
      </c>
      <c r="B406" s="196" t="s">
        <v>11230</v>
      </c>
      <c r="C406" s="196" t="s">
        <v>12067</v>
      </c>
      <c r="D406" s="196" t="s">
        <v>12068</v>
      </c>
      <c r="E406" s="196" t="s">
        <v>12069</v>
      </c>
      <c r="F406" s="196" t="s">
        <v>11241</v>
      </c>
      <c r="G406" s="196" t="s">
        <v>11234</v>
      </c>
      <c r="H406" s="196" t="s">
        <v>11235</v>
      </c>
    </row>
    <row r="407" spans="1:8" x14ac:dyDescent="0.15">
      <c r="A407" s="196" t="s">
        <v>11229</v>
      </c>
      <c r="B407" s="196" t="s">
        <v>11230</v>
      </c>
      <c r="C407" s="196" t="s">
        <v>12070</v>
      </c>
      <c r="D407" s="196" t="s">
        <v>12069</v>
      </c>
      <c r="E407" s="196" t="s">
        <v>12071</v>
      </c>
      <c r="F407" s="196" t="s">
        <v>11241</v>
      </c>
      <c r="G407" s="196" t="s">
        <v>11234</v>
      </c>
      <c r="H407" s="196" t="s">
        <v>11235</v>
      </c>
    </row>
    <row r="408" spans="1:8" x14ac:dyDescent="0.15">
      <c r="A408" s="196" t="s">
        <v>11229</v>
      </c>
      <c r="B408" s="196" t="s">
        <v>11230</v>
      </c>
      <c r="C408" s="196" t="s">
        <v>12072</v>
      </c>
      <c r="D408" s="196" t="s">
        <v>12069</v>
      </c>
      <c r="E408" s="196" t="s">
        <v>12069</v>
      </c>
      <c r="F408" s="196" t="s">
        <v>11233</v>
      </c>
      <c r="G408" s="196" t="s">
        <v>11720</v>
      </c>
      <c r="H408" s="196" t="s">
        <v>11235</v>
      </c>
    </row>
    <row r="409" spans="1:8" x14ac:dyDescent="0.15">
      <c r="A409" s="196" t="s">
        <v>11229</v>
      </c>
      <c r="B409" s="196" t="s">
        <v>11230</v>
      </c>
      <c r="C409" s="196" t="s">
        <v>12073</v>
      </c>
      <c r="D409" s="196" t="s">
        <v>12074</v>
      </c>
      <c r="E409" s="196" t="s">
        <v>12074</v>
      </c>
      <c r="F409" s="196" t="s">
        <v>11233</v>
      </c>
      <c r="G409" s="196" t="s">
        <v>11234</v>
      </c>
      <c r="H409" s="196" t="s">
        <v>11235</v>
      </c>
    </row>
    <row r="410" spans="1:8" x14ac:dyDescent="0.15">
      <c r="A410" s="196" t="s">
        <v>11229</v>
      </c>
      <c r="B410" s="196" t="s">
        <v>11230</v>
      </c>
      <c r="C410" s="196" t="s">
        <v>12075</v>
      </c>
      <c r="D410" s="196" t="s">
        <v>12076</v>
      </c>
      <c r="E410" s="196" t="s">
        <v>12077</v>
      </c>
      <c r="F410" s="196" t="s">
        <v>12078</v>
      </c>
      <c r="G410" s="196" t="s">
        <v>11449</v>
      </c>
      <c r="H410" s="196" t="s">
        <v>11235</v>
      </c>
    </row>
    <row r="411" spans="1:8" x14ac:dyDescent="0.15">
      <c r="A411" s="196" t="s">
        <v>11229</v>
      </c>
      <c r="B411" s="196" t="s">
        <v>11230</v>
      </c>
      <c r="C411" s="196" t="s">
        <v>12079</v>
      </c>
      <c r="D411" s="196" t="s">
        <v>12080</v>
      </c>
      <c r="E411" s="196" t="s">
        <v>12080</v>
      </c>
      <c r="F411" s="196" t="s">
        <v>11233</v>
      </c>
      <c r="G411" s="196" t="s">
        <v>11962</v>
      </c>
      <c r="H411" s="196" t="s">
        <v>11235</v>
      </c>
    </row>
    <row r="412" spans="1:8" x14ac:dyDescent="0.15">
      <c r="A412" s="196" t="s">
        <v>11229</v>
      </c>
      <c r="B412" s="196" t="s">
        <v>11230</v>
      </c>
      <c r="C412" s="196" t="s">
        <v>12081</v>
      </c>
      <c r="D412" s="196" t="s">
        <v>12082</v>
      </c>
      <c r="E412" s="196" t="s">
        <v>12083</v>
      </c>
      <c r="F412" s="196" t="s">
        <v>11241</v>
      </c>
      <c r="G412" s="196" t="s">
        <v>11962</v>
      </c>
      <c r="H412" s="196" t="s">
        <v>11235</v>
      </c>
    </row>
    <row r="413" spans="1:8" x14ac:dyDescent="0.15">
      <c r="A413" s="196" t="s">
        <v>11229</v>
      </c>
      <c r="B413" s="196" t="s">
        <v>11230</v>
      </c>
      <c r="C413" s="196" t="s">
        <v>12084</v>
      </c>
      <c r="D413" s="196" t="s">
        <v>12085</v>
      </c>
      <c r="E413" s="196" t="s">
        <v>12085</v>
      </c>
      <c r="F413" s="196" t="s">
        <v>11233</v>
      </c>
      <c r="G413" s="196" t="s">
        <v>11962</v>
      </c>
      <c r="H413" s="196" t="s">
        <v>11235</v>
      </c>
    </row>
    <row r="414" spans="1:8" x14ac:dyDescent="0.15">
      <c r="A414" s="196" t="s">
        <v>11229</v>
      </c>
      <c r="B414" s="196" t="s">
        <v>11230</v>
      </c>
      <c r="C414" s="196" t="s">
        <v>12086</v>
      </c>
      <c r="D414" s="196" t="s">
        <v>12087</v>
      </c>
      <c r="E414" s="196" t="s">
        <v>12087</v>
      </c>
      <c r="F414" s="196" t="s">
        <v>11233</v>
      </c>
      <c r="G414" s="196" t="s">
        <v>11962</v>
      </c>
      <c r="H414" s="196" t="s">
        <v>11235</v>
      </c>
    </row>
    <row r="415" spans="1:8" x14ac:dyDescent="0.15">
      <c r="A415" s="196" t="s">
        <v>11229</v>
      </c>
      <c r="B415" s="196" t="s">
        <v>11230</v>
      </c>
      <c r="C415" s="196" t="s">
        <v>12088</v>
      </c>
      <c r="D415" s="196" t="s">
        <v>12089</v>
      </c>
      <c r="E415" s="196" t="s">
        <v>12089</v>
      </c>
      <c r="F415" s="196" t="s">
        <v>11233</v>
      </c>
      <c r="G415" s="196" t="s">
        <v>11962</v>
      </c>
      <c r="H415" s="196" t="s">
        <v>11235</v>
      </c>
    </row>
    <row r="416" spans="1:8" x14ac:dyDescent="0.15">
      <c r="A416" s="196" t="s">
        <v>11229</v>
      </c>
      <c r="B416" s="196" t="s">
        <v>11230</v>
      </c>
      <c r="C416" s="196" t="s">
        <v>12090</v>
      </c>
      <c r="D416" s="196" t="s">
        <v>12091</v>
      </c>
      <c r="E416" s="196" t="s">
        <v>12091</v>
      </c>
      <c r="F416" s="196" t="s">
        <v>11233</v>
      </c>
      <c r="G416" s="196" t="s">
        <v>11720</v>
      </c>
      <c r="H416" s="196" t="s">
        <v>11235</v>
      </c>
    </row>
    <row r="417" spans="1:8" x14ac:dyDescent="0.15">
      <c r="A417" s="196" t="s">
        <v>11229</v>
      </c>
      <c r="B417" s="196" t="s">
        <v>11230</v>
      </c>
      <c r="C417" s="196" t="s">
        <v>12092</v>
      </c>
      <c r="D417" s="196" t="s">
        <v>12093</v>
      </c>
      <c r="E417" s="196" t="s">
        <v>12093</v>
      </c>
      <c r="F417" s="196" t="s">
        <v>11233</v>
      </c>
      <c r="G417" s="196" t="s">
        <v>11234</v>
      </c>
      <c r="H417" s="196" t="s">
        <v>11235</v>
      </c>
    </row>
    <row r="418" spans="1:8" x14ac:dyDescent="0.15">
      <c r="A418" s="196" t="s">
        <v>11229</v>
      </c>
      <c r="B418" s="196" t="s">
        <v>11230</v>
      </c>
      <c r="C418" s="196" t="s">
        <v>12094</v>
      </c>
      <c r="D418" s="196" t="s">
        <v>12095</v>
      </c>
      <c r="E418" s="196" t="s">
        <v>12095</v>
      </c>
      <c r="F418" s="196" t="s">
        <v>11233</v>
      </c>
      <c r="G418" s="196" t="s">
        <v>11962</v>
      </c>
      <c r="H418" s="196" t="s">
        <v>11235</v>
      </c>
    </row>
    <row r="419" spans="1:8" x14ac:dyDescent="0.15">
      <c r="A419" s="196" t="s">
        <v>11229</v>
      </c>
      <c r="B419" s="196" t="s">
        <v>11230</v>
      </c>
      <c r="C419" s="196" t="s">
        <v>12096</v>
      </c>
      <c r="D419" s="196" t="s">
        <v>12097</v>
      </c>
      <c r="E419" s="196" t="s">
        <v>12098</v>
      </c>
      <c r="F419" s="196" t="s">
        <v>11241</v>
      </c>
      <c r="G419" s="196" t="s">
        <v>11720</v>
      </c>
      <c r="H419" s="196" t="s">
        <v>11235</v>
      </c>
    </row>
    <row r="420" spans="1:8" x14ac:dyDescent="0.15">
      <c r="A420" s="196" t="s">
        <v>11229</v>
      </c>
      <c r="B420" s="196" t="s">
        <v>11230</v>
      </c>
      <c r="C420" s="196" t="s">
        <v>12099</v>
      </c>
      <c r="D420" s="196" t="s">
        <v>12098</v>
      </c>
      <c r="E420" s="196" t="s">
        <v>12098</v>
      </c>
      <c r="F420" s="196" t="s">
        <v>11233</v>
      </c>
      <c r="G420" s="196" t="s">
        <v>11234</v>
      </c>
      <c r="H420" s="196" t="s">
        <v>11235</v>
      </c>
    </row>
    <row r="421" spans="1:8" x14ac:dyDescent="0.15">
      <c r="A421" s="196" t="s">
        <v>11229</v>
      </c>
      <c r="B421" s="196" t="s">
        <v>11230</v>
      </c>
      <c r="C421" s="196" t="s">
        <v>12100</v>
      </c>
      <c r="D421" s="196" t="s">
        <v>12101</v>
      </c>
      <c r="E421" s="196" t="s">
        <v>12101</v>
      </c>
      <c r="F421" s="196" t="s">
        <v>11233</v>
      </c>
      <c r="G421" s="196" t="s">
        <v>11720</v>
      </c>
      <c r="H421" s="196" t="s">
        <v>11235</v>
      </c>
    </row>
    <row r="422" spans="1:8" x14ac:dyDescent="0.15">
      <c r="A422" s="196" t="s">
        <v>11229</v>
      </c>
      <c r="B422" s="196" t="s">
        <v>11230</v>
      </c>
      <c r="C422" s="196" t="s">
        <v>12102</v>
      </c>
      <c r="D422" s="196" t="s">
        <v>12101</v>
      </c>
      <c r="E422" s="196" t="s">
        <v>12101</v>
      </c>
      <c r="F422" s="196" t="s">
        <v>11233</v>
      </c>
      <c r="G422" s="196" t="s">
        <v>11234</v>
      </c>
      <c r="H422" s="196" t="s">
        <v>11235</v>
      </c>
    </row>
    <row r="423" spans="1:8" x14ac:dyDescent="0.15">
      <c r="A423" s="196" t="s">
        <v>11229</v>
      </c>
      <c r="B423" s="196" t="s">
        <v>11230</v>
      </c>
      <c r="C423" s="196" t="s">
        <v>12103</v>
      </c>
      <c r="D423" s="196" t="s">
        <v>12104</v>
      </c>
      <c r="E423" s="196" t="s">
        <v>12104</v>
      </c>
      <c r="F423" s="196" t="s">
        <v>11233</v>
      </c>
      <c r="G423" s="196" t="s">
        <v>11720</v>
      </c>
      <c r="H423" s="196" t="s">
        <v>11235</v>
      </c>
    </row>
    <row r="424" spans="1:8" x14ac:dyDescent="0.15">
      <c r="A424" s="196" t="s">
        <v>11229</v>
      </c>
      <c r="B424" s="196" t="s">
        <v>11230</v>
      </c>
      <c r="C424" s="196" t="s">
        <v>12105</v>
      </c>
      <c r="D424" s="196" t="s">
        <v>12104</v>
      </c>
      <c r="E424" s="196" t="s">
        <v>12104</v>
      </c>
      <c r="F424" s="196" t="s">
        <v>11233</v>
      </c>
      <c r="G424" s="196" t="s">
        <v>11234</v>
      </c>
      <c r="H424" s="196" t="s">
        <v>11235</v>
      </c>
    </row>
    <row r="425" spans="1:8" x14ac:dyDescent="0.15">
      <c r="A425" s="196" t="s">
        <v>11229</v>
      </c>
      <c r="B425" s="196" t="s">
        <v>11230</v>
      </c>
      <c r="C425" s="196" t="s">
        <v>12106</v>
      </c>
      <c r="D425" s="196" t="s">
        <v>12107</v>
      </c>
      <c r="E425" s="196" t="s">
        <v>12107</v>
      </c>
      <c r="F425" s="196" t="s">
        <v>11233</v>
      </c>
      <c r="G425" s="196" t="s">
        <v>11720</v>
      </c>
      <c r="H425" s="196" t="s">
        <v>11235</v>
      </c>
    </row>
    <row r="426" spans="1:8" x14ac:dyDescent="0.15">
      <c r="A426" s="196" t="s">
        <v>11229</v>
      </c>
      <c r="B426" s="196" t="s">
        <v>11230</v>
      </c>
      <c r="C426" s="196" t="s">
        <v>12108</v>
      </c>
      <c r="D426" s="196" t="s">
        <v>12107</v>
      </c>
      <c r="E426" s="196" t="s">
        <v>12107</v>
      </c>
      <c r="F426" s="196" t="s">
        <v>11233</v>
      </c>
      <c r="G426" s="196" t="s">
        <v>11234</v>
      </c>
      <c r="H426" s="196" t="s">
        <v>11235</v>
      </c>
    </row>
    <row r="427" spans="1:8" x14ac:dyDescent="0.15">
      <c r="A427" s="196" t="s">
        <v>11229</v>
      </c>
      <c r="B427" s="196" t="s">
        <v>11230</v>
      </c>
      <c r="C427" s="196" t="s">
        <v>12109</v>
      </c>
      <c r="D427" s="196" t="s">
        <v>12110</v>
      </c>
      <c r="E427" s="196" t="s">
        <v>12110</v>
      </c>
      <c r="F427" s="196" t="s">
        <v>11233</v>
      </c>
      <c r="G427" s="196" t="s">
        <v>11720</v>
      </c>
      <c r="H427" s="196" t="s">
        <v>11235</v>
      </c>
    </row>
    <row r="428" spans="1:8" x14ac:dyDescent="0.15">
      <c r="A428" s="196" t="s">
        <v>11229</v>
      </c>
      <c r="B428" s="196" t="s">
        <v>11230</v>
      </c>
      <c r="C428" s="196" t="s">
        <v>12111</v>
      </c>
      <c r="D428" s="196" t="s">
        <v>12110</v>
      </c>
      <c r="E428" s="196" t="s">
        <v>12110</v>
      </c>
      <c r="F428" s="196" t="s">
        <v>11233</v>
      </c>
      <c r="G428" s="196" t="s">
        <v>11234</v>
      </c>
      <c r="H428" s="196" t="s">
        <v>11235</v>
      </c>
    </row>
    <row r="429" spans="1:8" x14ac:dyDescent="0.15">
      <c r="A429" s="196" t="s">
        <v>11229</v>
      </c>
      <c r="B429" s="196" t="s">
        <v>11230</v>
      </c>
      <c r="C429" s="196" t="s">
        <v>12112</v>
      </c>
      <c r="D429" s="196" t="s">
        <v>12113</v>
      </c>
      <c r="E429" s="196" t="s">
        <v>12113</v>
      </c>
      <c r="F429" s="196" t="s">
        <v>11233</v>
      </c>
      <c r="G429" s="196" t="s">
        <v>11720</v>
      </c>
      <c r="H429" s="196" t="s">
        <v>11235</v>
      </c>
    </row>
    <row r="430" spans="1:8" x14ac:dyDescent="0.15">
      <c r="A430" s="196" t="s">
        <v>11229</v>
      </c>
      <c r="B430" s="196" t="s">
        <v>11230</v>
      </c>
      <c r="C430" s="196" t="s">
        <v>12114</v>
      </c>
      <c r="D430" s="196" t="s">
        <v>12115</v>
      </c>
      <c r="E430" s="196" t="s">
        <v>12116</v>
      </c>
      <c r="F430" s="196" t="s">
        <v>11268</v>
      </c>
      <c r="G430" s="196" t="s">
        <v>11720</v>
      </c>
      <c r="H430" s="196" t="s">
        <v>11235</v>
      </c>
    </row>
    <row r="431" spans="1:8" x14ac:dyDescent="0.15">
      <c r="A431" s="196" t="s">
        <v>11229</v>
      </c>
      <c r="B431" s="196" t="s">
        <v>11230</v>
      </c>
      <c r="C431" s="196" t="s">
        <v>12117</v>
      </c>
      <c r="D431" s="196" t="s">
        <v>12118</v>
      </c>
      <c r="E431" s="196" t="s">
        <v>12118</v>
      </c>
      <c r="F431" s="196" t="s">
        <v>11233</v>
      </c>
      <c r="G431" s="196" t="s">
        <v>11720</v>
      </c>
      <c r="H431" s="196" t="s">
        <v>11235</v>
      </c>
    </row>
    <row r="432" spans="1:8" x14ac:dyDescent="0.15">
      <c r="A432" s="196" t="s">
        <v>11229</v>
      </c>
      <c r="B432" s="196" t="s">
        <v>11230</v>
      </c>
      <c r="C432" s="196" t="s">
        <v>12119</v>
      </c>
      <c r="D432" s="196" t="s">
        <v>12120</v>
      </c>
      <c r="E432" s="196" t="s">
        <v>12120</v>
      </c>
      <c r="F432" s="196" t="s">
        <v>11233</v>
      </c>
      <c r="G432" s="196" t="s">
        <v>11720</v>
      </c>
      <c r="H432" s="196" t="s">
        <v>11235</v>
      </c>
    </row>
    <row r="433" spans="1:8" x14ac:dyDescent="0.15">
      <c r="A433" s="196" t="s">
        <v>11229</v>
      </c>
      <c r="B433" s="196" t="s">
        <v>11230</v>
      </c>
      <c r="C433" s="196" t="s">
        <v>12121</v>
      </c>
      <c r="D433" s="196" t="s">
        <v>12122</v>
      </c>
      <c r="E433" s="196" t="s">
        <v>12122</v>
      </c>
      <c r="F433" s="196" t="s">
        <v>11233</v>
      </c>
      <c r="G433" s="196" t="s">
        <v>11720</v>
      </c>
      <c r="H433" s="196" t="s">
        <v>11235</v>
      </c>
    </row>
    <row r="434" spans="1:8" x14ac:dyDescent="0.15">
      <c r="A434" s="196" t="s">
        <v>11229</v>
      </c>
      <c r="B434" s="196" t="s">
        <v>11230</v>
      </c>
      <c r="C434" s="196" t="s">
        <v>12123</v>
      </c>
      <c r="D434" s="196" t="s">
        <v>12122</v>
      </c>
      <c r="E434" s="196" t="s">
        <v>12122</v>
      </c>
      <c r="F434" s="196" t="s">
        <v>11233</v>
      </c>
      <c r="G434" s="196" t="s">
        <v>11962</v>
      </c>
      <c r="H434" s="196" t="s">
        <v>11235</v>
      </c>
    </row>
    <row r="435" spans="1:8" x14ac:dyDescent="0.15">
      <c r="A435" s="196" t="s">
        <v>11229</v>
      </c>
      <c r="B435" s="196" t="s">
        <v>11230</v>
      </c>
      <c r="C435" s="196" t="s">
        <v>12124</v>
      </c>
      <c r="D435" s="196" t="s">
        <v>12125</v>
      </c>
      <c r="E435" s="196" t="s">
        <v>12126</v>
      </c>
      <c r="F435" s="196" t="s">
        <v>11241</v>
      </c>
      <c r="G435" s="196" t="s">
        <v>11720</v>
      </c>
      <c r="H435" s="196" t="s">
        <v>11235</v>
      </c>
    </row>
    <row r="436" spans="1:8" x14ac:dyDescent="0.15">
      <c r="A436" s="196" t="s">
        <v>11229</v>
      </c>
      <c r="B436" s="196" t="s">
        <v>11230</v>
      </c>
      <c r="C436" s="196" t="s">
        <v>12127</v>
      </c>
      <c r="D436" s="196" t="s">
        <v>12128</v>
      </c>
      <c r="E436" s="196" t="s">
        <v>12128</v>
      </c>
      <c r="F436" s="196" t="s">
        <v>11233</v>
      </c>
      <c r="G436" s="196" t="s">
        <v>11720</v>
      </c>
      <c r="H436" s="196" t="s">
        <v>11235</v>
      </c>
    </row>
    <row r="437" spans="1:8" x14ac:dyDescent="0.15">
      <c r="A437" s="196" t="s">
        <v>11229</v>
      </c>
      <c r="B437" s="196" t="s">
        <v>11230</v>
      </c>
      <c r="C437" s="196" t="s">
        <v>12129</v>
      </c>
      <c r="D437" s="196" t="s">
        <v>12130</v>
      </c>
      <c r="E437" s="196" t="s">
        <v>12130</v>
      </c>
      <c r="F437" s="196" t="s">
        <v>11233</v>
      </c>
      <c r="G437" s="196" t="s">
        <v>11720</v>
      </c>
      <c r="H437" s="196" t="s">
        <v>11235</v>
      </c>
    </row>
    <row r="438" spans="1:8" x14ac:dyDescent="0.15">
      <c r="A438" s="196" t="s">
        <v>11229</v>
      </c>
      <c r="B438" s="196" t="s">
        <v>11230</v>
      </c>
      <c r="C438" s="196" t="s">
        <v>12131</v>
      </c>
      <c r="D438" s="196" t="s">
        <v>12132</v>
      </c>
      <c r="E438" s="196" t="s">
        <v>12132</v>
      </c>
      <c r="F438" s="196" t="s">
        <v>11233</v>
      </c>
      <c r="G438" s="196" t="s">
        <v>11720</v>
      </c>
      <c r="H438" s="196" t="s">
        <v>11235</v>
      </c>
    </row>
    <row r="439" spans="1:8" x14ac:dyDescent="0.15">
      <c r="A439" s="196" t="s">
        <v>11229</v>
      </c>
      <c r="B439" s="196" t="s">
        <v>11230</v>
      </c>
      <c r="C439" s="196" t="s">
        <v>12133</v>
      </c>
      <c r="D439" s="196" t="s">
        <v>12134</v>
      </c>
      <c r="E439" s="196" t="s">
        <v>12134</v>
      </c>
      <c r="F439" s="196" t="s">
        <v>11233</v>
      </c>
      <c r="G439" s="196" t="s">
        <v>11720</v>
      </c>
      <c r="H439" s="196" t="s">
        <v>11235</v>
      </c>
    </row>
    <row r="440" spans="1:8" x14ac:dyDescent="0.15">
      <c r="A440" s="196" t="s">
        <v>11229</v>
      </c>
      <c r="B440" s="196" t="s">
        <v>11230</v>
      </c>
      <c r="C440" s="196" t="s">
        <v>12135</v>
      </c>
      <c r="D440" s="196" t="s">
        <v>12136</v>
      </c>
      <c r="E440" s="196" t="s">
        <v>12136</v>
      </c>
      <c r="F440" s="196" t="s">
        <v>11233</v>
      </c>
      <c r="G440" s="196" t="s">
        <v>11720</v>
      </c>
      <c r="H440" s="196" t="s">
        <v>11235</v>
      </c>
    </row>
    <row r="441" spans="1:8" x14ac:dyDescent="0.15">
      <c r="A441" s="196" t="s">
        <v>11229</v>
      </c>
      <c r="B441" s="196" t="s">
        <v>11230</v>
      </c>
      <c r="C441" s="196" t="s">
        <v>12137</v>
      </c>
      <c r="D441" s="196" t="s">
        <v>12138</v>
      </c>
      <c r="E441" s="196" t="s">
        <v>12139</v>
      </c>
      <c r="F441" s="196" t="s">
        <v>11241</v>
      </c>
      <c r="G441" s="196" t="s">
        <v>11720</v>
      </c>
      <c r="H441" s="196" t="s">
        <v>11235</v>
      </c>
    </row>
    <row r="442" spans="1:8" x14ac:dyDescent="0.15">
      <c r="A442" s="196" t="s">
        <v>11229</v>
      </c>
      <c r="B442" s="196" t="s">
        <v>11230</v>
      </c>
      <c r="C442" s="196" t="s">
        <v>12140</v>
      </c>
      <c r="D442" s="196" t="s">
        <v>12077</v>
      </c>
      <c r="E442" s="196" t="s">
        <v>12077</v>
      </c>
      <c r="F442" s="196" t="s">
        <v>11233</v>
      </c>
      <c r="G442" s="196" t="s">
        <v>11720</v>
      </c>
      <c r="H442" s="196" t="s">
        <v>11235</v>
      </c>
    </row>
    <row r="443" spans="1:8" x14ac:dyDescent="0.15">
      <c r="A443" s="196" t="s">
        <v>11229</v>
      </c>
      <c r="B443" s="196" t="s">
        <v>11230</v>
      </c>
      <c r="C443" s="196" t="s">
        <v>12141</v>
      </c>
      <c r="D443" s="196" t="s">
        <v>12077</v>
      </c>
      <c r="E443" s="196" t="s">
        <v>12077</v>
      </c>
      <c r="F443" s="196" t="s">
        <v>11233</v>
      </c>
      <c r="G443" s="196" t="s">
        <v>11234</v>
      </c>
      <c r="H443" s="196" t="s">
        <v>11235</v>
      </c>
    </row>
    <row r="444" spans="1:8" x14ac:dyDescent="0.15">
      <c r="A444" s="196" t="s">
        <v>11229</v>
      </c>
      <c r="B444" s="196" t="s">
        <v>11230</v>
      </c>
      <c r="C444" s="196" t="s">
        <v>12142</v>
      </c>
      <c r="D444" s="196" t="s">
        <v>12143</v>
      </c>
      <c r="E444" s="196" t="s">
        <v>12144</v>
      </c>
      <c r="F444" s="196" t="s">
        <v>12145</v>
      </c>
      <c r="G444" s="196" t="s">
        <v>11449</v>
      </c>
      <c r="H444" s="196" t="s">
        <v>11235</v>
      </c>
    </row>
    <row r="445" spans="1:8" x14ac:dyDescent="0.15">
      <c r="A445" s="196" t="s">
        <v>11229</v>
      </c>
      <c r="B445" s="196" t="s">
        <v>11230</v>
      </c>
      <c r="C445" s="196" t="s">
        <v>12146</v>
      </c>
      <c r="D445" s="196" t="s">
        <v>12147</v>
      </c>
      <c r="E445" s="196" t="s">
        <v>12147</v>
      </c>
      <c r="F445" s="196" t="s">
        <v>11233</v>
      </c>
      <c r="G445" s="196" t="s">
        <v>11962</v>
      </c>
      <c r="H445" s="196" t="s">
        <v>11235</v>
      </c>
    </row>
    <row r="446" spans="1:8" x14ac:dyDescent="0.15">
      <c r="A446" s="196" t="s">
        <v>11229</v>
      </c>
      <c r="B446" s="196" t="s">
        <v>11230</v>
      </c>
      <c r="C446" s="196" t="s">
        <v>12148</v>
      </c>
      <c r="D446" s="196" t="s">
        <v>12149</v>
      </c>
      <c r="E446" s="196" t="s">
        <v>12149</v>
      </c>
      <c r="F446" s="196" t="s">
        <v>11233</v>
      </c>
      <c r="G446" s="196" t="s">
        <v>11720</v>
      </c>
      <c r="H446" s="196" t="s">
        <v>11235</v>
      </c>
    </row>
    <row r="447" spans="1:8" x14ac:dyDescent="0.15">
      <c r="A447" s="196" t="s">
        <v>11229</v>
      </c>
      <c r="B447" s="196" t="s">
        <v>11230</v>
      </c>
      <c r="C447" s="196" t="s">
        <v>12150</v>
      </c>
      <c r="D447" s="196" t="s">
        <v>12151</v>
      </c>
      <c r="E447" s="196" t="s">
        <v>12151</v>
      </c>
      <c r="F447" s="196" t="s">
        <v>11233</v>
      </c>
      <c r="G447" s="196" t="s">
        <v>11234</v>
      </c>
      <c r="H447" s="196" t="s">
        <v>11235</v>
      </c>
    </row>
    <row r="448" spans="1:8" x14ac:dyDescent="0.15">
      <c r="A448" s="196" t="s">
        <v>11229</v>
      </c>
      <c r="B448" s="196" t="s">
        <v>11230</v>
      </c>
      <c r="C448" s="196" t="s">
        <v>12152</v>
      </c>
      <c r="D448" s="196" t="s">
        <v>12153</v>
      </c>
      <c r="E448" s="196" t="s">
        <v>12153</v>
      </c>
      <c r="F448" s="196" t="s">
        <v>11233</v>
      </c>
      <c r="G448" s="196" t="s">
        <v>11962</v>
      </c>
      <c r="H448" s="196" t="s">
        <v>11235</v>
      </c>
    </row>
    <row r="449" spans="1:8" x14ac:dyDescent="0.15">
      <c r="A449" s="196" t="s">
        <v>11229</v>
      </c>
      <c r="B449" s="196" t="s">
        <v>11230</v>
      </c>
      <c r="C449" s="196" t="s">
        <v>12154</v>
      </c>
      <c r="D449" s="196" t="s">
        <v>12155</v>
      </c>
      <c r="E449" s="196" t="s">
        <v>12155</v>
      </c>
      <c r="F449" s="196" t="s">
        <v>11233</v>
      </c>
      <c r="G449" s="196" t="s">
        <v>11720</v>
      </c>
      <c r="H449" s="196" t="s">
        <v>11235</v>
      </c>
    </row>
    <row r="450" spans="1:8" x14ac:dyDescent="0.15">
      <c r="A450" s="196" t="s">
        <v>11229</v>
      </c>
      <c r="B450" s="196" t="s">
        <v>11230</v>
      </c>
      <c r="C450" s="196" t="s">
        <v>12156</v>
      </c>
      <c r="D450" s="196" t="s">
        <v>12157</v>
      </c>
      <c r="E450" s="196" t="s">
        <v>12158</v>
      </c>
      <c r="F450" s="196" t="s">
        <v>11268</v>
      </c>
      <c r="G450" s="196" t="s">
        <v>11720</v>
      </c>
      <c r="H450" s="196" t="s">
        <v>11235</v>
      </c>
    </row>
    <row r="451" spans="1:8" x14ac:dyDescent="0.15">
      <c r="A451" s="196" t="s">
        <v>11229</v>
      </c>
      <c r="B451" s="196" t="s">
        <v>11230</v>
      </c>
      <c r="C451" s="196" t="s">
        <v>12159</v>
      </c>
      <c r="D451" s="196" t="s">
        <v>12157</v>
      </c>
      <c r="E451" s="196" t="s">
        <v>12157</v>
      </c>
      <c r="F451" s="196" t="s">
        <v>11233</v>
      </c>
      <c r="G451" s="196" t="s">
        <v>11234</v>
      </c>
      <c r="H451" s="196" t="s">
        <v>11235</v>
      </c>
    </row>
    <row r="452" spans="1:8" x14ac:dyDescent="0.15">
      <c r="A452" s="196" t="s">
        <v>11229</v>
      </c>
      <c r="B452" s="196" t="s">
        <v>11230</v>
      </c>
      <c r="C452" s="196" t="s">
        <v>12160</v>
      </c>
      <c r="D452" s="196" t="s">
        <v>12158</v>
      </c>
      <c r="E452" s="196" t="s">
        <v>12161</v>
      </c>
      <c r="F452" s="196" t="s">
        <v>11241</v>
      </c>
      <c r="G452" s="196" t="s">
        <v>11720</v>
      </c>
      <c r="H452" s="196" t="s">
        <v>11235</v>
      </c>
    </row>
    <row r="453" spans="1:8" x14ac:dyDescent="0.15">
      <c r="A453" s="196" t="s">
        <v>11229</v>
      </c>
      <c r="B453" s="196" t="s">
        <v>11230</v>
      </c>
      <c r="C453" s="196" t="s">
        <v>12162</v>
      </c>
      <c r="D453" s="196" t="s">
        <v>12158</v>
      </c>
      <c r="E453" s="196" t="s">
        <v>12158</v>
      </c>
      <c r="F453" s="196" t="s">
        <v>11233</v>
      </c>
      <c r="G453" s="196" t="s">
        <v>11234</v>
      </c>
      <c r="H453" s="196" t="s">
        <v>11235</v>
      </c>
    </row>
    <row r="454" spans="1:8" x14ac:dyDescent="0.15">
      <c r="A454" s="196" t="s">
        <v>11229</v>
      </c>
      <c r="B454" s="196" t="s">
        <v>11230</v>
      </c>
      <c r="C454" s="196" t="s">
        <v>12163</v>
      </c>
      <c r="D454" s="196" t="s">
        <v>12161</v>
      </c>
      <c r="E454" s="196" t="s">
        <v>12161</v>
      </c>
      <c r="F454" s="196" t="s">
        <v>11233</v>
      </c>
      <c r="G454" s="196" t="s">
        <v>11234</v>
      </c>
      <c r="H454" s="196" t="s">
        <v>11235</v>
      </c>
    </row>
    <row r="455" spans="1:8" x14ac:dyDescent="0.15">
      <c r="A455" s="196" t="s">
        <v>11229</v>
      </c>
      <c r="B455" s="196" t="s">
        <v>11230</v>
      </c>
      <c r="C455" s="196" t="s">
        <v>12164</v>
      </c>
      <c r="D455" s="196" t="s">
        <v>12165</v>
      </c>
      <c r="E455" s="196" t="s">
        <v>12165</v>
      </c>
      <c r="F455" s="196" t="s">
        <v>11233</v>
      </c>
      <c r="G455" s="196" t="s">
        <v>11962</v>
      </c>
      <c r="H455" s="196" t="s">
        <v>11235</v>
      </c>
    </row>
    <row r="456" spans="1:8" x14ac:dyDescent="0.15">
      <c r="A456" s="196" t="s">
        <v>11229</v>
      </c>
      <c r="B456" s="196" t="s">
        <v>11230</v>
      </c>
      <c r="C456" s="196" t="s">
        <v>12166</v>
      </c>
      <c r="D456" s="196" t="s">
        <v>12167</v>
      </c>
      <c r="E456" s="196" t="s">
        <v>12168</v>
      </c>
      <c r="F456" s="196" t="s">
        <v>11241</v>
      </c>
      <c r="G456" s="196" t="s">
        <v>11962</v>
      </c>
      <c r="H456" s="196" t="s">
        <v>11235</v>
      </c>
    </row>
    <row r="457" spans="1:8" x14ac:dyDescent="0.15">
      <c r="A457" s="196" t="s">
        <v>11229</v>
      </c>
      <c r="B457" s="196" t="s">
        <v>11230</v>
      </c>
      <c r="C457" s="196" t="s">
        <v>12169</v>
      </c>
      <c r="D457" s="196" t="s">
        <v>12168</v>
      </c>
      <c r="E457" s="196" t="s">
        <v>12170</v>
      </c>
      <c r="F457" s="196" t="s">
        <v>11268</v>
      </c>
      <c r="G457" s="196" t="s">
        <v>11962</v>
      </c>
      <c r="H457" s="196" t="s">
        <v>11235</v>
      </c>
    </row>
    <row r="458" spans="1:8" x14ac:dyDescent="0.15">
      <c r="A458" s="196" t="s">
        <v>11229</v>
      </c>
      <c r="B458" s="196" t="s">
        <v>11230</v>
      </c>
      <c r="C458" s="196" t="s">
        <v>12171</v>
      </c>
      <c r="D458" s="196" t="s">
        <v>12172</v>
      </c>
      <c r="E458" s="196" t="s">
        <v>12173</v>
      </c>
      <c r="F458" s="196" t="s">
        <v>11268</v>
      </c>
      <c r="G458" s="196" t="s">
        <v>11234</v>
      </c>
      <c r="H458" s="196" t="s">
        <v>11235</v>
      </c>
    </row>
    <row r="459" spans="1:8" x14ac:dyDescent="0.15">
      <c r="A459" s="196" t="s">
        <v>11229</v>
      </c>
      <c r="B459" s="196" t="s">
        <v>11230</v>
      </c>
      <c r="C459" s="196" t="s">
        <v>12174</v>
      </c>
      <c r="D459" s="196" t="s">
        <v>12173</v>
      </c>
      <c r="E459" s="196" t="s">
        <v>12175</v>
      </c>
      <c r="F459" s="196" t="s">
        <v>11241</v>
      </c>
      <c r="G459" s="196" t="s">
        <v>11720</v>
      </c>
      <c r="H459" s="196" t="s">
        <v>11235</v>
      </c>
    </row>
    <row r="460" spans="1:8" x14ac:dyDescent="0.15">
      <c r="A460" s="196" t="s">
        <v>11229</v>
      </c>
      <c r="B460" s="196" t="s">
        <v>11230</v>
      </c>
      <c r="C460" s="196" t="s">
        <v>12176</v>
      </c>
      <c r="D460" s="196" t="s">
        <v>12175</v>
      </c>
      <c r="E460" s="196" t="s">
        <v>12175</v>
      </c>
      <c r="F460" s="196" t="s">
        <v>11233</v>
      </c>
      <c r="G460" s="196" t="s">
        <v>11234</v>
      </c>
      <c r="H460" s="196" t="s">
        <v>11235</v>
      </c>
    </row>
    <row r="461" spans="1:8" x14ac:dyDescent="0.15">
      <c r="A461" s="196" t="s">
        <v>11229</v>
      </c>
      <c r="B461" s="196" t="s">
        <v>11230</v>
      </c>
      <c r="C461" s="196" t="s">
        <v>12177</v>
      </c>
      <c r="D461" s="196" t="s">
        <v>12178</v>
      </c>
      <c r="E461" s="196" t="s">
        <v>12178</v>
      </c>
      <c r="F461" s="196" t="s">
        <v>11233</v>
      </c>
      <c r="G461" s="196" t="s">
        <v>11234</v>
      </c>
      <c r="H461" s="196" t="s">
        <v>11235</v>
      </c>
    </row>
    <row r="462" spans="1:8" x14ac:dyDescent="0.15">
      <c r="A462" s="196" t="s">
        <v>11229</v>
      </c>
      <c r="B462" s="196" t="s">
        <v>11230</v>
      </c>
      <c r="C462" s="196" t="s">
        <v>12179</v>
      </c>
      <c r="D462" s="196" t="s">
        <v>12180</v>
      </c>
      <c r="E462" s="196" t="s">
        <v>12180</v>
      </c>
      <c r="F462" s="196" t="s">
        <v>11233</v>
      </c>
      <c r="G462" s="196" t="s">
        <v>11962</v>
      </c>
      <c r="H462" s="196" t="s">
        <v>11235</v>
      </c>
    </row>
    <row r="463" spans="1:8" x14ac:dyDescent="0.15">
      <c r="A463" s="196" t="s">
        <v>11229</v>
      </c>
      <c r="B463" s="196" t="s">
        <v>11230</v>
      </c>
      <c r="C463" s="196" t="s">
        <v>12181</v>
      </c>
      <c r="D463" s="196" t="s">
        <v>12182</v>
      </c>
      <c r="E463" s="196" t="s">
        <v>12182</v>
      </c>
      <c r="F463" s="196" t="s">
        <v>11233</v>
      </c>
      <c r="G463" s="196" t="s">
        <v>11962</v>
      </c>
      <c r="H463" s="196" t="s">
        <v>11235</v>
      </c>
    </row>
    <row r="464" spans="1:8" x14ac:dyDescent="0.15">
      <c r="A464" s="196" t="s">
        <v>11229</v>
      </c>
      <c r="B464" s="196" t="s">
        <v>11230</v>
      </c>
      <c r="C464" s="196" t="s">
        <v>12183</v>
      </c>
      <c r="D464" s="196" t="s">
        <v>12184</v>
      </c>
      <c r="E464" s="196" t="s">
        <v>12185</v>
      </c>
      <c r="F464" s="196" t="s">
        <v>11241</v>
      </c>
      <c r="G464" s="196" t="s">
        <v>11962</v>
      </c>
      <c r="H464" s="196" t="s">
        <v>11235</v>
      </c>
    </row>
    <row r="465" spans="1:8" x14ac:dyDescent="0.15">
      <c r="A465" s="196" t="s">
        <v>11229</v>
      </c>
      <c r="B465" s="196" t="s">
        <v>11230</v>
      </c>
      <c r="C465" s="196" t="s">
        <v>12186</v>
      </c>
      <c r="D465" s="196" t="s">
        <v>12187</v>
      </c>
      <c r="E465" s="196" t="s">
        <v>12187</v>
      </c>
      <c r="F465" s="196" t="s">
        <v>11233</v>
      </c>
      <c r="G465" s="196" t="s">
        <v>11962</v>
      </c>
      <c r="H465" s="196" t="s">
        <v>11235</v>
      </c>
    </row>
    <row r="466" spans="1:8" x14ac:dyDescent="0.15">
      <c r="A466" s="196" t="s">
        <v>11229</v>
      </c>
      <c r="B466" s="196" t="s">
        <v>11230</v>
      </c>
      <c r="C466" s="196" t="s">
        <v>12188</v>
      </c>
      <c r="D466" s="196" t="s">
        <v>12189</v>
      </c>
      <c r="E466" s="196" t="s">
        <v>12190</v>
      </c>
      <c r="F466" s="196" t="s">
        <v>11241</v>
      </c>
      <c r="G466" s="196" t="s">
        <v>11962</v>
      </c>
      <c r="H466" s="196" t="s">
        <v>11235</v>
      </c>
    </row>
    <row r="467" spans="1:8" x14ac:dyDescent="0.15">
      <c r="A467" s="196" t="s">
        <v>11229</v>
      </c>
      <c r="B467" s="196" t="s">
        <v>11230</v>
      </c>
      <c r="C467" s="196" t="s">
        <v>12191</v>
      </c>
      <c r="D467" s="196" t="s">
        <v>12192</v>
      </c>
      <c r="E467" s="196" t="s">
        <v>12192</v>
      </c>
      <c r="F467" s="196" t="s">
        <v>11233</v>
      </c>
      <c r="G467" s="196" t="s">
        <v>11962</v>
      </c>
      <c r="H467" s="196" t="s">
        <v>11235</v>
      </c>
    </row>
    <row r="468" spans="1:8" x14ac:dyDescent="0.15">
      <c r="A468" s="196" t="s">
        <v>11229</v>
      </c>
      <c r="B468" s="196" t="s">
        <v>11230</v>
      </c>
      <c r="C468" s="196" t="s">
        <v>12193</v>
      </c>
      <c r="D468" s="196" t="s">
        <v>12194</v>
      </c>
      <c r="E468" s="196" t="s">
        <v>12194</v>
      </c>
      <c r="F468" s="196" t="s">
        <v>11233</v>
      </c>
      <c r="G468" s="196" t="s">
        <v>11962</v>
      </c>
      <c r="H468" s="196" t="s">
        <v>11235</v>
      </c>
    </row>
    <row r="469" spans="1:8" x14ac:dyDescent="0.15">
      <c r="A469" s="196" t="s">
        <v>11229</v>
      </c>
      <c r="B469" s="196" t="s">
        <v>11230</v>
      </c>
      <c r="C469" s="196" t="s">
        <v>12195</v>
      </c>
      <c r="D469" s="196" t="s">
        <v>12196</v>
      </c>
      <c r="E469" s="196" t="s">
        <v>12196</v>
      </c>
      <c r="F469" s="196" t="s">
        <v>11233</v>
      </c>
      <c r="G469" s="196" t="s">
        <v>11962</v>
      </c>
      <c r="H469" s="196" t="s">
        <v>11235</v>
      </c>
    </row>
    <row r="470" spans="1:8" x14ac:dyDescent="0.15">
      <c r="A470" s="196" t="s">
        <v>11229</v>
      </c>
      <c r="B470" s="196" t="s">
        <v>11230</v>
      </c>
      <c r="C470" s="196" t="s">
        <v>12197</v>
      </c>
      <c r="D470" s="196" t="s">
        <v>12198</v>
      </c>
      <c r="E470" s="196" t="s">
        <v>12198</v>
      </c>
      <c r="F470" s="196" t="s">
        <v>11233</v>
      </c>
      <c r="G470" s="196" t="s">
        <v>11720</v>
      </c>
      <c r="H470" s="196" t="s">
        <v>11235</v>
      </c>
    </row>
    <row r="471" spans="1:8" x14ac:dyDescent="0.15">
      <c r="A471" s="196" t="s">
        <v>11229</v>
      </c>
      <c r="B471" s="196" t="s">
        <v>11230</v>
      </c>
      <c r="C471" s="196" t="s">
        <v>12199</v>
      </c>
      <c r="D471" s="196" t="s">
        <v>12198</v>
      </c>
      <c r="E471" s="196" t="s">
        <v>12144</v>
      </c>
      <c r="F471" s="196" t="s">
        <v>11241</v>
      </c>
      <c r="G471" s="196" t="s">
        <v>11234</v>
      </c>
      <c r="H471" s="196" t="s">
        <v>11235</v>
      </c>
    </row>
    <row r="472" spans="1:8" x14ac:dyDescent="0.15">
      <c r="A472" s="196" t="s">
        <v>11229</v>
      </c>
      <c r="B472" s="196" t="s">
        <v>11230</v>
      </c>
      <c r="C472" s="196" t="s">
        <v>12200</v>
      </c>
      <c r="D472" s="196" t="s">
        <v>12144</v>
      </c>
      <c r="E472" s="196" t="s">
        <v>12201</v>
      </c>
      <c r="F472" s="196" t="s">
        <v>12202</v>
      </c>
      <c r="G472" s="196" t="s">
        <v>11449</v>
      </c>
      <c r="H472" s="196" t="s">
        <v>11235</v>
      </c>
    </row>
    <row r="473" spans="1:8" x14ac:dyDescent="0.15">
      <c r="A473" s="196" t="s">
        <v>11229</v>
      </c>
      <c r="B473" s="196" t="s">
        <v>11230</v>
      </c>
      <c r="C473" s="196" t="s">
        <v>12203</v>
      </c>
      <c r="D473" s="196" t="s">
        <v>12204</v>
      </c>
      <c r="E473" s="196" t="s">
        <v>12205</v>
      </c>
      <c r="F473" s="196" t="s">
        <v>11241</v>
      </c>
      <c r="G473" s="196" t="s">
        <v>11962</v>
      </c>
      <c r="H473" s="196" t="s">
        <v>11235</v>
      </c>
    </row>
    <row r="474" spans="1:8" x14ac:dyDescent="0.15">
      <c r="A474" s="196" t="s">
        <v>11229</v>
      </c>
      <c r="B474" s="196" t="s">
        <v>11230</v>
      </c>
      <c r="C474" s="196" t="s">
        <v>12206</v>
      </c>
      <c r="D474" s="196" t="s">
        <v>12207</v>
      </c>
      <c r="E474" s="196" t="s">
        <v>12207</v>
      </c>
      <c r="F474" s="196" t="s">
        <v>11233</v>
      </c>
      <c r="G474" s="196" t="s">
        <v>11720</v>
      </c>
      <c r="H474" s="196" t="s">
        <v>11235</v>
      </c>
    </row>
    <row r="475" spans="1:8" x14ac:dyDescent="0.15">
      <c r="A475" s="196" t="s">
        <v>11229</v>
      </c>
      <c r="B475" s="196" t="s">
        <v>11230</v>
      </c>
      <c r="C475" s="196" t="s">
        <v>12208</v>
      </c>
      <c r="D475" s="196" t="s">
        <v>12209</v>
      </c>
      <c r="E475" s="196" t="s">
        <v>12209</v>
      </c>
      <c r="F475" s="196" t="s">
        <v>11233</v>
      </c>
      <c r="G475" s="196" t="s">
        <v>11234</v>
      </c>
      <c r="H475" s="196" t="s">
        <v>11235</v>
      </c>
    </row>
    <row r="476" spans="1:8" x14ac:dyDescent="0.15">
      <c r="A476" s="196" t="s">
        <v>11229</v>
      </c>
      <c r="B476" s="196" t="s">
        <v>11230</v>
      </c>
      <c r="C476" s="196" t="s">
        <v>12210</v>
      </c>
      <c r="D476" s="196" t="s">
        <v>12211</v>
      </c>
      <c r="E476" s="196" t="s">
        <v>12212</v>
      </c>
      <c r="F476" s="196" t="s">
        <v>11241</v>
      </c>
      <c r="G476" s="196" t="s">
        <v>11962</v>
      </c>
      <c r="H476" s="196" t="s">
        <v>11235</v>
      </c>
    </row>
    <row r="477" spans="1:8" x14ac:dyDescent="0.15">
      <c r="A477" s="196" t="s">
        <v>11229</v>
      </c>
      <c r="B477" s="196" t="s">
        <v>11230</v>
      </c>
      <c r="C477" s="196" t="s">
        <v>12213</v>
      </c>
      <c r="D477" s="196" t="s">
        <v>12212</v>
      </c>
      <c r="E477" s="196" t="s">
        <v>12212</v>
      </c>
      <c r="F477" s="196" t="s">
        <v>11233</v>
      </c>
      <c r="G477" s="196" t="s">
        <v>11720</v>
      </c>
      <c r="H477" s="196" t="s">
        <v>11235</v>
      </c>
    </row>
    <row r="478" spans="1:8" x14ac:dyDescent="0.15">
      <c r="A478" s="196" t="s">
        <v>11229</v>
      </c>
      <c r="B478" s="196" t="s">
        <v>11230</v>
      </c>
      <c r="C478" s="196" t="s">
        <v>12214</v>
      </c>
      <c r="D478" s="196" t="s">
        <v>12215</v>
      </c>
      <c r="E478" s="196" t="s">
        <v>12215</v>
      </c>
      <c r="F478" s="196" t="s">
        <v>11233</v>
      </c>
      <c r="G478" s="196" t="s">
        <v>11234</v>
      </c>
      <c r="H478" s="196" t="s">
        <v>11235</v>
      </c>
    </row>
    <row r="479" spans="1:8" x14ac:dyDescent="0.15">
      <c r="A479" s="196" t="s">
        <v>11229</v>
      </c>
      <c r="B479" s="196" t="s">
        <v>11230</v>
      </c>
      <c r="C479" s="196" t="s">
        <v>12216</v>
      </c>
      <c r="D479" s="196" t="s">
        <v>12217</v>
      </c>
      <c r="E479" s="196" t="s">
        <v>12217</v>
      </c>
      <c r="F479" s="196" t="s">
        <v>11233</v>
      </c>
      <c r="G479" s="196" t="s">
        <v>11234</v>
      </c>
      <c r="H479" s="196" t="s">
        <v>11235</v>
      </c>
    </row>
    <row r="480" spans="1:8" x14ac:dyDescent="0.15">
      <c r="A480" s="196" t="s">
        <v>11229</v>
      </c>
      <c r="B480" s="196" t="s">
        <v>11230</v>
      </c>
      <c r="C480" s="196" t="s">
        <v>12218</v>
      </c>
      <c r="D480" s="196" t="s">
        <v>12219</v>
      </c>
      <c r="E480" s="196" t="s">
        <v>12219</v>
      </c>
      <c r="F480" s="196" t="s">
        <v>11233</v>
      </c>
      <c r="G480" s="196" t="s">
        <v>11234</v>
      </c>
      <c r="H480" s="196" t="s">
        <v>11235</v>
      </c>
    </row>
    <row r="481" spans="1:8" x14ac:dyDescent="0.15">
      <c r="A481" s="196" t="s">
        <v>11229</v>
      </c>
      <c r="B481" s="196" t="s">
        <v>11230</v>
      </c>
      <c r="C481" s="196" t="s">
        <v>12220</v>
      </c>
      <c r="D481" s="196" t="s">
        <v>12221</v>
      </c>
      <c r="E481" s="196" t="s">
        <v>12221</v>
      </c>
      <c r="F481" s="196" t="s">
        <v>11233</v>
      </c>
      <c r="G481" s="196" t="s">
        <v>11234</v>
      </c>
      <c r="H481" s="196" t="s">
        <v>11235</v>
      </c>
    </row>
    <row r="482" spans="1:8" x14ac:dyDescent="0.15">
      <c r="A482" s="196" t="s">
        <v>11229</v>
      </c>
      <c r="B482" s="196" t="s">
        <v>11230</v>
      </c>
      <c r="C482" s="196" t="s">
        <v>12222</v>
      </c>
      <c r="D482" s="196" t="s">
        <v>12223</v>
      </c>
      <c r="E482" s="196" t="s">
        <v>12223</v>
      </c>
      <c r="F482" s="196" t="s">
        <v>11233</v>
      </c>
      <c r="G482" s="196" t="s">
        <v>11234</v>
      </c>
      <c r="H482" s="196" t="s">
        <v>11235</v>
      </c>
    </row>
    <row r="483" spans="1:8" x14ac:dyDescent="0.15">
      <c r="A483" s="196" t="s">
        <v>11229</v>
      </c>
      <c r="B483" s="196" t="s">
        <v>11230</v>
      </c>
      <c r="C483" s="196" t="s">
        <v>12224</v>
      </c>
      <c r="D483" s="196" t="s">
        <v>12201</v>
      </c>
      <c r="E483" s="196" t="s">
        <v>12201</v>
      </c>
      <c r="F483" s="196" t="s">
        <v>11233</v>
      </c>
      <c r="G483" s="196" t="s">
        <v>11720</v>
      </c>
      <c r="H483" s="196" t="s">
        <v>11235</v>
      </c>
    </row>
    <row r="484" spans="1:8" x14ac:dyDescent="0.15">
      <c r="A484" s="196" t="s">
        <v>11229</v>
      </c>
      <c r="B484" s="196" t="s">
        <v>11230</v>
      </c>
      <c r="C484" s="196" t="s">
        <v>12225</v>
      </c>
      <c r="D484" s="196" t="s">
        <v>12201</v>
      </c>
      <c r="E484" s="196" t="s">
        <v>12201</v>
      </c>
      <c r="F484" s="196" t="s">
        <v>11233</v>
      </c>
      <c r="G484" s="196" t="s">
        <v>11962</v>
      </c>
      <c r="H484" s="196" t="s">
        <v>11235</v>
      </c>
    </row>
    <row r="485" spans="1:8" x14ac:dyDescent="0.15">
      <c r="A485" s="196" t="s">
        <v>11229</v>
      </c>
      <c r="B485" s="196" t="s">
        <v>11230</v>
      </c>
      <c r="C485" s="196" t="s">
        <v>12226</v>
      </c>
      <c r="D485" s="196" t="s">
        <v>12227</v>
      </c>
      <c r="E485" s="196" t="s">
        <v>12227</v>
      </c>
      <c r="F485" s="196" t="s">
        <v>11233</v>
      </c>
      <c r="G485" s="196" t="s">
        <v>11234</v>
      </c>
      <c r="H485" s="196" t="s">
        <v>11235</v>
      </c>
    </row>
    <row r="486" spans="1:8" x14ac:dyDescent="0.15">
      <c r="A486" s="196" t="s">
        <v>11229</v>
      </c>
      <c r="B486" s="196" t="s">
        <v>11230</v>
      </c>
      <c r="C486" s="196" t="s">
        <v>12228</v>
      </c>
      <c r="D486" s="196" t="s">
        <v>12229</v>
      </c>
      <c r="E486" s="196" t="s">
        <v>12229</v>
      </c>
      <c r="F486" s="196" t="s">
        <v>11233</v>
      </c>
      <c r="G486" s="196" t="s">
        <v>11234</v>
      </c>
      <c r="H486" s="196" t="s">
        <v>11235</v>
      </c>
    </row>
    <row r="487" spans="1:8" x14ac:dyDescent="0.15">
      <c r="A487" s="196" t="s">
        <v>11229</v>
      </c>
      <c r="B487" s="196" t="s">
        <v>11230</v>
      </c>
      <c r="C487" s="196" t="s">
        <v>12230</v>
      </c>
      <c r="D487" s="196" t="s">
        <v>12231</v>
      </c>
      <c r="E487" s="196" t="s">
        <v>12231</v>
      </c>
      <c r="F487" s="196" t="s">
        <v>11233</v>
      </c>
      <c r="G487" s="196" t="s">
        <v>11234</v>
      </c>
      <c r="H487" s="196" t="s">
        <v>11235</v>
      </c>
    </row>
    <row r="488" spans="1:8" x14ac:dyDescent="0.15">
      <c r="A488" s="196" t="s">
        <v>11229</v>
      </c>
      <c r="B488" s="196" t="s">
        <v>11230</v>
      </c>
      <c r="C488" s="196" t="s">
        <v>12232</v>
      </c>
      <c r="D488" s="196" t="s">
        <v>12233</v>
      </c>
      <c r="E488" s="196" t="s">
        <v>12233</v>
      </c>
      <c r="F488" s="196" t="s">
        <v>11233</v>
      </c>
      <c r="G488" s="196" t="s">
        <v>11234</v>
      </c>
      <c r="H488" s="196" t="s">
        <v>11235</v>
      </c>
    </row>
    <row r="489" spans="1:8" x14ac:dyDescent="0.15">
      <c r="A489" s="196" t="s">
        <v>11229</v>
      </c>
      <c r="B489" s="196" t="s">
        <v>11230</v>
      </c>
      <c r="C489" s="196" t="s">
        <v>12234</v>
      </c>
      <c r="D489" s="196" t="s">
        <v>12235</v>
      </c>
      <c r="E489" s="196" t="s">
        <v>12235</v>
      </c>
      <c r="F489" s="196" t="s">
        <v>11233</v>
      </c>
      <c r="G489" s="196" t="s">
        <v>11720</v>
      </c>
      <c r="H489" s="196" t="s">
        <v>11235</v>
      </c>
    </row>
    <row r="490" spans="1:8" x14ac:dyDescent="0.15">
      <c r="A490" s="196" t="s">
        <v>11229</v>
      </c>
      <c r="B490" s="196" t="s">
        <v>11230</v>
      </c>
      <c r="C490" s="196" t="s">
        <v>12236</v>
      </c>
      <c r="D490" s="196" t="s">
        <v>12235</v>
      </c>
      <c r="E490" s="196" t="s">
        <v>12237</v>
      </c>
      <c r="F490" s="196" t="s">
        <v>11241</v>
      </c>
      <c r="G490" s="196" t="s">
        <v>11962</v>
      </c>
      <c r="H490" s="196" t="s">
        <v>11235</v>
      </c>
    </row>
    <row r="491" spans="1:8" x14ac:dyDescent="0.15">
      <c r="A491" s="196" t="s">
        <v>11229</v>
      </c>
      <c r="B491" s="196" t="s">
        <v>11230</v>
      </c>
      <c r="C491" s="196" t="s">
        <v>12238</v>
      </c>
      <c r="D491" s="196" t="s">
        <v>12237</v>
      </c>
      <c r="E491" s="196" t="s">
        <v>12239</v>
      </c>
      <c r="F491" s="196" t="s">
        <v>11268</v>
      </c>
      <c r="G491" s="196" t="s">
        <v>11449</v>
      </c>
      <c r="H491" s="196" t="s">
        <v>11235</v>
      </c>
    </row>
    <row r="492" spans="1:8" x14ac:dyDescent="0.15">
      <c r="A492" s="196" t="s">
        <v>11229</v>
      </c>
      <c r="B492" s="196" t="s">
        <v>11230</v>
      </c>
      <c r="C492" s="196" t="s">
        <v>12240</v>
      </c>
      <c r="D492" s="196" t="s">
        <v>12241</v>
      </c>
      <c r="E492" s="196" t="s">
        <v>12242</v>
      </c>
      <c r="F492" s="196" t="s">
        <v>11241</v>
      </c>
      <c r="G492" s="196" t="s">
        <v>11234</v>
      </c>
      <c r="H492" s="196" t="s">
        <v>11235</v>
      </c>
    </row>
    <row r="493" spans="1:8" x14ac:dyDescent="0.15">
      <c r="A493" s="196" t="s">
        <v>11229</v>
      </c>
      <c r="B493" s="196" t="s">
        <v>11230</v>
      </c>
      <c r="C493" s="196" t="s">
        <v>12243</v>
      </c>
      <c r="D493" s="196" t="s">
        <v>12244</v>
      </c>
      <c r="E493" s="196" t="s">
        <v>12244</v>
      </c>
      <c r="F493" s="196" t="s">
        <v>11233</v>
      </c>
      <c r="G493" s="196" t="s">
        <v>11720</v>
      </c>
      <c r="H493" s="196" t="s">
        <v>11235</v>
      </c>
    </row>
    <row r="494" spans="1:8" x14ac:dyDescent="0.15">
      <c r="A494" s="196" t="s">
        <v>11229</v>
      </c>
      <c r="B494" s="196" t="s">
        <v>11230</v>
      </c>
      <c r="C494" s="196" t="s">
        <v>12245</v>
      </c>
      <c r="D494" s="196" t="s">
        <v>12244</v>
      </c>
      <c r="E494" s="196" t="s">
        <v>12244</v>
      </c>
      <c r="F494" s="196" t="s">
        <v>11233</v>
      </c>
      <c r="G494" s="196" t="s">
        <v>11449</v>
      </c>
      <c r="H494" s="196" t="s">
        <v>11235</v>
      </c>
    </row>
    <row r="495" spans="1:8" x14ac:dyDescent="0.15">
      <c r="A495" s="196" t="s">
        <v>11229</v>
      </c>
      <c r="B495" s="196" t="s">
        <v>11230</v>
      </c>
      <c r="C495" s="196" t="s">
        <v>12246</v>
      </c>
      <c r="D495" s="196" t="s">
        <v>12244</v>
      </c>
      <c r="E495" s="196" t="s">
        <v>12244</v>
      </c>
      <c r="F495" s="196" t="s">
        <v>11233</v>
      </c>
      <c r="G495" s="196" t="s">
        <v>11962</v>
      </c>
      <c r="H495" s="196" t="s">
        <v>11235</v>
      </c>
    </row>
    <row r="496" spans="1:8" x14ac:dyDescent="0.15">
      <c r="A496" s="196" t="s">
        <v>11229</v>
      </c>
      <c r="B496" s="196" t="s">
        <v>11230</v>
      </c>
      <c r="C496" s="196" t="s">
        <v>12247</v>
      </c>
      <c r="D496" s="196" t="s">
        <v>12248</v>
      </c>
      <c r="E496" s="196" t="s">
        <v>12249</v>
      </c>
      <c r="F496" s="196" t="s">
        <v>11241</v>
      </c>
      <c r="G496" s="196" t="s">
        <v>11720</v>
      </c>
      <c r="H496" s="196" t="s">
        <v>11235</v>
      </c>
    </row>
    <row r="497" spans="1:8" x14ac:dyDescent="0.15">
      <c r="A497" s="196" t="s">
        <v>11229</v>
      </c>
      <c r="B497" s="196" t="s">
        <v>11230</v>
      </c>
      <c r="C497" s="196" t="s">
        <v>12250</v>
      </c>
      <c r="D497" s="196" t="s">
        <v>12248</v>
      </c>
      <c r="E497" s="196" t="s">
        <v>12249</v>
      </c>
      <c r="F497" s="196" t="s">
        <v>11241</v>
      </c>
      <c r="G497" s="196" t="s">
        <v>11449</v>
      </c>
      <c r="H497" s="196" t="s">
        <v>11235</v>
      </c>
    </row>
    <row r="498" spans="1:8" x14ac:dyDescent="0.15">
      <c r="A498" s="196" t="s">
        <v>11229</v>
      </c>
      <c r="B498" s="196" t="s">
        <v>11230</v>
      </c>
      <c r="C498" s="196" t="s">
        <v>12251</v>
      </c>
      <c r="D498" s="196" t="s">
        <v>12252</v>
      </c>
      <c r="E498" s="196" t="s">
        <v>12252</v>
      </c>
      <c r="F498" s="196" t="s">
        <v>11233</v>
      </c>
      <c r="G498" s="196" t="s">
        <v>11720</v>
      </c>
      <c r="H498" s="196" t="s">
        <v>11235</v>
      </c>
    </row>
    <row r="499" spans="1:8" x14ac:dyDescent="0.15">
      <c r="A499" s="196" t="s">
        <v>11229</v>
      </c>
      <c r="B499" s="196" t="s">
        <v>11230</v>
      </c>
      <c r="C499" s="196" t="s">
        <v>12253</v>
      </c>
      <c r="D499" s="196" t="s">
        <v>12252</v>
      </c>
      <c r="E499" s="196" t="s">
        <v>12252</v>
      </c>
      <c r="F499" s="196" t="s">
        <v>11233</v>
      </c>
      <c r="G499" s="196" t="s">
        <v>11449</v>
      </c>
      <c r="H499" s="196" t="s">
        <v>11235</v>
      </c>
    </row>
    <row r="500" spans="1:8" x14ac:dyDescent="0.15">
      <c r="A500" s="196" t="s">
        <v>11229</v>
      </c>
      <c r="B500" s="196" t="s">
        <v>11230</v>
      </c>
      <c r="C500" s="196" t="s">
        <v>12254</v>
      </c>
      <c r="D500" s="196" t="s">
        <v>12255</v>
      </c>
      <c r="E500" s="196" t="s">
        <v>12255</v>
      </c>
      <c r="F500" s="196" t="s">
        <v>11233</v>
      </c>
      <c r="G500" s="196" t="s">
        <v>11720</v>
      </c>
      <c r="H500" s="196" t="s">
        <v>11235</v>
      </c>
    </row>
    <row r="501" spans="1:8" x14ac:dyDescent="0.15">
      <c r="A501" s="196" t="s">
        <v>11229</v>
      </c>
      <c r="B501" s="196" t="s">
        <v>11230</v>
      </c>
      <c r="C501" s="196" t="s">
        <v>12256</v>
      </c>
      <c r="D501" s="196" t="s">
        <v>12255</v>
      </c>
      <c r="E501" s="196" t="s">
        <v>12255</v>
      </c>
      <c r="F501" s="196" t="s">
        <v>11233</v>
      </c>
      <c r="G501" s="196" t="s">
        <v>11449</v>
      </c>
      <c r="H501" s="196" t="s">
        <v>11235</v>
      </c>
    </row>
    <row r="502" spans="1:8" x14ac:dyDescent="0.15">
      <c r="A502" s="196" t="s">
        <v>11229</v>
      </c>
      <c r="B502" s="196" t="s">
        <v>11230</v>
      </c>
      <c r="C502" s="196" t="s">
        <v>12257</v>
      </c>
      <c r="D502" s="196" t="s">
        <v>12258</v>
      </c>
      <c r="E502" s="196" t="s">
        <v>12258</v>
      </c>
      <c r="F502" s="196" t="s">
        <v>11233</v>
      </c>
      <c r="G502" s="196" t="s">
        <v>11449</v>
      </c>
      <c r="H502" s="196" t="s">
        <v>11235</v>
      </c>
    </row>
    <row r="503" spans="1:8" x14ac:dyDescent="0.15">
      <c r="A503" s="196" t="s">
        <v>11229</v>
      </c>
      <c r="B503" s="196" t="s">
        <v>11230</v>
      </c>
      <c r="C503" s="196" t="s">
        <v>12259</v>
      </c>
      <c r="D503" s="196" t="s">
        <v>12260</v>
      </c>
      <c r="E503" s="196" t="s">
        <v>12260</v>
      </c>
      <c r="F503" s="196" t="s">
        <v>11233</v>
      </c>
      <c r="G503" s="196" t="s">
        <v>11234</v>
      </c>
      <c r="H503" s="196" t="s">
        <v>11235</v>
      </c>
    </row>
    <row r="504" spans="1:8" x14ac:dyDescent="0.15">
      <c r="A504" s="196" t="s">
        <v>11229</v>
      </c>
      <c r="B504" s="196" t="s">
        <v>11230</v>
      </c>
      <c r="C504" s="196" t="s">
        <v>12261</v>
      </c>
      <c r="D504" s="196" t="s">
        <v>12262</v>
      </c>
      <c r="E504" s="196" t="s">
        <v>12262</v>
      </c>
      <c r="F504" s="196" t="s">
        <v>11233</v>
      </c>
      <c r="G504" s="196" t="s">
        <v>11234</v>
      </c>
      <c r="H504" s="196" t="s">
        <v>11235</v>
      </c>
    </row>
    <row r="505" spans="1:8" x14ac:dyDescent="0.15">
      <c r="A505" s="196" t="s">
        <v>11229</v>
      </c>
      <c r="B505" s="196" t="s">
        <v>11230</v>
      </c>
      <c r="C505" s="196" t="s">
        <v>12263</v>
      </c>
      <c r="D505" s="196" t="s">
        <v>12264</v>
      </c>
      <c r="E505" s="196" t="s">
        <v>12265</v>
      </c>
      <c r="F505" s="196" t="s">
        <v>11268</v>
      </c>
      <c r="G505" s="196" t="s">
        <v>11234</v>
      </c>
      <c r="H505" s="196" t="s">
        <v>11235</v>
      </c>
    </row>
    <row r="506" spans="1:8" x14ac:dyDescent="0.15">
      <c r="A506" s="196" t="s">
        <v>11229</v>
      </c>
      <c r="B506" s="196" t="s">
        <v>11230</v>
      </c>
      <c r="C506" s="196" t="s">
        <v>12266</v>
      </c>
      <c r="D506" s="196" t="s">
        <v>12265</v>
      </c>
      <c r="E506" s="196" t="s">
        <v>12267</v>
      </c>
      <c r="F506" s="196" t="s">
        <v>11241</v>
      </c>
      <c r="G506" s="196" t="s">
        <v>11234</v>
      </c>
      <c r="H506" s="196" t="s">
        <v>11235</v>
      </c>
    </row>
    <row r="507" spans="1:8" x14ac:dyDescent="0.15">
      <c r="A507" s="196" t="s">
        <v>11229</v>
      </c>
      <c r="B507" s="196" t="s">
        <v>11230</v>
      </c>
      <c r="C507" s="196" t="s">
        <v>12268</v>
      </c>
      <c r="D507" s="196" t="s">
        <v>12267</v>
      </c>
      <c r="E507" s="196" t="s">
        <v>12269</v>
      </c>
      <c r="F507" s="196" t="s">
        <v>11268</v>
      </c>
      <c r="G507" s="196" t="s">
        <v>11234</v>
      </c>
      <c r="H507" s="196" t="s">
        <v>11235</v>
      </c>
    </row>
    <row r="508" spans="1:8" x14ac:dyDescent="0.15">
      <c r="A508" s="196" t="s">
        <v>11229</v>
      </c>
      <c r="B508" s="196" t="s">
        <v>11230</v>
      </c>
      <c r="C508" s="196" t="s">
        <v>12270</v>
      </c>
      <c r="D508" s="196" t="s">
        <v>12271</v>
      </c>
      <c r="E508" s="196" t="s">
        <v>12271</v>
      </c>
      <c r="F508" s="196" t="s">
        <v>11233</v>
      </c>
      <c r="G508" s="196" t="s">
        <v>11234</v>
      </c>
      <c r="H508" s="196" t="s">
        <v>11235</v>
      </c>
    </row>
    <row r="509" spans="1:8" x14ac:dyDescent="0.15">
      <c r="A509" s="196" t="s">
        <v>11229</v>
      </c>
      <c r="B509" s="196" t="s">
        <v>11230</v>
      </c>
      <c r="C509" s="196" t="s">
        <v>12272</v>
      </c>
      <c r="D509" s="196" t="s">
        <v>12273</v>
      </c>
      <c r="E509" s="196" t="s">
        <v>12273</v>
      </c>
      <c r="F509" s="196" t="s">
        <v>11233</v>
      </c>
      <c r="G509" s="196" t="s">
        <v>11234</v>
      </c>
      <c r="H509" s="196" t="s">
        <v>11235</v>
      </c>
    </row>
    <row r="510" spans="1:8" x14ac:dyDescent="0.15">
      <c r="A510" s="196" t="s">
        <v>11229</v>
      </c>
      <c r="B510" s="196" t="s">
        <v>11230</v>
      </c>
      <c r="C510" s="196" t="s">
        <v>12274</v>
      </c>
      <c r="D510" s="196" t="s">
        <v>12275</v>
      </c>
      <c r="E510" s="196" t="s">
        <v>12275</v>
      </c>
      <c r="F510" s="196" t="s">
        <v>11233</v>
      </c>
      <c r="G510" s="196" t="s">
        <v>11234</v>
      </c>
      <c r="H510" s="196" t="s">
        <v>11235</v>
      </c>
    </row>
    <row r="511" spans="1:8" x14ac:dyDescent="0.15">
      <c r="A511" s="196" t="s">
        <v>11229</v>
      </c>
      <c r="B511" s="196" t="s">
        <v>11230</v>
      </c>
      <c r="C511" s="196" t="s">
        <v>12276</v>
      </c>
      <c r="D511" s="196" t="s">
        <v>12277</v>
      </c>
      <c r="E511" s="196" t="s">
        <v>12277</v>
      </c>
      <c r="F511" s="196" t="s">
        <v>11233</v>
      </c>
      <c r="G511" s="196" t="s">
        <v>11234</v>
      </c>
      <c r="H511" s="196" t="s">
        <v>11235</v>
      </c>
    </row>
    <row r="512" spans="1:8" x14ac:dyDescent="0.15">
      <c r="A512" s="196" t="s">
        <v>11229</v>
      </c>
      <c r="B512" s="196" t="s">
        <v>11230</v>
      </c>
      <c r="C512" s="196" t="s">
        <v>12278</v>
      </c>
      <c r="D512" s="196" t="s">
        <v>12279</v>
      </c>
      <c r="E512" s="196" t="s">
        <v>12280</v>
      </c>
      <c r="F512" s="196" t="s">
        <v>11268</v>
      </c>
      <c r="G512" s="196" t="s">
        <v>11962</v>
      </c>
      <c r="H512" s="196" t="s">
        <v>11235</v>
      </c>
    </row>
    <row r="513" spans="1:8" x14ac:dyDescent="0.15">
      <c r="A513" s="196" t="s">
        <v>11229</v>
      </c>
      <c r="B513" s="196" t="s">
        <v>11230</v>
      </c>
      <c r="C513" s="196" t="s">
        <v>12281</v>
      </c>
      <c r="D513" s="196" t="s">
        <v>12282</v>
      </c>
      <c r="E513" s="196" t="s">
        <v>12282</v>
      </c>
      <c r="F513" s="196" t="s">
        <v>11233</v>
      </c>
      <c r="G513" s="196" t="s">
        <v>11962</v>
      </c>
      <c r="H513" s="196" t="s">
        <v>11235</v>
      </c>
    </row>
    <row r="514" spans="1:8" x14ac:dyDescent="0.15">
      <c r="A514" s="196" t="s">
        <v>11229</v>
      </c>
      <c r="B514" s="196" t="s">
        <v>11230</v>
      </c>
      <c r="C514" s="196" t="s">
        <v>12283</v>
      </c>
      <c r="D514" s="196" t="s">
        <v>12284</v>
      </c>
      <c r="E514" s="196" t="s">
        <v>12284</v>
      </c>
      <c r="F514" s="196" t="s">
        <v>11233</v>
      </c>
      <c r="G514" s="196" t="s">
        <v>11962</v>
      </c>
      <c r="H514" s="196" t="s">
        <v>11235</v>
      </c>
    </row>
    <row r="515" spans="1:8" x14ac:dyDescent="0.15">
      <c r="A515" s="196" t="s">
        <v>11229</v>
      </c>
      <c r="B515" s="196" t="s">
        <v>11230</v>
      </c>
      <c r="C515" s="196" t="s">
        <v>12285</v>
      </c>
      <c r="D515" s="196" t="s">
        <v>12284</v>
      </c>
      <c r="E515" s="196" t="s">
        <v>12284</v>
      </c>
      <c r="F515" s="196" t="s">
        <v>11233</v>
      </c>
      <c r="G515" s="196" t="s">
        <v>11720</v>
      </c>
      <c r="H515" s="196" t="s">
        <v>11235</v>
      </c>
    </row>
    <row r="516" spans="1:8" x14ac:dyDescent="0.15">
      <c r="A516" s="196" t="s">
        <v>11229</v>
      </c>
      <c r="B516" s="196" t="s">
        <v>11230</v>
      </c>
      <c r="C516" s="196" t="s">
        <v>12286</v>
      </c>
      <c r="D516" s="196" t="s">
        <v>12287</v>
      </c>
      <c r="E516" s="196" t="s">
        <v>12287</v>
      </c>
      <c r="F516" s="196" t="s">
        <v>11233</v>
      </c>
      <c r="G516" s="196" t="s">
        <v>11962</v>
      </c>
      <c r="H516" s="196" t="s">
        <v>11235</v>
      </c>
    </row>
    <row r="517" spans="1:8" x14ac:dyDescent="0.15">
      <c r="A517" s="196" t="s">
        <v>11229</v>
      </c>
      <c r="B517" s="196" t="s">
        <v>11230</v>
      </c>
      <c r="C517" s="196" t="s">
        <v>12288</v>
      </c>
      <c r="D517" s="196" t="s">
        <v>12287</v>
      </c>
      <c r="E517" s="196" t="s">
        <v>12287</v>
      </c>
      <c r="F517" s="196" t="s">
        <v>11233</v>
      </c>
      <c r="G517" s="196" t="s">
        <v>11449</v>
      </c>
      <c r="H517" s="196" t="s">
        <v>11235</v>
      </c>
    </row>
    <row r="518" spans="1:8" x14ac:dyDescent="0.15">
      <c r="A518" s="196" t="s">
        <v>11229</v>
      </c>
      <c r="B518" s="196" t="s">
        <v>11230</v>
      </c>
      <c r="C518" s="196" t="s">
        <v>12289</v>
      </c>
      <c r="D518" s="196" t="s">
        <v>12290</v>
      </c>
      <c r="E518" s="196" t="s">
        <v>12290</v>
      </c>
      <c r="F518" s="196" t="s">
        <v>11233</v>
      </c>
      <c r="G518" s="196" t="s">
        <v>11234</v>
      </c>
      <c r="H518" s="196" t="s">
        <v>11235</v>
      </c>
    </row>
    <row r="519" spans="1:8" x14ac:dyDescent="0.15">
      <c r="A519" s="196" t="s">
        <v>11229</v>
      </c>
      <c r="B519" s="196" t="s">
        <v>11230</v>
      </c>
      <c r="C519" s="196" t="s">
        <v>12291</v>
      </c>
      <c r="D519" s="196" t="s">
        <v>12292</v>
      </c>
      <c r="E519" s="196" t="s">
        <v>12292</v>
      </c>
      <c r="F519" s="196" t="s">
        <v>11233</v>
      </c>
      <c r="G519" s="196" t="s">
        <v>11234</v>
      </c>
      <c r="H519" s="196" t="s">
        <v>11235</v>
      </c>
    </row>
    <row r="520" spans="1:8" x14ac:dyDescent="0.15">
      <c r="A520" s="196" t="s">
        <v>11229</v>
      </c>
      <c r="B520" s="196" t="s">
        <v>11230</v>
      </c>
      <c r="C520" s="196" t="s">
        <v>12293</v>
      </c>
      <c r="D520" s="196" t="s">
        <v>12294</v>
      </c>
      <c r="E520" s="196" t="s">
        <v>12294</v>
      </c>
      <c r="F520" s="196" t="s">
        <v>11233</v>
      </c>
      <c r="G520" s="196" t="s">
        <v>11720</v>
      </c>
      <c r="H520" s="196" t="s">
        <v>11235</v>
      </c>
    </row>
    <row r="521" spans="1:8" x14ac:dyDescent="0.15">
      <c r="A521" s="196" t="s">
        <v>11229</v>
      </c>
      <c r="B521" s="196" t="s">
        <v>11230</v>
      </c>
      <c r="C521" s="196" t="s">
        <v>12295</v>
      </c>
      <c r="D521" s="196" t="s">
        <v>12296</v>
      </c>
      <c r="E521" s="196" t="s">
        <v>12297</v>
      </c>
      <c r="F521" s="196" t="s">
        <v>11241</v>
      </c>
      <c r="G521" s="196" t="s">
        <v>11449</v>
      </c>
      <c r="H521" s="196" t="s">
        <v>11235</v>
      </c>
    </row>
    <row r="522" spans="1:8" x14ac:dyDescent="0.15">
      <c r="A522" s="196" t="s">
        <v>11229</v>
      </c>
      <c r="B522" s="196" t="s">
        <v>11230</v>
      </c>
      <c r="C522" s="196" t="s">
        <v>12298</v>
      </c>
      <c r="D522" s="196" t="s">
        <v>12296</v>
      </c>
      <c r="E522" s="196" t="s">
        <v>12297</v>
      </c>
      <c r="F522" s="196" t="s">
        <v>11241</v>
      </c>
      <c r="G522" s="196" t="s">
        <v>11962</v>
      </c>
      <c r="H522" s="196" t="s">
        <v>11235</v>
      </c>
    </row>
    <row r="523" spans="1:8" x14ac:dyDescent="0.15">
      <c r="A523" s="196" t="s">
        <v>11229</v>
      </c>
      <c r="B523" s="196" t="s">
        <v>11230</v>
      </c>
      <c r="C523" s="196" t="s">
        <v>12299</v>
      </c>
      <c r="D523" s="196" t="s">
        <v>12300</v>
      </c>
      <c r="E523" s="196" t="s">
        <v>12300</v>
      </c>
      <c r="F523" s="196" t="s">
        <v>11233</v>
      </c>
      <c r="G523" s="196" t="s">
        <v>11449</v>
      </c>
      <c r="H523" s="196" t="s">
        <v>11235</v>
      </c>
    </row>
    <row r="524" spans="1:8" x14ac:dyDescent="0.15">
      <c r="A524" s="196" t="s">
        <v>11229</v>
      </c>
      <c r="B524" s="196" t="s">
        <v>11230</v>
      </c>
      <c r="C524" s="196" t="s">
        <v>12301</v>
      </c>
      <c r="D524" s="196" t="s">
        <v>12300</v>
      </c>
      <c r="E524" s="196" t="s">
        <v>12300</v>
      </c>
      <c r="F524" s="196" t="s">
        <v>11233</v>
      </c>
      <c r="G524" s="196" t="s">
        <v>11962</v>
      </c>
      <c r="H524" s="196" t="s">
        <v>11235</v>
      </c>
    </row>
    <row r="525" spans="1:8" x14ac:dyDescent="0.15">
      <c r="A525" s="196" t="s">
        <v>11229</v>
      </c>
      <c r="B525" s="196" t="s">
        <v>11230</v>
      </c>
      <c r="C525" s="196" t="s">
        <v>12302</v>
      </c>
      <c r="D525" s="196" t="s">
        <v>12303</v>
      </c>
      <c r="E525" s="196" t="s">
        <v>12303</v>
      </c>
      <c r="F525" s="196" t="s">
        <v>11233</v>
      </c>
      <c r="G525" s="196" t="s">
        <v>11234</v>
      </c>
      <c r="H525" s="196" t="s">
        <v>11235</v>
      </c>
    </row>
    <row r="526" spans="1:8" x14ac:dyDescent="0.15">
      <c r="A526" s="196" t="s">
        <v>11229</v>
      </c>
      <c r="B526" s="196" t="s">
        <v>11230</v>
      </c>
      <c r="C526" s="196" t="s">
        <v>12304</v>
      </c>
      <c r="D526" s="196" t="s">
        <v>12305</v>
      </c>
      <c r="E526" s="196" t="s">
        <v>12305</v>
      </c>
      <c r="F526" s="196" t="s">
        <v>11233</v>
      </c>
      <c r="G526" s="196" t="s">
        <v>11720</v>
      </c>
      <c r="H526" s="196" t="s">
        <v>11235</v>
      </c>
    </row>
    <row r="527" spans="1:8" x14ac:dyDescent="0.15">
      <c r="A527" s="196" t="s">
        <v>11229</v>
      </c>
      <c r="B527" s="196" t="s">
        <v>11230</v>
      </c>
      <c r="C527" s="196" t="s">
        <v>12306</v>
      </c>
      <c r="D527" s="196" t="s">
        <v>12307</v>
      </c>
      <c r="E527" s="196" t="s">
        <v>12308</v>
      </c>
      <c r="F527" s="196" t="s">
        <v>11241</v>
      </c>
      <c r="G527" s="196" t="s">
        <v>11449</v>
      </c>
      <c r="H527" s="196" t="s">
        <v>11235</v>
      </c>
    </row>
    <row r="528" spans="1:8" x14ac:dyDescent="0.15">
      <c r="A528" s="196" t="s">
        <v>11229</v>
      </c>
      <c r="B528" s="196" t="s">
        <v>11230</v>
      </c>
      <c r="C528" s="196" t="s">
        <v>12309</v>
      </c>
      <c r="D528" s="196" t="s">
        <v>12308</v>
      </c>
      <c r="E528" s="196" t="s">
        <v>12308</v>
      </c>
      <c r="F528" s="196" t="s">
        <v>11233</v>
      </c>
      <c r="G528" s="196" t="s">
        <v>11962</v>
      </c>
      <c r="H528" s="196" t="s">
        <v>11235</v>
      </c>
    </row>
    <row r="529" spans="1:8" x14ac:dyDescent="0.15">
      <c r="A529" s="196" t="s">
        <v>11229</v>
      </c>
      <c r="B529" s="196" t="s">
        <v>11230</v>
      </c>
      <c r="C529" s="196" t="s">
        <v>12310</v>
      </c>
      <c r="D529" s="196" t="s">
        <v>12311</v>
      </c>
      <c r="E529" s="196" t="s">
        <v>12311</v>
      </c>
      <c r="F529" s="196" t="s">
        <v>11233</v>
      </c>
      <c r="G529" s="196" t="s">
        <v>11962</v>
      </c>
      <c r="H529" s="196" t="s">
        <v>11235</v>
      </c>
    </row>
    <row r="530" spans="1:8" x14ac:dyDescent="0.15">
      <c r="A530" s="196" t="s">
        <v>11229</v>
      </c>
      <c r="B530" s="196" t="s">
        <v>11230</v>
      </c>
      <c r="C530" s="196" t="s">
        <v>12312</v>
      </c>
      <c r="D530" s="196" t="s">
        <v>12313</v>
      </c>
      <c r="E530" s="196" t="s">
        <v>12314</v>
      </c>
      <c r="F530" s="196" t="s">
        <v>11241</v>
      </c>
      <c r="G530" s="196" t="s">
        <v>11234</v>
      </c>
      <c r="H530" s="196" t="s">
        <v>11235</v>
      </c>
    </row>
    <row r="531" spans="1:8" x14ac:dyDescent="0.15">
      <c r="A531" s="196" t="s">
        <v>11229</v>
      </c>
      <c r="B531" s="196" t="s">
        <v>11230</v>
      </c>
      <c r="C531" s="196" t="s">
        <v>12315</v>
      </c>
      <c r="D531" s="196" t="s">
        <v>12316</v>
      </c>
      <c r="E531" s="196" t="s">
        <v>12316</v>
      </c>
      <c r="F531" s="196" t="s">
        <v>11233</v>
      </c>
      <c r="G531" s="196" t="s">
        <v>11234</v>
      </c>
      <c r="H531" s="196" t="s">
        <v>11235</v>
      </c>
    </row>
    <row r="532" spans="1:8" x14ac:dyDescent="0.15">
      <c r="A532" s="196" t="s">
        <v>11229</v>
      </c>
      <c r="B532" s="196" t="s">
        <v>11230</v>
      </c>
      <c r="C532" s="196" t="s">
        <v>12317</v>
      </c>
      <c r="D532" s="196" t="s">
        <v>12318</v>
      </c>
      <c r="E532" s="196" t="s">
        <v>12318</v>
      </c>
      <c r="F532" s="196" t="s">
        <v>11233</v>
      </c>
      <c r="G532" s="196" t="s">
        <v>11234</v>
      </c>
      <c r="H532" s="196" t="s">
        <v>11235</v>
      </c>
    </row>
    <row r="533" spans="1:8" x14ac:dyDescent="0.15">
      <c r="A533" s="196" t="s">
        <v>11229</v>
      </c>
      <c r="B533" s="196" t="s">
        <v>11230</v>
      </c>
      <c r="C533" s="196" t="s">
        <v>12319</v>
      </c>
      <c r="D533" s="196" t="s">
        <v>12318</v>
      </c>
      <c r="E533" s="196" t="s">
        <v>12318</v>
      </c>
      <c r="F533" s="196" t="s">
        <v>11233</v>
      </c>
      <c r="G533" s="196" t="s">
        <v>11720</v>
      </c>
      <c r="H533" s="196" t="s">
        <v>11235</v>
      </c>
    </row>
    <row r="534" spans="1:8" x14ac:dyDescent="0.15">
      <c r="A534" s="196" t="s">
        <v>11229</v>
      </c>
      <c r="B534" s="196" t="s">
        <v>11230</v>
      </c>
      <c r="C534" s="196" t="s">
        <v>12320</v>
      </c>
      <c r="D534" s="196" t="s">
        <v>12321</v>
      </c>
      <c r="E534" s="196" t="s">
        <v>12321</v>
      </c>
      <c r="F534" s="196" t="s">
        <v>11233</v>
      </c>
      <c r="G534" s="196" t="s">
        <v>11449</v>
      </c>
      <c r="H534" s="196" t="s">
        <v>11235</v>
      </c>
    </row>
    <row r="535" spans="1:8" x14ac:dyDescent="0.15">
      <c r="A535" s="196" t="s">
        <v>11229</v>
      </c>
      <c r="B535" s="196" t="s">
        <v>11230</v>
      </c>
      <c r="C535" s="196" t="s">
        <v>12322</v>
      </c>
      <c r="D535" s="196" t="s">
        <v>12323</v>
      </c>
      <c r="E535" s="196" t="s">
        <v>12323</v>
      </c>
      <c r="F535" s="196" t="s">
        <v>11233</v>
      </c>
      <c r="G535" s="196" t="s">
        <v>11449</v>
      </c>
      <c r="H535" s="196" t="s">
        <v>11235</v>
      </c>
    </row>
    <row r="536" spans="1:8" x14ac:dyDescent="0.15">
      <c r="A536" s="196" t="s">
        <v>11229</v>
      </c>
      <c r="B536" s="196" t="s">
        <v>11230</v>
      </c>
      <c r="C536" s="196" t="s">
        <v>12324</v>
      </c>
      <c r="D536" s="196" t="s">
        <v>12323</v>
      </c>
      <c r="E536" s="196" t="s">
        <v>12323</v>
      </c>
      <c r="F536" s="196" t="s">
        <v>11233</v>
      </c>
      <c r="G536" s="196" t="s">
        <v>11962</v>
      </c>
      <c r="H536" s="196" t="s">
        <v>11235</v>
      </c>
    </row>
    <row r="537" spans="1:8" x14ac:dyDescent="0.15">
      <c r="A537" s="196" t="s">
        <v>11229</v>
      </c>
      <c r="B537" s="196" t="s">
        <v>11230</v>
      </c>
      <c r="C537" s="196" t="s">
        <v>12325</v>
      </c>
      <c r="D537" s="196" t="s">
        <v>12326</v>
      </c>
      <c r="E537" s="196" t="s">
        <v>12326</v>
      </c>
      <c r="F537" s="196" t="s">
        <v>11233</v>
      </c>
      <c r="G537" s="196" t="s">
        <v>11234</v>
      </c>
      <c r="H537" s="196" t="s">
        <v>11235</v>
      </c>
    </row>
    <row r="538" spans="1:8" x14ac:dyDescent="0.15">
      <c r="A538" s="196" t="s">
        <v>11229</v>
      </c>
      <c r="B538" s="196" t="s">
        <v>11230</v>
      </c>
      <c r="C538" s="196" t="s">
        <v>12327</v>
      </c>
      <c r="D538" s="196" t="s">
        <v>12328</v>
      </c>
      <c r="E538" s="196" t="s">
        <v>12328</v>
      </c>
      <c r="F538" s="196" t="s">
        <v>11233</v>
      </c>
      <c r="G538" s="196" t="s">
        <v>11234</v>
      </c>
      <c r="H538" s="196" t="s">
        <v>11235</v>
      </c>
    </row>
    <row r="539" spans="1:8" x14ac:dyDescent="0.15">
      <c r="A539" s="196" t="s">
        <v>11229</v>
      </c>
      <c r="B539" s="196" t="s">
        <v>11230</v>
      </c>
      <c r="C539" s="196" t="s">
        <v>12329</v>
      </c>
      <c r="D539" s="196" t="s">
        <v>12328</v>
      </c>
      <c r="E539" s="196" t="s">
        <v>12330</v>
      </c>
      <c r="F539" s="196" t="s">
        <v>11268</v>
      </c>
      <c r="G539" s="196" t="s">
        <v>11720</v>
      </c>
      <c r="H539" s="196" t="s">
        <v>11235</v>
      </c>
    </row>
    <row r="540" spans="1:8" x14ac:dyDescent="0.15">
      <c r="A540" s="196" t="s">
        <v>11229</v>
      </c>
      <c r="B540" s="196" t="s">
        <v>11230</v>
      </c>
      <c r="C540" s="196" t="s">
        <v>12331</v>
      </c>
      <c r="D540" s="196" t="s">
        <v>12330</v>
      </c>
      <c r="E540" s="196" t="s">
        <v>12330</v>
      </c>
      <c r="F540" s="196" t="s">
        <v>11233</v>
      </c>
      <c r="G540" s="196" t="s">
        <v>11234</v>
      </c>
      <c r="H540" s="196" t="s">
        <v>11235</v>
      </c>
    </row>
    <row r="541" spans="1:8" x14ac:dyDescent="0.15">
      <c r="A541" s="196" t="s">
        <v>11229</v>
      </c>
      <c r="B541" s="196" t="s">
        <v>11230</v>
      </c>
      <c r="C541" s="196" t="s">
        <v>12332</v>
      </c>
      <c r="D541" s="196" t="s">
        <v>12333</v>
      </c>
      <c r="E541" s="196" t="s">
        <v>12333</v>
      </c>
      <c r="F541" s="196" t="s">
        <v>11233</v>
      </c>
      <c r="G541" s="196" t="s">
        <v>11962</v>
      </c>
      <c r="H541" s="196" t="s">
        <v>11235</v>
      </c>
    </row>
    <row r="542" spans="1:8" x14ac:dyDescent="0.15">
      <c r="A542" s="196" t="s">
        <v>11229</v>
      </c>
      <c r="B542" s="196" t="s">
        <v>11230</v>
      </c>
      <c r="C542" s="196" t="s">
        <v>12334</v>
      </c>
      <c r="D542" s="196" t="s">
        <v>12333</v>
      </c>
      <c r="E542" s="196" t="s">
        <v>12333</v>
      </c>
      <c r="F542" s="196" t="s">
        <v>11233</v>
      </c>
      <c r="G542" s="196" t="s">
        <v>11449</v>
      </c>
      <c r="H542" s="196" t="s">
        <v>11235</v>
      </c>
    </row>
    <row r="543" spans="1:8" x14ac:dyDescent="0.15">
      <c r="A543" s="196" t="s">
        <v>11229</v>
      </c>
      <c r="B543" s="196" t="s">
        <v>11230</v>
      </c>
      <c r="C543" s="196" t="s">
        <v>12335</v>
      </c>
      <c r="D543" s="196" t="s">
        <v>12336</v>
      </c>
      <c r="E543" s="196" t="s">
        <v>12336</v>
      </c>
      <c r="F543" s="196" t="s">
        <v>11233</v>
      </c>
      <c r="G543" s="196" t="s">
        <v>11234</v>
      </c>
      <c r="H543" s="196" t="s">
        <v>11235</v>
      </c>
    </row>
    <row r="544" spans="1:8" x14ac:dyDescent="0.15">
      <c r="A544" s="196" t="s">
        <v>11229</v>
      </c>
      <c r="B544" s="196" t="s">
        <v>11230</v>
      </c>
      <c r="C544" s="196" t="s">
        <v>12337</v>
      </c>
      <c r="D544" s="196" t="s">
        <v>12336</v>
      </c>
      <c r="E544" s="196" t="s">
        <v>12336</v>
      </c>
      <c r="F544" s="196" t="s">
        <v>11233</v>
      </c>
      <c r="G544" s="196" t="s">
        <v>11720</v>
      </c>
      <c r="H544" s="196" t="s">
        <v>11235</v>
      </c>
    </row>
    <row r="545" spans="1:8" x14ac:dyDescent="0.15">
      <c r="A545" s="196" t="s">
        <v>11229</v>
      </c>
      <c r="B545" s="196" t="s">
        <v>11230</v>
      </c>
      <c r="C545" s="196" t="s">
        <v>12338</v>
      </c>
      <c r="D545" s="196" t="s">
        <v>12339</v>
      </c>
      <c r="E545" s="196" t="s">
        <v>12339</v>
      </c>
      <c r="F545" s="196" t="s">
        <v>11233</v>
      </c>
      <c r="G545" s="196" t="s">
        <v>11449</v>
      </c>
      <c r="H545" s="196" t="s">
        <v>11235</v>
      </c>
    </row>
    <row r="546" spans="1:8" x14ac:dyDescent="0.15">
      <c r="A546" s="196" t="s">
        <v>11229</v>
      </c>
      <c r="B546" s="196" t="s">
        <v>11230</v>
      </c>
      <c r="C546" s="196" t="s">
        <v>12340</v>
      </c>
      <c r="D546" s="196" t="s">
        <v>12339</v>
      </c>
      <c r="E546" s="196" t="s">
        <v>12339</v>
      </c>
      <c r="F546" s="196" t="s">
        <v>11233</v>
      </c>
      <c r="G546" s="196" t="s">
        <v>11962</v>
      </c>
      <c r="H546" s="196" t="s">
        <v>11235</v>
      </c>
    </row>
    <row r="547" spans="1:8" x14ac:dyDescent="0.15">
      <c r="A547" s="196" t="s">
        <v>11229</v>
      </c>
      <c r="B547" s="196" t="s">
        <v>11230</v>
      </c>
      <c r="C547" s="196" t="s">
        <v>12341</v>
      </c>
      <c r="D547" s="196" t="s">
        <v>12342</v>
      </c>
      <c r="E547" s="196" t="s">
        <v>12342</v>
      </c>
      <c r="F547" s="196" t="s">
        <v>11233</v>
      </c>
      <c r="G547" s="196" t="s">
        <v>11234</v>
      </c>
      <c r="H547" s="196" t="s">
        <v>11235</v>
      </c>
    </row>
    <row r="548" spans="1:8" x14ac:dyDescent="0.15">
      <c r="A548" s="196" t="s">
        <v>11229</v>
      </c>
      <c r="B548" s="196" t="s">
        <v>11230</v>
      </c>
      <c r="C548" s="196" t="s">
        <v>12343</v>
      </c>
      <c r="D548" s="196" t="s">
        <v>12344</v>
      </c>
      <c r="E548" s="196" t="s">
        <v>12344</v>
      </c>
      <c r="F548" s="196" t="s">
        <v>11233</v>
      </c>
      <c r="G548" s="196" t="s">
        <v>11234</v>
      </c>
      <c r="H548" s="196" t="s">
        <v>11235</v>
      </c>
    </row>
    <row r="549" spans="1:8" x14ac:dyDescent="0.15">
      <c r="A549" s="196" t="s">
        <v>11229</v>
      </c>
      <c r="B549" s="196" t="s">
        <v>11230</v>
      </c>
      <c r="C549" s="196" t="s">
        <v>12345</v>
      </c>
      <c r="D549" s="196" t="s">
        <v>12344</v>
      </c>
      <c r="E549" s="196" t="s">
        <v>12346</v>
      </c>
      <c r="F549" s="196" t="s">
        <v>11241</v>
      </c>
      <c r="G549" s="196" t="s">
        <v>11720</v>
      </c>
      <c r="H549" s="196" t="s">
        <v>11235</v>
      </c>
    </row>
    <row r="550" spans="1:8" x14ac:dyDescent="0.15">
      <c r="A550" s="196" t="s">
        <v>11229</v>
      </c>
      <c r="B550" s="196" t="s">
        <v>11230</v>
      </c>
      <c r="C550" s="196" t="s">
        <v>12347</v>
      </c>
      <c r="D550" s="196" t="s">
        <v>12346</v>
      </c>
      <c r="E550" s="196" t="s">
        <v>12346</v>
      </c>
      <c r="F550" s="196" t="s">
        <v>11233</v>
      </c>
      <c r="G550" s="196" t="s">
        <v>11962</v>
      </c>
      <c r="H550" s="196" t="s">
        <v>11235</v>
      </c>
    </row>
    <row r="551" spans="1:8" x14ac:dyDescent="0.15">
      <c r="A551" s="196" t="s">
        <v>11229</v>
      </c>
      <c r="B551" s="196" t="s">
        <v>11230</v>
      </c>
      <c r="C551" s="196" t="s">
        <v>12348</v>
      </c>
      <c r="D551" s="196" t="s">
        <v>12346</v>
      </c>
      <c r="E551" s="196" t="s">
        <v>12346</v>
      </c>
      <c r="F551" s="196" t="s">
        <v>11233</v>
      </c>
      <c r="G551" s="196" t="s">
        <v>11449</v>
      </c>
      <c r="H551" s="196" t="s">
        <v>11235</v>
      </c>
    </row>
    <row r="552" spans="1:8" x14ac:dyDescent="0.15">
      <c r="A552" s="196" t="s">
        <v>11229</v>
      </c>
      <c r="B552" s="196" t="s">
        <v>11230</v>
      </c>
      <c r="C552" s="196" t="s">
        <v>12349</v>
      </c>
      <c r="D552" s="196" t="s">
        <v>12350</v>
      </c>
      <c r="E552" s="196" t="s">
        <v>12350</v>
      </c>
      <c r="F552" s="196" t="s">
        <v>11233</v>
      </c>
      <c r="G552" s="196" t="s">
        <v>11962</v>
      </c>
      <c r="H552" s="196" t="s">
        <v>11235</v>
      </c>
    </row>
    <row r="553" spans="1:8" x14ac:dyDescent="0.15">
      <c r="A553" s="196" t="s">
        <v>11229</v>
      </c>
      <c r="B553" s="196" t="s">
        <v>11230</v>
      </c>
      <c r="C553" s="196" t="s">
        <v>12351</v>
      </c>
      <c r="D553" s="196" t="s">
        <v>12350</v>
      </c>
      <c r="E553" s="196" t="s">
        <v>12350</v>
      </c>
      <c r="F553" s="196" t="s">
        <v>11233</v>
      </c>
      <c r="G553" s="196" t="s">
        <v>11449</v>
      </c>
      <c r="H553" s="196" t="s">
        <v>11235</v>
      </c>
    </row>
    <row r="554" spans="1:8" x14ac:dyDescent="0.15">
      <c r="A554" s="196" t="s">
        <v>11229</v>
      </c>
      <c r="B554" s="196" t="s">
        <v>11230</v>
      </c>
      <c r="C554" s="196" t="s">
        <v>12352</v>
      </c>
      <c r="D554" s="196" t="s">
        <v>12353</v>
      </c>
      <c r="E554" s="196" t="s">
        <v>12353</v>
      </c>
      <c r="F554" s="196" t="s">
        <v>11233</v>
      </c>
      <c r="G554" s="196" t="s">
        <v>11962</v>
      </c>
      <c r="H554" s="196" t="s">
        <v>11235</v>
      </c>
    </row>
    <row r="555" spans="1:8" x14ac:dyDescent="0.15">
      <c r="A555" s="196" t="s">
        <v>11229</v>
      </c>
      <c r="B555" s="196" t="s">
        <v>11230</v>
      </c>
      <c r="C555" s="196" t="s">
        <v>12354</v>
      </c>
      <c r="D555" s="196" t="s">
        <v>12353</v>
      </c>
      <c r="E555" s="196" t="s">
        <v>12353</v>
      </c>
      <c r="F555" s="196" t="s">
        <v>11233</v>
      </c>
      <c r="G555" s="196" t="s">
        <v>11449</v>
      </c>
      <c r="H555" s="196" t="s">
        <v>11235</v>
      </c>
    </row>
    <row r="556" spans="1:8" x14ac:dyDescent="0.15">
      <c r="A556" s="196" t="s">
        <v>11229</v>
      </c>
      <c r="B556" s="196" t="s">
        <v>11230</v>
      </c>
      <c r="C556" s="196" t="s">
        <v>12355</v>
      </c>
      <c r="D556" s="196" t="s">
        <v>12356</v>
      </c>
      <c r="E556" s="196" t="s">
        <v>12356</v>
      </c>
      <c r="F556" s="196" t="s">
        <v>11233</v>
      </c>
      <c r="G556" s="196" t="s">
        <v>11962</v>
      </c>
      <c r="H556" s="196" t="s">
        <v>11235</v>
      </c>
    </row>
    <row r="557" spans="1:8" x14ac:dyDescent="0.15">
      <c r="A557" s="196" t="s">
        <v>11229</v>
      </c>
      <c r="B557" s="196" t="s">
        <v>11230</v>
      </c>
      <c r="C557" s="196" t="s">
        <v>12357</v>
      </c>
      <c r="D557" s="196" t="s">
        <v>12356</v>
      </c>
      <c r="E557" s="196" t="s">
        <v>12356</v>
      </c>
      <c r="F557" s="196" t="s">
        <v>11233</v>
      </c>
      <c r="G557" s="196" t="s">
        <v>11449</v>
      </c>
      <c r="H557" s="196" t="s">
        <v>11235</v>
      </c>
    </row>
    <row r="558" spans="1:8" x14ac:dyDescent="0.15">
      <c r="A558" s="196" t="s">
        <v>11229</v>
      </c>
      <c r="B558" s="196" t="s">
        <v>11230</v>
      </c>
      <c r="C558" s="196" t="s">
        <v>12358</v>
      </c>
      <c r="D558" s="196" t="s">
        <v>12359</v>
      </c>
      <c r="E558" s="196" t="s">
        <v>12359</v>
      </c>
      <c r="F558" s="196" t="s">
        <v>11233</v>
      </c>
      <c r="G558" s="196" t="s">
        <v>11962</v>
      </c>
      <c r="H558" s="196" t="s">
        <v>11235</v>
      </c>
    </row>
    <row r="559" spans="1:8" x14ac:dyDescent="0.15">
      <c r="A559" s="196" t="s">
        <v>11229</v>
      </c>
      <c r="B559" s="196" t="s">
        <v>11230</v>
      </c>
      <c r="C559" s="196" t="s">
        <v>12360</v>
      </c>
      <c r="D559" s="196" t="s">
        <v>12359</v>
      </c>
      <c r="E559" s="196" t="s">
        <v>12359</v>
      </c>
      <c r="F559" s="196" t="s">
        <v>11233</v>
      </c>
      <c r="G559" s="196" t="s">
        <v>11449</v>
      </c>
      <c r="H559" s="196" t="s">
        <v>11235</v>
      </c>
    </row>
    <row r="560" spans="1:8" x14ac:dyDescent="0.15">
      <c r="A560" s="196" t="s">
        <v>11229</v>
      </c>
      <c r="B560" s="196" t="s">
        <v>11230</v>
      </c>
      <c r="C560" s="196" t="s">
        <v>12361</v>
      </c>
      <c r="D560" s="196" t="s">
        <v>12362</v>
      </c>
      <c r="E560" s="196" t="s">
        <v>12363</v>
      </c>
      <c r="F560" s="196" t="s">
        <v>11268</v>
      </c>
      <c r="G560" s="196" t="s">
        <v>11962</v>
      </c>
      <c r="H560" s="196" t="s">
        <v>11235</v>
      </c>
    </row>
    <row r="561" spans="1:8" x14ac:dyDescent="0.15">
      <c r="A561" s="196" t="s">
        <v>11229</v>
      </c>
      <c r="B561" s="196" t="s">
        <v>11230</v>
      </c>
      <c r="C561" s="196" t="s">
        <v>12364</v>
      </c>
      <c r="D561" s="196" t="s">
        <v>12365</v>
      </c>
      <c r="E561" s="196" t="s">
        <v>12365</v>
      </c>
      <c r="F561" s="196" t="s">
        <v>11233</v>
      </c>
      <c r="G561" s="196" t="s">
        <v>11962</v>
      </c>
      <c r="H561" s="196" t="s">
        <v>11235</v>
      </c>
    </row>
    <row r="562" spans="1:8" x14ac:dyDescent="0.15">
      <c r="A562" s="196" t="s">
        <v>11229</v>
      </c>
      <c r="B562" s="196" t="s">
        <v>11230</v>
      </c>
      <c r="C562" s="196" t="s">
        <v>12366</v>
      </c>
      <c r="D562" s="196" t="s">
        <v>12367</v>
      </c>
      <c r="E562" s="196" t="s">
        <v>12367</v>
      </c>
      <c r="F562" s="196" t="s">
        <v>11233</v>
      </c>
      <c r="G562" s="196" t="s">
        <v>11962</v>
      </c>
      <c r="H562" s="196" t="s">
        <v>11235</v>
      </c>
    </row>
    <row r="563" spans="1:8" x14ac:dyDescent="0.15">
      <c r="A563" s="196" t="s">
        <v>11229</v>
      </c>
      <c r="B563" s="196" t="s">
        <v>11230</v>
      </c>
      <c r="C563" s="196" t="s">
        <v>12368</v>
      </c>
      <c r="D563" s="196" t="s">
        <v>12369</v>
      </c>
      <c r="E563" s="196" t="s">
        <v>12369</v>
      </c>
      <c r="F563" s="196" t="s">
        <v>11233</v>
      </c>
      <c r="G563" s="196" t="s">
        <v>11962</v>
      </c>
      <c r="H563" s="196" t="s">
        <v>11235</v>
      </c>
    </row>
    <row r="564" spans="1:8" x14ac:dyDescent="0.15">
      <c r="A564" s="196" t="s">
        <v>11229</v>
      </c>
      <c r="B564" s="196" t="s">
        <v>11230</v>
      </c>
      <c r="C564" s="196" t="s">
        <v>12370</v>
      </c>
      <c r="D564" s="196" t="s">
        <v>12371</v>
      </c>
      <c r="E564" s="196" t="s">
        <v>12371</v>
      </c>
      <c r="F564" s="196" t="s">
        <v>11233</v>
      </c>
      <c r="G564" s="196" t="s">
        <v>11962</v>
      </c>
      <c r="H564" s="196" t="s">
        <v>11235</v>
      </c>
    </row>
    <row r="565" spans="1:8" x14ac:dyDescent="0.15">
      <c r="A565" s="196" t="s">
        <v>11229</v>
      </c>
      <c r="B565" s="196" t="s">
        <v>11230</v>
      </c>
      <c r="C565" s="196" t="s">
        <v>12372</v>
      </c>
      <c r="D565" s="196" t="s">
        <v>12373</v>
      </c>
      <c r="E565" s="196" t="s">
        <v>12374</v>
      </c>
      <c r="F565" s="196" t="s">
        <v>11241</v>
      </c>
      <c r="G565" s="196" t="s">
        <v>11962</v>
      </c>
      <c r="H565" s="196" t="s">
        <v>11235</v>
      </c>
    </row>
    <row r="566" spans="1:8" x14ac:dyDescent="0.15">
      <c r="A566" s="196" t="s">
        <v>11229</v>
      </c>
      <c r="B566" s="196" t="s">
        <v>11230</v>
      </c>
      <c r="C566" s="196" t="s">
        <v>12375</v>
      </c>
      <c r="D566" s="196" t="s">
        <v>12374</v>
      </c>
      <c r="E566" s="196" t="s">
        <v>12376</v>
      </c>
      <c r="F566" s="196" t="s">
        <v>11241</v>
      </c>
      <c r="G566" s="196" t="s">
        <v>11962</v>
      </c>
      <c r="H566" s="196" t="s">
        <v>11235</v>
      </c>
    </row>
    <row r="567" spans="1:8" x14ac:dyDescent="0.15">
      <c r="A567" s="196" t="s">
        <v>11229</v>
      </c>
      <c r="B567" s="196" t="s">
        <v>11230</v>
      </c>
      <c r="C567" s="196" t="s">
        <v>12377</v>
      </c>
      <c r="D567" s="196" t="s">
        <v>12376</v>
      </c>
      <c r="E567" s="196" t="s">
        <v>12376</v>
      </c>
      <c r="F567" s="196" t="s">
        <v>11233</v>
      </c>
      <c r="G567" s="196" t="s">
        <v>12378</v>
      </c>
      <c r="H567" s="196" t="s">
        <v>11235</v>
      </c>
    </row>
    <row r="568" spans="1:8" x14ac:dyDescent="0.15">
      <c r="A568" s="196" t="s">
        <v>11229</v>
      </c>
      <c r="B568" s="196" t="s">
        <v>11230</v>
      </c>
      <c r="C568" s="196" t="s">
        <v>12379</v>
      </c>
      <c r="D568" s="196" t="s">
        <v>12380</v>
      </c>
      <c r="E568" s="196" t="s">
        <v>12380</v>
      </c>
      <c r="F568" s="196" t="s">
        <v>11233</v>
      </c>
      <c r="G568" s="196" t="s">
        <v>11962</v>
      </c>
      <c r="H568" s="196" t="s">
        <v>11235</v>
      </c>
    </row>
    <row r="569" spans="1:8" x14ac:dyDescent="0.15">
      <c r="A569" s="196" t="s">
        <v>11229</v>
      </c>
      <c r="B569" s="196" t="s">
        <v>11230</v>
      </c>
      <c r="C569" s="196" t="s">
        <v>12381</v>
      </c>
      <c r="D569" s="196" t="s">
        <v>12380</v>
      </c>
      <c r="E569" s="196" t="s">
        <v>12380</v>
      </c>
      <c r="F569" s="196" t="s">
        <v>11233</v>
      </c>
      <c r="G569" s="196" t="s">
        <v>11234</v>
      </c>
      <c r="H569" s="196" t="s">
        <v>11235</v>
      </c>
    </row>
    <row r="570" spans="1:8" x14ac:dyDescent="0.15">
      <c r="A570" s="196" t="s">
        <v>11229</v>
      </c>
      <c r="B570" s="196" t="s">
        <v>11230</v>
      </c>
      <c r="C570" s="196" t="s">
        <v>12382</v>
      </c>
      <c r="D570" s="196" t="s">
        <v>12383</v>
      </c>
      <c r="E570" s="196" t="s">
        <v>12383</v>
      </c>
      <c r="F570" s="196" t="s">
        <v>11233</v>
      </c>
      <c r="G570" s="196" t="s">
        <v>11962</v>
      </c>
      <c r="H570" s="196" t="s">
        <v>11235</v>
      </c>
    </row>
    <row r="571" spans="1:8" x14ac:dyDescent="0.15">
      <c r="A571" s="196" t="s">
        <v>11229</v>
      </c>
      <c r="B571" s="196" t="s">
        <v>11230</v>
      </c>
      <c r="C571" s="196" t="s">
        <v>12384</v>
      </c>
      <c r="D571" s="196" t="s">
        <v>12383</v>
      </c>
      <c r="E571" s="196" t="s">
        <v>12383</v>
      </c>
      <c r="F571" s="196" t="s">
        <v>11233</v>
      </c>
      <c r="G571" s="196" t="s">
        <v>11720</v>
      </c>
      <c r="H571" s="196" t="s">
        <v>11235</v>
      </c>
    </row>
    <row r="572" spans="1:8" x14ac:dyDescent="0.15">
      <c r="A572" s="196" t="s">
        <v>11229</v>
      </c>
      <c r="B572" s="196" t="s">
        <v>11230</v>
      </c>
      <c r="C572" s="196" t="s">
        <v>12385</v>
      </c>
      <c r="D572" s="196" t="s">
        <v>12386</v>
      </c>
      <c r="E572" s="196" t="s">
        <v>12386</v>
      </c>
      <c r="F572" s="196" t="s">
        <v>11233</v>
      </c>
      <c r="G572" s="196" t="s">
        <v>11962</v>
      </c>
      <c r="H572" s="196" t="s">
        <v>11235</v>
      </c>
    </row>
    <row r="573" spans="1:8" x14ac:dyDescent="0.15">
      <c r="A573" s="196" t="s">
        <v>11229</v>
      </c>
      <c r="B573" s="196" t="s">
        <v>11230</v>
      </c>
      <c r="C573" s="196" t="s">
        <v>12387</v>
      </c>
      <c r="D573" s="196" t="s">
        <v>12388</v>
      </c>
      <c r="E573" s="196" t="s">
        <v>12388</v>
      </c>
      <c r="F573" s="196" t="s">
        <v>11233</v>
      </c>
      <c r="G573" s="196" t="s">
        <v>11962</v>
      </c>
      <c r="H573" s="196" t="s">
        <v>11235</v>
      </c>
    </row>
    <row r="574" spans="1:8" x14ac:dyDescent="0.15">
      <c r="A574" s="196" t="s">
        <v>11229</v>
      </c>
      <c r="B574" s="196" t="s">
        <v>11230</v>
      </c>
      <c r="C574" s="196" t="s">
        <v>12389</v>
      </c>
      <c r="D574" s="196" t="s">
        <v>12390</v>
      </c>
      <c r="E574" s="196" t="s">
        <v>12390</v>
      </c>
      <c r="F574" s="196" t="s">
        <v>11233</v>
      </c>
      <c r="G574" s="196" t="s">
        <v>11962</v>
      </c>
      <c r="H574" s="196" t="s">
        <v>11235</v>
      </c>
    </row>
    <row r="575" spans="1:8" x14ac:dyDescent="0.15">
      <c r="A575" s="196" t="s">
        <v>11229</v>
      </c>
      <c r="B575" s="196" t="s">
        <v>11230</v>
      </c>
      <c r="C575" s="196" t="s">
        <v>12391</v>
      </c>
      <c r="D575" s="196" t="s">
        <v>12392</v>
      </c>
      <c r="E575" s="196" t="s">
        <v>12393</v>
      </c>
      <c r="F575" s="196" t="s">
        <v>11241</v>
      </c>
      <c r="G575" s="196" t="s">
        <v>11962</v>
      </c>
      <c r="H575" s="196" t="s">
        <v>11235</v>
      </c>
    </row>
    <row r="576" spans="1:8" x14ac:dyDescent="0.15">
      <c r="A576" s="196" t="s">
        <v>11229</v>
      </c>
      <c r="B576" s="196" t="s">
        <v>11230</v>
      </c>
      <c r="C576" s="196" t="s">
        <v>12394</v>
      </c>
      <c r="D576" s="196" t="s">
        <v>12392</v>
      </c>
      <c r="E576" s="196" t="s">
        <v>12392</v>
      </c>
      <c r="F576" s="196" t="s">
        <v>11233</v>
      </c>
      <c r="G576" s="196" t="s">
        <v>11449</v>
      </c>
      <c r="H576" s="196" t="s">
        <v>11235</v>
      </c>
    </row>
    <row r="577" spans="1:8" x14ac:dyDescent="0.15">
      <c r="A577" s="196" t="s">
        <v>11229</v>
      </c>
      <c r="B577" s="196" t="s">
        <v>11230</v>
      </c>
      <c r="C577" s="196" t="s">
        <v>12395</v>
      </c>
      <c r="D577" s="196" t="s">
        <v>12393</v>
      </c>
      <c r="E577" s="196" t="s">
        <v>12396</v>
      </c>
      <c r="F577" s="196" t="s">
        <v>11241</v>
      </c>
      <c r="G577" s="196" t="s">
        <v>11962</v>
      </c>
      <c r="H577" s="196" t="s">
        <v>11235</v>
      </c>
    </row>
    <row r="578" spans="1:8" x14ac:dyDescent="0.15">
      <c r="A578" s="196" t="s">
        <v>11229</v>
      </c>
      <c r="B578" s="196" t="s">
        <v>11230</v>
      </c>
      <c r="C578" s="196" t="s">
        <v>12397</v>
      </c>
      <c r="D578" s="196" t="s">
        <v>12393</v>
      </c>
      <c r="E578" s="196" t="s">
        <v>12396</v>
      </c>
      <c r="F578" s="196" t="s">
        <v>11241</v>
      </c>
      <c r="G578" s="196" t="s">
        <v>11449</v>
      </c>
      <c r="H578" s="196" t="s">
        <v>11235</v>
      </c>
    </row>
    <row r="579" spans="1:8" x14ac:dyDescent="0.15">
      <c r="A579" s="196" t="s">
        <v>11229</v>
      </c>
      <c r="B579" s="196" t="s">
        <v>11230</v>
      </c>
      <c r="C579" s="196" t="s">
        <v>12398</v>
      </c>
      <c r="D579" s="196" t="s">
        <v>12399</v>
      </c>
      <c r="E579" s="196" t="s">
        <v>12399</v>
      </c>
      <c r="F579" s="196" t="s">
        <v>11233</v>
      </c>
      <c r="G579" s="196" t="s">
        <v>11962</v>
      </c>
      <c r="H579" s="196" t="s">
        <v>11235</v>
      </c>
    </row>
    <row r="580" spans="1:8" x14ac:dyDescent="0.15">
      <c r="A580" s="196" t="s">
        <v>11229</v>
      </c>
      <c r="B580" s="196" t="s">
        <v>11230</v>
      </c>
      <c r="C580" s="196" t="s">
        <v>12400</v>
      </c>
      <c r="D580" s="196" t="s">
        <v>12399</v>
      </c>
      <c r="E580" s="196" t="s">
        <v>12399</v>
      </c>
      <c r="F580" s="196" t="s">
        <v>11233</v>
      </c>
      <c r="G580" s="196" t="s">
        <v>11449</v>
      </c>
      <c r="H580" s="196" t="s">
        <v>11235</v>
      </c>
    </row>
    <row r="581" spans="1:8" x14ac:dyDescent="0.15">
      <c r="A581" s="196" t="s">
        <v>11229</v>
      </c>
      <c r="B581" s="196" t="s">
        <v>11230</v>
      </c>
      <c r="C581" s="196" t="s">
        <v>12401</v>
      </c>
      <c r="D581" s="196" t="s">
        <v>12402</v>
      </c>
      <c r="E581" s="196" t="s">
        <v>12403</v>
      </c>
      <c r="F581" s="196" t="s">
        <v>12404</v>
      </c>
      <c r="G581" s="196" t="s">
        <v>11962</v>
      </c>
      <c r="H581" s="196" t="s">
        <v>11235</v>
      </c>
    </row>
    <row r="582" spans="1:8" x14ac:dyDescent="0.15">
      <c r="A582" s="196" t="s">
        <v>11229</v>
      </c>
      <c r="B582" s="196" t="s">
        <v>11230</v>
      </c>
      <c r="C582" s="196" t="s">
        <v>12405</v>
      </c>
      <c r="D582" s="196" t="s">
        <v>12406</v>
      </c>
      <c r="E582" s="196" t="s">
        <v>12406</v>
      </c>
      <c r="F582" s="196" t="s">
        <v>11233</v>
      </c>
      <c r="G582" s="196" t="s">
        <v>11962</v>
      </c>
      <c r="H582" s="196" t="s">
        <v>11235</v>
      </c>
    </row>
    <row r="583" spans="1:8" x14ac:dyDescent="0.15">
      <c r="A583" s="196" t="s">
        <v>11229</v>
      </c>
      <c r="B583" s="196" t="s">
        <v>11230</v>
      </c>
      <c r="C583" s="196" t="s">
        <v>12407</v>
      </c>
      <c r="D583" s="196" t="s">
        <v>12408</v>
      </c>
      <c r="E583" s="196" t="s">
        <v>12408</v>
      </c>
      <c r="F583" s="196" t="s">
        <v>11233</v>
      </c>
      <c r="G583" s="196" t="s">
        <v>11962</v>
      </c>
      <c r="H583" s="196" t="s">
        <v>11235</v>
      </c>
    </row>
    <row r="584" spans="1:8" x14ac:dyDescent="0.15">
      <c r="A584" s="196" t="s">
        <v>11229</v>
      </c>
      <c r="B584" s="196" t="s">
        <v>11230</v>
      </c>
      <c r="C584" s="196" t="s">
        <v>12409</v>
      </c>
      <c r="D584" s="196" t="s">
        <v>12410</v>
      </c>
      <c r="E584" s="196" t="s">
        <v>12410</v>
      </c>
      <c r="F584" s="196" t="s">
        <v>11233</v>
      </c>
      <c r="G584" s="196" t="s">
        <v>11962</v>
      </c>
      <c r="H584" s="196" t="s">
        <v>11235</v>
      </c>
    </row>
    <row r="585" spans="1:8" x14ac:dyDescent="0.15">
      <c r="A585" s="196" t="s">
        <v>11229</v>
      </c>
      <c r="B585" s="196" t="s">
        <v>11230</v>
      </c>
      <c r="C585" s="196" t="s">
        <v>12411</v>
      </c>
      <c r="D585" s="196" t="s">
        <v>12412</v>
      </c>
      <c r="E585" s="196" t="s">
        <v>12412</v>
      </c>
      <c r="F585" s="196" t="s">
        <v>11233</v>
      </c>
      <c r="G585" s="196" t="s">
        <v>11962</v>
      </c>
      <c r="H585" s="196" t="s">
        <v>11235</v>
      </c>
    </row>
    <row r="586" spans="1:8" x14ac:dyDescent="0.15">
      <c r="A586" s="196" t="s">
        <v>11229</v>
      </c>
      <c r="B586" s="196" t="s">
        <v>11230</v>
      </c>
      <c r="C586" s="196" t="s">
        <v>12413</v>
      </c>
      <c r="D586" s="196" t="s">
        <v>12414</v>
      </c>
      <c r="E586" s="196" t="s">
        <v>12415</v>
      </c>
      <c r="F586" s="196" t="s">
        <v>11241</v>
      </c>
      <c r="G586" s="196" t="s">
        <v>11234</v>
      </c>
      <c r="H586" s="196" t="s">
        <v>11235</v>
      </c>
    </row>
    <row r="587" spans="1:8" x14ac:dyDescent="0.15">
      <c r="A587" s="196" t="s">
        <v>11229</v>
      </c>
      <c r="B587" s="196" t="s">
        <v>11230</v>
      </c>
      <c r="C587" s="196" t="s">
        <v>12416</v>
      </c>
      <c r="D587" s="196" t="s">
        <v>12415</v>
      </c>
      <c r="E587" s="196" t="s">
        <v>12417</v>
      </c>
      <c r="F587" s="196" t="s">
        <v>11268</v>
      </c>
      <c r="G587" s="196" t="s">
        <v>11234</v>
      </c>
      <c r="H587" s="196" t="s">
        <v>11235</v>
      </c>
    </row>
    <row r="588" spans="1:8" x14ac:dyDescent="0.15">
      <c r="A588" s="196" t="s">
        <v>11229</v>
      </c>
      <c r="B588" s="196" t="s">
        <v>11230</v>
      </c>
      <c r="C588" s="196" t="s">
        <v>12418</v>
      </c>
      <c r="D588" s="196" t="s">
        <v>12415</v>
      </c>
      <c r="E588" s="196" t="s">
        <v>12415</v>
      </c>
      <c r="F588" s="196" t="s">
        <v>11233</v>
      </c>
      <c r="G588" s="196" t="s">
        <v>12378</v>
      </c>
      <c r="H588" s="196" t="s">
        <v>11235</v>
      </c>
    </row>
    <row r="589" spans="1:8" x14ac:dyDescent="0.15">
      <c r="A589" s="196" t="s">
        <v>11229</v>
      </c>
      <c r="B589" s="196" t="s">
        <v>11230</v>
      </c>
      <c r="C589" s="196" t="s">
        <v>12419</v>
      </c>
      <c r="D589" s="196" t="s">
        <v>12415</v>
      </c>
      <c r="E589" s="196" t="s">
        <v>12415</v>
      </c>
      <c r="F589" s="196" t="s">
        <v>11233</v>
      </c>
      <c r="G589" s="196" t="s">
        <v>11720</v>
      </c>
      <c r="H589" s="196" t="s">
        <v>11235</v>
      </c>
    </row>
    <row r="590" spans="1:8" x14ac:dyDescent="0.15">
      <c r="A590" s="196" t="s">
        <v>11229</v>
      </c>
      <c r="B590" s="196" t="s">
        <v>11230</v>
      </c>
      <c r="C590" s="196" t="s">
        <v>12420</v>
      </c>
      <c r="D590" s="196" t="s">
        <v>12417</v>
      </c>
      <c r="E590" s="196" t="s">
        <v>12417</v>
      </c>
      <c r="F590" s="196" t="s">
        <v>11233</v>
      </c>
      <c r="G590" s="196" t="s">
        <v>12378</v>
      </c>
      <c r="H590" s="196" t="s">
        <v>11235</v>
      </c>
    </row>
    <row r="591" spans="1:8" x14ac:dyDescent="0.15">
      <c r="A591" s="196" t="s">
        <v>11229</v>
      </c>
      <c r="B591" s="196" t="s">
        <v>11230</v>
      </c>
      <c r="C591" s="196" t="s">
        <v>12421</v>
      </c>
      <c r="D591" s="196" t="s">
        <v>12417</v>
      </c>
      <c r="E591" s="196" t="s">
        <v>12417</v>
      </c>
      <c r="F591" s="196" t="s">
        <v>11233</v>
      </c>
      <c r="G591" s="196" t="s">
        <v>11720</v>
      </c>
      <c r="H591" s="196" t="s">
        <v>11235</v>
      </c>
    </row>
    <row r="592" spans="1:8" x14ac:dyDescent="0.15">
      <c r="A592" s="196" t="s">
        <v>11229</v>
      </c>
      <c r="B592" s="196" t="s">
        <v>11230</v>
      </c>
      <c r="C592" s="196" t="s">
        <v>12422</v>
      </c>
      <c r="D592" s="196" t="s">
        <v>12423</v>
      </c>
      <c r="E592" s="196" t="s">
        <v>12423</v>
      </c>
      <c r="F592" s="196" t="s">
        <v>11233</v>
      </c>
      <c r="G592" s="196" t="s">
        <v>11234</v>
      </c>
      <c r="H592" s="196" t="s">
        <v>11235</v>
      </c>
    </row>
    <row r="593" spans="1:8" x14ac:dyDescent="0.15">
      <c r="A593" s="196" t="s">
        <v>11229</v>
      </c>
      <c r="B593" s="196" t="s">
        <v>11230</v>
      </c>
      <c r="C593" s="196" t="s">
        <v>12424</v>
      </c>
      <c r="D593" s="196" t="s">
        <v>12423</v>
      </c>
      <c r="E593" s="196" t="s">
        <v>12425</v>
      </c>
      <c r="F593" s="196" t="s">
        <v>11241</v>
      </c>
      <c r="G593" s="196" t="s">
        <v>12378</v>
      </c>
      <c r="H593" s="196" t="s">
        <v>11235</v>
      </c>
    </row>
    <row r="594" spans="1:8" x14ac:dyDescent="0.15">
      <c r="A594" s="196" t="s">
        <v>11229</v>
      </c>
      <c r="B594" s="196" t="s">
        <v>11230</v>
      </c>
      <c r="C594" s="196" t="s">
        <v>12426</v>
      </c>
      <c r="D594" s="196" t="s">
        <v>12425</v>
      </c>
      <c r="E594" s="196" t="s">
        <v>12425</v>
      </c>
      <c r="F594" s="196" t="s">
        <v>11233</v>
      </c>
      <c r="G594" s="196" t="s">
        <v>11234</v>
      </c>
      <c r="H594" s="196" t="s">
        <v>11235</v>
      </c>
    </row>
    <row r="595" spans="1:8" x14ac:dyDescent="0.15">
      <c r="A595" s="196" t="s">
        <v>11229</v>
      </c>
      <c r="B595" s="196" t="s">
        <v>11230</v>
      </c>
      <c r="C595" s="196" t="s">
        <v>12427</v>
      </c>
      <c r="D595" s="196" t="s">
        <v>12428</v>
      </c>
      <c r="E595" s="196" t="s">
        <v>12428</v>
      </c>
      <c r="F595" s="196" t="s">
        <v>11233</v>
      </c>
      <c r="G595" s="196" t="s">
        <v>12378</v>
      </c>
      <c r="H595" s="196" t="s">
        <v>11235</v>
      </c>
    </row>
    <row r="596" spans="1:8" x14ac:dyDescent="0.15">
      <c r="A596" s="196" t="s">
        <v>11229</v>
      </c>
      <c r="B596" s="196" t="s">
        <v>11230</v>
      </c>
      <c r="C596" s="196" t="s">
        <v>12429</v>
      </c>
      <c r="D596" s="196" t="s">
        <v>12430</v>
      </c>
      <c r="E596" s="196" t="s">
        <v>12430</v>
      </c>
      <c r="F596" s="196" t="s">
        <v>11233</v>
      </c>
      <c r="G596" s="196" t="s">
        <v>12378</v>
      </c>
      <c r="H596" s="196" t="s">
        <v>11235</v>
      </c>
    </row>
    <row r="597" spans="1:8" x14ac:dyDescent="0.15">
      <c r="A597" s="196" t="s">
        <v>11229</v>
      </c>
      <c r="B597" s="196" t="s">
        <v>11230</v>
      </c>
      <c r="C597" s="196" t="s">
        <v>12431</v>
      </c>
      <c r="D597" s="196" t="s">
        <v>12432</v>
      </c>
      <c r="E597" s="196" t="s">
        <v>12432</v>
      </c>
      <c r="F597" s="196" t="s">
        <v>11233</v>
      </c>
      <c r="G597" s="196" t="s">
        <v>11234</v>
      </c>
      <c r="H597" s="196" t="s">
        <v>11235</v>
      </c>
    </row>
    <row r="598" spans="1:8" x14ac:dyDescent="0.15">
      <c r="A598" s="196" t="s">
        <v>11229</v>
      </c>
      <c r="B598" s="196" t="s">
        <v>11230</v>
      </c>
      <c r="C598" s="196" t="s">
        <v>12433</v>
      </c>
      <c r="D598" s="196" t="s">
        <v>12434</v>
      </c>
      <c r="E598" s="196" t="s">
        <v>12434</v>
      </c>
      <c r="F598" s="196" t="s">
        <v>11233</v>
      </c>
      <c r="G598" s="196" t="s">
        <v>11234</v>
      </c>
      <c r="H598" s="196" t="s">
        <v>11235</v>
      </c>
    </row>
    <row r="599" spans="1:8" x14ac:dyDescent="0.15">
      <c r="A599" s="196" t="s">
        <v>11229</v>
      </c>
      <c r="B599" s="196" t="s">
        <v>11230</v>
      </c>
      <c r="C599" s="196" t="s">
        <v>12435</v>
      </c>
      <c r="D599" s="196" t="s">
        <v>12434</v>
      </c>
      <c r="E599" s="196" t="s">
        <v>12434</v>
      </c>
      <c r="F599" s="196" t="s">
        <v>11233</v>
      </c>
      <c r="G599" s="196" t="s">
        <v>12378</v>
      </c>
      <c r="H599" s="196" t="s">
        <v>11235</v>
      </c>
    </row>
    <row r="600" spans="1:8" x14ac:dyDescent="0.15">
      <c r="A600" s="196" t="s">
        <v>11229</v>
      </c>
      <c r="B600" s="196" t="s">
        <v>11230</v>
      </c>
      <c r="C600" s="196" t="s">
        <v>12436</v>
      </c>
      <c r="D600" s="196" t="s">
        <v>12434</v>
      </c>
      <c r="E600" s="196" t="s">
        <v>12434</v>
      </c>
      <c r="F600" s="196" t="s">
        <v>11233</v>
      </c>
      <c r="G600" s="196" t="s">
        <v>11449</v>
      </c>
      <c r="H600" s="196" t="s">
        <v>11235</v>
      </c>
    </row>
    <row r="601" spans="1:8" x14ac:dyDescent="0.15">
      <c r="A601" s="196" t="s">
        <v>11229</v>
      </c>
      <c r="B601" s="196" t="s">
        <v>11230</v>
      </c>
      <c r="C601" s="196" t="s">
        <v>12437</v>
      </c>
      <c r="D601" s="196" t="s">
        <v>12438</v>
      </c>
      <c r="E601" s="196" t="s">
        <v>12438</v>
      </c>
      <c r="F601" s="196" t="s">
        <v>11233</v>
      </c>
      <c r="G601" s="196" t="s">
        <v>12378</v>
      </c>
      <c r="H601" s="196" t="s">
        <v>11235</v>
      </c>
    </row>
    <row r="602" spans="1:8" x14ac:dyDescent="0.15">
      <c r="A602" s="196" t="s">
        <v>11229</v>
      </c>
      <c r="B602" s="196" t="s">
        <v>11230</v>
      </c>
      <c r="C602" s="196" t="s">
        <v>12439</v>
      </c>
      <c r="D602" s="196" t="s">
        <v>12440</v>
      </c>
      <c r="E602" s="196" t="s">
        <v>12440</v>
      </c>
      <c r="F602" s="196" t="s">
        <v>11233</v>
      </c>
      <c r="G602" s="196" t="s">
        <v>12378</v>
      </c>
      <c r="H602" s="196" t="s">
        <v>11235</v>
      </c>
    </row>
    <row r="603" spans="1:8" x14ac:dyDescent="0.15">
      <c r="A603" s="196" t="s">
        <v>11229</v>
      </c>
      <c r="B603" s="196" t="s">
        <v>11230</v>
      </c>
      <c r="C603" s="196" t="s">
        <v>12441</v>
      </c>
      <c r="D603" s="196" t="s">
        <v>12442</v>
      </c>
      <c r="E603" s="196" t="s">
        <v>12442</v>
      </c>
      <c r="F603" s="196" t="s">
        <v>11233</v>
      </c>
      <c r="G603" s="196" t="s">
        <v>12378</v>
      </c>
      <c r="H603" s="196" t="s">
        <v>11235</v>
      </c>
    </row>
    <row r="604" spans="1:8" x14ac:dyDescent="0.15">
      <c r="A604" s="196" t="s">
        <v>11229</v>
      </c>
      <c r="B604" s="196" t="s">
        <v>11230</v>
      </c>
      <c r="C604" s="196" t="s">
        <v>12443</v>
      </c>
      <c r="D604" s="196" t="s">
        <v>12444</v>
      </c>
      <c r="E604" s="196" t="s">
        <v>12444</v>
      </c>
      <c r="F604" s="196" t="s">
        <v>11233</v>
      </c>
      <c r="G604" s="196" t="s">
        <v>12378</v>
      </c>
      <c r="H604" s="196" t="s">
        <v>11235</v>
      </c>
    </row>
    <row r="605" spans="1:8" x14ac:dyDescent="0.15">
      <c r="A605" s="196" t="s">
        <v>11229</v>
      </c>
      <c r="B605" s="196" t="s">
        <v>11230</v>
      </c>
      <c r="C605" s="196" t="s">
        <v>12445</v>
      </c>
      <c r="D605" s="196" t="s">
        <v>12444</v>
      </c>
      <c r="E605" s="196" t="s">
        <v>12446</v>
      </c>
      <c r="F605" s="196" t="s">
        <v>11241</v>
      </c>
      <c r="G605" s="196" t="s">
        <v>11962</v>
      </c>
      <c r="H605" s="196" t="s">
        <v>11235</v>
      </c>
    </row>
    <row r="606" spans="1:8" x14ac:dyDescent="0.15">
      <c r="A606" s="196" t="s">
        <v>11229</v>
      </c>
      <c r="B606" s="196" t="s">
        <v>11230</v>
      </c>
      <c r="C606" s="196" t="s">
        <v>12447</v>
      </c>
      <c r="D606" s="196" t="s">
        <v>12448</v>
      </c>
      <c r="E606" s="196" t="s">
        <v>12448</v>
      </c>
      <c r="F606" s="196" t="s">
        <v>11233</v>
      </c>
      <c r="G606" s="196" t="s">
        <v>11720</v>
      </c>
      <c r="H606" s="196" t="s">
        <v>11235</v>
      </c>
    </row>
    <row r="607" spans="1:8" x14ac:dyDescent="0.15">
      <c r="A607" s="196" t="s">
        <v>11229</v>
      </c>
      <c r="B607" s="196" t="s">
        <v>11230</v>
      </c>
      <c r="C607" s="196" t="s">
        <v>12449</v>
      </c>
      <c r="D607" s="196" t="s">
        <v>12450</v>
      </c>
      <c r="E607" s="196" t="s">
        <v>12450</v>
      </c>
      <c r="F607" s="196" t="s">
        <v>11233</v>
      </c>
      <c r="G607" s="196" t="s">
        <v>11720</v>
      </c>
      <c r="H607" s="196" t="s">
        <v>11235</v>
      </c>
    </row>
    <row r="608" spans="1:8" x14ac:dyDescent="0.15">
      <c r="A608" s="196" t="s">
        <v>11229</v>
      </c>
      <c r="B608" s="196" t="s">
        <v>11230</v>
      </c>
      <c r="C608" s="196" t="s">
        <v>12451</v>
      </c>
      <c r="D608" s="196" t="s">
        <v>12452</v>
      </c>
      <c r="E608" s="196" t="s">
        <v>12452</v>
      </c>
      <c r="F608" s="196" t="s">
        <v>11233</v>
      </c>
      <c r="G608" s="196" t="s">
        <v>11234</v>
      </c>
      <c r="H608" s="196" t="s">
        <v>11235</v>
      </c>
    </row>
    <row r="609" spans="1:8" x14ac:dyDescent="0.15">
      <c r="A609" s="196" t="s">
        <v>11229</v>
      </c>
      <c r="B609" s="196" t="s">
        <v>11230</v>
      </c>
      <c r="C609" s="196" t="s">
        <v>12453</v>
      </c>
      <c r="D609" s="196" t="s">
        <v>12452</v>
      </c>
      <c r="E609" s="196" t="s">
        <v>12452</v>
      </c>
      <c r="F609" s="196" t="s">
        <v>11233</v>
      </c>
      <c r="G609" s="196" t="s">
        <v>11449</v>
      </c>
      <c r="H609" s="196" t="s">
        <v>11235</v>
      </c>
    </row>
    <row r="610" spans="1:8" x14ac:dyDescent="0.15">
      <c r="A610" s="196" t="s">
        <v>11229</v>
      </c>
      <c r="B610" s="196" t="s">
        <v>11230</v>
      </c>
      <c r="C610" s="196" t="s">
        <v>12454</v>
      </c>
      <c r="D610" s="196" t="s">
        <v>12455</v>
      </c>
      <c r="E610" s="196" t="s">
        <v>12456</v>
      </c>
      <c r="F610" s="196" t="s">
        <v>11268</v>
      </c>
      <c r="G610" s="196" t="s">
        <v>12378</v>
      </c>
      <c r="H610" s="196" t="s">
        <v>11235</v>
      </c>
    </row>
    <row r="611" spans="1:8" x14ac:dyDescent="0.15">
      <c r="A611" s="196" t="s">
        <v>11229</v>
      </c>
      <c r="B611" s="196" t="s">
        <v>11230</v>
      </c>
      <c r="C611" s="196" t="s">
        <v>12457</v>
      </c>
      <c r="D611" s="196" t="s">
        <v>12456</v>
      </c>
      <c r="E611" s="196" t="s">
        <v>12456</v>
      </c>
      <c r="F611" s="196" t="s">
        <v>11233</v>
      </c>
      <c r="G611" s="196" t="s">
        <v>11962</v>
      </c>
      <c r="H611" s="196" t="s">
        <v>11235</v>
      </c>
    </row>
    <row r="612" spans="1:8" x14ac:dyDescent="0.15">
      <c r="A612" s="196" t="s">
        <v>11229</v>
      </c>
      <c r="B612" s="196" t="s">
        <v>11230</v>
      </c>
      <c r="C612" s="196" t="s">
        <v>12458</v>
      </c>
      <c r="D612" s="196" t="s">
        <v>12459</v>
      </c>
      <c r="E612" s="196" t="s">
        <v>12459</v>
      </c>
      <c r="F612" s="196" t="s">
        <v>11233</v>
      </c>
      <c r="G612" s="196" t="s">
        <v>11962</v>
      </c>
      <c r="H612" s="196" t="s">
        <v>11235</v>
      </c>
    </row>
    <row r="613" spans="1:8" x14ac:dyDescent="0.15">
      <c r="A613" s="196" t="s">
        <v>11229</v>
      </c>
      <c r="B613" s="196" t="s">
        <v>11230</v>
      </c>
      <c r="C613" s="196" t="s">
        <v>12460</v>
      </c>
      <c r="D613" s="196" t="s">
        <v>12461</v>
      </c>
      <c r="E613" s="196" t="s">
        <v>12461</v>
      </c>
      <c r="F613" s="196" t="s">
        <v>11233</v>
      </c>
      <c r="G613" s="196" t="s">
        <v>11962</v>
      </c>
      <c r="H613" s="196" t="s">
        <v>11235</v>
      </c>
    </row>
    <row r="614" spans="1:8" x14ac:dyDescent="0.15">
      <c r="A614" s="196" t="s">
        <v>11229</v>
      </c>
      <c r="B614" s="196" t="s">
        <v>11230</v>
      </c>
      <c r="C614" s="196" t="s">
        <v>12462</v>
      </c>
      <c r="D614" s="196" t="s">
        <v>12463</v>
      </c>
      <c r="E614" s="196" t="s">
        <v>12464</v>
      </c>
      <c r="F614" s="196" t="s">
        <v>11241</v>
      </c>
      <c r="G614" s="196" t="s">
        <v>11962</v>
      </c>
      <c r="H614" s="196" t="s">
        <v>11235</v>
      </c>
    </row>
    <row r="615" spans="1:8" x14ac:dyDescent="0.15">
      <c r="A615" s="196" t="s">
        <v>11229</v>
      </c>
      <c r="B615" s="196" t="s">
        <v>11230</v>
      </c>
      <c r="C615" s="196" t="s">
        <v>12465</v>
      </c>
      <c r="D615" s="196" t="s">
        <v>12466</v>
      </c>
      <c r="E615" s="196" t="s">
        <v>12466</v>
      </c>
      <c r="F615" s="196" t="s">
        <v>11233</v>
      </c>
      <c r="G615" s="196" t="s">
        <v>11962</v>
      </c>
      <c r="H615" s="196" t="s">
        <v>11235</v>
      </c>
    </row>
    <row r="616" spans="1:8" x14ac:dyDescent="0.15">
      <c r="A616" s="196" t="s">
        <v>11229</v>
      </c>
      <c r="B616" s="196" t="s">
        <v>11230</v>
      </c>
      <c r="C616" s="196" t="s">
        <v>12467</v>
      </c>
      <c r="D616" s="196" t="s">
        <v>12466</v>
      </c>
      <c r="E616" s="196" t="s">
        <v>12468</v>
      </c>
      <c r="F616" s="196" t="s">
        <v>11241</v>
      </c>
      <c r="G616" s="196" t="s">
        <v>11720</v>
      </c>
      <c r="H616" s="196" t="s">
        <v>11235</v>
      </c>
    </row>
    <row r="617" spans="1:8" x14ac:dyDescent="0.15">
      <c r="A617" s="196" t="s">
        <v>11229</v>
      </c>
      <c r="B617" s="196" t="s">
        <v>11230</v>
      </c>
      <c r="C617" s="196" t="s">
        <v>12469</v>
      </c>
      <c r="D617" s="196" t="s">
        <v>12468</v>
      </c>
      <c r="E617" s="196" t="s">
        <v>12468</v>
      </c>
      <c r="F617" s="196" t="s">
        <v>11233</v>
      </c>
      <c r="G617" s="196" t="s">
        <v>11962</v>
      </c>
      <c r="H617" s="196" t="s">
        <v>11235</v>
      </c>
    </row>
    <row r="618" spans="1:8" x14ac:dyDescent="0.15">
      <c r="A618" s="196" t="s">
        <v>11229</v>
      </c>
      <c r="B618" s="196" t="s">
        <v>11230</v>
      </c>
      <c r="C618" s="196" t="s">
        <v>12470</v>
      </c>
      <c r="D618" s="196" t="s">
        <v>12471</v>
      </c>
      <c r="E618" s="196" t="s">
        <v>12471</v>
      </c>
      <c r="F618" s="196" t="s">
        <v>11233</v>
      </c>
      <c r="G618" s="196" t="s">
        <v>11962</v>
      </c>
      <c r="H618" s="196" t="s">
        <v>11235</v>
      </c>
    </row>
    <row r="619" spans="1:8" x14ac:dyDescent="0.15">
      <c r="A619" s="196" t="s">
        <v>11229</v>
      </c>
      <c r="B619" s="196" t="s">
        <v>11230</v>
      </c>
      <c r="C619" s="196" t="s">
        <v>12472</v>
      </c>
      <c r="D619" s="196" t="s">
        <v>12473</v>
      </c>
      <c r="E619" s="196" t="s">
        <v>12473</v>
      </c>
      <c r="F619" s="196" t="s">
        <v>11233</v>
      </c>
      <c r="G619" s="196" t="s">
        <v>11962</v>
      </c>
      <c r="H619" s="196" t="s">
        <v>11235</v>
      </c>
    </row>
    <row r="620" spans="1:8" x14ac:dyDescent="0.15">
      <c r="A620" s="196" t="s">
        <v>11229</v>
      </c>
      <c r="B620" s="196" t="s">
        <v>11230</v>
      </c>
      <c r="C620" s="196" t="s">
        <v>12474</v>
      </c>
      <c r="D620" s="196" t="s">
        <v>12475</v>
      </c>
      <c r="E620" s="196" t="s">
        <v>12475</v>
      </c>
      <c r="F620" s="196" t="s">
        <v>11233</v>
      </c>
      <c r="G620" s="196" t="s">
        <v>11962</v>
      </c>
      <c r="H620" s="196" t="s">
        <v>11235</v>
      </c>
    </row>
    <row r="621" spans="1:8" x14ac:dyDescent="0.15">
      <c r="A621" s="196" t="s">
        <v>11229</v>
      </c>
      <c r="B621" s="196" t="s">
        <v>11230</v>
      </c>
      <c r="C621" s="196" t="s">
        <v>12476</v>
      </c>
      <c r="D621" s="196" t="s">
        <v>12477</v>
      </c>
      <c r="E621" s="196" t="s">
        <v>12477</v>
      </c>
      <c r="F621" s="196" t="s">
        <v>11233</v>
      </c>
      <c r="G621" s="196" t="s">
        <v>11962</v>
      </c>
      <c r="H621" s="196" t="s">
        <v>11235</v>
      </c>
    </row>
    <row r="622" spans="1:8" x14ac:dyDescent="0.15">
      <c r="A622" s="196" t="s">
        <v>11229</v>
      </c>
      <c r="B622" s="196" t="s">
        <v>11230</v>
      </c>
      <c r="C622" s="196" t="s">
        <v>12478</v>
      </c>
      <c r="D622" s="196" t="s">
        <v>12477</v>
      </c>
      <c r="E622" s="196" t="s">
        <v>12477</v>
      </c>
      <c r="F622" s="196" t="s">
        <v>11233</v>
      </c>
      <c r="G622" s="196" t="s">
        <v>11234</v>
      </c>
      <c r="H622" s="196" t="s">
        <v>11235</v>
      </c>
    </row>
    <row r="623" spans="1:8" x14ac:dyDescent="0.15">
      <c r="A623" s="196" t="s">
        <v>11229</v>
      </c>
      <c r="B623" s="196" t="s">
        <v>11230</v>
      </c>
      <c r="C623" s="196" t="s">
        <v>12479</v>
      </c>
      <c r="D623" s="196" t="s">
        <v>12477</v>
      </c>
      <c r="E623" s="196" t="s">
        <v>12477</v>
      </c>
      <c r="F623" s="196" t="s">
        <v>11233</v>
      </c>
      <c r="G623" s="196" t="s">
        <v>11449</v>
      </c>
      <c r="H623" s="196" t="s">
        <v>11235</v>
      </c>
    </row>
    <row r="624" spans="1:8" x14ac:dyDescent="0.15">
      <c r="A624" s="196" t="s">
        <v>11229</v>
      </c>
      <c r="B624" s="196" t="s">
        <v>11230</v>
      </c>
      <c r="C624" s="196" t="s">
        <v>12480</v>
      </c>
      <c r="D624" s="196" t="s">
        <v>12481</v>
      </c>
      <c r="E624" s="196" t="s">
        <v>12481</v>
      </c>
      <c r="F624" s="196" t="s">
        <v>11233</v>
      </c>
      <c r="G624" s="196" t="s">
        <v>11449</v>
      </c>
      <c r="H624" s="196" t="s">
        <v>11235</v>
      </c>
    </row>
    <row r="625" spans="1:8" x14ac:dyDescent="0.15">
      <c r="A625" s="196" t="s">
        <v>11229</v>
      </c>
      <c r="B625" s="196" t="s">
        <v>11230</v>
      </c>
      <c r="C625" s="196" t="s">
        <v>12482</v>
      </c>
      <c r="D625" s="196" t="s">
        <v>12483</v>
      </c>
      <c r="E625" s="196" t="s">
        <v>12483</v>
      </c>
      <c r="F625" s="196" t="s">
        <v>11233</v>
      </c>
      <c r="G625" s="196" t="s">
        <v>12378</v>
      </c>
      <c r="H625" s="196" t="s">
        <v>11235</v>
      </c>
    </row>
    <row r="626" spans="1:8" x14ac:dyDescent="0.15">
      <c r="A626" s="196" t="s">
        <v>11229</v>
      </c>
      <c r="B626" s="196" t="s">
        <v>11230</v>
      </c>
      <c r="C626" s="196" t="s">
        <v>12484</v>
      </c>
      <c r="D626" s="196" t="s">
        <v>12485</v>
      </c>
      <c r="E626" s="196" t="s">
        <v>12486</v>
      </c>
      <c r="F626" s="196" t="s">
        <v>11241</v>
      </c>
      <c r="G626" s="196" t="s">
        <v>11720</v>
      </c>
      <c r="H626" s="196" t="s">
        <v>11235</v>
      </c>
    </row>
    <row r="627" spans="1:8" x14ac:dyDescent="0.15">
      <c r="A627" s="196" t="s">
        <v>11229</v>
      </c>
      <c r="B627" s="196" t="s">
        <v>11230</v>
      </c>
      <c r="C627" s="196" t="s">
        <v>12487</v>
      </c>
      <c r="D627" s="196" t="s">
        <v>12488</v>
      </c>
      <c r="E627" s="196" t="s">
        <v>12488</v>
      </c>
      <c r="F627" s="196" t="s">
        <v>11233</v>
      </c>
      <c r="G627" s="196" t="s">
        <v>11234</v>
      </c>
      <c r="H627" s="196" t="s">
        <v>11235</v>
      </c>
    </row>
    <row r="628" spans="1:8" x14ac:dyDescent="0.15">
      <c r="A628" s="196" t="s">
        <v>11229</v>
      </c>
      <c r="B628" s="196" t="s">
        <v>11230</v>
      </c>
      <c r="C628" s="196" t="s">
        <v>12489</v>
      </c>
      <c r="D628" s="196" t="s">
        <v>12488</v>
      </c>
      <c r="E628" s="196" t="s">
        <v>12488</v>
      </c>
      <c r="F628" s="196" t="s">
        <v>11233</v>
      </c>
      <c r="G628" s="196" t="s">
        <v>11962</v>
      </c>
      <c r="H628" s="196" t="s">
        <v>11235</v>
      </c>
    </row>
    <row r="629" spans="1:8" x14ac:dyDescent="0.15">
      <c r="A629" s="196" t="s">
        <v>11229</v>
      </c>
      <c r="B629" s="196" t="s">
        <v>11230</v>
      </c>
      <c r="C629" s="196" t="s">
        <v>12490</v>
      </c>
      <c r="D629" s="196" t="s">
        <v>12488</v>
      </c>
      <c r="E629" s="196" t="s">
        <v>12488</v>
      </c>
      <c r="F629" s="196" t="s">
        <v>11233</v>
      </c>
      <c r="G629" s="196" t="s">
        <v>11449</v>
      </c>
      <c r="H629" s="196" t="s">
        <v>11235</v>
      </c>
    </row>
    <row r="630" spans="1:8" x14ac:dyDescent="0.15">
      <c r="A630" s="196" t="s">
        <v>11229</v>
      </c>
      <c r="B630" s="196" t="s">
        <v>11230</v>
      </c>
      <c r="C630" s="196" t="s">
        <v>12491</v>
      </c>
      <c r="D630" s="196" t="s">
        <v>12492</v>
      </c>
      <c r="E630" s="196" t="s">
        <v>12492</v>
      </c>
      <c r="F630" s="196" t="s">
        <v>11233</v>
      </c>
      <c r="G630" s="196" t="s">
        <v>11234</v>
      </c>
      <c r="H630" s="196" t="s">
        <v>11235</v>
      </c>
    </row>
    <row r="631" spans="1:8" x14ac:dyDescent="0.15">
      <c r="A631" s="196" t="s">
        <v>11229</v>
      </c>
      <c r="B631" s="196" t="s">
        <v>11230</v>
      </c>
      <c r="C631" s="196" t="s">
        <v>12493</v>
      </c>
      <c r="D631" s="196" t="s">
        <v>12492</v>
      </c>
      <c r="E631" s="196" t="s">
        <v>12492</v>
      </c>
      <c r="F631" s="196" t="s">
        <v>11233</v>
      </c>
      <c r="G631" s="196" t="s">
        <v>11962</v>
      </c>
      <c r="H631" s="196" t="s">
        <v>11235</v>
      </c>
    </row>
    <row r="632" spans="1:8" x14ac:dyDescent="0.15">
      <c r="A632" s="196" t="s">
        <v>11229</v>
      </c>
      <c r="B632" s="196" t="s">
        <v>11230</v>
      </c>
      <c r="C632" s="196" t="s">
        <v>12494</v>
      </c>
      <c r="D632" s="196" t="s">
        <v>12495</v>
      </c>
      <c r="E632" s="196" t="s">
        <v>12495</v>
      </c>
      <c r="F632" s="196" t="s">
        <v>11233</v>
      </c>
      <c r="G632" s="196" t="s">
        <v>11234</v>
      </c>
      <c r="H632" s="196" t="s">
        <v>11235</v>
      </c>
    </row>
    <row r="633" spans="1:8" x14ac:dyDescent="0.15">
      <c r="A633" s="196" t="s">
        <v>11229</v>
      </c>
      <c r="B633" s="196" t="s">
        <v>11230</v>
      </c>
      <c r="C633" s="196" t="s">
        <v>12496</v>
      </c>
      <c r="D633" s="196" t="s">
        <v>12497</v>
      </c>
      <c r="E633" s="196" t="s">
        <v>12497</v>
      </c>
      <c r="F633" s="196" t="s">
        <v>11233</v>
      </c>
      <c r="G633" s="196" t="s">
        <v>11234</v>
      </c>
      <c r="H633" s="196" t="s">
        <v>11235</v>
      </c>
    </row>
    <row r="634" spans="1:8" x14ac:dyDescent="0.15">
      <c r="A634" s="196" t="s">
        <v>11229</v>
      </c>
      <c r="B634" s="196" t="s">
        <v>11230</v>
      </c>
      <c r="C634" s="196" t="s">
        <v>12498</v>
      </c>
      <c r="D634" s="196" t="s">
        <v>12499</v>
      </c>
      <c r="E634" s="196" t="s">
        <v>12500</v>
      </c>
      <c r="F634" s="196" t="s">
        <v>11241</v>
      </c>
      <c r="G634" s="196" t="s">
        <v>11234</v>
      </c>
      <c r="H634" s="196" t="s">
        <v>11235</v>
      </c>
    </row>
    <row r="635" spans="1:8" x14ac:dyDescent="0.15">
      <c r="A635" s="196" t="s">
        <v>11229</v>
      </c>
      <c r="B635" s="196" t="s">
        <v>11230</v>
      </c>
      <c r="C635" s="196" t="s">
        <v>12501</v>
      </c>
      <c r="D635" s="196" t="s">
        <v>12499</v>
      </c>
      <c r="E635" s="196" t="s">
        <v>12500</v>
      </c>
      <c r="F635" s="196" t="s">
        <v>11241</v>
      </c>
      <c r="G635" s="196" t="s">
        <v>12378</v>
      </c>
      <c r="H635" s="196" t="s">
        <v>11235</v>
      </c>
    </row>
    <row r="636" spans="1:8" x14ac:dyDescent="0.15">
      <c r="A636" s="196" t="s">
        <v>11229</v>
      </c>
      <c r="B636" s="196" t="s">
        <v>11230</v>
      </c>
      <c r="C636" s="196" t="s">
        <v>12502</v>
      </c>
      <c r="D636" s="196" t="s">
        <v>12503</v>
      </c>
      <c r="E636" s="196" t="s">
        <v>12503</v>
      </c>
      <c r="F636" s="196" t="s">
        <v>11233</v>
      </c>
      <c r="G636" s="196" t="s">
        <v>12378</v>
      </c>
      <c r="H636" s="196" t="s">
        <v>11235</v>
      </c>
    </row>
    <row r="637" spans="1:8" x14ac:dyDescent="0.15">
      <c r="A637" s="196" t="s">
        <v>11229</v>
      </c>
      <c r="B637" s="196" t="s">
        <v>11230</v>
      </c>
      <c r="C637" s="196" t="s">
        <v>12504</v>
      </c>
      <c r="D637" s="196" t="s">
        <v>12505</v>
      </c>
      <c r="E637" s="196" t="s">
        <v>12506</v>
      </c>
      <c r="F637" s="196" t="s">
        <v>11268</v>
      </c>
      <c r="G637" s="196" t="s">
        <v>11720</v>
      </c>
      <c r="H637" s="196" t="s">
        <v>11235</v>
      </c>
    </row>
    <row r="638" spans="1:8" x14ac:dyDescent="0.15">
      <c r="A638" s="196" t="s">
        <v>11229</v>
      </c>
      <c r="B638" s="196" t="s">
        <v>11230</v>
      </c>
      <c r="C638" s="196" t="s">
        <v>12507</v>
      </c>
      <c r="D638" s="196" t="s">
        <v>12508</v>
      </c>
      <c r="E638" s="196" t="s">
        <v>12509</v>
      </c>
      <c r="F638" s="196" t="s">
        <v>11241</v>
      </c>
      <c r="G638" s="196" t="s">
        <v>11449</v>
      </c>
      <c r="H638" s="196" t="s">
        <v>11235</v>
      </c>
    </row>
    <row r="639" spans="1:8" x14ac:dyDescent="0.15">
      <c r="A639" s="196" t="s">
        <v>11229</v>
      </c>
      <c r="B639" s="196" t="s">
        <v>11230</v>
      </c>
      <c r="C639" s="196" t="s">
        <v>12510</v>
      </c>
      <c r="D639" s="196" t="s">
        <v>12509</v>
      </c>
      <c r="E639" s="196" t="s">
        <v>12509</v>
      </c>
      <c r="F639" s="196" t="s">
        <v>11233</v>
      </c>
      <c r="G639" s="196" t="s">
        <v>11962</v>
      </c>
      <c r="H639" s="196" t="s">
        <v>11235</v>
      </c>
    </row>
    <row r="640" spans="1:8" x14ac:dyDescent="0.15">
      <c r="A640" s="196" t="s">
        <v>11229</v>
      </c>
      <c r="B640" s="196" t="s">
        <v>11230</v>
      </c>
      <c r="C640" s="196" t="s">
        <v>12511</v>
      </c>
      <c r="D640" s="196" t="s">
        <v>12512</v>
      </c>
      <c r="E640" s="196" t="s">
        <v>12512</v>
      </c>
      <c r="F640" s="196" t="s">
        <v>11233</v>
      </c>
      <c r="G640" s="196" t="s">
        <v>11449</v>
      </c>
      <c r="H640" s="196" t="s">
        <v>11235</v>
      </c>
    </row>
    <row r="641" spans="1:8" x14ac:dyDescent="0.15">
      <c r="A641" s="196" t="s">
        <v>11229</v>
      </c>
      <c r="B641" s="196" t="s">
        <v>11230</v>
      </c>
      <c r="C641" s="196" t="s">
        <v>12513</v>
      </c>
      <c r="D641" s="196" t="s">
        <v>12512</v>
      </c>
      <c r="E641" s="196" t="s">
        <v>12512</v>
      </c>
      <c r="F641" s="196" t="s">
        <v>11233</v>
      </c>
      <c r="G641" s="196" t="s">
        <v>11962</v>
      </c>
      <c r="H641" s="196" t="s">
        <v>11235</v>
      </c>
    </row>
    <row r="642" spans="1:8" x14ac:dyDescent="0.15">
      <c r="A642" s="196" t="s">
        <v>11229</v>
      </c>
      <c r="B642" s="196" t="s">
        <v>11230</v>
      </c>
      <c r="C642" s="196" t="s">
        <v>12514</v>
      </c>
      <c r="D642" s="196" t="s">
        <v>12515</v>
      </c>
      <c r="E642" s="196" t="s">
        <v>12516</v>
      </c>
      <c r="F642" s="196" t="s">
        <v>11241</v>
      </c>
      <c r="G642" s="196" t="s">
        <v>11234</v>
      </c>
      <c r="H642" s="196" t="s">
        <v>11235</v>
      </c>
    </row>
    <row r="643" spans="1:8" x14ac:dyDescent="0.15">
      <c r="A643" s="196" t="s">
        <v>11229</v>
      </c>
      <c r="B643" s="196" t="s">
        <v>11230</v>
      </c>
      <c r="C643" s="196" t="s">
        <v>12517</v>
      </c>
      <c r="D643" s="196" t="s">
        <v>12516</v>
      </c>
      <c r="E643" s="196" t="s">
        <v>12516</v>
      </c>
      <c r="F643" s="196" t="s">
        <v>11233</v>
      </c>
      <c r="G643" s="196" t="s">
        <v>12378</v>
      </c>
      <c r="H643" s="196" t="s">
        <v>11235</v>
      </c>
    </row>
    <row r="644" spans="1:8" x14ac:dyDescent="0.15">
      <c r="A644" s="196" t="s">
        <v>11229</v>
      </c>
      <c r="B644" s="196" t="s">
        <v>11230</v>
      </c>
      <c r="C644" s="196" t="s">
        <v>12518</v>
      </c>
      <c r="D644" s="196" t="s">
        <v>12519</v>
      </c>
      <c r="E644" s="196" t="s">
        <v>12519</v>
      </c>
      <c r="F644" s="196" t="s">
        <v>11233</v>
      </c>
      <c r="G644" s="196" t="s">
        <v>11720</v>
      </c>
      <c r="H644" s="196" t="s">
        <v>11235</v>
      </c>
    </row>
    <row r="645" spans="1:8" x14ac:dyDescent="0.15">
      <c r="A645" s="196" t="s">
        <v>11229</v>
      </c>
      <c r="B645" s="196" t="s">
        <v>11230</v>
      </c>
      <c r="C645" s="196" t="s">
        <v>12520</v>
      </c>
      <c r="D645" s="196" t="s">
        <v>12521</v>
      </c>
      <c r="E645" s="196" t="s">
        <v>12522</v>
      </c>
      <c r="F645" s="196" t="s">
        <v>12523</v>
      </c>
      <c r="G645" s="196" t="s">
        <v>11962</v>
      </c>
      <c r="H645" s="196" t="s">
        <v>11235</v>
      </c>
    </row>
    <row r="646" spans="1:8" x14ac:dyDescent="0.15">
      <c r="A646" s="196" t="s">
        <v>11229</v>
      </c>
      <c r="B646" s="196" t="s">
        <v>11230</v>
      </c>
      <c r="C646" s="196" t="s">
        <v>12524</v>
      </c>
      <c r="D646" s="196" t="s">
        <v>12521</v>
      </c>
      <c r="E646" s="196" t="s">
        <v>12525</v>
      </c>
      <c r="F646" s="196" t="s">
        <v>12526</v>
      </c>
      <c r="G646" s="196" t="s">
        <v>11449</v>
      </c>
      <c r="H646" s="196" t="s">
        <v>11235</v>
      </c>
    </row>
    <row r="647" spans="1:8" x14ac:dyDescent="0.15">
      <c r="A647" s="196" t="s">
        <v>11229</v>
      </c>
      <c r="B647" s="196" t="s">
        <v>11230</v>
      </c>
      <c r="C647" s="196" t="s">
        <v>12527</v>
      </c>
      <c r="D647" s="196" t="s">
        <v>12528</v>
      </c>
      <c r="E647" s="196" t="s">
        <v>12528</v>
      </c>
      <c r="F647" s="196" t="s">
        <v>11233</v>
      </c>
      <c r="G647" s="196" t="s">
        <v>12378</v>
      </c>
      <c r="H647" s="196" t="s">
        <v>11235</v>
      </c>
    </row>
    <row r="648" spans="1:8" x14ac:dyDescent="0.15">
      <c r="A648" s="196" t="s">
        <v>11229</v>
      </c>
      <c r="B648" s="196" t="s">
        <v>11230</v>
      </c>
      <c r="C648" s="196" t="s">
        <v>12529</v>
      </c>
      <c r="D648" s="196" t="s">
        <v>12528</v>
      </c>
      <c r="E648" s="196" t="s">
        <v>12530</v>
      </c>
      <c r="F648" s="196" t="s">
        <v>11268</v>
      </c>
      <c r="G648" s="196" t="s">
        <v>11234</v>
      </c>
      <c r="H648" s="196" t="s">
        <v>11235</v>
      </c>
    </row>
    <row r="649" spans="1:8" x14ac:dyDescent="0.15">
      <c r="A649" s="196" t="s">
        <v>11229</v>
      </c>
      <c r="B649" s="196" t="s">
        <v>11230</v>
      </c>
      <c r="C649" s="196" t="s">
        <v>12531</v>
      </c>
      <c r="D649" s="196" t="s">
        <v>12532</v>
      </c>
      <c r="E649" s="196" t="s">
        <v>12532</v>
      </c>
      <c r="F649" s="196" t="s">
        <v>11233</v>
      </c>
      <c r="G649" s="196" t="s">
        <v>12378</v>
      </c>
      <c r="H649" s="196" t="s">
        <v>11235</v>
      </c>
    </row>
    <row r="650" spans="1:8" x14ac:dyDescent="0.15">
      <c r="A650" s="196" t="s">
        <v>11229</v>
      </c>
      <c r="B650" s="196" t="s">
        <v>11230</v>
      </c>
      <c r="C650" s="196" t="s">
        <v>12533</v>
      </c>
      <c r="D650" s="196" t="s">
        <v>12532</v>
      </c>
      <c r="E650" s="196" t="s">
        <v>12532</v>
      </c>
      <c r="F650" s="196" t="s">
        <v>11233</v>
      </c>
      <c r="G650" s="196" t="s">
        <v>11234</v>
      </c>
      <c r="H650" s="196" t="s">
        <v>11235</v>
      </c>
    </row>
    <row r="651" spans="1:8" x14ac:dyDescent="0.15">
      <c r="A651" s="196" t="s">
        <v>11229</v>
      </c>
      <c r="B651" s="196" t="s">
        <v>11230</v>
      </c>
      <c r="C651" s="196" t="s">
        <v>12534</v>
      </c>
      <c r="D651" s="196" t="s">
        <v>12535</v>
      </c>
      <c r="E651" s="196" t="s">
        <v>12536</v>
      </c>
      <c r="F651" s="196" t="s">
        <v>12537</v>
      </c>
      <c r="G651" s="196" t="s">
        <v>11720</v>
      </c>
      <c r="H651" s="196" t="s">
        <v>11235</v>
      </c>
    </row>
    <row r="652" spans="1:8" x14ac:dyDescent="0.15">
      <c r="A652" s="196" t="s">
        <v>11229</v>
      </c>
      <c r="B652" s="196" t="s">
        <v>11230</v>
      </c>
      <c r="C652" s="196" t="s">
        <v>12538</v>
      </c>
      <c r="D652" s="196" t="s">
        <v>12539</v>
      </c>
      <c r="E652" s="196" t="s">
        <v>12540</v>
      </c>
      <c r="F652" s="196" t="s">
        <v>12537</v>
      </c>
      <c r="G652" s="196" t="s">
        <v>11720</v>
      </c>
      <c r="H652" s="196" t="s">
        <v>11235</v>
      </c>
    </row>
    <row r="653" spans="1:8" x14ac:dyDescent="0.15">
      <c r="A653" s="196" t="s">
        <v>11229</v>
      </c>
      <c r="B653" s="196" t="s">
        <v>11230</v>
      </c>
      <c r="C653" s="196" t="s">
        <v>12541</v>
      </c>
      <c r="D653" s="196" t="s">
        <v>12542</v>
      </c>
      <c r="E653" s="196" t="s">
        <v>12543</v>
      </c>
      <c r="F653" s="196" t="s">
        <v>12544</v>
      </c>
      <c r="G653" s="196" t="s">
        <v>11449</v>
      </c>
      <c r="H653" s="196" t="s">
        <v>11235</v>
      </c>
    </row>
    <row r="654" spans="1:8" x14ac:dyDescent="0.15">
      <c r="A654" s="196" t="s">
        <v>11229</v>
      </c>
      <c r="B654" s="196" t="s">
        <v>11230</v>
      </c>
      <c r="C654" s="196" t="s">
        <v>12545</v>
      </c>
      <c r="D654" s="196" t="s">
        <v>12546</v>
      </c>
      <c r="E654" s="196" t="s">
        <v>12546</v>
      </c>
      <c r="F654" s="196" t="s">
        <v>11233</v>
      </c>
      <c r="G654" s="196" t="s">
        <v>11234</v>
      </c>
      <c r="H654" s="196" t="s">
        <v>11235</v>
      </c>
    </row>
    <row r="655" spans="1:8" x14ac:dyDescent="0.15">
      <c r="A655" s="196" t="s">
        <v>11229</v>
      </c>
      <c r="B655" s="196" t="s">
        <v>11230</v>
      </c>
      <c r="C655" s="196" t="s">
        <v>12547</v>
      </c>
      <c r="D655" s="196" t="s">
        <v>12546</v>
      </c>
      <c r="E655" s="196" t="s">
        <v>12548</v>
      </c>
      <c r="F655" s="196" t="s">
        <v>11241</v>
      </c>
      <c r="G655" s="196" t="s">
        <v>12378</v>
      </c>
      <c r="H655" s="196" t="s">
        <v>11235</v>
      </c>
    </row>
    <row r="656" spans="1:8" x14ac:dyDescent="0.15">
      <c r="A656" s="196" t="s">
        <v>11229</v>
      </c>
      <c r="B656" s="196" t="s">
        <v>11230</v>
      </c>
      <c r="C656" s="196" t="s">
        <v>12549</v>
      </c>
      <c r="D656" s="196" t="s">
        <v>12548</v>
      </c>
      <c r="E656" s="196" t="s">
        <v>12548</v>
      </c>
      <c r="F656" s="196" t="s">
        <v>11233</v>
      </c>
      <c r="G656" s="196" t="s">
        <v>11234</v>
      </c>
      <c r="H656" s="196" t="s">
        <v>11235</v>
      </c>
    </row>
    <row r="657" spans="1:8" x14ac:dyDescent="0.15">
      <c r="A657" s="196" t="s">
        <v>11229</v>
      </c>
      <c r="B657" s="196" t="s">
        <v>11230</v>
      </c>
      <c r="C657" s="196" t="s">
        <v>12550</v>
      </c>
      <c r="D657" s="196" t="s">
        <v>12551</v>
      </c>
      <c r="E657" s="196" t="s">
        <v>12552</v>
      </c>
      <c r="F657" s="196" t="s">
        <v>12553</v>
      </c>
      <c r="G657" s="196" t="s">
        <v>11720</v>
      </c>
      <c r="H657" s="196" t="s">
        <v>11235</v>
      </c>
    </row>
    <row r="658" spans="1:8" x14ac:dyDescent="0.15">
      <c r="A658" s="196" t="s">
        <v>11229</v>
      </c>
      <c r="B658" s="196" t="s">
        <v>11230</v>
      </c>
      <c r="C658" s="196" t="s">
        <v>12554</v>
      </c>
      <c r="D658" s="196" t="s">
        <v>12543</v>
      </c>
      <c r="E658" s="196" t="s">
        <v>12543</v>
      </c>
      <c r="F658" s="196" t="s">
        <v>11233</v>
      </c>
      <c r="G658" s="196" t="s">
        <v>12378</v>
      </c>
      <c r="H658" s="196" t="s">
        <v>11235</v>
      </c>
    </row>
    <row r="659" spans="1:8" x14ac:dyDescent="0.15">
      <c r="A659" s="196" t="s">
        <v>11229</v>
      </c>
      <c r="B659" s="196" t="s">
        <v>11230</v>
      </c>
      <c r="C659" s="196" t="s">
        <v>12555</v>
      </c>
      <c r="D659" s="196" t="s">
        <v>12556</v>
      </c>
      <c r="E659" s="196" t="s">
        <v>12557</v>
      </c>
      <c r="F659" s="196" t="s">
        <v>12558</v>
      </c>
      <c r="G659" s="196" t="s">
        <v>11449</v>
      </c>
      <c r="H659" s="196" t="s">
        <v>11235</v>
      </c>
    </row>
    <row r="660" spans="1:8" x14ac:dyDescent="0.15">
      <c r="A660" s="196" t="s">
        <v>11229</v>
      </c>
      <c r="B660" s="196" t="s">
        <v>11230</v>
      </c>
      <c r="C660" s="196" t="s">
        <v>12559</v>
      </c>
      <c r="D660" s="196" t="s">
        <v>12556</v>
      </c>
      <c r="E660" s="196" t="s">
        <v>12556</v>
      </c>
      <c r="F660" s="196" t="s">
        <v>11233</v>
      </c>
      <c r="G660" s="196" t="s">
        <v>11234</v>
      </c>
      <c r="H660" s="196" t="s">
        <v>11235</v>
      </c>
    </row>
    <row r="661" spans="1:8" x14ac:dyDescent="0.15">
      <c r="A661" s="196" t="s">
        <v>11229</v>
      </c>
      <c r="B661" s="196" t="s">
        <v>11230</v>
      </c>
      <c r="C661" s="196" t="s">
        <v>12560</v>
      </c>
      <c r="D661" s="196" t="s">
        <v>12561</v>
      </c>
      <c r="E661" s="196" t="s">
        <v>12561</v>
      </c>
      <c r="F661" s="196" t="s">
        <v>11233</v>
      </c>
      <c r="G661" s="196" t="s">
        <v>11234</v>
      </c>
      <c r="H661" s="196" t="s">
        <v>11235</v>
      </c>
    </row>
    <row r="662" spans="1:8" x14ac:dyDescent="0.15">
      <c r="A662" s="196" t="s">
        <v>11229</v>
      </c>
      <c r="B662" s="196" t="s">
        <v>11230</v>
      </c>
      <c r="C662" s="196" t="s">
        <v>12562</v>
      </c>
      <c r="D662" s="196" t="s">
        <v>12563</v>
      </c>
      <c r="E662" s="196" t="s">
        <v>12563</v>
      </c>
      <c r="F662" s="196" t="s">
        <v>11233</v>
      </c>
      <c r="G662" s="196" t="s">
        <v>11234</v>
      </c>
      <c r="H662" s="196" t="s">
        <v>11235</v>
      </c>
    </row>
    <row r="663" spans="1:8" x14ac:dyDescent="0.15">
      <c r="A663" s="196" t="s">
        <v>11229</v>
      </c>
      <c r="B663" s="196" t="s">
        <v>11230</v>
      </c>
      <c r="C663" s="196" t="s">
        <v>12564</v>
      </c>
      <c r="D663" s="196" t="s">
        <v>12565</v>
      </c>
      <c r="E663" s="196" t="s">
        <v>12565</v>
      </c>
      <c r="F663" s="196" t="s">
        <v>11233</v>
      </c>
      <c r="G663" s="196" t="s">
        <v>11234</v>
      </c>
      <c r="H663" s="196" t="s">
        <v>11235</v>
      </c>
    </row>
    <row r="664" spans="1:8" x14ac:dyDescent="0.15">
      <c r="A664" s="196" t="s">
        <v>11229</v>
      </c>
      <c r="B664" s="196" t="s">
        <v>11230</v>
      </c>
      <c r="C664" s="196" t="s">
        <v>12566</v>
      </c>
      <c r="D664" s="196" t="s">
        <v>12567</v>
      </c>
      <c r="E664" s="196" t="s">
        <v>12568</v>
      </c>
      <c r="F664" s="196" t="s">
        <v>11241</v>
      </c>
      <c r="G664" s="196" t="s">
        <v>11234</v>
      </c>
      <c r="H664" s="196" t="s">
        <v>11235</v>
      </c>
    </row>
    <row r="665" spans="1:8" x14ac:dyDescent="0.15">
      <c r="A665" s="196" t="s">
        <v>11229</v>
      </c>
      <c r="B665" s="196" t="s">
        <v>11230</v>
      </c>
      <c r="C665" s="196" t="s">
        <v>12569</v>
      </c>
      <c r="D665" s="196" t="s">
        <v>12570</v>
      </c>
      <c r="E665" s="196" t="s">
        <v>12571</v>
      </c>
      <c r="F665" s="196" t="s">
        <v>12572</v>
      </c>
      <c r="G665" s="196" t="s">
        <v>11449</v>
      </c>
      <c r="H665" s="196" t="s">
        <v>11235</v>
      </c>
    </row>
    <row r="666" spans="1:8" x14ac:dyDescent="0.15">
      <c r="A666" s="196" t="s">
        <v>11229</v>
      </c>
      <c r="B666" s="196" t="s">
        <v>11230</v>
      </c>
      <c r="C666" s="196" t="s">
        <v>12573</v>
      </c>
      <c r="D666" s="196" t="s">
        <v>12574</v>
      </c>
      <c r="E666" s="196" t="s">
        <v>12574</v>
      </c>
      <c r="F666" s="196" t="s">
        <v>11233</v>
      </c>
      <c r="G666" s="196" t="s">
        <v>12378</v>
      </c>
      <c r="H666" s="196" t="s">
        <v>11235</v>
      </c>
    </row>
    <row r="667" spans="1:8" x14ac:dyDescent="0.15">
      <c r="A667" s="196" t="s">
        <v>11229</v>
      </c>
      <c r="B667" s="196" t="s">
        <v>11230</v>
      </c>
      <c r="C667" s="196" t="s">
        <v>12575</v>
      </c>
      <c r="D667" s="196" t="s">
        <v>12576</v>
      </c>
      <c r="E667" s="196" t="s">
        <v>12576</v>
      </c>
      <c r="F667" s="196" t="s">
        <v>11233</v>
      </c>
      <c r="G667" s="196" t="s">
        <v>11234</v>
      </c>
      <c r="H667" s="196" t="s">
        <v>11235</v>
      </c>
    </row>
    <row r="668" spans="1:8" x14ac:dyDescent="0.15">
      <c r="A668" s="196" t="s">
        <v>11229</v>
      </c>
      <c r="B668" s="196" t="s">
        <v>11230</v>
      </c>
      <c r="C668" s="196" t="s">
        <v>12577</v>
      </c>
      <c r="D668" s="196" t="s">
        <v>12578</v>
      </c>
      <c r="E668" s="196" t="s">
        <v>12578</v>
      </c>
      <c r="F668" s="196" t="s">
        <v>11233</v>
      </c>
      <c r="G668" s="196" t="s">
        <v>11234</v>
      </c>
      <c r="H668" s="196" t="s">
        <v>11235</v>
      </c>
    </row>
    <row r="669" spans="1:8" x14ac:dyDescent="0.15">
      <c r="A669" s="196" t="s">
        <v>11229</v>
      </c>
      <c r="B669" s="196" t="s">
        <v>11230</v>
      </c>
      <c r="C669" s="196" t="s">
        <v>12579</v>
      </c>
      <c r="D669" s="196" t="s">
        <v>12571</v>
      </c>
      <c r="E669" s="196" t="s">
        <v>12580</v>
      </c>
      <c r="F669" s="196" t="s">
        <v>12558</v>
      </c>
      <c r="G669" s="196" t="s">
        <v>11449</v>
      </c>
      <c r="H669" s="196" t="s">
        <v>11235</v>
      </c>
    </row>
    <row r="670" spans="1:8" x14ac:dyDescent="0.15">
      <c r="A670" s="196" t="s">
        <v>11229</v>
      </c>
      <c r="B670" s="196" t="s">
        <v>11230</v>
      </c>
      <c r="C670" s="196" t="s">
        <v>12581</v>
      </c>
      <c r="D670" s="196" t="s">
        <v>12582</v>
      </c>
      <c r="E670" s="196" t="s">
        <v>12582</v>
      </c>
      <c r="F670" s="196" t="s">
        <v>11233</v>
      </c>
      <c r="G670" s="196" t="s">
        <v>12378</v>
      </c>
      <c r="H670" s="196" t="s">
        <v>11235</v>
      </c>
    </row>
    <row r="671" spans="1:8" x14ac:dyDescent="0.15">
      <c r="A671" s="196" t="s">
        <v>11229</v>
      </c>
      <c r="B671" s="196" t="s">
        <v>11230</v>
      </c>
      <c r="C671" s="196" t="s">
        <v>12583</v>
      </c>
      <c r="D671" s="196" t="s">
        <v>12584</v>
      </c>
      <c r="E671" s="196" t="s">
        <v>12584</v>
      </c>
      <c r="F671" s="196" t="s">
        <v>11233</v>
      </c>
      <c r="G671" s="196" t="s">
        <v>12378</v>
      </c>
      <c r="H671" s="196" t="s">
        <v>11235</v>
      </c>
    </row>
    <row r="672" spans="1:8" x14ac:dyDescent="0.15">
      <c r="A672" s="196" t="s">
        <v>11229</v>
      </c>
      <c r="B672" s="196" t="s">
        <v>11230</v>
      </c>
      <c r="C672" s="196" t="s">
        <v>12585</v>
      </c>
      <c r="D672" s="196" t="s">
        <v>12586</v>
      </c>
      <c r="E672" s="196" t="s">
        <v>12586</v>
      </c>
      <c r="F672" s="196" t="s">
        <v>11233</v>
      </c>
      <c r="G672" s="196" t="s">
        <v>12378</v>
      </c>
      <c r="H672" s="196" t="s">
        <v>11235</v>
      </c>
    </row>
    <row r="673" spans="1:8" x14ac:dyDescent="0.15">
      <c r="A673" s="196" t="s">
        <v>11229</v>
      </c>
      <c r="B673" s="196" t="s">
        <v>11230</v>
      </c>
      <c r="C673" s="196" t="s">
        <v>12587</v>
      </c>
      <c r="D673" s="196" t="s">
        <v>12588</v>
      </c>
      <c r="E673" s="196" t="s">
        <v>12588</v>
      </c>
      <c r="F673" s="196" t="s">
        <v>11233</v>
      </c>
      <c r="G673" s="196" t="s">
        <v>12378</v>
      </c>
      <c r="H673" s="196" t="s">
        <v>11235</v>
      </c>
    </row>
    <row r="674" spans="1:8" x14ac:dyDescent="0.15">
      <c r="A674" s="196" t="s">
        <v>11229</v>
      </c>
      <c r="B674" s="196" t="s">
        <v>11230</v>
      </c>
      <c r="C674" s="196" t="s">
        <v>12589</v>
      </c>
      <c r="D674" s="196" t="s">
        <v>12580</v>
      </c>
      <c r="E674" s="196" t="s">
        <v>12580</v>
      </c>
      <c r="F674" s="196" t="s">
        <v>11233</v>
      </c>
      <c r="G674" s="196" t="s">
        <v>11234</v>
      </c>
      <c r="H674" s="196" t="s">
        <v>11235</v>
      </c>
    </row>
    <row r="675" spans="1:8" x14ac:dyDescent="0.15">
      <c r="A675" s="196" t="s">
        <v>11229</v>
      </c>
      <c r="B675" s="196" t="s">
        <v>11230</v>
      </c>
      <c r="C675" s="196" t="s">
        <v>12590</v>
      </c>
      <c r="D675" s="196" t="s">
        <v>12591</v>
      </c>
      <c r="E675" s="196" t="s">
        <v>12592</v>
      </c>
      <c r="F675" s="196" t="s">
        <v>12593</v>
      </c>
      <c r="G675" s="196" t="s">
        <v>11449</v>
      </c>
      <c r="H675" s="196" t="s">
        <v>11235</v>
      </c>
    </row>
    <row r="676" spans="1:8" x14ac:dyDescent="0.15">
      <c r="A676" s="196" t="s">
        <v>11229</v>
      </c>
      <c r="B676" s="196" t="s">
        <v>11230</v>
      </c>
      <c r="C676" s="196" t="s">
        <v>12594</v>
      </c>
      <c r="D676" s="196" t="s">
        <v>12591</v>
      </c>
      <c r="E676" s="196" t="s">
        <v>12591</v>
      </c>
      <c r="F676" s="196" t="s">
        <v>11233</v>
      </c>
      <c r="G676" s="196" t="s">
        <v>12378</v>
      </c>
      <c r="H676" s="196" t="s">
        <v>11235</v>
      </c>
    </row>
    <row r="677" spans="1:8" x14ac:dyDescent="0.15">
      <c r="A677" s="196" t="s">
        <v>11229</v>
      </c>
      <c r="B677" s="196" t="s">
        <v>11230</v>
      </c>
      <c r="C677" s="196" t="s">
        <v>12595</v>
      </c>
      <c r="D677" s="196" t="s">
        <v>12596</v>
      </c>
      <c r="E677" s="196" t="s">
        <v>12596</v>
      </c>
      <c r="F677" s="196" t="s">
        <v>11233</v>
      </c>
      <c r="G677" s="196" t="s">
        <v>12378</v>
      </c>
      <c r="H677" s="196" t="s">
        <v>11235</v>
      </c>
    </row>
    <row r="678" spans="1:8" x14ac:dyDescent="0.15">
      <c r="A678" s="196" t="s">
        <v>11229</v>
      </c>
      <c r="B678" s="196" t="s">
        <v>11230</v>
      </c>
      <c r="C678" s="196" t="s">
        <v>12597</v>
      </c>
      <c r="D678" s="196" t="s">
        <v>12598</v>
      </c>
      <c r="E678" s="196" t="s">
        <v>12599</v>
      </c>
      <c r="F678" s="196" t="s">
        <v>11241</v>
      </c>
      <c r="G678" s="196" t="s">
        <v>12378</v>
      </c>
      <c r="H678" s="196" t="s">
        <v>11235</v>
      </c>
    </row>
    <row r="679" spans="1:8" x14ac:dyDescent="0.15">
      <c r="A679" s="196" t="s">
        <v>11229</v>
      </c>
      <c r="B679" s="196" t="s">
        <v>11230</v>
      </c>
      <c r="C679" s="196" t="s">
        <v>12600</v>
      </c>
      <c r="D679" s="196" t="s">
        <v>12601</v>
      </c>
      <c r="E679" s="196" t="s">
        <v>12601</v>
      </c>
      <c r="F679" s="196" t="s">
        <v>11233</v>
      </c>
      <c r="G679" s="196" t="s">
        <v>12378</v>
      </c>
      <c r="H679" s="196" t="s">
        <v>11235</v>
      </c>
    </row>
    <row r="680" spans="1:8" x14ac:dyDescent="0.15">
      <c r="A680" s="196" t="s">
        <v>11229</v>
      </c>
      <c r="B680" s="196" t="s">
        <v>11230</v>
      </c>
      <c r="C680" s="196" t="s">
        <v>12602</v>
      </c>
      <c r="D680" s="196" t="s">
        <v>12603</v>
      </c>
      <c r="E680" s="196" t="s">
        <v>12603</v>
      </c>
      <c r="F680" s="196" t="s">
        <v>11233</v>
      </c>
      <c r="G680" s="196" t="s">
        <v>12378</v>
      </c>
      <c r="H680" s="196" t="s">
        <v>11235</v>
      </c>
    </row>
    <row r="681" spans="1:8" x14ac:dyDescent="0.15">
      <c r="A681" s="196" t="s">
        <v>11229</v>
      </c>
      <c r="B681" s="196" t="s">
        <v>11230</v>
      </c>
      <c r="C681" s="196" t="s">
        <v>12604</v>
      </c>
      <c r="D681" s="196" t="s">
        <v>12605</v>
      </c>
      <c r="E681" s="196" t="s">
        <v>12605</v>
      </c>
      <c r="F681" s="196" t="s">
        <v>11233</v>
      </c>
      <c r="G681" s="196" t="s">
        <v>12378</v>
      </c>
      <c r="H681" s="196" t="s">
        <v>11235</v>
      </c>
    </row>
    <row r="682" spans="1:8" x14ac:dyDescent="0.15">
      <c r="A682" s="196" t="s">
        <v>11229</v>
      </c>
      <c r="B682" s="196" t="s">
        <v>11230</v>
      </c>
      <c r="C682" s="196" t="s">
        <v>12606</v>
      </c>
      <c r="D682" s="196" t="s">
        <v>12607</v>
      </c>
      <c r="E682" s="196" t="s">
        <v>12607</v>
      </c>
      <c r="F682" s="196" t="s">
        <v>11233</v>
      </c>
      <c r="G682" s="196" t="s">
        <v>12378</v>
      </c>
      <c r="H682" s="196" t="s">
        <v>11235</v>
      </c>
    </row>
    <row r="683" spans="1:8" x14ac:dyDescent="0.15">
      <c r="A683" s="196" t="s">
        <v>11229</v>
      </c>
      <c r="B683" s="196" t="s">
        <v>11230</v>
      </c>
      <c r="C683" s="196" t="s">
        <v>12608</v>
      </c>
      <c r="D683" s="196" t="s">
        <v>12609</v>
      </c>
      <c r="E683" s="196" t="s">
        <v>12609</v>
      </c>
      <c r="F683" s="196" t="s">
        <v>11233</v>
      </c>
      <c r="G683" s="196" t="s">
        <v>12378</v>
      </c>
      <c r="H683" s="196" t="s">
        <v>11235</v>
      </c>
    </row>
    <row r="684" spans="1:8" x14ac:dyDescent="0.15">
      <c r="A684" s="196" t="s">
        <v>11229</v>
      </c>
      <c r="B684" s="196" t="s">
        <v>11230</v>
      </c>
      <c r="C684" s="196" t="s">
        <v>12610</v>
      </c>
      <c r="D684" s="196" t="s">
        <v>12611</v>
      </c>
      <c r="E684" s="196" t="s">
        <v>12612</v>
      </c>
      <c r="F684" s="196" t="s">
        <v>12613</v>
      </c>
      <c r="G684" s="196" t="s">
        <v>11449</v>
      </c>
      <c r="H684" s="196" t="s">
        <v>11235</v>
      </c>
    </row>
    <row r="685" spans="1:8" x14ac:dyDescent="0.15">
      <c r="A685" s="196" t="s">
        <v>11229</v>
      </c>
      <c r="B685" s="196" t="s">
        <v>11230</v>
      </c>
      <c r="C685" s="196" t="s">
        <v>12614</v>
      </c>
      <c r="D685" s="196" t="s">
        <v>12615</v>
      </c>
      <c r="E685" s="196" t="s">
        <v>12615</v>
      </c>
      <c r="F685" s="196" t="s">
        <v>11233</v>
      </c>
      <c r="G685" s="196" t="s">
        <v>11234</v>
      </c>
      <c r="H685" s="196" t="s">
        <v>11235</v>
      </c>
    </row>
    <row r="686" spans="1:8" x14ac:dyDescent="0.15">
      <c r="A686" s="196" t="s">
        <v>11229</v>
      </c>
      <c r="B686" s="196" t="s">
        <v>11230</v>
      </c>
      <c r="C686" s="196" t="s">
        <v>12616</v>
      </c>
      <c r="D686" s="196" t="s">
        <v>12612</v>
      </c>
      <c r="E686" s="196" t="s">
        <v>12612</v>
      </c>
      <c r="F686" s="196" t="s">
        <v>11233</v>
      </c>
      <c r="G686" s="196" t="s">
        <v>12378</v>
      </c>
      <c r="H686" s="196" t="s">
        <v>11235</v>
      </c>
    </row>
    <row r="687" spans="1:8" x14ac:dyDescent="0.15">
      <c r="A687" s="196" t="s">
        <v>11229</v>
      </c>
      <c r="B687" s="196" t="s">
        <v>11230</v>
      </c>
      <c r="C687" s="196" t="s">
        <v>12617</v>
      </c>
      <c r="D687" s="196" t="s">
        <v>12618</v>
      </c>
      <c r="E687" s="196" t="s">
        <v>12619</v>
      </c>
      <c r="F687" s="196" t="s">
        <v>12572</v>
      </c>
      <c r="G687" s="196" t="s">
        <v>11449</v>
      </c>
      <c r="H687" s="196" t="s">
        <v>11235</v>
      </c>
    </row>
    <row r="688" spans="1:8" x14ac:dyDescent="0.15">
      <c r="A688" s="196" t="s">
        <v>11229</v>
      </c>
      <c r="B688" s="196" t="s">
        <v>11230</v>
      </c>
      <c r="C688" s="196" t="s">
        <v>12620</v>
      </c>
      <c r="D688" s="196" t="s">
        <v>12621</v>
      </c>
      <c r="E688" s="196" t="s">
        <v>12621</v>
      </c>
      <c r="F688" s="196" t="s">
        <v>11233</v>
      </c>
      <c r="G688" s="196" t="s">
        <v>11234</v>
      </c>
      <c r="H688" s="196" t="s">
        <v>11235</v>
      </c>
    </row>
    <row r="689" spans="1:8" x14ac:dyDescent="0.15">
      <c r="A689" s="196" t="s">
        <v>11229</v>
      </c>
      <c r="B689" s="196" t="s">
        <v>11230</v>
      </c>
      <c r="C689" s="196" t="s">
        <v>12622</v>
      </c>
      <c r="D689" s="196" t="s">
        <v>12623</v>
      </c>
      <c r="E689" s="196" t="s">
        <v>12624</v>
      </c>
      <c r="F689" s="196" t="s">
        <v>12625</v>
      </c>
      <c r="G689" s="196" t="s">
        <v>11449</v>
      </c>
      <c r="H689" s="196" t="s">
        <v>11235</v>
      </c>
    </row>
    <row r="690" spans="1:8" x14ac:dyDescent="0.15">
      <c r="A690" s="196" t="s">
        <v>11229</v>
      </c>
      <c r="B690" s="196" t="s">
        <v>11230</v>
      </c>
      <c r="C690" s="196" t="s">
        <v>12626</v>
      </c>
      <c r="D690" s="196" t="s">
        <v>12627</v>
      </c>
      <c r="E690" s="196" t="s">
        <v>12628</v>
      </c>
      <c r="F690" s="196" t="s">
        <v>11268</v>
      </c>
      <c r="G690" s="196" t="s">
        <v>12378</v>
      </c>
      <c r="H690" s="196" t="s">
        <v>11235</v>
      </c>
    </row>
    <row r="691" spans="1:8" x14ac:dyDescent="0.15">
      <c r="A691" s="196" t="s">
        <v>11229</v>
      </c>
      <c r="B691" s="196" t="s">
        <v>11230</v>
      </c>
      <c r="C691" s="196" t="s">
        <v>12629</v>
      </c>
      <c r="D691" s="196" t="s">
        <v>12624</v>
      </c>
      <c r="E691" s="196" t="s">
        <v>12630</v>
      </c>
      <c r="F691" s="196" t="s">
        <v>12631</v>
      </c>
      <c r="G691" s="196" t="s">
        <v>11449</v>
      </c>
      <c r="H691" s="196" t="s">
        <v>11235</v>
      </c>
    </row>
    <row r="692" spans="1:8" x14ac:dyDescent="0.15">
      <c r="A692" s="196" t="s">
        <v>11229</v>
      </c>
      <c r="B692" s="196" t="s">
        <v>11230</v>
      </c>
      <c r="C692" s="196" t="s">
        <v>12632</v>
      </c>
      <c r="D692" s="196" t="s">
        <v>12624</v>
      </c>
      <c r="E692" s="196" t="s">
        <v>12624</v>
      </c>
      <c r="F692" s="196" t="s">
        <v>11233</v>
      </c>
      <c r="G692" s="196" t="s">
        <v>11234</v>
      </c>
      <c r="H692" s="196" t="s">
        <v>11235</v>
      </c>
    </row>
    <row r="693" spans="1:8" x14ac:dyDescent="0.15">
      <c r="A693" s="196" t="s">
        <v>11229</v>
      </c>
      <c r="B693" s="196" t="s">
        <v>11230</v>
      </c>
      <c r="C693" s="196" t="s">
        <v>12633</v>
      </c>
      <c r="D693" s="196" t="s">
        <v>12634</v>
      </c>
      <c r="E693" s="196" t="s">
        <v>12634</v>
      </c>
      <c r="F693" s="196" t="s">
        <v>11233</v>
      </c>
      <c r="G693" s="196" t="s">
        <v>11234</v>
      </c>
      <c r="H693" s="196" t="s">
        <v>11235</v>
      </c>
    </row>
    <row r="694" spans="1:8" x14ac:dyDescent="0.15">
      <c r="A694" s="196" t="s">
        <v>11229</v>
      </c>
      <c r="B694" s="196" t="s">
        <v>11230</v>
      </c>
      <c r="C694" s="196" t="s">
        <v>12635</v>
      </c>
      <c r="D694" s="196" t="s">
        <v>12636</v>
      </c>
      <c r="E694" s="196" t="s">
        <v>12636</v>
      </c>
      <c r="F694" s="196" t="s">
        <v>11233</v>
      </c>
      <c r="G694" s="196" t="s">
        <v>12378</v>
      </c>
      <c r="H694" s="196" t="s">
        <v>11235</v>
      </c>
    </row>
    <row r="695" spans="1:8" x14ac:dyDescent="0.15">
      <c r="A695" s="196" t="s">
        <v>11229</v>
      </c>
      <c r="B695" s="196" t="s">
        <v>11230</v>
      </c>
      <c r="C695" s="196" t="s">
        <v>12637</v>
      </c>
      <c r="D695" s="196" t="s">
        <v>12638</v>
      </c>
      <c r="E695" s="196" t="s">
        <v>12639</v>
      </c>
      <c r="F695" s="196" t="s">
        <v>12640</v>
      </c>
      <c r="G695" s="196" t="s">
        <v>11449</v>
      </c>
      <c r="H695" s="196" t="s">
        <v>11235</v>
      </c>
    </row>
    <row r="696" spans="1:8" x14ac:dyDescent="0.15">
      <c r="A696" s="196" t="s">
        <v>11229</v>
      </c>
      <c r="B696" s="196" t="s">
        <v>11230</v>
      </c>
      <c r="C696" s="196" t="s">
        <v>12641</v>
      </c>
      <c r="D696" s="196" t="s">
        <v>12642</v>
      </c>
      <c r="E696" s="196" t="s">
        <v>12642</v>
      </c>
      <c r="F696" s="196" t="s">
        <v>11233</v>
      </c>
      <c r="G696" s="196" t="s">
        <v>11234</v>
      </c>
      <c r="H696" s="196" t="s">
        <v>11235</v>
      </c>
    </row>
    <row r="697" spans="1:8" x14ac:dyDescent="0.15">
      <c r="A697" s="196" t="s">
        <v>11229</v>
      </c>
      <c r="B697" s="196" t="s">
        <v>11230</v>
      </c>
      <c r="C697" s="196" t="s">
        <v>12643</v>
      </c>
      <c r="D697" s="196" t="s">
        <v>12644</v>
      </c>
      <c r="E697" s="196" t="s">
        <v>12645</v>
      </c>
      <c r="F697" s="196" t="s">
        <v>12646</v>
      </c>
      <c r="G697" s="196" t="s">
        <v>11449</v>
      </c>
      <c r="H697" s="196" t="s">
        <v>11235</v>
      </c>
    </row>
    <row r="698" spans="1:8" x14ac:dyDescent="0.15">
      <c r="A698" s="196" t="s">
        <v>11229</v>
      </c>
      <c r="B698" s="196" t="s">
        <v>11230</v>
      </c>
      <c r="C698" s="196" t="s">
        <v>12647</v>
      </c>
      <c r="D698" s="196" t="s">
        <v>12648</v>
      </c>
      <c r="E698" s="196" t="s">
        <v>12649</v>
      </c>
      <c r="F698" s="196" t="s">
        <v>11268</v>
      </c>
      <c r="G698" s="196" t="s">
        <v>12378</v>
      </c>
      <c r="H698" s="196" t="s">
        <v>11235</v>
      </c>
    </row>
    <row r="699" spans="1:8" x14ac:dyDescent="0.15">
      <c r="A699" s="196" t="s">
        <v>11229</v>
      </c>
      <c r="B699" s="196" t="s">
        <v>11230</v>
      </c>
      <c r="C699" s="196" t="s">
        <v>12650</v>
      </c>
      <c r="D699" s="196" t="s">
        <v>12651</v>
      </c>
      <c r="E699" s="196" t="s">
        <v>12651</v>
      </c>
      <c r="F699" s="196" t="s">
        <v>11233</v>
      </c>
      <c r="G699" s="196" t="s">
        <v>11234</v>
      </c>
      <c r="H699" s="196" t="s">
        <v>11235</v>
      </c>
    </row>
    <row r="700" spans="1:8" x14ac:dyDescent="0.15">
      <c r="A700" s="196" t="s">
        <v>11229</v>
      </c>
      <c r="B700" s="196" t="s">
        <v>11230</v>
      </c>
      <c r="C700" s="196" t="s">
        <v>12652</v>
      </c>
      <c r="D700" s="196" t="s">
        <v>12645</v>
      </c>
      <c r="E700" s="196" t="s">
        <v>12645</v>
      </c>
      <c r="F700" s="196" t="s">
        <v>11233</v>
      </c>
      <c r="G700" s="196" t="s">
        <v>11234</v>
      </c>
      <c r="H700" s="196" t="s">
        <v>11235</v>
      </c>
    </row>
    <row r="701" spans="1:8" x14ac:dyDescent="0.15">
      <c r="A701" s="196" t="s">
        <v>11229</v>
      </c>
      <c r="B701" s="196" t="s">
        <v>11230</v>
      </c>
      <c r="C701" s="196" t="s">
        <v>12653</v>
      </c>
      <c r="D701" s="196" t="s">
        <v>12654</v>
      </c>
      <c r="E701" s="196" t="s">
        <v>12654</v>
      </c>
      <c r="F701" s="196" t="s">
        <v>11233</v>
      </c>
      <c r="G701" s="196" t="s">
        <v>11234</v>
      </c>
      <c r="H701" s="196" t="s">
        <v>11235</v>
      </c>
    </row>
    <row r="702" spans="1:8" x14ac:dyDescent="0.15">
      <c r="A702" s="196" t="s">
        <v>11229</v>
      </c>
      <c r="B702" s="196" t="s">
        <v>11230</v>
      </c>
      <c r="C702" s="196" t="s">
        <v>12655</v>
      </c>
      <c r="D702" s="196" t="s">
        <v>12656</v>
      </c>
      <c r="E702" s="196" t="s">
        <v>12656</v>
      </c>
      <c r="F702" s="196" t="s">
        <v>11233</v>
      </c>
      <c r="G702" s="196" t="s">
        <v>11234</v>
      </c>
      <c r="H702" s="196" t="s">
        <v>11235</v>
      </c>
    </row>
    <row r="703" spans="1:8" x14ac:dyDescent="0.15">
      <c r="A703" s="196" t="s">
        <v>11229</v>
      </c>
      <c r="B703" s="196" t="s">
        <v>11230</v>
      </c>
      <c r="C703" s="196" t="s">
        <v>12657</v>
      </c>
      <c r="D703" s="196" t="s">
        <v>12658</v>
      </c>
      <c r="E703" s="196" t="s">
        <v>12658</v>
      </c>
      <c r="F703" s="196" t="s">
        <v>11233</v>
      </c>
      <c r="G703" s="196" t="s">
        <v>12378</v>
      </c>
      <c r="H703" s="196" t="s">
        <v>11235</v>
      </c>
    </row>
    <row r="704" spans="1:8" x14ac:dyDescent="0.15">
      <c r="A704" s="196" t="s">
        <v>11229</v>
      </c>
      <c r="B704" s="196" t="s">
        <v>11230</v>
      </c>
      <c r="C704" s="196" t="s">
        <v>12659</v>
      </c>
      <c r="D704" s="196" t="s">
        <v>12660</v>
      </c>
      <c r="E704" s="196" t="s">
        <v>12660</v>
      </c>
      <c r="F704" s="196" t="s">
        <v>11233</v>
      </c>
      <c r="G704" s="196" t="s">
        <v>11449</v>
      </c>
      <c r="H704" s="196" t="s">
        <v>11235</v>
      </c>
    </row>
    <row r="705" spans="1:8" x14ac:dyDescent="0.15">
      <c r="A705" s="196" t="s">
        <v>11229</v>
      </c>
      <c r="B705" s="196" t="s">
        <v>11230</v>
      </c>
      <c r="C705" s="196" t="s">
        <v>12661</v>
      </c>
      <c r="D705" s="196" t="s">
        <v>12662</v>
      </c>
      <c r="E705" s="196" t="s">
        <v>12662</v>
      </c>
      <c r="F705" s="196" t="s">
        <v>11233</v>
      </c>
      <c r="G705" s="196" t="s">
        <v>11234</v>
      </c>
      <c r="H705" s="196" t="s">
        <v>11235</v>
      </c>
    </row>
    <row r="706" spans="1:8" x14ac:dyDescent="0.15">
      <c r="A706" s="196" t="s">
        <v>11229</v>
      </c>
      <c r="B706" s="196" t="s">
        <v>11230</v>
      </c>
      <c r="C706" s="196" t="s">
        <v>12663</v>
      </c>
      <c r="D706" s="196" t="s">
        <v>12664</v>
      </c>
      <c r="E706" s="196" t="s">
        <v>12664</v>
      </c>
      <c r="F706" s="196" t="s">
        <v>11233</v>
      </c>
      <c r="G706" s="196" t="s">
        <v>11234</v>
      </c>
      <c r="H706" s="196" t="s">
        <v>11235</v>
      </c>
    </row>
    <row r="707" spans="1:8" x14ac:dyDescent="0.15">
      <c r="A707" s="196" t="s">
        <v>11229</v>
      </c>
      <c r="B707" s="196" t="s">
        <v>11230</v>
      </c>
      <c r="C707" s="196" t="s">
        <v>12665</v>
      </c>
      <c r="D707" s="196" t="s">
        <v>12666</v>
      </c>
      <c r="E707" s="196" t="s">
        <v>12666</v>
      </c>
      <c r="F707" s="196" t="s">
        <v>11233</v>
      </c>
      <c r="G707" s="196" t="s">
        <v>11234</v>
      </c>
      <c r="H707" s="196" t="s">
        <v>11235</v>
      </c>
    </row>
    <row r="708" spans="1:8" x14ac:dyDescent="0.15">
      <c r="A708" s="196" t="s">
        <v>11229</v>
      </c>
      <c r="B708" s="196" t="s">
        <v>11230</v>
      </c>
      <c r="C708" s="196" t="s">
        <v>12667</v>
      </c>
      <c r="D708" s="196" t="s">
        <v>12668</v>
      </c>
      <c r="E708" s="196" t="s">
        <v>12668</v>
      </c>
      <c r="F708" s="196" t="s">
        <v>11233</v>
      </c>
      <c r="G708" s="196" t="s">
        <v>12378</v>
      </c>
      <c r="H708" s="196" t="s">
        <v>11235</v>
      </c>
    </row>
    <row r="709" spans="1:8" x14ac:dyDescent="0.15">
      <c r="A709" s="196" t="s">
        <v>11229</v>
      </c>
      <c r="B709" s="196" t="s">
        <v>11230</v>
      </c>
      <c r="C709" s="196" t="s">
        <v>12669</v>
      </c>
      <c r="D709" s="196" t="s">
        <v>12670</v>
      </c>
      <c r="E709" s="196" t="s">
        <v>12670</v>
      </c>
      <c r="F709" s="196" t="s">
        <v>11233</v>
      </c>
      <c r="G709" s="196" t="s">
        <v>11449</v>
      </c>
      <c r="H709" s="196" t="s">
        <v>11235</v>
      </c>
    </row>
    <row r="710" spans="1:8" x14ac:dyDescent="0.15">
      <c r="A710" s="196" t="s">
        <v>11229</v>
      </c>
      <c r="B710" s="196" t="s">
        <v>11230</v>
      </c>
      <c r="C710" s="196" t="s">
        <v>12671</v>
      </c>
      <c r="D710" s="196" t="s">
        <v>12672</v>
      </c>
      <c r="E710" s="196" t="s">
        <v>12672</v>
      </c>
      <c r="F710" s="196" t="s">
        <v>11233</v>
      </c>
      <c r="G710" s="196" t="s">
        <v>11234</v>
      </c>
      <c r="H710" s="196" t="s">
        <v>11235</v>
      </c>
    </row>
    <row r="711" spans="1:8" x14ac:dyDescent="0.15">
      <c r="A711" s="196" t="s">
        <v>11229</v>
      </c>
      <c r="B711" s="196" t="s">
        <v>11230</v>
      </c>
      <c r="C711" s="196" t="s">
        <v>12673</v>
      </c>
      <c r="D711" s="196" t="s">
        <v>12674</v>
      </c>
      <c r="E711" s="196" t="s">
        <v>12674</v>
      </c>
      <c r="F711" s="196" t="s">
        <v>11233</v>
      </c>
      <c r="G711" s="196" t="s">
        <v>12378</v>
      </c>
      <c r="H711" s="196" t="s">
        <v>11235</v>
      </c>
    </row>
    <row r="712" spans="1:8" x14ac:dyDescent="0.15">
      <c r="A712" s="196" t="s">
        <v>11229</v>
      </c>
      <c r="B712" s="196" t="s">
        <v>11230</v>
      </c>
      <c r="C712" s="196" t="s">
        <v>12675</v>
      </c>
      <c r="D712" s="196" t="s">
        <v>12676</v>
      </c>
      <c r="E712" s="196" t="s">
        <v>12677</v>
      </c>
      <c r="F712" s="196" t="s">
        <v>11268</v>
      </c>
      <c r="G712" s="196" t="s">
        <v>11449</v>
      </c>
      <c r="H712" s="196" t="s">
        <v>11235</v>
      </c>
    </row>
    <row r="713" spans="1:8" x14ac:dyDescent="0.15">
      <c r="A713" s="196" t="s">
        <v>11229</v>
      </c>
      <c r="B713" s="196" t="s">
        <v>11230</v>
      </c>
      <c r="C713" s="196" t="s">
        <v>12678</v>
      </c>
      <c r="D713" s="196" t="s">
        <v>12679</v>
      </c>
      <c r="E713" s="196" t="s">
        <v>12679</v>
      </c>
      <c r="F713" s="196" t="s">
        <v>11233</v>
      </c>
      <c r="G713" s="196" t="s">
        <v>11449</v>
      </c>
      <c r="H713" s="196" t="s">
        <v>11235</v>
      </c>
    </row>
    <row r="714" spans="1:8" x14ac:dyDescent="0.15">
      <c r="A714" s="196" t="s">
        <v>11229</v>
      </c>
      <c r="B714" s="196" t="s">
        <v>11230</v>
      </c>
      <c r="C714" s="196" t="s">
        <v>12680</v>
      </c>
      <c r="D714" s="196" t="s">
        <v>12681</v>
      </c>
      <c r="E714" s="196" t="s">
        <v>12681</v>
      </c>
      <c r="F714" s="196" t="s">
        <v>11233</v>
      </c>
      <c r="G714" s="196" t="s">
        <v>11234</v>
      </c>
      <c r="H714" s="196" t="s">
        <v>11235</v>
      </c>
    </row>
    <row r="715" spans="1:8" x14ac:dyDescent="0.15">
      <c r="A715" s="196" t="s">
        <v>11229</v>
      </c>
      <c r="B715" s="196" t="s">
        <v>11230</v>
      </c>
      <c r="C715" s="196" t="s">
        <v>12682</v>
      </c>
      <c r="D715" s="196" t="s">
        <v>12683</v>
      </c>
      <c r="E715" s="196" t="s">
        <v>12683</v>
      </c>
      <c r="F715" s="196" t="s">
        <v>11233</v>
      </c>
      <c r="G715" s="196" t="s">
        <v>11234</v>
      </c>
      <c r="H715" s="196" t="s">
        <v>11235</v>
      </c>
    </row>
    <row r="716" spans="1:8" x14ac:dyDescent="0.15">
      <c r="A716" s="196" t="s">
        <v>11229</v>
      </c>
      <c r="B716" s="196" t="s">
        <v>11230</v>
      </c>
      <c r="C716" s="196" t="s">
        <v>12684</v>
      </c>
      <c r="D716" s="196" t="s">
        <v>12685</v>
      </c>
      <c r="E716" s="196" t="s">
        <v>12685</v>
      </c>
      <c r="F716" s="196" t="s">
        <v>11233</v>
      </c>
      <c r="G716" s="196" t="s">
        <v>12378</v>
      </c>
      <c r="H716" s="196" t="s">
        <v>11235</v>
      </c>
    </row>
    <row r="717" spans="1:8" x14ac:dyDescent="0.15">
      <c r="A717" s="196" t="s">
        <v>11229</v>
      </c>
      <c r="B717" s="196" t="s">
        <v>11230</v>
      </c>
      <c r="C717" s="196" t="s">
        <v>12686</v>
      </c>
      <c r="D717" s="196" t="s">
        <v>12687</v>
      </c>
      <c r="E717" s="196" t="s">
        <v>12687</v>
      </c>
      <c r="F717" s="196" t="s">
        <v>11233</v>
      </c>
      <c r="G717" s="196" t="s">
        <v>11449</v>
      </c>
      <c r="H717" s="196" t="s">
        <v>11235</v>
      </c>
    </row>
    <row r="718" spans="1:8" x14ac:dyDescent="0.15">
      <c r="A718" s="196" t="s">
        <v>11229</v>
      </c>
      <c r="B718" s="196" t="s">
        <v>11230</v>
      </c>
      <c r="C718" s="196" t="s">
        <v>12688</v>
      </c>
      <c r="D718" s="196" t="s">
        <v>12689</v>
      </c>
      <c r="E718" s="196" t="s">
        <v>12690</v>
      </c>
      <c r="F718" s="196" t="s">
        <v>11241</v>
      </c>
      <c r="G718" s="196" t="s">
        <v>11449</v>
      </c>
      <c r="H718" s="196" t="s">
        <v>11235</v>
      </c>
    </row>
    <row r="719" spans="1:8" x14ac:dyDescent="0.15">
      <c r="A719" s="196" t="s">
        <v>11229</v>
      </c>
      <c r="B719" s="196" t="s">
        <v>11230</v>
      </c>
      <c r="C719" s="196" t="s">
        <v>12691</v>
      </c>
      <c r="D719" s="196" t="s">
        <v>12692</v>
      </c>
      <c r="E719" s="196" t="s">
        <v>12692</v>
      </c>
      <c r="F719" s="196" t="s">
        <v>11233</v>
      </c>
      <c r="G719" s="196" t="s">
        <v>11234</v>
      </c>
      <c r="H719" s="196" t="s">
        <v>11235</v>
      </c>
    </row>
    <row r="720" spans="1:8" x14ac:dyDescent="0.15">
      <c r="A720" s="196" t="s">
        <v>11229</v>
      </c>
      <c r="B720" s="196" t="s">
        <v>11230</v>
      </c>
      <c r="C720" s="196" t="s">
        <v>12693</v>
      </c>
      <c r="D720" s="196" t="s">
        <v>12694</v>
      </c>
      <c r="E720" s="196" t="s">
        <v>12695</v>
      </c>
      <c r="F720" s="196" t="s">
        <v>11241</v>
      </c>
      <c r="G720" s="196" t="s">
        <v>12378</v>
      </c>
      <c r="H720" s="196" t="s">
        <v>11235</v>
      </c>
    </row>
    <row r="721" spans="1:8" x14ac:dyDescent="0.15">
      <c r="A721" s="196" t="s">
        <v>11229</v>
      </c>
      <c r="B721" s="196" t="s">
        <v>11230</v>
      </c>
      <c r="C721" s="196" t="s">
        <v>12696</v>
      </c>
      <c r="D721" s="196" t="s">
        <v>12697</v>
      </c>
      <c r="E721" s="196" t="s">
        <v>12697</v>
      </c>
      <c r="F721" s="196" t="s">
        <v>11233</v>
      </c>
      <c r="G721" s="196" t="s">
        <v>11449</v>
      </c>
      <c r="H721" s="196" t="s">
        <v>11235</v>
      </c>
    </row>
    <row r="722" spans="1:8" x14ac:dyDescent="0.15">
      <c r="A722" s="196" t="s">
        <v>11229</v>
      </c>
      <c r="B722" s="196" t="s">
        <v>11230</v>
      </c>
      <c r="C722" s="196" t="s">
        <v>12698</v>
      </c>
      <c r="D722" s="196" t="s">
        <v>12699</v>
      </c>
      <c r="E722" s="196" t="s">
        <v>12699</v>
      </c>
      <c r="F722" s="196" t="s">
        <v>11233</v>
      </c>
      <c r="G722" s="196" t="s">
        <v>11234</v>
      </c>
      <c r="H722" s="196" t="s">
        <v>11235</v>
      </c>
    </row>
    <row r="723" spans="1:8" x14ac:dyDescent="0.15">
      <c r="A723" s="196" t="s">
        <v>11229</v>
      </c>
      <c r="B723" s="196" t="s">
        <v>11230</v>
      </c>
      <c r="C723" s="196" t="s">
        <v>12700</v>
      </c>
      <c r="D723" s="196" t="s">
        <v>12701</v>
      </c>
      <c r="E723" s="196" t="s">
        <v>12701</v>
      </c>
      <c r="F723" s="196" t="s">
        <v>11233</v>
      </c>
      <c r="G723" s="196" t="s">
        <v>11234</v>
      </c>
      <c r="H723" s="196" t="s">
        <v>11235</v>
      </c>
    </row>
    <row r="724" spans="1:8" x14ac:dyDescent="0.15">
      <c r="A724" s="196" t="s">
        <v>11229</v>
      </c>
      <c r="B724" s="196" t="s">
        <v>11230</v>
      </c>
      <c r="C724" s="196" t="s">
        <v>12702</v>
      </c>
      <c r="D724" s="196" t="s">
        <v>12703</v>
      </c>
      <c r="E724" s="196" t="s">
        <v>12703</v>
      </c>
      <c r="F724" s="196" t="s">
        <v>11233</v>
      </c>
      <c r="G724" s="196" t="s">
        <v>11234</v>
      </c>
      <c r="H724" s="196" t="s">
        <v>11235</v>
      </c>
    </row>
    <row r="725" spans="1:8" x14ac:dyDescent="0.15">
      <c r="A725" s="196" t="s">
        <v>11229</v>
      </c>
      <c r="B725" s="196" t="s">
        <v>11230</v>
      </c>
      <c r="C725" s="196" t="s">
        <v>12704</v>
      </c>
      <c r="D725" s="196" t="s">
        <v>12705</v>
      </c>
      <c r="E725" s="196" t="s">
        <v>12705</v>
      </c>
      <c r="F725" s="196" t="s">
        <v>11233</v>
      </c>
      <c r="G725" s="196" t="s">
        <v>11234</v>
      </c>
      <c r="H725" s="196" t="s">
        <v>11235</v>
      </c>
    </row>
    <row r="726" spans="1:8" x14ac:dyDescent="0.15">
      <c r="A726" s="196" t="s">
        <v>11229</v>
      </c>
      <c r="B726" s="196" t="s">
        <v>11230</v>
      </c>
      <c r="C726" s="196" t="s">
        <v>12706</v>
      </c>
      <c r="D726" s="196" t="s">
        <v>12707</v>
      </c>
      <c r="E726" s="196" t="s">
        <v>12707</v>
      </c>
      <c r="F726" s="196" t="s">
        <v>11233</v>
      </c>
      <c r="G726" s="196" t="s">
        <v>12378</v>
      </c>
      <c r="H726" s="196" t="s">
        <v>11235</v>
      </c>
    </row>
    <row r="727" spans="1:8" x14ac:dyDescent="0.15">
      <c r="A727" s="196" t="s">
        <v>11229</v>
      </c>
      <c r="B727" s="196" t="s">
        <v>11230</v>
      </c>
      <c r="C727" s="196" t="s">
        <v>12708</v>
      </c>
      <c r="D727" s="196" t="s">
        <v>12709</v>
      </c>
      <c r="E727" s="196" t="s">
        <v>12710</v>
      </c>
      <c r="F727" s="196" t="s">
        <v>12711</v>
      </c>
      <c r="G727" s="196" t="s">
        <v>11449</v>
      </c>
      <c r="H727" s="196" t="s">
        <v>12712</v>
      </c>
    </row>
    <row r="728" spans="1:8" x14ac:dyDescent="0.15">
      <c r="A728" s="196" t="s">
        <v>11229</v>
      </c>
      <c r="B728" s="196" t="s">
        <v>11230</v>
      </c>
      <c r="C728" s="196" t="s">
        <v>12713</v>
      </c>
      <c r="D728" s="196" t="s">
        <v>12709</v>
      </c>
      <c r="E728" s="196" t="s">
        <v>12714</v>
      </c>
      <c r="F728" s="196" t="s">
        <v>12715</v>
      </c>
      <c r="G728" s="196" t="s">
        <v>11449</v>
      </c>
      <c r="H728" s="196" t="s">
        <v>12712</v>
      </c>
    </row>
    <row r="729" spans="1:8" x14ac:dyDescent="0.15">
      <c r="A729" s="196" t="s">
        <v>11229</v>
      </c>
      <c r="B729" s="196" t="s">
        <v>11230</v>
      </c>
      <c r="C729" s="196" t="s">
        <v>12716</v>
      </c>
      <c r="D729" s="196" t="s">
        <v>12709</v>
      </c>
      <c r="E729" s="196" t="s">
        <v>12714</v>
      </c>
      <c r="F729" s="196" t="s">
        <v>12715</v>
      </c>
      <c r="G729" s="196" t="s">
        <v>11449</v>
      </c>
      <c r="H729" s="196" t="s">
        <v>12712</v>
      </c>
    </row>
    <row r="730" spans="1:8" x14ac:dyDescent="0.15">
      <c r="A730" s="196" t="s">
        <v>11229</v>
      </c>
      <c r="B730" s="196" t="s">
        <v>11230</v>
      </c>
      <c r="C730" s="196" t="s">
        <v>12717</v>
      </c>
      <c r="D730" s="196" t="s">
        <v>12709</v>
      </c>
      <c r="E730" s="196" t="s">
        <v>12714</v>
      </c>
      <c r="F730" s="196" t="s">
        <v>12715</v>
      </c>
      <c r="G730" s="196" t="s">
        <v>11449</v>
      </c>
      <c r="H730" s="196" t="s">
        <v>12712</v>
      </c>
    </row>
    <row r="731" spans="1:8" x14ac:dyDescent="0.15">
      <c r="A731" s="196" t="s">
        <v>11229</v>
      </c>
      <c r="B731" s="196" t="s">
        <v>11230</v>
      </c>
      <c r="C731" s="196" t="s">
        <v>12718</v>
      </c>
      <c r="D731" s="196" t="s">
        <v>12719</v>
      </c>
      <c r="E731" s="196" t="s">
        <v>12720</v>
      </c>
      <c r="F731" s="196" t="s">
        <v>12721</v>
      </c>
      <c r="G731" s="196" t="s">
        <v>11962</v>
      </c>
      <c r="H731" s="196" t="s">
        <v>11235</v>
      </c>
    </row>
    <row r="732" spans="1:8" x14ac:dyDescent="0.15">
      <c r="A732" s="196" t="s">
        <v>11229</v>
      </c>
      <c r="B732" s="196" t="s">
        <v>11230</v>
      </c>
      <c r="C732" s="196" t="s">
        <v>12722</v>
      </c>
      <c r="D732" s="196" t="s">
        <v>12723</v>
      </c>
      <c r="E732" s="196" t="s">
        <v>12723</v>
      </c>
      <c r="F732" s="196" t="s">
        <v>11233</v>
      </c>
      <c r="G732" s="196" t="s">
        <v>11234</v>
      </c>
      <c r="H732" s="196" t="s">
        <v>11235</v>
      </c>
    </row>
    <row r="733" spans="1:8" x14ac:dyDescent="0.15">
      <c r="A733" s="196" t="s">
        <v>11229</v>
      </c>
      <c r="B733" s="196" t="s">
        <v>11230</v>
      </c>
      <c r="C733" s="196" t="s">
        <v>12724</v>
      </c>
      <c r="D733" s="196" t="s">
        <v>12725</v>
      </c>
      <c r="E733" s="196" t="s">
        <v>12726</v>
      </c>
      <c r="F733" s="196" t="s">
        <v>11241</v>
      </c>
      <c r="G733" s="196" t="s">
        <v>11234</v>
      </c>
      <c r="H733" s="196" t="s">
        <v>11235</v>
      </c>
    </row>
    <row r="734" spans="1:8" x14ac:dyDescent="0.15">
      <c r="A734" s="196" t="s">
        <v>11229</v>
      </c>
      <c r="B734" s="196" t="s">
        <v>11230</v>
      </c>
      <c r="C734" s="196" t="s">
        <v>12727</v>
      </c>
      <c r="D734" s="196" t="s">
        <v>12726</v>
      </c>
      <c r="E734" s="196" t="s">
        <v>12728</v>
      </c>
      <c r="F734" s="196" t="s">
        <v>11268</v>
      </c>
      <c r="G734" s="196" t="s">
        <v>11234</v>
      </c>
      <c r="H734" s="196" t="s">
        <v>11235</v>
      </c>
    </row>
    <row r="735" spans="1:8" x14ac:dyDescent="0.15">
      <c r="A735" s="196" t="s">
        <v>11229</v>
      </c>
      <c r="B735" s="196" t="s">
        <v>11230</v>
      </c>
      <c r="C735" s="196" t="s">
        <v>12729</v>
      </c>
      <c r="D735" s="196" t="s">
        <v>12728</v>
      </c>
      <c r="E735" s="196" t="s">
        <v>12730</v>
      </c>
      <c r="F735" s="196" t="s">
        <v>11241</v>
      </c>
      <c r="G735" s="196" t="s">
        <v>11234</v>
      </c>
      <c r="H735" s="196" t="s">
        <v>11235</v>
      </c>
    </row>
    <row r="736" spans="1:8" x14ac:dyDescent="0.15">
      <c r="A736" s="196" t="s">
        <v>11229</v>
      </c>
      <c r="B736" s="196" t="s">
        <v>11230</v>
      </c>
      <c r="C736" s="196" t="s">
        <v>12731</v>
      </c>
      <c r="D736" s="196" t="s">
        <v>12728</v>
      </c>
      <c r="E736" s="196" t="s">
        <v>12728</v>
      </c>
      <c r="F736" s="196" t="s">
        <v>11233</v>
      </c>
      <c r="G736" s="196" t="s">
        <v>12378</v>
      </c>
      <c r="H736" s="196" t="s">
        <v>11235</v>
      </c>
    </row>
    <row r="737" spans="1:8" x14ac:dyDescent="0.15">
      <c r="A737" s="196" t="s">
        <v>11229</v>
      </c>
      <c r="B737" s="196" t="s">
        <v>11230</v>
      </c>
      <c r="C737" s="196" t="s">
        <v>12732</v>
      </c>
      <c r="D737" s="196" t="s">
        <v>12730</v>
      </c>
      <c r="E737" s="196" t="s">
        <v>12733</v>
      </c>
      <c r="F737" s="196" t="s">
        <v>11241</v>
      </c>
      <c r="G737" s="196" t="s">
        <v>11234</v>
      </c>
      <c r="H737" s="196" t="s">
        <v>11235</v>
      </c>
    </row>
    <row r="738" spans="1:8" x14ac:dyDescent="0.15">
      <c r="A738" s="196" t="s">
        <v>11229</v>
      </c>
      <c r="B738" s="196" t="s">
        <v>11230</v>
      </c>
      <c r="C738" s="196" t="s">
        <v>12734</v>
      </c>
      <c r="D738" s="196" t="s">
        <v>12735</v>
      </c>
      <c r="E738" s="196" t="s">
        <v>12735</v>
      </c>
      <c r="F738" s="196" t="s">
        <v>11233</v>
      </c>
      <c r="G738" s="196" t="s">
        <v>12378</v>
      </c>
      <c r="H738" s="196" t="s">
        <v>11235</v>
      </c>
    </row>
    <row r="739" spans="1:8" x14ac:dyDescent="0.15">
      <c r="A739" s="196" t="s">
        <v>11229</v>
      </c>
      <c r="B739" s="196" t="s">
        <v>11230</v>
      </c>
      <c r="C739" s="196" t="s">
        <v>12736</v>
      </c>
      <c r="D739" s="196" t="s">
        <v>12737</v>
      </c>
      <c r="E739" s="196" t="s">
        <v>12738</v>
      </c>
      <c r="F739" s="196" t="s">
        <v>11241</v>
      </c>
      <c r="G739" s="196" t="s">
        <v>11234</v>
      </c>
      <c r="H739" s="196" t="s">
        <v>11235</v>
      </c>
    </row>
    <row r="740" spans="1:8" x14ac:dyDescent="0.15">
      <c r="A740" s="196" t="s">
        <v>11229</v>
      </c>
      <c r="B740" s="196" t="s">
        <v>11230</v>
      </c>
      <c r="C740" s="196" t="s">
        <v>12739</v>
      </c>
      <c r="D740" s="196" t="s">
        <v>12740</v>
      </c>
      <c r="E740" s="196" t="s">
        <v>12741</v>
      </c>
      <c r="F740" s="196" t="s">
        <v>11268</v>
      </c>
      <c r="G740" s="196" t="s">
        <v>12378</v>
      </c>
      <c r="H740" s="196" t="s">
        <v>11235</v>
      </c>
    </row>
    <row r="741" spans="1:8" x14ac:dyDescent="0.15">
      <c r="A741" s="196" t="s">
        <v>11229</v>
      </c>
      <c r="B741" s="196" t="s">
        <v>11230</v>
      </c>
      <c r="C741" s="196" t="s">
        <v>12742</v>
      </c>
      <c r="D741" s="196" t="s">
        <v>12743</v>
      </c>
      <c r="E741" s="196" t="s">
        <v>12744</v>
      </c>
      <c r="F741" s="196" t="s">
        <v>12745</v>
      </c>
      <c r="G741" s="196" t="s">
        <v>11234</v>
      </c>
      <c r="H741" s="196" t="s">
        <v>12712</v>
      </c>
    </row>
    <row r="742" spans="1:8" x14ac:dyDescent="0.15">
      <c r="A742" s="196" t="s">
        <v>11229</v>
      </c>
      <c r="B742" s="196" t="s">
        <v>11230</v>
      </c>
      <c r="C742" s="196" t="s">
        <v>12746</v>
      </c>
      <c r="D742" s="196" t="s">
        <v>12743</v>
      </c>
      <c r="E742" s="196" t="s">
        <v>12744</v>
      </c>
      <c r="F742" s="196" t="s">
        <v>12745</v>
      </c>
      <c r="G742" s="196" t="s">
        <v>11234</v>
      </c>
      <c r="H742" s="196" t="s">
        <v>12712</v>
      </c>
    </row>
    <row r="743" spans="1:8" x14ac:dyDescent="0.15">
      <c r="A743" s="196" t="s">
        <v>11229</v>
      </c>
      <c r="B743" s="196" t="s">
        <v>11230</v>
      </c>
      <c r="C743" s="196" t="s">
        <v>12747</v>
      </c>
      <c r="D743" s="196" t="s">
        <v>12743</v>
      </c>
      <c r="E743" s="196" t="s">
        <v>12744</v>
      </c>
      <c r="F743" s="196" t="s">
        <v>12745</v>
      </c>
      <c r="G743" s="196" t="s">
        <v>11234</v>
      </c>
      <c r="H743" s="196" t="s">
        <v>12712</v>
      </c>
    </row>
    <row r="744" spans="1:8" x14ac:dyDescent="0.15">
      <c r="A744" s="196" t="s">
        <v>11229</v>
      </c>
      <c r="B744" s="196" t="s">
        <v>11230</v>
      </c>
      <c r="C744" s="196" t="s">
        <v>12748</v>
      </c>
      <c r="D744" s="196" t="s">
        <v>12749</v>
      </c>
      <c r="E744" s="196" t="s">
        <v>12749</v>
      </c>
      <c r="F744" s="196" t="s">
        <v>11233</v>
      </c>
      <c r="G744" s="196" t="s">
        <v>12378</v>
      </c>
      <c r="H744" s="196" t="s">
        <v>11235</v>
      </c>
    </row>
    <row r="745" spans="1:8" x14ac:dyDescent="0.15">
      <c r="A745" s="196" t="s">
        <v>11229</v>
      </c>
      <c r="B745" s="196" t="s">
        <v>11230</v>
      </c>
      <c r="C745" s="196" t="s">
        <v>12750</v>
      </c>
      <c r="D745" s="196" t="s">
        <v>12751</v>
      </c>
      <c r="E745" s="196" t="s">
        <v>12752</v>
      </c>
      <c r="F745" s="196" t="s">
        <v>11241</v>
      </c>
      <c r="G745" s="196" t="s">
        <v>12378</v>
      </c>
      <c r="H745" s="196" t="s">
        <v>11235</v>
      </c>
    </row>
    <row r="746" spans="1:8" x14ac:dyDescent="0.15">
      <c r="A746" s="196" t="s">
        <v>11229</v>
      </c>
      <c r="B746" s="196" t="s">
        <v>11230</v>
      </c>
      <c r="C746" s="196" t="s">
        <v>12753</v>
      </c>
      <c r="D746" s="196" t="s">
        <v>12754</v>
      </c>
      <c r="E746" s="196" t="s">
        <v>12754</v>
      </c>
      <c r="F746" s="196" t="s">
        <v>11233</v>
      </c>
      <c r="G746" s="196" t="s">
        <v>12378</v>
      </c>
      <c r="H746" s="196" t="s">
        <v>11235</v>
      </c>
    </row>
    <row r="747" spans="1:8" x14ac:dyDescent="0.15">
      <c r="A747" s="196" t="s">
        <v>11229</v>
      </c>
      <c r="B747" s="196" t="s">
        <v>11230</v>
      </c>
      <c r="C747" s="196" t="s">
        <v>12755</v>
      </c>
      <c r="D747" s="196" t="s">
        <v>12756</v>
      </c>
      <c r="E747" s="196" t="s">
        <v>12757</v>
      </c>
      <c r="F747" s="196" t="s">
        <v>11241</v>
      </c>
      <c r="G747" s="196" t="s">
        <v>12378</v>
      </c>
      <c r="H747" s="196" t="s">
        <v>11235</v>
      </c>
    </row>
    <row r="748" spans="1:8" x14ac:dyDescent="0.15">
      <c r="A748" s="196" t="s">
        <v>11229</v>
      </c>
      <c r="B748" s="196" t="s">
        <v>11230</v>
      </c>
      <c r="C748" s="196" t="s">
        <v>12758</v>
      </c>
      <c r="D748" s="196" t="s">
        <v>12757</v>
      </c>
      <c r="E748" s="196" t="s">
        <v>12759</v>
      </c>
      <c r="F748" s="196" t="s">
        <v>11268</v>
      </c>
      <c r="G748" s="196" t="s">
        <v>12378</v>
      </c>
      <c r="H748" s="196" t="s">
        <v>11235</v>
      </c>
    </row>
    <row r="749" spans="1:8" x14ac:dyDescent="0.15">
      <c r="A749" s="196" t="s">
        <v>11229</v>
      </c>
      <c r="B749" s="196" t="s">
        <v>11230</v>
      </c>
      <c r="C749" s="196" t="s">
        <v>12760</v>
      </c>
      <c r="D749" s="196" t="s">
        <v>12761</v>
      </c>
      <c r="E749" s="196" t="s">
        <v>12761</v>
      </c>
      <c r="F749" s="196" t="s">
        <v>11233</v>
      </c>
      <c r="G749" s="196" t="s">
        <v>12378</v>
      </c>
      <c r="H749" s="196" t="s">
        <v>11235</v>
      </c>
    </row>
    <row r="750" spans="1:8" x14ac:dyDescent="0.15">
      <c r="A750" s="196" t="s">
        <v>11229</v>
      </c>
      <c r="B750" s="196" t="s">
        <v>11230</v>
      </c>
      <c r="C750" s="196" t="s">
        <v>12762</v>
      </c>
      <c r="D750" s="196" t="s">
        <v>12763</v>
      </c>
      <c r="E750" s="196" t="s">
        <v>12763</v>
      </c>
      <c r="F750" s="196" t="s">
        <v>11233</v>
      </c>
      <c r="G750" s="196" t="s">
        <v>12378</v>
      </c>
      <c r="H750" s="196" t="s">
        <v>11235</v>
      </c>
    </row>
    <row r="751" spans="1:8" x14ac:dyDescent="0.15">
      <c r="A751" s="196" t="s">
        <v>11229</v>
      </c>
      <c r="B751" s="196" t="s">
        <v>11230</v>
      </c>
      <c r="C751" s="196" t="s">
        <v>12764</v>
      </c>
      <c r="D751" s="196" t="s">
        <v>12765</v>
      </c>
      <c r="E751" s="196" t="s">
        <v>12765</v>
      </c>
      <c r="F751" s="196" t="s">
        <v>11233</v>
      </c>
      <c r="G751" s="196" t="s">
        <v>12378</v>
      </c>
      <c r="H751" s="196" t="s">
        <v>11235</v>
      </c>
    </row>
    <row r="752" spans="1:8" x14ac:dyDescent="0.15">
      <c r="A752" s="196" t="s">
        <v>11229</v>
      </c>
      <c r="B752" s="196" t="s">
        <v>11230</v>
      </c>
      <c r="C752" s="196" t="s">
        <v>12766</v>
      </c>
      <c r="D752" s="196" t="s">
        <v>12767</v>
      </c>
      <c r="E752" s="196" t="s">
        <v>12767</v>
      </c>
      <c r="F752" s="196" t="s">
        <v>11233</v>
      </c>
      <c r="G752" s="196" t="s">
        <v>12378</v>
      </c>
      <c r="H752" s="196" t="s">
        <v>11235</v>
      </c>
    </row>
    <row r="753" spans="1:8" x14ac:dyDescent="0.15">
      <c r="A753" s="196" t="s">
        <v>11229</v>
      </c>
      <c r="B753" s="196" t="s">
        <v>11230</v>
      </c>
      <c r="C753" s="196" t="s">
        <v>12768</v>
      </c>
      <c r="D753" s="196" t="s">
        <v>12769</v>
      </c>
      <c r="E753" s="196" t="s">
        <v>12769</v>
      </c>
      <c r="F753" s="196" t="s">
        <v>11233</v>
      </c>
      <c r="G753" s="196" t="s">
        <v>12378</v>
      </c>
      <c r="H753" s="196" t="s">
        <v>11235</v>
      </c>
    </row>
    <row r="754" spans="1:8" x14ac:dyDescent="0.15">
      <c r="A754" s="196" t="s">
        <v>11229</v>
      </c>
      <c r="B754" s="196" t="s">
        <v>11230</v>
      </c>
      <c r="C754" s="196" t="s">
        <v>12770</v>
      </c>
      <c r="D754" s="196" t="s">
        <v>12771</v>
      </c>
      <c r="E754" s="196" t="s">
        <v>12771</v>
      </c>
      <c r="F754" s="196" t="s">
        <v>11233</v>
      </c>
      <c r="G754" s="196" t="s">
        <v>12378</v>
      </c>
      <c r="H754" s="196" t="s">
        <v>11235</v>
      </c>
    </row>
    <row r="755" spans="1:8" x14ac:dyDescent="0.15">
      <c r="A755" s="196" t="s">
        <v>11229</v>
      </c>
      <c r="B755" s="196" t="s">
        <v>11230</v>
      </c>
      <c r="C755" s="196" t="s">
        <v>12772</v>
      </c>
      <c r="D755" s="196" t="s">
        <v>12773</v>
      </c>
      <c r="E755" s="196" t="s">
        <v>12773</v>
      </c>
      <c r="F755" s="196" t="s">
        <v>11233</v>
      </c>
      <c r="G755" s="196" t="s">
        <v>12378</v>
      </c>
      <c r="H755" s="196" t="s">
        <v>11235</v>
      </c>
    </row>
    <row r="756" spans="1:8" x14ac:dyDescent="0.15">
      <c r="A756" s="196" t="s">
        <v>11229</v>
      </c>
      <c r="B756" s="196" t="s">
        <v>11230</v>
      </c>
      <c r="C756" s="196" t="s">
        <v>12774</v>
      </c>
      <c r="D756" s="196" t="s">
        <v>12775</v>
      </c>
      <c r="E756" s="196" t="s">
        <v>12776</v>
      </c>
      <c r="F756" s="196" t="s">
        <v>11241</v>
      </c>
      <c r="G756" s="196" t="s">
        <v>12378</v>
      </c>
      <c r="H756" s="196" t="s">
        <v>11235</v>
      </c>
    </row>
    <row r="757" spans="1:8" x14ac:dyDescent="0.15">
      <c r="A757" s="196" t="s">
        <v>11229</v>
      </c>
      <c r="B757" s="196" t="s">
        <v>11230</v>
      </c>
      <c r="C757" s="196" t="s">
        <v>12777</v>
      </c>
      <c r="D757" s="196" t="s">
        <v>12778</v>
      </c>
      <c r="E757" s="196" t="s">
        <v>12778</v>
      </c>
      <c r="F757" s="196" t="s">
        <v>11233</v>
      </c>
      <c r="G757" s="196" t="s">
        <v>12378</v>
      </c>
      <c r="H757" s="196" t="s">
        <v>11235</v>
      </c>
    </row>
    <row r="758" spans="1:8" x14ac:dyDescent="0.15">
      <c r="A758" s="196" t="s">
        <v>11229</v>
      </c>
      <c r="B758" s="196" t="s">
        <v>11230</v>
      </c>
      <c r="C758" s="196" t="s">
        <v>12779</v>
      </c>
      <c r="D758" s="196" t="s">
        <v>12780</v>
      </c>
      <c r="E758" s="196" t="s">
        <v>12780</v>
      </c>
      <c r="F758" s="196" t="s">
        <v>11233</v>
      </c>
      <c r="G758" s="196" t="s">
        <v>12378</v>
      </c>
      <c r="H758" s="196" t="s">
        <v>11235</v>
      </c>
    </row>
    <row r="759" spans="1:8" x14ac:dyDescent="0.15">
      <c r="A759" s="196" t="s">
        <v>11229</v>
      </c>
      <c r="B759" s="196" t="s">
        <v>11230</v>
      </c>
      <c r="C759" s="196" t="s">
        <v>12781</v>
      </c>
      <c r="D759" s="196" t="s">
        <v>12782</v>
      </c>
      <c r="E759" s="196" t="s">
        <v>12782</v>
      </c>
      <c r="F759" s="196" t="s">
        <v>11233</v>
      </c>
      <c r="G759" s="196" t="s">
        <v>12378</v>
      </c>
      <c r="H759" s="196" t="s">
        <v>11235</v>
      </c>
    </row>
    <row r="760" spans="1:8" x14ac:dyDescent="0.15">
      <c r="A760" s="196" t="s">
        <v>11229</v>
      </c>
      <c r="B760" s="196" t="s">
        <v>11230</v>
      </c>
      <c r="C760" s="196" t="s">
        <v>12783</v>
      </c>
      <c r="D760" s="196" t="s">
        <v>12784</v>
      </c>
      <c r="E760" s="196" t="s">
        <v>12784</v>
      </c>
      <c r="F760" s="196" t="s">
        <v>11233</v>
      </c>
      <c r="G760" s="196" t="s">
        <v>12378</v>
      </c>
      <c r="H760" s="196" t="s">
        <v>11235</v>
      </c>
    </row>
    <row r="761" spans="1:8" x14ac:dyDescent="0.15">
      <c r="A761" s="196" t="s">
        <v>11229</v>
      </c>
      <c r="B761" s="196" t="s">
        <v>11230</v>
      </c>
      <c r="C761" s="196" t="s">
        <v>12785</v>
      </c>
      <c r="D761" s="196" t="s">
        <v>12786</v>
      </c>
      <c r="E761" s="196" t="s">
        <v>12786</v>
      </c>
      <c r="F761" s="196" t="s">
        <v>11233</v>
      </c>
      <c r="G761" s="196" t="s">
        <v>12378</v>
      </c>
      <c r="H761" s="196" t="s">
        <v>11235</v>
      </c>
    </row>
    <row r="762" spans="1:8" x14ac:dyDescent="0.15">
      <c r="A762" s="196" t="s">
        <v>11229</v>
      </c>
      <c r="B762" s="196" t="s">
        <v>11230</v>
      </c>
      <c r="C762" s="196" t="s">
        <v>12787</v>
      </c>
      <c r="D762" s="196" t="s">
        <v>12788</v>
      </c>
      <c r="E762" s="196" t="s">
        <v>12788</v>
      </c>
      <c r="F762" s="196" t="s">
        <v>11233</v>
      </c>
      <c r="G762" s="196" t="s">
        <v>12378</v>
      </c>
      <c r="H762" s="196" t="s">
        <v>11235</v>
      </c>
    </row>
    <row r="763" spans="1:8" x14ac:dyDescent="0.15">
      <c r="A763" s="196" t="s">
        <v>11229</v>
      </c>
      <c r="B763" s="196" t="s">
        <v>11230</v>
      </c>
      <c r="C763" s="196" t="s">
        <v>12789</v>
      </c>
      <c r="D763" s="196" t="s">
        <v>12790</v>
      </c>
      <c r="E763" s="196" t="s">
        <v>12791</v>
      </c>
      <c r="F763" s="196" t="s">
        <v>11268</v>
      </c>
      <c r="G763" s="196" t="s">
        <v>12378</v>
      </c>
      <c r="H763" s="196" t="s">
        <v>11235</v>
      </c>
    </row>
    <row r="764" spans="1:8" x14ac:dyDescent="0.15">
      <c r="A764" s="196" t="s">
        <v>11229</v>
      </c>
      <c r="B764" s="196" t="s">
        <v>11230</v>
      </c>
      <c r="C764" s="196" t="s">
        <v>12792</v>
      </c>
      <c r="D764" s="196" t="s">
        <v>12793</v>
      </c>
      <c r="E764" s="196" t="s">
        <v>12793</v>
      </c>
      <c r="F764" s="196" t="s">
        <v>11233</v>
      </c>
      <c r="G764" s="196" t="s">
        <v>12378</v>
      </c>
      <c r="H764" s="196" t="s">
        <v>11235</v>
      </c>
    </row>
    <row r="765" spans="1:8" x14ac:dyDescent="0.15">
      <c r="A765" s="196" t="s">
        <v>11229</v>
      </c>
      <c r="B765" s="196" t="s">
        <v>11230</v>
      </c>
      <c r="C765" s="196" t="s">
        <v>12794</v>
      </c>
      <c r="D765" s="196" t="s">
        <v>12795</v>
      </c>
      <c r="E765" s="196" t="s">
        <v>12795</v>
      </c>
      <c r="F765" s="196" t="s">
        <v>11233</v>
      </c>
      <c r="G765" s="196" t="s">
        <v>12378</v>
      </c>
      <c r="H765" s="196" t="s">
        <v>11235</v>
      </c>
    </row>
    <row r="766" spans="1:8" x14ac:dyDescent="0.15">
      <c r="A766" s="196" t="s">
        <v>11229</v>
      </c>
      <c r="B766" s="196" t="s">
        <v>11230</v>
      </c>
      <c r="C766" s="196" t="s">
        <v>12796</v>
      </c>
      <c r="D766" s="196" t="s">
        <v>12797</v>
      </c>
      <c r="E766" s="196" t="s">
        <v>12797</v>
      </c>
      <c r="F766" s="196" t="s">
        <v>11233</v>
      </c>
      <c r="G766" s="196" t="s">
        <v>12378</v>
      </c>
      <c r="H766" s="196" t="s">
        <v>11235</v>
      </c>
    </row>
    <row r="767" spans="1:8" x14ac:dyDescent="0.15">
      <c r="A767" s="196" t="s">
        <v>11229</v>
      </c>
      <c r="B767" s="196" t="s">
        <v>11230</v>
      </c>
      <c r="C767" s="196" t="s">
        <v>12798</v>
      </c>
      <c r="D767" s="196" t="s">
        <v>12799</v>
      </c>
      <c r="E767" s="196" t="s">
        <v>12799</v>
      </c>
      <c r="F767" s="196" t="s">
        <v>11233</v>
      </c>
      <c r="G767" s="196" t="s">
        <v>12378</v>
      </c>
      <c r="H767" s="196" t="s">
        <v>11235</v>
      </c>
    </row>
    <row r="768" spans="1:8" x14ac:dyDescent="0.15">
      <c r="A768" s="196" t="s">
        <v>11229</v>
      </c>
      <c r="B768" s="196" t="s">
        <v>11230</v>
      </c>
      <c r="C768" s="196" t="s">
        <v>12800</v>
      </c>
      <c r="D768" s="196" t="s">
        <v>12801</v>
      </c>
      <c r="E768" s="196" t="s">
        <v>12801</v>
      </c>
      <c r="F768" s="196" t="s">
        <v>11233</v>
      </c>
      <c r="G768" s="196" t="s">
        <v>12378</v>
      </c>
      <c r="H768" s="196" t="s">
        <v>11235</v>
      </c>
    </row>
    <row r="769" spans="1:8" x14ac:dyDescent="0.15">
      <c r="A769" s="196" t="s">
        <v>11229</v>
      </c>
      <c r="B769" s="196" t="s">
        <v>11230</v>
      </c>
      <c r="C769" s="196" t="s">
        <v>12802</v>
      </c>
      <c r="D769" s="196" t="s">
        <v>12803</v>
      </c>
      <c r="E769" s="196" t="s">
        <v>12804</v>
      </c>
      <c r="F769" s="196" t="s">
        <v>11241</v>
      </c>
      <c r="G769" s="196" t="s">
        <v>12378</v>
      </c>
      <c r="H769" s="196" t="s">
        <v>11235</v>
      </c>
    </row>
    <row r="770" spans="1:8" x14ac:dyDescent="0.15">
      <c r="A770" s="196" t="s">
        <v>11229</v>
      </c>
      <c r="B770" s="196" t="s">
        <v>11230</v>
      </c>
      <c r="C770" s="196" t="s">
        <v>12805</v>
      </c>
      <c r="D770" s="196" t="s">
        <v>12806</v>
      </c>
      <c r="E770" s="196" t="s">
        <v>12806</v>
      </c>
      <c r="F770" s="196" t="s">
        <v>11233</v>
      </c>
      <c r="G770" s="196" t="s">
        <v>12378</v>
      </c>
      <c r="H770" s="196" t="s">
        <v>11235</v>
      </c>
    </row>
    <row r="771" spans="1:8" x14ac:dyDescent="0.15">
      <c r="A771" s="196" t="s">
        <v>11229</v>
      </c>
      <c r="B771" s="196" t="s">
        <v>11230</v>
      </c>
      <c r="C771" s="196" t="s">
        <v>12807</v>
      </c>
      <c r="D771" s="196" t="s">
        <v>12808</v>
      </c>
      <c r="E771" s="196" t="s">
        <v>12808</v>
      </c>
      <c r="F771" s="196" t="s">
        <v>11233</v>
      </c>
      <c r="G771" s="196" t="s">
        <v>12378</v>
      </c>
      <c r="H771" s="196" t="s">
        <v>11235</v>
      </c>
    </row>
    <row r="772" spans="1:8" x14ac:dyDescent="0.15">
      <c r="A772" s="196" t="s">
        <v>11229</v>
      </c>
      <c r="B772" s="196" t="s">
        <v>11230</v>
      </c>
      <c r="C772" s="196" t="s">
        <v>12809</v>
      </c>
      <c r="D772" s="196" t="s">
        <v>12810</v>
      </c>
      <c r="E772" s="196" t="s">
        <v>12810</v>
      </c>
      <c r="F772" s="196" t="s">
        <v>11233</v>
      </c>
      <c r="G772" s="196" t="s">
        <v>12378</v>
      </c>
      <c r="H772" s="196" t="s">
        <v>11235</v>
      </c>
    </row>
    <row r="773" spans="1:8" x14ac:dyDescent="0.15">
      <c r="A773" s="196" t="s">
        <v>11229</v>
      </c>
      <c r="B773" s="196" t="s">
        <v>11230</v>
      </c>
      <c r="C773" s="196" t="s">
        <v>12811</v>
      </c>
      <c r="D773" s="196" t="s">
        <v>12812</v>
      </c>
      <c r="E773" s="196" t="s">
        <v>12813</v>
      </c>
      <c r="F773" s="196" t="s">
        <v>11241</v>
      </c>
      <c r="G773" s="196" t="s">
        <v>12378</v>
      </c>
      <c r="H773" s="196" t="s">
        <v>11235</v>
      </c>
    </row>
    <row r="774" spans="1:8" x14ac:dyDescent="0.15">
      <c r="A774" s="196" t="s">
        <v>11229</v>
      </c>
      <c r="B774" s="196" t="s">
        <v>11230</v>
      </c>
      <c r="C774" s="196" t="s">
        <v>12814</v>
      </c>
      <c r="D774" s="196" t="s">
        <v>12815</v>
      </c>
      <c r="E774" s="196" t="s">
        <v>12815</v>
      </c>
      <c r="F774" s="196" t="s">
        <v>11233</v>
      </c>
      <c r="G774" s="196" t="s">
        <v>12378</v>
      </c>
      <c r="H774" s="196" t="s">
        <v>11235</v>
      </c>
    </row>
    <row r="775" spans="1:8" x14ac:dyDescent="0.15">
      <c r="A775" s="196" t="s">
        <v>11229</v>
      </c>
      <c r="B775" s="196" t="s">
        <v>11230</v>
      </c>
      <c r="C775" s="196" t="s">
        <v>12816</v>
      </c>
      <c r="D775" s="196" t="s">
        <v>12817</v>
      </c>
      <c r="E775" s="196" t="s">
        <v>12817</v>
      </c>
      <c r="F775" s="196" t="s">
        <v>11233</v>
      </c>
      <c r="G775" s="196" t="s">
        <v>12378</v>
      </c>
      <c r="H775" s="196" t="s">
        <v>11235</v>
      </c>
    </row>
    <row r="776" spans="1:8" x14ac:dyDescent="0.15">
      <c r="A776" s="196" t="s">
        <v>11229</v>
      </c>
      <c r="B776" s="196" t="s">
        <v>11230</v>
      </c>
      <c r="C776" s="196" t="s">
        <v>12818</v>
      </c>
      <c r="D776" s="196" t="s">
        <v>12819</v>
      </c>
      <c r="E776" s="196" t="s">
        <v>12819</v>
      </c>
      <c r="F776" s="196" t="s">
        <v>11233</v>
      </c>
      <c r="G776" s="196" t="s">
        <v>12378</v>
      </c>
      <c r="H776" s="196" t="s">
        <v>11235</v>
      </c>
    </row>
    <row r="777" spans="1:8" x14ac:dyDescent="0.15">
      <c r="A777" s="196" t="s">
        <v>11229</v>
      </c>
      <c r="B777" s="196" t="s">
        <v>11230</v>
      </c>
      <c r="C777" s="196" t="s">
        <v>12820</v>
      </c>
      <c r="D777" s="196" t="s">
        <v>12821</v>
      </c>
      <c r="E777" s="196" t="s">
        <v>12821</v>
      </c>
      <c r="F777" s="196" t="s">
        <v>11233</v>
      </c>
      <c r="G777" s="196" t="s">
        <v>12378</v>
      </c>
      <c r="H777" s="196" t="s">
        <v>11235</v>
      </c>
    </row>
    <row r="778" spans="1:8" x14ac:dyDescent="0.15">
      <c r="A778" s="196" t="s">
        <v>11229</v>
      </c>
      <c r="B778" s="196" t="s">
        <v>11230</v>
      </c>
      <c r="C778" s="196" t="s">
        <v>12822</v>
      </c>
      <c r="D778" s="196" t="s">
        <v>12823</v>
      </c>
      <c r="E778" s="196" t="s">
        <v>12824</v>
      </c>
      <c r="F778" s="196" t="s">
        <v>11241</v>
      </c>
      <c r="G778" s="196" t="s">
        <v>12378</v>
      </c>
      <c r="H778" s="196" t="s">
        <v>11235</v>
      </c>
    </row>
    <row r="779" spans="1:8" x14ac:dyDescent="0.15">
      <c r="A779" s="196" t="s">
        <v>11229</v>
      </c>
      <c r="B779" s="196" t="s">
        <v>11230</v>
      </c>
      <c r="C779" s="196" t="s">
        <v>12825</v>
      </c>
      <c r="D779" s="196" t="s">
        <v>12826</v>
      </c>
      <c r="E779" s="196" t="s">
        <v>12826</v>
      </c>
      <c r="F779" s="196" t="s">
        <v>11233</v>
      </c>
      <c r="G779" s="196" t="s">
        <v>12378</v>
      </c>
      <c r="H779" s="196" t="s">
        <v>11235</v>
      </c>
    </row>
    <row r="780" spans="1:8" x14ac:dyDescent="0.15">
      <c r="A780" s="196" t="s">
        <v>11229</v>
      </c>
      <c r="B780" s="196" t="s">
        <v>11230</v>
      </c>
      <c r="C780" s="196" t="s">
        <v>12827</v>
      </c>
      <c r="D780" s="196" t="s">
        <v>12828</v>
      </c>
      <c r="E780" s="196" t="s">
        <v>12828</v>
      </c>
      <c r="F780" s="196" t="s">
        <v>11233</v>
      </c>
      <c r="G780" s="196" t="s">
        <v>12378</v>
      </c>
      <c r="H780" s="196" t="s">
        <v>11235</v>
      </c>
    </row>
    <row r="781" spans="1:8" x14ac:dyDescent="0.15">
      <c r="A781" s="196" t="s">
        <v>11229</v>
      </c>
      <c r="B781" s="196" t="s">
        <v>11230</v>
      </c>
      <c r="C781" s="196" t="s">
        <v>12829</v>
      </c>
      <c r="D781" s="196" t="s">
        <v>12830</v>
      </c>
      <c r="E781" s="196" t="s">
        <v>12831</v>
      </c>
      <c r="F781" s="196" t="s">
        <v>11241</v>
      </c>
      <c r="G781" s="196" t="s">
        <v>12378</v>
      </c>
      <c r="H781" s="196" t="s">
        <v>11235</v>
      </c>
    </row>
    <row r="782" spans="1:8" x14ac:dyDescent="0.15">
      <c r="A782" s="196" t="s">
        <v>11229</v>
      </c>
      <c r="B782" s="196" t="s">
        <v>11230</v>
      </c>
      <c r="C782" s="196" t="s">
        <v>12832</v>
      </c>
      <c r="D782" s="196" t="s">
        <v>12833</v>
      </c>
      <c r="E782" s="196" t="s">
        <v>12834</v>
      </c>
      <c r="F782" s="196" t="s">
        <v>11268</v>
      </c>
      <c r="G782" s="196" t="s">
        <v>12378</v>
      </c>
      <c r="H782" s="196" t="s">
        <v>11235</v>
      </c>
    </row>
    <row r="783" spans="1:8" x14ac:dyDescent="0.15">
      <c r="A783" s="196" t="s">
        <v>11229</v>
      </c>
      <c r="B783" s="196" t="s">
        <v>11230</v>
      </c>
      <c r="C783" s="196" t="s">
        <v>12835</v>
      </c>
      <c r="D783" s="196" t="s">
        <v>12836</v>
      </c>
      <c r="E783" s="196" t="s">
        <v>12836</v>
      </c>
      <c r="F783" s="196" t="s">
        <v>11233</v>
      </c>
      <c r="G783" s="196" t="s">
        <v>12378</v>
      </c>
      <c r="H783" s="196" t="s">
        <v>11235</v>
      </c>
    </row>
    <row r="784" spans="1:8" x14ac:dyDescent="0.15">
      <c r="A784" s="196" t="s">
        <v>11229</v>
      </c>
      <c r="B784" s="196" t="s">
        <v>11230</v>
      </c>
      <c r="C784" s="196" t="s">
        <v>12837</v>
      </c>
      <c r="D784" s="196" t="s">
        <v>12838</v>
      </c>
      <c r="E784" s="196" t="s">
        <v>12838</v>
      </c>
      <c r="F784" s="196" t="s">
        <v>11233</v>
      </c>
      <c r="G784" s="196" t="s">
        <v>12378</v>
      </c>
      <c r="H784" s="196" t="s">
        <v>11235</v>
      </c>
    </row>
    <row r="785" spans="1:8" x14ac:dyDescent="0.15">
      <c r="A785" s="196" t="s">
        <v>11229</v>
      </c>
      <c r="B785" s="196" t="s">
        <v>11230</v>
      </c>
      <c r="C785" s="196" t="s">
        <v>12839</v>
      </c>
      <c r="D785" s="196" t="s">
        <v>12840</v>
      </c>
      <c r="E785" s="196" t="s">
        <v>12841</v>
      </c>
      <c r="F785" s="196" t="s">
        <v>11241</v>
      </c>
      <c r="G785" s="196" t="s">
        <v>12378</v>
      </c>
      <c r="H785" s="196" t="s">
        <v>11235</v>
      </c>
    </row>
    <row r="786" spans="1:8" x14ac:dyDescent="0.15">
      <c r="A786" s="196" t="s">
        <v>11229</v>
      </c>
      <c r="B786" s="196" t="s">
        <v>11230</v>
      </c>
      <c r="C786" s="196" t="s">
        <v>12842</v>
      </c>
      <c r="D786" s="196" t="s">
        <v>12843</v>
      </c>
      <c r="E786" s="196" t="s">
        <v>12844</v>
      </c>
      <c r="F786" s="196" t="s">
        <v>11241</v>
      </c>
      <c r="G786" s="196" t="s">
        <v>12378</v>
      </c>
      <c r="H786" s="196" t="s">
        <v>11235</v>
      </c>
    </row>
    <row r="787" spans="1:8" x14ac:dyDescent="0.15">
      <c r="A787" s="196" t="s">
        <v>11229</v>
      </c>
      <c r="B787" s="196" t="s">
        <v>11230</v>
      </c>
      <c r="C787" s="196" t="s">
        <v>12845</v>
      </c>
      <c r="D787" s="196" t="s">
        <v>12846</v>
      </c>
      <c r="E787" s="196" t="s">
        <v>12847</v>
      </c>
      <c r="F787" s="196" t="s">
        <v>11241</v>
      </c>
      <c r="G787" s="196" t="s">
        <v>12378</v>
      </c>
      <c r="H787" s="196" t="s">
        <v>11235</v>
      </c>
    </row>
    <row r="788" spans="1:8" x14ac:dyDescent="0.15">
      <c r="A788" s="196" t="s">
        <v>11229</v>
      </c>
      <c r="B788" s="196" t="s">
        <v>11230</v>
      </c>
      <c r="C788" s="196" t="s">
        <v>12848</v>
      </c>
      <c r="D788" s="196" t="s">
        <v>12849</v>
      </c>
      <c r="E788" s="196" t="s">
        <v>12850</v>
      </c>
      <c r="F788" s="196" t="s">
        <v>11268</v>
      </c>
      <c r="G788" s="196" t="s">
        <v>12378</v>
      </c>
      <c r="H788" s="196" t="s">
        <v>11235</v>
      </c>
    </row>
    <row r="789" spans="1:8" x14ac:dyDescent="0.15">
      <c r="A789" s="196" t="s">
        <v>11229</v>
      </c>
      <c r="B789" s="196" t="s">
        <v>11230</v>
      </c>
      <c r="C789" s="196" t="s">
        <v>12851</v>
      </c>
      <c r="D789" s="196" t="s">
        <v>12852</v>
      </c>
      <c r="E789" s="196" t="s">
        <v>12853</v>
      </c>
      <c r="F789" s="196" t="s">
        <v>11268</v>
      </c>
      <c r="G789" s="196" t="s">
        <v>12378</v>
      </c>
      <c r="H789" s="196" t="s">
        <v>11235</v>
      </c>
    </row>
    <row r="790" spans="1:8" x14ac:dyDescent="0.15">
      <c r="A790" s="196" t="s">
        <v>11229</v>
      </c>
      <c r="B790" s="196" t="s">
        <v>11230</v>
      </c>
      <c r="C790" s="196" t="s">
        <v>12854</v>
      </c>
      <c r="D790" s="196" t="s">
        <v>12855</v>
      </c>
      <c r="E790" s="196" t="s">
        <v>12856</v>
      </c>
      <c r="F790" s="196" t="s">
        <v>11241</v>
      </c>
      <c r="G790" s="196" t="s">
        <v>12378</v>
      </c>
      <c r="H790" s="196" t="s">
        <v>11235</v>
      </c>
    </row>
    <row r="791" spans="1:8" x14ac:dyDescent="0.15">
      <c r="A791" s="196" t="s">
        <v>11229</v>
      </c>
      <c r="B791" s="196" t="s">
        <v>11230</v>
      </c>
      <c r="C791" s="196" t="s">
        <v>12857</v>
      </c>
      <c r="D791" s="196" t="s">
        <v>12858</v>
      </c>
      <c r="E791" s="196" t="s">
        <v>12859</v>
      </c>
      <c r="F791" s="196" t="s">
        <v>11241</v>
      </c>
      <c r="G791" s="196" t="s">
        <v>12378</v>
      </c>
      <c r="H791" s="196" t="s">
        <v>11235</v>
      </c>
    </row>
    <row r="792" spans="1:8" x14ac:dyDescent="0.15">
      <c r="A792" s="196" t="s">
        <v>11229</v>
      </c>
      <c r="B792" s="196" t="s">
        <v>11230</v>
      </c>
      <c r="C792" s="196" t="s">
        <v>12860</v>
      </c>
      <c r="D792" s="196" t="s">
        <v>12861</v>
      </c>
      <c r="E792" s="196" t="s">
        <v>12862</v>
      </c>
      <c r="F792" s="196" t="s">
        <v>11268</v>
      </c>
      <c r="G792" s="196" t="s">
        <v>12378</v>
      </c>
      <c r="H792" s="196" t="s">
        <v>11235</v>
      </c>
    </row>
    <row r="793" spans="1:8" x14ac:dyDescent="0.15">
      <c r="A793" s="196" t="s">
        <v>11229</v>
      </c>
      <c r="B793" s="196" t="s">
        <v>11230</v>
      </c>
      <c r="C793" s="196" t="s">
        <v>12863</v>
      </c>
      <c r="D793" s="196" t="s">
        <v>12864</v>
      </c>
      <c r="E793" s="196" t="s">
        <v>12865</v>
      </c>
      <c r="F793" s="196" t="s">
        <v>11268</v>
      </c>
      <c r="G793" s="196" t="s">
        <v>12378</v>
      </c>
      <c r="H793" s="196" t="s">
        <v>11235</v>
      </c>
    </row>
    <row r="794" spans="1:8" x14ac:dyDescent="0.15">
      <c r="A794" s="196" t="s">
        <v>11229</v>
      </c>
      <c r="B794" s="196" t="s">
        <v>11230</v>
      </c>
      <c r="C794" s="196" t="s">
        <v>12866</v>
      </c>
      <c r="D794" s="196" t="s">
        <v>12867</v>
      </c>
      <c r="E794" s="196" t="s">
        <v>12868</v>
      </c>
      <c r="F794" s="196" t="s">
        <v>11241</v>
      </c>
      <c r="G794" s="196" t="s">
        <v>12378</v>
      </c>
      <c r="H794" s="196" t="s">
        <v>11235</v>
      </c>
    </row>
    <row r="795" spans="1:8" x14ac:dyDescent="0.15">
      <c r="A795" s="196" t="s">
        <v>11229</v>
      </c>
      <c r="B795" s="196" t="s">
        <v>11230</v>
      </c>
      <c r="C795" s="196" t="s">
        <v>12869</v>
      </c>
      <c r="D795" s="196" t="s">
        <v>12870</v>
      </c>
      <c r="E795" s="196" t="s">
        <v>12871</v>
      </c>
      <c r="F795" s="196" t="s">
        <v>11241</v>
      </c>
      <c r="G795" s="196" t="s">
        <v>12378</v>
      </c>
      <c r="H795" s="196" t="s">
        <v>11235</v>
      </c>
    </row>
    <row r="796" spans="1:8" x14ac:dyDescent="0.15">
      <c r="A796" s="196" t="s">
        <v>11229</v>
      </c>
      <c r="B796" s="196" t="s">
        <v>11230</v>
      </c>
      <c r="C796" s="196" t="s">
        <v>12872</v>
      </c>
      <c r="D796" s="196" t="s">
        <v>12873</v>
      </c>
      <c r="E796" s="196" t="s">
        <v>12874</v>
      </c>
      <c r="F796" s="196" t="s">
        <v>11268</v>
      </c>
      <c r="G796" s="196" t="s">
        <v>12378</v>
      </c>
      <c r="H796" s="196" t="s">
        <v>11235</v>
      </c>
    </row>
    <row r="797" spans="1:8" x14ac:dyDescent="0.15">
      <c r="A797" s="196" t="s">
        <v>11229</v>
      </c>
      <c r="B797" s="196" t="s">
        <v>11230</v>
      </c>
      <c r="C797" s="196" t="s">
        <v>12875</v>
      </c>
      <c r="D797" s="196" t="s">
        <v>12876</v>
      </c>
      <c r="E797" s="196" t="s">
        <v>12877</v>
      </c>
      <c r="F797" s="196" t="s">
        <v>11268</v>
      </c>
      <c r="G797" s="196" t="s">
        <v>12378</v>
      </c>
      <c r="H797" s="196" t="s">
        <v>11235</v>
      </c>
    </row>
    <row r="798" spans="1:8" x14ac:dyDescent="0.15">
      <c r="A798" s="196" t="s">
        <v>11229</v>
      </c>
      <c r="B798" s="196" t="s">
        <v>11230</v>
      </c>
      <c r="C798" s="196" t="s">
        <v>12878</v>
      </c>
      <c r="D798" s="196" t="s">
        <v>12879</v>
      </c>
      <c r="E798" s="196" t="s">
        <v>12879</v>
      </c>
      <c r="F798" s="196" t="s">
        <v>11233</v>
      </c>
      <c r="G798" s="196" t="s">
        <v>12378</v>
      </c>
      <c r="H798" s="196" t="s">
        <v>11235</v>
      </c>
    </row>
    <row r="799" spans="1:8" x14ac:dyDescent="0.15">
      <c r="A799" s="196" t="s">
        <v>11229</v>
      </c>
      <c r="B799" s="196" t="s">
        <v>11230</v>
      </c>
      <c r="C799" s="196" t="s">
        <v>12880</v>
      </c>
      <c r="D799" s="196" t="s">
        <v>12881</v>
      </c>
      <c r="E799" s="196" t="s">
        <v>12881</v>
      </c>
      <c r="F799" s="196" t="s">
        <v>11233</v>
      </c>
      <c r="G799" s="196" t="s">
        <v>12378</v>
      </c>
      <c r="H799" s="196" t="s">
        <v>11235</v>
      </c>
    </row>
    <row r="800" spans="1:8" x14ac:dyDescent="0.15">
      <c r="A800" s="196" t="s">
        <v>11229</v>
      </c>
      <c r="B800" s="196" t="s">
        <v>11230</v>
      </c>
      <c r="C800" s="196" t="s">
        <v>12882</v>
      </c>
      <c r="D800" s="196" t="s">
        <v>12883</v>
      </c>
      <c r="E800" s="196" t="s">
        <v>12883</v>
      </c>
      <c r="F800" s="196" t="s">
        <v>11233</v>
      </c>
      <c r="G800" s="196" t="s">
        <v>12378</v>
      </c>
      <c r="H800" s="196" t="s">
        <v>11235</v>
      </c>
    </row>
    <row r="801" spans="1:8" x14ac:dyDescent="0.15">
      <c r="A801" s="196" t="s">
        <v>11229</v>
      </c>
      <c r="B801" s="196" t="s">
        <v>11230</v>
      </c>
      <c r="C801" s="196" t="s">
        <v>12884</v>
      </c>
      <c r="D801" s="196" t="s">
        <v>12885</v>
      </c>
      <c r="E801" s="196" t="s">
        <v>12886</v>
      </c>
      <c r="F801" s="196" t="s">
        <v>11241</v>
      </c>
      <c r="G801" s="196" t="s">
        <v>12378</v>
      </c>
      <c r="H801" s="196" t="s">
        <v>11235</v>
      </c>
    </row>
    <row r="802" spans="1:8" x14ac:dyDescent="0.15">
      <c r="A802" s="196" t="s">
        <v>11229</v>
      </c>
      <c r="B802" s="196" t="s">
        <v>11230</v>
      </c>
      <c r="C802" s="196" t="s">
        <v>12887</v>
      </c>
      <c r="D802" s="196" t="s">
        <v>12888</v>
      </c>
      <c r="E802" s="196" t="s">
        <v>12889</v>
      </c>
      <c r="F802" s="196" t="s">
        <v>11241</v>
      </c>
      <c r="G802" s="196" t="s">
        <v>12378</v>
      </c>
      <c r="H802" s="196" t="s">
        <v>11235</v>
      </c>
    </row>
    <row r="803" spans="1:8" x14ac:dyDescent="0.15">
      <c r="A803" s="196" t="s">
        <v>11229</v>
      </c>
      <c r="B803" s="196" t="s">
        <v>11230</v>
      </c>
      <c r="C803" s="196" t="s">
        <v>12890</v>
      </c>
      <c r="D803" s="196" t="s">
        <v>12891</v>
      </c>
      <c r="E803" s="196" t="s">
        <v>12892</v>
      </c>
      <c r="F803" s="196" t="s">
        <v>11268</v>
      </c>
      <c r="G803" s="196" t="s">
        <v>12378</v>
      </c>
      <c r="H803" s="196" t="s">
        <v>11235</v>
      </c>
    </row>
    <row r="804" spans="1:8" x14ac:dyDescent="0.15">
      <c r="A804" s="196" t="s">
        <v>11229</v>
      </c>
      <c r="B804" s="196" t="s">
        <v>11230</v>
      </c>
      <c r="C804" s="196" t="s">
        <v>12893</v>
      </c>
      <c r="D804" s="196" t="s">
        <v>12894</v>
      </c>
      <c r="E804" s="196" t="s">
        <v>12895</v>
      </c>
      <c r="F804" s="196" t="s">
        <v>11241</v>
      </c>
      <c r="G804" s="196" t="s">
        <v>12378</v>
      </c>
      <c r="H804" s="196" t="s">
        <v>11235</v>
      </c>
    </row>
    <row r="805" spans="1:8" x14ac:dyDescent="0.15">
      <c r="A805" s="196" t="s">
        <v>11229</v>
      </c>
      <c r="B805" s="196" t="s">
        <v>11230</v>
      </c>
      <c r="C805" s="196" t="s">
        <v>12896</v>
      </c>
      <c r="D805" s="196" t="s">
        <v>12897</v>
      </c>
      <c r="E805" s="196" t="s">
        <v>12898</v>
      </c>
      <c r="F805" s="196" t="s">
        <v>11241</v>
      </c>
      <c r="G805" s="196" t="s">
        <v>12378</v>
      </c>
      <c r="H805" s="196" t="s">
        <v>11235</v>
      </c>
    </row>
    <row r="806" spans="1:8" x14ac:dyDescent="0.15">
      <c r="A806" s="196" t="s">
        <v>11229</v>
      </c>
      <c r="B806" s="196" t="s">
        <v>11230</v>
      </c>
      <c r="C806" s="196" t="s">
        <v>12899</v>
      </c>
      <c r="D806" s="196" t="s">
        <v>12900</v>
      </c>
      <c r="E806" s="196" t="s">
        <v>12901</v>
      </c>
      <c r="F806" s="196" t="s">
        <v>11241</v>
      </c>
      <c r="G806" s="196" t="s">
        <v>12378</v>
      </c>
      <c r="H806" s="196" t="s">
        <v>11235</v>
      </c>
    </row>
    <row r="807" spans="1:8" x14ac:dyDescent="0.15">
      <c r="A807" s="196" t="s">
        <v>11229</v>
      </c>
      <c r="B807" s="196" t="s">
        <v>11230</v>
      </c>
      <c r="C807" s="196" t="s">
        <v>12902</v>
      </c>
      <c r="D807" s="196" t="s">
        <v>12903</v>
      </c>
      <c r="E807" s="196" t="s">
        <v>12904</v>
      </c>
      <c r="F807" s="196" t="s">
        <v>11268</v>
      </c>
      <c r="G807" s="196" t="s">
        <v>12378</v>
      </c>
      <c r="H807" s="196" t="s">
        <v>11235</v>
      </c>
    </row>
    <row r="808" spans="1:8" x14ac:dyDescent="0.15">
      <c r="A808" s="196" t="s">
        <v>11229</v>
      </c>
      <c r="B808" s="196" t="s">
        <v>11230</v>
      </c>
      <c r="C808" s="196" t="s">
        <v>12905</v>
      </c>
      <c r="D808" s="196" t="s">
        <v>12906</v>
      </c>
      <c r="E808" s="196" t="s">
        <v>12907</v>
      </c>
      <c r="F808" s="196" t="s">
        <v>11241</v>
      </c>
      <c r="G808" s="196" t="s">
        <v>12378</v>
      </c>
      <c r="H808" s="196" t="s">
        <v>11235</v>
      </c>
    </row>
    <row r="809" spans="1:8" x14ac:dyDescent="0.15">
      <c r="A809" s="196" t="s">
        <v>11229</v>
      </c>
      <c r="B809" s="196" t="s">
        <v>11230</v>
      </c>
      <c r="C809" s="196" t="s">
        <v>12908</v>
      </c>
      <c r="D809" s="196" t="s">
        <v>12909</v>
      </c>
      <c r="E809" s="196" t="s">
        <v>12909</v>
      </c>
      <c r="F809" s="196" t="s">
        <v>11233</v>
      </c>
      <c r="G809" s="196" t="s">
        <v>12378</v>
      </c>
      <c r="H809" s="196" t="s">
        <v>11235</v>
      </c>
    </row>
    <row r="810" spans="1:8" x14ac:dyDescent="0.15">
      <c r="A810" s="196" t="s">
        <v>11229</v>
      </c>
      <c r="B810" s="196" t="s">
        <v>11230</v>
      </c>
      <c r="C810" s="196" t="s">
        <v>12910</v>
      </c>
      <c r="D810" s="196" t="s">
        <v>12911</v>
      </c>
      <c r="E810" s="196" t="s">
        <v>12911</v>
      </c>
      <c r="F810" s="196" t="s">
        <v>11233</v>
      </c>
      <c r="G810" s="196" t="s">
        <v>12378</v>
      </c>
      <c r="H810" s="196" t="s">
        <v>11235</v>
      </c>
    </row>
    <row r="811" spans="1:8" x14ac:dyDescent="0.15">
      <c r="A811" s="196" t="s">
        <v>11229</v>
      </c>
      <c r="B811" s="196" t="s">
        <v>11230</v>
      </c>
      <c r="C811" s="196" t="s">
        <v>12912</v>
      </c>
      <c r="D811" s="196" t="s">
        <v>12913</v>
      </c>
      <c r="E811" s="196" t="s">
        <v>12913</v>
      </c>
      <c r="F811" s="196" t="s">
        <v>11233</v>
      </c>
      <c r="G811" s="196" t="s">
        <v>12378</v>
      </c>
      <c r="H811" s="196" t="s">
        <v>11235</v>
      </c>
    </row>
    <row r="812" spans="1:8" x14ac:dyDescent="0.15">
      <c r="A812" s="196" t="s">
        <v>11229</v>
      </c>
      <c r="B812" s="196" t="s">
        <v>11230</v>
      </c>
      <c r="C812" s="196" t="s">
        <v>12914</v>
      </c>
      <c r="D812" s="196" t="s">
        <v>12915</v>
      </c>
      <c r="E812" s="196" t="s">
        <v>12916</v>
      </c>
      <c r="F812" s="196" t="s">
        <v>11241</v>
      </c>
      <c r="G812" s="196" t="s">
        <v>12378</v>
      </c>
      <c r="H812" s="196" t="s">
        <v>11235</v>
      </c>
    </row>
    <row r="813" spans="1:8" x14ac:dyDescent="0.15">
      <c r="A813" s="196" t="s">
        <v>11229</v>
      </c>
      <c r="B813" s="196" t="s">
        <v>11230</v>
      </c>
      <c r="C813" s="196" t="s">
        <v>12917</v>
      </c>
      <c r="D813" s="196" t="s">
        <v>12918</v>
      </c>
      <c r="E813" s="196" t="s">
        <v>12919</v>
      </c>
      <c r="F813" s="196" t="s">
        <v>11241</v>
      </c>
      <c r="G813" s="196" t="s">
        <v>12378</v>
      </c>
      <c r="H813" s="196" t="s">
        <v>11235</v>
      </c>
    </row>
    <row r="814" spans="1:8" x14ac:dyDescent="0.15">
      <c r="A814" s="196" t="s">
        <v>11229</v>
      </c>
      <c r="B814" s="196" t="s">
        <v>11230</v>
      </c>
      <c r="C814" s="196" t="s">
        <v>12920</v>
      </c>
      <c r="D814" s="196" t="s">
        <v>12921</v>
      </c>
      <c r="E814" s="196" t="s">
        <v>12921</v>
      </c>
      <c r="F814" s="196" t="s">
        <v>11233</v>
      </c>
      <c r="G814" s="196" t="s">
        <v>12378</v>
      </c>
      <c r="H814" s="196" t="s">
        <v>11235</v>
      </c>
    </row>
    <row r="815" spans="1:8" x14ac:dyDescent="0.15">
      <c r="A815" s="196" t="s">
        <v>11229</v>
      </c>
      <c r="B815" s="196" t="s">
        <v>11230</v>
      </c>
      <c r="C815" s="196" t="s">
        <v>12922</v>
      </c>
      <c r="D815" s="196" t="s">
        <v>12923</v>
      </c>
      <c r="E815" s="196" t="s">
        <v>12923</v>
      </c>
      <c r="F815" s="196" t="s">
        <v>11233</v>
      </c>
      <c r="G815" s="196" t="s">
        <v>12378</v>
      </c>
      <c r="H815" s="196" t="s">
        <v>11235</v>
      </c>
    </row>
    <row r="816" spans="1:8" x14ac:dyDescent="0.15">
      <c r="A816" s="196" t="s">
        <v>11229</v>
      </c>
      <c r="B816" s="196" t="s">
        <v>11230</v>
      </c>
      <c r="C816" s="196" t="s">
        <v>12924</v>
      </c>
      <c r="D816" s="196" t="s">
        <v>12925</v>
      </c>
      <c r="E816" s="196" t="s">
        <v>12925</v>
      </c>
      <c r="F816" s="196" t="s">
        <v>11233</v>
      </c>
      <c r="G816" s="196" t="s">
        <v>12378</v>
      </c>
      <c r="H816" s="196" t="s">
        <v>11235</v>
      </c>
    </row>
    <row r="817" spans="1:8" x14ac:dyDescent="0.15">
      <c r="A817" s="196" t="s">
        <v>11229</v>
      </c>
      <c r="B817" s="196" t="s">
        <v>11230</v>
      </c>
      <c r="C817" s="196" t="s">
        <v>12926</v>
      </c>
      <c r="D817" s="196" t="s">
        <v>12927</v>
      </c>
      <c r="E817" s="196" t="s">
        <v>12928</v>
      </c>
      <c r="F817" s="196" t="s">
        <v>11241</v>
      </c>
      <c r="G817" s="196" t="s">
        <v>12378</v>
      </c>
      <c r="H817" s="196" t="s">
        <v>11235</v>
      </c>
    </row>
    <row r="818" spans="1:8" x14ac:dyDescent="0.15">
      <c r="A818" s="196" t="s">
        <v>11229</v>
      </c>
      <c r="B818" s="196" t="s">
        <v>11230</v>
      </c>
      <c r="C818" s="196" t="s">
        <v>12929</v>
      </c>
      <c r="D818" s="196" t="s">
        <v>12930</v>
      </c>
      <c r="E818" s="196" t="s">
        <v>12930</v>
      </c>
      <c r="F818" s="196" t="s">
        <v>11233</v>
      </c>
      <c r="G818" s="196" t="s">
        <v>12378</v>
      </c>
      <c r="H818" s="196" t="s">
        <v>11235</v>
      </c>
    </row>
    <row r="819" spans="1:8" x14ac:dyDescent="0.15">
      <c r="A819" s="196" t="s">
        <v>11229</v>
      </c>
      <c r="B819" s="196" t="s">
        <v>11230</v>
      </c>
      <c r="C819" s="196" t="s">
        <v>12931</v>
      </c>
      <c r="D819" s="196" t="s">
        <v>12932</v>
      </c>
      <c r="E819" s="196" t="s">
        <v>12932</v>
      </c>
      <c r="F819" s="196" t="s">
        <v>11233</v>
      </c>
      <c r="G819" s="196" t="s">
        <v>12378</v>
      </c>
      <c r="H819" s="196" t="s">
        <v>11235</v>
      </c>
    </row>
    <row r="820" spans="1:8" x14ac:dyDescent="0.15">
      <c r="A820" s="196" t="s">
        <v>11229</v>
      </c>
      <c r="B820" s="196" t="s">
        <v>11230</v>
      </c>
      <c r="C820" s="196" t="s">
        <v>12933</v>
      </c>
      <c r="D820" s="196" t="s">
        <v>12934</v>
      </c>
      <c r="E820" s="196" t="s">
        <v>12935</v>
      </c>
      <c r="F820" s="196" t="s">
        <v>11241</v>
      </c>
      <c r="G820" s="196" t="s">
        <v>12378</v>
      </c>
      <c r="H820" s="196" t="s">
        <v>11235</v>
      </c>
    </row>
    <row r="821" spans="1:8" x14ac:dyDescent="0.15">
      <c r="A821" s="196" t="s">
        <v>11229</v>
      </c>
      <c r="B821" s="196" t="s">
        <v>11230</v>
      </c>
      <c r="C821" s="196" t="s">
        <v>12936</v>
      </c>
      <c r="D821" s="196" t="s">
        <v>12937</v>
      </c>
      <c r="E821" s="196" t="s">
        <v>12937</v>
      </c>
      <c r="F821" s="196" t="s">
        <v>11233</v>
      </c>
      <c r="G821" s="196" t="s">
        <v>12378</v>
      </c>
      <c r="H821" s="196" t="s">
        <v>11235</v>
      </c>
    </row>
    <row r="822" spans="1:8" x14ac:dyDescent="0.15">
      <c r="A822" s="196" t="s">
        <v>11229</v>
      </c>
      <c r="B822" s="196" t="s">
        <v>11230</v>
      </c>
      <c r="C822" s="196" t="s">
        <v>12938</v>
      </c>
      <c r="D822" s="196" t="s">
        <v>12939</v>
      </c>
      <c r="E822" s="196" t="s">
        <v>12939</v>
      </c>
      <c r="F822" s="196" t="s">
        <v>11233</v>
      </c>
      <c r="G822" s="196" t="s">
        <v>12378</v>
      </c>
      <c r="H822" s="196" t="s">
        <v>11235</v>
      </c>
    </row>
    <row r="823" spans="1:8" x14ac:dyDescent="0.15">
      <c r="A823" s="196" t="s">
        <v>11229</v>
      </c>
      <c r="B823" s="196" t="s">
        <v>11230</v>
      </c>
      <c r="C823" s="196" t="s">
        <v>12940</v>
      </c>
      <c r="D823" s="196" t="s">
        <v>12941</v>
      </c>
      <c r="E823" s="196" t="s">
        <v>12941</v>
      </c>
      <c r="F823" s="196" t="s">
        <v>11233</v>
      </c>
      <c r="G823" s="196" t="s">
        <v>12378</v>
      </c>
      <c r="H823" s="196" t="s">
        <v>11235</v>
      </c>
    </row>
    <row r="824" spans="1:8" x14ac:dyDescent="0.15">
      <c r="A824" s="196" t="s">
        <v>11229</v>
      </c>
      <c r="B824" s="196" t="s">
        <v>11230</v>
      </c>
      <c r="C824" s="196" t="s">
        <v>12942</v>
      </c>
      <c r="D824" s="196" t="s">
        <v>12943</v>
      </c>
      <c r="E824" s="196" t="s">
        <v>12943</v>
      </c>
      <c r="F824" s="196" t="s">
        <v>11233</v>
      </c>
      <c r="G824" s="196" t="s">
        <v>12378</v>
      </c>
      <c r="H824" s="196" t="s">
        <v>11235</v>
      </c>
    </row>
    <row r="825" spans="1:8" x14ac:dyDescent="0.15">
      <c r="A825" s="196" t="s">
        <v>11229</v>
      </c>
      <c r="B825" s="196" t="s">
        <v>11230</v>
      </c>
      <c r="C825" s="196" t="s">
        <v>12944</v>
      </c>
      <c r="D825" s="196" t="s">
        <v>12945</v>
      </c>
      <c r="E825" s="196" t="s">
        <v>12945</v>
      </c>
      <c r="F825" s="196" t="s">
        <v>11233</v>
      </c>
      <c r="G825" s="196" t="s">
        <v>12378</v>
      </c>
      <c r="H825" s="196" t="s">
        <v>11235</v>
      </c>
    </row>
    <row r="826" spans="1:8" x14ac:dyDescent="0.15">
      <c r="A826" s="196" t="s">
        <v>11229</v>
      </c>
      <c r="B826" s="196" t="s">
        <v>11230</v>
      </c>
      <c r="C826" s="196" t="s">
        <v>12946</v>
      </c>
      <c r="D826" s="196" t="s">
        <v>12947</v>
      </c>
      <c r="E826" s="196" t="s">
        <v>12947</v>
      </c>
      <c r="F826" s="196" t="s">
        <v>11233</v>
      </c>
      <c r="G826" s="196" t="s">
        <v>12378</v>
      </c>
      <c r="H826" s="196" t="s">
        <v>11235</v>
      </c>
    </row>
    <row r="827" spans="1:8" x14ac:dyDescent="0.15">
      <c r="A827" s="196" t="s">
        <v>11229</v>
      </c>
      <c r="B827" s="196" t="s">
        <v>11230</v>
      </c>
      <c r="C827" s="196" t="s">
        <v>12948</v>
      </c>
      <c r="D827" s="196" t="s">
        <v>12949</v>
      </c>
      <c r="E827" s="196" t="s">
        <v>12950</v>
      </c>
      <c r="F827" s="196" t="s">
        <v>11241</v>
      </c>
      <c r="G827" s="196" t="s">
        <v>12378</v>
      </c>
      <c r="H827" s="196" t="s">
        <v>11235</v>
      </c>
    </row>
    <row r="828" spans="1:8" x14ac:dyDescent="0.15">
      <c r="A828" s="196" t="s">
        <v>11229</v>
      </c>
      <c r="B828" s="196" t="s">
        <v>11230</v>
      </c>
      <c r="C828" s="196" t="s">
        <v>12951</v>
      </c>
      <c r="D828" s="196" t="s">
        <v>12952</v>
      </c>
      <c r="E828" s="196" t="s">
        <v>12952</v>
      </c>
      <c r="F828" s="196" t="s">
        <v>11233</v>
      </c>
      <c r="G828" s="196" t="s">
        <v>12378</v>
      </c>
      <c r="H828" s="196" t="s">
        <v>11235</v>
      </c>
    </row>
    <row r="829" spans="1:8" x14ac:dyDescent="0.15">
      <c r="A829" s="196" t="s">
        <v>11229</v>
      </c>
      <c r="B829" s="196" t="s">
        <v>11230</v>
      </c>
      <c r="C829" s="196" t="s">
        <v>12953</v>
      </c>
      <c r="D829" s="196" t="s">
        <v>12954</v>
      </c>
      <c r="E829" s="196" t="s">
        <v>12954</v>
      </c>
      <c r="F829" s="196" t="s">
        <v>11233</v>
      </c>
      <c r="G829" s="196" t="s">
        <v>12378</v>
      </c>
      <c r="H829" s="196" t="s">
        <v>11235</v>
      </c>
    </row>
    <row r="830" spans="1:8" x14ac:dyDescent="0.15">
      <c r="A830" s="196" t="s">
        <v>11229</v>
      </c>
      <c r="B830" s="196" t="s">
        <v>11230</v>
      </c>
      <c r="C830" s="196" t="s">
        <v>12955</v>
      </c>
      <c r="D830" s="196" t="s">
        <v>12956</v>
      </c>
      <c r="E830" s="196" t="s">
        <v>12956</v>
      </c>
      <c r="F830" s="196" t="s">
        <v>11233</v>
      </c>
      <c r="G830" s="196" t="s">
        <v>12378</v>
      </c>
      <c r="H830" s="196" t="s">
        <v>11235</v>
      </c>
    </row>
    <row r="831" spans="1:8" x14ac:dyDescent="0.15">
      <c r="A831" s="196" t="s">
        <v>11229</v>
      </c>
      <c r="B831" s="196" t="s">
        <v>11230</v>
      </c>
      <c r="C831" s="196" t="s">
        <v>12957</v>
      </c>
      <c r="D831" s="196" t="s">
        <v>12958</v>
      </c>
      <c r="E831" s="196" t="s">
        <v>12958</v>
      </c>
      <c r="F831" s="196" t="s">
        <v>11233</v>
      </c>
      <c r="G831" s="196" t="s">
        <v>12378</v>
      </c>
      <c r="H831" s="196" t="s">
        <v>11235</v>
      </c>
    </row>
    <row r="832" spans="1:8" x14ac:dyDescent="0.15">
      <c r="A832" s="196" t="s">
        <v>11229</v>
      </c>
      <c r="B832" s="196" t="s">
        <v>11230</v>
      </c>
      <c r="C832" s="196" t="s">
        <v>12959</v>
      </c>
      <c r="D832" s="196" t="s">
        <v>12960</v>
      </c>
      <c r="E832" s="196" t="s">
        <v>12960</v>
      </c>
      <c r="F832" s="196" t="s">
        <v>11233</v>
      </c>
      <c r="G832" s="196" t="s">
        <v>12378</v>
      </c>
      <c r="H832" s="196" t="s">
        <v>11235</v>
      </c>
    </row>
    <row r="833" spans="1:8" x14ac:dyDescent="0.15">
      <c r="A833" s="196" t="s">
        <v>11229</v>
      </c>
      <c r="B833" s="196" t="s">
        <v>11230</v>
      </c>
      <c r="C833" s="196" t="s">
        <v>12961</v>
      </c>
      <c r="D833" s="196" t="s">
        <v>12962</v>
      </c>
      <c r="E833" s="196" t="s">
        <v>12963</v>
      </c>
      <c r="F833" s="196" t="s">
        <v>11241</v>
      </c>
      <c r="G833" s="196" t="s">
        <v>12378</v>
      </c>
      <c r="H833" s="196" t="s">
        <v>11235</v>
      </c>
    </row>
    <row r="834" spans="1:8" x14ac:dyDescent="0.15">
      <c r="A834" s="196" t="s">
        <v>11229</v>
      </c>
      <c r="B834" s="196" t="s">
        <v>11230</v>
      </c>
      <c r="C834" s="196" t="s">
        <v>12964</v>
      </c>
      <c r="D834" s="196" t="s">
        <v>12965</v>
      </c>
      <c r="E834" s="196" t="s">
        <v>12966</v>
      </c>
      <c r="F834" s="196" t="s">
        <v>11241</v>
      </c>
      <c r="G834" s="196" t="s">
        <v>12378</v>
      </c>
      <c r="H834" s="196" t="s">
        <v>11235</v>
      </c>
    </row>
    <row r="835" spans="1:8" x14ac:dyDescent="0.15">
      <c r="A835" s="196" t="s">
        <v>11229</v>
      </c>
      <c r="B835" s="196" t="s">
        <v>11230</v>
      </c>
      <c r="C835" s="196" t="s">
        <v>12967</v>
      </c>
      <c r="D835" s="196" t="s">
        <v>12968</v>
      </c>
      <c r="E835" s="196" t="s">
        <v>12969</v>
      </c>
      <c r="F835" s="196" t="s">
        <v>11241</v>
      </c>
      <c r="G835" s="196" t="s">
        <v>12378</v>
      </c>
      <c r="H835" s="196" t="s">
        <v>11235</v>
      </c>
    </row>
    <row r="836" spans="1:8" x14ac:dyDescent="0.15">
      <c r="A836" s="196" t="s">
        <v>11229</v>
      </c>
      <c r="B836" s="196" t="s">
        <v>11230</v>
      </c>
      <c r="C836" s="196" t="s">
        <v>12970</v>
      </c>
      <c r="D836" s="196" t="s">
        <v>12971</v>
      </c>
      <c r="E836" s="196" t="s">
        <v>12972</v>
      </c>
      <c r="F836" s="196" t="s">
        <v>11241</v>
      </c>
      <c r="G836" s="196" t="s">
        <v>12378</v>
      </c>
      <c r="H836" s="196" t="s">
        <v>11235</v>
      </c>
    </row>
    <row r="837" spans="1:8" x14ac:dyDescent="0.15">
      <c r="A837" s="196" t="s">
        <v>11229</v>
      </c>
      <c r="B837" s="196" t="s">
        <v>11230</v>
      </c>
      <c r="C837" s="196" t="s">
        <v>12973</v>
      </c>
      <c r="D837" s="196" t="s">
        <v>12974</v>
      </c>
      <c r="E837" s="196" t="s">
        <v>12975</v>
      </c>
      <c r="F837" s="196" t="s">
        <v>12976</v>
      </c>
      <c r="G837" s="196" t="s">
        <v>11720</v>
      </c>
      <c r="H837" s="196" t="s">
        <v>11235</v>
      </c>
    </row>
    <row r="838" spans="1:8" x14ac:dyDescent="0.15">
      <c r="A838" s="196" t="s">
        <v>11229</v>
      </c>
      <c r="B838" s="196" t="s">
        <v>11230</v>
      </c>
      <c r="C838" s="196" t="s">
        <v>12977</v>
      </c>
      <c r="D838" s="196" t="s">
        <v>12978</v>
      </c>
      <c r="E838" s="196" t="s">
        <v>12979</v>
      </c>
      <c r="F838" s="196" t="s">
        <v>11241</v>
      </c>
      <c r="G838" s="196" t="s">
        <v>12378</v>
      </c>
      <c r="H838" s="196" t="s">
        <v>11235</v>
      </c>
    </row>
    <row r="839" spans="1:8" x14ac:dyDescent="0.15">
      <c r="A839" s="196" t="s">
        <v>11229</v>
      </c>
      <c r="B839" s="196" t="s">
        <v>11230</v>
      </c>
      <c r="C839" s="196" t="s">
        <v>12980</v>
      </c>
      <c r="D839" s="196" t="s">
        <v>12981</v>
      </c>
      <c r="E839" s="196" t="s">
        <v>12981</v>
      </c>
      <c r="F839" s="196" t="s">
        <v>11233</v>
      </c>
      <c r="G839" s="196" t="s">
        <v>12378</v>
      </c>
      <c r="H839" s="196" t="s">
        <v>11235</v>
      </c>
    </row>
    <row r="840" spans="1:8" x14ac:dyDescent="0.15">
      <c r="A840" s="196" t="s">
        <v>11229</v>
      </c>
      <c r="B840" s="196" t="s">
        <v>11230</v>
      </c>
      <c r="C840" s="196" t="s">
        <v>12982</v>
      </c>
      <c r="D840" s="196" t="s">
        <v>12983</v>
      </c>
      <c r="E840" s="196" t="s">
        <v>12983</v>
      </c>
      <c r="F840" s="196" t="s">
        <v>11233</v>
      </c>
      <c r="G840" s="196" t="s">
        <v>12378</v>
      </c>
      <c r="H840" s="196" t="s">
        <v>11235</v>
      </c>
    </row>
    <row r="841" spans="1:8" x14ac:dyDescent="0.15">
      <c r="A841" s="196" t="s">
        <v>11229</v>
      </c>
      <c r="B841" s="196" t="s">
        <v>11230</v>
      </c>
      <c r="C841" s="196" t="s">
        <v>12984</v>
      </c>
      <c r="D841" s="196" t="s">
        <v>12985</v>
      </c>
      <c r="E841" s="196" t="s">
        <v>12986</v>
      </c>
      <c r="F841" s="196" t="s">
        <v>11241</v>
      </c>
      <c r="G841" s="196" t="s">
        <v>12378</v>
      </c>
      <c r="H841" s="196" t="s">
        <v>11235</v>
      </c>
    </row>
    <row r="842" spans="1:8" x14ac:dyDescent="0.15">
      <c r="A842" s="196" t="s">
        <v>11229</v>
      </c>
      <c r="B842" s="196" t="s">
        <v>11230</v>
      </c>
      <c r="C842" s="196" t="s">
        <v>12987</v>
      </c>
      <c r="D842" s="196" t="s">
        <v>12988</v>
      </c>
      <c r="E842" s="196" t="s">
        <v>12988</v>
      </c>
      <c r="F842" s="196" t="s">
        <v>11233</v>
      </c>
      <c r="G842" s="196" t="s">
        <v>12378</v>
      </c>
      <c r="H842" s="196" t="s">
        <v>11235</v>
      </c>
    </row>
    <row r="843" spans="1:8" x14ac:dyDescent="0.15">
      <c r="A843" s="196" t="s">
        <v>11229</v>
      </c>
      <c r="B843" s="196" t="s">
        <v>11230</v>
      </c>
      <c r="C843" s="196" t="s">
        <v>12989</v>
      </c>
      <c r="D843" s="196" t="s">
        <v>12990</v>
      </c>
      <c r="E843" s="196" t="s">
        <v>12991</v>
      </c>
      <c r="F843" s="196" t="s">
        <v>11268</v>
      </c>
      <c r="G843" s="196" t="s">
        <v>12378</v>
      </c>
      <c r="H843" s="196" t="s">
        <v>11235</v>
      </c>
    </row>
    <row r="844" spans="1:8" x14ac:dyDescent="0.15">
      <c r="A844" s="196" t="s">
        <v>11229</v>
      </c>
      <c r="B844" s="196" t="s">
        <v>11230</v>
      </c>
      <c r="C844" s="196" t="s">
        <v>12992</v>
      </c>
      <c r="D844" s="196" t="s">
        <v>12993</v>
      </c>
      <c r="E844" s="196" t="s">
        <v>12994</v>
      </c>
      <c r="F844" s="196" t="s">
        <v>11268</v>
      </c>
      <c r="G844" s="196" t="s">
        <v>12378</v>
      </c>
      <c r="H844" s="196" t="s">
        <v>11235</v>
      </c>
    </row>
    <row r="845" spans="1:8" x14ac:dyDescent="0.15">
      <c r="A845" s="196" t="s">
        <v>11229</v>
      </c>
      <c r="B845" s="196" t="s">
        <v>11230</v>
      </c>
      <c r="C845" s="196" t="s">
        <v>12995</v>
      </c>
      <c r="D845" s="196" t="s">
        <v>12996</v>
      </c>
      <c r="E845" s="196" t="s">
        <v>12996</v>
      </c>
      <c r="F845" s="196" t="s">
        <v>11233</v>
      </c>
      <c r="G845" s="196" t="s">
        <v>12378</v>
      </c>
      <c r="H845" s="196" t="s">
        <v>11235</v>
      </c>
    </row>
    <row r="846" spans="1:8" x14ac:dyDescent="0.15">
      <c r="A846" s="196" t="s">
        <v>11229</v>
      </c>
      <c r="B846" s="196" t="s">
        <v>11230</v>
      </c>
      <c r="C846" s="196" t="s">
        <v>12997</v>
      </c>
      <c r="D846" s="196" t="s">
        <v>12998</v>
      </c>
      <c r="E846" s="196" t="s">
        <v>12999</v>
      </c>
      <c r="F846" s="196" t="s">
        <v>11241</v>
      </c>
      <c r="G846" s="196" t="s">
        <v>12378</v>
      </c>
      <c r="H846" s="196" t="s">
        <v>11235</v>
      </c>
    </row>
    <row r="847" spans="1:8" x14ac:dyDescent="0.15">
      <c r="A847" s="196" t="s">
        <v>11229</v>
      </c>
      <c r="B847" s="196" t="s">
        <v>11230</v>
      </c>
      <c r="C847" s="196" t="s">
        <v>13000</v>
      </c>
      <c r="D847" s="196" t="s">
        <v>13001</v>
      </c>
      <c r="E847" s="196" t="s">
        <v>13002</v>
      </c>
      <c r="F847" s="196" t="s">
        <v>11241</v>
      </c>
      <c r="G847" s="196" t="s">
        <v>12378</v>
      </c>
      <c r="H847" s="196" t="s">
        <v>11235</v>
      </c>
    </row>
    <row r="848" spans="1:8" x14ac:dyDescent="0.15">
      <c r="A848" s="196" t="s">
        <v>11229</v>
      </c>
      <c r="B848" s="196" t="s">
        <v>11230</v>
      </c>
      <c r="C848" s="196" t="s">
        <v>13003</v>
      </c>
      <c r="D848" s="196" t="s">
        <v>13004</v>
      </c>
      <c r="E848" s="196" t="s">
        <v>13005</v>
      </c>
      <c r="F848" s="196" t="s">
        <v>11241</v>
      </c>
      <c r="G848" s="196" t="s">
        <v>12378</v>
      </c>
      <c r="H848" s="196" t="s">
        <v>11235</v>
      </c>
    </row>
    <row r="849" spans="1:8" x14ac:dyDescent="0.15">
      <c r="A849" s="196" t="s">
        <v>11229</v>
      </c>
      <c r="B849" s="196" t="s">
        <v>11230</v>
      </c>
      <c r="C849" s="196" t="s">
        <v>13006</v>
      </c>
      <c r="D849" s="196" t="s">
        <v>13007</v>
      </c>
      <c r="E849" s="196" t="s">
        <v>13007</v>
      </c>
      <c r="F849" s="196" t="s">
        <v>11233</v>
      </c>
      <c r="G849" s="196" t="s">
        <v>12378</v>
      </c>
      <c r="H849" s="196" t="s">
        <v>11235</v>
      </c>
    </row>
    <row r="850" spans="1:8" x14ac:dyDescent="0.15">
      <c r="A850" s="196" t="s">
        <v>11229</v>
      </c>
      <c r="B850" s="196" t="s">
        <v>11230</v>
      </c>
      <c r="C850" s="196" t="s">
        <v>13008</v>
      </c>
      <c r="D850" s="196" t="s">
        <v>13009</v>
      </c>
      <c r="E850" s="196" t="s">
        <v>13009</v>
      </c>
      <c r="F850" s="196" t="s">
        <v>11233</v>
      </c>
      <c r="G850" s="196" t="s">
        <v>12378</v>
      </c>
      <c r="H850" s="196" t="s">
        <v>11235</v>
      </c>
    </row>
    <row r="851" spans="1:8" x14ac:dyDescent="0.15">
      <c r="A851" s="196" t="s">
        <v>11229</v>
      </c>
      <c r="B851" s="196" t="s">
        <v>11230</v>
      </c>
      <c r="C851" s="196" t="s">
        <v>13010</v>
      </c>
      <c r="D851" s="196" t="s">
        <v>13011</v>
      </c>
      <c r="E851" s="196" t="s">
        <v>13012</v>
      </c>
      <c r="F851" s="196" t="s">
        <v>11268</v>
      </c>
      <c r="G851" s="196" t="s">
        <v>12378</v>
      </c>
      <c r="H851" s="196" t="s">
        <v>11235</v>
      </c>
    </row>
    <row r="852" spans="1:8" x14ac:dyDescent="0.15">
      <c r="A852" s="196" t="s">
        <v>11229</v>
      </c>
      <c r="B852" s="196" t="s">
        <v>11230</v>
      </c>
      <c r="C852" s="196" t="s">
        <v>13013</v>
      </c>
      <c r="D852" s="196" t="s">
        <v>13014</v>
      </c>
      <c r="E852" s="196" t="s">
        <v>13014</v>
      </c>
      <c r="F852" s="196" t="s">
        <v>11233</v>
      </c>
      <c r="G852" s="196" t="s">
        <v>12378</v>
      </c>
      <c r="H852" s="196" t="s">
        <v>11235</v>
      </c>
    </row>
    <row r="853" spans="1:8" x14ac:dyDescent="0.15">
      <c r="A853" s="196" t="s">
        <v>11229</v>
      </c>
      <c r="B853" s="196" t="s">
        <v>11230</v>
      </c>
      <c r="C853" s="196" t="s">
        <v>13015</v>
      </c>
      <c r="D853" s="196" t="s">
        <v>13016</v>
      </c>
      <c r="E853" s="196" t="s">
        <v>13016</v>
      </c>
      <c r="F853" s="196" t="s">
        <v>11233</v>
      </c>
      <c r="G853" s="196" t="s">
        <v>12378</v>
      </c>
      <c r="H853" s="196" t="s">
        <v>11235</v>
      </c>
    </row>
    <row r="854" spans="1:8" x14ac:dyDescent="0.15">
      <c r="A854" s="196" t="s">
        <v>11229</v>
      </c>
      <c r="B854" s="196" t="s">
        <v>11230</v>
      </c>
      <c r="C854" s="196" t="s">
        <v>13017</v>
      </c>
      <c r="D854" s="196" t="s">
        <v>13018</v>
      </c>
      <c r="E854" s="196" t="s">
        <v>13019</v>
      </c>
      <c r="F854" s="196" t="s">
        <v>11268</v>
      </c>
      <c r="G854" s="196" t="s">
        <v>12378</v>
      </c>
      <c r="H854" s="196" t="s">
        <v>11235</v>
      </c>
    </row>
    <row r="855" spans="1:8" x14ac:dyDescent="0.15">
      <c r="A855" s="196" t="s">
        <v>11229</v>
      </c>
      <c r="B855" s="196" t="s">
        <v>11230</v>
      </c>
      <c r="C855" s="196" t="s">
        <v>13020</v>
      </c>
      <c r="D855" s="196" t="s">
        <v>13021</v>
      </c>
      <c r="E855" s="196" t="s">
        <v>13022</v>
      </c>
      <c r="F855" s="196" t="s">
        <v>13023</v>
      </c>
      <c r="G855" s="196" t="s">
        <v>12378</v>
      </c>
      <c r="H855" s="196" t="s">
        <v>11235</v>
      </c>
    </row>
    <row r="856" spans="1:8" x14ac:dyDescent="0.15">
      <c r="A856" s="196" t="s">
        <v>11229</v>
      </c>
      <c r="B856" s="196" t="s">
        <v>11230</v>
      </c>
      <c r="C856" s="196" t="s">
        <v>13024</v>
      </c>
      <c r="D856" s="196" t="s">
        <v>13025</v>
      </c>
      <c r="E856" s="196" t="s">
        <v>13025</v>
      </c>
      <c r="F856" s="196" t="s">
        <v>11233</v>
      </c>
      <c r="G856" s="196" t="s">
        <v>12378</v>
      </c>
      <c r="H856" s="196" t="s">
        <v>11235</v>
      </c>
    </row>
    <row r="857" spans="1:8" x14ac:dyDescent="0.15">
      <c r="A857" s="196" t="s">
        <v>11229</v>
      </c>
      <c r="B857" s="196" t="s">
        <v>11230</v>
      </c>
      <c r="C857" s="196" t="s">
        <v>13026</v>
      </c>
      <c r="D857" s="196" t="s">
        <v>13027</v>
      </c>
      <c r="E857" s="196" t="s">
        <v>13027</v>
      </c>
      <c r="F857" s="196" t="s">
        <v>11233</v>
      </c>
      <c r="G857" s="196" t="s">
        <v>12378</v>
      </c>
      <c r="H857" s="196" t="s">
        <v>11235</v>
      </c>
    </row>
    <row r="858" spans="1:8" x14ac:dyDescent="0.15">
      <c r="A858" s="196" t="s">
        <v>11229</v>
      </c>
      <c r="B858" s="196" t="s">
        <v>11230</v>
      </c>
      <c r="C858" s="196" t="s">
        <v>13028</v>
      </c>
      <c r="D858" s="196" t="s">
        <v>13029</v>
      </c>
      <c r="E858" s="196" t="s">
        <v>13029</v>
      </c>
      <c r="F858" s="196" t="s">
        <v>11233</v>
      </c>
      <c r="G858" s="196" t="s">
        <v>12378</v>
      </c>
      <c r="H858" s="196" t="s">
        <v>11235</v>
      </c>
    </row>
    <row r="859" spans="1:8" x14ac:dyDescent="0.15">
      <c r="A859" s="196" t="s">
        <v>11229</v>
      </c>
      <c r="B859" s="196" t="s">
        <v>11230</v>
      </c>
      <c r="C859" s="196" t="s">
        <v>13030</v>
      </c>
      <c r="D859" s="196" t="s">
        <v>13031</v>
      </c>
      <c r="E859" s="196" t="s">
        <v>13032</v>
      </c>
      <c r="F859" s="196" t="s">
        <v>11241</v>
      </c>
      <c r="G859" s="196" t="s">
        <v>12378</v>
      </c>
      <c r="H859" s="196" t="s">
        <v>11235</v>
      </c>
    </row>
    <row r="860" spans="1:8" x14ac:dyDescent="0.15">
      <c r="A860" s="196" t="s">
        <v>11229</v>
      </c>
      <c r="B860" s="196" t="s">
        <v>11230</v>
      </c>
      <c r="C860" s="196" t="s">
        <v>13033</v>
      </c>
      <c r="D860" s="196" t="s">
        <v>13034</v>
      </c>
      <c r="E860" s="196" t="s">
        <v>13034</v>
      </c>
      <c r="F860" s="196" t="s">
        <v>11233</v>
      </c>
      <c r="G860" s="196" t="s">
        <v>12378</v>
      </c>
      <c r="H860" s="196" t="s">
        <v>11235</v>
      </c>
    </row>
    <row r="861" spans="1:8" x14ac:dyDescent="0.15">
      <c r="A861" s="196" t="s">
        <v>11229</v>
      </c>
      <c r="B861" s="196" t="s">
        <v>11230</v>
      </c>
      <c r="C861" s="196" t="s">
        <v>13035</v>
      </c>
      <c r="D861" s="196" t="s">
        <v>13036</v>
      </c>
      <c r="E861" s="196" t="s">
        <v>13037</v>
      </c>
      <c r="F861" s="196" t="s">
        <v>13038</v>
      </c>
      <c r="G861" s="196" t="s">
        <v>12378</v>
      </c>
      <c r="H861" s="196" t="s">
        <v>11235</v>
      </c>
    </row>
    <row r="862" spans="1:8" x14ac:dyDescent="0.15">
      <c r="A862" s="196" t="s">
        <v>11229</v>
      </c>
      <c r="B862" s="196" t="s">
        <v>11230</v>
      </c>
      <c r="C862" s="196" t="s">
        <v>13039</v>
      </c>
      <c r="D862" s="196" t="s">
        <v>13040</v>
      </c>
      <c r="E862" s="196" t="s">
        <v>13041</v>
      </c>
      <c r="F862" s="196" t="s">
        <v>13042</v>
      </c>
      <c r="G862" s="196" t="s">
        <v>11720</v>
      </c>
      <c r="H862" s="196" t="s">
        <v>11235</v>
      </c>
    </row>
    <row r="863" spans="1:8" x14ac:dyDescent="0.15">
      <c r="A863" s="196" t="s">
        <v>11229</v>
      </c>
      <c r="B863" s="196" t="s">
        <v>11230</v>
      </c>
      <c r="C863" s="196" t="s">
        <v>13043</v>
      </c>
      <c r="D863" s="196" t="s">
        <v>13044</v>
      </c>
      <c r="E863" s="196" t="s">
        <v>13045</v>
      </c>
      <c r="F863" s="196" t="s">
        <v>13046</v>
      </c>
      <c r="G863" s="196" t="s">
        <v>12378</v>
      </c>
      <c r="H863" s="196" t="s">
        <v>11235</v>
      </c>
    </row>
    <row r="864" spans="1:8" x14ac:dyDescent="0.15">
      <c r="A864" s="196" t="s">
        <v>11229</v>
      </c>
      <c r="B864" s="196" t="s">
        <v>11230</v>
      </c>
      <c r="C864" s="196" t="s">
        <v>13047</v>
      </c>
      <c r="D864" s="196" t="s">
        <v>13048</v>
      </c>
      <c r="E864" s="196" t="s">
        <v>13049</v>
      </c>
      <c r="F864" s="196" t="s">
        <v>13050</v>
      </c>
      <c r="G864" s="196" t="s">
        <v>12378</v>
      </c>
      <c r="H864" s="196" t="s">
        <v>11235</v>
      </c>
    </row>
    <row r="865" spans="1:8" x14ac:dyDescent="0.15">
      <c r="A865" s="196" t="s">
        <v>11229</v>
      </c>
      <c r="B865" s="196" t="s">
        <v>11230</v>
      </c>
      <c r="C865" s="196" t="s">
        <v>13051</v>
      </c>
      <c r="D865" s="196" t="s">
        <v>13052</v>
      </c>
      <c r="E865" s="196" t="s">
        <v>13053</v>
      </c>
      <c r="F865" s="196" t="s">
        <v>13054</v>
      </c>
      <c r="G865" s="196" t="s">
        <v>12378</v>
      </c>
      <c r="H865" s="196" t="s">
        <v>11235</v>
      </c>
    </row>
    <row r="866" spans="1:8" x14ac:dyDescent="0.15">
      <c r="A866" s="196" t="s">
        <v>11229</v>
      </c>
      <c r="B866" s="196" t="s">
        <v>11230</v>
      </c>
      <c r="C866" s="196" t="s">
        <v>13055</v>
      </c>
      <c r="D866" s="196" t="s">
        <v>13056</v>
      </c>
      <c r="E866" s="196" t="s">
        <v>13057</v>
      </c>
      <c r="F866" s="196" t="s">
        <v>13058</v>
      </c>
      <c r="G866" s="196" t="s">
        <v>12378</v>
      </c>
      <c r="H866" s="196" t="s">
        <v>11235</v>
      </c>
    </row>
    <row r="867" spans="1:8" x14ac:dyDescent="0.15">
      <c r="A867" s="196" t="s">
        <v>11229</v>
      </c>
      <c r="B867" s="196" t="s">
        <v>11230</v>
      </c>
      <c r="C867" s="196" t="s">
        <v>13059</v>
      </c>
      <c r="D867" s="196" t="s">
        <v>13060</v>
      </c>
      <c r="E867" s="196" t="s">
        <v>13061</v>
      </c>
      <c r="F867" s="196" t="s">
        <v>13062</v>
      </c>
      <c r="G867" s="196" t="s">
        <v>12378</v>
      </c>
      <c r="H867" s="196" t="s">
        <v>11235</v>
      </c>
    </row>
    <row r="868" spans="1:8" x14ac:dyDescent="0.15">
      <c r="A868" s="196" t="s">
        <v>11229</v>
      </c>
      <c r="B868" s="196" t="s">
        <v>11230</v>
      </c>
      <c r="C868" s="196" t="s">
        <v>13063</v>
      </c>
      <c r="D868" s="196" t="s">
        <v>13064</v>
      </c>
      <c r="E868" s="196" t="s">
        <v>13065</v>
      </c>
      <c r="F868" s="196" t="s">
        <v>13062</v>
      </c>
      <c r="G868" s="196" t="s">
        <v>12378</v>
      </c>
      <c r="H868" s="196" t="s">
        <v>11235</v>
      </c>
    </row>
    <row r="869" spans="1:8" x14ac:dyDescent="0.15">
      <c r="A869" s="196" t="s">
        <v>11229</v>
      </c>
      <c r="B869" s="196" t="s">
        <v>11230</v>
      </c>
      <c r="C869" s="196" t="s">
        <v>13066</v>
      </c>
      <c r="D869" s="196" t="s">
        <v>13067</v>
      </c>
      <c r="E869" s="196" t="s">
        <v>13068</v>
      </c>
      <c r="F869" s="196" t="s">
        <v>13069</v>
      </c>
      <c r="G869" s="196" t="s">
        <v>12378</v>
      </c>
      <c r="H869" s="196" t="s">
        <v>11235</v>
      </c>
    </row>
    <row r="870" spans="1:8" x14ac:dyDescent="0.15">
      <c r="A870" s="196" t="s">
        <v>11229</v>
      </c>
      <c r="B870" s="196" t="s">
        <v>11230</v>
      </c>
      <c r="C870" s="196" t="s">
        <v>13070</v>
      </c>
      <c r="D870" s="196" t="s">
        <v>13071</v>
      </c>
      <c r="E870" s="196" t="s">
        <v>13071</v>
      </c>
      <c r="F870" s="196" t="s">
        <v>11233</v>
      </c>
      <c r="G870" s="196" t="s">
        <v>12378</v>
      </c>
      <c r="H870" s="196" t="s">
        <v>11235</v>
      </c>
    </row>
    <row r="871" spans="1:8" x14ac:dyDescent="0.15">
      <c r="A871" s="196" t="s">
        <v>11229</v>
      </c>
      <c r="B871" s="196" t="s">
        <v>11230</v>
      </c>
      <c r="C871" s="196" t="s">
        <v>13072</v>
      </c>
      <c r="D871" s="196" t="s">
        <v>13073</v>
      </c>
      <c r="E871" s="196" t="s">
        <v>13073</v>
      </c>
      <c r="F871" s="196" t="s">
        <v>11233</v>
      </c>
      <c r="G871" s="196" t="s">
        <v>12378</v>
      </c>
      <c r="H871" s="196" t="s">
        <v>11235</v>
      </c>
    </row>
    <row r="872" spans="1:8" x14ac:dyDescent="0.15">
      <c r="A872" s="196" t="s">
        <v>11229</v>
      </c>
      <c r="B872" s="196" t="s">
        <v>11230</v>
      </c>
      <c r="C872" s="196" t="s">
        <v>13074</v>
      </c>
      <c r="D872" s="196" t="s">
        <v>13075</v>
      </c>
      <c r="E872" s="196" t="s">
        <v>13075</v>
      </c>
      <c r="F872" s="196" t="s">
        <v>11233</v>
      </c>
      <c r="G872" s="196" t="s">
        <v>12378</v>
      </c>
      <c r="H872" s="196" t="s">
        <v>11235</v>
      </c>
    </row>
    <row r="873" spans="1:8" x14ac:dyDescent="0.15">
      <c r="A873" s="196" t="s">
        <v>11229</v>
      </c>
      <c r="B873" s="196" t="s">
        <v>11230</v>
      </c>
      <c r="C873" s="196" t="s">
        <v>13076</v>
      </c>
      <c r="D873" s="196" t="s">
        <v>13077</v>
      </c>
      <c r="E873" s="196" t="s">
        <v>13078</v>
      </c>
      <c r="F873" s="196" t="s">
        <v>13079</v>
      </c>
      <c r="G873" s="196" t="s">
        <v>12378</v>
      </c>
      <c r="H873" s="196" t="s">
        <v>11235</v>
      </c>
    </row>
    <row r="874" spans="1:8" x14ac:dyDescent="0.15">
      <c r="A874" s="196" t="s">
        <v>11229</v>
      </c>
      <c r="B874" s="196" t="s">
        <v>11230</v>
      </c>
      <c r="C874" s="196" t="s">
        <v>13080</v>
      </c>
      <c r="D874" s="196" t="s">
        <v>13081</v>
      </c>
      <c r="E874" s="196" t="s">
        <v>13082</v>
      </c>
      <c r="F874" s="196" t="s">
        <v>11241</v>
      </c>
      <c r="G874" s="196" t="s">
        <v>12378</v>
      </c>
      <c r="H874" s="196" t="s">
        <v>11235</v>
      </c>
    </row>
    <row r="875" spans="1:8" x14ac:dyDescent="0.15">
      <c r="A875" s="196" t="s">
        <v>11229</v>
      </c>
      <c r="B875" s="196" t="s">
        <v>11230</v>
      </c>
      <c r="C875" s="196" t="s">
        <v>13083</v>
      </c>
      <c r="D875" s="196" t="s">
        <v>13084</v>
      </c>
      <c r="E875" s="196" t="s">
        <v>13085</v>
      </c>
      <c r="F875" s="196" t="s">
        <v>13023</v>
      </c>
      <c r="G875" s="196" t="s">
        <v>12378</v>
      </c>
      <c r="H875" s="196" t="s">
        <v>11235</v>
      </c>
    </row>
    <row r="876" spans="1:8" x14ac:dyDescent="0.15">
      <c r="A876" s="196" t="s">
        <v>11229</v>
      </c>
      <c r="B876" s="196" t="s">
        <v>11230</v>
      </c>
      <c r="C876" s="196" t="s">
        <v>13086</v>
      </c>
      <c r="D876" s="196" t="s">
        <v>13087</v>
      </c>
      <c r="E876" s="196" t="s">
        <v>13088</v>
      </c>
      <c r="F876" s="196" t="s">
        <v>11268</v>
      </c>
      <c r="G876" s="196" t="s">
        <v>12378</v>
      </c>
      <c r="H876" s="196" t="s">
        <v>11235</v>
      </c>
    </row>
    <row r="877" spans="1:8" x14ac:dyDescent="0.15">
      <c r="A877" s="196" t="s">
        <v>11229</v>
      </c>
      <c r="B877" s="196" t="s">
        <v>11230</v>
      </c>
      <c r="C877" s="196" t="s">
        <v>13089</v>
      </c>
      <c r="D877" s="196" t="s">
        <v>13090</v>
      </c>
      <c r="E877" s="196" t="s">
        <v>13090</v>
      </c>
      <c r="F877" s="196" t="s">
        <v>11233</v>
      </c>
      <c r="G877" s="196" t="s">
        <v>12378</v>
      </c>
      <c r="H877" s="196" t="s">
        <v>11235</v>
      </c>
    </row>
    <row r="878" spans="1:8" x14ac:dyDescent="0.15">
      <c r="A878" s="196" t="s">
        <v>11229</v>
      </c>
      <c r="B878" s="196" t="s">
        <v>11230</v>
      </c>
      <c r="C878" s="196" t="s">
        <v>13091</v>
      </c>
      <c r="D878" s="196" t="s">
        <v>13092</v>
      </c>
      <c r="E878" s="196" t="s">
        <v>13092</v>
      </c>
      <c r="F878" s="196" t="s">
        <v>11233</v>
      </c>
      <c r="G878" s="196" t="s">
        <v>12378</v>
      </c>
      <c r="H878" s="196" t="s">
        <v>11235</v>
      </c>
    </row>
    <row r="879" spans="1:8" x14ac:dyDescent="0.15">
      <c r="A879" s="196" t="s">
        <v>11229</v>
      </c>
      <c r="B879" s="196" t="s">
        <v>11230</v>
      </c>
      <c r="C879" s="196" t="s">
        <v>13093</v>
      </c>
      <c r="D879" s="196" t="s">
        <v>13094</v>
      </c>
      <c r="E879" s="196" t="s">
        <v>13095</v>
      </c>
      <c r="F879" s="196" t="s">
        <v>11241</v>
      </c>
      <c r="G879" s="196" t="s">
        <v>12378</v>
      </c>
      <c r="H879" s="196" t="s">
        <v>11235</v>
      </c>
    </row>
    <row r="880" spans="1:8" x14ac:dyDescent="0.15">
      <c r="A880" s="196" t="s">
        <v>11229</v>
      </c>
      <c r="B880" s="196" t="s">
        <v>11230</v>
      </c>
      <c r="C880" s="196" t="s">
        <v>13096</v>
      </c>
      <c r="D880" s="196" t="s">
        <v>13097</v>
      </c>
      <c r="E880" s="196" t="s">
        <v>13098</v>
      </c>
      <c r="F880" s="196" t="s">
        <v>13099</v>
      </c>
      <c r="G880" s="196" t="s">
        <v>12378</v>
      </c>
      <c r="H880" s="196" t="s">
        <v>11235</v>
      </c>
    </row>
    <row r="881" spans="1:8" x14ac:dyDescent="0.15">
      <c r="A881" s="196" t="s">
        <v>11229</v>
      </c>
      <c r="B881" s="196" t="s">
        <v>11230</v>
      </c>
      <c r="C881" s="196" t="s">
        <v>13100</v>
      </c>
      <c r="D881" s="196" t="s">
        <v>13101</v>
      </c>
      <c r="E881" s="196" t="s">
        <v>13102</v>
      </c>
      <c r="F881" s="196" t="s">
        <v>13103</v>
      </c>
      <c r="G881" s="196" t="s">
        <v>12378</v>
      </c>
      <c r="H881" s="196" t="s">
        <v>11235</v>
      </c>
    </row>
    <row r="882" spans="1:8" x14ac:dyDescent="0.15">
      <c r="A882" s="196" t="s">
        <v>11229</v>
      </c>
      <c r="B882" s="196" t="s">
        <v>11230</v>
      </c>
      <c r="C882" s="196" t="s">
        <v>13104</v>
      </c>
      <c r="D882" s="196" t="s">
        <v>13105</v>
      </c>
      <c r="E882" s="196" t="s">
        <v>13106</v>
      </c>
      <c r="F882" s="196" t="s">
        <v>13107</v>
      </c>
      <c r="G882" s="196" t="s">
        <v>12378</v>
      </c>
      <c r="H882" s="196" t="s">
        <v>11235</v>
      </c>
    </row>
    <row r="883" spans="1:8" x14ac:dyDescent="0.15">
      <c r="A883" s="196" t="s">
        <v>11229</v>
      </c>
      <c r="B883" s="196" t="s">
        <v>11230</v>
      </c>
      <c r="C883" s="196" t="s">
        <v>13108</v>
      </c>
      <c r="D883" s="196" t="s">
        <v>13109</v>
      </c>
      <c r="E883" s="196" t="s">
        <v>13109</v>
      </c>
      <c r="F883" s="196" t="s">
        <v>11233</v>
      </c>
      <c r="G883" s="196" t="s">
        <v>12378</v>
      </c>
      <c r="H883" s="196" t="s">
        <v>11235</v>
      </c>
    </row>
    <row r="884" spans="1:8" x14ac:dyDescent="0.15">
      <c r="A884" s="196" t="s">
        <v>11229</v>
      </c>
      <c r="B884" s="196" t="s">
        <v>11230</v>
      </c>
      <c r="C884" s="196" t="s">
        <v>13110</v>
      </c>
      <c r="D884" s="196" t="s">
        <v>13111</v>
      </c>
      <c r="E884" s="196" t="s">
        <v>13111</v>
      </c>
      <c r="F884" s="196" t="s">
        <v>11233</v>
      </c>
      <c r="G884" s="196" t="s">
        <v>12378</v>
      </c>
      <c r="H884" s="196" t="s">
        <v>11235</v>
      </c>
    </row>
    <row r="885" spans="1:8" x14ac:dyDescent="0.15">
      <c r="A885" s="196" t="s">
        <v>11229</v>
      </c>
      <c r="B885" s="196" t="s">
        <v>11230</v>
      </c>
      <c r="C885" s="196" t="s">
        <v>13112</v>
      </c>
      <c r="D885" s="196" t="s">
        <v>13113</v>
      </c>
      <c r="E885" s="196" t="s">
        <v>13114</v>
      </c>
      <c r="F885" s="196" t="s">
        <v>11241</v>
      </c>
      <c r="G885" s="196" t="s">
        <v>12378</v>
      </c>
      <c r="H885" s="196" t="s">
        <v>11235</v>
      </c>
    </row>
    <row r="886" spans="1:8" x14ac:dyDescent="0.15">
      <c r="A886" s="196" t="s">
        <v>11229</v>
      </c>
      <c r="B886" s="196" t="s">
        <v>11230</v>
      </c>
      <c r="C886" s="196" t="s">
        <v>13115</v>
      </c>
      <c r="D886" s="196" t="s">
        <v>13116</v>
      </c>
      <c r="E886" s="196" t="s">
        <v>13116</v>
      </c>
      <c r="F886" s="196" t="s">
        <v>11233</v>
      </c>
      <c r="G886" s="196" t="s">
        <v>12378</v>
      </c>
      <c r="H886" s="196" t="s">
        <v>11235</v>
      </c>
    </row>
    <row r="887" spans="1:8" x14ac:dyDescent="0.15">
      <c r="A887" s="196" t="s">
        <v>11229</v>
      </c>
      <c r="B887" s="196" t="s">
        <v>11230</v>
      </c>
      <c r="C887" s="196" t="s">
        <v>13117</v>
      </c>
      <c r="D887" s="196" t="s">
        <v>13118</v>
      </c>
      <c r="E887" s="196" t="s">
        <v>13118</v>
      </c>
      <c r="F887" s="196" t="s">
        <v>11233</v>
      </c>
      <c r="G887" s="196" t="s">
        <v>12378</v>
      </c>
      <c r="H887" s="196" t="s">
        <v>11235</v>
      </c>
    </row>
    <row r="888" spans="1:8" x14ac:dyDescent="0.15">
      <c r="A888" s="196" t="s">
        <v>11229</v>
      </c>
      <c r="B888" s="196" t="s">
        <v>11230</v>
      </c>
      <c r="C888" s="196" t="s">
        <v>13119</v>
      </c>
      <c r="D888" s="196" t="s">
        <v>13120</v>
      </c>
      <c r="E888" s="196" t="s">
        <v>13120</v>
      </c>
      <c r="F888" s="196" t="s">
        <v>11233</v>
      </c>
      <c r="G888" s="196" t="s">
        <v>12378</v>
      </c>
      <c r="H888" s="196" t="s">
        <v>11235</v>
      </c>
    </row>
    <row r="889" spans="1:8" x14ac:dyDescent="0.15">
      <c r="A889" s="196" t="s">
        <v>11229</v>
      </c>
      <c r="B889" s="196" t="s">
        <v>11230</v>
      </c>
      <c r="C889" s="196" t="s">
        <v>13121</v>
      </c>
      <c r="D889" s="196" t="s">
        <v>13122</v>
      </c>
      <c r="E889" s="196" t="s">
        <v>13122</v>
      </c>
      <c r="F889" s="196" t="s">
        <v>11233</v>
      </c>
      <c r="G889" s="196" t="s">
        <v>12378</v>
      </c>
      <c r="H889" s="196" t="s">
        <v>11235</v>
      </c>
    </row>
    <row r="890" spans="1:8" x14ac:dyDescent="0.15">
      <c r="A890" s="196" t="s">
        <v>11229</v>
      </c>
      <c r="B890" s="196" t="s">
        <v>11230</v>
      </c>
      <c r="C890" s="196" t="s">
        <v>13123</v>
      </c>
      <c r="D890" s="196" t="s">
        <v>13124</v>
      </c>
      <c r="E890" s="196" t="s">
        <v>13124</v>
      </c>
      <c r="F890" s="196" t="s">
        <v>11233</v>
      </c>
      <c r="G890" s="196" t="s">
        <v>12378</v>
      </c>
      <c r="H890" s="196" t="s">
        <v>11235</v>
      </c>
    </row>
    <row r="891" spans="1:8" x14ac:dyDescent="0.15">
      <c r="A891" s="196" t="s">
        <v>11229</v>
      </c>
      <c r="B891" s="196" t="s">
        <v>11230</v>
      </c>
      <c r="C891" s="196" t="s">
        <v>13125</v>
      </c>
      <c r="D891" s="196" t="s">
        <v>13126</v>
      </c>
      <c r="E891" s="196" t="s">
        <v>13127</v>
      </c>
      <c r="F891" s="196" t="s">
        <v>11241</v>
      </c>
      <c r="G891" s="196" t="s">
        <v>12378</v>
      </c>
      <c r="H891" s="196" t="s">
        <v>11235</v>
      </c>
    </row>
    <row r="892" spans="1:8" x14ac:dyDescent="0.15">
      <c r="A892" s="196" t="s">
        <v>11229</v>
      </c>
      <c r="B892" s="196" t="s">
        <v>11230</v>
      </c>
      <c r="C892" s="196" t="s">
        <v>13128</v>
      </c>
      <c r="D892" s="196" t="s">
        <v>13129</v>
      </c>
      <c r="E892" s="196" t="s">
        <v>13129</v>
      </c>
      <c r="F892" s="196" t="s">
        <v>11233</v>
      </c>
      <c r="G892" s="196" t="s">
        <v>12378</v>
      </c>
      <c r="H892" s="196" t="s">
        <v>11235</v>
      </c>
    </row>
    <row r="893" spans="1:8" x14ac:dyDescent="0.15">
      <c r="A893" s="196" t="s">
        <v>11229</v>
      </c>
      <c r="B893" s="196" t="s">
        <v>11230</v>
      </c>
      <c r="C893" s="196" t="s">
        <v>13130</v>
      </c>
      <c r="D893" s="196" t="s">
        <v>13131</v>
      </c>
      <c r="E893" s="196" t="s">
        <v>13132</v>
      </c>
      <c r="F893" s="196" t="s">
        <v>13133</v>
      </c>
      <c r="G893" s="196" t="s">
        <v>12378</v>
      </c>
      <c r="H893" s="196" t="s">
        <v>11235</v>
      </c>
    </row>
    <row r="894" spans="1:8" x14ac:dyDescent="0.15">
      <c r="A894" s="196" t="s">
        <v>11229</v>
      </c>
      <c r="B894" s="196" t="s">
        <v>11230</v>
      </c>
      <c r="C894" s="196" t="s">
        <v>13134</v>
      </c>
      <c r="D894" s="196" t="s">
        <v>13135</v>
      </c>
      <c r="E894" s="196" t="s">
        <v>13136</v>
      </c>
      <c r="F894" s="196" t="s">
        <v>13137</v>
      </c>
      <c r="G894" s="196" t="s">
        <v>11962</v>
      </c>
      <c r="H894" s="196" t="s">
        <v>11235</v>
      </c>
    </row>
    <row r="895" spans="1:8" x14ac:dyDescent="0.15">
      <c r="A895" s="196" t="s">
        <v>11229</v>
      </c>
      <c r="B895" s="196" t="s">
        <v>11230</v>
      </c>
      <c r="C895" s="196" t="s">
        <v>13138</v>
      </c>
      <c r="D895" s="196" t="s">
        <v>13139</v>
      </c>
      <c r="E895" s="196" t="s">
        <v>13140</v>
      </c>
      <c r="F895" s="196" t="s">
        <v>13141</v>
      </c>
      <c r="G895" s="196" t="s">
        <v>12378</v>
      </c>
      <c r="H895" s="196" t="s">
        <v>11235</v>
      </c>
    </row>
    <row r="896" spans="1:8" x14ac:dyDescent="0.15">
      <c r="A896" s="196" t="s">
        <v>11229</v>
      </c>
      <c r="B896" s="196" t="s">
        <v>11230</v>
      </c>
      <c r="C896" s="196" t="s">
        <v>13142</v>
      </c>
      <c r="D896" s="196" t="s">
        <v>13143</v>
      </c>
      <c r="E896" s="196" t="s">
        <v>13144</v>
      </c>
      <c r="F896" s="196" t="s">
        <v>13145</v>
      </c>
      <c r="G896" s="196" t="s">
        <v>11720</v>
      </c>
      <c r="H896" s="196" t="s">
        <v>11235</v>
      </c>
    </row>
    <row r="897" spans="1:8" x14ac:dyDescent="0.15">
      <c r="A897" s="196" t="s">
        <v>11229</v>
      </c>
      <c r="B897" s="196" t="s">
        <v>11230</v>
      </c>
      <c r="C897" s="196" t="s">
        <v>13146</v>
      </c>
      <c r="D897" s="196" t="s">
        <v>13147</v>
      </c>
      <c r="E897" s="196" t="s">
        <v>13148</v>
      </c>
      <c r="F897" s="196" t="s">
        <v>13149</v>
      </c>
      <c r="G897" s="196" t="s">
        <v>12378</v>
      </c>
      <c r="H897" s="196" t="s">
        <v>11235</v>
      </c>
    </row>
    <row r="898" spans="1:8" x14ac:dyDescent="0.15">
      <c r="A898" s="196" t="s">
        <v>11229</v>
      </c>
      <c r="B898" s="196" t="s">
        <v>11230</v>
      </c>
      <c r="C898" s="196" t="s">
        <v>13150</v>
      </c>
      <c r="D898" s="196" t="s">
        <v>13151</v>
      </c>
      <c r="E898" s="196" t="s">
        <v>13152</v>
      </c>
      <c r="F898" s="196" t="s">
        <v>11268</v>
      </c>
      <c r="G898" s="196" t="s">
        <v>12378</v>
      </c>
      <c r="H898" s="196" t="s">
        <v>11235</v>
      </c>
    </row>
    <row r="899" spans="1:8" x14ac:dyDescent="0.15">
      <c r="A899" s="196" t="s">
        <v>11229</v>
      </c>
      <c r="B899" s="196" t="s">
        <v>11230</v>
      </c>
      <c r="C899" s="196" t="s">
        <v>13153</v>
      </c>
      <c r="D899" s="196" t="s">
        <v>13154</v>
      </c>
      <c r="E899" s="196" t="s">
        <v>13154</v>
      </c>
      <c r="F899" s="196" t="s">
        <v>11233</v>
      </c>
      <c r="G899" s="196" t="s">
        <v>12378</v>
      </c>
      <c r="H899" s="196" t="s">
        <v>11235</v>
      </c>
    </row>
    <row r="900" spans="1:8" x14ac:dyDescent="0.15">
      <c r="A900" s="196" t="s">
        <v>11229</v>
      </c>
      <c r="B900" s="196" t="s">
        <v>11230</v>
      </c>
      <c r="C900" s="196" t="s">
        <v>13155</v>
      </c>
      <c r="D900" s="196" t="s">
        <v>13156</v>
      </c>
      <c r="E900" s="196" t="s">
        <v>13157</v>
      </c>
      <c r="F900" s="196" t="s">
        <v>11241</v>
      </c>
      <c r="G900" s="196" t="s">
        <v>12378</v>
      </c>
      <c r="H900" s="196" t="s">
        <v>11235</v>
      </c>
    </row>
    <row r="901" spans="1:8" x14ac:dyDescent="0.15">
      <c r="A901" s="196" t="s">
        <v>11229</v>
      </c>
      <c r="B901" s="196" t="s">
        <v>11230</v>
      </c>
      <c r="C901" s="196" t="s">
        <v>13158</v>
      </c>
      <c r="D901" s="196" t="s">
        <v>13159</v>
      </c>
      <c r="E901" s="196" t="s">
        <v>13159</v>
      </c>
      <c r="F901" s="196" t="s">
        <v>11233</v>
      </c>
      <c r="G901" s="196" t="s">
        <v>12378</v>
      </c>
      <c r="H901" s="196" t="s">
        <v>11235</v>
      </c>
    </row>
    <row r="902" spans="1:8" x14ac:dyDescent="0.15">
      <c r="A902" s="196" t="s">
        <v>11229</v>
      </c>
      <c r="B902" s="196" t="s">
        <v>11230</v>
      </c>
      <c r="C902" s="196" t="s">
        <v>13160</v>
      </c>
      <c r="D902" s="196" t="s">
        <v>13161</v>
      </c>
      <c r="E902" s="196" t="s">
        <v>13161</v>
      </c>
      <c r="F902" s="196" t="s">
        <v>11233</v>
      </c>
      <c r="G902" s="196" t="s">
        <v>12378</v>
      </c>
      <c r="H902" s="196" t="s">
        <v>11235</v>
      </c>
    </row>
    <row r="903" spans="1:8" x14ac:dyDescent="0.15">
      <c r="A903" s="196" t="s">
        <v>11229</v>
      </c>
      <c r="B903" s="196" t="s">
        <v>11230</v>
      </c>
      <c r="C903" s="196" t="s">
        <v>13162</v>
      </c>
      <c r="D903" s="196" t="s">
        <v>13163</v>
      </c>
      <c r="E903" s="196" t="s">
        <v>13164</v>
      </c>
      <c r="F903" s="196" t="s">
        <v>11268</v>
      </c>
      <c r="G903" s="196" t="s">
        <v>12378</v>
      </c>
      <c r="H903" s="196" t="s">
        <v>11235</v>
      </c>
    </row>
    <row r="904" spans="1:8" x14ac:dyDescent="0.15">
      <c r="A904" s="196" t="s">
        <v>11229</v>
      </c>
      <c r="B904" s="196" t="s">
        <v>11230</v>
      </c>
      <c r="C904" s="196" t="s">
        <v>13165</v>
      </c>
      <c r="D904" s="196" t="s">
        <v>13166</v>
      </c>
      <c r="E904" s="196" t="s">
        <v>13167</v>
      </c>
      <c r="F904" s="196" t="s">
        <v>11268</v>
      </c>
      <c r="G904" s="196" t="s">
        <v>12378</v>
      </c>
      <c r="H904" s="196" t="s">
        <v>11235</v>
      </c>
    </row>
    <row r="905" spans="1:8" x14ac:dyDescent="0.15">
      <c r="A905" s="196" t="s">
        <v>11229</v>
      </c>
      <c r="B905" s="196" t="s">
        <v>11230</v>
      </c>
      <c r="C905" s="196" t="s">
        <v>13168</v>
      </c>
      <c r="D905" s="196" t="s">
        <v>13169</v>
      </c>
      <c r="E905" s="196" t="s">
        <v>13170</v>
      </c>
      <c r="F905" s="196" t="s">
        <v>11268</v>
      </c>
      <c r="G905" s="196" t="s">
        <v>12378</v>
      </c>
      <c r="H905" s="196" t="s">
        <v>11235</v>
      </c>
    </row>
    <row r="906" spans="1:8" x14ac:dyDescent="0.15">
      <c r="A906" s="196" t="s">
        <v>11229</v>
      </c>
      <c r="B906" s="196" t="s">
        <v>11230</v>
      </c>
      <c r="C906" s="196" t="s">
        <v>13171</v>
      </c>
      <c r="D906" s="196" t="s">
        <v>13172</v>
      </c>
      <c r="E906" s="196" t="s">
        <v>13173</v>
      </c>
      <c r="F906" s="196" t="s">
        <v>11241</v>
      </c>
      <c r="G906" s="196" t="s">
        <v>12378</v>
      </c>
      <c r="H906" s="196" t="s">
        <v>11235</v>
      </c>
    </row>
    <row r="907" spans="1:8" x14ac:dyDescent="0.15">
      <c r="A907" s="196" t="s">
        <v>11229</v>
      </c>
      <c r="B907" s="196" t="s">
        <v>11230</v>
      </c>
      <c r="C907" s="196" t="s">
        <v>13174</v>
      </c>
      <c r="D907" s="196" t="s">
        <v>13175</v>
      </c>
      <c r="E907" s="196" t="s">
        <v>13176</v>
      </c>
      <c r="F907" s="196" t="s">
        <v>11241</v>
      </c>
      <c r="G907" s="196" t="s">
        <v>12378</v>
      </c>
      <c r="H907" s="196" t="s">
        <v>11235</v>
      </c>
    </row>
    <row r="908" spans="1:8" x14ac:dyDescent="0.15">
      <c r="A908" s="196" t="s">
        <v>11229</v>
      </c>
      <c r="B908" s="196" t="s">
        <v>11230</v>
      </c>
      <c r="C908" s="196" t="s">
        <v>13177</v>
      </c>
      <c r="D908" s="196" t="s">
        <v>13178</v>
      </c>
      <c r="E908" s="196" t="s">
        <v>13179</v>
      </c>
      <c r="F908" s="196" t="s">
        <v>13180</v>
      </c>
      <c r="G908" s="196" t="s">
        <v>12378</v>
      </c>
      <c r="H908" s="196" t="s">
        <v>11235</v>
      </c>
    </row>
    <row r="909" spans="1:8" x14ac:dyDescent="0.15">
      <c r="A909" s="196" t="s">
        <v>11229</v>
      </c>
      <c r="B909" s="196" t="s">
        <v>11230</v>
      </c>
      <c r="C909" s="196" t="s">
        <v>13181</v>
      </c>
      <c r="D909" s="196" t="s">
        <v>13182</v>
      </c>
      <c r="E909" s="196" t="s">
        <v>13183</v>
      </c>
      <c r="F909" s="196" t="s">
        <v>13107</v>
      </c>
      <c r="G909" s="196" t="s">
        <v>12378</v>
      </c>
      <c r="H909" s="196" t="s">
        <v>11235</v>
      </c>
    </row>
    <row r="910" spans="1:8" x14ac:dyDescent="0.15">
      <c r="A910" s="196" t="s">
        <v>11229</v>
      </c>
      <c r="B910" s="196" t="s">
        <v>11230</v>
      </c>
      <c r="C910" s="196" t="s">
        <v>13184</v>
      </c>
      <c r="D910" s="196" t="s">
        <v>13185</v>
      </c>
      <c r="E910" s="196" t="s">
        <v>13186</v>
      </c>
      <c r="F910" s="196" t="s">
        <v>13187</v>
      </c>
      <c r="G910" s="196" t="s">
        <v>12378</v>
      </c>
      <c r="H910" s="196" t="s">
        <v>11235</v>
      </c>
    </row>
    <row r="911" spans="1:8" x14ac:dyDescent="0.15">
      <c r="A911" s="196" t="s">
        <v>11229</v>
      </c>
      <c r="B911" s="196" t="s">
        <v>11230</v>
      </c>
      <c r="C911" s="196" t="s">
        <v>13188</v>
      </c>
      <c r="D911" s="196" t="s">
        <v>13189</v>
      </c>
      <c r="E911" s="196" t="s">
        <v>13190</v>
      </c>
      <c r="F911" s="196" t="s">
        <v>13103</v>
      </c>
      <c r="G911" s="196" t="s">
        <v>12378</v>
      </c>
      <c r="H911" s="196" t="s">
        <v>11235</v>
      </c>
    </row>
    <row r="912" spans="1:8" x14ac:dyDescent="0.15">
      <c r="A912" s="196" t="s">
        <v>11229</v>
      </c>
      <c r="B912" s="196" t="s">
        <v>11230</v>
      </c>
      <c r="C912" s="196" t="s">
        <v>13191</v>
      </c>
      <c r="D912" s="196" t="s">
        <v>13192</v>
      </c>
      <c r="E912" s="196" t="s">
        <v>13192</v>
      </c>
      <c r="F912" s="196" t="s">
        <v>11233</v>
      </c>
      <c r="G912" s="196" t="s">
        <v>12378</v>
      </c>
      <c r="H912" s="196" t="s">
        <v>11235</v>
      </c>
    </row>
    <row r="913" spans="1:8" x14ac:dyDescent="0.15">
      <c r="A913" s="196" t="s">
        <v>11229</v>
      </c>
      <c r="B913" s="196" t="s">
        <v>11230</v>
      </c>
      <c r="C913" s="196" t="s">
        <v>13193</v>
      </c>
      <c r="D913" s="196" t="s">
        <v>13194</v>
      </c>
      <c r="E913" s="196" t="s">
        <v>13194</v>
      </c>
      <c r="F913" s="196" t="s">
        <v>11233</v>
      </c>
      <c r="G913" s="196" t="s">
        <v>12378</v>
      </c>
      <c r="H913" s="196" t="s">
        <v>11235</v>
      </c>
    </row>
    <row r="914" spans="1:8" x14ac:dyDescent="0.15">
      <c r="A914" s="196" t="s">
        <v>11229</v>
      </c>
      <c r="B914" s="196" t="s">
        <v>11230</v>
      </c>
      <c r="C914" s="196" t="s">
        <v>13195</v>
      </c>
      <c r="D914" s="196" t="s">
        <v>13196</v>
      </c>
      <c r="E914" s="196" t="s">
        <v>13196</v>
      </c>
      <c r="F914" s="196" t="s">
        <v>11233</v>
      </c>
      <c r="G914" s="196" t="s">
        <v>12378</v>
      </c>
      <c r="H914" s="196" t="s">
        <v>11235</v>
      </c>
    </row>
    <row r="915" spans="1:8" x14ac:dyDescent="0.15">
      <c r="A915" s="196" t="s">
        <v>11229</v>
      </c>
      <c r="B915" s="196" t="s">
        <v>11230</v>
      </c>
      <c r="C915" s="196" t="s">
        <v>13197</v>
      </c>
      <c r="D915" s="196" t="s">
        <v>13198</v>
      </c>
      <c r="E915" s="196" t="s">
        <v>13199</v>
      </c>
      <c r="F915" s="196" t="s">
        <v>11241</v>
      </c>
      <c r="G915" s="196" t="s">
        <v>12378</v>
      </c>
      <c r="H915" s="196" t="s">
        <v>11235</v>
      </c>
    </row>
    <row r="916" spans="1:8" x14ac:dyDescent="0.15">
      <c r="A916" s="196" t="s">
        <v>11229</v>
      </c>
      <c r="B916" s="196" t="s">
        <v>11230</v>
      </c>
      <c r="C916" s="196" t="s">
        <v>13200</v>
      </c>
      <c r="D916" s="196" t="s">
        <v>13201</v>
      </c>
      <c r="E916" s="196" t="s">
        <v>13202</v>
      </c>
      <c r="F916" s="196" t="s">
        <v>13203</v>
      </c>
      <c r="G916" s="196" t="s">
        <v>12378</v>
      </c>
      <c r="H916" s="196" t="s">
        <v>11235</v>
      </c>
    </row>
    <row r="917" spans="1:8" x14ac:dyDescent="0.15">
      <c r="A917" s="196" t="s">
        <v>11229</v>
      </c>
      <c r="B917" s="196" t="s">
        <v>11230</v>
      </c>
      <c r="C917" s="196" t="s">
        <v>13204</v>
      </c>
      <c r="D917" s="196" t="s">
        <v>13205</v>
      </c>
      <c r="E917" s="196" t="s">
        <v>13206</v>
      </c>
      <c r="F917" s="196" t="s">
        <v>13207</v>
      </c>
      <c r="G917" s="196" t="s">
        <v>12378</v>
      </c>
      <c r="H917" s="196" t="s">
        <v>11235</v>
      </c>
    </row>
    <row r="918" spans="1:8" x14ac:dyDescent="0.15">
      <c r="A918" s="196" t="s">
        <v>11229</v>
      </c>
      <c r="B918" s="196" t="s">
        <v>11230</v>
      </c>
      <c r="C918" s="196" t="s">
        <v>13208</v>
      </c>
      <c r="D918" s="196" t="s">
        <v>13209</v>
      </c>
      <c r="E918" s="196" t="s">
        <v>13210</v>
      </c>
      <c r="F918" s="196" t="s">
        <v>13107</v>
      </c>
      <c r="G918" s="196" t="s">
        <v>12378</v>
      </c>
      <c r="H918" s="196" t="s">
        <v>11235</v>
      </c>
    </row>
    <row r="919" spans="1:8" x14ac:dyDescent="0.15">
      <c r="A919" s="196" t="s">
        <v>11229</v>
      </c>
      <c r="B919" s="196" t="s">
        <v>11230</v>
      </c>
      <c r="C919" s="196" t="s">
        <v>13211</v>
      </c>
      <c r="D919" s="196" t="s">
        <v>13212</v>
      </c>
      <c r="E919" s="196" t="s">
        <v>13213</v>
      </c>
      <c r="F919" s="196" t="s">
        <v>13214</v>
      </c>
      <c r="G919" s="196" t="s">
        <v>12378</v>
      </c>
      <c r="H919" s="196" t="s">
        <v>11235</v>
      </c>
    </row>
    <row r="920" spans="1:8" x14ac:dyDescent="0.15">
      <c r="A920" s="196" t="s">
        <v>11229</v>
      </c>
      <c r="B920" s="196" t="s">
        <v>11230</v>
      </c>
      <c r="C920" s="196" t="s">
        <v>13215</v>
      </c>
      <c r="D920" s="196" t="s">
        <v>13216</v>
      </c>
      <c r="E920" s="196" t="s">
        <v>13217</v>
      </c>
      <c r="F920" s="196" t="s">
        <v>12572</v>
      </c>
      <c r="G920" s="196" t="s">
        <v>12378</v>
      </c>
      <c r="H920" s="196" t="s">
        <v>11235</v>
      </c>
    </row>
    <row r="921" spans="1:8" x14ac:dyDescent="0.15">
      <c r="A921" s="196" t="s">
        <v>11229</v>
      </c>
      <c r="B921" s="196" t="s">
        <v>11230</v>
      </c>
      <c r="C921" s="196" t="s">
        <v>13218</v>
      </c>
      <c r="D921" s="196" t="s">
        <v>13219</v>
      </c>
      <c r="E921" s="196" t="s">
        <v>13220</v>
      </c>
      <c r="F921" s="196" t="s">
        <v>13221</v>
      </c>
      <c r="G921" s="196" t="s">
        <v>12378</v>
      </c>
      <c r="H921" s="196" t="s">
        <v>11235</v>
      </c>
    </row>
    <row r="922" spans="1:8" x14ac:dyDescent="0.15">
      <c r="A922" s="196" t="s">
        <v>11229</v>
      </c>
      <c r="B922" s="196" t="s">
        <v>11230</v>
      </c>
      <c r="C922" s="196" t="s">
        <v>13222</v>
      </c>
      <c r="D922" s="196" t="s">
        <v>13223</v>
      </c>
      <c r="E922" s="196" t="s">
        <v>13224</v>
      </c>
      <c r="F922" s="196" t="s">
        <v>13038</v>
      </c>
      <c r="G922" s="196" t="s">
        <v>12378</v>
      </c>
      <c r="H922" s="196" t="s">
        <v>11235</v>
      </c>
    </row>
    <row r="923" spans="1:8" x14ac:dyDescent="0.15">
      <c r="A923" s="196" t="s">
        <v>11229</v>
      </c>
      <c r="B923" s="196" t="s">
        <v>11230</v>
      </c>
      <c r="C923" s="196" t="s">
        <v>13225</v>
      </c>
      <c r="D923" s="196" t="s">
        <v>13226</v>
      </c>
      <c r="E923" s="196" t="s">
        <v>13227</v>
      </c>
      <c r="F923" s="196" t="s">
        <v>12558</v>
      </c>
      <c r="G923" s="196" t="s">
        <v>12378</v>
      </c>
      <c r="H923" s="196" t="s">
        <v>11235</v>
      </c>
    </row>
    <row r="924" spans="1:8" x14ac:dyDescent="0.15">
      <c r="A924" s="196" t="s">
        <v>11229</v>
      </c>
      <c r="B924" s="196" t="s">
        <v>11230</v>
      </c>
      <c r="C924" s="196" t="s">
        <v>13228</v>
      </c>
      <c r="D924" s="196" t="s">
        <v>13229</v>
      </c>
      <c r="E924" s="196" t="s">
        <v>13230</v>
      </c>
      <c r="F924" s="196" t="s">
        <v>13058</v>
      </c>
      <c r="G924" s="196" t="s">
        <v>12378</v>
      </c>
      <c r="H924" s="196" t="s">
        <v>11235</v>
      </c>
    </row>
    <row r="925" spans="1:8" x14ac:dyDescent="0.15">
      <c r="A925" s="196" t="s">
        <v>11229</v>
      </c>
      <c r="B925" s="196" t="s">
        <v>11230</v>
      </c>
      <c r="C925" s="196" t="s">
        <v>13231</v>
      </c>
      <c r="D925" s="196" t="s">
        <v>13232</v>
      </c>
      <c r="E925" s="196" t="s">
        <v>13233</v>
      </c>
      <c r="F925" s="196" t="s">
        <v>11241</v>
      </c>
      <c r="G925" s="196" t="s">
        <v>12378</v>
      </c>
      <c r="H925" s="196" t="s">
        <v>11235</v>
      </c>
    </row>
    <row r="926" spans="1:8" x14ac:dyDescent="0.15">
      <c r="A926" s="196" t="s">
        <v>11229</v>
      </c>
      <c r="B926" s="196" t="s">
        <v>11230</v>
      </c>
      <c r="C926" s="196" t="s">
        <v>13234</v>
      </c>
      <c r="D926" s="196" t="s">
        <v>13235</v>
      </c>
      <c r="E926" s="196" t="s">
        <v>13236</v>
      </c>
      <c r="F926" s="196" t="s">
        <v>11241</v>
      </c>
      <c r="G926" s="196" t="s">
        <v>12378</v>
      </c>
      <c r="H926" s="196" t="s">
        <v>11235</v>
      </c>
    </row>
    <row r="927" spans="1:8" x14ac:dyDescent="0.15">
      <c r="A927" s="196" t="s">
        <v>11229</v>
      </c>
      <c r="B927" s="196" t="s">
        <v>11230</v>
      </c>
      <c r="C927" s="196" t="s">
        <v>13237</v>
      </c>
      <c r="D927" s="196" t="s">
        <v>13238</v>
      </c>
      <c r="E927" s="196" t="s">
        <v>13238</v>
      </c>
      <c r="F927" s="196" t="s">
        <v>11233</v>
      </c>
      <c r="G927" s="196" t="s">
        <v>12378</v>
      </c>
      <c r="H927" s="196" t="s">
        <v>11235</v>
      </c>
    </row>
    <row r="928" spans="1:8" x14ac:dyDescent="0.15">
      <c r="A928" s="196" t="s">
        <v>11229</v>
      </c>
      <c r="B928" s="196" t="s">
        <v>11230</v>
      </c>
      <c r="C928" s="196" t="s">
        <v>13239</v>
      </c>
      <c r="D928" s="196" t="s">
        <v>13240</v>
      </c>
      <c r="E928" s="196" t="s">
        <v>13240</v>
      </c>
      <c r="F928" s="196" t="s">
        <v>11233</v>
      </c>
      <c r="G928" s="196" t="s">
        <v>12378</v>
      </c>
      <c r="H928" s="196" t="s">
        <v>11235</v>
      </c>
    </row>
    <row r="929" spans="1:8" x14ac:dyDescent="0.15">
      <c r="A929" s="196" t="s">
        <v>11229</v>
      </c>
      <c r="B929" s="196" t="s">
        <v>11230</v>
      </c>
      <c r="C929" s="196" t="s">
        <v>13241</v>
      </c>
      <c r="D929" s="196" t="s">
        <v>13242</v>
      </c>
      <c r="E929" s="196" t="s">
        <v>13243</v>
      </c>
      <c r="F929" s="196" t="s">
        <v>12631</v>
      </c>
      <c r="G929" s="196" t="s">
        <v>12378</v>
      </c>
      <c r="H929" s="196" t="s">
        <v>11235</v>
      </c>
    </row>
    <row r="930" spans="1:8" x14ac:dyDescent="0.15">
      <c r="A930" s="196" t="s">
        <v>11229</v>
      </c>
      <c r="B930" s="196" t="s">
        <v>11230</v>
      </c>
      <c r="C930" s="196" t="s">
        <v>13244</v>
      </c>
      <c r="D930" s="196" t="s">
        <v>13245</v>
      </c>
      <c r="E930" s="196" t="s">
        <v>13246</v>
      </c>
      <c r="F930" s="196" t="s">
        <v>13069</v>
      </c>
      <c r="G930" s="196" t="s">
        <v>12378</v>
      </c>
      <c r="H930" s="196" t="s">
        <v>11235</v>
      </c>
    </row>
    <row r="931" spans="1:8" x14ac:dyDescent="0.15">
      <c r="A931" s="196" t="s">
        <v>11229</v>
      </c>
      <c r="B931" s="196" t="s">
        <v>11230</v>
      </c>
      <c r="C931" s="196" t="s">
        <v>13247</v>
      </c>
      <c r="D931" s="196" t="s">
        <v>13248</v>
      </c>
      <c r="E931" s="196" t="s">
        <v>13249</v>
      </c>
      <c r="F931" s="196" t="s">
        <v>13250</v>
      </c>
      <c r="G931" s="196" t="s">
        <v>12378</v>
      </c>
      <c r="H931" s="196" t="s">
        <v>11235</v>
      </c>
    </row>
    <row r="932" spans="1:8" x14ac:dyDescent="0.15">
      <c r="A932" s="196" t="s">
        <v>11229</v>
      </c>
      <c r="B932" s="196" t="s">
        <v>11230</v>
      </c>
      <c r="C932" s="196" t="s">
        <v>13251</v>
      </c>
      <c r="D932" s="196" t="s">
        <v>13252</v>
      </c>
      <c r="E932" s="196" t="s">
        <v>13253</v>
      </c>
      <c r="F932" s="196" t="s">
        <v>13038</v>
      </c>
      <c r="G932" s="196" t="s">
        <v>12378</v>
      </c>
      <c r="H932" s="196" t="s">
        <v>11235</v>
      </c>
    </row>
    <row r="933" spans="1:8" x14ac:dyDescent="0.15">
      <c r="A933" s="196" t="s">
        <v>11229</v>
      </c>
      <c r="B933" s="196" t="s">
        <v>11230</v>
      </c>
      <c r="C933" s="196" t="s">
        <v>13254</v>
      </c>
      <c r="D933" s="196" t="s">
        <v>13255</v>
      </c>
      <c r="E933" s="196" t="s">
        <v>13256</v>
      </c>
      <c r="F933" s="196" t="s">
        <v>13062</v>
      </c>
      <c r="G933" s="196" t="s">
        <v>12378</v>
      </c>
      <c r="H933" s="196" t="s">
        <v>11235</v>
      </c>
    </row>
    <row r="934" spans="1:8" x14ac:dyDescent="0.15">
      <c r="A934" s="196" t="s">
        <v>11229</v>
      </c>
      <c r="B934" s="196" t="s">
        <v>11230</v>
      </c>
      <c r="C934" s="196" t="s">
        <v>13257</v>
      </c>
      <c r="D934" s="196" t="s">
        <v>13258</v>
      </c>
      <c r="E934" s="196" t="s">
        <v>13259</v>
      </c>
      <c r="F934" s="196" t="s">
        <v>13023</v>
      </c>
      <c r="G934" s="196" t="s">
        <v>12378</v>
      </c>
      <c r="H934" s="196" t="s">
        <v>11235</v>
      </c>
    </row>
    <row r="935" spans="1:8" x14ac:dyDescent="0.15">
      <c r="A935" s="196" t="s">
        <v>11229</v>
      </c>
      <c r="B935" s="196" t="s">
        <v>11230</v>
      </c>
      <c r="C935" s="196" t="s">
        <v>13260</v>
      </c>
      <c r="D935" s="196" t="s">
        <v>13261</v>
      </c>
      <c r="E935" s="196" t="s">
        <v>13261</v>
      </c>
      <c r="F935" s="196" t="s">
        <v>11233</v>
      </c>
      <c r="G935" s="196" t="s">
        <v>12378</v>
      </c>
      <c r="H935" s="196" t="s">
        <v>11235</v>
      </c>
    </row>
    <row r="936" spans="1:8" x14ac:dyDescent="0.15">
      <c r="A936" s="196" t="s">
        <v>11229</v>
      </c>
      <c r="B936" s="196" t="s">
        <v>11230</v>
      </c>
      <c r="C936" s="196" t="s">
        <v>13262</v>
      </c>
      <c r="D936" s="196" t="s">
        <v>13263</v>
      </c>
      <c r="E936" s="196" t="s">
        <v>13263</v>
      </c>
      <c r="F936" s="196" t="s">
        <v>11233</v>
      </c>
      <c r="G936" s="196" t="s">
        <v>12378</v>
      </c>
      <c r="H936" s="196" t="s">
        <v>11235</v>
      </c>
    </row>
    <row r="937" spans="1:8" x14ac:dyDescent="0.15">
      <c r="A937" s="196" t="s">
        <v>11229</v>
      </c>
      <c r="B937" s="196" t="s">
        <v>11230</v>
      </c>
      <c r="C937" s="196" t="s">
        <v>13264</v>
      </c>
      <c r="D937" s="196" t="s">
        <v>13265</v>
      </c>
      <c r="E937" s="196" t="s">
        <v>13266</v>
      </c>
      <c r="F937" s="196" t="s">
        <v>11268</v>
      </c>
      <c r="G937" s="196" t="s">
        <v>12378</v>
      </c>
      <c r="H937" s="196" t="s">
        <v>11235</v>
      </c>
    </row>
    <row r="938" spans="1:8" x14ac:dyDescent="0.15">
      <c r="A938" s="196" t="s">
        <v>11229</v>
      </c>
      <c r="B938" s="196" t="s">
        <v>11230</v>
      </c>
      <c r="C938" s="196" t="s">
        <v>13267</v>
      </c>
      <c r="D938" s="196" t="s">
        <v>13268</v>
      </c>
      <c r="E938" s="196" t="s">
        <v>13268</v>
      </c>
      <c r="F938" s="196" t="s">
        <v>11233</v>
      </c>
      <c r="G938" s="196" t="s">
        <v>12378</v>
      </c>
      <c r="H938" s="196" t="s">
        <v>11235</v>
      </c>
    </row>
    <row r="939" spans="1:8" x14ac:dyDescent="0.15">
      <c r="A939" s="196" t="s">
        <v>11229</v>
      </c>
      <c r="B939" s="196" t="s">
        <v>11230</v>
      </c>
      <c r="C939" s="196" t="s">
        <v>13269</v>
      </c>
      <c r="D939" s="196" t="s">
        <v>13270</v>
      </c>
      <c r="E939" s="196" t="s">
        <v>13270</v>
      </c>
      <c r="F939" s="196" t="s">
        <v>11233</v>
      </c>
      <c r="G939" s="196" t="s">
        <v>12378</v>
      </c>
      <c r="H939" s="196" t="s">
        <v>11235</v>
      </c>
    </row>
    <row r="940" spans="1:8" x14ac:dyDescent="0.15">
      <c r="A940" s="196" t="s">
        <v>11229</v>
      </c>
      <c r="B940" s="196" t="s">
        <v>11230</v>
      </c>
      <c r="C940" s="196" t="s">
        <v>13271</v>
      </c>
      <c r="D940" s="196" t="s">
        <v>13272</v>
      </c>
      <c r="E940" s="196" t="s">
        <v>13272</v>
      </c>
      <c r="F940" s="196" t="s">
        <v>11233</v>
      </c>
      <c r="G940" s="196" t="s">
        <v>12378</v>
      </c>
      <c r="H940" s="196" t="s">
        <v>11235</v>
      </c>
    </row>
    <row r="941" spans="1:8" x14ac:dyDescent="0.15">
      <c r="A941" s="196" t="s">
        <v>11229</v>
      </c>
      <c r="B941" s="196" t="s">
        <v>11230</v>
      </c>
      <c r="C941" s="196" t="s">
        <v>13273</v>
      </c>
      <c r="D941" s="196" t="s">
        <v>13274</v>
      </c>
      <c r="E941" s="196" t="s">
        <v>13275</v>
      </c>
      <c r="F941" s="196" t="s">
        <v>11268</v>
      </c>
      <c r="G941" s="196" t="s">
        <v>12378</v>
      </c>
      <c r="H941" s="196" t="s">
        <v>11235</v>
      </c>
    </row>
    <row r="942" spans="1:8" x14ac:dyDescent="0.15">
      <c r="A942" s="196" t="s">
        <v>11229</v>
      </c>
      <c r="B942" s="196" t="s">
        <v>11230</v>
      </c>
      <c r="C942" s="196" t="s">
        <v>13276</v>
      </c>
      <c r="D942" s="196" t="s">
        <v>13277</v>
      </c>
      <c r="E942" s="196" t="s">
        <v>13277</v>
      </c>
      <c r="F942" s="196" t="s">
        <v>11233</v>
      </c>
      <c r="G942" s="196" t="s">
        <v>12378</v>
      </c>
      <c r="H942" s="196" t="s">
        <v>11235</v>
      </c>
    </row>
    <row r="943" spans="1:8" x14ac:dyDescent="0.15">
      <c r="A943" s="196" t="s">
        <v>11229</v>
      </c>
      <c r="B943" s="196" t="s">
        <v>11230</v>
      </c>
      <c r="C943" s="196" t="s">
        <v>13278</v>
      </c>
      <c r="D943" s="196" t="s">
        <v>13279</v>
      </c>
      <c r="E943" s="196" t="s">
        <v>13280</v>
      </c>
      <c r="F943" s="196" t="s">
        <v>11241</v>
      </c>
      <c r="G943" s="196" t="s">
        <v>12378</v>
      </c>
      <c r="H943" s="196" t="s">
        <v>11235</v>
      </c>
    </row>
    <row r="944" spans="1:8" x14ac:dyDescent="0.15">
      <c r="A944" s="196" t="s">
        <v>11229</v>
      </c>
      <c r="B944" s="196" t="s">
        <v>11230</v>
      </c>
      <c r="C944" s="196" t="s">
        <v>13281</v>
      </c>
      <c r="D944" s="196" t="s">
        <v>13282</v>
      </c>
      <c r="E944" s="196" t="s">
        <v>13282</v>
      </c>
      <c r="F944" s="196" t="s">
        <v>11233</v>
      </c>
      <c r="G944" s="196" t="s">
        <v>12378</v>
      </c>
      <c r="H944" s="196" t="s">
        <v>11235</v>
      </c>
    </row>
    <row r="945" spans="1:8" x14ac:dyDescent="0.15">
      <c r="A945" s="196" t="s">
        <v>11229</v>
      </c>
      <c r="B945" s="196" t="s">
        <v>11230</v>
      </c>
      <c r="C945" s="196" t="s">
        <v>13283</v>
      </c>
      <c r="D945" s="196" t="s">
        <v>13284</v>
      </c>
      <c r="E945" s="196" t="s">
        <v>13284</v>
      </c>
      <c r="F945" s="196" t="s">
        <v>11233</v>
      </c>
      <c r="G945" s="196" t="s">
        <v>12378</v>
      </c>
      <c r="H945" s="196" t="s">
        <v>11235</v>
      </c>
    </row>
    <row r="946" spans="1:8" x14ac:dyDescent="0.15">
      <c r="A946" s="196" t="s">
        <v>11229</v>
      </c>
      <c r="B946" s="196" t="s">
        <v>11230</v>
      </c>
      <c r="C946" s="196" t="s">
        <v>13285</v>
      </c>
      <c r="D946" s="196" t="s">
        <v>13286</v>
      </c>
      <c r="E946" s="196" t="s">
        <v>13286</v>
      </c>
      <c r="F946" s="196" t="s">
        <v>11233</v>
      </c>
      <c r="G946" s="196" t="s">
        <v>12378</v>
      </c>
      <c r="H946" s="196" t="s">
        <v>11235</v>
      </c>
    </row>
    <row r="947" spans="1:8" x14ac:dyDescent="0.15">
      <c r="A947" s="196" t="s">
        <v>11229</v>
      </c>
      <c r="B947" s="196" t="s">
        <v>11230</v>
      </c>
      <c r="C947" s="196" t="s">
        <v>13287</v>
      </c>
      <c r="D947" s="196" t="s">
        <v>13288</v>
      </c>
      <c r="E947" s="196" t="s">
        <v>13289</v>
      </c>
      <c r="F947" s="196" t="s">
        <v>11241</v>
      </c>
      <c r="G947" s="196" t="s">
        <v>12378</v>
      </c>
      <c r="H947" s="196" t="s">
        <v>11235</v>
      </c>
    </row>
    <row r="948" spans="1:8" x14ac:dyDescent="0.15">
      <c r="A948" s="196" t="s">
        <v>11229</v>
      </c>
      <c r="B948" s="196" t="s">
        <v>11230</v>
      </c>
      <c r="C948" s="196" t="s">
        <v>13290</v>
      </c>
      <c r="D948" s="196" t="s">
        <v>13291</v>
      </c>
      <c r="E948" s="196" t="s">
        <v>13291</v>
      </c>
      <c r="F948" s="196" t="s">
        <v>11233</v>
      </c>
      <c r="G948" s="196" t="s">
        <v>12378</v>
      </c>
      <c r="H948" s="196" t="s">
        <v>11235</v>
      </c>
    </row>
    <row r="949" spans="1:8" x14ac:dyDescent="0.15">
      <c r="A949" s="196" t="s">
        <v>11229</v>
      </c>
      <c r="B949" s="196" t="s">
        <v>11230</v>
      </c>
      <c r="C949" s="196" t="s">
        <v>13292</v>
      </c>
      <c r="D949" s="196" t="s">
        <v>13293</v>
      </c>
      <c r="E949" s="196" t="s">
        <v>13293</v>
      </c>
      <c r="F949" s="196" t="s">
        <v>11233</v>
      </c>
      <c r="G949" s="196" t="s">
        <v>12378</v>
      </c>
      <c r="H949" s="196" t="s">
        <v>11235</v>
      </c>
    </row>
    <row r="950" spans="1:8" x14ac:dyDescent="0.15">
      <c r="A950" s="196" t="s">
        <v>11229</v>
      </c>
      <c r="B950" s="196" t="s">
        <v>11230</v>
      </c>
      <c r="C950" s="196" t="s">
        <v>13294</v>
      </c>
      <c r="D950" s="196" t="s">
        <v>13295</v>
      </c>
      <c r="E950" s="196" t="s">
        <v>13295</v>
      </c>
      <c r="F950" s="196" t="s">
        <v>11233</v>
      </c>
      <c r="G950" s="196" t="s">
        <v>12378</v>
      </c>
      <c r="H950" s="196" t="s">
        <v>11235</v>
      </c>
    </row>
    <row r="951" spans="1:8" x14ac:dyDescent="0.15">
      <c r="A951" s="196" t="s">
        <v>11229</v>
      </c>
      <c r="B951" s="196" t="s">
        <v>11230</v>
      </c>
      <c r="C951" s="196" t="s">
        <v>13296</v>
      </c>
      <c r="D951" s="196" t="s">
        <v>13297</v>
      </c>
      <c r="E951" s="196" t="s">
        <v>13298</v>
      </c>
      <c r="F951" s="196" t="s">
        <v>11241</v>
      </c>
      <c r="G951" s="196" t="s">
        <v>12378</v>
      </c>
      <c r="H951" s="196" t="s">
        <v>11235</v>
      </c>
    </row>
    <row r="952" spans="1:8" x14ac:dyDescent="0.15">
      <c r="A952" s="196" t="s">
        <v>11229</v>
      </c>
      <c r="B952" s="196" t="s">
        <v>11230</v>
      </c>
      <c r="C952" s="196" t="s">
        <v>13299</v>
      </c>
      <c r="D952" s="196" t="s">
        <v>13300</v>
      </c>
      <c r="E952" s="196" t="s">
        <v>13300</v>
      </c>
      <c r="F952" s="196" t="s">
        <v>11233</v>
      </c>
      <c r="G952" s="196" t="s">
        <v>11720</v>
      </c>
      <c r="H952" s="196" t="s">
        <v>11235</v>
      </c>
    </row>
    <row r="953" spans="1:8" x14ac:dyDescent="0.15">
      <c r="A953" s="196" t="s">
        <v>11229</v>
      </c>
      <c r="B953" s="196" t="s">
        <v>11230</v>
      </c>
      <c r="C953" s="196" t="s">
        <v>13301</v>
      </c>
      <c r="D953" s="196" t="s">
        <v>13302</v>
      </c>
      <c r="E953" s="196" t="s">
        <v>13302</v>
      </c>
      <c r="F953" s="196" t="s">
        <v>11233</v>
      </c>
      <c r="G953" s="196" t="s">
        <v>12378</v>
      </c>
      <c r="H953" s="196" t="s">
        <v>11235</v>
      </c>
    </row>
    <row r="954" spans="1:8" x14ac:dyDescent="0.15">
      <c r="A954" s="196" t="s">
        <v>11229</v>
      </c>
      <c r="B954" s="196" t="s">
        <v>11230</v>
      </c>
      <c r="C954" s="196" t="s">
        <v>13303</v>
      </c>
      <c r="D954" s="196" t="s">
        <v>13304</v>
      </c>
      <c r="E954" s="196" t="s">
        <v>13305</v>
      </c>
      <c r="F954" s="196" t="s">
        <v>13306</v>
      </c>
      <c r="G954" s="196" t="s">
        <v>11720</v>
      </c>
      <c r="H954" s="196" t="s">
        <v>11235</v>
      </c>
    </row>
    <row r="955" spans="1:8" x14ac:dyDescent="0.15">
      <c r="A955" s="196" t="s">
        <v>11229</v>
      </c>
      <c r="B955" s="196" t="s">
        <v>11230</v>
      </c>
      <c r="C955" s="196" t="s">
        <v>13307</v>
      </c>
      <c r="D955" s="196" t="s">
        <v>13308</v>
      </c>
      <c r="E955" s="196" t="s">
        <v>13308</v>
      </c>
      <c r="F955" s="196" t="s">
        <v>11233</v>
      </c>
      <c r="G955" s="196" t="s">
        <v>12378</v>
      </c>
      <c r="H955" s="196" t="s">
        <v>11235</v>
      </c>
    </row>
    <row r="956" spans="1:8" x14ac:dyDescent="0.15">
      <c r="A956" s="196" t="s">
        <v>11229</v>
      </c>
      <c r="B956" s="196" t="s">
        <v>11230</v>
      </c>
      <c r="C956" s="196" t="s">
        <v>13309</v>
      </c>
      <c r="D956" s="196" t="s">
        <v>13310</v>
      </c>
      <c r="E956" s="196" t="s">
        <v>13311</v>
      </c>
      <c r="F956" s="196" t="s">
        <v>11241</v>
      </c>
      <c r="G956" s="196" t="s">
        <v>12378</v>
      </c>
      <c r="H956" s="196" t="s">
        <v>11235</v>
      </c>
    </row>
    <row r="957" spans="1:8" x14ac:dyDescent="0.15">
      <c r="A957" s="196" t="s">
        <v>11229</v>
      </c>
      <c r="B957" s="196" t="s">
        <v>11230</v>
      </c>
      <c r="C957" s="196" t="s">
        <v>13312</v>
      </c>
      <c r="D957" s="196" t="s">
        <v>13313</v>
      </c>
      <c r="E957" s="196" t="s">
        <v>13314</v>
      </c>
      <c r="F957" s="196" t="s">
        <v>11241</v>
      </c>
      <c r="G957" s="196" t="s">
        <v>12378</v>
      </c>
      <c r="H957" s="196" t="s">
        <v>11235</v>
      </c>
    </row>
    <row r="958" spans="1:8" x14ac:dyDescent="0.15">
      <c r="A958" s="196" t="s">
        <v>11229</v>
      </c>
      <c r="B958" s="196" t="s">
        <v>11230</v>
      </c>
      <c r="C958" s="196" t="s">
        <v>13315</v>
      </c>
      <c r="D958" s="196" t="s">
        <v>13316</v>
      </c>
      <c r="E958" s="196" t="s">
        <v>13317</v>
      </c>
      <c r="F958" s="196" t="s">
        <v>13318</v>
      </c>
      <c r="G958" s="196" t="s">
        <v>11962</v>
      </c>
      <c r="H958" s="196" t="s">
        <v>11235</v>
      </c>
    </row>
    <row r="959" spans="1:8" x14ac:dyDescent="0.15">
      <c r="A959" s="196" t="s">
        <v>11229</v>
      </c>
      <c r="B959" s="196" t="s">
        <v>11230</v>
      </c>
      <c r="C959" s="196" t="s">
        <v>13319</v>
      </c>
      <c r="D959" s="196" t="s">
        <v>13316</v>
      </c>
      <c r="E959" s="196" t="s">
        <v>13316</v>
      </c>
      <c r="F959" s="196" t="s">
        <v>11233</v>
      </c>
      <c r="G959" s="196" t="s">
        <v>12378</v>
      </c>
      <c r="H959" s="196" t="s">
        <v>11235</v>
      </c>
    </row>
    <row r="960" spans="1:8" x14ac:dyDescent="0.15">
      <c r="A960" s="196" t="s">
        <v>11229</v>
      </c>
      <c r="B960" s="196" t="s">
        <v>11230</v>
      </c>
      <c r="C960" s="196" t="s">
        <v>13320</v>
      </c>
      <c r="D960" s="196" t="s">
        <v>13321</v>
      </c>
      <c r="E960" s="196" t="s">
        <v>13322</v>
      </c>
      <c r="F960" s="196" t="s">
        <v>11268</v>
      </c>
      <c r="G960" s="196" t="s">
        <v>12378</v>
      </c>
      <c r="H960" s="196" t="s">
        <v>11235</v>
      </c>
    </row>
    <row r="961" spans="1:8" x14ac:dyDescent="0.15">
      <c r="A961" s="196" t="s">
        <v>11229</v>
      </c>
      <c r="B961" s="196" t="s">
        <v>11230</v>
      </c>
      <c r="C961" s="196" t="s">
        <v>13323</v>
      </c>
      <c r="D961" s="196" t="s">
        <v>13324</v>
      </c>
      <c r="E961" s="196" t="s">
        <v>13325</v>
      </c>
      <c r="F961" s="196" t="s">
        <v>11268</v>
      </c>
      <c r="G961" s="196" t="s">
        <v>12378</v>
      </c>
      <c r="H961" s="196" t="s">
        <v>11235</v>
      </c>
    </row>
    <row r="962" spans="1:8" x14ac:dyDescent="0.15">
      <c r="A962" s="196" t="s">
        <v>11229</v>
      </c>
      <c r="B962" s="196" t="s">
        <v>11230</v>
      </c>
      <c r="C962" s="196" t="s">
        <v>13326</v>
      </c>
      <c r="D962" s="196" t="s">
        <v>13327</v>
      </c>
      <c r="E962" s="196" t="s">
        <v>13328</v>
      </c>
      <c r="F962" s="196" t="s">
        <v>11268</v>
      </c>
      <c r="G962" s="196" t="s">
        <v>12378</v>
      </c>
      <c r="H962" s="196" t="s">
        <v>11235</v>
      </c>
    </row>
    <row r="963" spans="1:8" x14ac:dyDescent="0.15">
      <c r="A963" s="196" t="s">
        <v>11229</v>
      </c>
      <c r="B963" s="196" t="s">
        <v>11230</v>
      </c>
      <c r="C963" s="196" t="s">
        <v>13329</v>
      </c>
      <c r="D963" s="196" t="s">
        <v>13330</v>
      </c>
      <c r="E963" s="196" t="s">
        <v>13331</v>
      </c>
      <c r="F963" s="196" t="s">
        <v>13332</v>
      </c>
      <c r="G963" s="196" t="s">
        <v>12378</v>
      </c>
      <c r="H963" s="196" t="s">
        <v>11235</v>
      </c>
    </row>
    <row r="964" spans="1:8" x14ac:dyDescent="0.15">
      <c r="A964" s="196" t="s">
        <v>11229</v>
      </c>
      <c r="B964" s="196" t="s">
        <v>11230</v>
      </c>
      <c r="C964" s="196" t="s">
        <v>13333</v>
      </c>
      <c r="D964" s="196" t="s">
        <v>13334</v>
      </c>
      <c r="E964" s="196" t="s">
        <v>13335</v>
      </c>
      <c r="F964" s="196" t="s">
        <v>13336</v>
      </c>
      <c r="G964" s="196" t="s">
        <v>12378</v>
      </c>
      <c r="H964" s="196" t="s">
        <v>11235</v>
      </c>
    </row>
    <row r="965" spans="1:8" x14ac:dyDescent="0.15">
      <c r="A965" s="196" t="s">
        <v>11229</v>
      </c>
      <c r="B965" s="196" t="s">
        <v>11230</v>
      </c>
      <c r="C965" s="196" t="s">
        <v>13337</v>
      </c>
      <c r="D965" s="196" t="s">
        <v>13338</v>
      </c>
      <c r="E965" s="196" t="s">
        <v>13339</v>
      </c>
      <c r="F965" s="196" t="s">
        <v>13340</v>
      </c>
      <c r="G965" s="196" t="s">
        <v>12378</v>
      </c>
      <c r="H965" s="196" t="s">
        <v>11235</v>
      </c>
    </row>
    <row r="966" spans="1:8" x14ac:dyDescent="0.15">
      <c r="A966" s="196" t="s">
        <v>11229</v>
      </c>
      <c r="B966" s="196" t="s">
        <v>11230</v>
      </c>
      <c r="C966" s="196" t="s">
        <v>13341</v>
      </c>
      <c r="D966" s="196" t="s">
        <v>13342</v>
      </c>
      <c r="E966" s="196" t="s">
        <v>13343</v>
      </c>
      <c r="F966" s="196" t="s">
        <v>13344</v>
      </c>
      <c r="G966" s="196" t="s">
        <v>11720</v>
      </c>
      <c r="H966" s="196" t="s">
        <v>11235</v>
      </c>
    </row>
    <row r="967" spans="1:8" x14ac:dyDescent="0.15">
      <c r="A967" s="196" t="s">
        <v>11229</v>
      </c>
      <c r="B967" s="196" t="s">
        <v>11230</v>
      </c>
      <c r="C967" s="196" t="s">
        <v>13345</v>
      </c>
      <c r="D967" s="196" t="s">
        <v>13346</v>
      </c>
      <c r="E967" s="196" t="s">
        <v>13347</v>
      </c>
      <c r="F967" s="196" t="s">
        <v>13348</v>
      </c>
      <c r="G967" s="196" t="s">
        <v>12378</v>
      </c>
      <c r="H967" s="196" t="s">
        <v>11235</v>
      </c>
    </row>
    <row r="968" spans="1:8" x14ac:dyDescent="0.15">
      <c r="A968" s="196" t="s">
        <v>11229</v>
      </c>
      <c r="B968" s="196" t="s">
        <v>11230</v>
      </c>
      <c r="C968" s="196" t="s">
        <v>13349</v>
      </c>
      <c r="D968" s="196" t="s">
        <v>13350</v>
      </c>
      <c r="E968" s="196" t="s">
        <v>13351</v>
      </c>
      <c r="F968" s="196" t="s">
        <v>13352</v>
      </c>
      <c r="G968" s="196" t="s">
        <v>11962</v>
      </c>
      <c r="H968" s="196" t="s">
        <v>11235</v>
      </c>
    </row>
    <row r="969" spans="1:8" x14ac:dyDescent="0.15">
      <c r="A969" s="196" t="s">
        <v>11229</v>
      </c>
      <c r="B969" s="196" t="s">
        <v>11230</v>
      </c>
      <c r="C969" s="196" t="s">
        <v>13353</v>
      </c>
      <c r="D969" s="196" t="s">
        <v>13354</v>
      </c>
      <c r="E969" s="196" t="s">
        <v>13355</v>
      </c>
      <c r="F969" s="196" t="s">
        <v>13356</v>
      </c>
      <c r="G969" s="196" t="s">
        <v>11720</v>
      </c>
      <c r="H969" s="196" t="s">
        <v>11235</v>
      </c>
    </row>
    <row r="970" spans="1:8" x14ac:dyDescent="0.15">
      <c r="A970" s="196" t="s">
        <v>11229</v>
      </c>
      <c r="B970" s="196" t="s">
        <v>11230</v>
      </c>
      <c r="C970" s="196" t="s">
        <v>13357</v>
      </c>
      <c r="D970" s="196" t="s">
        <v>13358</v>
      </c>
      <c r="E970" s="196" t="s">
        <v>13359</v>
      </c>
      <c r="F970" s="196" t="s">
        <v>13360</v>
      </c>
      <c r="G970" s="196" t="s">
        <v>12378</v>
      </c>
      <c r="H970" s="196" t="s">
        <v>11235</v>
      </c>
    </row>
    <row r="971" spans="1:8" x14ac:dyDescent="0.15">
      <c r="A971" s="196" t="s">
        <v>11229</v>
      </c>
      <c r="B971" s="196" t="s">
        <v>11230</v>
      </c>
      <c r="C971" s="196" t="s">
        <v>13361</v>
      </c>
      <c r="D971" s="196" t="s">
        <v>13362</v>
      </c>
      <c r="E971" s="196" t="s">
        <v>13363</v>
      </c>
      <c r="F971" s="196" t="s">
        <v>13364</v>
      </c>
      <c r="G971" s="196" t="s">
        <v>12378</v>
      </c>
      <c r="H971" s="196" t="s">
        <v>11235</v>
      </c>
    </row>
    <row r="972" spans="1:8" x14ac:dyDescent="0.15">
      <c r="A972" s="196" t="s">
        <v>11229</v>
      </c>
      <c r="B972" s="196" t="s">
        <v>11230</v>
      </c>
      <c r="C972" s="196" t="s">
        <v>13365</v>
      </c>
      <c r="D972" s="196" t="s">
        <v>13366</v>
      </c>
      <c r="E972" s="196" t="s">
        <v>13367</v>
      </c>
      <c r="F972" s="196" t="s">
        <v>13368</v>
      </c>
      <c r="G972" s="196" t="s">
        <v>12378</v>
      </c>
      <c r="H972" s="196" t="s">
        <v>11235</v>
      </c>
    </row>
    <row r="973" spans="1:8" x14ac:dyDescent="0.15">
      <c r="A973" s="196" t="s">
        <v>11229</v>
      </c>
      <c r="B973" s="196" t="s">
        <v>11230</v>
      </c>
      <c r="C973" s="196" t="s">
        <v>13369</v>
      </c>
      <c r="D973" s="196" t="s">
        <v>13370</v>
      </c>
      <c r="E973" s="196" t="s">
        <v>13371</v>
      </c>
      <c r="F973" s="196" t="s">
        <v>13372</v>
      </c>
      <c r="G973" s="196" t="s">
        <v>11720</v>
      </c>
      <c r="H973" s="196" t="s">
        <v>11235</v>
      </c>
    </row>
    <row r="974" spans="1:8" x14ac:dyDescent="0.15">
      <c r="A974" s="196" t="s">
        <v>11229</v>
      </c>
      <c r="B974" s="196" t="s">
        <v>11230</v>
      </c>
      <c r="C974" s="196" t="s">
        <v>13373</v>
      </c>
      <c r="D974" s="196" t="s">
        <v>13374</v>
      </c>
      <c r="E974" s="196" t="s">
        <v>13375</v>
      </c>
      <c r="F974" s="196" t="s">
        <v>11241</v>
      </c>
      <c r="G974" s="196" t="s">
        <v>12378</v>
      </c>
      <c r="H974" s="196" t="s">
        <v>11235</v>
      </c>
    </row>
    <row r="975" spans="1:8" x14ac:dyDescent="0.15">
      <c r="A975" s="196" t="s">
        <v>11229</v>
      </c>
      <c r="B975" s="196" t="s">
        <v>11230</v>
      </c>
      <c r="C975" s="196" t="s">
        <v>13376</v>
      </c>
      <c r="D975" s="196" t="s">
        <v>13377</v>
      </c>
      <c r="E975" s="196" t="s">
        <v>13377</v>
      </c>
      <c r="F975" s="196" t="s">
        <v>11233</v>
      </c>
      <c r="G975" s="196" t="s">
        <v>12378</v>
      </c>
      <c r="H975" s="196" t="s">
        <v>11235</v>
      </c>
    </row>
    <row r="976" spans="1:8" x14ac:dyDescent="0.15">
      <c r="A976" s="196" t="s">
        <v>11229</v>
      </c>
      <c r="B976" s="196" t="s">
        <v>11230</v>
      </c>
      <c r="C976" s="196" t="s">
        <v>13378</v>
      </c>
      <c r="D976" s="196" t="s">
        <v>13379</v>
      </c>
      <c r="E976" s="196" t="s">
        <v>13380</v>
      </c>
      <c r="F976" s="196" t="s">
        <v>11241</v>
      </c>
      <c r="G976" s="196" t="s">
        <v>12378</v>
      </c>
      <c r="H976" s="196" t="s">
        <v>11235</v>
      </c>
    </row>
    <row r="977" spans="1:8" x14ac:dyDescent="0.15">
      <c r="A977" s="196" t="s">
        <v>11229</v>
      </c>
      <c r="B977" s="196" t="s">
        <v>11230</v>
      </c>
      <c r="C977" s="196" t="s">
        <v>13381</v>
      </c>
      <c r="D977" s="196" t="s">
        <v>13382</v>
      </c>
      <c r="E977" s="196" t="s">
        <v>13382</v>
      </c>
      <c r="F977" s="196" t="s">
        <v>11233</v>
      </c>
      <c r="G977" s="196" t="s">
        <v>12378</v>
      </c>
      <c r="H977" s="196" t="s">
        <v>11235</v>
      </c>
    </row>
    <row r="978" spans="1:8" x14ac:dyDescent="0.15">
      <c r="A978" s="196" t="s">
        <v>11229</v>
      </c>
      <c r="B978" s="196" t="s">
        <v>11230</v>
      </c>
      <c r="C978" s="196" t="s">
        <v>13383</v>
      </c>
      <c r="D978" s="196" t="s">
        <v>13384</v>
      </c>
      <c r="E978" s="196" t="s">
        <v>13384</v>
      </c>
      <c r="F978" s="196" t="s">
        <v>11233</v>
      </c>
      <c r="G978" s="196" t="s">
        <v>12378</v>
      </c>
      <c r="H978" s="196" t="s">
        <v>11235</v>
      </c>
    </row>
    <row r="979" spans="1:8" x14ac:dyDescent="0.15">
      <c r="A979" s="196" t="s">
        <v>11229</v>
      </c>
      <c r="B979" s="196" t="s">
        <v>11230</v>
      </c>
      <c r="C979" s="196" t="s">
        <v>13385</v>
      </c>
      <c r="D979" s="196" t="s">
        <v>13386</v>
      </c>
      <c r="E979" s="196" t="s">
        <v>13387</v>
      </c>
      <c r="F979" s="196" t="s">
        <v>11241</v>
      </c>
      <c r="G979" s="196" t="s">
        <v>12378</v>
      </c>
      <c r="H979" s="196" t="s">
        <v>11235</v>
      </c>
    </row>
    <row r="980" spans="1:8" x14ac:dyDescent="0.15">
      <c r="A980" s="196" t="s">
        <v>11229</v>
      </c>
      <c r="B980" s="196" t="s">
        <v>11230</v>
      </c>
      <c r="C980" s="196" t="s">
        <v>13388</v>
      </c>
      <c r="D980" s="196" t="s">
        <v>13389</v>
      </c>
      <c r="E980" s="196" t="s">
        <v>13389</v>
      </c>
      <c r="F980" s="196" t="s">
        <v>11233</v>
      </c>
      <c r="G980" s="196" t="s">
        <v>12378</v>
      </c>
      <c r="H980" s="196" t="s">
        <v>11235</v>
      </c>
    </row>
    <row r="981" spans="1:8" x14ac:dyDescent="0.15">
      <c r="A981" s="196" t="s">
        <v>11229</v>
      </c>
      <c r="B981" s="196" t="s">
        <v>11230</v>
      </c>
      <c r="C981" s="196" t="s">
        <v>13390</v>
      </c>
      <c r="D981" s="196" t="s">
        <v>13391</v>
      </c>
      <c r="E981" s="196" t="s">
        <v>13392</v>
      </c>
      <c r="F981" s="196" t="s">
        <v>11268</v>
      </c>
      <c r="G981" s="196" t="s">
        <v>12378</v>
      </c>
      <c r="H981" s="196" t="s">
        <v>11235</v>
      </c>
    </row>
    <row r="982" spans="1:8" x14ac:dyDescent="0.15">
      <c r="A982" s="196" t="s">
        <v>11229</v>
      </c>
      <c r="B982" s="196" t="s">
        <v>11230</v>
      </c>
      <c r="C982" s="196" t="s">
        <v>13393</v>
      </c>
      <c r="D982" s="196" t="s">
        <v>13394</v>
      </c>
      <c r="E982" s="196" t="s">
        <v>13395</v>
      </c>
      <c r="F982" s="196" t="s">
        <v>11268</v>
      </c>
      <c r="G982" s="196" t="s">
        <v>12378</v>
      </c>
      <c r="H982" s="196" t="s">
        <v>11235</v>
      </c>
    </row>
    <row r="983" spans="1:8" x14ac:dyDescent="0.15">
      <c r="A983" s="196" t="s">
        <v>11229</v>
      </c>
      <c r="B983" s="196" t="s">
        <v>11230</v>
      </c>
      <c r="C983" s="196" t="s">
        <v>13396</v>
      </c>
      <c r="D983" s="196" t="s">
        <v>13397</v>
      </c>
      <c r="E983" s="196" t="s">
        <v>13397</v>
      </c>
      <c r="F983" s="196" t="s">
        <v>11233</v>
      </c>
      <c r="G983" s="196" t="s">
        <v>12378</v>
      </c>
      <c r="H983" s="196" t="s">
        <v>11235</v>
      </c>
    </row>
    <row r="984" spans="1:8" x14ac:dyDescent="0.15">
      <c r="A984" s="196" t="s">
        <v>11229</v>
      </c>
      <c r="B984" s="196" t="s">
        <v>11230</v>
      </c>
      <c r="C984" s="196" t="s">
        <v>13398</v>
      </c>
      <c r="D984" s="196" t="s">
        <v>13399</v>
      </c>
      <c r="E984" s="196" t="s">
        <v>13400</v>
      </c>
      <c r="F984" s="196" t="s">
        <v>11241</v>
      </c>
      <c r="G984" s="196" t="s">
        <v>12378</v>
      </c>
      <c r="H984" s="196" t="s">
        <v>11235</v>
      </c>
    </row>
    <row r="985" spans="1:8" x14ac:dyDescent="0.15">
      <c r="A985" s="196" t="s">
        <v>11229</v>
      </c>
      <c r="B985" s="196" t="s">
        <v>11230</v>
      </c>
      <c r="C985" s="196" t="s">
        <v>13401</v>
      </c>
      <c r="D985" s="196" t="s">
        <v>13402</v>
      </c>
      <c r="E985" s="196" t="s">
        <v>13403</v>
      </c>
      <c r="F985" s="196" t="s">
        <v>13404</v>
      </c>
      <c r="G985" s="196" t="s">
        <v>11962</v>
      </c>
      <c r="H985" s="196" t="s">
        <v>11235</v>
      </c>
    </row>
    <row r="986" spans="1:8" x14ac:dyDescent="0.15">
      <c r="A986" s="196" t="s">
        <v>11229</v>
      </c>
      <c r="B986" s="196" t="s">
        <v>11230</v>
      </c>
      <c r="C986" s="196" t="s">
        <v>13405</v>
      </c>
      <c r="D986" s="196" t="s">
        <v>13406</v>
      </c>
      <c r="E986" s="196" t="s">
        <v>13406</v>
      </c>
      <c r="F986" s="196" t="s">
        <v>11233</v>
      </c>
      <c r="G986" s="196" t="s">
        <v>12378</v>
      </c>
      <c r="H986" s="196" t="s">
        <v>11235</v>
      </c>
    </row>
    <row r="987" spans="1:8" x14ac:dyDescent="0.15">
      <c r="A987" s="196" t="s">
        <v>11229</v>
      </c>
      <c r="B987" s="196" t="s">
        <v>11230</v>
      </c>
      <c r="C987" s="196" t="s">
        <v>13407</v>
      </c>
      <c r="D987" s="196" t="s">
        <v>13408</v>
      </c>
      <c r="E987" s="196" t="s">
        <v>13408</v>
      </c>
      <c r="F987" s="196" t="s">
        <v>11233</v>
      </c>
      <c r="G987" s="196" t="s">
        <v>12378</v>
      </c>
      <c r="H987" s="196" t="s">
        <v>11235</v>
      </c>
    </row>
    <row r="988" spans="1:8" x14ac:dyDescent="0.15">
      <c r="A988" s="196" t="s">
        <v>11229</v>
      </c>
      <c r="B988" s="196" t="s">
        <v>11230</v>
      </c>
      <c r="C988" s="196" t="s">
        <v>13409</v>
      </c>
      <c r="D988" s="196" t="s">
        <v>13410</v>
      </c>
      <c r="E988" s="196" t="s">
        <v>13411</v>
      </c>
      <c r="F988" s="196" t="s">
        <v>13412</v>
      </c>
      <c r="G988" s="196" t="s">
        <v>12378</v>
      </c>
      <c r="H988" s="196" t="s">
        <v>11235</v>
      </c>
    </row>
    <row r="989" spans="1:8" x14ac:dyDescent="0.15">
      <c r="A989" s="196" t="s">
        <v>11229</v>
      </c>
      <c r="B989" s="196" t="s">
        <v>11230</v>
      </c>
      <c r="C989" s="196" t="s">
        <v>13413</v>
      </c>
      <c r="D989" s="196" t="s">
        <v>13414</v>
      </c>
      <c r="E989" s="196" t="s">
        <v>13415</v>
      </c>
      <c r="F989" s="196" t="s">
        <v>13416</v>
      </c>
      <c r="G989" s="196" t="s">
        <v>12378</v>
      </c>
      <c r="H989" s="196" t="s">
        <v>11235</v>
      </c>
    </row>
    <row r="990" spans="1:8" x14ac:dyDescent="0.15">
      <c r="A990" s="196" t="s">
        <v>11229</v>
      </c>
      <c r="B990" s="196" t="s">
        <v>11230</v>
      </c>
      <c r="C990" s="196" t="s">
        <v>13417</v>
      </c>
      <c r="D990" s="196" t="s">
        <v>13418</v>
      </c>
      <c r="E990" s="196" t="s">
        <v>13419</v>
      </c>
      <c r="F990" s="196" t="s">
        <v>13420</v>
      </c>
      <c r="G990" s="196" t="s">
        <v>11720</v>
      </c>
      <c r="H990" s="196" t="s">
        <v>11235</v>
      </c>
    </row>
    <row r="991" spans="1:8" x14ac:dyDescent="0.15">
      <c r="A991" s="196" t="s">
        <v>11229</v>
      </c>
      <c r="B991" s="196" t="s">
        <v>11230</v>
      </c>
      <c r="C991" s="196" t="s">
        <v>13421</v>
      </c>
      <c r="D991" s="196" t="s">
        <v>13422</v>
      </c>
      <c r="E991" s="196" t="s">
        <v>13423</v>
      </c>
      <c r="F991" s="196" t="s">
        <v>12558</v>
      </c>
      <c r="G991" s="196" t="s">
        <v>12378</v>
      </c>
      <c r="H991" s="196" t="s">
        <v>11235</v>
      </c>
    </row>
    <row r="992" spans="1:8" x14ac:dyDescent="0.15">
      <c r="A992" s="196" t="s">
        <v>11229</v>
      </c>
      <c r="B992" s="196" t="s">
        <v>11230</v>
      </c>
      <c r="C992" s="196" t="s">
        <v>13424</v>
      </c>
      <c r="D992" s="196" t="s">
        <v>13425</v>
      </c>
      <c r="E992" s="196" t="s">
        <v>13425</v>
      </c>
      <c r="F992" s="196" t="s">
        <v>11233</v>
      </c>
      <c r="G992" s="196" t="s">
        <v>12378</v>
      </c>
      <c r="H992" s="196" t="s">
        <v>11235</v>
      </c>
    </row>
    <row r="993" spans="1:8" x14ac:dyDescent="0.15">
      <c r="A993" s="196" t="s">
        <v>11229</v>
      </c>
      <c r="B993" s="196" t="s">
        <v>11230</v>
      </c>
      <c r="C993" s="196" t="s">
        <v>13426</v>
      </c>
      <c r="D993" s="196" t="s">
        <v>13427</v>
      </c>
      <c r="E993" s="196" t="s">
        <v>13428</v>
      </c>
      <c r="F993" s="196" t="s">
        <v>13429</v>
      </c>
      <c r="G993" s="196" t="s">
        <v>12378</v>
      </c>
      <c r="H993" s="196" t="s">
        <v>11235</v>
      </c>
    </row>
    <row r="994" spans="1:8" x14ac:dyDescent="0.15">
      <c r="A994" s="196" t="s">
        <v>11229</v>
      </c>
      <c r="B994" s="196" t="s">
        <v>11230</v>
      </c>
      <c r="C994" s="196" t="s">
        <v>13430</v>
      </c>
      <c r="D994" s="196" t="s">
        <v>13431</v>
      </c>
      <c r="E994" s="196" t="s">
        <v>13432</v>
      </c>
      <c r="F994" s="196" t="s">
        <v>11268</v>
      </c>
      <c r="G994" s="196" t="s">
        <v>12378</v>
      </c>
      <c r="H994" s="196" t="s">
        <v>11235</v>
      </c>
    </row>
    <row r="995" spans="1:8" x14ac:dyDescent="0.15">
      <c r="A995" s="196" t="s">
        <v>11229</v>
      </c>
      <c r="B995" s="196" t="s">
        <v>11230</v>
      </c>
      <c r="C995" s="196" t="s">
        <v>13433</v>
      </c>
      <c r="D995" s="196" t="s">
        <v>13434</v>
      </c>
      <c r="E995" s="196" t="s">
        <v>13435</v>
      </c>
      <c r="F995" s="196" t="s">
        <v>13436</v>
      </c>
      <c r="G995" s="196" t="s">
        <v>12378</v>
      </c>
      <c r="H995" s="196" t="s">
        <v>11235</v>
      </c>
    </row>
    <row r="996" spans="1:8" x14ac:dyDescent="0.15">
      <c r="A996" s="196" t="s">
        <v>11229</v>
      </c>
      <c r="B996" s="196" t="s">
        <v>11230</v>
      </c>
      <c r="C996" s="196" t="s">
        <v>13437</v>
      </c>
      <c r="D996" s="196" t="s">
        <v>13438</v>
      </c>
      <c r="E996" s="196" t="s">
        <v>13438</v>
      </c>
      <c r="F996" s="196" t="s">
        <v>11233</v>
      </c>
      <c r="G996" s="196" t="s">
        <v>12378</v>
      </c>
      <c r="H996" s="196" t="s">
        <v>11235</v>
      </c>
    </row>
    <row r="997" spans="1:8" x14ac:dyDescent="0.15">
      <c r="A997" s="196" t="s">
        <v>11229</v>
      </c>
      <c r="B997" s="196" t="s">
        <v>11230</v>
      </c>
      <c r="C997" s="196" t="s">
        <v>13439</v>
      </c>
      <c r="D997" s="196" t="s">
        <v>13440</v>
      </c>
      <c r="E997" s="196" t="s">
        <v>13441</v>
      </c>
      <c r="F997" s="196" t="s">
        <v>11241</v>
      </c>
      <c r="G997" s="196" t="s">
        <v>12378</v>
      </c>
      <c r="H997" s="196" t="s">
        <v>11235</v>
      </c>
    </row>
    <row r="998" spans="1:8" x14ac:dyDescent="0.15">
      <c r="A998" s="196" t="s">
        <v>11229</v>
      </c>
      <c r="B998" s="196" t="s">
        <v>11230</v>
      </c>
      <c r="C998" s="196" t="s">
        <v>13442</v>
      </c>
      <c r="D998" s="196" t="s">
        <v>13443</v>
      </c>
      <c r="E998" s="196" t="s">
        <v>13443</v>
      </c>
      <c r="F998" s="196" t="s">
        <v>11233</v>
      </c>
      <c r="G998" s="196" t="s">
        <v>12378</v>
      </c>
      <c r="H998" s="196" t="s">
        <v>11235</v>
      </c>
    </row>
    <row r="999" spans="1:8" x14ac:dyDescent="0.15">
      <c r="A999" s="196" t="s">
        <v>11229</v>
      </c>
      <c r="B999" s="196" t="s">
        <v>11230</v>
      </c>
      <c r="C999" s="196" t="s">
        <v>13444</v>
      </c>
      <c r="D999" s="196" t="s">
        <v>13445</v>
      </c>
      <c r="E999" s="196" t="s">
        <v>13445</v>
      </c>
      <c r="F999" s="196" t="s">
        <v>11233</v>
      </c>
      <c r="G999" s="196" t="s">
        <v>12378</v>
      </c>
      <c r="H999" s="196" t="s">
        <v>11235</v>
      </c>
    </row>
    <row r="1000" spans="1:8" x14ac:dyDescent="0.15">
      <c r="A1000" s="196" t="s">
        <v>11229</v>
      </c>
      <c r="B1000" s="196" t="s">
        <v>11230</v>
      </c>
      <c r="C1000" s="196" t="s">
        <v>13446</v>
      </c>
      <c r="D1000" s="196" t="s">
        <v>13447</v>
      </c>
      <c r="E1000" s="196" t="s">
        <v>13448</v>
      </c>
      <c r="F1000" s="196" t="s">
        <v>11268</v>
      </c>
      <c r="G1000" s="196" t="s">
        <v>12378</v>
      </c>
      <c r="H1000" s="196" t="s">
        <v>11235</v>
      </c>
    </row>
    <row r="1001" spans="1:8" x14ac:dyDescent="0.15">
      <c r="A1001" s="196" t="s">
        <v>11229</v>
      </c>
      <c r="B1001" s="196" t="s">
        <v>11230</v>
      </c>
      <c r="C1001" s="196" t="s">
        <v>13449</v>
      </c>
      <c r="D1001" s="196" t="s">
        <v>13450</v>
      </c>
      <c r="E1001" s="196" t="s">
        <v>13451</v>
      </c>
      <c r="F1001" s="196" t="s">
        <v>13452</v>
      </c>
      <c r="G1001" s="196" t="s">
        <v>11962</v>
      </c>
      <c r="H1001" s="196" t="s">
        <v>11235</v>
      </c>
    </row>
    <row r="1002" spans="1:8" x14ac:dyDescent="0.15">
      <c r="A1002" s="196" t="s">
        <v>11229</v>
      </c>
      <c r="B1002" s="196" t="s">
        <v>11230</v>
      </c>
      <c r="C1002" s="196" t="s">
        <v>13453</v>
      </c>
      <c r="D1002" s="196" t="s">
        <v>13454</v>
      </c>
      <c r="E1002" s="196" t="s">
        <v>13455</v>
      </c>
      <c r="F1002" s="196" t="s">
        <v>11268</v>
      </c>
      <c r="G1002" s="196" t="s">
        <v>12378</v>
      </c>
      <c r="H1002" s="196" t="s">
        <v>11235</v>
      </c>
    </row>
    <row r="1003" spans="1:8" x14ac:dyDescent="0.15">
      <c r="A1003" s="196" t="s">
        <v>11229</v>
      </c>
      <c r="B1003" s="196" t="s">
        <v>11230</v>
      </c>
      <c r="C1003" s="196" t="s">
        <v>13456</v>
      </c>
      <c r="D1003" s="196" t="s">
        <v>13457</v>
      </c>
      <c r="E1003" s="196" t="s">
        <v>13458</v>
      </c>
      <c r="F1003" s="196" t="s">
        <v>13459</v>
      </c>
      <c r="G1003" s="196" t="s">
        <v>12378</v>
      </c>
      <c r="H1003" s="196" t="s">
        <v>11235</v>
      </c>
    </row>
    <row r="1004" spans="1:8" x14ac:dyDescent="0.15">
      <c r="A1004" s="196" t="s">
        <v>11229</v>
      </c>
      <c r="B1004" s="196" t="s">
        <v>11230</v>
      </c>
      <c r="C1004" s="196" t="s">
        <v>13460</v>
      </c>
      <c r="D1004" s="196" t="s">
        <v>13461</v>
      </c>
      <c r="E1004" s="196" t="s">
        <v>13462</v>
      </c>
      <c r="F1004" s="196" t="s">
        <v>13463</v>
      </c>
      <c r="G1004" s="196" t="s">
        <v>12378</v>
      </c>
      <c r="H1004" s="196" t="s">
        <v>11235</v>
      </c>
    </row>
    <row r="1005" spans="1:8" x14ac:dyDescent="0.15">
      <c r="A1005" s="196" t="s">
        <v>11229</v>
      </c>
      <c r="B1005" s="196" t="s">
        <v>11230</v>
      </c>
      <c r="C1005" s="196" t="s">
        <v>13464</v>
      </c>
      <c r="D1005" s="196" t="s">
        <v>13465</v>
      </c>
      <c r="E1005" s="196" t="s">
        <v>13465</v>
      </c>
      <c r="F1005" s="196" t="s">
        <v>11233</v>
      </c>
      <c r="G1005" s="196" t="s">
        <v>12378</v>
      </c>
      <c r="H1005" s="196" t="s">
        <v>11235</v>
      </c>
    </row>
    <row r="1006" spans="1:8" x14ac:dyDescent="0.15">
      <c r="A1006" s="196" t="s">
        <v>11229</v>
      </c>
      <c r="B1006" s="196" t="s">
        <v>11230</v>
      </c>
      <c r="C1006" s="196" t="s">
        <v>13466</v>
      </c>
      <c r="D1006" s="196" t="s">
        <v>13467</v>
      </c>
      <c r="E1006" s="196" t="s">
        <v>13467</v>
      </c>
      <c r="F1006" s="196" t="s">
        <v>11233</v>
      </c>
      <c r="G1006" s="196" t="s">
        <v>12378</v>
      </c>
      <c r="H1006" s="196" t="s">
        <v>11235</v>
      </c>
    </row>
    <row r="1007" spans="1:8" x14ac:dyDescent="0.15">
      <c r="A1007" s="196" t="s">
        <v>11229</v>
      </c>
      <c r="B1007" s="196" t="s">
        <v>11230</v>
      </c>
      <c r="C1007" s="196" t="s">
        <v>13468</v>
      </c>
      <c r="D1007" s="196" t="s">
        <v>13469</v>
      </c>
      <c r="E1007" s="196" t="s">
        <v>13470</v>
      </c>
      <c r="F1007" s="196" t="s">
        <v>13471</v>
      </c>
      <c r="G1007" s="196" t="s">
        <v>11720</v>
      </c>
      <c r="H1007" s="196" t="s">
        <v>11235</v>
      </c>
    </row>
    <row r="1008" spans="1:8" x14ac:dyDescent="0.15">
      <c r="A1008" s="196" t="s">
        <v>11229</v>
      </c>
      <c r="B1008" s="196" t="s">
        <v>11230</v>
      </c>
      <c r="C1008" s="196" t="s">
        <v>13472</v>
      </c>
      <c r="D1008" s="196" t="s">
        <v>13473</v>
      </c>
      <c r="E1008" s="196" t="s">
        <v>13474</v>
      </c>
      <c r="F1008" s="196" t="s">
        <v>11268</v>
      </c>
      <c r="G1008" s="196" t="s">
        <v>12378</v>
      </c>
      <c r="H1008" s="196" t="s">
        <v>11235</v>
      </c>
    </row>
    <row r="1009" spans="1:8" x14ac:dyDescent="0.15">
      <c r="A1009" s="196" t="s">
        <v>11229</v>
      </c>
      <c r="B1009" s="196" t="s">
        <v>11230</v>
      </c>
      <c r="C1009" s="196" t="s">
        <v>13475</v>
      </c>
      <c r="D1009" s="196" t="s">
        <v>13476</v>
      </c>
      <c r="E1009" s="196" t="s">
        <v>13477</v>
      </c>
      <c r="F1009" s="196" t="s">
        <v>11241</v>
      </c>
      <c r="G1009" s="196" t="s">
        <v>12378</v>
      </c>
      <c r="H1009" s="196" t="s">
        <v>11235</v>
      </c>
    </row>
    <row r="1010" spans="1:8" x14ac:dyDescent="0.15">
      <c r="A1010" s="196" t="s">
        <v>11229</v>
      </c>
      <c r="B1010" s="196" t="s">
        <v>11230</v>
      </c>
      <c r="C1010" s="196" t="s">
        <v>13478</v>
      </c>
      <c r="D1010" s="196" t="s">
        <v>13479</v>
      </c>
      <c r="E1010" s="196" t="s">
        <v>13479</v>
      </c>
      <c r="F1010" s="196" t="s">
        <v>11233</v>
      </c>
      <c r="G1010" s="196" t="s">
        <v>12378</v>
      </c>
      <c r="H1010" s="196" t="s">
        <v>11235</v>
      </c>
    </row>
    <row r="1011" spans="1:8" x14ac:dyDescent="0.15">
      <c r="A1011" s="196" t="s">
        <v>11229</v>
      </c>
      <c r="B1011" s="196" t="s">
        <v>11230</v>
      </c>
      <c r="C1011" s="196" t="s">
        <v>13480</v>
      </c>
      <c r="D1011" s="196" t="s">
        <v>13481</v>
      </c>
      <c r="E1011" s="196" t="s">
        <v>13481</v>
      </c>
      <c r="F1011" s="196" t="s">
        <v>11233</v>
      </c>
      <c r="G1011" s="196" t="s">
        <v>12378</v>
      </c>
      <c r="H1011" s="196" t="s">
        <v>11235</v>
      </c>
    </row>
    <row r="1012" spans="1:8" x14ac:dyDescent="0.15">
      <c r="A1012" s="196" t="s">
        <v>11229</v>
      </c>
      <c r="B1012" s="196" t="s">
        <v>11230</v>
      </c>
      <c r="C1012" s="196" t="s">
        <v>13482</v>
      </c>
      <c r="D1012" s="196" t="s">
        <v>13483</v>
      </c>
      <c r="E1012" s="196" t="s">
        <v>13484</v>
      </c>
      <c r="F1012" s="196" t="s">
        <v>13023</v>
      </c>
      <c r="G1012" s="196" t="s">
        <v>12378</v>
      </c>
      <c r="H1012" s="196" t="s">
        <v>11235</v>
      </c>
    </row>
    <row r="1013" spans="1:8" x14ac:dyDescent="0.15">
      <c r="A1013" s="196" t="s">
        <v>11229</v>
      </c>
      <c r="B1013" s="196" t="s">
        <v>11230</v>
      </c>
      <c r="C1013" s="196" t="s">
        <v>13485</v>
      </c>
      <c r="D1013" s="196" t="s">
        <v>13486</v>
      </c>
      <c r="E1013" s="196" t="s">
        <v>13487</v>
      </c>
      <c r="F1013" s="196" t="s">
        <v>11241</v>
      </c>
      <c r="G1013" s="196" t="s">
        <v>12378</v>
      </c>
      <c r="H1013" s="196" t="s">
        <v>11235</v>
      </c>
    </row>
    <row r="1014" spans="1:8" x14ac:dyDescent="0.15">
      <c r="A1014" s="196" t="s">
        <v>11229</v>
      </c>
      <c r="B1014" s="196" t="s">
        <v>11230</v>
      </c>
      <c r="C1014" s="196" t="s">
        <v>13488</v>
      </c>
      <c r="D1014" s="196" t="s">
        <v>13489</v>
      </c>
      <c r="E1014" s="196" t="s">
        <v>13490</v>
      </c>
      <c r="F1014" s="196" t="s">
        <v>11241</v>
      </c>
      <c r="G1014" s="196" t="s">
        <v>12378</v>
      </c>
      <c r="H1014" s="196" t="s">
        <v>11235</v>
      </c>
    </row>
    <row r="1015" spans="1:8" x14ac:dyDescent="0.15">
      <c r="A1015" s="196" t="s">
        <v>11229</v>
      </c>
      <c r="B1015" s="196" t="s">
        <v>11230</v>
      </c>
      <c r="C1015" s="196" t="s">
        <v>13491</v>
      </c>
      <c r="D1015" s="196" t="s">
        <v>13492</v>
      </c>
      <c r="E1015" s="196" t="s">
        <v>13492</v>
      </c>
      <c r="F1015" s="196" t="s">
        <v>11233</v>
      </c>
      <c r="G1015" s="196" t="s">
        <v>12378</v>
      </c>
      <c r="H1015" s="196" t="s">
        <v>11235</v>
      </c>
    </row>
    <row r="1016" spans="1:8" x14ac:dyDescent="0.15">
      <c r="A1016" s="196" t="s">
        <v>11229</v>
      </c>
      <c r="B1016" s="196" t="s">
        <v>11230</v>
      </c>
      <c r="C1016" s="196" t="s">
        <v>13493</v>
      </c>
      <c r="D1016" s="196" t="s">
        <v>13494</v>
      </c>
      <c r="E1016" s="196" t="s">
        <v>13495</v>
      </c>
      <c r="F1016" s="196" t="s">
        <v>11268</v>
      </c>
      <c r="G1016" s="196" t="s">
        <v>12378</v>
      </c>
      <c r="H1016" s="196" t="s">
        <v>11235</v>
      </c>
    </row>
    <row r="1017" spans="1:8" x14ac:dyDescent="0.15">
      <c r="A1017" s="196" t="s">
        <v>11229</v>
      </c>
      <c r="B1017" s="196" t="s">
        <v>11230</v>
      </c>
      <c r="C1017" s="196" t="s">
        <v>13496</v>
      </c>
      <c r="D1017" s="196" t="s">
        <v>13497</v>
      </c>
      <c r="E1017" s="196" t="s">
        <v>13498</v>
      </c>
      <c r="F1017" s="196" t="s">
        <v>11268</v>
      </c>
      <c r="G1017" s="196" t="s">
        <v>12378</v>
      </c>
      <c r="H1017" s="196" t="s">
        <v>11235</v>
      </c>
    </row>
    <row r="1018" spans="1:8" x14ac:dyDescent="0.15">
      <c r="A1018" s="196" t="s">
        <v>11229</v>
      </c>
      <c r="B1018" s="196" t="s">
        <v>11230</v>
      </c>
      <c r="C1018" s="196" t="s">
        <v>13499</v>
      </c>
      <c r="D1018" s="196" t="s">
        <v>13500</v>
      </c>
      <c r="E1018" s="196" t="s">
        <v>13501</v>
      </c>
      <c r="F1018" s="196" t="s">
        <v>11268</v>
      </c>
      <c r="G1018" s="196" t="s">
        <v>12378</v>
      </c>
      <c r="H1018" s="196" t="s">
        <v>11235</v>
      </c>
    </row>
    <row r="1019" spans="1:8" x14ac:dyDescent="0.15">
      <c r="A1019" s="196" t="s">
        <v>11229</v>
      </c>
      <c r="B1019" s="196" t="s">
        <v>11230</v>
      </c>
      <c r="C1019" s="196" t="s">
        <v>13502</v>
      </c>
      <c r="D1019" s="196" t="s">
        <v>13503</v>
      </c>
      <c r="E1019" s="196" t="s">
        <v>13503</v>
      </c>
      <c r="F1019" s="196" t="s">
        <v>11233</v>
      </c>
      <c r="G1019" s="196" t="s">
        <v>12378</v>
      </c>
      <c r="H1019" s="196" t="s">
        <v>11235</v>
      </c>
    </row>
    <row r="1020" spans="1:8" x14ac:dyDescent="0.15">
      <c r="A1020" s="196" t="s">
        <v>11229</v>
      </c>
      <c r="B1020" s="196" t="s">
        <v>11230</v>
      </c>
      <c r="C1020" s="196" t="s">
        <v>13504</v>
      </c>
      <c r="D1020" s="196" t="s">
        <v>13505</v>
      </c>
      <c r="E1020" s="196" t="s">
        <v>13506</v>
      </c>
      <c r="F1020" s="196" t="s">
        <v>11268</v>
      </c>
      <c r="G1020" s="196" t="s">
        <v>12378</v>
      </c>
      <c r="H1020" s="196" t="s">
        <v>11235</v>
      </c>
    </row>
    <row r="1021" spans="1:8" x14ac:dyDescent="0.15">
      <c r="A1021" s="196" t="s">
        <v>11229</v>
      </c>
      <c r="B1021" s="196" t="s">
        <v>11230</v>
      </c>
      <c r="C1021" s="196" t="s">
        <v>13507</v>
      </c>
      <c r="D1021" s="196" t="s">
        <v>13508</v>
      </c>
      <c r="E1021" s="196" t="s">
        <v>13508</v>
      </c>
      <c r="F1021" s="196" t="s">
        <v>11233</v>
      </c>
      <c r="G1021" s="196" t="s">
        <v>12378</v>
      </c>
      <c r="H1021" s="196" t="s">
        <v>11235</v>
      </c>
    </row>
    <row r="1022" spans="1:8" x14ac:dyDescent="0.15">
      <c r="A1022" s="196" t="s">
        <v>11229</v>
      </c>
      <c r="B1022" s="196" t="s">
        <v>11230</v>
      </c>
      <c r="C1022" s="196" t="s">
        <v>13509</v>
      </c>
      <c r="D1022" s="196" t="s">
        <v>13510</v>
      </c>
      <c r="E1022" s="196" t="s">
        <v>13510</v>
      </c>
      <c r="F1022" s="196" t="s">
        <v>11233</v>
      </c>
      <c r="G1022" s="196" t="s">
        <v>12378</v>
      </c>
      <c r="H1022" s="196" t="s">
        <v>11235</v>
      </c>
    </row>
    <row r="1023" spans="1:8" x14ac:dyDescent="0.15">
      <c r="A1023" s="196" t="s">
        <v>11229</v>
      </c>
      <c r="B1023" s="196" t="s">
        <v>11230</v>
      </c>
      <c r="C1023" s="196" t="s">
        <v>13511</v>
      </c>
      <c r="D1023" s="196" t="s">
        <v>13512</v>
      </c>
      <c r="E1023" s="196" t="s">
        <v>13512</v>
      </c>
      <c r="F1023" s="196" t="s">
        <v>11233</v>
      </c>
      <c r="G1023" s="196" t="s">
        <v>12378</v>
      </c>
      <c r="H1023" s="196" t="s">
        <v>11235</v>
      </c>
    </row>
    <row r="1024" spans="1:8" x14ac:dyDescent="0.15">
      <c r="A1024" s="196" t="s">
        <v>11229</v>
      </c>
      <c r="B1024" s="196" t="s">
        <v>11230</v>
      </c>
      <c r="C1024" s="196" t="s">
        <v>13513</v>
      </c>
      <c r="D1024" s="196" t="s">
        <v>13514</v>
      </c>
      <c r="E1024" s="196" t="s">
        <v>13514</v>
      </c>
      <c r="F1024" s="196" t="s">
        <v>11233</v>
      </c>
      <c r="G1024" s="196" t="s">
        <v>12378</v>
      </c>
      <c r="H1024" s="196" t="s">
        <v>11235</v>
      </c>
    </row>
    <row r="1025" spans="1:8" x14ac:dyDescent="0.15">
      <c r="A1025" s="196" t="s">
        <v>11229</v>
      </c>
      <c r="B1025" s="196" t="s">
        <v>11230</v>
      </c>
      <c r="C1025" s="196" t="s">
        <v>13515</v>
      </c>
      <c r="D1025" s="196" t="s">
        <v>13516</v>
      </c>
      <c r="E1025" s="196" t="s">
        <v>13516</v>
      </c>
      <c r="F1025" s="196" t="s">
        <v>11233</v>
      </c>
      <c r="G1025" s="196" t="s">
        <v>12378</v>
      </c>
      <c r="H1025" s="196" t="s">
        <v>11235</v>
      </c>
    </row>
    <row r="1026" spans="1:8" x14ac:dyDescent="0.15">
      <c r="A1026" s="196" t="s">
        <v>11229</v>
      </c>
      <c r="B1026" s="196" t="s">
        <v>11230</v>
      </c>
      <c r="C1026" s="196" t="s">
        <v>13517</v>
      </c>
      <c r="D1026" s="196" t="s">
        <v>13518</v>
      </c>
      <c r="E1026" s="196" t="s">
        <v>13518</v>
      </c>
      <c r="F1026" s="196" t="s">
        <v>11233</v>
      </c>
      <c r="G1026" s="196" t="s">
        <v>12378</v>
      </c>
      <c r="H1026" s="196" t="s">
        <v>11235</v>
      </c>
    </row>
    <row r="1027" spans="1:8" x14ac:dyDescent="0.15">
      <c r="A1027" s="196" t="s">
        <v>11229</v>
      </c>
      <c r="B1027" s="196" t="s">
        <v>11230</v>
      </c>
      <c r="C1027" s="196" t="s">
        <v>13519</v>
      </c>
      <c r="D1027" s="196" t="s">
        <v>13520</v>
      </c>
      <c r="E1027" s="196" t="s">
        <v>13521</v>
      </c>
      <c r="F1027" s="196" t="s">
        <v>13522</v>
      </c>
      <c r="G1027" s="196" t="s">
        <v>11962</v>
      </c>
      <c r="H1027" s="196" t="s">
        <v>11235</v>
      </c>
    </row>
    <row r="1028" spans="1:8" x14ac:dyDescent="0.15">
      <c r="A1028" s="196" t="s">
        <v>11229</v>
      </c>
      <c r="B1028" s="196" t="s">
        <v>11230</v>
      </c>
      <c r="C1028" s="196" t="s">
        <v>13523</v>
      </c>
      <c r="D1028" s="196" t="s">
        <v>13520</v>
      </c>
      <c r="E1028" s="196" t="s">
        <v>13520</v>
      </c>
      <c r="F1028" s="196" t="s">
        <v>11233</v>
      </c>
      <c r="G1028" s="196" t="s">
        <v>12378</v>
      </c>
      <c r="H1028" s="196" t="s">
        <v>11235</v>
      </c>
    </row>
    <row r="1029" spans="1:8" x14ac:dyDescent="0.15">
      <c r="A1029" s="196" t="s">
        <v>11229</v>
      </c>
      <c r="B1029" s="196" t="s">
        <v>11230</v>
      </c>
      <c r="C1029" s="196" t="s">
        <v>13524</v>
      </c>
      <c r="D1029" s="196" t="s">
        <v>13525</v>
      </c>
      <c r="E1029" s="196" t="s">
        <v>13525</v>
      </c>
      <c r="F1029" s="196" t="s">
        <v>11233</v>
      </c>
      <c r="G1029" s="196" t="s">
        <v>12378</v>
      </c>
      <c r="H1029" s="196" t="s">
        <v>11235</v>
      </c>
    </row>
    <row r="1030" spans="1:8" x14ac:dyDescent="0.15">
      <c r="A1030" s="196" t="s">
        <v>11229</v>
      </c>
      <c r="B1030" s="196" t="s">
        <v>11230</v>
      </c>
      <c r="C1030" s="196" t="s">
        <v>13526</v>
      </c>
      <c r="D1030" s="196" t="s">
        <v>13470</v>
      </c>
      <c r="E1030" s="196" t="s">
        <v>13527</v>
      </c>
      <c r="F1030" s="196" t="s">
        <v>13528</v>
      </c>
      <c r="G1030" s="196" t="s">
        <v>11720</v>
      </c>
      <c r="H1030" s="196" t="s">
        <v>11235</v>
      </c>
    </row>
    <row r="1031" spans="1:8" x14ac:dyDescent="0.15">
      <c r="A1031" s="196" t="s">
        <v>11229</v>
      </c>
      <c r="B1031" s="196" t="s">
        <v>11230</v>
      </c>
      <c r="C1031" s="196" t="s">
        <v>13529</v>
      </c>
      <c r="D1031" s="196" t="s">
        <v>13530</v>
      </c>
      <c r="E1031" s="196" t="s">
        <v>13531</v>
      </c>
      <c r="F1031" s="196" t="s">
        <v>13023</v>
      </c>
      <c r="G1031" s="196" t="s">
        <v>12378</v>
      </c>
      <c r="H1031" s="196" t="s">
        <v>11235</v>
      </c>
    </row>
    <row r="1032" spans="1:8" x14ac:dyDescent="0.15">
      <c r="A1032" s="196" t="s">
        <v>11229</v>
      </c>
      <c r="B1032" s="196" t="s">
        <v>11230</v>
      </c>
      <c r="C1032" s="196" t="s">
        <v>13532</v>
      </c>
      <c r="D1032" s="196" t="s">
        <v>13533</v>
      </c>
      <c r="E1032" s="196" t="s">
        <v>13534</v>
      </c>
      <c r="F1032" s="196" t="s">
        <v>13023</v>
      </c>
      <c r="G1032" s="196" t="s">
        <v>12378</v>
      </c>
      <c r="H1032" s="196" t="s">
        <v>11235</v>
      </c>
    </row>
    <row r="1033" spans="1:8" x14ac:dyDescent="0.15">
      <c r="A1033" s="196" t="s">
        <v>11229</v>
      </c>
      <c r="B1033" s="196" t="s">
        <v>11230</v>
      </c>
      <c r="C1033" s="196" t="s">
        <v>13535</v>
      </c>
      <c r="D1033" s="196" t="s">
        <v>13536</v>
      </c>
      <c r="E1033" s="196" t="s">
        <v>13537</v>
      </c>
      <c r="F1033" s="196" t="s">
        <v>11241</v>
      </c>
      <c r="G1033" s="196" t="s">
        <v>12378</v>
      </c>
      <c r="H1033" s="196" t="s">
        <v>11235</v>
      </c>
    </row>
    <row r="1034" spans="1:8" x14ac:dyDescent="0.15">
      <c r="A1034" s="196" t="s">
        <v>11229</v>
      </c>
      <c r="B1034" s="196" t="s">
        <v>11230</v>
      </c>
      <c r="C1034" s="196" t="s">
        <v>13538</v>
      </c>
      <c r="D1034" s="196" t="s">
        <v>13539</v>
      </c>
      <c r="E1034" s="196" t="s">
        <v>13540</v>
      </c>
      <c r="F1034" s="196" t="s">
        <v>13023</v>
      </c>
      <c r="G1034" s="196" t="s">
        <v>12378</v>
      </c>
      <c r="H1034" s="196" t="s">
        <v>11235</v>
      </c>
    </row>
    <row r="1035" spans="1:8" x14ac:dyDescent="0.15">
      <c r="A1035" s="196" t="s">
        <v>11229</v>
      </c>
      <c r="B1035" s="196" t="s">
        <v>11230</v>
      </c>
      <c r="C1035" s="196" t="s">
        <v>13541</v>
      </c>
      <c r="D1035" s="196" t="s">
        <v>13542</v>
      </c>
      <c r="E1035" s="196" t="s">
        <v>13543</v>
      </c>
      <c r="F1035" s="196" t="s">
        <v>11268</v>
      </c>
      <c r="G1035" s="196" t="s">
        <v>12378</v>
      </c>
      <c r="H1035" s="196" t="s">
        <v>11235</v>
      </c>
    </row>
    <row r="1036" spans="1:8" x14ac:dyDescent="0.15">
      <c r="A1036" s="196" t="s">
        <v>11229</v>
      </c>
      <c r="B1036" s="196" t="s">
        <v>11230</v>
      </c>
      <c r="C1036" s="196" t="s">
        <v>13544</v>
      </c>
      <c r="D1036" s="196" t="s">
        <v>13545</v>
      </c>
      <c r="E1036" s="196" t="s">
        <v>13546</v>
      </c>
      <c r="F1036" s="196" t="s">
        <v>13023</v>
      </c>
      <c r="G1036" s="196" t="s">
        <v>12378</v>
      </c>
      <c r="H1036" s="196" t="s">
        <v>11235</v>
      </c>
    </row>
    <row r="1037" spans="1:8" x14ac:dyDescent="0.15">
      <c r="A1037" s="196" t="s">
        <v>11229</v>
      </c>
      <c r="B1037" s="196" t="s">
        <v>11230</v>
      </c>
      <c r="C1037" s="196" t="s">
        <v>13547</v>
      </c>
      <c r="D1037" s="196" t="s">
        <v>13548</v>
      </c>
      <c r="E1037" s="196" t="s">
        <v>13549</v>
      </c>
      <c r="F1037" s="196" t="s">
        <v>13023</v>
      </c>
      <c r="G1037" s="196" t="s">
        <v>12378</v>
      </c>
      <c r="H1037" s="196" t="s">
        <v>11235</v>
      </c>
    </row>
    <row r="1038" spans="1:8" x14ac:dyDescent="0.15">
      <c r="A1038" s="196" t="s">
        <v>11229</v>
      </c>
      <c r="B1038" s="196" t="s">
        <v>11230</v>
      </c>
      <c r="C1038" s="196" t="s">
        <v>13550</v>
      </c>
      <c r="D1038" s="196" t="s">
        <v>13551</v>
      </c>
      <c r="E1038" s="196" t="s">
        <v>13552</v>
      </c>
      <c r="F1038" s="196" t="s">
        <v>12558</v>
      </c>
      <c r="G1038" s="196" t="s">
        <v>12378</v>
      </c>
      <c r="H1038" s="196" t="s">
        <v>11235</v>
      </c>
    </row>
    <row r="1039" spans="1:8" x14ac:dyDescent="0.15">
      <c r="A1039" s="196" t="s">
        <v>11229</v>
      </c>
      <c r="B1039" s="196" t="s">
        <v>11230</v>
      </c>
      <c r="C1039" s="196" t="s">
        <v>13553</v>
      </c>
      <c r="D1039" s="196" t="s">
        <v>13554</v>
      </c>
      <c r="E1039" s="196" t="s">
        <v>13555</v>
      </c>
      <c r="F1039" s="196" t="s">
        <v>13038</v>
      </c>
      <c r="G1039" s="196" t="s">
        <v>12378</v>
      </c>
      <c r="H1039" s="196" t="s">
        <v>11235</v>
      </c>
    </row>
    <row r="1040" spans="1:8" x14ac:dyDescent="0.15">
      <c r="A1040" s="196" t="s">
        <v>11229</v>
      </c>
      <c r="B1040" s="196" t="s">
        <v>11230</v>
      </c>
      <c r="C1040" s="196" t="s">
        <v>13556</v>
      </c>
      <c r="D1040" s="196" t="s">
        <v>13557</v>
      </c>
      <c r="E1040" s="196" t="s">
        <v>13558</v>
      </c>
      <c r="F1040" s="196" t="s">
        <v>13062</v>
      </c>
      <c r="G1040" s="196" t="s">
        <v>12378</v>
      </c>
      <c r="H1040" s="196" t="s">
        <v>11235</v>
      </c>
    </row>
    <row r="1041" spans="1:8" x14ac:dyDescent="0.15">
      <c r="A1041" s="196" t="s">
        <v>11229</v>
      </c>
      <c r="B1041" s="196" t="s">
        <v>11230</v>
      </c>
      <c r="C1041" s="196" t="s">
        <v>13559</v>
      </c>
      <c r="D1041" s="196" t="s">
        <v>13560</v>
      </c>
      <c r="E1041" s="196" t="s">
        <v>13561</v>
      </c>
      <c r="F1041" s="196" t="s">
        <v>12572</v>
      </c>
      <c r="G1041" s="196" t="s">
        <v>12378</v>
      </c>
      <c r="H1041" s="196" t="s">
        <v>11235</v>
      </c>
    </row>
    <row r="1042" spans="1:8" x14ac:dyDescent="0.15">
      <c r="A1042" s="196" t="s">
        <v>11229</v>
      </c>
      <c r="B1042" s="196" t="s">
        <v>11230</v>
      </c>
      <c r="C1042" s="196" t="s">
        <v>13562</v>
      </c>
      <c r="D1042" s="196" t="s">
        <v>13563</v>
      </c>
      <c r="E1042" s="196" t="s">
        <v>13563</v>
      </c>
      <c r="F1042" s="196" t="s">
        <v>11233</v>
      </c>
      <c r="G1042" s="196" t="s">
        <v>12378</v>
      </c>
      <c r="H1042" s="196" t="s">
        <v>11235</v>
      </c>
    </row>
    <row r="1043" spans="1:8" x14ac:dyDescent="0.15">
      <c r="A1043" s="196" t="s">
        <v>11229</v>
      </c>
      <c r="B1043" s="196" t="s">
        <v>11230</v>
      </c>
      <c r="C1043" s="196" t="s">
        <v>13564</v>
      </c>
      <c r="D1043" s="196" t="s">
        <v>13565</v>
      </c>
      <c r="E1043" s="196" t="s">
        <v>13566</v>
      </c>
      <c r="F1043" s="196" t="s">
        <v>13023</v>
      </c>
      <c r="G1043" s="196" t="s">
        <v>12378</v>
      </c>
      <c r="H1043" s="196" t="s">
        <v>11235</v>
      </c>
    </row>
    <row r="1044" spans="1:8" x14ac:dyDescent="0.15">
      <c r="A1044" s="196" t="s">
        <v>11229</v>
      </c>
      <c r="B1044" s="196" t="s">
        <v>11230</v>
      </c>
      <c r="C1044" s="196" t="s">
        <v>13567</v>
      </c>
      <c r="D1044" s="196" t="s">
        <v>13568</v>
      </c>
      <c r="E1044" s="196" t="s">
        <v>13569</v>
      </c>
      <c r="F1044" s="196" t="s">
        <v>13023</v>
      </c>
      <c r="G1044" s="196" t="s">
        <v>12378</v>
      </c>
      <c r="H1044" s="196" t="s">
        <v>11235</v>
      </c>
    </row>
    <row r="1045" spans="1:8" x14ac:dyDescent="0.15">
      <c r="A1045" s="196" t="s">
        <v>11229</v>
      </c>
      <c r="B1045" s="196" t="s">
        <v>11230</v>
      </c>
      <c r="C1045" s="196" t="s">
        <v>13570</v>
      </c>
      <c r="D1045" s="196" t="s">
        <v>13571</v>
      </c>
      <c r="E1045" s="196" t="s">
        <v>13527</v>
      </c>
      <c r="F1045" s="196" t="s">
        <v>13572</v>
      </c>
      <c r="G1045" s="196" t="s">
        <v>12378</v>
      </c>
      <c r="H1045" s="196" t="s">
        <v>11235</v>
      </c>
    </row>
    <row r="1046" spans="1:8" x14ac:dyDescent="0.15">
      <c r="A1046" s="196" t="s">
        <v>11229</v>
      </c>
      <c r="B1046" s="196" t="s">
        <v>11230</v>
      </c>
      <c r="C1046" s="196" t="s">
        <v>13573</v>
      </c>
      <c r="D1046" s="196" t="s">
        <v>13574</v>
      </c>
      <c r="E1046" s="196" t="s">
        <v>13575</v>
      </c>
      <c r="F1046" s="196" t="s">
        <v>13576</v>
      </c>
      <c r="G1046" s="196" t="s">
        <v>11720</v>
      </c>
      <c r="H1046" s="196" t="s">
        <v>11235</v>
      </c>
    </row>
    <row r="1047" spans="1:8" x14ac:dyDescent="0.15">
      <c r="A1047" s="196" t="s">
        <v>11229</v>
      </c>
      <c r="B1047" s="196" t="s">
        <v>11230</v>
      </c>
      <c r="C1047" s="196" t="s">
        <v>13577</v>
      </c>
      <c r="D1047" s="196" t="s">
        <v>13578</v>
      </c>
      <c r="E1047" s="196" t="s">
        <v>13578</v>
      </c>
      <c r="F1047" s="196" t="s">
        <v>11233</v>
      </c>
      <c r="G1047" s="196" t="s">
        <v>12378</v>
      </c>
      <c r="H1047" s="196" t="s">
        <v>11235</v>
      </c>
    </row>
    <row r="1048" spans="1:8" x14ac:dyDescent="0.15">
      <c r="A1048" s="196" t="s">
        <v>11229</v>
      </c>
      <c r="B1048" s="196" t="s">
        <v>11230</v>
      </c>
      <c r="C1048" s="196" t="s">
        <v>13579</v>
      </c>
      <c r="D1048" s="196" t="s">
        <v>13580</v>
      </c>
      <c r="E1048" s="196" t="s">
        <v>13580</v>
      </c>
      <c r="F1048" s="196" t="s">
        <v>11233</v>
      </c>
      <c r="G1048" s="196" t="s">
        <v>12378</v>
      </c>
      <c r="H1048" s="196" t="s">
        <v>11235</v>
      </c>
    </row>
    <row r="1049" spans="1:8" x14ac:dyDescent="0.15">
      <c r="A1049" s="196" t="s">
        <v>11229</v>
      </c>
      <c r="B1049" s="196" t="s">
        <v>11230</v>
      </c>
      <c r="C1049" s="196" t="s">
        <v>13581</v>
      </c>
      <c r="D1049" s="196" t="s">
        <v>13582</v>
      </c>
      <c r="E1049" s="196" t="s">
        <v>13582</v>
      </c>
      <c r="F1049" s="196" t="s">
        <v>11233</v>
      </c>
      <c r="G1049" s="196" t="s">
        <v>12378</v>
      </c>
      <c r="H1049" s="196" t="s">
        <v>11235</v>
      </c>
    </row>
    <row r="1050" spans="1:8" x14ac:dyDescent="0.15">
      <c r="A1050" s="196" t="s">
        <v>11229</v>
      </c>
      <c r="B1050" s="196" t="s">
        <v>11230</v>
      </c>
      <c r="C1050" s="196" t="s">
        <v>13583</v>
      </c>
      <c r="D1050" s="196" t="s">
        <v>13584</v>
      </c>
      <c r="E1050" s="196" t="s">
        <v>13584</v>
      </c>
      <c r="F1050" s="196" t="s">
        <v>11233</v>
      </c>
      <c r="G1050" s="196" t="s">
        <v>12378</v>
      </c>
      <c r="H1050" s="196" t="s">
        <v>11235</v>
      </c>
    </row>
    <row r="1051" spans="1:8" x14ac:dyDescent="0.15">
      <c r="A1051" s="196" t="s">
        <v>11229</v>
      </c>
      <c r="B1051" s="196" t="s">
        <v>11230</v>
      </c>
      <c r="C1051" s="196" t="s">
        <v>13585</v>
      </c>
      <c r="D1051" s="196" t="s">
        <v>13586</v>
      </c>
      <c r="E1051" s="196" t="s">
        <v>13586</v>
      </c>
      <c r="F1051" s="196" t="s">
        <v>11233</v>
      </c>
      <c r="G1051" s="196" t="s">
        <v>12378</v>
      </c>
      <c r="H1051" s="196" t="s">
        <v>11235</v>
      </c>
    </row>
    <row r="1052" spans="1:8" x14ac:dyDescent="0.15">
      <c r="A1052" s="196" t="s">
        <v>11229</v>
      </c>
      <c r="B1052" s="196" t="s">
        <v>11230</v>
      </c>
      <c r="C1052" s="196" t="s">
        <v>13587</v>
      </c>
      <c r="D1052" s="196" t="s">
        <v>13588</v>
      </c>
      <c r="E1052" s="196" t="s">
        <v>13588</v>
      </c>
      <c r="F1052" s="196" t="s">
        <v>11233</v>
      </c>
      <c r="G1052" s="196" t="s">
        <v>12378</v>
      </c>
      <c r="H1052" s="196" t="s">
        <v>11235</v>
      </c>
    </row>
    <row r="1053" spans="1:8" x14ac:dyDescent="0.15">
      <c r="A1053" s="196" t="s">
        <v>11229</v>
      </c>
      <c r="B1053" s="196" t="s">
        <v>11230</v>
      </c>
      <c r="C1053" s="196" t="s">
        <v>13589</v>
      </c>
      <c r="D1053" s="196" t="s">
        <v>13590</v>
      </c>
      <c r="E1053" s="196" t="s">
        <v>13591</v>
      </c>
      <c r="F1053" s="196" t="s">
        <v>11241</v>
      </c>
      <c r="G1053" s="196" t="s">
        <v>12378</v>
      </c>
      <c r="H1053" s="196" t="s">
        <v>11235</v>
      </c>
    </row>
    <row r="1054" spans="1:8" x14ac:dyDescent="0.15">
      <c r="A1054" s="196" t="s">
        <v>11229</v>
      </c>
      <c r="B1054" s="196" t="s">
        <v>11230</v>
      </c>
      <c r="C1054" s="196" t="s">
        <v>13592</v>
      </c>
      <c r="D1054" s="196" t="s">
        <v>13593</v>
      </c>
      <c r="E1054" s="196" t="s">
        <v>13594</v>
      </c>
      <c r="F1054" s="196" t="s">
        <v>11268</v>
      </c>
      <c r="G1054" s="196" t="s">
        <v>12378</v>
      </c>
      <c r="H1054" s="196" t="s">
        <v>11235</v>
      </c>
    </row>
    <row r="1055" spans="1:8" x14ac:dyDescent="0.15">
      <c r="A1055" s="196" t="s">
        <v>11229</v>
      </c>
      <c r="B1055" s="196" t="s">
        <v>11230</v>
      </c>
      <c r="C1055" s="196" t="s">
        <v>13595</v>
      </c>
      <c r="D1055" s="196" t="s">
        <v>13596</v>
      </c>
      <c r="E1055" s="196" t="s">
        <v>13597</v>
      </c>
      <c r="F1055" s="196" t="s">
        <v>11241</v>
      </c>
      <c r="G1055" s="196" t="s">
        <v>12378</v>
      </c>
      <c r="H1055" s="196" t="s">
        <v>11235</v>
      </c>
    </row>
    <row r="1056" spans="1:8" x14ac:dyDescent="0.15">
      <c r="A1056" s="196" t="s">
        <v>11229</v>
      </c>
      <c r="B1056" s="196" t="s">
        <v>11230</v>
      </c>
      <c r="C1056" s="196" t="s">
        <v>13598</v>
      </c>
      <c r="D1056" s="196" t="s">
        <v>13599</v>
      </c>
      <c r="E1056" s="196" t="s">
        <v>13599</v>
      </c>
      <c r="F1056" s="196" t="s">
        <v>11233</v>
      </c>
      <c r="G1056" s="196" t="s">
        <v>12378</v>
      </c>
      <c r="H1056" s="196" t="s">
        <v>11235</v>
      </c>
    </row>
    <row r="1057" spans="1:8" x14ac:dyDescent="0.15">
      <c r="A1057" s="196" t="s">
        <v>11229</v>
      </c>
      <c r="B1057" s="196" t="s">
        <v>11230</v>
      </c>
      <c r="C1057" s="196" t="s">
        <v>13600</v>
      </c>
      <c r="D1057" s="196" t="s">
        <v>13601</v>
      </c>
      <c r="E1057" s="196" t="s">
        <v>13602</v>
      </c>
      <c r="F1057" s="196" t="s">
        <v>11268</v>
      </c>
      <c r="G1057" s="196" t="s">
        <v>12378</v>
      </c>
      <c r="H1057" s="196" t="s">
        <v>11235</v>
      </c>
    </row>
    <row r="1058" spans="1:8" x14ac:dyDescent="0.15">
      <c r="A1058" s="196" t="s">
        <v>11229</v>
      </c>
      <c r="B1058" s="196" t="s">
        <v>11230</v>
      </c>
      <c r="C1058" s="196" t="s">
        <v>13603</v>
      </c>
      <c r="D1058" s="196" t="s">
        <v>13604</v>
      </c>
      <c r="E1058" s="196" t="s">
        <v>13604</v>
      </c>
      <c r="F1058" s="196" t="s">
        <v>11233</v>
      </c>
      <c r="G1058" s="196" t="s">
        <v>12378</v>
      </c>
      <c r="H1058" s="196" t="s">
        <v>11235</v>
      </c>
    </row>
    <row r="1059" spans="1:8" x14ac:dyDescent="0.15">
      <c r="A1059" s="196" t="s">
        <v>11229</v>
      </c>
      <c r="B1059" s="196" t="s">
        <v>11230</v>
      </c>
      <c r="C1059" s="196" t="s">
        <v>13605</v>
      </c>
      <c r="D1059" s="196" t="s">
        <v>13606</v>
      </c>
      <c r="E1059" s="196" t="s">
        <v>13606</v>
      </c>
      <c r="F1059" s="196" t="s">
        <v>11233</v>
      </c>
      <c r="G1059" s="196" t="s">
        <v>12378</v>
      </c>
      <c r="H1059" s="196" t="s">
        <v>11235</v>
      </c>
    </row>
    <row r="1060" spans="1:8" x14ac:dyDescent="0.15">
      <c r="A1060" s="196" t="s">
        <v>11229</v>
      </c>
      <c r="B1060" s="196" t="s">
        <v>11230</v>
      </c>
      <c r="C1060" s="196" t="s">
        <v>13607</v>
      </c>
      <c r="D1060" s="196" t="s">
        <v>13608</v>
      </c>
      <c r="E1060" s="196" t="s">
        <v>13608</v>
      </c>
      <c r="F1060" s="196" t="s">
        <v>11233</v>
      </c>
      <c r="G1060" s="196" t="s">
        <v>12378</v>
      </c>
      <c r="H1060" s="196" t="s">
        <v>11235</v>
      </c>
    </row>
    <row r="1061" spans="1:8" x14ac:dyDescent="0.15">
      <c r="A1061" s="196" t="s">
        <v>11229</v>
      </c>
      <c r="B1061" s="196" t="s">
        <v>11230</v>
      </c>
      <c r="C1061" s="196" t="s">
        <v>13609</v>
      </c>
      <c r="D1061" s="196" t="s">
        <v>13610</v>
      </c>
      <c r="E1061" s="196" t="s">
        <v>13610</v>
      </c>
      <c r="F1061" s="196" t="s">
        <v>11233</v>
      </c>
      <c r="G1061" s="196" t="s">
        <v>12378</v>
      </c>
      <c r="H1061" s="196" t="s">
        <v>11235</v>
      </c>
    </row>
    <row r="1062" spans="1:8" x14ac:dyDescent="0.15">
      <c r="A1062" s="196" t="s">
        <v>11229</v>
      </c>
      <c r="B1062" s="196" t="s">
        <v>11230</v>
      </c>
      <c r="C1062" s="196" t="s">
        <v>13611</v>
      </c>
      <c r="D1062" s="196" t="s">
        <v>13612</v>
      </c>
      <c r="E1062" s="196" t="s">
        <v>13612</v>
      </c>
      <c r="F1062" s="196" t="s">
        <v>11233</v>
      </c>
      <c r="G1062" s="196" t="s">
        <v>12378</v>
      </c>
      <c r="H1062" s="196" t="s">
        <v>11235</v>
      </c>
    </row>
    <row r="1063" spans="1:8" x14ac:dyDescent="0.15">
      <c r="A1063" s="196" t="s">
        <v>11229</v>
      </c>
      <c r="B1063" s="196" t="s">
        <v>11230</v>
      </c>
      <c r="C1063" s="196" t="s">
        <v>13613</v>
      </c>
      <c r="D1063" s="196" t="s">
        <v>13614</v>
      </c>
      <c r="E1063" s="196" t="s">
        <v>13614</v>
      </c>
      <c r="F1063" s="196" t="s">
        <v>11233</v>
      </c>
      <c r="G1063" s="196" t="s">
        <v>12378</v>
      </c>
      <c r="H1063" s="196" t="s">
        <v>11235</v>
      </c>
    </row>
    <row r="1064" spans="1:8" x14ac:dyDescent="0.15">
      <c r="A1064" s="196" t="s">
        <v>11229</v>
      </c>
      <c r="B1064" s="196" t="s">
        <v>11230</v>
      </c>
      <c r="C1064" s="196" t="s">
        <v>13615</v>
      </c>
      <c r="D1064" s="196" t="s">
        <v>13616</v>
      </c>
      <c r="E1064" s="196" t="s">
        <v>13616</v>
      </c>
      <c r="F1064" s="196" t="s">
        <v>11233</v>
      </c>
      <c r="G1064" s="196" t="s">
        <v>12378</v>
      </c>
      <c r="H1064" s="196" t="s">
        <v>11235</v>
      </c>
    </row>
    <row r="1065" spans="1:8" x14ac:dyDescent="0.15">
      <c r="A1065" s="196" t="s">
        <v>11229</v>
      </c>
      <c r="B1065" s="196" t="s">
        <v>11230</v>
      </c>
      <c r="C1065" s="196" t="s">
        <v>13617</v>
      </c>
      <c r="D1065" s="196" t="s">
        <v>13618</v>
      </c>
      <c r="E1065" s="196" t="s">
        <v>13618</v>
      </c>
      <c r="F1065" s="196" t="s">
        <v>11233</v>
      </c>
      <c r="G1065" s="196" t="s">
        <v>12378</v>
      </c>
      <c r="H1065" s="196" t="s">
        <v>11235</v>
      </c>
    </row>
    <row r="1066" spans="1:8" x14ac:dyDescent="0.15">
      <c r="A1066" s="196" t="s">
        <v>11229</v>
      </c>
      <c r="B1066" s="196" t="s">
        <v>11230</v>
      </c>
      <c r="C1066" s="196" t="s">
        <v>13619</v>
      </c>
      <c r="D1066" s="196" t="s">
        <v>13620</v>
      </c>
      <c r="E1066" s="196" t="s">
        <v>13620</v>
      </c>
      <c r="F1066" s="196" t="s">
        <v>11233</v>
      </c>
      <c r="G1066" s="196" t="s">
        <v>12378</v>
      </c>
      <c r="H1066" s="196" t="s">
        <v>11235</v>
      </c>
    </row>
    <row r="1067" spans="1:8" x14ac:dyDescent="0.15">
      <c r="A1067" s="196" t="s">
        <v>11229</v>
      </c>
      <c r="B1067" s="196" t="s">
        <v>11230</v>
      </c>
      <c r="C1067" s="196" t="s">
        <v>13621</v>
      </c>
      <c r="D1067" s="196" t="s">
        <v>13622</v>
      </c>
      <c r="E1067" s="196" t="s">
        <v>13623</v>
      </c>
      <c r="F1067" s="196" t="s">
        <v>11241</v>
      </c>
      <c r="G1067" s="196" t="s">
        <v>12378</v>
      </c>
      <c r="H1067" s="196" t="s">
        <v>11235</v>
      </c>
    </row>
    <row r="1068" spans="1:8" x14ac:dyDescent="0.15">
      <c r="A1068" s="196" t="s">
        <v>11229</v>
      </c>
      <c r="B1068" s="196" t="s">
        <v>11230</v>
      </c>
      <c r="C1068" s="196" t="s">
        <v>13624</v>
      </c>
      <c r="D1068" s="196" t="s">
        <v>13623</v>
      </c>
      <c r="E1068" s="196" t="s">
        <v>13625</v>
      </c>
      <c r="F1068" s="196" t="s">
        <v>11241</v>
      </c>
      <c r="G1068" s="196" t="s">
        <v>12378</v>
      </c>
      <c r="H1068" s="196" t="s">
        <v>11235</v>
      </c>
    </row>
    <row r="1069" spans="1:8" x14ac:dyDescent="0.15">
      <c r="A1069" s="196" t="s">
        <v>11229</v>
      </c>
      <c r="B1069" s="196" t="s">
        <v>11230</v>
      </c>
      <c r="C1069" s="196" t="s">
        <v>13626</v>
      </c>
      <c r="D1069" s="196" t="s">
        <v>13623</v>
      </c>
      <c r="E1069" s="196" t="s">
        <v>13625</v>
      </c>
      <c r="F1069" s="196" t="s">
        <v>11241</v>
      </c>
      <c r="G1069" s="196" t="s">
        <v>11720</v>
      </c>
      <c r="H1069" s="196" t="s">
        <v>11235</v>
      </c>
    </row>
    <row r="1070" spans="1:8" x14ac:dyDescent="0.15">
      <c r="A1070" s="196" t="s">
        <v>11229</v>
      </c>
      <c r="B1070" s="196" t="s">
        <v>11230</v>
      </c>
      <c r="C1070" s="196" t="s">
        <v>13627</v>
      </c>
      <c r="D1070" s="196" t="s">
        <v>13628</v>
      </c>
      <c r="E1070" s="196" t="s">
        <v>13628</v>
      </c>
      <c r="F1070" s="196" t="s">
        <v>11233</v>
      </c>
      <c r="G1070" s="196" t="s">
        <v>11720</v>
      </c>
      <c r="H1070" s="196" t="s">
        <v>11235</v>
      </c>
    </row>
    <row r="1071" spans="1:8" x14ac:dyDescent="0.15">
      <c r="A1071" s="196" t="s">
        <v>11229</v>
      </c>
      <c r="B1071" s="196" t="s">
        <v>11230</v>
      </c>
      <c r="C1071" s="196" t="s">
        <v>13629</v>
      </c>
      <c r="D1071" s="196" t="s">
        <v>13630</v>
      </c>
      <c r="E1071" s="196" t="s">
        <v>13630</v>
      </c>
      <c r="F1071" s="196" t="s">
        <v>11233</v>
      </c>
      <c r="G1071" s="196" t="s">
        <v>11720</v>
      </c>
      <c r="H1071" s="196" t="s">
        <v>11235</v>
      </c>
    </row>
    <row r="1072" spans="1:8" x14ac:dyDescent="0.15">
      <c r="A1072" s="196" t="s">
        <v>11229</v>
      </c>
      <c r="B1072" s="196" t="s">
        <v>11230</v>
      </c>
      <c r="C1072" s="196" t="s">
        <v>13631</v>
      </c>
      <c r="D1072" s="196" t="s">
        <v>13632</v>
      </c>
      <c r="E1072" s="196" t="s">
        <v>13633</v>
      </c>
      <c r="F1072" s="196" t="s">
        <v>11241</v>
      </c>
      <c r="G1072" s="196" t="s">
        <v>12378</v>
      </c>
      <c r="H1072" s="196" t="s">
        <v>11235</v>
      </c>
    </row>
    <row r="1073" spans="1:8" x14ac:dyDescent="0.15">
      <c r="A1073" s="196" t="s">
        <v>11229</v>
      </c>
      <c r="B1073" s="196" t="s">
        <v>11230</v>
      </c>
      <c r="C1073" s="196" t="s">
        <v>13634</v>
      </c>
      <c r="D1073" s="196" t="s">
        <v>13635</v>
      </c>
      <c r="E1073" s="196" t="s">
        <v>13636</v>
      </c>
      <c r="F1073" s="196" t="s">
        <v>13250</v>
      </c>
      <c r="G1073" s="196" t="s">
        <v>11720</v>
      </c>
      <c r="H1073" s="196" t="s">
        <v>11235</v>
      </c>
    </row>
    <row r="1074" spans="1:8" x14ac:dyDescent="0.15">
      <c r="A1074" s="196" t="s">
        <v>11229</v>
      </c>
      <c r="B1074" s="196" t="s">
        <v>11230</v>
      </c>
      <c r="C1074" s="196" t="s">
        <v>13637</v>
      </c>
      <c r="D1074" s="196" t="s">
        <v>13638</v>
      </c>
      <c r="E1074" s="196" t="s">
        <v>13638</v>
      </c>
      <c r="F1074" s="196" t="s">
        <v>11233</v>
      </c>
      <c r="G1074" s="196" t="s">
        <v>12378</v>
      </c>
      <c r="H1074" s="196" t="s">
        <v>11235</v>
      </c>
    </row>
    <row r="1075" spans="1:8" x14ac:dyDescent="0.15">
      <c r="A1075" s="196" t="s">
        <v>11229</v>
      </c>
      <c r="B1075" s="196" t="s">
        <v>11230</v>
      </c>
      <c r="C1075" s="196" t="s">
        <v>13639</v>
      </c>
      <c r="D1075" s="196" t="s">
        <v>13640</v>
      </c>
      <c r="E1075" s="196" t="s">
        <v>13640</v>
      </c>
      <c r="F1075" s="196" t="s">
        <v>11233</v>
      </c>
      <c r="G1075" s="196" t="s">
        <v>11720</v>
      </c>
      <c r="H1075" s="196" t="s">
        <v>11235</v>
      </c>
    </row>
    <row r="1076" spans="1:8" x14ac:dyDescent="0.15">
      <c r="A1076" s="196" t="s">
        <v>11229</v>
      </c>
      <c r="B1076" s="196" t="s">
        <v>11230</v>
      </c>
      <c r="C1076" s="196" t="s">
        <v>13641</v>
      </c>
      <c r="D1076" s="196" t="s">
        <v>13642</v>
      </c>
      <c r="E1076" s="196" t="s">
        <v>13643</v>
      </c>
      <c r="F1076" s="196" t="s">
        <v>13644</v>
      </c>
      <c r="G1076" s="196" t="s">
        <v>11962</v>
      </c>
      <c r="H1076" s="196" t="s">
        <v>11235</v>
      </c>
    </row>
    <row r="1077" spans="1:8" x14ac:dyDescent="0.15">
      <c r="A1077" s="196" t="s">
        <v>11229</v>
      </c>
      <c r="B1077" s="196" t="s">
        <v>11230</v>
      </c>
      <c r="C1077" s="196" t="s">
        <v>13645</v>
      </c>
      <c r="D1077" s="196" t="s">
        <v>13646</v>
      </c>
      <c r="E1077" s="196" t="s">
        <v>13646</v>
      </c>
      <c r="F1077" s="196" t="s">
        <v>11233</v>
      </c>
      <c r="G1077" s="196" t="s">
        <v>12378</v>
      </c>
      <c r="H1077" s="196" t="s">
        <v>11235</v>
      </c>
    </row>
    <row r="1078" spans="1:8" x14ac:dyDescent="0.15">
      <c r="A1078" s="196" t="s">
        <v>11229</v>
      </c>
      <c r="B1078" s="196" t="s">
        <v>11230</v>
      </c>
      <c r="C1078" s="196" t="s">
        <v>13647</v>
      </c>
      <c r="D1078" s="196" t="s">
        <v>13648</v>
      </c>
      <c r="E1078" s="196" t="s">
        <v>13648</v>
      </c>
      <c r="F1078" s="196" t="s">
        <v>11233</v>
      </c>
      <c r="G1078" s="196" t="s">
        <v>12378</v>
      </c>
      <c r="H1078" s="196" t="s">
        <v>11235</v>
      </c>
    </row>
    <row r="1079" spans="1:8" x14ac:dyDescent="0.15">
      <c r="A1079" s="196" t="s">
        <v>11229</v>
      </c>
      <c r="B1079" s="196" t="s">
        <v>11230</v>
      </c>
      <c r="C1079" s="196" t="s">
        <v>13649</v>
      </c>
      <c r="D1079" s="196" t="s">
        <v>13650</v>
      </c>
      <c r="E1079" s="196" t="s">
        <v>13650</v>
      </c>
      <c r="F1079" s="196" t="s">
        <v>11233</v>
      </c>
      <c r="G1079" s="196" t="s">
        <v>11720</v>
      </c>
      <c r="H1079" s="196" t="s">
        <v>11235</v>
      </c>
    </row>
    <row r="1080" spans="1:8" x14ac:dyDescent="0.15">
      <c r="A1080" s="196" t="s">
        <v>11229</v>
      </c>
      <c r="B1080" s="196" t="s">
        <v>11230</v>
      </c>
      <c r="C1080" s="196" t="s">
        <v>13651</v>
      </c>
      <c r="D1080" s="196" t="s">
        <v>13652</v>
      </c>
      <c r="E1080" s="196" t="s">
        <v>13653</v>
      </c>
      <c r="F1080" s="196" t="s">
        <v>11241</v>
      </c>
      <c r="G1080" s="196" t="s">
        <v>11720</v>
      </c>
      <c r="H1080" s="196" t="s">
        <v>11235</v>
      </c>
    </row>
    <row r="1081" spans="1:8" x14ac:dyDescent="0.15">
      <c r="A1081" s="196" t="s">
        <v>11229</v>
      </c>
      <c r="B1081" s="196" t="s">
        <v>11230</v>
      </c>
      <c r="C1081" s="196" t="s">
        <v>13654</v>
      </c>
      <c r="D1081" s="196" t="s">
        <v>13655</v>
      </c>
      <c r="E1081" s="196" t="s">
        <v>13655</v>
      </c>
      <c r="F1081" s="196" t="s">
        <v>11233</v>
      </c>
      <c r="G1081" s="196" t="s">
        <v>11720</v>
      </c>
      <c r="H1081" s="196" t="s">
        <v>11235</v>
      </c>
    </row>
    <row r="1082" spans="1:8" x14ac:dyDescent="0.15">
      <c r="A1082" s="196" t="s">
        <v>11229</v>
      </c>
      <c r="B1082" s="196" t="s">
        <v>11230</v>
      </c>
      <c r="C1082" s="196" t="s">
        <v>13656</v>
      </c>
      <c r="D1082" s="196" t="s">
        <v>13657</v>
      </c>
      <c r="E1082" s="196" t="s">
        <v>13657</v>
      </c>
      <c r="F1082" s="196" t="s">
        <v>11233</v>
      </c>
      <c r="G1082" s="196" t="s">
        <v>11720</v>
      </c>
      <c r="H1082" s="196" t="s">
        <v>11235</v>
      </c>
    </row>
    <row r="1083" spans="1:8" x14ac:dyDescent="0.15">
      <c r="A1083" s="196" t="s">
        <v>11229</v>
      </c>
      <c r="B1083" s="196" t="s">
        <v>11230</v>
      </c>
      <c r="C1083" s="196" t="s">
        <v>13658</v>
      </c>
      <c r="D1083" s="196" t="s">
        <v>13659</v>
      </c>
      <c r="E1083" s="196" t="s">
        <v>13659</v>
      </c>
      <c r="F1083" s="196" t="s">
        <v>11233</v>
      </c>
      <c r="G1083" s="196" t="s">
        <v>11720</v>
      </c>
      <c r="H1083" s="196" t="s">
        <v>11235</v>
      </c>
    </row>
    <row r="1084" spans="1:8" x14ac:dyDescent="0.15">
      <c r="A1084" s="196" t="s">
        <v>11229</v>
      </c>
      <c r="B1084" s="196" t="s">
        <v>11230</v>
      </c>
      <c r="C1084" s="196" t="s">
        <v>13660</v>
      </c>
      <c r="D1084" s="196" t="s">
        <v>13661</v>
      </c>
      <c r="E1084" s="196" t="s">
        <v>13661</v>
      </c>
      <c r="F1084" s="196" t="s">
        <v>11233</v>
      </c>
      <c r="G1084" s="196" t="s">
        <v>11720</v>
      </c>
      <c r="H1084" s="196" t="s">
        <v>11235</v>
      </c>
    </row>
    <row r="1085" spans="1:8" x14ac:dyDescent="0.15">
      <c r="A1085" s="196" t="s">
        <v>11229</v>
      </c>
      <c r="B1085" s="196" t="s">
        <v>11230</v>
      </c>
      <c r="C1085" s="196" t="s">
        <v>13662</v>
      </c>
      <c r="D1085" s="196" t="s">
        <v>13663</v>
      </c>
      <c r="E1085" s="196" t="s">
        <v>13663</v>
      </c>
      <c r="F1085" s="196" t="s">
        <v>11233</v>
      </c>
      <c r="G1085" s="196" t="s">
        <v>11720</v>
      </c>
      <c r="H1085" s="196" t="s">
        <v>11235</v>
      </c>
    </row>
    <row r="1086" spans="1:8" x14ac:dyDescent="0.15">
      <c r="A1086" s="196" t="s">
        <v>11229</v>
      </c>
      <c r="B1086" s="196" t="s">
        <v>11230</v>
      </c>
      <c r="C1086" s="196" t="s">
        <v>13664</v>
      </c>
      <c r="D1086" s="196" t="s">
        <v>13665</v>
      </c>
      <c r="E1086" s="196" t="s">
        <v>13665</v>
      </c>
      <c r="F1086" s="196" t="s">
        <v>11233</v>
      </c>
      <c r="G1086" s="196" t="s">
        <v>11720</v>
      </c>
      <c r="H1086" s="196" t="s">
        <v>11235</v>
      </c>
    </row>
    <row r="1087" spans="1:8" x14ac:dyDescent="0.15">
      <c r="A1087" s="196" t="s">
        <v>11229</v>
      </c>
      <c r="B1087" s="196" t="s">
        <v>11230</v>
      </c>
      <c r="C1087" s="196" t="s">
        <v>13666</v>
      </c>
      <c r="D1087" s="196" t="s">
        <v>13667</v>
      </c>
      <c r="E1087" s="196" t="s">
        <v>13667</v>
      </c>
      <c r="F1087" s="196" t="s">
        <v>11233</v>
      </c>
      <c r="G1087" s="196" t="s">
        <v>11720</v>
      </c>
      <c r="H1087" s="196" t="s">
        <v>11235</v>
      </c>
    </row>
    <row r="1088" spans="1:8" x14ac:dyDescent="0.15">
      <c r="A1088" s="196" t="s">
        <v>11229</v>
      </c>
      <c r="B1088" s="196" t="s">
        <v>11230</v>
      </c>
      <c r="C1088" s="196" t="s">
        <v>13668</v>
      </c>
      <c r="D1088" s="196" t="s">
        <v>13667</v>
      </c>
      <c r="E1088" s="196" t="s">
        <v>13667</v>
      </c>
      <c r="F1088" s="196" t="s">
        <v>11233</v>
      </c>
      <c r="G1088" s="196" t="s">
        <v>12378</v>
      </c>
      <c r="H1088" s="196" t="s">
        <v>11235</v>
      </c>
    </row>
    <row r="1089" spans="1:8" x14ac:dyDescent="0.15">
      <c r="A1089" s="196" t="s">
        <v>11229</v>
      </c>
      <c r="B1089" s="196" t="s">
        <v>11230</v>
      </c>
      <c r="C1089" s="196" t="s">
        <v>13669</v>
      </c>
      <c r="D1089" s="196" t="s">
        <v>13670</v>
      </c>
      <c r="E1089" s="196" t="s">
        <v>13670</v>
      </c>
      <c r="F1089" s="196" t="s">
        <v>11233</v>
      </c>
      <c r="G1089" s="196" t="s">
        <v>12378</v>
      </c>
      <c r="H1089" s="196" t="s">
        <v>11235</v>
      </c>
    </row>
    <row r="1090" spans="1:8" x14ac:dyDescent="0.15">
      <c r="A1090" s="196" t="s">
        <v>11229</v>
      </c>
      <c r="B1090" s="196" t="s">
        <v>11230</v>
      </c>
      <c r="C1090" s="196" t="s">
        <v>13671</v>
      </c>
      <c r="D1090" s="196" t="s">
        <v>13670</v>
      </c>
      <c r="E1090" s="196" t="s">
        <v>13670</v>
      </c>
      <c r="F1090" s="196" t="s">
        <v>11233</v>
      </c>
      <c r="G1090" s="196" t="s">
        <v>11720</v>
      </c>
      <c r="H1090" s="196" t="s">
        <v>11235</v>
      </c>
    </row>
    <row r="1091" spans="1:8" x14ac:dyDescent="0.15">
      <c r="A1091" s="196" t="s">
        <v>11229</v>
      </c>
      <c r="B1091" s="196" t="s">
        <v>11230</v>
      </c>
      <c r="C1091" s="196" t="s">
        <v>13672</v>
      </c>
      <c r="D1091" s="196" t="s">
        <v>13673</v>
      </c>
      <c r="E1091" s="196" t="s">
        <v>13673</v>
      </c>
      <c r="F1091" s="196" t="s">
        <v>11233</v>
      </c>
      <c r="G1091" s="196" t="s">
        <v>12378</v>
      </c>
      <c r="H1091" s="196" t="s">
        <v>11235</v>
      </c>
    </row>
    <row r="1092" spans="1:8" x14ac:dyDescent="0.15">
      <c r="A1092" s="196" t="s">
        <v>11229</v>
      </c>
      <c r="B1092" s="196" t="s">
        <v>11230</v>
      </c>
      <c r="C1092" s="196" t="s">
        <v>13674</v>
      </c>
      <c r="D1092" s="196" t="s">
        <v>13673</v>
      </c>
      <c r="E1092" s="196" t="s">
        <v>13675</v>
      </c>
      <c r="F1092" s="196" t="s">
        <v>11241</v>
      </c>
      <c r="G1092" s="196" t="s">
        <v>11720</v>
      </c>
      <c r="H1092" s="196" t="s">
        <v>11235</v>
      </c>
    </row>
    <row r="1093" spans="1:8" x14ac:dyDescent="0.15">
      <c r="A1093" s="196" t="s">
        <v>11229</v>
      </c>
      <c r="B1093" s="196" t="s">
        <v>11230</v>
      </c>
      <c r="C1093" s="196" t="s">
        <v>13676</v>
      </c>
      <c r="D1093" s="196" t="s">
        <v>13675</v>
      </c>
      <c r="E1093" s="196" t="s">
        <v>13677</v>
      </c>
      <c r="F1093" s="196" t="s">
        <v>11241</v>
      </c>
      <c r="G1093" s="196" t="s">
        <v>11720</v>
      </c>
      <c r="H1093" s="196" t="s">
        <v>11235</v>
      </c>
    </row>
    <row r="1094" spans="1:8" x14ac:dyDescent="0.15">
      <c r="A1094" s="196" t="s">
        <v>11229</v>
      </c>
      <c r="B1094" s="196" t="s">
        <v>11230</v>
      </c>
      <c r="C1094" s="196" t="s">
        <v>13678</v>
      </c>
      <c r="D1094" s="196" t="s">
        <v>13679</v>
      </c>
      <c r="E1094" s="196" t="s">
        <v>13679</v>
      </c>
      <c r="F1094" s="196" t="s">
        <v>11233</v>
      </c>
      <c r="G1094" s="196" t="s">
        <v>11720</v>
      </c>
      <c r="H1094" s="196" t="s">
        <v>11235</v>
      </c>
    </row>
    <row r="1095" spans="1:8" x14ac:dyDescent="0.15">
      <c r="A1095" s="196" t="s">
        <v>11229</v>
      </c>
      <c r="B1095" s="196" t="s">
        <v>11230</v>
      </c>
      <c r="C1095" s="196" t="s">
        <v>13680</v>
      </c>
      <c r="D1095" s="196" t="s">
        <v>13681</v>
      </c>
      <c r="E1095" s="196" t="s">
        <v>13682</v>
      </c>
      <c r="F1095" s="196" t="s">
        <v>11268</v>
      </c>
      <c r="G1095" s="196" t="s">
        <v>12378</v>
      </c>
      <c r="H1095" s="196" t="s">
        <v>11235</v>
      </c>
    </row>
    <row r="1096" spans="1:8" x14ac:dyDescent="0.15">
      <c r="A1096" s="196" t="s">
        <v>11229</v>
      </c>
      <c r="B1096" s="196" t="s">
        <v>11230</v>
      </c>
      <c r="C1096" s="196" t="s">
        <v>13683</v>
      </c>
      <c r="D1096" s="196" t="s">
        <v>13684</v>
      </c>
      <c r="E1096" s="196" t="s">
        <v>13685</v>
      </c>
      <c r="F1096" s="196" t="s">
        <v>13023</v>
      </c>
      <c r="G1096" s="196" t="s">
        <v>12378</v>
      </c>
      <c r="H1096" s="196" t="s">
        <v>11235</v>
      </c>
    </row>
    <row r="1097" spans="1:8" x14ac:dyDescent="0.15">
      <c r="A1097" s="196" t="s">
        <v>11229</v>
      </c>
      <c r="B1097" s="196" t="s">
        <v>11230</v>
      </c>
      <c r="C1097" s="196" t="s">
        <v>13686</v>
      </c>
      <c r="D1097" s="196" t="s">
        <v>13685</v>
      </c>
      <c r="E1097" s="196" t="s">
        <v>13685</v>
      </c>
      <c r="F1097" s="196" t="s">
        <v>11233</v>
      </c>
      <c r="G1097" s="196" t="s">
        <v>11720</v>
      </c>
      <c r="H1097" s="196" t="s">
        <v>11235</v>
      </c>
    </row>
    <row r="1098" spans="1:8" x14ac:dyDescent="0.15">
      <c r="A1098" s="196" t="s">
        <v>11229</v>
      </c>
      <c r="B1098" s="196" t="s">
        <v>11230</v>
      </c>
      <c r="C1098" s="196" t="s">
        <v>13687</v>
      </c>
      <c r="D1098" s="196" t="s">
        <v>13688</v>
      </c>
      <c r="E1098" s="196" t="s">
        <v>13689</v>
      </c>
      <c r="F1098" s="196" t="s">
        <v>11241</v>
      </c>
      <c r="G1098" s="196" t="s">
        <v>11720</v>
      </c>
      <c r="H1098" s="196" t="s">
        <v>11235</v>
      </c>
    </row>
    <row r="1099" spans="1:8" x14ac:dyDescent="0.15">
      <c r="A1099" s="196" t="s">
        <v>11229</v>
      </c>
      <c r="B1099" s="196" t="s">
        <v>11230</v>
      </c>
      <c r="C1099" s="196" t="s">
        <v>13690</v>
      </c>
      <c r="D1099" s="196" t="s">
        <v>13691</v>
      </c>
      <c r="E1099" s="196" t="s">
        <v>13691</v>
      </c>
      <c r="F1099" s="196" t="s">
        <v>11233</v>
      </c>
      <c r="G1099" s="196" t="s">
        <v>12378</v>
      </c>
      <c r="H1099" s="196" t="s">
        <v>11235</v>
      </c>
    </row>
    <row r="1100" spans="1:8" x14ac:dyDescent="0.15">
      <c r="A1100" s="196" t="s">
        <v>11229</v>
      </c>
      <c r="B1100" s="196" t="s">
        <v>11230</v>
      </c>
      <c r="C1100" s="196" t="s">
        <v>13692</v>
      </c>
      <c r="D1100" s="196" t="s">
        <v>13693</v>
      </c>
      <c r="E1100" s="196" t="s">
        <v>13693</v>
      </c>
      <c r="F1100" s="196" t="s">
        <v>11233</v>
      </c>
      <c r="G1100" s="196" t="s">
        <v>12378</v>
      </c>
      <c r="H1100" s="196" t="s">
        <v>11235</v>
      </c>
    </row>
    <row r="1101" spans="1:8" x14ac:dyDescent="0.15">
      <c r="A1101" s="196" t="s">
        <v>11229</v>
      </c>
      <c r="B1101" s="196" t="s">
        <v>11230</v>
      </c>
      <c r="C1101" s="196" t="s">
        <v>13694</v>
      </c>
      <c r="D1101" s="196" t="s">
        <v>13695</v>
      </c>
      <c r="E1101" s="196" t="s">
        <v>13695</v>
      </c>
      <c r="F1101" s="196" t="s">
        <v>11233</v>
      </c>
      <c r="G1101" s="196" t="s">
        <v>12378</v>
      </c>
      <c r="H1101" s="196" t="s">
        <v>11235</v>
      </c>
    </row>
    <row r="1102" spans="1:8" x14ac:dyDescent="0.15">
      <c r="A1102" s="196" t="s">
        <v>11229</v>
      </c>
      <c r="B1102" s="196" t="s">
        <v>11230</v>
      </c>
      <c r="C1102" s="196" t="s">
        <v>13696</v>
      </c>
      <c r="D1102" s="196" t="s">
        <v>13695</v>
      </c>
      <c r="E1102" s="196" t="s">
        <v>13695</v>
      </c>
      <c r="F1102" s="196" t="s">
        <v>11233</v>
      </c>
      <c r="G1102" s="196" t="s">
        <v>11720</v>
      </c>
      <c r="H1102" s="196" t="s">
        <v>11235</v>
      </c>
    </row>
    <row r="1103" spans="1:8" x14ac:dyDescent="0.15">
      <c r="A1103" s="196" t="s">
        <v>11229</v>
      </c>
      <c r="B1103" s="196" t="s">
        <v>11230</v>
      </c>
      <c r="C1103" s="196" t="s">
        <v>13697</v>
      </c>
      <c r="D1103" s="196" t="s">
        <v>13698</v>
      </c>
      <c r="E1103" s="196" t="s">
        <v>13698</v>
      </c>
      <c r="F1103" s="196" t="s">
        <v>11233</v>
      </c>
      <c r="G1103" s="196" t="s">
        <v>12378</v>
      </c>
      <c r="H1103" s="196" t="s">
        <v>11235</v>
      </c>
    </row>
    <row r="1104" spans="1:8" x14ac:dyDescent="0.15">
      <c r="A1104" s="196" t="s">
        <v>11229</v>
      </c>
      <c r="B1104" s="196" t="s">
        <v>11230</v>
      </c>
      <c r="C1104" s="196" t="s">
        <v>13699</v>
      </c>
      <c r="D1104" s="196" t="s">
        <v>13698</v>
      </c>
      <c r="E1104" s="196" t="s">
        <v>13698</v>
      </c>
      <c r="F1104" s="196" t="s">
        <v>11233</v>
      </c>
      <c r="G1104" s="196" t="s">
        <v>11720</v>
      </c>
      <c r="H1104" s="196" t="s">
        <v>11235</v>
      </c>
    </row>
    <row r="1105" spans="1:8" x14ac:dyDescent="0.15">
      <c r="A1105" s="196" t="s">
        <v>11229</v>
      </c>
      <c r="B1105" s="196" t="s">
        <v>11230</v>
      </c>
      <c r="C1105" s="196" t="s">
        <v>13700</v>
      </c>
      <c r="D1105" s="196" t="s">
        <v>13701</v>
      </c>
      <c r="E1105" s="196" t="s">
        <v>13701</v>
      </c>
      <c r="F1105" s="196" t="s">
        <v>11233</v>
      </c>
      <c r="G1105" s="196" t="s">
        <v>11720</v>
      </c>
      <c r="H1105" s="196" t="s">
        <v>11235</v>
      </c>
    </row>
    <row r="1106" spans="1:8" x14ac:dyDescent="0.15">
      <c r="A1106" s="196" t="s">
        <v>11229</v>
      </c>
      <c r="B1106" s="196" t="s">
        <v>11230</v>
      </c>
      <c r="C1106" s="196" t="s">
        <v>13702</v>
      </c>
      <c r="D1106" s="196" t="s">
        <v>13703</v>
      </c>
      <c r="E1106" s="196" t="s">
        <v>13704</v>
      </c>
      <c r="F1106" s="196" t="s">
        <v>11241</v>
      </c>
      <c r="G1106" s="196" t="s">
        <v>11720</v>
      </c>
      <c r="H1106" s="196" t="s">
        <v>11235</v>
      </c>
    </row>
    <row r="1107" spans="1:8" x14ac:dyDescent="0.15">
      <c r="A1107" s="196" t="s">
        <v>11229</v>
      </c>
      <c r="B1107" s="196" t="s">
        <v>11230</v>
      </c>
      <c r="C1107" s="196" t="s">
        <v>13705</v>
      </c>
      <c r="D1107" s="196" t="s">
        <v>13704</v>
      </c>
      <c r="E1107" s="196" t="s">
        <v>13706</v>
      </c>
      <c r="F1107" s="196" t="s">
        <v>11268</v>
      </c>
      <c r="G1107" s="196" t="s">
        <v>11720</v>
      </c>
      <c r="H1107" s="196" t="s">
        <v>11235</v>
      </c>
    </row>
    <row r="1108" spans="1:8" x14ac:dyDescent="0.15">
      <c r="A1108" s="196" t="s">
        <v>11229</v>
      </c>
      <c r="B1108" s="196" t="s">
        <v>11230</v>
      </c>
      <c r="C1108" s="196" t="s">
        <v>13707</v>
      </c>
      <c r="D1108" s="196" t="s">
        <v>13708</v>
      </c>
      <c r="E1108" s="196" t="s">
        <v>13709</v>
      </c>
      <c r="F1108" s="196" t="s">
        <v>11241</v>
      </c>
      <c r="G1108" s="196" t="s">
        <v>12378</v>
      </c>
      <c r="H1108" s="196" t="s">
        <v>11235</v>
      </c>
    </row>
    <row r="1109" spans="1:8" x14ac:dyDescent="0.15">
      <c r="A1109" s="196" t="s">
        <v>11229</v>
      </c>
      <c r="B1109" s="196" t="s">
        <v>11230</v>
      </c>
      <c r="C1109" s="196" t="s">
        <v>13710</v>
      </c>
      <c r="D1109" s="196" t="s">
        <v>13711</v>
      </c>
      <c r="E1109" s="196" t="s">
        <v>13711</v>
      </c>
      <c r="F1109" s="196" t="s">
        <v>11233</v>
      </c>
      <c r="G1109" s="196" t="s">
        <v>12378</v>
      </c>
      <c r="H1109" s="196" t="s">
        <v>11235</v>
      </c>
    </row>
    <row r="1110" spans="1:8" x14ac:dyDescent="0.15">
      <c r="A1110" s="196" t="s">
        <v>11229</v>
      </c>
      <c r="B1110" s="196" t="s">
        <v>11230</v>
      </c>
      <c r="C1110" s="196" t="s">
        <v>13712</v>
      </c>
      <c r="D1110" s="196" t="s">
        <v>13713</v>
      </c>
      <c r="E1110" s="196" t="s">
        <v>13714</v>
      </c>
      <c r="F1110" s="196" t="s">
        <v>13715</v>
      </c>
      <c r="G1110" s="196" t="s">
        <v>12378</v>
      </c>
      <c r="H1110" s="196" t="s">
        <v>11235</v>
      </c>
    </row>
    <row r="1111" spans="1:8" x14ac:dyDescent="0.15">
      <c r="A1111" s="196" t="s">
        <v>11229</v>
      </c>
      <c r="B1111" s="196" t="s">
        <v>11230</v>
      </c>
      <c r="C1111" s="196" t="s">
        <v>13716</v>
      </c>
      <c r="D1111" s="196" t="s">
        <v>13714</v>
      </c>
      <c r="E1111" s="196" t="s">
        <v>13714</v>
      </c>
      <c r="F1111" s="196" t="s">
        <v>11233</v>
      </c>
      <c r="G1111" s="196" t="s">
        <v>12378</v>
      </c>
      <c r="H1111" s="196" t="s">
        <v>11235</v>
      </c>
    </row>
    <row r="1112" spans="1:8" x14ac:dyDescent="0.15">
      <c r="A1112" s="196" t="s">
        <v>11229</v>
      </c>
      <c r="B1112" s="196" t="s">
        <v>11230</v>
      </c>
      <c r="C1112" s="196" t="s">
        <v>13717</v>
      </c>
      <c r="D1112" s="196" t="s">
        <v>13718</v>
      </c>
      <c r="E1112" s="196" t="s">
        <v>13718</v>
      </c>
      <c r="F1112" s="196" t="s">
        <v>11233</v>
      </c>
      <c r="G1112" s="196" t="s">
        <v>11720</v>
      </c>
      <c r="H1112" s="196" t="s">
        <v>11235</v>
      </c>
    </row>
    <row r="1113" spans="1:8" x14ac:dyDescent="0.15">
      <c r="A1113" s="196" t="s">
        <v>11229</v>
      </c>
      <c r="B1113" s="196" t="s">
        <v>11230</v>
      </c>
      <c r="C1113" s="196" t="s">
        <v>13719</v>
      </c>
      <c r="D1113" s="196" t="s">
        <v>13720</v>
      </c>
      <c r="E1113" s="196" t="s">
        <v>13720</v>
      </c>
      <c r="F1113" s="196" t="s">
        <v>11233</v>
      </c>
      <c r="G1113" s="196" t="s">
        <v>11720</v>
      </c>
      <c r="H1113" s="196" t="s">
        <v>11235</v>
      </c>
    </row>
    <row r="1114" spans="1:8" x14ac:dyDescent="0.15">
      <c r="A1114" s="196" t="s">
        <v>11229</v>
      </c>
      <c r="B1114" s="196" t="s">
        <v>11230</v>
      </c>
      <c r="C1114" s="196" t="s">
        <v>13721</v>
      </c>
      <c r="D1114" s="196" t="s">
        <v>13722</v>
      </c>
      <c r="E1114" s="196" t="s">
        <v>13722</v>
      </c>
      <c r="F1114" s="196" t="s">
        <v>11233</v>
      </c>
      <c r="G1114" s="196" t="s">
        <v>12378</v>
      </c>
      <c r="H1114" s="196" t="s">
        <v>11235</v>
      </c>
    </row>
    <row r="1115" spans="1:8" x14ac:dyDescent="0.15">
      <c r="A1115" s="196" t="s">
        <v>11229</v>
      </c>
      <c r="B1115" s="196" t="s">
        <v>11230</v>
      </c>
      <c r="C1115" s="196" t="s">
        <v>13723</v>
      </c>
      <c r="D1115" s="196" t="s">
        <v>13724</v>
      </c>
      <c r="E1115" s="196" t="s">
        <v>13724</v>
      </c>
      <c r="F1115" s="196" t="s">
        <v>11233</v>
      </c>
      <c r="G1115" s="196" t="s">
        <v>12378</v>
      </c>
      <c r="H1115" s="196" t="s">
        <v>11235</v>
      </c>
    </row>
    <row r="1116" spans="1:8" x14ac:dyDescent="0.15">
      <c r="A1116" s="196" t="s">
        <v>11229</v>
      </c>
      <c r="B1116" s="196" t="s">
        <v>11230</v>
      </c>
      <c r="C1116" s="196" t="s">
        <v>13725</v>
      </c>
      <c r="D1116" s="196" t="s">
        <v>13724</v>
      </c>
      <c r="E1116" s="196" t="s">
        <v>13724</v>
      </c>
      <c r="F1116" s="196" t="s">
        <v>11233</v>
      </c>
      <c r="G1116" s="196" t="s">
        <v>11720</v>
      </c>
      <c r="H1116" s="196" t="s">
        <v>11235</v>
      </c>
    </row>
    <row r="1117" spans="1:8" x14ac:dyDescent="0.15">
      <c r="A1117" s="196" t="s">
        <v>11229</v>
      </c>
      <c r="B1117" s="196" t="s">
        <v>11230</v>
      </c>
      <c r="C1117" s="196" t="s">
        <v>13726</v>
      </c>
      <c r="D1117" s="196" t="s">
        <v>13727</v>
      </c>
      <c r="E1117" s="196" t="s">
        <v>13727</v>
      </c>
      <c r="F1117" s="196" t="s">
        <v>11233</v>
      </c>
      <c r="G1117" s="196" t="s">
        <v>12378</v>
      </c>
      <c r="H1117" s="196" t="s">
        <v>11235</v>
      </c>
    </row>
    <row r="1118" spans="1:8" x14ac:dyDescent="0.15">
      <c r="A1118" s="196" t="s">
        <v>11229</v>
      </c>
      <c r="B1118" s="196" t="s">
        <v>11230</v>
      </c>
      <c r="C1118" s="196" t="s">
        <v>13728</v>
      </c>
      <c r="D1118" s="196" t="s">
        <v>13729</v>
      </c>
      <c r="E1118" s="196" t="s">
        <v>13729</v>
      </c>
      <c r="F1118" s="196" t="s">
        <v>11233</v>
      </c>
      <c r="G1118" s="196" t="s">
        <v>12378</v>
      </c>
      <c r="H1118" s="196" t="s">
        <v>11235</v>
      </c>
    </row>
    <row r="1119" spans="1:8" x14ac:dyDescent="0.15">
      <c r="A1119" s="196" t="s">
        <v>11229</v>
      </c>
      <c r="B1119" s="196" t="s">
        <v>11230</v>
      </c>
      <c r="C1119" s="196" t="s">
        <v>13730</v>
      </c>
      <c r="D1119" s="196" t="s">
        <v>13731</v>
      </c>
      <c r="E1119" s="196" t="s">
        <v>13731</v>
      </c>
      <c r="F1119" s="196" t="s">
        <v>11233</v>
      </c>
      <c r="G1119" s="196" t="s">
        <v>12378</v>
      </c>
      <c r="H1119" s="196" t="s">
        <v>11235</v>
      </c>
    </row>
    <row r="1120" spans="1:8" x14ac:dyDescent="0.15">
      <c r="A1120" s="196" t="s">
        <v>11229</v>
      </c>
      <c r="B1120" s="196" t="s">
        <v>11230</v>
      </c>
      <c r="C1120" s="196" t="s">
        <v>13732</v>
      </c>
      <c r="D1120" s="196" t="s">
        <v>13733</v>
      </c>
      <c r="E1120" s="196" t="s">
        <v>13733</v>
      </c>
      <c r="F1120" s="196" t="s">
        <v>11233</v>
      </c>
      <c r="G1120" s="196" t="s">
        <v>12378</v>
      </c>
      <c r="H1120" s="196" t="s">
        <v>11235</v>
      </c>
    </row>
    <row r="1121" spans="1:8" x14ac:dyDescent="0.15">
      <c r="A1121" s="196" t="s">
        <v>11229</v>
      </c>
      <c r="B1121" s="196" t="s">
        <v>11230</v>
      </c>
      <c r="C1121" s="196" t="s">
        <v>13734</v>
      </c>
      <c r="D1121" s="196" t="s">
        <v>13735</v>
      </c>
      <c r="E1121" s="196" t="s">
        <v>13735</v>
      </c>
      <c r="F1121" s="196" t="s">
        <v>11233</v>
      </c>
      <c r="G1121" s="196" t="s">
        <v>12378</v>
      </c>
      <c r="H1121" s="196" t="s">
        <v>11235</v>
      </c>
    </row>
    <row r="1122" spans="1:8" x14ac:dyDescent="0.15">
      <c r="A1122" s="196" t="s">
        <v>11229</v>
      </c>
      <c r="B1122" s="196" t="s">
        <v>11230</v>
      </c>
      <c r="C1122" s="196" t="s">
        <v>13736</v>
      </c>
      <c r="D1122" s="196" t="s">
        <v>13737</v>
      </c>
      <c r="E1122" s="196" t="s">
        <v>13738</v>
      </c>
      <c r="F1122" s="196" t="s">
        <v>11241</v>
      </c>
      <c r="G1122" s="196" t="s">
        <v>11720</v>
      </c>
      <c r="H1122" s="196" t="s">
        <v>11235</v>
      </c>
    </row>
    <row r="1123" spans="1:8" x14ac:dyDescent="0.15">
      <c r="A1123" s="196" t="s">
        <v>11229</v>
      </c>
      <c r="B1123" s="196" t="s">
        <v>11230</v>
      </c>
      <c r="C1123" s="196" t="s">
        <v>13739</v>
      </c>
      <c r="D1123" s="196" t="s">
        <v>13740</v>
      </c>
      <c r="E1123" s="196" t="s">
        <v>13740</v>
      </c>
      <c r="F1123" s="196" t="s">
        <v>11233</v>
      </c>
      <c r="G1123" s="196" t="s">
        <v>12378</v>
      </c>
      <c r="H1123" s="196" t="s">
        <v>11235</v>
      </c>
    </row>
    <row r="1124" spans="1:8" x14ac:dyDescent="0.15">
      <c r="A1124" s="196" t="s">
        <v>11229</v>
      </c>
      <c r="B1124" s="196" t="s">
        <v>11230</v>
      </c>
      <c r="C1124" s="196" t="s">
        <v>13741</v>
      </c>
      <c r="D1124" s="196" t="s">
        <v>13742</v>
      </c>
      <c r="E1124" s="196" t="s">
        <v>13743</v>
      </c>
      <c r="F1124" s="196" t="s">
        <v>11241</v>
      </c>
      <c r="G1124" s="196" t="s">
        <v>12378</v>
      </c>
      <c r="H1124" s="196" t="s">
        <v>11235</v>
      </c>
    </row>
    <row r="1125" spans="1:8" x14ac:dyDescent="0.15">
      <c r="A1125" s="196" t="s">
        <v>11229</v>
      </c>
      <c r="B1125" s="196" t="s">
        <v>11230</v>
      </c>
      <c r="C1125" s="196" t="s">
        <v>13744</v>
      </c>
      <c r="D1125" s="196" t="s">
        <v>13745</v>
      </c>
      <c r="E1125" s="196" t="s">
        <v>13745</v>
      </c>
      <c r="F1125" s="196" t="s">
        <v>11233</v>
      </c>
      <c r="G1125" s="196" t="s">
        <v>12378</v>
      </c>
      <c r="H1125" s="196" t="s">
        <v>11235</v>
      </c>
    </row>
    <row r="1126" spans="1:8" x14ac:dyDescent="0.15">
      <c r="A1126" s="196" t="s">
        <v>11229</v>
      </c>
      <c r="B1126" s="196" t="s">
        <v>11230</v>
      </c>
      <c r="C1126" s="196" t="s">
        <v>13746</v>
      </c>
      <c r="D1126" s="196" t="s">
        <v>13747</v>
      </c>
      <c r="E1126" s="196" t="s">
        <v>13748</v>
      </c>
      <c r="F1126" s="196" t="s">
        <v>11241</v>
      </c>
      <c r="G1126" s="196" t="s">
        <v>11720</v>
      </c>
      <c r="H1126" s="196" t="s">
        <v>11235</v>
      </c>
    </row>
    <row r="1127" spans="1:8" x14ac:dyDescent="0.15">
      <c r="A1127" s="196" t="s">
        <v>11229</v>
      </c>
      <c r="B1127" s="196" t="s">
        <v>11230</v>
      </c>
      <c r="C1127" s="196" t="s">
        <v>13749</v>
      </c>
      <c r="D1127" s="196" t="s">
        <v>13750</v>
      </c>
      <c r="E1127" s="196" t="s">
        <v>13751</v>
      </c>
      <c r="F1127" s="196" t="s">
        <v>13023</v>
      </c>
      <c r="G1127" s="196" t="s">
        <v>11720</v>
      </c>
      <c r="H1127" s="196" t="s">
        <v>11235</v>
      </c>
    </row>
    <row r="1128" spans="1:8" x14ac:dyDescent="0.15">
      <c r="A1128" s="196" t="s">
        <v>11229</v>
      </c>
      <c r="B1128" s="196" t="s">
        <v>11230</v>
      </c>
      <c r="C1128" s="196" t="s">
        <v>13752</v>
      </c>
      <c r="D1128" s="196" t="s">
        <v>13753</v>
      </c>
      <c r="E1128" s="196" t="s">
        <v>13754</v>
      </c>
      <c r="F1128" s="196" t="s">
        <v>11241</v>
      </c>
      <c r="G1128" s="196" t="s">
        <v>11720</v>
      </c>
      <c r="H1128" s="196" t="s">
        <v>11235</v>
      </c>
    </row>
    <row r="1129" spans="1:8" x14ac:dyDescent="0.15">
      <c r="A1129" s="196" t="s">
        <v>11229</v>
      </c>
      <c r="B1129" s="196" t="s">
        <v>11230</v>
      </c>
      <c r="C1129" s="196" t="s">
        <v>13755</v>
      </c>
      <c r="D1129" s="196" t="s">
        <v>13756</v>
      </c>
      <c r="E1129" s="196" t="s">
        <v>13757</v>
      </c>
      <c r="F1129" s="196" t="s">
        <v>13758</v>
      </c>
      <c r="G1129" s="196" t="s">
        <v>12378</v>
      </c>
      <c r="H1129" s="196" t="s">
        <v>11235</v>
      </c>
    </row>
    <row r="1130" spans="1:8" x14ac:dyDescent="0.15">
      <c r="A1130" s="196" t="s">
        <v>11229</v>
      </c>
      <c r="B1130" s="196" t="s">
        <v>11230</v>
      </c>
      <c r="C1130" s="196" t="s">
        <v>13759</v>
      </c>
      <c r="D1130" s="196" t="s">
        <v>13760</v>
      </c>
      <c r="E1130" s="196" t="s">
        <v>13761</v>
      </c>
      <c r="F1130" s="196" t="s">
        <v>11241</v>
      </c>
      <c r="G1130" s="196" t="s">
        <v>11720</v>
      </c>
      <c r="H1130" s="196" t="s">
        <v>11235</v>
      </c>
    </row>
    <row r="1131" spans="1:8" x14ac:dyDescent="0.15">
      <c r="A1131" s="196" t="s">
        <v>11229</v>
      </c>
      <c r="B1131" s="196" t="s">
        <v>11230</v>
      </c>
      <c r="C1131" s="196" t="s">
        <v>13762</v>
      </c>
      <c r="D1131" s="196" t="s">
        <v>13763</v>
      </c>
      <c r="E1131" s="196" t="s">
        <v>13763</v>
      </c>
      <c r="F1131" s="196" t="s">
        <v>11233</v>
      </c>
      <c r="G1131" s="196" t="s">
        <v>12378</v>
      </c>
      <c r="H1131" s="196" t="s">
        <v>11235</v>
      </c>
    </row>
    <row r="1132" spans="1:8" x14ac:dyDescent="0.15">
      <c r="A1132" s="196" t="s">
        <v>11229</v>
      </c>
      <c r="B1132" s="196" t="s">
        <v>11230</v>
      </c>
      <c r="C1132" s="196" t="s">
        <v>13764</v>
      </c>
      <c r="D1132" s="196" t="s">
        <v>13765</v>
      </c>
      <c r="E1132" s="196" t="s">
        <v>13766</v>
      </c>
      <c r="F1132" s="196" t="s">
        <v>11268</v>
      </c>
      <c r="G1132" s="196" t="s">
        <v>12378</v>
      </c>
      <c r="H1132" s="196" t="s">
        <v>11235</v>
      </c>
    </row>
    <row r="1133" spans="1:8" x14ac:dyDescent="0.15">
      <c r="A1133" s="196" t="s">
        <v>11229</v>
      </c>
      <c r="B1133" s="196" t="s">
        <v>11230</v>
      </c>
      <c r="C1133" s="196" t="s">
        <v>13767</v>
      </c>
      <c r="D1133" s="196" t="s">
        <v>13766</v>
      </c>
      <c r="E1133" s="196" t="s">
        <v>13768</v>
      </c>
      <c r="F1133" s="196" t="s">
        <v>11241</v>
      </c>
      <c r="G1133" s="196" t="s">
        <v>12378</v>
      </c>
      <c r="H1133" s="196" t="s">
        <v>11235</v>
      </c>
    </row>
    <row r="1134" spans="1:8" x14ac:dyDescent="0.15">
      <c r="A1134" s="196" t="s">
        <v>11229</v>
      </c>
      <c r="B1134" s="196" t="s">
        <v>11230</v>
      </c>
      <c r="C1134" s="196" t="s">
        <v>13769</v>
      </c>
      <c r="D1134" s="196" t="s">
        <v>13768</v>
      </c>
      <c r="E1134" s="196" t="s">
        <v>13770</v>
      </c>
      <c r="F1134" s="196" t="s">
        <v>11241</v>
      </c>
      <c r="G1134" s="196" t="s">
        <v>12378</v>
      </c>
      <c r="H1134" s="196" t="s">
        <v>11235</v>
      </c>
    </row>
    <row r="1135" spans="1:8" x14ac:dyDescent="0.15">
      <c r="A1135" s="196" t="s">
        <v>11229</v>
      </c>
      <c r="B1135" s="196" t="s">
        <v>11230</v>
      </c>
      <c r="C1135" s="196" t="s">
        <v>13771</v>
      </c>
      <c r="D1135" s="196" t="s">
        <v>13770</v>
      </c>
      <c r="E1135" s="196" t="s">
        <v>13772</v>
      </c>
      <c r="F1135" s="196" t="s">
        <v>11268</v>
      </c>
      <c r="G1135" s="196" t="s">
        <v>12378</v>
      </c>
      <c r="H1135" s="196" t="s">
        <v>11235</v>
      </c>
    </row>
    <row r="1136" spans="1:8" x14ac:dyDescent="0.15">
      <c r="A1136" s="196" t="s">
        <v>11229</v>
      </c>
      <c r="B1136" s="196" t="s">
        <v>11230</v>
      </c>
      <c r="C1136" s="196" t="s">
        <v>13773</v>
      </c>
      <c r="D1136" s="196" t="s">
        <v>13774</v>
      </c>
      <c r="E1136" s="196" t="s">
        <v>13774</v>
      </c>
      <c r="F1136" s="196" t="s">
        <v>11233</v>
      </c>
      <c r="G1136" s="196" t="s">
        <v>11720</v>
      </c>
      <c r="H1136" s="196" t="s">
        <v>11235</v>
      </c>
    </row>
    <row r="1137" spans="1:8" x14ac:dyDescent="0.15">
      <c r="A1137" s="196" t="s">
        <v>11229</v>
      </c>
      <c r="B1137" s="196" t="s">
        <v>11230</v>
      </c>
      <c r="C1137" s="196" t="s">
        <v>13775</v>
      </c>
      <c r="D1137" s="196" t="s">
        <v>13776</v>
      </c>
      <c r="E1137" s="196" t="s">
        <v>13776</v>
      </c>
      <c r="F1137" s="196" t="s">
        <v>11233</v>
      </c>
      <c r="G1137" s="196" t="s">
        <v>12378</v>
      </c>
      <c r="H1137" s="196" t="s">
        <v>11235</v>
      </c>
    </row>
    <row r="1138" spans="1:8" x14ac:dyDescent="0.15">
      <c r="A1138" s="196" t="s">
        <v>11229</v>
      </c>
      <c r="B1138" s="196" t="s">
        <v>11230</v>
      </c>
      <c r="C1138" s="196" t="s">
        <v>13777</v>
      </c>
      <c r="D1138" s="196" t="s">
        <v>13778</v>
      </c>
      <c r="E1138" s="196" t="s">
        <v>13778</v>
      </c>
      <c r="F1138" s="196" t="s">
        <v>11233</v>
      </c>
      <c r="G1138" s="196" t="s">
        <v>12378</v>
      </c>
      <c r="H1138" s="196" t="s">
        <v>11235</v>
      </c>
    </row>
    <row r="1139" spans="1:8" x14ac:dyDescent="0.15">
      <c r="A1139" s="196" t="s">
        <v>11229</v>
      </c>
      <c r="B1139" s="196" t="s">
        <v>11230</v>
      </c>
      <c r="C1139" s="196" t="s">
        <v>13779</v>
      </c>
      <c r="D1139" s="196" t="s">
        <v>13780</v>
      </c>
      <c r="E1139" s="196" t="s">
        <v>13780</v>
      </c>
      <c r="F1139" s="196" t="s">
        <v>11233</v>
      </c>
      <c r="G1139" s="196" t="s">
        <v>12378</v>
      </c>
      <c r="H1139" s="196" t="s">
        <v>11235</v>
      </c>
    </row>
    <row r="1140" spans="1:8" x14ac:dyDescent="0.15">
      <c r="A1140" s="196" t="s">
        <v>11229</v>
      </c>
      <c r="B1140" s="196" t="s">
        <v>11230</v>
      </c>
      <c r="C1140" s="196" t="s">
        <v>13781</v>
      </c>
      <c r="D1140" s="196" t="s">
        <v>13782</v>
      </c>
      <c r="E1140" s="196" t="s">
        <v>13783</v>
      </c>
      <c r="F1140" s="196" t="s">
        <v>13023</v>
      </c>
      <c r="G1140" s="196" t="s">
        <v>11720</v>
      </c>
      <c r="H1140" s="196" t="s">
        <v>11235</v>
      </c>
    </row>
    <row r="1141" spans="1:8" x14ac:dyDescent="0.15">
      <c r="A1141" s="196" t="s">
        <v>11229</v>
      </c>
      <c r="B1141" s="196" t="s">
        <v>11230</v>
      </c>
      <c r="C1141" s="196" t="s">
        <v>13784</v>
      </c>
      <c r="D1141" s="196" t="s">
        <v>13785</v>
      </c>
      <c r="E1141" s="196" t="s">
        <v>13785</v>
      </c>
      <c r="F1141" s="196" t="s">
        <v>11233</v>
      </c>
      <c r="G1141" s="196" t="s">
        <v>11720</v>
      </c>
      <c r="H1141" s="196" t="s">
        <v>11235</v>
      </c>
    </row>
    <row r="1142" spans="1:8" x14ac:dyDescent="0.15">
      <c r="A1142" s="196" t="s">
        <v>11229</v>
      </c>
      <c r="B1142" s="196" t="s">
        <v>11230</v>
      </c>
      <c r="C1142" s="196" t="s">
        <v>13786</v>
      </c>
      <c r="D1142" s="196" t="s">
        <v>13787</v>
      </c>
      <c r="E1142" s="196" t="s">
        <v>13787</v>
      </c>
      <c r="F1142" s="196" t="s">
        <v>11233</v>
      </c>
      <c r="G1142" s="196" t="s">
        <v>11720</v>
      </c>
      <c r="H1142" s="196" t="s">
        <v>11235</v>
      </c>
    </row>
    <row r="1143" spans="1:8" x14ac:dyDescent="0.15">
      <c r="A1143" s="196" t="s">
        <v>11229</v>
      </c>
      <c r="B1143" s="196" t="s">
        <v>11230</v>
      </c>
      <c r="C1143" s="196" t="s">
        <v>13788</v>
      </c>
      <c r="D1143" s="196" t="s">
        <v>13789</v>
      </c>
      <c r="E1143" s="196" t="s">
        <v>13789</v>
      </c>
      <c r="F1143" s="196" t="s">
        <v>11233</v>
      </c>
      <c r="G1143" s="196" t="s">
        <v>11720</v>
      </c>
      <c r="H1143" s="196" t="s">
        <v>11235</v>
      </c>
    </row>
    <row r="1144" spans="1:8" x14ac:dyDescent="0.15">
      <c r="A1144" s="196" t="s">
        <v>11229</v>
      </c>
      <c r="B1144" s="196" t="s">
        <v>11230</v>
      </c>
      <c r="C1144" s="196" t="s">
        <v>13790</v>
      </c>
      <c r="D1144" s="196" t="s">
        <v>13791</v>
      </c>
      <c r="E1144" s="196" t="s">
        <v>13791</v>
      </c>
      <c r="F1144" s="196" t="s">
        <v>11233</v>
      </c>
      <c r="G1144" s="196" t="s">
        <v>11720</v>
      </c>
      <c r="H1144" s="196" t="s">
        <v>11235</v>
      </c>
    </row>
    <row r="1145" spans="1:8" x14ac:dyDescent="0.15">
      <c r="A1145" s="196" t="s">
        <v>11229</v>
      </c>
      <c r="B1145" s="196" t="s">
        <v>11230</v>
      </c>
      <c r="C1145" s="196" t="s">
        <v>13792</v>
      </c>
      <c r="D1145" s="196" t="s">
        <v>13793</v>
      </c>
      <c r="E1145" s="196" t="s">
        <v>13793</v>
      </c>
      <c r="F1145" s="196" t="s">
        <v>11233</v>
      </c>
      <c r="G1145" s="196" t="s">
        <v>11720</v>
      </c>
      <c r="H1145" s="196" t="s">
        <v>11235</v>
      </c>
    </row>
    <row r="1146" spans="1:8" x14ac:dyDescent="0.15">
      <c r="A1146" s="196" t="s">
        <v>11229</v>
      </c>
      <c r="B1146" s="196" t="s">
        <v>11230</v>
      </c>
      <c r="C1146" s="196" t="s">
        <v>13794</v>
      </c>
      <c r="D1146" s="196" t="s">
        <v>13795</v>
      </c>
      <c r="E1146" s="196" t="s">
        <v>13796</v>
      </c>
      <c r="F1146" s="196" t="s">
        <v>11268</v>
      </c>
      <c r="G1146" s="196" t="s">
        <v>11720</v>
      </c>
      <c r="H1146" s="196" t="s">
        <v>11235</v>
      </c>
    </row>
    <row r="1147" spans="1:8" x14ac:dyDescent="0.15">
      <c r="A1147" s="196" t="s">
        <v>11229</v>
      </c>
      <c r="B1147" s="196" t="s">
        <v>11230</v>
      </c>
      <c r="C1147" s="196" t="s">
        <v>13797</v>
      </c>
      <c r="D1147" s="196" t="s">
        <v>13796</v>
      </c>
      <c r="E1147" s="196" t="s">
        <v>13798</v>
      </c>
      <c r="F1147" s="196" t="s">
        <v>11241</v>
      </c>
      <c r="G1147" s="196" t="s">
        <v>11720</v>
      </c>
      <c r="H1147" s="196" t="s">
        <v>11235</v>
      </c>
    </row>
    <row r="1148" spans="1:8" x14ac:dyDescent="0.15">
      <c r="A1148" s="196" t="s">
        <v>11229</v>
      </c>
      <c r="B1148" s="196" t="s">
        <v>11230</v>
      </c>
      <c r="C1148" s="196" t="s">
        <v>13799</v>
      </c>
      <c r="D1148" s="196" t="s">
        <v>13796</v>
      </c>
      <c r="E1148" s="196" t="s">
        <v>13796</v>
      </c>
      <c r="F1148" s="196" t="s">
        <v>11233</v>
      </c>
      <c r="G1148" s="196" t="s">
        <v>12378</v>
      </c>
      <c r="H1148" s="196" t="s">
        <v>11235</v>
      </c>
    </row>
    <row r="1149" spans="1:8" x14ac:dyDescent="0.15">
      <c r="A1149" s="196" t="s">
        <v>11229</v>
      </c>
      <c r="B1149" s="196" t="s">
        <v>11230</v>
      </c>
      <c r="C1149" s="196" t="s">
        <v>13800</v>
      </c>
      <c r="D1149" s="196" t="s">
        <v>13798</v>
      </c>
      <c r="E1149" s="196" t="s">
        <v>13801</v>
      </c>
      <c r="F1149" s="196" t="s">
        <v>11241</v>
      </c>
      <c r="G1149" s="196" t="s">
        <v>12378</v>
      </c>
      <c r="H1149" s="196" t="s">
        <v>11235</v>
      </c>
    </row>
    <row r="1150" spans="1:8" x14ac:dyDescent="0.15">
      <c r="A1150" s="196" t="s">
        <v>11229</v>
      </c>
      <c r="B1150" s="196" t="s">
        <v>11230</v>
      </c>
      <c r="C1150" s="196" t="s">
        <v>13802</v>
      </c>
      <c r="D1150" s="196" t="s">
        <v>13801</v>
      </c>
      <c r="E1150" s="196" t="s">
        <v>13803</v>
      </c>
      <c r="F1150" s="196" t="s">
        <v>11268</v>
      </c>
      <c r="G1150" s="196" t="s">
        <v>12378</v>
      </c>
      <c r="H1150" s="196" t="s">
        <v>11235</v>
      </c>
    </row>
    <row r="1151" spans="1:8" x14ac:dyDescent="0.15">
      <c r="A1151" s="196" t="s">
        <v>11229</v>
      </c>
      <c r="B1151" s="196" t="s">
        <v>11230</v>
      </c>
      <c r="C1151" s="196" t="s">
        <v>13804</v>
      </c>
      <c r="D1151" s="196" t="s">
        <v>13805</v>
      </c>
      <c r="E1151" s="196" t="s">
        <v>13805</v>
      </c>
      <c r="F1151" s="196" t="s">
        <v>11233</v>
      </c>
      <c r="G1151" s="196" t="s">
        <v>11720</v>
      </c>
      <c r="H1151" s="196" t="s">
        <v>11235</v>
      </c>
    </row>
    <row r="1152" spans="1:8" x14ac:dyDescent="0.15">
      <c r="A1152" s="196" t="s">
        <v>11229</v>
      </c>
      <c r="B1152" s="196" t="s">
        <v>11230</v>
      </c>
      <c r="C1152" s="196" t="s">
        <v>13806</v>
      </c>
      <c r="D1152" s="196" t="s">
        <v>13807</v>
      </c>
      <c r="E1152" s="196" t="s">
        <v>13808</v>
      </c>
      <c r="F1152" s="196" t="s">
        <v>11241</v>
      </c>
      <c r="G1152" s="196" t="s">
        <v>11720</v>
      </c>
      <c r="H1152" s="196" t="s">
        <v>11235</v>
      </c>
    </row>
    <row r="1153" spans="1:8" x14ac:dyDescent="0.15">
      <c r="A1153" s="196" t="s">
        <v>11229</v>
      </c>
      <c r="B1153" s="196" t="s">
        <v>11230</v>
      </c>
      <c r="C1153" s="196" t="s">
        <v>13809</v>
      </c>
      <c r="D1153" s="196" t="s">
        <v>13808</v>
      </c>
      <c r="E1153" s="196" t="s">
        <v>13808</v>
      </c>
      <c r="F1153" s="196" t="s">
        <v>11233</v>
      </c>
      <c r="G1153" s="196" t="s">
        <v>12378</v>
      </c>
      <c r="H1153" s="196" t="s">
        <v>11235</v>
      </c>
    </row>
    <row r="1154" spans="1:8" x14ac:dyDescent="0.15">
      <c r="A1154" s="196" t="s">
        <v>11229</v>
      </c>
      <c r="B1154" s="196" t="s">
        <v>11230</v>
      </c>
      <c r="C1154" s="196" t="s">
        <v>13810</v>
      </c>
      <c r="D1154" s="196" t="s">
        <v>13811</v>
      </c>
      <c r="E1154" s="196" t="s">
        <v>13811</v>
      </c>
      <c r="F1154" s="196" t="s">
        <v>11233</v>
      </c>
      <c r="G1154" s="196" t="s">
        <v>12378</v>
      </c>
      <c r="H1154" s="196" t="s">
        <v>11235</v>
      </c>
    </row>
    <row r="1155" spans="1:8" x14ac:dyDescent="0.15">
      <c r="A1155" s="196" t="s">
        <v>11229</v>
      </c>
      <c r="B1155" s="196" t="s">
        <v>11230</v>
      </c>
      <c r="C1155" s="196" t="s">
        <v>13812</v>
      </c>
      <c r="D1155" s="196" t="s">
        <v>13811</v>
      </c>
      <c r="E1155" s="196" t="s">
        <v>13811</v>
      </c>
      <c r="F1155" s="196" t="s">
        <v>11233</v>
      </c>
      <c r="G1155" s="196" t="s">
        <v>11720</v>
      </c>
      <c r="H1155" s="196" t="s">
        <v>11235</v>
      </c>
    </row>
    <row r="1156" spans="1:8" x14ac:dyDescent="0.15">
      <c r="A1156" s="196" t="s">
        <v>11229</v>
      </c>
      <c r="B1156" s="196" t="s">
        <v>11230</v>
      </c>
      <c r="C1156" s="196" t="s">
        <v>13813</v>
      </c>
      <c r="D1156" s="196" t="s">
        <v>13814</v>
      </c>
      <c r="E1156" s="196" t="s">
        <v>13814</v>
      </c>
      <c r="F1156" s="196" t="s">
        <v>11233</v>
      </c>
      <c r="G1156" s="196" t="s">
        <v>12378</v>
      </c>
      <c r="H1156" s="196" t="s">
        <v>11235</v>
      </c>
    </row>
    <row r="1157" spans="1:8" x14ac:dyDescent="0.15">
      <c r="A1157" s="196" t="s">
        <v>11229</v>
      </c>
      <c r="B1157" s="196" t="s">
        <v>11230</v>
      </c>
      <c r="C1157" s="196" t="s">
        <v>13815</v>
      </c>
      <c r="D1157" s="196" t="s">
        <v>13814</v>
      </c>
      <c r="E1157" s="196" t="s">
        <v>13816</v>
      </c>
      <c r="F1157" s="196" t="s">
        <v>11241</v>
      </c>
      <c r="G1157" s="196" t="s">
        <v>11720</v>
      </c>
      <c r="H1157" s="196" t="s">
        <v>11235</v>
      </c>
    </row>
    <row r="1158" spans="1:8" x14ac:dyDescent="0.15">
      <c r="A1158" s="196" t="s">
        <v>11229</v>
      </c>
      <c r="B1158" s="196" t="s">
        <v>11230</v>
      </c>
      <c r="C1158" s="196" t="s">
        <v>13817</v>
      </c>
      <c r="D1158" s="196" t="s">
        <v>13816</v>
      </c>
      <c r="E1158" s="196" t="s">
        <v>13816</v>
      </c>
      <c r="F1158" s="196" t="s">
        <v>11233</v>
      </c>
      <c r="G1158" s="196" t="s">
        <v>12378</v>
      </c>
      <c r="H1158" s="196" t="s">
        <v>11235</v>
      </c>
    </row>
    <row r="1159" spans="1:8" x14ac:dyDescent="0.15">
      <c r="A1159" s="196" t="s">
        <v>11229</v>
      </c>
      <c r="B1159" s="196" t="s">
        <v>11230</v>
      </c>
      <c r="C1159" s="196" t="s">
        <v>13818</v>
      </c>
      <c r="D1159" s="196" t="s">
        <v>13819</v>
      </c>
      <c r="E1159" s="196" t="s">
        <v>13819</v>
      </c>
      <c r="F1159" s="196" t="s">
        <v>11233</v>
      </c>
      <c r="G1159" s="196" t="s">
        <v>12378</v>
      </c>
      <c r="H1159" s="196" t="s">
        <v>11235</v>
      </c>
    </row>
    <row r="1160" spans="1:8" x14ac:dyDescent="0.15">
      <c r="A1160" s="196" t="s">
        <v>11229</v>
      </c>
      <c r="B1160" s="196" t="s">
        <v>11230</v>
      </c>
      <c r="C1160" s="196" t="s">
        <v>13820</v>
      </c>
      <c r="D1160" s="196" t="s">
        <v>13819</v>
      </c>
      <c r="E1160" s="196" t="s">
        <v>13821</v>
      </c>
      <c r="F1160" s="196" t="s">
        <v>11268</v>
      </c>
      <c r="G1160" s="196" t="s">
        <v>11720</v>
      </c>
      <c r="H1160" s="196" t="s">
        <v>11235</v>
      </c>
    </row>
    <row r="1161" spans="1:8" x14ac:dyDescent="0.15">
      <c r="A1161" s="196" t="s">
        <v>11229</v>
      </c>
      <c r="B1161" s="196" t="s">
        <v>11230</v>
      </c>
      <c r="C1161" s="196" t="s">
        <v>13822</v>
      </c>
      <c r="D1161" s="196" t="s">
        <v>13821</v>
      </c>
      <c r="E1161" s="196" t="s">
        <v>13821</v>
      </c>
      <c r="F1161" s="196" t="s">
        <v>11233</v>
      </c>
      <c r="G1161" s="196" t="s">
        <v>12378</v>
      </c>
      <c r="H1161" s="196" t="s">
        <v>11235</v>
      </c>
    </row>
    <row r="1162" spans="1:8" x14ac:dyDescent="0.15">
      <c r="A1162" s="196" t="s">
        <v>11229</v>
      </c>
      <c r="B1162" s="196" t="s">
        <v>11230</v>
      </c>
      <c r="C1162" s="196" t="s">
        <v>13823</v>
      </c>
      <c r="D1162" s="196" t="s">
        <v>13824</v>
      </c>
      <c r="E1162" s="196" t="s">
        <v>13824</v>
      </c>
      <c r="F1162" s="196" t="s">
        <v>11233</v>
      </c>
      <c r="G1162" s="196" t="s">
        <v>12378</v>
      </c>
      <c r="H1162" s="196" t="s">
        <v>11235</v>
      </c>
    </row>
    <row r="1163" spans="1:8" x14ac:dyDescent="0.15">
      <c r="A1163" s="196" t="s">
        <v>11229</v>
      </c>
      <c r="B1163" s="196" t="s">
        <v>11230</v>
      </c>
      <c r="C1163" s="196" t="s">
        <v>13825</v>
      </c>
      <c r="D1163" s="196" t="s">
        <v>13824</v>
      </c>
      <c r="E1163" s="196" t="s">
        <v>13826</v>
      </c>
      <c r="F1163" s="196" t="s">
        <v>13023</v>
      </c>
      <c r="G1163" s="196" t="s">
        <v>11720</v>
      </c>
      <c r="H1163" s="196" t="s">
        <v>11235</v>
      </c>
    </row>
    <row r="1164" spans="1:8" x14ac:dyDescent="0.15">
      <c r="A1164" s="196" t="s">
        <v>11229</v>
      </c>
      <c r="B1164" s="196" t="s">
        <v>11230</v>
      </c>
      <c r="C1164" s="196" t="s">
        <v>13827</v>
      </c>
      <c r="D1164" s="196" t="s">
        <v>13828</v>
      </c>
      <c r="E1164" s="196" t="s">
        <v>13828</v>
      </c>
      <c r="F1164" s="196" t="s">
        <v>11233</v>
      </c>
      <c r="G1164" s="196" t="s">
        <v>12378</v>
      </c>
      <c r="H1164" s="196" t="s">
        <v>11235</v>
      </c>
    </row>
    <row r="1165" spans="1:8" x14ac:dyDescent="0.15">
      <c r="A1165" s="196" t="s">
        <v>11229</v>
      </c>
      <c r="B1165" s="196" t="s">
        <v>11230</v>
      </c>
      <c r="C1165" s="196" t="s">
        <v>13829</v>
      </c>
      <c r="D1165" s="196" t="s">
        <v>13830</v>
      </c>
      <c r="E1165" s="196" t="s">
        <v>13830</v>
      </c>
      <c r="F1165" s="196" t="s">
        <v>11233</v>
      </c>
      <c r="G1165" s="196" t="s">
        <v>11720</v>
      </c>
      <c r="H1165" s="196" t="s">
        <v>11235</v>
      </c>
    </row>
    <row r="1166" spans="1:8" x14ac:dyDescent="0.15">
      <c r="A1166" s="196" t="s">
        <v>11229</v>
      </c>
      <c r="B1166" s="196" t="s">
        <v>11230</v>
      </c>
      <c r="C1166" s="196" t="s">
        <v>13831</v>
      </c>
      <c r="D1166" s="196" t="s">
        <v>13832</v>
      </c>
      <c r="E1166" s="196" t="s">
        <v>13832</v>
      </c>
      <c r="F1166" s="196" t="s">
        <v>11233</v>
      </c>
      <c r="G1166" s="196" t="s">
        <v>12378</v>
      </c>
      <c r="H1166" s="196" t="s">
        <v>11235</v>
      </c>
    </row>
    <row r="1167" spans="1:8" x14ac:dyDescent="0.15">
      <c r="A1167" s="196" t="s">
        <v>11229</v>
      </c>
      <c r="B1167" s="196" t="s">
        <v>11230</v>
      </c>
      <c r="C1167" s="196" t="s">
        <v>13833</v>
      </c>
      <c r="D1167" s="196" t="s">
        <v>13834</v>
      </c>
      <c r="E1167" s="196" t="s">
        <v>13834</v>
      </c>
      <c r="F1167" s="196" t="s">
        <v>11233</v>
      </c>
      <c r="G1167" s="196" t="s">
        <v>11720</v>
      </c>
      <c r="H1167" s="196" t="s">
        <v>11235</v>
      </c>
    </row>
    <row r="1168" spans="1:8" x14ac:dyDescent="0.15">
      <c r="A1168" s="196" t="s">
        <v>11229</v>
      </c>
      <c r="B1168" s="196" t="s">
        <v>11230</v>
      </c>
      <c r="C1168" s="196" t="s">
        <v>13835</v>
      </c>
      <c r="D1168" s="196" t="s">
        <v>13836</v>
      </c>
      <c r="E1168" s="196" t="s">
        <v>13837</v>
      </c>
      <c r="F1168" s="196" t="s">
        <v>11241</v>
      </c>
      <c r="G1168" s="196" t="s">
        <v>11720</v>
      </c>
      <c r="H1168" s="196" t="s">
        <v>11235</v>
      </c>
    </row>
    <row r="1169" spans="1:8" x14ac:dyDescent="0.15">
      <c r="A1169" s="196" t="s">
        <v>11229</v>
      </c>
      <c r="B1169" s="196" t="s">
        <v>11230</v>
      </c>
      <c r="C1169" s="196" t="s">
        <v>13838</v>
      </c>
      <c r="D1169" s="196" t="s">
        <v>13837</v>
      </c>
      <c r="E1169" s="196" t="s">
        <v>13839</v>
      </c>
      <c r="F1169" s="196" t="s">
        <v>13023</v>
      </c>
      <c r="G1169" s="196" t="s">
        <v>11720</v>
      </c>
      <c r="H1169" s="196" t="s">
        <v>11235</v>
      </c>
    </row>
    <row r="1170" spans="1:8" x14ac:dyDescent="0.15">
      <c r="A1170" s="196" t="s">
        <v>11229</v>
      </c>
      <c r="B1170" s="196" t="s">
        <v>11230</v>
      </c>
      <c r="C1170" s="196" t="s">
        <v>13840</v>
      </c>
      <c r="D1170" s="196" t="s">
        <v>13841</v>
      </c>
      <c r="E1170" s="196" t="s">
        <v>13841</v>
      </c>
      <c r="F1170" s="196" t="s">
        <v>11233</v>
      </c>
      <c r="G1170" s="196" t="s">
        <v>11720</v>
      </c>
      <c r="H1170" s="196" t="s">
        <v>11235</v>
      </c>
    </row>
    <row r="1171" spans="1:8" x14ac:dyDescent="0.15">
      <c r="A1171" s="196" t="s">
        <v>11229</v>
      </c>
      <c r="B1171" s="196" t="s">
        <v>11230</v>
      </c>
      <c r="C1171" s="196" t="s">
        <v>13842</v>
      </c>
      <c r="D1171" s="196" t="s">
        <v>13843</v>
      </c>
      <c r="E1171" s="196" t="s">
        <v>13844</v>
      </c>
      <c r="F1171" s="196" t="s">
        <v>11241</v>
      </c>
      <c r="G1171" s="196" t="s">
        <v>12378</v>
      </c>
      <c r="H1171" s="196" t="s">
        <v>11235</v>
      </c>
    </row>
    <row r="1172" spans="1:8" x14ac:dyDescent="0.15">
      <c r="A1172" s="196" t="s">
        <v>11229</v>
      </c>
      <c r="B1172" s="196" t="s">
        <v>11230</v>
      </c>
      <c r="C1172" s="196" t="s">
        <v>13845</v>
      </c>
      <c r="D1172" s="196" t="s">
        <v>13846</v>
      </c>
      <c r="E1172" s="196" t="s">
        <v>13846</v>
      </c>
      <c r="F1172" s="196" t="s">
        <v>11233</v>
      </c>
      <c r="G1172" s="196" t="s">
        <v>12378</v>
      </c>
      <c r="H1172" s="196" t="s">
        <v>11235</v>
      </c>
    </row>
    <row r="1173" spans="1:8" x14ac:dyDescent="0.15">
      <c r="A1173" s="196" t="s">
        <v>11229</v>
      </c>
      <c r="B1173" s="196" t="s">
        <v>11230</v>
      </c>
      <c r="C1173" s="196" t="s">
        <v>13847</v>
      </c>
      <c r="D1173" s="196" t="s">
        <v>13848</v>
      </c>
      <c r="E1173" s="196" t="s">
        <v>13848</v>
      </c>
      <c r="F1173" s="196" t="s">
        <v>11233</v>
      </c>
      <c r="G1173" s="196" t="s">
        <v>11720</v>
      </c>
      <c r="H1173" s="196" t="s">
        <v>11235</v>
      </c>
    </row>
    <row r="1174" spans="1:8" x14ac:dyDescent="0.15">
      <c r="A1174" s="196" t="s">
        <v>11229</v>
      </c>
      <c r="B1174" s="196" t="s">
        <v>11230</v>
      </c>
      <c r="C1174" s="196" t="s">
        <v>13849</v>
      </c>
      <c r="D1174" s="196" t="s">
        <v>13850</v>
      </c>
      <c r="E1174" s="196" t="s">
        <v>13851</v>
      </c>
      <c r="F1174" s="196" t="s">
        <v>13023</v>
      </c>
      <c r="G1174" s="196" t="s">
        <v>12378</v>
      </c>
      <c r="H1174" s="196" t="s">
        <v>11235</v>
      </c>
    </row>
    <row r="1175" spans="1:8" x14ac:dyDescent="0.15">
      <c r="A1175" s="196" t="s">
        <v>11229</v>
      </c>
      <c r="B1175" s="196" t="s">
        <v>11230</v>
      </c>
      <c r="C1175" s="196" t="s">
        <v>13852</v>
      </c>
      <c r="D1175" s="196" t="s">
        <v>13851</v>
      </c>
      <c r="E1175" s="196" t="s">
        <v>13853</v>
      </c>
      <c r="F1175" s="196" t="s">
        <v>11268</v>
      </c>
      <c r="G1175" s="196" t="s">
        <v>12378</v>
      </c>
      <c r="H1175" s="196" t="s">
        <v>11235</v>
      </c>
    </row>
    <row r="1176" spans="1:8" x14ac:dyDescent="0.15">
      <c r="A1176" s="196" t="s">
        <v>11229</v>
      </c>
      <c r="B1176" s="196" t="s">
        <v>11230</v>
      </c>
      <c r="C1176" s="196" t="s">
        <v>13854</v>
      </c>
      <c r="D1176" s="196" t="s">
        <v>13855</v>
      </c>
      <c r="E1176" s="196" t="s">
        <v>13855</v>
      </c>
      <c r="F1176" s="196" t="s">
        <v>11233</v>
      </c>
      <c r="G1176" s="196" t="s">
        <v>12378</v>
      </c>
      <c r="H1176" s="196" t="s">
        <v>11235</v>
      </c>
    </row>
    <row r="1177" spans="1:8" x14ac:dyDescent="0.15">
      <c r="A1177" s="196" t="s">
        <v>11229</v>
      </c>
      <c r="B1177" s="196" t="s">
        <v>11230</v>
      </c>
      <c r="C1177" s="196" t="s">
        <v>13856</v>
      </c>
      <c r="D1177" s="196" t="s">
        <v>13857</v>
      </c>
      <c r="E1177" s="196" t="s">
        <v>13857</v>
      </c>
      <c r="F1177" s="196" t="s">
        <v>11233</v>
      </c>
      <c r="G1177" s="196" t="s">
        <v>12378</v>
      </c>
      <c r="H1177" s="196" t="s">
        <v>11235</v>
      </c>
    </row>
    <row r="1178" spans="1:8" x14ac:dyDescent="0.15">
      <c r="A1178" s="196" t="s">
        <v>11229</v>
      </c>
      <c r="B1178" s="196" t="s">
        <v>11230</v>
      </c>
      <c r="C1178" s="196" t="s">
        <v>13858</v>
      </c>
      <c r="D1178" s="196" t="s">
        <v>13857</v>
      </c>
      <c r="E1178" s="196" t="s">
        <v>13857</v>
      </c>
      <c r="F1178" s="196" t="s">
        <v>11233</v>
      </c>
      <c r="G1178" s="196" t="s">
        <v>11720</v>
      </c>
      <c r="H1178" s="196" t="s">
        <v>11235</v>
      </c>
    </row>
    <row r="1179" spans="1:8" x14ac:dyDescent="0.15">
      <c r="A1179" s="196" t="s">
        <v>11229</v>
      </c>
      <c r="B1179" s="196" t="s">
        <v>11230</v>
      </c>
      <c r="C1179" s="196" t="s">
        <v>13859</v>
      </c>
      <c r="D1179" s="196" t="s">
        <v>13860</v>
      </c>
      <c r="E1179" s="196" t="s">
        <v>13860</v>
      </c>
      <c r="F1179" s="196" t="s">
        <v>11233</v>
      </c>
      <c r="G1179" s="196" t="s">
        <v>12378</v>
      </c>
      <c r="H1179" s="196" t="s">
        <v>11235</v>
      </c>
    </row>
    <row r="1180" spans="1:8" x14ac:dyDescent="0.15">
      <c r="A1180" s="196" t="s">
        <v>11229</v>
      </c>
      <c r="B1180" s="196" t="s">
        <v>11230</v>
      </c>
      <c r="C1180" s="196" t="s">
        <v>13861</v>
      </c>
      <c r="D1180" s="196" t="s">
        <v>13860</v>
      </c>
      <c r="E1180" s="196" t="s">
        <v>13862</v>
      </c>
      <c r="F1180" s="196" t="s">
        <v>11241</v>
      </c>
      <c r="G1180" s="196" t="s">
        <v>11720</v>
      </c>
      <c r="H1180" s="196" t="s">
        <v>11235</v>
      </c>
    </row>
    <row r="1181" spans="1:8" x14ac:dyDescent="0.15">
      <c r="A1181" s="196" t="s">
        <v>11229</v>
      </c>
      <c r="B1181" s="196" t="s">
        <v>11230</v>
      </c>
      <c r="C1181" s="196" t="s">
        <v>13863</v>
      </c>
      <c r="D1181" s="196" t="s">
        <v>13862</v>
      </c>
      <c r="E1181" s="196" t="s">
        <v>13864</v>
      </c>
      <c r="F1181" s="196" t="s">
        <v>11241</v>
      </c>
      <c r="G1181" s="196" t="s">
        <v>12378</v>
      </c>
      <c r="H1181" s="196" t="s">
        <v>11235</v>
      </c>
    </row>
    <row r="1182" spans="1:8" x14ac:dyDescent="0.15">
      <c r="A1182" s="196" t="s">
        <v>11229</v>
      </c>
      <c r="B1182" s="196" t="s">
        <v>11230</v>
      </c>
      <c r="C1182" s="196" t="s">
        <v>13865</v>
      </c>
      <c r="D1182" s="196" t="s">
        <v>13864</v>
      </c>
      <c r="E1182" s="196" t="s">
        <v>13866</v>
      </c>
      <c r="F1182" s="196" t="s">
        <v>13023</v>
      </c>
      <c r="G1182" s="196" t="s">
        <v>11720</v>
      </c>
      <c r="H1182" s="196" t="s">
        <v>11235</v>
      </c>
    </row>
    <row r="1183" spans="1:8" x14ac:dyDescent="0.15">
      <c r="A1183" s="196" t="s">
        <v>11229</v>
      </c>
      <c r="B1183" s="196" t="s">
        <v>11230</v>
      </c>
      <c r="C1183" s="196" t="s">
        <v>13867</v>
      </c>
      <c r="D1183" s="196" t="s">
        <v>13868</v>
      </c>
      <c r="E1183" s="196" t="s">
        <v>13868</v>
      </c>
      <c r="F1183" s="196" t="s">
        <v>11233</v>
      </c>
      <c r="G1183" s="196" t="s">
        <v>11720</v>
      </c>
      <c r="H1183" s="196" t="s">
        <v>11235</v>
      </c>
    </row>
    <row r="1184" spans="1:8" x14ac:dyDescent="0.15">
      <c r="A1184" s="196" t="s">
        <v>11229</v>
      </c>
      <c r="B1184" s="196" t="s">
        <v>11230</v>
      </c>
      <c r="C1184" s="196" t="s">
        <v>13869</v>
      </c>
      <c r="D1184" s="196" t="s">
        <v>13870</v>
      </c>
      <c r="E1184" s="196" t="s">
        <v>13871</v>
      </c>
      <c r="F1184" s="196" t="s">
        <v>13023</v>
      </c>
      <c r="G1184" s="196" t="s">
        <v>11720</v>
      </c>
      <c r="H1184" s="196" t="s">
        <v>11235</v>
      </c>
    </row>
    <row r="1185" spans="1:8" x14ac:dyDescent="0.15">
      <c r="A1185" s="196" t="s">
        <v>11229</v>
      </c>
      <c r="B1185" s="196" t="s">
        <v>11230</v>
      </c>
      <c r="C1185" s="196" t="s">
        <v>13872</v>
      </c>
      <c r="D1185" s="196" t="s">
        <v>13873</v>
      </c>
      <c r="E1185" s="196" t="s">
        <v>13874</v>
      </c>
      <c r="F1185" s="196" t="s">
        <v>11241</v>
      </c>
      <c r="G1185" s="196" t="s">
        <v>12378</v>
      </c>
      <c r="H1185" s="196" t="s">
        <v>11235</v>
      </c>
    </row>
    <row r="1186" spans="1:8" x14ac:dyDescent="0.15">
      <c r="A1186" s="196" t="s">
        <v>11229</v>
      </c>
      <c r="B1186" s="196" t="s">
        <v>11230</v>
      </c>
      <c r="C1186" s="196" t="s">
        <v>13875</v>
      </c>
      <c r="D1186" s="196" t="s">
        <v>13876</v>
      </c>
      <c r="E1186" s="196" t="s">
        <v>13876</v>
      </c>
      <c r="F1186" s="196" t="s">
        <v>11233</v>
      </c>
      <c r="G1186" s="196" t="s">
        <v>12378</v>
      </c>
      <c r="H1186" s="196" t="s">
        <v>11235</v>
      </c>
    </row>
    <row r="1187" spans="1:8" x14ac:dyDescent="0.15">
      <c r="A1187" s="196" t="s">
        <v>11229</v>
      </c>
      <c r="B1187" s="196" t="s">
        <v>11230</v>
      </c>
      <c r="C1187" s="196" t="s">
        <v>13877</v>
      </c>
      <c r="D1187" s="196" t="s">
        <v>13878</v>
      </c>
      <c r="E1187" s="196" t="s">
        <v>13878</v>
      </c>
      <c r="F1187" s="196" t="s">
        <v>11233</v>
      </c>
      <c r="G1187" s="196" t="s">
        <v>11720</v>
      </c>
      <c r="H1187" s="196" t="s">
        <v>11235</v>
      </c>
    </row>
    <row r="1188" spans="1:8" x14ac:dyDescent="0.15">
      <c r="A1188" s="196" t="s">
        <v>11229</v>
      </c>
      <c r="B1188" s="196" t="s">
        <v>11230</v>
      </c>
      <c r="C1188" s="196" t="s">
        <v>13879</v>
      </c>
      <c r="D1188" s="196" t="s">
        <v>13880</v>
      </c>
      <c r="E1188" s="196" t="s">
        <v>13881</v>
      </c>
      <c r="F1188" s="196" t="s">
        <v>11268</v>
      </c>
      <c r="G1188" s="196" t="s">
        <v>12378</v>
      </c>
      <c r="H1188" s="196" t="s">
        <v>11235</v>
      </c>
    </row>
    <row r="1189" spans="1:8" x14ac:dyDescent="0.15">
      <c r="A1189" s="196" t="s">
        <v>11229</v>
      </c>
      <c r="B1189" s="196" t="s">
        <v>11230</v>
      </c>
      <c r="C1189" s="196" t="s">
        <v>13882</v>
      </c>
      <c r="D1189" s="196" t="s">
        <v>13883</v>
      </c>
      <c r="E1189" s="196" t="s">
        <v>13883</v>
      </c>
      <c r="F1189" s="196" t="s">
        <v>11233</v>
      </c>
      <c r="G1189" s="196" t="s">
        <v>12378</v>
      </c>
      <c r="H1189" s="196" t="s">
        <v>11235</v>
      </c>
    </row>
    <row r="1190" spans="1:8" x14ac:dyDescent="0.15">
      <c r="A1190" s="196" t="s">
        <v>11229</v>
      </c>
      <c r="B1190" s="196" t="s">
        <v>11230</v>
      </c>
      <c r="C1190" s="196" t="s">
        <v>13884</v>
      </c>
      <c r="D1190" s="196" t="s">
        <v>13885</v>
      </c>
      <c r="E1190" s="196" t="s">
        <v>13886</v>
      </c>
      <c r="F1190" s="196" t="s">
        <v>11241</v>
      </c>
      <c r="G1190" s="196" t="s">
        <v>11720</v>
      </c>
      <c r="H1190" s="196" t="s">
        <v>11235</v>
      </c>
    </row>
    <row r="1191" spans="1:8" x14ac:dyDescent="0.15">
      <c r="A1191" s="196" t="s">
        <v>11229</v>
      </c>
      <c r="B1191" s="196" t="s">
        <v>11230</v>
      </c>
      <c r="C1191" s="196" t="s">
        <v>13887</v>
      </c>
      <c r="D1191" s="196" t="s">
        <v>13888</v>
      </c>
      <c r="E1191" s="196" t="s">
        <v>13889</v>
      </c>
      <c r="F1191" s="196" t="s">
        <v>12537</v>
      </c>
      <c r="G1191" s="196" t="s">
        <v>12378</v>
      </c>
      <c r="H1191" s="196" t="s">
        <v>11235</v>
      </c>
    </row>
    <row r="1192" spans="1:8" x14ac:dyDescent="0.15">
      <c r="A1192" s="196" t="s">
        <v>11229</v>
      </c>
      <c r="B1192" s="196" t="s">
        <v>11230</v>
      </c>
      <c r="C1192" s="196" t="s">
        <v>13890</v>
      </c>
      <c r="D1192" s="196" t="s">
        <v>13889</v>
      </c>
      <c r="E1192" s="196" t="s">
        <v>13889</v>
      </c>
      <c r="F1192" s="196" t="s">
        <v>11233</v>
      </c>
      <c r="G1192" s="196" t="s">
        <v>11720</v>
      </c>
      <c r="H1192" s="196" t="s">
        <v>11235</v>
      </c>
    </row>
    <row r="1193" spans="1:8" x14ac:dyDescent="0.15">
      <c r="A1193" s="196" t="s">
        <v>11229</v>
      </c>
      <c r="B1193" s="196" t="s">
        <v>11230</v>
      </c>
      <c r="C1193" s="196" t="s">
        <v>13891</v>
      </c>
      <c r="D1193" s="196" t="s">
        <v>13892</v>
      </c>
      <c r="E1193" s="196" t="s">
        <v>13893</v>
      </c>
      <c r="F1193" s="196" t="s">
        <v>12537</v>
      </c>
      <c r="G1193" s="196" t="s">
        <v>12378</v>
      </c>
      <c r="H1193" s="196" t="s">
        <v>11235</v>
      </c>
    </row>
    <row r="1194" spans="1:8" x14ac:dyDescent="0.15">
      <c r="A1194" s="196" t="s">
        <v>11229</v>
      </c>
      <c r="B1194" s="196" t="s">
        <v>11230</v>
      </c>
      <c r="C1194" s="196" t="s">
        <v>13894</v>
      </c>
      <c r="D1194" s="196" t="s">
        <v>13895</v>
      </c>
      <c r="E1194" s="196" t="s">
        <v>13896</v>
      </c>
      <c r="F1194" s="196" t="s">
        <v>13897</v>
      </c>
      <c r="G1194" s="196" t="s">
        <v>12378</v>
      </c>
      <c r="H1194" s="196" t="s">
        <v>11235</v>
      </c>
    </row>
    <row r="1195" spans="1:8" x14ac:dyDescent="0.15">
      <c r="A1195" s="196" t="s">
        <v>11229</v>
      </c>
      <c r="B1195" s="196" t="s">
        <v>11230</v>
      </c>
      <c r="C1195" s="196" t="s">
        <v>13898</v>
      </c>
      <c r="D1195" s="196" t="s">
        <v>13899</v>
      </c>
      <c r="E1195" s="196" t="s">
        <v>13900</v>
      </c>
      <c r="F1195" s="196" t="s">
        <v>13901</v>
      </c>
      <c r="G1195" s="196" t="s">
        <v>12378</v>
      </c>
      <c r="H1195" s="196" t="s">
        <v>11235</v>
      </c>
    </row>
    <row r="1196" spans="1:8" x14ac:dyDescent="0.15">
      <c r="A1196" s="196" t="s">
        <v>11229</v>
      </c>
      <c r="B1196" s="196" t="s">
        <v>11230</v>
      </c>
      <c r="C1196" s="196" t="s">
        <v>13902</v>
      </c>
      <c r="D1196" s="196" t="s">
        <v>13900</v>
      </c>
      <c r="E1196" s="196" t="s">
        <v>13903</v>
      </c>
      <c r="F1196" s="196" t="s">
        <v>12537</v>
      </c>
      <c r="G1196" s="196" t="s">
        <v>12378</v>
      </c>
      <c r="H1196" s="196" t="s">
        <v>11235</v>
      </c>
    </row>
    <row r="1197" spans="1:8" x14ac:dyDescent="0.15">
      <c r="A1197" s="196" t="s">
        <v>11229</v>
      </c>
      <c r="B1197" s="196" t="s">
        <v>11230</v>
      </c>
      <c r="C1197" s="196" t="s">
        <v>13904</v>
      </c>
      <c r="D1197" s="196" t="s">
        <v>13903</v>
      </c>
      <c r="E1197" s="196" t="s">
        <v>13903</v>
      </c>
      <c r="F1197" s="196" t="s">
        <v>11233</v>
      </c>
      <c r="G1197" s="196" t="s">
        <v>11720</v>
      </c>
      <c r="H1197" s="196" t="s">
        <v>11235</v>
      </c>
    </row>
    <row r="1198" spans="1:8" x14ac:dyDescent="0.15">
      <c r="A1198" s="196" t="s">
        <v>11229</v>
      </c>
      <c r="B1198" s="196" t="s">
        <v>11230</v>
      </c>
      <c r="C1198" s="196" t="s">
        <v>13905</v>
      </c>
      <c r="D1198" s="196" t="s">
        <v>13906</v>
      </c>
      <c r="E1198" s="196" t="s">
        <v>13907</v>
      </c>
      <c r="F1198" s="196" t="s">
        <v>13023</v>
      </c>
      <c r="G1198" s="196" t="s">
        <v>12378</v>
      </c>
      <c r="H1198" s="196" t="s">
        <v>11235</v>
      </c>
    </row>
    <row r="1199" spans="1:8" x14ac:dyDescent="0.15">
      <c r="A1199" s="196" t="s">
        <v>11229</v>
      </c>
      <c r="B1199" s="196" t="s">
        <v>11230</v>
      </c>
      <c r="C1199" s="196" t="s">
        <v>13908</v>
      </c>
      <c r="D1199" s="196" t="s">
        <v>13909</v>
      </c>
      <c r="E1199" s="196" t="s">
        <v>13910</v>
      </c>
      <c r="F1199" s="196" t="s">
        <v>13023</v>
      </c>
      <c r="G1199" s="196" t="s">
        <v>12378</v>
      </c>
      <c r="H1199" s="196" t="s">
        <v>11235</v>
      </c>
    </row>
    <row r="1200" spans="1:8" x14ac:dyDescent="0.15">
      <c r="A1200" s="196" t="s">
        <v>11229</v>
      </c>
      <c r="B1200" s="196" t="s">
        <v>11230</v>
      </c>
      <c r="C1200" s="196" t="s">
        <v>13911</v>
      </c>
      <c r="D1200" s="196" t="s">
        <v>13912</v>
      </c>
      <c r="E1200" s="196" t="s">
        <v>13913</v>
      </c>
      <c r="F1200" s="196" t="s">
        <v>13914</v>
      </c>
      <c r="G1200" s="196" t="s">
        <v>12378</v>
      </c>
      <c r="H1200" s="196" t="s">
        <v>11235</v>
      </c>
    </row>
    <row r="1201" spans="1:8" x14ac:dyDescent="0.15">
      <c r="A1201" s="196" t="s">
        <v>11229</v>
      </c>
      <c r="B1201" s="196" t="s">
        <v>11230</v>
      </c>
      <c r="C1201" s="196" t="s">
        <v>13915</v>
      </c>
      <c r="D1201" s="196" t="s">
        <v>13916</v>
      </c>
      <c r="E1201" s="196" t="s">
        <v>13917</v>
      </c>
      <c r="F1201" s="196" t="s">
        <v>13023</v>
      </c>
      <c r="G1201" s="196" t="s">
        <v>12378</v>
      </c>
      <c r="H1201" s="196" t="s">
        <v>11235</v>
      </c>
    </row>
    <row r="1202" spans="1:8" x14ac:dyDescent="0.15">
      <c r="A1202" s="196" t="s">
        <v>11229</v>
      </c>
      <c r="B1202" s="196" t="s">
        <v>11230</v>
      </c>
      <c r="C1202" s="196" t="s">
        <v>13918</v>
      </c>
      <c r="D1202" s="196" t="s">
        <v>13919</v>
      </c>
      <c r="E1202" s="196" t="s">
        <v>13920</v>
      </c>
      <c r="F1202" s="196" t="s">
        <v>13023</v>
      </c>
      <c r="G1202" s="196" t="s">
        <v>12378</v>
      </c>
      <c r="H1202" s="196" t="s">
        <v>11235</v>
      </c>
    </row>
    <row r="1203" spans="1:8" x14ac:dyDescent="0.15">
      <c r="A1203" s="196" t="s">
        <v>11229</v>
      </c>
      <c r="B1203" s="196" t="s">
        <v>11230</v>
      </c>
      <c r="C1203" s="196" t="s">
        <v>13921</v>
      </c>
      <c r="D1203" s="196" t="s">
        <v>13922</v>
      </c>
      <c r="E1203" s="196" t="s">
        <v>13922</v>
      </c>
      <c r="F1203" s="196" t="s">
        <v>11233</v>
      </c>
      <c r="G1203" s="196" t="s">
        <v>11720</v>
      </c>
      <c r="H1203" s="196" t="s">
        <v>11235</v>
      </c>
    </row>
    <row r="1204" spans="1:8" x14ac:dyDescent="0.15">
      <c r="A1204" s="196" t="s">
        <v>11229</v>
      </c>
      <c r="B1204" s="196" t="s">
        <v>11230</v>
      </c>
      <c r="C1204" s="196" t="s">
        <v>13923</v>
      </c>
      <c r="D1204" s="196" t="s">
        <v>13920</v>
      </c>
      <c r="E1204" s="196" t="s">
        <v>13920</v>
      </c>
      <c r="F1204" s="196" t="s">
        <v>11233</v>
      </c>
      <c r="G1204" s="196" t="s">
        <v>11720</v>
      </c>
      <c r="H1204" s="196" t="s">
        <v>11235</v>
      </c>
    </row>
    <row r="1205" spans="1:8" x14ac:dyDescent="0.15">
      <c r="A1205" s="196" t="s">
        <v>11229</v>
      </c>
      <c r="B1205" s="196" t="s">
        <v>11230</v>
      </c>
      <c r="C1205" s="196" t="s">
        <v>13924</v>
      </c>
      <c r="D1205" s="196" t="s">
        <v>13925</v>
      </c>
      <c r="E1205" s="196" t="s">
        <v>13926</v>
      </c>
      <c r="F1205" s="196" t="s">
        <v>13023</v>
      </c>
      <c r="G1205" s="196" t="s">
        <v>12378</v>
      </c>
      <c r="H1205" s="196" t="s">
        <v>11235</v>
      </c>
    </row>
    <row r="1206" spans="1:8" x14ac:dyDescent="0.15">
      <c r="A1206" s="196" t="s">
        <v>11229</v>
      </c>
      <c r="B1206" s="196" t="s">
        <v>11230</v>
      </c>
      <c r="C1206" s="196" t="s">
        <v>13927</v>
      </c>
      <c r="D1206" s="196" t="s">
        <v>13925</v>
      </c>
      <c r="E1206" s="196" t="s">
        <v>13643</v>
      </c>
      <c r="F1206" s="196" t="s">
        <v>11241</v>
      </c>
      <c r="G1206" s="196" t="s">
        <v>11720</v>
      </c>
      <c r="H1206" s="196" t="s">
        <v>11235</v>
      </c>
    </row>
    <row r="1207" spans="1:8" x14ac:dyDescent="0.15">
      <c r="A1207" s="196" t="s">
        <v>11229</v>
      </c>
      <c r="B1207" s="196" t="s">
        <v>11230</v>
      </c>
      <c r="C1207" s="196" t="s">
        <v>13928</v>
      </c>
      <c r="D1207" s="196" t="s">
        <v>13643</v>
      </c>
      <c r="E1207" s="196" t="s">
        <v>13926</v>
      </c>
      <c r="F1207" s="196" t="s">
        <v>11268</v>
      </c>
      <c r="G1207" s="196" t="s">
        <v>11720</v>
      </c>
      <c r="H1207" s="196" t="s">
        <v>11235</v>
      </c>
    </row>
    <row r="1208" spans="1:8" x14ac:dyDescent="0.15">
      <c r="A1208" s="196" t="s">
        <v>11229</v>
      </c>
      <c r="B1208" s="196" t="s">
        <v>11230</v>
      </c>
      <c r="C1208" s="196" t="s">
        <v>13929</v>
      </c>
      <c r="D1208" s="196" t="s">
        <v>13926</v>
      </c>
      <c r="E1208" s="196" t="s">
        <v>13930</v>
      </c>
      <c r="F1208" s="196" t="s">
        <v>13931</v>
      </c>
      <c r="G1208" s="196" t="s">
        <v>11962</v>
      </c>
      <c r="H1208" s="196" t="s">
        <v>11235</v>
      </c>
    </row>
    <row r="1209" spans="1:8" x14ac:dyDescent="0.15">
      <c r="A1209" s="196" t="s">
        <v>11229</v>
      </c>
      <c r="B1209" s="196" t="s">
        <v>11230</v>
      </c>
      <c r="C1209" s="196" t="s">
        <v>13932</v>
      </c>
      <c r="D1209" s="196" t="s">
        <v>13933</v>
      </c>
      <c r="E1209" s="196" t="s">
        <v>13933</v>
      </c>
      <c r="F1209" s="196" t="s">
        <v>11233</v>
      </c>
      <c r="G1209" s="196" t="s">
        <v>11720</v>
      </c>
      <c r="H1209" s="196" t="s">
        <v>11235</v>
      </c>
    </row>
    <row r="1210" spans="1:8" x14ac:dyDescent="0.15">
      <c r="A1210" s="196" t="s">
        <v>11229</v>
      </c>
      <c r="B1210" s="196" t="s">
        <v>11230</v>
      </c>
      <c r="C1210" s="196" t="s">
        <v>13934</v>
      </c>
      <c r="D1210" s="196" t="s">
        <v>13933</v>
      </c>
      <c r="E1210" s="196" t="s">
        <v>13933</v>
      </c>
      <c r="F1210" s="196" t="s">
        <v>11233</v>
      </c>
      <c r="G1210" s="196" t="s">
        <v>12378</v>
      </c>
      <c r="H1210" s="196" t="s">
        <v>11235</v>
      </c>
    </row>
    <row r="1211" spans="1:8" x14ac:dyDescent="0.15">
      <c r="A1211" s="196" t="s">
        <v>11229</v>
      </c>
      <c r="B1211" s="196" t="s">
        <v>11230</v>
      </c>
      <c r="C1211" s="196" t="s">
        <v>13935</v>
      </c>
      <c r="D1211" s="196" t="s">
        <v>13936</v>
      </c>
      <c r="E1211" s="196" t="s">
        <v>13936</v>
      </c>
      <c r="F1211" s="196" t="s">
        <v>11233</v>
      </c>
      <c r="G1211" s="196" t="s">
        <v>11720</v>
      </c>
      <c r="H1211" s="196" t="s">
        <v>11235</v>
      </c>
    </row>
    <row r="1212" spans="1:8" x14ac:dyDescent="0.15">
      <c r="A1212" s="196" t="s">
        <v>11229</v>
      </c>
      <c r="B1212" s="196" t="s">
        <v>11230</v>
      </c>
      <c r="C1212" s="196" t="s">
        <v>13937</v>
      </c>
      <c r="D1212" s="196" t="s">
        <v>13938</v>
      </c>
      <c r="E1212" s="196" t="s">
        <v>13938</v>
      </c>
      <c r="F1212" s="196" t="s">
        <v>11233</v>
      </c>
      <c r="G1212" s="196" t="s">
        <v>12378</v>
      </c>
      <c r="H1212" s="196" t="s">
        <v>11235</v>
      </c>
    </row>
    <row r="1213" spans="1:8" x14ac:dyDescent="0.15">
      <c r="A1213" s="196" t="s">
        <v>11229</v>
      </c>
      <c r="B1213" s="196" t="s">
        <v>11230</v>
      </c>
      <c r="C1213" s="196" t="s">
        <v>13939</v>
      </c>
      <c r="D1213" s="196" t="s">
        <v>13940</v>
      </c>
      <c r="E1213" s="196" t="s">
        <v>13940</v>
      </c>
      <c r="F1213" s="196" t="s">
        <v>11233</v>
      </c>
      <c r="G1213" s="196" t="s">
        <v>11720</v>
      </c>
      <c r="H1213" s="196" t="s">
        <v>11235</v>
      </c>
    </row>
    <row r="1214" spans="1:8" x14ac:dyDescent="0.15">
      <c r="A1214" s="196" t="s">
        <v>11229</v>
      </c>
      <c r="B1214" s="196" t="s">
        <v>11230</v>
      </c>
      <c r="C1214" s="196" t="s">
        <v>13941</v>
      </c>
      <c r="D1214" s="196" t="s">
        <v>13942</v>
      </c>
      <c r="E1214" s="196" t="s">
        <v>13942</v>
      </c>
      <c r="F1214" s="196" t="s">
        <v>11233</v>
      </c>
      <c r="G1214" s="196" t="s">
        <v>11720</v>
      </c>
      <c r="H1214" s="196" t="s">
        <v>11235</v>
      </c>
    </row>
    <row r="1215" spans="1:8" x14ac:dyDescent="0.15">
      <c r="A1215" s="196" t="s">
        <v>11229</v>
      </c>
      <c r="B1215" s="196" t="s">
        <v>11230</v>
      </c>
      <c r="C1215" s="196" t="s">
        <v>13943</v>
      </c>
      <c r="D1215" s="196" t="s">
        <v>13942</v>
      </c>
      <c r="E1215" s="196" t="s">
        <v>13944</v>
      </c>
      <c r="F1215" s="196" t="s">
        <v>11268</v>
      </c>
      <c r="G1215" s="196" t="s">
        <v>12378</v>
      </c>
      <c r="H1215" s="196" t="s">
        <v>11235</v>
      </c>
    </row>
    <row r="1216" spans="1:8" x14ac:dyDescent="0.15">
      <c r="A1216" s="196" t="s">
        <v>11229</v>
      </c>
      <c r="B1216" s="196" t="s">
        <v>11230</v>
      </c>
      <c r="C1216" s="196" t="s">
        <v>13945</v>
      </c>
      <c r="D1216" s="196" t="s">
        <v>13944</v>
      </c>
      <c r="E1216" s="196" t="s">
        <v>13944</v>
      </c>
      <c r="F1216" s="196" t="s">
        <v>11233</v>
      </c>
      <c r="G1216" s="196" t="s">
        <v>11720</v>
      </c>
      <c r="H1216" s="196" t="s">
        <v>11235</v>
      </c>
    </row>
    <row r="1217" spans="1:8" x14ac:dyDescent="0.15">
      <c r="A1217" s="196" t="s">
        <v>11229</v>
      </c>
      <c r="B1217" s="196" t="s">
        <v>11230</v>
      </c>
      <c r="C1217" s="196" t="s">
        <v>13946</v>
      </c>
      <c r="D1217" s="196" t="s">
        <v>13944</v>
      </c>
      <c r="E1217" s="196" t="s">
        <v>13947</v>
      </c>
      <c r="F1217" s="196" t="s">
        <v>11241</v>
      </c>
      <c r="G1217" s="196" t="s">
        <v>12378</v>
      </c>
      <c r="H1217" s="196" t="s">
        <v>11235</v>
      </c>
    </row>
    <row r="1218" spans="1:8" x14ac:dyDescent="0.15">
      <c r="A1218" s="196" t="s">
        <v>11229</v>
      </c>
      <c r="B1218" s="196" t="s">
        <v>11230</v>
      </c>
      <c r="C1218" s="196" t="s">
        <v>13948</v>
      </c>
      <c r="D1218" s="196" t="s">
        <v>13949</v>
      </c>
      <c r="E1218" s="196" t="s">
        <v>13950</v>
      </c>
      <c r="F1218" s="196" t="s">
        <v>11268</v>
      </c>
      <c r="G1218" s="196" t="s">
        <v>11720</v>
      </c>
      <c r="H1218" s="196" t="s">
        <v>11235</v>
      </c>
    </row>
    <row r="1219" spans="1:8" x14ac:dyDescent="0.15">
      <c r="A1219" s="196" t="s">
        <v>11229</v>
      </c>
      <c r="B1219" s="196" t="s">
        <v>11230</v>
      </c>
      <c r="C1219" s="196" t="s">
        <v>13951</v>
      </c>
      <c r="D1219" s="196" t="s">
        <v>13950</v>
      </c>
      <c r="E1219" s="196" t="s">
        <v>13952</v>
      </c>
      <c r="F1219" s="196" t="s">
        <v>11241</v>
      </c>
      <c r="G1219" s="196" t="s">
        <v>11720</v>
      </c>
      <c r="H1219" s="196" t="s">
        <v>11235</v>
      </c>
    </row>
    <row r="1220" spans="1:8" x14ac:dyDescent="0.15">
      <c r="A1220" s="196" t="s">
        <v>11229</v>
      </c>
      <c r="B1220" s="196" t="s">
        <v>11230</v>
      </c>
      <c r="C1220" s="196" t="s">
        <v>13953</v>
      </c>
      <c r="D1220" s="196" t="s">
        <v>13950</v>
      </c>
      <c r="E1220" s="196" t="s">
        <v>13954</v>
      </c>
      <c r="F1220" s="196" t="s">
        <v>12526</v>
      </c>
      <c r="G1220" s="196" t="s">
        <v>12378</v>
      </c>
      <c r="H1220" s="196" t="s">
        <v>11235</v>
      </c>
    </row>
    <row r="1221" spans="1:8" x14ac:dyDescent="0.15">
      <c r="A1221" s="196" t="s">
        <v>11229</v>
      </c>
      <c r="B1221" s="196" t="s">
        <v>11230</v>
      </c>
      <c r="C1221" s="196" t="s">
        <v>13955</v>
      </c>
      <c r="D1221" s="196" t="s">
        <v>13954</v>
      </c>
      <c r="E1221" s="196" t="s">
        <v>13956</v>
      </c>
      <c r="F1221" s="196" t="s">
        <v>11241</v>
      </c>
      <c r="G1221" s="196" t="s">
        <v>11720</v>
      </c>
      <c r="H1221" s="196" t="s">
        <v>11235</v>
      </c>
    </row>
    <row r="1222" spans="1:8" x14ac:dyDescent="0.15">
      <c r="A1222" s="196" t="s">
        <v>11229</v>
      </c>
      <c r="B1222" s="196" t="s">
        <v>11230</v>
      </c>
      <c r="C1222" s="196" t="s">
        <v>13957</v>
      </c>
      <c r="D1222" s="196" t="s">
        <v>13956</v>
      </c>
      <c r="E1222" s="196" t="s">
        <v>13958</v>
      </c>
      <c r="F1222" s="196" t="s">
        <v>13959</v>
      </c>
      <c r="G1222" s="196" t="s">
        <v>12378</v>
      </c>
      <c r="H1222" s="196" t="s">
        <v>11235</v>
      </c>
    </row>
    <row r="1223" spans="1:8" x14ac:dyDescent="0.15">
      <c r="A1223" s="196" t="s">
        <v>11229</v>
      </c>
      <c r="B1223" s="196" t="s">
        <v>11230</v>
      </c>
      <c r="C1223" s="196" t="s">
        <v>13960</v>
      </c>
      <c r="D1223" s="196" t="s">
        <v>13961</v>
      </c>
      <c r="E1223" s="196" t="s">
        <v>13961</v>
      </c>
      <c r="F1223" s="196" t="s">
        <v>11233</v>
      </c>
      <c r="G1223" s="196" t="s">
        <v>11720</v>
      </c>
      <c r="H1223" s="196" t="s">
        <v>11235</v>
      </c>
    </row>
    <row r="1224" spans="1:8" x14ac:dyDescent="0.15">
      <c r="A1224" s="196" t="s">
        <v>11229</v>
      </c>
      <c r="B1224" s="196" t="s">
        <v>11230</v>
      </c>
      <c r="C1224" s="196" t="s">
        <v>13962</v>
      </c>
      <c r="D1224" s="196" t="s">
        <v>13963</v>
      </c>
      <c r="E1224" s="196" t="s">
        <v>13963</v>
      </c>
      <c r="F1224" s="196" t="s">
        <v>11233</v>
      </c>
      <c r="G1224" s="196" t="s">
        <v>11720</v>
      </c>
      <c r="H1224" s="196" t="s">
        <v>11235</v>
      </c>
    </row>
    <row r="1225" spans="1:8" x14ac:dyDescent="0.15">
      <c r="A1225" s="196" t="s">
        <v>11229</v>
      </c>
      <c r="B1225" s="196" t="s">
        <v>11230</v>
      </c>
      <c r="C1225" s="196" t="s">
        <v>13964</v>
      </c>
      <c r="D1225" s="196" t="s">
        <v>13965</v>
      </c>
      <c r="E1225" s="196" t="s">
        <v>13965</v>
      </c>
      <c r="F1225" s="196" t="s">
        <v>11233</v>
      </c>
      <c r="G1225" s="196" t="s">
        <v>11720</v>
      </c>
      <c r="H1225" s="196" t="s">
        <v>11235</v>
      </c>
    </row>
    <row r="1226" spans="1:8" x14ac:dyDescent="0.15">
      <c r="A1226" s="196" t="s">
        <v>11229</v>
      </c>
      <c r="B1226" s="196" t="s">
        <v>11230</v>
      </c>
      <c r="C1226" s="196" t="s">
        <v>13966</v>
      </c>
      <c r="D1226" s="196" t="s">
        <v>13967</v>
      </c>
      <c r="E1226" s="196" t="s">
        <v>13967</v>
      </c>
      <c r="F1226" s="196" t="s">
        <v>11233</v>
      </c>
      <c r="G1226" s="196" t="s">
        <v>12378</v>
      </c>
      <c r="H1226" s="196" t="s">
        <v>11235</v>
      </c>
    </row>
    <row r="1227" spans="1:8" x14ac:dyDescent="0.15">
      <c r="A1227" s="196" t="s">
        <v>11229</v>
      </c>
      <c r="B1227" s="196" t="s">
        <v>11230</v>
      </c>
      <c r="C1227" s="196" t="s">
        <v>13968</v>
      </c>
      <c r="D1227" s="196" t="s">
        <v>13969</v>
      </c>
      <c r="E1227" s="196" t="s">
        <v>13969</v>
      </c>
      <c r="F1227" s="196" t="s">
        <v>11233</v>
      </c>
      <c r="G1227" s="196" t="s">
        <v>11720</v>
      </c>
      <c r="H1227" s="196" t="s">
        <v>11235</v>
      </c>
    </row>
    <row r="1228" spans="1:8" x14ac:dyDescent="0.15">
      <c r="A1228" s="196" t="s">
        <v>11229</v>
      </c>
      <c r="B1228" s="196" t="s">
        <v>11230</v>
      </c>
      <c r="C1228" s="196" t="s">
        <v>13970</v>
      </c>
      <c r="D1228" s="196" t="s">
        <v>13971</v>
      </c>
      <c r="E1228" s="196" t="s">
        <v>13972</v>
      </c>
      <c r="F1228" s="196" t="s">
        <v>11241</v>
      </c>
      <c r="G1228" s="196" t="s">
        <v>12378</v>
      </c>
      <c r="H1228" s="196" t="s">
        <v>11235</v>
      </c>
    </row>
    <row r="1229" spans="1:8" x14ac:dyDescent="0.15">
      <c r="A1229" s="196" t="s">
        <v>11229</v>
      </c>
      <c r="B1229" s="196" t="s">
        <v>11230</v>
      </c>
      <c r="C1229" s="196" t="s">
        <v>13973</v>
      </c>
      <c r="D1229" s="196" t="s">
        <v>13974</v>
      </c>
      <c r="E1229" s="196" t="s">
        <v>13974</v>
      </c>
      <c r="F1229" s="196" t="s">
        <v>11233</v>
      </c>
      <c r="G1229" s="196" t="s">
        <v>12378</v>
      </c>
      <c r="H1229" s="196" t="s">
        <v>11235</v>
      </c>
    </row>
    <row r="1230" spans="1:8" x14ac:dyDescent="0.15">
      <c r="A1230" s="196" t="s">
        <v>11229</v>
      </c>
      <c r="B1230" s="196" t="s">
        <v>11230</v>
      </c>
      <c r="C1230" s="196" t="s">
        <v>13975</v>
      </c>
      <c r="D1230" s="196" t="s">
        <v>13976</v>
      </c>
      <c r="E1230" s="196" t="s">
        <v>13976</v>
      </c>
      <c r="F1230" s="196" t="s">
        <v>11233</v>
      </c>
      <c r="G1230" s="196" t="s">
        <v>12378</v>
      </c>
      <c r="H1230" s="196" t="s">
        <v>11235</v>
      </c>
    </row>
    <row r="1231" spans="1:8" x14ac:dyDescent="0.15">
      <c r="A1231" s="196" t="s">
        <v>11229</v>
      </c>
      <c r="B1231" s="196" t="s">
        <v>11230</v>
      </c>
      <c r="C1231" s="196" t="s">
        <v>13977</v>
      </c>
      <c r="D1231" s="196" t="s">
        <v>13978</v>
      </c>
      <c r="E1231" s="196" t="s">
        <v>13978</v>
      </c>
      <c r="F1231" s="196" t="s">
        <v>11233</v>
      </c>
      <c r="G1231" s="196" t="s">
        <v>11720</v>
      </c>
      <c r="H1231" s="196" t="s">
        <v>11235</v>
      </c>
    </row>
    <row r="1232" spans="1:8" x14ac:dyDescent="0.15">
      <c r="A1232" s="196" t="s">
        <v>11229</v>
      </c>
      <c r="B1232" s="196" t="s">
        <v>11230</v>
      </c>
      <c r="C1232" s="196" t="s">
        <v>13979</v>
      </c>
      <c r="D1232" s="196" t="s">
        <v>13980</v>
      </c>
      <c r="E1232" s="196" t="s">
        <v>13980</v>
      </c>
      <c r="F1232" s="196" t="s">
        <v>11233</v>
      </c>
      <c r="G1232" s="196" t="s">
        <v>12378</v>
      </c>
      <c r="H1232" s="196" t="s">
        <v>11235</v>
      </c>
    </row>
    <row r="1233" spans="1:8" x14ac:dyDescent="0.15">
      <c r="A1233" s="196" t="s">
        <v>11229</v>
      </c>
      <c r="B1233" s="196" t="s">
        <v>11230</v>
      </c>
      <c r="C1233" s="196" t="s">
        <v>13981</v>
      </c>
      <c r="D1233" s="196" t="s">
        <v>13982</v>
      </c>
      <c r="E1233" s="196" t="s">
        <v>13982</v>
      </c>
      <c r="F1233" s="196" t="s">
        <v>11233</v>
      </c>
      <c r="G1233" s="196" t="s">
        <v>12378</v>
      </c>
      <c r="H1233" s="196" t="s">
        <v>11235</v>
      </c>
    </row>
    <row r="1234" spans="1:8" x14ac:dyDescent="0.15">
      <c r="A1234" s="196" t="s">
        <v>11229</v>
      </c>
      <c r="B1234" s="196" t="s">
        <v>11230</v>
      </c>
      <c r="C1234" s="196" t="s">
        <v>13983</v>
      </c>
      <c r="D1234" s="196" t="s">
        <v>13984</v>
      </c>
      <c r="E1234" s="196" t="s">
        <v>13985</v>
      </c>
      <c r="F1234" s="196" t="s">
        <v>11241</v>
      </c>
      <c r="G1234" s="196" t="s">
        <v>12378</v>
      </c>
      <c r="H1234" s="196" t="s">
        <v>11235</v>
      </c>
    </row>
    <row r="1235" spans="1:8" x14ac:dyDescent="0.15">
      <c r="A1235" s="196" t="s">
        <v>11229</v>
      </c>
      <c r="B1235" s="196" t="s">
        <v>11230</v>
      </c>
      <c r="C1235" s="196" t="s">
        <v>13986</v>
      </c>
      <c r="D1235" s="196" t="s">
        <v>13985</v>
      </c>
      <c r="E1235" s="196" t="s">
        <v>13987</v>
      </c>
      <c r="F1235" s="196" t="s">
        <v>11268</v>
      </c>
      <c r="G1235" s="196" t="s">
        <v>12378</v>
      </c>
      <c r="H1235" s="196" t="s">
        <v>11235</v>
      </c>
    </row>
    <row r="1236" spans="1:8" x14ac:dyDescent="0.15">
      <c r="A1236" s="196" t="s">
        <v>11229</v>
      </c>
      <c r="B1236" s="196" t="s">
        <v>11230</v>
      </c>
      <c r="C1236" s="196" t="s">
        <v>13988</v>
      </c>
      <c r="D1236" s="196" t="s">
        <v>13987</v>
      </c>
      <c r="E1236" s="196" t="s">
        <v>13989</v>
      </c>
      <c r="F1236" s="196" t="s">
        <v>11241</v>
      </c>
      <c r="G1236" s="196" t="s">
        <v>12378</v>
      </c>
      <c r="H1236" s="196" t="s">
        <v>11235</v>
      </c>
    </row>
    <row r="1237" spans="1:8" x14ac:dyDescent="0.15">
      <c r="A1237" s="196" t="s">
        <v>11229</v>
      </c>
      <c r="B1237" s="196" t="s">
        <v>11230</v>
      </c>
      <c r="C1237" s="196" t="s">
        <v>13990</v>
      </c>
      <c r="D1237" s="196" t="s">
        <v>13989</v>
      </c>
      <c r="E1237" s="196" t="s">
        <v>13991</v>
      </c>
      <c r="F1237" s="196" t="s">
        <v>11268</v>
      </c>
      <c r="G1237" s="196" t="s">
        <v>12378</v>
      </c>
      <c r="H1237" s="196" t="s">
        <v>11235</v>
      </c>
    </row>
    <row r="1238" spans="1:8" x14ac:dyDescent="0.15">
      <c r="A1238" s="196" t="s">
        <v>11229</v>
      </c>
      <c r="B1238" s="196" t="s">
        <v>11230</v>
      </c>
      <c r="C1238" s="196" t="s">
        <v>13992</v>
      </c>
      <c r="D1238" s="196" t="s">
        <v>13989</v>
      </c>
      <c r="E1238" s="196" t="s">
        <v>13989</v>
      </c>
      <c r="F1238" s="196" t="s">
        <v>11233</v>
      </c>
      <c r="G1238" s="196" t="s">
        <v>11720</v>
      </c>
      <c r="H1238" s="196" t="s">
        <v>11235</v>
      </c>
    </row>
    <row r="1239" spans="1:8" x14ac:dyDescent="0.15">
      <c r="A1239" s="196" t="s">
        <v>11229</v>
      </c>
      <c r="B1239" s="196" t="s">
        <v>11230</v>
      </c>
      <c r="C1239" s="196" t="s">
        <v>13993</v>
      </c>
      <c r="D1239" s="196" t="s">
        <v>13991</v>
      </c>
      <c r="E1239" s="196" t="s">
        <v>13994</v>
      </c>
      <c r="F1239" s="196" t="s">
        <v>11241</v>
      </c>
      <c r="G1239" s="196" t="s">
        <v>12378</v>
      </c>
      <c r="H1239" s="196" t="s">
        <v>11235</v>
      </c>
    </row>
    <row r="1240" spans="1:8" x14ac:dyDescent="0.15">
      <c r="A1240" s="196" t="s">
        <v>11229</v>
      </c>
      <c r="B1240" s="196" t="s">
        <v>11230</v>
      </c>
      <c r="C1240" s="196" t="s">
        <v>13995</v>
      </c>
      <c r="D1240" s="196" t="s">
        <v>13994</v>
      </c>
      <c r="E1240" s="196" t="s">
        <v>13996</v>
      </c>
      <c r="F1240" s="196" t="s">
        <v>11241</v>
      </c>
      <c r="G1240" s="196" t="s">
        <v>12378</v>
      </c>
      <c r="H1240" s="196" t="s">
        <v>11235</v>
      </c>
    </row>
    <row r="1241" spans="1:8" x14ac:dyDescent="0.15">
      <c r="A1241" s="196" t="s">
        <v>11229</v>
      </c>
      <c r="B1241" s="196" t="s">
        <v>11230</v>
      </c>
      <c r="C1241" s="196" t="s">
        <v>13997</v>
      </c>
      <c r="D1241" s="196" t="s">
        <v>13996</v>
      </c>
      <c r="E1241" s="196" t="s">
        <v>13998</v>
      </c>
      <c r="F1241" s="196" t="s">
        <v>11268</v>
      </c>
      <c r="G1241" s="196" t="s">
        <v>12378</v>
      </c>
      <c r="H1241" s="196" t="s">
        <v>11235</v>
      </c>
    </row>
    <row r="1242" spans="1:8" x14ac:dyDescent="0.15">
      <c r="A1242" s="196" t="s">
        <v>11229</v>
      </c>
      <c r="B1242" s="196" t="s">
        <v>11230</v>
      </c>
      <c r="C1242" s="196" t="s">
        <v>13999</v>
      </c>
      <c r="D1242" s="196" t="s">
        <v>14000</v>
      </c>
      <c r="E1242" s="196" t="s">
        <v>14001</v>
      </c>
      <c r="F1242" s="196" t="s">
        <v>11241</v>
      </c>
      <c r="G1242" s="196" t="s">
        <v>12378</v>
      </c>
      <c r="H1242" s="196" t="s">
        <v>11235</v>
      </c>
    </row>
    <row r="1243" spans="1:8" x14ac:dyDescent="0.15">
      <c r="A1243" s="196" t="s">
        <v>11229</v>
      </c>
      <c r="B1243" s="196" t="s">
        <v>11230</v>
      </c>
      <c r="C1243" s="196" t="s">
        <v>14002</v>
      </c>
      <c r="D1243" s="196" t="s">
        <v>14001</v>
      </c>
      <c r="E1243" s="196" t="s">
        <v>14003</v>
      </c>
      <c r="F1243" s="196" t="s">
        <v>11268</v>
      </c>
      <c r="G1243" s="196" t="s">
        <v>12378</v>
      </c>
      <c r="H1243" s="196" t="s">
        <v>11235</v>
      </c>
    </row>
    <row r="1244" spans="1:8" x14ac:dyDescent="0.15">
      <c r="A1244" s="196" t="s">
        <v>11229</v>
      </c>
      <c r="B1244" s="196" t="s">
        <v>11230</v>
      </c>
      <c r="C1244" s="196" t="s">
        <v>14004</v>
      </c>
      <c r="D1244" s="196" t="s">
        <v>14005</v>
      </c>
      <c r="E1244" s="196" t="s">
        <v>14005</v>
      </c>
      <c r="F1244" s="196" t="s">
        <v>11233</v>
      </c>
      <c r="G1244" s="196" t="s">
        <v>12378</v>
      </c>
      <c r="H1244" s="196" t="s">
        <v>11235</v>
      </c>
    </row>
    <row r="1245" spans="1:8" x14ac:dyDescent="0.15">
      <c r="A1245" s="196" t="s">
        <v>11229</v>
      </c>
      <c r="B1245" s="196" t="s">
        <v>11230</v>
      </c>
      <c r="C1245" s="196" t="s">
        <v>14006</v>
      </c>
      <c r="D1245" s="196" t="s">
        <v>14007</v>
      </c>
      <c r="E1245" s="196" t="s">
        <v>14007</v>
      </c>
      <c r="F1245" s="196" t="s">
        <v>11233</v>
      </c>
      <c r="G1245" s="196" t="s">
        <v>12378</v>
      </c>
      <c r="H1245" s="196" t="s">
        <v>11235</v>
      </c>
    </row>
    <row r="1246" spans="1:8" x14ac:dyDescent="0.15">
      <c r="A1246" s="196" t="s">
        <v>11229</v>
      </c>
      <c r="B1246" s="196" t="s">
        <v>11230</v>
      </c>
      <c r="C1246" s="196" t="s">
        <v>14008</v>
      </c>
      <c r="D1246" s="196" t="s">
        <v>14009</v>
      </c>
      <c r="E1246" s="196" t="s">
        <v>14009</v>
      </c>
      <c r="F1246" s="196" t="s">
        <v>11233</v>
      </c>
      <c r="G1246" s="196" t="s">
        <v>11720</v>
      </c>
      <c r="H1246" s="196" t="s">
        <v>11235</v>
      </c>
    </row>
    <row r="1247" spans="1:8" x14ac:dyDescent="0.15">
      <c r="A1247" s="196" t="s">
        <v>11229</v>
      </c>
      <c r="B1247" s="196" t="s">
        <v>11230</v>
      </c>
      <c r="C1247" s="196" t="s">
        <v>14010</v>
      </c>
      <c r="D1247" s="196" t="s">
        <v>14011</v>
      </c>
      <c r="E1247" s="196" t="s">
        <v>14011</v>
      </c>
      <c r="F1247" s="196" t="s">
        <v>11233</v>
      </c>
      <c r="G1247" s="196" t="s">
        <v>12378</v>
      </c>
      <c r="H1247" s="196" t="s">
        <v>11235</v>
      </c>
    </row>
    <row r="1248" spans="1:8" x14ac:dyDescent="0.15">
      <c r="A1248" s="196" t="s">
        <v>11229</v>
      </c>
      <c r="B1248" s="196" t="s">
        <v>11230</v>
      </c>
      <c r="C1248" s="196" t="s">
        <v>14012</v>
      </c>
      <c r="D1248" s="196" t="s">
        <v>14013</v>
      </c>
      <c r="E1248" s="196" t="s">
        <v>14013</v>
      </c>
      <c r="F1248" s="196" t="s">
        <v>11233</v>
      </c>
      <c r="G1248" s="196" t="s">
        <v>11720</v>
      </c>
      <c r="H1248" s="196" t="s">
        <v>11235</v>
      </c>
    </row>
    <row r="1249" spans="1:8" x14ac:dyDescent="0.15">
      <c r="A1249" s="196" t="s">
        <v>11229</v>
      </c>
      <c r="B1249" s="196" t="s">
        <v>11230</v>
      </c>
      <c r="C1249" s="196" t="s">
        <v>14014</v>
      </c>
      <c r="D1249" s="196" t="s">
        <v>14015</v>
      </c>
      <c r="E1249" s="196" t="s">
        <v>14016</v>
      </c>
      <c r="F1249" s="196" t="s">
        <v>14017</v>
      </c>
      <c r="G1249" s="196" t="s">
        <v>12378</v>
      </c>
      <c r="H1249" s="196" t="s">
        <v>11235</v>
      </c>
    </row>
    <row r="1250" spans="1:8" x14ac:dyDescent="0.15">
      <c r="A1250" s="196" t="s">
        <v>11229</v>
      </c>
      <c r="B1250" s="196" t="s">
        <v>11230</v>
      </c>
      <c r="C1250" s="196" t="s">
        <v>14018</v>
      </c>
      <c r="D1250" s="196" t="s">
        <v>14019</v>
      </c>
      <c r="E1250" s="196" t="s">
        <v>14020</v>
      </c>
      <c r="F1250" s="196" t="s">
        <v>11268</v>
      </c>
      <c r="G1250" s="196" t="s">
        <v>11720</v>
      </c>
      <c r="H1250" s="196" t="s">
        <v>11235</v>
      </c>
    </row>
    <row r="1251" spans="1:8" x14ac:dyDescent="0.15">
      <c r="A1251" s="196" t="s">
        <v>11229</v>
      </c>
      <c r="B1251" s="196" t="s">
        <v>11230</v>
      </c>
      <c r="C1251" s="196" t="s">
        <v>14021</v>
      </c>
      <c r="D1251" s="196" t="s">
        <v>14020</v>
      </c>
      <c r="E1251" s="196" t="s">
        <v>14022</v>
      </c>
      <c r="F1251" s="196" t="s">
        <v>11241</v>
      </c>
      <c r="G1251" s="196" t="s">
        <v>11720</v>
      </c>
      <c r="H1251" s="196" t="s">
        <v>11235</v>
      </c>
    </row>
    <row r="1252" spans="1:8" x14ac:dyDescent="0.15">
      <c r="A1252" s="196" t="s">
        <v>11229</v>
      </c>
      <c r="B1252" s="196" t="s">
        <v>11230</v>
      </c>
      <c r="C1252" s="196" t="s">
        <v>14023</v>
      </c>
      <c r="D1252" s="196" t="s">
        <v>14024</v>
      </c>
      <c r="E1252" s="196" t="s">
        <v>14024</v>
      </c>
      <c r="F1252" s="196" t="s">
        <v>11233</v>
      </c>
      <c r="G1252" s="196" t="s">
        <v>11720</v>
      </c>
      <c r="H1252" s="196" t="s">
        <v>11235</v>
      </c>
    </row>
    <row r="1253" spans="1:8" x14ac:dyDescent="0.15">
      <c r="A1253" s="196" t="s">
        <v>11229</v>
      </c>
      <c r="B1253" s="196" t="s">
        <v>11230</v>
      </c>
      <c r="C1253" s="196" t="s">
        <v>14025</v>
      </c>
      <c r="D1253" s="196" t="s">
        <v>14026</v>
      </c>
      <c r="E1253" s="196" t="s">
        <v>14027</v>
      </c>
      <c r="F1253" s="196" t="s">
        <v>11241</v>
      </c>
      <c r="G1253" s="196" t="s">
        <v>11720</v>
      </c>
      <c r="H1253" s="196" t="s">
        <v>11235</v>
      </c>
    </row>
    <row r="1254" spans="1:8" x14ac:dyDescent="0.15">
      <c r="A1254" s="196" t="s">
        <v>11229</v>
      </c>
      <c r="B1254" s="196" t="s">
        <v>11230</v>
      </c>
      <c r="C1254" s="196" t="s">
        <v>14028</v>
      </c>
      <c r="D1254" s="196" t="s">
        <v>14029</v>
      </c>
      <c r="E1254" s="196" t="s">
        <v>14030</v>
      </c>
      <c r="F1254" s="196" t="s">
        <v>13023</v>
      </c>
      <c r="G1254" s="196" t="s">
        <v>11720</v>
      </c>
      <c r="H1254" s="196" t="s">
        <v>11235</v>
      </c>
    </row>
    <row r="1255" spans="1:8" x14ac:dyDescent="0.15">
      <c r="A1255" s="196" t="s">
        <v>11229</v>
      </c>
      <c r="B1255" s="196" t="s">
        <v>11230</v>
      </c>
      <c r="C1255" s="196" t="s">
        <v>14031</v>
      </c>
      <c r="D1255" s="196" t="s">
        <v>14032</v>
      </c>
      <c r="E1255" s="196" t="s">
        <v>14033</v>
      </c>
      <c r="F1255" s="196" t="s">
        <v>13023</v>
      </c>
      <c r="G1255" s="196" t="s">
        <v>11720</v>
      </c>
      <c r="H1255" s="196" t="s">
        <v>11235</v>
      </c>
    </row>
    <row r="1256" spans="1:8" x14ac:dyDescent="0.15">
      <c r="A1256" s="196" t="s">
        <v>11229</v>
      </c>
      <c r="B1256" s="196" t="s">
        <v>11230</v>
      </c>
      <c r="C1256" s="196" t="s">
        <v>14034</v>
      </c>
      <c r="D1256" s="196" t="s">
        <v>14035</v>
      </c>
      <c r="E1256" s="196" t="s">
        <v>14035</v>
      </c>
      <c r="F1256" s="196" t="s">
        <v>11233</v>
      </c>
      <c r="G1256" s="196" t="s">
        <v>11720</v>
      </c>
      <c r="H1256" s="196" t="s">
        <v>11235</v>
      </c>
    </row>
    <row r="1257" spans="1:8" x14ac:dyDescent="0.15">
      <c r="A1257" s="196" t="s">
        <v>11229</v>
      </c>
      <c r="B1257" s="196" t="s">
        <v>11230</v>
      </c>
      <c r="C1257" s="196" t="s">
        <v>14036</v>
      </c>
      <c r="D1257" s="196" t="s">
        <v>14037</v>
      </c>
      <c r="E1257" s="196" t="s">
        <v>14038</v>
      </c>
      <c r="F1257" s="196" t="s">
        <v>13023</v>
      </c>
      <c r="G1257" s="196" t="s">
        <v>11720</v>
      </c>
      <c r="H1257" s="196" t="s">
        <v>11235</v>
      </c>
    </row>
    <row r="1258" spans="1:8" x14ac:dyDescent="0.15">
      <c r="A1258" s="196" t="s">
        <v>11229</v>
      </c>
      <c r="B1258" s="196" t="s">
        <v>11230</v>
      </c>
      <c r="C1258" s="196" t="s">
        <v>14039</v>
      </c>
      <c r="D1258" s="196" t="s">
        <v>14040</v>
      </c>
      <c r="E1258" s="196" t="s">
        <v>14040</v>
      </c>
      <c r="F1258" s="196" t="s">
        <v>11233</v>
      </c>
      <c r="G1258" s="196" t="s">
        <v>11720</v>
      </c>
      <c r="H1258" s="196" t="s">
        <v>11235</v>
      </c>
    </row>
    <row r="1259" spans="1:8" x14ac:dyDescent="0.15">
      <c r="A1259" s="196" t="s">
        <v>11229</v>
      </c>
      <c r="B1259" s="196" t="s">
        <v>11230</v>
      </c>
      <c r="C1259" s="196" t="s">
        <v>14041</v>
      </c>
      <c r="D1259" s="196" t="s">
        <v>14042</v>
      </c>
      <c r="E1259" s="196" t="s">
        <v>14043</v>
      </c>
      <c r="F1259" s="196" t="s">
        <v>14044</v>
      </c>
      <c r="G1259" s="196" t="s">
        <v>12378</v>
      </c>
      <c r="H1259" s="196" t="s">
        <v>11235</v>
      </c>
    </row>
    <row r="1260" spans="1:8" x14ac:dyDescent="0.15">
      <c r="A1260" s="196" t="s">
        <v>11229</v>
      </c>
      <c r="B1260" s="196" t="s">
        <v>11230</v>
      </c>
      <c r="C1260" s="196" t="s">
        <v>14045</v>
      </c>
      <c r="D1260" s="196" t="s">
        <v>14046</v>
      </c>
      <c r="E1260" s="196" t="s">
        <v>14047</v>
      </c>
      <c r="F1260" s="196" t="s">
        <v>13023</v>
      </c>
      <c r="G1260" s="196" t="s">
        <v>11720</v>
      </c>
      <c r="H1260" s="196" t="s">
        <v>11235</v>
      </c>
    </row>
    <row r="1261" spans="1:8" x14ac:dyDescent="0.15">
      <c r="A1261" s="196" t="s">
        <v>11229</v>
      </c>
      <c r="B1261" s="196" t="s">
        <v>11230</v>
      </c>
      <c r="C1261" s="196" t="s">
        <v>14048</v>
      </c>
      <c r="D1261" s="196" t="s">
        <v>14049</v>
      </c>
      <c r="E1261" s="196" t="s">
        <v>14050</v>
      </c>
      <c r="F1261" s="196" t="s">
        <v>11241</v>
      </c>
      <c r="G1261" s="196" t="s">
        <v>11720</v>
      </c>
      <c r="H1261" s="196" t="s">
        <v>11235</v>
      </c>
    </row>
    <row r="1262" spans="1:8" x14ac:dyDescent="0.15">
      <c r="A1262" s="196" t="s">
        <v>11229</v>
      </c>
      <c r="B1262" s="196" t="s">
        <v>11230</v>
      </c>
      <c r="C1262" s="196" t="s">
        <v>14051</v>
      </c>
      <c r="D1262" s="196" t="s">
        <v>14052</v>
      </c>
      <c r="E1262" s="196" t="s">
        <v>14053</v>
      </c>
      <c r="F1262" s="196" t="s">
        <v>13023</v>
      </c>
      <c r="G1262" s="196" t="s">
        <v>11720</v>
      </c>
      <c r="H1262" s="196" t="s">
        <v>11235</v>
      </c>
    </row>
    <row r="1263" spans="1:8" x14ac:dyDescent="0.15">
      <c r="A1263" s="196" t="s">
        <v>11229</v>
      </c>
      <c r="B1263" s="196" t="s">
        <v>11230</v>
      </c>
      <c r="C1263" s="196" t="s">
        <v>14054</v>
      </c>
      <c r="D1263" s="196" t="s">
        <v>14055</v>
      </c>
      <c r="E1263" s="196" t="s">
        <v>14056</v>
      </c>
      <c r="F1263" s="196" t="s">
        <v>11268</v>
      </c>
      <c r="G1263" s="196" t="s">
        <v>11720</v>
      </c>
      <c r="H1263" s="196" t="s">
        <v>11235</v>
      </c>
    </row>
    <row r="1264" spans="1:8" x14ac:dyDescent="0.15">
      <c r="A1264" s="196" t="s">
        <v>11229</v>
      </c>
      <c r="B1264" s="196" t="s">
        <v>11230</v>
      </c>
      <c r="C1264" s="196" t="s">
        <v>14057</v>
      </c>
      <c r="D1264" s="196" t="s">
        <v>14058</v>
      </c>
      <c r="E1264" s="196" t="s">
        <v>14059</v>
      </c>
      <c r="F1264" s="196" t="s">
        <v>14060</v>
      </c>
      <c r="G1264" s="196" t="s">
        <v>11962</v>
      </c>
      <c r="H1264" s="196" t="s">
        <v>11235</v>
      </c>
    </row>
    <row r="1265" spans="1:8" x14ac:dyDescent="0.15">
      <c r="A1265" s="196" t="s">
        <v>11229</v>
      </c>
      <c r="B1265" s="196" t="s">
        <v>11230</v>
      </c>
      <c r="C1265" s="196" t="s">
        <v>14061</v>
      </c>
      <c r="D1265" s="196" t="s">
        <v>14062</v>
      </c>
      <c r="E1265" s="196" t="s">
        <v>14062</v>
      </c>
      <c r="F1265" s="196" t="s">
        <v>11233</v>
      </c>
      <c r="G1265" s="196" t="s">
        <v>11720</v>
      </c>
      <c r="H1265" s="196" t="s">
        <v>11235</v>
      </c>
    </row>
    <row r="1266" spans="1:8" x14ac:dyDescent="0.15">
      <c r="A1266" s="196" t="s">
        <v>11229</v>
      </c>
      <c r="B1266" s="196" t="s">
        <v>11230</v>
      </c>
      <c r="C1266" s="196" t="s">
        <v>14063</v>
      </c>
      <c r="D1266" s="196" t="s">
        <v>14043</v>
      </c>
      <c r="E1266" s="196" t="s">
        <v>14043</v>
      </c>
      <c r="F1266" s="196" t="s">
        <v>11233</v>
      </c>
      <c r="G1266" s="196" t="s">
        <v>11720</v>
      </c>
      <c r="H1266" s="196" t="s">
        <v>11235</v>
      </c>
    </row>
    <row r="1267" spans="1:8" x14ac:dyDescent="0.15">
      <c r="A1267" s="196" t="s">
        <v>11229</v>
      </c>
      <c r="B1267" s="196" t="s">
        <v>11230</v>
      </c>
      <c r="C1267" s="196" t="s">
        <v>14064</v>
      </c>
      <c r="D1267" s="196" t="s">
        <v>14065</v>
      </c>
      <c r="E1267" s="196" t="s">
        <v>14066</v>
      </c>
      <c r="F1267" s="196" t="s">
        <v>14067</v>
      </c>
      <c r="G1267" s="196" t="s">
        <v>12378</v>
      </c>
      <c r="H1267" s="196" t="s">
        <v>11235</v>
      </c>
    </row>
    <row r="1268" spans="1:8" x14ac:dyDescent="0.15">
      <c r="A1268" s="196" t="s">
        <v>11229</v>
      </c>
      <c r="B1268" s="196" t="s">
        <v>11230</v>
      </c>
      <c r="C1268" s="196" t="s">
        <v>14068</v>
      </c>
      <c r="D1268" s="196" t="s">
        <v>14069</v>
      </c>
      <c r="E1268" s="196" t="s">
        <v>14070</v>
      </c>
      <c r="F1268" s="196" t="s">
        <v>11241</v>
      </c>
      <c r="G1268" s="196" t="s">
        <v>11720</v>
      </c>
      <c r="H1268" s="196" t="s">
        <v>11235</v>
      </c>
    </row>
    <row r="1269" spans="1:8" x14ac:dyDescent="0.15">
      <c r="A1269" s="196" t="s">
        <v>11229</v>
      </c>
      <c r="B1269" s="196" t="s">
        <v>11230</v>
      </c>
      <c r="C1269" s="196" t="s">
        <v>14071</v>
      </c>
      <c r="D1269" s="196" t="s">
        <v>14072</v>
      </c>
      <c r="E1269" s="196" t="s">
        <v>14073</v>
      </c>
      <c r="F1269" s="196" t="s">
        <v>11268</v>
      </c>
      <c r="G1269" s="196" t="s">
        <v>11720</v>
      </c>
      <c r="H1269" s="196" t="s">
        <v>11235</v>
      </c>
    </row>
    <row r="1270" spans="1:8" x14ac:dyDescent="0.15">
      <c r="A1270" s="196" t="s">
        <v>11229</v>
      </c>
      <c r="B1270" s="196" t="s">
        <v>11230</v>
      </c>
      <c r="C1270" s="196" t="s">
        <v>14074</v>
      </c>
      <c r="D1270" s="196" t="s">
        <v>14075</v>
      </c>
      <c r="E1270" s="196" t="s">
        <v>14076</v>
      </c>
      <c r="F1270" s="196" t="s">
        <v>11241</v>
      </c>
      <c r="G1270" s="196" t="s">
        <v>11720</v>
      </c>
      <c r="H1270" s="196" t="s">
        <v>11235</v>
      </c>
    </row>
    <row r="1271" spans="1:8" x14ac:dyDescent="0.15">
      <c r="A1271" s="196" t="s">
        <v>11229</v>
      </c>
      <c r="B1271" s="196" t="s">
        <v>11230</v>
      </c>
      <c r="C1271" s="196" t="s">
        <v>14077</v>
      </c>
      <c r="D1271" s="196" t="s">
        <v>14078</v>
      </c>
      <c r="E1271" s="196" t="s">
        <v>14079</v>
      </c>
      <c r="F1271" s="196" t="s">
        <v>13758</v>
      </c>
      <c r="G1271" s="196" t="s">
        <v>11720</v>
      </c>
      <c r="H1271" s="196" t="s">
        <v>11235</v>
      </c>
    </row>
    <row r="1272" spans="1:8" x14ac:dyDescent="0.15">
      <c r="A1272" s="196" t="s">
        <v>11229</v>
      </c>
      <c r="B1272" s="196" t="s">
        <v>11230</v>
      </c>
      <c r="C1272" s="196" t="s">
        <v>14080</v>
      </c>
      <c r="D1272" s="196" t="s">
        <v>14081</v>
      </c>
      <c r="E1272" s="196" t="s">
        <v>14082</v>
      </c>
      <c r="F1272" s="196" t="s">
        <v>14083</v>
      </c>
      <c r="G1272" s="196" t="s">
        <v>11720</v>
      </c>
      <c r="H1272" s="196" t="s">
        <v>11235</v>
      </c>
    </row>
    <row r="1273" spans="1:8" x14ac:dyDescent="0.15">
      <c r="A1273" s="196" t="s">
        <v>11229</v>
      </c>
      <c r="B1273" s="196" t="s">
        <v>11230</v>
      </c>
      <c r="C1273" s="196" t="s">
        <v>14084</v>
      </c>
      <c r="D1273" s="196" t="s">
        <v>14082</v>
      </c>
      <c r="E1273" s="196" t="s">
        <v>14085</v>
      </c>
      <c r="F1273" s="196" t="s">
        <v>11241</v>
      </c>
      <c r="G1273" s="196" t="s">
        <v>11720</v>
      </c>
      <c r="H1273" s="196" t="s">
        <v>11235</v>
      </c>
    </row>
    <row r="1274" spans="1:8" x14ac:dyDescent="0.15">
      <c r="A1274" s="196" t="s">
        <v>11229</v>
      </c>
      <c r="B1274" s="196" t="s">
        <v>11230</v>
      </c>
      <c r="C1274" s="196" t="s">
        <v>14086</v>
      </c>
      <c r="D1274" s="196" t="s">
        <v>14066</v>
      </c>
      <c r="E1274" s="196" t="s">
        <v>14066</v>
      </c>
      <c r="F1274" s="196" t="s">
        <v>11233</v>
      </c>
      <c r="G1274" s="196" t="s">
        <v>11720</v>
      </c>
      <c r="H1274" s="196" t="s">
        <v>11235</v>
      </c>
    </row>
    <row r="1275" spans="1:8" x14ac:dyDescent="0.15">
      <c r="A1275" s="196" t="s">
        <v>11229</v>
      </c>
      <c r="B1275" s="196" t="s">
        <v>11230</v>
      </c>
      <c r="C1275" s="196" t="s">
        <v>14087</v>
      </c>
      <c r="D1275" s="196" t="s">
        <v>14088</v>
      </c>
      <c r="E1275" s="196" t="s">
        <v>14089</v>
      </c>
      <c r="F1275" s="196" t="s">
        <v>14090</v>
      </c>
      <c r="G1275" s="196" t="s">
        <v>12378</v>
      </c>
      <c r="H1275" s="196" t="s">
        <v>11235</v>
      </c>
    </row>
    <row r="1276" spans="1:8" x14ac:dyDescent="0.15">
      <c r="A1276" s="196" t="s">
        <v>11229</v>
      </c>
      <c r="B1276" s="196" t="s">
        <v>11230</v>
      </c>
      <c r="C1276" s="196" t="s">
        <v>14091</v>
      </c>
      <c r="D1276" s="196" t="s">
        <v>14092</v>
      </c>
      <c r="E1276" s="196" t="s">
        <v>14093</v>
      </c>
      <c r="F1276" s="196" t="s">
        <v>11241</v>
      </c>
      <c r="G1276" s="196" t="s">
        <v>11720</v>
      </c>
      <c r="H1276" s="196" t="s">
        <v>11235</v>
      </c>
    </row>
    <row r="1277" spans="1:8" x14ac:dyDescent="0.15">
      <c r="A1277" s="196" t="s">
        <v>11229</v>
      </c>
      <c r="B1277" s="196" t="s">
        <v>11230</v>
      </c>
      <c r="C1277" s="196" t="s">
        <v>14094</v>
      </c>
      <c r="D1277" s="196" t="s">
        <v>14095</v>
      </c>
      <c r="E1277" s="196" t="s">
        <v>14095</v>
      </c>
      <c r="F1277" s="196" t="s">
        <v>11233</v>
      </c>
      <c r="G1277" s="196" t="s">
        <v>11720</v>
      </c>
      <c r="H1277" s="196" t="s">
        <v>11235</v>
      </c>
    </row>
    <row r="1278" spans="1:8" x14ac:dyDescent="0.15">
      <c r="A1278" s="196" t="s">
        <v>11229</v>
      </c>
      <c r="B1278" s="196" t="s">
        <v>11230</v>
      </c>
      <c r="C1278" s="196" t="s">
        <v>14096</v>
      </c>
      <c r="D1278" s="196" t="s">
        <v>14097</v>
      </c>
      <c r="E1278" s="196" t="s">
        <v>14097</v>
      </c>
      <c r="F1278" s="196" t="s">
        <v>11233</v>
      </c>
      <c r="G1278" s="196" t="s">
        <v>11720</v>
      </c>
      <c r="H1278" s="196" t="s">
        <v>11235</v>
      </c>
    </row>
    <row r="1279" spans="1:8" x14ac:dyDescent="0.15">
      <c r="A1279" s="196" t="s">
        <v>11229</v>
      </c>
      <c r="B1279" s="196" t="s">
        <v>11230</v>
      </c>
      <c r="C1279" s="196" t="s">
        <v>14098</v>
      </c>
      <c r="D1279" s="196" t="s">
        <v>14099</v>
      </c>
      <c r="E1279" s="196" t="s">
        <v>14100</v>
      </c>
      <c r="F1279" s="196" t="s">
        <v>11268</v>
      </c>
      <c r="G1279" s="196" t="s">
        <v>11720</v>
      </c>
      <c r="H1279" s="196" t="s">
        <v>11235</v>
      </c>
    </row>
    <row r="1280" spans="1:8" x14ac:dyDescent="0.15">
      <c r="A1280" s="196" t="s">
        <v>11229</v>
      </c>
      <c r="B1280" s="196" t="s">
        <v>11230</v>
      </c>
      <c r="C1280" s="196" t="s">
        <v>14101</v>
      </c>
      <c r="D1280" s="196" t="s">
        <v>14102</v>
      </c>
      <c r="E1280" s="196" t="s">
        <v>14103</v>
      </c>
      <c r="F1280" s="196" t="s">
        <v>11939</v>
      </c>
      <c r="G1280" s="196" t="s">
        <v>11720</v>
      </c>
      <c r="H1280" s="196" t="s">
        <v>11235</v>
      </c>
    </row>
    <row r="1281" spans="1:8" x14ac:dyDescent="0.15">
      <c r="A1281" s="196" t="s">
        <v>11229</v>
      </c>
      <c r="B1281" s="196" t="s">
        <v>11230</v>
      </c>
      <c r="C1281" s="196" t="s">
        <v>14104</v>
      </c>
      <c r="D1281" s="196" t="s">
        <v>14105</v>
      </c>
      <c r="E1281" s="196" t="s">
        <v>14105</v>
      </c>
      <c r="F1281" s="196" t="s">
        <v>11233</v>
      </c>
      <c r="G1281" s="196" t="s">
        <v>11720</v>
      </c>
      <c r="H1281" s="196" t="s">
        <v>11235</v>
      </c>
    </row>
    <row r="1282" spans="1:8" x14ac:dyDescent="0.15">
      <c r="A1282" s="196" t="s">
        <v>11229</v>
      </c>
      <c r="B1282" s="196" t="s">
        <v>11230</v>
      </c>
      <c r="C1282" s="196" t="s">
        <v>14106</v>
      </c>
      <c r="D1282" s="196" t="s">
        <v>14107</v>
      </c>
      <c r="E1282" s="196" t="s">
        <v>14107</v>
      </c>
      <c r="F1282" s="196" t="s">
        <v>11233</v>
      </c>
      <c r="G1282" s="196" t="s">
        <v>11720</v>
      </c>
      <c r="H1282" s="196" t="s">
        <v>11235</v>
      </c>
    </row>
    <row r="1283" spans="1:8" x14ac:dyDescent="0.15">
      <c r="A1283" s="196" t="s">
        <v>11229</v>
      </c>
      <c r="B1283" s="196" t="s">
        <v>11230</v>
      </c>
      <c r="C1283" s="196" t="s">
        <v>14108</v>
      </c>
      <c r="D1283" s="196" t="s">
        <v>14109</v>
      </c>
      <c r="E1283" s="196" t="s">
        <v>14110</v>
      </c>
      <c r="F1283" s="196" t="s">
        <v>14111</v>
      </c>
      <c r="G1283" s="196" t="s">
        <v>12378</v>
      </c>
      <c r="H1283" s="196" t="s">
        <v>11235</v>
      </c>
    </row>
    <row r="1284" spans="1:8" x14ac:dyDescent="0.15">
      <c r="A1284" s="196" t="s">
        <v>11229</v>
      </c>
      <c r="B1284" s="196" t="s">
        <v>11230</v>
      </c>
      <c r="C1284" s="196" t="s">
        <v>14112</v>
      </c>
      <c r="D1284" s="196" t="s">
        <v>14113</v>
      </c>
      <c r="E1284" s="196" t="s">
        <v>14113</v>
      </c>
      <c r="F1284" s="196" t="s">
        <v>11233</v>
      </c>
      <c r="G1284" s="196" t="s">
        <v>11720</v>
      </c>
      <c r="H1284" s="196" t="s">
        <v>11235</v>
      </c>
    </row>
    <row r="1285" spans="1:8" x14ac:dyDescent="0.15">
      <c r="A1285" s="196" t="s">
        <v>11229</v>
      </c>
      <c r="B1285" s="196" t="s">
        <v>11230</v>
      </c>
      <c r="C1285" s="196" t="s">
        <v>14114</v>
      </c>
      <c r="D1285" s="196" t="s">
        <v>14115</v>
      </c>
      <c r="E1285" s="196" t="s">
        <v>14115</v>
      </c>
      <c r="F1285" s="196" t="s">
        <v>11233</v>
      </c>
      <c r="G1285" s="196" t="s">
        <v>11720</v>
      </c>
      <c r="H1285" s="196" t="s">
        <v>11235</v>
      </c>
    </row>
    <row r="1286" spans="1:8" x14ac:dyDescent="0.15">
      <c r="A1286" s="196" t="s">
        <v>11229</v>
      </c>
      <c r="B1286" s="196" t="s">
        <v>11230</v>
      </c>
      <c r="C1286" s="196" t="s">
        <v>14116</v>
      </c>
      <c r="D1286" s="196" t="s">
        <v>14117</v>
      </c>
      <c r="E1286" s="196" t="s">
        <v>14117</v>
      </c>
      <c r="F1286" s="196" t="s">
        <v>11233</v>
      </c>
      <c r="G1286" s="196" t="s">
        <v>11720</v>
      </c>
      <c r="H1286" s="196" t="s">
        <v>11235</v>
      </c>
    </row>
    <row r="1287" spans="1:8" x14ac:dyDescent="0.15">
      <c r="A1287" s="196" t="s">
        <v>11229</v>
      </c>
      <c r="B1287" s="196" t="s">
        <v>11230</v>
      </c>
      <c r="C1287" s="196" t="s">
        <v>14118</v>
      </c>
      <c r="D1287" s="196" t="s">
        <v>14119</v>
      </c>
      <c r="E1287" s="196" t="s">
        <v>14119</v>
      </c>
      <c r="F1287" s="196" t="s">
        <v>11233</v>
      </c>
      <c r="G1287" s="196" t="s">
        <v>11720</v>
      </c>
      <c r="H1287" s="196" t="s">
        <v>11235</v>
      </c>
    </row>
    <row r="1288" spans="1:8" x14ac:dyDescent="0.15">
      <c r="A1288" s="196" t="s">
        <v>11229</v>
      </c>
      <c r="B1288" s="196" t="s">
        <v>11230</v>
      </c>
      <c r="C1288" s="196" t="s">
        <v>14120</v>
      </c>
      <c r="D1288" s="196" t="s">
        <v>14121</v>
      </c>
      <c r="E1288" s="196" t="s">
        <v>14122</v>
      </c>
      <c r="F1288" s="196" t="s">
        <v>13023</v>
      </c>
      <c r="G1288" s="196" t="s">
        <v>11720</v>
      </c>
      <c r="H1288" s="196" t="s">
        <v>11235</v>
      </c>
    </row>
    <row r="1289" spans="1:8" x14ac:dyDescent="0.15">
      <c r="A1289" s="196" t="s">
        <v>11229</v>
      </c>
      <c r="B1289" s="196" t="s">
        <v>11230</v>
      </c>
      <c r="C1289" s="196" t="s">
        <v>14123</v>
      </c>
      <c r="D1289" s="196" t="s">
        <v>14124</v>
      </c>
      <c r="E1289" s="196" t="s">
        <v>14124</v>
      </c>
      <c r="F1289" s="196" t="s">
        <v>11233</v>
      </c>
      <c r="G1289" s="196" t="s">
        <v>11720</v>
      </c>
      <c r="H1289" s="196" t="s">
        <v>11235</v>
      </c>
    </row>
    <row r="1290" spans="1:8" x14ac:dyDescent="0.15">
      <c r="A1290" s="196" t="s">
        <v>11229</v>
      </c>
      <c r="B1290" s="196" t="s">
        <v>11230</v>
      </c>
      <c r="C1290" s="196" t="s">
        <v>14125</v>
      </c>
      <c r="D1290" s="196" t="s">
        <v>14126</v>
      </c>
      <c r="E1290" s="196" t="s">
        <v>14126</v>
      </c>
      <c r="F1290" s="196" t="s">
        <v>11233</v>
      </c>
      <c r="G1290" s="196" t="s">
        <v>11720</v>
      </c>
      <c r="H1290" s="196" t="s">
        <v>11235</v>
      </c>
    </row>
    <row r="1291" spans="1:8" x14ac:dyDescent="0.15">
      <c r="A1291" s="196" t="s">
        <v>11229</v>
      </c>
      <c r="B1291" s="196" t="s">
        <v>11230</v>
      </c>
      <c r="C1291" s="196" t="s">
        <v>14127</v>
      </c>
      <c r="D1291" s="196" t="s">
        <v>14128</v>
      </c>
      <c r="E1291" s="196" t="s">
        <v>14128</v>
      </c>
      <c r="F1291" s="196" t="s">
        <v>11233</v>
      </c>
      <c r="G1291" s="196" t="s">
        <v>11720</v>
      </c>
      <c r="H1291" s="196" t="s">
        <v>11235</v>
      </c>
    </row>
    <row r="1292" spans="1:8" x14ac:dyDescent="0.15">
      <c r="A1292" s="196" t="s">
        <v>11229</v>
      </c>
      <c r="B1292" s="196" t="s">
        <v>11230</v>
      </c>
      <c r="C1292" s="196" t="s">
        <v>14129</v>
      </c>
      <c r="D1292" s="196" t="s">
        <v>14130</v>
      </c>
      <c r="E1292" s="196" t="s">
        <v>14130</v>
      </c>
      <c r="F1292" s="196" t="s">
        <v>11233</v>
      </c>
      <c r="G1292" s="196" t="s">
        <v>12378</v>
      </c>
      <c r="H1292" s="196" t="s">
        <v>11235</v>
      </c>
    </row>
    <row r="1293" spans="1:8" x14ac:dyDescent="0.15">
      <c r="A1293" s="196" t="s">
        <v>11229</v>
      </c>
      <c r="B1293" s="196" t="s">
        <v>11230</v>
      </c>
      <c r="C1293" s="196" t="s">
        <v>14131</v>
      </c>
      <c r="D1293" s="196" t="s">
        <v>14132</v>
      </c>
      <c r="E1293" s="196" t="s">
        <v>14132</v>
      </c>
      <c r="F1293" s="196" t="s">
        <v>11233</v>
      </c>
      <c r="G1293" s="196" t="s">
        <v>12378</v>
      </c>
      <c r="H1293" s="196" t="s">
        <v>11235</v>
      </c>
    </row>
    <row r="1294" spans="1:8" x14ac:dyDescent="0.15">
      <c r="A1294" s="196" t="s">
        <v>11229</v>
      </c>
      <c r="B1294" s="196" t="s">
        <v>11230</v>
      </c>
      <c r="C1294" s="196" t="s">
        <v>14133</v>
      </c>
      <c r="D1294" s="196" t="s">
        <v>14134</v>
      </c>
      <c r="E1294" s="196" t="s">
        <v>14134</v>
      </c>
      <c r="F1294" s="196" t="s">
        <v>11233</v>
      </c>
      <c r="G1294" s="196" t="s">
        <v>11720</v>
      </c>
      <c r="H1294" s="196" t="s">
        <v>11235</v>
      </c>
    </row>
    <row r="1295" spans="1:8" x14ac:dyDescent="0.15">
      <c r="A1295" s="196" t="s">
        <v>11229</v>
      </c>
      <c r="B1295" s="196" t="s">
        <v>11230</v>
      </c>
      <c r="C1295" s="196" t="s">
        <v>14135</v>
      </c>
      <c r="D1295" s="196" t="s">
        <v>14136</v>
      </c>
      <c r="E1295" s="196" t="s">
        <v>14137</v>
      </c>
      <c r="F1295" s="196" t="s">
        <v>11241</v>
      </c>
      <c r="G1295" s="196" t="s">
        <v>11720</v>
      </c>
      <c r="H1295" s="196" t="s">
        <v>11235</v>
      </c>
    </row>
    <row r="1296" spans="1:8" x14ac:dyDescent="0.15">
      <c r="A1296" s="196" t="s">
        <v>11229</v>
      </c>
      <c r="B1296" s="196" t="s">
        <v>11230</v>
      </c>
      <c r="C1296" s="196" t="s">
        <v>14138</v>
      </c>
      <c r="D1296" s="196" t="s">
        <v>14139</v>
      </c>
      <c r="E1296" s="196" t="s">
        <v>14139</v>
      </c>
      <c r="F1296" s="196" t="s">
        <v>11233</v>
      </c>
      <c r="G1296" s="196" t="s">
        <v>12378</v>
      </c>
      <c r="H1296" s="196" t="s">
        <v>11235</v>
      </c>
    </row>
    <row r="1297" spans="1:8" x14ac:dyDescent="0.15">
      <c r="A1297" s="196" t="s">
        <v>11229</v>
      </c>
      <c r="B1297" s="196" t="s">
        <v>11230</v>
      </c>
      <c r="C1297" s="196" t="s">
        <v>14140</v>
      </c>
      <c r="D1297" s="196" t="s">
        <v>14141</v>
      </c>
      <c r="E1297" s="196" t="s">
        <v>14141</v>
      </c>
      <c r="F1297" s="196" t="s">
        <v>11233</v>
      </c>
      <c r="G1297" s="196" t="s">
        <v>12378</v>
      </c>
      <c r="H1297" s="196" t="s">
        <v>11235</v>
      </c>
    </row>
    <row r="1298" spans="1:8" x14ac:dyDescent="0.15">
      <c r="A1298" s="196" t="s">
        <v>11229</v>
      </c>
      <c r="B1298" s="196" t="s">
        <v>11230</v>
      </c>
      <c r="C1298" s="196" t="s">
        <v>14142</v>
      </c>
      <c r="D1298" s="196" t="s">
        <v>14143</v>
      </c>
      <c r="E1298" s="196" t="s">
        <v>14143</v>
      </c>
      <c r="F1298" s="196" t="s">
        <v>11233</v>
      </c>
      <c r="G1298" s="196" t="s">
        <v>12378</v>
      </c>
      <c r="H1298" s="196" t="s">
        <v>11235</v>
      </c>
    </row>
    <row r="1299" spans="1:8" x14ac:dyDescent="0.15">
      <c r="A1299" s="196" t="s">
        <v>11229</v>
      </c>
      <c r="B1299" s="196" t="s">
        <v>11230</v>
      </c>
      <c r="C1299" s="196" t="s">
        <v>14144</v>
      </c>
      <c r="D1299" s="196" t="s">
        <v>14145</v>
      </c>
      <c r="E1299" s="196" t="s">
        <v>14145</v>
      </c>
      <c r="F1299" s="196" t="s">
        <v>11233</v>
      </c>
      <c r="G1299" s="196" t="s">
        <v>11720</v>
      </c>
      <c r="H1299" s="196" t="s">
        <v>11235</v>
      </c>
    </row>
    <row r="1300" spans="1:8" x14ac:dyDescent="0.15">
      <c r="A1300" s="196" t="s">
        <v>11229</v>
      </c>
      <c r="B1300" s="196" t="s">
        <v>11230</v>
      </c>
      <c r="C1300" s="196" t="s">
        <v>14146</v>
      </c>
      <c r="D1300" s="196" t="s">
        <v>14147</v>
      </c>
      <c r="E1300" s="196" t="s">
        <v>14148</v>
      </c>
      <c r="F1300" s="196" t="s">
        <v>11268</v>
      </c>
      <c r="G1300" s="196" t="s">
        <v>11720</v>
      </c>
      <c r="H1300" s="196" t="s">
        <v>11235</v>
      </c>
    </row>
    <row r="1301" spans="1:8" x14ac:dyDescent="0.15">
      <c r="A1301" s="196" t="s">
        <v>11229</v>
      </c>
      <c r="B1301" s="196" t="s">
        <v>11230</v>
      </c>
      <c r="C1301" s="196" t="s">
        <v>14149</v>
      </c>
      <c r="D1301" s="196" t="s">
        <v>14150</v>
      </c>
      <c r="E1301" s="196" t="s">
        <v>14150</v>
      </c>
      <c r="F1301" s="196" t="s">
        <v>11233</v>
      </c>
      <c r="G1301" s="196" t="s">
        <v>12378</v>
      </c>
      <c r="H1301" s="196" t="s">
        <v>11235</v>
      </c>
    </row>
    <row r="1302" spans="1:8" x14ac:dyDescent="0.15">
      <c r="A1302" s="196" t="s">
        <v>11229</v>
      </c>
      <c r="B1302" s="196" t="s">
        <v>11230</v>
      </c>
      <c r="C1302" s="196" t="s">
        <v>14151</v>
      </c>
      <c r="D1302" s="196" t="s">
        <v>14152</v>
      </c>
      <c r="E1302" s="196" t="s">
        <v>14152</v>
      </c>
      <c r="F1302" s="196" t="s">
        <v>11233</v>
      </c>
      <c r="G1302" s="196" t="s">
        <v>12378</v>
      </c>
      <c r="H1302" s="196" t="s">
        <v>11235</v>
      </c>
    </row>
    <row r="1303" spans="1:8" x14ac:dyDescent="0.15">
      <c r="A1303" s="196" t="s">
        <v>11229</v>
      </c>
      <c r="B1303" s="196" t="s">
        <v>11230</v>
      </c>
      <c r="C1303" s="196" t="s">
        <v>14153</v>
      </c>
      <c r="D1303" s="196" t="s">
        <v>14154</v>
      </c>
      <c r="E1303" s="196" t="s">
        <v>14154</v>
      </c>
      <c r="F1303" s="196" t="s">
        <v>11233</v>
      </c>
      <c r="G1303" s="196" t="s">
        <v>12378</v>
      </c>
      <c r="H1303" s="196" t="s">
        <v>11235</v>
      </c>
    </row>
    <row r="1304" spans="1:8" x14ac:dyDescent="0.15">
      <c r="A1304" s="196" t="s">
        <v>11229</v>
      </c>
      <c r="B1304" s="196" t="s">
        <v>11230</v>
      </c>
      <c r="C1304" s="196" t="s">
        <v>14155</v>
      </c>
      <c r="D1304" s="196" t="s">
        <v>14156</v>
      </c>
      <c r="E1304" s="196" t="s">
        <v>14156</v>
      </c>
      <c r="F1304" s="196" t="s">
        <v>11233</v>
      </c>
      <c r="G1304" s="196" t="s">
        <v>11720</v>
      </c>
      <c r="H1304" s="196" t="s">
        <v>11235</v>
      </c>
    </row>
    <row r="1305" spans="1:8" x14ac:dyDescent="0.15">
      <c r="A1305" s="196" t="s">
        <v>11229</v>
      </c>
      <c r="B1305" s="196" t="s">
        <v>11230</v>
      </c>
      <c r="C1305" s="196" t="s">
        <v>14157</v>
      </c>
      <c r="D1305" s="196" t="s">
        <v>14158</v>
      </c>
      <c r="E1305" s="196" t="s">
        <v>14158</v>
      </c>
      <c r="F1305" s="196" t="s">
        <v>11233</v>
      </c>
      <c r="G1305" s="196" t="s">
        <v>11720</v>
      </c>
      <c r="H1305" s="196" t="s">
        <v>11235</v>
      </c>
    </row>
    <row r="1306" spans="1:8" x14ac:dyDescent="0.15">
      <c r="A1306" s="196" t="s">
        <v>11229</v>
      </c>
      <c r="B1306" s="196" t="s">
        <v>11230</v>
      </c>
      <c r="C1306" s="196" t="s">
        <v>14159</v>
      </c>
      <c r="D1306" s="196" t="s">
        <v>14160</v>
      </c>
      <c r="E1306" s="196" t="s">
        <v>14160</v>
      </c>
      <c r="F1306" s="196" t="s">
        <v>11233</v>
      </c>
      <c r="G1306" s="196" t="s">
        <v>11720</v>
      </c>
      <c r="H1306" s="196" t="s">
        <v>11235</v>
      </c>
    </row>
    <row r="1307" spans="1:8" x14ac:dyDescent="0.15">
      <c r="A1307" s="196" t="s">
        <v>11229</v>
      </c>
      <c r="B1307" s="196" t="s">
        <v>11230</v>
      </c>
      <c r="C1307" s="196" t="s">
        <v>14161</v>
      </c>
      <c r="D1307" s="196" t="s">
        <v>14162</v>
      </c>
      <c r="E1307" s="196" t="s">
        <v>14162</v>
      </c>
      <c r="F1307" s="196" t="s">
        <v>11233</v>
      </c>
      <c r="G1307" s="196" t="s">
        <v>12378</v>
      </c>
      <c r="H1307" s="196" t="s">
        <v>11235</v>
      </c>
    </row>
    <row r="1308" spans="1:8" x14ac:dyDescent="0.15">
      <c r="A1308" s="196" t="s">
        <v>11229</v>
      </c>
      <c r="B1308" s="196" t="s">
        <v>11230</v>
      </c>
      <c r="C1308" s="196" t="s">
        <v>14163</v>
      </c>
      <c r="D1308" s="196" t="s">
        <v>14164</v>
      </c>
      <c r="E1308" s="196" t="s">
        <v>14164</v>
      </c>
      <c r="F1308" s="196" t="s">
        <v>11233</v>
      </c>
      <c r="G1308" s="196" t="s">
        <v>12378</v>
      </c>
      <c r="H1308" s="196" t="s">
        <v>11235</v>
      </c>
    </row>
    <row r="1309" spans="1:8" x14ac:dyDescent="0.15">
      <c r="A1309" s="196" t="s">
        <v>11229</v>
      </c>
      <c r="B1309" s="196" t="s">
        <v>11230</v>
      </c>
      <c r="C1309" s="196" t="s">
        <v>14165</v>
      </c>
      <c r="D1309" s="196" t="s">
        <v>14166</v>
      </c>
      <c r="E1309" s="196" t="s">
        <v>14166</v>
      </c>
      <c r="F1309" s="196" t="s">
        <v>11233</v>
      </c>
      <c r="G1309" s="196" t="s">
        <v>12378</v>
      </c>
      <c r="H1309" s="196" t="s">
        <v>11235</v>
      </c>
    </row>
    <row r="1310" spans="1:8" x14ac:dyDescent="0.15">
      <c r="A1310" s="196" t="s">
        <v>11229</v>
      </c>
      <c r="B1310" s="196" t="s">
        <v>11230</v>
      </c>
      <c r="C1310" s="196" t="s">
        <v>14167</v>
      </c>
      <c r="D1310" s="196" t="s">
        <v>14168</v>
      </c>
      <c r="E1310" s="196" t="s">
        <v>14168</v>
      </c>
      <c r="F1310" s="196" t="s">
        <v>11233</v>
      </c>
      <c r="G1310" s="196" t="s">
        <v>12378</v>
      </c>
      <c r="H1310" s="196" t="s">
        <v>11235</v>
      </c>
    </row>
    <row r="1311" spans="1:8" x14ac:dyDescent="0.15">
      <c r="A1311" s="196" t="s">
        <v>11229</v>
      </c>
      <c r="B1311" s="196" t="s">
        <v>11230</v>
      </c>
      <c r="C1311" s="196" t="s">
        <v>14169</v>
      </c>
      <c r="D1311" s="196" t="s">
        <v>14170</v>
      </c>
      <c r="E1311" s="196" t="s">
        <v>14170</v>
      </c>
      <c r="F1311" s="196" t="s">
        <v>11233</v>
      </c>
      <c r="G1311" s="196" t="s">
        <v>12378</v>
      </c>
      <c r="H1311" s="196" t="s">
        <v>11235</v>
      </c>
    </row>
    <row r="1312" spans="1:8" x14ac:dyDescent="0.15">
      <c r="A1312" s="196" t="s">
        <v>11229</v>
      </c>
      <c r="B1312" s="196" t="s">
        <v>11230</v>
      </c>
      <c r="C1312" s="196" t="s">
        <v>14171</v>
      </c>
      <c r="D1312" s="196" t="s">
        <v>14172</v>
      </c>
      <c r="E1312" s="196" t="s">
        <v>14172</v>
      </c>
      <c r="F1312" s="196" t="s">
        <v>11233</v>
      </c>
      <c r="G1312" s="196" t="s">
        <v>11720</v>
      </c>
      <c r="H1312" s="196" t="s">
        <v>11235</v>
      </c>
    </row>
    <row r="1313" spans="1:8" x14ac:dyDescent="0.15">
      <c r="A1313" s="196" t="s">
        <v>11229</v>
      </c>
      <c r="B1313" s="196" t="s">
        <v>11230</v>
      </c>
      <c r="C1313" s="196" t="s">
        <v>14173</v>
      </c>
      <c r="D1313" s="196" t="s">
        <v>14174</v>
      </c>
      <c r="E1313" s="196" t="s">
        <v>14174</v>
      </c>
      <c r="F1313" s="196" t="s">
        <v>11233</v>
      </c>
      <c r="G1313" s="196" t="s">
        <v>12378</v>
      </c>
      <c r="H1313" s="196" t="s">
        <v>11235</v>
      </c>
    </row>
    <row r="1314" spans="1:8" x14ac:dyDescent="0.15">
      <c r="A1314" s="196" t="s">
        <v>11229</v>
      </c>
      <c r="B1314" s="196" t="s">
        <v>11230</v>
      </c>
      <c r="C1314" s="196" t="s">
        <v>14175</v>
      </c>
      <c r="D1314" s="196" t="s">
        <v>14176</v>
      </c>
      <c r="E1314" s="196" t="s">
        <v>14176</v>
      </c>
      <c r="F1314" s="196" t="s">
        <v>11233</v>
      </c>
      <c r="G1314" s="196" t="s">
        <v>12378</v>
      </c>
      <c r="H1314" s="196" t="s">
        <v>11235</v>
      </c>
    </row>
    <row r="1315" spans="1:8" x14ac:dyDescent="0.15">
      <c r="A1315" s="196" t="s">
        <v>11229</v>
      </c>
      <c r="B1315" s="196" t="s">
        <v>11230</v>
      </c>
      <c r="C1315" s="196" t="s">
        <v>14177</v>
      </c>
      <c r="D1315" s="196" t="s">
        <v>14178</v>
      </c>
      <c r="E1315" s="196" t="s">
        <v>14178</v>
      </c>
      <c r="F1315" s="196" t="s">
        <v>11233</v>
      </c>
      <c r="G1315" s="196" t="s">
        <v>11720</v>
      </c>
      <c r="H1315" s="196" t="s">
        <v>11235</v>
      </c>
    </row>
    <row r="1316" spans="1:8" x14ac:dyDescent="0.15">
      <c r="A1316" s="196" t="s">
        <v>11229</v>
      </c>
      <c r="B1316" s="196" t="s">
        <v>11230</v>
      </c>
      <c r="C1316" s="196" t="s">
        <v>14179</v>
      </c>
      <c r="D1316" s="196" t="s">
        <v>14180</v>
      </c>
      <c r="E1316" s="196" t="s">
        <v>14180</v>
      </c>
      <c r="F1316" s="196" t="s">
        <v>11233</v>
      </c>
      <c r="G1316" s="196" t="s">
        <v>11720</v>
      </c>
      <c r="H1316" s="196" t="s">
        <v>11235</v>
      </c>
    </row>
    <row r="1317" spans="1:8" x14ac:dyDescent="0.15">
      <c r="A1317" s="196" t="s">
        <v>11229</v>
      </c>
      <c r="B1317" s="196" t="s">
        <v>11230</v>
      </c>
      <c r="C1317" s="196" t="s">
        <v>14181</v>
      </c>
      <c r="D1317" s="196" t="s">
        <v>14182</v>
      </c>
      <c r="E1317" s="196" t="s">
        <v>14182</v>
      </c>
      <c r="F1317" s="196" t="s">
        <v>11233</v>
      </c>
      <c r="G1317" s="196" t="s">
        <v>11720</v>
      </c>
      <c r="H1317" s="196" t="s">
        <v>11235</v>
      </c>
    </row>
    <row r="1318" spans="1:8" x14ac:dyDescent="0.15">
      <c r="A1318" s="196" t="s">
        <v>11229</v>
      </c>
      <c r="B1318" s="196" t="s">
        <v>11230</v>
      </c>
      <c r="C1318" s="196" t="s">
        <v>14183</v>
      </c>
      <c r="D1318" s="196" t="s">
        <v>14059</v>
      </c>
      <c r="E1318" s="196" t="s">
        <v>14059</v>
      </c>
      <c r="F1318" s="196" t="s">
        <v>11233</v>
      </c>
      <c r="G1318" s="196" t="s">
        <v>12378</v>
      </c>
      <c r="H1318" s="196" t="s">
        <v>11235</v>
      </c>
    </row>
    <row r="1319" spans="1:8" x14ac:dyDescent="0.15">
      <c r="A1319" s="196" t="s">
        <v>11229</v>
      </c>
      <c r="B1319" s="196" t="s">
        <v>11230</v>
      </c>
      <c r="C1319" s="196" t="s">
        <v>14184</v>
      </c>
      <c r="D1319" s="196" t="s">
        <v>14185</v>
      </c>
      <c r="E1319" s="196" t="s">
        <v>14186</v>
      </c>
      <c r="F1319" s="196" t="s">
        <v>14187</v>
      </c>
      <c r="G1319" s="196" t="s">
        <v>11962</v>
      </c>
      <c r="H1319" s="196" t="s">
        <v>11235</v>
      </c>
    </row>
    <row r="1320" spans="1:8" x14ac:dyDescent="0.15">
      <c r="A1320" s="196" t="s">
        <v>11229</v>
      </c>
      <c r="B1320" s="196" t="s">
        <v>11230</v>
      </c>
      <c r="C1320" s="196" t="s">
        <v>14188</v>
      </c>
      <c r="D1320" s="196" t="s">
        <v>14185</v>
      </c>
      <c r="E1320" s="196" t="s">
        <v>14185</v>
      </c>
      <c r="F1320" s="196" t="s">
        <v>11233</v>
      </c>
      <c r="G1320" s="196" t="s">
        <v>12378</v>
      </c>
      <c r="H1320" s="196" t="s">
        <v>11235</v>
      </c>
    </row>
    <row r="1321" spans="1:8" x14ac:dyDescent="0.15">
      <c r="A1321" s="196" t="s">
        <v>11229</v>
      </c>
      <c r="B1321" s="196" t="s">
        <v>11230</v>
      </c>
      <c r="C1321" s="196" t="s">
        <v>14189</v>
      </c>
      <c r="D1321" s="196" t="s">
        <v>14190</v>
      </c>
      <c r="E1321" s="196" t="s">
        <v>14190</v>
      </c>
      <c r="F1321" s="196" t="s">
        <v>11233</v>
      </c>
      <c r="G1321" s="196" t="s">
        <v>11720</v>
      </c>
      <c r="H1321" s="196" t="s">
        <v>11235</v>
      </c>
    </row>
    <row r="1322" spans="1:8" x14ac:dyDescent="0.15">
      <c r="A1322" s="196" t="s">
        <v>11229</v>
      </c>
      <c r="B1322" s="196" t="s">
        <v>11230</v>
      </c>
      <c r="C1322" s="196" t="s">
        <v>14191</v>
      </c>
      <c r="D1322" s="196" t="s">
        <v>14192</v>
      </c>
      <c r="E1322" s="196" t="s">
        <v>14192</v>
      </c>
      <c r="F1322" s="196" t="s">
        <v>11233</v>
      </c>
      <c r="G1322" s="196" t="s">
        <v>11720</v>
      </c>
      <c r="H1322" s="196" t="s">
        <v>11235</v>
      </c>
    </row>
    <row r="1323" spans="1:8" x14ac:dyDescent="0.15">
      <c r="A1323" s="196" t="s">
        <v>11229</v>
      </c>
      <c r="B1323" s="196" t="s">
        <v>11230</v>
      </c>
      <c r="C1323" s="196" t="s">
        <v>14193</v>
      </c>
      <c r="D1323" s="196" t="s">
        <v>14194</v>
      </c>
      <c r="E1323" s="196" t="s">
        <v>14194</v>
      </c>
      <c r="F1323" s="196" t="s">
        <v>11233</v>
      </c>
      <c r="G1323" s="196" t="s">
        <v>12378</v>
      </c>
      <c r="H1323" s="196" t="s">
        <v>11235</v>
      </c>
    </row>
    <row r="1324" spans="1:8" x14ac:dyDescent="0.15">
      <c r="A1324" s="196" t="s">
        <v>11229</v>
      </c>
      <c r="B1324" s="196" t="s">
        <v>11230</v>
      </c>
      <c r="C1324" s="196" t="s">
        <v>14195</v>
      </c>
      <c r="D1324" s="196" t="s">
        <v>14196</v>
      </c>
      <c r="E1324" s="196" t="s">
        <v>14197</v>
      </c>
      <c r="F1324" s="196" t="s">
        <v>11241</v>
      </c>
      <c r="G1324" s="196" t="s">
        <v>12378</v>
      </c>
      <c r="H1324" s="196" t="s">
        <v>11235</v>
      </c>
    </row>
    <row r="1325" spans="1:8" x14ac:dyDescent="0.15">
      <c r="A1325" s="196" t="s">
        <v>11229</v>
      </c>
      <c r="B1325" s="196" t="s">
        <v>11230</v>
      </c>
      <c r="C1325" s="196" t="s">
        <v>14198</v>
      </c>
      <c r="D1325" s="196" t="s">
        <v>14199</v>
      </c>
      <c r="E1325" s="196" t="s">
        <v>14199</v>
      </c>
      <c r="F1325" s="196" t="s">
        <v>11233</v>
      </c>
      <c r="G1325" s="196" t="s">
        <v>12378</v>
      </c>
      <c r="H1325" s="196" t="s">
        <v>11235</v>
      </c>
    </row>
    <row r="1326" spans="1:8" x14ac:dyDescent="0.15">
      <c r="A1326" s="196" t="s">
        <v>11229</v>
      </c>
      <c r="B1326" s="196" t="s">
        <v>11230</v>
      </c>
      <c r="C1326" s="196" t="s">
        <v>14200</v>
      </c>
      <c r="D1326" s="196" t="s">
        <v>14201</v>
      </c>
      <c r="E1326" s="196" t="s">
        <v>14201</v>
      </c>
      <c r="F1326" s="196" t="s">
        <v>11233</v>
      </c>
      <c r="G1326" s="196" t="s">
        <v>11720</v>
      </c>
      <c r="H1326" s="196" t="s">
        <v>11235</v>
      </c>
    </row>
    <row r="1327" spans="1:8" x14ac:dyDescent="0.15">
      <c r="A1327" s="196" t="s">
        <v>11229</v>
      </c>
      <c r="B1327" s="196" t="s">
        <v>11230</v>
      </c>
      <c r="C1327" s="196" t="s">
        <v>14202</v>
      </c>
      <c r="D1327" s="196" t="s">
        <v>14203</v>
      </c>
      <c r="E1327" s="196" t="s">
        <v>14203</v>
      </c>
      <c r="F1327" s="196" t="s">
        <v>11233</v>
      </c>
      <c r="G1327" s="196" t="s">
        <v>11720</v>
      </c>
      <c r="H1327" s="196" t="s">
        <v>11235</v>
      </c>
    </row>
    <row r="1328" spans="1:8" x14ac:dyDescent="0.15">
      <c r="A1328" s="196" t="s">
        <v>11229</v>
      </c>
      <c r="B1328" s="196" t="s">
        <v>11230</v>
      </c>
      <c r="C1328" s="196" t="s">
        <v>14204</v>
      </c>
      <c r="D1328" s="196" t="s">
        <v>14205</v>
      </c>
      <c r="E1328" s="196" t="s">
        <v>14206</v>
      </c>
      <c r="F1328" s="196" t="s">
        <v>13758</v>
      </c>
      <c r="G1328" s="196" t="s">
        <v>11720</v>
      </c>
      <c r="H1328" s="196" t="s">
        <v>11235</v>
      </c>
    </row>
    <row r="1329" spans="1:8" x14ac:dyDescent="0.15">
      <c r="A1329" s="196" t="s">
        <v>11229</v>
      </c>
      <c r="B1329" s="196" t="s">
        <v>11230</v>
      </c>
      <c r="C1329" s="196" t="s">
        <v>14207</v>
      </c>
      <c r="D1329" s="196" t="s">
        <v>14208</v>
      </c>
      <c r="E1329" s="196" t="s">
        <v>14208</v>
      </c>
      <c r="F1329" s="196" t="s">
        <v>11233</v>
      </c>
      <c r="G1329" s="196" t="s">
        <v>12378</v>
      </c>
      <c r="H1329" s="196" t="s">
        <v>11235</v>
      </c>
    </row>
    <row r="1330" spans="1:8" x14ac:dyDescent="0.15">
      <c r="A1330" s="196" t="s">
        <v>11229</v>
      </c>
      <c r="B1330" s="196" t="s">
        <v>11230</v>
      </c>
      <c r="C1330" s="196" t="s">
        <v>14209</v>
      </c>
      <c r="D1330" s="196" t="s">
        <v>14210</v>
      </c>
      <c r="E1330" s="196" t="s">
        <v>14211</v>
      </c>
      <c r="F1330" s="196" t="s">
        <v>11241</v>
      </c>
      <c r="G1330" s="196" t="s">
        <v>11720</v>
      </c>
      <c r="H1330" s="196" t="s">
        <v>11235</v>
      </c>
    </row>
    <row r="1331" spans="1:8" x14ac:dyDescent="0.15">
      <c r="A1331" s="196" t="s">
        <v>11229</v>
      </c>
      <c r="B1331" s="196" t="s">
        <v>11230</v>
      </c>
      <c r="C1331" s="196" t="s">
        <v>14212</v>
      </c>
      <c r="D1331" s="196" t="s">
        <v>14213</v>
      </c>
      <c r="E1331" s="196" t="s">
        <v>14214</v>
      </c>
      <c r="F1331" s="196" t="s">
        <v>13758</v>
      </c>
      <c r="G1331" s="196" t="s">
        <v>11720</v>
      </c>
      <c r="H1331" s="196" t="s">
        <v>11235</v>
      </c>
    </row>
    <row r="1332" spans="1:8" x14ac:dyDescent="0.15">
      <c r="A1332" s="196" t="s">
        <v>11229</v>
      </c>
      <c r="B1332" s="196" t="s">
        <v>11230</v>
      </c>
      <c r="C1332" s="196" t="s">
        <v>14215</v>
      </c>
      <c r="D1332" s="196" t="s">
        <v>14216</v>
      </c>
      <c r="E1332" s="196" t="s">
        <v>14216</v>
      </c>
      <c r="F1332" s="196" t="s">
        <v>11233</v>
      </c>
      <c r="G1332" s="196" t="s">
        <v>12378</v>
      </c>
      <c r="H1332" s="196" t="s">
        <v>11235</v>
      </c>
    </row>
    <row r="1333" spans="1:8" x14ac:dyDescent="0.15">
      <c r="A1333" s="196" t="s">
        <v>11229</v>
      </c>
      <c r="B1333" s="196" t="s">
        <v>11230</v>
      </c>
      <c r="C1333" s="196" t="s">
        <v>14217</v>
      </c>
      <c r="D1333" s="196" t="s">
        <v>14218</v>
      </c>
      <c r="E1333" s="196" t="s">
        <v>14218</v>
      </c>
      <c r="F1333" s="196" t="s">
        <v>11233</v>
      </c>
      <c r="G1333" s="196" t="s">
        <v>12378</v>
      </c>
      <c r="H1333" s="196" t="s">
        <v>11235</v>
      </c>
    </row>
    <row r="1334" spans="1:8" x14ac:dyDescent="0.15">
      <c r="A1334" s="196" t="s">
        <v>11229</v>
      </c>
      <c r="B1334" s="196" t="s">
        <v>11230</v>
      </c>
      <c r="C1334" s="196" t="s">
        <v>14219</v>
      </c>
      <c r="D1334" s="196" t="s">
        <v>14220</v>
      </c>
      <c r="E1334" s="196" t="s">
        <v>14220</v>
      </c>
      <c r="F1334" s="196" t="s">
        <v>11233</v>
      </c>
      <c r="G1334" s="196" t="s">
        <v>11720</v>
      </c>
      <c r="H1334" s="196" t="s">
        <v>11235</v>
      </c>
    </row>
    <row r="1335" spans="1:8" x14ac:dyDescent="0.15">
      <c r="A1335" s="196" t="s">
        <v>11229</v>
      </c>
      <c r="B1335" s="196" t="s">
        <v>11230</v>
      </c>
      <c r="C1335" s="196" t="s">
        <v>14221</v>
      </c>
      <c r="D1335" s="196" t="s">
        <v>14222</v>
      </c>
      <c r="E1335" s="196" t="s">
        <v>14223</v>
      </c>
      <c r="F1335" s="196" t="s">
        <v>11241</v>
      </c>
      <c r="G1335" s="196" t="s">
        <v>12378</v>
      </c>
      <c r="H1335" s="196" t="s">
        <v>11235</v>
      </c>
    </row>
    <row r="1336" spans="1:8" x14ac:dyDescent="0.15">
      <c r="A1336" s="196" t="s">
        <v>11229</v>
      </c>
      <c r="B1336" s="196" t="s">
        <v>11230</v>
      </c>
      <c r="C1336" s="196" t="s">
        <v>14224</v>
      </c>
      <c r="D1336" s="196" t="s">
        <v>14225</v>
      </c>
      <c r="E1336" s="196" t="s">
        <v>14226</v>
      </c>
      <c r="F1336" s="196" t="s">
        <v>11241</v>
      </c>
      <c r="G1336" s="196" t="s">
        <v>11720</v>
      </c>
      <c r="H1336" s="196" t="s">
        <v>11235</v>
      </c>
    </row>
    <row r="1337" spans="1:8" x14ac:dyDescent="0.15">
      <c r="A1337" s="196" t="s">
        <v>11229</v>
      </c>
      <c r="B1337" s="196" t="s">
        <v>11230</v>
      </c>
      <c r="C1337" s="196" t="s">
        <v>14227</v>
      </c>
      <c r="D1337" s="196" t="s">
        <v>14228</v>
      </c>
      <c r="E1337" s="196" t="s">
        <v>14229</v>
      </c>
      <c r="F1337" s="196" t="s">
        <v>14230</v>
      </c>
      <c r="G1337" s="196" t="s">
        <v>12378</v>
      </c>
      <c r="H1337" s="196" t="s">
        <v>12712</v>
      </c>
    </row>
    <row r="1338" spans="1:8" x14ac:dyDescent="0.15">
      <c r="A1338" s="196" t="s">
        <v>11229</v>
      </c>
      <c r="B1338" s="196" t="s">
        <v>11230</v>
      </c>
      <c r="C1338" s="196" t="s">
        <v>14231</v>
      </c>
      <c r="D1338" s="196" t="s">
        <v>14228</v>
      </c>
      <c r="E1338" s="196" t="s">
        <v>14229</v>
      </c>
      <c r="F1338" s="196" t="s">
        <v>14230</v>
      </c>
      <c r="G1338" s="196" t="s">
        <v>12378</v>
      </c>
      <c r="H1338" s="196" t="s">
        <v>12712</v>
      </c>
    </row>
    <row r="1339" spans="1:8" x14ac:dyDescent="0.15">
      <c r="A1339" s="196" t="s">
        <v>11229</v>
      </c>
      <c r="B1339" s="196" t="s">
        <v>11230</v>
      </c>
      <c r="C1339" s="196" t="s">
        <v>14232</v>
      </c>
      <c r="D1339" s="196" t="s">
        <v>14228</v>
      </c>
      <c r="E1339" s="196" t="s">
        <v>14229</v>
      </c>
      <c r="F1339" s="196" t="s">
        <v>14230</v>
      </c>
      <c r="G1339" s="196" t="s">
        <v>12378</v>
      </c>
      <c r="H1339" s="196" t="s">
        <v>12712</v>
      </c>
    </row>
    <row r="1340" spans="1:8" x14ac:dyDescent="0.15">
      <c r="A1340" s="196" t="s">
        <v>11229</v>
      </c>
      <c r="B1340" s="196" t="s">
        <v>11230</v>
      </c>
      <c r="C1340" s="196" t="s">
        <v>14233</v>
      </c>
      <c r="D1340" s="196" t="s">
        <v>14228</v>
      </c>
      <c r="E1340" s="196" t="s">
        <v>14234</v>
      </c>
      <c r="F1340" s="196" t="s">
        <v>14235</v>
      </c>
      <c r="G1340" s="196" t="s">
        <v>12378</v>
      </c>
      <c r="H1340" s="196" t="s">
        <v>12712</v>
      </c>
    </row>
    <row r="1341" spans="1:8" x14ac:dyDescent="0.15">
      <c r="A1341" s="196" t="s">
        <v>11229</v>
      </c>
      <c r="B1341" s="196" t="s">
        <v>11230</v>
      </c>
      <c r="C1341" s="196" t="s">
        <v>14236</v>
      </c>
      <c r="D1341" s="196" t="s">
        <v>14237</v>
      </c>
      <c r="E1341" s="196" t="s">
        <v>14237</v>
      </c>
      <c r="F1341" s="196" t="s">
        <v>11233</v>
      </c>
      <c r="G1341" s="196" t="s">
        <v>11720</v>
      </c>
      <c r="H1341" s="196" t="s">
        <v>11235</v>
      </c>
    </row>
    <row r="1342" spans="1:8" x14ac:dyDescent="0.15">
      <c r="A1342" s="196" t="s">
        <v>11229</v>
      </c>
      <c r="B1342" s="196" t="s">
        <v>11230</v>
      </c>
      <c r="C1342" s="196" t="s">
        <v>14238</v>
      </c>
      <c r="D1342" s="196" t="s">
        <v>14239</v>
      </c>
      <c r="E1342" s="196" t="s">
        <v>14239</v>
      </c>
      <c r="F1342" s="196" t="s">
        <v>11233</v>
      </c>
      <c r="G1342" s="196" t="s">
        <v>11720</v>
      </c>
      <c r="H1342" s="196" t="s">
        <v>11235</v>
      </c>
    </row>
    <row r="1343" spans="1:8" x14ac:dyDescent="0.15">
      <c r="A1343" s="196" t="s">
        <v>11229</v>
      </c>
      <c r="B1343" s="196" t="s">
        <v>11230</v>
      </c>
      <c r="C1343" s="196" t="s">
        <v>14240</v>
      </c>
      <c r="D1343" s="196" t="s">
        <v>14241</v>
      </c>
      <c r="E1343" s="196" t="s">
        <v>14241</v>
      </c>
      <c r="F1343" s="196" t="s">
        <v>11233</v>
      </c>
      <c r="G1343" s="196" t="s">
        <v>11720</v>
      </c>
      <c r="H1343" s="196" t="s">
        <v>11235</v>
      </c>
    </row>
    <row r="1344" spans="1:8" x14ac:dyDescent="0.15">
      <c r="A1344" s="196" t="s">
        <v>11229</v>
      </c>
      <c r="B1344" s="196" t="s">
        <v>11230</v>
      </c>
      <c r="C1344" s="196" t="s">
        <v>14242</v>
      </c>
      <c r="D1344" s="196" t="s">
        <v>14243</v>
      </c>
      <c r="E1344" s="196" t="s">
        <v>14243</v>
      </c>
      <c r="F1344" s="196" t="s">
        <v>11233</v>
      </c>
      <c r="G1344" s="196" t="s">
        <v>11720</v>
      </c>
      <c r="H1344" s="196" t="s">
        <v>11235</v>
      </c>
    </row>
    <row r="1345" spans="1:8" x14ac:dyDescent="0.15">
      <c r="A1345" s="196" t="s">
        <v>11229</v>
      </c>
      <c r="B1345" s="196" t="s">
        <v>11230</v>
      </c>
      <c r="C1345" s="196" t="s">
        <v>14244</v>
      </c>
      <c r="D1345" s="196" t="s">
        <v>14245</v>
      </c>
      <c r="E1345" s="196" t="s">
        <v>14245</v>
      </c>
      <c r="F1345" s="196" t="s">
        <v>11233</v>
      </c>
      <c r="G1345" s="196" t="s">
        <v>11720</v>
      </c>
      <c r="H1345" s="196" t="s">
        <v>11235</v>
      </c>
    </row>
    <row r="1346" spans="1:8" x14ac:dyDescent="0.15">
      <c r="A1346" s="196" t="s">
        <v>11229</v>
      </c>
      <c r="B1346" s="196" t="s">
        <v>11230</v>
      </c>
      <c r="C1346" s="196" t="s">
        <v>14246</v>
      </c>
      <c r="D1346" s="196" t="s">
        <v>14247</v>
      </c>
      <c r="E1346" s="196" t="s">
        <v>14248</v>
      </c>
      <c r="F1346" s="196" t="s">
        <v>11241</v>
      </c>
      <c r="G1346" s="196" t="s">
        <v>11720</v>
      </c>
      <c r="H1346" s="196" t="s">
        <v>11235</v>
      </c>
    </row>
    <row r="1347" spans="1:8" x14ac:dyDescent="0.15">
      <c r="A1347" s="196" t="s">
        <v>11229</v>
      </c>
      <c r="B1347" s="196" t="s">
        <v>11230</v>
      </c>
      <c r="C1347" s="196" t="s">
        <v>14249</v>
      </c>
      <c r="D1347" s="196" t="s">
        <v>14250</v>
      </c>
      <c r="E1347" s="196" t="s">
        <v>14250</v>
      </c>
      <c r="F1347" s="196" t="s">
        <v>11233</v>
      </c>
      <c r="G1347" s="196" t="s">
        <v>11720</v>
      </c>
      <c r="H1347" s="196" t="s">
        <v>11235</v>
      </c>
    </row>
    <row r="1348" spans="1:8" x14ac:dyDescent="0.15">
      <c r="A1348" s="196" t="s">
        <v>11229</v>
      </c>
      <c r="B1348" s="196" t="s">
        <v>11230</v>
      </c>
      <c r="C1348" s="196" t="s">
        <v>14251</v>
      </c>
      <c r="D1348" s="196" t="s">
        <v>14252</v>
      </c>
      <c r="E1348" s="196" t="s">
        <v>14252</v>
      </c>
      <c r="F1348" s="196" t="s">
        <v>11233</v>
      </c>
      <c r="G1348" s="196" t="s">
        <v>11720</v>
      </c>
      <c r="H1348" s="196" t="s">
        <v>11235</v>
      </c>
    </row>
    <row r="1349" spans="1:8" x14ac:dyDescent="0.15">
      <c r="A1349" s="196" t="s">
        <v>11229</v>
      </c>
      <c r="B1349" s="196" t="s">
        <v>11230</v>
      </c>
      <c r="C1349" s="196" t="s">
        <v>14253</v>
      </c>
      <c r="D1349" s="196" t="s">
        <v>14254</v>
      </c>
      <c r="E1349" s="196" t="s">
        <v>14254</v>
      </c>
      <c r="F1349" s="196" t="s">
        <v>11233</v>
      </c>
      <c r="G1349" s="196" t="s">
        <v>11720</v>
      </c>
      <c r="H1349" s="196" t="s">
        <v>11235</v>
      </c>
    </row>
    <row r="1350" spans="1:8" x14ac:dyDescent="0.15">
      <c r="A1350" s="196" t="s">
        <v>11229</v>
      </c>
      <c r="B1350" s="196" t="s">
        <v>11230</v>
      </c>
      <c r="C1350" s="196" t="s">
        <v>14255</v>
      </c>
      <c r="D1350" s="196" t="s">
        <v>14256</v>
      </c>
      <c r="E1350" s="196" t="s">
        <v>14256</v>
      </c>
      <c r="F1350" s="196" t="s">
        <v>11233</v>
      </c>
      <c r="G1350" s="196" t="s">
        <v>11720</v>
      </c>
      <c r="H1350" s="196" t="s">
        <v>11235</v>
      </c>
    </row>
    <row r="1351" spans="1:8" x14ac:dyDescent="0.15">
      <c r="A1351" s="196" t="s">
        <v>11229</v>
      </c>
      <c r="B1351" s="196" t="s">
        <v>11230</v>
      </c>
      <c r="C1351" s="196" t="s">
        <v>14257</v>
      </c>
      <c r="D1351" s="196" t="s">
        <v>14258</v>
      </c>
      <c r="E1351" s="196" t="s">
        <v>14259</v>
      </c>
      <c r="F1351" s="196" t="s">
        <v>13250</v>
      </c>
      <c r="G1351" s="196" t="s">
        <v>11720</v>
      </c>
      <c r="H1351" s="196" t="s">
        <v>11235</v>
      </c>
    </row>
    <row r="1352" spans="1:8" x14ac:dyDescent="0.15">
      <c r="A1352" s="196" t="s">
        <v>11229</v>
      </c>
      <c r="B1352" s="196" t="s">
        <v>11230</v>
      </c>
      <c r="C1352" s="196" t="s">
        <v>14260</v>
      </c>
      <c r="D1352" s="196" t="s">
        <v>14261</v>
      </c>
      <c r="E1352" s="196" t="s">
        <v>14262</v>
      </c>
      <c r="F1352" s="196" t="s">
        <v>14263</v>
      </c>
      <c r="G1352" s="196" t="s">
        <v>11720</v>
      </c>
      <c r="H1352" s="196" t="s">
        <v>11235</v>
      </c>
    </row>
    <row r="1353" spans="1:8" x14ac:dyDescent="0.15">
      <c r="A1353" s="196" t="s">
        <v>11229</v>
      </c>
      <c r="B1353" s="196" t="s">
        <v>11230</v>
      </c>
      <c r="C1353" s="196" t="s">
        <v>14264</v>
      </c>
      <c r="D1353" s="196" t="s">
        <v>14265</v>
      </c>
      <c r="E1353" s="196" t="s">
        <v>14265</v>
      </c>
      <c r="F1353" s="196" t="s">
        <v>11233</v>
      </c>
      <c r="G1353" s="196" t="s">
        <v>11720</v>
      </c>
      <c r="H1353" s="196" t="s">
        <v>11235</v>
      </c>
    </row>
    <row r="1354" spans="1:8" x14ac:dyDescent="0.15">
      <c r="A1354" s="196" t="s">
        <v>11229</v>
      </c>
      <c r="B1354" s="196" t="s">
        <v>11230</v>
      </c>
      <c r="C1354" s="196" t="s">
        <v>14266</v>
      </c>
      <c r="D1354" s="196" t="s">
        <v>14267</v>
      </c>
      <c r="E1354" s="196" t="s">
        <v>14267</v>
      </c>
      <c r="F1354" s="196" t="s">
        <v>11233</v>
      </c>
      <c r="G1354" s="196" t="s">
        <v>11720</v>
      </c>
      <c r="H1354" s="196" t="s">
        <v>11235</v>
      </c>
    </row>
    <row r="1355" spans="1:8" x14ac:dyDescent="0.15">
      <c r="A1355" s="196" t="s">
        <v>11229</v>
      </c>
      <c r="B1355" s="196" t="s">
        <v>11230</v>
      </c>
      <c r="C1355" s="196" t="s">
        <v>14268</v>
      </c>
      <c r="D1355" s="196" t="s">
        <v>14269</v>
      </c>
      <c r="E1355" s="196" t="s">
        <v>14269</v>
      </c>
      <c r="F1355" s="196" t="s">
        <v>11233</v>
      </c>
      <c r="G1355" s="196" t="s">
        <v>11720</v>
      </c>
      <c r="H1355" s="196" t="s">
        <v>11235</v>
      </c>
    </row>
    <row r="1356" spans="1:8" x14ac:dyDescent="0.15">
      <c r="A1356" s="196" t="s">
        <v>11229</v>
      </c>
      <c r="B1356" s="196" t="s">
        <v>11230</v>
      </c>
      <c r="C1356" s="196" t="s">
        <v>14270</v>
      </c>
      <c r="D1356" s="196" t="s">
        <v>14271</v>
      </c>
      <c r="E1356" s="196" t="s">
        <v>14271</v>
      </c>
      <c r="F1356" s="196" t="s">
        <v>11233</v>
      </c>
      <c r="G1356" s="196" t="s">
        <v>11720</v>
      </c>
      <c r="H1356" s="196" t="s">
        <v>11235</v>
      </c>
    </row>
    <row r="1357" spans="1:8" x14ac:dyDescent="0.15">
      <c r="A1357" s="196" t="s">
        <v>11229</v>
      </c>
      <c r="B1357" s="196" t="s">
        <v>11230</v>
      </c>
      <c r="C1357" s="196" t="s">
        <v>14272</v>
      </c>
      <c r="D1357" s="196" t="s">
        <v>14273</v>
      </c>
      <c r="E1357" s="196" t="s">
        <v>14273</v>
      </c>
      <c r="F1357" s="196" t="s">
        <v>11233</v>
      </c>
      <c r="G1357" s="196" t="s">
        <v>11720</v>
      </c>
      <c r="H1357" s="196" t="s">
        <v>11235</v>
      </c>
    </row>
    <row r="1358" spans="1:8" x14ac:dyDescent="0.15">
      <c r="A1358" s="196" t="s">
        <v>11229</v>
      </c>
      <c r="B1358" s="196" t="s">
        <v>11230</v>
      </c>
      <c r="C1358" s="196" t="s">
        <v>14274</v>
      </c>
      <c r="D1358" s="196" t="s">
        <v>14275</v>
      </c>
      <c r="E1358" s="196" t="s">
        <v>14275</v>
      </c>
      <c r="F1358" s="196" t="s">
        <v>11233</v>
      </c>
      <c r="G1358" s="196" t="s">
        <v>11720</v>
      </c>
      <c r="H1358" s="196" t="s">
        <v>11235</v>
      </c>
    </row>
    <row r="1359" spans="1:8" x14ac:dyDescent="0.15">
      <c r="A1359" s="196" t="s">
        <v>11229</v>
      </c>
      <c r="B1359" s="196" t="s">
        <v>11230</v>
      </c>
      <c r="C1359" s="196" t="s">
        <v>14276</v>
      </c>
      <c r="D1359" s="196" t="s">
        <v>14277</v>
      </c>
      <c r="E1359" s="196" t="s">
        <v>14277</v>
      </c>
      <c r="F1359" s="196" t="s">
        <v>11233</v>
      </c>
      <c r="G1359" s="196" t="s">
        <v>11720</v>
      </c>
      <c r="H1359" s="196" t="s">
        <v>11235</v>
      </c>
    </row>
    <row r="1360" spans="1:8" x14ac:dyDescent="0.15">
      <c r="A1360" s="196" t="s">
        <v>11229</v>
      </c>
      <c r="B1360" s="196" t="s">
        <v>11230</v>
      </c>
      <c r="C1360" s="196" t="s">
        <v>14278</v>
      </c>
      <c r="D1360" s="196" t="s">
        <v>14279</v>
      </c>
      <c r="E1360" s="196" t="s">
        <v>14279</v>
      </c>
      <c r="F1360" s="196" t="s">
        <v>11233</v>
      </c>
      <c r="G1360" s="196" t="s">
        <v>11720</v>
      </c>
      <c r="H1360" s="196" t="s">
        <v>11235</v>
      </c>
    </row>
    <row r="1361" spans="1:8" x14ac:dyDescent="0.15">
      <c r="A1361" s="196" t="s">
        <v>11229</v>
      </c>
      <c r="B1361" s="196" t="s">
        <v>11230</v>
      </c>
      <c r="C1361" s="196" t="s">
        <v>14280</v>
      </c>
      <c r="D1361" s="196" t="s">
        <v>14281</v>
      </c>
      <c r="E1361" s="196" t="s">
        <v>14281</v>
      </c>
      <c r="F1361" s="196" t="s">
        <v>11233</v>
      </c>
      <c r="G1361" s="196" t="s">
        <v>11720</v>
      </c>
      <c r="H1361" s="196" t="s">
        <v>11235</v>
      </c>
    </row>
    <row r="1362" spans="1:8" x14ac:dyDescent="0.15">
      <c r="A1362" s="196" t="s">
        <v>11229</v>
      </c>
      <c r="B1362" s="196" t="s">
        <v>11230</v>
      </c>
      <c r="C1362" s="196" t="s">
        <v>14282</v>
      </c>
      <c r="D1362" s="196" t="s">
        <v>14283</v>
      </c>
      <c r="E1362" s="196" t="s">
        <v>14283</v>
      </c>
      <c r="F1362" s="196" t="s">
        <v>11233</v>
      </c>
      <c r="G1362" s="196" t="s">
        <v>11720</v>
      </c>
      <c r="H1362" s="196" t="s">
        <v>11235</v>
      </c>
    </row>
    <row r="1363" spans="1:8" x14ac:dyDescent="0.15">
      <c r="A1363" s="196" t="s">
        <v>11229</v>
      </c>
      <c r="B1363" s="196" t="s">
        <v>11230</v>
      </c>
      <c r="C1363" s="196" t="s">
        <v>14284</v>
      </c>
      <c r="D1363" s="196" t="s">
        <v>14285</v>
      </c>
      <c r="E1363" s="196" t="s">
        <v>14285</v>
      </c>
      <c r="F1363" s="196" t="s">
        <v>11233</v>
      </c>
      <c r="G1363" s="196" t="s">
        <v>11720</v>
      </c>
      <c r="H1363" s="196" t="s">
        <v>11235</v>
      </c>
    </row>
    <row r="1364" spans="1:8" x14ac:dyDescent="0.15">
      <c r="A1364" s="196" t="s">
        <v>11229</v>
      </c>
      <c r="B1364" s="196" t="s">
        <v>11230</v>
      </c>
      <c r="C1364" s="196" t="s">
        <v>14286</v>
      </c>
      <c r="D1364" s="196" t="s">
        <v>14287</v>
      </c>
      <c r="E1364" s="196" t="s">
        <v>14287</v>
      </c>
      <c r="F1364" s="196" t="s">
        <v>11233</v>
      </c>
      <c r="G1364" s="196" t="s">
        <v>11720</v>
      </c>
      <c r="H1364" s="196" t="s">
        <v>11235</v>
      </c>
    </row>
    <row r="1365" spans="1:8" x14ac:dyDescent="0.15">
      <c r="A1365" s="196" t="s">
        <v>11229</v>
      </c>
      <c r="B1365" s="196" t="s">
        <v>11230</v>
      </c>
      <c r="C1365" s="196" t="s">
        <v>14288</v>
      </c>
      <c r="D1365" s="196" t="s">
        <v>14289</v>
      </c>
      <c r="E1365" s="196" t="s">
        <v>14290</v>
      </c>
      <c r="F1365" s="196" t="s">
        <v>11268</v>
      </c>
      <c r="G1365" s="196" t="s">
        <v>11720</v>
      </c>
      <c r="H1365" s="196" t="s">
        <v>11235</v>
      </c>
    </row>
    <row r="1366" spans="1:8" x14ac:dyDescent="0.15">
      <c r="A1366" s="196" t="s">
        <v>11229</v>
      </c>
      <c r="B1366" s="196" t="s">
        <v>11230</v>
      </c>
      <c r="C1366" s="196" t="s">
        <v>14291</v>
      </c>
      <c r="D1366" s="196" t="s">
        <v>14290</v>
      </c>
      <c r="E1366" s="196" t="s">
        <v>14292</v>
      </c>
      <c r="F1366" s="196" t="s">
        <v>11241</v>
      </c>
      <c r="G1366" s="196" t="s">
        <v>11720</v>
      </c>
      <c r="H1366" s="196" t="s">
        <v>11235</v>
      </c>
    </row>
    <row r="1367" spans="1:8" x14ac:dyDescent="0.15">
      <c r="A1367" s="196" t="s">
        <v>11229</v>
      </c>
      <c r="B1367" s="196" t="s">
        <v>11230</v>
      </c>
      <c r="C1367" s="196" t="s">
        <v>14293</v>
      </c>
      <c r="D1367" s="196" t="s">
        <v>14294</v>
      </c>
      <c r="E1367" s="196" t="s">
        <v>14294</v>
      </c>
      <c r="F1367" s="196" t="s">
        <v>11233</v>
      </c>
      <c r="G1367" s="196" t="s">
        <v>11720</v>
      </c>
      <c r="H1367" s="196" t="s">
        <v>11235</v>
      </c>
    </row>
    <row r="1368" spans="1:8" x14ac:dyDescent="0.15">
      <c r="A1368" s="196" t="s">
        <v>11229</v>
      </c>
      <c r="B1368" s="196" t="s">
        <v>11230</v>
      </c>
      <c r="C1368" s="196" t="s">
        <v>14295</v>
      </c>
      <c r="D1368" s="196" t="s">
        <v>14296</v>
      </c>
      <c r="E1368" s="196" t="s">
        <v>14296</v>
      </c>
      <c r="F1368" s="196" t="s">
        <v>11233</v>
      </c>
      <c r="G1368" s="196" t="s">
        <v>11720</v>
      </c>
      <c r="H1368" s="196" t="s">
        <v>11235</v>
      </c>
    </row>
    <row r="1369" spans="1:8" x14ac:dyDescent="0.15">
      <c r="A1369" s="196" t="s">
        <v>11229</v>
      </c>
      <c r="B1369" s="196" t="s">
        <v>11230</v>
      </c>
      <c r="C1369" s="196" t="s">
        <v>14297</v>
      </c>
      <c r="D1369" s="196" t="s">
        <v>14298</v>
      </c>
      <c r="E1369" s="196" t="s">
        <v>14299</v>
      </c>
      <c r="F1369" s="196" t="s">
        <v>11268</v>
      </c>
      <c r="G1369" s="196" t="s">
        <v>11720</v>
      </c>
      <c r="H1369" s="196" t="s">
        <v>11235</v>
      </c>
    </row>
    <row r="1370" spans="1:8" x14ac:dyDescent="0.15">
      <c r="A1370" s="196" t="s">
        <v>11229</v>
      </c>
      <c r="B1370" s="196" t="s">
        <v>11230</v>
      </c>
      <c r="C1370" s="196" t="s">
        <v>14300</v>
      </c>
      <c r="D1370" s="196" t="s">
        <v>14301</v>
      </c>
      <c r="E1370" s="196" t="s">
        <v>14301</v>
      </c>
      <c r="F1370" s="196" t="s">
        <v>11233</v>
      </c>
      <c r="G1370" s="196" t="s">
        <v>11720</v>
      </c>
      <c r="H1370" s="196" t="s">
        <v>11235</v>
      </c>
    </row>
    <row r="1371" spans="1:8" x14ac:dyDescent="0.15">
      <c r="A1371" s="196" t="s">
        <v>11229</v>
      </c>
      <c r="B1371" s="196" t="s">
        <v>11230</v>
      </c>
      <c r="C1371" s="196" t="s">
        <v>14302</v>
      </c>
      <c r="D1371" s="196" t="s">
        <v>14303</v>
      </c>
      <c r="E1371" s="196" t="s">
        <v>14303</v>
      </c>
      <c r="F1371" s="196" t="s">
        <v>11233</v>
      </c>
      <c r="G1371" s="196" t="s">
        <v>11720</v>
      </c>
      <c r="H1371" s="196" t="s">
        <v>11235</v>
      </c>
    </row>
    <row r="1372" spans="1:8" x14ac:dyDescent="0.15">
      <c r="A1372" s="196" t="s">
        <v>11229</v>
      </c>
      <c r="B1372" s="196" t="s">
        <v>11230</v>
      </c>
      <c r="C1372" s="196" t="s">
        <v>14304</v>
      </c>
      <c r="D1372" s="196" t="s">
        <v>14305</v>
      </c>
      <c r="E1372" s="196" t="s">
        <v>14305</v>
      </c>
      <c r="F1372" s="196" t="s">
        <v>11233</v>
      </c>
      <c r="G1372" s="196" t="s">
        <v>11720</v>
      </c>
      <c r="H1372" s="196" t="s">
        <v>11235</v>
      </c>
    </row>
    <row r="1373" spans="1:8" x14ac:dyDescent="0.15">
      <c r="A1373" s="196" t="s">
        <v>11229</v>
      </c>
      <c r="B1373" s="196" t="s">
        <v>11230</v>
      </c>
      <c r="C1373" s="196" t="s">
        <v>14306</v>
      </c>
      <c r="D1373" s="196" t="s">
        <v>14307</v>
      </c>
      <c r="E1373" s="196" t="s">
        <v>14307</v>
      </c>
      <c r="F1373" s="196" t="s">
        <v>11233</v>
      </c>
      <c r="G1373" s="196" t="s">
        <v>11720</v>
      </c>
      <c r="H1373" s="196" t="s">
        <v>11235</v>
      </c>
    </row>
    <row r="1374" spans="1:8" x14ac:dyDescent="0.15">
      <c r="A1374" s="196" t="s">
        <v>11229</v>
      </c>
      <c r="B1374" s="196" t="s">
        <v>11230</v>
      </c>
      <c r="C1374" s="196" t="s">
        <v>14308</v>
      </c>
      <c r="D1374" s="196" t="s">
        <v>14309</v>
      </c>
      <c r="E1374" s="196" t="s">
        <v>14309</v>
      </c>
      <c r="F1374" s="196" t="s">
        <v>11233</v>
      </c>
      <c r="G1374" s="196" t="s">
        <v>11720</v>
      </c>
      <c r="H1374" s="196" t="s">
        <v>11235</v>
      </c>
    </row>
    <row r="1375" spans="1:8" x14ac:dyDescent="0.15">
      <c r="A1375" s="196" t="s">
        <v>11229</v>
      </c>
      <c r="B1375" s="196" t="s">
        <v>11230</v>
      </c>
      <c r="C1375" s="196" t="s">
        <v>14310</v>
      </c>
      <c r="D1375" s="196" t="s">
        <v>14311</v>
      </c>
      <c r="E1375" s="196" t="s">
        <v>14311</v>
      </c>
      <c r="F1375" s="196" t="s">
        <v>11233</v>
      </c>
      <c r="G1375" s="196" t="s">
        <v>11720</v>
      </c>
      <c r="H1375" s="196" t="s">
        <v>11235</v>
      </c>
    </row>
    <row r="1376" spans="1:8" x14ac:dyDescent="0.15">
      <c r="A1376" s="196" t="s">
        <v>11229</v>
      </c>
      <c r="B1376" s="196" t="s">
        <v>11230</v>
      </c>
      <c r="C1376" s="196" t="s">
        <v>14312</v>
      </c>
      <c r="D1376" s="196" t="s">
        <v>14313</v>
      </c>
      <c r="E1376" s="196" t="s">
        <v>14313</v>
      </c>
      <c r="F1376" s="196" t="s">
        <v>11233</v>
      </c>
      <c r="G1376" s="196" t="s">
        <v>11720</v>
      </c>
      <c r="H1376" s="196" t="s">
        <v>11235</v>
      </c>
    </row>
    <row r="1377" spans="1:8" x14ac:dyDescent="0.15">
      <c r="A1377" s="196" t="s">
        <v>11229</v>
      </c>
      <c r="B1377" s="196" t="s">
        <v>11230</v>
      </c>
      <c r="C1377" s="196" t="s">
        <v>14314</v>
      </c>
      <c r="D1377" s="196" t="s">
        <v>14315</v>
      </c>
      <c r="E1377" s="196" t="s">
        <v>14315</v>
      </c>
      <c r="F1377" s="196" t="s">
        <v>11233</v>
      </c>
      <c r="G1377" s="196" t="s">
        <v>11720</v>
      </c>
      <c r="H1377" s="196" t="s">
        <v>11235</v>
      </c>
    </row>
    <row r="1378" spans="1:8" x14ac:dyDescent="0.15">
      <c r="A1378" s="196" t="s">
        <v>11229</v>
      </c>
      <c r="B1378" s="196" t="s">
        <v>11230</v>
      </c>
      <c r="C1378" s="196" t="s">
        <v>14316</v>
      </c>
      <c r="D1378" s="196" t="s">
        <v>14317</v>
      </c>
      <c r="E1378" s="196" t="s">
        <v>14317</v>
      </c>
      <c r="F1378" s="196" t="s">
        <v>11233</v>
      </c>
      <c r="G1378" s="196" t="s">
        <v>11720</v>
      </c>
      <c r="H1378" s="196" t="s">
        <v>11235</v>
      </c>
    </row>
    <row r="1379" spans="1:8" x14ac:dyDescent="0.15">
      <c r="A1379" s="196" t="s">
        <v>11229</v>
      </c>
      <c r="B1379" s="196" t="s">
        <v>11230</v>
      </c>
      <c r="C1379" s="196" t="s">
        <v>14318</v>
      </c>
      <c r="D1379" s="196" t="s">
        <v>14319</v>
      </c>
      <c r="E1379" s="196" t="s">
        <v>14319</v>
      </c>
      <c r="F1379" s="196" t="s">
        <v>11233</v>
      </c>
      <c r="G1379" s="196" t="s">
        <v>11720</v>
      </c>
      <c r="H1379" s="196" t="s">
        <v>11235</v>
      </c>
    </row>
    <row r="1380" spans="1:8" x14ac:dyDescent="0.15">
      <c r="A1380" s="196" t="s">
        <v>11229</v>
      </c>
      <c r="B1380" s="196" t="s">
        <v>11230</v>
      </c>
      <c r="C1380" s="196" t="s">
        <v>14320</v>
      </c>
      <c r="D1380" s="196" t="s">
        <v>14321</v>
      </c>
      <c r="E1380" s="196" t="s">
        <v>14321</v>
      </c>
      <c r="F1380" s="196" t="s">
        <v>11233</v>
      </c>
      <c r="G1380" s="196" t="s">
        <v>11720</v>
      </c>
      <c r="H1380" s="196" t="s">
        <v>11235</v>
      </c>
    </row>
    <row r="1381" spans="1:8" x14ac:dyDescent="0.15">
      <c r="A1381" s="196" t="s">
        <v>11229</v>
      </c>
      <c r="B1381" s="196" t="s">
        <v>11230</v>
      </c>
      <c r="C1381" s="196" t="s">
        <v>14322</v>
      </c>
      <c r="D1381" s="196" t="s">
        <v>14323</v>
      </c>
      <c r="E1381" s="196" t="s">
        <v>14323</v>
      </c>
      <c r="F1381" s="196" t="s">
        <v>11233</v>
      </c>
      <c r="G1381" s="196" t="s">
        <v>11720</v>
      </c>
      <c r="H1381" s="196" t="s">
        <v>11235</v>
      </c>
    </row>
    <row r="1382" spans="1:8" x14ac:dyDescent="0.15">
      <c r="A1382" s="196" t="s">
        <v>11229</v>
      </c>
      <c r="B1382" s="196" t="s">
        <v>11230</v>
      </c>
      <c r="C1382" s="196" t="s">
        <v>14324</v>
      </c>
      <c r="D1382" s="196" t="s">
        <v>14325</v>
      </c>
      <c r="E1382" s="196" t="s">
        <v>14325</v>
      </c>
      <c r="F1382" s="196" t="s">
        <v>11233</v>
      </c>
      <c r="G1382" s="196" t="s">
        <v>11720</v>
      </c>
      <c r="H1382" s="196" t="s">
        <v>11235</v>
      </c>
    </row>
    <row r="1383" spans="1:8" x14ac:dyDescent="0.15">
      <c r="A1383" s="196" t="s">
        <v>11229</v>
      </c>
      <c r="B1383" s="196" t="s">
        <v>11230</v>
      </c>
      <c r="C1383" s="196" t="s">
        <v>14326</v>
      </c>
      <c r="D1383" s="196" t="s">
        <v>14327</v>
      </c>
      <c r="E1383" s="196" t="s">
        <v>14328</v>
      </c>
      <c r="F1383" s="196" t="s">
        <v>13023</v>
      </c>
      <c r="G1383" s="196" t="s">
        <v>11720</v>
      </c>
      <c r="H1383" s="196" t="s">
        <v>11235</v>
      </c>
    </row>
    <row r="1384" spans="1:8" x14ac:dyDescent="0.15">
      <c r="A1384" s="196" t="s">
        <v>11229</v>
      </c>
      <c r="B1384" s="196" t="s">
        <v>11230</v>
      </c>
      <c r="C1384" s="196" t="s">
        <v>14329</v>
      </c>
      <c r="D1384" s="196" t="s">
        <v>14330</v>
      </c>
      <c r="E1384" s="196" t="s">
        <v>14331</v>
      </c>
      <c r="F1384" s="196" t="s">
        <v>14332</v>
      </c>
      <c r="G1384" s="196" t="s">
        <v>11962</v>
      </c>
      <c r="H1384" s="196" t="s">
        <v>11235</v>
      </c>
    </row>
    <row r="1385" spans="1:8" x14ac:dyDescent="0.15">
      <c r="A1385" s="196" t="s">
        <v>11229</v>
      </c>
      <c r="B1385" s="196" t="s">
        <v>11230</v>
      </c>
      <c r="C1385" s="196" t="s">
        <v>14333</v>
      </c>
      <c r="D1385" s="196" t="s">
        <v>14334</v>
      </c>
      <c r="E1385" s="196" t="s">
        <v>14334</v>
      </c>
      <c r="F1385" s="196" t="s">
        <v>11233</v>
      </c>
      <c r="G1385" s="196" t="s">
        <v>11720</v>
      </c>
      <c r="H1385" s="196" t="s">
        <v>11235</v>
      </c>
    </row>
    <row r="1386" spans="1:8" x14ac:dyDescent="0.15">
      <c r="A1386" s="196" t="s">
        <v>11229</v>
      </c>
      <c r="B1386" s="196" t="s">
        <v>11230</v>
      </c>
      <c r="C1386" s="196" t="s">
        <v>14335</v>
      </c>
      <c r="D1386" s="196" t="s">
        <v>14336</v>
      </c>
      <c r="E1386" s="196" t="s">
        <v>14337</v>
      </c>
      <c r="F1386" s="196" t="s">
        <v>13023</v>
      </c>
      <c r="G1386" s="196" t="s">
        <v>11720</v>
      </c>
      <c r="H1386" s="196" t="s">
        <v>11235</v>
      </c>
    </row>
    <row r="1387" spans="1:8" x14ac:dyDescent="0.15">
      <c r="A1387" s="196" t="s">
        <v>11229</v>
      </c>
      <c r="B1387" s="196" t="s">
        <v>11230</v>
      </c>
      <c r="C1387" s="196" t="s">
        <v>14338</v>
      </c>
      <c r="D1387" s="196" t="s">
        <v>14339</v>
      </c>
      <c r="E1387" s="196" t="s">
        <v>14339</v>
      </c>
      <c r="F1387" s="196" t="s">
        <v>11233</v>
      </c>
      <c r="G1387" s="196" t="s">
        <v>11720</v>
      </c>
      <c r="H1387" s="196" t="s">
        <v>11235</v>
      </c>
    </row>
    <row r="1388" spans="1:8" x14ac:dyDescent="0.15">
      <c r="A1388" s="196" t="s">
        <v>11229</v>
      </c>
      <c r="B1388" s="196" t="s">
        <v>11230</v>
      </c>
      <c r="C1388" s="196" t="s">
        <v>14340</v>
      </c>
      <c r="D1388" s="196" t="s">
        <v>14341</v>
      </c>
      <c r="E1388" s="196" t="s">
        <v>14341</v>
      </c>
      <c r="F1388" s="196" t="s">
        <v>11233</v>
      </c>
      <c r="G1388" s="196" t="s">
        <v>11720</v>
      </c>
      <c r="H1388" s="196" t="s">
        <v>11235</v>
      </c>
    </row>
    <row r="1389" spans="1:8" x14ac:dyDescent="0.15">
      <c r="A1389" s="196" t="s">
        <v>11229</v>
      </c>
      <c r="B1389" s="196" t="s">
        <v>11230</v>
      </c>
      <c r="C1389" s="196" t="s">
        <v>14342</v>
      </c>
      <c r="D1389" s="196" t="s">
        <v>14343</v>
      </c>
      <c r="E1389" s="196" t="s">
        <v>14343</v>
      </c>
      <c r="F1389" s="196" t="s">
        <v>11233</v>
      </c>
      <c r="G1389" s="196" t="s">
        <v>11720</v>
      </c>
      <c r="H1389" s="196" t="s">
        <v>11235</v>
      </c>
    </row>
    <row r="1390" spans="1:8" x14ac:dyDescent="0.15">
      <c r="A1390" s="196" t="s">
        <v>11229</v>
      </c>
      <c r="B1390" s="196" t="s">
        <v>11230</v>
      </c>
      <c r="C1390" s="196" t="s">
        <v>14344</v>
      </c>
      <c r="D1390" s="196" t="s">
        <v>14345</v>
      </c>
      <c r="E1390" s="196" t="s">
        <v>14345</v>
      </c>
      <c r="F1390" s="196" t="s">
        <v>11233</v>
      </c>
      <c r="G1390" s="196" t="s">
        <v>11720</v>
      </c>
      <c r="H1390" s="196" t="s">
        <v>11235</v>
      </c>
    </row>
    <row r="1391" spans="1:8" x14ac:dyDescent="0.15">
      <c r="A1391" s="196" t="s">
        <v>11229</v>
      </c>
      <c r="B1391" s="196" t="s">
        <v>11230</v>
      </c>
      <c r="C1391" s="196" t="s">
        <v>14346</v>
      </c>
      <c r="D1391" s="196" t="s">
        <v>14347</v>
      </c>
      <c r="E1391" s="196" t="s">
        <v>14348</v>
      </c>
      <c r="F1391" s="196" t="s">
        <v>11268</v>
      </c>
      <c r="G1391" s="196" t="s">
        <v>11720</v>
      </c>
      <c r="H1391" s="196" t="s">
        <v>11235</v>
      </c>
    </row>
    <row r="1392" spans="1:8" x14ac:dyDescent="0.15">
      <c r="A1392" s="196" t="s">
        <v>11229</v>
      </c>
      <c r="B1392" s="196" t="s">
        <v>11230</v>
      </c>
      <c r="C1392" s="196" t="s">
        <v>14349</v>
      </c>
      <c r="D1392" s="196" t="s">
        <v>14350</v>
      </c>
      <c r="E1392" s="196" t="s">
        <v>14350</v>
      </c>
      <c r="F1392" s="196" t="s">
        <v>11233</v>
      </c>
      <c r="G1392" s="196" t="s">
        <v>11720</v>
      </c>
      <c r="H1392" s="196" t="s">
        <v>11235</v>
      </c>
    </row>
    <row r="1393" spans="1:8" x14ac:dyDescent="0.15">
      <c r="A1393" s="196" t="s">
        <v>11229</v>
      </c>
      <c r="B1393" s="196" t="s">
        <v>11230</v>
      </c>
      <c r="C1393" s="196" t="s">
        <v>14351</v>
      </c>
      <c r="D1393" s="196" t="s">
        <v>14352</v>
      </c>
      <c r="E1393" s="196" t="s">
        <v>14352</v>
      </c>
      <c r="F1393" s="196" t="s">
        <v>11233</v>
      </c>
      <c r="G1393" s="196" t="s">
        <v>11720</v>
      </c>
      <c r="H1393" s="196" t="s">
        <v>11235</v>
      </c>
    </row>
    <row r="1394" spans="1:8" x14ac:dyDescent="0.15">
      <c r="A1394" s="196" t="s">
        <v>11229</v>
      </c>
      <c r="B1394" s="196" t="s">
        <v>11230</v>
      </c>
      <c r="C1394" s="196" t="s">
        <v>14353</v>
      </c>
      <c r="D1394" s="196" t="s">
        <v>14354</v>
      </c>
      <c r="E1394" s="196" t="s">
        <v>14355</v>
      </c>
      <c r="F1394" s="196" t="s">
        <v>13023</v>
      </c>
      <c r="G1394" s="196" t="s">
        <v>11720</v>
      </c>
      <c r="H1394" s="196" t="s">
        <v>11235</v>
      </c>
    </row>
    <row r="1395" spans="1:8" x14ac:dyDescent="0.15">
      <c r="A1395" s="196" t="s">
        <v>11229</v>
      </c>
      <c r="B1395" s="196" t="s">
        <v>11230</v>
      </c>
      <c r="C1395" s="196" t="s">
        <v>14356</v>
      </c>
      <c r="D1395" s="196" t="s">
        <v>14357</v>
      </c>
      <c r="E1395" s="196" t="s">
        <v>14358</v>
      </c>
      <c r="F1395" s="196" t="s">
        <v>11241</v>
      </c>
      <c r="G1395" s="196" t="s">
        <v>11720</v>
      </c>
      <c r="H1395" s="196" t="s">
        <v>11235</v>
      </c>
    </row>
    <row r="1396" spans="1:8" x14ac:dyDescent="0.15">
      <c r="A1396" s="196" t="s">
        <v>11229</v>
      </c>
      <c r="B1396" s="196" t="s">
        <v>11230</v>
      </c>
      <c r="C1396" s="196" t="s">
        <v>14359</v>
      </c>
      <c r="D1396" s="196" t="s">
        <v>14360</v>
      </c>
      <c r="E1396" s="196" t="s">
        <v>14360</v>
      </c>
      <c r="F1396" s="196" t="s">
        <v>11233</v>
      </c>
      <c r="G1396" s="196" t="s">
        <v>11720</v>
      </c>
      <c r="H1396" s="196" t="s">
        <v>11235</v>
      </c>
    </row>
    <row r="1397" spans="1:8" x14ac:dyDescent="0.15">
      <c r="A1397" s="196" t="s">
        <v>11229</v>
      </c>
      <c r="B1397" s="196" t="s">
        <v>11230</v>
      </c>
      <c r="C1397" s="196" t="s">
        <v>14361</v>
      </c>
      <c r="D1397" s="196" t="s">
        <v>14362</v>
      </c>
      <c r="E1397" s="196" t="s">
        <v>14362</v>
      </c>
      <c r="F1397" s="196" t="s">
        <v>11233</v>
      </c>
      <c r="G1397" s="196" t="s">
        <v>11720</v>
      </c>
      <c r="H1397" s="196" t="s">
        <v>11235</v>
      </c>
    </row>
    <row r="1398" spans="1:8" x14ac:dyDescent="0.15">
      <c r="A1398" s="196" t="s">
        <v>11229</v>
      </c>
      <c r="B1398" s="196" t="s">
        <v>11230</v>
      </c>
      <c r="C1398" s="196" t="s">
        <v>14363</v>
      </c>
      <c r="D1398" s="196" t="s">
        <v>14364</v>
      </c>
      <c r="E1398" s="196" t="s">
        <v>14364</v>
      </c>
      <c r="F1398" s="196" t="s">
        <v>11233</v>
      </c>
      <c r="G1398" s="196" t="s">
        <v>11720</v>
      </c>
      <c r="H1398" s="196" t="s">
        <v>11235</v>
      </c>
    </row>
    <row r="1399" spans="1:8" x14ac:dyDescent="0.15">
      <c r="A1399" s="196" t="s">
        <v>11229</v>
      </c>
      <c r="B1399" s="196" t="s">
        <v>11230</v>
      </c>
      <c r="C1399" s="196" t="s">
        <v>14365</v>
      </c>
      <c r="D1399" s="196" t="s">
        <v>14366</v>
      </c>
      <c r="E1399" s="196" t="s">
        <v>14367</v>
      </c>
      <c r="F1399" s="196" t="s">
        <v>13758</v>
      </c>
      <c r="G1399" s="196" t="s">
        <v>11720</v>
      </c>
      <c r="H1399" s="196" t="s">
        <v>11235</v>
      </c>
    </row>
    <row r="1400" spans="1:8" x14ac:dyDescent="0.15">
      <c r="A1400" s="196" t="s">
        <v>11229</v>
      </c>
      <c r="B1400" s="196" t="s">
        <v>11230</v>
      </c>
      <c r="C1400" s="196" t="s">
        <v>14368</v>
      </c>
      <c r="D1400" s="196" t="s">
        <v>14369</v>
      </c>
      <c r="E1400" s="196" t="s">
        <v>14370</v>
      </c>
      <c r="F1400" s="196" t="s">
        <v>11241</v>
      </c>
      <c r="G1400" s="196" t="s">
        <v>11720</v>
      </c>
      <c r="H1400" s="196" t="s">
        <v>11235</v>
      </c>
    </row>
    <row r="1401" spans="1:8" x14ac:dyDescent="0.15">
      <c r="A1401" s="196" t="s">
        <v>11229</v>
      </c>
      <c r="B1401" s="196" t="s">
        <v>11230</v>
      </c>
      <c r="C1401" s="196" t="s">
        <v>14371</v>
      </c>
      <c r="D1401" s="196" t="s">
        <v>14372</v>
      </c>
      <c r="E1401" s="196" t="s">
        <v>14373</v>
      </c>
      <c r="F1401" s="196" t="s">
        <v>13023</v>
      </c>
      <c r="G1401" s="196" t="s">
        <v>11720</v>
      </c>
      <c r="H1401" s="196" t="s">
        <v>11235</v>
      </c>
    </row>
    <row r="1402" spans="1:8" x14ac:dyDescent="0.15">
      <c r="A1402" s="196" t="s">
        <v>11229</v>
      </c>
      <c r="B1402" s="196" t="s">
        <v>11230</v>
      </c>
      <c r="C1402" s="196" t="s">
        <v>14374</v>
      </c>
      <c r="D1402" s="196" t="s">
        <v>14373</v>
      </c>
      <c r="E1402" s="196" t="s">
        <v>14375</v>
      </c>
      <c r="F1402" s="196" t="s">
        <v>11268</v>
      </c>
      <c r="G1402" s="196" t="s">
        <v>11720</v>
      </c>
      <c r="H1402" s="196" t="s">
        <v>11235</v>
      </c>
    </row>
    <row r="1403" spans="1:8" x14ac:dyDescent="0.15">
      <c r="A1403" s="196" t="s">
        <v>11229</v>
      </c>
      <c r="B1403" s="196" t="s">
        <v>11230</v>
      </c>
      <c r="C1403" s="196" t="s">
        <v>14376</v>
      </c>
      <c r="D1403" s="196" t="s">
        <v>14377</v>
      </c>
      <c r="E1403" s="196" t="s">
        <v>14378</v>
      </c>
      <c r="F1403" s="196" t="s">
        <v>11241</v>
      </c>
      <c r="G1403" s="196" t="s">
        <v>11720</v>
      </c>
      <c r="H1403" s="196" t="s">
        <v>11235</v>
      </c>
    </row>
    <row r="1404" spans="1:8" x14ac:dyDescent="0.15">
      <c r="A1404" s="196" t="s">
        <v>11229</v>
      </c>
      <c r="B1404" s="196" t="s">
        <v>11230</v>
      </c>
      <c r="C1404" s="196" t="s">
        <v>14379</v>
      </c>
      <c r="D1404" s="196" t="s">
        <v>14380</v>
      </c>
      <c r="E1404" s="196" t="s">
        <v>14381</v>
      </c>
      <c r="F1404" s="196" t="s">
        <v>11241</v>
      </c>
      <c r="G1404" s="196" t="s">
        <v>11720</v>
      </c>
      <c r="H1404" s="196" t="s">
        <v>11235</v>
      </c>
    </row>
    <row r="1405" spans="1:8" x14ac:dyDescent="0.15">
      <c r="A1405" s="196" t="s">
        <v>11229</v>
      </c>
      <c r="B1405" s="196" t="s">
        <v>11230</v>
      </c>
      <c r="C1405" s="196" t="s">
        <v>14382</v>
      </c>
      <c r="D1405" s="196" t="s">
        <v>14383</v>
      </c>
      <c r="E1405" s="196" t="s">
        <v>14384</v>
      </c>
      <c r="F1405" s="196" t="s">
        <v>11241</v>
      </c>
      <c r="G1405" s="196" t="s">
        <v>11720</v>
      </c>
      <c r="H1405" s="196" t="s">
        <v>11235</v>
      </c>
    </row>
    <row r="1406" spans="1:8" x14ac:dyDescent="0.15">
      <c r="A1406" s="196" t="s">
        <v>11229</v>
      </c>
      <c r="B1406" s="196" t="s">
        <v>11230</v>
      </c>
      <c r="C1406" s="196" t="s">
        <v>14385</v>
      </c>
      <c r="D1406" s="196" t="s">
        <v>14386</v>
      </c>
      <c r="E1406" s="196" t="s">
        <v>14387</v>
      </c>
      <c r="F1406" s="196" t="s">
        <v>13758</v>
      </c>
      <c r="G1406" s="196" t="s">
        <v>11720</v>
      </c>
      <c r="H1406" s="196" t="s">
        <v>11235</v>
      </c>
    </row>
    <row r="1407" spans="1:8" x14ac:dyDescent="0.15">
      <c r="A1407" s="196" t="s">
        <v>11229</v>
      </c>
      <c r="B1407" s="196" t="s">
        <v>11230</v>
      </c>
      <c r="C1407" s="196" t="s">
        <v>14388</v>
      </c>
      <c r="D1407" s="196" t="s">
        <v>14389</v>
      </c>
      <c r="E1407" s="196" t="s">
        <v>14390</v>
      </c>
      <c r="F1407" s="196" t="s">
        <v>11241</v>
      </c>
      <c r="G1407" s="196" t="s">
        <v>11720</v>
      </c>
      <c r="H1407" s="196" t="s">
        <v>11235</v>
      </c>
    </row>
    <row r="1408" spans="1:8" x14ac:dyDescent="0.15">
      <c r="A1408" s="196" t="s">
        <v>11229</v>
      </c>
      <c r="B1408" s="196" t="s">
        <v>11230</v>
      </c>
      <c r="C1408" s="196" t="s">
        <v>14391</v>
      </c>
      <c r="D1408" s="196" t="s">
        <v>14392</v>
      </c>
      <c r="E1408" s="196" t="s">
        <v>14392</v>
      </c>
      <c r="F1408" s="196" t="s">
        <v>11233</v>
      </c>
      <c r="G1408" s="196" t="s">
        <v>11720</v>
      </c>
      <c r="H1408" s="196" t="s">
        <v>11235</v>
      </c>
    </row>
    <row r="1409" spans="1:8" x14ac:dyDescent="0.15">
      <c r="A1409" s="196" t="s">
        <v>11229</v>
      </c>
      <c r="B1409" s="196" t="s">
        <v>11230</v>
      </c>
      <c r="C1409" s="196" t="s">
        <v>14393</v>
      </c>
      <c r="D1409" s="196" t="s">
        <v>14394</v>
      </c>
      <c r="E1409" s="196" t="s">
        <v>14394</v>
      </c>
      <c r="F1409" s="196" t="s">
        <v>11233</v>
      </c>
      <c r="G1409" s="196" t="s">
        <v>11720</v>
      </c>
      <c r="H1409" s="196" t="s">
        <v>11235</v>
      </c>
    </row>
    <row r="1410" spans="1:8" x14ac:dyDescent="0.15">
      <c r="A1410" s="196" t="s">
        <v>11229</v>
      </c>
      <c r="B1410" s="196" t="s">
        <v>11230</v>
      </c>
      <c r="C1410" s="196" t="s">
        <v>14395</v>
      </c>
      <c r="D1410" s="196" t="s">
        <v>14396</v>
      </c>
      <c r="E1410" s="196" t="s">
        <v>14397</v>
      </c>
      <c r="F1410" s="196" t="s">
        <v>11241</v>
      </c>
      <c r="G1410" s="196" t="s">
        <v>11720</v>
      </c>
      <c r="H1410" s="196" t="s">
        <v>11235</v>
      </c>
    </row>
    <row r="1411" spans="1:8" x14ac:dyDescent="0.15">
      <c r="A1411" s="196" t="s">
        <v>11229</v>
      </c>
      <c r="B1411" s="196" t="s">
        <v>11230</v>
      </c>
      <c r="C1411" s="196" t="s">
        <v>14398</v>
      </c>
      <c r="D1411" s="196" t="s">
        <v>14397</v>
      </c>
      <c r="E1411" s="196" t="s">
        <v>14399</v>
      </c>
      <c r="F1411" s="196" t="s">
        <v>11241</v>
      </c>
      <c r="G1411" s="196" t="s">
        <v>11720</v>
      </c>
      <c r="H1411" s="196" t="s">
        <v>11235</v>
      </c>
    </row>
    <row r="1412" spans="1:8" x14ac:dyDescent="0.15">
      <c r="A1412" s="196" t="s">
        <v>11229</v>
      </c>
      <c r="B1412" s="196" t="s">
        <v>11230</v>
      </c>
      <c r="C1412" s="196" t="s">
        <v>14400</v>
      </c>
      <c r="D1412" s="196" t="s">
        <v>14401</v>
      </c>
      <c r="E1412" s="196" t="s">
        <v>14401</v>
      </c>
      <c r="F1412" s="196" t="s">
        <v>11233</v>
      </c>
      <c r="G1412" s="196" t="s">
        <v>11720</v>
      </c>
      <c r="H1412" s="196" t="s">
        <v>11235</v>
      </c>
    </row>
    <row r="1413" spans="1:8" x14ac:dyDescent="0.15">
      <c r="A1413" s="196" t="s">
        <v>11229</v>
      </c>
      <c r="B1413" s="196" t="s">
        <v>11230</v>
      </c>
      <c r="C1413" s="196" t="s">
        <v>14402</v>
      </c>
      <c r="D1413" s="196" t="s">
        <v>14403</v>
      </c>
      <c r="E1413" s="196" t="s">
        <v>14404</v>
      </c>
      <c r="F1413" s="196" t="s">
        <v>14405</v>
      </c>
      <c r="G1413" s="196" t="s">
        <v>11720</v>
      </c>
      <c r="H1413" s="196" t="s">
        <v>11235</v>
      </c>
    </row>
    <row r="1414" spans="1:8" x14ac:dyDescent="0.15">
      <c r="A1414" s="196" t="s">
        <v>11229</v>
      </c>
      <c r="B1414" s="196" t="s">
        <v>11230</v>
      </c>
      <c r="C1414" s="196" t="s">
        <v>14406</v>
      </c>
      <c r="D1414" s="196" t="s">
        <v>14407</v>
      </c>
      <c r="E1414" s="196" t="s">
        <v>14408</v>
      </c>
      <c r="F1414" s="196" t="s">
        <v>14409</v>
      </c>
      <c r="G1414" s="196" t="s">
        <v>11962</v>
      </c>
      <c r="H1414" s="196" t="s">
        <v>11235</v>
      </c>
    </row>
    <row r="1415" spans="1:8" x14ac:dyDescent="0.15">
      <c r="A1415" s="196" t="s">
        <v>11229</v>
      </c>
      <c r="B1415" s="196" t="s">
        <v>11230</v>
      </c>
      <c r="C1415" s="196" t="s">
        <v>14410</v>
      </c>
      <c r="D1415" s="196" t="s">
        <v>14411</v>
      </c>
      <c r="E1415" s="196" t="s">
        <v>14412</v>
      </c>
      <c r="F1415" s="196" t="s">
        <v>14413</v>
      </c>
      <c r="G1415" s="196" t="s">
        <v>11720</v>
      </c>
      <c r="H1415" s="196" t="s">
        <v>11235</v>
      </c>
    </row>
    <row r="1416" spans="1:8" x14ac:dyDescent="0.15">
      <c r="A1416" s="196" t="s">
        <v>11229</v>
      </c>
      <c r="B1416" s="196" t="s">
        <v>11230</v>
      </c>
      <c r="C1416" s="196" t="s">
        <v>14414</v>
      </c>
      <c r="D1416" s="196" t="s">
        <v>14415</v>
      </c>
      <c r="E1416" s="196" t="s">
        <v>14416</v>
      </c>
      <c r="F1416" s="196" t="s">
        <v>14417</v>
      </c>
      <c r="G1416" s="196" t="s">
        <v>11720</v>
      </c>
      <c r="H1416" s="196" t="s">
        <v>11235</v>
      </c>
    </row>
    <row r="1417" spans="1:8" x14ac:dyDescent="0.15">
      <c r="A1417" s="196" t="s">
        <v>11229</v>
      </c>
      <c r="B1417" s="196" t="s">
        <v>11230</v>
      </c>
      <c r="C1417" s="196" t="s">
        <v>14418</v>
      </c>
      <c r="D1417" s="196" t="s">
        <v>14416</v>
      </c>
      <c r="E1417" s="196" t="s">
        <v>14419</v>
      </c>
      <c r="F1417" s="196" t="s">
        <v>13180</v>
      </c>
      <c r="G1417" s="196" t="s">
        <v>11720</v>
      </c>
      <c r="H1417" s="196" t="s">
        <v>11235</v>
      </c>
    </row>
    <row r="1418" spans="1:8" x14ac:dyDescent="0.15">
      <c r="A1418" s="196" t="s">
        <v>11229</v>
      </c>
      <c r="B1418" s="196" t="s">
        <v>11230</v>
      </c>
      <c r="C1418" s="196" t="s">
        <v>14420</v>
      </c>
      <c r="D1418" s="196" t="s">
        <v>14421</v>
      </c>
      <c r="E1418" s="196" t="s">
        <v>14421</v>
      </c>
      <c r="F1418" s="196" t="s">
        <v>11233</v>
      </c>
      <c r="G1418" s="196" t="s">
        <v>11720</v>
      </c>
      <c r="H1418" s="196" t="s">
        <v>11235</v>
      </c>
    </row>
    <row r="1419" spans="1:8" x14ac:dyDescent="0.15">
      <c r="A1419" s="196" t="s">
        <v>11229</v>
      </c>
      <c r="B1419" s="196" t="s">
        <v>11230</v>
      </c>
      <c r="C1419" s="196" t="s">
        <v>14422</v>
      </c>
      <c r="D1419" s="196" t="s">
        <v>14423</v>
      </c>
      <c r="E1419" s="196" t="s">
        <v>14423</v>
      </c>
      <c r="F1419" s="196" t="s">
        <v>11233</v>
      </c>
      <c r="G1419" s="196" t="s">
        <v>11720</v>
      </c>
      <c r="H1419" s="196" t="s">
        <v>11235</v>
      </c>
    </row>
    <row r="1420" spans="1:8" x14ac:dyDescent="0.15">
      <c r="A1420" s="196" t="s">
        <v>11229</v>
      </c>
      <c r="B1420" s="196" t="s">
        <v>11230</v>
      </c>
      <c r="C1420" s="196" t="s">
        <v>14424</v>
      </c>
      <c r="D1420" s="196" t="s">
        <v>14425</v>
      </c>
      <c r="E1420" s="196" t="s">
        <v>14425</v>
      </c>
      <c r="F1420" s="196" t="s">
        <v>11233</v>
      </c>
      <c r="G1420" s="196" t="s">
        <v>11720</v>
      </c>
      <c r="H1420" s="196" t="s">
        <v>11235</v>
      </c>
    </row>
    <row r="1421" spans="1:8" x14ac:dyDescent="0.15">
      <c r="A1421" s="196" t="s">
        <v>11229</v>
      </c>
      <c r="B1421" s="196" t="s">
        <v>11230</v>
      </c>
      <c r="C1421" s="196" t="s">
        <v>14426</v>
      </c>
      <c r="D1421" s="196" t="s">
        <v>14427</v>
      </c>
      <c r="E1421" s="196" t="s">
        <v>14427</v>
      </c>
      <c r="F1421" s="196" t="s">
        <v>11233</v>
      </c>
      <c r="G1421" s="196" t="s">
        <v>11720</v>
      </c>
      <c r="H1421" s="196" t="s">
        <v>11235</v>
      </c>
    </row>
    <row r="1422" spans="1:8" x14ac:dyDescent="0.15">
      <c r="A1422" s="196" t="s">
        <v>11229</v>
      </c>
      <c r="B1422" s="196" t="s">
        <v>11230</v>
      </c>
      <c r="C1422" s="196" t="s">
        <v>14428</v>
      </c>
      <c r="D1422" s="196" t="s">
        <v>14429</v>
      </c>
      <c r="E1422" s="196" t="s">
        <v>14429</v>
      </c>
      <c r="F1422" s="196" t="s">
        <v>11233</v>
      </c>
      <c r="G1422" s="196" t="s">
        <v>11720</v>
      </c>
      <c r="H1422" s="196" t="s">
        <v>11235</v>
      </c>
    </row>
    <row r="1423" spans="1:8" x14ac:dyDescent="0.15">
      <c r="A1423" s="196" t="s">
        <v>11229</v>
      </c>
      <c r="B1423" s="196" t="s">
        <v>11230</v>
      </c>
      <c r="C1423" s="196" t="s">
        <v>14430</v>
      </c>
      <c r="D1423" s="196" t="s">
        <v>14431</v>
      </c>
      <c r="E1423" s="196" t="s">
        <v>14431</v>
      </c>
      <c r="F1423" s="196" t="s">
        <v>11233</v>
      </c>
      <c r="G1423" s="196" t="s">
        <v>11720</v>
      </c>
      <c r="H1423" s="196" t="s">
        <v>11235</v>
      </c>
    </row>
    <row r="1424" spans="1:8" x14ac:dyDescent="0.15">
      <c r="A1424" s="196" t="s">
        <v>11229</v>
      </c>
      <c r="B1424" s="196" t="s">
        <v>11230</v>
      </c>
      <c r="C1424" s="196" t="s">
        <v>14432</v>
      </c>
      <c r="D1424" s="196" t="s">
        <v>14433</v>
      </c>
      <c r="E1424" s="196" t="s">
        <v>14434</v>
      </c>
      <c r="F1424" s="196" t="s">
        <v>11241</v>
      </c>
      <c r="G1424" s="196" t="s">
        <v>11720</v>
      </c>
      <c r="H1424" s="196" t="s">
        <v>11235</v>
      </c>
    </row>
    <row r="1425" spans="1:8" x14ac:dyDescent="0.15">
      <c r="A1425" s="196" t="s">
        <v>11229</v>
      </c>
      <c r="B1425" s="196" t="s">
        <v>11230</v>
      </c>
      <c r="C1425" s="196" t="s">
        <v>14435</v>
      </c>
      <c r="D1425" s="196" t="s">
        <v>14436</v>
      </c>
      <c r="E1425" s="196" t="s">
        <v>14437</v>
      </c>
      <c r="F1425" s="196" t="s">
        <v>14438</v>
      </c>
      <c r="G1425" s="196" t="s">
        <v>11720</v>
      </c>
      <c r="H1425" s="196" t="s">
        <v>11235</v>
      </c>
    </row>
    <row r="1426" spans="1:8" x14ac:dyDescent="0.15">
      <c r="A1426" s="196" t="s">
        <v>11229</v>
      </c>
      <c r="B1426" s="196" t="s">
        <v>11230</v>
      </c>
      <c r="C1426" s="196" t="s">
        <v>14439</v>
      </c>
      <c r="D1426" s="196" t="s">
        <v>14440</v>
      </c>
      <c r="E1426" s="196" t="s">
        <v>14441</v>
      </c>
      <c r="F1426" s="196" t="s">
        <v>12537</v>
      </c>
      <c r="G1426" s="196" t="s">
        <v>11720</v>
      </c>
      <c r="H1426" s="196" t="s">
        <v>11235</v>
      </c>
    </row>
    <row r="1427" spans="1:8" x14ac:dyDescent="0.15">
      <c r="A1427" s="196" t="s">
        <v>11229</v>
      </c>
      <c r="B1427" s="196" t="s">
        <v>11230</v>
      </c>
      <c r="C1427" s="196" t="s">
        <v>14442</v>
      </c>
      <c r="D1427" s="196" t="s">
        <v>14443</v>
      </c>
      <c r="E1427" s="196" t="s">
        <v>14444</v>
      </c>
      <c r="F1427" s="196" t="s">
        <v>11241</v>
      </c>
      <c r="G1427" s="196" t="s">
        <v>11720</v>
      </c>
      <c r="H1427" s="196" t="s">
        <v>11235</v>
      </c>
    </row>
    <row r="1428" spans="1:8" x14ac:dyDescent="0.15">
      <c r="A1428" s="196" t="s">
        <v>11229</v>
      </c>
      <c r="B1428" s="196" t="s">
        <v>11230</v>
      </c>
      <c r="C1428" s="196" t="s">
        <v>14445</v>
      </c>
      <c r="D1428" s="196" t="s">
        <v>14446</v>
      </c>
      <c r="E1428" s="196" t="s">
        <v>14447</v>
      </c>
      <c r="F1428" s="196" t="s">
        <v>11268</v>
      </c>
      <c r="G1428" s="196" t="s">
        <v>11720</v>
      </c>
      <c r="H1428" s="196" t="s">
        <v>11235</v>
      </c>
    </row>
    <row r="1429" spans="1:8" x14ac:dyDescent="0.15">
      <c r="A1429" s="196" t="s">
        <v>11229</v>
      </c>
      <c r="B1429" s="196" t="s">
        <v>11230</v>
      </c>
      <c r="C1429" s="196" t="s">
        <v>14448</v>
      </c>
      <c r="D1429" s="196" t="s">
        <v>14449</v>
      </c>
      <c r="E1429" s="196" t="s">
        <v>14450</v>
      </c>
      <c r="F1429" s="196" t="s">
        <v>14263</v>
      </c>
      <c r="G1429" s="196" t="s">
        <v>11720</v>
      </c>
      <c r="H1429" s="196" t="s">
        <v>11235</v>
      </c>
    </row>
    <row r="1430" spans="1:8" x14ac:dyDescent="0.15">
      <c r="A1430" s="196" t="s">
        <v>11229</v>
      </c>
      <c r="B1430" s="196" t="s">
        <v>11230</v>
      </c>
      <c r="C1430" s="196" t="s">
        <v>14451</v>
      </c>
      <c r="D1430" s="196" t="s">
        <v>14452</v>
      </c>
      <c r="E1430" s="196" t="s">
        <v>14453</v>
      </c>
      <c r="F1430" s="196" t="s">
        <v>13023</v>
      </c>
      <c r="G1430" s="196" t="s">
        <v>11720</v>
      </c>
      <c r="H1430" s="196" t="s">
        <v>11235</v>
      </c>
    </row>
    <row r="1431" spans="1:8" x14ac:dyDescent="0.15">
      <c r="A1431" s="196" t="s">
        <v>11229</v>
      </c>
      <c r="B1431" s="196" t="s">
        <v>11230</v>
      </c>
      <c r="C1431" s="196" t="s">
        <v>14454</v>
      </c>
      <c r="D1431" s="196" t="s">
        <v>14455</v>
      </c>
      <c r="E1431" s="196" t="s">
        <v>14456</v>
      </c>
      <c r="F1431" s="196" t="s">
        <v>11268</v>
      </c>
      <c r="G1431" s="196" t="s">
        <v>11720</v>
      </c>
      <c r="H1431" s="196" t="s">
        <v>11235</v>
      </c>
    </row>
    <row r="1432" spans="1:8" x14ac:dyDescent="0.15">
      <c r="A1432" s="196" t="s">
        <v>11229</v>
      </c>
      <c r="B1432" s="196" t="s">
        <v>11230</v>
      </c>
      <c r="C1432" s="196" t="s">
        <v>14457</v>
      </c>
      <c r="D1432" s="196" t="s">
        <v>14458</v>
      </c>
      <c r="E1432" s="196" t="s">
        <v>14459</v>
      </c>
      <c r="F1432" s="196" t="s">
        <v>11268</v>
      </c>
      <c r="G1432" s="196" t="s">
        <v>11720</v>
      </c>
      <c r="H1432" s="196" t="s">
        <v>11235</v>
      </c>
    </row>
    <row r="1433" spans="1:8" x14ac:dyDescent="0.15">
      <c r="A1433" s="196" t="s">
        <v>11229</v>
      </c>
      <c r="B1433" s="196" t="s">
        <v>11230</v>
      </c>
      <c r="C1433" s="196" t="s">
        <v>14460</v>
      </c>
      <c r="D1433" s="196" t="s">
        <v>14459</v>
      </c>
      <c r="E1433" s="196" t="s">
        <v>14461</v>
      </c>
      <c r="F1433" s="196" t="s">
        <v>11241</v>
      </c>
      <c r="G1433" s="196" t="s">
        <v>11720</v>
      </c>
      <c r="H1433" s="196" t="s">
        <v>11235</v>
      </c>
    </row>
    <row r="1434" spans="1:8" x14ac:dyDescent="0.15">
      <c r="A1434" s="196" t="s">
        <v>11229</v>
      </c>
      <c r="B1434" s="196" t="s">
        <v>11230</v>
      </c>
      <c r="C1434" s="196" t="s">
        <v>14462</v>
      </c>
      <c r="D1434" s="196" t="s">
        <v>14463</v>
      </c>
      <c r="E1434" s="196" t="s">
        <v>14463</v>
      </c>
      <c r="F1434" s="196" t="s">
        <v>11233</v>
      </c>
      <c r="G1434" s="196" t="s">
        <v>11720</v>
      </c>
      <c r="H1434" s="196" t="s">
        <v>11235</v>
      </c>
    </row>
    <row r="1435" spans="1:8" x14ac:dyDescent="0.15">
      <c r="A1435" s="196" t="s">
        <v>11229</v>
      </c>
      <c r="B1435" s="196" t="s">
        <v>11230</v>
      </c>
      <c r="C1435" s="196" t="s">
        <v>14464</v>
      </c>
      <c r="D1435" s="196" t="s">
        <v>14465</v>
      </c>
      <c r="E1435" s="196" t="s">
        <v>14465</v>
      </c>
      <c r="F1435" s="196" t="s">
        <v>11233</v>
      </c>
      <c r="G1435" s="196" t="s">
        <v>11720</v>
      </c>
      <c r="H1435" s="196" t="s">
        <v>11235</v>
      </c>
    </row>
    <row r="1436" spans="1:8" x14ac:dyDescent="0.15">
      <c r="A1436" s="196" t="s">
        <v>11229</v>
      </c>
      <c r="B1436" s="196" t="s">
        <v>11230</v>
      </c>
      <c r="C1436" s="196" t="s">
        <v>14466</v>
      </c>
      <c r="D1436" s="196" t="s">
        <v>14467</v>
      </c>
      <c r="E1436" s="196" t="s">
        <v>14468</v>
      </c>
      <c r="F1436" s="196" t="s">
        <v>11268</v>
      </c>
      <c r="G1436" s="196" t="s">
        <v>11720</v>
      </c>
      <c r="H1436" s="196" t="s">
        <v>11235</v>
      </c>
    </row>
    <row r="1437" spans="1:8" x14ac:dyDescent="0.15">
      <c r="A1437" s="196" t="s">
        <v>11229</v>
      </c>
      <c r="B1437" s="196" t="s">
        <v>11230</v>
      </c>
      <c r="C1437" s="196" t="s">
        <v>14469</v>
      </c>
      <c r="D1437" s="196" t="s">
        <v>14468</v>
      </c>
      <c r="E1437" s="196" t="s">
        <v>14470</v>
      </c>
      <c r="F1437" s="196" t="s">
        <v>11241</v>
      </c>
      <c r="G1437" s="196" t="s">
        <v>11720</v>
      </c>
      <c r="H1437" s="196" t="s">
        <v>11235</v>
      </c>
    </row>
    <row r="1438" spans="1:8" x14ac:dyDescent="0.15">
      <c r="A1438" s="196" t="s">
        <v>11229</v>
      </c>
      <c r="B1438" s="196" t="s">
        <v>11230</v>
      </c>
      <c r="C1438" s="196" t="s">
        <v>14471</v>
      </c>
      <c r="D1438" s="196" t="s">
        <v>14472</v>
      </c>
      <c r="E1438" s="196" t="s">
        <v>14472</v>
      </c>
      <c r="F1438" s="196" t="s">
        <v>11233</v>
      </c>
      <c r="G1438" s="196" t="s">
        <v>11720</v>
      </c>
      <c r="H1438" s="196" t="s">
        <v>11235</v>
      </c>
    </row>
    <row r="1439" spans="1:8" x14ac:dyDescent="0.15">
      <c r="A1439" s="196" t="s">
        <v>11229</v>
      </c>
      <c r="B1439" s="196" t="s">
        <v>11230</v>
      </c>
      <c r="C1439" s="196" t="s">
        <v>14473</v>
      </c>
      <c r="D1439" s="196" t="s">
        <v>14474</v>
      </c>
      <c r="E1439" s="196" t="s">
        <v>14474</v>
      </c>
      <c r="F1439" s="196" t="s">
        <v>11233</v>
      </c>
      <c r="G1439" s="196" t="s">
        <v>11720</v>
      </c>
      <c r="H1439" s="196" t="s">
        <v>11235</v>
      </c>
    </row>
    <row r="1440" spans="1:8" x14ac:dyDescent="0.15">
      <c r="A1440" s="196" t="s">
        <v>11229</v>
      </c>
      <c r="B1440" s="196" t="s">
        <v>11230</v>
      </c>
      <c r="C1440" s="196" t="s">
        <v>14475</v>
      </c>
      <c r="D1440" s="196" t="s">
        <v>14476</v>
      </c>
      <c r="E1440" s="196" t="s">
        <v>14476</v>
      </c>
      <c r="F1440" s="196" t="s">
        <v>11233</v>
      </c>
      <c r="G1440" s="196" t="s">
        <v>11962</v>
      </c>
      <c r="H1440" s="196" t="s">
        <v>11235</v>
      </c>
    </row>
    <row r="1441" spans="1:8" x14ac:dyDescent="0.15">
      <c r="A1441" s="196" t="s">
        <v>11229</v>
      </c>
      <c r="B1441" s="196" t="s">
        <v>11230</v>
      </c>
      <c r="C1441" s="196" t="s">
        <v>14477</v>
      </c>
      <c r="D1441" s="196" t="s">
        <v>14478</v>
      </c>
      <c r="E1441" s="196" t="s">
        <v>14479</v>
      </c>
      <c r="F1441" s="196" t="s">
        <v>13023</v>
      </c>
      <c r="G1441" s="196" t="s">
        <v>11720</v>
      </c>
      <c r="H1441" s="196" t="s">
        <v>11235</v>
      </c>
    </row>
    <row r="1442" spans="1:8" x14ac:dyDescent="0.15">
      <c r="A1442" s="196" t="s">
        <v>11229</v>
      </c>
      <c r="B1442" s="196" t="s">
        <v>11230</v>
      </c>
      <c r="C1442" s="196" t="s">
        <v>14480</v>
      </c>
      <c r="D1442" s="196" t="s">
        <v>14481</v>
      </c>
      <c r="E1442" s="196" t="s">
        <v>14482</v>
      </c>
      <c r="F1442" s="196" t="s">
        <v>13023</v>
      </c>
      <c r="G1442" s="196" t="s">
        <v>11720</v>
      </c>
      <c r="H1442" s="196" t="s">
        <v>11235</v>
      </c>
    </row>
    <row r="1443" spans="1:8" x14ac:dyDescent="0.15">
      <c r="A1443" s="196" t="s">
        <v>11229</v>
      </c>
      <c r="B1443" s="196" t="s">
        <v>11230</v>
      </c>
      <c r="C1443" s="196" t="s">
        <v>14483</v>
      </c>
      <c r="D1443" s="196" t="s">
        <v>14481</v>
      </c>
      <c r="E1443" s="196" t="s">
        <v>14481</v>
      </c>
      <c r="F1443" s="196" t="s">
        <v>11233</v>
      </c>
      <c r="G1443" s="196" t="s">
        <v>11962</v>
      </c>
      <c r="H1443" s="196" t="s">
        <v>11235</v>
      </c>
    </row>
    <row r="1444" spans="1:8" x14ac:dyDescent="0.15">
      <c r="A1444" s="196" t="s">
        <v>11229</v>
      </c>
      <c r="B1444" s="196" t="s">
        <v>11230</v>
      </c>
      <c r="C1444" s="196" t="s">
        <v>14484</v>
      </c>
      <c r="D1444" s="196" t="s">
        <v>14485</v>
      </c>
      <c r="E1444" s="196" t="s">
        <v>14486</v>
      </c>
      <c r="F1444" s="196" t="s">
        <v>14487</v>
      </c>
      <c r="G1444" s="196" t="s">
        <v>11962</v>
      </c>
      <c r="H1444" s="196" t="s">
        <v>11235</v>
      </c>
    </row>
    <row r="1445" spans="1:8" x14ac:dyDescent="0.15">
      <c r="A1445" s="196" t="s">
        <v>11229</v>
      </c>
      <c r="B1445" s="196" t="s">
        <v>11230</v>
      </c>
      <c r="C1445" s="196" t="s">
        <v>14488</v>
      </c>
      <c r="D1445" s="196" t="s">
        <v>14489</v>
      </c>
      <c r="E1445" s="196" t="s">
        <v>14490</v>
      </c>
      <c r="F1445" s="196" t="s">
        <v>13023</v>
      </c>
      <c r="G1445" s="196" t="s">
        <v>11720</v>
      </c>
      <c r="H1445" s="196" t="s">
        <v>11235</v>
      </c>
    </row>
    <row r="1446" spans="1:8" x14ac:dyDescent="0.15">
      <c r="A1446" s="196" t="s">
        <v>11229</v>
      </c>
      <c r="B1446" s="196" t="s">
        <v>11230</v>
      </c>
      <c r="C1446" s="196" t="s">
        <v>14491</v>
      </c>
      <c r="D1446" s="196" t="s">
        <v>14492</v>
      </c>
      <c r="E1446" s="196" t="s">
        <v>14492</v>
      </c>
      <c r="F1446" s="196" t="s">
        <v>11233</v>
      </c>
      <c r="G1446" s="196" t="s">
        <v>11720</v>
      </c>
      <c r="H1446" s="196" t="s">
        <v>11235</v>
      </c>
    </row>
    <row r="1447" spans="1:8" x14ac:dyDescent="0.15">
      <c r="A1447" s="196" t="s">
        <v>11229</v>
      </c>
      <c r="B1447" s="196" t="s">
        <v>11230</v>
      </c>
      <c r="C1447" s="196" t="s">
        <v>14493</v>
      </c>
      <c r="D1447" s="196" t="s">
        <v>14494</v>
      </c>
      <c r="E1447" s="196" t="s">
        <v>14494</v>
      </c>
      <c r="F1447" s="196" t="s">
        <v>11233</v>
      </c>
      <c r="G1447" s="196" t="s">
        <v>11720</v>
      </c>
      <c r="H1447" s="196" t="s">
        <v>11235</v>
      </c>
    </row>
    <row r="1448" spans="1:8" x14ac:dyDescent="0.15">
      <c r="A1448" s="196" t="s">
        <v>11229</v>
      </c>
      <c r="B1448" s="196" t="s">
        <v>11230</v>
      </c>
      <c r="C1448" s="196" t="s">
        <v>14495</v>
      </c>
      <c r="D1448" s="196" t="s">
        <v>14496</v>
      </c>
      <c r="E1448" s="196" t="s">
        <v>14496</v>
      </c>
      <c r="F1448" s="196" t="s">
        <v>11233</v>
      </c>
      <c r="G1448" s="196" t="s">
        <v>11720</v>
      </c>
      <c r="H1448" s="196" t="s">
        <v>11235</v>
      </c>
    </row>
    <row r="1449" spans="1:8" x14ac:dyDescent="0.15">
      <c r="A1449" s="196" t="s">
        <v>11229</v>
      </c>
      <c r="B1449" s="196" t="s">
        <v>11230</v>
      </c>
      <c r="C1449" s="196" t="s">
        <v>14497</v>
      </c>
      <c r="D1449" s="196" t="s">
        <v>14498</v>
      </c>
      <c r="E1449" s="196" t="s">
        <v>14499</v>
      </c>
      <c r="F1449" s="196" t="s">
        <v>11241</v>
      </c>
      <c r="G1449" s="196" t="s">
        <v>11720</v>
      </c>
      <c r="H1449" s="196" t="s">
        <v>11235</v>
      </c>
    </row>
    <row r="1450" spans="1:8" x14ac:dyDescent="0.15">
      <c r="A1450" s="196" t="s">
        <v>11229</v>
      </c>
      <c r="B1450" s="196" t="s">
        <v>11230</v>
      </c>
      <c r="C1450" s="196" t="s">
        <v>14500</v>
      </c>
      <c r="D1450" s="196" t="s">
        <v>14499</v>
      </c>
      <c r="E1450" s="196" t="s">
        <v>14501</v>
      </c>
      <c r="F1450" s="196" t="s">
        <v>11241</v>
      </c>
      <c r="G1450" s="196" t="s">
        <v>11720</v>
      </c>
      <c r="H1450" s="196" t="s">
        <v>11235</v>
      </c>
    </row>
    <row r="1451" spans="1:8" x14ac:dyDescent="0.15">
      <c r="A1451" s="196" t="s">
        <v>11229</v>
      </c>
      <c r="B1451" s="196" t="s">
        <v>11230</v>
      </c>
      <c r="C1451" s="196" t="s">
        <v>14502</v>
      </c>
      <c r="D1451" s="196" t="s">
        <v>14503</v>
      </c>
      <c r="E1451" s="196" t="s">
        <v>14504</v>
      </c>
      <c r="F1451" s="196" t="s">
        <v>11241</v>
      </c>
      <c r="G1451" s="196" t="s">
        <v>11720</v>
      </c>
      <c r="H1451" s="196" t="s">
        <v>11235</v>
      </c>
    </row>
    <row r="1452" spans="1:8" x14ac:dyDescent="0.15">
      <c r="A1452" s="196" t="s">
        <v>11229</v>
      </c>
      <c r="B1452" s="196" t="s">
        <v>11230</v>
      </c>
      <c r="C1452" s="196" t="s">
        <v>14505</v>
      </c>
      <c r="D1452" s="196" t="s">
        <v>14506</v>
      </c>
      <c r="E1452" s="196" t="s">
        <v>14506</v>
      </c>
      <c r="F1452" s="196" t="s">
        <v>11233</v>
      </c>
      <c r="G1452" s="196" t="s">
        <v>11720</v>
      </c>
      <c r="H1452" s="196" t="s">
        <v>11235</v>
      </c>
    </row>
    <row r="1453" spans="1:8" x14ac:dyDescent="0.15">
      <c r="A1453" s="196" t="s">
        <v>11229</v>
      </c>
      <c r="B1453" s="196" t="s">
        <v>11230</v>
      </c>
      <c r="C1453" s="196" t="s">
        <v>14507</v>
      </c>
      <c r="D1453" s="196" t="s">
        <v>14508</v>
      </c>
      <c r="E1453" s="196" t="s">
        <v>14508</v>
      </c>
      <c r="F1453" s="196" t="s">
        <v>11233</v>
      </c>
      <c r="G1453" s="196" t="s">
        <v>11720</v>
      </c>
      <c r="H1453" s="196" t="s">
        <v>11235</v>
      </c>
    </row>
    <row r="1454" spans="1:8" x14ac:dyDescent="0.15">
      <c r="A1454" s="196" t="s">
        <v>11229</v>
      </c>
      <c r="B1454" s="196" t="s">
        <v>11230</v>
      </c>
      <c r="C1454" s="196" t="s">
        <v>14509</v>
      </c>
      <c r="D1454" s="196" t="s">
        <v>14510</v>
      </c>
      <c r="E1454" s="196" t="s">
        <v>14511</v>
      </c>
      <c r="F1454" s="196" t="s">
        <v>11241</v>
      </c>
      <c r="G1454" s="196" t="s">
        <v>11720</v>
      </c>
      <c r="H1454" s="196" t="s">
        <v>11235</v>
      </c>
    </row>
    <row r="1455" spans="1:8" x14ac:dyDescent="0.15">
      <c r="A1455" s="196" t="s">
        <v>11229</v>
      </c>
      <c r="B1455" s="196" t="s">
        <v>11230</v>
      </c>
      <c r="C1455" s="196" t="s">
        <v>14512</v>
      </c>
      <c r="D1455" s="196" t="s">
        <v>14511</v>
      </c>
      <c r="E1455" s="196" t="s">
        <v>14513</v>
      </c>
      <c r="F1455" s="196" t="s">
        <v>11268</v>
      </c>
      <c r="G1455" s="196" t="s">
        <v>11720</v>
      </c>
      <c r="H1455" s="196" t="s">
        <v>11235</v>
      </c>
    </row>
    <row r="1456" spans="1:8" x14ac:dyDescent="0.15">
      <c r="A1456" s="196" t="s">
        <v>11229</v>
      </c>
      <c r="B1456" s="196" t="s">
        <v>11230</v>
      </c>
      <c r="C1456" s="196" t="s">
        <v>14514</v>
      </c>
      <c r="D1456" s="196" t="s">
        <v>14515</v>
      </c>
      <c r="E1456" s="196" t="s">
        <v>14516</v>
      </c>
      <c r="F1456" s="196" t="s">
        <v>11241</v>
      </c>
      <c r="G1456" s="196" t="s">
        <v>11720</v>
      </c>
      <c r="H1456" s="196" t="s">
        <v>11235</v>
      </c>
    </row>
    <row r="1457" spans="1:8" x14ac:dyDescent="0.15">
      <c r="A1457" s="196" t="s">
        <v>11229</v>
      </c>
      <c r="B1457" s="196" t="s">
        <v>11230</v>
      </c>
      <c r="C1457" s="196" t="s">
        <v>14517</v>
      </c>
      <c r="D1457" s="196" t="s">
        <v>14518</v>
      </c>
      <c r="E1457" s="196" t="s">
        <v>14518</v>
      </c>
      <c r="F1457" s="196" t="s">
        <v>11233</v>
      </c>
      <c r="G1457" s="196" t="s">
        <v>11720</v>
      </c>
      <c r="H1457" s="196" t="s">
        <v>11235</v>
      </c>
    </row>
    <row r="1458" spans="1:8" x14ac:dyDescent="0.15">
      <c r="A1458" s="196" t="s">
        <v>11229</v>
      </c>
      <c r="B1458" s="196" t="s">
        <v>11230</v>
      </c>
      <c r="C1458" s="196" t="s">
        <v>14519</v>
      </c>
      <c r="D1458" s="196" t="s">
        <v>14520</v>
      </c>
      <c r="E1458" s="196" t="s">
        <v>14520</v>
      </c>
      <c r="F1458" s="196" t="s">
        <v>11233</v>
      </c>
      <c r="G1458" s="196" t="s">
        <v>11720</v>
      </c>
      <c r="H1458" s="196" t="s">
        <v>11235</v>
      </c>
    </row>
    <row r="1459" spans="1:8" x14ac:dyDescent="0.15">
      <c r="A1459" s="196" t="s">
        <v>11229</v>
      </c>
      <c r="B1459" s="196" t="s">
        <v>11230</v>
      </c>
      <c r="C1459" s="196" t="s">
        <v>14521</v>
      </c>
      <c r="D1459" s="196" t="s">
        <v>14522</v>
      </c>
      <c r="E1459" s="196" t="s">
        <v>14523</v>
      </c>
      <c r="F1459" s="196" t="s">
        <v>11241</v>
      </c>
      <c r="G1459" s="196" t="s">
        <v>11720</v>
      </c>
      <c r="H1459" s="196" t="s">
        <v>11235</v>
      </c>
    </row>
    <row r="1460" spans="1:8" x14ac:dyDescent="0.15">
      <c r="A1460" s="196" t="s">
        <v>11229</v>
      </c>
      <c r="B1460" s="196" t="s">
        <v>11230</v>
      </c>
      <c r="C1460" s="196" t="s">
        <v>14524</v>
      </c>
      <c r="D1460" s="196" t="s">
        <v>14525</v>
      </c>
      <c r="E1460" s="196" t="s">
        <v>14526</v>
      </c>
      <c r="F1460" s="196" t="s">
        <v>11241</v>
      </c>
      <c r="G1460" s="196" t="s">
        <v>11720</v>
      </c>
      <c r="H1460" s="196" t="s">
        <v>11235</v>
      </c>
    </row>
    <row r="1461" spans="1:8" x14ac:dyDescent="0.15">
      <c r="A1461" s="196" t="s">
        <v>11229</v>
      </c>
      <c r="B1461" s="196" t="s">
        <v>11230</v>
      </c>
      <c r="C1461" s="196" t="s">
        <v>14527</v>
      </c>
      <c r="D1461" s="196" t="s">
        <v>14528</v>
      </c>
      <c r="E1461" s="196" t="s">
        <v>14529</v>
      </c>
      <c r="F1461" s="196" t="s">
        <v>11241</v>
      </c>
      <c r="G1461" s="196" t="s">
        <v>11720</v>
      </c>
      <c r="H1461" s="196" t="s">
        <v>11235</v>
      </c>
    </row>
    <row r="1462" spans="1:8" x14ac:dyDescent="0.15">
      <c r="A1462" s="196" t="s">
        <v>11229</v>
      </c>
      <c r="B1462" s="196" t="s">
        <v>11230</v>
      </c>
      <c r="C1462" s="196" t="s">
        <v>14530</v>
      </c>
      <c r="D1462" s="196" t="s">
        <v>14531</v>
      </c>
      <c r="E1462" s="196" t="s">
        <v>14532</v>
      </c>
      <c r="F1462" s="196" t="s">
        <v>11241</v>
      </c>
      <c r="G1462" s="196" t="s">
        <v>11720</v>
      </c>
      <c r="H1462" s="196" t="s">
        <v>11235</v>
      </c>
    </row>
    <row r="1463" spans="1:8" x14ac:dyDescent="0.15">
      <c r="A1463" s="196" t="s">
        <v>11229</v>
      </c>
      <c r="B1463" s="196" t="s">
        <v>11230</v>
      </c>
      <c r="C1463" s="196" t="s">
        <v>14533</v>
      </c>
      <c r="D1463" s="196" t="s">
        <v>14534</v>
      </c>
      <c r="E1463" s="196" t="s">
        <v>14534</v>
      </c>
      <c r="F1463" s="196" t="s">
        <v>11233</v>
      </c>
      <c r="G1463" s="196" t="s">
        <v>11720</v>
      </c>
      <c r="H1463" s="196" t="s">
        <v>11235</v>
      </c>
    </row>
    <row r="1464" spans="1:8" x14ac:dyDescent="0.15">
      <c r="A1464" s="196" t="s">
        <v>11229</v>
      </c>
      <c r="B1464" s="196" t="s">
        <v>11230</v>
      </c>
      <c r="C1464" s="196" t="s">
        <v>14535</v>
      </c>
      <c r="D1464" s="196" t="s">
        <v>14536</v>
      </c>
      <c r="E1464" s="196" t="s">
        <v>14536</v>
      </c>
      <c r="F1464" s="196" t="s">
        <v>11233</v>
      </c>
      <c r="G1464" s="196" t="s">
        <v>11962</v>
      </c>
      <c r="H1464" s="196" t="s">
        <v>11235</v>
      </c>
    </row>
    <row r="1465" spans="1:8" x14ac:dyDescent="0.15">
      <c r="A1465" s="196" t="s">
        <v>11229</v>
      </c>
      <c r="B1465" s="196" t="s">
        <v>11230</v>
      </c>
      <c r="C1465" s="196" t="s">
        <v>14537</v>
      </c>
      <c r="D1465" s="196" t="s">
        <v>14538</v>
      </c>
      <c r="E1465" s="196" t="s">
        <v>14539</v>
      </c>
      <c r="F1465" s="196" t="s">
        <v>11268</v>
      </c>
      <c r="G1465" s="196" t="s">
        <v>11720</v>
      </c>
      <c r="H1465" s="196" t="s">
        <v>11235</v>
      </c>
    </row>
    <row r="1466" spans="1:8" x14ac:dyDescent="0.15">
      <c r="A1466" s="196" t="s">
        <v>11229</v>
      </c>
      <c r="B1466" s="196" t="s">
        <v>11230</v>
      </c>
      <c r="C1466" s="196" t="s">
        <v>14540</v>
      </c>
      <c r="D1466" s="196" t="s">
        <v>14541</v>
      </c>
      <c r="E1466" s="196" t="s">
        <v>14541</v>
      </c>
      <c r="F1466" s="196" t="s">
        <v>11233</v>
      </c>
      <c r="G1466" s="196" t="s">
        <v>11962</v>
      </c>
      <c r="H1466" s="196" t="s">
        <v>11235</v>
      </c>
    </row>
    <row r="1467" spans="1:8" x14ac:dyDescent="0.15">
      <c r="A1467" s="196" t="s">
        <v>11229</v>
      </c>
      <c r="B1467" s="196" t="s">
        <v>11230</v>
      </c>
      <c r="C1467" s="196" t="s">
        <v>14542</v>
      </c>
      <c r="D1467" s="196" t="s">
        <v>14543</v>
      </c>
      <c r="E1467" s="196" t="s">
        <v>14543</v>
      </c>
      <c r="F1467" s="196" t="s">
        <v>11233</v>
      </c>
      <c r="G1467" s="196" t="s">
        <v>11962</v>
      </c>
      <c r="H1467" s="196" t="s">
        <v>11235</v>
      </c>
    </row>
    <row r="1468" spans="1:8" x14ac:dyDescent="0.15">
      <c r="A1468" s="196" t="s">
        <v>11229</v>
      </c>
      <c r="B1468" s="196" t="s">
        <v>11230</v>
      </c>
      <c r="C1468" s="196" t="s">
        <v>14544</v>
      </c>
      <c r="D1468" s="196" t="s">
        <v>14545</v>
      </c>
      <c r="E1468" s="196" t="s">
        <v>14545</v>
      </c>
      <c r="F1468" s="196" t="s">
        <v>11233</v>
      </c>
      <c r="G1468" s="196" t="s">
        <v>11962</v>
      </c>
      <c r="H1468" s="196" t="s">
        <v>11235</v>
      </c>
    </row>
    <row r="1469" spans="1:8" x14ac:dyDescent="0.15">
      <c r="A1469" s="196" t="s">
        <v>11229</v>
      </c>
      <c r="B1469" s="196" t="s">
        <v>11230</v>
      </c>
      <c r="C1469" s="196" t="s">
        <v>14546</v>
      </c>
      <c r="D1469" s="196" t="s">
        <v>14547</v>
      </c>
      <c r="E1469" s="196" t="s">
        <v>14547</v>
      </c>
      <c r="F1469" s="196" t="s">
        <v>11233</v>
      </c>
      <c r="G1469" s="196" t="s">
        <v>11962</v>
      </c>
      <c r="H1469" s="196" t="s">
        <v>11235</v>
      </c>
    </row>
    <row r="1470" spans="1:8" x14ac:dyDescent="0.15">
      <c r="A1470" s="196" t="s">
        <v>11229</v>
      </c>
      <c r="B1470" s="196" t="s">
        <v>11230</v>
      </c>
      <c r="C1470" s="196" t="s">
        <v>14548</v>
      </c>
      <c r="D1470" s="196" t="s">
        <v>14547</v>
      </c>
      <c r="E1470" s="196" t="s">
        <v>14549</v>
      </c>
      <c r="F1470" s="196" t="s">
        <v>11268</v>
      </c>
      <c r="G1470" s="196" t="s">
        <v>11720</v>
      </c>
      <c r="H1470" s="196" t="s">
        <v>11235</v>
      </c>
    </row>
    <row r="1471" spans="1:8" x14ac:dyDescent="0.15">
      <c r="A1471" s="196" t="s">
        <v>11229</v>
      </c>
      <c r="B1471" s="196" t="s">
        <v>11230</v>
      </c>
      <c r="C1471" s="196" t="s">
        <v>14550</v>
      </c>
      <c r="D1471" s="196" t="s">
        <v>14551</v>
      </c>
      <c r="E1471" s="196" t="s">
        <v>14551</v>
      </c>
      <c r="F1471" s="196" t="s">
        <v>11233</v>
      </c>
      <c r="G1471" s="196" t="s">
        <v>11962</v>
      </c>
      <c r="H1471" s="196" t="s">
        <v>11235</v>
      </c>
    </row>
    <row r="1472" spans="1:8" x14ac:dyDescent="0.15">
      <c r="A1472" s="196" t="s">
        <v>11229</v>
      </c>
      <c r="B1472" s="196" t="s">
        <v>11230</v>
      </c>
      <c r="C1472" s="196" t="s">
        <v>14552</v>
      </c>
      <c r="D1472" s="196" t="s">
        <v>14553</v>
      </c>
      <c r="E1472" s="196" t="s">
        <v>14553</v>
      </c>
      <c r="F1472" s="196" t="s">
        <v>11233</v>
      </c>
      <c r="G1472" s="196" t="s">
        <v>11720</v>
      </c>
      <c r="H1472" s="196" t="s">
        <v>11235</v>
      </c>
    </row>
    <row r="1473" spans="1:8" x14ac:dyDescent="0.15">
      <c r="A1473" s="196" t="s">
        <v>11229</v>
      </c>
      <c r="B1473" s="196" t="s">
        <v>11230</v>
      </c>
      <c r="C1473" s="196" t="s">
        <v>14554</v>
      </c>
      <c r="D1473" s="196" t="s">
        <v>14555</v>
      </c>
      <c r="E1473" s="196" t="s">
        <v>14555</v>
      </c>
      <c r="F1473" s="196" t="s">
        <v>11233</v>
      </c>
      <c r="G1473" s="196" t="s">
        <v>11720</v>
      </c>
      <c r="H1473" s="196" t="s">
        <v>11235</v>
      </c>
    </row>
    <row r="1474" spans="1:8" x14ac:dyDescent="0.15">
      <c r="A1474" s="196" t="s">
        <v>11229</v>
      </c>
      <c r="B1474" s="196" t="s">
        <v>11230</v>
      </c>
      <c r="C1474" s="196" t="s">
        <v>14556</v>
      </c>
      <c r="D1474" s="196" t="s">
        <v>14557</v>
      </c>
      <c r="E1474" s="196" t="s">
        <v>14557</v>
      </c>
      <c r="F1474" s="196" t="s">
        <v>11233</v>
      </c>
      <c r="G1474" s="196" t="s">
        <v>11962</v>
      </c>
      <c r="H1474" s="196" t="s">
        <v>11235</v>
      </c>
    </row>
    <row r="1475" spans="1:8" x14ac:dyDescent="0.15">
      <c r="A1475" s="196" t="s">
        <v>11229</v>
      </c>
      <c r="B1475" s="196" t="s">
        <v>11230</v>
      </c>
      <c r="C1475" s="196" t="s">
        <v>14558</v>
      </c>
      <c r="D1475" s="196" t="s">
        <v>14559</v>
      </c>
      <c r="E1475" s="196" t="s">
        <v>14559</v>
      </c>
      <c r="F1475" s="196" t="s">
        <v>11233</v>
      </c>
      <c r="G1475" s="196" t="s">
        <v>11720</v>
      </c>
      <c r="H1475" s="196" t="s">
        <v>11235</v>
      </c>
    </row>
    <row r="1476" spans="1:8" x14ac:dyDescent="0.15">
      <c r="A1476" s="196" t="s">
        <v>11229</v>
      </c>
      <c r="B1476" s="196" t="s">
        <v>11230</v>
      </c>
      <c r="C1476" s="196" t="s">
        <v>14560</v>
      </c>
      <c r="D1476" s="196" t="s">
        <v>14561</v>
      </c>
      <c r="E1476" s="196" t="s">
        <v>14561</v>
      </c>
      <c r="F1476" s="196" t="s">
        <v>11233</v>
      </c>
      <c r="G1476" s="196" t="s">
        <v>11720</v>
      </c>
      <c r="H1476" s="196" t="s">
        <v>11235</v>
      </c>
    </row>
    <row r="1477" spans="1:8" x14ac:dyDescent="0.15">
      <c r="A1477" s="196" t="s">
        <v>11229</v>
      </c>
      <c r="B1477" s="196" t="s">
        <v>11230</v>
      </c>
      <c r="C1477" s="196" t="s">
        <v>14562</v>
      </c>
      <c r="D1477" s="196" t="s">
        <v>14563</v>
      </c>
      <c r="E1477" s="196" t="s">
        <v>14564</v>
      </c>
      <c r="F1477" s="196" t="s">
        <v>11241</v>
      </c>
      <c r="G1477" s="196" t="s">
        <v>11962</v>
      </c>
      <c r="H1477" s="196" t="s">
        <v>11235</v>
      </c>
    </row>
    <row r="1478" spans="1:8" x14ac:dyDescent="0.15">
      <c r="A1478" s="196" t="s">
        <v>11229</v>
      </c>
      <c r="B1478" s="196" t="s">
        <v>11230</v>
      </c>
      <c r="C1478" s="196" t="s">
        <v>14565</v>
      </c>
      <c r="D1478" s="196" t="s">
        <v>14566</v>
      </c>
      <c r="E1478" s="196" t="s">
        <v>14567</v>
      </c>
      <c r="F1478" s="196" t="s">
        <v>13914</v>
      </c>
      <c r="G1478" s="196" t="s">
        <v>11720</v>
      </c>
      <c r="H1478" s="196" t="s">
        <v>11235</v>
      </c>
    </row>
    <row r="1479" spans="1:8" x14ac:dyDescent="0.15">
      <c r="A1479" s="196" t="s">
        <v>11229</v>
      </c>
      <c r="B1479" s="196" t="s">
        <v>11230</v>
      </c>
      <c r="C1479" s="196" t="s">
        <v>14568</v>
      </c>
      <c r="D1479" s="196" t="s">
        <v>14569</v>
      </c>
      <c r="E1479" s="196" t="s">
        <v>14570</v>
      </c>
      <c r="F1479" s="196" t="s">
        <v>11241</v>
      </c>
      <c r="G1479" s="196" t="s">
        <v>11720</v>
      </c>
      <c r="H1479" s="196" t="s">
        <v>11235</v>
      </c>
    </row>
    <row r="1480" spans="1:8" x14ac:dyDescent="0.15">
      <c r="A1480" s="196" t="s">
        <v>11229</v>
      </c>
      <c r="B1480" s="196" t="s">
        <v>11230</v>
      </c>
      <c r="C1480" s="196" t="s">
        <v>14571</v>
      </c>
      <c r="D1480" s="196" t="s">
        <v>14572</v>
      </c>
      <c r="E1480" s="196" t="s">
        <v>14573</v>
      </c>
      <c r="F1480" s="196" t="s">
        <v>11241</v>
      </c>
      <c r="G1480" s="196" t="s">
        <v>11962</v>
      </c>
      <c r="H1480" s="196" t="s">
        <v>11235</v>
      </c>
    </row>
    <row r="1481" spans="1:8" x14ac:dyDescent="0.15">
      <c r="A1481" s="196" t="s">
        <v>11229</v>
      </c>
      <c r="B1481" s="196" t="s">
        <v>11230</v>
      </c>
      <c r="C1481" s="196" t="s">
        <v>14574</v>
      </c>
      <c r="D1481" s="196" t="s">
        <v>14575</v>
      </c>
      <c r="E1481" s="196" t="s">
        <v>14576</v>
      </c>
      <c r="F1481" s="196" t="s">
        <v>11241</v>
      </c>
      <c r="G1481" s="196" t="s">
        <v>11720</v>
      </c>
      <c r="H1481" s="196" t="s">
        <v>11235</v>
      </c>
    </row>
    <row r="1482" spans="1:8" x14ac:dyDescent="0.15">
      <c r="A1482" s="196" t="s">
        <v>11229</v>
      </c>
      <c r="B1482" s="196" t="s">
        <v>11230</v>
      </c>
      <c r="C1482" s="196" t="s">
        <v>14577</v>
      </c>
      <c r="D1482" s="196" t="s">
        <v>14578</v>
      </c>
      <c r="E1482" s="196" t="s">
        <v>14579</v>
      </c>
      <c r="F1482" s="196" t="s">
        <v>11241</v>
      </c>
      <c r="G1482" s="196" t="s">
        <v>11962</v>
      </c>
      <c r="H1482" s="196" t="s">
        <v>11235</v>
      </c>
    </row>
    <row r="1483" spans="1:8" x14ac:dyDescent="0.15">
      <c r="A1483" s="196" t="s">
        <v>11229</v>
      </c>
      <c r="B1483" s="196" t="s">
        <v>11230</v>
      </c>
      <c r="C1483" s="196" t="s">
        <v>14580</v>
      </c>
      <c r="D1483" s="196" t="s">
        <v>14581</v>
      </c>
      <c r="E1483" s="196" t="s">
        <v>14582</v>
      </c>
      <c r="F1483" s="196" t="s">
        <v>13023</v>
      </c>
      <c r="G1483" s="196" t="s">
        <v>11720</v>
      </c>
      <c r="H1483" s="196" t="s">
        <v>11235</v>
      </c>
    </row>
    <row r="1484" spans="1:8" x14ac:dyDescent="0.15">
      <c r="A1484" s="196" t="s">
        <v>11229</v>
      </c>
      <c r="B1484" s="196" t="s">
        <v>11230</v>
      </c>
      <c r="C1484" s="196" t="s">
        <v>14583</v>
      </c>
      <c r="D1484" s="196" t="s">
        <v>14582</v>
      </c>
      <c r="E1484" s="196" t="s">
        <v>14584</v>
      </c>
      <c r="F1484" s="196" t="s">
        <v>13758</v>
      </c>
      <c r="G1484" s="196" t="s">
        <v>11720</v>
      </c>
      <c r="H1484" s="196" t="s">
        <v>11235</v>
      </c>
    </row>
    <row r="1485" spans="1:8" x14ac:dyDescent="0.15">
      <c r="A1485" s="196" t="s">
        <v>11229</v>
      </c>
      <c r="B1485" s="196" t="s">
        <v>11230</v>
      </c>
      <c r="C1485" s="196" t="s">
        <v>14585</v>
      </c>
      <c r="D1485" s="196" t="s">
        <v>14586</v>
      </c>
      <c r="E1485" s="196" t="s">
        <v>14587</v>
      </c>
      <c r="F1485" s="196" t="s">
        <v>14588</v>
      </c>
      <c r="G1485" s="196" t="s">
        <v>11962</v>
      </c>
      <c r="H1485" s="196" t="s">
        <v>11235</v>
      </c>
    </row>
    <row r="1486" spans="1:8" x14ac:dyDescent="0.15">
      <c r="A1486" s="196" t="s">
        <v>11229</v>
      </c>
      <c r="B1486" s="196" t="s">
        <v>11230</v>
      </c>
      <c r="C1486" s="196" t="s">
        <v>14589</v>
      </c>
      <c r="D1486" s="196" t="s">
        <v>14590</v>
      </c>
      <c r="E1486" s="196" t="s">
        <v>14591</v>
      </c>
      <c r="F1486" s="196" t="s">
        <v>14592</v>
      </c>
      <c r="G1486" s="196" t="s">
        <v>11720</v>
      </c>
      <c r="H1486" s="196" t="s">
        <v>11235</v>
      </c>
    </row>
    <row r="1487" spans="1:8" x14ac:dyDescent="0.15">
      <c r="A1487" s="196" t="s">
        <v>11229</v>
      </c>
      <c r="B1487" s="196" t="s">
        <v>11230</v>
      </c>
      <c r="C1487" s="196" t="s">
        <v>14593</v>
      </c>
      <c r="D1487" s="196" t="s">
        <v>14594</v>
      </c>
      <c r="E1487" s="196" t="s">
        <v>14595</v>
      </c>
      <c r="F1487" s="196" t="s">
        <v>14596</v>
      </c>
      <c r="G1487" s="196" t="s">
        <v>11962</v>
      </c>
      <c r="H1487" s="196" t="s">
        <v>11235</v>
      </c>
    </row>
    <row r="1488" spans="1:8" x14ac:dyDescent="0.15">
      <c r="A1488" s="196" t="s">
        <v>11229</v>
      </c>
      <c r="B1488" s="196" t="s">
        <v>11230</v>
      </c>
      <c r="C1488" s="196" t="s">
        <v>14597</v>
      </c>
      <c r="D1488" s="196" t="s">
        <v>14598</v>
      </c>
      <c r="E1488" s="196" t="s">
        <v>14599</v>
      </c>
      <c r="F1488" s="196" t="s">
        <v>13107</v>
      </c>
      <c r="G1488" s="196" t="s">
        <v>11962</v>
      </c>
      <c r="H1488" s="196" t="s">
        <v>11235</v>
      </c>
    </row>
    <row r="1489" spans="1:8" x14ac:dyDescent="0.15">
      <c r="A1489" s="196" t="s">
        <v>11229</v>
      </c>
      <c r="B1489" s="196" t="s">
        <v>11230</v>
      </c>
      <c r="C1489" s="196" t="s">
        <v>14600</v>
      </c>
      <c r="D1489" s="196" t="s">
        <v>14601</v>
      </c>
      <c r="E1489" s="196" t="s">
        <v>14601</v>
      </c>
      <c r="F1489" s="196" t="s">
        <v>11233</v>
      </c>
      <c r="G1489" s="196" t="s">
        <v>11962</v>
      </c>
      <c r="H1489" s="196" t="s">
        <v>11235</v>
      </c>
    </row>
    <row r="1490" spans="1:8" x14ac:dyDescent="0.15">
      <c r="A1490" s="196" t="s">
        <v>11229</v>
      </c>
      <c r="B1490" s="196" t="s">
        <v>11230</v>
      </c>
      <c r="C1490" s="196" t="s">
        <v>14602</v>
      </c>
      <c r="D1490" s="196" t="s">
        <v>14603</v>
      </c>
      <c r="E1490" s="196" t="s">
        <v>14603</v>
      </c>
      <c r="F1490" s="196" t="s">
        <v>11233</v>
      </c>
      <c r="G1490" s="196" t="s">
        <v>11962</v>
      </c>
      <c r="H1490" s="196" t="s">
        <v>11235</v>
      </c>
    </row>
    <row r="1491" spans="1:8" x14ac:dyDescent="0.15">
      <c r="A1491" s="196" t="s">
        <v>11229</v>
      </c>
      <c r="B1491" s="196" t="s">
        <v>11230</v>
      </c>
      <c r="C1491" s="196" t="s">
        <v>14604</v>
      </c>
      <c r="D1491" s="196" t="s">
        <v>14605</v>
      </c>
      <c r="E1491" s="196" t="s">
        <v>14605</v>
      </c>
      <c r="F1491" s="196" t="s">
        <v>11233</v>
      </c>
      <c r="G1491" s="196" t="s">
        <v>11962</v>
      </c>
      <c r="H1491" s="196" t="s">
        <v>11235</v>
      </c>
    </row>
    <row r="1492" spans="1:8" x14ac:dyDescent="0.15">
      <c r="A1492" s="196" t="s">
        <v>11229</v>
      </c>
      <c r="B1492" s="196" t="s">
        <v>11230</v>
      </c>
      <c r="C1492" s="196" t="s">
        <v>14606</v>
      </c>
      <c r="D1492" s="196" t="s">
        <v>14607</v>
      </c>
      <c r="E1492" s="196" t="s">
        <v>14608</v>
      </c>
      <c r="F1492" s="196" t="s">
        <v>14609</v>
      </c>
      <c r="G1492" s="196" t="s">
        <v>11962</v>
      </c>
      <c r="H1492" s="196" t="s">
        <v>11235</v>
      </c>
    </row>
    <row r="1493" spans="1:8" x14ac:dyDescent="0.15">
      <c r="A1493" s="196" t="s">
        <v>11229</v>
      </c>
      <c r="B1493" s="196" t="s">
        <v>11230</v>
      </c>
      <c r="C1493" s="196" t="s">
        <v>14610</v>
      </c>
      <c r="D1493" s="196" t="s">
        <v>14611</v>
      </c>
      <c r="E1493" s="196" t="s">
        <v>14612</v>
      </c>
      <c r="F1493" s="196" t="s">
        <v>14613</v>
      </c>
      <c r="G1493" s="196" t="s">
        <v>11962</v>
      </c>
      <c r="H1493" s="196" t="s">
        <v>11235</v>
      </c>
    </row>
    <row r="1494" spans="1:8" x14ac:dyDescent="0.15">
      <c r="A1494" s="196" t="s">
        <v>11229</v>
      </c>
      <c r="B1494" s="196" t="s">
        <v>11230</v>
      </c>
      <c r="C1494" s="196" t="s">
        <v>14614</v>
      </c>
      <c r="D1494" s="196" t="s">
        <v>14615</v>
      </c>
      <c r="E1494" s="196" t="s">
        <v>14616</v>
      </c>
      <c r="F1494" s="196" t="s">
        <v>14617</v>
      </c>
      <c r="G1494" s="196" t="s">
        <v>11962</v>
      </c>
      <c r="H1494" s="196" t="s">
        <v>11235</v>
      </c>
    </row>
    <row r="1495" spans="1:8" x14ac:dyDescent="0.15">
      <c r="A1495" s="196" t="s">
        <v>11229</v>
      </c>
      <c r="B1495" s="196" t="s">
        <v>11230</v>
      </c>
      <c r="C1495" s="196" t="s">
        <v>14618</v>
      </c>
      <c r="D1495" s="196" t="s">
        <v>14619</v>
      </c>
      <c r="E1495" s="196" t="s">
        <v>14620</v>
      </c>
      <c r="F1495" s="196" t="s">
        <v>14621</v>
      </c>
      <c r="G1495" s="196" t="s">
        <v>11720</v>
      </c>
      <c r="H1495" s="196" t="s">
        <v>11235</v>
      </c>
    </row>
    <row r="1496" spans="1:8" x14ac:dyDescent="0.15">
      <c r="A1496" s="196" t="s">
        <v>11229</v>
      </c>
      <c r="B1496" s="196" t="s">
        <v>11230</v>
      </c>
      <c r="C1496" s="196" t="s">
        <v>14622</v>
      </c>
      <c r="D1496" s="196" t="s">
        <v>14623</v>
      </c>
      <c r="E1496" s="196" t="s">
        <v>14624</v>
      </c>
      <c r="F1496" s="196" t="s">
        <v>14625</v>
      </c>
      <c r="G1496" s="196" t="s">
        <v>11962</v>
      </c>
      <c r="H1496" s="196" t="s">
        <v>11235</v>
      </c>
    </row>
    <row r="1497" spans="1:8" x14ac:dyDescent="0.15">
      <c r="A1497" s="196" t="s">
        <v>11229</v>
      </c>
      <c r="B1497" s="196" t="s">
        <v>11230</v>
      </c>
      <c r="C1497" s="196" t="s">
        <v>14626</v>
      </c>
      <c r="D1497" s="196" t="s">
        <v>14627</v>
      </c>
      <c r="E1497" s="196" t="s">
        <v>14628</v>
      </c>
      <c r="F1497" s="196" t="s">
        <v>14629</v>
      </c>
      <c r="G1497" s="196" t="s">
        <v>11962</v>
      </c>
      <c r="H1497" s="196" t="s">
        <v>11235</v>
      </c>
    </row>
    <row r="1498" spans="1:8" x14ac:dyDescent="0.15">
      <c r="A1498" s="196" t="s">
        <v>11229</v>
      </c>
      <c r="B1498" s="196" t="s">
        <v>11230</v>
      </c>
      <c r="C1498" s="196" t="s">
        <v>14630</v>
      </c>
      <c r="D1498" s="196" t="s">
        <v>14631</v>
      </c>
      <c r="E1498" s="196" t="s">
        <v>14632</v>
      </c>
      <c r="F1498" s="196" t="s">
        <v>14633</v>
      </c>
      <c r="G1498" s="196" t="s">
        <v>11962</v>
      </c>
      <c r="H1498" s="196" t="s">
        <v>11235</v>
      </c>
    </row>
    <row r="1499" spans="1:8" x14ac:dyDescent="0.15">
      <c r="A1499" s="196" t="s">
        <v>11229</v>
      </c>
      <c r="B1499" s="196" t="s">
        <v>11230</v>
      </c>
      <c r="C1499" s="196" t="s">
        <v>14634</v>
      </c>
      <c r="D1499" s="196" t="s">
        <v>14635</v>
      </c>
      <c r="E1499" s="196" t="s">
        <v>14636</v>
      </c>
      <c r="F1499" s="196" t="s">
        <v>14637</v>
      </c>
      <c r="G1499" s="196" t="s">
        <v>11962</v>
      </c>
      <c r="H1499" s="196" t="s">
        <v>11235</v>
      </c>
    </row>
    <row r="1500" spans="1:8" x14ac:dyDescent="0.15">
      <c r="A1500" s="196" t="s">
        <v>11229</v>
      </c>
      <c r="B1500" s="196" t="s">
        <v>11230</v>
      </c>
      <c r="C1500" s="196" t="s">
        <v>14638</v>
      </c>
      <c r="D1500" s="196" t="s">
        <v>14639</v>
      </c>
      <c r="E1500" s="196" t="s">
        <v>14640</v>
      </c>
      <c r="F1500" s="196" t="s">
        <v>14641</v>
      </c>
      <c r="G1500" s="196" t="s">
        <v>11720</v>
      </c>
      <c r="H1500" s="196" t="s">
        <v>11235</v>
      </c>
    </row>
    <row r="1501" spans="1:8" x14ac:dyDescent="0.15">
      <c r="A1501" s="196" t="s">
        <v>11229</v>
      </c>
      <c r="B1501" s="196" t="s">
        <v>11230</v>
      </c>
      <c r="C1501" s="196" t="s">
        <v>14642</v>
      </c>
      <c r="D1501" s="196" t="s">
        <v>14643</v>
      </c>
      <c r="E1501" s="196" t="s">
        <v>14643</v>
      </c>
      <c r="F1501" s="196" t="s">
        <v>11233</v>
      </c>
      <c r="G1501" s="196" t="s">
        <v>11962</v>
      </c>
      <c r="H1501" s="196" t="s">
        <v>11235</v>
      </c>
    </row>
    <row r="1502" spans="1:8" x14ac:dyDescent="0.15">
      <c r="A1502" s="196" t="s">
        <v>11229</v>
      </c>
      <c r="B1502" s="196" t="s">
        <v>11230</v>
      </c>
      <c r="C1502" s="196" t="s">
        <v>14644</v>
      </c>
      <c r="D1502" s="196" t="s">
        <v>14645</v>
      </c>
      <c r="E1502" s="196" t="s">
        <v>14645</v>
      </c>
      <c r="F1502" s="196" t="s">
        <v>11233</v>
      </c>
      <c r="G1502" s="196" t="s">
        <v>11962</v>
      </c>
      <c r="H1502" s="196" t="s">
        <v>11235</v>
      </c>
    </row>
    <row r="1503" spans="1:8" x14ac:dyDescent="0.15">
      <c r="A1503" s="196" t="s">
        <v>11229</v>
      </c>
      <c r="B1503" s="196" t="s">
        <v>11230</v>
      </c>
      <c r="C1503" s="196" t="s">
        <v>14646</v>
      </c>
      <c r="D1503" s="196" t="s">
        <v>14647</v>
      </c>
      <c r="E1503" s="196" t="s">
        <v>14647</v>
      </c>
      <c r="F1503" s="196" t="s">
        <v>11233</v>
      </c>
      <c r="G1503" s="196" t="s">
        <v>11962</v>
      </c>
      <c r="H1503" s="196" t="s">
        <v>11235</v>
      </c>
    </row>
    <row r="1504" spans="1:8" x14ac:dyDescent="0.15">
      <c r="A1504" s="196" t="s">
        <v>11229</v>
      </c>
      <c r="B1504" s="196" t="s">
        <v>11230</v>
      </c>
      <c r="C1504" s="196" t="s">
        <v>14648</v>
      </c>
      <c r="D1504" s="196" t="s">
        <v>14649</v>
      </c>
      <c r="E1504" s="196" t="s">
        <v>14649</v>
      </c>
      <c r="F1504" s="196" t="s">
        <v>11233</v>
      </c>
      <c r="G1504" s="196" t="s">
        <v>11962</v>
      </c>
      <c r="H1504" s="196" t="s">
        <v>11235</v>
      </c>
    </row>
    <row r="1505" spans="1:8" x14ac:dyDescent="0.15">
      <c r="A1505" s="196" t="s">
        <v>11229</v>
      </c>
      <c r="B1505" s="196" t="s">
        <v>11230</v>
      </c>
      <c r="C1505" s="196" t="s">
        <v>14650</v>
      </c>
      <c r="D1505" s="196" t="s">
        <v>14651</v>
      </c>
      <c r="E1505" s="196" t="s">
        <v>14652</v>
      </c>
      <c r="F1505" s="196" t="s">
        <v>14653</v>
      </c>
      <c r="G1505" s="196" t="s">
        <v>11962</v>
      </c>
      <c r="H1505" s="196" t="s">
        <v>11235</v>
      </c>
    </row>
    <row r="1506" spans="1:8" x14ac:dyDescent="0.15">
      <c r="A1506" s="196" t="s">
        <v>11229</v>
      </c>
      <c r="B1506" s="196" t="s">
        <v>11230</v>
      </c>
      <c r="C1506" s="196" t="s">
        <v>14654</v>
      </c>
      <c r="D1506" s="196" t="s">
        <v>14655</v>
      </c>
      <c r="E1506" s="196" t="s">
        <v>14656</v>
      </c>
      <c r="F1506" s="196" t="s">
        <v>11241</v>
      </c>
      <c r="G1506" s="196" t="s">
        <v>11720</v>
      </c>
      <c r="H1506" s="196" t="s">
        <v>11235</v>
      </c>
    </row>
    <row r="1507" spans="1:8" x14ac:dyDescent="0.15">
      <c r="A1507" s="196" t="s">
        <v>11229</v>
      </c>
      <c r="B1507" s="196" t="s">
        <v>11230</v>
      </c>
      <c r="C1507" s="196" t="s">
        <v>14657</v>
      </c>
      <c r="D1507" s="196" t="s">
        <v>14658</v>
      </c>
      <c r="E1507" s="196" t="s">
        <v>14659</v>
      </c>
      <c r="F1507" s="196" t="s">
        <v>12537</v>
      </c>
      <c r="G1507" s="196" t="s">
        <v>11720</v>
      </c>
      <c r="H1507" s="196" t="s">
        <v>11235</v>
      </c>
    </row>
    <row r="1508" spans="1:8" x14ac:dyDescent="0.15">
      <c r="A1508" s="196" t="s">
        <v>11229</v>
      </c>
      <c r="B1508" s="196" t="s">
        <v>11230</v>
      </c>
      <c r="C1508" s="196" t="s">
        <v>14660</v>
      </c>
      <c r="D1508" s="196" t="s">
        <v>14661</v>
      </c>
      <c r="E1508" s="196" t="s">
        <v>14662</v>
      </c>
      <c r="F1508" s="196" t="s">
        <v>13023</v>
      </c>
      <c r="G1508" s="196" t="s">
        <v>11720</v>
      </c>
      <c r="H1508" s="196" t="s">
        <v>11235</v>
      </c>
    </row>
    <row r="1509" spans="1:8" x14ac:dyDescent="0.15">
      <c r="A1509" s="196" t="s">
        <v>11229</v>
      </c>
      <c r="B1509" s="196" t="s">
        <v>11230</v>
      </c>
      <c r="C1509" s="196" t="s">
        <v>14663</v>
      </c>
      <c r="D1509" s="196" t="s">
        <v>14652</v>
      </c>
      <c r="E1509" s="196" t="s">
        <v>14664</v>
      </c>
      <c r="F1509" s="196" t="s">
        <v>13023</v>
      </c>
      <c r="G1509" s="196" t="s">
        <v>11720</v>
      </c>
      <c r="H1509" s="196" t="s">
        <v>11235</v>
      </c>
    </row>
    <row r="1510" spans="1:8" x14ac:dyDescent="0.15">
      <c r="A1510" s="196" t="s">
        <v>11229</v>
      </c>
      <c r="B1510" s="196" t="s">
        <v>11230</v>
      </c>
      <c r="C1510" s="196" t="s">
        <v>14665</v>
      </c>
      <c r="D1510" s="196" t="s">
        <v>14666</v>
      </c>
      <c r="E1510" s="196" t="s">
        <v>14667</v>
      </c>
      <c r="F1510" s="196" t="s">
        <v>14668</v>
      </c>
      <c r="G1510" s="196" t="s">
        <v>11962</v>
      </c>
      <c r="H1510" s="196" t="s">
        <v>11235</v>
      </c>
    </row>
    <row r="1511" spans="1:8" x14ac:dyDescent="0.15">
      <c r="A1511" s="196" t="s">
        <v>11229</v>
      </c>
      <c r="B1511" s="196" t="s">
        <v>11230</v>
      </c>
      <c r="C1511" s="196" t="s">
        <v>14669</v>
      </c>
      <c r="D1511" s="196" t="s">
        <v>14670</v>
      </c>
      <c r="E1511" s="196" t="s">
        <v>14671</v>
      </c>
      <c r="F1511" s="196" t="s">
        <v>11241</v>
      </c>
      <c r="G1511" s="196" t="s">
        <v>11720</v>
      </c>
      <c r="H1511" s="196" t="s">
        <v>11235</v>
      </c>
    </row>
    <row r="1512" spans="1:8" x14ac:dyDescent="0.15">
      <c r="A1512" s="196" t="s">
        <v>11229</v>
      </c>
      <c r="B1512" s="196" t="s">
        <v>11230</v>
      </c>
      <c r="C1512" s="196" t="s">
        <v>14672</v>
      </c>
      <c r="D1512" s="196" t="s">
        <v>14673</v>
      </c>
      <c r="E1512" s="196" t="s">
        <v>14673</v>
      </c>
      <c r="F1512" s="196" t="s">
        <v>11233</v>
      </c>
      <c r="G1512" s="196" t="s">
        <v>11720</v>
      </c>
      <c r="H1512" s="196" t="s">
        <v>11235</v>
      </c>
    </row>
    <row r="1513" spans="1:8" x14ac:dyDescent="0.15">
      <c r="A1513" s="196" t="s">
        <v>11229</v>
      </c>
      <c r="B1513" s="196" t="s">
        <v>11230</v>
      </c>
      <c r="C1513" s="196" t="s">
        <v>14674</v>
      </c>
      <c r="D1513" s="196" t="s">
        <v>14675</v>
      </c>
      <c r="E1513" s="196" t="s">
        <v>14675</v>
      </c>
      <c r="F1513" s="196" t="s">
        <v>11233</v>
      </c>
      <c r="G1513" s="196" t="s">
        <v>11720</v>
      </c>
      <c r="H1513" s="196" t="s">
        <v>11235</v>
      </c>
    </row>
    <row r="1514" spans="1:8" x14ac:dyDescent="0.15">
      <c r="A1514" s="196" t="s">
        <v>11229</v>
      </c>
      <c r="B1514" s="196" t="s">
        <v>11230</v>
      </c>
      <c r="C1514" s="196" t="s">
        <v>14676</v>
      </c>
      <c r="D1514" s="196" t="s">
        <v>14677</v>
      </c>
      <c r="E1514" s="196" t="s">
        <v>14677</v>
      </c>
      <c r="F1514" s="196" t="s">
        <v>11233</v>
      </c>
      <c r="G1514" s="196" t="s">
        <v>11720</v>
      </c>
      <c r="H1514" s="196" t="s">
        <v>11235</v>
      </c>
    </row>
    <row r="1515" spans="1:8" x14ac:dyDescent="0.15">
      <c r="A1515" s="196" t="s">
        <v>11229</v>
      </c>
      <c r="B1515" s="196" t="s">
        <v>11230</v>
      </c>
      <c r="C1515" s="196" t="s">
        <v>14678</v>
      </c>
      <c r="D1515" s="196" t="s">
        <v>14679</v>
      </c>
      <c r="E1515" s="196" t="s">
        <v>14679</v>
      </c>
      <c r="F1515" s="196" t="s">
        <v>11233</v>
      </c>
      <c r="G1515" s="196" t="s">
        <v>11720</v>
      </c>
      <c r="H1515" s="196" t="s">
        <v>11235</v>
      </c>
    </row>
    <row r="1516" spans="1:8" x14ac:dyDescent="0.15">
      <c r="A1516" s="196" t="s">
        <v>11229</v>
      </c>
      <c r="B1516" s="196" t="s">
        <v>11230</v>
      </c>
      <c r="C1516" s="196" t="s">
        <v>14680</v>
      </c>
      <c r="D1516" s="196" t="s">
        <v>14681</v>
      </c>
      <c r="E1516" s="196" t="s">
        <v>14681</v>
      </c>
      <c r="F1516" s="196" t="s">
        <v>11233</v>
      </c>
      <c r="G1516" s="196" t="s">
        <v>11720</v>
      </c>
      <c r="H1516" s="196" t="s">
        <v>11235</v>
      </c>
    </row>
    <row r="1517" spans="1:8" x14ac:dyDescent="0.15">
      <c r="A1517" s="196" t="s">
        <v>11229</v>
      </c>
      <c r="B1517" s="196" t="s">
        <v>11230</v>
      </c>
      <c r="C1517" s="196" t="s">
        <v>14682</v>
      </c>
      <c r="D1517" s="196" t="s">
        <v>14683</v>
      </c>
      <c r="E1517" s="196" t="s">
        <v>14683</v>
      </c>
      <c r="F1517" s="196" t="s">
        <v>11233</v>
      </c>
      <c r="G1517" s="196" t="s">
        <v>11720</v>
      </c>
      <c r="H1517" s="196" t="s">
        <v>11235</v>
      </c>
    </row>
    <row r="1518" spans="1:8" x14ac:dyDescent="0.15">
      <c r="A1518" s="196" t="s">
        <v>11229</v>
      </c>
      <c r="B1518" s="196" t="s">
        <v>11230</v>
      </c>
      <c r="C1518" s="196" t="s">
        <v>14684</v>
      </c>
      <c r="D1518" s="196" t="s">
        <v>14685</v>
      </c>
      <c r="E1518" s="196" t="s">
        <v>14686</v>
      </c>
      <c r="F1518" s="196" t="s">
        <v>11241</v>
      </c>
      <c r="G1518" s="196" t="s">
        <v>11962</v>
      </c>
      <c r="H1518" s="196" t="s">
        <v>11235</v>
      </c>
    </row>
    <row r="1519" spans="1:8" x14ac:dyDescent="0.15">
      <c r="A1519" s="196" t="s">
        <v>11229</v>
      </c>
      <c r="B1519" s="196" t="s">
        <v>11230</v>
      </c>
      <c r="C1519" s="196" t="s">
        <v>14687</v>
      </c>
      <c r="D1519" s="196" t="s">
        <v>14686</v>
      </c>
      <c r="E1519" s="196" t="s">
        <v>14688</v>
      </c>
      <c r="F1519" s="196" t="s">
        <v>11268</v>
      </c>
      <c r="G1519" s="196" t="s">
        <v>11962</v>
      </c>
      <c r="H1519" s="196" t="s">
        <v>11235</v>
      </c>
    </row>
    <row r="1520" spans="1:8" x14ac:dyDescent="0.15">
      <c r="A1520" s="196" t="s">
        <v>11229</v>
      </c>
      <c r="B1520" s="196" t="s">
        <v>11230</v>
      </c>
      <c r="C1520" s="196" t="s">
        <v>14689</v>
      </c>
      <c r="D1520" s="196" t="s">
        <v>14690</v>
      </c>
      <c r="E1520" s="196" t="s">
        <v>14690</v>
      </c>
      <c r="F1520" s="196" t="s">
        <v>11233</v>
      </c>
      <c r="G1520" s="196" t="s">
        <v>11720</v>
      </c>
      <c r="H1520" s="196" t="s">
        <v>11235</v>
      </c>
    </row>
    <row r="1521" spans="1:8" x14ac:dyDescent="0.15">
      <c r="A1521" s="196" t="s">
        <v>11229</v>
      </c>
      <c r="B1521" s="196" t="s">
        <v>11230</v>
      </c>
      <c r="C1521" s="196" t="s">
        <v>14691</v>
      </c>
      <c r="D1521" s="196" t="s">
        <v>14692</v>
      </c>
      <c r="E1521" s="196" t="s">
        <v>14693</v>
      </c>
      <c r="F1521" s="196" t="s">
        <v>11268</v>
      </c>
      <c r="G1521" s="196" t="s">
        <v>11720</v>
      </c>
      <c r="H1521" s="196" t="s">
        <v>11235</v>
      </c>
    </row>
    <row r="1522" spans="1:8" x14ac:dyDescent="0.15">
      <c r="A1522" s="196" t="s">
        <v>11229</v>
      </c>
      <c r="B1522" s="196" t="s">
        <v>11230</v>
      </c>
      <c r="C1522" s="196" t="s">
        <v>14694</v>
      </c>
      <c r="D1522" s="196" t="s">
        <v>14695</v>
      </c>
      <c r="E1522" s="196" t="s">
        <v>14695</v>
      </c>
      <c r="F1522" s="196" t="s">
        <v>11233</v>
      </c>
      <c r="G1522" s="196" t="s">
        <v>11720</v>
      </c>
      <c r="H1522" s="196" t="s">
        <v>11235</v>
      </c>
    </row>
    <row r="1523" spans="1:8" x14ac:dyDescent="0.15">
      <c r="A1523" s="196" t="s">
        <v>11229</v>
      </c>
      <c r="B1523" s="196" t="s">
        <v>11230</v>
      </c>
      <c r="C1523" s="196" t="s">
        <v>14696</v>
      </c>
      <c r="D1523" s="196" t="s">
        <v>14697</v>
      </c>
      <c r="E1523" s="196" t="s">
        <v>14697</v>
      </c>
      <c r="F1523" s="196" t="s">
        <v>11233</v>
      </c>
      <c r="G1523" s="196" t="s">
        <v>11720</v>
      </c>
      <c r="H1523" s="196" t="s">
        <v>11235</v>
      </c>
    </row>
    <row r="1524" spans="1:8" x14ac:dyDescent="0.15">
      <c r="A1524" s="196" t="s">
        <v>11229</v>
      </c>
      <c r="B1524" s="196" t="s">
        <v>11230</v>
      </c>
      <c r="C1524" s="196" t="s">
        <v>14698</v>
      </c>
      <c r="D1524" s="196" t="s">
        <v>14699</v>
      </c>
      <c r="E1524" s="196" t="s">
        <v>14700</v>
      </c>
      <c r="F1524" s="196" t="s">
        <v>11241</v>
      </c>
      <c r="G1524" s="196" t="s">
        <v>11720</v>
      </c>
      <c r="H1524" s="196" t="s">
        <v>11235</v>
      </c>
    </row>
    <row r="1525" spans="1:8" x14ac:dyDescent="0.15">
      <c r="A1525" s="196" t="s">
        <v>11229</v>
      </c>
      <c r="B1525" s="196" t="s">
        <v>11230</v>
      </c>
      <c r="C1525" s="196" t="s">
        <v>14701</v>
      </c>
      <c r="D1525" s="196" t="s">
        <v>14702</v>
      </c>
      <c r="E1525" s="196" t="s">
        <v>14702</v>
      </c>
      <c r="F1525" s="196" t="s">
        <v>11233</v>
      </c>
      <c r="G1525" s="196" t="s">
        <v>11720</v>
      </c>
      <c r="H1525" s="196" t="s">
        <v>11235</v>
      </c>
    </row>
    <row r="1526" spans="1:8" x14ac:dyDescent="0.15">
      <c r="A1526" s="196" t="s">
        <v>11229</v>
      </c>
      <c r="B1526" s="196" t="s">
        <v>11230</v>
      </c>
      <c r="C1526" s="196" t="s">
        <v>14703</v>
      </c>
      <c r="D1526" s="196" t="s">
        <v>14704</v>
      </c>
      <c r="E1526" s="196" t="s">
        <v>14704</v>
      </c>
      <c r="F1526" s="196" t="s">
        <v>11233</v>
      </c>
      <c r="G1526" s="196" t="s">
        <v>11720</v>
      </c>
      <c r="H1526" s="196" t="s">
        <v>11235</v>
      </c>
    </row>
    <row r="1527" spans="1:8" x14ac:dyDescent="0.15">
      <c r="A1527" s="196" t="s">
        <v>11229</v>
      </c>
      <c r="B1527" s="196" t="s">
        <v>11230</v>
      </c>
      <c r="C1527" s="196" t="s">
        <v>14705</v>
      </c>
      <c r="D1527" s="196" t="s">
        <v>14706</v>
      </c>
      <c r="E1527" s="196" t="s">
        <v>14707</v>
      </c>
      <c r="F1527" s="196" t="s">
        <v>11268</v>
      </c>
      <c r="G1527" s="196" t="s">
        <v>11962</v>
      </c>
      <c r="H1527" s="196" t="s">
        <v>11235</v>
      </c>
    </row>
    <row r="1528" spans="1:8" x14ac:dyDescent="0.15">
      <c r="A1528" s="196" t="s">
        <v>11229</v>
      </c>
      <c r="B1528" s="196" t="s">
        <v>11230</v>
      </c>
      <c r="C1528" s="196" t="s">
        <v>14708</v>
      </c>
      <c r="D1528" s="196" t="s">
        <v>14709</v>
      </c>
      <c r="E1528" s="196" t="s">
        <v>14709</v>
      </c>
      <c r="F1528" s="196" t="s">
        <v>11233</v>
      </c>
      <c r="G1528" s="196" t="s">
        <v>11962</v>
      </c>
      <c r="H1528" s="196" t="s">
        <v>11235</v>
      </c>
    </row>
    <row r="1529" spans="1:8" x14ac:dyDescent="0.15">
      <c r="A1529" s="196" t="s">
        <v>11229</v>
      </c>
      <c r="B1529" s="196" t="s">
        <v>11230</v>
      </c>
      <c r="C1529" s="196" t="s">
        <v>14710</v>
      </c>
      <c r="D1529" s="196" t="s">
        <v>14711</v>
      </c>
      <c r="E1529" s="196" t="s">
        <v>14712</v>
      </c>
      <c r="F1529" s="196" t="s">
        <v>11268</v>
      </c>
      <c r="G1529" s="196" t="s">
        <v>11962</v>
      </c>
      <c r="H1529" s="196" t="s">
        <v>11235</v>
      </c>
    </row>
    <row r="1530" spans="1:8" x14ac:dyDescent="0.15">
      <c r="A1530" s="196" t="s">
        <v>11229</v>
      </c>
      <c r="B1530" s="196" t="s">
        <v>11230</v>
      </c>
      <c r="C1530" s="196" t="s">
        <v>14713</v>
      </c>
      <c r="D1530" s="196" t="s">
        <v>14714</v>
      </c>
      <c r="E1530" s="196" t="s">
        <v>14714</v>
      </c>
      <c r="F1530" s="196" t="s">
        <v>11233</v>
      </c>
      <c r="G1530" s="196" t="s">
        <v>11720</v>
      </c>
      <c r="H1530" s="196" t="s">
        <v>11235</v>
      </c>
    </row>
    <row r="1531" spans="1:8" x14ac:dyDescent="0.15">
      <c r="A1531" s="196" t="s">
        <v>11229</v>
      </c>
      <c r="B1531" s="196" t="s">
        <v>11230</v>
      </c>
      <c r="C1531" s="196" t="s">
        <v>14715</v>
      </c>
      <c r="D1531" s="196" t="s">
        <v>14716</v>
      </c>
      <c r="E1531" s="196" t="s">
        <v>14716</v>
      </c>
      <c r="F1531" s="196" t="s">
        <v>11233</v>
      </c>
      <c r="G1531" s="196" t="s">
        <v>11962</v>
      </c>
      <c r="H1531" s="196" t="s">
        <v>11235</v>
      </c>
    </row>
    <row r="1532" spans="1:8" x14ac:dyDescent="0.15">
      <c r="A1532" s="196" t="s">
        <v>11229</v>
      </c>
      <c r="B1532" s="196" t="s">
        <v>11230</v>
      </c>
      <c r="C1532" s="196" t="s">
        <v>14717</v>
      </c>
      <c r="D1532" s="196" t="s">
        <v>14718</v>
      </c>
      <c r="E1532" s="196" t="s">
        <v>14719</v>
      </c>
      <c r="F1532" s="196" t="s">
        <v>11241</v>
      </c>
      <c r="G1532" s="196" t="s">
        <v>11962</v>
      </c>
      <c r="H1532" s="196" t="s">
        <v>11235</v>
      </c>
    </row>
    <row r="1533" spans="1:8" x14ac:dyDescent="0.15">
      <c r="A1533" s="196" t="s">
        <v>11229</v>
      </c>
      <c r="B1533" s="196" t="s">
        <v>11230</v>
      </c>
      <c r="C1533" s="196" t="s">
        <v>14720</v>
      </c>
      <c r="D1533" s="196" t="s">
        <v>14721</v>
      </c>
      <c r="E1533" s="196" t="s">
        <v>14721</v>
      </c>
      <c r="F1533" s="196" t="s">
        <v>11233</v>
      </c>
      <c r="G1533" s="196" t="s">
        <v>11720</v>
      </c>
      <c r="H1533" s="196" t="s">
        <v>11235</v>
      </c>
    </row>
    <row r="1534" spans="1:8" x14ac:dyDescent="0.15">
      <c r="A1534" s="196" t="s">
        <v>11229</v>
      </c>
      <c r="B1534" s="196" t="s">
        <v>11230</v>
      </c>
      <c r="C1534" s="196" t="s">
        <v>14722</v>
      </c>
      <c r="D1534" s="196" t="s">
        <v>14723</v>
      </c>
      <c r="E1534" s="196" t="s">
        <v>14724</v>
      </c>
      <c r="F1534" s="196" t="s">
        <v>11241</v>
      </c>
      <c r="G1534" s="196" t="s">
        <v>11962</v>
      </c>
      <c r="H1534" s="196" t="s">
        <v>11235</v>
      </c>
    </row>
    <row r="1535" spans="1:8" x14ac:dyDescent="0.15">
      <c r="A1535" s="196" t="s">
        <v>11229</v>
      </c>
      <c r="B1535" s="196" t="s">
        <v>11230</v>
      </c>
      <c r="C1535" s="196" t="s">
        <v>14725</v>
      </c>
      <c r="D1535" s="196" t="s">
        <v>14726</v>
      </c>
      <c r="E1535" s="196" t="s">
        <v>14726</v>
      </c>
      <c r="F1535" s="196" t="s">
        <v>11233</v>
      </c>
      <c r="G1535" s="196" t="s">
        <v>11720</v>
      </c>
      <c r="H1535" s="196" t="s">
        <v>11235</v>
      </c>
    </row>
    <row r="1536" spans="1:8" x14ac:dyDescent="0.15">
      <c r="A1536" s="196" t="s">
        <v>11229</v>
      </c>
      <c r="B1536" s="196" t="s">
        <v>11230</v>
      </c>
      <c r="C1536" s="196" t="s">
        <v>14727</v>
      </c>
      <c r="D1536" s="196" t="s">
        <v>14728</v>
      </c>
      <c r="E1536" s="196" t="s">
        <v>14729</v>
      </c>
      <c r="F1536" s="196" t="s">
        <v>11241</v>
      </c>
      <c r="G1536" s="196" t="s">
        <v>11962</v>
      </c>
      <c r="H1536" s="196" t="s">
        <v>11235</v>
      </c>
    </row>
    <row r="1537" spans="1:8" x14ac:dyDescent="0.15">
      <c r="A1537" s="196" t="s">
        <v>11229</v>
      </c>
      <c r="B1537" s="196" t="s">
        <v>11230</v>
      </c>
      <c r="C1537" s="196" t="s">
        <v>14730</v>
      </c>
      <c r="D1537" s="196" t="s">
        <v>14731</v>
      </c>
      <c r="E1537" s="196" t="s">
        <v>14731</v>
      </c>
      <c r="F1537" s="196" t="s">
        <v>11233</v>
      </c>
      <c r="G1537" s="196" t="s">
        <v>11962</v>
      </c>
      <c r="H1537" s="196" t="s">
        <v>11235</v>
      </c>
    </row>
    <row r="1538" spans="1:8" x14ac:dyDescent="0.15">
      <c r="A1538" s="196" t="s">
        <v>11229</v>
      </c>
      <c r="B1538" s="196" t="s">
        <v>11230</v>
      </c>
      <c r="C1538" s="196" t="s">
        <v>14732</v>
      </c>
      <c r="D1538" s="196" t="s">
        <v>14733</v>
      </c>
      <c r="E1538" s="196" t="s">
        <v>14733</v>
      </c>
      <c r="F1538" s="196" t="s">
        <v>11233</v>
      </c>
      <c r="G1538" s="196" t="s">
        <v>11720</v>
      </c>
      <c r="H1538" s="196" t="s">
        <v>11235</v>
      </c>
    </row>
    <row r="1539" spans="1:8" x14ac:dyDescent="0.15">
      <c r="A1539" s="196" t="s">
        <v>11229</v>
      </c>
      <c r="B1539" s="196" t="s">
        <v>11230</v>
      </c>
      <c r="C1539" s="196" t="s">
        <v>14734</v>
      </c>
      <c r="D1539" s="196" t="s">
        <v>14735</v>
      </c>
      <c r="E1539" s="196" t="s">
        <v>14736</v>
      </c>
      <c r="F1539" s="196" t="s">
        <v>11241</v>
      </c>
      <c r="G1539" s="196" t="s">
        <v>11962</v>
      </c>
      <c r="H1539" s="196" t="s">
        <v>11235</v>
      </c>
    </row>
    <row r="1540" spans="1:8" x14ac:dyDescent="0.15">
      <c r="A1540" s="196" t="s">
        <v>11229</v>
      </c>
      <c r="B1540" s="196" t="s">
        <v>11230</v>
      </c>
      <c r="C1540" s="196" t="s">
        <v>14737</v>
      </c>
      <c r="D1540" s="196" t="s">
        <v>14738</v>
      </c>
      <c r="E1540" s="196" t="s">
        <v>14739</v>
      </c>
      <c r="F1540" s="196" t="s">
        <v>11241</v>
      </c>
      <c r="G1540" s="196" t="s">
        <v>11720</v>
      </c>
      <c r="H1540" s="196" t="s">
        <v>11235</v>
      </c>
    </row>
    <row r="1541" spans="1:8" x14ac:dyDescent="0.15">
      <c r="A1541" s="196" t="s">
        <v>11229</v>
      </c>
      <c r="B1541" s="196" t="s">
        <v>11230</v>
      </c>
      <c r="C1541" s="196" t="s">
        <v>14740</v>
      </c>
      <c r="D1541" s="196" t="s">
        <v>14739</v>
      </c>
      <c r="E1541" s="196" t="s">
        <v>14741</v>
      </c>
      <c r="F1541" s="196" t="s">
        <v>11268</v>
      </c>
      <c r="G1541" s="196" t="s">
        <v>11720</v>
      </c>
      <c r="H1541" s="196" t="s">
        <v>11235</v>
      </c>
    </row>
    <row r="1542" spans="1:8" x14ac:dyDescent="0.15">
      <c r="A1542" s="196" t="s">
        <v>11229</v>
      </c>
      <c r="B1542" s="196" t="s">
        <v>11230</v>
      </c>
      <c r="C1542" s="196" t="s">
        <v>14742</v>
      </c>
      <c r="D1542" s="196" t="s">
        <v>14743</v>
      </c>
      <c r="E1542" s="196" t="s">
        <v>14744</v>
      </c>
      <c r="F1542" s="196" t="s">
        <v>11241</v>
      </c>
      <c r="G1542" s="196" t="s">
        <v>11720</v>
      </c>
      <c r="H1542" s="196" t="s">
        <v>11235</v>
      </c>
    </row>
    <row r="1543" spans="1:8" x14ac:dyDescent="0.15">
      <c r="A1543" s="196" t="s">
        <v>11229</v>
      </c>
      <c r="B1543" s="196" t="s">
        <v>11230</v>
      </c>
      <c r="C1543" s="196" t="s">
        <v>14745</v>
      </c>
      <c r="D1543" s="196" t="s">
        <v>14746</v>
      </c>
      <c r="E1543" s="196" t="s">
        <v>14747</v>
      </c>
      <c r="F1543" s="196" t="s">
        <v>11241</v>
      </c>
      <c r="G1543" s="196" t="s">
        <v>11962</v>
      </c>
      <c r="H1543" s="196" t="s">
        <v>11235</v>
      </c>
    </row>
    <row r="1544" spans="1:8" x14ac:dyDescent="0.15">
      <c r="A1544" s="196" t="s">
        <v>11229</v>
      </c>
      <c r="B1544" s="196" t="s">
        <v>11230</v>
      </c>
      <c r="C1544" s="196" t="s">
        <v>14748</v>
      </c>
      <c r="D1544" s="196" t="s">
        <v>14749</v>
      </c>
      <c r="E1544" s="196" t="s">
        <v>14750</v>
      </c>
      <c r="F1544" s="196" t="s">
        <v>11241</v>
      </c>
      <c r="G1544" s="196" t="s">
        <v>11720</v>
      </c>
      <c r="H1544" s="196" t="s">
        <v>11235</v>
      </c>
    </row>
    <row r="1545" spans="1:8" x14ac:dyDescent="0.15">
      <c r="A1545" s="196" t="s">
        <v>11229</v>
      </c>
      <c r="B1545" s="196" t="s">
        <v>11230</v>
      </c>
      <c r="C1545" s="196" t="s">
        <v>14751</v>
      </c>
      <c r="D1545" s="196" t="s">
        <v>14752</v>
      </c>
      <c r="E1545" s="196" t="s">
        <v>14753</v>
      </c>
      <c r="F1545" s="196" t="s">
        <v>11241</v>
      </c>
      <c r="G1545" s="196" t="s">
        <v>11962</v>
      </c>
      <c r="H1545" s="196" t="s">
        <v>11235</v>
      </c>
    </row>
    <row r="1546" spans="1:8" x14ac:dyDescent="0.15">
      <c r="A1546" s="196" t="s">
        <v>11229</v>
      </c>
      <c r="B1546" s="196" t="s">
        <v>11230</v>
      </c>
      <c r="C1546" s="196" t="s">
        <v>14754</v>
      </c>
      <c r="D1546" s="196" t="s">
        <v>14755</v>
      </c>
      <c r="E1546" s="196" t="s">
        <v>14755</v>
      </c>
      <c r="F1546" s="196" t="s">
        <v>11233</v>
      </c>
      <c r="G1546" s="196" t="s">
        <v>11962</v>
      </c>
      <c r="H1546" s="196" t="s">
        <v>11235</v>
      </c>
    </row>
    <row r="1547" spans="1:8" x14ac:dyDescent="0.15">
      <c r="A1547" s="196" t="s">
        <v>11229</v>
      </c>
      <c r="B1547" s="196" t="s">
        <v>11230</v>
      </c>
      <c r="C1547" s="196" t="s">
        <v>14756</v>
      </c>
      <c r="D1547" s="196" t="s">
        <v>14757</v>
      </c>
      <c r="E1547" s="196" t="s">
        <v>14758</v>
      </c>
      <c r="F1547" s="196" t="s">
        <v>11241</v>
      </c>
      <c r="G1547" s="196" t="s">
        <v>11962</v>
      </c>
      <c r="H1547" s="196" t="s">
        <v>11235</v>
      </c>
    </row>
    <row r="1548" spans="1:8" x14ac:dyDescent="0.15">
      <c r="A1548" s="196" t="s">
        <v>11229</v>
      </c>
      <c r="B1548" s="196" t="s">
        <v>11230</v>
      </c>
      <c r="C1548" s="196" t="s">
        <v>14759</v>
      </c>
      <c r="D1548" s="196" t="s">
        <v>14760</v>
      </c>
      <c r="E1548" s="196" t="s">
        <v>14760</v>
      </c>
      <c r="F1548" s="196" t="s">
        <v>11233</v>
      </c>
      <c r="G1548" s="196" t="s">
        <v>11962</v>
      </c>
      <c r="H1548" s="196" t="s">
        <v>11235</v>
      </c>
    </row>
    <row r="1549" spans="1:8" x14ac:dyDescent="0.15">
      <c r="A1549" s="196" t="s">
        <v>11229</v>
      </c>
      <c r="B1549" s="196" t="s">
        <v>11230</v>
      </c>
      <c r="C1549" s="196" t="s">
        <v>14761</v>
      </c>
      <c r="D1549" s="196" t="s">
        <v>14762</v>
      </c>
      <c r="E1549" s="196" t="s">
        <v>14763</v>
      </c>
      <c r="F1549" s="196" t="s">
        <v>11241</v>
      </c>
      <c r="G1549" s="196" t="s">
        <v>11962</v>
      </c>
      <c r="H1549" s="196" t="s">
        <v>11235</v>
      </c>
    </row>
    <row r="1550" spans="1:8" x14ac:dyDescent="0.15">
      <c r="A1550" s="196" t="s">
        <v>11229</v>
      </c>
      <c r="B1550" s="196" t="s">
        <v>11230</v>
      </c>
      <c r="C1550" s="196" t="s">
        <v>14764</v>
      </c>
      <c r="D1550" s="196" t="s">
        <v>14762</v>
      </c>
      <c r="E1550" s="196" t="s">
        <v>14763</v>
      </c>
      <c r="F1550" s="196" t="s">
        <v>11241</v>
      </c>
      <c r="G1550" s="196" t="s">
        <v>11720</v>
      </c>
      <c r="H1550" s="196" t="s">
        <v>11235</v>
      </c>
    </row>
    <row r="1551" spans="1:8" x14ac:dyDescent="0.15">
      <c r="A1551" s="196" t="s">
        <v>11229</v>
      </c>
      <c r="B1551" s="196" t="s">
        <v>11230</v>
      </c>
      <c r="C1551" s="196" t="s">
        <v>14765</v>
      </c>
      <c r="D1551" s="196" t="s">
        <v>14766</v>
      </c>
      <c r="E1551" s="196" t="s">
        <v>14766</v>
      </c>
      <c r="F1551" s="196" t="s">
        <v>11233</v>
      </c>
      <c r="G1551" s="196" t="s">
        <v>11962</v>
      </c>
      <c r="H1551" s="196" t="s">
        <v>11235</v>
      </c>
    </row>
    <row r="1552" spans="1:8" x14ac:dyDescent="0.15">
      <c r="A1552" s="196" t="s">
        <v>11229</v>
      </c>
      <c r="B1552" s="196" t="s">
        <v>11230</v>
      </c>
      <c r="C1552" s="196" t="s">
        <v>14767</v>
      </c>
      <c r="D1552" s="196" t="s">
        <v>14766</v>
      </c>
      <c r="E1552" s="196" t="s">
        <v>14766</v>
      </c>
      <c r="F1552" s="196" t="s">
        <v>11233</v>
      </c>
      <c r="G1552" s="196" t="s">
        <v>11720</v>
      </c>
      <c r="H1552" s="196" t="s">
        <v>11235</v>
      </c>
    </row>
    <row r="1553" spans="1:8" x14ac:dyDescent="0.15">
      <c r="A1553" s="196" t="s">
        <v>11229</v>
      </c>
      <c r="B1553" s="196" t="s">
        <v>11230</v>
      </c>
      <c r="C1553" s="196" t="s">
        <v>14768</v>
      </c>
      <c r="D1553" s="196" t="s">
        <v>14769</v>
      </c>
      <c r="E1553" s="196" t="s">
        <v>14769</v>
      </c>
      <c r="F1553" s="196" t="s">
        <v>11233</v>
      </c>
      <c r="G1553" s="196" t="s">
        <v>11720</v>
      </c>
      <c r="H1553" s="196" t="s">
        <v>11235</v>
      </c>
    </row>
    <row r="1554" spans="1:8" x14ac:dyDescent="0.15">
      <c r="A1554" s="196" t="s">
        <v>11229</v>
      </c>
      <c r="B1554" s="196" t="s">
        <v>11230</v>
      </c>
      <c r="C1554" s="196" t="s">
        <v>14770</v>
      </c>
      <c r="D1554" s="196" t="s">
        <v>14771</v>
      </c>
      <c r="E1554" s="196" t="s">
        <v>14771</v>
      </c>
      <c r="F1554" s="196" t="s">
        <v>11233</v>
      </c>
      <c r="G1554" s="196" t="s">
        <v>11720</v>
      </c>
      <c r="H1554" s="196" t="s">
        <v>11235</v>
      </c>
    </row>
    <row r="1555" spans="1:8" x14ac:dyDescent="0.15">
      <c r="A1555" s="196" t="s">
        <v>11229</v>
      </c>
      <c r="B1555" s="196" t="s">
        <v>11230</v>
      </c>
      <c r="C1555" s="196" t="s">
        <v>14772</v>
      </c>
      <c r="D1555" s="196" t="s">
        <v>14773</v>
      </c>
      <c r="E1555" s="196" t="s">
        <v>14773</v>
      </c>
      <c r="F1555" s="196" t="s">
        <v>11233</v>
      </c>
      <c r="G1555" s="196" t="s">
        <v>11720</v>
      </c>
      <c r="H1555" s="196" t="s">
        <v>11235</v>
      </c>
    </row>
    <row r="1556" spans="1:8" x14ac:dyDescent="0.15">
      <c r="A1556" s="196" t="s">
        <v>11229</v>
      </c>
      <c r="B1556" s="196" t="s">
        <v>11230</v>
      </c>
      <c r="C1556" s="196" t="s">
        <v>14774</v>
      </c>
      <c r="D1556" s="196" t="s">
        <v>14775</v>
      </c>
      <c r="E1556" s="196" t="s">
        <v>14775</v>
      </c>
      <c r="F1556" s="196" t="s">
        <v>11233</v>
      </c>
      <c r="G1556" s="196" t="s">
        <v>11720</v>
      </c>
      <c r="H1556" s="196" t="s">
        <v>11235</v>
      </c>
    </row>
    <row r="1557" spans="1:8" x14ac:dyDescent="0.15">
      <c r="A1557" s="196" t="s">
        <v>11229</v>
      </c>
      <c r="B1557" s="196" t="s">
        <v>11230</v>
      </c>
      <c r="C1557" s="196" t="s">
        <v>14776</v>
      </c>
      <c r="D1557" s="196" t="s">
        <v>14777</v>
      </c>
      <c r="E1557" s="196" t="s">
        <v>14777</v>
      </c>
      <c r="F1557" s="196" t="s">
        <v>11233</v>
      </c>
      <c r="G1557" s="196" t="s">
        <v>11720</v>
      </c>
      <c r="H1557" s="196" t="s">
        <v>11235</v>
      </c>
    </row>
    <row r="1558" spans="1:8" x14ac:dyDescent="0.15">
      <c r="A1558" s="196" t="s">
        <v>11229</v>
      </c>
      <c r="B1558" s="196" t="s">
        <v>11230</v>
      </c>
      <c r="C1558" s="196" t="s">
        <v>14778</v>
      </c>
      <c r="D1558" s="196" t="s">
        <v>14779</v>
      </c>
      <c r="E1558" s="196" t="s">
        <v>14779</v>
      </c>
      <c r="F1558" s="196" t="s">
        <v>11233</v>
      </c>
      <c r="G1558" s="196" t="s">
        <v>11962</v>
      </c>
      <c r="H1558" s="196" t="s">
        <v>11235</v>
      </c>
    </row>
    <row r="1559" spans="1:8" x14ac:dyDescent="0.15">
      <c r="A1559" s="196" t="s">
        <v>11229</v>
      </c>
      <c r="B1559" s="196" t="s">
        <v>11230</v>
      </c>
      <c r="C1559" s="196" t="s">
        <v>14780</v>
      </c>
      <c r="D1559" s="196" t="s">
        <v>14781</v>
      </c>
      <c r="E1559" s="196" t="s">
        <v>14781</v>
      </c>
      <c r="F1559" s="196" t="s">
        <v>11233</v>
      </c>
      <c r="G1559" s="196" t="s">
        <v>11720</v>
      </c>
      <c r="H1559" s="196" t="s">
        <v>11235</v>
      </c>
    </row>
    <row r="1560" spans="1:8" x14ac:dyDescent="0.15">
      <c r="A1560" s="196" t="s">
        <v>11229</v>
      </c>
      <c r="B1560" s="196" t="s">
        <v>11230</v>
      </c>
      <c r="C1560" s="196" t="s">
        <v>14782</v>
      </c>
      <c r="D1560" s="196" t="s">
        <v>14783</v>
      </c>
      <c r="E1560" s="196" t="s">
        <v>14783</v>
      </c>
      <c r="F1560" s="196" t="s">
        <v>11233</v>
      </c>
      <c r="G1560" s="196" t="s">
        <v>11962</v>
      </c>
      <c r="H1560" s="196" t="s">
        <v>11235</v>
      </c>
    </row>
    <row r="1561" spans="1:8" x14ac:dyDescent="0.15">
      <c r="A1561" s="196" t="s">
        <v>11229</v>
      </c>
      <c r="B1561" s="196" t="s">
        <v>11230</v>
      </c>
      <c r="C1561" s="196" t="s">
        <v>14784</v>
      </c>
      <c r="D1561" s="196" t="s">
        <v>14785</v>
      </c>
      <c r="E1561" s="196" t="s">
        <v>14785</v>
      </c>
      <c r="F1561" s="196" t="s">
        <v>11233</v>
      </c>
      <c r="G1561" s="196" t="s">
        <v>11720</v>
      </c>
      <c r="H1561" s="196" t="s">
        <v>11235</v>
      </c>
    </row>
    <row r="1562" spans="1:8" x14ac:dyDescent="0.15">
      <c r="A1562" s="196" t="s">
        <v>11229</v>
      </c>
      <c r="B1562" s="196" t="s">
        <v>11230</v>
      </c>
      <c r="C1562" s="196" t="s">
        <v>14786</v>
      </c>
      <c r="D1562" s="196" t="s">
        <v>14787</v>
      </c>
      <c r="E1562" s="196" t="s">
        <v>14787</v>
      </c>
      <c r="F1562" s="196" t="s">
        <v>11233</v>
      </c>
      <c r="G1562" s="196" t="s">
        <v>11962</v>
      </c>
      <c r="H1562" s="196" t="s">
        <v>11235</v>
      </c>
    </row>
    <row r="1563" spans="1:8" x14ac:dyDescent="0.15">
      <c r="A1563" s="196" t="s">
        <v>11229</v>
      </c>
      <c r="B1563" s="196" t="s">
        <v>11230</v>
      </c>
      <c r="C1563" s="196" t="s">
        <v>14788</v>
      </c>
      <c r="D1563" s="196" t="s">
        <v>14789</v>
      </c>
      <c r="E1563" s="196" t="s">
        <v>14790</v>
      </c>
      <c r="F1563" s="196" t="s">
        <v>11241</v>
      </c>
      <c r="G1563" s="196" t="s">
        <v>11962</v>
      </c>
      <c r="H1563" s="196" t="s">
        <v>11235</v>
      </c>
    </row>
    <row r="1564" spans="1:8" x14ac:dyDescent="0.15">
      <c r="A1564" s="196" t="s">
        <v>11229</v>
      </c>
      <c r="B1564" s="196" t="s">
        <v>11230</v>
      </c>
      <c r="C1564" s="196" t="s">
        <v>14791</v>
      </c>
      <c r="D1564" s="196" t="s">
        <v>14792</v>
      </c>
      <c r="E1564" s="196" t="s">
        <v>14792</v>
      </c>
      <c r="F1564" s="196" t="s">
        <v>11233</v>
      </c>
      <c r="G1564" s="196" t="s">
        <v>11720</v>
      </c>
      <c r="H1564" s="196" t="s">
        <v>11235</v>
      </c>
    </row>
    <row r="1565" spans="1:8" x14ac:dyDescent="0.15">
      <c r="A1565" s="196" t="s">
        <v>11229</v>
      </c>
      <c r="B1565" s="196" t="s">
        <v>11230</v>
      </c>
      <c r="C1565" s="196" t="s">
        <v>14793</v>
      </c>
      <c r="D1565" s="196" t="s">
        <v>14794</v>
      </c>
      <c r="E1565" s="196" t="s">
        <v>14795</v>
      </c>
      <c r="F1565" s="196" t="s">
        <v>11241</v>
      </c>
      <c r="G1565" s="196" t="s">
        <v>11962</v>
      </c>
      <c r="H1565" s="196" t="s">
        <v>11235</v>
      </c>
    </row>
    <row r="1566" spans="1:8" x14ac:dyDescent="0.15">
      <c r="A1566" s="196" t="s">
        <v>11229</v>
      </c>
      <c r="B1566" s="196" t="s">
        <v>11230</v>
      </c>
      <c r="C1566" s="196" t="s">
        <v>14796</v>
      </c>
      <c r="D1566" s="196" t="s">
        <v>14797</v>
      </c>
      <c r="E1566" s="196" t="s">
        <v>14797</v>
      </c>
      <c r="F1566" s="196" t="s">
        <v>11233</v>
      </c>
      <c r="G1566" s="196" t="s">
        <v>11962</v>
      </c>
      <c r="H1566" s="196" t="s">
        <v>11235</v>
      </c>
    </row>
    <row r="1567" spans="1:8" x14ac:dyDescent="0.15">
      <c r="A1567" s="196" t="s">
        <v>11229</v>
      </c>
      <c r="B1567" s="196" t="s">
        <v>11230</v>
      </c>
      <c r="C1567" s="196" t="s">
        <v>14798</v>
      </c>
      <c r="D1567" s="196" t="s">
        <v>14799</v>
      </c>
      <c r="E1567" s="196" t="s">
        <v>14799</v>
      </c>
      <c r="F1567" s="196" t="s">
        <v>11233</v>
      </c>
      <c r="G1567" s="196" t="s">
        <v>11720</v>
      </c>
      <c r="H1567" s="196" t="s">
        <v>11235</v>
      </c>
    </row>
    <row r="1568" spans="1:8" x14ac:dyDescent="0.15">
      <c r="A1568" s="196" t="s">
        <v>11229</v>
      </c>
      <c r="B1568" s="196" t="s">
        <v>11230</v>
      </c>
      <c r="C1568" s="196" t="s">
        <v>14800</v>
      </c>
      <c r="D1568" s="196" t="s">
        <v>14801</v>
      </c>
      <c r="E1568" s="196" t="s">
        <v>14802</v>
      </c>
      <c r="F1568" s="196" t="s">
        <v>11241</v>
      </c>
      <c r="G1568" s="196" t="s">
        <v>11962</v>
      </c>
      <c r="H1568" s="196" t="s">
        <v>11235</v>
      </c>
    </row>
    <row r="1569" spans="1:8" x14ac:dyDescent="0.15">
      <c r="A1569" s="196" t="s">
        <v>11229</v>
      </c>
      <c r="B1569" s="196" t="s">
        <v>11230</v>
      </c>
      <c r="C1569" s="196" t="s">
        <v>14803</v>
      </c>
      <c r="D1569" s="196" t="s">
        <v>14802</v>
      </c>
      <c r="E1569" s="196" t="s">
        <v>14802</v>
      </c>
      <c r="F1569" s="196" t="s">
        <v>11233</v>
      </c>
      <c r="G1569" s="196" t="s">
        <v>11720</v>
      </c>
      <c r="H1569" s="196" t="s">
        <v>11235</v>
      </c>
    </row>
    <row r="1570" spans="1:8" x14ac:dyDescent="0.15">
      <c r="A1570" s="196" t="s">
        <v>11229</v>
      </c>
      <c r="B1570" s="196" t="s">
        <v>11230</v>
      </c>
      <c r="C1570" s="196" t="s">
        <v>14804</v>
      </c>
      <c r="D1570" s="196" t="s">
        <v>14805</v>
      </c>
      <c r="E1570" s="196" t="s">
        <v>14805</v>
      </c>
      <c r="F1570" s="196" t="s">
        <v>11233</v>
      </c>
      <c r="G1570" s="196" t="s">
        <v>11720</v>
      </c>
      <c r="H1570" s="196" t="s">
        <v>11235</v>
      </c>
    </row>
    <row r="1571" spans="1:8" x14ac:dyDescent="0.15">
      <c r="A1571" s="196" t="s">
        <v>11229</v>
      </c>
      <c r="B1571" s="196" t="s">
        <v>11230</v>
      </c>
      <c r="C1571" s="196" t="s">
        <v>14806</v>
      </c>
      <c r="D1571" s="196" t="s">
        <v>14805</v>
      </c>
      <c r="E1571" s="196" t="s">
        <v>14805</v>
      </c>
      <c r="F1571" s="196" t="s">
        <v>11233</v>
      </c>
      <c r="G1571" s="196" t="s">
        <v>11962</v>
      </c>
      <c r="H1571" s="196" t="s">
        <v>11235</v>
      </c>
    </row>
    <row r="1572" spans="1:8" x14ac:dyDescent="0.15">
      <c r="A1572" s="196" t="s">
        <v>11229</v>
      </c>
      <c r="B1572" s="196" t="s">
        <v>11230</v>
      </c>
      <c r="C1572" s="196" t="s">
        <v>14807</v>
      </c>
      <c r="D1572" s="196" t="s">
        <v>14808</v>
      </c>
      <c r="E1572" s="196" t="s">
        <v>14809</v>
      </c>
      <c r="F1572" s="196" t="s">
        <v>11241</v>
      </c>
      <c r="G1572" s="196" t="s">
        <v>11720</v>
      </c>
      <c r="H1572" s="196" t="s">
        <v>11235</v>
      </c>
    </row>
    <row r="1573" spans="1:8" x14ac:dyDescent="0.15">
      <c r="A1573" s="196" t="s">
        <v>11229</v>
      </c>
      <c r="B1573" s="196" t="s">
        <v>11230</v>
      </c>
      <c r="C1573" s="196" t="s">
        <v>14810</v>
      </c>
      <c r="D1573" s="196" t="s">
        <v>14808</v>
      </c>
      <c r="E1573" s="196" t="s">
        <v>14808</v>
      </c>
      <c r="F1573" s="196" t="s">
        <v>11233</v>
      </c>
      <c r="G1573" s="196" t="s">
        <v>11962</v>
      </c>
      <c r="H1573" s="196" t="s">
        <v>11235</v>
      </c>
    </row>
    <row r="1574" spans="1:8" x14ac:dyDescent="0.15">
      <c r="A1574" s="196" t="s">
        <v>11229</v>
      </c>
      <c r="B1574" s="196" t="s">
        <v>11230</v>
      </c>
      <c r="C1574" s="196" t="s">
        <v>14811</v>
      </c>
      <c r="D1574" s="196" t="s">
        <v>14809</v>
      </c>
      <c r="E1574" s="196" t="s">
        <v>14812</v>
      </c>
      <c r="F1574" s="196" t="s">
        <v>11241</v>
      </c>
      <c r="G1574" s="196" t="s">
        <v>11962</v>
      </c>
      <c r="H1574" s="196" t="s">
        <v>11235</v>
      </c>
    </row>
    <row r="1575" spans="1:8" x14ac:dyDescent="0.15">
      <c r="A1575" s="196" t="s">
        <v>11229</v>
      </c>
      <c r="B1575" s="196" t="s">
        <v>11230</v>
      </c>
      <c r="C1575" s="196" t="s">
        <v>14813</v>
      </c>
      <c r="D1575" s="196" t="s">
        <v>14814</v>
      </c>
      <c r="E1575" s="196" t="s">
        <v>14815</v>
      </c>
      <c r="F1575" s="196" t="s">
        <v>11241</v>
      </c>
      <c r="G1575" s="196" t="s">
        <v>11962</v>
      </c>
      <c r="H1575" s="196" t="s">
        <v>11235</v>
      </c>
    </row>
    <row r="1576" spans="1:8" x14ac:dyDescent="0.15">
      <c r="A1576" s="196" t="s">
        <v>11229</v>
      </c>
      <c r="B1576" s="196" t="s">
        <v>11230</v>
      </c>
      <c r="C1576" s="196" t="s">
        <v>14816</v>
      </c>
      <c r="D1576" s="196" t="s">
        <v>14817</v>
      </c>
      <c r="E1576" s="196" t="s">
        <v>14818</v>
      </c>
      <c r="F1576" s="196" t="s">
        <v>11241</v>
      </c>
      <c r="G1576" s="196" t="s">
        <v>11720</v>
      </c>
      <c r="H1576" s="196" t="s">
        <v>11235</v>
      </c>
    </row>
    <row r="1577" spans="1:8" x14ac:dyDescent="0.15">
      <c r="A1577" s="196" t="s">
        <v>11229</v>
      </c>
      <c r="B1577" s="196" t="s">
        <v>11230</v>
      </c>
      <c r="C1577" s="196" t="s">
        <v>14819</v>
      </c>
      <c r="D1577" s="196" t="s">
        <v>14820</v>
      </c>
      <c r="E1577" s="196" t="s">
        <v>14821</v>
      </c>
      <c r="F1577" s="196" t="s">
        <v>11241</v>
      </c>
      <c r="G1577" s="196" t="s">
        <v>11962</v>
      </c>
      <c r="H1577" s="196" t="s">
        <v>11235</v>
      </c>
    </row>
    <row r="1578" spans="1:8" x14ac:dyDescent="0.15">
      <c r="A1578" s="196" t="s">
        <v>11229</v>
      </c>
      <c r="B1578" s="196" t="s">
        <v>11230</v>
      </c>
      <c r="C1578" s="196" t="s">
        <v>14822</v>
      </c>
      <c r="D1578" s="196" t="s">
        <v>14823</v>
      </c>
      <c r="E1578" s="196" t="s">
        <v>14824</v>
      </c>
      <c r="F1578" s="196" t="s">
        <v>11241</v>
      </c>
      <c r="G1578" s="196" t="s">
        <v>11962</v>
      </c>
      <c r="H1578" s="196" t="s">
        <v>11235</v>
      </c>
    </row>
    <row r="1579" spans="1:8" x14ac:dyDescent="0.15">
      <c r="A1579" s="196" t="s">
        <v>11229</v>
      </c>
      <c r="B1579" s="196" t="s">
        <v>11230</v>
      </c>
      <c r="C1579" s="196" t="s">
        <v>14825</v>
      </c>
      <c r="D1579" s="196" t="s">
        <v>14826</v>
      </c>
      <c r="E1579" s="196" t="s">
        <v>14827</v>
      </c>
      <c r="F1579" s="196" t="s">
        <v>11241</v>
      </c>
      <c r="G1579" s="196" t="s">
        <v>11720</v>
      </c>
      <c r="H1579" s="196" t="s">
        <v>11235</v>
      </c>
    </row>
    <row r="1580" spans="1:8" x14ac:dyDescent="0.15">
      <c r="A1580" s="196" t="s">
        <v>11229</v>
      </c>
      <c r="B1580" s="196" t="s">
        <v>11230</v>
      </c>
      <c r="C1580" s="196" t="s">
        <v>14828</v>
      </c>
      <c r="D1580" s="196" t="s">
        <v>14827</v>
      </c>
      <c r="E1580" s="196" t="s">
        <v>14829</v>
      </c>
      <c r="F1580" s="196" t="s">
        <v>11241</v>
      </c>
      <c r="G1580" s="196" t="s">
        <v>11720</v>
      </c>
      <c r="H1580" s="196" t="s">
        <v>11235</v>
      </c>
    </row>
    <row r="1581" spans="1:8" x14ac:dyDescent="0.15">
      <c r="A1581" s="196" t="s">
        <v>11229</v>
      </c>
      <c r="B1581" s="196" t="s">
        <v>11230</v>
      </c>
      <c r="C1581" s="196" t="s">
        <v>14830</v>
      </c>
      <c r="D1581" s="196" t="s">
        <v>14829</v>
      </c>
      <c r="E1581" s="196" t="s">
        <v>14831</v>
      </c>
      <c r="F1581" s="196" t="s">
        <v>11268</v>
      </c>
      <c r="G1581" s="196" t="s">
        <v>11720</v>
      </c>
      <c r="H1581" s="196" t="s">
        <v>11235</v>
      </c>
    </row>
    <row r="1582" spans="1:8" x14ac:dyDescent="0.15">
      <c r="A1582" s="196" t="s">
        <v>11229</v>
      </c>
      <c r="B1582" s="196" t="s">
        <v>11230</v>
      </c>
      <c r="C1582" s="196" t="s">
        <v>14832</v>
      </c>
      <c r="D1582" s="196" t="s">
        <v>14833</v>
      </c>
      <c r="E1582" s="196" t="s">
        <v>14833</v>
      </c>
      <c r="F1582" s="196" t="s">
        <v>11233</v>
      </c>
      <c r="G1582" s="196" t="s">
        <v>11720</v>
      </c>
      <c r="H1582" s="196" t="s">
        <v>11235</v>
      </c>
    </row>
    <row r="1583" spans="1:8" x14ac:dyDescent="0.15">
      <c r="A1583" s="196" t="s">
        <v>11229</v>
      </c>
      <c r="B1583" s="196" t="s">
        <v>11230</v>
      </c>
      <c r="C1583" s="196" t="s">
        <v>14834</v>
      </c>
      <c r="D1583" s="196" t="s">
        <v>14835</v>
      </c>
      <c r="E1583" s="196" t="s">
        <v>14835</v>
      </c>
      <c r="F1583" s="196" t="s">
        <v>11233</v>
      </c>
      <c r="G1583" s="196" t="s">
        <v>11962</v>
      </c>
      <c r="H1583" s="196" t="s">
        <v>11235</v>
      </c>
    </row>
    <row r="1584" spans="1:8" x14ac:dyDescent="0.15">
      <c r="A1584" s="196" t="s">
        <v>11229</v>
      </c>
      <c r="B1584" s="196" t="s">
        <v>11230</v>
      </c>
      <c r="C1584" s="196" t="s">
        <v>14836</v>
      </c>
      <c r="D1584" s="196" t="s">
        <v>14837</v>
      </c>
      <c r="E1584" s="196" t="s">
        <v>14838</v>
      </c>
      <c r="F1584" s="196" t="s">
        <v>11241</v>
      </c>
      <c r="G1584" s="196" t="s">
        <v>11962</v>
      </c>
      <c r="H1584" s="196" t="s">
        <v>11235</v>
      </c>
    </row>
    <row r="1585" spans="1:8" x14ac:dyDescent="0.15">
      <c r="A1585" s="196" t="s">
        <v>11229</v>
      </c>
      <c r="B1585" s="196" t="s">
        <v>11230</v>
      </c>
      <c r="C1585" s="196" t="s">
        <v>14839</v>
      </c>
      <c r="D1585" s="196" t="s">
        <v>14840</v>
      </c>
      <c r="E1585" s="196" t="s">
        <v>14840</v>
      </c>
      <c r="F1585" s="196" t="s">
        <v>11233</v>
      </c>
      <c r="G1585" s="196" t="s">
        <v>11962</v>
      </c>
      <c r="H1585" s="196" t="s">
        <v>11235</v>
      </c>
    </row>
    <row r="1586" spans="1:8" x14ac:dyDescent="0.15">
      <c r="A1586" s="196" t="s">
        <v>11229</v>
      </c>
      <c r="B1586" s="196" t="s">
        <v>11230</v>
      </c>
      <c r="C1586" s="196" t="s">
        <v>14841</v>
      </c>
      <c r="D1586" s="196" t="s">
        <v>14842</v>
      </c>
      <c r="E1586" s="196" t="s">
        <v>14842</v>
      </c>
      <c r="F1586" s="196" t="s">
        <v>11233</v>
      </c>
      <c r="G1586" s="196" t="s">
        <v>11962</v>
      </c>
      <c r="H1586" s="196" t="s">
        <v>11235</v>
      </c>
    </row>
    <row r="1587" spans="1:8" x14ac:dyDescent="0.15">
      <c r="A1587" s="196" t="s">
        <v>11229</v>
      </c>
      <c r="B1587" s="196" t="s">
        <v>11230</v>
      </c>
      <c r="C1587" s="196" t="s">
        <v>14843</v>
      </c>
      <c r="D1587" s="196" t="s">
        <v>14844</v>
      </c>
      <c r="E1587" s="196" t="s">
        <v>14844</v>
      </c>
      <c r="F1587" s="196" t="s">
        <v>11233</v>
      </c>
      <c r="G1587" s="196" t="s">
        <v>11962</v>
      </c>
      <c r="H1587" s="196" t="s">
        <v>11235</v>
      </c>
    </row>
    <row r="1588" spans="1:8" x14ac:dyDescent="0.15">
      <c r="A1588" s="196" t="s">
        <v>11229</v>
      </c>
      <c r="B1588" s="196" t="s">
        <v>11230</v>
      </c>
      <c r="C1588" s="196" t="s">
        <v>14845</v>
      </c>
      <c r="D1588" s="196" t="s">
        <v>14846</v>
      </c>
      <c r="E1588" s="196" t="s">
        <v>14846</v>
      </c>
      <c r="F1588" s="196" t="s">
        <v>11233</v>
      </c>
      <c r="G1588" s="196" t="s">
        <v>11720</v>
      </c>
      <c r="H1588" s="196" t="s">
        <v>11235</v>
      </c>
    </row>
    <row r="1589" spans="1:8" x14ac:dyDescent="0.15">
      <c r="A1589" s="196" t="s">
        <v>11229</v>
      </c>
      <c r="B1589" s="196" t="s">
        <v>11230</v>
      </c>
      <c r="C1589" s="196" t="s">
        <v>14847</v>
      </c>
      <c r="D1589" s="196" t="s">
        <v>14848</v>
      </c>
      <c r="E1589" s="196" t="s">
        <v>14848</v>
      </c>
      <c r="F1589" s="196" t="s">
        <v>11233</v>
      </c>
      <c r="G1589" s="196" t="s">
        <v>11962</v>
      </c>
      <c r="H1589" s="196" t="s">
        <v>11235</v>
      </c>
    </row>
    <row r="1590" spans="1:8" x14ac:dyDescent="0.15">
      <c r="A1590" s="196" t="s">
        <v>11229</v>
      </c>
      <c r="B1590" s="196" t="s">
        <v>11230</v>
      </c>
      <c r="C1590" s="196" t="s">
        <v>14849</v>
      </c>
      <c r="D1590" s="196" t="s">
        <v>14850</v>
      </c>
      <c r="E1590" s="196" t="s">
        <v>14851</v>
      </c>
      <c r="F1590" s="196" t="s">
        <v>11268</v>
      </c>
      <c r="G1590" s="196" t="s">
        <v>11962</v>
      </c>
      <c r="H1590" s="196" t="s">
        <v>11235</v>
      </c>
    </row>
    <row r="1591" spans="1:8" x14ac:dyDescent="0.15">
      <c r="A1591" s="196" t="s">
        <v>11229</v>
      </c>
      <c r="B1591" s="196" t="s">
        <v>11230</v>
      </c>
      <c r="C1591" s="196" t="s">
        <v>14852</v>
      </c>
      <c r="D1591" s="196" t="s">
        <v>14853</v>
      </c>
      <c r="E1591" s="196" t="s">
        <v>14854</v>
      </c>
      <c r="F1591" s="196" t="s">
        <v>11241</v>
      </c>
      <c r="G1591" s="196" t="s">
        <v>11720</v>
      </c>
      <c r="H1591" s="196" t="s">
        <v>11235</v>
      </c>
    </row>
    <row r="1592" spans="1:8" x14ac:dyDescent="0.15">
      <c r="A1592" s="196" t="s">
        <v>11229</v>
      </c>
      <c r="B1592" s="196" t="s">
        <v>11230</v>
      </c>
      <c r="C1592" s="196" t="s">
        <v>14855</v>
      </c>
      <c r="D1592" s="196" t="s">
        <v>14856</v>
      </c>
      <c r="E1592" s="196" t="s">
        <v>14856</v>
      </c>
      <c r="F1592" s="196" t="s">
        <v>11233</v>
      </c>
      <c r="G1592" s="196" t="s">
        <v>11962</v>
      </c>
      <c r="H1592" s="196" t="s">
        <v>11235</v>
      </c>
    </row>
    <row r="1593" spans="1:8" x14ac:dyDescent="0.15">
      <c r="A1593" s="196" t="s">
        <v>11229</v>
      </c>
      <c r="B1593" s="196" t="s">
        <v>11230</v>
      </c>
      <c r="C1593" s="196" t="s">
        <v>14857</v>
      </c>
      <c r="D1593" s="196" t="s">
        <v>14858</v>
      </c>
      <c r="E1593" s="196" t="s">
        <v>14858</v>
      </c>
      <c r="F1593" s="196" t="s">
        <v>11233</v>
      </c>
      <c r="G1593" s="196" t="s">
        <v>11720</v>
      </c>
      <c r="H1593" s="196" t="s">
        <v>11235</v>
      </c>
    </row>
    <row r="1594" spans="1:8" x14ac:dyDescent="0.15">
      <c r="A1594" s="196" t="s">
        <v>11229</v>
      </c>
      <c r="B1594" s="196" t="s">
        <v>11230</v>
      </c>
      <c r="C1594" s="196" t="s">
        <v>14859</v>
      </c>
      <c r="D1594" s="196" t="s">
        <v>14860</v>
      </c>
      <c r="E1594" s="196" t="s">
        <v>14860</v>
      </c>
      <c r="F1594" s="196" t="s">
        <v>11233</v>
      </c>
      <c r="G1594" s="196" t="s">
        <v>11962</v>
      </c>
      <c r="H1594" s="196" t="s">
        <v>11235</v>
      </c>
    </row>
    <row r="1595" spans="1:8" x14ac:dyDescent="0.15">
      <c r="A1595" s="196" t="s">
        <v>11229</v>
      </c>
      <c r="B1595" s="196" t="s">
        <v>11230</v>
      </c>
      <c r="C1595" s="196" t="s">
        <v>14861</v>
      </c>
      <c r="D1595" s="196" t="s">
        <v>14862</v>
      </c>
      <c r="E1595" s="196" t="s">
        <v>14863</v>
      </c>
      <c r="F1595" s="196" t="s">
        <v>11268</v>
      </c>
      <c r="G1595" s="196" t="s">
        <v>11962</v>
      </c>
      <c r="H1595" s="196" t="s">
        <v>11235</v>
      </c>
    </row>
    <row r="1596" spans="1:8" x14ac:dyDescent="0.15">
      <c r="A1596" s="196" t="s">
        <v>11229</v>
      </c>
      <c r="B1596" s="196" t="s">
        <v>11230</v>
      </c>
      <c r="C1596" s="196" t="s">
        <v>14864</v>
      </c>
      <c r="D1596" s="196" t="s">
        <v>14863</v>
      </c>
      <c r="E1596" s="196" t="s">
        <v>14865</v>
      </c>
      <c r="F1596" s="196" t="s">
        <v>11241</v>
      </c>
      <c r="G1596" s="196" t="s">
        <v>11962</v>
      </c>
      <c r="H1596" s="196" t="s">
        <v>11235</v>
      </c>
    </row>
    <row r="1597" spans="1:8" x14ac:dyDescent="0.15">
      <c r="A1597" s="196" t="s">
        <v>11229</v>
      </c>
      <c r="B1597" s="196" t="s">
        <v>11230</v>
      </c>
      <c r="C1597" s="196" t="s">
        <v>14866</v>
      </c>
      <c r="D1597" s="196" t="s">
        <v>14867</v>
      </c>
      <c r="E1597" s="196" t="s">
        <v>14867</v>
      </c>
      <c r="F1597" s="196" t="s">
        <v>11233</v>
      </c>
      <c r="G1597" s="196" t="s">
        <v>11962</v>
      </c>
      <c r="H1597" s="196" t="s">
        <v>11235</v>
      </c>
    </row>
    <row r="1598" spans="1:8" x14ac:dyDescent="0.15">
      <c r="A1598" s="196" t="s">
        <v>11229</v>
      </c>
      <c r="B1598" s="196" t="s">
        <v>11230</v>
      </c>
      <c r="C1598" s="196" t="s">
        <v>14868</v>
      </c>
      <c r="D1598" s="196" t="s">
        <v>14869</v>
      </c>
      <c r="E1598" s="196" t="s">
        <v>14870</v>
      </c>
      <c r="F1598" s="196" t="s">
        <v>11268</v>
      </c>
      <c r="G1598" s="196" t="s">
        <v>11720</v>
      </c>
      <c r="H1598" s="196" t="s">
        <v>11235</v>
      </c>
    </row>
    <row r="1599" spans="1:8" x14ac:dyDescent="0.15">
      <c r="A1599" s="196" t="s">
        <v>11229</v>
      </c>
      <c r="B1599" s="196" t="s">
        <v>11230</v>
      </c>
      <c r="C1599" s="196" t="s">
        <v>14871</v>
      </c>
      <c r="D1599" s="196" t="s">
        <v>14872</v>
      </c>
      <c r="E1599" s="196" t="s">
        <v>14872</v>
      </c>
      <c r="F1599" s="196" t="s">
        <v>11233</v>
      </c>
      <c r="G1599" s="196" t="s">
        <v>11720</v>
      </c>
      <c r="H1599" s="196" t="s">
        <v>11235</v>
      </c>
    </row>
    <row r="1600" spans="1:8" x14ac:dyDescent="0.15">
      <c r="A1600" s="196" t="s">
        <v>11229</v>
      </c>
      <c r="B1600" s="196" t="s">
        <v>11230</v>
      </c>
      <c r="C1600" s="196" t="s">
        <v>14873</v>
      </c>
      <c r="D1600" s="196" t="s">
        <v>14874</v>
      </c>
      <c r="E1600" s="196" t="s">
        <v>14875</v>
      </c>
      <c r="F1600" s="196" t="s">
        <v>11268</v>
      </c>
      <c r="G1600" s="196" t="s">
        <v>11720</v>
      </c>
      <c r="H1600" s="196" t="s">
        <v>11235</v>
      </c>
    </row>
    <row r="1601" spans="1:8" x14ac:dyDescent="0.15">
      <c r="A1601" s="196" t="s">
        <v>11229</v>
      </c>
      <c r="B1601" s="196" t="s">
        <v>11230</v>
      </c>
      <c r="C1601" s="196" t="s">
        <v>14876</v>
      </c>
      <c r="D1601" s="196" t="s">
        <v>14877</v>
      </c>
      <c r="E1601" s="196" t="s">
        <v>14877</v>
      </c>
      <c r="F1601" s="196" t="s">
        <v>11233</v>
      </c>
      <c r="G1601" s="196" t="s">
        <v>11720</v>
      </c>
      <c r="H1601" s="196" t="s">
        <v>11235</v>
      </c>
    </row>
    <row r="1602" spans="1:8" x14ac:dyDescent="0.15">
      <c r="A1602" s="196" t="s">
        <v>11229</v>
      </c>
      <c r="B1602" s="196" t="s">
        <v>11230</v>
      </c>
      <c r="C1602" s="196" t="s">
        <v>14878</v>
      </c>
      <c r="D1602" s="196" t="s">
        <v>14879</v>
      </c>
      <c r="E1602" s="196" t="s">
        <v>14880</v>
      </c>
      <c r="F1602" s="196" t="s">
        <v>11241</v>
      </c>
      <c r="G1602" s="196" t="s">
        <v>11720</v>
      </c>
      <c r="H1602" s="196" t="s">
        <v>11235</v>
      </c>
    </row>
    <row r="1603" spans="1:8" x14ac:dyDescent="0.15">
      <c r="A1603" s="196" t="s">
        <v>11229</v>
      </c>
      <c r="B1603" s="196" t="s">
        <v>11230</v>
      </c>
      <c r="C1603" s="196" t="s">
        <v>14881</v>
      </c>
      <c r="D1603" s="196" t="s">
        <v>14882</v>
      </c>
      <c r="E1603" s="196" t="s">
        <v>14883</v>
      </c>
      <c r="F1603" s="196" t="s">
        <v>11268</v>
      </c>
      <c r="G1603" s="196" t="s">
        <v>11962</v>
      </c>
      <c r="H1603" s="196" t="s">
        <v>11235</v>
      </c>
    </row>
    <row r="1604" spans="1:8" x14ac:dyDescent="0.15">
      <c r="A1604" s="196" t="s">
        <v>11229</v>
      </c>
      <c r="B1604" s="196" t="s">
        <v>11230</v>
      </c>
      <c r="C1604" s="196" t="s">
        <v>14884</v>
      </c>
      <c r="D1604" s="196" t="s">
        <v>14885</v>
      </c>
      <c r="E1604" s="196" t="s">
        <v>14885</v>
      </c>
      <c r="F1604" s="196" t="s">
        <v>11233</v>
      </c>
      <c r="G1604" s="196" t="s">
        <v>11962</v>
      </c>
      <c r="H1604" s="196" t="s">
        <v>11235</v>
      </c>
    </row>
    <row r="1605" spans="1:8" x14ac:dyDescent="0.15">
      <c r="A1605" s="196" t="s">
        <v>11229</v>
      </c>
      <c r="B1605" s="196" t="s">
        <v>11230</v>
      </c>
      <c r="C1605" s="196" t="s">
        <v>14886</v>
      </c>
      <c r="D1605" s="196" t="s">
        <v>14887</v>
      </c>
      <c r="E1605" s="196" t="s">
        <v>14888</v>
      </c>
      <c r="F1605" s="196" t="s">
        <v>11241</v>
      </c>
      <c r="G1605" s="196" t="s">
        <v>11720</v>
      </c>
      <c r="H1605" s="196" t="s">
        <v>11235</v>
      </c>
    </row>
    <row r="1606" spans="1:8" x14ac:dyDescent="0.15">
      <c r="A1606" s="196" t="s">
        <v>11229</v>
      </c>
      <c r="B1606" s="196" t="s">
        <v>11230</v>
      </c>
      <c r="C1606" s="196" t="s">
        <v>14889</v>
      </c>
      <c r="D1606" s="196" t="s">
        <v>14890</v>
      </c>
      <c r="E1606" s="196" t="s">
        <v>14891</v>
      </c>
      <c r="F1606" s="196" t="s">
        <v>11241</v>
      </c>
      <c r="G1606" s="196" t="s">
        <v>11962</v>
      </c>
      <c r="H1606" s="196" t="s">
        <v>11235</v>
      </c>
    </row>
    <row r="1607" spans="1:8" x14ac:dyDescent="0.15">
      <c r="A1607" s="196" t="s">
        <v>11229</v>
      </c>
      <c r="B1607" s="196" t="s">
        <v>11230</v>
      </c>
      <c r="C1607" s="196" t="s">
        <v>14892</v>
      </c>
      <c r="D1607" s="196" t="s">
        <v>14893</v>
      </c>
      <c r="E1607" s="196" t="s">
        <v>14894</v>
      </c>
      <c r="F1607" s="196" t="s">
        <v>11241</v>
      </c>
      <c r="G1607" s="196" t="s">
        <v>11720</v>
      </c>
      <c r="H1607" s="196" t="s">
        <v>11235</v>
      </c>
    </row>
    <row r="1608" spans="1:8" x14ac:dyDescent="0.15">
      <c r="A1608" s="196" t="s">
        <v>11229</v>
      </c>
      <c r="B1608" s="196" t="s">
        <v>11230</v>
      </c>
      <c r="C1608" s="196" t="s">
        <v>14895</v>
      </c>
      <c r="D1608" s="196" t="s">
        <v>14896</v>
      </c>
      <c r="E1608" s="196" t="s">
        <v>14897</v>
      </c>
      <c r="F1608" s="196" t="s">
        <v>11268</v>
      </c>
      <c r="G1608" s="196" t="s">
        <v>11720</v>
      </c>
      <c r="H1608" s="196" t="s">
        <v>11235</v>
      </c>
    </row>
    <row r="1609" spans="1:8" x14ac:dyDescent="0.15">
      <c r="A1609" s="196" t="s">
        <v>11229</v>
      </c>
      <c r="B1609" s="196" t="s">
        <v>11230</v>
      </c>
      <c r="C1609" s="196" t="s">
        <v>14898</v>
      </c>
      <c r="D1609" s="196" t="s">
        <v>14899</v>
      </c>
      <c r="E1609" s="196" t="s">
        <v>14899</v>
      </c>
      <c r="F1609" s="196" t="s">
        <v>11233</v>
      </c>
      <c r="G1609" s="196" t="s">
        <v>11720</v>
      </c>
      <c r="H1609" s="196" t="s">
        <v>11235</v>
      </c>
    </row>
    <row r="1610" spans="1:8" x14ac:dyDescent="0.15">
      <c r="A1610" s="196" t="s">
        <v>11229</v>
      </c>
      <c r="B1610" s="196" t="s">
        <v>11230</v>
      </c>
      <c r="C1610" s="196" t="s">
        <v>14900</v>
      </c>
      <c r="D1610" s="196" t="s">
        <v>14901</v>
      </c>
      <c r="E1610" s="196" t="s">
        <v>14902</v>
      </c>
      <c r="F1610" s="196" t="s">
        <v>11268</v>
      </c>
      <c r="G1610" s="196" t="s">
        <v>11720</v>
      </c>
      <c r="H1610" s="196" t="s">
        <v>11235</v>
      </c>
    </row>
    <row r="1611" spans="1:8" x14ac:dyDescent="0.15">
      <c r="A1611" s="196" t="s">
        <v>11229</v>
      </c>
      <c r="B1611" s="196" t="s">
        <v>11230</v>
      </c>
      <c r="C1611" s="196" t="s">
        <v>14903</v>
      </c>
      <c r="D1611" s="196" t="s">
        <v>14902</v>
      </c>
      <c r="E1611" s="196" t="s">
        <v>14904</v>
      </c>
      <c r="F1611" s="196" t="s">
        <v>11241</v>
      </c>
      <c r="G1611" s="196" t="s">
        <v>11962</v>
      </c>
      <c r="H1611" s="196" t="s">
        <v>11235</v>
      </c>
    </row>
    <row r="1612" spans="1:8" x14ac:dyDescent="0.15">
      <c r="A1612" s="196" t="s">
        <v>11229</v>
      </c>
      <c r="B1612" s="196" t="s">
        <v>11230</v>
      </c>
      <c r="C1612" s="196" t="s">
        <v>14905</v>
      </c>
      <c r="D1612" s="196" t="s">
        <v>14904</v>
      </c>
      <c r="E1612" s="196" t="s">
        <v>14906</v>
      </c>
      <c r="F1612" s="196" t="s">
        <v>11268</v>
      </c>
      <c r="G1612" s="196" t="s">
        <v>11720</v>
      </c>
      <c r="H1612" s="196" t="s">
        <v>11235</v>
      </c>
    </row>
    <row r="1613" spans="1:8" x14ac:dyDescent="0.15">
      <c r="A1613" s="196" t="s">
        <v>11229</v>
      </c>
      <c r="B1613" s="196" t="s">
        <v>11230</v>
      </c>
      <c r="C1613" s="196" t="s">
        <v>14907</v>
      </c>
      <c r="D1613" s="196" t="s">
        <v>14906</v>
      </c>
      <c r="E1613" s="196" t="s">
        <v>14908</v>
      </c>
      <c r="F1613" s="196" t="s">
        <v>11241</v>
      </c>
      <c r="G1613" s="196" t="s">
        <v>11962</v>
      </c>
      <c r="H1613" s="196" t="s">
        <v>11235</v>
      </c>
    </row>
    <row r="1614" spans="1:8" x14ac:dyDescent="0.15">
      <c r="A1614" s="196" t="s">
        <v>11229</v>
      </c>
      <c r="B1614" s="196" t="s">
        <v>11230</v>
      </c>
      <c r="C1614" s="196" t="s">
        <v>14909</v>
      </c>
      <c r="D1614" s="196" t="s">
        <v>14908</v>
      </c>
      <c r="E1614" s="196" t="s">
        <v>14908</v>
      </c>
      <c r="F1614" s="196" t="s">
        <v>11233</v>
      </c>
      <c r="G1614" s="196" t="s">
        <v>11720</v>
      </c>
      <c r="H1614" s="196" t="s">
        <v>11235</v>
      </c>
    </row>
    <row r="1615" spans="1:8" x14ac:dyDescent="0.15">
      <c r="A1615" s="196" t="s">
        <v>11229</v>
      </c>
      <c r="B1615" s="196" t="s">
        <v>11230</v>
      </c>
      <c r="C1615" s="196" t="s">
        <v>14910</v>
      </c>
      <c r="D1615" s="196" t="s">
        <v>14911</v>
      </c>
      <c r="E1615" s="196" t="s">
        <v>14911</v>
      </c>
      <c r="F1615" s="196" t="s">
        <v>11233</v>
      </c>
      <c r="G1615" s="196" t="s">
        <v>11720</v>
      </c>
      <c r="H1615" s="196" t="s">
        <v>11235</v>
      </c>
    </row>
    <row r="1616" spans="1:8" x14ac:dyDescent="0.15">
      <c r="A1616" s="196" t="s">
        <v>11229</v>
      </c>
      <c r="B1616" s="196" t="s">
        <v>11230</v>
      </c>
      <c r="C1616" s="196" t="s">
        <v>14912</v>
      </c>
      <c r="D1616" s="196" t="s">
        <v>14911</v>
      </c>
      <c r="E1616" s="196" t="s">
        <v>14913</v>
      </c>
      <c r="F1616" s="196" t="s">
        <v>11268</v>
      </c>
      <c r="G1616" s="196" t="s">
        <v>11962</v>
      </c>
      <c r="H1616" s="196" t="s">
        <v>11235</v>
      </c>
    </row>
    <row r="1617" spans="1:8" x14ac:dyDescent="0.15">
      <c r="A1617" s="196" t="s">
        <v>11229</v>
      </c>
      <c r="B1617" s="196" t="s">
        <v>11230</v>
      </c>
      <c r="C1617" s="196" t="s">
        <v>14914</v>
      </c>
      <c r="D1617" s="196" t="s">
        <v>14915</v>
      </c>
      <c r="E1617" s="196" t="s">
        <v>14915</v>
      </c>
      <c r="F1617" s="196" t="s">
        <v>11233</v>
      </c>
      <c r="G1617" s="196" t="s">
        <v>11720</v>
      </c>
      <c r="H1617" s="196" t="s">
        <v>11235</v>
      </c>
    </row>
    <row r="1618" spans="1:8" x14ac:dyDescent="0.15">
      <c r="A1618" s="196" t="s">
        <v>11229</v>
      </c>
      <c r="B1618" s="196" t="s">
        <v>11230</v>
      </c>
      <c r="C1618" s="196" t="s">
        <v>14916</v>
      </c>
      <c r="D1618" s="196" t="s">
        <v>14915</v>
      </c>
      <c r="E1618" s="196" t="s">
        <v>14915</v>
      </c>
      <c r="F1618" s="196" t="s">
        <v>11233</v>
      </c>
      <c r="G1618" s="196" t="s">
        <v>11962</v>
      </c>
      <c r="H1618" s="196" t="s">
        <v>11235</v>
      </c>
    </row>
    <row r="1619" spans="1:8" x14ac:dyDescent="0.15">
      <c r="A1619" s="196" t="s">
        <v>11229</v>
      </c>
      <c r="B1619" s="196" t="s">
        <v>11230</v>
      </c>
      <c r="C1619" s="196" t="s">
        <v>14917</v>
      </c>
      <c r="D1619" s="196" t="s">
        <v>14918</v>
      </c>
      <c r="E1619" s="196" t="s">
        <v>14918</v>
      </c>
      <c r="F1619" s="196" t="s">
        <v>11233</v>
      </c>
      <c r="G1619" s="196" t="s">
        <v>11720</v>
      </c>
      <c r="H1619" s="196" t="s">
        <v>11235</v>
      </c>
    </row>
    <row r="1620" spans="1:8" x14ac:dyDescent="0.15">
      <c r="A1620" s="196" t="s">
        <v>11229</v>
      </c>
      <c r="B1620" s="196" t="s">
        <v>11230</v>
      </c>
      <c r="C1620" s="196" t="s">
        <v>14919</v>
      </c>
      <c r="D1620" s="196" t="s">
        <v>14920</v>
      </c>
      <c r="E1620" s="196" t="s">
        <v>14920</v>
      </c>
      <c r="F1620" s="196" t="s">
        <v>11233</v>
      </c>
      <c r="G1620" s="196" t="s">
        <v>11720</v>
      </c>
      <c r="H1620" s="196" t="s">
        <v>11235</v>
      </c>
    </row>
    <row r="1621" spans="1:8" x14ac:dyDescent="0.15">
      <c r="A1621" s="196" t="s">
        <v>11229</v>
      </c>
      <c r="B1621" s="196" t="s">
        <v>11230</v>
      </c>
      <c r="C1621" s="196" t="s">
        <v>14921</v>
      </c>
      <c r="D1621" s="196" t="s">
        <v>14922</v>
      </c>
      <c r="E1621" s="196" t="s">
        <v>14923</v>
      </c>
      <c r="F1621" s="196" t="s">
        <v>11268</v>
      </c>
      <c r="G1621" s="196" t="s">
        <v>11720</v>
      </c>
      <c r="H1621" s="196" t="s">
        <v>11235</v>
      </c>
    </row>
    <row r="1622" spans="1:8" x14ac:dyDescent="0.15">
      <c r="A1622" s="196" t="s">
        <v>11229</v>
      </c>
      <c r="B1622" s="196" t="s">
        <v>11230</v>
      </c>
      <c r="C1622" s="196" t="s">
        <v>14924</v>
      </c>
      <c r="D1622" s="196" t="s">
        <v>14923</v>
      </c>
      <c r="E1622" s="196" t="s">
        <v>14925</v>
      </c>
      <c r="F1622" s="196" t="s">
        <v>11241</v>
      </c>
      <c r="G1622" s="196" t="s">
        <v>11720</v>
      </c>
      <c r="H1622" s="196" t="s">
        <v>11235</v>
      </c>
    </row>
    <row r="1623" spans="1:8" x14ac:dyDescent="0.15">
      <c r="A1623" s="196" t="s">
        <v>11229</v>
      </c>
      <c r="B1623" s="196" t="s">
        <v>11230</v>
      </c>
      <c r="C1623" s="196" t="s">
        <v>14926</v>
      </c>
      <c r="D1623" s="196" t="s">
        <v>14927</v>
      </c>
      <c r="E1623" s="196" t="s">
        <v>14928</v>
      </c>
      <c r="F1623" s="196" t="s">
        <v>11241</v>
      </c>
      <c r="G1623" s="196" t="s">
        <v>11720</v>
      </c>
      <c r="H1623" s="196" t="s">
        <v>11235</v>
      </c>
    </row>
    <row r="1624" spans="1:8" x14ac:dyDescent="0.15">
      <c r="A1624" s="196" t="s">
        <v>11229</v>
      </c>
      <c r="B1624" s="196" t="s">
        <v>11230</v>
      </c>
      <c r="C1624" s="196" t="s">
        <v>14929</v>
      </c>
      <c r="D1624" s="196" t="s">
        <v>14928</v>
      </c>
      <c r="E1624" s="196" t="s">
        <v>14930</v>
      </c>
      <c r="F1624" s="196" t="s">
        <v>11241</v>
      </c>
      <c r="G1624" s="196" t="s">
        <v>11720</v>
      </c>
      <c r="H1624" s="196" t="s">
        <v>11235</v>
      </c>
    </row>
    <row r="1625" spans="1:8" x14ac:dyDescent="0.15">
      <c r="A1625" s="196" t="s">
        <v>11229</v>
      </c>
      <c r="B1625" s="196" t="s">
        <v>11230</v>
      </c>
      <c r="C1625" s="196" t="s">
        <v>14931</v>
      </c>
      <c r="D1625" s="196" t="s">
        <v>14930</v>
      </c>
      <c r="E1625" s="196" t="s">
        <v>14932</v>
      </c>
      <c r="F1625" s="196" t="s">
        <v>11268</v>
      </c>
      <c r="G1625" s="196" t="s">
        <v>11720</v>
      </c>
      <c r="H1625" s="196" t="s">
        <v>11235</v>
      </c>
    </row>
    <row r="1626" spans="1:8" x14ac:dyDescent="0.15">
      <c r="A1626" s="196" t="s">
        <v>11229</v>
      </c>
      <c r="B1626" s="196" t="s">
        <v>11230</v>
      </c>
      <c r="C1626" s="196" t="s">
        <v>14933</v>
      </c>
      <c r="D1626" s="196" t="s">
        <v>14934</v>
      </c>
      <c r="E1626" s="196" t="s">
        <v>14934</v>
      </c>
      <c r="F1626" s="196" t="s">
        <v>11233</v>
      </c>
      <c r="G1626" s="196" t="s">
        <v>11720</v>
      </c>
      <c r="H1626" s="196" t="s">
        <v>11235</v>
      </c>
    </row>
    <row r="1627" spans="1:8" x14ac:dyDescent="0.15">
      <c r="A1627" s="196" t="s">
        <v>11229</v>
      </c>
      <c r="B1627" s="196" t="s">
        <v>11230</v>
      </c>
      <c r="C1627" s="196" t="s">
        <v>14935</v>
      </c>
      <c r="D1627" s="196" t="s">
        <v>14936</v>
      </c>
      <c r="E1627" s="196" t="s">
        <v>14937</v>
      </c>
      <c r="F1627" s="196" t="s">
        <v>11268</v>
      </c>
      <c r="G1627" s="196" t="s">
        <v>11720</v>
      </c>
      <c r="H1627" s="196" t="s">
        <v>11235</v>
      </c>
    </row>
    <row r="1628" spans="1:8" x14ac:dyDescent="0.15">
      <c r="A1628" s="196" t="s">
        <v>11229</v>
      </c>
      <c r="B1628" s="196" t="s">
        <v>11230</v>
      </c>
      <c r="C1628" s="196" t="s">
        <v>14938</v>
      </c>
      <c r="D1628" s="196" t="s">
        <v>14939</v>
      </c>
      <c r="E1628" s="196" t="s">
        <v>14940</v>
      </c>
      <c r="F1628" s="196" t="s">
        <v>11241</v>
      </c>
      <c r="G1628" s="196" t="s">
        <v>11962</v>
      </c>
      <c r="H1628" s="196" t="s">
        <v>11235</v>
      </c>
    </row>
    <row r="1629" spans="1:8" x14ac:dyDescent="0.15">
      <c r="A1629" s="196" t="s">
        <v>11229</v>
      </c>
      <c r="B1629" s="196" t="s">
        <v>11230</v>
      </c>
      <c r="C1629" s="196" t="s">
        <v>14941</v>
      </c>
      <c r="D1629" s="196" t="s">
        <v>14940</v>
      </c>
      <c r="E1629" s="196" t="s">
        <v>14942</v>
      </c>
      <c r="F1629" s="196" t="s">
        <v>11268</v>
      </c>
      <c r="G1629" s="196" t="s">
        <v>11962</v>
      </c>
      <c r="H1629" s="196" t="s">
        <v>11235</v>
      </c>
    </row>
    <row r="1630" spans="1:8" x14ac:dyDescent="0.15">
      <c r="A1630" s="196" t="s">
        <v>11229</v>
      </c>
      <c r="B1630" s="196" t="s">
        <v>11230</v>
      </c>
      <c r="C1630" s="196" t="s">
        <v>14943</v>
      </c>
      <c r="D1630" s="196" t="s">
        <v>14944</v>
      </c>
      <c r="E1630" s="196" t="s">
        <v>14945</v>
      </c>
      <c r="F1630" s="196" t="s">
        <v>11241</v>
      </c>
      <c r="G1630" s="196" t="s">
        <v>11962</v>
      </c>
      <c r="H1630" s="196" t="s">
        <v>11235</v>
      </c>
    </row>
    <row r="1631" spans="1:8" x14ac:dyDescent="0.15">
      <c r="A1631" s="196" t="s">
        <v>11229</v>
      </c>
      <c r="B1631" s="196" t="s">
        <v>11230</v>
      </c>
      <c r="C1631" s="196" t="s">
        <v>14946</v>
      </c>
      <c r="D1631" s="196" t="s">
        <v>14947</v>
      </c>
      <c r="E1631" s="196" t="s">
        <v>14947</v>
      </c>
      <c r="F1631" s="196" t="s">
        <v>11233</v>
      </c>
      <c r="G1631" s="196" t="s">
        <v>11720</v>
      </c>
      <c r="H1631" s="196" t="s">
        <v>11235</v>
      </c>
    </row>
    <row r="1632" spans="1:8" x14ac:dyDescent="0.15">
      <c r="A1632" s="196" t="s">
        <v>11229</v>
      </c>
      <c r="B1632" s="196" t="s">
        <v>11230</v>
      </c>
      <c r="C1632" s="196" t="s">
        <v>14948</v>
      </c>
      <c r="D1632" s="196" t="s">
        <v>14949</v>
      </c>
      <c r="E1632" s="196" t="s">
        <v>14949</v>
      </c>
      <c r="F1632" s="196" t="s">
        <v>11233</v>
      </c>
      <c r="G1632" s="196" t="s">
        <v>11962</v>
      </c>
      <c r="H1632" s="196" t="s">
        <v>11235</v>
      </c>
    </row>
    <row r="1633" spans="1:8" x14ac:dyDescent="0.15">
      <c r="A1633" s="196" t="s">
        <v>11229</v>
      </c>
      <c r="B1633" s="196" t="s">
        <v>11230</v>
      </c>
      <c r="C1633" s="196" t="s">
        <v>14950</v>
      </c>
      <c r="D1633" s="196" t="s">
        <v>14951</v>
      </c>
      <c r="E1633" s="196" t="s">
        <v>14952</v>
      </c>
      <c r="F1633" s="196" t="s">
        <v>11268</v>
      </c>
      <c r="G1633" s="196" t="s">
        <v>11962</v>
      </c>
      <c r="H1633" s="196" t="s">
        <v>11235</v>
      </c>
    </row>
    <row r="1634" spans="1:8" x14ac:dyDescent="0.15">
      <c r="A1634" s="196" t="s">
        <v>11229</v>
      </c>
      <c r="B1634" s="196" t="s">
        <v>11230</v>
      </c>
      <c r="C1634" s="196" t="s">
        <v>14953</v>
      </c>
      <c r="D1634" s="196" t="s">
        <v>14954</v>
      </c>
      <c r="E1634" s="196" t="s">
        <v>14955</v>
      </c>
      <c r="F1634" s="196" t="s">
        <v>11268</v>
      </c>
      <c r="G1634" s="196" t="s">
        <v>11720</v>
      </c>
      <c r="H1634" s="196" t="s">
        <v>11235</v>
      </c>
    </row>
    <row r="1635" spans="1:8" x14ac:dyDescent="0.15">
      <c r="A1635" s="196" t="s">
        <v>11229</v>
      </c>
      <c r="B1635" s="196" t="s">
        <v>11230</v>
      </c>
      <c r="C1635" s="196" t="s">
        <v>14956</v>
      </c>
      <c r="D1635" s="196" t="s">
        <v>14955</v>
      </c>
      <c r="E1635" s="196" t="s">
        <v>14957</v>
      </c>
      <c r="F1635" s="196" t="s">
        <v>11241</v>
      </c>
      <c r="G1635" s="196" t="s">
        <v>11720</v>
      </c>
      <c r="H1635" s="196" t="s">
        <v>11235</v>
      </c>
    </row>
    <row r="1636" spans="1:8" x14ac:dyDescent="0.15">
      <c r="A1636" s="196" t="s">
        <v>11229</v>
      </c>
      <c r="B1636" s="196" t="s">
        <v>11230</v>
      </c>
      <c r="C1636" s="196" t="s">
        <v>14958</v>
      </c>
      <c r="D1636" s="196" t="s">
        <v>14959</v>
      </c>
      <c r="E1636" s="196" t="s">
        <v>14960</v>
      </c>
      <c r="F1636" s="196" t="s">
        <v>11268</v>
      </c>
      <c r="G1636" s="196" t="s">
        <v>11962</v>
      </c>
      <c r="H1636" s="196" t="s">
        <v>11235</v>
      </c>
    </row>
    <row r="1637" spans="1:8" x14ac:dyDescent="0.15">
      <c r="A1637" s="196" t="s">
        <v>11229</v>
      </c>
      <c r="B1637" s="196" t="s">
        <v>11230</v>
      </c>
      <c r="C1637" s="196" t="s">
        <v>14961</v>
      </c>
      <c r="D1637" s="196" t="s">
        <v>14962</v>
      </c>
      <c r="E1637" s="196" t="s">
        <v>14963</v>
      </c>
      <c r="F1637" s="196" t="s">
        <v>14964</v>
      </c>
      <c r="G1637" s="196" t="s">
        <v>11720</v>
      </c>
      <c r="H1637" s="196" t="s">
        <v>11235</v>
      </c>
    </row>
    <row r="1638" spans="1:8" x14ac:dyDescent="0.15">
      <c r="A1638" s="196" t="s">
        <v>11229</v>
      </c>
      <c r="B1638" s="196" t="s">
        <v>11230</v>
      </c>
      <c r="C1638" s="196" t="s">
        <v>14965</v>
      </c>
      <c r="D1638" s="196" t="s">
        <v>14966</v>
      </c>
      <c r="E1638" s="196" t="s">
        <v>14967</v>
      </c>
      <c r="F1638" s="196" t="s">
        <v>11268</v>
      </c>
      <c r="G1638" s="196" t="s">
        <v>11962</v>
      </c>
      <c r="H1638" s="196" t="s">
        <v>11235</v>
      </c>
    </row>
    <row r="1639" spans="1:8" x14ac:dyDescent="0.15">
      <c r="A1639" s="196" t="s">
        <v>11229</v>
      </c>
      <c r="B1639" s="196" t="s">
        <v>11230</v>
      </c>
      <c r="C1639" s="196" t="s">
        <v>14968</v>
      </c>
      <c r="D1639" s="196" t="s">
        <v>14969</v>
      </c>
      <c r="E1639" s="196" t="s">
        <v>14970</v>
      </c>
      <c r="F1639" s="196" t="s">
        <v>11241</v>
      </c>
      <c r="G1639" s="196" t="s">
        <v>11720</v>
      </c>
      <c r="H1639" s="196" t="s">
        <v>11235</v>
      </c>
    </row>
    <row r="1640" spans="1:8" x14ac:dyDescent="0.15">
      <c r="A1640" s="196" t="s">
        <v>11229</v>
      </c>
      <c r="B1640" s="196" t="s">
        <v>11230</v>
      </c>
      <c r="C1640" s="196" t="s">
        <v>14971</v>
      </c>
      <c r="D1640" s="196" t="s">
        <v>14972</v>
      </c>
      <c r="E1640" s="196" t="s">
        <v>14973</v>
      </c>
      <c r="F1640" s="196" t="s">
        <v>11268</v>
      </c>
      <c r="G1640" s="196" t="s">
        <v>11962</v>
      </c>
      <c r="H1640" s="196" t="s">
        <v>11235</v>
      </c>
    </row>
    <row r="1641" spans="1:8" x14ac:dyDescent="0.15">
      <c r="A1641" s="196" t="s">
        <v>11229</v>
      </c>
      <c r="B1641" s="196" t="s">
        <v>11230</v>
      </c>
      <c r="C1641" s="196" t="s">
        <v>14974</v>
      </c>
      <c r="D1641" s="196" t="s">
        <v>14975</v>
      </c>
      <c r="E1641" s="196" t="s">
        <v>14976</v>
      </c>
      <c r="F1641" s="196" t="s">
        <v>11241</v>
      </c>
      <c r="G1641" s="196" t="s">
        <v>11720</v>
      </c>
      <c r="H1641" s="196" t="s">
        <v>11235</v>
      </c>
    </row>
    <row r="1642" spans="1:8" x14ac:dyDescent="0.15">
      <c r="A1642" s="196" t="s">
        <v>11229</v>
      </c>
      <c r="B1642" s="196" t="s">
        <v>11230</v>
      </c>
      <c r="C1642" s="196" t="s">
        <v>14977</v>
      </c>
      <c r="D1642" s="196" t="s">
        <v>14978</v>
      </c>
      <c r="E1642" s="196" t="s">
        <v>14979</v>
      </c>
      <c r="F1642" s="196" t="s">
        <v>11241</v>
      </c>
      <c r="G1642" s="196" t="s">
        <v>11720</v>
      </c>
      <c r="H1642" s="196" t="s">
        <v>11235</v>
      </c>
    </row>
    <row r="1643" spans="1:8" x14ac:dyDescent="0.15">
      <c r="A1643" s="196" t="s">
        <v>11229</v>
      </c>
      <c r="B1643" s="196" t="s">
        <v>11230</v>
      </c>
      <c r="C1643" s="196" t="s">
        <v>14980</v>
      </c>
      <c r="D1643" s="196" t="s">
        <v>14981</v>
      </c>
      <c r="E1643" s="196" t="s">
        <v>14982</v>
      </c>
      <c r="F1643" s="196" t="s">
        <v>11268</v>
      </c>
      <c r="G1643" s="196" t="s">
        <v>11962</v>
      </c>
      <c r="H1643" s="196" t="s">
        <v>11235</v>
      </c>
    </row>
    <row r="1644" spans="1:8" x14ac:dyDescent="0.15">
      <c r="A1644" s="196" t="s">
        <v>11229</v>
      </c>
      <c r="B1644" s="196" t="s">
        <v>11230</v>
      </c>
      <c r="C1644" s="196" t="s">
        <v>14983</v>
      </c>
      <c r="D1644" s="196" t="s">
        <v>14984</v>
      </c>
      <c r="E1644" s="196" t="s">
        <v>14984</v>
      </c>
      <c r="F1644" s="196" t="s">
        <v>11233</v>
      </c>
      <c r="G1644" s="196" t="s">
        <v>11962</v>
      </c>
      <c r="H1644" s="196" t="s">
        <v>11235</v>
      </c>
    </row>
    <row r="1645" spans="1:8" x14ac:dyDescent="0.15">
      <c r="A1645" s="196" t="s">
        <v>11229</v>
      </c>
      <c r="B1645" s="196" t="s">
        <v>11230</v>
      </c>
      <c r="C1645" s="196" t="s">
        <v>14985</v>
      </c>
      <c r="D1645" s="196" t="s">
        <v>14984</v>
      </c>
      <c r="E1645" s="196" t="s">
        <v>14984</v>
      </c>
      <c r="F1645" s="196" t="s">
        <v>11233</v>
      </c>
      <c r="G1645" s="196" t="s">
        <v>11720</v>
      </c>
      <c r="H1645" s="196" t="s">
        <v>11235</v>
      </c>
    </row>
    <row r="1646" spans="1:8" x14ac:dyDescent="0.15">
      <c r="A1646" s="196" t="s">
        <v>11229</v>
      </c>
      <c r="B1646" s="196" t="s">
        <v>11230</v>
      </c>
      <c r="C1646" s="196" t="s">
        <v>14986</v>
      </c>
      <c r="D1646" s="196" t="s">
        <v>14987</v>
      </c>
      <c r="E1646" s="196" t="s">
        <v>14988</v>
      </c>
      <c r="F1646" s="196" t="s">
        <v>11268</v>
      </c>
      <c r="G1646" s="196" t="s">
        <v>11720</v>
      </c>
      <c r="H1646" s="196" t="s">
        <v>11235</v>
      </c>
    </row>
    <row r="1647" spans="1:8" x14ac:dyDescent="0.15">
      <c r="A1647" s="196" t="s">
        <v>11229</v>
      </c>
      <c r="B1647" s="196" t="s">
        <v>11230</v>
      </c>
      <c r="C1647" s="196" t="s">
        <v>14989</v>
      </c>
      <c r="D1647" s="196" t="s">
        <v>14990</v>
      </c>
      <c r="E1647" s="196" t="s">
        <v>14990</v>
      </c>
      <c r="F1647" s="196" t="s">
        <v>11233</v>
      </c>
      <c r="G1647" s="196" t="s">
        <v>11962</v>
      </c>
      <c r="H1647" s="196" t="s">
        <v>11235</v>
      </c>
    </row>
    <row r="1648" spans="1:8" x14ac:dyDescent="0.15">
      <c r="A1648" s="196" t="s">
        <v>11229</v>
      </c>
      <c r="B1648" s="196" t="s">
        <v>11230</v>
      </c>
      <c r="C1648" s="196" t="s">
        <v>14991</v>
      </c>
      <c r="D1648" s="196" t="s">
        <v>14992</v>
      </c>
      <c r="E1648" s="196" t="s">
        <v>14992</v>
      </c>
      <c r="F1648" s="196" t="s">
        <v>11233</v>
      </c>
      <c r="G1648" s="196" t="s">
        <v>11720</v>
      </c>
      <c r="H1648" s="196" t="s">
        <v>11235</v>
      </c>
    </row>
    <row r="1649" spans="1:8" x14ac:dyDescent="0.15">
      <c r="A1649" s="196" t="s">
        <v>11229</v>
      </c>
      <c r="B1649" s="196" t="s">
        <v>11230</v>
      </c>
      <c r="C1649" s="196" t="s">
        <v>14993</v>
      </c>
      <c r="D1649" s="196" t="s">
        <v>14994</v>
      </c>
      <c r="E1649" s="196" t="s">
        <v>14995</v>
      </c>
      <c r="F1649" s="196" t="s">
        <v>11241</v>
      </c>
      <c r="G1649" s="196" t="s">
        <v>11962</v>
      </c>
      <c r="H1649" s="196" t="s">
        <v>11235</v>
      </c>
    </row>
    <row r="1650" spans="1:8" x14ac:dyDescent="0.15">
      <c r="A1650" s="196" t="s">
        <v>11229</v>
      </c>
      <c r="B1650" s="196" t="s">
        <v>11230</v>
      </c>
      <c r="C1650" s="196" t="s">
        <v>14996</v>
      </c>
      <c r="D1650" s="196" t="s">
        <v>14997</v>
      </c>
      <c r="E1650" s="196" t="s">
        <v>14997</v>
      </c>
      <c r="F1650" s="196" t="s">
        <v>11233</v>
      </c>
      <c r="G1650" s="196" t="s">
        <v>11720</v>
      </c>
      <c r="H1650" s="196" t="s">
        <v>11235</v>
      </c>
    </row>
    <row r="1651" spans="1:8" x14ac:dyDescent="0.15">
      <c r="A1651" s="196" t="s">
        <v>11229</v>
      </c>
      <c r="B1651" s="196" t="s">
        <v>11230</v>
      </c>
      <c r="C1651" s="196" t="s">
        <v>14998</v>
      </c>
      <c r="D1651" s="196" t="s">
        <v>14999</v>
      </c>
      <c r="E1651" s="196" t="s">
        <v>14999</v>
      </c>
      <c r="F1651" s="196" t="s">
        <v>11233</v>
      </c>
      <c r="G1651" s="196" t="s">
        <v>11720</v>
      </c>
      <c r="H1651" s="196" t="s">
        <v>11235</v>
      </c>
    </row>
    <row r="1652" spans="1:8" x14ac:dyDescent="0.15">
      <c r="A1652" s="196" t="s">
        <v>11229</v>
      </c>
      <c r="B1652" s="196" t="s">
        <v>11230</v>
      </c>
      <c r="C1652" s="196" t="s">
        <v>15000</v>
      </c>
      <c r="D1652" s="196" t="s">
        <v>15001</v>
      </c>
      <c r="E1652" s="196" t="s">
        <v>15001</v>
      </c>
      <c r="F1652" s="196" t="s">
        <v>11233</v>
      </c>
      <c r="G1652" s="196" t="s">
        <v>11720</v>
      </c>
      <c r="H1652" s="196" t="s">
        <v>11235</v>
      </c>
    </row>
    <row r="1653" spans="1:8" x14ac:dyDescent="0.15">
      <c r="A1653" s="196" t="s">
        <v>11229</v>
      </c>
      <c r="B1653" s="196" t="s">
        <v>11230</v>
      </c>
      <c r="C1653" s="196" t="s">
        <v>15002</v>
      </c>
      <c r="D1653" s="196" t="s">
        <v>15003</v>
      </c>
      <c r="E1653" s="196" t="s">
        <v>15003</v>
      </c>
      <c r="F1653" s="196" t="s">
        <v>11233</v>
      </c>
      <c r="G1653" s="196" t="s">
        <v>11720</v>
      </c>
      <c r="H1653" s="196" t="s">
        <v>11235</v>
      </c>
    </row>
    <row r="1654" spans="1:8" x14ac:dyDescent="0.15">
      <c r="A1654" s="196" t="s">
        <v>11229</v>
      </c>
      <c r="B1654" s="196" t="s">
        <v>11230</v>
      </c>
      <c r="C1654" s="196" t="s">
        <v>15004</v>
      </c>
      <c r="D1654" s="196" t="s">
        <v>15005</v>
      </c>
      <c r="E1654" s="196" t="s">
        <v>15005</v>
      </c>
      <c r="F1654" s="196" t="s">
        <v>11233</v>
      </c>
      <c r="G1654" s="196" t="s">
        <v>11962</v>
      </c>
      <c r="H1654" s="196" t="s">
        <v>11235</v>
      </c>
    </row>
    <row r="1655" spans="1:8" x14ac:dyDescent="0.15">
      <c r="A1655" s="196" t="s">
        <v>11229</v>
      </c>
      <c r="B1655" s="196" t="s">
        <v>11230</v>
      </c>
      <c r="C1655" s="196" t="s">
        <v>15006</v>
      </c>
      <c r="D1655" s="196" t="s">
        <v>15007</v>
      </c>
      <c r="E1655" s="196" t="s">
        <v>15008</v>
      </c>
      <c r="F1655" s="196" t="s">
        <v>15009</v>
      </c>
      <c r="G1655" s="196" t="s">
        <v>11720</v>
      </c>
      <c r="H1655" s="196" t="s">
        <v>11235</v>
      </c>
    </row>
    <row r="1656" spans="1:8" x14ac:dyDescent="0.15">
      <c r="A1656" s="196" t="s">
        <v>11229</v>
      </c>
      <c r="B1656" s="196" t="s">
        <v>11230</v>
      </c>
      <c r="C1656" s="196" t="s">
        <v>15010</v>
      </c>
      <c r="D1656" s="196" t="s">
        <v>15011</v>
      </c>
      <c r="E1656" s="196" t="s">
        <v>15012</v>
      </c>
      <c r="F1656" s="196" t="s">
        <v>15013</v>
      </c>
      <c r="G1656" s="196" t="s">
        <v>11962</v>
      </c>
      <c r="H1656" s="196" t="s">
        <v>11235</v>
      </c>
    </row>
    <row r="1657" spans="1:8" x14ac:dyDescent="0.15">
      <c r="A1657" s="196" t="s">
        <v>11229</v>
      </c>
      <c r="B1657" s="196" t="s">
        <v>11230</v>
      </c>
      <c r="C1657" s="196" t="s">
        <v>15014</v>
      </c>
      <c r="D1657" s="196" t="s">
        <v>15015</v>
      </c>
      <c r="E1657" s="196" t="s">
        <v>15016</v>
      </c>
      <c r="F1657" s="196" t="s">
        <v>15017</v>
      </c>
      <c r="G1657" s="196" t="s">
        <v>11720</v>
      </c>
      <c r="H1657" s="196" t="s">
        <v>11235</v>
      </c>
    </row>
    <row r="1658" spans="1:8" x14ac:dyDescent="0.15">
      <c r="A1658" s="196" t="s">
        <v>11229</v>
      </c>
      <c r="B1658" s="196" t="s">
        <v>11230</v>
      </c>
      <c r="C1658" s="196" t="s">
        <v>15018</v>
      </c>
      <c r="D1658" s="196" t="s">
        <v>15019</v>
      </c>
      <c r="E1658" s="196" t="s">
        <v>15020</v>
      </c>
      <c r="F1658" s="196" t="s">
        <v>15021</v>
      </c>
      <c r="G1658" s="196" t="s">
        <v>11962</v>
      </c>
      <c r="H1658" s="196" t="s">
        <v>11235</v>
      </c>
    </row>
    <row r="1659" spans="1:8" x14ac:dyDescent="0.15">
      <c r="A1659" s="196" t="s">
        <v>11229</v>
      </c>
      <c r="B1659" s="196" t="s">
        <v>11230</v>
      </c>
      <c r="C1659" s="196" t="s">
        <v>15022</v>
      </c>
      <c r="D1659" s="196" t="s">
        <v>15023</v>
      </c>
      <c r="E1659" s="196" t="s">
        <v>15024</v>
      </c>
      <c r="F1659" s="196" t="s">
        <v>15025</v>
      </c>
      <c r="G1659" s="196" t="s">
        <v>11720</v>
      </c>
      <c r="H1659" s="196" t="s">
        <v>11235</v>
      </c>
    </row>
    <row r="1660" spans="1:8" x14ac:dyDescent="0.15">
      <c r="A1660" s="196" t="s">
        <v>11229</v>
      </c>
      <c r="B1660" s="196" t="s">
        <v>11230</v>
      </c>
      <c r="C1660" s="196" t="s">
        <v>15026</v>
      </c>
      <c r="D1660" s="196" t="s">
        <v>15027</v>
      </c>
      <c r="E1660" s="196" t="s">
        <v>15028</v>
      </c>
      <c r="F1660" s="196" t="s">
        <v>12526</v>
      </c>
      <c r="G1660" s="196" t="s">
        <v>11720</v>
      </c>
      <c r="H1660" s="196" t="s">
        <v>11235</v>
      </c>
    </row>
    <row r="1661" spans="1:8" x14ac:dyDescent="0.15">
      <c r="A1661" s="196" t="s">
        <v>11229</v>
      </c>
      <c r="B1661" s="196" t="s">
        <v>11230</v>
      </c>
      <c r="C1661" s="196" t="s">
        <v>15029</v>
      </c>
      <c r="D1661" s="196" t="s">
        <v>15030</v>
      </c>
      <c r="E1661" s="196" t="s">
        <v>15031</v>
      </c>
      <c r="F1661" s="196" t="s">
        <v>14263</v>
      </c>
      <c r="G1661" s="196" t="s">
        <v>11962</v>
      </c>
      <c r="H1661" s="196" t="s">
        <v>11235</v>
      </c>
    </row>
    <row r="1662" spans="1:8" x14ac:dyDescent="0.15">
      <c r="A1662" s="196" t="s">
        <v>11229</v>
      </c>
      <c r="B1662" s="196" t="s">
        <v>11230</v>
      </c>
      <c r="C1662" s="196" t="s">
        <v>15032</v>
      </c>
      <c r="D1662" s="196" t="s">
        <v>15028</v>
      </c>
      <c r="E1662" s="196" t="s">
        <v>15033</v>
      </c>
      <c r="F1662" s="196" t="s">
        <v>13250</v>
      </c>
      <c r="G1662" s="196" t="s">
        <v>11962</v>
      </c>
      <c r="H1662" s="196" t="s">
        <v>11235</v>
      </c>
    </row>
    <row r="1663" spans="1:8" x14ac:dyDescent="0.15">
      <c r="A1663" s="196" t="s">
        <v>11229</v>
      </c>
      <c r="B1663" s="196" t="s">
        <v>11230</v>
      </c>
      <c r="C1663" s="196" t="s">
        <v>15034</v>
      </c>
      <c r="D1663" s="196" t="s">
        <v>15035</v>
      </c>
      <c r="E1663" s="196" t="s">
        <v>15036</v>
      </c>
      <c r="F1663" s="196" t="s">
        <v>13901</v>
      </c>
      <c r="G1663" s="196" t="s">
        <v>11962</v>
      </c>
      <c r="H1663" s="196" t="s">
        <v>11235</v>
      </c>
    </row>
    <row r="1664" spans="1:8" x14ac:dyDescent="0.15">
      <c r="A1664" s="196" t="s">
        <v>11229</v>
      </c>
      <c r="B1664" s="196" t="s">
        <v>11230</v>
      </c>
      <c r="C1664" s="196" t="s">
        <v>15037</v>
      </c>
      <c r="D1664" s="196" t="s">
        <v>15038</v>
      </c>
      <c r="E1664" s="196" t="s">
        <v>15039</v>
      </c>
      <c r="F1664" s="196" t="s">
        <v>12537</v>
      </c>
      <c r="G1664" s="196" t="s">
        <v>11962</v>
      </c>
      <c r="H1664" s="196" t="s">
        <v>11235</v>
      </c>
    </row>
    <row r="1665" spans="1:8" x14ac:dyDescent="0.15">
      <c r="A1665" s="196" t="s">
        <v>11229</v>
      </c>
      <c r="B1665" s="196" t="s">
        <v>11230</v>
      </c>
      <c r="C1665" s="196" t="s">
        <v>15040</v>
      </c>
      <c r="D1665" s="196" t="s">
        <v>15039</v>
      </c>
      <c r="E1665" s="196" t="s">
        <v>15039</v>
      </c>
      <c r="F1665" s="196" t="s">
        <v>11233</v>
      </c>
      <c r="G1665" s="196" t="s">
        <v>11720</v>
      </c>
      <c r="H1665" s="196" t="s">
        <v>11235</v>
      </c>
    </row>
    <row r="1666" spans="1:8" x14ac:dyDescent="0.15">
      <c r="A1666" s="196" t="s">
        <v>11229</v>
      </c>
      <c r="B1666" s="196" t="s">
        <v>11230</v>
      </c>
      <c r="C1666" s="196" t="s">
        <v>15041</v>
      </c>
      <c r="D1666" s="196" t="s">
        <v>15042</v>
      </c>
      <c r="E1666" s="196" t="s">
        <v>15043</v>
      </c>
      <c r="F1666" s="196" t="s">
        <v>14964</v>
      </c>
      <c r="G1666" s="196" t="s">
        <v>11962</v>
      </c>
      <c r="H1666" s="196" t="s">
        <v>11235</v>
      </c>
    </row>
    <row r="1667" spans="1:8" x14ac:dyDescent="0.15">
      <c r="A1667" s="196" t="s">
        <v>11229</v>
      </c>
      <c r="B1667" s="196" t="s">
        <v>11230</v>
      </c>
      <c r="C1667" s="196" t="s">
        <v>15044</v>
      </c>
      <c r="D1667" s="196" t="s">
        <v>15045</v>
      </c>
      <c r="E1667" s="196" t="s">
        <v>15046</v>
      </c>
      <c r="F1667" s="196" t="s">
        <v>12537</v>
      </c>
      <c r="G1667" s="196" t="s">
        <v>11962</v>
      </c>
      <c r="H1667" s="196" t="s">
        <v>11235</v>
      </c>
    </row>
    <row r="1668" spans="1:8" x14ac:dyDescent="0.15">
      <c r="A1668" s="196" t="s">
        <v>11229</v>
      </c>
      <c r="B1668" s="196" t="s">
        <v>11230</v>
      </c>
      <c r="C1668" s="196" t="s">
        <v>15047</v>
      </c>
      <c r="D1668" s="196" t="s">
        <v>15048</v>
      </c>
      <c r="E1668" s="196" t="s">
        <v>15049</v>
      </c>
      <c r="F1668" s="196" t="s">
        <v>13023</v>
      </c>
      <c r="G1668" s="196" t="s">
        <v>11962</v>
      </c>
      <c r="H1668" s="196" t="s">
        <v>11235</v>
      </c>
    </row>
    <row r="1669" spans="1:8" x14ac:dyDescent="0.15">
      <c r="A1669" s="196" t="s">
        <v>11229</v>
      </c>
      <c r="B1669" s="196" t="s">
        <v>11230</v>
      </c>
      <c r="C1669" s="196" t="s">
        <v>15050</v>
      </c>
      <c r="D1669" s="196" t="s">
        <v>15051</v>
      </c>
      <c r="E1669" s="196" t="s">
        <v>15052</v>
      </c>
      <c r="F1669" s="196" t="s">
        <v>11241</v>
      </c>
      <c r="G1669" s="196" t="s">
        <v>11720</v>
      </c>
      <c r="H1669" s="196" t="s">
        <v>11235</v>
      </c>
    </row>
    <row r="1670" spans="1:8" x14ac:dyDescent="0.15">
      <c r="A1670" s="196" t="s">
        <v>11229</v>
      </c>
      <c r="B1670" s="196" t="s">
        <v>11230</v>
      </c>
      <c r="C1670" s="196" t="s">
        <v>15053</v>
      </c>
      <c r="D1670" s="196" t="s">
        <v>15054</v>
      </c>
      <c r="E1670" s="196" t="s">
        <v>15055</v>
      </c>
      <c r="F1670" s="196" t="s">
        <v>13023</v>
      </c>
      <c r="G1670" s="196" t="s">
        <v>11720</v>
      </c>
      <c r="H1670" s="196" t="s">
        <v>11235</v>
      </c>
    </row>
    <row r="1671" spans="1:8" x14ac:dyDescent="0.15">
      <c r="A1671" s="196" t="s">
        <v>11229</v>
      </c>
      <c r="B1671" s="196" t="s">
        <v>11230</v>
      </c>
      <c r="C1671" s="196" t="s">
        <v>15056</v>
      </c>
      <c r="D1671" s="196" t="s">
        <v>15057</v>
      </c>
      <c r="E1671" s="196" t="s">
        <v>15058</v>
      </c>
      <c r="F1671" s="196" t="s">
        <v>11241</v>
      </c>
      <c r="G1671" s="196" t="s">
        <v>11720</v>
      </c>
      <c r="H1671" s="196" t="s">
        <v>11235</v>
      </c>
    </row>
    <row r="1672" spans="1:8" x14ac:dyDescent="0.15">
      <c r="A1672" s="196" t="s">
        <v>11229</v>
      </c>
      <c r="B1672" s="196" t="s">
        <v>11230</v>
      </c>
      <c r="C1672" s="196" t="s">
        <v>15059</v>
      </c>
      <c r="D1672" s="196" t="s">
        <v>15060</v>
      </c>
      <c r="E1672" s="196" t="s">
        <v>15061</v>
      </c>
      <c r="F1672" s="196" t="s">
        <v>11241</v>
      </c>
      <c r="G1672" s="196" t="s">
        <v>11720</v>
      </c>
      <c r="H1672" s="196" t="s">
        <v>11235</v>
      </c>
    </row>
    <row r="1673" spans="1:8" x14ac:dyDescent="0.15">
      <c r="A1673" s="196" t="s">
        <v>11229</v>
      </c>
      <c r="B1673" s="196" t="s">
        <v>11230</v>
      </c>
      <c r="C1673" s="196" t="s">
        <v>15062</v>
      </c>
      <c r="D1673" s="196" t="s">
        <v>15063</v>
      </c>
      <c r="E1673" s="196" t="s">
        <v>15063</v>
      </c>
      <c r="F1673" s="196" t="s">
        <v>11233</v>
      </c>
      <c r="G1673" s="196" t="s">
        <v>11720</v>
      </c>
      <c r="H1673" s="196" t="s">
        <v>11235</v>
      </c>
    </row>
    <row r="1674" spans="1:8" x14ac:dyDescent="0.15">
      <c r="A1674" s="196" t="s">
        <v>11229</v>
      </c>
      <c r="B1674" s="196" t="s">
        <v>11230</v>
      </c>
      <c r="C1674" s="196" t="s">
        <v>15064</v>
      </c>
      <c r="D1674" s="196" t="s">
        <v>15065</v>
      </c>
      <c r="E1674" s="196" t="s">
        <v>15066</v>
      </c>
      <c r="F1674" s="196" t="s">
        <v>11268</v>
      </c>
      <c r="G1674" s="196" t="s">
        <v>11962</v>
      </c>
      <c r="H1674" s="196" t="s">
        <v>11235</v>
      </c>
    </row>
    <row r="1675" spans="1:8" x14ac:dyDescent="0.15">
      <c r="A1675" s="196" t="s">
        <v>11229</v>
      </c>
      <c r="B1675" s="196" t="s">
        <v>11230</v>
      </c>
      <c r="C1675" s="196" t="s">
        <v>15067</v>
      </c>
      <c r="D1675" s="196" t="s">
        <v>15068</v>
      </c>
      <c r="E1675" s="196" t="s">
        <v>15069</v>
      </c>
      <c r="F1675" s="196" t="s">
        <v>11241</v>
      </c>
      <c r="G1675" s="196" t="s">
        <v>11962</v>
      </c>
      <c r="H1675" s="196" t="s">
        <v>11235</v>
      </c>
    </row>
    <row r="1676" spans="1:8" x14ac:dyDescent="0.15">
      <c r="A1676" s="196" t="s">
        <v>11229</v>
      </c>
      <c r="B1676" s="196" t="s">
        <v>11230</v>
      </c>
      <c r="C1676" s="196" t="s">
        <v>15070</v>
      </c>
      <c r="D1676" s="196" t="s">
        <v>15071</v>
      </c>
      <c r="E1676" s="196" t="s">
        <v>15071</v>
      </c>
      <c r="F1676" s="196" t="s">
        <v>11233</v>
      </c>
      <c r="G1676" s="196" t="s">
        <v>11720</v>
      </c>
      <c r="H1676" s="196" t="s">
        <v>11235</v>
      </c>
    </row>
    <row r="1677" spans="1:8" x14ac:dyDescent="0.15">
      <c r="A1677" s="196" t="s">
        <v>11229</v>
      </c>
      <c r="B1677" s="196" t="s">
        <v>11230</v>
      </c>
      <c r="C1677" s="196" t="s">
        <v>15072</v>
      </c>
      <c r="D1677" s="196" t="s">
        <v>15073</v>
      </c>
      <c r="E1677" s="196" t="s">
        <v>15073</v>
      </c>
      <c r="F1677" s="196" t="s">
        <v>11233</v>
      </c>
      <c r="G1677" s="196" t="s">
        <v>11720</v>
      </c>
      <c r="H1677" s="196" t="s">
        <v>11235</v>
      </c>
    </row>
    <row r="1678" spans="1:8" x14ac:dyDescent="0.15">
      <c r="A1678" s="196" t="s">
        <v>11229</v>
      </c>
      <c r="B1678" s="196" t="s">
        <v>11230</v>
      </c>
      <c r="C1678" s="196" t="s">
        <v>15074</v>
      </c>
      <c r="D1678" s="196" t="s">
        <v>15075</v>
      </c>
      <c r="E1678" s="196" t="s">
        <v>15075</v>
      </c>
      <c r="F1678" s="196" t="s">
        <v>11233</v>
      </c>
      <c r="G1678" s="196" t="s">
        <v>11962</v>
      </c>
      <c r="H1678" s="196" t="s">
        <v>11235</v>
      </c>
    </row>
    <row r="1679" spans="1:8" x14ac:dyDescent="0.15">
      <c r="A1679" s="196" t="s">
        <v>11229</v>
      </c>
      <c r="B1679" s="196" t="s">
        <v>11230</v>
      </c>
      <c r="C1679" s="196" t="s">
        <v>15076</v>
      </c>
      <c r="D1679" s="196" t="s">
        <v>15077</v>
      </c>
      <c r="E1679" s="196" t="s">
        <v>15077</v>
      </c>
      <c r="F1679" s="196" t="s">
        <v>11233</v>
      </c>
      <c r="G1679" s="196" t="s">
        <v>11720</v>
      </c>
      <c r="H1679" s="196" t="s">
        <v>11235</v>
      </c>
    </row>
    <row r="1680" spans="1:8" x14ac:dyDescent="0.15">
      <c r="A1680" s="196" t="s">
        <v>11229</v>
      </c>
      <c r="B1680" s="196" t="s">
        <v>11230</v>
      </c>
      <c r="C1680" s="196" t="s">
        <v>15078</v>
      </c>
      <c r="D1680" s="196" t="s">
        <v>15079</v>
      </c>
      <c r="E1680" s="196" t="s">
        <v>15080</v>
      </c>
      <c r="F1680" s="196" t="s">
        <v>11241</v>
      </c>
      <c r="G1680" s="196" t="s">
        <v>11962</v>
      </c>
      <c r="H1680" s="196" t="s">
        <v>11235</v>
      </c>
    </row>
    <row r="1681" spans="1:8" x14ac:dyDescent="0.15">
      <c r="A1681" s="196" t="s">
        <v>11229</v>
      </c>
      <c r="B1681" s="196" t="s">
        <v>11230</v>
      </c>
      <c r="C1681" s="196" t="s">
        <v>15081</v>
      </c>
      <c r="D1681" s="196" t="s">
        <v>15082</v>
      </c>
      <c r="E1681" s="196" t="s">
        <v>15082</v>
      </c>
      <c r="F1681" s="196" t="s">
        <v>11233</v>
      </c>
      <c r="G1681" s="196" t="s">
        <v>11962</v>
      </c>
      <c r="H1681" s="196" t="s">
        <v>11235</v>
      </c>
    </row>
    <row r="1682" spans="1:8" x14ac:dyDescent="0.15">
      <c r="A1682" s="196" t="s">
        <v>11229</v>
      </c>
      <c r="B1682" s="196" t="s">
        <v>11230</v>
      </c>
      <c r="C1682" s="196" t="s">
        <v>15083</v>
      </c>
      <c r="D1682" s="196" t="s">
        <v>15084</v>
      </c>
      <c r="E1682" s="196" t="s">
        <v>15084</v>
      </c>
      <c r="F1682" s="196" t="s">
        <v>11233</v>
      </c>
      <c r="G1682" s="196" t="s">
        <v>11962</v>
      </c>
      <c r="H1682" s="196" t="s">
        <v>11235</v>
      </c>
    </row>
    <row r="1683" spans="1:8" x14ac:dyDescent="0.15">
      <c r="A1683" s="196" t="s">
        <v>11229</v>
      </c>
      <c r="B1683" s="196" t="s">
        <v>11230</v>
      </c>
      <c r="C1683" s="196" t="s">
        <v>15085</v>
      </c>
      <c r="D1683" s="196" t="s">
        <v>15086</v>
      </c>
      <c r="E1683" s="196" t="s">
        <v>15087</v>
      </c>
      <c r="F1683" s="196" t="s">
        <v>11241</v>
      </c>
      <c r="G1683" s="196" t="s">
        <v>11720</v>
      </c>
      <c r="H1683" s="196" t="s">
        <v>11235</v>
      </c>
    </row>
    <row r="1684" spans="1:8" x14ac:dyDescent="0.15">
      <c r="A1684" s="196" t="s">
        <v>11229</v>
      </c>
      <c r="B1684" s="196" t="s">
        <v>11230</v>
      </c>
      <c r="C1684" s="196" t="s">
        <v>15088</v>
      </c>
      <c r="D1684" s="196" t="s">
        <v>15089</v>
      </c>
      <c r="E1684" s="196" t="s">
        <v>15089</v>
      </c>
      <c r="F1684" s="196" t="s">
        <v>11233</v>
      </c>
      <c r="G1684" s="196" t="s">
        <v>11962</v>
      </c>
      <c r="H1684" s="196" t="s">
        <v>11235</v>
      </c>
    </row>
    <row r="1685" spans="1:8" x14ac:dyDescent="0.15">
      <c r="A1685" s="196" t="s">
        <v>11229</v>
      </c>
      <c r="B1685" s="196" t="s">
        <v>11230</v>
      </c>
      <c r="C1685" s="196" t="s">
        <v>15090</v>
      </c>
      <c r="D1685" s="196" t="s">
        <v>15091</v>
      </c>
      <c r="E1685" s="196" t="s">
        <v>15091</v>
      </c>
      <c r="F1685" s="196" t="s">
        <v>11233</v>
      </c>
      <c r="G1685" s="196" t="s">
        <v>11962</v>
      </c>
      <c r="H1685" s="196" t="s">
        <v>11235</v>
      </c>
    </row>
    <row r="1686" spans="1:8" x14ac:dyDescent="0.15">
      <c r="A1686" s="196" t="s">
        <v>11229</v>
      </c>
      <c r="B1686" s="196" t="s">
        <v>11230</v>
      </c>
      <c r="C1686" s="196" t="s">
        <v>15092</v>
      </c>
      <c r="D1686" s="196" t="s">
        <v>15093</v>
      </c>
      <c r="E1686" s="196" t="s">
        <v>15094</v>
      </c>
      <c r="F1686" s="196" t="s">
        <v>11241</v>
      </c>
      <c r="G1686" s="196" t="s">
        <v>11962</v>
      </c>
      <c r="H1686" s="196" t="s">
        <v>11235</v>
      </c>
    </row>
    <row r="1687" spans="1:8" x14ac:dyDescent="0.15">
      <c r="A1687" s="196" t="s">
        <v>11229</v>
      </c>
      <c r="B1687" s="196" t="s">
        <v>11230</v>
      </c>
      <c r="C1687" s="196" t="s">
        <v>15095</v>
      </c>
      <c r="D1687" s="196" t="s">
        <v>15096</v>
      </c>
      <c r="E1687" s="196" t="s">
        <v>15096</v>
      </c>
      <c r="F1687" s="196" t="s">
        <v>11233</v>
      </c>
      <c r="G1687" s="196" t="s">
        <v>11720</v>
      </c>
      <c r="H1687" s="196" t="s">
        <v>11235</v>
      </c>
    </row>
    <row r="1688" spans="1:8" x14ac:dyDescent="0.15">
      <c r="A1688" s="196" t="s">
        <v>11229</v>
      </c>
      <c r="B1688" s="196" t="s">
        <v>11230</v>
      </c>
      <c r="C1688" s="196" t="s">
        <v>15097</v>
      </c>
      <c r="D1688" s="196" t="s">
        <v>15098</v>
      </c>
      <c r="E1688" s="196" t="s">
        <v>15099</v>
      </c>
      <c r="F1688" s="196" t="s">
        <v>11241</v>
      </c>
      <c r="G1688" s="196" t="s">
        <v>11720</v>
      </c>
      <c r="H1688" s="196" t="s">
        <v>11235</v>
      </c>
    </row>
    <row r="1689" spans="1:8" x14ac:dyDescent="0.15">
      <c r="A1689" s="196" t="s">
        <v>11229</v>
      </c>
      <c r="B1689" s="196" t="s">
        <v>11230</v>
      </c>
      <c r="C1689" s="196" t="s">
        <v>15100</v>
      </c>
      <c r="D1689" s="196" t="s">
        <v>15101</v>
      </c>
      <c r="E1689" s="196" t="s">
        <v>15102</v>
      </c>
      <c r="F1689" s="196" t="s">
        <v>11268</v>
      </c>
      <c r="G1689" s="196" t="s">
        <v>11962</v>
      </c>
      <c r="H1689" s="196" t="s">
        <v>11235</v>
      </c>
    </row>
    <row r="1690" spans="1:8" x14ac:dyDescent="0.15">
      <c r="A1690" s="196" t="s">
        <v>11229</v>
      </c>
      <c r="B1690" s="196" t="s">
        <v>11230</v>
      </c>
      <c r="C1690" s="196" t="s">
        <v>15103</v>
      </c>
      <c r="D1690" s="196" t="s">
        <v>15104</v>
      </c>
      <c r="E1690" s="196" t="s">
        <v>15105</v>
      </c>
      <c r="F1690" s="196" t="s">
        <v>11241</v>
      </c>
      <c r="G1690" s="196" t="s">
        <v>11962</v>
      </c>
      <c r="H1690" s="196" t="s">
        <v>11235</v>
      </c>
    </row>
    <row r="1691" spans="1:8" x14ac:dyDescent="0.15">
      <c r="A1691" s="196" t="s">
        <v>11229</v>
      </c>
      <c r="B1691" s="196" t="s">
        <v>11230</v>
      </c>
      <c r="C1691" s="196" t="s">
        <v>15106</v>
      </c>
      <c r="D1691" s="196" t="s">
        <v>15107</v>
      </c>
      <c r="E1691" s="196" t="s">
        <v>15107</v>
      </c>
      <c r="F1691" s="196" t="s">
        <v>11233</v>
      </c>
      <c r="G1691" s="196" t="s">
        <v>11962</v>
      </c>
      <c r="H1691" s="196" t="s">
        <v>11235</v>
      </c>
    </row>
    <row r="1692" spans="1:8" x14ac:dyDescent="0.15">
      <c r="A1692" s="196" t="s">
        <v>11229</v>
      </c>
      <c r="B1692" s="196" t="s">
        <v>11230</v>
      </c>
      <c r="C1692" s="196" t="s">
        <v>15108</v>
      </c>
      <c r="D1692" s="196" t="s">
        <v>15109</v>
      </c>
      <c r="E1692" s="196" t="s">
        <v>15110</v>
      </c>
      <c r="F1692" s="196" t="s">
        <v>11241</v>
      </c>
      <c r="G1692" s="196" t="s">
        <v>11720</v>
      </c>
      <c r="H1692" s="196" t="s">
        <v>11235</v>
      </c>
    </row>
    <row r="1693" spans="1:8" x14ac:dyDescent="0.15">
      <c r="A1693" s="196" t="s">
        <v>11229</v>
      </c>
      <c r="B1693" s="196" t="s">
        <v>11230</v>
      </c>
      <c r="C1693" s="196" t="s">
        <v>15111</v>
      </c>
      <c r="D1693" s="196" t="s">
        <v>15112</v>
      </c>
      <c r="E1693" s="196" t="s">
        <v>15113</v>
      </c>
      <c r="F1693" s="196" t="s">
        <v>11268</v>
      </c>
      <c r="G1693" s="196" t="s">
        <v>11720</v>
      </c>
      <c r="H1693" s="196" t="s">
        <v>11235</v>
      </c>
    </row>
    <row r="1694" spans="1:8" x14ac:dyDescent="0.15">
      <c r="A1694" s="196" t="s">
        <v>11229</v>
      </c>
      <c r="B1694" s="196" t="s">
        <v>11230</v>
      </c>
      <c r="C1694" s="196" t="s">
        <v>15114</v>
      </c>
      <c r="D1694" s="196" t="s">
        <v>15115</v>
      </c>
      <c r="E1694" s="196" t="s">
        <v>15116</v>
      </c>
      <c r="F1694" s="196" t="s">
        <v>15117</v>
      </c>
      <c r="G1694" s="196" t="s">
        <v>11962</v>
      </c>
      <c r="H1694" s="196" t="s">
        <v>11235</v>
      </c>
    </row>
    <row r="1695" spans="1:8" x14ac:dyDescent="0.15">
      <c r="A1695" s="196" t="s">
        <v>11229</v>
      </c>
      <c r="B1695" s="196" t="s">
        <v>11230</v>
      </c>
      <c r="C1695" s="196" t="s">
        <v>15118</v>
      </c>
      <c r="D1695" s="196" t="s">
        <v>15119</v>
      </c>
      <c r="E1695" s="196" t="s">
        <v>15120</v>
      </c>
      <c r="F1695" s="196" t="s">
        <v>15121</v>
      </c>
      <c r="G1695" s="196" t="s">
        <v>11720</v>
      </c>
      <c r="H1695" s="196" t="s">
        <v>11235</v>
      </c>
    </row>
    <row r="1696" spans="1:8" x14ac:dyDescent="0.15">
      <c r="A1696" s="196" t="s">
        <v>11229</v>
      </c>
      <c r="B1696" s="196" t="s">
        <v>11230</v>
      </c>
      <c r="C1696" s="196" t="s">
        <v>15122</v>
      </c>
      <c r="D1696" s="196" t="s">
        <v>15123</v>
      </c>
      <c r="E1696" s="196" t="s">
        <v>15124</v>
      </c>
      <c r="F1696" s="196" t="s">
        <v>15125</v>
      </c>
      <c r="G1696" s="196" t="s">
        <v>11962</v>
      </c>
      <c r="H1696" s="196" t="s">
        <v>11235</v>
      </c>
    </row>
    <row r="1697" spans="1:8" x14ac:dyDescent="0.15">
      <c r="A1697" s="196" t="s">
        <v>11229</v>
      </c>
      <c r="B1697" s="196" t="s">
        <v>11230</v>
      </c>
      <c r="C1697" s="196" t="s">
        <v>15126</v>
      </c>
      <c r="D1697" s="196" t="s">
        <v>15127</v>
      </c>
      <c r="E1697" s="196" t="s">
        <v>15128</v>
      </c>
      <c r="F1697" s="196" t="s">
        <v>15129</v>
      </c>
      <c r="G1697" s="196" t="s">
        <v>11720</v>
      </c>
      <c r="H1697" s="196" t="s">
        <v>11235</v>
      </c>
    </row>
    <row r="1698" spans="1:8" x14ac:dyDescent="0.15">
      <c r="A1698" s="196" t="s">
        <v>11229</v>
      </c>
      <c r="B1698" s="196" t="s">
        <v>11230</v>
      </c>
      <c r="C1698" s="196" t="s">
        <v>15130</v>
      </c>
      <c r="D1698" s="196" t="s">
        <v>15131</v>
      </c>
      <c r="E1698" s="196" t="s">
        <v>15132</v>
      </c>
      <c r="F1698" s="196" t="s">
        <v>15133</v>
      </c>
      <c r="G1698" s="196" t="s">
        <v>11962</v>
      </c>
      <c r="H1698" s="196" t="s">
        <v>11235</v>
      </c>
    </row>
    <row r="1699" spans="1:8" x14ac:dyDescent="0.15">
      <c r="A1699" s="196" t="s">
        <v>11229</v>
      </c>
      <c r="B1699" s="196" t="s">
        <v>11230</v>
      </c>
      <c r="C1699" s="196" t="s">
        <v>15134</v>
      </c>
      <c r="D1699" s="196" t="s">
        <v>15135</v>
      </c>
      <c r="E1699" s="196" t="s">
        <v>15136</v>
      </c>
      <c r="F1699" s="196" t="s">
        <v>15137</v>
      </c>
      <c r="G1699" s="196" t="s">
        <v>11720</v>
      </c>
      <c r="H1699" s="196" t="s">
        <v>11235</v>
      </c>
    </row>
    <row r="1700" spans="1:8" x14ac:dyDescent="0.15">
      <c r="A1700" s="196" t="s">
        <v>11229</v>
      </c>
      <c r="B1700" s="196" t="s">
        <v>11230</v>
      </c>
      <c r="C1700" s="196" t="s">
        <v>15138</v>
      </c>
      <c r="D1700" s="196" t="s">
        <v>15139</v>
      </c>
      <c r="E1700" s="196" t="s">
        <v>15140</v>
      </c>
      <c r="F1700" s="196" t="s">
        <v>15141</v>
      </c>
      <c r="G1700" s="196" t="s">
        <v>12378</v>
      </c>
      <c r="H1700" s="196" t="s">
        <v>12712</v>
      </c>
    </row>
    <row r="1701" spans="1:8" x14ac:dyDescent="0.15">
      <c r="A1701" s="196" t="s">
        <v>11229</v>
      </c>
      <c r="B1701" s="196" t="s">
        <v>11230</v>
      </c>
      <c r="C1701" s="196" t="s">
        <v>15142</v>
      </c>
      <c r="D1701" s="196" t="s">
        <v>15139</v>
      </c>
      <c r="E1701" s="196" t="s">
        <v>15140</v>
      </c>
      <c r="F1701" s="196" t="s">
        <v>15141</v>
      </c>
      <c r="G1701" s="196" t="s">
        <v>12378</v>
      </c>
      <c r="H1701" s="196" t="s">
        <v>12712</v>
      </c>
    </row>
    <row r="1702" spans="1:8" x14ac:dyDescent="0.15">
      <c r="A1702" s="196" t="s">
        <v>11229</v>
      </c>
      <c r="B1702" s="196" t="s">
        <v>11230</v>
      </c>
      <c r="C1702" s="196" t="s">
        <v>15143</v>
      </c>
      <c r="D1702" s="196" t="s">
        <v>15139</v>
      </c>
      <c r="E1702" s="196" t="s">
        <v>15144</v>
      </c>
      <c r="F1702" s="196" t="s">
        <v>15145</v>
      </c>
      <c r="G1702" s="196" t="s">
        <v>12378</v>
      </c>
      <c r="H1702" s="196" t="s">
        <v>12712</v>
      </c>
    </row>
    <row r="1703" spans="1:8" x14ac:dyDescent="0.15">
      <c r="A1703" s="196" t="s">
        <v>11229</v>
      </c>
      <c r="B1703" s="196" t="s">
        <v>11230</v>
      </c>
      <c r="C1703" s="196" t="s">
        <v>15146</v>
      </c>
      <c r="D1703" s="196" t="s">
        <v>15139</v>
      </c>
      <c r="E1703" s="196" t="s">
        <v>15144</v>
      </c>
      <c r="F1703" s="196" t="s">
        <v>15145</v>
      </c>
      <c r="G1703" s="196" t="s">
        <v>12378</v>
      </c>
      <c r="H1703" s="196" t="s">
        <v>12712</v>
      </c>
    </row>
    <row r="1704" spans="1:8" x14ac:dyDescent="0.15">
      <c r="A1704" s="196" t="s">
        <v>11229</v>
      </c>
      <c r="B1704" s="196" t="s">
        <v>11230</v>
      </c>
      <c r="C1704" s="196" t="s">
        <v>15147</v>
      </c>
      <c r="D1704" s="196" t="s">
        <v>15148</v>
      </c>
      <c r="E1704" s="196" t="s">
        <v>15149</v>
      </c>
      <c r="F1704" s="196" t="s">
        <v>15150</v>
      </c>
      <c r="G1704" s="196" t="s">
        <v>11720</v>
      </c>
      <c r="H1704" s="196" t="s">
        <v>11235</v>
      </c>
    </row>
    <row r="1705" spans="1:8" x14ac:dyDescent="0.15">
      <c r="A1705" s="196" t="s">
        <v>11229</v>
      </c>
      <c r="B1705" s="196" t="s">
        <v>11230</v>
      </c>
      <c r="C1705" s="196" t="s">
        <v>15151</v>
      </c>
      <c r="D1705" s="196" t="s">
        <v>15152</v>
      </c>
      <c r="E1705" s="196" t="s">
        <v>15153</v>
      </c>
      <c r="F1705" s="196" t="s">
        <v>15154</v>
      </c>
      <c r="G1705" s="196" t="s">
        <v>11962</v>
      </c>
      <c r="H1705" s="196" t="s">
        <v>11235</v>
      </c>
    </row>
    <row r="1706" spans="1:8" x14ac:dyDescent="0.15">
      <c r="A1706" s="196" t="s">
        <v>11229</v>
      </c>
      <c r="B1706" s="196" t="s">
        <v>11230</v>
      </c>
      <c r="C1706" s="196" t="s">
        <v>15155</v>
      </c>
      <c r="D1706" s="196" t="s">
        <v>15149</v>
      </c>
      <c r="E1706" s="196" t="s">
        <v>15156</v>
      </c>
      <c r="F1706" s="196" t="s">
        <v>15157</v>
      </c>
      <c r="G1706" s="196" t="s">
        <v>11720</v>
      </c>
      <c r="H1706" s="196" t="s">
        <v>11235</v>
      </c>
    </row>
    <row r="1707" spans="1:8" x14ac:dyDescent="0.15">
      <c r="A1707" s="196" t="s">
        <v>11229</v>
      </c>
      <c r="B1707" s="196" t="s">
        <v>11230</v>
      </c>
      <c r="C1707" s="196" t="s">
        <v>15158</v>
      </c>
      <c r="D1707" s="196" t="s">
        <v>15159</v>
      </c>
      <c r="E1707" s="196" t="s">
        <v>15160</v>
      </c>
      <c r="F1707" s="196" t="s">
        <v>15161</v>
      </c>
      <c r="G1707" s="196" t="s">
        <v>11962</v>
      </c>
      <c r="H1707" s="196" t="s">
        <v>11235</v>
      </c>
    </row>
    <row r="1708" spans="1:8" x14ac:dyDescent="0.15">
      <c r="A1708" s="196" t="s">
        <v>11229</v>
      </c>
      <c r="B1708" s="196" t="s">
        <v>11230</v>
      </c>
      <c r="C1708" s="196" t="s">
        <v>15162</v>
      </c>
      <c r="D1708" s="196" t="s">
        <v>15163</v>
      </c>
      <c r="E1708" s="196" t="s">
        <v>15164</v>
      </c>
      <c r="F1708" s="196" t="s">
        <v>15165</v>
      </c>
      <c r="G1708" s="196" t="s">
        <v>11962</v>
      </c>
      <c r="H1708" s="196" t="s">
        <v>11235</v>
      </c>
    </row>
    <row r="1709" spans="1:8" x14ac:dyDescent="0.15">
      <c r="A1709" s="196" t="s">
        <v>11229</v>
      </c>
      <c r="B1709" s="196" t="s">
        <v>11230</v>
      </c>
      <c r="C1709" s="196" t="s">
        <v>15166</v>
      </c>
      <c r="D1709" s="196" t="s">
        <v>15167</v>
      </c>
      <c r="E1709" s="196" t="s">
        <v>15167</v>
      </c>
      <c r="F1709" s="196" t="s">
        <v>11233</v>
      </c>
      <c r="G1709" s="196" t="s">
        <v>11720</v>
      </c>
      <c r="H1709" s="196" t="s">
        <v>11235</v>
      </c>
    </row>
    <row r="1710" spans="1:8" x14ac:dyDescent="0.15">
      <c r="A1710" s="196" t="s">
        <v>11229</v>
      </c>
      <c r="B1710" s="196" t="s">
        <v>11230</v>
      </c>
      <c r="C1710" s="196" t="s">
        <v>15168</v>
      </c>
      <c r="D1710" s="196" t="s">
        <v>15169</v>
      </c>
      <c r="E1710" s="196" t="s">
        <v>15170</v>
      </c>
      <c r="F1710" s="196" t="s">
        <v>11268</v>
      </c>
      <c r="G1710" s="196" t="s">
        <v>11720</v>
      </c>
      <c r="H1710" s="196" t="s">
        <v>11235</v>
      </c>
    </row>
    <row r="1711" spans="1:8" x14ac:dyDescent="0.15">
      <c r="A1711" s="196" t="s">
        <v>11229</v>
      </c>
      <c r="B1711" s="196" t="s">
        <v>11230</v>
      </c>
      <c r="C1711" s="196" t="s">
        <v>15171</v>
      </c>
      <c r="D1711" s="196" t="s">
        <v>15170</v>
      </c>
      <c r="E1711" s="196" t="s">
        <v>15172</v>
      </c>
      <c r="F1711" s="196" t="s">
        <v>11241</v>
      </c>
      <c r="G1711" s="196" t="s">
        <v>11720</v>
      </c>
      <c r="H1711" s="196" t="s">
        <v>11235</v>
      </c>
    </row>
    <row r="1712" spans="1:8" x14ac:dyDescent="0.15">
      <c r="A1712" s="196" t="s">
        <v>11229</v>
      </c>
      <c r="B1712" s="196" t="s">
        <v>11230</v>
      </c>
      <c r="C1712" s="196" t="s">
        <v>15173</v>
      </c>
      <c r="D1712" s="196" t="s">
        <v>15174</v>
      </c>
      <c r="E1712" s="196" t="s">
        <v>15175</v>
      </c>
      <c r="F1712" s="196" t="s">
        <v>11268</v>
      </c>
      <c r="G1712" s="196" t="s">
        <v>11720</v>
      </c>
      <c r="H1712" s="196" t="s">
        <v>11235</v>
      </c>
    </row>
    <row r="1713" spans="1:8" x14ac:dyDescent="0.15">
      <c r="A1713" s="196" t="s">
        <v>11229</v>
      </c>
      <c r="B1713" s="196" t="s">
        <v>11230</v>
      </c>
      <c r="C1713" s="196" t="s">
        <v>15176</v>
      </c>
      <c r="D1713" s="196" t="s">
        <v>15175</v>
      </c>
      <c r="E1713" s="196" t="s">
        <v>15177</v>
      </c>
      <c r="F1713" s="196" t="s">
        <v>11241</v>
      </c>
      <c r="G1713" s="196" t="s">
        <v>11720</v>
      </c>
      <c r="H1713" s="196" t="s">
        <v>11235</v>
      </c>
    </row>
    <row r="1714" spans="1:8" x14ac:dyDescent="0.15">
      <c r="A1714" s="196" t="s">
        <v>11229</v>
      </c>
      <c r="B1714" s="196" t="s">
        <v>11230</v>
      </c>
      <c r="C1714" s="196" t="s">
        <v>15178</v>
      </c>
      <c r="D1714" s="196" t="s">
        <v>15179</v>
      </c>
      <c r="E1714" s="196" t="s">
        <v>15180</v>
      </c>
      <c r="F1714" s="196" t="s">
        <v>15181</v>
      </c>
      <c r="G1714" s="196" t="s">
        <v>11720</v>
      </c>
      <c r="H1714" s="196" t="s">
        <v>11235</v>
      </c>
    </row>
    <row r="1715" spans="1:8" x14ac:dyDescent="0.15">
      <c r="A1715" s="196" t="s">
        <v>11229</v>
      </c>
      <c r="B1715" s="196" t="s">
        <v>11230</v>
      </c>
      <c r="C1715" s="196" t="s">
        <v>15182</v>
      </c>
      <c r="D1715" s="196" t="s">
        <v>15183</v>
      </c>
      <c r="E1715" s="196" t="s">
        <v>15184</v>
      </c>
      <c r="F1715" s="196" t="s">
        <v>15185</v>
      </c>
      <c r="G1715" s="196" t="s">
        <v>11720</v>
      </c>
      <c r="H1715" s="196" t="s">
        <v>11235</v>
      </c>
    </row>
    <row r="1716" spans="1:8" x14ac:dyDescent="0.15">
      <c r="A1716" s="196" t="s">
        <v>11229</v>
      </c>
      <c r="B1716" s="196" t="s">
        <v>11230</v>
      </c>
      <c r="C1716" s="196" t="s">
        <v>15186</v>
      </c>
      <c r="D1716" s="196" t="s">
        <v>15187</v>
      </c>
      <c r="E1716" s="196" t="s">
        <v>15188</v>
      </c>
      <c r="F1716" s="196" t="s">
        <v>11241</v>
      </c>
      <c r="G1716" s="196" t="s">
        <v>11962</v>
      </c>
      <c r="H1716" s="196" t="s">
        <v>11235</v>
      </c>
    </row>
    <row r="1717" spans="1:8" x14ac:dyDescent="0.15">
      <c r="A1717" s="196" t="s">
        <v>11229</v>
      </c>
      <c r="B1717" s="196" t="s">
        <v>11230</v>
      </c>
      <c r="C1717" s="196" t="s">
        <v>15189</v>
      </c>
      <c r="D1717" s="196" t="s">
        <v>15190</v>
      </c>
      <c r="E1717" s="196" t="s">
        <v>15190</v>
      </c>
      <c r="F1717" s="196" t="s">
        <v>11233</v>
      </c>
      <c r="G1717" s="196" t="s">
        <v>11962</v>
      </c>
      <c r="H1717" s="196" t="s">
        <v>11235</v>
      </c>
    </row>
    <row r="1718" spans="1:8" x14ac:dyDescent="0.15">
      <c r="A1718" s="196" t="s">
        <v>11229</v>
      </c>
      <c r="B1718" s="196" t="s">
        <v>11230</v>
      </c>
      <c r="C1718" s="196" t="s">
        <v>15191</v>
      </c>
      <c r="D1718" s="196" t="s">
        <v>15192</v>
      </c>
      <c r="E1718" s="196" t="s">
        <v>15192</v>
      </c>
      <c r="F1718" s="196" t="s">
        <v>11233</v>
      </c>
      <c r="G1718" s="196" t="s">
        <v>11962</v>
      </c>
      <c r="H1718" s="196" t="s">
        <v>11235</v>
      </c>
    </row>
    <row r="1719" spans="1:8" x14ac:dyDescent="0.15">
      <c r="A1719" s="196" t="s">
        <v>11229</v>
      </c>
      <c r="B1719" s="196" t="s">
        <v>11230</v>
      </c>
      <c r="C1719" s="196" t="s">
        <v>15193</v>
      </c>
      <c r="D1719" s="196" t="s">
        <v>15194</v>
      </c>
      <c r="E1719" s="196" t="s">
        <v>15195</v>
      </c>
      <c r="F1719" s="196" t="s">
        <v>11241</v>
      </c>
      <c r="G1719" s="196" t="s">
        <v>11962</v>
      </c>
      <c r="H1719" s="196" t="s">
        <v>11235</v>
      </c>
    </row>
    <row r="1720" spans="1:8" x14ac:dyDescent="0.15">
      <c r="A1720" s="196" t="s">
        <v>11229</v>
      </c>
      <c r="B1720" s="196" t="s">
        <v>11230</v>
      </c>
      <c r="C1720" s="196" t="s">
        <v>15196</v>
      </c>
      <c r="D1720" s="196" t="s">
        <v>15197</v>
      </c>
      <c r="E1720" s="196" t="s">
        <v>15197</v>
      </c>
      <c r="F1720" s="196" t="s">
        <v>11233</v>
      </c>
      <c r="G1720" s="196" t="s">
        <v>11962</v>
      </c>
      <c r="H1720" s="196" t="s">
        <v>11235</v>
      </c>
    </row>
    <row r="1721" spans="1:8" x14ac:dyDescent="0.15">
      <c r="A1721" s="196" t="s">
        <v>11229</v>
      </c>
      <c r="B1721" s="196" t="s">
        <v>11230</v>
      </c>
      <c r="C1721" s="196" t="s">
        <v>15198</v>
      </c>
      <c r="D1721" s="196" t="s">
        <v>15199</v>
      </c>
      <c r="E1721" s="196" t="s">
        <v>15200</v>
      </c>
      <c r="F1721" s="196" t="s">
        <v>15201</v>
      </c>
      <c r="G1721" s="196" t="s">
        <v>11720</v>
      </c>
      <c r="H1721" s="196" t="s">
        <v>11235</v>
      </c>
    </row>
    <row r="1722" spans="1:8" x14ac:dyDescent="0.15">
      <c r="A1722" s="196" t="s">
        <v>11229</v>
      </c>
      <c r="B1722" s="196" t="s">
        <v>11230</v>
      </c>
      <c r="C1722" s="196" t="s">
        <v>15202</v>
      </c>
      <c r="D1722" s="196" t="s">
        <v>15203</v>
      </c>
      <c r="E1722" s="196" t="s">
        <v>15204</v>
      </c>
      <c r="F1722" s="196" t="s">
        <v>15205</v>
      </c>
      <c r="G1722" s="196" t="s">
        <v>11962</v>
      </c>
      <c r="H1722" s="196" t="s">
        <v>11235</v>
      </c>
    </row>
    <row r="1723" spans="1:8" x14ac:dyDescent="0.15">
      <c r="A1723" s="196" t="s">
        <v>11229</v>
      </c>
      <c r="B1723" s="196" t="s">
        <v>11230</v>
      </c>
      <c r="C1723" s="196" t="s">
        <v>15206</v>
      </c>
      <c r="D1723" s="196" t="s">
        <v>15200</v>
      </c>
      <c r="E1723" s="196" t="s">
        <v>15207</v>
      </c>
      <c r="F1723" s="196" t="s">
        <v>15208</v>
      </c>
      <c r="G1723" s="196" t="s">
        <v>11720</v>
      </c>
      <c r="H1723" s="196" t="s">
        <v>11235</v>
      </c>
    </row>
    <row r="1724" spans="1:8" x14ac:dyDescent="0.15">
      <c r="A1724" s="196" t="s">
        <v>11229</v>
      </c>
      <c r="B1724" s="196" t="s">
        <v>11230</v>
      </c>
      <c r="C1724" s="196" t="s">
        <v>15209</v>
      </c>
      <c r="D1724" s="196" t="s">
        <v>15210</v>
      </c>
      <c r="E1724" s="196" t="s">
        <v>15211</v>
      </c>
      <c r="F1724" s="196" t="s">
        <v>15212</v>
      </c>
      <c r="G1724" s="196" t="s">
        <v>11720</v>
      </c>
      <c r="H1724" s="196" t="s">
        <v>11235</v>
      </c>
    </row>
    <row r="1725" spans="1:8" x14ac:dyDescent="0.15">
      <c r="A1725" s="196" t="s">
        <v>11229</v>
      </c>
      <c r="B1725" s="196" t="s">
        <v>11230</v>
      </c>
      <c r="C1725" s="196" t="s">
        <v>15213</v>
      </c>
      <c r="D1725" s="196" t="s">
        <v>15214</v>
      </c>
      <c r="E1725" s="196" t="s">
        <v>15215</v>
      </c>
      <c r="F1725" s="196" t="s">
        <v>15216</v>
      </c>
      <c r="G1725" s="196" t="s">
        <v>11720</v>
      </c>
      <c r="H1725" s="196" t="s">
        <v>11235</v>
      </c>
    </row>
    <row r="1726" spans="1:8" x14ac:dyDescent="0.15">
      <c r="A1726" s="196" t="s">
        <v>11229</v>
      </c>
      <c r="B1726" s="196" t="s">
        <v>11230</v>
      </c>
      <c r="C1726" s="196" t="s">
        <v>15217</v>
      </c>
      <c r="D1726" s="196" t="s">
        <v>15218</v>
      </c>
      <c r="E1726" s="196" t="s">
        <v>15219</v>
      </c>
      <c r="F1726" s="196" t="s">
        <v>15220</v>
      </c>
      <c r="G1726" s="196" t="s">
        <v>11720</v>
      </c>
      <c r="H1726" s="196" t="s">
        <v>11235</v>
      </c>
    </row>
    <row r="1727" spans="1:8" x14ac:dyDescent="0.15">
      <c r="A1727" s="196" t="s">
        <v>11229</v>
      </c>
      <c r="B1727" s="196" t="s">
        <v>11230</v>
      </c>
      <c r="C1727" s="196" t="s">
        <v>15221</v>
      </c>
      <c r="D1727" s="196" t="s">
        <v>15222</v>
      </c>
      <c r="E1727" s="196" t="s">
        <v>15223</v>
      </c>
      <c r="F1727" s="196" t="s">
        <v>15224</v>
      </c>
      <c r="G1727" s="196" t="s">
        <v>11720</v>
      </c>
      <c r="H1727" s="196" t="s">
        <v>11235</v>
      </c>
    </row>
    <row r="1728" spans="1:8" x14ac:dyDescent="0.15">
      <c r="A1728" s="196" t="s">
        <v>11229</v>
      </c>
      <c r="B1728" s="196" t="s">
        <v>11230</v>
      </c>
      <c r="C1728" s="196" t="s">
        <v>15225</v>
      </c>
      <c r="D1728" s="196" t="s">
        <v>15226</v>
      </c>
      <c r="E1728" s="196" t="s">
        <v>15227</v>
      </c>
      <c r="F1728" s="196" t="s">
        <v>15228</v>
      </c>
      <c r="G1728" s="196" t="s">
        <v>11720</v>
      </c>
      <c r="H1728" s="196" t="s">
        <v>11235</v>
      </c>
    </row>
    <row r="1729" spans="1:8" x14ac:dyDescent="0.15">
      <c r="A1729" s="196" t="s">
        <v>11229</v>
      </c>
      <c r="B1729" s="196" t="s">
        <v>11230</v>
      </c>
      <c r="C1729" s="196" t="s">
        <v>15229</v>
      </c>
      <c r="D1729" s="196" t="s">
        <v>15230</v>
      </c>
      <c r="E1729" s="196" t="s">
        <v>15231</v>
      </c>
      <c r="F1729" s="196" t="s">
        <v>15232</v>
      </c>
      <c r="G1729" s="196" t="s">
        <v>11962</v>
      </c>
      <c r="H1729" s="196" t="s">
        <v>11235</v>
      </c>
    </row>
    <row r="1730" spans="1:8" x14ac:dyDescent="0.15">
      <c r="A1730" s="196" t="s">
        <v>11229</v>
      </c>
      <c r="B1730" s="196" t="s">
        <v>11230</v>
      </c>
      <c r="C1730" s="196" t="s">
        <v>15233</v>
      </c>
      <c r="D1730" s="196" t="s">
        <v>15234</v>
      </c>
      <c r="E1730" s="196" t="s">
        <v>15234</v>
      </c>
      <c r="F1730" s="196" t="s">
        <v>11233</v>
      </c>
      <c r="G1730" s="196" t="s">
        <v>11720</v>
      </c>
      <c r="H1730" s="196" t="s">
        <v>11235</v>
      </c>
    </row>
    <row r="1731" spans="1:8" x14ac:dyDescent="0.15">
      <c r="A1731" s="196" t="s">
        <v>11229</v>
      </c>
      <c r="B1731" s="196" t="s">
        <v>11230</v>
      </c>
      <c r="C1731" s="196" t="s">
        <v>15235</v>
      </c>
      <c r="D1731" s="196" t="s">
        <v>15236</v>
      </c>
      <c r="E1731" s="196" t="s">
        <v>15237</v>
      </c>
      <c r="F1731" s="196" t="s">
        <v>11241</v>
      </c>
      <c r="G1731" s="196" t="s">
        <v>11720</v>
      </c>
      <c r="H1731" s="196" t="s">
        <v>11235</v>
      </c>
    </row>
    <row r="1732" spans="1:8" x14ac:dyDescent="0.15">
      <c r="A1732" s="196" t="s">
        <v>11229</v>
      </c>
      <c r="B1732" s="196" t="s">
        <v>11230</v>
      </c>
      <c r="C1732" s="196" t="s">
        <v>15238</v>
      </c>
      <c r="D1732" s="196" t="s">
        <v>15239</v>
      </c>
      <c r="E1732" s="196" t="s">
        <v>15239</v>
      </c>
      <c r="F1732" s="196" t="s">
        <v>11233</v>
      </c>
      <c r="G1732" s="196" t="s">
        <v>11720</v>
      </c>
      <c r="H1732" s="196" t="s">
        <v>11235</v>
      </c>
    </row>
    <row r="1733" spans="1:8" x14ac:dyDescent="0.15">
      <c r="A1733" s="196" t="s">
        <v>11229</v>
      </c>
      <c r="B1733" s="196" t="s">
        <v>11230</v>
      </c>
      <c r="C1733" s="196" t="s">
        <v>15240</v>
      </c>
      <c r="D1733" s="196" t="s">
        <v>15241</v>
      </c>
      <c r="E1733" s="196" t="s">
        <v>15242</v>
      </c>
      <c r="F1733" s="196" t="s">
        <v>11241</v>
      </c>
      <c r="G1733" s="196" t="s">
        <v>11720</v>
      </c>
      <c r="H1733" s="196" t="s">
        <v>11235</v>
      </c>
    </row>
    <row r="1734" spans="1:8" x14ac:dyDescent="0.15">
      <c r="A1734" s="196" t="s">
        <v>11229</v>
      </c>
      <c r="B1734" s="196" t="s">
        <v>11230</v>
      </c>
      <c r="C1734" s="196" t="s">
        <v>15243</v>
      </c>
      <c r="D1734" s="196" t="s">
        <v>15244</v>
      </c>
      <c r="E1734" s="196" t="s">
        <v>15245</v>
      </c>
      <c r="F1734" s="196" t="s">
        <v>11900</v>
      </c>
      <c r="G1734" s="196" t="s">
        <v>11720</v>
      </c>
      <c r="H1734" s="196" t="s">
        <v>11235</v>
      </c>
    </row>
    <row r="1735" spans="1:8" x14ac:dyDescent="0.15">
      <c r="A1735" s="196" t="s">
        <v>11229</v>
      </c>
      <c r="B1735" s="196" t="s">
        <v>11230</v>
      </c>
      <c r="C1735" s="196" t="s">
        <v>15246</v>
      </c>
      <c r="D1735" s="196" t="s">
        <v>15247</v>
      </c>
      <c r="E1735" s="196" t="s">
        <v>15247</v>
      </c>
      <c r="F1735" s="196" t="s">
        <v>11233</v>
      </c>
      <c r="G1735" s="196" t="s">
        <v>11720</v>
      </c>
      <c r="H1735" s="196" t="s">
        <v>11235</v>
      </c>
    </row>
    <row r="1736" spans="1:8" x14ac:dyDescent="0.15">
      <c r="A1736" s="196" t="s">
        <v>11229</v>
      </c>
      <c r="B1736" s="196" t="s">
        <v>11230</v>
      </c>
      <c r="C1736" s="196" t="s">
        <v>15248</v>
      </c>
      <c r="D1736" s="196" t="s">
        <v>15249</v>
      </c>
      <c r="E1736" s="196" t="s">
        <v>15249</v>
      </c>
      <c r="F1736" s="196" t="s">
        <v>11233</v>
      </c>
      <c r="G1736" s="196" t="s">
        <v>11720</v>
      </c>
      <c r="H1736" s="196" t="s">
        <v>11235</v>
      </c>
    </row>
    <row r="1737" spans="1:8" x14ac:dyDescent="0.15">
      <c r="A1737" s="196" t="s">
        <v>11229</v>
      </c>
      <c r="B1737" s="196" t="s">
        <v>11230</v>
      </c>
      <c r="C1737" s="196" t="s">
        <v>15250</v>
      </c>
      <c r="D1737" s="196" t="s">
        <v>15251</v>
      </c>
      <c r="E1737" s="196" t="s">
        <v>15252</v>
      </c>
      <c r="F1737" s="196" t="s">
        <v>13023</v>
      </c>
      <c r="G1737" s="196" t="s">
        <v>11720</v>
      </c>
      <c r="H1737" s="196" t="s">
        <v>11235</v>
      </c>
    </row>
    <row r="1738" spans="1:8" x14ac:dyDescent="0.15">
      <c r="A1738" s="196" t="s">
        <v>11229</v>
      </c>
      <c r="B1738" s="196" t="s">
        <v>11230</v>
      </c>
      <c r="C1738" s="196" t="s">
        <v>15253</v>
      </c>
      <c r="D1738" s="196" t="s">
        <v>15254</v>
      </c>
      <c r="E1738" s="196" t="s">
        <v>15255</v>
      </c>
      <c r="F1738" s="196" t="s">
        <v>11241</v>
      </c>
      <c r="G1738" s="196" t="s">
        <v>11720</v>
      </c>
      <c r="H1738" s="196" t="s">
        <v>11235</v>
      </c>
    </row>
    <row r="1739" spans="1:8" x14ac:dyDescent="0.15">
      <c r="A1739" s="196" t="s">
        <v>11229</v>
      </c>
      <c r="B1739" s="196" t="s">
        <v>11230</v>
      </c>
      <c r="C1739" s="196" t="s">
        <v>15256</v>
      </c>
      <c r="D1739" s="196" t="s">
        <v>15257</v>
      </c>
      <c r="E1739" s="196" t="s">
        <v>15258</v>
      </c>
      <c r="F1739" s="196" t="s">
        <v>11241</v>
      </c>
      <c r="G1739" s="196" t="s">
        <v>11720</v>
      </c>
      <c r="H1739" s="196" t="s">
        <v>11235</v>
      </c>
    </row>
    <row r="1740" spans="1:8" x14ac:dyDescent="0.15">
      <c r="A1740" s="196" t="s">
        <v>11229</v>
      </c>
      <c r="B1740" s="196" t="s">
        <v>11230</v>
      </c>
      <c r="C1740" s="196" t="s">
        <v>15259</v>
      </c>
      <c r="D1740" s="196" t="s">
        <v>15260</v>
      </c>
      <c r="E1740" s="196" t="s">
        <v>15261</v>
      </c>
      <c r="F1740" s="196" t="s">
        <v>11241</v>
      </c>
      <c r="G1740" s="196" t="s">
        <v>11720</v>
      </c>
      <c r="H1740" s="196" t="s">
        <v>11235</v>
      </c>
    </row>
    <row r="1741" spans="1:8" x14ac:dyDescent="0.15">
      <c r="A1741" s="196" t="s">
        <v>11229</v>
      </c>
      <c r="B1741" s="196" t="s">
        <v>11230</v>
      </c>
      <c r="C1741" s="196" t="s">
        <v>15262</v>
      </c>
      <c r="D1741" s="196" t="s">
        <v>15263</v>
      </c>
      <c r="E1741" s="196" t="s">
        <v>15264</v>
      </c>
      <c r="F1741" s="196" t="s">
        <v>11268</v>
      </c>
      <c r="G1741" s="196" t="s">
        <v>11720</v>
      </c>
      <c r="H1741" s="196" t="s">
        <v>11235</v>
      </c>
    </row>
    <row r="1742" spans="1:8" x14ac:dyDescent="0.15">
      <c r="A1742" s="196" t="s">
        <v>11229</v>
      </c>
      <c r="B1742" s="196" t="s">
        <v>11230</v>
      </c>
      <c r="C1742" s="196" t="s">
        <v>15265</v>
      </c>
      <c r="D1742" s="196" t="s">
        <v>15266</v>
      </c>
      <c r="E1742" s="196" t="s">
        <v>15267</v>
      </c>
      <c r="F1742" s="196" t="s">
        <v>11241</v>
      </c>
      <c r="G1742" s="196" t="s">
        <v>11720</v>
      </c>
      <c r="H1742" s="196" t="s">
        <v>11235</v>
      </c>
    </row>
    <row r="1743" spans="1:8" x14ac:dyDescent="0.15">
      <c r="A1743" s="196" t="s">
        <v>11229</v>
      </c>
      <c r="B1743" s="196" t="s">
        <v>11230</v>
      </c>
      <c r="C1743" s="196" t="s">
        <v>15268</v>
      </c>
      <c r="D1743" s="196" t="s">
        <v>15269</v>
      </c>
      <c r="E1743" s="196" t="s">
        <v>15270</v>
      </c>
      <c r="F1743" s="196" t="s">
        <v>13023</v>
      </c>
      <c r="G1743" s="196" t="s">
        <v>11720</v>
      </c>
      <c r="H1743" s="196" t="s">
        <v>11235</v>
      </c>
    </row>
    <row r="1744" spans="1:8" x14ac:dyDescent="0.15">
      <c r="A1744" s="196" t="s">
        <v>11229</v>
      </c>
      <c r="B1744" s="196" t="s">
        <v>11230</v>
      </c>
      <c r="C1744" s="196" t="s">
        <v>15271</v>
      </c>
      <c r="D1744" s="196" t="s">
        <v>15272</v>
      </c>
      <c r="E1744" s="196" t="s">
        <v>15273</v>
      </c>
      <c r="F1744" s="196" t="s">
        <v>11241</v>
      </c>
      <c r="G1744" s="196" t="s">
        <v>11720</v>
      </c>
      <c r="H1744" s="196" t="s">
        <v>11235</v>
      </c>
    </row>
    <row r="1745" spans="1:8" x14ac:dyDescent="0.15">
      <c r="A1745" s="196" t="s">
        <v>11229</v>
      </c>
      <c r="B1745" s="196" t="s">
        <v>11230</v>
      </c>
      <c r="C1745" s="196" t="s">
        <v>15274</v>
      </c>
      <c r="D1745" s="196" t="s">
        <v>15275</v>
      </c>
      <c r="E1745" s="196" t="s">
        <v>15275</v>
      </c>
      <c r="F1745" s="196" t="s">
        <v>11233</v>
      </c>
      <c r="G1745" s="196" t="s">
        <v>11720</v>
      </c>
      <c r="H1745" s="196" t="s">
        <v>11235</v>
      </c>
    </row>
    <row r="1746" spans="1:8" x14ac:dyDescent="0.15">
      <c r="A1746" s="196" t="s">
        <v>11229</v>
      </c>
      <c r="B1746" s="196" t="s">
        <v>11230</v>
      </c>
      <c r="C1746" s="196" t="s">
        <v>15276</v>
      </c>
      <c r="D1746" s="196" t="s">
        <v>15277</v>
      </c>
      <c r="E1746" s="196" t="s">
        <v>15277</v>
      </c>
      <c r="F1746" s="196" t="s">
        <v>11233</v>
      </c>
      <c r="G1746" s="196" t="s">
        <v>11720</v>
      </c>
      <c r="H1746" s="196" t="s">
        <v>11235</v>
      </c>
    </row>
    <row r="1747" spans="1:8" x14ac:dyDescent="0.15">
      <c r="A1747" s="196" t="s">
        <v>11229</v>
      </c>
      <c r="B1747" s="196" t="s">
        <v>11230</v>
      </c>
      <c r="C1747" s="196" t="s">
        <v>15278</v>
      </c>
      <c r="D1747" s="196" t="s">
        <v>15279</v>
      </c>
      <c r="E1747" s="196" t="s">
        <v>15280</v>
      </c>
      <c r="F1747" s="196" t="s">
        <v>11268</v>
      </c>
      <c r="G1747" s="196" t="s">
        <v>11720</v>
      </c>
      <c r="H1747" s="196" t="s">
        <v>11235</v>
      </c>
    </row>
    <row r="1748" spans="1:8" x14ac:dyDescent="0.15">
      <c r="A1748" s="196" t="s">
        <v>11229</v>
      </c>
      <c r="B1748" s="196" t="s">
        <v>11230</v>
      </c>
      <c r="C1748" s="196" t="s">
        <v>15281</v>
      </c>
      <c r="D1748" s="196" t="s">
        <v>15280</v>
      </c>
      <c r="E1748" s="196" t="s">
        <v>15282</v>
      </c>
      <c r="F1748" s="196" t="s">
        <v>11241</v>
      </c>
      <c r="G1748" s="196" t="s">
        <v>11720</v>
      </c>
      <c r="H1748" s="196" t="s">
        <v>11235</v>
      </c>
    </row>
    <row r="1749" spans="1:8" x14ac:dyDescent="0.15">
      <c r="A1749" s="196" t="s">
        <v>11229</v>
      </c>
      <c r="B1749" s="196" t="s">
        <v>11230</v>
      </c>
      <c r="C1749" s="196" t="s">
        <v>15283</v>
      </c>
      <c r="D1749" s="196" t="s">
        <v>15284</v>
      </c>
      <c r="E1749" s="196" t="s">
        <v>15284</v>
      </c>
      <c r="F1749" s="196" t="s">
        <v>11233</v>
      </c>
      <c r="G1749" s="196" t="s">
        <v>11720</v>
      </c>
      <c r="H1749" s="196" t="s">
        <v>11235</v>
      </c>
    </row>
    <row r="1750" spans="1:8" x14ac:dyDescent="0.15">
      <c r="A1750" s="196" t="s">
        <v>11229</v>
      </c>
      <c r="B1750" s="196" t="s">
        <v>11230</v>
      </c>
      <c r="C1750" s="196" t="s">
        <v>15285</v>
      </c>
      <c r="D1750" s="196" t="s">
        <v>15286</v>
      </c>
      <c r="E1750" s="196" t="s">
        <v>15286</v>
      </c>
      <c r="F1750" s="196" t="s">
        <v>11233</v>
      </c>
      <c r="G1750" s="196" t="s">
        <v>11720</v>
      </c>
      <c r="H1750" s="196" t="s">
        <v>11235</v>
      </c>
    </row>
    <row r="1751" spans="1:8" x14ac:dyDescent="0.15">
      <c r="A1751" s="196" t="s">
        <v>11229</v>
      </c>
      <c r="B1751" s="196" t="s">
        <v>11230</v>
      </c>
      <c r="C1751" s="196" t="s">
        <v>15287</v>
      </c>
      <c r="D1751" s="196" t="s">
        <v>15288</v>
      </c>
      <c r="E1751" s="196" t="s">
        <v>15288</v>
      </c>
      <c r="F1751" s="196" t="s">
        <v>11233</v>
      </c>
      <c r="G1751" s="196" t="s">
        <v>11720</v>
      </c>
      <c r="H1751" s="196" t="s">
        <v>11235</v>
      </c>
    </row>
    <row r="1752" spans="1:8" x14ac:dyDescent="0.15">
      <c r="A1752" s="196" t="s">
        <v>11229</v>
      </c>
      <c r="B1752" s="196" t="s">
        <v>11230</v>
      </c>
      <c r="C1752" s="196" t="s">
        <v>15289</v>
      </c>
      <c r="D1752" s="196" t="s">
        <v>15290</v>
      </c>
      <c r="E1752" s="196" t="s">
        <v>15291</v>
      </c>
      <c r="F1752" s="196" t="s">
        <v>11268</v>
      </c>
      <c r="G1752" s="196" t="s">
        <v>11720</v>
      </c>
      <c r="H1752" s="196" t="s">
        <v>11235</v>
      </c>
    </row>
    <row r="1753" spans="1:8" x14ac:dyDescent="0.15">
      <c r="A1753" s="196" t="s">
        <v>11229</v>
      </c>
      <c r="B1753" s="196" t="s">
        <v>11230</v>
      </c>
      <c r="C1753" s="196" t="s">
        <v>15292</v>
      </c>
      <c r="D1753" s="196" t="s">
        <v>15293</v>
      </c>
      <c r="E1753" s="196" t="s">
        <v>15294</v>
      </c>
      <c r="F1753" s="196" t="s">
        <v>11241</v>
      </c>
      <c r="G1753" s="196" t="s">
        <v>11720</v>
      </c>
      <c r="H1753" s="196" t="s">
        <v>11235</v>
      </c>
    </row>
    <row r="1754" spans="1:8" x14ac:dyDescent="0.15">
      <c r="A1754" s="196" t="s">
        <v>11229</v>
      </c>
      <c r="B1754" s="196" t="s">
        <v>11230</v>
      </c>
      <c r="C1754" s="196" t="s">
        <v>15295</v>
      </c>
      <c r="D1754" s="196" t="s">
        <v>15296</v>
      </c>
      <c r="E1754" s="196" t="s">
        <v>15297</v>
      </c>
      <c r="F1754" s="196" t="s">
        <v>11241</v>
      </c>
      <c r="G1754" s="196" t="s">
        <v>11720</v>
      </c>
      <c r="H1754" s="196" t="s">
        <v>11235</v>
      </c>
    </row>
    <row r="1755" spans="1:8" x14ac:dyDescent="0.15">
      <c r="A1755" s="196" t="s">
        <v>11229</v>
      </c>
      <c r="B1755" s="196" t="s">
        <v>11230</v>
      </c>
      <c r="C1755" s="196" t="s">
        <v>15298</v>
      </c>
      <c r="D1755" s="196" t="s">
        <v>15299</v>
      </c>
      <c r="E1755" s="196" t="s">
        <v>15299</v>
      </c>
      <c r="F1755" s="196" t="s">
        <v>11233</v>
      </c>
      <c r="G1755" s="196" t="s">
        <v>11720</v>
      </c>
      <c r="H1755" s="196" t="s">
        <v>11235</v>
      </c>
    </row>
    <row r="1756" spans="1:8" x14ac:dyDescent="0.15">
      <c r="A1756" s="196" t="s">
        <v>11229</v>
      </c>
      <c r="B1756" s="196" t="s">
        <v>11230</v>
      </c>
      <c r="C1756" s="196" t="s">
        <v>15300</v>
      </c>
      <c r="D1756" s="196" t="s">
        <v>15301</v>
      </c>
      <c r="E1756" s="196" t="s">
        <v>15302</v>
      </c>
      <c r="F1756" s="196" t="s">
        <v>11241</v>
      </c>
      <c r="G1756" s="196" t="s">
        <v>11720</v>
      </c>
      <c r="H1756" s="196" t="s">
        <v>11235</v>
      </c>
    </row>
    <row r="1757" spans="1:8" x14ac:dyDescent="0.15">
      <c r="A1757" s="196" t="s">
        <v>11229</v>
      </c>
      <c r="B1757" s="196" t="s">
        <v>11230</v>
      </c>
      <c r="C1757" s="196" t="s">
        <v>15303</v>
      </c>
      <c r="D1757" s="196" t="s">
        <v>15304</v>
      </c>
      <c r="E1757" s="196" t="s">
        <v>15305</v>
      </c>
      <c r="F1757" s="196" t="s">
        <v>11241</v>
      </c>
      <c r="G1757" s="196" t="s">
        <v>11720</v>
      </c>
      <c r="H1757" s="196" t="s">
        <v>11235</v>
      </c>
    </row>
    <row r="1758" spans="1:8" x14ac:dyDescent="0.15">
      <c r="A1758" s="196" t="s">
        <v>11229</v>
      </c>
      <c r="B1758" s="196" t="s">
        <v>11230</v>
      </c>
      <c r="C1758" s="196" t="s">
        <v>15306</v>
      </c>
      <c r="D1758" s="196" t="s">
        <v>15307</v>
      </c>
      <c r="E1758" s="196" t="s">
        <v>15307</v>
      </c>
      <c r="F1758" s="196" t="s">
        <v>11233</v>
      </c>
      <c r="G1758" s="196" t="s">
        <v>11720</v>
      </c>
      <c r="H1758" s="196" t="s">
        <v>11235</v>
      </c>
    </row>
    <row r="1759" spans="1:8" x14ac:dyDescent="0.15">
      <c r="A1759" s="196" t="s">
        <v>11229</v>
      </c>
      <c r="B1759" s="196" t="s">
        <v>11230</v>
      </c>
      <c r="C1759" s="196" t="s">
        <v>15308</v>
      </c>
      <c r="D1759" s="196" t="s">
        <v>15309</v>
      </c>
      <c r="E1759" s="196" t="s">
        <v>15310</v>
      </c>
      <c r="F1759" s="196" t="s">
        <v>11241</v>
      </c>
      <c r="G1759" s="196" t="s">
        <v>11720</v>
      </c>
      <c r="H1759" s="196" t="s">
        <v>11235</v>
      </c>
    </row>
    <row r="1760" spans="1:8" x14ac:dyDescent="0.15">
      <c r="A1760" s="196" t="s">
        <v>11229</v>
      </c>
      <c r="B1760" s="196" t="s">
        <v>11230</v>
      </c>
      <c r="C1760" s="196" t="s">
        <v>15311</v>
      </c>
      <c r="D1760" s="196" t="s">
        <v>15312</v>
      </c>
      <c r="E1760" s="196" t="s">
        <v>15312</v>
      </c>
      <c r="F1760" s="196" t="s">
        <v>11233</v>
      </c>
      <c r="G1760" s="196" t="s">
        <v>11720</v>
      </c>
      <c r="H1760" s="196" t="s">
        <v>11235</v>
      </c>
    </row>
    <row r="1761" spans="1:8" x14ac:dyDescent="0.15">
      <c r="A1761" s="196" t="s">
        <v>11229</v>
      </c>
      <c r="B1761" s="196" t="s">
        <v>11230</v>
      </c>
      <c r="C1761" s="196" t="s">
        <v>15313</v>
      </c>
      <c r="D1761" s="196" t="s">
        <v>15314</v>
      </c>
      <c r="E1761" s="196" t="s">
        <v>15314</v>
      </c>
      <c r="F1761" s="196" t="s">
        <v>11233</v>
      </c>
      <c r="G1761" s="196" t="s">
        <v>11720</v>
      </c>
      <c r="H1761" s="196" t="s">
        <v>11235</v>
      </c>
    </row>
    <row r="1762" spans="1:8" x14ac:dyDescent="0.15">
      <c r="A1762" s="196" t="s">
        <v>11229</v>
      </c>
      <c r="B1762" s="196" t="s">
        <v>11230</v>
      </c>
      <c r="C1762" s="196" t="s">
        <v>15315</v>
      </c>
      <c r="D1762" s="196" t="s">
        <v>15316</v>
      </c>
      <c r="E1762" s="196" t="s">
        <v>15316</v>
      </c>
      <c r="F1762" s="196" t="s">
        <v>11233</v>
      </c>
      <c r="G1762" s="196" t="s">
        <v>11720</v>
      </c>
      <c r="H1762" s="196" t="s">
        <v>11235</v>
      </c>
    </row>
    <row r="1763" spans="1:8" x14ac:dyDescent="0.15">
      <c r="A1763" s="196" t="s">
        <v>11229</v>
      </c>
      <c r="B1763" s="196" t="s">
        <v>11230</v>
      </c>
      <c r="C1763" s="196" t="s">
        <v>15317</v>
      </c>
      <c r="D1763" s="196" t="s">
        <v>15318</v>
      </c>
      <c r="E1763" s="196" t="s">
        <v>15318</v>
      </c>
      <c r="F1763" s="196" t="s">
        <v>11233</v>
      </c>
      <c r="G1763" s="196" t="s">
        <v>11720</v>
      </c>
      <c r="H1763" s="196" t="s">
        <v>11235</v>
      </c>
    </row>
    <row r="1764" spans="1:8" x14ac:dyDescent="0.15">
      <c r="A1764" s="196" t="s">
        <v>11229</v>
      </c>
      <c r="B1764" s="196" t="s">
        <v>11230</v>
      </c>
      <c r="C1764" s="196" t="s">
        <v>15319</v>
      </c>
      <c r="D1764" s="196" t="s">
        <v>15320</v>
      </c>
      <c r="E1764" s="196" t="s">
        <v>15320</v>
      </c>
      <c r="F1764" s="196" t="s">
        <v>11233</v>
      </c>
      <c r="G1764" s="196" t="s">
        <v>11720</v>
      </c>
      <c r="H1764" s="196" t="s">
        <v>11235</v>
      </c>
    </row>
    <row r="1765" spans="1:8" x14ac:dyDescent="0.15">
      <c r="A1765" s="196" t="s">
        <v>11229</v>
      </c>
      <c r="B1765" s="196" t="s">
        <v>11230</v>
      </c>
      <c r="C1765" s="196" t="s">
        <v>15321</v>
      </c>
      <c r="D1765" s="196" t="s">
        <v>15322</v>
      </c>
      <c r="E1765" s="196" t="s">
        <v>15322</v>
      </c>
      <c r="F1765" s="196" t="s">
        <v>11233</v>
      </c>
      <c r="G1765" s="196" t="s">
        <v>11720</v>
      </c>
      <c r="H1765" s="196" t="s">
        <v>11235</v>
      </c>
    </row>
    <row r="1766" spans="1:8" x14ac:dyDescent="0.15">
      <c r="A1766" s="196" t="s">
        <v>11229</v>
      </c>
      <c r="B1766" s="196" t="s">
        <v>11230</v>
      </c>
      <c r="C1766" s="196" t="s">
        <v>15323</v>
      </c>
      <c r="D1766" s="196" t="s">
        <v>15324</v>
      </c>
      <c r="E1766" s="196" t="s">
        <v>15324</v>
      </c>
      <c r="F1766" s="196" t="s">
        <v>11233</v>
      </c>
      <c r="G1766" s="196" t="s">
        <v>11720</v>
      </c>
      <c r="H1766" s="196" t="s">
        <v>11235</v>
      </c>
    </row>
    <row r="1767" spans="1:8" x14ac:dyDescent="0.15">
      <c r="A1767" s="196" t="s">
        <v>11229</v>
      </c>
      <c r="B1767" s="196" t="s">
        <v>11230</v>
      </c>
      <c r="C1767" s="196" t="s">
        <v>15325</v>
      </c>
      <c r="D1767" s="196" t="s">
        <v>15326</v>
      </c>
      <c r="E1767" s="196" t="s">
        <v>15326</v>
      </c>
      <c r="F1767" s="196" t="s">
        <v>11233</v>
      </c>
      <c r="G1767" s="196" t="s">
        <v>11720</v>
      </c>
      <c r="H1767" s="196" t="s">
        <v>11235</v>
      </c>
    </row>
    <row r="1768" spans="1:8" x14ac:dyDescent="0.15">
      <c r="A1768" s="196" t="s">
        <v>11229</v>
      </c>
      <c r="B1768" s="196" t="s">
        <v>11230</v>
      </c>
      <c r="C1768" s="196" t="s">
        <v>15327</v>
      </c>
      <c r="D1768" s="196" t="s">
        <v>15328</v>
      </c>
      <c r="E1768" s="196" t="s">
        <v>15328</v>
      </c>
      <c r="F1768" s="196" t="s">
        <v>11233</v>
      </c>
      <c r="G1768" s="196" t="s">
        <v>11720</v>
      </c>
      <c r="H1768" s="196" t="s">
        <v>11235</v>
      </c>
    </row>
    <row r="1769" spans="1:8" x14ac:dyDescent="0.15">
      <c r="A1769" s="196" t="s">
        <v>11229</v>
      </c>
      <c r="B1769" s="196" t="s">
        <v>11230</v>
      </c>
      <c r="C1769" s="196" t="s">
        <v>15329</v>
      </c>
      <c r="D1769" s="196" t="s">
        <v>15330</v>
      </c>
      <c r="E1769" s="196" t="s">
        <v>15330</v>
      </c>
      <c r="F1769" s="196" t="s">
        <v>11233</v>
      </c>
      <c r="G1769" s="196" t="s">
        <v>11720</v>
      </c>
      <c r="H1769" s="196" t="s">
        <v>11235</v>
      </c>
    </row>
    <row r="1770" spans="1:8" x14ac:dyDescent="0.15">
      <c r="A1770" s="196" t="s">
        <v>11229</v>
      </c>
      <c r="B1770" s="196" t="s">
        <v>11230</v>
      </c>
      <c r="C1770" s="196" t="s">
        <v>15331</v>
      </c>
      <c r="D1770" s="196" t="s">
        <v>15332</v>
      </c>
      <c r="E1770" s="196" t="s">
        <v>15332</v>
      </c>
      <c r="F1770" s="196" t="s">
        <v>11233</v>
      </c>
      <c r="G1770" s="196" t="s">
        <v>11720</v>
      </c>
      <c r="H1770" s="196" t="s">
        <v>11235</v>
      </c>
    </row>
    <row r="1771" spans="1:8" x14ac:dyDescent="0.15">
      <c r="A1771" s="196" t="s">
        <v>11229</v>
      </c>
      <c r="B1771" s="196" t="s">
        <v>11230</v>
      </c>
      <c r="C1771" s="196" t="s">
        <v>15333</v>
      </c>
      <c r="D1771" s="196" t="s">
        <v>15334</v>
      </c>
      <c r="E1771" s="196" t="s">
        <v>15334</v>
      </c>
      <c r="F1771" s="196" t="s">
        <v>11233</v>
      </c>
      <c r="G1771" s="196" t="s">
        <v>11720</v>
      </c>
      <c r="H1771" s="196" t="s">
        <v>11235</v>
      </c>
    </row>
    <row r="1772" spans="1:8" x14ac:dyDescent="0.15">
      <c r="A1772" s="196" t="s">
        <v>11229</v>
      </c>
      <c r="B1772" s="196" t="s">
        <v>11230</v>
      </c>
      <c r="C1772" s="196" t="s">
        <v>15335</v>
      </c>
      <c r="D1772" s="196" t="s">
        <v>15336</v>
      </c>
      <c r="E1772" s="196" t="s">
        <v>15336</v>
      </c>
      <c r="F1772" s="196" t="s">
        <v>11233</v>
      </c>
      <c r="G1772" s="196" t="s">
        <v>11720</v>
      </c>
      <c r="H1772" s="196" t="s">
        <v>11235</v>
      </c>
    </row>
    <row r="1773" spans="1:8" x14ac:dyDescent="0.15">
      <c r="A1773" s="196" t="s">
        <v>11229</v>
      </c>
      <c r="B1773" s="196" t="s">
        <v>11230</v>
      </c>
      <c r="C1773" s="196" t="s">
        <v>15337</v>
      </c>
      <c r="D1773" s="196" t="s">
        <v>15338</v>
      </c>
      <c r="E1773" s="196" t="s">
        <v>15339</v>
      </c>
      <c r="F1773" s="196" t="s">
        <v>11241</v>
      </c>
      <c r="G1773" s="196" t="s">
        <v>11720</v>
      </c>
      <c r="H1773" s="196" t="s">
        <v>11235</v>
      </c>
    </row>
    <row r="1774" spans="1:8" x14ac:dyDescent="0.15">
      <c r="A1774" s="196" t="s">
        <v>11229</v>
      </c>
      <c r="B1774" s="196" t="s">
        <v>11230</v>
      </c>
      <c r="C1774" s="196" t="s">
        <v>15340</v>
      </c>
      <c r="D1774" s="196" t="s">
        <v>15341</v>
      </c>
      <c r="E1774" s="196" t="s">
        <v>15342</v>
      </c>
      <c r="F1774" s="196" t="s">
        <v>11268</v>
      </c>
      <c r="G1774" s="196" t="s">
        <v>11720</v>
      </c>
      <c r="H1774" s="196" t="s">
        <v>11235</v>
      </c>
    </row>
    <row r="1775" spans="1:8" x14ac:dyDescent="0.15">
      <c r="A1775" s="196" t="s">
        <v>11229</v>
      </c>
      <c r="B1775" s="196" t="s">
        <v>11230</v>
      </c>
      <c r="C1775" s="196" t="s">
        <v>15343</v>
      </c>
      <c r="D1775" s="196" t="s">
        <v>15344</v>
      </c>
      <c r="E1775" s="196" t="s">
        <v>15345</v>
      </c>
      <c r="F1775" s="196" t="s">
        <v>11241</v>
      </c>
      <c r="G1775" s="196" t="s">
        <v>11720</v>
      </c>
      <c r="H1775" s="196" t="s">
        <v>11235</v>
      </c>
    </row>
    <row r="1776" spans="1:8" x14ac:dyDescent="0.15">
      <c r="A1776" s="196" t="s">
        <v>11229</v>
      </c>
      <c r="B1776" s="196" t="s">
        <v>11230</v>
      </c>
      <c r="C1776" s="196" t="s">
        <v>15346</v>
      </c>
      <c r="D1776" s="196" t="s">
        <v>15347</v>
      </c>
      <c r="E1776" s="196" t="s">
        <v>15347</v>
      </c>
      <c r="F1776" s="196" t="s">
        <v>11233</v>
      </c>
      <c r="G1776" s="196" t="s">
        <v>11720</v>
      </c>
      <c r="H1776" s="196" t="s">
        <v>11235</v>
      </c>
    </row>
    <row r="1777" spans="1:8" x14ac:dyDescent="0.15">
      <c r="A1777" s="196" t="s">
        <v>11229</v>
      </c>
      <c r="B1777" s="196" t="s">
        <v>11230</v>
      </c>
      <c r="C1777" s="196" t="s">
        <v>15348</v>
      </c>
      <c r="D1777" s="196" t="s">
        <v>15349</v>
      </c>
      <c r="E1777" s="196" t="s">
        <v>15349</v>
      </c>
      <c r="F1777" s="196" t="s">
        <v>11233</v>
      </c>
      <c r="G1777" s="196" t="s">
        <v>11720</v>
      </c>
      <c r="H1777" s="196" t="s">
        <v>11235</v>
      </c>
    </row>
    <row r="1778" spans="1:8" x14ac:dyDescent="0.15">
      <c r="A1778" s="196" t="s">
        <v>11229</v>
      </c>
      <c r="B1778" s="196" t="s">
        <v>11230</v>
      </c>
      <c r="C1778" s="196" t="s">
        <v>15350</v>
      </c>
      <c r="D1778" s="196" t="s">
        <v>15351</v>
      </c>
      <c r="E1778" s="196" t="s">
        <v>15352</v>
      </c>
      <c r="F1778" s="196" t="s">
        <v>11268</v>
      </c>
      <c r="G1778" s="196" t="s">
        <v>11720</v>
      </c>
      <c r="H1778" s="196" t="s">
        <v>11235</v>
      </c>
    </row>
    <row r="1779" spans="1:8" x14ac:dyDescent="0.15">
      <c r="A1779" s="196" t="s">
        <v>11229</v>
      </c>
      <c r="B1779" s="196" t="s">
        <v>11230</v>
      </c>
      <c r="C1779" s="196" t="s">
        <v>15353</v>
      </c>
      <c r="D1779" s="196" t="s">
        <v>15354</v>
      </c>
      <c r="E1779" s="196" t="s">
        <v>15354</v>
      </c>
      <c r="F1779" s="196" t="s">
        <v>11233</v>
      </c>
      <c r="G1779" s="196" t="s">
        <v>11720</v>
      </c>
      <c r="H1779" s="196" t="s">
        <v>11235</v>
      </c>
    </row>
    <row r="1780" spans="1:8" x14ac:dyDescent="0.15">
      <c r="A1780" s="196" t="s">
        <v>11229</v>
      </c>
      <c r="B1780" s="196" t="s">
        <v>11230</v>
      </c>
      <c r="C1780" s="196" t="s">
        <v>15355</v>
      </c>
      <c r="D1780" s="196" t="s">
        <v>15356</v>
      </c>
      <c r="E1780" s="196" t="s">
        <v>15356</v>
      </c>
      <c r="F1780" s="196" t="s">
        <v>11233</v>
      </c>
      <c r="G1780" s="196" t="s">
        <v>11720</v>
      </c>
      <c r="H1780" s="196" t="s">
        <v>11235</v>
      </c>
    </row>
    <row r="1781" spans="1:8" x14ac:dyDescent="0.15">
      <c r="A1781" s="196" t="s">
        <v>11229</v>
      </c>
      <c r="B1781" s="196" t="s">
        <v>11230</v>
      </c>
      <c r="C1781" s="196" t="s">
        <v>15357</v>
      </c>
      <c r="D1781" s="196" t="s">
        <v>15358</v>
      </c>
      <c r="E1781" s="196" t="s">
        <v>15358</v>
      </c>
      <c r="F1781" s="196" t="s">
        <v>11233</v>
      </c>
      <c r="G1781" s="196" t="s">
        <v>11720</v>
      </c>
      <c r="H1781" s="196" t="s">
        <v>11235</v>
      </c>
    </row>
    <row r="1782" spans="1:8" x14ac:dyDescent="0.15">
      <c r="A1782" s="196" t="s">
        <v>11229</v>
      </c>
      <c r="B1782" s="196" t="s">
        <v>11230</v>
      </c>
      <c r="C1782" s="196" t="s">
        <v>15359</v>
      </c>
      <c r="D1782" s="196" t="s">
        <v>15360</v>
      </c>
      <c r="E1782" s="196" t="s">
        <v>15360</v>
      </c>
      <c r="F1782" s="196" t="s">
        <v>11233</v>
      </c>
      <c r="G1782" s="196" t="s">
        <v>11720</v>
      </c>
      <c r="H1782" s="196" t="s">
        <v>11235</v>
      </c>
    </row>
    <row r="1783" spans="1:8" x14ac:dyDescent="0.15">
      <c r="A1783" s="196" t="s">
        <v>11229</v>
      </c>
      <c r="B1783" s="196" t="s">
        <v>11230</v>
      </c>
      <c r="C1783" s="196" t="s">
        <v>15361</v>
      </c>
      <c r="D1783" s="196" t="s">
        <v>15362</v>
      </c>
      <c r="E1783" s="196" t="s">
        <v>15362</v>
      </c>
      <c r="F1783" s="196" t="s">
        <v>11233</v>
      </c>
      <c r="G1783" s="196" t="s">
        <v>11720</v>
      </c>
      <c r="H1783" s="196" t="s">
        <v>11235</v>
      </c>
    </row>
    <row r="1784" spans="1:8" x14ac:dyDescent="0.15">
      <c r="A1784" s="196" t="s">
        <v>11229</v>
      </c>
      <c r="B1784" s="196" t="s">
        <v>11230</v>
      </c>
      <c r="C1784" s="196" t="s">
        <v>15363</v>
      </c>
      <c r="D1784" s="196" t="s">
        <v>15364</v>
      </c>
      <c r="E1784" s="196" t="s">
        <v>15364</v>
      </c>
      <c r="F1784" s="196" t="s">
        <v>11233</v>
      </c>
      <c r="G1784" s="196" t="s">
        <v>11720</v>
      </c>
      <c r="H1784" s="196" t="s">
        <v>11235</v>
      </c>
    </row>
    <row r="1785" spans="1:8" x14ac:dyDescent="0.15">
      <c r="A1785" s="196" t="s">
        <v>11229</v>
      </c>
      <c r="B1785" s="196" t="s">
        <v>11230</v>
      </c>
      <c r="C1785" s="196" t="s">
        <v>15365</v>
      </c>
      <c r="D1785" s="196" t="s">
        <v>15366</v>
      </c>
      <c r="E1785" s="196" t="s">
        <v>15366</v>
      </c>
      <c r="F1785" s="196" t="s">
        <v>11233</v>
      </c>
      <c r="G1785" s="196" t="s">
        <v>11720</v>
      </c>
      <c r="H1785" s="196" t="s">
        <v>11235</v>
      </c>
    </row>
    <row r="1786" spans="1:8" x14ac:dyDescent="0.15">
      <c r="A1786" s="196" t="s">
        <v>11229</v>
      </c>
      <c r="B1786" s="196" t="s">
        <v>11230</v>
      </c>
      <c r="C1786" s="196" t="s">
        <v>15367</v>
      </c>
      <c r="D1786" s="196" t="s">
        <v>15368</v>
      </c>
      <c r="E1786" s="196" t="s">
        <v>15368</v>
      </c>
      <c r="F1786" s="196" t="s">
        <v>11233</v>
      </c>
      <c r="G1786" s="196" t="s">
        <v>11720</v>
      </c>
      <c r="H1786" s="196" t="s">
        <v>11235</v>
      </c>
    </row>
    <row r="1787" spans="1:8" x14ac:dyDescent="0.15">
      <c r="A1787" s="196" t="s">
        <v>11229</v>
      </c>
      <c r="B1787" s="196" t="s">
        <v>11230</v>
      </c>
      <c r="C1787" s="196" t="s">
        <v>15369</v>
      </c>
      <c r="D1787" s="196" t="s">
        <v>15370</v>
      </c>
      <c r="E1787" s="196" t="s">
        <v>15370</v>
      </c>
      <c r="F1787" s="196" t="s">
        <v>11233</v>
      </c>
      <c r="G1787" s="196" t="s">
        <v>11720</v>
      </c>
      <c r="H1787" s="196" t="s">
        <v>11235</v>
      </c>
    </row>
    <row r="1788" spans="1:8" x14ac:dyDescent="0.15">
      <c r="A1788" s="196" t="s">
        <v>11229</v>
      </c>
      <c r="B1788" s="196" t="s">
        <v>11230</v>
      </c>
      <c r="C1788" s="196" t="s">
        <v>15371</v>
      </c>
      <c r="D1788" s="196" t="s">
        <v>15372</v>
      </c>
      <c r="E1788" s="196" t="s">
        <v>15373</v>
      </c>
      <c r="F1788" s="196" t="s">
        <v>11241</v>
      </c>
      <c r="G1788" s="196" t="s">
        <v>11720</v>
      </c>
      <c r="H1788" s="196" t="s">
        <v>11235</v>
      </c>
    </row>
    <row r="1789" spans="1:8" x14ac:dyDescent="0.15">
      <c r="A1789" s="196" t="s">
        <v>11229</v>
      </c>
      <c r="B1789" s="196" t="s">
        <v>11230</v>
      </c>
      <c r="C1789" s="196" t="s">
        <v>15374</v>
      </c>
      <c r="D1789" s="196" t="s">
        <v>15375</v>
      </c>
      <c r="E1789" s="196" t="s">
        <v>15376</v>
      </c>
      <c r="F1789" s="196" t="s">
        <v>13023</v>
      </c>
      <c r="G1789" s="196" t="s">
        <v>11720</v>
      </c>
      <c r="H1789" s="196" t="s">
        <v>11235</v>
      </c>
    </row>
    <row r="1790" spans="1:8" x14ac:dyDescent="0.15">
      <c r="A1790" s="196" t="s">
        <v>11229</v>
      </c>
      <c r="B1790" s="196" t="s">
        <v>11230</v>
      </c>
      <c r="C1790" s="196" t="s">
        <v>15377</v>
      </c>
      <c r="D1790" s="196" t="s">
        <v>15376</v>
      </c>
      <c r="E1790" s="196" t="s">
        <v>15378</v>
      </c>
      <c r="F1790" s="196" t="s">
        <v>11241</v>
      </c>
      <c r="G1790" s="196" t="s">
        <v>11720</v>
      </c>
      <c r="H1790" s="196" t="s">
        <v>11235</v>
      </c>
    </row>
    <row r="1791" spans="1:8" x14ac:dyDescent="0.15">
      <c r="A1791" s="196" t="s">
        <v>11229</v>
      </c>
      <c r="B1791" s="196" t="s">
        <v>11230</v>
      </c>
      <c r="C1791" s="196" t="s">
        <v>15379</v>
      </c>
      <c r="D1791" s="196" t="s">
        <v>15380</v>
      </c>
      <c r="E1791" s="196" t="s">
        <v>15380</v>
      </c>
      <c r="F1791" s="196" t="s">
        <v>11233</v>
      </c>
      <c r="G1791" s="196" t="s">
        <v>11720</v>
      </c>
      <c r="H1791" s="196" t="s">
        <v>11235</v>
      </c>
    </row>
    <row r="1792" spans="1:8" x14ac:dyDescent="0.15">
      <c r="A1792" s="196" t="s">
        <v>11229</v>
      </c>
      <c r="B1792" s="196" t="s">
        <v>11230</v>
      </c>
      <c r="C1792" s="196" t="s">
        <v>15381</v>
      </c>
      <c r="D1792" s="196" t="s">
        <v>15382</v>
      </c>
      <c r="E1792" s="196" t="s">
        <v>15383</v>
      </c>
      <c r="F1792" s="196" t="s">
        <v>11241</v>
      </c>
      <c r="G1792" s="196" t="s">
        <v>11720</v>
      </c>
      <c r="H1792" s="196" t="s">
        <v>11235</v>
      </c>
    </row>
    <row r="1793" spans="1:8" x14ac:dyDescent="0.15">
      <c r="A1793" s="196" t="s">
        <v>11229</v>
      </c>
      <c r="B1793" s="196" t="s">
        <v>11230</v>
      </c>
      <c r="C1793" s="196" t="s">
        <v>15384</v>
      </c>
      <c r="D1793" s="196" t="s">
        <v>15385</v>
      </c>
      <c r="E1793" s="196" t="s">
        <v>15385</v>
      </c>
      <c r="F1793" s="196" t="s">
        <v>11233</v>
      </c>
      <c r="G1793" s="196" t="s">
        <v>11720</v>
      </c>
      <c r="H1793" s="196" t="s">
        <v>11235</v>
      </c>
    </row>
    <row r="1794" spans="1:8" x14ac:dyDescent="0.15">
      <c r="A1794" s="196" t="s">
        <v>11229</v>
      </c>
      <c r="B1794" s="196" t="s">
        <v>11230</v>
      </c>
      <c r="C1794" s="196" t="s">
        <v>15386</v>
      </c>
      <c r="D1794" s="196" t="s">
        <v>15387</v>
      </c>
      <c r="E1794" s="196" t="s">
        <v>15388</v>
      </c>
      <c r="F1794" s="196" t="s">
        <v>15389</v>
      </c>
      <c r="G1794" s="196" t="s">
        <v>11720</v>
      </c>
      <c r="H1794" s="196" t="s">
        <v>11235</v>
      </c>
    </row>
    <row r="1795" spans="1:8" x14ac:dyDescent="0.15">
      <c r="A1795" s="196" t="s">
        <v>11229</v>
      </c>
      <c r="B1795" s="196" t="s">
        <v>11230</v>
      </c>
      <c r="C1795" s="196" t="s">
        <v>15390</v>
      </c>
      <c r="D1795" s="196" t="s">
        <v>15388</v>
      </c>
      <c r="E1795" s="196" t="s">
        <v>15391</v>
      </c>
      <c r="F1795" s="196" t="s">
        <v>11268</v>
      </c>
      <c r="G1795" s="196" t="s">
        <v>11720</v>
      </c>
      <c r="H1795" s="196" t="s">
        <v>11235</v>
      </c>
    </row>
    <row r="1796" spans="1:8" x14ac:dyDescent="0.15">
      <c r="A1796" s="196" t="s">
        <v>11229</v>
      </c>
      <c r="B1796" s="196" t="s">
        <v>11230</v>
      </c>
      <c r="C1796" s="196" t="s">
        <v>15392</v>
      </c>
      <c r="D1796" s="196" t="s">
        <v>15391</v>
      </c>
      <c r="E1796" s="196" t="s">
        <v>15393</v>
      </c>
      <c r="F1796" s="196" t="s">
        <v>11241</v>
      </c>
      <c r="G1796" s="196" t="s">
        <v>11720</v>
      </c>
      <c r="H1796" s="196" t="s">
        <v>11235</v>
      </c>
    </row>
    <row r="1797" spans="1:8" x14ac:dyDescent="0.15">
      <c r="A1797" s="196" t="s">
        <v>11229</v>
      </c>
      <c r="B1797" s="196" t="s">
        <v>11230</v>
      </c>
      <c r="C1797" s="196" t="s">
        <v>15394</v>
      </c>
      <c r="D1797" s="196" t="s">
        <v>15395</v>
      </c>
      <c r="E1797" s="196" t="s">
        <v>15396</v>
      </c>
      <c r="F1797" s="196" t="s">
        <v>11268</v>
      </c>
      <c r="G1797" s="196" t="s">
        <v>11720</v>
      </c>
      <c r="H1797" s="196" t="s">
        <v>11235</v>
      </c>
    </row>
    <row r="1798" spans="1:8" x14ac:dyDescent="0.15">
      <c r="A1798" s="196" t="s">
        <v>11229</v>
      </c>
      <c r="B1798" s="196" t="s">
        <v>11230</v>
      </c>
      <c r="C1798" s="196" t="s">
        <v>15397</v>
      </c>
      <c r="D1798" s="196" t="s">
        <v>15398</v>
      </c>
      <c r="E1798" s="196" t="s">
        <v>15399</v>
      </c>
      <c r="F1798" s="196" t="s">
        <v>11268</v>
      </c>
      <c r="G1798" s="196" t="s">
        <v>11720</v>
      </c>
      <c r="H1798" s="196" t="s">
        <v>11235</v>
      </c>
    </row>
    <row r="1799" spans="1:8" x14ac:dyDescent="0.15">
      <c r="A1799" s="196" t="s">
        <v>11229</v>
      </c>
      <c r="B1799" s="196" t="s">
        <v>11230</v>
      </c>
      <c r="C1799" s="196" t="s">
        <v>15400</v>
      </c>
      <c r="D1799" s="196" t="s">
        <v>15401</v>
      </c>
      <c r="E1799" s="196" t="s">
        <v>15401</v>
      </c>
      <c r="F1799" s="196" t="s">
        <v>11233</v>
      </c>
      <c r="G1799" s="196" t="s">
        <v>11720</v>
      </c>
      <c r="H1799" s="196" t="s">
        <v>11235</v>
      </c>
    </row>
    <row r="1800" spans="1:8" x14ac:dyDescent="0.15">
      <c r="A1800" s="196" t="s">
        <v>11229</v>
      </c>
      <c r="B1800" s="196" t="s">
        <v>11230</v>
      </c>
      <c r="C1800" s="196" t="s">
        <v>15402</v>
      </c>
      <c r="D1800" s="196" t="s">
        <v>15403</v>
      </c>
      <c r="E1800" s="196" t="s">
        <v>15403</v>
      </c>
      <c r="F1800" s="196" t="s">
        <v>11233</v>
      </c>
      <c r="G1800" s="196" t="s">
        <v>11720</v>
      </c>
      <c r="H1800" s="196" t="s">
        <v>11235</v>
      </c>
    </row>
    <row r="1801" spans="1:8" x14ac:dyDescent="0.15">
      <c r="A1801" s="196" t="s">
        <v>11229</v>
      </c>
      <c r="B1801" s="196" t="s">
        <v>11230</v>
      </c>
      <c r="C1801" s="196" t="s">
        <v>15404</v>
      </c>
      <c r="D1801" s="196" t="s">
        <v>15405</v>
      </c>
      <c r="E1801" s="196" t="s">
        <v>15406</v>
      </c>
      <c r="F1801" s="196" t="s">
        <v>11241</v>
      </c>
      <c r="G1801" s="196" t="s">
        <v>11720</v>
      </c>
      <c r="H1801" s="196" t="s">
        <v>11235</v>
      </c>
    </row>
    <row r="1802" spans="1:8" x14ac:dyDescent="0.15">
      <c r="A1802" s="196" t="s">
        <v>11229</v>
      </c>
      <c r="B1802" s="196" t="s">
        <v>11230</v>
      </c>
      <c r="C1802" s="196" t="s">
        <v>15407</v>
      </c>
      <c r="D1802" s="196" t="s">
        <v>15408</v>
      </c>
      <c r="E1802" s="196" t="s">
        <v>15409</v>
      </c>
      <c r="F1802" s="196" t="s">
        <v>11241</v>
      </c>
      <c r="G1802" s="196" t="s">
        <v>11720</v>
      </c>
      <c r="H1802" s="196" t="s">
        <v>11235</v>
      </c>
    </row>
    <row r="1803" spans="1:8" x14ac:dyDescent="0.15">
      <c r="A1803" s="196" t="s">
        <v>11229</v>
      </c>
      <c r="B1803" s="196" t="s">
        <v>11230</v>
      </c>
      <c r="C1803" s="196" t="s">
        <v>15410</v>
      </c>
      <c r="D1803" s="196" t="s">
        <v>15411</v>
      </c>
      <c r="E1803" s="196" t="s">
        <v>15412</v>
      </c>
      <c r="F1803" s="196" t="s">
        <v>13758</v>
      </c>
      <c r="G1803" s="196" t="s">
        <v>11720</v>
      </c>
      <c r="H1803" s="196" t="s">
        <v>11235</v>
      </c>
    </row>
    <row r="1804" spans="1:8" x14ac:dyDescent="0.15">
      <c r="A1804" s="196" t="s">
        <v>11229</v>
      </c>
      <c r="B1804" s="196" t="s">
        <v>11230</v>
      </c>
      <c r="C1804" s="196" t="s">
        <v>15413</v>
      </c>
      <c r="D1804" s="196" t="s">
        <v>15414</v>
      </c>
      <c r="E1804" s="196" t="s">
        <v>15414</v>
      </c>
      <c r="F1804" s="196" t="s">
        <v>11233</v>
      </c>
      <c r="G1804" s="196" t="s">
        <v>11720</v>
      </c>
      <c r="H1804" s="196" t="s">
        <v>11235</v>
      </c>
    </row>
    <row r="1805" spans="1:8" x14ac:dyDescent="0.15">
      <c r="A1805" s="196" t="s">
        <v>11229</v>
      </c>
      <c r="B1805" s="196" t="s">
        <v>11230</v>
      </c>
      <c r="C1805" s="196" t="s">
        <v>15415</v>
      </c>
      <c r="D1805" s="196" t="s">
        <v>15416</v>
      </c>
      <c r="E1805" s="196" t="s">
        <v>15417</v>
      </c>
      <c r="F1805" s="196" t="s">
        <v>11268</v>
      </c>
      <c r="G1805" s="196" t="s">
        <v>11720</v>
      </c>
      <c r="H1805" s="196" t="s">
        <v>11235</v>
      </c>
    </row>
    <row r="1806" spans="1:8" x14ac:dyDescent="0.15">
      <c r="A1806" s="196" t="s">
        <v>11229</v>
      </c>
      <c r="B1806" s="196" t="s">
        <v>11230</v>
      </c>
      <c r="C1806" s="196" t="s">
        <v>15418</v>
      </c>
      <c r="D1806" s="196" t="s">
        <v>15419</v>
      </c>
      <c r="E1806" s="196" t="s">
        <v>15419</v>
      </c>
      <c r="F1806" s="196" t="s">
        <v>11233</v>
      </c>
      <c r="G1806" s="196" t="s">
        <v>11720</v>
      </c>
      <c r="H1806" s="196" t="s">
        <v>11235</v>
      </c>
    </row>
    <row r="1807" spans="1:8" x14ac:dyDescent="0.15">
      <c r="A1807" s="196" t="s">
        <v>11229</v>
      </c>
      <c r="B1807" s="196" t="s">
        <v>11230</v>
      </c>
      <c r="C1807" s="196" t="s">
        <v>15420</v>
      </c>
      <c r="D1807" s="196" t="s">
        <v>15421</v>
      </c>
      <c r="E1807" s="196" t="s">
        <v>15421</v>
      </c>
      <c r="F1807" s="196" t="s">
        <v>11233</v>
      </c>
      <c r="G1807" s="196" t="s">
        <v>11720</v>
      </c>
      <c r="H1807" s="196" t="s">
        <v>11235</v>
      </c>
    </row>
    <row r="1808" spans="1:8" x14ac:dyDescent="0.15">
      <c r="A1808" s="196" t="s">
        <v>11229</v>
      </c>
      <c r="B1808" s="196" t="s">
        <v>11230</v>
      </c>
      <c r="C1808" s="196" t="s">
        <v>15422</v>
      </c>
      <c r="D1808" s="196" t="s">
        <v>15423</v>
      </c>
      <c r="E1808" s="196" t="s">
        <v>15423</v>
      </c>
      <c r="F1808" s="196" t="s">
        <v>11233</v>
      </c>
      <c r="G1808" s="196" t="s">
        <v>11720</v>
      </c>
      <c r="H1808" s="196" t="s">
        <v>11235</v>
      </c>
    </row>
    <row r="1809" spans="1:8" x14ac:dyDescent="0.15">
      <c r="A1809" s="196" t="s">
        <v>11229</v>
      </c>
      <c r="B1809" s="196" t="s">
        <v>11230</v>
      </c>
      <c r="C1809" s="196" t="s">
        <v>15424</v>
      </c>
      <c r="D1809" s="196" t="s">
        <v>15425</v>
      </c>
      <c r="E1809" s="196" t="s">
        <v>15425</v>
      </c>
      <c r="F1809" s="196" t="s">
        <v>11233</v>
      </c>
      <c r="G1809" s="196" t="s">
        <v>11720</v>
      </c>
      <c r="H1809" s="196" t="s">
        <v>11235</v>
      </c>
    </row>
    <row r="1810" spans="1:8" x14ac:dyDescent="0.15">
      <c r="A1810" s="196" t="s">
        <v>11229</v>
      </c>
      <c r="B1810" s="196" t="s">
        <v>11230</v>
      </c>
      <c r="C1810" s="196" t="s">
        <v>15426</v>
      </c>
      <c r="D1810" s="196" t="s">
        <v>15427</v>
      </c>
      <c r="E1810" s="196" t="s">
        <v>15427</v>
      </c>
      <c r="F1810" s="196" t="s">
        <v>11233</v>
      </c>
      <c r="G1810" s="196" t="s">
        <v>11720</v>
      </c>
      <c r="H1810" s="196" t="s">
        <v>11235</v>
      </c>
    </row>
    <row r="1811" spans="1:8" x14ac:dyDescent="0.15">
      <c r="A1811" s="196" t="s">
        <v>11229</v>
      </c>
      <c r="B1811" s="196" t="s">
        <v>11230</v>
      </c>
      <c r="C1811" s="196" t="s">
        <v>15428</v>
      </c>
      <c r="D1811" s="196" t="s">
        <v>15429</v>
      </c>
      <c r="E1811" s="196" t="s">
        <v>15429</v>
      </c>
      <c r="F1811" s="196" t="s">
        <v>11233</v>
      </c>
      <c r="G1811" s="196" t="s">
        <v>11720</v>
      </c>
      <c r="H1811" s="196" t="s">
        <v>11235</v>
      </c>
    </row>
    <row r="1812" spans="1:8" x14ac:dyDescent="0.15">
      <c r="A1812" s="196" t="s">
        <v>11229</v>
      </c>
      <c r="B1812" s="196" t="s">
        <v>11230</v>
      </c>
      <c r="C1812" s="196" t="s">
        <v>15430</v>
      </c>
      <c r="D1812" s="196" t="s">
        <v>15431</v>
      </c>
      <c r="E1812" s="196" t="s">
        <v>15431</v>
      </c>
      <c r="F1812" s="196" t="s">
        <v>11233</v>
      </c>
      <c r="G1812" s="196" t="s">
        <v>11720</v>
      </c>
      <c r="H1812" s="196" t="s">
        <v>11235</v>
      </c>
    </row>
    <row r="1813" spans="1:8" x14ac:dyDescent="0.15">
      <c r="A1813" s="196" t="s">
        <v>11229</v>
      </c>
      <c r="B1813" s="196" t="s">
        <v>11230</v>
      </c>
      <c r="C1813" s="196" t="s">
        <v>15432</v>
      </c>
      <c r="D1813" s="196" t="s">
        <v>15433</v>
      </c>
      <c r="E1813" s="196" t="s">
        <v>15433</v>
      </c>
      <c r="F1813" s="196" t="s">
        <v>11233</v>
      </c>
      <c r="G1813" s="196" t="s">
        <v>11720</v>
      </c>
      <c r="H1813" s="196" t="s">
        <v>11235</v>
      </c>
    </row>
    <row r="1814" spans="1:8" x14ac:dyDescent="0.15">
      <c r="A1814" s="196" t="s">
        <v>11229</v>
      </c>
      <c r="B1814" s="196" t="s">
        <v>11230</v>
      </c>
      <c r="C1814" s="196" t="s">
        <v>15434</v>
      </c>
      <c r="D1814" s="196" t="s">
        <v>15435</v>
      </c>
      <c r="E1814" s="196" t="s">
        <v>15435</v>
      </c>
      <c r="F1814" s="196" t="s">
        <v>11233</v>
      </c>
      <c r="G1814" s="196" t="s">
        <v>11720</v>
      </c>
      <c r="H1814" s="196" t="s">
        <v>11235</v>
      </c>
    </row>
    <row r="1815" spans="1:8" x14ac:dyDescent="0.15">
      <c r="A1815" s="196" t="s">
        <v>11229</v>
      </c>
      <c r="B1815" s="196" t="s">
        <v>11230</v>
      </c>
      <c r="C1815" s="196" t="s">
        <v>15436</v>
      </c>
      <c r="D1815" s="196" t="s">
        <v>15437</v>
      </c>
      <c r="E1815" s="196" t="s">
        <v>15437</v>
      </c>
      <c r="F1815" s="196" t="s">
        <v>11233</v>
      </c>
      <c r="G1815" s="196" t="s">
        <v>11720</v>
      </c>
      <c r="H1815" s="196" t="s">
        <v>11235</v>
      </c>
    </row>
    <row r="1816" spans="1:8" x14ac:dyDescent="0.15">
      <c r="A1816" s="196" t="s">
        <v>11229</v>
      </c>
      <c r="B1816" s="196" t="s">
        <v>11230</v>
      </c>
      <c r="C1816" s="196" t="s">
        <v>15438</v>
      </c>
      <c r="D1816" s="196" t="s">
        <v>15439</v>
      </c>
      <c r="E1816" s="196" t="s">
        <v>15439</v>
      </c>
      <c r="F1816" s="196" t="s">
        <v>11233</v>
      </c>
      <c r="G1816" s="196" t="s">
        <v>11720</v>
      </c>
      <c r="H1816" s="196" t="s">
        <v>11235</v>
      </c>
    </row>
    <row r="1817" spans="1:8" x14ac:dyDescent="0.15">
      <c r="A1817" s="196" t="s">
        <v>11229</v>
      </c>
      <c r="B1817" s="196" t="s">
        <v>11230</v>
      </c>
      <c r="C1817" s="196" t="s">
        <v>15440</v>
      </c>
      <c r="D1817" s="196" t="s">
        <v>15441</v>
      </c>
      <c r="E1817" s="196" t="s">
        <v>15441</v>
      </c>
      <c r="F1817" s="196" t="s">
        <v>11233</v>
      </c>
      <c r="G1817" s="196" t="s">
        <v>11720</v>
      </c>
      <c r="H1817" s="196" t="s">
        <v>11235</v>
      </c>
    </row>
    <row r="1818" spans="1:8" x14ac:dyDescent="0.15">
      <c r="A1818" s="196" t="s">
        <v>11229</v>
      </c>
      <c r="B1818" s="196" t="s">
        <v>11230</v>
      </c>
      <c r="C1818" s="196" t="s">
        <v>15442</v>
      </c>
      <c r="D1818" s="196" t="s">
        <v>15443</v>
      </c>
      <c r="E1818" s="196" t="s">
        <v>15443</v>
      </c>
      <c r="F1818" s="196" t="s">
        <v>11233</v>
      </c>
      <c r="G1818" s="196" t="s">
        <v>11720</v>
      </c>
      <c r="H1818" s="196" t="s">
        <v>11235</v>
      </c>
    </row>
    <row r="1819" spans="1:8" x14ac:dyDescent="0.15">
      <c r="A1819" s="196" t="s">
        <v>11229</v>
      </c>
      <c r="B1819" s="196" t="s">
        <v>11230</v>
      </c>
      <c r="C1819" s="196" t="s">
        <v>15444</v>
      </c>
      <c r="D1819" s="196" t="s">
        <v>15445</v>
      </c>
      <c r="E1819" s="196" t="s">
        <v>15445</v>
      </c>
      <c r="F1819" s="196" t="s">
        <v>11233</v>
      </c>
      <c r="G1819" s="196" t="s">
        <v>11720</v>
      </c>
      <c r="H1819" s="196" t="s">
        <v>11235</v>
      </c>
    </row>
    <row r="1820" spans="1:8" x14ac:dyDescent="0.15">
      <c r="A1820" s="196" t="s">
        <v>11229</v>
      </c>
      <c r="B1820" s="196" t="s">
        <v>11230</v>
      </c>
      <c r="C1820" s="196" t="s">
        <v>15446</v>
      </c>
      <c r="D1820" s="196" t="s">
        <v>15447</v>
      </c>
      <c r="E1820" s="196" t="s">
        <v>15448</v>
      </c>
      <c r="F1820" s="196" t="s">
        <v>15449</v>
      </c>
      <c r="G1820" s="196" t="s">
        <v>11962</v>
      </c>
      <c r="H1820" s="196" t="s">
        <v>11235</v>
      </c>
    </row>
    <row r="1821" spans="1:8" x14ac:dyDescent="0.15">
      <c r="A1821" s="196" t="s">
        <v>11229</v>
      </c>
      <c r="B1821" s="196" t="s">
        <v>11230</v>
      </c>
      <c r="C1821" s="196" t="s">
        <v>15450</v>
      </c>
      <c r="D1821" s="196" t="s">
        <v>15451</v>
      </c>
      <c r="E1821" s="196" t="s">
        <v>15451</v>
      </c>
      <c r="F1821" s="196" t="s">
        <v>11233</v>
      </c>
      <c r="G1821" s="196" t="s">
        <v>11720</v>
      </c>
      <c r="H1821" s="196" t="s">
        <v>11235</v>
      </c>
    </row>
    <row r="1822" spans="1:8" x14ac:dyDescent="0.15">
      <c r="A1822" s="196" t="s">
        <v>11229</v>
      </c>
      <c r="B1822" s="196" t="s">
        <v>11230</v>
      </c>
      <c r="C1822" s="196" t="s">
        <v>15452</v>
      </c>
      <c r="D1822" s="196" t="s">
        <v>15453</v>
      </c>
      <c r="E1822" s="196" t="s">
        <v>15453</v>
      </c>
      <c r="F1822" s="196" t="s">
        <v>11233</v>
      </c>
      <c r="G1822" s="196" t="s">
        <v>11720</v>
      </c>
      <c r="H1822" s="196" t="s">
        <v>11235</v>
      </c>
    </row>
    <row r="1823" spans="1:8" x14ac:dyDescent="0.15">
      <c r="A1823" s="196" t="s">
        <v>11229</v>
      </c>
      <c r="B1823" s="196" t="s">
        <v>11230</v>
      </c>
      <c r="C1823" s="196" t="s">
        <v>15454</v>
      </c>
      <c r="D1823" s="196" t="s">
        <v>15455</v>
      </c>
      <c r="E1823" s="196" t="s">
        <v>15455</v>
      </c>
      <c r="F1823" s="196" t="s">
        <v>11233</v>
      </c>
      <c r="G1823" s="196" t="s">
        <v>11720</v>
      </c>
      <c r="H1823" s="196" t="s">
        <v>11235</v>
      </c>
    </row>
    <row r="1824" spans="1:8" x14ac:dyDescent="0.15">
      <c r="A1824" s="196" t="s">
        <v>11229</v>
      </c>
      <c r="B1824" s="196" t="s">
        <v>11230</v>
      </c>
      <c r="C1824" s="196" t="s">
        <v>15456</v>
      </c>
      <c r="D1824" s="196" t="s">
        <v>15457</v>
      </c>
      <c r="E1824" s="196" t="s">
        <v>15457</v>
      </c>
      <c r="F1824" s="196" t="s">
        <v>11233</v>
      </c>
      <c r="G1824" s="196" t="s">
        <v>11720</v>
      </c>
      <c r="H1824" s="196" t="s">
        <v>11235</v>
      </c>
    </row>
    <row r="1825" spans="1:8" x14ac:dyDescent="0.15">
      <c r="A1825" s="196" t="s">
        <v>11229</v>
      </c>
      <c r="B1825" s="196" t="s">
        <v>11230</v>
      </c>
      <c r="C1825" s="196" t="s">
        <v>15458</v>
      </c>
      <c r="D1825" s="196" t="s">
        <v>15459</v>
      </c>
      <c r="E1825" s="196" t="s">
        <v>15459</v>
      </c>
      <c r="F1825" s="196" t="s">
        <v>11233</v>
      </c>
      <c r="G1825" s="196" t="s">
        <v>11720</v>
      </c>
      <c r="H1825" s="196" t="s">
        <v>11235</v>
      </c>
    </row>
    <row r="1826" spans="1:8" x14ac:dyDescent="0.15">
      <c r="A1826" s="196" t="s">
        <v>11229</v>
      </c>
      <c r="B1826" s="196" t="s">
        <v>11230</v>
      </c>
      <c r="C1826" s="196" t="s">
        <v>15460</v>
      </c>
      <c r="D1826" s="196" t="s">
        <v>15461</v>
      </c>
      <c r="E1826" s="196" t="s">
        <v>15461</v>
      </c>
      <c r="F1826" s="196" t="s">
        <v>11233</v>
      </c>
      <c r="G1826" s="196" t="s">
        <v>11720</v>
      </c>
      <c r="H1826" s="196" t="s">
        <v>11235</v>
      </c>
    </row>
    <row r="1827" spans="1:8" x14ac:dyDescent="0.15">
      <c r="A1827" s="196" t="s">
        <v>11229</v>
      </c>
      <c r="B1827" s="196" t="s">
        <v>11230</v>
      </c>
      <c r="C1827" s="196" t="s">
        <v>15462</v>
      </c>
      <c r="D1827" s="196" t="s">
        <v>15463</v>
      </c>
      <c r="E1827" s="196" t="s">
        <v>15463</v>
      </c>
      <c r="F1827" s="196" t="s">
        <v>11233</v>
      </c>
      <c r="G1827" s="196" t="s">
        <v>11720</v>
      </c>
      <c r="H1827" s="196" t="s">
        <v>11235</v>
      </c>
    </row>
    <row r="1828" spans="1:8" x14ac:dyDescent="0.15">
      <c r="A1828" s="196" t="s">
        <v>11229</v>
      </c>
      <c r="B1828" s="196" t="s">
        <v>11230</v>
      </c>
      <c r="C1828" s="196" t="s">
        <v>15464</v>
      </c>
      <c r="D1828" s="196" t="s">
        <v>15465</v>
      </c>
      <c r="E1828" s="196" t="s">
        <v>15465</v>
      </c>
      <c r="F1828" s="196" t="s">
        <v>11233</v>
      </c>
      <c r="G1828" s="196" t="s">
        <v>11720</v>
      </c>
      <c r="H1828" s="196" t="s">
        <v>11235</v>
      </c>
    </row>
    <row r="1829" spans="1:8" x14ac:dyDescent="0.15">
      <c r="A1829" s="196" t="s">
        <v>11229</v>
      </c>
      <c r="B1829" s="196" t="s">
        <v>11230</v>
      </c>
      <c r="C1829" s="196" t="s">
        <v>15466</v>
      </c>
      <c r="D1829" s="196" t="s">
        <v>15467</v>
      </c>
      <c r="E1829" s="196" t="s">
        <v>15467</v>
      </c>
      <c r="F1829" s="196" t="s">
        <v>11233</v>
      </c>
      <c r="G1829" s="196" t="s">
        <v>11720</v>
      </c>
      <c r="H1829" s="196" t="s">
        <v>11235</v>
      </c>
    </row>
    <row r="1830" spans="1:8" x14ac:dyDescent="0.15">
      <c r="A1830" s="196" t="s">
        <v>11229</v>
      </c>
      <c r="B1830" s="196" t="s">
        <v>11230</v>
      </c>
      <c r="C1830" s="196" t="s">
        <v>15468</v>
      </c>
      <c r="D1830" s="196" t="s">
        <v>15469</v>
      </c>
      <c r="E1830" s="196" t="s">
        <v>15469</v>
      </c>
      <c r="F1830" s="196" t="s">
        <v>11233</v>
      </c>
      <c r="G1830" s="196" t="s">
        <v>11720</v>
      </c>
      <c r="H1830" s="196" t="s">
        <v>11235</v>
      </c>
    </row>
    <row r="1831" spans="1:8" x14ac:dyDescent="0.15">
      <c r="A1831" s="196" t="s">
        <v>11229</v>
      </c>
      <c r="B1831" s="196" t="s">
        <v>11230</v>
      </c>
      <c r="C1831" s="196" t="s">
        <v>15470</v>
      </c>
      <c r="D1831" s="196" t="s">
        <v>15471</v>
      </c>
      <c r="E1831" s="196" t="s">
        <v>15471</v>
      </c>
      <c r="F1831" s="196" t="s">
        <v>11233</v>
      </c>
      <c r="G1831" s="196" t="s">
        <v>11720</v>
      </c>
      <c r="H1831" s="196" t="s">
        <v>11235</v>
      </c>
    </row>
    <row r="1832" spans="1:8" x14ac:dyDescent="0.15">
      <c r="A1832" s="196" t="s">
        <v>11229</v>
      </c>
      <c r="B1832" s="196" t="s">
        <v>11230</v>
      </c>
      <c r="C1832" s="196" t="s">
        <v>15472</v>
      </c>
      <c r="D1832" s="196" t="s">
        <v>15473</v>
      </c>
      <c r="E1832" s="196" t="s">
        <v>15474</v>
      </c>
      <c r="F1832" s="196" t="s">
        <v>11241</v>
      </c>
      <c r="G1832" s="196" t="s">
        <v>11720</v>
      </c>
      <c r="H1832" s="196" t="s">
        <v>11235</v>
      </c>
    </row>
    <row r="1833" spans="1:8" x14ac:dyDescent="0.15">
      <c r="A1833" s="196" t="s">
        <v>11229</v>
      </c>
      <c r="B1833" s="196" t="s">
        <v>11230</v>
      </c>
      <c r="C1833" s="196" t="s">
        <v>15475</v>
      </c>
      <c r="D1833" s="196" t="s">
        <v>15476</v>
      </c>
      <c r="E1833" s="196" t="s">
        <v>15476</v>
      </c>
      <c r="F1833" s="196" t="s">
        <v>11233</v>
      </c>
      <c r="G1833" s="196" t="s">
        <v>11720</v>
      </c>
      <c r="H1833" s="196" t="s">
        <v>11235</v>
      </c>
    </row>
    <row r="1834" spans="1:8" x14ac:dyDescent="0.15">
      <c r="A1834" s="196" t="s">
        <v>11229</v>
      </c>
      <c r="B1834" s="196" t="s">
        <v>11230</v>
      </c>
      <c r="C1834" s="196" t="s">
        <v>15477</v>
      </c>
      <c r="D1834" s="196" t="s">
        <v>15478</v>
      </c>
      <c r="E1834" s="196" t="s">
        <v>15479</v>
      </c>
      <c r="F1834" s="196" t="s">
        <v>11241</v>
      </c>
      <c r="G1834" s="196" t="s">
        <v>11720</v>
      </c>
      <c r="H1834" s="196" t="s">
        <v>11235</v>
      </c>
    </row>
    <row r="1835" spans="1:8" x14ac:dyDescent="0.15">
      <c r="A1835" s="196" t="s">
        <v>11229</v>
      </c>
      <c r="B1835" s="196" t="s">
        <v>11230</v>
      </c>
      <c r="C1835" s="196" t="s">
        <v>15480</v>
      </c>
      <c r="D1835" s="196" t="s">
        <v>15481</v>
      </c>
      <c r="E1835" s="196" t="s">
        <v>15481</v>
      </c>
      <c r="F1835" s="196" t="s">
        <v>11233</v>
      </c>
      <c r="G1835" s="196" t="s">
        <v>11720</v>
      </c>
      <c r="H1835" s="196" t="s">
        <v>11235</v>
      </c>
    </row>
    <row r="1836" spans="1:8" x14ac:dyDescent="0.15">
      <c r="A1836" s="196" t="s">
        <v>11229</v>
      </c>
      <c r="B1836" s="196" t="s">
        <v>11230</v>
      </c>
      <c r="C1836" s="196" t="s">
        <v>15482</v>
      </c>
      <c r="D1836" s="196" t="s">
        <v>15483</v>
      </c>
      <c r="E1836" s="196" t="s">
        <v>15483</v>
      </c>
      <c r="F1836" s="196" t="s">
        <v>11233</v>
      </c>
      <c r="G1836" s="196" t="s">
        <v>11720</v>
      </c>
      <c r="H1836" s="196" t="s">
        <v>11235</v>
      </c>
    </row>
    <row r="1837" spans="1:8" x14ac:dyDescent="0.15">
      <c r="A1837" s="196" t="s">
        <v>11229</v>
      </c>
      <c r="B1837" s="196" t="s">
        <v>11230</v>
      </c>
      <c r="C1837" s="196" t="s">
        <v>15484</v>
      </c>
      <c r="D1837" s="196" t="s">
        <v>15485</v>
      </c>
      <c r="E1837" s="196" t="s">
        <v>15485</v>
      </c>
      <c r="F1837" s="196" t="s">
        <v>11233</v>
      </c>
      <c r="G1837" s="196" t="s">
        <v>11720</v>
      </c>
      <c r="H1837" s="196" t="s">
        <v>11235</v>
      </c>
    </row>
    <row r="1838" spans="1:8" x14ac:dyDescent="0.15">
      <c r="A1838" s="196" t="s">
        <v>11229</v>
      </c>
      <c r="B1838" s="196" t="s">
        <v>11230</v>
      </c>
      <c r="C1838" s="196" t="s">
        <v>15486</v>
      </c>
      <c r="D1838" s="196" t="s">
        <v>15487</v>
      </c>
      <c r="E1838" s="196" t="s">
        <v>15487</v>
      </c>
      <c r="F1838" s="196" t="s">
        <v>11233</v>
      </c>
      <c r="G1838" s="196" t="s">
        <v>11720</v>
      </c>
      <c r="H1838" s="196" t="s">
        <v>11235</v>
      </c>
    </row>
    <row r="1839" spans="1:8" x14ac:dyDescent="0.15">
      <c r="A1839" s="196" t="s">
        <v>11229</v>
      </c>
      <c r="B1839" s="196" t="s">
        <v>11230</v>
      </c>
      <c r="C1839" s="196" t="s">
        <v>15488</v>
      </c>
      <c r="D1839" s="196" t="s">
        <v>15489</v>
      </c>
      <c r="E1839" s="196" t="s">
        <v>15489</v>
      </c>
      <c r="F1839" s="196" t="s">
        <v>11233</v>
      </c>
      <c r="G1839" s="196" t="s">
        <v>11720</v>
      </c>
      <c r="H1839" s="196" t="s">
        <v>11235</v>
      </c>
    </row>
    <row r="1840" spans="1:8" x14ac:dyDescent="0.15">
      <c r="A1840" s="196" t="s">
        <v>11229</v>
      </c>
      <c r="B1840" s="196" t="s">
        <v>11230</v>
      </c>
      <c r="C1840" s="196" t="s">
        <v>15490</v>
      </c>
      <c r="D1840" s="196" t="s">
        <v>15491</v>
      </c>
      <c r="E1840" s="196" t="s">
        <v>15491</v>
      </c>
      <c r="F1840" s="196" t="s">
        <v>11233</v>
      </c>
      <c r="G1840" s="196" t="s">
        <v>11720</v>
      </c>
      <c r="H1840" s="196" t="s">
        <v>11235</v>
      </c>
    </row>
    <row r="1841" spans="1:8" x14ac:dyDescent="0.15">
      <c r="A1841" s="196" t="s">
        <v>11229</v>
      </c>
      <c r="B1841" s="196" t="s">
        <v>11230</v>
      </c>
      <c r="C1841" s="196" t="s">
        <v>15492</v>
      </c>
      <c r="D1841" s="196" t="s">
        <v>15493</v>
      </c>
      <c r="E1841" s="196" t="s">
        <v>15493</v>
      </c>
      <c r="F1841" s="196" t="s">
        <v>11233</v>
      </c>
      <c r="G1841" s="196" t="s">
        <v>11720</v>
      </c>
      <c r="H1841" s="196" t="s">
        <v>11235</v>
      </c>
    </row>
    <row r="1842" spans="1:8" x14ac:dyDescent="0.15">
      <c r="A1842" s="196" t="s">
        <v>11229</v>
      </c>
      <c r="B1842" s="196" t="s">
        <v>11230</v>
      </c>
      <c r="C1842" s="196" t="s">
        <v>15494</v>
      </c>
      <c r="D1842" s="196" t="s">
        <v>15495</v>
      </c>
      <c r="E1842" s="196" t="s">
        <v>15495</v>
      </c>
      <c r="F1842" s="196" t="s">
        <v>11233</v>
      </c>
      <c r="G1842" s="196" t="s">
        <v>11720</v>
      </c>
      <c r="H1842" s="196" t="s">
        <v>11235</v>
      </c>
    </row>
    <row r="1843" spans="1:8" x14ac:dyDescent="0.15">
      <c r="A1843" s="196" t="s">
        <v>11229</v>
      </c>
      <c r="B1843" s="196" t="s">
        <v>11230</v>
      </c>
      <c r="C1843" s="196" t="s">
        <v>15496</v>
      </c>
      <c r="D1843" s="196" t="s">
        <v>15497</v>
      </c>
      <c r="E1843" s="196" t="s">
        <v>15497</v>
      </c>
      <c r="F1843" s="196" t="s">
        <v>11233</v>
      </c>
      <c r="G1843" s="196" t="s">
        <v>11720</v>
      </c>
      <c r="H1843" s="196" t="s">
        <v>11235</v>
      </c>
    </row>
    <row r="1844" spans="1:8" x14ac:dyDescent="0.15">
      <c r="A1844" s="196" t="s">
        <v>11229</v>
      </c>
      <c r="B1844" s="196" t="s">
        <v>11230</v>
      </c>
      <c r="C1844" s="196" t="s">
        <v>15498</v>
      </c>
      <c r="D1844" s="196" t="s">
        <v>15499</v>
      </c>
      <c r="E1844" s="196" t="s">
        <v>15500</v>
      </c>
      <c r="F1844" s="196" t="s">
        <v>11241</v>
      </c>
      <c r="G1844" s="196" t="s">
        <v>11720</v>
      </c>
      <c r="H1844" s="196" t="s">
        <v>11235</v>
      </c>
    </row>
    <row r="1845" spans="1:8" x14ac:dyDescent="0.15">
      <c r="A1845" s="196" t="s">
        <v>11229</v>
      </c>
      <c r="B1845" s="196" t="s">
        <v>11230</v>
      </c>
      <c r="C1845" s="196" t="s">
        <v>15501</v>
      </c>
      <c r="D1845" s="196" t="s">
        <v>15500</v>
      </c>
      <c r="E1845" s="196" t="s">
        <v>15502</v>
      </c>
      <c r="F1845" s="196" t="s">
        <v>11241</v>
      </c>
      <c r="G1845" s="196" t="s">
        <v>11720</v>
      </c>
      <c r="H1845" s="196" t="s">
        <v>11235</v>
      </c>
    </row>
    <row r="1846" spans="1:8" x14ac:dyDescent="0.15">
      <c r="A1846" s="196" t="s">
        <v>11229</v>
      </c>
      <c r="B1846" s="196" t="s">
        <v>11230</v>
      </c>
      <c r="C1846" s="196" t="s">
        <v>15503</v>
      </c>
      <c r="D1846" s="196" t="s">
        <v>15504</v>
      </c>
      <c r="E1846" s="196" t="s">
        <v>15504</v>
      </c>
      <c r="F1846" s="196" t="s">
        <v>11233</v>
      </c>
      <c r="G1846" s="196" t="s">
        <v>11720</v>
      </c>
      <c r="H1846" s="196" t="s">
        <v>11235</v>
      </c>
    </row>
    <row r="1847" spans="1:8" x14ac:dyDescent="0.15">
      <c r="A1847" s="196" t="s">
        <v>11229</v>
      </c>
      <c r="B1847" s="196" t="s">
        <v>11230</v>
      </c>
      <c r="C1847" s="196" t="s">
        <v>15505</v>
      </c>
      <c r="D1847" s="196" t="s">
        <v>15506</v>
      </c>
      <c r="E1847" s="196" t="s">
        <v>15506</v>
      </c>
      <c r="F1847" s="196" t="s">
        <v>11233</v>
      </c>
      <c r="G1847" s="196" t="s">
        <v>11720</v>
      </c>
      <c r="H1847" s="196" t="s">
        <v>11235</v>
      </c>
    </row>
    <row r="1848" spans="1:8" x14ac:dyDescent="0.15">
      <c r="A1848" s="196" t="s">
        <v>11229</v>
      </c>
      <c r="B1848" s="196" t="s">
        <v>11230</v>
      </c>
      <c r="C1848" s="196" t="s">
        <v>15507</v>
      </c>
      <c r="D1848" s="196" t="s">
        <v>15508</v>
      </c>
      <c r="E1848" s="196" t="s">
        <v>15508</v>
      </c>
      <c r="F1848" s="196" t="s">
        <v>11233</v>
      </c>
      <c r="G1848" s="196" t="s">
        <v>11720</v>
      </c>
      <c r="H1848" s="196" t="s">
        <v>11235</v>
      </c>
    </row>
    <row r="1849" spans="1:8" x14ac:dyDescent="0.15">
      <c r="A1849" s="196" t="s">
        <v>11229</v>
      </c>
      <c r="B1849" s="196" t="s">
        <v>11230</v>
      </c>
      <c r="C1849" s="196" t="s">
        <v>15509</v>
      </c>
      <c r="D1849" s="196" t="s">
        <v>15510</v>
      </c>
      <c r="E1849" s="196" t="s">
        <v>15510</v>
      </c>
      <c r="F1849" s="196" t="s">
        <v>11233</v>
      </c>
      <c r="G1849" s="196" t="s">
        <v>11720</v>
      </c>
      <c r="H1849" s="196" t="s">
        <v>11235</v>
      </c>
    </row>
    <row r="1850" spans="1:8" x14ac:dyDescent="0.15">
      <c r="A1850" s="196" t="s">
        <v>11229</v>
      </c>
      <c r="B1850" s="196" t="s">
        <v>11230</v>
      </c>
      <c r="C1850" s="196" t="s">
        <v>15511</v>
      </c>
      <c r="D1850" s="196" t="s">
        <v>15512</v>
      </c>
      <c r="E1850" s="196" t="s">
        <v>15512</v>
      </c>
      <c r="F1850" s="196" t="s">
        <v>11233</v>
      </c>
      <c r="G1850" s="196" t="s">
        <v>11720</v>
      </c>
      <c r="H1850" s="196" t="s">
        <v>11235</v>
      </c>
    </row>
    <row r="1851" spans="1:8" x14ac:dyDescent="0.15">
      <c r="A1851" s="196" t="s">
        <v>11229</v>
      </c>
      <c r="B1851" s="196" t="s">
        <v>11230</v>
      </c>
      <c r="C1851" s="196" t="s">
        <v>15513</v>
      </c>
      <c r="D1851" s="196" t="s">
        <v>15514</v>
      </c>
      <c r="E1851" s="196" t="s">
        <v>15514</v>
      </c>
      <c r="F1851" s="196" t="s">
        <v>11233</v>
      </c>
      <c r="G1851" s="196" t="s">
        <v>11720</v>
      </c>
      <c r="H1851" s="196" t="s">
        <v>11235</v>
      </c>
    </row>
    <row r="1852" spans="1:8" x14ac:dyDescent="0.15">
      <c r="A1852" s="196" t="s">
        <v>11229</v>
      </c>
      <c r="B1852" s="196" t="s">
        <v>11230</v>
      </c>
      <c r="C1852" s="196" t="s">
        <v>15515</v>
      </c>
      <c r="D1852" s="196" t="s">
        <v>15516</v>
      </c>
      <c r="E1852" s="196" t="s">
        <v>15516</v>
      </c>
      <c r="F1852" s="196" t="s">
        <v>11233</v>
      </c>
      <c r="G1852" s="196" t="s">
        <v>11720</v>
      </c>
      <c r="H1852" s="196" t="s">
        <v>11235</v>
      </c>
    </row>
    <row r="1853" spans="1:8" x14ac:dyDescent="0.15">
      <c r="A1853" s="196" t="s">
        <v>11229</v>
      </c>
      <c r="B1853" s="196" t="s">
        <v>11230</v>
      </c>
      <c r="C1853" s="196" t="s">
        <v>15517</v>
      </c>
      <c r="D1853" s="196" t="s">
        <v>15518</v>
      </c>
      <c r="E1853" s="196" t="s">
        <v>15518</v>
      </c>
      <c r="F1853" s="196" t="s">
        <v>11233</v>
      </c>
      <c r="G1853" s="196" t="s">
        <v>11720</v>
      </c>
      <c r="H1853" s="196" t="s">
        <v>11235</v>
      </c>
    </row>
    <row r="1854" spans="1:8" x14ac:dyDescent="0.15">
      <c r="A1854" s="196" t="s">
        <v>11229</v>
      </c>
      <c r="B1854" s="196" t="s">
        <v>11230</v>
      </c>
      <c r="C1854" s="196" t="s">
        <v>15519</v>
      </c>
      <c r="D1854" s="196" t="s">
        <v>15520</v>
      </c>
      <c r="E1854" s="196" t="s">
        <v>15520</v>
      </c>
      <c r="F1854" s="196" t="s">
        <v>11233</v>
      </c>
      <c r="G1854" s="196" t="s">
        <v>11720</v>
      </c>
      <c r="H1854" s="196" t="s">
        <v>11235</v>
      </c>
    </row>
    <row r="1855" spans="1:8" x14ac:dyDescent="0.15">
      <c r="A1855" s="196" t="s">
        <v>11229</v>
      </c>
      <c r="B1855" s="196" t="s">
        <v>11230</v>
      </c>
      <c r="C1855" s="196" t="s">
        <v>15521</v>
      </c>
      <c r="D1855" s="196" t="s">
        <v>15522</v>
      </c>
      <c r="E1855" s="196" t="s">
        <v>15522</v>
      </c>
      <c r="F1855" s="196" t="s">
        <v>11233</v>
      </c>
      <c r="G1855" s="196" t="s">
        <v>11720</v>
      </c>
      <c r="H1855" s="196" t="s">
        <v>11235</v>
      </c>
    </row>
    <row r="1856" spans="1:8" x14ac:dyDescent="0.15">
      <c r="A1856" s="196" t="s">
        <v>11229</v>
      </c>
      <c r="B1856" s="196" t="s">
        <v>11230</v>
      </c>
      <c r="C1856" s="196" t="s">
        <v>15523</v>
      </c>
      <c r="D1856" s="196" t="s">
        <v>15524</v>
      </c>
      <c r="E1856" s="196" t="s">
        <v>15524</v>
      </c>
      <c r="F1856" s="196" t="s">
        <v>11233</v>
      </c>
      <c r="G1856" s="196" t="s">
        <v>11720</v>
      </c>
      <c r="H1856" s="196" t="s">
        <v>11235</v>
      </c>
    </row>
    <row r="1857" spans="1:8" x14ac:dyDescent="0.15">
      <c r="A1857" s="196" t="s">
        <v>11229</v>
      </c>
      <c r="B1857" s="196" t="s">
        <v>11230</v>
      </c>
      <c r="C1857" s="196" t="s">
        <v>15525</v>
      </c>
      <c r="D1857" s="196" t="s">
        <v>15526</v>
      </c>
      <c r="E1857" s="196" t="s">
        <v>15526</v>
      </c>
      <c r="F1857" s="196" t="s">
        <v>11233</v>
      </c>
      <c r="G1857" s="196" t="s">
        <v>11720</v>
      </c>
      <c r="H1857" s="196" t="s">
        <v>11235</v>
      </c>
    </row>
    <row r="1858" spans="1:8" x14ac:dyDescent="0.15">
      <c r="A1858" s="196" t="s">
        <v>11229</v>
      </c>
      <c r="B1858" s="196" t="s">
        <v>11230</v>
      </c>
      <c r="C1858" s="196" t="s">
        <v>15527</v>
      </c>
      <c r="D1858" s="196" t="s">
        <v>15528</v>
      </c>
      <c r="E1858" s="196" t="s">
        <v>15528</v>
      </c>
      <c r="F1858" s="196" t="s">
        <v>11233</v>
      </c>
      <c r="G1858" s="196" t="s">
        <v>11720</v>
      </c>
      <c r="H1858" s="196" t="s">
        <v>11235</v>
      </c>
    </row>
    <row r="1859" spans="1:8" x14ac:dyDescent="0.15">
      <c r="A1859" s="196" t="s">
        <v>11229</v>
      </c>
      <c r="B1859" s="196" t="s">
        <v>11230</v>
      </c>
      <c r="C1859" s="196" t="s">
        <v>15529</v>
      </c>
      <c r="D1859" s="196" t="s">
        <v>15530</v>
      </c>
      <c r="E1859" s="196" t="s">
        <v>15530</v>
      </c>
      <c r="F1859" s="196" t="s">
        <v>11233</v>
      </c>
      <c r="G1859" s="196" t="s">
        <v>11720</v>
      </c>
      <c r="H1859" s="196" t="s">
        <v>11235</v>
      </c>
    </row>
    <row r="1860" spans="1:8" x14ac:dyDescent="0.15">
      <c r="A1860" s="196" t="s">
        <v>11229</v>
      </c>
      <c r="B1860" s="196" t="s">
        <v>11230</v>
      </c>
      <c r="C1860" s="196" t="s">
        <v>15531</v>
      </c>
      <c r="D1860" s="196" t="s">
        <v>15532</v>
      </c>
      <c r="E1860" s="196" t="s">
        <v>15532</v>
      </c>
      <c r="F1860" s="196" t="s">
        <v>11233</v>
      </c>
      <c r="G1860" s="196" t="s">
        <v>11720</v>
      </c>
      <c r="H1860" s="196" t="s">
        <v>11235</v>
      </c>
    </row>
    <row r="1861" spans="1:8" x14ac:dyDescent="0.15">
      <c r="A1861" s="196" t="s">
        <v>11229</v>
      </c>
      <c r="B1861" s="196" t="s">
        <v>11230</v>
      </c>
      <c r="C1861" s="196" t="s">
        <v>15533</v>
      </c>
      <c r="D1861" s="196" t="s">
        <v>15534</v>
      </c>
      <c r="E1861" s="196" t="s">
        <v>15534</v>
      </c>
      <c r="F1861" s="196" t="s">
        <v>11233</v>
      </c>
      <c r="G1861" s="196" t="s">
        <v>11720</v>
      </c>
      <c r="H1861" s="196" t="s">
        <v>11235</v>
      </c>
    </row>
    <row r="1862" spans="1:8" x14ac:dyDescent="0.15">
      <c r="A1862" s="196" t="s">
        <v>11229</v>
      </c>
      <c r="B1862" s="196" t="s">
        <v>11230</v>
      </c>
      <c r="C1862" s="196" t="s">
        <v>15535</v>
      </c>
      <c r="D1862" s="196" t="s">
        <v>15536</v>
      </c>
      <c r="E1862" s="196" t="s">
        <v>15536</v>
      </c>
      <c r="F1862" s="196" t="s">
        <v>11233</v>
      </c>
      <c r="G1862" s="196" t="s">
        <v>11720</v>
      </c>
      <c r="H1862" s="196" t="s">
        <v>11235</v>
      </c>
    </row>
    <row r="1863" spans="1:8" x14ac:dyDescent="0.15">
      <c r="A1863" s="196" t="s">
        <v>11229</v>
      </c>
      <c r="B1863" s="196" t="s">
        <v>11230</v>
      </c>
      <c r="C1863" s="196" t="s">
        <v>15537</v>
      </c>
      <c r="D1863" s="196" t="s">
        <v>15538</v>
      </c>
      <c r="E1863" s="196" t="s">
        <v>15538</v>
      </c>
      <c r="F1863" s="196" t="s">
        <v>11233</v>
      </c>
      <c r="G1863" s="196" t="s">
        <v>11720</v>
      </c>
      <c r="H1863" s="196" t="s">
        <v>11235</v>
      </c>
    </row>
    <row r="1864" spans="1:8" x14ac:dyDescent="0.15">
      <c r="A1864" s="196" t="s">
        <v>11229</v>
      </c>
      <c r="B1864" s="196" t="s">
        <v>11230</v>
      </c>
      <c r="C1864" s="196" t="s">
        <v>15539</v>
      </c>
      <c r="D1864" s="196" t="s">
        <v>15540</v>
      </c>
      <c r="E1864" s="196" t="s">
        <v>15540</v>
      </c>
      <c r="F1864" s="196" t="s">
        <v>11233</v>
      </c>
      <c r="G1864" s="196" t="s">
        <v>11720</v>
      </c>
      <c r="H1864" s="196" t="s">
        <v>11235</v>
      </c>
    </row>
    <row r="1865" spans="1:8" x14ac:dyDescent="0.15">
      <c r="A1865" s="196" t="s">
        <v>11229</v>
      </c>
      <c r="B1865" s="196" t="s">
        <v>11230</v>
      </c>
      <c r="C1865" s="196" t="s">
        <v>15541</v>
      </c>
      <c r="D1865" s="196" t="s">
        <v>15542</v>
      </c>
      <c r="E1865" s="196" t="s">
        <v>15542</v>
      </c>
      <c r="F1865" s="196" t="s">
        <v>11233</v>
      </c>
      <c r="G1865" s="196" t="s">
        <v>11720</v>
      </c>
      <c r="H1865" s="196" t="s">
        <v>11235</v>
      </c>
    </row>
    <row r="1866" spans="1:8" x14ac:dyDescent="0.15">
      <c r="A1866" s="196" t="s">
        <v>11229</v>
      </c>
      <c r="B1866" s="196" t="s">
        <v>11230</v>
      </c>
      <c r="C1866" s="196" t="s">
        <v>15543</v>
      </c>
      <c r="D1866" s="196" t="s">
        <v>15544</v>
      </c>
      <c r="E1866" s="196" t="s">
        <v>15544</v>
      </c>
      <c r="F1866" s="196" t="s">
        <v>11233</v>
      </c>
      <c r="G1866" s="196" t="s">
        <v>11720</v>
      </c>
      <c r="H1866" s="196" t="s">
        <v>11235</v>
      </c>
    </row>
    <row r="1867" spans="1:8" x14ac:dyDescent="0.15">
      <c r="A1867" s="196" t="s">
        <v>11229</v>
      </c>
      <c r="B1867" s="196" t="s">
        <v>11230</v>
      </c>
      <c r="C1867" s="196" t="s">
        <v>15545</v>
      </c>
      <c r="D1867" s="196" t="s">
        <v>15546</v>
      </c>
      <c r="E1867" s="196" t="s">
        <v>15547</v>
      </c>
      <c r="F1867" s="196" t="s">
        <v>13758</v>
      </c>
      <c r="G1867" s="196" t="s">
        <v>11720</v>
      </c>
      <c r="H1867" s="196" t="s">
        <v>11235</v>
      </c>
    </row>
    <row r="1868" spans="1:8" x14ac:dyDescent="0.15">
      <c r="A1868" s="196" t="s">
        <v>11229</v>
      </c>
      <c r="B1868" s="196" t="s">
        <v>11230</v>
      </c>
      <c r="C1868" s="196" t="s">
        <v>15548</v>
      </c>
      <c r="D1868" s="196" t="s">
        <v>15547</v>
      </c>
      <c r="E1868" s="196" t="s">
        <v>15549</v>
      </c>
      <c r="F1868" s="196" t="s">
        <v>11268</v>
      </c>
      <c r="G1868" s="196" t="s">
        <v>11720</v>
      </c>
      <c r="H1868" s="196" t="s">
        <v>11235</v>
      </c>
    </row>
    <row r="1869" spans="1:8" x14ac:dyDescent="0.15">
      <c r="A1869" s="196" t="s">
        <v>11229</v>
      </c>
      <c r="B1869" s="196" t="s">
        <v>11230</v>
      </c>
      <c r="C1869" s="196" t="s">
        <v>15550</v>
      </c>
      <c r="D1869" s="196" t="s">
        <v>15549</v>
      </c>
      <c r="E1869" s="196" t="s">
        <v>15551</v>
      </c>
      <c r="F1869" s="196" t="s">
        <v>11241</v>
      </c>
      <c r="G1869" s="196" t="s">
        <v>11720</v>
      </c>
      <c r="H1869" s="196" t="s">
        <v>11235</v>
      </c>
    </row>
    <row r="1870" spans="1:8" x14ac:dyDescent="0.15">
      <c r="A1870" s="196" t="s">
        <v>11229</v>
      </c>
      <c r="B1870" s="196" t="s">
        <v>11230</v>
      </c>
      <c r="C1870" s="196" t="s">
        <v>15552</v>
      </c>
      <c r="D1870" s="196" t="s">
        <v>15553</v>
      </c>
      <c r="E1870" s="196" t="s">
        <v>15553</v>
      </c>
      <c r="F1870" s="196" t="s">
        <v>11233</v>
      </c>
      <c r="G1870" s="196" t="s">
        <v>11720</v>
      </c>
      <c r="H1870" s="196" t="s">
        <v>11235</v>
      </c>
    </row>
    <row r="1871" spans="1:8" x14ac:dyDescent="0.15">
      <c r="A1871" s="196" t="s">
        <v>11229</v>
      </c>
      <c r="B1871" s="196" t="s">
        <v>11230</v>
      </c>
      <c r="C1871" s="196" t="s">
        <v>15554</v>
      </c>
      <c r="D1871" s="196" t="s">
        <v>15555</v>
      </c>
      <c r="E1871" s="196" t="s">
        <v>15556</v>
      </c>
      <c r="F1871" s="196" t="s">
        <v>11268</v>
      </c>
      <c r="G1871" s="196" t="s">
        <v>11720</v>
      </c>
      <c r="H1871" s="196" t="s">
        <v>11235</v>
      </c>
    </row>
    <row r="1872" spans="1:8" x14ac:dyDescent="0.15">
      <c r="A1872" s="196" t="s">
        <v>11229</v>
      </c>
      <c r="B1872" s="196" t="s">
        <v>11230</v>
      </c>
      <c r="C1872" s="196" t="s">
        <v>15557</v>
      </c>
      <c r="D1872" s="196" t="s">
        <v>15558</v>
      </c>
      <c r="E1872" s="196" t="s">
        <v>15558</v>
      </c>
      <c r="F1872" s="196" t="s">
        <v>11233</v>
      </c>
      <c r="G1872" s="196" t="s">
        <v>11720</v>
      </c>
      <c r="H1872" s="196" t="s">
        <v>11235</v>
      </c>
    </row>
    <row r="1873" spans="1:8" x14ac:dyDescent="0.15">
      <c r="A1873" s="196" t="s">
        <v>11229</v>
      </c>
      <c r="B1873" s="196" t="s">
        <v>11230</v>
      </c>
      <c r="C1873" s="196" t="s">
        <v>15559</v>
      </c>
      <c r="D1873" s="196" t="s">
        <v>15560</v>
      </c>
      <c r="E1873" s="196" t="s">
        <v>15561</v>
      </c>
      <c r="F1873" s="196" t="s">
        <v>11241</v>
      </c>
      <c r="G1873" s="196" t="s">
        <v>11720</v>
      </c>
      <c r="H1873" s="196" t="s">
        <v>11235</v>
      </c>
    </row>
    <row r="1874" spans="1:8" x14ac:dyDescent="0.15">
      <c r="A1874" s="196" t="s">
        <v>11229</v>
      </c>
      <c r="B1874" s="196" t="s">
        <v>11230</v>
      </c>
      <c r="C1874" s="196" t="s">
        <v>15562</v>
      </c>
      <c r="D1874" s="196" t="s">
        <v>15563</v>
      </c>
      <c r="E1874" s="196" t="s">
        <v>15563</v>
      </c>
      <c r="F1874" s="196" t="s">
        <v>11233</v>
      </c>
      <c r="G1874" s="196" t="s">
        <v>11720</v>
      </c>
      <c r="H1874" s="196" t="s">
        <v>11235</v>
      </c>
    </row>
    <row r="1875" spans="1:8" x14ac:dyDescent="0.15">
      <c r="A1875" s="196" t="s">
        <v>11229</v>
      </c>
      <c r="B1875" s="196" t="s">
        <v>11230</v>
      </c>
      <c r="C1875" s="196" t="s">
        <v>15564</v>
      </c>
      <c r="D1875" s="196" t="s">
        <v>15565</v>
      </c>
      <c r="E1875" s="196" t="s">
        <v>15566</v>
      </c>
      <c r="F1875" s="196" t="s">
        <v>11241</v>
      </c>
      <c r="G1875" s="196" t="s">
        <v>11720</v>
      </c>
      <c r="H1875" s="196" t="s">
        <v>11235</v>
      </c>
    </row>
    <row r="1876" spans="1:8" x14ac:dyDescent="0.15">
      <c r="A1876" s="196" t="s">
        <v>11229</v>
      </c>
      <c r="B1876" s="196" t="s">
        <v>11230</v>
      </c>
      <c r="C1876" s="196" t="s">
        <v>15567</v>
      </c>
      <c r="D1876" s="196" t="s">
        <v>15568</v>
      </c>
      <c r="E1876" s="196" t="s">
        <v>15569</v>
      </c>
      <c r="F1876" s="196" t="s">
        <v>11241</v>
      </c>
      <c r="G1876" s="196" t="s">
        <v>11720</v>
      </c>
      <c r="H1876" s="196" t="s">
        <v>11235</v>
      </c>
    </row>
    <row r="1877" spans="1:8" x14ac:dyDescent="0.15">
      <c r="A1877" s="196" t="s">
        <v>11229</v>
      </c>
      <c r="B1877" s="196" t="s">
        <v>11230</v>
      </c>
      <c r="C1877" s="196" t="s">
        <v>15570</v>
      </c>
      <c r="D1877" s="196" t="s">
        <v>15571</v>
      </c>
      <c r="E1877" s="196" t="s">
        <v>15572</v>
      </c>
      <c r="F1877" s="196" t="s">
        <v>11268</v>
      </c>
      <c r="G1877" s="196" t="s">
        <v>11720</v>
      </c>
      <c r="H1877" s="196" t="s">
        <v>11235</v>
      </c>
    </row>
    <row r="1878" spans="1:8" x14ac:dyDescent="0.15">
      <c r="A1878" s="196" t="s">
        <v>11229</v>
      </c>
      <c r="B1878" s="196" t="s">
        <v>11230</v>
      </c>
      <c r="C1878" s="196" t="s">
        <v>15573</v>
      </c>
      <c r="D1878" s="196" t="s">
        <v>15574</v>
      </c>
      <c r="E1878" s="196" t="s">
        <v>15575</v>
      </c>
      <c r="F1878" s="196" t="s">
        <v>11268</v>
      </c>
      <c r="G1878" s="196" t="s">
        <v>11720</v>
      </c>
      <c r="H1878" s="196" t="s">
        <v>11235</v>
      </c>
    </row>
    <row r="1879" spans="1:8" x14ac:dyDescent="0.15">
      <c r="A1879" s="196" t="s">
        <v>11229</v>
      </c>
      <c r="B1879" s="196" t="s">
        <v>11230</v>
      </c>
      <c r="C1879" s="196" t="s">
        <v>15576</v>
      </c>
      <c r="D1879" s="196" t="s">
        <v>15577</v>
      </c>
      <c r="E1879" s="196" t="s">
        <v>15578</v>
      </c>
      <c r="F1879" s="196" t="s">
        <v>11241</v>
      </c>
      <c r="G1879" s="196" t="s">
        <v>11720</v>
      </c>
      <c r="H1879" s="196" t="s">
        <v>11235</v>
      </c>
    </row>
    <row r="1880" spans="1:8" x14ac:dyDescent="0.15">
      <c r="A1880" s="196" t="s">
        <v>11229</v>
      </c>
      <c r="B1880" s="196" t="s">
        <v>11230</v>
      </c>
      <c r="C1880" s="196" t="s">
        <v>15579</v>
      </c>
      <c r="D1880" s="196" t="s">
        <v>15578</v>
      </c>
      <c r="E1880" s="196" t="s">
        <v>15580</v>
      </c>
      <c r="F1880" s="196" t="s">
        <v>11268</v>
      </c>
      <c r="G1880" s="196" t="s">
        <v>11720</v>
      </c>
      <c r="H1880" s="196" t="s">
        <v>11235</v>
      </c>
    </row>
    <row r="1881" spans="1:8" x14ac:dyDescent="0.15">
      <c r="A1881" s="196" t="s">
        <v>11229</v>
      </c>
      <c r="B1881" s="196" t="s">
        <v>11230</v>
      </c>
      <c r="C1881" s="196" t="s">
        <v>15581</v>
      </c>
      <c r="D1881" s="196" t="s">
        <v>15580</v>
      </c>
      <c r="E1881" s="196" t="s">
        <v>15582</v>
      </c>
      <c r="F1881" s="196" t="s">
        <v>11241</v>
      </c>
      <c r="G1881" s="196" t="s">
        <v>11720</v>
      </c>
      <c r="H1881" s="196" t="s">
        <v>11235</v>
      </c>
    </row>
    <row r="1882" spans="1:8" x14ac:dyDescent="0.15">
      <c r="A1882" s="196" t="s">
        <v>11229</v>
      </c>
      <c r="B1882" s="196" t="s">
        <v>11230</v>
      </c>
      <c r="C1882" s="196" t="s">
        <v>15583</v>
      </c>
      <c r="D1882" s="196" t="s">
        <v>15582</v>
      </c>
      <c r="E1882" s="196" t="s">
        <v>15584</v>
      </c>
      <c r="F1882" s="196" t="s">
        <v>13023</v>
      </c>
      <c r="G1882" s="196" t="s">
        <v>11720</v>
      </c>
      <c r="H1882" s="196" t="s">
        <v>11235</v>
      </c>
    </row>
    <row r="1883" spans="1:8" x14ac:dyDescent="0.15">
      <c r="A1883" s="196" t="s">
        <v>11229</v>
      </c>
      <c r="B1883" s="196" t="s">
        <v>11230</v>
      </c>
      <c r="C1883" s="196" t="s">
        <v>15585</v>
      </c>
      <c r="D1883" s="196" t="s">
        <v>15584</v>
      </c>
      <c r="E1883" s="196" t="s">
        <v>15586</v>
      </c>
      <c r="F1883" s="196" t="s">
        <v>11241</v>
      </c>
      <c r="G1883" s="196" t="s">
        <v>11720</v>
      </c>
      <c r="H1883" s="196" t="s">
        <v>11235</v>
      </c>
    </row>
    <row r="1884" spans="1:8" x14ac:dyDescent="0.15">
      <c r="A1884" s="196" t="s">
        <v>11229</v>
      </c>
      <c r="B1884" s="196" t="s">
        <v>11230</v>
      </c>
      <c r="C1884" s="196" t="s">
        <v>15587</v>
      </c>
      <c r="D1884" s="196" t="s">
        <v>15586</v>
      </c>
      <c r="E1884" s="196" t="s">
        <v>15588</v>
      </c>
      <c r="F1884" s="196" t="s">
        <v>11268</v>
      </c>
      <c r="G1884" s="196" t="s">
        <v>11720</v>
      </c>
      <c r="H1884" s="196" t="s">
        <v>11235</v>
      </c>
    </row>
    <row r="1885" spans="1:8" x14ac:dyDescent="0.15">
      <c r="A1885" s="196" t="s">
        <v>11229</v>
      </c>
      <c r="B1885" s="196" t="s">
        <v>11230</v>
      </c>
      <c r="C1885" s="196" t="s">
        <v>15589</v>
      </c>
      <c r="D1885" s="196" t="s">
        <v>15590</v>
      </c>
      <c r="E1885" s="196" t="s">
        <v>15590</v>
      </c>
      <c r="F1885" s="196" t="s">
        <v>11233</v>
      </c>
      <c r="G1885" s="196" t="s">
        <v>11720</v>
      </c>
      <c r="H1885" s="196" t="s">
        <v>11235</v>
      </c>
    </row>
    <row r="1886" spans="1:8" x14ac:dyDescent="0.15">
      <c r="A1886" s="196" t="s">
        <v>11229</v>
      </c>
      <c r="B1886" s="196" t="s">
        <v>11230</v>
      </c>
      <c r="C1886" s="196" t="s">
        <v>15591</v>
      </c>
      <c r="D1886" s="196" t="s">
        <v>15592</v>
      </c>
      <c r="E1886" s="196" t="s">
        <v>15593</v>
      </c>
      <c r="F1886" s="196" t="s">
        <v>11268</v>
      </c>
      <c r="G1886" s="196" t="s">
        <v>11720</v>
      </c>
      <c r="H1886" s="196" t="s">
        <v>11235</v>
      </c>
    </row>
    <row r="1887" spans="1:8" x14ac:dyDescent="0.15">
      <c r="A1887" s="196" t="s">
        <v>11229</v>
      </c>
      <c r="B1887" s="196" t="s">
        <v>11230</v>
      </c>
      <c r="C1887" s="196" t="s">
        <v>15594</v>
      </c>
      <c r="D1887" s="196" t="s">
        <v>15595</v>
      </c>
      <c r="E1887" s="196" t="s">
        <v>15595</v>
      </c>
      <c r="F1887" s="196" t="s">
        <v>11233</v>
      </c>
      <c r="G1887" s="196" t="s">
        <v>11720</v>
      </c>
      <c r="H1887" s="196" t="s">
        <v>11235</v>
      </c>
    </row>
    <row r="1888" spans="1:8" x14ac:dyDescent="0.15">
      <c r="A1888" s="196" t="s">
        <v>11229</v>
      </c>
      <c r="B1888" s="196" t="s">
        <v>11230</v>
      </c>
      <c r="C1888" s="196" t="s">
        <v>15596</v>
      </c>
      <c r="D1888" s="196" t="s">
        <v>15597</v>
      </c>
      <c r="E1888" s="196" t="s">
        <v>15598</v>
      </c>
      <c r="F1888" s="196" t="s">
        <v>11241</v>
      </c>
      <c r="G1888" s="196" t="s">
        <v>11720</v>
      </c>
      <c r="H1888" s="196" t="s">
        <v>11235</v>
      </c>
    </row>
    <row r="1889" spans="1:8" x14ac:dyDescent="0.15">
      <c r="A1889" s="196" t="s">
        <v>11229</v>
      </c>
      <c r="B1889" s="196" t="s">
        <v>11230</v>
      </c>
      <c r="C1889" s="196" t="s">
        <v>15599</v>
      </c>
      <c r="D1889" s="196" t="s">
        <v>15600</v>
      </c>
      <c r="E1889" s="196" t="s">
        <v>15601</v>
      </c>
      <c r="F1889" s="196" t="s">
        <v>11241</v>
      </c>
      <c r="G1889" s="196" t="s">
        <v>11720</v>
      </c>
      <c r="H1889" s="196" t="s">
        <v>11235</v>
      </c>
    </row>
    <row r="1890" spans="1:8" x14ac:dyDescent="0.15">
      <c r="A1890" s="196" t="s">
        <v>11229</v>
      </c>
      <c r="B1890" s="196" t="s">
        <v>11230</v>
      </c>
      <c r="C1890" s="196" t="s">
        <v>15602</v>
      </c>
      <c r="D1890" s="196" t="s">
        <v>15601</v>
      </c>
      <c r="E1890" s="196" t="s">
        <v>15603</v>
      </c>
      <c r="F1890" s="196" t="s">
        <v>11241</v>
      </c>
      <c r="G1890" s="196" t="s">
        <v>11720</v>
      </c>
      <c r="H1890" s="196" t="s">
        <v>11235</v>
      </c>
    </row>
    <row r="1891" spans="1:8" x14ac:dyDescent="0.15">
      <c r="A1891" s="196" t="s">
        <v>11229</v>
      </c>
      <c r="B1891" s="196" t="s">
        <v>11230</v>
      </c>
      <c r="C1891" s="196" t="s">
        <v>15604</v>
      </c>
      <c r="D1891" s="196" t="s">
        <v>15605</v>
      </c>
      <c r="E1891" s="196" t="s">
        <v>15606</v>
      </c>
      <c r="F1891" s="196" t="s">
        <v>11241</v>
      </c>
      <c r="G1891" s="196" t="s">
        <v>11720</v>
      </c>
      <c r="H1891" s="196" t="s">
        <v>11235</v>
      </c>
    </row>
    <row r="1892" spans="1:8" x14ac:dyDescent="0.15">
      <c r="A1892" s="196" t="s">
        <v>11229</v>
      </c>
      <c r="B1892" s="196" t="s">
        <v>11230</v>
      </c>
      <c r="C1892" s="196" t="s">
        <v>15607</v>
      </c>
      <c r="D1892" s="196" t="s">
        <v>15608</v>
      </c>
      <c r="E1892" s="196" t="s">
        <v>15609</v>
      </c>
      <c r="F1892" s="196" t="s">
        <v>11241</v>
      </c>
      <c r="G1892" s="196" t="s">
        <v>11720</v>
      </c>
      <c r="H1892" s="196" t="s">
        <v>11235</v>
      </c>
    </row>
    <row r="1893" spans="1:8" x14ac:dyDescent="0.15">
      <c r="A1893" s="196" t="s">
        <v>11229</v>
      </c>
      <c r="B1893" s="196" t="s">
        <v>11230</v>
      </c>
      <c r="C1893" s="196" t="s">
        <v>15610</v>
      </c>
      <c r="D1893" s="196" t="s">
        <v>15609</v>
      </c>
      <c r="E1893" s="196" t="s">
        <v>15611</v>
      </c>
      <c r="F1893" s="196" t="s">
        <v>11241</v>
      </c>
      <c r="G1893" s="196" t="s">
        <v>11720</v>
      </c>
      <c r="H1893" s="196" t="s">
        <v>11235</v>
      </c>
    </row>
    <row r="1894" spans="1:8" x14ac:dyDescent="0.15">
      <c r="A1894" s="196" t="s">
        <v>11229</v>
      </c>
      <c r="B1894" s="196" t="s">
        <v>11230</v>
      </c>
      <c r="C1894" s="196" t="s">
        <v>15612</v>
      </c>
      <c r="D1894" s="196" t="s">
        <v>15613</v>
      </c>
      <c r="E1894" s="196" t="s">
        <v>15614</v>
      </c>
      <c r="F1894" s="196" t="s">
        <v>11241</v>
      </c>
      <c r="G1894" s="196" t="s">
        <v>11720</v>
      </c>
      <c r="H1894" s="196" t="s">
        <v>11235</v>
      </c>
    </row>
    <row r="1895" spans="1:8" x14ac:dyDescent="0.15">
      <c r="A1895" s="196" t="s">
        <v>11229</v>
      </c>
      <c r="B1895" s="196" t="s">
        <v>11230</v>
      </c>
      <c r="C1895" s="196" t="s">
        <v>15615</v>
      </c>
      <c r="D1895" s="196" t="s">
        <v>15616</v>
      </c>
      <c r="E1895" s="196" t="s">
        <v>15616</v>
      </c>
      <c r="F1895" s="196" t="s">
        <v>11233</v>
      </c>
      <c r="G1895" s="196" t="s">
        <v>11720</v>
      </c>
      <c r="H1895" s="196" t="s">
        <v>11235</v>
      </c>
    </row>
    <row r="1896" spans="1:8" x14ac:dyDescent="0.15">
      <c r="A1896" s="196" t="s">
        <v>11229</v>
      </c>
      <c r="B1896" s="196" t="s">
        <v>11230</v>
      </c>
      <c r="C1896" s="196" t="s">
        <v>15617</v>
      </c>
      <c r="D1896" s="196" t="s">
        <v>15618</v>
      </c>
      <c r="E1896" s="196" t="s">
        <v>15618</v>
      </c>
      <c r="F1896" s="196" t="s">
        <v>11233</v>
      </c>
      <c r="G1896" s="196" t="s">
        <v>11720</v>
      </c>
      <c r="H1896" s="196" t="s">
        <v>11235</v>
      </c>
    </row>
    <row r="1897" spans="1:8" x14ac:dyDescent="0.15">
      <c r="A1897" s="196" t="s">
        <v>11229</v>
      </c>
      <c r="B1897" s="196" t="s">
        <v>11230</v>
      </c>
      <c r="C1897" s="196" t="s">
        <v>15619</v>
      </c>
      <c r="D1897" s="196" t="s">
        <v>15620</v>
      </c>
      <c r="E1897" s="196" t="s">
        <v>15620</v>
      </c>
      <c r="F1897" s="196" t="s">
        <v>11233</v>
      </c>
      <c r="G1897" s="196" t="s">
        <v>11720</v>
      </c>
      <c r="H1897" s="196" t="s">
        <v>11235</v>
      </c>
    </row>
    <row r="1898" spans="1:8" x14ac:dyDescent="0.15">
      <c r="A1898" s="196" t="s">
        <v>11229</v>
      </c>
      <c r="B1898" s="196" t="s">
        <v>11230</v>
      </c>
      <c r="C1898" s="196" t="s">
        <v>15621</v>
      </c>
      <c r="D1898" s="196" t="s">
        <v>15622</v>
      </c>
      <c r="E1898" s="196" t="s">
        <v>15622</v>
      </c>
      <c r="F1898" s="196" t="s">
        <v>11233</v>
      </c>
      <c r="G1898" s="196" t="s">
        <v>11720</v>
      </c>
      <c r="H1898" s="196" t="s">
        <v>11235</v>
      </c>
    </row>
    <row r="1899" spans="1:8" x14ac:dyDescent="0.15">
      <c r="A1899" s="196" t="s">
        <v>11229</v>
      </c>
      <c r="B1899" s="196" t="s">
        <v>11230</v>
      </c>
      <c r="C1899" s="196" t="s">
        <v>15623</v>
      </c>
      <c r="D1899" s="196" t="s">
        <v>15624</v>
      </c>
      <c r="E1899" s="196" t="s">
        <v>15624</v>
      </c>
      <c r="F1899" s="196" t="s">
        <v>11233</v>
      </c>
      <c r="G1899" s="196" t="s">
        <v>11720</v>
      </c>
      <c r="H1899" s="196" t="s">
        <v>11235</v>
      </c>
    </row>
    <row r="1900" spans="1:8" x14ac:dyDescent="0.15">
      <c r="A1900" s="196" t="s">
        <v>11229</v>
      </c>
      <c r="B1900" s="196" t="s">
        <v>11230</v>
      </c>
      <c r="C1900" s="196" t="s">
        <v>15625</v>
      </c>
      <c r="D1900" s="196" t="s">
        <v>12714</v>
      </c>
      <c r="E1900" s="196" t="s">
        <v>12714</v>
      </c>
      <c r="F1900" s="196" t="s">
        <v>11233</v>
      </c>
      <c r="G1900" s="196" t="s">
        <v>11720</v>
      </c>
      <c r="H1900" s="196" t="s">
        <v>11235</v>
      </c>
    </row>
    <row r="1901" spans="1:8" x14ac:dyDescent="0.15">
      <c r="A1901" s="196" t="s">
        <v>11229</v>
      </c>
      <c r="B1901" s="196" t="s">
        <v>11230</v>
      </c>
      <c r="C1901" s="196" t="s">
        <v>15626</v>
      </c>
      <c r="D1901" s="196" t="s">
        <v>15627</v>
      </c>
      <c r="E1901" s="196" t="s">
        <v>15627</v>
      </c>
      <c r="F1901" s="196" t="s">
        <v>11233</v>
      </c>
      <c r="G1901" s="196" t="s">
        <v>11720</v>
      </c>
      <c r="H1901" s="196" t="s">
        <v>11235</v>
      </c>
    </row>
    <row r="1902" spans="1:8" x14ac:dyDescent="0.15">
      <c r="A1902" s="196" t="s">
        <v>11229</v>
      </c>
      <c r="B1902" s="196" t="s">
        <v>11230</v>
      </c>
      <c r="C1902" s="196" t="s">
        <v>15628</v>
      </c>
      <c r="D1902" s="196" t="s">
        <v>15629</v>
      </c>
      <c r="E1902" s="196" t="s">
        <v>15629</v>
      </c>
      <c r="F1902" s="196" t="s">
        <v>11233</v>
      </c>
      <c r="G1902" s="196" t="s">
        <v>11720</v>
      </c>
      <c r="H1902" s="196" t="s">
        <v>11235</v>
      </c>
    </row>
    <row r="1903" spans="1:8" x14ac:dyDescent="0.15">
      <c r="A1903" s="196" t="s">
        <v>11229</v>
      </c>
      <c r="B1903" s="196" t="s">
        <v>11230</v>
      </c>
      <c r="C1903" s="196" t="s">
        <v>15630</v>
      </c>
      <c r="D1903" s="196" t="s">
        <v>15631</v>
      </c>
      <c r="E1903" s="196" t="s">
        <v>15632</v>
      </c>
      <c r="F1903" s="196" t="s">
        <v>15633</v>
      </c>
      <c r="G1903" s="196" t="s">
        <v>11449</v>
      </c>
      <c r="H1903" s="196" t="s">
        <v>12712</v>
      </c>
    </row>
    <row r="1904" spans="1:8" x14ac:dyDescent="0.15">
      <c r="A1904" s="196" t="s">
        <v>11229</v>
      </c>
      <c r="B1904" s="196" t="s">
        <v>11230</v>
      </c>
      <c r="C1904" s="196" t="s">
        <v>15634</v>
      </c>
      <c r="D1904" s="196" t="s">
        <v>15631</v>
      </c>
      <c r="E1904" s="196" t="s">
        <v>15632</v>
      </c>
      <c r="F1904" s="196" t="s">
        <v>15633</v>
      </c>
      <c r="G1904" s="196" t="s">
        <v>11449</v>
      </c>
      <c r="H1904" s="196" t="s">
        <v>12712</v>
      </c>
    </row>
    <row r="1905" spans="1:8" x14ac:dyDescent="0.15">
      <c r="A1905" s="196" t="s">
        <v>11229</v>
      </c>
      <c r="B1905" s="196" t="s">
        <v>11230</v>
      </c>
      <c r="C1905" s="196" t="s">
        <v>15635</v>
      </c>
      <c r="D1905" s="196" t="s">
        <v>15636</v>
      </c>
      <c r="E1905" s="196" t="s">
        <v>15637</v>
      </c>
      <c r="F1905" s="196" t="s">
        <v>11241</v>
      </c>
      <c r="G1905" s="196" t="s">
        <v>11720</v>
      </c>
      <c r="H1905" s="196" t="s">
        <v>11235</v>
      </c>
    </row>
    <row r="1906" spans="1:8" x14ac:dyDescent="0.15">
      <c r="A1906" s="196" t="s">
        <v>11229</v>
      </c>
      <c r="B1906" s="196" t="s">
        <v>11230</v>
      </c>
      <c r="C1906" s="196" t="s">
        <v>15638</v>
      </c>
      <c r="D1906" s="196" t="s">
        <v>15639</v>
      </c>
      <c r="E1906" s="196" t="s">
        <v>15639</v>
      </c>
      <c r="F1906" s="196" t="s">
        <v>11233</v>
      </c>
      <c r="G1906" s="196" t="s">
        <v>11720</v>
      </c>
      <c r="H1906" s="196" t="s">
        <v>11235</v>
      </c>
    </row>
    <row r="1907" spans="1:8" x14ac:dyDescent="0.15">
      <c r="A1907" s="196" t="s">
        <v>11229</v>
      </c>
      <c r="B1907" s="196" t="s">
        <v>11230</v>
      </c>
      <c r="C1907" s="196" t="s">
        <v>15640</v>
      </c>
      <c r="D1907" s="196" t="s">
        <v>15639</v>
      </c>
      <c r="E1907" s="196" t="s">
        <v>15641</v>
      </c>
      <c r="F1907" s="196" t="s">
        <v>11268</v>
      </c>
      <c r="G1907" s="196" t="s">
        <v>11720</v>
      </c>
      <c r="H1907" s="196" t="s">
        <v>11235</v>
      </c>
    </row>
    <row r="1908" spans="1:8" x14ac:dyDescent="0.15">
      <c r="A1908" s="196" t="s">
        <v>11229</v>
      </c>
      <c r="B1908" s="196" t="s">
        <v>11230</v>
      </c>
      <c r="C1908" s="196" t="s">
        <v>15642</v>
      </c>
      <c r="D1908" s="196" t="s">
        <v>15641</v>
      </c>
      <c r="E1908" s="196" t="s">
        <v>15643</v>
      </c>
      <c r="F1908" s="196" t="s">
        <v>11241</v>
      </c>
      <c r="G1908" s="196" t="s">
        <v>11720</v>
      </c>
      <c r="H1908" s="196" t="s">
        <v>11235</v>
      </c>
    </row>
    <row r="1909" spans="1:8" x14ac:dyDescent="0.15">
      <c r="A1909" s="196" t="s">
        <v>11229</v>
      </c>
      <c r="B1909" s="196" t="s">
        <v>11230</v>
      </c>
      <c r="C1909" s="196" t="s">
        <v>15644</v>
      </c>
      <c r="D1909" s="196" t="s">
        <v>15643</v>
      </c>
      <c r="E1909" s="196" t="s">
        <v>15645</v>
      </c>
      <c r="F1909" s="196" t="s">
        <v>11241</v>
      </c>
      <c r="G1909" s="196" t="s">
        <v>11720</v>
      </c>
      <c r="H1909" s="196" t="s">
        <v>11235</v>
      </c>
    </row>
    <row r="1910" spans="1:8" x14ac:dyDescent="0.15">
      <c r="A1910" s="196" t="s">
        <v>11229</v>
      </c>
      <c r="B1910" s="196" t="s">
        <v>11230</v>
      </c>
      <c r="C1910" s="196" t="s">
        <v>15646</v>
      </c>
      <c r="D1910" s="196" t="s">
        <v>15645</v>
      </c>
      <c r="E1910" s="196" t="s">
        <v>15647</v>
      </c>
      <c r="F1910" s="196" t="s">
        <v>11268</v>
      </c>
      <c r="G1910" s="196" t="s">
        <v>11720</v>
      </c>
      <c r="H1910" s="196" t="s">
        <v>11235</v>
      </c>
    </row>
    <row r="1911" spans="1:8" x14ac:dyDescent="0.15">
      <c r="A1911" s="196" t="s">
        <v>11229</v>
      </c>
      <c r="B1911" s="196" t="s">
        <v>11230</v>
      </c>
      <c r="C1911" s="196" t="s">
        <v>15648</v>
      </c>
      <c r="D1911" s="196" t="s">
        <v>15649</v>
      </c>
      <c r="E1911" s="196" t="s">
        <v>15649</v>
      </c>
      <c r="F1911" s="196" t="s">
        <v>11233</v>
      </c>
      <c r="G1911" s="196" t="s">
        <v>11720</v>
      </c>
      <c r="H1911" s="196" t="s">
        <v>11235</v>
      </c>
    </row>
    <row r="1912" spans="1:8" x14ac:dyDescent="0.15">
      <c r="A1912" s="196" t="s">
        <v>11229</v>
      </c>
      <c r="B1912" s="196" t="s">
        <v>11230</v>
      </c>
      <c r="C1912" s="196" t="s">
        <v>15650</v>
      </c>
      <c r="D1912" s="196" t="s">
        <v>15651</v>
      </c>
      <c r="E1912" s="196" t="s">
        <v>15652</v>
      </c>
      <c r="F1912" s="196" t="s">
        <v>11268</v>
      </c>
      <c r="G1912" s="196" t="s">
        <v>11720</v>
      </c>
      <c r="H1912" s="196" t="s">
        <v>11235</v>
      </c>
    </row>
    <row r="1913" spans="1:8" x14ac:dyDescent="0.15">
      <c r="A1913" s="196" t="s">
        <v>11229</v>
      </c>
      <c r="B1913" s="196" t="s">
        <v>11230</v>
      </c>
      <c r="C1913" s="196" t="s">
        <v>15653</v>
      </c>
      <c r="D1913" s="196" t="s">
        <v>15654</v>
      </c>
      <c r="E1913" s="196" t="s">
        <v>15655</v>
      </c>
      <c r="F1913" s="196" t="s">
        <v>12537</v>
      </c>
      <c r="G1913" s="196" t="s">
        <v>11720</v>
      </c>
      <c r="H1913" s="196" t="s">
        <v>11235</v>
      </c>
    </row>
    <row r="1914" spans="1:8" x14ac:dyDescent="0.15">
      <c r="A1914" s="196" t="s">
        <v>11229</v>
      </c>
      <c r="B1914" s="196" t="s">
        <v>11230</v>
      </c>
      <c r="C1914" s="196" t="s">
        <v>15656</v>
      </c>
      <c r="D1914" s="196" t="s">
        <v>15657</v>
      </c>
      <c r="E1914" s="196" t="s">
        <v>15658</v>
      </c>
      <c r="F1914" s="196" t="s">
        <v>15659</v>
      </c>
      <c r="G1914" s="196" t="s">
        <v>11720</v>
      </c>
      <c r="H1914" s="196" t="s">
        <v>12712</v>
      </c>
    </row>
    <row r="1915" spans="1:8" x14ac:dyDescent="0.15">
      <c r="A1915" s="196" t="s">
        <v>11229</v>
      </c>
      <c r="B1915" s="196" t="s">
        <v>11230</v>
      </c>
      <c r="C1915" s="196" t="s">
        <v>15660</v>
      </c>
      <c r="D1915" s="196" t="s">
        <v>15657</v>
      </c>
      <c r="E1915" s="196" t="s">
        <v>15658</v>
      </c>
      <c r="F1915" s="196" t="s">
        <v>15659</v>
      </c>
      <c r="G1915" s="196" t="s">
        <v>11720</v>
      </c>
      <c r="H1915" s="196" t="s">
        <v>12712</v>
      </c>
    </row>
    <row r="1916" spans="1:8" x14ac:dyDescent="0.15">
      <c r="A1916" s="196" t="s">
        <v>11229</v>
      </c>
      <c r="B1916" s="196" t="s">
        <v>11230</v>
      </c>
      <c r="C1916" s="196" t="s">
        <v>15661</v>
      </c>
      <c r="D1916" s="196" t="s">
        <v>15657</v>
      </c>
      <c r="E1916" s="196" t="s">
        <v>15662</v>
      </c>
      <c r="F1916" s="196" t="s">
        <v>15663</v>
      </c>
      <c r="G1916" s="196" t="s">
        <v>11720</v>
      </c>
      <c r="H1916" s="196" t="s">
        <v>12712</v>
      </c>
    </row>
    <row r="1917" spans="1:8" x14ac:dyDescent="0.15">
      <c r="A1917" s="196" t="s">
        <v>11229</v>
      </c>
      <c r="B1917" s="196" t="s">
        <v>11230</v>
      </c>
      <c r="C1917" s="196" t="s">
        <v>15664</v>
      </c>
      <c r="D1917" s="196" t="s">
        <v>15657</v>
      </c>
      <c r="E1917" s="196" t="s">
        <v>15658</v>
      </c>
      <c r="F1917" s="196" t="s">
        <v>15659</v>
      </c>
      <c r="G1917" s="196" t="s">
        <v>11720</v>
      </c>
      <c r="H1917" s="196" t="s">
        <v>12712</v>
      </c>
    </row>
    <row r="1918" spans="1:8" x14ac:dyDescent="0.15">
      <c r="A1918" s="196" t="s">
        <v>11229</v>
      </c>
      <c r="B1918" s="196" t="s">
        <v>11230</v>
      </c>
      <c r="C1918" s="196" t="s">
        <v>15665</v>
      </c>
      <c r="D1918" s="196" t="s">
        <v>15666</v>
      </c>
      <c r="E1918" s="196" t="s">
        <v>15667</v>
      </c>
      <c r="F1918" s="196" t="s">
        <v>15668</v>
      </c>
      <c r="G1918" s="196" t="s">
        <v>11962</v>
      </c>
      <c r="H1918" s="196" t="s">
        <v>11235</v>
      </c>
    </row>
    <row r="1919" spans="1:8" x14ac:dyDescent="0.15">
      <c r="A1919" s="196" t="s">
        <v>11229</v>
      </c>
      <c r="B1919" s="196" t="s">
        <v>11230</v>
      </c>
      <c r="C1919" s="196" t="s">
        <v>15669</v>
      </c>
      <c r="D1919" s="196" t="s">
        <v>15670</v>
      </c>
      <c r="E1919" s="196" t="s">
        <v>15671</v>
      </c>
      <c r="F1919" s="196" t="s">
        <v>15672</v>
      </c>
      <c r="G1919" s="196" t="s">
        <v>11962</v>
      </c>
      <c r="H1919" s="196" t="s">
        <v>11235</v>
      </c>
    </row>
    <row r="1920" spans="1:8" x14ac:dyDescent="0.15">
      <c r="A1920" s="196" t="s">
        <v>11229</v>
      </c>
      <c r="B1920" s="196" t="s">
        <v>11230</v>
      </c>
      <c r="C1920" s="196" t="s">
        <v>15673</v>
      </c>
      <c r="D1920" s="196" t="s">
        <v>15674</v>
      </c>
      <c r="E1920" s="196" t="s">
        <v>15675</v>
      </c>
      <c r="F1920" s="196" t="s">
        <v>15676</v>
      </c>
      <c r="G1920" s="196" t="s">
        <v>12378</v>
      </c>
      <c r="H1920" s="196" t="s">
        <v>12712</v>
      </c>
    </row>
    <row r="1921" spans="1:8" x14ac:dyDescent="0.15">
      <c r="A1921" s="196" t="s">
        <v>11229</v>
      </c>
      <c r="B1921" s="196" t="s">
        <v>11230</v>
      </c>
      <c r="C1921" s="196" t="s">
        <v>15677</v>
      </c>
      <c r="D1921" s="196" t="s">
        <v>15674</v>
      </c>
      <c r="E1921" s="196" t="s">
        <v>15678</v>
      </c>
      <c r="F1921" s="196" t="s">
        <v>15679</v>
      </c>
      <c r="G1921" s="196" t="s">
        <v>12378</v>
      </c>
      <c r="H1921" s="196" t="s">
        <v>12712</v>
      </c>
    </row>
    <row r="1922" spans="1:8" x14ac:dyDescent="0.15">
      <c r="A1922" s="196" t="s">
        <v>11229</v>
      </c>
      <c r="B1922" s="196" t="s">
        <v>11230</v>
      </c>
      <c r="C1922" s="196" t="s">
        <v>15680</v>
      </c>
      <c r="D1922" s="196" t="s">
        <v>15674</v>
      </c>
      <c r="E1922" s="196" t="s">
        <v>15675</v>
      </c>
      <c r="F1922" s="196" t="s">
        <v>15676</v>
      </c>
      <c r="G1922" s="196" t="s">
        <v>12378</v>
      </c>
      <c r="H1922" s="196" t="s">
        <v>12712</v>
      </c>
    </row>
    <row r="1923" spans="1:8" x14ac:dyDescent="0.15">
      <c r="A1923" s="196" t="s">
        <v>11229</v>
      </c>
      <c r="B1923" s="196" t="s">
        <v>11230</v>
      </c>
      <c r="C1923" s="196" t="s">
        <v>15681</v>
      </c>
      <c r="D1923" s="196" t="s">
        <v>15674</v>
      </c>
      <c r="E1923" s="196" t="s">
        <v>15675</v>
      </c>
      <c r="F1923" s="196" t="s">
        <v>15676</v>
      </c>
      <c r="G1923" s="196" t="s">
        <v>12378</v>
      </c>
      <c r="H1923" s="196" t="s">
        <v>12712</v>
      </c>
    </row>
    <row r="1924" spans="1:8" x14ac:dyDescent="0.15">
      <c r="A1924" s="196" t="s">
        <v>11229</v>
      </c>
      <c r="B1924" s="196" t="s">
        <v>11230</v>
      </c>
      <c r="C1924" s="196" t="s">
        <v>15682</v>
      </c>
      <c r="D1924" s="196" t="s">
        <v>15683</v>
      </c>
      <c r="E1924" s="196" t="s">
        <v>15684</v>
      </c>
      <c r="F1924" s="196" t="s">
        <v>11241</v>
      </c>
      <c r="G1924" s="196" t="s">
        <v>11962</v>
      </c>
      <c r="H1924" s="196" t="s">
        <v>11235</v>
      </c>
    </row>
    <row r="1925" spans="1:8" x14ac:dyDescent="0.15">
      <c r="A1925" s="196" t="s">
        <v>11229</v>
      </c>
      <c r="B1925" s="196" t="s">
        <v>11230</v>
      </c>
      <c r="C1925" s="196" t="s">
        <v>15685</v>
      </c>
      <c r="D1925" s="196" t="s">
        <v>15686</v>
      </c>
      <c r="E1925" s="196" t="s">
        <v>15687</v>
      </c>
      <c r="F1925" s="196" t="s">
        <v>15688</v>
      </c>
      <c r="G1925" s="196" t="s">
        <v>11962</v>
      </c>
      <c r="H1925" s="196" t="s">
        <v>12712</v>
      </c>
    </row>
    <row r="1926" spans="1:8" x14ac:dyDescent="0.15">
      <c r="A1926" s="196" t="s">
        <v>11229</v>
      </c>
      <c r="B1926" s="196" t="s">
        <v>11230</v>
      </c>
      <c r="C1926" s="196" t="s">
        <v>15689</v>
      </c>
      <c r="D1926" s="196" t="s">
        <v>15690</v>
      </c>
      <c r="E1926" s="196" t="s">
        <v>15691</v>
      </c>
      <c r="F1926" s="196" t="s">
        <v>15692</v>
      </c>
      <c r="G1926" s="196" t="s">
        <v>12378</v>
      </c>
      <c r="H1926" s="196" t="s">
        <v>12712</v>
      </c>
    </row>
    <row r="1927" spans="1:8" x14ac:dyDescent="0.15">
      <c r="A1927" s="196" t="s">
        <v>11229</v>
      </c>
      <c r="B1927" s="196" t="s">
        <v>11230</v>
      </c>
      <c r="C1927" s="196" t="s">
        <v>15693</v>
      </c>
      <c r="D1927" s="196" t="s">
        <v>15694</v>
      </c>
      <c r="E1927" s="196" t="s">
        <v>15695</v>
      </c>
      <c r="F1927" s="196" t="s">
        <v>11268</v>
      </c>
      <c r="G1927" s="196" t="s">
        <v>11234</v>
      </c>
      <c r="H1927" s="196" t="s">
        <v>11235</v>
      </c>
    </row>
    <row r="1928" spans="1:8" x14ac:dyDescent="0.15">
      <c r="A1928" s="196" t="s">
        <v>11229</v>
      </c>
      <c r="B1928" s="196" t="s">
        <v>11230</v>
      </c>
      <c r="C1928" s="196" t="s">
        <v>15696</v>
      </c>
      <c r="D1928" s="196" t="s">
        <v>15697</v>
      </c>
      <c r="E1928" s="196" t="s">
        <v>15697</v>
      </c>
      <c r="F1928" s="196" t="s">
        <v>11233</v>
      </c>
      <c r="G1928" s="196" t="s">
        <v>11234</v>
      </c>
      <c r="H1928" s="196" t="s">
        <v>11235</v>
      </c>
    </row>
    <row r="1929" spans="1:8" x14ac:dyDescent="0.15">
      <c r="A1929" s="196" t="s">
        <v>11229</v>
      </c>
      <c r="B1929" s="196" t="s">
        <v>11230</v>
      </c>
      <c r="C1929" s="196" t="s">
        <v>15698</v>
      </c>
      <c r="D1929" s="196" t="s">
        <v>15699</v>
      </c>
      <c r="E1929" s="196" t="s">
        <v>15700</v>
      </c>
      <c r="F1929" s="196" t="s">
        <v>11268</v>
      </c>
      <c r="G1929" s="196" t="s">
        <v>11234</v>
      </c>
      <c r="H1929" s="196" t="s">
        <v>11235</v>
      </c>
    </row>
    <row r="1930" spans="1:8" x14ac:dyDescent="0.15">
      <c r="A1930" s="196" t="s">
        <v>11229</v>
      </c>
      <c r="B1930" s="196" t="s">
        <v>11230</v>
      </c>
      <c r="C1930" s="196" t="s">
        <v>15701</v>
      </c>
      <c r="D1930" s="196" t="s">
        <v>15700</v>
      </c>
      <c r="E1930" s="196" t="s">
        <v>15702</v>
      </c>
      <c r="F1930" s="196" t="s">
        <v>11241</v>
      </c>
      <c r="G1930" s="196" t="s">
        <v>11234</v>
      </c>
      <c r="H1930" s="196" t="s">
        <v>11235</v>
      </c>
    </row>
    <row r="1931" spans="1:8" x14ac:dyDescent="0.15">
      <c r="A1931" s="196" t="s">
        <v>11229</v>
      </c>
      <c r="B1931" s="196" t="s">
        <v>11230</v>
      </c>
      <c r="C1931" s="196" t="s">
        <v>15703</v>
      </c>
      <c r="D1931" s="196" t="s">
        <v>15704</v>
      </c>
      <c r="E1931" s="196" t="s">
        <v>15704</v>
      </c>
      <c r="F1931" s="196" t="s">
        <v>11233</v>
      </c>
      <c r="G1931" s="196" t="s">
        <v>11234</v>
      </c>
      <c r="H1931" s="196" t="s">
        <v>11235</v>
      </c>
    </row>
    <row r="1932" spans="1:8" x14ac:dyDescent="0.15">
      <c r="A1932" s="196" t="s">
        <v>11229</v>
      </c>
      <c r="B1932" s="196" t="s">
        <v>11230</v>
      </c>
      <c r="C1932" s="196" t="s">
        <v>15705</v>
      </c>
      <c r="D1932" s="196" t="s">
        <v>15706</v>
      </c>
      <c r="E1932" s="196" t="s">
        <v>15707</v>
      </c>
      <c r="F1932" s="196" t="s">
        <v>11241</v>
      </c>
      <c r="G1932" s="196" t="s">
        <v>11234</v>
      </c>
      <c r="H1932" s="196" t="s">
        <v>11235</v>
      </c>
    </row>
    <row r="1933" spans="1:8" x14ac:dyDescent="0.15">
      <c r="A1933" s="196" t="s">
        <v>11229</v>
      </c>
      <c r="B1933" s="196" t="s">
        <v>11230</v>
      </c>
      <c r="C1933" s="196" t="s">
        <v>15708</v>
      </c>
      <c r="D1933" s="196" t="s">
        <v>15709</v>
      </c>
      <c r="E1933" s="196" t="s">
        <v>15710</v>
      </c>
      <c r="F1933" s="196" t="s">
        <v>11241</v>
      </c>
      <c r="G1933" s="196" t="s">
        <v>11234</v>
      </c>
      <c r="H1933" s="196" t="s">
        <v>11235</v>
      </c>
    </row>
    <row r="1934" spans="1:8" x14ac:dyDescent="0.15">
      <c r="A1934" s="196" t="s">
        <v>11229</v>
      </c>
      <c r="B1934" s="196" t="s">
        <v>11230</v>
      </c>
      <c r="C1934" s="196" t="s">
        <v>15711</v>
      </c>
      <c r="D1934" s="196" t="s">
        <v>15712</v>
      </c>
      <c r="E1934" s="196" t="s">
        <v>15712</v>
      </c>
      <c r="F1934" s="196" t="s">
        <v>11233</v>
      </c>
      <c r="G1934" s="196" t="s">
        <v>11234</v>
      </c>
      <c r="H1934" s="196" t="s">
        <v>11235</v>
      </c>
    </row>
    <row r="1935" spans="1:8" x14ac:dyDescent="0.15">
      <c r="A1935" s="196" t="s">
        <v>11229</v>
      </c>
      <c r="B1935" s="196" t="s">
        <v>11230</v>
      </c>
      <c r="C1935" s="196" t="s">
        <v>15713</v>
      </c>
      <c r="D1935" s="196" t="s">
        <v>15714</v>
      </c>
      <c r="E1935" s="196" t="s">
        <v>15714</v>
      </c>
      <c r="F1935" s="196" t="s">
        <v>11233</v>
      </c>
      <c r="G1935" s="196" t="s">
        <v>11234</v>
      </c>
      <c r="H1935" s="196" t="s">
        <v>11235</v>
      </c>
    </row>
    <row r="1936" spans="1:8" x14ac:dyDescent="0.15">
      <c r="A1936" s="196" t="s">
        <v>11229</v>
      </c>
      <c r="B1936" s="196" t="s">
        <v>11230</v>
      </c>
      <c r="C1936" s="196" t="s">
        <v>15715</v>
      </c>
      <c r="D1936" s="196" t="s">
        <v>15716</v>
      </c>
      <c r="E1936" s="196" t="s">
        <v>15716</v>
      </c>
      <c r="F1936" s="196" t="s">
        <v>11233</v>
      </c>
      <c r="G1936" s="196" t="s">
        <v>11234</v>
      </c>
      <c r="H1936" s="196" t="s">
        <v>11235</v>
      </c>
    </row>
    <row r="1937" spans="1:8" x14ac:dyDescent="0.15">
      <c r="A1937" s="196" t="s">
        <v>11229</v>
      </c>
      <c r="B1937" s="196" t="s">
        <v>11230</v>
      </c>
      <c r="C1937" s="196" t="s">
        <v>15717</v>
      </c>
      <c r="D1937" s="196" t="s">
        <v>15718</v>
      </c>
      <c r="E1937" s="196" t="s">
        <v>15718</v>
      </c>
      <c r="F1937" s="196" t="s">
        <v>11233</v>
      </c>
      <c r="G1937" s="196" t="s">
        <v>11234</v>
      </c>
      <c r="H1937" s="196" t="s">
        <v>11235</v>
      </c>
    </row>
    <row r="1938" spans="1:8" x14ac:dyDescent="0.15">
      <c r="A1938" s="196" t="s">
        <v>11229</v>
      </c>
      <c r="B1938" s="196" t="s">
        <v>11230</v>
      </c>
      <c r="C1938" s="196" t="s">
        <v>15719</v>
      </c>
      <c r="D1938" s="196" t="s">
        <v>15720</v>
      </c>
      <c r="E1938" s="196" t="s">
        <v>15721</v>
      </c>
      <c r="F1938" s="196" t="s">
        <v>11268</v>
      </c>
      <c r="G1938" s="196" t="s">
        <v>11234</v>
      </c>
      <c r="H1938" s="196" t="s">
        <v>11235</v>
      </c>
    </row>
    <row r="1939" spans="1:8" x14ac:dyDescent="0.15">
      <c r="A1939" s="196" t="s">
        <v>11229</v>
      </c>
      <c r="B1939" s="196" t="s">
        <v>11230</v>
      </c>
      <c r="C1939" s="196" t="s">
        <v>15722</v>
      </c>
      <c r="D1939" s="196" t="s">
        <v>15723</v>
      </c>
      <c r="E1939" s="196" t="s">
        <v>15723</v>
      </c>
      <c r="F1939" s="196" t="s">
        <v>11233</v>
      </c>
      <c r="G1939" s="196" t="s">
        <v>11234</v>
      </c>
      <c r="H1939" s="196" t="s">
        <v>11235</v>
      </c>
    </row>
    <row r="1940" spans="1:8" x14ac:dyDescent="0.15">
      <c r="A1940" s="196" t="s">
        <v>11229</v>
      </c>
      <c r="B1940" s="196" t="s">
        <v>11230</v>
      </c>
      <c r="C1940" s="196" t="s">
        <v>15724</v>
      </c>
      <c r="D1940" s="196" t="s">
        <v>15725</v>
      </c>
      <c r="E1940" s="196" t="s">
        <v>15725</v>
      </c>
      <c r="F1940" s="196" t="s">
        <v>11233</v>
      </c>
      <c r="G1940" s="196" t="s">
        <v>11234</v>
      </c>
      <c r="H1940" s="196" t="s">
        <v>11235</v>
      </c>
    </row>
    <row r="1941" spans="1:8" x14ac:dyDescent="0.15">
      <c r="A1941" s="196" t="s">
        <v>11229</v>
      </c>
      <c r="B1941" s="196" t="s">
        <v>11230</v>
      </c>
      <c r="C1941" s="196" t="s">
        <v>15726</v>
      </c>
      <c r="D1941" s="196" t="s">
        <v>15727</v>
      </c>
      <c r="E1941" s="196" t="s">
        <v>15727</v>
      </c>
      <c r="F1941" s="196" t="s">
        <v>11233</v>
      </c>
      <c r="G1941" s="196" t="s">
        <v>11234</v>
      </c>
      <c r="H1941" s="196" t="s">
        <v>11235</v>
      </c>
    </row>
    <row r="1942" spans="1:8" x14ac:dyDescent="0.15">
      <c r="A1942" s="196" t="s">
        <v>11229</v>
      </c>
      <c r="B1942" s="196" t="s">
        <v>11230</v>
      </c>
      <c r="C1942" s="196" t="s">
        <v>15728</v>
      </c>
      <c r="D1942" s="196" t="s">
        <v>15729</v>
      </c>
      <c r="E1942" s="196" t="s">
        <v>15729</v>
      </c>
      <c r="F1942" s="196" t="s">
        <v>11233</v>
      </c>
      <c r="G1942" s="196" t="s">
        <v>11234</v>
      </c>
      <c r="H1942" s="196" t="s">
        <v>11235</v>
      </c>
    </row>
    <row r="1943" spans="1:8" x14ac:dyDescent="0.15">
      <c r="A1943" s="196" t="s">
        <v>11229</v>
      </c>
      <c r="B1943" s="196" t="s">
        <v>11230</v>
      </c>
      <c r="C1943" s="196" t="s">
        <v>15730</v>
      </c>
      <c r="D1943" s="196" t="s">
        <v>15731</v>
      </c>
      <c r="E1943" s="196" t="s">
        <v>15731</v>
      </c>
      <c r="F1943" s="196" t="s">
        <v>11233</v>
      </c>
      <c r="G1943" s="196" t="s">
        <v>11234</v>
      </c>
      <c r="H1943" s="196" t="s">
        <v>11235</v>
      </c>
    </row>
    <row r="1944" spans="1:8" x14ac:dyDescent="0.15">
      <c r="A1944" s="196" t="s">
        <v>11229</v>
      </c>
      <c r="B1944" s="196" t="s">
        <v>11230</v>
      </c>
      <c r="C1944" s="196" t="s">
        <v>15732</v>
      </c>
      <c r="D1944" s="196" t="s">
        <v>15733</v>
      </c>
      <c r="E1944" s="196" t="s">
        <v>15733</v>
      </c>
      <c r="F1944" s="196" t="s">
        <v>11233</v>
      </c>
      <c r="G1944" s="196" t="s">
        <v>11234</v>
      </c>
      <c r="H1944" s="196" t="s">
        <v>11235</v>
      </c>
    </row>
    <row r="1945" spans="1:8" x14ac:dyDescent="0.15">
      <c r="A1945" s="196" t="s">
        <v>11229</v>
      </c>
      <c r="B1945" s="196" t="s">
        <v>11230</v>
      </c>
      <c r="C1945" s="196" t="s">
        <v>15734</v>
      </c>
      <c r="D1945" s="196" t="s">
        <v>15735</v>
      </c>
      <c r="E1945" s="196" t="s">
        <v>15735</v>
      </c>
      <c r="F1945" s="196" t="s">
        <v>11233</v>
      </c>
      <c r="G1945" s="196" t="s">
        <v>11234</v>
      </c>
      <c r="H1945" s="196" t="s">
        <v>11235</v>
      </c>
    </row>
    <row r="1946" spans="1:8" x14ac:dyDescent="0.15">
      <c r="A1946" s="196" t="s">
        <v>11229</v>
      </c>
      <c r="B1946" s="196" t="s">
        <v>11230</v>
      </c>
      <c r="C1946" s="196" t="s">
        <v>15736</v>
      </c>
      <c r="D1946" s="196" t="s">
        <v>15737</v>
      </c>
      <c r="E1946" s="196" t="s">
        <v>15737</v>
      </c>
      <c r="F1946" s="196" t="s">
        <v>11233</v>
      </c>
      <c r="G1946" s="196" t="s">
        <v>11234</v>
      </c>
      <c r="H1946" s="196" t="s">
        <v>11235</v>
      </c>
    </row>
    <row r="1947" spans="1:8" x14ac:dyDescent="0.15">
      <c r="A1947" s="196" t="s">
        <v>11229</v>
      </c>
      <c r="B1947" s="196" t="s">
        <v>11230</v>
      </c>
      <c r="C1947" s="196" t="s">
        <v>15738</v>
      </c>
      <c r="D1947" s="196" t="s">
        <v>15739</v>
      </c>
      <c r="E1947" s="196" t="s">
        <v>15739</v>
      </c>
      <c r="F1947" s="196" t="s">
        <v>11233</v>
      </c>
      <c r="G1947" s="196" t="s">
        <v>11234</v>
      </c>
      <c r="H1947" s="196" t="s">
        <v>11235</v>
      </c>
    </row>
    <row r="1948" spans="1:8" x14ac:dyDescent="0.15">
      <c r="A1948" s="196" t="s">
        <v>11229</v>
      </c>
      <c r="B1948" s="196" t="s">
        <v>11230</v>
      </c>
      <c r="C1948" s="196" t="s">
        <v>15740</v>
      </c>
      <c r="D1948" s="196" t="s">
        <v>15741</v>
      </c>
      <c r="E1948" s="196" t="s">
        <v>15742</v>
      </c>
      <c r="F1948" s="196" t="s">
        <v>11900</v>
      </c>
      <c r="G1948" s="196" t="s">
        <v>11234</v>
      </c>
      <c r="H1948" s="196" t="s">
        <v>11235</v>
      </c>
    </row>
    <row r="1949" spans="1:8" x14ac:dyDescent="0.15">
      <c r="A1949" s="196" t="s">
        <v>11229</v>
      </c>
      <c r="B1949" s="196" t="s">
        <v>11230</v>
      </c>
      <c r="C1949" s="196" t="s">
        <v>15743</v>
      </c>
      <c r="D1949" s="196" t="s">
        <v>15744</v>
      </c>
      <c r="E1949" s="196" t="s">
        <v>15745</v>
      </c>
      <c r="F1949" s="196" t="s">
        <v>13901</v>
      </c>
      <c r="G1949" s="196" t="s">
        <v>11234</v>
      </c>
      <c r="H1949" s="196" t="s">
        <v>11235</v>
      </c>
    </row>
    <row r="1950" spans="1:8" x14ac:dyDescent="0.15">
      <c r="A1950" s="196" t="s">
        <v>11229</v>
      </c>
      <c r="B1950" s="196" t="s">
        <v>11230</v>
      </c>
      <c r="C1950" s="196" t="s">
        <v>15746</v>
      </c>
      <c r="D1950" s="196" t="s">
        <v>15745</v>
      </c>
      <c r="E1950" s="196" t="s">
        <v>15747</v>
      </c>
      <c r="F1950" s="196" t="s">
        <v>14964</v>
      </c>
      <c r="G1950" s="196" t="s">
        <v>11234</v>
      </c>
      <c r="H1950" s="196" t="s">
        <v>11235</v>
      </c>
    </row>
    <row r="1951" spans="1:8" x14ac:dyDescent="0.15">
      <c r="A1951" s="196" t="s">
        <v>11229</v>
      </c>
      <c r="B1951" s="196" t="s">
        <v>11230</v>
      </c>
      <c r="C1951" s="196" t="s">
        <v>15748</v>
      </c>
      <c r="D1951" s="196" t="s">
        <v>15749</v>
      </c>
      <c r="E1951" s="196" t="s">
        <v>15750</v>
      </c>
      <c r="F1951" s="196" t="s">
        <v>15751</v>
      </c>
      <c r="G1951" s="196" t="s">
        <v>11234</v>
      </c>
      <c r="H1951" s="196" t="s">
        <v>11235</v>
      </c>
    </row>
    <row r="1952" spans="1:8" x14ac:dyDescent="0.15">
      <c r="A1952" s="196" t="s">
        <v>11229</v>
      </c>
      <c r="B1952" s="196" t="s">
        <v>11230</v>
      </c>
      <c r="C1952" s="196" t="s">
        <v>15752</v>
      </c>
      <c r="D1952" s="196" t="s">
        <v>15753</v>
      </c>
      <c r="E1952" s="196" t="s">
        <v>15754</v>
      </c>
      <c r="F1952" s="196" t="s">
        <v>12526</v>
      </c>
      <c r="G1952" s="196" t="s">
        <v>12378</v>
      </c>
      <c r="H1952" s="196" t="s">
        <v>11235</v>
      </c>
    </row>
    <row r="1953" spans="1:8" x14ac:dyDescent="0.15">
      <c r="A1953" s="196" t="s">
        <v>11229</v>
      </c>
      <c r="B1953" s="196" t="s">
        <v>11230</v>
      </c>
      <c r="C1953" s="196" t="s">
        <v>15755</v>
      </c>
      <c r="D1953" s="196" t="s">
        <v>15756</v>
      </c>
      <c r="E1953" s="196" t="s">
        <v>15757</v>
      </c>
      <c r="F1953" s="196" t="s">
        <v>15758</v>
      </c>
      <c r="G1953" s="196" t="s">
        <v>12378</v>
      </c>
      <c r="H1953" s="196" t="s">
        <v>11235</v>
      </c>
    </row>
    <row r="1954" spans="1:8" x14ac:dyDescent="0.15">
      <c r="A1954" s="196" t="s">
        <v>11229</v>
      </c>
      <c r="B1954" s="196" t="s">
        <v>11230</v>
      </c>
      <c r="C1954" s="196" t="s">
        <v>15759</v>
      </c>
      <c r="D1954" s="196" t="s">
        <v>15760</v>
      </c>
      <c r="E1954" s="196" t="s">
        <v>15761</v>
      </c>
      <c r="F1954" s="196" t="s">
        <v>15762</v>
      </c>
      <c r="G1954" s="196" t="s">
        <v>12378</v>
      </c>
      <c r="H1954" s="196" t="s">
        <v>11235</v>
      </c>
    </row>
    <row r="1955" spans="1:8" x14ac:dyDescent="0.15">
      <c r="A1955" s="196" t="s">
        <v>11229</v>
      </c>
      <c r="B1955" s="196" t="s">
        <v>11230</v>
      </c>
      <c r="C1955" s="196" t="s">
        <v>15763</v>
      </c>
      <c r="D1955" s="196" t="s">
        <v>15761</v>
      </c>
      <c r="E1955" s="196" t="s">
        <v>15764</v>
      </c>
      <c r="F1955" s="196" t="s">
        <v>15765</v>
      </c>
      <c r="G1955" s="196" t="s">
        <v>12378</v>
      </c>
      <c r="H1955" s="196" t="s">
        <v>11235</v>
      </c>
    </row>
    <row r="1956" spans="1:8" x14ac:dyDescent="0.15">
      <c r="A1956" s="196" t="s">
        <v>11229</v>
      </c>
      <c r="B1956" s="196" t="s">
        <v>11230</v>
      </c>
      <c r="C1956" s="196" t="s">
        <v>15766</v>
      </c>
      <c r="D1956" s="196" t="s">
        <v>15767</v>
      </c>
      <c r="E1956" s="196" t="s">
        <v>15768</v>
      </c>
      <c r="F1956" s="196" t="s">
        <v>15769</v>
      </c>
      <c r="G1956" s="196" t="s">
        <v>12378</v>
      </c>
      <c r="H1956" s="196" t="s">
        <v>11235</v>
      </c>
    </row>
    <row r="1957" spans="1:8" x14ac:dyDescent="0.15">
      <c r="A1957" s="196" t="s">
        <v>11229</v>
      </c>
      <c r="B1957" s="196" t="s">
        <v>11230</v>
      </c>
      <c r="C1957" s="196" t="s">
        <v>15770</v>
      </c>
      <c r="D1957" s="196" t="s">
        <v>15771</v>
      </c>
      <c r="E1957" s="196" t="s">
        <v>15772</v>
      </c>
      <c r="F1957" s="196" t="s">
        <v>15773</v>
      </c>
      <c r="G1957" s="196" t="s">
        <v>12378</v>
      </c>
      <c r="H1957" s="196" t="s">
        <v>11235</v>
      </c>
    </row>
    <row r="1958" spans="1:8" x14ac:dyDescent="0.15">
      <c r="A1958" s="196" t="s">
        <v>11229</v>
      </c>
      <c r="B1958" s="196" t="s">
        <v>11230</v>
      </c>
      <c r="C1958" s="196" t="s">
        <v>15774</v>
      </c>
      <c r="D1958" s="196" t="s">
        <v>15775</v>
      </c>
      <c r="E1958" s="196" t="s">
        <v>15776</v>
      </c>
      <c r="F1958" s="196" t="s">
        <v>15777</v>
      </c>
      <c r="G1958" s="196" t="s">
        <v>12378</v>
      </c>
      <c r="H1958" s="196" t="s">
        <v>11235</v>
      </c>
    </row>
    <row r="1959" spans="1:8" x14ac:dyDescent="0.15">
      <c r="A1959" s="196" t="s">
        <v>11229</v>
      </c>
      <c r="B1959" s="196" t="s">
        <v>11230</v>
      </c>
      <c r="C1959" s="196" t="s">
        <v>15778</v>
      </c>
      <c r="D1959" s="196" t="s">
        <v>15776</v>
      </c>
      <c r="E1959" s="196" t="s">
        <v>15779</v>
      </c>
      <c r="F1959" s="196" t="s">
        <v>15780</v>
      </c>
      <c r="G1959" s="196" t="s">
        <v>12378</v>
      </c>
      <c r="H1959" s="196" t="s">
        <v>11235</v>
      </c>
    </row>
    <row r="1960" spans="1:8" x14ac:dyDescent="0.15">
      <c r="A1960" s="196" t="s">
        <v>11229</v>
      </c>
      <c r="B1960" s="196" t="s">
        <v>11230</v>
      </c>
      <c r="C1960" s="196" t="s">
        <v>15781</v>
      </c>
      <c r="D1960" s="196" t="s">
        <v>15782</v>
      </c>
      <c r="E1960" s="196" t="s">
        <v>15783</v>
      </c>
      <c r="F1960" s="196" t="s">
        <v>15784</v>
      </c>
      <c r="G1960" s="196" t="s">
        <v>12378</v>
      </c>
      <c r="H1960" s="196" t="s">
        <v>11235</v>
      </c>
    </row>
    <row r="1961" spans="1:8" x14ac:dyDescent="0.15">
      <c r="A1961" s="196" t="s">
        <v>11229</v>
      </c>
      <c r="B1961" s="196" t="s">
        <v>11230</v>
      </c>
      <c r="C1961" s="196" t="s">
        <v>15785</v>
      </c>
      <c r="D1961" s="196" t="s">
        <v>15786</v>
      </c>
      <c r="E1961" s="196" t="s">
        <v>15786</v>
      </c>
      <c r="F1961" s="196" t="s">
        <v>11233</v>
      </c>
      <c r="G1961" s="196" t="s">
        <v>12378</v>
      </c>
      <c r="H1961" s="196" t="s">
        <v>11235</v>
      </c>
    </row>
    <row r="1962" spans="1:8" x14ac:dyDescent="0.15">
      <c r="A1962" s="196" t="s">
        <v>11229</v>
      </c>
      <c r="B1962" s="196" t="s">
        <v>11230</v>
      </c>
      <c r="C1962" s="196" t="s">
        <v>15787</v>
      </c>
      <c r="D1962" s="196" t="s">
        <v>15788</v>
      </c>
      <c r="E1962" s="196" t="s">
        <v>15788</v>
      </c>
      <c r="F1962" s="196" t="s">
        <v>11233</v>
      </c>
      <c r="G1962" s="196" t="s">
        <v>12378</v>
      </c>
      <c r="H1962" s="196" t="s">
        <v>11235</v>
      </c>
    </row>
    <row r="1963" spans="1:8" x14ac:dyDescent="0.15">
      <c r="A1963" s="196" t="s">
        <v>11229</v>
      </c>
      <c r="B1963" s="196" t="s">
        <v>11230</v>
      </c>
      <c r="C1963" s="196" t="s">
        <v>15789</v>
      </c>
      <c r="D1963" s="196" t="s">
        <v>15790</v>
      </c>
      <c r="E1963" s="196" t="s">
        <v>15790</v>
      </c>
      <c r="F1963" s="196" t="s">
        <v>11233</v>
      </c>
      <c r="G1963" s="196" t="s">
        <v>12378</v>
      </c>
      <c r="H1963" s="196" t="s">
        <v>11235</v>
      </c>
    </row>
    <row r="1964" spans="1:8" x14ac:dyDescent="0.15">
      <c r="A1964" s="196" t="s">
        <v>11229</v>
      </c>
      <c r="B1964" s="196" t="s">
        <v>11230</v>
      </c>
      <c r="C1964" s="196" t="s">
        <v>15791</v>
      </c>
      <c r="D1964" s="196" t="s">
        <v>15792</v>
      </c>
      <c r="E1964" s="196" t="s">
        <v>15792</v>
      </c>
      <c r="F1964" s="196" t="s">
        <v>11233</v>
      </c>
      <c r="G1964" s="196" t="s">
        <v>12378</v>
      </c>
      <c r="H1964" s="196" t="s">
        <v>11235</v>
      </c>
    </row>
    <row r="1965" spans="1:8" x14ac:dyDescent="0.15">
      <c r="A1965" s="196" t="s">
        <v>11229</v>
      </c>
      <c r="B1965" s="196" t="s">
        <v>11230</v>
      </c>
      <c r="C1965" s="196" t="s">
        <v>15793</v>
      </c>
      <c r="D1965" s="196" t="s">
        <v>15794</v>
      </c>
      <c r="E1965" s="196" t="s">
        <v>15794</v>
      </c>
      <c r="F1965" s="196" t="s">
        <v>11233</v>
      </c>
      <c r="G1965" s="196" t="s">
        <v>12378</v>
      </c>
      <c r="H1965" s="196" t="s">
        <v>11235</v>
      </c>
    </row>
    <row r="1966" spans="1:8" x14ac:dyDescent="0.15">
      <c r="A1966" s="196" t="s">
        <v>11229</v>
      </c>
      <c r="B1966" s="196" t="s">
        <v>11230</v>
      </c>
      <c r="C1966" s="196" t="s">
        <v>15795</v>
      </c>
      <c r="D1966" s="196" t="s">
        <v>15796</v>
      </c>
      <c r="E1966" s="196" t="s">
        <v>15796</v>
      </c>
      <c r="F1966" s="196" t="s">
        <v>11233</v>
      </c>
      <c r="G1966" s="196" t="s">
        <v>12378</v>
      </c>
      <c r="H1966" s="196" t="s">
        <v>11235</v>
      </c>
    </row>
    <row r="1967" spans="1:8" x14ac:dyDescent="0.15">
      <c r="A1967" s="196" t="s">
        <v>11229</v>
      </c>
      <c r="B1967" s="196" t="s">
        <v>11230</v>
      </c>
      <c r="C1967" s="196" t="s">
        <v>15797</v>
      </c>
      <c r="D1967" s="196" t="s">
        <v>15798</v>
      </c>
      <c r="E1967" s="196" t="s">
        <v>15798</v>
      </c>
      <c r="F1967" s="196" t="s">
        <v>11233</v>
      </c>
      <c r="G1967" s="196" t="s">
        <v>12378</v>
      </c>
      <c r="H1967" s="196" t="s">
        <v>11235</v>
      </c>
    </row>
    <row r="1968" spans="1:8" x14ac:dyDescent="0.15">
      <c r="A1968" s="196" t="s">
        <v>11229</v>
      </c>
      <c r="B1968" s="196" t="s">
        <v>11230</v>
      </c>
      <c r="C1968" s="196" t="s">
        <v>15799</v>
      </c>
      <c r="D1968" s="196" t="s">
        <v>15800</v>
      </c>
      <c r="E1968" s="196" t="s">
        <v>15800</v>
      </c>
      <c r="F1968" s="196" t="s">
        <v>11233</v>
      </c>
      <c r="G1968" s="196" t="s">
        <v>12378</v>
      </c>
      <c r="H1968" s="196" t="s">
        <v>11235</v>
      </c>
    </row>
    <row r="1969" spans="1:8" x14ac:dyDescent="0.15">
      <c r="A1969" s="196" t="s">
        <v>11229</v>
      </c>
      <c r="B1969" s="196" t="s">
        <v>11230</v>
      </c>
      <c r="C1969" s="196" t="s">
        <v>15801</v>
      </c>
      <c r="D1969" s="196" t="s">
        <v>15802</v>
      </c>
      <c r="E1969" s="196" t="s">
        <v>15802</v>
      </c>
      <c r="F1969" s="196" t="s">
        <v>11233</v>
      </c>
      <c r="G1969" s="196" t="s">
        <v>12378</v>
      </c>
      <c r="H1969" s="196" t="s">
        <v>11235</v>
      </c>
    </row>
    <row r="1970" spans="1:8" x14ac:dyDescent="0.15">
      <c r="A1970" s="196" t="s">
        <v>11229</v>
      </c>
      <c r="B1970" s="196" t="s">
        <v>11230</v>
      </c>
      <c r="C1970" s="196" t="s">
        <v>15803</v>
      </c>
      <c r="D1970" s="196" t="s">
        <v>15804</v>
      </c>
      <c r="E1970" s="196" t="s">
        <v>15804</v>
      </c>
      <c r="F1970" s="196" t="s">
        <v>11233</v>
      </c>
      <c r="G1970" s="196" t="s">
        <v>12378</v>
      </c>
      <c r="H1970" s="196" t="s">
        <v>11235</v>
      </c>
    </row>
    <row r="1971" spans="1:8" x14ac:dyDescent="0.15">
      <c r="A1971" s="196" t="s">
        <v>11229</v>
      </c>
      <c r="B1971" s="196" t="s">
        <v>11230</v>
      </c>
      <c r="C1971" s="196" t="s">
        <v>15805</v>
      </c>
      <c r="D1971" s="196" t="s">
        <v>15806</v>
      </c>
      <c r="E1971" s="196" t="s">
        <v>15806</v>
      </c>
      <c r="F1971" s="196" t="s">
        <v>11233</v>
      </c>
      <c r="G1971" s="196" t="s">
        <v>12378</v>
      </c>
      <c r="H1971" s="196" t="s">
        <v>11235</v>
      </c>
    </row>
    <row r="1972" spans="1:8" x14ac:dyDescent="0.15">
      <c r="A1972" s="196" t="s">
        <v>11229</v>
      </c>
      <c r="B1972" s="196" t="s">
        <v>11230</v>
      </c>
      <c r="C1972" s="196" t="s">
        <v>15807</v>
      </c>
      <c r="D1972" s="196" t="s">
        <v>15808</v>
      </c>
      <c r="E1972" s="196" t="s">
        <v>15809</v>
      </c>
      <c r="F1972" s="196" t="s">
        <v>11241</v>
      </c>
      <c r="G1972" s="196" t="s">
        <v>12378</v>
      </c>
      <c r="H1972" s="196" t="s">
        <v>11235</v>
      </c>
    </row>
    <row r="1973" spans="1:8" x14ac:dyDescent="0.15">
      <c r="A1973" s="196" t="s">
        <v>11229</v>
      </c>
      <c r="B1973" s="196" t="s">
        <v>11230</v>
      </c>
      <c r="C1973" s="196" t="s">
        <v>15810</v>
      </c>
      <c r="D1973" s="196" t="s">
        <v>15809</v>
      </c>
      <c r="E1973" s="196" t="s">
        <v>15811</v>
      </c>
      <c r="F1973" s="196" t="s">
        <v>11241</v>
      </c>
      <c r="G1973" s="196" t="s">
        <v>12378</v>
      </c>
      <c r="H1973" s="196" t="s">
        <v>11235</v>
      </c>
    </row>
    <row r="1974" spans="1:8" x14ac:dyDescent="0.15">
      <c r="A1974" s="196" t="s">
        <v>11229</v>
      </c>
      <c r="B1974" s="196" t="s">
        <v>11230</v>
      </c>
      <c r="C1974" s="196" t="s">
        <v>15812</v>
      </c>
      <c r="D1974" s="196" t="s">
        <v>15813</v>
      </c>
      <c r="E1974" s="196" t="s">
        <v>15814</v>
      </c>
      <c r="F1974" s="196" t="s">
        <v>13023</v>
      </c>
      <c r="G1974" s="196" t="s">
        <v>12378</v>
      </c>
      <c r="H1974" s="196" t="s">
        <v>11235</v>
      </c>
    </row>
    <row r="1975" spans="1:8" x14ac:dyDescent="0.15">
      <c r="A1975" s="196" t="s">
        <v>11229</v>
      </c>
      <c r="B1975" s="196" t="s">
        <v>11230</v>
      </c>
      <c r="C1975" s="196" t="s">
        <v>15815</v>
      </c>
      <c r="D1975" s="196" t="s">
        <v>15816</v>
      </c>
      <c r="E1975" s="196" t="s">
        <v>15817</v>
      </c>
      <c r="F1975" s="196" t="s">
        <v>13572</v>
      </c>
      <c r="G1975" s="196" t="s">
        <v>12378</v>
      </c>
      <c r="H1975" s="196" t="s">
        <v>11235</v>
      </c>
    </row>
    <row r="1976" spans="1:8" x14ac:dyDescent="0.15">
      <c r="A1976" s="196" t="s">
        <v>11229</v>
      </c>
      <c r="B1976" s="196" t="s">
        <v>11230</v>
      </c>
      <c r="C1976" s="196" t="s">
        <v>15818</v>
      </c>
      <c r="D1976" s="196" t="s">
        <v>15819</v>
      </c>
      <c r="E1976" s="196" t="s">
        <v>15820</v>
      </c>
      <c r="F1976" s="196" t="s">
        <v>13758</v>
      </c>
      <c r="G1976" s="196" t="s">
        <v>12378</v>
      </c>
      <c r="H1976" s="196" t="s">
        <v>11235</v>
      </c>
    </row>
    <row r="1977" spans="1:8" x14ac:dyDescent="0.15">
      <c r="A1977" s="196" t="s">
        <v>11229</v>
      </c>
      <c r="B1977" s="196" t="s">
        <v>11230</v>
      </c>
      <c r="C1977" s="196" t="s">
        <v>15821</v>
      </c>
      <c r="D1977" s="196" t="s">
        <v>15822</v>
      </c>
      <c r="E1977" s="196" t="s">
        <v>15823</v>
      </c>
      <c r="F1977" s="196" t="s">
        <v>11241</v>
      </c>
      <c r="G1977" s="196" t="s">
        <v>12378</v>
      </c>
      <c r="H1977" s="196" t="s">
        <v>11235</v>
      </c>
    </row>
    <row r="1978" spans="1:8" x14ac:dyDescent="0.15">
      <c r="A1978" s="196" t="s">
        <v>11229</v>
      </c>
      <c r="B1978" s="196" t="s">
        <v>11230</v>
      </c>
      <c r="C1978" s="196" t="s">
        <v>15824</v>
      </c>
      <c r="D1978" s="196" t="s">
        <v>15825</v>
      </c>
      <c r="E1978" s="196" t="s">
        <v>15826</v>
      </c>
      <c r="F1978" s="196" t="s">
        <v>13758</v>
      </c>
      <c r="G1978" s="196" t="s">
        <v>12378</v>
      </c>
      <c r="H1978" s="196" t="s">
        <v>11235</v>
      </c>
    </row>
    <row r="1979" spans="1:8" x14ac:dyDescent="0.15">
      <c r="A1979" s="196" t="s">
        <v>11229</v>
      </c>
      <c r="B1979" s="196" t="s">
        <v>11230</v>
      </c>
      <c r="C1979" s="196" t="s">
        <v>15827</v>
      </c>
      <c r="D1979" s="196" t="s">
        <v>15828</v>
      </c>
      <c r="E1979" s="196" t="s">
        <v>15829</v>
      </c>
      <c r="F1979" s="196" t="s">
        <v>13023</v>
      </c>
      <c r="G1979" s="196" t="s">
        <v>12378</v>
      </c>
      <c r="H1979" s="196" t="s">
        <v>11235</v>
      </c>
    </row>
    <row r="1980" spans="1:8" x14ac:dyDescent="0.15">
      <c r="A1980" s="196" t="s">
        <v>11229</v>
      </c>
      <c r="B1980" s="196" t="s">
        <v>11230</v>
      </c>
      <c r="C1980" s="196" t="s">
        <v>15830</v>
      </c>
      <c r="D1980" s="196" t="s">
        <v>15831</v>
      </c>
      <c r="E1980" s="196" t="s">
        <v>15831</v>
      </c>
      <c r="F1980" s="196" t="s">
        <v>11233</v>
      </c>
      <c r="G1980" s="196" t="s">
        <v>12378</v>
      </c>
      <c r="H1980" s="196" t="s">
        <v>11235</v>
      </c>
    </row>
    <row r="1981" spans="1:8" x14ac:dyDescent="0.15">
      <c r="A1981" s="196" t="s">
        <v>11229</v>
      </c>
      <c r="B1981" s="196" t="s">
        <v>11230</v>
      </c>
      <c r="C1981" s="196" t="s">
        <v>15832</v>
      </c>
      <c r="D1981" s="196" t="s">
        <v>15833</v>
      </c>
      <c r="E1981" s="196" t="s">
        <v>15833</v>
      </c>
      <c r="F1981" s="196" t="s">
        <v>11233</v>
      </c>
      <c r="G1981" s="196" t="s">
        <v>12378</v>
      </c>
      <c r="H1981" s="196" t="s">
        <v>11235</v>
      </c>
    </row>
    <row r="1982" spans="1:8" x14ac:dyDescent="0.15">
      <c r="A1982" s="196" t="s">
        <v>11229</v>
      </c>
      <c r="B1982" s="196" t="s">
        <v>11230</v>
      </c>
      <c r="C1982" s="196" t="s">
        <v>15834</v>
      </c>
      <c r="D1982" s="196" t="s">
        <v>15835</v>
      </c>
      <c r="E1982" s="196" t="s">
        <v>15836</v>
      </c>
      <c r="F1982" s="196" t="s">
        <v>15837</v>
      </c>
      <c r="G1982" s="196" t="s">
        <v>11234</v>
      </c>
      <c r="H1982" s="196" t="s">
        <v>11235</v>
      </c>
    </row>
    <row r="1983" spans="1:8" x14ac:dyDescent="0.15">
      <c r="A1983" s="196" t="s">
        <v>11229</v>
      </c>
      <c r="B1983" s="196" t="s">
        <v>11230</v>
      </c>
      <c r="C1983" s="196" t="s">
        <v>15838</v>
      </c>
      <c r="D1983" s="196" t="s">
        <v>15839</v>
      </c>
      <c r="E1983" s="196" t="s">
        <v>15839</v>
      </c>
      <c r="F1983" s="196" t="s">
        <v>11233</v>
      </c>
      <c r="G1983" s="196" t="s">
        <v>12378</v>
      </c>
      <c r="H1983" s="196" t="s">
        <v>11235</v>
      </c>
    </row>
    <row r="1984" spans="1:8" x14ac:dyDescent="0.15">
      <c r="A1984" s="196" t="s">
        <v>11229</v>
      </c>
      <c r="B1984" s="196" t="s">
        <v>11230</v>
      </c>
      <c r="C1984" s="196" t="s">
        <v>15840</v>
      </c>
      <c r="D1984" s="196" t="s">
        <v>15841</v>
      </c>
      <c r="E1984" s="196" t="s">
        <v>15841</v>
      </c>
      <c r="F1984" s="196" t="s">
        <v>11233</v>
      </c>
      <c r="G1984" s="196" t="s">
        <v>12378</v>
      </c>
      <c r="H1984" s="196" t="s">
        <v>11235</v>
      </c>
    </row>
    <row r="1985" spans="1:8" x14ac:dyDescent="0.15">
      <c r="A1985" s="196" t="s">
        <v>11229</v>
      </c>
      <c r="B1985" s="196" t="s">
        <v>11230</v>
      </c>
      <c r="C1985" s="196" t="s">
        <v>15842</v>
      </c>
      <c r="D1985" s="196" t="s">
        <v>15843</v>
      </c>
      <c r="E1985" s="196" t="s">
        <v>15843</v>
      </c>
      <c r="F1985" s="196" t="s">
        <v>11233</v>
      </c>
      <c r="G1985" s="196" t="s">
        <v>12378</v>
      </c>
      <c r="H1985" s="196" t="s">
        <v>11235</v>
      </c>
    </row>
    <row r="1986" spans="1:8" x14ac:dyDescent="0.15">
      <c r="A1986" s="196" t="s">
        <v>11229</v>
      </c>
      <c r="B1986" s="196" t="s">
        <v>11230</v>
      </c>
      <c r="C1986" s="196" t="s">
        <v>15844</v>
      </c>
      <c r="D1986" s="196" t="s">
        <v>15845</v>
      </c>
      <c r="E1986" s="196" t="s">
        <v>15846</v>
      </c>
      <c r="F1986" s="196" t="s">
        <v>15847</v>
      </c>
      <c r="G1986" s="196" t="s">
        <v>12378</v>
      </c>
      <c r="H1986" s="196" t="s">
        <v>11235</v>
      </c>
    </row>
    <row r="1987" spans="1:8" x14ac:dyDescent="0.15">
      <c r="A1987" s="196" t="s">
        <v>11229</v>
      </c>
      <c r="B1987" s="196" t="s">
        <v>11230</v>
      </c>
      <c r="C1987" s="196" t="s">
        <v>15848</v>
      </c>
      <c r="D1987" s="196" t="s">
        <v>15849</v>
      </c>
      <c r="E1987" s="196" t="s">
        <v>15849</v>
      </c>
      <c r="F1987" s="196" t="s">
        <v>11233</v>
      </c>
      <c r="G1987" s="196" t="s">
        <v>12378</v>
      </c>
      <c r="H1987" s="196" t="s">
        <v>11235</v>
      </c>
    </row>
    <row r="1988" spans="1:8" x14ac:dyDescent="0.15">
      <c r="A1988" s="196" t="s">
        <v>11229</v>
      </c>
      <c r="B1988" s="196" t="s">
        <v>11230</v>
      </c>
      <c r="C1988" s="196" t="s">
        <v>15850</v>
      </c>
      <c r="D1988" s="196" t="s">
        <v>15851</v>
      </c>
      <c r="E1988" s="196" t="s">
        <v>15851</v>
      </c>
      <c r="F1988" s="196" t="s">
        <v>11233</v>
      </c>
      <c r="G1988" s="196" t="s">
        <v>12378</v>
      </c>
      <c r="H1988" s="196" t="s">
        <v>11235</v>
      </c>
    </row>
    <row r="1989" spans="1:8" x14ac:dyDescent="0.15">
      <c r="A1989" s="196" t="s">
        <v>11229</v>
      </c>
      <c r="B1989" s="196" t="s">
        <v>11230</v>
      </c>
      <c r="C1989" s="196" t="s">
        <v>15852</v>
      </c>
      <c r="D1989" s="196" t="s">
        <v>15853</v>
      </c>
      <c r="E1989" s="196" t="s">
        <v>15853</v>
      </c>
      <c r="F1989" s="196" t="s">
        <v>11233</v>
      </c>
      <c r="G1989" s="196" t="s">
        <v>12378</v>
      </c>
      <c r="H1989" s="196" t="s">
        <v>11235</v>
      </c>
    </row>
    <row r="1990" spans="1:8" x14ac:dyDescent="0.15">
      <c r="A1990" s="196" t="s">
        <v>11229</v>
      </c>
      <c r="B1990" s="196" t="s">
        <v>11230</v>
      </c>
      <c r="C1990" s="196" t="s">
        <v>15854</v>
      </c>
      <c r="D1990" s="196" t="s">
        <v>15855</v>
      </c>
      <c r="E1990" s="196" t="s">
        <v>15855</v>
      </c>
      <c r="F1990" s="196" t="s">
        <v>11233</v>
      </c>
      <c r="G1990" s="196" t="s">
        <v>12378</v>
      </c>
      <c r="H1990" s="196" t="s">
        <v>11235</v>
      </c>
    </row>
    <row r="1991" spans="1:8" x14ac:dyDescent="0.15">
      <c r="A1991" s="196" t="s">
        <v>11229</v>
      </c>
      <c r="B1991" s="196" t="s">
        <v>11230</v>
      </c>
      <c r="C1991" s="196" t="s">
        <v>15856</v>
      </c>
      <c r="D1991" s="196" t="s">
        <v>15857</v>
      </c>
      <c r="E1991" s="196" t="s">
        <v>15857</v>
      </c>
      <c r="F1991" s="196" t="s">
        <v>11233</v>
      </c>
      <c r="G1991" s="196" t="s">
        <v>12378</v>
      </c>
      <c r="H1991" s="196" t="s">
        <v>11235</v>
      </c>
    </row>
    <row r="1992" spans="1:8" x14ac:dyDescent="0.15">
      <c r="A1992" s="196" t="s">
        <v>11229</v>
      </c>
      <c r="B1992" s="196" t="s">
        <v>11230</v>
      </c>
      <c r="C1992" s="196" t="s">
        <v>15858</v>
      </c>
      <c r="D1992" s="196" t="s">
        <v>15859</v>
      </c>
      <c r="E1992" s="196" t="s">
        <v>15859</v>
      </c>
      <c r="F1992" s="196" t="s">
        <v>11233</v>
      </c>
      <c r="G1992" s="196" t="s">
        <v>12378</v>
      </c>
      <c r="H1992" s="196" t="s">
        <v>11235</v>
      </c>
    </row>
    <row r="1993" spans="1:8" x14ac:dyDescent="0.15">
      <c r="A1993" s="196" t="s">
        <v>11229</v>
      </c>
      <c r="B1993" s="196" t="s">
        <v>11230</v>
      </c>
      <c r="C1993" s="196" t="s">
        <v>15860</v>
      </c>
      <c r="D1993" s="196" t="s">
        <v>15861</v>
      </c>
      <c r="E1993" s="196" t="s">
        <v>15861</v>
      </c>
      <c r="F1993" s="196" t="s">
        <v>11233</v>
      </c>
      <c r="G1993" s="196" t="s">
        <v>12378</v>
      </c>
      <c r="H1993" s="196" t="s">
        <v>11235</v>
      </c>
    </row>
    <row r="1994" spans="1:8" x14ac:dyDescent="0.15">
      <c r="A1994" s="196" t="s">
        <v>11229</v>
      </c>
      <c r="B1994" s="196" t="s">
        <v>11230</v>
      </c>
      <c r="C1994" s="196" t="s">
        <v>15862</v>
      </c>
      <c r="D1994" s="196" t="s">
        <v>15863</v>
      </c>
      <c r="E1994" s="196" t="s">
        <v>15864</v>
      </c>
      <c r="F1994" s="196" t="s">
        <v>11241</v>
      </c>
      <c r="G1994" s="196" t="s">
        <v>12378</v>
      </c>
      <c r="H1994" s="196" t="s">
        <v>11235</v>
      </c>
    </row>
    <row r="1995" spans="1:8" x14ac:dyDescent="0.15">
      <c r="A1995" s="196" t="s">
        <v>11229</v>
      </c>
      <c r="B1995" s="196" t="s">
        <v>11230</v>
      </c>
      <c r="C1995" s="196" t="s">
        <v>15865</v>
      </c>
      <c r="D1995" s="196" t="s">
        <v>15864</v>
      </c>
      <c r="E1995" s="196" t="s">
        <v>15866</v>
      </c>
      <c r="F1995" s="196" t="s">
        <v>11241</v>
      </c>
      <c r="G1995" s="196" t="s">
        <v>12378</v>
      </c>
      <c r="H1995" s="196" t="s">
        <v>11235</v>
      </c>
    </row>
    <row r="1996" spans="1:8" x14ac:dyDescent="0.15">
      <c r="A1996" s="196" t="s">
        <v>11229</v>
      </c>
      <c r="B1996" s="196" t="s">
        <v>11230</v>
      </c>
      <c r="C1996" s="196" t="s">
        <v>15867</v>
      </c>
      <c r="D1996" s="196" t="s">
        <v>15868</v>
      </c>
      <c r="E1996" s="196" t="s">
        <v>15869</v>
      </c>
      <c r="F1996" s="196" t="s">
        <v>11241</v>
      </c>
      <c r="G1996" s="196" t="s">
        <v>12378</v>
      </c>
      <c r="H1996" s="196" t="s">
        <v>11235</v>
      </c>
    </row>
    <row r="1997" spans="1:8" x14ac:dyDescent="0.15">
      <c r="A1997" s="196" t="s">
        <v>11229</v>
      </c>
      <c r="B1997" s="196" t="s">
        <v>11230</v>
      </c>
      <c r="C1997" s="196" t="s">
        <v>15870</v>
      </c>
      <c r="D1997" s="196" t="s">
        <v>15871</v>
      </c>
      <c r="E1997" s="196" t="s">
        <v>15871</v>
      </c>
      <c r="F1997" s="196" t="s">
        <v>11233</v>
      </c>
      <c r="G1997" s="196" t="s">
        <v>12378</v>
      </c>
      <c r="H1997" s="196" t="s">
        <v>11235</v>
      </c>
    </row>
    <row r="1998" spans="1:8" x14ac:dyDescent="0.15">
      <c r="A1998" s="196" t="s">
        <v>11229</v>
      </c>
      <c r="B1998" s="196" t="s">
        <v>11230</v>
      </c>
      <c r="C1998" s="196" t="s">
        <v>15872</v>
      </c>
      <c r="D1998" s="196" t="s">
        <v>15873</v>
      </c>
      <c r="E1998" s="196" t="s">
        <v>15873</v>
      </c>
      <c r="F1998" s="196" t="s">
        <v>11233</v>
      </c>
      <c r="G1998" s="196" t="s">
        <v>12378</v>
      </c>
      <c r="H1998" s="196" t="s">
        <v>11235</v>
      </c>
    </row>
    <row r="1999" spans="1:8" x14ac:dyDescent="0.15">
      <c r="A1999" s="196" t="s">
        <v>11229</v>
      </c>
      <c r="B1999" s="196" t="s">
        <v>11230</v>
      </c>
      <c r="C1999" s="196" t="s">
        <v>15874</v>
      </c>
      <c r="D1999" s="196" t="s">
        <v>15875</v>
      </c>
      <c r="E1999" s="196" t="s">
        <v>15876</v>
      </c>
      <c r="F1999" s="196" t="s">
        <v>11268</v>
      </c>
      <c r="G1999" s="196" t="s">
        <v>12378</v>
      </c>
      <c r="H1999" s="196" t="s">
        <v>11235</v>
      </c>
    </row>
    <row r="2000" spans="1:8" x14ac:dyDescent="0.15">
      <c r="A2000" s="196" t="s">
        <v>11229</v>
      </c>
      <c r="B2000" s="196" t="s">
        <v>11230</v>
      </c>
      <c r="C2000" s="196" t="s">
        <v>15877</v>
      </c>
      <c r="D2000" s="196" t="s">
        <v>15878</v>
      </c>
      <c r="E2000" s="196" t="s">
        <v>15879</v>
      </c>
      <c r="F2000" s="196" t="s">
        <v>15880</v>
      </c>
      <c r="G2000" s="196" t="s">
        <v>12378</v>
      </c>
      <c r="H2000" s="196" t="s">
        <v>11235</v>
      </c>
    </row>
    <row r="2001" spans="1:8" x14ac:dyDescent="0.15">
      <c r="A2001" s="196" t="s">
        <v>11229</v>
      </c>
      <c r="B2001" s="196" t="s">
        <v>11230</v>
      </c>
      <c r="C2001" s="196" t="s">
        <v>15881</v>
      </c>
      <c r="D2001" s="196" t="s">
        <v>15879</v>
      </c>
      <c r="E2001" s="196" t="s">
        <v>15882</v>
      </c>
      <c r="F2001" s="196" t="s">
        <v>11268</v>
      </c>
      <c r="G2001" s="196" t="s">
        <v>12378</v>
      </c>
      <c r="H2001" s="196" t="s">
        <v>11235</v>
      </c>
    </row>
    <row r="2002" spans="1:8" x14ac:dyDescent="0.15">
      <c r="A2002" s="196" t="s">
        <v>11229</v>
      </c>
      <c r="B2002" s="196" t="s">
        <v>11230</v>
      </c>
      <c r="C2002" s="196" t="s">
        <v>15883</v>
      </c>
      <c r="D2002" s="196" t="s">
        <v>15884</v>
      </c>
      <c r="E2002" s="196" t="s">
        <v>15884</v>
      </c>
      <c r="F2002" s="196" t="s">
        <v>11233</v>
      </c>
      <c r="G2002" s="196" t="s">
        <v>12378</v>
      </c>
      <c r="H2002" s="196" t="s">
        <v>11235</v>
      </c>
    </row>
    <row r="2003" spans="1:8" x14ac:dyDescent="0.15">
      <c r="A2003" s="196" t="s">
        <v>11229</v>
      </c>
      <c r="B2003" s="196" t="s">
        <v>11230</v>
      </c>
      <c r="C2003" s="196" t="s">
        <v>15885</v>
      </c>
      <c r="D2003" s="196" t="s">
        <v>15886</v>
      </c>
      <c r="E2003" s="196" t="s">
        <v>15887</v>
      </c>
      <c r="F2003" s="196" t="s">
        <v>11268</v>
      </c>
      <c r="G2003" s="196" t="s">
        <v>12378</v>
      </c>
      <c r="H2003" s="196" t="s">
        <v>11235</v>
      </c>
    </row>
    <row r="2004" spans="1:8" x14ac:dyDescent="0.15">
      <c r="A2004" s="196" t="s">
        <v>11229</v>
      </c>
      <c r="B2004" s="196" t="s">
        <v>11230</v>
      </c>
      <c r="C2004" s="196" t="s">
        <v>15888</v>
      </c>
      <c r="D2004" s="196" t="s">
        <v>15887</v>
      </c>
      <c r="E2004" s="196" t="s">
        <v>15889</v>
      </c>
      <c r="F2004" s="196" t="s">
        <v>11241</v>
      </c>
      <c r="G2004" s="196" t="s">
        <v>12378</v>
      </c>
      <c r="H2004" s="196" t="s">
        <v>11235</v>
      </c>
    </row>
    <row r="2005" spans="1:8" x14ac:dyDescent="0.15">
      <c r="A2005" s="196" t="s">
        <v>11229</v>
      </c>
      <c r="B2005" s="196" t="s">
        <v>11230</v>
      </c>
      <c r="C2005" s="196" t="s">
        <v>15890</v>
      </c>
      <c r="D2005" s="196" t="s">
        <v>15891</v>
      </c>
      <c r="E2005" s="196" t="s">
        <v>15891</v>
      </c>
      <c r="F2005" s="196" t="s">
        <v>11233</v>
      </c>
      <c r="G2005" s="196" t="s">
        <v>12378</v>
      </c>
      <c r="H2005" s="196" t="s">
        <v>11235</v>
      </c>
    </row>
    <row r="2006" spans="1:8" x14ac:dyDescent="0.15">
      <c r="A2006" s="196" t="s">
        <v>11229</v>
      </c>
      <c r="B2006" s="196" t="s">
        <v>11230</v>
      </c>
      <c r="C2006" s="196" t="s">
        <v>15892</v>
      </c>
      <c r="D2006" s="196" t="s">
        <v>15893</v>
      </c>
      <c r="E2006" s="196" t="s">
        <v>15894</v>
      </c>
      <c r="F2006" s="196" t="s">
        <v>11241</v>
      </c>
      <c r="G2006" s="196" t="s">
        <v>12378</v>
      </c>
      <c r="H2006" s="196" t="s">
        <v>11235</v>
      </c>
    </row>
    <row r="2007" spans="1:8" x14ac:dyDescent="0.15">
      <c r="A2007" s="196" t="s">
        <v>11229</v>
      </c>
      <c r="B2007" s="196" t="s">
        <v>11230</v>
      </c>
      <c r="C2007" s="196" t="s">
        <v>15895</v>
      </c>
      <c r="D2007" s="196" t="s">
        <v>15896</v>
      </c>
      <c r="E2007" s="196" t="s">
        <v>15896</v>
      </c>
      <c r="F2007" s="196" t="s">
        <v>11233</v>
      </c>
      <c r="G2007" s="196" t="s">
        <v>12378</v>
      </c>
      <c r="H2007" s="196" t="s">
        <v>11235</v>
      </c>
    </row>
    <row r="2008" spans="1:8" x14ac:dyDescent="0.15">
      <c r="A2008" s="196" t="s">
        <v>11229</v>
      </c>
      <c r="B2008" s="196" t="s">
        <v>11230</v>
      </c>
      <c r="C2008" s="196" t="s">
        <v>15897</v>
      </c>
      <c r="D2008" s="196" t="s">
        <v>15898</v>
      </c>
      <c r="E2008" s="196" t="s">
        <v>15898</v>
      </c>
      <c r="F2008" s="196" t="s">
        <v>11233</v>
      </c>
      <c r="G2008" s="196" t="s">
        <v>12378</v>
      </c>
      <c r="H2008" s="196" t="s">
        <v>11235</v>
      </c>
    </row>
    <row r="2009" spans="1:8" x14ac:dyDescent="0.15">
      <c r="A2009" s="196" t="s">
        <v>11229</v>
      </c>
      <c r="B2009" s="196" t="s">
        <v>11230</v>
      </c>
      <c r="C2009" s="196" t="s">
        <v>15899</v>
      </c>
      <c r="D2009" s="196" t="s">
        <v>15900</v>
      </c>
      <c r="E2009" s="196" t="s">
        <v>15900</v>
      </c>
      <c r="F2009" s="196" t="s">
        <v>11233</v>
      </c>
      <c r="G2009" s="196" t="s">
        <v>12378</v>
      </c>
      <c r="H2009" s="196" t="s">
        <v>11235</v>
      </c>
    </row>
    <row r="2010" spans="1:8" x14ac:dyDescent="0.15">
      <c r="A2010" s="196" t="s">
        <v>11229</v>
      </c>
      <c r="B2010" s="196" t="s">
        <v>11230</v>
      </c>
      <c r="C2010" s="196" t="s">
        <v>15901</v>
      </c>
      <c r="D2010" s="196" t="s">
        <v>15902</v>
      </c>
      <c r="E2010" s="196" t="s">
        <v>15903</v>
      </c>
      <c r="F2010" s="196" t="s">
        <v>15904</v>
      </c>
      <c r="G2010" s="196" t="s">
        <v>12378</v>
      </c>
      <c r="H2010" s="196" t="s">
        <v>11235</v>
      </c>
    </row>
    <row r="2011" spans="1:8" x14ac:dyDescent="0.15">
      <c r="A2011" s="196" t="s">
        <v>11229</v>
      </c>
      <c r="B2011" s="196" t="s">
        <v>11230</v>
      </c>
      <c r="C2011" s="196" t="s">
        <v>15905</v>
      </c>
      <c r="D2011" s="196" t="s">
        <v>15906</v>
      </c>
      <c r="E2011" s="196" t="s">
        <v>15907</v>
      </c>
      <c r="F2011" s="196" t="s">
        <v>15908</v>
      </c>
      <c r="G2011" s="196" t="s">
        <v>12378</v>
      </c>
      <c r="H2011" s="196" t="s">
        <v>11235</v>
      </c>
    </row>
    <row r="2012" spans="1:8" x14ac:dyDescent="0.15">
      <c r="A2012" s="196" t="s">
        <v>11229</v>
      </c>
      <c r="B2012" s="196" t="s">
        <v>11230</v>
      </c>
      <c r="C2012" s="196" t="s">
        <v>15909</v>
      </c>
      <c r="D2012" s="196" t="s">
        <v>15910</v>
      </c>
      <c r="E2012" s="196" t="s">
        <v>15911</v>
      </c>
      <c r="F2012" s="196" t="s">
        <v>15912</v>
      </c>
      <c r="G2012" s="196" t="s">
        <v>12378</v>
      </c>
      <c r="H2012" s="196" t="s">
        <v>11235</v>
      </c>
    </row>
    <row r="2013" spans="1:8" x14ac:dyDescent="0.15">
      <c r="A2013" s="196" t="s">
        <v>11229</v>
      </c>
      <c r="B2013" s="196" t="s">
        <v>11230</v>
      </c>
      <c r="C2013" s="196" t="s">
        <v>15913</v>
      </c>
      <c r="D2013" s="196" t="s">
        <v>15914</v>
      </c>
      <c r="E2013" s="196" t="s">
        <v>15915</v>
      </c>
      <c r="F2013" s="196" t="s">
        <v>15916</v>
      </c>
      <c r="G2013" s="196" t="s">
        <v>12378</v>
      </c>
      <c r="H2013" s="196" t="s">
        <v>11235</v>
      </c>
    </row>
    <row r="2014" spans="1:8" x14ac:dyDescent="0.15">
      <c r="A2014" s="196" t="s">
        <v>11229</v>
      </c>
      <c r="B2014" s="196" t="s">
        <v>11230</v>
      </c>
      <c r="C2014" s="196" t="s">
        <v>15917</v>
      </c>
      <c r="D2014" s="196" t="s">
        <v>15918</v>
      </c>
      <c r="E2014" s="196" t="s">
        <v>15919</v>
      </c>
      <c r="F2014" s="196" t="s">
        <v>15920</v>
      </c>
      <c r="G2014" s="196" t="s">
        <v>12378</v>
      </c>
      <c r="H2014" s="196" t="s">
        <v>11235</v>
      </c>
    </row>
    <row r="2015" spans="1:8" x14ac:dyDescent="0.15">
      <c r="A2015" s="196" t="s">
        <v>11229</v>
      </c>
      <c r="B2015" s="196" t="s">
        <v>11230</v>
      </c>
      <c r="C2015" s="196" t="s">
        <v>15921</v>
      </c>
      <c r="D2015" s="196" t="s">
        <v>15922</v>
      </c>
      <c r="E2015" s="196" t="s">
        <v>15923</v>
      </c>
      <c r="F2015" s="196" t="s">
        <v>15924</v>
      </c>
      <c r="G2015" s="196" t="s">
        <v>12378</v>
      </c>
      <c r="H2015" s="196" t="s">
        <v>11235</v>
      </c>
    </row>
    <row r="2016" spans="1:8" x14ac:dyDescent="0.15">
      <c r="A2016" s="196" t="s">
        <v>11229</v>
      </c>
      <c r="B2016" s="196" t="s">
        <v>11230</v>
      </c>
      <c r="C2016" s="196" t="s">
        <v>15925</v>
      </c>
      <c r="D2016" s="196" t="s">
        <v>15926</v>
      </c>
      <c r="E2016" s="196" t="s">
        <v>15927</v>
      </c>
      <c r="F2016" s="196" t="s">
        <v>15928</v>
      </c>
      <c r="G2016" s="196" t="s">
        <v>12378</v>
      </c>
      <c r="H2016" s="196" t="s">
        <v>11235</v>
      </c>
    </row>
    <row r="2017" spans="1:8" x14ac:dyDescent="0.15">
      <c r="A2017" s="196" t="s">
        <v>11229</v>
      </c>
      <c r="B2017" s="196" t="s">
        <v>11230</v>
      </c>
      <c r="C2017" s="196" t="s">
        <v>15929</v>
      </c>
      <c r="D2017" s="196" t="s">
        <v>15930</v>
      </c>
      <c r="E2017" s="196" t="s">
        <v>15931</v>
      </c>
      <c r="F2017" s="196" t="s">
        <v>14111</v>
      </c>
      <c r="G2017" s="196" t="s">
        <v>12378</v>
      </c>
      <c r="H2017" s="196" t="s">
        <v>11235</v>
      </c>
    </row>
    <row r="2018" spans="1:8" x14ac:dyDescent="0.15">
      <c r="A2018" s="196" t="s">
        <v>11229</v>
      </c>
      <c r="B2018" s="196" t="s">
        <v>11230</v>
      </c>
      <c r="C2018" s="196" t="s">
        <v>15932</v>
      </c>
      <c r="D2018" s="196" t="s">
        <v>15933</v>
      </c>
      <c r="E2018" s="196" t="s">
        <v>15934</v>
      </c>
      <c r="F2018" s="196" t="s">
        <v>15935</v>
      </c>
      <c r="G2018" s="196" t="s">
        <v>11449</v>
      </c>
      <c r="H2018" s="196" t="s">
        <v>11235</v>
      </c>
    </row>
    <row r="2019" spans="1:8" x14ac:dyDescent="0.15">
      <c r="A2019" s="196" t="s">
        <v>11229</v>
      </c>
      <c r="B2019" s="196" t="s">
        <v>11230</v>
      </c>
      <c r="C2019" s="196" t="s">
        <v>15936</v>
      </c>
      <c r="D2019" s="196" t="s">
        <v>15937</v>
      </c>
      <c r="E2019" s="196" t="s">
        <v>15938</v>
      </c>
      <c r="F2019" s="196" t="s">
        <v>15939</v>
      </c>
      <c r="G2019" s="196" t="s">
        <v>11449</v>
      </c>
      <c r="H2019" s="196" t="s">
        <v>11235</v>
      </c>
    </row>
    <row r="2020" spans="1:8" x14ac:dyDescent="0.15">
      <c r="A2020" s="196" t="s">
        <v>11229</v>
      </c>
      <c r="B2020" s="196" t="s">
        <v>11230</v>
      </c>
      <c r="C2020" s="196" t="s">
        <v>15940</v>
      </c>
      <c r="D2020" s="196" t="s">
        <v>15941</v>
      </c>
      <c r="E2020" s="196" t="s">
        <v>15941</v>
      </c>
      <c r="F2020" s="196" t="s">
        <v>11233</v>
      </c>
      <c r="G2020" s="196" t="s">
        <v>12378</v>
      </c>
      <c r="H2020" s="196" t="s">
        <v>11235</v>
      </c>
    </row>
    <row r="2021" spans="1:8" x14ac:dyDescent="0.15">
      <c r="A2021" s="196" t="s">
        <v>11229</v>
      </c>
      <c r="B2021" s="196" t="s">
        <v>11230</v>
      </c>
      <c r="C2021" s="196" t="s">
        <v>15942</v>
      </c>
      <c r="D2021" s="196" t="s">
        <v>15943</v>
      </c>
      <c r="E2021" s="196" t="s">
        <v>15944</v>
      </c>
      <c r="F2021" s="196" t="s">
        <v>11241</v>
      </c>
      <c r="G2021" s="196" t="s">
        <v>12378</v>
      </c>
      <c r="H2021" s="196" t="s">
        <v>11235</v>
      </c>
    </row>
    <row r="2022" spans="1:8" x14ac:dyDescent="0.15">
      <c r="A2022" s="196" t="s">
        <v>11229</v>
      </c>
      <c r="B2022" s="196" t="s">
        <v>11230</v>
      </c>
      <c r="C2022" s="196" t="s">
        <v>15945</v>
      </c>
      <c r="D2022" s="196" t="s">
        <v>15944</v>
      </c>
      <c r="E2022" s="196" t="s">
        <v>15946</v>
      </c>
      <c r="F2022" s="196" t="s">
        <v>11268</v>
      </c>
      <c r="G2022" s="196" t="s">
        <v>12378</v>
      </c>
      <c r="H2022" s="196" t="s">
        <v>11235</v>
      </c>
    </row>
    <row r="2023" spans="1:8" x14ac:dyDescent="0.15">
      <c r="A2023" s="196" t="s">
        <v>11229</v>
      </c>
      <c r="B2023" s="196" t="s">
        <v>11230</v>
      </c>
      <c r="C2023" s="196" t="s">
        <v>15947</v>
      </c>
      <c r="D2023" s="196" t="s">
        <v>15948</v>
      </c>
      <c r="E2023" s="196" t="s">
        <v>15948</v>
      </c>
      <c r="F2023" s="196" t="s">
        <v>11233</v>
      </c>
      <c r="G2023" s="196" t="s">
        <v>12378</v>
      </c>
      <c r="H2023" s="196" t="s">
        <v>11235</v>
      </c>
    </row>
    <row r="2024" spans="1:8" x14ac:dyDescent="0.15">
      <c r="A2024" s="196" t="s">
        <v>11229</v>
      </c>
      <c r="B2024" s="196" t="s">
        <v>11230</v>
      </c>
      <c r="C2024" s="196" t="s">
        <v>15949</v>
      </c>
      <c r="D2024" s="196" t="s">
        <v>15950</v>
      </c>
      <c r="E2024" s="196" t="s">
        <v>15950</v>
      </c>
      <c r="F2024" s="196" t="s">
        <v>11233</v>
      </c>
      <c r="G2024" s="196" t="s">
        <v>12378</v>
      </c>
      <c r="H2024" s="196" t="s">
        <v>11235</v>
      </c>
    </row>
    <row r="2025" spans="1:8" x14ac:dyDescent="0.15">
      <c r="A2025" s="196" t="s">
        <v>11229</v>
      </c>
      <c r="B2025" s="196" t="s">
        <v>11230</v>
      </c>
      <c r="C2025" s="196" t="s">
        <v>15951</v>
      </c>
      <c r="D2025" s="196" t="s">
        <v>15952</v>
      </c>
      <c r="E2025" s="196" t="s">
        <v>15953</v>
      </c>
      <c r="F2025" s="196" t="s">
        <v>15954</v>
      </c>
      <c r="G2025" s="196" t="s">
        <v>12378</v>
      </c>
      <c r="H2025" s="196" t="s">
        <v>11235</v>
      </c>
    </row>
    <row r="2026" spans="1:8" x14ac:dyDescent="0.15">
      <c r="A2026" s="196" t="s">
        <v>11229</v>
      </c>
      <c r="B2026" s="196" t="s">
        <v>11230</v>
      </c>
      <c r="C2026" s="196" t="s">
        <v>15955</v>
      </c>
      <c r="D2026" s="196" t="s">
        <v>15956</v>
      </c>
      <c r="E2026" s="196" t="s">
        <v>15957</v>
      </c>
      <c r="F2026" s="196" t="s">
        <v>12646</v>
      </c>
      <c r="G2026" s="196" t="s">
        <v>12378</v>
      </c>
      <c r="H2026" s="196" t="s">
        <v>11235</v>
      </c>
    </row>
    <row r="2027" spans="1:8" x14ac:dyDescent="0.15">
      <c r="A2027" s="196" t="s">
        <v>11229</v>
      </c>
      <c r="B2027" s="196" t="s">
        <v>11230</v>
      </c>
      <c r="C2027" s="196" t="s">
        <v>15958</v>
      </c>
      <c r="D2027" s="196" t="s">
        <v>15959</v>
      </c>
      <c r="E2027" s="196" t="s">
        <v>15960</v>
      </c>
      <c r="F2027" s="196" t="s">
        <v>15961</v>
      </c>
      <c r="G2027" s="196" t="s">
        <v>11449</v>
      </c>
      <c r="H2027" s="196" t="s">
        <v>11235</v>
      </c>
    </row>
    <row r="2028" spans="1:8" x14ac:dyDescent="0.15">
      <c r="A2028" s="196" t="s">
        <v>11229</v>
      </c>
      <c r="B2028" s="196" t="s">
        <v>11230</v>
      </c>
      <c r="C2028" s="196" t="s">
        <v>15962</v>
      </c>
      <c r="D2028" s="196" t="s">
        <v>15963</v>
      </c>
      <c r="E2028" s="196" t="s">
        <v>15964</v>
      </c>
      <c r="F2028" s="196" t="s">
        <v>15965</v>
      </c>
      <c r="G2028" s="196" t="s">
        <v>12378</v>
      </c>
      <c r="H2028" s="196" t="s">
        <v>11235</v>
      </c>
    </row>
    <row r="2029" spans="1:8" x14ac:dyDescent="0.15">
      <c r="A2029" s="196" t="s">
        <v>11229</v>
      </c>
      <c r="B2029" s="196" t="s">
        <v>11230</v>
      </c>
      <c r="C2029" s="196" t="s">
        <v>15966</v>
      </c>
      <c r="D2029" s="196" t="s">
        <v>15964</v>
      </c>
      <c r="E2029" s="196" t="s">
        <v>15967</v>
      </c>
      <c r="F2029" s="196" t="s">
        <v>12646</v>
      </c>
      <c r="G2029" s="196" t="s">
        <v>12378</v>
      </c>
      <c r="H2029" s="196" t="s">
        <v>11235</v>
      </c>
    </row>
    <row r="2030" spans="1:8" x14ac:dyDescent="0.15">
      <c r="A2030" s="196" t="s">
        <v>11229</v>
      </c>
      <c r="B2030" s="196" t="s">
        <v>11230</v>
      </c>
      <c r="C2030" s="196" t="s">
        <v>15968</v>
      </c>
      <c r="D2030" s="196" t="s">
        <v>15969</v>
      </c>
      <c r="E2030" s="196" t="s">
        <v>15970</v>
      </c>
      <c r="F2030" s="196" t="s">
        <v>15965</v>
      </c>
      <c r="G2030" s="196" t="s">
        <v>12378</v>
      </c>
      <c r="H2030" s="196" t="s">
        <v>11235</v>
      </c>
    </row>
    <row r="2031" spans="1:8" x14ac:dyDescent="0.15">
      <c r="A2031" s="196" t="s">
        <v>11229</v>
      </c>
      <c r="B2031" s="196" t="s">
        <v>11230</v>
      </c>
      <c r="C2031" s="196" t="s">
        <v>15971</v>
      </c>
      <c r="D2031" s="196" t="s">
        <v>15970</v>
      </c>
      <c r="E2031" s="196" t="s">
        <v>15972</v>
      </c>
      <c r="F2031" s="196" t="s">
        <v>15973</v>
      </c>
      <c r="G2031" s="196" t="s">
        <v>11449</v>
      </c>
      <c r="H2031" s="196" t="s">
        <v>11235</v>
      </c>
    </row>
    <row r="2032" spans="1:8" x14ac:dyDescent="0.15">
      <c r="A2032" s="196" t="s">
        <v>11229</v>
      </c>
      <c r="B2032" s="196" t="s">
        <v>11230</v>
      </c>
      <c r="C2032" s="196" t="s">
        <v>15974</v>
      </c>
      <c r="D2032" s="196" t="s">
        <v>15970</v>
      </c>
      <c r="E2032" s="196" t="s">
        <v>15975</v>
      </c>
      <c r="F2032" s="196" t="s">
        <v>12646</v>
      </c>
      <c r="G2032" s="196" t="s">
        <v>12378</v>
      </c>
      <c r="H2032" s="196" t="s">
        <v>11235</v>
      </c>
    </row>
    <row r="2033" spans="1:8" x14ac:dyDescent="0.15">
      <c r="A2033" s="196" t="s">
        <v>11229</v>
      </c>
      <c r="B2033" s="196" t="s">
        <v>11230</v>
      </c>
      <c r="C2033" s="196" t="s">
        <v>15976</v>
      </c>
      <c r="D2033" s="196" t="s">
        <v>15977</v>
      </c>
      <c r="E2033" s="196" t="s">
        <v>15978</v>
      </c>
      <c r="F2033" s="196" t="s">
        <v>12631</v>
      </c>
      <c r="G2033" s="196" t="s">
        <v>12378</v>
      </c>
      <c r="H2033" s="196" t="s">
        <v>11235</v>
      </c>
    </row>
    <row r="2034" spans="1:8" x14ac:dyDescent="0.15">
      <c r="A2034" s="196" t="s">
        <v>11229</v>
      </c>
      <c r="B2034" s="196" t="s">
        <v>11230</v>
      </c>
      <c r="C2034" s="196" t="s">
        <v>15979</v>
      </c>
      <c r="D2034" s="196" t="s">
        <v>15978</v>
      </c>
      <c r="E2034" s="196" t="s">
        <v>15980</v>
      </c>
      <c r="F2034" s="196" t="s">
        <v>13062</v>
      </c>
      <c r="G2034" s="196" t="s">
        <v>12378</v>
      </c>
      <c r="H2034" s="196" t="s">
        <v>11235</v>
      </c>
    </row>
    <row r="2035" spans="1:8" x14ac:dyDescent="0.15">
      <c r="A2035" s="196" t="s">
        <v>11229</v>
      </c>
      <c r="B2035" s="196" t="s">
        <v>11230</v>
      </c>
      <c r="C2035" s="196" t="s">
        <v>15981</v>
      </c>
      <c r="D2035" s="196" t="s">
        <v>15982</v>
      </c>
      <c r="E2035" s="196" t="s">
        <v>15983</v>
      </c>
      <c r="F2035" s="196" t="s">
        <v>12640</v>
      </c>
      <c r="G2035" s="196" t="s">
        <v>12378</v>
      </c>
      <c r="H2035" s="196" t="s">
        <v>11235</v>
      </c>
    </row>
    <row r="2036" spans="1:8" x14ac:dyDescent="0.15">
      <c r="A2036" s="196" t="s">
        <v>11229</v>
      </c>
      <c r="B2036" s="196" t="s">
        <v>11230</v>
      </c>
      <c r="C2036" s="196" t="s">
        <v>15984</v>
      </c>
      <c r="D2036" s="196" t="s">
        <v>15972</v>
      </c>
      <c r="E2036" s="196" t="s">
        <v>15985</v>
      </c>
      <c r="F2036" s="196" t="s">
        <v>13062</v>
      </c>
      <c r="G2036" s="196" t="s">
        <v>12378</v>
      </c>
      <c r="H2036" s="196" t="s">
        <v>11235</v>
      </c>
    </row>
    <row r="2037" spans="1:8" x14ac:dyDescent="0.15">
      <c r="A2037" s="196" t="s">
        <v>11229</v>
      </c>
      <c r="B2037" s="196" t="s">
        <v>11230</v>
      </c>
      <c r="C2037" s="196" t="s">
        <v>15986</v>
      </c>
      <c r="D2037" s="196" t="s">
        <v>15987</v>
      </c>
      <c r="E2037" s="196" t="s">
        <v>15988</v>
      </c>
      <c r="F2037" s="196" t="s">
        <v>15989</v>
      </c>
      <c r="G2037" s="196" t="s">
        <v>11449</v>
      </c>
      <c r="H2037" s="196" t="s">
        <v>11235</v>
      </c>
    </row>
    <row r="2038" spans="1:8" x14ac:dyDescent="0.15">
      <c r="A2038" s="196" t="s">
        <v>11229</v>
      </c>
      <c r="B2038" s="196" t="s">
        <v>11230</v>
      </c>
      <c r="C2038" s="196" t="s">
        <v>15990</v>
      </c>
      <c r="D2038" s="196" t="s">
        <v>15991</v>
      </c>
      <c r="E2038" s="196" t="s">
        <v>15992</v>
      </c>
      <c r="F2038" s="196" t="s">
        <v>12640</v>
      </c>
      <c r="G2038" s="196" t="s">
        <v>12378</v>
      </c>
      <c r="H2038" s="196" t="s">
        <v>11235</v>
      </c>
    </row>
    <row r="2039" spans="1:8" x14ac:dyDescent="0.15">
      <c r="A2039" s="196" t="s">
        <v>11229</v>
      </c>
      <c r="B2039" s="196" t="s">
        <v>11230</v>
      </c>
      <c r="C2039" s="196" t="s">
        <v>15993</v>
      </c>
      <c r="D2039" s="196" t="s">
        <v>15994</v>
      </c>
      <c r="E2039" s="196" t="s">
        <v>15995</v>
      </c>
      <c r="F2039" s="196" t="s">
        <v>13062</v>
      </c>
      <c r="G2039" s="196" t="s">
        <v>12378</v>
      </c>
      <c r="H2039" s="196" t="s">
        <v>11235</v>
      </c>
    </row>
    <row r="2040" spans="1:8" x14ac:dyDescent="0.15">
      <c r="A2040" s="196" t="s">
        <v>11229</v>
      </c>
      <c r="B2040" s="196" t="s">
        <v>11230</v>
      </c>
      <c r="C2040" s="196" t="s">
        <v>15996</v>
      </c>
      <c r="D2040" s="196" t="s">
        <v>15997</v>
      </c>
      <c r="E2040" s="196" t="s">
        <v>15998</v>
      </c>
      <c r="F2040" s="196" t="s">
        <v>15965</v>
      </c>
      <c r="G2040" s="196" t="s">
        <v>12378</v>
      </c>
      <c r="H2040" s="196" t="s">
        <v>11235</v>
      </c>
    </row>
    <row r="2041" spans="1:8" x14ac:dyDescent="0.15">
      <c r="A2041" s="196" t="s">
        <v>11229</v>
      </c>
      <c r="B2041" s="196" t="s">
        <v>11230</v>
      </c>
      <c r="C2041" s="196" t="s">
        <v>15999</v>
      </c>
      <c r="D2041" s="196" t="s">
        <v>16000</v>
      </c>
      <c r="E2041" s="196" t="s">
        <v>16001</v>
      </c>
      <c r="F2041" s="196" t="s">
        <v>12646</v>
      </c>
      <c r="G2041" s="196" t="s">
        <v>12378</v>
      </c>
      <c r="H2041" s="196" t="s">
        <v>11235</v>
      </c>
    </row>
    <row r="2042" spans="1:8" x14ac:dyDescent="0.15">
      <c r="A2042" s="196" t="s">
        <v>11229</v>
      </c>
      <c r="B2042" s="196" t="s">
        <v>11230</v>
      </c>
      <c r="C2042" s="196" t="s">
        <v>16002</v>
      </c>
      <c r="D2042" s="196" t="s">
        <v>16003</v>
      </c>
      <c r="E2042" s="196" t="s">
        <v>16004</v>
      </c>
      <c r="F2042" s="196" t="s">
        <v>12572</v>
      </c>
      <c r="G2042" s="196" t="s">
        <v>12378</v>
      </c>
      <c r="H2042" s="196" t="s">
        <v>11235</v>
      </c>
    </row>
    <row r="2043" spans="1:8" x14ac:dyDescent="0.15">
      <c r="A2043" s="196" t="s">
        <v>11229</v>
      </c>
      <c r="B2043" s="196" t="s">
        <v>11230</v>
      </c>
      <c r="C2043" s="196" t="s">
        <v>16005</v>
      </c>
      <c r="D2043" s="196" t="s">
        <v>16006</v>
      </c>
      <c r="E2043" s="196" t="s">
        <v>16006</v>
      </c>
      <c r="F2043" s="196" t="s">
        <v>11233</v>
      </c>
      <c r="G2043" s="196" t="s">
        <v>11449</v>
      </c>
      <c r="H2043" s="196" t="s">
        <v>11235</v>
      </c>
    </row>
    <row r="2044" spans="1:8" x14ac:dyDescent="0.15">
      <c r="A2044" s="196" t="s">
        <v>11229</v>
      </c>
      <c r="B2044" s="196" t="s">
        <v>11230</v>
      </c>
      <c r="C2044" s="196" t="s">
        <v>16007</v>
      </c>
      <c r="D2044" s="196" t="s">
        <v>16008</v>
      </c>
      <c r="E2044" s="196" t="s">
        <v>16009</v>
      </c>
      <c r="F2044" s="196" t="s">
        <v>16010</v>
      </c>
      <c r="G2044" s="196" t="s">
        <v>12378</v>
      </c>
      <c r="H2044" s="196" t="s">
        <v>11235</v>
      </c>
    </row>
    <row r="2045" spans="1:8" x14ac:dyDescent="0.15">
      <c r="A2045" s="196" t="s">
        <v>11229</v>
      </c>
      <c r="B2045" s="196" t="s">
        <v>11230</v>
      </c>
      <c r="C2045" s="196" t="s">
        <v>16011</v>
      </c>
      <c r="D2045" s="196" t="s">
        <v>16012</v>
      </c>
      <c r="E2045" s="196" t="s">
        <v>16013</v>
      </c>
      <c r="F2045" s="196" t="s">
        <v>15965</v>
      </c>
      <c r="G2045" s="196" t="s">
        <v>12378</v>
      </c>
      <c r="H2045" s="196" t="s">
        <v>11235</v>
      </c>
    </row>
    <row r="2046" spans="1:8" x14ac:dyDescent="0.15">
      <c r="A2046" s="196" t="s">
        <v>11229</v>
      </c>
      <c r="B2046" s="196" t="s">
        <v>11230</v>
      </c>
      <c r="C2046" s="196" t="s">
        <v>16014</v>
      </c>
      <c r="D2046" s="196" t="s">
        <v>16015</v>
      </c>
      <c r="E2046" s="196" t="s">
        <v>16016</v>
      </c>
      <c r="F2046" s="196" t="s">
        <v>16017</v>
      </c>
      <c r="G2046" s="196" t="s">
        <v>11449</v>
      </c>
      <c r="H2046" s="196" t="s">
        <v>11235</v>
      </c>
    </row>
    <row r="2047" spans="1:8" x14ac:dyDescent="0.15">
      <c r="A2047" s="196" t="s">
        <v>11229</v>
      </c>
      <c r="B2047" s="196" t="s">
        <v>11230</v>
      </c>
      <c r="C2047" s="196" t="s">
        <v>16018</v>
      </c>
      <c r="D2047" s="196" t="s">
        <v>16013</v>
      </c>
      <c r="E2047" s="196" t="s">
        <v>16019</v>
      </c>
      <c r="F2047" s="196" t="s">
        <v>13038</v>
      </c>
      <c r="G2047" s="196" t="s">
        <v>12378</v>
      </c>
      <c r="H2047" s="196" t="s">
        <v>11235</v>
      </c>
    </row>
    <row r="2048" spans="1:8" x14ac:dyDescent="0.15">
      <c r="A2048" s="196" t="s">
        <v>11229</v>
      </c>
      <c r="B2048" s="196" t="s">
        <v>11230</v>
      </c>
      <c r="C2048" s="196" t="s">
        <v>16020</v>
      </c>
      <c r="D2048" s="196" t="s">
        <v>16021</v>
      </c>
      <c r="E2048" s="196" t="s">
        <v>16022</v>
      </c>
      <c r="F2048" s="196" t="s">
        <v>13062</v>
      </c>
      <c r="G2048" s="196" t="s">
        <v>12378</v>
      </c>
      <c r="H2048" s="196" t="s">
        <v>11235</v>
      </c>
    </row>
    <row r="2049" spans="1:8" x14ac:dyDescent="0.15">
      <c r="A2049" s="196" t="s">
        <v>11229</v>
      </c>
      <c r="B2049" s="196" t="s">
        <v>11230</v>
      </c>
      <c r="C2049" s="196" t="s">
        <v>16023</v>
      </c>
      <c r="D2049" s="196" t="s">
        <v>16024</v>
      </c>
      <c r="E2049" s="196" t="s">
        <v>16024</v>
      </c>
      <c r="F2049" s="196" t="s">
        <v>11233</v>
      </c>
      <c r="G2049" s="196" t="s">
        <v>12378</v>
      </c>
      <c r="H2049" s="196" t="s">
        <v>11235</v>
      </c>
    </row>
    <row r="2050" spans="1:8" x14ac:dyDescent="0.15">
      <c r="A2050" s="196" t="s">
        <v>11229</v>
      </c>
      <c r="B2050" s="196" t="s">
        <v>11230</v>
      </c>
      <c r="C2050" s="196" t="s">
        <v>16025</v>
      </c>
      <c r="D2050" s="196" t="s">
        <v>16026</v>
      </c>
      <c r="E2050" s="196" t="s">
        <v>16026</v>
      </c>
      <c r="F2050" s="196" t="s">
        <v>11233</v>
      </c>
      <c r="G2050" s="196" t="s">
        <v>12378</v>
      </c>
      <c r="H2050" s="196" t="s">
        <v>11235</v>
      </c>
    </row>
    <row r="2051" spans="1:8" x14ac:dyDescent="0.15">
      <c r="A2051" s="196" t="s">
        <v>11229</v>
      </c>
      <c r="B2051" s="196" t="s">
        <v>11230</v>
      </c>
      <c r="C2051" s="196" t="s">
        <v>16027</v>
      </c>
      <c r="D2051" s="196" t="s">
        <v>16028</v>
      </c>
      <c r="E2051" s="196" t="s">
        <v>16028</v>
      </c>
      <c r="F2051" s="196" t="s">
        <v>11233</v>
      </c>
      <c r="G2051" s="196" t="s">
        <v>12378</v>
      </c>
      <c r="H2051" s="196" t="s">
        <v>11235</v>
      </c>
    </row>
    <row r="2052" spans="1:8" x14ac:dyDescent="0.15">
      <c r="A2052" s="196" t="s">
        <v>11229</v>
      </c>
      <c r="B2052" s="196" t="s">
        <v>11230</v>
      </c>
      <c r="C2052" s="196" t="s">
        <v>16029</v>
      </c>
      <c r="D2052" s="196" t="s">
        <v>16030</v>
      </c>
      <c r="E2052" s="196" t="s">
        <v>16030</v>
      </c>
      <c r="F2052" s="196" t="s">
        <v>11233</v>
      </c>
      <c r="G2052" s="196" t="s">
        <v>12378</v>
      </c>
      <c r="H2052" s="196" t="s">
        <v>11235</v>
      </c>
    </row>
    <row r="2053" spans="1:8" x14ac:dyDescent="0.15">
      <c r="A2053" s="196" t="s">
        <v>11229</v>
      </c>
      <c r="B2053" s="196" t="s">
        <v>11230</v>
      </c>
      <c r="C2053" s="196" t="s">
        <v>16031</v>
      </c>
      <c r="D2053" s="196" t="s">
        <v>16032</v>
      </c>
      <c r="E2053" s="196" t="s">
        <v>16032</v>
      </c>
      <c r="F2053" s="196" t="s">
        <v>11233</v>
      </c>
      <c r="G2053" s="196" t="s">
        <v>12378</v>
      </c>
      <c r="H2053" s="196" t="s">
        <v>11235</v>
      </c>
    </row>
    <row r="2054" spans="1:8" x14ac:dyDescent="0.15">
      <c r="A2054" s="196" t="s">
        <v>11229</v>
      </c>
      <c r="B2054" s="196" t="s">
        <v>11230</v>
      </c>
      <c r="C2054" s="196" t="s">
        <v>16033</v>
      </c>
      <c r="D2054" s="196" t="s">
        <v>16034</v>
      </c>
      <c r="E2054" s="196" t="s">
        <v>16034</v>
      </c>
      <c r="F2054" s="196" t="s">
        <v>11233</v>
      </c>
      <c r="G2054" s="196" t="s">
        <v>12378</v>
      </c>
      <c r="H2054" s="196" t="s">
        <v>11235</v>
      </c>
    </row>
    <row r="2055" spans="1:8" x14ac:dyDescent="0.15">
      <c r="A2055" s="196" t="s">
        <v>11229</v>
      </c>
      <c r="B2055" s="196" t="s">
        <v>11230</v>
      </c>
      <c r="C2055" s="196" t="s">
        <v>16035</v>
      </c>
      <c r="D2055" s="196" t="s">
        <v>16036</v>
      </c>
      <c r="E2055" s="196" t="s">
        <v>16036</v>
      </c>
      <c r="F2055" s="196" t="s">
        <v>11233</v>
      </c>
      <c r="G2055" s="196" t="s">
        <v>12378</v>
      </c>
      <c r="H2055" s="196" t="s">
        <v>11235</v>
      </c>
    </row>
    <row r="2056" spans="1:8" x14ac:dyDescent="0.15">
      <c r="A2056" s="196" t="s">
        <v>11229</v>
      </c>
      <c r="B2056" s="196" t="s">
        <v>11230</v>
      </c>
      <c r="C2056" s="196" t="s">
        <v>16037</v>
      </c>
      <c r="D2056" s="196" t="s">
        <v>16038</v>
      </c>
      <c r="E2056" s="196" t="s">
        <v>16038</v>
      </c>
      <c r="F2056" s="196" t="s">
        <v>11233</v>
      </c>
      <c r="G2056" s="196" t="s">
        <v>12378</v>
      </c>
      <c r="H2056" s="196" t="s">
        <v>11235</v>
      </c>
    </row>
    <row r="2057" spans="1:8" x14ac:dyDescent="0.15">
      <c r="A2057" s="196" t="s">
        <v>11229</v>
      </c>
      <c r="B2057" s="196" t="s">
        <v>11230</v>
      </c>
      <c r="C2057" s="196" t="s">
        <v>16039</v>
      </c>
      <c r="D2057" s="196" t="s">
        <v>16040</v>
      </c>
      <c r="E2057" s="196" t="s">
        <v>16040</v>
      </c>
      <c r="F2057" s="196" t="s">
        <v>11233</v>
      </c>
      <c r="G2057" s="196" t="s">
        <v>12378</v>
      </c>
      <c r="H2057" s="196" t="s">
        <v>11235</v>
      </c>
    </row>
    <row r="2058" spans="1:8" x14ac:dyDescent="0.15">
      <c r="A2058" s="196" t="s">
        <v>11229</v>
      </c>
      <c r="B2058" s="196" t="s">
        <v>11230</v>
      </c>
      <c r="C2058" s="196" t="s">
        <v>16041</v>
      </c>
      <c r="D2058" s="196" t="s">
        <v>16042</v>
      </c>
      <c r="E2058" s="196" t="s">
        <v>16042</v>
      </c>
      <c r="F2058" s="196" t="s">
        <v>11233</v>
      </c>
      <c r="G2058" s="196" t="s">
        <v>12378</v>
      </c>
      <c r="H2058" s="196" t="s">
        <v>11235</v>
      </c>
    </row>
    <row r="2059" spans="1:8" x14ac:dyDescent="0.15">
      <c r="A2059" s="196" t="s">
        <v>11229</v>
      </c>
      <c r="B2059" s="196" t="s">
        <v>11230</v>
      </c>
      <c r="C2059" s="196" t="s">
        <v>16043</v>
      </c>
      <c r="D2059" s="196" t="s">
        <v>16044</v>
      </c>
      <c r="E2059" s="196" t="s">
        <v>16044</v>
      </c>
      <c r="F2059" s="196" t="s">
        <v>11233</v>
      </c>
      <c r="G2059" s="196" t="s">
        <v>12378</v>
      </c>
      <c r="H2059" s="196" t="s">
        <v>11235</v>
      </c>
    </row>
    <row r="2060" spans="1:8" x14ac:dyDescent="0.15">
      <c r="A2060" s="196" t="s">
        <v>11229</v>
      </c>
      <c r="B2060" s="196" t="s">
        <v>11230</v>
      </c>
      <c r="C2060" s="196" t="s">
        <v>16045</v>
      </c>
      <c r="D2060" s="196" t="s">
        <v>16046</v>
      </c>
      <c r="E2060" s="196" t="s">
        <v>16046</v>
      </c>
      <c r="F2060" s="196" t="s">
        <v>11233</v>
      </c>
      <c r="G2060" s="196" t="s">
        <v>12378</v>
      </c>
      <c r="H2060" s="196" t="s">
        <v>11235</v>
      </c>
    </row>
    <row r="2061" spans="1:8" x14ac:dyDescent="0.15">
      <c r="A2061" s="196" t="s">
        <v>11229</v>
      </c>
      <c r="B2061" s="196" t="s">
        <v>11230</v>
      </c>
      <c r="C2061" s="196" t="s">
        <v>16047</v>
      </c>
      <c r="D2061" s="196" t="s">
        <v>16048</v>
      </c>
      <c r="E2061" s="196" t="s">
        <v>16048</v>
      </c>
      <c r="F2061" s="196" t="s">
        <v>11233</v>
      </c>
      <c r="G2061" s="196" t="s">
        <v>12378</v>
      </c>
      <c r="H2061" s="196" t="s">
        <v>11235</v>
      </c>
    </row>
    <row r="2062" spans="1:8" x14ac:dyDescent="0.15">
      <c r="A2062" s="196" t="s">
        <v>11229</v>
      </c>
      <c r="B2062" s="196" t="s">
        <v>11230</v>
      </c>
      <c r="C2062" s="196" t="s">
        <v>16049</v>
      </c>
      <c r="D2062" s="196" t="s">
        <v>16050</v>
      </c>
      <c r="E2062" s="196" t="s">
        <v>16050</v>
      </c>
      <c r="F2062" s="196" t="s">
        <v>11233</v>
      </c>
      <c r="G2062" s="196" t="s">
        <v>12378</v>
      </c>
      <c r="H2062" s="196" t="s">
        <v>11235</v>
      </c>
    </row>
    <row r="2063" spans="1:8" x14ac:dyDescent="0.15">
      <c r="A2063" s="196" t="s">
        <v>11229</v>
      </c>
      <c r="B2063" s="196" t="s">
        <v>11230</v>
      </c>
      <c r="C2063" s="196" t="s">
        <v>16051</v>
      </c>
      <c r="D2063" s="196" t="s">
        <v>16052</v>
      </c>
      <c r="E2063" s="196" t="s">
        <v>16052</v>
      </c>
      <c r="F2063" s="196" t="s">
        <v>11233</v>
      </c>
      <c r="G2063" s="196" t="s">
        <v>12378</v>
      </c>
      <c r="H2063" s="196" t="s">
        <v>11235</v>
      </c>
    </row>
    <row r="2064" spans="1:8" x14ac:dyDescent="0.15">
      <c r="A2064" s="196" t="s">
        <v>11229</v>
      </c>
      <c r="B2064" s="196" t="s">
        <v>11230</v>
      </c>
      <c r="C2064" s="196" t="s">
        <v>16053</v>
      </c>
      <c r="D2064" s="196" t="s">
        <v>16054</v>
      </c>
      <c r="E2064" s="196" t="s">
        <v>16055</v>
      </c>
      <c r="F2064" s="196" t="s">
        <v>15208</v>
      </c>
      <c r="G2064" s="196" t="s">
        <v>11449</v>
      </c>
      <c r="H2064" s="196" t="s">
        <v>11235</v>
      </c>
    </row>
    <row r="2065" spans="1:8" x14ac:dyDescent="0.15">
      <c r="A2065" s="196" t="s">
        <v>11229</v>
      </c>
      <c r="B2065" s="196" t="s">
        <v>11230</v>
      </c>
      <c r="C2065" s="196" t="s">
        <v>16056</v>
      </c>
      <c r="D2065" s="196" t="s">
        <v>16057</v>
      </c>
      <c r="E2065" s="196" t="s">
        <v>16057</v>
      </c>
      <c r="F2065" s="196" t="s">
        <v>11233</v>
      </c>
      <c r="G2065" s="196" t="s">
        <v>12378</v>
      </c>
      <c r="H2065" s="196" t="s">
        <v>11235</v>
      </c>
    </row>
    <row r="2066" spans="1:8" x14ac:dyDescent="0.15">
      <c r="A2066" s="196" t="s">
        <v>11229</v>
      </c>
      <c r="B2066" s="196" t="s">
        <v>11230</v>
      </c>
      <c r="C2066" s="196" t="s">
        <v>16058</v>
      </c>
      <c r="D2066" s="196" t="s">
        <v>16059</v>
      </c>
      <c r="E2066" s="196" t="s">
        <v>16059</v>
      </c>
      <c r="F2066" s="196" t="s">
        <v>11233</v>
      </c>
      <c r="G2066" s="196" t="s">
        <v>12378</v>
      </c>
      <c r="H2066" s="196" t="s">
        <v>11235</v>
      </c>
    </row>
    <row r="2067" spans="1:8" x14ac:dyDescent="0.15">
      <c r="A2067" s="196" t="s">
        <v>11229</v>
      </c>
      <c r="B2067" s="196" t="s">
        <v>11230</v>
      </c>
      <c r="C2067" s="196" t="s">
        <v>16060</v>
      </c>
      <c r="D2067" s="196" t="s">
        <v>16061</v>
      </c>
      <c r="E2067" s="196" t="s">
        <v>16061</v>
      </c>
      <c r="F2067" s="196" t="s">
        <v>11233</v>
      </c>
      <c r="G2067" s="196" t="s">
        <v>12378</v>
      </c>
      <c r="H2067" s="196" t="s">
        <v>11235</v>
      </c>
    </row>
    <row r="2068" spans="1:8" x14ac:dyDescent="0.15">
      <c r="A2068" s="196" t="s">
        <v>11229</v>
      </c>
      <c r="B2068" s="196" t="s">
        <v>11230</v>
      </c>
      <c r="C2068" s="196" t="s">
        <v>16062</v>
      </c>
      <c r="D2068" s="196" t="s">
        <v>16063</v>
      </c>
      <c r="E2068" s="196" t="s">
        <v>16063</v>
      </c>
      <c r="F2068" s="196" t="s">
        <v>11233</v>
      </c>
      <c r="G2068" s="196" t="s">
        <v>12378</v>
      </c>
      <c r="H2068" s="196" t="s">
        <v>11235</v>
      </c>
    </row>
    <row r="2069" spans="1:8" x14ac:dyDescent="0.15">
      <c r="A2069" s="196" t="s">
        <v>11229</v>
      </c>
      <c r="B2069" s="196" t="s">
        <v>11230</v>
      </c>
      <c r="C2069" s="196" t="s">
        <v>16064</v>
      </c>
      <c r="D2069" s="196" t="s">
        <v>16065</v>
      </c>
      <c r="E2069" s="196" t="s">
        <v>16066</v>
      </c>
      <c r="F2069" s="196" t="s">
        <v>11241</v>
      </c>
      <c r="G2069" s="196" t="s">
        <v>12378</v>
      </c>
      <c r="H2069" s="196" t="s">
        <v>11235</v>
      </c>
    </row>
    <row r="2070" spans="1:8" x14ac:dyDescent="0.15">
      <c r="A2070" s="196" t="s">
        <v>11229</v>
      </c>
      <c r="B2070" s="196" t="s">
        <v>11230</v>
      </c>
      <c r="C2070" s="196" t="s">
        <v>16067</v>
      </c>
      <c r="D2070" s="196" t="s">
        <v>16068</v>
      </c>
      <c r="E2070" s="196" t="s">
        <v>16069</v>
      </c>
      <c r="F2070" s="196" t="s">
        <v>11241</v>
      </c>
      <c r="G2070" s="196" t="s">
        <v>12378</v>
      </c>
      <c r="H2070" s="196" t="s">
        <v>11235</v>
      </c>
    </row>
    <row r="2071" spans="1:8" x14ac:dyDescent="0.15">
      <c r="A2071" s="196" t="s">
        <v>11229</v>
      </c>
      <c r="B2071" s="196" t="s">
        <v>11230</v>
      </c>
      <c r="C2071" s="196" t="s">
        <v>16070</v>
      </c>
      <c r="D2071" s="196" t="s">
        <v>16071</v>
      </c>
      <c r="E2071" s="196" t="s">
        <v>16071</v>
      </c>
      <c r="F2071" s="196" t="s">
        <v>11233</v>
      </c>
      <c r="G2071" s="196" t="s">
        <v>12378</v>
      </c>
      <c r="H2071" s="196" t="s">
        <v>11235</v>
      </c>
    </row>
    <row r="2072" spans="1:8" x14ac:dyDescent="0.15">
      <c r="A2072" s="196" t="s">
        <v>11229</v>
      </c>
      <c r="B2072" s="196" t="s">
        <v>11230</v>
      </c>
      <c r="C2072" s="196" t="s">
        <v>16072</v>
      </c>
      <c r="D2072" s="196" t="s">
        <v>16073</v>
      </c>
      <c r="E2072" s="196" t="s">
        <v>16074</v>
      </c>
      <c r="F2072" s="196" t="s">
        <v>11268</v>
      </c>
      <c r="G2072" s="196" t="s">
        <v>12378</v>
      </c>
      <c r="H2072" s="196" t="s">
        <v>11235</v>
      </c>
    </row>
    <row r="2073" spans="1:8" x14ac:dyDescent="0.15">
      <c r="A2073" s="196" t="s">
        <v>11229</v>
      </c>
      <c r="B2073" s="196" t="s">
        <v>11230</v>
      </c>
      <c r="C2073" s="196" t="s">
        <v>16075</v>
      </c>
      <c r="D2073" s="196" t="s">
        <v>16074</v>
      </c>
      <c r="E2073" s="196" t="s">
        <v>16076</v>
      </c>
      <c r="F2073" s="196" t="s">
        <v>11241</v>
      </c>
      <c r="G2073" s="196" t="s">
        <v>12378</v>
      </c>
      <c r="H2073" s="196" t="s">
        <v>11235</v>
      </c>
    </row>
    <row r="2074" spans="1:8" x14ac:dyDescent="0.15">
      <c r="A2074" s="196" t="s">
        <v>11229</v>
      </c>
      <c r="B2074" s="196" t="s">
        <v>11230</v>
      </c>
      <c r="C2074" s="196" t="s">
        <v>16077</v>
      </c>
      <c r="D2074" s="196" t="s">
        <v>16078</v>
      </c>
      <c r="E2074" s="196" t="s">
        <v>16078</v>
      </c>
      <c r="F2074" s="196" t="s">
        <v>11233</v>
      </c>
      <c r="G2074" s="196" t="s">
        <v>12378</v>
      </c>
      <c r="H2074" s="196" t="s">
        <v>11235</v>
      </c>
    </row>
    <row r="2075" spans="1:8" x14ac:dyDescent="0.15">
      <c r="A2075" s="196" t="s">
        <v>11229</v>
      </c>
      <c r="B2075" s="196" t="s">
        <v>11230</v>
      </c>
      <c r="C2075" s="196" t="s">
        <v>16079</v>
      </c>
      <c r="D2075" s="196" t="s">
        <v>16055</v>
      </c>
      <c r="E2075" s="196" t="s">
        <v>16080</v>
      </c>
      <c r="F2075" s="196" t="s">
        <v>11268</v>
      </c>
      <c r="G2075" s="196" t="s">
        <v>12378</v>
      </c>
      <c r="H2075" s="196" t="s">
        <v>11235</v>
      </c>
    </row>
    <row r="2076" spans="1:8" x14ac:dyDescent="0.15">
      <c r="A2076" s="196" t="s">
        <v>11229</v>
      </c>
      <c r="B2076" s="196" t="s">
        <v>11230</v>
      </c>
      <c r="C2076" s="196" t="s">
        <v>16081</v>
      </c>
      <c r="D2076" s="196" t="s">
        <v>16080</v>
      </c>
      <c r="E2076" s="196" t="s">
        <v>16082</v>
      </c>
      <c r="F2076" s="196" t="s">
        <v>16083</v>
      </c>
      <c r="G2076" s="196" t="s">
        <v>11449</v>
      </c>
      <c r="H2076" s="196" t="s">
        <v>11235</v>
      </c>
    </row>
    <row r="2077" spans="1:8" x14ac:dyDescent="0.15">
      <c r="A2077" s="196" t="s">
        <v>11229</v>
      </c>
      <c r="B2077" s="196" t="s">
        <v>11230</v>
      </c>
      <c r="C2077" s="196" t="s">
        <v>16084</v>
      </c>
      <c r="D2077" s="196" t="s">
        <v>16085</v>
      </c>
      <c r="E2077" s="196" t="s">
        <v>16086</v>
      </c>
      <c r="F2077" s="196" t="s">
        <v>13023</v>
      </c>
      <c r="G2077" s="196" t="s">
        <v>12378</v>
      </c>
      <c r="H2077" s="196" t="s">
        <v>11235</v>
      </c>
    </row>
    <row r="2078" spans="1:8" x14ac:dyDescent="0.15">
      <c r="A2078" s="196" t="s">
        <v>11229</v>
      </c>
      <c r="B2078" s="196" t="s">
        <v>11230</v>
      </c>
      <c r="C2078" s="196" t="s">
        <v>16087</v>
      </c>
      <c r="D2078" s="196" t="s">
        <v>16088</v>
      </c>
      <c r="E2078" s="196" t="s">
        <v>16089</v>
      </c>
      <c r="F2078" s="196" t="s">
        <v>13023</v>
      </c>
      <c r="G2078" s="196" t="s">
        <v>12378</v>
      </c>
      <c r="H2078" s="196" t="s">
        <v>11235</v>
      </c>
    </row>
    <row r="2079" spans="1:8" x14ac:dyDescent="0.15">
      <c r="A2079" s="196" t="s">
        <v>11229</v>
      </c>
      <c r="B2079" s="196" t="s">
        <v>11230</v>
      </c>
      <c r="C2079" s="196" t="s">
        <v>16090</v>
      </c>
      <c r="D2079" s="196" t="s">
        <v>16091</v>
      </c>
      <c r="E2079" s="196" t="s">
        <v>16092</v>
      </c>
      <c r="F2079" s="196" t="s">
        <v>13758</v>
      </c>
      <c r="G2079" s="196" t="s">
        <v>12378</v>
      </c>
      <c r="H2079" s="196" t="s">
        <v>11235</v>
      </c>
    </row>
    <row r="2080" spans="1:8" x14ac:dyDescent="0.15">
      <c r="A2080" s="196" t="s">
        <v>11229</v>
      </c>
      <c r="B2080" s="196" t="s">
        <v>11230</v>
      </c>
      <c r="C2080" s="196" t="s">
        <v>16093</v>
      </c>
      <c r="D2080" s="196" t="s">
        <v>16094</v>
      </c>
      <c r="E2080" s="196" t="s">
        <v>16094</v>
      </c>
      <c r="F2080" s="196" t="s">
        <v>11233</v>
      </c>
      <c r="G2080" s="196" t="s">
        <v>12378</v>
      </c>
      <c r="H2080" s="196" t="s">
        <v>11235</v>
      </c>
    </row>
    <row r="2081" spans="1:8" x14ac:dyDescent="0.15">
      <c r="A2081" s="196" t="s">
        <v>11229</v>
      </c>
      <c r="B2081" s="196" t="s">
        <v>11230</v>
      </c>
      <c r="C2081" s="196" t="s">
        <v>16095</v>
      </c>
      <c r="D2081" s="196" t="s">
        <v>16096</v>
      </c>
      <c r="E2081" s="196" t="s">
        <v>16097</v>
      </c>
      <c r="F2081" s="196" t="s">
        <v>11268</v>
      </c>
      <c r="G2081" s="196" t="s">
        <v>12378</v>
      </c>
      <c r="H2081" s="196" t="s">
        <v>11235</v>
      </c>
    </row>
    <row r="2082" spans="1:8" x14ac:dyDescent="0.15">
      <c r="A2082" s="196" t="s">
        <v>11229</v>
      </c>
      <c r="B2082" s="196" t="s">
        <v>11230</v>
      </c>
      <c r="C2082" s="196" t="s">
        <v>16098</v>
      </c>
      <c r="D2082" s="196" t="s">
        <v>16099</v>
      </c>
      <c r="E2082" s="196" t="s">
        <v>16100</v>
      </c>
      <c r="F2082" s="196" t="s">
        <v>11268</v>
      </c>
      <c r="G2082" s="196" t="s">
        <v>12378</v>
      </c>
      <c r="H2082" s="196" t="s">
        <v>11235</v>
      </c>
    </row>
    <row r="2083" spans="1:8" x14ac:dyDescent="0.15">
      <c r="A2083" s="196" t="s">
        <v>11229</v>
      </c>
      <c r="B2083" s="196" t="s">
        <v>11230</v>
      </c>
      <c r="C2083" s="196" t="s">
        <v>16101</v>
      </c>
      <c r="D2083" s="196" t="s">
        <v>16100</v>
      </c>
      <c r="E2083" s="196" t="s">
        <v>16102</v>
      </c>
      <c r="F2083" s="196" t="s">
        <v>11241</v>
      </c>
      <c r="G2083" s="196" t="s">
        <v>12378</v>
      </c>
      <c r="H2083" s="196" t="s">
        <v>11235</v>
      </c>
    </row>
    <row r="2084" spans="1:8" x14ac:dyDescent="0.15">
      <c r="A2084" s="196" t="s">
        <v>11229</v>
      </c>
      <c r="B2084" s="196" t="s">
        <v>11230</v>
      </c>
      <c r="C2084" s="196" t="s">
        <v>16103</v>
      </c>
      <c r="D2084" s="196" t="s">
        <v>16104</v>
      </c>
      <c r="E2084" s="196" t="s">
        <v>16104</v>
      </c>
      <c r="F2084" s="196" t="s">
        <v>11233</v>
      </c>
      <c r="G2084" s="196" t="s">
        <v>12378</v>
      </c>
      <c r="H2084" s="196" t="s">
        <v>11235</v>
      </c>
    </row>
    <row r="2085" spans="1:8" x14ac:dyDescent="0.15">
      <c r="A2085" s="196" t="s">
        <v>11229</v>
      </c>
      <c r="B2085" s="196" t="s">
        <v>11230</v>
      </c>
      <c r="C2085" s="196" t="s">
        <v>16105</v>
      </c>
      <c r="D2085" s="196" t="s">
        <v>16106</v>
      </c>
      <c r="E2085" s="196" t="s">
        <v>16106</v>
      </c>
      <c r="F2085" s="196" t="s">
        <v>11233</v>
      </c>
      <c r="G2085" s="196" t="s">
        <v>12378</v>
      </c>
      <c r="H2085" s="196" t="s">
        <v>11235</v>
      </c>
    </row>
    <row r="2086" spans="1:8" x14ac:dyDescent="0.15">
      <c r="A2086" s="196" t="s">
        <v>11229</v>
      </c>
      <c r="B2086" s="196" t="s">
        <v>11230</v>
      </c>
      <c r="C2086" s="196" t="s">
        <v>16107</v>
      </c>
      <c r="D2086" s="196" t="s">
        <v>16082</v>
      </c>
      <c r="E2086" s="196" t="s">
        <v>16082</v>
      </c>
      <c r="F2086" s="196" t="s">
        <v>11233</v>
      </c>
      <c r="G2086" s="196" t="s">
        <v>12378</v>
      </c>
      <c r="H2086" s="196" t="s">
        <v>11235</v>
      </c>
    </row>
    <row r="2087" spans="1:8" x14ac:dyDescent="0.15">
      <c r="A2087" s="196" t="s">
        <v>11229</v>
      </c>
      <c r="B2087" s="196" t="s">
        <v>11230</v>
      </c>
      <c r="C2087" s="196" t="s">
        <v>16108</v>
      </c>
      <c r="D2087" s="196" t="s">
        <v>16109</v>
      </c>
      <c r="E2087" s="196" t="s">
        <v>16110</v>
      </c>
      <c r="F2087" s="196" t="s">
        <v>16111</v>
      </c>
      <c r="G2087" s="196" t="s">
        <v>11449</v>
      </c>
      <c r="H2087" s="196" t="s">
        <v>11235</v>
      </c>
    </row>
    <row r="2088" spans="1:8" x14ac:dyDescent="0.15">
      <c r="A2088" s="196" t="s">
        <v>11229</v>
      </c>
      <c r="B2088" s="196" t="s">
        <v>11230</v>
      </c>
      <c r="C2088" s="196" t="s">
        <v>16112</v>
      </c>
      <c r="D2088" s="196" t="s">
        <v>16109</v>
      </c>
      <c r="E2088" s="196" t="s">
        <v>16113</v>
      </c>
      <c r="F2088" s="196" t="s">
        <v>11241</v>
      </c>
      <c r="G2088" s="196" t="s">
        <v>12378</v>
      </c>
      <c r="H2088" s="196" t="s">
        <v>11235</v>
      </c>
    </row>
    <row r="2089" spans="1:8" x14ac:dyDescent="0.15">
      <c r="A2089" s="196" t="s">
        <v>11229</v>
      </c>
      <c r="B2089" s="196" t="s">
        <v>11230</v>
      </c>
      <c r="C2089" s="196" t="s">
        <v>16114</v>
      </c>
      <c r="D2089" s="196" t="s">
        <v>16115</v>
      </c>
      <c r="E2089" s="196" t="s">
        <v>16115</v>
      </c>
      <c r="F2089" s="196" t="s">
        <v>11233</v>
      </c>
      <c r="G2089" s="196" t="s">
        <v>12378</v>
      </c>
      <c r="H2089" s="196" t="s">
        <v>11235</v>
      </c>
    </row>
    <row r="2090" spans="1:8" x14ac:dyDescent="0.15">
      <c r="A2090" s="196" t="s">
        <v>11229</v>
      </c>
      <c r="B2090" s="196" t="s">
        <v>11230</v>
      </c>
      <c r="C2090" s="196" t="s">
        <v>16116</v>
      </c>
      <c r="D2090" s="196" t="s">
        <v>16117</v>
      </c>
      <c r="E2090" s="196" t="s">
        <v>16118</v>
      </c>
      <c r="F2090" s="196" t="s">
        <v>13023</v>
      </c>
      <c r="G2090" s="196" t="s">
        <v>12378</v>
      </c>
      <c r="H2090" s="196" t="s">
        <v>11235</v>
      </c>
    </row>
    <row r="2091" spans="1:8" x14ac:dyDescent="0.15">
      <c r="A2091" s="196" t="s">
        <v>11229</v>
      </c>
      <c r="B2091" s="196" t="s">
        <v>11230</v>
      </c>
      <c r="C2091" s="196" t="s">
        <v>16119</v>
      </c>
      <c r="D2091" s="196" t="s">
        <v>16120</v>
      </c>
      <c r="E2091" s="196" t="s">
        <v>16120</v>
      </c>
      <c r="F2091" s="196" t="s">
        <v>11233</v>
      </c>
      <c r="G2091" s="196" t="s">
        <v>12378</v>
      </c>
      <c r="H2091" s="196" t="s">
        <v>11235</v>
      </c>
    </row>
    <row r="2092" spans="1:8" x14ac:dyDescent="0.15">
      <c r="A2092" s="196" t="s">
        <v>11229</v>
      </c>
      <c r="B2092" s="196" t="s">
        <v>11230</v>
      </c>
      <c r="C2092" s="196" t="s">
        <v>16121</v>
      </c>
      <c r="D2092" s="196" t="s">
        <v>16122</v>
      </c>
      <c r="E2092" s="196" t="s">
        <v>16123</v>
      </c>
      <c r="F2092" s="196" t="s">
        <v>14067</v>
      </c>
      <c r="G2092" s="196" t="s">
        <v>11449</v>
      </c>
      <c r="H2092" s="196" t="s">
        <v>11235</v>
      </c>
    </row>
    <row r="2093" spans="1:8" x14ac:dyDescent="0.15">
      <c r="A2093" s="196" t="s">
        <v>11229</v>
      </c>
      <c r="B2093" s="196" t="s">
        <v>11230</v>
      </c>
      <c r="C2093" s="196" t="s">
        <v>16124</v>
      </c>
      <c r="D2093" s="196" t="s">
        <v>16125</v>
      </c>
      <c r="E2093" s="196" t="s">
        <v>16125</v>
      </c>
      <c r="F2093" s="196" t="s">
        <v>11233</v>
      </c>
      <c r="G2093" s="196" t="s">
        <v>12378</v>
      </c>
      <c r="H2093" s="196" t="s">
        <v>11235</v>
      </c>
    </row>
    <row r="2094" spans="1:8" x14ac:dyDescent="0.15">
      <c r="A2094" s="196" t="s">
        <v>11229</v>
      </c>
      <c r="B2094" s="196" t="s">
        <v>11230</v>
      </c>
      <c r="C2094" s="196" t="s">
        <v>16126</v>
      </c>
      <c r="D2094" s="196" t="s">
        <v>16127</v>
      </c>
      <c r="E2094" s="196" t="s">
        <v>16127</v>
      </c>
      <c r="F2094" s="196" t="s">
        <v>11233</v>
      </c>
      <c r="G2094" s="196" t="s">
        <v>12378</v>
      </c>
      <c r="H2094" s="196" t="s">
        <v>11235</v>
      </c>
    </row>
    <row r="2095" spans="1:8" x14ac:dyDescent="0.15">
      <c r="A2095" s="196" t="s">
        <v>11229</v>
      </c>
      <c r="B2095" s="196" t="s">
        <v>11230</v>
      </c>
      <c r="C2095" s="196" t="s">
        <v>16128</v>
      </c>
      <c r="D2095" s="196" t="s">
        <v>16129</v>
      </c>
      <c r="E2095" s="196" t="s">
        <v>16129</v>
      </c>
      <c r="F2095" s="196" t="s">
        <v>11233</v>
      </c>
      <c r="G2095" s="196" t="s">
        <v>12378</v>
      </c>
      <c r="H2095" s="196" t="s">
        <v>11235</v>
      </c>
    </row>
    <row r="2096" spans="1:8" x14ac:dyDescent="0.15">
      <c r="A2096" s="196" t="s">
        <v>11229</v>
      </c>
      <c r="B2096" s="196" t="s">
        <v>11230</v>
      </c>
      <c r="C2096" s="196" t="s">
        <v>16130</v>
      </c>
      <c r="D2096" s="196" t="s">
        <v>16131</v>
      </c>
      <c r="E2096" s="196" t="s">
        <v>16131</v>
      </c>
      <c r="F2096" s="196" t="s">
        <v>11233</v>
      </c>
      <c r="G2096" s="196" t="s">
        <v>12378</v>
      </c>
      <c r="H2096" s="196" t="s">
        <v>11235</v>
      </c>
    </row>
    <row r="2097" spans="1:8" x14ac:dyDescent="0.15">
      <c r="A2097" s="196" t="s">
        <v>11229</v>
      </c>
      <c r="B2097" s="196" t="s">
        <v>11230</v>
      </c>
      <c r="C2097" s="196" t="s">
        <v>16132</v>
      </c>
      <c r="D2097" s="196" t="s">
        <v>16133</v>
      </c>
      <c r="E2097" s="196" t="s">
        <v>16133</v>
      </c>
      <c r="F2097" s="196" t="s">
        <v>11233</v>
      </c>
      <c r="G2097" s="196" t="s">
        <v>12378</v>
      </c>
      <c r="H2097" s="196" t="s">
        <v>11235</v>
      </c>
    </row>
    <row r="2098" spans="1:8" x14ac:dyDescent="0.15">
      <c r="A2098" s="196" t="s">
        <v>11229</v>
      </c>
      <c r="B2098" s="196" t="s">
        <v>11230</v>
      </c>
      <c r="C2098" s="196" t="s">
        <v>16134</v>
      </c>
      <c r="D2098" s="196" t="s">
        <v>16135</v>
      </c>
      <c r="E2098" s="196" t="s">
        <v>16135</v>
      </c>
      <c r="F2098" s="196" t="s">
        <v>11233</v>
      </c>
      <c r="G2098" s="196" t="s">
        <v>12378</v>
      </c>
      <c r="H2098" s="196" t="s">
        <v>11235</v>
      </c>
    </row>
    <row r="2099" spans="1:8" x14ac:dyDescent="0.15">
      <c r="A2099" s="196" t="s">
        <v>11229</v>
      </c>
      <c r="B2099" s="196" t="s">
        <v>11230</v>
      </c>
      <c r="C2099" s="196" t="s">
        <v>16136</v>
      </c>
      <c r="D2099" s="196" t="s">
        <v>16137</v>
      </c>
      <c r="E2099" s="196" t="s">
        <v>16137</v>
      </c>
      <c r="F2099" s="196" t="s">
        <v>11233</v>
      </c>
      <c r="G2099" s="196" t="s">
        <v>12378</v>
      </c>
      <c r="H2099" s="196" t="s">
        <v>11235</v>
      </c>
    </row>
    <row r="2100" spans="1:8" x14ac:dyDescent="0.15">
      <c r="A2100" s="196" t="s">
        <v>11229</v>
      </c>
      <c r="B2100" s="196" t="s">
        <v>11230</v>
      </c>
      <c r="C2100" s="196" t="s">
        <v>16138</v>
      </c>
      <c r="D2100" s="196" t="s">
        <v>16139</v>
      </c>
      <c r="E2100" s="196" t="s">
        <v>16140</v>
      </c>
      <c r="F2100" s="196" t="s">
        <v>11241</v>
      </c>
      <c r="G2100" s="196" t="s">
        <v>12378</v>
      </c>
      <c r="H2100" s="196" t="s">
        <v>11235</v>
      </c>
    </row>
    <row r="2101" spans="1:8" x14ac:dyDescent="0.15">
      <c r="A2101" s="196" t="s">
        <v>11229</v>
      </c>
      <c r="B2101" s="196" t="s">
        <v>11230</v>
      </c>
      <c r="C2101" s="196" t="s">
        <v>16141</v>
      </c>
      <c r="D2101" s="196" t="s">
        <v>16142</v>
      </c>
      <c r="E2101" s="196" t="s">
        <v>16142</v>
      </c>
      <c r="F2101" s="196" t="s">
        <v>11233</v>
      </c>
      <c r="G2101" s="196" t="s">
        <v>12378</v>
      </c>
      <c r="H2101" s="196" t="s">
        <v>11235</v>
      </c>
    </row>
    <row r="2102" spans="1:8" x14ac:dyDescent="0.15">
      <c r="A2102" s="196" t="s">
        <v>11229</v>
      </c>
      <c r="B2102" s="196" t="s">
        <v>11230</v>
      </c>
      <c r="C2102" s="196" t="s">
        <v>16143</v>
      </c>
      <c r="D2102" s="196" t="s">
        <v>16144</v>
      </c>
      <c r="E2102" s="196" t="s">
        <v>16144</v>
      </c>
      <c r="F2102" s="196" t="s">
        <v>11233</v>
      </c>
      <c r="G2102" s="196" t="s">
        <v>12378</v>
      </c>
      <c r="H2102" s="196" t="s">
        <v>11235</v>
      </c>
    </row>
    <row r="2103" spans="1:8" x14ac:dyDescent="0.15">
      <c r="A2103" s="196" t="s">
        <v>11229</v>
      </c>
      <c r="B2103" s="196" t="s">
        <v>11230</v>
      </c>
      <c r="C2103" s="196" t="s">
        <v>16145</v>
      </c>
      <c r="D2103" s="196" t="s">
        <v>16146</v>
      </c>
      <c r="E2103" s="196" t="s">
        <v>16147</v>
      </c>
      <c r="F2103" s="196" t="s">
        <v>16148</v>
      </c>
      <c r="G2103" s="196" t="s">
        <v>11449</v>
      </c>
      <c r="H2103" s="196" t="s">
        <v>11235</v>
      </c>
    </row>
    <row r="2104" spans="1:8" x14ac:dyDescent="0.15">
      <c r="A2104" s="196" t="s">
        <v>11229</v>
      </c>
      <c r="B2104" s="196" t="s">
        <v>11230</v>
      </c>
      <c r="C2104" s="196" t="s">
        <v>16149</v>
      </c>
      <c r="D2104" s="196" t="s">
        <v>16150</v>
      </c>
      <c r="E2104" s="196" t="s">
        <v>16150</v>
      </c>
      <c r="F2104" s="196" t="s">
        <v>11233</v>
      </c>
      <c r="G2104" s="196" t="s">
        <v>12378</v>
      </c>
      <c r="H2104" s="196" t="s">
        <v>11235</v>
      </c>
    </row>
    <row r="2105" spans="1:8" x14ac:dyDescent="0.15">
      <c r="A2105" s="196" t="s">
        <v>11229</v>
      </c>
      <c r="B2105" s="196" t="s">
        <v>11230</v>
      </c>
      <c r="C2105" s="196" t="s">
        <v>16151</v>
      </c>
      <c r="D2105" s="196" t="s">
        <v>16152</v>
      </c>
      <c r="E2105" s="196" t="s">
        <v>16152</v>
      </c>
      <c r="F2105" s="196" t="s">
        <v>11233</v>
      </c>
      <c r="G2105" s="196" t="s">
        <v>12378</v>
      </c>
      <c r="H2105" s="196" t="s">
        <v>11235</v>
      </c>
    </row>
    <row r="2106" spans="1:8" x14ac:dyDescent="0.15">
      <c r="A2106" s="196" t="s">
        <v>11229</v>
      </c>
      <c r="B2106" s="196" t="s">
        <v>11230</v>
      </c>
      <c r="C2106" s="196" t="s">
        <v>16153</v>
      </c>
      <c r="D2106" s="196" t="s">
        <v>16154</v>
      </c>
      <c r="E2106" s="196" t="s">
        <v>16154</v>
      </c>
      <c r="F2106" s="196" t="s">
        <v>11233</v>
      </c>
      <c r="G2106" s="196" t="s">
        <v>12378</v>
      </c>
      <c r="H2106" s="196" t="s">
        <v>11235</v>
      </c>
    </row>
    <row r="2107" spans="1:8" x14ac:dyDescent="0.15">
      <c r="A2107" s="196" t="s">
        <v>11229</v>
      </c>
      <c r="B2107" s="196" t="s">
        <v>11230</v>
      </c>
      <c r="C2107" s="196" t="s">
        <v>16155</v>
      </c>
      <c r="D2107" s="196" t="s">
        <v>16156</v>
      </c>
      <c r="E2107" s="196" t="s">
        <v>16157</v>
      </c>
      <c r="F2107" s="196" t="s">
        <v>13023</v>
      </c>
      <c r="G2107" s="196" t="s">
        <v>12378</v>
      </c>
      <c r="H2107" s="196" t="s">
        <v>11235</v>
      </c>
    </row>
    <row r="2108" spans="1:8" x14ac:dyDescent="0.15">
      <c r="A2108" s="196" t="s">
        <v>11229</v>
      </c>
      <c r="B2108" s="196" t="s">
        <v>11230</v>
      </c>
      <c r="C2108" s="196" t="s">
        <v>16158</v>
      </c>
      <c r="D2108" s="196" t="s">
        <v>16157</v>
      </c>
      <c r="E2108" s="196" t="s">
        <v>16159</v>
      </c>
      <c r="F2108" s="196" t="s">
        <v>11241</v>
      </c>
      <c r="G2108" s="196" t="s">
        <v>12378</v>
      </c>
      <c r="H2108" s="196" t="s">
        <v>11235</v>
      </c>
    </row>
    <row r="2109" spans="1:8" x14ac:dyDescent="0.15">
      <c r="A2109" s="196" t="s">
        <v>11229</v>
      </c>
      <c r="B2109" s="196" t="s">
        <v>11230</v>
      </c>
      <c r="C2109" s="196" t="s">
        <v>16160</v>
      </c>
      <c r="D2109" s="196" t="s">
        <v>16159</v>
      </c>
      <c r="E2109" s="196" t="s">
        <v>16161</v>
      </c>
      <c r="F2109" s="196" t="s">
        <v>11268</v>
      </c>
      <c r="G2109" s="196" t="s">
        <v>12378</v>
      </c>
      <c r="H2109" s="196" t="s">
        <v>11235</v>
      </c>
    </row>
    <row r="2110" spans="1:8" x14ac:dyDescent="0.15">
      <c r="A2110" s="196" t="s">
        <v>11229</v>
      </c>
      <c r="B2110" s="196" t="s">
        <v>11230</v>
      </c>
      <c r="C2110" s="196" t="s">
        <v>16162</v>
      </c>
      <c r="D2110" s="196" t="s">
        <v>16161</v>
      </c>
      <c r="E2110" s="196" t="s">
        <v>16163</v>
      </c>
      <c r="F2110" s="196" t="s">
        <v>11241</v>
      </c>
      <c r="G2110" s="196" t="s">
        <v>12378</v>
      </c>
      <c r="H2110" s="196" t="s">
        <v>11235</v>
      </c>
    </row>
    <row r="2111" spans="1:8" x14ac:dyDescent="0.15">
      <c r="A2111" s="196" t="s">
        <v>11229</v>
      </c>
      <c r="B2111" s="196" t="s">
        <v>11230</v>
      </c>
      <c r="C2111" s="196" t="s">
        <v>16164</v>
      </c>
      <c r="D2111" s="196" t="s">
        <v>16163</v>
      </c>
      <c r="E2111" s="196" t="s">
        <v>16165</v>
      </c>
      <c r="F2111" s="196" t="s">
        <v>11241</v>
      </c>
      <c r="G2111" s="196" t="s">
        <v>12378</v>
      </c>
      <c r="H2111" s="196" t="s">
        <v>11235</v>
      </c>
    </row>
    <row r="2112" spans="1:8" x14ac:dyDescent="0.15">
      <c r="A2112" s="196" t="s">
        <v>11229</v>
      </c>
      <c r="B2112" s="196" t="s">
        <v>11230</v>
      </c>
      <c r="C2112" s="196" t="s">
        <v>16166</v>
      </c>
      <c r="D2112" s="196" t="s">
        <v>16167</v>
      </c>
      <c r="E2112" s="196" t="s">
        <v>16168</v>
      </c>
      <c r="F2112" s="196" t="s">
        <v>16169</v>
      </c>
      <c r="G2112" s="196" t="s">
        <v>11449</v>
      </c>
      <c r="H2112" s="196" t="s">
        <v>11235</v>
      </c>
    </row>
    <row r="2113" spans="1:8" x14ac:dyDescent="0.15">
      <c r="A2113" s="196" t="s">
        <v>11229</v>
      </c>
      <c r="B2113" s="196" t="s">
        <v>11230</v>
      </c>
      <c r="C2113" s="196" t="s">
        <v>16170</v>
      </c>
      <c r="D2113" s="196" t="s">
        <v>16171</v>
      </c>
      <c r="E2113" s="196" t="s">
        <v>16172</v>
      </c>
      <c r="F2113" s="196" t="s">
        <v>13062</v>
      </c>
      <c r="G2113" s="196" t="s">
        <v>12378</v>
      </c>
      <c r="H2113" s="196" t="s">
        <v>11235</v>
      </c>
    </row>
    <row r="2114" spans="1:8" x14ac:dyDescent="0.15">
      <c r="A2114" s="196" t="s">
        <v>11229</v>
      </c>
      <c r="B2114" s="196" t="s">
        <v>11230</v>
      </c>
      <c r="C2114" s="196" t="s">
        <v>16173</v>
      </c>
      <c r="D2114" s="196" t="s">
        <v>16174</v>
      </c>
      <c r="E2114" s="196" t="s">
        <v>16175</v>
      </c>
      <c r="F2114" s="196" t="s">
        <v>13062</v>
      </c>
      <c r="G2114" s="196" t="s">
        <v>12378</v>
      </c>
      <c r="H2114" s="196" t="s">
        <v>11235</v>
      </c>
    </row>
    <row r="2115" spans="1:8" x14ac:dyDescent="0.15">
      <c r="A2115" s="196" t="s">
        <v>11229</v>
      </c>
      <c r="B2115" s="196" t="s">
        <v>11230</v>
      </c>
      <c r="C2115" s="196" t="s">
        <v>16176</v>
      </c>
      <c r="D2115" s="196" t="s">
        <v>16177</v>
      </c>
      <c r="E2115" s="196" t="s">
        <v>16178</v>
      </c>
      <c r="F2115" s="196" t="s">
        <v>13062</v>
      </c>
      <c r="G2115" s="196" t="s">
        <v>12378</v>
      </c>
      <c r="H2115" s="196" t="s">
        <v>11235</v>
      </c>
    </row>
    <row r="2116" spans="1:8" x14ac:dyDescent="0.15">
      <c r="A2116" s="196" t="s">
        <v>11229</v>
      </c>
      <c r="B2116" s="196" t="s">
        <v>11230</v>
      </c>
      <c r="C2116" s="196" t="s">
        <v>16179</v>
      </c>
      <c r="D2116" s="196" t="s">
        <v>16180</v>
      </c>
      <c r="E2116" s="196" t="s">
        <v>16181</v>
      </c>
      <c r="F2116" s="196" t="s">
        <v>16182</v>
      </c>
      <c r="G2116" s="196" t="s">
        <v>11449</v>
      </c>
      <c r="H2116" s="196" t="s">
        <v>11235</v>
      </c>
    </row>
    <row r="2117" spans="1:8" x14ac:dyDescent="0.15">
      <c r="A2117" s="196" t="s">
        <v>11229</v>
      </c>
      <c r="B2117" s="196" t="s">
        <v>11230</v>
      </c>
      <c r="C2117" s="196" t="s">
        <v>16183</v>
      </c>
      <c r="D2117" s="196" t="s">
        <v>16184</v>
      </c>
      <c r="E2117" s="196" t="s">
        <v>16185</v>
      </c>
      <c r="F2117" s="196" t="s">
        <v>16186</v>
      </c>
      <c r="G2117" s="196" t="s">
        <v>12378</v>
      </c>
      <c r="H2117" s="196" t="s">
        <v>11235</v>
      </c>
    </row>
    <row r="2118" spans="1:8" x14ac:dyDescent="0.15">
      <c r="A2118" s="196" t="s">
        <v>11229</v>
      </c>
      <c r="B2118" s="196" t="s">
        <v>11230</v>
      </c>
      <c r="C2118" s="196" t="s">
        <v>16187</v>
      </c>
      <c r="D2118" s="196" t="s">
        <v>16185</v>
      </c>
      <c r="E2118" s="196" t="s">
        <v>16188</v>
      </c>
      <c r="F2118" s="196" t="s">
        <v>16189</v>
      </c>
      <c r="G2118" s="196" t="s">
        <v>12378</v>
      </c>
      <c r="H2118" s="196" t="s">
        <v>11235</v>
      </c>
    </row>
    <row r="2119" spans="1:8" x14ac:dyDescent="0.15">
      <c r="A2119" s="196" t="s">
        <v>11229</v>
      </c>
      <c r="B2119" s="196" t="s">
        <v>11230</v>
      </c>
      <c r="C2119" s="196" t="s">
        <v>16190</v>
      </c>
      <c r="D2119" s="196" t="s">
        <v>16188</v>
      </c>
      <c r="E2119" s="196" t="s">
        <v>16191</v>
      </c>
      <c r="F2119" s="196" t="s">
        <v>16192</v>
      </c>
      <c r="G2119" s="196" t="s">
        <v>12378</v>
      </c>
      <c r="H2119" s="196" t="s">
        <v>11235</v>
      </c>
    </row>
    <row r="2120" spans="1:8" x14ac:dyDescent="0.15">
      <c r="A2120" s="196" t="s">
        <v>11229</v>
      </c>
      <c r="B2120" s="196" t="s">
        <v>11230</v>
      </c>
      <c r="C2120" s="196" t="s">
        <v>16193</v>
      </c>
      <c r="D2120" s="196" t="s">
        <v>16194</v>
      </c>
      <c r="E2120" s="196" t="s">
        <v>16195</v>
      </c>
      <c r="F2120" s="196" t="s">
        <v>13250</v>
      </c>
      <c r="G2120" s="196" t="s">
        <v>12378</v>
      </c>
      <c r="H2120" s="196" t="s">
        <v>11235</v>
      </c>
    </row>
    <row r="2121" spans="1:8" x14ac:dyDescent="0.15">
      <c r="A2121" s="196" t="s">
        <v>11229</v>
      </c>
      <c r="B2121" s="196" t="s">
        <v>11230</v>
      </c>
      <c r="C2121" s="196" t="s">
        <v>16196</v>
      </c>
      <c r="D2121" s="196" t="s">
        <v>16197</v>
      </c>
      <c r="E2121" s="196" t="s">
        <v>16198</v>
      </c>
      <c r="F2121" s="196" t="s">
        <v>13054</v>
      </c>
      <c r="G2121" s="196" t="s">
        <v>12378</v>
      </c>
      <c r="H2121" s="196" t="s">
        <v>11235</v>
      </c>
    </row>
    <row r="2122" spans="1:8" x14ac:dyDescent="0.15">
      <c r="A2122" s="196" t="s">
        <v>11229</v>
      </c>
      <c r="B2122" s="196" t="s">
        <v>11230</v>
      </c>
      <c r="C2122" s="196" t="s">
        <v>16199</v>
      </c>
      <c r="D2122" s="196" t="s">
        <v>16200</v>
      </c>
      <c r="E2122" s="196" t="s">
        <v>16201</v>
      </c>
      <c r="F2122" s="196" t="s">
        <v>16202</v>
      </c>
      <c r="G2122" s="196" t="s">
        <v>11449</v>
      </c>
      <c r="H2122" s="196" t="s">
        <v>11235</v>
      </c>
    </row>
    <row r="2123" spans="1:8" x14ac:dyDescent="0.15">
      <c r="A2123" s="196" t="s">
        <v>11229</v>
      </c>
      <c r="B2123" s="196" t="s">
        <v>11230</v>
      </c>
      <c r="C2123" s="196" t="s">
        <v>16203</v>
      </c>
      <c r="D2123" s="196" t="s">
        <v>16204</v>
      </c>
      <c r="E2123" s="196" t="s">
        <v>16205</v>
      </c>
      <c r="F2123" s="196" t="s">
        <v>13062</v>
      </c>
      <c r="G2123" s="196" t="s">
        <v>12378</v>
      </c>
      <c r="H2123" s="196" t="s">
        <v>11235</v>
      </c>
    </row>
    <row r="2124" spans="1:8" x14ac:dyDescent="0.15">
      <c r="A2124" s="196" t="s">
        <v>11229</v>
      </c>
      <c r="B2124" s="196" t="s">
        <v>11230</v>
      </c>
      <c r="C2124" s="196" t="s">
        <v>16206</v>
      </c>
      <c r="D2124" s="196" t="s">
        <v>16207</v>
      </c>
      <c r="E2124" s="196" t="s">
        <v>16208</v>
      </c>
      <c r="F2124" s="196" t="s">
        <v>13058</v>
      </c>
      <c r="G2124" s="196" t="s">
        <v>12378</v>
      </c>
      <c r="H2124" s="196" t="s">
        <v>11235</v>
      </c>
    </row>
    <row r="2125" spans="1:8" x14ac:dyDescent="0.15">
      <c r="A2125" s="196" t="s">
        <v>11229</v>
      </c>
      <c r="B2125" s="196" t="s">
        <v>11230</v>
      </c>
      <c r="C2125" s="196" t="s">
        <v>16209</v>
      </c>
      <c r="D2125" s="196" t="s">
        <v>16210</v>
      </c>
      <c r="E2125" s="196" t="s">
        <v>16211</v>
      </c>
      <c r="F2125" s="196" t="s">
        <v>13250</v>
      </c>
      <c r="G2125" s="196" t="s">
        <v>12378</v>
      </c>
      <c r="H2125" s="196" t="s">
        <v>11235</v>
      </c>
    </row>
    <row r="2126" spans="1:8" x14ac:dyDescent="0.15">
      <c r="A2126" s="196" t="s">
        <v>11229</v>
      </c>
      <c r="B2126" s="196" t="s">
        <v>11230</v>
      </c>
      <c r="C2126" s="196" t="s">
        <v>16212</v>
      </c>
      <c r="D2126" s="196" t="s">
        <v>16213</v>
      </c>
      <c r="E2126" s="196" t="s">
        <v>16214</v>
      </c>
      <c r="F2126" s="196" t="s">
        <v>13250</v>
      </c>
      <c r="G2126" s="196" t="s">
        <v>12378</v>
      </c>
      <c r="H2126" s="196" t="s">
        <v>11235</v>
      </c>
    </row>
    <row r="2127" spans="1:8" x14ac:dyDescent="0.15">
      <c r="A2127" s="196" t="s">
        <v>11229</v>
      </c>
      <c r="B2127" s="196" t="s">
        <v>11230</v>
      </c>
      <c r="C2127" s="196" t="s">
        <v>16215</v>
      </c>
      <c r="D2127" s="196" t="s">
        <v>16216</v>
      </c>
      <c r="E2127" s="196" t="s">
        <v>16217</v>
      </c>
      <c r="F2127" s="196" t="s">
        <v>13054</v>
      </c>
      <c r="G2127" s="196" t="s">
        <v>12378</v>
      </c>
      <c r="H2127" s="196" t="s">
        <v>11235</v>
      </c>
    </row>
    <row r="2128" spans="1:8" x14ac:dyDescent="0.15">
      <c r="A2128" s="196" t="s">
        <v>11229</v>
      </c>
      <c r="B2128" s="196" t="s">
        <v>11230</v>
      </c>
      <c r="C2128" s="196" t="s">
        <v>16218</v>
      </c>
      <c r="D2128" s="196" t="s">
        <v>16219</v>
      </c>
      <c r="E2128" s="196" t="s">
        <v>16220</v>
      </c>
      <c r="F2128" s="196" t="s">
        <v>16221</v>
      </c>
      <c r="G2128" s="196" t="s">
        <v>11449</v>
      </c>
      <c r="H2128" s="196" t="s">
        <v>11235</v>
      </c>
    </row>
    <row r="2129" spans="1:8" x14ac:dyDescent="0.15">
      <c r="A2129" s="196" t="s">
        <v>11229</v>
      </c>
      <c r="B2129" s="196" t="s">
        <v>11230</v>
      </c>
      <c r="C2129" s="196" t="s">
        <v>16222</v>
      </c>
      <c r="D2129" s="196" t="s">
        <v>16223</v>
      </c>
      <c r="E2129" s="196" t="s">
        <v>16224</v>
      </c>
      <c r="F2129" s="196" t="s">
        <v>16225</v>
      </c>
      <c r="G2129" s="196" t="s">
        <v>11234</v>
      </c>
      <c r="H2129" s="196" t="s">
        <v>11235</v>
      </c>
    </row>
    <row r="2130" spans="1:8" x14ac:dyDescent="0.15">
      <c r="A2130" s="196" t="s">
        <v>11229</v>
      </c>
      <c r="B2130" s="196" t="s">
        <v>11230</v>
      </c>
      <c r="C2130" s="196" t="s">
        <v>16226</v>
      </c>
      <c r="D2130" s="196" t="s">
        <v>16227</v>
      </c>
      <c r="E2130" s="196" t="s">
        <v>16227</v>
      </c>
      <c r="F2130" s="196" t="s">
        <v>11233</v>
      </c>
      <c r="G2130" s="196" t="s">
        <v>12378</v>
      </c>
      <c r="H2130" s="196" t="s">
        <v>11235</v>
      </c>
    </row>
    <row r="2131" spans="1:8" x14ac:dyDescent="0.15">
      <c r="A2131" s="196" t="s">
        <v>11229</v>
      </c>
      <c r="B2131" s="196" t="s">
        <v>11230</v>
      </c>
      <c r="C2131" s="196" t="s">
        <v>16228</v>
      </c>
      <c r="D2131" s="196" t="s">
        <v>16229</v>
      </c>
      <c r="E2131" s="196" t="s">
        <v>16229</v>
      </c>
      <c r="F2131" s="196" t="s">
        <v>11233</v>
      </c>
      <c r="G2131" s="196" t="s">
        <v>12378</v>
      </c>
      <c r="H2131" s="196" t="s">
        <v>11235</v>
      </c>
    </row>
    <row r="2132" spans="1:8" x14ac:dyDescent="0.15">
      <c r="A2132" s="196" t="s">
        <v>11229</v>
      </c>
      <c r="B2132" s="196" t="s">
        <v>11230</v>
      </c>
      <c r="C2132" s="196" t="s">
        <v>16230</v>
      </c>
      <c r="D2132" s="196" t="s">
        <v>16231</v>
      </c>
      <c r="E2132" s="196" t="s">
        <v>16232</v>
      </c>
      <c r="F2132" s="196" t="s">
        <v>16233</v>
      </c>
      <c r="G2132" s="196" t="s">
        <v>11449</v>
      </c>
      <c r="H2132" s="196" t="s">
        <v>11235</v>
      </c>
    </row>
    <row r="2133" spans="1:8" x14ac:dyDescent="0.15">
      <c r="A2133" s="196" t="s">
        <v>11229</v>
      </c>
      <c r="B2133" s="196" t="s">
        <v>11230</v>
      </c>
      <c r="C2133" s="196" t="s">
        <v>16234</v>
      </c>
      <c r="D2133" s="196" t="s">
        <v>16235</v>
      </c>
      <c r="E2133" s="196" t="s">
        <v>16235</v>
      </c>
      <c r="F2133" s="196" t="s">
        <v>11233</v>
      </c>
      <c r="G2133" s="196" t="s">
        <v>12378</v>
      </c>
      <c r="H2133" s="196" t="s">
        <v>11235</v>
      </c>
    </row>
    <row r="2134" spans="1:8" x14ac:dyDescent="0.15">
      <c r="A2134" s="196" t="s">
        <v>11229</v>
      </c>
      <c r="B2134" s="196" t="s">
        <v>11230</v>
      </c>
      <c r="C2134" s="196" t="s">
        <v>16236</v>
      </c>
      <c r="D2134" s="196" t="s">
        <v>16237</v>
      </c>
      <c r="E2134" s="196" t="s">
        <v>16237</v>
      </c>
      <c r="F2134" s="196" t="s">
        <v>11233</v>
      </c>
      <c r="G2134" s="196" t="s">
        <v>12378</v>
      </c>
      <c r="H2134" s="196" t="s">
        <v>11235</v>
      </c>
    </row>
    <row r="2135" spans="1:8" x14ac:dyDescent="0.15">
      <c r="A2135" s="196" t="s">
        <v>11229</v>
      </c>
      <c r="B2135" s="196" t="s">
        <v>11230</v>
      </c>
      <c r="C2135" s="196" t="s">
        <v>16238</v>
      </c>
      <c r="D2135" s="196" t="s">
        <v>16239</v>
      </c>
      <c r="E2135" s="196" t="s">
        <v>16239</v>
      </c>
      <c r="F2135" s="196" t="s">
        <v>11233</v>
      </c>
      <c r="G2135" s="196" t="s">
        <v>12378</v>
      </c>
      <c r="H2135" s="196" t="s">
        <v>11235</v>
      </c>
    </row>
    <row r="2136" spans="1:8" x14ac:dyDescent="0.15">
      <c r="A2136" s="196" t="s">
        <v>11229</v>
      </c>
      <c r="B2136" s="196" t="s">
        <v>11230</v>
      </c>
      <c r="C2136" s="196" t="s">
        <v>16240</v>
      </c>
      <c r="D2136" s="196" t="s">
        <v>16241</v>
      </c>
      <c r="E2136" s="196" t="s">
        <v>16242</v>
      </c>
      <c r="F2136" s="196" t="s">
        <v>16243</v>
      </c>
      <c r="G2136" s="196" t="s">
        <v>11449</v>
      </c>
      <c r="H2136" s="196" t="s">
        <v>11235</v>
      </c>
    </row>
    <row r="2137" spans="1:8" x14ac:dyDescent="0.15">
      <c r="A2137" s="196" t="s">
        <v>11229</v>
      </c>
      <c r="B2137" s="196" t="s">
        <v>11230</v>
      </c>
      <c r="C2137" s="196" t="s">
        <v>16244</v>
      </c>
      <c r="D2137" s="196" t="s">
        <v>16245</v>
      </c>
      <c r="E2137" s="196" t="s">
        <v>16245</v>
      </c>
      <c r="F2137" s="196" t="s">
        <v>11233</v>
      </c>
      <c r="G2137" s="196" t="s">
        <v>12378</v>
      </c>
      <c r="H2137" s="196" t="s">
        <v>11235</v>
      </c>
    </row>
    <row r="2138" spans="1:8" x14ac:dyDescent="0.15">
      <c r="A2138" s="196" t="s">
        <v>11229</v>
      </c>
      <c r="B2138" s="196" t="s">
        <v>11230</v>
      </c>
      <c r="C2138" s="196" t="s">
        <v>16246</v>
      </c>
      <c r="D2138" s="196" t="s">
        <v>16247</v>
      </c>
      <c r="E2138" s="196" t="s">
        <v>16247</v>
      </c>
      <c r="F2138" s="196" t="s">
        <v>11233</v>
      </c>
      <c r="G2138" s="196" t="s">
        <v>12378</v>
      </c>
      <c r="H2138" s="196" t="s">
        <v>11235</v>
      </c>
    </row>
    <row r="2139" spans="1:8" x14ac:dyDescent="0.15">
      <c r="A2139" s="196" t="s">
        <v>11229</v>
      </c>
      <c r="B2139" s="196" t="s">
        <v>11230</v>
      </c>
      <c r="C2139" s="196" t="s">
        <v>16248</v>
      </c>
      <c r="D2139" s="196" t="s">
        <v>16249</v>
      </c>
      <c r="E2139" s="196" t="s">
        <v>16250</v>
      </c>
      <c r="F2139" s="196" t="s">
        <v>11268</v>
      </c>
      <c r="G2139" s="196" t="s">
        <v>12378</v>
      </c>
      <c r="H2139" s="196" t="s">
        <v>11235</v>
      </c>
    </row>
    <row r="2140" spans="1:8" x14ac:dyDescent="0.15">
      <c r="A2140" s="196" t="s">
        <v>11229</v>
      </c>
      <c r="B2140" s="196" t="s">
        <v>11230</v>
      </c>
      <c r="C2140" s="196" t="s">
        <v>16251</v>
      </c>
      <c r="D2140" s="196" t="s">
        <v>16252</v>
      </c>
      <c r="E2140" s="196" t="s">
        <v>16252</v>
      </c>
      <c r="F2140" s="196" t="s">
        <v>11233</v>
      </c>
      <c r="G2140" s="196" t="s">
        <v>12378</v>
      </c>
      <c r="H2140" s="196" t="s">
        <v>11235</v>
      </c>
    </row>
    <row r="2141" spans="1:8" x14ac:dyDescent="0.15">
      <c r="A2141" s="196" t="s">
        <v>11229</v>
      </c>
      <c r="B2141" s="196" t="s">
        <v>11230</v>
      </c>
      <c r="C2141" s="196" t="s">
        <v>16253</v>
      </c>
      <c r="D2141" s="196" t="s">
        <v>16254</v>
      </c>
      <c r="E2141" s="196" t="s">
        <v>16254</v>
      </c>
      <c r="F2141" s="196" t="s">
        <v>11233</v>
      </c>
      <c r="G2141" s="196" t="s">
        <v>12378</v>
      </c>
      <c r="H2141" s="196" t="s">
        <v>11235</v>
      </c>
    </row>
    <row r="2142" spans="1:8" x14ac:dyDescent="0.15">
      <c r="A2142" s="196" t="s">
        <v>11229</v>
      </c>
      <c r="B2142" s="196" t="s">
        <v>11230</v>
      </c>
      <c r="C2142" s="196" t="s">
        <v>16255</v>
      </c>
      <c r="D2142" s="196" t="s">
        <v>16256</v>
      </c>
      <c r="E2142" s="196" t="s">
        <v>16257</v>
      </c>
      <c r="F2142" s="196" t="s">
        <v>16258</v>
      </c>
      <c r="G2142" s="196" t="s">
        <v>11449</v>
      </c>
      <c r="H2142" s="196" t="s">
        <v>11235</v>
      </c>
    </row>
    <row r="2143" spans="1:8" x14ac:dyDescent="0.15">
      <c r="A2143" s="196" t="s">
        <v>11229</v>
      </c>
      <c r="B2143" s="196" t="s">
        <v>11230</v>
      </c>
      <c r="C2143" s="196" t="s">
        <v>16259</v>
      </c>
      <c r="D2143" s="196" t="s">
        <v>16256</v>
      </c>
      <c r="E2143" s="196" t="s">
        <v>16256</v>
      </c>
      <c r="F2143" s="196" t="s">
        <v>11233</v>
      </c>
      <c r="G2143" s="196" t="s">
        <v>12378</v>
      </c>
      <c r="H2143" s="196" t="s">
        <v>11235</v>
      </c>
    </row>
    <row r="2144" spans="1:8" x14ac:dyDescent="0.15">
      <c r="A2144" s="196" t="s">
        <v>11229</v>
      </c>
      <c r="B2144" s="196" t="s">
        <v>11230</v>
      </c>
      <c r="C2144" s="196" t="s">
        <v>16260</v>
      </c>
      <c r="D2144" s="196" t="s">
        <v>16261</v>
      </c>
      <c r="E2144" s="196" t="s">
        <v>16261</v>
      </c>
      <c r="F2144" s="196" t="s">
        <v>11233</v>
      </c>
      <c r="G2144" s="196" t="s">
        <v>12378</v>
      </c>
      <c r="H2144" s="196" t="s">
        <v>11235</v>
      </c>
    </row>
    <row r="2145" spans="1:8" x14ac:dyDescent="0.15">
      <c r="A2145" s="196" t="s">
        <v>11229</v>
      </c>
      <c r="B2145" s="196" t="s">
        <v>11230</v>
      </c>
      <c r="C2145" s="196" t="s">
        <v>16262</v>
      </c>
      <c r="D2145" s="196" t="s">
        <v>16263</v>
      </c>
      <c r="E2145" s="196" t="s">
        <v>16263</v>
      </c>
      <c r="F2145" s="196" t="s">
        <v>11233</v>
      </c>
      <c r="G2145" s="196" t="s">
        <v>12378</v>
      </c>
      <c r="H2145" s="196" t="s">
        <v>11235</v>
      </c>
    </row>
    <row r="2146" spans="1:8" x14ac:dyDescent="0.15">
      <c r="A2146" s="196" t="s">
        <v>11229</v>
      </c>
      <c r="B2146" s="196" t="s">
        <v>11230</v>
      </c>
      <c r="C2146" s="196" t="s">
        <v>16264</v>
      </c>
      <c r="D2146" s="196" t="s">
        <v>16265</v>
      </c>
      <c r="E2146" s="196" t="s">
        <v>16265</v>
      </c>
      <c r="F2146" s="196" t="s">
        <v>11233</v>
      </c>
      <c r="G2146" s="196" t="s">
        <v>12378</v>
      </c>
      <c r="H2146" s="196" t="s">
        <v>11235</v>
      </c>
    </row>
    <row r="2147" spans="1:8" x14ac:dyDescent="0.15">
      <c r="A2147" s="196" t="s">
        <v>11229</v>
      </c>
      <c r="B2147" s="196" t="s">
        <v>11230</v>
      </c>
      <c r="C2147" s="196" t="s">
        <v>16266</v>
      </c>
      <c r="D2147" s="196" t="s">
        <v>16267</v>
      </c>
      <c r="E2147" s="196" t="s">
        <v>16267</v>
      </c>
      <c r="F2147" s="196" t="s">
        <v>11233</v>
      </c>
      <c r="G2147" s="196" t="s">
        <v>12378</v>
      </c>
      <c r="H2147" s="196" t="s">
        <v>11235</v>
      </c>
    </row>
    <row r="2148" spans="1:8" x14ac:dyDescent="0.15">
      <c r="A2148" s="196" t="s">
        <v>11229</v>
      </c>
      <c r="B2148" s="196" t="s">
        <v>11230</v>
      </c>
      <c r="C2148" s="196" t="s">
        <v>16268</v>
      </c>
      <c r="D2148" s="196" t="s">
        <v>16269</v>
      </c>
      <c r="E2148" s="196" t="s">
        <v>16270</v>
      </c>
      <c r="F2148" s="196" t="s">
        <v>16271</v>
      </c>
      <c r="G2148" s="196" t="s">
        <v>11449</v>
      </c>
      <c r="H2148" s="196" t="s">
        <v>11235</v>
      </c>
    </row>
    <row r="2149" spans="1:8" x14ac:dyDescent="0.15">
      <c r="A2149" s="196" t="s">
        <v>11229</v>
      </c>
      <c r="B2149" s="196" t="s">
        <v>11230</v>
      </c>
      <c r="C2149" s="196" t="s">
        <v>16272</v>
      </c>
      <c r="D2149" s="196" t="s">
        <v>16273</v>
      </c>
      <c r="E2149" s="196" t="s">
        <v>16273</v>
      </c>
      <c r="F2149" s="196" t="s">
        <v>11233</v>
      </c>
      <c r="G2149" s="196" t="s">
        <v>12378</v>
      </c>
      <c r="H2149" s="196" t="s">
        <v>11235</v>
      </c>
    </row>
    <row r="2150" spans="1:8" x14ac:dyDescent="0.15">
      <c r="A2150" s="196" t="s">
        <v>11229</v>
      </c>
      <c r="B2150" s="196" t="s">
        <v>11230</v>
      </c>
      <c r="C2150" s="196" t="s">
        <v>16274</v>
      </c>
      <c r="D2150" s="196" t="s">
        <v>16275</v>
      </c>
      <c r="E2150" s="196" t="s">
        <v>16275</v>
      </c>
      <c r="F2150" s="196" t="s">
        <v>11233</v>
      </c>
      <c r="G2150" s="196" t="s">
        <v>12378</v>
      </c>
      <c r="H2150" s="196" t="s">
        <v>11235</v>
      </c>
    </row>
    <row r="2151" spans="1:8" x14ac:dyDescent="0.15">
      <c r="A2151" s="196" t="s">
        <v>11229</v>
      </c>
      <c r="B2151" s="196" t="s">
        <v>11230</v>
      </c>
      <c r="C2151" s="196" t="s">
        <v>16276</v>
      </c>
      <c r="D2151" s="196" t="s">
        <v>16277</v>
      </c>
      <c r="E2151" s="196" t="s">
        <v>16278</v>
      </c>
      <c r="F2151" s="196" t="s">
        <v>13758</v>
      </c>
      <c r="G2151" s="196" t="s">
        <v>12378</v>
      </c>
      <c r="H2151" s="196" t="s">
        <v>11235</v>
      </c>
    </row>
    <row r="2152" spans="1:8" x14ac:dyDescent="0.15">
      <c r="A2152" s="196" t="s">
        <v>11229</v>
      </c>
      <c r="B2152" s="196" t="s">
        <v>11230</v>
      </c>
      <c r="C2152" s="196" t="s">
        <v>16279</v>
      </c>
      <c r="D2152" s="196" t="s">
        <v>16278</v>
      </c>
      <c r="E2152" s="196" t="s">
        <v>16280</v>
      </c>
      <c r="F2152" s="196" t="s">
        <v>11268</v>
      </c>
      <c r="G2152" s="196" t="s">
        <v>12378</v>
      </c>
      <c r="H2152" s="196" t="s">
        <v>11235</v>
      </c>
    </row>
    <row r="2153" spans="1:8" x14ac:dyDescent="0.15">
      <c r="A2153" s="196" t="s">
        <v>11229</v>
      </c>
      <c r="B2153" s="196" t="s">
        <v>11230</v>
      </c>
      <c r="C2153" s="196" t="s">
        <v>16281</v>
      </c>
      <c r="D2153" s="196" t="s">
        <v>16280</v>
      </c>
      <c r="E2153" s="196" t="s">
        <v>16282</v>
      </c>
      <c r="F2153" s="196" t="s">
        <v>11241</v>
      </c>
      <c r="G2153" s="196" t="s">
        <v>12378</v>
      </c>
      <c r="H2153" s="196" t="s">
        <v>11235</v>
      </c>
    </row>
    <row r="2154" spans="1:8" x14ac:dyDescent="0.15">
      <c r="A2154" s="196" t="s">
        <v>11229</v>
      </c>
      <c r="B2154" s="196" t="s">
        <v>11230</v>
      </c>
      <c r="C2154" s="196" t="s">
        <v>16283</v>
      </c>
      <c r="D2154" s="196" t="s">
        <v>16284</v>
      </c>
      <c r="E2154" s="196" t="s">
        <v>16284</v>
      </c>
      <c r="F2154" s="196" t="s">
        <v>11233</v>
      </c>
      <c r="G2154" s="196" t="s">
        <v>12378</v>
      </c>
      <c r="H2154" s="196" t="s">
        <v>11235</v>
      </c>
    </row>
    <row r="2155" spans="1:8" x14ac:dyDescent="0.15">
      <c r="A2155" s="196" t="s">
        <v>11229</v>
      </c>
      <c r="B2155" s="196" t="s">
        <v>11230</v>
      </c>
      <c r="C2155" s="196" t="s">
        <v>16285</v>
      </c>
      <c r="D2155" s="196" t="s">
        <v>16286</v>
      </c>
      <c r="E2155" s="196" t="s">
        <v>16287</v>
      </c>
      <c r="F2155" s="196" t="s">
        <v>15935</v>
      </c>
      <c r="G2155" s="196" t="s">
        <v>11449</v>
      </c>
      <c r="H2155" s="196" t="s">
        <v>11235</v>
      </c>
    </row>
    <row r="2156" spans="1:8" x14ac:dyDescent="0.15">
      <c r="A2156" s="196" t="s">
        <v>11229</v>
      </c>
      <c r="B2156" s="196" t="s">
        <v>11230</v>
      </c>
      <c r="C2156" s="196" t="s">
        <v>16288</v>
      </c>
      <c r="D2156" s="196" t="s">
        <v>16289</v>
      </c>
      <c r="E2156" s="196" t="s">
        <v>16289</v>
      </c>
      <c r="F2156" s="196" t="s">
        <v>11233</v>
      </c>
      <c r="G2156" s="196" t="s">
        <v>12378</v>
      </c>
      <c r="H2156" s="196" t="s">
        <v>11235</v>
      </c>
    </row>
    <row r="2157" spans="1:8" x14ac:dyDescent="0.15">
      <c r="A2157" s="196" t="s">
        <v>11229</v>
      </c>
      <c r="B2157" s="196" t="s">
        <v>11230</v>
      </c>
      <c r="C2157" s="196" t="s">
        <v>16290</v>
      </c>
      <c r="D2157" s="196" t="s">
        <v>16291</v>
      </c>
      <c r="E2157" s="196" t="s">
        <v>16291</v>
      </c>
      <c r="F2157" s="196" t="s">
        <v>11233</v>
      </c>
      <c r="G2157" s="196" t="s">
        <v>12378</v>
      </c>
      <c r="H2157" s="196" t="s">
        <v>11235</v>
      </c>
    </row>
    <row r="2158" spans="1:8" x14ac:dyDescent="0.15">
      <c r="A2158" s="196" t="s">
        <v>11229</v>
      </c>
      <c r="B2158" s="196" t="s">
        <v>11230</v>
      </c>
      <c r="C2158" s="196" t="s">
        <v>16292</v>
      </c>
      <c r="D2158" s="196" t="s">
        <v>16293</v>
      </c>
      <c r="E2158" s="196" t="s">
        <v>16293</v>
      </c>
      <c r="F2158" s="196" t="s">
        <v>11233</v>
      </c>
      <c r="G2158" s="196" t="s">
        <v>12378</v>
      </c>
      <c r="H2158" s="196" t="s">
        <v>11235</v>
      </c>
    </row>
    <row r="2159" spans="1:8" x14ac:dyDescent="0.15">
      <c r="A2159" s="196" t="s">
        <v>11229</v>
      </c>
      <c r="B2159" s="196" t="s">
        <v>11230</v>
      </c>
      <c r="C2159" s="196" t="s">
        <v>16294</v>
      </c>
      <c r="D2159" s="196" t="s">
        <v>16295</v>
      </c>
      <c r="E2159" s="196" t="s">
        <v>16295</v>
      </c>
      <c r="F2159" s="196" t="s">
        <v>11233</v>
      </c>
      <c r="G2159" s="196" t="s">
        <v>12378</v>
      </c>
      <c r="H2159" s="196" t="s">
        <v>11235</v>
      </c>
    </row>
    <row r="2160" spans="1:8" x14ac:dyDescent="0.15">
      <c r="A2160" s="196" t="s">
        <v>11229</v>
      </c>
      <c r="B2160" s="196" t="s">
        <v>11230</v>
      </c>
      <c r="C2160" s="196" t="s">
        <v>16296</v>
      </c>
      <c r="D2160" s="196" t="s">
        <v>16297</v>
      </c>
      <c r="E2160" s="196" t="s">
        <v>16297</v>
      </c>
      <c r="F2160" s="196" t="s">
        <v>11233</v>
      </c>
      <c r="G2160" s="196" t="s">
        <v>12378</v>
      </c>
      <c r="H2160" s="196" t="s">
        <v>11235</v>
      </c>
    </row>
    <row r="2161" spans="1:8" x14ac:dyDescent="0.15">
      <c r="A2161" s="196" t="s">
        <v>11229</v>
      </c>
      <c r="B2161" s="196" t="s">
        <v>11230</v>
      </c>
      <c r="C2161" s="196" t="s">
        <v>16298</v>
      </c>
      <c r="D2161" s="196" t="s">
        <v>16299</v>
      </c>
      <c r="E2161" s="196" t="s">
        <v>16299</v>
      </c>
      <c r="F2161" s="196" t="s">
        <v>11233</v>
      </c>
      <c r="G2161" s="196" t="s">
        <v>12378</v>
      </c>
      <c r="H2161" s="196" t="s">
        <v>11235</v>
      </c>
    </row>
    <row r="2162" spans="1:8" x14ac:dyDescent="0.15">
      <c r="A2162" s="196" t="s">
        <v>11229</v>
      </c>
      <c r="B2162" s="196" t="s">
        <v>11230</v>
      </c>
      <c r="C2162" s="196" t="s">
        <v>16300</v>
      </c>
      <c r="D2162" s="196" t="s">
        <v>16301</v>
      </c>
      <c r="E2162" s="196" t="s">
        <v>16302</v>
      </c>
      <c r="F2162" s="196" t="s">
        <v>16303</v>
      </c>
      <c r="G2162" s="196" t="s">
        <v>11449</v>
      </c>
      <c r="H2162" s="196" t="s">
        <v>11235</v>
      </c>
    </row>
    <row r="2163" spans="1:8" x14ac:dyDescent="0.15">
      <c r="A2163" s="196" t="s">
        <v>11229</v>
      </c>
      <c r="B2163" s="196" t="s">
        <v>11230</v>
      </c>
      <c r="C2163" s="196" t="s">
        <v>16304</v>
      </c>
      <c r="D2163" s="196" t="s">
        <v>16305</v>
      </c>
      <c r="E2163" s="196" t="s">
        <v>16306</v>
      </c>
      <c r="F2163" s="196" t="s">
        <v>13023</v>
      </c>
      <c r="G2163" s="196" t="s">
        <v>12378</v>
      </c>
      <c r="H2163" s="196" t="s">
        <v>11235</v>
      </c>
    </row>
    <row r="2164" spans="1:8" x14ac:dyDescent="0.15">
      <c r="A2164" s="196" t="s">
        <v>11229</v>
      </c>
      <c r="B2164" s="196" t="s">
        <v>11230</v>
      </c>
      <c r="C2164" s="196" t="s">
        <v>16307</v>
      </c>
      <c r="D2164" s="196" t="s">
        <v>16308</v>
      </c>
      <c r="E2164" s="196" t="s">
        <v>16308</v>
      </c>
      <c r="F2164" s="196" t="s">
        <v>11233</v>
      </c>
      <c r="G2164" s="196" t="s">
        <v>12378</v>
      </c>
      <c r="H2164" s="196" t="s">
        <v>11235</v>
      </c>
    </row>
    <row r="2165" spans="1:8" x14ac:dyDescent="0.15">
      <c r="A2165" s="196" t="s">
        <v>11229</v>
      </c>
      <c r="B2165" s="196" t="s">
        <v>11230</v>
      </c>
      <c r="C2165" s="196" t="s">
        <v>16309</v>
      </c>
      <c r="D2165" s="196" t="s">
        <v>16310</v>
      </c>
      <c r="E2165" s="196" t="s">
        <v>16311</v>
      </c>
      <c r="F2165" s="196" t="s">
        <v>13436</v>
      </c>
      <c r="G2165" s="196" t="s">
        <v>11449</v>
      </c>
      <c r="H2165" s="196" t="s">
        <v>11235</v>
      </c>
    </row>
    <row r="2166" spans="1:8" x14ac:dyDescent="0.15">
      <c r="A2166" s="196" t="s">
        <v>11229</v>
      </c>
      <c r="B2166" s="196" t="s">
        <v>11230</v>
      </c>
      <c r="C2166" s="196" t="s">
        <v>16312</v>
      </c>
      <c r="D2166" s="196" t="s">
        <v>16313</v>
      </c>
      <c r="E2166" s="196" t="s">
        <v>16313</v>
      </c>
      <c r="F2166" s="196" t="s">
        <v>11233</v>
      </c>
      <c r="G2166" s="196" t="s">
        <v>12378</v>
      </c>
      <c r="H2166" s="196" t="s">
        <v>11235</v>
      </c>
    </row>
    <row r="2167" spans="1:8" x14ac:dyDescent="0.15">
      <c r="A2167" s="196" t="s">
        <v>11229</v>
      </c>
      <c r="B2167" s="196" t="s">
        <v>11230</v>
      </c>
      <c r="C2167" s="196" t="s">
        <v>16314</v>
      </c>
      <c r="D2167" s="196" t="s">
        <v>16315</v>
      </c>
      <c r="E2167" s="196" t="s">
        <v>16316</v>
      </c>
      <c r="F2167" s="196" t="s">
        <v>16317</v>
      </c>
      <c r="G2167" s="196" t="s">
        <v>12378</v>
      </c>
      <c r="H2167" s="196" t="s">
        <v>11235</v>
      </c>
    </row>
    <row r="2168" spans="1:8" x14ac:dyDescent="0.15">
      <c r="A2168" s="196" t="s">
        <v>11229</v>
      </c>
      <c r="B2168" s="196" t="s">
        <v>11230</v>
      </c>
      <c r="C2168" s="196" t="s">
        <v>16318</v>
      </c>
      <c r="D2168" s="196" t="s">
        <v>16319</v>
      </c>
      <c r="E2168" s="196" t="s">
        <v>16320</v>
      </c>
      <c r="F2168" s="196" t="s">
        <v>16321</v>
      </c>
      <c r="G2168" s="196" t="s">
        <v>11449</v>
      </c>
      <c r="H2168" s="196" t="s">
        <v>11235</v>
      </c>
    </row>
    <row r="2169" spans="1:8" x14ac:dyDescent="0.15">
      <c r="A2169" s="196" t="s">
        <v>11229</v>
      </c>
      <c r="B2169" s="196" t="s">
        <v>11230</v>
      </c>
      <c r="C2169" s="196" t="s">
        <v>16322</v>
      </c>
      <c r="D2169" s="196" t="s">
        <v>16323</v>
      </c>
      <c r="E2169" s="196" t="s">
        <v>16324</v>
      </c>
      <c r="F2169" s="196" t="s">
        <v>16325</v>
      </c>
      <c r="G2169" s="196" t="s">
        <v>11449</v>
      </c>
      <c r="H2169" s="196" t="s">
        <v>11235</v>
      </c>
    </row>
    <row r="2170" spans="1:8" x14ac:dyDescent="0.15">
      <c r="A2170" s="196" t="s">
        <v>11229</v>
      </c>
      <c r="B2170" s="196" t="s">
        <v>11230</v>
      </c>
      <c r="C2170" s="196" t="s">
        <v>16326</v>
      </c>
      <c r="D2170" s="196" t="s">
        <v>16327</v>
      </c>
      <c r="E2170" s="196" t="s">
        <v>16328</v>
      </c>
      <c r="F2170" s="196" t="s">
        <v>16329</v>
      </c>
      <c r="G2170" s="196" t="s">
        <v>11449</v>
      </c>
      <c r="H2170" s="196" t="s">
        <v>11235</v>
      </c>
    </row>
    <row r="2171" spans="1:8" x14ac:dyDescent="0.15">
      <c r="A2171" s="196" t="s">
        <v>11229</v>
      </c>
      <c r="B2171" s="196" t="s">
        <v>11230</v>
      </c>
      <c r="C2171" s="196" t="s">
        <v>16330</v>
      </c>
      <c r="D2171" s="196" t="s">
        <v>16331</v>
      </c>
      <c r="E2171" s="196" t="s">
        <v>16332</v>
      </c>
      <c r="F2171" s="196" t="s">
        <v>16243</v>
      </c>
      <c r="G2171" s="196" t="s">
        <v>11449</v>
      </c>
      <c r="H2171" s="196" t="s">
        <v>11235</v>
      </c>
    </row>
    <row r="2172" spans="1:8" x14ac:dyDescent="0.15">
      <c r="A2172" s="196" t="s">
        <v>11229</v>
      </c>
      <c r="B2172" s="196" t="s">
        <v>11230</v>
      </c>
      <c r="C2172" s="196" t="s">
        <v>16333</v>
      </c>
      <c r="D2172" s="196" t="s">
        <v>16334</v>
      </c>
      <c r="E2172" s="196" t="s">
        <v>16335</v>
      </c>
      <c r="F2172" s="196" t="s">
        <v>16336</v>
      </c>
      <c r="G2172" s="196" t="s">
        <v>11720</v>
      </c>
      <c r="H2172" s="196" t="s">
        <v>12712</v>
      </c>
    </row>
    <row r="2173" spans="1:8" x14ac:dyDescent="0.15">
      <c r="A2173" s="196" t="s">
        <v>11229</v>
      </c>
      <c r="B2173" s="196" t="s">
        <v>11230</v>
      </c>
      <c r="C2173" s="196" t="s">
        <v>16337</v>
      </c>
      <c r="D2173" s="196" t="s">
        <v>16334</v>
      </c>
      <c r="E2173" s="196" t="s">
        <v>16338</v>
      </c>
      <c r="F2173" s="196" t="s">
        <v>16339</v>
      </c>
      <c r="G2173" s="196" t="s">
        <v>11720</v>
      </c>
      <c r="H2173" s="196" t="s">
        <v>12712</v>
      </c>
    </row>
    <row r="2174" spans="1:8" x14ac:dyDescent="0.15">
      <c r="A2174" s="196" t="s">
        <v>11229</v>
      </c>
      <c r="B2174" s="196" t="s">
        <v>11230</v>
      </c>
      <c r="C2174" s="196" t="s">
        <v>16340</v>
      </c>
      <c r="D2174" s="196" t="s">
        <v>16334</v>
      </c>
      <c r="E2174" s="196" t="s">
        <v>16338</v>
      </c>
      <c r="F2174" s="196" t="s">
        <v>16339</v>
      </c>
      <c r="G2174" s="196" t="s">
        <v>11720</v>
      </c>
      <c r="H2174" s="196" t="s">
        <v>12712</v>
      </c>
    </row>
    <row r="2175" spans="1:8" x14ac:dyDescent="0.15">
      <c r="A2175" s="196" t="s">
        <v>11229</v>
      </c>
      <c r="B2175" s="196" t="s">
        <v>11230</v>
      </c>
      <c r="C2175" s="196" t="s">
        <v>16341</v>
      </c>
      <c r="D2175" s="196" t="s">
        <v>16334</v>
      </c>
      <c r="E2175" s="196" t="s">
        <v>16338</v>
      </c>
      <c r="F2175" s="196" t="s">
        <v>16339</v>
      </c>
      <c r="G2175" s="196" t="s">
        <v>11720</v>
      </c>
      <c r="H2175" s="196" t="s">
        <v>12712</v>
      </c>
    </row>
    <row r="2176" spans="1:8" x14ac:dyDescent="0.15">
      <c r="A2176" s="196" t="s">
        <v>11229</v>
      </c>
      <c r="B2176" s="196" t="s">
        <v>11230</v>
      </c>
      <c r="C2176" s="196" t="s">
        <v>16342</v>
      </c>
      <c r="D2176" s="196" t="s">
        <v>16343</v>
      </c>
      <c r="E2176" s="196" t="s">
        <v>16344</v>
      </c>
      <c r="F2176" s="196" t="s">
        <v>13412</v>
      </c>
      <c r="G2176" s="196" t="s">
        <v>11449</v>
      </c>
      <c r="H2176" s="196" t="s">
        <v>11235</v>
      </c>
    </row>
    <row r="2177" spans="1:8" x14ac:dyDescent="0.15">
      <c r="A2177" s="196" t="s">
        <v>11229</v>
      </c>
      <c r="B2177" s="196" t="s">
        <v>11230</v>
      </c>
      <c r="C2177" s="196" t="s">
        <v>16345</v>
      </c>
      <c r="D2177" s="196" t="s">
        <v>16346</v>
      </c>
      <c r="E2177" s="196" t="s">
        <v>16347</v>
      </c>
      <c r="F2177" s="196" t="s">
        <v>16303</v>
      </c>
      <c r="G2177" s="196" t="s">
        <v>11449</v>
      </c>
      <c r="H2177" s="196" t="s">
        <v>11235</v>
      </c>
    </row>
    <row r="2178" spans="1:8" x14ac:dyDescent="0.15">
      <c r="A2178" s="196" t="s">
        <v>11229</v>
      </c>
      <c r="B2178" s="196" t="s">
        <v>11230</v>
      </c>
      <c r="C2178" s="196" t="s">
        <v>16348</v>
      </c>
      <c r="D2178" s="196" t="s">
        <v>16349</v>
      </c>
      <c r="E2178" s="196" t="s">
        <v>16350</v>
      </c>
      <c r="F2178" s="196" t="s">
        <v>13412</v>
      </c>
      <c r="G2178" s="196" t="s">
        <v>11449</v>
      </c>
      <c r="H2178" s="196" t="s">
        <v>11235</v>
      </c>
    </row>
    <row r="2179" spans="1:8" x14ac:dyDescent="0.15">
      <c r="A2179" s="196" t="s">
        <v>11229</v>
      </c>
      <c r="B2179" s="196" t="s">
        <v>11230</v>
      </c>
      <c r="C2179" s="196" t="s">
        <v>16351</v>
      </c>
      <c r="D2179" s="196" t="s">
        <v>16352</v>
      </c>
      <c r="E2179" s="196" t="s">
        <v>16353</v>
      </c>
      <c r="F2179" s="196" t="s">
        <v>16354</v>
      </c>
      <c r="G2179" s="196" t="s">
        <v>11449</v>
      </c>
      <c r="H2179" s="196" t="s">
        <v>11235</v>
      </c>
    </row>
    <row r="2180" spans="1:8" x14ac:dyDescent="0.15">
      <c r="A2180" s="196" t="s">
        <v>11229</v>
      </c>
      <c r="B2180" s="196" t="s">
        <v>11230</v>
      </c>
      <c r="C2180" s="196" t="s">
        <v>16355</v>
      </c>
      <c r="D2180" s="196" t="s">
        <v>16356</v>
      </c>
      <c r="E2180" s="196" t="s">
        <v>16357</v>
      </c>
      <c r="F2180" s="196" t="s">
        <v>16358</v>
      </c>
      <c r="G2180" s="196" t="s">
        <v>12378</v>
      </c>
      <c r="H2180" s="196" t="s">
        <v>11235</v>
      </c>
    </row>
    <row r="2181" spans="1:8" x14ac:dyDescent="0.15">
      <c r="A2181" s="196" t="s">
        <v>11229</v>
      </c>
      <c r="B2181" s="196" t="s">
        <v>11230</v>
      </c>
      <c r="C2181" s="196" t="s">
        <v>16359</v>
      </c>
      <c r="D2181" s="196" t="s">
        <v>16360</v>
      </c>
      <c r="E2181" s="196" t="s">
        <v>16361</v>
      </c>
      <c r="F2181" s="196" t="s">
        <v>16362</v>
      </c>
      <c r="G2181" s="196" t="s">
        <v>11449</v>
      </c>
      <c r="H2181" s="196" t="s">
        <v>11235</v>
      </c>
    </row>
    <row r="2182" spans="1:8" x14ac:dyDescent="0.15">
      <c r="A2182" s="196" t="s">
        <v>11229</v>
      </c>
      <c r="B2182" s="196" t="s">
        <v>11230</v>
      </c>
      <c r="C2182" s="196" t="s">
        <v>16363</v>
      </c>
      <c r="D2182" s="196" t="s">
        <v>16364</v>
      </c>
      <c r="E2182" s="196" t="s">
        <v>16365</v>
      </c>
      <c r="F2182" s="196" t="s">
        <v>16366</v>
      </c>
      <c r="G2182" s="196" t="s">
        <v>11449</v>
      </c>
      <c r="H2182" s="196" t="s">
        <v>11235</v>
      </c>
    </row>
    <row r="2183" spans="1:8" x14ac:dyDescent="0.15">
      <c r="A2183" s="196" t="s">
        <v>11229</v>
      </c>
      <c r="B2183" s="196" t="s">
        <v>11230</v>
      </c>
      <c r="C2183" s="196" t="s">
        <v>16367</v>
      </c>
      <c r="D2183" s="196" t="s">
        <v>16368</v>
      </c>
      <c r="E2183" s="196" t="s">
        <v>16369</v>
      </c>
      <c r="F2183" s="196" t="s">
        <v>16370</v>
      </c>
      <c r="G2183" s="196" t="s">
        <v>11449</v>
      </c>
      <c r="H2183" s="196" t="s">
        <v>11235</v>
      </c>
    </row>
    <row r="2184" spans="1:8" x14ac:dyDescent="0.15">
      <c r="A2184" s="196" t="s">
        <v>11229</v>
      </c>
      <c r="B2184" s="196" t="s">
        <v>11230</v>
      </c>
      <c r="C2184" s="196" t="s">
        <v>16371</v>
      </c>
      <c r="D2184" s="196" t="s">
        <v>16372</v>
      </c>
      <c r="E2184" s="196" t="s">
        <v>16373</v>
      </c>
      <c r="F2184" s="196" t="s">
        <v>16374</v>
      </c>
      <c r="G2184" s="196" t="s">
        <v>11449</v>
      </c>
      <c r="H2184" s="196" t="s">
        <v>11235</v>
      </c>
    </row>
    <row r="2185" spans="1:8" x14ac:dyDescent="0.15">
      <c r="A2185" s="196" t="s">
        <v>11229</v>
      </c>
      <c r="B2185" s="196" t="s">
        <v>11230</v>
      </c>
      <c r="C2185" s="196" t="s">
        <v>16375</v>
      </c>
      <c r="D2185" s="196" t="s">
        <v>16376</v>
      </c>
      <c r="E2185" s="196" t="s">
        <v>16376</v>
      </c>
      <c r="F2185" s="196" t="s">
        <v>11233</v>
      </c>
      <c r="G2185" s="196" t="s">
        <v>11449</v>
      </c>
      <c r="H2185" s="196" t="s">
        <v>11235</v>
      </c>
    </row>
    <row r="2186" spans="1:8" x14ac:dyDescent="0.15">
      <c r="A2186" s="196" t="s">
        <v>11229</v>
      </c>
      <c r="B2186" s="196" t="s">
        <v>11230</v>
      </c>
      <c r="C2186" s="196" t="s">
        <v>16377</v>
      </c>
      <c r="D2186" s="196" t="s">
        <v>16378</v>
      </c>
      <c r="E2186" s="196" t="s">
        <v>16378</v>
      </c>
      <c r="F2186" s="196" t="s">
        <v>11233</v>
      </c>
      <c r="G2186" s="196" t="s">
        <v>11449</v>
      </c>
      <c r="H2186" s="196" t="s">
        <v>11235</v>
      </c>
    </row>
    <row r="2187" spans="1:8" x14ac:dyDescent="0.15">
      <c r="A2187" s="196" t="s">
        <v>11229</v>
      </c>
      <c r="B2187" s="196" t="s">
        <v>11230</v>
      </c>
      <c r="C2187" s="196" t="s">
        <v>16379</v>
      </c>
      <c r="D2187" s="196" t="s">
        <v>16380</v>
      </c>
      <c r="E2187" s="196" t="s">
        <v>16380</v>
      </c>
      <c r="F2187" s="196" t="s">
        <v>11233</v>
      </c>
      <c r="G2187" s="196" t="s">
        <v>11449</v>
      </c>
      <c r="H2187" s="196" t="s">
        <v>11235</v>
      </c>
    </row>
    <row r="2188" spans="1:8" x14ac:dyDescent="0.15">
      <c r="A2188" s="196" t="s">
        <v>11229</v>
      </c>
      <c r="B2188" s="196" t="s">
        <v>11230</v>
      </c>
      <c r="C2188" s="196" t="s">
        <v>16381</v>
      </c>
      <c r="D2188" s="196" t="s">
        <v>16382</v>
      </c>
      <c r="E2188" s="196" t="s">
        <v>16382</v>
      </c>
      <c r="F2188" s="196" t="s">
        <v>11233</v>
      </c>
      <c r="G2188" s="196" t="s">
        <v>11449</v>
      </c>
      <c r="H2188" s="196" t="s">
        <v>11235</v>
      </c>
    </row>
    <row r="2189" spans="1:8" x14ac:dyDescent="0.15">
      <c r="A2189" s="196" t="s">
        <v>11229</v>
      </c>
      <c r="B2189" s="196" t="s">
        <v>11230</v>
      </c>
      <c r="C2189" s="196" t="s">
        <v>16383</v>
      </c>
      <c r="D2189" s="196" t="s">
        <v>16384</v>
      </c>
      <c r="E2189" s="196" t="s">
        <v>16385</v>
      </c>
      <c r="F2189" s="196" t="s">
        <v>11241</v>
      </c>
      <c r="G2189" s="196" t="s">
        <v>11449</v>
      </c>
      <c r="H2189" s="196" t="s">
        <v>11235</v>
      </c>
    </row>
    <row r="2190" spans="1:8" x14ac:dyDescent="0.15">
      <c r="A2190" s="196" t="s">
        <v>11229</v>
      </c>
      <c r="B2190" s="196" t="s">
        <v>11230</v>
      </c>
      <c r="C2190" s="196" t="s">
        <v>16386</v>
      </c>
      <c r="D2190" s="196" t="s">
        <v>16385</v>
      </c>
      <c r="E2190" s="196" t="s">
        <v>16387</v>
      </c>
      <c r="F2190" s="196" t="s">
        <v>11268</v>
      </c>
      <c r="G2190" s="196" t="s">
        <v>11449</v>
      </c>
      <c r="H2190" s="196" t="s">
        <v>11235</v>
      </c>
    </row>
    <row r="2191" spans="1:8" x14ac:dyDescent="0.15">
      <c r="A2191" s="196" t="s">
        <v>11229</v>
      </c>
      <c r="B2191" s="196" t="s">
        <v>11230</v>
      </c>
      <c r="C2191" s="196" t="s">
        <v>16388</v>
      </c>
      <c r="D2191" s="196" t="s">
        <v>16389</v>
      </c>
      <c r="E2191" s="196" t="s">
        <v>16389</v>
      </c>
      <c r="F2191" s="196" t="s">
        <v>11233</v>
      </c>
      <c r="G2191" s="196" t="s">
        <v>11449</v>
      </c>
      <c r="H2191" s="196" t="s">
        <v>11235</v>
      </c>
    </row>
    <row r="2192" spans="1:8" x14ac:dyDescent="0.15">
      <c r="A2192" s="196" t="s">
        <v>11229</v>
      </c>
      <c r="B2192" s="196" t="s">
        <v>11230</v>
      </c>
      <c r="C2192" s="196" t="s">
        <v>16390</v>
      </c>
      <c r="D2192" s="196" t="s">
        <v>16391</v>
      </c>
      <c r="E2192" s="196" t="s">
        <v>16392</v>
      </c>
      <c r="F2192" s="196" t="s">
        <v>14964</v>
      </c>
      <c r="G2192" s="196" t="s">
        <v>11449</v>
      </c>
      <c r="H2192" s="196" t="s">
        <v>11235</v>
      </c>
    </row>
    <row r="2193" spans="1:8" x14ac:dyDescent="0.15">
      <c r="A2193" s="196" t="s">
        <v>11229</v>
      </c>
      <c r="B2193" s="196" t="s">
        <v>11230</v>
      </c>
      <c r="C2193" s="196" t="s">
        <v>16393</v>
      </c>
      <c r="D2193" s="196" t="s">
        <v>16394</v>
      </c>
      <c r="E2193" s="196" t="s">
        <v>16395</v>
      </c>
      <c r="F2193" s="196" t="s">
        <v>12537</v>
      </c>
      <c r="G2193" s="196" t="s">
        <v>11449</v>
      </c>
      <c r="H2193" s="196" t="s">
        <v>11235</v>
      </c>
    </row>
    <row r="2194" spans="1:8" x14ac:dyDescent="0.15">
      <c r="A2194" s="196" t="s">
        <v>11229</v>
      </c>
      <c r="B2194" s="196" t="s">
        <v>11230</v>
      </c>
      <c r="C2194" s="196" t="s">
        <v>16396</v>
      </c>
      <c r="D2194" s="196" t="s">
        <v>16397</v>
      </c>
      <c r="E2194" s="196" t="s">
        <v>16398</v>
      </c>
      <c r="F2194" s="196" t="s">
        <v>13901</v>
      </c>
      <c r="G2194" s="196" t="s">
        <v>11449</v>
      </c>
      <c r="H2194" s="196" t="s">
        <v>11235</v>
      </c>
    </row>
    <row r="2195" spans="1:8" x14ac:dyDescent="0.15">
      <c r="A2195" s="196" t="s">
        <v>11229</v>
      </c>
      <c r="B2195" s="196" t="s">
        <v>11230</v>
      </c>
      <c r="C2195" s="196" t="s">
        <v>16399</v>
      </c>
      <c r="D2195" s="196" t="s">
        <v>16400</v>
      </c>
      <c r="E2195" s="196" t="s">
        <v>16401</v>
      </c>
      <c r="F2195" s="196" t="s">
        <v>12537</v>
      </c>
      <c r="G2195" s="196" t="s">
        <v>11449</v>
      </c>
      <c r="H2195" s="196" t="s">
        <v>11235</v>
      </c>
    </row>
    <row r="2196" spans="1:8" x14ac:dyDescent="0.15">
      <c r="A2196" s="196" t="s">
        <v>11229</v>
      </c>
      <c r="B2196" s="196" t="s">
        <v>11230</v>
      </c>
      <c r="C2196" s="196" t="s">
        <v>16402</v>
      </c>
      <c r="D2196" s="196" t="s">
        <v>16403</v>
      </c>
      <c r="E2196" s="196" t="s">
        <v>16403</v>
      </c>
      <c r="F2196" s="196" t="s">
        <v>11233</v>
      </c>
      <c r="G2196" s="196" t="s">
        <v>11449</v>
      </c>
      <c r="H2196" s="196" t="s">
        <v>11235</v>
      </c>
    </row>
    <row r="2197" spans="1:8" x14ac:dyDescent="0.15">
      <c r="A2197" s="196" t="s">
        <v>11229</v>
      </c>
      <c r="B2197" s="196" t="s">
        <v>11230</v>
      </c>
      <c r="C2197" s="196" t="s">
        <v>16404</v>
      </c>
      <c r="D2197" s="196" t="s">
        <v>16405</v>
      </c>
      <c r="E2197" s="196" t="s">
        <v>16406</v>
      </c>
      <c r="F2197" s="196" t="s">
        <v>14964</v>
      </c>
      <c r="G2197" s="196" t="s">
        <v>11449</v>
      </c>
      <c r="H2197" s="196" t="s">
        <v>11235</v>
      </c>
    </row>
    <row r="2198" spans="1:8" x14ac:dyDescent="0.15">
      <c r="A2198" s="196" t="s">
        <v>11229</v>
      </c>
      <c r="B2198" s="196" t="s">
        <v>11230</v>
      </c>
      <c r="C2198" s="196" t="s">
        <v>16407</v>
      </c>
      <c r="D2198" s="196" t="s">
        <v>16408</v>
      </c>
      <c r="E2198" s="196" t="s">
        <v>16409</v>
      </c>
      <c r="F2198" s="196" t="s">
        <v>16410</v>
      </c>
      <c r="G2198" s="196" t="s">
        <v>11449</v>
      </c>
      <c r="H2198" s="196" t="s">
        <v>11235</v>
      </c>
    </row>
    <row r="2199" spans="1:8" x14ac:dyDescent="0.15">
      <c r="A2199" s="196" t="s">
        <v>11229</v>
      </c>
      <c r="B2199" s="196" t="s">
        <v>11230</v>
      </c>
      <c r="C2199" s="196" t="s">
        <v>16411</v>
      </c>
      <c r="D2199" s="196" t="s">
        <v>16412</v>
      </c>
      <c r="E2199" s="196" t="s">
        <v>16413</v>
      </c>
      <c r="F2199" s="196" t="s">
        <v>14964</v>
      </c>
      <c r="G2199" s="196" t="s">
        <v>11449</v>
      </c>
      <c r="H2199" s="196" t="s">
        <v>11235</v>
      </c>
    </row>
    <row r="2200" spans="1:8" x14ac:dyDescent="0.15">
      <c r="A2200" s="196" t="s">
        <v>11229</v>
      </c>
      <c r="B2200" s="196" t="s">
        <v>11230</v>
      </c>
      <c r="C2200" s="196" t="s">
        <v>16414</v>
      </c>
      <c r="D2200" s="196" t="s">
        <v>16415</v>
      </c>
      <c r="E2200" s="196" t="s">
        <v>16416</v>
      </c>
      <c r="F2200" s="196" t="s">
        <v>14964</v>
      </c>
      <c r="G2200" s="196" t="s">
        <v>11449</v>
      </c>
      <c r="H2200" s="196" t="s">
        <v>11235</v>
      </c>
    </row>
    <row r="2201" spans="1:8" x14ac:dyDescent="0.15">
      <c r="A2201" s="196" t="s">
        <v>11229</v>
      </c>
      <c r="B2201" s="196" t="s">
        <v>11230</v>
      </c>
      <c r="C2201" s="196" t="s">
        <v>16417</v>
      </c>
      <c r="D2201" s="196" t="s">
        <v>16418</v>
      </c>
      <c r="E2201" s="196" t="s">
        <v>16419</v>
      </c>
      <c r="F2201" s="196" t="s">
        <v>13901</v>
      </c>
      <c r="G2201" s="196" t="s">
        <v>11449</v>
      </c>
      <c r="H2201" s="196" t="s">
        <v>11235</v>
      </c>
    </row>
    <row r="2202" spans="1:8" x14ac:dyDescent="0.15">
      <c r="A2202" s="196" t="s">
        <v>11229</v>
      </c>
      <c r="B2202" s="196" t="s">
        <v>11230</v>
      </c>
      <c r="C2202" s="196" t="s">
        <v>16420</v>
      </c>
      <c r="D2202" s="196" t="s">
        <v>16421</v>
      </c>
      <c r="E2202" s="196" t="s">
        <v>16422</v>
      </c>
      <c r="F2202" s="196" t="s">
        <v>13901</v>
      </c>
      <c r="G2202" s="196" t="s">
        <v>11449</v>
      </c>
      <c r="H2202" s="196" t="s">
        <v>11235</v>
      </c>
    </row>
    <row r="2203" spans="1:8" x14ac:dyDescent="0.15">
      <c r="A2203" s="196" t="s">
        <v>11229</v>
      </c>
      <c r="B2203" s="196" t="s">
        <v>11230</v>
      </c>
      <c r="C2203" s="196" t="s">
        <v>16423</v>
      </c>
      <c r="D2203" s="196" t="s">
        <v>16424</v>
      </c>
      <c r="E2203" s="196" t="s">
        <v>16425</v>
      </c>
      <c r="F2203" s="196" t="s">
        <v>14263</v>
      </c>
      <c r="G2203" s="196" t="s">
        <v>11449</v>
      </c>
      <c r="H2203" s="196" t="s">
        <v>11235</v>
      </c>
    </row>
    <row r="2204" spans="1:8" x14ac:dyDescent="0.15">
      <c r="A2204" s="196" t="s">
        <v>11229</v>
      </c>
      <c r="B2204" s="196" t="s">
        <v>11230</v>
      </c>
      <c r="C2204" s="196" t="s">
        <v>16426</v>
      </c>
      <c r="D2204" s="196" t="s">
        <v>16427</v>
      </c>
      <c r="E2204" s="196" t="s">
        <v>16428</v>
      </c>
      <c r="F2204" s="196" t="s">
        <v>13901</v>
      </c>
      <c r="G2204" s="196" t="s">
        <v>11449</v>
      </c>
      <c r="H2204" s="196" t="s">
        <v>11235</v>
      </c>
    </row>
    <row r="2205" spans="1:8" x14ac:dyDescent="0.15">
      <c r="A2205" s="196" t="s">
        <v>11229</v>
      </c>
      <c r="B2205" s="196" t="s">
        <v>11230</v>
      </c>
      <c r="C2205" s="196" t="s">
        <v>16429</v>
      </c>
      <c r="D2205" s="196" t="s">
        <v>16430</v>
      </c>
      <c r="E2205" s="196" t="s">
        <v>16431</v>
      </c>
      <c r="F2205" s="196" t="s">
        <v>13038</v>
      </c>
      <c r="G2205" s="196" t="s">
        <v>11449</v>
      </c>
      <c r="H2205" s="196" t="s">
        <v>11235</v>
      </c>
    </row>
    <row r="2206" spans="1:8" x14ac:dyDescent="0.15">
      <c r="A2206" s="196" t="s">
        <v>11229</v>
      </c>
      <c r="B2206" s="196" t="s">
        <v>11230</v>
      </c>
      <c r="C2206" s="196" t="s">
        <v>16432</v>
      </c>
      <c r="D2206" s="196" t="s">
        <v>16431</v>
      </c>
      <c r="E2206" s="196" t="s">
        <v>16433</v>
      </c>
      <c r="F2206" s="196" t="s">
        <v>14263</v>
      </c>
      <c r="G2206" s="196" t="s">
        <v>11449</v>
      </c>
      <c r="H2206" s="196" t="s">
        <v>11235</v>
      </c>
    </row>
    <row r="2207" spans="1:8" x14ac:dyDescent="0.15">
      <c r="A2207" s="196" t="s">
        <v>11229</v>
      </c>
      <c r="B2207" s="196" t="s">
        <v>11230</v>
      </c>
      <c r="C2207" s="196" t="s">
        <v>16434</v>
      </c>
      <c r="D2207" s="196" t="s">
        <v>16435</v>
      </c>
      <c r="E2207" s="196" t="s">
        <v>16436</v>
      </c>
      <c r="F2207" s="196" t="s">
        <v>16437</v>
      </c>
      <c r="G2207" s="196" t="s">
        <v>12378</v>
      </c>
      <c r="H2207" s="196" t="s">
        <v>11235</v>
      </c>
    </row>
    <row r="2208" spans="1:8" x14ac:dyDescent="0.15">
      <c r="A2208" s="196" t="s">
        <v>11229</v>
      </c>
      <c r="B2208" s="196" t="s">
        <v>11230</v>
      </c>
      <c r="C2208" s="196" t="s">
        <v>16438</v>
      </c>
      <c r="D2208" s="196" t="s">
        <v>16439</v>
      </c>
      <c r="E2208" s="196" t="s">
        <v>16440</v>
      </c>
      <c r="F2208" s="196" t="s">
        <v>13901</v>
      </c>
      <c r="G2208" s="196" t="s">
        <v>11449</v>
      </c>
      <c r="H2208" s="196" t="s">
        <v>11235</v>
      </c>
    </row>
    <row r="2209" spans="1:8" x14ac:dyDescent="0.15">
      <c r="A2209" s="196" t="s">
        <v>11229</v>
      </c>
      <c r="B2209" s="196" t="s">
        <v>11230</v>
      </c>
      <c r="C2209" s="196" t="s">
        <v>16441</v>
      </c>
      <c r="D2209" s="196" t="s">
        <v>16442</v>
      </c>
      <c r="E2209" s="196" t="s">
        <v>16443</v>
      </c>
      <c r="F2209" s="196" t="s">
        <v>12537</v>
      </c>
      <c r="G2209" s="196" t="s">
        <v>11449</v>
      </c>
      <c r="H2209" s="196" t="s">
        <v>11235</v>
      </c>
    </row>
    <row r="2210" spans="1:8" x14ac:dyDescent="0.15">
      <c r="A2210" s="196" t="s">
        <v>11229</v>
      </c>
      <c r="B2210" s="196" t="s">
        <v>11230</v>
      </c>
      <c r="C2210" s="196" t="s">
        <v>16444</v>
      </c>
      <c r="D2210" s="196" t="s">
        <v>16445</v>
      </c>
      <c r="E2210" s="196" t="s">
        <v>16446</v>
      </c>
      <c r="F2210" s="196" t="s">
        <v>14964</v>
      </c>
      <c r="G2210" s="196" t="s">
        <v>11449</v>
      </c>
      <c r="H2210" s="196" t="s">
        <v>11235</v>
      </c>
    </row>
    <row r="2211" spans="1:8" x14ac:dyDescent="0.15">
      <c r="A2211" s="196" t="s">
        <v>11229</v>
      </c>
      <c r="B2211" s="196" t="s">
        <v>11230</v>
      </c>
      <c r="C2211" s="196" t="s">
        <v>16447</v>
      </c>
      <c r="D2211" s="196" t="s">
        <v>16448</v>
      </c>
      <c r="E2211" s="196" t="s">
        <v>16449</v>
      </c>
      <c r="F2211" s="196" t="s">
        <v>14964</v>
      </c>
      <c r="G2211" s="196" t="s">
        <v>11449</v>
      </c>
      <c r="H2211" s="196" t="s">
        <v>11235</v>
      </c>
    </row>
    <row r="2212" spans="1:8" x14ac:dyDescent="0.15">
      <c r="A2212" s="196" t="s">
        <v>11229</v>
      </c>
      <c r="B2212" s="196" t="s">
        <v>11230</v>
      </c>
      <c r="C2212" s="196" t="s">
        <v>16450</v>
      </c>
      <c r="D2212" s="196" t="s">
        <v>16451</v>
      </c>
      <c r="E2212" s="196" t="s">
        <v>16452</v>
      </c>
      <c r="F2212" s="196" t="s">
        <v>14964</v>
      </c>
      <c r="G2212" s="196" t="s">
        <v>11449</v>
      </c>
      <c r="H2212" s="196" t="s">
        <v>11235</v>
      </c>
    </row>
    <row r="2213" spans="1:8" x14ac:dyDescent="0.15">
      <c r="A2213" s="196" t="s">
        <v>11229</v>
      </c>
      <c r="B2213" s="196" t="s">
        <v>11230</v>
      </c>
      <c r="C2213" s="196" t="s">
        <v>16453</v>
      </c>
      <c r="D2213" s="196" t="s">
        <v>16454</v>
      </c>
      <c r="E2213" s="196" t="s">
        <v>16455</v>
      </c>
      <c r="F2213" s="196" t="s">
        <v>13901</v>
      </c>
      <c r="G2213" s="196" t="s">
        <v>11449</v>
      </c>
      <c r="H2213" s="196" t="s">
        <v>11235</v>
      </c>
    </row>
    <row r="2214" spans="1:8" x14ac:dyDescent="0.15">
      <c r="A2214" s="196" t="s">
        <v>11229</v>
      </c>
      <c r="B2214" s="196" t="s">
        <v>11230</v>
      </c>
      <c r="C2214" s="196" t="s">
        <v>16456</v>
      </c>
      <c r="D2214" s="196" t="s">
        <v>16457</v>
      </c>
      <c r="E2214" s="196" t="s">
        <v>16458</v>
      </c>
      <c r="F2214" s="196" t="s">
        <v>12537</v>
      </c>
      <c r="G2214" s="196" t="s">
        <v>11449</v>
      </c>
      <c r="H2214" s="196" t="s">
        <v>11235</v>
      </c>
    </row>
    <row r="2215" spans="1:8" x14ac:dyDescent="0.15">
      <c r="A2215" s="196" t="s">
        <v>11229</v>
      </c>
      <c r="B2215" s="196" t="s">
        <v>11230</v>
      </c>
      <c r="C2215" s="196" t="s">
        <v>16459</v>
      </c>
      <c r="D2215" s="196" t="s">
        <v>16460</v>
      </c>
      <c r="E2215" s="196" t="s">
        <v>16461</v>
      </c>
      <c r="F2215" s="196" t="s">
        <v>14964</v>
      </c>
      <c r="G2215" s="196" t="s">
        <v>11449</v>
      </c>
      <c r="H2215" s="196" t="s">
        <v>11235</v>
      </c>
    </row>
    <row r="2216" spans="1:8" x14ac:dyDescent="0.15">
      <c r="A2216" s="196" t="s">
        <v>11229</v>
      </c>
      <c r="B2216" s="196" t="s">
        <v>11230</v>
      </c>
      <c r="C2216" s="196" t="s">
        <v>16462</v>
      </c>
      <c r="D2216" s="196" t="s">
        <v>16463</v>
      </c>
      <c r="E2216" s="196" t="s">
        <v>16464</v>
      </c>
      <c r="F2216" s="196" t="s">
        <v>12537</v>
      </c>
      <c r="G2216" s="196" t="s">
        <v>11449</v>
      </c>
      <c r="H2216" s="196" t="s">
        <v>11235</v>
      </c>
    </row>
    <row r="2217" spans="1:8" x14ac:dyDescent="0.15">
      <c r="A2217" s="196" t="s">
        <v>11229</v>
      </c>
      <c r="B2217" s="196" t="s">
        <v>11230</v>
      </c>
      <c r="C2217" s="196" t="s">
        <v>16465</v>
      </c>
      <c r="D2217" s="196" t="s">
        <v>16466</v>
      </c>
      <c r="E2217" s="196" t="s">
        <v>16467</v>
      </c>
      <c r="F2217" s="196" t="s">
        <v>16468</v>
      </c>
      <c r="G2217" s="196" t="s">
        <v>11449</v>
      </c>
      <c r="H2217" s="196" t="s">
        <v>11235</v>
      </c>
    </row>
    <row r="2218" spans="1:8" x14ac:dyDescent="0.15">
      <c r="A2218" s="196" t="s">
        <v>11229</v>
      </c>
      <c r="B2218" s="196" t="s">
        <v>11230</v>
      </c>
      <c r="C2218" s="196" t="s">
        <v>16469</v>
      </c>
      <c r="D2218" s="196" t="s">
        <v>16470</v>
      </c>
      <c r="E2218" s="196" t="s">
        <v>16471</v>
      </c>
      <c r="F2218" s="196" t="s">
        <v>13914</v>
      </c>
      <c r="G2218" s="196" t="s">
        <v>11449</v>
      </c>
      <c r="H2218" s="196" t="s">
        <v>11235</v>
      </c>
    </row>
    <row r="2219" spans="1:8" x14ac:dyDescent="0.15">
      <c r="A2219" s="196" t="s">
        <v>11229</v>
      </c>
      <c r="B2219" s="196" t="s">
        <v>11230</v>
      </c>
      <c r="C2219" s="196" t="s">
        <v>16472</v>
      </c>
      <c r="D2219" s="196" t="s">
        <v>16473</v>
      </c>
      <c r="E2219" s="196" t="s">
        <v>16474</v>
      </c>
      <c r="F2219" s="196" t="s">
        <v>14964</v>
      </c>
      <c r="G2219" s="196" t="s">
        <v>11449</v>
      </c>
      <c r="H2219" s="196" t="s">
        <v>11235</v>
      </c>
    </row>
    <row r="2220" spans="1:8" x14ac:dyDescent="0.15">
      <c r="A2220" s="196" t="s">
        <v>11229</v>
      </c>
      <c r="B2220" s="196" t="s">
        <v>11230</v>
      </c>
      <c r="C2220" s="196" t="s">
        <v>16475</v>
      </c>
      <c r="D2220" s="196" t="s">
        <v>16476</v>
      </c>
      <c r="E2220" s="196" t="s">
        <v>16477</v>
      </c>
      <c r="F2220" s="196" t="s">
        <v>16478</v>
      </c>
      <c r="G2220" s="196" t="s">
        <v>11449</v>
      </c>
      <c r="H2220" s="196" t="s">
        <v>11235</v>
      </c>
    </row>
    <row r="2221" spans="1:8" x14ac:dyDescent="0.15">
      <c r="A2221" s="196" t="s">
        <v>11229</v>
      </c>
      <c r="B2221" s="196" t="s">
        <v>11230</v>
      </c>
      <c r="C2221" s="196" t="s">
        <v>16479</v>
      </c>
      <c r="D2221" s="196" t="s">
        <v>16480</v>
      </c>
      <c r="E2221" s="196" t="s">
        <v>16481</v>
      </c>
      <c r="F2221" s="196" t="s">
        <v>16482</v>
      </c>
      <c r="G2221" s="196" t="s">
        <v>11449</v>
      </c>
      <c r="H2221" s="196" t="s">
        <v>11235</v>
      </c>
    </row>
    <row r="2222" spans="1:8" x14ac:dyDescent="0.15">
      <c r="A2222" s="196" t="s">
        <v>11229</v>
      </c>
      <c r="B2222" s="196" t="s">
        <v>11230</v>
      </c>
      <c r="C2222" s="196" t="s">
        <v>16483</v>
      </c>
      <c r="D2222" s="196" t="s">
        <v>16484</v>
      </c>
      <c r="E2222" s="196" t="s">
        <v>16485</v>
      </c>
      <c r="F2222" s="196" t="s">
        <v>16486</v>
      </c>
      <c r="G2222" s="196" t="s">
        <v>12378</v>
      </c>
      <c r="H2222" s="196" t="s">
        <v>11235</v>
      </c>
    </row>
    <row r="2223" spans="1:8" x14ac:dyDescent="0.15">
      <c r="A2223" s="196" t="s">
        <v>11229</v>
      </c>
      <c r="B2223" s="196" t="s">
        <v>11230</v>
      </c>
      <c r="C2223" s="196" t="s">
        <v>16487</v>
      </c>
      <c r="D2223" s="196" t="s">
        <v>16488</v>
      </c>
      <c r="E2223" s="196" t="s">
        <v>16488</v>
      </c>
      <c r="F2223" s="196" t="s">
        <v>11233</v>
      </c>
      <c r="G2223" s="196" t="s">
        <v>11449</v>
      </c>
      <c r="H2223" s="196" t="s">
        <v>11235</v>
      </c>
    </row>
    <row r="2224" spans="1:8" x14ac:dyDescent="0.15">
      <c r="A2224" s="196" t="s">
        <v>11229</v>
      </c>
      <c r="B2224" s="196" t="s">
        <v>11230</v>
      </c>
      <c r="C2224" s="196" t="s">
        <v>16489</v>
      </c>
      <c r="D2224" s="196" t="s">
        <v>16490</v>
      </c>
      <c r="E2224" s="196" t="s">
        <v>16490</v>
      </c>
      <c r="F2224" s="196" t="s">
        <v>11233</v>
      </c>
      <c r="G2224" s="196" t="s">
        <v>11449</v>
      </c>
      <c r="H2224" s="196" t="s">
        <v>11235</v>
      </c>
    </row>
    <row r="2225" spans="1:8" x14ac:dyDescent="0.15">
      <c r="A2225" s="196" t="s">
        <v>11229</v>
      </c>
      <c r="B2225" s="196" t="s">
        <v>11230</v>
      </c>
      <c r="C2225" s="196" t="s">
        <v>16491</v>
      </c>
      <c r="D2225" s="196" t="s">
        <v>16492</v>
      </c>
      <c r="E2225" s="196" t="s">
        <v>16492</v>
      </c>
      <c r="F2225" s="196" t="s">
        <v>11233</v>
      </c>
      <c r="G2225" s="196" t="s">
        <v>11449</v>
      </c>
      <c r="H2225" s="196" t="s">
        <v>11235</v>
      </c>
    </row>
    <row r="2226" spans="1:8" x14ac:dyDescent="0.15">
      <c r="A2226" s="196" t="s">
        <v>11229</v>
      </c>
      <c r="B2226" s="196" t="s">
        <v>11230</v>
      </c>
      <c r="C2226" s="196" t="s">
        <v>16493</v>
      </c>
      <c r="D2226" s="196" t="s">
        <v>16494</v>
      </c>
      <c r="E2226" s="196" t="s">
        <v>16494</v>
      </c>
      <c r="F2226" s="196" t="s">
        <v>11233</v>
      </c>
      <c r="G2226" s="196" t="s">
        <v>11449</v>
      </c>
      <c r="H2226" s="196" t="s">
        <v>11235</v>
      </c>
    </row>
    <row r="2227" spans="1:8" x14ac:dyDescent="0.15">
      <c r="A2227" s="196" t="s">
        <v>11229</v>
      </c>
      <c r="B2227" s="196" t="s">
        <v>11230</v>
      </c>
      <c r="C2227" s="196" t="s">
        <v>16495</v>
      </c>
      <c r="D2227" s="196" t="s">
        <v>16496</v>
      </c>
      <c r="E2227" s="196" t="s">
        <v>16497</v>
      </c>
      <c r="F2227" s="196" t="s">
        <v>11268</v>
      </c>
      <c r="G2227" s="196" t="s">
        <v>11449</v>
      </c>
      <c r="H2227" s="196" t="s">
        <v>11235</v>
      </c>
    </row>
    <row r="2228" spans="1:8" x14ac:dyDescent="0.15">
      <c r="A2228" s="196" t="s">
        <v>11229</v>
      </c>
      <c r="B2228" s="196" t="s">
        <v>11230</v>
      </c>
      <c r="C2228" s="196" t="s">
        <v>16498</v>
      </c>
      <c r="D2228" s="196" t="s">
        <v>16499</v>
      </c>
      <c r="E2228" s="196" t="s">
        <v>16499</v>
      </c>
      <c r="F2228" s="196" t="s">
        <v>11233</v>
      </c>
      <c r="G2228" s="196" t="s">
        <v>11449</v>
      </c>
      <c r="H2228" s="196" t="s">
        <v>11235</v>
      </c>
    </row>
    <row r="2229" spans="1:8" x14ac:dyDescent="0.15">
      <c r="A2229" s="196" t="s">
        <v>11229</v>
      </c>
      <c r="B2229" s="196" t="s">
        <v>11230</v>
      </c>
      <c r="C2229" s="196" t="s">
        <v>16500</v>
      </c>
      <c r="D2229" s="196" t="s">
        <v>16501</v>
      </c>
      <c r="E2229" s="196" t="s">
        <v>16502</v>
      </c>
      <c r="F2229" s="196" t="s">
        <v>16503</v>
      </c>
      <c r="G2229" s="196" t="s">
        <v>11449</v>
      </c>
      <c r="H2229" s="196" t="s">
        <v>11235</v>
      </c>
    </row>
    <row r="2230" spans="1:8" x14ac:dyDescent="0.15">
      <c r="A2230" s="196" t="s">
        <v>11229</v>
      </c>
      <c r="B2230" s="196" t="s">
        <v>11230</v>
      </c>
      <c r="C2230" s="196" t="s">
        <v>16504</v>
      </c>
      <c r="D2230" s="196" t="s">
        <v>16505</v>
      </c>
      <c r="E2230" s="196" t="s">
        <v>16506</v>
      </c>
      <c r="F2230" s="196" t="s">
        <v>16507</v>
      </c>
      <c r="G2230" s="196" t="s">
        <v>12378</v>
      </c>
      <c r="H2230" s="196" t="s">
        <v>11235</v>
      </c>
    </row>
    <row r="2231" spans="1:8" x14ac:dyDescent="0.15">
      <c r="A2231" s="196" t="s">
        <v>11229</v>
      </c>
      <c r="B2231" s="196" t="s">
        <v>11230</v>
      </c>
      <c r="C2231" s="196" t="s">
        <v>16508</v>
      </c>
      <c r="D2231" s="196" t="s">
        <v>16509</v>
      </c>
      <c r="E2231" s="196" t="s">
        <v>16510</v>
      </c>
      <c r="F2231" s="196" t="s">
        <v>16511</v>
      </c>
      <c r="G2231" s="196" t="s">
        <v>12378</v>
      </c>
      <c r="H2231" s="196" t="s">
        <v>11235</v>
      </c>
    </row>
    <row r="2232" spans="1:8" x14ac:dyDescent="0.15">
      <c r="A2232" s="196" t="s">
        <v>11229</v>
      </c>
      <c r="B2232" s="196" t="s">
        <v>11230</v>
      </c>
      <c r="C2232" s="196" t="s">
        <v>16512</v>
      </c>
      <c r="D2232" s="196" t="s">
        <v>16513</v>
      </c>
      <c r="E2232" s="196" t="s">
        <v>16514</v>
      </c>
      <c r="F2232" s="196" t="s">
        <v>16515</v>
      </c>
      <c r="G2232" s="196" t="s">
        <v>12378</v>
      </c>
      <c r="H2232" s="196" t="s">
        <v>11235</v>
      </c>
    </row>
    <row r="2233" spans="1:8" x14ac:dyDescent="0.15">
      <c r="A2233" s="196" t="s">
        <v>11229</v>
      </c>
      <c r="B2233" s="196" t="s">
        <v>11230</v>
      </c>
      <c r="C2233" s="196" t="s">
        <v>16516</v>
      </c>
      <c r="D2233" s="196" t="s">
        <v>16517</v>
      </c>
      <c r="E2233" s="196" t="s">
        <v>16518</v>
      </c>
      <c r="F2233" s="196" t="s">
        <v>16519</v>
      </c>
      <c r="G2233" s="196" t="s">
        <v>11234</v>
      </c>
      <c r="H2233" s="196" t="s">
        <v>11235</v>
      </c>
    </row>
    <row r="2234" spans="1:8" x14ac:dyDescent="0.15">
      <c r="A2234" s="196" t="s">
        <v>11229</v>
      </c>
      <c r="B2234" s="196" t="s">
        <v>11230</v>
      </c>
      <c r="C2234" s="196" t="s">
        <v>16520</v>
      </c>
      <c r="D2234" s="196" t="s">
        <v>16521</v>
      </c>
      <c r="E2234" s="196" t="s">
        <v>16522</v>
      </c>
      <c r="F2234" s="196" t="s">
        <v>16523</v>
      </c>
      <c r="G2234" s="196" t="s">
        <v>11449</v>
      </c>
      <c r="H2234" s="196" t="s">
        <v>11235</v>
      </c>
    </row>
    <row r="2235" spans="1:8" x14ac:dyDescent="0.15">
      <c r="A2235" s="196" t="s">
        <v>11229</v>
      </c>
      <c r="B2235" s="196" t="s">
        <v>11230</v>
      </c>
      <c r="C2235" s="196" t="s">
        <v>16524</v>
      </c>
      <c r="D2235" s="196" t="s">
        <v>16525</v>
      </c>
      <c r="E2235" s="196" t="s">
        <v>16526</v>
      </c>
      <c r="F2235" s="196" t="s">
        <v>16527</v>
      </c>
      <c r="G2235" s="196" t="s">
        <v>12378</v>
      </c>
      <c r="H2235" s="196" t="s">
        <v>11235</v>
      </c>
    </row>
    <row r="2236" spans="1:8" x14ac:dyDescent="0.15">
      <c r="A2236" s="196" t="s">
        <v>11229</v>
      </c>
      <c r="B2236" s="196" t="s">
        <v>11230</v>
      </c>
      <c r="C2236" s="196" t="s">
        <v>16528</v>
      </c>
      <c r="D2236" s="196" t="s">
        <v>16529</v>
      </c>
      <c r="E2236" s="196" t="s">
        <v>16530</v>
      </c>
      <c r="F2236" s="196" t="s">
        <v>16531</v>
      </c>
      <c r="G2236" s="196" t="s">
        <v>12378</v>
      </c>
      <c r="H2236" s="196" t="s">
        <v>11235</v>
      </c>
    </row>
    <row r="2237" spans="1:8" x14ac:dyDescent="0.15">
      <c r="A2237" s="196" t="s">
        <v>11229</v>
      </c>
      <c r="B2237" s="196" t="s">
        <v>11230</v>
      </c>
      <c r="C2237" s="196" t="s">
        <v>16532</v>
      </c>
      <c r="D2237" s="196" t="s">
        <v>16533</v>
      </c>
      <c r="E2237" s="196" t="s">
        <v>16534</v>
      </c>
      <c r="F2237" s="196" t="s">
        <v>16535</v>
      </c>
      <c r="G2237" s="196" t="s">
        <v>11449</v>
      </c>
      <c r="H2237" s="196" t="s">
        <v>11235</v>
      </c>
    </row>
    <row r="2238" spans="1:8" x14ac:dyDescent="0.15">
      <c r="A2238" s="196" t="s">
        <v>11229</v>
      </c>
      <c r="B2238" s="196" t="s">
        <v>11230</v>
      </c>
      <c r="C2238" s="196" t="s">
        <v>16536</v>
      </c>
      <c r="D2238" s="196" t="s">
        <v>16537</v>
      </c>
      <c r="E2238" s="196" t="s">
        <v>16538</v>
      </c>
      <c r="F2238" s="196" t="s">
        <v>16539</v>
      </c>
      <c r="G2238" s="196" t="s">
        <v>12378</v>
      </c>
      <c r="H2238" s="196" t="s">
        <v>11235</v>
      </c>
    </row>
    <row r="2239" spans="1:8" x14ac:dyDescent="0.15">
      <c r="A2239" s="196" t="s">
        <v>11229</v>
      </c>
      <c r="B2239" s="196" t="s">
        <v>11230</v>
      </c>
      <c r="C2239" s="196" t="s">
        <v>16540</v>
      </c>
      <c r="D2239" s="196" t="s">
        <v>16541</v>
      </c>
      <c r="E2239" s="196" t="s">
        <v>16542</v>
      </c>
      <c r="F2239" s="196" t="s">
        <v>12526</v>
      </c>
      <c r="G2239" s="196" t="s">
        <v>12378</v>
      </c>
      <c r="H2239" s="196" t="s">
        <v>11235</v>
      </c>
    </row>
    <row r="2240" spans="1:8" x14ac:dyDescent="0.15">
      <c r="A2240" s="196" t="s">
        <v>11229</v>
      </c>
      <c r="B2240" s="196" t="s">
        <v>11230</v>
      </c>
      <c r="C2240" s="196" t="s">
        <v>16543</v>
      </c>
      <c r="D2240" s="196" t="s">
        <v>16544</v>
      </c>
      <c r="E2240" s="196" t="s">
        <v>16545</v>
      </c>
      <c r="F2240" s="196" t="s">
        <v>16546</v>
      </c>
      <c r="G2240" s="196" t="s">
        <v>12378</v>
      </c>
      <c r="H2240" s="196" t="s">
        <v>11235</v>
      </c>
    </row>
    <row r="2241" spans="1:8" x14ac:dyDescent="0.15">
      <c r="A2241" s="196" t="s">
        <v>11229</v>
      </c>
      <c r="B2241" s="196" t="s">
        <v>11230</v>
      </c>
      <c r="C2241" s="196" t="s">
        <v>16547</v>
      </c>
      <c r="D2241" s="196" t="s">
        <v>16548</v>
      </c>
      <c r="E2241" s="196" t="s">
        <v>16548</v>
      </c>
      <c r="F2241" s="196" t="s">
        <v>11233</v>
      </c>
      <c r="G2241" s="196" t="s">
        <v>11449</v>
      </c>
      <c r="H2241" s="196" t="s">
        <v>11235</v>
      </c>
    </row>
    <row r="2242" spans="1:8" x14ac:dyDescent="0.15">
      <c r="A2242" s="196" t="s">
        <v>11229</v>
      </c>
      <c r="B2242" s="196" t="s">
        <v>11230</v>
      </c>
      <c r="C2242" s="196" t="s">
        <v>16549</v>
      </c>
      <c r="D2242" s="196" t="s">
        <v>16550</v>
      </c>
      <c r="E2242" s="196" t="s">
        <v>16551</v>
      </c>
      <c r="F2242" s="196" t="s">
        <v>12558</v>
      </c>
      <c r="G2242" s="196" t="s">
        <v>12378</v>
      </c>
      <c r="H2242" s="196" t="s">
        <v>11235</v>
      </c>
    </row>
    <row r="2243" spans="1:8" x14ac:dyDescent="0.15">
      <c r="A2243" s="196" t="s">
        <v>11229</v>
      </c>
      <c r="B2243" s="196" t="s">
        <v>11230</v>
      </c>
      <c r="C2243" s="196" t="s">
        <v>16552</v>
      </c>
      <c r="D2243" s="196" t="s">
        <v>16553</v>
      </c>
      <c r="E2243" s="196" t="s">
        <v>16553</v>
      </c>
      <c r="F2243" s="196" t="s">
        <v>11233</v>
      </c>
      <c r="G2243" s="196" t="s">
        <v>11449</v>
      </c>
      <c r="H2243" s="196" t="s">
        <v>11235</v>
      </c>
    </row>
    <row r="2244" spans="1:8" x14ac:dyDescent="0.15">
      <c r="A2244" s="196" t="s">
        <v>11229</v>
      </c>
      <c r="B2244" s="196" t="s">
        <v>11230</v>
      </c>
      <c r="C2244" s="196" t="s">
        <v>16554</v>
      </c>
      <c r="D2244" s="196" t="s">
        <v>16555</v>
      </c>
      <c r="E2244" s="196" t="s">
        <v>16556</v>
      </c>
      <c r="F2244" s="196" t="s">
        <v>13436</v>
      </c>
      <c r="G2244" s="196" t="s">
        <v>11449</v>
      </c>
      <c r="H2244" s="196" t="s">
        <v>11235</v>
      </c>
    </row>
    <row r="2245" spans="1:8" x14ac:dyDescent="0.15">
      <c r="A2245" s="196" t="s">
        <v>11229</v>
      </c>
      <c r="B2245" s="196" t="s">
        <v>11230</v>
      </c>
      <c r="C2245" s="196" t="s">
        <v>16557</v>
      </c>
      <c r="D2245" s="196" t="s">
        <v>16558</v>
      </c>
      <c r="E2245" s="196" t="s">
        <v>16559</v>
      </c>
      <c r="F2245" s="196" t="s">
        <v>16560</v>
      </c>
      <c r="G2245" s="196" t="s">
        <v>12378</v>
      </c>
      <c r="H2245" s="196" t="s">
        <v>12712</v>
      </c>
    </row>
    <row r="2246" spans="1:8" x14ac:dyDescent="0.15">
      <c r="A2246" s="196" t="s">
        <v>11229</v>
      </c>
      <c r="B2246" s="196" t="s">
        <v>11230</v>
      </c>
      <c r="C2246" s="196" t="s">
        <v>16561</v>
      </c>
      <c r="D2246" s="196" t="s">
        <v>16562</v>
      </c>
      <c r="E2246" s="196" t="s">
        <v>16563</v>
      </c>
      <c r="F2246" s="196" t="s">
        <v>16564</v>
      </c>
      <c r="G2246" s="196" t="s">
        <v>11449</v>
      </c>
      <c r="H2246" s="196" t="s">
        <v>11235</v>
      </c>
    </row>
    <row r="2247" spans="1:8" x14ac:dyDescent="0.15">
      <c r="A2247" s="196" t="s">
        <v>11229</v>
      </c>
      <c r="B2247" s="196" t="s">
        <v>11230</v>
      </c>
      <c r="C2247" s="196" t="s">
        <v>16565</v>
      </c>
      <c r="D2247" s="196" t="s">
        <v>16566</v>
      </c>
      <c r="E2247" s="196" t="s">
        <v>16567</v>
      </c>
      <c r="F2247" s="196" t="s">
        <v>16568</v>
      </c>
      <c r="G2247" s="196" t="s">
        <v>11449</v>
      </c>
      <c r="H2247" s="196" t="s">
        <v>11235</v>
      </c>
    </row>
    <row r="2248" spans="1:8" x14ac:dyDescent="0.15">
      <c r="A2248" s="196" t="s">
        <v>11229</v>
      </c>
      <c r="B2248" s="196" t="s">
        <v>11230</v>
      </c>
      <c r="C2248" s="196" t="s">
        <v>16569</v>
      </c>
      <c r="D2248" s="196" t="s">
        <v>16570</v>
      </c>
      <c r="E2248" s="196" t="s">
        <v>16571</v>
      </c>
      <c r="F2248" s="196" t="s">
        <v>16572</v>
      </c>
      <c r="G2248" s="196" t="s">
        <v>11234</v>
      </c>
      <c r="H2248" s="196" t="s">
        <v>11235</v>
      </c>
    </row>
    <row r="2249" spans="1:8" x14ac:dyDescent="0.15">
      <c r="A2249" s="196" t="s">
        <v>11229</v>
      </c>
      <c r="B2249" s="196" t="s">
        <v>11230</v>
      </c>
      <c r="C2249" s="196" t="s">
        <v>16573</v>
      </c>
      <c r="D2249" s="196" t="s">
        <v>16574</v>
      </c>
      <c r="E2249" s="196" t="s">
        <v>16575</v>
      </c>
      <c r="F2249" s="196" t="s">
        <v>16576</v>
      </c>
      <c r="G2249" s="196" t="s">
        <v>11449</v>
      </c>
      <c r="H2249" s="196" t="s">
        <v>11235</v>
      </c>
    </row>
    <row r="2250" spans="1:8" x14ac:dyDescent="0.15">
      <c r="A2250" s="196" t="s">
        <v>11229</v>
      </c>
      <c r="B2250" s="196" t="s">
        <v>11230</v>
      </c>
      <c r="C2250" s="196" t="s">
        <v>16577</v>
      </c>
      <c r="D2250" s="196" t="s">
        <v>16578</v>
      </c>
      <c r="E2250" s="196" t="s">
        <v>16579</v>
      </c>
      <c r="F2250" s="196" t="s">
        <v>12558</v>
      </c>
      <c r="G2250" s="196" t="s">
        <v>11449</v>
      </c>
      <c r="H2250" s="196" t="s">
        <v>11235</v>
      </c>
    </row>
    <row r="2251" spans="1:8" x14ac:dyDescent="0.15">
      <c r="A2251" s="196" t="s">
        <v>11229</v>
      </c>
      <c r="B2251" s="196" t="s">
        <v>11230</v>
      </c>
      <c r="C2251" s="196" t="s">
        <v>16580</v>
      </c>
      <c r="D2251" s="196" t="s">
        <v>16581</v>
      </c>
      <c r="E2251" s="196" t="s">
        <v>16582</v>
      </c>
      <c r="F2251" s="196" t="s">
        <v>11241</v>
      </c>
      <c r="G2251" s="196" t="s">
        <v>11449</v>
      </c>
      <c r="H2251" s="196" t="s">
        <v>11235</v>
      </c>
    </row>
    <row r="2252" spans="1:8" x14ac:dyDescent="0.15">
      <c r="A2252" s="196" t="s">
        <v>11229</v>
      </c>
      <c r="B2252" s="196" t="s">
        <v>11230</v>
      </c>
      <c r="C2252" s="196" t="s">
        <v>16583</v>
      </c>
      <c r="D2252" s="196" t="s">
        <v>16584</v>
      </c>
      <c r="E2252" s="196" t="s">
        <v>16585</v>
      </c>
      <c r="F2252" s="196" t="s">
        <v>11268</v>
      </c>
      <c r="G2252" s="196" t="s">
        <v>11449</v>
      </c>
      <c r="H2252" s="196" t="s">
        <v>11235</v>
      </c>
    </row>
    <row r="2253" spans="1:8" x14ac:dyDescent="0.15">
      <c r="A2253" s="196" t="s">
        <v>11229</v>
      </c>
      <c r="B2253" s="196" t="s">
        <v>11230</v>
      </c>
      <c r="C2253" s="196" t="s">
        <v>16586</v>
      </c>
      <c r="D2253" s="196" t="s">
        <v>16587</v>
      </c>
      <c r="E2253" s="196" t="s">
        <v>16587</v>
      </c>
      <c r="F2253" s="196" t="s">
        <v>11233</v>
      </c>
      <c r="G2253" s="196" t="s">
        <v>11449</v>
      </c>
      <c r="H2253" s="196" t="s">
        <v>11235</v>
      </c>
    </row>
    <row r="2254" spans="1:8" x14ac:dyDescent="0.15">
      <c r="A2254" s="196" t="s">
        <v>11229</v>
      </c>
      <c r="B2254" s="196" t="s">
        <v>11230</v>
      </c>
      <c r="C2254" s="196" t="s">
        <v>16588</v>
      </c>
      <c r="D2254" s="196" t="s">
        <v>16589</v>
      </c>
      <c r="E2254" s="196" t="s">
        <v>16589</v>
      </c>
      <c r="F2254" s="196" t="s">
        <v>11233</v>
      </c>
      <c r="G2254" s="196" t="s">
        <v>11449</v>
      </c>
      <c r="H2254" s="196" t="s">
        <v>11235</v>
      </c>
    </row>
    <row r="2255" spans="1:8" x14ac:dyDescent="0.15">
      <c r="A2255" s="196" t="s">
        <v>11229</v>
      </c>
      <c r="B2255" s="196" t="s">
        <v>11230</v>
      </c>
      <c r="C2255" s="196" t="s">
        <v>16590</v>
      </c>
      <c r="D2255" s="196" t="s">
        <v>16591</v>
      </c>
      <c r="E2255" s="196" t="s">
        <v>16592</v>
      </c>
      <c r="F2255" s="196" t="s">
        <v>11241</v>
      </c>
      <c r="G2255" s="196" t="s">
        <v>11449</v>
      </c>
      <c r="H2255" s="196" t="s">
        <v>11235</v>
      </c>
    </row>
    <row r="2256" spans="1:8" x14ac:dyDescent="0.15">
      <c r="A2256" s="196" t="s">
        <v>11229</v>
      </c>
      <c r="B2256" s="196" t="s">
        <v>11230</v>
      </c>
      <c r="C2256" s="196" t="s">
        <v>16593</v>
      </c>
      <c r="D2256" s="196" t="s">
        <v>16594</v>
      </c>
      <c r="E2256" s="196" t="s">
        <v>16594</v>
      </c>
      <c r="F2256" s="196" t="s">
        <v>11233</v>
      </c>
      <c r="G2256" s="196" t="s">
        <v>11449</v>
      </c>
      <c r="H2256" s="196" t="s">
        <v>11235</v>
      </c>
    </row>
    <row r="2257" spans="1:8" x14ac:dyDescent="0.15">
      <c r="A2257" s="196" t="s">
        <v>11229</v>
      </c>
      <c r="B2257" s="196" t="s">
        <v>11230</v>
      </c>
      <c r="C2257" s="196" t="s">
        <v>16595</v>
      </c>
      <c r="D2257" s="196" t="s">
        <v>16596</v>
      </c>
      <c r="E2257" s="196" t="s">
        <v>16596</v>
      </c>
      <c r="F2257" s="196" t="s">
        <v>11233</v>
      </c>
      <c r="G2257" s="196" t="s">
        <v>11449</v>
      </c>
      <c r="H2257" s="196" t="s">
        <v>11235</v>
      </c>
    </row>
    <row r="2258" spans="1:8" x14ac:dyDescent="0.15">
      <c r="A2258" s="196" t="s">
        <v>11229</v>
      </c>
      <c r="B2258" s="196" t="s">
        <v>11230</v>
      </c>
      <c r="C2258" s="196" t="s">
        <v>16597</v>
      </c>
      <c r="D2258" s="196" t="s">
        <v>16598</v>
      </c>
      <c r="E2258" s="196" t="s">
        <v>16599</v>
      </c>
      <c r="F2258" s="196" t="s">
        <v>11268</v>
      </c>
      <c r="G2258" s="196" t="s">
        <v>11449</v>
      </c>
      <c r="H2258" s="196" t="s">
        <v>11235</v>
      </c>
    </row>
    <row r="2259" spans="1:8" x14ac:dyDescent="0.15">
      <c r="A2259" s="196" t="s">
        <v>11229</v>
      </c>
      <c r="B2259" s="196" t="s">
        <v>11230</v>
      </c>
      <c r="C2259" s="196" t="s">
        <v>16600</v>
      </c>
      <c r="D2259" s="196" t="s">
        <v>16599</v>
      </c>
      <c r="E2259" s="196" t="s">
        <v>16601</v>
      </c>
      <c r="F2259" s="196" t="s">
        <v>11241</v>
      </c>
      <c r="G2259" s="196" t="s">
        <v>11449</v>
      </c>
      <c r="H2259" s="196" t="s">
        <v>11235</v>
      </c>
    </row>
    <row r="2260" spans="1:8" x14ac:dyDescent="0.15">
      <c r="A2260" s="196" t="s">
        <v>11229</v>
      </c>
      <c r="B2260" s="196" t="s">
        <v>11230</v>
      </c>
      <c r="C2260" s="196" t="s">
        <v>16602</v>
      </c>
      <c r="D2260" s="196" t="s">
        <v>16603</v>
      </c>
      <c r="E2260" s="196" t="s">
        <v>16603</v>
      </c>
      <c r="F2260" s="196" t="s">
        <v>11233</v>
      </c>
      <c r="G2260" s="196" t="s">
        <v>11449</v>
      </c>
      <c r="H2260" s="196" t="s">
        <v>11235</v>
      </c>
    </row>
    <row r="2261" spans="1:8" x14ac:dyDescent="0.15">
      <c r="A2261" s="196" t="s">
        <v>11229</v>
      </c>
      <c r="B2261" s="196" t="s">
        <v>11230</v>
      </c>
      <c r="C2261" s="196" t="s">
        <v>16604</v>
      </c>
      <c r="D2261" s="196" t="s">
        <v>16605</v>
      </c>
      <c r="E2261" s="196" t="s">
        <v>16606</v>
      </c>
      <c r="F2261" s="196" t="s">
        <v>11268</v>
      </c>
      <c r="G2261" s="196" t="s">
        <v>11449</v>
      </c>
      <c r="H2261" s="196" t="s">
        <v>11235</v>
      </c>
    </row>
    <row r="2262" spans="1:8" x14ac:dyDescent="0.15">
      <c r="A2262" s="196" t="s">
        <v>11229</v>
      </c>
      <c r="B2262" s="196" t="s">
        <v>11230</v>
      </c>
      <c r="C2262" s="196" t="s">
        <v>16607</v>
      </c>
      <c r="D2262" s="196" t="s">
        <v>16608</v>
      </c>
      <c r="E2262" s="196" t="s">
        <v>16608</v>
      </c>
      <c r="F2262" s="196" t="s">
        <v>11233</v>
      </c>
      <c r="G2262" s="196" t="s">
        <v>11449</v>
      </c>
      <c r="H2262" s="196" t="s">
        <v>11235</v>
      </c>
    </row>
    <row r="2263" spans="1:8" x14ac:dyDescent="0.15">
      <c r="A2263" s="196" t="s">
        <v>11229</v>
      </c>
      <c r="B2263" s="196" t="s">
        <v>11230</v>
      </c>
      <c r="C2263" s="196" t="s">
        <v>16609</v>
      </c>
      <c r="D2263" s="196" t="s">
        <v>16610</v>
      </c>
      <c r="E2263" s="196" t="s">
        <v>16610</v>
      </c>
      <c r="F2263" s="196" t="s">
        <v>11233</v>
      </c>
      <c r="G2263" s="196" t="s">
        <v>11449</v>
      </c>
      <c r="H2263" s="196" t="s">
        <v>11235</v>
      </c>
    </row>
    <row r="2264" spans="1:8" x14ac:dyDescent="0.15">
      <c r="A2264" s="196" t="s">
        <v>11229</v>
      </c>
      <c r="B2264" s="196" t="s">
        <v>11230</v>
      </c>
      <c r="C2264" s="196" t="s">
        <v>16611</v>
      </c>
      <c r="D2264" s="196" t="s">
        <v>16612</v>
      </c>
      <c r="E2264" s="196" t="s">
        <v>16613</v>
      </c>
      <c r="F2264" s="196" t="s">
        <v>16614</v>
      </c>
      <c r="G2264" s="196" t="s">
        <v>11449</v>
      </c>
      <c r="H2264" s="196" t="s">
        <v>11235</v>
      </c>
    </row>
    <row r="2265" spans="1:8" x14ac:dyDescent="0.15">
      <c r="A2265" s="196" t="s">
        <v>11229</v>
      </c>
      <c r="B2265" s="196" t="s">
        <v>11230</v>
      </c>
      <c r="C2265" s="196" t="s">
        <v>16615</v>
      </c>
      <c r="D2265" s="196" t="s">
        <v>16616</v>
      </c>
      <c r="E2265" s="196" t="s">
        <v>16617</v>
      </c>
      <c r="F2265" s="196" t="s">
        <v>16618</v>
      </c>
      <c r="G2265" s="196" t="s">
        <v>11449</v>
      </c>
      <c r="H2265" s="196" t="s">
        <v>11235</v>
      </c>
    </row>
    <row r="2266" spans="1:8" x14ac:dyDescent="0.15">
      <c r="A2266" s="196" t="s">
        <v>11229</v>
      </c>
      <c r="B2266" s="196" t="s">
        <v>11230</v>
      </c>
      <c r="C2266" s="196" t="s">
        <v>16619</v>
      </c>
      <c r="D2266" s="196" t="s">
        <v>16620</v>
      </c>
      <c r="E2266" s="196" t="s">
        <v>16621</v>
      </c>
      <c r="F2266" s="196" t="s">
        <v>16622</v>
      </c>
      <c r="G2266" s="196" t="s">
        <v>11449</v>
      </c>
      <c r="H2266" s="196" t="s">
        <v>11235</v>
      </c>
    </row>
    <row r="2267" spans="1:8" x14ac:dyDescent="0.15">
      <c r="A2267" s="196" t="s">
        <v>11229</v>
      </c>
      <c r="B2267" s="196" t="s">
        <v>11230</v>
      </c>
      <c r="C2267" s="196" t="s">
        <v>16623</v>
      </c>
      <c r="D2267" s="196" t="s">
        <v>16624</v>
      </c>
      <c r="E2267" s="196" t="s">
        <v>16625</v>
      </c>
      <c r="F2267" s="196" t="s">
        <v>16626</v>
      </c>
      <c r="G2267" s="196" t="s">
        <v>11449</v>
      </c>
      <c r="H2267" s="196" t="s">
        <v>11235</v>
      </c>
    </row>
    <row r="2268" spans="1:8" x14ac:dyDescent="0.15">
      <c r="A2268" s="196" t="s">
        <v>11229</v>
      </c>
      <c r="B2268" s="196" t="s">
        <v>11230</v>
      </c>
      <c r="C2268" s="196" t="s">
        <v>16627</v>
      </c>
      <c r="D2268" s="196" t="s">
        <v>16625</v>
      </c>
      <c r="E2268" s="196" t="s">
        <v>16628</v>
      </c>
      <c r="F2268" s="196" t="s">
        <v>16629</v>
      </c>
      <c r="G2268" s="196" t="s">
        <v>11449</v>
      </c>
      <c r="H2268" s="196" t="s">
        <v>11235</v>
      </c>
    </row>
    <row r="2269" spans="1:8" x14ac:dyDescent="0.15">
      <c r="A2269" s="196" t="s">
        <v>11229</v>
      </c>
      <c r="B2269" s="196" t="s">
        <v>11230</v>
      </c>
      <c r="C2269" s="196" t="s">
        <v>16630</v>
      </c>
      <c r="D2269" s="196" t="s">
        <v>16631</v>
      </c>
      <c r="E2269" s="196" t="s">
        <v>16632</v>
      </c>
      <c r="F2269" s="196" t="s">
        <v>13023</v>
      </c>
      <c r="G2269" s="196" t="s">
        <v>11449</v>
      </c>
      <c r="H2269" s="196" t="s">
        <v>11235</v>
      </c>
    </row>
    <row r="2270" spans="1:8" x14ac:dyDescent="0.15">
      <c r="A2270" s="196" t="s">
        <v>11229</v>
      </c>
      <c r="B2270" s="196" t="s">
        <v>11230</v>
      </c>
      <c r="C2270" s="196" t="s">
        <v>16633</v>
      </c>
      <c r="D2270" s="196" t="s">
        <v>16634</v>
      </c>
      <c r="E2270" s="196" t="s">
        <v>16634</v>
      </c>
      <c r="F2270" s="196" t="s">
        <v>11233</v>
      </c>
      <c r="G2270" s="196" t="s">
        <v>11449</v>
      </c>
      <c r="H2270" s="196" t="s">
        <v>11235</v>
      </c>
    </row>
    <row r="2271" spans="1:8" x14ac:dyDescent="0.15">
      <c r="A2271" s="196" t="s">
        <v>11229</v>
      </c>
      <c r="B2271" s="196" t="s">
        <v>11230</v>
      </c>
      <c r="C2271" s="196" t="s">
        <v>16635</v>
      </c>
      <c r="D2271" s="196" t="s">
        <v>16636</v>
      </c>
      <c r="E2271" s="196" t="s">
        <v>16637</v>
      </c>
      <c r="F2271" s="196" t="s">
        <v>16638</v>
      </c>
      <c r="G2271" s="196" t="s">
        <v>11449</v>
      </c>
      <c r="H2271" s="196" t="s">
        <v>11235</v>
      </c>
    </row>
    <row r="2272" spans="1:8" x14ac:dyDescent="0.15">
      <c r="A2272" s="196" t="s">
        <v>11229</v>
      </c>
      <c r="B2272" s="196" t="s">
        <v>11230</v>
      </c>
      <c r="C2272" s="196" t="s">
        <v>16639</v>
      </c>
      <c r="D2272" s="196" t="s">
        <v>16640</v>
      </c>
      <c r="E2272" s="196" t="s">
        <v>16641</v>
      </c>
      <c r="F2272" s="196" t="s">
        <v>15961</v>
      </c>
      <c r="G2272" s="196" t="s">
        <v>11449</v>
      </c>
      <c r="H2272" s="196" t="s">
        <v>11235</v>
      </c>
    </row>
    <row r="2273" spans="1:8" x14ac:dyDescent="0.15">
      <c r="A2273" s="196" t="s">
        <v>11229</v>
      </c>
      <c r="B2273" s="196" t="s">
        <v>11230</v>
      </c>
      <c r="C2273" s="196" t="s">
        <v>16642</v>
      </c>
      <c r="D2273" s="196" t="s">
        <v>16643</v>
      </c>
      <c r="E2273" s="196" t="s">
        <v>16644</v>
      </c>
      <c r="F2273" s="196" t="s">
        <v>16645</v>
      </c>
      <c r="G2273" s="196" t="s">
        <v>11234</v>
      </c>
      <c r="H2273" s="196" t="s">
        <v>11235</v>
      </c>
    </row>
    <row r="2274" spans="1:8" x14ac:dyDescent="0.15">
      <c r="A2274" s="196" t="s">
        <v>11229</v>
      </c>
      <c r="B2274" s="196" t="s">
        <v>11230</v>
      </c>
      <c r="C2274" s="196" t="s">
        <v>16646</v>
      </c>
      <c r="D2274" s="196" t="s">
        <v>16647</v>
      </c>
      <c r="E2274" s="196" t="s">
        <v>16647</v>
      </c>
      <c r="F2274" s="196" t="s">
        <v>11233</v>
      </c>
      <c r="G2274" s="196" t="s">
        <v>11449</v>
      </c>
      <c r="H2274" s="196" t="s">
        <v>11235</v>
      </c>
    </row>
    <row r="2275" spans="1:8" x14ac:dyDescent="0.15">
      <c r="A2275" s="196" t="s">
        <v>11229</v>
      </c>
      <c r="B2275" s="196" t="s">
        <v>11230</v>
      </c>
      <c r="C2275" s="196" t="s">
        <v>16648</v>
      </c>
      <c r="D2275" s="196" t="s">
        <v>16649</v>
      </c>
      <c r="E2275" s="196" t="s">
        <v>16649</v>
      </c>
      <c r="F2275" s="196" t="s">
        <v>11233</v>
      </c>
      <c r="G2275" s="196" t="s">
        <v>11449</v>
      </c>
      <c r="H2275" s="196" t="s">
        <v>11235</v>
      </c>
    </row>
    <row r="2276" spans="1:8" x14ac:dyDescent="0.15">
      <c r="A2276" s="196" t="s">
        <v>11229</v>
      </c>
      <c r="B2276" s="196" t="s">
        <v>11230</v>
      </c>
      <c r="C2276" s="196" t="s">
        <v>16650</v>
      </c>
      <c r="D2276" s="196" t="s">
        <v>16651</v>
      </c>
      <c r="E2276" s="196" t="s">
        <v>16652</v>
      </c>
      <c r="F2276" s="196" t="s">
        <v>16653</v>
      </c>
      <c r="G2276" s="196" t="s">
        <v>11449</v>
      </c>
      <c r="H2276" s="196" t="s">
        <v>11235</v>
      </c>
    </row>
    <row r="2277" spans="1:8" x14ac:dyDescent="0.15">
      <c r="A2277" s="196" t="s">
        <v>11229</v>
      </c>
      <c r="B2277" s="196" t="s">
        <v>11230</v>
      </c>
      <c r="C2277" s="196" t="s">
        <v>16654</v>
      </c>
      <c r="D2277" s="196" t="s">
        <v>16652</v>
      </c>
      <c r="E2277" s="196" t="s">
        <v>16655</v>
      </c>
      <c r="F2277" s="196" t="s">
        <v>16656</v>
      </c>
      <c r="G2277" s="196" t="s">
        <v>11449</v>
      </c>
      <c r="H2277" s="196" t="s">
        <v>11235</v>
      </c>
    </row>
    <row r="2278" spans="1:8" x14ac:dyDescent="0.15">
      <c r="A2278" s="196" t="s">
        <v>11229</v>
      </c>
      <c r="B2278" s="196" t="s">
        <v>11230</v>
      </c>
      <c r="C2278" s="196" t="s">
        <v>16657</v>
      </c>
      <c r="D2278" s="196" t="s">
        <v>16658</v>
      </c>
      <c r="E2278" s="196" t="s">
        <v>16659</v>
      </c>
      <c r="F2278" s="196" t="s">
        <v>16660</v>
      </c>
      <c r="G2278" s="196" t="s">
        <v>11449</v>
      </c>
      <c r="H2278" s="196" t="s">
        <v>11235</v>
      </c>
    </row>
    <row r="2279" spans="1:8" x14ac:dyDescent="0.15">
      <c r="A2279" s="196" t="s">
        <v>11229</v>
      </c>
      <c r="B2279" s="196" t="s">
        <v>11230</v>
      </c>
      <c r="C2279" s="196" t="s">
        <v>16661</v>
      </c>
      <c r="D2279" s="196" t="s">
        <v>16662</v>
      </c>
      <c r="E2279" s="196" t="s">
        <v>16663</v>
      </c>
      <c r="F2279" s="196" t="s">
        <v>13023</v>
      </c>
      <c r="G2279" s="196" t="s">
        <v>11449</v>
      </c>
      <c r="H2279" s="196" t="s">
        <v>11235</v>
      </c>
    </row>
    <row r="2280" spans="1:8" x14ac:dyDescent="0.15">
      <c r="A2280" s="196" t="s">
        <v>11229</v>
      </c>
      <c r="B2280" s="196" t="s">
        <v>11230</v>
      </c>
      <c r="C2280" s="196" t="s">
        <v>16664</v>
      </c>
      <c r="D2280" s="196" t="s">
        <v>16663</v>
      </c>
      <c r="E2280" s="196" t="s">
        <v>16665</v>
      </c>
      <c r="F2280" s="196" t="s">
        <v>11241</v>
      </c>
      <c r="G2280" s="196" t="s">
        <v>11449</v>
      </c>
      <c r="H2280" s="196" t="s">
        <v>11235</v>
      </c>
    </row>
    <row r="2281" spans="1:8" x14ac:dyDescent="0.15">
      <c r="A2281" s="196" t="s">
        <v>11229</v>
      </c>
      <c r="B2281" s="196" t="s">
        <v>11230</v>
      </c>
      <c r="C2281" s="196" t="s">
        <v>16666</v>
      </c>
      <c r="D2281" s="196" t="s">
        <v>16667</v>
      </c>
      <c r="E2281" s="196" t="s">
        <v>16667</v>
      </c>
      <c r="F2281" s="196" t="s">
        <v>11233</v>
      </c>
      <c r="G2281" s="196" t="s">
        <v>11449</v>
      </c>
      <c r="H2281" s="196" t="s">
        <v>11235</v>
      </c>
    </row>
    <row r="2282" spans="1:8" x14ac:dyDescent="0.15">
      <c r="A2282" s="196" t="s">
        <v>11229</v>
      </c>
      <c r="B2282" s="196" t="s">
        <v>11230</v>
      </c>
      <c r="C2282" s="196" t="s">
        <v>16668</v>
      </c>
      <c r="D2282" s="196" t="s">
        <v>16669</v>
      </c>
      <c r="E2282" s="196" t="s">
        <v>16669</v>
      </c>
      <c r="F2282" s="196" t="s">
        <v>11233</v>
      </c>
      <c r="G2282" s="196" t="s">
        <v>11449</v>
      </c>
      <c r="H2282" s="196" t="s">
        <v>11235</v>
      </c>
    </row>
    <row r="2283" spans="1:8" x14ac:dyDescent="0.15">
      <c r="A2283" s="196" t="s">
        <v>11229</v>
      </c>
      <c r="B2283" s="196" t="s">
        <v>11230</v>
      </c>
      <c r="C2283" s="196" t="s">
        <v>16670</v>
      </c>
      <c r="D2283" s="196" t="s">
        <v>16671</v>
      </c>
      <c r="E2283" s="196" t="s">
        <v>16671</v>
      </c>
      <c r="F2283" s="196" t="s">
        <v>11233</v>
      </c>
      <c r="G2283" s="196" t="s">
        <v>11449</v>
      </c>
      <c r="H2283" s="196" t="s">
        <v>11235</v>
      </c>
    </row>
    <row r="2284" spans="1:8" x14ac:dyDescent="0.15">
      <c r="A2284" s="196" t="s">
        <v>11229</v>
      </c>
      <c r="B2284" s="196" t="s">
        <v>11230</v>
      </c>
      <c r="C2284" s="196" t="s">
        <v>16672</v>
      </c>
      <c r="D2284" s="196" t="s">
        <v>16673</v>
      </c>
      <c r="E2284" s="196" t="s">
        <v>16673</v>
      </c>
      <c r="F2284" s="196" t="s">
        <v>11233</v>
      </c>
      <c r="G2284" s="196" t="s">
        <v>11449</v>
      </c>
      <c r="H2284" s="196" t="s">
        <v>11235</v>
      </c>
    </row>
    <row r="2285" spans="1:8" x14ac:dyDescent="0.15">
      <c r="A2285" s="196" t="s">
        <v>11229</v>
      </c>
      <c r="B2285" s="196" t="s">
        <v>11230</v>
      </c>
      <c r="C2285" s="196" t="s">
        <v>16674</v>
      </c>
      <c r="D2285" s="196" t="s">
        <v>16675</v>
      </c>
      <c r="E2285" s="196" t="s">
        <v>16675</v>
      </c>
      <c r="F2285" s="196" t="s">
        <v>11233</v>
      </c>
      <c r="G2285" s="196" t="s">
        <v>11449</v>
      </c>
      <c r="H2285" s="196" t="s">
        <v>11235</v>
      </c>
    </row>
    <row r="2286" spans="1:8" x14ac:dyDescent="0.15">
      <c r="A2286" s="196" t="s">
        <v>11229</v>
      </c>
      <c r="B2286" s="196" t="s">
        <v>11230</v>
      </c>
      <c r="C2286" s="196" t="s">
        <v>16676</v>
      </c>
      <c r="D2286" s="196" t="s">
        <v>16677</v>
      </c>
      <c r="E2286" s="196" t="s">
        <v>16677</v>
      </c>
      <c r="F2286" s="196" t="s">
        <v>11233</v>
      </c>
      <c r="G2286" s="196" t="s">
        <v>11449</v>
      </c>
      <c r="H2286" s="196" t="s">
        <v>11235</v>
      </c>
    </row>
    <row r="2287" spans="1:8" x14ac:dyDescent="0.15">
      <c r="A2287" s="196" t="s">
        <v>11229</v>
      </c>
      <c r="B2287" s="196" t="s">
        <v>11230</v>
      </c>
      <c r="C2287" s="196" t="s">
        <v>16678</v>
      </c>
      <c r="D2287" s="196" t="s">
        <v>16679</v>
      </c>
      <c r="E2287" s="196" t="s">
        <v>16679</v>
      </c>
      <c r="F2287" s="196" t="s">
        <v>11233</v>
      </c>
      <c r="G2287" s="196" t="s">
        <v>11449</v>
      </c>
      <c r="H2287" s="196" t="s">
        <v>11235</v>
      </c>
    </row>
    <row r="2288" spans="1:8" x14ac:dyDescent="0.15">
      <c r="A2288" s="196" t="s">
        <v>11229</v>
      </c>
      <c r="B2288" s="196" t="s">
        <v>11230</v>
      </c>
      <c r="C2288" s="196" t="s">
        <v>16680</v>
      </c>
      <c r="D2288" s="196" t="s">
        <v>16681</v>
      </c>
      <c r="E2288" s="196" t="s">
        <v>16681</v>
      </c>
      <c r="F2288" s="196" t="s">
        <v>11233</v>
      </c>
      <c r="G2288" s="196" t="s">
        <v>11449</v>
      </c>
      <c r="H2288" s="196" t="s">
        <v>11235</v>
      </c>
    </row>
    <row r="2289" spans="1:8" x14ac:dyDescent="0.15">
      <c r="A2289" s="196" t="s">
        <v>11229</v>
      </c>
      <c r="B2289" s="196" t="s">
        <v>11230</v>
      </c>
      <c r="C2289" s="196" t="s">
        <v>16682</v>
      </c>
      <c r="D2289" s="196" t="s">
        <v>16683</v>
      </c>
      <c r="E2289" s="196" t="s">
        <v>16683</v>
      </c>
      <c r="F2289" s="196" t="s">
        <v>11233</v>
      </c>
      <c r="G2289" s="196" t="s">
        <v>11449</v>
      </c>
      <c r="H2289" s="196" t="s">
        <v>11235</v>
      </c>
    </row>
    <row r="2290" spans="1:8" x14ac:dyDescent="0.15">
      <c r="A2290" s="196" t="s">
        <v>11229</v>
      </c>
      <c r="B2290" s="196" t="s">
        <v>11230</v>
      </c>
      <c r="C2290" s="196" t="s">
        <v>16684</v>
      </c>
      <c r="D2290" s="196" t="s">
        <v>16685</v>
      </c>
      <c r="E2290" s="196" t="s">
        <v>16685</v>
      </c>
      <c r="F2290" s="196" t="s">
        <v>11233</v>
      </c>
      <c r="G2290" s="196" t="s">
        <v>11449</v>
      </c>
      <c r="H2290" s="196" t="s">
        <v>11235</v>
      </c>
    </row>
    <row r="2291" spans="1:8" x14ac:dyDescent="0.15">
      <c r="A2291" s="196" t="s">
        <v>11229</v>
      </c>
      <c r="B2291" s="196" t="s">
        <v>11230</v>
      </c>
      <c r="C2291" s="196" t="s">
        <v>16686</v>
      </c>
      <c r="D2291" s="196" t="s">
        <v>16687</v>
      </c>
      <c r="E2291" s="196" t="s">
        <v>16687</v>
      </c>
      <c r="F2291" s="196" t="s">
        <v>11233</v>
      </c>
      <c r="G2291" s="196" t="s">
        <v>11449</v>
      </c>
      <c r="H2291" s="196" t="s">
        <v>11235</v>
      </c>
    </row>
    <row r="2292" spans="1:8" x14ac:dyDescent="0.15">
      <c r="A2292" s="196" t="s">
        <v>11229</v>
      </c>
      <c r="B2292" s="196" t="s">
        <v>11230</v>
      </c>
      <c r="C2292" s="196" t="s">
        <v>16688</v>
      </c>
      <c r="D2292" s="196" t="s">
        <v>16689</v>
      </c>
      <c r="E2292" s="196" t="s">
        <v>16689</v>
      </c>
      <c r="F2292" s="196" t="s">
        <v>11233</v>
      </c>
      <c r="G2292" s="196" t="s">
        <v>11449</v>
      </c>
      <c r="H2292" s="196" t="s">
        <v>11235</v>
      </c>
    </row>
    <row r="2293" spans="1:8" x14ac:dyDescent="0.15">
      <c r="A2293" s="196" t="s">
        <v>11229</v>
      </c>
      <c r="B2293" s="196" t="s">
        <v>11230</v>
      </c>
      <c r="C2293" s="196" t="s">
        <v>16690</v>
      </c>
      <c r="D2293" s="196" t="s">
        <v>16691</v>
      </c>
      <c r="E2293" s="196" t="s">
        <v>16692</v>
      </c>
      <c r="F2293" s="196" t="s">
        <v>13023</v>
      </c>
      <c r="G2293" s="196" t="s">
        <v>11449</v>
      </c>
      <c r="H2293" s="196" t="s">
        <v>11235</v>
      </c>
    </row>
    <row r="2294" spans="1:8" x14ac:dyDescent="0.15">
      <c r="A2294" s="196" t="s">
        <v>11229</v>
      </c>
      <c r="B2294" s="196" t="s">
        <v>11230</v>
      </c>
      <c r="C2294" s="196" t="s">
        <v>16693</v>
      </c>
      <c r="D2294" s="196" t="s">
        <v>16694</v>
      </c>
      <c r="E2294" s="196" t="s">
        <v>16694</v>
      </c>
      <c r="F2294" s="196" t="s">
        <v>11233</v>
      </c>
      <c r="G2294" s="196" t="s">
        <v>11449</v>
      </c>
      <c r="H2294" s="196" t="s">
        <v>11235</v>
      </c>
    </row>
    <row r="2295" spans="1:8" x14ac:dyDescent="0.15">
      <c r="A2295" s="196" t="s">
        <v>11229</v>
      </c>
      <c r="B2295" s="196" t="s">
        <v>11230</v>
      </c>
      <c r="C2295" s="196" t="s">
        <v>16695</v>
      </c>
      <c r="D2295" s="196" t="s">
        <v>16696</v>
      </c>
      <c r="E2295" s="196" t="s">
        <v>16696</v>
      </c>
      <c r="F2295" s="196" t="s">
        <v>11233</v>
      </c>
      <c r="G2295" s="196" t="s">
        <v>11449</v>
      </c>
      <c r="H2295" s="196" t="s">
        <v>11235</v>
      </c>
    </row>
    <row r="2296" spans="1:8" x14ac:dyDescent="0.15">
      <c r="A2296" s="196" t="s">
        <v>11229</v>
      </c>
      <c r="B2296" s="196" t="s">
        <v>11230</v>
      </c>
      <c r="C2296" s="196" t="s">
        <v>16697</v>
      </c>
      <c r="D2296" s="196" t="s">
        <v>16698</v>
      </c>
      <c r="E2296" s="196" t="s">
        <v>16698</v>
      </c>
      <c r="F2296" s="196" t="s">
        <v>11233</v>
      </c>
      <c r="G2296" s="196" t="s">
        <v>11449</v>
      </c>
      <c r="H2296" s="196" t="s">
        <v>11235</v>
      </c>
    </row>
    <row r="2297" spans="1:8" x14ac:dyDescent="0.15">
      <c r="A2297" s="196" t="s">
        <v>11229</v>
      </c>
      <c r="B2297" s="196" t="s">
        <v>11230</v>
      </c>
      <c r="C2297" s="196" t="s">
        <v>16699</v>
      </c>
      <c r="D2297" s="196" t="s">
        <v>16700</v>
      </c>
      <c r="E2297" s="196" t="s">
        <v>16700</v>
      </c>
      <c r="F2297" s="196" t="s">
        <v>11233</v>
      </c>
      <c r="G2297" s="196" t="s">
        <v>11449</v>
      </c>
      <c r="H2297" s="196" t="s">
        <v>11235</v>
      </c>
    </row>
    <row r="2298" spans="1:8" x14ac:dyDescent="0.15">
      <c r="A2298" s="196" t="s">
        <v>11229</v>
      </c>
      <c r="B2298" s="196" t="s">
        <v>11230</v>
      </c>
      <c r="C2298" s="196" t="s">
        <v>16701</v>
      </c>
      <c r="D2298" s="196" t="s">
        <v>16702</v>
      </c>
      <c r="E2298" s="196" t="s">
        <v>16702</v>
      </c>
      <c r="F2298" s="196" t="s">
        <v>11233</v>
      </c>
      <c r="G2298" s="196" t="s">
        <v>11449</v>
      </c>
      <c r="H2298" s="196" t="s">
        <v>11235</v>
      </c>
    </row>
    <row r="2299" spans="1:8" x14ac:dyDescent="0.15">
      <c r="A2299" s="196" t="s">
        <v>11229</v>
      </c>
      <c r="B2299" s="196" t="s">
        <v>11230</v>
      </c>
      <c r="C2299" s="196" t="s">
        <v>16703</v>
      </c>
      <c r="D2299" s="196" t="s">
        <v>16704</v>
      </c>
      <c r="E2299" s="196" t="s">
        <v>16704</v>
      </c>
      <c r="F2299" s="196" t="s">
        <v>11233</v>
      </c>
      <c r="G2299" s="196" t="s">
        <v>11449</v>
      </c>
      <c r="H2299" s="196" t="s">
        <v>11235</v>
      </c>
    </row>
    <row r="2300" spans="1:8" x14ac:dyDescent="0.15">
      <c r="A2300" s="196" t="s">
        <v>11229</v>
      </c>
      <c r="B2300" s="196" t="s">
        <v>11230</v>
      </c>
      <c r="C2300" s="196" t="s">
        <v>16705</v>
      </c>
      <c r="D2300" s="196" t="s">
        <v>16706</v>
      </c>
      <c r="E2300" s="196" t="s">
        <v>16706</v>
      </c>
      <c r="F2300" s="196" t="s">
        <v>11233</v>
      </c>
      <c r="G2300" s="196" t="s">
        <v>11449</v>
      </c>
      <c r="H2300" s="196" t="s">
        <v>11235</v>
      </c>
    </row>
    <row r="2301" spans="1:8" x14ac:dyDescent="0.15">
      <c r="A2301" s="196" t="s">
        <v>11229</v>
      </c>
      <c r="B2301" s="196" t="s">
        <v>11230</v>
      </c>
      <c r="C2301" s="196" t="s">
        <v>16707</v>
      </c>
      <c r="D2301" s="196" t="s">
        <v>16708</v>
      </c>
      <c r="E2301" s="196" t="s">
        <v>16708</v>
      </c>
      <c r="F2301" s="196" t="s">
        <v>11233</v>
      </c>
      <c r="G2301" s="196" t="s">
        <v>11449</v>
      </c>
      <c r="H2301" s="196" t="s">
        <v>11235</v>
      </c>
    </row>
    <row r="2302" spans="1:8" x14ac:dyDescent="0.15">
      <c r="A2302" s="196" t="s">
        <v>11229</v>
      </c>
      <c r="B2302" s="196" t="s">
        <v>11230</v>
      </c>
      <c r="C2302" s="196" t="s">
        <v>16709</v>
      </c>
      <c r="D2302" s="196" t="s">
        <v>16710</v>
      </c>
      <c r="E2302" s="196" t="s">
        <v>16710</v>
      </c>
      <c r="F2302" s="196" t="s">
        <v>11233</v>
      </c>
      <c r="G2302" s="196" t="s">
        <v>11449</v>
      </c>
      <c r="H2302" s="196" t="s">
        <v>11235</v>
      </c>
    </row>
    <row r="2303" spans="1:8" x14ac:dyDescent="0.15">
      <c r="A2303" s="196" t="s">
        <v>11229</v>
      </c>
      <c r="B2303" s="196" t="s">
        <v>11230</v>
      </c>
      <c r="C2303" s="196" t="s">
        <v>16711</v>
      </c>
      <c r="D2303" s="196" t="s">
        <v>16712</v>
      </c>
      <c r="E2303" s="196" t="s">
        <v>16712</v>
      </c>
      <c r="F2303" s="196" t="s">
        <v>11233</v>
      </c>
      <c r="G2303" s="196" t="s">
        <v>11449</v>
      </c>
      <c r="H2303" s="196" t="s">
        <v>11235</v>
      </c>
    </row>
    <row r="2304" spans="1:8" x14ac:dyDescent="0.15">
      <c r="A2304" s="196" t="s">
        <v>11229</v>
      </c>
      <c r="B2304" s="196" t="s">
        <v>11230</v>
      </c>
      <c r="C2304" s="196" t="s">
        <v>16713</v>
      </c>
      <c r="D2304" s="196" t="s">
        <v>16714</v>
      </c>
      <c r="E2304" s="196" t="s">
        <v>16715</v>
      </c>
      <c r="F2304" s="196" t="s">
        <v>16716</v>
      </c>
      <c r="G2304" s="196" t="s">
        <v>11449</v>
      </c>
      <c r="H2304" s="196" t="s">
        <v>11235</v>
      </c>
    </row>
    <row r="2305" spans="1:8" x14ac:dyDescent="0.15">
      <c r="A2305" s="196" t="s">
        <v>11229</v>
      </c>
      <c r="B2305" s="196" t="s">
        <v>11230</v>
      </c>
      <c r="C2305" s="196" t="s">
        <v>16717</v>
      </c>
      <c r="D2305" s="196" t="s">
        <v>16718</v>
      </c>
      <c r="E2305" s="196" t="s">
        <v>16719</v>
      </c>
      <c r="F2305" s="196" t="s">
        <v>16720</v>
      </c>
      <c r="G2305" s="196" t="s">
        <v>11234</v>
      </c>
      <c r="H2305" s="196" t="s">
        <v>11235</v>
      </c>
    </row>
    <row r="2306" spans="1:8" x14ac:dyDescent="0.15">
      <c r="A2306" s="196" t="s">
        <v>11229</v>
      </c>
      <c r="B2306" s="196" t="s">
        <v>11230</v>
      </c>
      <c r="C2306" s="196" t="s">
        <v>16721</v>
      </c>
      <c r="D2306" s="196" t="s">
        <v>16722</v>
      </c>
      <c r="E2306" s="196" t="s">
        <v>16723</v>
      </c>
      <c r="F2306" s="196" t="s">
        <v>16724</v>
      </c>
      <c r="G2306" s="196" t="s">
        <v>11234</v>
      </c>
      <c r="H2306" s="196" t="s">
        <v>11235</v>
      </c>
    </row>
    <row r="2307" spans="1:8" x14ac:dyDescent="0.15">
      <c r="A2307" s="196" t="s">
        <v>11229</v>
      </c>
      <c r="B2307" s="196" t="s">
        <v>11230</v>
      </c>
      <c r="C2307" s="196" t="s">
        <v>16725</v>
      </c>
      <c r="D2307" s="196" t="s">
        <v>16726</v>
      </c>
      <c r="E2307" s="196" t="s">
        <v>16727</v>
      </c>
      <c r="F2307" s="196" t="s">
        <v>16728</v>
      </c>
      <c r="G2307" s="196" t="s">
        <v>11449</v>
      </c>
      <c r="H2307" s="196" t="s">
        <v>11235</v>
      </c>
    </row>
    <row r="2308" spans="1:8" x14ac:dyDescent="0.15">
      <c r="A2308" s="196" t="s">
        <v>11229</v>
      </c>
      <c r="B2308" s="196" t="s">
        <v>11230</v>
      </c>
      <c r="C2308" s="196" t="s">
        <v>16729</v>
      </c>
      <c r="D2308" s="196" t="s">
        <v>16730</v>
      </c>
      <c r="E2308" s="196" t="s">
        <v>16731</v>
      </c>
      <c r="F2308" s="196" t="s">
        <v>16732</v>
      </c>
      <c r="G2308" s="196" t="s">
        <v>11720</v>
      </c>
      <c r="H2308" s="196" t="s">
        <v>12712</v>
      </c>
    </row>
    <row r="2309" spans="1:8" x14ac:dyDescent="0.15">
      <c r="A2309" s="196" t="s">
        <v>11229</v>
      </c>
      <c r="B2309" s="196" t="s">
        <v>11230</v>
      </c>
      <c r="C2309" s="196" t="s">
        <v>16733</v>
      </c>
      <c r="D2309" s="196" t="s">
        <v>16734</v>
      </c>
      <c r="E2309" s="196" t="s">
        <v>16735</v>
      </c>
      <c r="F2309" s="196" t="s">
        <v>16736</v>
      </c>
      <c r="G2309" s="196" t="s">
        <v>11234</v>
      </c>
      <c r="H2309" s="196" t="s">
        <v>11235</v>
      </c>
    </row>
    <row r="2310" spans="1:8" x14ac:dyDescent="0.15">
      <c r="A2310" s="196" t="s">
        <v>11229</v>
      </c>
      <c r="B2310" s="196" t="s">
        <v>11230</v>
      </c>
      <c r="C2310" s="196" t="s">
        <v>16737</v>
      </c>
      <c r="D2310" s="196" t="s">
        <v>16738</v>
      </c>
      <c r="E2310" s="196" t="s">
        <v>16738</v>
      </c>
      <c r="F2310" s="196" t="s">
        <v>11233</v>
      </c>
      <c r="G2310" s="196" t="s">
        <v>11449</v>
      </c>
      <c r="H2310" s="196" t="s">
        <v>11235</v>
      </c>
    </row>
    <row r="2311" spans="1:8" x14ac:dyDescent="0.15">
      <c r="A2311" s="196" t="s">
        <v>11229</v>
      </c>
      <c r="B2311" s="196" t="s">
        <v>11230</v>
      </c>
      <c r="C2311" s="196" t="s">
        <v>16739</v>
      </c>
      <c r="D2311" s="196" t="s">
        <v>16740</v>
      </c>
      <c r="E2311" s="196" t="s">
        <v>16740</v>
      </c>
      <c r="F2311" s="196" t="s">
        <v>11233</v>
      </c>
      <c r="G2311" s="196" t="s">
        <v>11449</v>
      </c>
      <c r="H2311" s="196" t="s">
        <v>11235</v>
      </c>
    </row>
    <row r="2312" spans="1:8" x14ac:dyDescent="0.15">
      <c r="A2312" s="196" t="s">
        <v>11229</v>
      </c>
      <c r="B2312" s="196" t="s">
        <v>11230</v>
      </c>
      <c r="C2312" s="196" t="s">
        <v>16741</v>
      </c>
      <c r="D2312" s="196" t="s">
        <v>16742</v>
      </c>
      <c r="E2312" s="196" t="s">
        <v>16742</v>
      </c>
      <c r="F2312" s="196" t="s">
        <v>11233</v>
      </c>
      <c r="G2312" s="196" t="s">
        <v>11449</v>
      </c>
      <c r="H2312" s="196" t="s">
        <v>11235</v>
      </c>
    </row>
    <row r="2313" spans="1:8" x14ac:dyDescent="0.15">
      <c r="A2313" s="196" t="s">
        <v>11229</v>
      </c>
      <c r="B2313" s="196" t="s">
        <v>11230</v>
      </c>
      <c r="C2313" s="196" t="s">
        <v>16743</v>
      </c>
      <c r="D2313" s="196" t="s">
        <v>16744</v>
      </c>
      <c r="E2313" s="196" t="s">
        <v>16744</v>
      </c>
      <c r="F2313" s="196" t="s">
        <v>11233</v>
      </c>
      <c r="G2313" s="196" t="s">
        <v>11449</v>
      </c>
      <c r="H2313" s="196" t="s">
        <v>11235</v>
      </c>
    </row>
    <row r="2314" spans="1:8" x14ac:dyDescent="0.15">
      <c r="A2314" s="196" t="s">
        <v>11229</v>
      </c>
      <c r="B2314" s="196" t="s">
        <v>11230</v>
      </c>
      <c r="C2314" s="196" t="s">
        <v>16745</v>
      </c>
      <c r="D2314" s="196" t="s">
        <v>16746</v>
      </c>
      <c r="E2314" s="196" t="s">
        <v>16746</v>
      </c>
      <c r="F2314" s="196" t="s">
        <v>11233</v>
      </c>
      <c r="G2314" s="196" t="s">
        <v>11449</v>
      </c>
      <c r="H2314" s="196" t="s">
        <v>11235</v>
      </c>
    </row>
    <row r="2315" spans="1:8" x14ac:dyDescent="0.15">
      <c r="A2315" s="196" t="s">
        <v>11229</v>
      </c>
      <c r="B2315" s="196" t="s">
        <v>11230</v>
      </c>
      <c r="C2315" s="196" t="s">
        <v>16747</v>
      </c>
      <c r="D2315" s="196" t="s">
        <v>16748</v>
      </c>
      <c r="E2315" s="196" t="s">
        <v>16748</v>
      </c>
      <c r="F2315" s="196" t="s">
        <v>11233</v>
      </c>
      <c r="G2315" s="196" t="s">
        <v>11449</v>
      </c>
      <c r="H2315" s="196" t="s">
        <v>11235</v>
      </c>
    </row>
    <row r="2316" spans="1:8" x14ac:dyDescent="0.15">
      <c r="A2316" s="196" t="s">
        <v>11229</v>
      </c>
      <c r="B2316" s="196" t="s">
        <v>11230</v>
      </c>
      <c r="C2316" s="196" t="s">
        <v>16749</v>
      </c>
      <c r="D2316" s="196" t="s">
        <v>16750</v>
      </c>
      <c r="E2316" s="196" t="s">
        <v>16750</v>
      </c>
      <c r="F2316" s="196" t="s">
        <v>11233</v>
      </c>
      <c r="G2316" s="196" t="s">
        <v>11449</v>
      </c>
      <c r="H2316" s="196" t="s">
        <v>11235</v>
      </c>
    </row>
    <row r="2317" spans="1:8" x14ac:dyDescent="0.15">
      <c r="A2317" s="196" t="s">
        <v>11229</v>
      </c>
      <c r="B2317" s="196" t="s">
        <v>11230</v>
      </c>
      <c r="C2317" s="196" t="s">
        <v>16751</v>
      </c>
      <c r="D2317" s="196" t="s">
        <v>16752</v>
      </c>
      <c r="E2317" s="196" t="s">
        <v>16752</v>
      </c>
      <c r="F2317" s="196" t="s">
        <v>11233</v>
      </c>
      <c r="G2317" s="196" t="s">
        <v>11449</v>
      </c>
      <c r="H2317" s="196" t="s">
        <v>11235</v>
      </c>
    </row>
    <row r="2318" spans="1:8" x14ac:dyDescent="0.15">
      <c r="A2318" s="196" t="s">
        <v>11229</v>
      </c>
      <c r="B2318" s="196" t="s">
        <v>11230</v>
      </c>
      <c r="C2318" s="196" t="s">
        <v>16753</v>
      </c>
      <c r="D2318" s="196" t="s">
        <v>16754</v>
      </c>
      <c r="E2318" s="196" t="s">
        <v>16754</v>
      </c>
      <c r="F2318" s="196" t="s">
        <v>11233</v>
      </c>
      <c r="G2318" s="196" t="s">
        <v>11449</v>
      </c>
      <c r="H2318" s="196" t="s">
        <v>11235</v>
      </c>
    </row>
    <row r="2319" spans="1:8" x14ac:dyDescent="0.15">
      <c r="A2319" s="196" t="s">
        <v>11229</v>
      </c>
      <c r="B2319" s="196" t="s">
        <v>11230</v>
      </c>
      <c r="C2319" s="196" t="s">
        <v>16755</v>
      </c>
      <c r="D2319" s="196" t="s">
        <v>16756</v>
      </c>
      <c r="E2319" s="196" t="s">
        <v>16756</v>
      </c>
      <c r="F2319" s="196" t="s">
        <v>11233</v>
      </c>
      <c r="G2319" s="196" t="s">
        <v>11449</v>
      </c>
      <c r="H2319" s="196" t="s">
        <v>11235</v>
      </c>
    </row>
    <row r="2320" spans="1:8" x14ac:dyDescent="0.15">
      <c r="A2320" s="196" t="s">
        <v>11229</v>
      </c>
      <c r="B2320" s="196" t="s">
        <v>11230</v>
      </c>
      <c r="C2320" s="196" t="s">
        <v>16757</v>
      </c>
      <c r="D2320" s="196" t="s">
        <v>16758</v>
      </c>
      <c r="E2320" s="196" t="s">
        <v>16758</v>
      </c>
      <c r="F2320" s="196" t="s">
        <v>11233</v>
      </c>
      <c r="G2320" s="196" t="s">
        <v>11449</v>
      </c>
      <c r="H2320" s="196" t="s">
        <v>11235</v>
      </c>
    </row>
    <row r="2321" spans="1:8" x14ac:dyDescent="0.15">
      <c r="A2321" s="196" t="s">
        <v>11229</v>
      </c>
      <c r="B2321" s="196" t="s">
        <v>11230</v>
      </c>
      <c r="C2321" s="196" t="s">
        <v>16759</v>
      </c>
      <c r="D2321" s="196" t="s">
        <v>16760</v>
      </c>
      <c r="E2321" s="196" t="s">
        <v>16760</v>
      </c>
      <c r="F2321" s="196" t="s">
        <v>11233</v>
      </c>
      <c r="G2321" s="196" t="s">
        <v>11449</v>
      </c>
      <c r="H2321" s="196" t="s">
        <v>11235</v>
      </c>
    </row>
    <row r="2322" spans="1:8" x14ac:dyDescent="0.15">
      <c r="A2322" s="196" t="s">
        <v>11229</v>
      </c>
      <c r="B2322" s="196" t="s">
        <v>11230</v>
      </c>
      <c r="C2322" s="196" t="s">
        <v>16761</v>
      </c>
      <c r="D2322" s="196" t="s">
        <v>16762</v>
      </c>
      <c r="E2322" s="196" t="s">
        <v>16762</v>
      </c>
      <c r="F2322" s="196" t="s">
        <v>11233</v>
      </c>
      <c r="G2322" s="196" t="s">
        <v>11449</v>
      </c>
      <c r="H2322" s="196" t="s">
        <v>11235</v>
      </c>
    </row>
    <row r="2323" spans="1:8" x14ac:dyDescent="0.15">
      <c r="A2323" s="196" t="s">
        <v>11229</v>
      </c>
      <c r="B2323" s="196" t="s">
        <v>11230</v>
      </c>
      <c r="C2323" s="196" t="s">
        <v>16763</v>
      </c>
      <c r="D2323" s="196" t="s">
        <v>16764</v>
      </c>
      <c r="E2323" s="196" t="s">
        <v>16764</v>
      </c>
      <c r="F2323" s="196" t="s">
        <v>11233</v>
      </c>
      <c r="G2323" s="196" t="s">
        <v>11449</v>
      </c>
      <c r="H2323" s="196" t="s">
        <v>11235</v>
      </c>
    </row>
    <row r="2324" spans="1:8" x14ac:dyDescent="0.15">
      <c r="A2324" s="196" t="s">
        <v>11229</v>
      </c>
      <c r="B2324" s="196" t="s">
        <v>11230</v>
      </c>
      <c r="C2324" s="196" t="s">
        <v>16765</v>
      </c>
      <c r="D2324" s="196" t="s">
        <v>16766</v>
      </c>
      <c r="E2324" s="196" t="s">
        <v>16766</v>
      </c>
      <c r="F2324" s="196" t="s">
        <v>11233</v>
      </c>
      <c r="G2324" s="196" t="s">
        <v>11449</v>
      </c>
      <c r="H2324" s="196" t="s">
        <v>11235</v>
      </c>
    </row>
    <row r="2325" spans="1:8" x14ac:dyDescent="0.15">
      <c r="A2325" s="196" t="s">
        <v>11229</v>
      </c>
      <c r="B2325" s="196" t="s">
        <v>11230</v>
      </c>
      <c r="C2325" s="196" t="s">
        <v>16767</v>
      </c>
      <c r="D2325" s="196" t="s">
        <v>16768</v>
      </c>
      <c r="E2325" s="196" t="s">
        <v>16768</v>
      </c>
      <c r="F2325" s="196" t="s">
        <v>11233</v>
      </c>
      <c r="G2325" s="196" t="s">
        <v>11449</v>
      </c>
      <c r="H2325" s="196" t="s">
        <v>11235</v>
      </c>
    </row>
    <row r="2326" spans="1:8" x14ac:dyDescent="0.15">
      <c r="A2326" s="196" t="s">
        <v>11229</v>
      </c>
      <c r="B2326" s="196" t="s">
        <v>11230</v>
      </c>
      <c r="C2326" s="196" t="s">
        <v>16769</v>
      </c>
      <c r="D2326" s="196" t="s">
        <v>16770</v>
      </c>
      <c r="E2326" s="196" t="s">
        <v>16770</v>
      </c>
      <c r="F2326" s="196" t="s">
        <v>11233</v>
      </c>
      <c r="G2326" s="196" t="s">
        <v>11449</v>
      </c>
      <c r="H2326" s="196" t="s">
        <v>11235</v>
      </c>
    </row>
    <row r="2327" spans="1:8" x14ac:dyDescent="0.15">
      <c r="A2327" s="196" t="s">
        <v>11229</v>
      </c>
      <c r="B2327" s="196" t="s">
        <v>11230</v>
      </c>
      <c r="C2327" s="196" t="s">
        <v>16771</v>
      </c>
      <c r="D2327" s="196" t="s">
        <v>16772</v>
      </c>
      <c r="E2327" s="196" t="s">
        <v>16773</v>
      </c>
      <c r="F2327" s="196" t="s">
        <v>16774</v>
      </c>
      <c r="G2327" s="196" t="s">
        <v>11449</v>
      </c>
      <c r="H2327" s="196" t="s">
        <v>11235</v>
      </c>
    </row>
    <row r="2328" spans="1:8" x14ac:dyDescent="0.15">
      <c r="A2328" s="196" t="s">
        <v>11229</v>
      </c>
      <c r="B2328" s="196" t="s">
        <v>11230</v>
      </c>
      <c r="C2328" s="196" t="s">
        <v>16775</v>
      </c>
      <c r="D2328" s="196" t="s">
        <v>16776</v>
      </c>
      <c r="E2328" s="196" t="s">
        <v>16776</v>
      </c>
      <c r="F2328" s="196" t="s">
        <v>11233</v>
      </c>
      <c r="G2328" s="196" t="s">
        <v>11449</v>
      </c>
      <c r="H2328" s="196" t="s">
        <v>11235</v>
      </c>
    </row>
    <row r="2329" spans="1:8" x14ac:dyDescent="0.15">
      <c r="A2329" s="196" t="s">
        <v>11229</v>
      </c>
      <c r="B2329" s="196" t="s">
        <v>11230</v>
      </c>
      <c r="C2329" s="196" t="s">
        <v>16777</v>
      </c>
      <c r="D2329" s="196" t="s">
        <v>16778</v>
      </c>
      <c r="E2329" s="196" t="s">
        <v>16778</v>
      </c>
      <c r="F2329" s="196" t="s">
        <v>11233</v>
      </c>
      <c r="G2329" s="196" t="s">
        <v>11449</v>
      </c>
      <c r="H2329" s="196" t="s">
        <v>11235</v>
      </c>
    </row>
    <row r="2330" spans="1:8" x14ac:dyDescent="0.15">
      <c r="A2330" s="196" t="s">
        <v>11229</v>
      </c>
      <c r="B2330" s="196" t="s">
        <v>11230</v>
      </c>
      <c r="C2330" s="196" t="s">
        <v>16779</v>
      </c>
      <c r="D2330" s="196" t="s">
        <v>16780</v>
      </c>
      <c r="E2330" s="196" t="s">
        <v>16780</v>
      </c>
      <c r="F2330" s="196" t="s">
        <v>11233</v>
      </c>
      <c r="G2330" s="196" t="s">
        <v>11449</v>
      </c>
      <c r="H2330" s="196" t="s">
        <v>11235</v>
      </c>
    </row>
    <row r="2331" spans="1:8" x14ac:dyDescent="0.15">
      <c r="A2331" s="196" t="s">
        <v>11229</v>
      </c>
      <c r="B2331" s="196" t="s">
        <v>11230</v>
      </c>
      <c r="C2331" s="196" t="s">
        <v>16781</v>
      </c>
      <c r="D2331" s="196" t="s">
        <v>16782</v>
      </c>
      <c r="E2331" s="196" t="s">
        <v>16782</v>
      </c>
      <c r="F2331" s="196" t="s">
        <v>11233</v>
      </c>
      <c r="G2331" s="196" t="s">
        <v>11449</v>
      </c>
      <c r="H2331" s="196" t="s">
        <v>11235</v>
      </c>
    </row>
    <row r="2332" spans="1:8" x14ac:dyDescent="0.15">
      <c r="A2332" s="196" t="s">
        <v>11229</v>
      </c>
      <c r="B2332" s="196" t="s">
        <v>11230</v>
      </c>
      <c r="C2332" s="196" t="s">
        <v>16783</v>
      </c>
      <c r="D2332" s="196" t="s">
        <v>16784</v>
      </c>
      <c r="E2332" s="196" t="s">
        <v>16784</v>
      </c>
      <c r="F2332" s="196" t="s">
        <v>11233</v>
      </c>
      <c r="G2332" s="196" t="s">
        <v>11449</v>
      </c>
      <c r="H2332" s="196" t="s">
        <v>11235</v>
      </c>
    </row>
    <row r="2333" spans="1:8" x14ac:dyDescent="0.15">
      <c r="A2333" s="196" t="s">
        <v>11229</v>
      </c>
      <c r="B2333" s="196" t="s">
        <v>11230</v>
      </c>
      <c r="C2333" s="196" t="s">
        <v>16785</v>
      </c>
      <c r="D2333" s="196" t="s">
        <v>16786</v>
      </c>
      <c r="E2333" s="196" t="s">
        <v>16787</v>
      </c>
      <c r="F2333" s="196" t="s">
        <v>16788</v>
      </c>
      <c r="G2333" s="196" t="s">
        <v>11449</v>
      </c>
      <c r="H2333" s="196" t="s">
        <v>12712</v>
      </c>
    </row>
    <row r="2334" spans="1:8" x14ac:dyDescent="0.15">
      <c r="A2334" s="196" t="s">
        <v>11229</v>
      </c>
      <c r="B2334" s="196" t="s">
        <v>11230</v>
      </c>
      <c r="C2334" s="196" t="s">
        <v>16789</v>
      </c>
      <c r="D2334" s="196" t="s">
        <v>16786</v>
      </c>
      <c r="E2334" s="196" t="s">
        <v>16787</v>
      </c>
      <c r="F2334" s="196" t="s">
        <v>16788</v>
      </c>
      <c r="G2334" s="196" t="s">
        <v>11449</v>
      </c>
      <c r="H2334" s="196" t="s">
        <v>12712</v>
      </c>
    </row>
    <row r="2335" spans="1:8" x14ac:dyDescent="0.15">
      <c r="A2335" s="196" t="s">
        <v>11229</v>
      </c>
      <c r="B2335" s="196" t="s">
        <v>11230</v>
      </c>
      <c r="C2335" s="196" t="s">
        <v>16790</v>
      </c>
      <c r="D2335" s="196" t="s">
        <v>16786</v>
      </c>
      <c r="E2335" s="196" t="s">
        <v>16791</v>
      </c>
      <c r="F2335" s="196" t="s">
        <v>16792</v>
      </c>
      <c r="G2335" s="196" t="s">
        <v>11449</v>
      </c>
      <c r="H2335" s="196" t="s">
        <v>12712</v>
      </c>
    </row>
    <row r="2336" spans="1:8" x14ac:dyDescent="0.15">
      <c r="A2336" s="196" t="s">
        <v>11229</v>
      </c>
      <c r="B2336" s="196" t="s">
        <v>11230</v>
      </c>
      <c r="C2336" s="196" t="s">
        <v>16793</v>
      </c>
      <c r="D2336" s="196" t="s">
        <v>16786</v>
      </c>
      <c r="E2336" s="196" t="s">
        <v>16787</v>
      </c>
      <c r="F2336" s="196" t="s">
        <v>16788</v>
      </c>
      <c r="G2336" s="196" t="s">
        <v>11449</v>
      </c>
      <c r="H2336" s="196" t="s">
        <v>12712</v>
      </c>
    </row>
    <row r="2337" spans="1:8" x14ac:dyDescent="0.15">
      <c r="A2337" s="196" t="s">
        <v>11229</v>
      </c>
      <c r="B2337" s="196" t="s">
        <v>11230</v>
      </c>
      <c r="C2337" s="196" t="s">
        <v>16794</v>
      </c>
      <c r="D2337" s="196" t="s">
        <v>16795</v>
      </c>
      <c r="E2337" s="196" t="s">
        <v>16796</v>
      </c>
      <c r="F2337" s="196" t="s">
        <v>16797</v>
      </c>
      <c r="G2337" s="196" t="s">
        <v>11234</v>
      </c>
      <c r="H2337" s="196" t="s">
        <v>11235</v>
      </c>
    </row>
    <row r="2338" spans="1:8" x14ac:dyDescent="0.15">
      <c r="A2338" s="196" t="s">
        <v>11229</v>
      </c>
      <c r="B2338" s="196" t="s">
        <v>11230</v>
      </c>
      <c r="C2338" s="196" t="s">
        <v>16798</v>
      </c>
      <c r="D2338" s="196" t="s">
        <v>16799</v>
      </c>
      <c r="E2338" s="196" t="s">
        <v>16800</v>
      </c>
      <c r="F2338" s="196" t="s">
        <v>16801</v>
      </c>
      <c r="G2338" s="196" t="s">
        <v>11234</v>
      </c>
      <c r="H2338" s="196" t="s">
        <v>11235</v>
      </c>
    </row>
    <row r="2339" spans="1:8" x14ac:dyDescent="0.15">
      <c r="A2339" s="196" t="s">
        <v>11229</v>
      </c>
      <c r="B2339" s="196" t="s">
        <v>11230</v>
      </c>
      <c r="C2339" s="196" t="s">
        <v>16802</v>
      </c>
      <c r="D2339" s="196" t="s">
        <v>16803</v>
      </c>
      <c r="E2339" s="196" t="s">
        <v>16804</v>
      </c>
      <c r="F2339" s="196" t="s">
        <v>16805</v>
      </c>
      <c r="G2339" s="196" t="s">
        <v>11234</v>
      </c>
      <c r="H2339" s="196" t="s">
        <v>12712</v>
      </c>
    </row>
    <row r="2340" spans="1:8" x14ac:dyDescent="0.15">
      <c r="A2340" s="196" t="s">
        <v>11229</v>
      </c>
      <c r="B2340" s="196" t="s">
        <v>11230</v>
      </c>
      <c r="C2340" s="196" t="s">
        <v>16806</v>
      </c>
      <c r="D2340" s="196" t="s">
        <v>16803</v>
      </c>
      <c r="E2340" s="196" t="s">
        <v>16807</v>
      </c>
      <c r="F2340" s="196" t="s">
        <v>16808</v>
      </c>
      <c r="G2340" s="196" t="s">
        <v>11234</v>
      </c>
      <c r="H2340" s="196" t="s">
        <v>12712</v>
      </c>
    </row>
    <row r="2341" spans="1:8" x14ac:dyDescent="0.15">
      <c r="A2341" s="196" t="s">
        <v>11229</v>
      </c>
      <c r="B2341" s="196" t="s">
        <v>11230</v>
      </c>
      <c r="C2341" s="196" t="s">
        <v>16809</v>
      </c>
      <c r="D2341" s="196" t="s">
        <v>16810</v>
      </c>
      <c r="E2341" s="196" t="s">
        <v>16810</v>
      </c>
      <c r="F2341" s="196" t="s">
        <v>11233</v>
      </c>
      <c r="G2341" s="196" t="s">
        <v>12378</v>
      </c>
      <c r="H2341" s="196" t="s">
        <v>11235</v>
      </c>
    </row>
    <row r="2342" spans="1:8" x14ac:dyDescent="0.15">
      <c r="A2342" s="196" t="s">
        <v>11229</v>
      </c>
      <c r="B2342" s="196" t="s">
        <v>11230</v>
      </c>
      <c r="C2342" s="196" t="s">
        <v>16811</v>
      </c>
      <c r="D2342" s="196" t="s">
        <v>16812</v>
      </c>
      <c r="E2342" s="196" t="s">
        <v>16812</v>
      </c>
      <c r="F2342" s="196" t="s">
        <v>11233</v>
      </c>
      <c r="G2342" s="196" t="s">
        <v>12378</v>
      </c>
      <c r="H2342" s="196" t="s">
        <v>11235</v>
      </c>
    </row>
    <row r="2343" spans="1:8" x14ac:dyDescent="0.15">
      <c r="A2343" s="196" t="s">
        <v>11229</v>
      </c>
      <c r="B2343" s="196" t="s">
        <v>11230</v>
      </c>
      <c r="C2343" s="196" t="s">
        <v>16813</v>
      </c>
      <c r="D2343" s="196" t="s">
        <v>16814</v>
      </c>
      <c r="E2343" s="196" t="s">
        <v>16814</v>
      </c>
      <c r="F2343" s="196" t="s">
        <v>11233</v>
      </c>
      <c r="G2343" s="196" t="s">
        <v>12378</v>
      </c>
      <c r="H2343" s="196" t="s">
        <v>11235</v>
      </c>
    </row>
    <row r="2344" spans="1:8" x14ac:dyDescent="0.15">
      <c r="A2344" s="196" t="s">
        <v>11229</v>
      </c>
      <c r="B2344" s="196" t="s">
        <v>11230</v>
      </c>
      <c r="C2344" s="196" t="s">
        <v>16815</v>
      </c>
      <c r="D2344" s="196" t="s">
        <v>16816</v>
      </c>
      <c r="E2344" s="196" t="s">
        <v>16817</v>
      </c>
      <c r="F2344" s="196" t="s">
        <v>14263</v>
      </c>
      <c r="G2344" s="196" t="s">
        <v>12378</v>
      </c>
      <c r="H2344" s="196" t="s">
        <v>11235</v>
      </c>
    </row>
    <row r="2345" spans="1:8" x14ac:dyDescent="0.15">
      <c r="A2345" s="196" t="s">
        <v>11229</v>
      </c>
      <c r="B2345" s="196" t="s">
        <v>11230</v>
      </c>
      <c r="C2345" s="196" t="s">
        <v>16818</v>
      </c>
      <c r="D2345" s="196" t="s">
        <v>16819</v>
      </c>
      <c r="E2345" s="196" t="s">
        <v>16819</v>
      </c>
      <c r="F2345" s="196" t="s">
        <v>11233</v>
      </c>
      <c r="G2345" s="196" t="s">
        <v>12378</v>
      </c>
      <c r="H2345" s="196" t="s">
        <v>11235</v>
      </c>
    </row>
    <row r="2346" spans="1:8" x14ac:dyDescent="0.15">
      <c r="A2346" s="196" t="s">
        <v>11229</v>
      </c>
      <c r="B2346" s="196" t="s">
        <v>11230</v>
      </c>
      <c r="C2346" s="196" t="s">
        <v>16820</v>
      </c>
      <c r="D2346" s="196" t="s">
        <v>16821</v>
      </c>
      <c r="E2346" s="196" t="s">
        <v>16821</v>
      </c>
      <c r="F2346" s="196" t="s">
        <v>11233</v>
      </c>
      <c r="G2346" s="196" t="s">
        <v>12378</v>
      </c>
      <c r="H2346" s="196" t="s">
        <v>11235</v>
      </c>
    </row>
    <row r="2347" spans="1:8" x14ac:dyDescent="0.15">
      <c r="A2347" s="196" t="s">
        <v>11229</v>
      </c>
      <c r="B2347" s="196" t="s">
        <v>11230</v>
      </c>
      <c r="C2347" s="196" t="s">
        <v>16822</v>
      </c>
      <c r="D2347" s="196" t="s">
        <v>16823</v>
      </c>
      <c r="E2347" s="196" t="s">
        <v>16823</v>
      </c>
      <c r="F2347" s="196" t="s">
        <v>11233</v>
      </c>
      <c r="G2347" s="196" t="s">
        <v>12378</v>
      </c>
      <c r="H2347" s="196" t="s">
        <v>11235</v>
      </c>
    </row>
    <row r="2348" spans="1:8" x14ac:dyDescent="0.15">
      <c r="A2348" s="196" t="s">
        <v>11229</v>
      </c>
      <c r="B2348" s="196" t="s">
        <v>11230</v>
      </c>
      <c r="C2348" s="196" t="s">
        <v>16824</v>
      </c>
      <c r="D2348" s="196" t="s">
        <v>16825</v>
      </c>
      <c r="E2348" s="196" t="s">
        <v>16825</v>
      </c>
      <c r="F2348" s="196" t="s">
        <v>11233</v>
      </c>
      <c r="G2348" s="196" t="s">
        <v>12378</v>
      </c>
      <c r="H2348" s="196" t="s">
        <v>11235</v>
      </c>
    </row>
    <row r="2349" spans="1:8" x14ac:dyDescent="0.15">
      <c r="A2349" s="196" t="s">
        <v>11229</v>
      </c>
      <c r="B2349" s="196" t="s">
        <v>11230</v>
      </c>
      <c r="C2349" s="196" t="s">
        <v>16826</v>
      </c>
      <c r="D2349" s="196" t="s">
        <v>16827</v>
      </c>
      <c r="E2349" s="196" t="s">
        <v>16827</v>
      </c>
      <c r="F2349" s="196" t="s">
        <v>11233</v>
      </c>
      <c r="G2349" s="196" t="s">
        <v>12378</v>
      </c>
      <c r="H2349" s="196" t="s">
        <v>11235</v>
      </c>
    </row>
    <row r="2350" spans="1:8" x14ac:dyDescent="0.15">
      <c r="A2350" s="196" t="s">
        <v>11229</v>
      </c>
      <c r="B2350" s="196" t="s">
        <v>11230</v>
      </c>
      <c r="C2350" s="196" t="s">
        <v>16828</v>
      </c>
      <c r="D2350" s="196" t="s">
        <v>16829</v>
      </c>
      <c r="E2350" s="196" t="s">
        <v>16830</v>
      </c>
      <c r="F2350" s="196" t="s">
        <v>16831</v>
      </c>
      <c r="G2350" s="196" t="s">
        <v>12378</v>
      </c>
      <c r="H2350" s="196" t="s">
        <v>11235</v>
      </c>
    </row>
    <row r="2351" spans="1:8" x14ac:dyDescent="0.15">
      <c r="A2351" s="196" t="s">
        <v>11229</v>
      </c>
      <c r="B2351" s="196" t="s">
        <v>11230</v>
      </c>
      <c r="C2351" s="196" t="s">
        <v>16832</v>
      </c>
      <c r="D2351" s="196" t="s">
        <v>16833</v>
      </c>
      <c r="E2351" s="196" t="s">
        <v>16834</v>
      </c>
      <c r="F2351" s="196" t="s">
        <v>16835</v>
      </c>
      <c r="G2351" s="196" t="s">
        <v>12378</v>
      </c>
      <c r="H2351" s="196" t="s">
        <v>11235</v>
      </c>
    </row>
    <row r="2352" spans="1:8" x14ac:dyDescent="0.15">
      <c r="A2352" s="196" t="s">
        <v>11229</v>
      </c>
      <c r="B2352" s="196" t="s">
        <v>11230</v>
      </c>
      <c r="C2352" s="196" t="s">
        <v>16836</v>
      </c>
      <c r="D2352" s="196" t="s">
        <v>16837</v>
      </c>
      <c r="E2352" s="196" t="s">
        <v>16838</v>
      </c>
      <c r="F2352" s="196" t="s">
        <v>16839</v>
      </c>
      <c r="G2352" s="196" t="s">
        <v>12378</v>
      </c>
      <c r="H2352" s="196" t="s">
        <v>11235</v>
      </c>
    </row>
    <row r="2353" spans="1:8" x14ac:dyDescent="0.15">
      <c r="A2353" s="196" t="s">
        <v>11229</v>
      </c>
      <c r="B2353" s="196" t="s">
        <v>11230</v>
      </c>
      <c r="C2353" s="196" t="s">
        <v>16840</v>
      </c>
      <c r="D2353" s="196" t="s">
        <v>16841</v>
      </c>
      <c r="E2353" s="196" t="s">
        <v>16842</v>
      </c>
      <c r="F2353" s="196" t="s">
        <v>16843</v>
      </c>
      <c r="G2353" s="196" t="s">
        <v>12378</v>
      </c>
      <c r="H2353" s="196" t="s">
        <v>11235</v>
      </c>
    </row>
    <row r="2354" spans="1:8" x14ac:dyDescent="0.15">
      <c r="A2354" s="196" t="s">
        <v>11229</v>
      </c>
      <c r="B2354" s="196" t="s">
        <v>11230</v>
      </c>
      <c r="C2354" s="196" t="s">
        <v>16844</v>
      </c>
      <c r="D2354" s="196" t="s">
        <v>16845</v>
      </c>
      <c r="E2354" s="196" t="s">
        <v>16846</v>
      </c>
      <c r="F2354" s="196" t="s">
        <v>16847</v>
      </c>
      <c r="G2354" s="196" t="s">
        <v>12378</v>
      </c>
      <c r="H2354" s="196" t="s">
        <v>11235</v>
      </c>
    </row>
    <row r="2355" spans="1:8" x14ac:dyDescent="0.15">
      <c r="A2355" s="196" t="s">
        <v>11229</v>
      </c>
      <c r="B2355" s="196" t="s">
        <v>11230</v>
      </c>
      <c r="C2355" s="196" t="s">
        <v>16848</v>
      </c>
      <c r="D2355" s="196" t="s">
        <v>16849</v>
      </c>
      <c r="E2355" s="196" t="s">
        <v>16850</v>
      </c>
      <c r="F2355" s="196" t="s">
        <v>16851</v>
      </c>
      <c r="G2355" s="196" t="s">
        <v>12378</v>
      </c>
      <c r="H2355" s="196" t="s">
        <v>11235</v>
      </c>
    </row>
    <row r="2356" spans="1:8" x14ac:dyDescent="0.15">
      <c r="A2356" s="196" t="s">
        <v>11229</v>
      </c>
      <c r="B2356" s="196" t="s">
        <v>11230</v>
      </c>
      <c r="C2356" s="196" t="s">
        <v>16852</v>
      </c>
      <c r="D2356" s="196" t="s">
        <v>16853</v>
      </c>
      <c r="E2356" s="196" t="s">
        <v>16854</v>
      </c>
      <c r="F2356" s="196" t="s">
        <v>16855</v>
      </c>
      <c r="G2356" s="196" t="s">
        <v>12378</v>
      </c>
      <c r="H2356" s="196" t="s">
        <v>11235</v>
      </c>
    </row>
    <row r="2357" spans="1:8" x14ac:dyDescent="0.15">
      <c r="A2357" s="196" t="s">
        <v>11229</v>
      </c>
      <c r="B2357" s="196" t="s">
        <v>11230</v>
      </c>
      <c r="C2357" s="196" t="s">
        <v>16856</v>
      </c>
      <c r="D2357" s="196" t="s">
        <v>16857</v>
      </c>
      <c r="E2357" s="196" t="s">
        <v>16858</v>
      </c>
      <c r="F2357" s="196" t="s">
        <v>16859</v>
      </c>
      <c r="G2357" s="196" t="s">
        <v>12378</v>
      </c>
      <c r="H2357" s="196" t="s">
        <v>11235</v>
      </c>
    </row>
    <row r="2358" spans="1:8" x14ac:dyDescent="0.15">
      <c r="A2358" s="196" t="s">
        <v>11229</v>
      </c>
      <c r="B2358" s="196" t="s">
        <v>11230</v>
      </c>
      <c r="C2358" s="196" t="s">
        <v>16860</v>
      </c>
      <c r="D2358" s="196" t="s">
        <v>16861</v>
      </c>
      <c r="E2358" s="196" t="s">
        <v>16862</v>
      </c>
      <c r="F2358" s="196" t="s">
        <v>16863</v>
      </c>
      <c r="G2358" s="196" t="s">
        <v>12378</v>
      </c>
      <c r="H2358" s="196" t="s">
        <v>11235</v>
      </c>
    </row>
    <row r="2359" spans="1:8" x14ac:dyDescent="0.15">
      <c r="A2359" s="196" t="s">
        <v>11229</v>
      </c>
      <c r="B2359" s="196" t="s">
        <v>11230</v>
      </c>
      <c r="C2359" s="196" t="s">
        <v>16864</v>
      </c>
      <c r="D2359" s="196" t="s">
        <v>16865</v>
      </c>
      <c r="E2359" s="196" t="s">
        <v>16866</v>
      </c>
      <c r="F2359" s="196" t="s">
        <v>16867</v>
      </c>
      <c r="G2359" s="196" t="s">
        <v>12378</v>
      </c>
      <c r="H2359" s="196" t="s">
        <v>11235</v>
      </c>
    </row>
    <row r="2360" spans="1:8" x14ac:dyDescent="0.15">
      <c r="A2360" s="196" t="s">
        <v>11229</v>
      </c>
      <c r="B2360" s="196" t="s">
        <v>11230</v>
      </c>
      <c r="C2360" s="196" t="s">
        <v>16868</v>
      </c>
      <c r="D2360" s="196" t="s">
        <v>16869</v>
      </c>
      <c r="E2360" s="196" t="s">
        <v>16870</v>
      </c>
      <c r="F2360" s="196" t="s">
        <v>16871</v>
      </c>
      <c r="G2360" s="196" t="s">
        <v>12378</v>
      </c>
      <c r="H2360" s="196" t="s">
        <v>11235</v>
      </c>
    </row>
    <row r="2361" spans="1:8" x14ac:dyDescent="0.15">
      <c r="A2361" s="196" t="s">
        <v>11229</v>
      </c>
      <c r="B2361" s="196" t="s">
        <v>11230</v>
      </c>
      <c r="C2361" s="196" t="s">
        <v>16872</v>
      </c>
      <c r="D2361" s="196" t="s">
        <v>16873</v>
      </c>
      <c r="E2361" s="196" t="s">
        <v>16874</v>
      </c>
      <c r="F2361" s="196" t="s">
        <v>16875</v>
      </c>
      <c r="G2361" s="196" t="s">
        <v>12378</v>
      </c>
      <c r="H2361" s="196" t="s">
        <v>11235</v>
      </c>
    </row>
    <row r="2362" spans="1:8" x14ac:dyDescent="0.15">
      <c r="A2362" s="196" t="s">
        <v>11229</v>
      </c>
      <c r="B2362" s="196" t="s">
        <v>11230</v>
      </c>
      <c r="C2362" s="196" t="s">
        <v>16876</v>
      </c>
      <c r="D2362" s="196" t="s">
        <v>16877</v>
      </c>
      <c r="E2362" s="196" t="s">
        <v>16877</v>
      </c>
      <c r="F2362" s="196" t="s">
        <v>11233</v>
      </c>
      <c r="G2362" s="196" t="s">
        <v>12378</v>
      </c>
      <c r="H2362" s="196" t="s">
        <v>11235</v>
      </c>
    </row>
    <row r="2363" spans="1:8" x14ac:dyDescent="0.15">
      <c r="A2363" s="196" t="s">
        <v>11229</v>
      </c>
      <c r="B2363" s="196" t="s">
        <v>11230</v>
      </c>
      <c r="C2363" s="196" t="s">
        <v>16878</v>
      </c>
      <c r="D2363" s="196" t="s">
        <v>16879</v>
      </c>
      <c r="E2363" s="196" t="s">
        <v>16879</v>
      </c>
      <c r="F2363" s="196" t="s">
        <v>11233</v>
      </c>
      <c r="G2363" s="196" t="s">
        <v>12378</v>
      </c>
      <c r="H2363" s="196" t="s">
        <v>11235</v>
      </c>
    </row>
    <row r="2364" spans="1:8" x14ac:dyDescent="0.15">
      <c r="A2364" s="196" t="s">
        <v>11229</v>
      </c>
      <c r="B2364" s="196" t="s">
        <v>11230</v>
      </c>
      <c r="C2364" s="196" t="s">
        <v>16880</v>
      </c>
      <c r="D2364" s="196" t="s">
        <v>16881</v>
      </c>
      <c r="E2364" s="196" t="s">
        <v>16881</v>
      </c>
      <c r="F2364" s="196" t="s">
        <v>11233</v>
      </c>
      <c r="G2364" s="196" t="s">
        <v>12378</v>
      </c>
      <c r="H2364" s="196" t="s">
        <v>11235</v>
      </c>
    </row>
    <row r="2365" spans="1:8" x14ac:dyDescent="0.15">
      <c r="A2365" s="196" t="s">
        <v>11229</v>
      </c>
      <c r="B2365" s="196" t="s">
        <v>11230</v>
      </c>
      <c r="C2365" s="196" t="s">
        <v>16882</v>
      </c>
      <c r="D2365" s="196" t="s">
        <v>16883</v>
      </c>
      <c r="E2365" s="196" t="s">
        <v>16883</v>
      </c>
      <c r="F2365" s="196" t="s">
        <v>11233</v>
      </c>
      <c r="G2365" s="196" t="s">
        <v>12378</v>
      </c>
      <c r="H2365" s="196" t="s">
        <v>11235</v>
      </c>
    </row>
    <row r="2366" spans="1:8" x14ac:dyDescent="0.15">
      <c r="A2366" s="196" t="s">
        <v>11229</v>
      </c>
      <c r="B2366" s="196" t="s">
        <v>11230</v>
      </c>
      <c r="C2366" s="196" t="s">
        <v>16884</v>
      </c>
      <c r="D2366" s="196" t="s">
        <v>16885</v>
      </c>
      <c r="E2366" s="196" t="s">
        <v>16885</v>
      </c>
      <c r="F2366" s="196" t="s">
        <v>11233</v>
      </c>
      <c r="G2366" s="196" t="s">
        <v>12378</v>
      </c>
      <c r="H2366" s="196" t="s">
        <v>11235</v>
      </c>
    </row>
    <row r="2367" spans="1:8" x14ac:dyDescent="0.15">
      <c r="A2367" s="196" t="s">
        <v>11229</v>
      </c>
      <c r="B2367" s="196" t="s">
        <v>11230</v>
      </c>
      <c r="C2367" s="196" t="s">
        <v>16886</v>
      </c>
      <c r="D2367" s="196" t="s">
        <v>16887</v>
      </c>
      <c r="E2367" s="196" t="s">
        <v>16887</v>
      </c>
      <c r="F2367" s="196" t="s">
        <v>11233</v>
      </c>
      <c r="G2367" s="196" t="s">
        <v>12378</v>
      </c>
      <c r="H2367" s="196" t="s">
        <v>11235</v>
      </c>
    </row>
    <row r="2368" spans="1:8" x14ac:dyDescent="0.15">
      <c r="A2368" s="196" t="s">
        <v>11229</v>
      </c>
      <c r="B2368" s="196" t="s">
        <v>11230</v>
      </c>
      <c r="C2368" s="196" t="s">
        <v>16888</v>
      </c>
      <c r="D2368" s="196" t="s">
        <v>16889</v>
      </c>
      <c r="E2368" s="196" t="s">
        <v>16890</v>
      </c>
      <c r="F2368" s="196" t="s">
        <v>11241</v>
      </c>
      <c r="G2368" s="196" t="s">
        <v>12378</v>
      </c>
      <c r="H2368" s="196" t="s">
        <v>11235</v>
      </c>
    </row>
    <row r="2369" spans="1:8" x14ac:dyDescent="0.15">
      <c r="A2369" s="196" t="s">
        <v>11229</v>
      </c>
      <c r="B2369" s="196" t="s">
        <v>11230</v>
      </c>
      <c r="C2369" s="196" t="s">
        <v>16891</v>
      </c>
      <c r="D2369" s="196" t="s">
        <v>16890</v>
      </c>
      <c r="E2369" s="196" t="s">
        <v>16892</v>
      </c>
      <c r="F2369" s="196" t="s">
        <v>11241</v>
      </c>
      <c r="G2369" s="196" t="s">
        <v>12378</v>
      </c>
      <c r="H2369" s="196" t="s">
        <v>11235</v>
      </c>
    </row>
    <row r="2370" spans="1:8" x14ac:dyDescent="0.15">
      <c r="A2370" s="196" t="s">
        <v>11229</v>
      </c>
      <c r="B2370" s="196" t="s">
        <v>11230</v>
      </c>
      <c r="C2370" s="196" t="s">
        <v>16893</v>
      </c>
      <c r="D2370" s="196" t="s">
        <v>16894</v>
      </c>
      <c r="E2370" s="196" t="s">
        <v>16895</v>
      </c>
      <c r="F2370" s="196" t="s">
        <v>15880</v>
      </c>
      <c r="G2370" s="196" t="s">
        <v>12378</v>
      </c>
      <c r="H2370" s="196" t="s">
        <v>11235</v>
      </c>
    </row>
    <row r="2371" spans="1:8" x14ac:dyDescent="0.15">
      <c r="A2371" s="196" t="s">
        <v>11229</v>
      </c>
      <c r="B2371" s="196" t="s">
        <v>11230</v>
      </c>
      <c r="C2371" s="196" t="s">
        <v>16896</v>
      </c>
      <c r="D2371" s="196" t="s">
        <v>16897</v>
      </c>
      <c r="E2371" s="196" t="s">
        <v>16897</v>
      </c>
      <c r="F2371" s="196" t="s">
        <v>11233</v>
      </c>
      <c r="G2371" s="196" t="s">
        <v>12378</v>
      </c>
      <c r="H2371" s="196" t="s">
        <v>11235</v>
      </c>
    </row>
    <row r="2372" spans="1:8" x14ac:dyDescent="0.15">
      <c r="A2372" s="196" t="s">
        <v>11229</v>
      </c>
      <c r="B2372" s="196" t="s">
        <v>11230</v>
      </c>
      <c r="C2372" s="196" t="s">
        <v>16898</v>
      </c>
      <c r="D2372" s="196" t="s">
        <v>16899</v>
      </c>
      <c r="E2372" s="196" t="s">
        <v>16899</v>
      </c>
      <c r="F2372" s="196" t="s">
        <v>11233</v>
      </c>
      <c r="G2372" s="196" t="s">
        <v>12378</v>
      </c>
      <c r="H2372" s="196" t="s">
        <v>11235</v>
      </c>
    </row>
    <row r="2373" spans="1:8" x14ac:dyDescent="0.15">
      <c r="A2373" s="196" t="s">
        <v>11229</v>
      </c>
      <c r="B2373" s="196" t="s">
        <v>11230</v>
      </c>
      <c r="C2373" s="196" t="s">
        <v>16900</v>
      </c>
      <c r="D2373" s="196" t="s">
        <v>16901</v>
      </c>
      <c r="E2373" s="196" t="s">
        <v>16901</v>
      </c>
      <c r="F2373" s="196" t="s">
        <v>11233</v>
      </c>
      <c r="G2373" s="196" t="s">
        <v>12378</v>
      </c>
      <c r="H2373" s="196" t="s">
        <v>11235</v>
      </c>
    </row>
    <row r="2374" spans="1:8" x14ac:dyDescent="0.15">
      <c r="A2374" s="196" t="s">
        <v>11229</v>
      </c>
      <c r="B2374" s="196" t="s">
        <v>11230</v>
      </c>
      <c r="C2374" s="196" t="s">
        <v>16902</v>
      </c>
      <c r="D2374" s="196" t="s">
        <v>16903</v>
      </c>
      <c r="E2374" s="196" t="s">
        <v>16903</v>
      </c>
      <c r="F2374" s="196" t="s">
        <v>11233</v>
      </c>
      <c r="G2374" s="196" t="s">
        <v>12378</v>
      </c>
      <c r="H2374" s="196" t="s">
        <v>11235</v>
      </c>
    </row>
    <row r="2375" spans="1:8" x14ac:dyDescent="0.15">
      <c r="A2375" s="196" t="s">
        <v>11229</v>
      </c>
      <c r="B2375" s="196" t="s">
        <v>11230</v>
      </c>
      <c r="C2375" s="196" t="s">
        <v>16904</v>
      </c>
      <c r="D2375" s="196" t="s">
        <v>16905</v>
      </c>
      <c r="E2375" s="196" t="s">
        <v>16905</v>
      </c>
      <c r="F2375" s="196" t="s">
        <v>11233</v>
      </c>
      <c r="G2375" s="196" t="s">
        <v>12378</v>
      </c>
      <c r="H2375" s="196" t="s">
        <v>11235</v>
      </c>
    </row>
    <row r="2376" spans="1:8" x14ac:dyDescent="0.15">
      <c r="A2376" s="196" t="s">
        <v>11229</v>
      </c>
      <c r="B2376" s="196" t="s">
        <v>11230</v>
      </c>
      <c r="C2376" s="196" t="s">
        <v>16906</v>
      </c>
      <c r="D2376" s="196" t="s">
        <v>16907</v>
      </c>
      <c r="E2376" s="196" t="s">
        <v>16907</v>
      </c>
      <c r="F2376" s="196" t="s">
        <v>11233</v>
      </c>
      <c r="G2376" s="196" t="s">
        <v>12378</v>
      </c>
      <c r="H2376" s="196" t="s">
        <v>11235</v>
      </c>
    </row>
    <row r="2377" spans="1:8" x14ac:dyDescent="0.15">
      <c r="A2377" s="196" t="s">
        <v>11229</v>
      </c>
      <c r="B2377" s="196" t="s">
        <v>11230</v>
      </c>
      <c r="C2377" s="196" t="s">
        <v>16908</v>
      </c>
      <c r="D2377" s="196" t="s">
        <v>16909</v>
      </c>
      <c r="E2377" s="196" t="s">
        <v>16910</v>
      </c>
      <c r="F2377" s="196" t="s">
        <v>16911</v>
      </c>
      <c r="G2377" s="196" t="s">
        <v>12378</v>
      </c>
      <c r="H2377" s="196" t="s">
        <v>11235</v>
      </c>
    </row>
    <row r="2378" spans="1:8" x14ac:dyDescent="0.15">
      <c r="A2378" s="196" t="s">
        <v>11229</v>
      </c>
      <c r="B2378" s="196" t="s">
        <v>11230</v>
      </c>
      <c r="C2378" s="196" t="s">
        <v>16912</v>
      </c>
      <c r="D2378" s="196" t="s">
        <v>16910</v>
      </c>
      <c r="E2378" s="196" t="s">
        <v>16913</v>
      </c>
      <c r="F2378" s="196" t="s">
        <v>15181</v>
      </c>
      <c r="G2378" s="196" t="s">
        <v>12378</v>
      </c>
      <c r="H2378" s="196" t="s">
        <v>11235</v>
      </c>
    </row>
    <row r="2379" spans="1:8" x14ac:dyDescent="0.15">
      <c r="A2379" s="196" t="s">
        <v>11229</v>
      </c>
      <c r="B2379" s="196" t="s">
        <v>11230</v>
      </c>
      <c r="C2379" s="196" t="s">
        <v>16914</v>
      </c>
      <c r="D2379" s="196" t="s">
        <v>16915</v>
      </c>
      <c r="E2379" s="196" t="s">
        <v>16916</v>
      </c>
      <c r="F2379" s="196" t="s">
        <v>16917</v>
      </c>
      <c r="G2379" s="196" t="s">
        <v>12378</v>
      </c>
      <c r="H2379" s="196" t="s">
        <v>11235</v>
      </c>
    </row>
    <row r="2380" spans="1:8" x14ac:dyDescent="0.15">
      <c r="A2380" s="196" t="s">
        <v>11229</v>
      </c>
      <c r="B2380" s="196" t="s">
        <v>11230</v>
      </c>
      <c r="C2380" s="196" t="s">
        <v>16918</v>
      </c>
      <c r="D2380" s="196" t="s">
        <v>16919</v>
      </c>
      <c r="E2380" s="196" t="s">
        <v>16920</v>
      </c>
      <c r="F2380" s="196" t="s">
        <v>15185</v>
      </c>
      <c r="G2380" s="196" t="s">
        <v>12378</v>
      </c>
      <c r="H2380" s="196" t="s">
        <v>11235</v>
      </c>
    </row>
    <row r="2381" spans="1:8" x14ac:dyDescent="0.15">
      <c r="A2381" s="196" t="s">
        <v>11229</v>
      </c>
      <c r="B2381" s="196" t="s">
        <v>11230</v>
      </c>
      <c r="C2381" s="196" t="s">
        <v>16921</v>
      </c>
      <c r="D2381" s="196" t="s">
        <v>16922</v>
      </c>
      <c r="E2381" s="196" t="s">
        <v>16923</v>
      </c>
      <c r="F2381" s="196" t="s">
        <v>16924</v>
      </c>
      <c r="G2381" s="196" t="s">
        <v>12378</v>
      </c>
      <c r="H2381" s="196" t="s">
        <v>11235</v>
      </c>
    </row>
    <row r="2382" spans="1:8" x14ac:dyDescent="0.15">
      <c r="A2382" s="196" t="s">
        <v>11229</v>
      </c>
      <c r="B2382" s="196" t="s">
        <v>11230</v>
      </c>
      <c r="C2382" s="196" t="s">
        <v>16925</v>
      </c>
      <c r="D2382" s="196" t="s">
        <v>16926</v>
      </c>
      <c r="E2382" s="196" t="s">
        <v>16927</v>
      </c>
      <c r="F2382" s="196" t="s">
        <v>16928</v>
      </c>
      <c r="G2382" s="196" t="s">
        <v>12378</v>
      </c>
      <c r="H2382" s="196" t="s">
        <v>11235</v>
      </c>
    </row>
    <row r="2383" spans="1:8" x14ac:dyDescent="0.15">
      <c r="A2383" s="196" t="s">
        <v>11229</v>
      </c>
      <c r="B2383" s="196" t="s">
        <v>11230</v>
      </c>
      <c r="C2383" s="196" t="s">
        <v>16929</v>
      </c>
      <c r="D2383" s="196" t="s">
        <v>16930</v>
      </c>
      <c r="E2383" s="196" t="s">
        <v>16930</v>
      </c>
      <c r="F2383" s="196" t="s">
        <v>11233</v>
      </c>
      <c r="G2383" s="196" t="s">
        <v>11720</v>
      </c>
      <c r="H2383" s="196" t="s">
        <v>11235</v>
      </c>
    </row>
    <row r="2384" spans="1:8" x14ac:dyDescent="0.15">
      <c r="A2384" s="196" t="s">
        <v>11229</v>
      </c>
      <c r="B2384" s="196" t="s">
        <v>11230</v>
      </c>
      <c r="C2384" s="196" t="s">
        <v>16931</v>
      </c>
      <c r="D2384" s="196" t="s">
        <v>16932</v>
      </c>
      <c r="E2384" s="196" t="s">
        <v>16932</v>
      </c>
      <c r="F2384" s="196" t="s">
        <v>11233</v>
      </c>
      <c r="G2384" s="196" t="s">
        <v>11720</v>
      </c>
      <c r="H2384" s="196" t="s">
        <v>11235</v>
      </c>
    </row>
    <row r="2385" spans="1:8" x14ac:dyDescent="0.15">
      <c r="A2385" s="196" t="s">
        <v>11229</v>
      </c>
      <c r="B2385" s="196" t="s">
        <v>11230</v>
      </c>
      <c r="C2385" s="196" t="s">
        <v>16933</v>
      </c>
      <c r="D2385" s="196" t="s">
        <v>16934</v>
      </c>
      <c r="E2385" s="196" t="s">
        <v>16934</v>
      </c>
      <c r="F2385" s="196" t="s">
        <v>11233</v>
      </c>
      <c r="G2385" s="196" t="s">
        <v>11720</v>
      </c>
      <c r="H2385" s="196" t="s">
        <v>11235</v>
      </c>
    </row>
    <row r="2386" spans="1:8" x14ac:dyDescent="0.15">
      <c r="A2386" s="196" t="s">
        <v>11229</v>
      </c>
      <c r="B2386" s="196" t="s">
        <v>11230</v>
      </c>
      <c r="C2386" s="196" t="s">
        <v>16935</v>
      </c>
      <c r="D2386" s="196" t="s">
        <v>16936</v>
      </c>
      <c r="E2386" s="196" t="s">
        <v>16936</v>
      </c>
      <c r="F2386" s="196" t="s">
        <v>11233</v>
      </c>
      <c r="G2386" s="196" t="s">
        <v>11720</v>
      </c>
      <c r="H2386" s="196" t="s">
        <v>11235</v>
      </c>
    </row>
    <row r="2387" spans="1:8" x14ac:dyDescent="0.15">
      <c r="A2387" s="196" t="s">
        <v>11229</v>
      </c>
      <c r="B2387" s="196" t="s">
        <v>11230</v>
      </c>
      <c r="C2387" s="196" t="s">
        <v>16937</v>
      </c>
      <c r="D2387" s="196" t="s">
        <v>16938</v>
      </c>
      <c r="E2387" s="196" t="s">
        <v>16938</v>
      </c>
      <c r="F2387" s="196" t="s">
        <v>11233</v>
      </c>
      <c r="G2387" s="196" t="s">
        <v>11720</v>
      </c>
      <c r="H2387" s="196" t="s">
        <v>11235</v>
      </c>
    </row>
    <row r="2388" spans="1:8" x14ac:dyDescent="0.15">
      <c r="A2388" s="196" t="s">
        <v>11229</v>
      </c>
      <c r="B2388" s="196" t="s">
        <v>11230</v>
      </c>
      <c r="C2388" s="196" t="s">
        <v>16939</v>
      </c>
      <c r="D2388" s="196" t="s">
        <v>16940</v>
      </c>
      <c r="E2388" s="196" t="s">
        <v>16940</v>
      </c>
      <c r="F2388" s="196" t="s">
        <v>11233</v>
      </c>
      <c r="G2388" s="196" t="s">
        <v>11720</v>
      </c>
      <c r="H2388" s="196" t="s">
        <v>11235</v>
      </c>
    </row>
    <row r="2389" spans="1:8" x14ac:dyDescent="0.15">
      <c r="A2389" s="196" t="s">
        <v>11229</v>
      </c>
      <c r="B2389" s="196" t="s">
        <v>11230</v>
      </c>
      <c r="C2389" s="196" t="s">
        <v>16941</v>
      </c>
      <c r="D2389" s="196" t="s">
        <v>16942</v>
      </c>
      <c r="E2389" s="196" t="s">
        <v>16942</v>
      </c>
      <c r="F2389" s="196" t="s">
        <v>11233</v>
      </c>
      <c r="G2389" s="196" t="s">
        <v>11720</v>
      </c>
      <c r="H2389" s="196" t="s">
        <v>11235</v>
      </c>
    </row>
    <row r="2390" spans="1:8" x14ac:dyDescent="0.15">
      <c r="A2390" s="196" t="s">
        <v>11229</v>
      </c>
      <c r="B2390" s="196" t="s">
        <v>11230</v>
      </c>
      <c r="C2390" s="196" t="s">
        <v>16943</v>
      </c>
      <c r="D2390" s="196" t="s">
        <v>16944</v>
      </c>
      <c r="E2390" s="196" t="s">
        <v>16944</v>
      </c>
      <c r="F2390" s="196" t="s">
        <v>11233</v>
      </c>
      <c r="G2390" s="196" t="s">
        <v>11720</v>
      </c>
      <c r="H2390" s="196" t="s">
        <v>11235</v>
      </c>
    </row>
    <row r="2391" spans="1:8" x14ac:dyDescent="0.15">
      <c r="A2391" s="196" t="s">
        <v>11229</v>
      </c>
      <c r="B2391" s="196" t="s">
        <v>11230</v>
      </c>
      <c r="C2391" s="196" t="s">
        <v>16945</v>
      </c>
      <c r="D2391" s="196" t="s">
        <v>16946</v>
      </c>
      <c r="E2391" s="196" t="s">
        <v>16946</v>
      </c>
      <c r="F2391" s="196" t="s">
        <v>11233</v>
      </c>
      <c r="G2391" s="196" t="s">
        <v>11720</v>
      </c>
      <c r="H2391" s="196" t="s">
        <v>11235</v>
      </c>
    </row>
    <row r="2392" spans="1:8" x14ac:dyDescent="0.15">
      <c r="A2392" s="196" t="s">
        <v>11229</v>
      </c>
      <c r="B2392" s="196" t="s">
        <v>11230</v>
      </c>
      <c r="C2392" s="196" t="s">
        <v>16947</v>
      </c>
      <c r="D2392" s="196" t="s">
        <v>16948</v>
      </c>
      <c r="E2392" s="196" t="s">
        <v>16949</v>
      </c>
      <c r="F2392" s="196" t="s">
        <v>11241</v>
      </c>
      <c r="G2392" s="196" t="s">
        <v>11720</v>
      </c>
      <c r="H2392" s="196" t="s">
        <v>11235</v>
      </c>
    </row>
    <row r="2393" spans="1:8" x14ac:dyDescent="0.15">
      <c r="A2393" s="196" t="s">
        <v>11229</v>
      </c>
      <c r="B2393" s="196" t="s">
        <v>11230</v>
      </c>
      <c r="C2393" s="196" t="s">
        <v>16950</v>
      </c>
      <c r="D2393" s="196" t="s">
        <v>16949</v>
      </c>
      <c r="E2393" s="196" t="s">
        <v>16951</v>
      </c>
      <c r="F2393" s="196" t="s">
        <v>11268</v>
      </c>
      <c r="G2393" s="196" t="s">
        <v>11720</v>
      </c>
      <c r="H2393" s="196" t="s">
        <v>11235</v>
      </c>
    </row>
    <row r="2394" spans="1:8" x14ac:dyDescent="0.15">
      <c r="A2394" s="196" t="s">
        <v>11229</v>
      </c>
      <c r="B2394" s="196" t="s">
        <v>11230</v>
      </c>
      <c r="C2394" s="196" t="s">
        <v>16952</v>
      </c>
      <c r="D2394" s="196" t="s">
        <v>16951</v>
      </c>
      <c r="E2394" s="196" t="s">
        <v>16953</v>
      </c>
      <c r="F2394" s="196" t="s">
        <v>11241</v>
      </c>
      <c r="G2394" s="196" t="s">
        <v>11720</v>
      </c>
      <c r="H2394" s="196" t="s">
        <v>11235</v>
      </c>
    </row>
    <row r="2395" spans="1:8" x14ac:dyDescent="0.15">
      <c r="A2395" s="196" t="s">
        <v>11229</v>
      </c>
      <c r="B2395" s="196" t="s">
        <v>11230</v>
      </c>
      <c r="C2395" s="196" t="s">
        <v>16954</v>
      </c>
      <c r="D2395" s="196" t="s">
        <v>16955</v>
      </c>
      <c r="E2395" s="196" t="s">
        <v>16956</v>
      </c>
      <c r="F2395" s="196" t="s">
        <v>11268</v>
      </c>
      <c r="G2395" s="196" t="s">
        <v>11720</v>
      </c>
      <c r="H2395" s="196" t="s">
        <v>11235</v>
      </c>
    </row>
    <row r="2396" spans="1:8" x14ac:dyDescent="0.15">
      <c r="A2396" s="196" t="s">
        <v>11229</v>
      </c>
      <c r="B2396" s="196" t="s">
        <v>11230</v>
      </c>
      <c r="C2396" s="196" t="s">
        <v>16957</v>
      </c>
      <c r="D2396" s="196" t="s">
        <v>16958</v>
      </c>
      <c r="E2396" s="196" t="s">
        <v>16958</v>
      </c>
      <c r="F2396" s="196" t="s">
        <v>11233</v>
      </c>
      <c r="G2396" s="196" t="s">
        <v>11720</v>
      </c>
      <c r="H2396" s="196" t="s">
        <v>11235</v>
      </c>
    </row>
    <row r="2397" spans="1:8" x14ac:dyDescent="0.15">
      <c r="A2397" s="196" t="s">
        <v>11229</v>
      </c>
      <c r="B2397" s="196" t="s">
        <v>11230</v>
      </c>
      <c r="C2397" s="196" t="s">
        <v>16959</v>
      </c>
      <c r="D2397" s="196" t="s">
        <v>16960</v>
      </c>
      <c r="E2397" s="196" t="s">
        <v>16960</v>
      </c>
      <c r="F2397" s="196" t="s">
        <v>11233</v>
      </c>
      <c r="G2397" s="196" t="s">
        <v>11720</v>
      </c>
      <c r="H2397" s="196" t="s">
        <v>11235</v>
      </c>
    </row>
    <row r="2398" spans="1:8" x14ac:dyDescent="0.15">
      <c r="A2398" s="196" t="s">
        <v>11229</v>
      </c>
      <c r="B2398" s="196" t="s">
        <v>11230</v>
      </c>
      <c r="C2398" s="196" t="s">
        <v>16961</v>
      </c>
      <c r="D2398" s="196" t="s">
        <v>16962</v>
      </c>
      <c r="E2398" s="196" t="s">
        <v>16962</v>
      </c>
      <c r="F2398" s="196" t="s">
        <v>11233</v>
      </c>
      <c r="G2398" s="196" t="s">
        <v>11720</v>
      </c>
      <c r="H2398" s="196" t="s">
        <v>11235</v>
      </c>
    </row>
    <row r="2399" spans="1:8" x14ac:dyDescent="0.15">
      <c r="A2399" s="196" t="s">
        <v>11229</v>
      </c>
      <c r="B2399" s="196" t="s">
        <v>11230</v>
      </c>
      <c r="C2399" s="196" t="s">
        <v>16963</v>
      </c>
      <c r="D2399" s="196" t="s">
        <v>16964</v>
      </c>
      <c r="E2399" s="196" t="s">
        <v>16964</v>
      </c>
      <c r="F2399" s="196" t="s">
        <v>11233</v>
      </c>
      <c r="G2399" s="196" t="s">
        <v>11720</v>
      </c>
      <c r="H2399" s="196" t="s">
        <v>11235</v>
      </c>
    </row>
    <row r="2400" spans="1:8" x14ac:dyDescent="0.15">
      <c r="A2400" s="196" t="s">
        <v>11229</v>
      </c>
      <c r="B2400" s="196" t="s">
        <v>11230</v>
      </c>
      <c r="C2400" s="196" t="s">
        <v>16965</v>
      </c>
      <c r="D2400" s="196" t="s">
        <v>16966</v>
      </c>
      <c r="E2400" s="196" t="s">
        <v>16966</v>
      </c>
      <c r="F2400" s="196" t="s">
        <v>11233</v>
      </c>
      <c r="G2400" s="196" t="s">
        <v>11720</v>
      </c>
      <c r="H2400" s="196" t="s">
        <v>11235</v>
      </c>
    </row>
    <row r="2401" spans="1:8" x14ac:dyDescent="0.15">
      <c r="A2401" s="196" t="s">
        <v>11229</v>
      </c>
      <c r="B2401" s="196" t="s">
        <v>11230</v>
      </c>
      <c r="C2401" s="196" t="s">
        <v>16967</v>
      </c>
      <c r="D2401" s="196" t="s">
        <v>16968</v>
      </c>
      <c r="E2401" s="196" t="s">
        <v>16968</v>
      </c>
      <c r="F2401" s="196" t="s">
        <v>11233</v>
      </c>
      <c r="G2401" s="196" t="s">
        <v>11720</v>
      </c>
      <c r="H2401" s="196" t="s">
        <v>11235</v>
      </c>
    </row>
    <row r="2402" spans="1:8" x14ac:dyDescent="0.15">
      <c r="A2402" s="196" t="s">
        <v>11229</v>
      </c>
      <c r="B2402" s="196" t="s">
        <v>11230</v>
      </c>
      <c r="C2402" s="196" t="s">
        <v>16969</v>
      </c>
      <c r="D2402" s="196" t="s">
        <v>16970</v>
      </c>
      <c r="E2402" s="196" t="s">
        <v>16970</v>
      </c>
      <c r="F2402" s="196" t="s">
        <v>11233</v>
      </c>
      <c r="G2402" s="196" t="s">
        <v>11720</v>
      </c>
      <c r="H2402" s="196" t="s">
        <v>11235</v>
      </c>
    </row>
    <row r="2403" spans="1:8" x14ac:dyDescent="0.15">
      <c r="A2403" s="196" t="s">
        <v>11229</v>
      </c>
      <c r="B2403" s="196" t="s">
        <v>11230</v>
      </c>
      <c r="C2403" s="196" t="s">
        <v>16971</v>
      </c>
      <c r="D2403" s="196" t="s">
        <v>16972</v>
      </c>
      <c r="E2403" s="196" t="s">
        <v>16972</v>
      </c>
      <c r="F2403" s="196" t="s">
        <v>11233</v>
      </c>
      <c r="G2403" s="196" t="s">
        <v>11720</v>
      </c>
      <c r="H2403" s="196" t="s">
        <v>11235</v>
      </c>
    </row>
    <row r="2404" spans="1:8" x14ac:dyDescent="0.15">
      <c r="A2404" s="196" t="s">
        <v>11229</v>
      </c>
      <c r="B2404" s="196" t="s">
        <v>11230</v>
      </c>
      <c r="C2404" s="196" t="s">
        <v>16973</v>
      </c>
      <c r="D2404" s="196" t="s">
        <v>16974</v>
      </c>
      <c r="E2404" s="196" t="s">
        <v>16974</v>
      </c>
      <c r="F2404" s="196" t="s">
        <v>11233</v>
      </c>
      <c r="G2404" s="196" t="s">
        <v>11720</v>
      </c>
      <c r="H2404" s="196" t="s">
        <v>11235</v>
      </c>
    </row>
    <row r="2405" spans="1:8" x14ac:dyDescent="0.15">
      <c r="A2405" s="196" t="s">
        <v>11229</v>
      </c>
      <c r="B2405" s="196" t="s">
        <v>11230</v>
      </c>
      <c r="C2405" s="196" t="s">
        <v>16975</v>
      </c>
      <c r="D2405" s="196" t="s">
        <v>16976</v>
      </c>
      <c r="E2405" s="196" t="s">
        <v>16976</v>
      </c>
      <c r="F2405" s="196" t="s">
        <v>11233</v>
      </c>
      <c r="G2405" s="196" t="s">
        <v>11720</v>
      </c>
      <c r="H2405" s="196" t="s">
        <v>11235</v>
      </c>
    </row>
    <row r="2406" spans="1:8" x14ac:dyDescent="0.15">
      <c r="A2406" s="196" t="s">
        <v>11229</v>
      </c>
      <c r="B2406" s="196" t="s">
        <v>11230</v>
      </c>
      <c r="C2406" s="196" t="s">
        <v>16977</v>
      </c>
      <c r="D2406" s="196" t="s">
        <v>16978</v>
      </c>
      <c r="E2406" s="196" t="s">
        <v>16978</v>
      </c>
      <c r="F2406" s="196" t="s">
        <v>11233</v>
      </c>
      <c r="G2406" s="196" t="s">
        <v>11720</v>
      </c>
      <c r="H2406" s="196" t="s">
        <v>11235</v>
      </c>
    </row>
    <row r="2407" spans="1:8" x14ac:dyDescent="0.15">
      <c r="A2407" s="196" t="s">
        <v>11229</v>
      </c>
      <c r="B2407" s="196" t="s">
        <v>11230</v>
      </c>
      <c r="C2407" s="196" t="s">
        <v>16979</v>
      </c>
      <c r="D2407" s="196" t="s">
        <v>16980</v>
      </c>
      <c r="E2407" s="196" t="s">
        <v>16980</v>
      </c>
      <c r="F2407" s="196" t="s">
        <v>11233</v>
      </c>
      <c r="G2407" s="196" t="s">
        <v>11720</v>
      </c>
      <c r="H2407" s="196" t="s">
        <v>11235</v>
      </c>
    </row>
    <row r="2408" spans="1:8" x14ac:dyDescent="0.15">
      <c r="A2408" s="196" t="s">
        <v>11229</v>
      </c>
      <c r="B2408" s="196" t="s">
        <v>11230</v>
      </c>
      <c r="C2408" s="196" t="s">
        <v>16981</v>
      </c>
      <c r="D2408" s="196" t="s">
        <v>16982</v>
      </c>
      <c r="E2408" s="196" t="s">
        <v>16982</v>
      </c>
      <c r="F2408" s="196" t="s">
        <v>11233</v>
      </c>
      <c r="G2408" s="196" t="s">
        <v>11720</v>
      </c>
      <c r="H2408" s="196" t="s">
        <v>11235</v>
      </c>
    </row>
    <row r="2409" spans="1:8" x14ac:dyDescent="0.15">
      <c r="A2409" s="196" t="s">
        <v>11229</v>
      </c>
      <c r="B2409" s="196" t="s">
        <v>11230</v>
      </c>
      <c r="C2409" s="196" t="s">
        <v>16983</v>
      </c>
      <c r="D2409" s="196" t="s">
        <v>16984</v>
      </c>
      <c r="E2409" s="196" t="s">
        <v>16984</v>
      </c>
      <c r="F2409" s="196" t="s">
        <v>11233</v>
      </c>
      <c r="G2409" s="196" t="s">
        <v>11720</v>
      </c>
      <c r="H2409" s="196" t="s">
        <v>11235</v>
      </c>
    </row>
    <row r="2410" spans="1:8" x14ac:dyDescent="0.15">
      <c r="A2410" s="196" t="s">
        <v>11229</v>
      </c>
      <c r="B2410" s="196" t="s">
        <v>11230</v>
      </c>
      <c r="C2410" s="196" t="s">
        <v>16985</v>
      </c>
      <c r="D2410" s="196" t="s">
        <v>16986</v>
      </c>
      <c r="E2410" s="196" t="s">
        <v>16986</v>
      </c>
      <c r="F2410" s="196" t="s">
        <v>11233</v>
      </c>
      <c r="G2410" s="196" t="s">
        <v>11720</v>
      </c>
      <c r="H2410" s="196" t="s">
        <v>11235</v>
      </c>
    </row>
    <row r="2411" spans="1:8" x14ac:dyDescent="0.15">
      <c r="A2411" s="196" t="s">
        <v>11229</v>
      </c>
      <c r="B2411" s="196" t="s">
        <v>11230</v>
      </c>
      <c r="C2411" s="196" t="s">
        <v>16987</v>
      </c>
      <c r="D2411" s="196" t="s">
        <v>16988</v>
      </c>
      <c r="E2411" s="196" t="s">
        <v>16989</v>
      </c>
      <c r="F2411" s="196" t="s">
        <v>11241</v>
      </c>
      <c r="G2411" s="196" t="s">
        <v>11720</v>
      </c>
      <c r="H2411" s="196" t="s">
        <v>11235</v>
      </c>
    </row>
    <row r="2412" spans="1:8" x14ac:dyDescent="0.15">
      <c r="A2412" s="196" t="s">
        <v>11229</v>
      </c>
      <c r="B2412" s="196" t="s">
        <v>11230</v>
      </c>
      <c r="C2412" s="196" t="s">
        <v>16990</v>
      </c>
      <c r="D2412" s="196" t="s">
        <v>16991</v>
      </c>
      <c r="E2412" s="196" t="s">
        <v>16992</v>
      </c>
      <c r="F2412" s="196" t="s">
        <v>16993</v>
      </c>
      <c r="G2412" s="196" t="s">
        <v>12378</v>
      </c>
      <c r="H2412" s="196" t="s">
        <v>11235</v>
      </c>
    </row>
    <row r="2413" spans="1:8" x14ac:dyDescent="0.15">
      <c r="A2413" s="196" t="s">
        <v>11229</v>
      </c>
      <c r="B2413" s="196" t="s">
        <v>11230</v>
      </c>
      <c r="C2413" s="196" t="s">
        <v>16994</v>
      </c>
      <c r="D2413" s="196" t="s">
        <v>16995</v>
      </c>
      <c r="E2413" s="196" t="s">
        <v>16996</v>
      </c>
      <c r="F2413" s="196" t="s">
        <v>11241</v>
      </c>
      <c r="G2413" s="196" t="s">
        <v>11720</v>
      </c>
      <c r="H2413" s="196" t="s">
        <v>11235</v>
      </c>
    </row>
    <row r="2414" spans="1:8" x14ac:dyDescent="0.15">
      <c r="A2414" s="196" t="s">
        <v>11229</v>
      </c>
      <c r="B2414" s="196" t="s">
        <v>11230</v>
      </c>
      <c r="C2414" s="196" t="s">
        <v>16997</v>
      </c>
      <c r="D2414" s="196" t="s">
        <v>16996</v>
      </c>
      <c r="E2414" s="196" t="s">
        <v>16998</v>
      </c>
      <c r="F2414" s="196" t="s">
        <v>11268</v>
      </c>
      <c r="G2414" s="196" t="s">
        <v>11720</v>
      </c>
      <c r="H2414" s="196" t="s">
        <v>11235</v>
      </c>
    </row>
    <row r="2415" spans="1:8" x14ac:dyDescent="0.15">
      <c r="A2415" s="196" t="s">
        <v>11229</v>
      </c>
      <c r="B2415" s="196" t="s">
        <v>11230</v>
      </c>
      <c r="C2415" s="196" t="s">
        <v>16999</v>
      </c>
      <c r="D2415" s="196" t="s">
        <v>17000</v>
      </c>
      <c r="E2415" s="196" t="s">
        <v>17000</v>
      </c>
      <c r="F2415" s="196" t="s">
        <v>11233</v>
      </c>
      <c r="G2415" s="196" t="s">
        <v>11720</v>
      </c>
      <c r="H2415" s="196" t="s">
        <v>11235</v>
      </c>
    </row>
    <row r="2416" spans="1:8" x14ac:dyDescent="0.15">
      <c r="A2416" s="196" t="s">
        <v>11229</v>
      </c>
      <c r="B2416" s="196" t="s">
        <v>11230</v>
      </c>
      <c r="C2416" s="196" t="s">
        <v>17001</v>
      </c>
      <c r="D2416" s="196" t="s">
        <v>17002</v>
      </c>
      <c r="E2416" s="196" t="s">
        <v>17002</v>
      </c>
      <c r="F2416" s="196" t="s">
        <v>11233</v>
      </c>
      <c r="G2416" s="196" t="s">
        <v>11720</v>
      </c>
      <c r="H2416" s="196" t="s">
        <v>11235</v>
      </c>
    </row>
    <row r="2417" spans="1:8" x14ac:dyDescent="0.15">
      <c r="A2417" s="196" t="s">
        <v>11229</v>
      </c>
      <c r="B2417" s="196" t="s">
        <v>11230</v>
      </c>
      <c r="C2417" s="196" t="s">
        <v>17003</v>
      </c>
      <c r="D2417" s="196" t="s">
        <v>17004</v>
      </c>
      <c r="E2417" s="196" t="s">
        <v>17004</v>
      </c>
      <c r="F2417" s="196" t="s">
        <v>11233</v>
      </c>
      <c r="G2417" s="196" t="s">
        <v>11720</v>
      </c>
      <c r="H2417" s="196" t="s">
        <v>11235</v>
      </c>
    </row>
    <row r="2418" spans="1:8" x14ac:dyDescent="0.15">
      <c r="A2418" s="196" t="s">
        <v>11229</v>
      </c>
      <c r="B2418" s="196" t="s">
        <v>11230</v>
      </c>
      <c r="C2418" s="196" t="s">
        <v>17005</v>
      </c>
      <c r="D2418" s="196" t="s">
        <v>17006</v>
      </c>
      <c r="E2418" s="196" t="s">
        <v>17006</v>
      </c>
      <c r="F2418" s="196" t="s">
        <v>11233</v>
      </c>
      <c r="G2418" s="196" t="s">
        <v>11720</v>
      </c>
      <c r="H2418" s="196" t="s">
        <v>11235</v>
      </c>
    </row>
    <row r="2419" spans="1:8" x14ac:dyDescent="0.15">
      <c r="A2419" s="196" t="s">
        <v>11229</v>
      </c>
      <c r="B2419" s="196" t="s">
        <v>11230</v>
      </c>
      <c r="C2419" s="196" t="s">
        <v>17007</v>
      </c>
      <c r="D2419" s="196" t="s">
        <v>17008</v>
      </c>
      <c r="E2419" s="196" t="s">
        <v>17008</v>
      </c>
      <c r="F2419" s="196" t="s">
        <v>11233</v>
      </c>
      <c r="G2419" s="196" t="s">
        <v>11720</v>
      </c>
      <c r="H2419" s="196" t="s">
        <v>11235</v>
      </c>
    </row>
    <row r="2420" spans="1:8" x14ac:dyDescent="0.15">
      <c r="A2420" s="196" t="s">
        <v>11229</v>
      </c>
      <c r="B2420" s="196" t="s">
        <v>11230</v>
      </c>
      <c r="C2420" s="196" t="s">
        <v>17009</v>
      </c>
      <c r="D2420" s="196" t="s">
        <v>17010</v>
      </c>
      <c r="E2420" s="196" t="s">
        <v>17011</v>
      </c>
      <c r="F2420" s="196" t="s">
        <v>11241</v>
      </c>
      <c r="G2420" s="196" t="s">
        <v>11720</v>
      </c>
      <c r="H2420" s="196" t="s">
        <v>11235</v>
      </c>
    </row>
    <row r="2421" spans="1:8" x14ac:dyDescent="0.15">
      <c r="A2421" s="196" t="s">
        <v>11229</v>
      </c>
      <c r="B2421" s="196" t="s">
        <v>11230</v>
      </c>
      <c r="C2421" s="196" t="s">
        <v>17012</v>
      </c>
      <c r="D2421" s="196" t="s">
        <v>17013</v>
      </c>
      <c r="E2421" s="196" t="s">
        <v>17013</v>
      </c>
      <c r="F2421" s="196" t="s">
        <v>11233</v>
      </c>
      <c r="G2421" s="196" t="s">
        <v>11720</v>
      </c>
      <c r="H2421" s="196" t="s">
        <v>11235</v>
      </c>
    </row>
    <row r="2422" spans="1:8" x14ac:dyDescent="0.15">
      <c r="A2422" s="196" t="s">
        <v>11229</v>
      </c>
      <c r="B2422" s="196" t="s">
        <v>11230</v>
      </c>
      <c r="C2422" s="196" t="s">
        <v>17014</v>
      </c>
      <c r="D2422" s="196" t="s">
        <v>17015</v>
      </c>
      <c r="E2422" s="196" t="s">
        <v>17016</v>
      </c>
      <c r="F2422" s="196" t="s">
        <v>11268</v>
      </c>
      <c r="G2422" s="196" t="s">
        <v>11720</v>
      </c>
      <c r="H2422" s="196" t="s">
        <v>11235</v>
      </c>
    </row>
    <row r="2423" spans="1:8" x14ac:dyDescent="0.15">
      <c r="A2423" s="196" t="s">
        <v>11229</v>
      </c>
      <c r="B2423" s="196" t="s">
        <v>11230</v>
      </c>
      <c r="C2423" s="196" t="s">
        <v>17017</v>
      </c>
      <c r="D2423" s="196" t="s">
        <v>17016</v>
      </c>
      <c r="E2423" s="196" t="s">
        <v>17018</v>
      </c>
      <c r="F2423" s="196" t="s">
        <v>11241</v>
      </c>
      <c r="G2423" s="196" t="s">
        <v>11720</v>
      </c>
      <c r="H2423" s="196" t="s">
        <v>11235</v>
      </c>
    </row>
    <row r="2424" spans="1:8" x14ac:dyDescent="0.15">
      <c r="A2424" s="196" t="s">
        <v>11229</v>
      </c>
      <c r="B2424" s="196" t="s">
        <v>11230</v>
      </c>
      <c r="C2424" s="196" t="s">
        <v>17019</v>
      </c>
      <c r="D2424" s="196" t="s">
        <v>17020</v>
      </c>
      <c r="E2424" s="196" t="s">
        <v>17020</v>
      </c>
      <c r="F2424" s="196" t="s">
        <v>11233</v>
      </c>
      <c r="G2424" s="196" t="s">
        <v>11720</v>
      </c>
      <c r="H2424" s="196" t="s">
        <v>11235</v>
      </c>
    </row>
    <row r="2425" spans="1:8" x14ac:dyDescent="0.15">
      <c r="A2425" s="196" t="s">
        <v>11229</v>
      </c>
      <c r="B2425" s="196" t="s">
        <v>11230</v>
      </c>
      <c r="C2425" s="196" t="s">
        <v>17021</v>
      </c>
      <c r="D2425" s="196" t="s">
        <v>17022</v>
      </c>
      <c r="E2425" s="196" t="s">
        <v>17023</v>
      </c>
      <c r="F2425" s="196" t="s">
        <v>11268</v>
      </c>
      <c r="G2425" s="196" t="s">
        <v>11720</v>
      </c>
      <c r="H2425" s="196" t="s">
        <v>11235</v>
      </c>
    </row>
    <row r="2426" spans="1:8" x14ac:dyDescent="0.15">
      <c r="A2426" s="196" t="s">
        <v>11229</v>
      </c>
      <c r="B2426" s="196" t="s">
        <v>11230</v>
      </c>
      <c r="C2426" s="196" t="s">
        <v>17024</v>
      </c>
      <c r="D2426" s="196" t="s">
        <v>17025</v>
      </c>
      <c r="E2426" s="196" t="s">
        <v>17026</v>
      </c>
      <c r="F2426" s="196" t="s">
        <v>13250</v>
      </c>
      <c r="G2426" s="196" t="s">
        <v>11720</v>
      </c>
      <c r="H2426" s="196" t="s">
        <v>11235</v>
      </c>
    </row>
    <row r="2427" spans="1:8" x14ac:dyDescent="0.15">
      <c r="A2427" s="196" t="s">
        <v>11229</v>
      </c>
      <c r="B2427" s="196" t="s">
        <v>11230</v>
      </c>
      <c r="C2427" s="196" t="s">
        <v>17027</v>
      </c>
      <c r="D2427" s="196" t="s">
        <v>17026</v>
      </c>
      <c r="E2427" s="196" t="s">
        <v>17028</v>
      </c>
      <c r="F2427" s="196" t="s">
        <v>13054</v>
      </c>
      <c r="G2427" s="196" t="s">
        <v>11720</v>
      </c>
      <c r="H2427" s="196" t="s">
        <v>11235</v>
      </c>
    </row>
    <row r="2428" spans="1:8" x14ac:dyDescent="0.15">
      <c r="A2428" s="196" t="s">
        <v>11229</v>
      </c>
      <c r="B2428" s="196" t="s">
        <v>11230</v>
      </c>
      <c r="C2428" s="196" t="s">
        <v>17029</v>
      </c>
      <c r="D2428" s="196" t="s">
        <v>17028</v>
      </c>
      <c r="E2428" s="196" t="s">
        <v>17030</v>
      </c>
      <c r="F2428" s="196" t="s">
        <v>13250</v>
      </c>
      <c r="G2428" s="196" t="s">
        <v>11720</v>
      </c>
      <c r="H2428" s="196" t="s">
        <v>11235</v>
      </c>
    </row>
    <row r="2429" spans="1:8" x14ac:dyDescent="0.15">
      <c r="A2429" s="196" t="s">
        <v>11229</v>
      </c>
      <c r="B2429" s="196" t="s">
        <v>11230</v>
      </c>
      <c r="C2429" s="196" t="s">
        <v>17031</v>
      </c>
      <c r="D2429" s="196" t="s">
        <v>17032</v>
      </c>
      <c r="E2429" s="196" t="s">
        <v>17033</v>
      </c>
      <c r="F2429" s="196" t="s">
        <v>17034</v>
      </c>
      <c r="G2429" s="196" t="s">
        <v>11720</v>
      </c>
      <c r="H2429" s="196" t="s">
        <v>11235</v>
      </c>
    </row>
    <row r="2430" spans="1:8" x14ac:dyDescent="0.15">
      <c r="A2430" s="196" t="s">
        <v>11229</v>
      </c>
      <c r="B2430" s="196" t="s">
        <v>11230</v>
      </c>
      <c r="C2430" s="196" t="s">
        <v>17035</v>
      </c>
      <c r="D2430" s="196" t="s">
        <v>17036</v>
      </c>
      <c r="E2430" s="196" t="s">
        <v>17036</v>
      </c>
      <c r="F2430" s="196" t="s">
        <v>11233</v>
      </c>
      <c r="G2430" s="196" t="s">
        <v>11720</v>
      </c>
      <c r="H2430" s="196" t="s">
        <v>11235</v>
      </c>
    </row>
    <row r="2431" spans="1:8" x14ac:dyDescent="0.15">
      <c r="A2431" s="196" t="s">
        <v>11229</v>
      </c>
      <c r="B2431" s="196" t="s">
        <v>11230</v>
      </c>
      <c r="C2431" s="196" t="s">
        <v>17037</v>
      </c>
      <c r="D2431" s="196" t="s">
        <v>17038</v>
      </c>
      <c r="E2431" s="196" t="s">
        <v>17038</v>
      </c>
      <c r="F2431" s="196" t="s">
        <v>11233</v>
      </c>
      <c r="G2431" s="196" t="s">
        <v>11720</v>
      </c>
      <c r="H2431" s="196" t="s">
        <v>11235</v>
      </c>
    </row>
    <row r="2432" spans="1:8" x14ac:dyDescent="0.15">
      <c r="A2432" s="196" t="s">
        <v>11229</v>
      </c>
      <c r="B2432" s="196" t="s">
        <v>11230</v>
      </c>
      <c r="C2432" s="196" t="s">
        <v>17039</v>
      </c>
      <c r="D2432" s="196" t="s">
        <v>17040</v>
      </c>
      <c r="E2432" s="196" t="s">
        <v>17040</v>
      </c>
      <c r="F2432" s="196" t="s">
        <v>11233</v>
      </c>
      <c r="G2432" s="196" t="s">
        <v>11720</v>
      </c>
      <c r="H2432" s="196" t="s">
        <v>11235</v>
      </c>
    </row>
    <row r="2433" spans="1:8" x14ac:dyDescent="0.15">
      <c r="A2433" s="196" t="s">
        <v>11229</v>
      </c>
      <c r="B2433" s="196" t="s">
        <v>11230</v>
      </c>
      <c r="C2433" s="196" t="s">
        <v>17041</v>
      </c>
      <c r="D2433" s="196" t="s">
        <v>17042</v>
      </c>
      <c r="E2433" s="196" t="s">
        <v>17042</v>
      </c>
      <c r="F2433" s="196" t="s">
        <v>11233</v>
      </c>
      <c r="G2433" s="196" t="s">
        <v>11720</v>
      </c>
      <c r="H2433" s="196" t="s">
        <v>11235</v>
      </c>
    </row>
    <row r="2434" spans="1:8" x14ac:dyDescent="0.15">
      <c r="A2434" s="196" t="s">
        <v>11229</v>
      </c>
      <c r="B2434" s="196" t="s">
        <v>11230</v>
      </c>
      <c r="C2434" s="196" t="s">
        <v>17043</v>
      </c>
      <c r="D2434" s="196" t="s">
        <v>17044</v>
      </c>
      <c r="E2434" s="196" t="s">
        <v>17044</v>
      </c>
      <c r="F2434" s="196" t="s">
        <v>11233</v>
      </c>
      <c r="G2434" s="196" t="s">
        <v>11720</v>
      </c>
      <c r="H2434" s="196" t="s">
        <v>11235</v>
      </c>
    </row>
    <row r="2435" spans="1:8" x14ac:dyDescent="0.15">
      <c r="A2435" s="196" t="s">
        <v>11229</v>
      </c>
      <c r="B2435" s="196" t="s">
        <v>11230</v>
      </c>
      <c r="C2435" s="196" t="s">
        <v>17045</v>
      </c>
      <c r="D2435" s="196" t="s">
        <v>17046</v>
      </c>
      <c r="E2435" s="196" t="s">
        <v>17046</v>
      </c>
      <c r="F2435" s="196" t="s">
        <v>11233</v>
      </c>
      <c r="G2435" s="196" t="s">
        <v>11720</v>
      </c>
      <c r="H2435" s="196" t="s">
        <v>11235</v>
      </c>
    </row>
    <row r="2436" spans="1:8" x14ac:dyDescent="0.15">
      <c r="A2436" s="196" t="s">
        <v>11229</v>
      </c>
      <c r="B2436" s="196" t="s">
        <v>11230</v>
      </c>
      <c r="C2436" s="196" t="s">
        <v>17047</v>
      </c>
      <c r="D2436" s="196" t="s">
        <v>17048</v>
      </c>
      <c r="E2436" s="196" t="s">
        <v>17048</v>
      </c>
      <c r="F2436" s="196" t="s">
        <v>11233</v>
      </c>
      <c r="G2436" s="196" t="s">
        <v>11720</v>
      </c>
      <c r="H2436" s="196" t="s">
        <v>11235</v>
      </c>
    </row>
    <row r="2437" spans="1:8" x14ac:dyDescent="0.15">
      <c r="A2437" s="196" t="s">
        <v>11229</v>
      </c>
      <c r="B2437" s="196" t="s">
        <v>11230</v>
      </c>
      <c r="C2437" s="196" t="s">
        <v>17049</v>
      </c>
      <c r="D2437" s="196" t="s">
        <v>17050</v>
      </c>
      <c r="E2437" s="196" t="s">
        <v>17050</v>
      </c>
      <c r="F2437" s="196" t="s">
        <v>11233</v>
      </c>
      <c r="G2437" s="196" t="s">
        <v>11720</v>
      </c>
      <c r="H2437" s="196" t="s">
        <v>11235</v>
      </c>
    </row>
    <row r="2438" spans="1:8" x14ac:dyDescent="0.15">
      <c r="A2438" s="196" t="s">
        <v>11229</v>
      </c>
      <c r="B2438" s="196" t="s">
        <v>11230</v>
      </c>
      <c r="C2438" s="196" t="s">
        <v>17051</v>
      </c>
      <c r="D2438" s="196" t="s">
        <v>17052</v>
      </c>
      <c r="E2438" s="196" t="s">
        <v>17052</v>
      </c>
      <c r="F2438" s="196" t="s">
        <v>11233</v>
      </c>
      <c r="G2438" s="196" t="s">
        <v>11720</v>
      </c>
      <c r="H2438" s="196" t="s">
        <v>11235</v>
      </c>
    </row>
    <row r="2439" spans="1:8" x14ac:dyDescent="0.15">
      <c r="A2439" s="196" t="s">
        <v>11229</v>
      </c>
      <c r="B2439" s="196" t="s">
        <v>11230</v>
      </c>
      <c r="C2439" s="196" t="s">
        <v>17053</v>
      </c>
      <c r="D2439" s="196" t="s">
        <v>17054</v>
      </c>
      <c r="E2439" s="196" t="s">
        <v>17054</v>
      </c>
      <c r="F2439" s="196" t="s">
        <v>11233</v>
      </c>
      <c r="G2439" s="196" t="s">
        <v>11720</v>
      </c>
      <c r="H2439" s="196" t="s">
        <v>11235</v>
      </c>
    </row>
    <row r="2440" spans="1:8" x14ac:dyDescent="0.15">
      <c r="A2440" s="196" t="s">
        <v>11229</v>
      </c>
      <c r="B2440" s="196" t="s">
        <v>11230</v>
      </c>
      <c r="C2440" s="196" t="s">
        <v>17055</v>
      </c>
      <c r="D2440" s="196" t="s">
        <v>17056</v>
      </c>
      <c r="E2440" s="196" t="s">
        <v>17057</v>
      </c>
      <c r="F2440" s="196" t="s">
        <v>17058</v>
      </c>
      <c r="G2440" s="196" t="s">
        <v>11720</v>
      </c>
      <c r="H2440" s="196" t="s">
        <v>11235</v>
      </c>
    </row>
    <row r="2441" spans="1:8" x14ac:dyDescent="0.15">
      <c r="A2441" s="196" t="s">
        <v>11229</v>
      </c>
      <c r="B2441" s="196" t="s">
        <v>11230</v>
      </c>
      <c r="C2441" s="196" t="s">
        <v>17059</v>
      </c>
      <c r="D2441" s="196" t="s">
        <v>17060</v>
      </c>
      <c r="E2441" s="196" t="s">
        <v>17061</v>
      </c>
      <c r="F2441" s="196" t="s">
        <v>17062</v>
      </c>
      <c r="G2441" s="196" t="s">
        <v>12378</v>
      </c>
      <c r="H2441" s="196" t="s">
        <v>11235</v>
      </c>
    </row>
    <row r="2442" spans="1:8" x14ac:dyDescent="0.15">
      <c r="A2442" s="196" t="s">
        <v>11229</v>
      </c>
      <c r="B2442" s="196" t="s">
        <v>11230</v>
      </c>
      <c r="C2442" s="196" t="s">
        <v>17063</v>
      </c>
      <c r="D2442" s="196" t="s">
        <v>17064</v>
      </c>
      <c r="E2442" s="196" t="s">
        <v>17065</v>
      </c>
      <c r="F2442" s="196" t="s">
        <v>17066</v>
      </c>
      <c r="G2442" s="196" t="s">
        <v>12378</v>
      </c>
      <c r="H2442" s="196" t="s">
        <v>12712</v>
      </c>
    </row>
    <row r="2443" spans="1:8" x14ac:dyDescent="0.15">
      <c r="A2443" s="196" t="s">
        <v>11229</v>
      </c>
      <c r="B2443" s="196" t="s">
        <v>11230</v>
      </c>
      <c r="C2443" s="196" t="s">
        <v>17067</v>
      </c>
      <c r="D2443" s="196" t="s">
        <v>17064</v>
      </c>
      <c r="E2443" s="196" t="s">
        <v>17065</v>
      </c>
      <c r="F2443" s="196" t="s">
        <v>17066</v>
      </c>
      <c r="G2443" s="196" t="s">
        <v>12378</v>
      </c>
      <c r="H2443" s="196" t="s">
        <v>12712</v>
      </c>
    </row>
    <row r="2444" spans="1:8" x14ac:dyDescent="0.15">
      <c r="A2444" s="196" t="s">
        <v>11229</v>
      </c>
      <c r="B2444" s="196" t="s">
        <v>11230</v>
      </c>
      <c r="C2444" s="196" t="s">
        <v>17068</v>
      </c>
      <c r="D2444" s="196" t="s">
        <v>17064</v>
      </c>
      <c r="E2444" s="196" t="s">
        <v>17069</v>
      </c>
      <c r="F2444" s="196" t="s">
        <v>17070</v>
      </c>
      <c r="G2444" s="196" t="s">
        <v>12378</v>
      </c>
      <c r="H2444" s="196" t="s">
        <v>12712</v>
      </c>
    </row>
    <row r="2445" spans="1:8" x14ac:dyDescent="0.15">
      <c r="A2445" s="196" t="s">
        <v>11229</v>
      </c>
      <c r="B2445" s="196" t="s">
        <v>11230</v>
      </c>
      <c r="C2445" s="196" t="s">
        <v>17071</v>
      </c>
      <c r="D2445" s="196" t="s">
        <v>17064</v>
      </c>
      <c r="E2445" s="196" t="s">
        <v>17065</v>
      </c>
      <c r="F2445" s="196" t="s">
        <v>17066</v>
      </c>
      <c r="G2445" s="196" t="s">
        <v>12378</v>
      </c>
      <c r="H2445" s="196" t="s">
        <v>12712</v>
      </c>
    </row>
    <row r="2446" spans="1:8" x14ac:dyDescent="0.15">
      <c r="A2446" s="196" t="s">
        <v>11229</v>
      </c>
      <c r="B2446" s="196" t="s">
        <v>11230</v>
      </c>
      <c r="C2446" s="196" t="s">
        <v>17072</v>
      </c>
      <c r="D2446" s="196" t="s">
        <v>17073</v>
      </c>
      <c r="E2446" s="196" t="s">
        <v>17074</v>
      </c>
      <c r="F2446" s="196" t="s">
        <v>17075</v>
      </c>
      <c r="G2446" s="196" t="s">
        <v>11720</v>
      </c>
      <c r="H2446" s="196" t="s">
        <v>11235</v>
      </c>
    </row>
    <row r="2447" spans="1:8" x14ac:dyDescent="0.15">
      <c r="A2447" s="196" t="s">
        <v>11229</v>
      </c>
      <c r="B2447" s="196" t="s">
        <v>11230</v>
      </c>
      <c r="C2447" s="196" t="s">
        <v>17076</v>
      </c>
      <c r="D2447" s="196" t="s">
        <v>17077</v>
      </c>
      <c r="E2447" s="196" t="s">
        <v>17078</v>
      </c>
      <c r="F2447" s="196" t="s">
        <v>17079</v>
      </c>
      <c r="G2447" s="196" t="s">
        <v>11720</v>
      </c>
      <c r="H2447" s="196" t="s">
        <v>11235</v>
      </c>
    </row>
    <row r="2448" spans="1:8" x14ac:dyDescent="0.15">
      <c r="A2448" s="196" t="s">
        <v>11229</v>
      </c>
      <c r="B2448" s="196" t="s">
        <v>11230</v>
      </c>
      <c r="C2448" s="196" t="s">
        <v>17080</v>
      </c>
      <c r="D2448" s="196" t="s">
        <v>17081</v>
      </c>
      <c r="E2448" s="196" t="s">
        <v>17082</v>
      </c>
      <c r="F2448" s="196" t="s">
        <v>17083</v>
      </c>
      <c r="G2448" s="196" t="s">
        <v>11720</v>
      </c>
      <c r="H2448" s="196" t="s">
        <v>11235</v>
      </c>
    </row>
    <row r="2449" spans="1:8" x14ac:dyDescent="0.15">
      <c r="A2449" s="196" t="s">
        <v>11229</v>
      </c>
      <c r="B2449" s="196" t="s">
        <v>11230</v>
      </c>
      <c r="C2449" s="196" t="s">
        <v>17084</v>
      </c>
      <c r="D2449" s="196" t="s">
        <v>17085</v>
      </c>
      <c r="E2449" s="196" t="s">
        <v>17086</v>
      </c>
      <c r="F2449" s="196" t="s">
        <v>17087</v>
      </c>
      <c r="G2449" s="196" t="s">
        <v>11720</v>
      </c>
      <c r="H2449" s="196" t="s">
        <v>11235</v>
      </c>
    </row>
    <row r="2450" spans="1:8" x14ac:dyDescent="0.15">
      <c r="A2450" s="196" t="s">
        <v>11229</v>
      </c>
      <c r="B2450" s="196" t="s">
        <v>11230</v>
      </c>
      <c r="C2450" s="196" t="s">
        <v>17088</v>
      </c>
      <c r="D2450" s="196" t="s">
        <v>17089</v>
      </c>
      <c r="E2450" s="196" t="s">
        <v>17090</v>
      </c>
      <c r="F2450" s="196" t="s">
        <v>17091</v>
      </c>
      <c r="G2450" s="196" t="s">
        <v>11720</v>
      </c>
      <c r="H2450" s="196" t="s">
        <v>11235</v>
      </c>
    </row>
    <row r="2451" spans="1:8" x14ac:dyDescent="0.15">
      <c r="A2451" s="196" t="s">
        <v>11229</v>
      </c>
      <c r="B2451" s="196" t="s">
        <v>11230</v>
      </c>
      <c r="C2451" s="196" t="s">
        <v>17092</v>
      </c>
      <c r="D2451" s="196" t="s">
        <v>17090</v>
      </c>
      <c r="E2451" s="196" t="s">
        <v>17093</v>
      </c>
      <c r="F2451" s="196" t="s">
        <v>17094</v>
      </c>
      <c r="G2451" s="196" t="s">
        <v>11720</v>
      </c>
      <c r="H2451" s="196" t="s">
        <v>11235</v>
      </c>
    </row>
    <row r="2452" spans="1:8" x14ac:dyDescent="0.15">
      <c r="A2452" s="196" t="s">
        <v>11229</v>
      </c>
      <c r="B2452" s="196" t="s">
        <v>11230</v>
      </c>
      <c r="C2452" s="196" t="s">
        <v>17095</v>
      </c>
      <c r="D2452" s="196" t="s">
        <v>17096</v>
      </c>
      <c r="E2452" s="196" t="s">
        <v>17097</v>
      </c>
      <c r="F2452" s="196" t="s">
        <v>17098</v>
      </c>
      <c r="G2452" s="196" t="s">
        <v>11720</v>
      </c>
      <c r="H2452" s="196" t="s">
        <v>11235</v>
      </c>
    </row>
    <row r="2453" spans="1:8" x14ac:dyDescent="0.15">
      <c r="A2453" s="196" t="s">
        <v>11229</v>
      </c>
      <c r="B2453" s="196" t="s">
        <v>11230</v>
      </c>
      <c r="C2453" s="196" t="s">
        <v>17099</v>
      </c>
      <c r="D2453" s="196" t="s">
        <v>17100</v>
      </c>
      <c r="E2453" s="196" t="s">
        <v>17101</v>
      </c>
      <c r="F2453" s="196" t="s">
        <v>17102</v>
      </c>
      <c r="G2453" s="196" t="s">
        <v>11720</v>
      </c>
      <c r="H2453" s="196" t="s">
        <v>11235</v>
      </c>
    </row>
    <row r="2454" spans="1:8" x14ac:dyDescent="0.15">
      <c r="A2454" s="196" t="s">
        <v>11229</v>
      </c>
      <c r="B2454" s="196" t="s">
        <v>11230</v>
      </c>
      <c r="C2454" s="196" t="s">
        <v>17103</v>
      </c>
      <c r="D2454" s="196" t="s">
        <v>17101</v>
      </c>
      <c r="E2454" s="196" t="s">
        <v>17104</v>
      </c>
      <c r="F2454" s="196" t="s">
        <v>17105</v>
      </c>
      <c r="G2454" s="196" t="s">
        <v>11720</v>
      </c>
      <c r="H2454" s="196" t="s">
        <v>11235</v>
      </c>
    </row>
    <row r="2455" spans="1:8" x14ac:dyDescent="0.15">
      <c r="A2455" s="196" t="s">
        <v>11229</v>
      </c>
      <c r="B2455" s="196" t="s">
        <v>11230</v>
      </c>
      <c r="C2455" s="196" t="s">
        <v>17106</v>
      </c>
      <c r="D2455" s="196" t="s">
        <v>17107</v>
      </c>
      <c r="E2455" s="196" t="s">
        <v>17108</v>
      </c>
      <c r="F2455" s="196" t="s">
        <v>17109</v>
      </c>
      <c r="G2455" s="196" t="s">
        <v>11720</v>
      </c>
      <c r="H2455" s="196" t="s">
        <v>11235</v>
      </c>
    </row>
    <row r="2456" spans="1:8" x14ac:dyDescent="0.15">
      <c r="A2456" s="196" t="s">
        <v>11229</v>
      </c>
      <c r="B2456" s="196" t="s">
        <v>11230</v>
      </c>
      <c r="C2456" s="196" t="s">
        <v>17110</v>
      </c>
      <c r="D2456" s="196" t="s">
        <v>17111</v>
      </c>
      <c r="E2456" s="196" t="s">
        <v>17111</v>
      </c>
      <c r="F2456" s="196" t="s">
        <v>11233</v>
      </c>
      <c r="G2456" s="196" t="s">
        <v>11720</v>
      </c>
      <c r="H2456" s="196" t="s">
        <v>11235</v>
      </c>
    </row>
    <row r="2457" spans="1:8" x14ac:dyDescent="0.15">
      <c r="A2457" s="196" t="s">
        <v>11229</v>
      </c>
      <c r="B2457" s="196" t="s">
        <v>11230</v>
      </c>
      <c r="C2457" s="196" t="s">
        <v>17112</v>
      </c>
      <c r="D2457" s="196" t="s">
        <v>17113</v>
      </c>
      <c r="E2457" s="196" t="s">
        <v>17113</v>
      </c>
      <c r="F2457" s="196" t="s">
        <v>11233</v>
      </c>
      <c r="G2457" s="196" t="s">
        <v>11720</v>
      </c>
      <c r="H2457" s="196" t="s">
        <v>11235</v>
      </c>
    </row>
    <row r="2458" spans="1:8" x14ac:dyDescent="0.15">
      <c r="A2458" s="196" t="s">
        <v>11229</v>
      </c>
      <c r="B2458" s="196" t="s">
        <v>11230</v>
      </c>
      <c r="C2458" s="196" t="s">
        <v>17114</v>
      </c>
      <c r="D2458" s="196" t="s">
        <v>17115</v>
      </c>
      <c r="E2458" s="196" t="s">
        <v>17115</v>
      </c>
      <c r="F2458" s="196" t="s">
        <v>11233</v>
      </c>
      <c r="G2458" s="196" t="s">
        <v>11720</v>
      </c>
      <c r="H2458" s="196" t="s">
        <v>11235</v>
      </c>
    </row>
    <row r="2459" spans="1:8" x14ac:dyDescent="0.15">
      <c r="A2459" s="196" t="s">
        <v>11229</v>
      </c>
      <c r="B2459" s="196" t="s">
        <v>11230</v>
      </c>
      <c r="C2459" s="196" t="s">
        <v>17116</v>
      </c>
      <c r="D2459" s="196" t="s">
        <v>17117</v>
      </c>
      <c r="E2459" s="196" t="s">
        <v>17117</v>
      </c>
      <c r="F2459" s="196" t="s">
        <v>11233</v>
      </c>
      <c r="G2459" s="196" t="s">
        <v>11720</v>
      </c>
      <c r="H2459" s="196" t="s">
        <v>11235</v>
      </c>
    </row>
    <row r="2460" spans="1:8" x14ac:dyDescent="0.15">
      <c r="A2460" s="196" t="s">
        <v>11229</v>
      </c>
      <c r="B2460" s="196" t="s">
        <v>11230</v>
      </c>
      <c r="C2460" s="196" t="s">
        <v>17118</v>
      </c>
      <c r="D2460" s="196" t="s">
        <v>17119</v>
      </c>
      <c r="E2460" s="196" t="s">
        <v>17119</v>
      </c>
      <c r="F2460" s="196" t="s">
        <v>11233</v>
      </c>
      <c r="G2460" s="196" t="s">
        <v>11720</v>
      </c>
      <c r="H2460" s="196" t="s">
        <v>11235</v>
      </c>
    </row>
    <row r="2461" spans="1:8" x14ac:dyDescent="0.15">
      <c r="A2461" s="196" t="s">
        <v>11229</v>
      </c>
      <c r="B2461" s="196" t="s">
        <v>11230</v>
      </c>
      <c r="C2461" s="196" t="s">
        <v>17120</v>
      </c>
      <c r="D2461" s="196" t="s">
        <v>17121</v>
      </c>
      <c r="E2461" s="196" t="s">
        <v>17121</v>
      </c>
      <c r="F2461" s="196" t="s">
        <v>11233</v>
      </c>
      <c r="G2461" s="196" t="s">
        <v>11720</v>
      </c>
      <c r="H2461" s="196" t="s">
        <v>11235</v>
      </c>
    </row>
    <row r="2462" spans="1:8" x14ac:dyDescent="0.15">
      <c r="A2462" s="196" t="s">
        <v>11229</v>
      </c>
      <c r="B2462" s="196" t="s">
        <v>11230</v>
      </c>
      <c r="C2462" s="196" t="s">
        <v>17122</v>
      </c>
      <c r="D2462" s="196" t="s">
        <v>17123</v>
      </c>
      <c r="E2462" s="196" t="s">
        <v>17124</v>
      </c>
      <c r="F2462" s="196" t="s">
        <v>17125</v>
      </c>
      <c r="G2462" s="196" t="s">
        <v>11720</v>
      </c>
      <c r="H2462" s="196" t="s">
        <v>12712</v>
      </c>
    </row>
    <row r="2463" spans="1:8" x14ac:dyDescent="0.15">
      <c r="A2463" s="196" t="s">
        <v>11229</v>
      </c>
      <c r="B2463" s="196" t="s">
        <v>11230</v>
      </c>
      <c r="C2463" s="196" t="s">
        <v>17126</v>
      </c>
      <c r="D2463" s="196" t="s">
        <v>17123</v>
      </c>
      <c r="E2463" s="196" t="s">
        <v>17127</v>
      </c>
      <c r="F2463" s="196" t="s">
        <v>17128</v>
      </c>
      <c r="G2463" s="196" t="s">
        <v>11720</v>
      </c>
      <c r="H2463" s="196" t="s">
        <v>12712</v>
      </c>
    </row>
    <row r="2464" spans="1:8" x14ac:dyDescent="0.15">
      <c r="A2464" s="196" t="s">
        <v>11229</v>
      </c>
      <c r="B2464" s="196" t="s">
        <v>11230</v>
      </c>
      <c r="C2464" s="196" t="s">
        <v>17129</v>
      </c>
      <c r="D2464" s="196" t="s">
        <v>17130</v>
      </c>
      <c r="E2464" s="196" t="s">
        <v>17131</v>
      </c>
      <c r="F2464" s="196" t="s">
        <v>17132</v>
      </c>
      <c r="G2464" s="196" t="s">
        <v>12378</v>
      </c>
      <c r="H2464" s="196" t="s">
        <v>12712</v>
      </c>
    </row>
    <row r="2465" spans="1:8" x14ac:dyDescent="0.15">
      <c r="A2465" s="196" t="s">
        <v>11229</v>
      </c>
      <c r="B2465" s="196" t="s">
        <v>11230</v>
      </c>
      <c r="C2465" s="196" t="s">
        <v>17133</v>
      </c>
      <c r="D2465" s="196" t="s">
        <v>17130</v>
      </c>
      <c r="E2465" s="196" t="s">
        <v>17134</v>
      </c>
      <c r="F2465" s="196" t="s">
        <v>17135</v>
      </c>
      <c r="G2465" s="196" t="s">
        <v>12378</v>
      </c>
      <c r="H2465" s="196" t="s">
        <v>12712</v>
      </c>
    </row>
    <row r="2466" spans="1:8" x14ac:dyDescent="0.15">
      <c r="A2466" s="196" t="s">
        <v>11229</v>
      </c>
      <c r="B2466" s="196" t="s">
        <v>11230</v>
      </c>
      <c r="C2466" s="196" t="s">
        <v>17136</v>
      </c>
      <c r="D2466" s="196" t="s">
        <v>17130</v>
      </c>
      <c r="E2466" s="196" t="s">
        <v>17131</v>
      </c>
      <c r="F2466" s="196" t="s">
        <v>17132</v>
      </c>
      <c r="G2466" s="196" t="s">
        <v>12378</v>
      </c>
      <c r="H2466" s="196" t="s">
        <v>12712</v>
      </c>
    </row>
    <row r="2467" spans="1:8" x14ac:dyDescent="0.15">
      <c r="A2467" s="196" t="s">
        <v>11229</v>
      </c>
      <c r="B2467" s="196" t="s">
        <v>11230</v>
      </c>
      <c r="C2467" s="196" t="s">
        <v>17137</v>
      </c>
      <c r="D2467" s="196" t="s">
        <v>17130</v>
      </c>
      <c r="E2467" s="196" t="s">
        <v>17134</v>
      </c>
      <c r="F2467" s="196" t="s">
        <v>17135</v>
      </c>
      <c r="G2467" s="196" t="s">
        <v>12378</v>
      </c>
      <c r="H2467" s="196" t="s">
        <v>12712</v>
      </c>
    </row>
    <row r="2468" spans="1:8" x14ac:dyDescent="0.15">
      <c r="A2468" s="196" t="s">
        <v>11229</v>
      </c>
      <c r="B2468" s="196" t="s">
        <v>11230</v>
      </c>
      <c r="C2468" s="196" t="s">
        <v>17138</v>
      </c>
      <c r="D2468" s="196" t="s">
        <v>17139</v>
      </c>
      <c r="E2468" s="196" t="s">
        <v>17140</v>
      </c>
      <c r="F2468" s="196" t="s">
        <v>17141</v>
      </c>
      <c r="G2468" s="196" t="s">
        <v>12378</v>
      </c>
      <c r="H2468" s="196" t="s">
        <v>12712</v>
      </c>
    </row>
    <row r="2469" spans="1:8" x14ac:dyDescent="0.15">
      <c r="A2469" s="196" t="s">
        <v>11229</v>
      </c>
      <c r="B2469" s="196" t="s">
        <v>11230</v>
      </c>
      <c r="C2469" s="196" t="s">
        <v>17142</v>
      </c>
      <c r="D2469" s="196" t="s">
        <v>17139</v>
      </c>
      <c r="E2469" s="196" t="s">
        <v>17140</v>
      </c>
      <c r="F2469" s="196" t="s">
        <v>17141</v>
      </c>
      <c r="G2469" s="196" t="s">
        <v>12378</v>
      </c>
      <c r="H2469" s="196" t="s">
        <v>12712</v>
      </c>
    </row>
    <row r="2470" spans="1:8" x14ac:dyDescent="0.15">
      <c r="A2470" s="196" t="s">
        <v>11229</v>
      </c>
      <c r="B2470" s="196" t="s">
        <v>11230</v>
      </c>
      <c r="C2470" s="196" t="s">
        <v>17143</v>
      </c>
      <c r="D2470" s="196" t="s">
        <v>17139</v>
      </c>
      <c r="E2470" s="196" t="s">
        <v>17144</v>
      </c>
      <c r="F2470" s="196" t="s">
        <v>17145</v>
      </c>
      <c r="G2470" s="196" t="s">
        <v>12378</v>
      </c>
      <c r="H2470" s="196" t="s">
        <v>12712</v>
      </c>
    </row>
    <row r="2471" spans="1:8" x14ac:dyDescent="0.15">
      <c r="A2471" s="196" t="s">
        <v>11229</v>
      </c>
      <c r="B2471" s="196" t="s">
        <v>11230</v>
      </c>
      <c r="C2471" s="196" t="s">
        <v>17146</v>
      </c>
      <c r="D2471" s="196" t="s">
        <v>17139</v>
      </c>
      <c r="E2471" s="196" t="s">
        <v>17147</v>
      </c>
      <c r="F2471" s="196" t="s">
        <v>17148</v>
      </c>
      <c r="G2471" s="196" t="s">
        <v>12378</v>
      </c>
      <c r="H2471" s="196" t="s">
        <v>12712</v>
      </c>
    </row>
    <row r="2472" spans="1:8" x14ac:dyDescent="0.15">
      <c r="A2472" s="196" t="s">
        <v>11229</v>
      </c>
      <c r="B2472" s="196" t="s">
        <v>11230</v>
      </c>
      <c r="C2472" s="196" t="s">
        <v>17149</v>
      </c>
      <c r="D2472" s="196" t="s">
        <v>17150</v>
      </c>
      <c r="E2472" s="196" t="s">
        <v>17151</v>
      </c>
      <c r="F2472" s="196" t="s">
        <v>17152</v>
      </c>
      <c r="G2472" s="196" t="s">
        <v>11720</v>
      </c>
      <c r="H2472" s="196" t="s">
        <v>11235</v>
      </c>
    </row>
    <row r="2473" spans="1:8" x14ac:dyDescent="0.15">
      <c r="A2473" s="196" t="s">
        <v>11229</v>
      </c>
      <c r="B2473" s="196" t="s">
        <v>11230</v>
      </c>
      <c r="C2473" s="196" t="s">
        <v>17153</v>
      </c>
      <c r="D2473" s="196" t="s">
        <v>17154</v>
      </c>
      <c r="E2473" s="196" t="s">
        <v>17155</v>
      </c>
      <c r="F2473" s="196" t="s">
        <v>17156</v>
      </c>
      <c r="G2473" s="196" t="s">
        <v>12378</v>
      </c>
      <c r="H2473" s="196" t="s">
        <v>12712</v>
      </c>
    </row>
    <row r="2474" spans="1:8" x14ac:dyDescent="0.15">
      <c r="A2474" s="196" t="s">
        <v>11229</v>
      </c>
      <c r="B2474" s="196" t="s">
        <v>11230</v>
      </c>
      <c r="C2474" s="196" t="s">
        <v>17157</v>
      </c>
      <c r="D2474" s="196" t="s">
        <v>17154</v>
      </c>
      <c r="E2474" s="196" t="s">
        <v>17155</v>
      </c>
      <c r="F2474" s="196" t="s">
        <v>17156</v>
      </c>
      <c r="G2474" s="196" t="s">
        <v>12378</v>
      </c>
      <c r="H2474" s="196" t="s">
        <v>12712</v>
      </c>
    </row>
    <row r="2475" spans="1:8" x14ac:dyDescent="0.15">
      <c r="A2475" s="196" t="s">
        <v>11229</v>
      </c>
      <c r="B2475" s="196" t="s">
        <v>11230</v>
      </c>
      <c r="C2475" s="196" t="s">
        <v>17158</v>
      </c>
      <c r="D2475" s="196" t="s">
        <v>17154</v>
      </c>
      <c r="E2475" s="196" t="s">
        <v>17155</v>
      </c>
      <c r="F2475" s="196" t="s">
        <v>17156</v>
      </c>
      <c r="G2475" s="196" t="s">
        <v>12378</v>
      </c>
      <c r="H2475" s="196" t="s">
        <v>12712</v>
      </c>
    </row>
    <row r="2476" spans="1:8" x14ac:dyDescent="0.15">
      <c r="A2476" s="196" t="s">
        <v>11229</v>
      </c>
      <c r="B2476" s="196" t="s">
        <v>11230</v>
      </c>
      <c r="C2476" s="196" t="s">
        <v>17159</v>
      </c>
      <c r="D2476" s="196" t="s">
        <v>17154</v>
      </c>
      <c r="E2476" s="196" t="s">
        <v>17155</v>
      </c>
      <c r="F2476" s="196" t="s">
        <v>17156</v>
      </c>
      <c r="G2476" s="196" t="s">
        <v>12378</v>
      </c>
      <c r="H2476" s="196" t="s">
        <v>12712</v>
      </c>
    </row>
    <row r="2477" spans="1:8" x14ac:dyDescent="0.15">
      <c r="A2477" s="196" t="s">
        <v>11229</v>
      </c>
      <c r="B2477" s="196" t="s">
        <v>11230</v>
      </c>
      <c r="C2477" s="196" t="s">
        <v>17160</v>
      </c>
      <c r="D2477" s="196" t="s">
        <v>17161</v>
      </c>
      <c r="E2477" s="196" t="s">
        <v>17162</v>
      </c>
      <c r="F2477" s="196" t="s">
        <v>17163</v>
      </c>
      <c r="G2477" s="196" t="s">
        <v>11720</v>
      </c>
      <c r="H2477" s="196" t="s">
        <v>11235</v>
      </c>
    </row>
    <row r="2478" spans="1:8" x14ac:dyDescent="0.15">
      <c r="A2478" s="196" t="s">
        <v>11229</v>
      </c>
      <c r="B2478" s="196" t="s">
        <v>11230</v>
      </c>
      <c r="C2478" s="196" t="s">
        <v>17164</v>
      </c>
      <c r="D2478" s="196" t="s">
        <v>17165</v>
      </c>
      <c r="E2478" s="196" t="s">
        <v>17166</v>
      </c>
      <c r="F2478" s="196" t="s">
        <v>11241</v>
      </c>
      <c r="G2478" s="196" t="s">
        <v>11720</v>
      </c>
      <c r="H2478" s="196" t="s">
        <v>11235</v>
      </c>
    </row>
    <row r="2479" spans="1:8" x14ac:dyDescent="0.15">
      <c r="A2479" s="196" t="s">
        <v>11229</v>
      </c>
      <c r="B2479" s="196" t="s">
        <v>11230</v>
      </c>
      <c r="C2479" s="196" t="s">
        <v>17167</v>
      </c>
      <c r="D2479" s="196" t="s">
        <v>17168</v>
      </c>
      <c r="E2479" s="196" t="s">
        <v>17169</v>
      </c>
      <c r="F2479" s="196" t="s">
        <v>11241</v>
      </c>
      <c r="G2479" s="196" t="s">
        <v>11720</v>
      </c>
      <c r="H2479" s="196" t="s">
        <v>11235</v>
      </c>
    </row>
    <row r="2480" spans="1:8" x14ac:dyDescent="0.15">
      <c r="A2480" s="196" t="s">
        <v>11229</v>
      </c>
      <c r="B2480" s="196" t="s">
        <v>11230</v>
      </c>
      <c r="C2480" s="196" t="s">
        <v>17170</v>
      </c>
      <c r="D2480" s="196" t="s">
        <v>17169</v>
      </c>
      <c r="E2480" s="196" t="s">
        <v>17171</v>
      </c>
      <c r="F2480" s="196" t="s">
        <v>11241</v>
      </c>
      <c r="G2480" s="196" t="s">
        <v>11720</v>
      </c>
      <c r="H2480" s="196" t="s">
        <v>11235</v>
      </c>
    </row>
    <row r="2481" spans="1:8" x14ac:dyDescent="0.15">
      <c r="A2481" s="196" t="s">
        <v>11229</v>
      </c>
      <c r="B2481" s="196" t="s">
        <v>11230</v>
      </c>
      <c r="C2481" s="196" t="s">
        <v>17172</v>
      </c>
      <c r="D2481" s="196" t="s">
        <v>17171</v>
      </c>
      <c r="E2481" s="196" t="s">
        <v>17173</v>
      </c>
      <c r="F2481" s="196" t="s">
        <v>11268</v>
      </c>
      <c r="G2481" s="196" t="s">
        <v>11720</v>
      </c>
      <c r="H2481" s="196" t="s">
        <v>11235</v>
      </c>
    </row>
    <row r="2482" spans="1:8" x14ac:dyDescent="0.15">
      <c r="A2482" s="196" t="s">
        <v>11229</v>
      </c>
      <c r="B2482" s="196" t="s">
        <v>11230</v>
      </c>
      <c r="C2482" s="196" t="s">
        <v>17174</v>
      </c>
      <c r="D2482" s="196" t="s">
        <v>17175</v>
      </c>
      <c r="E2482" s="196" t="s">
        <v>17175</v>
      </c>
      <c r="F2482" s="196" t="s">
        <v>11233</v>
      </c>
      <c r="G2482" s="196" t="s">
        <v>11720</v>
      </c>
      <c r="H2482" s="196" t="s">
        <v>11235</v>
      </c>
    </row>
    <row r="2483" spans="1:8" x14ac:dyDescent="0.15">
      <c r="A2483" s="196" t="s">
        <v>11229</v>
      </c>
      <c r="B2483" s="196" t="s">
        <v>11230</v>
      </c>
      <c r="C2483" s="196" t="s">
        <v>17176</v>
      </c>
      <c r="D2483" s="196" t="s">
        <v>17177</v>
      </c>
      <c r="E2483" s="196" t="s">
        <v>17177</v>
      </c>
      <c r="F2483" s="196" t="s">
        <v>11233</v>
      </c>
      <c r="G2483" s="196" t="s">
        <v>11720</v>
      </c>
      <c r="H2483" s="196" t="s">
        <v>11235</v>
      </c>
    </row>
    <row r="2484" spans="1:8" x14ac:dyDescent="0.15">
      <c r="A2484" s="196" t="s">
        <v>11229</v>
      </c>
      <c r="B2484" s="196" t="s">
        <v>11230</v>
      </c>
      <c r="C2484" s="196" t="s">
        <v>17178</v>
      </c>
      <c r="D2484" s="196" t="s">
        <v>17179</v>
      </c>
      <c r="E2484" s="196" t="s">
        <v>17179</v>
      </c>
      <c r="F2484" s="196" t="s">
        <v>11233</v>
      </c>
      <c r="G2484" s="196" t="s">
        <v>11720</v>
      </c>
      <c r="H2484" s="196" t="s">
        <v>11235</v>
      </c>
    </row>
    <row r="2485" spans="1:8" x14ac:dyDescent="0.15">
      <c r="A2485" s="196" t="s">
        <v>11229</v>
      </c>
      <c r="B2485" s="196" t="s">
        <v>11230</v>
      </c>
      <c r="C2485" s="196" t="s">
        <v>17180</v>
      </c>
      <c r="D2485" s="196" t="s">
        <v>17181</v>
      </c>
      <c r="E2485" s="196" t="s">
        <v>17181</v>
      </c>
      <c r="F2485" s="196" t="s">
        <v>11233</v>
      </c>
      <c r="G2485" s="196" t="s">
        <v>11720</v>
      </c>
      <c r="H2485" s="196" t="s">
        <v>11235</v>
      </c>
    </row>
    <row r="2486" spans="1:8" x14ac:dyDescent="0.15">
      <c r="A2486" s="196" t="s">
        <v>11229</v>
      </c>
      <c r="B2486" s="196" t="s">
        <v>11230</v>
      </c>
      <c r="C2486" s="196" t="s">
        <v>17182</v>
      </c>
      <c r="D2486" s="196" t="s">
        <v>17183</v>
      </c>
      <c r="E2486" s="196" t="s">
        <v>17183</v>
      </c>
      <c r="F2486" s="196" t="s">
        <v>11233</v>
      </c>
      <c r="G2486" s="196" t="s">
        <v>11720</v>
      </c>
      <c r="H2486" s="196" t="s">
        <v>11235</v>
      </c>
    </row>
    <row r="2487" spans="1:8" x14ac:dyDescent="0.15">
      <c r="A2487" s="196" t="s">
        <v>11229</v>
      </c>
      <c r="B2487" s="196" t="s">
        <v>11230</v>
      </c>
      <c r="C2487" s="196" t="s">
        <v>17184</v>
      </c>
      <c r="D2487" s="196" t="s">
        <v>17185</v>
      </c>
      <c r="E2487" s="196" t="s">
        <v>17185</v>
      </c>
      <c r="F2487" s="196" t="s">
        <v>11233</v>
      </c>
      <c r="G2487" s="196" t="s">
        <v>11720</v>
      </c>
      <c r="H2487" s="196" t="s">
        <v>11235</v>
      </c>
    </row>
    <row r="2488" spans="1:8" x14ac:dyDescent="0.15">
      <c r="A2488" s="196" t="s">
        <v>11229</v>
      </c>
      <c r="B2488" s="196" t="s">
        <v>11230</v>
      </c>
      <c r="C2488" s="196" t="s">
        <v>17186</v>
      </c>
      <c r="D2488" s="196" t="s">
        <v>17187</v>
      </c>
      <c r="E2488" s="196" t="s">
        <v>17187</v>
      </c>
      <c r="F2488" s="196" t="s">
        <v>11233</v>
      </c>
      <c r="G2488" s="196" t="s">
        <v>11720</v>
      </c>
      <c r="H2488" s="196" t="s">
        <v>11235</v>
      </c>
    </row>
    <row r="2489" spans="1:8" x14ac:dyDescent="0.15">
      <c r="A2489" s="196" t="s">
        <v>11229</v>
      </c>
      <c r="B2489" s="196" t="s">
        <v>11230</v>
      </c>
      <c r="C2489" s="196" t="s">
        <v>17188</v>
      </c>
      <c r="D2489" s="196" t="s">
        <v>17189</v>
      </c>
      <c r="E2489" s="196" t="s">
        <v>17189</v>
      </c>
      <c r="F2489" s="196" t="s">
        <v>11233</v>
      </c>
      <c r="G2489" s="196" t="s">
        <v>11720</v>
      </c>
      <c r="H2489" s="196" t="s">
        <v>11235</v>
      </c>
    </row>
    <row r="2490" spans="1:8" x14ac:dyDescent="0.15">
      <c r="A2490" s="196" t="s">
        <v>11229</v>
      </c>
      <c r="B2490" s="196" t="s">
        <v>11230</v>
      </c>
      <c r="C2490" s="196" t="s">
        <v>17190</v>
      </c>
      <c r="D2490" s="196" t="s">
        <v>17191</v>
      </c>
      <c r="E2490" s="196" t="s">
        <v>17191</v>
      </c>
      <c r="F2490" s="196" t="s">
        <v>11233</v>
      </c>
      <c r="G2490" s="196" t="s">
        <v>11720</v>
      </c>
      <c r="H2490" s="196" t="s">
        <v>11235</v>
      </c>
    </row>
    <row r="2491" spans="1:8" x14ac:dyDescent="0.15">
      <c r="A2491" s="196" t="s">
        <v>11229</v>
      </c>
      <c r="B2491" s="196" t="s">
        <v>11230</v>
      </c>
      <c r="C2491" s="196" t="s">
        <v>17192</v>
      </c>
      <c r="D2491" s="196" t="s">
        <v>17193</v>
      </c>
      <c r="E2491" s="196" t="s">
        <v>17193</v>
      </c>
      <c r="F2491" s="196" t="s">
        <v>11233</v>
      </c>
      <c r="G2491" s="196" t="s">
        <v>11720</v>
      </c>
      <c r="H2491" s="196" t="s">
        <v>11235</v>
      </c>
    </row>
    <row r="2492" spans="1:8" x14ac:dyDescent="0.15">
      <c r="A2492" s="196" t="s">
        <v>11229</v>
      </c>
      <c r="B2492" s="196" t="s">
        <v>11230</v>
      </c>
      <c r="C2492" s="196" t="s">
        <v>17194</v>
      </c>
      <c r="D2492" s="196" t="s">
        <v>17195</v>
      </c>
      <c r="E2492" s="196" t="s">
        <v>17195</v>
      </c>
      <c r="F2492" s="196" t="s">
        <v>11233</v>
      </c>
      <c r="G2492" s="196" t="s">
        <v>11720</v>
      </c>
      <c r="H2492" s="196" t="s">
        <v>11235</v>
      </c>
    </row>
    <row r="2493" spans="1:8" x14ac:dyDescent="0.15">
      <c r="A2493" s="196" t="s">
        <v>11229</v>
      </c>
      <c r="B2493" s="196" t="s">
        <v>11230</v>
      </c>
      <c r="C2493" s="196" t="s">
        <v>17196</v>
      </c>
      <c r="D2493" s="196" t="s">
        <v>17197</v>
      </c>
      <c r="E2493" s="196" t="s">
        <v>17198</v>
      </c>
      <c r="F2493" s="196" t="s">
        <v>11241</v>
      </c>
      <c r="G2493" s="196" t="s">
        <v>11720</v>
      </c>
      <c r="H2493" s="196" t="s">
        <v>11235</v>
      </c>
    </row>
    <row r="2494" spans="1:8" x14ac:dyDescent="0.15">
      <c r="A2494" s="196" t="s">
        <v>11229</v>
      </c>
      <c r="B2494" s="196" t="s">
        <v>11230</v>
      </c>
      <c r="C2494" s="196" t="s">
        <v>17199</v>
      </c>
      <c r="D2494" s="196" t="s">
        <v>17200</v>
      </c>
      <c r="E2494" s="196" t="s">
        <v>17201</v>
      </c>
      <c r="F2494" s="196" t="s">
        <v>11241</v>
      </c>
      <c r="G2494" s="196" t="s">
        <v>11720</v>
      </c>
      <c r="H2494" s="196" t="s">
        <v>11235</v>
      </c>
    </row>
    <row r="2495" spans="1:8" x14ac:dyDescent="0.15">
      <c r="A2495" s="196" t="s">
        <v>11229</v>
      </c>
      <c r="B2495" s="196" t="s">
        <v>11230</v>
      </c>
      <c r="C2495" s="196" t="s">
        <v>17202</v>
      </c>
      <c r="D2495" s="196" t="s">
        <v>17203</v>
      </c>
      <c r="E2495" s="196" t="s">
        <v>17204</v>
      </c>
      <c r="F2495" s="196" t="s">
        <v>17205</v>
      </c>
      <c r="G2495" s="196" t="s">
        <v>11720</v>
      </c>
      <c r="H2495" s="196" t="s">
        <v>11235</v>
      </c>
    </row>
    <row r="2496" spans="1:8" x14ac:dyDescent="0.15">
      <c r="A2496" s="196" t="s">
        <v>11229</v>
      </c>
      <c r="B2496" s="196" t="s">
        <v>11230</v>
      </c>
      <c r="C2496" s="196" t="s">
        <v>17206</v>
      </c>
      <c r="D2496" s="196" t="s">
        <v>17207</v>
      </c>
      <c r="E2496" s="196" t="s">
        <v>17208</v>
      </c>
      <c r="F2496" s="196" t="s">
        <v>17209</v>
      </c>
      <c r="G2496" s="196" t="s">
        <v>11720</v>
      </c>
      <c r="H2496" s="196" t="s">
        <v>11235</v>
      </c>
    </row>
    <row r="2497" spans="1:8" x14ac:dyDescent="0.15">
      <c r="A2497" s="196" t="s">
        <v>11229</v>
      </c>
      <c r="B2497" s="196" t="s">
        <v>11230</v>
      </c>
      <c r="C2497" s="196" t="s">
        <v>17210</v>
      </c>
      <c r="D2497" s="196" t="s">
        <v>17211</v>
      </c>
      <c r="E2497" s="196" t="s">
        <v>17212</v>
      </c>
      <c r="F2497" s="196" t="s">
        <v>17213</v>
      </c>
      <c r="G2497" s="196" t="s">
        <v>11720</v>
      </c>
      <c r="H2497" s="196" t="s">
        <v>11235</v>
      </c>
    </row>
    <row r="2498" spans="1:8" x14ac:dyDescent="0.15">
      <c r="A2498" s="196" t="s">
        <v>11229</v>
      </c>
      <c r="B2498" s="196" t="s">
        <v>11230</v>
      </c>
      <c r="C2498" s="196" t="s">
        <v>17214</v>
      </c>
      <c r="D2498" s="196" t="s">
        <v>17215</v>
      </c>
      <c r="E2498" s="196" t="s">
        <v>17216</v>
      </c>
      <c r="F2498" s="196" t="s">
        <v>17217</v>
      </c>
      <c r="G2498" s="196" t="s">
        <v>11720</v>
      </c>
      <c r="H2498" s="196" t="s">
        <v>11235</v>
      </c>
    </row>
    <row r="2499" spans="1:8" x14ac:dyDescent="0.15">
      <c r="A2499" s="196" t="s">
        <v>11229</v>
      </c>
      <c r="B2499" s="196" t="s">
        <v>11230</v>
      </c>
      <c r="C2499" s="196" t="s">
        <v>17218</v>
      </c>
      <c r="D2499" s="196" t="s">
        <v>17219</v>
      </c>
      <c r="E2499" s="196" t="s">
        <v>17220</v>
      </c>
      <c r="F2499" s="196" t="s">
        <v>17221</v>
      </c>
      <c r="G2499" s="196" t="s">
        <v>11720</v>
      </c>
      <c r="H2499" s="196" t="s">
        <v>11235</v>
      </c>
    </row>
    <row r="2500" spans="1:8" x14ac:dyDescent="0.15">
      <c r="A2500" s="196" t="s">
        <v>11229</v>
      </c>
      <c r="B2500" s="196" t="s">
        <v>11230</v>
      </c>
      <c r="C2500" s="196" t="s">
        <v>17222</v>
      </c>
      <c r="D2500" s="196" t="s">
        <v>17223</v>
      </c>
      <c r="E2500" s="196" t="s">
        <v>17224</v>
      </c>
      <c r="F2500" s="196" t="s">
        <v>17225</v>
      </c>
      <c r="G2500" s="196" t="s">
        <v>11720</v>
      </c>
      <c r="H2500" s="196" t="s">
        <v>11235</v>
      </c>
    </row>
    <row r="2501" spans="1:8" x14ac:dyDescent="0.15">
      <c r="A2501" s="196" t="s">
        <v>11229</v>
      </c>
      <c r="B2501" s="196" t="s">
        <v>11230</v>
      </c>
      <c r="C2501" s="196" t="s">
        <v>17226</v>
      </c>
      <c r="D2501" s="196" t="s">
        <v>17227</v>
      </c>
      <c r="E2501" s="196" t="s">
        <v>17228</v>
      </c>
      <c r="F2501" s="196" t="s">
        <v>14263</v>
      </c>
      <c r="G2501" s="196" t="s">
        <v>11720</v>
      </c>
      <c r="H2501" s="196" t="s">
        <v>11235</v>
      </c>
    </row>
    <row r="2502" spans="1:8" x14ac:dyDescent="0.15">
      <c r="A2502" s="196" t="s">
        <v>11229</v>
      </c>
      <c r="B2502" s="196" t="s">
        <v>11230</v>
      </c>
      <c r="C2502" s="196" t="s">
        <v>17229</v>
      </c>
      <c r="D2502" s="196" t="s">
        <v>17230</v>
      </c>
      <c r="E2502" s="196" t="s">
        <v>17231</v>
      </c>
      <c r="F2502" s="196" t="s">
        <v>13901</v>
      </c>
      <c r="G2502" s="196" t="s">
        <v>11720</v>
      </c>
      <c r="H2502" s="196" t="s">
        <v>11235</v>
      </c>
    </row>
    <row r="2503" spans="1:8" x14ac:dyDescent="0.15">
      <c r="A2503" s="196" t="s">
        <v>11229</v>
      </c>
      <c r="B2503" s="196" t="s">
        <v>11230</v>
      </c>
      <c r="C2503" s="196" t="s">
        <v>17232</v>
      </c>
      <c r="D2503" s="196" t="s">
        <v>17233</v>
      </c>
      <c r="E2503" s="196" t="s">
        <v>17234</v>
      </c>
      <c r="F2503" s="196" t="s">
        <v>13062</v>
      </c>
      <c r="G2503" s="196" t="s">
        <v>11720</v>
      </c>
      <c r="H2503" s="196" t="s">
        <v>11235</v>
      </c>
    </row>
    <row r="2504" spans="1:8" x14ac:dyDescent="0.15">
      <c r="A2504" s="196" t="s">
        <v>11229</v>
      </c>
      <c r="B2504" s="196" t="s">
        <v>11230</v>
      </c>
      <c r="C2504" s="196" t="s">
        <v>17235</v>
      </c>
      <c r="D2504" s="196" t="s">
        <v>17234</v>
      </c>
      <c r="E2504" s="196" t="s">
        <v>17236</v>
      </c>
      <c r="F2504" s="196" t="s">
        <v>13062</v>
      </c>
      <c r="G2504" s="196" t="s">
        <v>11720</v>
      </c>
      <c r="H2504" s="196" t="s">
        <v>11235</v>
      </c>
    </row>
    <row r="2505" spans="1:8" x14ac:dyDescent="0.15">
      <c r="A2505" s="196" t="s">
        <v>11229</v>
      </c>
      <c r="B2505" s="196" t="s">
        <v>11230</v>
      </c>
      <c r="C2505" s="196" t="s">
        <v>17237</v>
      </c>
      <c r="D2505" s="196" t="s">
        <v>17238</v>
      </c>
      <c r="E2505" s="196" t="s">
        <v>17239</v>
      </c>
      <c r="F2505" s="196" t="s">
        <v>17240</v>
      </c>
      <c r="G2505" s="196" t="s">
        <v>11720</v>
      </c>
      <c r="H2505" s="196" t="s">
        <v>11235</v>
      </c>
    </row>
    <row r="2506" spans="1:8" x14ac:dyDescent="0.15">
      <c r="A2506" s="196" t="s">
        <v>11229</v>
      </c>
      <c r="B2506" s="196" t="s">
        <v>11230</v>
      </c>
      <c r="C2506" s="196" t="s">
        <v>17241</v>
      </c>
      <c r="D2506" s="196" t="s">
        <v>17242</v>
      </c>
      <c r="E2506" s="196" t="s">
        <v>17242</v>
      </c>
      <c r="F2506" s="196" t="s">
        <v>11233</v>
      </c>
      <c r="G2506" s="196" t="s">
        <v>11720</v>
      </c>
      <c r="H2506" s="196" t="s">
        <v>11235</v>
      </c>
    </row>
    <row r="2507" spans="1:8" x14ac:dyDescent="0.15">
      <c r="A2507" s="196" t="s">
        <v>11229</v>
      </c>
      <c r="B2507" s="196" t="s">
        <v>11230</v>
      </c>
      <c r="C2507" s="196" t="s">
        <v>17243</v>
      </c>
      <c r="D2507" s="196" t="s">
        <v>17244</v>
      </c>
      <c r="E2507" s="196" t="s">
        <v>17244</v>
      </c>
      <c r="F2507" s="196" t="s">
        <v>11233</v>
      </c>
      <c r="G2507" s="196" t="s">
        <v>11720</v>
      </c>
      <c r="H2507" s="196" t="s">
        <v>11235</v>
      </c>
    </row>
    <row r="2508" spans="1:8" x14ac:dyDescent="0.15">
      <c r="A2508" s="196" t="s">
        <v>11229</v>
      </c>
      <c r="B2508" s="196" t="s">
        <v>11230</v>
      </c>
      <c r="C2508" s="196" t="s">
        <v>17245</v>
      </c>
      <c r="D2508" s="196" t="s">
        <v>17246</v>
      </c>
      <c r="E2508" s="196" t="s">
        <v>17246</v>
      </c>
      <c r="F2508" s="196" t="s">
        <v>11233</v>
      </c>
      <c r="G2508" s="196" t="s">
        <v>11720</v>
      </c>
      <c r="H2508" s="196" t="s">
        <v>11235</v>
      </c>
    </row>
    <row r="2509" spans="1:8" x14ac:dyDescent="0.15">
      <c r="A2509" s="196" t="s">
        <v>11229</v>
      </c>
      <c r="B2509" s="196" t="s">
        <v>11230</v>
      </c>
      <c r="C2509" s="196" t="s">
        <v>17247</v>
      </c>
      <c r="D2509" s="196" t="s">
        <v>17248</v>
      </c>
      <c r="E2509" s="196" t="s">
        <v>17248</v>
      </c>
      <c r="F2509" s="196" t="s">
        <v>11233</v>
      </c>
      <c r="G2509" s="196" t="s">
        <v>11720</v>
      </c>
      <c r="H2509" s="196" t="s">
        <v>11235</v>
      </c>
    </row>
    <row r="2510" spans="1:8" x14ac:dyDescent="0.15">
      <c r="A2510" s="196" t="s">
        <v>11229</v>
      </c>
      <c r="B2510" s="196" t="s">
        <v>11230</v>
      </c>
      <c r="C2510" s="196" t="s">
        <v>17249</v>
      </c>
      <c r="D2510" s="196" t="s">
        <v>17250</v>
      </c>
      <c r="E2510" s="196" t="s">
        <v>17250</v>
      </c>
      <c r="F2510" s="196" t="s">
        <v>11233</v>
      </c>
      <c r="G2510" s="196" t="s">
        <v>11720</v>
      </c>
      <c r="H2510" s="196" t="s">
        <v>11235</v>
      </c>
    </row>
    <row r="2511" spans="1:8" x14ac:dyDescent="0.15">
      <c r="A2511" s="196" t="s">
        <v>11229</v>
      </c>
      <c r="B2511" s="196" t="s">
        <v>11230</v>
      </c>
      <c r="C2511" s="196" t="s">
        <v>17251</v>
      </c>
      <c r="D2511" s="196" t="s">
        <v>17252</v>
      </c>
      <c r="E2511" s="196" t="s">
        <v>17252</v>
      </c>
      <c r="F2511" s="196" t="s">
        <v>11233</v>
      </c>
      <c r="G2511" s="196" t="s">
        <v>11720</v>
      </c>
      <c r="H2511" s="196" t="s">
        <v>11235</v>
      </c>
    </row>
    <row r="2512" spans="1:8" x14ac:dyDescent="0.15">
      <c r="A2512" s="196" t="s">
        <v>11229</v>
      </c>
      <c r="B2512" s="196" t="s">
        <v>11230</v>
      </c>
      <c r="C2512" s="196" t="s">
        <v>17253</v>
      </c>
      <c r="D2512" s="196" t="s">
        <v>17254</v>
      </c>
      <c r="E2512" s="196" t="s">
        <v>17254</v>
      </c>
      <c r="F2512" s="196" t="s">
        <v>11233</v>
      </c>
      <c r="G2512" s="196" t="s">
        <v>11720</v>
      </c>
      <c r="H2512" s="196" t="s">
        <v>11235</v>
      </c>
    </row>
    <row r="2513" spans="1:8" x14ac:dyDescent="0.15">
      <c r="A2513" s="196" t="s">
        <v>11229</v>
      </c>
      <c r="B2513" s="196" t="s">
        <v>11230</v>
      </c>
      <c r="C2513" s="196" t="s">
        <v>17255</v>
      </c>
      <c r="D2513" s="196" t="s">
        <v>17256</v>
      </c>
      <c r="E2513" s="196" t="s">
        <v>17256</v>
      </c>
      <c r="F2513" s="196" t="s">
        <v>11233</v>
      </c>
      <c r="G2513" s="196" t="s">
        <v>11720</v>
      </c>
      <c r="H2513" s="196" t="s">
        <v>11235</v>
      </c>
    </row>
    <row r="2514" spans="1:8" x14ac:dyDescent="0.15">
      <c r="A2514" s="196" t="s">
        <v>11229</v>
      </c>
      <c r="B2514" s="196" t="s">
        <v>11230</v>
      </c>
      <c r="C2514" s="196" t="s">
        <v>17257</v>
      </c>
      <c r="D2514" s="196" t="s">
        <v>17258</v>
      </c>
      <c r="E2514" s="196" t="s">
        <v>17259</v>
      </c>
      <c r="F2514" s="196" t="s">
        <v>17260</v>
      </c>
      <c r="G2514" s="196" t="s">
        <v>11720</v>
      </c>
      <c r="H2514" s="196" t="s">
        <v>11235</v>
      </c>
    </row>
    <row r="2515" spans="1:8" x14ac:dyDescent="0.15">
      <c r="A2515" s="196" t="s">
        <v>11229</v>
      </c>
      <c r="B2515" s="196" t="s">
        <v>11230</v>
      </c>
      <c r="C2515" s="196" t="s">
        <v>17261</v>
      </c>
      <c r="D2515" s="196" t="s">
        <v>17262</v>
      </c>
      <c r="E2515" s="196" t="s">
        <v>17262</v>
      </c>
      <c r="F2515" s="196" t="s">
        <v>11233</v>
      </c>
      <c r="G2515" s="196" t="s">
        <v>11720</v>
      </c>
      <c r="H2515" s="196" t="s">
        <v>11235</v>
      </c>
    </row>
    <row r="2516" spans="1:8" x14ac:dyDescent="0.15">
      <c r="A2516" s="196" t="s">
        <v>11229</v>
      </c>
      <c r="B2516" s="196" t="s">
        <v>11230</v>
      </c>
      <c r="C2516" s="196" t="s">
        <v>17263</v>
      </c>
      <c r="D2516" s="196" t="s">
        <v>17264</v>
      </c>
      <c r="E2516" s="196" t="s">
        <v>17264</v>
      </c>
      <c r="F2516" s="196" t="s">
        <v>11233</v>
      </c>
      <c r="G2516" s="196" t="s">
        <v>11720</v>
      </c>
      <c r="H2516" s="196" t="s">
        <v>11235</v>
      </c>
    </row>
    <row r="2517" spans="1:8" x14ac:dyDescent="0.15">
      <c r="A2517" s="196" t="s">
        <v>11229</v>
      </c>
      <c r="B2517" s="196" t="s">
        <v>11230</v>
      </c>
      <c r="C2517" s="196" t="s">
        <v>17265</v>
      </c>
      <c r="D2517" s="196" t="s">
        <v>17266</v>
      </c>
      <c r="E2517" s="196" t="s">
        <v>17267</v>
      </c>
      <c r="F2517" s="196" t="s">
        <v>11241</v>
      </c>
      <c r="G2517" s="196" t="s">
        <v>11720</v>
      </c>
      <c r="H2517" s="196" t="s">
        <v>11235</v>
      </c>
    </row>
    <row r="2518" spans="1:8" x14ac:dyDescent="0.15">
      <c r="A2518" s="196" t="s">
        <v>11229</v>
      </c>
      <c r="B2518" s="196" t="s">
        <v>11230</v>
      </c>
      <c r="C2518" s="196" t="s">
        <v>17268</v>
      </c>
      <c r="D2518" s="196" t="s">
        <v>17269</v>
      </c>
      <c r="E2518" s="196" t="s">
        <v>17269</v>
      </c>
      <c r="F2518" s="196" t="s">
        <v>11233</v>
      </c>
      <c r="G2518" s="196" t="s">
        <v>11720</v>
      </c>
      <c r="H2518" s="196" t="s">
        <v>11235</v>
      </c>
    </row>
    <row r="2519" spans="1:8" x14ac:dyDescent="0.15">
      <c r="A2519" s="196" t="s">
        <v>11229</v>
      </c>
      <c r="B2519" s="196" t="s">
        <v>11230</v>
      </c>
      <c r="C2519" s="196" t="s">
        <v>17270</v>
      </c>
      <c r="D2519" s="196" t="s">
        <v>17271</v>
      </c>
      <c r="E2519" s="196" t="s">
        <v>17271</v>
      </c>
      <c r="F2519" s="196" t="s">
        <v>11233</v>
      </c>
      <c r="G2519" s="196" t="s">
        <v>11720</v>
      </c>
      <c r="H2519" s="196" t="s">
        <v>11235</v>
      </c>
    </row>
    <row r="2520" spans="1:8" x14ac:dyDescent="0.15">
      <c r="A2520" s="196" t="s">
        <v>11229</v>
      </c>
      <c r="B2520" s="196" t="s">
        <v>11230</v>
      </c>
      <c r="C2520" s="196" t="s">
        <v>17272</v>
      </c>
      <c r="D2520" s="196" t="s">
        <v>17273</v>
      </c>
      <c r="E2520" s="196" t="s">
        <v>17273</v>
      </c>
      <c r="F2520" s="196" t="s">
        <v>11233</v>
      </c>
      <c r="G2520" s="196" t="s">
        <v>11720</v>
      </c>
      <c r="H2520" s="196" t="s">
        <v>11235</v>
      </c>
    </row>
    <row r="2521" spans="1:8" x14ac:dyDescent="0.15">
      <c r="A2521" s="196" t="s">
        <v>11229</v>
      </c>
      <c r="B2521" s="196" t="s">
        <v>11230</v>
      </c>
      <c r="C2521" s="196" t="s">
        <v>17274</v>
      </c>
      <c r="D2521" s="196" t="s">
        <v>17275</v>
      </c>
      <c r="E2521" s="196" t="s">
        <v>17276</v>
      </c>
      <c r="F2521" s="196" t="s">
        <v>11241</v>
      </c>
      <c r="G2521" s="196" t="s">
        <v>11720</v>
      </c>
      <c r="H2521" s="196" t="s">
        <v>11235</v>
      </c>
    </row>
    <row r="2522" spans="1:8" x14ac:dyDescent="0.15">
      <c r="A2522" s="196" t="s">
        <v>11229</v>
      </c>
      <c r="B2522" s="196" t="s">
        <v>11230</v>
      </c>
      <c r="C2522" s="196" t="s">
        <v>17277</v>
      </c>
      <c r="D2522" s="196" t="s">
        <v>17278</v>
      </c>
      <c r="E2522" s="196" t="s">
        <v>17278</v>
      </c>
      <c r="F2522" s="196" t="s">
        <v>11233</v>
      </c>
      <c r="G2522" s="196" t="s">
        <v>11720</v>
      </c>
      <c r="H2522" s="196" t="s">
        <v>11235</v>
      </c>
    </row>
    <row r="2523" spans="1:8" x14ac:dyDescent="0.15">
      <c r="A2523" s="196" t="s">
        <v>11229</v>
      </c>
      <c r="B2523" s="196" t="s">
        <v>11230</v>
      </c>
      <c r="C2523" s="196" t="s">
        <v>17279</v>
      </c>
      <c r="D2523" s="196" t="s">
        <v>17280</v>
      </c>
      <c r="E2523" s="196" t="s">
        <v>17280</v>
      </c>
      <c r="F2523" s="196" t="s">
        <v>11233</v>
      </c>
      <c r="G2523" s="196" t="s">
        <v>11720</v>
      </c>
      <c r="H2523" s="196" t="s">
        <v>11235</v>
      </c>
    </row>
    <row r="2524" spans="1:8" x14ac:dyDescent="0.15">
      <c r="A2524" s="196" t="s">
        <v>11229</v>
      </c>
      <c r="B2524" s="196" t="s">
        <v>11230</v>
      </c>
      <c r="C2524" s="196" t="s">
        <v>17281</v>
      </c>
      <c r="D2524" s="196" t="s">
        <v>17282</v>
      </c>
      <c r="E2524" s="196" t="s">
        <v>17282</v>
      </c>
      <c r="F2524" s="196" t="s">
        <v>11233</v>
      </c>
      <c r="G2524" s="196" t="s">
        <v>11720</v>
      </c>
      <c r="H2524" s="196" t="s">
        <v>11235</v>
      </c>
    </row>
    <row r="2525" spans="1:8" x14ac:dyDescent="0.15">
      <c r="A2525" s="196" t="s">
        <v>11229</v>
      </c>
      <c r="B2525" s="196" t="s">
        <v>11230</v>
      </c>
      <c r="C2525" s="196" t="s">
        <v>17283</v>
      </c>
      <c r="D2525" s="196" t="s">
        <v>17284</v>
      </c>
      <c r="E2525" s="196" t="s">
        <v>17284</v>
      </c>
      <c r="F2525" s="196" t="s">
        <v>11233</v>
      </c>
      <c r="G2525" s="196" t="s">
        <v>11720</v>
      </c>
      <c r="H2525" s="196" t="s">
        <v>11235</v>
      </c>
    </row>
    <row r="2526" spans="1:8" x14ac:dyDescent="0.15">
      <c r="A2526" s="196" t="s">
        <v>11229</v>
      </c>
      <c r="B2526" s="196" t="s">
        <v>11230</v>
      </c>
      <c r="C2526" s="196" t="s">
        <v>17285</v>
      </c>
      <c r="D2526" s="196" t="s">
        <v>17286</v>
      </c>
      <c r="E2526" s="196" t="s">
        <v>17286</v>
      </c>
      <c r="F2526" s="196" t="s">
        <v>11233</v>
      </c>
      <c r="G2526" s="196" t="s">
        <v>11720</v>
      </c>
      <c r="H2526" s="196" t="s">
        <v>11235</v>
      </c>
    </row>
    <row r="2527" spans="1:8" x14ac:dyDescent="0.15">
      <c r="A2527" s="196" t="s">
        <v>11229</v>
      </c>
      <c r="B2527" s="196" t="s">
        <v>11230</v>
      </c>
      <c r="C2527" s="196" t="s">
        <v>17287</v>
      </c>
      <c r="D2527" s="196" t="s">
        <v>17288</v>
      </c>
      <c r="E2527" s="196" t="s">
        <v>17289</v>
      </c>
      <c r="F2527" s="196" t="s">
        <v>11241</v>
      </c>
      <c r="G2527" s="196" t="s">
        <v>11720</v>
      </c>
      <c r="H2527" s="196" t="s">
        <v>11235</v>
      </c>
    </row>
    <row r="2528" spans="1:8" x14ac:dyDescent="0.15">
      <c r="A2528" s="196" t="s">
        <v>11229</v>
      </c>
      <c r="B2528" s="196" t="s">
        <v>11230</v>
      </c>
      <c r="C2528" s="196" t="s">
        <v>17290</v>
      </c>
      <c r="D2528" s="196" t="s">
        <v>17291</v>
      </c>
      <c r="E2528" s="196" t="s">
        <v>17291</v>
      </c>
      <c r="F2528" s="196" t="s">
        <v>11233</v>
      </c>
      <c r="G2528" s="196" t="s">
        <v>11720</v>
      </c>
      <c r="H2528" s="196" t="s">
        <v>11235</v>
      </c>
    </row>
    <row r="2529" spans="1:8" x14ac:dyDescent="0.15">
      <c r="A2529" s="196" t="s">
        <v>11229</v>
      </c>
      <c r="B2529" s="196" t="s">
        <v>11230</v>
      </c>
      <c r="C2529" s="196" t="s">
        <v>17292</v>
      </c>
      <c r="D2529" s="196" t="s">
        <v>17293</v>
      </c>
      <c r="E2529" s="196" t="s">
        <v>17294</v>
      </c>
      <c r="F2529" s="196" t="s">
        <v>11268</v>
      </c>
      <c r="G2529" s="196" t="s">
        <v>11720</v>
      </c>
      <c r="H2529" s="196" t="s">
        <v>11235</v>
      </c>
    </row>
    <row r="2530" spans="1:8" x14ac:dyDescent="0.15">
      <c r="A2530" s="196" t="s">
        <v>11229</v>
      </c>
      <c r="B2530" s="196" t="s">
        <v>11230</v>
      </c>
      <c r="C2530" s="196" t="s">
        <v>17295</v>
      </c>
      <c r="D2530" s="196" t="s">
        <v>17296</v>
      </c>
      <c r="E2530" s="196" t="s">
        <v>17296</v>
      </c>
      <c r="F2530" s="196" t="s">
        <v>11233</v>
      </c>
      <c r="G2530" s="196" t="s">
        <v>11720</v>
      </c>
      <c r="H2530" s="196" t="s">
        <v>11235</v>
      </c>
    </row>
    <row r="2531" spans="1:8" x14ac:dyDescent="0.15">
      <c r="A2531" s="196" t="s">
        <v>11229</v>
      </c>
      <c r="B2531" s="196" t="s">
        <v>11230</v>
      </c>
      <c r="C2531" s="196" t="s">
        <v>17297</v>
      </c>
      <c r="D2531" s="196" t="s">
        <v>17298</v>
      </c>
      <c r="E2531" s="196" t="s">
        <v>17299</v>
      </c>
      <c r="F2531" s="196" t="s">
        <v>11241</v>
      </c>
      <c r="G2531" s="196" t="s">
        <v>11720</v>
      </c>
      <c r="H2531" s="196" t="s">
        <v>11235</v>
      </c>
    </row>
    <row r="2532" spans="1:8" x14ac:dyDescent="0.15">
      <c r="A2532" s="196" t="s">
        <v>11229</v>
      </c>
      <c r="B2532" s="196" t="s">
        <v>11230</v>
      </c>
      <c r="C2532" s="196" t="s">
        <v>17300</v>
      </c>
      <c r="D2532" s="196" t="s">
        <v>17301</v>
      </c>
      <c r="E2532" s="196" t="s">
        <v>17302</v>
      </c>
      <c r="F2532" s="196" t="s">
        <v>11268</v>
      </c>
      <c r="G2532" s="196" t="s">
        <v>11720</v>
      </c>
      <c r="H2532" s="196" t="s">
        <v>11235</v>
      </c>
    </row>
    <row r="2533" spans="1:8" x14ac:dyDescent="0.15">
      <c r="A2533" s="196" t="s">
        <v>11229</v>
      </c>
      <c r="B2533" s="196" t="s">
        <v>11230</v>
      </c>
      <c r="C2533" s="196" t="s">
        <v>17303</v>
      </c>
      <c r="D2533" s="196" t="s">
        <v>17304</v>
      </c>
      <c r="E2533" s="196" t="s">
        <v>17304</v>
      </c>
      <c r="F2533" s="196" t="s">
        <v>11233</v>
      </c>
      <c r="G2533" s="196" t="s">
        <v>11720</v>
      </c>
      <c r="H2533" s="196" t="s">
        <v>11235</v>
      </c>
    </row>
    <row r="2534" spans="1:8" x14ac:dyDescent="0.15">
      <c r="A2534" s="196" t="s">
        <v>11229</v>
      </c>
      <c r="B2534" s="196" t="s">
        <v>11230</v>
      </c>
      <c r="C2534" s="196" t="s">
        <v>17305</v>
      </c>
      <c r="D2534" s="196" t="s">
        <v>17306</v>
      </c>
      <c r="E2534" s="196" t="s">
        <v>17306</v>
      </c>
      <c r="F2534" s="196" t="s">
        <v>11233</v>
      </c>
      <c r="G2534" s="196" t="s">
        <v>11720</v>
      </c>
      <c r="H2534" s="196" t="s">
        <v>11235</v>
      </c>
    </row>
    <row r="2535" spans="1:8" x14ac:dyDescent="0.15">
      <c r="A2535" s="196" t="s">
        <v>11229</v>
      </c>
      <c r="B2535" s="196" t="s">
        <v>11230</v>
      </c>
      <c r="C2535" s="196" t="s">
        <v>17307</v>
      </c>
      <c r="D2535" s="196" t="s">
        <v>17308</v>
      </c>
      <c r="E2535" s="196" t="s">
        <v>17309</v>
      </c>
      <c r="F2535" s="196" t="s">
        <v>11268</v>
      </c>
      <c r="G2535" s="196" t="s">
        <v>11720</v>
      </c>
      <c r="H2535" s="196" t="s">
        <v>11235</v>
      </c>
    </row>
    <row r="2536" spans="1:8" x14ac:dyDescent="0.15">
      <c r="A2536" s="196" t="s">
        <v>11229</v>
      </c>
      <c r="B2536" s="196" t="s">
        <v>11230</v>
      </c>
      <c r="C2536" s="196" t="s">
        <v>17310</v>
      </c>
      <c r="D2536" s="196" t="s">
        <v>17311</v>
      </c>
      <c r="E2536" s="196" t="s">
        <v>17311</v>
      </c>
      <c r="F2536" s="196" t="s">
        <v>11233</v>
      </c>
      <c r="G2536" s="196" t="s">
        <v>11720</v>
      </c>
      <c r="H2536" s="196" t="s">
        <v>11235</v>
      </c>
    </row>
    <row r="2537" spans="1:8" x14ac:dyDescent="0.15">
      <c r="A2537" s="196" t="s">
        <v>11229</v>
      </c>
      <c r="B2537" s="196" t="s">
        <v>11230</v>
      </c>
      <c r="C2537" s="196" t="s">
        <v>17312</v>
      </c>
      <c r="D2537" s="196" t="s">
        <v>17313</v>
      </c>
      <c r="E2537" s="196" t="s">
        <v>17313</v>
      </c>
      <c r="F2537" s="196" t="s">
        <v>11233</v>
      </c>
      <c r="G2537" s="196" t="s">
        <v>11720</v>
      </c>
      <c r="H2537" s="196" t="s">
        <v>11235</v>
      </c>
    </row>
    <row r="2538" spans="1:8" x14ac:dyDescent="0.15">
      <c r="A2538" s="196" t="s">
        <v>11229</v>
      </c>
      <c r="B2538" s="196" t="s">
        <v>11230</v>
      </c>
      <c r="C2538" s="196" t="s">
        <v>17314</v>
      </c>
      <c r="D2538" s="196" t="s">
        <v>17315</v>
      </c>
      <c r="E2538" s="196" t="s">
        <v>17316</v>
      </c>
      <c r="F2538" s="196" t="s">
        <v>11241</v>
      </c>
      <c r="G2538" s="196" t="s">
        <v>11720</v>
      </c>
      <c r="H2538" s="196" t="s">
        <v>11235</v>
      </c>
    </row>
    <row r="2539" spans="1:8" x14ac:dyDescent="0.15">
      <c r="A2539" s="196" t="s">
        <v>11229</v>
      </c>
      <c r="B2539" s="196" t="s">
        <v>11230</v>
      </c>
      <c r="C2539" s="196" t="s">
        <v>17317</v>
      </c>
      <c r="D2539" s="196" t="s">
        <v>17318</v>
      </c>
      <c r="E2539" s="196" t="s">
        <v>17319</v>
      </c>
      <c r="F2539" s="196" t="s">
        <v>12537</v>
      </c>
      <c r="G2539" s="196" t="s">
        <v>11720</v>
      </c>
      <c r="H2539" s="196" t="s">
        <v>11235</v>
      </c>
    </row>
    <row r="2540" spans="1:8" x14ac:dyDescent="0.15">
      <c r="A2540" s="196" t="s">
        <v>11229</v>
      </c>
      <c r="B2540" s="196" t="s">
        <v>11230</v>
      </c>
      <c r="C2540" s="196" t="s">
        <v>17320</v>
      </c>
      <c r="D2540" s="196" t="s">
        <v>17319</v>
      </c>
      <c r="E2540" s="196" t="s">
        <v>17321</v>
      </c>
      <c r="F2540" s="196" t="s">
        <v>13914</v>
      </c>
      <c r="G2540" s="196" t="s">
        <v>11720</v>
      </c>
      <c r="H2540" s="196" t="s">
        <v>11235</v>
      </c>
    </row>
    <row r="2541" spans="1:8" x14ac:dyDescent="0.15">
      <c r="A2541" s="196" t="s">
        <v>11229</v>
      </c>
      <c r="B2541" s="196" t="s">
        <v>11230</v>
      </c>
      <c r="C2541" s="196" t="s">
        <v>17322</v>
      </c>
      <c r="D2541" s="196" t="s">
        <v>17321</v>
      </c>
      <c r="E2541" s="196" t="s">
        <v>17323</v>
      </c>
      <c r="F2541" s="196" t="s">
        <v>12537</v>
      </c>
      <c r="G2541" s="196" t="s">
        <v>11720</v>
      </c>
      <c r="H2541" s="196" t="s">
        <v>11235</v>
      </c>
    </row>
    <row r="2542" spans="1:8" x14ac:dyDescent="0.15">
      <c r="A2542" s="196" t="s">
        <v>11229</v>
      </c>
      <c r="B2542" s="196" t="s">
        <v>11230</v>
      </c>
      <c r="C2542" s="196" t="s">
        <v>17324</v>
      </c>
      <c r="D2542" s="196" t="s">
        <v>17323</v>
      </c>
      <c r="E2542" s="196" t="s">
        <v>17325</v>
      </c>
      <c r="F2542" s="196" t="s">
        <v>13758</v>
      </c>
      <c r="G2542" s="196" t="s">
        <v>11720</v>
      </c>
      <c r="H2542" s="196" t="s">
        <v>11235</v>
      </c>
    </row>
    <row r="2543" spans="1:8" x14ac:dyDescent="0.15">
      <c r="A2543" s="196" t="s">
        <v>11229</v>
      </c>
      <c r="B2543" s="196" t="s">
        <v>11230</v>
      </c>
      <c r="C2543" s="196" t="s">
        <v>17326</v>
      </c>
      <c r="D2543" s="196" t="s">
        <v>17327</v>
      </c>
      <c r="E2543" s="196" t="s">
        <v>17328</v>
      </c>
      <c r="F2543" s="196" t="s">
        <v>11241</v>
      </c>
      <c r="G2543" s="196" t="s">
        <v>11720</v>
      </c>
      <c r="H2543" s="196" t="s">
        <v>11235</v>
      </c>
    </row>
    <row r="2544" spans="1:8" x14ac:dyDescent="0.15">
      <c r="A2544" s="196" t="s">
        <v>11229</v>
      </c>
      <c r="B2544" s="196" t="s">
        <v>11230</v>
      </c>
      <c r="C2544" s="196" t="s">
        <v>17329</v>
      </c>
      <c r="D2544" s="196" t="s">
        <v>17330</v>
      </c>
      <c r="E2544" s="196" t="s">
        <v>17331</v>
      </c>
      <c r="F2544" s="196" t="s">
        <v>11241</v>
      </c>
      <c r="G2544" s="196" t="s">
        <v>11720</v>
      </c>
      <c r="H2544" s="196" t="s">
        <v>11235</v>
      </c>
    </row>
    <row r="2545" spans="1:8" x14ac:dyDescent="0.15">
      <c r="A2545" s="196" t="s">
        <v>11229</v>
      </c>
      <c r="B2545" s="196" t="s">
        <v>11230</v>
      </c>
      <c r="C2545" s="196" t="s">
        <v>17332</v>
      </c>
      <c r="D2545" s="196" t="s">
        <v>17333</v>
      </c>
      <c r="E2545" s="196" t="s">
        <v>17334</v>
      </c>
      <c r="F2545" s="196" t="s">
        <v>11268</v>
      </c>
      <c r="G2545" s="196" t="s">
        <v>11720</v>
      </c>
      <c r="H2545" s="196" t="s">
        <v>11235</v>
      </c>
    </row>
    <row r="2546" spans="1:8" x14ac:dyDescent="0.15">
      <c r="A2546" s="196" t="s">
        <v>11229</v>
      </c>
      <c r="B2546" s="196" t="s">
        <v>11230</v>
      </c>
      <c r="C2546" s="196" t="s">
        <v>17335</v>
      </c>
      <c r="D2546" s="196" t="s">
        <v>17334</v>
      </c>
      <c r="E2546" s="196" t="s">
        <v>17336</v>
      </c>
      <c r="F2546" s="196" t="s">
        <v>12537</v>
      </c>
      <c r="G2546" s="196" t="s">
        <v>11720</v>
      </c>
      <c r="H2546" s="196" t="s">
        <v>11235</v>
      </c>
    </row>
    <row r="2547" spans="1:8" x14ac:dyDescent="0.15">
      <c r="A2547" s="196" t="s">
        <v>11229</v>
      </c>
      <c r="B2547" s="196" t="s">
        <v>11230</v>
      </c>
      <c r="C2547" s="196" t="s">
        <v>17337</v>
      </c>
      <c r="D2547" s="196" t="s">
        <v>17336</v>
      </c>
      <c r="E2547" s="196" t="s">
        <v>17338</v>
      </c>
      <c r="F2547" s="196" t="s">
        <v>12537</v>
      </c>
      <c r="G2547" s="196" t="s">
        <v>11720</v>
      </c>
      <c r="H2547" s="196" t="s">
        <v>11235</v>
      </c>
    </row>
    <row r="2548" spans="1:8" x14ac:dyDescent="0.15">
      <c r="A2548" s="196" t="s">
        <v>11229</v>
      </c>
      <c r="B2548" s="196" t="s">
        <v>11230</v>
      </c>
      <c r="C2548" s="196" t="s">
        <v>17339</v>
      </c>
      <c r="D2548" s="196" t="s">
        <v>17340</v>
      </c>
      <c r="E2548" s="196" t="s">
        <v>17341</v>
      </c>
      <c r="F2548" s="196" t="s">
        <v>11241</v>
      </c>
      <c r="G2548" s="196" t="s">
        <v>11720</v>
      </c>
      <c r="H2548" s="196" t="s">
        <v>11235</v>
      </c>
    </row>
    <row r="2549" spans="1:8" x14ac:dyDescent="0.15">
      <c r="A2549" s="196" t="s">
        <v>11229</v>
      </c>
      <c r="B2549" s="196" t="s">
        <v>11230</v>
      </c>
      <c r="C2549" s="196" t="s">
        <v>17342</v>
      </c>
      <c r="D2549" s="196" t="s">
        <v>17343</v>
      </c>
      <c r="E2549" s="196" t="s">
        <v>17344</v>
      </c>
      <c r="F2549" s="196" t="s">
        <v>13023</v>
      </c>
      <c r="G2549" s="196" t="s">
        <v>11720</v>
      </c>
      <c r="H2549" s="196" t="s">
        <v>11235</v>
      </c>
    </row>
    <row r="2550" spans="1:8" x14ac:dyDescent="0.15">
      <c r="A2550" s="196" t="s">
        <v>11229</v>
      </c>
      <c r="B2550" s="196" t="s">
        <v>11230</v>
      </c>
      <c r="C2550" s="196" t="s">
        <v>17345</v>
      </c>
      <c r="D2550" s="196" t="s">
        <v>17346</v>
      </c>
      <c r="E2550" s="196" t="s">
        <v>17347</v>
      </c>
      <c r="F2550" s="196" t="s">
        <v>11241</v>
      </c>
      <c r="G2550" s="196" t="s">
        <v>11720</v>
      </c>
      <c r="H2550" s="196" t="s">
        <v>11235</v>
      </c>
    </row>
    <row r="2551" spans="1:8" x14ac:dyDescent="0.15">
      <c r="A2551" s="196" t="s">
        <v>11229</v>
      </c>
      <c r="B2551" s="196" t="s">
        <v>11230</v>
      </c>
      <c r="C2551" s="196" t="s">
        <v>17348</v>
      </c>
      <c r="D2551" s="196" t="s">
        <v>17349</v>
      </c>
      <c r="E2551" s="196" t="s">
        <v>17350</v>
      </c>
      <c r="F2551" s="196" t="s">
        <v>11241</v>
      </c>
      <c r="G2551" s="196" t="s">
        <v>11720</v>
      </c>
      <c r="H2551" s="196" t="s">
        <v>11235</v>
      </c>
    </row>
    <row r="2552" spans="1:8" x14ac:dyDescent="0.15">
      <c r="A2552" s="196" t="s">
        <v>11229</v>
      </c>
      <c r="B2552" s="196" t="s">
        <v>11230</v>
      </c>
      <c r="C2552" s="196" t="s">
        <v>17351</v>
      </c>
      <c r="D2552" s="196" t="s">
        <v>17352</v>
      </c>
      <c r="E2552" s="196" t="s">
        <v>17353</v>
      </c>
      <c r="F2552" s="196" t="s">
        <v>13023</v>
      </c>
      <c r="G2552" s="196" t="s">
        <v>11720</v>
      </c>
      <c r="H2552" s="196" t="s">
        <v>11235</v>
      </c>
    </row>
    <row r="2553" spans="1:8" x14ac:dyDescent="0.15">
      <c r="A2553" s="196" t="s">
        <v>11229</v>
      </c>
      <c r="B2553" s="196" t="s">
        <v>11230</v>
      </c>
      <c r="C2553" s="196" t="s">
        <v>17354</v>
      </c>
      <c r="D2553" s="196" t="s">
        <v>17355</v>
      </c>
      <c r="E2553" s="196" t="s">
        <v>17356</v>
      </c>
      <c r="F2553" s="196" t="s">
        <v>11241</v>
      </c>
      <c r="G2553" s="196" t="s">
        <v>11720</v>
      </c>
      <c r="H2553" s="196" t="s">
        <v>11235</v>
      </c>
    </row>
    <row r="2554" spans="1:8" x14ac:dyDescent="0.15">
      <c r="A2554" s="196" t="s">
        <v>11229</v>
      </c>
      <c r="B2554" s="196" t="s">
        <v>11230</v>
      </c>
      <c r="C2554" s="196" t="s">
        <v>17357</v>
      </c>
      <c r="D2554" s="196" t="s">
        <v>17358</v>
      </c>
      <c r="E2554" s="196" t="s">
        <v>17358</v>
      </c>
      <c r="F2554" s="196" t="s">
        <v>11233</v>
      </c>
      <c r="G2554" s="196" t="s">
        <v>11720</v>
      </c>
      <c r="H2554" s="196" t="s">
        <v>11235</v>
      </c>
    </row>
    <row r="2555" spans="1:8" x14ac:dyDescent="0.15">
      <c r="A2555" s="196" t="s">
        <v>11229</v>
      </c>
      <c r="B2555" s="196" t="s">
        <v>11230</v>
      </c>
      <c r="C2555" s="196" t="s">
        <v>17359</v>
      </c>
      <c r="D2555" s="196" t="s">
        <v>17360</v>
      </c>
      <c r="E2555" s="196" t="s">
        <v>17361</v>
      </c>
      <c r="F2555" s="196" t="s">
        <v>11241</v>
      </c>
      <c r="G2555" s="196" t="s">
        <v>11720</v>
      </c>
      <c r="H2555" s="196" t="s">
        <v>11235</v>
      </c>
    </row>
    <row r="2556" spans="1:8" x14ac:dyDescent="0.15">
      <c r="A2556" s="196" t="s">
        <v>11229</v>
      </c>
      <c r="B2556" s="196" t="s">
        <v>11230</v>
      </c>
      <c r="C2556" s="196" t="s">
        <v>17362</v>
      </c>
      <c r="D2556" s="196" t="s">
        <v>17363</v>
      </c>
      <c r="E2556" s="196" t="s">
        <v>17364</v>
      </c>
      <c r="F2556" s="196" t="s">
        <v>11241</v>
      </c>
      <c r="G2556" s="196" t="s">
        <v>11720</v>
      </c>
      <c r="H2556" s="196" t="s">
        <v>11235</v>
      </c>
    </row>
    <row r="2557" spans="1:8" x14ac:dyDescent="0.15">
      <c r="A2557" s="196" t="s">
        <v>11229</v>
      </c>
      <c r="B2557" s="196" t="s">
        <v>11230</v>
      </c>
      <c r="C2557" s="196" t="s">
        <v>17365</v>
      </c>
      <c r="D2557" s="196" t="s">
        <v>17366</v>
      </c>
      <c r="E2557" s="196" t="s">
        <v>17367</v>
      </c>
      <c r="F2557" s="196" t="s">
        <v>11268</v>
      </c>
      <c r="G2557" s="196" t="s">
        <v>11720</v>
      </c>
      <c r="H2557" s="196" t="s">
        <v>11235</v>
      </c>
    </row>
    <row r="2558" spans="1:8" x14ac:dyDescent="0.15">
      <c r="A2558" s="196" t="s">
        <v>11229</v>
      </c>
      <c r="B2558" s="196" t="s">
        <v>11230</v>
      </c>
      <c r="C2558" s="196" t="s">
        <v>17368</v>
      </c>
      <c r="D2558" s="196" t="s">
        <v>17369</v>
      </c>
      <c r="E2558" s="196" t="s">
        <v>17370</v>
      </c>
      <c r="F2558" s="196" t="s">
        <v>13758</v>
      </c>
      <c r="G2558" s="196" t="s">
        <v>11720</v>
      </c>
      <c r="H2558" s="196" t="s">
        <v>11235</v>
      </c>
    </row>
    <row r="2559" spans="1:8" x14ac:dyDescent="0.15">
      <c r="A2559" s="196" t="s">
        <v>11229</v>
      </c>
      <c r="B2559" s="196" t="s">
        <v>11230</v>
      </c>
      <c r="C2559" s="196" t="s">
        <v>17371</v>
      </c>
      <c r="D2559" s="196" t="s">
        <v>17372</v>
      </c>
      <c r="E2559" s="196" t="s">
        <v>17373</v>
      </c>
      <c r="F2559" s="196" t="s">
        <v>13023</v>
      </c>
      <c r="G2559" s="196" t="s">
        <v>11720</v>
      </c>
      <c r="H2559" s="196" t="s">
        <v>11235</v>
      </c>
    </row>
    <row r="2560" spans="1:8" x14ac:dyDescent="0.15">
      <c r="A2560" s="196" t="s">
        <v>11229</v>
      </c>
      <c r="B2560" s="196" t="s">
        <v>11230</v>
      </c>
      <c r="C2560" s="196" t="s">
        <v>17374</v>
      </c>
      <c r="D2560" s="196" t="s">
        <v>17375</v>
      </c>
      <c r="E2560" s="196" t="s">
        <v>17376</v>
      </c>
      <c r="F2560" s="196" t="s">
        <v>11241</v>
      </c>
      <c r="G2560" s="196" t="s">
        <v>11720</v>
      </c>
      <c r="H2560" s="196" t="s">
        <v>11235</v>
      </c>
    </row>
    <row r="2561" spans="1:8" x14ac:dyDescent="0.15">
      <c r="A2561" s="196" t="s">
        <v>11229</v>
      </c>
      <c r="B2561" s="196" t="s">
        <v>11230</v>
      </c>
      <c r="C2561" s="196" t="s">
        <v>17377</v>
      </c>
      <c r="D2561" s="196" t="s">
        <v>17378</v>
      </c>
      <c r="E2561" s="196" t="s">
        <v>17379</v>
      </c>
      <c r="F2561" s="196" t="s">
        <v>13023</v>
      </c>
      <c r="G2561" s="196" t="s">
        <v>11720</v>
      </c>
      <c r="H2561" s="196" t="s">
        <v>11235</v>
      </c>
    </row>
    <row r="2562" spans="1:8" x14ac:dyDescent="0.15">
      <c r="A2562" s="196" t="s">
        <v>11229</v>
      </c>
      <c r="B2562" s="196" t="s">
        <v>11230</v>
      </c>
      <c r="C2562" s="196" t="s">
        <v>17380</v>
      </c>
      <c r="D2562" s="196" t="s">
        <v>17379</v>
      </c>
      <c r="E2562" s="196" t="s">
        <v>17381</v>
      </c>
      <c r="F2562" s="196" t="s">
        <v>11241</v>
      </c>
      <c r="G2562" s="196" t="s">
        <v>11720</v>
      </c>
      <c r="H2562" s="196" t="s">
        <v>11235</v>
      </c>
    </row>
    <row r="2563" spans="1:8" x14ac:dyDescent="0.15">
      <c r="A2563" s="196" t="s">
        <v>11229</v>
      </c>
      <c r="B2563" s="196" t="s">
        <v>11230</v>
      </c>
      <c r="C2563" s="196" t="s">
        <v>17382</v>
      </c>
      <c r="D2563" s="196" t="s">
        <v>17383</v>
      </c>
      <c r="E2563" s="196" t="s">
        <v>17383</v>
      </c>
      <c r="F2563" s="196" t="s">
        <v>11233</v>
      </c>
      <c r="G2563" s="196" t="s">
        <v>11720</v>
      </c>
      <c r="H2563" s="196" t="s">
        <v>11235</v>
      </c>
    </row>
    <row r="2564" spans="1:8" x14ac:dyDescent="0.15">
      <c r="A2564" s="196" t="s">
        <v>11229</v>
      </c>
      <c r="B2564" s="196" t="s">
        <v>11230</v>
      </c>
      <c r="C2564" s="196" t="s">
        <v>17384</v>
      </c>
      <c r="D2564" s="196" t="s">
        <v>17385</v>
      </c>
      <c r="E2564" s="196" t="s">
        <v>17385</v>
      </c>
      <c r="F2564" s="196" t="s">
        <v>11233</v>
      </c>
      <c r="G2564" s="196" t="s">
        <v>11720</v>
      </c>
      <c r="H2564" s="196" t="s">
        <v>11235</v>
      </c>
    </row>
    <row r="2565" spans="1:8" x14ac:dyDescent="0.15">
      <c r="A2565" s="196" t="s">
        <v>11229</v>
      </c>
      <c r="B2565" s="196" t="s">
        <v>11230</v>
      </c>
      <c r="C2565" s="196" t="s">
        <v>17386</v>
      </c>
      <c r="D2565" s="196" t="s">
        <v>17387</v>
      </c>
      <c r="E2565" s="196" t="s">
        <v>17387</v>
      </c>
      <c r="F2565" s="196" t="s">
        <v>11233</v>
      </c>
      <c r="G2565" s="196" t="s">
        <v>11720</v>
      </c>
      <c r="H2565" s="196" t="s">
        <v>11235</v>
      </c>
    </row>
    <row r="2566" spans="1:8" x14ac:dyDescent="0.15">
      <c r="A2566" s="196" t="s">
        <v>11229</v>
      </c>
      <c r="B2566" s="196" t="s">
        <v>11230</v>
      </c>
      <c r="C2566" s="196" t="s">
        <v>17388</v>
      </c>
      <c r="D2566" s="196" t="s">
        <v>17389</v>
      </c>
      <c r="E2566" s="196" t="s">
        <v>17390</v>
      </c>
      <c r="F2566" s="196" t="s">
        <v>11268</v>
      </c>
      <c r="G2566" s="196" t="s">
        <v>11720</v>
      </c>
      <c r="H2566" s="196" t="s">
        <v>11235</v>
      </c>
    </row>
    <row r="2567" spans="1:8" x14ac:dyDescent="0.15">
      <c r="A2567" s="196" t="s">
        <v>11229</v>
      </c>
      <c r="B2567" s="196" t="s">
        <v>11230</v>
      </c>
      <c r="C2567" s="196" t="s">
        <v>17391</v>
      </c>
      <c r="D2567" s="196" t="s">
        <v>17392</v>
      </c>
      <c r="E2567" s="196" t="s">
        <v>17393</v>
      </c>
      <c r="F2567" s="196" t="s">
        <v>11268</v>
      </c>
      <c r="G2567" s="196" t="s">
        <v>11720</v>
      </c>
      <c r="H2567" s="196" t="s">
        <v>11235</v>
      </c>
    </row>
    <row r="2568" spans="1:8" x14ac:dyDescent="0.15">
      <c r="A2568" s="196" t="s">
        <v>11229</v>
      </c>
      <c r="B2568" s="196" t="s">
        <v>11230</v>
      </c>
      <c r="C2568" s="196" t="s">
        <v>17394</v>
      </c>
      <c r="D2568" s="196" t="s">
        <v>17395</v>
      </c>
      <c r="E2568" s="196" t="s">
        <v>17395</v>
      </c>
      <c r="F2568" s="196" t="s">
        <v>11233</v>
      </c>
      <c r="G2568" s="196" t="s">
        <v>11720</v>
      </c>
      <c r="H2568" s="196" t="s">
        <v>11235</v>
      </c>
    </row>
    <row r="2569" spans="1:8" x14ac:dyDescent="0.15">
      <c r="A2569" s="196" t="s">
        <v>11229</v>
      </c>
      <c r="B2569" s="196" t="s">
        <v>11230</v>
      </c>
      <c r="C2569" s="196" t="s">
        <v>17396</v>
      </c>
      <c r="D2569" s="196" t="s">
        <v>17397</v>
      </c>
      <c r="E2569" s="196" t="s">
        <v>17398</v>
      </c>
      <c r="F2569" s="196" t="s">
        <v>11241</v>
      </c>
      <c r="G2569" s="196" t="s">
        <v>11720</v>
      </c>
      <c r="H2569" s="196" t="s">
        <v>11235</v>
      </c>
    </row>
    <row r="2570" spans="1:8" x14ac:dyDescent="0.15">
      <c r="A2570" s="196" t="s">
        <v>11229</v>
      </c>
      <c r="B2570" s="196" t="s">
        <v>11230</v>
      </c>
      <c r="C2570" s="196" t="s">
        <v>17399</v>
      </c>
      <c r="D2570" s="196" t="s">
        <v>17398</v>
      </c>
      <c r="E2570" s="196" t="s">
        <v>17400</v>
      </c>
      <c r="F2570" s="196" t="s">
        <v>11268</v>
      </c>
      <c r="G2570" s="196" t="s">
        <v>11720</v>
      </c>
      <c r="H2570" s="196" t="s">
        <v>11235</v>
      </c>
    </row>
    <row r="2571" spans="1:8" x14ac:dyDescent="0.15">
      <c r="A2571" s="196" t="s">
        <v>11229</v>
      </c>
      <c r="B2571" s="196" t="s">
        <v>11230</v>
      </c>
      <c r="C2571" s="196" t="s">
        <v>17401</v>
      </c>
      <c r="D2571" s="196" t="s">
        <v>17402</v>
      </c>
      <c r="E2571" s="196" t="s">
        <v>17403</v>
      </c>
      <c r="F2571" s="196" t="s">
        <v>13023</v>
      </c>
      <c r="G2571" s="196" t="s">
        <v>11720</v>
      </c>
      <c r="H2571" s="196" t="s">
        <v>11235</v>
      </c>
    </row>
    <row r="2572" spans="1:8" x14ac:dyDescent="0.15">
      <c r="A2572" s="196" t="s">
        <v>11229</v>
      </c>
      <c r="B2572" s="196" t="s">
        <v>11230</v>
      </c>
      <c r="C2572" s="196" t="s">
        <v>17404</v>
      </c>
      <c r="D2572" s="196" t="s">
        <v>17403</v>
      </c>
      <c r="E2572" s="196" t="s">
        <v>17405</v>
      </c>
      <c r="F2572" s="196" t="s">
        <v>11241</v>
      </c>
      <c r="G2572" s="196" t="s">
        <v>11720</v>
      </c>
      <c r="H2572" s="196" t="s">
        <v>11235</v>
      </c>
    </row>
    <row r="2573" spans="1:8" x14ac:dyDescent="0.15">
      <c r="A2573" s="196" t="s">
        <v>11229</v>
      </c>
      <c r="B2573" s="196" t="s">
        <v>11230</v>
      </c>
      <c r="C2573" s="196" t="s">
        <v>17406</v>
      </c>
      <c r="D2573" s="196" t="s">
        <v>17407</v>
      </c>
      <c r="E2573" s="196" t="s">
        <v>17407</v>
      </c>
      <c r="F2573" s="196" t="s">
        <v>11233</v>
      </c>
      <c r="G2573" s="196" t="s">
        <v>11720</v>
      </c>
      <c r="H2573" s="196" t="s">
        <v>11235</v>
      </c>
    </row>
    <row r="2574" spans="1:8" x14ac:dyDescent="0.15">
      <c r="A2574" s="196" t="s">
        <v>11229</v>
      </c>
      <c r="B2574" s="196" t="s">
        <v>11230</v>
      </c>
      <c r="C2574" s="196" t="s">
        <v>17408</v>
      </c>
      <c r="D2574" s="196" t="s">
        <v>17409</v>
      </c>
      <c r="E2574" s="196" t="s">
        <v>17410</v>
      </c>
      <c r="F2574" s="196" t="s">
        <v>13023</v>
      </c>
      <c r="G2574" s="196" t="s">
        <v>11720</v>
      </c>
      <c r="H2574" s="196" t="s">
        <v>11235</v>
      </c>
    </row>
    <row r="2575" spans="1:8" x14ac:dyDescent="0.15">
      <c r="A2575" s="196" t="s">
        <v>11229</v>
      </c>
      <c r="B2575" s="196" t="s">
        <v>11230</v>
      </c>
      <c r="C2575" s="196" t="s">
        <v>17411</v>
      </c>
      <c r="D2575" s="196" t="s">
        <v>17412</v>
      </c>
      <c r="E2575" s="196" t="s">
        <v>17413</v>
      </c>
      <c r="F2575" s="196" t="s">
        <v>11241</v>
      </c>
      <c r="G2575" s="196" t="s">
        <v>11720</v>
      </c>
      <c r="H2575" s="196" t="s">
        <v>11235</v>
      </c>
    </row>
    <row r="2576" spans="1:8" x14ac:dyDescent="0.15">
      <c r="A2576" s="196" t="s">
        <v>11229</v>
      </c>
      <c r="B2576" s="196" t="s">
        <v>11230</v>
      </c>
      <c r="C2576" s="196" t="s">
        <v>17414</v>
      </c>
      <c r="D2576" s="196" t="s">
        <v>17413</v>
      </c>
      <c r="E2576" s="196" t="s">
        <v>17415</v>
      </c>
      <c r="F2576" s="196" t="s">
        <v>11268</v>
      </c>
      <c r="G2576" s="196" t="s">
        <v>11720</v>
      </c>
      <c r="H2576" s="196" t="s">
        <v>11235</v>
      </c>
    </row>
    <row r="2577" spans="1:8" x14ac:dyDescent="0.15">
      <c r="A2577" s="196" t="s">
        <v>11229</v>
      </c>
      <c r="B2577" s="196" t="s">
        <v>11230</v>
      </c>
      <c r="C2577" s="196" t="s">
        <v>17416</v>
      </c>
      <c r="D2577" s="196" t="s">
        <v>17417</v>
      </c>
      <c r="E2577" s="196" t="s">
        <v>17417</v>
      </c>
      <c r="F2577" s="196" t="s">
        <v>11233</v>
      </c>
      <c r="G2577" s="196" t="s">
        <v>11720</v>
      </c>
      <c r="H2577" s="196" t="s">
        <v>11235</v>
      </c>
    </row>
    <row r="2578" spans="1:8" x14ac:dyDescent="0.15">
      <c r="A2578" s="196" t="s">
        <v>11229</v>
      </c>
      <c r="B2578" s="196" t="s">
        <v>11230</v>
      </c>
      <c r="C2578" s="196" t="s">
        <v>17418</v>
      </c>
      <c r="D2578" s="196" t="s">
        <v>17419</v>
      </c>
      <c r="E2578" s="196" t="s">
        <v>17420</v>
      </c>
      <c r="F2578" s="196" t="s">
        <v>13023</v>
      </c>
      <c r="G2578" s="196" t="s">
        <v>11720</v>
      </c>
      <c r="H2578" s="196" t="s">
        <v>11235</v>
      </c>
    </row>
    <row r="2579" spans="1:8" x14ac:dyDescent="0.15">
      <c r="A2579" s="196" t="s">
        <v>11229</v>
      </c>
      <c r="B2579" s="196" t="s">
        <v>11230</v>
      </c>
      <c r="C2579" s="196" t="s">
        <v>17421</v>
      </c>
      <c r="D2579" s="196" t="s">
        <v>17420</v>
      </c>
      <c r="E2579" s="196" t="s">
        <v>17422</v>
      </c>
      <c r="F2579" s="196" t="s">
        <v>13023</v>
      </c>
      <c r="G2579" s="196" t="s">
        <v>11720</v>
      </c>
      <c r="H2579" s="196" t="s">
        <v>11235</v>
      </c>
    </row>
    <row r="2580" spans="1:8" x14ac:dyDescent="0.15">
      <c r="A2580" s="196" t="s">
        <v>11229</v>
      </c>
      <c r="B2580" s="196" t="s">
        <v>11230</v>
      </c>
      <c r="C2580" s="196" t="s">
        <v>17423</v>
      </c>
      <c r="D2580" s="196" t="s">
        <v>17424</v>
      </c>
      <c r="E2580" s="196" t="s">
        <v>17425</v>
      </c>
      <c r="F2580" s="196" t="s">
        <v>13023</v>
      </c>
      <c r="G2580" s="196" t="s">
        <v>11720</v>
      </c>
      <c r="H2580" s="196" t="s">
        <v>11235</v>
      </c>
    </row>
    <row r="2581" spans="1:8" x14ac:dyDescent="0.15">
      <c r="A2581" s="196" t="s">
        <v>11229</v>
      </c>
      <c r="B2581" s="196" t="s">
        <v>11230</v>
      </c>
      <c r="C2581" s="196" t="s">
        <v>17426</v>
      </c>
      <c r="D2581" s="196" t="s">
        <v>17425</v>
      </c>
      <c r="E2581" s="196" t="s">
        <v>17427</v>
      </c>
      <c r="F2581" s="196" t="s">
        <v>11241</v>
      </c>
      <c r="G2581" s="196" t="s">
        <v>11720</v>
      </c>
      <c r="H2581" s="196" t="s">
        <v>11235</v>
      </c>
    </row>
    <row r="2582" spans="1:8" x14ac:dyDescent="0.15">
      <c r="A2582" s="196" t="s">
        <v>11229</v>
      </c>
      <c r="B2582" s="196" t="s">
        <v>11230</v>
      </c>
      <c r="C2582" s="196" t="s">
        <v>17428</v>
      </c>
      <c r="D2582" s="196" t="s">
        <v>17429</v>
      </c>
      <c r="E2582" s="196" t="s">
        <v>17430</v>
      </c>
      <c r="F2582" s="196" t="s">
        <v>17431</v>
      </c>
      <c r="G2582" s="196" t="s">
        <v>11720</v>
      </c>
      <c r="H2582" s="196" t="s">
        <v>11235</v>
      </c>
    </row>
    <row r="2583" spans="1:8" x14ac:dyDescent="0.15">
      <c r="A2583" s="196" t="s">
        <v>11229</v>
      </c>
      <c r="B2583" s="196" t="s">
        <v>11230</v>
      </c>
      <c r="C2583" s="196" t="s">
        <v>17432</v>
      </c>
      <c r="D2583" s="196" t="s">
        <v>17433</v>
      </c>
      <c r="E2583" s="196" t="s">
        <v>17434</v>
      </c>
      <c r="F2583" s="196" t="s">
        <v>17435</v>
      </c>
      <c r="G2583" s="196" t="s">
        <v>11720</v>
      </c>
      <c r="H2583" s="196" t="s">
        <v>11235</v>
      </c>
    </row>
    <row r="2584" spans="1:8" x14ac:dyDescent="0.15">
      <c r="A2584" s="196" t="s">
        <v>11229</v>
      </c>
      <c r="B2584" s="196" t="s">
        <v>11230</v>
      </c>
      <c r="C2584" s="196" t="s">
        <v>17436</v>
      </c>
      <c r="D2584" s="196" t="s">
        <v>17437</v>
      </c>
      <c r="E2584" s="196" t="s">
        <v>17438</v>
      </c>
      <c r="F2584" s="196" t="s">
        <v>17439</v>
      </c>
      <c r="G2584" s="196" t="s">
        <v>11720</v>
      </c>
      <c r="H2584" s="196" t="s">
        <v>11235</v>
      </c>
    </row>
    <row r="2585" spans="1:8" x14ac:dyDescent="0.15">
      <c r="A2585" s="196" t="s">
        <v>11229</v>
      </c>
      <c r="B2585" s="196" t="s">
        <v>11230</v>
      </c>
      <c r="C2585" s="196" t="s">
        <v>17440</v>
      </c>
      <c r="D2585" s="196" t="s">
        <v>17438</v>
      </c>
      <c r="E2585" s="196" t="s">
        <v>17441</v>
      </c>
      <c r="F2585" s="196" t="s">
        <v>17442</v>
      </c>
      <c r="G2585" s="196" t="s">
        <v>11720</v>
      </c>
      <c r="H2585" s="196" t="s">
        <v>11235</v>
      </c>
    </row>
    <row r="2586" spans="1:8" x14ac:dyDescent="0.15">
      <c r="A2586" s="196" t="s">
        <v>11229</v>
      </c>
      <c r="B2586" s="196" t="s">
        <v>11230</v>
      </c>
      <c r="C2586" s="196" t="s">
        <v>17443</v>
      </c>
      <c r="D2586" s="196" t="s">
        <v>17444</v>
      </c>
      <c r="E2586" s="196" t="s">
        <v>17445</v>
      </c>
      <c r="F2586" s="196" t="s">
        <v>17446</v>
      </c>
      <c r="G2586" s="196" t="s">
        <v>11720</v>
      </c>
      <c r="H2586" s="196" t="s">
        <v>11235</v>
      </c>
    </row>
    <row r="2587" spans="1:8" x14ac:dyDescent="0.15">
      <c r="A2587" s="196" t="s">
        <v>11229</v>
      </c>
      <c r="B2587" s="196" t="s">
        <v>11230</v>
      </c>
      <c r="C2587" s="196" t="s">
        <v>17447</v>
      </c>
      <c r="D2587" s="196" t="s">
        <v>17448</v>
      </c>
      <c r="E2587" s="196" t="s">
        <v>17449</v>
      </c>
      <c r="F2587" s="196" t="s">
        <v>17450</v>
      </c>
      <c r="G2587" s="196" t="s">
        <v>11720</v>
      </c>
      <c r="H2587" s="196" t="s">
        <v>11235</v>
      </c>
    </row>
    <row r="2588" spans="1:8" x14ac:dyDescent="0.15">
      <c r="A2588" s="196" t="s">
        <v>11229</v>
      </c>
      <c r="B2588" s="196" t="s">
        <v>11230</v>
      </c>
      <c r="C2588" s="196" t="s">
        <v>17451</v>
      </c>
      <c r="D2588" s="196" t="s">
        <v>17452</v>
      </c>
      <c r="E2588" s="196" t="s">
        <v>17453</v>
      </c>
      <c r="F2588" s="196" t="s">
        <v>17454</v>
      </c>
      <c r="G2588" s="196" t="s">
        <v>11720</v>
      </c>
      <c r="H2588" s="196" t="s">
        <v>11235</v>
      </c>
    </row>
    <row r="2589" spans="1:8" x14ac:dyDescent="0.15">
      <c r="A2589" s="196" t="s">
        <v>11229</v>
      </c>
      <c r="B2589" s="196" t="s">
        <v>11230</v>
      </c>
      <c r="C2589" s="196" t="s">
        <v>17455</v>
      </c>
      <c r="D2589" s="196" t="s">
        <v>17456</v>
      </c>
      <c r="E2589" s="196" t="s">
        <v>17457</v>
      </c>
      <c r="F2589" s="196" t="s">
        <v>17458</v>
      </c>
      <c r="G2589" s="196" t="s">
        <v>11720</v>
      </c>
      <c r="H2589" s="196" t="s">
        <v>11235</v>
      </c>
    </row>
    <row r="2590" spans="1:8" x14ac:dyDescent="0.15">
      <c r="A2590" s="196" t="s">
        <v>11229</v>
      </c>
      <c r="B2590" s="196" t="s">
        <v>11230</v>
      </c>
      <c r="C2590" s="196" t="s">
        <v>17459</v>
      </c>
      <c r="D2590" s="196" t="s">
        <v>17460</v>
      </c>
      <c r="E2590" s="196" t="s">
        <v>17461</v>
      </c>
      <c r="F2590" s="196" t="s">
        <v>17462</v>
      </c>
      <c r="G2590" s="196" t="s">
        <v>11720</v>
      </c>
      <c r="H2590" s="196" t="s">
        <v>11235</v>
      </c>
    </row>
    <row r="2591" spans="1:8" x14ac:dyDescent="0.15">
      <c r="A2591" s="196" t="s">
        <v>11229</v>
      </c>
      <c r="B2591" s="196" t="s">
        <v>11230</v>
      </c>
      <c r="C2591" s="196" t="s">
        <v>17463</v>
      </c>
      <c r="D2591" s="196" t="s">
        <v>17464</v>
      </c>
      <c r="E2591" s="196" t="s">
        <v>17465</v>
      </c>
      <c r="F2591" s="196" t="s">
        <v>17466</v>
      </c>
      <c r="G2591" s="196" t="s">
        <v>11720</v>
      </c>
      <c r="H2591" s="196" t="s">
        <v>11235</v>
      </c>
    </row>
    <row r="2592" spans="1:8" x14ac:dyDescent="0.15">
      <c r="A2592" s="196" t="s">
        <v>11229</v>
      </c>
      <c r="B2592" s="196" t="s">
        <v>11230</v>
      </c>
      <c r="C2592" s="196" t="s">
        <v>17467</v>
      </c>
      <c r="D2592" s="196" t="s">
        <v>17468</v>
      </c>
      <c r="E2592" s="196" t="s">
        <v>17469</v>
      </c>
      <c r="F2592" s="196" t="s">
        <v>17470</v>
      </c>
      <c r="G2592" s="196" t="s">
        <v>11720</v>
      </c>
      <c r="H2592" s="196" t="s">
        <v>11235</v>
      </c>
    </row>
    <row r="2593" spans="1:8" x14ac:dyDescent="0.15">
      <c r="A2593" s="196" t="s">
        <v>11229</v>
      </c>
      <c r="B2593" s="196" t="s">
        <v>11230</v>
      </c>
      <c r="C2593" s="196" t="s">
        <v>17471</v>
      </c>
      <c r="D2593" s="196" t="s">
        <v>17472</v>
      </c>
      <c r="E2593" s="196" t="s">
        <v>17473</v>
      </c>
      <c r="F2593" s="196" t="s">
        <v>17474</v>
      </c>
      <c r="G2593" s="196" t="s">
        <v>11720</v>
      </c>
      <c r="H2593" s="196" t="s">
        <v>11235</v>
      </c>
    </row>
    <row r="2594" spans="1:8" x14ac:dyDescent="0.15">
      <c r="A2594" s="196" t="s">
        <v>11229</v>
      </c>
      <c r="B2594" s="196" t="s">
        <v>11230</v>
      </c>
      <c r="C2594" s="196" t="s">
        <v>17475</v>
      </c>
      <c r="D2594" s="196" t="s">
        <v>17476</v>
      </c>
      <c r="E2594" s="196" t="s">
        <v>17477</v>
      </c>
      <c r="F2594" s="196" t="s">
        <v>17478</v>
      </c>
      <c r="G2594" s="196" t="s">
        <v>11720</v>
      </c>
      <c r="H2594" s="196" t="s">
        <v>11235</v>
      </c>
    </row>
    <row r="2595" spans="1:8" x14ac:dyDescent="0.15">
      <c r="A2595" s="196" t="s">
        <v>11229</v>
      </c>
      <c r="B2595" s="196" t="s">
        <v>11230</v>
      </c>
      <c r="C2595" s="196" t="s">
        <v>17479</v>
      </c>
      <c r="D2595" s="196" t="s">
        <v>17480</v>
      </c>
      <c r="E2595" s="196" t="s">
        <v>17481</v>
      </c>
      <c r="F2595" s="196" t="s">
        <v>17482</v>
      </c>
      <c r="G2595" s="196" t="s">
        <v>11720</v>
      </c>
      <c r="H2595" s="196" t="s">
        <v>11235</v>
      </c>
    </row>
    <row r="2596" spans="1:8" x14ac:dyDescent="0.15">
      <c r="A2596" s="196" t="s">
        <v>11229</v>
      </c>
      <c r="B2596" s="196" t="s">
        <v>11230</v>
      </c>
      <c r="C2596" s="196" t="s">
        <v>17483</v>
      </c>
      <c r="D2596" s="196" t="s">
        <v>17484</v>
      </c>
      <c r="E2596" s="196" t="s">
        <v>17485</v>
      </c>
      <c r="F2596" s="196" t="s">
        <v>17486</v>
      </c>
      <c r="G2596" s="196" t="s">
        <v>12378</v>
      </c>
      <c r="H2596" s="196" t="s">
        <v>12712</v>
      </c>
    </row>
    <row r="2597" spans="1:8" x14ac:dyDescent="0.15">
      <c r="A2597" s="196" t="s">
        <v>11229</v>
      </c>
      <c r="B2597" s="196" t="s">
        <v>11230</v>
      </c>
      <c r="C2597" s="196" t="s">
        <v>17487</v>
      </c>
      <c r="D2597" s="196" t="s">
        <v>17484</v>
      </c>
      <c r="E2597" s="196" t="s">
        <v>17485</v>
      </c>
      <c r="F2597" s="196" t="s">
        <v>17486</v>
      </c>
      <c r="G2597" s="196" t="s">
        <v>12378</v>
      </c>
      <c r="H2597" s="196" t="s">
        <v>12712</v>
      </c>
    </row>
    <row r="2598" spans="1:8" x14ac:dyDescent="0.15">
      <c r="A2598" s="196" t="s">
        <v>11229</v>
      </c>
      <c r="B2598" s="196" t="s">
        <v>11230</v>
      </c>
      <c r="C2598" s="196" t="s">
        <v>17488</v>
      </c>
      <c r="D2598" s="196" t="s">
        <v>17484</v>
      </c>
      <c r="E2598" s="196" t="s">
        <v>17485</v>
      </c>
      <c r="F2598" s="196" t="s">
        <v>17486</v>
      </c>
      <c r="G2598" s="196" t="s">
        <v>12378</v>
      </c>
      <c r="H2598" s="196" t="s">
        <v>12712</v>
      </c>
    </row>
    <row r="2599" spans="1:8" x14ac:dyDescent="0.15">
      <c r="A2599" s="196" t="s">
        <v>11229</v>
      </c>
      <c r="B2599" s="196" t="s">
        <v>11230</v>
      </c>
      <c r="C2599" s="196" t="s">
        <v>17489</v>
      </c>
      <c r="D2599" s="196" t="s">
        <v>17484</v>
      </c>
      <c r="E2599" s="196" t="s">
        <v>17485</v>
      </c>
      <c r="F2599" s="196" t="s">
        <v>17486</v>
      </c>
      <c r="G2599" s="196" t="s">
        <v>12378</v>
      </c>
      <c r="H2599" s="196" t="s">
        <v>12712</v>
      </c>
    </row>
    <row r="2600" spans="1:8" x14ac:dyDescent="0.15">
      <c r="A2600" s="196" t="s">
        <v>11229</v>
      </c>
      <c r="B2600" s="196" t="s">
        <v>11230</v>
      </c>
      <c r="C2600" s="196" t="s">
        <v>17490</v>
      </c>
      <c r="D2600" s="196" t="s">
        <v>17491</v>
      </c>
      <c r="E2600" s="196" t="s">
        <v>17492</v>
      </c>
      <c r="F2600" s="196" t="s">
        <v>17493</v>
      </c>
      <c r="G2600" s="196" t="s">
        <v>11720</v>
      </c>
      <c r="H2600" s="196" t="s">
        <v>11235</v>
      </c>
    </row>
    <row r="2601" spans="1:8" x14ac:dyDescent="0.15">
      <c r="A2601" s="196" t="s">
        <v>11229</v>
      </c>
      <c r="B2601" s="196" t="s">
        <v>11230</v>
      </c>
      <c r="C2601" s="196" t="s">
        <v>17494</v>
      </c>
      <c r="D2601" s="196" t="s">
        <v>17495</v>
      </c>
      <c r="E2601" s="196" t="s">
        <v>17496</v>
      </c>
      <c r="F2601" s="196" t="s">
        <v>17497</v>
      </c>
      <c r="G2601" s="196" t="s">
        <v>11720</v>
      </c>
      <c r="H2601" s="196" t="s">
        <v>11235</v>
      </c>
    </row>
    <row r="2602" spans="1:8" x14ac:dyDescent="0.15">
      <c r="A2602" s="196" t="s">
        <v>11229</v>
      </c>
      <c r="B2602" s="196" t="s">
        <v>11230</v>
      </c>
      <c r="C2602" s="196" t="s">
        <v>17498</v>
      </c>
      <c r="D2602" s="196" t="s">
        <v>17499</v>
      </c>
      <c r="E2602" s="196" t="s">
        <v>17500</v>
      </c>
      <c r="F2602" s="196" t="s">
        <v>17501</v>
      </c>
      <c r="G2602" s="196" t="s">
        <v>11720</v>
      </c>
      <c r="H2602" s="196" t="s">
        <v>11235</v>
      </c>
    </row>
    <row r="2603" spans="1:8" x14ac:dyDescent="0.15">
      <c r="A2603" s="196" t="s">
        <v>11229</v>
      </c>
      <c r="B2603" s="196" t="s">
        <v>11230</v>
      </c>
      <c r="C2603" s="196" t="s">
        <v>17502</v>
      </c>
      <c r="D2603" s="196" t="s">
        <v>17503</v>
      </c>
      <c r="E2603" s="196" t="s">
        <v>17504</v>
      </c>
      <c r="F2603" s="196" t="s">
        <v>17505</v>
      </c>
      <c r="G2603" s="196" t="s">
        <v>11720</v>
      </c>
      <c r="H2603" s="196" t="s">
        <v>11235</v>
      </c>
    </row>
    <row r="2604" spans="1:8" x14ac:dyDescent="0.15">
      <c r="A2604" s="196" t="s">
        <v>11229</v>
      </c>
      <c r="B2604" s="196" t="s">
        <v>11230</v>
      </c>
      <c r="C2604" s="196" t="s">
        <v>17506</v>
      </c>
      <c r="D2604" s="196" t="s">
        <v>17507</v>
      </c>
      <c r="E2604" s="196" t="s">
        <v>17508</v>
      </c>
      <c r="F2604" s="196" t="s">
        <v>17509</v>
      </c>
      <c r="G2604" s="196" t="s">
        <v>11720</v>
      </c>
      <c r="H2604" s="196" t="s">
        <v>11235</v>
      </c>
    </row>
    <row r="2605" spans="1:8" x14ac:dyDescent="0.15">
      <c r="A2605" s="196" t="s">
        <v>11229</v>
      </c>
      <c r="B2605" s="196" t="s">
        <v>11230</v>
      </c>
      <c r="C2605" s="196" t="s">
        <v>17510</v>
      </c>
      <c r="D2605" s="196" t="s">
        <v>17511</v>
      </c>
      <c r="E2605" s="196" t="s">
        <v>17512</v>
      </c>
      <c r="F2605" s="196" t="s">
        <v>17513</v>
      </c>
      <c r="G2605" s="196" t="s">
        <v>11720</v>
      </c>
      <c r="H2605" s="196" t="s">
        <v>11235</v>
      </c>
    </row>
    <row r="2606" spans="1:8" x14ac:dyDescent="0.15">
      <c r="A2606" s="196" t="s">
        <v>11229</v>
      </c>
      <c r="B2606" s="196" t="s">
        <v>11230</v>
      </c>
      <c r="C2606" s="196" t="s">
        <v>17514</v>
      </c>
      <c r="D2606" s="196" t="s">
        <v>17515</v>
      </c>
      <c r="E2606" s="196" t="s">
        <v>17516</v>
      </c>
      <c r="F2606" s="196" t="s">
        <v>17517</v>
      </c>
      <c r="G2606" s="196" t="s">
        <v>11720</v>
      </c>
      <c r="H2606" s="196" t="s">
        <v>11235</v>
      </c>
    </row>
    <row r="2607" spans="1:8" x14ac:dyDescent="0.15">
      <c r="A2607" s="196" t="s">
        <v>11229</v>
      </c>
      <c r="B2607" s="196" t="s">
        <v>11230</v>
      </c>
      <c r="C2607" s="196" t="s">
        <v>17518</v>
      </c>
      <c r="D2607" s="196" t="s">
        <v>17519</v>
      </c>
      <c r="E2607" s="196" t="s">
        <v>17520</v>
      </c>
      <c r="F2607" s="196" t="s">
        <v>17521</v>
      </c>
      <c r="G2607" s="196" t="s">
        <v>11720</v>
      </c>
      <c r="H2607" s="196" t="s">
        <v>11235</v>
      </c>
    </row>
    <row r="2608" spans="1:8" x14ac:dyDescent="0.15">
      <c r="A2608" s="196" t="s">
        <v>11229</v>
      </c>
      <c r="B2608" s="196" t="s">
        <v>11230</v>
      </c>
      <c r="C2608" s="196" t="s">
        <v>17522</v>
      </c>
      <c r="D2608" s="196" t="s">
        <v>17523</v>
      </c>
      <c r="E2608" s="196" t="s">
        <v>17524</v>
      </c>
      <c r="F2608" s="196" t="s">
        <v>17525</v>
      </c>
      <c r="G2608" s="196" t="s">
        <v>11720</v>
      </c>
      <c r="H2608" s="196" t="s">
        <v>11235</v>
      </c>
    </row>
    <row r="2609" spans="1:8" x14ac:dyDescent="0.15">
      <c r="A2609" s="196" t="s">
        <v>11229</v>
      </c>
      <c r="B2609" s="196" t="s">
        <v>11230</v>
      </c>
      <c r="C2609" s="196" t="s">
        <v>17526</v>
      </c>
      <c r="D2609" s="196" t="s">
        <v>17527</v>
      </c>
      <c r="E2609" s="196" t="s">
        <v>17528</v>
      </c>
      <c r="F2609" s="196" t="s">
        <v>17529</v>
      </c>
      <c r="G2609" s="196" t="s">
        <v>11720</v>
      </c>
      <c r="H2609" s="196" t="s">
        <v>11235</v>
      </c>
    </row>
    <row r="2610" spans="1:8" x14ac:dyDescent="0.15">
      <c r="A2610" s="196" t="s">
        <v>11229</v>
      </c>
      <c r="B2610" s="196" t="s">
        <v>11230</v>
      </c>
      <c r="C2610" s="196" t="s">
        <v>17530</v>
      </c>
      <c r="D2610" s="196" t="s">
        <v>17531</v>
      </c>
      <c r="E2610" s="196" t="s">
        <v>17532</v>
      </c>
      <c r="F2610" s="196" t="s">
        <v>17533</v>
      </c>
      <c r="G2610" s="196" t="s">
        <v>11720</v>
      </c>
      <c r="H2610" s="196" t="s">
        <v>11235</v>
      </c>
    </row>
    <row r="2611" spans="1:8" x14ac:dyDescent="0.15">
      <c r="A2611" s="196" t="s">
        <v>11229</v>
      </c>
      <c r="B2611" s="196" t="s">
        <v>11230</v>
      </c>
      <c r="C2611" s="196" t="s">
        <v>17534</v>
      </c>
      <c r="D2611" s="196" t="s">
        <v>17535</v>
      </c>
      <c r="E2611" s="196" t="s">
        <v>17536</v>
      </c>
      <c r="F2611" s="196" t="s">
        <v>17537</v>
      </c>
      <c r="G2611" s="196" t="s">
        <v>12378</v>
      </c>
      <c r="H2611" s="196" t="s">
        <v>12712</v>
      </c>
    </row>
    <row r="2612" spans="1:8" x14ac:dyDescent="0.15">
      <c r="A2612" s="196" t="s">
        <v>11229</v>
      </c>
      <c r="B2612" s="196" t="s">
        <v>11230</v>
      </c>
      <c r="C2612" s="196" t="s">
        <v>17538</v>
      </c>
      <c r="D2612" s="196" t="s">
        <v>17535</v>
      </c>
      <c r="E2612" s="196" t="s">
        <v>17536</v>
      </c>
      <c r="F2612" s="196" t="s">
        <v>17537</v>
      </c>
      <c r="G2612" s="196" t="s">
        <v>12378</v>
      </c>
      <c r="H2612" s="196" t="s">
        <v>12712</v>
      </c>
    </row>
    <row r="2613" spans="1:8" x14ac:dyDescent="0.15">
      <c r="A2613" s="196" t="s">
        <v>11229</v>
      </c>
      <c r="B2613" s="196" t="s">
        <v>11230</v>
      </c>
      <c r="C2613" s="196" t="s">
        <v>17539</v>
      </c>
      <c r="D2613" s="196" t="s">
        <v>17535</v>
      </c>
      <c r="E2613" s="196" t="s">
        <v>17536</v>
      </c>
      <c r="F2613" s="196" t="s">
        <v>17537</v>
      </c>
      <c r="G2613" s="196" t="s">
        <v>12378</v>
      </c>
      <c r="H2613" s="196" t="s">
        <v>12712</v>
      </c>
    </row>
    <row r="2614" spans="1:8" x14ac:dyDescent="0.15">
      <c r="A2614" s="196" t="s">
        <v>11229</v>
      </c>
      <c r="B2614" s="196" t="s">
        <v>11230</v>
      </c>
      <c r="C2614" s="196" t="s">
        <v>17540</v>
      </c>
      <c r="D2614" s="196" t="s">
        <v>17535</v>
      </c>
      <c r="E2614" s="196" t="s">
        <v>17536</v>
      </c>
      <c r="F2614" s="196" t="s">
        <v>17537</v>
      </c>
      <c r="G2614" s="196" t="s">
        <v>12378</v>
      </c>
      <c r="H2614" s="196" t="s">
        <v>12712</v>
      </c>
    </row>
    <row r="2615" spans="1:8" x14ac:dyDescent="0.15">
      <c r="A2615" s="196" t="s">
        <v>11229</v>
      </c>
      <c r="B2615" s="196" t="s">
        <v>11230</v>
      </c>
      <c r="C2615" s="196" t="s">
        <v>17541</v>
      </c>
      <c r="D2615" s="196" t="s">
        <v>17542</v>
      </c>
      <c r="E2615" s="196" t="s">
        <v>17543</v>
      </c>
      <c r="F2615" s="196" t="s">
        <v>17544</v>
      </c>
      <c r="G2615" s="196" t="s">
        <v>11720</v>
      </c>
      <c r="H2615" s="196" t="s">
        <v>11235</v>
      </c>
    </row>
    <row r="2616" spans="1:8" x14ac:dyDescent="0.15">
      <c r="A2616" s="196" t="s">
        <v>11229</v>
      </c>
      <c r="B2616" s="196" t="s">
        <v>11230</v>
      </c>
      <c r="C2616" s="196" t="s">
        <v>17545</v>
      </c>
      <c r="D2616" s="196" t="s">
        <v>17546</v>
      </c>
      <c r="E2616" s="196" t="s">
        <v>17547</v>
      </c>
      <c r="F2616" s="196" t="s">
        <v>17548</v>
      </c>
      <c r="G2616" s="196" t="s">
        <v>11720</v>
      </c>
      <c r="H2616" s="196" t="s">
        <v>11235</v>
      </c>
    </row>
    <row r="2617" spans="1:8" x14ac:dyDescent="0.15">
      <c r="A2617" s="196" t="s">
        <v>11229</v>
      </c>
      <c r="B2617" s="196" t="s">
        <v>11230</v>
      </c>
      <c r="C2617" s="196" t="s">
        <v>17549</v>
      </c>
      <c r="D2617" s="196" t="s">
        <v>17550</v>
      </c>
      <c r="E2617" s="196" t="s">
        <v>17551</v>
      </c>
      <c r="F2617" s="196" t="s">
        <v>17552</v>
      </c>
      <c r="G2617" s="196" t="s">
        <v>11720</v>
      </c>
      <c r="H2617" s="196" t="s">
        <v>11235</v>
      </c>
    </row>
    <row r="2618" spans="1:8" x14ac:dyDescent="0.15">
      <c r="A2618" s="196" t="s">
        <v>11229</v>
      </c>
      <c r="B2618" s="196" t="s">
        <v>11230</v>
      </c>
      <c r="C2618" s="196" t="s">
        <v>17553</v>
      </c>
      <c r="D2618" s="196" t="s">
        <v>17554</v>
      </c>
      <c r="E2618" s="196" t="s">
        <v>17555</v>
      </c>
      <c r="F2618" s="196" t="s">
        <v>17556</v>
      </c>
      <c r="G2618" s="196" t="s">
        <v>11720</v>
      </c>
      <c r="H2618" s="196" t="s">
        <v>11235</v>
      </c>
    </row>
    <row r="2619" spans="1:8" x14ac:dyDescent="0.15">
      <c r="A2619" s="196" t="s">
        <v>11229</v>
      </c>
      <c r="B2619" s="196" t="s">
        <v>11230</v>
      </c>
      <c r="C2619" s="196" t="s">
        <v>17557</v>
      </c>
      <c r="D2619" s="196" t="s">
        <v>17558</v>
      </c>
      <c r="E2619" s="196" t="s">
        <v>17559</v>
      </c>
      <c r="F2619" s="196" t="s">
        <v>17560</v>
      </c>
      <c r="G2619" s="196" t="s">
        <v>11720</v>
      </c>
      <c r="H2619" s="196" t="s">
        <v>11235</v>
      </c>
    </row>
    <row r="2620" spans="1:8" x14ac:dyDescent="0.15">
      <c r="A2620" s="196" t="s">
        <v>11229</v>
      </c>
      <c r="B2620" s="196" t="s">
        <v>11230</v>
      </c>
      <c r="C2620" s="196" t="s">
        <v>17561</v>
      </c>
      <c r="D2620" s="196" t="s">
        <v>17562</v>
      </c>
      <c r="E2620" s="196" t="s">
        <v>17563</v>
      </c>
      <c r="F2620" s="196" t="s">
        <v>17564</v>
      </c>
      <c r="G2620" s="196" t="s">
        <v>11720</v>
      </c>
      <c r="H2620" s="196" t="s">
        <v>11235</v>
      </c>
    </row>
    <row r="2621" spans="1:8" x14ac:dyDescent="0.15">
      <c r="A2621" s="196" t="s">
        <v>11229</v>
      </c>
      <c r="B2621" s="196" t="s">
        <v>11230</v>
      </c>
      <c r="C2621" s="196" t="s">
        <v>17565</v>
      </c>
      <c r="D2621" s="196" t="s">
        <v>17566</v>
      </c>
      <c r="E2621" s="196" t="s">
        <v>17567</v>
      </c>
      <c r="F2621" s="196" t="s">
        <v>17568</v>
      </c>
      <c r="G2621" s="196" t="s">
        <v>11720</v>
      </c>
      <c r="H2621" s="196" t="s">
        <v>11235</v>
      </c>
    </row>
    <row r="2622" spans="1:8" x14ac:dyDescent="0.15">
      <c r="A2622" s="196" t="s">
        <v>11229</v>
      </c>
      <c r="B2622" s="196" t="s">
        <v>11230</v>
      </c>
      <c r="C2622" s="196" t="s">
        <v>17569</v>
      </c>
      <c r="D2622" s="196" t="s">
        <v>17570</v>
      </c>
      <c r="E2622" s="196" t="s">
        <v>17571</v>
      </c>
      <c r="F2622" s="196" t="s">
        <v>17572</v>
      </c>
      <c r="G2622" s="196" t="s">
        <v>11720</v>
      </c>
      <c r="H2622" s="196" t="s">
        <v>11235</v>
      </c>
    </row>
    <row r="2623" spans="1:8" x14ac:dyDescent="0.15">
      <c r="A2623" s="196" t="s">
        <v>11229</v>
      </c>
      <c r="B2623" s="196" t="s">
        <v>11230</v>
      </c>
      <c r="C2623" s="196" t="s">
        <v>17573</v>
      </c>
      <c r="D2623" s="196" t="s">
        <v>17574</v>
      </c>
      <c r="E2623" s="196" t="s">
        <v>17575</v>
      </c>
      <c r="F2623" s="196" t="s">
        <v>17576</v>
      </c>
      <c r="G2623" s="196" t="s">
        <v>11720</v>
      </c>
      <c r="H2623" s="196" t="s">
        <v>11235</v>
      </c>
    </row>
    <row r="2624" spans="1:8" x14ac:dyDescent="0.15">
      <c r="A2624" s="196" t="s">
        <v>11229</v>
      </c>
      <c r="B2624" s="196" t="s">
        <v>11230</v>
      </c>
      <c r="C2624" s="196" t="s">
        <v>17577</v>
      </c>
      <c r="D2624" s="196" t="s">
        <v>17578</v>
      </c>
      <c r="E2624" s="196" t="s">
        <v>17579</v>
      </c>
      <c r="F2624" s="196" t="s">
        <v>17580</v>
      </c>
      <c r="G2624" s="196" t="s">
        <v>11720</v>
      </c>
      <c r="H2624" s="196" t="s">
        <v>11235</v>
      </c>
    </row>
    <row r="2625" spans="1:8" x14ac:dyDescent="0.15">
      <c r="A2625" s="196" t="s">
        <v>11229</v>
      </c>
      <c r="B2625" s="196" t="s">
        <v>11230</v>
      </c>
      <c r="C2625" s="196" t="s">
        <v>17581</v>
      </c>
      <c r="D2625" s="196" t="s">
        <v>17582</v>
      </c>
      <c r="E2625" s="196" t="s">
        <v>17583</v>
      </c>
      <c r="F2625" s="196" t="s">
        <v>17584</v>
      </c>
      <c r="G2625" s="196" t="s">
        <v>11720</v>
      </c>
      <c r="H2625" s="196" t="s">
        <v>11235</v>
      </c>
    </row>
    <row r="2626" spans="1:8" x14ac:dyDescent="0.15">
      <c r="A2626" s="196" t="s">
        <v>11229</v>
      </c>
      <c r="B2626" s="196" t="s">
        <v>11230</v>
      </c>
      <c r="C2626" s="196" t="s">
        <v>17585</v>
      </c>
      <c r="D2626" s="196" t="s">
        <v>17583</v>
      </c>
      <c r="E2626" s="196" t="s">
        <v>17586</v>
      </c>
      <c r="F2626" s="196" t="s">
        <v>17587</v>
      </c>
      <c r="G2626" s="196" t="s">
        <v>11720</v>
      </c>
      <c r="H2626" s="196" t="s">
        <v>11235</v>
      </c>
    </row>
    <row r="2627" spans="1:8" x14ac:dyDescent="0.15">
      <c r="A2627" s="196" t="s">
        <v>11229</v>
      </c>
      <c r="B2627" s="196" t="s">
        <v>11230</v>
      </c>
      <c r="C2627" s="196" t="s">
        <v>17588</v>
      </c>
      <c r="D2627" s="196" t="s">
        <v>17589</v>
      </c>
      <c r="E2627" s="196" t="s">
        <v>17590</v>
      </c>
      <c r="F2627" s="196" t="s">
        <v>17591</v>
      </c>
      <c r="G2627" s="196" t="s">
        <v>12378</v>
      </c>
      <c r="H2627" s="196" t="s">
        <v>12712</v>
      </c>
    </row>
    <row r="2628" spans="1:8" x14ac:dyDescent="0.15">
      <c r="A2628" s="196" t="s">
        <v>11229</v>
      </c>
      <c r="B2628" s="196" t="s">
        <v>11230</v>
      </c>
      <c r="C2628" s="196" t="s">
        <v>17592</v>
      </c>
      <c r="D2628" s="196" t="s">
        <v>17589</v>
      </c>
      <c r="E2628" s="196" t="s">
        <v>17590</v>
      </c>
      <c r="F2628" s="196" t="s">
        <v>17591</v>
      </c>
      <c r="G2628" s="196" t="s">
        <v>12378</v>
      </c>
      <c r="H2628" s="196" t="s">
        <v>12712</v>
      </c>
    </row>
    <row r="2629" spans="1:8" x14ac:dyDescent="0.15">
      <c r="A2629" s="196" t="s">
        <v>11229</v>
      </c>
      <c r="B2629" s="196" t="s">
        <v>11230</v>
      </c>
      <c r="C2629" s="196" t="s">
        <v>17593</v>
      </c>
      <c r="D2629" s="196" t="s">
        <v>17589</v>
      </c>
      <c r="E2629" s="196" t="s">
        <v>17590</v>
      </c>
      <c r="F2629" s="196" t="s">
        <v>17591</v>
      </c>
      <c r="G2629" s="196" t="s">
        <v>12378</v>
      </c>
      <c r="H2629" s="196" t="s">
        <v>12712</v>
      </c>
    </row>
    <row r="2630" spans="1:8" x14ac:dyDescent="0.15">
      <c r="A2630" s="196" t="s">
        <v>11229</v>
      </c>
      <c r="B2630" s="196" t="s">
        <v>11230</v>
      </c>
      <c r="C2630" s="196" t="s">
        <v>17594</v>
      </c>
      <c r="D2630" s="196" t="s">
        <v>17589</v>
      </c>
      <c r="E2630" s="196" t="s">
        <v>17595</v>
      </c>
      <c r="F2630" s="196" t="s">
        <v>17596</v>
      </c>
      <c r="G2630" s="196" t="s">
        <v>12378</v>
      </c>
      <c r="H2630" s="196" t="s">
        <v>12712</v>
      </c>
    </row>
    <row r="2631" spans="1:8" x14ac:dyDescent="0.15">
      <c r="A2631" s="196" t="s">
        <v>11229</v>
      </c>
      <c r="B2631" s="196" t="s">
        <v>11230</v>
      </c>
      <c r="C2631" s="196" t="s">
        <v>17597</v>
      </c>
      <c r="D2631" s="196" t="s">
        <v>17598</v>
      </c>
      <c r="E2631" s="196" t="s">
        <v>17598</v>
      </c>
      <c r="F2631" s="196" t="s">
        <v>11233</v>
      </c>
      <c r="G2631" s="196" t="s">
        <v>11720</v>
      </c>
      <c r="H2631" s="196" t="s">
        <v>11235</v>
      </c>
    </row>
    <row r="2632" spans="1:8" x14ac:dyDescent="0.15">
      <c r="A2632" s="196" t="s">
        <v>11229</v>
      </c>
      <c r="B2632" s="196" t="s">
        <v>11230</v>
      </c>
      <c r="C2632" s="196" t="s">
        <v>17599</v>
      </c>
      <c r="D2632" s="196" t="s">
        <v>17600</v>
      </c>
      <c r="E2632" s="196" t="s">
        <v>17600</v>
      </c>
      <c r="F2632" s="196" t="s">
        <v>11233</v>
      </c>
      <c r="G2632" s="196" t="s">
        <v>11720</v>
      </c>
      <c r="H2632" s="196" t="s">
        <v>11235</v>
      </c>
    </row>
    <row r="2633" spans="1:8" x14ac:dyDescent="0.15">
      <c r="A2633" s="196" t="s">
        <v>11229</v>
      </c>
      <c r="B2633" s="196" t="s">
        <v>11230</v>
      </c>
      <c r="C2633" s="196" t="s">
        <v>17601</v>
      </c>
      <c r="D2633" s="196" t="s">
        <v>17602</v>
      </c>
      <c r="E2633" s="196" t="s">
        <v>17602</v>
      </c>
      <c r="F2633" s="196" t="s">
        <v>11233</v>
      </c>
      <c r="G2633" s="196" t="s">
        <v>11720</v>
      </c>
      <c r="H2633" s="196" t="s">
        <v>11235</v>
      </c>
    </row>
    <row r="2634" spans="1:8" x14ac:dyDescent="0.15">
      <c r="A2634" s="196" t="s">
        <v>11229</v>
      </c>
      <c r="B2634" s="196" t="s">
        <v>11230</v>
      </c>
      <c r="C2634" s="196" t="s">
        <v>17603</v>
      </c>
      <c r="D2634" s="196" t="s">
        <v>17604</v>
      </c>
      <c r="E2634" s="196" t="s">
        <v>17604</v>
      </c>
      <c r="F2634" s="196" t="s">
        <v>11233</v>
      </c>
      <c r="G2634" s="196" t="s">
        <v>11720</v>
      </c>
      <c r="H2634" s="196" t="s">
        <v>11235</v>
      </c>
    </row>
    <row r="2635" spans="1:8" x14ac:dyDescent="0.15">
      <c r="A2635" s="196" t="s">
        <v>11229</v>
      </c>
      <c r="B2635" s="196" t="s">
        <v>11230</v>
      </c>
      <c r="C2635" s="196" t="s">
        <v>17605</v>
      </c>
      <c r="D2635" s="196" t="s">
        <v>17606</v>
      </c>
      <c r="E2635" s="196" t="s">
        <v>17606</v>
      </c>
      <c r="F2635" s="196" t="s">
        <v>11233</v>
      </c>
      <c r="G2635" s="196" t="s">
        <v>11720</v>
      </c>
      <c r="H2635" s="196" t="s">
        <v>11235</v>
      </c>
    </row>
    <row r="2636" spans="1:8" x14ac:dyDescent="0.15">
      <c r="A2636" s="196" t="s">
        <v>11229</v>
      </c>
      <c r="B2636" s="196" t="s">
        <v>11230</v>
      </c>
      <c r="C2636" s="196" t="s">
        <v>17607</v>
      </c>
      <c r="D2636" s="196" t="s">
        <v>17608</v>
      </c>
      <c r="E2636" s="196" t="s">
        <v>17608</v>
      </c>
      <c r="F2636" s="196" t="s">
        <v>11233</v>
      </c>
      <c r="G2636" s="196" t="s">
        <v>11720</v>
      </c>
      <c r="H2636" s="196" t="s">
        <v>11235</v>
      </c>
    </row>
    <row r="2637" spans="1:8" x14ac:dyDescent="0.15">
      <c r="A2637" s="196" t="s">
        <v>11229</v>
      </c>
      <c r="B2637" s="196" t="s">
        <v>11230</v>
      </c>
      <c r="C2637" s="196" t="s">
        <v>17609</v>
      </c>
      <c r="D2637" s="196" t="s">
        <v>17610</v>
      </c>
      <c r="E2637" s="196" t="s">
        <v>17610</v>
      </c>
      <c r="F2637" s="196" t="s">
        <v>11233</v>
      </c>
      <c r="G2637" s="196" t="s">
        <v>11720</v>
      </c>
      <c r="H2637" s="196" t="s">
        <v>11235</v>
      </c>
    </row>
    <row r="2638" spans="1:8" x14ac:dyDescent="0.15">
      <c r="A2638" s="196" t="s">
        <v>11229</v>
      </c>
      <c r="B2638" s="196" t="s">
        <v>11230</v>
      </c>
      <c r="C2638" s="196" t="s">
        <v>17611</v>
      </c>
      <c r="D2638" s="196" t="s">
        <v>17612</v>
      </c>
      <c r="E2638" s="196" t="s">
        <v>17612</v>
      </c>
      <c r="F2638" s="196" t="s">
        <v>11233</v>
      </c>
      <c r="G2638" s="196" t="s">
        <v>11720</v>
      </c>
      <c r="H2638" s="196" t="s">
        <v>11235</v>
      </c>
    </row>
    <row r="2639" spans="1:8" x14ac:dyDescent="0.15">
      <c r="A2639" s="196" t="s">
        <v>11229</v>
      </c>
      <c r="B2639" s="196" t="s">
        <v>11230</v>
      </c>
      <c r="C2639" s="196" t="s">
        <v>17613</v>
      </c>
      <c r="D2639" s="196" t="s">
        <v>17614</v>
      </c>
      <c r="E2639" s="196" t="s">
        <v>17615</v>
      </c>
      <c r="F2639" s="196" t="s">
        <v>11241</v>
      </c>
      <c r="G2639" s="196" t="s">
        <v>11720</v>
      </c>
      <c r="H2639" s="196" t="s">
        <v>11235</v>
      </c>
    </row>
    <row r="2640" spans="1:8" x14ac:dyDescent="0.15">
      <c r="A2640" s="196" t="s">
        <v>11229</v>
      </c>
      <c r="B2640" s="196" t="s">
        <v>11230</v>
      </c>
      <c r="C2640" s="196" t="s">
        <v>17616</v>
      </c>
      <c r="D2640" s="196" t="s">
        <v>17617</v>
      </c>
      <c r="E2640" s="196" t="s">
        <v>17617</v>
      </c>
      <c r="F2640" s="196" t="s">
        <v>11233</v>
      </c>
      <c r="G2640" s="196" t="s">
        <v>11720</v>
      </c>
      <c r="H2640" s="196" t="s">
        <v>11235</v>
      </c>
    </row>
    <row r="2641" spans="1:8" x14ac:dyDescent="0.15">
      <c r="A2641" s="196" t="s">
        <v>11229</v>
      </c>
      <c r="B2641" s="196" t="s">
        <v>11230</v>
      </c>
      <c r="C2641" s="196" t="s">
        <v>17618</v>
      </c>
      <c r="D2641" s="196" t="s">
        <v>17619</v>
      </c>
      <c r="E2641" s="196" t="s">
        <v>17620</v>
      </c>
      <c r="F2641" s="196" t="s">
        <v>11268</v>
      </c>
      <c r="G2641" s="196" t="s">
        <v>11720</v>
      </c>
      <c r="H2641" s="196" t="s">
        <v>11235</v>
      </c>
    </row>
    <row r="2642" spans="1:8" x14ac:dyDescent="0.15">
      <c r="A2642" s="196" t="s">
        <v>11229</v>
      </c>
      <c r="B2642" s="196" t="s">
        <v>11230</v>
      </c>
      <c r="C2642" s="196" t="s">
        <v>17621</v>
      </c>
      <c r="D2642" s="196" t="s">
        <v>17622</v>
      </c>
      <c r="E2642" s="196" t="s">
        <v>17623</v>
      </c>
      <c r="F2642" s="196" t="s">
        <v>12537</v>
      </c>
      <c r="G2642" s="196" t="s">
        <v>11720</v>
      </c>
      <c r="H2642" s="196" t="s">
        <v>11235</v>
      </c>
    </row>
    <row r="2643" spans="1:8" x14ac:dyDescent="0.15">
      <c r="A2643" s="196" t="s">
        <v>11229</v>
      </c>
      <c r="B2643" s="196" t="s">
        <v>11230</v>
      </c>
      <c r="C2643" s="196" t="s">
        <v>17624</v>
      </c>
      <c r="D2643" s="196" t="s">
        <v>17623</v>
      </c>
      <c r="E2643" s="196" t="s">
        <v>17625</v>
      </c>
      <c r="F2643" s="196" t="s">
        <v>12537</v>
      </c>
      <c r="G2643" s="196" t="s">
        <v>11720</v>
      </c>
      <c r="H2643" s="196" t="s">
        <v>11235</v>
      </c>
    </row>
    <row r="2644" spans="1:8" x14ac:dyDescent="0.15">
      <c r="A2644" s="196" t="s">
        <v>11229</v>
      </c>
      <c r="B2644" s="196" t="s">
        <v>11230</v>
      </c>
      <c r="C2644" s="196" t="s">
        <v>17626</v>
      </c>
      <c r="D2644" s="196" t="s">
        <v>17627</v>
      </c>
      <c r="E2644" s="196" t="s">
        <v>17628</v>
      </c>
      <c r="F2644" s="196" t="s">
        <v>13758</v>
      </c>
      <c r="G2644" s="196" t="s">
        <v>11720</v>
      </c>
      <c r="H2644" s="196" t="s">
        <v>11235</v>
      </c>
    </row>
    <row r="2645" spans="1:8" x14ac:dyDescent="0.15">
      <c r="A2645" s="196" t="s">
        <v>11229</v>
      </c>
      <c r="B2645" s="196" t="s">
        <v>11230</v>
      </c>
      <c r="C2645" s="196" t="s">
        <v>17629</v>
      </c>
      <c r="D2645" s="196" t="s">
        <v>17630</v>
      </c>
      <c r="E2645" s="196" t="s">
        <v>17631</v>
      </c>
      <c r="F2645" s="196" t="s">
        <v>12537</v>
      </c>
      <c r="G2645" s="196" t="s">
        <v>11720</v>
      </c>
      <c r="H2645" s="196" t="s">
        <v>11235</v>
      </c>
    </row>
    <row r="2646" spans="1:8" x14ac:dyDescent="0.15">
      <c r="A2646" s="196" t="s">
        <v>11229</v>
      </c>
      <c r="B2646" s="196" t="s">
        <v>11230</v>
      </c>
      <c r="C2646" s="196" t="s">
        <v>17632</v>
      </c>
      <c r="D2646" s="196" t="s">
        <v>17633</v>
      </c>
      <c r="E2646" s="196" t="s">
        <v>17633</v>
      </c>
      <c r="F2646" s="196" t="s">
        <v>11233</v>
      </c>
      <c r="G2646" s="196" t="s">
        <v>11720</v>
      </c>
      <c r="H2646" s="196" t="s">
        <v>11235</v>
      </c>
    </row>
    <row r="2647" spans="1:8" x14ac:dyDescent="0.15">
      <c r="A2647" s="196" t="s">
        <v>11229</v>
      </c>
      <c r="B2647" s="196" t="s">
        <v>11230</v>
      </c>
      <c r="C2647" s="196" t="s">
        <v>17634</v>
      </c>
      <c r="D2647" s="196" t="s">
        <v>17635</v>
      </c>
      <c r="E2647" s="196" t="s">
        <v>17636</v>
      </c>
      <c r="F2647" s="196" t="s">
        <v>13023</v>
      </c>
      <c r="G2647" s="196" t="s">
        <v>11720</v>
      </c>
      <c r="H2647" s="196" t="s">
        <v>11235</v>
      </c>
    </row>
    <row r="2648" spans="1:8" x14ac:dyDescent="0.15">
      <c r="A2648" s="196" t="s">
        <v>11229</v>
      </c>
      <c r="B2648" s="196" t="s">
        <v>11230</v>
      </c>
      <c r="C2648" s="196" t="s">
        <v>17637</v>
      </c>
      <c r="D2648" s="196" t="s">
        <v>17638</v>
      </c>
      <c r="E2648" s="196" t="s">
        <v>17639</v>
      </c>
      <c r="F2648" s="196" t="s">
        <v>13023</v>
      </c>
      <c r="G2648" s="196" t="s">
        <v>11720</v>
      </c>
      <c r="H2648" s="196" t="s">
        <v>11235</v>
      </c>
    </row>
    <row r="2649" spans="1:8" x14ac:dyDescent="0.15">
      <c r="A2649" s="196" t="s">
        <v>11229</v>
      </c>
      <c r="B2649" s="196" t="s">
        <v>11230</v>
      </c>
      <c r="C2649" s="196" t="s">
        <v>17640</v>
      </c>
      <c r="D2649" s="196" t="s">
        <v>17641</v>
      </c>
      <c r="E2649" s="196" t="s">
        <v>17642</v>
      </c>
      <c r="F2649" s="196" t="s">
        <v>11268</v>
      </c>
      <c r="G2649" s="196" t="s">
        <v>11720</v>
      </c>
      <c r="H2649" s="196" t="s">
        <v>11235</v>
      </c>
    </row>
    <row r="2650" spans="1:8" x14ac:dyDescent="0.15">
      <c r="A2650" s="196" t="s">
        <v>11229</v>
      </c>
      <c r="B2650" s="196" t="s">
        <v>11230</v>
      </c>
      <c r="C2650" s="196" t="s">
        <v>17643</v>
      </c>
      <c r="D2650" s="196" t="s">
        <v>17644</v>
      </c>
      <c r="E2650" s="196" t="s">
        <v>17645</v>
      </c>
      <c r="F2650" s="196" t="s">
        <v>13023</v>
      </c>
      <c r="G2650" s="196" t="s">
        <v>11720</v>
      </c>
      <c r="H2650" s="196" t="s">
        <v>11235</v>
      </c>
    </row>
    <row r="2651" spans="1:8" x14ac:dyDescent="0.15">
      <c r="A2651" s="196" t="s">
        <v>11229</v>
      </c>
      <c r="B2651" s="196" t="s">
        <v>11230</v>
      </c>
      <c r="C2651" s="196" t="s">
        <v>17646</v>
      </c>
      <c r="D2651" s="196" t="s">
        <v>17647</v>
      </c>
      <c r="E2651" s="196" t="s">
        <v>17648</v>
      </c>
      <c r="F2651" s="196" t="s">
        <v>13023</v>
      </c>
      <c r="G2651" s="196" t="s">
        <v>11720</v>
      </c>
      <c r="H2651" s="196" t="s">
        <v>11235</v>
      </c>
    </row>
    <row r="2652" spans="1:8" x14ac:dyDescent="0.15">
      <c r="A2652" s="196" t="s">
        <v>11229</v>
      </c>
      <c r="B2652" s="196" t="s">
        <v>11230</v>
      </c>
      <c r="C2652" s="196" t="s">
        <v>17649</v>
      </c>
      <c r="D2652" s="196" t="s">
        <v>17650</v>
      </c>
      <c r="E2652" s="196" t="s">
        <v>17651</v>
      </c>
      <c r="F2652" s="196" t="s">
        <v>11268</v>
      </c>
      <c r="G2652" s="196" t="s">
        <v>11720</v>
      </c>
      <c r="H2652" s="196" t="s">
        <v>11235</v>
      </c>
    </row>
    <row r="2653" spans="1:8" x14ac:dyDescent="0.15">
      <c r="A2653" s="196" t="s">
        <v>11229</v>
      </c>
      <c r="B2653" s="196" t="s">
        <v>11230</v>
      </c>
      <c r="C2653" s="196" t="s">
        <v>17652</v>
      </c>
      <c r="D2653" s="196" t="s">
        <v>17653</v>
      </c>
      <c r="E2653" s="196" t="s">
        <v>17654</v>
      </c>
      <c r="F2653" s="196" t="s">
        <v>14964</v>
      </c>
      <c r="G2653" s="196" t="s">
        <v>11720</v>
      </c>
      <c r="H2653" s="196" t="s">
        <v>11235</v>
      </c>
    </row>
    <row r="2654" spans="1:8" x14ac:dyDescent="0.15">
      <c r="A2654" s="196" t="s">
        <v>11229</v>
      </c>
      <c r="B2654" s="196" t="s">
        <v>11230</v>
      </c>
      <c r="C2654" s="196" t="s">
        <v>17655</v>
      </c>
      <c r="D2654" s="196" t="s">
        <v>17656</v>
      </c>
      <c r="E2654" s="196" t="s">
        <v>17657</v>
      </c>
      <c r="F2654" s="196" t="s">
        <v>13901</v>
      </c>
      <c r="G2654" s="196" t="s">
        <v>11720</v>
      </c>
      <c r="H2654" s="196" t="s">
        <v>11235</v>
      </c>
    </row>
    <row r="2655" spans="1:8" x14ac:dyDescent="0.15">
      <c r="A2655" s="196" t="s">
        <v>11229</v>
      </c>
      <c r="B2655" s="196" t="s">
        <v>11230</v>
      </c>
      <c r="C2655" s="196" t="s">
        <v>17658</v>
      </c>
      <c r="D2655" s="196" t="s">
        <v>17659</v>
      </c>
      <c r="E2655" s="196" t="s">
        <v>17660</v>
      </c>
      <c r="F2655" s="196" t="s">
        <v>17661</v>
      </c>
      <c r="G2655" s="196" t="s">
        <v>11720</v>
      </c>
      <c r="H2655" s="196" t="s">
        <v>11235</v>
      </c>
    </row>
    <row r="2656" spans="1:8" x14ac:dyDescent="0.15">
      <c r="A2656" s="196" t="s">
        <v>11229</v>
      </c>
      <c r="B2656" s="196" t="s">
        <v>11230</v>
      </c>
      <c r="C2656" s="196" t="s">
        <v>17662</v>
      </c>
      <c r="D2656" s="196" t="s">
        <v>17663</v>
      </c>
      <c r="E2656" s="196" t="s">
        <v>17664</v>
      </c>
      <c r="F2656" s="196" t="s">
        <v>17665</v>
      </c>
      <c r="G2656" s="196" t="s">
        <v>11720</v>
      </c>
      <c r="H2656" s="196" t="s">
        <v>11235</v>
      </c>
    </row>
    <row r="2657" spans="1:8" x14ac:dyDescent="0.15">
      <c r="A2657" s="196" t="s">
        <v>11229</v>
      </c>
      <c r="B2657" s="196" t="s">
        <v>11230</v>
      </c>
      <c r="C2657" s="196" t="s">
        <v>17666</v>
      </c>
      <c r="D2657" s="196" t="s">
        <v>17667</v>
      </c>
      <c r="E2657" s="196" t="s">
        <v>17668</v>
      </c>
      <c r="F2657" s="196" t="s">
        <v>17669</v>
      </c>
      <c r="G2657" s="196" t="s">
        <v>11720</v>
      </c>
      <c r="H2657" s="196" t="s">
        <v>11235</v>
      </c>
    </row>
    <row r="2658" spans="1:8" x14ac:dyDescent="0.15">
      <c r="A2658" s="196" t="s">
        <v>11229</v>
      </c>
      <c r="B2658" s="196" t="s">
        <v>11230</v>
      </c>
      <c r="C2658" s="196" t="s">
        <v>17670</v>
      </c>
      <c r="D2658" s="196" t="s">
        <v>17671</v>
      </c>
      <c r="E2658" s="196" t="s">
        <v>17672</v>
      </c>
      <c r="F2658" s="196" t="s">
        <v>17673</v>
      </c>
      <c r="G2658" s="196" t="s">
        <v>11720</v>
      </c>
      <c r="H2658" s="196" t="s">
        <v>11235</v>
      </c>
    </row>
    <row r="2659" spans="1:8" x14ac:dyDescent="0.15">
      <c r="A2659" s="196" t="s">
        <v>11229</v>
      </c>
      <c r="B2659" s="196" t="s">
        <v>11230</v>
      </c>
      <c r="C2659" s="196" t="s">
        <v>17674</v>
      </c>
      <c r="D2659" s="196" t="s">
        <v>17675</v>
      </c>
      <c r="E2659" s="196" t="s">
        <v>17676</v>
      </c>
      <c r="F2659" s="196" t="s">
        <v>17677</v>
      </c>
      <c r="G2659" s="196" t="s">
        <v>11720</v>
      </c>
      <c r="H2659" s="196" t="s">
        <v>11235</v>
      </c>
    </row>
    <row r="2660" spans="1:8" x14ac:dyDescent="0.15">
      <c r="A2660" s="196" t="s">
        <v>11229</v>
      </c>
      <c r="B2660" s="196" t="s">
        <v>11230</v>
      </c>
      <c r="C2660" s="196" t="s">
        <v>17678</v>
      </c>
      <c r="D2660" s="196" t="s">
        <v>17679</v>
      </c>
      <c r="E2660" s="196" t="s">
        <v>17680</v>
      </c>
      <c r="F2660" s="196" t="s">
        <v>17681</v>
      </c>
      <c r="G2660" s="196" t="s">
        <v>11720</v>
      </c>
      <c r="H2660" s="196" t="s">
        <v>11235</v>
      </c>
    </row>
    <row r="2661" spans="1:8" x14ac:dyDescent="0.15">
      <c r="A2661" s="196" t="s">
        <v>11229</v>
      </c>
      <c r="B2661" s="196" t="s">
        <v>11230</v>
      </c>
      <c r="C2661" s="196" t="s">
        <v>17682</v>
      </c>
      <c r="D2661" s="196" t="s">
        <v>17683</v>
      </c>
      <c r="E2661" s="196" t="s">
        <v>17684</v>
      </c>
      <c r="F2661" s="196" t="s">
        <v>17685</v>
      </c>
      <c r="G2661" s="196" t="s">
        <v>11720</v>
      </c>
      <c r="H2661" s="196" t="s">
        <v>11235</v>
      </c>
    </row>
    <row r="2662" spans="1:8" x14ac:dyDescent="0.15">
      <c r="A2662" s="196" t="s">
        <v>11229</v>
      </c>
      <c r="B2662" s="196" t="s">
        <v>11230</v>
      </c>
      <c r="C2662" s="196" t="s">
        <v>17686</v>
      </c>
      <c r="D2662" s="196" t="s">
        <v>17687</v>
      </c>
      <c r="E2662" s="196" t="s">
        <v>17687</v>
      </c>
      <c r="F2662" s="196" t="s">
        <v>11233</v>
      </c>
      <c r="G2662" s="196" t="s">
        <v>11720</v>
      </c>
      <c r="H2662" s="196" t="s">
        <v>11235</v>
      </c>
    </row>
    <row r="2663" spans="1:8" x14ac:dyDescent="0.15">
      <c r="A2663" s="196" t="s">
        <v>11229</v>
      </c>
      <c r="B2663" s="196" t="s">
        <v>11230</v>
      </c>
      <c r="C2663" s="196" t="s">
        <v>17688</v>
      </c>
      <c r="D2663" s="196" t="s">
        <v>17689</v>
      </c>
      <c r="E2663" s="196" t="s">
        <v>17689</v>
      </c>
      <c r="F2663" s="196" t="s">
        <v>11233</v>
      </c>
      <c r="G2663" s="196" t="s">
        <v>11720</v>
      </c>
      <c r="H2663" s="196" t="s">
        <v>11235</v>
      </c>
    </row>
    <row r="2664" spans="1:8" x14ac:dyDescent="0.15">
      <c r="A2664" s="196" t="s">
        <v>11229</v>
      </c>
      <c r="B2664" s="196" t="s">
        <v>11230</v>
      </c>
      <c r="C2664" s="196" t="s">
        <v>17690</v>
      </c>
      <c r="D2664" s="196" t="s">
        <v>17691</v>
      </c>
      <c r="E2664" s="196" t="s">
        <v>17691</v>
      </c>
      <c r="F2664" s="196" t="s">
        <v>11233</v>
      </c>
      <c r="G2664" s="196" t="s">
        <v>11720</v>
      </c>
      <c r="H2664" s="196" t="s">
        <v>11235</v>
      </c>
    </row>
    <row r="2665" spans="1:8" x14ac:dyDescent="0.15">
      <c r="A2665" s="196" t="s">
        <v>11229</v>
      </c>
      <c r="B2665" s="196" t="s">
        <v>11230</v>
      </c>
      <c r="C2665" s="196" t="s">
        <v>17692</v>
      </c>
      <c r="D2665" s="196" t="s">
        <v>17693</v>
      </c>
      <c r="E2665" s="196" t="s">
        <v>17693</v>
      </c>
      <c r="F2665" s="196" t="s">
        <v>11233</v>
      </c>
      <c r="G2665" s="196" t="s">
        <v>11720</v>
      </c>
      <c r="H2665" s="196" t="s">
        <v>11235</v>
      </c>
    </row>
    <row r="2666" spans="1:8" x14ac:dyDescent="0.15">
      <c r="A2666" s="196" t="s">
        <v>11229</v>
      </c>
      <c r="B2666" s="196" t="s">
        <v>11230</v>
      </c>
      <c r="C2666" s="196" t="s">
        <v>17694</v>
      </c>
      <c r="D2666" s="196" t="s">
        <v>17695</v>
      </c>
      <c r="E2666" s="196" t="s">
        <v>17695</v>
      </c>
      <c r="F2666" s="196" t="s">
        <v>11233</v>
      </c>
      <c r="G2666" s="196" t="s">
        <v>11720</v>
      </c>
      <c r="H2666" s="196" t="s">
        <v>11235</v>
      </c>
    </row>
    <row r="2667" spans="1:8" x14ac:dyDescent="0.15">
      <c r="A2667" s="196" t="s">
        <v>11229</v>
      </c>
      <c r="B2667" s="196" t="s">
        <v>11230</v>
      </c>
      <c r="C2667" s="196" t="s">
        <v>17696</v>
      </c>
      <c r="D2667" s="196" t="s">
        <v>17697</v>
      </c>
      <c r="E2667" s="196" t="s">
        <v>17698</v>
      </c>
      <c r="F2667" s="196" t="s">
        <v>11241</v>
      </c>
      <c r="G2667" s="196" t="s">
        <v>11720</v>
      </c>
      <c r="H2667" s="196" t="s">
        <v>11235</v>
      </c>
    </row>
    <row r="2668" spans="1:8" x14ac:dyDescent="0.15">
      <c r="A2668" s="196" t="s">
        <v>11229</v>
      </c>
      <c r="B2668" s="196" t="s">
        <v>11230</v>
      </c>
      <c r="C2668" s="196" t="s">
        <v>17699</v>
      </c>
      <c r="D2668" s="196" t="s">
        <v>17700</v>
      </c>
      <c r="E2668" s="196" t="s">
        <v>17700</v>
      </c>
      <c r="F2668" s="196" t="s">
        <v>11233</v>
      </c>
      <c r="G2668" s="196" t="s">
        <v>11720</v>
      </c>
      <c r="H2668" s="196" t="s">
        <v>11235</v>
      </c>
    </row>
    <row r="2669" spans="1:8" x14ac:dyDescent="0.15">
      <c r="A2669" s="196" t="s">
        <v>11229</v>
      </c>
      <c r="B2669" s="196" t="s">
        <v>11230</v>
      </c>
      <c r="C2669" s="196" t="s">
        <v>17701</v>
      </c>
      <c r="D2669" s="196" t="s">
        <v>17702</v>
      </c>
      <c r="E2669" s="196" t="s">
        <v>17702</v>
      </c>
      <c r="F2669" s="196" t="s">
        <v>11233</v>
      </c>
      <c r="G2669" s="196" t="s">
        <v>11720</v>
      </c>
      <c r="H2669" s="196" t="s">
        <v>11235</v>
      </c>
    </row>
    <row r="2670" spans="1:8" x14ac:dyDescent="0.15">
      <c r="A2670" s="196" t="s">
        <v>11229</v>
      </c>
      <c r="B2670" s="196" t="s">
        <v>11230</v>
      </c>
      <c r="C2670" s="196" t="s">
        <v>17703</v>
      </c>
      <c r="D2670" s="196" t="s">
        <v>17704</v>
      </c>
      <c r="E2670" s="196" t="s">
        <v>17704</v>
      </c>
      <c r="F2670" s="196" t="s">
        <v>11233</v>
      </c>
      <c r="G2670" s="196" t="s">
        <v>11720</v>
      </c>
      <c r="H2670" s="196" t="s">
        <v>11235</v>
      </c>
    </row>
    <row r="2671" spans="1:8" x14ac:dyDescent="0.15">
      <c r="A2671" s="196" t="s">
        <v>11229</v>
      </c>
      <c r="B2671" s="196" t="s">
        <v>11230</v>
      </c>
      <c r="C2671" s="196" t="s">
        <v>17705</v>
      </c>
      <c r="D2671" s="196" t="s">
        <v>17706</v>
      </c>
      <c r="E2671" s="196" t="s">
        <v>17706</v>
      </c>
      <c r="F2671" s="196" t="s">
        <v>11233</v>
      </c>
      <c r="G2671" s="196" t="s">
        <v>11720</v>
      </c>
      <c r="H2671" s="196" t="s">
        <v>11235</v>
      </c>
    </row>
    <row r="2672" spans="1:8" x14ac:dyDescent="0.15">
      <c r="A2672" s="196" t="s">
        <v>11229</v>
      </c>
      <c r="B2672" s="196" t="s">
        <v>11230</v>
      </c>
      <c r="C2672" s="196" t="s">
        <v>17707</v>
      </c>
      <c r="D2672" s="196" t="s">
        <v>17708</v>
      </c>
      <c r="E2672" s="196" t="s">
        <v>17709</v>
      </c>
      <c r="F2672" s="196" t="s">
        <v>13023</v>
      </c>
      <c r="G2672" s="196" t="s">
        <v>11720</v>
      </c>
      <c r="H2672" s="196" t="s">
        <v>11235</v>
      </c>
    </row>
    <row r="2673" spans="1:8" x14ac:dyDescent="0.15">
      <c r="A2673" s="196" t="s">
        <v>11229</v>
      </c>
      <c r="B2673" s="196" t="s">
        <v>11230</v>
      </c>
      <c r="C2673" s="196" t="s">
        <v>17710</v>
      </c>
      <c r="D2673" s="196" t="s">
        <v>17709</v>
      </c>
      <c r="E2673" s="196" t="s">
        <v>17711</v>
      </c>
      <c r="F2673" s="196" t="s">
        <v>11241</v>
      </c>
      <c r="G2673" s="196" t="s">
        <v>11720</v>
      </c>
      <c r="H2673" s="196" t="s">
        <v>11235</v>
      </c>
    </row>
    <row r="2674" spans="1:8" x14ac:dyDescent="0.15">
      <c r="A2674" s="196" t="s">
        <v>11229</v>
      </c>
      <c r="B2674" s="196" t="s">
        <v>11230</v>
      </c>
      <c r="C2674" s="196" t="s">
        <v>17712</v>
      </c>
      <c r="D2674" s="196" t="s">
        <v>17711</v>
      </c>
      <c r="E2674" s="196" t="s">
        <v>17713</v>
      </c>
      <c r="F2674" s="196" t="s">
        <v>11268</v>
      </c>
      <c r="G2674" s="196" t="s">
        <v>11720</v>
      </c>
      <c r="H2674" s="196" t="s">
        <v>11235</v>
      </c>
    </row>
    <row r="2675" spans="1:8" x14ac:dyDescent="0.15">
      <c r="A2675" s="196" t="s">
        <v>11229</v>
      </c>
      <c r="B2675" s="196" t="s">
        <v>11230</v>
      </c>
      <c r="C2675" s="196" t="s">
        <v>17714</v>
      </c>
      <c r="D2675" s="196" t="s">
        <v>17715</v>
      </c>
      <c r="E2675" s="196" t="s">
        <v>17716</v>
      </c>
      <c r="F2675" s="196" t="s">
        <v>17717</v>
      </c>
      <c r="G2675" s="196" t="s">
        <v>11720</v>
      </c>
      <c r="H2675" s="196" t="s">
        <v>12712</v>
      </c>
    </row>
    <row r="2676" spans="1:8" x14ac:dyDescent="0.15">
      <c r="A2676" s="196" t="s">
        <v>11229</v>
      </c>
      <c r="B2676" s="196" t="s">
        <v>11230</v>
      </c>
      <c r="C2676" s="196" t="s">
        <v>17718</v>
      </c>
      <c r="D2676" s="196" t="s">
        <v>17715</v>
      </c>
      <c r="E2676" s="196" t="s">
        <v>17719</v>
      </c>
      <c r="F2676" s="196" t="s">
        <v>17720</v>
      </c>
      <c r="G2676" s="196" t="s">
        <v>11720</v>
      </c>
      <c r="H2676" s="196" t="s">
        <v>12712</v>
      </c>
    </row>
    <row r="2677" spans="1:8" x14ac:dyDescent="0.15">
      <c r="A2677" s="196" t="s">
        <v>11229</v>
      </c>
      <c r="B2677" s="196" t="s">
        <v>11230</v>
      </c>
      <c r="C2677" s="196" t="s">
        <v>17721</v>
      </c>
      <c r="D2677" s="196" t="s">
        <v>17715</v>
      </c>
      <c r="E2677" s="196" t="s">
        <v>17719</v>
      </c>
      <c r="F2677" s="196" t="s">
        <v>17720</v>
      </c>
      <c r="G2677" s="196" t="s">
        <v>11720</v>
      </c>
      <c r="H2677" s="196" t="s">
        <v>12712</v>
      </c>
    </row>
    <row r="2678" spans="1:8" x14ac:dyDescent="0.15">
      <c r="A2678" s="196" t="s">
        <v>11229</v>
      </c>
      <c r="B2678" s="196" t="s">
        <v>11230</v>
      </c>
      <c r="C2678" s="196" t="s">
        <v>17722</v>
      </c>
      <c r="D2678" s="196" t="s">
        <v>17715</v>
      </c>
      <c r="E2678" s="196" t="s">
        <v>17716</v>
      </c>
      <c r="F2678" s="196" t="s">
        <v>17717</v>
      </c>
      <c r="G2678" s="196" t="s">
        <v>11720</v>
      </c>
      <c r="H2678" s="196" t="s">
        <v>12712</v>
      </c>
    </row>
    <row r="2679" spans="1:8" x14ac:dyDescent="0.15">
      <c r="A2679" s="196" t="s">
        <v>11229</v>
      </c>
      <c r="B2679" s="196" t="s">
        <v>11230</v>
      </c>
      <c r="C2679" s="196" t="s">
        <v>17723</v>
      </c>
      <c r="D2679" s="196" t="s">
        <v>17724</v>
      </c>
      <c r="E2679" s="196" t="s">
        <v>17725</v>
      </c>
      <c r="F2679" s="196" t="s">
        <v>11268</v>
      </c>
      <c r="G2679" s="196" t="s">
        <v>12378</v>
      </c>
      <c r="H2679" s="196" t="s">
        <v>11235</v>
      </c>
    </row>
    <row r="2680" spans="1:8" x14ac:dyDescent="0.15">
      <c r="A2680" s="196" t="s">
        <v>11229</v>
      </c>
      <c r="B2680" s="196" t="s">
        <v>11230</v>
      </c>
      <c r="C2680" s="196" t="s">
        <v>17726</v>
      </c>
      <c r="D2680" s="196" t="s">
        <v>17727</v>
      </c>
      <c r="E2680" s="196" t="s">
        <v>17728</v>
      </c>
      <c r="F2680" s="196" t="s">
        <v>17729</v>
      </c>
      <c r="G2680" s="196" t="s">
        <v>12378</v>
      </c>
      <c r="H2680" s="196" t="s">
        <v>11235</v>
      </c>
    </row>
    <row r="2681" spans="1:8" x14ac:dyDescent="0.15">
      <c r="A2681" s="196" t="s">
        <v>11229</v>
      </c>
      <c r="B2681" s="196" t="s">
        <v>11230</v>
      </c>
      <c r="C2681" s="196" t="s">
        <v>17730</v>
      </c>
      <c r="D2681" s="196" t="s">
        <v>17731</v>
      </c>
      <c r="E2681" s="196" t="s">
        <v>17732</v>
      </c>
      <c r="F2681" s="196" t="s">
        <v>17733</v>
      </c>
      <c r="G2681" s="196" t="s">
        <v>12378</v>
      </c>
      <c r="H2681" s="196" t="s">
        <v>11235</v>
      </c>
    </row>
    <row r="2682" spans="1:8" x14ac:dyDescent="0.15">
      <c r="A2682" s="196" t="s">
        <v>11229</v>
      </c>
      <c r="B2682" s="196" t="s">
        <v>11230</v>
      </c>
      <c r="C2682" s="196" t="s">
        <v>17734</v>
      </c>
      <c r="D2682" s="196" t="s">
        <v>17735</v>
      </c>
      <c r="E2682" s="196" t="s">
        <v>17736</v>
      </c>
      <c r="F2682" s="196" t="s">
        <v>17737</v>
      </c>
      <c r="G2682" s="196" t="s">
        <v>12378</v>
      </c>
      <c r="H2682" s="196" t="s">
        <v>11235</v>
      </c>
    </row>
    <row r="2683" spans="1:8" x14ac:dyDescent="0.15">
      <c r="A2683" s="196" t="s">
        <v>11229</v>
      </c>
      <c r="B2683" s="196" t="s">
        <v>11230</v>
      </c>
      <c r="C2683" s="196" t="s">
        <v>17738</v>
      </c>
      <c r="D2683" s="196" t="s">
        <v>17739</v>
      </c>
      <c r="E2683" s="196" t="s">
        <v>17740</v>
      </c>
      <c r="F2683" s="196" t="s">
        <v>13023</v>
      </c>
      <c r="G2683" s="196" t="s">
        <v>12378</v>
      </c>
      <c r="H2683" s="196" t="s">
        <v>11235</v>
      </c>
    </row>
    <row r="2684" spans="1:8" x14ac:dyDescent="0.15">
      <c r="A2684" s="196" t="s">
        <v>11229</v>
      </c>
      <c r="B2684" s="196" t="s">
        <v>11230</v>
      </c>
      <c r="C2684" s="196" t="s">
        <v>17741</v>
      </c>
      <c r="D2684" s="196" t="s">
        <v>17742</v>
      </c>
      <c r="E2684" s="196" t="s">
        <v>17743</v>
      </c>
      <c r="F2684" s="196" t="s">
        <v>13758</v>
      </c>
      <c r="G2684" s="196" t="s">
        <v>12378</v>
      </c>
      <c r="H2684" s="196" t="s">
        <v>11235</v>
      </c>
    </row>
    <row r="2685" spans="1:8" x14ac:dyDescent="0.15">
      <c r="A2685" s="196" t="s">
        <v>11229</v>
      </c>
      <c r="B2685" s="196" t="s">
        <v>11230</v>
      </c>
      <c r="C2685" s="196" t="s">
        <v>17744</v>
      </c>
      <c r="D2685" s="196" t="s">
        <v>17745</v>
      </c>
      <c r="E2685" s="196" t="s">
        <v>17746</v>
      </c>
      <c r="F2685" s="196" t="s">
        <v>11241</v>
      </c>
      <c r="G2685" s="196" t="s">
        <v>12378</v>
      </c>
      <c r="H2685" s="196" t="s">
        <v>11235</v>
      </c>
    </row>
    <row r="2686" spans="1:8" x14ac:dyDescent="0.15">
      <c r="A2686" s="196" t="s">
        <v>11229</v>
      </c>
      <c r="B2686" s="196" t="s">
        <v>11230</v>
      </c>
      <c r="C2686" s="196" t="s">
        <v>17747</v>
      </c>
      <c r="D2686" s="196" t="s">
        <v>17748</v>
      </c>
      <c r="E2686" s="196" t="s">
        <v>17749</v>
      </c>
      <c r="F2686" s="196" t="s">
        <v>13023</v>
      </c>
      <c r="G2686" s="196" t="s">
        <v>12378</v>
      </c>
      <c r="H2686" s="196" t="s">
        <v>11235</v>
      </c>
    </row>
    <row r="2687" spans="1:8" x14ac:dyDescent="0.15">
      <c r="A2687" s="196" t="s">
        <v>11229</v>
      </c>
      <c r="B2687" s="196" t="s">
        <v>11230</v>
      </c>
      <c r="C2687" s="196" t="s">
        <v>17750</v>
      </c>
      <c r="D2687" s="196" t="s">
        <v>17749</v>
      </c>
      <c r="E2687" s="196" t="s">
        <v>17751</v>
      </c>
      <c r="F2687" s="196" t="s">
        <v>13023</v>
      </c>
      <c r="G2687" s="196" t="s">
        <v>12378</v>
      </c>
      <c r="H2687" s="196" t="s">
        <v>11235</v>
      </c>
    </row>
    <row r="2688" spans="1:8" x14ac:dyDescent="0.15">
      <c r="A2688" s="196" t="s">
        <v>11229</v>
      </c>
      <c r="B2688" s="196" t="s">
        <v>11230</v>
      </c>
      <c r="C2688" s="196" t="s">
        <v>17752</v>
      </c>
      <c r="D2688" s="196" t="s">
        <v>17753</v>
      </c>
      <c r="E2688" s="196" t="s">
        <v>17753</v>
      </c>
      <c r="F2688" s="196" t="s">
        <v>11233</v>
      </c>
      <c r="G2688" s="196" t="s">
        <v>12378</v>
      </c>
      <c r="H2688" s="196" t="s">
        <v>11235</v>
      </c>
    </row>
    <row r="2689" spans="1:8" x14ac:dyDescent="0.15">
      <c r="A2689" s="196" t="s">
        <v>11229</v>
      </c>
      <c r="B2689" s="196" t="s">
        <v>11230</v>
      </c>
      <c r="C2689" s="196" t="s">
        <v>17754</v>
      </c>
      <c r="D2689" s="196" t="s">
        <v>17755</v>
      </c>
      <c r="E2689" s="196" t="s">
        <v>17755</v>
      </c>
      <c r="F2689" s="196" t="s">
        <v>11233</v>
      </c>
      <c r="G2689" s="196" t="s">
        <v>12378</v>
      </c>
      <c r="H2689" s="196" t="s">
        <v>11235</v>
      </c>
    </row>
    <row r="2690" spans="1:8" x14ac:dyDescent="0.15">
      <c r="A2690" s="196" t="s">
        <v>11229</v>
      </c>
      <c r="B2690" s="196" t="s">
        <v>11230</v>
      </c>
      <c r="C2690" s="196" t="s">
        <v>17756</v>
      </c>
      <c r="D2690" s="196" t="s">
        <v>17757</v>
      </c>
      <c r="E2690" s="196" t="s">
        <v>17757</v>
      </c>
      <c r="F2690" s="196" t="s">
        <v>11233</v>
      </c>
      <c r="G2690" s="196" t="s">
        <v>12378</v>
      </c>
      <c r="H2690" s="196" t="s">
        <v>11235</v>
      </c>
    </row>
    <row r="2691" spans="1:8" x14ac:dyDescent="0.15">
      <c r="A2691" s="196" t="s">
        <v>11229</v>
      </c>
      <c r="B2691" s="196" t="s">
        <v>11230</v>
      </c>
      <c r="C2691" s="196" t="s">
        <v>17758</v>
      </c>
      <c r="D2691" s="196" t="s">
        <v>17759</v>
      </c>
      <c r="E2691" s="196" t="s">
        <v>17759</v>
      </c>
      <c r="F2691" s="196" t="s">
        <v>11233</v>
      </c>
      <c r="G2691" s="196" t="s">
        <v>12378</v>
      </c>
      <c r="H2691" s="196" t="s">
        <v>11235</v>
      </c>
    </row>
    <row r="2692" spans="1:8" x14ac:dyDescent="0.15">
      <c r="A2692" s="196" t="s">
        <v>11229</v>
      </c>
      <c r="B2692" s="196" t="s">
        <v>11230</v>
      </c>
      <c r="C2692" s="196" t="s">
        <v>17760</v>
      </c>
      <c r="D2692" s="196" t="s">
        <v>17761</v>
      </c>
      <c r="E2692" s="196" t="s">
        <v>17761</v>
      </c>
      <c r="F2692" s="196" t="s">
        <v>11233</v>
      </c>
      <c r="G2692" s="196" t="s">
        <v>12378</v>
      </c>
      <c r="H2692" s="196" t="s">
        <v>11235</v>
      </c>
    </row>
    <row r="2693" spans="1:8" x14ac:dyDescent="0.15">
      <c r="A2693" s="196" t="s">
        <v>11229</v>
      </c>
      <c r="B2693" s="196" t="s">
        <v>11230</v>
      </c>
      <c r="C2693" s="196" t="s">
        <v>17762</v>
      </c>
      <c r="D2693" s="196" t="s">
        <v>17763</v>
      </c>
      <c r="E2693" s="196" t="s">
        <v>17763</v>
      </c>
      <c r="F2693" s="196" t="s">
        <v>11233</v>
      </c>
      <c r="G2693" s="196" t="s">
        <v>12378</v>
      </c>
      <c r="H2693" s="196" t="s">
        <v>11235</v>
      </c>
    </row>
    <row r="2694" spans="1:8" x14ac:dyDescent="0.15">
      <c r="A2694" s="196" t="s">
        <v>11229</v>
      </c>
      <c r="B2694" s="196" t="s">
        <v>11230</v>
      </c>
      <c r="C2694" s="196" t="s">
        <v>17764</v>
      </c>
      <c r="D2694" s="196" t="s">
        <v>17765</v>
      </c>
      <c r="E2694" s="196" t="s">
        <v>17765</v>
      </c>
      <c r="F2694" s="196" t="s">
        <v>11233</v>
      </c>
      <c r="G2694" s="196" t="s">
        <v>12378</v>
      </c>
      <c r="H2694" s="196" t="s">
        <v>11235</v>
      </c>
    </row>
    <row r="2695" spans="1:8" x14ac:dyDescent="0.15">
      <c r="A2695" s="196" t="s">
        <v>11229</v>
      </c>
      <c r="B2695" s="196" t="s">
        <v>11230</v>
      </c>
      <c r="C2695" s="196" t="s">
        <v>17766</v>
      </c>
      <c r="D2695" s="196" t="s">
        <v>17767</v>
      </c>
      <c r="E2695" s="196" t="s">
        <v>17767</v>
      </c>
      <c r="F2695" s="196" t="s">
        <v>11233</v>
      </c>
      <c r="G2695" s="196" t="s">
        <v>12378</v>
      </c>
      <c r="H2695" s="196" t="s">
        <v>11235</v>
      </c>
    </row>
    <row r="2696" spans="1:8" x14ac:dyDescent="0.15">
      <c r="A2696" s="196" t="s">
        <v>11229</v>
      </c>
      <c r="B2696" s="196" t="s">
        <v>11230</v>
      </c>
      <c r="C2696" s="196" t="s">
        <v>17768</v>
      </c>
      <c r="D2696" s="196" t="s">
        <v>17769</v>
      </c>
      <c r="E2696" s="196" t="s">
        <v>17769</v>
      </c>
      <c r="F2696" s="196" t="s">
        <v>11233</v>
      </c>
      <c r="G2696" s="196" t="s">
        <v>12378</v>
      </c>
      <c r="H2696" s="196" t="s">
        <v>11235</v>
      </c>
    </row>
    <row r="2697" spans="1:8" x14ac:dyDescent="0.15">
      <c r="A2697" s="196" t="s">
        <v>11229</v>
      </c>
      <c r="B2697" s="196" t="s">
        <v>11230</v>
      </c>
      <c r="C2697" s="196" t="s">
        <v>17770</v>
      </c>
      <c r="D2697" s="196" t="s">
        <v>17771</v>
      </c>
      <c r="E2697" s="196" t="s">
        <v>17771</v>
      </c>
      <c r="F2697" s="196" t="s">
        <v>11233</v>
      </c>
      <c r="G2697" s="196" t="s">
        <v>12378</v>
      </c>
      <c r="H2697" s="196" t="s">
        <v>11235</v>
      </c>
    </row>
    <row r="2698" spans="1:8" x14ac:dyDescent="0.15">
      <c r="A2698" s="196" t="s">
        <v>11229</v>
      </c>
      <c r="B2698" s="196" t="s">
        <v>11230</v>
      </c>
      <c r="C2698" s="196" t="s">
        <v>17772</v>
      </c>
      <c r="D2698" s="196" t="s">
        <v>17773</v>
      </c>
      <c r="E2698" s="196" t="s">
        <v>17773</v>
      </c>
      <c r="F2698" s="196" t="s">
        <v>11233</v>
      </c>
      <c r="G2698" s="196" t="s">
        <v>12378</v>
      </c>
      <c r="H2698" s="196" t="s">
        <v>11235</v>
      </c>
    </row>
    <row r="2699" spans="1:8" x14ac:dyDescent="0.15">
      <c r="A2699" s="196" t="s">
        <v>11229</v>
      </c>
      <c r="B2699" s="196" t="s">
        <v>11230</v>
      </c>
      <c r="C2699" s="196" t="s">
        <v>17774</v>
      </c>
      <c r="D2699" s="196" t="s">
        <v>17775</v>
      </c>
      <c r="E2699" s="196" t="s">
        <v>17775</v>
      </c>
      <c r="F2699" s="196" t="s">
        <v>11233</v>
      </c>
      <c r="G2699" s="196" t="s">
        <v>12378</v>
      </c>
      <c r="H2699" s="196" t="s">
        <v>11235</v>
      </c>
    </row>
    <row r="2700" spans="1:8" x14ac:dyDescent="0.15">
      <c r="A2700" s="196" t="s">
        <v>11229</v>
      </c>
      <c r="B2700" s="196" t="s">
        <v>11230</v>
      </c>
      <c r="C2700" s="196" t="s">
        <v>17776</v>
      </c>
      <c r="D2700" s="196" t="s">
        <v>17777</v>
      </c>
      <c r="E2700" s="196" t="s">
        <v>17777</v>
      </c>
      <c r="F2700" s="196" t="s">
        <v>11233</v>
      </c>
      <c r="G2700" s="196" t="s">
        <v>12378</v>
      </c>
      <c r="H2700" s="196" t="s">
        <v>11235</v>
      </c>
    </row>
    <row r="2701" spans="1:8" x14ac:dyDescent="0.15">
      <c r="A2701" s="196" t="s">
        <v>11229</v>
      </c>
      <c r="B2701" s="196" t="s">
        <v>11230</v>
      </c>
      <c r="C2701" s="196" t="s">
        <v>17778</v>
      </c>
      <c r="D2701" s="196" t="s">
        <v>17779</v>
      </c>
      <c r="E2701" s="196" t="s">
        <v>17780</v>
      </c>
      <c r="F2701" s="196" t="s">
        <v>11241</v>
      </c>
      <c r="G2701" s="196" t="s">
        <v>12378</v>
      </c>
      <c r="H2701" s="196" t="s">
        <v>11235</v>
      </c>
    </row>
    <row r="2702" spans="1:8" x14ac:dyDescent="0.15">
      <c r="A2702" s="196" t="s">
        <v>11229</v>
      </c>
      <c r="B2702" s="196" t="s">
        <v>11230</v>
      </c>
      <c r="C2702" s="196" t="s">
        <v>17781</v>
      </c>
      <c r="D2702" s="196" t="s">
        <v>17782</v>
      </c>
      <c r="E2702" s="196" t="s">
        <v>17783</v>
      </c>
      <c r="F2702" s="196" t="s">
        <v>11241</v>
      </c>
      <c r="G2702" s="196" t="s">
        <v>12378</v>
      </c>
      <c r="H2702" s="196" t="s">
        <v>11235</v>
      </c>
    </row>
    <row r="2703" spans="1:8" x14ac:dyDescent="0.15">
      <c r="A2703" s="196" t="s">
        <v>11229</v>
      </c>
      <c r="B2703" s="196" t="s">
        <v>11230</v>
      </c>
      <c r="C2703" s="196" t="s">
        <v>17784</v>
      </c>
      <c r="D2703" s="196" t="s">
        <v>17785</v>
      </c>
      <c r="E2703" s="196" t="s">
        <v>17785</v>
      </c>
      <c r="F2703" s="196" t="s">
        <v>11233</v>
      </c>
      <c r="G2703" s="196" t="s">
        <v>12378</v>
      </c>
      <c r="H2703" s="196" t="s">
        <v>11235</v>
      </c>
    </row>
    <row r="2704" spans="1:8" x14ac:dyDescent="0.15">
      <c r="A2704" s="196" t="s">
        <v>11229</v>
      </c>
      <c r="B2704" s="196" t="s">
        <v>11230</v>
      </c>
      <c r="C2704" s="196" t="s">
        <v>17786</v>
      </c>
      <c r="D2704" s="196" t="s">
        <v>17787</v>
      </c>
      <c r="E2704" s="196" t="s">
        <v>17787</v>
      </c>
      <c r="F2704" s="196" t="s">
        <v>11233</v>
      </c>
      <c r="G2704" s="196" t="s">
        <v>12378</v>
      </c>
      <c r="H2704" s="196" t="s">
        <v>11235</v>
      </c>
    </row>
    <row r="2705" spans="1:8" x14ac:dyDescent="0.15">
      <c r="A2705" s="196" t="s">
        <v>11229</v>
      </c>
      <c r="B2705" s="196" t="s">
        <v>11230</v>
      </c>
      <c r="C2705" s="196" t="s">
        <v>17788</v>
      </c>
      <c r="D2705" s="196" t="s">
        <v>17789</v>
      </c>
      <c r="E2705" s="196" t="s">
        <v>17789</v>
      </c>
      <c r="F2705" s="196" t="s">
        <v>11233</v>
      </c>
      <c r="G2705" s="196" t="s">
        <v>12378</v>
      </c>
      <c r="H2705" s="196" t="s">
        <v>11235</v>
      </c>
    </row>
    <row r="2706" spans="1:8" x14ac:dyDescent="0.15">
      <c r="A2706" s="196" t="s">
        <v>11229</v>
      </c>
      <c r="B2706" s="196" t="s">
        <v>11230</v>
      </c>
      <c r="C2706" s="196" t="s">
        <v>17790</v>
      </c>
      <c r="D2706" s="196" t="s">
        <v>17791</v>
      </c>
      <c r="E2706" s="196" t="s">
        <v>17791</v>
      </c>
      <c r="F2706" s="196" t="s">
        <v>11233</v>
      </c>
      <c r="G2706" s="196" t="s">
        <v>12378</v>
      </c>
      <c r="H2706" s="196" t="s">
        <v>11235</v>
      </c>
    </row>
    <row r="2707" spans="1:8" x14ac:dyDescent="0.15">
      <c r="A2707" s="196" t="s">
        <v>11229</v>
      </c>
      <c r="B2707" s="196" t="s">
        <v>11230</v>
      </c>
      <c r="C2707" s="196" t="s">
        <v>17792</v>
      </c>
      <c r="D2707" s="196" t="s">
        <v>17793</v>
      </c>
      <c r="E2707" s="196" t="s">
        <v>17793</v>
      </c>
      <c r="F2707" s="196" t="s">
        <v>11233</v>
      </c>
      <c r="G2707" s="196" t="s">
        <v>12378</v>
      </c>
      <c r="H2707" s="196" t="s">
        <v>11235</v>
      </c>
    </row>
    <row r="2708" spans="1:8" x14ac:dyDescent="0.15">
      <c r="A2708" s="196" t="s">
        <v>11229</v>
      </c>
      <c r="B2708" s="196" t="s">
        <v>11230</v>
      </c>
      <c r="C2708" s="196" t="s">
        <v>17794</v>
      </c>
      <c r="D2708" s="196" t="s">
        <v>17795</v>
      </c>
      <c r="E2708" s="196" t="s">
        <v>17795</v>
      </c>
      <c r="F2708" s="196" t="s">
        <v>11233</v>
      </c>
      <c r="G2708" s="196" t="s">
        <v>12378</v>
      </c>
      <c r="H2708" s="196" t="s">
        <v>11235</v>
      </c>
    </row>
    <row r="2709" spans="1:8" x14ac:dyDescent="0.15">
      <c r="A2709" s="196" t="s">
        <v>11229</v>
      </c>
      <c r="B2709" s="196" t="s">
        <v>11230</v>
      </c>
      <c r="C2709" s="196" t="s">
        <v>17796</v>
      </c>
      <c r="D2709" s="196" t="s">
        <v>17797</v>
      </c>
      <c r="E2709" s="196" t="s">
        <v>17797</v>
      </c>
      <c r="F2709" s="196" t="s">
        <v>11233</v>
      </c>
      <c r="G2709" s="196" t="s">
        <v>12378</v>
      </c>
      <c r="H2709" s="196" t="s">
        <v>11235</v>
      </c>
    </row>
    <row r="2710" spans="1:8" x14ac:dyDescent="0.15">
      <c r="A2710" s="196" t="s">
        <v>11229</v>
      </c>
      <c r="B2710" s="196" t="s">
        <v>11230</v>
      </c>
      <c r="C2710" s="196" t="s">
        <v>17798</v>
      </c>
      <c r="D2710" s="196" t="s">
        <v>17799</v>
      </c>
      <c r="E2710" s="196" t="s">
        <v>17800</v>
      </c>
      <c r="F2710" s="196" t="s">
        <v>11241</v>
      </c>
      <c r="G2710" s="196" t="s">
        <v>12378</v>
      </c>
      <c r="H2710" s="196" t="s">
        <v>11235</v>
      </c>
    </row>
    <row r="2711" spans="1:8" x14ac:dyDescent="0.15">
      <c r="A2711" s="196" t="s">
        <v>11229</v>
      </c>
      <c r="B2711" s="196" t="s">
        <v>11230</v>
      </c>
      <c r="C2711" s="196" t="s">
        <v>17801</v>
      </c>
      <c r="D2711" s="196" t="s">
        <v>17802</v>
      </c>
      <c r="E2711" s="196" t="s">
        <v>17802</v>
      </c>
      <c r="F2711" s="196" t="s">
        <v>11233</v>
      </c>
      <c r="G2711" s="196" t="s">
        <v>12378</v>
      </c>
      <c r="H2711" s="196" t="s">
        <v>11235</v>
      </c>
    </row>
    <row r="2712" spans="1:8" x14ac:dyDescent="0.15">
      <c r="A2712" s="196" t="s">
        <v>11229</v>
      </c>
      <c r="B2712" s="196" t="s">
        <v>11230</v>
      </c>
      <c r="C2712" s="196" t="s">
        <v>17803</v>
      </c>
      <c r="D2712" s="196" t="s">
        <v>17804</v>
      </c>
      <c r="E2712" s="196" t="s">
        <v>17805</v>
      </c>
      <c r="F2712" s="196" t="s">
        <v>11268</v>
      </c>
      <c r="G2712" s="196" t="s">
        <v>12378</v>
      </c>
      <c r="H2712" s="196" t="s">
        <v>11235</v>
      </c>
    </row>
    <row r="2713" spans="1:8" x14ac:dyDescent="0.15">
      <c r="A2713" s="196" t="s">
        <v>11229</v>
      </c>
      <c r="B2713" s="196" t="s">
        <v>11230</v>
      </c>
      <c r="C2713" s="196" t="s">
        <v>17806</v>
      </c>
      <c r="D2713" s="196" t="s">
        <v>17807</v>
      </c>
      <c r="E2713" s="196" t="s">
        <v>17807</v>
      </c>
      <c r="F2713" s="196" t="s">
        <v>11233</v>
      </c>
      <c r="G2713" s="196" t="s">
        <v>12378</v>
      </c>
      <c r="H2713" s="196" t="s">
        <v>11235</v>
      </c>
    </row>
    <row r="2714" spans="1:8" x14ac:dyDescent="0.15">
      <c r="A2714" s="196" t="s">
        <v>11229</v>
      </c>
      <c r="B2714" s="196" t="s">
        <v>11230</v>
      </c>
      <c r="C2714" s="196" t="s">
        <v>17808</v>
      </c>
      <c r="D2714" s="196" t="s">
        <v>17809</v>
      </c>
      <c r="E2714" s="196" t="s">
        <v>17810</v>
      </c>
      <c r="F2714" s="196" t="s">
        <v>11241</v>
      </c>
      <c r="G2714" s="196" t="s">
        <v>12378</v>
      </c>
      <c r="H2714" s="196" t="s">
        <v>11235</v>
      </c>
    </row>
    <row r="2715" spans="1:8" x14ac:dyDescent="0.15">
      <c r="A2715" s="196" t="s">
        <v>11229</v>
      </c>
      <c r="B2715" s="196" t="s">
        <v>11230</v>
      </c>
      <c r="C2715" s="196" t="s">
        <v>17811</v>
      </c>
      <c r="D2715" s="196" t="s">
        <v>17812</v>
      </c>
      <c r="E2715" s="196" t="s">
        <v>17813</v>
      </c>
      <c r="F2715" s="196" t="s">
        <v>11241</v>
      </c>
      <c r="G2715" s="196" t="s">
        <v>12378</v>
      </c>
      <c r="H2715" s="196" t="s">
        <v>11235</v>
      </c>
    </row>
    <row r="2716" spans="1:8" x14ac:dyDescent="0.15">
      <c r="A2716" s="196" t="s">
        <v>11229</v>
      </c>
      <c r="B2716" s="196" t="s">
        <v>11230</v>
      </c>
      <c r="C2716" s="196" t="s">
        <v>17814</v>
      </c>
      <c r="D2716" s="196" t="s">
        <v>17815</v>
      </c>
      <c r="E2716" s="196" t="s">
        <v>17815</v>
      </c>
      <c r="F2716" s="196" t="s">
        <v>11233</v>
      </c>
      <c r="G2716" s="196" t="s">
        <v>12378</v>
      </c>
      <c r="H2716" s="196" t="s">
        <v>11235</v>
      </c>
    </row>
    <row r="2717" spans="1:8" x14ac:dyDescent="0.15">
      <c r="A2717" s="196" t="s">
        <v>11229</v>
      </c>
      <c r="B2717" s="196" t="s">
        <v>11230</v>
      </c>
      <c r="C2717" s="196" t="s">
        <v>17816</v>
      </c>
      <c r="D2717" s="196" t="s">
        <v>17817</v>
      </c>
      <c r="E2717" s="196" t="s">
        <v>17817</v>
      </c>
      <c r="F2717" s="196" t="s">
        <v>11233</v>
      </c>
      <c r="G2717" s="196" t="s">
        <v>12378</v>
      </c>
      <c r="H2717" s="196" t="s">
        <v>11235</v>
      </c>
    </row>
    <row r="2718" spans="1:8" x14ac:dyDescent="0.15">
      <c r="A2718" s="196" t="s">
        <v>11229</v>
      </c>
      <c r="B2718" s="196" t="s">
        <v>11230</v>
      </c>
      <c r="C2718" s="196" t="s">
        <v>17818</v>
      </c>
      <c r="D2718" s="196" t="s">
        <v>17819</v>
      </c>
      <c r="E2718" s="196" t="s">
        <v>17819</v>
      </c>
      <c r="F2718" s="196" t="s">
        <v>11233</v>
      </c>
      <c r="G2718" s="196" t="s">
        <v>12378</v>
      </c>
      <c r="H2718" s="196" t="s">
        <v>11235</v>
      </c>
    </row>
    <row r="2719" spans="1:8" x14ac:dyDescent="0.15">
      <c r="A2719" s="196" t="s">
        <v>11229</v>
      </c>
      <c r="B2719" s="196" t="s">
        <v>11230</v>
      </c>
      <c r="C2719" s="196" t="s">
        <v>17820</v>
      </c>
      <c r="D2719" s="196" t="s">
        <v>17821</v>
      </c>
      <c r="E2719" s="196" t="s">
        <v>17821</v>
      </c>
      <c r="F2719" s="196" t="s">
        <v>11233</v>
      </c>
      <c r="G2719" s="196" t="s">
        <v>12378</v>
      </c>
      <c r="H2719" s="196" t="s">
        <v>11235</v>
      </c>
    </row>
    <row r="2720" spans="1:8" x14ac:dyDescent="0.15">
      <c r="A2720" s="196" t="s">
        <v>11229</v>
      </c>
      <c r="B2720" s="196" t="s">
        <v>11230</v>
      </c>
      <c r="C2720" s="196" t="s">
        <v>17822</v>
      </c>
      <c r="D2720" s="196" t="s">
        <v>17823</v>
      </c>
      <c r="E2720" s="196" t="s">
        <v>17823</v>
      </c>
      <c r="F2720" s="196" t="s">
        <v>11233</v>
      </c>
      <c r="G2720" s="196" t="s">
        <v>12378</v>
      </c>
      <c r="H2720" s="196" t="s">
        <v>11235</v>
      </c>
    </row>
    <row r="2721" spans="1:8" x14ac:dyDescent="0.15">
      <c r="A2721" s="196" t="s">
        <v>11229</v>
      </c>
      <c r="B2721" s="196" t="s">
        <v>11230</v>
      </c>
      <c r="C2721" s="196" t="s">
        <v>17824</v>
      </c>
      <c r="D2721" s="196" t="s">
        <v>17825</v>
      </c>
      <c r="E2721" s="196" t="s">
        <v>17825</v>
      </c>
      <c r="F2721" s="196" t="s">
        <v>11233</v>
      </c>
      <c r="G2721" s="196" t="s">
        <v>12378</v>
      </c>
      <c r="H2721" s="196" t="s">
        <v>11235</v>
      </c>
    </row>
    <row r="2722" spans="1:8" x14ac:dyDescent="0.15">
      <c r="A2722" s="196" t="s">
        <v>11229</v>
      </c>
      <c r="B2722" s="196" t="s">
        <v>11230</v>
      </c>
      <c r="C2722" s="196" t="s">
        <v>17826</v>
      </c>
      <c r="D2722" s="196" t="s">
        <v>17827</v>
      </c>
      <c r="E2722" s="196" t="s">
        <v>17827</v>
      </c>
      <c r="F2722" s="196" t="s">
        <v>11233</v>
      </c>
      <c r="G2722" s="196" t="s">
        <v>12378</v>
      </c>
      <c r="H2722" s="196" t="s">
        <v>11235</v>
      </c>
    </row>
    <row r="2723" spans="1:8" x14ac:dyDescent="0.15">
      <c r="A2723" s="196" t="s">
        <v>11229</v>
      </c>
      <c r="B2723" s="196" t="s">
        <v>11230</v>
      </c>
      <c r="C2723" s="196" t="s">
        <v>17828</v>
      </c>
      <c r="D2723" s="196" t="s">
        <v>17829</v>
      </c>
      <c r="E2723" s="196" t="s">
        <v>17829</v>
      </c>
      <c r="F2723" s="196" t="s">
        <v>11233</v>
      </c>
      <c r="G2723" s="196" t="s">
        <v>12378</v>
      </c>
      <c r="H2723" s="196" t="s">
        <v>11235</v>
      </c>
    </row>
    <row r="2724" spans="1:8" x14ac:dyDescent="0.15">
      <c r="A2724" s="196" t="s">
        <v>11229</v>
      </c>
      <c r="B2724" s="196" t="s">
        <v>11230</v>
      </c>
      <c r="C2724" s="196" t="s">
        <v>17830</v>
      </c>
      <c r="D2724" s="196" t="s">
        <v>17831</v>
      </c>
      <c r="E2724" s="196" t="s">
        <v>17831</v>
      </c>
      <c r="F2724" s="196" t="s">
        <v>11233</v>
      </c>
      <c r="G2724" s="196" t="s">
        <v>12378</v>
      </c>
      <c r="H2724" s="196" t="s">
        <v>11235</v>
      </c>
    </row>
    <row r="2725" spans="1:8" x14ac:dyDescent="0.15">
      <c r="A2725" s="196" t="s">
        <v>11229</v>
      </c>
      <c r="B2725" s="196" t="s">
        <v>11230</v>
      </c>
      <c r="C2725" s="196" t="s">
        <v>17832</v>
      </c>
      <c r="D2725" s="196" t="s">
        <v>17833</v>
      </c>
      <c r="E2725" s="196" t="s">
        <v>17834</v>
      </c>
      <c r="F2725" s="196" t="s">
        <v>17835</v>
      </c>
      <c r="G2725" s="196" t="s">
        <v>12378</v>
      </c>
      <c r="H2725" s="196" t="s">
        <v>11235</v>
      </c>
    </row>
    <row r="2726" spans="1:8" x14ac:dyDescent="0.15">
      <c r="A2726" s="196" t="s">
        <v>11229</v>
      </c>
      <c r="B2726" s="196" t="s">
        <v>11230</v>
      </c>
      <c r="C2726" s="196" t="s">
        <v>17836</v>
      </c>
      <c r="D2726" s="196" t="s">
        <v>17837</v>
      </c>
      <c r="E2726" s="196" t="s">
        <v>17838</v>
      </c>
      <c r="F2726" s="196" t="s">
        <v>11241</v>
      </c>
      <c r="G2726" s="196" t="s">
        <v>12378</v>
      </c>
      <c r="H2726" s="196" t="s">
        <v>11235</v>
      </c>
    </row>
    <row r="2727" spans="1:8" x14ac:dyDescent="0.15">
      <c r="A2727" s="196" t="s">
        <v>11229</v>
      </c>
      <c r="B2727" s="196" t="s">
        <v>11230</v>
      </c>
      <c r="C2727" s="196" t="s">
        <v>17839</v>
      </c>
      <c r="D2727" s="196" t="s">
        <v>17840</v>
      </c>
      <c r="E2727" s="196" t="s">
        <v>17840</v>
      </c>
      <c r="F2727" s="196" t="s">
        <v>11233</v>
      </c>
      <c r="G2727" s="196" t="s">
        <v>12378</v>
      </c>
      <c r="H2727" s="196" t="s">
        <v>11235</v>
      </c>
    </row>
    <row r="2728" spans="1:8" x14ac:dyDescent="0.15">
      <c r="A2728" s="196" t="s">
        <v>11229</v>
      </c>
      <c r="B2728" s="196" t="s">
        <v>11230</v>
      </c>
      <c r="C2728" s="196" t="s">
        <v>17841</v>
      </c>
      <c r="D2728" s="196" t="s">
        <v>17842</v>
      </c>
      <c r="E2728" s="196" t="s">
        <v>17842</v>
      </c>
      <c r="F2728" s="196" t="s">
        <v>11233</v>
      </c>
      <c r="G2728" s="196" t="s">
        <v>12378</v>
      </c>
      <c r="H2728" s="196" t="s">
        <v>11235</v>
      </c>
    </row>
    <row r="2729" spans="1:8" x14ac:dyDescent="0.15">
      <c r="A2729" s="196" t="s">
        <v>11229</v>
      </c>
      <c r="B2729" s="196" t="s">
        <v>11230</v>
      </c>
      <c r="C2729" s="196" t="s">
        <v>17843</v>
      </c>
      <c r="D2729" s="196" t="s">
        <v>17844</v>
      </c>
      <c r="E2729" s="196" t="s">
        <v>17844</v>
      </c>
      <c r="F2729" s="196" t="s">
        <v>11233</v>
      </c>
      <c r="G2729" s="196" t="s">
        <v>12378</v>
      </c>
      <c r="H2729" s="196" t="s">
        <v>11235</v>
      </c>
    </row>
    <row r="2730" spans="1:8" x14ac:dyDescent="0.15">
      <c r="A2730" s="196" t="s">
        <v>11229</v>
      </c>
      <c r="B2730" s="196" t="s">
        <v>11230</v>
      </c>
      <c r="C2730" s="196" t="s">
        <v>17845</v>
      </c>
      <c r="D2730" s="196" t="s">
        <v>17846</v>
      </c>
      <c r="E2730" s="196" t="s">
        <v>17846</v>
      </c>
      <c r="F2730" s="196" t="s">
        <v>11233</v>
      </c>
      <c r="G2730" s="196" t="s">
        <v>12378</v>
      </c>
      <c r="H2730" s="196" t="s">
        <v>11235</v>
      </c>
    </row>
    <row r="2731" spans="1:8" x14ac:dyDescent="0.15">
      <c r="A2731" s="196" t="s">
        <v>11229</v>
      </c>
      <c r="B2731" s="196" t="s">
        <v>11230</v>
      </c>
      <c r="C2731" s="196" t="s">
        <v>17847</v>
      </c>
      <c r="D2731" s="196" t="s">
        <v>17848</v>
      </c>
      <c r="E2731" s="196" t="s">
        <v>17848</v>
      </c>
      <c r="F2731" s="196" t="s">
        <v>11233</v>
      </c>
      <c r="G2731" s="196" t="s">
        <v>12378</v>
      </c>
      <c r="H2731" s="196" t="s">
        <v>11235</v>
      </c>
    </row>
    <row r="2732" spans="1:8" x14ac:dyDescent="0.15">
      <c r="A2732" s="196" t="s">
        <v>11229</v>
      </c>
      <c r="B2732" s="196" t="s">
        <v>11230</v>
      </c>
      <c r="C2732" s="196" t="s">
        <v>17849</v>
      </c>
      <c r="D2732" s="196" t="s">
        <v>17850</v>
      </c>
      <c r="E2732" s="196" t="s">
        <v>17850</v>
      </c>
      <c r="F2732" s="196" t="s">
        <v>11233</v>
      </c>
      <c r="G2732" s="196" t="s">
        <v>12378</v>
      </c>
      <c r="H2732" s="196" t="s">
        <v>11235</v>
      </c>
    </row>
    <row r="2733" spans="1:8" x14ac:dyDescent="0.15">
      <c r="A2733" s="196" t="s">
        <v>11229</v>
      </c>
      <c r="B2733" s="196" t="s">
        <v>11230</v>
      </c>
      <c r="C2733" s="196" t="s">
        <v>17851</v>
      </c>
      <c r="D2733" s="196" t="s">
        <v>17852</v>
      </c>
      <c r="E2733" s="196" t="s">
        <v>17852</v>
      </c>
      <c r="F2733" s="196" t="s">
        <v>11233</v>
      </c>
      <c r="G2733" s="196" t="s">
        <v>12378</v>
      </c>
      <c r="H2733" s="196" t="s">
        <v>11235</v>
      </c>
    </row>
    <row r="2734" spans="1:8" x14ac:dyDescent="0.15">
      <c r="A2734" s="196" t="s">
        <v>11229</v>
      </c>
      <c r="B2734" s="196" t="s">
        <v>11230</v>
      </c>
      <c r="C2734" s="196" t="s">
        <v>17853</v>
      </c>
      <c r="D2734" s="196" t="s">
        <v>17854</v>
      </c>
      <c r="E2734" s="196" t="s">
        <v>17854</v>
      </c>
      <c r="F2734" s="196" t="s">
        <v>11233</v>
      </c>
      <c r="G2734" s="196" t="s">
        <v>12378</v>
      </c>
      <c r="H2734" s="196" t="s">
        <v>11235</v>
      </c>
    </row>
    <row r="2735" spans="1:8" x14ac:dyDescent="0.15">
      <c r="A2735" s="196" t="s">
        <v>11229</v>
      </c>
      <c r="B2735" s="196" t="s">
        <v>11230</v>
      </c>
      <c r="C2735" s="196" t="s">
        <v>17855</v>
      </c>
      <c r="D2735" s="196" t="s">
        <v>17856</v>
      </c>
      <c r="E2735" s="196" t="s">
        <v>17856</v>
      </c>
      <c r="F2735" s="196" t="s">
        <v>11233</v>
      </c>
      <c r="G2735" s="196" t="s">
        <v>12378</v>
      </c>
      <c r="H2735" s="196" t="s">
        <v>11235</v>
      </c>
    </row>
    <row r="2736" spans="1:8" x14ac:dyDescent="0.15">
      <c r="A2736" s="196" t="s">
        <v>11229</v>
      </c>
      <c r="B2736" s="196" t="s">
        <v>11230</v>
      </c>
      <c r="C2736" s="196" t="s">
        <v>17857</v>
      </c>
      <c r="D2736" s="196" t="s">
        <v>17858</v>
      </c>
      <c r="E2736" s="196" t="s">
        <v>17858</v>
      </c>
      <c r="F2736" s="196" t="s">
        <v>11233</v>
      </c>
      <c r="G2736" s="196" t="s">
        <v>12378</v>
      </c>
      <c r="H2736" s="196" t="s">
        <v>11235</v>
      </c>
    </row>
    <row r="2737" spans="1:8" x14ac:dyDescent="0.15">
      <c r="A2737" s="196" t="s">
        <v>11229</v>
      </c>
      <c r="B2737" s="196" t="s">
        <v>11230</v>
      </c>
      <c r="C2737" s="196" t="s">
        <v>17859</v>
      </c>
      <c r="D2737" s="196" t="s">
        <v>17860</v>
      </c>
      <c r="E2737" s="196" t="s">
        <v>17860</v>
      </c>
      <c r="F2737" s="196" t="s">
        <v>11233</v>
      </c>
      <c r="G2737" s="196" t="s">
        <v>12378</v>
      </c>
      <c r="H2737" s="196" t="s">
        <v>11235</v>
      </c>
    </row>
    <row r="2738" spans="1:8" x14ac:dyDescent="0.15">
      <c r="A2738" s="196" t="s">
        <v>11229</v>
      </c>
      <c r="B2738" s="196" t="s">
        <v>11230</v>
      </c>
      <c r="C2738" s="196" t="s">
        <v>17861</v>
      </c>
      <c r="D2738" s="196" t="s">
        <v>17862</v>
      </c>
      <c r="E2738" s="196" t="s">
        <v>17862</v>
      </c>
      <c r="F2738" s="196" t="s">
        <v>11233</v>
      </c>
      <c r="G2738" s="196" t="s">
        <v>12378</v>
      </c>
      <c r="H2738" s="196" t="s">
        <v>11235</v>
      </c>
    </row>
    <row r="2739" spans="1:8" x14ac:dyDescent="0.15">
      <c r="A2739" s="196" t="s">
        <v>11229</v>
      </c>
      <c r="B2739" s="196" t="s">
        <v>11230</v>
      </c>
      <c r="C2739" s="196" t="s">
        <v>17863</v>
      </c>
      <c r="D2739" s="196" t="s">
        <v>17864</v>
      </c>
      <c r="E2739" s="196" t="s">
        <v>17864</v>
      </c>
      <c r="F2739" s="196" t="s">
        <v>11233</v>
      </c>
      <c r="G2739" s="196" t="s">
        <v>12378</v>
      </c>
      <c r="H2739" s="196" t="s">
        <v>11235</v>
      </c>
    </row>
    <row r="2740" spans="1:8" x14ac:dyDescent="0.15">
      <c r="A2740" s="196" t="s">
        <v>11229</v>
      </c>
      <c r="B2740" s="196" t="s">
        <v>11230</v>
      </c>
      <c r="C2740" s="196" t="s">
        <v>17865</v>
      </c>
      <c r="D2740" s="196" t="s">
        <v>17866</v>
      </c>
      <c r="E2740" s="196" t="s">
        <v>17866</v>
      </c>
      <c r="F2740" s="196" t="s">
        <v>11233</v>
      </c>
      <c r="G2740" s="196" t="s">
        <v>12378</v>
      </c>
      <c r="H2740" s="196" t="s">
        <v>11235</v>
      </c>
    </row>
    <row r="2741" spans="1:8" x14ac:dyDescent="0.15">
      <c r="A2741" s="196" t="s">
        <v>11229</v>
      </c>
      <c r="B2741" s="196" t="s">
        <v>11230</v>
      </c>
      <c r="C2741" s="196" t="s">
        <v>17867</v>
      </c>
      <c r="D2741" s="196" t="s">
        <v>17868</v>
      </c>
      <c r="E2741" s="196" t="s">
        <v>17868</v>
      </c>
      <c r="F2741" s="196" t="s">
        <v>11233</v>
      </c>
      <c r="G2741" s="196" t="s">
        <v>12378</v>
      </c>
      <c r="H2741" s="196" t="s">
        <v>11235</v>
      </c>
    </row>
    <row r="2742" spans="1:8" x14ac:dyDescent="0.15">
      <c r="A2742" s="196" t="s">
        <v>11229</v>
      </c>
      <c r="B2742" s="196" t="s">
        <v>11230</v>
      </c>
      <c r="C2742" s="196" t="s">
        <v>17869</v>
      </c>
      <c r="D2742" s="196" t="s">
        <v>17870</v>
      </c>
      <c r="E2742" s="196" t="s">
        <v>17870</v>
      </c>
      <c r="F2742" s="196" t="s">
        <v>11233</v>
      </c>
      <c r="G2742" s="196" t="s">
        <v>12378</v>
      </c>
      <c r="H2742" s="196" t="s">
        <v>11235</v>
      </c>
    </row>
    <row r="2743" spans="1:8" x14ac:dyDescent="0.15">
      <c r="A2743" s="196" t="s">
        <v>11229</v>
      </c>
      <c r="B2743" s="196" t="s">
        <v>11230</v>
      </c>
      <c r="C2743" s="196" t="s">
        <v>17871</v>
      </c>
      <c r="D2743" s="196" t="s">
        <v>17872</v>
      </c>
      <c r="E2743" s="196" t="s">
        <v>17872</v>
      </c>
      <c r="F2743" s="196" t="s">
        <v>11233</v>
      </c>
      <c r="G2743" s="196" t="s">
        <v>12378</v>
      </c>
      <c r="H2743" s="196" t="s">
        <v>11235</v>
      </c>
    </row>
    <row r="2744" spans="1:8" x14ac:dyDescent="0.15">
      <c r="A2744" s="196" t="s">
        <v>11229</v>
      </c>
      <c r="B2744" s="196" t="s">
        <v>11230</v>
      </c>
      <c r="C2744" s="196" t="s">
        <v>17873</v>
      </c>
      <c r="D2744" s="196" t="s">
        <v>17874</v>
      </c>
      <c r="E2744" s="196" t="s">
        <v>17874</v>
      </c>
      <c r="F2744" s="196" t="s">
        <v>11233</v>
      </c>
      <c r="G2744" s="196" t="s">
        <v>12378</v>
      </c>
      <c r="H2744" s="196" t="s">
        <v>11235</v>
      </c>
    </row>
    <row r="2745" spans="1:8" x14ac:dyDescent="0.15">
      <c r="A2745" s="196" t="s">
        <v>11229</v>
      </c>
      <c r="B2745" s="196" t="s">
        <v>11230</v>
      </c>
      <c r="C2745" s="196" t="s">
        <v>17875</v>
      </c>
      <c r="D2745" s="196" t="s">
        <v>17876</v>
      </c>
      <c r="E2745" s="196" t="s">
        <v>17876</v>
      </c>
      <c r="F2745" s="196" t="s">
        <v>11233</v>
      </c>
      <c r="G2745" s="196" t="s">
        <v>12378</v>
      </c>
      <c r="H2745" s="196" t="s">
        <v>11235</v>
      </c>
    </row>
    <row r="2746" spans="1:8" x14ac:dyDescent="0.15">
      <c r="A2746" s="196" t="s">
        <v>11229</v>
      </c>
      <c r="B2746" s="196" t="s">
        <v>11230</v>
      </c>
      <c r="C2746" s="196" t="s">
        <v>17877</v>
      </c>
      <c r="D2746" s="196" t="s">
        <v>17878</v>
      </c>
      <c r="E2746" s="196" t="s">
        <v>17878</v>
      </c>
      <c r="F2746" s="196" t="s">
        <v>11233</v>
      </c>
      <c r="G2746" s="196" t="s">
        <v>12378</v>
      </c>
      <c r="H2746" s="196" t="s">
        <v>11235</v>
      </c>
    </row>
    <row r="2747" spans="1:8" x14ac:dyDescent="0.15">
      <c r="A2747" s="196" t="s">
        <v>11229</v>
      </c>
      <c r="B2747" s="196" t="s">
        <v>11230</v>
      </c>
      <c r="C2747" s="196" t="s">
        <v>17879</v>
      </c>
      <c r="D2747" s="196" t="s">
        <v>17880</v>
      </c>
      <c r="E2747" s="196" t="s">
        <v>17880</v>
      </c>
      <c r="F2747" s="196" t="s">
        <v>11233</v>
      </c>
      <c r="G2747" s="196" t="s">
        <v>12378</v>
      </c>
      <c r="H2747" s="196" t="s">
        <v>11235</v>
      </c>
    </row>
    <row r="2748" spans="1:8" x14ac:dyDescent="0.15">
      <c r="A2748" s="196" t="s">
        <v>11229</v>
      </c>
      <c r="B2748" s="196" t="s">
        <v>11230</v>
      </c>
      <c r="C2748" s="196" t="s">
        <v>17881</v>
      </c>
      <c r="D2748" s="196" t="s">
        <v>17882</v>
      </c>
      <c r="E2748" s="196" t="s">
        <v>17882</v>
      </c>
      <c r="F2748" s="196" t="s">
        <v>11233</v>
      </c>
      <c r="G2748" s="196" t="s">
        <v>12378</v>
      </c>
      <c r="H2748" s="196" t="s">
        <v>11235</v>
      </c>
    </row>
    <row r="2749" spans="1:8" x14ac:dyDescent="0.15">
      <c r="A2749" s="196" t="s">
        <v>11229</v>
      </c>
      <c r="B2749" s="196" t="s">
        <v>11230</v>
      </c>
      <c r="C2749" s="196" t="s">
        <v>17883</v>
      </c>
      <c r="D2749" s="196" t="s">
        <v>17884</v>
      </c>
      <c r="E2749" s="196" t="s">
        <v>17884</v>
      </c>
      <c r="F2749" s="196" t="s">
        <v>11233</v>
      </c>
      <c r="G2749" s="196" t="s">
        <v>12378</v>
      </c>
      <c r="H2749" s="196" t="s">
        <v>11235</v>
      </c>
    </row>
    <row r="2750" spans="1:8" x14ac:dyDescent="0.15">
      <c r="A2750" s="196" t="s">
        <v>11229</v>
      </c>
      <c r="B2750" s="196" t="s">
        <v>11230</v>
      </c>
      <c r="C2750" s="196" t="s">
        <v>17885</v>
      </c>
      <c r="D2750" s="196" t="s">
        <v>17886</v>
      </c>
      <c r="E2750" s="196" t="s">
        <v>17886</v>
      </c>
      <c r="F2750" s="196" t="s">
        <v>11233</v>
      </c>
      <c r="G2750" s="196" t="s">
        <v>12378</v>
      </c>
      <c r="H2750" s="196" t="s">
        <v>11235</v>
      </c>
    </row>
    <row r="2751" spans="1:8" x14ac:dyDescent="0.15">
      <c r="A2751" s="196" t="s">
        <v>11229</v>
      </c>
      <c r="B2751" s="196" t="s">
        <v>11230</v>
      </c>
      <c r="C2751" s="196" t="s">
        <v>17887</v>
      </c>
      <c r="D2751" s="196" t="s">
        <v>17888</v>
      </c>
      <c r="E2751" s="196" t="s">
        <v>17888</v>
      </c>
      <c r="F2751" s="196" t="s">
        <v>11233</v>
      </c>
      <c r="G2751" s="196" t="s">
        <v>12378</v>
      </c>
      <c r="H2751" s="196" t="s">
        <v>11235</v>
      </c>
    </row>
    <row r="2752" spans="1:8" x14ac:dyDescent="0.15">
      <c r="A2752" s="196" t="s">
        <v>11229</v>
      </c>
      <c r="B2752" s="196" t="s">
        <v>11230</v>
      </c>
      <c r="C2752" s="196" t="s">
        <v>17889</v>
      </c>
      <c r="D2752" s="196" t="s">
        <v>17890</v>
      </c>
      <c r="E2752" s="196" t="s">
        <v>17890</v>
      </c>
      <c r="F2752" s="196" t="s">
        <v>11233</v>
      </c>
      <c r="G2752" s="196" t="s">
        <v>12378</v>
      </c>
      <c r="H2752" s="196" t="s">
        <v>11235</v>
      </c>
    </row>
    <row r="2753" spans="1:8" x14ac:dyDescent="0.15">
      <c r="A2753" s="196" t="s">
        <v>11229</v>
      </c>
      <c r="B2753" s="196" t="s">
        <v>11230</v>
      </c>
      <c r="C2753" s="196" t="s">
        <v>17891</v>
      </c>
      <c r="D2753" s="196" t="s">
        <v>17892</v>
      </c>
      <c r="E2753" s="196" t="s">
        <v>17892</v>
      </c>
      <c r="F2753" s="196" t="s">
        <v>11233</v>
      </c>
      <c r="G2753" s="196" t="s">
        <v>12378</v>
      </c>
      <c r="H2753" s="196" t="s">
        <v>11235</v>
      </c>
    </row>
    <row r="2754" spans="1:8" x14ac:dyDescent="0.15">
      <c r="A2754" s="196" t="s">
        <v>11229</v>
      </c>
      <c r="B2754" s="196" t="s">
        <v>11230</v>
      </c>
      <c r="C2754" s="196" t="s">
        <v>17893</v>
      </c>
      <c r="D2754" s="196" t="s">
        <v>17894</v>
      </c>
      <c r="E2754" s="196" t="s">
        <v>17894</v>
      </c>
      <c r="F2754" s="196" t="s">
        <v>11233</v>
      </c>
      <c r="G2754" s="196" t="s">
        <v>12378</v>
      </c>
      <c r="H2754" s="196" t="s">
        <v>11235</v>
      </c>
    </row>
    <row r="2755" spans="1:8" x14ac:dyDescent="0.15">
      <c r="A2755" s="196" t="s">
        <v>11229</v>
      </c>
      <c r="B2755" s="196" t="s">
        <v>11230</v>
      </c>
      <c r="C2755" s="196" t="s">
        <v>17895</v>
      </c>
      <c r="D2755" s="196" t="s">
        <v>17896</v>
      </c>
      <c r="E2755" s="196" t="s">
        <v>17896</v>
      </c>
      <c r="F2755" s="196" t="s">
        <v>11233</v>
      </c>
      <c r="G2755" s="196" t="s">
        <v>12378</v>
      </c>
      <c r="H2755" s="196" t="s">
        <v>11235</v>
      </c>
    </row>
    <row r="2756" spans="1:8" x14ac:dyDescent="0.15">
      <c r="A2756" s="196" t="s">
        <v>11229</v>
      </c>
      <c r="B2756" s="196" t="s">
        <v>11230</v>
      </c>
      <c r="C2756" s="196" t="s">
        <v>17897</v>
      </c>
      <c r="D2756" s="196" t="s">
        <v>17898</v>
      </c>
      <c r="E2756" s="196" t="s">
        <v>17898</v>
      </c>
      <c r="F2756" s="196" t="s">
        <v>11233</v>
      </c>
      <c r="G2756" s="196" t="s">
        <v>12378</v>
      </c>
      <c r="H2756" s="196" t="s">
        <v>11235</v>
      </c>
    </row>
    <row r="2757" spans="1:8" x14ac:dyDescent="0.15">
      <c r="A2757" s="196" t="s">
        <v>11229</v>
      </c>
      <c r="B2757" s="196" t="s">
        <v>11230</v>
      </c>
      <c r="C2757" s="196" t="s">
        <v>17899</v>
      </c>
      <c r="D2757" s="196" t="s">
        <v>17900</v>
      </c>
      <c r="E2757" s="196" t="s">
        <v>17900</v>
      </c>
      <c r="F2757" s="196" t="s">
        <v>11233</v>
      </c>
      <c r="G2757" s="196" t="s">
        <v>12378</v>
      </c>
      <c r="H2757" s="196" t="s">
        <v>11235</v>
      </c>
    </row>
    <row r="2758" spans="1:8" x14ac:dyDescent="0.15">
      <c r="A2758" s="196" t="s">
        <v>11229</v>
      </c>
      <c r="B2758" s="196" t="s">
        <v>11230</v>
      </c>
      <c r="C2758" s="196" t="s">
        <v>17901</v>
      </c>
      <c r="D2758" s="196" t="s">
        <v>17902</v>
      </c>
      <c r="E2758" s="196" t="s">
        <v>17902</v>
      </c>
      <c r="F2758" s="196" t="s">
        <v>11233</v>
      </c>
      <c r="G2758" s="196" t="s">
        <v>12378</v>
      </c>
      <c r="H2758" s="196" t="s">
        <v>11235</v>
      </c>
    </row>
    <row r="2759" spans="1:8" x14ac:dyDescent="0.15">
      <c r="A2759" s="196" t="s">
        <v>11229</v>
      </c>
      <c r="B2759" s="196" t="s">
        <v>11230</v>
      </c>
      <c r="C2759" s="196" t="s">
        <v>17903</v>
      </c>
      <c r="D2759" s="196" t="s">
        <v>17904</v>
      </c>
      <c r="E2759" s="196" t="s">
        <v>17904</v>
      </c>
      <c r="F2759" s="196" t="s">
        <v>11233</v>
      </c>
      <c r="G2759" s="196" t="s">
        <v>12378</v>
      </c>
      <c r="H2759" s="196" t="s">
        <v>11235</v>
      </c>
    </row>
    <row r="2760" spans="1:8" x14ac:dyDescent="0.15">
      <c r="A2760" s="196" t="s">
        <v>11229</v>
      </c>
      <c r="B2760" s="196" t="s">
        <v>11230</v>
      </c>
      <c r="C2760" s="196" t="s">
        <v>17905</v>
      </c>
      <c r="D2760" s="196" t="s">
        <v>17906</v>
      </c>
      <c r="E2760" s="196" t="s">
        <v>17906</v>
      </c>
      <c r="F2760" s="196" t="s">
        <v>11233</v>
      </c>
      <c r="G2760" s="196" t="s">
        <v>12378</v>
      </c>
      <c r="H2760" s="196" t="s">
        <v>11235</v>
      </c>
    </row>
    <row r="2761" spans="1:8" x14ac:dyDescent="0.15">
      <c r="A2761" s="196" t="s">
        <v>11229</v>
      </c>
      <c r="B2761" s="196" t="s">
        <v>11230</v>
      </c>
      <c r="C2761" s="196" t="s">
        <v>17907</v>
      </c>
      <c r="D2761" s="196" t="s">
        <v>17908</v>
      </c>
      <c r="E2761" s="196" t="s">
        <v>17908</v>
      </c>
      <c r="F2761" s="196" t="s">
        <v>11233</v>
      </c>
      <c r="G2761" s="196" t="s">
        <v>12378</v>
      </c>
      <c r="H2761" s="196" t="s">
        <v>11235</v>
      </c>
    </row>
    <row r="2762" spans="1:8" x14ac:dyDescent="0.15">
      <c r="A2762" s="196" t="s">
        <v>11229</v>
      </c>
      <c r="B2762" s="196" t="s">
        <v>11230</v>
      </c>
      <c r="C2762" s="196" t="s">
        <v>17909</v>
      </c>
      <c r="D2762" s="196" t="s">
        <v>17910</v>
      </c>
      <c r="E2762" s="196" t="s">
        <v>17910</v>
      </c>
      <c r="F2762" s="196" t="s">
        <v>11233</v>
      </c>
      <c r="G2762" s="196" t="s">
        <v>12378</v>
      </c>
      <c r="H2762" s="196" t="s">
        <v>11235</v>
      </c>
    </row>
    <row r="2763" spans="1:8" x14ac:dyDescent="0.15">
      <c r="A2763" s="196" t="s">
        <v>11229</v>
      </c>
      <c r="B2763" s="196" t="s">
        <v>11230</v>
      </c>
      <c r="C2763" s="196" t="s">
        <v>17911</v>
      </c>
      <c r="D2763" s="196" t="s">
        <v>17912</v>
      </c>
      <c r="E2763" s="196" t="s">
        <v>17912</v>
      </c>
      <c r="F2763" s="196" t="s">
        <v>11233</v>
      </c>
      <c r="G2763" s="196" t="s">
        <v>12378</v>
      </c>
      <c r="H2763" s="196" t="s">
        <v>11235</v>
      </c>
    </row>
    <row r="2764" spans="1:8" x14ac:dyDescent="0.15">
      <c r="A2764" s="196" t="s">
        <v>11229</v>
      </c>
      <c r="B2764" s="196" t="s">
        <v>11230</v>
      </c>
      <c r="C2764" s="196" t="s">
        <v>17913</v>
      </c>
      <c r="D2764" s="196" t="s">
        <v>17914</v>
      </c>
      <c r="E2764" s="196" t="s">
        <v>17914</v>
      </c>
      <c r="F2764" s="196" t="s">
        <v>11233</v>
      </c>
      <c r="G2764" s="196" t="s">
        <v>12378</v>
      </c>
      <c r="H2764" s="196" t="s">
        <v>11235</v>
      </c>
    </row>
    <row r="2765" spans="1:8" x14ac:dyDescent="0.15">
      <c r="A2765" s="196" t="s">
        <v>11229</v>
      </c>
      <c r="B2765" s="196" t="s">
        <v>11230</v>
      </c>
      <c r="C2765" s="196" t="s">
        <v>17915</v>
      </c>
      <c r="D2765" s="196" t="s">
        <v>17916</v>
      </c>
      <c r="E2765" s="196" t="s">
        <v>17916</v>
      </c>
      <c r="F2765" s="196" t="s">
        <v>11233</v>
      </c>
      <c r="G2765" s="196" t="s">
        <v>12378</v>
      </c>
      <c r="H2765" s="196" t="s">
        <v>11235</v>
      </c>
    </row>
    <row r="2766" spans="1:8" x14ac:dyDescent="0.15">
      <c r="A2766" s="196" t="s">
        <v>11229</v>
      </c>
      <c r="B2766" s="196" t="s">
        <v>11230</v>
      </c>
      <c r="C2766" s="196" t="s">
        <v>17917</v>
      </c>
      <c r="D2766" s="196" t="s">
        <v>17918</v>
      </c>
      <c r="E2766" s="196" t="s">
        <v>17918</v>
      </c>
      <c r="F2766" s="196" t="s">
        <v>11233</v>
      </c>
      <c r="G2766" s="196" t="s">
        <v>12378</v>
      </c>
      <c r="H2766" s="196" t="s">
        <v>11235</v>
      </c>
    </row>
    <row r="2767" spans="1:8" x14ac:dyDescent="0.15">
      <c r="A2767" s="196" t="s">
        <v>11229</v>
      </c>
      <c r="B2767" s="196" t="s">
        <v>11230</v>
      </c>
      <c r="C2767" s="196" t="s">
        <v>17919</v>
      </c>
      <c r="D2767" s="196" t="s">
        <v>17920</v>
      </c>
      <c r="E2767" s="196" t="s">
        <v>17920</v>
      </c>
      <c r="F2767" s="196" t="s">
        <v>11233</v>
      </c>
      <c r="G2767" s="196" t="s">
        <v>12378</v>
      </c>
      <c r="H2767" s="196" t="s">
        <v>11235</v>
      </c>
    </row>
    <row r="2768" spans="1:8" x14ac:dyDescent="0.15">
      <c r="A2768" s="196" t="s">
        <v>11229</v>
      </c>
      <c r="B2768" s="196" t="s">
        <v>11230</v>
      </c>
      <c r="C2768" s="196" t="s">
        <v>17921</v>
      </c>
      <c r="D2768" s="196" t="s">
        <v>17922</v>
      </c>
      <c r="E2768" s="196" t="s">
        <v>17922</v>
      </c>
      <c r="F2768" s="196" t="s">
        <v>11233</v>
      </c>
      <c r="G2768" s="196" t="s">
        <v>12378</v>
      </c>
      <c r="H2768" s="196" t="s">
        <v>11235</v>
      </c>
    </row>
    <row r="2769" spans="1:8" x14ac:dyDescent="0.15">
      <c r="A2769" s="196" t="s">
        <v>11229</v>
      </c>
      <c r="B2769" s="196" t="s">
        <v>11230</v>
      </c>
      <c r="C2769" s="196" t="s">
        <v>17923</v>
      </c>
      <c r="D2769" s="196" t="s">
        <v>17924</v>
      </c>
      <c r="E2769" s="196" t="s">
        <v>17924</v>
      </c>
      <c r="F2769" s="196" t="s">
        <v>11233</v>
      </c>
      <c r="G2769" s="196" t="s">
        <v>12378</v>
      </c>
      <c r="H2769" s="196" t="s">
        <v>11235</v>
      </c>
    </row>
    <row r="2770" spans="1:8" x14ac:dyDescent="0.15">
      <c r="A2770" s="196" t="s">
        <v>11229</v>
      </c>
      <c r="B2770" s="196" t="s">
        <v>11230</v>
      </c>
      <c r="C2770" s="196" t="s">
        <v>17925</v>
      </c>
      <c r="D2770" s="196" t="s">
        <v>17926</v>
      </c>
      <c r="E2770" s="196" t="s">
        <v>17926</v>
      </c>
      <c r="F2770" s="196" t="s">
        <v>11233</v>
      </c>
      <c r="G2770" s="196" t="s">
        <v>12378</v>
      </c>
      <c r="H2770" s="196" t="s">
        <v>11235</v>
      </c>
    </row>
    <row r="2771" spans="1:8" x14ac:dyDescent="0.15">
      <c r="A2771" s="196" t="s">
        <v>11229</v>
      </c>
      <c r="B2771" s="196" t="s">
        <v>11230</v>
      </c>
      <c r="C2771" s="196" t="s">
        <v>17927</v>
      </c>
      <c r="D2771" s="196" t="s">
        <v>17928</v>
      </c>
      <c r="E2771" s="196" t="s">
        <v>17928</v>
      </c>
      <c r="F2771" s="196" t="s">
        <v>11233</v>
      </c>
      <c r="G2771" s="196" t="s">
        <v>12378</v>
      </c>
      <c r="H2771" s="196" t="s">
        <v>11235</v>
      </c>
    </row>
    <row r="2772" spans="1:8" x14ac:dyDescent="0.15">
      <c r="A2772" s="196" t="s">
        <v>11229</v>
      </c>
      <c r="B2772" s="196" t="s">
        <v>11230</v>
      </c>
      <c r="C2772" s="196" t="s">
        <v>17929</v>
      </c>
      <c r="D2772" s="196" t="s">
        <v>17930</v>
      </c>
      <c r="E2772" s="196" t="s">
        <v>17930</v>
      </c>
      <c r="F2772" s="196" t="s">
        <v>11233</v>
      </c>
      <c r="G2772" s="196" t="s">
        <v>12378</v>
      </c>
      <c r="H2772" s="196" t="s">
        <v>11235</v>
      </c>
    </row>
    <row r="2773" spans="1:8" x14ac:dyDescent="0.15">
      <c r="A2773" s="196" t="s">
        <v>11229</v>
      </c>
      <c r="B2773" s="196" t="s">
        <v>11230</v>
      </c>
      <c r="C2773" s="196" t="s">
        <v>17931</v>
      </c>
      <c r="D2773" s="196" t="s">
        <v>17932</v>
      </c>
      <c r="E2773" s="196" t="s">
        <v>17932</v>
      </c>
      <c r="F2773" s="196" t="s">
        <v>11233</v>
      </c>
      <c r="G2773" s="196" t="s">
        <v>12378</v>
      </c>
      <c r="H2773" s="196" t="s">
        <v>11235</v>
      </c>
    </row>
    <row r="2774" spans="1:8" x14ac:dyDescent="0.15">
      <c r="A2774" s="196" t="s">
        <v>11229</v>
      </c>
      <c r="B2774" s="196" t="s">
        <v>11230</v>
      </c>
      <c r="C2774" s="196" t="s">
        <v>17933</v>
      </c>
      <c r="D2774" s="196" t="s">
        <v>17934</v>
      </c>
      <c r="E2774" s="196" t="s">
        <v>17934</v>
      </c>
      <c r="F2774" s="196" t="s">
        <v>11233</v>
      </c>
      <c r="G2774" s="196" t="s">
        <v>12378</v>
      </c>
      <c r="H2774" s="196" t="s">
        <v>11235</v>
      </c>
    </row>
    <row r="2775" spans="1:8" x14ac:dyDescent="0.15">
      <c r="A2775" s="196" t="s">
        <v>11229</v>
      </c>
      <c r="B2775" s="196" t="s">
        <v>11230</v>
      </c>
      <c r="C2775" s="196" t="s">
        <v>17935</v>
      </c>
      <c r="D2775" s="196" t="s">
        <v>17936</v>
      </c>
      <c r="E2775" s="196" t="s">
        <v>17936</v>
      </c>
      <c r="F2775" s="196" t="s">
        <v>11233</v>
      </c>
      <c r="G2775" s="196" t="s">
        <v>12378</v>
      </c>
      <c r="H2775" s="196" t="s">
        <v>11235</v>
      </c>
    </row>
    <row r="2776" spans="1:8" x14ac:dyDescent="0.15">
      <c r="A2776" s="196" t="s">
        <v>11229</v>
      </c>
      <c r="B2776" s="196" t="s">
        <v>11230</v>
      </c>
      <c r="C2776" s="196" t="s">
        <v>17937</v>
      </c>
      <c r="D2776" s="196" t="s">
        <v>17938</v>
      </c>
      <c r="E2776" s="196" t="s">
        <v>17938</v>
      </c>
      <c r="F2776" s="196" t="s">
        <v>11233</v>
      </c>
      <c r="G2776" s="196" t="s">
        <v>12378</v>
      </c>
      <c r="H2776" s="196" t="s">
        <v>11235</v>
      </c>
    </row>
    <row r="2777" spans="1:8" x14ac:dyDescent="0.15">
      <c r="A2777" s="196" t="s">
        <v>11229</v>
      </c>
      <c r="B2777" s="196" t="s">
        <v>11230</v>
      </c>
      <c r="C2777" s="196" t="s">
        <v>17939</v>
      </c>
      <c r="D2777" s="196" t="s">
        <v>17940</v>
      </c>
      <c r="E2777" s="196" t="s">
        <v>17940</v>
      </c>
      <c r="F2777" s="196" t="s">
        <v>11233</v>
      </c>
      <c r="G2777" s="196" t="s">
        <v>12378</v>
      </c>
      <c r="H2777" s="196" t="s">
        <v>11235</v>
      </c>
    </row>
    <row r="2778" spans="1:8" x14ac:dyDescent="0.15">
      <c r="A2778" s="196" t="s">
        <v>11229</v>
      </c>
      <c r="B2778" s="196" t="s">
        <v>11230</v>
      </c>
      <c r="C2778" s="196" t="s">
        <v>17941</v>
      </c>
      <c r="D2778" s="196" t="s">
        <v>17942</v>
      </c>
      <c r="E2778" s="196" t="s">
        <v>17942</v>
      </c>
      <c r="F2778" s="196" t="s">
        <v>11233</v>
      </c>
      <c r="G2778" s="196" t="s">
        <v>12378</v>
      </c>
      <c r="H2778" s="196" t="s">
        <v>11235</v>
      </c>
    </row>
    <row r="2779" spans="1:8" x14ac:dyDescent="0.15">
      <c r="A2779" s="196" t="s">
        <v>11229</v>
      </c>
      <c r="B2779" s="196" t="s">
        <v>11230</v>
      </c>
      <c r="C2779" s="196" t="s">
        <v>17943</v>
      </c>
      <c r="D2779" s="196" t="s">
        <v>17944</v>
      </c>
      <c r="E2779" s="196" t="s">
        <v>17944</v>
      </c>
      <c r="F2779" s="196" t="s">
        <v>11233</v>
      </c>
      <c r="G2779" s="196" t="s">
        <v>12378</v>
      </c>
      <c r="H2779" s="196" t="s">
        <v>11235</v>
      </c>
    </row>
    <row r="2780" spans="1:8" x14ac:dyDescent="0.15">
      <c r="A2780" s="196" t="s">
        <v>11229</v>
      </c>
      <c r="B2780" s="196" t="s">
        <v>11230</v>
      </c>
      <c r="C2780" s="196" t="s">
        <v>17945</v>
      </c>
      <c r="D2780" s="196" t="s">
        <v>17946</v>
      </c>
      <c r="E2780" s="196" t="s">
        <v>17946</v>
      </c>
      <c r="F2780" s="196" t="s">
        <v>11233</v>
      </c>
      <c r="G2780" s="196" t="s">
        <v>12378</v>
      </c>
      <c r="H2780" s="196" t="s">
        <v>11235</v>
      </c>
    </row>
    <row r="2781" spans="1:8" x14ac:dyDescent="0.15">
      <c r="A2781" s="196" t="s">
        <v>11229</v>
      </c>
      <c r="B2781" s="196" t="s">
        <v>11230</v>
      </c>
      <c r="C2781" s="196" t="s">
        <v>17947</v>
      </c>
      <c r="D2781" s="196" t="s">
        <v>17948</v>
      </c>
      <c r="E2781" s="196" t="s">
        <v>17948</v>
      </c>
      <c r="F2781" s="196" t="s">
        <v>11233</v>
      </c>
      <c r="G2781" s="196" t="s">
        <v>12378</v>
      </c>
      <c r="H2781" s="196" t="s">
        <v>11235</v>
      </c>
    </row>
    <row r="2782" spans="1:8" x14ac:dyDescent="0.15">
      <c r="A2782" s="196" t="s">
        <v>11229</v>
      </c>
      <c r="B2782" s="196" t="s">
        <v>11230</v>
      </c>
      <c r="C2782" s="196" t="s">
        <v>17949</v>
      </c>
      <c r="D2782" s="196" t="s">
        <v>17950</v>
      </c>
      <c r="E2782" s="196" t="s">
        <v>17950</v>
      </c>
      <c r="F2782" s="196" t="s">
        <v>11233</v>
      </c>
      <c r="G2782" s="196" t="s">
        <v>12378</v>
      </c>
      <c r="H2782" s="196" t="s">
        <v>11235</v>
      </c>
    </row>
    <row r="2783" spans="1:8" x14ac:dyDescent="0.15">
      <c r="A2783" s="196" t="s">
        <v>11229</v>
      </c>
      <c r="B2783" s="196" t="s">
        <v>11230</v>
      </c>
      <c r="C2783" s="196" t="s">
        <v>17951</v>
      </c>
      <c r="D2783" s="196" t="s">
        <v>17952</v>
      </c>
      <c r="E2783" s="196" t="s">
        <v>17952</v>
      </c>
      <c r="F2783" s="196" t="s">
        <v>11233</v>
      </c>
      <c r="G2783" s="196" t="s">
        <v>12378</v>
      </c>
      <c r="H2783" s="196" t="s">
        <v>11235</v>
      </c>
    </row>
    <row r="2784" spans="1:8" x14ac:dyDescent="0.15">
      <c r="A2784" s="196" t="s">
        <v>11229</v>
      </c>
      <c r="B2784" s="196" t="s">
        <v>11230</v>
      </c>
      <c r="C2784" s="196" t="s">
        <v>17953</v>
      </c>
      <c r="D2784" s="196" t="s">
        <v>17954</v>
      </c>
      <c r="E2784" s="196" t="s">
        <v>17954</v>
      </c>
      <c r="F2784" s="196" t="s">
        <v>11233</v>
      </c>
      <c r="G2784" s="196" t="s">
        <v>12378</v>
      </c>
      <c r="H2784" s="196" t="s">
        <v>11235</v>
      </c>
    </row>
    <row r="2785" spans="1:8" x14ac:dyDescent="0.15">
      <c r="A2785" s="196" t="s">
        <v>11229</v>
      </c>
      <c r="B2785" s="196" t="s">
        <v>11230</v>
      </c>
      <c r="C2785" s="196" t="s">
        <v>17955</v>
      </c>
      <c r="D2785" s="196" t="s">
        <v>17956</v>
      </c>
      <c r="E2785" s="196" t="s">
        <v>17956</v>
      </c>
      <c r="F2785" s="196" t="s">
        <v>11233</v>
      </c>
      <c r="G2785" s="196" t="s">
        <v>12378</v>
      </c>
      <c r="H2785" s="196" t="s">
        <v>11235</v>
      </c>
    </row>
    <row r="2786" spans="1:8" x14ac:dyDescent="0.15">
      <c r="A2786" s="196" t="s">
        <v>11229</v>
      </c>
      <c r="B2786" s="196" t="s">
        <v>11230</v>
      </c>
      <c r="C2786" s="196" t="s">
        <v>17957</v>
      </c>
      <c r="D2786" s="196" t="s">
        <v>17958</v>
      </c>
      <c r="E2786" s="196" t="s">
        <v>17958</v>
      </c>
      <c r="F2786" s="196" t="s">
        <v>11233</v>
      </c>
      <c r="G2786" s="196" t="s">
        <v>12378</v>
      </c>
      <c r="H2786" s="196" t="s">
        <v>11235</v>
      </c>
    </row>
    <row r="2787" spans="1:8" x14ac:dyDescent="0.15">
      <c r="A2787" s="196" t="s">
        <v>11229</v>
      </c>
      <c r="B2787" s="196" t="s">
        <v>11230</v>
      </c>
      <c r="C2787" s="196" t="s">
        <v>17959</v>
      </c>
      <c r="D2787" s="196" t="s">
        <v>17960</v>
      </c>
      <c r="E2787" s="196" t="s">
        <v>17960</v>
      </c>
      <c r="F2787" s="196" t="s">
        <v>11233</v>
      </c>
      <c r="G2787" s="196" t="s">
        <v>12378</v>
      </c>
      <c r="H2787" s="196" t="s">
        <v>11235</v>
      </c>
    </row>
    <row r="2788" spans="1:8" x14ac:dyDescent="0.15">
      <c r="A2788" s="196" t="s">
        <v>11229</v>
      </c>
      <c r="B2788" s="196" t="s">
        <v>11230</v>
      </c>
      <c r="C2788" s="196" t="s">
        <v>17961</v>
      </c>
      <c r="D2788" s="196" t="s">
        <v>17962</v>
      </c>
      <c r="E2788" s="196" t="s">
        <v>17962</v>
      </c>
      <c r="F2788" s="196" t="s">
        <v>11233</v>
      </c>
      <c r="G2788" s="196" t="s">
        <v>12378</v>
      </c>
      <c r="H2788" s="196" t="s">
        <v>11235</v>
      </c>
    </row>
    <row r="2789" spans="1:8" x14ac:dyDescent="0.15">
      <c r="A2789" s="196" t="s">
        <v>11229</v>
      </c>
      <c r="B2789" s="196" t="s">
        <v>11230</v>
      </c>
      <c r="C2789" s="196" t="s">
        <v>17963</v>
      </c>
      <c r="D2789" s="196" t="s">
        <v>17964</v>
      </c>
      <c r="E2789" s="196" t="s">
        <v>17964</v>
      </c>
      <c r="F2789" s="196" t="s">
        <v>11233</v>
      </c>
      <c r="G2789" s="196" t="s">
        <v>12378</v>
      </c>
      <c r="H2789" s="196" t="s">
        <v>11235</v>
      </c>
    </row>
    <row r="2790" spans="1:8" x14ac:dyDescent="0.15">
      <c r="A2790" s="196" t="s">
        <v>11229</v>
      </c>
      <c r="B2790" s="196" t="s">
        <v>11230</v>
      </c>
      <c r="C2790" s="196" t="s">
        <v>17965</v>
      </c>
      <c r="D2790" s="196" t="s">
        <v>17966</v>
      </c>
      <c r="E2790" s="196" t="s">
        <v>17966</v>
      </c>
      <c r="F2790" s="196" t="s">
        <v>11233</v>
      </c>
      <c r="G2790" s="196" t="s">
        <v>12378</v>
      </c>
      <c r="H2790" s="196" t="s">
        <v>11235</v>
      </c>
    </row>
    <row r="2791" spans="1:8" x14ac:dyDescent="0.15">
      <c r="A2791" s="196" t="s">
        <v>11229</v>
      </c>
      <c r="B2791" s="196" t="s">
        <v>11230</v>
      </c>
      <c r="C2791" s="196" t="s">
        <v>17967</v>
      </c>
      <c r="D2791" s="196" t="s">
        <v>17968</v>
      </c>
      <c r="E2791" s="196" t="s">
        <v>17968</v>
      </c>
      <c r="F2791" s="196" t="s">
        <v>11233</v>
      </c>
      <c r="G2791" s="196" t="s">
        <v>12378</v>
      </c>
      <c r="H2791" s="196" t="s">
        <v>11235</v>
      </c>
    </row>
    <row r="2792" spans="1:8" x14ac:dyDescent="0.15">
      <c r="A2792" s="196" t="s">
        <v>11229</v>
      </c>
      <c r="B2792" s="196" t="s">
        <v>11230</v>
      </c>
      <c r="C2792" s="196" t="s">
        <v>17969</v>
      </c>
      <c r="D2792" s="196" t="s">
        <v>17970</v>
      </c>
      <c r="E2792" s="196" t="s">
        <v>17970</v>
      </c>
      <c r="F2792" s="196" t="s">
        <v>11233</v>
      </c>
      <c r="G2792" s="196" t="s">
        <v>12378</v>
      </c>
      <c r="H2792" s="196" t="s">
        <v>11235</v>
      </c>
    </row>
    <row r="2793" spans="1:8" x14ac:dyDescent="0.15">
      <c r="A2793" s="196" t="s">
        <v>11229</v>
      </c>
      <c r="B2793" s="196" t="s">
        <v>11230</v>
      </c>
      <c r="C2793" s="196" t="s">
        <v>17971</v>
      </c>
      <c r="D2793" s="196" t="s">
        <v>17972</v>
      </c>
      <c r="E2793" s="196" t="s">
        <v>17972</v>
      </c>
      <c r="F2793" s="196" t="s">
        <v>11233</v>
      </c>
      <c r="G2793" s="196" t="s">
        <v>12378</v>
      </c>
      <c r="H2793" s="196" t="s">
        <v>11235</v>
      </c>
    </row>
    <row r="2794" spans="1:8" x14ac:dyDescent="0.15">
      <c r="A2794" s="196" t="s">
        <v>11229</v>
      </c>
      <c r="B2794" s="196" t="s">
        <v>11230</v>
      </c>
      <c r="C2794" s="196" t="s">
        <v>17973</v>
      </c>
      <c r="D2794" s="196" t="s">
        <v>17974</v>
      </c>
      <c r="E2794" s="196" t="s">
        <v>17974</v>
      </c>
      <c r="F2794" s="196" t="s">
        <v>11233</v>
      </c>
      <c r="G2794" s="196" t="s">
        <v>12378</v>
      </c>
      <c r="H2794" s="196" t="s">
        <v>11235</v>
      </c>
    </row>
    <row r="2795" spans="1:8" x14ac:dyDescent="0.15">
      <c r="A2795" s="196" t="s">
        <v>11229</v>
      </c>
      <c r="B2795" s="196" t="s">
        <v>11230</v>
      </c>
      <c r="C2795" s="196" t="s">
        <v>17975</v>
      </c>
      <c r="D2795" s="196" t="s">
        <v>17976</v>
      </c>
      <c r="E2795" s="196" t="s">
        <v>17976</v>
      </c>
      <c r="F2795" s="196" t="s">
        <v>11233</v>
      </c>
      <c r="G2795" s="196" t="s">
        <v>12378</v>
      </c>
      <c r="H2795" s="196" t="s">
        <v>11235</v>
      </c>
    </row>
    <row r="2796" spans="1:8" x14ac:dyDescent="0.15">
      <c r="A2796" s="196" t="s">
        <v>11229</v>
      </c>
      <c r="B2796" s="196" t="s">
        <v>11230</v>
      </c>
      <c r="C2796" s="196" t="s">
        <v>17977</v>
      </c>
      <c r="D2796" s="196" t="s">
        <v>17978</v>
      </c>
      <c r="E2796" s="196" t="s">
        <v>17978</v>
      </c>
      <c r="F2796" s="196" t="s">
        <v>11233</v>
      </c>
      <c r="G2796" s="196" t="s">
        <v>12378</v>
      </c>
      <c r="H2796" s="196" t="s">
        <v>11235</v>
      </c>
    </row>
    <row r="2797" spans="1:8" x14ac:dyDescent="0.15">
      <c r="A2797" s="196" t="s">
        <v>11229</v>
      </c>
      <c r="B2797" s="196" t="s">
        <v>11230</v>
      </c>
      <c r="C2797" s="196" t="s">
        <v>17979</v>
      </c>
      <c r="D2797" s="196" t="s">
        <v>17980</v>
      </c>
      <c r="E2797" s="196" t="s">
        <v>17980</v>
      </c>
      <c r="F2797" s="196" t="s">
        <v>11233</v>
      </c>
      <c r="G2797" s="196" t="s">
        <v>12378</v>
      </c>
      <c r="H2797" s="196" t="s">
        <v>11235</v>
      </c>
    </row>
    <row r="2798" spans="1:8" x14ac:dyDescent="0.15">
      <c r="A2798" s="196" t="s">
        <v>11229</v>
      </c>
      <c r="B2798" s="196" t="s">
        <v>11230</v>
      </c>
      <c r="C2798" s="196" t="s">
        <v>17981</v>
      </c>
      <c r="D2798" s="196" t="s">
        <v>17982</v>
      </c>
      <c r="E2798" s="196" t="s">
        <v>17982</v>
      </c>
      <c r="F2798" s="196" t="s">
        <v>11233</v>
      </c>
      <c r="G2798" s="196" t="s">
        <v>12378</v>
      </c>
      <c r="H2798" s="196" t="s">
        <v>11235</v>
      </c>
    </row>
    <row r="2799" spans="1:8" x14ac:dyDescent="0.15">
      <c r="A2799" s="196" t="s">
        <v>11229</v>
      </c>
      <c r="B2799" s="196" t="s">
        <v>11230</v>
      </c>
      <c r="C2799" s="196" t="s">
        <v>17983</v>
      </c>
      <c r="D2799" s="196" t="s">
        <v>17984</v>
      </c>
      <c r="E2799" s="196" t="s">
        <v>17984</v>
      </c>
      <c r="F2799" s="196" t="s">
        <v>11233</v>
      </c>
      <c r="G2799" s="196" t="s">
        <v>12378</v>
      </c>
      <c r="H2799" s="196" t="s">
        <v>11235</v>
      </c>
    </row>
    <row r="2800" spans="1:8" x14ac:dyDescent="0.15">
      <c r="A2800" s="196" t="s">
        <v>11229</v>
      </c>
      <c r="B2800" s="196" t="s">
        <v>11230</v>
      </c>
      <c r="C2800" s="196" t="s">
        <v>17985</v>
      </c>
      <c r="D2800" s="196" t="s">
        <v>17986</v>
      </c>
      <c r="E2800" s="196" t="s">
        <v>17986</v>
      </c>
      <c r="F2800" s="196" t="s">
        <v>11233</v>
      </c>
      <c r="G2800" s="196" t="s">
        <v>12378</v>
      </c>
      <c r="H2800" s="196" t="s">
        <v>11235</v>
      </c>
    </row>
    <row r="2801" spans="1:8" x14ac:dyDescent="0.15">
      <c r="A2801" s="196" t="s">
        <v>11229</v>
      </c>
      <c r="B2801" s="196" t="s">
        <v>11230</v>
      </c>
      <c r="C2801" s="196" t="s">
        <v>17987</v>
      </c>
      <c r="D2801" s="196" t="s">
        <v>17988</v>
      </c>
      <c r="E2801" s="196" t="s">
        <v>17988</v>
      </c>
      <c r="F2801" s="196" t="s">
        <v>11233</v>
      </c>
      <c r="G2801" s="196" t="s">
        <v>12378</v>
      </c>
      <c r="H2801" s="196" t="s">
        <v>11235</v>
      </c>
    </row>
    <row r="2802" spans="1:8" x14ac:dyDescent="0.15">
      <c r="A2802" s="196" t="s">
        <v>11229</v>
      </c>
      <c r="B2802" s="196" t="s">
        <v>11230</v>
      </c>
      <c r="C2802" s="196" t="s">
        <v>17989</v>
      </c>
      <c r="D2802" s="196" t="s">
        <v>17990</v>
      </c>
      <c r="E2802" s="196" t="s">
        <v>17990</v>
      </c>
      <c r="F2802" s="196" t="s">
        <v>11233</v>
      </c>
      <c r="G2802" s="196" t="s">
        <v>12378</v>
      </c>
      <c r="H2802" s="196" t="s">
        <v>11235</v>
      </c>
    </row>
    <row r="2803" spans="1:8" x14ac:dyDescent="0.15">
      <c r="A2803" s="196" t="s">
        <v>11229</v>
      </c>
      <c r="B2803" s="196" t="s">
        <v>11230</v>
      </c>
      <c r="C2803" s="196" t="s">
        <v>17991</v>
      </c>
      <c r="D2803" s="196" t="s">
        <v>17992</v>
      </c>
      <c r="E2803" s="196" t="s">
        <v>17992</v>
      </c>
      <c r="F2803" s="196" t="s">
        <v>11233</v>
      </c>
      <c r="G2803" s="196" t="s">
        <v>12378</v>
      </c>
      <c r="H2803" s="196" t="s">
        <v>11235</v>
      </c>
    </row>
    <row r="2804" spans="1:8" x14ac:dyDescent="0.15">
      <c r="A2804" s="196" t="s">
        <v>11229</v>
      </c>
      <c r="B2804" s="196" t="s">
        <v>11230</v>
      </c>
      <c r="C2804" s="196" t="s">
        <v>17993</v>
      </c>
      <c r="D2804" s="196" t="s">
        <v>17994</v>
      </c>
      <c r="E2804" s="196" t="s">
        <v>17994</v>
      </c>
      <c r="F2804" s="196" t="s">
        <v>11233</v>
      </c>
      <c r="G2804" s="196" t="s">
        <v>12378</v>
      </c>
      <c r="H2804" s="196" t="s">
        <v>11235</v>
      </c>
    </row>
    <row r="2805" spans="1:8" x14ac:dyDescent="0.15">
      <c r="A2805" s="196" t="s">
        <v>11229</v>
      </c>
      <c r="B2805" s="196" t="s">
        <v>11230</v>
      </c>
      <c r="C2805" s="196" t="s">
        <v>17995</v>
      </c>
      <c r="D2805" s="196" t="s">
        <v>17996</v>
      </c>
      <c r="E2805" s="196" t="s">
        <v>17996</v>
      </c>
      <c r="F2805" s="196" t="s">
        <v>11233</v>
      </c>
      <c r="G2805" s="196" t="s">
        <v>12378</v>
      </c>
      <c r="H2805" s="196" t="s">
        <v>11235</v>
      </c>
    </row>
    <row r="2806" spans="1:8" x14ac:dyDescent="0.15">
      <c r="A2806" s="196" t="s">
        <v>11229</v>
      </c>
      <c r="B2806" s="196" t="s">
        <v>11230</v>
      </c>
      <c r="C2806" s="196" t="s">
        <v>17997</v>
      </c>
      <c r="D2806" s="196" t="s">
        <v>17998</v>
      </c>
      <c r="E2806" s="196" t="s">
        <v>17999</v>
      </c>
      <c r="F2806" s="196" t="s">
        <v>11268</v>
      </c>
      <c r="G2806" s="196" t="s">
        <v>12378</v>
      </c>
      <c r="H2806" s="196" t="s">
        <v>11235</v>
      </c>
    </row>
    <row r="2807" spans="1:8" x14ac:dyDescent="0.15">
      <c r="A2807" s="196" t="s">
        <v>11229</v>
      </c>
      <c r="B2807" s="196" t="s">
        <v>11230</v>
      </c>
      <c r="C2807" s="196" t="s">
        <v>18000</v>
      </c>
      <c r="D2807" s="196" t="s">
        <v>17999</v>
      </c>
      <c r="E2807" s="196" t="s">
        <v>18001</v>
      </c>
      <c r="F2807" s="196" t="s">
        <v>11241</v>
      </c>
      <c r="G2807" s="196" t="s">
        <v>12378</v>
      </c>
      <c r="H2807" s="196" t="s">
        <v>11235</v>
      </c>
    </row>
    <row r="2808" spans="1:8" x14ac:dyDescent="0.15">
      <c r="A2808" s="196" t="s">
        <v>11229</v>
      </c>
      <c r="B2808" s="196" t="s">
        <v>11230</v>
      </c>
      <c r="C2808" s="196" t="s">
        <v>18002</v>
      </c>
      <c r="D2808" s="196" t="s">
        <v>18001</v>
      </c>
      <c r="E2808" s="196" t="s">
        <v>18001</v>
      </c>
      <c r="F2808" s="196" t="s">
        <v>11233</v>
      </c>
      <c r="G2808" s="196" t="s">
        <v>12378</v>
      </c>
      <c r="H2808" s="196" t="s">
        <v>11235</v>
      </c>
    </row>
    <row r="2809" spans="1:8" x14ac:dyDescent="0.15">
      <c r="A2809" s="196" t="s">
        <v>11229</v>
      </c>
      <c r="B2809" s="196" t="s">
        <v>11230</v>
      </c>
      <c r="C2809" s="196" t="s">
        <v>18003</v>
      </c>
      <c r="D2809" s="196" t="s">
        <v>18004</v>
      </c>
      <c r="E2809" s="196" t="s">
        <v>18004</v>
      </c>
      <c r="F2809" s="196" t="s">
        <v>11233</v>
      </c>
      <c r="G2809" s="196" t="s">
        <v>12378</v>
      </c>
      <c r="H2809" s="196" t="s">
        <v>11235</v>
      </c>
    </row>
    <row r="2810" spans="1:8" x14ac:dyDescent="0.15">
      <c r="A2810" s="196" t="s">
        <v>11229</v>
      </c>
      <c r="B2810" s="196" t="s">
        <v>11230</v>
      </c>
      <c r="C2810" s="196" t="s">
        <v>18005</v>
      </c>
      <c r="D2810" s="196" t="s">
        <v>18006</v>
      </c>
      <c r="E2810" s="196" t="s">
        <v>18006</v>
      </c>
      <c r="F2810" s="196" t="s">
        <v>11233</v>
      </c>
      <c r="G2810" s="196" t="s">
        <v>12378</v>
      </c>
      <c r="H2810" s="196" t="s">
        <v>11235</v>
      </c>
    </row>
    <row r="2811" spans="1:8" x14ac:dyDescent="0.15">
      <c r="A2811" s="196" t="s">
        <v>11229</v>
      </c>
      <c r="B2811" s="196" t="s">
        <v>11230</v>
      </c>
      <c r="C2811" s="196" t="s">
        <v>18007</v>
      </c>
      <c r="D2811" s="196" t="s">
        <v>18008</v>
      </c>
      <c r="E2811" s="196" t="s">
        <v>18008</v>
      </c>
      <c r="F2811" s="196" t="s">
        <v>11233</v>
      </c>
      <c r="G2811" s="196" t="s">
        <v>12378</v>
      </c>
      <c r="H2811" s="196" t="s">
        <v>11235</v>
      </c>
    </row>
    <row r="2812" spans="1:8" x14ac:dyDescent="0.15">
      <c r="A2812" s="196" t="s">
        <v>11229</v>
      </c>
      <c r="B2812" s="196" t="s">
        <v>11230</v>
      </c>
      <c r="C2812" s="196" t="s">
        <v>18009</v>
      </c>
      <c r="D2812" s="196" t="s">
        <v>18010</v>
      </c>
      <c r="E2812" s="196" t="s">
        <v>18010</v>
      </c>
      <c r="F2812" s="196" t="s">
        <v>11233</v>
      </c>
      <c r="G2812" s="196" t="s">
        <v>12378</v>
      </c>
      <c r="H2812" s="196" t="s">
        <v>11235</v>
      </c>
    </row>
    <row r="2813" spans="1:8" x14ac:dyDescent="0.15">
      <c r="A2813" s="196" t="s">
        <v>11229</v>
      </c>
      <c r="B2813" s="196" t="s">
        <v>11230</v>
      </c>
      <c r="C2813" s="196" t="s">
        <v>18011</v>
      </c>
      <c r="D2813" s="196" t="s">
        <v>18012</v>
      </c>
      <c r="E2813" s="196" t="s">
        <v>18012</v>
      </c>
      <c r="F2813" s="196" t="s">
        <v>11233</v>
      </c>
      <c r="G2813" s="196" t="s">
        <v>12378</v>
      </c>
      <c r="H2813" s="196" t="s">
        <v>11235</v>
      </c>
    </row>
    <row r="2814" spans="1:8" x14ac:dyDescent="0.15">
      <c r="A2814" s="196" t="s">
        <v>11229</v>
      </c>
      <c r="B2814" s="196" t="s">
        <v>11230</v>
      </c>
      <c r="C2814" s="196" t="s">
        <v>18013</v>
      </c>
      <c r="D2814" s="196" t="s">
        <v>18014</v>
      </c>
      <c r="E2814" s="196" t="s">
        <v>18014</v>
      </c>
      <c r="F2814" s="196" t="s">
        <v>11233</v>
      </c>
      <c r="G2814" s="196" t="s">
        <v>12378</v>
      </c>
      <c r="H2814" s="196" t="s">
        <v>11235</v>
      </c>
    </row>
    <row r="2815" spans="1:8" x14ac:dyDescent="0.15">
      <c r="A2815" s="196" t="s">
        <v>11229</v>
      </c>
      <c r="B2815" s="196" t="s">
        <v>11230</v>
      </c>
      <c r="C2815" s="196" t="s">
        <v>18015</v>
      </c>
      <c r="D2815" s="196" t="s">
        <v>18016</v>
      </c>
      <c r="E2815" s="196" t="s">
        <v>18016</v>
      </c>
      <c r="F2815" s="196" t="s">
        <v>11233</v>
      </c>
      <c r="G2815" s="196" t="s">
        <v>12378</v>
      </c>
      <c r="H2815" s="196" t="s">
        <v>11235</v>
      </c>
    </row>
    <row r="2816" spans="1:8" x14ac:dyDescent="0.15">
      <c r="A2816" s="196" t="s">
        <v>11229</v>
      </c>
      <c r="B2816" s="196" t="s">
        <v>11230</v>
      </c>
      <c r="C2816" s="196" t="s">
        <v>18017</v>
      </c>
      <c r="D2816" s="196" t="s">
        <v>18018</v>
      </c>
      <c r="E2816" s="196" t="s">
        <v>18018</v>
      </c>
      <c r="F2816" s="196" t="s">
        <v>11233</v>
      </c>
      <c r="G2816" s="196" t="s">
        <v>12378</v>
      </c>
      <c r="H2816" s="196" t="s">
        <v>11235</v>
      </c>
    </row>
    <row r="2817" spans="1:8" x14ac:dyDescent="0.15">
      <c r="A2817" s="196" t="s">
        <v>11229</v>
      </c>
      <c r="B2817" s="196" t="s">
        <v>11230</v>
      </c>
      <c r="C2817" s="196" t="s">
        <v>18019</v>
      </c>
      <c r="D2817" s="196" t="s">
        <v>18020</v>
      </c>
      <c r="E2817" s="196" t="s">
        <v>18020</v>
      </c>
      <c r="F2817" s="196" t="s">
        <v>11233</v>
      </c>
      <c r="G2817" s="196" t="s">
        <v>12378</v>
      </c>
      <c r="H2817" s="196" t="s">
        <v>11235</v>
      </c>
    </row>
    <row r="2818" spans="1:8" x14ac:dyDescent="0.15">
      <c r="A2818" s="196" t="s">
        <v>11229</v>
      </c>
      <c r="B2818" s="196" t="s">
        <v>11230</v>
      </c>
      <c r="C2818" s="196" t="s">
        <v>18021</v>
      </c>
      <c r="D2818" s="196" t="s">
        <v>18022</v>
      </c>
      <c r="E2818" s="196" t="s">
        <v>18022</v>
      </c>
      <c r="F2818" s="196" t="s">
        <v>11233</v>
      </c>
      <c r="G2818" s="196" t="s">
        <v>12378</v>
      </c>
      <c r="H2818" s="196" t="s">
        <v>11235</v>
      </c>
    </row>
    <row r="2819" spans="1:8" x14ac:dyDescent="0.15">
      <c r="A2819" s="196" t="s">
        <v>11229</v>
      </c>
      <c r="B2819" s="196" t="s">
        <v>11230</v>
      </c>
      <c r="C2819" s="196" t="s">
        <v>18023</v>
      </c>
      <c r="D2819" s="196" t="s">
        <v>18024</v>
      </c>
      <c r="E2819" s="196" t="s">
        <v>18024</v>
      </c>
      <c r="F2819" s="196" t="s">
        <v>11233</v>
      </c>
      <c r="G2819" s="196" t="s">
        <v>12378</v>
      </c>
      <c r="H2819" s="196" t="s">
        <v>11235</v>
      </c>
    </row>
    <row r="2820" spans="1:8" x14ac:dyDescent="0.15">
      <c r="A2820" s="196" t="s">
        <v>11229</v>
      </c>
      <c r="B2820" s="196" t="s">
        <v>11230</v>
      </c>
      <c r="C2820" s="196" t="s">
        <v>18025</v>
      </c>
      <c r="D2820" s="196" t="s">
        <v>18026</v>
      </c>
      <c r="E2820" s="196" t="s">
        <v>18026</v>
      </c>
      <c r="F2820" s="196" t="s">
        <v>11233</v>
      </c>
      <c r="G2820" s="196" t="s">
        <v>12378</v>
      </c>
      <c r="H2820" s="196" t="s">
        <v>11235</v>
      </c>
    </row>
    <row r="2821" spans="1:8" x14ac:dyDescent="0.15">
      <c r="A2821" s="196" t="s">
        <v>11229</v>
      </c>
      <c r="B2821" s="196" t="s">
        <v>11230</v>
      </c>
      <c r="C2821" s="196" t="s">
        <v>18027</v>
      </c>
      <c r="D2821" s="196" t="s">
        <v>18028</v>
      </c>
      <c r="E2821" s="196" t="s">
        <v>18028</v>
      </c>
      <c r="F2821" s="196" t="s">
        <v>11233</v>
      </c>
      <c r="G2821" s="196" t="s">
        <v>12378</v>
      </c>
      <c r="H2821" s="196" t="s">
        <v>11235</v>
      </c>
    </row>
    <row r="2822" spans="1:8" x14ac:dyDescent="0.15">
      <c r="A2822" s="196" t="s">
        <v>11229</v>
      </c>
      <c r="B2822" s="196" t="s">
        <v>11230</v>
      </c>
      <c r="C2822" s="196" t="s">
        <v>18029</v>
      </c>
      <c r="D2822" s="196" t="s">
        <v>18030</v>
      </c>
      <c r="E2822" s="196" t="s">
        <v>18030</v>
      </c>
      <c r="F2822" s="196" t="s">
        <v>11233</v>
      </c>
      <c r="G2822" s="196" t="s">
        <v>12378</v>
      </c>
      <c r="H2822" s="196" t="s">
        <v>11235</v>
      </c>
    </row>
    <row r="2823" spans="1:8" x14ac:dyDescent="0.15">
      <c r="A2823" s="196" t="s">
        <v>11229</v>
      </c>
      <c r="B2823" s="196" t="s">
        <v>11230</v>
      </c>
      <c r="C2823" s="196" t="s">
        <v>18031</v>
      </c>
      <c r="D2823" s="196" t="s">
        <v>18032</v>
      </c>
      <c r="E2823" s="196" t="s">
        <v>18032</v>
      </c>
      <c r="F2823" s="196" t="s">
        <v>11233</v>
      </c>
      <c r="G2823" s="196" t="s">
        <v>12378</v>
      </c>
      <c r="H2823" s="196" t="s">
        <v>11235</v>
      </c>
    </row>
    <row r="2824" spans="1:8" x14ac:dyDescent="0.15">
      <c r="A2824" s="196" t="s">
        <v>11229</v>
      </c>
      <c r="B2824" s="196" t="s">
        <v>11230</v>
      </c>
      <c r="C2824" s="196" t="s">
        <v>18033</v>
      </c>
      <c r="D2824" s="196" t="s">
        <v>18034</v>
      </c>
      <c r="E2824" s="196" t="s">
        <v>18034</v>
      </c>
      <c r="F2824" s="196" t="s">
        <v>11233</v>
      </c>
      <c r="G2824" s="196" t="s">
        <v>12378</v>
      </c>
      <c r="H2824" s="196" t="s">
        <v>11235</v>
      </c>
    </row>
    <row r="2825" spans="1:8" x14ac:dyDescent="0.15">
      <c r="A2825" s="196" t="s">
        <v>11229</v>
      </c>
      <c r="B2825" s="196" t="s">
        <v>11230</v>
      </c>
      <c r="C2825" s="196" t="s">
        <v>18035</v>
      </c>
      <c r="D2825" s="196" t="s">
        <v>18036</v>
      </c>
      <c r="E2825" s="196" t="s">
        <v>18036</v>
      </c>
      <c r="F2825" s="196" t="s">
        <v>11233</v>
      </c>
      <c r="G2825" s="196" t="s">
        <v>12378</v>
      </c>
      <c r="H2825" s="196" t="s">
        <v>11235</v>
      </c>
    </row>
    <row r="2826" spans="1:8" x14ac:dyDescent="0.15">
      <c r="A2826" s="196" t="s">
        <v>11229</v>
      </c>
      <c r="B2826" s="196" t="s">
        <v>11230</v>
      </c>
      <c r="C2826" s="196" t="s">
        <v>18037</v>
      </c>
      <c r="D2826" s="196" t="s">
        <v>18038</v>
      </c>
      <c r="E2826" s="196" t="s">
        <v>18038</v>
      </c>
      <c r="F2826" s="196" t="s">
        <v>11233</v>
      </c>
      <c r="G2826" s="196" t="s">
        <v>12378</v>
      </c>
      <c r="H2826" s="196" t="s">
        <v>11235</v>
      </c>
    </row>
    <row r="2827" spans="1:8" x14ac:dyDescent="0.15">
      <c r="A2827" s="196" t="s">
        <v>11229</v>
      </c>
      <c r="B2827" s="196" t="s">
        <v>11230</v>
      </c>
      <c r="C2827" s="196" t="s">
        <v>18039</v>
      </c>
      <c r="D2827" s="196" t="s">
        <v>18040</v>
      </c>
      <c r="E2827" s="196" t="s">
        <v>18040</v>
      </c>
      <c r="F2827" s="196" t="s">
        <v>11233</v>
      </c>
      <c r="G2827" s="196" t="s">
        <v>12378</v>
      </c>
      <c r="H2827" s="196" t="s">
        <v>11235</v>
      </c>
    </row>
    <row r="2828" spans="1:8" x14ac:dyDescent="0.15">
      <c r="A2828" s="196" t="s">
        <v>11229</v>
      </c>
      <c r="B2828" s="196" t="s">
        <v>11230</v>
      </c>
      <c r="C2828" s="196" t="s">
        <v>18041</v>
      </c>
      <c r="D2828" s="196" t="s">
        <v>18042</v>
      </c>
      <c r="E2828" s="196" t="s">
        <v>18042</v>
      </c>
      <c r="F2828" s="196" t="s">
        <v>11233</v>
      </c>
      <c r="G2828" s="196" t="s">
        <v>12378</v>
      </c>
      <c r="H2828" s="196" t="s">
        <v>11235</v>
      </c>
    </row>
    <row r="2829" spans="1:8" x14ac:dyDescent="0.15">
      <c r="A2829" s="196" t="s">
        <v>11229</v>
      </c>
      <c r="B2829" s="196" t="s">
        <v>11230</v>
      </c>
      <c r="C2829" s="196" t="s">
        <v>18043</v>
      </c>
      <c r="D2829" s="196" t="s">
        <v>18044</v>
      </c>
      <c r="E2829" s="196" t="s">
        <v>18044</v>
      </c>
      <c r="F2829" s="196" t="s">
        <v>11233</v>
      </c>
      <c r="G2829" s="196" t="s">
        <v>12378</v>
      </c>
      <c r="H2829" s="196" t="s">
        <v>11235</v>
      </c>
    </row>
    <row r="2830" spans="1:8" x14ac:dyDescent="0.15">
      <c r="A2830" s="196" t="s">
        <v>11229</v>
      </c>
      <c r="B2830" s="196" t="s">
        <v>11230</v>
      </c>
      <c r="C2830" s="196" t="s">
        <v>18045</v>
      </c>
      <c r="D2830" s="196" t="s">
        <v>18046</v>
      </c>
      <c r="E2830" s="196" t="s">
        <v>18046</v>
      </c>
      <c r="F2830" s="196" t="s">
        <v>11233</v>
      </c>
      <c r="G2830" s="196" t="s">
        <v>12378</v>
      </c>
      <c r="H2830" s="196" t="s">
        <v>11235</v>
      </c>
    </row>
    <row r="2831" spans="1:8" x14ac:dyDescent="0.15">
      <c r="A2831" s="196" t="s">
        <v>11229</v>
      </c>
      <c r="B2831" s="196" t="s">
        <v>11230</v>
      </c>
      <c r="C2831" s="196" t="s">
        <v>18047</v>
      </c>
      <c r="D2831" s="196" t="s">
        <v>18048</v>
      </c>
      <c r="E2831" s="196" t="s">
        <v>18048</v>
      </c>
      <c r="F2831" s="196" t="s">
        <v>11233</v>
      </c>
      <c r="G2831" s="196" t="s">
        <v>12378</v>
      </c>
      <c r="H2831" s="196" t="s">
        <v>11235</v>
      </c>
    </row>
    <row r="2832" spans="1:8" x14ac:dyDescent="0.15">
      <c r="A2832" s="196" t="s">
        <v>11229</v>
      </c>
      <c r="B2832" s="196" t="s">
        <v>11230</v>
      </c>
      <c r="C2832" s="196" t="s">
        <v>18049</v>
      </c>
      <c r="D2832" s="196" t="s">
        <v>18050</v>
      </c>
      <c r="E2832" s="196" t="s">
        <v>18050</v>
      </c>
      <c r="F2832" s="196" t="s">
        <v>11233</v>
      </c>
      <c r="G2832" s="196" t="s">
        <v>12378</v>
      </c>
      <c r="H2832" s="196" t="s">
        <v>11235</v>
      </c>
    </row>
    <row r="2833" spans="1:8" x14ac:dyDescent="0.15">
      <c r="A2833" s="196" t="s">
        <v>11229</v>
      </c>
      <c r="B2833" s="196" t="s">
        <v>11230</v>
      </c>
      <c r="C2833" s="196" t="s">
        <v>18051</v>
      </c>
      <c r="D2833" s="196" t="s">
        <v>18052</v>
      </c>
      <c r="E2833" s="196" t="s">
        <v>18052</v>
      </c>
      <c r="F2833" s="196" t="s">
        <v>11233</v>
      </c>
      <c r="G2833" s="196" t="s">
        <v>12378</v>
      </c>
      <c r="H2833" s="196" t="s">
        <v>11235</v>
      </c>
    </row>
    <row r="2834" spans="1:8" x14ac:dyDescent="0.15">
      <c r="A2834" s="196" t="s">
        <v>11229</v>
      </c>
      <c r="B2834" s="196" t="s">
        <v>11230</v>
      </c>
      <c r="C2834" s="196" t="s">
        <v>18053</v>
      </c>
      <c r="D2834" s="196" t="s">
        <v>18054</v>
      </c>
      <c r="E2834" s="196" t="s">
        <v>18054</v>
      </c>
      <c r="F2834" s="196" t="s">
        <v>11233</v>
      </c>
      <c r="G2834" s="196" t="s">
        <v>12378</v>
      </c>
      <c r="H2834" s="196" t="s">
        <v>11235</v>
      </c>
    </row>
    <row r="2835" spans="1:8" x14ac:dyDescent="0.15">
      <c r="A2835" s="196" t="s">
        <v>11229</v>
      </c>
      <c r="B2835" s="196" t="s">
        <v>11230</v>
      </c>
      <c r="C2835" s="196" t="s">
        <v>18055</v>
      </c>
      <c r="D2835" s="196" t="s">
        <v>18056</v>
      </c>
      <c r="E2835" s="196" t="s">
        <v>18056</v>
      </c>
      <c r="F2835" s="196" t="s">
        <v>11233</v>
      </c>
      <c r="G2835" s="196" t="s">
        <v>12378</v>
      </c>
      <c r="H2835" s="196" t="s">
        <v>11235</v>
      </c>
    </row>
    <row r="2836" spans="1:8" x14ac:dyDescent="0.15">
      <c r="A2836" s="196" t="s">
        <v>11229</v>
      </c>
      <c r="B2836" s="196" t="s">
        <v>11230</v>
      </c>
      <c r="C2836" s="196" t="s">
        <v>18057</v>
      </c>
      <c r="D2836" s="196" t="s">
        <v>18058</v>
      </c>
      <c r="E2836" s="196" t="s">
        <v>18058</v>
      </c>
      <c r="F2836" s="196" t="s">
        <v>11233</v>
      </c>
      <c r="G2836" s="196" t="s">
        <v>12378</v>
      </c>
      <c r="H2836" s="196" t="s">
        <v>11235</v>
      </c>
    </row>
    <row r="2837" spans="1:8" x14ac:dyDescent="0.15">
      <c r="A2837" s="196" t="s">
        <v>11229</v>
      </c>
      <c r="B2837" s="196" t="s">
        <v>11230</v>
      </c>
      <c r="C2837" s="196" t="s">
        <v>18059</v>
      </c>
      <c r="D2837" s="196" t="s">
        <v>18060</v>
      </c>
      <c r="E2837" s="196" t="s">
        <v>18060</v>
      </c>
      <c r="F2837" s="196" t="s">
        <v>11233</v>
      </c>
      <c r="G2837" s="196" t="s">
        <v>12378</v>
      </c>
      <c r="H2837" s="196" t="s">
        <v>11235</v>
      </c>
    </row>
    <row r="2838" spans="1:8" x14ac:dyDescent="0.15">
      <c r="A2838" s="196" t="s">
        <v>11229</v>
      </c>
      <c r="B2838" s="196" t="s">
        <v>11230</v>
      </c>
      <c r="C2838" s="196" t="s">
        <v>18061</v>
      </c>
      <c r="D2838" s="196" t="s">
        <v>18062</v>
      </c>
      <c r="E2838" s="196" t="s">
        <v>18062</v>
      </c>
      <c r="F2838" s="196" t="s">
        <v>11233</v>
      </c>
      <c r="G2838" s="196" t="s">
        <v>12378</v>
      </c>
      <c r="H2838" s="196" t="s">
        <v>11235</v>
      </c>
    </row>
    <row r="2839" spans="1:8" x14ac:dyDescent="0.15">
      <c r="A2839" s="196" t="s">
        <v>11229</v>
      </c>
      <c r="B2839" s="196" t="s">
        <v>11230</v>
      </c>
      <c r="C2839" s="196" t="s">
        <v>18063</v>
      </c>
      <c r="D2839" s="196" t="s">
        <v>18064</v>
      </c>
      <c r="E2839" s="196" t="s">
        <v>18064</v>
      </c>
      <c r="F2839" s="196" t="s">
        <v>11233</v>
      </c>
      <c r="G2839" s="196" t="s">
        <v>12378</v>
      </c>
      <c r="H2839" s="196" t="s">
        <v>11235</v>
      </c>
    </row>
    <row r="2840" spans="1:8" x14ac:dyDescent="0.15">
      <c r="A2840" s="196" t="s">
        <v>11229</v>
      </c>
      <c r="B2840" s="196" t="s">
        <v>11230</v>
      </c>
      <c r="C2840" s="196" t="s">
        <v>18065</v>
      </c>
      <c r="D2840" s="196" t="s">
        <v>18066</v>
      </c>
      <c r="E2840" s="196" t="s">
        <v>18066</v>
      </c>
      <c r="F2840" s="196" t="s">
        <v>11233</v>
      </c>
      <c r="G2840" s="196" t="s">
        <v>12378</v>
      </c>
      <c r="H2840" s="196" t="s">
        <v>11235</v>
      </c>
    </row>
    <row r="2841" spans="1:8" x14ac:dyDescent="0.15">
      <c r="A2841" s="196" t="s">
        <v>11229</v>
      </c>
      <c r="B2841" s="196" t="s">
        <v>11230</v>
      </c>
      <c r="C2841" s="196" t="s">
        <v>18067</v>
      </c>
      <c r="D2841" s="196" t="s">
        <v>18068</v>
      </c>
      <c r="E2841" s="196" t="s">
        <v>18068</v>
      </c>
      <c r="F2841" s="196" t="s">
        <v>11233</v>
      </c>
      <c r="G2841" s="196" t="s">
        <v>12378</v>
      </c>
      <c r="H2841" s="196" t="s">
        <v>11235</v>
      </c>
    </row>
    <row r="2842" spans="1:8" x14ac:dyDescent="0.15">
      <c r="A2842" s="196" t="s">
        <v>11229</v>
      </c>
      <c r="B2842" s="196" t="s">
        <v>11230</v>
      </c>
      <c r="C2842" s="196" t="s">
        <v>18069</v>
      </c>
      <c r="D2842" s="196" t="s">
        <v>18070</v>
      </c>
      <c r="E2842" s="196" t="s">
        <v>18070</v>
      </c>
      <c r="F2842" s="196" t="s">
        <v>11233</v>
      </c>
      <c r="G2842" s="196" t="s">
        <v>12378</v>
      </c>
      <c r="H2842" s="196" t="s">
        <v>11235</v>
      </c>
    </row>
    <row r="2843" spans="1:8" x14ac:dyDescent="0.15">
      <c r="A2843" s="196" t="s">
        <v>11229</v>
      </c>
      <c r="B2843" s="196" t="s">
        <v>11230</v>
      </c>
      <c r="C2843" s="196" t="s">
        <v>18071</v>
      </c>
      <c r="D2843" s="196" t="s">
        <v>18072</v>
      </c>
      <c r="E2843" s="196" t="s">
        <v>18072</v>
      </c>
      <c r="F2843" s="196" t="s">
        <v>11233</v>
      </c>
      <c r="G2843" s="196" t="s">
        <v>12378</v>
      </c>
      <c r="H2843" s="196" t="s">
        <v>11235</v>
      </c>
    </row>
    <row r="2844" spans="1:8" x14ac:dyDescent="0.15">
      <c r="A2844" s="196" t="s">
        <v>11229</v>
      </c>
      <c r="B2844" s="196" t="s">
        <v>11230</v>
      </c>
      <c r="C2844" s="196" t="s">
        <v>18073</v>
      </c>
      <c r="D2844" s="196" t="s">
        <v>18074</v>
      </c>
      <c r="E2844" s="196" t="s">
        <v>18074</v>
      </c>
      <c r="F2844" s="196" t="s">
        <v>11233</v>
      </c>
      <c r="G2844" s="196" t="s">
        <v>12378</v>
      </c>
      <c r="H2844" s="196" t="s">
        <v>11235</v>
      </c>
    </row>
    <row r="2845" spans="1:8" x14ac:dyDescent="0.15">
      <c r="A2845" s="196" t="s">
        <v>11229</v>
      </c>
      <c r="B2845" s="196" t="s">
        <v>11230</v>
      </c>
      <c r="C2845" s="196" t="s">
        <v>18075</v>
      </c>
      <c r="D2845" s="196" t="s">
        <v>18076</v>
      </c>
      <c r="E2845" s="196" t="s">
        <v>18076</v>
      </c>
      <c r="F2845" s="196" t="s">
        <v>11233</v>
      </c>
      <c r="G2845" s="196" t="s">
        <v>12378</v>
      </c>
      <c r="H2845" s="196" t="s">
        <v>11235</v>
      </c>
    </row>
    <row r="2846" spans="1:8" x14ac:dyDescent="0.15">
      <c r="A2846" s="196" t="s">
        <v>11229</v>
      </c>
      <c r="B2846" s="196" t="s">
        <v>11230</v>
      </c>
      <c r="C2846" s="196" t="s">
        <v>18077</v>
      </c>
      <c r="D2846" s="196" t="s">
        <v>18078</v>
      </c>
      <c r="E2846" s="196" t="s">
        <v>18078</v>
      </c>
      <c r="F2846" s="196" t="s">
        <v>11233</v>
      </c>
      <c r="G2846" s="196" t="s">
        <v>12378</v>
      </c>
      <c r="H2846" s="196" t="s">
        <v>11235</v>
      </c>
    </row>
    <row r="2847" spans="1:8" x14ac:dyDescent="0.15">
      <c r="A2847" s="196" t="s">
        <v>11229</v>
      </c>
      <c r="B2847" s="196" t="s">
        <v>11230</v>
      </c>
      <c r="C2847" s="196" t="s">
        <v>18079</v>
      </c>
      <c r="D2847" s="196" t="s">
        <v>18080</v>
      </c>
      <c r="E2847" s="196" t="s">
        <v>18080</v>
      </c>
      <c r="F2847" s="196" t="s">
        <v>11233</v>
      </c>
      <c r="G2847" s="196" t="s">
        <v>12378</v>
      </c>
      <c r="H2847" s="196" t="s">
        <v>11235</v>
      </c>
    </row>
    <row r="2848" spans="1:8" x14ac:dyDescent="0.15">
      <c r="A2848" s="196" t="s">
        <v>11229</v>
      </c>
      <c r="B2848" s="196" t="s">
        <v>11230</v>
      </c>
      <c r="C2848" s="196" t="s">
        <v>18081</v>
      </c>
      <c r="D2848" s="196" t="s">
        <v>18082</v>
      </c>
      <c r="E2848" s="196" t="s">
        <v>18082</v>
      </c>
      <c r="F2848" s="196" t="s">
        <v>11233</v>
      </c>
      <c r="G2848" s="196" t="s">
        <v>12378</v>
      </c>
      <c r="H2848" s="196" t="s">
        <v>11235</v>
      </c>
    </row>
    <row r="2849" spans="1:8" x14ac:dyDescent="0.15">
      <c r="A2849" s="196" t="s">
        <v>11229</v>
      </c>
      <c r="B2849" s="196" t="s">
        <v>11230</v>
      </c>
      <c r="C2849" s="196" t="s">
        <v>18083</v>
      </c>
      <c r="D2849" s="196" t="s">
        <v>18084</v>
      </c>
      <c r="E2849" s="196" t="s">
        <v>18084</v>
      </c>
      <c r="F2849" s="196" t="s">
        <v>11233</v>
      </c>
      <c r="G2849" s="196" t="s">
        <v>12378</v>
      </c>
      <c r="H2849" s="196" t="s">
        <v>11235</v>
      </c>
    </row>
    <row r="2850" spans="1:8" x14ac:dyDescent="0.15">
      <c r="A2850" s="196" t="s">
        <v>11229</v>
      </c>
      <c r="B2850" s="196" t="s">
        <v>11230</v>
      </c>
      <c r="C2850" s="196" t="s">
        <v>18085</v>
      </c>
      <c r="D2850" s="196" t="s">
        <v>18086</v>
      </c>
      <c r="E2850" s="196" t="s">
        <v>18086</v>
      </c>
      <c r="F2850" s="196" t="s">
        <v>11233</v>
      </c>
      <c r="G2850" s="196" t="s">
        <v>12378</v>
      </c>
      <c r="H2850" s="196" t="s">
        <v>11235</v>
      </c>
    </row>
    <row r="2851" spans="1:8" x14ac:dyDescent="0.15">
      <c r="A2851" s="196" t="s">
        <v>11229</v>
      </c>
      <c r="B2851" s="196" t="s">
        <v>11230</v>
      </c>
      <c r="C2851" s="196" t="s">
        <v>18087</v>
      </c>
      <c r="D2851" s="196" t="s">
        <v>18088</v>
      </c>
      <c r="E2851" s="196" t="s">
        <v>18088</v>
      </c>
      <c r="F2851" s="196" t="s">
        <v>11233</v>
      </c>
      <c r="G2851" s="196" t="s">
        <v>12378</v>
      </c>
      <c r="H2851" s="196" t="s">
        <v>11235</v>
      </c>
    </row>
    <row r="2852" spans="1:8" x14ac:dyDescent="0.15">
      <c r="A2852" s="196" t="s">
        <v>11229</v>
      </c>
      <c r="B2852" s="196" t="s">
        <v>11230</v>
      </c>
      <c r="C2852" s="196" t="s">
        <v>18089</v>
      </c>
      <c r="D2852" s="196" t="s">
        <v>18090</v>
      </c>
      <c r="E2852" s="196" t="s">
        <v>18090</v>
      </c>
      <c r="F2852" s="196" t="s">
        <v>11233</v>
      </c>
      <c r="G2852" s="196" t="s">
        <v>12378</v>
      </c>
      <c r="H2852" s="196" t="s">
        <v>11235</v>
      </c>
    </row>
    <row r="2853" spans="1:8" x14ac:dyDescent="0.15">
      <c r="A2853" s="196" t="s">
        <v>11229</v>
      </c>
      <c r="B2853" s="196" t="s">
        <v>11230</v>
      </c>
      <c r="C2853" s="196" t="s">
        <v>18091</v>
      </c>
      <c r="D2853" s="196" t="s">
        <v>18092</v>
      </c>
      <c r="E2853" s="196" t="s">
        <v>18092</v>
      </c>
      <c r="F2853" s="196" t="s">
        <v>11233</v>
      </c>
      <c r="G2853" s="196" t="s">
        <v>12378</v>
      </c>
      <c r="H2853" s="196" t="s">
        <v>11235</v>
      </c>
    </row>
    <row r="2854" spans="1:8" x14ac:dyDescent="0.15">
      <c r="A2854" s="196" t="s">
        <v>11229</v>
      </c>
      <c r="B2854" s="196" t="s">
        <v>11230</v>
      </c>
      <c r="C2854" s="196" t="s">
        <v>18093</v>
      </c>
      <c r="D2854" s="196" t="s">
        <v>18094</v>
      </c>
      <c r="E2854" s="196" t="s">
        <v>18094</v>
      </c>
      <c r="F2854" s="196" t="s">
        <v>11233</v>
      </c>
      <c r="G2854" s="196" t="s">
        <v>12378</v>
      </c>
      <c r="H2854" s="196" t="s">
        <v>11235</v>
      </c>
    </row>
    <row r="2855" spans="1:8" x14ac:dyDescent="0.15">
      <c r="A2855" s="196" t="s">
        <v>11229</v>
      </c>
      <c r="B2855" s="196" t="s">
        <v>11230</v>
      </c>
      <c r="C2855" s="196" t="s">
        <v>18095</v>
      </c>
      <c r="D2855" s="196" t="s">
        <v>18096</v>
      </c>
      <c r="E2855" s="196" t="s">
        <v>18096</v>
      </c>
      <c r="F2855" s="196" t="s">
        <v>11233</v>
      </c>
      <c r="G2855" s="196" t="s">
        <v>12378</v>
      </c>
      <c r="H2855" s="196" t="s">
        <v>11235</v>
      </c>
    </row>
    <row r="2856" spans="1:8" x14ac:dyDescent="0.15">
      <c r="A2856" s="196" t="s">
        <v>11229</v>
      </c>
      <c r="B2856" s="196" t="s">
        <v>11230</v>
      </c>
      <c r="C2856" s="196" t="s">
        <v>18097</v>
      </c>
      <c r="D2856" s="196" t="s">
        <v>18098</v>
      </c>
      <c r="E2856" s="196" t="s">
        <v>18099</v>
      </c>
      <c r="F2856" s="196" t="s">
        <v>11241</v>
      </c>
      <c r="G2856" s="196" t="s">
        <v>12378</v>
      </c>
      <c r="H2856" s="196" t="s">
        <v>11235</v>
      </c>
    </row>
    <row r="2857" spans="1:8" x14ac:dyDescent="0.15">
      <c r="A2857" s="196" t="s">
        <v>11229</v>
      </c>
      <c r="B2857" s="196" t="s">
        <v>11230</v>
      </c>
      <c r="C2857" s="196" t="s">
        <v>18100</v>
      </c>
      <c r="D2857" s="196" t="s">
        <v>18101</v>
      </c>
      <c r="E2857" s="196" t="s">
        <v>18101</v>
      </c>
      <c r="F2857" s="196" t="s">
        <v>11233</v>
      </c>
      <c r="G2857" s="196" t="s">
        <v>12378</v>
      </c>
      <c r="H2857" s="196" t="s">
        <v>11235</v>
      </c>
    </row>
    <row r="2858" spans="1:8" x14ac:dyDescent="0.15">
      <c r="A2858" s="196" t="s">
        <v>11229</v>
      </c>
      <c r="B2858" s="196" t="s">
        <v>11230</v>
      </c>
      <c r="C2858" s="196" t="s">
        <v>18102</v>
      </c>
      <c r="D2858" s="196" t="s">
        <v>18103</v>
      </c>
      <c r="E2858" s="196" t="s">
        <v>18103</v>
      </c>
      <c r="F2858" s="196" t="s">
        <v>11233</v>
      </c>
      <c r="G2858" s="196" t="s">
        <v>12378</v>
      </c>
      <c r="H2858" s="196" t="s">
        <v>11235</v>
      </c>
    </row>
    <row r="2859" spans="1:8" x14ac:dyDescent="0.15">
      <c r="A2859" s="196" t="s">
        <v>11229</v>
      </c>
      <c r="B2859" s="196" t="s">
        <v>11230</v>
      </c>
      <c r="C2859" s="196" t="s">
        <v>18104</v>
      </c>
      <c r="D2859" s="196" t="s">
        <v>18105</v>
      </c>
      <c r="E2859" s="196" t="s">
        <v>18105</v>
      </c>
      <c r="F2859" s="196" t="s">
        <v>11233</v>
      </c>
      <c r="G2859" s="196" t="s">
        <v>12378</v>
      </c>
      <c r="H2859" s="196" t="s">
        <v>11235</v>
      </c>
    </row>
    <row r="2860" spans="1:8" x14ac:dyDescent="0.15">
      <c r="A2860" s="196" t="s">
        <v>11229</v>
      </c>
      <c r="B2860" s="196" t="s">
        <v>11230</v>
      </c>
      <c r="C2860" s="196" t="s">
        <v>18106</v>
      </c>
      <c r="D2860" s="196" t="s">
        <v>18107</v>
      </c>
      <c r="E2860" s="196" t="s">
        <v>18107</v>
      </c>
      <c r="F2860" s="196" t="s">
        <v>11233</v>
      </c>
      <c r="G2860" s="196" t="s">
        <v>12378</v>
      </c>
      <c r="H2860" s="196" t="s">
        <v>11235</v>
      </c>
    </row>
    <row r="2861" spans="1:8" x14ac:dyDescent="0.15">
      <c r="A2861" s="196" t="s">
        <v>11229</v>
      </c>
      <c r="B2861" s="196" t="s">
        <v>11230</v>
      </c>
      <c r="C2861" s="196" t="s">
        <v>18108</v>
      </c>
      <c r="D2861" s="196" t="s">
        <v>18109</v>
      </c>
      <c r="E2861" s="196" t="s">
        <v>18110</v>
      </c>
      <c r="F2861" s="196" t="s">
        <v>11268</v>
      </c>
      <c r="G2861" s="196" t="s">
        <v>12378</v>
      </c>
      <c r="H2861" s="196" t="s">
        <v>11235</v>
      </c>
    </row>
    <row r="2862" spans="1:8" x14ac:dyDescent="0.15">
      <c r="A2862" s="196" t="s">
        <v>11229</v>
      </c>
      <c r="B2862" s="196" t="s">
        <v>11230</v>
      </c>
      <c r="C2862" s="196" t="s">
        <v>18111</v>
      </c>
      <c r="D2862" s="196" t="s">
        <v>18112</v>
      </c>
      <c r="E2862" s="196" t="s">
        <v>18112</v>
      </c>
      <c r="F2862" s="196" t="s">
        <v>11233</v>
      </c>
      <c r="G2862" s="196" t="s">
        <v>12378</v>
      </c>
      <c r="H2862" s="196" t="s">
        <v>11235</v>
      </c>
    </row>
    <row r="2863" spans="1:8" x14ac:dyDescent="0.15">
      <c r="A2863" s="196" t="s">
        <v>11229</v>
      </c>
      <c r="B2863" s="196" t="s">
        <v>11230</v>
      </c>
      <c r="C2863" s="196" t="s">
        <v>18113</v>
      </c>
      <c r="D2863" s="196" t="s">
        <v>18114</v>
      </c>
      <c r="E2863" s="196" t="s">
        <v>18114</v>
      </c>
      <c r="F2863" s="196" t="s">
        <v>11233</v>
      </c>
      <c r="G2863" s="196" t="s">
        <v>12378</v>
      </c>
      <c r="H2863" s="196" t="s">
        <v>11235</v>
      </c>
    </row>
    <row r="2864" spans="1:8" x14ac:dyDescent="0.15">
      <c r="A2864" s="196" t="s">
        <v>11229</v>
      </c>
      <c r="B2864" s="196" t="s">
        <v>11230</v>
      </c>
      <c r="C2864" s="196" t="s">
        <v>18115</v>
      </c>
      <c r="D2864" s="196" t="s">
        <v>18116</v>
      </c>
      <c r="E2864" s="196" t="s">
        <v>18116</v>
      </c>
      <c r="F2864" s="196" t="s">
        <v>11233</v>
      </c>
      <c r="G2864" s="196" t="s">
        <v>12378</v>
      </c>
      <c r="H2864" s="196" t="s">
        <v>11235</v>
      </c>
    </row>
    <row r="2865" spans="1:8" x14ac:dyDescent="0.15">
      <c r="A2865" s="196" t="s">
        <v>11229</v>
      </c>
      <c r="B2865" s="196" t="s">
        <v>11230</v>
      </c>
      <c r="C2865" s="196" t="s">
        <v>18117</v>
      </c>
      <c r="D2865" s="196" t="s">
        <v>18118</v>
      </c>
      <c r="E2865" s="196" t="s">
        <v>18118</v>
      </c>
      <c r="F2865" s="196" t="s">
        <v>11233</v>
      </c>
      <c r="G2865" s="196" t="s">
        <v>12378</v>
      </c>
      <c r="H2865" s="196" t="s">
        <v>11235</v>
      </c>
    </row>
    <row r="2866" spans="1:8" x14ac:dyDescent="0.15">
      <c r="A2866" s="196" t="s">
        <v>11229</v>
      </c>
      <c r="B2866" s="196" t="s">
        <v>11230</v>
      </c>
      <c r="C2866" s="196" t="s">
        <v>18119</v>
      </c>
      <c r="D2866" s="196" t="s">
        <v>18120</v>
      </c>
      <c r="E2866" s="196" t="s">
        <v>18120</v>
      </c>
      <c r="F2866" s="196" t="s">
        <v>11233</v>
      </c>
      <c r="G2866" s="196" t="s">
        <v>12378</v>
      </c>
      <c r="H2866" s="196" t="s">
        <v>11235</v>
      </c>
    </row>
    <row r="2867" spans="1:8" x14ac:dyDescent="0.15">
      <c r="A2867" s="196" t="s">
        <v>11229</v>
      </c>
      <c r="B2867" s="196" t="s">
        <v>11230</v>
      </c>
      <c r="C2867" s="196" t="s">
        <v>18121</v>
      </c>
      <c r="D2867" s="196" t="s">
        <v>18122</v>
      </c>
      <c r="E2867" s="196" t="s">
        <v>18122</v>
      </c>
      <c r="F2867" s="196" t="s">
        <v>11233</v>
      </c>
      <c r="G2867" s="196" t="s">
        <v>12378</v>
      </c>
      <c r="H2867" s="196" t="s">
        <v>11235</v>
      </c>
    </row>
    <row r="2868" spans="1:8" x14ac:dyDescent="0.15">
      <c r="A2868" s="196" t="s">
        <v>11229</v>
      </c>
      <c r="B2868" s="196" t="s">
        <v>11230</v>
      </c>
      <c r="C2868" s="196" t="s">
        <v>18123</v>
      </c>
      <c r="D2868" s="196" t="s">
        <v>18124</v>
      </c>
      <c r="E2868" s="196" t="s">
        <v>18124</v>
      </c>
      <c r="F2868" s="196" t="s">
        <v>11233</v>
      </c>
      <c r="G2868" s="196" t="s">
        <v>12378</v>
      </c>
      <c r="H2868" s="196" t="s">
        <v>11235</v>
      </c>
    </row>
    <row r="2869" spans="1:8" x14ac:dyDescent="0.15">
      <c r="A2869" s="196" t="s">
        <v>11229</v>
      </c>
      <c r="B2869" s="196" t="s">
        <v>11230</v>
      </c>
      <c r="C2869" s="196" t="s">
        <v>18125</v>
      </c>
      <c r="D2869" s="196" t="s">
        <v>18126</v>
      </c>
      <c r="E2869" s="196" t="s">
        <v>18126</v>
      </c>
      <c r="F2869" s="196" t="s">
        <v>11233</v>
      </c>
      <c r="G2869" s="196" t="s">
        <v>12378</v>
      </c>
      <c r="H2869" s="196" t="s">
        <v>11235</v>
      </c>
    </row>
    <row r="2870" spans="1:8" x14ac:dyDescent="0.15">
      <c r="A2870" s="196" t="s">
        <v>11229</v>
      </c>
      <c r="B2870" s="196" t="s">
        <v>11230</v>
      </c>
      <c r="C2870" s="196" t="s">
        <v>18127</v>
      </c>
      <c r="D2870" s="196" t="s">
        <v>18128</v>
      </c>
      <c r="E2870" s="196" t="s">
        <v>18129</v>
      </c>
      <c r="F2870" s="196" t="s">
        <v>12572</v>
      </c>
      <c r="G2870" s="196" t="s">
        <v>12378</v>
      </c>
      <c r="H2870" s="196" t="s">
        <v>11235</v>
      </c>
    </row>
    <row r="2871" spans="1:8" x14ac:dyDescent="0.15">
      <c r="A2871" s="196" t="s">
        <v>11229</v>
      </c>
      <c r="B2871" s="196" t="s">
        <v>11230</v>
      </c>
      <c r="C2871" s="196" t="s">
        <v>18130</v>
      </c>
      <c r="D2871" s="196" t="s">
        <v>18131</v>
      </c>
      <c r="E2871" s="196" t="s">
        <v>18131</v>
      </c>
      <c r="F2871" s="196" t="s">
        <v>11233</v>
      </c>
      <c r="G2871" s="196" t="s">
        <v>12378</v>
      </c>
      <c r="H2871" s="196" t="s">
        <v>11235</v>
      </c>
    </row>
    <row r="2872" spans="1:8" x14ac:dyDescent="0.15">
      <c r="A2872" s="196" t="s">
        <v>11229</v>
      </c>
      <c r="B2872" s="196" t="s">
        <v>11230</v>
      </c>
      <c r="C2872" s="196" t="s">
        <v>18132</v>
      </c>
      <c r="D2872" s="196" t="s">
        <v>18133</v>
      </c>
      <c r="E2872" s="196" t="s">
        <v>18133</v>
      </c>
      <c r="F2872" s="196" t="s">
        <v>11233</v>
      </c>
      <c r="G2872" s="196" t="s">
        <v>12378</v>
      </c>
      <c r="H2872" s="196" t="s">
        <v>11235</v>
      </c>
    </row>
    <row r="2873" spans="1:8" x14ac:dyDescent="0.15">
      <c r="A2873" s="196" t="s">
        <v>11229</v>
      </c>
      <c r="B2873" s="196" t="s">
        <v>11230</v>
      </c>
      <c r="C2873" s="196" t="s">
        <v>18134</v>
      </c>
      <c r="D2873" s="196" t="s">
        <v>18135</v>
      </c>
      <c r="E2873" s="196" t="s">
        <v>18135</v>
      </c>
      <c r="F2873" s="196" t="s">
        <v>11233</v>
      </c>
      <c r="G2873" s="196" t="s">
        <v>12378</v>
      </c>
      <c r="H2873" s="196" t="s">
        <v>11235</v>
      </c>
    </row>
    <row r="2874" spans="1:8" x14ac:dyDescent="0.15">
      <c r="A2874" s="196" t="s">
        <v>11229</v>
      </c>
      <c r="B2874" s="196" t="s">
        <v>11230</v>
      </c>
      <c r="C2874" s="196" t="s">
        <v>18136</v>
      </c>
      <c r="D2874" s="196" t="s">
        <v>18137</v>
      </c>
      <c r="E2874" s="196" t="s">
        <v>18137</v>
      </c>
      <c r="F2874" s="196" t="s">
        <v>11233</v>
      </c>
      <c r="G2874" s="196" t="s">
        <v>12378</v>
      </c>
      <c r="H2874" s="196" t="s">
        <v>11235</v>
      </c>
    </row>
    <row r="2875" spans="1:8" x14ac:dyDescent="0.15">
      <c r="A2875" s="196" t="s">
        <v>11229</v>
      </c>
      <c r="B2875" s="196" t="s">
        <v>11230</v>
      </c>
      <c r="C2875" s="196" t="s">
        <v>18138</v>
      </c>
      <c r="D2875" s="196" t="s">
        <v>18139</v>
      </c>
      <c r="E2875" s="196" t="s">
        <v>18139</v>
      </c>
      <c r="F2875" s="196" t="s">
        <v>11233</v>
      </c>
      <c r="G2875" s="196" t="s">
        <v>12378</v>
      </c>
      <c r="H2875" s="196" t="s">
        <v>11235</v>
      </c>
    </row>
    <row r="2876" spans="1:8" x14ac:dyDescent="0.15">
      <c r="A2876" s="196" t="s">
        <v>11229</v>
      </c>
      <c r="B2876" s="196" t="s">
        <v>11230</v>
      </c>
      <c r="C2876" s="196" t="s">
        <v>18140</v>
      </c>
      <c r="D2876" s="196" t="s">
        <v>18141</v>
      </c>
      <c r="E2876" s="196" t="s">
        <v>18141</v>
      </c>
      <c r="F2876" s="196" t="s">
        <v>11233</v>
      </c>
      <c r="G2876" s="196" t="s">
        <v>12378</v>
      </c>
      <c r="H2876" s="196" t="s">
        <v>11235</v>
      </c>
    </row>
    <row r="2877" spans="1:8" x14ac:dyDescent="0.15">
      <c r="A2877" s="196" t="s">
        <v>11229</v>
      </c>
      <c r="B2877" s="196" t="s">
        <v>11230</v>
      </c>
      <c r="C2877" s="196" t="s">
        <v>18142</v>
      </c>
      <c r="D2877" s="196" t="s">
        <v>18143</v>
      </c>
      <c r="E2877" s="196" t="s">
        <v>18143</v>
      </c>
      <c r="F2877" s="196" t="s">
        <v>11233</v>
      </c>
      <c r="G2877" s="196" t="s">
        <v>12378</v>
      </c>
      <c r="H2877" s="196" t="s">
        <v>11235</v>
      </c>
    </row>
    <row r="2878" spans="1:8" x14ac:dyDescent="0.15">
      <c r="A2878" s="196" t="s">
        <v>11229</v>
      </c>
      <c r="B2878" s="196" t="s">
        <v>11230</v>
      </c>
      <c r="C2878" s="196" t="s">
        <v>18144</v>
      </c>
      <c r="D2878" s="196" t="s">
        <v>18145</v>
      </c>
      <c r="E2878" s="196" t="s">
        <v>18145</v>
      </c>
      <c r="F2878" s="196" t="s">
        <v>11233</v>
      </c>
      <c r="G2878" s="196" t="s">
        <v>12378</v>
      </c>
      <c r="H2878" s="196" t="s">
        <v>11235</v>
      </c>
    </row>
    <row r="2879" spans="1:8" x14ac:dyDescent="0.15">
      <c r="A2879" s="196" t="s">
        <v>11229</v>
      </c>
      <c r="B2879" s="196" t="s">
        <v>11230</v>
      </c>
      <c r="C2879" s="196" t="s">
        <v>18146</v>
      </c>
      <c r="D2879" s="196" t="s">
        <v>18147</v>
      </c>
      <c r="E2879" s="196" t="s">
        <v>18147</v>
      </c>
      <c r="F2879" s="196" t="s">
        <v>11233</v>
      </c>
      <c r="G2879" s="196" t="s">
        <v>12378</v>
      </c>
      <c r="H2879" s="196" t="s">
        <v>11235</v>
      </c>
    </row>
    <row r="2880" spans="1:8" x14ac:dyDescent="0.15">
      <c r="A2880" s="196" t="s">
        <v>11229</v>
      </c>
      <c r="B2880" s="196" t="s">
        <v>11230</v>
      </c>
      <c r="C2880" s="196" t="s">
        <v>18148</v>
      </c>
      <c r="D2880" s="196" t="s">
        <v>18149</v>
      </c>
      <c r="E2880" s="196" t="s">
        <v>18149</v>
      </c>
      <c r="F2880" s="196" t="s">
        <v>11233</v>
      </c>
      <c r="G2880" s="196" t="s">
        <v>12378</v>
      </c>
      <c r="H2880" s="196" t="s">
        <v>11235</v>
      </c>
    </row>
    <row r="2881" spans="1:8" x14ac:dyDescent="0.15">
      <c r="A2881" s="196" t="s">
        <v>11229</v>
      </c>
      <c r="B2881" s="196" t="s">
        <v>11230</v>
      </c>
      <c r="C2881" s="196" t="s">
        <v>18150</v>
      </c>
      <c r="D2881" s="196" t="s">
        <v>18151</v>
      </c>
      <c r="E2881" s="196" t="s">
        <v>18151</v>
      </c>
      <c r="F2881" s="196" t="s">
        <v>11233</v>
      </c>
      <c r="G2881" s="196" t="s">
        <v>12378</v>
      </c>
      <c r="H2881" s="196" t="s">
        <v>11235</v>
      </c>
    </row>
    <row r="2882" spans="1:8" x14ac:dyDescent="0.15">
      <c r="A2882" s="196" t="s">
        <v>11229</v>
      </c>
      <c r="B2882" s="196" t="s">
        <v>11230</v>
      </c>
      <c r="C2882" s="196" t="s">
        <v>18152</v>
      </c>
      <c r="D2882" s="196" t="s">
        <v>18153</v>
      </c>
      <c r="E2882" s="196" t="s">
        <v>18154</v>
      </c>
      <c r="F2882" s="196" t="s">
        <v>11241</v>
      </c>
      <c r="G2882" s="196" t="s">
        <v>12378</v>
      </c>
      <c r="H2882" s="196" t="s">
        <v>11235</v>
      </c>
    </row>
    <row r="2883" spans="1:8" x14ac:dyDescent="0.15">
      <c r="A2883" s="196" t="s">
        <v>11229</v>
      </c>
      <c r="B2883" s="196" t="s">
        <v>11230</v>
      </c>
      <c r="C2883" s="196" t="s">
        <v>18155</v>
      </c>
      <c r="D2883" s="196" t="s">
        <v>18156</v>
      </c>
      <c r="E2883" s="196" t="s">
        <v>18156</v>
      </c>
      <c r="F2883" s="196" t="s">
        <v>11233</v>
      </c>
      <c r="G2883" s="196" t="s">
        <v>12378</v>
      </c>
      <c r="H2883" s="196" t="s">
        <v>11235</v>
      </c>
    </row>
    <row r="2884" spans="1:8" x14ac:dyDescent="0.15">
      <c r="A2884" s="196" t="s">
        <v>11229</v>
      </c>
      <c r="B2884" s="196" t="s">
        <v>11230</v>
      </c>
      <c r="C2884" s="196" t="s">
        <v>18157</v>
      </c>
      <c r="D2884" s="196" t="s">
        <v>18158</v>
      </c>
      <c r="E2884" s="196" t="s">
        <v>18158</v>
      </c>
      <c r="F2884" s="196" t="s">
        <v>11233</v>
      </c>
      <c r="G2884" s="196" t="s">
        <v>12378</v>
      </c>
      <c r="H2884" s="196" t="s">
        <v>11235</v>
      </c>
    </row>
    <row r="2885" spans="1:8" x14ac:dyDescent="0.15">
      <c r="A2885" s="196" t="s">
        <v>11229</v>
      </c>
      <c r="B2885" s="196" t="s">
        <v>11230</v>
      </c>
      <c r="C2885" s="196" t="s">
        <v>18159</v>
      </c>
      <c r="D2885" s="196" t="s">
        <v>18160</v>
      </c>
      <c r="E2885" s="196" t="s">
        <v>18160</v>
      </c>
      <c r="F2885" s="196" t="s">
        <v>11233</v>
      </c>
      <c r="G2885" s="196" t="s">
        <v>12378</v>
      </c>
      <c r="H2885" s="196" t="s">
        <v>11235</v>
      </c>
    </row>
    <row r="2886" spans="1:8" x14ac:dyDescent="0.15">
      <c r="A2886" s="196" t="s">
        <v>11229</v>
      </c>
      <c r="B2886" s="196" t="s">
        <v>11230</v>
      </c>
      <c r="C2886" s="196" t="s">
        <v>18161</v>
      </c>
      <c r="D2886" s="196" t="s">
        <v>18162</v>
      </c>
      <c r="E2886" s="196" t="s">
        <v>18162</v>
      </c>
      <c r="F2886" s="196" t="s">
        <v>11233</v>
      </c>
      <c r="G2886" s="196" t="s">
        <v>12378</v>
      </c>
      <c r="H2886" s="196" t="s">
        <v>11235</v>
      </c>
    </row>
    <row r="2887" spans="1:8" x14ac:dyDescent="0.15">
      <c r="A2887" s="196" t="s">
        <v>11229</v>
      </c>
      <c r="B2887" s="196" t="s">
        <v>11230</v>
      </c>
      <c r="C2887" s="196" t="s">
        <v>18163</v>
      </c>
      <c r="D2887" s="196" t="s">
        <v>18164</v>
      </c>
      <c r="E2887" s="196" t="s">
        <v>18164</v>
      </c>
      <c r="F2887" s="196" t="s">
        <v>11233</v>
      </c>
      <c r="G2887" s="196" t="s">
        <v>12378</v>
      </c>
      <c r="H2887" s="196" t="s">
        <v>11235</v>
      </c>
    </row>
    <row r="2888" spans="1:8" x14ac:dyDescent="0.15">
      <c r="A2888" s="196" t="s">
        <v>11229</v>
      </c>
      <c r="B2888" s="196" t="s">
        <v>11230</v>
      </c>
      <c r="C2888" s="196" t="s">
        <v>18165</v>
      </c>
      <c r="D2888" s="196" t="s">
        <v>18166</v>
      </c>
      <c r="E2888" s="196" t="s">
        <v>18166</v>
      </c>
      <c r="F2888" s="196" t="s">
        <v>11233</v>
      </c>
      <c r="G2888" s="196" t="s">
        <v>12378</v>
      </c>
      <c r="H2888" s="196" t="s">
        <v>11235</v>
      </c>
    </row>
    <row r="2889" spans="1:8" x14ac:dyDescent="0.15">
      <c r="A2889" s="196" t="s">
        <v>11229</v>
      </c>
      <c r="B2889" s="196" t="s">
        <v>11230</v>
      </c>
      <c r="C2889" s="196" t="s">
        <v>18167</v>
      </c>
      <c r="D2889" s="196" t="s">
        <v>18168</v>
      </c>
      <c r="E2889" s="196" t="s">
        <v>18168</v>
      </c>
      <c r="F2889" s="196" t="s">
        <v>11233</v>
      </c>
      <c r="G2889" s="196" t="s">
        <v>12378</v>
      </c>
      <c r="H2889" s="196" t="s">
        <v>11235</v>
      </c>
    </row>
    <row r="2890" spans="1:8" x14ac:dyDescent="0.15">
      <c r="A2890" s="196" t="s">
        <v>11229</v>
      </c>
      <c r="B2890" s="196" t="s">
        <v>11230</v>
      </c>
      <c r="C2890" s="196" t="s">
        <v>18169</v>
      </c>
      <c r="D2890" s="196" t="s">
        <v>18170</v>
      </c>
      <c r="E2890" s="196" t="s">
        <v>18170</v>
      </c>
      <c r="F2890" s="196" t="s">
        <v>11233</v>
      </c>
      <c r="G2890" s="196" t="s">
        <v>12378</v>
      </c>
      <c r="H2890" s="196" t="s">
        <v>11235</v>
      </c>
    </row>
    <row r="2891" spans="1:8" x14ac:dyDescent="0.15">
      <c r="A2891" s="196" t="s">
        <v>11229</v>
      </c>
      <c r="B2891" s="196" t="s">
        <v>11230</v>
      </c>
      <c r="C2891" s="196" t="s">
        <v>18171</v>
      </c>
      <c r="D2891" s="196" t="s">
        <v>18172</v>
      </c>
      <c r="E2891" s="196" t="s">
        <v>18172</v>
      </c>
      <c r="F2891" s="196" t="s">
        <v>11233</v>
      </c>
      <c r="G2891" s="196" t="s">
        <v>12378</v>
      </c>
      <c r="H2891" s="196" t="s">
        <v>11235</v>
      </c>
    </row>
    <row r="2892" spans="1:8" x14ac:dyDescent="0.15">
      <c r="A2892" s="196" t="s">
        <v>11229</v>
      </c>
      <c r="B2892" s="196" t="s">
        <v>11230</v>
      </c>
      <c r="C2892" s="196" t="s">
        <v>18173</v>
      </c>
      <c r="D2892" s="196" t="s">
        <v>18174</v>
      </c>
      <c r="E2892" s="196" t="s">
        <v>18174</v>
      </c>
      <c r="F2892" s="196" t="s">
        <v>11233</v>
      </c>
      <c r="G2892" s="196" t="s">
        <v>12378</v>
      </c>
      <c r="H2892" s="196" t="s">
        <v>11235</v>
      </c>
    </row>
    <row r="2893" spans="1:8" x14ac:dyDescent="0.15">
      <c r="A2893" s="196" t="s">
        <v>11229</v>
      </c>
      <c r="B2893" s="196" t="s">
        <v>11230</v>
      </c>
      <c r="C2893" s="196" t="s">
        <v>18175</v>
      </c>
      <c r="D2893" s="196" t="s">
        <v>18176</v>
      </c>
      <c r="E2893" s="196" t="s">
        <v>18176</v>
      </c>
      <c r="F2893" s="196" t="s">
        <v>11233</v>
      </c>
      <c r="G2893" s="196" t="s">
        <v>12378</v>
      </c>
      <c r="H2893" s="196" t="s">
        <v>11235</v>
      </c>
    </row>
    <row r="2894" spans="1:8" x14ac:dyDescent="0.15">
      <c r="A2894" s="196" t="s">
        <v>11229</v>
      </c>
      <c r="B2894" s="196" t="s">
        <v>11230</v>
      </c>
      <c r="C2894" s="196" t="s">
        <v>18177</v>
      </c>
      <c r="D2894" s="196" t="s">
        <v>18178</v>
      </c>
      <c r="E2894" s="196" t="s">
        <v>18178</v>
      </c>
      <c r="F2894" s="196" t="s">
        <v>11233</v>
      </c>
      <c r="G2894" s="196" t="s">
        <v>12378</v>
      </c>
      <c r="H2894" s="196" t="s">
        <v>11235</v>
      </c>
    </row>
    <row r="2895" spans="1:8" x14ac:dyDescent="0.15">
      <c r="A2895" s="196" t="s">
        <v>11229</v>
      </c>
      <c r="B2895" s="196" t="s">
        <v>11230</v>
      </c>
      <c r="C2895" s="196" t="s">
        <v>18179</v>
      </c>
      <c r="D2895" s="196" t="s">
        <v>18180</v>
      </c>
      <c r="E2895" s="196" t="s">
        <v>18180</v>
      </c>
      <c r="F2895" s="196" t="s">
        <v>11233</v>
      </c>
      <c r="G2895" s="196" t="s">
        <v>12378</v>
      </c>
      <c r="H2895" s="196" t="s">
        <v>11235</v>
      </c>
    </row>
    <row r="2896" spans="1:8" x14ac:dyDescent="0.15">
      <c r="A2896" s="196" t="s">
        <v>11229</v>
      </c>
      <c r="B2896" s="196" t="s">
        <v>11230</v>
      </c>
      <c r="C2896" s="196" t="s">
        <v>18181</v>
      </c>
      <c r="D2896" s="196" t="s">
        <v>18182</v>
      </c>
      <c r="E2896" s="196" t="s">
        <v>18182</v>
      </c>
      <c r="F2896" s="196" t="s">
        <v>11233</v>
      </c>
      <c r="G2896" s="196" t="s">
        <v>12378</v>
      </c>
      <c r="H2896" s="196" t="s">
        <v>11235</v>
      </c>
    </row>
    <row r="2897" spans="1:8" x14ac:dyDescent="0.15">
      <c r="A2897" s="196" t="s">
        <v>11229</v>
      </c>
      <c r="B2897" s="196" t="s">
        <v>11230</v>
      </c>
      <c r="C2897" s="196" t="s">
        <v>18183</v>
      </c>
      <c r="D2897" s="196" t="s">
        <v>18184</v>
      </c>
      <c r="E2897" s="196" t="s">
        <v>18184</v>
      </c>
      <c r="F2897" s="196" t="s">
        <v>11233</v>
      </c>
      <c r="G2897" s="196" t="s">
        <v>12378</v>
      </c>
      <c r="H2897" s="196" t="s">
        <v>11235</v>
      </c>
    </row>
    <row r="2898" spans="1:8" x14ac:dyDescent="0.15">
      <c r="A2898" s="196" t="s">
        <v>11229</v>
      </c>
      <c r="B2898" s="196" t="s">
        <v>11230</v>
      </c>
      <c r="C2898" s="196" t="s">
        <v>18185</v>
      </c>
      <c r="D2898" s="196" t="s">
        <v>18186</v>
      </c>
      <c r="E2898" s="196" t="s">
        <v>18186</v>
      </c>
      <c r="F2898" s="196" t="s">
        <v>11233</v>
      </c>
      <c r="G2898" s="196" t="s">
        <v>12378</v>
      </c>
      <c r="H2898" s="196" t="s">
        <v>11235</v>
      </c>
    </row>
    <row r="2899" spans="1:8" x14ac:dyDescent="0.15">
      <c r="A2899" s="196" t="s">
        <v>11229</v>
      </c>
      <c r="B2899" s="196" t="s">
        <v>11230</v>
      </c>
      <c r="C2899" s="196" t="s">
        <v>18187</v>
      </c>
      <c r="D2899" s="196" t="s">
        <v>18188</v>
      </c>
      <c r="E2899" s="196" t="s">
        <v>18188</v>
      </c>
      <c r="F2899" s="196" t="s">
        <v>11233</v>
      </c>
      <c r="G2899" s="196" t="s">
        <v>12378</v>
      </c>
      <c r="H2899" s="196" t="s">
        <v>11235</v>
      </c>
    </row>
    <row r="2900" spans="1:8" x14ac:dyDescent="0.15">
      <c r="A2900" s="196" t="s">
        <v>11229</v>
      </c>
      <c r="B2900" s="196" t="s">
        <v>11230</v>
      </c>
      <c r="C2900" s="196" t="s">
        <v>18189</v>
      </c>
      <c r="D2900" s="196" t="s">
        <v>18190</v>
      </c>
      <c r="E2900" s="196" t="s">
        <v>18190</v>
      </c>
      <c r="F2900" s="196" t="s">
        <v>11233</v>
      </c>
      <c r="G2900" s="196" t="s">
        <v>12378</v>
      </c>
      <c r="H2900" s="196" t="s">
        <v>11235</v>
      </c>
    </row>
    <row r="2901" spans="1:8" x14ac:dyDescent="0.15">
      <c r="A2901" s="196" t="s">
        <v>11229</v>
      </c>
      <c r="B2901" s="196" t="s">
        <v>11230</v>
      </c>
      <c r="C2901" s="196" t="s">
        <v>18191</v>
      </c>
      <c r="D2901" s="196" t="s">
        <v>18192</v>
      </c>
      <c r="E2901" s="196" t="s">
        <v>18192</v>
      </c>
      <c r="F2901" s="196" t="s">
        <v>11233</v>
      </c>
      <c r="G2901" s="196" t="s">
        <v>12378</v>
      </c>
      <c r="H2901" s="196" t="s">
        <v>11235</v>
      </c>
    </row>
    <row r="2902" spans="1:8" x14ac:dyDescent="0.15">
      <c r="A2902" s="196" t="s">
        <v>11229</v>
      </c>
      <c r="B2902" s="196" t="s">
        <v>11230</v>
      </c>
      <c r="C2902" s="196" t="s">
        <v>18193</v>
      </c>
      <c r="D2902" s="196" t="s">
        <v>18194</v>
      </c>
      <c r="E2902" s="196" t="s">
        <v>18194</v>
      </c>
      <c r="F2902" s="196" t="s">
        <v>11233</v>
      </c>
      <c r="G2902" s="196" t="s">
        <v>12378</v>
      </c>
      <c r="H2902" s="196" t="s">
        <v>11235</v>
      </c>
    </row>
    <row r="2903" spans="1:8" x14ac:dyDescent="0.15">
      <c r="A2903" s="196" t="s">
        <v>11229</v>
      </c>
      <c r="B2903" s="196" t="s">
        <v>11230</v>
      </c>
      <c r="C2903" s="196" t="s">
        <v>18195</v>
      </c>
      <c r="D2903" s="196" t="s">
        <v>18196</v>
      </c>
      <c r="E2903" s="196" t="s">
        <v>18196</v>
      </c>
      <c r="F2903" s="196" t="s">
        <v>11233</v>
      </c>
      <c r="G2903" s="196" t="s">
        <v>12378</v>
      </c>
      <c r="H2903" s="196" t="s">
        <v>11235</v>
      </c>
    </row>
    <row r="2904" spans="1:8" x14ac:dyDescent="0.15">
      <c r="A2904" s="196" t="s">
        <v>11229</v>
      </c>
      <c r="B2904" s="196" t="s">
        <v>11230</v>
      </c>
      <c r="C2904" s="196" t="s">
        <v>18197</v>
      </c>
      <c r="D2904" s="196" t="s">
        <v>18198</v>
      </c>
      <c r="E2904" s="196" t="s">
        <v>18198</v>
      </c>
      <c r="F2904" s="196" t="s">
        <v>11233</v>
      </c>
      <c r="G2904" s="196" t="s">
        <v>12378</v>
      </c>
      <c r="H2904" s="196" t="s">
        <v>11235</v>
      </c>
    </row>
    <row r="2905" spans="1:8" x14ac:dyDescent="0.15">
      <c r="A2905" s="196" t="s">
        <v>11229</v>
      </c>
      <c r="B2905" s="196" t="s">
        <v>11230</v>
      </c>
      <c r="C2905" s="196" t="s">
        <v>18199</v>
      </c>
      <c r="D2905" s="196" t="s">
        <v>18200</v>
      </c>
      <c r="E2905" s="196" t="s">
        <v>18200</v>
      </c>
      <c r="F2905" s="196" t="s">
        <v>11233</v>
      </c>
      <c r="G2905" s="196" t="s">
        <v>12378</v>
      </c>
      <c r="H2905" s="196" t="s">
        <v>11235</v>
      </c>
    </row>
    <row r="2906" spans="1:8" x14ac:dyDescent="0.15">
      <c r="A2906" s="196" t="s">
        <v>11229</v>
      </c>
      <c r="B2906" s="196" t="s">
        <v>11230</v>
      </c>
      <c r="C2906" s="196" t="s">
        <v>18201</v>
      </c>
      <c r="D2906" s="196" t="s">
        <v>18202</v>
      </c>
      <c r="E2906" s="196" t="s">
        <v>18202</v>
      </c>
      <c r="F2906" s="196" t="s">
        <v>11233</v>
      </c>
      <c r="G2906" s="196" t="s">
        <v>12378</v>
      </c>
      <c r="H2906" s="196" t="s">
        <v>11235</v>
      </c>
    </row>
    <row r="2907" spans="1:8" x14ac:dyDescent="0.15">
      <c r="A2907" s="196" t="s">
        <v>11229</v>
      </c>
      <c r="B2907" s="196" t="s">
        <v>11230</v>
      </c>
      <c r="C2907" s="196" t="s">
        <v>18203</v>
      </c>
      <c r="D2907" s="196" t="s">
        <v>18204</v>
      </c>
      <c r="E2907" s="196" t="s">
        <v>18204</v>
      </c>
      <c r="F2907" s="196" t="s">
        <v>11233</v>
      </c>
      <c r="G2907" s="196" t="s">
        <v>12378</v>
      </c>
      <c r="H2907" s="196" t="s">
        <v>11235</v>
      </c>
    </row>
    <row r="2908" spans="1:8" x14ac:dyDescent="0.15">
      <c r="A2908" s="196" t="s">
        <v>11229</v>
      </c>
      <c r="B2908" s="196" t="s">
        <v>11230</v>
      </c>
      <c r="C2908" s="196" t="s">
        <v>18205</v>
      </c>
      <c r="D2908" s="196" t="s">
        <v>18206</v>
      </c>
      <c r="E2908" s="196" t="s">
        <v>18206</v>
      </c>
      <c r="F2908" s="196" t="s">
        <v>11233</v>
      </c>
      <c r="G2908" s="196" t="s">
        <v>12378</v>
      </c>
      <c r="H2908" s="196" t="s">
        <v>11235</v>
      </c>
    </row>
    <row r="2909" spans="1:8" x14ac:dyDescent="0.15">
      <c r="A2909" s="196" t="s">
        <v>11229</v>
      </c>
      <c r="B2909" s="196" t="s">
        <v>11230</v>
      </c>
      <c r="C2909" s="196" t="s">
        <v>18207</v>
      </c>
      <c r="D2909" s="196" t="s">
        <v>18208</v>
      </c>
      <c r="E2909" s="196" t="s">
        <v>18208</v>
      </c>
      <c r="F2909" s="196" t="s">
        <v>11233</v>
      </c>
      <c r="G2909" s="196" t="s">
        <v>12378</v>
      </c>
      <c r="H2909" s="196" t="s">
        <v>11235</v>
      </c>
    </row>
    <row r="2910" spans="1:8" x14ac:dyDescent="0.15">
      <c r="A2910" s="196" t="s">
        <v>11229</v>
      </c>
      <c r="B2910" s="196" t="s">
        <v>11230</v>
      </c>
      <c r="C2910" s="196" t="s">
        <v>18209</v>
      </c>
      <c r="D2910" s="196" t="s">
        <v>18210</v>
      </c>
      <c r="E2910" s="196" t="s">
        <v>18210</v>
      </c>
      <c r="F2910" s="196" t="s">
        <v>11233</v>
      </c>
      <c r="G2910" s="196" t="s">
        <v>12378</v>
      </c>
      <c r="H2910" s="196" t="s">
        <v>11235</v>
      </c>
    </row>
    <row r="2911" spans="1:8" x14ac:dyDescent="0.15">
      <c r="A2911" s="196" t="s">
        <v>11229</v>
      </c>
      <c r="B2911" s="196" t="s">
        <v>11230</v>
      </c>
      <c r="C2911" s="196" t="s">
        <v>18211</v>
      </c>
      <c r="D2911" s="196" t="s">
        <v>18212</v>
      </c>
      <c r="E2911" s="196" t="s">
        <v>18212</v>
      </c>
      <c r="F2911" s="196" t="s">
        <v>11233</v>
      </c>
      <c r="G2911" s="196" t="s">
        <v>12378</v>
      </c>
      <c r="H2911" s="196" t="s">
        <v>11235</v>
      </c>
    </row>
    <row r="2912" spans="1:8" x14ac:dyDescent="0.15">
      <c r="A2912" s="196" t="s">
        <v>11229</v>
      </c>
      <c r="B2912" s="196" t="s">
        <v>11230</v>
      </c>
      <c r="C2912" s="196" t="s">
        <v>18213</v>
      </c>
      <c r="D2912" s="196" t="s">
        <v>18214</v>
      </c>
      <c r="E2912" s="196" t="s">
        <v>18214</v>
      </c>
      <c r="F2912" s="196" t="s">
        <v>11233</v>
      </c>
      <c r="G2912" s="196" t="s">
        <v>12378</v>
      </c>
      <c r="H2912" s="196" t="s">
        <v>11235</v>
      </c>
    </row>
    <row r="2913" spans="1:8" x14ac:dyDescent="0.15">
      <c r="A2913" s="196" t="s">
        <v>11229</v>
      </c>
      <c r="B2913" s="196" t="s">
        <v>11230</v>
      </c>
      <c r="C2913" s="196" t="s">
        <v>18215</v>
      </c>
      <c r="D2913" s="196" t="s">
        <v>18216</v>
      </c>
      <c r="E2913" s="196" t="s">
        <v>18216</v>
      </c>
      <c r="F2913" s="196" t="s">
        <v>11233</v>
      </c>
      <c r="G2913" s="196" t="s">
        <v>12378</v>
      </c>
      <c r="H2913" s="196" t="s">
        <v>11235</v>
      </c>
    </row>
    <row r="2914" spans="1:8" x14ac:dyDescent="0.15">
      <c r="A2914" s="196" t="s">
        <v>11229</v>
      </c>
      <c r="B2914" s="196" t="s">
        <v>11230</v>
      </c>
      <c r="C2914" s="196" t="s">
        <v>18217</v>
      </c>
      <c r="D2914" s="196" t="s">
        <v>18218</v>
      </c>
      <c r="E2914" s="196" t="s">
        <v>18218</v>
      </c>
      <c r="F2914" s="196" t="s">
        <v>11233</v>
      </c>
      <c r="G2914" s="196" t="s">
        <v>12378</v>
      </c>
      <c r="H2914" s="196" t="s">
        <v>11235</v>
      </c>
    </row>
    <row r="2915" spans="1:8" x14ac:dyDescent="0.15">
      <c r="A2915" s="196" t="s">
        <v>11229</v>
      </c>
      <c r="B2915" s="196" t="s">
        <v>11230</v>
      </c>
      <c r="C2915" s="196" t="s">
        <v>18219</v>
      </c>
      <c r="D2915" s="196" t="s">
        <v>18220</v>
      </c>
      <c r="E2915" s="196" t="s">
        <v>18220</v>
      </c>
      <c r="F2915" s="196" t="s">
        <v>11233</v>
      </c>
      <c r="G2915" s="196" t="s">
        <v>12378</v>
      </c>
      <c r="H2915" s="196" t="s">
        <v>11235</v>
      </c>
    </row>
    <row r="2916" spans="1:8" x14ac:dyDescent="0.15">
      <c r="A2916" s="196" t="s">
        <v>11229</v>
      </c>
      <c r="B2916" s="196" t="s">
        <v>11230</v>
      </c>
      <c r="C2916" s="196" t="s">
        <v>18221</v>
      </c>
      <c r="D2916" s="196" t="s">
        <v>18222</v>
      </c>
      <c r="E2916" s="196" t="s">
        <v>18222</v>
      </c>
      <c r="F2916" s="196" t="s">
        <v>11233</v>
      </c>
      <c r="G2916" s="196" t="s">
        <v>12378</v>
      </c>
      <c r="H2916" s="196" t="s">
        <v>11235</v>
      </c>
    </row>
    <row r="2917" spans="1:8" x14ac:dyDescent="0.15">
      <c r="A2917" s="196" t="s">
        <v>11229</v>
      </c>
      <c r="B2917" s="196" t="s">
        <v>11230</v>
      </c>
      <c r="C2917" s="196" t="s">
        <v>18223</v>
      </c>
      <c r="D2917" s="196" t="s">
        <v>18224</v>
      </c>
      <c r="E2917" s="196" t="s">
        <v>18224</v>
      </c>
      <c r="F2917" s="196" t="s">
        <v>11233</v>
      </c>
      <c r="G2917" s="196" t="s">
        <v>12378</v>
      </c>
      <c r="H2917" s="196" t="s">
        <v>11235</v>
      </c>
    </row>
    <row r="2918" spans="1:8" x14ac:dyDescent="0.15">
      <c r="A2918" s="196" t="s">
        <v>11229</v>
      </c>
      <c r="B2918" s="196" t="s">
        <v>11230</v>
      </c>
      <c r="C2918" s="196" t="s">
        <v>18225</v>
      </c>
      <c r="D2918" s="196" t="s">
        <v>18226</v>
      </c>
      <c r="E2918" s="196" t="s">
        <v>18226</v>
      </c>
      <c r="F2918" s="196" t="s">
        <v>11233</v>
      </c>
      <c r="G2918" s="196" t="s">
        <v>12378</v>
      </c>
      <c r="H2918" s="196" t="s">
        <v>11235</v>
      </c>
    </row>
    <row r="2919" spans="1:8" x14ac:dyDescent="0.15">
      <c r="A2919" s="196" t="s">
        <v>11229</v>
      </c>
      <c r="B2919" s="196" t="s">
        <v>11230</v>
      </c>
      <c r="C2919" s="196" t="s">
        <v>18227</v>
      </c>
      <c r="D2919" s="196" t="s">
        <v>18228</v>
      </c>
      <c r="E2919" s="196" t="s">
        <v>18228</v>
      </c>
      <c r="F2919" s="196" t="s">
        <v>11233</v>
      </c>
      <c r="G2919" s="196" t="s">
        <v>12378</v>
      </c>
      <c r="H2919" s="196" t="s">
        <v>11235</v>
      </c>
    </row>
    <row r="2920" spans="1:8" x14ac:dyDescent="0.15">
      <c r="A2920" s="196" t="s">
        <v>11229</v>
      </c>
      <c r="B2920" s="196" t="s">
        <v>11230</v>
      </c>
      <c r="C2920" s="196" t="s">
        <v>18229</v>
      </c>
      <c r="D2920" s="196" t="s">
        <v>18230</v>
      </c>
      <c r="E2920" s="196" t="s">
        <v>18230</v>
      </c>
      <c r="F2920" s="196" t="s">
        <v>11233</v>
      </c>
      <c r="G2920" s="196" t="s">
        <v>12378</v>
      </c>
      <c r="H2920" s="196" t="s">
        <v>11235</v>
      </c>
    </row>
    <row r="2921" spans="1:8" x14ac:dyDescent="0.15">
      <c r="A2921" s="196" t="s">
        <v>11229</v>
      </c>
      <c r="B2921" s="196" t="s">
        <v>11230</v>
      </c>
      <c r="C2921" s="196" t="s">
        <v>18231</v>
      </c>
      <c r="D2921" s="196" t="s">
        <v>18232</v>
      </c>
      <c r="E2921" s="196" t="s">
        <v>18232</v>
      </c>
      <c r="F2921" s="196" t="s">
        <v>11233</v>
      </c>
      <c r="G2921" s="196" t="s">
        <v>12378</v>
      </c>
      <c r="H2921" s="196" t="s">
        <v>11235</v>
      </c>
    </row>
    <row r="2922" spans="1:8" x14ac:dyDescent="0.15">
      <c r="A2922" s="196" t="s">
        <v>11229</v>
      </c>
      <c r="B2922" s="196" t="s">
        <v>11230</v>
      </c>
      <c r="C2922" s="196" t="s">
        <v>18233</v>
      </c>
      <c r="D2922" s="196" t="s">
        <v>18234</v>
      </c>
      <c r="E2922" s="196" t="s">
        <v>18234</v>
      </c>
      <c r="F2922" s="196" t="s">
        <v>11233</v>
      </c>
      <c r="G2922" s="196" t="s">
        <v>12378</v>
      </c>
      <c r="H2922" s="196" t="s">
        <v>11235</v>
      </c>
    </row>
    <row r="2923" spans="1:8" x14ac:dyDescent="0.15">
      <c r="A2923" s="196" t="s">
        <v>11229</v>
      </c>
      <c r="B2923" s="196" t="s">
        <v>11230</v>
      </c>
      <c r="C2923" s="196" t="s">
        <v>18235</v>
      </c>
      <c r="D2923" s="196" t="s">
        <v>18236</v>
      </c>
      <c r="E2923" s="196" t="s">
        <v>18236</v>
      </c>
      <c r="F2923" s="196" t="s">
        <v>11233</v>
      </c>
      <c r="G2923" s="196" t="s">
        <v>12378</v>
      </c>
      <c r="H2923" s="196" t="s">
        <v>11235</v>
      </c>
    </row>
    <row r="2924" spans="1:8" x14ac:dyDescent="0.15">
      <c r="A2924" s="196" t="s">
        <v>11229</v>
      </c>
      <c r="B2924" s="196" t="s">
        <v>11230</v>
      </c>
      <c r="C2924" s="196" t="s">
        <v>18237</v>
      </c>
      <c r="D2924" s="196" t="s">
        <v>18238</v>
      </c>
      <c r="E2924" s="196" t="s">
        <v>18238</v>
      </c>
      <c r="F2924" s="196" t="s">
        <v>11233</v>
      </c>
      <c r="G2924" s="196" t="s">
        <v>12378</v>
      </c>
      <c r="H2924" s="196" t="s">
        <v>11235</v>
      </c>
    </row>
    <row r="2925" spans="1:8" x14ac:dyDescent="0.15">
      <c r="A2925" s="196" t="s">
        <v>11229</v>
      </c>
      <c r="B2925" s="196" t="s">
        <v>11230</v>
      </c>
      <c r="C2925" s="196" t="s">
        <v>18239</v>
      </c>
      <c r="D2925" s="196" t="s">
        <v>18240</v>
      </c>
      <c r="E2925" s="196" t="s">
        <v>18240</v>
      </c>
      <c r="F2925" s="196" t="s">
        <v>11233</v>
      </c>
      <c r="G2925" s="196" t="s">
        <v>12378</v>
      </c>
      <c r="H2925" s="196" t="s">
        <v>11235</v>
      </c>
    </row>
    <row r="2926" spans="1:8" x14ac:dyDescent="0.15">
      <c r="A2926" s="196" t="s">
        <v>11229</v>
      </c>
      <c r="B2926" s="196" t="s">
        <v>11230</v>
      </c>
      <c r="C2926" s="196" t="s">
        <v>18241</v>
      </c>
      <c r="D2926" s="196" t="s">
        <v>18242</v>
      </c>
      <c r="E2926" s="196" t="s">
        <v>18242</v>
      </c>
      <c r="F2926" s="196" t="s">
        <v>11233</v>
      </c>
      <c r="G2926" s="196" t="s">
        <v>12378</v>
      </c>
      <c r="H2926" s="196" t="s">
        <v>11235</v>
      </c>
    </row>
    <row r="2927" spans="1:8" x14ac:dyDescent="0.15">
      <c r="A2927" s="196" t="s">
        <v>11229</v>
      </c>
      <c r="B2927" s="196" t="s">
        <v>11230</v>
      </c>
      <c r="C2927" s="196" t="s">
        <v>18243</v>
      </c>
      <c r="D2927" s="196" t="s">
        <v>18244</v>
      </c>
      <c r="E2927" s="196" t="s">
        <v>18244</v>
      </c>
      <c r="F2927" s="196" t="s">
        <v>11233</v>
      </c>
      <c r="G2927" s="196" t="s">
        <v>12378</v>
      </c>
      <c r="H2927" s="196" t="s">
        <v>11235</v>
      </c>
    </row>
    <row r="2928" spans="1:8" x14ac:dyDescent="0.15">
      <c r="A2928" s="196" t="s">
        <v>11229</v>
      </c>
      <c r="B2928" s="196" t="s">
        <v>11230</v>
      </c>
      <c r="C2928" s="196" t="s">
        <v>18245</v>
      </c>
      <c r="D2928" s="196" t="s">
        <v>18246</v>
      </c>
      <c r="E2928" s="196" t="s">
        <v>18247</v>
      </c>
      <c r="F2928" s="196" t="s">
        <v>11241</v>
      </c>
      <c r="G2928" s="196" t="s">
        <v>12378</v>
      </c>
      <c r="H2928" s="196" t="s">
        <v>11235</v>
      </c>
    </row>
    <row r="2929" spans="1:8" x14ac:dyDescent="0.15">
      <c r="A2929" s="196" t="s">
        <v>11229</v>
      </c>
      <c r="B2929" s="196" t="s">
        <v>11230</v>
      </c>
      <c r="C2929" s="196" t="s">
        <v>18248</v>
      </c>
      <c r="D2929" s="196" t="s">
        <v>18249</v>
      </c>
      <c r="E2929" s="196" t="s">
        <v>18249</v>
      </c>
      <c r="F2929" s="196" t="s">
        <v>11233</v>
      </c>
      <c r="G2929" s="196" t="s">
        <v>12378</v>
      </c>
      <c r="H2929" s="196" t="s">
        <v>11235</v>
      </c>
    </row>
    <row r="2930" spans="1:8" x14ac:dyDescent="0.15">
      <c r="A2930" s="196" t="s">
        <v>11229</v>
      </c>
      <c r="B2930" s="196" t="s">
        <v>11230</v>
      </c>
      <c r="C2930" s="196" t="s">
        <v>18250</v>
      </c>
      <c r="D2930" s="196" t="s">
        <v>18251</v>
      </c>
      <c r="E2930" s="196" t="s">
        <v>18251</v>
      </c>
      <c r="F2930" s="196" t="s">
        <v>11233</v>
      </c>
      <c r="G2930" s="196" t="s">
        <v>12378</v>
      </c>
      <c r="H2930" s="196" t="s">
        <v>11235</v>
      </c>
    </row>
    <row r="2931" spans="1:8" x14ac:dyDescent="0.15">
      <c r="A2931" s="196" t="s">
        <v>11229</v>
      </c>
      <c r="B2931" s="196" t="s">
        <v>11230</v>
      </c>
      <c r="C2931" s="196" t="s">
        <v>18252</v>
      </c>
      <c r="D2931" s="196" t="s">
        <v>18253</v>
      </c>
      <c r="E2931" s="196" t="s">
        <v>18253</v>
      </c>
      <c r="F2931" s="196" t="s">
        <v>11233</v>
      </c>
      <c r="G2931" s="196" t="s">
        <v>12378</v>
      </c>
      <c r="H2931" s="196" t="s">
        <v>11235</v>
      </c>
    </row>
    <row r="2932" spans="1:8" x14ac:dyDescent="0.15">
      <c r="A2932" s="196" t="s">
        <v>11229</v>
      </c>
      <c r="B2932" s="196" t="s">
        <v>11230</v>
      </c>
      <c r="C2932" s="196" t="s">
        <v>18254</v>
      </c>
      <c r="D2932" s="196" t="s">
        <v>18255</v>
      </c>
      <c r="E2932" s="196" t="s">
        <v>18255</v>
      </c>
      <c r="F2932" s="196" t="s">
        <v>11233</v>
      </c>
      <c r="G2932" s="196" t="s">
        <v>12378</v>
      </c>
      <c r="H2932" s="196" t="s">
        <v>11235</v>
      </c>
    </row>
    <row r="2933" spans="1:8" x14ac:dyDescent="0.15">
      <c r="A2933" s="196" t="s">
        <v>11229</v>
      </c>
      <c r="B2933" s="196" t="s">
        <v>11230</v>
      </c>
      <c r="C2933" s="196" t="s">
        <v>18256</v>
      </c>
      <c r="D2933" s="196" t="s">
        <v>18257</v>
      </c>
      <c r="E2933" s="196" t="s">
        <v>18257</v>
      </c>
      <c r="F2933" s="196" t="s">
        <v>11233</v>
      </c>
      <c r="G2933" s="196" t="s">
        <v>12378</v>
      </c>
      <c r="H2933" s="196" t="s">
        <v>11235</v>
      </c>
    </row>
    <row r="2934" spans="1:8" x14ac:dyDescent="0.15">
      <c r="A2934" s="196" t="s">
        <v>11229</v>
      </c>
      <c r="B2934" s="196" t="s">
        <v>11230</v>
      </c>
      <c r="C2934" s="196" t="s">
        <v>18258</v>
      </c>
      <c r="D2934" s="196" t="s">
        <v>18259</v>
      </c>
      <c r="E2934" s="196" t="s">
        <v>18259</v>
      </c>
      <c r="F2934" s="196" t="s">
        <v>11233</v>
      </c>
      <c r="G2934" s="196" t="s">
        <v>12378</v>
      </c>
      <c r="H2934" s="196" t="s">
        <v>11235</v>
      </c>
    </row>
    <row r="2935" spans="1:8" x14ac:dyDescent="0.15">
      <c r="A2935" s="196" t="s">
        <v>11229</v>
      </c>
      <c r="B2935" s="196" t="s">
        <v>11230</v>
      </c>
      <c r="C2935" s="196" t="s">
        <v>18260</v>
      </c>
      <c r="D2935" s="196" t="s">
        <v>18261</v>
      </c>
      <c r="E2935" s="196" t="s">
        <v>18261</v>
      </c>
      <c r="F2935" s="196" t="s">
        <v>11233</v>
      </c>
      <c r="G2935" s="196" t="s">
        <v>12378</v>
      </c>
      <c r="H2935" s="196" t="s">
        <v>11235</v>
      </c>
    </row>
    <row r="2936" spans="1:8" x14ac:dyDescent="0.15">
      <c r="A2936" s="196" t="s">
        <v>11229</v>
      </c>
      <c r="B2936" s="196" t="s">
        <v>11230</v>
      </c>
      <c r="C2936" s="196" t="s">
        <v>18262</v>
      </c>
      <c r="D2936" s="196" t="s">
        <v>18263</v>
      </c>
      <c r="E2936" s="196" t="s">
        <v>18263</v>
      </c>
      <c r="F2936" s="196" t="s">
        <v>11233</v>
      </c>
      <c r="G2936" s="196" t="s">
        <v>12378</v>
      </c>
      <c r="H2936" s="196" t="s">
        <v>11235</v>
      </c>
    </row>
    <row r="2937" spans="1:8" x14ac:dyDescent="0.15">
      <c r="A2937" s="196" t="s">
        <v>11229</v>
      </c>
      <c r="B2937" s="196" t="s">
        <v>11230</v>
      </c>
      <c r="C2937" s="196" t="s">
        <v>18264</v>
      </c>
      <c r="D2937" s="196" t="s">
        <v>18265</v>
      </c>
      <c r="E2937" s="196" t="s">
        <v>18265</v>
      </c>
      <c r="F2937" s="196" t="s">
        <v>11233</v>
      </c>
      <c r="G2937" s="196" t="s">
        <v>12378</v>
      </c>
      <c r="H2937" s="196" t="s">
        <v>11235</v>
      </c>
    </row>
    <row r="2938" spans="1:8" x14ac:dyDescent="0.15">
      <c r="A2938" s="196" t="s">
        <v>11229</v>
      </c>
      <c r="B2938" s="196" t="s">
        <v>11230</v>
      </c>
      <c r="C2938" s="196" t="s">
        <v>18266</v>
      </c>
      <c r="D2938" s="196" t="s">
        <v>18267</v>
      </c>
      <c r="E2938" s="196" t="s">
        <v>18267</v>
      </c>
      <c r="F2938" s="196" t="s">
        <v>11233</v>
      </c>
      <c r="G2938" s="196" t="s">
        <v>12378</v>
      </c>
      <c r="H2938" s="196" t="s">
        <v>11235</v>
      </c>
    </row>
    <row r="2939" spans="1:8" x14ac:dyDescent="0.15">
      <c r="A2939" s="196" t="s">
        <v>11229</v>
      </c>
      <c r="B2939" s="196" t="s">
        <v>11230</v>
      </c>
      <c r="C2939" s="196" t="s">
        <v>18268</v>
      </c>
      <c r="D2939" s="196" t="s">
        <v>18269</v>
      </c>
      <c r="E2939" s="196" t="s">
        <v>18269</v>
      </c>
      <c r="F2939" s="196" t="s">
        <v>11233</v>
      </c>
      <c r="G2939" s="196" t="s">
        <v>12378</v>
      </c>
      <c r="H2939" s="196" t="s">
        <v>11235</v>
      </c>
    </row>
    <row r="2940" spans="1:8" x14ac:dyDescent="0.15">
      <c r="A2940" s="196" t="s">
        <v>11229</v>
      </c>
      <c r="B2940" s="196" t="s">
        <v>11230</v>
      </c>
      <c r="C2940" s="196" t="s">
        <v>18270</v>
      </c>
      <c r="D2940" s="196" t="s">
        <v>18271</v>
      </c>
      <c r="E2940" s="196" t="s">
        <v>18271</v>
      </c>
      <c r="F2940" s="196" t="s">
        <v>11233</v>
      </c>
      <c r="G2940" s="196" t="s">
        <v>12378</v>
      </c>
      <c r="H2940" s="196" t="s">
        <v>11235</v>
      </c>
    </row>
    <row r="2941" spans="1:8" x14ac:dyDescent="0.15">
      <c r="A2941" s="196" t="s">
        <v>11229</v>
      </c>
      <c r="B2941" s="196" t="s">
        <v>11230</v>
      </c>
      <c r="C2941" s="196" t="s">
        <v>18272</v>
      </c>
      <c r="D2941" s="196" t="s">
        <v>18273</v>
      </c>
      <c r="E2941" s="196" t="s">
        <v>18273</v>
      </c>
      <c r="F2941" s="196" t="s">
        <v>11233</v>
      </c>
      <c r="G2941" s="196" t="s">
        <v>12378</v>
      </c>
      <c r="H2941" s="196" t="s">
        <v>11235</v>
      </c>
    </row>
    <row r="2942" spans="1:8" x14ac:dyDescent="0.15">
      <c r="A2942" s="196" t="s">
        <v>11229</v>
      </c>
      <c r="B2942" s="196" t="s">
        <v>11230</v>
      </c>
      <c r="C2942" s="196" t="s">
        <v>18274</v>
      </c>
      <c r="D2942" s="196" t="s">
        <v>18275</v>
      </c>
      <c r="E2942" s="196" t="s">
        <v>18275</v>
      </c>
      <c r="F2942" s="196" t="s">
        <v>11233</v>
      </c>
      <c r="G2942" s="196" t="s">
        <v>12378</v>
      </c>
      <c r="H2942" s="196" t="s">
        <v>11235</v>
      </c>
    </row>
    <row r="2943" spans="1:8" x14ac:dyDescent="0.15">
      <c r="A2943" s="196" t="s">
        <v>11229</v>
      </c>
      <c r="B2943" s="196" t="s">
        <v>11230</v>
      </c>
      <c r="C2943" s="196" t="s">
        <v>18276</v>
      </c>
      <c r="D2943" s="196" t="s">
        <v>18277</v>
      </c>
      <c r="E2943" s="196" t="s">
        <v>18277</v>
      </c>
      <c r="F2943" s="196" t="s">
        <v>11233</v>
      </c>
      <c r="G2943" s="196" t="s">
        <v>12378</v>
      </c>
      <c r="H2943" s="196" t="s">
        <v>11235</v>
      </c>
    </row>
    <row r="2944" spans="1:8" x14ac:dyDescent="0.15">
      <c r="A2944" s="196" t="s">
        <v>11229</v>
      </c>
      <c r="B2944" s="196" t="s">
        <v>11230</v>
      </c>
      <c r="C2944" s="196" t="s">
        <v>18278</v>
      </c>
      <c r="D2944" s="196" t="s">
        <v>18279</v>
      </c>
      <c r="E2944" s="196" t="s">
        <v>18279</v>
      </c>
      <c r="F2944" s="196" t="s">
        <v>11233</v>
      </c>
      <c r="G2944" s="196" t="s">
        <v>12378</v>
      </c>
      <c r="H2944" s="196" t="s">
        <v>11235</v>
      </c>
    </row>
    <row r="2945" spans="1:8" x14ac:dyDescent="0.15">
      <c r="A2945" s="196" t="s">
        <v>11229</v>
      </c>
      <c r="B2945" s="196" t="s">
        <v>11230</v>
      </c>
      <c r="C2945" s="196" t="s">
        <v>18280</v>
      </c>
      <c r="D2945" s="196" t="s">
        <v>18281</v>
      </c>
      <c r="E2945" s="196" t="s">
        <v>18281</v>
      </c>
      <c r="F2945" s="196" t="s">
        <v>11233</v>
      </c>
      <c r="G2945" s="196" t="s">
        <v>12378</v>
      </c>
      <c r="H2945" s="196" t="s">
        <v>11235</v>
      </c>
    </row>
    <row r="2946" spans="1:8" x14ac:dyDescent="0.15">
      <c r="A2946" s="196" t="s">
        <v>11229</v>
      </c>
      <c r="B2946" s="196" t="s">
        <v>11230</v>
      </c>
      <c r="C2946" s="196" t="s">
        <v>18282</v>
      </c>
      <c r="D2946" s="196" t="s">
        <v>18283</v>
      </c>
      <c r="E2946" s="196" t="s">
        <v>18283</v>
      </c>
      <c r="F2946" s="196" t="s">
        <v>11233</v>
      </c>
      <c r="G2946" s="196" t="s">
        <v>12378</v>
      </c>
      <c r="H2946" s="196" t="s">
        <v>11235</v>
      </c>
    </row>
    <row r="2947" spans="1:8" x14ac:dyDescent="0.15">
      <c r="A2947" s="196" t="s">
        <v>11229</v>
      </c>
      <c r="B2947" s="196" t="s">
        <v>11230</v>
      </c>
      <c r="C2947" s="196" t="s">
        <v>18284</v>
      </c>
      <c r="D2947" s="196" t="s">
        <v>18285</v>
      </c>
      <c r="E2947" s="196" t="s">
        <v>18285</v>
      </c>
      <c r="F2947" s="196" t="s">
        <v>11233</v>
      </c>
      <c r="G2947" s="196" t="s">
        <v>12378</v>
      </c>
      <c r="H2947" s="196" t="s">
        <v>11235</v>
      </c>
    </row>
    <row r="2948" spans="1:8" x14ac:dyDescent="0.15">
      <c r="A2948" s="196" t="s">
        <v>11229</v>
      </c>
      <c r="B2948" s="196" t="s">
        <v>11230</v>
      </c>
      <c r="C2948" s="196" t="s">
        <v>18286</v>
      </c>
      <c r="D2948" s="196" t="s">
        <v>18287</v>
      </c>
      <c r="E2948" s="196" t="s">
        <v>18287</v>
      </c>
      <c r="F2948" s="196" t="s">
        <v>11233</v>
      </c>
      <c r="G2948" s="196" t="s">
        <v>12378</v>
      </c>
      <c r="H2948" s="196" t="s">
        <v>11235</v>
      </c>
    </row>
    <row r="2949" spans="1:8" x14ac:dyDescent="0.15">
      <c r="A2949" s="196" t="s">
        <v>11229</v>
      </c>
      <c r="B2949" s="196" t="s">
        <v>11230</v>
      </c>
      <c r="C2949" s="196" t="s">
        <v>18288</v>
      </c>
      <c r="D2949" s="196" t="s">
        <v>18289</v>
      </c>
      <c r="E2949" s="196" t="s">
        <v>18289</v>
      </c>
      <c r="F2949" s="196" t="s">
        <v>11233</v>
      </c>
      <c r="G2949" s="196" t="s">
        <v>12378</v>
      </c>
      <c r="H2949" s="196" t="s">
        <v>11235</v>
      </c>
    </row>
    <row r="2950" spans="1:8" x14ac:dyDescent="0.15">
      <c r="A2950" s="196" t="s">
        <v>11229</v>
      </c>
      <c r="B2950" s="196" t="s">
        <v>11230</v>
      </c>
      <c r="C2950" s="196" t="s">
        <v>18290</v>
      </c>
      <c r="D2950" s="196" t="s">
        <v>18291</v>
      </c>
      <c r="E2950" s="196" t="s">
        <v>18291</v>
      </c>
      <c r="F2950" s="196" t="s">
        <v>11233</v>
      </c>
      <c r="G2950" s="196" t="s">
        <v>12378</v>
      </c>
      <c r="H2950" s="196" t="s">
        <v>11235</v>
      </c>
    </row>
    <row r="2951" spans="1:8" x14ac:dyDescent="0.15">
      <c r="A2951" s="196" t="s">
        <v>11229</v>
      </c>
      <c r="B2951" s="196" t="s">
        <v>11230</v>
      </c>
      <c r="C2951" s="196" t="s">
        <v>18292</v>
      </c>
      <c r="D2951" s="196" t="s">
        <v>18293</v>
      </c>
      <c r="E2951" s="196" t="s">
        <v>18293</v>
      </c>
      <c r="F2951" s="196" t="s">
        <v>11233</v>
      </c>
      <c r="G2951" s="196" t="s">
        <v>12378</v>
      </c>
      <c r="H2951" s="196" t="s">
        <v>11235</v>
      </c>
    </row>
    <row r="2952" spans="1:8" x14ac:dyDescent="0.15">
      <c r="A2952" s="196" t="s">
        <v>11229</v>
      </c>
      <c r="B2952" s="196" t="s">
        <v>11230</v>
      </c>
      <c r="C2952" s="196" t="s">
        <v>18294</v>
      </c>
      <c r="D2952" s="196" t="s">
        <v>18295</v>
      </c>
      <c r="E2952" s="196" t="s">
        <v>18295</v>
      </c>
      <c r="F2952" s="196" t="s">
        <v>11233</v>
      </c>
      <c r="G2952" s="196" t="s">
        <v>12378</v>
      </c>
      <c r="H2952" s="196" t="s">
        <v>11235</v>
      </c>
    </row>
    <row r="2953" spans="1:8" x14ac:dyDescent="0.15">
      <c r="A2953" s="196" t="s">
        <v>11229</v>
      </c>
      <c r="B2953" s="196" t="s">
        <v>11230</v>
      </c>
      <c r="C2953" s="196" t="s">
        <v>18296</v>
      </c>
      <c r="D2953" s="196" t="s">
        <v>18297</v>
      </c>
      <c r="E2953" s="196" t="s">
        <v>18297</v>
      </c>
      <c r="F2953" s="196" t="s">
        <v>11233</v>
      </c>
      <c r="G2953" s="196" t="s">
        <v>12378</v>
      </c>
      <c r="H2953" s="196" t="s">
        <v>11235</v>
      </c>
    </row>
    <row r="2954" spans="1:8" x14ac:dyDescent="0.15">
      <c r="A2954" s="196" t="s">
        <v>11229</v>
      </c>
      <c r="B2954" s="196" t="s">
        <v>11230</v>
      </c>
      <c r="C2954" s="196" t="s">
        <v>18298</v>
      </c>
      <c r="D2954" s="196" t="s">
        <v>18299</v>
      </c>
      <c r="E2954" s="196" t="s">
        <v>18299</v>
      </c>
      <c r="F2954" s="196" t="s">
        <v>11233</v>
      </c>
      <c r="G2954" s="196" t="s">
        <v>12378</v>
      </c>
      <c r="H2954" s="196" t="s">
        <v>11235</v>
      </c>
    </row>
    <row r="2955" spans="1:8" x14ac:dyDescent="0.15">
      <c r="A2955" s="196" t="s">
        <v>11229</v>
      </c>
      <c r="B2955" s="196" t="s">
        <v>11230</v>
      </c>
      <c r="C2955" s="196" t="s">
        <v>18300</v>
      </c>
      <c r="D2955" s="196" t="s">
        <v>18301</v>
      </c>
      <c r="E2955" s="196" t="s">
        <v>18301</v>
      </c>
      <c r="F2955" s="196" t="s">
        <v>11233</v>
      </c>
      <c r="G2955" s="196" t="s">
        <v>12378</v>
      </c>
      <c r="H2955" s="196" t="s">
        <v>11235</v>
      </c>
    </row>
    <row r="2956" spans="1:8" x14ac:dyDescent="0.15">
      <c r="A2956" s="196" t="s">
        <v>11229</v>
      </c>
      <c r="B2956" s="196" t="s">
        <v>11230</v>
      </c>
      <c r="C2956" s="196" t="s">
        <v>18302</v>
      </c>
      <c r="D2956" s="196" t="s">
        <v>18303</v>
      </c>
      <c r="E2956" s="196" t="s">
        <v>18303</v>
      </c>
      <c r="F2956" s="196" t="s">
        <v>11233</v>
      </c>
      <c r="G2956" s="196" t="s">
        <v>12378</v>
      </c>
      <c r="H2956" s="196" t="s">
        <v>11235</v>
      </c>
    </row>
    <row r="2957" spans="1:8" x14ac:dyDescent="0.15">
      <c r="A2957" s="196" t="s">
        <v>11229</v>
      </c>
      <c r="B2957" s="196" t="s">
        <v>11230</v>
      </c>
      <c r="C2957" s="196" t="s">
        <v>18304</v>
      </c>
      <c r="D2957" s="196" t="s">
        <v>18305</v>
      </c>
      <c r="E2957" s="196" t="s">
        <v>18305</v>
      </c>
      <c r="F2957" s="196" t="s">
        <v>11233</v>
      </c>
      <c r="G2957" s="196" t="s">
        <v>12378</v>
      </c>
      <c r="H2957" s="196" t="s">
        <v>11235</v>
      </c>
    </row>
    <row r="2958" spans="1:8" x14ac:dyDescent="0.15">
      <c r="A2958" s="196" t="s">
        <v>11229</v>
      </c>
      <c r="B2958" s="196" t="s">
        <v>11230</v>
      </c>
      <c r="C2958" s="196" t="s">
        <v>18306</v>
      </c>
      <c r="D2958" s="196" t="s">
        <v>18307</v>
      </c>
      <c r="E2958" s="196" t="s">
        <v>18307</v>
      </c>
      <c r="F2958" s="196" t="s">
        <v>11233</v>
      </c>
      <c r="G2958" s="196" t="s">
        <v>12378</v>
      </c>
      <c r="H2958" s="196" t="s">
        <v>11235</v>
      </c>
    </row>
    <row r="2959" spans="1:8" x14ac:dyDescent="0.15">
      <c r="A2959" s="196" t="s">
        <v>11229</v>
      </c>
      <c r="B2959" s="196" t="s">
        <v>11230</v>
      </c>
      <c r="C2959" s="196" t="s">
        <v>18308</v>
      </c>
      <c r="D2959" s="196" t="s">
        <v>18309</v>
      </c>
      <c r="E2959" s="196" t="s">
        <v>18310</v>
      </c>
      <c r="F2959" s="196" t="s">
        <v>15389</v>
      </c>
      <c r="G2959" s="196" t="s">
        <v>12378</v>
      </c>
      <c r="H2959" s="196" t="s">
        <v>11235</v>
      </c>
    </row>
    <row r="2960" spans="1:8" x14ac:dyDescent="0.15">
      <c r="A2960" s="196" t="s">
        <v>11229</v>
      </c>
      <c r="B2960" s="196" t="s">
        <v>11230</v>
      </c>
      <c r="C2960" s="196" t="s">
        <v>18311</v>
      </c>
      <c r="D2960" s="196" t="s">
        <v>18312</v>
      </c>
      <c r="E2960" s="196" t="s">
        <v>18312</v>
      </c>
      <c r="F2960" s="196" t="s">
        <v>11233</v>
      </c>
      <c r="G2960" s="196" t="s">
        <v>12378</v>
      </c>
      <c r="H2960" s="196" t="s">
        <v>11235</v>
      </c>
    </row>
    <row r="2961" spans="1:8" x14ac:dyDescent="0.15">
      <c r="A2961" s="196" t="s">
        <v>11229</v>
      </c>
      <c r="B2961" s="196" t="s">
        <v>11230</v>
      </c>
      <c r="C2961" s="196" t="s">
        <v>18313</v>
      </c>
      <c r="D2961" s="196" t="s">
        <v>18314</v>
      </c>
      <c r="E2961" s="196" t="s">
        <v>18315</v>
      </c>
      <c r="F2961" s="196" t="s">
        <v>11268</v>
      </c>
      <c r="G2961" s="196" t="s">
        <v>12378</v>
      </c>
      <c r="H2961" s="196" t="s">
        <v>11235</v>
      </c>
    </row>
    <row r="2962" spans="1:8" x14ac:dyDescent="0.15">
      <c r="A2962" s="196" t="s">
        <v>11229</v>
      </c>
      <c r="B2962" s="196" t="s">
        <v>11230</v>
      </c>
      <c r="C2962" s="196" t="s">
        <v>18316</v>
      </c>
      <c r="D2962" s="196" t="s">
        <v>18315</v>
      </c>
      <c r="E2962" s="196" t="s">
        <v>18317</v>
      </c>
      <c r="F2962" s="196" t="s">
        <v>11241</v>
      </c>
      <c r="G2962" s="196" t="s">
        <v>12378</v>
      </c>
      <c r="H2962" s="196" t="s">
        <v>11235</v>
      </c>
    </row>
    <row r="2963" spans="1:8" x14ac:dyDescent="0.15">
      <c r="A2963" s="196" t="s">
        <v>11229</v>
      </c>
      <c r="B2963" s="196" t="s">
        <v>11230</v>
      </c>
      <c r="C2963" s="196" t="s">
        <v>18318</v>
      </c>
      <c r="D2963" s="196" t="s">
        <v>18319</v>
      </c>
      <c r="E2963" s="196" t="s">
        <v>18319</v>
      </c>
      <c r="F2963" s="196" t="s">
        <v>11233</v>
      </c>
      <c r="G2963" s="196" t="s">
        <v>12378</v>
      </c>
      <c r="H2963" s="196" t="s">
        <v>11235</v>
      </c>
    </row>
    <row r="2964" spans="1:8" x14ac:dyDescent="0.15">
      <c r="A2964" s="196" t="s">
        <v>11229</v>
      </c>
      <c r="B2964" s="196" t="s">
        <v>11230</v>
      </c>
      <c r="C2964" s="196" t="s">
        <v>18320</v>
      </c>
      <c r="D2964" s="196" t="s">
        <v>18321</v>
      </c>
      <c r="E2964" s="196" t="s">
        <v>18321</v>
      </c>
      <c r="F2964" s="196" t="s">
        <v>11233</v>
      </c>
      <c r="G2964" s="196" t="s">
        <v>12378</v>
      </c>
      <c r="H2964" s="196" t="s">
        <v>11235</v>
      </c>
    </row>
    <row r="2965" spans="1:8" x14ac:dyDescent="0.15">
      <c r="A2965" s="196" t="s">
        <v>11229</v>
      </c>
      <c r="B2965" s="196" t="s">
        <v>11230</v>
      </c>
      <c r="C2965" s="196" t="s">
        <v>18322</v>
      </c>
      <c r="D2965" s="196" t="s">
        <v>18323</v>
      </c>
      <c r="E2965" s="196" t="s">
        <v>18323</v>
      </c>
      <c r="F2965" s="196" t="s">
        <v>11233</v>
      </c>
      <c r="G2965" s="196" t="s">
        <v>12378</v>
      </c>
      <c r="H2965" s="196" t="s">
        <v>11235</v>
      </c>
    </row>
    <row r="2966" spans="1:8" x14ac:dyDescent="0.15">
      <c r="A2966" s="196" t="s">
        <v>11229</v>
      </c>
      <c r="B2966" s="196" t="s">
        <v>11230</v>
      </c>
      <c r="C2966" s="196" t="s">
        <v>18324</v>
      </c>
      <c r="D2966" s="196" t="s">
        <v>18325</v>
      </c>
      <c r="E2966" s="196" t="s">
        <v>18325</v>
      </c>
      <c r="F2966" s="196" t="s">
        <v>11233</v>
      </c>
      <c r="G2966" s="196" t="s">
        <v>12378</v>
      </c>
      <c r="H2966" s="196" t="s">
        <v>11235</v>
      </c>
    </row>
    <row r="2967" spans="1:8" x14ac:dyDescent="0.15">
      <c r="A2967" s="196" t="s">
        <v>11229</v>
      </c>
      <c r="B2967" s="196" t="s">
        <v>11230</v>
      </c>
      <c r="C2967" s="196" t="s">
        <v>18326</v>
      </c>
      <c r="D2967" s="196" t="s">
        <v>18327</v>
      </c>
      <c r="E2967" s="196" t="s">
        <v>18327</v>
      </c>
      <c r="F2967" s="196" t="s">
        <v>11233</v>
      </c>
      <c r="G2967" s="196" t="s">
        <v>12378</v>
      </c>
      <c r="H2967" s="196" t="s">
        <v>11235</v>
      </c>
    </row>
    <row r="2968" spans="1:8" x14ac:dyDescent="0.15">
      <c r="A2968" s="196" t="s">
        <v>11229</v>
      </c>
      <c r="B2968" s="196" t="s">
        <v>11230</v>
      </c>
      <c r="C2968" s="196" t="s">
        <v>18328</v>
      </c>
      <c r="D2968" s="196" t="s">
        <v>18329</v>
      </c>
      <c r="E2968" s="196" t="s">
        <v>18329</v>
      </c>
      <c r="F2968" s="196" t="s">
        <v>11233</v>
      </c>
      <c r="G2968" s="196" t="s">
        <v>12378</v>
      </c>
      <c r="H2968" s="196" t="s">
        <v>11235</v>
      </c>
    </row>
    <row r="2969" spans="1:8" x14ac:dyDescent="0.15">
      <c r="A2969" s="196" t="s">
        <v>11229</v>
      </c>
      <c r="B2969" s="196" t="s">
        <v>11230</v>
      </c>
      <c r="C2969" s="196" t="s">
        <v>18330</v>
      </c>
      <c r="D2969" s="196" t="s">
        <v>18331</v>
      </c>
      <c r="E2969" s="196" t="s">
        <v>18331</v>
      </c>
      <c r="F2969" s="196" t="s">
        <v>11233</v>
      </c>
      <c r="G2969" s="196" t="s">
        <v>12378</v>
      </c>
      <c r="H2969" s="196" t="s">
        <v>11235</v>
      </c>
    </row>
    <row r="2970" spans="1:8" x14ac:dyDescent="0.15">
      <c r="A2970" s="196" t="s">
        <v>11229</v>
      </c>
      <c r="B2970" s="196" t="s">
        <v>11230</v>
      </c>
      <c r="C2970" s="196" t="s">
        <v>18332</v>
      </c>
      <c r="D2970" s="196" t="s">
        <v>18333</v>
      </c>
      <c r="E2970" s="196" t="s">
        <v>18333</v>
      </c>
      <c r="F2970" s="196" t="s">
        <v>11233</v>
      </c>
      <c r="G2970" s="196" t="s">
        <v>12378</v>
      </c>
      <c r="H2970" s="196" t="s">
        <v>11235</v>
      </c>
    </row>
    <row r="2971" spans="1:8" x14ac:dyDescent="0.15">
      <c r="A2971" s="196" t="s">
        <v>11229</v>
      </c>
      <c r="B2971" s="196" t="s">
        <v>11230</v>
      </c>
      <c r="C2971" s="196" t="s">
        <v>18334</v>
      </c>
      <c r="D2971" s="196" t="s">
        <v>18335</v>
      </c>
      <c r="E2971" s="196" t="s">
        <v>18335</v>
      </c>
      <c r="F2971" s="196" t="s">
        <v>11233</v>
      </c>
      <c r="G2971" s="196" t="s">
        <v>12378</v>
      </c>
      <c r="H2971" s="196" t="s">
        <v>11235</v>
      </c>
    </row>
    <row r="2972" spans="1:8" x14ac:dyDescent="0.15">
      <c r="A2972" s="196" t="s">
        <v>11229</v>
      </c>
      <c r="B2972" s="196" t="s">
        <v>11230</v>
      </c>
      <c r="C2972" s="196" t="s">
        <v>18336</v>
      </c>
      <c r="D2972" s="196" t="s">
        <v>18337</v>
      </c>
      <c r="E2972" s="196" t="s">
        <v>18337</v>
      </c>
      <c r="F2972" s="196" t="s">
        <v>11233</v>
      </c>
      <c r="G2972" s="196" t="s">
        <v>12378</v>
      </c>
      <c r="H2972" s="196" t="s">
        <v>11235</v>
      </c>
    </row>
    <row r="2973" spans="1:8" x14ac:dyDescent="0.15">
      <c r="A2973" s="196" t="s">
        <v>11229</v>
      </c>
      <c r="B2973" s="196" t="s">
        <v>11230</v>
      </c>
      <c r="C2973" s="196" t="s">
        <v>18338</v>
      </c>
      <c r="D2973" s="196" t="s">
        <v>18339</v>
      </c>
      <c r="E2973" s="196" t="s">
        <v>18339</v>
      </c>
      <c r="F2973" s="196" t="s">
        <v>11233</v>
      </c>
      <c r="G2973" s="196" t="s">
        <v>12378</v>
      </c>
      <c r="H2973" s="196" t="s">
        <v>11235</v>
      </c>
    </row>
    <row r="2974" spans="1:8" x14ac:dyDescent="0.15">
      <c r="A2974" s="196" t="s">
        <v>11229</v>
      </c>
      <c r="B2974" s="196" t="s">
        <v>11230</v>
      </c>
      <c r="C2974" s="196" t="s">
        <v>18340</v>
      </c>
      <c r="D2974" s="196" t="s">
        <v>18341</v>
      </c>
      <c r="E2974" s="196" t="s">
        <v>18341</v>
      </c>
      <c r="F2974" s="196" t="s">
        <v>11233</v>
      </c>
      <c r="G2974" s="196" t="s">
        <v>12378</v>
      </c>
      <c r="H2974" s="196" t="s">
        <v>11235</v>
      </c>
    </row>
    <row r="2975" spans="1:8" x14ac:dyDescent="0.15">
      <c r="A2975" s="196" t="s">
        <v>11229</v>
      </c>
      <c r="B2975" s="196" t="s">
        <v>11230</v>
      </c>
      <c r="C2975" s="196" t="s">
        <v>18342</v>
      </c>
      <c r="D2975" s="196" t="s">
        <v>18343</v>
      </c>
      <c r="E2975" s="196" t="s">
        <v>18343</v>
      </c>
      <c r="F2975" s="196" t="s">
        <v>11233</v>
      </c>
      <c r="G2975" s="196" t="s">
        <v>12378</v>
      </c>
      <c r="H2975" s="196" t="s">
        <v>11235</v>
      </c>
    </row>
    <row r="2976" spans="1:8" x14ac:dyDescent="0.15">
      <c r="A2976" s="196" t="s">
        <v>11229</v>
      </c>
      <c r="B2976" s="196" t="s">
        <v>11230</v>
      </c>
      <c r="C2976" s="196" t="s">
        <v>18344</v>
      </c>
      <c r="D2976" s="196" t="s">
        <v>18345</v>
      </c>
      <c r="E2976" s="196" t="s">
        <v>18345</v>
      </c>
      <c r="F2976" s="196" t="s">
        <v>11233</v>
      </c>
      <c r="G2976" s="196" t="s">
        <v>12378</v>
      </c>
      <c r="H2976" s="196" t="s">
        <v>11235</v>
      </c>
    </row>
    <row r="2977" spans="1:8" x14ac:dyDescent="0.15">
      <c r="A2977" s="196" t="s">
        <v>11229</v>
      </c>
      <c r="B2977" s="196" t="s">
        <v>11230</v>
      </c>
      <c r="C2977" s="196" t="s">
        <v>18346</v>
      </c>
      <c r="D2977" s="196" t="s">
        <v>18347</v>
      </c>
      <c r="E2977" s="196" t="s">
        <v>18347</v>
      </c>
      <c r="F2977" s="196" t="s">
        <v>11233</v>
      </c>
      <c r="G2977" s="196" t="s">
        <v>12378</v>
      </c>
      <c r="H2977" s="196" t="s">
        <v>11235</v>
      </c>
    </row>
    <row r="2978" spans="1:8" x14ac:dyDescent="0.15">
      <c r="A2978" s="196" t="s">
        <v>11229</v>
      </c>
      <c r="B2978" s="196" t="s">
        <v>11230</v>
      </c>
      <c r="C2978" s="196" t="s">
        <v>18348</v>
      </c>
      <c r="D2978" s="196" t="s">
        <v>18349</v>
      </c>
      <c r="E2978" s="196" t="s">
        <v>18349</v>
      </c>
      <c r="F2978" s="196" t="s">
        <v>11233</v>
      </c>
      <c r="G2978" s="196" t="s">
        <v>12378</v>
      </c>
      <c r="H2978" s="196" t="s">
        <v>11235</v>
      </c>
    </row>
    <row r="2979" spans="1:8" x14ac:dyDescent="0.15">
      <c r="A2979" s="196" t="s">
        <v>11229</v>
      </c>
      <c r="B2979" s="196" t="s">
        <v>11230</v>
      </c>
      <c r="C2979" s="196" t="s">
        <v>18350</v>
      </c>
      <c r="D2979" s="196" t="s">
        <v>18351</v>
      </c>
      <c r="E2979" s="196" t="s">
        <v>18351</v>
      </c>
      <c r="F2979" s="196" t="s">
        <v>11233</v>
      </c>
      <c r="G2979" s="196" t="s">
        <v>12378</v>
      </c>
      <c r="H2979" s="196" t="s">
        <v>11235</v>
      </c>
    </row>
    <row r="2980" spans="1:8" x14ac:dyDescent="0.15">
      <c r="A2980" s="196" t="s">
        <v>11229</v>
      </c>
      <c r="B2980" s="196" t="s">
        <v>11230</v>
      </c>
      <c r="C2980" s="196" t="s">
        <v>18352</v>
      </c>
      <c r="D2980" s="196" t="s">
        <v>18353</v>
      </c>
      <c r="E2980" s="196" t="s">
        <v>18353</v>
      </c>
      <c r="F2980" s="196" t="s">
        <v>11233</v>
      </c>
      <c r="G2980" s="196" t="s">
        <v>12378</v>
      </c>
      <c r="H2980" s="196" t="s">
        <v>11235</v>
      </c>
    </row>
    <row r="2981" spans="1:8" x14ac:dyDescent="0.15">
      <c r="A2981" s="196" t="s">
        <v>11229</v>
      </c>
      <c r="B2981" s="196" t="s">
        <v>11230</v>
      </c>
      <c r="C2981" s="196" t="s">
        <v>18354</v>
      </c>
      <c r="D2981" s="196" t="s">
        <v>18355</v>
      </c>
      <c r="E2981" s="196" t="s">
        <v>18355</v>
      </c>
      <c r="F2981" s="196" t="s">
        <v>11233</v>
      </c>
      <c r="G2981" s="196" t="s">
        <v>12378</v>
      </c>
      <c r="H2981" s="196" t="s">
        <v>11235</v>
      </c>
    </row>
    <row r="2982" spans="1:8" x14ac:dyDescent="0.15">
      <c r="A2982" s="196" t="s">
        <v>11229</v>
      </c>
      <c r="B2982" s="196" t="s">
        <v>11230</v>
      </c>
      <c r="C2982" s="196" t="s">
        <v>18356</v>
      </c>
      <c r="D2982" s="196" t="s">
        <v>18357</v>
      </c>
      <c r="E2982" s="196" t="s">
        <v>18357</v>
      </c>
      <c r="F2982" s="196" t="s">
        <v>11233</v>
      </c>
      <c r="G2982" s="196" t="s">
        <v>12378</v>
      </c>
      <c r="H2982" s="196" t="s">
        <v>11235</v>
      </c>
    </row>
    <row r="2983" spans="1:8" x14ac:dyDescent="0.15">
      <c r="A2983" s="196" t="s">
        <v>11229</v>
      </c>
      <c r="B2983" s="196" t="s">
        <v>11230</v>
      </c>
      <c r="C2983" s="196" t="s">
        <v>18358</v>
      </c>
      <c r="D2983" s="196" t="s">
        <v>18359</v>
      </c>
      <c r="E2983" s="196" t="s">
        <v>18359</v>
      </c>
      <c r="F2983" s="196" t="s">
        <v>11233</v>
      </c>
      <c r="G2983" s="196" t="s">
        <v>12378</v>
      </c>
      <c r="H2983" s="196" t="s">
        <v>11235</v>
      </c>
    </row>
    <row r="2984" spans="1:8" x14ac:dyDescent="0.15">
      <c r="A2984" s="196" t="s">
        <v>11229</v>
      </c>
      <c r="B2984" s="196" t="s">
        <v>11230</v>
      </c>
      <c r="C2984" s="196" t="s">
        <v>18360</v>
      </c>
      <c r="D2984" s="196" t="s">
        <v>18361</v>
      </c>
      <c r="E2984" s="196" t="s">
        <v>18361</v>
      </c>
      <c r="F2984" s="196" t="s">
        <v>11233</v>
      </c>
      <c r="G2984" s="196" t="s">
        <v>12378</v>
      </c>
      <c r="H2984" s="196" t="s">
        <v>11235</v>
      </c>
    </row>
    <row r="2985" spans="1:8" x14ac:dyDescent="0.15">
      <c r="A2985" s="196" t="s">
        <v>11229</v>
      </c>
      <c r="B2985" s="196" t="s">
        <v>11230</v>
      </c>
      <c r="C2985" s="196" t="s">
        <v>18362</v>
      </c>
      <c r="D2985" s="196" t="s">
        <v>18363</v>
      </c>
      <c r="E2985" s="196" t="s">
        <v>18363</v>
      </c>
      <c r="F2985" s="196" t="s">
        <v>11233</v>
      </c>
      <c r="G2985" s="196" t="s">
        <v>12378</v>
      </c>
      <c r="H2985" s="196" t="s">
        <v>11235</v>
      </c>
    </row>
    <row r="2986" spans="1:8" x14ac:dyDescent="0.15">
      <c r="A2986" s="196" t="s">
        <v>11229</v>
      </c>
      <c r="B2986" s="196" t="s">
        <v>11230</v>
      </c>
      <c r="C2986" s="196" t="s">
        <v>18364</v>
      </c>
      <c r="D2986" s="196" t="s">
        <v>18365</v>
      </c>
      <c r="E2986" s="196" t="s">
        <v>18365</v>
      </c>
      <c r="F2986" s="196" t="s">
        <v>11233</v>
      </c>
      <c r="G2986" s="196" t="s">
        <v>12378</v>
      </c>
      <c r="H2986" s="196" t="s">
        <v>11235</v>
      </c>
    </row>
    <row r="2987" spans="1:8" x14ac:dyDescent="0.15">
      <c r="A2987" s="196" t="s">
        <v>11229</v>
      </c>
      <c r="B2987" s="196" t="s">
        <v>11230</v>
      </c>
      <c r="C2987" s="196" t="s">
        <v>18366</v>
      </c>
      <c r="D2987" s="196" t="s">
        <v>18367</v>
      </c>
      <c r="E2987" s="196" t="s">
        <v>18367</v>
      </c>
      <c r="F2987" s="196" t="s">
        <v>11233</v>
      </c>
      <c r="G2987" s="196" t="s">
        <v>12378</v>
      </c>
      <c r="H2987" s="196" t="s">
        <v>11235</v>
      </c>
    </row>
    <row r="2988" spans="1:8" x14ac:dyDescent="0.15">
      <c r="A2988" s="196" t="s">
        <v>11229</v>
      </c>
      <c r="B2988" s="196" t="s">
        <v>11230</v>
      </c>
      <c r="C2988" s="196" t="s">
        <v>18368</v>
      </c>
      <c r="D2988" s="196" t="s">
        <v>18369</v>
      </c>
      <c r="E2988" s="196" t="s">
        <v>18369</v>
      </c>
      <c r="F2988" s="196" t="s">
        <v>11233</v>
      </c>
      <c r="G2988" s="196" t="s">
        <v>12378</v>
      </c>
      <c r="H2988" s="196" t="s">
        <v>11235</v>
      </c>
    </row>
    <row r="2989" spans="1:8" x14ac:dyDescent="0.15">
      <c r="A2989" s="196" t="s">
        <v>11229</v>
      </c>
      <c r="B2989" s="196" t="s">
        <v>11230</v>
      </c>
      <c r="C2989" s="196" t="s">
        <v>18370</v>
      </c>
      <c r="D2989" s="196" t="s">
        <v>18371</v>
      </c>
      <c r="E2989" s="196" t="s">
        <v>18371</v>
      </c>
      <c r="F2989" s="196" t="s">
        <v>11233</v>
      </c>
      <c r="G2989" s="196" t="s">
        <v>12378</v>
      </c>
      <c r="H2989" s="196" t="s">
        <v>11235</v>
      </c>
    </row>
    <row r="2990" spans="1:8" x14ac:dyDescent="0.15">
      <c r="A2990" s="196" t="s">
        <v>11229</v>
      </c>
      <c r="B2990" s="196" t="s">
        <v>11230</v>
      </c>
      <c r="C2990" s="196" t="s">
        <v>18372</v>
      </c>
      <c r="D2990" s="196" t="s">
        <v>18373</v>
      </c>
      <c r="E2990" s="196" t="s">
        <v>18373</v>
      </c>
      <c r="F2990" s="196" t="s">
        <v>11233</v>
      </c>
      <c r="G2990" s="196" t="s">
        <v>12378</v>
      </c>
      <c r="H2990" s="196" t="s">
        <v>11235</v>
      </c>
    </row>
    <row r="2991" spans="1:8" x14ac:dyDescent="0.15">
      <c r="A2991" s="196" t="s">
        <v>11229</v>
      </c>
      <c r="B2991" s="196" t="s">
        <v>11230</v>
      </c>
      <c r="C2991" s="196" t="s">
        <v>18374</v>
      </c>
      <c r="D2991" s="196" t="s">
        <v>18375</v>
      </c>
      <c r="E2991" s="196" t="s">
        <v>18375</v>
      </c>
      <c r="F2991" s="196" t="s">
        <v>11233</v>
      </c>
      <c r="G2991" s="196" t="s">
        <v>12378</v>
      </c>
      <c r="H2991" s="196" t="s">
        <v>11235</v>
      </c>
    </row>
    <row r="2992" spans="1:8" x14ac:dyDescent="0.15">
      <c r="A2992" s="196" t="s">
        <v>11229</v>
      </c>
      <c r="B2992" s="196" t="s">
        <v>11230</v>
      </c>
      <c r="C2992" s="196" t="s">
        <v>18376</v>
      </c>
      <c r="D2992" s="196" t="s">
        <v>18377</v>
      </c>
      <c r="E2992" s="196" t="s">
        <v>18377</v>
      </c>
      <c r="F2992" s="196" t="s">
        <v>11233</v>
      </c>
      <c r="G2992" s="196" t="s">
        <v>12378</v>
      </c>
      <c r="H2992" s="196" t="s">
        <v>11235</v>
      </c>
    </row>
    <row r="2993" spans="1:8" x14ac:dyDescent="0.15">
      <c r="A2993" s="196" t="s">
        <v>11229</v>
      </c>
      <c r="B2993" s="196" t="s">
        <v>11230</v>
      </c>
      <c r="C2993" s="196" t="s">
        <v>18378</v>
      </c>
      <c r="D2993" s="196" t="s">
        <v>18379</v>
      </c>
      <c r="E2993" s="196" t="s">
        <v>18379</v>
      </c>
      <c r="F2993" s="196" t="s">
        <v>11233</v>
      </c>
      <c r="G2993" s="196" t="s">
        <v>12378</v>
      </c>
      <c r="H2993" s="196" t="s">
        <v>11235</v>
      </c>
    </row>
    <row r="2994" spans="1:8" x14ac:dyDescent="0.15">
      <c r="A2994" s="196" t="s">
        <v>11229</v>
      </c>
      <c r="B2994" s="196" t="s">
        <v>11230</v>
      </c>
      <c r="C2994" s="196" t="s">
        <v>18380</v>
      </c>
      <c r="D2994" s="196" t="s">
        <v>18381</v>
      </c>
      <c r="E2994" s="196" t="s">
        <v>18381</v>
      </c>
      <c r="F2994" s="196" t="s">
        <v>11233</v>
      </c>
      <c r="G2994" s="196" t="s">
        <v>12378</v>
      </c>
      <c r="H2994" s="196" t="s">
        <v>11235</v>
      </c>
    </row>
    <row r="2995" spans="1:8" x14ac:dyDescent="0.15">
      <c r="A2995" s="196" t="s">
        <v>11229</v>
      </c>
      <c r="B2995" s="196" t="s">
        <v>11230</v>
      </c>
      <c r="C2995" s="196" t="s">
        <v>18382</v>
      </c>
      <c r="D2995" s="196" t="s">
        <v>18383</v>
      </c>
      <c r="E2995" s="196" t="s">
        <v>18383</v>
      </c>
      <c r="F2995" s="196" t="s">
        <v>11233</v>
      </c>
      <c r="G2995" s="196" t="s">
        <v>12378</v>
      </c>
      <c r="H2995" s="196" t="s">
        <v>11235</v>
      </c>
    </row>
    <row r="2996" spans="1:8" x14ac:dyDescent="0.15">
      <c r="A2996" s="196" t="s">
        <v>11229</v>
      </c>
      <c r="B2996" s="196" t="s">
        <v>11230</v>
      </c>
      <c r="C2996" s="196" t="s">
        <v>18384</v>
      </c>
      <c r="D2996" s="196" t="s">
        <v>18385</v>
      </c>
      <c r="E2996" s="196" t="s">
        <v>18385</v>
      </c>
      <c r="F2996" s="196" t="s">
        <v>11233</v>
      </c>
      <c r="G2996" s="196" t="s">
        <v>12378</v>
      </c>
      <c r="H2996" s="196" t="s">
        <v>11235</v>
      </c>
    </row>
    <row r="2997" spans="1:8" x14ac:dyDescent="0.15">
      <c r="A2997" s="196" t="s">
        <v>11229</v>
      </c>
      <c r="B2997" s="196" t="s">
        <v>11230</v>
      </c>
      <c r="C2997" s="196" t="s">
        <v>18386</v>
      </c>
      <c r="D2997" s="196" t="s">
        <v>18387</v>
      </c>
      <c r="E2997" s="196" t="s">
        <v>18387</v>
      </c>
      <c r="F2997" s="196" t="s">
        <v>11233</v>
      </c>
      <c r="G2997" s="196" t="s">
        <v>12378</v>
      </c>
      <c r="H2997" s="196" t="s">
        <v>11235</v>
      </c>
    </row>
    <row r="2998" spans="1:8" x14ac:dyDescent="0.15">
      <c r="A2998" s="196" t="s">
        <v>11229</v>
      </c>
      <c r="B2998" s="196" t="s">
        <v>11230</v>
      </c>
      <c r="C2998" s="196" t="s">
        <v>18388</v>
      </c>
      <c r="D2998" s="196" t="s">
        <v>18389</v>
      </c>
      <c r="E2998" s="196" t="s">
        <v>18389</v>
      </c>
      <c r="F2998" s="196" t="s">
        <v>11233</v>
      </c>
      <c r="G2998" s="196" t="s">
        <v>12378</v>
      </c>
      <c r="H2998" s="196" t="s">
        <v>11235</v>
      </c>
    </row>
    <row r="2999" spans="1:8" x14ac:dyDescent="0.15">
      <c r="A2999" s="196" t="s">
        <v>11229</v>
      </c>
      <c r="B2999" s="196" t="s">
        <v>11230</v>
      </c>
      <c r="C2999" s="196" t="s">
        <v>18390</v>
      </c>
      <c r="D2999" s="196" t="s">
        <v>18391</v>
      </c>
      <c r="E2999" s="196" t="s">
        <v>18391</v>
      </c>
      <c r="F2999" s="196" t="s">
        <v>11233</v>
      </c>
      <c r="G2999" s="196" t="s">
        <v>12378</v>
      </c>
      <c r="H2999" s="196" t="s">
        <v>11235</v>
      </c>
    </row>
    <row r="3000" spans="1:8" x14ac:dyDescent="0.15">
      <c r="A3000" s="196" t="s">
        <v>11229</v>
      </c>
      <c r="B3000" s="196" t="s">
        <v>11230</v>
      </c>
      <c r="C3000" s="196" t="s">
        <v>18392</v>
      </c>
      <c r="D3000" s="196" t="s">
        <v>18393</v>
      </c>
      <c r="E3000" s="196" t="s">
        <v>18393</v>
      </c>
      <c r="F3000" s="196" t="s">
        <v>11233</v>
      </c>
      <c r="G3000" s="196" t="s">
        <v>12378</v>
      </c>
      <c r="H3000" s="196" t="s">
        <v>11235</v>
      </c>
    </row>
    <row r="3001" spans="1:8" x14ac:dyDescent="0.15">
      <c r="A3001" s="196" t="s">
        <v>11229</v>
      </c>
      <c r="B3001" s="196" t="s">
        <v>11230</v>
      </c>
      <c r="C3001" s="196" t="s">
        <v>18394</v>
      </c>
      <c r="D3001" s="196" t="s">
        <v>18395</v>
      </c>
      <c r="E3001" s="196" t="s">
        <v>18395</v>
      </c>
      <c r="F3001" s="196" t="s">
        <v>11233</v>
      </c>
      <c r="G3001" s="196" t="s">
        <v>12378</v>
      </c>
      <c r="H3001" s="196" t="s">
        <v>11235</v>
      </c>
    </row>
    <row r="3002" spans="1:8" x14ac:dyDescent="0.15">
      <c r="A3002" s="196" t="s">
        <v>11229</v>
      </c>
      <c r="B3002" s="196" t="s">
        <v>11230</v>
      </c>
      <c r="C3002" s="196" t="s">
        <v>18396</v>
      </c>
      <c r="D3002" s="196" t="s">
        <v>18397</v>
      </c>
      <c r="E3002" s="196" t="s">
        <v>18397</v>
      </c>
      <c r="F3002" s="196" t="s">
        <v>11233</v>
      </c>
      <c r="G3002" s="196" t="s">
        <v>12378</v>
      </c>
      <c r="H3002" s="196" t="s">
        <v>11235</v>
      </c>
    </row>
    <row r="3003" spans="1:8" x14ac:dyDescent="0.15">
      <c r="A3003" s="196" t="s">
        <v>11229</v>
      </c>
      <c r="B3003" s="196" t="s">
        <v>11230</v>
      </c>
      <c r="C3003" s="196" t="s">
        <v>18398</v>
      </c>
      <c r="D3003" s="196" t="s">
        <v>18399</v>
      </c>
      <c r="E3003" s="196" t="s">
        <v>18399</v>
      </c>
      <c r="F3003" s="196" t="s">
        <v>11233</v>
      </c>
      <c r="G3003" s="196" t="s">
        <v>12378</v>
      </c>
      <c r="H3003" s="196" t="s">
        <v>11235</v>
      </c>
    </row>
    <row r="3004" spans="1:8" x14ac:dyDescent="0.15">
      <c r="A3004" s="196" t="s">
        <v>11229</v>
      </c>
      <c r="B3004" s="196" t="s">
        <v>11230</v>
      </c>
      <c r="C3004" s="196" t="s">
        <v>18400</v>
      </c>
      <c r="D3004" s="196" t="s">
        <v>18401</v>
      </c>
      <c r="E3004" s="196" t="s">
        <v>18401</v>
      </c>
      <c r="F3004" s="196" t="s">
        <v>11233</v>
      </c>
      <c r="G3004" s="196" t="s">
        <v>12378</v>
      </c>
      <c r="H3004" s="196" t="s">
        <v>11235</v>
      </c>
    </row>
    <row r="3005" spans="1:8" x14ac:dyDescent="0.15">
      <c r="A3005" s="196" t="s">
        <v>11229</v>
      </c>
      <c r="B3005" s="196" t="s">
        <v>11230</v>
      </c>
      <c r="C3005" s="196" t="s">
        <v>18402</v>
      </c>
      <c r="D3005" s="196" t="s">
        <v>18403</v>
      </c>
      <c r="E3005" s="196" t="s">
        <v>18403</v>
      </c>
      <c r="F3005" s="196" t="s">
        <v>11233</v>
      </c>
      <c r="G3005" s="196" t="s">
        <v>12378</v>
      </c>
      <c r="H3005" s="196" t="s">
        <v>11235</v>
      </c>
    </row>
    <row r="3006" spans="1:8" x14ac:dyDescent="0.15">
      <c r="A3006" s="196" t="s">
        <v>11229</v>
      </c>
      <c r="B3006" s="196" t="s">
        <v>11230</v>
      </c>
      <c r="C3006" s="196" t="s">
        <v>18404</v>
      </c>
      <c r="D3006" s="196" t="s">
        <v>18405</v>
      </c>
      <c r="E3006" s="196" t="s">
        <v>18405</v>
      </c>
      <c r="F3006" s="196" t="s">
        <v>11233</v>
      </c>
      <c r="G3006" s="196" t="s">
        <v>12378</v>
      </c>
      <c r="H3006" s="196" t="s">
        <v>11235</v>
      </c>
    </row>
    <row r="3007" spans="1:8" x14ac:dyDescent="0.15">
      <c r="A3007" s="196" t="s">
        <v>11229</v>
      </c>
      <c r="B3007" s="196" t="s">
        <v>11230</v>
      </c>
      <c r="C3007" s="196" t="s">
        <v>18406</v>
      </c>
      <c r="D3007" s="196" t="s">
        <v>18407</v>
      </c>
      <c r="E3007" s="196" t="s">
        <v>18407</v>
      </c>
      <c r="F3007" s="196" t="s">
        <v>11233</v>
      </c>
      <c r="G3007" s="196" t="s">
        <v>12378</v>
      </c>
      <c r="H3007" s="196" t="s">
        <v>11235</v>
      </c>
    </row>
    <row r="3008" spans="1:8" x14ac:dyDescent="0.15">
      <c r="A3008" s="196" t="s">
        <v>11229</v>
      </c>
      <c r="B3008" s="196" t="s">
        <v>11230</v>
      </c>
      <c r="C3008" s="196" t="s">
        <v>18408</v>
      </c>
      <c r="D3008" s="196" t="s">
        <v>18409</v>
      </c>
      <c r="E3008" s="196" t="s">
        <v>18410</v>
      </c>
      <c r="F3008" s="196" t="s">
        <v>11268</v>
      </c>
      <c r="G3008" s="196" t="s">
        <v>12378</v>
      </c>
      <c r="H3008" s="196" t="s">
        <v>11235</v>
      </c>
    </row>
    <row r="3009" spans="1:8" x14ac:dyDescent="0.15">
      <c r="A3009" s="196" t="s">
        <v>11229</v>
      </c>
      <c r="B3009" s="196" t="s">
        <v>11230</v>
      </c>
      <c r="C3009" s="196" t="s">
        <v>18411</v>
      </c>
      <c r="D3009" s="196" t="s">
        <v>18412</v>
      </c>
      <c r="E3009" s="196" t="s">
        <v>18412</v>
      </c>
      <c r="F3009" s="196" t="s">
        <v>11233</v>
      </c>
      <c r="G3009" s="196" t="s">
        <v>12378</v>
      </c>
      <c r="H3009" s="196" t="s">
        <v>11235</v>
      </c>
    </row>
    <row r="3010" spans="1:8" x14ac:dyDescent="0.15">
      <c r="A3010" s="196" t="s">
        <v>11229</v>
      </c>
      <c r="B3010" s="196" t="s">
        <v>11230</v>
      </c>
      <c r="C3010" s="196" t="s">
        <v>18413</v>
      </c>
      <c r="D3010" s="196" t="s">
        <v>18414</v>
      </c>
      <c r="E3010" s="196" t="s">
        <v>18415</v>
      </c>
      <c r="F3010" s="196" t="s">
        <v>11241</v>
      </c>
      <c r="G3010" s="196" t="s">
        <v>12378</v>
      </c>
      <c r="H3010" s="196" t="s">
        <v>11235</v>
      </c>
    </row>
    <row r="3011" spans="1:8" x14ac:dyDescent="0.15">
      <c r="A3011" s="196" t="s">
        <v>11229</v>
      </c>
      <c r="B3011" s="196" t="s">
        <v>11230</v>
      </c>
      <c r="C3011" s="196" t="s">
        <v>18416</v>
      </c>
      <c r="D3011" s="196" t="s">
        <v>18417</v>
      </c>
      <c r="E3011" s="196" t="s">
        <v>18417</v>
      </c>
      <c r="F3011" s="196" t="s">
        <v>11233</v>
      </c>
      <c r="G3011" s="196" t="s">
        <v>12378</v>
      </c>
      <c r="H3011" s="196" t="s">
        <v>11235</v>
      </c>
    </row>
    <row r="3012" spans="1:8" x14ac:dyDescent="0.15">
      <c r="A3012" s="196" t="s">
        <v>11229</v>
      </c>
      <c r="B3012" s="196" t="s">
        <v>11230</v>
      </c>
      <c r="C3012" s="196" t="s">
        <v>18418</v>
      </c>
      <c r="D3012" s="196" t="s">
        <v>18419</v>
      </c>
      <c r="E3012" s="196" t="s">
        <v>18419</v>
      </c>
      <c r="F3012" s="196" t="s">
        <v>11233</v>
      </c>
      <c r="G3012" s="196" t="s">
        <v>12378</v>
      </c>
      <c r="H3012" s="196" t="s">
        <v>11235</v>
      </c>
    </row>
    <row r="3013" spans="1:8" x14ac:dyDescent="0.15">
      <c r="A3013" s="196" t="s">
        <v>11229</v>
      </c>
      <c r="B3013" s="196" t="s">
        <v>11230</v>
      </c>
      <c r="C3013" s="196" t="s">
        <v>18420</v>
      </c>
      <c r="D3013" s="196" t="s">
        <v>18421</v>
      </c>
      <c r="E3013" s="196" t="s">
        <v>18421</v>
      </c>
      <c r="F3013" s="196" t="s">
        <v>11233</v>
      </c>
      <c r="G3013" s="196" t="s">
        <v>12378</v>
      </c>
      <c r="H3013" s="196" t="s">
        <v>11235</v>
      </c>
    </row>
    <row r="3014" spans="1:8" x14ac:dyDescent="0.15">
      <c r="A3014" s="196" t="s">
        <v>11229</v>
      </c>
      <c r="B3014" s="196" t="s">
        <v>11230</v>
      </c>
      <c r="C3014" s="196" t="s">
        <v>18422</v>
      </c>
      <c r="D3014" s="196" t="s">
        <v>18423</v>
      </c>
      <c r="E3014" s="196" t="s">
        <v>18423</v>
      </c>
      <c r="F3014" s="196" t="s">
        <v>11233</v>
      </c>
      <c r="G3014" s="196" t="s">
        <v>12378</v>
      </c>
      <c r="H3014" s="196" t="s">
        <v>11235</v>
      </c>
    </row>
    <row r="3015" spans="1:8" x14ac:dyDescent="0.15">
      <c r="A3015" s="196" t="s">
        <v>11229</v>
      </c>
      <c r="B3015" s="196" t="s">
        <v>11230</v>
      </c>
      <c r="C3015" s="196" t="s">
        <v>18424</v>
      </c>
      <c r="D3015" s="196" t="s">
        <v>18425</v>
      </c>
      <c r="E3015" s="196" t="s">
        <v>18425</v>
      </c>
      <c r="F3015" s="196" t="s">
        <v>11233</v>
      </c>
      <c r="G3015" s="196" t="s">
        <v>12378</v>
      </c>
      <c r="H3015" s="196" t="s">
        <v>11235</v>
      </c>
    </row>
    <row r="3016" spans="1:8" x14ac:dyDescent="0.15">
      <c r="A3016" s="196" t="s">
        <v>11229</v>
      </c>
      <c r="B3016" s="196" t="s">
        <v>11230</v>
      </c>
      <c r="C3016" s="196" t="s">
        <v>18426</v>
      </c>
      <c r="D3016" s="196" t="s">
        <v>18427</v>
      </c>
      <c r="E3016" s="196" t="s">
        <v>18427</v>
      </c>
      <c r="F3016" s="196" t="s">
        <v>11233</v>
      </c>
      <c r="G3016" s="196" t="s">
        <v>12378</v>
      </c>
      <c r="H3016" s="196" t="s">
        <v>11235</v>
      </c>
    </row>
    <row r="3017" spans="1:8" x14ac:dyDescent="0.15">
      <c r="A3017" s="196" t="s">
        <v>11229</v>
      </c>
      <c r="B3017" s="196" t="s">
        <v>11230</v>
      </c>
      <c r="C3017" s="196" t="s">
        <v>18428</v>
      </c>
      <c r="D3017" s="196" t="s">
        <v>18429</v>
      </c>
      <c r="E3017" s="196" t="s">
        <v>18429</v>
      </c>
      <c r="F3017" s="196" t="s">
        <v>11233</v>
      </c>
      <c r="G3017" s="196" t="s">
        <v>12378</v>
      </c>
      <c r="H3017" s="196" t="s">
        <v>11235</v>
      </c>
    </row>
    <row r="3018" spans="1:8" x14ac:dyDescent="0.15">
      <c r="A3018" s="196" t="s">
        <v>11229</v>
      </c>
      <c r="B3018" s="196" t="s">
        <v>11230</v>
      </c>
      <c r="C3018" s="196" t="s">
        <v>18430</v>
      </c>
      <c r="D3018" s="196" t="s">
        <v>18431</v>
      </c>
      <c r="E3018" s="196" t="s">
        <v>18431</v>
      </c>
      <c r="F3018" s="196" t="s">
        <v>11233</v>
      </c>
      <c r="G3018" s="196" t="s">
        <v>12378</v>
      </c>
      <c r="H3018" s="196" t="s">
        <v>11235</v>
      </c>
    </row>
    <row r="3019" spans="1:8" x14ac:dyDescent="0.15">
      <c r="A3019" s="196" t="s">
        <v>11229</v>
      </c>
      <c r="B3019" s="196" t="s">
        <v>11230</v>
      </c>
      <c r="C3019" s="196" t="s">
        <v>18432</v>
      </c>
      <c r="D3019" s="196" t="s">
        <v>18433</v>
      </c>
      <c r="E3019" s="196" t="s">
        <v>18433</v>
      </c>
      <c r="F3019" s="196" t="s">
        <v>11233</v>
      </c>
      <c r="G3019" s="196" t="s">
        <v>12378</v>
      </c>
      <c r="H3019" s="196" t="s">
        <v>11235</v>
      </c>
    </row>
    <row r="3020" spans="1:8" x14ac:dyDescent="0.15">
      <c r="A3020" s="196" t="s">
        <v>11229</v>
      </c>
      <c r="B3020" s="196" t="s">
        <v>11230</v>
      </c>
      <c r="C3020" s="196" t="s">
        <v>18434</v>
      </c>
      <c r="D3020" s="196" t="s">
        <v>18435</v>
      </c>
      <c r="E3020" s="196" t="s">
        <v>18435</v>
      </c>
      <c r="F3020" s="196" t="s">
        <v>11233</v>
      </c>
      <c r="G3020" s="196" t="s">
        <v>12378</v>
      </c>
      <c r="H3020" s="196" t="s">
        <v>11235</v>
      </c>
    </row>
    <row r="3021" spans="1:8" x14ac:dyDescent="0.15">
      <c r="A3021" s="196" t="s">
        <v>11229</v>
      </c>
      <c r="B3021" s="196" t="s">
        <v>11230</v>
      </c>
      <c r="C3021" s="196" t="s">
        <v>18436</v>
      </c>
      <c r="D3021" s="196" t="s">
        <v>18437</v>
      </c>
      <c r="E3021" s="196" t="s">
        <v>18437</v>
      </c>
      <c r="F3021" s="196" t="s">
        <v>11233</v>
      </c>
      <c r="G3021" s="196" t="s">
        <v>12378</v>
      </c>
      <c r="H3021" s="196" t="s">
        <v>11235</v>
      </c>
    </row>
    <row r="3022" spans="1:8" x14ac:dyDescent="0.15">
      <c r="A3022" s="196" t="s">
        <v>11229</v>
      </c>
      <c r="B3022" s="196" t="s">
        <v>11230</v>
      </c>
      <c r="C3022" s="196" t="s">
        <v>18438</v>
      </c>
      <c r="D3022" s="196" t="s">
        <v>18439</v>
      </c>
      <c r="E3022" s="196" t="s">
        <v>18439</v>
      </c>
      <c r="F3022" s="196" t="s">
        <v>11233</v>
      </c>
      <c r="G3022" s="196" t="s">
        <v>12378</v>
      </c>
      <c r="H3022" s="196" t="s">
        <v>11235</v>
      </c>
    </row>
    <row r="3023" spans="1:8" x14ac:dyDescent="0.15">
      <c r="A3023" s="196" t="s">
        <v>11229</v>
      </c>
      <c r="B3023" s="196" t="s">
        <v>11230</v>
      </c>
      <c r="C3023" s="196" t="s">
        <v>18440</v>
      </c>
      <c r="D3023" s="196" t="s">
        <v>18441</v>
      </c>
      <c r="E3023" s="196" t="s">
        <v>18441</v>
      </c>
      <c r="F3023" s="196" t="s">
        <v>11233</v>
      </c>
      <c r="G3023" s="196" t="s">
        <v>12378</v>
      </c>
      <c r="H3023" s="196" t="s">
        <v>11235</v>
      </c>
    </row>
    <row r="3024" spans="1:8" x14ac:dyDescent="0.15">
      <c r="A3024" s="196" t="s">
        <v>11229</v>
      </c>
      <c r="B3024" s="196" t="s">
        <v>11230</v>
      </c>
      <c r="C3024" s="196" t="s">
        <v>18442</v>
      </c>
      <c r="D3024" s="196" t="s">
        <v>18443</v>
      </c>
      <c r="E3024" s="196" t="s">
        <v>18443</v>
      </c>
      <c r="F3024" s="196" t="s">
        <v>11233</v>
      </c>
      <c r="G3024" s="196" t="s">
        <v>12378</v>
      </c>
      <c r="H3024" s="196" t="s">
        <v>11235</v>
      </c>
    </row>
    <row r="3025" spans="1:8" x14ac:dyDescent="0.15">
      <c r="A3025" s="196" t="s">
        <v>11229</v>
      </c>
      <c r="B3025" s="196" t="s">
        <v>11230</v>
      </c>
      <c r="C3025" s="196" t="s">
        <v>18444</v>
      </c>
      <c r="D3025" s="196" t="s">
        <v>18445</v>
      </c>
      <c r="E3025" s="196" t="s">
        <v>18445</v>
      </c>
      <c r="F3025" s="196" t="s">
        <v>11233</v>
      </c>
      <c r="G3025" s="196" t="s">
        <v>12378</v>
      </c>
      <c r="H3025" s="196" t="s">
        <v>11235</v>
      </c>
    </row>
    <row r="3026" spans="1:8" x14ac:dyDescent="0.15">
      <c r="A3026" s="196" t="s">
        <v>11229</v>
      </c>
      <c r="B3026" s="196" t="s">
        <v>11230</v>
      </c>
      <c r="C3026" s="196" t="s">
        <v>18446</v>
      </c>
      <c r="D3026" s="196" t="s">
        <v>18447</v>
      </c>
      <c r="E3026" s="196" t="s">
        <v>18447</v>
      </c>
      <c r="F3026" s="196" t="s">
        <v>11233</v>
      </c>
      <c r="G3026" s="196" t="s">
        <v>12378</v>
      </c>
      <c r="H3026" s="196" t="s">
        <v>11235</v>
      </c>
    </row>
    <row r="3027" spans="1:8" x14ac:dyDescent="0.15">
      <c r="A3027" s="196" t="s">
        <v>11229</v>
      </c>
      <c r="B3027" s="196" t="s">
        <v>11230</v>
      </c>
      <c r="C3027" s="196" t="s">
        <v>18448</v>
      </c>
      <c r="D3027" s="196" t="s">
        <v>18449</v>
      </c>
      <c r="E3027" s="196" t="s">
        <v>18449</v>
      </c>
      <c r="F3027" s="196" t="s">
        <v>11233</v>
      </c>
      <c r="G3027" s="196" t="s">
        <v>12378</v>
      </c>
      <c r="H3027" s="196" t="s">
        <v>11235</v>
      </c>
    </row>
    <row r="3028" spans="1:8" x14ac:dyDescent="0.15">
      <c r="A3028" s="196" t="s">
        <v>11229</v>
      </c>
      <c r="B3028" s="196" t="s">
        <v>11230</v>
      </c>
      <c r="C3028" s="196" t="s">
        <v>18450</v>
      </c>
      <c r="D3028" s="196" t="s">
        <v>18451</v>
      </c>
      <c r="E3028" s="196" t="s">
        <v>18451</v>
      </c>
      <c r="F3028" s="196" t="s">
        <v>11233</v>
      </c>
      <c r="G3028" s="196" t="s">
        <v>12378</v>
      </c>
      <c r="H3028" s="196" t="s">
        <v>11235</v>
      </c>
    </row>
    <row r="3029" spans="1:8" x14ac:dyDescent="0.15">
      <c r="A3029" s="196" t="s">
        <v>11229</v>
      </c>
      <c r="B3029" s="196" t="s">
        <v>11230</v>
      </c>
      <c r="C3029" s="196" t="s">
        <v>18452</v>
      </c>
      <c r="D3029" s="196" t="s">
        <v>18453</v>
      </c>
      <c r="E3029" s="196" t="s">
        <v>18454</v>
      </c>
      <c r="F3029" s="196" t="s">
        <v>11900</v>
      </c>
      <c r="G3029" s="196" t="s">
        <v>12378</v>
      </c>
      <c r="H3029" s="196" t="s">
        <v>11235</v>
      </c>
    </row>
    <row r="3030" spans="1:8" x14ac:dyDescent="0.15">
      <c r="A3030" s="196" t="s">
        <v>11229</v>
      </c>
      <c r="B3030" s="196" t="s">
        <v>11230</v>
      </c>
      <c r="C3030" s="196" t="s">
        <v>18455</v>
      </c>
      <c r="D3030" s="196" t="s">
        <v>18456</v>
      </c>
      <c r="E3030" s="196" t="s">
        <v>18456</v>
      </c>
      <c r="F3030" s="196" t="s">
        <v>11233</v>
      </c>
      <c r="G3030" s="196" t="s">
        <v>12378</v>
      </c>
      <c r="H3030" s="196" t="s">
        <v>11235</v>
      </c>
    </row>
    <row r="3031" spans="1:8" x14ac:dyDescent="0.15">
      <c r="A3031" s="196" t="s">
        <v>11229</v>
      </c>
      <c r="B3031" s="196" t="s">
        <v>11230</v>
      </c>
      <c r="C3031" s="196" t="s">
        <v>18457</v>
      </c>
      <c r="D3031" s="196" t="s">
        <v>18458</v>
      </c>
      <c r="E3031" s="196" t="s">
        <v>18458</v>
      </c>
      <c r="F3031" s="196" t="s">
        <v>11233</v>
      </c>
      <c r="G3031" s="196" t="s">
        <v>12378</v>
      </c>
      <c r="H3031" s="196" t="s">
        <v>11235</v>
      </c>
    </row>
    <row r="3032" spans="1:8" x14ac:dyDescent="0.15">
      <c r="A3032" s="196" t="s">
        <v>11229</v>
      </c>
      <c r="B3032" s="196" t="s">
        <v>11230</v>
      </c>
      <c r="C3032" s="196" t="s">
        <v>18459</v>
      </c>
      <c r="D3032" s="196" t="s">
        <v>18460</v>
      </c>
      <c r="E3032" s="196" t="s">
        <v>18460</v>
      </c>
      <c r="F3032" s="196" t="s">
        <v>11233</v>
      </c>
      <c r="G3032" s="196" t="s">
        <v>12378</v>
      </c>
      <c r="H3032" s="196" t="s">
        <v>11235</v>
      </c>
    </row>
    <row r="3033" spans="1:8" x14ac:dyDescent="0.15">
      <c r="A3033" s="196" t="s">
        <v>11229</v>
      </c>
      <c r="B3033" s="196" t="s">
        <v>11230</v>
      </c>
      <c r="C3033" s="196" t="s">
        <v>18461</v>
      </c>
      <c r="D3033" s="196" t="s">
        <v>18462</v>
      </c>
      <c r="E3033" s="196" t="s">
        <v>18462</v>
      </c>
      <c r="F3033" s="196" t="s">
        <v>11233</v>
      </c>
      <c r="G3033" s="196" t="s">
        <v>12378</v>
      </c>
      <c r="H3033" s="196" t="s">
        <v>11235</v>
      </c>
    </row>
    <row r="3034" spans="1:8" x14ac:dyDescent="0.15">
      <c r="A3034" s="196" t="s">
        <v>11229</v>
      </c>
      <c r="B3034" s="196" t="s">
        <v>11230</v>
      </c>
      <c r="C3034" s="196" t="s">
        <v>18463</v>
      </c>
      <c r="D3034" s="196" t="s">
        <v>18464</v>
      </c>
      <c r="E3034" s="196" t="s">
        <v>18464</v>
      </c>
      <c r="F3034" s="196" t="s">
        <v>11233</v>
      </c>
      <c r="G3034" s="196" t="s">
        <v>12378</v>
      </c>
      <c r="H3034" s="196" t="s">
        <v>11235</v>
      </c>
    </row>
    <row r="3035" spans="1:8" x14ac:dyDescent="0.15">
      <c r="A3035" s="196" t="s">
        <v>11229</v>
      </c>
      <c r="B3035" s="196" t="s">
        <v>11230</v>
      </c>
      <c r="C3035" s="196" t="s">
        <v>18465</v>
      </c>
      <c r="D3035" s="196" t="s">
        <v>18466</v>
      </c>
      <c r="E3035" s="196" t="s">
        <v>18466</v>
      </c>
      <c r="F3035" s="196" t="s">
        <v>11233</v>
      </c>
      <c r="G3035" s="196" t="s">
        <v>12378</v>
      </c>
      <c r="H3035" s="196" t="s">
        <v>11235</v>
      </c>
    </row>
    <row r="3036" spans="1:8" x14ac:dyDescent="0.15">
      <c r="A3036" s="196" t="s">
        <v>11229</v>
      </c>
      <c r="B3036" s="196" t="s">
        <v>11230</v>
      </c>
      <c r="C3036" s="196" t="s">
        <v>18467</v>
      </c>
      <c r="D3036" s="196" t="s">
        <v>18468</v>
      </c>
      <c r="E3036" s="196" t="s">
        <v>18468</v>
      </c>
      <c r="F3036" s="196" t="s">
        <v>11233</v>
      </c>
      <c r="G3036" s="196" t="s">
        <v>12378</v>
      </c>
      <c r="H3036" s="196" t="s">
        <v>11235</v>
      </c>
    </row>
    <row r="3037" spans="1:8" x14ac:dyDescent="0.15">
      <c r="A3037" s="196" t="s">
        <v>11229</v>
      </c>
      <c r="B3037" s="196" t="s">
        <v>11230</v>
      </c>
      <c r="C3037" s="196" t="s">
        <v>18469</v>
      </c>
      <c r="D3037" s="196" t="s">
        <v>18470</v>
      </c>
      <c r="E3037" s="196" t="s">
        <v>18471</v>
      </c>
      <c r="F3037" s="196" t="s">
        <v>11268</v>
      </c>
      <c r="G3037" s="196" t="s">
        <v>12378</v>
      </c>
      <c r="H3037" s="196" t="s">
        <v>11235</v>
      </c>
    </row>
    <row r="3038" spans="1:8" x14ac:dyDescent="0.15">
      <c r="A3038" s="196" t="s">
        <v>11229</v>
      </c>
      <c r="B3038" s="196" t="s">
        <v>11230</v>
      </c>
      <c r="C3038" s="196" t="s">
        <v>18472</v>
      </c>
      <c r="D3038" s="196" t="s">
        <v>18471</v>
      </c>
      <c r="E3038" s="196" t="s">
        <v>18473</v>
      </c>
      <c r="F3038" s="196" t="s">
        <v>11241</v>
      </c>
      <c r="G3038" s="196" t="s">
        <v>12378</v>
      </c>
      <c r="H3038" s="196" t="s">
        <v>11235</v>
      </c>
    </row>
    <row r="3039" spans="1:8" x14ac:dyDescent="0.15">
      <c r="A3039" s="196" t="s">
        <v>11229</v>
      </c>
      <c r="B3039" s="196" t="s">
        <v>11230</v>
      </c>
      <c r="C3039" s="196" t="s">
        <v>18474</v>
      </c>
      <c r="D3039" s="196" t="s">
        <v>18473</v>
      </c>
      <c r="E3039" s="196" t="s">
        <v>18475</v>
      </c>
      <c r="F3039" s="196" t="s">
        <v>11241</v>
      </c>
      <c r="G3039" s="196" t="s">
        <v>12378</v>
      </c>
      <c r="H3039" s="196" t="s">
        <v>11235</v>
      </c>
    </row>
    <row r="3040" spans="1:8" x14ac:dyDescent="0.15">
      <c r="A3040" s="196" t="s">
        <v>11229</v>
      </c>
      <c r="B3040" s="196" t="s">
        <v>11230</v>
      </c>
      <c r="C3040" s="196" t="s">
        <v>18476</v>
      </c>
      <c r="D3040" s="196" t="s">
        <v>18477</v>
      </c>
      <c r="E3040" s="196" t="s">
        <v>18478</v>
      </c>
      <c r="F3040" s="196" t="s">
        <v>11241</v>
      </c>
      <c r="G3040" s="196" t="s">
        <v>12378</v>
      </c>
      <c r="H3040" s="196" t="s">
        <v>11235</v>
      </c>
    </row>
    <row r="3041" spans="1:8" x14ac:dyDescent="0.15">
      <c r="A3041" s="196" t="s">
        <v>11229</v>
      </c>
      <c r="B3041" s="196" t="s">
        <v>11230</v>
      </c>
      <c r="C3041" s="196" t="s">
        <v>18479</v>
      </c>
      <c r="D3041" s="196" t="s">
        <v>18480</v>
      </c>
      <c r="E3041" s="196" t="s">
        <v>18480</v>
      </c>
      <c r="F3041" s="196" t="s">
        <v>11233</v>
      </c>
      <c r="G3041" s="196" t="s">
        <v>12378</v>
      </c>
      <c r="H3041" s="196" t="s">
        <v>11235</v>
      </c>
    </row>
    <row r="3042" spans="1:8" x14ac:dyDescent="0.15">
      <c r="A3042" s="196" t="s">
        <v>11229</v>
      </c>
      <c r="B3042" s="196" t="s">
        <v>11230</v>
      </c>
      <c r="C3042" s="196" t="s">
        <v>18481</v>
      </c>
      <c r="D3042" s="196" t="s">
        <v>18482</v>
      </c>
      <c r="E3042" s="196" t="s">
        <v>18482</v>
      </c>
      <c r="F3042" s="196" t="s">
        <v>11233</v>
      </c>
      <c r="G3042" s="196" t="s">
        <v>12378</v>
      </c>
      <c r="H3042" s="196" t="s">
        <v>11235</v>
      </c>
    </row>
    <row r="3043" spans="1:8" x14ac:dyDescent="0.15">
      <c r="A3043" s="196" t="s">
        <v>11229</v>
      </c>
      <c r="B3043" s="196" t="s">
        <v>11230</v>
      </c>
      <c r="C3043" s="196" t="s">
        <v>18483</v>
      </c>
      <c r="D3043" s="196" t="s">
        <v>18484</v>
      </c>
      <c r="E3043" s="196" t="s">
        <v>18485</v>
      </c>
      <c r="F3043" s="196" t="s">
        <v>14263</v>
      </c>
      <c r="G3043" s="196" t="s">
        <v>12378</v>
      </c>
      <c r="H3043" s="196" t="s">
        <v>11235</v>
      </c>
    </row>
    <row r="3044" spans="1:8" x14ac:dyDescent="0.15">
      <c r="A3044" s="196" t="s">
        <v>11229</v>
      </c>
      <c r="B3044" s="196" t="s">
        <v>11230</v>
      </c>
      <c r="C3044" s="196" t="s">
        <v>18486</v>
      </c>
      <c r="D3044" s="196" t="s">
        <v>18487</v>
      </c>
      <c r="E3044" s="196" t="s">
        <v>18487</v>
      </c>
      <c r="F3044" s="196" t="s">
        <v>11233</v>
      </c>
      <c r="G3044" s="196" t="s">
        <v>12378</v>
      </c>
      <c r="H3044" s="196" t="s">
        <v>11235</v>
      </c>
    </row>
    <row r="3045" spans="1:8" x14ac:dyDescent="0.15">
      <c r="A3045" s="196" t="s">
        <v>11229</v>
      </c>
      <c r="B3045" s="196" t="s">
        <v>11230</v>
      </c>
      <c r="C3045" s="196" t="s">
        <v>18488</v>
      </c>
      <c r="D3045" s="196" t="s">
        <v>18489</v>
      </c>
      <c r="E3045" s="196" t="s">
        <v>18489</v>
      </c>
      <c r="F3045" s="196" t="s">
        <v>11233</v>
      </c>
      <c r="G3045" s="196" t="s">
        <v>12378</v>
      </c>
      <c r="H3045" s="196" t="s">
        <v>11235</v>
      </c>
    </row>
    <row r="3046" spans="1:8" x14ac:dyDescent="0.15">
      <c r="A3046" s="196" t="s">
        <v>11229</v>
      </c>
      <c r="B3046" s="196" t="s">
        <v>11230</v>
      </c>
      <c r="C3046" s="196" t="s">
        <v>18490</v>
      </c>
      <c r="D3046" s="196" t="s">
        <v>18491</v>
      </c>
      <c r="E3046" s="196" t="s">
        <v>18491</v>
      </c>
      <c r="F3046" s="196" t="s">
        <v>11233</v>
      </c>
      <c r="G3046" s="196" t="s">
        <v>12378</v>
      </c>
      <c r="H3046" s="196" t="s">
        <v>11235</v>
      </c>
    </row>
    <row r="3047" spans="1:8" x14ac:dyDescent="0.15">
      <c r="A3047" s="196" t="s">
        <v>11229</v>
      </c>
      <c r="B3047" s="196" t="s">
        <v>11230</v>
      </c>
      <c r="C3047" s="196" t="s">
        <v>18492</v>
      </c>
      <c r="D3047" s="196" t="s">
        <v>18493</v>
      </c>
      <c r="E3047" s="196" t="s">
        <v>18493</v>
      </c>
      <c r="F3047" s="196" t="s">
        <v>11233</v>
      </c>
      <c r="G3047" s="196" t="s">
        <v>12378</v>
      </c>
      <c r="H3047" s="196" t="s">
        <v>11235</v>
      </c>
    </row>
    <row r="3048" spans="1:8" x14ac:dyDescent="0.15">
      <c r="A3048" s="196" t="s">
        <v>11229</v>
      </c>
      <c r="B3048" s="196" t="s">
        <v>11230</v>
      </c>
      <c r="C3048" s="196" t="s">
        <v>18494</v>
      </c>
      <c r="D3048" s="196" t="s">
        <v>18495</v>
      </c>
      <c r="E3048" s="196" t="s">
        <v>18495</v>
      </c>
      <c r="F3048" s="196" t="s">
        <v>11233</v>
      </c>
      <c r="G3048" s="196" t="s">
        <v>12378</v>
      </c>
      <c r="H3048" s="196" t="s">
        <v>11235</v>
      </c>
    </row>
    <row r="3049" spans="1:8" x14ac:dyDescent="0.15">
      <c r="A3049" s="196" t="s">
        <v>11229</v>
      </c>
      <c r="B3049" s="196" t="s">
        <v>11230</v>
      </c>
      <c r="C3049" s="196" t="s">
        <v>18496</v>
      </c>
      <c r="D3049" s="196" t="s">
        <v>18497</v>
      </c>
      <c r="E3049" s="196" t="s">
        <v>18497</v>
      </c>
      <c r="F3049" s="196" t="s">
        <v>11233</v>
      </c>
      <c r="G3049" s="196" t="s">
        <v>12378</v>
      </c>
      <c r="H3049" s="196" t="s">
        <v>11235</v>
      </c>
    </row>
    <row r="3050" spans="1:8" x14ac:dyDescent="0.15">
      <c r="A3050" s="196" t="s">
        <v>11229</v>
      </c>
      <c r="B3050" s="196" t="s">
        <v>11230</v>
      </c>
      <c r="C3050" s="196" t="s">
        <v>18498</v>
      </c>
      <c r="D3050" s="196" t="s">
        <v>18499</v>
      </c>
      <c r="E3050" s="196" t="s">
        <v>18499</v>
      </c>
      <c r="F3050" s="196" t="s">
        <v>11233</v>
      </c>
      <c r="G3050" s="196" t="s">
        <v>12378</v>
      </c>
      <c r="H3050" s="196" t="s">
        <v>11235</v>
      </c>
    </row>
    <row r="3051" spans="1:8" x14ac:dyDescent="0.15">
      <c r="A3051" s="196" t="s">
        <v>11229</v>
      </c>
      <c r="B3051" s="196" t="s">
        <v>11230</v>
      </c>
      <c r="C3051" s="196" t="s">
        <v>18500</v>
      </c>
      <c r="D3051" s="196" t="s">
        <v>18501</v>
      </c>
      <c r="E3051" s="196" t="s">
        <v>18501</v>
      </c>
      <c r="F3051" s="196" t="s">
        <v>11233</v>
      </c>
      <c r="G3051" s="196" t="s">
        <v>12378</v>
      </c>
      <c r="H3051" s="196" t="s">
        <v>11235</v>
      </c>
    </row>
    <row r="3052" spans="1:8" x14ac:dyDescent="0.15">
      <c r="A3052" s="196" t="s">
        <v>11229</v>
      </c>
      <c r="B3052" s="196" t="s">
        <v>11230</v>
      </c>
      <c r="C3052" s="196" t="s">
        <v>18502</v>
      </c>
      <c r="D3052" s="196" t="s">
        <v>18503</v>
      </c>
      <c r="E3052" s="196" t="s">
        <v>18503</v>
      </c>
      <c r="F3052" s="196" t="s">
        <v>11233</v>
      </c>
      <c r="G3052" s="196" t="s">
        <v>12378</v>
      </c>
      <c r="H3052" s="196" t="s">
        <v>11235</v>
      </c>
    </row>
    <row r="3053" spans="1:8" x14ac:dyDescent="0.15">
      <c r="A3053" s="196" t="s">
        <v>11229</v>
      </c>
      <c r="B3053" s="196" t="s">
        <v>11230</v>
      </c>
      <c r="C3053" s="196" t="s">
        <v>18504</v>
      </c>
      <c r="D3053" s="196" t="s">
        <v>18505</v>
      </c>
      <c r="E3053" s="196" t="s">
        <v>18505</v>
      </c>
      <c r="F3053" s="196" t="s">
        <v>11233</v>
      </c>
      <c r="G3053" s="196" t="s">
        <v>12378</v>
      </c>
      <c r="H3053" s="196" t="s">
        <v>11235</v>
      </c>
    </row>
    <row r="3054" spans="1:8" x14ac:dyDescent="0.15">
      <c r="A3054" s="196" t="s">
        <v>11229</v>
      </c>
      <c r="B3054" s="196" t="s">
        <v>11230</v>
      </c>
      <c r="C3054" s="196" t="s">
        <v>18506</v>
      </c>
      <c r="D3054" s="196" t="s">
        <v>18507</v>
      </c>
      <c r="E3054" s="196" t="s">
        <v>18507</v>
      </c>
      <c r="F3054" s="196" t="s">
        <v>11233</v>
      </c>
      <c r="G3054" s="196" t="s">
        <v>12378</v>
      </c>
      <c r="H3054" s="196" t="s">
        <v>11235</v>
      </c>
    </row>
    <row r="3055" spans="1:8" x14ac:dyDescent="0.15">
      <c r="A3055" s="196" t="s">
        <v>11229</v>
      </c>
      <c r="B3055" s="196" t="s">
        <v>11230</v>
      </c>
      <c r="C3055" s="196" t="s">
        <v>18508</v>
      </c>
      <c r="D3055" s="196" t="s">
        <v>18509</v>
      </c>
      <c r="E3055" s="196" t="s">
        <v>18509</v>
      </c>
      <c r="F3055" s="196" t="s">
        <v>11233</v>
      </c>
      <c r="G3055" s="196" t="s">
        <v>12378</v>
      </c>
      <c r="H3055" s="196" t="s">
        <v>11235</v>
      </c>
    </row>
    <row r="3056" spans="1:8" x14ac:dyDescent="0.15">
      <c r="A3056" s="196" t="s">
        <v>11229</v>
      </c>
      <c r="B3056" s="196" t="s">
        <v>11230</v>
      </c>
      <c r="C3056" s="196" t="s">
        <v>18510</v>
      </c>
      <c r="D3056" s="196" t="s">
        <v>18511</v>
      </c>
      <c r="E3056" s="196" t="s">
        <v>18511</v>
      </c>
      <c r="F3056" s="196" t="s">
        <v>11233</v>
      </c>
      <c r="G3056" s="196" t="s">
        <v>12378</v>
      </c>
      <c r="H3056" s="196" t="s">
        <v>11235</v>
      </c>
    </row>
    <row r="3057" spans="1:8" x14ac:dyDescent="0.15">
      <c r="A3057" s="196" t="s">
        <v>11229</v>
      </c>
      <c r="B3057" s="196" t="s">
        <v>11230</v>
      </c>
      <c r="C3057" s="196" t="s">
        <v>18512</v>
      </c>
      <c r="D3057" s="196" t="s">
        <v>18513</v>
      </c>
      <c r="E3057" s="196" t="s">
        <v>18513</v>
      </c>
      <c r="F3057" s="196" t="s">
        <v>11233</v>
      </c>
      <c r="G3057" s="196" t="s">
        <v>12378</v>
      </c>
      <c r="H3057" s="196" t="s">
        <v>11235</v>
      </c>
    </row>
    <row r="3058" spans="1:8" x14ac:dyDescent="0.15">
      <c r="A3058" s="196" t="s">
        <v>11229</v>
      </c>
      <c r="B3058" s="196" t="s">
        <v>11230</v>
      </c>
      <c r="C3058" s="196" t="s">
        <v>18514</v>
      </c>
      <c r="D3058" s="196" t="s">
        <v>18515</v>
      </c>
      <c r="E3058" s="196" t="s">
        <v>18515</v>
      </c>
      <c r="F3058" s="196" t="s">
        <v>11233</v>
      </c>
      <c r="G3058" s="196" t="s">
        <v>12378</v>
      </c>
      <c r="H3058" s="196" t="s">
        <v>11235</v>
      </c>
    </row>
    <row r="3059" spans="1:8" x14ac:dyDescent="0.15">
      <c r="A3059" s="196" t="s">
        <v>11229</v>
      </c>
      <c r="B3059" s="196" t="s">
        <v>11230</v>
      </c>
      <c r="C3059" s="196" t="s">
        <v>18516</v>
      </c>
      <c r="D3059" s="196" t="s">
        <v>18517</v>
      </c>
      <c r="E3059" s="196" t="s">
        <v>18517</v>
      </c>
      <c r="F3059" s="196" t="s">
        <v>11233</v>
      </c>
      <c r="G3059" s="196" t="s">
        <v>12378</v>
      </c>
      <c r="H3059" s="196" t="s">
        <v>11235</v>
      </c>
    </row>
    <row r="3060" spans="1:8" x14ac:dyDescent="0.15">
      <c r="A3060" s="196" t="s">
        <v>11229</v>
      </c>
      <c r="B3060" s="196" t="s">
        <v>11230</v>
      </c>
      <c r="C3060" s="196" t="s">
        <v>18518</v>
      </c>
      <c r="D3060" s="196" t="s">
        <v>18519</v>
      </c>
      <c r="E3060" s="196" t="s">
        <v>18519</v>
      </c>
      <c r="F3060" s="196" t="s">
        <v>11233</v>
      </c>
      <c r="G3060" s="196" t="s">
        <v>12378</v>
      </c>
      <c r="H3060" s="196" t="s">
        <v>11235</v>
      </c>
    </row>
    <row r="3061" spans="1:8" x14ac:dyDescent="0.15">
      <c r="A3061" s="196" t="s">
        <v>11229</v>
      </c>
      <c r="B3061" s="196" t="s">
        <v>11230</v>
      </c>
      <c r="C3061" s="196" t="s">
        <v>18520</v>
      </c>
      <c r="D3061" s="196" t="s">
        <v>18521</v>
      </c>
      <c r="E3061" s="196" t="s">
        <v>18521</v>
      </c>
      <c r="F3061" s="196" t="s">
        <v>11233</v>
      </c>
      <c r="G3061" s="196" t="s">
        <v>12378</v>
      </c>
      <c r="H3061" s="196" t="s">
        <v>11235</v>
      </c>
    </row>
    <row r="3062" spans="1:8" x14ac:dyDescent="0.15">
      <c r="A3062" s="196" t="s">
        <v>11229</v>
      </c>
      <c r="B3062" s="196" t="s">
        <v>11230</v>
      </c>
      <c r="C3062" s="196" t="s">
        <v>18522</v>
      </c>
      <c r="D3062" s="196" t="s">
        <v>18523</v>
      </c>
      <c r="E3062" s="196" t="s">
        <v>18523</v>
      </c>
      <c r="F3062" s="196" t="s">
        <v>11233</v>
      </c>
      <c r="G3062" s="196" t="s">
        <v>12378</v>
      </c>
      <c r="H3062" s="196" t="s">
        <v>11235</v>
      </c>
    </row>
    <row r="3063" spans="1:8" x14ac:dyDescent="0.15">
      <c r="A3063" s="196" t="s">
        <v>11229</v>
      </c>
      <c r="B3063" s="196" t="s">
        <v>11230</v>
      </c>
      <c r="C3063" s="196" t="s">
        <v>18524</v>
      </c>
      <c r="D3063" s="196" t="s">
        <v>18525</v>
      </c>
      <c r="E3063" s="196" t="s">
        <v>18525</v>
      </c>
      <c r="F3063" s="196" t="s">
        <v>11233</v>
      </c>
      <c r="G3063" s="196" t="s">
        <v>12378</v>
      </c>
      <c r="H3063" s="196" t="s">
        <v>11235</v>
      </c>
    </row>
    <row r="3064" spans="1:8" x14ac:dyDescent="0.15">
      <c r="A3064" s="196" t="s">
        <v>11229</v>
      </c>
      <c r="B3064" s="196" t="s">
        <v>11230</v>
      </c>
      <c r="C3064" s="196" t="s">
        <v>18526</v>
      </c>
      <c r="D3064" s="196" t="s">
        <v>18527</v>
      </c>
      <c r="E3064" s="196" t="s">
        <v>18527</v>
      </c>
      <c r="F3064" s="196" t="s">
        <v>11233</v>
      </c>
      <c r="G3064" s="196" t="s">
        <v>12378</v>
      </c>
      <c r="H3064" s="196" t="s">
        <v>11235</v>
      </c>
    </row>
    <row r="3065" spans="1:8" x14ac:dyDescent="0.15">
      <c r="A3065" s="196" t="s">
        <v>11229</v>
      </c>
      <c r="B3065" s="196" t="s">
        <v>11230</v>
      </c>
      <c r="C3065" s="196" t="s">
        <v>18528</v>
      </c>
      <c r="D3065" s="196" t="s">
        <v>18529</v>
      </c>
      <c r="E3065" s="196" t="s">
        <v>18529</v>
      </c>
      <c r="F3065" s="196" t="s">
        <v>11233</v>
      </c>
      <c r="G3065" s="196" t="s">
        <v>12378</v>
      </c>
      <c r="H3065" s="196" t="s">
        <v>11235</v>
      </c>
    </row>
    <row r="3066" spans="1:8" x14ac:dyDescent="0.15">
      <c r="A3066" s="196" t="s">
        <v>11229</v>
      </c>
      <c r="B3066" s="196" t="s">
        <v>11230</v>
      </c>
      <c r="C3066" s="196" t="s">
        <v>18530</v>
      </c>
      <c r="D3066" s="196" t="s">
        <v>18531</v>
      </c>
      <c r="E3066" s="196" t="s">
        <v>18531</v>
      </c>
      <c r="F3066" s="196" t="s">
        <v>11233</v>
      </c>
      <c r="G3066" s="196" t="s">
        <v>12378</v>
      </c>
      <c r="H3066" s="196" t="s">
        <v>11235</v>
      </c>
    </row>
    <row r="3067" spans="1:8" x14ac:dyDescent="0.15">
      <c r="A3067" s="196" t="s">
        <v>11229</v>
      </c>
      <c r="B3067" s="196" t="s">
        <v>11230</v>
      </c>
      <c r="C3067" s="196" t="s">
        <v>18532</v>
      </c>
      <c r="D3067" s="196" t="s">
        <v>18533</v>
      </c>
      <c r="E3067" s="196" t="s">
        <v>18533</v>
      </c>
      <c r="F3067" s="196" t="s">
        <v>11233</v>
      </c>
      <c r="G3067" s="196" t="s">
        <v>12378</v>
      </c>
      <c r="H3067" s="196" t="s">
        <v>11235</v>
      </c>
    </row>
    <row r="3068" spans="1:8" x14ac:dyDescent="0.15">
      <c r="A3068" s="196" t="s">
        <v>11229</v>
      </c>
      <c r="B3068" s="196" t="s">
        <v>11230</v>
      </c>
      <c r="C3068" s="196" t="s">
        <v>18534</v>
      </c>
      <c r="D3068" s="196" t="s">
        <v>18535</v>
      </c>
      <c r="E3068" s="196" t="s">
        <v>18535</v>
      </c>
      <c r="F3068" s="196" t="s">
        <v>11233</v>
      </c>
      <c r="G3068" s="196" t="s">
        <v>12378</v>
      </c>
      <c r="H3068" s="196" t="s">
        <v>11235</v>
      </c>
    </row>
    <row r="3069" spans="1:8" x14ac:dyDescent="0.15">
      <c r="A3069" s="196" t="s">
        <v>11229</v>
      </c>
      <c r="B3069" s="196" t="s">
        <v>11230</v>
      </c>
      <c r="C3069" s="196" t="s">
        <v>18536</v>
      </c>
      <c r="D3069" s="196" t="s">
        <v>18537</v>
      </c>
      <c r="E3069" s="196" t="s">
        <v>18537</v>
      </c>
      <c r="F3069" s="196" t="s">
        <v>11233</v>
      </c>
      <c r="G3069" s="196" t="s">
        <v>12378</v>
      </c>
      <c r="H3069" s="196" t="s">
        <v>11235</v>
      </c>
    </row>
    <row r="3070" spans="1:8" x14ac:dyDescent="0.15">
      <c r="A3070" s="196" t="s">
        <v>11229</v>
      </c>
      <c r="B3070" s="196" t="s">
        <v>11230</v>
      </c>
      <c r="C3070" s="196" t="s">
        <v>18538</v>
      </c>
      <c r="D3070" s="196" t="s">
        <v>18539</v>
      </c>
      <c r="E3070" s="196" t="s">
        <v>18539</v>
      </c>
      <c r="F3070" s="196" t="s">
        <v>11233</v>
      </c>
      <c r="G3070" s="196" t="s">
        <v>12378</v>
      </c>
      <c r="H3070" s="196" t="s">
        <v>11235</v>
      </c>
    </row>
    <row r="3071" spans="1:8" x14ac:dyDescent="0.15">
      <c r="A3071" s="196" t="s">
        <v>11229</v>
      </c>
      <c r="B3071" s="196" t="s">
        <v>11230</v>
      </c>
      <c r="C3071" s="196" t="s">
        <v>18540</v>
      </c>
      <c r="D3071" s="196" t="s">
        <v>18541</v>
      </c>
      <c r="E3071" s="196" t="s">
        <v>18541</v>
      </c>
      <c r="F3071" s="196" t="s">
        <v>11233</v>
      </c>
      <c r="G3071" s="196" t="s">
        <v>12378</v>
      </c>
      <c r="H3071" s="196" t="s">
        <v>11235</v>
      </c>
    </row>
    <row r="3072" spans="1:8" x14ac:dyDescent="0.15">
      <c r="A3072" s="196" t="s">
        <v>11229</v>
      </c>
      <c r="B3072" s="196" t="s">
        <v>11230</v>
      </c>
      <c r="C3072" s="196" t="s">
        <v>18542</v>
      </c>
      <c r="D3072" s="196" t="s">
        <v>18543</v>
      </c>
      <c r="E3072" s="196" t="s">
        <v>18543</v>
      </c>
      <c r="F3072" s="196" t="s">
        <v>11233</v>
      </c>
      <c r="G3072" s="196" t="s">
        <v>12378</v>
      </c>
      <c r="H3072" s="196" t="s">
        <v>11235</v>
      </c>
    </row>
    <row r="3073" spans="1:8" x14ac:dyDescent="0.15">
      <c r="A3073" s="196" t="s">
        <v>11229</v>
      </c>
      <c r="B3073" s="196" t="s">
        <v>11230</v>
      </c>
      <c r="C3073" s="196" t="s">
        <v>18544</v>
      </c>
      <c r="D3073" s="196" t="s">
        <v>18545</v>
      </c>
      <c r="E3073" s="196" t="s">
        <v>18545</v>
      </c>
      <c r="F3073" s="196" t="s">
        <v>11233</v>
      </c>
      <c r="G3073" s="196" t="s">
        <v>12378</v>
      </c>
      <c r="H3073" s="196" t="s">
        <v>11235</v>
      </c>
    </row>
    <row r="3074" spans="1:8" x14ac:dyDescent="0.15">
      <c r="A3074" s="196" t="s">
        <v>11229</v>
      </c>
      <c r="B3074" s="196" t="s">
        <v>11230</v>
      </c>
      <c r="C3074" s="196" t="s">
        <v>18546</v>
      </c>
      <c r="D3074" s="196" t="s">
        <v>18547</v>
      </c>
      <c r="E3074" s="196" t="s">
        <v>18547</v>
      </c>
      <c r="F3074" s="196" t="s">
        <v>11233</v>
      </c>
      <c r="G3074" s="196" t="s">
        <v>12378</v>
      </c>
      <c r="H3074" s="196" t="s">
        <v>11235</v>
      </c>
    </row>
    <row r="3075" spans="1:8" x14ac:dyDescent="0.15">
      <c r="A3075" s="196" t="s">
        <v>11229</v>
      </c>
      <c r="B3075" s="196" t="s">
        <v>11230</v>
      </c>
      <c r="C3075" s="196" t="s">
        <v>18548</v>
      </c>
      <c r="D3075" s="196" t="s">
        <v>18549</v>
      </c>
      <c r="E3075" s="196" t="s">
        <v>18549</v>
      </c>
      <c r="F3075" s="196" t="s">
        <v>11233</v>
      </c>
      <c r="G3075" s="196" t="s">
        <v>12378</v>
      </c>
      <c r="H3075" s="196" t="s">
        <v>11235</v>
      </c>
    </row>
    <row r="3076" spans="1:8" x14ac:dyDescent="0.15">
      <c r="A3076" s="196" t="s">
        <v>11229</v>
      </c>
      <c r="B3076" s="196" t="s">
        <v>11230</v>
      </c>
      <c r="C3076" s="196" t="s">
        <v>18550</v>
      </c>
      <c r="D3076" s="196" t="s">
        <v>18551</v>
      </c>
      <c r="E3076" s="196" t="s">
        <v>18551</v>
      </c>
      <c r="F3076" s="196" t="s">
        <v>11233</v>
      </c>
      <c r="G3076" s="196" t="s">
        <v>12378</v>
      </c>
      <c r="H3076" s="196" t="s">
        <v>11235</v>
      </c>
    </row>
    <row r="3077" spans="1:8" x14ac:dyDescent="0.15">
      <c r="A3077" s="196" t="s">
        <v>11229</v>
      </c>
      <c r="B3077" s="196" t="s">
        <v>11230</v>
      </c>
      <c r="C3077" s="196" t="s">
        <v>18552</v>
      </c>
      <c r="D3077" s="196" t="s">
        <v>18553</v>
      </c>
      <c r="E3077" s="196" t="s">
        <v>18553</v>
      </c>
      <c r="F3077" s="196" t="s">
        <v>11233</v>
      </c>
      <c r="G3077" s="196" t="s">
        <v>12378</v>
      </c>
      <c r="H3077" s="196" t="s">
        <v>11235</v>
      </c>
    </row>
    <row r="3078" spans="1:8" x14ac:dyDescent="0.15">
      <c r="A3078" s="196" t="s">
        <v>11229</v>
      </c>
      <c r="B3078" s="196" t="s">
        <v>11230</v>
      </c>
      <c r="C3078" s="196" t="s">
        <v>18554</v>
      </c>
      <c r="D3078" s="196" t="s">
        <v>18555</v>
      </c>
      <c r="E3078" s="196" t="s">
        <v>18555</v>
      </c>
      <c r="F3078" s="196" t="s">
        <v>11233</v>
      </c>
      <c r="G3078" s="196" t="s">
        <v>12378</v>
      </c>
      <c r="H3078" s="196" t="s">
        <v>11235</v>
      </c>
    </row>
    <row r="3079" spans="1:8" x14ac:dyDescent="0.15">
      <c r="A3079" s="196" t="s">
        <v>11229</v>
      </c>
      <c r="B3079" s="196" t="s">
        <v>11230</v>
      </c>
      <c r="C3079" s="196" t="s">
        <v>18556</v>
      </c>
      <c r="D3079" s="196" t="s">
        <v>18557</v>
      </c>
      <c r="E3079" s="196" t="s">
        <v>18557</v>
      </c>
      <c r="F3079" s="196" t="s">
        <v>11233</v>
      </c>
      <c r="G3079" s="196" t="s">
        <v>12378</v>
      </c>
      <c r="H3079" s="196" t="s">
        <v>11235</v>
      </c>
    </row>
    <row r="3080" spans="1:8" x14ac:dyDescent="0.15">
      <c r="A3080" s="196" t="s">
        <v>11229</v>
      </c>
      <c r="B3080" s="196" t="s">
        <v>11230</v>
      </c>
      <c r="C3080" s="196" t="s">
        <v>18558</v>
      </c>
      <c r="D3080" s="196" t="s">
        <v>18559</v>
      </c>
      <c r="E3080" s="196" t="s">
        <v>18560</v>
      </c>
      <c r="F3080" s="196" t="s">
        <v>18561</v>
      </c>
      <c r="G3080" s="196" t="s">
        <v>12378</v>
      </c>
      <c r="H3080" s="196" t="s">
        <v>11235</v>
      </c>
    </row>
    <row r="3081" spans="1:8" x14ac:dyDescent="0.15">
      <c r="A3081" s="196" t="s">
        <v>11229</v>
      </c>
      <c r="B3081" s="196" t="s">
        <v>11230</v>
      </c>
      <c r="C3081" s="196" t="s">
        <v>18562</v>
      </c>
      <c r="D3081" s="196" t="s">
        <v>18563</v>
      </c>
      <c r="E3081" s="196" t="s">
        <v>18564</v>
      </c>
      <c r="F3081" s="196" t="s">
        <v>18565</v>
      </c>
      <c r="G3081" s="196" t="s">
        <v>12378</v>
      </c>
      <c r="H3081" s="196" t="s">
        <v>11235</v>
      </c>
    </row>
    <row r="3082" spans="1:8" x14ac:dyDescent="0.15">
      <c r="A3082" s="196" t="s">
        <v>11229</v>
      </c>
      <c r="B3082" s="196" t="s">
        <v>11230</v>
      </c>
      <c r="C3082" s="196" t="s">
        <v>18566</v>
      </c>
      <c r="D3082" s="196" t="s">
        <v>18567</v>
      </c>
      <c r="E3082" s="196" t="s">
        <v>18568</v>
      </c>
      <c r="F3082" s="196" t="s">
        <v>18569</v>
      </c>
      <c r="G3082" s="196" t="s">
        <v>12378</v>
      </c>
      <c r="H3082" s="196" t="s">
        <v>11235</v>
      </c>
    </row>
    <row r="3083" spans="1:8" x14ac:dyDescent="0.15">
      <c r="A3083" s="196" t="s">
        <v>11229</v>
      </c>
      <c r="B3083" s="196" t="s">
        <v>11230</v>
      </c>
      <c r="C3083" s="196" t="s">
        <v>18570</v>
      </c>
      <c r="D3083" s="196" t="s">
        <v>18571</v>
      </c>
      <c r="E3083" s="196" t="s">
        <v>18572</v>
      </c>
      <c r="F3083" s="196" t="s">
        <v>18573</v>
      </c>
      <c r="G3083" s="196" t="s">
        <v>12378</v>
      </c>
      <c r="H3083" s="196" t="s">
        <v>11235</v>
      </c>
    </row>
    <row r="3084" spans="1:8" x14ac:dyDescent="0.15">
      <c r="A3084" s="196" t="s">
        <v>11229</v>
      </c>
      <c r="B3084" s="196" t="s">
        <v>11230</v>
      </c>
      <c r="C3084" s="196" t="s">
        <v>18574</v>
      </c>
      <c r="D3084" s="196" t="s">
        <v>18575</v>
      </c>
      <c r="E3084" s="196" t="s">
        <v>18576</v>
      </c>
      <c r="F3084" s="196" t="s">
        <v>18577</v>
      </c>
      <c r="G3084" s="196" t="s">
        <v>12378</v>
      </c>
      <c r="H3084" s="196" t="s">
        <v>11235</v>
      </c>
    </row>
    <row r="3085" spans="1:8" x14ac:dyDescent="0.15">
      <c r="A3085" s="196" t="s">
        <v>11229</v>
      </c>
      <c r="B3085" s="196" t="s">
        <v>11230</v>
      </c>
      <c r="C3085" s="196" t="s">
        <v>18578</v>
      </c>
      <c r="D3085" s="196" t="s">
        <v>18576</v>
      </c>
      <c r="E3085" s="196" t="s">
        <v>18579</v>
      </c>
      <c r="F3085" s="196" t="s">
        <v>18580</v>
      </c>
      <c r="G3085" s="196" t="s">
        <v>12378</v>
      </c>
      <c r="H3085" s="196" t="s">
        <v>11235</v>
      </c>
    </row>
    <row r="3086" spans="1:8" x14ac:dyDescent="0.15">
      <c r="A3086" s="196" t="s">
        <v>11229</v>
      </c>
      <c r="B3086" s="196" t="s">
        <v>11230</v>
      </c>
      <c r="C3086" s="196" t="s">
        <v>18581</v>
      </c>
      <c r="D3086" s="196" t="s">
        <v>18582</v>
      </c>
      <c r="E3086" s="196" t="s">
        <v>18583</v>
      </c>
      <c r="F3086" s="196" t="s">
        <v>18584</v>
      </c>
      <c r="G3086" s="196" t="s">
        <v>12378</v>
      </c>
      <c r="H3086" s="196" t="s">
        <v>11235</v>
      </c>
    </row>
    <row r="3087" spans="1:8" x14ac:dyDescent="0.15">
      <c r="A3087" s="196" t="s">
        <v>11229</v>
      </c>
      <c r="B3087" s="196" t="s">
        <v>11230</v>
      </c>
      <c r="C3087" s="196" t="s">
        <v>18585</v>
      </c>
      <c r="D3087" s="196" t="s">
        <v>18583</v>
      </c>
      <c r="E3087" s="196" t="s">
        <v>18586</v>
      </c>
      <c r="F3087" s="196" t="s">
        <v>18587</v>
      </c>
      <c r="G3087" s="196" t="s">
        <v>12378</v>
      </c>
      <c r="H3087" s="196" t="s">
        <v>11235</v>
      </c>
    </row>
    <row r="3088" spans="1:8" x14ac:dyDescent="0.15">
      <c r="A3088" s="196" t="s">
        <v>11229</v>
      </c>
      <c r="B3088" s="196" t="s">
        <v>11230</v>
      </c>
      <c r="C3088" s="196" t="s">
        <v>18588</v>
      </c>
      <c r="D3088" s="196" t="s">
        <v>18589</v>
      </c>
      <c r="E3088" s="196" t="s">
        <v>18590</v>
      </c>
      <c r="F3088" s="196" t="s">
        <v>18591</v>
      </c>
      <c r="G3088" s="196" t="s">
        <v>12378</v>
      </c>
      <c r="H3088" s="196" t="s">
        <v>11235</v>
      </c>
    </row>
    <row r="3089" spans="1:8" x14ac:dyDescent="0.15">
      <c r="A3089" s="196" t="s">
        <v>11229</v>
      </c>
      <c r="B3089" s="196" t="s">
        <v>11230</v>
      </c>
      <c r="C3089" s="196" t="s">
        <v>18592</v>
      </c>
      <c r="D3089" s="196" t="s">
        <v>18593</v>
      </c>
      <c r="E3089" s="196" t="s">
        <v>18594</v>
      </c>
      <c r="F3089" s="196" t="s">
        <v>18595</v>
      </c>
      <c r="G3089" s="196" t="s">
        <v>12378</v>
      </c>
      <c r="H3089" s="196" t="s">
        <v>11235</v>
      </c>
    </row>
    <row r="3090" spans="1:8" x14ac:dyDescent="0.15">
      <c r="A3090" s="196" t="s">
        <v>11229</v>
      </c>
      <c r="B3090" s="196" t="s">
        <v>11230</v>
      </c>
      <c r="C3090" s="196" t="s">
        <v>18596</v>
      </c>
      <c r="D3090" s="196" t="s">
        <v>18597</v>
      </c>
      <c r="E3090" s="196" t="s">
        <v>18598</v>
      </c>
      <c r="F3090" s="196" t="s">
        <v>18599</v>
      </c>
      <c r="G3090" s="196" t="s">
        <v>12378</v>
      </c>
      <c r="H3090" s="196" t="s">
        <v>11235</v>
      </c>
    </row>
    <row r="3091" spans="1:8" x14ac:dyDescent="0.15">
      <c r="A3091" s="196" t="s">
        <v>11229</v>
      </c>
      <c r="B3091" s="196" t="s">
        <v>11230</v>
      </c>
      <c r="C3091" s="196" t="s">
        <v>18600</v>
      </c>
      <c r="D3091" s="196" t="s">
        <v>18601</v>
      </c>
      <c r="E3091" s="196" t="s">
        <v>18602</v>
      </c>
      <c r="F3091" s="196" t="s">
        <v>18603</v>
      </c>
      <c r="G3091" s="196" t="s">
        <v>12378</v>
      </c>
      <c r="H3091" s="196" t="s">
        <v>11235</v>
      </c>
    </row>
    <row r="3092" spans="1:8" x14ac:dyDescent="0.15">
      <c r="A3092" s="196" t="s">
        <v>11229</v>
      </c>
      <c r="B3092" s="196" t="s">
        <v>11230</v>
      </c>
      <c r="C3092" s="196" t="s">
        <v>18604</v>
      </c>
      <c r="D3092" s="196" t="s">
        <v>18605</v>
      </c>
      <c r="E3092" s="196" t="s">
        <v>18606</v>
      </c>
      <c r="F3092" s="196" t="s">
        <v>11268</v>
      </c>
      <c r="G3092" s="196" t="s">
        <v>12378</v>
      </c>
      <c r="H3092" s="196" t="s">
        <v>11235</v>
      </c>
    </row>
    <row r="3093" spans="1:8" x14ac:dyDescent="0.15">
      <c r="A3093" s="196" t="s">
        <v>11229</v>
      </c>
      <c r="B3093" s="196" t="s">
        <v>11230</v>
      </c>
      <c r="C3093" s="196" t="s">
        <v>18607</v>
      </c>
      <c r="D3093" s="196" t="s">
        <v>18608</v>
      </c>
      <c r="E3093" s="196" t="s">
        <v>18609</v>
      </c>
      <c r="F3093" s="196" t="s">
        <v>11241</v>
      </c>
      <c r="G3093" s="196" t="s">
        <v>12378</v>
      </c>
      <c r="H3093" s="196" t="s">
        <v>11235</v>
      </c>
    </row>
    <row r="3094" spans="1:8" x14ac:dyDescent="0.15">
      <c r="A3094" s="196" t="s">
        <v>11229</v>
      </c>
      <c r="B3094" s="196" t="s">
        <v>11230</v>
      </c>
      <c r="C3094" s="196" t="s">
        <v>18610</v>
      </c>
      <c r="D3094" s="196" t="s">
        <v>18609</v>
      </c>
      <c r="E3094" s="196" t="s">
        <v>18611</v>
      </c>
      <c r="F3094" s="196" t="s">
        <v>13023</v>
      </c>
      <c r="G3094" s="196" t="s">
        <v>12378</v>
      </c>
      <c r="H3094" s="196" t="s">
        <v>11235</v>
      </c>
    </row>
    <row r="3095" spans="1:8" x14ac:dyDescent="0.15">
      <c r="A3095" s="196" t="s">
        <v>11229</v>
      </c>
      <c r="B3095" s="196" t="s">
        <v>11230</v>
      </c>
      <c r="C3095" s="196" t="s">
        <v>18612</v>
      </c>
      <c r="D3095" s="196" t="s">
        <v>18611</v>
      </c>
      <c r="E3095" s="196" t="s">
        <v>18613</v>
      </c>
      <c r="F3095" s="196" t="s">
        <v>11268</v>
      </c>
      <c r="G3095" s="196" t="s">
        <v>12378</v>
      </c>
      <c r="H3095" s="196" t="s">
        <v>11235</v>
      </c>
    </row>
    <row r="3096" spans="1:8" x14ac:dyDescent="0.15">
      <c r="A3096" s="196" t="s">
        <v>11229</v>
      </c>
      <c r="B3096" s="196" t="s">
        <v>11230</v>
      </c>
      <c r="C3096" s="196" t="s">
        <v>18614</v>
      </c>
      <c r="D3096" s="196" t="s">
        <v>18613</v>
      </c>
      <c r="E3096" s="196" t="s">
        <v>18615</v>
      </c>
      <c r="F3096" s="196" t="s">
        <v>11241</v>
      </c>
      <c r="G3096" s="196" t="s">
        <v>12378</v>
      </c>
      <c r="H3096" s="196" t="s">
        <v>11235</v>
      </c>
    </row>
    <row r="3097" spans="1:8" x14ac:dyDescent="0.15">
      <c r="A3097" s="196" t="s">
        <v>11229</v>
      </c>
      <c r="B3097" s="196" t="s">
        <v>11230</v>
      </c>
      <c r="C3097" s="196" t="s">
        <v>18616</v>
      </c>
      <c r="D3097" s="196" t="s">
        <v>18615</v>
      </c>
      <c r="E3097" s="196" t="s">
        <v>18617</v>
      </c>
      <c r="F3097" s="196" t="s">
        <v>13023</v>
      </c>
      <c r="G3097" s="196" t="s">
        <v>12378</v>
      </c>
      <c r="H3097" s="196" t="s">
        <v>11235</v>
      </c>
    </row>
    <row r="3098" spans="1:8" x14ac:dyDescent="0.15">
      <c r="A3098" s="196" t="s">
        <v>11229</v>
      </c>
      <c r="B3098" s="196" t="s">
        <v>11230</v>
      </c>
      <c r="C3098" s="196" t="s">
        <v>18618</v>
      </c>
      <c r="D3098" s="196" t="s">
        <v>18617</v>
      </c>
      <c r="E3098" s="196" t="s">
        <v>18619</v>
      </c>
      <c r="F3098" s="196" t="s">
        <v>11241</v>
      </c>
      <c r="G3098" s="196" t="s">
        <v>12378</v>
      </c>
      <c r="H3098" s="196" t="s">
        <v>11235</v>
      </c>
    </row>
    <row r="3099" spans="1:8" x14ac:dyDescent="0.15">
      <c r="A3099" s="196" t="s">
        <v>11229</v>
      </c>
      <c r="B3099" s="196" t="s">
        <v>11230</v>
      </c>
      <c r="C3099" s="196" t="s">
        <v>18620</v>
      </c>
      <c r="D3099" s="196" t="s">
        <v>18619</v>
      </c>
      <c r="E3099" s="196" t="s">
        <v>18621</v>
      </c>
      <c r="F3099" s="196" t="s">
        <v>11241</v>
      </c>
      <c r="G3099" s="196" t="s">
        <v>12378</v>
      </c>
      <c r="H3099" s="196" t="s">
        <v>11235</v>
      </c>
    </row>
    <row r="3100" spans="1:8" x14ac:dyDescent="0.15">
      <c r="A3100" s="196" t="s">
        <v>11229</v>
      </c>
      <c r="B3100" s="196" t="s">
        <v>11230</v>
      </c>
      <c r="C3100" s="196" t="s">
        <v>18622</v>
      </c>
      <c r="D3100" s="196" t="s">
        <v>18623</v>
      </c>
      <c r="E3100" s="196" t="s">
        <v>18624</v>
      </c>
      <c r="F3100" s="196" t="s">
        <v>11241</v>
      </c>
      <c r="G3100" s="196" t="s">
        <v>12378</v>
      </c>
      <c r="H3100" s="196" t="s">
        <v>11235</v>
      </c>
    </row>
    <row r="3101" spans="1:8" x14ac:dyDescent="0.15">
      <c r="A3101" s="196" t="s">
        <v>11229</v>
      </c>
      <c r="B3101" s="196" t="s">
        <v>11230</v>
      </c>
      <c r="C3101" s="196" t="s">
        <v>18625</v>
      </c>
      <c r="D3101" s="196" t="s">
        <v>18624</v>
      </c>
      <c r="E3101" s="196" t="s">
        <v>18626</v>
      </c>
      <c r="F3101" s="196" t="s">
        <v>13023</v>
      </c>
      <c r="G3101" s="196" t="s">
        <v>12378</v>
      </c>
      <c r="H3101" s="196" t="s">
        <v>11235</v>
      </c>
    </row>
    <row r="3102" spans="1:8" x14ac:dyDescent="0.15">
      <c r="A3102" s="196" t="s">
        <v>11229</v>
      </c>
      <c r="B3102" s="196" t="s">
        <v>11230</v>
      </c>
      <c r="C3102" s="196" t="s">
        <v>18627</v>
      </c>
      <c r="D3102" s="196" t="s">
        <v>18628</v>
      </c>
      <c r="E3102" s="196" t="s">
        <v>18628</v>
      </c>
      <c r="F3102" s="196" t="s">
        <v>11233</v>
      </c>
      <c r="G3102" s="196" t="s">
        <v>12378</v>
      </c>
      <c r="H3102" s="196" t="s">
        <v>11235</v>
      </c>
    </row>
    <row r="3103" spans="1:8" x14ac:dyDescent="0.15">
      <c r="A3103" s="196" t="s">
        <v>11229</v>
      </c>
      <c r="B3103" s="196" t="s">
        <v>11230</v>
      </c>
      <c r="C3103" s="196" t="s">
        <v>18629</v>
      </c>
      <c r="D3103" s="196" t="s">
        <v>18630</v>
      </c>
      <c r="E3103" s="196" t="s">
        <v>18630</v>
      </c>
      <c r="F3103" s="196" t="s">
        <v>11233</v>
      </c>
      <c r="G3103" s="196" t="s">
        <v>12378</v>
      </c>
      <c r="H3103" s="196" t="s">
        <v>11235</v>
      </c>
    </row>
    <row r="3104" spans="1:8" x14ac:dyDescent="0.15">
      <c r="A3104" s="196" t="s">
        <v>11229</v>
      </c>
      <c r="B3104" s="196" t="s">
        <v>11230</v>
      </c>
      <c r="C3104" s="196" t="s">
        <v>18631</v>
      </c>
      <c r="D3104" s="196" t="s">
        <v>18632</v>
      </c>
      <c r="E3104" s="196" t="s">
        <v>18632</v>
      </c>
      <c r="F3104" s="196" t="s">
        <v>11233</v>
      </c>
      <c r="G3104" s="196" t="s">
        <v>12378</v>
      </c>
      <c r="H3104" s="196" t="s">
        <v>11235</v>
      </c>
    </row>
    <row r="3105" spans="1:8" x14ac:dyDescent="0.15">
      <c r="A3105" s="196" t="s">
        <v>11229</v>
      </c>
      <c r="B3105" s="196" t="s">
        <v>11230</v>
      </c>
      <c r="C3105" s="196" t="s">
        <v>18633</v>
      </c>
      <c r="D3105" s="196" t="s">
        <v>18634</v>
      </c>
      <c r="E3105" s="196" t="s">
        <v>18634</v>
      </c>
      <c r="F3105" s="196" t="s">
        <v>11233</v>
      </c>
      <c r="G3105" s="196" t="s">
        <v>12378</v>
      </c>
      <c r="H3105" s="196" t="s">
        <v>11235</v>
      </c>
    </row>
    <row r="3106" spans="1:8" x14ac:dyDescent="0.15">
      <c r="A3106" s="196" t="s">
        <v>11229</v>
      </c>
      <c r="B3106" s="196" t="s">
        <v>11230</v>
      </c>
      <c r="C3106" s="196" t="s">
        <v>18635</v>
      </c>
      <c r="D3106" s="196" t="s">
        <v>18636</v>
      </c>
      <c r="E3106" s="196" t="s">
        <v>18636</v>
      </c>
      <c r="F3106" s="196" t="s">
        <v>11233</v>
      </c>
      <c r="G3106" s="196" t="s">
        <v>12378</v>
      </c>
      <c r="H3106" s="196" t="s">
        <v>11235</v>
      </c>
    </row>
    <row r="3107" spans="1:8" x14ac:dyDescent="0.15">
      <c r="A3107" s="196" t="s">
        <v>11229</v>
      </c>
      <c r="B3107" s="196" t="s">
        <v>11230</v>
      </c>
      <c r="C3107" s="196" t="s">
        <v>18637</v>
      </c>
      <c r="D3107" s="196" t="s">
        <v>18638</v>
      </c>
      <c r="E3107" s="196" t="s">
        <v>18638</v>
      </c>
      <c r="F3107" s="196" t="s">
        <v>11233</v>
      </c>
      <c r="G3107" s="196" t="s">
        <v>12378</v>
      </c>
      <c r="H3107" s="196" t="s">
        <v>11235</v>
      </c>
    </row>
    <row r="3108" spans="1:8" x14ac:dyDescent="0.15">
      <c r="A3108" s="196" t="s">
        <v>11229</v>
      </c>
      <c r="B3108" s="196" t="s">
        <v>11230</v>
      </c>
      <c r="C3108" s="196" t="s">
        <v>18639</v>
      </c>
      <c r="D3108" s="196" t="s">
        <v>18640</v>
      </c>
      <c r="E3108" s="196" t="s">
        <v>18640</v>
      </c>
      <c r="F3108" s="196" t="s">
        <v>11233</v>
      </c>
      <c r="G3108" s="196" t="s">
        <v>12378</v>
      </c>
      <c r="H3108" s="196" t="s">
        <v>11235</v>
      </c>
    </row>
    <row r="3109" spans="1:8" x14ac:dyDescent="0.15">
      <c r="A3109" s="196" t="s">
        <v>11229</v>
      </c>
      <c r="B3109" s="196" t="s">
        <v>11230</v>
      </c>
      <c r="C3109" s="196" t="s">
        <v>18641</v>
      </c>
      <c r="D3109" s="196" t="s">
        <v>18642</v>
      </c>
      <c r="E3109" s="196" t="s">
        <v>18642</v>
      </c>
      <c r="F3109" s="196" t="s">
        <v>11233</v>
      </c>
      <c r="G3109" s="196" t="s">
        <v>12378</v>
      </c>
      <c r="H3109" s="196" t="s">
        <v>11235</v>
      </c>
    </row>
    <row r="3110" spans="1:8" x14ac:dyDescent="0.15">
      <c r="A3110" s="196" t="s">
        <v>11229</v>
      </c>
      <c r="B3110" s="196" t="s">
        <v>11230</v>
      </c>
      <c r="C3110" s="196" t="s">
        <v>18643</v>
      </c>
      <c r="D3110" s="196" t="s">
        <v>18644</v>
      </c>
      <c r="E3110" s="196" t="s">
        <v>18644</v>
      </c>
      <c r="F3110" s="196" t="s">
        <v>11233</v>
      </c>
      <c r="G3110" s="196" t="s">
        <v>12378</v>
      </c>
      <c r="H3110" s="196" t="s">
        <v>11235</v>
      </c>
    </row>
    <row r="3111" spans="1:8" x14ac:dyDescent="0.15">
      <c r="A3111" s="196" t="s">
        <v>11229</v>
      </c>
      <c r="B3111" s="196" t="s">
        <v>11230</v>
      </c>
      <c r="C3111" s="196" t="s">
        <v>18645</v>
      </c>
      <c r="D3111" s="196" t="s">
        <v>18646</v>
      </c>
      <c r="E3111" s="196" t="s">
        <v>18646</v>
      </c>
      <c r="F3111" s="196" t="s">
        <v>11233</v>
      </c>
      <c r="G3111" s="196" t="s">
        <v>12378</v>
      </c>
      <c r="H3111" s="196" t="s">
        <v>11235</v>
      </c>
    </row>
    <row r="3112" spans="1:8" x14ac:dyDescent="0.15">
      <c r="A3112" s="196" t="s">
        <v>11229</v>
      </c>
      <c r="B3112" s="196" t="s">
        <v>11230</v>
      </c>
      <c r="C3112" s="196" t="s">
        <v>18647</v>
      </c>
      <c r="D3112" s="196" t="s">
        <v>18648</v>
      </c>
      <c r="E3112" s="196" t="s">
        <v>18648</v>
      </c>
      <c r="F3112" s="196" t="s">
        <v>11233</v>
      </c>
      <c r="G3112" s="196" t="s">
        <v>12378</v>
      </c>
      <c r="H3112" s="196" t="s">
        <v>11235</v>
      </c>
    </row>
    <row r="3113" spans="1:8" x14ac:dyDescent="0.15">
      <c r="A3113" s="196" t="s">
        <v>11229</v>
      </c>
      <c r="B3113" s="196" t="s">
        <v>11230</v>
      </c>
      <c r="C3113" s="196" t="s">
        <v>18649</v>
      </c>
      <c r="D3113" s="196" t="s">
        <v>18650</v>
      </c>
      <c r="E3113" s="196" t="s">
        <v>18650</v>
      </c>
      <c r="F3113" s="196" t="s">
        <v>11233</v>
      </c>
      <c r="G3113" s="196" t="s">
        <v>12378</v>
      </c>
      <c r="H3113" s="196" t="s">
        <v>11235</v>
      </c>
    </row>
    <row r="3114" spans="1:8" x14ac:dyDescent="0.15">
      <c r="A3114" s="196" t="s">
        <v>11229</v>
      </c>
      <c r="B3114" s="196" t="s">
        <v>11230</v>
      </c>
      <c r="C3114" s="196" t="s">
        <v>18651</v>
      </c>
      <c r="D3114" s="196" t="s">
        <v>18652</v>
      </c>
      <c r="E3114" s="196" t="s">
        <v>18652</v>
      </c>
      <c r="F3114" s="196" t="s">
        <v>11233</v>
      </c>
      <c r="G3114" s="196" t="s">
        <v>12378</v>
      </c>
      <c r="H3114" s="196" t="s">
        <v>11235</v>
      </c>
    </row>
    <row r="3115" spans="1:8" x14ac:dyDescent="0.15">
      <c r="A3115" s="196" t="s">
        <v>11229</v>
      </c>
      <c r="B3115" s="196" t="s">
        <v>11230</v>
      </c>
      <c r="C3115" s="196" t="s">
        <v>18653</v>
      </c>
      <c r="D3115" s="196" t="s">
        <v>18654</v>
      </c>
      <c r="E3115" s="196" t="s">
        <v>18654</v>
      </c>
      <c r="F3115" s="196" t="s">
        <v>11233</v>
      </c>
      <c r="G3115" s="196" t="s">
        <v>12378</v>
      </c>
      <c r="H3115" s="196" t="s">
        <v>11235</v>
      </c>
    </row>
    <row r="3116" spans="1:8" x14ac:dyDescent="0.15">
      <c r="A3116" s="196" t="s">
        <v>11229</v>
      </c>
      <c r="B3116" s="196" t="s">
        <v>11230</v>
      </c>
      <c r="C3116" s="196" t="s">
        <v>18655</v>
      </c>
      <c r="D3116" s="196" t="s">
        <v>18656</v>
      </c>
      <c r="E3116" s="196" t="s">
        <v>18656</v>
      </c>
      <c r="F3116" s="196" t="s">
        <v>11233</v>
      </c>
      <c r="G3116" s="196" t="s">
        <v>12378</v>
      </c>
      <c r="H3116" s="196" t="s">
        <v>11235</v>
      </c>
    </row>
    <row r="3117" spans="1:8" x14ac:dyDescent="0.15">
      <c r="A3117" s="196" t="s">
        <v>11229</v>
      </c>
      <c r="B3117" s="196" t="s">
        <v>11230</v>
      </c>
      <c r="C3117" s="196" t="s">
        <v>18657</v>
      </c>
      <c r="D3117" s="196" t="s">
        <v>18658</v>
      </c>
      <c r="E3117" s="196" t="s">
        <v>18658</v>
      </c>
      <c r="F3117" s="196" t="s">
        <v>11233</v>
      </c>
      <c r="G3117" s="196" t="s">
        <v>12378</v>
      </c>
      <c r="H3117" s="196" t="s">
        <v>11235</v>
      </c>
    </row>
    <row r="3118" spans="1:8" x14ac:dyDescent="0.15">
      <c r="A3118" s="196" t="s">
        <v>11229</v>
      </c>
      <c r="B3118" s="196" t="s">
        <v>11230</v>
      </c>
      <c r="C3118" s="196" t="s">
        <v>18659</v>
      </c>
      <c r="D3118" s="196" t="s">
        <v>18660</v>
      </c>
      <c r="E3118" s="196" t="s">
        <v>18660</v>
      </c>
      <c r="F3118" s="196" t="s">
        <v>11233</v>
      </c>
      <c r="G3118" s="196" t="s">
        <v>12378</v>
      </c>
      <c r="H3118" s="196" t="s">
        <v>11235</v>
      </c>
    </row>
    <row r="3119" spans="1:8" x14ac:dyDescent="0.15">
      <c r="A3119" s="196" t="s">
        <v>11229</v>
      </c>
      <c r="B3119" s="196" t="s">
        <v>11230</v>
      </c>
      <c r="C3119" s="196" t="s">
        <v>18661</v>
      </c>
      <c r="D3119" s="196" t="s">
        <v>18662</v>
      </c>
      <c r="E3119" s="196" t="s">
        <v>18662</v>
      </c>
      <c r="F3119" s="196" t="s">
        <v>11233</v>
      </c>
      <c r="G3119" s="196" t="s">
        <v>12378</v>
      </c>
      <c r="H3119" s="196" t="s">
        <v>11235</v>
      </c>
    </row>
    <row r="3120" spans="1:8" x14ac:dyDescent="0.15">
      <c r="A3120" s="196" t="s">
        <v>11229</v>
      </c>
      <c r="B3120" s="196" t="s">
        <v>11230</v>
      </c>
      <c r="C3120" s="196" t="s">
        <v>18663</v>
      </c>
      <c r="D3120" s="196" t="s">
        <v>18664</v>
      </c>
      <c r="E3120" s="196" t="s">
        <v>18664</v>
      </c>
      <c r="F3120" s="196" t="s">
        <v>11233</v>
      </c>
      <c r="G3120" s="196" t="s">
        <v>12378</v>
      </c>
      <c r="H3120" s="196" t="s">
        <v>11235</v>
      </c>
    </row>
    <row r="3121" spans="1:8" x14ac:dyDescent="0.15">
      <c r="A3121" s="196" t="s">
        <v>11229</v>
      </c>
      <c r="B3121" s="196" t="s">
        <v>11230</v>
      </c>
      <c r="C3121" s="196" t="s">
        <v>18665</v>
      </c>
      <c r="D3121" s="196" t="s">
        <v>18666</v>
      </c>
      <c r="E3121" s="196" t="s">
        <v>18666</v>
      </c>
      <c r="F3121" s="196" t="s">
        <v>11233</v>
      </c>
      <c r="G3121" s="196" t="s">
        <v>12378</v>
      </c>
      <c r="H3121" s="196" t="s">
        <v>11235</v>
      </c>
    </row>
    <row r="3122" spans="1:8" x14ac:dyDescent="0.15">
      <c r="A3122" s="196" t="s">
        <v>11229</v>
      </c>
      <c r="B3122" s="196" t="s">
        <v>11230</v>
      </c>
      <c r="C3122" s="196" t="s">
        <v>18667</v>
      </c>
      <c r="D3122" s="196" t="s">
        <v>18668</v>
      </c>
      <c r="E3122" s="196" t="s">
        <v>18668</v>
      </c>
      <c r="F3122" s="196" t="s">
        <v>11233</v>
      </c>
      <c r="G3122" s="196" t="s">
        <v>12378</v>
      </c>
      <c r="H3122" s="196" t="s">
        <v>11235</v>
      </c>
    </row>
    <row r="3123" spans="1:8" x14ac:dyDescent="0.15">
      <c r="A3123" s="196" t="s">
        <v>11229</v>
      </c>
      <c r="B3123" s="196" t="s">
        <v>11230</v>
      </c>
      <c r="C3123" s="196" t="s">
        <v>18669</v>
      </c>
      <c r="D3123" s="196" t="s">
        <v>18670</v>
      </c>
      <c r="E3123" s="196" t="s">
        <v>18670</v>
      </c>
      <c r="F3123" s="196" t="s">
        <v>11233</v>
      </c>
      <c r="G3123" s="196" t="s">
        <v>12378</v>
      </c>
      <c r="H3123" s="196" t="s">
        <v>11235</v>
      </c>
    </row>
    <row r="3124" spans="1:8" x14ac:dyDescent="0.15">
      <c r="A3124" s="196" t="s">
        <v>11229</v>
      </c>
      <c r="B3124" s="196" t="s">
        <v>11230</v>
      </c>
      <c r="C3124" s="196" t="s">
        <v>18671</v>
      </c>
      <c r="D3124" s="196" t="s">
        <v>18672</v>
      </c>
      <c r="E3124" s="196" t="s">
        <v>18672</v>
      </c>
      <c r="F3124" s="196" t="s">
        <v>11233</v>
      </c>
      <c r="G3124" s="196" t="s">
        <v>12378</v>
      </c>
      <c r="H3124" s="196" t="s">
        <v>11235</v>
      </c>
    </row>
    <row r="3125" spans="1:8" x14ac:dyDescent="0.15">
      <c r="A3125" s="196" t="s">
        <v>11229</v>
      </c>
      <c r="B3125" s="196" t="s">
        <v>11230</v>
      </c>
      <c r="C3125" s="196" t="s">
        <v>18673</v>
      </c>
      <c r="D3125" s="196" t="s">
        <v>18674</v>
      </c>
      <c r="E3125" s="196" t="s">
        <v>18674</v>
      </c>
      <c r="F3125" s="196" t="s">
        <v>11233</v>
      </c>
      <c r="G3125" s="196" t="s">
        <v>12378</v>
      </c>
      <c r="H3125" s="196" t="s">
        <v>11235</v>
      </c>
    </row>
    <row r="3126" spans="1:8" x14ac:dyDescent="0.15">
      <c r="A3126" s="196" t="s">
        <v>11229</v>
      </c>
      <c r="B3126" s="196" t="s">
        <v>11230</v>
      </c>
      <c r="C3126" s="196" t="s">
        <v>18675</v>
      </c>
      <c r="D3126" s="196" t="s">
        <v>18676</v>
      </c>
      <c r="E3126" s="196" t="s">
        <v>18676</v>
      </c>
      <c r="F3126" s="196" t="s">
        <v>11233</v>
      </c>
      <c r="G3126" s="196" t="s">
        <v>12378</v>
      </c>
      <c r="H3126" s="196" t="s">
        <v>11235</v>
      </c>
    </row>
    <row r="3127" spans="1:8" x14ac:dyDescent="0.15">
      <c r="A3127" s="196" t="s">
        <v>11229</v>
      </c>
      <c r="B3127" s="196" t="s">
        <v>11230</v>
      </c>
      <c r="C3127" s="196" t="s">
        <v>18677</v>
      </c>
      <c r="D3127" s="196" t="s">
        <v>18678</v>
      </c>
      <c r="E3127" s="196" t="s">
        <v>18678</v>
      </c>
      <c r="F3127" s="196" t="s">
        <v>11233</v>
      </c>
      <c r="G3127" s="196" t="s">
        <v>12378</v>
      </c>
      <c r="H3127" s="196" t="s">
        <v>11235</v>
      </c>
    </row>
    <row r="3128" spans="1:8" x14ac:dyDescent="0.15">
      <c r="A3128" s="196" t="s">
        <v>11229</v>
      </c>
      <c r="B3128" s="196" t="s">
        <v>11230</v>
      </c>
      <c r="C3128" s="196" t="s">
        <v>18679</v>
      </c>
      <c r="D3128" s="196" t="s">
        <v>18680</v>
      </c>
      <c r="E3128" s="196" t="s">
        <v>18680</v>
      </c>
      <c r="F3128" s="196" t="s">
        <v>11233</v>
      </c>
      <c r="G3128" s="196" t="s">
        <v>12378</v>
      </c>
      <c r="H3128" s="196" t="s">
        <v>11235</v>
      </c>
    </row>
    <row r="3129" spans="1:8" x14ac:dyDescent="0.15">
      <c r="A3129" s="196" t="s">
        <v>11229</v>
      </c>
      <c r="B3129" s="196" t="s">
        <v>11230</v>
      </c>
      <c r="C3129" s="196" t="s">
        <v>18681</v>
      </c>
      <c r="D3129" s="196" t="s">
        <v>18682</v>
      </c>
      <c r="E3129" s="196" t="s">
        <v>18682</v>
      </c>
      <c r="F3129" s="196" t="s">
        <v>11233</v>
      </c>
      <c r="G3129" s="196" t="s">
        <v>12378</v>
      </c>
      <c r="H3129" s="196" t="s">
        <v>11235</v>
      </c>
    </row>
    <row r="3130" spans="1:8" x14ac:dyDescent="0.15">
      <c r="A3130" s="196" t="s">
        <v>11229</v>
      </c>
      <c r="B3130" s="196" t="s">
        <v>11230</v>
      </c>
      <c r="C3130" s="196" t="s">
        <v>18683</v>
      </c>
      <c r="D3130" s="196" t="s">
        <v>18684</v>
      </c>
      <c r="E3130" s="196" t="s">
        <v>18684</v>
      </c>
      <c r="F3130" s="196" t="s">
        <v>11233</v>
      </c>
      <c r="G3130" s="196" t="s">
        <v>12378</v>
      </c>
      <c r="H3130" s="196" t="s">
        <v>11235</v>
      </c>
    </row>
    <row r="3131" spans="1:8" x14ac:dyDescent="0.15">
      <c r="A3131" s="196" t="s">
        <v>11229</v>
      </c>
      <c r="B3131" s="196" t="s">
        <v>11230</v>
      </c>
      <c r="C3131" s="196" t="s">
        <v>18685</v>
      </c>
      <c r="D3131" s="196" t="s">
        <v>18686</v>
      </c>
      <c r="E3131" s="196" t="s">
        <v>18686</v>
      </c>
      <c r="F3131" s="196" t="s">
        <v>11233</v>
      </c>
      <c r="G3131" s="196" t="s">
        <v>12378</v>
      </c>
      <c r="H3131" s="196" t="s">
        <v>11235</v>
      </c>
    </row>
    <row r="3132" spans="1:8" x14ac:dyDescent="0.15">
      <c r="A3132" s="196" t="s">
        <v>11229</v>
      </c>
      <c r="B3132" s="196" t="s">
        <v>11230</v>
      </c>
      <c r="C3132" s="196" t="s">
        <v>18687</v>
      </c>
      <c r="D3132" s="196" t="s">
        <v>18688</v>
      </c>
      <c r="E3132" s="196" t="s">
        <v>18688</v>
      </c>
      <c r="F3132" s="196" t="s">
        <v>11233</v>
      </c>
      <c r="G3132" s="196" t="s">
        <v>12378</v>
      </c>
      <c r="H3132" s="196" t="s">
        <v>11235</v>
      </c>
    </row>
    <row r="3133" spans="1:8" x14ac:dyDescent="0.15">
      <c r="A3133" s="196" t="s">
        <v>11229</v>
      </c>
      <c r="B3133" s="196" t="s">
        <v>11230</v>
      </c>
      <c r="C3133" s="196" t="s">
        <v>18689</v>
      </c>
      <c r="D3133" s="196" t="s">
        <v>18690</v>
      </c>
      <c r="E3133" s="196" t="s">
        <v>18690</v>
      </c>
      <c r="F3133" s="196" t="s">
        <v>11233</v>
      </c>
      <c r="G3133" s="196" t="s">
        <v>12378</v>
      </c>
      <c r="H3133" s="196" t="s">
        <v>11235</v>
      </c>
    </row>
    <row r="3134" spans="1:8" x14ac:dyDescent="0.15">
      <c r="A3134" s="196" t="s">
        <v>11229</v>
      </c>
      <c r="B3134" s="196" t="s">
        <v>11230</v>
      </c>
      <c r="C3134" s="196" t="s">
        <v>18691</v>
      </c>
      <c r="D3134" s="196" t="s">
        <v>18692</v>
      </c>
      <c r="E3134" s="196" t="s">
        <v>18692</v>
      </c>
      <c r="F3134" s="196" t="s">
        <v>11233</v>
      </c>
      <c r="G3134" s="196" t="s">
        <v>12378</v>
      </c>
      <c r="H3134" s="196" t="s">
        <v>11235</v>
      </c>
    </row>
    <row r="3135" spans="1:8" x14ac:dyDescent="0.15">
      <c r="A3135" s="196" t="s">
        <v>11229</v>
      </c>
      <c r="B3135" s="196" t="s">
        <v>11230</v>
      </c>
      <c r="C3135" s="196" t="s">
        <v>18693</v>
      </c>
      <c r="D3135" s="196" t="s">
        <v>18694</v>
      </c>
      <c r="E3135" s="196" t="s">
        <v>18694</v>
      </c>
      <c r="F3135" s="196" t="s">
        <v>11233</v>
      </c>
      <c r="G3135" s="196" t="s">
        <v>12378</v>
      </c>
      <c r="H3135" s="196" t="s">
        <v>11235</v>
      </c>
    </row>
    <row r="3136" spans="1:8" x14ac:dyDescent="0.15">
      <c r="A3136" s="196" t="s">
        <v>11229</v>
      </c>
      <c r="B3136" s="196" t="s">
        <v>11230</v>
      </c>
      <c r="C3136" s="196" t="s">
        <v>18695</v>
      </c>
      <c r="D3136" s="196" t="s">
        <v>18696</v>
      </c>
      <c r="E3136" s="196" t="s">
        <v>18696</v>
      </c>
      <c r="F3136" s="196" t="s">
        <v>11233</v>
      </c>
      <c r="G3136" s="196" t="s">
        <v>12378</v>
      </c>
      <c r="H3136" s="196" t="s">
        <v>11235</v>
      </c>
    </row>
    <row r="3137" spans="1:8" x14ac:dyDescent="0.15">
      <c r="A3137" s="196" t="s">
        <v>11229</v>
      </c>
      <c r="B3137" s="196" t="s">
        <v>11230</v>
      </c>
      <c r="C3137" s="196" t="s">
        <v>18697</v>
      </c>
      <c r="D3137" s="196" t="s">
        <v>18698</v>
      </c>
      <c r="E3137" s="196" t="s">
        <v>18698</v>
      </c>
      <c r="F3137" s="196" t="s">
        <v>11233</v>
      </c>
      <c r="G3137" s="196" t="s">
        <v>12378</v>
      </c>
      <c r="H3137" s="196" t="s">
        <v>11235</v>
      </c>
    </row>
    <row r="3138" spans="1:8" x14ac:dyDescent="0.15">
      <c r="A3138" s="196" t="s">
        <v>11229</v>
      </c>
      <c r="B3138" s="196" t="s">
        <v>11230</v>
      </c>
      <c r="C3138" s="196" t="s">
        <v>18699</v>
      </c>
      <c r="D3138" s="196" t="s">
        <v>18700</v>
      </c>
      <c r="E3138" s="196" t="s">
        <v>18700</v>
      </c>
      <c r="F3138" s="196" t="s">
        <v>11233</v>
      </c>
      <c r="G3138" s="196" t="s">
        <v>12378</v>
      </c>
      <c r="H3138" s="196" t="s">
        <v>11235</v>
      </c>
    </row>
    <row r="3139" spans="1:8" x14ac:dyDescent="0.15">
      <c r="A3139" s="196" t="s">
        <v>11229</v>
      </c>
      <c r="B3139" s="196" t="s">
        <v>11230</v>
      </c>
      <c r="C3139" s="196" t="s">
        <v>18701</v>
      </c>
      <c r="D3139" s="196" t="s">
        <v>18702</v>
      </c>
      <c r="E3139" s="196" t="s">
        <v>18702</v>
      </c>
      <c r="F3139" s="196" t="s">
        <v>11233</v>
      </c>
      <c r="G3139" s="196" t="s">
        <v>12378</v>
      </c>
      <c r="H3139" s="196" t="s">
        <v>11235</v>
      </c>
    </row>
    <row r="3140" spans="1:8" x14ac:dyDescent="0.15">
      <c r="A3140" s="196" t="s">
        <v>11229</v>
      </c>
      <c r="B3140" s="196" t="s">
        <v>11230</v>
      </c>
      <c r="C3140" s="196" t="s">
        <v>18703</v>
      </c>
      <c r="D3140" s="196" t="s">
        <v>18704</v>
      </c>
      <c r="E3140" s="196" t="s">
        <v>18704</v>
      </c>
      <c r="F3140" s="196" t="s">
        <v>11233</v>
      </c>
      <c r="G3140" s="196" t="s">
        <v>12378</v>
      </c>
      <c r="H3140" s="196" t="s">
        <v>11235</v>
      </c>
    </row>
    <row r="3141" spans="1:8" x14ac:dyDescent="0.15">
      <c r="A3141" s="196" t="s">
        <v>11229</v>
      </c>
      <c r="B3141" s="196" t="s">
        <v>11230</v>
      </c>
      <c r="C3141" s="196" t="s">
        <v>18705</v>
      </c>
      <c r="D3141" s="196" t="s">
        <v>18706</v>
      </c>
      <c r="E3141" s="196" t="s">
        <v>18706</v>
      </c>
      <c r="F3141" s="196" t="s">
        <v>11233</v>
      </c>
      <c r="G3141" s="196" t="s">
        <v>12378</v>
      </c>
      <c r="H3141" s="196" t="s">
        <v>11235</v>
      </c>
    </row>
    <row r="3142" spans="1:8" x14ac:dyDescent="0.15">
      <c r="A3142" s="196" t="s">
        <v>11229</v>
      </c>
      <c r="B3142" s="196" t="s">
        <v>11230</v>
      </c>
      <c r="C3142" s="196" t="s">
        <v>18707</v>
      </c>
      <c r="D3142" s="196" t="s">
        <v>18708</v>
      </c>
      <c r="E3142" s="196" t="s">
        <v>18708</v>
      </c>
      <c r="F3142" s="196" t="s">
        <v>11233</v>
      </c>
      <c r="G3142" s="196" t="s">
        <v>12378</v>
      </c>
      <c r="H3142" s="196" t="s">
        <v>11235</v>
      </c>
    </row>
    <row r="3143" spans="1:8" x14ac:dyDescent="0.15">
      <c r="A3143" s="196" t="s">
        <v>11229</v>
      </c>
      <c r="B3143" s="196" t="s">
        <v>11230</v>
      </c>
      <c r="C3143" s="196" t="s">
        <v>18709</v>
      </c>
      <c r="D3143" s="196" t="s">
        <v>18710</v>
      </c>
      <c r="E3143" s="196" t="s">
        <v>18710</v>
      </c>
      <c r="F3143" s="196" t="s">
        <v>11233</v>
      </c>
      <c r="G3143" s="196" t="s">
        <v>12378</v>
      </c>
      <c r="H3143" s="196" t="s">
        <v>11235</v>
      </c>
    </row>
    <row r="3144" spans="1:8" x14ac:dyDescent="0.15">
      <c r="A3144" s="196" t="s">
        <v>11229</v>
      </c>
      <c r="B3144" s="196" t="s">
        <v>11230</v>
      </c>
      <c r="C3144" s="196" t="s">
        <v>18711</v>
      </c>
      <c r="D3144" s="196" t="s">
        <v>18712</v>
      </c>
      <c r="E3144" s="196" t="s">
        <v>18712</v>
      </c>
      <c r="F3144" s="196" t="s">
        <v>11233</v>
      </c>
      <c r="G3144" s="196" t="s">
        <v>12378</v>
      </c>
      <c r="H3144" s="196" t="s">
        <v>11235</v>
      </c>
    </row>
    <row r="3145" spans="1:8" x14ac:dyDescent="0.15">
      <c r="A3145" s="196" t="s">
        <v>11229</v>
      </c>
      <c r="B3145" s="196" t="s">
        <v>11230</v>
      </c>
      <c r="C3145" s="196" t="s">
        <v>18713</v>
      </c>
      <c r="D3145" s="196" t="s">
        <v>18714</v>
      </c>
      <c r="E3145" s="196" t="s">
        <v>18714</v>
      </c>
      <c r="F3145" s="196" t="s">
        <v>11233</v>
      </c>
      <c r="G3145" s="196" t="s">
        <v>12378</v>
      </c>
      <c r="H3145" s="196" t="s">
        <v>11235</v>
      </c>
    </row>
    <row r="3146" spans="1:8" x14ac:dyDescent="0.15">
      <c r="A3146" s="196" t="s">
        <v>11229</v>
      </c>
      <c r="B3146" s="196" t="s">
        <v>11230</v>
      </c>
      <c r="C3146" s="196" t="s">
        <v>18715</v>
      </c>
      <c r="D3146" s="196" t="s">
        <v>18716</v>
      </c>
      <c r="E3146" s="196" t="s">
        <v>18716</v>
      </c>
      <c r="F3146" s="196" t="s">
        <v>11233</v>
      </c>
      <c r="G3146" s="196" t="s">
        <v>12378</v>
      </c>
      <c r="H3146" s="196" t="s">
        <v>11235</v>
      </c>
    </row>
    <row r="3147" spans="1:8" x14ac:dyDescent="0.15">
      <c r="A3147" s="196" t="s">
        <v>11229</v>
      </c>
      <c r="B3147" s="196" t="s">
        <v>11230</v>
      </c>
      <c r="C3147" s="196" t="s">
        <v>18717</v>
      </c>
      <c r="D3147" s="196" t="s">
        <v>18718</v>
      </c>
      <c r="E3147" s="196" t="s">
        <v>18718</v>
      </c>
      <c r="F3147" s="196" t="s">
        <v>11233</v>
      </c>
      <c r="G3147" s="196" t="s">
        <v>12378</v>
      </c>
      <c r="H3147" s="196" t="s">
        <v>11235</v>
      </c>
    </row>
    <row r="3148" spans="1:8" x14ac:dyDescent="0.15">
      <c r="A3148" s="196" t="s">
        <v>11229</v>
      </c>
      <c r="B3148" s="196" t="s">
        <v>11230</v>
      </c>
      <c r="C3148" s="196" t="s">
        <v>18719</v>
      </c>
      <c r="D3148" s="196" t="s">
        <v>18720</v>
      </c>
      <c r="E3148" s="196" t="s">
        <v>18720</v>
      </c>
      <c r="F3148" s="196" t="s">
        <v>11233</v>
      </c>
      <c r="G3148" s="196" t="s">
        <v>12378</v>
      </c>
      <c r="H3148" s="196" t="s">
        <v>11235</v>
      </c>
    </row>
    <row r="3149" spans="1:8" x14ac:dyDescent="0.15">
      <c r="A3149" s="196" t="s">
        <v>11229</v>
      </c>
      <c r="B3149" s="196" t="s">
        <v>11230</v>
      </c>
      <c r="C3149" s="196" t="s">
        <v>18721</v>
      </c>
      <c r="D3149" s="196" t="s">
        <v>18722</v>
      </c>
      <c r="E3149" s="196" t="s">
        <v>18722</v>
      </c>
      <c r="F3149" s="196" t="s">
        <v>11233</v>
      </c>
      <c r="G3149" s="196" t="s">
        <v>12378</v>
      </c>
      <c r="H3149" s="196" t="s">
        <v>11235</v>
      </c>
    </row>
    <row r="3150" spans="1:8" x14ac:dyDescent="0.15">
      <c r="A3150" s="196" t="s">
        <v>11229</v>
      </c>
      <c r="B3150" s="196" t="s">
        <v>11230</v>
      </c>
      <c r="C3150" s="196" t="s">
        <v>18723</v>
      </c>
      <c r="D3150" s="196" t="s">
        <v>18724</v>
      </c>
      <c r="E3150" s="196" t="s">
        <v>18724</v>
      </c>
      <c r="F3150" s="196" t="s">
        <v>11233</v>
      </c>
      <c r="G3150" s="196" t="s">
        <v>12378</v>
      </c>
      <c r="H3150" s="196" t="s">
        <v>11235</v>
      </c>
    </row>
    <row r="3151" spans="1:8" x14ac:dyDescent="0.15">
      <c r="A3151" s="196" t="s">
        <v>11229</v>
      </c>
      <c r="B3151" s="196" t="s">
        <v>11230</v>
      </c>
      <c r="C3151" s="196" t="s">
        <v>18725</v>
      </c>
      <c r="D3151" s="196" t="s">
        <v>18726</v>
      </c>
      <c r="E3151" s="196" t="s">
        <v>18726</v>
      </c>
      <c r="F3151" s="196" t="s">
        <v>11233</v>
      </c>
      <c r="G3151" s="196" t="s">
        <v>12378</v>
      </c>
      <c r="H3151" s="196" t="s">
        <v>11235</v>
      </c>
    </row>
    <row r="3152" spans="1:8" x14ac:dyDescent="0.15">
      <c r="A3152" s="196" t="s">
        <v>11229</v>
      </c>
      <c r="B3152" s="196" t="s">
        <v>11230</v>
      </c>
      <c r="C3152" s="196" t="s">
        <v>18727</v>
      </c>
      <c r="D3152" s="196" t="s">
        <v>18728</v>
      </c>
      <c r="E3152" s="196" t="s">
        <v>18728</v>
      </c>
      <c r="F3152" s="196" t="s">
        <v>11233</v>
      </c>
      <c r="G3152" s="196" t="s">
        <v>12378</v>
      </c>
      <c r="H3152" s="196" t="s">
        <v>11235</v>
      </c>
    </row>
    <row r="3153" spans="1:8" x14ac:dyDescent="0.15">
      <c r="A3153" s="196" t="s">
        <v>11229</v>
      </c>
      <c r="B3153" s="196" t="s">
        <v>11230</v>
      </c>
      <c r="C3153" s="196" t="s">
        <v>18729</v>
      </c>
      <c r="D3153" s="196" t="s">
        <v>18730</v>
      </c>
      <c r="E3153" s="196" t="s">
        <v>18730</v>
      </c>
      <c r="F3153" s="196" t="s">
        <v>11233</v>
      </c>
      <c r="G3153" s="196" t="s">
        <v>12378</v>
      </c>
      <c r="H3153" s="196" t="s">
        <v>11235</v>
      </c>
    </row>
    <row r="3154" spans="1:8" x14ac:dyDescent="0.15">
      <c r="A3154" s="196" t="s">
        <v>11229</v>
      </c>
      <c r="B3154" s="196" t="s">
        <v>11230</v>
      </c>
      <c r="C3154" s="196" t="s">
        <v>18731</v>
      </c>
      <c r="D3154" s="196" t="s">
        <v>18732</v>
      </c>
      <c r="E3154" s="196" t="s">
        <v>18732</v>
      </c>
      <c r="F3154" s="196" t="s">
        <v>11233</v>
      </c>
      <c r="G3154" s="196" t="s">
        <v>12378</v>
      </c>
      <c r="H3154" s="196" t="s">
        <v>11235</v>
      </c>
    </row>
    <row r="3155" spans="1:8" x14ac:dyDescent="0.15">
      <c r="A3155" s="196" t="s">
        <v>11229</v>
      </c>
      <c r="B3155" s="196" t="s">
        <v>11230</v>
      </c>
      <c r="C3155" s="196" t="s">
        <v>18733</v>
      </c>
      <c r="D3155" s="196" t="s">
        <v>18734</v>
      </c>
      <c r="E3155" s="196" t="s">
        <v>18735</v>
      </c>
      <c r="F3155" s="196" t="s">
        <v>18736</v>
      </c>
      <c r="G3155" s="196" t="s">
        <v>12378</v>
      </c>
      <c r="H3155" s="196" t="s">
        <v>11235</v>
      </c>
    </row>
    <row r="3156" spans="1:8" x14ac:dyDescent="0.15">
      <c r="A3156" s="196" t="s">
        <v>11229</v>
      </c>
      <c r="B3156" s="196" t="s">
        <v>11230</v>
      </c>
      <c r="C3156" s="196" t="s">
        <v>18737</v>
      </c>
      <c r="D3156" s="196" t="s">
        <v>18735</v>
      </c>
      <c r="E3156" s="196" t="s">
        <v>18738</v>
      </c>
      <c r="F3156" s="196" t="s">
        <v>18739</v>
      </c>
      <c r="G3156" s="196" t="s">
        <v>12378</v>
      </c>
      <c r="H3156" s="196" t="s">
        <v>11235</v>
      </c>
    </row>
    <row r="3157" spans="1:8" x14ac:dyDescent="0.15">
      <c r="A3157" s="196" t="s">
        <v>11229</v>
      </c>
      <c r="B3157" s="196" t="s">
        <v>11230</v>
      </c>
      <c r="C3157" s="196" t="s">
        <v>18740</v>
      </c>
      <c r="D3157" s="196" t="s">
        <v>18741</v>
      </c>
      <c r="E3157" s="196" t="s">
        <v>18742</v>
      </c>
      <c r="F3157" s="196" t="s">
        <v>18743</v>
      </c>
      <c r="G3157" s="196" t="s">
        <v>12378</v>
      </c>
      <c r="H3157" s="196" t="s">
        <v>11235</v>
      </c>
    </row>
    <row r="3158" spans="1:8" x14ac:dyDescent="0.15">
      <c r="A3158" s="196" t="s">
        <v>11229</v>
      </c>
      <c r="B3158" s="196" t="s">
        <v>11230</v>
      </c>
      <c r="C3158" s="196" t="s">
        <v>18744</v>
      </c>
      <c r="D3158" s="196" t="s">
        <v>18742</v>
      </c>
      <c r="E3158" s="196" t="s">
        <v>18745</v>
      </c>
      <c r="F3158" s="196" t="s">
        <v>18746</v>
      </c>
      <c r="G3158" s="196" t="s">
        <v>12378</v>
      </c>
      <c r="H3158" s="196" t="s">
        <v>11235</v>
      </c>
    </row>
    <row r="3159" spans="1:8" x14ac:dyDescent="0.15">
      <c r="A3159" s="196" t="s">
        <v>11229</v>
      </c>
      <c r="B3159" s="196" t="s">
        <v>11230</v>
      </c>
      <c r="C3159" s="196" t="s">
        <v>18747</v>
      </c>
      <c r="D3159" s="196" t="s">
        <v>18748</v>
      </c>
      <c r="E3159" s="196" t="s">
        <v>18749</v>
      </c>
      <c r="F3159" s="196" t="s">
        <v>16083</v>
      </c>
      <c r="G3159" s="196" t="s">
        <v>12378</v>
      </c>
      <c r="H3159" s="196" t="s">
        <v>11235</v>
      </c>
    </row>
    <row r="3160" spans="1:8" x14ac:dyDescent="0.15">
      <c r="A3160" s="196" t="s">
        <v>11229</v>
      </c>
      <c r="B3160" s="196" t="s">
        <v>11230</v>
      </c>
      <c r="C3160" s="196" t="s">
        <v>18750</v>
      </c>
      <c r="D3160" s="196" t="s">
        <v>18749</v>
      </c>
      <c r="E3160" s="196" t="s">
        <v>18751</v>
      </c>
      <c r="F3160" s="196" t="s">
        <v>18752</v>
      </c>
      <c r="G3160" s="196" t="s">
        <v>12378</v>
      </c>
      <c r="H3160" s="196" t="s">
        <v>11235</v>
      </c>
    </row>
    <row r="3161" spans="1:8" x14ac:dyDescent="0.15">
      <c r="A3161" s="196" t="s">
        <v>11229</v>
      </c>
      <c r="B3161" s="196" t="s">
        <v>11230</v>
      </c>
      <c r="C3161" s="196" t="s">
        <v>18753</v>
      </c>
      <c r="D3161" s="196" t="s">
        <v>18754</v>
      </c>
      <c r="E3161" s="196" t="s">
        <v>18755</v>
      </c>
      <c r="F3161" s="196" t="s">
        <v>18756</v>
      </c>
      <c r="G3161" s="196" t="s">
        <v>12378</v>
      </c>
      <c r="H3161" s="196" t="s">
        <v>11235</v>
      </c>
    </row>
    <row r="3162" spans="1:8" x14ac:dyDescent="0.15">
      <c r="A3162" s="196" t="s">
        <v>11229</v>
      </c>
      <c r="B3162" s="196" t="s">
        <v>11230</v>
      </c>
      <c r="C3162" s="196" t="s">
        <v>18757</v>
      </c>
      <c r="D3162" s="196" t="s">
        <v>18758</v>
      </c>
      <c r="E3162" s="196" t="s">
        <v>18759</v>
      </c>
      <c r="F3162" s="196" t="s">
        <v>13180</v>
      </c>
      <c r="G3162" s="196" t="s">
        <v>12378</v>
      </c>
      <c r="H3162" s="196" t="s">
        <v>11235</v>
      </c>
    </row>
    <row r="3163" spans="1:8" x14ac:dyDescent="0.15">
      <c r="A3163" s="196" t="s">
        <v>11229</v>
      </c>
      <c r="B3163" s="196" t="s">
        <v>11230</v>
      </c>
      <c r="C3163" s="196" t="s">
        <v>18760</v>
      </c>
      <c r="D3163" s="196" t="s">
        <v>18761</v>
      </c>
      <c r="E3163" s="196" t="s">
        <v>18762</v>
      </c>
      <c r="F3163" s="196" t="s">
        <v>16374</v>
      </c>
      <c r="G3163" s="196" t="s">
        <v>12378</v>
      </c>
      <c r="H3163" s="196" t="s">
        <v>11235</v>
      </c>
    </row>
    <row r="3164" spans="1:8" x14ac:dyDescent="0.15">
      <c r="A3164" s="196" t="s">
        <v>11229</v>
      </c>
      <c r="B3164" s="196" t="s">
        <v>11230</v>
      </c>
      <c r="C3164" s="196" t="s">
        <v>18763</v>
      </c>
      <c r="D3164" s="196" t="s">
        <v>18764</v>
      </c>
      <c r="E3164" s="196" t="s">
        <v>18765</v>
      </c>
      <c r="F3164" s="196" t="s">
        <v>15965</v>
      </c>
      <c r="G3164" s="196" t="s">
        <v>12378</v>
      </c>
      <c r="H3164" s="196" t="s">
        <v>11235</v>
      </c>
    </row>
    <row r="3165" spans="1:8" x14ac:dyDescent="0.15">
      <c r="A3165" s="196" t="s">
        <v>11229</v>
      </c>
      <c r="B3165" s="196" t="s">
        <v>11230</v>
      </c>
      <c r="C3165" s="196" t="s">
        <v>18766</v>
      </c>
      <c r="D3165" s="196" t="s">
        <v>18767</v>
      </c>
      <c r="E3165" s="196" t="s">
        <v>18768</v>
      </c>
      <c r="F3165" s="196" t="s">
        <v>12558</v>
      </c>
      <c r="G3165" s="196" t="s">
        <v>12378</v>
      </c>
      <c r="H3165" s="196" t="s">
        <v>11235</v>
      </c>
    </row>
    <row r="3166" spans="1:8" x14ac:dyDescent="0.15">
      <c r="A3166" s="196" t="s">
        <v>11229</v>
      </c>
      <c r="B3166" s="196" t="s">
        <v>11230</v>
      </c>
      <c r="C3166" s="196" t="s">
        <v>18769</v>
      </c>
      <c r="D3166" s="196" t="s">
        <v>18770</v>
      </c>
      <c r="E3166" s="196" t="s">
        <v>18771</v>
      </c>
      <c r="F3166" s="196" t="s">
        <v>18772</v>
      </c>
      <c r="G3166" s="196" t="s">
        <v>12378</v>
      </c>
      <c r="H3166" s="196" t="s">
        <v>11235</v>
      </c>
    </row>
    <row r="3167" spans="1:8" x14ac:dyDescent="0.15">
      <c r="A3167" s="196" t="s">
        <v>11229</v>
      </c>
      <c r="B3167" s="196" t="s">
        <v>11230</v>
      </c>
      <c r="C3167" s="196" t="s">
        <v>18773</v>
      </c>
      <c r="D3167" s="196" t="s">
        <v>18771</v>
      </c>
      <c r="E3167" s="196" t="s">
        <v>18774</v>
      </c>
      <c r="F3167" s="196" t="s">
        <v>18775</v>
      </c>
      <c r="G3167" s="196" t="s">
        <v>12378</v>
      </c>
      <c r="H3167" s="196" t="s">
        <v>11235</v>
      </c>
    </row>
    <row r="3168" spans="1:8" x14ac:dyDescent="0.15">
      <c r="A3168" s="196" t="s">
        <v>11229</v>
      </c>
      <c r="B3168" s="196" t="s">
        <v>11230</v>
      </c>
      <c r="C3168" s="196" t="s">
        <v>18776</v>
      </c>
      <c r="D3168" s="196" t="s">
        <v>18777</v>
      </c>
      <c r="E3168" s="196" t="s">
        <v>18778</v>
      </c>
      <c r="F3168" s="196" t="s">
        <v>13107</v>
      </c>
      <c r="G3168" s="196" t="s">
        <v>12378</v>
      </c>
      <c r="H3168" s="196" t="s">
        <v>11235</v>
      </c>
    </row>
    <row r="3169" spans="1:8" x14ac:dyDescent="0.15">
      <c r="A3169" s="196" t="s">
        <v>11229</v>
      </c>
      <c r="B3169" s="196" t="s">
        <v>11230</v>
      </c>
      <c r="C3169" s="196" t="s">
        <v>18779</v>
      </c>
      <c r="D3169" s="196" t="s">
        <v>18780</v>
      </c>
      <c r="E3169" s="196" t="s">
        <v>18781</v>
      </c>
      <c r="F3169" s="196" t="s">
        <v>13214</v>
      </c>
      <c r="G3169" s="196" t="s">
        <v>12378</v>
      </c>
      <c r="H3169" s="196" t="s">
        <v>11235</v>
      </c>
    </row>
    <row r="3170" spans="1:8" x14ac:dyDescent="0.15">
      <c r="A3170" s="196" t="s">
        <v>11229</v>
      </c>
      <c r="B3170" s="196" t="s">
        <v>11230</v>
      </c>
      <c r="C3170" s="196" t="s">
        <v>18782</v>
      </c>
      <c r="D3170" s="196" t="s">
        <v>18783</v>
      </c>
      <c r="E3170" s="196" t="s">
        <v>18784</v>
      </c>
      <c r="F3170" s="196" t="s">
        <v>13038</v>
      </c>
      <c r="G3170" s="196" t="s">
        <v>12378</v>
      </c>
      <c r="H3170" s="196" t="s">
        <v>11235</v>
      </c>
    </row>
    <row r="3171" spans="1:8" x14ac:dyDescent="0.15">
      <c r="A3171" s="196" t="s">
        <v>11229</v>
      </c>
      <c r="B3171" s="196" t="s">
        <v>11230</v>
      </c>
      <c r="C3171" s="196" t="s">
        <v>18785</v>
      </c>
      <c r="D3171" s="196" t="s">
        <v>18786</v>
      </c>
      <c r="E3171" s="196" t="s">
        <v>18787</v>
      </c>
      <c r="F3171" s="196" t="s">
        <v>12558</v>
      </c>
      <c r="G3171" s="196" t="s">
        <v>12378</v>
      </c>
      <c r="H3171" s="196" t="s">
        <v>11235</v>
      </c>
    </row>
    <row r="3172" spans="1:8" x14ac:dyDescent="0.15">
      <c r="A3172" s="196" t="s">
        <v>11229</v>
      </c>
      <c r="B3172" s="196" t="s">
        <v>11230</v>
      </c>
      <c r="C3172" s="196" t="s">
        <v>18788</v>
      </c>
      <c r="D3172" s="196" t="s">
        <v>18789</v>
      </c>
      <c r="E3172" s="196" t="s">
        <v>18790</v>
      </c>
      <c r="F3172" s="196" t="s">
        <v>18791</v>
      </c>
      <c r="G3172" s="196" t="s">
        <v>12378</v>
      </c>
      <c r="H3172" s="196" t="s">
        <v>11235</v>
      </c>
    </row>
    <row r="3173" spans="1:8" x14ac:dyDescent="0.15">
      <c r="A3173" s="196" t="s">
        <v>11229</v>
      </c>
      <c r="B3173" s="196" t="s">
        <v>11230</v>
      </c>
      <c r="C3173" s="196" t="s">
        <v>18792</v>
      </c>
      <c r="D3173" s="196" t="s">
        <v>18793</v>
      </c>
      <c r="E3173" s="196" t="s">
        <v>18794</v>
      </c>
      <c r="F3173" s="196" t="s">
        <v>18795</v>
      </c>
      <c r="G3173" s="196" t="s">
        <v>12378</v>
      </c>
      <c r="H3173" s="196" t="s">
        <v>11235</v>
      </c>
    </row>
    <row r="3174" spans="1:8" x14ac:dyDescent="0.15">
      <c r="A3174" s="196" t="s">
        <v>11229</v>
      </c>
      <c r="B3174" s="196" t="s">
        <v>11230</v>
      </c>
      <c r="C3174" s="196" t="s">
        <v>18796</v>
      </c>
      <c r="D3174" s="196" t="s">
        <v>18797</v>
      </c>
      <c r="E3174" s="196" t="s">
        <v>18798</v>
      </c>
      <c r="F3174" s="196" t="s">
        <v>18799</v>
      </c>
      <c r="G3174" s="196" t="s">
        <v>12378</v>
      </c>
      <c r="H3174" s="196" t="s">
        <v>11235</v>
      </c>
    </row>
    <row r="3175" spans="1:8" x14ac:dyDescent="0.15">
      <c r="A3175" s="196" t="s">
        <v>11229</v>
      </c>
      <c r="B3175" s="196" t="s">
        <v>11230</v>
      </c>
      <c r="C3175" s="196" t="s">
        <v>18800</v>
      </c>
      <c r="D3175" s="196" t="s">
        <v>18801</v>
      </c>
      <c r="E3175" s="196" t="s">
        <v>18802</v>
      </c>
      <c r="F3175" s="196" t="s">
        <v>18803</v>
      </c>
      <c r="G3175" s="196" t="s">
        <v>12378</v>
      </c>
      <c r="H3175" s="196" t="s">
        <v>11235</v>
      </c>
    </row>
    <row r="3176" spans="1:8" x14ac:dyDescent="0.15">
      <c r="A3176" s="196" t="s">
        <v>11229</v>
      </c>
      <c r="B3176" s="196" t="s">
        <v>11230</v>
      </c>
      <c r="C3176" s="196" t="s">
        <v>18804</v>
      </c>
      <c r="D3176" s="196" t="s">
        <v>18805</v>
      </c>
      <c r="E3176" s="196" t="s">
        <v>18806</v>
      </c>
      <c r="F3176" s="196" t="s">
        <v>18807</v>
      </c>
      <c r="G3176" s="196" t="s">
        <v>12378</v>
      </c>
      <c r="H3176" s="196" t="s">
        <v>11235</v>
      </c>
    </row>
    <row r="3177" spans="1:8" x14ac:dyDescent="0.15">
      <c r="A3177" s="196" t="s">
        <v>11229</v>
      </c>
      <c r="B3177" s="196" t="s">
        <v>11230</v>
      </c>
      <c r="C3177" s="196" t="s">
        <v>18808</v>
      </c>
      <c r="D3177" s="196" t="s">
        <v>18809</v>
      </c>
      <c r="E3177" s="196" t="s">
        <v>18810</v>
      </c>
      <c r="F3177" s="196" t="s">
        <v>11241</v>
      </c>
      <c r="G3177" s="196" t="s">
        <v>12378</v>
      </c>
      <c r="H3177" s="196" t="s">
        <v>11235</v>
      </c>
    </row>
    <row r="3178" spans="1:8" x14ac:dyDescent="0.15">
      <c r="A3178" s="196" t="s">
        <v>11229</v>
      </c>
      <c r="B3178" s="196" t="s">
        <v>11230</v>
      </c>
      <c r="C3178" s="196" t="s">
        <v>18811</v>
      </c>
      <c r="D3178" s="196" t="s">
        <v>18812</v>
      </c>
      <c r="E3178" s="196" t="s">
        <v>18812</v>
      </c>
      <c r="F3178" s="196" t="s">
        <v>11233</v>
      </c>
      <c r="G3178" s="196" t="s">
        <v>12378</v>
      </c>
      <c r="H3178" s="196" t="s">
        <v>11235</v>
      </c>
    </row>
    <row r="3179" spans="1:8" x14ac:dyDescent="0.15">
      <c r="A3179" s="196" t="s">
        <v>11229</v>
      </c>
      <c r="B3179" s="196" t="s">
        <v>11230</v>
      </c>
      <c r="C3179" s="196" t="s">
        <v>18813</v>
      </c>
      <c r="D3179" s="196" t="s">
        <v>18814</v>
      </c>
      <c r="E3179" s="196" t="s">
        <v>18815</v>
      </c>
      <c r="F3179" s="196" t="s">
        <v>11241</v>
      </c>
      <c r="G3179" s="196" t="s">
        <v>12378</v>
      </c>
      <c r="H3179" s="196" t="s">
        <v>11235</v>
      </c>
    </row>
    <row r="3180" spans="1:8" x14ac:dyDescent="0.15">
      <c r="A3180" s="196" t="s">
        <v>11229</v>
      </c>
      <c r="B3180" s="196" t="s">
        <v>11230</v>
      </c>
      <c r="C3180" s="196" t="s">
        <v>18816</v>
      </c>
      <c r="D3180" s="196" t="s">
        <v>18817</v>
      </c>
      <c r="E3180" s="196" t="s">
        <v>18817</v>
      </c>
      <c r="F3180" s="196" t="s">
        <v>11233</v>
      </c>
      <c r="G3180" s="196" t="s">
        <v>12378</v>
      </c>
      <c r="H3180" s="196" t="s">
        <v>11235</v>
      </c>
    </row>
    <row r="3181" spans="1:8" x14ac:dyDescent="0.15">
      <c r="A3181" s="196" t="s">
        <v>11229</v>
      </c>
      <c r="B3181" s="196" t="s">
        <v>11230</v>
      </c>
      <c r="C3181" s="196" t="s">
        <v>18818</v>
      </c>
      <c r="D3181" s="196" t="s">
        <v>18819</v>
      </c>
      <c r="E3181" s="196" t="s">
        <v>18820</v>
      </c>
      <c r="F3181" s="196" t="s">
        <v>13023</v>
      </c>
      <c r="G3181" s="196" t="s">
        <v>12378</v>
      </c>
      <c r="H3181" s="196" t="s">
        <v>11235</v>
      </c>
    </row>
    <row r="3182" spans="1:8" x14ac:dyDescent="0.15">
      <c r="A3182" s="196" t="s">
        <v>11229</v>
      </c>
      <c r="B3182" s="196" t="s">
        <v>11230</v>
      </c>
      <c r="C3182" s="196" t="s">
        <v>18821</v>
      </c>
      <c r="D3182" s="196" t="s">
        <v>18820</v>
      </c>
      <c r="E3182" s="196" t="s">
        <v>18822</v>
      </c>
      <c r="F3182" s="196" t="s">
        <v>11241</v>
      </c>
      <c r="G3182" s="196" t="s">
        <v>12378</v>
      </c>
      <c r="H3182" s="196" t="s">
        <v>11235</v>
      </c>
    </row>
    <row r="3183" spans="1:8" x14ac:dyDescent="0.15">
      <c r="A3183" s="196" t="s">
        <v>11229</v>
      </c>
      <c r="B3183" s="196" t="s">
        <v>11230</v>
      </c>
      <c r="C3183" s="196" t="s">
        <v>18823</v>
      </c>
      <c r="D3183" s="196" t="s">
        <v>18822</v>
      </c>
      <c r="E3183" s="196" t="s">
        <v>18824</v>
      </c>
      <c r="F3183" s="196" t="s">
        <v>11241</v>
      </c>
      <c r="G3183" s="196" t="s">
        <v>12378</v>
      </c>
      <c r="H3183" s="196" t="s">
        <v>11235</v>
      </c>
    </row>
    <row r="3184" spans="1:8" x14ac:dyDescent="0.15">
      <c r="A3184" s="196" t="s">
        <v>11229</v>
      </c>
      <c r="B3184" s="196" t="s">
        <v>11230</v>
      </c>
      <c r="C3184" s="196" t="s">
        <v>18825</v>
      </c>
      <c r="D3184" s="196" t="s">
        <v>18824</v>
      </c>
      <c r="E3184" s="196" t="s">
        <v>18826</v>
      </c>
      <c r="F3184" s="196" t="s">
        <v>11268</v>
      </c>
      <c r="G3184" s="196" t="s">
        <v>12378</v>
      </c>
      <c r="H3184" s="196" t="s">
        <v>11235</v>
      </c>
    </row>
    <row r="3185" spans="1:8" x14ac:dyDescent="0.15">
      <c r="A3185" s="196" t="s">
        <v>11229</v>
      </c>
      <c r="B3185" s="196" t="s">
        <v>11230</v>
      </c>
      <c r="C3185" s="196" t="s">
        <v>18827</v>
      </c>
      <c r="D3185" s="196" t="s">
        <v>18828</v>
      </c>
      <c r="E3185" s="196" t="s">
        <v>18828</v>
      </c>
      <c r="F3185" s="196" t="s">
        <v>11233</v>
      </c>
      <c r="G3185" s="196" t="s">
        <v>12378</v>
      </c>
      <c r="H3185" s="196" t="s">
        <v>11235</v>
      </c>
    </row>
    <row r="3186" spans="1:8" x14ac:dyDescent="0.15">
      <c r="A3186" s="196" t="s">
        <v>11229</v>
      </c>
      <c r="B3186" s="196" t="s">
        <v>11230</v>
      </c>
      <c r="C3186" s="196" t="s">
        <v>18829</v>
      </c>
      <c r="D3186" s="196" t="s">
        <v>18830</v>
      </c>
      <c r="E3186" s="196" t="s">
        <v>18830</v>
      </c>
      <c r="F3186" s="196" t="s">
        <v>11233</v>
      </c>
      <c r="G3186" s="196" t="s">
        <v>12378</v>
      </c>
      <c r="H3186" s="196" t="s">
        <v>11235</v>
      </c>
    </row>
    <row r="3187" spans="1:8" x14ac:dyDescent="0.15">
      <c r="A3187" s="196" t="s">
        <v>11229</v>
      </c>
      <c r="B3187" s="196" t="s">
        <v>11230</v>
      </c>
      <c r="C3187" s="196" t="s">
        <v>18831</v>
      </c>
      <c r="D3187" s="196" t="s">
        <v>18832</v>
      </c>
      <c r="E3187" s="196" t="s">
        <v>18832</v>
      </c>
      <c r="F3187" s="196" t="s">
        <v>11233</v>
      </c>
      <c r="G3187" s="196" t="s">
        <v>12378</v>
      </c>
      <c r="H3187" s="196" t="s">
        <v>11235</v>
      </c>
    </row>
    <row r="3188" spans="1:8" x14ac:dyDescent="0.15">
      <c r="A3188" s="196" t="s">
        <v>11229</v>
      </c>
      <c r="B3188" s="196" t="s">
        <v>11230</v>
      </c>
      <c r="C3188" s="196" t="s">
        <v>18833</v>
      </c>
      <c r="D3188" s="196" t="s">
        <v>18834</v>
      </c>
      <c r="E3188" s="196" t="s">
        <v>18834</v>
      </c>
      <c r="F3188" s="196" t="s">
        <v>11233</v>
      </c>
      <c r="G3188" s="196" t="s">
        <v>12378</v>
      </c>
      <c r="H3188" s="196" t="s">
        <v>11235</v>
      </c>
    </row>
    <row r="3189" spans="1:8" x14ac:dyDescent="0.15">
      <c r="A3189" s="196" t="s">
        <v>11229</v>
      </c>
      <c r="B3189" s="196" t="s">
        <v>11230</v>
      </c>
      <c r="C3189" s="196" t="s">
        <v>18835</v>
      </c>
      <c r="D3189" s="196" t="s">
        <v>18836</v>
      </c>
      <c r="E3189" s="196" t="s">
        <v>18836</v>
      </c>
      <c r="F3189" s="196" t="s">
        <v>11233</v>
      </c>
      <c r="G3189" s="196" t="s">
        <v>12378</v>
      </c>
      <c r="H3189" s="196" t="s">
        <v>11235</v>
      </c>
    </row>
    <row r="3190" spans="1:8" x14ac:dyDescent="0.15">
      <c r="A3190" s="196" t="s">
        <v>11229</v>
      </c>
      <c r="B3190" s="196" t="s">
        <v>11230</v>
      </c>
      <c r="C3190" s="196" t="s">
        <v>18837</v>
      </c>
      <c r="D3190" s="196" t="s">
        <v>18838</v>
      </c>
      <c r="E3190" s="196" t="s">
        <v>18838</v>
      </c>
      <c r="F3190" s="196" t="s">
        <v>11233</v>
      </c>
      <c r="G3190" s="196" t="s">
        <v>12378</v>
      </c>
      <c r="H3190" s="196" t="s">
        <v>11235</v>
      </c>
    </row>
    <row r="3191" spans="1:8" x14ac:dyDescent="0.15">
      <c r="A3191" s="196" t="s">
        <v>11229</v>
      </c>
      <c r="B3191" s="196" t="s">
        <v>11230</v>
      </c>
      <c r="C3191" s="196" t="s">
        <v>18839</v>
      </c>
      <c r="D3191" s="196" t="s">
        <v>18840</v>
      </c>
      <c r="E3191" s="196" t="s">
        <v>18840</v>
      </c>
      <c r="F3191" s="196" t="s">
        <v>11233</v>
      </c>
      <c r="G3191" s="196" t="s">
        <v>12378</v>
      </c>
      <c r="H3191" s="196" t="s">
        <v>11235</v>
      </c>
    </row>
    <row r="3192" spans="1:8" x14ac:dyDescent="0.15">
      <c r="A3192" s="196" t="s">
        <v>11229</v>
      </c>
      <c r="B3192" s="196" t="s">
        <v>11230</v>
      </c>
      <c r="C3192" s="196" t="s">
        <v>18841</v>
      </c>
      <c r="D3192" s="196" t="s">
        <v>18842</v>
      </c>
      <c r="E3192" s="196" t="s">
        <v>18842</v>
      </c>
      <c r="F3192" s="196" t="s">
        <v>11233</v>
      </c>
      <c r="G3192" s="196" t="s">
        <v>12378</v>
      </c>
      <c r="H3192" s="196" t="s">
        <v>11235</v>
      </c>
    </row>
    <row r="3193" spans="1:8" x14ac:dyDescent="0.15">
      <c r="A3193" s="196" t="s">
        <v>11229</v>
      </c>
      <c r="B3193" s="196" t="s">
        <v>11230</v>
      </c>
      <c r="C3193" s="196" t="s">
        <v>18843</v>
      </c>
      <c r="D3193" s="196" t="s">
        <v>18844</v>
      </c>
      <c r="E3193" s="196" t="s">
        <v>18845</v>
      </c>
      <c r="F3193" s="196" t="s">
        <v>11268</v>
      </c>
      <c r="G3193" s="196" t="s">
        <v>12378</v>
      </c>
      <c r="H3193" s="196" t="s">
        <v>11235</v>
      </c>
    </row>
    <row r="3194" spans="1:8" x14ac:dyDescent="0.15">
      <c r="A3194" s="196" t="s">
        <v>11229</v>
      </c>
      <c r="B3194" s="196" t="s">
        <v>11230</v>
      </c>
      <c r="C3194" s="196" t="s">
        <v>18846</v>
      </c>
      <c r="D3194" s="196" t="s">
        <v>18845</v>
      </c>
      <c r="E3194" s="196" t="s">
        <v>18847</v>
      </c>
      <c r="F3194" s="196" t="s">
        <v>11241</v>
      </c>
      <c r="G3194" s="196" t="s">
        <v>12378</v>
      </c>
      <c r="H3194" s="196" t="s">
        <v>11235</v>
      </c>
    </row>
    <row r="3195" spans="1:8" x14ac:dyDescent="0.15">
      <c r="A3195" s="196" t="s">
        <v>11229</v>
      </c>
      <c r="B3195" s="196" t="s">
        <v>11230</v>
      </c>
      <c r="C3195" s="196" t="s">
        <v>18848</v>
      </c>
      <c r="D3195" s="196" t="s">
        <v>18847</v>
      </c>
      <c r="E3195" s="196" t="s">
        <v>18849</v>
      </c>
      <c r="F3195" s="196" t="s">
        <v>11268</v>
      </c>
      <c r="G3195" s="196" t="s">
        <v>12378</v>
      </c>
      <c r="H3195" s="196" t="s">
        <v>11235</v>
      </c>
    </row>
    <row r="3196" spans="1:8" x14ac:dyDescent="0.15">
      <c r="A3196" s="196" t="s">
        <v>11229</v>
      </c>
      <c r="B3196" s="196" t="s">
        <v>11230</v>
      </c>
      <c r="C3196" s="196" t="s">
        <v>18850</v>
      </c>
      <c r="D3196" s="196" t="s">
        <v>18849</v>
      </c>
      <c r="E3196" s="196" t="s">
        <v>18851</v>
      </c>
      <c r="F3196" s="196" t="s">
        <v>11241</v>
      </c>
      <c r="G3196" s="196" t="s">
        <v>12378</v>
      </c>
      <c r="H3196" s="196" t="s">
        <v>11235</v>
      </c>
    </row>
    <row r="3197" spans="1:8" x14ac:dyDescent="0.15">
      <c r="A3197" s="196" t="s">
        <v>11229</v>
      </c>
      <c r="B3197" s="196" t="s">
        <v>11230</v>
      </c>
      <c r="C3197" s="196" t="s">
        <v>18852</v>
      </c>
      <c r="D3197" s="196" t="s">
        <v>18853</v>
      </c>
      <c r="E3197" s="196" t="s">
        <v>18853</v>
      </c>
      <c r="F3197" s="196" t="s">
        <v>11233</v>
      </c>
      <c r="G3197" s="196" t="s">
        <v>12378</v>
      </c>
      <c r="H3197" s="196" t="s">
        <v>11235</v>
      </c>
    </row>
    <row r="3198" spans="1:8" x14ac:dyDescent="0.15">
      <c r="A3198" s="196" t="s">
        <v>11229</v>
      </c>
      <c r="B3198" s="196" t="s">
        <v>11230</v>
      </c>
      <c r="C3198" s="196" t="s">
        <v>18854</v>
      </c>
      <c r="D3198" s="196" t="s">
        <v>18855</v>
      </c>
      <c r="E3198" s="196" t="s">
        <v>18855</v>
      </c>
      <c r="F3198" s="196" t="s">
        <v>11233</v>
      </c>
      <c r="G3198" s="196" t="s">
        <v>12378</v>
      </c>
      <c r="H3198" s="196" t="s">
        <v>11235</v>
      </c>
    </row>
    <row r="3199" spans="1:8" x14ac:dyDescent="0.15">
      <c r="A3199" s="196" t="s">
        <v>11229</v>
      </c>
      <c r="B3199" s="196" t="s">
        <v>11230</v>
      </c>
      <c r="C3199" s="196" t="s">
        <v>18856</v>
      </c>
      <c r="D3199" s="196" t="s">
        <v>18857</v>
      </c>
      <c r="E3199" s="196" t="s">
        <v>18857</v>
      </c>
      <c r="F3199" s="196" t="s">
        <v>11233</v>
      </c>
      <c r="G3199" s="196" t="s">
        <v>12378</v>
      </c>
      <c r="H3199" s="196" t="s">
        <v>11235</v>
      </c>
    </row>
    <row r="3200" spans="1:8" x14ac:dyDescent="0.15">
      <c r="A3200" s="196" t="s">
        <v>11229</v>
      </c>
      <c r="B3200" s="196" t="s">
        <v>11230</v>
      </c>
      <c r="C3200" s="196" t="s">
        <v>18858</v>
      </c>
      <c r="D3200" s="196" t="s">
        <v>18859</v>
      </c>
      <c r="E3200" s="196" t="s">
        <v>18859</v>
      </c>
      <c r="F3200" s="196" t="s">
        <v>11233</v>
      </c>
      <c r="G3200" s="196" t="s">
        <v>12378</v>
      </c>
      <c r="H3200" s="196" t="s">
        <v>11235</v>
      </c>
    </row>
    <row r="3201" spans="1:8" x14ac:dyDescent="0.15">
      <c r="A3201" s="196" t="s">
        <v>11229</v>
      </c>
      <c r="B3201" s="196" t="s">
        <v>11230</v>
      </c>
      <c r="C3201" s="196" t="s">
        <v>18860</v>
      </c>
      <c r="D3201" s="196" t="s">
        <v>18861</v>
      </c>
      <c r="E3201" s="196" t="s">
        <v>18861</v>
      </c>
      <c r="F3201" s="196" t="s">
        <v>11233</v>
      </c>
      <c r="G3201" s="196" t="s">
        <v>12378</v>
      </c>
      <c r="H3201" s="196" t="s">
        <v>11235</v>
      </c>
    </row>
    <row r="3202" spans="1:8" x14ac:dyDescent="0.15">
      <c r="A3202" s="196" t="s">
        <v>11229</v>
      </c>
      <c r="B3202" s="196" t="s">
        <v>11230</v>
      </c>
      <c r="C3202" s="196" t="s">
        <v>18862</v>
      </c>
      <c r="D3202" s="196" t="s">
        <v>18863</v>
      </c>
      <c r="E3202" s="196" t="s">
        <v>18863</v>
      </c>
      <c r="F3202" s="196" t="s">
        <v>11233</v>
      </c>
      <c r="G3202" s="196" t="s">
        <v>12378</v>
      </c>
      <c r="H3202" s="196" t="s">
        <v>11235</v>
      </c>
    </row>
    <row r="3203" spans="1:8" x14ac:dyDescent="0.15">
      <c r="A3203" s="196" t="s">
        <v>11229</v>
      </c>
      <c r="B3203" s="196" t="s">
        <v>11230</v>
      </c>
      <c r="C3203" s="196" t="s">
        <v>18864</v>
      </c>
      <c r="D3203" s="196" t="s">
        <v>18865</v>
      </c>
      <c r="E3203" s="196" t="s">
        <v>18865</v>
      </c>
      <c r="F3203" s="196" t="s">
        <v>11233</v>
      </c>
      <c r="G3203" s="196" t="s">
        <v>12378</v>
      </c>
      <c r="H3203" s="196" t="s">
        <v>11235</v>
      </c>
    </row>
    <row r="3204" spans="1:8" x14ac:dyDescent="0.15">
      <c r="A3204" s="196" t="s">
        <v>11229</v>
      </c>
      <c r="B3204" s="196" t="s">
        <v>11230</v>
      </c>
      <c r="C3204" s="196" t="s">
        <v>18866</v>
      </c>
      <c r="D3204" s="196" t="s">
        <v>18867</v>
      </c>
      <c r="E3204" s="196" t="s">
        <v>18867</v>
      </c>
      <c r="F3204" s="196" t="s">
        <v>11233</v>
      </c>
      <c r="G3204" s="196" t="s">
        <v>12378</v>
      </c>
      <c r="H3204" s="196" t="s">
        <v>11235</v>
      </c>
    </row>
    <row r="3205" spans="1:8" x14ac:dyDescent="0.15">
      <c r="A3205" s="196" t="s">
        <v>11229</v>
      </c>
      <c r="B3205" s="196" t="s">
        <v>11230</v>
      </c>
      <c r="C3205" s="196" t="s">
        <v>18868</v>
      </c>
      <c r="D3205" s="196" t="s">
        <v>18869</v>
      </c>
      <c r="E3205" s="196" t="s">
        <v>18869</v>
      </c>
      <c r="F3205" s="196" t="s">
        <v>11233</v>
      </c>
      <c r="G3205" s="196" t="s">
        <v>12378</v>
      </c>
      <c r="H3205" s="196" t="s">
        <v>11235</v>
      </c>
    </row>
    <row r="3206" spans="1:8" x14ac:dyDescent="0.15">
      <c r="A3206" s="196" t="s">
        <v>11229</v>
      </c>
      <c r="B3206" s="196" t="s">
        <v>11230</v>
      </c>
      <c r="C3206" s="196" t="s">
        <v>18870</v>
      </c>
      <c r="D3206" s="196" t="s">
        <v>18871</v>
      </c>
      <c r="E3206" s="196" t="s">
        <v>18871</v>
      </c>
      <c r="F3206" s="196" t="s">
        <v>11233</v>
      </c>
      <c r="G3206" s="196" t="s">
        <v>12378</v>
      </c>
      <c r="H3206" s="196" t="s">
        <v>11235</v>
      </c>
    </row>
    <row r="3207" spans="1:8" x14ac:dyDescent="0.15">
      <c r="A3207" s="196" t="s">
        <v>11229</v>
      </c>
      <c r="B3207" s="196" t="s">
        <v>11230</v>
      </c>
      <c r="C3207" s="196" t="s">
        <v>18872</v>
      </c>
      <c r="D3207" s="196" t="s">
        <v>18873</v>
      </c>
      <c r="E3207" s="196" t="s">
        <v>18873</v>
      </c>
      <c r="F3207" s="196" t="s">
        <v>11233</v>
      </c>
      <c r="G3207" s="196" t="s">
        <v>12378</v>
      </c>
      <c r="H3207" s="196" t="s">
        <v>11235</v>
      </c>
    </row>
    <row r="3208" spans="1:8" x14ac:dyDescent="0.15">
      <c r="A3208" s="196" t="s">
        <v>11229</v>
      </c>
      <c r="B3208" s="196" t="s">
        <v>11230</v>
      </c>
      <c r="C3208" s="196" t="s">
        <v>18874</v>
      </c>
      <c r="D3208" s="196" t="s">
        <v>18875</v>
      </c>
      <c r="E3208" s="196" t="s">
        <v>18875</v>
      </c>
      <c r="F3208" s="196" t="s">
        <v>11233</v>
      </c>
      <c r="G3208" s="196" t="s">
        <v>12378</v>
      </c>
      <c r="H3208" s="196" t="s">
        <v>11235</v>
      </c>
    </row>
    <row r="3209" spans="1:8" x14ac:dyDescent="0.15">
      <c r="A3209" s="196" t="s">
        <v>11229</v>
      </c>
      <c r="B3209" s="196" t="s">
        <v>11230</v>
      </c>
      <c r="C3209" s="196" t="s">
        <v>18876</v>
      </c>
      <c r="D3209" s="196" t="s">
        <v>18877</v>
      </c>
      <c r="E3209" s="196" t="s">
        <v>18877</v>
      </c>
      <c r="F3209" s="196" t="s">
        <v>11233</v>
      </c>
      <c r="G3209" s="196" t="s">
        <v>12378</v>
      </c>
      <c r="H3209" s="196" t="s">
        <v>11235</v>
      </c>
    </row>
    <row r="3210" spans="1:8" x14ac:dyDescent="0.15">
      <c r="A3210" s="196" t="s">
        <v>11229</v>
      </c>
      <c r="B3210" s="196" t="s">
        <v>11230</v>
      </c>
      <c r="C3210" s="196" t="s">
        <v>18878</v>
      </c>
      <c r="D3210" s="196" t="s">
        <v>18879</v>
      </c>
      <c r="E3210" s="196" t="s">
        <v>18880</v>
      </c>
      <c r="F3210" s="196" t="s">
        <v>11268</v>
      </c>
      <c r="G3210" s="196" t="s">
        <v>12378</v>
      </c>
      <c r="H3210" s="196" t="s">
        <v>11235</v>
      </c>
    </row>
    <row r="3211" spans="1:8" x14ac:dyDescent="0.15">
      <c r="A3211" s="196" t="s">
        <v>11229</v>
      </c>
      <c r="B3211" s="196" t="s">
        <v>11230</v>
      </c>
      <c r="C3211" s="196" t="s">
        <v>18881</v>
      </c>
      <c r="D3211" s="196" t="s">
        <v>18882</v>
      </c>
      <c r="E3211" s="196" t="s">
        <v>18883</v>
      </c>
      <c r="F3211" s="196" t="s">
        <v>11268</v>
      </c>
      <c r="G3211" s="196" t="s">
        <v>12378</v>
      </c>
      <c r="H3211" s="196" t="s">
        <v>11235</v>
      </c>
    </row>
    <row r="3212" spans="1:8" x14ac:dyDescent="0.15">
      <c r="A3212" s="196" t="s">
        <v>11229</v>
      </c>
      <c r="B3212" s="196" t="s">
        <v>11230</v>
      </c>
      <c r="C3212" s="196" t="s">
        <v>18884</v>
      </c>
      <c r="D3212" s="196" t="s">
        <v>18885</v>
      </c>
      <c r="E3212" s="196" t="s">
        <v>18886</v>
      </c>
      <c r="F3212" s="196" t="s">
        <v>13023</v>
      </c>
      <c r="G3212" s="196" t="s">
        <v>12378</v>
      </c>
      <c r="H3212" s="196" t="s">
        <v>11235</v>
      </c>
    </row>
    <row r="3213" spans="1:8" x14ac:dyDescent="0.15">
      <c r="A3213" s="196" t="s">
        <v>11229</v>
      </c>
      <c r="B3213" s="196" t="s">
        <v>11230</v>
      </c>
      <c r="C3213" s="196" t="s">
        <v>18887</v>
      </c>
      <c r="D3213" s="196" t="s">
        <v>18888</v>
      </c>
      <c r="E3213" s="196" t="s">
        <v>18888</v>
      </c>
      <c r="F3213" s="196" t="s">
        <v>11233</v>
      </c>
      <c r="G3213" s="196" t="s">
        <v>12378</v>
      </c>
      <c r="H3213" s="196" t="s">
        <v>11235</v>
      </c>
    </row>
    <row r="3214" spans="1:8" x14ac:dyDescent="0.15">
      <c r="A3214" s="196" t="s">
        <v>11229</v>
      </c>
      <c r="B3214" s="196" t="s">
        <v>11230</v>
      </c>
      <c r="C3214" s="196" t="s">
        <v>18889</v>
      </c>
      <c r="D3214" s="196" t="s">
        <v>18890</v>
      </c>
      <c r="E3214" s="196" t="s">
        <v>18890</v>
      </c>
      <c r="F3214" s="196" t="s">
        <v>11233</v>
      </c>
      <c r="G3214" s="196" t="s">
        <v>12378</v>
      </c>
      <c r="H3214" s="196" t="s">
        <v>11235</v>
      </c>
    </row>
    <row r="3215" spans="1:8" x14ac:dyDescent="0.15">
      <c r="A3215" s="196" t="s">
        <v>11229</v>
      </c>
      <c r="B3215" s="196" t="s">
        <v>11230</v>
      </c>
      <c r="C3215" s="196" t="s">
        <v>18891</v>
      </c>
      <c r="D3215" s="196" t="s">
        <v>18892</v>
      </c>
      <c r="E3215" s="196" t="s">
        <v>18892</v>
      </c>
      <c r="F3215" s="196" t="s">
        <v>11233</v>
      </c>
      <c r="G3215" s="196" t="s">
        <v>12378</v>
      </c>
      <c r="H3215" s="196" t="s">
        <v>11235</v>
      </c>
    </row>
    <row r="3216" spans="1:8" x14ac:dyDescent="0.15">
      <c r="A3216" s="196" t="s">
        <v>11229</v>
      </c>
      <c r="B3216" s="196" t="s">
        <v>11230</v>
      </c>
      <c r="C3216" s="196" t="s">
        <v>18893</v>
      </c>
      <c r="D3216" s="196" t="s">
        <v>18894</v>
      </c>
      <c r="E3216" s="196" t="s">
        <v>18895</v>
      </c>
      <c r="F3216" s="196" t="s">
        <v>11241</v>
      </c>
      <c r="G3216" s="196" t="s">
        <v>12378</v>
      </c>
      <c r="H3216" s="196" t="s">
        <v>11235</v>
      </c>
    </row>
    <row r="3217" spans="1:8" x14ac:dyDescent="0.15">
      <c r="A3217" s="196" t="s">
        <v>11229</v>
      </c>
      <c r="B3217" s="196" t="s">
        <v>11230</v>
      </c>
      <c r="C3217" s="196" t="s">
        <v>18896</v>
      </c>
      <c r="D3217" s="196" t="s">
        <v>18897</v>
      </c>
      <c r="E3217" s="196" t="s">
        <v>18897</v>
      </c>
      <c r="F3217" s="196" t="s">
        <v>11233</v>
      </c>
      <c r="G3217" s="196" t="s">
        <v>12378</v>
      </c>
      <c r="H3217" s="196" t="s">
        <v>11235</v>
      </c>
    </row>
    <row r="3218" spans="1:8" x14ac:dyDescent="0.15">
      <c r="A3218" s="196" t="s">
        <v>11229</v>
      </c>
      <c r="B3218" s="196" t="s">
        <v>11230</v>
      </c>
      <c r="C3218" s="196" t="s">
        <v>18898</v>
      </c>
      <c r="D3218" s="196" t="s">
        <v>18899</v>
      </c>
      <c r="E3218" s="196" t="s">
        <v>18899</v>
      </c>
      <c r="F3218" s="196" t="s">
        <v>11233</v>
      </c>
      <c r="G3218" s="196" t="s">
        <v>12378</v>
      </c>
      <c r="H3218" s="196" t="s">
        <v>11235</v>
      </c>
    </row>
    <row r="3219" spans="1:8" x14ac:dyDescent="0.15">
      <c r="A3219" s="196" t="s">
        <v>11229</v>
      </c>
      <c r="B3219" s="196" t="s">
        <v>11230</v>
      </c>
      <c r="C3219" s="196" t="s">
        <v>18900</v>
      </c>
      <c r="D3219" s="196" t="s">
        <v>18901</v>
      </c>
      <c r="E3219" s="196" t="s">
        <v>18902</v>
      </c>
      <c r="F3219" s="196" t="s">
        <v>11268</v>
      </c>
      <c r="G3219" s="196" t="s">
        <v>12378</v>
      </c>
      <c r="H3219" s="196" t="s">
        <v>11235</v>
      </c>
    </row>
    <row r="3220" spans="1:8" x14ac:dyDescent="0.15">
      <c r="A3220" s="196" t="s">
        <v>11229</v>
      </c>
      <c r="B3220" s="196" t="s">
        <v>11230</v>
      </c>
      <c r="C3220" s="196" t="s">
        <v>18903</v>
      </c>
      <c r="D3220" s="196" t="s">
        <v>18904</v>
      </c>
      <c r="E3220" s="196" t="s">
        <v>18905</v>
      </c>
      <c r="F3220" s="196" t="s">
        <v>13023</v>
      </c>
      <c r="G3220" s="196" t="s">
        <v>12378</v>
      </c>
      <c r="H3220" s="196" t="s">
        <v>11235</v>
      </c>
    </row>
    <row r="3221" spans="1:8" x14ac:dyDescent="0.15">
      <c r="A3221" s="196" t="s">
        <v>11229</v>
      </c>
      <c r="B3221" s="196" t="s">
        <v>11230</v>
      </c>
      <c r="C3221" s="196" t="s">
        <v>18906</v>
      </c>
      <c r="D3221" s="196" t="s">
        <v>18905</v>
      </c>
      <c r="E3221" s="196" t="s">
        <v>18907</v>
      </c>
      <c r="F3221" s="196" t="s">
        <v>11241</v>
      </c>
      <c r="G3221" s="196" t="s">
        <v>12378</v>
      </c>
      <c r="H3221" s="196" t="s">
        <v>11235</v>
      </c>
    </row>
    <row r="3222" spans="1:8" x14ac:dyDescent="0.15">
      <c r="A3222" s="196" t="s">
        <v>11229</v>
      </c>
      <c r="B3222" s="196" t="s">
        <v>11230</v>
      </c>
      <c r="C3222" s="196" t="s">
        <v>18908</v>
      </c>
      <c r="D3222" s="196" t="s">
        <v>18907</v>
      </c>
      <c r="E3222" s="196" t="s">
        <v>18909</v>
      </c>
      <c r="F3222" s="196" t="s">
        <v>11268</v>
      </c>
      <c r="G3222" s="196" t="s">
        <v>12378</v>
      </c>
      <c r="H3222" s="196" t="s">
        <v>11235</v>
      </c>
    </row>
    <row r="3223" spans="1:8" x14ac:dyDescent="0.15">
      <c r="A3223" s="196" t="s">
        <v>11229</v>
      </c>
      <c r="B3223" s="196" t="s">
        <v>11230</v>
      </c>
      <c r="C3223" s="196" t="s">
        <v>18910</v>
      </c>
      <c r="D3223" s="196" t="s">
        <v>18909</v>
      </c>
      <c r="E3223" s="196" t="s">
        <v>18911</v>
      </c>
      <c r="F3223" s="196" t="s">
        <v>11241</v>
      </c>
      <c r="G3223" s="196" t="s">
        <v>12378</v>
      </c>
      <c r="H3223" s="196" t="s">
        <v>11235</v>
      </c>
    </row>
    <row r="3224" spans="1:8" x14ac:dyDescent="0.15">
      <c r="A3224" s="196" t="s">
        <v>11229</v>
      </c>
      <c r="B3224" s="196" t="s">
        <v>11230</v>
      </c>
      <c r="C3224" s="196" t="s">
        <v>18912</v>
      </c>
      <c r="D3224" s="196" t="s">
        <v>18911</v>
      </c>
      <c r="E3224" s="196" t="s">
        <v>18913</v>
      </c>
      <c r="F3224" s="196" t="s">
        <v>11241</v>
      </c>
      <c r="G3224" s="196" t="s">
        <v>12378</v>
      </c>
      <c r="H3224" s="196" t="s">
        <v>11235</v>
      </c>
    </row>
    <row r="3225" spans="1:8" x14ac:dyDescent="0.15">
      <c r="A3225" s="196" t="s">
        <v>11229</v>
      </c>
      <c r="B3225" s="196" t="s">
        <v>11230</v>
      </c>
      <c r="C3225" s="196" t="s">
        <v>18914</v>
      </c>
      <c r="D3225" s="196" t="s">
        <v>18913</v>
      </c>
      <c r="E3225" s="196" t="s">
        <v>18915</v>
      </c>
      <c r="F3225" s="196" t="s">
        <v>11268</v>
      </c>
      <c r="G3225" s="196" t="s">
        <v>12378</v>
      </c>
      <c r="H3225" s="196" t="s">
        <v>11235</v>
      </c>
    </row>
    <row r="3226" spans="1:8" x14ac:dyDescent="0.15">
      <c r="A3226" s="196" t="s">
        <v>11229</v>
      </c>
      <c r="B3226" s="196" t="s">
        <v>11230</v>
      </c>
      <c r="C3226" s="196" t="s">
        <v>18916</v>
      </c>
      <c r="D3226" s="196" t="s">
        <v>18915</v>
      </c>
      <c r="E3226" s="196" t="s">
        <v>18917</v>
      </c>
      <c r="F3226" s="196" t="s">
        <v>11241</v>
      </c>
      <c r="G3226" s="196" t="s">
        <v>12378</v>
      </c>
      <c r="H3226" s="196" t="s">
        <v>11235</v>
      </c>
    </row>
    <row r="3227" spans="1:8" x14ac:dyDescent="0.15">
      <c r="A3227" s="196" t="s">
        <v>11229</v>
      </c>
      <c r="B3227" s="196" t="s">
        <v>11230</v>
      </c>
      <c r="C3227" s="196" t="s">
        <v>18918</v>
      </c>
      <c r="D3227" s="196" t="s">
        <v>18919</v>
      </c>
      <c r="E3227" s="196" t="s">
        <v>18919</v>
      </c>
      <c r="F3227" s="196" t="s">
        <v>11233</v>
      </c>
      <c r="G3227" s="196" t="s">
        <v>12378</v>
      </c>
      <c r="H3227" s="196" t="s">
        <v>11235</v>
      </c>
    </row>
    <row r="3228" spans="1:8" x14ac:dyDescent="0.15">
      <c r="A3228" s="196" t="s">
        <v>11229</v>
      </c>
      <c r="B3228" s="196" t="s">
        <v>11230</v>
      </c>
      <c r="C3228" s="196" t="s">
        <v>18920</v>
      </c>
      <c r="D3228" s="196" t="s">
        <v>18921</v>
      </c>
      <c r="E3228" s="196" t="s">
        <v>18921</v>
      </c>
      <c r="F3228" s="196" t="s">
        <v>11233</v>
      </c>
      <c r="G3228" s="196" t="s">
        <v>12378</v>
      </c>
      <c r="H3228" s="196" t="s">
        <v>11235</v>
      </c>
    </row>
    <row r="3229" spans="1:8" x14ac:dyDescent="0.15">
      <c r="A3229" s="196" t="s">
        <v>11229</v>
      </c>
      <c r="B3229" s="196" t="s">
        <v>11230</v>
      </c>
      <c r="C3229" s="196" t="s">
        <v>18922</v>
      </c>
      <c r="D3229" s="196" t="s">
        <v>18923</v>
      </c>
      <c r="E3229" s="196" t="s">
        <v>18924</v>
      </c>
      <c r="F3229" s="196" t="s">
        <v>11268</v>
      </c>
      <c r="G3229" s="196" t="s">
        <v>12378</v>
      </c>
      <c r="H3229" s="196" t="s">
        <v>11235</v>
      </c>
    </row>
    <row r="3230" spans="1:8" x14ac:dyDescent="0.15">
      <c r="A3230" s="196" t="s">
        <v>11229</v>
      </c>
      <c r="B3230" s="196" t="s">
        <v>11230</v>
      </c>
      <c r="C3230" s="196" t="s">
        <v>18925</v>
      </c>
      <c r="D3230" s="196" t="s">
        <v>18926</v>
      </c>
      <c r="E3230" s="196" t="s">
        <v>18926</v>
      </c>
      <c r="F3230" s="196" t="s">
        <v>11233</v>
      </c>
      <c r="G3230" s="196" t="s">
        <v>12378</v>
      </c>
      <c r="H3230" s="196" t="s">
        <v>11235</v>
      </c>
    </row>
    <row r="3231" spans="1:8" x14ac:dyDescent="0.15">
      <c r="A3231" s="196" t="s">
        <v>11229</v>
      </c>
      <c r="B3231" s="196" t="s">
        <v>11230</v>
      </c>
      <c r="C3231" s="196" t="s">
        <v>18927</v>
      </c>
      <c r="D3231" s="196" t="s">
        <v>18928</v>
      </c>
      <c r="E3231" s="196" t="s">
        <v>18929</v>
      </c>
      <c r="F3231" s="196" t="s">
        <v>13758</v>
      </c>
      <c r="G3231" s="196" t="s">
        <v>12378</v>
      </c>
      <c r="H3231" s="196" t="s">
        <v>11235</v>
      </c>
    </row>
    <row r="3232" spans="1:8" x14ac:dyDescent="0.15">
      <c r="A3232" s="196" t="s">
        <v>11229</v>
      </c>
      <c r="B3232" s="196" t="s">
        <v>11230</v>
      </c>
      <c r="C3232" s="196" t="s">
        <v>18930</v>
      </c>
      <c r="D3232" s="196" t="s">
        <v>18929</v>
      </c>
      <c r="E3232" s="196" t="s">
        <v>18931</v>
      </c>
      <c r="F3232" s="196" t="s">
        <v>11268</v>
      </c>
      <c r="G3232" s="196" t="s">
        <v>12378</v>
      </c>
      <c r="H3232" s="196" t="s">
        <v>11235</v>
      </c>
    </row>
    <row r="3233" spans="1:8" x14ac:dyDescent="0.15">
      <c r="A3233" s="196" t="s">
        <v>11229</v>
      </c>
      <c r="B3233" s="196" t="s">
        <v>11230</v>
      </c>
      <c r="C3233" s="196" t="s">
        <v>18932</v>
      </c>
      <c r="D3233" s="196" t="s">
        <v>18931</v>
      </c>
      <c r="E3233" s="196" t="s">
        <v>18933</v>
      </c>
      <c r="F3233" s="196" t="s">
        <v>11241</v>
      </c>
      <c r="G3233" s="196" t="s">
        <v>12378</v>
      </c>
      <c r="H3233" s="196" t="s">
        <v>11235</v>
      </c>
    </row>
    <row r="3234" spans="1:8" x14ac:dyDescent="0.15">
      <c r="A3234" s="196" t="s">
        <v>11229</v>
      </c>
      <c r="B3234" s="196" t="s">
        <v>11230</v>
      </c>
      <c r="C3234" s="196" t="s">
        <v>18934</v>
      </c>
      <c r="D3234" s="196" t="s">
        <v>18935</v>
      </c>
      <c r="E3234" s="196" t="s">
        <v>18935</v>
      </c>
      <c r="F3234" s="196" t="s">
        <v>11233</v>
      </c>
      <c r="G3234" s="196" t="s">
        <v>12378</v>
      </c>
      <c r="H3234" s="196" t="s">
        <v>11235</v>
      </c>
    </row>
    <row r="3235" spans="1:8" x14ac:dyDescent="0.15">
      <c r="A3235" s="196" t="s">
        <v>11229</v>
      </c>
      <c r="B3235" s="196" t="s">
        <v>11230</v>
      </c>
      <c r="C3235" s="196" t="s">
        <v>18936</v>
      </c>
      <c r="D3235" s="196" t="s">
        <v>18937</v>
      </c>
      <c r="E3235" s="196" t="s">
        <v>18937</v>
      </c>
      <c r="F3235" s="196" t="s">
        <v>11233</v>
      </c>
      <c r="G3235" s="196" t="s">
        <v>12378</v>
      </c>
      <c r="H3235" s="196" t="s">
        <v>11235</v>
      </c>
    </row>
    <row r="3236" spans="1:8" x14ac:dyDescent="0.15">
      <c r="A3236" s="196" t="s">
        <v>11229</v>
      </c>
      <c r="B3236" s="196" t="s">
        <v>11230</v>
      </c>
      <c r="C3236" s="196" t="s">
        <v>18938</v>
      </c>
      <c r="D3236" s="196" t="s">
        <v>18939</v>
      </c>
      <c r="E3236" s="196" t="s">
        <v>18940</v>
      </c>
      <c r="F3236" s="196" t="s">
        <v>11268</v>
      </c>
      <c r="G3236" s="196" t="s">
        <v>12378</v>
      </c>
      <c r="H3236" s="196" t="s">
        <v>11235</v>
      </c>
    </row>
    <row r="3237" spans="1:8" x14ac:dyDescent="0.15">
      <c r="A3237" s="196" t="s">
        <v>11229</v>
      </c>
      <c r="B3237" s="196" t="s">
        <v>11230</v>
      </c>
      <c r="C3237" s="196" t="s">
        <v>18941</v>
      </c>
      <c r="D3237" s="196" t="s">
        <v>18940</v>
      </c>
      <c r="E3237" s="196" t="s">
        <v>18942</v>
      </c>
      <c r="F3237" s="196" t="s">
        <v>11241</v>
      </c>
      <c r="G3237" s="196" t="s">
        <v>12378</v>
      </c>
      <c r="H3237" s="196" t="s">
        <v>11235</v>
      </c>
    </row>
    <row r="3238" spans="1:8" x14ac:dyDescent="0.15">
      <c r="A3238" s="196" t="s">
        <v>11229</v>
      </c>
      <c r="B3238" s="196" t="s">
        <v>11230</v>
      </c>
      <c r="C3238" s="196" t="s">
        <v>18943</v>
      </c>
      <c r="D3238" s="196" t="s">
        <v>18942</v>
      </c>
      <c r="E3238" s="196" t="s">
        <v>18944</v>
      </c>
      <c r="F3238" s="196" t="s">
        <v>13023</v>
      </c>
      <c r="G3238" s="196" t="s">
        <v>12378</v>
      </c>
      <c r="H3238" s="196" t="s">
        <v>11235</v>
      </c>
    </row>
    <row r="3239" spans="1:8" x14ac:dyDescent="0.15">
      <c r="A3239" s="196" t="s">
        <v>11229</v>
      </c>
      <c r="B3239" s="196" t="s">
        <v>11230</v>
      </c>
      <c r="C3239" s="196" t="s">
        <v>18945</v>
      </c>
      <c r="D3239" s="196" t="s">
        <v>18944</v>
      </c>
      <c r="E3239" s="196" t="s">
        <v>18946</v>
      </c>
      <c r="F3239" s="196" t="s">
        <v>11241</v>
      </c>
      <c r="G3239" s="196" t="s">
        <v>12378</v>
      </c>
      <c r="H3239" s="196" t="s">
        <v>11235</v>
      </c>
    </row>
    <row r="3240" spans="1:8" x14ac:dyDescent="0.15">
      <c r="A3240" s="196" t="s">
        <v>11229</v>
      </c>
      <c r="B3240" s="196" t="s">
        <v>11230</v>
      </c>
      <c r="C3240" s="196" t="s">
        <v>18947</v>
      </c>
      <c r="D3240" s="196" t="s">
        <v>18946</v>
      </c>
      <c r="E3240" s="196" t="s">
        <v>18948</v>
      </c>
      <c r="F3240" s="196" t="s">
        <v>13023</v>
      </c>
      <c r="G3240" s="196" t="s">
        <v>12378</v>
      </c>
      <c r="H3240" s="196" t="s">
        <v>11235</v>
      </c>
    </row>
    <row r="3241" spans="1:8" x14ac:dyDescent="0.15">
      <c r="A3241" s="196" t="s">
        <v>11229</v>
      </c>
      <c r="B3241" s="196" t="s">
        <v>11230</v>
      </c>
      <c r="C3241" s="196" t="s">
        <v>18949</v>
      </c>
      <c r="D3241" s="196" t="s">
        <v>18948</v>
      </c>
      <c r="E3241" s="196" t="s">
        <v>18950</v>
      </c>
      <c r="F3241" s="196" t="s">
        <v>11241</v>
      </c>
      <c r="G3241" s="196" t="s">
        <v>12378</v>
      </c>
      <c r="H3241" s="196" t="s">
        <v>11235</v>
      </c>
    </row>
    <row r="3242" spans="1:8" x14ac:dyDescent="0.15">
      <c r="A3242" s="196" t="s">
        <v>11229</v>
      </c>
      <c r="B3242" s="196" t="s">
        <v>11230</v>
      </c>
      <c r="C3242" s="196" t="s">
        <v>18951</v>
      </c>
      <c r="D3242" s="196" t="s">
        <v>18952</v>
      </c>
      <c r="E3242" s="196" t="s">
        <v>18953</v>
      </c>
      <c r="F3242" s="196" t="s">
        <v>11241</v>
      </c>
      <c r="G3242" s="196" t="s">
        <v>12378</v>
      </c>
      <c r="H3242" s="196" t="s">
        <v>11235</v>
      </c>
    </row>
    <row r="3243" spans="1:8" x14ac:dyDescent="0.15">
      <c r="A3243" s="196" t="s">
        <v>11229</v>
      </c>
      <c r="B3243" s="196" t="s">
        <v>11230</v>
      </c>
      <c r="C3243" s="196" t="s">
        <v>18954</v>
      </c>
      <c r="D3243" s="196" t="s">
        <v>18953</v>
      </c>
      <c r="E3243" s="196" t="s">
        <v>18955</v>
      </c>
      <c r="F3243" s="196" t="s">
        <v>11268</v>
      </c>
      <c r="G3243" s="196" t="s">
        <v>12378</v>
      </c>
      <c r="H3243" s="196" t="s">
        <v>11235</v>
      </c>
    </row>
    <row r="3244" spans="1:8" x14ac:dyDescent="0.15">
      <c r="A3244" s="196" t="s">
        <v>11229</v>
      </c>
      <c r="B3244" s="196" t="s">
        <v>11230</v>
      </c>
      <c r="C3244" s="196" t="s">
        <v>18956</v>
      </c>
      <c r="D3244" s="196" t="s">
        <v>18957</v>
      </c>
      <c r="E3244" s="196" t="s">
        <v>18958</v>
      </c>
      <c r="F3244" s="196" t="s">
        <v>11241</v>
      </c>
      <c r="G3244" s="196" t="s">
        <v>12378</v>
      </c>
      <c r="H3244" s="196" t="s">
        <v>11235</v>
      </c>
    </row>
    <row r="3245" spans="1:8" x14ac:dyDescent="0.15">
      <c r="A3245" s="196" t="s">
        <v>11229</v>
      </c>
      <c r="B3245" s="196" t="s">
        <v>11230</v>
      </c>
      <c r="C3245" s="196" t="s">
        <v>18959</v>
      </c>
      <c r="D3245" s="196" t="s">
        <v>18960</v>
      </c>
      <c r="E3245" s="196" t="s">
        <v>18960</v>
      </c>
      <c r="F3245" s="196" t="s">
        <v>11233</v>
      </c>
      <c r="G3245" s="196" t="s">
        <v>12378</v>
      </c>
      <c r="H3245" s="196" t="s">
        <v>11235</v>
      </c>
    </row>
    <row r="3246" spans="1:8" x14ac:dyDescent="0.15">
      <c r="A3246" s="196" t="s">
        <v>11229</v>
      </c>
      <c r="B3246" s="196" t="s">
        <v>11230</v>
      </c>
      <c r="C3246" s="196" t="s">
        <v>18961</v>
      </c>
      <c r="D3246" s="196" t="s">
        <v>18962</v>
      </c>
      <c r="E3246" s="196" t="s">
        <v>18962</v>
      </c>
      <c r="F3246" s="196" t="s">
        <v>11233</v>
      </c>
      <c r="G3246" s="196" t="s">
        <v>12378</v>
      </c>
      <c r="H3246" s="196" t="s">
        <v>11235</v>
      </c>
    </row>
    <row r="3247" spans="1:8" x14ac:dyDescent="0.15">
      <c r="A3247" s="196" t="s">
        <v>11229</v>
      </c>
      <c r="B3247" s="196" t="s">
        <v>11230</v>
      </c>
      <c r="C3247" s="196" t="s">
        <v>18963</v>
      </c>
      <c r="D3247" s="196" t="s">
        <v>18964</v>
      </c>
      <c r="E3247" s="196" t="s">
        <v>18964</v>
      </c>
      <c r="F3247" s="196" t="s">
        <v>11233</v>
      </c>
      <c r="G3247" s="196" t="s">
        <v>12378</v>
      </c>
      <c r="H3247" s="196" t="s">
        <v>11235</v>
      </c>
    </row>
    <row r="3248" spans="1:8" x14ac:dyDescent="0.15">
      <c r="A3248" s="196" t="s">
        <v>11229</v>
      </c>
      <c r="B3248" s="196" t="s">
        <v>11230</v>
      </c>
      <c r="C3248" s="196" t="s">
        <v>18965</v>
      </c>
      <c r="D3248" s="196" t="s">
        <v>18966</v>
      </c>
      <c r="E3248" s="196" t="s">
        <v>18966</v>
      </c>
      <c r="F3248" s="196" t="s">
        <v>11233</v>
      </c>
      <c r="G3248" s="196" t="s">
        <v>12378</v>
      </c>
      <c r="H3248" s="196" t="s">
        <v>11235</v>
      </c>
    </row>
    <row r="3249" spans="1:8" x14ac:dyDescent="0.15">
      <c r="A3249" s="196" t="s">
        <v>11229</v>
      </c>
      <c r="B3249" s="196" t="s">
        <v>11230</v>
      </c>
      <c r="C3249" s="196" t="s">
        <v>18967</v>
      </c>
      <c r="D3249" s="196" t="s">
        <v>18968</v>
      </c>
      <c r="E3249" s="196" t="s">
        <v>18968</v>
      </c>
      <c r="F3249" s="196" t="s">
        <v>11233</v>
      </c>
      <c r="G3249" s="196" t="s">
        <v>12378</v>
      </c>
      <c r="H3249" s="196" t="s">
        <v>11235</v>
      </c>
    </row>
    <row r="3250" spans="1:8" x14ac:dyDescent="0.15">
      <c r="A3250" s="196" t="s">
        <v>11229</v>
      </c>
      <c r="B3250" s="196" t="s">
        <v>11230</v>
      </c>
      <c r="C3250" s="196" t="s">
        <v>18969</v>
      </c>
      <c r="D3250" s="196" t="s">
        <v>18970</v>
      </c>
      <c r="E3250" s="196" t="s">
        <v>18971</v>
      </c>
      <c r="F3250" s="196" t="s">
        <v>13023</v>
      </c>
      <c r="G3250" s="196" t="s">
        <v>12378</v>
      </c>
      <c r="H3250" s="196" t="s">
        <v>11235</v>
      </c>
    </row>
    <row r="3251" spans="1:8" x14ac:dyDescent="0.15">
      <c r="A3251" s="196" t="s">
        <v>11229</v>
      </c>
      <c r="B3251" s="196" t="s">
        <v>11230</v>
      </c>
      <c r="C3251" s="196" t="s">
        <v>18972</v>
      </c>
      <c r="D3251" s="196" t="s">
        <v>18971</v>
      </c>
      <c r="E3251" s="196" t="s">
        <v>18973</v>
      </c>
      <c r="F3251" s="196" t="s">
        <v>13758</v>
      </c>
      <c r="G3251" s="196" t="s">
        <v>12378</v>
      </c>
      <c r="H3251" s="196" t="s">
        <v>11235</v>
      </c>
    </row>
    <row r="3252" spans="1:8" x14ac:dyDescent="0.15">
      <c r="A3252" s="196" t="s">
        <v>11229</v>
      </c>
      <c r="B3252" s="196" t="s">
        <v>11230</v>
      </c>
      <c r="C3252" s="196" t="s">
        <v>18974</v>
      </c>
      <c r="D3252" s="196" t="s">
        <v>18973</v>
      </c>
      <c r="E3252" s="196" t="s">
        <v>18975</v>
      </c>
      <c r="F3252" s="196" t="s">
        <v>11268</v>
      </c>
      <c r="G3252" s="196" t="s">
        <v>12378</v>
      </c>
      <c r="H3252" s="196" t="s">
        <v>11235</v>
      </c>
    </row>
    <row r="3253" spans="1:8" x14ac:dyDescent="0.15">
      <c r="A3253" s="196" t="s">
        <v>11229</v>
      </c>
      <c r="B3253" s="196" t="s">
        <v>11230</v>
      </c>
      <c r="C3253" s="196" t="s">
        <v>18976</v>
      </c>
      <c r="D3253" s="196" t="s">
        <v>18977</v>
      </c>
      <c r="E3253" s="196" t="s">
        <v>18978</v>
      </c>
      <c r="F3253" s="196" t="s">
        <v>11268</v>
      </c>
      <c r="G3253" s="196" t="s">
        <v>12378</v>
      </c>
      <c r="H3253" s="196" t="s">
        <v>11235</v>
      </c>
    </row>
    <row r="3254" spans="1:8" x14ac:dyDescent="0.15">
      <c r="A3254" s="196" t="s">
        <v>11229</v>
      </c>
      <c r="B3254" s="196" t="s">
        <v>11230</v>
      </c>
      <c r="C3254" s="196" t="s">
        <v>18979</v>
      </c>
      <c r="D3254" s="196" t="s">
        <v>18978</v>
      </c>
      <c r="E3254" s="196" t="s">
        <v>18980</v>
      </c>
      <c r="F3254" s="196" t="s">
        <v>11241</v>
      </c>
      <c r="G3254" s="196" t="s">
        <v>12378</v>
      </c>
      <c r="H3254" s="196" t="s">
        <v>11235</v>
      </c>
    </row>
    <row r="3255" spans="1:8" x14ac:dyDescent="0.15">
      <c r="A3255" s="196" t="s">
        <v>11229</v>
      </c>
      <c r="B3255" s="196" t="s">
        <v>11230</v>
      </c>
      <c r="C3255" s="196" t="s">
        <v>18981</v>
      </c>
      <c r="D3255" s="196" t="s">
        <v>18982</v>
      </c>
      <c r="E3255" s="196" t="s">
        <v>18983</v>
      </c>
      <c r="F3255" s="196" t="s">
        <v>11241</v>
      </c>
      <c r="G3255" s="196" t="s">
        <v>12378</v>
      </c>
      <c r="H3255" s="196" t="s">
        <v>11235</v>
      </c>
    </row>
    <row r="3256" spans="1:8" x14ac:dyDescent="0.15">
      <c r="A3256" s="196" t="s">
        <v>11229</v>
      </c>
      <c r="B3256" s="196" t="s">
        <v>11230</v>
      </c>
      <c r="C3256" s="196" t="s">
        <v>18984</v>
      </c>
      <c r="D3256" s="196" t="s">
        <v>18983</v>
      </c>
      <c r="E3256" s="196" t="s">
        <v>18985</v>
      </c>
      <c r="F3256" s="196" t="s">
        <v>11241</v>
      </c>
      <c r="G3256" s="196" t="s">
        <v>12378</v>
      </c>
      <c r="H3256" s="196" t="s">
        <v>11235</v>
      </c>
    </row>
    <row r="3257" spans="1:8" x14ac:dyDescent="0.15">
      <c r="A3257" s="196" t="s">
        <v>11229</v>
      </c>
      <c r="B3257" s="196" t="s">
        <v>11230</v>
      </c>
      <c r="C3257" s="196" t="s">
        <v>18986</v>
      </c>
      <c r="D3257" s="196" t="s">
        <v>18985</v>
      </c>
      <c r="E3257" s="196" t="s">
        <v>18987</v>
      </c>
      <c r="F3257" s="196" t="s">
        <v>11268</v>
      </c>
      <c r="G3257" s="196" t="s">
        <v>12378</v>
      </c>
      <c r="H3257" s="196" t="s">
        <v>11235</v>
      </c>
    </row>
    <row r="3258" spans="1:8" x14ac:dyDescent="0.15">
      <c r="A3258" s="196" t="s">
        <v>11229</v>
      </c>
      <c r="B3258" s="196" t="s">
        <v>11230</v>
      </c>
      <c r="C3258" s="196" t="s">
        <v>18988</v>
      </c>
      <c r="D3258" s="196" t="s">
        <v>18987</v>
      </c>
      <c r="E3258" s="196" t="s">
        <v>18989</v>
      </c>
      <c r="F3258" s="196" t="s">
        <v>11241</v>
      </c>
      <c r="G3258" s="196" t="s">
        <v>12378</v>
      </c>
      <c r="H3258" s="196" t="s">
        <v>11235</v>
      </c>
    </row>
    <row r="3259" spans="1:8" x14ac:dyDescent="0.15">
      <c r="A3259" s="196" t="s">
        <v>11229</v>
      </c>
      <c r="B3259" s="196" t="s">
        <v>11230</v>
      </c>
      <c r="C3259" s="196" t="s">
        <v>18990</v>
      </c>
      <c r="D3259" s="196" t="s">
        <v>18991</v>
      </c>
      <c r="E3259" s="196" t="s">
        <v>18992</v>
      </c>
      <c r="F3259" s="196" t="s">
        <v>11268</v>
      </c>
      <c r="G3259" s="196" t="s">
        <v>12378</v>
      </c>
      <c r="H3259" s="196" t="s">
        <v>11235</v>
      </c>
    </row>
    <row r="3260" spans="1:8" x14ac:dyDescent="0.15">
      <c r="A3260" s="196" t="s">
        <v>11229</v>
      </c>
      <c r="B3260" s="196" t="s">
        <v>11230</v>
      </c>
      <c r="C3260" s="196" t="s">
        <v>18993</v>
      </c>
      <c r="D3260" s="196" t="s">
        <v>18992</v>
      </c>
      <c r="E3260" s="196" t="s">
        <v>18994</v>
      </c>
      <c r="F3260" s="196" t="s">
        <v>11241</v>
      </c>
      <c r="G3260" s="196" t="s">
        <v>12378</v>
      </c>
      <c r="H3260" s="196" t="s">
        <v>11235</v>
      </c>
    </row>
    <row r="3261" spans="1:8" x14ac:dyDescent="0.15">
      <c r="A3261" s="196" t="s">
        <v>11229</v>
      </c>
      <c r="B3261" s="196" t="s">
        <v>11230</v>
      </c>
      <c r="C3261" s="196" t="s">
        <v>18995</v>
      </c>
      <c r="D3261" s="196" t="s">
        <v>18996</v>
      </c>
      <c r="E3261" s="196" t="s">
        <v>18996</v>
      </c>
      <c r="F3261" s="196" t="s">
        <v>11233</v>
      </c>
      <c r="G3261" s="196" t="s">
        <v>12378</v>
      </c>
      <c r="H3261" s="196" t="s">
        <v>11235</v>
      </c>
    </row>
    <row r="3262" spans="1:8" x14ac:dyDescent="0.15">
      <c r="A3262" s="196" t="s">
        <v>11229</v>
      </c>
      <c r="B3262" s="196" t="s">
        <v>11230</v>
      </c>
      <c r="C3262" s="196" t="s">
        <v>18997</v>
      </c>
      <c r="D3262" s="196" t="s">
        <v>18998</v>
      </c>
      <c r="E3262" s="196" t="s">
        <v>18998</v>
      </c>
      <c r="F3262" s="196" t="s">
        <v>11233</v>
      </c>
      <c r="G3262" s="196" t="s">
        <v>12378</v>
      </c>
      <c r="H3262" s="196" t="s">
        <v>11235</v>
      </c>
    </row>
    <row r="3263" spans="1:8" x14ac:dyDescent="0.15">
      <c r="A3263" s="196" t="s">
        <v>11229</v>
      </c>
      <c r="B3263" s="196" t="s">
        <v>11230</v>
      </c>
      <c r="C3263" s="196" t="s">
        <v>18999</v>
      </c>
      <c r="D3263" s="196" t="s">
        <v>19000</v>
      </c>
      <c r="E3263" s="196" t="s">
        <v>19001</v>
      </c>
      <c r="F3263" s="196" t="s">
        <v>11268</v>
      </c>
      <c r="G3263" s="196" t="s">
        <v>12378</v>
      </c>
      <c r="H3263" s="196" t="s">
        <v>11235</v>
      </c>
    </row>
    <row r="3264" spans="1:8" x14ac:dyDescent="0.15">
      <c r="A3264" s="196" t="s">
        <v>11229</v>
      </c>
      <c r="B3264" s="196" t="s">
        <v>11230</v>
      </c>
      <c r="C3264" s="196" t="s">
        <v>19002</v>
      </c>
      <c r="D3264" s="196" t="s">
        <v>19003</v>
      </c>
      <c r="E3264" s="196" t="s">
        <v>19004</v>
      </c>
      <c r="F3264" s="196" t="s">
        <v>11268</v>
      </c>
      <c r="G3264" s="196" t="s">
        <v>12378</v>
      </c>
      <c r="H3264" s="196" t="s">
        <v>11235</v>
      </c>
    </row>
    <row r="3265" spans="1:8" x14ac:dyDescent="0.15">
      <c r="A3265" s="196" t="s">
        <v>11229</v>
      </c>
      <c r="B3265" s="196" t="s">
        <v>11230</v>
      </c>
      <c r="C3265" s="196" t="s">
        <v>19005</v>
      </c>
      <c r="D3265" s="196" t="s">
        <v>19006</v>
      </c>
      <c r="E3265" s="196" t="s">
        <v>19007</v>
      </c>
      <c r="F3265" s="196" t="s">
        <v>11241</v>
      </c>
      <c r="G3265" s="196" t="s">
        <v>12378</v>
      </c>
      <c r="H3265" s="196" t="s">
        <v>11235</v>
      </c>
    </row>
    <row r="3266" spans="1:8" x14ac:dyDescent="0.15">
      <c r="A3266" s="196" t="s">
        <v>11229</v>
      </c>
      <c r="B3266" s="196" t="s">
        <v>11230</v>
      </c>
      <c r="C3266" s="196" t="s">
        <v>19008</v>
      </c>
      <c r="D3266" s="196" t="s">
        <v>19009</v>
      </c>
      <c r="E3266" s="196" t="s">
        <v>19009</v>
      </c>
      <c r="F3266" s="196" t="s">
        <v>11233</v>
      </c>
      <c r="G3266" s="196" t="s">
        <v>12378</v>
      </c>
      <c r="H3266" s="196" t="s">
        <v>11235</v>
      </c>
    </row>
    <row r="3267" spans="1:8" x14ac:dyDescent="0.15">
      <c r="A3267" s="196" t="s">
        <v>11229</v>
      </c>
      <c r="B3267" s="196" t="s">
        <v>11230</v>
      </c>
      <c r="C3267" s="196" t="s">
        <v>19010</v>
      </c>
      <c r="D3267" s="196" t="s">
        <v>19011</v>
      </c>
      <c r="E3267" s="196" t="s">
        <v>19011</v>
      </c>
      <c r="F3267" s="196" t="s">
        <v>11233</v>
      </c>
      <c r="G3267" s="196" t="s">
        <v>12378</v>
      </c>
      <c r="H3267" s="196" t="s">
        <v>11235</v>
      </c>
    </row>
    <row r="3268" spans="1:8" x14ac:dyDescent="0.15">
      <c r="A3268" s="196" t="s">
        <v>11229</v>
      </c>
      <c r="B3268" s="196" t="s">
        <v>11230</v>
      </c>
      <c r="C3268" s="196" t="s">
        <v>19012</v>
      </c>
      <c r="D3268" s="196" t="s">
        <v>19013</v>
      </c>
      <c r="E3268" s="196" t="s">
        <v>19014</v>
      </c>
      <c r="F3268" s="196" t="s">
        <v>11241</v>
      </c>
      <c r="G3268" s="196" t="s">
        <v>12378</v>
      </c>
      <c r="H3268" s="196" t="s">
        <v>11235</v>
      </c>
    </row>
    <row r="3269" spans="1:8" x14ac:dyDescent="0.15">
      <c r="A3269" s="196" t="s">
        <v>11229</v>
      </c>
      <c r="B3269" s="196" t="s">
        <v>11230</v>
      </c>
      <c r="C3269" s="196" t="s">
        <v>19015</v>
      </c>
      <c r="D3269" s="196" t="s">
        <v>19016</v>
      </c>
      <c r="E3269" s="196" t="s">
        <v>19016</v>
      </c>
      <c r="F3269" s="196" t="s">
        <v>11233</v>
      </c>
      <c r="G3269" s="196" t="s">
        <v>12378</v>
      </c>
      <c r="H3269" s="196" t="s">
        <v>11235</v>
      </c>
    </row>
    <row r="3270" spans="1:8" x14ac:dyDescent="0.15">
      <c r="A3270" s="196" t="s">
        <v>11229</v>
      </c>
      <c r="B3270" s="196" t="s">
        <v>11230</v>
      </c>
      <c r="C3270" s="196" t="s">
        <v>19017</v>
      </c>
      <c r="D3270" s="196" t="s">
        <v>19018</v>
      </c>
      <c r="E3270" s="196" t="s">
        <v>19018</v>
      </c>
      <c r="F3270" s="196" t="s">
        <v>11233</v>
      </c>
      <c r="G3270" s="196" t="s">
        <v>12378</v>
      </c>
      <c r="H3270" s="196" t="s">
        <v>11235</v>
      </c>
    </row>
    <row r="3271" spans="1:8" x14ac:dyDescent="0.15">
      <c r="A3271" s="196" t="s">
        <v>11229</v>
      </c>
      <c r="B3271" s="196" t="s">
        <v>11230</v>
      </c>
      <c r="C3271" s="196" t="s">
        <v>19019</v>
      </c>
      <c r="D3271" s="196" t="s">
        <v>19020</v>
      </c>
      <c r="E3271" s="196" t="s">
        <v>19021</v>
      </c>
      <c r="F3271" s="196" t="s">
        <v>11241</v>
      </c>
      <c r="G3271" s="196" t="s">
        <v>12378</v>
      </c>
      <c r="H3271" s="196" t="s">
        <v>11235</v>
      </c>
    </row>
    <row r="3272" spans="1:8" x14ac:dyDescent="0.15">
      <c r="A3272" s="196" t="s">
        <v>11229</v>
      </c>
      <c r="B3272" s="196" t="s">
        <v>11230</v>
      </c>
      <c r="C3272" s="196" t="s">
        <v>19022</v>
      </c>
      <c r="D3272" s="196" t="s">
        <v>19023</v>
      </c>
      <c r="E3272" s="196" t="s">
        <v>19023</v>
      </c>
      <c r="F3272" s="196" t="s">
        <v>11233</v>
      </c>
      <c r="G3272" s="196" t="s">
        <v>12378</v>
      </c>
      <c r="H3272" s="196" t="s">
        <v>11235</v>
      </c>
    </row>
    <row r="3273" spans="1:8" x14ac:dyDescent="0.15">
      <c r="A3273" s="196" t="s">
        <v>11229</v>
      </c>
      <c r="B3273" s="196" t="s">
        <v>11230</v>
      </c>
      <c r="C3273" s="196" t="s">
        <v>19024</v>
      </c>
      <c r="D3273" s="196" t="s">
        <v>19025</v>
      </c>
      <c r="E3273" s="196" t="s">
        <v>19025</v>
      </c>
      <c r="F3273" s="196" t="s">
        <v>11233</v>
      </c>
      <c r="G3273" s="196" t="s">
        <v>12378</v>
      </c>
      <c r="H3273" s="196" t="s">
        <v>11235</v>
      </c>
    </row>
    <row r="3274" spans="1:8" x14ac:dyDescent="0.15">
      <c r="A3274" s="196" t="s">
        <v>11229</v>
      </c>
      <c r="B3274" s="196" t="s">
        <v>11230</v>
      </c>
      <c r="C3274" s="196" t="s">
        <v>19026</v>
      </c>
      <c r="D3274" s="196" t="s">
        <v>19027</v>
      </c>
      <c r="E3274" s="196" t="s">
        <v>19027</v>
      </c>
      <c r="F3274" s="196" t="s">
        <v>11233</v>
      </c>
      <c r="G3274" s="196" t="s">
        <v>12378</v>
      </c>
      <c r="H3274" s="196" t="s">
        <v>11235</v>
      </c>
    </row>
    <row r="3275" spans="1:8" x14ac:dyDescent="0.15">
      <c r="A3275" s="196" t="s">
        <v>11229</v>
      </c>
      <c r="B3275" s="196" t="s">
        <v>11230</v>
      </c>
      <c r="C3275" s="196" t="s">
        <v>19028</v>
      </c>
      <c r="D3275" s="196" t="s">
        <v>19029</v>
      </c>
      <c r="E3275" s="196" t="s">
        <v>19029</v>
      </c>
      <c r="F3275" s="196" t="s">
        <v>11233</v>
      </c>
      <c r="G3275" s="196" t="s">
        <v>12378</v>
      </c>
      <c r="H3275" s="196" t="s">
        <v>11235</v>
      </c>
    </row>
    <row r="3276" spans="1:8" x14ac:dyDescent="0.15">
      <c r="A3276" s="196" t="s">
        <v>11229</v>
      </c>
      <c r="B3276" s="196" t="s">
        <v>11230</v>
      </c>
      <c r="C3276" s="196" t="s">
        <v>19030</v>
      </c>
      <c r="D3276" s="196" t="s">
        <v>19031</v>
      </c>
      <c r="E3276" s="196" t="s">
        <v>19031</v>
      </c>
      <c r="F3276" s="196" t="s">
        <v>11233</v>
      </c>
      <c r="G3276" s="196" t="s">
        <v>12378</v>
      </c>
      <c r="H3276" s="196" t="s">
        <v>11235</v>
      </c>
    </row>
    <row r="3277" spans="1:8" x14ac:dyDescent="0.15">
      <c r="A3277" s="196" t="s">
        <v>11229</v>
      </c>
      <c r="B3277" s="196" t="s">
        <v>11230</v>
      </c>
      <c r="C3277" s="196" t="s">
        <v>19032</v>
      </c>
      <c r="D3277" s="196" t="s">
        <v>19033</v>
      </c>
      <c r="E3277" s="196" t="s">
        <v>19033</v>
      </c>
      <c r="F3277" s="196" t="s">
        <v>11233</v>
      </c>
      <c r="G3277" s="196" t="s">
        <v>12378</v>
      </c>
      <c r="H3277" s="196" t="s">
        <v>11235</v>
      </c>
    </row>
    <row r="3278" spans="1:8" x14ac:dyDescent="0.15">
      <c r="A3278" s="196" t="s">
        <v>11229</v>
      </c>
      <c r="B3278" s="196" t="s">
        <v>11230</v>
      </c>
      <c r="C3278" s="196" t="s">
        <v>19034</v>
      </c>
      <c r="D3278" s="196" t="s">
        <v>19035</v>
      </c>
      <c r="E3278" s="196" t="s">
        <v>19035</v>
      </c>
      <c r="F3278" s="196" t="s">
        <v>11233</v>
      </c>
      <c r="G3278" s="196" t="s">
        <v>12378</v>
      </c>
      <c r="H3278" s="196" t="s">
        <v>11235</v>
      </c>
    </row>
    <row r="3279" spans="1:8" x14ac:dyDescent="0.15">
      <c r="A3279" s="196" t="s">
        <v>11229</v>
      </c>
      <c r="B3279" s="196" t="s">
        <v>11230</v>
      </c>
      <c r="C3279" s="196" t="s">
        <v>19036</v>
      </c>
      <c r="D3279" s="196" t="s">
        <v>19037</v>
      </c>
      <c r="E3279" s="196" t="s">
        <v>19037</v>
      </c>
      <c r="F3279" s="196" t="s">
        <v>11233</v>
      </c>
      <c r="G3279" s="196" t="s">
        <v>12378</v>
      </c>
      <c r="H3279" s="196" t="s">
        <v>11235</v>
      </c>
    </row>
    <row r="3280" spans="1:8" x14ac:dyDescent="0.15">
      <c r="A3280" s="196" t="s">
        <v>11229</v>
      </c>
      <c r="B3280" s="196" t="s">
        <v>11230</v>
      </c>
      <c r="C3280" s="196" t="s">
        <v>19038</v>
      </c>
      <c r="D3280" s="196" t="s">
        <v>19039</v>
      </c>
      <c r="E3280" s="196" t="s">
        <v>19039</v>
      </c>
      <c r="F3280" s="196" t="s">
        <v>11233</v>
      </c>
      <c r="G3280" s="196" t="s">
        <v>12378</v>
      </c>
      <c r="H3280" s="196" t="s">
        <v>11235</v>
      </c>
    </row>
    <row r="3281" spans="1:8" x14ac:dyDescent="0.15">
      <c r="A3281" s="196" t="s">
        <v>11229</v>
      </c>
      <c r="B3281" s="196" t="s">
        <v>11230</v>
      </c>
      <c r="C3281" s="196" t="s">
        <v>19040</v>
      </c>
      <c r="D3281" s="196" t="s">
        <v>19041</v>
      </c>
      <c r="E3281" s="196" t="s">
        <v>19041</v>
      </c>
      <c r="F3281" s="196" t="s">
        <v>11233</v>
      </c>
      <c r="G3281" s="196" t="s">
        <v>12378</v>
      </c>
      <c r="H3281" s="196" t="s">
        <v>11235</v>
      </c>
    </row>
    <row r="3282" spans="1:8" x14ac:dyDescent="0.15">
      <c r="A3282" s="196" t="s">
        <v>11229</v>
      </c>
      <c r="B3282" s="196" t="s">
        <v>11230</v>
      </c>
      <c r="C3282" s="196" t="s">
        <v>19042</v>
      </c>
      <c r="D3282" s="196" t="s">
        <v>19043</v>
      </c>
      <c r="E3282" s="196" t="s">
        <v>19043</v>
      </c>
      <c r="F3282" s="196" t="s">
        <v>11233</v>
      </c>
      <c r="G3282" s="196" t="s">
        <v>12378</v>
      </c>
      <c r="H3282" s="196" t="s">
        <v>11235</v>
      </c>
    </row>
    <row r="3283" spans="1:8" x14ac:dyDescent="0.15">
      <c r="A3283" s="196" t="s">
        <v>11229</v>
      </c>
      <c r="B3283" s="196" t="s">
        <v>11230</v>
      </c>
      <c r="C3283" s="196" t="s">
        <v>19044</v>
      </c>
      <c r="D3283" s="196" t="s">
        <v>19045</v>
      </c>
      <c r="E3283" s="196" t="s">
        <v>19046</v>
      </c>
      <c r="F3283" s="196" t="s">
        <v>11241</v>
      </c>
      <c r="G3283" s="196" t="s">
        <v>12378</v>
      </c>
      <c r="H3283" s="196" t="s">
        <v>11235</v>
      </c>
    </row>
    <row r="3284" spans="1:8" x14ac:dyDescent="0.15">
      <c r="A3284" s="196" t="s">
        <v>11229</v>
      </c>
      <c r="B3284" s="196" t="s">
        <v>11230</v>
      </c>
      <c r="C3284" s="196" t="s">
        <v>19047</v>
      </c>
      <c r="D3284" s="196" t="s">
        <v>19048</v>
      </c>
      <c r="E3284" s="196" t="s">
        <v>19048</v>
      </c>
      <c r="F3284" s="196" t="s">
        <v>11233</v>
      </c>
      <c r="G3284" s="196" t="s">
        <v>12378</v>
      </c>
      <c r="H3284" s="196" t="s">
        <v>11235</v>
      </c>
    </row>
    <row r="3285" spans="1:8" x14ac:dyDescent="0.15">
      <c r="A3285" s="196" t="s">
        <v>11229</v>
      </c>
      <c r="B3285" s="196" t="s">
        <v>11230</v>
      </c>
      <c r="C3285" s="196" t="s">
        <v>19049</v>
      </c>
      <c r="D3285" s="196" t="s">
        <v>19050</v>
      </c>
      <c r="E3285" s="196" t="s">
        <v>19050</v>
      </c>
      <c r="F3285" s="196" t="s">
        <v>11233</v>
      </c>
      <c r="G3285" s="196" t="s">
        <v>12378</v>
      </c>
      <c r="H3285" s="196" t="s">
        <v>11235</v>
      </c>
    </row>
    <row r="3286" spans="1:8" x14ac:dyDescent="0.15">
      <c r="A3286" s="196" t="s">
        <v>11229</v>
      </c>
      <c r="B3286" s="196" t="s">
        <v>11230</v>
      </c>
      <c r="C3286" s="196" t="s">
        <v>19051</v>
      </c>
      <c r="D3286" s="196" t="s">
        <v>19052</v>
      </c>
      <c r="E3286" s="196" t="s">
        <v>19052</v>
      </c>
      <c r="F3286" s="196" t="s">
        <v>11233</v>
      </c>
      <c r="G3286" s="196" t="s">
        <v>12378</v>
      </c>
      <c r="H3286" s="196" t="s">
        <v>11235</v>
      </c>
    </row>
    <row r="3287" spans="1:8" x14ac:dyDescent="0.15">
      <c r="A3287" s="196" t="s">
        <v>11229</v>
      </c>
      <c r="B3287" s="196" t="s">
        <v>11230</v>
      </c>
      <c r="C3287" s="196" t="s">
        <v>19053</v>
      </c>
      <c r="D3287" s="196" t="s">
        <v>19054</v>
      </c>
      <c r="E3287" s="196" t="s">
        <v>19054</v>
      </c>
      <c r="F3287" s="196" t="s">
        <v>11233</v>
      </c>
      <c r="G3287" s="196" t="s">
        <v>12378</v>
      </c>
      <c r="H3287" s="196" t="s">
        <v>11235</v>
      </c>
    </row>
    <row r="3288" spans="1:8" x14ac:dyDescent="0.15">
      <c r="A3288" s="196" t="s">
        <v>11229</v>
      </c>
      <c r="B3288" s="196" t="s">
        <v>11230</v>
      </c>
      <c r="C3288" s="196" t="s">
        <v>19055</v>
      </c>
      <c r="D3288" s="196" t="s">
        <v>19056</v>
      </c>
      <c r="E3288" s="196" t="s">
        <v>19056</v>
      </c>
      <c r="F3288" s="196" t="s">
        <v>11233</v>
      </c>
      <c r="G3288" s="196" t="s">
        <v>12378</v>
      </c>
      <c r="H3288" s="196" t="s">
        <v>11235</v>
      </c>
    </row>
    <row r="3289" spans="1:8" x14ac:dyDescent="0.15">
      <c r="A3289" s="196" t="s">
        <v>11229</v>
      </c>
      <c r="B3289" s="196" t="s">
        <v>11230</v>
      </c>
      <c r="C3289" s="196" t="s">
        <v>19057</v>
      </c>
      <c r="D3289" s="196" t="s">
        <v>19058</v>
      </c>
      <c r="E3289" s="196" t="s">
        <v>19058</v>
      </c>
      <c r="F3289" s="196" t="s">
        <v>11233</v>
      </c>
      <c r="G3289" s="196" t="s">
        <v>12378</v>
      </c>
      <c r="H3289" s="196" t="s">
        <v>11235</v>
      </c>
    </row>
    <row r="3290" spans="1:8" x14ac:dyDescent="0.15">
      <c r="A3290" s="196" t="s">
        <v>11229</v>
      </c>
      <c r="B3290" s="196" t="s">
        <v>11230</v>
      </c>
      <c r="C3290" s="196" t="s">
        <v>19059</v>
      </c>
      <c r="D3290" s="196" t="s">
        <v>19060</v>
      </c>
      <c r="E3290" s="196" t="s">
        <v>19060</v>
      </c>
      <c r="F3290" s="196" t="s">
        <v>11233</v>
      </c>
      <c r="G3290" s="196" t="s">
        <v>12378</v>
      </c>
      <c r="H3290" s="196" t="s">
        <v>11235</v>
      </c>
    </row>
    <row r="3291" spans="1:8" x14ac:dyDescent="0.15">
      <c r="A3291" s="196" t="s">
        <v>11229</v>
      </c>
      <c r="B3291" s="196" t="s">
        <v>11230</v>
      </c>
      <c r="C3291" s="196" t="s">
        <v>19061</v>
      </c>
      <c r="D3291" s="196" t="s">
        <v>19062</v>
      </c>
      <c r="E3291" s="196" t="s">
        <v>19063</v>
      </c>
      <c r="F3291" s="196" t="s">
        <v>11268</v>
      </c>
      <c r="G3291" s="196" t="s">
        <v>12378</v>
      </c>
      <c r="H3291" s="196" t="s">
        <v>11235</v>
      </c>
    </row>
    <row r="3292" spans="1:8" x14ac:dyDescent="0.15">
      <c r="A3292" s="196" t="s">
        <v>11229</v>
      </c>
      <c r="B3292" s="196" t="s">
        <v>11230</v>
      </c>
      <c r="C3292" s="196" t="s">
        <v>19064</v>
      </c>
      <c r="D3292" s="196" t="s">
        <v>19063</v>
      </c>
      <c r="E3292" s="196" t="s">
        <v>19065</v>
      </c>
      <c r="F3292" s="196" t="s">
        <v>11241</v>
      </c>
      <c r="G3292" s="196" t="s">
        <v>12378</v>
      </c>
      <c r="H3292" s="196" t="s">
        <v>11235</v>
      </c>
    </row>
    <row r="3293" spans="1:8" x14ac:dyDescent="0.15">
      <c r="A3293" s="196" t="s">
        <v>11229</v>
      </c>
      <c r="B3293" s="196" t="s">
        <v>11230</v>
      </c>
      <c r="C3293" s="196" t="s">
        <v>19066</v>
      </c>
      <c r="D3293" s="196" t="s">
        <v>19067</v>
      </c>
      <c r="E3293" s="196" t="s">
        <v>19068</v>
      </c>
      <c r="F3293" s="196" t="s">
        <v>11268</v>
      </c>
      <c r="G3293" s="196" t="s">
        <v>12378</v>
      </c>
      <c r="H3293" s="196" t="s">
        <v>11235</v>
      </c>
    </row>
    <row r="3294" spans="1:8" x14ac:dyDescent="0.15">
      <c r="A3294" s="196" t="s">
        <v>11229</v>
      </c>
      <c r="B3294" s="196" t="s">
        <v>11230</v>
      </c>
      <c r="C3294" s="196" t="s">
        <v>19069</v>
      </c>
      <c r="D3294" s="196" t="s">
        <v>19070</v>
      </c>
      <c r="E3294" s="196" t="s">
        <v>19070</v>
      </c>
      <c r="F3294" s="196" t="s">
        <v>11233</v>
      </c>
      <c r="G3294" s="196" t="s">
        <v>12378</v>
      </c>
      <c r="H3294" s="196" t="s">
        <v>11235</v>
      </c>
    </row>
    <row r="3295" spans="1:8" x14ac:dyDescent="0.15">
      <c r="A3295" s="196" t="s">
        <v>11229</v>
      </c>
      <c r="B3295" s="196" t="s">
        <v>11230</v>
      </c>
      <c r="C3295" s="196" t="s">
        <v>19071</v>
      </c>
      <c r="D3295" s="196" t="s">
        <v>19072</v>
      </c>
      <c r="E3295" s="196" t="s">
        <v>19073</v>
      </c>
      <c r="F3295" s="196" t="s">
        <v>13758</v>
      </c>
      <c r="G3295" s="196" t="s">
        <v>12378</v>
      </c>
      <c r="H3295" s="196" t="s">
        <v>11235</v>
      </c>
    </row>
    <row r="3296" spans="1:8" x14ac:dyDescent="0.15">
      <c r="A3296" s="196" t="s">
        <v>11229</v>
      </c>
      <c r="B3296" s="196" t="s">
        <v>11230</v>
      </c>
      <c r="C3296" s="196" t="s">
        <v>19074</v>
      </c>
      <c r="D3296" s="196" t="s">
        <v>19073</v>
      </c>
      <c r="E3296" s="196" t="s">
        <v>19075</v>
      </c>
      <c r="F3296" s="196" t="s">
        <v>11268</v>
      </c>
      <c r="G3296" s="196" t="s">
        <v>12378</v>
      </c>
      <c r="H3296" s="196" t="s">
        <v>11235</v>
      </c>
    </row>
    <row r="3297" spans="1:8" x14ac:dyDescent="0.15">
      <c r="A3297" s="196" t="s">
        <v>11229</v>
      </c>
      <c r="B3297" s="196" t="s">
        <v>11230</v>
      </c>
      <c r="C3297" s="196" t="s">
        <v>19076</v>
      </c>
      <c r="D3297" s="196" t="s">
        <v>19077</v>
      </c>
      <c r="E3297" s="196" t="s">
        <v>19078</v>
      </c>
      <c r="F3297" s="196" t="s">
        <v>11268</v>
      </c>
      <c r="G3297" s="196" t="s">
        <v>12378</v>
      </c>
      <c r="H3297" s="196" t="s">
        <v>11235</v>
      </c>
    </row>
    <row r="3298" spans="1:8" x14ac:dyDescent="0.15">
      <c r="A3298" s="196" t="s">
        <v>11229</v>
      </c>
      <c r="B3298" s="196" t="s">
        <v>11230</v>
      </c>
      <c r="C3298" s="196" t="s">
        <v>19079</v>
      </c>
      <c r="D3298" s="196" t="s">
        <v>19080</v>
      </c>
      <c r="E3298" s="196" t="s">
        <v>19081</v>
      </c>
      <c r="F3298" s="196" t="s">
        <v>11241</v>
      </c>
      <c r="G3298" s="196" t="s">
        <v>12378</v>
      </c>
      <c r="H3298" s="196" t="s">
        <v>11235</v>
      </c>
    </row>
    <row r="3299" spans="1:8" x14ac:dyDescent="0.15">
      <c r="A3299" s="196" t="s">
        <v>11229</v>
      </c>
      <c r="B3299" s="196" t="s">
        <v>11230</v>
      </c>
      <c r="C3299" s="196" t="s">
        <v>19082</v>
      </c>
      <c r="D3299" s="196" t="s">
        <v>19083</v>
      </c>
      <c r="E3299" s="196" t="s">
        <v>19083</v>
      </c>
      <c r="F3299" s="196" t="s">
        <v>11233</v>
      </c>
      <c r="G3299" s="196" t="s">
        <v>12378</v>
      </c>
      <c r="H3299" s="196" t="s">
        <v>11235</v>
      </c>
    </row>
    <row r="3300" spans="1:8" x14ac:dyDescent="0.15">
      <c r="A3300" s="196" t="s">
        <v>11229</v>
      </c>
      <c r="B3300" s="196" t="s">
        <v>11230</v>
      </c>
      <c r="C3300" s="196" t="s">
        <v>19084</v>
      </c>
      <c r="D3300" s="196" t="s">
        <v>19085</v>
      </c>
      <c r="E3300" s="196" t="s">
        <v>19086</v>
      </c>
      <c r="F3300" s="196" t="s">
        <v>11268</v>
      </c>
      <c r="G3300" s="196" t="s">
        <v>12378</v>
      </c>
      <c r="H3300" s="196" t="s">
        <v>11235</v>
      </c>
    </row>
    <row r="3301" spans="1:8" x14ac:dyDescent="0.15">
      <c r="A3301" s="196" t="s">
        <v>11229</v>
      </c>
      <c r="B3301" s="196" t="s">
        <v>11230</v>
      </c>
      <c r="C3301" s="196" t="s">
        <v>19087</v>
      </c>
      <c r="D3301" s="196" t="s">
        <v>19086</v>
      </c>
      <c r="E3301" s="196" t="s">
        <v>19088</v>
      </c>
      <c r="F3301" s="196" t="s">
        <v>13758</v>
      </c>
      <c r="G3301" s="196" t="s">
        <v>12378</v>
      </c>
      <c r="H3301" s="196" t="s">
        <v>11235</v>
      </c>
    </row>
    <row r="3302" spans="1:8" x14ac:dyDescent="0.15">
      <c r="A3302" s="196" t="s">
        <v>11229</v>
      </c>
      <c r="B3302" s="196" t="s">
        <v>11230</v>
      </c>
      <c r="C3302" s="196" t="s">
        <v>19089</v>
      </c>
      <c r="D3302" s="196" t="s">
        <v>19088</v>
      </c>
      <c r="E3302" s="196" t="s">
        <v>19090</v>
      </c>
      <c r="F3302" s="196" t="s">
        <v>11268</v>
      </c>
      <c r="G3302" s="196" t="s">
        <v>12378</v>
      </c>
      <c r="H3302" s="196" t="s">
        <v>11235</v>
      </c>
    </row>
    <row r="3303" spans="1:8" x14ac:dyDescent="0.15">
      <c r="A3303" s="196" t="s">
        <v>11229</v>
      </c>
      <c r="B3303" s="196" t="s">
        <v>11230</v>
      </c>
      <c r="C3303" s="196" t="s">
        <v>19091</v>
      </c>
      <c r="D3303" s="196" t="s">
        <v>19092</v>
      </c>
      <c r="E3303" s="196" t="s">
        <v>19092</v>
      </c>
      <c r="F3303" s="196" t="s">
        <v>11233</v>
      </c>
      <c r="G3303" s="196" t="s">
        <v>12378</v>
      </c>
      <c r="H3303" s="196" t="s">
        <v>11235</v>
      </c>
    </row>
    <row r="3304" spans="1:8" x14ac:dyDescent="0.15">
      <c r="A3304" s="196" t="s">
        <v>11229</v>
      </c>
      <c r="B3304" s="196" t="s">
        <v>11230</v>
      </c>
      <c r="C3304" s="196" t="s">
        <v>19093</v>
      </c>
      <c r="D3304" s="196" t="s">
        <v>19094</v>
      </c>
      <c r="E3304" s="196" t="s">
        <v>19094</v>
      </c>
      <c r="F3304" s="196" t="s">
        <v>11233</v>
      </c>
      <c r="G3304" s="196" t="s">
        <v>12378</v>
      </c>
      <c r="H3304" s="196" t="s">
        <v>11235</v>
      </c>
    </row>
    <row r="3305" spans="1:8" x14ac:dyDescent="0.15">
      <c r="A3305" s="196" t="s">
        <v>11229</v>
      </c>
      <c r="B3305" s="196" t="s">
        <v>11230</v>
      </c>
      <c r="C3305" s="196" t="s">
        <v>19095</v>
      </c>
      <c r="D3305" s="196" t="s">
        <v>19096</v>
      </c>
      <c r="E3305" s="196" t="s">
        <v>19097</v>
      </c>
      <c r="F3305" s="196" t="s">
        <v>11241</v>
      </c>
      <c r="G3305" s="196" t="s">
        <v>12378</v>
      </c>
      <c r="H3305" s="196" t="s">
        <v>11235</v>
      </c>
    </row>
    <row r="3306" spans="1:8" x14ac:dyDescent="0.15">
      <c r="A3306" s="196" t="s">
        <v>11229</v>
      </c>
      <c r="B3306" s="196" t="s">
        <v>11230</v>
      </c>
      <c r="C3306" s="196" t="s">
        <v>19098</v>
      </c>
      <c r="D3306" s="196" t="s">
        <v>19099</v>
      </c>
      <c r="E3306" s="196" t="s">
        <v>19099</v>
      </c>
      <c r="F3306" s="196" t="s">
        <v>11233</v>
      </c>
      <c r="G3306" s="196" t="s">
        <v>12378</v>
      </c>
      <c r="H3306" s="196" t="s">
        <v>11235</v>
      </c>
    </row>
    <row r="3307" spans="1:8" x14ac:dyDescent="0.15">
      <c r="A3307" s="196" t="s">
        <v>11229</v>
      </c>
      <c r="B3307" s="196" t="s">
        <v>11230</v>
      </c>
      <c r="C3307" s="196" t="s">
        <v>19100</v>
      </c>
      <c r="D3307" s="196" t="s">
        <v>19101</v>
      </c>
      <c r="E3307" s="196" t="s">
        <v>19101</v>
      </c>
      <c r="F3307" s="196" t="s">
        <v>11233</v>
      </c>
      <c r="G3307" s="196" t="s">
        <v>12378</v>
      </c>
      <c r="H3307" s="196" t="s">
        <v>11235</v>
      </c>
    </row>
    <row r="3308" spans="1:8" x14ac:dyDescent="0.15">
      <c r="A3308" s="196" t="s">
        <v>11229</v>
      </c>
      <c r="B3308" s="196" t="s">
        <v>11230</v>
      </c>
      <c r="C3308" s="196" t="s">
        <v>19102</v>
      </c>
      <c r="D3308" s="196" t="s">
        <v>19103</v>
      </c>
      <c r="E3308" s="196" t="s">
        <v>19104</v>
      </c>
      <c r="F3308" s="196" t="s">
        <v>13023</v>
      </c>
      <c r="G3308" s="196" t="s">
        <v>12378</v>
      </c>
      <c r="H3308" s="196" t="s">
        <v>11235</v>
      </c>
    </row>
    <row r="3309" spans="1:8" x14ac:dyDescent="0.15">
      <c r="A3309" s="196" t="s">
        <v>11229</v>
      </c>
      <c r="B3309" s="196" t="s">
        <v>11230</v>
      </c>
      <c r="C3309" s="196" t="s">
        <v>19105</v>
      </c>
      <c r="D3309" s="196" t="s">
        <v>19106</v>
      </c>
      <c r="E3309" s="196" t="s">
        <v>19107</v>
      </c>
      <c r="F3309" s="196" t="s">
        <v>16303</v>
      </c>
      <c r="G3309" s="196" t="s">
        <v>12378</v>
      </c>
      <c r="H3309" s="196" t="s">
        <v>11235</v>
      </c>
    </row>
    <row r="3310" spans="1:8" x14ac:dyDescent="0.15">
      <c r="A3310" s="196" t="s">
        <v>11229</v>
      </c>
      <c r="B3310" s="196" t="s">
        <v>11230</v>
      </c>
      <c r="C3310" s="196" t="s">
        <v>19108</v>
      </c>
      <c r="D3310" s="196" t="s">
        <v>19109</v>
      </c>
      <c r="E3310" s="196" t="s">
        <v>19110</v>
      </c>
      <c r="F3310" s="196" t="s">
        <v>13180</v>
      </c>
      <c r="G3310" s="196" t="s">
        <v>12378</v>
      </c>
      <c r="H3310" s="196" t="s">
        <v>11235</v>
      </c>
    </row>
    <row r="3311" spans="1:8" x14ac:dyDescent="0.15">
      <c r="A3311" s="196" t="s">
        <v>11229</v>
      </c>
      <c r="B3311" s="196" t="s">
        <v>11230</v>
      </c>
      <c r="C3311" s="196" t="s">
        <v>19111</v>
      </c>
      <c r="D3311" s="196" t="s">
        <v>19110</v>
      </c>
      <c r="E3311" s="196" t="s">
        <v>19112</v>
      </c>
      <c r="F3311" s="196" t="s">
        <v>16221</v>
      </c>
      <c r="G3311" s="196" t="s">
        <v>12378</v>
      </c>
      <c r="H3311" s="196" t="s">
        <v>11235</v>
      </c>
    </row>
    <row r="3312" spans="1:8" x14ac:dyDescent="0.15">
      <c r="A3312" s="196" t="s">
        <v>11229</v>
      </c>
      <c r="B3312" s="196" t="s">
        <v>11230</v>
      </c>
      <c r="C3312" s="196" t="s">
        <v>19113</v>
      </c>
      <c r="D3312" s="196" t="s">
        <v>19112</v>
      </c>
      <c r="E3312" s="196" t="s">
        <v>19114</v>
      </c>
      <c r="F3312" s="196" t="s">
        <v>19115</v>
      </c>
      <c r="G3312" s="196" t="s">
        <v>12378</v>
      </c>
      <c r="H3312" s="196" t="s">
        <v>11235</v>
      </c>
    </row>
    <row r="3313" spans="1:8" x14ac:dyDescent="0.15">
      <c r="A3313" s="196" t="s">
        <v>11229</v>
      </c>
      <c r="B3313" s="196" t="s">
        <v>11230</v>
      </c>
      <c r="C3313" s="196" t="s">
        <v>19116</v>
      </c>
      <c r="D3313" s="196" t="s">
        <v>19114</v>
      </c>
      <c r="E3313" s="196" t="s">
        <v>19117</v>
      </c>
      <c r="F3313" s="196" t="s">
        <v>19118</v>
      </c>
      <c r="G3313" s="196" t="s">
        <v>12378</v>
      </c>
      <c r="H3313" s="196" t="s">
        <v>11235</v>
      </c>
    </row>
    <row r="3314" spans="1:8" x14ac:dyDescent="0.15">
      <c r="A3314" s="196" t="s">
        <v>11229</v>
      </c>
      <c r="B3314" s="196" t="s">
        <v>11230</v>
      </c>
      <c r="C3314" s="196" t="s">
        <v>19119</v>
      </c>
      <c r="D3314" s="196" t="s">
        <v>19120</v>
      </c>
      <c r="E3314" s="196" t="s">
        <v>19121</v>
      </c>
      <c r="F3314" s="196" t="s">
        <v>17665</v>
      </c>
      <c r="G3314" s="196" t="s">
        <v>12378</v>
      </c>
      <c r="H3314" s="196" t="s">
        <v>11235</v>
      </c>
    </row>
    <row r="3315" spans="1:8" x14ac:dyDescent="0.15">
      <c r="A3315" s="196" t="s">
        <v>11229</v>
      </c>
      <c r="B3315" s="196" t="s">
        <v>11230</v>
      </c>
      <c r="C3315" s="196" t="s">
        <v>19122</v>
      </c>
      <c r="D3315" s="196" t="s">
        <v>19123</v>
      </c>
      <c r="E3315" s="196" t="s">
        <v>19124</v>
      </c>
      <c r="F3315" s="196" t="s">
        <v>12558</v>
      </c>
      <c r="G3315" s="196" t="s">
        <v>12378</v>
      </c>
      <c r="H3315" s="196" t="s">
        <v>11235</v>
      </c>
    </row>
    <row r="3316" spans="1:8" x14ac:dyDescent="0.15">
      <c r="A3316" s="196" t="s">
        <v>11229</v>
      </c>
      <c r="B3316" s="196" t="s">
        <v>11230</v>
      </c>
      <c r="C3316" s="196" t="s">
        <v>19125</v>
      </c>
      <c r="D3316" s="196" t="s">
        <v>19126</v>
      </c>
      <c r="E3316" s="196" t="s">
        <v>19127</v>
      </c>
      <c r="F3316" s="196" t="s">
        <v>19128</v>
      </c>
      <c r="G3316" s="196" t="s">
        <v>12378</v>
      </c>
      <c r="H3316" s="196" t="s">
        <v>11235</v>
      </c>
    </row>
    <row r="3317" spans="1:8" x14ac:dyDescent="0.15">
      <c r="A3317" s="196" t="s">
        <v>11229</v>
      </c>
      <c r="B3317" s="196" t="s">
        <v>11230</v>
      </c>
      <c r="C3317" s="196" t="s">
        <v>19129</v>
      </c>
      <c r="D3317" s="196" t="s">
        <v>19130</v>
      </c>
      <c r="E3317" s="196" t="s">
        <v>19131</v>
      </c>
      <c r="F3317" s="196" t="s">
        <v>17260</v>
      </c>
      <c r="G3317" s="196" t="s">
        <v>12378</v>
      </c>
      <c r="H3317" s="196" t="s">
        <v>11235</v>
      </c>
    </row>
    <row r="3318" spans="1:8" x14ac:dyDescent="0.15">
      <c r="A3318" s="196" t="s">
        <v>11229</v>
      </c>
      <c r="B3318" s="196" t="s">
        <v>11230</v>
      </c>
      <c r="C3318" s="196" t="s">
        <v>19132</v>
      </c>
      <c r="D3318" s="196" t="s">
        <v>19133</v>
      </c>
      <c r="E3318" s="196" t="s">
        <v>19134</v>
      </c>
      <c r="F3318" s="196" t="s">
        <v>12631</v>
      </c>
      <c r="G3318" s="196" t="s">
        <v>12378</v>
      </c>
      <c r="H3318" s="196" t="s">
        <v>11235</v>
      </c>
    </row>
    <row r="3319" spans="1:8" x14ac:dyDescent="0.15">
      <c r="A3319" s="196" t="s">
        <v>11229</v>
      </c>
      <c r="B3319" s="196" t="s">
        <v>11230</v>
      </c>
      <c r="C3319" s="196" t="s">
        <v>19135</v>
      </c>
      <c r="D3319" s="196" t="s">
        <v>19136</v>
      </c>
      <c r="E3319" s="196" t="s">
        <v>19136</v>
      </c>
      <c r="F3319" s="196" t="s">
        <v>11233</v>
      </c>
      <c r="G3319" s="196" t="s">
        <v>12378</v>
      </c>
      <c r="H3319" s="196" t="s">
        <v>11235</v>
      </c>
    </row>
    <row r="3320" spans="1:8" x14ac:dyDescent="0.15">
      <c r="A3320" s="196" t="s">
        <v>11229</v>
      </c>
      <c r="B3320" s="196" t="s">
        <v>11230</v>
      </c>
      <c r="C3320" s="196" t="s">
        <v>19137</v>
      </c>
      <c r="D3320" s="196" t="s">
        <v>19138</v>
      </c>
      <c r="E3320" s="196" t="s">
        <v>19138</v>
      </c>
      <c r="F3320" s="196" t="s">
        <v>11233</v>
      </c>
      <c r="G3320" s="196" t="s">
        <v>12378</v>
      </c>
      <c r="H3320" s="196" t="s">
        <v>11235</v>
      </c>
    </row>
    <row r="3321" spans="1:8" x14ac:dyDescent="0.15">
      <c r="A3321" s="196" t="s">
        <v>11229</v>
      </c>
      <c r="B3321" s="196" t="s">
        <v>11230</v>
      </c>
      <c r="C3321" s="196" t="s">
        <v>19139</v>
      </c>
      <c r="D3321" s="196" t="s">
        <v>19140</v>
      </c>
      <c r="E3321" s="196" t="s">
        <v>19140</v>
      </c>
      <c r="F3321" s="196" t="s">
        <v>11233</v>
      </c>
      <c r="G3321" s="196" t="s">
        <v>12378</v>
      </c>
      <c r="H3321" s="196" t="s">
        <v>11235</v>
      </c>
    </row>
    <row r="3322" spans="1:8" x14ac:dyDescent="0.15">
      <c r="A3322" s="196" t="s">
        <v>11229</v>
      </c>
      <c r="B3322" s="196" t="s">
        <v>11230</v>
      </c>
      <c r="C3322" s="196" t="s">
        <v>19141</v>
      </c>
      <c r="D3322" s="196" t="s">
        <v>19142</v>
      </c>
      <c r="E3322" s="196" t="s">
        <v>19142</v>
      </c>
      <c r="F3322" s="196" t="s">
        <v>11233</v>
      </c>
      <c r="G3322" s="196" t="s">
        <v>12378</v>
      </c>
      <c r="H3322" s="196" t="s">
        <v>11235</v>
      </c>
    </row>
    <row r="3323" spans="1:8" x14ac:dyDescent="0.15">
      <c r="A3323" s="196" t="s">
        <v>11229</v>
      </c>
      <c r="B3323" s="196" t="s">
        <v>11230</v>
      </c>
      <c r="C3323" s="196" t="s">
        <v>19143</v>
      </c>
      <c r="D3323" s="196" t="s">
        <v>19144</v>
      </c>
      <c r="E3323" s="196" t="s">
        <v>19144</v>
      </c>
      <c r="F3323" s="196" t="s">
        <v>11233</v>
      </c>
      <c r="G3323" s="196" t="s">
        <v>12378</v>
      </c>
      <c r="H3323" s="196" t="s">
        <v>11235</v>
      </c>
    </row>
    <row r="3324" spans="1:8" x14ac:dyDescent="0.15">
      <c r="A3324" s="196" t="s">
        <v>11229</v>
      </c>
      <c r="B3324" s="196" t="s">
        <v>11230</v>
      </c>
      <c r="C3324" s="196" t="s">
        <v>19145</v>
      </c>
      <c r="D3324" s="196" t="s">
        <v>19146</v>
      </c>
      <c r="E3324" s="196" t="s">
        <v>19146</v>
      </c>
      <c r="F3324" s="196" t="s">
        <v>11233</v>
      </c>
      <c r="G3324" s="196" t="s">
        <v>12378</v>
      </c>
      <c r="H3324" s="196" t="s">
        <v>11235</v>
      </c>
    </row>
    <row r="3325" spans="1:8" x14ac:dyDescent="0.15">
      <c r="A3325" s="196" t="s">
        <v>11229</v>
      </c>
      <c r="B3325" s="196" t="s">
        <v>11230</v>
      </c>
      <c r="C3325" s="196" t="s">
        <v>19147</v>
      </c>
      <c r="D3325" s="196" t="s">
        <v>19148</v>
      </c>
      <c r="E3325" s="196" t="s">
        <v>19148</v>
      </c>
      <c r="F3325" s="196" t="s">
        <v>11233</v>
      </c>
      <c r="G3325" s="196" t="s">
        <v>12378</v>
      </c>
      <c r="H3325" s="196" t="s">
        <v>11235</v>
      </c>
    </row>
    <row r="3326" spans="1:8" x14ac:dyDescent="0.15">
      <c r="A3326" s="196" t="s">
        <v>11229</v>
      </c>
      <c r="B3326" s="196" t="s">
        <v>11230</v>
      </c>
      <c r="C3326" s="196" t="s">
        <v>19149</v>
      </c>
      <c r="D3326" s="196" t="s">
        <v>19150</v>
      </c>
      <c r="E3326" s="196" t="s">
        <v>19150</v>
      </c>
      <c r="F3326" s="196" t="s">
        <v>11233</v>
      </c>
      <c r="G3326" s="196" t="s">
        <v>12378</v>
      </c>
      <c r="H3326" s="196" t="s">
        <v>11235</v>
      </c>
    </row>
    <row r="3327" spans="1:8" x14ac:dyDescent="0.15">
      <c r="A3327" s="196" t="s">
        <v>11229</v>
      </c>
      <c r="B3327" s="196" t="s">
        <v>11230</v>
      </c>
      <c r="C3327" s="196" t="s">
        <v>19151</v>
      </c>
      <c r="D3327" s="196" t="s">
        <v>19152</v>
      </c>
      <c r="E3327" s="196" t="s">
        <v>19152</v>
      </c>
      <c r="F3327" s="196" t="s">
        <v>11233</v>
      </c>
      <c r="G3327" s="196" t="s">
        <v>12378</v>
      </c>
      <c r="H3327" s="196" t="s">
        <v>11235</v>
      </c>
    </row>
    <row r="3328" spans="1:8" x14ac:dyDescent="0.15">
      <c r="A3328" s="196" t="s">
        <v>11229</v>
      </c>
      <c r="B3328" s="196" t="s">
        <v>11230</v>
      </c>
      <c r="C3328" s="196" t="s">
        <v>19153</v>
      </c>
      <c r="D3328" s="196" t="s">
        <v>19154</v>
      </c>
      <c r="E3328" s="196" t="s">
        <v>19154</v>
      </c>
      <c r="F3328" s="196" t="s">
        <v>11233</v>
      </c>
      <c r="G3328" s="196" t="s">
        <v>12378</v>
      </c>
      <c r="H3328" s="196" t="s">
        <v>11235</v>
      </c>
    </row>
    <row r="3329" spans="1:8" x14ac:dyDescent="0.15">
      <c r="A3329" s="196" t="s">
        <v>11229</v>
      </c>
      <c r="B3329" s="196" t="s">
        <v>11230</v>
      </c>
      <c r="C3329" s="196" t="s">
        <v>19155</v>
      </c>
      <c r="D3329" s="196" t="s">
        <v>19156</v>
      </c>
      <c r="E3329" s="196" t="s">
        <v>19156</v>
      </c>
      <c r="F3329" s="196" t="s">
        <v>11233</v>
      </c>
      <c r="G3329" s="196" t="s">
        <v>12378</v>
      </c>
      <c r="H3329" s="196" t="s">
        <v>11235</v>
      </c>
    </row>
    <row r="3330" spans="1:8" x14ac:dyDescent="0.15">
      <c r="A3330" s="196" t="s">
        <v>11229</v>
      </c>
      <c r="B3330" s="196" t="s">
        <v>11230</v>
      </c>
      <c r="C3330" s="196" t="s">
        <v>19157</v>
      </c>
      <c r="D3330" s="196" t="s">
        <v>19158</v>
      </c>
      <c r="E3330" s="196" t="s">
        <v>19158</v>
      </c>
      <c r="F3330" s="196" t="s">
        <v>11233</v>
      </c>
      <c r="G3330" s="196" t="s">
        <v>12378</v>
      </c>
      <c r="H3330" s="196" t="s">
        <v>11235</v>
      </c>
    </row>
    <row r="3331" spans="1:8" x14ac:dyDescent="0.15">
      <c r="A3331" s="196" t="s">
        <v>11229</v>
      </c>
      <c r="B3331" s="196" t="s">
        <v>11230</v>
      </c>
      <c r="C3331" s="196" t="s">
        <v>19159</v>
      </c>
      <c r="D3331" s="196" t="s">
        <v>19160</v>
      </c>
      <c r="E3331" s="196" t="s">
        <v>19160</v>
      </c>
      <c r="F3331" s="196" t="s">
        <v>11233</v>
      </c>
      <c r="G3331" s="196" t="s">
        <v>12378</v>
      </c>
      <c r="H3331" s="196" t="s">
        <v>11235</v>
      </c>
    </row>
    <row r="3332" spans="1:8" x14ac:dyDescent="0.15">
      <c r="A3332" s="196" t="s">
        <v>11229</v>
      </c>
      <c r="B3332" s="196" t="s">
        <v>11230</v>
      </c>
      <c r="C3332" s="196" t="s">
        <v>19161</v>
      </c>
      <c r="D3332" s="196" t="s">
        <v>19162</v>
      </c>
      <c r="E3332" s="196" t="s">
        <v>19162</v>
      </c>
      <c r="F3332" s="196" t="s">
        <v>11233</v>
      </c>
      <c r="G3332" s="196" t="s">
        <v>12378</v>
      </c>
      <c r="H3332" s="196" t="s">
        <v>11235</v>
      </c>
    </row>
    <row r="3333" spans="1:8" x14ac:dyDescent="0.15">
      <c r="A3333" s="196" t="s">
        <v>11229</v>
      </c>
      <c r="B3333" s="196" t="s">
        <v>11230</v>
      </c>
      <c r="C3333" s="196" t="s">
        <v>19163</v>
      </c>
      <c r="D3333" s="196" t="s">
        <v>19164</v>
      </c>
      <c r="E3333" s="196" t="s">
        <v>19164</v>
      </c>
      <c r="F3333" s="196" t="s">
        <v>11233</v>
      </c>
      <c r="G3333" s="196" t="s">
        <v>12378</v>
      </c>
      <c r="H3333" s="196" t="s">
        <v>11235</v>
      </c>
    </row>
    <row r="3334" spans="1:8" x14ac:dyDescent="0.15">
      <c r="A3334" s="196" t="s">
        <v>11229</v>
      </c>
      <c r="B3334" s="196" t="s">
        <v>11230</v>
      </c>
      <c r="C3334" s="196" t="s">
        <v>19165</v>
      </c>
      <c r="D3334" s="196" t="s">
        <v>19166</v>
      </c>
      <c r="E3334" s="196" t="s">
        <v>19166</v>
      </c>
      <c r="F3334" s="196" t="s">
        <v>11233</v>
      </c>
      <c r="G3334" s="196" t="s">
        <v>12378</v>
      </c>
      <c r="H3334" s="196" t="s">
        <v>11235</v>
      </c>
    </row>
    <row r="3335" spans="1:8" x14ac:dyDescent="0.15">
      <c r="A3335" s="196" t="s">
        <v>11229</v>
      </c>
      <c r="B3335" s="196" t="s">
        <v>11230</v>
      </c>
      <c r="C3335" s="196" t="s">
        <v>19167</v>
      </c>
      <c r="D3335" s="196" t="s">
        <v>19168</v>
      </c>
      <c r="E3335" s="196" t="s">
        <v>19169</v>
      </c>
      <c r="F3335" s="196" t="s">
        <v>11900</v>
      </c>
      <c r="G3335" s="196" t="s">
        <v>12378</v>
      </c>
      <c r="H3335" s="196" t="s">
        <v>11235</v>
      </c>
    </row>
    <row r="3336" spans="1:8" x14ac:dyDescent="0.15">
      <c r="A3336" s="196" t="s">
        <v>11229</v>
      </c>
      <c r="B3336" s="196" t="s">
        <v>11230</v>
      </c>
      <c r="C3336" s="196" t="s">
        <v>19170</v>
      </c>
      <c r="D3336" s="196" t="s">
        <v>19171</v>
      </c>
      <c r="E3336" s="196" t="s">
        <v>19172</v>
      </c>
      <c r="F3336" s="196" t="s">
        <v>11241</v>
      </c>
      <c r="G3336" s="196" t="s">
        <v>12378</v>
      </c>
      <c r="H3336" s="196" t="s">
        <v>11235</v>
      </c>
    </row>
    <row r="3337" spans="1:8" x14ac:dyDescent="0.15">
      <c r="A3337" s="196" t="s">
        <v>11229</v>
      </c>
      <c r="B3337" s="196" t="s">
        <v>11230</v>
      </c>
      <c r="C3337" s="196" t="s">
        <v>19173</v>
      </c>
      <c r="D3337" s="196" t="s">
        <v>19172</v>
      </c>
      <c r="E3337" s="196" t="s">
        <v>19174</v>
      </c>
      <c r="F3337" s="196" t="s">
        <v>11268</v>
      </c>
      <c r="G3337" s="196" t="s">
        <v>12378</v>
      </c>
      <c r="H3337" s="196" t="s">
        <v>11235</v>
      </c>
    </row>
    <row r="3338" spans="1:8" x14ac:dyDescent="0.15">
      <c r="A3338" s="196" t="s">
        <v>11229</v>
      </c>
      <c r="B3338" s="196" t="s">
        <v>11230</v>
      </c>
      <c r="C3338" s="196" t="s">
        <v>19175</v>
      </c>
      <c r="D3338" s="196" t="s">
        <v>19174</v>
      </c>
      <c r="E3338" s="196" t="s">
        <v>19176</v>
      </c>
      <c r="F3338" s="196" t="s">
        <v>11241</v>
      </c>
      <c r="G3338" s="196" t="s">
        <v>12378</v>
      </c>
      <c r="H3338" s="196" t="s">
        <v>11235</v>
      </c>
    </row>
    <row r="3339" spans="1:8" x14ac:dyDescent="0.15">
      <c r="A3339" s="196" t="s">
        <v>11229</v>
      </c>
      <c r="B3339" s="196" t="s">
        <v>11230</v>
      </c>
      <c r="C3339" s="196" t="s">
        <v>19177</v>
      </c>
      <c r="D3339" s="196" t="s">
        <v>19176</v>
      </c>
      <c r="E3339" s="196" t="s">
        <v>19178</v>
      </c>
      <c r="F3339" s="196" t="s">
        <v>11241</v>
      </c>
      <c r="G3339" s="196" t="s">
        <v>12378</v>
      </c>
      <c r="H3339" s="196" t="s">
        <v>11235</v>
      </c>
    </row>
    <row r="3340" spans="1:8" x14ac:dyDescent="0.15">
      <c r="A3340" s="196" t="s">
        <v>11229</v>
      </c>
      <c r="B3340" s="196" t="s">
        <v>11230</v>
      </c>
      <c r="C3340" s="196" t="s">
        <v>19179</v>
      </c>
      <c r="D3340" s="196" t="s">
        <v>19178</v>
      </c>
      <c r="E3340" s="196" t="s">
        <v>19180</v>
      </c>
      <c r="F3340" s="196" t="s">
        <v>11241</v>
      </c>
      <c r="G3340" s="196" t="s">
        <v>12378</v>
      </c>
      <c r="H3340" s="196" t="s">
        <v>11235</v>
      </c>
    </row>
    <row r="3341" spans="1:8" x14ac:dyDescent="0.15">
      <c r="A3341" s="196" t="s">
        <v>11229</v>
      </c>
      <c r="B3341" s="196" t="s">
        <v>11230</v>
      </c>
      <c r="C3341" s="196" t="s">
        <v>19181</v>
      </c>
      <c r="D3341" s="196" t="s">
        <v>19180</v>
      </c>
      <c r="E3341" s="196" t="s">
        <v>19182</v>
      </c>
      <c r="F3341" s="196" t="s">
        <v>19183</v>
      </c>
      <c r="G3341" s="196" t="s">
        <v>12378</v>
      </c>
      <c r="H3341" s="196" t="s">
        <v>11235</v>
      </c>
    </row>
    <row r="3342" spans="1:8" x14ac:dyDescent="0.15">
      <c r="A3342" s="196" t="s">
        <v>11229</v>
      </c>
      <c r="B3342" s="196" t="s">
        <v>11230</v>
      </c>
      <c r="C3342" s="196" t="s">
        <v>19184</v>
      </c>
      <c r="D3342" s="196" t="s">
        <v>19182</v>
      </c>
      <c r="E3342" s="196" t="s">
        <v>19185</v>
      </c>
      <c r="F3342" s="196" t="s">
        <v>11241</v>
      </c>
      <c r="G3342" s="196" t="s">
        <v>12378</v>
      </c>
      <c r="H3342" s="196" t="s">
        <v>11235</v>
      </c>
    </row>
    <row r="3343" spans="1:8" x14ac:dyDescent="0.15">
      <c r="A3343" s="196" t="s">
        <v>11229</v>
      </c>
      <c r="B3343" s="196" t="s">
        <v>11230</v>
      </c>
      <c r="C3343" s="196" t="s">
        <v>19186</v>
      </c>
      <c r="D3343" s="196" t="s">
        <v>19185</v>
      </c>
      <c r="E3343" s="196" t="s">
        <v>19187</v>
      </c>
      <c r="F3343" s="196" t="s">
        <v>11241</v>
      </c>
      <c r="G3343" s="196" t="s">
        <v>12378</v>
      </c>
      <c r="H3343" s="196" t="s">
        <v>11235</v>
      </c>
    </row>
    <row r="3344" spans="1:8" x14ac:dyDescent="0.15">
      <c r="A3344" s="196" t="s">
        <v>11229</v>
      </c>
      <c r="B3344" s="196" t="s">
        <v>11230</v>
      </c>
      <c r="C3344" s="196" t="s">
        <v>19188</v>
      </c>
      <c r="D3344" s="196" t="s">
        <v>19189</v>
      </c>
      <c r="E3344" s="196" t="s">
        <v>19190</v>
      </c>
      <c r="F3344" s="196" t="s">
        <v>13023</v>
      </c>
      <c r="G3344" s="196" t="s">
        <v>12378</v>
      </c>
      <c r="H3344" s="196" t="s">
        <v>11235</v>
      </c>
    </row>
    <row r="3345" spans="1:8" x14ac:dyDescent="0.15">
      <c r="A3345" s="196" t="s">
        <v>11229</v>
      </c>
      <c r="B3345" s="196" t="s">
        <v>11230</v>
      </c>
      <c r="C3345" s="196" t="s">
        <v>19191</v>
      </c>
      <c r="D3345" s="196" t="s">
        <v>19192</v>
      </c>
      <c r="E3345" s="196" t="s">
        <v>19192</v>
      </c>
      <c r="F3345" s="196" t="s">
        <v>11233</v>
      </c>
      <c r="G3345" s="196" t="s">
        <v>12378</v>
      </c>
      <c r="H3345" s="196" t="s">
        <v>11235</v>
      </c>
    </row>
    <row r="3346" spans="1:8" x14ac:dyDescent="0.15">
      <c r="A3346" s="196" t="s">
        <v>11229</v>
      </c>
      <c r="B3346" s="196" t="s">
        <v>11230</v>
      </c>
      <c r="C3346" s="196" t="s">
        <v>19193</v>
      </c>
      <c r="D3346" s="196" t="s">
        <v>19194</v>
      </c>
      <c r="E3346" s="196" t="s">
        <v>19195</v>
      </c>
      <c r="F3346" s="196" t="s">
        <v>11241</v>
      </c>
      <c r="G3346" s="196" t="s">
        <v>12378</v>
      </c>
      <c r="H3346" s="196" t="s">
        <v>11235</v>
      </c>
    </row>
    <row r="3347" spans="1:8" x14ac:dyDescent="0.15">
      <c r="A3347" s="196" t="s">
        <v>11229</v>
      </c>
      <c r="B3347" s="196" t="s">
        <v>11230</v>
      </c>
      <c r="C3347" s="196" t="s">
        <v>19196</v>
      </c>
      <c r="D3347" s="196" t="s">
        <v>19197</v>
      </c>
      <c r="E3347" s="196" t="s">
        <v>19198</v>
      </c>
      <c r="F3347" s="196" t="s">
        <v>13758</v>
      </c>
      <c r="G3347" s="196" t="s">
        <v>12378</v>
      </c>
      <c r="H3347" s="196" t="s">
        <v>11235</v>
      </c>
    </row>
    <row r="3348" spans="1:8" x14ac:dyDescent="0.15">
      <c r="A3348" s="196" t="s">
        <v>11229</v>
      </c>
      <c r="B3348" s="196" t="s">
        <v>11230</v>
      </c>
      <c r="C3348" s="196" t="s">
        <v>19199</v>
      </c>
      <c r="D3348" s="196" t="s">
        <v>19200</v>
      </c>
      <c r="E3348" s="196" t="s">
        <v>19201</v>
      </c>
      <c r="F3348" s="196" t="s">
        <v>11241</v>
      </c>
      <c r="G3348" s="196" t="s">
        <v>12378</v>
      </c>
      <c r="H3348" s="196" t="s">
        <v>11235</v>
      </c>
    </row>
    <row r="3349" spans="1:8" x14ac:dyDescent="0.15">
      <c r="A3349" s="196" t="s">
        <v>11229</v>
      </c>
      <c r="B3349" s="196" t="s">
        <v>11230</v>
      </c>
      <c r="C3349" s="196" t="s">
        <v>19202</v>
      </c>
      <c r="D3349" s="196" t="s">
        <v>19203</v>
      </c>
      <c r="E3349" s="196" t="s">
        <v>19204</v>
      </c>
      <c r="F3349" s="196" t="s">
        <v>11241</v>
      </c>
      <c r="G3349" s="196" t="s">
        <v>12378</v>
      </c>
      <c r="H3349" s="196" t="s">
        <v>11235</v>
      </c>
    </row>
    <row r="3350" spans="1:8" x14ac:dyDescent="0.15">
      <c r="A3350" s="196" t="s">
        <v>11229</v>
      </c>
      <c r="B3350" s="196" t="s">
        <v>11230</v>
      </c>
      <c r="C3350" s="196" t="s">
        <v>19205</v>
      </c>
      <c r="D3350" s="196" t="s">
        <v>19206</v>
      </c>
      <c r="E3350" s="196" t="s">
        <v>19207</v>
      </c>
      <c r="F3350" s="196" t="s">
        <v>11241</v>
      </c>
      <c r="G3350" s="196" t="s">
        <v>12378</v>
      </c>
      <c r="H3350" s="196" t="s">
        <v>11235</v>
      </c>
    </row>
    <row r="3351" spans="1:8" x14ac:dyDescent="0.15">
      <c r="A3351" s="196" t="s">
        <v>11229</v>
      </c>
      <c r="B3351" s="196" t="s">
        <v>11230</v>
      </c>
      <c r="C3351" s="196" t="s">
        <v>19208</v>
      </c>
      <c r="D3351" s="196" t="s">
        <v>19209</v>
      </c>
      <c r="E3351" s="196" t="s">
        <v>19209</v>
      </c>
      <c r="F3351" s="196" t="s">
        <v>11233</v>
      </c>
      <c r="G3351" s="196" t="s">
        <v>12378</v>
      </c>
      <c r="H3351" s="196" t="s">
        <v>11235</v>
      </c>
    </row>
    <row r="3352" spans="1:8" x14ac:dyDescent="0.15">
      <c r="A3352" s="196" t="s">
        <v>11229</v>
      </c>
      <c r="B3352" s="196" t="s">
        <v>11230</v>
      </c>
      <c r="C3352" s="196" t="s">
        <v>19210</v>
      </c>
      <c r="D3352" s="196" t="s">
        <v>19211</v>
      </c>
      <c r="E3352" s="196" t="s">
        <v>19211</v>
      </c>
      <c r="F3352" s="196" t="s">
        <v>11233</v>
      </c>
      <c r="G3352" s="196" t="s">
        <v>12378</v>
      </c>
      <c r="H3352" s="196" t="s">
        <v>11235</v>
      </c>
    </row>
    <row r="3353" spans="1:8" x14ac:dyDescent="0.15">
      <c r="A3353" s="196" t="s">
        <v>11229</v>
      </c>
      <c r="B3353" s="196" t="s">
        <v>11230</v>
      </c>
      <c r="C3353" s="196" t="s">
        <v>19212</v>
      </c>
      <c r="D3353" s="196" t="s">
        <v>19213</v>
      </c>
      <c r="E3353" s="196" t="s">
        <v>19213</v>
      </c>
      <c r="F3353" s="196" t="s">
        <v>11233</v>
      </c>
      <c r="G3353" s="196" t="s">
        <v>12378</v>
      </c>
      <c r="H3353" s="196" t="s">
        <v>11235</v>
      </c>
    </row>
    <row r="3354" spans="1:8" x14ac:dyDescent="0.15">
      <c r="A3354" s="196" t="s">
        <v>11229</v>
      </c>
      <c r="B3354" s="196" t="s">
        <v>11230</v>
      </c>
      <c r="C3354" s="196" t="s">
        <v>19214</v>
      </c>
      <c r="D3354" s="196" t="s">
        <v>16791</v>
      </c>
      <c r="E3354" s="196" t="s">
        <v>16791</v>
      </c>
      <c r="F3354" s="196" t="s">
        <v>11233</v>
      </c>
      <c r="G3354" s="196" t="s">
        <v>12378</v>
      </c>
      <c r="H3354" s="196" t="s">
        <v>11235</v>
      </c>
    </row>
    <row r="3355" spans="1:8" x14ac:dyDescent="0.15">
      <c r="A3355" s="196" t="s">
        <v>11229</v>
      </c>
      <c r="B3355" s="196" t="s">
        <v>11230</v>
      </c>
      <c r="C3355" s="196" t="s">
        <v>19215</v>
      </c>
      <c r="D3355" s="196" t="s">
        <v>19216</v>
      </c>
      <c r="E3355" s="196" t="s">
        <v>19216</v>
      </c>
      <c r="F3355" s="196" t="s">
        <v>11233</v>
      </c>
      <c r="G3355" s="196" t="s">
        <v>12378</v>
      </c>
      <c r="H3355" s="196" t="s">
        <v>11235</v>
      </c>
    </row>
    <row r="3356" spans="1:8" x14ac:dyDescent="0.15">
      <c r="A3356" s="196" t="s">
        <v>11229</v>
      </c>
      <c r="B3356" s="196" t="s">
        <v>11230</v>
      </c>
      <c r="C3356" s="196" t="s">
        <v>19217</v>
      </c>
      <c r="D3356" s="196" t="s">
        <v>19218</v>
      </c>
      <c r="E3356" s="196" t="s">
        <v>19219</v>
      </c>
      <c r="F3356" s="196" t="s">
        <v>11241</v>
      </c>
      <c r="G3356" s="196" t="s">
        <v>12378</v>
      </c>
      <c r="H3356" s="196" t="s">
        <v>11235</v>
      </c>
    </row>
    <row r="3357" spans="1:8" x14ac:dyDescent="0.15">
      <c r="A3357" s="196" t="s">
        <v>11229</v>
      </c>
      <c r="B3357" s="196" t="s">
        <v>11230</v>
      </c>
      <c r="C3357" s="196" t="s">
        <v>19220</v>
      </c>
      <c r="D3357" s="196" t="s">
        <v>19221</v>
      </c>
      <c r="E3357" s="196" t="s">
        <v>19222</v>
      </c>
      <c r="F3357" s="196" t="s">
        <v>11268</v>
      </c>
      <c r="G3357" s="196" t="s">
        <v>12378</v>
      </c>
      <c r="H3357" s="196" t="s">
        <v>11235</v>
      </c>
    </row>
    <row r="3358" spans="1:8" x14ac:dyDescent="0.15">
      <c r="A3358" s="196" t="s">
        <v>11229</v>
      </c>
      <c r="B3358" s="196" t="s">
        <v>11230</v>
      </c>
      <c r="C3358" s="196" t="s">
        <v>19223</v>
      </c>
      <c r="D3358" s="196" t="s">
        <v>19224</v>
      </c>
      <c r="E3358" s="196" t="s">
        <v>19225</v>
      </c>
      <c r="F3358" s="196" t="s">
        <v>13023</v>
      </c>
      <c r="G3358" s="196" t="s">
        <v>12378</v>
      </c>
      <c r="H3358" s="196" t="s">
        <v>11235</v>
      </c>
    </row>
    <row r="3359" spans="1:8" x14ac:dyDescent="0.15">
      <c r="A3359" s="196" t="s">
        <v>11229</v>
      </c>
      <c r="B3359" s="196" t="s">
        <v>11230</v>
      </c>
      <c r="C3359" s="196" t="s">
        <v>19226</v>
      </c>
      <c r="D3359" s="196" t="s">
        <v>19225</v>
      </c>
      <c r="E3359" s="196" t="s">
        <v>19227</v>
      </c>
      <c r="F3359" s="196" t="s">
        <v>11241</v>
      </c>
      <c r="G3359" s="196" t="s">
        <v>12378</v>
      </c>
      <c r="H3359" s="196" t="s">
        <v>11235</v>
      </c>
    </row>
    <row r="3360" spans="1:8" x14ac:dyDescent="0.15">
      <c r="A3360" s="196" t="s">
        <v>11229</v>
      </c>
      <c r="B3360" s="196" t="s">
        <v>11230</v>
      </c>
      <c r="C3360" s="196" t="s">
        <v>19228</v>
      </c>
      <c r="D3360" s="196" t="s">
        <v>19227</v>
      </c>
      <c r="E3360" s="196" t="s">
        <v>19229</v>
      </c>
      <c r="F3360" s="196" t="s">
        <v>11268</v>
      </c>
      <c r="G3360" s="196" t="s">
        <v>12378</v>
      </c>
      <c r="H3360" s="196" t="s">
        <v>11235</v>
      </c>
    </row>
    <row r="3361" spans="1:8" x14ac:dyDescent="0.15">
      <c r="A3361" s="196" t="s">
        <v>11229</v>
      </c>
      <c r="B3361" s="196" t="s">
        <v>11230</v>
      </c>
      <c r="C3361" s="196" t="s">
        <v>19230</v>
      </c>
      <c r="D3361" s="196" t="s">
        <v>19229</v>
      </c>
      <c r="E3361" s="196" t="s">
        <v>19231</v>
      </c>
      <c r="F3361" s="196" t="s">
        <v>11241</v>
      </c>
      <c r="G3361" s="196" t="s">
        <v>12378</v>
      </c>
      <c r="H3361" s="196" t="s">
        <v>11235</v>
      </c>
    </row>
    <row r="3362" spans="1:8" x14ac:dyDescent="0.15">
      <c r="A3362" s="196" t="s">
        <v>11229</v>
      </c>
      <c r="B3362" s="196" t="s">
        <v>11230</v>
      </c>
      <c r="C3362" s="196" t="s">
        <v>19232</v>
      </c>
      <c r="D3362" s="196" t="s">
        <v>19231</v>
      </c>
      <c r="E3362" s="196" t="s">
        <v>19233</v>
      </c>
      <c r="F3362" s="196" t="s">
        <v>11268</v>
      </c>
      <c r="G3362" s="196" t="s">
        <v>12378</v>
      </c>
      <c r="H3362" s="196" t="s">
        <v>11235</v>
      </c>
    </row>
    <row r="3363" spans="1:8" x14ac:dyDescent="0.15">
      <c r="A3363" s="196" t="s">
        <v>11229</v>
      </c>
      <c r="B3363" s="196" t="s">
        <v>11230</v>
      </c>
      <c r="C3363" s="196" t="s">
        <v>19234</v>
      </c>
      <c r="D3363" s="196" t="s">
        <v>19233</v>
      </c>
      <c r="E3363" s="196" t="s">
        <v>19235</v>
      </c>
      <c r="F3363" s="196" t="s">
        <v>11241</v>
      </c>
      <c r="G3363" s="196" t="s">
        <v>12378</v>
      </c>
      <c r="H3363" s="196" t="s">
        <v>11235</v>
      </c>
    </row>
    <row r="3364" spans="1:8" x14ac:dyDescent="0.15">
      <c r="A3364" s="196" t="s">
        <v>11229</v>
      </c>
      <c r="B3364" s="196" t="s">
        <v>11230</v>
      </c>
      <c r="C3364" s="196" t="s">
        <v>19236</v>
      </c>
      <c r="D3364" s="196" t="s">
        <v>19235</v>
      </c>
      <c r="E3364" s="196" t="s">
        <v>19237</v>
      </c>
      <c r="F3364" s="196" t="s">
        <v>11241</v>
      </c>
      <c r="G3364" s="196" t="s">
        <v>12378</v>
      </c>
      <c r="H3364" s="196" t="s">
        <v>11235</v>
      </c>
    </row>
    <row r="3365" spans="1:8" x14ac:dyDescent="0.15">
      <c r="A3365" s="196" t="s">
        <v>11229</v>
      </c>
      <c r="B3365" s="196" t="s">
        <v>11230</v>
      </c>
      <c r="C3365" s="196" t="s">
        <v>19238</v>
      </c>
      <c r="D3365" s="196" t="s">
        <v>19237</v>
      </c>
      <c r="E3365" s="196" t="s">
        <v>19239</v>
      </c>
      <c r="F3365" s="196" t="s">
        <v>11268</v>
      </c>
      <c r="G3365" s="196" t="s">
        <v>12378</v>
      </c>
      <c r="H3365" s="196" t="s">
        <v>11235</v>
      </c>
    </row>
    <row r="3366" spans="1:8" x14ac:dyDescent="0.15">
      <c r="A3366" s="196" t="s">
        <v>11229</v>
      </c>
      <c r="B3366" s="196" t="s">
        <v>11230</v>
      </c>
      <c r="C3366" s="196" t="s">
        <v>19240</v>
      </c>
      <c r="D3366" s="196" t="s">
        <v>19241</v>
      </c>
      <c r="E3366" s="196" t="s">
        <v>19242</v>
      </c>
      <c r="F3366" s="196" t="s">
        <v>11241</v>
      </c>
      <c r="G3366" s="196" t="s">
        <v>12378</v>
      </c>
      <c r="H3366" s="196" t="s">
        <v>11235</v>
      </c>
    </row>
    <row r="3367" spans="1:8" x14ac:dyDescent="0.15">
      <c r="A3367" s="196" t="s">
        <v>11229</v>
      </c>
      <c r="B3367" s="196" t="s">
        <v>11230</v>
      </c>
      <c r="C3367" s="196" t="s">
        <v>19243</v>
      </c>
      <c r="D3367" s="196" t="s">
        <v>19242</v>
      </c>
      <c r="E3367" s="196" t="s">
        <v>19244</v>
      </c>
      <c r="F3367" s="196" t="s">
        <v>11268</v>
      </c>
      <c r="G3367" s="196" t="s">
        <v>12378</v>
      </c>
      <c r="H3367" s="196" t="s">
        <v>11235</v>
      </c>
    </row>
    <row r="3368" spans="1:8" x14ac:dyDescent="0.15">
      <c r="A3368" s="196" t="s">
        <v>11229</v>
      </c>
      <c r="B3368" s="196" t="s">
        <v>11230</v>
      </c>
      <c r="C3368" s="196" t="s">
        <v>19245</v>
      </c>
      <c r="D3368" s="196" t="s">
        <v>19244</v>
      </c>
      <c r="E3368" s="196" t="s">
        <v>19246</v>
      </c>
      <c r="F3368" s="196" t="s">
        <v>11241</v>
      </c>
      <c r="G3368" s="196" t="s">
        <v>12378</v>
      </c>
      <c r="H3368" s="196" t="s">
        <v>11235</v>
      </c>
    </row>
    <row r="3369" spans="1:8" x14ac:dyDescent="0.15">
      <c r="A3369" s="196" t="s">
        <v>11229</v>
      </c>
      <c r="B3369" s="196" t="s">
        <v>11230</v>
      </c>
      <c r="C3369" s="196" t="s">
        <v>19247</v>
      </c>
      <c r="D3369" s="196" t="s">
        <v>19246</v>
      </c>
      <c r="E3369" s="196" t="s">
        <v>19248</v>
      </c>
      <c r="F3369" s="196" t="s">
        <v>11241</v>
      </c>
      <c r="G3369" s="196" t="s">
        <v>12378</v>
      </c>
      <c r="H3369" s="196" t="s">
        <v>11235</v>
      </c>
    </row>
    <row r="3370" spans="1:8" x14ac:dyDescent="0.15">
      <c r="A3370" s="196" t="s">
        <v>11229</v>
      </c>
      <c r="B3370" s="196" t="s">
        <v>11230</v>
      </c>
      <c r="C3370" s="196" t="s">
        <v>19249</v>
      </c>
      <c r="D3370" s="196" t="s">
        <v>19248</v>
      </c>
      <c r="E3370" s="196" t="s">
        <v>19250</v>
      </c>
      <c r="F3370" s="196" t="s">
        <v>13023</v>
      </c>
      <c r="G3370" s="196" t="s">
        <v>12378</v>
      </c>
      <c r="H3370" s="196" t="s">
        <v>11235</v>
      </c>
    </row>
    <row r="3371" spans="1:8" x14ac:dyDescent="0.15">
      <c r="A3371" s="196" t="s">
        <v>11229</v>
      </c>
      <c r="B3371" s="196" t="s">
        <v>11230</v>
      </c>
      <c r="C3371" s="196" t="s">
        <v>19251</v>
      </c>
      <c r="D3371" s="196" t="s">
        <v>19250</v>
      </c>
      <c r="E3371" s="196" t="s">
        <v>19252</v>
      </c>
      <c r="F3371" s="196" t="s">
        <v>11268</v>
      </c>
      <c r="G3371" s="196" t="s">
        <v>12378</v>
      </c>
      <c r="H3371" s="196" t="s">
        <v>11235</v>
      </c>
    </row>
    <row r="3372" spans="1:8" x14ac:dyDescent="0.15">
      <c r="A3372" s="196" t="s">
        <v>11229</v>
      </c>
      <c r="B3372" s="196" t="s">
        <v>11230</v>
      </c>
      <c r="C3372" s="196" t="s">
        <v>19253</v>
      </c>
      <c r="D3372" s="196" t="s">
        <v>19252</v>
      </c>
      <c r="E3372" s="196" t="s">
        <v>19254</v>
      </c>
      <c r="F3372" s="196" t="s">
        <v>11241</v>
      </c>
      <c r="G3372" s="196" t="s">
        <v>12378</v>
      </c>
      <c r="H3372" s="196" t="s">
        <v>11235</v>
      </c>
    </row>
    <row r="3373" spans="1:8" x14ac:dyDescent="0.15">
      <c r="A3373" s="196" t="s">
        <v>11229</v>
      </c>
      <c r="B3373" s="196" t="s">
        <v>11230</v>
      </c>
      <c r="C3373" s="196" t="s">
        <v>19255</v>
      </c>
      <c r="D3373" s="196" t="s">
        <v>19254</v>
      </c>
      <c r="E3373" s="196" t="s">
        <v>19256</v>
      </c>
      <c r="F3373" s="196" t="s">
        <v>11241</v>
      </c>
      <c r="G3373" s="196" t="s">
        <v>12378</v>
      </c>
      <c r="H3373" s="196" t="s">
        <v>11235</v>
      </c>
    </row>
    <row r="3374" spans="1:8" x14ac:dyDescent="0.15">
      <c r="A3374" s="196" t="s">
        <v>11229</v>
      </c>
      <c r="B3374" s="196" t="s">
        <v>11230</v>
      </c>
      <c r="C3374" s="196" t="s">
        <v>19257</v>
      </c>
      <c r="D3374" s="196" t="s">
        <v>19256</v>
      </c>
      <c r="E3374" s="196" t="s">
        <v>19258</v>
      </c>
      <c r="F3374" s="196" t="s">
        <v>11268</v>
      </c>
      <c r="G3374" s="196" t="s">
        <v>12378</v>
      </c>
      <c r="H3374" s="196" t="s">
        <v>11235</v>
      </c>
    </row>
    <row r="3375" spans="1:8" x14ac:dyDescent="0.15">
      <c r="A3375" s="196" t="s">
        <v>11229</v>
      </c>
      <c r="B3375" s="196" t="s">
        <v>11230</v>
      </c>
      <c r="C3375" s="196" t="s">
        <v>19259</v>
      </c>
      <c r="D3375" s="196" t="s">
        <v>19260</v>
      </c>
      <c r="E3375" s="196" t="s">
        <v>19260</v>
      </c>
      <c r="F3375" s="196" t="s">
        <v>11233</v>
      </c>
      <c r="G3375" s="196" t="s">
        <v>12378</v>
      </c>
      <c r="H3375" s="196" t="s">
        <v>11235</v>
      </c>
    </row>
    <row r="3376" spans="1:8" x14ac:dyDescent="0.15">
      <c r="A3376" s="196" t="s">
        <v>11229</v>
      </c>
      <c r="B3376" s="196" t="s">
        <v>11230</v>
      </c>
      <c r="C3376" s="196" t="s">
        <v>19261</v>
      </c>
      <c r="D3376" s="196" t="s">
        <v>19262</v>
      </c>
      <c r="E3376" s="196" t="s">
        <v>19262</v>
      </c>
      <c r="F3376" s="196" t="s">
        <v>11233</v>
      </c>
      <c r="G3376" s="196" t="s">
        <v>12378</v>
      </c>
      <c r="H3376" s="196" t="s">
        <v>11235</v>
      </c>
    </row>
    <row r="3377" spans="1:8" x14ac:dyDescent="0.15">
      <c r="A3377" s="196" t="s">
        <v>11229</v>
      </c>
      <c r="B3377" s="196" t="s">
        <v>11230</v>
      </c>
      <c r="C3377" s="196" t="s">
        <v>19263</v>
      </c>
      <c r="D3377" s="196" t="s">
        <v>19264</v>
      </c>
      <c r="E3377" s="196" t="s">
        <v>19264</v>
      </c>
      <c r="F3377" s="196" t="s">
        <v>11233</v>
      </c>
      <c r="G3377" s="196" t="s">
        <v>12378</v>
      </c>
      <c r="H3377" s="196" t="s">
        <v>11235</v>
      </c>
    </row>
    <row r="3378" spans="1:8" x14ac:dyDescent="0.15">
      <c r="A3378" s="196" t="s">
        <v>11229</v>
      </c>
      <c r="B3378" s="196" t="s">
        <v>11230</v>
      </c>
      <c r="C3378" s="196" t="s">
        <v>19265</v>
      </c>
      <c r="D3378" s="196" t="s">
        <v>19266</v>
      </c>
      <c r="E3378" s="196" t="s">
        <v>19266</v>
      </c>
      <c r="F3378" s="196" t="s">
        <v>11233</v>
      </c>
      <c r="G3378" s="196" t="s">
        <v>12378</v>
      </c>
      <c r="H3378" s="196" t="s">
        <v>11235</v>
      </c>
    </row>
    <row r="3379" spans="1:8" x14ac:dyDescent="0.15">
      <c r="A3379" s="196" t="s">
        <v>11229</v>
      </c>
      <c r="B3379" s="196" t="s">
        <v>11230</v>
      </c>
      <c r="C3379" s="196" t="s">
        <v>19267</v>
      </c>
      <c r="D3379" s="196" t="s">
        <v>19268</v>
      </c>
      <c r="E3379" s="196" t="s">
        <v>19268</v>
      </c>
      <c r="F3379" s="196" t="s">
        <v>11233</v>
      </c>
      <c r="G3379" s="196" t="s">
        <v>12378</v>
      </c>
      <c r="H3379" s="196" t="s">
        <v>11235</v>
      </c>
    </row>
    <row r="3380" spans="1:8" x14ac:dyDescent="0.15">
      <c r="A3380" s="196" t="s">
        <v>11229</v>
      </c>
      <c r="B3380" s="196" t="s">
        <v>11230</v>
      </c>
      <c r="C3380" s="196" t="s">
        <v>19269</v>
      </c>
      <c r="D3380" s="196" t="s">
        <v>19270</v>
      </c>
      <c r="E3380" s="196" t="s">
        <v>19270</v>
      </c>
      <c r="F3380" s="196" t="s">
        <v>11233</v>
      </c>
      <c r="G3380" s="196" t="s">
        <v>12378</v>
      </c>
      <c r="H3380" s="196" t="s">
        <v>11235</v>
      </c>
    </row>
    <row r="3381" spans="1:8" x14ac:dyDescent="0.15">
      <c r="A3381" s="196" t="s">
        <v>11229</v>
      </c>
      <c r="B3381" s="196" t="s">
        <v>11230</v>
      </c>
      <c r="C3381" s="196" t="s">
        <v>19271</v>
      </c>
      <c r="D3381" s="196" t="s">
        <v>19272</v>
      </c>
      <c r="E3381" s="196" t="s">
        <v>19272</v>
      </c>
      <c r="F3381" s="196" t="s">
        <v>11233</v>
      </c>
      <c r="G3381" s="196" t="s">
        <v>12378</v>
      </c>
      <c r="H3381" s="196" t="s">
        <v>11235</v>
      </c>
    </row>
    <row r="3382" spans="1:8" x14ac:dyDescent="0.15">
      <c r="A3382" s="196" t="s">
        <v>11229</v>
      </c>
      <c r="B3382" s="196" t="s">
        <v>11230</v>
      </c>
      <c r="C3382" s="196" t="s">
        <v>19273</v>
      </c>
      <c r="D3382" s="196" t="s">
        <v>19274</v>
      </c>
      <c r="E3382" s="196" t="s">
        <v>19274</v>
      </c>
      <c r="F3382" s="196" t="s">
        <v>11233</v>
      </c>
      <c r="G3382" s="196" t="s">
        <v>12378</v>
      </c>
      <c r="H3382" s="196" t="s">
        <v>11235</v>
      </c>
    </row>
    <row r="3383" spans="1:8" x14ac:dyDescent="0.15">
      <c r="A3383" s="196" t="s">
        <v>11229</v>
      </c>
      <c r="B3383" s="196" t="s">
        <v>11230</v>
      </c>
      <c r="C3383" s="196" t="s">
        <v>19275</v>
      </c>
      <c r="D3383" s="196" t="s">
        <v>19276</v>
      </c>
      <c r="E3383" s="196" t="s">
        <v>19276</v>
      </c>
      <c r="F3383" s="196" t="s">
        <v>11233</v>
      </c>
      <c r="G3383" s="196" t="s">
        <v>12378</v>
      </c>
      <c r="H3383" s="196" t="s">
        <v>11235</v>
      </c>
    </row>
    <row r="3384" spans="1:8" x14ac:dyDescent="0.15">
      <c r="A3384" s="196" t="s">
        <v>11229</v>
      </c>
      <c r="B3384" s="196" t="s">
        <v>11230</v>
      </c>
      <c r="C3384" s="196" t="s">
        <v>19277</v>
      </c>
      <c r="D3384" s="196" t="s">
        <v>19278</v>
      </c>
      <c r="E3384" s="196" t="s">
        <v>19278</v>
      </c>
      <c r="F3384" s="196" t="s">
        <v>11233</v>
      </c>
      <c r="G3384" s="196" t="s">
        <v>12378</v>
      </c>
      <c r="H3384" s="196" t="s">
        <v>11235</v>
      </c>
    </row>
    <row r="3385" spans="1:8" x14ac:dyDescent="0.15">
      <c r="A3385" s="196" t="s">
        <v>11229</v>
      </c>
      <c r="B3385" s="196" t="s">
        <v>11230</v>
      </c>
      <c r="C3385" s="196" t="s">
        <v>19279</v>
      </c>
      <c r="D3385" s="196" t="s">
        <v>19280</v>
      </c>
      <c r="E3385" s="196" t="s">
        <v>19280</v>
      </c>
      <c r="F3385" s="196" t="s">
        <v>11233</v>
      </c>
      <c r="G3385" s="196" t="s">
        <v>12378</v>
      </c>
      <c r="H3385" s="196" t="s">
        <v>11235</v>
      </c>
    </row>
    <row r="3386" spans="1:8" x14ac:dyDescent="0.15">
      <c r="A3386" s="196" t="s">
        <v>11229</v>
      </c>
      <c r="B3386" s="196" t="s">
        <v>11230</v>
      </c>
      <c r="C3386" s="196" t="s">
        <v>19281</v>
      </c>
      <c r="D3386" s="196" t="s">
        <v>19282</v>
      </c>
      <c r="E3386" s="196" t="s">
        <v>19282</v>
      </c>
      <c r="F3386" s="196" t="s">
        <v>11233</v>
      </c>
      <c r="G3386" s="196" t="s">
        <v>12378</v>
      </c>
      <c r="H3386" s="196" t="s">
        <v>11235</v>
      </c>
    </row>
    <row r="3387" spans="1:8" x14ac:dyDescent="0.15">
      <c r="A3387" s="196" t="s">
        <v>11229</v>
      </c>
      <c r="B3387" s="196" t="s">
        <v>11230</v>
      </c>
      <c r="C3387" s="196" t="s">
        <v>19283</v>
      </c>
      <c r="D3387" s="196" t="s">
        <v>19284</v>
      </c>
      <c r="E3387" s="196" t="s">
        <v>19284</v>
      </c>
      <c r="F3387" s="196" t="s">
        <v>11233</v>
      </c>
      <c r="G3387" s="196" t="s">
        <v>12378</v>
      </c>
      <c r="H3387" s="196" t="s">
        <v>11235</v>
      </c>
    </row>
    <row r="3388" spans="1:8" x14ac:dyDescent="0.15">
      <c r="A3388" s="196" t="s">
        <v>11229</v>
      </c>
      <c r="B3388" s="196" t="s">
        <v>11230</v>
      </c>
      <c r="C3388" s="196" t="s">
        <v>19285</v>
      </c>
      <c r="D3388" s="196" t="s">
        <v>19286</v>
      </c>
      <c r="E3388" s="196" t="s">
        <v>19287</v>
      </c>
      <c r="F3388" s="196" t="s">
        <v>13023</v>
      </c>
      <c r="G3388" s="196" t="s">
        <v>12378</v>
      </c>
      <c r="H3388" s="196" t="s">
        <v>11235</v>
      </c>
    </row>
    <row r="3389" spans="1:8" x14ac:dyDescent="0.15">
      <c r="A3389" s="196" t="s">
        <v>11229</v>
      </c>
      <c r="B3389" s="196" t="s">
        <v>11230</v>
      </c>
      <c r="C3389" s="196" t="s">
        <v>19288</v>
      </c>
      <c r="D3389" s="196" t="s">
        <v>19287</v>
      </c>
      <c r="E3389" s="196" t="s">
        <v>19289</v>
      </c>
      <c r="F3389" s="196" t="s">
        <v>11241</v>
      </c>
      <c r="G3389" s="196" t="s">
        <v>12378</v>
      </c>
      <c r="H3389" s="196" t="s">
        <v>11235</v>
      </c>
    </row>
    <row r="3390" spans="1:8" x14ac:dyDescent="0.15">
      <c r="A3390" s="196" t="s">
        <v>11229</v>
      </c>
      <c r="B3390" s="196" t="s">
        <v>11230</v>
      </c>
      <c r="C3390" s="196" t="s">
        <v>19290</v>
      </c>
      <c r="D3390" s="196" t="s">
        <v>19289</v>
      </c>
      <c r="E3390" s="196" t="s">
        <v>19291</v>
      </c>
      <c r="F3390" s="196" t="s">
        <v>11268</v>
      </c>
      <c r="G3390" s="196" t="s">
        <v>12378</v>
      </c>
      <c r="H3390" s="196" t="s">
        <v>11235</v>
      </c>
    </row>
    <row r="3391" spans="1:8" x14ac:dyDescent="0.15">
      <c r="A3391" s="196" t="s">
        <v>11229</v>
      </c>
      <c r="B3391" s="196" t="s">
        <v>11230</v>
      </c>
      <c r="C3391" s="196" t="s">
        <v>19292</v>
      </c>
      <c r="D3391" s="196" t="s">
        <v>19291</v>
      </c>
      <c r="E3391" s="196" t="s">
        <v>19293</v>
      </c>
      <c r="F3391" s="196" t="s">
        <v>11241</v>
      </c>
      <c r="G3391" s="196" t="s">
        <v>12378</v>
      </c>
      <c r="H3391" s="196" t="s">
        <v>11235</v>
      </c>
    </row>
    <row r="3392" spans="1:8" x14ac:dyDescent="0.15">
      <c r="A3392" s="196" t="s">
        <v>11229</v>
      </c>
      <c r="B3392" s="196" t="s">
        <v>11230</v>
      </c>
      <c r="C3392" s="196" t="s">
        <v>19294</v>
      </c>
      <c r="D3392" s="196" t="s">
        <v>19293</v>
      </c>
      <c r="E3392" s="196" t="s">
        <v>19295</v>
      </c>
      <c r="F3392" s="196" t="s">
        <v>11241</v>
      </c>
      <c r="G3392" s="196" t="s">
        <v>12378</v>
      </c>
      <c r="H3392" s="196" t="s">
        <v>11235</v>
      </c>
    </row>
    <row r="3393" spans="1:8" x14ac:dyDescent="0.15">
      <c r="A3393" s="196" t="s">
        <v>11229</v>
      </c>
      <c r="B3393" s="196" t="s">
        <v>11230</v>
      </c>
      <c r="C3393" s="196" t="s">
        <v>19296</v>
      </c>
      <c r="D3393" s="196" t="s">
        <v>19295</v>
      </c>
      <c r="E3393" s="196" t="s">
        <v>19297</v>
      </c>
      <c r="F3393" s="196" t="s">
        <v>11268</v>
      </c>
      <c r="G3393" s="196" t="s">
        <v>12378</v>
      </c>
      <c r="H3393" s="196" t="s">
        <v>11235</v>
      </c>
    </row>
    <row r="3394" spans="1:8" x14ac:dyDescent="0.15">
      <c r="A3394" s="196" t="s">
        <v>11229</v>
      </c>
      <c r="B3394" s="196" t="s">
        <v>11230</v>
      </c>
      <c r="C3394" s="196" t="s">
        <v>19298</v>
      </c>
      <c r="D3394" s="196" t="s">
        <v>19297</v>
      </c>
      <c r="E3394" s="196" t="s">
        <v>19299</v>
      </c>
      <c r="F3394" s="196" t="s">
        <v>13758</v>
      </c>
      <c r="G3394" s="196" t="s">
        <v>12378</v>
      </c>
      <c r="H3394" s="196" t="s">
        <v>11235</v>
      </c>
    </row>
    <row r="3395" spans="1:8" x14ac:dyDescent="0.15">
      <c r="A3395" s="196" t="s">
        <v>11229</v>
      </c>
      <c r="B3395" s="196" t="s">
        <v>11230</v>
      </c>
      <c r="C3395" s="196" t="s">
        <v>19300</v>
      </c>
      <c r="D3395" s="196" t="s">
        <v>19299</v>
      </c>
      <c r="E3395" s="196" t="s">
        <v>19301</v>
      </c>
      <c r="F3395" s="196" t="s">
        <v>11268</v>
      </c>
      <c r="G3395" s="196" t="s">
        <v>12378</v>
      </c>
      <c r="H3395" s="196" t="s">
        <v>11235</v>
      </c>
    </row>
    <row r="3396" spans="1:8" x14ac:dyDescent="0.15">
      <c r="A3396" s="196" t="s">
        <v>11229</v>
      </c>
      <c r="B3396" s="196" t="s">
        <v>11230</v>
      </c>
      <c r="C3396" s="196" t="s">
        <v>19302</v>
      </c>
      <c r="D3396" s="196" t="s">
        <v>19303</v>
      </c>
      <c r="E3396" s="196" t="s">
        <v>19303</v>
      </c>
      <c r="F3396" s="196" t="s">
        <v>11233</v>
      </c>
      <c r="G3396" s="196" t="s">
        <v>12378</v>
      </c>
      <c r="H3396" s="196" t="s">
        <v>11235</v>
      </c>
    </row>
    <row r="3397" spans="1:8" x14ac:dyDescent="0.15">
      <c r="A3397" s="196" t="s">
        <v>11229</v>
      </c>
      <c r="B3397" s="196" t="s">
        <v>11230</v>
      </c>
      <c r="C3397" s="196" t="s">
        <v>19304</v>
      </c>
      <c r="D3397" s="196" t="s">
        <v>19305</v>
      </c>
      <c r="E3397" s="196" t="s">
        <v>19306</v>
      </c>
      <c r="F3397" s="196" t="s">
        <v>11241</v>
      </c>
      <c r="G3397" s="196" t="s">
        <v>12378</v>
      </c>
      <c r="H3397" s="196" t="s">
        <v>11235</v>
      </c>
    </row>
    <row r="3398" spans="1:8" x14ac:dyDescent="0.15">
      <c r="A3398" s="196" t="s">
        <v>11229</v>
      </c>
      <c r="B3398" s="196" t="s">
        <v>11230</v>
      </c>
      <c r="C3398" s="196" t="s">
        <v>19307</v>
      </c>
      <c r="D3398" s="196" t="s">
        <v>19308</v>
      </c>
      <c r="E3398" s="196" t="s">
        <v>19308</v>
      </c>
      <c r="F3398" s="196" t="s">
        <v>11233</v>
      </c>
      <c r="G3398" s="196" t="s">
        <v>12378</v>
      </c>
      <c r="H3398" s="196" t="s">
        <v>11235</v>
      </c>
    </row>
    <row r="3399" spans="1:8" x14ac:dyDescent="0.15">
      <c r="A3399" s="196" t="s">
        <v>11229</v>
      </c>
      <c r="B3399" s="196" t="s">
        <v>11230</v>
      </c>
      <c r="C3399" s="196" t="s">
        <v>19309</v>
      </c>
      <c r="D3399" s="196" t="s">
        <v>19310</v>
      </c>
      <c r="E3399" s="196" t="s">
        <v>19310</v>
      </c>
      <c r="F3399" s="196" t="s">
        <v>11233</v>
      </c>
      <c r="G3399" s="196" t="s">
        <v>12378</v>
      </c>
      <c r="H3399" s="196" t="s">
        <v>11235</v>
      </c>
    </row>
    <row r="3400" spans="1:8" x14ac:dyDescent="0.15">
      <c r="A3400" s="196" t="s">
        <v>11229</v>
      </c>
      <c r="B3400" s="196" t="s">
        <v>11230</v>
      </c>
      <c r="C3400" s="196" t="s">
        <v>19311</v>
      </c>
      <c r="D3400" s="196" t="s">
        <v>19312</v>
      </c>
      <c r="E3400" s="196" t="s">
        <v>19312</v>
      </c>
      <c r="F3400" s="196" t="s">
        <v>11233</v>
      </c>
      <c r="G3400" s="196" t="s">
        <v>12378</v>
      </c>
      <c r="H3400" s="196" t="s">
        <v>11235</v>
      </c>
    </row>
    <row r="3401" spans="1:8" x14ac:dyDescent="0.15">
      <c r="A3401" s="196" t="s">
        <v>11229</v>
      </c>
      <c r="B3401" s="196" t="s">
        <v>11230</v>
      </c>
      <c r="C3401" s="196" t="s">
        <v>19313</v>
      </c>
      <c r="D3401" s="196" t="s">
        <v>19314</v>
      </c>
      <c r="E3401" s="196" t="s">
        <v>19314</v>
      </c>
      <c r="F3401" s="196" t="s">
        <v>11233</v>
      </c>
      <c r="G3401" s="196" t="s">
        <v>12378</v>
      </c>
      <c r="H3401" s="196" t="s">
        <v>11235</v>
      </c>
    </row>
    <row r="3402" spans="1:8" x14ac:dyDescent="0.15">
      <c r="A3402" s="196" t="s">
        <v>11229</v>
      </c>
      <c r="B3402" s="196" t="s">
        <v>11230</v>
      </c>
      <c r="C3402" s="196" t="s">
        <v>19315</v>
      </c>
      <c r="D3402" s="196" t="s">
        <v>19316</v>
      </c>
      <c r="E3402" s="196" t="s">
        <v>19316</v>
      </c>
      <c r="F3402" s="196" t="s">
        <v>11233</v>
      </c>
      <c r="G3402" s="196" t="s">
        <v>12378</v>
      </c>
      <c r="H3402" s="196" t="s">
        <v>11235</v>
      </c>
    </row>
    <row r="3403" spans="1:8" x14ac:dyDescent="0.15">
      <c r="A3403" s="196" t="s">
        <v>11229</v>
      </c>
      <c r="B3403" s="196" t="s">
        <v>11230</v>
      </c>
      <c r="C3403" s="196" t="s">
        <v>19317</v>
      </c>
      <c r="D3403" s="196" t="s">
        <v>19318</v>
      </c>
      <c r="E3403" s="196" t="s">
        <v>19318</v>
      </c>
      <c r="F3403" s="196" t="s">
        <v>11233</v>
      </c>
      <c r="G3403" s="196" t="s">
        <v>12378</v>
      </c>
      <c r="H3403" s="196" t="s">
        <v>11235</v>
      </c>
    </row>
    <row r="3404" spans="1:8" x14ac:dyDescent="0.15">
      <c r="A3404" s="196" t="s">
        <v>11229</v>
      </c>
      <c r="B3404" s="196" t="s">
        <v>11230</v>
      </c>
      <c r="C3404" s="196" t="s">
        <v>19319</v>
      </c>
      <c r="D3404" s="196" t="s">
        <v>19320</v>
      </c>
      <c r="E3404" s="196" t="s">
        <v>19320</v>
      </c>
      <c r="F3404" s="196" t="s">
        <v>11233</v>
      </c>
      <c r="G3404" s="196" t="s">
        <v>12378</v>
      </c>
      <c r="H3404" s="196" t="s">
        <v>11235</v>
      </c>
    </row>
    <row r="3405" spans="1:8" x14ac:dyDescent="0.15">
      <c r="A3405" s="196" t="s">
        <v>11229</v>
      </c>
      <c r="B3405" s="196" t="s">
        <v>11230</v>
      </c>
      <c r="C3405" s="196" t="s">
        <v>19321</v>
      </c>
      <c r="D3405" s="196" t="s">
        <v>19322</v>
      </c>
      <c r="E3405" s="196" t="s">
        <v>19322</v>
      </c>
      <c r="F3405" s="196" t="s">
        <v>11233</v>
      </c>
      <c r="G3405" s="196" t="s">
        <v>12378</v>
      </c>
      <c r="H3405" s="196" t="s">
        <v>11235</v>
      </c>
    </row>
    <row r="3406" spans="1:8" x14ac:dyDescent="0.15">
      <c r="A3406" s="196" t="s">
        <v>11229</v>
      </c>
      <c r="B3406" s="196" t="s">
        <v>11230</v>
      </c>
      <c r="C3406" s="196" t="s">
        <v>19323</v>
      </c>
      <c r="D3406" s="196" t="s">
        <v>19324</v>
      </c>
      <c r="E3406" s="196" t="s">
        <v>19324</v>
      </c>
      <c r="F3406" s="196" t="s">
        <v>11233</v>
      </c>
      <c r="G3406" s="196" t="s">
        <v>12378</v>
      </c>
      <c r="H3406" s="196" t="s">
        <v>11235</v>
      </c>
    </row>
    <row r="3407" spans="1:8" x14ac:dyDescent="0.15">
      <c r="A3407" s="196" t="s">
        <v>11229</v>
      </c>
      <c r="B3407" s="196" t="s">
        <v>11230</v>
      </c>
      <c r="C3407" s="196" t="s">
        <v>19325</v>
      </c>
      <c r="D3407" s="196" t="s">
        <v>19326</v>
      </c>
      <c r="E3407" s="196" t="s">
        <v>19326</v>
      </c>
      <c r="F3407" s="196" t="s">
        <v>11233</v>
      </c>
      <c r="G3407" s="196" t="s">
        <v>12378</v>
      </c>
      <c r="H3407" s="196" t="s">
        <v>11235</v>
      </c>
    </row>
    <row r="3408" spans="1:8" x14ac:dyDescent="0.15">
      <c r="A3408" s="196" t="s">
        <v>11229</v>
      </c>
      <c r="B3408" s="196" t="s">
        <v>11230</v>
      </c>
      <c r="C3408" s="196" t="s">
        <v>19327</v>
      </c>
      <c r="D3408" s="196" t="s">
        <v>19328</v>
      </c>
      <c r="E3408" s="196" t="s">
        <v>19328</v>
      </c>
      <c r="F3408" s="196" t="s">
        <v>11233</v>
      </c>
      <c r="G3408" s="196" t="s">
        <v>12378</v>
      </c>
      <c r="H3408" s="196" t="s">
        <v>11235</v>
      </c>
    </row>
    <row r="3409" spans="1:8" x14ac:dyDescent="0.15">
      <c r="A3409" s="196" t="s">
        <v>11229</v>
      </c>
      <c r="B3409" s="196" t="s">
        <v>11230</v>
      </c>
      <c r="C3409" s="196" t="s">
        <v>19329</v>
      </c>
      <c r="D3409" s="196" t="s">
        <v>19330</v>
      </c>
      <c r="E3409" s="196" t="s">
        <v>19330</v>
      </c>
      <c r="F3409" s="196" t="s">
        <v>11233</v>
      </c>
      <c r="G3409" s="196" t="s">
        <v>12378</v>
      </c>
      <c r="H3409" s="196" t="s">
        <v>11235</v>
      </c>
    </row>
    <row r="3410" spans="1:8" x14ac:dyDescent="0.15">
      <c r="A3410" s="196" t="s">
        <v>11229</v>
      </c>
      <c r="B3410" s="196" t="s">
        <v>11230</v>
      </c>
      <c r="C3410" s="196" t="s">
        <v>19331</v>
      </c>
      <c r="D3410" s="196" t="s">
        <v>19332</v>
      </c>
      <c r="E3410" s="196" t="s">
        <v>19332</v>
      </c>
      <c r="F3410" s="196" t="s">
        <v>11233</v>
      </c>
      <c r="G3410" s="196" t="s">
        <v>12378</v>
      </c>
      <c r="H3410" s="196" t="s">
        <v>11235</v>
      </c>
    </row>
    <row r="3411" spans="1:8" x14ac:dyDescent="0.15">
      <c r="A3411" s="196" t="s">
        <v>11229</v>
      </c>
      <c r="B3411" s="196" t="s">
        <v>11230</v>
      </c>
      <c r="C3411" s="196" t="s">
        <v>19333</v>
      </c>
      <c r="D3411" s="196" t="s">
        <v>19334</v>
      </c>
      <c r="E3411" s="196" t="s">
        <v>19334</v>
      </c>
      <c r="F3411" s="196" t="s">
        <v>11233</v>
      </c>
      <c r="G3411" s="196" t="s">
        <v>12378</v>
      </c>
      <c r="H3411" s="196" t="s">
        <v>11235</v>
      </c>
    </row>
    <row r="3412" spans="1:8" x14ac:dyDescent="0.15">
      <c r="A3412" s="196" t="s">
        <v>11229</v>
      </c>
      <c r="B3412" s="196" t="s">
        <v>11230</v>
      </c>
      <c r="C3412" s="196" t="s">
        <v>19335</v>
      </c>
      <c r="D3412" s="196" t="s">
        <v>19336</v>
      </c>
      <c r="E3412" s="196" t="s">
        <v>19336</v>
      </c>
      <c r="F3412" s="196" t="s">
        <v>11233</v>
      </c>
      <c r="G3412" s="196" t="s">
        <v>12378</v>
      </c>
      <c r="H3412" s="196" t="s">
        <v>11235</v>
      </c>
    </row>
    <row r="3413" spans="1:8" x14ac:dyDescent="0.15">
      <c r="A3413" s="196" t="s">
        <v>11229</v>
      </c>
      <c r="B3413" s="196" t="s">
        <v>11230</v>
      </c>
      <c r="C3413" s="196" t="s">
        <v>19337</v>
      </c>
      <c r="D3413" s="196" t="s">
        <v>19338</v>
      </c>
      <c r="E3413" s="196" t="s">
        <v>19338</v>
      </c>
      <c r="F3413" s="196" t="s">
        <v>11233</v>
      </c>
      <c r="G3413" s="196" t="s">
        <v>12378</v>
      </c>
      <c r="H3413" s="196" t="s">
        <v>11235</v>
      </c>
    </row>
    <row r="3414" spans="1:8" x14ac:dyDescent="0.15">
      <c r="A3414" s="196" t="s">
        <v>11229</v>
      </c>
      <c r="B3414" s="196" t="s">
        <v>11230</v>
      </c>
      <c r="C3414" s="196" t="s">
        <v>19339</v>
      </c>
      <c r="D3414" s="196" t="s">
        <v>19340</v>
      </c>
      <c r="E3414" s="196" t="s">
        <v>19340</v>
      </c>
      <c r="F3414" s="196" t="s">
        <v>11233</v>
      </c>
      <c r="G3414" s="196" t="s">
        <v>12378</v>
      </c>
      <c r="H3414" s="196" t="s">
        <v>11235</v>
      </c>
    </row>
    <row r="3415" spans="1:8" x14ac:dyDescent="0.15">
      <c r="A3415" s="196" t="s">
        <v>11229</v>
      </c>
      <c r="B3415" s="196" t="s">
        <v>11230</v>
      </c>
      <c r="C3415" s="196" t="s">
        <v>19341</v>
      </c>
      <c r="D3415" s="196" t="s">
        <v>19342</v>
      </c>
      <c r="E3415" s="196" t="s">
        <v>19342</v>
      </c>
      <c r="F3415" s="196" t="s">
        <v>11233</v>
      </c>
      <c r="G3415" s="196" t="s">
        <v>12378</v>
      </c>
      <c r="H3415" s="196" t="s">
        <v>11235</v>
      </c>
    </row>
    <row r="3416" spans="1:8" x14ac:dyDescent="0.15">
      <c r="A3416" s="196" t="s">
        <v>11229</v>
      </c>
      <c r="B3416" s="196" t="s">
        <v>11230</v>
      </c>
      <c r="C3416" s="196" t="s">
        <v>19343</v>
      </c>
      <c r="D3416" s="196" t="s">
        <v>19344</v>
      </c>
      <c r="E3416" s="196" t="s">
        <v>19344</v>
      </c>
      <c r="F3416" s="196" t="s">
        <v>11233</v>
      </c>
      <c r="G3416" s="196" t="s">
        <v>12378</v>
      </c>
      <c r="H3416" s="196" t="s">
        <v>11235</v>
      </c>
    </row>
    <row r="3417" spans="1:8" x14ac:dyDescent="0.15">
      <c r="A3417" s="196" t="s">
        <v>11229</v>
      </c>
      <c r="B3417" s="196" t="s">
        <v>11230</v>
      </c>
      <c r="C3417" s="196" t="s">
        <v>19345</v>
      </c>
      <c r="D3417" s="196" t="s">
        <v>19346</v>
      </c>
      <c r="E3417" s="196" t="s">
        <v>19346</v>
      </c>
      <c r="F3417" s="196" t="s">
        <v>11233</v>
      </c>
      <c r="G3417" s="196" t="s">
        <v>12378</v>
      </c>
      <c r="H3417" s="196" t="s">
        <v>11235</v>
      </c>
    </row>
    <row r="3418" spans="1:8" x14ac:dyDescent="0.15">
      <c r="A3418" s="196" t="s">
        <v>11229</v>
      </c>
      <c r="B3418" s="196" t="s">
        <v>11230</v>
      </c>
      <c r="C3418" s="196" t="s">
        <v>19347</v>
      </c>
      <c r="D3418" s="196" t="s">
        <v>19348</v>
      </c>
      <c r="E3418" s="196" t="s">
        <v>19348</v>
      </c>
      <c r="F3418" s="196" t="s">
        <v>11233</v>
      </c>
      <c r="G3418" s="196" t="s">
        <v>12378</v>
      </c>
      <c r="H3418" s="196" t="s">
        <v>11235</v>
      </c>
    </row>
    <row r="3419" spans="1:8" x14ac:dyDescent="0.15">
      <c r="A3419" s="196" t="s">
        <v>11229</v>
      </c>
      <c r="B3419" s="196" t="s">
        <v>11230</v>
      </c>
      <c r="C3419" s="196" t="s">
        <v>19349</v>
      </c>
      <c r="D3419" s="196" t="s">
        <v>19350</v>
      </c>
      <c r="E3419" s="196" t="s">
        <v>19350</v>
      </c>
      <c r="F3419" s="196" t="s">
        <v>11233</v>
      </c>
      <c r="G3419" s="196" t="s">
        <v>12378</v>
      </c>
      <c r="H3419" s="196" t="s">
        <v>11235</v>
      </c>
    </row>
    <row r="3420" spans="1:8" x14ac:dyDescent="0.15">
      <c r="A3420" s="196" t="s">
        <v>11229</v>
      </c>
      <c r="B3420" s="196" t="s">
        <v>11230</v>
      </c>
      <c r="C3420" s="196" t="s">
        <v>19351</v>
      </c>
      <c r="D3420" s="196" t="s">
        <v>19352</v>
      </c>
      <c r="E3420" s="196" t="s">
        <v>19352</v>
      </c>
      <c r="F3420" s="196" t="s">
        <v>11233</v>
      </c>
      <c r="G3420" s="196" t="s">
        <v>12378</v>
      </c>
      <c r="H3420" s="196" t="s">
        <v>11235</v>
      </c>
    </row>
    <row r="3421" spans="1:8" x14ac:dyDescent="0.15">
      <c r="A3421" s="196" t="s">
        <v>11229</v>
      </c>
      <c r="B3421" s="196" t="s">
        <v>11230</v>
      </c>
      <c r="C3421" s="196" t="s">
        <v>19353</v>
      </c>
      <c r="D3421" s="196" t="s">
        <v>19354</v>
      </c>
      <c r="E3421" s="196" t="s">
        <v>19354</v>
      </c>
      <c r="F3421" s="196" t="s">
        <v>11233</v>
      </c>
      <c r="G3421" s="196" t="s">
        <v>12378</v>
      </c>
      <c r="H3421" s="196" t="s">
        <v>11235</v>
      </c>
    </row>
    <row r="3422" spans="1:8" x14ac:dyDescent="0.15">
      <c r="A3422" s="196" t="s">
        <v>11229</v>
      </c>
      <c r="B3422" s="196" t="s">
        <v>11230</v>
      </c>
      <c r="C3422" s="196" t="s">
        <v>19355</v>
      </c>
      <c r="D3422" s="196" t="s">
        <v>19356</v>
      </c>
      <c r="E3422" s="196" t="s">
        <v>19356</v>
      </c>
      <c r="F3422" s="196" t="s">
        <v>11233</v>
      </c>
      <c r="G3422" s="196" t="s">
        <v>12378</v>
      </c>
      <c r="H3422" s="196" t="s">
        <v>11235</v>
      </c>
    </row>
    <row r="3423" spans="1:8" x14ac:dyDescent="0.15">
      <c r="A3423" s="196" t="s">
        <v>11229</v>
      </c>
      <c r="B3423" s="196" t="s">
        <v>11230</v>
      </c>
      <c r="C3423" s="196" t="s">
        <v>19357</v>
      </c>
      <c r="D3423" s="196" t="s">
        <v>19358</v>
      </c>
      <c r="E3423" s="196" t="s">
        <v>19358</v>
      </c>
      <c r="F3423" s="196" t="s">
        <v>11233</v>
      </c>
      <c r="G3423" s="196" t="s">
        <v>12378</v>
      </c>
      <c r="H3423" s="196" t="s">
        <v>11235</v>
      </c>
    </row>
    <row r="3424" spans="1:8" x14ac:dyDescent="0.15">
      <c r="A3424" s="196" t="s">
        <v>11229</v>
      </c>
      <c r="B3424" s="196" t="s">
        <v>11230</v>
      </c>
      <c r="C3424" s="196" t="s">
        <v>19359</v>
      </c>
      <c r="D3424" s="196" t="s">
        <v>19360</v>
      </c>
      <c r="E3424" s="196" t="s">
        <v>19360</v>
      </c>
      <c r="F3424" s="196" t="s">
        <v>11233</v>
      </c>
      <c r="G3424" s="196" t="s">
        <v>12378</v>
      </c>
      <c r="H3424" s="196" t="s">
        <v>11235</v>
      </c>
    </row>
    <row r="3425" spans="1:8" x14ac:dyDescent="0.15">
      <c r="A3425" s="196" t="s">
        <v>11229</v>
      </c>
      <c r="B3425" s="196" t="s">
        <v>11230</v>
      </c>
      <c r="C3425" s="196" t="s">
        <v>19361</v>
      </c>
      <c r="D3425" s="196" t="s">
        <v>19362</v>
      </c>
      <c r="E3425" s="196" t="s">
        <v>19362</v>
      </c>
      <c r="F3425" s="196" t="s">
        <v>11233</v>
      </c>
      <c r="G3425" s="196" t="s">
        <v>12378</v>
      </c>
      <c r="H3425" s="196" t="s">
        <v>11235</v>
      </c>
    </row>
    <row r="3426" spans="1:8" x14ac:dyDescent="0.15">
      <c r="A3426" s="196" t="s">
        <v>11229</v>
      </c>
      <c r="B3426" s="196" t="s">
        <v>11230</v>
      </c>
      <c r="C3426" s="196" t="s">
        <v>19363</v>
      </c>
      <c r="D3426" s="196" t="s">
        <v>19364</v>
      </c>
      <c r="E3426" s="196" t="s">
        <v>19364</v>
      </c>
      <c r="F3426" s="196" t="s">
        <v>11233</v>
      </c>
      <c r="G3426" s="196" t="s">
        <v>12378</v>
      </c>
      <c r="H3426" s="196" t="s">
        <v>11235</v>
      </c>
    </row>
    <row r="3427" spans="1:8" x14ac:dyDescent="0.15">
      <c r="A3427" s="196" t="s">
        <v>11229</v>
      </c>
      <c r="B3427" s="196" t="s">
        <v>11230</v>
      </c>
      <c r="C3427" s="196" t="s">
        <v>19365</v>
      </c>
      <c r="D3427" s="196" t="s">
        <v>19366</v>
      </c>
      <c r="E3427" s="196" t="s">
        <v>19367</v>
      </c>
      <c r="F3427" s="196" t="s">
        <v>19128</v>
      </c>
      <c r="G3427" s="196" t="s">
        <v>12378</v>
      </c>
      <c r="H3427" s="196" t="s">
        <v>11235</v>
      </c>
    </row>
    <row r="3428" spans="1:8" x14ac:dyDescent="0.15">
      <c r="A3428" s="196" t="s">
        <v>11229</v>
      </c>
      <c r="B3428" s="196" t="s">
        <v>11230</v>
      </c>
      <c r="C3428" s="196" t="s">
        <v>19368</v>
      </c>
      <c r="D3428" s="196" t="s">
        <v>19369</v>
      </c>
      <c r="E3428" s="196" t="s">
        <v>19370</v>
      </c>
      <c r="F3428" s="196" t="s">
        <v>19371</v>
      </c>
      <c r="G3428" s="196" t="s">
        <v>12378</v>
      </c>
      <c r="H3428" s="196" t="s">
        <v>11235</v>
      </c>
    </row>
    <row r="3429" spans="1:8" x14ac:dyDescent="0.15">
      <c r="A3429" s="196" t="s">
        <v>11229</v>
      </c>
      <c r="B3429" s="196" t="s">
        <v>11230</v>
      </c>
      <c r="C3429" s="196" t="s">
        <v>19372</v>
      </c>
      <c r="D3429" s="196" t="s">
        <v>19373</v>
      </c>
      <c r="E3429" s="196" t="s">
        <v>19374</v>
      </c>
      <c r="F3429" s="196" t="s">
        <v>12558</v>
      </c>
      <c r="G3429" s="196" t="s">
        <v>12378</v>
      </c>
      <c r="H3429" s="196" t="s">
        <v>11235</v>
      </c>
    </row>
    <row r="3430" spans="1:8" x14ac:dyDescent="0.15">
      <c r="A3430" s="196" t="s">
        <v>11229</v>
      </c>
      <c r="B3430" s="196" t="s">
        <v>11230</v>
      </c>
      <c r="C3430" s="196" t="s">
        <v>19375</v>
      </c>
      <c r="D3430" s="196" t="s">
        <v>19376</v>
      </c>
      <c r="E3430" s="196" t="s">
        <v>19377</v>
      </c>
      <c r="F3430" s="196" t="s">
        <v>19378</v>
      </c>
      <c r="G3430" s="196" t="s">
        <v>12378</v>
      </c>
      <c r="H3430" s="196" t="s">
        <v>11235</v>
      </c>
    </row>
    <row r="3431" spans="1:8" x14ac:dyDescent="0.15">
      <c r="A3431" s="196" t="s">
        <v>11229</v>
      </c>
      <c r="B3431" s="196" t="s">
        <v>11230</v>
      </c>
      <c r="C3431" s="196" t="s">
        <v>19379</v>
      </c>
      <c r="D3431" s="196" t="s">
        <v>19380</v>
      </c>
      <c r="E3431" s="196" t="s">
        <v>19381</v>
      </c>
      <c r="F3431" s="196" t="s">
        <v>14417</v>
      </c>
      <c r="G3431" s="196" t="s">
        <v>12378</v>
      </c>
      <c r="H3431" s="196" t="s">
        <v>11235</v>
      </c>
    </row>
    <row r="3432" spans="1:8" x14ac:dyDescent="0.15">
      <c r="A3432" s="196" t="s">
        <v>11229</v>
      </c>
      <c r="B3432" s="196" t="s">
        <v>11230</v>
      </c>
      <c r="C3432" s="196" t="s">
        <v>19382</v>
      </c>
      <c r="D3432" s="196" t="s">
        <v>19383</v>
      </c>
      <c r="E3432" s="196" t="s">
        <v>19384</v>
      </c>
      <c r="F3432" s="196" t="s">
        <v>12544</v>
      </c>
      <c r="G3432" s="196" t="s">
        <v>12378</v>
      </c>
      <c r="H3432" s="196" t="s">
        <v>11235</v>
      </c>
    </row>
    <row r="3433" spans="1:8" x14ac:dyDescent="0.15">
      <c r="A3433" s="196" t="s">
        <v>11229</v>
      </c>
      <c r="B3433" s="196" t="s">
        <v>11230</v>
      </c>
      <c r="C3433" s="196" t="s">
        <v>19385</v>
      </c>
      <c r="D3433" s="196" t="s">
        <v>19386</v>
      </c>
      <c r="E3433" s="196" t="s">
        <v>19387</v>
      </c>
      <c r="F3433" s="196" t="s">
        <v>19388</v>
      </c>
      <c r="G3433" s="196" t="s">
        <v>12378</v>
      </c>
      <c r="H3433" s="196" t="s">
        <v>11235</v>
      </c>
    </row>
    <row r="3434" spans="1:8" x14ac:dyDescent="0.15">
      <c r="A3434" s="196" t="s">
        <v>11229</v>
      </c>
      <c r="B3434" s="196" t="s">
        <v>11230</v>
      </c>
      <c r="C3434" s="196" t="s">
        <v>19389</v>
      </c>
      <c r="D3434" s="196" t="s">
        <v>19390</v>
      </c>
      <c r="E3434" s="196" t="s">
        <v>19391</v>
      </c>
      <c r="F3434" s="196" t="s">
        <v>19392</v>
      </c>
      <c r="G3434" s="196" t="s">
        <v>11449</v>
      </c>
      <c r="H3434" s="196" t="s">
        <v>12712</v>
      </c>
    </row>
    <row r="3435" spans="1:8" x14ac:dyDescent="0.15">
      <c r="A3435" s="196" t="s">
        <v>11229</v>
      </c>
      <c r="B3435" s="196" t="s">
        <v>11230</v>
      </c>
      <c r="C3435" s="196" t="s">
        <v>19393</v>
      </c>
      <c r="D3435" s="196" t="s">
        <v>19390</v>
      </c>
      <c r="E3435" s="196" t="s">
        <v>19391</v>
      </c>
      <c r="F3435" s="196" t="s">
        <v>19392</v>
      </c>
      <c r="G3435" s="196" t="s">
        <v>11449</v>
      </c>
      <c r="H3435" s="196" t="s">
        <v>12712</v>
      </c>
    </row>
    <row r="3436" spans="1:8" x14ac:dyDescent="0.15">
      <c r="A3436" s="196" t="s">
        <v>11229</v>
      </c>
      <c r="B3436" s="196" t="s">
        <v>11230</v>
      </c>
      <c r="C3436" s="196" t="s">
        <v>19394</v>
      </c>
      <c r="D3436" s="196" t="s">
        <v>19390</v>
      </c>
      <c r="E3436" s="196" t="s">
        <v>19391</v>
      </c>
      <c r="F3436" s="196" t="s">
        <v>19392</v>
      </c>
      <c r="G3436" s="196" t="s">
        <v>11449</v>
      </c>
      <c r="H3436" s="196" t="s">
        <v>12712</v>
      </c>
    </row>
    <row r="3437" spans="1:8" x14ac:dyDescent="0.15">
      <c r="A3437" s="196" t="s">
        <v>11229</v>
      </c>
      <c r="B3437" s="196" t="s">
        <v>11230</v>
      </c>
      <c r="C3437" s="196" t="s">
        <v>19395</v>
      </c>
      <c r="D3437" s="196" t="s">
        <v>19390</v>
      </c>
      <c r="E3437" s="196" t="s">
        <v>19396</v>
      </c>
      <c r="F3437" s="196" t="s">
        <v>19397</v>
      </c>
      <c r="G3437" s="196" t="s">
        <v>11449</v>
      </c>
      <c r="H3437" s="196" t="s">
        <v>12712</v>
      </c>
    </row>
    <row r="3438" spans="1:8" x14ac:dyDescent="0.15">
      <c r="A3438" s="196" t="s">
        <v>11229</v>
      </c>
      <c r="B3438" s="196" t="s">
        <v>11230</v>
      </c>
      <c r="C3438" s="196" t="s">
        <v>19398</v>
      </c>
      <c r="D3438" s="196" t="s">
        <v>19399</v>
      </c>
      <c r="E3438" s="196" t="s">
        <v>19400</v>
      </c>
      <c r="F3438" s="196" t="s">
        <v>19401</v>
      </c>
      <c r="G3438" s="196" t="s">
        <v>12378</v>
      </c>
      <c r="H3438" s="196" t="s">
        <v>11235</v>
      </c>
    </row>
    <row r="3439" spans="1:8" x14ac:dyDescent="0.15">
      <c r="A3439" s="196" t="s">
        <v>11229</v>
      </c>
      <c r="B3439" s="196" t="s">
        <v>11230</v>
      </c>
      <c r="C3439" s="196" t="s">
        <v>19402</v>
      </c>
      <c r="D3439" s="196" t="s">
        <v>19403</v>
      </c>
      <c r="E3439" s="196" t="s">
        <v>19404</v>
      </c>
      <c r="F3439" s="196" t="s">
        <v>19405</v>
      </c>
      <c r="G3439" s="196" t="s">
        <v>12378</v>
      </c>
      <c r="H3439" s="196" t="s">
        <v>11235</v>
      </c>
    </row>
    <row r="3440" spans="1:8" x14ac:dyDescent="0.15">
      <c r="A3440" s="196" t="s">
        <v>11229</v>
      </c>
      <c r="B3440" s="196" t="s">
        <v>11230</v>
      </c>
      <c r="C3440" s="196" t="s">
        <v>19406</v>
      </c>
      <c r="D3440" s="196" t="s">
        <v>19407</v>
      </c>
      <c r="E3440" s="196" t="s">
        <v>19408</v>
      </c>
      <c r="F3440" s="196" t="s">
        <v>17665</v>
      </c>
      <c r="G3440" s="196" t="s">
        <v>12378</v>
      </c>
      <c r="H3440" s="196" t="s">
        <v>11235</v>
      </c>
    </row>
    <row r="3441" spans="1:8" x14ac:dyDescent="0.15">
      <c r="A3441" s="196" t="s">
        <v>11229</v>
      </c>
      <c r="B3441" s="196" t="s">
        <v>11230</v>
      </c>
      <c r="C3441" s="196" t="s">
        <v>19409</v>
      </c>
      <c r="D3441" s="196" t="s">
        <v>19410</v>
      </c>
      <c r="E3441" s="196" t="s">
        <v>19410</v>
      </c>
      <c r="F3441" s="196" t="s">
        <v>11233</v>
      </c>
      <c r="G3441" s="196" t="s">
        <v>12378</v>
      </c>
      <c r="H3441" s="196" t="s">
        <v>11235</v>
      </c>
    </row>
    <row r="3442" spans="1:8" x14ac:dyDescent="0.15">
      <c r="A3442" s="196" t="s">
        <v>11229</v>
      </c>
      <c r="B3442" s="196" t="s">
        <v>11230</v>
      </c>
      <c r="C3442" s="196" t="s">
        <v>19411</v>
      </c>
      <c r="D3442" s="196" t="s">
        <v>19412</v>
      </c>
      <c r="E3442" s="196" t="s">
        <v>19412</v>
      </c>
      <c r="F3442" s="196" t="s">
        <v>11233</v>
      </c>
      <c r="G3442" s="196" t="s">
        <v>12378</v>
      </c>
      <c r="H3442" s="196" t="s">
        <v>11235</v>
      </c>
    </row>
    <row r="3443" spans="1:8" x14ac:dyDescent="0.15">
      <c r="A3443" s="196" t="s">
        <v>11229</v>
      </c>
      <c r="B3443" s="196" t="s">
        <v>11230</v>
      </c>
      <c r="C3443" s="196" t="s">
        <v>19413</v>
      </c>
      <c r="D3443" s="196" t="s">
        <v>19414</v>
      </c>
      <c r="E3443" s="196" t="s">
        <v>19414</v>
      </c>
      <c r="F3443" s="196" t="s">
        <v>11233</v>
      </c>
      <c r="G3443" s="196" t="s">
        <v>12378</v>
      </c>
      <c r="H3443" s="196" t="s">
        <v>11235</v>
      </c>
    </row>
    <row r="3444" spans="1:8" x14ac:dyDescent="0.15">
      <c r="A3444" s="196" t="s">
        <v>11229</v>
      </c>
      <c r="B3444" s="196" t="s">
        <v>11230</v>
      </c>
      <c r="C3444" s="196" t="s">
        <v>19415</v>
      </c>
      <c r="D3444" s="196" t="s">
        <v>19416</v>
      </c>
      <c r="E3444" s="196" t="s">
        <v>19416</v>
      </c>
      <c r="F3444" s="196" t="s">
        <v>11233</v>
      </c>
      <c r="G3444" s="196" t="s">
        <v>12378</v>
      </c>
      <c r="H3444" s="196" t="s">
        <v>11235</v>
      </c>
    </row>
    <row r="3445" spans="1:8" x14ac:dyDescent="0.15">
      <c r="A3445" s="196" t="s">
        <v>11229</v>
      </c>
      <c r="B3445" s="196" t="s">
        <v>11230</v>
      </c>
      <c r="C3445" s="196" t="s">
        <v>19417</v>
      </c>
      <c r="D3445" s="196" t="s">
        <v>19418</v>
      </c>
      <c r="E3445" s="196" t="s">
        <v>19418</v>
      </c>
      <c r="F3445" s="196" t="s">
        <v>11233</v>
      </c>
      <c r="G3445" s="196" t="s">
        <v>12378</v>
      </c>
      <c r="H3445" s="196" t="s">
        <v>11235</v>
      </c>
    </row>
    <row r="3446" spans="1:8" x14ac:dyDescent="0.15">
      <c r="A3446" s="196" t="s">
        <v>11229</v>
      </c>
      <c r="B3446" s="196" t="s">
        <v>11230</v>
      </c>
      <c r="C3446" s="196" t="s">
        <v>19419</v>
      </c>
      <c r="D3446" s="196" t="s">
        <v>19420</v>
      </c>
      <c r="E3446" s="196" t="s">
        <v>19420</v>
      </c>
      <c r="F3446" s="196" t="s">
        <v>11233</v>
      </c>
      <c r="G3446" s="196" t="s">
        <v>12378</v>
      </c>
      <c r="H3446" s="196" t="s">
        <v>11235</v>
      </c>
    </row>
    <row r="3447" spans="1:8" x14ac:dyDescent="0.15">
      <c r="A3447" s="196" t="s">
        <v>11229</v>
      </c>
      <c r="B3447" s="196" t="s">
        <v>11230</v>
      </c>
      <c r="C3447" s="196" t="s">
        <v>19421</v>
      </c>
      <c r="D3447" s="196" t="s">
        <v>19422</v>
      </c>
      <c r="E3447" s="196" t="s">
        <v>19422</v>
      </c>
      <c r="F3447" s="196" t="s">
        <v>11233</v>
      </c>
      <c r="G3447" s="196" t="s">
        <v>12378</v>
      </c>
      <c r="H3447" s="196" t="s">
        <v>11235</v>
      </c>
    </row>
    <row r="3448" spans="1:8" x14ac:dyDescent="0.15">
      <c r="A3448" s="196" t="s">
        <v>11229</v>
      </c>
      <c r="B3448" s="196" t="s">
        <v>11230</v>
      </c>
      <c r="C3448" s="196" t="s">
        <v>19423</v>
      </c>
      <c r="D3448" s="196" t="s">
        <v>19424</v>
      </c>
      <c r="E3448" s="196" t="s">
        <v>19424</v>
      </c>
      <c r="F3448" s="196" t="s">
        <v>11233</v>
      </c>
      <c r="G3448" s="196" t="s">
        <v>12378</v>
      </c>
      <c r="H3448" s="196" t="s">
        <v>11235</v>
      </c>
    </row>
    <row r="3449" spans="1:8" x14ac:dyDescent="0.15">
      <c r="A3449" s="196" t="s">
        <v>11229</v>
      </c>
      <c r="B3449" s="196" t="s">
        <v>11230</v>
      </c>
      <c r="C3449" s="196" t="s">
        <v>19425</v>
      </c>
      <c r="D3449" s="196" t="s">
        <v>19426</v>
      </c>
      <c r="E3449" s="196" t="s">
        <v>19427</v>
      </c>
      <c r="F3449" s="196" t="s">
        <v>11241</v>
      </c>
      <c r="G3449" s="196" t="s">
        <v>12378</v>
      </c>
      <c r="H3449" s="196" t="s">
        <v>11235</v>
      </c>
    </row>
    <row r="3450" spans="1:8" x14ac:dyDescent="0.15">
      <c r="A3450" s="196" t="s">
        <v>11229</v>
      </c>
      <c r="B3450" s="196" t="s">
        <v>11230</v>
      </c>
      <c r="C3450" s="196" t="s">
        <v>19428</v>
      </c>
      <c r="D3450" s="196" t="s">
        <v>19429</v>
      </c>
      <c r="E3450" s="196" t="s">
        <v>19429</v>
      </c>
      <c r="F3450" s="196" t="s">
        <v>11233</v>
      </c>
      <c r="G3450" s="196" t="s">
        <v>12378</v>
      </c>
      <c r="H3450" s="196" t="s">
        <v>11235</v>
      </c>
    </row>
    <row r="3451" spans="1:8" x14ac:dyDescent="0.15">
      <c r="A3451" s="196" t="s">
        <v>11229</v>
      </c>
      <c r="B3451" s="196" t="s">
        <v>11230</v>
      </c>
      <c r="C3451" s="196" t="s">
        <v>19430</v>
      </c>
      <c r="D3451" s="196" t="s">
        <v>19431</v>
      </c>
      <c r="E3451" s="196" t="s">
        <v>19431</v>
      </c>
      <c r="F3451" s="196" t="s">
        <v>11233</v>
      </c>
      <c r="G3451" s="196" t="s">
        <v>12378</v>
      </c>
      <c r="H3451" s="196" t="s">
        <v>11235</v>
      </c>
    </row>
    <row r="3452" spans="1:8" x14ac:dyDescent="0.15">
      <c r="A3452" s="196" t="s">
        <v>11229</v>
      </c>
      <c r="B3452" s="196" t="s">
        <v>11230</v>
      </c>
      <c r="C3452" s="196" t="s">
        <v>19432</v>
      </c>
      <c r="D3452" s="196" t="s">
        <v>19433</v>
      </c>
      <c r="E3452" s="196" t="s">
        <v>19433</v>
      </c>
      <c r="F3452" s="196" t="s">
        <v>11233</v>
      </c>
      <c r="G3452" s="196" t="s">
        <v>12378</v>
      </c>
      <c r="H3452" s="196" t="s">
        <v>11235</v>
      </c>
    </row>
    <row r="3453" spans="1:8" x14ac:dyDescent="0.15">
      <c r="A3453" s="196" t="s">
        <v>11229</v>
      </c>
      <c r="B3453" s="196" t="s">
        <v>11230</v>
      </c>
      <c r="C3453" s="196" t="s">
        <v>19434</v>
      </c>
      <c r="D3453" s="196" t="s">
        <v>19435</v>
      </c>
      <c r="E3453" s="196" t="s">
        <v>19435</v>
      </c>
      <c r="F3453" s="196" t="s">
        <v>11233</v>
      </c>
      <c r="G3453" s="196" t="s">
        <v>12378</v>
      </c>
      <c r="H3453" s="196" t="s">
        <v>11235</v>
      </c>
    </row>
    <row r="3454" spans="1:8" x14ac:dyDescent="0.15">
      <c r="A3454" s="196" t="s">
        <v>11229</v>
      </c>
      <c r="B3454" s="196" t="s">
        <v>11230</v>
      </c>
      <c r="C3454" s="196" t="s">
        <v>19436</v>
      </c>
      <c r="D3454" s="196" t="s">
        <v>19437</v>
      </c>
      <c r="E3454" s="196" t="s">
        <v>19437</v>
      </c>
      <c r="F3454" s="196" t="s">
        <v>11233</v>
      </c>
      <c r="G3454" s="196" t="s">
        <v>12378</v>
      </c>
      <c r="H3454" s="196" t="s">
        <v>11235</v>
      </c>
    </row>
    <row r="3455" spans="1:8" x14ac:dyDescent="0.15">
      <c r="A3455" s="196" t="s">
        <v>11229</v>
      </c>
      <c r="B3455" s="196" t="s">
        <v>11230</v>
      </c>
      <c r="C3455" s="196" t="s">
        <v>19438</v>
      </c>
      <c r="D3455" s="196" t="s">
        <v>19439</v>
      </c>
      <c r="E3455" s="196" t="s">
        <v>19439</v>
      </c>
      <c r="F3455" s="196" t="s">
        <v>11233</v>
      </c>
      <c r="G3455" s="196" t="s">
        <v>12378</v>
      </c>
      <c r="H3455" s="196" t="s">
        <v>11235</v>
      </c>
    </row>
    <row r="3456" spans="1:8" x14ac:dyDescent="0.15">
      <c r="A3456" s="196" t="s">
        <v>11229</v>
      </c>
      <c r="B3456" s="196" t="s">
        <v>11230</v>
      </c>
      <c r="C3456" s="196" t="s">
        <v>19440</v>
      </c>
      <c r="D3456" s="196" t="s">
        <v>19441</v>
      </c>
      <c r="E3456" s="196" t="s">
        <v>19441</v>
      </c>
      <c r="F3456" s="196" t="s">
        <v>11233</v>
      </c>
      <c r="G3456" s="196" t="s">
        <v>12378</v>
      </c>
      <c r="H3456" s="196" t="s">
        <v>11235</v>
      </c>
    </row>
    <row r="3457" spans="1:8" x14ac:dyDescent="0.15">
      <c r="A3457" s="196" t="s">
        <v>11229</v>
      </c>
      <c r="B3457" s="196" t="s">
        <v>11230</v>
      </c>
      <c r="C3457" s="196" t="s">
        <v>19442</v>
      </c>
      <c r="D3457" s="196" t="s">
        <v>19443</v>
      </c>
      <c r="E3457" s="196" t="s">
        <v>19443</v>
      </c>
      <c r="F3457" s="196" t="s">
        <v>11233</v>
      </c>
      <c r="G3457" s="196" t="s">
        <v>12378</v>
      </c>
      <c r="H3457" s="196" t="s">
        <v>11235</v>
      </c>
    </row>
    <row r="3458" spans="1:8" x14ac:dyDescent="0.15">
      <c r="A3458" s="196" t="s">
        <v>11229</v>
      </c>
      <c r="B3458" s="196" t="s">
        <v>11230</v>
      </c>
      <c r="C3458" s="196" t="s">
        <v>19444</v>
      </c>
      <c r="D3458" s="196" t="s">
        <v>19445</v>
      </c>
      <c r="E3458" s="196" t="s">
        <v>19445</v>
      </c>
      <c r="F3458" s="196" t="s">
        <v>11233</v>
      </c>
      <c r="G3458" s="196" t="s">
        <v>12378</v>
      </c>
      <c r="H3458" s="196" t="s">
        <v>11235</v>
      </c>
    </row>
    <row r="3459" spans="1:8" x14ac:dyDescent="0.15">
      <c r="A3459" s="196" t="s">
        <v>11229</v>
      </c>
      <c r="B3459" s="196" t="s">
        <v>11230</v>
      </c>
      <c r="C3459" s="196" t="s">
        <v>19446</v>
      </c>
      <c r="D3459" s="196" t="s">
        <v>19447</v>
      </c>
      <c r="E3459" s="196" t="s">
        <v>19447</v>
      </c>
      <c r="F3459" s="196" t="s">
        <v>11233</v>
      </c>
      <c r="G3459" s="196" t="s">
        <v>12378</v>
      </c>
      <c r="H3459" s="196" t="s">
        <v>11235</v>
      </c>
    </row>
    <row r="3460" spans="1:8" x14ac:dyDescent="0.15">
      <c r="A3460" s="196" t="s">
        <v>11229</v>
      </c>
      <c r="B3460" s="196" t="s">
        <v>11230</v>
      </c>
      <c r="C3460" s="196" t="s">
        <v>19448</v>
      </c>
      <c r="D3460" s="196" t="s">
        <v>19449</v>
      </c>
      <c r="E3460" s="196" t="s">
        <v>19449</v>
      </c>
      <c r="F3460" s="196" t="s">
        <v>11233</v>
      </c>
      <c r="G3460" s="196" t="s">
        <v>12378</v>
      </c>
      <c r="H3460" s="196" t="s">
        <v>11235</v>
      </c>
    </row>
    <row r="3461" spans="1:8" x14ac:dyDescent="0.15">
      <c r="A3461" s="196" t="s">
        <v>11229</v>
      </c>
      <c r="B3461" s="196" t="s">
        <v>11230</v>
      </c>
      <c r="C3461" s="196" t="s">
        <v>19450</v>
      </c>
      <c r="D3461" s="196" t="s">
        <v>19451</v>
      </c>
      <c r="E3461" s="196" t="s">
        <v>19451</v>
      </c>
      <c r="F3461" s="196" t="s">
        <v>11233</v>
      </c>
      <c r="G3461" s="196" t="s">
        <v>12378</v>
      </c>
      <c r="H3461" s="196" t="s">
        <v>11235</v>
      </c>
    </row>
    <row r="3462" spans="1:8" x14ac:dyDescent="0.15">
      <c r="A3462" s="196" t="s">
        <v>11229</v>
      </c>
      <c r="B3462" s="196" t="s">
        <v>11230</v>
      </c>
      <c r="C3462" s="196" t="s">
        <v>19452</v>
      </c>
      <c r="D3462" s="196" t="s">
        <v>19453</v>
      </c>
      <c r="E3462" s="196" t="s">
        <v>19453</v>
      </c>
      <c r="F3462" s="196" t="s">
        <v>11233</v>
      </c>
      <c r="G3462" s="196" t="s">
        <v>12378</v>
      </c>
      <c r="H3462" s="196" t="s">
        <v>11235</v>
      </c>
    </row>
    <row r="3463" spans="1:8" x14ac:dyDescent="0.15">
      <c r="A3463" s="196" t="s">
        <v>11229</v>
      </c>
      <c r="B3463" s="196" t="s">
        <v>11230</v>
      </c>
      <c r="C3463" s="196" t="s">
        <v>19454</v>
      </c>
      <c r="D3463" s="196" t="s">
        <v>19455</v>
      </c>
      <c r="E3463" s="196" t="s">
        <v>19455</v>
      </c>
      <c r="F3463" s="196" t="s">
        <v>11233</v>
      </c>
      <c r="G3463" s="196" t="s">
        <v>12378</v>
      </c>
      <c r="H3463" s="196" t="s">
        <v>11235</v>
      </c>
    </row>
    <row r="3464" spans="1:8" x14ac:dyDescent="0.15">
      <c r="A3464" s="196" t="s">
        <v>11229</v>
      </c>
      <c r="B3464" s="196" t="s">
        <v>11230</v>
      </c>
      <c r="C3464" s="196" t="s">
        <v>19456</v>
      </c>
      <c r="D3464" s="196" t="s">
        <v>19457</v>
      </c>
      <c r="E3464" s="196" t="s">
        <v>19458</v>
      </c>
      <c r="F3464" s="196" t="s">
        <v>11241</v>
      </c>
      <c r="G3464" s="196" t="s">
        <v>12378</v>
      </c>
      <c r="H3464" s="196" t="s">
        <v>11235</v>
      </c>
    </row>
    <row r="3465" spans="1:8" x14ac:dyDescent="0.15">
      <c r="A3465" s="196" t="s">
        <v>11229</v>
      </c>
      <c r="B3465" s="196" t="s">
        <v>11230</v>
      </c>
      <c r="C3465" s="196" t="s">
        <v>19459</v>
      </c>
      <c r="D3465" s="196" t="s">
        <v>19460</v>
      </c>
      <c r="E3465" s="196" t="s">
        <v>19460</v>
      </c>
      <c r="F3465" s="196" t="s">
        <v>11233</v>
      </c>
      <c r="G3465" s="196" t="s">
        <v>12378</v>
      </c>
      <c r="H3465" s="196" t="s">
        <v>11235</v>
      </c>
    </row>
    <row r="3466" spans="1:8" x14ac:dyDescent="0.15">
      <c r="A3466" s="196" t="s">
        <v>11229</v>
      </c>
      <c r="B3466" s="196" t="s">
        <v>11230</v>
      </c>
      <c r="C3466" s="196" t="s">
        <v>19461</v>
      </c>
      <c r="D3466" s="196" t="s">
        <v>19462</v>
      </c>
      <c r="E3466" s="196" t="s">
        <v>19462</v>
      </c>
      <c r="F3466" s="196" t="s">
        <v>11233</v>
      </c>
      <c r="G3466" s="196" t="s">
        <v>12378</v>
      </c>
      <c r="H3466" s="196" t="s">
        <v>11235</v>
      </c>
    </row>
    <row r="3467" spans="1:8" x14ac:dyDescent="0.15">
      <c r="A3467" s="196" t="s">
        <v>11229</v>
      </c>
      <c r="B3467" s="196" t="s">
        <v>11230</v>
      </c>
      <c r="C3467" s="196" t="s">
        <v>19463</v>
      </c>
      <c r="D3467" s="196" t="s">
        <v>19464</v>
      </c>
      <c r="E3467" s="196" t="s">
        <v>19465</v>
      </c>
      <c r="F3467" s="196" t="s">
        <v>13023</v>
      </c>
      <c r="G3467" s="196" t="s">
        <v>12378</v>
      </c>
      <c r="H3467" s="196" t="s">
        <v>11235</v>
      </c>
    </row>
    <row r="3468" spans="1:8" x14ac:dyDescent="0.15">
      <c r="A3468" s="196" t="s">
        <v>11229</v>
      </c>
      <c r="B3468" s="196" t="s">
        <v>11230</v>
      </c>
      <c r="C3468" s="196" t="s">
        <v>19466</v>
      </c>
      <c r="D3468" s="196" t="s">
        <v>19465</v>
      </c>
      <c r="E3468" s="196" t="s">
        <v>19467</v>
      </c>
      <c r="F3468" s="196" t="s">
        <v>13023</v>
      </c>
      <c r="G3468" s="196" t="s">
        <v>12378</v>
      </c>
      <c r="H3468" s="196" t="s">
        <v>11235</v>
      </c>
    </row>
    <row r="3469" spans="1:8" x14ac:dyDescent="0.15">
      <c r="A3469" s="196" t="s">
        <v>11229</v>
      </c>
      <c r="B3469" s="196" t="s">
        <v>11230</v>
      </c>
      <c r="C3469" s="196" t="s">
        <v>19468</v>
      </c>
      <c r="D3469" s="196" t="s">
        <v>19467</v>
      </c>
      <c r="E3469" s="196" t="s">
        <v>19469</v>
      </c>
      <c r="F3469" s="196" t="s">
        <v>11241</v>
      </c>
      <c r="G3469" s="196" t="s">
        <v>12378</v>
      </c>
      <c r="H3469" s="196" t="s">
        <v>11235</v>
      </c>
    </row>
    <row r="3470" spans="1:8" x14ac:dyDescent="0.15">
      <c r="A3470" s="196" t="s">
        <v>11229</v>
      </c>
      <c r="B3470" s="196" t="s">
        <v>11230</v>
      </c>
      <c r="C3470" s="196" t="s">
        <v>19470</v>
      </c>
      <c r="D3470" s="196" t="s">
        <v>19471</v>
      </c>
      <c r="E3470" s="196" t="s">
        <v>19471</v>
      </c>
      <c r="F3470" s="196" t="s">
        <v>11233</v>
      </c>
      <c r="G3470" s="196" t="s">
        <v>12378</v>
      </c>
      <c r="H3470" s="196" t="s">
        <v>11235</v>
      </c>
    </row>
    <row r="3471" spans="1:8" x14ac:dyDescent="0.15">
      <c r="A3471" s="196" t="s">
        <v>11229</v>
      </c>
      <c r="B3471" s="196" t="s">
        <v>11230</v>
      </c>
      <c r="C3471" s="196" t="s">
        <v>19472</v>
      </c>
      <c r="D3471" s="196" t="s">
        <v>19473</v>
      </c>
      <c r="E3471" s="196" t="s">
        <v>19474</v>
      </c>
      <c r="F3471" s="196" t="s">
        <v>11241</v>
      </c>
      <c r="G3471" s="196" t="s">
        <v>12378</v>
      </c>
      <c r="H3471" s="196" t="s">
        <v>11235</v>
      </c>
    </row>
    <row r="3472" spans="1:8" x14ac:dyDescent="0.15">
      <c r="A3472" s="196" t="s">
        <v>11229</v>
      </c>
      <c r="B3472" s="196" t="s">
        <v>11230</v>
      </c>
      <c r="C3472" s="196" t="s">
        <v>19475</v>
      </c>
      <c r="D3472" s="196" t="s">
        <v>19476</v>
      </c>
      <c r="E3472" s="196" t="s">
        <v>19477</v>
      </c>
      <c r="F3472" s="196" t="s">
        <v>11241</v>
      </c>
      <c r="G3472" s="196" t="s">
        <v>12378</v>
      </c>
      <c r="H3472" s="196" t="s">
        <v>11235</v>
      </c>
    </row>
    <row r="3473" spans="1:8" x14ac:dyDescent="0.15">
      <c r="A3473" s="196" t="s">
        <v>11229</v>
      </c>
      <c r="B3473" s="196" t="s">
        <v>11230</v>
      </c>
      <c r="C3473" s="196" t="s">
        <v>19478</v>
      </c>
      <c r="D3473" s="196" t="s">
        <v>19479</v>
      </c>
      <c r="E3473" s="196" t="s">
        <v>19480</v>
      </c>
      <c r="F3473" s="196" t="s">
        <v>11241</v>
      </c>
      <c r="G3473" s="196" t="s">
        <v>12378</v>
      </c>
      <c r="H3473" s="196" t="s">
        <v>11235</v>
      </c>
    </row>
    <row r="3474" spans="1:8" x14ac:dyDescent="0.15">
      <c r="A3474" s="196" t="s">
        <v>11229</v>
      </c>
      <c r="B3474" s="196" t="s">
        <v>11230</v>
      </c>
      <c r="C3474" s="196" t="s">
        <v>19481</v>
      </c>
      <c r="D3474" s="196" t="s">
        <v>19482</v>
      </c>
      <c r="E3474" s="196" t="s">
        <v>19482</v>
      </c>
      <c r="F3474" s="196" t="s">
        <v>11233</v>
      </c>
      <c r="G3474" s="196" t="s">
        <v>12378</v>
      </c>
      <c r="H3474" s="196" t="s">
        <v>11235</v>
      </c>
    </row>
    <row r="3475" spans="1:8" x14ac:dyDescent="0.15">
      <c r="A3475" s="196" t="s">
        <v>11229</v>
      </c>
      <c r="B3475" s="196" t="s">
        <v>11230</v>
      </c>
      <c r="C3475" s="196" t="s">
        <v>19483</v>
      </c>
      <c r="D3475" s="196" t="s">
        <v>19484</v>
      </c>
      <c r="E3475" s="196" t="s">
        <v>19484</v>
      </c>
      <c r="F3475" s="196" t="s">
        <v>11233</v>
      </c>
      <c r="G3475" s="196" t="s">
        <v>12378</v>
      </c>
      <c r="H3475" s="196" t="s">
        <v>11235</v>
      </c>
    </row>
    <row r="3476" spans="1:8" x14ac:dyDescent="0.15">
      <c r="A3476" s="196" t="s">
        <v>11229</v>
      </c>
      <c r="B3476" s="196" t="s">
        <v>11230</v>
      </c>
      <c r="C3476" s="196" t="s">
        <v>19485</v>
      </c>
      <c r="D3476" s="196" t="s">
        <v>19486</v>
      </c>
      <c r="E3476" s="196" t="s">
        <v>19486</v>
      </c>
      <c r="F3476" s="196" t="s">
        <v>11233</v>
      </c>
      <c r="G3476" s="196" t="s">
        <v>12378</v>
      </c>
      <c r="H3476" s="196" t="s">
        <v>11235</v>
      </c>
    </row>
    <row r="3477" spans="1:8" x14ac:dyDescent="0.15">
      <c r="A3477" s="196" t="s">
        <v>11229</v>
      </c>
      <c r="B3477" s="196" t="s">
        <v>11230</v>
      </c>
      <c r="C3477" s="196" t="s">
        <v>19487</v>
      </c>
      <c r="D3477" s="196" t="s">
        <v>19488</v>
      </c>
      <c r="E3477" s="196" t="s">
        <v>19488</v>
      </c>
      <c r="F3477" s="196" t="s">
        <v>11233</v>
      </c>
      <c r="G3477" s="196" t="s">
        <v>12378</v>
      </c>
      <c r="H3477" s="196" t="s">
        <v>11235</v>
      </c>
    </row>
    <row r="3478" spans="1:8" x14ac:dyDescent="0.15">
      <c r="A3478" s="196" t="s">
        <v>11229</v>
      </c>
      <c r="B3478" s="196" t="s">
        <v>11230</v>
      </c>
      <c r="C3478" s="196" t="s">
        <v>19489</v>
      </c>
      <c r="D3478" s="196" t="s">
        <v>19490</v>
      </c>
      <c r="E3478" s="196" t="s">
        <v>19490</v>
      </c>
      <c r="F3478" s="196" t="s">
        <v>11233</v>
      </c>
      <c r="G3478" s="196" t="s">
        <v>12378</v>
      </c>
      <c r="H3478" s="196" t="s">
        <v>11235</v>
      </c>
    </row>
    <row r="3479" spans="1:8" x14ac:dyDescent="0.15">
      <c r="A3479" s="196" t="s">
        <v>11229</v>
      </c>
      <c r="B3479" s="196" t="s">
        <v>11230</v>
      </c>
      <c r="C3479" s="196" t="s">
        <v>19491</v>
      </c>
      <c r="D3479" s="196" t="s">
        <v>19492</v>
      </c>
      <c r="E3479" s="196" t="s">
        <v>19492</v>
      </c>
      <c r="F3479" s="196" t="s">
        <v>11233</v>
      </c>
      <c r="G3479" s="196" t="s">
        <v>12378</v>
      </c>
      <c r="H3479" s="196" t="s">
        <v>11235</v>
      </c>
    </row>
    <row r="3480" spans="1:8" x14ac:dyDescent="0.15">
      <c r="A3480" s="196" t="s">
        <v>11229</v>
      </c>
      <c r="B3480" s="196" t="s">
        <v>11230</v>
      </c>
      <c r="C3480" s="196" t="s">
        <v>19493</v>
      </c>
      <c r="D3480" s="196" t="s">
        <v>19494</v>
      </c>
      <c r="E3480" s="196" t="s">
        <v>19494</v>
      </c>
      <c r="F3480" s="196" t="s">
        <v>11233</v>
      </c>
      <c r="G3480" s="196" t="s">
        <v>12378</v>
      </c>
      <c r="H3480" s="196" t="s">
        <v>11235</v>
      </c>
    </row>
    <row r="3481" spans="1:8" x14ac:dyDescent="0.15">
      <c r="A3481" s="196" t="s">
        <v>11229</v>
      </c>
      <c r="B3481" s="196" t="s">
        <v>11230</v>
      </c>
      <c r="C3481" s="196" t="s">
        <v>19495</v>
      </c>
      <c r="D3481" s="196" t="s">
        <v>19496</v>
      </c>
      <c r="E3481" s="196" t="s">
        <v>19496</v>
      </c>
      <c r="F3481" s="196" t="s">
        <v>11233</v>
      </c>
      <c r="G3481" s="196" t="s">
        <v>12378</v>
      </c>
      <c r="H3481" s="196" t="s">
        <v>11235</v>
      </c>
    </row>
    <row r="3482" spans="1:8" x14ac:dyDescent="0.15">
      <c r="A3482" s="196" t="s">
        <v>11229</v>
      </c>
      <c r="B3482" s="196" t="s">
        <v>11230</v>
      </c>
      <c r="C3482" s="196" t="s">
        <v>19497</v>
      </c>
      <c r="D3482" s="196" t="s">
        <v>19498</v>
      </c>
      <c r="E3482" s="196" t="s">
        <v>19498</v>
      </c>
      <c r="F3482" s="196" t="s">
        <v>11233</v>
      </c>
      <c r="G3482" s="196" t="s">
        <v>12378</v>
      </c>
      <c r="H3482" s="196" t="s">
        <v>11235</v>
      </c>
    </row>
    <row r="3483" spans="1:8" x14ac:dyDescent="0.15">
      <c r="A3483" s="196" t="s">
        <v>11229</v>
      </c>
      <c r="B3483" s="196" t="s">
        <v>11230</v>
      </c>
      <c r="C3483" s="196" t="s">
        <v>19499</v>
      </c>
      <c r="D3483" s="196" t="s">
        <v>19500</v>
      </c>
      <c r="E3483" s="196" t="s">
        <v>19500</v>
      </c>
      <c r="F3483" s="196" t="s">
        <v>11233</v>
      </c>
      <c r="G3483" s="196" t="s">
        <v>12378</v>
      </c>
      <c r="H3483" s="196" t="s">
        <v>11235</v>
      </c>
    </row>
    <row r="3484" spans="1:8" x14ac:dyDescent="0.15">
      <c r="A3484" s="196" t="s">
        <v>11229</v>
      </c>
      <c r="B3484" s="196" t="s">
        <v>11230</v>
      </c>
      <c r="C3484" s="196" t="s">
        <v>19501</v>
      </c>
      <c r="D3484" s="196" t="s">
        <v>19502</v>
      </c>
      <c r="E3484" s="196" t="s">
        <v>19502</v>
      </c>
      <c r="F3484" s="196" t="s">
        <v>11233</v>
      </c>
      <c r="G3484" s="196" t="s">
        <v>12378</v>
      </c>
      <c r="H3484" s="196" t="s">
        <v>11235</v>
      </c>
    </row>
    <row r="3485" spans="1:8" x14ac:dyDescent="0.15">
      <c r="A3485" s="196" t="s">
        <v>11229</v>
      </c>
      <c r="B3485" s="196" t="s">
        <v>11230</v>
      </c>
      <c r="C3485" s="196" t="s">
        <v>19503</v>
      </c>
      <c r="D3485" s="196" t="s">
        <v>19504</v>
      </c>
      <c r="E3485" s="196" t="s">
        <v>19504</v>
      </c>
      <c r="F3485" s="196" t="s">
        <v>11233</v>
      </c>
      <c r="G3485" s="196" t="s">
        <v>12378</v>
      </c>
      <c r="H3485" s="196" t="s">
        <v>11235</v>
      </c>
    </row>
    <row r="3486" spans="1:8" x14ac:dyDescent="0.15">
      <c r="A3486" s="196" t="s">
        <v>11229</v>
      </c>
      <c r="B3486" s="196" t="s">
        <v>11230</v>
      </c>
      <c r="C3486" s="196" t="s">
        <v>19505</v>
      </c>
      <c r="D3486" s="196" t="s">
        <v>19506</v>
      </c>
      <c r="E3486" s="196" t="s">
        <v>19507</v>
      </c>
      <c r="F3486" s="196" t="s">
        <v>13758</v>
      </c>
      <c r="G3486" s="196" t="s">
        <v>12378</v>
      </c>
      <c r="H3486" s="196" t="s">
        <v>11235</v>
      </c>
    </row>
    <row r="3487" spans="1:8" x14ac:dyDescent="0.15">
      <c r="A3487" s="196" t="s">
        <v>11229</v>
      </c>
      <c r="B3487" s="196" t="s">
        <v>11230</v>
      </c>
      <c r="C3487" s="196" t="s">
        <v>19508</v>
      </c>
      <c r="D3487" s="196" t="s">
        <v>19507</v>
      </c>
      <c r="E3487" s="196" t="s">
        <v>19509</v>
      </c>
      <c r="F3487" s="196" t="s">
        <v>11268</v>
      </c>
      <c r="G3487" s="196" t="s">
        <v>12378</v>
      </c>
      <c r="H3487" s="196" t="s">
        <v>11235</v>
      </c>
    </row>
    <row r="3488" spans="1:8" x14ac:dyDescent="0.15">
      <c r="A3488" s="196" t="s">
        <v>11229</v>
      </c>
      <c r="B3488" s="196" t="s">
        <v>11230</v>
      </c>
      <c r="C3488" s="196" t="s">
        <v>19510</v>
      </c>
      <c r="D3488" s="196" t="s">
        <v>19511</v>
      </c>
      <c r="E3488" s="196" t="s">
        <v>19511</v>
      </c>
      <c r="F3488" s="196" t="s">
        <v>11233</v>
      </c>
      <c r="G3488" s="196" t="s">
        <v>12378</v>
      </c>
      <c r="H3488" s="196" t="s">
        <v>11235</v>
      </c>
    </row>
    <row r="3489" spans="1:8" x14ac:dyDescent="0.15">
      <c r="A3489" s="196" t="s">
        <v>11229</v>
      </c>
      <c r="B3489" s="196" t="s">
        <v>11230</v>
      </c>
      <c r="C3489" s="196" t="s">
        <v>19512</v>
      </c>
      <c r="D3489" s="196" t="s">
        <v>19513</v>
      </c>
      <c r="E3489" s="196" t="s">
        <v>19513</v>
      </c>
      <c r="F3489" s="196" t="s">
        <v>11233</v>
      </c>
      <c r="G3489" s="196" t="s">
        <v>12378</v>
      </c>
      <c r="H3489" s="196" t="s">
        <v>11235</v>
      </c>
    </row>
    <row r="3490" spans="1:8" x14ac:dyDescent="0.15">
      <c r="A3490" s="196" t="s">
        <v>11229</v>
      </c>
      <c r="B3490" s="196" t="s">
        <v>11230</v>
      </c>
      <c r="C3490" s="196" t="s">
        <v>19514</v>
      </c>
      <c r="D3490" s="196" t="s">
        <v>19515</v>
      </c>
      <c r="E3490" s="196" t="s">
        <v>19515</v>
      </c>
      <c r="F3490" s="196" t="s">
        <v>11233</v>
      </c>
      <c r="G3490" s="196" t="s">
        <v>12378</v>
      </c>
      <c r="H3490" s="196" t="s">
        <v>11235</v>
      </c>
    </row>
    <row r="3491" spans="1:8" x14ac:dyDescent="0.15">
      <c r="A3491" s="196" t="s">
        <v>11229</v>
      </c>
      <c r="B3491" s="196" t="s">
        <v>11230</v>
      </c>
      <c r="C3491" s="196" t="s">
        <v>19516</v>
      </c>
      <c r="D3491" s="196" t="s">
        <v>19517</v>
      </c>
      <c r="E3491" s="196" t="s">
        <v>19517</v>
      </c>
      <c r="F3491" s="196" t="s">
        <v>11233</v>
      </c>
      <c r="G3491" s="196" t="s">
        <v>12378</v>
      </c>
      <c r="H3491" s="196" t="s">
        <v>11235</v>
      </c>
    </row>
    <row r="3492" spans="1:8" x14ac:dyDescent="0.15">
      <c r="A3492" s="196" t="s">
        <v>11229</v>
      </c>
      <c r="B3492" s="196" t="s">
        <v>11230</v>
      </c>
      <c r="C3492" s="196" t="s">
        <v>19518</v>
      </c>
      <c r="D3492" s="196" t="s">
        <v>19519</v>
      </c>
      <c r="E3492" s="196" t="s">
        <v>19519</v>
      </c>
      <c r="F3492" s="196" t="s">
        <v>11233</v>
      </c>
      <c r="G3492" s="196" t="s">
        <v>12378</v>
      </c>
      <c r="H3492" s="196" t="s">
        <v>11235</v>
      </c>
    </row>
    <row r="3493" spans="1:8" x14ac:dyDescent="0.15">
      <c r="A3493" s="196" t="s">
        <v>11229</v>
      </c>
      <c r="B3493" s="196" t="s">
        <v>11230</v>
      </c>
      <c r="C3493" s="196" t="s">
        <v>19520</v>
      </c>
      <c r="D3493" s="196" t="s">
        <v>19521</v>
      </c>
      <c r="E3493" s="196" t="s">
        <v>19522</v>
      </c>
      <c r="F3493" s="196" t="s">
        <v>11268</v>
      </c>
      <c r="G3493" s="196" t="s">
        <v>12378</v>
      </c>
      <c r="H3493" s="196" t="s">
        <v>11235</v>
      </c>
    </row>
    <row r="3494" spans="1:8" x14ac:dyDescent="0.15">
      <c r="A3494" s="196" t="s">
        <v>11229</v>
      </c>
      <c r="B3494" s="196" t="s">
        <v>11230</v>
      </c>
      <c r="C3494" s="196" t="s">
        <v>19523</v>
      </c>
      <c r="D3494" s="196" t="s">
        <v>19522</v>
      </c>
      <c r="E3494" s="196" t="s">
        <v>19524</v>
      </c>
      <c r="F3494" s="196" t="s">
        <v>11241</v>
      </c>
      <c r="G3494" s="196" t="s">
        <v>12378</v>
      </c>
      <c r="H3494" s="196" t="s">
        <v>11235</v>
      </c>
    </row>
    <row r="3495" spans="1:8" x14ac:dyDescent="0.15">
      <c r="A3495" s="196" t="s">
        <v>11229</v>
      </c>
      <c r="B3495" s="196" t="s">
        <v>11230</v>
      </c>
      <c r="C3495" s="196" t="s">
        <v>19525</v>
      </c>
      <c r="D3495" s="196" t="s">
        <v>19524</v>
      </c>
      <c r="E3495" s="196" t="s">
        <v>19526</v>
      </c>
      <c r="F3495" s="196" t="s">
        <v>11241</v>
      </c>
      <c r="G3495" s="196" t="s">
        <v>12378</v>
      </c>
      <c r="H3495" s="196" t="s">
        <v>11235</v>
      </c>
    </row>
    <row r="3496" spans="1:8" x14ac:dyDescent="0.15">
      <c r="A3496" s="196" t="s">
        <v>11229</v>
      </c>
      <c r="B3496" s="196" t="s">
        <v>11230</v>
      </c>
      <c r="C3496" s="196" t="s">
        <v>19527</v>
      </c>
      <c r="D3496" s="196" t="s">
        <v>19526</v>
      </c>
      <c r="E3496" s="196" t="s">
        <v>19528</v>
      </c>
      <c r="F3496" s="196" t="s">
        <v>11268</v>
      </c>
      <c r="G3496" s="196" t="s">
        <v>12378</v>
      </c>
      <c r="H3496" s="196" t="s">
        <v>11235</v>
      </c>
    </row>
    <row r="3497" spans="1:8" x14ac:dyDescent="0.15">
      <c r="A3497" s="196" t="s">
        <v>11229</v>
      </c>
      <c r="B3497" s="196" t="s">
        <v>11230</v>
      </c>
      <c r="C3497" s="196" t="s">
        <v>19529</v>
      </c>
      <c r="D3497" s="196" t="s">
        <v>19528</v>
      </c>
      <c r="E3497" s="196" t="s">
        <v>19530</v>
      </c>
      <c r="F3497" s="196" t="s">
        <v>11241</v>
      </c>
      <c r="G3497" s="196" t="s">
        <v>12378</v>
      </c>
      <c r="H3497" s="196" t="s">
        <v>11235</v>
      </c>
    </row>
    <row r="3498" spans="1:8" x14ac:dyDescent="0.15">
      <c r="A3498" s="196" t="s">
        <v>11229</v>
      </c>
      <c r="B3498" s="196" t="s">
        <v>11230</v>
      </c>
      <c r="C3498" s="196" t="s">
        <v>19531</v>
      </c>
      <c r="D3498" s="196" t="s">
        <v>19530</v>
      </c>
      <c r="E3498" s="196" t="s">
        <v>19532</v>
      </c>
      <c r="F3498" s="196" t="s">
        <v>11268</v>
      </c>
      <c r="G3498" s="196" t="s">
        <v>12378</v>
      </c>
      <c r="H3498" s="196" t="s">
        <v>11235</v>
      </c>
    </row>
    <row r="3499" spans="1:8" x14ac:dyDescent="0.15">
      <c r="A3499" s="196" t="s">
        <v>11229</v>
      </c>
      <c r="B3499" s="196" t="s">
        <v>11230</v>
      </c>
      <c r="C3499" s="196" t="s">
        <v>19533</v>
      </c>
      <c r="D3499" s="196" t="s">
        <v>19532</v>
      </c>
      <c r="E3499" s="196" t="s">
        <v>19534</v>
      </c>
      <c r="F3499" s="196" t="s">
        <v>11241</v>
      </c>
      <c r="G3499" s="196" t="s">
        <v>12378</v>
      </c>
      <c r="H3499" s="196" t="s">
        <v>11235</v>
      </c>
    </row>
    <row r="3500" spans="1:8" x14ac:dyDescent="0.15">
      <c r="A3500" s="196" t="s">
        <v>11229</v>
      </c>
      <c r="B3500" s="196" t="s">
        <v>11230</v>
      </c>
      <c r="C3500" s="196" t="s">
        <v>19535</v>
      </c>
      <c r="D3500" s="196" t="s">
        <v>19534</v>
      </c>
      <c r="E3500" s="196" t="s">
        <v>19536</v>
      </c>
      <c r="F3500" s="196" t="s">
        <v>11241</v>
      </c>
      <c r="G3500" s="196" t="s">
        <v>12378</v>
      </c>
      <c r="H3500" s="196" t="s">
        <v>11235</v>
      </c>
    </row>
    <row r="3501" spans="1:8" x14ac:dyDescent="0.15">
      <c r="A3501" s="196" t="s">
        <v>11229</v>
      </c>
      <c r="B3501" s="196" t="s">
        <v>11230</v>
      </c>
      <c r="C3501" s="196" t="s">
        <v>19537</v>
      </c>
      <c r="D3501" s="196" t="s">
        <v>19536</v>
      </c>
      <c r="E3501" s="196" t="s">
        <v>19538</v>
      </c>
      <c r="F3501" s="196" t="s">
        <v>11268</v>
      </c>
      <c r="G3501" s="196" t="s">
        <v>12378</v>
      </c>
      <c r="H3501" s="196" t="s">
        <v>11235</v>
      </c>
    </row>
    <row r="3502" spans="1:8" x14ac:dyDescent="0.15">
      <c r="A3502" s="196" t="s">
        <v>11229</v>
      </c>
      <c r="B3502" s="196" t="s">
        <v>11230</v>
      </c>
      <c r="C3502" s="196" t="s">
        <v>19539</v>
      </c>
      <c r="D3502" s="196" t="s">
        <v>19538</v>
      </c>
      <c r="E3502" s="196" t="s">
        <v>19540</v>
      </c>
      <c r="F3502" s="196" t="s">
        <v>11241</v>
      </c>
      <c r="G3502" s="196" t="s">
        <v>12378</v>
      </c>
      <c r="H3502" s="196" t="s">
        <v>11235</v>
      </c>
    </row>
    <row r="3503" spans="1:8" x14ac:dyDescent="0.15">
      <c r="A3503" s="196" t="s">
        <v>11229</v>
      </c>
      <c r="B3503" s="196" t="s">
        <v>11230</v>
      </c>
      <c r="C3503" s="196" t="s">
        <v>19541</v>
      </c>
      <c r="D3503" s="196" t="s">
        <v>19540</v>
      </c>
      <c r="E3503" s="196" t="s">
        <v>19542</v>
      </c>
      <c r="F3503" s="196" t="s">
        <v>11241</v>
      </c>
      <c r="G3503" s="196" t="s">
        <v>12378</v>
      </c>
      <c r="H3503" s="196" t="s">
        <v>11235</v>
      </c>
    </row>
    <row r="3504" spans="1:8" x14ac:dyDescent="0.15">
      <c r="A3504" s="196" t="s">
        <v>11229</v>
      </c>
      <c r="B3504" s="196" t="s">
        <v>11230</v>
      </c>
      <c r="C3504" s="196" t="s">
        <v>19543</v>
      </c>
      <c r="D3504" s="196" t="s">
        <v>19542</v>
      </c>
      <c r="E3504" s="196" t="s">
        <v>19544</v>
      </c>
      <c r="F3504" s="196" t="s">
        <v>11268</v>
      </c>
      <c r="G3504" s="196" t="s">
        <v>12378</v>
      </c>
      <c r="H3504" s="196" t="s">
        <v>11235</v>
      </c>
    </row>
    <row r="3505" spans="1:8" x14ac:dyDescent="0.15">
      <c r="A3505" s="196" t="s">
        <v>11229</v>
      </c>
      <c r="B3505" s="196" t="s">
        <v>11230</v>
      </c>
      <c r="C3505" s="196" t="s">
        <v>19545</v>
      </c>
      <c r="D3505" s="196" t="s">
        <v>19544</v>
      </c>
      <c r="E3505" s="196" t="s">
        <v>19546</v>
      </c>
      <c r="F3505" s="196" t="s">
        <v>11241</v>
      </c>
      <c r="G3505" s="196" t="s">
        <v>12378</v>
      </c>
      <c r="H3505" s="196" t="s">
        <v>11235</v>
      </c>
    </row>
    <row r="3506" spans="1:8" x14ac:dyDescent="0.15">
      <c r="A3506" s="196" t="s">
        <v>11229</v>
      </c>
      <c r="B3506" s="196" t="s">
        <v>11230</v>
      </c>
      <c r="C3506" s="196" t="s">
        <v>19547</v>
      </c>
      <c r="D3506" s="196" t="s">
        <v>19548</v>
      </c>
      <c r="E3506" s="196" t="s">
        <v>19549</v>
      </c>
      <c r="F3506" s="196" t="s">
        <v>11268</v>
      </c>
      <c r="G3506" s="196" t="s">
        <v>12378</v>
      </c>
      <c r="H3506" s="196" t="s">
        <v>11235</v>
      </c>
    </row>
    <row r="3507" spans="1:8" x14ac:dyDescent="0.15">
      <c r="A3507" s="196" t="s">
        <v>11229</v>
      </c>
      <c r="B3507" s="196" t="s">
        <v>11230</v>
      </c>
      <c r="C3507" s="196" t="s">
        <v>19550</v>
      </c>
      <c r="D3507" s="196" t="s">
        <v>19549</v>
      </c>
      <c r="E3507" s="196" t="s">
        <v>19551</v>
      </c>
      <c r="F3507" s="196" t="s">
        <v>11241</v>
      </c>
      <c r="G3507" s="196" t="s">
        <v>12378</v>
      </c>
      <c r="H3507" s="196" t="s">
        <v>11235</v>
      </c>
    </row>
    <row r="3508" spans="1:8" x14ac:dyDescent="0.15">
      <c r="A3508" s="196" t="s">
        <v>11229</v>
      </c>
      <c r="B3508" s="196" t="s">
        <v>11230</v>
      </c>
      <c r="C3508" s="196" t="s">
        <v>19552</v>
      </c>
      <c r="D3508" s="196" t="s">
        <v>19553</v>
      </c>
      <c r="E3508" s="196" t="s">
        <v>19553</v>
      </c>
      <c r="F3508" s="196" t="s">
        <v>11233</v>
      </c>
      <c r="G3508" s="196" t="s">
        <v>12378</v>
      </c>
      <c r="H3508" s="196" t="s">
        <v>11235</v>
      </c>
    </row>
    <row r="3509" spans="1:8" x14ac:dyDescent="0.15">
      <c r="A3509" s="196" t="s">
        <v>11229</v>
      </c>
      <c r="B3509" s="196" t="s">
        <v>11230</v>
      </c>
      <c r="C3509" s="196" t="s">
        <v>19554</v>
      </c>
      <c r="D3509" s="196" t="s">
        <v>19555</v>
      </c>
      <c r="E3509" s="196" t="s">
        <v>19555</v>
      </c>
      <c r="F3509" s="196" t="s">
        <v>11233</v>
      </c>
      <c r="G3509" s="196" t="s">
        <v>12378</v>
      </c>
      <c r="H3509" s="196" t="s">
        <v>11235</v>
      </c>
    </row>
    <row r="3510" spans="1:8" x14ac:dyDescent="0.15">
      <c r="A3510" s="196" t="s">
        <v>11229</v>
      </c>
      <c r="B3510" s="196" t="s">
        <v>11230</v>
      </c>
      <c r="C3510" s="196" t="s">
        <v>19556</v>
      </c>
      <c r="D3510" s="196" t="s">
        <v>19557</v>
      </c>
      <c r="E3510" s="196" t="s">
        <v>19557</v>
      </c>
      <c r="F3510" s="196" t="s">
        <v>11233</v>
      </c>
      <c r="G3510" s="196" t="s">
        <v>12378</v>
      </c>
      <c r="H3510" s="196" t="s">
        <v>11235</v>
      </c>
    </row>
    <row r="3511" spans="1:8" x14ac:dyDescent="0.15">
      <c r="A3511" s="196" t="s">
        <v>11229</v>
      </c>
      <c r="B3511" s="196" t="s">
        <v>11230</v>
      </c>
      <c r="C3511" s="196" t="s">
        <v>19558</v>
      </c>
      <c r="D3511" s="196" t="s">
        <v>19559</v>
      </c>
      <c r="E3511" s="196" t="s">
        <v>19559</v>
      </c>
      <c r="F3511" s="196" t="s">
        <v>11233</v>
      </c>
      <c r="G3511" s="196" t="s">
        <v>12378</v>
      </c>
      <c r="H3511" s="196" t="s">
        <v>11235</v>
      </c>
    </row>
    <row r="3512" spans="1:8" x14ac:dyDescent="0.15">
      <c r="A3512" s="196" t="s">
        <v>11229</v>
      </c>
      <c r="B3512" s="196" t="s">
        <v>11230</v>
      </c>
      <c r="C3512" s="196" t="s">
        <v>19560</v>
      </c>
      <c r="D3512" s="196" t="s">
        <v>19561</v>
      </c>
      <c r="E3512" s="196" t="s">
        <v>19561</v>
      </c>
      <c r="F3512" s="196" t="s">
        <v>11233</v>
      </c>
      <c r="G3512" s="196" t="s">
        <v>12378</v>
      </c>
      <c r="H3512" s="196" t="s">
        <v>11235</v>
      </c>
    </row>
    <row r="3513" spans="1:8" x14ac:dyDescent="0.15">
      <c r="A3513" s="196" t="s">
        <v>11229</v>
      </c>
      <c r="B3513" s="196" t="s">
        <v>11230</v>
      </c>
      <c r="C3513" s="196" t="s">
        <v>19562</v>
      </c>
      <c r="D3513" s="196" t="s">
        <v>19563</v>
      </c>
      <c r="E3513" s="196" t="s">
        <v>19563</v>
      </c>
      <c r="F3513" s="196" t="s">
        <v>11233</v>
      </c>
      <c r="G3513" s="196" t="s">
        <v>12378</v>
      </c>
      <c r="H3513" s="196" t="s">
        <v>11235</v>
      </c>
    </row>
    <row r="3514" spans="1:8" x14ac:dyDescent="0.15">
      <c r="A3514" s="196" t="s">
        <v>11229</v>
      </c>
      <c r="B3514" s="196" t="s">
        <v>11230</v>
      </c>
      <c r="C3514" s="196" t="s">
        <v>19564</v>
      </c>
      <c r="D3514" s="196" t="s">
        <v>19565</v>
      </c>
      <c r="E3514" s="196" t="s">
        <v>19565</v>
      </c>
      <c r="F3514" s="196" t="s">
        <v>11233</v>
      </c>
      <c r="G3514" s="196" t="s">
        <v>12378</v>
      </c>
      <c r="H3514" s="196" t="s">
        <v>11235</v>
      </c>
    </row>
    <row r="3515" spans="1:8" x14ac:dyDescent="0.15">
      <c r="A3515" s="196" t="s">
        <v>11229</v>
      </c>
      <c r="B3515" s="196" t="s">
        <v>11230</v>
      </c>
      <c r="C3515" s="196" t="s">
        <v>19566</v>
      </c>
      <c r="D3515" s="196" t="s">
        <v>19567</v>
      </c>
      <c r="E3515" s="196" t="s">
        <v>19567</v>
      </c>
      <c r="F3515" s="196" t="s">
        <v>11233</v>
      </c>
      <c r="G3515" s="196" t="s">
        <v>12378</v>
      </c>
      <c r="H3515" s="196" t="s">
        <v>11235</v>
      </c>
    </row>
    <row r="3516" spans="1:8" x14ac:dyDescent="0.15">
      <c r="A3516" s="196" t="s">
        <v>11229</v>
      </c>
      <c r="B3516" s="196" t="s">
        <v>11230</v>
      </c>
      <c r="C3516" s="196" t="s">
        <v>19568</v>
      </c>
      <c r="D3516" s="196" t="s">
        <v>19569</v>
      </c>
      <c r="E3516" s="196" t="s">
        <v>19569</v>
      </c>
      <c r="F3516" s="196" t="s">
        <v>11233</v>
      </c>
      <c r="G3516" s="196" t="s">
        <v>12378</v>
      </c>
      <c r="H3516" s="196" t="s">
        <v>11235</v>
      </c>
    </row>
    <row r="3517" spans="1:8" x14ac:dyDescent="0.15">
      <c r="A3517" s="196" t="s">
        <v>11229</v>
      </c>
      <c r="B3517" s="196" t="s">
        <v>11230</v>
      </c>
      <c r="C3517" s="196" t="s">
        <v>19570</v>
      </c>
      <c r="D3517" s="196" t="s">
        <v>19571</v>
      </c>
      <c r="E3517" s="196" t="s">
        <v>19571</v>
      </c>
      <c r="F3517" s="196" t="s">
        <v>11233</v>
      </c>
      <c r="G3517" s="196" t="s">
        <v>12378</v>
      </c>
      <c r="H3517" s="196" t="s">
        <v>11235</v>
      </c>
    </row>
    <row r="3518" spans="1:8" x14ac:dyDescent="0.15">
      <c r="A3518" s="196" t="s">
        <v>11229</v>
      </c>
      <c r="B3518" s="196" t="s">
        <v>11230</v>
      </c>
      <c r="C3518" s="196" t="s">
        <v>19572</v>
      </c>
      <c r="D3518" s="196" t="s">
        <v>19573</v>
      </c>
      <c r="E3518" s="196" t="s">
        <v>19573</v>
      </c>
      <c r="F3518" s="196" t="s">
        <v>11233</v>
      </c>
      <c r="G3518" s="196" t="s">
        <v>12378</v>
      </c>
      <c r="H3518" s="196" t="s">
        <v>11235</v>
      </c>
    </row>
    <row r="3519" spans="1:8" x14ac:dyDescent="0.15">
      <c r="A3519" s="196" t="s">
        <v>11229</v>
      </c>
      <c r="B3519" s="196" t="s">
        <v>11230</v>
      </c>
      <c r="C3519" s="196" t="s">
        <v>19574</v>
      </c>
      <c r="D3519" s="196" t="s">
        <v>19575</v>
      </c>
      <c r="E3519" s="196" t="s">
        <v>19576</v>
      </c>
      <c r="F3519" s="196" t="s">
        <v>11241</v>
      </c>
      <c r="G3519" s="196" t="s">
        <v>12378</v>
      </c>
      <c r="H3519" s="196" t="s">
        <v>11235</v>
      </c>
    </row>
    <row r="3520" spans="1:8" x14ac:dyDescent="0.15">
      <c r="A3520" s="196" t="s">
        <v>11229</v>
      </c>
      <c r="B3520" s="196" t="s">
        <v>11230</v>
      </c>
      <c r="C3520" s="196" t="s">
        <v>19577</v>
      </c>
      <c r="D3520" s="196" t="s">
        <v>19578</v>
      </c>
      <c r="E3520" s="196" t="s">
        <v>19578</v>
      </c>
      <c r="F3520" s="196" t="s">
        <v>11233</v>
      </c>
      <c r="G3520" s="196" t="s">
        <v>12378</v>
      </c>
      <c r="H3520" s="196" t="s">
        <v>11235</v>
      </c>
    </row>
    <row r="3521" spans="1:8" x14ac:dyDescent="0.15">
      <c r="A3521" s="196" t="s">
        <v>11229</v>
      </c>
      <c r="B3521" s="196" t="s">
        <v>11230</v>
      </c>
      <c r="C3521" s="196" t="s">
        <v>19579</v>
      </c>
      <c r="D3521" s="196" t="s">
        <v>19580</v>
      </c>
      <c r="E3521" s="196" t="s">
        <v>19580</v>
      </c>
      <c r="F3521" s="196" t="s">
        <v>11233</v>
      </c>
      <c r="G3521" s="196" t="s">
        <v>12378</v>
      </c>
      <c r="H3521" s="196" t="s">
        <v>11235</v>
      </c>
    </row>
    <row r="3522" spans="1:8" x14ac:dyDescent="0.15">
      <c r="A3522" s="196" t="s">
        <v>11229</v>
      </c>
      <c r="B3522" s="196" t="s">
        <v>11230</v>
      </c>
      <c r="C3522" s="196" t="s">
        <v>19581</v>
      </c>
      <c r="D3522" s="196" t="s">
        <v>19582</v>
      </c>
      <c r="E3522" s="196" t="s">
        <v>19582</v>
      </c>
      <c r="F3522" s="196" t="s">
        <v>11233</v>
      </c>
      <c r="G3522" s="196" t="s">
        <v>12378</v>
      </c>
      <c r="H3522" s="196" t="s">
        <v>11235</v>
      </c>
    </row>
    <row r="3523" spans="1:8" x14ac:dyDescent="0.15">
      <c r="A3523" s="196" t="s">
        <v>11229</v>
      </c>
      <c r="B3523" s="196" t="s">
        <v>11230</v>
      </c>
      <c r="C3523" s="196" t="s">
        <v>19583</v>
      </c>
      <c r="D3523" s="196" t="s">
        <v>19584</v>
      </c>
      <c r="E3523" s="196" t="s">
        <v>19585</v>
      </c>
      <c r="F3523" s="196" t="s">
        <v>12558</v>
      </c>
      <c r="G3523" s="196" t="s">
        <v>12378</v>
      </c>
      <c r="H3523" s="196" t="s">
        <v>11235</v>
      </c>
    </row>
    <row r="3524" spans="1:8" x14ac:dyDescent="0.15">
      <c r="A3524" s="196" t="s">
        <v>11229</v>
      </c>
      <c r="B3524" s="196" t="s">
        <v>11230</v>
      </c>
      <c r="C3524" s="196" t="s">
        <v>19586</v>
      </c>
      <c r="D3524" s="196" t="s">
        <v>19587</v>
      </c>
      <c r="E3524" s="196" t="s">
        <v>19588</v>
      </c>
      <c r="F3524" s="196" t="s">
        <v>12572</v>
      </c>
      <c r="G3524" s="196" t="s">
        <v>12378</v>
      </c>
      <c r="H3524" s="196" t="s">
        <v>11235</v>
      </c>
    </row>
    <row r="3525" spans="1:8" x14ac:dyDescent="0.15">
      <c r="A3525" s="196" t="s">
        <v>11229</v>
      </c>
      <c r="B3525" s="196" t="s">
        <v>11230</v>
      </c>
      <c r="C3525" s="196" t="s">
        <v>19589</v>
      </c>
      <c r="D3525" s="196" t="s">
        <v>19590</v>
      </c>
      <c r="E3525" s="196" t="s">
        <v>19591</v>
      </c>
      <c r="F3525" s="196" t="s">
        <v>13214</v>
      </c>
      <c r="G3525" s="196" t="s">
        <v>12378</v>
      </c>
      <c r="H3525" s="196" t="s">
        <v>11235</v>
      </c>
    </row>
    <row r="3526" spans="1:8" x14ac:dyDescent="0.15">
      <c r="A3526" s="196" t="s">
        <v>11229</v>
      </c>
      <c r="B3526" s="196" t="s">
        <v>11230</v>
      </c>
      <c r="C3526" s="196" t="s">
        <v>19592</v>
      </c>
      <c r="D3526" s="196" t="s">
        <v>19593</v>
      </c>
      <c r="E3526" s="196" t="s">
        <v>19593</v>
      </c>
      <c r="F3526" s="196" t="s">
        <v>11233</v>
      </c>
      <c r="G3526" s="196" t="s">
        <v>12378</v>
      </c>
      <c r="H3526" s="196" t="s">
        <v>11235</v>
      </c>
    </row>
    <row r="3527" spans="1:8" x14ac:dyDescent="0.15">
      <c r="A3527" s="196" t="s">
        <v>11229</v>
      </c>
      <c r="B3527" s="196" t="s">
        <v>11230</v>
      </c>
      <c r="C3527" s="196" t="s">
        <v>19594</v>
      </c>
      <c r="D3527" s="196" t="s">
        <v>19595</v>
      </c>
      <c r="E3527" s="196" t="s">
        <v>19595</v>
      </c>
      <c r="F3527" s="196" t="s">
        <v>11233</v>
      </c>
      <c r="G3527" s="196" t="s">
        <v>12378</v>
      </c>
      <c r="H3527" s="196" t="s">
        <v>11235</v>
      </c>
    </row>
    <row r="3528" spans="1:8" x14ac:dyDescent="0.15">
      <c r="A3528" s="196" t="s">
        <v>11229</v>
      </c>
      <c r="B3528" s="196" t="s">
        <v>11230</v>
      </c>
      <c r="C3528" s="196" t="s">
        <v>19596</v>
      </c>
      <c r="D3528" s="196" t="s">
        <v>19597</v>
      </c>
      <c r="E3528" s="196" t="s">
        <v>19597</v>
      </c>
      <c r="F3528" s="196" t="s">
        <v>11233</v>
      </c>
      <c r="G3528" s="196" t="s">
        <v>12378</v>
      </c>
      <c r="H3528" s="196" t="s">
        <v>11235</v>
      </c>
    </row>
    <row r="3529" spans="1:8" x14ac:dyDescent="0.15">
      <c r="A3529" s="196" t="s">
        <v>11229</v>
      </c>
      <c r="B3529" s="196" t="s">
        <v>11230</v>
      </c>
      <c r="C3529" s="196" t="s">
        <v>19598</v>
      </c>
      <c r="D3529" s="196" t="s">
        <v>19599</v>
      </c>
      <c r="E3529" s="196" t="s">
        <v>19599</v>
      </c>
      <c r="F3529" s="196" t="s">
        <v>11233</v>
      </c>
      <c r="G3529" s="196" t="s">
        <v>12378</v>
      </c>
      <c r="H3529" s="196" t="s">
        <v>11235</v>
      </c>
    </row>
    <row r="3530" spans="1:8" x14ac:dyDescent="0.15">
      <c r="A3530" s="196" t="s">
        <v>11229</v>
      </c>
      <c r="B3530" s="196" t="s">
        <v>11230</v>
      </c>
      <c r="C3530" s="196" t="s">
        <v>19600</v>
      </c>
      <c r="D3530" s="196" t="s">
        <v>19601</v>
      </c>
      <c r="E3530" s="196" t="s">
        <v>19601</v>
      </c>
      <c r="F3530" s="196" t="s">
        <v>11233</v>
      </c>
      <c r="G3530" s="196" t="s">
        <v>12378</v>
      </c>
      <c r="H3530" s="196" t="s">
        <v>11235</v>
      </c>
    </row>
    <row r="3531" spans="1:8" x14ac:dyDescent="0.15">
      <c r="A3531" s="196" t="s">
        <v>11229</v>
      </c>
      <c r="B3531" s="196" t="s">
        <v>11230</v>
      </c>
      <c r="C3531" s="196" t="s">
        <v>19602</v>
      </c>
      <c r="D3531" s="196" t="s">
        <v>19603</v>
      </c>
      <c r="E3531" s="196" t="s">
        <v>19603</v>
      </c>
      <c r="F3531" s="196" t="s">
        <v>11233</v>
      </c>
      <c r="G3531" s="196" t="s">
        <v>12378</v>
      </c>
      <c r="H3531" s="196" t="s">
        <v>11235</v>
      </c>
    </row>
    <row r="3532" spans="1:8" x14ac:dyDescent="0.15">
      <c r="A3532" s="196" t="s">
        <v>11229</v>
      </c>
      <c r="B3532" s="196" t="s">
        <v>11230</v>
      </c>
      <c r="C3532" s="196" t="s">
        <v>19604</v>
      </c>
      <c r="D3532" s="196" t="s">
        <v>19605</v>
      </c>
      <c r="E3532" s="196" t="s">
        <v>19605</v>
      </c>
      <c r="F3532" s="196" t="s">
        <v>11233</v>
      </c>
      <c r="G3532" s="196" t="s">
        <v>12378</v>
      </c>
      <c r="H3532" s="196" t="s">
        <v>11235</v>
      </c>
    </row>
    <row r="3533" spans="1:8" x14ac:dyDescent="0.15">
      <c r="A3533" s="196" t="s">
        <v>11229</v>
      </c>
      <c r="B3533" s="196" t="s">
        <v>11230</v>
      </c>
      <c r="C3533" s="196" t="s">
        <v>19606</v>
      </c>
      <c r="D3533" s="196" t="s">
        <v>19607</v>
      </c>
      <c r="E3533" s="196" t="s">
        <v>19607</v>
      </c>
      <c r="F3533" s="196" t="s">
        <v>11233</v>
      </c>
      <c r="G3533" s="196" t="s">
        <v>12378</v>
      </c>
      <c r="H3533" s="196" t="s">
        <v>11235</v>
      </c>
    </row>
    <row r="3534" spans="1:8" x14ac:dyDescent="0.15">
      <c r="A3534" s="196" t="s">
        <v>11229</v>
      </c>
      <c r="B3534" s="196" t="s">
        <v>11230</v>
      </c>
      <c r="C3534" s="196" t="s">
        <v>19608</v>
      </c>
      <c r="D3534" s="196" t="s">
        <v>19609</v>
      </c>
      <c r="E3534" s="196" t="s">
        <v>19609</v>
      </c>
      <c r="F3534" s="196" t="s">
        <v>11233</v>
      </c>
      <c r="G3534" s="196" t="s">
        <v>12378</v>
      </c>
      <c r="H3534" s="196" t="s">
        <v>11235</v>
      </c>
    </row>
    <row r="3535" spans="1:8" x14ac:dyDescent="0.15">
      <c r="A3535" s="196" t="s">
        <v>11229</v>
      </c>
      <c r="B3535" s="196" t="s">
        <v>11230</v>
      </c>
      <c r="C3535" s="196" t="s">
        <v>19610</v>
      </c>
      <c r="D3535" s="196" t="s">
        <v>19611</v>
      </c>
      <c r="E3535" s="196" t="s">
        <v>19611</v>
      </c>
      <c r="F3535" s="196" t="s">
        <v>11233</v>
      </c>
      <c r="G3535" s="196" t="s">
        <v>12378</v>
      </c>
      <c r="H3535" s="196" t="s">
        <v>11235</v>
      </c>
    </row>
    <row r="3536" spans="1:8" x14ac:dyDescent="0.15">
      <c r="A3536" s="196" t="s">
        <v>11229</v>
      </c>
      <c r="B3536" s="196" t="s">
        <v>11230</v>
      </c>
      <c r="C3536" s="196" t="s">
        <v>19612</v>
      </c>
      <c r="D3536" s="196" t="s">
        <v>19613</v>
      </c>
      <c r="E3536" s="196" t="s">
        <v>19613</v>
      </c>
      <c r="F3536" s="196" t="s">
        <v>11233</v>
      </c>
      <c r="G3536" s="196" t="s">
        <v>12378</v>
      </c>
      <c r="H3536" s="196" t="s">
        <v>11235</v>
      </c>
    </row>
    <row r="3537" spans="1:8" x14ac:dyDescent="0.15">
      <c r="A3537" s="196" t="s">
        <v>11229</v>
      </c>
      <c r="B3537" s="196" t="s">
        <v>11230</v>
      </c>
      <c r="C3537" s="196" t="s">
        <v>19614</v>
      </c>
      <c r="D3537" s="196" t="s">
        <v>19615</v>
      </c>
      <c r="E3537" s="196" t="s">
        <v>19615</v>
      </c>
      <c r="F3537" s="196" t="s">
        <v>11233</v>
      </c>
      <c r="G3537" s="196" t="s">
        <v>12378</v>
      </c>
      <c r="H3537" s="196" t="s">
        <v>11235</v>
      </c>
    </row>
    <row r="3538" spans="1:8" x14ac:dyDescent="0.15">
      <c r="A3538" s="196" t="s">
        <v>11229</v>
      </c>
      <c r="B3538" s="196" t="s">
        <v>11230</v>
      </c>
      <c r="C3538" s="196" t="s">
        <v>19616</v>
      </c>
      <c r="D3538" s="196" t="s">
        <v>19617</v>
      </c>
      <c r="E3538" s="196" t="s">
        <v>19617</v>
      </c>
      <c r="F3538" s="196" t="s">
        <v>11233</v>
      </c>
      <c r="G3538" s="196" t="s">
        <v>12378</v>
      </c>
      <c r="H3538" s="196" t="s">
        <v>11235</v>
      </c>
    </row>
    <row r="3539" spans="1:8" x14ac:dyDescent="0.15">
      <c r="A3539" s="196" t="s">
        <v>11229</v>
      </c>
      <c r="B3539" s="196" t="s">
        <v>11230</v>
      </c>
      <c r="C3539" s="196" t="s">
        <v>19618</v>
      </c>
      <c r="D3539" s="196" t="s">
        <v>19619</v>
      </c>
      <c r="E3539" s="196" t="s">
        <v>19619</v>
      </c>
      <c r="F3539" s="196" t="s">
        <v>11233</v>
      </c>
      <c r="G3539" s="196" t="s">
        <v>12378</v>
      </c>
      <c r="H3539" s="196" t="s">
        <v>11235</v>
      </c>
    </row>
    <row r="3540" spans="1:8" x14ac:dyDescent="0.15">
      <c r="A3540" s="196" t="s">
        <v>11229</v>
      </c>
      <c r="B3540" s="196" t="s">
        <v>11230</v>
      </c>
      <c r="C3540" s="196" t="s">
        <v>19620</v>
      </c>
      <c r="D3540" s="196" t="s">
        <v>19621</v>
      </c>
      <c r="E3540" s="196" t="s">
        <v>19621</v>
      </c>
      <c r="F3540" s="196" t="s">
        <v>11233</v>
      </c>
      <c r="G3540" s="196" t="s">
        <v>12378</v>
      </c>
      <c r="H3540" s="196" t="s">
        <v>11235</v>
      </c>
    </row>
    <row r="3541" spans="1:8" x14ac:dyDescent="0.15">
      <c r="A3541" s="196" t="s">
        <v>11229</v>
      </c>
      <c r="B3541" s="196" t="s">
        <v>11230</v>
      </c>
      <c r="C3541" s="196" t="s">
        <v>19622</v>
      </c>
      <c r="D3541" s="196" t="s">
        <v>19623</v>
      </c>
      <c r="E3541" s="196" t="s">
        <v>19623</v>
      </c>
      <c r="F3541" s="196" t="s">
        <v>11233</v>
      </c>
      <c r="G3541" s="196" t="s">
        <v>12378</v>
      </c>
      <c r="H3541" s="196" t="s">
        <v>11235</v>
      </c>
    </row>
    <row r="3542" spans="1:8" x14ac:dyDescent="0.15">
      <c r="A3542" s="196" t="s">
        <v>11229</v>
      </c>
      <c r="B3542" s="196" t="s">
        <v>11230</v>
      </c>
      <c r="C3542" s="196" t="s">
        <v>19624</v>
      </c>
      <c r="D3542" s="196" t="s">
        <v>19625</v>
      </c>
      <c r="E3542" s="196" t="s">
        <v>19626</v>
      </c>
      <c r="F3542" s="196" t="s">
        <v>11268</v>
      </c>
      <c r="G3542" s="196" t="s">
        <v>12378</v>
      </c>
      <c r="H3542" s="196" t="s">
        <v>11235</v>
      </c>
    </row>
    <row r="3543" spans="1:8" x14ac:dyDescent="0.15">
      <c r="A3543" s="196" t="s">
        <v>11229</v>
      </c>
      <c r="B3543" s="196" t="s">
        <v>11230</v>
      </c>
      <c r="C3543" s="196" t="s">
        <v>19627</v>
      </c>
      <c r="D3543" s="196" t="s">
        <v>19628</v>
      </c>
      <c r="E3543" s="196" t="s">
        <v>19628</v>
      </c>
      <c r="F3543" s="196" t="s">
        <v>11233</v>
      </c>
      <c r="G3543" s="196" t="s">
        <v>12378</v>
      </c>
      <c r="H3543" s="196" t="s">
        <v>11235</v>
      </c>
    </row>
    <row r="3544" spans="1:8" x14ac:dyDescent="0.15">
      <c r="A3544" s="196" t="s">
        <v>11229</v>
      </c>
      <c r="B3544" s="196" t="s">
        <v>11230</v>
      </c>
      <c r="C3544" s="196" t="s">
        <v>19629</v>
      </c>
      <c r="D3544" s="196" t="s">
        <v>19630</v>
      </c>
      <c r="E3544" s="196" t="s">
        <v>19630</v>
      </c>
      <c r="F3544" s="196" t="s">
        <v>11233</v>
      </c>
      <c r="G3544" s="196" t="s">
        <v>12378</v>
      </c>
      <c r="H3544" s="196" t="s">
        <v>11235</v>
      </c>
    </row>
    <row r="3545" spans="1:8" x14ac:dyDescent="0.15">
      <c r="A3545" s="196" t="s">
        <v>11229</v>
      </c>
      <c r="B3545" s="196" t="s">
        <v>11230</v>
      </c>
      <c r="C3545" s="196" t="s">
        <v>19631</v>
      </c>
      <c r="D3545" s="196" t="s">
        <v>19632</v>
      </c>
      <c r="E3545" s="196" t="s">
        <v>19632</v>
      </c>
      <c r="F3545" s="196" t="s">
        <v>11233</v>
      </c>
      <c r="G3545" s="196" t="s">
        <v>12378</v>
      </c>
      <c r="H3545" s="196" t="s">
        <v>11235</v>
      </c>
    </row>
    <row r="3546" spans="1:8" x14ac:dyDescent="0.15">
      <c r="A3546" s="196" t="s">
        <v>11229</v>
      </c>
      <c r="B3546" s="196" t="s">
        <v>11230</v>
      </c>
      <c r="C3546" s="196" t="s">
        <v>19633</v>
      </c>
      <c r="D3546" s="196" t="s">
        <v>19634</v>
      </c>
      <c r="E3546" s="196" t="s">
        <v>19634</v>
      </c>
      <c r="F3546" s="196" t="s">
        <v>11233</v>
      </c>
      <c r="G3546" s="196" t="s">
        <v>12378</v>
      </c>
      <c r="H3546" s="196" t="s">
        <v>11235</v>
      </c>
    </row>
    <row r="3547" spans="1:8" x14ac:dyDescent="0.15">
      <c r="A3547" s="196" t="s">
        <v>11229</v>
      </c>
      <c r="B3547" s="196" t="s">
        <v>11230</v>
      </c>
      <c r="C3547" s="196" t="s">
        <v>19635</v>
      </c>
      <c r="D3547" s="196" t="s">
        <v>19636</v>
      </c>
      <c r="E3547" s="196" t="s">
        <v>19636</v>
      </c>
      <c r="F3547" s="196" t="s">
        <v>11233</v>
      </c>
      <c r="G3547" s="196" t="s">
        <v>12378</v>
      </c>
      <c r="H3547" s="196" t="s">
        <v>11235</v>
      </c>
    </row>
    <row r="3548" spans="1:8" x14ac:dyDescent="0.15">
      <c r="A3548" s="196" t="s">
        <v>11229</v>
      </c>
      <c r="B3548" s="196" t="s">
        <v>11230</v>
      </c>
      <c r="C3548" s="196" t="s">
        <v>19637</v>
      </c>
      <c r="D3548" s="196" t="s">
        <v>19638</v>
      </c>
      <c r="E3548" s="196" t="s">
        <v>19638</v>
      </c>
      <c r="F3548" s="196" t="s">
        <v>11233</v>
      </c>
      <c r="G3548" s="196" t="s">
        <v>12378</v>
      </c>
      <c r="H3548" s="196" t="s">
        <v>11235</v>
      </c>
    </row>
    <row r="3549" spans="1:8" x14ac:dyDescent="0.15">
      <c r="A3549" s="196" t="s">
        <v>11229</v>
      </c>
      <c r="B3549" s="196" t="s">
        <v>11230</v>
      </c>
      <c r="C3549" s="196" t="s">
        <v>19639</v>
      </c>
      <c r="D3549" s="196" t="s">
        <v>19640</v>
      </c>
      <c r="E3549" s="196" t="s">
        <v>19640</v>
      </c>
      <c r="F3549" s="196" t="s">
        <v>11233</v>
      </c>
      <c r="G3549" s="196" t="s">
        <v>12378</v>
      </c>
      <c r="H3549" s="196" t="s">
        <v>11235</v>
      </c>
    </row>
    <row r="3550" spans="1:8" x14ac:dyDescent="0.15">
      <c r="A3550" s="196" t="s">
        <v>11229</v>
      </c>
      <c r="B3550" s="196" t="s">
        <v>11230</v>
      </c>
      <c r="C3550" s="196" t="s">
        <v>19641</v>
      </c>
      <c r="D3550" s="196" t="s">
        <v>19642</v>
      </c>
      <c r="E3550" s="196" t="s">
        <v>19642</v>
      </c>
      <c r="F3550" s="196" t="s">
        <v>11233</v>
      </c>
      <c r="G3550" s="196" t="s">
        <v>12378</v>
      </c>
      <c r="H3550" s="196" t="s">
        <v>11235</v>
      </c>
    </row>
    <row r="3551" spans="1:8" x14ac:dyDescent="0.15">
      <c r="A3551" s="196" t="s">
        <v>11229</v>
      </c>
      <c r="B3551" s="196" t="s">
        <v>11230</v>
      </c>
      <c r="C3551" s="196" t="s">
        <v>19643</v>
      </c>
      <c r="D3551" s="196" t="s">
        <v>19644</v>
      </c>
      <c r="E3551" s="196" t="s">
        <v>19644</v>
      </c>
      <c r="F3551" s="196" t="s">
        <v>11233</v>
      </c>
      <c r="G3551" s="196" t="s">
        <v>12378</v>
      </c>
      <c r="H3551" s="196" t="s">
        <v>11235</v>
      </c>
    </row>
    <row r="3552" spans="1:8" x14ac:dyDescent="0.15">
      <c r="A3552" s="196" t="s">
        <v>11229</v>
      </c>
      <c r="B3552" s="196" t="s">
        <v>11230</v>
      </c>
      <c r="C3552" s="196" t="s">
        <v>19645</v>
      </c>
      <c r="D3552" s="196" t="s">
        <v>19646</v>
      </c>
      <c r="E3552" s="196" t="s">
        <v>19646</v>
      </c>
      <c r="F3552" s="196" t="s">
        <v>11233</v>
      </c>
      <c r="G3552" s="196" t="s">
        <v>12378</v>
      </c>
      <c r="H3552" s="196" t="s">
        <v>11235</v>
      </c>
    </row>
    <row r="3553" spans="1:8" x14ac:dyDescent="0.15">
      <c r="A3553" s="196" t="s">
        <v>11229</v>
      </c>
      <c r="B3553" s="196" t="s">
        <v>11230</v>
      </c>
      <c r="C3553" s="196" t="s">
        <v>19647</v>
      </c>
      <c r="D3553" s="196" t="s">
        <v>19648</v>
      </c>
      <c r="E3553" s="196" t="s">
        <v>19648</v>
      </c>
      <c r="F3553" s="196" t="s">
        <v>11233</v>
      </c>
      <c r="G3553" s="196" t="s">
        <v>12378</v>
      </c>
      <c r="H3553" s="196" t="s">
        <v>11235</v>
      </c>
    </row>
    <row r="3554" spans="1:8" x14ac:dyDescent="0.15">
      <c r="A3554" s="196" t="s">
        <v>11229</v>
      </c>
      <c r="B3554" s="196" t="s">
        <v>11230</v>
      </c>
      <c r="C3554" s="196" t="s">
        <v>19649</v>
      </c>
      <c r="D3554" s="196" t="s">
        <v>19650</v>
      </c>
      <c r="E3554" s="196" t="s">
        <v>19651</v>
      </c>
      <c r="F3554" s="196" t="s">
        <v>11241</v>
      </c>
      <c r="G3554" s="196" t="s">
        <v>12378</v>
      </c>
      <c r="H3554" s="196" t="s">
        <v>11235</v>
      </c>
    </row>
    <row r="3555" spans="1:8" x14ac:dyDescent="0.15">
      <c r="A3555" s="196" t="s">
        <v>11229</v>
      </c>
      <c r="B3555" s="196" t="s">
        <v>11230</v>
      </c>
      <c r="C3555" s="196" t="s">
        <v>19652</v>
      </c>
      <c r="D3555" s="196" t="s">
        <v>19651</v>
      </c>
      <c r="E3555" s="196" t="s">
        <v>19653</v>
      </c>
      <c r="F3555" s="196" t="s">
        <v>11241</v>
      </c>
      <c r="G3555" s="196" t="s">
        <v>12378</v>
      </c>
      <c r="H3555" s="196" t="s">
        <v>11235</v>
      </c>
    </row>
    <row r="3556" spans="1:8" x14ac:dyDescent="0.15">
      <c r="A3556" s="196" t="s">
        <v>11229</v>
      </c>
      <c r="B3556" s="196" t="s">
        <v>11230</v>
      </c>
      <c r="C3556" s="196" t="s">
        <v>19654</v>
      </c>
      <c r="D3556" s="196" t="s">
        <v>19653</v>
      </c>
      <c r="E3556" s="196" t="s">
        <v>19655</v>
      </c>
      <c r="F3556" s="196" t="s">
        <v>11268</v>
      </c>
      <c r="G3556" s="196" t="s">
        <v>12378</v>
      </c>
      <c r="H3556" s="196" t="s">
        <v>11235</v>
      </c>
    </row>
    <row r="3557" spans="1:8" x14ac:dyDescent="0.15">
      <c r="A3557" s="196" t="s">
        <v>11229</v>
      </c>
      <c r="B3557" s="196" t="s">
        <v>11230</v>
      </c>
      <c r="C3557" s="196" t="s">
        <v>19656</v>
      </c>
      <c r="D3557" s="196" t="s">
        <v>19655</v>
      </c>
      <c r="E3557" s="196" t="s">
        <v>19657</v>
      </c>
      <c r="F3557" s="196" t="s">
        <v>11241</v>
      </c>
      <c r="G3557" s="196" t="s">
        <v>12378</v>
      </c>
      <c r="H3557" s="196" t="s">
        <v>11235</v>
      </c>
    </row>
    <row r="3558" spans="1:8" x14ac:dyDescent="0.15">
      <c r="A3558" s="196" t="s">
        <v>11229</v>
      </c>
      <c r="B3558" s="196" t="s">
        <v>11230</v>
      </c>
      <c r="C3558" s="196" t="s">
        <v>19658</v>
      </c>
      <c r="D3558" s="196" t="s">
        <v>19657</v>
      </c>
      <c r="E3558" s="196" t="s">
        <v>19659</v>
      </c>
      <c r="F3558" s="196" t="s">
        <v>11241</v>
      </c>
      <c r="G3558" s="196" t="s">
        <v>12378</v>
      </c>
      <c r="H3558" s="196" t="s">
        <v>11235</v>
      </c>
    </row>
    <row r="3559" spans="1:8" x14ac:dyDescent="0.15">
      <c r="A3559" s="196" t="s">
        <v>11229</v>
      </c>
      <c r="B3559" s="196" t="s">
        <v>11230</v>
      </c>
      <c r="C3559" s="196" t="s">
        <v>19660</v>
      </c>
      <c r="D3559" s="196" t="s">
        <v>19659</v>
      </c>
      <c r="E3559" s="196" t="s">
        <v>19661</v>
      </c>
      <c r="F3559" s="196" t="s">
        <v>11268</v>
      </c>
      <c r="G3559" s="196" t="s">
        <v>12378</v>
      </c>
      <c r="H3559" s="196" t="s">
        <v>11235</v>
      </c>
    </row>
    <row r="3560" spans="1:8" x14ac:dyDescent="0.15">
      <c r="A3560" s="196" t="s">
        <v>11229</v>
      </c>
      <c r="B3560" s="196" t="s">
        <v>11230</v>
      </c>
      <c r="C3560" s="196" t="s">
        <v>19662</v>
      </c>
      <c r="D3560" s="196" t="s">
        <v>19661</v>
      </c>
      <c r="E3560" s="196" t="s">
        <v>19663</v>
      </c>
      <c r="F3560" s="196" t="s">
        <v>11241</v>
      </c>
      <c r="G3560" s="196" t="s">
        <v>12378</v>
      </c>
      <c r="H3560" s="196" t="s">
        <v>11235</v>
      </c>
    </row>
    <row r="3561" spans="1:8" x14ac:dyDescent="0.15">
      <c r="A3561" s="196" t="s">
        <v>11229</v>
      </c>
      <c r="B3561" s="196" t="s">
        <v>11230</v>
      </c>
      <c r="C3561" s="196" t="s">
        <v>19664</v>
      </c>
      <c r="D3561" s="196" t="s">
        <v>19663</v>
      </c>
      <c r="E3561" s="196" t="s">
        <v>19665</v>
      </c>
      <c r="F3561" s="196" t="s">
        <v>11268</v>
      </c>
      <c r="G3561" s="196" t="s">
        <v>12378</v>
      </c>
      <c r="H3561" s="196" t="s">
        <v>11235</v>
      </c>
    </row>
    <row r="3562" spans="1:8" x14ac:dyDescent="0.15">
      <c r="A3562" s="196" t="s">
        <v>11229</v>
      </c>
      <c r="B3562" s="196" t="s">
        <v>11230</v>
      </c>
      <c r="C3562" s="196" t="s">
        <v>19666</v>
      </c>
      <c r="D3562" s="196" t="s">
        <v>19665</v>
      </c>
      <c r="E3562" s="196" t="s">
        <v>19667</v>
      </c>
      <c r="F3562" s="196" t="s">
        <v>11241</v>
      </c>
      <c r="G3562" s="196" t="s">
        <v>12378</v>
      </c>
      <c r="H3562" s="196" t="s">
        <v>11235</v>
      </c>
    </row>
    <row r="3563" spans="1:8" x14ac:dyDescent="0.15">
      <c r="A3563" s="196" t="s">
        <v>11229</v>
      </c>
      <c r="B3563" s="196" t="s">
        <v>11230</v>
      </c>
      <c r="C3563" s="196" t="s">
        <v>19668</v>
      </c>
      <c r="D3563" s="196" t="s">
        <v>19667</v>
      </c>
      <c r="E3563" s="196" t="s">
        <v>19669</v>
      </c>
      <c r="F3563" s="196" t="s">
        <v>11241</v>
      </c>
      <c r="G3563" s="196" t="s">
        <v>12378</v>
      </c>
      <c r="H3563" s="196" t="s">
        <v>11235</v>
      </c>
    </row>
    <row r="3564" spans="1:8" x14ac:dyDescent="0.15">
      <c r="A3564" s="196" t="s">
        <v>11229</v>
      </c>
      <c r="B3564" s="196" t="s">
        <v>11230</v>
      </c>
      <c r="C3564" s="196" t="s">
        <v>19670</v>
      </c>
      <c r="D3564" s="196" t="s">
        <v>19669</v>
      </c>
      <c r="E3564" s="196" t="s">
        <v>19671</v>
      </c>
      <c r="F3564" s="196" t="s">
        <v>11268</v>
      </c>
      <c r="G3564" s="196" t="s">
        <v>12378</v>
      </c>
      <c r="H3564" s="196" t="s">
        <v>11235</v>
      </c>
    </row>
    <row r="3565" spans="1:8" x14ac:dyDescent="0.15">
      <c r="A3565" s="196" t="s">
        <v>11229</v>
      </c>
      <c r="B3565" s="196" t="s">
        <v>11230</v>
      </c>
      <c r="C3565" s="196" t="s">
        <v>19672</v>
      </c>
      <c r="D3565" s="196" t="s">
        <v>19671</v>
      </c>
      <c r="E3565" s="196" t="s">
        <v>19673</v>
      </c>
      <c r="F3565" s="196" t="s">
        <v>11241</v>
      </c>
      <c r="G3565" s="196" t="s">
        <v>12378</v>
      </c>
      <c r="H3565" s="196" t="s">
        <v>11235</v>
      </c>
    </row>
    <row r="3566" spans="1:8" x14ac:dyDescent="0.15">
      <c r="A3566" s="196" t="s">
        <v>11229</v>
      </c>
      <c r="B3566" s="196" t="s">
        <v>11230</v>
      </c>
      <c r="C3566" s="196" t="s">
        <v>19674</v>
      </c>
      <c r="D3566" s="196" t="s">
        <v>19673</v>
      </c>
      <c r="E3566" s="196" t="s">
        <v>19675</v>
      </c>
      <c r="F3566" s="196" t="s">
        <v>11268</v>
      </c>
      <c r="G3566" s="196" t="s">
        <v>12378</v>
      </c>
      <c r="H3566" s="196" t="s">
        <v>11235</v>
      </c>
    </row>
    <row r="3567" spans="1:8" x14ac:dyDescent="0.15">
      <c r="A3567" s="196" t="s">
        <v>11229</v>
      </c>
      <c r="B3567" s="196" t="s">
        <v>11230</v>
      </c>
      <c r="C3567" s="196" t="s">
        <v>19676</v>
      </c>
      <c r="D3567" s="196" t="s">
        <v>19677</v>
      </c>
      <c r="E3567" s="196" t="s">
        <v>19677</v>
      </c>
      <c r="F3567" s="196" t="s">
        <v>11233</v>
      </c>
      <c r="G3567" s="196" t="s">
        <v>12378</v>
      </c>
      <c r="H3567" s="196" t="s">
        <v>11235</v>
      </c>
    </row>
    <row r="3568" spans="1:8" x14ac:dyDescent="0.15">
      <c r="A3568" s="196" t="s">
        <v>11229</v>
      </c>
      <c r="B3568" s="196" t="s">
        <v>11230</v>
      </c>
      <c r="C3568" s="196" t="s">
        <v>19678</v>
      </c>
      <c r="D3568" s="196" t="s">
        <v>19679</v>
      </c>
      <c r="E3568" s="196" t="s">
        <v>19680</v>
      </c>
      <c r="F3568" s="196" t="s">
        <v>11241</v>
      </c>
      <c r="G3568" s="196" t="s">
        <v>12378</v>
      </c>
      <c r="H3568" s="196" t="s">
        <v>11235</v>
      </c>
    </row>
    <row r="3569" spans="1:8" x14ac:dyDescent="0.15">
      <c r="A3569" s="196" t="s">
        <v>11229</v>
      </c>
      <c r="B3569" s="196" t="s">
        <v>11230</v>
      </c>
      <c r="C3569" s="196" t="s">
        <v>19681</v>
      </c>
      <c r="D3569" s="196" t="s">
        <v>19680</v>
      </c>
      <c r="E3569" s="196" t="s">
        <v>19682</v>
      </c>
      <c r="F3569" s="196" t="s">
        <v>11268</v>
      </c>
      <c r="G3569" s="196" t="s">
        <v>12378</v>
      </c>
      <c r="H3569" s="196" t="s">
        <v>11235</v>
      </c>
    </row>
    <row r="3570" spans="1:8" x14ac:dyDescent="0.15">
      <c r="A3570" s="196" t="s">
        <v>11229</v>
      </c>
      <c r="B3570" s="196" t="s">
        <v>11230</v>
      </c>
      <c r="C3570" s="196" t="s">
        <v>19683</v>
      </c>
      <c r="D3570" s="196" t="s">
        <v>19684</v>
      </c>
      <c r="E3570" s="196" t="s">
        <v>19684</v>
      </c>
      <c r="F3570" s="196" t="s">
        <v>11233</v>
      </c>
      <c r="G3570" s="196" t="s">
        <v>12378</v>
      </c>
      <c r="H3570" s="196" t="s">
        <v>11235</v>
      </c>
    </row>
    <row r="3571" spans="1:8" x14ac:dyDescent="0.15">
      <c r="A3571" s="196" t="s">
        <v>11229</v>
      </c>
      <c r="B3571" s="196" t="s">
        <v>11230</v>
      </c>
      <c r="C3571" s="196" t="s">
        <v>19685</v>
      </c>
      <c r="D3571" s="196" t="s">
        <v>19686</v>
      </c>
      <c r="E3571" s="196" t="s">
        <v>19686</v>
      </c>
      <c r="F3571" s="196" t="s">
        <v>11233</v>
      </c>
      <c r="G3571" s="196" t="s">
        <v>12378</v>
      </c>
      <c r="H3571" s="196" t="s">
        <v>11235</v>
      </c>
    </row>
    <row r="3572" spans="1:8" x14ac:dyDescent="0.15">
      <c r="A3572" s="196" t="s">
        <v>11229</v>
      </c>
      <c r="B3572" s="196" t="s">
        <v>11230</v>
      </c>
      <c r="C3572" s="196" t="s">
        <v>19687</v>
      </c>
      <c r="D3572" s="196" t="s">
        <v>19688</v>
      </c>
      <c r="E3572" s="196" t="s">
        <v>19688</v>
      </c>
      <c r="F3572" s="196" t="s">
        <v>11233</v>
      </c>
      <c r="G3572" s="196" t="s">
        <v>12378</v>
      </c>
      <c r="H3572" s="196" t="s">
        <v>11235</v>
      </c>
    </row>
    <row r="3573" spans="1:8" x14ac:dyDescent="0.15">
      <c r="A3573" s="196" t="s">
        <v>11229</v>
      </c>
      <c r="B3573" s="196" t="s">
        <v>11230</v>
      </c>
      <c r="C3573" s="196" t="s">
        <v>19689</v>
      </c>
      <c r="D3573" s="196" t="s">
        <v>19690</v>
      </c>
      <c r="E3573" s="196" t="s">
        <v>19690</v>
      </c>
      <c r="F3573" s="196" t="s">
        <v>11233</v>
      </c>
      <c r="G3573" s="196" t="s">
        <v>12378</v>
      </c>
      <c r="H3573" s="196" t="s">
        <v>11235</v>
      </c>
    </row>
    <row r="3574" spans="1:8" x14ac:dyDescent="0.15">
      <c r="A3574" s="196" t="s">
        <v>11229</v>
      </c>
      <c r="B3574" s="196" t="s">
        <v>11230</v>
      </c>
      <c r="C3574" s="196" t="s">
        <v>19691</v>
      </c>
      <c r="D3574" s="196" t="s">
        <v>19692</v>
      </c>
      <c r="E3574" s="196" t="s">
        <v>19692</v>
      </c>
      <c r="F3574" s="196" t="s">
        <v>11233</v>
      </c>
      <c r="G3574" s="196" t="s">
        <v>12378</v>
      </c>
      <c r="H3574" s="196" t="s">
        <v>11235</v>
      </c>
    </row>
    <row r="3575" spans="1:8" x14ac:dyDescent="0.15">
      <c r="A3575" s="196" t="s">
        <v>11229</v>
      </c>
      <c r="B3575" s="196" t="s">
        <v>11230</v>
      </c>
      <c r="C3575" s="196" t="s">
        <v>19693</v>
      </c>
      <c r="D3575" s="196" t="s">
        <v>19694</v>
      </c>
      <c r="E3575" s="196" t="s">
        <v>19694</v>
      </c>
      <c r="F3575" s="196" t="s">
        <v>11233</v>
      </c>
      <c r="G3575" s="196" t="s">
        <v>12378</v>
      </c>
      <c r="H3575" s="196" t="s">
        <v>11235</v>
      </c>
    </row>
    <row r="3576" spans="1:8" x14ac:dyDescent="0.15">
      <c r="A3576" s="196" t="s">
        <v>11229</v>
      </c>
      <c r="B3576" s="196" t="s">
        <v>11230</v>
      </c>
      <c r="C3576" s="196" t="s">
        <v>19695</v>
      </c>
      <c r="D3576" s="196" t="s">
        <v>19696</v>
      </c>
      <c r="E3576" s="196" t="s">
        <v>19696</v>
      </c>
      <c r="F3576" s="196" t="s">
        <v>11233</v>
      </c>
      <c r="G3576" s="196" t="s">
        <v>12378</v>
      </c>
      <c r="H3576" s="196" t="s">
        <v>11235</v>
      </c>
    </row>
    <row r="3577" spans="1:8" x14ac:dyDescent="0.15">
      <c r="A3577" s="196" t="s">
        <v>11229</v>
      </c>
      <c r="B3577" s="196" t="s">
        <v>11230</v>
      </c>
      <c r="C3577" s="196" t="s">
        <v>19697</v>
      </c>
      <c r="D3577" s="196" t="s">
        <v>19698</v>
      </c>
      <c r="E3577" s="196" t="s">
        <v>19698</v>
      </c>
      <c r="F3577" s="196" t="s">
        <v>11233</v>
      </c>
      <c r="G3577" s="196" t="s">
        <v>12378</v>
      </c>
      <c r="H3577" s="196" t="s">
        <v>11235</v>
      </c>
    </row>
    <row r="3578" spans="1:8" x14ac:dyDescent="0.15">
      <c r="A3578" s="196" t="s">
        <v>11229</v>
      </c>
      <c r="B3578" s="196" t="s">
        <v>11230</v>
      </c>
      <c r="C3578" s="196" t="s">
        <v>19699</v>
      </c>
      <c r="D3578" s="196" t="s">
        <v>19700</v>
      </c>
      <c r="E3578" s="196" t="s">
        <v>19700</v>
      </c>
      <c r="F3578" s="196" t="s">
        <v>11233</v>
      </c>
      <c r="G3578" s="196" t="s">
        <v>12378</v>
      </c>
      <c r="H3578" s="196" t="s">
        <v>11235</v>
      </c>
    </row>
    <row r="3579" spans="1:8" x14ac:dyDescent="0.15">
      <c r="A3579" s="196" t="s">
        <v>11229</v>
      </c>
      <c r="B3579" s="196" t="s">
        <v>11230</v>
      </c>
      <c r="C3579" s="196" t="s">
        <v>19701</v>
      </c>
      <c r="D3579" s="196" t="s">
        <v>19702</v>
      </c>
      <c r="E3579" s="196" t="s">
        <v>19702</v>
      </c>
      <c r="F3579" s="196" t="s">
        <v>11233</v>
      </c>
      <c r="G3579" s="196" t="s">
        <v>12378</v>
      </c>
      <c r="H3579" s="196" t="s">
        <v>11235</v>
      </c>
    </row>
    <row r="3580" spans="1:8" x14ac:dyDescent="0.15">
      <c r="A3580" s="196" t="s">
        <v>11229</v>
      </c>
      <c r="B3580" s="196" t="s">
        <v>11230</v>
      </c>
      <c r="C3580" s="196" t="s">
        <v>19703</v>
      </c>
      <c r="D3580" s="196" t="s">
        <v>19704</v>
      </c>
      <c r="E3580" s="196" t="s">
        <v>19704</v>
      </c>
      <c r="F3580" s="196" t="s">
        <v>11233</v>
      </c>
      <c r="G3580" s="196" t="s">
        <v>12378</v>
      </c>
      <c r="H3580" s="196" t="s">
        <v>11235</v>
      </c>
    </row>
    <row r="3581" spans="1:8" x14ac:dyDescent="0.15">
      <c r="A3581" s="196" t="s">
        <v>11229</v>
      </c>
      <c r="B3581" s="196" t="s">
        <v>11230</v>
      </c>
      <c r="C3581" s="196" t="s">
        <v>19705</v>
      </c>
      <c r="D3581" s="196" t="s">
        <v>19706</v>
      </c>
      <c r="E3581" s="196" t="s">
        <v>19706</v>
      </c>
      <c r="F3581" s="196" t="s">
        <v>11233</v>
      </c>
      <c r="G3581" s="196" t="s">
        <v>12378</v>
      </c>
      <c r="H3581" s="196" t="s">
        <v>11235</v>
      </c>
    </row>
    <row r="3582" spans="1:8" x14ac:dyDescent="0.15">
      <c r="A3582" s="196" t="s">
        <v>11229</v>
      </c>
      <c r="B3582" s="196" t="s">
        <v>11230</v>
      </c>
      <c r="C3582" s="196" t="s">
        <v>19707</v>
      </c>
      <c r="D3582" s="196" t="s">
        <v>19708</v>
      </c>
      <c r="E3582" s="196" t="s">
        <v>19709</v>
      </c>
      <c r="F3582" s="196" t="s">
        <v>11241</v>
      </c>
      <c r="G3582" s="196" t="s">
        <v>12378</v>
      </c>
      <c r="H3582" s="196" t="s">
        <v>11235</v>
      </c>
    </row>
    <row r="3583" spans="1:8" x14ac:dyDescent="0.15">
      <c r="A3583" s="196" t="s">
        <v>11229</v>
      </c>
      <c r="B3583" s="196" t="s">
        <v>11230</v>
      </c>
      <c r="C3583" s="196" t="s">
        <v>19710</v>
      </c>
      <c r="D3583" s="196" t="s">
        <v>19709</v>
      </c>
      <c r="E3583" s="196" t="s">
        <v>19711</v>
      </c>
      <c r="F3583" s="196" t="s">
        <v>11241</v>
      </c>
      <c r="G3583" s="196" t="s">
        <v>12378</v>
      </c>
      <c r="H3583" s="196" t="s">
        <v>11235</v>
      </c>
    </row>
    <row r="3584" spans="1:8" x14ac:dyDescent="0.15">
      <c r="A3584" s="196" t="s">
        <v>11229</v>
      </c>
      <c r="B3584" s="196" t="s">
        <v>11230</v>
      </c>
      <c r="C3584" s="196" t="s">
        <v>19712</v>
      </c>
      <c r="D3584" s="196" t="s">
        <v>19711</v>
      </c>
      <c r="E3584" s="196" t="s">
        <v>19713</v>
      </c>
      <c r="F3584" s="196" t="s">
        <v>11268</v>
      </c>
      <c r="G3584" s="196" t="s">
        <v>12378</v>
      </c>
      <c r="H3584" s="196" t="s">
        <v>11235</v>
      </c>
    </row>
    <row r="3585" spans="1:8" x14ac:dyDescent="0.15">
      <c r="A3585" s="196" t="s">
        <v>11229</v>
      </c>
      <c r="B3585" s="196" t="s">
        <v>11230</v>
      </c>
      <c r="C3585" s="196" t="s">
        <v>19714</v>
      </c>
      <c r="D3585" s="196" t="s">
        <v>19713</v>
      </c>
      <c r="E3585" s="196" t="s">
        <v>19715</v>
      </c>
      <c r="F3585" s="196" t="s">
        <v>11241</v>
      </c>
      <c r="G3585" s="196" t="s">
        <v>12378</v>
      </c>
      <c r="H3585" s="196" t="s">
        <v>11235</v>
      </c>
    </row>
    <row r="3586" spans="1:8" x14ac:dyDescent="0.15">
      <c r="A3586" s="196" t="s">
        <v>11229</v>
      </c>
      <c r="B3586" s="196" t="s">
        <v>11230</v>
      </c>
      <c r="C3586" s="196" t="s">
        <v>19716</v>
      </c>
      <c r="D3586" s="196" t="s">
        <v>19717</v>
      </c>
      <c r="E3586" s="196" t="s">
        <v>19718</v>
      </c>
      <c r="F3586" s="196" t="s">
        <v>13069</v>
      </c>
      <c r="G3586" s="196" t="s">
        <v>12378</v>
      </c>
      <c r="H3586" s="196" t="s">
        <v>11235</v>
      </c>
    </row>
    <row r="3587" spans="1:8" x14ac:dyDescent="0.15">
      <c r="A3587" s="196" t="s">
        <v>11229</v>
      </c>
      <c r="B3587" s="196" t="s">
        <v>11230</v>
      </c>
      <c r="C3587" s="196" t="s">
        <v>19719</v>
      </c>
      <c r="D3587" s="196" t="s">
        <v>19720</v>
      </c>
      <c r="E3587" s="196" t="s">
        <v>19721</v>
      </c>
      <c r="F3587" s="196" t="s">
        <v>14964</v>
      </c>
      <c r="G3587" s="196" t="s">
        <v>12378</v>
      </c>
      <c r="H3587" s="196" t="s">
        <v>11235</v>
      </c>
    </row>
    <row r="3588" spans="1:8" x14ac:dyDescent="0.15">
      <c r="A3588" s="196" t="s">
        <v>11229</v>
      </c>
      <c r="B3588" s="196" t="s">
        <v>11230</v>
      </c>
      <c r="C3588" s="196" t="s">
        <v>19722</v>
      </c>
      <c r="D3588" s="196" t="s">
        <v>19723</v>
      </c>
      <c r="E3588" s="196" t="s">
        <v>19724</v>
      </c>
      <c r="F3588" s="196" t="s">
        <v>13914</v>
      </c>
      <c r="G3588" s="196" t="s">
        <v>12378</v>
      </c>
      <c r="H3588" s="196" t="s">
        <v>11235</v>
      </c>
    </row>
    <row r="3589" spans="1:8" x14ac:dyDescent="0.15">
      <c r="A3589" s="196" t="s">
        <v>11229</v>
      </c>
      <c r="B3589" s="196" t="s">
        <v>11230</v>
      </c>
      <c r="C3589" s="196" t="s">
        <v>19725</v>
      </c>
      <c r="D3589" s="196" t="s">
        <v>19726</v>
      </c>
      <c r="E3589" s="196" t="s">
        <v>19727</v>
      </c>
      <c r="F3589" s="196" t="s">
        <v>13901</v>
      </c>
      <c r="G3589" s="196" t="s">
        <v>12378</v>
      </c>
      <c r="H3589" s="196" t="s">
        <v>11235</v>
      </c>
    </row>
    <row r="3590" spans="1:8" x14ac:dyDescent="0.15">
      <c r="A3590" s="196" t="s">
        <v>11229</v>
      </c>
      <c r="B3590" s="196" t="s">
        <v>11230</v>
      </c>
      <c r="C3590" s="196" t="s">
        <v>19728</v>
      </c>
      <c r="D3590" s="196" t="s">
        <v>19729</v>
      </c>
      <c r="E3590" s="196" t="s">
        <v>19730</v>
      </c>
      <c r="F3590" s="196" t="s">
        <v>12537</v>
      </c>
      <c r="G3590" s="196" t="s">
        <v>12378</v>
      </c>
      <c r="H3590" s="196" t="s">
        <v>11235</v>
      </c>
    </row>
    <row r="3591" spans="1:8" x14ac:dyDescent="0.15">
      <c r="A3591" s="196" t="s">
        <v>11229</v>
      </c>
      <c r="B3591" s="196" t="s">
        <v>11230</v>
      </c>
      <c r="C3591" s="196" t="s">
        <v>19731</v>
      </c>
      <c r="D3591" s="196" t="s">
        <v>19732</v>
      </c>
      <c r="E3591" s="196" t="s">
        <v>19733</v>
      </c>
      <c r="F3591" s="196" t="s">
        <v>12537</v>
      </c>
      <c r="G3591" s="196" t="s">
        <v>12378</v>
      </c>
      <c r="H3591" s="196" t="s">
        <v>11235</v>
      </c>
    </row>
    <row r="3592" spans="1:8" x14ac:dyDescent="0.15">
      <c r="A3592" s="196" t="s">
        <v>11229</v>
      </c>
      <c r="B3592" s="196" t="s">
        <v>11230</v>
      </c>
      <c r="C3592" s="196" t="s">
        <v>19734</v>
      </c>
      <c r="D3592" s="196" t="s">
        <v>19735</v>
      </c>
      <c r="E3592" s="196" t="s">
        <v>19736</v>
      </c>
      <c r="F3592" s="196" t="s">
        <v>13901</v>
      </c>
      <c r="G3592" s="196" t="s">
        <v>12378</v>
      </c>
      <c r="H3592" s="196" t="s">
        <v>11235</v>
      </c>
    </row>
    <row r="3593" spans="1:8" x14ac:dyDescent="0.15">
      <c r="A3593" s="196" t="s">
        <v>11229</v>
      </c>
      <c r="B3593" s="196" t="s">
        <v>11230</v>
      </c>
      <c r="C3593" s="196" t="s">
        <v>19737</v>
      </c>
      <c r="D3593" s="196" t="s">
        <v>19738</v>
      </c>
      <c r="E3593" s="196" t="s">
        <v>19739</v>
      </c>
      <c r="F3593" s="196" t="s">
        <v>13901</v>
      </c>
      <c r="G3593" s="196" t="s">
        <v>12378</v>
      </c>
      <c r="H3593" s="196" t="s">
        <v>11235</v>
      </c>
    </row>
    <row r="3594" spans="1:8" x14ac:dyDescent="0.15">
      <c r="A3594" s="196" t="s">
        <v>11229</v>
      </c>
      <c r="B3594" s="196" t="s">
        <v>11230</v>
      </c>
      <c r="C3594" s="196" t="s">
        <v>19740</v>
      </c>
      <c r="D3594" s="196" t="s">
        <v>19741</v>
      </c>
      <c r="E3594" s="196" t="s">
        <v>19742</v>
      </c>
      <c r="F3594" s="196" t="s">
        <v>12537</v>
      </c>
      <c r="G3594" s="196" t="s">
        <v>12378</v>
      </c>
      <c r="H3594" s="196" t="s">
        <v>11235</v>
      </c>
    </row>
    <row r="3595" spans="1:8" x14ac:dyDescent="0.15">
      <c r="A3595" s="196" t="s">
        <v>11229</v>
      </c>
      <c r="B3595" s="196" t="s">
        <v>11230</v>
      </c>
      <c r="C3595" s="196" t="s">
        <v>19743</v>
      </c>
      <c r="D3595" s="196" t="s">
        <v>19744</v>
      </c>
      <c r="E3595" s="196" t="s">
        <v>19745</v>
      </c>
      <c r="F3595" s="196" t="s">
        <v>19746</v>
      </c>
      <c r="G3595" s="196" t="s">
        <v>12378</v>
      </c>
      <c r="H3595" s="196" t="s">
        <v>11235</v>
      </c>
    </row>
    <row r="3596" spans="1:8" x14ac:dyDescent="0.15">
      <c r="A3596" s="196" t="s">
        <v>11229</v>
      </c>
      <c r="B3596" s="196" t="s">
        <v>11230</v>
      </c>
      <c r="C3596" s="196" t="s">
        <v>19747</v>
      </c>
      <c r="D3596" s="196" t="s">
        <v>19748</v>
      </c>
      <c r="E3596" s="196" t="s">
        <v>19749</v>
      </c>
      <c r="F3596" s="196" t="s">
        <v>12537</v>
      </c>
      <c r="G3596" s="196" t="s">
        <v>12378</v>
      </c>
      <c r="H3596" s="196" t="s">
        <v>11235</v>
      </c>
    </row>
    <row r="3597" spans="1:8" x14ac:dyDescent="0.15">
      <c r="A3597" s="196" t="s">
        <v>11229</v>
      </c>
      <c r="B3597" s="196" t="s">
        <v>11230</v>
      </c>
      <c r="C3597" s="196" t="s">
        <v>19750</v>
      </c>
      <c r="D3597" s="196" t="s">
        <v>19751</v>
      </c>
      <c r="E3597" s="196" t="s">
        <v>19752</v>
      </c>
      <c r="F3597" s="196" t="s">
        <v>13054</v>
      </c>
      <c r="G3597" s="196" t="s">
        <v>12378</v>
      </c>
      <c r="H3597" s="196" t="s">
        <v>11235</v>
      </c>
    </row>
    <row r="3598" spans="1:8" x14ac:dyDescent="0.15">
      <c r="A3598" s="196" t="s">
        <v>11229</v>
      </c>
      <c r="B3598" s="196" t="s">
        <v>11230</v>
      </c>
      <c r="C3598" s="196" t="s">
        <v>19753</v>
      </c>
      <c r="D3598" s="196" t="s">
        <v>19754</v>
      </c>
      <c r="E3598" s="196" t="s">
        <v>19755</v>
      </c>
      <c r="F3598" s="196" t="s">
        <v>12537</v>
      </c>
      <c r="G3598" s="196" t="s">
        <v>12378</v>
      </c>
      <c r="H3598" s="196" t="s">
        <v>11235</v>
      </c>
    </row>
    <row r="3599" spans="1:8" x14ac:dyDescent="0.15">
      <c r="A3599" s="196" t="s">
        <v>11229</v>
      </c>
      <c r="B3599" s="196" t="s">
        <v>11230</v>
      </c>
      <c r="C3599" s="196" t="s">
        <v>19756</v>
      </c>
      <c r="D3599" s="196" t="s">
        <v>19757</v>
      </c>
      <c r="E3599" s="196" t="s">
        <v>19758</v>
      </c>
      <c r="F3599" s="196" t="s">
        <v>13901</v>
      </c>
      <c r="G3599" s="196" t="s">
        <v>12378</v>
      </c>
      <c r="H3599" s="196" t="s">
        <v>11235</v>
      </c>
    </row>
    <row r="3600" spans="1:8" x14ac:dyDescent="0.15">
      <c r="A3600" s="196" t="s">
        <v>11229</v>
      </c>
      <c r="B3600" s="196" t="s">
        <v>11230</v>
      </c>
      <c r="C3600" s="196" t="s">
        <v>19759</v>
      </c>
      <c r="D3600" s="196" t="s">
        <v>19760</v>
      </c>
      <c r="E3600" s="196" t="s">
        <v>19760</v>
      </c>
      <c r="F3600" s="196" t="s">
        <v>11233</v>
      </c>
      <c r="G3600" s="196" t="s">
        <v>12378</v>
      </c>
      <c r="H3600" s="196" t="s">
        <v>11235</v>
      </c>
    </row>
    <row r="3601" spans="1:8" x14ac:dyDescent="0.15">
      <c r="A3601" s="196" t="s">
        <v>11229</v>
      </c>
      <c r="B3601" s="196" t="s">
        <v>11230</v>
      </c>
      <c r="C3601" s="196" t="s">
        <v>19761</v>
      </c>
      <c r="D3601" s="196" t="s">
        <v>19762</v>
      </c>
      <c r="E3601" s="196" t="s">
        <v>19762</v>
      </c>
      <c r="F3601" s="196" t="s">
        <v>11233</v>
      </c>
      <c r="G3601" s="196" t="s">
        <v>12378</v>
      </c>
      <c r="H3601" s="196" t="s">
        <v>11235</v>
      </c>
    </row>
    <row r="3602" spans="1:8" x14ac:dyDescent="0.15">
      <c r="A3602" s="196" t="s">
        <v>11229</v>
      </c>
      <c r="B3602" s="196" t="s">
        <v>11230</v>
      </c>
      <c r="C3602" s="196" t="s">
        <v>19763</v>
      </c>
      <c r="D3602" s="196" t="s">
        <v>19764</v>
      </c>
      <c r="E3602" s="196" t="s">
        <v>19764</v>
      </c>
      <c r="F3602" s="196" t="s">
        <v>11233</v>
      </c>
      <c r="G3602" s="196" t="s">
        <v>12378</v>
      </c>
      <c r="H3602" s="196" t="s">
        <v>11235</v>
      </c>
    </row>
    <row r="3603" spans="1:8" x14ac:dyDescent="0.15">
      <c r="A3603" s="196" t="s">
        <v>11229</v>
      </c>
      <c r="B3603" s="196" t="s">
        <v>11230</v>
      </c>
      <c r="C3603" s="196" t="s">
        <v>19765</v>
      </c>
      <c r="D3603" s="196" t="s">
        <v>19766</v>
      </c>
      <c r="E3603" s="196" t="s">
        <v>19766</v>
      </c>
      <c r="F3603" s="196" t="s">
        <v>11233</v>
      </c>
      <c r="G3603" s="196" t="s">
        <v>12378</v>
      </c>
      <c r="H3603" s="196" t="s">
        <v>11235</v>
      </c>
    </row>
    <row r="3604" spans="1:8" x14ac:dyDescent="0.15">
      <c r="A3604" s="196" t="s">
        <v>11229</v>
      </c>
      <c r="B3604" s="196" t="s">
        <v>11230</v>
      </c>
      <c r="C3604" s="196" t="s">
        <v>19767</v>
      </c>
      <c r="D3604" s="196" t="s">
        <v>19768</v>
      </c>
      <c r="E3604" s="196" t="s">
        <v>19768</v>
      </c>
      <c r="F3604" s="196" t="s">
        <v>11233</v>
      </c>
      <c r="G3604" s="196" t="s">
        <v>12378</v>
      </c>
      <c r="H3604" s="196" t="s">
        <v>11235</v>
      </c>
    </row>
    <row r="3605" spans="1:8" x14ac:dyDescent="0.15">
      <c r="A3605" s="196" t="s">
        <v>11229</v>
      </c>
      <c r="B3605" s="196" t="s">
        <v>11230</v>
      </c>
      <c r="C3605" s="196" t="s">
        <v>19769</v>
      </c>
      <c r="D3605" s="196" t="s">
        <v>19770</v>
      </c>
      <c r="E3605" s="196" t="s">
        <v>19770</v>
      </c>
      <c r="F3605" s="196" t="s">
        <v>11233</v>
      </c>
      <c r="G3605" s="196" t="s">
        <v>12378</v>
      </c>
      <c r="H3605" s="196" t="s">
        <v>11235</v>
      </c>
    </row>
    <row r="3606" spans="1:8" x14ac:dyDescent="0.15">
      <c r="A3606" s="196" t="s">
        <v>11229</v>
      </c>
      <c r="B3606" s="196" t="s">
        <v>11230</v>
      </c>
      <c r="C3606" s="196" t="s">
        <v>19771</v>
      </c>
      <c r="D3606" s="196" t="s">
        <v>19772</v>
      </c>
      <c r="E3606" s="196" t="s">
        <v>19773</v>
      </c>
      <c r="F3606" s="196" t="s">
        <v>11241</v>
      </c>
      <c r="G3606" s="196" t="s">
        <v>12378</v>
      </c>
      <c r="H3606" s="196" t="s">
        <v>11235</v>
      </c>
    </row>
    <row r="3607" spans="1:8" x14ac:dyDescent="0.15">
      <c r="A3607" s="196" t="s">
        <v>11229</v>
      </c>
      <c r="B3607" s="196" t="s">
        <v>11230</v>
      </c>
      <c r="C3607" s="196" t="s">
        <v>19774</v>
      </c>
      <c r="D3607" s="196" t="s">
        <v>19773</v>
      </c>
      <c r="E3607" s="196" t="s">
        <v>19775</v>
      </c>
      <c r="F3607" s="196" t="s">
        <v>11268</v>
      </c>
      <c r="G3607" s="196" t="s">
        <v>12378</v>
      </c>
      <c r="H3607" s="196" t="s">
        <v>11235</v>
      </c>
    </row>
    <row r="3608" spans="1:8" x14ac:dyDescent="0.15">
      <c r="A3608" s="196" t="s">
        <v>11229</v>
      </c>
      <c r="B3608" s="196" t="s">
        <v>11230</v>
      </c>
      <c r="C3608" s="196" t="s">
        <v>19776</v>
      </c>
      <c r="D3608" s="196" t="s">
        <v>19777</v>
      </c>
      <c r="E3608" s="196" t="s">
        <v>19777</v>
      </c>
      <c r="F3608" s="196" t="s">
        <v>11233</v>
      </c>
      <c r="G3608" s="196" t="s">
        <v>12378</v>
      </c>
      <c r="H3608" s="196" t="s">
        <v>11235</v>
      </c>
    </row>
    <row r="3609" spans="1:8" x14ac:dyDescent="0.15">
      <c r="A3609" s="196" t="s">
        <v>11229</v>
      </c>
      <c r="B3609" s="196" t="s">
        <v>11230</v>
      </c>
      <c r="C3609" s="196" t="s">
        <v>19778</v>
      </c>
      <c r="D3609" s="196" t="s">
        <v>19779</v>
      </c>
      <c r="E3609" s="196" t="s">
        <v>19779</v>
      </c>
      <c r="F3609" s="196" t="s">
        <v>11233</v>
      </c>
      <c r="G3609" s="196" t="s">
        <v>12378</v>
      </c>
      <c r="H3609" s="196" t="s">
        <v>11235</v>
      </c>
    </row>
    <row r="3610" spans="1:8" x14ac:dyDescent="0.15">
      <c r="A3610" s="196" t="s">
        <v>11229</v>
      </c>
      <c r="B3610" s="196" t="s">
        <v>11230</v>
      </c>
      <c r="C3610" s="196" t="s">
        <v>19780</v>
      </c>
      <c r="D3610" s="196" t="s">
        <v>19781</v>
      </c>
      <c r="E3610" s="196" t="s">
        <v>19782</v>
      </c>
      <c r="F3610" s="196" t="s">
        <v>11241</v>
      </c>
      <c r="G3610" s="196" t="s">
        <v>12378</v>
      </c>
      <c r="H3610" s="196" t="s">
        <v>11235</v>
      </c>
    </row>
    <row r="3611" spans="1:8" x14ac:dyDescent="0.15">
      <c r="A3611" s="196" t="s">
        <v>11229</v>
      </c>
      <c r="B3611" s="196" t="s">
        <v>11230</v>
      </c>
      <c r="C3611" s="196" t="s">
        <v>19783</v>
      </c>
      <c r="D3611" s="196" t="s">
        <v>19784</v>
      </c>
      <c r="E3611" s="196" t="s">
        <v>19784</v>
      </c>
      <c r="F3611" s="196" t="s">
        <v>11233</v>
      </c>
      <c r="G3611" s="196" t="s">
        <v>12378</v>
      </c>
      <c r="H3611" s="196" t="s">
        <v>11235</v>
      </c>
    </row>
    <row r="3612" spans="1:8" x14ac:dyDescent="0.15">
      <c r="A3612" s="196" t="s">
        <v>11229</v>
      </c>
      <c r="B3612" s="196" t="s">
        <v>11230</v>
      </c>
      <c r="C3612" s="196" t="s">
        <v>19785</v>
      </c>
      <c r="D3612" s="196" t="s">
        <v>19786</v>
      </c>
      <c r="E3612" s="196" t="s">
        <v>19787</v>
      </c>
      <c r="F3612" s="196" t="s">
        <v>11268</v>
      </c>
      <c r="G3612" s="196" t="s">
        <v>12378</v>
      </c>
      <c r="H3612" s="196" t="s">
        <v>11235</v>
      </c>
    </row>
    <row r="3613" spans="1:8" x14ac:dyDescent="0.15">
      <c r="A3613" s="196" t="s">
        <v>11229</v>
      </c>
      <c r="B3613" s="196" t="s">
        <v>11230</v>
      </c>
      <c r="C3613" s="196" t="s">
        <v>19788</v>
      </c>
      <c r="D3613" s="196" t="s">
        <v>19787</v>
      </c>
      <c r="E3613" s="196" t="s">
        <v>19789</v>
      </c>
      <c r="F3613" s="196" t="s">
        <v>11241</v>
      </c>
      <c r="G3613" s="196" t="s">
        <v>12378</v>
      </c>
      <c r="H3613" s="196" t="s">
        <v>11235</v>
      </c>
    </row>
    <row r="3614" spans="1:8" x14ac:dyDescent="0.15">
      <c r="A3614" s="196" t="s">
        <v>11229</v>
      </c>
      <c r="B3614" s="196" t="s">
        <v>11230</v>
      </c>
      <c r="C3614" s="196" t="s">
        <v>19790</v>
      </c>
      <c r="D3614" s="196" t="s">
        <v>19791</v>
      </c>
      <c r="E3614" s="196" t="s">
        <v>19791</v>
      </c>
      <c r="F3614" s="196" t="s">
        <v>11233</v>
      </c>
      <c r="G3614" s="196" t="s">
        <v>12378</v>
      </c>
      <c r="H3614" s="196" t="s">
        <v>11235</v>
      </c>
    </row>
    <row r="3615" spans="1:8" x14ac:dyDescent="0.15">
      <c r="A3615" s="196" t="s">
        <v>11229</v>
      </c>
      <c r="B3615" s="196" t="s">
        <v>11230</v>
      </c>
      <c r="C3615" s="196" t="s">
        <v>19792</v>
      </c>
      <c r="D3615" s="196" t="s">
        <v>19793</v>
      </c>
      <c r="E3615" s="196" t="s">
        <v>19793</v>
      </c>
      <c r="F3615" s="196" t="s">
        <v>11233</v>
      </c>
      <c r="G3615" s="196" t="s">
        <v>12378</v>
      </c>
      <c r="H3615" s="196" t="s">
        <v>11235</v>
      </c>
    </row>
    <row r="3616" spans="1:8" x14ac:dyDescent="0.15">
      <c r="A3616" s="196" t="s">
        <v>11229</v>
      </c>
      <c r="B3616" s="196" t="s">
        <v>11230</v>
      </c>
      <c r="C3616" s="196" t="s">
        <v>19794</v>
      </c>
      <c r="D3616" s="196" t="s">
        <v>19795</v>
      </c>
      <c r="E3616" s="196" t="s">
        <v>19796</v>
      </c>
      <c r="F3616" s="196" t="s">
        <v>11268</v>
      </c>
      <c r="G3616" s="196" t="s">
        <v>12378</v>
      </c>
      <c r="H3616" s="196" t="s">
        <v>11235</v>
      </c>
    </row>
    <row r="3617" spans="1:8" x14ac:dyDescent="0.15">
      <c r="A3617" s="196" t="s">
        <v>11229</v>
      </c>
      <c r="B3617" s="196" t="s">
        <v>11230</v>
      </c>
      <c r="C3617" s="196" t="s">
        <v>19797</v>
      </c>
      <c r="D3617" s="196" t="s">
        <v>19796</v>
      </c>
      <c r="E3617" s="196" t="s">
        <v>19798</v>
      </c>
      <c r="F3617" s="196" t="s">
        <v>11241</v>
      </c>
      <c r="G3617" s="196" t="s">
        <v>12378</v>
      </c>
      <c r="H3617" s="196" t="s">
        <v>11235</v>
      </c>
    </row>
    <row r="3618" spans="1:8" x14ac:dyDescent="0.15">
      <c r="A3618" s="196" t="s">
        <v>11229</v>
      </c>
      <c r="B3618" s="196" t="s">
        <v>11230</v>
      </c>
      <c r="C3618" s="196" t="s">
        <v>19799</v>
      </c>
      <c r="D3618" s="196" t="s">
        <v>19800</v>
      </c>
      <c r="E3618" s="196" t="s">
        <v>19800</v>
      </c>
      <c r="F3618" s="196" t="s">
        <v>11233</v>
      </c>
      <c r="G3618" s="196" t="s">
        <v>12378</v>
      </c>
      <c r="H3618" s="196" t="s">
        <v>11235</v>
      </c>
    </row>
    <row r="3619" spans="1:8" x14ac:dyDescent="0.15">
      <c r="A3619" s="196" t="s">
        <v>11229</v>
      </c>
      <c r="B3619" s="196" t="s">
        <v>11230</v>
      </c>
      <c r="C3619" s="196" t="s">
        <v>19801</v>
      </c>
      <c r="D3619" s="196" t="s">
        <v>19802</v>
      </c>
      <c r="E3619" s="196" t="s">
        <v>19802</v>
      </c>
      <c r="F3619" s="196" t="s">
        <v>11233</v>
      </c>
      <c r="G3619" s="196" t="s">
        <v>12378</v>
      </c>
      <c r="H3619" s="196" t="s">
        <v>11235</v>
      </c>
    </row>
    <row r="3620" spans="1:8" x14ac:dyDescent="0.15">
      <c r="A3620" s="196" t="s">
        <v>11229</v>
      </c>
      <c r="B3620" s="196" t="s">
        <v>11230</v>
      </c>
      <c r="C3620" s="196" t="s">
        <v>19803</v>
      </c>
      <c r="D3620" s="196" t="s">
        <v>19804</v>
      </c>
      <c r="E3620" s="196" t="s">
        <v>19804</v>
      </c>
      <c r="F3620" s="196" t="s">
        <v>11233</v>
      </c>
      <c r="G3620" s="196" t="s">
        <v>12378</v>
      </c>
      <c r="H3620" s="196" t="s">
        <v>11235</v>
      </c>
    </row>
    <row r="3621" spans="1:8" x14ac:dyDescent="0.15">
      <c r="A3621" s="196" t="s">
        <v>11229</v>
      </c>
      <c r="B3621" s="196" t="s">
        <v>11230</v>
      </c>
      <c r="C3621" s="196" t="s">
        <v>19805</v>
      </c>
      <c r="D3621" s="196" t="s">
        <v>19806</v>
      </c>
      <c r="E3621" s="196" t="s">
        <v>19806</v>
      </c>
      <c r="F3621" s="196" t="s">
        <v>11233</v>
      </c>
      <c r="G3621" s="196" t="s">
        <v>12378</v>
      </c>
      <c r="H3621" s="196" t="s">
        <v>11235</v>
      </c>
    </row>
    <row r="3622" spans="1:8" x14ac:dyDescent="0.15">
      <c r="A3622" s="196" t="s">
        <v>11229</v>
      </c>
      <c r="B3622" s="196" t="s">
        <v>11230</v>
      </c>
      <c r="C3622" s="196" t="s">
        <v>19807</v>
      </c>
      <c r="D3622" s="196" t="s">
        <v>19808</v>
      </c>
      <c r="E3622" s="196" t="s">
        <v>19808</v>
      </c>
      <c r="F3622" s="196" t="s">
        <v>11233</v>
      </c>
      <c r="G3622" s="196" t="s">
        <v>12378</v>
      </c>
      <c r="H3622" s="196" t="s">
        <v>11235</v>
      </c>
    </row>
    <row r="3623" spans="1:8" x14ac:dyDescent="0.15">
      <c r="A3623" s="196" t="s">
        <v>11229</v>
      </c>
      <c r="B3623" s="196" t="s">
        <v>11230</v>
      </c>
      <c r="C3623" s="196" t="s">
        <v>19809</v>
      </c>
      <c r="D3623" s="196" t="s">
        <v>19810</v>
      </c>
      <c r="E3623" s="196" t="s">
        <v>19810</v>
      </c>
      <c r="F3623" s="196" t="s">
        <v>11233</v>
      </c>
      <c r="G3623" s="196" t="s">
        <v>12378</v>
      </c>
      <c r="H3623" s="196" t="s">
        <v>11235</v>
      </c>
    </row>
    <row r="3624" spans="1:8" x14ac:dyDescent="0.15">
      <c r="A3624" s="196" t="s">
        <v>11229</v>
      </c>
      <c r="B3624" s="196" t="s">
        <v>11230</v>
      </c>
      <c r="C3624" s="196" t="s">
        <v>19811</v>
      </c>
      <c r="D3624" s="196" t="s">
        <v>19812</v>
      </c>
      <c r="E3624" s="196" t="s">
        <v>19812</v>
      </c>
      <c r="F3624" s="196" t="s">
        <v>11233</v>
      </c>
      <c r="G3624" s="196" t="s">
        <v>12378</v>
      </c>
      <c r="H3624" s="196" t="s">
        <v>11235</v>
      </c>
    </row>
    <row r="3625" spans="1:8" x14ac:dyDescent="0.15">
      <c r="A3625" s="196" t="s">
        <v>11229</v>
      </c>
      <c r="B3625" s="196" t="s">
        <v>11230</v>
      </c>
      <c r="C3625" s="196" t="s">
        <v>19813</v>
      </c>
      <c r="D3625" s="196" t="s">
        <v>19814</v>
      </c>
      <c r="E3625" s="196" t="s">
        <v>19814</v>
      </c>
      <c r="F3625" s="196" t="s">
        <v>11233</v>
      </c>
      <c r="G3625" s="196" t="s">
        <v>12378</v>
      </c>
      <c r="H3625" s="196" t="s">
        <v>11235</v>
      </c>
    </row>
    <row r="3626" spans="1:8" x14ac:dyDescent="0.15">
      <c r="A3626" s="196" t="s">
        <v>11229</v>
      </c>
      <c r="B3626" s="196" t="s">
        <v>11230</v>
      </c>
      <c r="C3626" s="196" t="s">
        <v>19815</v>
      </c>
      <c r="D3626" s="196" t="s">
        <v>19816</v>
      </c>
      <c r="E3626" s="196" t="s">
        <v>19816</v>
      </c>
      <c r="F3626" s="196" t="s">
        <v>11233</v>
      </c>
      <c r="G3626" s="196" t="s">
        <v>12378</v>
      </c>
      <c r="H3626" s="196" t="s">
        <v>11235</v>
      </c>
    </row>
    <row r="3627" spans="1:8" x14ac:dyDescent="0.15">
      <c r="A3627" s="196" t="s">
        <v>11229</v>
      </c>
      <c r="B3627" s="196" t="s">
        <v>11230</v>
      </c>
      <c r="C3627" s="196" t="s">
        <v>19817</v>
      </c>
      <c r="D3627" s="196" t="s">
        <v>19818</v>
      </c>
      <c r="E3627" s="196" t="s">
        <v>19818</v>
      </c>
      <c r="F3627" s="196" t="s">
        <v>11233</v>
      </c>
      <c r="G3627" s="196" t="s">
        <v>12378</v>
      </c>
      <c r="H3627" s="196" t="s">
        <v>11235</v>
      </c>
    </row>
    <row r="3628" spans="1:8" x14ac:dyDescent="0.15">
      <c r="A3628" s="196" t="s">
        <v>11229</v>
      </c>
      <c r="B3628" s="196" t="s">
        <v>11230</v>
      </c>
      <c r="C3628" s="196" t="s">
        <v>19819</v>
      </c>
      <c r="D3628" s="196" t="s">
        <v>19820</v>
      </c>
      <c r="E3628" s="196" t="s">
        <v>19820</v>
      </c>
      <c r="F3628" s="196" t="s">
        <v>11233</v>
      </c>
      <c r="G3628" s="196" t="s">
        <v>12378</v>
      </c>
      <c r="H3628" s="196" t="s">
        <v>11235</v>
      </c>
    </row>
    <row r="3629" spans="1:8" x14ac:dyDescent="0.15">
      <c r="A3629" s="196" t="s">
        <v>11229</v>
      </c>
      <c r="B3629" s="196" t="s">
        <v>11230</v>
      </c>
      <c r="C3629" s="196" t="s">
        <v>19821</v>
      </c>
      <c r="D3629" s="196" t="s">
        <v>19822</v>
      </c>
      <c r="E3629" s="196" t="s">
        <v>19822</v>
      </c>
      <c r="F3629" s="196" t="s">
        <v>11233</v>
      </c>
      <c r="G3629" s="196" t="s">
        <v>12378</v>
      </c>
      <c r="H3629" s="196" t="s">
        <v>11235</v>
      </c>
    </row>
    <row r="3630" spans="1:8" x14ac:dyDescent="0.15">
      <c r="A3630" s="196" t="s">
        <v>11229</v>
      </c>
      <c r="B3630" s="196" t="s">
        <v>11230</v>
      </c>
      <c r="C3630" s="196" t="s">
        <v>19823</v>
      </c>
      <c r="D3630" s="196" t="s">
        <v>19824</v>
      </c>
      <c r="E3630" s="196" t="s">
        <v>19824</v>
      </c>
      <c r="F3630" s="196" t="s">
        <v>11233</v>
      </c>
      <c r="G3630" s="196" t="s">
        <v>12378</v>
      </c>
      <c r="H3630" s="196" t="s">
        <v>11235</v>
      </c>
    </row>
    <row r="3631" spans="1:8" x14ac:dyDescent="0.15">
      <c r="A3631" s="196" t="s">
        <v>11229</v>
      </c>
      <c r="B3631" s="196" t="s">
        <v>11230</v>
      </c>
      <c r="C3631" s="196" t="s">
        <v>19825</v>
      </c>
      <c r="D3631" s="196" t="s">
        <v>19826</v>
      </c>
      <c r="E3631" s="196" t="s">
        <v>19826</v>
      </c>
      <c r="F3631" s="196" t="s">
        <v>11233</v>
      </c>
      <c r="G3631" s="196" t="s">
        <v>12378</v>
      </c>
      <c r="H3631" s="196" t="s">
        <v>11235</v>
      </c>
    </row>
    <row r="3632" spans="1:8" x14ac:dyDescent="0.15">
      <c r="A3632" s="196" t="s">
        <v>11229</v>
      </c>
      <c r="B3632" s="196" t="s">
        <v>11230</v>
      </c>
      <c r="C3632" s="196" t="s">
        <v>19827</v>
      </c>
      <c r="D3632" s="196" t="s">
        <v>19828</v>
      </c>
      <c r="E3632" s="196" t="s">
        <v>19828</v>
      </c>
      <c r="F3632" s="196" t="s">
        <v>11233</v>
      </c>
      <c r="G3632" s="196" t="s">
        <v>12378</v>
      </c>
      <c r="H3632" s="196" t="s">
        <v>11235</v>
      </c>
    </row>
    <row r="3633" spans="1:8" x14ac:dyDescent="0.15">
      <c r="A3633" s="196" t="s">
        <v>11229</v>
      </c>
      <c r="B3633" s="196" t="s">
        <v>11230</v>
      </c>
      <c r="C3633" s="196" t="s">
        <v>19829</v>
      </c>
      <c r="D3633" s="196" t="s">
        <v>19830</v>
      </c>
      <c r="E3633" s="196" t="s">
        <v>19830</v>
      </c>
      <c r="F3633" s="196" t="s">
        <v>11233</v>
      </c>
      <c r="G3633" s="196" t="s">
        <v>12378</v>
      </c>
      <c r="H3633" s="196" t="s">
        <v>11235</v>
      </c>
    </row>
    <row r="3634" spans="1:8" x14ac:dyDescent="0.15">
      <c r="A3634" s="196" t="s">
        <v>11229</v>
      </c>
      <c r="B3634" s="196" t="s">
        <v>11230</v>
      </c>
      <c r="C3634" s="196" t="s">
        <v>19831</v>
      </c>
      <c r="D3634" s="196" t="s">
        <v>19832</v>
      </c>
      <c r="E3634" s="196" t="s">
        <v>19832</v>
      </c>
      <c r="F3634" s="196" t="s">
        <v>11233</v>
      </c>
      <c r="G3634" s="196" t="s">
        <v>12378</v>
      </c>
      <c r="H3634" s="196" t="s">
        <v>11235</v>
      </c>
    </row>
    <row r="3635" spans="1:8" x14ac:dyDescent="0.15">
      <c r="A3635" s="196" t="s">
        <v>11229</v>
      </c>
      <c r="B3635" s="196" t="s">
        <v>11230</v>
      </c>
      <c r="C3635" s="196" t="s">
        <v>19833</v>
      </c>
      <c r="D3635" s="196" t="s">
        <v>19834</v>
      </c>
      <c r="E3635" s="196" t="s">
        <v>19834</v>
      </c>
      <c r="F3635" s="196" t="s">
        <v>11233</v>
      </c>
      <c r="G3635" s="196" t="s">
        <v>12378</v>
      </c>
      <c r="H3635" s="196" t="s">
        <v>11235</v>
      </c>
    </row>
    <row r="3636" spans="1:8" x14ac:dyDescent="0.15">
      <c r="A3636" s="196" t="s">
        <v>11229</v>
      </c>
      <c r="B3636" s="196" t="s">
        <v>11230</v>
      </c>
      <c r="C3636" s="196" t="s">
        <v>19835</v>
      </c>
      <c r="D3636" s="196" t="s">
        <v>19836</v>
      </c>
      <c r="E3636" s="196" t="s">
        <v>19836</v>
      </c>
      <c r="F3636" s="196" t="s">
        <v>11233</v>
      </c>
      <c r="G3636" s="196" t="s">
        <v>12378</v>
      </c>
      <c r="H3636" s="196" t="s">
        <v>11235</v>
      </c>
    </row>
    <row r="3637" spans="1:8" x14ac:dyDescent="0.15">
      <c r="A3637" s="196" t="s">
        <v>11229</v>
      </c>
      <c r="B3637" s="196" t="s">
        <v>11230</v>
      </c>
      <c r="C3637" s="196" t="s">
        <v>19837</v>
      </c>
      <c r="D3637" s="196" t="s">
        <v>19838</v>
      </c>
      <c r="E3637" s="196" t="s">
        <v>19838</v>
      </c>
      <c r="F3637" s="196" t="s">
        <v>11233</v>
      </c>
      <c r="G3637" s="196" t="s">
        <v>12378</v>
      </c>
      <c r="H3637" s="196" t="s">
        <v>11235</v>
      </c>
    </row>
    <row r="3638" spans="1:8" x14ac:dyDescent="0.15">
      <c r="A3638" s="196" t="s">
        <v>11229</v>
      </c>
      <c r="B3638" s="196" t="s">
        <v>11230</v>
      </c>
      <c r="C3638" s="196" t="s">
        <v>19839</v>
      </c>
      <c r="D3638" s="196" t="s">
        <v>19840</v>
      </c>
      <c r="E3638" s="196" t="s">
        <v>19840</v>
      </c>
      <c r="F3638" s="196" t="s">
        <v>11233</v>
      </c>
      <c r="G3638" s="196" t="s">
        <v>12378</v>
      </c>
      <c r="H3638" s="196" t="s">
        <v>11235</v>
      </c>
    </row>
    <row r="3639" spans="1:8" x14ac:dyDescent="0.15">
      <c r="A3639" s="196" t="s">
        <v>11229</v>
      </c>
      <c r="B3639" s="196" t="s">
        <v>11230</v>
      </c>
      <c r="C3639" s="196" t="s">
        <v>19841</v>
      </c>
      <c r="D3639" s="196" t="s">
        <v>19842</v>
      </c>
      <c r="E3639" s="196" t="s">
        <v>19842</v>
      </c>
      <c r="F3639" s="196" t="s">
        <v>11233</v>
      </c>
      <c r="G3639" s="196" t="s">
        <v>12378</v>
      </c>
      <c r="H3639" s="196" t="s">
        <v>11235</v>
      </c>
    </row>
    <row r="3640" spans="1:8" x14ac:dyDescent="0.15">
      <c r="A3640" s="196" t="s">
        <v>11229</v>
      </c>
      <c r="B3640" s="196" t="s">
        <v>11230</v>
      </c>
      <c r="C3640" s="196" t="s">
        <v>19843</v>
      </c>
      <c r="D3640" s="196" t="s">
        <v>19844</v>
      </c>
      <c r="E3640" s="196" t="s">
        <v>19844</v>
      </c>
      <c r="F3640" s="196" t="s">
        <v>11233</v>
      </c>
      <c r="G3640" s="196" t="s">
        <v>12378</v>
      </c>
      <c r="H3640" s="196" t="s">
        <v>11235</v>
      </c>
    </row>
    <row r="3641" spans="1:8" x14ac:dyDescent="0.15">
      <c r="A3641" s="196" t="s">
        <v>11229</v>
      </c>
      <c r="B3641" s="196" t="s">
        <v>11230</v>
      </c>
      <c r="C3641" s="196" t="s">
        <v>19845</v>
      </c>
      <c r="D3641" s="196" t="s">
        <v>19846</v>
      </c>
      <c r="E3641" s="196" t="s">
        <v>19846</v>
      </c>
      <c r="F3641" s="196" t="s">
        <v>11233</v>
      </c>
      <c r="G3641" s="196" t="s">
        <v>12378</v>
      </c>
      <c r="H3641" s="196" t="s">
        <v>11235</v>
      </c>
    </row>
    <row r="3642" spans="1:8" x14ac:dyDescent="0.15">
      <c r="A3642" s="196" t="s">
        <v>11229</v>
      </c>
      <c r="B3642" s="196" t="s">
        <v>11230</v>
      </c>
      <c r="C3642" s="196" t="s">
        <v>19847</v>
      </c>
      <c r="D3642" s="196" t="s">
        <v>19848</v>
      </c>
      <c r="E3642" s="196" t="s">
        <v>19848</v>
      </c>
      <c r="F3642" s="196" t="s">
        <v>11233</v>
      </c>
      <c r="G3642" s="196" t="s">
        <v>12378</v>
      </c>
      <c r="H3642" s="196" t="s">
        <v>11235</v>
      </c>
    </row>
    <row r="3643" spans="1:8" x14ac:dyDescent="0.15">
      <c r="A3643" s="196" t="s">
        <v>11229</v>
      </c>
      <c r="B3643" s="196" t="s">
        <v>11230</v>
      </c>
      <c r="C3643" s="196" t="s">
        <v>19849</v>
      </c>
      <c r="D3643" s="196" t="s">
        <v>19850</v>
      </c>
      <c r="E3643" s="196" t="s">
        <v>19850</v>
      </c>
      <c r="F3643" s="196" t="s">
        <v>11233</v>
      </c>
      <c r="G3643" s="196" t="s">
        <v>12378</v>
      </c>
      <c r="H3643" s="196" t="s">
        <v>11235</v>
      </c>
    </row>
    <row r="3644" spans="1:8" x14ac:dyDescent="0.15">
      <c r="A3644" s="196" t="s">
        <v>11229</v>
      </c>
      <c r="B3644" s="196" t="s">
        <v>11230</v>
      </c>
      <c r="C3644" s="196" t="s">
        <v>19851</v>
      </c>
      <c r="D3644" s="196" t="s">
        <v>19852</v>
      </c>
      <c r="E3644" s="196" t="s">
        <v>19852</v>
      </c>
      <c r="F3644" s="196" t="s">
        <v>11233</v>
      </c>
      <c r="G3644" s="196" t="s">
        <v>12378</v>
      </c>
      <c r="H3644" s="196" t="s">
        <v>11235</v>
      </c>
    </row>
    <row r="3645" spans="1:8" x14ac:dyDescent="0.15">
      <c r="A3645" s="196" t="s">
        <v>11229</v>
      </c>
      <c r="B3645" s="196" t="s">
        <v>11230</v>
      </c>
      <c r="C3645" s="196" t="s">
        <v>19853</v>
      </c>
      <c r="D3645" s="196" t="s">
        <v>19854</v>
      </c>
      <c r="E3645" s="196" t="s">
        <v>19854</v>
      </c>
      <c r="F3645" s="196" t="s">
        <v>11233</v>
      </c>
      <c r="G3645" s="196" t="s">
        <v>12378</v>
      </c>
      <c r="H3645" s="196" t="s">
        <v>11235</v>
      </c>
    </row>
    <row r="3646" spans="1:8" x14ac:dyDescent="0.15">
      <c r="A3646" s="196" t="s">
        <v>11229</v>
      </c>
      <c r="B3646" s="196" t="s">
        <v>11230</v>
      </c>
      <c r="C3646" s="196" t="s">
        <v>19855</v>
      </c>
      <c r="D3646" s="196" t="s">
        <v>19856</v>
      </c>
      <c r="E3646" s="196" t="s">
        <v>19856</v>
      </c>
      <c r="F3646" s="196" t="s">
        <v>11233</v>
      </c>
      <c r="G3646" s="196" t="s">
        <v>12378</v>
      </c>
      <c r="H3646" s="196" t="s">
        <v>11235</v>
      </c>
    </row>
    <row r="3647" spans="1:8" x14ac:dyDescent="0.15">
      <c r="A3647" s="196" t="s">
        <v>11229</v>
      </c>
      <c r="B3647" s="196" t="s">
        <v>11230</v>
      </c>
      <c r="C3647" s="196" t="s">
        <v>19857</v>
      </c>
      <c r="D3647" s="196" t="s">
        <v>19858</v>
      </c>
      <c r="E3647" s="196" t="s">
        <v>19858</v>
      </c>
      <c r="F3647" s="196" t="s">
        <v>11233</v>
      </c>
      <c r="G3647" s="196" t="s">
        <v>12378</v>
      </c>
      <c r="H3647" s="196" t="s">
        <v>11235</v>
      </c>
    </row>
    <row r="3648" spans="1:8" x14ac:dyDescent="0.15">
      <c r="A3648" s="196" t="s">
        <v>11229</v>
      </c>
      <c r="B3648" s="196" t="s">
        <v>11230</v>
      </c>
      <c r="C3648" s="196" t="s">
        <v>19859</v>
      </c>
      <c r="D3648" s="196" t="s">
        <v>19860</v>
      </c>
      <c r="E3648" s="196" t="s">
        <v>19860</v>
      </c>
      <c r="F3648" s="196" t="s">
        <v>11233</v>
      </c>
      <c r="G3648" s="196" t="s">
        <v>12378</v>
      </c>
      <c r="H3648" s="196" t="s">
        <v>11235</v>
      </c>
    </row>
    <row r="3649" spans="1:8" x14ac:dyDescent="0.15">
      <c r="A3649" s="196" t="s">
        <v>11229</v>
      </c>
      <c r="B3649" s="196" t="s">
        <v>11230</v>
      </c>
      <c r="C3649" s="196" t="s">
        <v>19861</v>
      </c>
      <c r="D3649" s="196" t="s">
        <v>19862</v>
      </c>
      <c r="E3649" s="196" t="s">
        <v>19862</v>
      </c>
      <c r="F3649" s="196" t="s">
        <v>11233</v>
      </c>
      <c r="G3649" s="196" t="s">
        <v>12378</v>
      </c>
      <c r="H3649" s="196" t="s">
        <v>11235</v>
      </c>
    </row>
    <row r="3650" spans="1:8" x14ac:dyDescent="0.15">
      <c r="A3650" s="196" t="s">
        <v>11229</v>
      </c>
      <c r="B3650" s="196" t="s">
        <v>11230</v>
      </c>
      <c r="C3650" s="196" t="s">
        <v>19863</v>
      </c>
      <c r="D3650" s="196" t="s">
        <v>19864</v>
      </c>
      <c r="E3650" s="196" t="s">
        <v>19864</v>
      </c>
      <c r="F3650" s="196" t="s">
        <v>11233</v>
      </c>
      <c r="G3650" s="196" t="s">
        <v>12378</v>
      </c>
      <c r="H3650" s="196" t="s">
        <v>11235</v>
      </c>
    </row>
    <row r="3651" spans="1:8" x14ac:dyDescent="0.15">
      <c r="A3651" s="196" t="s">
        <v>11229</v>
      </c>
      <c r="B3651" s="196" t="s">
        <v>11230</v>
      </c>
      <c r="C3651" s="196" t="s">
        <v>19865</v>
      </c>
      <c r="D3651" s="196" t="s">
        <v>19866</v>
      </c>
      <c r="E3651" s="196" t="s">
        <v>19866</v>
      </c>
      <c r="F3651" s="196" t="s">
        <v>11233</v>
      </c>
      <c r="G3651" s="196" t="s">
        <v>12378</v>
      </c>
      <c r="H3651" s="196" t="s">
        <v>11235</v>
      </c>
    </row>
    <row r="3652" spans="1:8" x14ac:dyDescent="0.15">
      <c r="A3652" s="196" t="s">
        <v>11229</v>
      </c>
      <c r="B3652" s="196" t="s">
        <v>11230</v>
      </c>
      <c r="C3652" s="196" t="s">
        <v>19867</v>
      </c>
      <c r="D3652" s="196" t="s">
        <v>19868</v>
      </c>
      <c r="E3652" s="196" t="s">
        <v>19868</v>
      </c>
      <c r="F3652" s="196" t="s">
        <v>11233</v>
      </c>
      <c r="G3652" s="196" t="s">
        <v>12378</v>
      </c>
      <c r="H3652" s="196" t="s">
        <v>11235</v>
      </c>
    </row>
    <row r="3653" spans="1:8" x14ac:dyDescent="0.15">
      <c r="A3653" s="196" t="s">
        <v>11229</v>
      </c>
      <c r="B3653" s="196" t="s">
        <v>11230</v>
      </c>
      <c r="C3653" s="196" t="s">
        <v>19869</v>
      </c>
      <c r="D3653" s="196" t="s">
        <v>19870</v>
      </c>
      <c r="E3653" s="196" t="s">
        <v>19870</v>
      </c>
      <c r="F3653" s="196" t="s">
        <v>11233</v>
      </c>
      <c r="G3653" s="196" t="s">
        <v>12378</v>
      </c>
      <c r="H3653" s="196" t="s">
        <v>11235</v>
      </c>
    </row>
    <row r="3654" spans="1:8" x14ac:dyDescent="0.15">
      <c r="A3654" s="196" t="s">
        <v>11229</v>
      </c>
      <c r="B3654" s="196" t="s">
        <v>11230</v>
      </c>
      <c r="C3654" s="196" t="s">
        <v>19871</v>
      </c>
      <c r="D3654" s="196" t="s">
        <v>19872</v>
      </c>
      <c r="E3654" s="196" t="s">
        <v>19872</v>
      </c>
      <c r="F3654" s="196" t="s">
        <v>11233</v>
      </c>
      <c r="G3654" s="196" t="s">
        <v>12378</v>
      </c>
      <c r="H3654" s="196" t="s">
        <v>11235</v>
      </c>
    </row>
    <row r="3655" spans="1:8" x14ac:dyDescent="0.15">
      <c r="A3655" s="196" t="s">
        <v>11229</v>
      </c>
      <c r="B3655" s="196" t="s">
        <v>11230</v>
      </c>
      <c r="C3655" s="196" t="s">
        <v>19873</v>
      </c>
      <c r="D3655" s="196" t="s">
        <v>19874</v>
      </c>
      <c r="E3655" s="196" t="s">
        <v>19874</v>
      </c>
      <c r="F3655" s="196" t="s">
        <v>11233</v>
      </c>
      <c r="G3655" s="196" t="s">
        <v>12378</v>
      </c>
      <c r="H3655" s="196" t="s">
        <v>11235</v>
      </c>
    </row>
    <row r="3656" spans="1:8" x14ac:dyDescent="0.15">
      <c r="A3656" s="196" t="s">
        <v>11229</v>
      </c>
      <c r="B3656" s="196" t="s">
        <v>11230</v>
      </c>
      <c r="C3656" s="196" t="s">
        <v>19875</v>
      </c>
      <c r="D3656" s="196" t="s">
        <v>19876</v>
      </c>
      <c r="E3656" s="196" t="s">
        <v>19876</v>
      </c>
      <c r="F3656" s="196" t="s">
        <v>11233</v>
      </c>
      <c r="G3656" s="196" t="s">
        <v>12378</v>
      </c>
      <c r="H3656" s="196" t="s">
        <v>11235</v>
      </c>
    </row>
    <row r="3657" spans="1:8" x14ac:dyDescent="0.15">
      <c r="A3657" s="196" t="s">
        <v>11229</v>
      </c>
      <c r="B3657" s="196" t="s">
        <v>11230</v>
      </c>
      <c r="C3657" s="196" t="s">
        <v>19877</v>
      </c>
      <c r="D3657" s="196" t="s">
        <v>19878</v>
      </c>
      <c r="E3657" s="196" t="s">
        <v>19878</v>
      </c>
      <c r="F3657" s="196" t="s">
        <v>11233</v>
      </c>
      <c r="G3657" s="196" t="s">
        <v>12378</v>
      </c>
      <c r="H3657" s="196" t="s">
        <v>11235</v>
      </c>
    </row>
    <row r="3658" spans="1:8" x14ac:dyDescent="0.15">
      <c r="A3658" s="196" t="s">
        <v>11229</v>
      </c>
      <c r="B3658" s="196" t="s">
        <v>11230</v>
      </c>
      <c r="C3658" s="196" t="s">
        <v>19879</v>
      </c>
      <c r="D3658" s="196" t="s">
        <v>19880</v>
      </c>
      <c r="E3658" s="196" t="s">
        <v>19880</v>
      </c>
      <c r="F3658" s="196" t="s">
        <v>11233</v>
      </c>
      <c r="G3658" s="196" t="s">
        <v>12378</v>
      </c>
      <c r="H3658" s="196" t="s">
        <v>11235</v>
      </c>
    </row>
    <row r="3659" spans="1:8" x14ac:dyDescent="0.15">
      <c r="A3659" s="196" t="s">
        <v>11229</v>
      </c>
      <c r="B3659" s="196" t="s">
        <v>11230</v>
      </c>
      <c r="C3659" s="196" t="s">
        <v>19881</v>
      </c>
      <c r="D3659" s="196" t="s">
        <v>19882</v>
      </c>
      <c r="E3659" s="196" t="s">
        <v>19882</v>
      </c>
      <c r="F3659" s="196" t="s">
        <v>11233</v>
      </c>
      <c r="G3659" s="196" t="s">
        <v>12378</v>
      </c>
      <c r="H3659" s="196" t="s">
        <v>11235</v>
      </c>
    </row>
    <row r="3660" spans="1:8" x14ac:dyDescent="0.15">
      <c r="A3660" s="196" t="s">
        <v>11229</v>
      </c>
      <c r="B3660" s="196" t="s">
        <v>11230</v>
      </c>
      <c r="C3660" s="196" t="s">
        <v>19883</v>
      </c>
      <c r="D3660" s="196" t="s">
        <v>19884</v>
      </c>
      <c r="E3660" s="196" t="s">
        <v>19884</v>
      </c>
      <c r="F3660" s="196" t="s">
        <v>11233</v>
      </c>
      <c r="G3660" s="196" t="s">
        <v>12378</v>
      </c>
      <c r="H3660" s="196" t="s">
        <v>11235</v>
      </c>
    </row>
    <row r="3661" spans="1:8" x14ac:dyDescent="0.15">
      <c r="A3661" s="196" t="s">
        <v>11229</v>
      </c>
      <c r="B3661" s="196" t="s">
        <v>11230</v>
      </c>
      <c r="C3661" s="196" t="s">
        <v>19885</v>
      </c>
      <c r="D3661" s="196" t="s">
        <v>19886</v>
      </c>
      <c r="E3661" s="196" t="s">
        <v>19886</v>
      </c>
      <c r="F3661" s="196" t="s">
        <v>11233</v>
      </c>
      <c r="G3661" s="196" t="s">
        <v>12378</v>
      </c>
      <c r="H3661" s="196" t="s">
        <v>11235</v>
      </c>
    </row>
    <row r="3662" spans="1:8" x14ac:dyDescent="0.15">
      <c r="A3662" s="196" t="s">
        <v>11229</v>
      </c>
      <c r="B3662" s="196" t="s">
        <v>11230</v>
      </c>
      <c r="C3662" s="196" t="s">
        <v>19887</v>
      </c>
      <c r="D3662" s="196" t="s">
        <v>19888</v>
      </c>
      <c r="E3662" s="196" t="s">
        <v>19889</v>
      </c>
      <c r="F3662" s="196" t="s">
        <v>11268</v>
      </c>
      <c r="G3662" s="196" t="s">
        <v>12378</v>
      </c>
      <c r="H3662" s="196" t="s">
        <v>11235</v>
      </c>
    </row>
    <row r="3663" spans="1:8" x14ac:dyDescent="0.15">
      <c r="A3663" s="196" t="s">
        <v>11229</v>
      </c>
      <c r="B3663" s="196" t="s">
        <v>11230</v>
      </c>
      <c r="C3663" s="196" t="s">
        <v>19890</v>
      </c>
      <c r="D3663" s="196" t="s">
        <v>19891</v>
      </c>
      <c r="E3663" s="196" t="s">
        <v>19891</v>
      </c>
      <c r="F3663" s="196" t="s">
        <v>11233</v>
      </c>
      <c r="G3663" s="196" t="s">
        <v>12378</v>
      </c>
      <c r="H3663" s="196" t="s">
        <v>11235</v>
      </c>
    </row>
    <row r="3664" spans="1:8" x14ac:dyDescent="0.15">
      <c r="A3664" s="196" t="s">
        <v>11229</v>
      </c>
      <c r="B3664" s="196" t="s">
        <v>11230</v>
      </c>
      <c r="C3664" s="196" t="s">
        <v>19892</v>
      </c>
      <c r="D3664" s="196" t="s">
        <v>19893</v>
      </c>
      <c r="E3664" s="196" t="s">
        <v>19893</v>
      </c>
      <c r="F3664" s="196" t="s">
        <v>11233</v>
      </c>
      <c r="G3664" s="196" t="s">
        <v>12378</v>
      </c>
      <c r="H3664" s="196" t="s">
        <v>11235</v>
      </c>
    </row>
    <row r="3665" spans="1:8" x14ac:dyDescent="0.15">
      <c r="A3665" s="196" t="s">
        <v>11229</v>
      </c>
      <c r="B3665" s="196" t="s">
        <v>11230</v>
      </c>
      <c r="C3665" s="196" t="s">
        <v>19894</v>
      </c>
      <c r="D3665" s="196" t="s">
        <v>19895</v>
      </c>
      <c r="E3665" s="196" t="s">
        <v>19895</v>
      </c>
      <c r="F3665" s="196" t="s">
        <v>11233</v>
      </c>
      <c r="G3665" s="196" t="s">
        <v>12378</v>
      </c>
      <c r="H3665" s="196" t="s">
        <v>11235</v>
      </c>
    </row>
    <row r="3666" spans="1:8" x14ac:dyDescent="0.15">
      <c r="A3666" s="196" t="s">
        <v>11229</v>
      </c>
      <c r="B3666" s="196" t="s">
        <v>11230</v>
      </c>
      <c r="C3666" s="196" t="s">
        <v>19896</v>
      </c>
      <c r="D3666" s="196" t="s">
        <v>19897</v>
      </c>
      <c r="E3666" s="196" t="s">
        <v>19897</v>
      </c>
      <c r="F3666" s="196" t="s">
        <v>11233</v>
      </c>
      <c r="G3666" s="196" t="s">
        <v>12378</v>
      </c>
      <c r="H3666" s="196" t="s">
        <v>11235</v>
      </c>
    </row>
    <row r="3667" spans="1:8" x14ac:dyDescent="0.15">
      <c r="A3667" s="196" t="s">
        <v>11229</v>
      </c>
      <c r="B3667" s="196" t="s">
        <v>11230</v>
      </c>
      <c r="C3667" s="196" t="s">
        <v>19898</v>
      </c>
      <c r="D3667" s="196" t="s">
        <v>19899</v>
      </c>
      <c r="E3667" s="196" t="s">
        <v>19899</v>
      </c>
      <c r="F3667" s="196" t="s">
        <v>11233</v>
      </c>
      <c r="G3667" s="196" t="s">
        <v>12378</v>
      </c>
      <c r="H3667" s="196" t="s">
        <v>11235</v>
      </c>
    </row>
    <row r="3668" spans="1:8" x14ac:dyDescent="0.15">
      <c r="A3668" s="196" t="s">
        <v>11229</v>
      </c>
      <c r="B3668" s="196" t="s">
        <v>11230</v>
      </c>
      <c r="C3668" s="196" t="s">
        <v>19900</v>
      </c>
      <c r="D3668" s="196" t="s">
        <v>19901</v>
      </c>
      <c r="E3668" s="196" t="s">
        <v>19901</v>
      </c>
      <c r="F3668" s="196" t="s">
        <v>11233</v>
      </c>
      <c r="G3668" s="196" t="s">
        <v>12378</v>
      </c>
      <c r="H3668" s="196" t="s">
        <v>11235</v>
      </c>
    </row>
    <row r="3669" spans="1:8" x14ac:dyDescent="0.15">
      <c r="A3669" s="196" t="s">
        <v>11229</v>
      </c>
      <c r="B3669" s="196" t="s">
        <v>11230</v>
      </c>
      <c r="C3669" s="196" t="s">
        <v>19902</v>
      </c>
      <c r="D3669" s="196" t="s">
        <v>19903</v>
      </c>
      <c r="E3669" s="196" t="s">
        <v>19903</v>
      </c>
      <c r="F3669" s="196" t="s">
        <v>11233</v>
      </c>
      <c r="G3669" s="196" t="s">
        <v>12378</v>
      </c>
      <c r="H3669" s="196" t="s">
        <v>11235</v>
      </c>
    </row>
    <row r="3670" spans="1:8" x14ac:dyDescent="0.15">
      <c r="A3670" s="196" t="s">
        <v>11229</v>
      </c>
      <c r="B3670" s="196" t="s">
        <v>11230</v>
      </c>
      <c r="C3670" s="196" t="s">
        <v>19904</v>
      </c>
      <c r="D3670" s="196" t="s">
        <v>19905</v>
      </c>
      <c r="E3670" s="196" t="s">
        <v>19905</v>
      </c>
      <c r="F3670" s="196" t="s">
        <v>11233</v>
      </c>
      <c r="G3670" s="196" t="s">
        <v>12378</v>
      </c>
      <c r="H3670" s="196" t="s">
        <v>11235</v>
      </c>
    </row>
    <row r="3671" spans="1:8" x14ac:dyDescent="0.15">
      <c r="A3671" s="196" t="s">
        <v>11229</v>
      </c>
      <c r="B3671" s="196" t="s">
        <v>11230</v>
      </c>
      <c r="C3671" s="196" t="s">
        <v>19906</v>
      </c>
      <c r="D3671" s="196" t="s">
        <v>19907</v>
      </c>
      <c r="E3671" s="196" t="s">
        <v>19907</v>
      </c>
      <c r="F3671" s="196" t="s">
        <v>11233</v>
      </c>
      <c r="G3671" s="196" t="s">
        <v>12378</v>
      </c>
      <c r="H3671" s="196" t="s">
        <v>11235</v>
      </c>
    </row>
    <row r="3672" spans="1:8" x14ac:dyDescent="0.15">
      <c r="A3672" s="196" t="s">
        <v>11229</v>
      </c>
      <c r="B3672" s="196" t="s">
        <v>11230</v>
      </c>
      <c r="C3672" s="196" t="s">
        <v>19908</v>
      </c>
      <c r="D3672" s="196" t="s">
        <v>19909</v>
      </c>
      <c r="E3672" s="196" t="s">
        <v>19909</v>
      </c>
      <c r="F3672" s="196" t="s">
        <v>11233</v>
      </c>
      <c r="G3672" s="196" t="s">
        <v>12378</v>
      </c>
      <c r="H3672" s="196" t="s">
        <v>11235</v>
      </c>
    </row>
    <row r="3673" spans="1:8" x14ac:dyDescent="0.15">
      <c r="A3673" s="196" t="s">
        <v>11229</v>
      </c>
      <c r="B3673" s="196" t="s">
        <v>11230</v>
      </c>
      <c r="C3673" s="196" t="s">
        <v>19910</v>
      </c>
      <c r="D3673" s="196" t="s">
        <v>19911</v>
      </c>
      <c r="E3673" s="196" t="s">
        <v>19912</v>
      </c>
      <c r="F3673" s="196" t="s">
        <v>19405</v>
      </c>
      <c r="G3673" s="196" t="s">
        <v>12378</v>
      </c>
      <c r="H3673" s="196" t="s">
        <v>11235</v>
      </c>
    </row>
    <row r="3674" spans="1:8" x14ac:dyDescent="0.15">
      <c r="A3674" s="196" t="s">
        <v>11229</v>
      </c>
      <c r="B3674" s="196" t="s">
        <v>11230</v>
      </c>
      <c r="C3674" s="196" t="s">
        <v>19913</v>
      </c>
      <c r="D3674" s="196" t="s">
        <v>19914</v>
      </c>
      <c r="E3674" s="196" t="s">
        <v>19914</v>
      </c>
      <c r="F3674" s="196" t="s">
        <v>11233</v>
      </c>
      <c r="G3674" s="196" t="s">
        <v>12378</v>
      </c>
      <c r="H3674" s="196" t="s">
        <v>11235</v>
      </c>
    </row>
    <row r="3675" spans="1:8" x14ac:dyDescent="0.15">
      <c r="A3675" s="196" t="s">
        <v>11229</v>
      </c>
      <c r="B3675" s="196" t="s">
        <v>11230</v>
      </c>
      <c r="C3675" s="196" t="s">
        <v>19915</v>
      </c>
      <c r="D3675" s="196" t="s">
        <v>19916</v>
      </c>
      <c r="E3675" s="196" t="s">
        <v>19916</v>
      </c>
      <c r="F3675" s="196" t="s">
        <v>11233</v>
      </c>
      <c r="G3675" s="196" t="s">
        <v>12378</v>
      </c>
      <c r="H3675" s="196" t="s">
        <v>11235</v>
      </c>
    </row>
    <row r="3676" spans="1:8" x14ac:dyDescent="0.15">
      <c r="A3676" s="196" t="s">
        <v>11229</v>
      </c>
      <c r="B3676" s="196" t="s">
        <v>11230</v>
      </c>
      <c r="C3676" s="196" t="s">
        <v>19917</v>
      </c>
      <c r="D3676" s="196" t="s">
        <v>19918</v>
      </c>
      <c r="E3676" s="196" t="s">
        <v>19918</v>
      </c>
      <c r="F3676" s="196" t="s">
        <v>11233</v>
      </c>
      <c r="G3676" s="196" t="s">
        <v>12378</v>
      </c>
      <c r="H3676" s="196" t="s">
        <v>11235</v>
      </c>
    </row>
    <row r="3677" spans="1:8" x14ac:dyDescent="0.15">
      <c r="A3677" s="196" t="s">
        <v>11229</v>
      </c>
      <c r="B3677" s="196" t="s">
        <v>11230</v>
      </c>
      <c r="C3677" s="196" t="s">
        <v>19919</v>
      </c>
      <c r="D3677" s="196" t="s">
        <v>19920</v>
      </c>
      <c r="E3677" s="196" t="s">
        <v>19920</v>
      </c>
      <c r="F3677" s="196" t="s">
        <v>11233</v>
      </c>
      <c r="G3677" s="196" t="s">
        <v>12378</v>
      </c>
      <c r="H3677" s="196" t="s">
        <v>11235</v>
      </c>
    </row>
    <row r="3678" spans="1:8" x14ac:dyDescent="0.15">
      <c r="A3678" s="196" t="s">
        <v>11229</v>
      </c>
      <c r="B3678" s="196" t="s">
        <v>11230</v>
      </c>
      <c r="C3678" s="196" t="s">
        <v>19921</v>
      </c>
      <c r="D3678" s="196" t="s">
        <v>19922</v>
      </c>
      <c r="E3678" s="196" t="s">
        <v>19922</v>
      </c>
      <c r="F3678" s="196" t="s">
        <v>11233</v>
      </c>
      <c r="G3678" s="196" t="s">
        <v>12378</v>
      </c>
      <c r="H3678" s="196" t="s">
        <v>11235</v>
      </c>
    </row>
    <row r="3679" spans="1:8" x14ac:dyDescent="0.15">
      <c r="A3679" s="196" t="s">
        <v>11229</v>
      </c>
      <c r="B3679" s="196" t="s">
        <v>11230</v>
      </c>
      <c r="C3679" s="196" t="s">
        <v>19923</v>
      </c>
      <c r="D3679" s="196" t="s">
        <v>19924</v>
      </c>
      <c r="E3679" s="196" t="s">
        <v>19924</v>
      </c>
      <c r="F3679" s="196" t="s">
        <v>11233</v>
      </c>
      <c r="G3679" s="196" t="s">
        <v>12378</v>
      </c>
      <c r="H3679" s="196" t="s">
        <v>11235</v>
      </c>
    </row>
    <row r="3680" spans="1:8" x14ac:dyDescent="0.15">
      <c r="A3680" s="196" t="s">
        <v>11229</v>
      </c>
      <c r="B3680" s="196" t="s">
        <v>11230</v>
      </c>
      <c r="C3680" s="196" t="s">
        <v>19925</v>
      </c>
      <c r="D3680" s="196" t="s">
        <v>19926</v>
      </c>
      <c r="E3680" s="196" t="s">
        <v>19926</v>
      </c>
      <c r="F3680" s="196" t="s">
        <v>11233</v>
      </c>
      <c r="G3680" s="196" t="s">
        <v>12378</v>
      </c>
      <c r="H3680" s="196" t="s">
        <v>11235</v>
      </c>
    </row>
    <row r="3681" spans="1:8" x14ac:dyDescent="0.15">
      <c r="A3681" s="196" t="s">
        <v>11229</v>
      </c>
      <c r="B3681" s="196" t="s">
        <v>11230</v>
      </c>
      <c r="C3681" s="196" t="s">
        <v>19927</v>
      </c>
      <c r="D3681" s="196" t="s">
        <v>19928</v>
      </c>
      <c r="E3681" s="196" t="s">
        <v>19928</v>
      </c>
      <c r="F3681" s="196" t="s">
        <v>11233</v>
      </c>
      <c r="G3681" s="196" t="s">
        <v>12378</v>
      </c>
      <c r="H3681" s="196" t="s">
        <v>11235</v>
      </c>
    </row>
    <row r="3682" spans="1:8" x14ac:dyDescent="0.15">
      <c r="A3682" s="196" t="s">
        <v>11229</v>
      </c>
      <c r="B3682" s="196" t="s">
        <v>11230</v>
      </c>
      <c r="C3682" s="196" t="s">
        <v>19929</v>
      </c>
      <c r="D3682" s="196" t="s">
        <v>19930</v>
      </c>
      <c r="E3682" s="196" t="s">
        <v>19930</v>
      </c>
      <c r="F3682" s="196" t="s">
        <v>11233</v>
      </c>
      <c r="G3682" s="196" t="s">
        <v>12378</v>
      </c>
      <c r="H3682" s="196" t="s">
        <v>11235</v>
      </c>
    </row>
    <row r="3683" spans="1:8" x14ac:dyDescent="0.15">
      <c r="A3683" s="196" t="s">
        <v>11229</v>
      </c>
      <c r="B3683" s="196" t="s">
        <v>11230</v>
      </c>
      <c r="C3683" s="196" t="s">
        <v>19931</v>
      </c>
      <c r="D3683" s="196" t="s">
        <v>19932</v>
      </c>
      <c r="E3683" s="196" t="s">
        <v>19932</v>
      </c>
      <c r="F3683" s="196" t="s">
        <v>11233</v>
      </c>
      <c r="G3683" s="196" t="s">
        <v>12378</v>
      </c>
      <c r="H3683" s="196" t="s">
        <v>11235</v>
      </c>
    </row>
    <row r="3684" spans="1:8" x14ac:dyDescent="0.15">
      <c r="A3684" s="196" t="s">
        <v>11229</v>
      </c>
      <c r="B3684" s="196" t="s">
        <v>11230</v>
      </c>
      <c r="C3684" s="196" t="s">
        <v>19933</v>
      </c>
      <c r="D3684" s="196" t="s">
        <v>19934</v>
      </c>
      <c r="E3684" s="196" t="s">
        <v>19934</v>
      </c>
      <c r="F3684" s="196" t="s">
        <v>11233</v>
      </c>
      <c r="G3684" s="196" t="s">
        <v>12378</v>
      </c>
      <c r="H3684" s="196" t="s">
        <v>11235</v>
      </c>
    </row>
    <row r="3685" spans="1:8" x14ac:dyDescent="0.15">
      <c r="A3685" s="196" t="s">
        <v>11229</v>
      </c>
      <c r="B3685" s="196" t="s">
        <v>11230</v>
      </c>
      <c r="C3685" s="196" t="s">
        <v>19935</v>
      </c>
      <c r="D3685" s="196" t="s">
        <v>19936</v>
      </c>
      <c r="E3685" s="196" t="s">
        <v>19936</v>
      </c>
      <c r="F3685" s="196" t="s">
        <v>11233</v>
      </c>
      <c r="G3685" s="196" t="s">
        <v>12378</v>
      </c>
      <c r="H3685" s="196" t="s">
        <v>11235</v>
      </c>
    </row>
    <row r="3686" spans="1:8" x14ac:dyDescent="0.15">
      <c r="A3686" s="196" t="s">
        <v>11229</v>
      </c>
      <c r="B3686" s="196" t="s">
        <v>11230</v>
      </c>
      <c r="C3686" s="196" t="s">
        <v>19937</v>
      </c>
      <c r="D3686" s="196" t="s">
        <v>19938</v>
      </c>
      <c r="E3686" s="196" t="s">
        <v>19938</v>
      </c>
      <c r="F3686" s="196" t="s">
        <v>11233</v>
      </c>
      <c r="G3686" s="196" t="s">
        <v>12378</v>
      </c>
      <c r="H3686" s="196" t="s">
        <v>11235</v>
      </c>
    </row>
    <row r="3687" spans="1:8" x14ac:dyDescent="0.15">
      <c r="A3687" s="196" t="s">
        <v>11229</v>
      </c>
      <c r="B3687" s="196" t="s">
        <v>11230</v>
      </c>
      <c r="C3687" s="196" t="s">
        <v>19939</v>
      </c>
      <c r="D3687" s="196" t="s">
        <v>19940</v>
      </c>
      <c r="E3687" s="196" t="s">
        <v>19940</v>
      </c>
      <c r="F3687" s="196" t="s">
        <v>11233</v>
      </c>
      <c r="G3687" s="196" t="s">
        <v>12378</v>
      </c>
      <c r="H3687" s="196" t="s">
        <v>11235</v>
      </c>
    </row>
    <row r="3688" spans="1:8" x14ac:dyDescent="0.15">
      <c r="A3688" s="196" t="s">
        <v>11229</v>
      </c>
      <c r="B3688" s="196" t="s">
        <v>11230</v>
      </c>
      <c r="C3688" s="196" t="s">
        <v>19941</v>
      </c>
      <c r="D3688" s="196" t="s">
        <v>19942</v>
      </c>
      <c r="E3688" s="196" t="s">
        <v>19942</v>
      </c>
      <c r="F3688" s="196" t="s">
        <v>11233</v>
      </c>
      <c r="G3688" s="196" t="s">
        <v>12378</v>
      </c>
      <c r="H3688" s="196" t="s">
        <v>11235</v>
      </c>
    </row>
    <row r="3689" spans="1:8" x14ac:dyDescent="0.15">
      <c r="A3689" s="196" t="s">
        <v>11229</v>
      </c>
      <c r="B3689" s="196" t="s">
        <v>11230</v>
      </c>
      <c r="C3689" s="196" t="s">
        <v>19943</v>
      </c>
      <c r="D3689" s="196" t="s">
        <v>19944</v>
      </c>
      <c r="E3689" s="196" t="s">
        <v>19944</v>
      </c>
      <c r="F3689" s="196" t="s">
        <v>11233</v>
      </c>
      <c r="G3689" s="196" t="s">
        <v>12378</v>
      </c>
      <c r="H3689" s="196" t="s">
        <v>11235</v>
      </c>
    </row>
    <row r="3690" spans="1:8" x14ac:dyDescent="0.15">
      <c r="A3690" s="196" t="s">
        <v>11229</v>
      </c>
      <c r="B3690" s="196" t="s">
        <v>11230</v>
      </c>
      <c r="C3690" s="196" t="s">
        <v>19945</v>
      </c>
      <c r="D3690" s="196" t="s">
        <v>19946</v>
      </c>
      <c r="E3690" s="196" t="s">
        <v>19946</v>
      </c>
      <c r="F3690" s="196" t="s">
        <v>11233</v>
      </c>
      <c r="G3690" s="196" t="s">
        <v>12378</v>
      </c>
      <c r="H3690" s="196" t="s">
        <v>11235</v>
      </c>
    </row>
    <row r="3691" spans="1:8" x14ac:dyDescent="0.15">
      <c r="A3691" s="196" t="s">
        <v>11229</v>
      </c>
      <c r="B3691" s="196" t="s">
        <v>11230</v>
      </c>
      <c r="C3691" s="196" t="s">
        <v>19947</v>
      </c>
      <c r="D3691" s="196" t="s">
        <v>19948</v>
      </c>
      <c r="E3691" s="196" t="s">
        <v>19948</v>
      </c>
      <c r="F3691" s="196" t="s">
        <v>11233</v>
      </c>
      <c r="G3691" s="196" t="s">
        <v>12378</v>
      </c>
      <c r="H3691" s="196" t="s">
        <v>11235</v>
      </c>
    </row>
    <row r="3692" spans="1:8" x14ac:dyDescent="0.15">
      <c r="A3692" s="196" t="s">
        <v>11229</v>
      </c>
      <c r="B3692" s="196" t="s">
        <v>11230</v>
      </c>
      <c r="C3692" s="196" t="s">
        <v>19949</v>
      </c>
      <c r="D3692" s="196" t="s">
        <v>19950</v>
      </c>
      <c r="E3692" s="196" t="s">
        <v>19950</v>
      </c>
      <c r="F3692" s="196" t="s">
        <v>11233</v>
      </c>
      <c r="G3692" s="196" t="s">
        <v>12378</v>
      </c>
      <c r="H3692" s="196" t="s">
        <v>11235</v>
      </c>
    </row>
    <row r="3693" spans="1:8" x14ac:dyDescent="0.15">
      <c r="A3693" s="196" t="s">
        <v>11229</v>
      </c>
      <c r="B3693" s="196" t="s">
        <v>11230</v>
      </c>
      <c r="C3693" s="196" t="s">
        <v>19951</v>
      </c>
      <c r="D3693" s="196" t="s">
        <v>19952</v>
      </c>
      <c r="E3693" s="196" t="s">
        <v>19952</v>
      </c>
      <c r="F3693" s="196" t="s">
        <v>11233</v>
      </c>
      <c r="G3693" s="196" t="s">
        <v>12378</v>
      </c>
      <c r="H3693" s="196" t="s">
        <v>11235</v>
      </c>
    </row>
    <row r="3694" spans="1:8" x14ac:dyDescent="0.15">
      <c r="A3694" s="196" t="s">
        <v>11229</v>
      </c>
      <c r="B3694" s="196" t="s">
        <v>11230</v>
      </c>
      <c r="C3694" s="196" t="s">
        <v>19953</v>
      </c>
      <c r="D3694" s="196" t="s">
        <v>19954</v>
      </c>
      <c r="E3694" s="196" t="s">
        <v>19954</v>
      </c>
      <c r="F3694" s="196" t="s">
        <v>11233</v>
      </c>
      <c r="G3694" s="196" t="s">
        <v>12378</v>
      </c>
      <c r="H3694" s="196" t="s">
        <v>11235</v>
      </c>
    </row>
    <row r="3695" spans="1:8" x14ac:dyDescent="0.15">
      <c r="A3695" s="196" t="s">
        <v>11229</v>
      </c>
      <c r="B3695" s="196" t="s">
        <v>11230</v>
      </c>
      <c r="C3695" s="196" t="s">
        <v>19955</v>
      </c>
      <c r="D3695" s="196" t="s">
        <v>19956</v>
      </c>
      <c r="E3695" s="196" t="s">
        <v>19956</v>
      </c>
      <c r="F3695" s="196" t="s">
        <v>11233</v>
      </c>
      <c r="G3695" s="196" t="s">
        <v>12378</v>
      </c>
      <c r="H3695" s="196" t="s">
        <v>11235</v>
      </c>
    </row>
    <row r="3696" spans="1:8" x14ac:dyDescent="0.15">
      <c r="A3696" s="196" t="s">
        <v>11229</v>
      </c>
      <c r="B3696" s="196" t="s">
        <v>11230</v>
      </c>
      <c r="C3696" s="196" t="s">
        <v>19957</v>
      </c>
      <c r="D3696" s="196" t="s">
        <v>19958</v>
      </c>
      <c r="E3696" s="196" t="s">
        <v>19958</v>
      </c>
      <c r="F3696" s="196" t="s">
        <v>11233</v>
      </c>
      <c r="G3696" s="196" t="s">
        <v>12378</v>
      </c>
      <c r="H3696" s="196" t="s">
        <v>11235</v>
      </c>
    </row>
    <row r="3697" spans="1:8" x14ac:dyDescent="0.15">
      <c r="A3697" s="196" t="s">
        <v>11229</v>
      </c>
      <c r="B3697" s="196" t="s">
        <v>11230</v>
      </c>
      <c r="C3697" s="196" t="s">
        <v>19959</v>
      </c>
      <c r="D3697" s="196" t="s">
        <v>19960</v>
      </c>
      <c r="E3697" s="196" t="s">
        <v>19960</v>
      </c>
      <c r="F3697" s="196" t="s">
        <v>11233</v>
      </c>
      <c r="G3697" s="196" t="s">
        <v>12378</v>
      </c>
      <c r="H3697" s="196" t="s">
        <v>11235</v>
      </c>
    </row>
    <row r="3698" spans="1:8" x14ac:dyDescent="0.15">
      <c r="A3698" s="196" t="s">
        <v>11229</v>
      </c>
      <c r="B3698" s="196" t="s">
        <v>11230</v>
      </c>
      <c r="C3698" s="196" t="s">
        <v>19961</v>
      </c>
      <c r="D3698" s="196" t="s">
        <v>19962</v>
      </c>
      <c r="E3698" s="196" t="s">
        <v>19962</v>
      </c>
      <c r="F3698" s="196" t="s">
        <v>11233</v>
      </c>
      <c r="G3698" s="196" t="s">
        <v>12378</v>
      </c>
      <c r="H3698" s="196" t="s">
        <v>11235</v>
      </c>
    </row>
    <row r="3699" spans="1:8" x14ac:dyDescent="0.15">
      <c r="A3699" s="196" t="s">
        <v>11229</v>
      </c>
      <c r="B3699" s="196" t="s">
        <v>11230</v>
      </c>
      <c r="C3699" s="196" t="s">
        <v>19963</v>
      </c>
      <c r="D3699" s="196" t="s">
        <v>19964</v>
      </c>
      <c r="E3699" s="196" t="s">
        <v>19964</v>
      </c>
      <c r="F3699" s="196" t="s">
        <v>11233</v>
      </c>
      <c r="G3699" s="196" t="s">
        <v>12378</v>
      </c>
      <c r="H3699" s="196" t="s">
        <v>11235</v>
      </c>
    </row>
    <row r="3700" spans="1:8" x14ac:dyDescent="0.15">
      <c r="A3700" s="196" t="s">
        <v>11229</v>
      </c>
      <c r="B3700" s="196" t="s">
        <v>11230</v>
      </c>
      <c r="C3700" s="196" t="s">
        <v>19965</v>
      </c>
      <c r="D3700" s="196" t="s">
        <v>19966</v>
      </c>
      <c r="E3700" s="196" t="s">
        <v>19966</v>
      </c>
      <c r="F3700" s="196" t="s">
        <v>11233</v>
      </c>
      <c r="G3700" s="196" t="s">
        <v>12378</v>
      </c>
      <c r="H3700" s="196" t="s">
        <v>11235</v>
      </c>
    </row>
    <row r="3701" spans="1:8" x14ac:dyDescent="0.15">
      <c r="A3701" s="196" t="s">
        <v>11229</v>
      </c>
      <c r="B3701" s="196" t="s">
        <v>11230</v>
      </c>
      <c r="C3701" s="196" t="s">
        <v>19967</v>
      </c>
      <c r="D3701" s="196" t="s">
        <v>19968</v>
      </c>
      <c r="E3701" s="196" t="s">
        <v>19968</v>
      </c>
      <c r="F3701" s="196" t="s">
        <v>11233</v>
      </c>
      <c r="G3701" s="196" t="s">
        <v>12378</v>
      </c>
      <c r="H3701" s="196" t="s">
        <v>11235</v>
      </c>
    </row>
    <row r="3702" spans="1:8" x14ac:dyDescent="0.15">
      <c r="A3702" s="196" t="s">
        <v>11229</v>
      </c>
      <c r="B3702" s="196" t="s">
        <v>11230</v>
      </c>
      <c r="C3702" s="196" t="s">
        <v>19969</v>
      </c>
      <c r="D3702" s="196" t="s">
        <v>19970</v>
      </c>
      <c r="E3702" s="196" t="s">
        <v>19970</v>
      </c>
      <c r="F3702" s="196" t="s">
        <v>11233</v>
      </c>
      <c r="G3702" s="196" t="s">
        <v>12378</v>
      </c>
      <c r="H3702" s="196" t="s">
        <v>11235</v>
      </c>
    </row>
    <row r="3703" spans="1:8" x14ac:dyDescent="0.15">
      <c r="A3703" s="196" t="s">
        <v>11229</v>
      </c>
      <c r="B3703" s="196" t="s">
        <v>11230</v>
      </c>
      <c r="C3703" s="196" t="s">
        <v>19971</v>
      </c>
      <c r="D3703" s="196" t="s">
        <v>19972</v>
      </c>
      <c r="E3703" s="196" t="s">
        <v>19972</v>
      </c>
      <c r="F3703" s="196" t="s">
        <v>11233</v>
      </c>
      <c r="G3703" s="196" t="s">
        <v>12378</v>
      </c>
      <c r="H3703" s="196" t="s">
        <v>11235</v>
      </c>
    </row>
    <row r="3704" spans="1:8" x14ac:dyDescent="0.15">
      <c r="A3704" s="196" t="s">
        <v>11229</v>
      </c>
      <c r="B3704" s="196" t="s">
        <v>11230</v>
      </c>
      <c r="C3704" s="196" t="s">
        <v>19973</v>
      </c>
      <c r="D3704" s="196" t="s">
        <v>19974</v>
      </c>
      <c r="E3704" s="196" t="s">
        <v>19974</v>
      </c>
      <c r="F3704" s="196" t="s">
        <v>11233</v>
      </c>
      <c r="G3704" s="196" t="s">
        <v>12378</v>
      </c>
      <c r="H3704" s="196" t="s">
        <v>11235</v>
      </c>
    </row>
    <row r="3705" spans="1:8" x14ac:dyDescent="0.15">
      <c r="A3705" s="196" t="s">
        <v>11229</v>
      </c>
      <c r="B3705" s="196" t="s">
        <v>11230</v>
      </c>
      <c r="C3705" s="196" t="s">
        <v>19975</v>
      </c>
      <c r="D3705" s="196" t="s">
        <v>19976</v>
      </c>
      <c r="E3705" s="196" t="s">
        <v>19976</v>
      </c>
      <c r="F3705" s="196" t="s">
        <v>11233</v>
      </c>
      <c r="G3705" s="196" t="s">
        <v>12378</v>
      </c>
      <c r="H3705" s="196" t="s">
        <v>11235</v>
      </c>
    </row>
    <row r="3706" spans="1:8" x14ac:dyDescent="0.15">
      <c r="A3706" s="196" t="s">
        <v>11229</v>
      </c>
      <c r="B3706" s="196" t="s">
        <v>11230</v>
      </c>
      <c r="C3706" s="196" t="s">
        <v>19977</v>
      </c>
      <c r="D3706" s="196" t="s">
        <v>19978</v>
      </c>
      <c r="E3706" s="196" t="s">
        <v>19978</v>
      </c>
      <c r="F3706" s="196" t="s">
        <v>11233</v>
      </c>
      <c r="G3706" s="196" t="s">
        <v>12378</v>
      </c>
      <c r="H3706" s="196" t="s">
        <v>11235</v>
      </c>
    </row>
    <row r="3707" spans="1:8" x14ac:dyDescent="0.15">
      <c r="A3707" s="196" t="s">
        <v>11229</v>
      </c>
      <c r="B3707" s="196" t="s">
        <v>11230</v>
      </c>
      <c r="C3707" s="196" t="s">
        <v>19979</v>
      </c>
      <c r="D3707" s="196" t="s">
        <v>19980</v>
      </c>
      <c r="E3707" s="196" t="s">
        <v>19980</v>
      </c>
      <c r="F3707" s="196" t="s">
        <v>11233</v>
      </c>
      <c r="G3707" s="196" t="s">
        <v>12378</v>
      </c>
      <c r="H3707" s="196" t="s">
        <v>11235</v>
      </c>
    </row>
    <row r="3708" spans="1:8" x14ac:dyDescent="0.15">
      <c r="A3708" s="196" t="s">
        <v>11229</v>
      </c>
      <c r="B3708" s="196" t="s">
        <v>11230</v>
      </c>
      <c r="C3708" s="196" t="s">
        <v>19981</v>
      </c>
      <c r="D3708" s="196" t="s">
        <v>19982</v>
      </c>
      <c r="E3708" s="196" t="s">
        <v>19982</v>
      </c>
      <c r="F3708" s="196" t="s">
        <v>11233</v>
      </c>
      <c r="G3708" s="196" t="s">
        <v>12378</v>
      </c>
      <c r="H3708" s="196" t="s">
        <v>11235</v>
      </c>
    </row>
    <row r="3709" spans="1:8" x14ac:dyDescent="0.15">
      <c r="A3709" s="196" t="s">
        <v>11229</v>
      </c>
      <c r="B3709" s="196" t="s">
        <v>11230</v>
      </c>
      <c r="C3709" s="196" t="s">
        <v>19983</v>
      </c>
      <c r="D3709" s="196" t="s">
        <v>19984</v>
      </c>
      <c r="E3709" s="196" t="s">
        <v>19984</v>
      </c>
      <c r="F3709" s="196" t="s">
        <v>11233</v>
      </c>
      <c r="G3709" s="196" t="s">
        <v>12378</v>
      </c>
      <c r="H3709" s="196" t="s">
        <v>11235</v>
      </c>
    </row>
    <row r="3710" spans="1:8" x14ac:dyDescent="0.15">
      <c r="A3710" s="196" t="s">
        <v>11229</v>
      </c>
      <c r="B3710" s="196" t="s">
        <v>11230</v>
      </c>
      <c r="C3710" s="196" t="s">
        <v>19985</v>
      </c>
      <c r="D3710" s="196" t="s">
        <v>19986</v>
      </c>
      <c r="E3710" s="196" t="s">
        <v>19986</v>
      </c>
      <c r="F3710" s="196" t="s">
        <v>11233</v>
      </c>
      <c r="G3710" s="196" t="s">
        <v>12378</v>
      </c>
      <c r="H3710" s="196" t="s">
        <v>11235</v>
      </c>
    </row>
    <row r="3711" spans="1:8" x14ac:dyDescent="0.15">
      <c r="A3711" s="196" t="s">
        <v>11229</v>
      </c>
      <c r="B3711" s="196" t="s">
        <v>11230</v>
      </c>
      <c r="C3711" s="196" t="s">
        <v>19987</v>
      </c>
      <c r="D3711" s="196" t="s">
        <v>19988</v>
      </c>
      <c r="E3711" s="196" t="s">
        <v>19988</v>
      </c>
      <c r="F3711" s="196" t="s">
        <v>11233</v>
      </c>
      <c r="G3711" s="196" t="s">
        <v>12378</v>
      </c>
      <c r="H3711" s="196" t="s">
        <v>11235</v>
      </c>
    </row>
    <row r="3712" spans="1:8" x14ac:dyDescent="0.15">
      <c r="A3712" s="196" t="s">
        <v>11229</v>
      </c>
      <c r="B3712" s="196" t="s">
        <v>11230</v>
      </c>
      <c r="C3712" s="196" t="s">
        <v>19989</v>
      </c>
      <c r="D3712" s="196" t="s">
        <v>19990</v>
      </c>
      <c r="E3712" s="196" t="s">
        <v>19990</v>
      </c>
      <c r="F3712" s="196" t="s">
        <v>11233</v>
      </c>
      <c r="G3712" s="196" t="s">
        <v>12378</v>
      </c>
      <c r="H3712" s="196" t="s">
        <v>11235</v>
      </c>
    </row>
    <row r="3713" spans="1:8" x14ac:dyDescent="0.15">
      <c r="A3713" s="196" t="s">
        <v>11229</v>
      </c>
      <c r="B3713" s="196" t="s">
        <v>11230</v>
      </c>
      <c r="C3713" s="196" t="s">
        <v>19991</v>
      </c>
      <c r="D3713" s="196" t="s">
        <v>19992</v>
      </c>
      <c r="E3713" s="196" t="s">
        <v>19992</v>
      </c>
      <c r="F3713" s="196" t="s">
        <v>11233</v>
      </c>
      <c r="G3713" s="196" t="s">
        <v>12378</v>
      </c>
      <c r="H3713" s="196" t="s">
        <v>11235</v>
      </c>
    </row>
    <row r="3714" spans="1:8" x14ac:dyDescent="0.15">
      <c r="A3714" s="196" t="s">
        <v>11229</v>
      </c>
      <c r="B3714" s="196" t="s">
        <v>11230</v>
      </c>
      <c r="C3714" s="196" t="s">
        <v>19993</v>
      </c>
      <c r="D3714" s="196" t="s">
        <v>19994</v>
      </c>
      <c r="E3714" s="196" t="s">
        <v>19994</v>
      </c>
      <c r="F3714" s="196" t="s">
        <v>11233</v>
      </c>
      <c r="G3714" s="196" t="s">
        <v>12378</v>
      </c>
      <c r="H3714" s="196" t="s">
        <v>11235</v>
      </c>
    </row>
    <row r="3715" spans="1:8" x14ac:dyDescent="0.15">
      <c r="A3715" s="196" t="s">
        <v>11229</v>
      </c>
      <c r="B3715" s="196" t="s">
        <v>11230</v>
      </c>
      <c r="C3715" s="196" t="s">
        <v>19995</v>
      </c>
      <c r="D3715" s="196" t="s">
        <v>19996</v>
      </c>
      <c r="E3715" s="196" t="s">
        <v>19996</v>
      </c>
      <c r="F3715" s="196" t="s">
        <v>11233</v>
      </c>
      <c r="G3715" s="196" t="s">
        <v>12378</v>
      </c>
      <c r="H3715" s="196" t="s">
        <v>11235</v>
      </c>
    </row>
    <row r="3716" spans="1:8" x14ac:dyDescent="0.15">
      <c r="A3716" s="196" t="s">
        <v>11229</v>
      </c>
      <c r="B3716" s="196" t="s">
        <v>11230</v>
      </c>
      <c r="C3716" s="196" t="s">
        <v>19997</v>
      </c>
      <c r="D3716" s="196" t="s">
        <v>19998</v>
      </c>
      <c r="E3716" s="196" t="s">
        <v>19998</v>
      </c>
      <c r="F3716" s="196" t="s">
        <v>11233</v>
      </c>
      <c r="G3716" s="196" t="s">
        <v>12378</v>
      </c>
      <c r="H3716" s="196" t="s">
        <v>11235</v>
      </c>
    </row>
    <row r="3717" spans="1:8" x14ac:dyDescent="0.15">
      <c r="A3717" s="196" t="s">
        <v>11229</v>
      </c>
      <c r="B3717" s="196" t="s">
        <v>11230</v>
      </c>
      <c r="C3717" s="196" t="s">
        <v>19999</v>
      </c>
      <c r="D3717" s="196" t="s">
        <v>20000</v>
      </c>
      <c r="E3717" s="196" t="s">
        <v>20000</v>
      </c>
      <c r="F3717" s="196" t="s">
        <v>11233</v>
      </c>
      <c r="G3717" s="196" t="s">
        <v>12378</v>
      </c>
      <c r="H3717" s="196" t="s">
        <v>11235</v>
      </c>
    </row>
    <row r="3718" spans="1:8" x14ac:dyDescent="0.15">
      <c r="A3718" s="196" t="s">
        <v>11229</v>
      </c>
      <c r="B3718" s="196" t="s">
        <v>11230</v>
      </c>
      <c r="C3718" s="196" t="s">
        <v>20001</v>
      </c>
      <c r="D3718" s="196" t="s">
        <v>20002</v>
      </c>
      <c r="E3718" s="196" t="s">
        <v>20002</v>
      </c>
      <c r="F3718" s="196" t="s">
        <v>11233</v>
      </c>
      <c r="G3718" s="196" t="s">
        <v>12378</v>
      </c>
      <c r="H3718" s="196" t="s">
        <v>11235</v>
      </c>
    </row>
    <row r="3719" spans="1:8" x14ac:dyDescent="0.15">
      <c r="A3719" s="196" t="s">
        <v>11229</v>
      </c>
      <c r="B3719" s="196" t="s">
        <v>11230</v>
      </c>
      <c r="C3719" s="196" t="s">
        <v>20003</v>
      </c>
      <c r="D3719" s="196" t="s">
        <v>20004</v>
      </c>
      <c r="E3719" s="196" t="s">
        <v>20004</v>
      </c>
      <c r="F3719" s="196" t="s">
        <v>11233</v>
      </c>
      <c r="G3719" s="196" t="s">
        <v>12378</v>
      </c>
      <c r="H3719" s="196" t="s">
        <v>11235</v>
      </c>
    </row>
    <row r="3720" spans="1:8" x14ac:dyDescent="0.15">
      <c r="A3720" s="196" t="s">
        <v>11229</v>
      </c>
      <c r="B3720" s="196" t="s">
        <v>11230</v>
      </c>
      <c r="C3720" s="196" t="s">
        <v>20005</v>
      </c>
      <c r="D3720" s="196" t="s">
        <v>20006</v>
      </c>
      <c r="E3720" s="196" t="s">
        <v>20006</v>
      </c>
      <c r="F3720" s="196" t="s">
        <v>11233</v>
      </c>
      <c r="G3720" s="196" t="s">
        <v>12378</v>
      </c>
      <c r="H3720" s="196" t="s">
        <v>11235</v>
      </c>
    </row>
    <row r="3721" spans="1:8" x14ac:dyDescent="0.15">
      <c r="A3721" s="196" t="s">
        <v>11229</v>
      </c>
      <c r="B3721" s="196" t="s">
        <v>11230</v>
      </c>
      <c r="C3721" s="196" t="s">
        <v>20007</v>
      </c>
      <c r="D3721" s="196" t="s">
        <v>20008</v>
      </c>
      <c r="E3721" s="196" t="s">
        <v>20008</v>
      </c>
      <c r="F3721" s="196" t="s">
        <v>11233</v>
      </c>
      <c r="G3721" s="196" t="s">
        <v>12378</v>
      </c>
      <c r="H3721" s="196" t="s">
        <v>11235</v>
      </c>
    </row>
    <row r="3722" spans="1:8" x14ac:dyDescent="0.15">
      <c r="A3722" s="196" t="s">
        <v>11229</v>
      </c>
      <c r="B3722" s="196" t="s">
        <v>11230</v>
      </c>
      <c r="C3722" s="196" t="s">
        <v>20009</v>
      </c>
      <c r="D3722" s="196" t="s">
        <v>20010</v>
      </c>
      <c r="E3722" s="196" t="s">
        <v>20010</v>
      </c>
      <c r="F3722" s="196" t="s">
        <v>11233</v>
      </c>
      <c r="G3722" s="196" t="s">
        <v>12378</v>
      </c>
      <c r="H3722" s="196" t="s">
        <v>11235</v>
      </c>
    </row>
    <row r="3723" spans="1:8" x14ac:dyDescent="0.15">
      <c r="A3723" s="196" t="s">
        <v>11229</v>
      </c>
      <c r="B3723" s="196" t="s">
        <v>11230</v>
      </c>
      <c r="C3723" s="196" t="s">
        <v>20011</v>
      </c>
      <c r="D3723" s="196" t="s">
        <v>20012</v>
      </c>
      <c r="E3723" s="196" t="s">
        <v>20012</v>
      </c>
      <c r="F3723" s="196" t="s">
        <v>11233</v>
      </c>
      <c r="G3723" s="196" t="s">
        <v>12378</v>
      </c>
      <c r="H3723" s="196" t="s">
        <v>11235</v>
      </c>
    </row>
    <row r="3724" spans="1:8" x14ac:dyDescent="0.15">
      <c r="A3724" s="196" t="s">
        <v>11229</v>
      </c>
      <c r="B3724" s="196" t="s">
        <v>11230</v>
      </c>
      <c r="C3724" s="196" t="s">
        <v>20013</v>
      </c>
      <c r="D3724" s="196" t="s">
        <v>20014</v>
      </c>
      <c r="E3724" s="196" t="s">
        <v>20014</v>
      </c>
      <c r="F3724" s="196" t="s">
        <v>11233</v>
      </c>
      <c r="G3724" s="196" t="s">
        <v>12378</v>
      </c>
      <c r="H3724" s="196" t="s">
        <v>11235</v>
      </c>
    </row>
    <row r="3725" spans="1:8" x14ac:dyDescent="0.15">
      <c r="A3725" s="196" t="s">
        <v>11229</v>
      </c>
      <c r="B3725" s="196" t="s">
        <v>11230</v>
      </c>
      <c r="C3725" s="196" t="s">
        <v>20015</v>
      </c>
      <c r="D3725" s="196" t="s">
        <v>20016</v>
      </c>
      <c r="E3725" s="196" t="s">
        <v>20016</v>
      </c>
      <c r="F3725" s="196" t="s">
        <v>11233</v>
      </c>
      <c r="G3725" s="196" t="s">
        <v>12378</v>
      </c>
      <c r="H3725" s="196" t="s">
        <v>11235</v>
      </c>
    </row>
    <row r="3726" spans="1:8" x14ac:dyDescent="0.15">
      <c r="A3726" s="196" t="s">
        <v>11229</v>
      </c>
      <c r="B3726" s="196" t="s">
        <v>11230</v>
      </c>
      <c r="C3726" s="196" t="s">
        <v>20017</v>
      </c>
      <c r="D3726" s="196" t="s">
        <v>20018</v>
      </c>
      <c r="E3726" s="196" t="s">
        <v>20018</v>
      </c>
      <c r="F3726" s="196" t="s">
        <v>11233</v>
      </c>
      <c r="G3726" s="196" t="s">
        <v>12378</v>
      </c>
      <c r="H3726" s="196" t="s">
        <v>11235</v>
      </c>
    </row>
    <row r="3727" spans="1:8" x14ac:dyDescent="0.15">
      <c r="A3727" s="196" t="s">
        <v>11229</v>
      </c>
      <c r="B3727" s="196" t="s">
        <v>11230</v>
      </c>
      <c r="C3727" s="196" t="s">
        <v>20019</v>
      </c>
      <c r="D3727" s="196" t="s">
        <v>20020</v>
      </c>
      <c r="E3727" s="196" t="s">
        <v>20020</v>
      </c>
      <c r="F3727" s="196" t="s">
        <v>11233</v>
      </c>
      <c r="G3727" s="196" t="s">
        <v>12378</v>
      </c>
      <c r="H3727" s="196" t="s">
        <v>11235</v>
      </c>
    </row>
    <row r="3728" spans="1:8" x14ac:dyDescent="0.15">
      <c r="A3728" s="196" t="s">
        <v>11229</v>
      </c>
      <c r="B3728" s="196" t="s">
        <v>11230</v>
      </c>
      <c r="C3728" s="196" t="s">
        <v>20021</v>
      </c>
      <c r="D3728" s="196" t="s">
        <v>20022</v>
      </c>
      <c r="E3728" s="196" t="s">
        <v>20022</v>
      </c>
      <c r="F3728" s="196" t="s">
        <v>11233</v>
      </c>
      <c r="G3728" s="196" t="s">
        <v>12378</v>
      </c>
      <c r="H3728" s="196" t="s">
        <v>11235</v>
      </c>
    </row>
    <row r="3729" spans="1:8" x14ac:dyDescent="0.15">
      <c r="A3729" s="196" t="s">
        <v>11229</v>
      </c>
      <c r="B3729" s="196" t="s">
        <v>11230</v>
      </c>
      <c r="C3729" s="196" t="s">
        <v>20023</v>
      </c>
      <c r="D3729" s="196" t="s">
        <v>20024</v>
      </c>
      <c r="E3729" s="196" t="s">
        <v>20024</v>
      </c>
      <c r="F3729" s="196" t="s">
        <v>11233</v>
      </c>
      <c r="G3729" s="196" t="s">
        <v>12378</v>
      </c>
      <c r="H3729" s="196" t="s">
        <v>11235</v>
      </c>
    </row>
    <row r="3730" spans="1:8" x14ac:dyDescent="0.15">
      <c r="A3730" s="196" t="s">
        <v>11229</v>
      </c>
      <c r="B3730" s="196" t="s">
        <v>11230</v>
      </c>
      <c r="C3730" s="196" t="s">
        <v>20025</v>
      </c>
      <c r="D3730" s="196" t="s">
        <v>20026</v>
      </c>
      <c r="E3730" s="196" t="s">
        <v>20027</v>
      </c>
      <c r="F3730" s="196" t="s">
        <v>20028</v>
      </c>
      <c r="G3730" s="196" t="s">
        <v>12378</v>
      </c>
      <c r="H3730" s="196" t="s">
        <v>11235</v>
      </c>
    </row>
    <row r="3731" spans="1:8" x14ac:dyDescent="0.15">
      <c r="A3731" s="196" t="s">
        <v>11229</v>
      </c>
      <c r="B3731" s="196" t="s">
        <v>11230</v>
      </c>
      <c r="C3731" s="196" t="s">
        <v>20029</v>
      </c>
      <c r="D3731" s="196" t="s">
        <v>20030</v>
      </c>
      <c r="E3731" s="196" t="s">
        <v>20031</v>
      </c>
      <c r="F3731" s="196" t="s">
        <v>20032</v>
      </c>
      <c r="G3731" s="196" t="s">
        <v>12378</v>
      </c>
      <c r="H3731" s="196" t="s">
        <v>11235</v>
      </c>
    </row>
    <row r="3732" spans="1:8" x14ac:dyDescent="0.15">
      <c r="A3732" s="196" t="s">
        <v>11229</v>
      </c>
      <c r="B3732" s="196" t="s">
        <v>11230</v>
      </c>
      <c r="C3732" s="196" t="s">
        <v>20033</v>
      </c>
      <c r="D3732" s="196" t="s">
        <v>20034</v>
      </c>
      <c r="E3732" s="196" t="s">
        <v>20035</v>
      </c>
      <c r="F3732" s="196" t="s">
        <v>20036</v>
      </c>
      <c r="G3732" s="196" t="s">
        <v>12378</v>
      </c>
      <c r="H3732" s="196" t="s">
        <v>11235</v>
      </c>
    </row>
    <row r="3733" spans="1:8" x14ac:dyDescent="0.15">
      <c r="A3733" s="196" t="s">
        <v>11229</v>
      </c>
      <c r="B3733" s="196" t="s">
        <v>11230</v>
      </c>
      <c r="C3733" s="196" t="s">
        <v>20037</v>
      </c>
      <c r="D3733" s="196" t="s">
        <v>20038</v>
      </c>
      <c r="E3733" s="196" t="s">
        <v>20039</v>
      </c>
      <c r="F3733" s="196" t="s">
        <v>20040</v>
      </c>
      <c r="G3733" s="196" t="s">
        <v>12378</v>
      </c>
      <c r="H3733" s="196" t="s">
        <v>11235</v>
      </c>
    </row>
    <row r="3734" spans="1:8" x14ac:dyDescent="0.15">
      <c r="A3734" s="196" t="s">
        <v>11229</v>
      </c>
      <c r="B3734" s="196" t="s">
        <v>11230</v>
      </c>
      <c r="C3734" s="196" t="s">
        <v>20041</v>
      </c>
      <c r="D3734" s="196" t="s">
        <v>20042</v>
      </c>
      <c r="E3734" s="196" t="s">
        <v>20043</v>
      </c>
      <c r="F3734" s="196" t="s">
        <v>20044</v>
      </c>
      <c r="G3734" s="196" t="s">
        <v>12378</v>
      </c>
      <c r="H3734" s="196" t="s">
        <v>11235</v>
      </c>
    </row>
    <row r="3735" spans="1:8" x14ac:dyDescent="0.15">
      <c r="A3735" s="196" t="s">
        <v>11229</v>
      </c>
      <c r="B3735" s="196" t="s">
        <v>11230</v>
      </c>
      <c r="C3735" s="196" t="s">
        <v>20045</v>
      </c>
      <c r="D3735" s="196" t="s">
        <v>20046</v>
      </c>
      <c r="E3735" s="196" t="s">
        <v>20047</v>
      </c>
      <c r="F3735" s="196" t="s">
        <v>20048</v>
      </c>
      <c r="G3735" s="196" t="s">
        <v>12378</v>
      </c>
      <c r="H3735" s="196" t="s">
        <v>11235</v>
      </c>
    </row>
    <row r="3736" spans="1:8" x14ac:dyDescent="0.15">
      <c r="A3736" s="196" t="s">
        <v>11229</v>
      </c>
      <c r="B3736" s="196" t="s">
        <v>11230</v>
      </c>
      <c r="C3736" s="196" t="s">
        <v>20049</v>
      </c>
      <c r="D3736" s="196" t="s">
        <v>20050</v>
      </c>
      <c r="E3736" s="196" t="s">
        <v>20051</v>
      </c>
      <c r="F3736" s="196" t="s">
        <v>20052</v>
      </c>
      <c r="G3736" s="196" t="s">
        <v>12378</v>
      </c>
      <c r="H3736" s="196" t="s">
        <v>11235</v>
      </c>
    </row>
    <row r="3737" spans="1:8" x14ac:dyDescent="0.15">
      <c r="A3737" s="196" t="s">
        <v>11229</v>
      </c>
      <c r="B3737" s="196" t="s">
        <v>11230</v>
      </c>
      <c r="C3737" s="196" t="s">
        <v>20053</v>
      </c>
      <c r="D3737" s="196" t="s">
        <v>20054</v>
      </c>
      <c r="E3737" s="196" t="s">
        <v>20055</v>
      </c>
      <c r="F3737" s="196" t="s">
        <v>20048</v>
      </c>
      <c r="G3737" s="196" t="s">
        <v>12378</v>
      </c>
      <c r="H3737" s="196" t="s">
        <v>11235</v>
      </c>
    </row>
    <row r="3738" spans="1:8" x14ac:dyDescent="0.15">
      <c r="A3738" s="196" t="s">
        <v>11229</v>
      </c>
      <c r="B3738" s="196" t="s">
        <v>11230</v>
      </c>
      <c r="C3738" s="196" t="s">
        <v>20056</v>
      </c>
      <c r="D3738" s="196" t="s">
        <v>20057</v>
      </c>
      <c r="E3738" s="196" t="s">
        <v>20058</v>
      </c>
      <c r="F3738" s="196" t="s">
        <v>20059</v>
      </c>
      <c r="G3738" s="196" t="s">
        <v>12378</v>
      </c>
      <c r="H3738" s="196" t="s">
        <v>11235</v>
      </c>
    </row>
    <row r="3739" spans="1:8" x14ac:dyDescent="0.15">
      <c r="A3739" s="196" t="s">
        <v>11229</v>
      </c>
      <c r="B3739" s="196" t="s">
        <v>11230</v>
      </c>
      <c r="C3739" s="196" t="s">
        <v>20060</v>
      </c>
      <c r="D3739" s="196" t="s">
        <v>20061</v>
      </c>
      <c r="E3739" s="196" t="s">
        <v>20062</v>
      </c>
      <c r="F3739" s="196" t="s">
        <v>20063</v>
      </c>
      <c r="G3739" s="196" t="s">
        <v>12378</v>
      </c>
      <c r="H3739" s="196" t="s">
        <v>11235</v>
      </c>
    </row>
    <row r="3740" spans="1:8" x14ac:dyDescent="0.15">
      <c r="A3740" s="196" t="s">
        <v>11229</v>
      </c>
      <c r="B3740" s="196" t="s">
        <v>11230</v>
      </c>
      <c r="C3740" s="196" t="s">
        <v>20064</v>
      </c>
      <c r="D3740" s="196" t="s">
        <v>20062</v>
      </c>
      <c r="E3740" s="196" t="s">
        <v>20065</v>
      </c>
      <c r="F3740" s="196" t="s">
        <v>20066</v>
      </c>
      <c r="G3740" s="196" t="s">
        <v>12378</v>
      </c>
      <c r="H3740" s="196" t="s">
        <v>11235</v>
      </c>
    </row>
    <row r="3741" spans="1:8" x14ac:dyDescent="0.15">
      <c r="A3741" s="196" t="s">
        <v>11229</v>
      </c>
      <c r="B3741" s="196" t="s">
        <v>11230</v>
      </c>
      <c r="C3741" s="196" t="s">
        <v>20067</v>
      </c>
      <c r="D3741" s="196" t="s">
        <v>20068</v>
      </c>
      <c r="E3741" s="196" t="s">
        <v>20069</v>
      </c>
      <c r="F3741" s="196" t="s">
        <v>13931</v>
      </c>
      <c r="G3741" s="196" t="s">
        <v>12378</v>
      </c>
      <c r="H3741" s="196" t="s">
        <v>11235</v>
      </c>
    </row>
    <row r="3742" spans="1:8" x14ac:dyDescent="0.15">
      <c r="A3742" s="196" t="s">
        <v>11229</v>
      </c>
      <c r="B3742" s="196" t="s">
        <v>11230</v>
      </c>
      <c r="C3742" s="196" t="s">
        <v>20070</v>
      </c>
      <c r="D3742" s="196" t="s">
        <v>20069</v>
      </c>
      <c r="E3742" s="196" t="s">
        <v>20071</v>
      </c>
      <c r="F3742" s="196" t="s">
        <v>20072</v>
      </c>
      <c r="G3742" s="196" t="s">
        <v>12378</v>
      </c>
      <c r="H3742" s="196" t="s">
        <v>11235</v>
      </c>
    </row>
    <row r="3743" spans="1:8" x14ac:dyDescent="0.15">
      <c r="A3743" s="196" t="s">
        <v>11229</v>
      </c>
      <c r="B3743" s="196" t="s">
        <v>11230</v>
      </c>
      <c r="C3743" s="196" t="s">
        <v>20073</v>
      </c>
      <c r="D3743" s="196" t="s">
        <v>20074</v>
      </c>
      <c r="E3743" s="196" t="s">
        <v>20075</v>
      </c>
      <c r="F3743" s="196" t="s">
        <v>20076</v>
      </c>
      <c r="G3743" s="196" t="s">
        <v>12378</v>
      </c>
      <c r="H3743" s="196" t="s">
        <v>11235</v>
      </c>
    </row>
    <row r="3744" spans="1:8" x14ac:dyDescent="0.15">
      <c r="A3744" s="196" t="s">
        <v>11229</v>
      </c>
      <c r="B3744" s="196" t="s">
        <v>11230</v>
      </c>
      <c r="C3744" s="196" t="s">
        <v>20077</v>
      </c>
      <c r="D3744" s="196" t="s">
        <v>20078</v>
      </c>
      <c r="E3744" s="196" t="s">
        <v>20079</v>
      </c>
      <c r="F3744" s="196" t="s">
        <v>20080</v>
      </c>
      <c r="G3744" s="196" t="s">
        <v>12378</v>
      </c>
      <c r="H3744" s="196" t="s">
        <v>11235</v>
      </c>
    </row>
    <row r="3745" spans="1:8" x14ac:dyDescent="0.15">
      <c r="A3745" s="196" t="s">
        <v>11229</v>
      </c>
      <c r="B3745" s="196" t="s">
        <v>11230</v>
      </c>
      <c r="C3745" s="196" t="s">
        <v>20081</v>
      </c>
      <c r="D3745" s="196" t="s">
        <v>20082</v>
      </c>
      <c r="E3745" s="196" t="s">
        <v>20082</v>
      </c>
      <c r="F3745" s="196" t="s">
        <v>11233</v>
      </c>
      <c r="G3745" s="196" t="s">
        <v>12378</v>
      </c>
      <c r="H3745" s="196" t="s">
        <v>11235</v>
      </c>
    </row>
    <row r="3746" spans="1:8" x14ac:dyDescent="0.15">
      <c r="A3746" s="196" t="s">
        <v>11229</v>
      </c>
      <c r="B3746" s="196" t="s">
        <v>11230</v>
      </c>
      <c r="C3746" s="196" t="s">
        <v>20083</v>
      </c>
      <c r="D3746" s="196" t="s">
        <v>20084</v>
      </c>
      <c r="E3746" s="196" t="s">
        <v>20084</v>
      </c>
      <c r="F3746" s="196" t="s">
        <v>11233</v>
      </c>
      <c r="G3746" s="196" t="s">
        <v>12378</v>
      </c>
      <c r="H3746" s="196" t="s">
        <v>11235</v>
      </c>
    </row>
    <row r="3747" spans="1:8" x14ac:dyDescent="0.15">
      <c r="A3747" s="196" t="s">
        <v>11229</v>
      </c>
      <c r="B3747" s="196" t="s">
        <v>11230</v>
      </c>
      <c r="C3747" s="196" t="s">
        <v>20085</v>
      </c>
      <c r="D3747" s="196" t="s">
        <v>20086</v>
      </c>
      <c r="E3747" s="196" t="s">
        <v>20086</v>
      </c>
      <c r="F3747" s="196" t="s">
        <v>11233</v>
      </c>
      <c r="G3747" s="196" t="s">
        <v>12378</v>
      </c>
      <c r="H3747" s="196" t="s">
        <v>11235</v>
      </c>
    </row>
    <row r="3748" spans="1:8" x14ac:dyDescent="0.15">
      <c r="A3748" s="196" t="s">
        <v>11229</v>
      </c>
      <c r="B3748" s="196" t="s">
        <v>11230</v>
      </c>
      <c r="C3748" s="196" t="s">
        <v>20087</v>
      </c>
      <c r="D3748" s="196" t="s">
        <v>20088</v>
      </c>
      <c r="E3748" s="196" t="s">
        <v>20088</v>
      </c>
      <c r="F3748" s="196" t="s">
        <v>11233</v>
      </c>
      <c r="G3748" s="196" t="s">
        <v>12378</v>
      </c>
      <c r="H3748" s="196" t="s">
        <v>11235</v>
      </c>
    </row>
    <row r="3749" spans="1:8" x14ac:dyDescent="0.15">
      <c r="A3749" s="196" t="s">
        <v>11229</v>
      </c>
      <c r="B3749" s="196" t="s">
        <v>11230</v>
      </c>
      <c r="C3749" s="196" t="s">
        <v>20089</v>
      </c>
      <c r="D3749" s="196" t="s">
        <v>20090</v>
      </c>
      <c r="E3749" s="196" t="s">
        <v>20090</v>
      </c>
      <c r="F3749" s="196" t="s">
        <v>11233</v>
      </c>
      <c r="G3749" s="196" t="s">
        <v>12378</v>
      </c>
      <c r="H3749" s="196" t="s">
        <v>11235</v>
      </c>
    </row>
    <row r="3750" spans="1:8" x14ac:dyDescent="0.15">
      <c r="A3750" s="196" t="s">
        <v>11229</v>
      </c>
      <c r="B3750" s="196" t="s">
        <v>11230</v>
      </c>
      <c r="C3750" s="196" t="s">
        <v>20091</v>
      </c>
      <c r="D3750" s="196" t="s">
        <v>20092</v>
      </c>
      <c r="E3750" s="196" t="s">
        <v>20093</v>
      </c>
      <c r="F3750" s="196" t="s">
        <v>11268</v>
      </c>
      <c r="G3750" s="196" t="s">
        <v>12378</v>
      </c>
      <c r="H3750" s="196" t="s">
        <v>11235</v>
      </c>
    </row>
    <row r="3751" spans="1:8" x14ac:dyDescent="0.15">
      <c r="A3751" s="196" t="s">
        <v>11229</v>
      </c>
      <c r="B3751" s="196" t="s">
        <v>11230</v>
      </c>
      <c r="C3751" s="196" t="s">
        <v>20094</v>
      </c>
      <c r="D3751" s="196" t="s">
        <v>20093</v>
      </c>
      <c r="E3751" s="196" t="s">
        <v>20095</v>
      </c>
      <c r="F3751" s="196" t="s">
        <v>11241</v>
      </c>
      <c r="G3751" s="196" t="s">
        <v>12378</v>
      </c>
      <c r="H3751" s="196" t="s">
        <v>11235</v>
      </c>
    </row>
    <row r="3752" spans="1:8" x14ac:dyDescent="0.15">
      <c r="A3752" s="196" t="s">
        <v>11229</v>
      </c>
      <c r="B3752" s="196" t="s">
        <v>11230</v>
      </c>
      <c r="C3752" s="196" t="s">
        <v>20096</v>
      </c>
      <c r="D3752" s="196" t="s">
        <v>20095</v>
      </c>
      <c r="E3752" s="196" t="s">
        <v>20095</v>
      </c>
      <c r="F3752" s="196" t="s">
        <v>11233</v>
      </c>
      <c r="G3752" s="196" t="s">
        <v>12378</v>
      </c>
      <c r="H3752" s="196" t="s">
        <v>11235</v>
      </c>
    </row>
    <row r="3753" spans="1:8" x14ac:dyDescent="0.15">
      <c r="A3753" s="196" t="s">
        <v>11229</v>
      </c>
      <c r="B3753" s="196" t="s">
        <v>11230</v>
      </c>
      <c r="C3753" s="196" t="s">
        <v>20097</v>
      </c>
      <c r="D3753" s="196" t="s">
        <v>20098</v>
      </c>
      <c r="E3753" s="196" t="s">
        <v>20098</v>
      </c>
      <c r="F3753" s="196" t="s">
        <v>11233</v>
      </c>
      <c r="G3753" s="196" t="s">
        <v>12378</v>
      </c>
      <c r="H3753" s="196" t="s">
        <v>11235</v>
      </c>
    </row>
    <row r="3754" spans="1:8" x14ac:dyDescent="0.15">
      <c r="A3754" s="196" t="s">
        <v>11229</v>
      </c>
      <c r="B3754" s="196" t="s">
        <v>11230</v>
      </c>
      <c r="C3754" s="196" t="s">
        <v>20099</v>
      </c>
      <c r="D3754" s="196" t="s">
        <v>20100</v>
      </c>
      <c r="E3754" s="196" t="s">
        <v>20100</v>
      </c>
      <c r="F3754" s="196" t="s">
        <v>11233</v>
      </c>
      <c r="G3754" s="196" t="s">
        <v>12378</v>
      </c>
      <c r="H3754" s="196" t="s">
        <v>11235</v>
      </c>
    </row>
    <row r="3755" spans="1:8" x14ac:dyDescent="0.15">
      <c r="A3755" s="196" t="s">
        <v>11229</v>
      </c>
      <c r="B3755" s="196" t="s">
        <v>11230</v>
      </c>
      <c r="C3755" s="196" t="s">
        <v>20101</v>
      </c>
      <c r="D3755" s="196" t="s">
        <v>20102</v>
      </c>
      <c r="E3755" s="196" t="s">
        <v>20102</v>
      </c>
      <c r="F3755" s="196" t="s">
        <v>11233</v>
      </c>
      <c r="G3755" s="196" t="s">
        <v>12378</v>
      </c>
      <c r="H3755" s="196" t="s">
        <v>11235</v>
      </c>
    </row>
    <row r="3756" spans="1:8" x14ac:dyDescent="0.15">
      <c r="A3756" s="196" t="s">
        <v>11229</v>
      </c>
      <c r="B3756" s="196" t="s">
        <v>11230</v>
      </c>
      <c r="C3756" s="196" t="s">
        <v>20103</v>
      </c>
      <c r="D3756" s="196" t="s">
        <v>20104</v>
      </c>
      <c r="E3756" s="196" t="s">
        <v>20104</v>
      </c>
      <c r="F3756" s="196" t="s">
        <v>11233</v>
      </c>
      <c r="G3756" s="196" t="s">
        <v>12378</v>
      </c>
      <c r="H3756" s="196" t="s">
        <v>11235</v>
      </c>
    </row>
    <row r="3757" spans="1:8" x14ac:dyDescent="0.15">
      <c r="A3757" s="196" t="s">
        <v>11229</v>
      </c>
      <c r="B3757" s="196" t="s">
        <v>11230</v>
      </c>
      <c r="C3757" s="196" t="s">
        <v>20105</v>
      </c>
      <c r="D3757" s="196" t="s">
        <v>20106</v>
      </c>
      <c r="E3757" s="196" t="s">
        <v>20106</v>
      </c>
      <c r="F3757" s="196" t="s">
        <v>11233</v>
      </c>
      <c r="G3757" s="196" t="s">
        <v>12378</v>
      </c>
      <c r="H3757" s="196" t="s">
        <v>11235</v>
      </c>
    </row>
    <row r="3758" spans="1:8" x14ac:dyDescent="0.15">
      <c r="A3758" s="196" t="s">
        <v>11229</v>
      </c>
      <c r="B3758" s="196" t="s">
        <v>11230</v>
      </c>
      <c r="C3758" s="196" t="s">
        <v>20107</v>
      </c>
      <c r="D3758" s="196" t="s">
        <v>20108</v>
      </c>
      <c r="E3758" s="196" t="s">
        <v>20108</v>
      </c>
      <c r="F3758" s="196" t="s">
        <v>11233</v>
      </c>
      <c r="G3758" s="196" t="s">
        <v>12378</v>
      </c>
      <c r="H3758" s="196" t="s">
        <v>11235</v>
      </c>
    </row>
    <row r="3759" spans="1:8" x14ac:dyDescent="0.15">
      <c r="A3759" s="196" t="s">
        <v>11229</v>
      </c>
      <c r="B3759" s="196" t="s">
        <v>11230</v>
      </c>
      <c r="C3759" s="196" t="s">
        <v>20109</v>
      </c>
      <c r="D3759" s="196" t="s">
        <v>20110</v>
      </c>
      <c r="E3759" s="196" t="s">
        <v>20110</v>
      </c>
      <c r="F3759" s="196" t="s">
        <v>11233</v>
      </c>
      <c r="G3759" s="196" t="s">
        <v>12378</v>
      </c>
      <c r="H3759" s="196" t="s">
        <v>11235</v>
      </c>
    </row>
    <row r="3760" spans="1:8" x14ac:dyDescent="0.15">
      <c r="A3760" s="196" t="s">
        <v>11229</v>
      </c>
      <c r="B3760" s="196" t="s">
        <v>11230</v>
      </c>
      <c r="C3760" s="196" t="s">
        <v>20111</v>
      </c>
      <c r="D3760" s="196" t="s">
        <v>20112</v>
      </c>
      <c r="E3760" s="196" t="s">
        <v>20113</v>
      </c>
      <c r="F3760" s="196" t="s">
        <v>11268</v>
      </c>
      <c r="G3760" s="196" t="s">
        <v>12378</v>
      </c>
      <c r="H3760" s="196" t="s">
        <v>11235</v>
      </c>
    </row>
    <row r="3761" spans="1:8" x14ac:dyDescent="0.15">
      <c r="A3761" s="196" t="s">
        <v>11229</v>
      </c>
      <c r="B3761" s="196" t="s">
        <v>11230</v>
      </c>
      <c r="C3761" s="196" t="s">
        <v>20114</v>
      </c>
      <c r="D3761" s="196" t="s">
        <v>20115</v>
      </c>
      <c r="E3761" s="196" t="s">
        <v>20115</v>
      </c>
      <c r="F3761" s="196" t="s">
        <v>11233</v>
      </c>
      <c r="G3761" s="196" t="s">
        <v>12378</v>
      </c>
      <c r="H3761" s="196" t="s">
        <v>11235</v>
      </c>
    </row>
    <row r="3762" spans="1:8" x14ac:dyDescent="0.15">
      <c r="A3762" s="196" t="s">
        <v>11229</v>
      </c>
      <c r="B3762" s="196" t="s">
        <v>11230</v>
      </c>
      <c r="C3762" s="196" t="s">
        <v>20116</v>
      </c>
      <c r="D3762" s="196" t="s">
        <v>20117</v>
      </c>
      <c r="E3762" s="196" t="s">
        <v>20117</v>
      </c>
      <c r="F3762" s="196" t="s">
        <v>11233</v>
      </c>
      <c r="G3762" s="196" t="s">
        <v>12378</v>
      </c>
      <c r="H3762" s="196" t="s">
        <v>11235</v>
      </c>
    </row>
    <row r="3763" spans="1:8" x14ac:dyDescent="0.15">
      <c r="A3763" s="196" t="s">
        <v>11229</v>
      </c>
      <c r="B3763" s="196" t="s">
        <v>11230</v>
      </c>
      <c r="C3763" s="196" t="s">
        <v>20118</v>
      </c>
      <c r="D3763" s="196" t="s">
        <v>20119</v>
      </c>
      <c r="E3763" s="196" t="s">
        <v>20120</v>
      </c>
      <c r="F3763" s="196" t="s">
        <v>11241</v>
      </c>
      <c r="G3763" s="196" t="s">
        <v>12378</v>
      </c>
      <c r="H3763" s="196" t="s">
        <v>11235</v>
      </c>
    </row>
    <row r="3764" spans="1:8" x14ac:dyDescent="0.15">
      <c r="A3764" s="196" t="s">
        <v>11229</v>
      </c>
      <c r="B3764" s="196" t="s">
        <v>11230</v>
      </c>
      <c r="C3764" s="196" t="s">
        <v>20121</v>
      </c>
      <c r="D3764" s="196" t="s">
        <v>20120</v>
      </c>
      <c r="E3764" s="196" t="s">
        <v>20122</v>
      </c>
      <c r="F3764" s="196" t="s">
        <v>11268</v>
      </c>
      <c r="G3764" s="196" t="s">
        <v>12378</v>
      </c>
      <c r="H3764" s="196" t="s">
        <v>11235</v>
      </c>
    </row>
    <row r="3765" spans="1:8" x14ac:dyDescent="0.15">
      <c r="A3765" s="196" t="s">
        <v>11229</v>
      </c>
      <c r="B3765" s="196" t="s">
        <v>11230</v>
      </c>
      <c r="C3765" s="196" t="s">
        <v>20123</v>
      </c>
      <c r="D3765" s="196" t="s">
        <v>20124</v>
      </c>
      <c r="E3765" s="196" t="s">
        <v>20124</v>
      </c>
      <c r="F3765" s="196" t="s">
        <v>11233</v>
      </c>
      <c r="G3765" s="196" t="s">
        <v>12378</v>
      </c>
      <c r="H3765" s="196" t="s">
        <v>11235</v>
      </c>
    </row>
    <row r="3766" spans="1:8" x14ac:dyDescent="0.15">
      <c r="A3766" s="196" t="s">
        <v>11229</v>
      </c>
      <c r="B3766" s="196" t="s">
        <v>11230</v>
      </c>
      <c r="C3766" s="196" t="s">
        <v>20125</v>
      </c>
      <c r="D3766" s="196" t="s">
        <v>20126</v>
      </c>
      <c r="E3766" s="196" t="s">
        <v>20126</v>
      </c>
      <c r="F3766" s="196" t="s">
        <v>11233</v>
      </c>
      <c r="G3766" s="196" t="s">
        <v>12378</v>
      </c>
      <c r="H3766" s="196" t="s">
        <v>11235</v>
      </c>
    </row>
    <row r="3767" spans="1:8" x14ac:dyDescent="0.15">
      <c r="A3767" s="196" t="s">
        <v>11229</v>
      </c>
      <c r="B3767" s="196" t="s">
        <v>11230</v>
      </c>
      <c r="C3767" s="196" t="s">
        <v>20127</v>
      </c>
      <c r="D3767" s="196" t="s">
        <v>20128</v>
      </c>
      <c r="E3767" s="196" t="s">
        <v>20128</v>
      </c>
      <c r="F3767" s="196" t="s">
        <v>11233</v>
      </c>
      <c r="G3767" s="196" t="s">
        <v>12378</v>
      </c>
      <c r="H3767" s="196" t="s">
        <v>11235</v>
      </c>
    </row>
    <row r="3768" spans="1:8" x14ac:dyDescent="0.15">
      <c r="A3768" s="196" t="s">
        <v>11229</v>
      </c>
      <c r="B3768" s="196" t="s">
        <v>11230</v>
      </c>
      <c r="C3768" s="196" t="s">
        <v>20129</v>
      </c>
      <c r="D3768" s="196" t="s">
        <v>20130</v>
      </c>
      <c r="E3768" s="196" t="s">
        <v>20130</v>
      </c>
      <c r="F3768" s="196" t="s">
        <v>11233</v>
      </c>
      <c r="G3768" s="196" t="s">
        <v>12378</v>
      </c>
      <c r="H3768" s="196" t="s">
        <v>11235</v>
      </c>
    </row>
    <row r="3769" spans="1:8" x14ac:dyDescent="0.15">
      <c r="A3769" s="196" t="s">
        <v>11229</v>
      </c>
      <c r="B3769" s="196" t="s">
        <v>11230</v>
      </c>
      <c r="C3769" s="196" t="s">
        <v>20131</v>
      </c>
      <c r="D3769" s="196" t="s">
        <v>20132</v>
      </c>
      <c r="E3769" s="196" t="s">
        <v>20132</v>
      </c>
      <c r="F3769" s="196" t="s">
        <v>11233</v>
      </c>
      <c r="G3769" s="196" t="s">
        <v>12378</v>
      </c>
      <c r="H3769" s="196" t="s">
        <v>11235</v>
      </c>
    </row>
    <row r="3770" spans="1:8" x14ac:dyDescent="0.15">
      <c r="A3770" s="196" t="s">
        <v>11229</v>
      </c>
      <c r="B3770" s="196" t="s">
        <v>11230</v>
      </c>
      <c r="C3770" s="196" t="s">
        <v>20133</v>
      </c>
      <c r="D3770" s="196" t="s">
        <v>20134</v>
      </c>
      <c r="E3770" s="196" t="s">
        <v>20134</v>
      </c>
      <c r="F3770" s="196" t="s">
        <v>11233</v>
      </c>
      <c r="G3770" s="196" t="s">
        <v>12378</v>
      </c>
      <c r="H3770" s="196" t="s">
        <v>11235</v>
      </c>
    </row>
    <row r="3771" spans="1:8" x14ac:dyDescent="0.15">
      <c r="A3771" s="196" t="s">
        <v>11229</v>
      </c>
      <c r="B3771" s="196" t="s">
        <v>11230</v>
      </c>
      <c r="C3771" s="196" t="s">
        <v>20135</v>
      </c>
      <c r="D3771" s="196" t="s">
        <v>20136</v>
      </c>
      <c r="E3771" s="196" t="s">
        <v>20136</v>
      </c>
      <c r="F3771" s="196" t="s">
        <v>11233</v>
      </c>
      <c r="G3771" s="196" t="s">
        <v>12378</v>
      </c>
      <c r="H3771" s="196" t="s">
        <v>11235</v>
      </c>
    </row>
    <row r="3772" spans="1:8" x14ac:dyDescent="0.15">
      <c r="A3772" s="196" t="s">
        <v>11229</v>
      </c>
      <c r="B3772" s="196" t="s">
        <v>11230</v>
      </c>
      <c r="C3772" s="196" t="s">
        <v>20137</v>
      </c>
      <c r="D3772" s="196" t="s">
        <v>20138</v>
      </c>
      <c r="E3772" s="196" t="s">
        <v>20138</v>
      </c>
      <c r="F3772" s="196" t="s">
        <v>11233</v>
      </c>
      <c r="G3772" s="196" t="s">
        <v>12378</v>
      </c>
      <c r="H3772" s="196" t="s">
        <v>11235</v>
      </c>
    </row>
    <row r="3773" spans="1:8" x14ac:dyDescent="0.15">
      <c r="A3773" s="196" t="s">
        <v>11229</v>
      </c>
      <c r="B3773" s="196" t="s">
        <v>11230</v>
      </c>
      <c r="C3773" s="196" t="s">
        <v>20139</v>
      </c>
      <c r="D3773" s="196" t="s">
        <v>20140</v>
      </c>
      <c r="E3773" s="196" t="s">
        <v>20140</v>
      </c>
      <c r="F3773" s="196" t="s">
        <v>11233</v>
      </c>
      <c r="G3773" s="196" t="s">
        <v>12378</v>
      </c>
      <c r="H3773" s="196" t="s">
        <v>11235</v>
      </c>
    </row>
    <row r="3774" spans="1:8" x14ac:dyDescent="0.15">
      <c r="A3774" s="196" t="s">
        <v>11229</v>
      </c>
      <c r="B3774" s="196" t="s">
        <v>11230</v>
      </c>
      <c r="C3774" s="196" t="s">
        <v>20141</v>
      </c>
      <c r="D3774" s="196" t="s">
        <v>20142</v>
      </c>
      <c r="E3774" s="196" t="s">
        <v>20142</v>
      </c>
      <c r="F3774" s="196" t="s">
        <v>11233</v>
      </c>
      <c r="G3774" s="196" t="s">
        <v>12378</v>
      </c>
      <c r="H3774" s="196" t="s">
        <v>11235</v>
      </c>
    </row>
    <row r="3775" spans="1:8" x14ac:dyDescent="0.15">
      <c r="A3775" s="196" t="s">
        <v>11229</v>
      </c>
      <c r="B3775" s="196" t="s">
        <v>11230</v>
      </c>
      <c r="C3775" s="196" t="s">
        <v>20143</v>
      </c>
      <c r="D3775" s="196" t="s">
        <v>20144</v>
      </c>
      <c r="E3775" s="196" t="s">
        <v>20144</v>
      </c>
      <c r="F3775" s="196" t="s">
        <v>11233</v>
      </c>
      <c r="G3775" s="196" t="s">
        <v>12378</v>
      </c>
      <c r="H3775" s="196" t="s">
        <v>11235</v>
      </c>
    </row>
    <row r="3776" spans="1:8" x14ac:dyDescent="0.15">
      <c r="A3776" s="196" t="s">
        <v>11229</v>
      </c>
      <c r="B3776" s="196" t="s">
        <v>11230</v>
      </c>
      <c r="C3776" s="196" t="s">
        <v>20145</v>
      </c>
      <c r="D3776" s="196" t="s">
        <v>20146</v>
      </c>
      <c r="E3776" s="196" t="s">
        <v>20146</v>
      </c>
      <c r="F3776" s="196" t="s">
        <v>11233</v>
      </c>
      <c r="G3776" s="196" t="s">
        <v>12378</v>
      </c>
      <c r="H3776" s="196" t="s">
        <v>11235</v>
      </c>
    </row>
    <row r="3777" spans="1:8" x14ac:dyDescent="0.15">
      <c r="A3777" s="196" t="s">
        <v>11229</v>
      </c>
      <c r="B3777" s="196" t="s">
        <v>11230</v>
      </c>
      <c r="C3777" s="196" t="s">
        <v>20147</v>
      </c>
      <c r="D3777" s="196" t="s">
        <v>20148</v>
      </c>
      <c r="E3777" s="196" t="s">
        <v>20148</v>
      </c>
      <c r="F3777" s="196" t="s">
        <v>11233</v>
      </c>
      <c r="G3777" s="196" t="s">
        <v>12378</v>
      </c>
      <c r="H3777" s="196" t="s">
        <v>11235</v>
      </c>
    </row>
    <row r="3778" spans="1:8" x14ac:dyDescent="0.15">
      <c r="A3778" s="196" t="s">
        <v>11229</v>
      </c>
      <c r="B3778" s="196" t="s">
        <v>11230</v>
      </c>
      <c r="C3778" s="196" t="s">
        <v>20149</v>
      </c>
      <c r="D3778" s="196" t="s">
        <v>20150</v>
      </c>
      <c r="E3778" s="196" t="s">
        <v>20150</v>
      </c>
      <c r="F3778" s="196" t="s">
        <v>11233</v>
      </c>
      <c r="G3778" s="196" t="s">
        <v>12378</v>
      </c>
      <c r="H3778" s="196" t="s">
        <v>11235</v>
      </c>
    </row>
    <row r="3779" spans="1:8" x14ac:dyDescent="0.15">
      <c r="A3779" s="196" t="s">
        <v>11229</v>
      </c>
      <c r="B3779" s="196" t="s">
        <v>11230</v>
      </c>
      <c r="C3779" s="196" t="s">
        <v>20151</v>
      </c>
      <c r="D3779" s="196" t="s">
        <v>20152</v>
      </c>
      <c r="E3779" s="196" t="s">
        <v>20153</v>
      </c>
      <c r="F3779" s="196" t="s">
        <v>11241</v>
      </c>
      <c r="G3779" s="196" t="s">
        <v>12378</v>
      </c>
      <c r="H3779" s="196" t="s">
        <v>11235</v>
      </c>
    </row>
    <row r="3780" spans="1:8" x14ac:dyDescent="0.15">
      <c r="A3780" s="196" t="s">
        <v>11229</v>
      </c>
      <c r="B3780" s="196" t="s">
        <v>11230</v>
      </c>
      <c r="C3780" s="196" t="s">
        <v>20154</v>
      </c>
      <c r="D3780" s="196" t="s">
        <v>20155</v>
      </c>
      <c r="E3780" s="196" t="s">
        <v>20155</v>
      </c>
      <c r="F3780" s="196" t="s">
        <v>11233</v>
      </c>
      <c r="G3780" s="196" t="s">
        <v>12378</v>
      </c>
      <c r="H3780" s="196" t="s">
        <v>11235</v>
      </c>
    </row>
    <row r="3781" spans="1:8" x14ac:dyDescent="0.15">
      <c r="A3781" s="196" t="s">
        <v>11229</v>
      </c>
      <c r="B3781" s="196" t="s">
        <v>11230</v>
      </c>
      <c r="C3781" s="196" t="s">
        <v>20156</v>
      </c>
      <c r="D3781" s="196" t="s">
        <v>20157</v>
      </c>
      <c r="E3781" s="196" t="s">
        <v>20157</v>
      </c>
      <c r="F3781" s="196" t="s">
        <v>11233</v>
      </c>
      <c r="G3781" s="196" t="s">
        <v>12378</v>
      </c>
      <c r="H3781" s="196" t="s">
        <v>11235</v>
      </c>
    </row>
    <row r="3782" spans="1:8" x14ac:dyDescent="0.15">
      <c r="A3782" s="196" t="s">
        <v>11229</v>
      </c>
      <c r="B3782" s="196" t="s">
        <v>11230</v>
      </c>
      <c r="C3782" s="196" t="s">
        <v>20158</v>
      </c>
      <c r="D3782" s="196" t="s">
        <v>20159</v>
      </c>
      <c r="E3782" s="196" t="s">
        <v>20159</v>
      </c>
      <c r="F3782" s="196" t="s">
        <v>11233</v>
      </c>
      <c r="G3782" s="196" t="s">
        <v>12378</v>
      </c>
      <c r="H3782" s="196" t="s">
        <v>11235</v>
      </c>
    </row>
    <row r="3783" spans="1:8" x14ac:dyDescent="0.15">
      <c r="A3783" s="196" t="s">
        <v>11229</v>
      </c>
      <c r="B3783" s="196" t="s">
        <v>11230</v>
      </c>
      <c r="C3783" s="196" t="s">
        <v>20160</v>
      </c>
      <c r="D3783" s="196" t="s">
        <v>20161</v>
      </c>
      <c r="E3783" s="196" t="s">
        <v>20161</v>
      </c>
      <c r="F3783" s="196" t="s">
        <v>11233</v>
      </c>
      <c r="G3783" s="196" t="s">
        <v>12378</v>
      </c>
      <c r="H3783" s="196" t="s">
        <v>11235</v>
      </c>
    </row>
    <row r="3784" spans="1:8" x14ac:dyDescent="0.15">
      <c r="A3784" s="196" t="s">
        <v>11229</v>
      </c>
      <c r="B3784" s="196" t="s">
        <v>11230</v>
      </c>
      <c r="C3784" s="196" t="s">
        <v>20162</v>
      </c>
      <c r="D3784" s="196" t="s">
        <v>20163</v>
      </c>
      <c r="E3784" s="196" t="s">
        <v>20163</v>
      </c>
      <c r="F3784" s="196" t="s">
        <v>11233</v>
      </c>
      <c r="G3784" s="196" t="s">
        <v>12378</v>
      </c>
      <c r="H3784" s="196" t="s">
        <v>11235</v>
      </c>
    </row>
    <row r="3785" spans="1:8" x14ac:dyDescent="0.15">
      <c r="A3785" s="196" t="s">
        <v>11229</v>
      </c>
      <c r="B3785" s="196" t="s">
        <v>11230</v>
      </c>
      <c r="C3785" s="196" t="s">
        <v>20164</v>
      </c>
      <c r="D3785" s="196" t="s">
        <v>20165</v>
      </c>
      <c r="E3785" s="196" t="s">
        <v>20165</v>
      </c>
      <c r="F3785" s="196" t="s">
        <v>11233</v>
      </c>
      <c r="G3785" s="196" t="s">
        <v>12378</v>
      </c>
      <c r="H3785" s="196" t="s">
        <v>11235</v>
      </c>
    </row>
    <row r="3786" spans="1:8" x14ac:dyDescent="0.15">
      <c r="A3786" s="196" t="s">
        <v>11229</v>
      </c>
      <c r="B3786" s="196" t="s">
        <v>11230</v>
      </c>
      <c r="C3786" s="196" t="s">
        <v>20166</v>
      </c>
      <c r="D3786" s="196" t="s">
        <v>20167</v>
      </c>
      <c r="E3786" s="196" t="s">
        <v>20167</v>
      </c>
      <c r="F3786" s="196" t="s">
        <v>11233</v>
      </c>
      <c r="G3786" s="196" t="s">
        <v>12378</v>
      </c>
      <c r="H3786" s="196" t="s">
        <v>11235</v>
      </c>
    </row>
    <row r="3787" spans="1:8" x14ac:dyDescent="0.15">
      <c r="A3787" s="196" t="s">
        <v>11229</v>
      </c>
      <c r="B3787" s="196" t="s">
        <v>11230</v>
      </c>
      <c r="C3787" s="196" t="s">
        <v>20168</v>
      </c>
      <c r="D3787" s="196" t="s">
        <v>20169</v>
      </c>
      <c r="E3787" s="196" t="s">
        <v>20169</v>
      </c>
      <c r="F3787" s="196" t="s">
        <v>11233</v>
      </c>
      <c r="G3787" s="196" t="s">
        <v>12378</v>
      </c>
      <c r="H3787" s="196" t="s">
        <v>11235</v>
      </c>
    </row>
    <row r="3788" spans="1:8" x14ac:dyDescent="0.15">
      <c r="A3788" s="196" t="s">
        <v>11229</v>
      </c>
      <c r="B3788" s="196" t="s">
        <v>11230</v>
      </c>
      <c r="C3788" s="196" t="s">
        <v>20170</v>
      </c>
      <c r="D3788" s="196" t="s">
        <v>20171</v>
      </c>
      <c r="E3788" s="196" t="s">
        <v>20172</v>
      </c>
      <c r="F3788" s="196" t="s">
        <v>11268</v>
      </c>
      <c r="G3788" s="196" t="s">
        <v>12378</v>
      </c>
      <c r="H3788" s="196" t="s">
        <v>11235</v>
      </c>
    </row>
    <row r="3789" spans="1:8" x14ac:dyDescent="0.15">
      <c r="A3789" s="196" t="s">
        <v>11229</v>
      </c>
      <c r="B3789" s="196" t="s">
        <v>11230</v>
      </c>
      <c r="C3789" s="196" t="s">
        <v>20173</v>
      </c>
      <c r="D3789" s="196" t="s">
        <v>20174</v>
      </c>
      <c r="E3789" s="196" t="s">
        <v>20174</v>
      </c>
      <c r="F3789" s="196" t="s">
        <v>11233</v>
      </c>
      <c r="G3789" s="196" t="s">
        <v>12378</v>
      </c>
      <c r="H3789" s="196" t="s">
        <v>11235</v>
      </c>
    </row>
    <row r="3790" spans="1:8" x14ac:dyDescent="0.15">
      <c r="A3790" s="196" t="s">
        <v>11229</v>
      </c>
      <c r="B3790" s="196" t="s">
        <v>11230</v>
      </c>
      <c r="C3790" s="196" t="s">
        <v>20175</v>
      </c>
      <c r="D3790" s="196" t="s">
        <v>20176</v>
      </c>
      <c r="E3790" s="196" t="s">
        <v>20176</v>
      </c>
      <c r="F3790" s="196" t="s">
        <v>11233</v>
      </c>
      <c r="G3790" s="196" t="s">
        <v>12378</v>
      </c>
      <c r="H3790" s="196" t="s">
        <v>11235</v>
      </c>
    </row>
    <row r="3791" spans="1:8" x14ac:dyDescent="0.15">
      <c r="A3791" s="196" t="s">
        <v>11229</v>
      </c>
      <c r="B3791" s="196" t="s">
        <v>11230</v>
      </c>
      <c r="C3791" s="196" t="s">
        <v>20177</v>
      </c>
      <c r="D3791" s="196" t="s">
        <v>20178</v>
      </c>
      <c r="E3791" s="196" t="s">
        <v>20178</v>
      </c>
      <c r="F3791" s="196" t="s">
        <v>11233</v>
      </c>
      <c r="G3791" s="196" t="s">
        <v>12378</v>
      </c>
      <c r="H3791" s="196" t="s">
        <v>11235</v>
      </c>
    </row>
    <row r="3792" spans="1:8" x14ac:dyDescent="0.15">
      <c r="A3792" s="196" t="s">
        <v>11229</v>
      </c>
      <c r="B3792" s="196" t="s">
        <v>11230</v>
      </c>
      <c r="C3792" s="196" t="s">
        <v>20179</v>
      </c>
      <c r="D3792" s="196" t="s">
        <v>20180</v>
      </c>
      <c r="E3792" s="196" t="s">
        <v>20180</v>
      </c>
      <c r="F3792" s="196" t="s">
        <v>11233</v>
      </c>
      <c r="G3792" s="196" t="s">
        <v>12378</v>
      </c>
      <c r="H3792" s="196" t="s">
        <v>11235</v>
      </c>
    </row>
    <row r="3793" spans="1:8" x14ac:dyDescent="0.15">
      <c r="A3793" s="196" t="s">
        <v>11229</v>
      </c>
      <c r="B3793" s="196" t="s">
        <v>11230</v>
      </c>
      <c r="C3793" s="196" t="s">
        <v>20181</v>
      </c>
      <c r="D3793" s="196" t="s">
        <v>20182</v>
      </c>
      <c r="E3793" s="196" t="s">
        <v>20182</v>
      </c>
      <c r="F3793" s="196" t="s">
        <v>11233</v>
      </c>
      <c r="G3793" s="196" t="s">
        <v>12378</v>
      </c>
      <c r="H3793" s="196" t="s">
        <v>11235</v>
      </c>
    </row>
    <row r="3794" spans="1:8" x14ac:dyDescent="0.15">
      <c r="A3794" s="196" t="s">
        <v>11229</v>
      </c>
      <c r="B3794" s="196" t="s">
        <v>11230</v>
      </c>
      <c r="C3794" s="196" t="s">
        <v>20183</v>
      </c>
      <c r="D3794" s="196" t="s">
        <v>20184</v>
      </c>
      <c r="E3794" s="196" t="s">
        <v>20184</v>
      </c>
      <c r="F3794" s="196" t="s">
        <v>11233</v>
      </c>
      <c r="G3794" s="196" t="s">
        <v>12378</v>
      </c>
      <c r="H3794" s="196" t="s">
        <v>11235</v>
      </c>
    </row>
    <row r="3795" spans="1:8" x14ac:dyDescent="0.15">
      <c r="A3795" s="196" t="s">
        <v>11229</v>
      </c>
      <c r="B3795" s="196" t="s">
        <v>11230</v>
      </c>
      <c r="C3795" s="196" t="s">
        <v>20185</v>
      </c>
      <c r="D3795" s="196" t="s">
        <v>20186</v>
      </c>
      <c r="E3795" s="196" t="s">
        <v>20186</v>
      </c>
      <c r="F3795" s="196" t="s">
        <v>11233</v>
      </c>
      <c r="G3795" s="196" t="s">
        <v>12378</v>
      </c>
      <c r="H3795" s="196" t="s">
        <v>11235</v>
      </c>
    </row>
    <row r="3796" spans="1:8" x14ac:dyDescent="0.15">
      <c r="A3796" s="196" t="s">
        <v>11229</v>
      </c>
      <c r="B3796" s="196" t="s">
        <v>11230</v>
      </c>
      <c r="C3796" s="196" t="s">
        <v>20187</v>
      </c>
      <c r="D3796" s="196" t="s">
        <v>20188</v>
      </c>
      <c r="E3796" s="196" t="s">
        <v>20188</v>
      </c>
      <c r="F3796" s="196" t="s">
        <v>11233</v>
      </c>
      <c r="G3796" s="196" t="s">
        <v>12378</v>
      </c>
      <c r="H3796" s="196" t="s">
        <v>11235</v>
      </c>
    </row>
    <row r="3797" spans="1:8" x14ac:dyDescent="0.15">
      <c r="A3797" s="196" t="s">
        <v>11229</v>
      </c>
      <c r="B3797" s="196" t="s">
        <v>11230</v>
      </c>
      <c r="C3797" s="196" t="s">
        <v>20189</v>
      </c>
      <c r="D3797" s="196" t="s">
        <v>20190</v>
      </c>
      <c r="E3797" s="196" t="s">
        <v>20190</v>
      </c>
      <c r="F3797" s="196" t="s">
        <v>11233</v>
      </c>
      <c r="G3797" s="196" t="s">
        <v>12378</v>
      </c>
      <c r="H3797" s="196" t="s">
        <v>11235</v>
      </c>
    </row>
    <row r="3798" spans="1:8" x14ac:dyDescent="0.15">
      <c r="A3798" s="196" t="s">
        <v>11229</v>
      </c>
      <c r="B3798" s="196" t="s">
        <v>11230</v>
      </c>
      <c r="C3798" s="196" t="s">
        <v>20191</v>
      </c>
      <c r="D3798" s="196" t="s">
        <v>20192</v>
      </c>
      <c r="E3798" s="196" t="s">
        <v>20193</v>
      </c>
      <c r="F3798" s="196" t="s">
        <v>11241</v>
      </c>
      <c r="G3798" s="196" t="s">
        <v>12378</v>
      </c>
      <c r="H3798" s="196" t="s">
        <v>11235</v>
      </c>
    </row>
    <row r="3799" spans="1:8" x14ac:dyDescent="0.15">
      <c r="A3799" s="196" t="s">
        <v>11229</v>
      </c>
      <c r="B3799" s="196" t="s">
        <v>11230</v>
      </c>
      <c r="C3799" s="196" t="s">
        <v>20194</v>
      </c>
      <c r="D3799" s="196" t="s">
        <v>20195</v>
      </c>
      <c r="E3799" s="196" t="s">
        <v>20195</v>
      </c>
      <c r="F3799" s="196" t="s">
        <v>11233</v>
      </c>
      <c r="G3799" s="196" t="s">
        <v>12378</v>
      </c>
      <c r="H3799" s="196" t="s">
        <v>11235</v>
      </c>
    </row>
    <row r="3800" spans="1:8" x14ac:dyDescent="0.15">
      <c r="A3800" s="196" t="s">
        <v>11229</v>
      </c>
      <c r="B3800" s="196" t="s">
        <v>11230</v>
      </c>
      <c r="C3800" s="196" t="s">
        <v>20196</v>
      </c>
      <c r="D3800" s="196" t="s">
        <v>20197</v>
      </c>
      <c r="E3800" s="196" t="s">
        <v>20197</v>
      </c>
      <c r="F3800" s="196" t="s">
        <v>11233</v>
      </c>
      <c r="G3800" s="196" t="s">
        <v>12378</v>
      </c>
      <c r="H3800" s="196" t="s">
        <v>11235</v>
      </c>
    </row>
    <row r="3801" spans="1:8" x14ac:dyDescent="0.15">
      <c r="A3801" s="196" t="s">
        <v>11229</v>
      </c>
      <c r="B3801" s="196" t="s">
        <v>11230</v>
      </c>
      <c r="C3801" s="196" t="s">
        <v>20198</v>
      </c>
      <c r="D3801" s="196" t="s">
        <v>20199</v>
      </c>
      <c r="E3801" s="196" t="s">
        <v>20200</v>
      </c>
      <c r="F3801" s="196" t="s">
        <v>11241</v>
      </c>
      <c r="G3801" s="196" t="s">
        <v>12378</v>
      </c>
      <c r="H3801" s="196" t="s">
        <v>11235</v>
      </c>
    </row>
    <row r="3802" spans="1:8" x14ac:dyDescent="0.15">
      <c r="A3802" s="196" t="s">
        <v>11229</v>
      </c>
      <c r="B3802" s="196" t="s">
        <v>11230</v>
      </c>
      <c r="C3802" s="196" t="s">
        <v>20201</v>
      </c>
      <c r="D3802" s="196" t="s">
        <v>20202</v>
      </c>
      <c r="E3802" s="196" t="s">
        <v>20202</v>
      </c>
      <c r="F3802" s="196" t="s">
        <v>11233</v>
      </c>
      <c r="G3802" s="196" t="s">
        <v>12378</v>
      </c>
      <c r="H3802" s="196" t="s">
        <v>11235</v>
      </c>
    </row>
    <row r="3803" spans="1:8" x14ac:dyDescent="0.15">
      <c r="A3803" s="196" t="s">
        <v>11229</v>
      </c>
      <c r="B3803" s="196" t="s">
        <v>11230</v>
      </c>
      <c r="C3803" s="196" t="s">
        <v>20203</v>
      </c>
      <c r="D3803" s="196" t="s">
        <v>20204</v>
      </c>
      <c r="E3803" s="196" t="s">
        <v>20204</v>
      </c>
      <c r="F3803" s="196" t="s">
        <v>11233</v>
      </c>
      <c r="G3803" s="196" t="s">
        <v>12378</v>
      </c>
      <c r="H3803" s="196" t="s">
        <v>11235</v>
      </c>
    </row>
    <row r="3804" spans="1:8" x14ac:dyDescent="0.15">
      <c r="A3804" s="196" t="s">
        <v>11229</v>
      </c>
      <c r="B3804" s="196" t="s">
        <v>11230</v>
      </c>
      <c r="C3804" s="196" t="s">
        <v>20205</v>
      </c>
      <c r="D3804" s="196" t="s">
        <v>20206</v>
      </c>
      <c r="E3804" s="196" t="s">
        <v>20206</v>
      </c>
      <c r="F3804" s="196" t="s">
        <v>11233</v>
      </c>
      <c r="G3804" s="196" t="s">
        <v>12378</v>
      </c>
      <c r="H3804" s="196" t="s">
        <v>11235</v>
      </c>
    </row>
    <row r="3805" spans="1:8" x14ac:dyDescent="0.15">
      <c r="A3805" s="196" t="s">
        <v>11229</v>
      </c>
      <c r="B3805" s="196" t="s">
        <v>11230</v>
      </c>
      <c r="C3805" s="196" t="s">
        <v>20207</v>
      </c>
      <c r="D3805" s="196" t="s">
        <v>20208</v>
      </c>
      <c r="E3805" s="196" t="s">
        <v>20208</v>
      </c>
      <c r="F3805" s="196" t="s">
        <v>11233</v>
      </c>
      <c r="G3805" s="196" t="s">
        <v>12378</v>
      </c>
      <c r="H3805" s="196" t="s">
        <v>11235</v>
      </c>
    </row>
    <row r="3806" spans="1:8" x14ac:dyDescent="0.15">
      <c r="A3806" s="196" t="s">
        <v>11229</v>
      </c>
      <c r="B3806" s="196" t="s">
        <v>11230</v>
      </c>
      <c r="C3806" s="196" t="s">
        <v>20209</v>
      </c>
      <c r="D3806" s="196" t="s">
        <v>20210</v>
      </c>
      <c r="E3806" s="196" t="s">
        <v>20211</v>
      </c>
      <c r="F3806" s="196" t="s">
        <v>20212</v>
      </c>
      <c r="G3806" s="196" t="s">
        <v>11720</v>
      </c>
      <c r="H3806" s="196" t="s">
        <v>12712</v>
      </c>
    </row>
    <row r="3807" spans="1:8" x14ac:dyDescent="0.15">
      <c r="A3807" s="196" t="s">
        <v>11229</v>
      </c>
      <c r="B3807" s="196" t="s">
        <v>11230</v>
      </c>
      <c r="C3807" s="196" t="s">
        <v>20213</v>
      </c>
      <c r="D3807" s="196" t="s">
        <v>20210</v>
      </c>
      <c r="E3807" s="196" t="s">
        <v>20211</v>
      </c>
      <c r="F3807" s="196" t="s">
        <v>20212</v>
      </c>
      <c r="G3807" s="196" t="s">
        <v>11720</v>
      </c>
      <c r="H3807" s="196" t="s">
        <v>12712</v>
      </c>
    </row>
    <row r="3808" spans="1:8" x14ac:dyDescent="0.15">
      <c r="A3808" s="196" t="s">
        <v>11229</v>
      </c>
      <c r="B3808" s="196" t="s">
        <v>11230</v>
      </c>
      <c r="C3808" s="196" t="s">
        <v>20214</v>
      </c>
      <c r="D3808" s="196" t="s">
        <v>20215</v>
      </c>
      <c r="E3808" s="196" t="s">
        <v>20215</v>
      </c>
      <c r="F3808" s="196" t="s">
        <v>11233</v>
      </c>
      <c r="G3808" s="196" t="s">
        <v>12378</v>
      </c>
      <c r="H3808" s="196" t="s">
        <v>11235</v>
      </c>
    </row>
    <row r="3809" spans="1:8" x14ac:dyDescent="0.15">
      <c r="A3809" s="196" t="s">
        <v>11229</v>
      </c>
      <c r="B3809" s="196" t="s">
        <v>11230</v>
      </c>
      <c r="C3809" s="196" t="s">
        <v>20216</v>
      </c>
      <c r="D3809" s="196" t="s">
        <v>20217</v>
      </c>
      <c r="E3809" s="196" t="s">
        <v>20217</v>
      </c>
      <c r="F3809" s="196" t="s">
        <v>11233</v>
      </c>
      <c r="G3809" s="196" t="s">
        <v>12378</v>
      </c>
      <c r="H3809" s="196" t="s">
        <v>11235</v>
      </c>
    </row>
    <row r="3810" spans="1:8" x14ac:dyDescent="0.15">
      <c r="A3810" s="196" t="s">
        <v>11229</v>
      </c>
      <c r="B3810" s="196" t="s">
        <v>11230</v>
      </c>
      <c r="C3810" s="196" t="s">
        <v>20218</v>
      </c>
      <c r="D3810" s="196" t="s">
        <v>20219</v>
      </c>
      <c r="E3810" s="196" t="s">
        <v>20219</v>
      </c>
      <c r="F3810" s="196" t="s">
        <v>11233</v>
      </c>
      <c r="G3810" s="196" t="s">
        <v>12378</v>
      </c>
      <c r="H3810" s="196" t="s">
        <v>11235</v>
      </c>
    </row>
    <row r="3811" spans="1:8" x14ac:dyDescent="0.15">
      <c r="A3811" s="196" t="s">
        <v>11229</v>
      </c>
      <c r="B3811" s="196" t="s">
        <v>11230</v>
      </c>
      <c r="C3811" s="196" t="s">
        <v>20220</v>
      </c>
      <c r="D3811" s="196" t="s">
        <v>20221</v>
      </c>
      <c r="E3811" s="196" t="s">
        <v>20221</v>
      </c>
      <c r="F3811" s="196" t="s">
        <v>11233</v>
      </c>
      <c r="G3811" s="196" t="s">
        <v>12378</v>
      </c>
      <c r="H3811" s="196" t="s">
        <v>11235</v>
      </c>
    </row>
    <row r="3812" spans="1:8" x14ac:dyDescent="0.15">
      <c r="A3812" s="196" t="s">
        <v>11229</v>
      </c>
      <c r="B3812" s="196" t="s">
        <v>11230</v>
      </c>
      <c r="C3812" s="196" t="s">
        <v>20222</v>
      </c>
      <c r="D3812" s="196" t="s">
        <v>20223</v>
      </c>
      <c r="E3812" s="196" t="s">
        <v>20223</v>
      </c>
      <c r="F3812" s="196" t="s">
        <v>11233</v>
      </c>
      <c r="G3812" s="196" t="s">
        <v>12378</v>
      </c>
      <c r="H3812" s="196" t="s">
        <v>11235</v>
      </c>
    </row>
    <row r="3813" spans="1:8" x14ac:dyDescent="0.15">
      <c r="A3813" s="196" t="s">
        <v>11229</v>
      </c>
      <c r="B3813" s="196" t="s">
        <v>11230</v>
      </c>
      <c r="C3813" s="196" t="s">
        <v>20224</v>
      </c>
      <c r="D3813" s="196" t="s">
        <v>20225</v>
      </c>
      <c r="E3813" s="196" t="s">
        <v>20225</v>
      </c>
      <c r="F3813" s="196" t="s">
        <v>11233</v>
      </c>
      <c r="G3813" s="196" t="s">
        <v>12378</v>
      </c>
      <c r="H3813" s="196" t="s">
        <v>11235</v>
      </c>
    </row>
    <row r="3814" spans="1:8" x14ac:dyDescent="0.15">
      <c r="A3814" s="196" t="s">
        <v>11229</v>
      </c>
      <c r="B3814" s="196" t="s">
        <v>11230</v>
      </c>
      <c r="C3814" s="196" t="s">
        <v>20226</v>
      </c>
      <c r="D3814" s="196" t="s">
        <v>20227</v>
      </c>
      <c r="E3814" s="196" t="s">
        <v>20228</v>
      </c>
      <c r="F3814" s="196" t="s">
        <v>11268</v>
      </c>
      <c r="G3814" s="196" t="s">
        <v>12378</v>
      </c>
      <c r="H3814" s="196" t="s">
        <v>11235</v>
      </c>
    </row>
    <row r="3815" spans="1:8" x14ac:dyDescent="0.15">
      <c r="A3815" s="196" t="s">
        <v>11229</v>
      </c>
      <c r="B3815" s="196" t="s">
        <v>11230</v>
      </c>
      <c r="C3815" s="196" t="s">
        <v>20229</v>
      </c>
      <c r="D3815" s="196" t="s">
        <v>20230</v>
      </c>
      <c r="E3815" s="196" t="s">
        <v>20230</v>
      </c>
      <c r="F3815" s="196" t="s">
        <v>11233</v>
      </c>
      <c r="G3815" s="196" t="s">
        <v>12378</v>
      </c>
      <c r="H3815" s="196" t="s">
        <v>11235</v>
      </c>
    </row>
    <row r="3816" spans="1:8" x14ac:dyDescent="0.15">
      <c r="A3816" s="196" t="s">
        <v>11229</v>
      </c>
      <c r="B3816" s="196" t="s">
        <v>11230</v>
      </c>
      <c r="C3816" s="196" t="s">
        <v>20231</v>
      </c>
      <c r="D3816" s="196" t="s">
        <v>20232</v>
      </c>
      <c r="E3816" s="196" t="s">
        <v>20232</v>
      </c>
      <c r="F3816" s="196" t="s">
        <v>11233</v>
      </c>
      <c r="G3816" s="196" t="s">
        <v>12378</v>
      </c>
      <c r="H3816" s="196" t="s">
        <v>11235</v>
      </c>
    </row>
    <row r="3817" spans="1:8" x14ac:dyDescent="0.15">
      <c r="A3817" s="196" t="s">
        <v>11229</v>
      </c>
      <c r="B3817" s="196" t="s">
        <v>11230</v>
      </c>
      <c r="C3817" s="196" t="s">
        <v>20233</v>
      </c>
      <c r="D3817" s="196" t="s">
        <v>20234</v>
      </c>
      <c r="E3817" s="196" t="s">
        <v>20234</v>
      </c>
      <c r="F3817" s="196" t="s">
        <v>11233</v>
      </c>
      <c r="G3817" s="196" t="s">
        <v>12378</v>
      </c>
      <c r="H3817" s="196" t="s">
        <v>11235</v>
      </c>
    </row>
    <row r="3818" spans="1:8" x14ac:dyDescent="0.15">
      <c r="A3818" s="196" t="s">
        <v>11229</v>
      </c>
      <c r="B3818" s="196" t="s">
        <v>11230</v>
      </c>
      <c r="C3818" s="196" t="s">
        <v>20235</v>
      </c>
      <c r="D3818" s="196" t="s">
        <v>20236</v>
      </c>
      <c r="E3818" s="196" t="s">
        <v>20236</v>
      </c>
      <c r="F3818" s="196" t="s">
        <v>11233</v>
      </c>
      <c r="G3818" s="196" t="s">
        <v>12378</v>
      </c>
      <c r="H3818" s="196" t="s">
        <v>11235</v>
      </c>
    </row>
    <row r="3819" spans="1:8" x14ac:dyDescent="0.15">
      <c r="A3819" s="196" t="s">
        <v>11229</v>
      </c>
      <c r="B3819" s="196" t="s">
        <v>11230</v>
      </c>
      <c r="C3819" s="196" t="s">
        <v>20237</v>
      </c>
      <c r="D3819" s="196" t="s">
        <v>20238</v>
      </c>
      <c r="E3819" s="196" t="s">
        <v>20238</v>
      </c>
      <c r="F3819" s="196" t="s">
        <v>11233</v>
      </c>
      <c r="G3819" s="196" t="s">
        <v>12378</v>
      </c>
      <c r="H3819" s="196" t="s">
        <v>11235</v>
      </c>
    </row>
    <row r="3820" spans="1:8" x14ac:dyDescent="0.15">
      <c r="A3820" s="196" t="s">
        <v>11229</v>
      </c>
      <c r="B3820" s="196" t="s">
        <v>11230</v>
      </c>
      <c r="C3820" s="196" t="s">
        <v>20239</v>
      </c>
      <c r="D3820" s="196" t="s">
        <v>20240</v>
      </c>
      <c r="E3820" s="196" t="s">
        <v>20240</v>
      </c>
      <c r="F3820" s="196" t="s">
        <v>11233</v>
      </c>
      <c r="G3820" s="196" t="s">
        <v>12378</v>
      </c>
      <c r="H3820" s="196" t="s">
        <v>11235</v>
      </c>
    </row>
    <row r="3821" spans="1:8" x14ac:dyDescent="0.15">
      <c r="A3821" s="196" t="s">
        <v>11229</v>
      </c>
      <c r="B3821" s="196" t="s">
        <v>11230</v>
      </c>
      <c r="C3821" s="196" t="s">
        <v>20241</v>
      </c>
      <c r="D3821" s="196" t="s">
        <v>20242</v>
      </c>
      <c r="E3821" s="196" t="s">
        <v>20242</v>
      </c>
      <c r="F3821" s="196" t="s">
        <v>11233</v>
      </c>
      <c r="G3821" s="196" t="s">
        <v>12378</v>
      </c>
      <c r="H3821" s="196" t="s">
        <v>11235</v>
      </c>
    </row>
    <row r="3822" spans="1:8" x14ac:dyDescent="0.15">
      <c r="A3822" s="196" t="s">
        <v>11229</v>
      </c>
      <c r="B3822" s="196" t="s">
        <v>11230</v>
      </c>
      <c r="C3822" s="196" t="s">
        <v>20243</v>
      </c>
      <c r="D3822" s="196" t="s">
        <v>20244</v>
      </c>
      <c r="E3822" s="196" t="s">
        <v>20244</v>
      </c>
      <c r="F3822" s="196" t="s">
        <v>11233</v>
      </c>
      <c r="G3822" s="196" t="s">
        <v>12378</v>
      </c>
      <c r="H3822" s="196" t="s">
        <v>11235</v>
      </c>
    </row>
    <row r="3823" spans="1:8" x14ac:dyDescent="0.15">
      <c r="A3823" s="196" t="s">
        <v>11229</v>
      </c>
      <c r="B3823" s="196" t="s">
        <v>11230</v>
      </c>
      <c r="C3823" s="196" t="s">
        <v>20245</v>
      </c>
      <c r="D3823" s="196" t="s">
        <v>20246</v>
      </c>
      <c r="E3823" s="196" t="s">
        <v>20246</v>
      </c>
      <c r="F3823" s="196" t="s">
        <v>11233</v>
      </c>
      <c r="G3823" s="196" t="s">
        <v>12378</v>
      </c>
      <c r="H3823" s="196" t="s">
        <v>11235</v>
      </c>
    </row>
    <row r="3824" spans="1:8" x14ac:dyDescent="0.15">
      <c r="A3824" s="196" t="s">
        <v>11229</v>
      </c>
      <c r="B3824" s="196" t="s">
        <v>11230</v>
      </c>
      <c r="C3824" s="196" t="s">
        <v>20247</v>
      </c>
      <c r="D3824" s="196" t="s">
        <v>20248</v>
      </c>
      <c r="E3824" s="196" t="s">
        <v>20248</v>
      </c>
      <c r="F3824" s="196" t="s">
        <v>11233</v>
      </c>
      <c r="G3824" s="196" t="s">
        <v>12378</v>
      </c>
      <c r="H3824" s="196" t="s">
        <v>11235</v>
      </c>
    </row>
    <row r="3825" spans="1:8" x14ac:dyDescent="0.15">
      <c r="A3825" s="196" t="s">
        <v>11229</v>
      </c>
      <c r="B3825" s="196" t="s">
        <v>11230</v>
      </c>
      <c r="C3825" s="196" t="s">
        <v>20249</v>
      </c>
      <c r="D3825" s="196" t="s">
        <v>20250</v>
      </c>
      <c r="E3825" s="196" t="s">
        <v>20250</v>
      </c>
      <c r="F3825" s="196" t="s">
        <v>11233</v>
      </c>
      <c r="G3825" s="196" t="s">
        <v>12378</v>
      </c>
      <c r="H3825" s="196" t="s">
        <v>11235</v>
      </c>
    </row>
    <row r="3826" spans="1:8" x14ac:dyDescent="0.15">
      <c r="A3826" s="196" t="s">
        <v>11229</v>
      </c>
      <c r="B3826" s="196" t="s">
        <v>11230</v>
      </c>
      <c r="C3826" s="196" t="s">
        <v>20251</v>
      </c>
      <c r="D3826" s="196" t="s">
        <v>20252</v>
      </c>
      <c r="E3826" s="196" t="s">
        <v>20252</v>
      </c>
      <c r="F3826" s="196" t="s">
        <v>11233</v>
      </c>
      <c r="G3826" s="196" t="s">
        <v>12378</v>
      </c>
      <c r="H3826" s="196" t="s">
        <v>11235</v>
      </c>
    </row>
    <row r="3827" spans="1:8" x14ac:dyDescent="0.15">
      <c r="A3827" s="196" t="s">
        <v>11229</v>
      </c>
      <c r="B3827" s="196" t="s">
        <v>11230</v>
      </c>
      <c r="C3827" s="196" t="s">
        <v>20253</v>
      </c>
      <c r="D3827" s="196" t="s">
        <v>20254</v>
      </c>
      <c r="E3827" s="196" t="s">
        <v>20254</v>
      </c>
      <c r="F3827" s="196" t="s">
        <v>11233</v>
      </c>
      <c r="G3827" s="196" t="s">
        <v>12378</v>
      </c>
      <c r="H3827" s="196" t="s">
        <v>11235</v>
      </c>
    </row>
    <row r="3828" spans="1:8" x14ac:dyDescent="0.15">
      <c r="A3828" s="196" t="s">
        <v>11229</v>
      </c>
      <c r="B3828" s="196" t="s">
        <v>11230</v>
      </c>
      <c r="C3828" s="196" t="s">
        <v>20255</v>
      </c>
      <c r="D3828" s="196" t="s">
        <v>20256</v>
      </c>
      <c r="E3828" s="196" t="s">
        <v>20256</v>
      </c>
      <c r="F3828" s="196" t="s">
        <v>11233</v>
      </c>
      <c r="G3828" s="196" t="s">
        <v>12378</v>
      </c>
      <c r="H3828" s="196" t="s">
        <v>11235</v>
      </c>
    </row>
    <row r="3829" spans="1:8" x14ac:dyDescent="0.15">
      <c r="A3829" s="196" t="s">
        <v>11229</v>
      </c>
      <c r="B3829" s="196" t="s">
        <v>11230</v>
      </c>
      <c r="C3829" s="196" t="s">
        <v>20257</v>
      </c>
      <c r="D3829" s="196" t="s">
        <v>20258</v>
      </c>
      <c r="E3829" s="196" t="s">
        <v>20258</v>
      </c>
      <c r="F3829" s="196" t="s">
        <v>11233</v>
      </c>
      <c r="G3829" s="196" t="s">
        <v>12378</v>
      </c>
      <c r="H3829" s="196" t="s">
        <v>11235</v>
      </c>
    </row>
    <row r="3830" spans="1:8" x14ac:dyDescent="0.15">
      <c r="A3830" s="196" t="s">
        <v>11229</v>
      </c>
      <c r="B3830" s="196" t="s">
        <v>11230</v>
      </c>
      <c r="C3830" s="196" t="s">
        <v>20259</v>
      </c>
      <c r="D3830" s="196" t="s">
        <v>20260</v>
      </c>
      <c r="E3830" s="196" t="s">
        <v>20260</v>
      </c>
      <c r="F3830" s="196" t="s">
        <v>11233</v>
      </c>
      <c r="G3830" s="196" t="s">
        <v>12378</v>
      </c>
      <c r="H3830" s="196" t="s">
        <v>11235</v>
      </c>
    </row>
    <row r="3831" spans="1:8" x14ac:dyDescent="0.15">
      <c r="A3831" s="196" t="s">
        <v>11229</v>
      </c>
      <c r="B3831" s="196" t="s">
        <v>11230</v>
      </c>
      <c r="C3831" s="196" t="s">
        <v>20261</v>
      </c>
      <c r="D3831" s="196" t="s">
        <v>20262</v>
      </c>
      <c r="E3831" s="196" t="s">
        <v>20262</v>
      </c>
      <c r="F3831" s="196" t="s">
        <v>11233</v>
      </c>
      <c r="G3831" s="196" t="s">
        <v>12378</v>
      </c>
      <c r="H3831" s="196" t="s">
        <v>11235</v>
      </c>
    </row>
    <row r="3832" spans="1:8" x14ac:dyDescent="0.15">
      <c r="A3832" s="196" t="s">
        <v>11229</v>
      </c>
      <c r="B3832" s="196" t="s">
        <v>11230</v>
      </c>
      <c r="C3832" s="196" t="s">
        <v>20263</v>
      </c>
      <c r="D3832" s="196" t="s">
        <v>20264</v>
      </c>
      <c r="E3832" s="196" t="s">
        <v>20264</v>
      </c>
      <c r="F3832" s="196" t="s">
        <v>11233</v>
      </c>
      <c r="G3832" s="196" t="s">
        <v>12378</v>
      </c>
      <c r="H3832" s="196" t="s">
        <v>11235</v>
      </c>
    </row>
    <row r="3833" spans="1:8" x14ac:dyDescent="0.15">
      <c r="A3833" s="196" t="s">
        <v>11229</v>
      </c>
      <c r="B3833" s="196" t="s">
        <v>11230</v>
      </c>
      <c r="C3833" s="196" t="s">
        <v>20265</v>
      </c>
      <c r="D3833" s="196" t="s">
        <v>20266</v>
      </c>
      <c r="E3833" s="196" t="s">
        <v>20266</v>
      </c>
      <c r="F3833" s="196" t="s">
        <v>11233</v>
      </c>
      <c r="G3833" s="196" t="s">
        <v>12378</v>
      </c>
      <c r="H3833" s="196" t="s">
        <v>11235</v>
      </c>
    </row>
    <row r="3834" spans="1:8" x14ac:dyDescent="0.15">
      <c r="A3834" s="196" t="s">
        <v>11229</v>
      </c>
      <c r="B3834" s="196" t="s">
        <v>11230</v>
      </c>
      <c r="C3834" s="196" t="s">
        <v>20267</v>
      </c>
      <c r="D3834" s="196" t="s">
        <v>20268</v>
      </c>
      <c r="E3834" s="196" t="s">
        <v>20268</v>
      </c>
      <c r="F3834" s="196" t="s">
        <v>11233</v>
      </c>
      <c r="G3834" s="196" t="s">
        <v>12378</v>
      </c>
      <c r="H3834" s="196" t="s">
        <v>11235</v>
      </c>
    </row>
    <row r="3835" spans="1:8" x14ac:dyDescent="0.15">
      <c r="A3835" s="196" t="s">
        <v>11229</v>
      </c>
      <c r="B3835" s="196" t="s">
        <v>11230</v>
      </c>
      <c r="C3835" s="196" t="s">
        <v>20269</v>
      </c>
      <c r="D3835" s="196" t="s">
        <v>20270</v>
      </c>
      <c r="E3835" s="196" t="s">
        <v>20270</v>
      </c>
      <c r="F3835" s="196" t="s">
        <v>11233</v>
      </c>
      <c r="G3835" s="196" t="s">
        <v>12378</v>
      </c>
      <c r="H3835" s="196" t="s">
        <v>11235</v>
      </c>
    </row>
    <row r="3836" spans="1:8" x14ac:dyDescent="0.15">
      <c r="A3836" s="196" t="s">
        <v>11229</v>
      </c>
      <c r="B3836" s="196" t="s">
        <v>11230</v>
      </c>
      <c r="C3836" s="196" t="s">
        <v>20271</v>
      </c>
      <c r="D3836" s="196" t="s">
        <v>20272</v>
      </c>
      <c r="E3836" s="196" t="s">
        <v>20272</v>
      </c>
      <c r="F3836" s="196" t="s">
        <v>11233</v>
      </c>
      <c r="G3836" s="196" t="s">
        <v>12378</v>
      </c>
      <c r="H3836" s="196" t="s">
        <v>11235</v>
      </c>
    </row>
    <row r="3837" spans="1:8" x14ac:dyDescent="0.15">
      <c r="A3837" s="196" t="s">
        <v>11229</v>
      </c>
      <c r="B3837" s="196" t="s">
        <v>11230</v>
      </c>
      <c r="C3837" s="196" t="s">
        <v>20273</v>
      </c>
      <c r="D3837" s="196" t="s">
        <v>20274</v>
      </c>
      <c r="E3837" s="196" t="s">
        <v>20274</v>
      </c>
      <c r="F3837" s="196" t="s">
        <v>11233</v>
      </c>
      <c r="G3837" s="196" t="s">
        <v>12378</v>
      </c>
      <c r="H3837" s="196" t="s">
        <v>11235</v>
      </c>
    </row>
    <row r="3838" spans="1:8" x14ac:dyDescent="0.15">
      <c r="A3838" s="196" t="s">
        <v>11229</v>
      </c>
      <c r="B3838" s="196" t="s">
        <v>11230</v>
      </c>
      <c r="C3838" s="196" t="s">
        <v>20275</v>
      </c>
      <c r="D3838" s="196" t="s">
        <v>20276</v>
      </c>
      <c r="E3838" s="196" t="s">
        <v>20276</v>
      </c>
      <c r="F3838" s="196" t="s">
        <v>11233</v>
      </c>
      <c r="G3838" s="196" t="s">
        <v>12378</v>
      </c>
      <c r="H3838" s="196" t="s">
        <v>11235</v>
      </c>
    </row>
    <row r="3839" spans="1:8" x14ac:dyDescent="0.15">
      <c r="A3839" s="196" t="s">
        <v>11229</v>
      </c>
      <c r="B3839" s="196" t="s">
        <v>11230</v>
      </c>
      <c r="C3839" s="196" t="s">
        <v>20277</v>
      </c>
      <c r="D3839" s="196" t="s">
        <v>20278</v>
      </c>
      <c r="E3839" s="196" t="s">
        <v>20278</v>
      </c>
      <c r="F3839" s="196" t="s">
        <v>11233</v>
      </c>
      <c r="G3839" s="196" t="s">
        <v>12378</v>
      </c>
      <c r="H3839" s="196" t="s">
        <v>11235</v>
      </c>
    </row>
    <row r="3840" spans="1:8" x14ac:dyDescent="0.15">
      <c r="A3840" s="196" t="s">
        <v>11229</v>
      </c>
      <c r="B3840" s="196" t="s">
        <v>11230</v>
      </c>
      <c r="C3840" s="196" t="s">
        <v>20279</v>
      </c>
      <c r="D3840" s="196" t="s">
        <v>20280</v>
      </c>
      <c r="E3840" s="196" t="s">
        <v>20280</v>
      </c>
      <c r="F3840" s="196" t="s">
        <v>11233</v>
      </c>
      <c r="G3840" s="196" t="s">
        <v>12378</v>
      </c>
      <c r="H3840" s="196" t="s">
        <v>11235</v>
      </c>
    </row>
    <row r="3841" spans="1:8" x14ac:dyDescent="0.15">
      <c r="A3841" s="196" t="s">
        <v>11229</v>
      </c>
      <c r="B3841" s="196" t="s">
        <v>11230</v>
      </c>
      <c r="C3841" s="196" t="s">
        <v>20281</v>
      </c>
      <c r="D3841" s="196" t="s">
        <v>20282</v>
      </c>
      <c r="E3841" s="196" t="s">
        <v>20282</v>
      </c>
      <c r="F3841" s="196" t="s">
        <v>11233</v>
      </c>
      <c r="G3841" s="196" t="s">
        <v>12378</v>
      </c>
      <c r="H3841" s="196" t="s">
        <v>11235</v>
      </c>
    </row>
    <row r="3842" spans="1:8" x14ac:dyDescent="0.15">
      <c r="A3842" s="196" t="s">
        <v>11229</v>
      </c>
      <c r="B3842" s="196" t="s">
        <v>11230</v>
      </c>
      <c r="C3842" s="196" t="s">
        <v>20283</v>
      </c>
      <c r="D3842" s="196" t="s">
        <v>20284</v>
      </c>
      <c r="E3842" s="196" t="s">
        <v>20284</v>
      </c>
      <c r="F3842" s="196" t="s">
        <v>11233</v>
      </c>
      <c r="G3842" s="196" t="s">
        <v>12378</v>
      </c>
      <c r="H3842" s="196" t="s">
        <v>11235</v>
      </c>
    </row>
    <row r="3843" spans="1:8" x14ac:dyDescent="0.15">
      <c r="A3843" s="196" t="s">
        <v>11229</v>
      </c>
      <c r="B3843" s="196" t="s">
        <v>11230</v>
      </c>
      <c r="C3843" s="196" t="s">
        <v>20285</v>
      </c>
      <c r="D3843" s="196" t="s">
        <v>20286</v>
      </c>
      <c r="E3843" s="196" t="s">
        <v>20286</v>
      </c>
      <c r="F3843" s="196" t="s">
        <v>11233</v>
      </c>
      <c r="G3843" s="196" t="s">
        <v>12378</v>
      </c>
      <c r="H3843" s="196" t="s">
        <v>11235</v>
      </c>
    </row>
    <row r="3844" spans="1:8" x14ac:dyDescent="0.15">
      <c r="A3844" s="196" t="s">
        <v>11229</v>
      </c>
      <c r="B3844" s="196" t="s">
        <v>11230</v>
      </c>
      <c r="C3844" s="196" t="s">
        <v>20287</v>
      </c>
      <c r="D3844" s="196" t="s">
        <v>20288</v>
      </c>
      <c r="E3844" s="196" t="s">
        <v>20288</v>
      </c>
      <c r="F3844" s="196" t="s">
        <v>11233</v>
      </c>
      <c r="G3844" s="196" t="s">
        <v>12378</v>
      </c>
      <c r="H3844" s="196" t="s">
        <v>11235</v>
      </c>
    </row>
    <row r="3845" spans="1:8" x14ac:dyDescent="0.15">
      <c r="A3845" s="196" t="s">
        <v>11229</v>
      </c>
      <c r="B3845" s="196" t="s">
        <v>11230</v>
      </c>
      <c r="C3845" s="196" t="s">
        <v>20289</v>
      </c>
      <c r="D3845" s="196" t="s">
        <v>20290</v>
      </c>
      <c r="E3845" s="196" t="s">
        <v>20290</v>
      </c>
      <c r="F3845" s="196" t="s">
        <v>11233</v>
      </c>
      <c r="G3845" s="196" t="s">
        <v>12378</v>
      </c>
      <c r="H3845" s="196" t="s">
        <v>11235</v>
      </c>
    </row>
    <row r="3846" spans="1:8" x14ac:dyDescent="0.15">
      <c r="A3846" s="196" t="s">
        <v>11229</v>
      </c>
      <c r="B3846" s="196" t="s">
        <v>11230</v>
      </c>
      <c r="C3846" s="196" t="s">
        <v>20291</v>
      </c>
      <c r="D3846" s="196" t="s">
        <v>20292</v>
      </c>
      <c r="E3846" s="196" t="s">
        <v>20292</v>
      </c>
      <c r="F3846" s="196" t="s">
        <v>11233</v>
      </c>
      <c r="G3846" s="196" t="s">
        <v>12378</v>
      </c>
      <c r="H3846" s="196" t="s">
        <v>11235</v>
      </c>
    </row>
    <row r="3847" spans="1:8" x14ac:dyDescent="0.15">
      <c r="A3847" s="196" t="s">
        <v>11229</v>
      </c>
      <c r="B3847" s="196" t="s">
        <v>11230</v>
      </c>
      <c r="C3847" s="196" t="s">
        <v>20293</v>
      </c>
      <c r="D3847" s="196" t="s">
        <v>20294</v>
      </c>
      <c r="E3847" s="196" t="s">
        <v>20294</v>
      </c>
      <c r="F3847" s="196" t="s">
        <v>11233</v>
      </c>
      <c r="G3847" s="196" t="s">
        <v>12378</v>
      </c>
      <c r="H3847" s="196" t="s">
        <v>11235</v>
      </c>
    </row>
    <row r="3848" spans="1:8" x14ac:dyDescent="0.15">
      <c r="A3848" s="196" t="s">
        <v>11229</v>
      </c>
      <c r="B3848" s="196" t="s">
        <v>11230</v>
      </c>
      <c r="C3848" s="196" t="s">
        <v>20295</v>
      </c>
      <c r="D3848" s="196" t="s">
        <v>20296</v>
      </c>
      <c r="E3848" s="196" t="s">
        <v>20296</v>
      </c>
      <c r="F3848" s="196" t="s">
        <v>11233</v>
      </c>
      <c r="G3848" s="196" t="s">
        <v>12378</v>
      </c>
      <c r="H3848" s="196" t="s">
        <v>11235</v>
      </c>
    </row>
    <row r="3849" spans="1:8" x14ac:dyDescent="0.15">
      <c r="A3849" s="196" t="s">
        <v>11229</v>
      </c>
      <c r="B3849" s="196" t="s">
        <v>11230</v>
      </c>
      <c r="C3849" s="196" t="s">
        <v>20297</v>
      </c>
      <c r="D3849" s="196" t="s">
        <v>20298</v>
      </c>
      <c r="E3849" s="196" t="s">
        <v>20298</v>
      </c>
      <c r="F3849" s="196" t="s">
        <v>11233</v>
      </c>
      <c r="G3849" s="196" t="s">
        <v>12378</v>
      </c>
      <c r="H3849" s="196" t="s">
        <v>11235</v>
      </c>
    </row>
    <row r="3850" spans="1:8" x14ac:dyDescent="0.15">
      <c r="A3850" s="196" t="s">
        <v>11229</v>
      </c>
      <c r="B3850" s="196" t="s">
        <v>11230</v>
      </c>
      <c r="C3850" s="196" t="s">
        <v>20299</v>
      </c>
      <c r="D3850" s="196" t="s">
        <v>20300</v>
      </c>
      <c r="E3850" s="196" t="s">
        <v>20300</v>
      </c>
      <c r="F3850" s="196" t="s">
        <v>11233</v>
      </c>
      <c r="G3850" s="196" t="s">
        <v>12378</v>
      </c>
      <c r="H3850" s="196" t="s">
        <v>11235</v>
      </c>
    </row>
    <row r="3851" spans="1:8" x14ac:dyDescent="0.15">
      <c r="A3851" s="196" t="s">
        <v>11229</v>
      </c>
      <c r="B3851" s="196" t="s">
        <v>11230</v>
      </c>
      <c r="C3851" s="196" t="s">
        <v>20301</v>
      </c>
      <c r="D3851" s="196" t="s">
        <v>20302</v>
      </c>
      <c r="E3851" s="196" t="s">
        <v>20302</v>
      </c>
      <c r="F3851" s="196" t="s">
        <v>11233</v>
      </c>
      <c r="G3851" s="196" t="s">
        <v>12378</v>
      </c>
      <c r="H3851" s="196" t="s">
        <v>11235</v>
      </c>
    </row>
    <row r="3852" spans="1:8" x14ac:dyDescent="0.15">
      <c r="A3852" s="196" t="s">
        <v>11229</v>
      </c>
      <c r="B3852" s="196" t="s">
        <v>11230</v>
      </c>
      <c r="C3852" s="196" t="s">
        <v>20303</v>
      </c>
      <c r="D3852" s="196" t="s">
        <v>20304</v>
      </c>
      <c r="E3852" s="196" t="s">
        <v>20304</v>
      </c>
      <c r="F3852" s="196" t="s">
        <v>11233</v>
      </c>
      <c r="G3852" s="196" t="s">
        <v>12378</v>
      </c>
      <c r="H3852" s="196" t="s">
        <v>11235</v>
      </c>
    </row>
    <row r="3853" spans="1:8" x14ac:dyDescent="0.15">
      <c r="A3853" s="196" t="s">
        <v>11229</v>
      </c>
      <c r="B3853" s="196" t="s">
        <v>11230</v>
      </c>
      <c r="C3853" s="196" t="s">
        <v>20305</v>
      </c>
      <c r="D3853" s="196" t="s">
        <v>20306</v>
      </c>
      <c r="E3853" s="196" t="s">
        <v>20307</v>
      </c>
      <c r="F3853" s="196" t="s">
        <v>11268</v>
      </c>
      <c r="G3853" s="196" t="s">
        <v>12378</v>
      </c>
      <c r="H3853" s="196" t="s">
        <v>11235</v>
      </c>
    </row>
    <row r="3854" spans="1:8" x14ac:dyDescent="0.15">
      <c r="A3854" s="196" t="s">
        <v>11229</v>
      </c>
      <c r="B3854" s="196" t="s">
        <v>11230</v>
      </c>
      <c r="C3854" s="196" t="s">
        <v>20308</v>
      </c>
      <c r="D3854" s="196" t="s">
        <v>20309</v>
      </c>
      <c r="E3854" s="196" t="s">
        <v>20309</v>
      </c>
      <c r="F3854" s="196" t="s">
        <v>11233</v>
      </c>
      <c r="G3854" s="196" t="s">
        <v>12378</v>
      </c>
      <c r="H3854" s="196" t="s">
        <v>11235</v>
      </c>
    </row>
    <row r="3855" spans="1:8" x14ac:dyDescent="0.15">
      <c r="A3855" s="196" t="s">
        <v>11229</v>
      </c>
      <c r="B3855" s="196" t="s">
        <v>11230</v>
      </c>
      <c r="C3855" s="196" t="s">
        <v>20310</v>
      </c>
      <c r="D3855" s="196" t="s">
        <v>20311</v>
      </c>
      <c r="E3855" s="196" t="s">
        <v>20311</v>
      </c>
      <c r="F3855" s="196" t="s">
        <v>11233</v>
      </c>
      <c r="G3855" s="196" t="s">
        <v>12378</v>
      </c>
      <c r="H3855" s="196" t="s">
        <v>11235</v>
      </c>
    </row>
    <row r="3856" spans="1:8" x14ac:dyDescent="0.15">
      <c r="A3856" s="196" t="s">
        <v>11229</v>
      </c>
      <c r="B3856" s="196" t="s">
        <v>11230</v>
      </c>
      <c r="C3856" s="196" t="s">
        <v>20312</v>
      </c>
      <c r="D3856" s="196" t="s">
        <v>20313</v>
      </c>
      <c r="E3856" s="196" t="s">
        <v>20313</v>
      </c>
      <c r="F3856" s="196" t="s">
        <v>11233</v>
      </c>
      <c r="G3856" s="196" t="s">
        <v>12378</v>
      </c>
      <c r="H3856" s="196" t="s">
        <v>11235</v>
      </c>
    </row>
    <row r="3857" spans="1:8" x14ac:dyDescent="0.15">
      <c r="A3857" s="196" t="s">
        <v>11229</v>
      </c>
      <c r="B3857" s="196" t="s">
        <v>11230</v>
      </c>
      <c r="C3857" s="196" t="s">
        <v>20314</v>
      </c>
      <c r="D3857" s="196" t="s">
        <v>20315</v>
      </c>
      <c r="E3857" s="196" t="s">
        <v>20315</v>
      </c>
      <c r="F3857" s="196" t="s">
        <v>11233</v>
      </c>
      <c r="G3857" s="196" t="s">
        <v>12378</v>
      </c>
      <c r="H3857" s="196" t="s">
        <v>11235</v>
      </c>
    </row>
    <row r="3858" spans="1:8" x14ac:dyDescent="0.15">
      <c r="A3858" s="196" t="s">
        <v>11229</v>
      </c>
      <c r="B3858" s="196" t="s">
        <v>11230</v>
      </c>
      <c r="C3858" s="196" t="s">
        <v>20316</v>
      </c>
      <c r="D3858" s="196" t="s">
        <v>20317</v>
      </c>
      <c r="E3858" s="196" t="s">
        <v>20317</v>
      </c>
      <c r="F3858" s="196" t="s">
        <v>11233</v>
      </c>
      <c r="G3858" s="196" t="s">
        <v>12378</v>
      </c>
      <c r="H3858" s="196" t="s">
        <v>11235</v>
      </c>
    </row>
    <row r="3859" spans="1:8" x14ac:dyDescent="0.15">
      <c r="A3859" s="196" t="s">
        <v>11229</v>
      </c>
      <c r="B3859" s="196" t="s">
        <v>11230</v>
      </c>
      <c r="C3859" s="196" t="s">
        <v>20318</v>
      </c>
      <c r="D3859" s="196" t="s">
        <v>20319</v>
      </c>
      <c r="E3859" s="196" t="s">
        <v>20319</v>
      </c>
      <c r="F3859" s="196" t="s">
        <v>11233</v>
      </c>
      <c r="G3859" s="196" t="s">
        <v>12378</v>
      </c>
      <c r="H3859" s="196" t="s">
        <v>11235</v>
      </c>
    </row>
    <row r="3860" spans="1:8" x14ac:dyDescent="0.15">
      <c r="A3860" s="196" t="s">
        <v>11229</v>
      </c>
      <c r="B3860" s="196" t="s">
        <v>11230</v>
      </c>
      <c r="C3860" s="196" t="s">
        <v>20320</v>
      </c>
      <c r="D3860" s="196" t="s">
        <v>20321</v>
      </c>
      <c r="E3860" s="196" t="s">
        <v>20321</v>
      </c>
      <c r="F3860" s="196" t="s">
        <v>11233</v>
      </c>
      <c r="G3860" s="196" t="s">
        <v>12378</v>
      </c>
      <c r="H3860" s="196" t="s">
        <v>11235</v>
      </c>
    </row>
    <row r="3861" spans="1:8" x14ac:dyDescent="0.15">
      <c r="A3861" s="196" t="s">
        <v>11229</v>
      </c>
      <c r="B3861" s="196" t="s">
        <v>11230</v>
      </c>
      <c r="C3861" s="196" t="s">
        <v>20322</v>
      </c>
      <c r="D3861" s="196" t="s">
        <v>20323</v>
      </c>
      <c r="E3861" s="196" t="s">
        <v>20323</v>
      </c>
      <c r="F3861" s="196" t="s">
        <v>11233</v>
      </c>
      <c r="G3861" s="196" t="s">
        <v>12378</v>
      </c>
      <c r="H3861" s="196" t="s">
        <v>11235</v>
      </c>
    </row>
    <row r="3862" spans="1:8" x14ac:dyDescent="0.15">
      <c r="A3862" s="196" t="s">
        <v>11229</v>
      </c>
      <c r="B3862" s="196" t="s">
        <v>11230</v>
      </c>
      <c r="C3862" s="196" t="s">
        <v>20324</v>
      </c>
      <c r="D3862" s="196" t="s">
        <v>20325</v>
      </c>
      <c r="E3862" s="196" t="s">
        <v>20325</v>
      </c>
      <c r="F3862" s="196" t="s">
        <v>11233</v>
      </c>
      <c r="G3862" s="196" t="s">
        <v>12378</v>
      </c>
      <c r="H3862" s="196" t="s">
        <v>11235</v>
      </c>
    </row>
    <row r="3863" spans="1:8" x14ac:dyDescent="0.15">
      <c r="A3863" s="196" t="s">
        <v>11229</v>
      </c>
      <c r="B3863" s="196" t="s">
        <v>11230</v>
      </c>
      <c r="C3863" s="196" t="s">
        <v>20326</v>
      </c>
      <c r="D3863" s="196" t="s">
        <v>20327</v>
      </c>
      <c r="E3863" s="196" t="s">
        <v>20327</v>
      </c>
      <c r="F3863" s="196" t="s">
        <v>11233</v>
      </c>
      <c r="G3863" s="196" t="s">
        <v>12378</v>
      </c>
      <c r="H3863" s="196" t="s">
        <v>11235</v>
      </c>
    </row>
    <row r="3864" spans="1:8" x14ac:dyDescent="0.15">
      <c r="A3864" s="196" t="s">
        <v>11229</v>
      </c>
      <c r="B3864" s="196" t="s">
        <v>11230</v>
      </c>
      <c r="C3864" s="196" t="s">
        <v>20328</v>
      </c>
      <c r="D3864" s="196" t="s">
        <v>20329</v>
      </c>
      <c r="E3864" s="196" t="s">
        <v>20329</v>
      </c>
      <c r="F3864" s="196" t="s">
        <v>11233</v>
      </c>
      <c r="G3864" s="196" t="s">
        <v>12378</v>
      </c>
      <c r="H3864" s="196" t="s">
        <v>11235</v>
      </c>
    </row>
    <row r="3865" spans="1:8" x14ac:dyDescent="0.15">
      <c r="A3865" s="196" t="s">
        <v>11229</v>
      </c>
      <c r="B3865" s="196" t="s">
        <v>11230</v>
      </c>
      <c r="C3865" s="196" t="s">
        <v>20330</v>
      </c>
      <c r="D3865" s="196" t="s">
        <v>20331</v>
      </c>
      <c r="E3865" s="196" t="s">
        <v>20331</v>
      </c>
      <c r="F3865" s="196" t="s">
        <v>11233</v>
      </c>
      <c r="G3865" s="196" t="s">
        <v>12378</v>
      </c>
      <c r="H3865" s="196" t="s">
        <v>11235</v>
      </c>
    </row>
    <row r="3866" spans="1:8" x14ac:dyDescent="0.15">
      <c r="A3866" s="196" t="s">
        <v>11229</v>
      </c>
      <c r="B3866" s="196" t="s">
        <v>11230</v>
      </c>
      <c r="C3866" s="196" t="s">
        <v>20332</v>
      </c>
      <c r="D3866" s="196" t="s">
        <v>20333</v>
      </c>
      <c r="E3866" s="196" t="s">
        <v>20333</v>
      </c>
      <c r="F3866" s="196" t="s">
        <v>11233</v>
      </c>
      <c r="G3866" s="196" t="s">
        <v>12378</v>
      </c>
      <c r="H3866" s="196" t="s">
        <v>11235</v>
      </c>
    </row>
    <row r="3867" spans="1:8" x14ac:dyDescent="0.15">
      <c r="A3867" s="196" t="s">
        <v>11229</v>
      </c>
      <c r="B3867" s="196" t="s">
        <v>11230</v>
      </c>
      <c r="C3867" s="196" t="s">
        <v>20334</v>
      </c>
      <c r="D3867" s="196" t="s">
        <v>20335</v>
      </c>
      <c r="E3867" s="196" t="s">
        <v>20335</v>
      </c>
      <c r="F3867" s="196" t="s">
        <v>11233</v>
      </c>
      <c r="G3867" s="196" t="s">
        <v>12378</v>
      </c>
      <c r="H3867" s="196" t="s">
        <v>11235</v>
      </c>
    </row>
    <row r="3868" spans="1:8" x14ac:dyDescent="0.15">
      <c r="A3868" s="196" t="s">
        <v>11229</v>
      </c>
      <c r="B3868" s="196" t="s">
        <v>11230</v>
      </c>
      <c r="C3868" s="196" t="s">
        <v>20336</v>
      </c>
      <c r="D3868" s="196" t="s">
        <v>20337</v>
      </c>
      <c r="E3868" s="196" t="s">
        <v>20337</v>
      </c>
      <c r="F3868" s="196" t="s">
        <v>11233</v>
      </c>
      <c r="G3868" s="196" t="s">
        <v>12378</v>
      </c>
      <c r="H3868" s="196" t="s">
        <v>11235</v>
      </c>
    </row>
    <row r="3869" spans="1:8" x14ac:dyDescent="0.15">
      <c r="A3869" s="196" t="s">
        <v>11229</v>
      </c>
      <c r="B3869" s="196" t="s">
        <v>11230</v>
      </c>
      <c r="C3869" s="196" t="s">
        <v>20338</v>
      </c>
      <c r="D3869" s="196" t="s">
        <v>20339</v>
      </c>
      <c r="E3869" s="196" t="s">
        <v>20339</v>
      </c>
      <c r="F3869" s="196" t="s">
        <v>11233</v>
      </c>
      <c r="G3869" s="196" t="s">
        <v>12378</v>
      </c>
      <c r="H3869" s="196" t="s">
        <v>11235</v>
      </c>
    </row>
    <row r="3870" spans="1:8" x14ac:dyDescent="0.15">
      <c r="A3870" s="196" t="s">
        <v>11229</v>
      </c>
      <c r="B3870" s="196" t="s">
        <v>11230</v>
      </c>
      <c r="C3870" s="196" t="s">
        <v>20340</v>
      </c>
      <c r="D3870" s="196" t="s">
        <v>20341</v>
      </c>
      <c r="E3870" s="196" t="s">
        <v>20341</v>
      </c>
      <c r="F3870" s="196" t="s">
        <v>11233</v>
      </c>
      <c r="G3870" s="196" t="s">
        <v>12378</v>
      </c>
      <c r="H3870" s="196" t="s">
        <v>11235</v>
      </c>
    </row>
    <row r="3871" spans="1:8" x14ac:dyDescent="0.15">
      <c r="A3871" s="196" t="s">
        <v>11229</v>
      </c>
      <c r="B3871" s="196" t="s">
        <v>11230</v>
      </c>
      <c r="C3871" s="196" t="s">
        <v>20342</v>
      </c>
      <c r="D3871" s="196" t="s">
        <v>20343</v>
      </c>
      <c r="E3871" s="196" t="s">
        <v>20343</v>
      </c>
      <c r="F3871" s="196" t="s">
        <v>11233</v>
      </c>
      <c r="G3871" s="196" t="s">
        <v>12378</v>
      </c>
      <c r="H3871" s="196" t="s">
        <v>11235</v>
      </c>
    </row>
    <row r="3872" spans="1:8" x14ac:dyDescent="0.15">
      <c r="A3872" s="196" t="s">
        <v>11229</v>
      </c>
      <c r="B3872" s="196" t="s">
        <v>11230</v>
      </c>
      <c r="C3872" s="196" t="s">
        <v>20344</v>
      </c>
      <c r="D3872" s="196" t="s">
        <v>20345</v>
      </c>
      <c r="E3872" s="196" t="s">
        <v>20345</v>
      </c>
      <c r="F3872" s="196" t="s">
        <v>11233</v>
      </c>
      <c r="G3872" s="196" t="s">
        <v>12378</v>
      </c>
      <c r="H3872" s="196" t="s">
        <v>11235</v>
      </c>
    </row>
    <row r="3873" spans="1:8" x14ac:dyDescent="0.15">
      <c r="A3873" s="196" t="s">
        <v>11229</v>
      </c>
      <c r="B3873" s="196" t="s">
        <v>11230</v>
      </c>
      <c r="C3873" s="196" t="s">
        <v>20346</v>
      </c>
      <c r="D3873" s="196" t="s">
        <v>20347</v>
      </c>
      <c r="E3873" s="196" t="s">
        <v>20347</v>
      </c>
      <c r="F3873" s="196" t="s">
        <v>11233</v>
      </c>
      <c r="G3873" s="196" t="s">
        <v>12378</v>
      </c>
      <c r="H3873" s="196" t="s">
        <v>11235</v>
      </c>
    </row>
    <row r="3874" spans="1:8" x14ac:dyDescent="0.15">
      <c r="A3874" s="196" t="s">
        <v>11229</v>
      </c>
      <c r="B3874" s="196" t="s">
        <v>11230</v>
      </c>
      <c r="C3874" s="196" t="s">
        <v>20348</v>
      </c>
      <c r="D3874" s="196" t="s">
        <v>20349</v>
      </c>
      <c r="E3874" s="196" t="s">
        <v>20349</v>
      </c>
      <c r="F3874" s="196" t="s">
        <v>11233</v>
      </c>
      <c r="G3874" s="196" t="s">
        <v>12378</v>
      </c>
      <c r="H3874" s="196" t="s">
        <v>11235</v>
      </c>
    </row>
    <row r="3875" spans="1:8" x14ac:dyDescent="0.15">
      <c r="A3875" s="196" t="s">
        <v>11229</v>
      </c>
      <c r="B3875" s="196" t="s">
        <v>11230</v>
      </c>
      <c r="C3875" s="196" t="s">
        <v>20350</v>
      </c>
      <c r="D3875" s="196" t="s">
        <v>20351</v>
      </c>
      <c r="E3875" s="196" t="s">
        <v>20351</v>
      </c>
      <c r="F3875" s="196" t="s">
        <v>11233</v>
      </c>
      <c r="G3875" s="196" t="s">
        <v>12378</v>
      </c>
      <c r="H3875" s="196" t="s">
        <v>11235</v>
      </c>
    </row>
    <row r="3876" spans="1:8" x14ac:dyDescent="0.15">
      <c r="A3876" s="196" t="s">
        <v>11229</v>
      </c>
      <c r="B3876" s="196" t="s">
        <v>11230</v>
      </c>
      <c r="C3876" s="196" t="s">
        <v>20352</v>
      </c>
      <c r="D3876" s="196" t="s">
        <v>20353</v>
      </c>
      <c r="E3876" s="196" t="s">
        <v>20353</v>
      </c>
      <c r="F3876" s="196" t="s">
        <v>11233</v>
      </c>
      <c r="G3876" s="196" t="s">
        <v>12378</v>
      </c>
      <c r="H3876" s="196" t="s">
        <v>11235</v>
      </c>
    </row>
    <row r="3877" spans="1:8" x14ac:dyDescent="0.15">
      <c r="A3877" s="196" t="s">
        <v>11229</v>
      </c>
      <c r="B3877" s="196" t="s">
        <v>11230</v>
      </c>
      <c r="C3877" s="196" t="s">
        <v>20354</v>
      </c>
      <c r="D3877" s="196" t="s">
        <v>20355</v>
      </c>
      <c r="E3877" s="196" t="s">
        <v>20355</v>
      </c>
      <c r="F3877" s="196" t="s">
        <v>11233</v>
      </c>
      <c r="G3877" s="196" t="s">
        <v>12378</v>
      </c>
      <c r="H3877" s="196" t="s">
        <v>11235</v>
      </c>
    </row>
    <row r="3878" spans="1:8" x14ac:dyDescent="0.15">
      <c r="A3878" s="196" t="s">
        <v>11229</v>
      </c>
      <c r="B3878" s="196" t="s">
        <v>11230</v>
      </c>
      <c r="C3878" s="196" t="s">
        <v>20356</v>
      </c>
      <c r="D3878" s="196" t="s">
        <v>20357</v>
      </c>
      <c r="E3878" s="196" t="s">
        <v>20357</v>
      </c>
      <c r="F3878" s="196" t="s">
        <v>11233</v>
      </c>
      <c r="G3878" s="196" t="s">
        <v>12378</v>
      </c>
      <c r="H3878" s="196" t="s">
        <v>11235</v>
      </c>
    </row>
    <row r="3879" spans="1:8" x14ac:dyDescent="0.15">
      <c r="A3879" s="196" t="s">
        <v>11229</v>
      </c>
      <c r="B3879" s="196" t="s">
        <v>11230</v>
      </c>
      <c r="C3879" s="196" t="s">
        <v>20358</v>
      </c>
      <c r="D3879" s="196" t="s">
        <v>20359</v>
      </c>
      <c r="E3879" s="196" t="s">
        <v>20359</v>
      </c>
      <c r="F3879" s="196" t="s">
        <v>11233</v>
      </c>
      <c r="G3879" s="196" t="s">
        <v>12378</v>
      </c>
      <c r="H3879" s="196" t="s">
        <v>11235</v>
      </c>
    </row>
    <row r="3880" spans="1:8" x14ac:dyDescent="0.15">
      <c r="A3880" s="196" t="s">
        <v>11229</v>
      </c>
      <c r="B3880" s="196" t="s">
        <v>11230</v>
      </c>
      <c r="C3880" s="196" t="s">
        <v>20360</v>
      </c>
      <c r="D3880" s="196" t="s">
        <v>20361</v>
      </c>
      <c r="E3880" s="196" t="s">
        <v>20362</v>
      </c>
      <c r="F3880" s="196" t="s">
        <v>11268</v>
      </c>
      <c r="G3880" s="196" t="s">
        <v>12378</v>
      </c>
      <c r="H3880" s="196" t="s">
        <v>11235</v>
      </c>
    </row>
    <row r="3881" spans="1:8" x14ac:dyDescent="0.15">
      <c r="A3881" s="196" t="s">
        <v>11229</v>
      </c>
      <c r="B3881" s="196" t="s">
        <v>11230</v>
      </c>
      <c r="C3881" s="196" t="s">
        <v>20363</v>
      </c>
      <c r="D3881" s="196" t="s">
        <v>20362</v>
      </c>
      <c r="E3881" s="196" t="s">
        <v>20364</v>
      </c>
      <c r="F3881" s="196" t="s">
        <v>11241</v>
      </c>
      <c r="G3881" s="196" t="s">
        <v>12378</v>
      </c>
      <c r="H3881" s="196" t="s">
        <v>11235</v>
      </c>
    </row>
    <row r="3882" spans="1:8" x14ac:dyDescent="0.15">
      <c r="A3882" s="196" t="s">
        <v>11229</v>
      </c>
      <c r="B3882" s="196" t="s">
        <v>11230</v>
      </c>
      <c r="C3882" s="196" t="s">
        <v>20365</v>
      </c>
      <c r="D3882" s="196" t="s">
        <v>20366</v>
      </c>
      <c r="E3882" s="196" t="s">
        <v>20366</v>
      </c>
      <c r="F3882" s="196" t="s">
        <v>11233</v>
      </c>
      <c r="G3882" s="196" t="s">
        <v>12378</v>
      </c>
      <c r="H3882" s="196" t="s">
        <v>11235</v>
      </c>
    </row>
    <row r="3883" spans="1:8" x14ac:dyDescent="0.15">
      <c r="A3883" s="196" t="s">
        <v>11229</v>
      </c>
      <c r="B3883" s="196" t="s">
        <v>11230</v>
      </c>
      <c r="C3883" s="196" t="s">
        <v>20367</v>
      </c>
      <c r="D3883" s="196" t="s">
        <v>20368</v>
      </c>
      <c r="E3883" s="196" t="s">
        <v>20368</v>
      </c>
      <c r="F3883" s="196" t="s">
        <v>11233</v>
      </c>
      <c r="G3883" s="196" t="s">
        <v>12378</v>
      </c>
      <c r="H3883" s="196" t="s">
        <v>11235</v>
      </c>
    </row>
    <row r="3884" spans="1:8" x14ac:dyDescent="0.15">
      <c r="A3884" s="196" t="s">
        <v>11229</v>
      </c>
      <c r="B3884" s="196" t="s">
        <v>11230</v>
      </c>
      <c r="C3884" s="196" t="s">
        <v>20369</v>
      </c>
      <c r="D3884" s="196" t="s">
        <v>20370</v>
      </c>
      <c r="E3884" s="196" t="s">
        <v>20370</v>
      </c>
      <c r="F3884" s="196" t="s">
        <v>11233</v>
      </c>
      <c r="G3884" s="196" t="s">
        <v>12378</v>
      </c>
      <c r="H3884" s="196" t="s">
        <v>11235</v>
      </c>
    </row>
    <row r="3885" spans="1:8" x14ac:dyDescent="0.15">
      <c r="A3885" s="196" t="s">
        <v>11229</v>
      </c>
      <c r="B3885" s="196" t="s">
        <v>11230</v>
      </c>
      <c r="C3885" s="196" t="s">
        <v>20371</v>
      </c>
      <c r="D3885" s="196" t="s">
        <v>20372</v>
      </c>
      <c r="E3885" s="196" t="s">
        <v>20372</v>
      </c>
      <c r="F3885" s="196" t="s">
        <v>11233</v>
      </c>
      <c r="G3885" s="196" t="s">
        <v>12378</v>
      </c>
      <c r="H3885" s="196" t="s">
        <v>11235</v>
      </c>
    </row>
    <row r="3886" spans="1:8" x14ac:dyDescent="0.15">
      <c r="A3886" s="196" t="s">
        <v>11229</v>
      </c>
      <c r="B3886" s="196" t="s">
        <v>11230</v>
      </c>
      <c r="C3886" s="196" t="s">
        <v>20373</v>
      </c>
      <c r="D3886" s="196" t="s">
        <v>20374</v>
      </c>
      <c r="E3886" s="196" t="s">
        <v>20374</v>
      </c>
      <c r="F3886" s="196" t="s">
        <v>11233</v>
      </c>
      <c r="G3886" s="196" t="s">
        <v>12378</v>
      </c>
      <c r="H3886" s="196" t="s">
        <v>11235</v>
      </c>
    </row>
    <row r="3887" spans="1:8" x14ac:dyDescent="0.15">
      <c r="A3887" s="196" t="s">
        <v>11229</v>
      </c>
      <c r="B3887" s="196" t="s">
        <v>11230</v>
      </c>
      <c r="C3887" s="196" t="s">
        <v>20375</v>
      </c>
      <c r="D3887" s="196" t="s">
        <v>20376</v>
      </c>
      <c r="E3887" s="196" t="s">
        <v>20376</v>
      </c>
      <c r="F3887" s="196" t="s">
        <v>11233</v>
      </c>
      <c r="G3887" s="196" t="s">
        <v>12378</v>
      </c>
      <c r="H3887" s="196" t="s">
        <v>11235</v>
      </c>
    </row>
    <row r="3888" spans="1:8" x14ac:dyDescent="0.15">
      <c r="A3888" s="196" t="s">
        <v>11229</v>
      </c>
      <c r="B3888" s="196" t="s">
        <v>11230</v>
      </c>
      <c r="C3888" s="196" t="s">
        <v>20377</v>
      </c>
      <c r="D3888" s="196" t="s">
        <v>20378</v>
      </c>
      <c r="E3888" s="196" t="s">
        <v>20378</v>
      </c>
      <c r="F3888" s="196" t="s">
        <v>11233</v>
      </c>
      <c r="G3888" s="196" t="s">
        <v>12378</v>
      </c>
      <c r="H3888" s="196" t="s">
        <v>11235</v>
      </c>
    </row>
    <row r="3889" spans="1:8" x14ac:dyDescent="0.15">
      <c r="A3889" s="196" t="s">
        <v>11229</v>
      </c>
      <c r="B3889" s="196" t="s">
        <v>11230</v>
      </c>
      <c r="C3889" s="196" t="s">
        <v>20379</v>
      </c>
      <c r="D3889" s="196" t="s">
        <v>20380</v>
      </c>
      <c r="E3889" s="196" t="s">
        <v>20380</v>
      </c>
      <c r="F3889" s="196" t="s">
        <v>11233</v>
      </c>
      <c r="G3889" s="196" t="s">
        <v>12378</v>
      </c>
      <c r="H3889" s="196" t="s">
        <v>11235</v>
      </c>
    </row>
    <row r="3890" spans="1:8" x14ac:dyDescent="0.15">
      <c r="A3890" s="196" t="s">
        <v>11229</v>
      </c>
      <c r="B3890" s="196" t="s">
        <v>11230</v>
      </c>
      <c r="C3890" s="196" t="s">
        <v>20381</v>
      </c>
      <c r="D3890" s="196" t="s">
        <v>20382</v>
      </c>
      <c r="E3890" s="196" t="s">
        <v>20382</v>
      </c>
      <c r="F3890" s="196" t="s">
        <v>11233</v>
      </c>
      <c r="G3890" s="196" t="s">
        <v>12378</v>
      </c>
      <c r="H3890" s="196" t="s">
        <v>11235</v>
      </c>
    </row>
    <row r="3891" spans="1:8" x14ac:dyDescent="0.15">
      <c r="A3891" s="196" t="s">
        <v>11229</v>
      </c>
      <c r="B3891" s="196" t="s">
        <v>11230</v>
      </c>
      <c r="C3891" s="196" t="s">
        <v>20383</v>
      </c>
      <c r="D3891" s="196" t="s">
        <v>20384</v>
      </c>
      <c r="E3891" s="196" t="s">
        <v>20384</v>
      </c>
      <c r="F3891" s="196" t="s">
        <v>11233</v>
      </c>
      <c r="G3891" s="196" t="s">
        <v>12378</v>
      </c>
      <c r="H3891" s="196" t="s">
        <v>11235</v>
      </c>
    </row>
    <row r="3892" spans="1:8" x14ac:dyDescent="0.15">
      <c r="A3892" s="196" t="s">
        <v>11229</v>
      </c>
      <c r="B3892" s="196" t="s">
        <v>11230</v>
      </c>
      <c r="C3892" s="196" t="s">
        <v>20385</v>
      </c>
      <c r="D3892" s="196" t="s">
        <v>20386</v>
      </c>
      <c r="E3892" s="196" t="s">
        <v>20386</v>
      </c>
      <c r="F3892" s="196" t="s">
        <v>11233</v>
      </c>
      <c r="G3892" s="196" t="s">
        <v>12378</v>
      </c>
      <c r="H3892" s="196" t="s">
        <v>11235</v>
      </c>
    </row>
    <row r="3893" spans="1:8" x14ac:dyDescent="0.15">
      <c r="A3893" s="196" t="s">
        <v>11229</v>
      </c>
      <c r="B3893" s="196" t="s">
        <v>11230</v>
      </c>
      <c r="C3893" s="196" t="s">
        <v>20387</v>
      </c>
      <c r="D3893" s="196" t="s">
        <v>20388</v>
      </c>
      <c r="E3893" s="196" t="s">
        <v>20388</v>
      </c>
      <c r="F3893" s="196" t="s">
        <v>11233</v>
      </c>
      <c r="G3893" s="196" t="s">
        <v>12378</v>
      </c>
      <c r="H3893" s="196" t="s">
        <v>11235</v>
      </c>
    </row>
    <row r="3894" spans="1:8" x14ac:dyDescent="0.15">
      <c r="A3894" s="196" t="s">
        <v>11229</v>
      </c>
      <c r="B3894" s="196" t="s">
        <v>11230</v>
      </c>
      <c r="C3894" s="196" t="s">
        <v>20389</v>
      </c>
      <c r="D3894" s="196" t="s">
        <v>20390</v>
      </c>
      <c r="E3894" s="196" t="s">
        <v>20390</v>
      </c>
      <c r="F3894" s="196" t="s">
        <v>11233</v>
      </c>
      <c r="G3894" s="196" t="s">
        <v>12378</v>
      </c>
      <c r="H3894" s="196" t="s">
        <v>11235</v>
      </c>
    </row>
    <row r="3895" spans="1:8" x14ac:dyDescent="0.15">
      <c r="A3895" s="196" t="s">
        <v>11229</v>
      </c>
      <c r="B3895" s="196" t="s">
        <v>11230</v>
      </c>
      <c r="C3895" s="196" t="s">
        <v>20391</v>
      </c>
      <c r="D3895" s="196" t="s">
        <v>20392</v>
      </c>
      <c r="E3895" s="196" t="s">
        <v>20392</v>
      </c>
      <c r="F3895" s="196" t="s">
        <v>11233</v>
      </c>
      <c r="G3895" s="196" t="s">
        <v>12378</v>
      </c>
      <c r="H3895" s="196" t="s">
        <v>11235</v>
      </c>
    </row>
    <row r="3896" spans="1:8" x14ac:dyDescent="0.15">
      <c r="A3896" s="196" t="s">
        <v>11229</v>
      </c>
      <c r="B3896" s="196" t="s">
        <v>11230</v>
      </c>
      <c r="C3896" s="196" t="s">
        <v>20393</v>
      </c>
      <c r="D3896" s="196" t="s">
        <v>20394</v>
      </c>
      <c r="E3896" s="196" t="s">
        <v>20395</v>
      </c>
      <c r="F3896" s="196" t="s">
        <v>11241</v>
      </c>
      <c r="G3896" s="196" t="s">
        <v>12378</v>
      </c>
      <c r="H3896" s="196" t="s">
        <v>11235</v>
      </c>
    </row>
    <row r="3897" spans="1:8" x14ac:dyDescent="0.15">
      <c r="A3897" s="196" t="s">
        <v>11229</v>
      </c>
      <c r="B3897" s="196" t="s">
        <v>11230</v>
      </c>
      <c r="C3897" s="196" t="s">
        <v>20396</v>
      </c>
      <c r="D3897" s="196" t="s">
        <v>20397</v>
      </c>
      <c r="E3897" s="196" t="s">
        <v>20398</v>
      </c>
      <c r="F3897" s="196" t="s">
        <v>11241</v>
      </c>
      <c r="G3897" s="196" t="s">
        <v>12378</v>
      </c>
      <c r="H3897" s="196" t="s">
        <v>11235</v>
      </c>
    </row>
    <row r="3898" spans="1:8" x14ac:dyDescent="0.15">
      <c r="A3898" s="196" t="s">
        <v>11229</v>
      </c>
      <c r="B3898" s="196" t="s">
        <v>11230</v>
      </c>
      <c r="C3898" s="196" t="s">
        <v>20399</v>
      </c>
      <c r="D3898" s="196" t="s">
        <v>20398</v>
      </c>
      <c r="E3898" s="196" t="s">
        <v>20400</v>
      </c>
      <c r="F3898" s="196" t="s">
        <v>11241</v>
      </c>
      <c r="G3898" s="196" t="s">
        <v>12378</v>
      </c>
      <c r="H3898" s="196" t="s">
        <v>11235</v>
      </c>
    </row>
    <row r="3899" spans="1:8" x14ac:dyDescent="0.15">
      <c r="A3899" s="196" t="s">
        <v>11229</v>
      </c>
      <c r="B3899" s="196" t="s">
        <v>11230</v>
      </c>
      <c r="C3899" s="196" t="s">
        <v>20401</v>
      </c>
      <c r="D3899" s="196" t="s">
        <v>20402</v>
      </c>
      <c r="E3899" s="196" t="s">
        <v>20402</v>
      </c>
      <c r="F3899" s="196" t="s">
        <v>11233</v>
      </c>
      <c r="G3899" s="196" t="s">
        <v>12378</v>
      </c>
      <c r="H3899" s="196" t="s">
        <v>11235</v>
      </c>
    </row>
    <row r="3900" spans="1:8" x14ac:dyDescent="0.15">
      <c r="A3900" s="196" t="s">
        <v>11229</v>
      </c>
      <c r="B3900" s="196" t="s">
        <v>11230</v>
      </c>
      <c r="C3900" s="196" t="s">
        <v>20403</v>
      </c>
      <c r="D3900" s="196" t="s">
        <v>20404</v>
      </c>
      <c r="E3900" s="196" t="s">
        <v>20404</v>
      </c>
      <c r="F3900" s="196" t="s">
        <v>11233</v>
      </c>
      <c r="G3900" s="196" t="s">
        <v>12378</v>
      </c>
      <c r="H3900" s="196" t="s">
        <v>11235</v>
      </c>
    </row>
    <row r="3901" spans="1:8" x14ac:dyDescent="0.15">
      <c r="A3901" s="196" t="s">
        <v>11229</v>
      </c>
      <c r="B3901" s="196" t="s">
        <v>11230</v>
      </c>
      <c r="C3901" s="196" t="s">
        <v>20405</v>
      </c>
      <c r="D3901" s="196" t="s">
        <v>20406</v>
      </c>
      <c r="E3901" s="196" t="s">
        <v>20406</v>
      </c>
      <c r="F3901" s="196" t="s">
        <v>11233</v>
      </c>
      <c r="G3901" s="196" t="s">
        <v>12378</v>
      </c>
      <c r="H3901" s="196" t="s">
        <v>11235</v>
      </c>
    </row>
    <row r="3902" spans="1:8" x14ac:dyDescent="0.15">
      <c r="A3902" s="196" t="s">
        <v>11229</v>
      </c>
      <c r="B3902" s="196" t="s">
        <v>11230</v>
      </c>
      <c r="C3902" s="196" t="s">
        <v>20407</v>
      </c>
      <c r="D3902" s="196" t="s">
        <v>20408</v>
      </c>
      <c r="E3902" s="196" t="s">
        <v>20408</v>
      </c>
      <c r="F3902" s="196" t="s">
        <v>11233</v>
      </c>
      <c r="G3902" s="196" t="s">
        <v>12378</v>
      </c>
      <c r="H3902" s="196" t="s">
        <v>11235</v>
      </c>
    </row>
    <row r="3903" spans="1:8" x14ac:dyDescent="0.15">
      <c r="A3903" s="196" t="s">
        <v>11229</v>
      </c>
      <c r="B3903" s="196" t="s">
        <v>11230</v>
      </c>
      <c r="C3903" s="196" t="s">
        <v>20409</v>
      </c>
      <c r="D3903" s="196" t="s">
        <v>20410</v>
      </c>
      <c r="E3903" s="196" t="s">
        <v>20410</v>
      </c>
      <c r="F3903" s="196" t="s">
        <v>11233</v>
      </c>
      <c r="G3903" s="196" t="s">
        <v>12378</v>
      </c>
      <c r="H3903" s="196" t="s">
        <v>11235</v>
      </c>
    </row>
    <row r="3904" spans="1:8" x14ac:dyDescent="0.15">
      <c r="A3904" s="196" t="s">
        <v>11229</v>
      </c>
      <c r="B3904" s="196" t="s">
        <v>11230</v>
      </c>
      <c r="C3904" s="196" t="s">
        <v>20411</v>
      </c>
      <c r="D3904" s="196" t="s">
        <v>20412</v>
      </c>
      <c r="E3904" s="196" t="s">
        <v>20412</v>
      </c>
      <c r="F3904" s="196" t="s">
        <v>11233</v>
      </c>
      <c r="G3904" s="196" t="s">
        <v>12378</v>
      </c>
      <c r="H3904" s="196" t="s">
        <v>11235</v>
      </c>
    </row>
    <row r="3905" spans="1:8" x14ac:dyDescent="0.15">
      <c r="A3905" s="196" t="s">
        <v>11229</v>
      </c>
      <c r="B3905" s="196" t="s">
        <v>11230</v>
      </c>
      <c r="C3905" s="196" t="s">
        <v>20413</v>
      </c>
      <c r="D3905" s="196" t="s">
        <v>20414</v>
      </c>
      <c r="E3905" s="196" t="s">
        <v>20414</v>
      </c>
      <c r="F3905" s="196" t="s">
        <v>11233</v>
      </c>
      <c r="G3905" s="196" t="s">
        <v>12378</v>
      </c>
      <c r="H3905" s="196" t="s">
        <v>11235</v>
      </c>
    </row>
    <row r="3906" spans="1:8" x14ac:dyDescent="0.15">
      <c r="A3906" s="196" t="s">
        <v>11229</v>
      </c>
      <c r="B3906" s="196" t="s">
        <v>11230</v>
      </c>
      <c r="C3906" s="196" t="s">
        <v>20415</v>
      </c>
      <c r="D3906" s="196" t="s">
        <v>20416</v>
      </c>
      <c r="E3906" s="196" t="s">
        <v>20416</v>
      </c>
      <c r="F3906" s="196" t="s">
        <v>11233</v>
      </c>
      <c r="G3906" s="196" t="s">
        <v>12378</v>
      </c>
      <c r="H3906" s="196" t="s">
        <v>11235</v>
      </c>
    </row>
    <row r="3907" spans="1:8" x14ac:dyDescent="0.15">
      <c r="A3907" s="196" t="s">
        <v>11229</v>
      </c>
      <c r="B3907" s="196" t="s">
        <v>11230</v>
      </c>
      <c r="C3907" s="196" t="s">
        <v>20417</v>
      </c>
      <c r="D3907" s="196" t="s">
        <v>20418</v>
      </c>
      <c r="E3907" s="196" t="s">
        <v>20418</v>
      </c>
      <c r="F3907" s="196" t="s">
        <v>11233</v>
      </c>
      <c r="G3907" s="196" t="s">
        <v>12378</v>
      </c>
      <c r="H3907" s="196" t="s">
        <v>11235</v>
      </c>
    </row>
    <row r="3908" spans="1:8" x14ac:dyDescent="0.15">
      <c r="A3908" s="196" t="s">
        <v>11229</v>
      </c>
      <c r="B3908" s="196" t="s">
        <v>11230</v>
      </c>
      <c r="C3908" s="196" t="s">
        <v>20419</v>
      </c>
      <c r="D3908" s="196" t="s">
        <v>20420</v>
      </c>
      <c r="E3908" s="196" t="s">
        <v>20420</v>
      </c>
      <c r="F3908" s="196" t="s">
        <v>11233</v>
      </c>
      <c r="G3908" s="196" t="s">
        <v>12378</v>
      </c>
      <c r="H3908" s="196" t="s">
        <v>11235</v>
      </c>
    </row>
    <row r="3909" spans="1:8" x14ac:dyDescent="0.15">
      <c r="A3909" s="196" t="s">
        <v>11229</v>
      </c>
      <c r="B3909" s="196" t="s">
        <v>11230</v>
      </c>
      <c r="C3909" s="196" t="s">
        <v>20421</v>
      </c>
      <c r="D3909" s="196" t="s">
        <v>20422</v>
      </c>
      <c r="E3909" s="196" t="s">
        <v>20422</v>
      </c>
      <c r="F3909" s="196" t="s">
        <v>11233</v>
      </c>
      <c r="G3909" s="196" t="s">
        <v>12378</v>
      </c>
      <c r="H3909" s="196" t="s">
        <v>11235</v>
      </c>
    </row>
    <row r="3910" spans="1:8" x14ac:dyDescent="0.15">
      <c r="A3910" s="196" t="s">
        <v>11229</v>
      </c>
      <c r="B3910" s="196" t="s">
        <v>11230</v>
      </c>
      <c r="C3910" s="196" t="s">
        <v>20423</v>
      </c>
      <c r="D3910" s="196" t="s">
        <v>20424</v>
      </c>
      <c r="E3910" s="196" t="s">
        <v>20424</v>
      </c>
      <c r="F3910" s="196" t="s">
        <v>11233</v>
      </c>
      <c r="G3910" s="196" t="s">
        <v>12378</v>
      </c>
      <c r="H3910" s="196" t="s">
        <v>11235</v>
      </c>
    </row>
    <row r="3911" spans="1:8" x14ac:dyDescent="0.15">
      <c r="A3911" s="196" t="s">
        <v>11229</v>
      </c>
      <c r="B3911" s="196" t="s">
        <v>11230</v>
      </c>
      <c r="C3911" s="196" t="s">
        <v>20425</v>
      </c>
      <c r="D3911" s="196" t="s">
        <v>20426</v>
      </c>
      <c r="E3911" s="196" t="s">
        <v>20426</v>
      </c>
      <c r="F3911" s="196" t="s">
        <v>11233</v>
      </c>
      <c r="G3911" s="196" t="s">
        <v>12378</v>
      </c>
      <c r="H3911" s="196" t="s">
        <v>11235</v>
      </c>
    </row>
    <row r="3912" spans="1:8" x14ac:dyDescent="0.15">
      <c r="A3912" s="196" t="s">
        <v>11229</v>
      </c>
      <c r="B3912" s="196" t="s">
        <v>11230</v>
      </c>
      <c r="C3912" s="196" t="s">
        <v>20427</v>
      </c>
      <c r="D3912" s="196" t="s">
        <v>20428</v>
      </c>
      <c r="E3912" s="196" t="s">
        <v>20428</v>
      </c>
      <c r="F3912" s="196" t="s">
        <v>11233</v>
      </c>
      <c r="G3912" s="196" t="s">
        <v>12378</v>
      </c>
      <c r="H3912" s="196" t="s">
        <v>11235</v>
      </c>
    </row>
    <row r="3913" spans="1:8" x14ac:dyDescent="0.15">
      <c r="A3913" s="196" t="s">
        <v>11229</v>
      </c>
      <c r="B3913" s="196" t="s">
        <v>11230</v>
      </c>
      <c r="C3913" s="196" t="s">
        <v>20429</v>
      </c>
      <c r="D3913" s="196" t="s">
        <v>20430</v>
      </c>
      <c r="E3913" s="196" t="s">
        <v>20430</v>
      </c>
      <c r="F3913" s="196" t="s">
        <v>11233</v>
      </c>
      <c r="G3913" s="196" t="s">
        <v>12378</v>
      </c>
      <c r="H3913" s="196" t="s">
        <v>11235</v>
      </c>
    </row>
    <row r="3914" spans="1:8" x14ac:dyDescent="0.15">
      <c r="A3914" s="196" t="s">
        <v>11229</v>
      </c>
      <c r="B3914" s="196" t="s">
        <v>11230</v>
      </c>
      <c r="C3914" s="196" t="s">
        <v>20431</v>
      </c>
      <c r="D3914" s="196" t="s">
        <v>20432</v>
      </c>
      <c r="E3914" s="196" t="s">
        <v>20432</v>
      </c>
      <c r="F3914" s="196" t="s">
        <v>11233</v>
      </c>
      <c r="G3914" s="196" t="s">
        <v>12378</v>
      </c>
      <c r="H3914" s="196" t="s">
        <v>11235</v>
      </c>
    </row>
    <row r="3915" spans="1:8" x14ac:dyDescent="0.15">
      <c r="A3915" s="196" t="s">
        <v>11229</v>
      </c>
      <c r="B3915" s="196" t="s">
        <v>11230</v>
      </c>
      <c r="C3915" s="196" t="s">
        <v>20433</v>
      </c>
      <c r="D3915" s="196" t="s">
        <v>20434</v>
      </c>
      <c r="E3915" s="196" t="s">
        <v>20434</v>
      </c>
      <c r="F3915" s="196" t="s">
        <v>11233</v>
      </c>
      <c r="G3915" s="196" t="s">
        <v>12378</v>
      </c>
      <c r="H3915" s="196" t="s">
        <v>11235</v>
      </c>
    </row>
    <row r="3916" spans="1:8" x14ac:dyDescent="0.15">
      <c r="A3916" s="196" t="s">
        <v>11229</v>
      </c>
      <c r="B3916" s="196" t="s">
        <v>11230</v>
      </c>
      <c r="C3916" s="196" t="s">
        <v>20435</v>
      </c>
      <c r="D3916" s="196" t="s">
        <v>20436</v>
      </c>
      <c r="E3916" s="196" t="s">
        <v>20436</v>
      </c>
      <c r="F3916" s="196" t="s">
        <v>11233</v>
      </c>
      <c r="G3916" s="196" t="s">
        <v>12378</v>
      </c>
      <c r="H3916" s="196" t="s">
        <v>11235</v>
      </c>
    </row>
    <row r="3917" spans="1:8" x14ac:dyDescent="0.15">
      <c r="A3917" s="196" t="s">
        <v>11229</v>
      </c>
      <c r="B3917" s="196" t="s">
        <v>11230</v>
      </c>
      <c r="C3917" s="196" t="s">
        <v>20437</v>
      </c>
      <c r="D3917" s="196" t="s">
        <v>20438</v>
      </c>
      <c r="E3917" s="196" t="s">
        <v>20438</v>
      </c>
      <c r="F3917" s="196" t="s">
        <v>11233</v>
      </c>
      <c r="G3917" s="196" t="s">
        <v>12378</v>
      </c>
      <c r="H3917" s="196" t="s">
        <v>11235</v>
      </c>
    </row>
    <row r="3918" spans="1:8" x14ac:dyDescent="0.15">
      <c r="A3918" s="196" t="s">
        <v>11229</v>
      </c>
      <c r="B3918" s="196" t="s">
        <v>11230</v>
      </c>
      <c r="C3918" s="196" t="s">
        <v>20439</v>
      </c>
      <c r="D3918" s="196" t="s">
        <v>20440</v>
      </c>
      <c r="E3918" s="196" t="s">
        <v>20440</v>
      </c>
      <c r="F3918" s="196" t="s">
        <v>11233</v>
      </c>
      <c r="G3918" s="196" t="s">
        <v>12378</v>
      </c>
      <c r="H3918" s="196" t="s">
        <v>11235</v>
      </c>
    </row>
    <row r="3919" spans="1:8" x14ac:dyDescent="0.15">
      <c r="A3919" s="196" t="s">
        <v>11229</v>
      </c>
      <c r="B3919" s="196" t="s">
        <v>11230</v>
      </c>
      <c r="C3919" s="196" t="s">
        <v>20441</v>
      </c>
      <c r="D3919" s="196" t="s">
        <v>20442</v>
      </c>
      <c r="E3919" s="196" t="s">
        <v>20442</v>
      </c>
      <c r="F3919" s="196" t="s">
        <v>11233</v>
      </c>
      <c r="G3919" s="196" t="s">
        <v>12378</v>
      </c>
      <c r="H3919" s="196" t="s">
        <v>11235</v>
      </c>
    </row>
    <row r="3920" spans="1:8" x14ac:dyDescent="0.15">
      <c r="A3920" s="196" t="s">
        <v>11229</v>
      </c>
      <c r="B3920" s="196" t="s">
        <v>11230</v>
      </c>
      <c r="C3920" s="196" t="s">
        <v>20443</v>
      </c>
      <c r="D3920" s="196" t="s">
        <v>20444</v>
      </c>
      <c r="E3920" s="196" t="s">
        <v>20444</v>
      </c>
      <c r="F3920" s="196" t="s">
        <v>11233</v>
      </c>
      <c r="G3920" s="196" t="s">
        <v>12378</v>
      </c>
      <c r="H3920" s="196" t="s">
        <v>11235</v>
      </c>
    </row>
    <row r="3921" spans="1:8" x14ac:dyDescent="0.15">
      <c r="A3921" s="196" t="s">
        <v>11229</v>
      </c>
      <c r="B3921" s="196" t="s">
        <v>11230</v>
      </c>
      <c r="C3921" s="196" t="s">
        <v>20445</v>
      </c>
      <c r="D3921" s="196" t="s">
        <v>20446</v>
      </c>
      <c r="E3921" s="196" t="s">
        <v>20446</v>
      </c>
      <c r="F3921" s="196" t="s">
        <v>11233</v>
      </c>
      <c r="G3921" s="196" t="s">
        <v>12378</v>
      </c>
      <c r="H3921" s="196" t="s">
        <v>11235</v>
      </c>
    </row>
    <row r="3922" spans="1:8" x14ac:dyDescent="0.15">
      <c r="A3922" s="196" t="s">
        <v>11229</v>
      </c>
      <c r="B3922" s="196" t="s">
        <v>11230</v>
      </c>
      <c r="C3922" s="196" t="s">
        <v>20447</v>
      </c>
      <c r="D3922" s="196" t="s">
        <v>20448</v>
      </c>
      <c r="E3922" s="196" t="s">
        <v>20448</v>
      </c>
      <c r="F3922" s="196" t="s">
        <v>11233</v>
      </c>
      <c r="G3922" s="196" t="s">
        <v>12378</v>
      </c>
      <c r="H3922" s="196" t="s">
        <v>11235</v>
      </c>
    </row>
    <row r="3923" spans="1:8" x14ac:dyDescent="0.15">
      <c r="A3923" s="196" t="s">
        <v>11229</v>
      </c>
      <c r="B3923" s="196" t="s">
        <v>11230</v>
      </c>
      <c r="C3923" s="196" t="s">
        <v>20449</v>
      </c>
      <c r="D3923" s="196" t="s">
        <v>20450</v>
      </c>
      <c r="E3923" s="196" t="s">
        <v>20450</v>
      </c>
      <c r="F3923" s="196" t="s">
        <v>11233</v>
      </c>
      <c r="G3923" s="196" t="s">
        <v>12378</v>
      </c>
      <c r="H3923" s="196" t="s">
        <v>11235</v>
      </c>
    </row>
    <row r="3924" spans="1:8" x14ac:dyDescent="0.15">
      <c r="A3924" s="196" t="s">
        <v>11229</v>
      </c>
      <c r="B3924" s="196" t="s">
        <v>11230</v>
      </c>
      <c r="C3924" s="196" t="s">
        <v>20451</v>
      </c>
      <c r="D3924" s="196" t="s">
        <v>20452</v>
      </c>
      <c r="E3924" s="196" t="s">
        <v>20452</v>
      </c>
      <c r="F3924" s="196" t="s">
        <v>11233</v>
      </c>
      <c r="G3924" s="196" t="s">
        <v>12378</v>
      </c>
      <c r="H3924" s="196" t="s">
        <v>11235</v>
      </c>
    </row>
    <row r="3925" spans="1:8" x14ac:dyDescent="0.15">
      <c r="A3925" s="196" t="s">
        <v>11229</v>
      </c>
      <c r="B3925" s="196" t="s">
        <v>11230</v>
      </c>
      <c r="C3925" s="196" t="s">
        <v>20453</v>
      </c>
      <c r="D3925" s="196" t="s">
        <v>20454</v>
      </c>
      <c r="E3925" s="196" t="s">
        <v>20454</v>
      </c>
      <c r="F3925" s="196" t="s">
        <v>11233</v>
      </c>
      <c r="G3925" s="196" t="s">
        <v>12378</v>
      </c>
      <c r="H3925" s="196" t="s">
        <v>11235</v>
      </c>
    </row>
    <row r="3926" spans="1:8" x14ac:dyDescent="0.15">
      <c r="A3926" s="196" t="s">
        <v>11229</v>
      </c>
      <c r="B3926" s="196" t="s">
        <v>11230</v>
      </c>
      <c r="C3926" s="196" t="s">
        <v>20455</v>
      </c>
      <c r="D3926" s="196" t="s">
        <v>20456</v>
      </c>
      <c r="E3926" s="196" t="s">
        <v>20456</v>
      </c>
      <c r="F3926" s="196" t="s">
        <v>11233</v>
      </c>
      <c r="G3926" s="196" t="s">
        <v>12378</v>
      </c>
      <c r="H3926" s="196" t="s">
        <v>11235</v>
      </c>
    </row>
    <row r="3927" spans="1:8" x14ac:dyDescent="0.15">
      <c r="A3927" s="196" t="s">
        <v>11229</v>
      </c>
      <c r="B3927" s="196" t="s">
        <v>11230</v>
      </c>
      <c r="C3927" s="196" t="s">
        <v>20457</v>
      </c>
      <c r="D3927" s="196" t="s">
        <v>20458</v>
      </c>
      <c r="E3927" s="196" t="s">
        <v>20458</v>
      </c>
      <c r="F3927" s="196" t="s">
        <v>11233</v>
      </c>
      <c r="G3927" s="196" t="s">
        <v>12378</v>
      </c>
      <c r="H3927" s="196" t="s">
        <v>11235</v>
      </c>
    </row>
    <row r="3928" spans="1:8" x14ac:dyDescent="0.15">
      <c r="A3928" s="196" t="s">
        <v>11229</v>
      </c>
      <c r="B3928" s="196" t="s">
        <v>11230</v>
      </c>
      <c r="C3928" s="196" t="s">
        <v>20459</v>
      </c>
      <c r="D3928" s="196" t="s">
        <v>20460</v>
      </c>
      <c r="E3928" s="196" t="s">
        <v>20460</v>
      </c>
      <c r="F3928" s="196" t="s">
        <v>11233</v>
      </c>
      <c r="G3928" s="196" t="s">
        <v>12378</v>
      </c>
      <c r="H3928" s="196" t="s">
        <v>11235</v>
      </c>
    </row>
    <row r="3929" spans="1:8" x14ac:dyDescent="0.15">
      <c r="A3929" s="196" t="s">
        <v>11229</v>
      </c>
      <c r="B3929" s="196" t="s">
        <v>11230</v>
      </c>
      <c r="C3929" s="196" t="s">
        <v>20461</v>
      </c>
      <c r="D3929" s="196" t="s">
        <v>20462</v>
      </c>
      <c r="E3929" s="196" t="s">
        <v>20462</v>
      </c>
      <c r="F3929" s="196" t="s">
        <v>11233</v>
      </c>
      <c r="G3929" s="196" t="s">
        <v>12378</v>
      </c>
      <c r="H3929" s="196" t="s">
        <v>11235</v>
      </c>
    </row>
    <row r="3930" spans="1:8" x14ac:dyDescent="0.15">
      <c r="A3930" s="196" t="s">
        <v>11229</v>
      </c>
      <c r="B3930" s="196" t="s">
        <v>11230</v>
      </c>
      <c r="C3930" s="196" t="s">
        <v>20463</v>
      </c>
      <c r="D3930" s="196" t="s">
        <v>20464</v>
      </c>
      <c r="E3930" s="196" t="s">
        <v>20464</v>
      </c>
      <c r="F3930" s="196" t="s">
        <v>11233</v>
      </c>
      <c r="G3930" s="196" t="s">
        <v>12378</v>
      </c>
      <c r="H3930" s="196" t="s">
        <v>11235</v>
      </c>
    </row>
    <row r="3931" spans="1:8" x14ac:dyDescent="0.15">
      <c r="A3931" s="196" t="s">
        <v>11229</v>
      </c>
      <c r="B3931" s="196" t="s">
        <v>11230</v>
      </c>
      <c r="C3931" s="196" t="s">
        <v>20465</v>
      </c>
      <c r="D3931" s="196" t="s">
        <v>20466</v>
      </c>
      <c r="E3931" s="196" t="s">
        <v>20466</v>
      </c>
      <c r="F3931" s="196" t="s">
        <v>11233</v>
      </c>
      <c r="G3931" s="196" t="s">
        <v>12378</v>
      </c>
      <c r="H3931" s="196" t="s">
        <v>11235</v>
      </c>
    </row>
    <row r="3932" spans="1:8" x14ac:dyDescent="0.15">
      <c r="A3932" s="196" t="s">
        <v>11229</v>
      </c>
      <c r="B3932" s="196" t="s">
        <v>11230</v>
      </c>
      <c r="C3932" s="196" t="s">
        <v>20467</v>
      </c>
      <c r="D3932" s="196" t="s">
        <v>20468</v>
      </c>
      <c r="E3932" s="196" t="s">
        <v>20468</v>
      </c>
      <c r="F3932" s="196" t="s">
        <v>11233</v>
      </c>
      <c r="G3932" s="196" t="s">
        <v>12378</v>
      </c>
      <c r="H3932" s="196" t="s">
        <v>11235</v>
      </c>
    </row>
    <row r="3933" spans="1:8" x14ac:dyDescent="0.15">
      <c r="A3933" s="196" t="s">
        <v>11229</v>
      </c>
      <c r="B3933" s="196" t="s">
        <v>11230</v>
      </c>
      <c r="C3933" s="196" t="s">
        <v>20469</v>
      </c>
      <c r="D3933" s="196" t="s">
        <v>20470</v>
      </c>
      <c r="E3933" s="196" t="s">
        <v>20471</v>
      </c>
      <c r="F3933" s="196" t="s">
        <v>20472</v>
      </c>
      <c r="G3933" s="196" t="s">
        <v>12378</v>
      </c>
      <c r="H3933" s="196" t="s">
        <v>11235</v>
      </c>
    </row>
    <row r="3934" spans="1:8" x14ac:dyDescent="0.15">
      <c r="A3934" s="196" t="s">
        <v>11229</v>
      </c>
      <c r="B3934" s="196" t="s">
        <v>11230</v>
      </c>
      <c r="C3934" s="196" t="s">
        <v>20473</v>
      </c>
      <c r="D3934" s="196" t="s">
        <v>20471</v>
      </c>
      <c r="E3934" s="196" t="s">
        <v>20474</v>
      </c>
      <c r="F3934" s="196" t="s">
        <v>11241</v>
      </c>
      <c r="G3934" s="196" t="s">
        <v>12378</v>
      </c>
      <c r="H3934" s="196" t="s">
        <v>11235</v>
      </c>
    </row>
    <row r="3935" spans="1:8" x14ac:dyDescent="0.15">
      <c r="A3935" s="196" t="s">
        <v>11229</v>
      </c>
      <c r="B3935" s="196" t="s">
        <v>11230</v>
      </c>
      <c r="C3935" s="196" t="s">
        <v>20475</v>
      </c>
      <c r="D3935" s="196" t="s">
        <v>20474</v>
      </c>
      <c r="E3935" s="196" t="s">
        <v>20476</v>
      </c>
      <c r="F3935" s="196" t="s">
        <v>11268</v>
      </c>
      <c r="G3935" s="196" t="s">
        <v>12378</v>
      </c>
      <c r="H3935" s="196" t="s">
        <v>11235</v>
      </c>
    </row>
    <row r="3936" spans="1:8" x14ac:dyDescent="0.15">
      <c r="A3936" s="196" t="s">
        <v>11229</v>
      </c>
      <c r="B3936" s="196" t="s">
        <v>11230</v>
      </c>
      <c r="C3936" s="196" t="s">
        <v>20477</v>
      </c>
      <c r="D3936" s="196" t="s">
        <v>20476</v>
      </c>
      <c r="E3936" s="196" t="s">
        <v>20478</v>
      </c>
      <c r="F3936" s="196" t="s">
        <v>11241</v>
      </c>
      <c r="G3936" s="196" t="s">
        <v>12378</v>
      </c>
      <c r="H3936" s="196" t="s">
        <v>11235</v>
      </c>
    </row>
    <row r="3937" spans="1:8" x14ac:dyDescent="0.15">
      <c r="A3937" s="196" t="s">
        <v>11229</v>
      </c>
      <c r="B3937" s="196" t="s">
        <v>11230</v>
      </c>
      <c r="C3937" s="196" t="s">
        <v>20479</v>
      </c>
      <c r="D3937" s="196" t="s">
        <v>20478</v>
      </c>
      <c r="E3937" s="196" t="s">
        <v>20480</v>
      </c>
      <c r="F3937" s="196" t="s">
        <v>11241</v>
      </c>
      <c r="G3937" s="196" t="s">
        <v>12378</v>
      </c>
      <c r="H3937" s="196" t="s">
        <v>11235</v>
      </c>
    </row>
    <row r="3938" spans="1:8" x14ac:dyDescent="0.15">
      <c r="A3938" s="196" t="s">
        <v>11229</v>
      </c>
      <c r="B3938" s="196" t="s">
        <v>11230</v>
      </c>
      <c r="C3938" s="196" t="s">
        <v>20481</v>
      </c>
      <c r="D3938" s="196" t="s">
        <v>20480</v>
      </c>
      <c r="E3938" s="196" t="s">
        <v>20482</v>
      </c>
      <c r="F3938" s="196" t="s">
        <v>11268</v>
      </c>
      <c r="G3938" s="196" t="s">
        <v>12378</v>
      </c>
      <c r="H3938" s="196" t="s">
        <v>11235</v>
      </c>
    </row>
    <row r="3939" spans="1:8" x14ac:dyDescent="0.15">
      <c r="A3939" s="196" t="s">
        <v>11229</v>
      </c>
      <c r="B3939" s="196" t="s">
        <v>11230</v>
      </c>
      <c r="C3939" s="196" t="s">
        <v>20483</v>
      </c>
      <c r="D3939" s="196" t="s">
        <v>20482</v>
      </c>
      <c r="E3939" s="196" t="s">
        <v>20484</v>
      </c>
      <c r="F3939" s="196" t="s">
        <v>11241</v>
      </c>
      <c r="G3939" s="196" t="s">
        <v>12378</v>
      </c>
      <c r="H3939" s="196" t="s">
        <v>11235</v>
      </c>
    </row>
    <row r="3940" spans="1:8" x14ac:dyDescent="0.15">
      <c r="A3940" s="196" t="s">
        <v>11229</v>
      </c>
      <c r="B3940" s="196" t="s">
        <v>11230</v>
      </c>
      <c r="C3940" s="196" t="s">
        <v>20485</v>
      </c>
      <c r="D3940" s="196" t="s">
        <v>20484</v>
      </c>
      <c r="E3940" s="196" t="s">
        <v>20486</v>
      </c>
      <c r="F3940" s="196" t="s">
        <v>11268</v>
      </c>
      <c r="G3940" s="196" t="s">
        <v>12378</v>
      </c>
      <c r="H3940" s="196" t="s">
        <v>11235</v>
      </c>
    </row>
    <row r="3941" spans="1:8" x14ac:dyDescent="0.15">
      <c r="A3941" s="196" t="s">
        <v>11229</v>
      </c>
      <c r="B3941" s="196" t="s">
        <v>11230</v>
      </c>
      <c r="C3941" s="196" t="s">
        <v>20487</v>
      </c>
      <c r="D3941" s="196" t="s">
        <v>20486</v>
      </c>
      <c r="E3941" s="196" t="s">
        <v>20488</v>
      </c>
      <c r="F3941" s="196" t="s">
        <v>11241</v>
      </c>
      <c r="G3941" s="196" t="s">
        <v>12378</v>
      </c>
      <c r="H3941" s="196" t="s">
        <v>11235</v>
      </c>
    </row>
    <row r="3942" spans="1:8" x14ac:dyDescent="0.15">
      <c r="A3942" s="196" t="s">
        <v>11229</v>
      </c>
      <c r="B3942" s="196" t="s">
        <v>11230</v>
      </c>
      <c r="C3942" s="196" t="s">
        <v>20489</v>
      </c>
      <c r="D3942" s="196" t="s">
        <v>20488</v>
      </c>
      <c r="E3942" s="196" t="s">
        <v>20490</v>
      </c>
      <c r="F3942" s="196" t="s">
        <v>11241</v>
      </c>
      <c r="G3942" s="196" t="s">
        <v>12378</v>
      </c>
      <c r="H3942" s="196" t="s">
        <v>11235</v>
      </c>
    </row>
    <row r="3943" spans="1:8" x14ac:dyDescent="0.15">
      <c r="A3943" s="196" t="s">
        <v>11229</v>
      </c>
      <c r="B3943" s="196" t="s">
        <v>11230</v>
      </c>
      <c r="C3943" s="196" t="s">
        <v>20491</v>
      </c>
      <c r="D3943" s="196" t="s">
        <v>20490</v>
      </c>
      <c r="E3943" s="196" t="s">
        <v>20492</v>
      </c>
      <c r="F3943" s="196" t="s">
        <v>11268</v>
      </c>
      <c r="G3943" s="196" t="s">
        <v>12378</v>
      </c>
      <c r="H3943" s="196" t="s">
        <v>11235</v>
      </c>
    </row>
    <row r="3944" spans="1:8" x14ac:dyDescent="0.15">
      <c r="A3944" s="196" t="s">
        <v>11229</v>
      </c>
      <c r="B3944" s="196" t="s">
        <v>11230</v>
      </c>
      <c r="C3944" s="196" t="s">
        <v>20493</v>
      </c>
      <c r="D3944" s="196" t="s">
        <v>20494</v>
      </c>
      <c r="E3944" s="196" t="s">
        <v>20494</v>
      </c>
      <c r="F3944" s="196" t="s">
        <v>11233</v>
      </c>
      <c r="G3944" s="196" t="s">
        <v>12378</v>
      </c>
      <c r="H3944" s="196" t="s">
        <v>11235</v>
      </c>
    </row>
    <row r="3945" spans="1:8" x14ac:dyDescent="0.15">
      <c r="A3945" s="196" t="s">
        <v>11229</v>
      </c>
      <c r="B3945" s="196" t="s">
        <v>11230</v>
      </c>
      <c r="C3945" s="196" t="s">
        <v>20495</v>
      </c>
      <c r="D3945" s="196" t="s">
        <v>20496</v>
      </c>
      <c r="E3945" s="196" t="s">
        <v>20496</v>
      </c>
      <c r="F3945" s="196" t="s">
        <v>11233</v>
      </c>
      <c r="G3945" s="196" t="s">
        <v>12378</v>
      </c>
      <c r="H3945" s="196" t="s">
        <v>11235</v>
      </c>
    </row>
    <row r="3946" spans="1:8" x14ac:dyDescent="0.15">
      <c r="A3946" s="196" t="s">
        <v>11229</v>
      </c>
      <c r="B3946" s="196" t="s">
        <v>11230</v>
      </c>
      <c r="C3946" s="196" t="s">
        <v>20497</v>
      </c>
      <c r="D3946" s="196" t="s">
        <v>20498</v>
      </c>
      <c r="E3946" s="196" t="s">
        <v>20498</v>
      </c>
      <c r="F3946" s="196" t="s">
        <v>11233</v>
      </c>
      <c r="G3946" s="196" t="s">
        <v>12378</v>
      </c>
      <c r="H3946" s="196" t="s">
        <v>11235</v>
      </c>
    </row>
    <row r="3947" spans="1:8" x14ac:dyDescent="0.15">
      <c r="A3947" s="196" t="s">
        <v>11229</v>
      </c>
      <c r="B3947" s="196" t="s">
        <v>11230</v>
      </c>
      <c r="C3947" s="196" t="s">
        <v>20499</v>
      </c>
      <c r="D3947" s="196" t="s">
        <v>20500</v>
      </c>
      <c r="E3947" s="196" t="s">
        <v>20500</v>
      </c>
      <c r="F3947" s="196" t="s">
        <v>11233</v>
      </c>
      <c r="G3947" s="196" t="s">
        <v>12378</v>
      </c>
      <c r="H3947" s="196" t="s">
        <v>11235</v>
      </c>
    </row>
    <row r="3948" spans="1:8" x14ac:dyDescent="0.15">
      <c r="A3948" s="196" t="s">
        <v>11229</v>
      </c>
      <c r="B3948" s="196" t="s">
        <v>11230</v>
      </c>
      <c r="C3948" s="196" t="s">
        <v>20501</v>
      </c>
      <c r="D3948" s="196" t="s">
        <v>20502</v>
      </c>
      <c r="E3948" s="196" t="s">
        <v>20502</v>
      </c>
      <c r="F3948" s="196" t="s">
        <v>11233</v>
      </c>
      <c r="G3948" s="196" t="s">
        <v>12378</v>
      </c>
      <c r="H3948" s="196" t="s">
        <v>11235</v>
      </c>
    </row>
    <row r="3949" spans="1:8" x14ac:dyDescent="0.15">
      <c r="A3949" s="196" t="s">
        <v>11229</v>
      </c>
      <c r="B3949" s="196" t="s">
        <v>11230</v>
      </c>
      <c r="C3949" s="196" t="s">
        <v>20503</v>
      </c>
      <c r="D3949" s="196" t="s">
        <v>20504</v>
      </c>
      <c r="E3949" s="196" t="s">
        <v>20504</v>
      </c>
      <c r="F3949" s="196" t="s">
        <v>11233</v>
      </c>
      <c r="G3949" s="196" t="s">
        <v>12378</v>
      </c>
      <c r="H3949" s="196" t="s">
        <v>11235</v>
      </c>
    </row>
    <row r="3950" spans="1:8" x14ac:dyDescent="0.15">
      <c r="A3950" s="196" t="s">
        <v>11229</v>
      </c>
      <c r="B3950" s="196" t="s">
        <v>11230</v>
      </c>
      <c r="C3950" s="196" t="s">
        <v>20505</v>
      </c>
      <c r="D3950" s="196" t="s">
        <v>20506</v>
      </c>
      <c r="E3950" s="196" t="s">
        <v>20506</v>
      </c>
      <c r="F3950" s="196" t="s">
        <v>11233</v>
      </c>
      <c r="G3950" s="196" t="s">
        <v>12378</v>
      </c>
      <c r="H3950" s="196" t="s">
        <v>11235</v>
      </c>
    </row>
    <row r="3951" spans="1:8" x14ac:dyDescent="0.15">
      <c r="A3951" s="196" t="s">
        <v>11229</v>
      </c>
      <c r="B3951" s="196" t="s">
        <v>11230</v>
      </c>
      <c r="C3951" s="196" t="s">
        <v>20507</v>
      </c>
      <c r="D3951" s="196" t="s">
        <v>20508</v>
      </c>
      <c r="E3951" s="196" t="s">
        <v>20508</v>
      </c>
      <c r="F3951" s="196" t="s">
        <v>11233</v>
      </c>
      <c r="G3951" s="196" t="s">
        <v>12378</v>
      </c>
      <c r="H3951" s="196" t="s">
        <v>11235</v>
      </c>
    </row>
    <row r="3952" spans="1:8" x14ac:dyDescent="0.15">
      <c r="A3952" s="196" t="s">
        <v>11229</v>
      </c>
      <c r="B3952" s="196" t="s">
        <v>11230</v>
      </c>
      <c r="C3952" s="196" t="s">
        <v>20509</v>
      </c>
      <c r="D3952" s="196" t="s">
        <v>20510</v>
      </c>
      <c r="E3952" s="196" t="s">
        <v>20510</v>
      </c>
      <c r="F3952" s="196" t="s">
        <v>11233</v>
      </c>
      <c r="G3952" s="196" t="s">
        <v>12378</v>
      </c>
      <c r="H3952" s="196" t="s">
        <v>11235</v>
      </c>
    </row>
    <row r="3953" spans="1:8" x14ac:dyDescent="0.15">
      <c r="A3953" s="196" t="s">
        <v>11229</v>
      </c>
      <c r="B3953" s="196" t="s">
        <v>11230</v>
      </c>
      <c r="C3953" s="196" t="s">
        <v>20511</v>
      </c>
      <c r="D3953" s="196" t="s">
        <v>20512</v>
      </c>
      <c r="E3953" s="196" t="s">
        <v>20512</v>
      </c>
      <c r="F3953" s="196" t="s">
        <v>11233</v>
      </c>
      <c r="G3953" s="196" t="s">
        <v>12378</v>
      </c>
      <c r="H3953" s="196" t="s">
        <v>11235</v>
      </c>
    </row>
    <row r="3954" spans="1:8" x14ac:dyDescent="0.15">
      <c r="A3954" s="196" t="s">
        <v>11229</v>
      </c>
      <c r="B3954" s="196" t="s">
        <v>11230</v>
      </c>
      <c r="C3954" s="196" t="s">
        <v>20513</v>
      </c>
      <c r="D3954" s="196" t="s">
        <v>20514</v>
      </c>
      <c r="E3954" s="196" t="s">
        <v>20514</v>
      </c>
      <c r="F3954" s="196" t="s">
        <v>11233</v>
      </c>
      <c r="G3954" s="196" t="s">
        <v>12378</v>
      </c>
      <c r="H3954" s="196" t="s">
        <v>11235</v>
      </c>
    </row>
    <row r="3955" spans="1:8" x14ac:dyDescent="0.15">
      <c r="A3955" s="196" t="s">
        <v>11229</v>
      </c>
      <c r="B3955" s="196" t="s">
        <v>11230</v>
      </c>
      <c r="C3955" s="196" t="s">
        <v>20515</v>
      </c>
      <c r="D3955" s="196" t="s">
        <v>20516</v>
      </c>
      <c r="E3955" s="196" t="s">
        <v>20516</v>
      </c>
      <c r="F3955" s="196" t="s">
        <v>11233</v>
      </c>
      <c r="G3955" s="196" t="s">
        <v>12378</v>
      </c>
      <c r="H3955" s="196" t="s">
        <v>11235</v>
      </c>
    </row>
    <row r="3956" spans="1:8" x14ac:dyDescent="0.15">
      <c r="A3956" s="196" t="s">
        <v>11229</v>
      </c>
      <c r="B3956" s="196" t="s">
        <v>11230</v>
      </c>
      <c r="C3956" s="196" t="s">
        <v>20517</v>
      </c>
      <c r="D3956" s="196" t="s">
        <v>20518</v>
      </c>
      <c r="E3956" s="196" t="s">
        <v>20518</v>
      </c>
      <c r="F3956" s="196" t="s">
        <v>11233</v>
      </c>
      <c r="G3956" s="196" t="s">
        <v>12378</v>
      </c>
      <c r="H3956" s="196" t="s">
        <v>11235</v>
      </c>
    </row>
    <row r="3957" spans="1:8" x14ac:dyDescent="0.15">
      <c r="A3957" s="196" t="s">
        <v>11229</v>
      </c>
      <c r="B3957" s="196" t="s">
        <v>11230</v>
      </c>
      <c r="C3957" s="196" t="s">
        <v>20519</v>
      </c>
      <c r="D3957" s="196" t="s">
        <v>20520</v>
      </c>
      <c r="E3957" s="196" t="s">
        <v>20520</v>
      </c>
      <c r="F3957" s="196" t="s">
        <v>11233</v>
      </c>
      <c r="G3957" s="196" t="s">
        <v>12378</v>
      </c>
      <c r="H3957" s="196" t="s">
        <v>11235</v>
      </c>
    </row>
    <row r="3958" spans="1:8" x14ac:dyDescent="0.15">
      <c r="A3958" s="196" t="s">
        <v>11229</v>
      </c>
      <c r="B3958" s="196" t="s">
        <v>11230</v>
      </c>
      <c r="C3958" s="196" t="s">
        <v>20521</v>
      </c>
      <c r="D3958" s="196" t="s">
        <v>20522</v>
      </c>
      <c r="E3958" s="196" t="s">
        <v>20522</v>
      </c>
      <c r="F3958" s="196" t="s">
        <v>11233</v>
      </c>
      <c r="G3958" s="196" t="s">
        <v>12378</v>
      </c>
      <c r="H3958" s="196" t="s">
        <v>11235</v>
      </c>
    </row>
    <row r="3959" spans="1:8" x14ac:dyDescent="0.15">
      <c r="A3959" s="196" t="s">
        <v>11229</v>
      </c>
      <c r="B3959" s="196" t="s">
        <v>11230</v>
      </c>
      <c r="C3959" s="196" t="s">
        <v>20523</v>
      </c>
      <c r="D3959" s="196" t="s">
        <v>20524</v>
      </c>
      <c r="E3959" s="196" t="s">
        <v>20524</v>
      </c>
      <c r="F3959" s="196" t="s">
        <v>11233</v>
      </c>
      <c r="G3959" s="196" t="s">
        <v>12378</v>
      </c>
      <c r="H3959" s="196" t="s">
        <v>11235</v>
      </c>
    </row>
    <row r="3960" spans="1:8" x14ac:dyDescent="0.15">
      <c r="A3960" s="196" t="s">
        <v>11229</v>
      </c>
      <c r="B3960" s="196" t="s">
        <v>11230</v>
      </c>
      <c r="C3960" s="196" t="s">
        <v>20525</v>
      </c>
      <c r="D3960" s="196" t="s">
        <v>20526</v>
      </c>
      <c r="E3960" s="196" t="s">
        <v>20526</v>
      </c>
      <c r="F3960" s="196" t="s">
        <v>11233</v>
      </c>
      <c r="G3960" s="196" t="s">
        <v>12378</v>
      </c>
      <c r="H3960" s="196" t="s">
        <v>11235</v>
      </c>
    </row>
    <row r="3961" spans="1:8" x14ac:dyDescent="0.15">
      <c r="A3961" s="196" t="s">
        <v>11229</v>
      </c>
      <c r="B3961" s="196" t="s">
        <v>11230</v>
      </c>
      <c r="C3961" s="196" t="s">
        <v>20527</v>
      </c>
      <c r="D3961" s="196" t="s">
        <v>20528</v>
      </c>
      <c r="E3961" s="196" t="s">
        <v>20528</v>
      </c>
      <c r="F3961" s="196" t="s">
        <v>11233</v>
      </c>
      <c r="G3961" s="196" t="s">
        <v>12378</v>
      </c>
      <c r="H3961" s="196" t="s">
        <v>11235</v>
      </c>
    </row>
    <row r="3962" spans="1:8" x14ac:dyDescent="0.15">
      <c r="A3962" s="196" t="s">
        <v>11229</v>
      </c>
      <c r="B3962" s="196" t="s">
        <v>11230</v>
      </c>
      <c r="C3962" s="196" t="s">
        <v>20529</v>
      </c>
      <c r="D3962" s="196" t="s">
        <v>20530</v>
      </c>
      <c r="E3962" s="196" t="s">
        <v>20530</v>
      </c>
      <c r="F3962" s="196" t="s">
        <v>11233</v>
      </c>
      <c r="G3962" s="196" t="s">
        <v>12378</v>
      </c>
      <c r="H3962" s="196" t="s">
        <v>11235</v>
      </c>
    </row>
    <row r="3963" spans="1:8" x14ac:dyDescent="0.15">
      <c r="A3963" s="196" t="s">
        <v>11229</v>
      </c>
      <c r="B3963" s="196" t="s">
        <v>11230</v>
      </c>
      <c r="C3963" s="196" t="s">
        <v>20531</v>
      </c>
      <c r="D3963" s="196" t="s">
        <v>20532</v>
      </c>
      <c r="E3963" s="196" t="s">
        <v>20532</v>
      </c>
      <c r="F3963" s="196" t="s">
        <v>11233</v>
      </c>
      <c r="G3963" s="196" t="s">
        <v>12378</v>
      </c>
      <c r="H3963" s="196" t="s">
        <v>11235</v>
      </c>
    </row>
    <row r="3964" spans="1:8" x14ac:dyDescent="0.15">
      <c r="A3964" s="196" t="s">
        <v>11229</v>
      </c>
      <c r="B3964" s="196" t="s">
        <v>11230</v>
      </c>
      <c r="C3964" s="196" t="s">
        <v>20533</v>
      </c>
      <c r="D3964" s="196" t="s">
        <v>20534</v>
      </c>
      <c r="E3964" s="196" t="s">
        <v>20534</v>
      </c>
      <c r="F3964" s="196" t="s">
        <v>11233</v>
      </c>
      <c r="G3964" s="196" t="s">
        <v>12378</v>
      </c>
      <c r="H3964" s="196" t="s">
        <v>11235</v>
      </c>
    </row>
    <row r="3965" spans="1:8" x14ac:dyDescent="0.15">
      <c r="A3965" s="196" t="s">
        <v>11229</v>
      </c>
      <c r="B3965" s="196" t="s">
        <v>11230</v>
      </c>
      <c r="C3965" s="196" t="s">
        <v>20535</v>
      </c>
      <c r="D3965" s="196" t="s">
        <v>20536</v>
      </c>
      <c r="E3965" s="196" t="s">
        <v>20536</v>
      </c>
      <c r="F3965" s="196" t="s">
        <v>11233</v>
      </c>
      <c r="G3965" s="196" t="s">
        <v>12378</v>
      </c>
      <c r="H3965" s="196" t="s">
        <v>11235</v>
      </c>
    </row>
    <row r="3966" spans="1:8" x14ac:dyDescent="0.15">
      <c r="A3966" s="196" t="s">
        <v>11229</v>
      </c>
      <c r="B3966" s="196" t="s">
        <v>11230</v>
      </c>
      <c r="C3966" s="196" t="s">
        <v>20537</v>
      </c>
      <c r="D3966" s="196" t="s">
        <v>20538</v>
      </c>
      <c r="E3966" s="196" t="s">
        <v>20538</v>
      </c>
      <c r="F3966" s="196" t="s">
        <v>11233</v>
      </c>
      <c r="G3966" s="196" t="s">
        <v>12378</v>
      </c>
      <c r="H3966" s="196" t="s">
        <v>11235</v>
      </c>
    </row>
    <row r="3967" spans="1:8" x14ac:dyDescent="0.15">
      <c r="A3967" s="196" t="s">
        <v>11229</v>
      </c>
      <c r="B3967" s="196" t="s">
        <v>11230</v>
      </c>
      <c r="C3967" s="196" t="s">
        <v>20539</v>
      </c>
      <c r="D3967" s="196" t="s">
        <v>20540</v>
      </c>
      <c r="E3967" s="196" t="s">
        <v>20540</v>
      </c>
      <c r="F3967" s="196" t="s">
        <v>11233</v>
      </c>
      <c r="G3967" s="196" t="s">
        <v>12378</v>
      </c>
      <c r="H3967" s="196" t="s">
        <v>11235</v>
      </c>
    </row>
    <row r="3968" spans="1:8" x14ac:dyDescent="0.15">
      <c r="A3968" s="196" t="s">
        <v>11229</v>
      </c>
      <c r="B3968" s="196" t="s">
        <v>11230</v>
      </c>
      <c r="C3968" s="196" t="s">
        <v>20541</v>
      </c>
      <c r="D3968" s="196" t="s">
        <v>20542</v>
      </c>
      <c r="E3968" s="196" t="s">
        <v>20542</v>
      </c>
      <c r="F3968" s="196" t="s">
        <v>11233</v>
      </c>
      <c r="G3968" s="196" t="s">
        <v>12378</v>
      </c>
      <c r="H3968" s="196" t="s">
        <v>11235</v>
      </c>
    </row>
    <row r="3969" spans="1:8" x14ac:dyDescent="0.15">
      <c r="A3969" s="196" t="s">
        <v>11229</v>
      </c>
      <c r="B3969" s="196" t="s">
        <v>11230</v>
      </c>
      <c r="C3969" s="196" t="s">
        <v>20543</v>
      </c>
      <c r="D3969" s="196" t="s">
        <v>20544</v>
      </c>
      <c r="E3969" s="196" t="s">
        <v>20544</v>
      </c>
      <c r="F3969" s="196" t="s">
        <v>11233</v>
      </c>
      <c r="G3969" s="196" t="s">
        <v>12378</v>
      </c>
      <c r="H3969" s="196" t="s">
        <v>11235</v>
      </c>
    </row>
    <row r="3970" spans="1:8" x14ac:dyDescent="0.15">
      <c r="A3970" s="196" t="s">
        <v>11229</v>
      </c>
      <c r="B3970" s="196" t="s">
        <v>11230</v>
      </c>
      <c r="C3970" s="196" t="s">
        <v>20545</v>
      </c>
      <c r="D3970" s="196" t="s">
        <v>20546</v>
      </c>
      <c r="E3970" s="196" t="s">
        <v>20546</v>
      </c>
      <c r="F3970" s="196" t="s">
        <v>11233</v>
      </c>
      <c r="G3970" s="196" t="s">
        <v>12378</v>
      </c>
      <c r="H3970" s="196" t="s">
        <v>11235</v>
      </c>
    </row>
    <row r="3971" spans="1:8" x14ac:dyDescent="0.15">
      <c r="A3971" s="196" t="s">
        <v>11229</v>
      </c>
      <c r="B3971" s="196" t="s">
        <v>11230</v>
      </c>
      <c r="C3971" s="196" t="s">
        <v>20547</v>
      </c>
      <c r="D3971" s="196" t="s">
        <v>20548</v>
      </c>
      <c r="E3971" s="196" t="s">
        <v>20548</v>
      </c>
      <c r="F3971" s="196" t="s">
        <v>11233</v>
      </c>
      <c r="G3971" s="196" t="s">
        <v>12378</v>
      </c>
      <c r="H3971" s="196" t="s">
        <v>11235</v>
      </c>
    </row>
    <row r="3972" spans="1:8" x14ac:dyDescent="0.15">
      <c r="A3972" s="196" t="s">
        <v>11229</v>
      </c>
      <c r="B3972" s="196" t="s">
        <v>11230</v>
      </c>
      <c r="C3972" s="196" t="s">
        <v>20549</v>
      </c>
      <c r="D3972" s="196" t="s">
        <v>20550</v>
      </c>
      <c r="E3972" s="196" t="s">
        <v>20550</v>
      </c>
      <c r="F3972" s="196" t="s">
        <v>11233</v>
      </c>
      <c r="G3972" s="196" t="s">
        <v>12378</v>
      </c>
      <c r="H3972" s="196" t="s">
        <v>11235</v>
      </c>
    </row>
    <row r="3973" spans="1:8" x14ac:dyDescent="0.15">
      <c r="A3973" s="196" t="s">
        <v>11229</v>
      </c>
      <c r="B3973" s="196" t="s">
        <v>11230</v>
      </c>
      <c r="C3973" s="196" t="s">
        <v>20551</v>
      </c>
      <c r="D3973" s="196" t="s">
        <v>20552</v>
      </c>
      <c r="E3973" s="196" t="s">
        <v>20552</v>
      </c>
      <c r="F3973" s="196" t="s">
        <v>11233</v>
      </c>
      <c r="G3973" s="196" t="s">
        <v>12378</v>
      </c>
      <c r="H3973" s="196" t="s">
        <v>11235</v>
      </c>
    </row>
    <row r="3974" spans="1:8" x14ac:dyDescent="0.15">
      <c r="A3974" s="196" t="s">
        <v>11229</v>
      </c>
      <c r="B3974" s="196" t="s">
        <v>11230</v>
      </c>
      <c r="C3974" s="196" t="s">
        <v>20553</v>
      </c>
      <c r="D3974" s="196" t="s">
        <v>20554</v>
      </c>
      <c r="E3974" s="196" t="s">
        <v>20554</v>
      </c>
      <c r="F3974" s="196" t="s">
        <v>11233</v>
      </c>
      <c r="G3974" s="196" t="s">
        <v>12378</v>
      </c>
      <c r="H3974" s="196" t="s">
        <v>11235</v>
      </c>
    </row>
    <row r="3975" spans="1:8" x14ac:dyDescent="0.15">
      <c r="A3975" s="196" t="s">
        <v>11229</v>
      </c>
      <c r="B3975" s="196" t="s">
        <v>11230</v>
      </c>
      <c r="C3975" s="196" t="s">
        <v>20555</v>
      </c>
      <c r="D3975" s="196" t="s">
        <v>20556</v>
      </c>
      <c r="E3975" s="196" t="s">
        <v>20556</v>
      </c>
      <c r="F3975" s="196" t="s">
        <v>11233</v>
      </c>
      <c r="G3975" s="196" t="s">
        <v>12378</v>
      </c>
      <c r="H3975" s="196" t="s">
        <v>11235</v>
      </c>
    </row>
    <row r="3976" spans="1:8" x14ac:dyDescent="0.15">
      <c r="A3976" s="196" t="s">
        <v>11229</v>
      </c>
      <c r="B3976" s="196" t="s">
        <v>11230</v>
      </c>
      <c r="C3976" s="196" t="s">
        <v>20557</v>
      </c>
      <c r="D3976" s="196" t="s">
        <v>20558</v>
      </c>
      <c r="E3976" s="196" t="s">
        <v>20558</v>
      </c>
      <c r="F3976" s="196" t="s">
        <v>11233</v>
      </c>
      <c r="G3976" s="196" t="s">
        <v>12378</v>
      </c>
      <c r="H3976" s="196" t="s">
        <v>11235</v>
      </c>
    </row>
    <row r="3977" spans="1:8" x14ac:dyDescent="0.15">
      <c r="A3977" s="196" t="s">
        <v>11229</v>
      </c>
      <c r="B3977" s="196" t="s">
        <v>11230</v>
      </c>
      <c r="C3977" s="196" t="s">
        <v>20559</v>
      </c>
      <c r="D3977" s="196" t="s">
        <v>20560</v>
      </c>
      <c r="E3977" s="196" t="s">
        <v>20560</v>
      </c>
      <c r="F3977" s="196" t="s">
        <v>11233</v>
      </c>
      <c r="G3977" s="196" t="s">
        <v>12378</v>
      </c>
      <c r="H3977" s="196" t="s">
        <v>11235</v>
      </c>
    </row>
    <row r="3978" spans="1:8" x14ac:dyDescent="0.15">
      <c r="A3978" s="196" t="s">
        <v>11229</v>
      </c>
      <c r="B3978" s="196" t="s">
        <v>11230</v>
      </c>
      <c r="C3978" s="196" t="s">
        <v>20561</v>
      </c>
      <c r="D3978" s="196" t="s">
        <v>20562</v>
      </c>
      <c r="E3978" s="196" t="s">
        <v>20562</v>
      </c>
      <c r="F3978" s="196" t="s">
        <v>11233</v>
      </c>
      <c r="G3978" s="196" t="s">
        <v>12378</v>
      </c>
      <c r="H3978" s="196" t="s">
        <v>11235</v>
      </c>
    </row>
    <row r="3979" spans="1:8" x14ac:dyDescent="0.15">
      <c r="A3979" s="196" t="s">
        <v>11229</v>
      </c>
      <c r="B3979" s="196" t="s">
        <v>11230</v>
      </c>
      <c r="C3979" s="196" t="s">
        <v>20563</v>
      </c>
      <c r="D3979" s="196" t="s">
        <v>20564</v>
      </c>
      <c r="E3979" s="196" t="s">
        <v>20565</v>
      </c>
      <c r="F3979" s="196" t="s">
        <v>11241</v>
      </c>
      <c r="G3979" s="196" t="s">
        <v>12378</v>
      </c>
      <c r="H3979" s="196" t="s">
        <v>11235</v>
      </c>
    </row>
    <row r="3980" spans="1:8" x14ac:dyDescent="0.15">
      <c r="A3980" s="196" t="s">
        <v>11229</v>
      </c>
      <c r="B3980" s="196" t="s">
        <v>11230</v>
      </c>
      <c r="C3980" s="196" t="s">
        <v>20566</v>
      </c>
      <c r="D3980" s="196" t="s">
        <v>20565</v>
      </c>
      <c r="E3980" s="196" t="s">
        <v>20567</v>
      </c>
      <c r="F3980" s="196" t="s">
        <v>11241</v>
      </c>
      <c r="G3980" s="196" t="s">
        <v>12378</v>
      </c>
      <c r="H3980" s="196" t="s">
        <v>11235</v>
      </c>
    </row>
    <row r="3981" spans="1:8" x14ac:dyDescent="0.15">
      <c r="A3981" s="196" t="s">
        <v>11229</v>
      </c>
      <c r="B3981" s="196" t="s">
        <v>11230</v>
      </c>
      <c r="C3981" s="196" t="s">
        <v>20568</v>
      </c>
      <c r="D3981" s="196" t="s">
        <v>20567</v>
      </c>
      <c r="E3981" s="196" t="s">
        <v>20569</v>
      </c>
      <c r="F3981" s="196" t="s">
        <v>11268</v>
      </c>
      <c r="G3981" s="196" t="s">
        <v>12378</v>
      </c>
      <c r="H3981" s="196" t="s">
        <v>11235</v>
      </c>
    </row>
    <row r="3982" spans="1:8" x14ac:dyDescent="0.15">
      <c r="A3982" s="196" t="s">
        <v>11229</v>
      </c>
      <c r="B3982" s="196" t="s">
        <v>11230</v>
      </c>
      <c r="C3982" s="196" t="s">
        <v>20570</v>
      </c>
      <c r="D3982" s="196" t="s">
        <v>20569</v>
      </c>
      <c r="E3982" s="196" t="s">
        <v>20571</v>
      </c>
      <c r="F3982" s="196" t="s">
        <v>11241</v>
      </c>
      <c r="G3982" s="196" t="s">
        <v>12378</v>
      </c>
      <c r="H3982" s="196" t="s">
        <v>11235</v>
      </c>
    </row>
    <row r="3983" spans="1:8" x14ac:dyDescent="0.15">
      <c r="A3983" s="196" t="s">
        <v>11229</v>
      </c>
      <c r="B3983" s="196" t="s">
        <v>11230</v>
      </c>
      <c r="C3983" s="196" t="s">
        <v>20572</v>
      </c>
      <c r="D3983" s="196" t="s">
        <v>20571</v>
      </c>
      <c r="E3983" s="196" t="s">
        <v>20573</v>
      </c>
      <c r="F3983" s="196" t="s">
        <v>11241</v>
      </c>
      <c r="G3983" s="196" t="s">
        <v>12378</v>
      </c>
      <c r="H3983" s="196" t="s">
        <v>11235</v>
      </c>
    </row>
    <row r="3984" spans="1:8" x14ac:dyDescent="0.15">
      <c r="A3984" s="196" t="s">
        <v>11229</v>
      </c>
      <c r="B3984" s="196" t="s">
        <v>11230</v>
      </c>
      <c r="C3984" s="196" t="s">
        <v>20574</v>
      </c>
      <c r="D3984" s="196" t="s">
        <v>20573</v>
      </c>
      <c r="E3984" s="196" t="s">
        <v>20575</v>
      </c>
      <c r="F3984" s="196" t="s">
        <v>11268</v>
      </c>
      <c r="G3984" s="196" t="s">
        <v>12378</v>
      </c>
      <c r="H3984" s="196" t="s">
        <v>11235</v>
      </c>
    </row>
    <row r="3985" spans="1:8" x14ac:dyDescent="0.15">
      <c r="A3985" s="196" t="s">
        <v>11229</v>
      </c>
      <c r="B3985" s="196" t="s">
        <v>11230</v>
      </c>
      <c r="C3985" s="196" t="s">
        <v>20576</v>
      </c>
      <c r="D3985" s="196" t="s">
        <v>20575</v>
      </c>
      <c r="E3985" s="196" t="s">
        <v>20577</v>
      </c>
      <c r="F3985" s="196" t="s">
        <v>11241</v>
      </c>
      <c r="G3985" s="196" t="s">
        <v>12378</v>
      </c>
      <c r="H3985" s="196" t="s">
        <v>11235</v>
      </c>
    </row>
    <row r="3986" spans="1:8" x14ac:dyDescent="0.15">
      <c r="A3986" s="196" t="s">
        <v>11229</v>
      </c>
      <c r="B3986" s="196" t="s">
        <v>11230</v>
      </c>
      <c r="C3986" s="196" t="s">
        <v>20578</v>
      </c>
      <c r="D3986" s="196" t="s">
        <v>20579</v>
      </c>
      <c r="E3986" s="196" t="s">
        <v>20579</v>
      </c>
      <c r="F3986" s="196" t="s">
        <v>11233</v>
      </c>
      <c r="G3986" s="196" t="s">
        <v>12378</v>
      </c>
      <c r="H3986" s="196" t="s">
        <v>11235</v>
      </c>
    </row>
    <row r="3987" spans="1:8" x14ac:dyDescent="0.15">
      <c r="A3987" s="196" t="s">
        <v>11229</v>
      </c>
      <c r="B3987" s="196" t="s">
        <v>11230</v>
      </c>
      <c r="C3987" s="196" t="s">
        <v>20580</v>
      </c>
      <c r="D3987" s="196" t="s">
        <v>20581</v>
      </c>
      <c r="E3987" s="196" t="s">
        <v>20581</v>
      </c>
      <c r="F3987" s="196" t="s">
        <v>11233</v>
      </c>
      <c r="G3987" s="196" t="s">
        <v>12378</v>
      </c>
      <c r="H3987" s="196" t="s">
        <v>11235</v>
      </c>
    </row>
    <row r="3988" spans="1:8" x14ac:dyDescent="0.15">
      <c r="A3988" s="196" t="s">
        <v>11229</v>
      </c>
      <c r="B3988" s="196" t="s">
        <v>11230</v>
      </c>
      <c r="C3988" s="196" t="s">
        <v>20582</v>
      </c>
      <c r="D3988" s="196" t="s">
        <v>20583</v>
      </c>
      <c r="E3988" s="196" t="s">
        <v>20583</v>
      </c>
      <c r="F3988" s="196" t="s">
        <v>11233</v>
      </c>
      <c r="G3988" s="196" t="s">
        <v>12378</v>
      </c>
      <c r="H3988" s="196" t="s">
        <v>11235</v>
      </c>
    </row>
    <row r="3989" spans="1:8" x14ac:dyDescent="0.15">
      <c r="A3989" s="196" t="s">
        <v>11229</v>
      </c>
      <c r="B3989" s="196" t="s">
        <v>11230</v>
      </c>
      <c r="C3989" s="196" t="s">
        <v>20584</v>
      </c>
      <c r="D3989" s="196" t="s">
        <v>20585</v>
      </c>
      <c r="E3989" s="196" t="s">
        <v>20585</v>
      </c>
      <c r="F3989" s="196" t="s">
        <v>11233</v>
      </c>
      <c r="G3989" s="196" t="s">
        <v>12378</v>
      </c>
      <c r="H3989" s="196" t="s">
        <v>11235</v>
      </c>
    </row>
    <row r="3990" spans="1:8" x14ac:dyDescent="0.15">
      <c r="A3990" s="196" t="s">
        <v>11229</v>
      </c>
      <c r="B3990" s="196" t="s">
        <v>11230</v>
      </c>
      <c r="C3990" s="196" t="s">
        <v>20586</v>
      </c>
      <c r="D3990" s="196" t="s">
        <v>20587</v>
      </c>
      <c r="E3990" s="196" t="s">
        <v>20587</v>
      </c>
      <c r="F3990" s="196" t="s">
        <v>11233</v>
      </c>
      <c r="G3990" s="196" t="s">
        <v>12378</v>
      </c>
      <c r="H3990" s="196" t="s">
        <v>11235</v>
      </c>
    </row>
    <row r="3991" spans="1:8" x14ac:dyDescent="0.15">
      <c r="A3991" s="196" t="s">
        <v>11229</v>
      </c>
      <c r="B3991" s="196" t="s">
        <v>11230</v>
      </c>
      <c r="C3991" s="196" t="s">
        <v>20588</v>
      </c>
      <c r="D3991" s="196" t="s">
        <v>20589</v>
      </c>
      <c r="E3991" s="196" t="s">
        <v>20589</v>
      </c>
      <c r="F3991" s="196" t="s">
        <v>11233</v>
      </c>
      <c r="G3991" s="196" t="s">
        <v>12378</v>
      </c>
      <c r="H3991" s="196" t="s">
        <v>11235</v>
      </c>
    </row>
    <row r="3992" spans="1:8" x14ac:dyDescent="0.15">
      <c r="A3992" s="196" t="s">
        <v>11229</v>
      </c>
      <c r="B3992" s="196" t="s">
        <v>11230</v>
      </c>
      <c r="C3992" s="196" t="s">
        <v>20590</v>
      </c>
      <c r="D3992" s="196" t="s">
        <v>20591</v>
      </c>
      <c r="E3992" s="196" t="s">
        <v>20591</v>
      </c>
      <c r="F3992" s="196" t="s">
        <v>11233</v>
      </c>
      <c r="G3992" s="196" t="s">
        <v>12378</v>
      </c>
      <c r="H3992" s="196" t="s">
        <v>11235</v>
      </c>
    </row>
    <row r="3993" spans="1:8" x14ac:dyDescent="0.15">
      <c r="A3993" s="196" t="s">
        <v>11229</v>
      </c>
      <c r="B3993" s="196" t="s">
        <v>11230</v>
      </c>
      <c r="C3993" s="196" t="s">
        <v>20592</v>
      </c>
      <c r="D3993" s="196" t="s">
        <v>20593</v>
      </c>
      <c r="E3993" s="196" t="s">
        <v>20593</v>
      </c>
      <c r="F3993" s="196" t="s">
        <v>11233</v>
      </c>
      <c r="G3993" s="196" t="s">
        <v>12378</v>
      </c>
      <c r="H3993" s="196" t="s">
        <v>11235</v>
      </c>
    </row>
    <row r="3994" spans="1:8" x14ac:dyDescent="0.15">
      <c r="A3994" s="196" t="s">
        <v>11229</v>
      </c>
      <c r="B3994" s="196" t="s">
        <v>11230</v>
      </c>
      <c r="C3994" s="196" t="s">
        <v>20594</v>
      </c>
      <c r="D3994" s="196" t="s">
        <v>20595</v>
      </c>
      <c r="E3994" s="196" t="s">
        <v>20595</v>
      </c>
      <c r="F3994" s="196" t="s">
        <v>11233</v>
      </c>
      <c r="G3994" s="196" t="s">
        <v>12378</v>
      </c>
      <c r="H3994" s="196" t="s">
        <v>11235</v>
      </c>
    </row>
    <row r="3995" spans="1:8" x14ac:dyDescent="0.15">
      <c r="A3995" s="196" t="s">
        <v>11229</v>
      </c>
      <c r="B3995" s="196" t="s">
        <v>11230</v>
      </c>
      <c r="C3995" s="196" t="s">
        <v>20596</v>
      </c>
      <c r="D3995" s="196" t="s">
        <v>20597</v>
      </c>
      <c r="E3995" s="196" t="s">
        <v>20597</v>
      </c>
      <c r="F3995" s="196" t="s">
        <v>11233</v>
      </c>
      <c r="G3995" s="196" t="s">
        <v>12378</v>
      </c>
      <c r="H3995" s="196" t="s">
        <v>11235</v>
      </c>
    </row>
    <row r="3996" spans="1:8" x14ac:dyDescent="0.15">
      <c r="A3996" s="196" t="s">
        <v>11229</v>
      </c>
      <c r="B3996" s="196" t="s">
        <v>11230</v>
      </c>
      <c r="C3996" s="196" t="s">
        <v>20598</v>
      </c>
      <c r="D3996" s="196" t="s">
        <v>20599</v>
      </c>
      <c r="E3996" s="196" t="s">
        <v>20599</v>
      </c>
      <c r="F3996" s="196" t="s">
        <v>11233</v>
      </c>
      <c r="G3996" s="196" t="s">
        <v>12378</v>
      </c>
      <c r="H3996" s="196" t="s">
        <v>11235</v>
      </c>
    </row>
    <row r="3997" spans="1:8" x14ac:dyDescent="0.15">
      <c r="A3997" s="196" t="s">
        <v>11229</v>
      </c>
      <c r="B3997" s="196" t="s">
        <v>11230</v>
      </c>
      <c r="C3997" s="196" t="s">
        <v>20600</v>
      </c>
      <c r="D3997" s="196" t="s">
        <v>20601</v>
      </c>
      <c r="E3997" s="196" t="s">
        <v>20601</v>
      </c>
      <c r="F3997" s="196" t="s">
        <v>11233</v>
      </c>
      <c r="G3997" s="196" t="s">
        <v>12378</v>
      </c>
      <c r="H3997" s="196" t="s">
        <v>11235</v>
      </c>
    </row>
    <row r="3998" spans="1:8" x14ac:dyDescent="0.15">
      <c r="A3998" s="196" t="s">
        <v>11229</v>
      </c>
      <c r="B3998" s="196" t="s">
        <v>11230</v>
      </c>
      <c r="C3998" s="196" t="s">
        <v>20602</v>
      </c>
      <c r="D3998" s="196" t="s">
        <v>20603</v>
      </c>
      <c r="E3998" s="196" t="s">
        <v>20603</v>
      </c>
      <c r="F3998" s="196" t="s">
        <v>11233</v>
      </c>
      <c r="G3998" s="196" t="s">
        <v>12378</v>
      </c>
      <c r="H3998" s="196" t="s">
        <v>11235</v>
      </c>
    </row>
    <row r="3999" spans="1:8" x14ac:dyDescent="0.15">
      <c r="A3999" s="196" t="s">
        <v>11229</v>
      </c>
      <c r="B3999" s="196" t="s">
        <v>11230</v>
      </c>
      <c r="C3999" s="196" t="s">
        <v>20604</v>
      </c>
      <c r="D3999" s="196" t="s">
        <v>20605</v>
      </c>
      <c r="E3999" s="196" t="s">
        <v>20605</v>
      </c>
      <c r="F3999" s="196" t="s">
        <v>11233</v>
      </c>
      <c r="G3999" s="196" t="s">
        <v>12378</v>
      </c>
      <c r="H3999" s="196" t="s">
        <v>11235</v>
      </c>
    </row>
    <row r="4000" spans="1:8" x14ac:dyDescent="0.15">
      <c r="A4000" s="196" t="s">
        <v>11229</v>
      </c>
      <c r="B4000" s="196" t="s">
        <v>11230</v>
      </c>
      <c r="C4000" s="196" t="s">
        <v>20606</v>
      </c>
      <c r="D4000" s="196" t="s">
        <v>20607</v>
      </c>
      <c r="E4000" s="196" t="s">
        <v>20607</v>
      </c>
      <c r="F4000" s="196" t="s">
        <v>11233</v>
      </c>
      <c r="G4000" s="196" t="s">
        <v>12378</v>
      </c>
      <c r="H4000" s="196" t="s">
        <v>11235</v>
      </c>
    </row>
    <row r="4001" spans="1:8" x14ac:dyDescent="0.15">
      <c r="A4001" s="196" t="s">
        <v>11229</v>
      </c>
      <c r="B4001" s="196" t="s">
        <v>11230</v>
      </c>
      <c r="C4001" s="196" t="s">
        <v>20608</v>
      </c>
      <c r="D4001" s="196" t="s">
        <v>20609</v>
      </c>
      <c r="E4001" s="196" t="s">
        <v>20609</v>
      </c>
      <c r="F4001" s="196" t="s">
        <v>11233</v>
      </c>
      <c r="G4001" s="196" t="s">
        <v>12378</v>
      </c>
      <c r="H4001" s="196" t="s">
        <v>11235</v>
      </c>
    </row>
    <row r="4002" spans="1:8" x14ac:dyDescent="0.15">
      <c r="A4002" s="196" t="s">
        <v>11229</v>
      </c>
      <c r="B4002" s="196" t="s">
        <v>11230</v>
      </c>
      <c r="C4002" s="196" t="s">
        <v>20610</v>
      </c>
      <c r="D4002" s="196" t="s">
        <v>20611</v>
      </c>
      <c r="E4002" s="196" t="s">
        <v>20611</v>
      </c>
      <c r="F4002" s="196" t="s">
        <v>11233</v>
      </c>
      <c r="G4002" s="196" t="s">
        <v>12378</v>
      </c>
      <c r="H4002" s="196" t="s">
        <v>11235</v>
      </c>
    </row>
    <row r="4003" spans="1:8" x14ac:dyDescent="0.15">
      <c r="A4003" s="196" t="s">
        <v>11229</v>
      </c>
      <c r="B4003" s="196" t="s">
        <v>11230</v>
      </c>
      <c r="C4003" s="196" t="s">
        <v>20612</v>
      </c>
      <c r="D4003" s="196" t="s">
        <v>20613</v>
      </c>
      <c r="E4003" s="196" t="s">
        <v>20613</v>
      </c>
      <c r="F4003" s="196" t="s">
        <v>11233</v>
      </c>
      <c r="G4003" s="196" t="s">
        <v>12378</v>
      </c>
      <c r="H4003" s="196" t="s">
        <v>11235</v>
      </c>
    </row>
    <row r="4004" spans="1:8" x14ac:dyDescent="0.15">
      <c r="A4004" s="196" t="s">
        <v>11229</v>
      </c>
      <c r="B4004" s="196" t="s">
        <v>11230</v>
      </c>
      <c r="C4004" s="196" t="s">
        <v>20614</v>
      </c>
      <c r="D4004" s="196" t="s">
        <v>20615</v>
      </c>
      <c r="E4004" s="196" t="s">
        <v>20615</v>
      </c>
      <c r="F4004" s="196" t="s">
        <v>11233</v>
      </c>
      <c r="G4004" s="196" t="s">
        <v>12378</v>
      </c>
      <c r="H4004" s="196" t="s">
        <v>11235</v>
      </c>
    </row>
    <row r="4005" spans="1:8" x14ac:dyDescent="0.15">
      <c r="A4005" s="196" t="s">
        <v>11229</v>
      </c>
      <c r="B4005" s="196" t="s">
        <v>11230</v>
      </c>
      <c r="C4005" s="196" t="s">
        <v>20616</v>
      </c>
      <c r="D4005" s="196" t="s">
        <v>20617</v>
      </c>
      <c r="E4005" s="196" t="s">
        <v>20617</v>
      </c>
      <c r="F4005" s="196" t="s">
        <v>11233</v>
      </c>
      <c r="G4005" s="196" t="s">
        <v>12378</v>
      </c>
      <c r="H4005" s="196" t="s">
        <v>11235</v>
      </c>
    </row>
    <row r="4006" spans="1:8" x14ac:dyDescent="0.15">
      <c r="A4006" s="196" t="s">
        <v>11229</v>
      </c>
      <c r="B4006" s="196" t="s">
        <v>11230</v>
      </c>
      <c r="C4006" s="196" t="s">
        <v>20618</v>
      </c>
      <c r="D4006" s="196" t="s">
        <v>20619</v>
      </c>
      <c r="E4006" s="196" t="s">
        <v>20619</v>
      </c>
      <c r="F4006" s="196" t="s">
        <v>11233</v>
      </c>
      <c r="G4006" s="196" t="s">
        <v>12378</v>
      </c>
      <c r="H4006" s="196" t="s">
        <v>11235</v>
      </c>
    </row>
    <row r="4007" spans="1:8" x14ac:dyDescent="0.15">
      <c r="A4007" s="196" t="s">
        <v>11229</v>
      </c>
      <c r="B4007" s="196" t="s">
        <v>11230</v>
      </c>
      <c r="C4007" s="196" t="s">
        <v>20620</v>
      </c>
      <c r="D4007" s="196" t="s">
        <v>20621</v>
      </c>
      <c r="E4007" s="196" t="s">
        <v>20621</v>
      </c>
      <c r="F4007" s="196" t="s">
        <v>11233</v>
      </c>
      <c r="G4007" s="196" t="s">
        <v>12378</v>
      </c>
      <c r="H4007" s="196" t="s">
        <v>11235</v>
      </c>
    </row>
    <row r="4008" spans="1:8" x14ac:dyDescent="0.15">
      <c r="A4008" s="196" t="s">
        <v>11229</v>
      </c>
      <c r="B4008" s="196" t="s">
        <v>11230</v>
      </c>
      <c r="C4008" s="196" t="s">
        <v>20622</v>
      </c>
      <c r="D4008" s="196" t="s">
        <v>20623</v>
      </c>
      <c r="E4008" s="196" t="s">
        <v>20623</v>
      </c>
      <c r="F4008" s="196" t="s">
        <v>11233</v>
      </c>
      <c r="G4008" s="196" t="s">
        <v>12378</v>
      </c>
      <c r="H4008" s="196" t="s">
        <v>11235</v>
      </c>
    </row>
    <row r="4009" spans="1:8" x14ac:dyDescent="0.15">
      <c r="A4009" s="196" t="s">
        <v>11229</v>
      </c>
      <c r="B4009" s="196" t="s">
        <v>11230</v>
      </c>
      <c r="C4009" s="196" t="s">
        <v>20624</v>
      </c>
      <c r="D4009" s="196" t="s">
        <v>20625</v>
      </c>
      <c r="E4009" s="196" t="s">
        <v>20625</v>
      </c>
      <c r="F4009" s="196" t="s">
        <v>11233</v>
      </c>
      <c r="G4009" s="196" t="s">
        <v>12378</v>
      </c>
      <c r="H4009" s="196" t="s">
        <v>11235</v>
      </c>
    </row>
    <row r="4010" spans="1:8" x14ac:dyDescent="0.15">
      <c r="A4010" s="196" t="s">
        <v>11229</v>
      </c>
      <c r="B4010" s="196" t="s">
        <v>11230</v>
      </c>
      <c r="C4010" s="196" t="s">
        <v>20626</v>
      </c>
      <c r="D4010" s="196" t="s">
        <v>20627</v>
      </c>
      <c r="E4010" s="196" t="s">
        <v>20627</v>
      </c>
      <c r="F4010" s="196" t="s">
        <v>11233</v>
      </c>
      <c r="G4010" s="196" t="s">
        <v>12378</v>
      </c>
      <c r="H4010" s="196" t="s">
        <v>11235</v>
      </c>
    </row>
    <row r="4011" spans="1:8" x14ac:dyDescent="0.15">
      <c r="A4011" s="196" t="s">
        <v>11229</v>
      </c>
      <c r="B4011" s="196" t="s">
        <v>11230</v>
      </c>
      <c r="C4011" s="196" t="s">
        <v>20628</v>
      </c>
      <c r="D4011" s="196" t="s">
        <v>20629</v>
      </c>
      <c r="E4011" s="196" t="s">
        <v>20629</v>
      </c>
      <c r="F4011" s="196" t="s">
        <v>11233</v>
      </c>
      <c r="G4011" s="196" t="s">
        <v>12378</v>
      </c>
      <c r="H4011" s="196" t="s">
        <v>11235</v>
      </c>
    </row>
    <row r="4012" spans="1:8" x14ac:dyDescent="0.15">
      <c r="A4012" s="196" t="s">
        <v>11229</v>
      </c>
      <c r="B4012" s="196" t="s">
        <v>11230</v>
      </c>
      <c r="C4012" s="196" t="s">
        <v>20630</v>
      </c>
      <c r="D4012" s="196" t="s">
        <v>20631</v>
      </c>
      <c r="E4012" s="196" t="s">
        <v>20631</v>
      </c>
      <c r="F4012" s="196" t="s">
        <v>11233</v>
      </c>
      <c r="G4012" s="196" t="s">
        <v>12378</v>
      </c>
      <c r="H4012" s="196" t="s">
        <v>11235</v>
      </c>
    </row>
    <row r="4013" spans="1:8" x14ac:dyDescent="0.15">
      <c r="A4013" s="196" t="s">
        <v>11229</v>
      </c>
      <c r="B4013" s="196" t="s">
        <v>11230</v>
      </c>
      <c r="C4013" s="196" t="s">
        <v>20632</v>
      </c>
      <c r="D4013" s="196" t="s">
        <v>20633</v>
      </c>
      <c r="E4013" s="196" t="s">
        <v>20633</v>
      </c>
      <c r="F4013" s="196" t="s">
        <v>11233</v>
      </c>
      <c r="G4013" s="196" t="s">
        <v>12378</v>
      </c>
      <c r="H4013" s="196" t="s">
        <v>11235</v>
      </c>
    </row>
    <row r="4014" spans="1:8" x14ac:dyDescent="0.15">
      <c r="A4014" s="196" t="s">
        <v>11229</v>
      </c>
      <c r="B4014" s="196" t="s">
        <v>11230</v>
      </c>
      <c r="C4014" s="196" t="s">
        <v>20634</v>
      </c>
      <c r="D4014" s="196" t="s">
        <v>20635</v>
      </c>
      <c r="E4014" s="196" t="s">
        <v>20635</v>
      </c>
      <c r="F4014" s="196" t="s">
        <v>11233</v>
      </c>
      <c r="G4014" s="196" t="s">
        <v>12378</v>
      </c>
      <c r="H4014" s="196" t="s">
        <v>11235</v>
      </c>
    </row>
    <row r="4015" spans="1:8" x14ac:dyDescent="0.15">
      <c r="A4015" s="196" t="s">
        <v>11229</v>
      </c>
      <c r="B4015" s="196" t="s">
        <v>11230</v>
      </c>
      <c r="C4015" s="196" t="s">
        <v>20636</v>
      </c>
      <c r="D4015" s="196" t="s">
        <v>20637</v>
      </c>
      <c r="E4015" s="196" t="s">
        <v>20637</v>
      </c>
      <c r="F4015" s="196" t="s">
        <v>11233</v>
      </c>
      <c r="G4015" s="196" t="s">
        <v>12378</v>
      </c>
      <c r="H4015" s="196" t="s">
        <v>11235</v>
      </c>
    </row>
    <row r="4016" spans="1:8" x14ac:dyDescent="0.15">
      <c r="A4016" s="196" t="s">
        <v>11229</v>
      </c>
      <c r="B4016" s="196" t="s">
        <v>11230</v>
      </c>
      <c r="C4016" s="196" t="s">
        <v>20638</v>
      </c>
      <c r="D4016" s="196" t="s">
        <v>20639</v>
      </c>
      <c r="E4016" s="196" t="s">
        <v>20639</v>
      </c>
      <c r="F4016" s="196" t="s">
        <v>11233</v>
      </c>
      <c r="G4016" s="196" t="s">
        <v>12378</v>
      </c>
      <c r="H4016" s="196" t="s">
        <v>11235</v>
      </c>
    </row>
    <row r="4017" spans="1:8" x14ac:dyDescent="0.15">
      <c r="A4017" s="196" t="s">
        <v>11229</v>
      </c>
      <c r="B4017" s="196" t="s">
        <v>11230</v>
      </c>
      <c r="C4017" s="196" t="s">
        <v>20640</v>
      </c>
      <c r="D4017" s="196" t="s">
        <v>20641</v>
      </c>
      <c r="E4017" s="196" t="s">
        <v>20641</v>
      </c>
      <c r="F4017" s="196" t="s">
        <v>11233</v>
      </c>
      <c r="G4017" s="196" t="s">
        <v>12378</v>
      </c>
      <c r="H4017" s="196" t="s">
        <v>11235</v>
      </c>
    </row>
    <row r="4018" spans="1:8" x14ac:dyDescent="0.15">
      <c r="A4018" s="196" t="s">
        <v>11229</v>
      </c>
      <c r="B4018" s="196" t="s">
        <v>11230</v>
      </c>
      <c r="C4018" s="196" t="s">
        <v>20642</v>
      </c>
      <c r="D4018" s="196" t="s">
        <v>20643</v>
      </c>
      <c r="E4018" s="196" t="s">
        <v>20643</v>
      </c>
      <c r="F4018" s="196" t="s">
        <v>11233</v>
      </c>
      <c r="G4018" s="196" t="s">
        <v>12378</v>
      </c>
      <c r="H4018" s="196" t="s">
        <v>11235</v>
      </c>
    </row>
    <row r="4019" spans="1:8" x14ac:dyDescent="0.15">
      <c r="A4019" s="196" t="s">
        <v>11229</v>
      </c>
      <c r="B4019" s="196" t="s">
        <v>11230</v>
      </c>
      <c r="C4019" s="196" t="s">
        <v>20644</v>
      </c>
      <c r="D4019" s="196" t="s">
        <v>20645</v>
      </c>
      <c r="E4019" s="196" t="s">
        <v>20645</v>
      </c>
      <c r="F4019" s="196" t="s">
        <v>11233</v>
      </c>
      <c r="G4019" s="196" t="s">
        <v>12378</v>
      </c>
      <c r="H4019" s="196" t="s">
        <v>11235</v>
      </c>
    </row>
    <row r="4020" spans="1:8" x14ac:dyDescent="0.15">
      <c r="A4020" s="196" t="s">
        <v>11229</v>
      </c>
      <c r="B4020" s="196" t="s">
        <v>11230</v>
      </c>
      <c r="C4020" s="196" t="s">
        <v>20646</v>
      </c>
      <c r="D4020" s="196" t="s">
        <v>20647</v>
      </c>
      <c r="E4020" s="196" t="s">
        <v>20647</v>
      </c>
      <c r="F4020" s="196" t="s">
        <v>11233</v>
      </c>
      <c r="G4020" s="196" t="s">
        <v>12378</v>
      </c>
      <c r="H4020" s="196" t="s">
        <v>11235</v>
      </c>
    </row>
    <row r="4021" spans="1:8" x14ac:dyDescent="0.15">
      <c r="A4021" s="196" t="s">
        <v>11229</v>
      </c>
      <c r="B4021" s="196" t="s">
        <v>11230</v>
      </c>
      <c r="C4021" s="196" t="s">
        <v>20648</v>
      </c>
      <c r="D4021" s="196" t="s">
        <v>20649</v>
      </c>
      <c r="E4021" s="196" t="s">
        <v>20649</v>
      </c>
      <c r="F4021" s="196" t="s">
        <v>11233</v>
      </c>
      <c r="G4021" s="196" t="s">
        <v>12378</v>
      </c>
      <c r="H4021" s="196" t="s">
        <v>11235</v>
      </c>
    </row>
    <row r="4022" spans="1:8" x14ac:dyDescent="0.15">
      <c r="A4022" s="196" t="s">
        <v>11229</v>
      </c>
      <c r="B4022" s="196" t="s">
        <v>11230</v>
      </c>
      <c r="C4022" s="196" t="s">
        <v>20650</v>
      </c>
      <c r="D4022" s="196" t="s">
        <v>20651</v>
      </c>
      <c r="E4022" s="196" t="s">
        <v>20651</v>
      </c>
      <c r="F4022" s="196" t="s">
        <v>11233</v>
      </c>
      <c r="G4022" s="196" t="s">
        <v>12378</v>
      </c>
      <c r="H4022" s="196" t="s">
        <v>11235</v>
      </c>
    </row>
    <row r="4023" spans="1:8" x14ac:dyDescent="0.15">
      <c r="A4023" s="196" t="s">
        <v>11229</v>
      </c>
      <c r="B4023" s="196" t="s">
        <v>11230</v>
      </c>
      <c r="C4023" s="196" t="s">
        <v>20652</v>
      </c>
      <c r="D4023" s="196" t="s">
        <v>20653</v>
      </c>
      <c r="E4023" s="196" t="s">
        <v>20653</v>
      </c>
      <c r="F4023" s="196" t="s">
        <v>11233</v>
      </c>
      <c r="G4023" s="196" t="s">
        <v>12378</v>
      </c>
      <c r="H4023" s="196" t="s">
        <v>11235</v>
      </c>
    </row>
    <row r="4024" spans="1:8" x14ac:dyDescent="0.15">
      <c r="A4024" s="196" t="s">
        <v>11229</v>
      </c>
      <c r="B4024" s="196" t="s">
        <v>11230</v>
      </c>
      <c r="C4024" s="196" t="s">
        <v>20654</v>
      </c>
      <c r="D4024" s="196" t="s">
        <v>20655</v>
      </c>
      <c r="E4024" s="196" t="s">
        <v>20655</v>
      </c>
      <c r="F4024" s="196" t="s">
        <v>11233</v>
      </c>
      <c r="G4024" s="196" t="s">
        <v>12378</v>
      </c>
      <c r="H4024" s="196" t="s">
        <v>11235</v>
      </c>
    </row>
    <row r="4025" spans="1:8" x14ac:dyDescent="0.15">
      <c r="A4025" s="196" t="s">
        <v>11229</v>
      </c>
      <c r="B4025" s="196" t="s">
        <v>11230</v>
      </c>
      <c r="C4025" s="196" t="s">
        <v>20656</v>
      </c>
      <c r="D4025" s="196" t="s">
        <v>20657</v>
      </c>
      <c r="E4025" s="196" t="s">
        <v>20657</v>
      </c>
      <c r="F4025" s="196" t="s">
        <v>11233</v>
      </c>
      <c r="G4025" s="196" t="s">
        <v>12378</v>
      </c>
      <c r="H4025" s="196" t="s">
        <v>11235</v>
      </c>
    </row>
    <row r="4026" spans="1:8" x14ac:dyDescent="0.15">
      <c r="A4026" s="196" t="s">
        <v>11229</v>
      </c>
      <c r="B4026" s="196" t="s">
        <v>11230</v>
      </c>
      <c r="C4026" s="196" t="s">
        <v>20658</v>
      </c>
      <c r="D4026" s="196" t="s">
        <v>20659</v>
      </c>
      <c r="E4026" s="196" t="s">
        <v>20659</v>
      </c>
      <c r="F4026" s="196" t="s">
        <v>11233</v>
      </c>
      <c r="G4026" s="196" t="s">
        <v>12378</v>
      </c>
      <c r="H4026" s="196" t="s">
        <v>11235</v>
      </c>
    </row>
    <row r="4027" spans="1:8" x14ac:dyDescent="0.15">
      <c r="A4027" s="196" t="s">
        <v>11229</v>
      </c>
      <c r="B4027" s="196" t="s">
        <v>11230</v>
      </c>
      <c r="C4027" s="196" t="s">
        <v>20660</v>
      </c>
      <c r="D4027" s="196" t="s">
        <v>20661</v>
      </c>
      <c r="E4027" s="196" t="s">
        <v>20661</v>
      </c>
      <c r="F4027" s="196" t="s">
        <v>11233</v>
      </c>
      <c r="G4027" s="196" t="s">
        <v>12378</v>
      </c>
      <c r="H4027" s="196" t="s">
        <v>11235</v>
      </c>
    </row>
    <row r="4028" spans="1:8" x14ac:dyDescent="0.15">
      <c r="A4028" s="196" t="s">
        <v>11229</v>
      </c>
      <c r="B4028" s="196" t="s">
        <v>11230</v>
      </c>
      <c r="C4028" s="196" t="s">
        <v>20662</v>
      </c>
      <c r="D4028" s="196" t="s">
        <v>20663</v>
      </c>
      <c r="E4028" s="196" t="s">
        <v>20663</v>
      </c>
      <c r="F4028" s="196" t="s">
        <v>11233</v>
      </c>
      <c r="G4028" s="196" t="s">
        <v>12378</v>
      </c>
      <c r="H4028" s="196" t="s">
        <v>11235</v>
      </c>
    </row>
    <row r="4029" spans="1:8" x14ac:dyDescent="0.15">
      <c r="A4029" s="196" t="s">
        <v>11229</v>
      </c>
      <c r="B4029" s="196" t="s">
        <v>11230</v>
      </c>
      <c r="C4029" s="196" t="s">
        <v>20664</v>
      </c>
      <c r="D4029" s="196" t="s">
        <v>20665</v>
      </c>
      <c r="E4029" s="196" t="s">
        <v>20665</v>
      </c>
      <c r="F4029" s="196" t="s">
        <v>11233</v>
      </c>
      <c r="G4029" s="196" t="s">
        <v>12378</v>
      </c>
      <c r="H4029" s="196" t="s">
        <v>11235</v>
      </c>
    </row>
    <row r="4030" spans="1:8" x14ac:dyDescent="0.15">
      <c r="A4030" s="196" t="s">
        <v>11229</v>
      </c>
      <c r="B4030" s="196" t="s">
        <v>11230</v>
      </c>
      <c r="C4030" s="196" t="s">
        <v>20666</v>
      </c>
      <c r="D4030" s="196" t="s">
        <v>20667</v>
      </c>
      <c r="E4030" s="196" t="s">
        <v>20667</v>
      </c>
      <c r="F4030" s="196" t="s">
        <v>11233</v>
      </c>
      <c r="G4030" s="196" t="s">
        <v>12378</v>
      </c>
      <c r="H4030" s="196" t="s">
        <v>11235</v>
      </c>
    </row>
    <row r="4031" spans="1:8" x14ac:dyDescent="0.15">
      <c r="A4031" s="196" t="s">
        <v>11229</v>
      </c>
      <c r="B4031" s="196" t="s">
        <v>11230</v>
      </c>
      <c r="C4031" s="196" t="s">
        <v>20668</v>
      </c>
      <c r="D4031" s="196" t="s">
        <v>20669</v>
      </c>
      <c r="E4031" s="196" t="s">
        <v>20669</v>
      </c>
      <c r="F4031" s="196" t="s">
        <v>11233</v>
      </c>
      <c r="G4031" s="196" t="s">
        <v>12378</v>
      </c>
      <c r="H4031" s="196" t="s">
        <v>11235</v>
      </c>
    </row>
    <row r="4032" spans="1:8" x14ac:dyDescent="0.15">
      <c r="A4032" s="196" t="s">
        <v>11229</v>
      </c>
      <c r="B4032" s="196" t="s">
        <v>11230</v>
      </c>
      <c r="C4032" s="196" t="s">
        <v>20670</v>
      </c>
      <c r="D4032" s="196" t="s">
        <v>20671</v>
      </c>
      <c r="E4032" s="196" t="s">
        <v>20671</v>
      </c>
      <c r="F4032" s="196" t="s">
        <v>11233</v>
      </c>
      <c r="G4032" s="196" t="s">
        <v>12378</v>
      </c>
      <c r="H4032" s="196" t="s">
        <v>11235</v>
      </c>
    </row>
    <row r="4033" spans="1:8" x14ac:dyDescent="0.15">
      <c r="A4033" s="196" t="s">
        <v>11229</v>
      </c>
      <c r="B4033" s="196" t="s">
        <v>11230</v>
      </c>
      <c r="C4033" s="196" t="s">
        <v>20672</v>
      </c>
      <c r="D4033" s="196" t="s">
        <v>20673</v>
      </c>
      <c r="E4033" s="196" t="s">
        <v>20673</v>
      </c>
      <c r="F4033" s="196" t="s">
        <v>11233</v>
      </c>
      <c r="G4033" s="196" t="s">
        <v>12378</v>
      </c>
      <c r="H4033" s="196" t="s">
        <v>11235</v>
      </c>
    </row>
    <row r="4034" spans="1:8" x14ac:dyDescent="0.15">
      <c r="A4034" s="196" t="s">
        <v>11229</v>
      </c>
      <c r="B4034" s="196" t="s">
        <v>11230</v>
      </c>
      <c r="C4034" s="196" t="s">
        <v>20674</v>
      </c>
      <c r="D4034" s="196" t="s">
        <v>20675</v>
      </c>
      <c r="E4034" s="196" t="s">
        <v>20675</v>
      </c>
      <c r="F4034" s="196" t="s">
        <v>11233</v>
      </c>
      <c r="G4034" s="196" t="s">
        <v>12378</v>
      </c>
      <c r="H4034" s="196" t="s">
        <v>11235</v>
      </c>
    </row>
    <row r="4035" spans="1:8" x14ac:dyDescent="0.15">
      <c r="A4035" s="196" t="s">
        <v>11229</v>
      </c>
      <c r="B4035" s="196" t="s">
        <v>11230</v>
      </c>
      <c r="C4035" s="196" t="s">
        <v>20676</v>
      </c>
      <c r="D4035" s="196" t="s">
        <v>20677</v>
      </c>
      <c r="E4035" s="196" t="s">
        <v>20677</v>
      </c>
      <c r="F4035" s="196" t="s">
        <v>11233</v>
      </c>
      <c r="G4035" s="196" t="s">
        <v>12378</v>
      </c>
      <c r="H4035" s="196" t="s">
        <v>11235</v>
      </c>
    </row>
    <row r="4036" spans="1:8" x14ac:dyDescent="0.15">
      <c r="A4036" s="196" t="s">
        <v>11229</v>
      </c>
      <c r="B4036" s="196" t="s">
        <v>11230</v>
      </c>
      <c r="C4036" s="196" t="s">
        <v>20678</v>
      </c>
      <c r="D4036" s="196" t="s">
        <v>20679</v>
      </c>
      <c r="E4036" s="196" t="s">
        <v>20679</v>
      </c>
      <c r="F4036" s="196" t="s">
        <v>11233</v>
      </c>
      <c r="G4036" s="196" t="s">
        <v>12378</v>
      </c>
      <c r="H4036" s="196" t="s">
        <v>11235</v>
      </c>
    </row>
    <row r="4037" spans="1:8" x14ac:dyDescent="0.15">
      <c r="A4037" s="196" t="s">
        <v>11229</v>
      </c>
      <c r="B4037" s="196" t="s">
        <v>11230</v>
      </c>
      <c r="C4037" s="196" t="s">
        <v>20680</v>
      </c>
      <c r="D4037" s="196" t="s">
        <v>20681</v>
      </c>
      <c r="E4037" s="196" t="s">
        <v>20681</v>
      </c>
      <c r="F4037" s="196" t="s">
        <v>11233</v>
      </c>
      <c r="G4037" s="196" t="s">
        <v>12378</v>
      </c>
      <c r="H4037" s="196" t="s">
        <v>11235</v>
      </c>
    </row>
    <row r="4038" spans="1:8" x14ac:dyDescent="0.15">
      <c r="A4038" s="196" t="s">
        <v>11229</v>
      </c>
      <c r="B4038" s="196" t="s">
        <v>11230</v>
      </c>
      <c r="C4038" s="196" t="s">
        <v>20682</v>
      </c>
      <c r="D4038" s="196" t="s">
        <v>20683</v>
      </c>
      <c r="E4038" s="196" t="s">
        <v>20683</v>
      </c>
      <c r="F4038" s="196" t="s">
        <v>11233</v>
      </c>
      <c r="G4038" s="196" t="s">
        <v>12378</v>
      </c>
      <c r="H4038" s="196" t="s">
        <v>11235</v>
      </c>
    </row>
    <row r="4039" spans="1:8" x14ac:dyDescent="0.15">
      <c r="A4039" s="196" t="s">
        <v>11229</v>
      </c>
      <c r="B4039" s="196" t="s">
        <v>11230</v>
      </c>
      <c r="C4039" s="196" t="s">
        <v>20684</v>
      </c>
      <c r="D4039" s="196" t="s">
        <v>20685</v>
      </c>
      <c r="E4039" s="196" t="s">
        <v>20685</v>
      </c>
      <c r="F4039" s="196" t="s">
        <v>11233</v>
      </c>
      <c r="G4039" s="196" t="s">
        <v>12378</v>
      </c>
      <c r="H4039" s="196" t="s">
        <v>11235</v>
      </c>
    </row>
    <row r="4040" spans="1:8" x14ac:dyDescent="0.15">
      <c r="A4040" s="196" t="s">
        <v>11229</v>
      </c>
      <c r="B4040" s="196" t="s">
        <v>11230</v>
      </c>
      <c r="C4040" s="196" t="s">
        <v>20686</v>
      </c>
      <c r="D4040" s="196" t="s">
        <v>20687</v>
      </c>
      <c r="E4040" s="196" t="s">
        <v>20687</v>
      </c>
      <c r="F4040" s="196" t="s">
        <v>11233</v>
      </c>
      <c r="G4040" s="196" t="s">
        <v>12378</v>
      </c>
      <c r="H4040" s="196" t="s">
        <v>11235</v>
      </c>
    </row>
    <row r="4041" spans="1:8" x14ac:dyDescent="0.15">
      <c r="A4041" s="196" t="s">
        <v>11229</v>
      </c>
      <c r="B4041" s="196" t="s">
        <v>11230</v>
      </c>
      <c r="C4041" s="196" t="s">
        <v>20688</v>
      </c>
      <c r="D4041" s="196" t="s">
        <v>20689</v>
      </c>
      <c r="E4041" s="196" t="s">
        <v>20689</v>
      </c>
      <c r="F4041" s="196" t="s">
        <v>11233</v>
      </c>
      <c r="G4041" s="196" t="s">
        <v>12378</v>
      </c>
      <c r="H4041" s="196" t="s">
        <v>11235</v>
      </c>
    </row>
    <row r="4042" spans="1:8" x14ac:dyDescent="0.15">
      <c r="A4042" s="196" t="s">
        <v>11229</v>
      </c>
      <c r="B4042" s="196" t="s">
        <v>11230</v>
      </c>
      <c r="C4042" s="196" t="s">
        <v>20690</v>
      </c>
      <c r="D4042" s="196" t="s">
        <v>20691</v>
      </c>
      <c r="E4042" s="196" t="s">
        <v>20691</v>
      </c>
      <c r="F4042" s="196" t="s">
        <v>11233</v>
      </c>
      <c r="G4042" s="196" t="s">
        <v>12378</v>
      </c>
      <c r="H4042" s="196" t="s">
        <v>11235</v>
      </c>
    </row>
    <row r="4043" spans="1:8" x14ac:dyDescent="0.15">
      <c r="A4043" s="196" t="s">
        <v>11229</v>
      </c>
      <c r="B4043" s="196" t="s">
        <v>11230</v>
      </c>
      <c r="C4043" s="196" t="s">
        <v>20692</v>
      </c>
      <c r="D4043" s="196" t="s">
        <v>20693</v>
      </c>
      <c r="E4043" s="196" t="s">
        <v>20693</v>
      </c>
      <c r="F4043" s="196" t="s">
        <v>11233</v>
      </c>
      <c r="G4043" s="196" t="s">
        <v>12378</v>
      </c>
      <c r="H4043" s="196" t="s">
        <v>11235</v>
      </c>
    </row>
    <row r="4044" spans="1:8" x14ac:dyDescent="0.15">
      <c r="A4044" s="196" t="s">
        <v>11229</v>
      </c>
      <c r="B4044" s="196" t="s">
        <v>11230</v>
      </c>
      <c r="C4044" s="196" t="s">
        <v>20694</v>
      </c>
      <c r="D4044" s="196" t="s">
        <v>20695</v>
      </c>
      <c r="E4044" s="196" t="s">
        <v>20695</v>
      </c>
      <c r="F4044" s="196" t="s">
        <v>11233</v>
      </c>
      <c r="G4044" s="196" t="s">
        <v>12378</v>
      </c>
      <c r="H4044" s="196" t="s">
        <v>11235</v>
      </c>
    </row>
    <row r="4045" spans="1:8" x14ac:dyDescent="0.15">
      <c r="A4045" s="196" t="s">
        <v>11229</v>
      </c>
      <c r="B4045" s="196" t="s">
        <v>11230</v>
      </c>
      <c r="C4045" s="196" t="s">
        <v>20696</v>
      </c>
      <c r="D4045" s="196" t="s">
        <v>20697</v>
      </c>
      <c r="E4045" s="196" t="s">
        <v>20697</v>
      </c>
      <c r="F4045" s="196" t="s">
        <v>11233</v>
      </c>
      <c r="G4045" s="196" t="s">
        <v>12378</v>
      </c>
      <c r="H4045" s="196" t="s">
        <v>11235</v>
      </c>
    </row>
    <row r="4046" spans="1:8" x14ac:dyDescent="0.15">
      <c r="A4046" s="196" t="s">
        <v>11229</v>
      </c>
      <c r="B4046" s="196" t="s">
        <v>11230</v>
      </c>
      <c r="C4046" s="196" t="s">
        <v>20698</v>
      </c>
      <c r="D4046" s="196" t="s">
        <v>20699</v>
      </c>
      <c r="E4046" s="196" t="s">
        <v>20699</v>
      </c>
      <c r="F4046" s="196" t="s">
        <v>11233</v>
      </c>
      <c r="G4046" s="196" t="s">
        <v>12378</v>
      </c>
      <c r="H4046" s="196" t="s">
        <v>11235</v>
      </c>
    </row>
    <row r="4047" spans="1:8" x14ac:dyDescent="0.15">
      <c r="A4047" s="196" t="s">
        <v>11229</v>
      </c>
      <c r="B4047" s="196" t="s">
        <v>11230</v>
      </c>
      <c r="C4047" s="196" t="s">
        <v>20700</v>
      </c>
      <c r="D4047" s="196" t="s">
        <v>20701</v>
      </c>
      <c r="E4047" s="196" t="s">
        <v>20702</v>
      </c>
      <c r="F4047" s="196" t="s">
        <v>11268</v>
      </c>
      <c r="G4047" s="196" t="s">
        <v>12378</v>
      </c>
      <c r="H4047" s="196" t="s">
        <v>11235</v>
      </c>
    </row>
    <row r="4048" spans="1:8" x14ac:dyDescent="0.15">
      <c r="A4048" s="196" t="s">
        <v>11229</v>
      </c>
      <c r="B4048" s="196" t="s">
        <v>11230</v>
      </c>
      <c r="C4048" s="196" t="s">
        <v>20703</v>
      </c>
      <c r="D4048" s="196" t="s">
        <v>20704</v>
      </c>
      <c r="E4048" s="196" t="s">
        <v>20705</v>
      </c>
      <c r="F4048" s="196" t="s">
        <v>11900</v>
      </c>
      <c r="G4048" s="196" t="s">
        <v>12378</v>
      </c>
      <c r="H4048" s="196" t="s">
        <v>11235</v>
      </c>
    </row>
    <row r="4049" spans="1:8" x14ac:dyDescent="0.15">
      <c r="A4049" s="196" t="s">
        <v>11229</v>
      </c>
      <c r="B4049" s="196" t="s">
        <v>11230</v>
      </c>
      <c r="C4049" s="196" t="s">
        <v>20706</v>
      </c>
      <c r="D4049" s="196" t="s">
        <v>20707</v>
      </c>
      <c r="E4049" s="196" t="s">
        <v>20707</v>
      </c>
      <c r="F4049" s="196" t="s">
        <v>11233</v>
      </c>
      <c r="G4049" s="196" t="s">
        <v>12378</v>
      </c>
      <c r="H4049" s="196" t="s">
        <v>11235</v>
      </c>
    </row>
    <row r="4050" spans="1:8" x14ac:dyDescent="0.15">
      <c r="A4050" s="196" t="s">
        <v>11229</v>
      </c>
      <c r="B4050" s="196" t="s">
        <v>11230</v>
      </c>
      <c r="C4050" s="196" t="s">
        <v>20708</v>
      </c>
      <c r="D4050" s="196" t="s">
        <v>20709</v>
      </c>
      <c r="E4050" s="196" t="s">
        <v>20709</v>
      </c>
      <c r="F4050" s="196" t="s">
        <v>11233</v>
      </c>
      <c r="G4050" s="196" t="s">
        <v>12378</v>
      </c>
      <c r="H4050" s="196" t="s">
        <v>11235</v>
      </c>
    </row>
    <row r="4051" spans="1:8" x14ac:dyDescent="0.15">
      <c r="A4051" s="196" t="s">
        <v>11229</v>
      </c>
      <c r="B4051" s="196" t="s">
        <v>11230</v>
      </c>
      <c r="C4051" s="196" t="s">
        <v>20710</v>
      </c>
      <c r="D4051" s="196" t="s">
        <v>20711</v>
      </c>
      <c r="E4051" s="196" t="s">
        <v>20711</v>
      </c>
      <c r="F4051" s="196" t="s">
        <v>11233</v>
      </c>
      <c r="G4051" s="196" t="s">
        <v>12378</v>
      </c>
      <c r="H4051" s="196" t="s">
        <v>11235</v>
      </c>
    </row>
    <row r="4052" spans="1:8" x14ac:dyDescent="0.15">
      <c r="A4052" s="196" t="s">
        <v>11229</v>
      </c>
      <c r="B4052" s="196" t="s">
        <v>11230</v>
      </c>
      <c r="C4052" s="196" t="s">
        <v>20712</v>
      </c>
      <c r="D4052" s="196" t="s">
        <v>20713</v>
      </c>
      <c r="E4052" s="196" t="s">
        <v>20713</v>
      </c>
      <c r="F4052" s="196" t="s">
        <v>11233</v>
      </c>
      <c r="G4052" s="196" t="s">
        <v>12378</v>
      </c>
      <c r="H4052" s="196" t="s">
        <v>11235</v>
      </c>
    </row>
    <row r="4053" spans="1:8" x14ac:dyDescent="0.15">
      <c r="A4053" s="196" t="s">
        <v>11229</v>
      </c>
      <c r="B4053" s="196" t="s">
        <v>11230</v>
      </c>
      <c r="C4053" s="196" t="s">
        <v>20714</v>
      </c>
      <c r="D4053" s="196" t="s">
        <v>20715</v>
      </c>
      <c r="E4053" s="196" t="s">
        <v>20715</v>
      </c>
      <c r="F4053" s="196" t="s">
        <v>11233</v>
      </c>
      <c r="G4053" s="196" t="s">
        <v>12378</v>
      </c>
      <c r="H4053" s="196" t="s">
        <v>11235</v>
      </c>
    </row>
    <row r="4054" spans="1:8" x14ac:dyDescent="0.15">
      <c r="A4054" s="196" t="s">
        <v>11229</v>
      </c>
      <c r="B4054" s="196" t="s">
        <v>11230</v>
      </c>
      <c r="C4054" s="196" t="s">
        <v>20716</v>
      </c>
      <c r="D4054" s="196" t="s">
        <v>20717</v>
      </c>
      <c r="E4054" s="196" t="s">
        <v>20717</v>
      </c>
      <c r="F4054" s="196" t="s">
        <v>11233</v>
      </c>
      <c r="G4054" s="196" t="s">
        <v>12378</v>
      </c>
      <c r="H4054" s="196" t="s">
        <v>11235</v>
      </c>
    </row>
    <row r="4055" spans="1:8" x14ac:dyDescent="0.15">
      <c r="A4055" s="196" t="s">
        <v>11229</v>
      </c>
      <c r="B4055" s="196" t="s">
        <v>11230</v>
      </c>
      <c r="C4055" s="196" t="s">
        <v>20718</v>
      </c>
      <c r="D4055" s="196" t="s">
        <v>20719</v>
      </c>
      <c r="E4055" s="196" t="s">
        <v>20719</v>
      </c>
      <c r="F4055" s="196" t="s">
        <v>11233</v>
      </c>
      <c r="G4055" s="196" t="s">
        <v>12378</v>
      </c>
      <c r="H4055" s="196" t="s">
        <v>11235</v>
      </c>
    </row>
    <row r="4056" spans="1:8" x14ac:dyDescent="0.15">
      <c r="A4056" s="196" t="s">
        <v>11229</v>
      </c>
      <c r="B4056" s="196" t="s">
        <v>11230</v>
      </c>
      <c r="C4056" s="196" t="s">
        <v>20720</v>
      </c>
      <c r="D4056" s="196" t="s">
        <v>20721</v>
      </c>
      <c r="E4056" s="196" t="s">
        <v>20721</v>
      </c>
      <c r="F4056" s="196" t="s">
        <v>11233</v>
      </c>
      <c r="G4056" s="196" t="s">
        <v>12378</v>
      </c>
      <c r="H4056" s="196" t="s">
        <v>11235</v>
      </c>
    </row>
    <row r="4057" spans="1:8" x14ac:dyDescent="0.15">
      <c r="A4057" s="196" t="s">
        <v>11229</v>
      </c>
      <c r="B4057" s="196" t="s">
        <v>11230</v>
      </c>
      <c r="C4057" s="196" t="s">
        <v>20722</v>
      </c>
      <c r="D4057" s="196" t="s">
        <v>20723</v>
      </c>
      <c r="E4057" s="196" t="s">
        <v>20723</v>
      </c>
      <c r="F4057" s="196" t="s">
        <v>11233</v>
      </c>
      <c r="G4057" s="196" t="s">
        <v>12378</v>
      </c>
      <c r="H4057" s="196" t="s">
        <v>11235</v>
      </c>
    </row>
    <row r="4058" spans="1:8" x14ac:dyDescent="0.15">
      <c r="A4058" s="196" t="s">
        <v>11229</v>
      </c>
      <c r="B4058" s="196" t="s">
        <v>11230</v>
      </c>
      <c r="C4058" s="196" t="s">
        <v>20724</v>
      </c>
      <c r="D4058" s="196" t="s">
        <v>20725</v>
      </c>
      <c r="E4058" s="196" t="s">
        <v>20725</v>
      </c>
      <c r="F4058" s="196" t="s">
        <v>11233</v>
      </c>
      <c r="G4058" s="196" t="s">
        <v>12378</v>
      </c>
      <c r="H4058" s="196" t="s">
        <v>11235</v>
      </c>
    </row>
    <row r="4059" spans="1:8" x14ac:dyDescent="0.15">
      <c r="A4059" s="196" t="s">
        <v>11229</v>
      </c>
      <c r="B4059" s="196" t="s">
        <v>11230</v>
      </c>
      <c r="C4059" s="196" t="s">
        <v>20726</v>
      </c>
      <c r="D4059" s="196" t="s">
        <v>20727</v>
      </c>
      <c r="E4059" s="196" t="s">
        <v>20727</v>
      </c>
      <c r="F4059" s="196" t="s">
        <v>11233</v>
      </c>
      <c r="G4059" s="196" t="s">
        <v>12378</v>
      </c>
      <c r="H4059" s="196" t="s">
        <v>11235</v>
      </c>
    </row>
    <row r="4060" spans="1:8" x14ac:dyDescent="0.15">
      <c r="A4060" s="196" t="s">
        <v>11229</v>
      </c>
      <c r="B4060" s="196" t="s">
        <v>11230</v>
      </c>
      <c r="C4060" s="196" t="s">
        <v>20728</v>
      </c>
      <c r="D4060" s="196" t="s">
        <v>20729</v>
      </c>
      <c r="E4060" s="196" t="s">
        <v>20729</v>
      </c>
      <c r="F4060" s="196" t="s">
        <v>11233</v>
      </c>
      <c r="G4060" s="196" t="s">
        <v>12378</v>
      </c>
      <c r="H4060" s="196" t="s">
        <v>11235</v>
      </c>
    </row>
    <row r="4061" spans="1:8" x14ac:dyDescent="0.15">
      <c r="A4061" s="196" t="s">
        <v>11229</v>
      </c>
      <c r="B4061" s="196" t="s">
        <v>11230</v>
      </c>
      <c r="C4061" s="196" t="s">
        <v>20730</v>
      </c>
      <c r="D4061" s="196" t="s">
        <v>20731</v>
      </c>
      <c r="E4061" s="196" t="s">
        <v>20731</v>
      </c>
      <c r="F4061" s="196" t="s">
        <v>11233</v>
      </c>
      <c r="G4061" s="196" t="s">
        <v>12378</v>
      </c>
      <c r="H4061" s="196" t="s">
        <v>11235</v>
      </c>
    </row>
    <row r="4062" spans="1:8" x14ac:dyDescent="0.15">
      <c r="A4062" s="196" t="s">
        <v>11229</v>
      </c>
      <c r="B4062" s="196" t="s">
        <v>11230</v>
      </c>
      <c r="C4062" s="196" t="s">
        <v>20732</v>
      </c>
      <c r="D4062" s="196" t="s">
        <v>20733</v>
      </c>
      <c r="E4062" s="196" t="s">
        <v>20733</v>
      </c>
      <c r="F4062" s="196" t="s">
        <v>11233</v>
      </c>
      <c r="G4062" s="196" t="s">
        <v>12378</v>
      </c>
      <c r="H4062" s="196" t="s">
        <v>11235</v>
      </c>
    </row>
    <row r="4063" spans="1:8" x14ac:dyDescent="0.15">
      <c r="A4063" s="196" t="s">
        <v>11229</v>
      </c>
      <c r="B4063" s="196" t="s">
        <v>11230</v>
      </c>
      <c r="C4063" s="196" t="s">
        <v>20734</v>
      </c>
      <c r="D4063" s="196" t="s">
        <v>20735</v>
      </c>
      <c r="E4063" s="196" t="s">
        <v>20736</v>
      </c>
      <c r="F4063" s="196" t="s">
        <v>11241</v>
      </c>
      <c r="G4063" s="196" t="s">
        <v>12378</v>
      </c>
      <c r="H4063" s="196" t="s">
        <v>11235</v>
      </c>
    </row>
    <row r="4064" spans="1:8" x14ac:dyDescent="0.15">
      <c r="A4064" s="196" t="s">
        <v>11229</v>
      </c>
      <c r="B4064" s="196" t="s">
        <v>11230</v>
      </c>
      <c r="C4064" s="196" t="s">
        <v>20737</v>
      </c>
      <c r="D4064" s="196" t="s">
        <v>20738</v>
      </c>
      <c r="E4064" s="196" t="s">
        <v>20738</v>
      </c>
      <c r="F4064" s="196" t="s">
        <v>11233</v>
      </c>
      <c r="G4064" s="196" t="s">
        <v>12378</v>
      </c>
      <c r="H4064" s="196" t="s">
        <v>11235</v>
      </c>
    </row>
    <row r="4065" spans="1:8" x14ac:dyDescent="0.15">
      <c r="A4065" s="196" t="s">
        <v>11229</v>
      </c>
      <c r="B4065" s="196" t="s">
        <v>11230</v>
      </c>
      <c r="C4065" s="196" t="s">
        <v>20739</v>
      </c>
      <c r="D4065" s="196" t="s">
        <v>20740</v>
      </c>
      <c r="E4065" s="196" t="s">
        <v>20740</v>
      </c>
      <c r="F4065" s="196" t="s">
        <v>11233</v>
      </c>
      <c r="G4065" s="196" t="s">
        <v>12378</v>
      </c>
      <c r="H4065" s="196" t="s">
        <v>11235</v>
      </c>
    </row>
    <row r="4066" spans="1:8" x14ac:dyDescent="0.15">
      <c r="A4066" s="196" t="s">
        <v>11229</v>
      </c>
      <c r="B4066" s="196" t="s">
        <v>11230</v>
      </c>
      <c r="C4066" s="196" t="s">
        <v>20741</v>
      </c>
      <c r="D4066" s="196" t="s">
        <v>20742</v>
      </c>
      <c r="E4066" s="196" t="s">
        <v>20743</v>
      </c>
      <c r="F4066" s="196" t="s">
        <v>11268</v>
      </c>
      <c r="G4066" s="196" t="s">
        <v>12378</v>
      </c>
      <c r="H4066" s="196" t="s">
        <v>11235</v>
      </c>
    </row>
    <row r="4067" spans="1:8" x14ac:dyDescent="0.15">
      <c r="A4067" s="196" t="s">
        <v>11229</v>
      </c>
      <c r="B4067" s="196" t="s">
        <v>11230</v>
      </c>
      <c r="C4067" s="196" t="s">
        <v>20744</v>
      </c>
      <c r="D4067" s="196" t="s">
        <v>20745</v>
      </c>
      <c r="E4067" s="196" t="s">
        <v>20745</v>
      </c>
      <c r="F4067" s="196" t="s">
        <v>11233</v>
      </c>
      <c r="G4067" s="196" t="s">
        <v>12378</v>
      </c>
      <c r="H4067" s="196" t="s">
        <v>11235</v>
      </c>
    </row>
    <row r="4068" spans="1:8" x14ac:dyDescent="0.15">
      <c r="A4068" s="196" t="s">
        <v>11229</v>
      </c>
      <c r="B4068" s="196" t="s">
        <v>11230</v>
      </c>
      <c r="C4068" s="196" t="s">
        <v>20746</v>
      </c>
      <c r="D4068" s="196" t="s">
        <v>20747</v>
      </c>
      <c r="E4068" s="196" t="s">
        <v>20747</v>
      </c>
      <c r="F4068" s="196" t="s">
        <v>11233</v>
      </c>
      <c r="G4068" s="196" t="s">
        <v>12378</v>
      </c>
      <c r="H4068" s="196" t="s">
        <v>11235</v>
      </c>
    </row>
    <row r="4069" spans="1:8" x14ac:dyDescent="0.15">
      <c r="A4069" s="196" t="s">
        <v>11229</v>
      </c>
      <c r="B4069" s="196" t="s">
        <v>11230</v>
      </c>
      <c r="C4069" s="196" t="s">
        <v>20748</v>
      </c>
      <c r="D4069" s="196" t="s">
        <v>20749</v>
      </c>
      <c r="E4069" s="196" t="s">
        <v>20749</v>
      </c>
      <c r="F4069" s="196" t="s">
        <v>11233</v>
      </c>
      <c r="G4069" s="196" t="s">
        <v>12378</v>
      </c>
      <c r="H4069" s="196" t="s">
        <v>11235</v>
      </c>
    </row>
    <row r="4070" spans="1:8" x14ac:dyDescent="0.15">
      <c r="A4070" s="196" t="s">
        <v>11229</v>
      </c>
      <c r="B4070" s="196" t="s">
        <v>11230</v>
      </c>
      <c r="C4070" s="196" t="s">
        <v>20750</v>
      </c>
      <c r="D4070" s="196" t="s">
        <v>20751</v>
      </c>
      <c r="E4070" s="196" t="s">
        <v>20751</v>
      </c>
      <c r="F4070" s="196" t="s">
        <v>11233</v>
      </c>
      <c r="G4070" s="196" t="s">
        <v>12378</v>
      </c>
      <c r="H4070" s="196" t="s">
        <v>11235</v>
      </c>
    </row>
    <row r="4071" spans="1:8" x14ac:dyDescent="0.15">
      <c r="A4071" s="196" t="s">
        <v>11229</v>
      </c>
      <c r="B4071" s="196" t="s">
        <v>11230</v>
      </c>
      <c r="C4071" s="196" t="s">
        <v>20752</v>
      </c>
      <c r="D4071" s="196" t="s">
        <v>20753</v>
      </c>
      <c r="E4071" s="196" t="s">
        <v>20753</v>
      </c>
      <c r="F4071" s="196" t="s">
        <v>11233</v>
      </c>
      <c r="G4071" s="196" t="s">
        <v>12378</v>
      </c>
      <c r="H4071" s="196" t="s">
        <v>11235</v>
      </c>
    </row>
    <row r="4072" spans="1:8" x14ac:dyDescent="0.15">
      <c r="A4072" s="196" t="s">
        <v>11229</v>
      </c>
      <c r="B4072" s="196" t="s">
        <v>11230</v>
      </c>
      <c r="C4072" s="196" t="s">
        <v>20754</v>
      </c>
      <c r="D4072" s="196" t="s">
        <v>20755</v>
      </c>
      <c r="E4072" s="196" t="s">
        <v>20755</v>
      </c>
      <c r="F4072" s="196" t="s">
        <v>11233</v>
      </c>
      <c r="G4072" s="196" t="s">
        <v>12378</v>
      </c>
      <c r="H4072" s="196" t="s">
        <v>11235</v>
      </c>
    </row>
    <row r="4073" spans="1:8" x14ac:dyDescent="0.15">
      <c r="A4073" s="196" t="s">
        <v>11229</v>
      </c>
      <c r="B4073" s="196" t="s">
        <v>11230</v>
      </c>
      <c r="C4073" s="196" t="s">
        <v>20756</v>
      </c>
      <c r="D4073" s="196" t="s">
        <v>20757</v>
      </c>
      <c r="E4073" s="196" t="s">
        <v>20757</v>
      </c>
      <c r="F4073" s="196" t="s">
        <v>11233</v>
      </c>
      <c r="G4073" s="196" t="s">
        <v>12378</v>
      </c>
      <c r="H4073" s="196" t="s">
        <v>11235</v>
      </c>
    </row>
    <row r="4074" spans="1:8" x14ac:dyDescent="0.15">
      <c r="A4074" s="196" t="s">
        <v>11229</v>
      </c>
      <c r="B4074" s="196" t="s">
        <v>11230</v>
      </c>
      <c r="C4074" s="196" t="s">
        <v>20758</v>
      </c>
      <c r="D4074" s="196" t="s">
        <v>20759</v>
      </c>
      <c r="E4074" s="196" t="s">
        <v>20759</v>
      </c>
      <c r="F4074" s="196" t="s">
        <v>11233</v>
      </c>
      <c r="G4074" s="196" t="s">
        <v>12378</v>
      </c>
      <c r="H4074" s="196" t="s">
        <v>11235</v>
      </c>
    </row>
    <row r="4075" spans="1:8" x14ac:dyDescent="0.15">
      <c r="A4075" s="196" t="s">
        <v>11229</v>
      </c>
      <c r="B4075" s="196" t="s">
        <v>11230</v>
      </c>
      <c r="C4075" s="196" t="s">
        <v>20760</v>
      </c>
      <c r="D4075" s="196" t="s">
        <v>20761</v>
      </c>
      <c r="E4075" s="196" t="s">
        <v>20761</v>
      </c>
      <c r="F4075" s="196" t="s">
        <v>11233</v>
      </c>
      <c r="G4075" s="196" t="s">
        <v>12378</v>
      </c>
      <c r="H4075" s="196" t="s">
        <v>11235</v>
      </c>
    </row>
    <row r="4076" spans="1:8" x14ac:dyDescent="0.15">
      <c r="A4076" s="196" t="s">
        <v>11229</v>
      </c>
      <c r="B4076" s="196" t="s">
        <v>11230</v>
      </c>
      <c r="C4076" s="196" t="s">
        <v>20762</v>
      </c>
      <c r="D4076" s="196" t="s">
        <v>20763</v>
      </c>
      <c r="E4076" s="196" t="s">
        <v>20763</v>
      </c>
      <c r="F4076" s="196" t="s">
        <v>11233</v>
      </c>
      <c r="G4076" s="196" t="s">
        <v>12378</v>
      </c>
      <c r="H4076" s="196" t="s">
        <v>11235</v>
      </c>
    </row>
    <row r="4077" spans="1:8" x14ac:dyDescent="0.15">
      <c r="A4077" s="196" t="s">
        <v>11229</v>
      </c>
      <c r="B4077" s="196" t="s">
        <v>11230</v>
      </c>
      <c r="C4077" s="196" t="s">
        <v>20764</v>
      </c>
      <c r="D4077" s="196" t="s">
        <v>20765</v>
      </c>
      <c r="E4077" s="196" t="s">
        <v>20765</v>
      </c>
      <c r="F4077" s="196" t="s">
        <v>11233</v>
      </c>
      <c r="G4077" s="196" t="s">
        <v>12378</v>
      </c>
      <c r="H4077" s="196" t="s">
        <v>11235</v>
      </c>
    </row>
    <row r="4078" spans="1:8" x14ac:dyDescent="0.15">
      <c r="A4078" s="196" t="s">
        <v>11229</v>
      </c>
      <c r="B4078" s="196" t="s">
        <v>11230</v>
      </c>
      <c r="C4078" s="196" t="s">
        <v>20766</v>
      </c>
      <c r="D4078" s="196" t="s">
        <v>20767</v>
      </c>
      <c r="E4078" s="196" t="s">
        <v>20767</v>
      </c>
      <c r="F4078" s="196" t="s">
        <v>11233</v>
      </c>
      <c r="G4078" s="196" t="s">
        <v>12378</v>
      </c>
      <c r="H4078" s="196" t="s">
        <v>11235</v>
      </c>
    </row>
    <row r="4079" spans="1:8" x14ac:dyDescent="0.15">
      <c r="A4079" s="196" t="s">
        <v>11229</v>
      </c>
      <c r="B4079" s="196" t="s">
        <v>11230</v>
      </c>
      <c r="C4079" s="196" t="s">
        <v>20768</v>
      </c>
      <c r="D4079" s="196" t="s">
        <v>20769</v>
      </c>
      <c r="E4079" s="196" t="s">
        <v>20769</v>
      </c>
      <c r="F4079" s="196" t="s">
        <v>11233</v>
      </c>
      <c r="G4079" s="196" t="s">
        <v>12378</v>
      </c>
      <c r="H4079" s="196" t="s">
        <v>11235</v>
      </c>
    </row>
    <row r="4080" spans="1:8" x14ac:dyDescent="0.15">
      <c r="A4080" s="196" t="s">
        <v>11229</v>
      </c>
      <c r="B4080" s="196" t="s">
        <v>11230</v>
      </c>
      <c r="C4080" s="196" t="s">
        <v>20770</v>
      </c>
      <c r="D4080" s="196" t="s">
        <v>20771</v>
      </c>
      <c r="E4080" s="196" t="s">
        <v>20771</v>
      </c>
      <c r="F4080" s="196" t="s">
        <v>11233</v>
      </c>
      <c r="G4080" s="196" t="s">
        <v>12378</v>
      </c>
      <c r="H4080" s="196" t="s">
        <v>11235</v>
      </c>
    </row>
    <row r="4081" spans="1:8" x14ac:dyDescent="0.15">
      <c r="A4081" s="196" t="s">
        <v>11229</v>
      </c>
      <c r="B4081" s="196" t="s">
        <v>11230</v>
      </c>
      <c r="C4081" s="196" t="s">
        <v>20772</v>
      </c>
      <c r="D4081" s="196" t="s">
        <v>20773</v>
      </c>
      <c r="E4081" s="196" t="s">
        <v>20773</v>
      </c>
      <c r="F4081" s="196" t="s">
        <v>11233</v>
      </c>
      <c r="G4081" s="196" t="s">
        <v>12378</v>
      </c>
      <c r="H4081" s="196" t="s">
        <v>11235</v>
      </c>
    </row>
    <row r="4082" spans="1:8" x14ac:dyDescent="0.15">
      <c r="A4082" s="196" t="s">
        <v>11229</v>
      </c>
      <c r="B4082" s="196" t="s">
        <v>11230</v>
      </c>
      <c r="C4082" s="196" t="s">
        <v>20774</v>
      </c>
      <c r="D4082" s="196" t="s">
        <v>20775</v>
      </c>
      <c r="E4082" s="196" t="s">
        <v>20775</v>
      </c>
      <c r="F4082" s="196" t="s">
        <v>11233</v>
      </c>
      <c r="G4082" s="196" t="s">
        <v>12378</v>
      </c>
      <c r="H4082" s="196" t="s">
        <v>11235</v>
      </c>
    </row>
    <row r="4083" spans="1:8" x14ac:dyDescent="0.15">
      <c r="A4083" s="196" t="s">
        <v>11229</v>
      </c>
      <c r="B4083" s="196" t="s">
        <v>11230</v>
      </c>
      <c r="C4083" s="196" t="s">
        <v>20776</v>
      </c>
      <c r="D4083" s="196" t="s">
        <v>20777</v>
      </c>
      <c r="E4083" s="196" t="s">
        <v>20777</v>
      </c>
      <c r="F4083" s="196" t="s">
        <v>11233</v>
      </c>
      <c r="G4083" s="196" t="s">
        <v>12378</v>
      </c>
      <c r="H4083" s="196" t="s">
        <v>11235</v>
      </c>
    </row>
    <row r="4084" spans="1:8" x14ac:dyDescent="0.15">
      <c r="A4084" s="196" t="s">
        <v>11229</v>
      </c>
      <c r="B4084" s="196" t="s">
        <v>11230</v>
      </c>
      <c r="C4084" s="196" t="s">
        <v>20778</v>
      </c>
      <c r="D4084" s="196" t="s">
        <v>20779</v>
      </c>
      <c r="E4084" s="196" t="s">
        <v>20779</v>
      </c>
      <c r="F4084" s="196" t="s">
        <v>11233</v>
      </c>
      <c r="G4084" s="196" t="s">
        <v>12378</v>
      </c>
      <c r="H4084" s="196" t="s">
        <v>11235</v>
      </c>
    </row>
    <row r="4085" spans="1:8" x14ac:dyDescent="0.15">
      <c r="A4085" s="196" t="s">
        <v>11229</v>
      </c>
      <c r="B4085" s="196" t="s">
        <v>11230</v>
      </c>
      <c r="C4085" s="196" t="s">
        <v>20780</v>
      </c>
      <c r="D4085" s="196" t="s">
        <v>20781</v>
      </c>
      <c r="E4085" s="196" t="s">
        <v>20781</v>
      </c>
      <c r="F4085" s="196" t="s">
        <v>11233</v>
      </c>
      <c r="G4085" s="196" t="s">
        <v>12378</v>
      </c>
      <c r="H4085" s="196" t="s">
        <v>11235</v>
      </c>
    </row>
    <row r="4086" spans="1:8" x14ac:dyDescent="0.15">
      <c r="A4086" s="196" t="s">
        <v>11229</v>
      </c>
      <c r="B4086" s="196" t="s">
        <v>11230</v>
      </c>
      <c r="C4086" s="196" t="s">
        <v>20782</v>
      </c>
      <c r="D4086" s="196" t="s">
        <v>20783</v>
      </c>
      <c r="E4086" s="196" t="s">
        <v>20783</v>
      </c>
      <c r="F4086" s="196" t="s">
        <v>11233</v>
      </c>
      <c r="G4086" s="196" t="s">
        <v>12378</v>
      </c>
      <c r="H4086" s="196" t="s">
        <v>11235</v>
      </c>
    </row>
    <row r="4087" spans="1:8" x14ac:dyDescent="0.15">
      <c r="A4087" s="196" t="s">
        <v>11229</v>
      </c>
      <c r="B4087" s="196" t="s">
        <v>11230</v>
      </c>
      <c r="C4087" s="196" t="s">
        <v>20784</v>
      </c>
      <c r="D4087" s="196" t="s">
        <v>20785</v>
      </c>
      <c r="E4087" s="196" t="s">
        <v>20785</v>
      </c>
      <c r="F4087" s="196" t="s">
        <v>11233</v>
      </c>
      <c r="G4087" s="196" t="s">
        <v>12378</v>
      </c>
      <c r="H4087" s="196" t="s">
        <v>11235</v>
      </c>
    </row>
    <row r="4088" spans="1:8" x14ac:dyDescent="0.15">
      <c r="A4088" s="196" t="s">
        <v>11229</v>
      </c>
      <c r="B4088" s="196" t="s">
        <v>11230</v>
      </c>
      <c r="C4088" s="196" t="s">
        <v>20786</v>
      </c>
      <c r="D4088" s="196" t="s">
        <v>20787</v>
      </c>
      <c r="E4088" s="196" t="s">
        <v>20787</v>
      </c>
      <c r="F4088" s="196" t="s">
        <v>11233</v>
      </c>
      <c r="G4088" s="196" t="s">
        <v>12378</v>
      </c>
      <c r="H4088" s="196" t="s">
        <v>11235</v>
      </c>
    </row>
    <row r="4089" spans="1:8" x14ac:dyDescent="0.15">
      <c r="A4089" s="196" t="s">
        <v>11229</v>
      </c>
      <c r="B4089" s="196" t="s">
        <v>11230</v>
      </c>
      <c r="C4089" s="196" t="s">
        <v>20788</v>
      </c>
      <c r="D4089" s="196" t="s">
        <v>20789</v>
      </c>
      <c r="E4089" s="196" t="s">
        <v>20789</v>
      </c>
      <c r="F4089" s="196" t="s">
        <v>11233</v>
      </c>
      <c r="G4089" s="196" t="s">
        <v>12378</v>
      </c>
      <c r="H4089" s="196" t="s">
        <v>11235</v>
      </c>
    </row>
    <row r="4090" spans="1:8" x14ac:dyDescent="0.15">
      <c r="A4090" s="196" t="s">
        <v>11229</v>
      </c>
      <c r="B4090" s="196" t="s">
        <v>11230</v>
      </c>
      <c r="C4090" s="196" t="s">
        <v>20790</v>
      </c>
      <c r="D4090" s="196" t="s">
        <v>20791</v>
      </c>
      <c r="E4090" s="196" t="s">
        <v>20791</v>
      </c>
      <c r="F4090" s="196" t="s">
        <v>11233</v>
      </c>
      <c r="G4090" s="196" t="s">
        <v>12378</v>
      </c>
      <c r="H4090" s="196" t="s">
        <v>11235</v>
      </c>
    </row>
    <row r="4091" spans="1:8" x14ac:dyDescent="0.15">
      <c r="A4091" s="196" t="s">
        <v>11229</v>
      </c>
      <c r="B4091" s="196" t="s">
        <v>11230</v>
      </c>
      <c r="C4091" s="196" t="s">
        <v>20792</v>
      </c>
      <c r="D4091" s="196" t="s">
        <v>20793</v>
      </c>
      <c r="E4091" s="196" t="s">
        <v>20793</v>
      </c>
      <c r="F4091" s="196" t="s">
        <v>11233</v>
      </c>
      <c r="G4091" s="196" t="s">
        <v>12378</v>
      </c>
      <c r="H4091" s="196" t="s">
        <v>11235</v>
      </c>
    </row>
    <row r="4092" spans="1:8" x14ac:dyDescent="0.15">
      <c r="A4092" s="196" t="s">
        <v>11229</v>
      </c>
      <c r="B4092" s="196" t="s">
        <v>11230</v>
      </c>
      <c r="C4092" s="196" t="s">
        <v>20794</v>
      </c>
      <c r="D4092" s="196" t="s">
        <v>20795</v>
      </c>
      <c r="E4092" s="196" t="s">
        <v>20795</v>
      </c>
      <c r="F4092" s="196" t="s">
        <v>11233</v>
      </c>
      <c r="G4092" s="196" t="s">
        <v>12378</v>
      </c>
      <c r="H4092" s="196" t="s">
        <v>11235</v>
      </c>
    </row>
    <row r="4093" spans="1:8" x14ac:dyDescent="0.15">
      <c r="A4093" s="196" t="s">
        <v>11229</v>
      </c>
      <c r="B4093" s="196" t="s">
        <v>11230</v>
      </c>
      <c r="C4093" s="196" t="s">
        <v>20796</v>
      </c>
      <c r="D4093" s="196" t="s">
        <v>20797</v>
      </c>
      <c r="E4093" s="196" t="s">
        <v>20797</v>
      </c>
      <c r="F4093" s="196" t="s">
        <v>11233</v>
      </c>
      <c r="G4093" s="196" t="s">
        <v>12378</v>
      </c>
      <c r="H4093" s="196" t="s">
        <v>11235</v>
      </c>
    </row>
    <row r="4094" spans="1:8" x14ac:dyDescent="0.15">
      <c r="A4094" s="196" t="s">
        <v>11229</v>
      </c>
      <c r="B4094" s="196" t="s">
        <v>11230</v>
      </c>
      <c r="C4094" s="196" t="s">
        <v>20798</v>
      </c>
      <c r="D4094" s="196" t="s">
        <v>20799</v>
      </c>
      <c r="E4094" s="196" t="s">
        <v>20799</v>
      </c>
      <c r="F4094" s="196" t="s">
        <v>11233</v>
      </c>
      <c r="G4094" s="196" t="s">
        <v>12378</v>
      </c>
      <c r="H4094" s="196" t="s">
        <v>11235</v>
      </c>
    </row>
    <row r="4095" spans="1:8" x14ac:dyDescent="0.15">
      <c r="A4095" s="196" t="s">
        <v>11229</v>
      </c>
      <c r="B4095" s="196" t="s">
        <v>11230</v>
      </c>
      <c r="C4095" s="196" t="s">
        <v>20800</v>
      </c>
      <c r="D4095" s="196" t="s">
        <v>20801</v>
      </c>
      <c r="E4095" s="196" t="s">
        <v>20801</v>
      </c>
      <c r="F4095" s="196" t="s">
        <v>11233</v>
      </c>
      <c r="G4095" s="196" t="s">
        <v>12378</v>
      </c>
      <c r="H4095" s="196" t="s">
        <v>11235</v>
      </c>
    </row>
    <row r="4096" spans="1:8" x14ac:dyDescent="0.15">
      <c r="A4096" s="196" t="s">
        <v>11229</v>
      </c>
      <c r="B4096" s="196" t="s">
        <v>11230</v>
      </c>
      <c r="C4096" s="196" t="s">
        <v>20802</v>
      </c>
      <c r="D4096" s="196" t="s">
        <v>20803</v>
      </c>
      <c r="E4096" s="196" t="s">
        <v>20803</v>
      </c>
      <c r="F4096" s="196" t="s">
        <v>11233</v>
      </c>
      <c r="G4096" s="196" t="s">
        <v>12378</v>
      </c>
      <c r="H4096" s="196" t="s">
        <v>11235</v>
      </c>
    </row>
    <row r="4097" spans="1:8" x14ac:dyDescent="0.15">
      <c r="A4097" s="196" t="s">
        <v>11229</v>
      </c>
      <c r="B4097" s="196" t="s">
        <v>11230</v>
      </c>
      <c r="C4097" s="196" t="s">
        <v>20804</v>
      </c>
      <c r="D4097" s="196" t="s">
        <v>20805</v>
      </c>
      <c r="E4097" s="196" t="s">
        <v>20806</v>
      </c>
      <c r="F4097" s="196" t="s">
        <v>11900</v>
      </c>
      <c r="G4097" s="196" t="s">
        <v>12378</v>
      </c>
      <c r="H4097" s="196" t="s">
        <v>11235</v>
      </c>
    </row>
    <row r="4098" spans="1:8" x14ac:dyDescent="0.15">
      <c r="A4098" s="196" t="s">
        <v>11229</v>
      </c>
      <c r="B4098" s="196" t="s">
        <v>11230</v>
      </c>
      <c r="C4098" s="196" t="s">
        <v>20807</v>
      </c>
      <c r="D4098" s="196" t="s">
        <v>20808</v>
      </c>
      <c r="E4098" s="196" t="s">
        <v>20808</v>
      </c>
      <c r="F4098" s="196" t="s">
        <v>11233</v>
      </c>
      <c r="G4098" s="196" t="s">
        <v>12378</v>
      </c>
      <c r="H4098" s="196" t="s">
        <v>11235</v>
      </c>
    </row>
    <row r="4099" spans="1:8" x14ac:dyDescent="0.15">
      <c r="A4099" s="196" t="s">
        <v>11229</v>
      </c>
      <c r="B4099" s="196" t="s">
        <v>11230</v>
      </c>
      <c r="C4099" s="196" t="s">
        <v>20809</v>
      </c>
      <c r="D4099" s="196" t="s">
        <v>20810</v>
      </c>
      <c r="E4099" s="196" t="s">
        <v>20810</v>
      </c>
      <c r="F4099" s="196" t="s">
        <v>11233</v>
      </c>
      <c r="G4099" s="196" t="s">
        <v>12378</v>
      </c>
      <c r="H4099" s="196" t="s">
        <v>11235</v>
      </c>
    </row>
    <row r="4100" spans="1:8" x14ac:dyDescent="0.15">
      <c r="A4100" s="196" t="s">
        <v>11229</v>
      </c>
      <c r="B4100" s="196" t="s">
        <v>11230</v>
      </c>
      <c r="C4100" s="196" t="s">
        <v>20811</v>
      </c>
      <c r="D4100" s="196" t="s">
        <v>20812</v>
      </c>
      <c r="E4100" s="196" t="s">
        <v>20812</v>
      </c>
      <c r="F4100" s="196" t="s">
        <v>11233</v>
      </c>
      <c r="G4100" s="196" t="s">
        <v>12378</v>
      </c>
      <c r="H4100" s="196" t="s">
        <v>11235</v>
      </c>
    </row>
    <row r="4101" spans="1:8" x14ac:dyDescent="0.15">
      <c r="A4101" s="196" t="s">
        <v>11229</v>
      </c>
      <c r="B4101" s="196" t="s">
        <v>11230</v>
      </c>
      <c r="C4101" s="196" t="s">
        <v>20813</v>
      </c>
      <c r="D4101" s="196" t="s">
        <v>20814</v>
      </c>
      <c r="E4101" s="196" t="s">
        <v>20814</v>
      </c>
      <c r="F4101" s="196" t="s">
        <v>11233</v>
      </c>
      <c r="G4101" s="196" t="s">
        <v>12378</v>
      </c>
      <c r="H4101" s="196" t="s">
        <v>11235</v>
      </c>
    </row>
    <row r="4102" spans="1:8" x14ac:dyDescent="0.15">
      <c r="A4102" s="196" t="s">
        <v>11229</v>
      </c>
      <c r="B4102" s="196" t="s">
        <v>11230</v>
      </c>
      <c r="C4102" s="196" t="s">
        <v>20815</v>
      </c>
      <c r="D4102" s="196" t="s">
        <v>20816</v>
      </c>
      <c r="E4102" s="196" t="s">
        <v>20816</v>
      </c>
      <c r="F4102" s="196" t="s">
        <v>11233</v>
      </c>
      <c r="G4102" s="196" t="s">
        <v>12378</v>
      </c>
      <c r="H4102" s="196" t="s">
        <v>11235</v>
      </c>
    </row>
    <row r="4103" spans="1:8" x14ac:dyDescent="0.15">
      <c r="A4103" s="196" t="s">
        <v>11229</v>
      </c>
      <c r="B4103" s="196" t="s">
        <v>11230</v>
      </c>
      <c r="C4103" s="196" t="s">
        <v>20817</v>
      </c>
      <c r="D4103" s="196" t="s">
        <v>20818</v>
      </c>
      <c r="E4103" s="196" t="s">
        <v>20818</v>
      </c>
      <c r="F4103" s="196" t="s">
        <v>11233</v>
      </c>
      <c r="G4103" s="196" t="s">
        <v>12378</v>
      </c>
      <c r="H4103" s="196" t="s">
        <v>11235</v>
      </c>
    </row>
    <row r="4104" spans="1:8" x14ac:dyDescent="0.15">
      <c r="A4104" s="196" t="s">
        <v>11229</v>
      </c>
      <c r="B4104" s="196" t="s">
        <v>11230</v>
      </c>
      <c r="C4104" s="196" t="s">
        <v>20819</v>
      </c>
      <c r="D4104" s="196" t="s">
        <v>20820</v>
      </c>
      <c r="E4104" s="196" t="s">
        <v>20820</v>
      </c>
      <c r="F4104" s="196" t="s">
        <v>11233</v>
      </c>
      <c r="G4104" s="196" t="s">
        <v>12378</v>
      </c>
      <c r="H4104" s="196" t="s">
        <v>11235</v>
      </c>
    </row>
    <row r="4105" spans="1:8" x14ac:dyDescent="0.15">
      <c r="A4105" s="196" t="s">
        <v>11229</v>
      </c>
      <c r="B4105" s="196" t="s">
        <v>11230</v>
      </c>
      <c r="C4105" s="196" t="s">
        <v>20821</v>
      </c>
      <c r="D4105" s="196" t="s">
        <v>20822</v>
      </c>
      <c r="E4105" s="196" t="s">
        <v>20822</v>
      </c>
      <c r="F4105" s="196" t="s">
        <v>11233</v>
      </c>
      <c r="G4105" s="196" t="s">
        <v>12378</v>
      </c>
      <c r="H4105" s="196" t="s">
        <v>11235</v>
      </c>
    </row>
    <row r="4106" spans="1:8" x14ac:dyDescent="0.15">
      <c r="A4106" s="196" t="s">
        <v>11229</v>
      </c>
      <c r="B4106" s="196" t="s">
        <v>11230</v>
      </c>
      <c r="C4106" s="196" t="s">
        <v>20823</v>
      </c>
      <c r="D4106" s="196" t="s">
        <v>20824</v>
      </c>
      <c r="E4106" s="196" t="s">
        <v>20825</v>
      </c>
      <c r="F4106" s="196" t="s">
        <v>11241</v>
      </c>
      <c r="G4106" s="196" t="s">
        <v>12378</v>
      </c>
      <c r="H4106" s="196" t="s">
        <v>11235</v>
      </c>
    </row>
    <row r="4107" spans="1:8" x14ac:dyDescent="0.15">
      <c r="A4107" s="196" t="s">
        <v>11229</v>
      </c>
      <c r="B4107" s="196" t="s">
        <v>11230</v>
      </c>
      <c r="C4107" s="196" t="s">
        <v>20826</v>
      </c>
      <c r="D4107" s="196" t="s">
        <v>20827</v>
      </c>
      <c r="E4107" s="196" t="s">
        <v>20827</v>
      </c>
      <c r="F4107" s="196" t="s">
        <v>11233</v>
      </c>
      <c r="G4107" s="196" t="s">
        <v>12378</v>
      </c>
      <c r="H4107" s="196" t="s">
        <v>11235</v>
      </c>
    </row>
    <row r="4108" spans="1:8" x14ac:dyDescent="0.15">
      <c r="A4108" s="196" t="s">
        <v>11229</v>
      </c>
      <c r="B4108" s="196" t="s">
        <v>11230</v>
      </c>
      <c r="C4108" s="196" t="s">
        <v>20828</v>
      </c>
      <c r="D4108" s="196" t="s">
        <v>20829</v>
      </c>
      <c r="E4108" s="196" t="s">
        <v>20830</v>
      </c>
      <c r="F4108" s="196" t="s">
        <v>14083</v>
      </c>
      <c r="G4108" s="196" t="s">
        <v>12378</v>
      </c>
      <c r="H4108" s="196" t="s">
        <v>11235</v>
      </c>
    </row>
    <row r="4109" spans="1:8" x14ac:dyDescent="0.15">
      <c r="A4109" s="196" t="s">
        <v>11229</v>
      </c>
      <c r="B4109" s="196" t="s">
        <v>11230</v>
      </c>
      <c r="C4109" s="196" t="s">
        <v>20831</v>
      </c>
      <c r="D4109" s="196" t="s">
        <v>20832</v>
      </c>
      <c r="E4109" s="196" t="s">
        <v>20832</v>
      </c>
      <c r="F4109" s="196" t="s">
        <v>11233</v>
      </c>
      <c r="G4109" s="196" t="s">
        <v>12378</v>
      </c>
      <c r="H4109" s="196" t="s">
        <v>11235</v>
      </c>
    </row>
    <row r="4110" spans="1:8" x14ac:dyDescent="0.15">
      <c r="A4110" s="196" t="s">
        <v>11229</v>
      </c>
      <c r="B4110" s="196" t="s">
        <v>11230</v>
      </c>
      <c r="C4110" s="196" t="s">
        <v>20833</v>
      </c>
      <c r="D4110" s="196" t="s">
        <v>20834</v>
      </c>
      <c r="E4110" s="196" t="s">
        <v>20834</v>
      </c>
      <c r="F4110" s="196" t="s">
        <v>11233</v>
      </c>
      <c r="G4110" s="196" t="s">
        <v>12378</v>
      </c>
      <c r="H4110" s="196" t="s">
        <v>11235</v>
      </c>
    </row>
    <row r="4111" spans="1:8" x14ac:dyDescent="0.15">
      <c r="A4111" s="196" t="s">
        <v>11229</v>
      </c>
      <c r="B4111" s="196" t="s">
        <v>11230</v>
      </c>
      <c r="C4111" s="196" t="s">
        <v>20835</v>
      </c>
      <c r="D4111" s="196" t="s">
        <v>20836</v>
      </c>
      <c r="E4111" s="196" t="s">
        <v>20836</v>
      </c>
      <c r="F4111" s="196" t="s">
        <v>11233</v>
      </c>
      <c r="G4111" s="196" t="s">
        <v>12378</v>
      </c>
      <c r="H4111" s="196" t="s">
        <v>11235</v>
      </c>
    </row>
    <row r="4112" spans="1:8" x14ac:dyDescent="0.15">
      <c r="A4112" s="196" t="s">
        <v>11229</v>
      </c>
      <c r="B4112" s="196" t="s">
        <v>11230</v>
      </c>
      <c r="C4112" s="196" t="s">
        <v>20837</v>
      </c>
      <c r="D4112" s="196" t="s">
        <v>20838</v>
      </c>
      <c r="E4112" s="196" t="s">
        <v>20838</v>
      </c>
      <c r="F4112" s="196" t="s">
        <v>11233</v>
      </c>
      <c r="G4112" s="196" t="s">
        <v>12378</v>
      </c>
      <c r="H4112" s="196" t="s">
        <v>11235</v>
      </c>
    </row>
    <row r="4113" spans="1:8" x14ac:dyDescent="0.15">
      <c r="A4113" s="196" t="s">
        <v>11229</v>
      </c>
      <c r="B4113" s="196" t="s">
        <v>11230</v>
      </c>
      <c r="C4113" s="196" t="s">
        <v>20839</v>
      </c>
      <c r="D4113" s="196" t="s">
        <v>20840</v>
      </c>
      <c r="E4113" s="196" t="s">
        <v>20840</v>
      </c>
      <c r="F4113" s="196" t="s">
        <v>11233</v>
      </c>
      <c r="G4113" s="196" t="s">
        <v>12378</v>
      </c>
      <c r="H4113" s="196" t="s">
        <v>11235</v>
      </c>
    </row>
    <row r="4114" spans="1:8" x14ac:dyDescent="0.15">
      <c r="A4114" s="196" t="s">
        <v>11229</v>
      </c>
      <c r="B4114" s="196" t="s">
        <v>11230</v>
      </c>
      <c r="C4114" s="196" t="s">
        <v>20841</v>
      </c>
      <c r="D4114" s="196" t="s">
        <v>20842</v>
      </c>
      <c r="E4114" s="196" t="s">
        <v>20842</v>
      </c>
      <c r="F4114" s="196" t="s">
        <v>11233</v>
      </c>
      <c r="G4114" s="196" t="s">
        <v>12378</v>
      </c>
      <c r="H4114" s="196" t="s">
        <v>11235</v>
      </c>
    </row>
    <row r="4115" spans="1:8" x14ac:dyDescent="0.15">
      <c r="A4115" s="196" t="s">
        <v>11229</v>
      </c>
      <c r="B4115" s="196" t="s">
        <v>11230</v>
      </c>
      <c r="C4115" s="196" t="s">
        <v>20843</v>
      </c>
      <c r="D4115" s="196" t="s">
        <v>20844</v>
      </c>
      <c r="E4115" s="196" t="s">
        <v>20844</v>
      </c>
      <c r="F4115" s="196" t="s">
        <v>11233</v>
      </c>
      <c r="G4115" s="196" t="s">
        <v>12378</v>
      </c>
      <c r="H4115" s="196" t="s">
        <v>11235</v>
      </c>
    </row>
    <row r="4116" spans="1:8" x14ac:dyDescent="0.15">
      <c r="A4116" s="196" t="s">
        <v>11229</v>
      </c>
      <c r="B4116" s="196" t="s">
        <v>11230</v>
      </c>
      <c r="C4116" s="196" t="s">
        <v>20845</v>
      </c>
      <c r="D4116" s="196" t="s">
        <v>20846</v>
      </c>
      <c r="E4116" s="196" t="s">
        <v>20846</v>
      </c>
      <c r="F4116" s="196" t="s">
        <v>11233</v>
      </c>
      <c r="G4116" s="196" t="s">
        <v>12378</v>
      </c>
      <c r="H4116" s="196" t="s">
        <v>11235</v>
      </c>
    </row>
    <row r="4117" spans="1:8" x14ac:dyDescent="0.15">
      <c r="A4117" s="196" t="s">
        <v>11229</v>
      </c>
      <c r="B4117" s="196" t="s">
        <v>11230</v>
      </c>
      <c r="C4117" s="196" t="s">
        <v>20847</v>
      </c>
      <c r="D4117" s="196" t="s">
        <v>20848</v>
      </c>
      <c r="E4117" s="196" t="s">
        <v>20848</v>
      </c>
      <c r="F4117" s="196" t="s">
        <v>11233</v>
      </c>
      <c r="G4117" s="196" t="s">
        <v>12378</v>
      </c>
      <c r="H4117" s="196" t="s">
        <v>11235</v>
      </c>
    </row>
    <row r="4118" spans="1:8" x14ac:dyDescent="0.15">
      <c r="A4118" s="196" t="s">
        <v>11229</v>
      </c>
      <c r="B4118" s="196" t="s">
        <v>11230</v>
      </c>
      <c r="C4118" s="196" t="s">
        <v>20849</v>
      </c>
      <c r="D4118" s="196" t="s">
        <v>20850</v>
      </c>
      <c r="E4118" s="196" t="s">
        <v>20850</v>
      </c>
      <c r="F4118" s="196" t="s">
        <v>11233</v>
      </c>
      <c r="G4118" s="196" t="s">
        <v>12378</v>
      </c>
      <c r="H4118" s="196" t="s">
        <v>11235</v>
      </c>
    </row>
    <row r="4119" spans="1:8" x14ac:dyDescent="0.15">
      <c r="A4119" s="196" t="s">
        <v>11229</v>
      </c>
      <c r="B4119" s="196" t="s">
        <v>11230</v>
      </c>
      <c r="C4119" s="196" t="s">
        <v>20851</v>
      </c>
      <c r="D4119" s="196" t="s">
        <v>20852</v>
      </c>
      <c r="E4119" s="196" t="s">
        <v>20852</v>
      </c>
      <c r="F4119" s="196" t="s">
        <v>11233</v>
      </c>
      <c r="G4119" s="196" t="s">
        <v>12378</v>
      </c>
      <c r="H4119" s="196" t="s">
        <v>11235</v>
      </c>
    </row>
    <row r="4120" spans="1:8" x14ac:dyDescent="0.15">
      <c r="A4120" s="196" t="s">
        <v>11229</v>
      </c>
      <c r="B4120" s="196" t="s">
        <v>11230</v>
      </c>
      <c r="C4120" s="196" t="s">
        <v>20853</v>
      </c>
      <c r="D4120" s="196" t="s">
        <v>20854</v>
      </c>
      <c r="E4120" s="196" t="s">
        <v>20854</v>
      </c>
      <c r="F4120" s="196" t="s">
        <v>11233</v>
      </c>
      <c r="G4120" s="196" t="s">
        <v>12378</v>
      </c>
      <c r="H4120" s="196" t="s">
        <v>11235</v>
      </c>
    </row>
    <row r="4121" spans="1:8" x14ac:dyDescent="0.15">
      <c r="A4121" s="196" t="s">
        <v>11229</v>
      </c>
      <c r="B4121" s="196" t="s">
        <v>11230</v>
      </c>
      <c r="C4121" s="196" t="s">
        <v>20855</v>
      </c>
      <c r="D4121" s="196" t="s">
        <v>20856</v>
      </c>
      <c r="E4121" s="196" t="s">
        <v>20856</v>
      </c>
      <c r="F4121" s="196" t="s">
        <v>11233</v>
      </c>
      <c r="G4121" s="196" t="s">
        <v>12378</v>
      </c>
      <c r="H4121" s="196" t="s">
        <v>11235</v>
      </c>
    </row>
    <row r="4122" spans="1:8" x14ac:dyDescent="0.15">
      <c r="A4122" s="196" t="s">
        <v>11229</v>
      </c>
      <c r="B4122" s="196" t="s">
        <v>11230</v>
      </c>
      <c r="C4122" s="196" t="s">
        <v>20857</v>
      </c>
      <c r="D4122" s="196" t="s">
        <v>20858</v>
      </c>
      <c r="E4122" s="196" t="s">
        <v>20858</v>
      </c>
      <c r="F4122" s="196" t="s">
        <v>11233</v>
      </c>
      <c r="G4122" s="196" t="s">
        <v>12378</v>
      </c>
      <c r="H4122" s="196" t="s">
        <v>11235</v>
      </c>
    </row>
    <row r="4123" spans="1:8" x14ac:dyDescent="0.15">
      <c r="A4123" s="196" t="s">
        <v>11229</v>
      </c>
      <c r="B4123" s="196" t="s">
        <v>11230</v>
      </c>
      <c r="C4123" s="196" t="s">
        <v>20859</v>
      </c>
      <c r="D4123" s="196" t="s">
        <v>20860</v>
      </c>
      <c r="E4123" s="196" t="s">
        <v>20860</v>
      </c>
      <c r="F4123" s="196" t="s">
        <v>11233</v>
      </c>
      <c r="G4123" s="196" t="s">
        <v>12378</v>
      </c>
      <c r="H4123" s="196" t="s">
        <v>11235</v>
      </c>
    </row>
    <row r="4124" spans="1:8" x14ac:dyDescent="0.15">
      <c r="A4124" s="196" t="s">
        <v>11229</v>
      </c>
      <c r="B4124" s="196" t="s">
        <v>11230</v>
      </c>
      <c r="C4124" s="196" t="s">
        <v>20861</v>
      </c>
      <c r="D4124" s="196" t="s">
        <v>20862</v>
      </c>
      <c r="E4124" s="196" t="s">
        <v>20862</v>
      </c>
      <c r="F4124" s="196" t="s">
        <v>11233</v>
      </c>
      <c r="G4124" s="196" t="s">
        <v>12378</v>
      </c>
      <c r="H4124" s="196" t="s">
        <v>11235</v>
      </c>
    </row>
    <row r="4125" spans="1:8" x14ac:dyDescent="0.15">
      <c r="A4125" s="196" t="s">
        <v>11229</v>
      </c>
      <c r="B4125" s="196" t="s">
        <v>11230</v>
      </c>
      <c r="C4125" s="196" t="s">
        <v>20863</v>
      </c>
      <c r="D4125" s="196" t="s">
        <v>20864</v>
      </c>
      <c r="E4125" s="196" t="s">
        <v>20864</v>
      </c>
      <c r="F4125" s="196" t="s">
        <v>11233</v>
      </c>
      <c r="G4125" s="196" t="s">
        <v>12378</v>
      </c>
      <c r="H4125" s="196" t="s">
        <v>11235</v>
      </c>
    </row>
    <row r="4126" spans="1:8" x14ac:dyDescent="0.15">
      <c r="A4126" s="196" t="s">
        <v>11229</v>
      </c>
      <c r="B4126" s="196" t="s">
        <v>11230</v>
      </c>
      <c r="C4126" s="196" t="s">
        <v>20865</v>
      </c>
      <c r="D4126" s="196" t="s">
        <v>20866</v>
      </c>
      <c r="E4126" s="196" t="s">
        <v>20867</v>
      </c>
      <c r="F4126" s="196" t="s">
        <v>17669</v>
      </c>
      <c r="G4126" s="196" t="s">
        <v>12378</v>
      </c>
      <c r="H4126" s="196" t="s">
        <v>11235</v>
      </c>
    </row>
    <row r="4127" spans="1:8" x14ac:dyDescent="0.15">
      <c r="A4127" s="196" t="s">
        <v>11229</v>
      </c>
      <c r="B4127" s="196" t="s">
        <v>11230</v>
      </c>
      <c r="C4127" s="196" t="s">
        <v>20868</v>
      </c>
      <c r="D4127" s="196" t="s">
        <v>20869</v>
      </c>
      <c r="E4127" s="196" t="s">
        <v>20870</v>
      </c>
      <c r="F4127" s="196" t="s">
        <v>17665</v>
      </c>
      <c r="G4127" s="196" t="s">
        <v>12378</v>
      </c>
      <c r="H4127" s="196" t="s">
        <v>11235</v>
      </c>
    </row>
    <row r="4128" spans="1:8" x14ac:dyDescent="0.15">
      <c r="A4128" s="196" t="s">
        <v>11229</v>
      </c>
      <c r="B4128" s="196" t="s">
        <v>11230</v>
      </c>
      <c r="C4128" s="196" t="s">
        <v>20871</v>
      </c>
      <c r="D4128" s="196" t="s">
        <v>20872</v>
      </c>
      <c r="E4128" s="196" t="s">
        <v>20873</v>
      </c>
      <c r="F4128" s="196" t="s">
        <v>20874</v>
      </c>
      <c r="G4128" s="196" t="s">
        <v>12378</v>
      </c>
      <c r="H4128" s="196" t="s">
        <v>11235</v>
      </c>
    </row>
    <row r="4129" spans="1:8" x14ac:dyDescent="0.15">
      <c r="A4129" s="196" t="s">
        <v>11229</v>
      </c>
      <c r="B4129" s="196" t="s">
        <v>11230</v>
      </c>
      <c r="C4129" s="196" t="s">
        <v>20875</v>
      </c>
      <c r="D4129" s="196" t="s">
        <v>20876</v>
      </c>
      <c r="E4129" s="196" t="s">
        <v>20877</v>
      </c>
      <c r="F4129" s="196" t="s">
        <v>12558</v>
      </c>
      <c r="G4129" s="196" t="s">
        <v>12378</v>
      </c>
      <c r="H4129" s="196" t="s">
        <v>11235</v>
      </c>
    </row>
    <row r="4130" spans="1:8" x14ac:dyDescent="0.15">
      <c r="A4130" s="196" t="s">
        <v>11229</v>
      </c>
      <c r="B4130" s="196" t="s">
        <v>11230</v>
      </c>
      <c r="C4130" s="196" t="s">
        <v>20878</v>
      </c>
      <c r="D4130" s="196" t="s">
        <v>20879</v>
      </c>
      <c r="E4130" s="196" t="s">
        <v>20880</v>
      </c>
      <c r="F4130" s="196" t="s">
        <v>12572</v>
      </c>
      <c r="G4130" s="196" t="s">
        <v>12378</v>
      </c>
      <c r="H4130" s="196" t="s">
        <v>11235</v>
      </c>
    </row>
    <row r="4131" spans="1:8" x14ac:dyDescent="0.15">
      <c r="A4131" s="196" t="s">
        <v>11229</v>
      </c>
      <c r="B4131" s="196" t="s">
        <v>11230</v>
      </c>
      <c r="C4131" s="196" t="s">
        <v>20881</v>
      </c>
      <c r="D4131" s="196" t="s">
        <v>20882</v>
      </c>
      <c r="E4131" s="196" t="s">
        <v>20883</v>
      </c>
      <c r="F4131" s="196" t="s">
        <v>20884</v>
      </c>
      <c r="G4131" s="196" t="s">
        <v>12378</v>
      </c>
      <c r="H4131" s="196" t="s">
        <v>11235</v>
      </c>
    </row>
    <row r="4132" spans="1:8" x14ac:dyDescent="0.15">
      <c r="A4132" s="196" t="s">
        <v>11229</v>
      </c>
      <c r="B4132" s="196" t="s">
        <v>11230</v>
      </c>
      <c r="C4132" s="196" t="s">
        <v>20885</v>
      </c>
      <c r="D4132" s="196" t="s">
        <v>20886</v>
      </c>
      <c r="E4132" s="196" t="s">
        <v>20886</v>
      </c>
      <c r="F4132" s="196" t="s">
        <v>11233</v>
      </c>
      <c r="G4132" s="196" t="s">
        <v>12378</v>
      </c>
      <c r="H4132" s="196" t="s">
        <v>11235</v>
      </c>
    </row>
    <row r="4133" spans="1:8" x14ac:dyDescent="0.15">
      <c r="A4133" s="196" t="s">
        <v>11229</v>
      </c>
      <c r="B4133" s="196" t="s">
        <v>11230</v>
      </c>
      <c r="C4133" s="196" t="s">
        <v>20887</v>
      </c>
      <c r="D4133" s="196" t="s">
        <v>20888</v>
      </c>
      <c r="E4133" s="196" t="s">
        <v>20888</v>
      </c>
      <c r="F4133" s="196" t="s">
        <v>11233</v>
      </c>
      <c r="G4133" s="196" t="s">
        <v>12378</v>
      </c>
      <c r="H4133" s="196" t="s">
        <v>11235</v>
      </c>
    </row>
    <row r="4134" spans="1:8" x14ac:dyDescent="0.15">
      <c r="A4134" s="196" t="s">
        <v>11229</v>
      </c>
      <c r="B4134" s="196" t="s">
        <v>11230</v>
      </c>
      <c r="C4134" s="196" t="s">
        <v>20889</v>
      </c>
      <c r="D4134" s="196" t="s">
        <v>20890</v>
      </c>
      <c r="E4134" s="196" t="s">
        <v>20890</v>
      </c>
      <c r="F4134" s="196" t="s">
        <v>11233</v>
      </c>
      <c r="G4134" s="196" t="s">
        <v>12378</v>
      </c>
      <c r="H4134" s="196" t="s">
        <v>11235</v>
      </c>
    </row>
    <row r="4135" spans="1:8" x14ac:dyDescent="0.15">
      <c r="A4135" s="196" t="s">
        <v>11229</v>
      </c>
      <c r="B4135" s="196" t="s">
        <v>11230</v>
      </c>
      <c r="C4135" s="196" t="s">
        <v>20891</v>
      </c>
      <c r="D4135" s="196" t="s">
        <v>20892</v>
      </c>
      <c r="E4135" s="196" t="s">
        <v>20892</v>
      </c>
      <c r="F4135" s="196" t="s">
        <v>11233</v>
      </c>
      <c r="G4135" s="196" t="s">
        <v>12378</v>
      </c>
      <c r="H4135" s="196" t="s">
        <v>11235</v>
      </c>
    </row>
    <row r="4136" spans="1:8" x14ac:dyDescent="0.15">
      <c r="A4136" s="196" t="s">
        <v>11229</v>
      </c>
      <c r="B4136" s="196" t="s">
        <v>11230</v>
      </c>
      <c r="C4136" s="196" t="s">
        <v>20893</v>
      </c>
      <c r="D4136" s="196" t="s">
        <v>20894</v>
      </c>
      <c r="E4136" s="196" t="s">
        <v>20894</v>
      </c>
      <c r="F4136" s="196" t="s">
        <v>11233</v>
      </c>
      <c r="G4136" s="196" t="s">
        <v>12378</v>
      </c>
      <c r="H4136" s="196" t="s">
        <v>11235</v>
      </c>
    </row>
    <row r="4137" spans="1:8" x14ac:dyDescent="0.15">
      <c r="A4137" s="196" t="s">
        <v>11229</v>
      </c>
      <c r="B4137" s="196" t="s">
        <v>11230</v>
      </c>
      <c r="C4137" s="196" t="s">
        <v>20895</v>
      </c>
      <c r="D4137" s="196" t="s">
        <v>20896</v>
      </c>
      <c r="E4137" s="196" t="s">
        <v>20896</v>
      </c>
      <c r="F4137" s="196" t="s">
        <v>11233</v>
      </c>
      <c r="G4137" s="196" t="s">
        <v>12378</v>
      </c>
      <c r="H4137" s="196" t="s">
        <v>11235</v>
      </c>
    </row>
    <row r="4138" spans="1:8" x14ac:dyDescent="0.15">
      <c r="A4138" s="196" t="s">
        <v>11229</v>
      </c>
      <c r="B4138" s="196" t="s">
        <v>11230</v>
      </c>
      <c r="C4138" s="196" t="s">
        <v>20897</v>
      </c>
      <c r="D4138" s="196" t="s">
        <v>20898</v>
      </c>
      <c r="E4138" s="196" t="s">
        <v>20898</v>
      </c>
      <c r="F4138" s="196" t="s">
        <v>11233</v>
      </c>
      <c r="G4138" s="196" t="s">
        <v>12378</v>
      </c>
      <c r="H4138" s="196" t="s">
        <v>11235</v>
      </c>
    </row>
    <row r="4139" spans="1:8" x14ac:dyDescent="0.15">
      <c r="A4139" s="196" t="s">
        <v>11229</v>
      </c>
      <c r="B4139" s="196" t="s">
        <v>11230</v>
      </c>
      <c r="C4139" s="196" t="s">
        <v>20899</v>
      </c>
      <c r="D4139" s="196" t="s">
        <v>20900</v>
      </c>
      <c r="E4139" s="196" t="s">
        <v>20900</v>
      </c>
      <c r="F4139" s="196" t="s">
        <v>11233</v>
      </c>
      <c r="G4139" s="196" t="s">
        <v>12378</v>
      </c>
      <c r="H4139" s="196" t="s">
        <v>11235</v>
      </c>
    </row>
    <row r="4140" spans="1:8" x14ac:dyDescent="0.15">
      <c r="A4140" s="196" t="s">
        <v>11229</v>
      </c>
      <c r="B4140" s="196" t="s">
        <v>11230</v>
      </c>
      <c r="C4140" s="196" t="s">
        <v>20901</v>
      </c>
      <c r="D4140" s="196" t="s">
        <v>20902</v>
      </c>
      <c r="E4140" s="196" t="s">
        <v>20902</v>
      </c>
      <c r="F4140" s="196" t="s">
        <v>11233</v>
      </c>
      <c r="G4140" s="196" t="s">
        <v>12378</v>
      </c>
      <c r="H4140" s="196" t="s">
        <v>11235</v>
      </c>
    </row>
    <row r="4141" spans="1:8" x14ac:dyDescent="0.15">
      <c r="A4141" s="196" t="s">
        <v>11229</v>
      </c>
      <c r="B4141" s="196" t="s">
        <v>11230</v>
      </c>
      <c r="C4141" s="196" t="s">
        <v>20903</v>
      </c>
      <c r="D4141" s="196" t="s">
        <v>20904</v>
      </c>
      <c r="E4141" s="196" t="s">
        <v>20904</v>
      </c>
      <c r="F4141" s="196" t="s">
        <v>11233</v>
      </c>
      <c r="G4141" s="196" t="s">
        <v>12378</v>
      </c>
      <c r="H4141" s="196" t="s">
        <v>11235</v>
      </c>
    </row>
    <row r="4142" spans="1:8" x14ac:dyDescent="0.15">
      <c r="A4142" s="196" t="s">
        <v>11229</v>
      </c>
      <c r="B4142" s="196" t="s">
        <v>11230</v>
      </c>
      <c r="C4142" s="196" t="s">
        <v>20905</v>
      </c>
      <c r="D4142" s="196" t="s">
        <v>20906</v>
      </c>
      <c r="E4142" s="196" t="s">
        <v>20906</v>
      </c>
      <c r="F4142" s="196" t="s">
        <v>11233</v>
      </c>
      <c r="G4142" s="196" t="s">
        <v>12378</v>
      </c>
      <c r="H4142" s="196" t="s">
        <v>11235</v>
      </c>
    </row>
    <row r="4143" spans="1:8" x14ac:dyDescent="0.15">
      <c r="A4143" s="196" t="s">
        <v>11229</v>
      </c>
      <c r="B4143" s="196" t="s">
        <v>11230</v>
      </c>
      <c r="C4143" s="196" t="s">
        <v>20907</v>
      </c>
      <c r="D4143" s="196" t="s">
        <v>20908</v>
      </c>
      <c r="E4143" s="196" t="s">
        <v>20908</v>
      </c>
      <c r="F4143" s="196" t="s">
        <v>11233</v>
      </c>
      <c r="G4143" s="196" t="s">
        <v>12378</v>
      </c>
      <c r="H4143" s="196" t="s">
        <v>11235</v>
      </c>
    </row>
    <row r="4144" spans="1:8" x14ac:dyDescent="0.15">
      <c r="A4144" s="196" t="s">
        <v>11229</v>
      </c>
      <c r="B4144" s="196" t="s">
        <v>11230</v>
      </c>
      <c r="C4144" s="196" t="s">
        <v>20909</v>
      </c>
      <c r="D4144" s="196" t="s">
        <v>20910</v>
      </c>
      <c r="E4144" s="196" t="s">
        <v>20910</v>
      </c>
      <c r="F4144" s="196" t="s">
        <v>11233</v>
      </c>
      <c r="G4144" s="196" t="s">
        <v>12378</v>
      </c>
      <c r="H4144" s="196" t="s">
        <v>11235</v>
      </c>
    </row>
    <row r="4145" spans="1:8" x14ac:dyDescent="0.15">
      <c r="A4145" s="196" t="s">
        <v>11229</v>
      </c>
      <c r="B4145" s="196" t="s">
        <v>11230</v>
      </c>
      <c r="C4145" s="196" t="s">
        <v>20911</v>
      </c>
      <c r="D4145" s="196" t="s">
        <v>20912</v>
      </c>
      <c r="E4145" s="196" t="s">
        <v>20912</v>
      </c>
      <c r="F4145" s="196" t="s">
        <v>11233</v>
      </c>
      <c r="G4145" s="196" t="s">
        <v>12378</v>
      </c>
      <c r="H4145" s="196" t="s">
        <v>11235</v>
      </c>
    </row>
    <row r="4146" spans="1:8" x14ac:dyDescent="0.15">
      <c r="A4146" s="196" t="s">
        <v>11229</v>
      </c>
      <c r="B4146" s="196" t="s">
        <v>11230</v>
      </c>
      <c r="C4146" s="196" t="s">
        <v>20913</v>
      </c>
      <c r="D4146" s="196" t="s">
        <v>20914</v>
      </c>
      <c r="E4146" s="196" t="s">
        <v>20914</v>
      </c>
      <c r="F4146" s="196" t="s">
        <v>11233</v>
      </c>
      <c r="G4146" s="196" t="s">
        <v>12378</v>
      </c>
      <c r="H4146" s="196" t="s">
        <v>11235</v>
      </c>
    </row>
    <row r="4147" spans="1:8" x14ac:dyDescent="0.15">
      <c r="A4147" s="196" t="s">
        <v>11229</v>
      </c>
      <c r="B4147" s="196" t="s">
        <v>11230</v>
      </c>
      <c r="C4147" s="196" t="s">
        <v>20915</v>
      </c>
      <c r="D4147" s="196" t="s">
        <v>20916</v>
      </c>
      <c r="E4147" s="196" t="s">
        <v>20916</v>
      </c>
      <c r="F4147" s="196" t="s">
        <v>11233</v>
      </c>
      <c r="G4147" s="196" t="s">
        <v>12378</v>
      </c>
      <c r="H4147" s="196" t="s">
        <v>11235</v>
      </c>
    </row>
    <row r="4148" spans="1:8" x14ac:dyDescent="0.15">
      <c r="A4148" s="196" t="s">
        <v>11229</v>
      </c>
      <c r="B4148" s="196" t="s">
        <v>11230</v>
      </c>
      <c r="C4148" s="196" t="s">
        <v>20917</v>
      </c>
      <c r="D4148" s="196" t="s">
        <v>20918</v>
      </c>
      <c r="E4148" s="196" t="s">
        <v>20918</v>
      </c>
      <c r="F4148" s="196" t="s">
        <v>11233</v>
      </c>
      <c r="G4148" s="196" t="s">
        <v>12378</v>
      </c>
      <c r="H4148" s="196" t="s">
        <v>11235</v>
      </c>
    </row>
    <row r="4149" spans="1:8" x14ac:dyDescent="0.15">
      <c r="A4149" s="196" t="s">
        <v>11229</v>
      </c>
      <c r="B4149" s="196" t="s">
        <v>11230</v>
      </c>
      <c r="C4149" s="196" t="s">
        <v>20919</v>
      </c>
      <c r="D4149" s="196" t="s">
        <v>20920</v>
      </c>
      <c r="E4149" s="196" t="s">
        <v>20920</v>
      </c>
      <c r="F4149" s="196" t="s">
        <v>11233</v>
      </c>
      <c r="G4149" s="196" t="s">
        <v>12378</v>
      </c>
      <c r="H4149" s="196" t="s">
        <v>11235</v>
      </c>
    </row>
    <row r="4150" spans="1:8" x14ac:dyDescent="0.15">
      <c r="A4150" s="196" t="s">
        <v>11229</v>
      </c>
      <c r="B4150" s="196" t="s">
        <v>11230</v>
      </c>
      <c r="C4150" s="196" t="s">
        <v>20921</v>
      </c>
      <c r="D4150" s="196" t="s">
        <v>20922</v>
      </c>
      <c r="E4150" s="196" t="s">
        <v>20922</v>
      </c>
      <c r="F4150" s="196" t="s">
        <v>11233</v>
      </c>
      <c r="G4150" s="196" t="s">
        <v>12378</v>
      </c>
      <c r="H4150" s="196" t="s">
        <v>11235</v>
      </c>
    </row>
    <row r="4151" spans="1:8" x14ac:dyDescent="0.15">
      <c r="A4151" s="196" t="s">
        <v>11229</v>
      </c>
      <c r="B4151" s="196" t="s">
        <v>11230</v>
      </c>
      <c r="C4151" s="196" t="s">
        <v>20923</v>
      </c>
      <c r="D4151" s="196" t="s">
        <v>20924</v>
      </c>
      <c r="E4151" s="196" t="s">
        <v>20924</v>
      </c>
      <c r="F4151" s="196" t="s">
        <v>11233</v>
      </c>
      <c r="G4151" s="196" t="s">
        <v>12378</v>
      </c>
      <c r="H4151" s="196" t="s">
        <v>11235</v>
      </c>
    </row>
    <row r="4152" spans="1:8" x14ac:dyDescent="0.15">
      <c r="A4152" s="196" t="s">
        <v>11229</v>
      </c>
      <c r="B4152" s="196" t="s">
        <v>11230</v>
      </c>
      <c r="C4152" s="196" t="s">
        <v>20925</v>
      </c>
      <c r="D4152" s="196" t="s">
        <v>20926</v>
      </c>
      <c r="E4152" s="196" t="s">
        <v>20926</v>
      </c>
      <c r="F4152" s="196" t="s">
        <v>11233</v>
      </c>
      <c r="G4152" s="196" t="s">
        <v>12378</v>
      </c>
      <c r="H4152" s="196" t="s">
        <v>11235</v>
      </c>
    </row>
    <row r="4153" spans="1:8" x14ac:dyDescent="0.15">
      <c r="A4153" s="196" t="s">
        <v>11229</v>
      </c>
      <c r="B4153" s="196" t="s">
        <v>11230</v>
      </c>
      <c r="C4153" s="196" t="s">
        <v>20927</v>
      </c>
      <c r="D4153" s="196" t="s">
        <v>20928</v>
      </c>
      <c r="E4153" s="196" t="s">
        <v>20928</v>
      </c>
      <c r="F4153" s="196" t="s">
        <v>11233</v>
      </c>
      <c r="G4153" s="196" t="s">
        <v>12378</v>
      </c>
      <c r="H4153" s="196" t="s">
        <v>11235</v>
      </c>
    </row>
    <row r="4154" spans="1:8" x14ac:dyDescent="0.15">
      <c r="A4154" s="196" t="s">
        <v>11229</v>
      </c>
      <c r="B4154" s="196" t="s">
        <v>11230</v>
      </c>
      <c r="C4154" s="196" t="s">
        <v>20929</v>
      </c>
      <c r="D4154" s="196" t="s">
        <v>20930</v>
      </c>
      <c r="E4154" s="196" t="s">
        <v>20930</v>
      </c>
      <c r="F4154" s="196" t="s">
        <v>11233</v>
      </c>
      <c r="G4154" s="196" t="s">
        <v>12378</v>
      </c>
      <c r="H4154" s="196" t="s">
        <v>11235</v>
      </c>
    </row>
    <row r="4155" spans="1:8" x14ac:dyDescent="0.15">
      <c r="A4155" s="196" t="s">
        <v>11229</v>
      </c>
      <c r="B4155" s="196" t="s">
        <v>11230</v>
      </c>
      <c r="C4155" s="196" t="s">
        <v>20931</v>
      </c>
      <c r="D4155" s="196" t="s">
        <v>20932</v>
      </c>
      <c r="E4155" s="196" t="s">
        <v>20932</v>
      </c>
      <c r="F4155" s="196" t="s">
        <v>11233</v>
      </c>
      <c r="G4155" s="196" t="s">
        <v>12378</v>
      </c>
      <c r="H4155" s="196" t="s">
        <v>11235</v>
      </c>
    </row>
    <row r="4156" spans="1:8" x14ac:dyDescent="0.15">
      <c r="A4156" s="196" t="s">
        <v>11229</v>
      </c>
      <c r="B4156" s="196" t="s">
        <v>11230</v>
      </c>
      <c r="C4156" s="196" t="s">
        <v>20933</v>
      </c>
      <c r="D4156" s="196" t="s">
        <v>20934</v>
      </c>
      <c r="E4156" s="196" t="s">
        <v>20934</v>
      </c>
      <c r="F4156" s="196" t="s">
        <v>11233</v>
      </c>
      <c r="G4156" s="196" t="s">
        <v>12378</v>
      </c>
      <c r="H4156" s="196" t="s">
        <v>11235</v>
      </c>
    </row>
    <row r="4157" spans="1:8" x14ac:dyDescent="0.15">
      <c r="A4157" s="196" t="s">
        <v>11229</v>
      </c>
      <c r="B4157" s="196" t="s">
        <v>11230</v>
      </c>
      <c r="C4157" s="196" t="s">
        <v>20935</v>
      </c>
      <c r="D4157" s="196" t="s">
        <v>20936</v>
      </c>
      <c r="E4157" s="196" t="s">
        <v>20936</v>
      </c>
      <c r="F4157" s="196" t="s">
        <v>11233</v>
      </c>
      <c r="G4157" s="196" t="s">
        <v>12378</v>
      </c>
      <c r="H4157" s="196" t="s">
        <v>11235</v>
      </c>
    </row>
    <row r="4158" spans="1:8" x14ac:dyDescent="0.15">
      <c r="A4158" s="196" t="s">
        <v>11229</v>
      </c>
      <c r="B4158" s="196" t="s">
        <v>11230</v>
      </c>
      <c r="C4158" s="196" t="s">
        <v>20937</v>
      </c>
      <c r="D4158" s="196" t="s">
        <v>20938</v>
      </c>
      <c r="E4158" s="196" t="s">
        <v>20938</v>
      </c>
      <c r="F4158" s="196" t="s">
        <v>11233</v>
      </c>
      <c r="G4158" s="196" t="s">
        <v>12378</v>
      </c>
      <c r="H4158" s="196" t="s">
        <v>11235</v>
      </c>
    </row>
    <row r="4159" spans="1:8" x14ac:dyDescent="0.15">
      <c r="A4159" s="196" t="s">
        <v>11229</v>
      </c>
      <c r="B4159" s="196" t="s">
        <v>11230</v>
      </c>
      <c r="C4159" s="196" t="s">
        <v>20939</v>
      </c>
      <c r="D4159" s="196" t="s">
        <v>20940</v>
      </c>
      <c r="E4159" s="196" t="s">
        <v>20940</v>
      </c>
      <c r="F4159" s="196" t="s">
        <v>11233</v>
      </c>
      <c r="G4159" s="196" t="s">
        <v>12378</v>
      </c>
      <c r="H4159" s="196" t="s">
        <v>11235</v>
      </c>
    </row>
    <row r="4160" spans="1:8" x14ac:dyDescent="0.15">
      <c r="A4160" s="196" t="s">
        <v>11229</v>
      </c>
      <c r="B4160" s="196" t="s">
        <v>11230</v>
      </c>
      <c r="C4160" s="196" t="s">
        <v>20941</v>
      </c>
      <c r="D4160" s="196" t="s">
        <v>20942</v>
      </c>
      <c r="E4160" s="196" t="s">
        <v>20942</v>
      </c>
      <c r="F4160" s="196" t="s">
        <v>11233</v>
      </c>
      <c r="G4160" s="196" t="s">
        <v>12378</v>
      </c>
      <c r="H4160" s="196" t="s">
        <v>11235</v>
      </c>
    </row>
    <row r="4161" spans="1:8" x14ac:dyDescent="0.15">
      <c r="A4161" s="196" t="s">
        <v>11229</v>
      </c>
      <c r="B4161" s="196" t="s">
        <v>11230</v>
      </c>
      <c r="C4161" s="196" t="s">
        <v>20943</v>
      </c>
      <c r="D4161" s="196" t="s">
        <v>20944</v>
      </c>
      <c r="E4161" s="196" t="s">
        <v>20944</v>
      </c>
      <c r="F4161" s="196" t="s">
        <v>11233</v>
      </c>
      <c r="G4161" s="196" t="s">
        <v>12378</v>
      </c>
      <c r="H4161" s="196" t="s">
        <v>11235</v>
      </c>
    </row>
    <row r="4162" spans="1:8" x14ac:dyDescent="0.15">
      <c r="A4162" s="196" t="s">
        <v>11229</v>
      </c>
      <c r="B4162" s="196" t="s">
        <v>11230</v>
      </c>
      <c r="C4162" s="196" t="s">
        <v>20945</v>
      </c>
      <c r="D4162" s="196" t="s">
        <v>20946</v>
      </c>
      <c r="E4162" s="196" t="s">
        <v>20946</v>
      </c>
      <c r="F4162" s="196" t="s">
        <v>11233</v>
      </c>
      <c r="G4162" s="196" t="s">
        <v>12378</v>
      </c>
      <c r="H4162" s="196" t="s">
        <v>11235</v>
      </c>
    </row>
    <row r="4163" spans="1:8" x14ac:dyDescent="0.15">
      <c r="A4163" s="196" t="s">
        <v>11229</v>
      </c>
      <c r="B4163" s="196" t="s">
        <v>11230</v>
      </c>
      <c r="C4163" s="196" t="s">
        <v>20947</v>
      </c>
      <c r="D4163" s="196" t="s">
        <v>20948</v>
      </c>
      <c r="E4163" s="196" t="s">
        <v>20948</v>
      </c>
      <c r="F4163" s="196" t="s">
        <v>11233</v>
      </c>
      <c r="G4163" s="196" t="s">
        <v>12378</v>
      </c>
      <c r="H4163" s="196" t="s">
        <v>11235</v>
      </c>
    </row>
    <row r="4164" spans="1:8" x14ac:dyDescent="0.15">
      <c r="A4164" s="196" t="s">
        <v>11229</v>
      </c>
      <c r="B4164" s="196" t="s">
        <v>11230</v>
      </c>
      <c r="C4164" s="196" t="s">
        <v>20949</v>
      </c>
      <c r="D4164" s="196" t="s">
        <v>20950</v>
      </c>
      <c r="E4164" s="196" t="s">
        <v>20950</v>
      </c>
      <c r="F4164" s="196" t="s">
        <v>11233</v>
      </c>
      <c r="G4164" s="196" t="s">
        <v>12378</v>
      </c>
      <c r="H4164" s="196" t="s">
        <v>11235</v>
      </c>
    </row>
    <row r="4165" spans="1:8" x14ac:dyDescent="0.15">
      <c r="A4165" s="196" t="s">
        <v>11229</v>
      </c>
      <c r="B4165" s="196" t="s">
        <v>11230</v>
      </c>
      <c r="C4165" s="196" t="s">
        <v>20951</v>
      </c>
      <c r="D4165" s="196" t="s">
        <v>20952</v>
      </c>
      <c r="E4165" s="196" t="s">
        <v>20952</v>
      </c>
      <c r="F4165" s="196" t="s">
        <v>11233</v>
      </c>
      <c r="G4165" s="196" t="s">
        <v>12378</v>
      </c>
      <c r="H4165" s="196" t="s">
        <v>11235</v>
      </c>
    </row>
    <row r="4166" spans="1:8" x14ac:dyDescent="0.15">
      <c r="A4166" s="196" t="s">
        <v>11229</v>
      </c>
      <c r="B4166" s="196" t="s">
        <v>11230</v>
      </c>
      <c r="C4166" s="196" t="s">
        <v>20953</v>
      </c>
      <c r="D4166" s="196" t="s">
        <v>20954</v>
      </c>
      <c r="E4166" s="196" t="s">
        <v>20954</v>
      </c>
      <c r="F4166" s="196" t="s">
        <v>11233</v>
      </c>
      <c r="G4166" s="196" t="s">
        <v>12378</v>
      </c>
      <c r="H4166" s="196" t="s">
        <v>11235</v>
      </c>
    </row>
    <row r="4167" spans="1:8" x14ac:dyDescent="0.15">
      <c r="A4167" s="196" t="s">
        <v>11229</v>
      </c>
      <c r="B4167" s="196" t="s">
        <v>11230</v>
      </c>
      <c r="C4167" s="196" t="s">
        <v>20955</v>
      </c>
      <c r="D4167" s="196" t="s">
        <v>20956</v>
      </c>
      <c r="E4167" s="196" t="s">
        <v>20956</v>
      </c>
      <c r="F4167" s="196" t="s">
        <v>11233</v>
      </c>
      <c r="G4167" s="196" t="s">
        <v>12378</v>
      </c>
      <c r="H4167" s="196" t="s">
        <v>11235</v>
      </c>
    </row>
    <row r="4168" spans="1:8" x14ac:dyDescent="0.15">
      <c r="A4168" s="196" t="s">
        <v>11229</v>
      </c>
      <c r="B4168" s="196" t="s">
        <v>11230</v>
      </c>
      <c r="C4168" s="196" t="s">
        <v>20957</v>
      </c>
      <c r="D4168" s="196" t="s">
        <v>20958</v>
      </c>
      <c r="E4168" s="196" t="s">
        <v>20958</v>
      </c>
      <c r="F4168" s="196" t="s">
        <v>11233</v>
      </c>
      <c r="G4168" s="196" t="s">
        <v>12378</v>
      </c>
      <c r="H4168" s="196" t="s">
        <v>11235</v>
      </c>
    </row>
    <row r="4169" spans="1:8" x14ac:dyDescent="0.15">
      <c r="A4169" s="196" t="s">
        <v>11229</v>
      </c>
      <c r="B4169" s="196" t="s">
        <v>11230</v>
      </c>
      <c r="C4169" s="196" t="s">
        <v>20959</v>
      </c>
      <c r="D4169" s="196" t="s">
        <v>20960</v>
      </c>
      <c r="E4169" s="196" t="s">
        <v>20960</v>
      </c>
      <c r="F4169" s="196" t="s">
        <v>11233</v>
      </c>
      <c r="G4169" s="196" t="s">
        <v>12378</v>
      </c>
      <c r="H4169" s="196" t="s">
        <v>11235</v>
      </c>
    </row>
    <row r="4170" spans="1:8" x14ac:dyDescent="0.15">
      <c r="A4170" s="196" t="s">
        <v>11229</v>
      </c>
      <c r="B4170" s="196" t="s">
        <v>11230</v>
      </c>
      <c r="C4170" s="196" t="s">
        <v>20961</v>
      </c>
      <c r="D4170" s="196" t="s">
        <v>20962</v>
      </c>
      <c r="E4170" s="196" t="s">
        <v>20962</v>
      </c>
      <c r="F4170" s="196" t="s">
        <v>11233</v>
      </c>
      <c r="G4170" s="196" t="s">
        <v>12378</v>
      </c>
      <c r="H4170" s="196" t="s">
        <v>11235</v>
      </c>
    </row>
    <row r="4171" spans="1:8" x14ac:dyDescent="0.15">
      <c r="A4171" s="196" t="s">
        <v>11229</v>
      </c>
      <c r="B4171" s="196" t="s">
        <v>11230</v>
      </c>
      <c r="C4171" s="196" t="s">
        <v>20963</v>
      </c>
      <c r="D4171" s="196" t="s">
        <v>20964</v>
      </c>
      <c r="E4171" s="196" t="s">
        <v>20964</v>
      </c>
      <c r="F4171" s="196" t="s">
        <v>11233</v>
      </c>
      <c r="G4171" s="196" t="s">
        <v>12378</v>
      </c>
      <c r="H4171" s="196" t="s">
        <v>11235</v>
      </c>
    </row>
    <row r="4172" spans="1:8" x14ac:dyDescent="0.15">
      <c r="A4172" s="196" t="s">
        <v>11229</v>
      </c>
      <c r="B4172" s="196" t="s">
        <v>11230</v>
      </c>
      <c r="C4172" s="196" t="s">
        <v>20965</v>
      </c>
      <c r="D4172" s="196" t="s">
        <v>20966</v>
      </c>
      <c r="E4172" s="196" t="s">
        <v>20966</v>
      </c>
      <c r="F4172" s="196" t="s">
        <v>11233</v>
      </c>
      <c r="G4172" s="196" t="s">
        <v>12378</v>
      </c>
      <c r="H4172" s="196" t="s">
        <v>11235</v>
      </c>
    </row>
    <row r="4173" spans="1:8" x14ac:dyDescent="0.15">
      <c r="A4173" s="196" t="s">
        <v>11229</v>
      </c>
      <c r="B4173" s="196" t="s">
        <v>11230</v>
      </c>
      <c r="C4173" s="196" t="s">
        <v>20967</v>
      </c>
      <c r="D4173" s="196" t="s">
        <v>20968</v>
      </c>
      <c r="E4173" s="196" t="s">
        <v>20968</v>
      </c>
      <c r="F4173" s="196" t="s">
        <v>11233</v>
      </c>
      <c r="G4173" s="196" t="s">
        <v>12378</v>
      </c>
      <c r="H4173" s="196" t="s">
        <v>11235</v>
      </c>
    </row>
    <row r="4174" spans="1:8" x14ac:dyDescent="0.15">
      <c r="A4174" s="196" t="s">
        <v>11229</v>
      </c>
      <c r="B4174" s="196" t="s">
        <v>11230</v>
      </c>
      <c r="C4174" s="196" t="s">
        <v>20969</v>
      </c>
      <c r="D4174" s="196" t="s">
        <v>20970</v>
      </c>
      <c r="E4174" s="196" t="s">
        <v>20970</v>
      </c>
      <c r="F4174" s="196" t="s">
        <v>11233</v>
      </c>
      <c r="G4174" s="196" t="s">
        <v>12378</v>
      </c>
      <c r="H4174" s="196" t="s">
        <v>11235</v>
      </c>
    </row>
    <row r="4175" spans="1:8" x14ac:dyDescent="0.15">
      <c r="A4175" s="196" t="s">
        <v>11229</v>
      </c>
      <c r="B4175" s="196" t="s">
        <v>11230</v>
      </c>
      <c r="C4175" s="196" t="s">
        <v>20971</v>
      </c>
      <c r="D4175" s="196" t="s">
        <v>20972</v>
      </c>
      <c r="E4175" s="196" t="s">
        <v>20972</v>
      </c>
      <c r="F4175" s="196" t="s">
        <v>11233</v>
      </c>
      <c r="G4175" s="196" t="s">
        <v>12378</v>
      </c>
      <c r="H4175" s="196" t="s">
        <v>11235</v>
      </c>
    </row>
    <row r="4176" spans="1:8" x14ac:dyDescent="0.15">
      <c r="A4176" s="196" t="s">
        <v>11229</v>
      </c>
      <c r="B4176" s="196" t="s">
        <v>11230</v>
      </c>
      <c r="C4176" s="196" t="s">
        <v>20973</v>
      </c>
      <c r="D4176" s="196" t="s">
        <v>20974</v>
      </c>
      <c r="E4176" s="196" t="s">
        <v>20974</v>
      </c>
      <c r="F4176" s="196" t="s">
        <v>11233</v>
      </c>
      <c r="G4176" s="196" t="s">
        <v>12378</v>
      </c>
      <c r="H4176" s="196" t="s">
        <v>11235</v>
      </c>
    </row>
    <row r="4177" spans="1:8" x14ac:dyDescent="0.15">
      <c r="A4177" s="196" t="s">
        <v>11229</v>
      </c>
      <c r="B4177" s="196" t="s">
        <v>11230</v>
      </c>
      <c r="C4177" s="196" t="s">
        <v>20975</v>
      </c>
      <c r="D4177" s="196" t="s">
        <v>20976</v>
      </c>
      <c r="E4177" s="196" t="s">
        <v>20976</v>
      </c>
      <c r="F4177" s="196" t="s">
        <v>11233</v>
      </c>
      <c r="G4177" s="196" t="s">
        <v>12378</v>
      </c>
      <c r="H4177" s="196" t="s">
        <v>11235</v>
      </c>
    </row>
    <row r="4178" spans="1:8" x14ac:dyDescent="0.15">
      <c r="A4178" s="196" t="s">
        <v>11229</v>
      </c>
      <c r="B4178" s="196" t="s">
        <v>11230</v>
      </c>
      <c r="C4178" s="196" t="s">
        <v>20977</v>
      </c>
      <c r="D4178" s="196" t="s">
        <v>20978</v>
      </c>
      <c r="E4178" s="196" t="s">
        <v>20978</v>
      </c>
      <c r="F4178" s="196" t="s">
        <v>11233</v>
      </c>
      <c r="G4178" s="196" t="s">
        <v>12378</v>
      </c>
      <c r="H4178" s="196" t="s">
        <v>11235</v>
      </c>
    </row>
    <row r="4179" spans="1:8" x14ac:dyDescent="0.15">
      <c r="A4179" s="196" t="s">
        <v>11229</v>
      </c>
      <c r="B4179" s="196" t="s">
        <v>11230</v>
      </c>
      <c r="C4179" s="196" t="s">
        <v>20979</v>
      </c>
      <c r="D4179" s="196" t="s">
        <v>20980</v>
      </c>
      <c r="E4179" s="196" t="s">
        <v>20980</v>
      </c>
      <c r="F4179" s="196" t="s">
        <v>11233</v>
      </c>
      <c r="G4179" s="196" t="s">
        <v>12378</v>
      </c>
      <c r="H4179" s="196" t="s">
        <v>11235</v>
      </c>
    </row>
    <row r="4180" spans="1:8" x14ac:dyDescent="0.15">
      <c r="A4180" s="196" t="s">
        <v>11229</v>
      </c>
      <c r="B4180" s="196" t="s">
        <v>11230</v>
      </c>
      <c r="C4180" s="196" t="s">
        <v>20981</v>
      </c>
      <c r="D4180" s="196" t="s">
        <v>20982</v>
      </c>
      <c r="E4180" s="196" t="s">
        <v>20982</v>
      </c>
      <c r="F4180" s="196" t="s">
        <v>11233</v>
      </c>
      <c r="G4180" s="196" t="s">
        <v>12378</v>
      </c>
      <c r="H4180" s="196" t="s">
        <v>11235</v>
      </c>
    </row>
    <row r="4181" spans="1:8" x14ac:dyDescent="0.15">
      <c r="A4181" s="196" t="s">
        <v>11229</v>
      </c>
      <c r="B4181" s="196" t="s">
        <v>11230</v>
      </c>
      <c r="C4181" s="196" t="s">
        <v>20983</v>
      </c>
      <c r="D4181" s="196" t="s">
        <v>20984</v>
      </c>
      <c r="E4181" s="196" t="s">
        <v>20984</v>
      </c>
      <c r="F4181" s="196" t="s">
        <v>11233</v>
      </c>
      <c r="G4181" s="196" t="s">
        <v>12378</v>
      </c>
      <c r="H4181" s="196" t="s">
        <v>11235</v>
      </c>
    </row>
    <row r="4182" spans="1:8" x14ac:dyDescent="0.15">
      <c r="A4182" s="196" t="s">
        <v>11229</v>
      </c>
      <c r="B4182" s="196" t="s">
        <v>11230</v>
      </c>
      <c r="C4182" s="196" t="s">
        <v>20985</v>
      </c>
      <c r="D4182" s="196" t="s">
        <v>20986</v>
      </c>
      <c r="E4182" s="196" t="s">
        <v>20986</v>
      </c>
      <c r="F4182" s="196" t="s">
        <v>11233</v>
      </c>
      <c r="G4182" s="196" t="s">
        <v>12378</v>
      </c>
      <c r="H4182" s="196" t="s">
        <v>11235</v>
      </c>
    </row>
    <row r="4183" spans="1:8" x14ac:dyDescent="0.15">
      <c r="A4183" s="196" t="s">
        <v>11229</v>
      </c>
      <c r="B4183" s="196" t="s">
        <v>11230</v>
      </c>
      <c r="C4183" s="196" t="s">
        <v>20987</v>
      </c>
      <c r="D4183" s="196" t="s">
        <v>20988</v>
      </c>
      <c r="E4183" s="196" t="s">
        <v>20988</v>
      </c>
      <c r="F4183" s="196" t="s">
        <v>11233</v>
      </c>
      <c r="G4183" s="196" t="s">
        <v>12378</v>
      </c>
      <c r="H4183" s="196" t="s">
        <v>11235</v>
      </c>
    </row>
    <row r="4184" spans="1:8" x14ac:dyDescent="0.15">
      <c r="A4184" s="196" t="s">
        <v>11229</v>
      </c>
      <c r="B4184" s="196" t="s">
        <v>11230</v>
      </c>
      <c r="C4184" s="196" t="s">
        <v>20989</v>
      </c>
      <c r="D4184" s="196" t="s">
        <v>20990</v>
      </c>
      <c r="E4184" s="196" t="s">
        <v>20990</v>
      </c>
      <c r="F4184" s="196" t="s">
        <v>11233</v>
      </c>
      <c r="G4184" s="196" t="s">
        <v>12378</v>
      </c>
      <c r="H4184" s="196" t="s">
        <v>11235</v>
      </c>
    </row>
    <row r="4185" spans="1:8" x14ac:dyDescent="0.15">
      <c r="A4185" s="196" t="s">
        <v>11229</v>
      </c>
      <c r="B4185" s="196" t="s">
        <v>11230</v>
      </c>
      <c r="C4185" s="196" t="s">
        <v>20991</v>
      </c>
      <c r="D4185" s="196" t="s">
        <v>20992</v>
      </c>
      <c r="E4185" s="196" t="s">
        <v>20992</v>
      </c>
      <c r="F4185" s="196" t="s">
        <v>11233</v>
      </c>
      <c r="G4185" s="196" t="s">
        <v>12378</v>
      </c>
      <c r="H4185" s="196" t="s">
        <v>11235</v>
      </c>
    </row>
    <row r="4186" spans="1:8" x14ac:dyDescent="0.15">
      <c r="A4186" s="196" t="s">
        <v>11229</v>
      </c>
      <c r="B4186" s="196" t="s">
        <v>11230</v>
      </c>
      <c r="C4186" s="196" t="s">
        <v>20993</v>
      </c>
      <c r="D4186" s="196" t="s">
        <v>20994</v>
      </c>
      <c r="E4186" s="196" t="s">
        <v>20994</v>
      </c>
      <c r="F4186" s="196" t="s">
        <v>11233</v>
      </c>
      <c r="G4186" s="196" t="s">
        <v>12378</v>
      </c>
      <c r="H4186" s="196" t="s">
        <v>11235</v>
      </c>
    </row>
    <row r="4187" spans="1:8" x14ac:dyDescent="0.15">
      <c r="A4187" s="196" t="s">
        <v>11229</v>
      </c>
      <c r="B4187" s="196" t="s">
        <v>11230</v>
      </c>
      <c r="C4187" s="196" t="s">
        <v>20995</v>
      </c>
      <c r="D4187" s="196" t="s">
        <v>20996</v>
      </c>
      <c r="E4187" s="196" t="s">
        <v>20996</v>
      </c>
      <c r="F4187" s="196" t="s">
        <v>11233</v>
      </c>
      <c r="G4187" s="196" t="s">
        <v>12378</v>
      </c>
      <c r="H4187" s="196" t="s">
        <v>11235</v>
      </c>
    </row>
    <row r="4188" spans="1:8" x14ac:dyDescent="0.15">
      <c r="A4188" s="196" t="s">
        <v>11229</v>
      </c>
      <c r="B4188" s="196" t="s">
        <v>11230</v>
      </c>
      <c r="C4188" s="196" t="s">
        <v>20997</v>
      </c>
      <c r="D4188" s="196" t="s">
        <v>20998</v>
      </c>
      <c r="E4188" s="196" t="s">
        <v>20998</v>
      </c>
      <c r="F4188" s="196" t="s">
        <v>11233</v>
      </c>
      <c r="G4188" s="196" t="s">
        <v>12378</v>
      </c>
      <c r="H4188" s="196" t="s">
        <v>11235</v>
      </c>
    </row>
    <row r="4189" spans="1:8" x14ac:dyDescent="0.15">
      <c r="A4189" s="196" t="s">
        <v>11229</v>
      </c>
      <c r="B4189" s="196" t="s">
        <v>11230</v>
      </c>
      <c r="C4189" s="196" t="s">
        <v>20999</v>
      </c>
      <c r="D4189" s="196" t="s">
        <v>21000</v>
      </c>
      <c r="E4189" s="196" t="s">
        <v>21001</v>
      </c>
      <c r="F4189" s="196" t="s">
        <v>11241</v>
      </c>
      <c r="G4189" s="196" t="s">
        <v>12378</v>
      </c>
      <c r="H4189" s="196" t="s">
        <v>11235</v>
      </c>
    </row>
    <row r="4190" spans="1:8" x14ac:dyDescent="0.15">
      <c r="A4190" s="196" t="s">
        <v>11229</v>
      </c>
      <c r="B4190" s="196" t="s">
        <v>11230</v>
      </c>
      <c r="C4190" s="196" t="s">
        <v>21002</v>
      </c>
      <c r="D4190" s="196" t="s">
        <v>21001</v>
      </c>
      <c r="E4190" s="196" t="s">
        <v>21003</v>
      </c>
      <c r="F4190" s="196" t="s">
        <v>11241</v>
      </c>
      <c r="G4190" s="196" t="s">
        <v>12378</v>
      </c>
      <c r="H4190" s="196" t="s">
        <v>11235</v>
      </c>
    </row>
    <row r="4191" spans="1:8" x14ac:dyDescent="0.15">
      <c r="A4191" s="196" t="s">
        <v>11229</v>
      </c>
      <c r="B4191" s="196" t="s">
        <v>11230</v>
      </c>
      <c r="C4191" s="196" t="s">
        <v>21004</v>
      </c>
      <c r="D4191" s="196" t="s">
        <v>21003</v>
      </c>
      <c r="E4191" s="196" t="s">
        <v>21005</v>
      </c>
      <c r="F4191" s="196" t="s">
        <v>11268</v>
      </c>
      <c r="G4191" s="196" t="s">
        <v>12378</v>
      </c>
      <c r="H4191" s="196" t="s">
        <v>11235</v>
      </c>
    </row>
    <row r="4192" spans="1:8" x14ac:dyDescent="0.15">
      <c r="A4192" s="196" t="s">
        <v>11229</v>
      </c>
      <c r="B4192" s="196" t="s">
        <v>11230</v>
      </c>
      <c r="C4192" s="196" t="s">
        <v>21006</v>
      </c>
      <c r="D4192" s="196" t="s">
        <v>21005</v>
      </c>
      <c r="E4192" s="196" t="s">
        <v>21007</v>
      </c>
      <c r="F4192" s="196" t="s">
        <v>11241</v>
      </c>
      <c r="G4192" s="196" t="s">
        <v>12378</v>
      </c>
      <c r="H4192" s="196" t="s">
        <v>11235</v>
      </c>
    </row>
    <row r="4193" spans="1:8" x14ac:dyDescent="0.15">
      <c r="A4193" s="196" t="s">
        <v>11229</v>
      </c>
      <c r="B4193" s="196" t="s">
        <v>11230</v>
      </c>
      <c r="C4193" s="196" t="s">
        <v>21008</v>
      </c>
      <c r="D4193" s="196" t="s">
        <v>21009</v>
      </c>
      <c r="E4193" s="196" t="s">
        <v>21009</v>
      </c>
      <c r="F4193" s="196" t="s">
        <v>11233</v>
      </c>
      <c r="G4193" s="196" t="s">
        <v>12378</v>
      </c>
      <c r="H4193" s="196" t="s">
        <v>11235</v>
      </c>
    </row>
    <row r="4194" spans="1:8" x14ac:dyDescent="0.15">
      <c r="A4194" s="196" t="s">
        <v>11229</v>
      </c>
      <c r="B4194" s="196" t="s">
        <v>11230</v>
      </c>
      <c r="C4194" s="196" t="s">
        <v>21010</v>
      </c>
      <c r="D4194" s="196" t="s">
        <v>21011</v>
      </c>
      <c r="E4194" s="196" t="s">
        <v>21011</v>
      </c>
      <c r="F4194" s="196" t="s">
        <v>11233</v>
      </c>
      <c r="G4194" s="196" t="s">
        <v>12378</v>
      </c>
      <c r="H4194" s="196" t="s">
        <v>11235</v>
      </c>
    </row>
    <row r="4195" spans="1:8" x14ac:dyDescent="0.15">
      <c r="A4195" s="196" t="s">
        <v>11229</v>
      </c>
      <c r="B4195" s="196" t="s">
        <v>11230</v>
      </c>
      <c r="C4195" s="196" t="s">
        <v>21012</v>
      </c>
      <c r="D4195" s="196" t="s">
        <v>21013</v>
      </c>
      <c r="E4195" s="196" t="s">
        <v>21013</v>
      </c>
      <c r="F4195" s="196" t="s">
        <v>11233</v>
      </c>
      <c r="G4195" s="196" t="s">
        <v>12378</v>
      </c>
      <c r="H4195" s="196" t="s">
        <v>11235</v>
      </c>
    </row>
    <row r="4196" spans="1:8" x14ac:dyDescent="0.15">
      <c r="A4196" s="196" t="s">
        <v>11229</v>
      </c>
      <c r="B4196" s="196" t="s">
        <v>11230</v>
      </c>
      <c r="C4196" s="196" t="s">
        <v>21014</v>
      </c>
      <c r="D4196" s="196" t="s">
        <v>21015</v>
      </c>
      <c r="E4196" s="196" t="s">
        <v>21015</v>
      </c>
      <c r="F4196" s="196" t="s">
        <v>11233</v>
      </c>
      <c r="G4196" s="196" t="s">
        <v>12378</v>
      </c>
      <c r="H4196" s="196" t="s">
        <v>11235</v>
      </c>
    </row>
    <row r="4197" spans="1:8" x14ac:dyDescent="0.15">
      <c r="A4197" s="196" t="s">
        <v>11229</v>
      </c>
      <c r="B4197" s="196" t="s">
        <v>11230</v>
      </c>
      <c r="C4197" s="196" t="s">
        <v>21016</v>
      </c>
      <c r="D4197" s="196" t="s">
        <v>21017</v>
      </c>
      <c r="E4197" s="196" t="s">
        <v>21017</v>
      </c>
      <c r="F4197" s="196" t="s">
        <v>11233</v>
      </c>
      <c r="G4197" s="196" t="s">
        <v>12378</v>
      </c>
      <c r="H4197" s="196" t="s">
        <v>11235</v>
      </c>
    </row>
    <row r="4198" spans="1:8" x14ac:dyDescent="0.15">
      <c r="A4198" s="196" t="s">
        <v>11229</v>
      </c>
      <c r="B4198" s="196" t="s">
        <v>11230</v>
      </c>
      <c r="C4198" s="196" t="s">
        <v>21018</v>
      </c>
      <c r="D4198" s="196" t="s">
        <v>21019</v>
      </c>
      <c r="E4198" s="196" t="s">
        <v>21019</v>
      </c>
      <c r="F4198" s="196" t="s">
        <v>11233</v>
      </c>
      <c r="G4198" s="196" t="s">
        <v>12378</v>
      </c>
      <c r="H4198" s="196" t="s">
        <v>11235</v>
      </c>
    </row>
    <row r="4199" spans="1:8" x14ac:dyDescent="0.15">
      <c r="A4199" s="196" t="s">
        <v>11229</v>
      </c>
      <c r="B4199" s="196" t="s">
        <v>11230</v>
      </c>
      <c r="C4199" s="196" t="s">
        <v>21020</v>
      </c>
      <c r="D4199" s="196" t="s">
        <v>21021</v>
      </c>
      <c r="E4199" s="196" t="s">
        <v>21021</v>
      </c>
      <c r="F4199" s="196" t="s">
        <v>11233</v>
      </c>
      <c r="G4199" s="196" t="s">
        <v>12378</v>
      </c>
      <c r="H4199" s="196" t="s">
        <v>11235</v>
      </c>
    </row>
    <row r="4200" spans="1:8" x14ac:dyDescent="0.15">
      <c r="A4200" s="196" t="s">
        <v>11229</v>
      </c>
      <c r="B4200" s="196" t="s">
        <v>11230</v>
      </c>
      <c r="C4200" s="196" t="s">
        <v>21022</v>
      </c>
      <c r="D4200" s="196" t="s">
        <v>21023</v>
      </c>
      <c r="E4200" s="196" t="s">
        <v>21023</v>
      </c>
      <c r="F4200" s="196" t="s">
        <v>11233</v>
      </c>
      <c r="G4200" s="196" t="s">
        <v>12378</v>
      </c>
      <c r="H4200" s="196" t="s">
        <v>11235</v>
      </c>
    </row>
    <row r="4201" spans="1:8" x14ac:dyDescent="0.15">
      <c r="A4201" s="196" t="s">
        <v>11229</v>
      </c>
      <c r="B4201" s="196" t="s">
        <v>11230</v>
      </c>
      <c r="C4201" s="196" t="s">
        <v>21024</v>
      </c>
      <c r="D4201" s="196" t="s">
        <v>21025</v>
      </c>
      <c r="E4201" s="196" t="s">
        <v>21025</v>
      </c>
      <c r="F4201" s="196" t="s">
        <v>11233</v>
      </c>
      <c r="G4201" s="196" t="s">
        <v>12378</v>
      </c>
      <c r="H4201" s="196" t="s">
        <v>11235</v>
      </c>
    </row>
    <row r="4202" spans="1:8" x14ac:dyDescent="0.15">
      <c r="A4202" s="196" t="s">
        <v>11229</v>
      </c>
      <c r="B4202" s="196" t="s">
        <v>11230</v>
      </c>
      <c r="C4202" s="196" t="s">
        <v>21026</v>
      </c>
      <c r="D4202" s="196" t="s">
        <v>21027</v>
      </c>
      <c r="E4202" s="196" t="s">
        <v>21027</v>
      </c>
      <c r="F4202" s="196" t="s">
        <v>11233</v>
      </c>
      <c r="G4202" s="196" t="s">
        <v>12378</v>
      </c>
      <c r="H4202" s="196" t="s">
        <v>11235</v>
      </c>
    </row>
    <row r="4203" spans="1:8" x14ac:dyDescent="0.15">
      <c r="A4203" s="196" t="s">
        <v>11229</v>
      </c>
      <c r="B4203" s="196" t="s">
        <v>11230</v>
      </c>
      <c r="C4203" s="196" t="s">
        <v>21028</v>
      </c>
      <c r="D4203" s="196" t="s">
        <v>21029</v>
      </c>
      <c r="E4203" s="196" t="s">
        <v>21029</v>
      </c>
      <c r="F4203" s="196" t="s">
        <v>11233</v>
      </c>
      <c r="G4203" s="196" t="s">
        <v>12378</v>
      </c>
      <c r="H4203" s="196" t="s">
        <v>11235</v>
      </c>
    </row>
    <row r="4204" spans="1:8" x14ac:dyDescent="0.15">
      <c r="A4204" s="196" t="s">
        <v>11229</v>
      </c>
      <c r="B4204" s="196" t="s">
        <v>11230</v>
      </c>
      <c r="C4204" s="196" t="s">
        <v>21030</v>
      </c>
      <c r="D4204" s="196" t="s">
        <v>21031</v>
      </c>
      <c r="E4204" s="196" t="s">
        <v>21031</v>
      </c>
      <c r="F4204" s="196" t="s">
        <v>11233</v>
      </c>
      <c r="G4204" s="196" t="s">
        <v>12378</v>
      </c>
      <c r="H4204" s="196" t="s">
        <v>11235</v>
      </c>
    </row>
    <row r="4205" spans="1:8" x14ac:dyDescent="0.15">
      <c r="A4205" s="196" t="s">
        <v>11229</v>
      </c>
      <c r="B4205" s="196" t="s">
        <v>11230</v>
      </c>
      <c r="C4205" s="196" t="s">
        <v>21032</v>
      </c>
      <c r="D4205" s="196" t="s">
        <v>21033</v>
      </c>
      <c r="E4205" s="196" t="s">
        <v>21033</v>
      </c>
      <c r="F4205" s="196" t="s">
        <v>11233</v>
      </c>
      <c r="G4205" s="196" t="s">
        <v>12378</v>
      </c>
      <c r="H4205" s="196" t="s">
        <v>11235</v>
      </c>
    </row>
    <row r="4206" spans="1:8" x14ac:dyDescent="0.15">
      <c r="A4206" s="196" t="s">
        <v>11229</v>
      </c>
      <c r="B4206" s="196" t="s">
        <v>11230</v>
      </c>
      <c r="C4206" s="196" t="s">
        <v>21034</v>
      </c>
      <c r="D4206" s="196" t="s">
        <v>21035</v>
      </c>
      <c r="E4206" s="196" t="s">
        <v>21035</v>
      </c>
      <c r="F4206" s="196" t="s">
        <v>11233</v>
      </c>
      <c r="G4206" s="196" t="s">
        <v>12378</v>
      </c>
      <c r="H4206" s="196" t="s">
        <v>11235</v>
      </c>
    </row>
    <row r="4207" spans="1:8" x14ac:dyDescent="0.15">
      <c r="A4207" s="196" t="s">
        <v>11229</v>
      </c>
      <c r="B4207" s="196" t="s">
        <v>11230</v>
      </c>
      <c r="C4207" s="196" t="s">
        <v>21036</v>
      </c>
      <c r="D4207" s="196" t="s">
        <v>21037</v>
      </c>
      <c r="E4207" s="196" t="s">
        <v>21037</v>
      </c>
      <c r="F4207" s="196" t="s">
        <v>11233</v>
      </c>
      <c r="G4207" s="196" t="s">
        <v>12378</v>
      </c>
      <c r="H4207" s="196" t="s">
        <v>11235</v>
      </c>
    </row>
    <row r="4208" spans="1:8" x14ac:dyDescent="0.15">
      <c r="A4208" s="196" t="s">
        <v>11229</v>
      </c>
      <c r="B4208" s="196" t="s">
        <v>11230</v>
      </c>
      <c r="C4208" s="196" t="s">
        <v>21038</v>
      </c>
      <c r="D4208" s="196" t="s">
        <v>21039</v>
      </c>
      <c r="E4208" s="196" t="s">
        <v>21039</v>
      </c>
      <c r="F4208" s="196" t="s">
        <v>11233</v>
      </c>
      <c r="G4208" s="196" t="s">
        <v>12378</v>
      </c>
      <c r="H4208" s="196" t="s">
        <v>11235</v>
      </c>
    </row>
    <row r="4209" spans="1:8" x14ac:dyDescent="0.15">
      <c r="A4209" s="196" t="s">
        <v>11229</v>
      </c>
      <c r="B4209" s="196" t="s">
        <v>11230</v>
      </c>
      <c r="C4209" s="196" t="s">
        <v>21040</v>
      </c>
      <c r="D4209" s="196" t="s">
        <v>21041</v>
      </c>
      <c r="E4209" s="196" t="s">
        <v>21041</v>
      </c>
      <c r="F4209" s="196" t="s">
        <v>11233</v>
      </c>
      <c r="G4209" s="196" t="s">
        <v>12378</v>
      </c>
      <c r="H4209" s="196" t="s">
        <v>11235</v>
      </c>
    </row>
    <row r="4210" spans="1:8" x14ac:dyDescent="0.15">
      <c r="A4210" s="196" t="s">
        <v>11229</v>
      </c>
      <c r="B4210" s="196" t="s">
        <v>11230</v>
      </c>
      <c r="C4210" s="196" t="s">
        <v>21042</v>
      </c>
      <c r="D4210" s="196" t="s">
        <v>21043</v>
      </c>
      <c r="E4210" s="196" t="s">
        <v>21043</v>
      </c>
      <c r="F4210" s="196" t="s">
        <v>11233</v>
      </c>
      <c r="G4210" s="196" t="s">
        <v>12378</v>
      </c>
      <c r="H4210" s="196" t="s">
        <v>11235</v>
      </c>
    </row>
    <row r="4211" spans="1:8" x14ac:dyDescent="0.15">
      <c r="A4211" s="196" t="s">
        <v>11229</v>
      </c>
      <c r="B4211" s="196" t="s">
        <v>11230</v>
      </c>
      <c r="C4211" s="196" t="s">
        <v>21044</v>
      </c>
      <c r="D4211" s="196" t="s">
        <v>21045</v>
      </c>
      <c r="E4211" s="196" t="s">
        <v>21045</v>
      </c>
      <c r="F4211" s="196" t="s">
        <v>11233</v>
      </c>
      <c r="G4211" s="196" t="s">
        <v>12378</v>
      </c>
      <c r="H4211" s="196" t="s">
        <v>11235</v>
      </c>
    </row>
    <row r="4212" spans="1:8" x14ac:dyDescent="0.15">
      <c r="A4212" s="196" t="s">
        <v>11229</v>
      </c>
      <c r="B4212" s="196" t="s">
        <v>11230</v>
      </c>
      <c r="C4212" s="196" t="s">
        <v>21046</v>
      </c>
      <c r="D4212" s="196" t="s">
        <v>21047</v>
      </c>
      <c r="E4212" s="196" t="s">
        <v>21047</v>
      </c>
      <c r="F4212" s="196" t="s">
        <v>11233</v>
      </c>
      <c r="G4212" s="196" t="s">
        <v>12378</v>
      </c>
      <c r="H4212" s="196" t="s">
        <v>11235</v>
      </c>
    </row>
    <row r="4213" spans="1:8" x14ac:dyDescent="0.15">
      <c r="A4213" s="196" t="s">
        <v>11229</v>
      </c>
      <c r="B4213" s="196" t="s">
        <v>11230</v>
      </c>
      <c r="C4213" s="196" t="s">
        <v>21048</v>
      </c>
      <c r="D4213" s="196" t="s">
        <v>21049</v>
      </c>
      <c r="E4213" s="196" t="s">
        <v>21049</v>
      </c>
      <c r="F4213" s="196" t="s">
        <v>11233</v>
      </c>
      <c r="G4213" s="196" t="s">
        <v>12378</v>
      </c>
      <c r="H4213" s="196" t="s">
        <v>11235</v>
      </c>
    </row>
    <row r="4214" spans="1:8" x14ac:dyDescent="0.15">
      <c r="A4214" s="196" t="s">
        <v>11229</v>
      </c>
      <c r="B4214" s="196" t="s">
        <v>11230</v>
      </c>
      <c r="C4214" s="196" t="s">
        <v>21050</v>
      </c>
      <c r="D4214" s="196" t="s">
        <v>21051</v>
      </c>
      <c r="E4214" s="196" t="s">
        <v>21051</v>
      </c>
      <c r="F4214" s="196" t="s">
        <v>11233</v>
      </c>
      <c r="G4214" s="196" t="s">
        <v>12378</v>
      </c>
      <c r="H4214" s="196" t="s">
        <v>11235</v>
      </c>
    </row>
    <row r="4215" spans="1:8" x14ac:dyDescent="0.15">
      <c r="A4215" s="196" t="s">
        <v>11229</v>
      </c>
      <c r="B4215" s="196" t="s">
        <v>11230</v>
      </c>
      <c r="C4215" s="196" t="s">
        <v>21052</v>
      </c>
      <c r="D4215" s="196" t="s">
        <v>21053</v>
      </c>
      <c r="E4215" s="196" t="s">
        <v>21053</v>
      </c>
      <c r="F4215" s="196" t="s">
        <v>11233</v>
      </c>
      <c r="G4215" s="196" t="s">
        <v>12378</v>
      </c>
      <c r="H4215" s="196" t="s">
        <v>11235</v>
      </c>
    </row>
    <row r="4216" spans="1:8" x14ac:dyDescent="0.15">
      <c r="A4216" s="196" t="s">
        <v>11229</v>
      </c>
      <c r="B4216" s="196" t="s">
        <v>11230</v>
      </c>
      <c r="C4216" s="196" t="s">
        <v>21054</v>
      </c>
      <c r="D4216" s="196" t="s">
        <v>21055</v>
      </c>
      <c r="E4216" s="196" t="s">
        <v>21055</v>
      </c>
      <c r="F4216" s="196" t="s">
        <v>11233</v>
      </c>
      <c r="G4216" s="196" t="s">
        <v>12378</v>
      </c>
      <c r="H4216" s="196" t="s">
        <v>11235</v>
      </c>
    </row>
    <row r="4217" spans="1:8" x14ac:dyDescent="0.15">
      <c r="A4217" s="196" t="s">
        <v>11229</v>
      </c>
      <c r="B4217" s="196" t="s">
        <v>11230</v>
      </c>
      <c r="C4217" s="196" t="s">
        <v>21056</v>
      </c>
      <c r="D4217" s="196" t="s">
        <v>21057</v>
      </c>
      <c r="E4217" s="196" t="s">
        <v>21057</v>
      </c>
      <c r="F4217" s="196" t="s">
        <v>11233</v>
      </c>
      <c r="G4217" s="196" t="s">
        <v>12378</v>
      </c>
      <c r="H4217" s="196" t="s">
        <v>11235</v>
      </c>
    </row>
    <row r="4218" spans="1:8" x14ac:dyDescent="0.15">
      <c r="A4218" s="196" t="s">
        <v>11229</v>
      </c>
      <c r="B4218" s="196" t="s">
        <v>11230</v>
      </c>
      <c r="C4218" s="196" t="s">
        <v>21058</v>
      </c>
      <c r="D4218" s="196" t="s">
        <v>21059</v>
      </c>
      <c r="E4218" s="196" t="s">
        <v>21059</v>
      </c>
      <c r="F4218" s="196" t="s">
        <v>11233</v>
      </c>
      <c r="G4218" s="196" t="s">
        <v>12378</v>
      </c>
      <c r="H4218" s="196" t="s">
        <v>11235</v>
      </c>
    </row>
    <row r="4219" spans="1:8" x14ac:dyDescent="0.15">
      <c r="A4219" s="196" t="s">
        <v>11229</v>
      </c>
      <c r="B4219" s="196" t="s">
        <v>11230</v>
      </c>
      <c r="C4219" s="196" t="s">
        <v>21060</v>
      </c>
      <c r="D4219" s="196" t="s">
        <v>21061</v>
      </c>
      <c r="E4219" s="196" t="s">
        <v>21061</v>
      </c>
      <c r="F4219" s="196" t="s">
        <v>11233</v>
      </c>
      <c r="G4219" s="196" t="s">
        <v>12378</v>
      </c>
      <c r="H4219" s="196" t="s">
        <v>11235</v>
      </c>
    </row>
    <row r="4220" spans="1:8" x14ac:dyDescent="0.15">
      <c r="A4220" s="196" t="s">
        <v>11229</v>
      </c>
      <c r="B4220" s="196" t="s">
        <v>11230</v>
      </c>
      <c r="C4220" s="196" t="s">
        <v>21062</v>
      </c>
      <c r="D4220" s="196" t="s">
        <v>21063</v>
      </c>
      <c r="E4220" s="196" t="s">
        <v>21063</v>
      </c>
      <c r="F4220" s="196" t="s">
        <v>11233</v>
      </c>
      <c r="G4220" s="196" t="s">
        <v>12378</v>
      </c>
      <c r="H4220" s="196" t="s">
        <v>11235</v>
      </c>
    </row>
    <row r="4221" spans="1:8" x14ac:dyDescent="0.15">
      <c r="A4221" s="196" t="s">
        <v>11229</v>
      </c>
      <c r="B4221" s="196" t="s">
        <v>11230</v>
      </c>
      <c r="C4221" s="196" t="s">
        <v>21064</v>
      </c>
      <c r="D4221" s="196" t="s">
        <v>21065</v>
      </c>
      <c r="E4221" s="196" t="s">
        <v>21065</v>
      </c>
      <c r="F4221" s="196" t="s">
        <v>11233</v>
      </c>
      <c r="G4221" s="196" t="s">
        <v>12378</v>
      </c>
      <c r="H4221" s="196" t="s">
        <v>11235</v>
      </c>
    </row>
    <row r="4222" spans="1:8" x14ac:dyDescent="0.15">
      <c r="A4222" s="196" t="s">
        <v>11229</v>
      </c>
      <c r="B4222" s="196" t="s">
        <v>11230</v>
      </c>
      <c r="C4222" s="196" t="s">
        <v>21066</v>
      </c>
      <c r="D4222" s="196" t="s">
        <v>21067</v>
      </c>
      <c r="E4222" s="196" t="s">
        <v>21067</v>
      </c>
      <c r="F4222" s="196" t="s">
        <v>11233</v>
      </c>
      <c r="G4222" s="196" t="s">
        <v>12378</v>
      </c>
      <c r="H4222" s="196" t="s">
        <v>11235</v>
      </c>
    </row>
    <row r="4223" spans="1:8" x14ac:dyDescent="0.15">
      <c r="A4223" s="196" t="s">
        <v>11229</v>
      </c>
      <c r="B4223" s="196" t="s">
        <v>11230</v>
      </c>
      <c r="C4223" s="196" t="s">
        <v>21068</v>
      </c>
      <c r="D4223" s="196" t="s">
        <v>21069</v>
      </c>
      <c r="E4223" s="196" t="s">
        <v>21069</v>
      </c>
      <c r="F4223" s="196" t="s">
        <v>11233</v>
      </c>
      <c r="G4223" s="196" t="s">
        <v>12378</v>
      </c>
      <c r="H4223" s="196" t="s">
        <v>11235</v>
      </c>
    </row>
    <row r="4224" spans="1:8" x14ac:dyDescent="0.15">
      <c r="A4224" s="196" t="s">
        <v>11229</v>
      </c>
      <c r="B4224" s="196" t="s">
        <v>11230</v>
      </c>
      <c r="C4224" s="196" t="s">
        <v>21070</v>
      </c>
      <c r="D4224" s="196" t="s">
        <v>21071</v>
      </c>
      <c r="E4224" s="196" t="s">
        <v>21071</v>
      </c>
      <c r="F4224" s="196" t="s">
        <v>11233</v>
      </c>
      <c r="G4224" s="196" t="s">
        <v>12378</v>
      </c>
      <c r="H4224" s="196" t="s">
        <v>11235</v>
      </c>
    </row>
    <row r="4225" spans="1:8" x14ac:dyDescent="0.15">
      <c r="A4225" s="196" t="s">
        <v>11229</v>
      </c>
      <c r="B4225" s="196" t="s">
        <v>11230</v>
      </c>
      <c r="C4225" s="196" t="s">
        <v>21072</v>
      </c>
      <c r="D4225" s="196" t="s">
        <v>21073</v>
      </c>
      <c r="E4225" s="196" t="s">
        <v>21073</v>
      </c>
      <c r="F4225" s="196" t="s">
        <v>11233</v>
      </c>
      <c r="G4225" s="196" t="s">
        <v>12378</v>
      </c>
      <c r="H4225" s="196" t="s">
        <v>11235</v>
      </c>
    </row>
    <row r="4226" spans="1:8" x14ac:dyDescent="0.15">
      <c r="A4226" s="196" t="s">
        <v>11229</v>
      </c>
      <c r="B4226" s="196" t="s">
        <v>11230</v>
      </c>
      <c r="C4226" s="196" t="s">
        <v>21074</v>
      </c>
      <c r="D4226" s="196" t="s">
        <v>21075</v>
      </c>
      <c r="E4226" s="196" t="s">
        <v>21075</v>
      </c>
      <c r="F4226" s="196" t="s">
        <v>11233</v>
      </c>
      <c r="G4226" s="196" t="s">
        <v>12378</v>
      </c>
      <c r="H4226" s="196" t="s">
        <v>11235</v>
      </c>
    </row>
    <row r="4227" spans="1:8" x14ac:dyDescent="0.15">
      <c r="A4227" s="196" t="s">
        <v>11229</v>
      </c>
      <c r="B4227" s="196" t="s">
        <v>11230</v>
      </c>
      <c r="C4227" s="196" t="s">
        <v>21076</v>
      </c>
      <c r="D4227" s="196" t="s">
        <v>21077</v>
      </c>
      <c r="E4227" s="196" t="s">
        <v>21077</v>
      </c>
      <c r="F4227" s="196" t="s">
        <v>11233</v>
      </c>
      <c r="G4227" s="196" t="s">
        <v>12378</v>
      </c>
      <c r="H4227" s="196" t="s">
        <v>11235</v>
      </c>
    </row>
    <row r="4228" spans="1:8" x14ac:dyDescent="0.15">
      <c r="A4228" s="196" t="s">
        <v>11229</v>
      </c>
      <c r="B4228" s="196" t="s">
        <v>11230</v>
      </c>
      <c r="C4228" s="196" t="s">
        <v>21078</v>
      </c>
      <c r="D4228" s="196" t="s">
        <v>21079</v>
      </c>
      <c r="E4228" s="196" t="s">
        <v>21079</v>
      </c>
      <c r="F4228" s="196" t="s">
        <v>11233</v>
      </c>
      <c r="G4228" s="196" t="s">
        <v>12378</v>
      </c>
      <c r="H4228" s="196" t="s">
        <v>11235</v>
      </c>
    </row>
    <row r="4229" spans="1:8" x14ac:dyDescent="0.15">
      <c r="A4229" s="196" t="s">
        <v>11229</v>
      </c>
      <c r="B4229" s="196" t="s">
        <v>11230</v>
      </c>
      <c r="C4229" s="196" t="s">
        <v>21080</v>
      </c>
      <c r="D4229" s="196" t="s">
        <v>21081</v>
      </c>
      <c r="E4229" s="196" t="s">
        <v>21081</v>
      </c>
      <c r="F4229" s="196" t="s">
        <v>11233</v>
      </c>
      <c r="G4229" s="196" t="s">
        <v>12378</v>
      </c>
      <c r="H4229" s="196" t="s">
        <v>11235</v>
      </c>
    </row>
    <row r="4230" spans="1:8" x14ac:dyDescent="0.15">
      <c r="A4230" s="196" t="s">
        <v>11229</v>
      </c>
      <c r="B4230" s="196" t="s">
        <v>11230</v>
      </c>
      <c r="C4230" s="196" t="s">
        <v>21082</v>
      </c>
      <c r="D4230" s="196" t="s">
        <v>21083</v>
      </c>
      <c r="E4230" s="196" t="s">
        <v>21083</v>
      </c>
      <c r="F4230" s="196" t="s">
        <v>11233</v>
      </c>
      <c r="G4230" s="196" t="s">
        <v>12378</v>
      </c>
      <c r="H4230" s="196" t="s">
        <v>11235</v>
      </c>
    </row>
    <row r="4231" spans="1:8" x14ac:dyDescent="0.15">
      <c r="A4231" s="196" t="s">
        <v>11229</v>
      </c>
      <c r="B4231" s="196" t="s">
        <v>11230</v>
      </c>
      <c r="C4231" s="196" t="s">
        <v>21084</v>
      </c>
      <c r="D4231" s="196" t="s">
        <v>21085</v>
      </c>
      <c r="E4231" s="196" t="s">
        <v>21085</v>
      </c>
      <c r="F4231" s="196" t="s">
        <v>11233</v>
      </c>
      <c r="G4231" s="196" t="s">
        <v>12378</v>
      </c>
      <c r="H4231" s="196" t="s">
        <v>11235</v>
      </c>
    </row>
    <row r="4232" spans="1:8" x14ac:dyDescent="0.15">
      <c r="A4232" s="196" t="s">
        <v>11229</v>
      </c>
      <c r="B4232" s="196" t="s">
        <v>11230</v>
      </c>
      <c r="C4232" s="196" t="s">
        <v>21086</v>
      </c>
      <c r="D4232" s="196" t="s">
        <v>21087</v>
      </c>
      <c r="E4232" s="196" t="s">
        <v>21087</v>
      </c>
      <c r="F4232" s="196" t="s">
        <v>11233</v>
      </c>
      <c r="G4232" s="196" t="s">
        <v>12378</v>
      </c>
      <c r="H4232" s="196" t="s">
        <v>11235</v>
      </c>
    </row>
    <row r="4233" spans="1:8" x14ac:dyDescent="0.15">
      <c r="A4233" s="196" t="s">
        <v>11229</v>
      </c>
      <c r="B4233" s="196" t="s">
        <v>11230</v>
      </c>
      <c r="C4233" s="196" t="s">
        <v>21088</v>
      </c>
      <c r="D4233" s="196" t="s">
        <v>21089</v>
      </c>
      <c r="E4233" s="196" t="s">
        <v>21089</v>
      </c>
      <c r="F4233" s="196" t="s">
        <v>11233</v>
      </c>
      <c r="G4233" s="196" t="s">
        <v>12378</v>
      </c>
      <c r="H4233" s="196" t="s">
        <v>11235</v>
      </c>
    </row>
    <row r="4234" spans="1:8" x14ac:dyDescent="0.15">
      <c r="A4234" s="196" t="s">
        <v>11229</v>
      </c>
      <c r="B4234" s="196" t="s">
        <v>11230</v>
      </c>
      <c r="C4234" s="196" t="s">
        <v>21090</v>
      </c>
      <c r="D4234" s="196" t="s">
        <v>21091</v>
      </c>
      <c r="E4234" s="196" t="s">
        <v>21091</v>
      </c>
      <c r="F4234" s="196" t="s">
        <v>11233</v>
      </c>
      <c r="G4234" s="196" t="s">
        <v>12378</v>
      </c>
      <c r="H4234" s="196" t="s">
        <v>11235</v>
      </c>
    </row>
    <row r="4235" spans="1:8" x14ac:dyDescent="0.15">
      <c r="A4235" s="196" t="s">
        <v>11229</v>
      </c>
      <c r="B4235" s="196" t="s">
        <v>11230</v>
      </c>
      <c r="C4235" s="196" t="s">
        <v>21092</v>
      </c>
      <c r="D4235" s="196" t="s">
        <v>21093</v>
      </c>
      <c r="E4235" s="196" t="s">
        <v>21093</v>
      </c>
      <c r="F4235" s="196" t="s">
        <v>11233</v>
      </c>
      <c r="G4235" s="196" t="s">
        <v>12378</v>
      </c>
      <c r="H4235" s="196" t="s">
        <v>11235</v>
      </c>
    </row>
    <row r="4236" spans="1:8" x14ac:dyDescent="0.15">
      <c r="A4236" s="196" t="s">
        <v>11229</v>
      </c>
      <c r="B4236" s="196" t="s">
        <v>11230</v>
      </c>
      <c r="C4236" s="196" t="s">
        <v>21094</v>
      </c>
      <c r="D4236" s="196" t="s">
        <v>21095</v>
      </c>
      <c r="E4236" s="196" t="s">
        <v>21095</v>
      </c>
      <c r="F4236" s="196" t="s">
        <v>11233</v>
      </c>
      <c r="G4236" s="196" t="s">
        <v>12378</v>
      </c>
      <c r="H4236" s="196" t="s">
        <v>11235</v>
      </c>
    </row>
    <row r="4237" spans="1:8" x14ac:dyDescent="0.15">
      <c r="A4237" s="196" t="s">
        <v>11229</v>
      </c>
      <c r="B4237" s="196" t="s">
        <v>11230</v>
      </c>
      <c r="C4237" s="196" t="s">
        <v>21096</v>
      </c>
      <c r="D4237" s="196" t="s">
        <v>21097</v>
      </c>
      <c r="E4237" s="196" t="s">
        <v>21097</v>
      </c>
      <c r="F4237" s="196" t="s">
        <v>11233</v>
      </c>
      <c r="G4237" s="196" t="s">
        <v>12378</v>
      </c>
      <c r="H4237" s="196" t="s">
        <v>11235</v>
      </c>
    </row>
    <row r="4238" spans="1:8" x14ac:dyDescent="0.15">
      <c r="A4238" s="196" t="s">
        <v>11229</v>
      </c>
      <c r="B4238" s="196" t="s">
        <v>11230</v>
      </c>
      <c r="C4238" s="196" t="s">
        <v>21098</v>
      </c>
      <c r="D4238" s="196" t="s">
        <v>21099</v>
      </c>
      <c r="E4238" s="196" t="s">
        <v>21100</v>
      </c>
      <c r="F4238" s="196" t="s">
        <v>11241</v>
      </c>
      <c r="G4238" s="196" t="s">
        <v>12378</v>
      </c>
      <c r="H4238" s="196" t="s">
        <v>11235</v>
      </c>
    </row>
    <row r="4239" spans="1:8" x14ac:dyDescent="0.15">
      <c r="A4239" s="196" t="s">
        <v>11229</v>
      </c>
      <c r="B4239" s="196" t="s">
        <v>11230</v>
      </c>
      <c r="C4239" s="196" t="s">
        <v>21101</v>
      </c>
      <c r="D4239" s="196" t="s">
        <v>21100</v>
      </c>
      <c r="E4239" s="196" t="s">
        <v>21102</v>
      </c>
      <c r="F4239" s="196" t="s">
        <v>11268</v>
      </c>
      <c r="G4239" s="196" t="s">
        <v>12378</v>
      </c>
      <c r="H4239" s="196" t="s">
        <v>11235</v>
      </c>
    </row>
    <row r="4240" spans="1:8" x14ac:dyDescent="0.15">
      <c r="A4240" s="196" t="s">
        <v>11229</v>
      </c>
      <c r="B4240" s="196" t="s">
        <v>11230</v>
      </c>
      <c r="C4240" s="196" t="s">
        <v>21103</v>
      </c>
      <c r="D4240" s="196" t="s">
        <v>21104</v>
      </c>
      <c r="E4240" s="196" t="s">
        <v>21104</v>
      </c>
      <c r="F4240" s="196" t="s">
        <v>11233</v>
      </c>
      <c r="G4240" s="196" t="s">
        <v>12378</v>
      </c>
      <c r="H4240" s="196" t="s">
        <v>11235</v>
      </c>
    </row>
    <row r="4241" spans="1:8" x14ac:dyDescent="0.15">
      <c r="A4241" s="196" t="s">
        <v>11229</v>
      </c>
      <c r="B4241" s="196" t="s">
        <v>11230</v>
      </c>
      <c r="C4241" s="196" t="s">
        <v>21105</v>
      </c>
      <c r="D4241" s="196" t="s">
        <v>21106</v>
      </c>
      <c r="E4241" s="196" t="s">
        <v>21106</v>
      </c>
      <c r="F4241" s="196" t="s">
        <v>11233</v>
      </c>
      <c r="G4241" s="196" t="s">
        <v>12378</v>
      </c>
      <c r="H4241" s="196" t="s">
        <v>11235</v>
      </c>
    </row>
    <row r="4242" spans="1:8" x14ac:dyDescent="0.15">
      <c r="A4242" s="196" t="s">
        <v>11229</v>
      </c>
      <c r="B4242" s="196" t="s">
        <v>11230</v>
      </c>
      <c r="C4242" s="196" t="s">
        <v>21107</v>
      </c>
      <c r="D4242" s="196" t="s">
        <v>21108</v>
      </c>
      <c r="E4242" s="196" t="s">
        <v>21108</v>
      </c>
      <c r="F4242" s="196" t="s">
        <v>11233</v>
      </c>
      <c r="G4242" s="196" t="s">
        <v>12378</v>
      </c>
      <c r="H4242" s="196" t="s">
        <v>11235</v>
      </c>
    </row>
    <row r="4243" spans="1:8" x14ac:dyDescent="0.15">
      <c r="A4243" s="196" t="s">
        <v>11229</v>
      </c>
      <c r="B4243" s="196" t="s">
        <v>11230</v>
      </c>
      <c r="C4243" s="196" t="s">
        <v>21109</v>
      </c>
      <c r="D4243" s="196" t="s">
        <v>21110</v>
      </c>
      <c r="E4243" s="196" t="s">
        <v>21111</v>
      </c>
      <c r="F4243" s="196" t="s">
        <v>11268</v>
      </c>
      <c r="G4243" s="196" t="s">
        <v>12378</v>
      </c>
      <c r="H4243" s="196" t="s">
        <v>11235</v>
      </c>
    </row>
    <row r="4244" spans="1:8" x14ac:dyDescent="0.15">
      <c r="A4244" s="196" t="s">
        <v>11229</v>
      </c>
      <c r="B4244" s="196" t="s">
        <v>11230</v>
      </c>
      <c r="C4244" s="196" t="s">
        <v>21112</v>
      </c>
      <c r="D4244" s="196" t="s">
        <v>21113</v>
      </c>
      <c r="E4244" s="196" t="s">
        <v>21113</v>
      </c>
      <c r="F4244" s="196" t="s">
        <v>11233</v>
      </c>
      <c r="G4244" s="196" t="s">
        <v>12378</v>
      </c>
      <c r="H4244" s="196" t="s">
        <v>11235</v>
      </c>
    </row>
    <row r="4245" spans="1:8" x14ac:dyDescent="0.15">
      <c r="A4245" s="196" t="s">
        <v>11229</v>
      </c>
      <c r="B4245" s="196" t="s">
        <v>11230</v>
      </c>
      <c r="C4245" s="196" t="s">
        <v>21114</v>
      </c>
      <c r="D4245" s="196" t="s">
        <v>21115</v>
      </c>
      <c r="E4245" s="196" t="s">
        <v>21115</v>
      </c>
      <c r="F4245" s="196" t="s">
        <v>11233</v>
      </c>
      <c r="G4245" s="196" t="s">
        <v>12378</v>
      </c>
      <c r="H4245" s="196" t="s">
        <v>11235</v>
      </c>
    </row>
    <row r="4246" spans="1:8" x14ac:dyDescent="0.15">
      <c r="A4246" s="196" t="s">
        <v>11229</v>
      </c>
      <c r="B4246" s="196" t="s">
        <v>11230</v>
      </c>
      <c r="C4246" s="196" t="s">
        <v>21116</v>
      </c>
      <c r="D4246" s="196" t="s">
        <v>21117</v>
      </c>
      <c r="E4246" s="196" t="s">
        <v>21117</v>
      </c>
      <c r="F4246" s="196" t="s">
        <v>11233</v>
      </c>
      <c r="G4246" s="196" t="s">
        <v>12378</v>
      </c>
      <c r="H4246" s="196" t="s">
        <v>11235</v>
      </c>
    </row>
    <row r="4247" spans="1:8" x14ac:dyDescent="0.15">
      <c r="A4247" s="196" t="s">
        <v>11229</v>
      </c>
      <c r="B4247" s="196" t="s">
        <v>11230</v>
      </c>
      <c r="C4247" s="196" t="s">
        <v>21118</v>
      </c>
      <c r="D4247" s="196" t="s">
        <v>21119</v>
      </c>
      <c r="E4247" s="196" t="s">
        <v>21119</v>
      </c>
      <c r="F4247" s="196" t="s">
        <v>11233</v>
      </c>
      <c r="G4247" s="196" t="s">
        <v>12378</v>
      </c>
      <c r="H4247" s="196" t="s">
        <v>11235</v>
      </c>
    </row>
    <row r="4248" spans="1:8" x14ac:dyDescent="0.15">
      <c r="A4248" s="196" t="s">
        <v>11229</v>
      </c>
      <c r="B4248" s="196" t="s">
        <v>11230</v>
      </c>
      <c r="C4248" s="196" t="s">
        <v>21120</v>
      </c>
      <c r="D4248" s="196" t="s">
        <v>21121</v>
      </c>
      <c r="E4248" s="196" t="s">
        <v>21121</v>
      </c>
      <c r="F4248" s="196" t="s">
        <v>11233</v>
      </c>
      <c r="G4248" s="196" t="s">
        <v>12378</v>
      </c>
      <c r="H4248" s="196" t="s">
        <v>11235</v>
      </c>
    </row>
    <row r="4249" spans="1:8" x14ac:dyDescent="0.15">
      <c r="A4249" s="196" t="s">
        <v>11229</v>
      </c>
      <c r="B4249" s="196" t="s">
        <v>11230</v>
      </c>
      <c r="C4249" s="196" t="s">
        <v>21122</v>
      </c>
      <c r="D4249" s="196" t="s">
        <v>21123</v>
      </c>
      <c r="E4249" s="196" t="s">
        <v>21123</v>
      </c>
      <c r="F4249" s="196" t="s">
        <v>11233</v>
      </c>
      <c r="G4249" s="196" t="s">
        <v>12378</v>
      </c>
      <c r="H4249" s="196" t="s">
        <v>11235</v>
      </c>
    </row>
    <row r="4250" spans="1:8" x14ac:dyDescent="0.15">
      <c r="A4250" s="196" t="s">
        <v>11229</v>
      </c>
      <c r="B4250" s="196" t="s">
        <v>11230</v>
      </c>
      <c r="C4250" s="196" t="s">
        <v>21124</v>
      </c>
      <c r="D4250" s="196" t="s">
        <v>21125</v>
      </c>
      <c r="E4250" s="196" t="s">
        <v>21125</v>
      </c>
      <c r="F4250" s="196" t="s">
        <v>11233</v>
      </c>
      <c r="G4250" s="196" t="s">
        <v>12378</v>
      </c>
      <c r="H4250" s="196" t="s">
        <v>11235</v>
      </c>
    </row>
    <row r="4251" spans="1:8" x14ac:dyDescent="0.15">
      <c r="A4251" s="196" t="s">
        <v>11229</v>
      </c>
      <c r="B4251" s="196" t="s">
        <v>11230</v>
      </c>
      <c r="C4251" s="196" t="s">
        <v>21126</v>
      </c>
      <c r="D4251" s="196" t="s">
        <v>21127</v>
      </c>
      <c r="E4251" s="196" t="s">
        <v>21127</v>
      </c>
      <c r="F4251" s="196" t="s">
        <v>11233</v>
      </c>
      <c r="G4251" s="196" t="s">
        <v>12378</v>
      </c>
      <c r="H4251" s="196" t="s">
        <v>11235</v>
      </c>
    </row>
    <row r="4252" spans="1:8" x14ac:dyDescent="0.15">
      <c r="A4252" s="196" t="s">
        <v>11229</v>
      </c>
      <c r="B4252" s="196" t="s">
        <v>11230</v>
      </c>
      <c r="C4252" s="196" t="s">
        <v>21128</v>
      </c>
      <c r="D4252" s="196" t="s">
        <v>21129</v>
      </c>
      <c r="E4252" s="196" t="s">
        <v>21129</v>
      </c>
      <c r="F4252" s="196" t="s">
        <v>11233</v>
      </c>
      <c r="G4252" s="196" t="s">
        <v>12378</v>
      </c>
      <c r="H4252" s="196" t="s">
        <v>11235</v>
      </c>
    </row>
    <row r="4253" spans="1:8" x14ac:dyDescent="0.15">
      <c r="A4253" s="196" t="s">
        <v>11229</v>
      </c>
      <c r="B4253" s="196" t="s">
        <v>11230</v>
      </c>
      <c r="C4253" s="196" t="s">
        <v>21130</v>
      </c>
      <c r="D4253" s="196" t="s">
        <v>21131</v>
      </c>
      <c r="E4253" s="196" t="s">
        <v>21131</v>
      </c>
      <c r="F4253" s="196" t="s">
        <v>11233</v>
      </c>
      <c r="G4253" s="196" t="s">
        <v>12378</v>
      </c>
      <c r="H4253" s="196" t="s">
        <v>11235</v>
      </c>
    </row>
    <row r="4254" spans="1:8" x14ac:dyDescent="0.15">
      <c r="A4254" s="196" t="s">
        <v>11229</v>
      </c>
      <c r="B4254" s="196" t="s">
        <v>11230</v>
      </c>
      <c r="C4254" s="196" t="s">
        <v>21132</v>
      </c>
      <c r="D4254" s="196" t="s">
        <v>21133</v>
      </c>
      <c r="E4254" s="196" t="s">
        <v>21133</v>
      </c>
      <c r="F4254" s="196" t="s">
        <v>11233</v>
      </c>
      <c r="G4254" s="196" t="s">
        <v>12378</v>
      </c>
      <c r="H4254" s="196" t="s">
        <v>11235</v>
      </c>
    </row>
    <row r="4255" spans="1:8" x14ac:dyDescent="0.15">
      <c r="A4255" s="196" t="s">
        <v>11229</v>
      </c>
      <c r="B4255" s="196" t="s">
        <v>11230</v>
      </c>
      <c r="C4255" s="196" t="s">
        <v>21134</v>
      </c>
      <c r="D4255" s="196" t="s">
        <v>21135</v>
      </c>
      <c r="E4255" s="196" t="s">
        <v>21135</v>
      </c>
      <c r="F4255" s="196" t="s">
        <v>11233</v>
      </c>
      <c r="G4255" s="196" t="s">
        <v>12378</v>
      </c>
      <c r="H4255" s="196" t="s">
        <v>11235</v>
      </c>
    </row>
    <row r="4256" spans="1:8" x14ac:dyDescent="0.15">
      <c r="A4256" s="196" t="s">
        <v>11229</v>
      </c>
      <c r="B4256" s="196" t="s">
        <v>11230</v>
      </c>
      <c r="C4256" s="196" t="s">
        <v>21136</v>
      </c>
      <c r="D4256" s="196" t="s">
        <v>21137</v>
      </c>
      <c r="E4256" s="196" t="s">
        <v>21138</v>
      </c>
      <c r="F4256" s="196" t="s">
        <v>11241</v>
      </c>
      <c r="G4256" s="196" t="s">
        <v>12378</v>
      </c>
      <c r="H4256" s="196" t="s">
        <v>11235</v>
      </c>
    </row>
    <row r="4257" spans="1:8" x14ac:dyDescent="0.15">
      <c r="A4257" s="196" t="s">
        <v>11229</v>
      </c>
      <c r="B4257" s="196" t="s">
        <v>11230</v>
      </c>
      <c r="C4257" s="196" t="s">
        <v>21139</v>
      </c>
      <c r="D4257" s="196" t="s">
        <v>21140</v>
      </c>
      <c r="E4257" s="196" t="s">
        <v>21140</v>
      </c>
      <c r="F4257" s="196" t="s">
        <v>11233</v>
      </c>
      <c r="G4257" s="196" t="s">
        <v>12378</v>
      </c>
      <c r="H4257" s="196" t="s">
        <v>11235</v>
      </c>
    </row>
    <row r="4258" spans="1:8" x14ac:dyDescent="0.15">
      <c r="A4258" s="196" t="s">
        <v>11229</v>
      </c>
      <c r="B4258" s="196" t="s">
        <v>11230</v>
      </c>
      <c r="C4258" s="196" t="s">
        <v>21141</v>
      </c>
      <c r="D4258" s="196" t="s">
        <v>21142</v>
      </c>
      <c r="E4258" s="196" t="s">
        <v>21142</v>
      </c>
      <c r="F4258" s="196" t="s">
        <v>11233</v>
      </c>
      <c r="G4258" s="196" t="s">
        <v>12378</v>
      </c>
      <c r="H4258" s="196" t="s">
        <v>11235</v>
      </c>
    </row>
    <row r="4259" spans="1:8" x14ac:dyDescent="0.15">
      <c r="A4259" s="196" t="s">
        <v>11229</v>
      </c>
      <c r="B4259" s="196" t="s">
        <v>11230</v>
      </c>
      <c r="C4259" s="196" t="s">
        <v>21143</v>
      </c>
      <c r="D4259" s="196" t="s">
        <v>21144</v>
      </c>
      <c r="E4259" s="196" t="s">
        <v>21144</v>
      </c>
      <c r="F4259" s="196" t="s">
        <v>11233</v>
      </c>
      <c r="G4259" s="196" t="s">
        <v>12378</v>
      </c>
      <c r="H4259" s="196" t="s">
        <v>11235</v>
      </c>
    </row>
    <row r="4260" spans="1:8" x14ac:dyDescent="0.15">
      <c r="A4260" s="196" t="s">
        <v>11229</v>
      </c>
      <c r="B4260" s="196" t="s">
        <v>11230</v>
      </c>
      <c r="C4260" s="196" t="s">
        <v>21145</v>
      </c>
      <c r="D4260" s="196" t="s">
        <v>21146</v>
      </c>
      <c r="E4260" s="196" t="s">
        <v>21146</v>
      </c>
      <c r="F4260" s="196" t="s">
        <v>11233</v>
      </c>
      <c r="G4260" s="196" t="s">
        <v>12378</v>
      </c>
      <c r="H4260" s="196" t="s">
        <v>11235</v>
      </c>
    </row>
    <row r="4261" spans="1:8" x14ac:dyDescent="0.15">
      <c r="A4261" s="196" t="s">
        <v>11229</v>
      </c>
      <c r="B4261" s="196" t="s">
        <v>11230</v>
      </c>
      <c r="C4261" s="196" t="s">
        <v>21147</v>
      </c>
      <c r="D4261" s="196" t="s">
        <v>21148</v>
      </c>
      <c r="E4261" s="196" t="s">
        <v>21148</v>
      </c>
      <c r="F4261" s="196" t="s">
        <v>11233</v>
      </c>
      <c r="G4261" s="196" t="s">
        <v>12378</v>
      </c>
      <c r="H4261" s="196" t="s">
        <v>11235</v>
      </c>
    </row>
    <row r="4262" spans="1:8" x14ac:dyDescent="0.15">
      <c r="A4262" s="196" t="s">
        <v>11229</v>
      </c>
      <c r="B4262" s="196" t="s">
        <v>11230</v>
      </c>
      <c r="C4262" s="196" t="s">
        <v>21149</v>
      </c>
      <c r="D4262" s="196" t="s">
        <v>21150</v>
      </c>
      <c r="E4262" s="196" t="s">
        <v>21150</v>
      </c>
      <c r="F4262" s="196" t="s">
        <v>11233</v>
      </c>
      <c r="G4262" s="196" t="s">
        <v>12378</v>
      </c>
      <c r="H4262" s="196" t="s">
        <v>11235</v>
      </c>
    </row>
    <row r="4263" spans="1:8" x14ac:dyDescent="0.15">
      <c r="A4263" s="196" t="s">
        <v>11229</v>
      </c>
      <c r="B4263" s="196" t="s">
        <v>11230</v>
      </c>
      <c r="C4263" s="196" t="s">
        <v>21151</v>
      </c>
      <c r="D4263" s="196" t="s">
        <v>21152</v>
      </c>
      <c r="E4263" s="196" t="s">
        <v>21152</v>
      </c>
      <c r="F4263" s="196" t="s">
        <v>11233</v>
      </c>
      <c r="G4263" s="196" t="s">
        <v>12378</v>
      </c>
      <c r="H4263" s="196" t="s">
        <v>11235</v>
      </c>
    </row>
    <row r="4264" spans="1:8" x14ac:dyDescent="0.15">
      <c r="A4264" s="196" t="s">
        <v>11229</v>
      </c>
      <c r="B4264" s="196" t="s">
        <v>11230</v>
      </c>
      <c r="C4264" s="196" t="s">
        <v>21153</v>
      </c>
      <c r="D4264" s="196" t="s">
        <v>21154</v>
      </c>
      <c r="E4264" s="196" t="s">
        <v>21155</v>
      </c>
      <c r="F4264" s="196" t="s">
        <v>11241</v>
      </c>
      <c r="G4264" s="196" t="s">
        <v>12378</v>
      </c>
      <c r="H4264" s="196" t="s">
        <v>11235</v>
      </c>
    </row>
    <row r="4265" spans="1:8" x14ac:dyDescent="0.15">
      <c r="A4265" s="196" t="s">
        <v>11229</v>
      </c>
      <c r="B4265" s="196" t="s">
        <v>11230</v>
      </c>
      <c r="C4265" s="196" t="s">
        <v>21156</v>
      </c>
      <c r="D4265" s="196" t="s">
        <v>21157</v>
      </c>
      <c r="E4265" s="196" t="s">
        <v>21157</v>
      </c>
      <c r="F4265" s="196" t="s">
        <v>11233</v>
      </c>
      <c r="G4265" s="196" t="s">
        <v>12378</v>
      </c>
      <c r="H4265" s="196" t="s">
        <v>11235</v>
      </c>
    </row>
    <row r="4266" spans="1:8" x14ac:dyDescent="0.15">
      <c r="A4266" s="196" t="s">
        <v>11229</v>
      </c>
      <c r="B4266" s="196" t="s">
        <v>11230</v>
      </c>
      <c r="C4266" s="196" t="s">
        <v>21158</v>
      </c>
      <c r="D4266" s="196" t="s">
        <v>21159</v>
      </c>
      <c r="E4266" s="196" t="s">
        <v>21159</v>
      </c>
      <c r="F4266" s="196" t="s">
        <v>11233</v>
      </c>
      <c r="G4266" s="196" t="s">
        <v>12378</v>
      </c>
      <c r="H4266" s="196" t="s">
        <v>11235</v>
      </c>
    </row>
    <row r="4267" spans="1:8" x14ac:dyDescent="0.15">
      <c r="A4267" s="196" t="s">
        <v>11229</v>
      </c>
      <c r="B4267" s="196" t="s">
        <v>11230</v>
      </c>
      <c r="C4267" s="196" t="s">
        <v>21160</v>
      </c>
      <c r="D4267" s="196" t="s">
        <v>21161</v>
      </c>
      <c r="E4267" s="196" t="s">
        <v>21161</v>
      </c>
      <c r="F4267" s="196" t="s">
        <v>11233</v>
      </c>
      <c r="G4267" s="196" t="s">
        <v>12378</v>
      </c>
      <c r="H4267" s="196" t="s">
        <v>11235</v>
      </c>
    </row>
    <row r="4268" spans="1:8" x14ac:dyDescent="0.15">
      <c r="A4268" s="196" t="s">
        <v>11229</v>
      </c>
      <c r="B4268" s="196" t="s">
        <v>11230</v>
      </c>
      <c r="C4268" s="196" t="s">
        <v>21162</v>
      </c>
      <c r="D4268" s="196" t="s">
        <v>21163</v>
      </c>
      <c r="E4268" s="196" t="s">
        <v>21163</v>
      </c>
      <c r="F4268" s="196" t="s">
        <v>11233</v>
      </c>
      <c r="G4268" s="196" t="s">
        <v>12378</v>
      </c>
      <c r="H4268" s="196" t="s">
        <v>11235</v>
      </c>
    </row>
    <row r="4269" spans="1:8" x14ac:dyDescent="0.15">
      <c r="A4269" s="196" t="s">
        <v>11229</v>
      </c>
      <c r="B4269" s="196" t="s">
        <v>11230</v>
      </c>
      <c r="C4269" s="196" t="s">
        <v>21164</v>
      </c>
      <c r="D4269" s="196" t="s">
        <v>21165</v>
      </c>
      <c r="E4269" s="196" t="s">
        <v>21165</v>
      </c>
      <c r="F4269" s="196" t="s">
        <v>11233</v>
      </c>
      <c r="G4269" s="196" t="s">
        <v>12378</v>
      </c>
      <c r="H4269" s="196" t="s">
        <v>11235</v>
      </c>
    </row>
    <row r="4270" spans="1:8" x14ac:dyDescent="0.15">
      <c r="A4270" s="196" t="s">
        <v>11229</v>
      </c>
      <c r="B4270" s="196" t="s">
        <v>11230</v>
      </c>
      <c r="C4270" s="196" t="s">
        <v>21166</v>
      </c>
      <c r="D4270" s="196" t="s">
        <v>21167</v>
      </c>
      <c r="E4270" s="196" t="s">
        <v>21167</v>
      </c>
      <c r="F4270" s="196" t="s">
        <v>11233</v>
      </c>
      <c r="G4270" s="196" t="s">
        <v>12378</v>
      </c>
      <c r="H4270" s="196" t="s">
        <v>11235</v>
      </c>
    </row>
    <row r="4271" spans="1:8" x14ac:dyDescent="0.15">
      <c r="A4271" s="196" t="s">
        <v>11229</v>
      </c>
      <c r="B4271" s="196" t="s">
        <v>11230</v>
      </c>
      <c r="C4271" s="196" t="s">
        <v>21168</v>
      </c>
      <c r="D4271" s="196" t="s">
        <v>21169</v>
      </c>
      <c r="E4271" s="196" t="s">
        <v>21169</v>
      </c>
      <c r="F4271" s="196" t="s">
        <v>11233</v>
      </c>
      <c r="G4271" s="196" t="s">
        <v>12378</v>
      </c>
      <c r="H4271" s="196" t="s">
        <v>11235</v>
      </c>
    </row>
    <row r="4272" spans="1:8" x14ac:dyDescent="0.15">
      <c r="A4272" s="196" t="s">
        <v>11229</v>
      </c>
      <c r="B4272" s="196" t="s">
        <v>11230</v>
      </c>
      <c r="C4272" s="196" t="s">
        <v>21170</v>
      </c>
      <c r="D4272" s="196" t="s">
        <v>21171</v>
      </c>
      <c r="E4272" s="196" t="s">
        <v>21171</v>
      </c>
      <c r="F4272" s="196" t="s">
        <v>11233</v>
      </c>
      <c r="G4272" s="196" t="s">
        <v>12378</v>
      </c>
      <c r="H4272" s="196" t="s">
        <v>11235</v>
      </c>
    </row>
    <row r="4273" spans="1:8" x14ac:dyDescent="0.15">
      <c r="A4273" s="196" t="s">
        <v>11229</v>
      </c>
      <c r="B4273" s="196" t="s">
        <v>11230</v>
      </c>
      <c r="C4273" s="196" t="s">
        <v>21172</v>
      </c>
      <c r="D4273" s="196" t="s">
        <v>21173</v>
      </c>
      <c r="E4273" s="196" t="s">
        <v>21173</v>
      </c>
      <c r="F4273" s="196" t="s">
        <v>11233</v>
      </c>
      <c r="G4273" s="196" t="s">
        <v>12378</v>
      </c>
      <c r="H4273" s="196" t="s">
        <v>11235</v>
      </c>
    </row>
    <row r="4274" spans="1:8" x14ac:dyDescent="0.15">
      <c r="A4274" s="196" t="s">
        <v>11229</v>
      </c>
      <c r="B4274" s="196" t="s">
        <v>11230</v>
      </c>
      <c r="C4274" s="196" t="s">
        <v>21174</v>
      </c>
      <c r="D4274" s="196" t="s">
        <v>21175</v>
      </c>
      <c r="E4274" s="196" t="s">
        <v>21175</v>
      </c>
      <c r="F4274" s="196" t="s">
        <v>11233</v>
      </c>
      <c r="G4274" s="196" t="s">
        <v>12378</v>
      </c>
      <c r="H4274" s="196" t="s">
        <v>11235</v>
      </c>
    </row>
    <row r="4275" spans="1:8" x14ac:dyDescent="0.15">
      <c r="A4275" s="196" t="s">
        <v>11229</v>
      </c>
      <c r="B4275" s="196" t="s">
        <v>11230</v>
      </c>
      <c r="C4275" s="196" t="s">
        <v>21176</v>
      </c>
      <c r="D4275" s="196" t="s">
        <v>21177</v>
      </c>
      <c r="E4275" s="196" t="s">
        <v>21178</v>
      </c>
      <c r="F4275" s="196" t="s">
        <v>11241</v>
      </c>
      <c r="G4275" s="196" t="s">
        <v>12378</v>
      </c>
      <c r="H4275" s="196" t="s">
        <v>11235</v>
      </c>
    </row>
    <row r="4276" spans="1:8" x14ac:dyDescent="0.15">
      <c r="A4276" s="196" t="s">
        <v>11229</v>
      </c>
      <c r="B4276" s="196" t="s">
        <v>11230</v>
      </c>
      <c r="C4276" s="196" t="s">
        <v>21179</v>
      </c>
      <c r="D4276" s="196" t="s">
        <v>21180</v>
      </c>
      <c r="E4276" s="196" t="s">
        <v>21181</v>
      </c>
      <c r="F4276" s="196" t="s">
        <v>11241</v>
      </c>
      <c r="G4276" s="196" t="s">
        <v>12378</v>
      </c>
      <c r="H4276" s="196" t="s">
        <v>11235</v>
      </c>
    </row>
    <row r="4277" spans="1:8" x14ac:dyDescent="0.15">
      <c r="A4277" s="196" t="s">
        <v>11229</v>
      </c>
      <c r="B4277" s="196" t="s">
        <v>11230</v>
      </c>
      <c r="C4277" s="196" t="s">
        <v>21182</v>
      </c>
      <c r="D4277" s="196" t="s">
        <v>21183</v>
      </c>
      <c r="E4277" s="196" t="s">
        <v>21184</v>
      </c>
      <c r="F4277" s="196" t="s">
        <v>11241</v>
      </c>
      <c r="G4277" s="196" t="s">
        <v>12378</v>
      </c>
      <c r="H4277" s="196" t="s">
        <v>11235</v>
      </c>
    </row>
    <row r="4278" spans="1:8" x14ac:dyDescent="0.15">
      <c r="A4278" s="196" t="s">
        <v>11229</v>
      </c>
      <c r="B4278" s="196" t="s">
        <v>11230</v>
      </c>
      <c r="C4278" s="196" t="s">
        <v>21185</v>
      </c>
      <c r="D4278" s="196" t="s">
        <v>21184</v>
      </c>
      <c r="E4278" s="196" t="s">
        <v>21186</v>
      </c>
      <c r="F4278" s="196" t="s">
        <v>11268</v>
      </c>
      <c r="G4278" s="196" t="s">
        <v>12378</v>
      </c>
      <c r="H4278" s="196" t="s">
        <v>11235</v>
      </c>
    </row>
    <row r="4279" spans="1:8" x14ac:dyDescent="0.15">
      <c r="A4279" s="196" t="s">
        <v>11229</v>
      </c>
      <c r="B4279" s="196" t="s">
        <v>11230</v>
      </c>
      <c r="C4279" s="196" t="s">
        <v>21187</v>
      </c>
      <c r="D4279" s="196" t="s">
        <v>21188</v>
      </c>
      <c r="E4279" s="196" t="s">
        <v>21188</v>
      </c>
      <c r="F4279" s="196" t="s">
        <v>11233</v>
      </c>
      <c r="G4279" s="196" t="s">
        <v>12378</v>
      </c>
      <c r="H4279" s="196" t="s">
        <v>11235</v>
      </c>
    </row>
    <row r="4280" spans="1:8" x14ac:dyDescent="0.15">
      <c r="A4280" s="196" t="s">
        <v>11229</v>
      </c>
      <c r="B4280" s="196" t="s">
        <v>11230</v>
      </c>
      <c r="C4280" s="196" t="s">
        <v>21189</v>
      </c>
      <c r="D4280" s="196" t="s">
        <v>21190</v>
      </c>
      <c r="E4280" s="196" t="s">
        <v>21190</v>
      </c>
      <c r="F4280" s="196" t="s">
        <v>11233</v>
      </c>
      <c r="G4280" s="196" t="s">
        <v>12378</v>
      </c>
      <c r="H4280" s="196" t="s">
        <v>11235</v>
      </c>
    </row>
    <row r="4281" spans="1:8" x14ac:dyDescent="0.15">
      <c r="A4281" s="196" t="s">
        <v>11229</v>
      </c>
      <c r="B4281" s="196" t="s">
        <v>11230</v>
      </c>
      <c r="C4281" s="196" t="s">
        <v>21191</v>
      </c>
      <c r="D4281" s="196" t="s">
        <v>21192</v>
      </c>
      <c r="E4281" s="196" t="s">
        <v>21193</v>
      </c>
      <c r="F4281" s="196" t="s">
        <v>11241</v>
      </c>
      <c r="G4281" s="196" t="s">
        <v>12378</v>
      </c>
      <c r="H4281" s="196" t="s">
        <v>11235</v>
      </c>
    </row>
    <row r="4282" spans="1:8" x14ac:dyDescent="0.15">
      <c r="A4282" s="196" t="s">
        <v>11229</v>
      </c>
      <c r="B4282" s="196" t="s">
        <v>11230</v>
      </c>
      <c r="C4282" s="196" t="s">
        <v>21194</v>
      </c>
      <c r="D4282" s="196" t="s">
        <v>21193</v>
      </c>
      <c r="E4282" s="196" t="s">
        <v>21195</v>
      </c>
      <c r="F4282" s="196" t="s">
        <v>11241</v>
      </c>
      <c r="G4282" s="196" t="s">
        <v>12378</v>
      </c>
      <c r="H4282" s="196" t="s">
        <v>11235</v>
      </c>
    </row>
    <row r="4283" spans="1:8" x14ac:dyDescent="0.15">
      <c r="A4283" s="196" t="s">
        <v>11229</v>
      </c>
      <c r="B4283" s="196" t="s">
        <v>11230</v>
      </c>
      <c r="C4283" s="196" t="s">
        <v>21196</v>
      </c>
      <c r="D4283" s="196" t="s">
        <v>21197</v>
      </c>
      <c r="E4283" s="196" t="s">
        <v>21197</v>
      </c>
      <c r="F4283" s="196" t="s">
        <v>11233</v>
      </c>
      <c r="G4283" s="196" t="s">
        <v>12378</v>
      </c>
      <c r="H4283" s="196" t="s">
        <v>11235</v>
      </c>
    </row>
    <row r="4284" spans="1:8" x14ac:dyDescent="0.15">
      <c r="A4284" s="196" t="s">
        <v>11229</v>
      </c>
      <c r="B4284" s="196" t="s">
        <v>11230</v>
      </c>
      <c r="C4284" s="196" t="s">
        <v>21198</v>
      </c>
      <c r="D4284" s="196" t="s">
        <v>21199</v>
      </c>
      <c r="E4284" s="196" t="s">
        <v>21199</v>
      </c>
      <c r="F4284" s="196" t="s">
        <v>11233</v>
      </c>
      <c r="G4284" s="196" t="s">
        <v>12378</v>
      </c>
      <c r="H4284" s="196" t="s">
        <v>11235</v>
      </c>
    </row>
    <row r="4285" spans="1:8" x14ac:dyDescent="0.15">
      <c r="A4285" s="196" t="s">
        <v>11229</v>
      </c>
      <c r="B4285" s="196" t="s">
        <v>11230</v>
      </c>
      <c r="C4285" s="196" t="s">
        <v>21200</v>
      </c>
      <c r="D4285" s="196" t="s">
        <v>21201</v>
      </c>
      <c r="E4285" s="196" t="s">
        <v>21201</v>
      </c>
      <c r="F4285" s="196" t="s">
        <v>11233</v>
      </c>
      <c r="G4285" s="196" t="s">
        <v>12378</v>
      </c>
      <c r="H4285" s="196" t="s">
        <v>11235</v>
      </c>
    </row>
    <row r="4286" spans="1:8" x14ac:dyDescent="0.15">
      <c r="A4286" s="196" t="s">
        <v>11229</v>
      </c>
      <c r="B4286" s="196" t="s">
        <v>11230</v>
      </c>
      <c r="C4286" s="196" t="s">
        <v>21202</v>
      </c>
      <c r="D4286" s="196" t="s">
        <v>21203</v>
      </c>
      <c r="E4286" s="196" t="s">
        <v>21203</v>
      </c>
      <c r="F4286" s="196" t="s">
        <v>11233</v>
      </c>
      <c r="G4286" s="196" t="s">
        <v>12378</v>
      </c>
      <c r="H4286" s="196" t="s">
        <v>11235</v>
      </c>
    </row>
    <row r="4287" spans="1:8" x14ac:dyDescent="0.15">
      <c r="A4287" s="196" t="s">
        <v>11229</v>
      </c>
      <c r="B4287" s="196" t="s">
        <v>11230</v>
      </c>
      <c r="C4287" s="196" t="s">
        <v>21204</v>
      </c>
      <c r="D4287" s="196" t="s">
        <v>21205</v>
      </c>
      <c r="E4287" s="196" t="s">
        <v>21205</v>
      </c>
      <c r="F4287" s="196" t="s">
        <v>11233</v>
      </c>
      <c r="G4287" s="196" t="s">
        <v>12378</v>
      </c>
      <c r="H4287" s="196" t="s">
        <v>11235</v>
      </c>
    </row>
    <row r="4288" spans="1:8" x14ac:dyDescent="0.15">
      <c r="A4288" s="196" t="s">
        <v>11229</v>
      </c>
      <c r="B4288" s="196" t="s">
        <v>11230</v>
      </c>
      <c r="C4288" s="196" t="s">
        <v>21206</v>
      </c>
      <c r="D4288" s="196" t="s">
        <v>21207</v>
      </c>
      <c r="E4288" s="196" t="s">
        <v>21207</v>
      </c>
      <c r="F4288" s="196" t="s">
        <v>11233</v>
      </c>
      <c r="G4288" s="196" t="s">
        <v>12378</v>
      </c>
      <c r="H4288" s="196" t="s">
        <v>11235</v>
      </c>
    </row>
    <row r="4289" spans="1:8" x14ac:dyDescent="0.15">
      <c r="A4289" s="196" t="s">
        <v>11229</v>
      </c>
      <c r="B4289" s="196" t="s">
        <v>11230</v>
      </c>
      <c r="C4289" s="196" t="s">
        <v>21208</v>
      </c>
      <c r="D4289" s="196" t="s">
        <v>21209</v>
      </c>
      <c r="E4289" s="196" t="s">
        <v>21209</v>
      </c>
      <c r="F4289" s="196" t="s">
        <v>11233</v>
      </c>
      <c r="G4289" s="196" t="s">
        <v>12378</v>
      </c>
      <c r="H4289" s="196" t="s">
        <v>11235</v>
      </c>
    </row>
    <row r="4290" spans="1:8" x14ac:dyDescent="0.15">
      <c r="A4290" s="196" t="s">
        <v>11229</v>
      </c>
      <c r="B4290" s="196" t="s">
        <v>11230</v>
      </c>
      <c r="C4290" s="196" t="s">
        <v>21210</v>
      </c>
      <c r="D4290" s="196" t="s">
        <v>21211</v>
      </c>
      <c r="E4290" s="196" t="s">
        <v>21211</v>
      </c>
      <c r="F4290" s="196" t="s">
        <v>11233</v>
      </c>
      <c r="G4290" s="196" t="s">
        <v>12378</v>
      </c>
      <c r="H4290" s="196" t="s">
        <v>11235</v>
      </c>
    </row>
    <row r="4291" spans="1:8" x14ac:dyDescent="0.15">
      <c r="A4291" s="196" t="s">
        <v>11229</v>
      </c>
      <c r="B4291" s="196" t="s">
        <v>11230</v>
      </c>
      <c r="C4291" s="196" t="s">
        <v>21212</v>
      </c>
      <c r="D4291" s="196" t="s">
        <v>21213</v>
      </c>
      <c r="E4291" s="196" t="s">
        <v>21213</v>
      </c>
      <c r="F4291" s="196" t="s">
        <v>11233</v>
      </c>
      <c r="G4291" s="196" t="s">
        <v>12378</v>
      </c>
      <c r="H4291" s="196" t="s">
        <v>11235</v>
      </c>
    </row>
    <row r="4292" spans="1:8" x14ac:dyDescent="0.15">
      <c r="A4292" s="196" t="s">
        <v>11229</v>
      </c>
      <c r="B4292" s="196" t="s">
        <v>11230</v>
      </c>
      <c r="C4292" s="196" t="s">
        <v>21214</v>
      </c>
      <c r="D4292" s="196" t="s">
        <v>21215</v>
      </c>
      <c r="E4292" s="196" t="s">
        <v>21215</v>
      </c>
      <c r="F4292" s="196" t="s">
        <v>11233</v>
      </c>
      <c r="G4292" s="196" t="s">
        <v>12378</v>
      </c>
      <c r="H4292" s="196" t="s">
        <v>11235</v>
      </c>
    </row>
    <row r="4293" spans="1:8" x14ac:dyDescent="0.15">
      <c r="A4293" s="196" t="s">
        <v>11229</v>
      </c>
      <c r="B4293" s="196" t="s">
        <v>11230</v>
      </c>
      <c r="C4293" s="196" t="s">
        <v>21216</v>
      </c>
      <c r="D4293" s="196" t="s">
        <v>21217</v>
      </c>
      <c r="E4293" s="196" t="s">
        <v>21217</v>
      </c>
      <c r="F4293" s="196" t="s">
        <v>11233</v>
      </c>
      <c r="G4293" s="196" t="s">
        <v>12378</v>
      </c>
      <c r="H4293" s="196" t="s">
        <v>11235</v>
      </c>
    </row>
    <row r="4294" spans="1:8" x14ac:dyDescent="0.15">
      <c r="A4294" s="196" t="s">
        <v>11229</v>
      </c>
      <c r="B4294" s="196" t="s">
        <v>11230</v>
      </c>
      <c r="C4294" s="196" t="s">
        <v>21218</v>
      </c>
      <c r="D4294" s="196" t="s">
        <v>21219</v>
      </c>
      <c r="E4294" s="196" t="s">
        <v>21219</v>
      </c>
      <c r="F4294" s="196" t="s">
        <v>11233</v>
      </c>
      <c r="G4294" s="196" t="s">
        <v>12378</v>
      </c>
      <c r="H4294" s="196" t="s">
        <v>11235</v>
      </c>
    </row>
    <row r="4295" spans="1:8" x14ac:dyDescent="0.15">
      <c r="A4295" s="196" t="s">
        <v>11229</v>
      </c>
      <c r="B4295" s="196" t="s">
        <v>11230</v>
      </c>
      <c r="C4295" s="196" t="s">
        <v>21220</v>
      </c>
      <c r="D4295" s="196" t="s">
        <v>21221</v>
      </c>
      <c r="E4295" s="196" t="s">
        <v>21221</v>
      </c>
      <c r="F4295" s="196" t="s">
        <v>11233</v>
      </c>
      <c r="G4295" s="196" t="s">
        <v>12378</v>
      </c>
      <c r="H4295" s="196" t="s">
        <v>11235</v>
      </c>
    </row>
    <row r="4296" spans="1:8" x14ac:dyDescent="0.15">
      <c r="A4296" s="196" t="s">
        <v>11229</v>
      </c>
      <c r="B4296" s="196" t="s">
        <v>11230</v>
      </c>
      <c r="C4296" s="196" t="s">
        <v>21222</v>
      </c>
      <c r="D4296" s="196" t="s">
        <v>21223</v>
      </c>
      <c r="E4296" s="196" t="s">
        <v>21223</v>
      </c>
      <c r="F4296" s="196" t="s">
        <v>11233</v>
      </c>
      <c r="G4296" s="196" t="s">
        <v>12378</v>
      </c>
      <c r="H4296" s="196" t="s">
        <v>11235</v>
      </c>
    </row>
    <row r="4297" spans="1:8" x14ac:dyDescent="0.15">
      <c r="A4297" s="196" t="s">
        <v>11229</v>
      </c>
      <c r="B4297" s="196" t="s">
        <v>11230</v>
      </c>
      <c r="C4297" s="196" t="s">
        <v>21224</v>
      </c>
      <c r="D4297" s="196" t="s">
        <v>21225</v>
      </c>
      <c r="E4297" s="196" t="s">
        <v>21225</v>
      </c>
      <c r="F4297" s="196" t="s">
        <v>11233</v>
      </c>
      <c r="G4297" s="196" t="s">
        <v>12378</v>
      </c>
      <c r="H4297" s="196" t="s">
        <v>11235</v>
      </c>
    </row>
    <row r="4298" spans="1:8" x14ac:dyDescent="0.15">
      <c r="A4298" s="196" t="s">
        <v>11229</v>
      </c>
      <c r="B4298" s="196" t="s">
        <v>11230</v>
      </c>
      <c r="C4298" s="196" t="s">
        <v>21226</v>
      </c>
      <c r="D4298" s="196" t="s">
        <v>21227</v>
      </c>
      <c r="E4298" s="196" t="s">
        <v>21227</v>
      </c>
      <c r="F4298" s="196" t="s">
        <v>11233</v>
      </c>
      <c r="G4298" s="196" t="s">
        <v>12378</v>
      </c>
      <c r="H4298" s="196" t="s">
        <v>11235</v>
      </c>
    </row>
    <row r="4299" spans="1:8" x14ac:dyDescent="0.15">
      <c r="A4299" s="196" t="s">
        <v>11229</v>
      </c>
      <c r="B4299" s="196" t="s">
        <v>11230</v>
      </c>
      <c r="C4299" s="196" t="s">
        <v>21228</v>
      </c>
      <c r="D4299" s="196" t="s">
        <v>21229</v>
      </c>
      <c r="E4299" s="196" t="s">
        <v>21229</v>
      </c>
      <c r="F4299" s="196" t="s">
        <v>11233</v>
      </c>
      <c r="G4299" s="196" t="s">
        <v>12378</v>
      </c>
      <c r="H4299" s="196" t="s">
        <v>11235</v>
      </c>
    </row>
    <row r="4300" spans="1:8" x14ac:dyDescent="0.15">
      <c r="A4300" s="196" t="s">
        <v>11229</v>
      </c>
      <c r="B4300" s="196" t="s">
        <v>11230</v>
      </c>
      <c r="C4300" s="196" t="s">
        <v>21230</v>
      </c>
      <c r="D4300" s="196" t="s">
        <v>21231</v>
      </c>
      <c r="E4300" s="196" t="s">
        <v>21231</v>
      </c>
      <c r="F4300" s="196" t="s">
        <v>11233</v>
      </c>
      <c r="G4300" s="196" t="s">
        <v>12378</v>
      </c>
      <c r="H4300" s="196" t="s">
        <v>11235</v>
      </c>
    </row>
    <row r="4301" spans="1:8" x14ac:dyDescent="0.15">
      <c r="A4301" s="196" t="s">
        <v>11229</v>
      </c>
      <c r="B4301" s="196" t="s">
        <v>11230</v>
      </c>
      <c r="C4301" s="196" t="s">
        <v>21232</v>
      </c>
      <c r="D4301" s="196" t="s">
        <v>21233</v>
      </c>
      <c r="E4301" s="196" t="s">
        <v>21233</v>
      </c>
      <c r="F4301" s="196" t="s">
        <v>11233</v>
      </c>
      <c r="G4301" s="196" t="s">
        <v>12378</v>
      </c>
      <c r="H4301" s="196" t="s">
        <v>11235</v>
      </c>
    </row>
    <row r="4302" spans="1:8" x14ac:dyDescent="0.15">
      <c r="A4302" s="196" t="s">
        <v>11229</v>
      </c>
      <c r="B4302" s="196" t="s">
        <v>11230</v>
      </c>
      <c r="C4302" s="196" t="s">
        <v>21234</v>
      </c>
      <c r="D4302" s="196" t="s">
        <v>21235</v>
      </c>
      <c r="E4302" s="196" t="s">
        <v>21235</v>
      </c>
      <c r="F4302" s="196" t="s">
        <v>11233</v>
      </c>
      <c r="G4302" s="196" t="s">
        <v>12378</v>
      </c>
      <c r="H4302" s="196" t="s">
        <v>11235</v>
      </c>
    </row>
    <row r="4303" spans="1:8" x14ac:dyDescent="0.15">
      <c r="A4303" s="196" t="s">
        <v>11229</v>
      </c>
      <c r="B4303" s="196" t="s">
        <v>11230</v>
      </c>
      <c r="C4303" s="196" t="s">
        <v>21236</v>
      </c>
      <c r="D4303" s="196" t="s">
        <v>21237</v>
      </c>
      <c r="E4303" s="196" t="s">
        <v>21237</v>
      </c>
      <c r="F4303" s="196" t="s">
        <v>11233</v>
      </c>
      <c r="G4303" s="196" t="s">
        <v>12378</v>
      </c>
      <c r="H4303" s="196" t="s">
        <v>11235</v>
      </c>
    </row>
    <row r="4304" spans="1:8" x14ac:dyDescent="0.15">
      <c r="A4304" s="196" t="s">
        <v>11229</v>
      </c>
      <c r="B4304" s="196" t="s">
        <v>11230</v>
      </c>
      <c r="C4304" s="196" t="s">
        <v>21238</v>
      </c>
      <c r="D4304" s="196" t="s">
        <v>21239</v>
      </c>
      <c r="E4304" s="196" t="s">
        <v>21239</v>
      </c>
      <c r="F4304" s="196" t="s">
        <v>11233</v>
      </c>
      <c r="G4304" s="196" t="s">
        <v>12378</v>
      </c>
      <c r="H4304" s="196" t="s">
        <v>11235</v>
      </c>
    </row>
    <row r="4305" spans="1:8" x14ac:dyDescent="0.15">
      <c r="A4305" s="196" t="s">
        <v>11229</v>
      </c>
      <c r="B4305" s="196" t="s">
        <v>11230</v>
      </c>
      <c r="C4305" s="196" t="s">
        <v>21240</v>
      </c>
      <c r="D4305" s="196" t="s">
        <v>21241</v>
      </c>
      <c r="E4305" s="196" t="s">
        <v>21241</v>
      </c>
      <c r="F4305" s="196" t="s">
        <v>11233</v>
      </c>
      <c r="G4305" s="196" t="s">
        <v>12378</v>
      </c>
      <c r="H4305" s="196" t="s">
        <v>11235</v>
      </c>
    </row>
    <row r="4306" spans="1:8" x14ac:dyDescent="0.15">
      <c r="A4306" s="196" t="s">
        <v>11229</v>
      </c>
      <c r="B4306" s="196" t="s">
        <v>11230</v>
      </c>
      <c r="C4306" s="196" t="s">
        <v>21242</v>
      </c>
      <c r="D4306" s="196" t="s">
        <v>21243</v>
      </c>
      <c r="E4306" s="196" t="s">
        <v>21243</v>
      </c>
      <c r="F4306" s="196" t="s">
        <v>11233</v>
      </c>
      <c r="G4306" s="196" t="s">
        <v>12378</v>
      </c>
      <c r="H4306" s="196" t="s">
        <v>11235</v>
      </c>
    </row>
    <row r="4307" spans="1:8" x14ac:dyDescent="0.15">
      <c r="A4307" s="196" t="s">
        <v>11229</v>
      </c>
      <c r="B4307" s="196" t="s">
        <v>11230</v>
      </c>
      <c r="C4307" s="196" t="s">
        <v>21244</v>
      </c>
      <c r="D4307" s="196" t="s">
        <v>21245</v>
      </c>
      <c r="E4307" s="196" t="s">
        <v>21245</v>
      </c>
      <c r="F4307" s="196" t="s">
        <v>11233</v>
      </c>
      <c r="G4307" s="196" t="s">
        <v>12378</v>
      </c>
      <c r="H4307" s="196" t="s">
        <v>11235</v>
      </c>
    </row>
    <row r="4308" spans="1:8" x14ac:dyDescent="0.15">
      <c r="A4308" s="196" t="s">
        <v>11229</v>
      </c>
      <c r="B4308" s="196" t="s">
        <v>11230</v>
      </c>
      <c r="C4308" s="196" t="s">
        <v>21246</v>
      </c>
      <c r="D4308" s="196" t="s">
        <v>21247</v>
      </c>
      <c r="E4308" s="196" t="s">
        <v>21247</v>
      </c>
      <c r="F4308" s="196" t="s">
        <v>11233</v>
      </c>
      <c r="G4308" s="196" t="s">
        <v>12378</v>
      </c>
      <c r="H4308" s="196" t="s">
        <v>11235</v>
      </c>
    </row>
    <row r="4309" spans="1:8" x14ac:dyDescent="0.15">
      <c r="A4309" s="196" t="s">
        <v>11229</v>
      </c>
      <c r="B4309" s="196" t="s">
        <v>11230</v>
      </c>
      <c r="C4309" s="196" t="s">
        <v>21248</v>
      </c>
      <c r="D4309" s="196" t="s">
        <v>21249</v>
      </c>
      <c r="E4309" s="196" t="s">
        <v>21249</v>
      </c>
      <c r="F4309" s="196" t="s">
        <v>11233</v>
      </c>
      <c r="G4309" s="196" t="s">
        <v>12378</v>
      </c>
      <c r="H4309" s="196" t="s">
        <v>11235</v>
      </c>
    </row>
    <row r="4310" spans="1:8" x14ac:dyDescent="0.15">
      <c r="A4310" s="196" t="s">
        <v>11229</v>
      </c>
      <c r="B4310" s="196" t="s">
        <v>11230</v>
      </c>
      <c r="C4310" s="196" t="s">
        <v>21250</v>
      </c>
      <c r="D4310" s="196" t="s">
        <v>21251</v>
      </c>
      <c r="E4310" s="196" t="s">
        <v>21251</v>
      </c>
      <c r="F4310" s="196" t="s">
        <v>11233</v>
      </c>
      <c r="G4310" s="196" t="s">
        <v>12378</v>
      </c>
      <c r="H4310" s="196" t="s">
        <v>11235</v>
      </c>
    </row>
    <row r="4311" spans="1:8" x14ac:dyDescent="0.15">
      <c r="A4311" s="196" t="s">
        <v>11229</v>
      </c>
      <c r="B4311" s="196" t="s">
        <v>11230</v>
      </c>
      <c r="C4311" s="196" t="s">
        <v>21252</v>
      </c>
      <c r="D4311" s="196" t="s">
        <v>21253</v>
      </c>
      <c r="E4311" s="196" t="s">
        <v>21253</v>
      </c>
      <c r="F4311" s="196" t="s">
        <v>11233</v>
      </c>
      <c r="G4311" s="196" t="s">
        <v>12378</v>
      </c>
      <c r="H4311" s="196" t="s">
        <v>11235</v>
      </c>
    </row>
    <row r="4312" spans="1:8" x14ac:dyDescent="0.15">
      <c r="A4312" s="196" t="s">
        <v>11229</v>
      </c>
      <c r="B4312" s="196" t="s">
        <v>11230</v>
      </c>
      <c r="C4312" s="196" t="s">
        <v>21254</v>
      </c>
      <c r="D4312" s="196" t="s">
        <v>21255</v>
      </c>
      <c r="E4312" s="196" t="s">
        <v>21255</v>
      </c>
      <c r="F4312" s="196" t="s">
        <v>11233</v>
      </c>
      <c r="G4312" s="196" t="s">
        <v>12378</v>
      </c>
      <c r="H4312" s="196" t="s">
        <v>11235</v>
      </c>
    </row>
    <row r="4313" spans="1:8" x14ac:dyDescent="0.15">
      <c r="A4313" s="196" t="s">
        <v>11229</v>
      </c>
      <c r="B4313" s="196" t="s">
        <v>11230</v>
      </c>
      <c r="C4313" s="196" t="s">
        <v>21256</v>
      </c>
      <c r="D4313" s="196" t="s">
        <v>21257</v>
      </c>
      <c r="E4313" s="196" t="s">
        <v>21258</v>
      </c>
      <c r="F4313" s="196" t="s">
        <v>11241</v>
      </c>
      <c r="G4313" s="196" t="s">
        <v>12378</v>
      </c>
      <c r="H4313" s="196" t="s">
        <v>11235</v>
      </c>
    </row>
    <row r="4314" spans="1:8" x14ac:dyDescent="0.15">
      <c r="A4314" s="196" t="s">
        <v>11229</v>
      </c>
      <c r="B4314" s="196" t="s">
        <v>11230</v>
      </c>
      <c r="C4314" s="196" t="s">
        <v>21259</v>
      </c>
      <c r="D4314" s="196" t="s">
        <v>21260</v>
      </c>
      <c r="E4314" s="196" t="s">
        <v>21260</v>
      </c>
      <c r="F4314" s="196" t="s">
        <v>11233</v>
      </c>
      <c r="G4314" s="196" t="s">
        <v>12378</v>
      </c>
      <c r="H4314" s="196" t="s">
        <v>11235</v>
      </c>
    </row>
    <row r="4315" spans="1:8" x14ac:dyDescent="0.15">
      <c r="A4315" s="196" t="s">
        <v>11229</v>
      </c>
      <c r="B4315" s="196" t="s">
        <v>11230</v>
      </c>
      <c r="C4315" s="196" t="s">
        <v>21261</v>
      </c>
      <c r="D4315" s="196" t="s">
        <v>21262</v>
      </c>
      <c r="E4315" s="196" t="s">
        <v>21262</v>
      </c>
      <c r="F4315" s="196" t="s">
        <v>11233</v>
      </c>
      <c r="G4315" s="196" t="s">
        <v>12378</v>
      </c>
      <c r="H4315" s="196" t="s">
        <v>11235</v>
      </c>
    </row>
    <row r="4316" spans="1:8" x14ac:dyDescent="0.15">
      <c r="A4316" s="196" t="s">
        <v>11229</v>
      </c>
      <c r="B4316" s="196" t="s">
        <v>11230</v>
      </c>
      <c r="C4316" s="196" t="s">
        <v>21263</v>
      </c>
      <c r="D4316" s="196" t="s">
        <v>21264</v>
      </c>
      <c r="E4316" s="196" t="s">
        <v>21264</v>
      </c>
      <c r="F4316" s="196" t="s">
        <v>11233</v>
      </c>
      <c r="G4316" s="196" t="s">
        <v>12378</v>
      </c>
      <c r="H4316" s="196" t="s">
        <v>11235</v>
      </c>
    </row>
    <row r="4317" spans="1:8" x14ac:dyDescent="0.15">
      <c r="A4317" s="196" t="s">
        <v>11229</v>
      </c>
      <c r="B4317" s="196" t="s">
        <v>11230</v>
      </c>
      <c r="C4317" s="196" t="s">
        <v>21265</v>
      </c>
      <c r="D4317" s="196" t="s">
        <v>21266</v>
      </c>
      <c r="E4317" s="196" t="s">
        <v>21266</v>
      </c>
      <c r="F4317" s="196" t="s">
        <v>11233</v>
      </c>
      <c r="G4317" s="196" t="s">
        <v>12378</v>
      </c>
      <c r="H4317" s="196" t="s">
        <v>11235</v>
      </c>
    </row>
    <row r="4318" spans="1:8" x14ac:dyDescent="0.15">
      <c r="A4318" s="196" t="s">
        <v>11229</v>
      </c>
      <c r="B4318" s="196" t="s">
        <v>11230</v>
      </c>
      <c r="C4318" s="196" t="s">
        <v>21267</v>
      </c>
      <c r="D4318" s="196" t="s">
        <v>21268</v>
      </c>
      <c r="E4318" s="196" t="s">
        <v>21268</v>
      </c>
      <c r="F4318" s="196" t="s">
        <v>11233</v>
      </c>
      <c r="G4318" s="196" t="s">
        <v>12378</v>
      </c>
      <c r="H4318" s="196" t="s">
        <v>11235</v>
      </c>
    </row>
    <row r="4319" spans="1:8" x14ac:dyDescent="0.15">
      <c r="A4319" s="196" t="s">
        <v>11229</v>
      </c>
      <c r="B4319" s="196" t="s">
        <v>11230</v>
      </c>
      <c r="C4319" s="196" t="s">
        <v>21269</v>
      </c>
      <c r="D4319" s="196" t="s">
        <v>21270</v>
      </c>
      <c r="E4319" s="196" t="s">
        <v>21270</v>
      </c>
      <c r="F4319" s="196" t="s">
        <v>11233</v>
      </c>
      <c r="G4319" s="196" t="s">
        <v>12378</v>
      </c>
      <c r="H4319" s="196" t="s">
        <v>11235</v>
      </c>
    </row>
    <row r="4320" spans="1:8" x14ac:dyDescent="0.15">
      <c r="A4320" s="196" t="s">
        <v>11229</v>
      </c>
      <c r="B4320" s="196" t="s">
        <v>11230</v>
      </c>
      <c r="C4320" s="196" t="s">
        <v>21271</v>
      </c>
      <c r="D4320" s="196" t="s">
        <v>21272</v>
      </c>
      <c r="E4320" s="196" t="s">
        <v>21272</v>
      </c>
      <c r="F4320" s="196" t="s">
        <v>11233</v>
      </c>
      <c r="G4320" s="196" t="s">
        <v>12378</v>
      </c>
      <c r="H4320" s="196" t="s">
        <v>11235</v>
      </c>
    </row>
    <row r="4321" spans="1:8" x14ac:dyDescent="0.15">
      <c r="A4321" s="196" t="s">
        <v>11229</v>
      </c>
      <c r="B4321" s="196" t="s">
        <v>11230</v>
      </c>
      <c r="C4321" s="196" t="s">
        <v>21273</v>
      </c>
      <c r="D4321" s="196" t="s">
        <v>21274</v>
      </c>
      <c r="E4321" s="196" t="s">
        <v>21274</v>
      </c>
      <c r="F4321" s="196" t="s">
        <v>11233</v>
      </c>
      <c r="G4321" s="196" t="s">
        <v>12378</v>
      </c>
      <c r="H4321" s="196" t="s">
        <v>11235</v>
      </c>
    </row>
    <row r="4322" spans="1:8" x14ac:dyDescent="0.15">
      <c r="A4322" s="196" t="s">
        <v>11229</v>
      </c>
      <c r="B4322" s="196" t="s">
        <v>11230</v>
      </c>
      <c r="C4322" s="196" t="s">
        <v>21275</v>
      </c>
      <c r="D4322" s="196" t="s">
        <v>21276</v>
      </c>
      <c r="E4322" s="196" t="s">
        <v>21276</v>
      </c>
      <c r="F4322" s="196" t="s">
        <v>11233</v>
      </c>
      <c r="G4322" s="196" t="s">
        <v>12378</v>
      </c>
      <c r="H4322" s="196" t="s">
        <v>11235</v>
      </c>
    </row>
    <row r="4323" spans="1:8" x14ac:dyDescent="0.15">
      <c r="A4323" s="196" t="s">
        <v>11229</v>
      </c>
      <c r="B4323" s="196" t="s">
        <v>11230</v>
      </c>
      <c r="C4323" s="196" t="s">
        <v>21277</v>
      </c>
      <c r="D4323" s="196" t="s">
        <v>21278</v>
      </c>
      <c r="E4323" s="196" t="s">
        <v>21278</v>
      </c>
      <c r="F4323" s="196" t="s">
        <v>11233</v>
      </c>
      <c r="G4323" s="196" t="s">
        <v>12378</v>
      </c>
      <c r="H4323" s="196" t="s">
        <v>11235</v>
      </c>
    </row>
    <row r="4324" spans="1:8" x14ac:dyDescent="0.15">
      <c r="A4324" s="196" t="s">
        <v>11229</v>
      </c>
      <c r="B4324" s="196" t="s">
        <v>11230</v>
      </c>
      <c r="C4324" s="196" t="s">
        <v>21279</v>
      </c>
      <c r="D4324" s="196" t="s">
        <v>21280</v>
      </c>
      <c r="E4324" s="196" t="s">
        <v>21280</v>
      </c>
      <c r="F4324" s="196" t="s">
        <v>11233</v>
      </c>
      <c r="G4324" s="196" t="s">
        <v>12378</v>
      </c>
      <c r="H4324" s="196" t="s">
        <v>11235</v>
      </c>
    </row>
    <row r="4325" spans="1:8" x14ac:dyDescent="0.15">
      <c r="A4325" s="196" t="s">
        <v>11229</v>
      </c>
      <c r="B4325" s="196" t="s">
        <v>11230</v>
      </c>
      <c r="C4325" s="196" t="s">
        <v>21281</v>
      </c>
      <c r="D4325" s="196" t="s">
        <v>21282</v>
      </c>
      <c r="E4325" s="196" t="s">
        <v>21282</v>
      </c>
      <c r="F4325" s="196" t="s">
        <v>11233</v>
      </c>
      <c r="G4325" s="196" t="s">
        <v>12378</v>
      </c>
      <c r="H4325" s="196" t="s">
        <v>11235</v>
      </c>
    </row>
    <row r="4326" spans="1:8" x14ac:dyDescent="0.15">
      <c r="A4326" s="196" t="s">
        <v>11229</v>
      </c>
      <c r="B4326" s="196" t="s">
        <v>11230</v>
      </c>
      <c r="C4326" s="196" t="s">
        <v>21283</v>
      </c>
      <c r="D4326" s="196" t="s">
        <v>21284</v>
      </c>
      <c r="E4326" s="196" t="s">
        <v>21284</v>
      </c>
      <c r="F4326" s="196" t="s">
        <v>11233</v>
      </c>
      <c r="G4326" s="196" t="s">
        <v>12378</v>
      </c>
      <c r="H4326" s="196" t="s">
        <v>11235</v>
      </c>
    </row>
    <row r="4327" spans="1:8" x14ac:dyDescent="0.15">
      <c r="A4327" s="196" t="s">
        <v>11229</v>
      </c>
      <c r="B4327" s="196" t="s">
        <v>11230</v>
      </c>
      <c r="C4327" s="196" t="s">
        <v>21285</v>
      </c>
      <c r="D4327" s="196" t="s">
        <v>21286</v>
      </c>
      <c r="E4327" s="196" t="s">
        <v>21286</v>
      </c>
      <c r="F4327" s="196" t="s">
        <v>11233</v>
      </c>
      <c r="G4327" s="196" t="s">
        <v>12378</v>
      </c>
      <c r="H4327" s="196" t="s">
        <v>11235</v>
      </c>
    </row>
    <row r="4328" spans="1:8" x14ac:dyDescent="0.15">
      <c r="A4328" s="196" t="s">
        <v>11229</v>
      </c>
      <c r="B4328" s="196" t="s">
        <v>11230</v>
      </c>
      <c r="C4328" s="196" t="s">
        <v>21287</v>
      </c>
      <c r="D4328" s="196" t="s">
        <v>21288</v>
      </c>
      <c r="E4328" s="196" t="s">
        <v>21288</v>
      </c>
      <c r="F4328" s="196" t="s">
        <v>11233</v>
      </c>
      <c r="G4328" s="196" t="s">
        <v>12378</v>
      </c>
      <c r="H4328" s="196" t="s">
        <v>11235</v>
      </c>
    </row>
    <row r="4329" spans="1:8" x14ac:dyDescent="0.15">
      <c r="A4329" s="196" t="s">
        <v>11229</v>
      </c>
      <c r="B4329" s="196" t="s">
        <v>11230</v>
      </c>
      <c r="C4329" s="196" t="s">
        <v>21289</v>
      </c>
      <c r="D4329" s="196" t="s">
        <v>21290</v>
      </c>
      <c r="E4329" s="196" t="s">
        <v>21290</v>
      </c>
      <c r="F4329" s="196" t="s">
        <v>11233</v>
      </c>
      <c r="G4329" s="196" t="s">
        <v>12378</v>
      </c>
      <c r="H4329" s="196" t="s">
        <v>11235</v>
      </c>
    </row>
    <row r="4330" spans="1:8" x14ac:dyDescent="0.15">
      <c r="A4330" s="196" t="s">
        <v>11229</v>
      </c>
      <c r="B4330" s="196" t="s">
        <v>11230</v>
      </c>
      <c r="C4330" s="196" t="s">
        <v>21291</v>
      </c>
      <c r="D4330" s="196" t="s">
        <v>21292</v>
      </c>
      <c r="E4330" s="196" t="s">
        <v>21292</v>
      </c>
      <c r="F4330" s="196" t="s">
        <v>11233</v>
      </c>
      <c r="G4330" s="196" t="s">
        <v>12378</v>
      </c>
      <c r="H4330" s="196" t="s">
        <v>11235</v>
      </c>
    </row>
    <row r="4331" spans="1:8" x14ac:dyDescent="0.15">
      <c r="A4331" s="196" t="s">
        <v>11229</v>
      </c>
      <c r="B4331" s="196" t="s">
        <v>11230</v>
      </c>
      <c r="C4331" s="196" t="s">
        <v>21293</v>
      </c>
      <c r="D4331" s="196" t="s">
        <v>21294</v>
      </c>
      <c r="E4331" s="196" t="s">
        <v>21294</v>
      </c>
      <c r="F4331" s="196" t="s">
        <v>11233</v>
      </c>
      <c r="G4331" s="196" t="s">
        <v>12378</v>
      </c>
      <c r="H4331" s="196" t="s">
        <v>11235</v>
      </c>
    </row>
    <row r="4332" spans="1:8" x14ac:dyDescent="0.15">
      <c r="A4332" s="196" t="s">
        <v>11229</v>
      </c>
      <c r="B4332" s="196" t="s">
        <v>11230</v>
      </c>
      <c r="C4332" s="196" t="s">
        <v>21295</v>
      </c>
      <c r="D4332" s="196" t="s">
        <v>21296</v>
      </c>
      <c r="E4332" s="196" t="s">
        <v>21296</v>
      </c>
      <c r="F4332" s="196" t="s">
        <v>11233</v>
      </c>
      <c r="G4332" s="196" t="s">
        <v>12378</v>
      </c>
      <c r="H4332" s="196" t="s">
        <v>11235</v>
      </c>
    </row>
    <row r="4333" spans="1:8" x14ac:dyDescent="0.15">
      <c r="A4333" s="196" t="s">
        <v>11229</v>
      </c>
      <c r="B4333" s="196" t="s">
        <v>11230</v>
      </c>
      <c r="C4333" s="196" t="s">
        <v>21297</v>
      </c>
      <c r="D4333" s="196" t="s">
        <v>21298</v>
      </c>
      <c r="E4333" s="196" t="s">
        <v>21298</v>
      </c>
      <c r="F4333" s="196" t="s">
        <v>11233</v>
      </c>
      <c r="G4333" s="196" t="s">
        <v>12378</v>
      </c>
      <c r="H4333" s="196" t="s">
        <v>11235</v>
      </c>
    </row>
    <row r="4334" spans="1:8" x14ac:dyDescent="0.15">
      <c r="A4334" s="196" t="s">
        <v>11229</v>
      </c>
      <c r="B4334" s="196" t="s">
        <v>11230</v>
      </c>
      <c r="C4334" s="196" t="s">
        <v>21299</v>
      </c>
      <c r="D4334" s="196" t="s">
        <v>21300</v>
      </c>
      <c r="E4334" s="196" t="s">
        <v>21300</v>
      </c>
      <c r="F4334" s="196" t="s">
        <v>11233</v>
      </c>
      <c r="G4334" s="196" t="s">
        <v>12378</v>
      </c>
      <c r="H4334" s="196" t="s">
        <v>11235</v>
      </c>
    </row>
    <row r="4335" spans="1:8" x14ac:dyDescent="0.15">
      <c r="A4335" s="196" t="s">
        <v>11229</v>
      </c>
      <c r="B4335" s="196" t="s">
        <v>11230</v>
      </c>
      <c r="C4335" s="196" t="s">
        <v>21301</v>
      </c>
      <c r="D4335" s="196" t="s">
        <v>21302</v>
      </c>
      <c r="E4335" s="196" t="s">
        <v>21302</v>
      </c>
      <c r="F4335" s="196" t="s">
        <v>11233</v>
      </c>
      <c r="G4335" s="196" t="s">
        <v>12378</v>
      </c>
      <c r="H4335" s="196" t="s">
        <v>11235</v>
      </c>
    </row>
    <row r="4336" spans="1:8" x14ac:dyDescent="0.15">
      <c r="A4336" s="196" t="s">
        <v>11229</v>
      </c>
      <c r="B4336" s="196" t="s">
        <v>11230</v>
      </c>
      <c r="C4336" s="196" t="s">
        <v>21303</v>
      </c>
      <c r="D4336" s="196" t="s">
        <v>21304</v>
      </c>
      <c r="E4336" s="196" t="s">
        <v>21304</v>
      </c>
      <c r="F4336" s="196" t="s">
        <v>11233</v>
      </c>
      <c r="G4336" s="196" t="s">
        <v>12378</v>
      </c>
      <c r="H4336" s="196" t="s">
        <v>11235</v>
      </c>
    </row>
    <row r="4337" spans="1:8" x14ac:dyDescent="0.15">
      <c r="A4337" s="196" t="s">
        <v>11229</v>
      </c>
      <c r="B4337" s="196" t="s">
        <v>11230</v>
      </c>
      <c r="C4337" s="196" t="s">
        <v>21305</v>
      </c>
      <c r="D4337" s="196" t="s">
        <v>21306</v>
      </c>
      <c r="E4337" s="196" t="s">
        <v>21306</v>
      </c>
      <c r="F4337" s="196" t="s">
        <v>11233</v>
      </c>
      <c r="G4337" s="196" t="s">
        <v>12378</v>
      </c>
      <c r="H4337" s="196" t="s">
        <v>11235</v>
      </c>
    </row>
    <row r="4338" spans="1:8" x14ac:dyDescent="0.15">
      <c r="A4338" s="196" t="s">
        <v>11229</v>
      </c>
      <c r="B4338" s="196" t="s">
        <v>11230</v>
      </c>
      <c r="C4338" s="196" t="s">
        <v>21307</v>
      </c>
      <c r="D4338" s="196" t="s">
        <v>21308</v>
      </c>
      <c r="E4338" s="196" t="s">
        <v>21308</v>
      </c>
      <c r="F4338" s="196" t="s">
        <v>11233</v>
      </c>
      <c r="G4338" s="196" t="s">
        <v>12378</v>
      </c>
      <c r="H4338" s="196" t="s">
        <v>11235</v>
      </c>
    </row>
    <row r="4339" spans="1:8" x14ac:dyDescent="0.15">
      <c r="A4339" s="196" t="s">
        <v>11229</v>
      </c>
      <c r="B4339" s="196" t="s">
        <v>11230</v>
      </c>
      <c r="C4339" s="196" t="s">
        <v>21309</v>
      </c>
      <c r="D4339" s="196" t="s">
        <v>21310</v>
      </c>
      <c r="E4339" s="196" t="s">
        <v>21310</v>
      </c>
      <c r="F4339" s="196" t="s">
        <v>11233</v>
      </c>
      <c r="G4339" s="196" t="s">
        <v>12378</v>
      </c>
      <c r="H4339" s="196" t="s">
        <v>11235</v>
      </c>
    </row>
    <row r="4340" spans="1:8" x14ac:dyDescent="0.15">
      <c r="A4340" s="196" t="s">
        <v>11229</v>
      </c>
      <c r="B4340" s="196" t="s">
        <v>11230</v>
      </c>
      <c r="C4340" s="196" t="s">
        <v>21311</v>
      </c>
      <c r="D4340" s="196" t="s">
        <v>21312</v>
      </c>
      <c r="E4340" s="196" t="s">
        <v>21312</v>
      </c>
      <c r="F4340" s="196" t="s">
        <v>11233</v>
      </c>
      <c r="G4340" s="196" t="s">
        <v>12378</v>
      </c>
      <c r="H4340" s="196" t="s">
        <v>11235</v>
      </c>
    </row>
    <row r="4341" spans="1:8" x14ac:dyDescent="0.15">
      <c r="A4341" s="196" t="s">
        <v>11229</v>
      </c>
      <c r="B4341" s="196" t="s">
        <v>11230</v>
      </c>
      <c r="C4341" s="196" t="s">
        <v>21313</v>
      </c>
      <c r="D4341" s="196" t="s">
        <v>21314</v>
      </c>
      <c r="E4341" s="196" t="s">
        <v>21314</v>
      </c>
      <c r="F4341" s="196" t="s">
        <v>11233</v>
      </c>
      <c r="G4341" s="196" t="s">
        <v>12378</v>
      </c>
      <c r="H4341" s="196" t="s">
        <v>11235</v>
      </c>
    </row>
    <row r="4342" spans="1:8" x14ac:dyDescent="0.15">
      <c r="A4342" s="196" t="s">
        <v>11229</v>
      </c>
      <c r="B4342" s="196" t="s">
        <v>11230</v>
      </c>
      <c r="C4342" s="196" t="s">
        <v>21315</v>
      </c>
      <c r="D4342" s="196" t="s">
        <v>21316</v>
      </c>
      <c r="E4342" s="196" t="s">
        <v>21316</v>
      </c>
      <c r="F4342" s="196" t="s">
        <v>11233</v>
      </c>
      <c r="G4342" s="196" t="s">
        <v>12378</v>
      </c>
      <c r="H4342" s="196" t="s">
        <v>11235</v>
      </c>
    </row>
    <row r="4343" spans="1:8" x14ac:dyDescent="0.15">
      <c r="A4343" s="196" t="s">
        <v>11229</v>
      </c>
      <c r="B4343" s="196" t="s">
        <v>11230</v>
      </c>
      <c r="C4343" s="196" t="s">
        <v>21317</v>
      </c>
      <c r="D4343" s="196" t="s">
        <v>21318</v>
      </c>
      <c r="E4343" s="196" t="s">
        <v>21318</v>
      </c>
      <c r="F4343" s="196" t="s">
        <v>11233</v>
      </c>
      <c r="G4343" s="196" t="s">
        <v>12378</v>
      </c>
      <c r="H4343" s="196" t="s">
        <v>11235</v>
      </c>
    </row>
    <row r="4344" spans="1:8" x14ac:dyDescent="0.15">
      <c r="A4344" s="196" t="s">
        <v>11229</v>
      </c>
      <c r="B4344" s="196" t="s">
        <v>11230</v>
      </c>
      <c r="C4344" s="196" t="s">
        <v>21319</v>
      </c>
      <c r="D4344" s="196" t="s">
        <v>21320</v>
      </c>
      <c r="E4344" s="196" t="s">
        <v>21320</v>
      </c>
      <c r="F4344" s="196" t="s">
        <v>11233</v>
      </c>
      <c r="G4344" s="196" t="s">
        <v>12378</v>
      </c>
      <c r="H4344" s="196" t="s">
        <v>11235</v>
      </c>
    </row>
    <row r="4345" spans="1:8" x14ac:dyDescent="0.15">
      <c r="A4345" s="196" t="s">
        <v>11229</v>
      </c>
      <c r="B4345" s="196" t="s">
        <v>11230</v>
      </c>
      <c r="C4345" s="196" t="s">
        <v>21321</v>
      </c>
      <c r="D4345" s="196" t="s">
        <v>21322</v>
      </c>
      <c r="E4345" s="196" t="s">
        <v>21322</v>
      </c>
      <c r="F4345" s="196" t="s">
        <v>11233</v>
      </c>
      <c r="G4345" s="196" t="s">
        <v>12378</v>
      </c>
      <c r="H4345" s="196" t="s">
        <v>11235</v>
      </c>
    </row>
    <row r="4346" spans="1:8" x14ac:dyDescent="0.15">
      <c r="A4346" s="196" t="s">
        <v>11229</v>
      </c>
      <c r="B4346" s="196" t="s">
        <v>11230</v>
      </c>
      <c r="C4346" s="196" t="s">
        <v>21323</v>
      </c>
      <c r="D4346" s="196" t="s">
        <v>21324</v>
      </c>
      <c r="E4346" s="196" t="s">
        <v>21324</v>
      </c>
      <c r="F4346" s="196" t="s">
        <v>11233</v>
      </c>
      <c r="G4346" s="196" t="s">
        <v>12378</v>
      </c>
      <c r="H4346" s="196" t="s">
        <v>11235</v>
      </c>
    </row>
    <row r="4347" spans="1:8" x14ac:dyDescent="0.15">
      <c r="A4347" s="196" t="s">
        <v>11229</v>
      </c>
      <c r="B4347" s="196" t="s">
        <v>11230</v>
      </c>
      <c r="C4347" s="196" t="s">
        <v>21325</v>
      </c>
      <c r="D4347" s="196" t="s">
        <v>21326</v>
      </c>
      <c r="E4347" s="196" t="s">
        <v>21326</v>
      </c>
      <c r="F4347" s="196" t="s">
        <v>11233</v>
      </c>
      <c r="G4347" s="196" t="s">
        <v>12378</v>
      </c>
      <c r="H4347" s="196" t="s">
        <v>11235</v>
      </c>
    </row>
    <row r="4348" spans="1:8" x14ac:dyDescent="0.15">
      <c r="A4348" s="196" t="s">
        <v>11229</v>
      </c>
      <c r="B4348" s="196" t="s">
        <v>11230</v>
      </c>
      <c r="C4348" s="196" t="s">
        <v>21327</v>
      </c>
      <c r="D4348" s="196" t="s">
        <v>21328</v>
      </c>
      <c r="E4348" s="196" t="s">
        <v>21328</v>
      </c>
      <c r="F4348" s="196" t="s">
        <v>11233</v>
      </c>
      <c r="G4348" s="196" t="s">
        <v>12378</v>
      </c>
      <c r="H4348" s="196" t="s">
        <v>11235</v>
      </c>
    </row>
    <row r="4349" spans="1:8" x14ac:dyDescent="0.15">
      <c r="A4349" s="196" t="s">
        <v>11229</v>
      </c>
      <c r="B4349" s="196" t="s">
        <v>11230</v>
      </c>
      <c r="C4349" s="196" t="s">
        <v>21329</v>
      </c>
      <c r="D4349" s="196" t="s">
        <v>21330</v>
      </c>
      <c r="E4349" s="196" t="s">
        <v>21330</v>
      </c>
      <c r="F4349" s="196" t="s">
        <v>11233</v>
      </c>
      <c r="G4349" s="196" t="s">
        <v>12378</v>
      </c>
      <c r="H4349" s="196" t="s">
        <v>11235</v>
      </c>
    </row>
    <row r="4350" spans="1:8" x14ac:dyDescent="0.15">
      <c r="A4350" s="196" t="s">
        <v>11229</v>
      </c>
      <c r="B4350" s="196" t="s">
        <v>11230</v>
      </c>
      <c r="C4350" s="196" t="s">
        <v>21331</v>
      </c>
      <c r="D4350" s="196" t="s">
        <v>21332</v>
      </c>
      <c r="E4350" s="196" t="s">
        <v>21332</v>
      </c>
      <c r="F4350" s="196" t="s">
        <v>11233</v>
      </c>
      <c r="G4350" s="196" t="s">
        <v>12378</v>
      </c>
      <c r="H4350" s="196" t="s">
        <v>11235</v>
      </c>
    </row>
    <row r="4351" spans="1:8" x14ac:dyDescent="0.15">
      <c r="A4351" s="196" t="s">
        <v>11229</v>
      </c>
      <c r="B4351" s="196" t="s">
        <v>11230</v>
      </c>
      <c r="C4351" s="196" t="s">
        <v>21333</v>
      </c>
      <c r="D4351" s="196" t="s">
        <v>21334</v>
      </c>
      <c r="E4351" s="196" t="s">
        <v>21334</v>
      </c>
      <c r="F4351" s="196" t="s">
        <v>11233</v>
      </c>
      <c r="G4351" s="196" t="s">
        <v>12378</v>
      </c>
      <c r="H4351" s="196" t="s">
        <v>11235</v>
      </c>
    </row>
    <row r="4352" spans="1:8" x14ac:dyDescent="0.15">
      <c r="A4352" s="196" t="s">
        <v>11229</v>
      </c>
      <c r="B4352" s="196" t="s">
        <v>11230</v>
      </c>
      <c r="C4352" s="196" t="s">
        <v>21335</v>
      </c>
      <c r="D4352" s="196" t="s">
        <v>21336</v>
      </c>
      <c r="E4352" s="196" t="s">
        <v>21336</v>
      </c>
      <c r="F4352" s="196" t="s">
        <v>11233</v>
      </c>
      <c r="G4352" s="196" t="s">
        <v>12378</v>
      </c>
      <c r="H4352" s="196" t="s">
        <v>11235</v>
      </c>
    </row>
    <row r="4353" spans="1:8" x14ac:dyDescent="0.15">
      <c r="A4353" s="196" t="s">
        <v>11229</v>
      </c>
      <c r="B4353" s="196" t="s">
        <v>11230</v>
      </c>
      <c r="C4353" s="196" t="s">
        <v>21337</v>
      </c>
      <c r="D4353" s="196" t="s">
        <v>21338</v>
      </c>
      <c r="E4353" s="196" t="s">
        <v>21338</v>
      </c>
      <c r="F4353" s="196" t="s">
        <v>11233</v>
      </c>
      <c r="G4353" s="196" t="s">
        <v>12378</v>
      </c>
      <c r="H4353" s="196" t="s">
        <v>11235</v>
      </c>
    </row>
    <row r="4354" spans="1:8" x14ac:dyDescent="0.15">
      <c r="A4354" s="196" t="s">
        <v>11229</v>
      </c>
      <c r="B4354" s="196" t="s">
        <v>11230</v>
      </c>
      <c r="C4354" s="196" t="s">
        <v>21339</v>
      </c>
      <c r="D4354" s="196" t="s">
        <v>21340</v>
      </c>
      <c r="E4354" s="196" t="s">
        <v>21340</v>
      </c>
      <c r="F4354" s="196" t="s">
        <v>11233</v>
      </c>
      <c r="G4354" s="196" t="s">
        <v>12378</v>
      </c>
      <c r="H4354" s="196" t="s">
        <v>11235</v>
      </c>
    </row>
    <row r="4355" spans="1:8" x14ac:dyDescent="0.15">
      <c r="A4355" s="196" t="s">
        <v>11229</v>
      </c>
      <c r="B4355" s="196" t="s">
        <v>11230</v>
      </c>
      <c r="C4355" s="196" t="s">
        <v>21341</v>
      </c>
      <c r="D4355" s="196" t="s">
        <v>21342</v>
      </c>
      <c r="E4355" s="196" t="s">
        <v>21342</v>
      </c>
      <c r="F4355" s="196" t="s">
        <v>11233</v>
      </c>
      <c r="G4355" s="196" t="s">
        <v>12378</v>
      </c>
      <c r="H4355" s="196" t="s">
        <v>11235</v>
      </c>
    </row>
    <row r="4356" spans="1:8" x14ac:dyDescent="0.15">
      <c r="A4356" s="196" t="s">
        <v>11229</v>
      </c>
      <c r="B4356" s="196" t="s">
        <v>11230</v>
      </c>
      <c r="C4356" s="196" t="s">
        <v>21343</v>
      </c>
      <c r="D4356" s="196" t="s">
        <v>21344</v>
      </c>
      <c r="E4356" s="196" t="s">
        <v>21344</v>
      </c>
      <c r="F4356" s="196" t="s">
        <v>11233</v>
      </c>
      <c r="G4356" s="196" t="s">
        <v>12378</v>
      </c>
      <c r="H4356" s="196" t="s">
        <v>11235</v>
      </c>
    </row>
    <row r="4357" spans="1:8" x14ac:dyDescent="0.15">
      <c r="A4357" s="196" t="s">
        <v>11229</v>
      </c>
      <c r="B4357" s="196" t="s">
        <v>11230</v>
      </c>
      <c r="C4357" s="196" t="s">
        <v>21345</v>
      </c>
      <c r="D4357" s="196" t="s">
        <v>21346</v>
      </c>
      <c r="E4357" s="196" t="s">
        <v>21346</v>
      </c>
      <c r="F4357" s="196" t="s">
        <v>11233</v>
      </c>
      <c r="G4357" s="196" t="s">
        <v>12378</v>
      </c>
      <c r="H4357" s="196" t="s">
        <v>11235</v>
      </c>
    </row>
    <row r="4358" spans="1:8" x14ac:dyDescent="0.15">
      <c r="A4358" s="196" t="s">
        <v>11229</v>
      </c>
      <c r="B4358" s="196" t="s">
        <v>11230</v>
      </c>
      <c r="C4358" s="196" t="s">
        <v>21347</v>
      </c>
      <c r="D4358" s="196" t="s">
        <v>21348</v>
      </c>
      <c r="E4358" s="196" t="s">
        <v>21348</v>
      </c>
      <c r="F4358" s="196" t="s">
        <v>11233</v>
      </c>
      <c r="G4358" s="196" t="s">
        <v>12378</v>
      </c>
      <c r="H4358" s="196" t="s">
        <v>11235</v>
      </c>
    </row>
    <row r="4359" spans="1:8" x14ac:dyDescent="0.15">
      <c r="A4359" s="196" t="s">
        <v>11229</v>
      </c>
      <c r="B4359" s="196" t="s">
        <v>11230</v>
      </c>
      <c r="C4359" s="196" t="s">
        <v>21349</v>
      </c>
      <c r="D4359" s="196" t="s">
        <v>21350</v>
      </c>
      <c r="E4359" s="196" t="s">
        <v>21350</v>
      </c>
      <c r="F4359" s="196" t="s">
        <v>11233</v>
      </c>
      <c r="G4359" s="196" t="s">
        <v>12378</v>
      </c>
      <c r="H4359" s="196" t="s">
        <v>11235</v>
      </c>
    </row>
    <row r="4360" spans="1:8" x14ac:dyDescent="0.15">
      <c r="A4360" s="196" t="s">
        <v>11229</v>
      </c>
      <c r="B4360" s="196" t="s">
        <v>11230</v>
      </c>
      <c r="C4360" s="196" t="s">
        <v>21351</v>
      </c>
      <c r="D4360" s="196" t="s">
        <v>21352</v>
      </c>
      <c r="E4360" s="196" t="s">
        <v>21352</v>
      </c>
      <c r="F4360" s="196" t="s">
        <v>11233</v>
      </c>
      <c r="G4360" s="196" t="s">
        <v>12378</v>
      </c>
      <c r="H4360" s="196" t="s">
        <v>11235</v>
      </c>
    </row>
    <row r="4361" spans="1:8" x14ac:dyDescent="0.15">
      <c r="A4361" s="196" t="s">
        <v>11229</v>
      </c>
      <c r="B4361" s="196" t="s">
        <v>11230</v>
      </c>
      <c r="C4361" s="196" t="s">
        <v>21353</v>
      </c>
      <c r="D4361" s="196" t="s">
        <v>21354</v>
      </c>
      <c r="E4361" s="196" t="s">
        <v>21354</v>
      </c>
      <c r="F4361" s="196" t="s">
        <v>11233</v>
      </c>
      <c r="G4361" s="196" t="s">
        <v>12378</v>
      </c>
      <c r="H4361" s="196" t="s">
        <v>11235</v>
      </c>
    </row>
    <row r="4362" spans="1:8" x14ac:dyDescent="0.15">
      <c r="A4362" s="196" t="s">
        <v>11229</v>
      </c>
      <c r="B4362" s="196" t="s">
        <v>11230</v>
      </c>
      <c r="C4362" s="196" t="s">
        <v>21355</v>
      </c>
      <c r="D4362" s="196" t="s">
        <v>21356</v>
      </c>
      <c r="E4362" s="196" t="s">
        <v>21356</v>
      </c>
      <c r="F4362" s="196" t="s">
        <v>11233</v>
      </c>
      <c r="G4362" s="196" t="s">
        <v>12378</v>
      </c>
      <c r="H4362" s="196" t="s">
        <v>11235</v>
      </c>
    </row>
    <row r="4363" spans="1:8" x14ac:dyDescent="0.15">
      <c r="A4363" s="196" t="s">
        <v>11229</v>
      </c>
      <c r="B4363" s="196" t="s">
        <v>11230</v>
      </c>
      <c r="C4363" s="196" t="s">
        <v>21357</v>
      </c>
      <c r="D4363" s="196" t="s">
        <v>21358</v>
      </c>
      <c r="E4363" s="196" t="s">
        <v>21358</v>
      </c>
      <c r="F4363" s="196" t="s">
        <v>11233</v>
      </c>
      <c r="G4363" s="196" t="s">
        <v>12378</v>
      </c>
      <c r="H4363" s="196" t="s">
        <v>11235</v>
      </c>
    </row>
    <row r="4364" spans="1:8" x14ac:dyDescent="0.15">
      <c r="A4364" s="196" t="s">
        <v>11229</v>
      </c>
      <c r="B4364" s="196" t="s">
        <v>11230</v>
      </c>
      <c r="C4364" s="196" t="s">
        <v>21359</v>
      </c>
      <c r="D4364" s="196" t="s">
        <v>21360</v>
      </c>
      <c r="E4364" s="196" t="s">
        <v>21360</v>
      </c>
      <c r="F4364" s="196" t="s">
        <v>11233</v>
      </c>
      <c r="G4364" s="196" t="s">
        <v>12378</v>
      </c>
      <c r="H4364" s="196" t="s">
        <v>11235</v>
      </c>
    </row>
    <row r="4365" spans="1:8" x14ac:dyDescent="0.15">
      <c r="A4365" s="196" t="s">
        <v>11229</v>
      </c>
      <c r="B4365" s="196" t="s">
        <v>11230</v>
      </c>
      <c r="C4365" s="196" t="s">
        <v>21361</v>
      </c>
      <c r="D4365" s="196" t="s">
        <v>21362</v>
      </c>
      <c r="E4365" s="196" t="s">
        <v>21362</v>
      </c>
      <c r="F4365" s="196" t="s">
        <v>11233</v>
      </c>
      <c r="G4365" s="196" t="s">
        <v>12378</v>
      </c>
      <c r="H4365" s="196" t="s">
        <v>11235</v>
      </c>
    </row>
    <row r="4366" spans="1:8" x14ac:dyDescent="0.15">
      <c r="A4366" s="196" t="s">
        <v>11229</v>
      </c>
      <c r="B4366" s="196" t="s">
        <v>11230</v>
      </c>
      <c r="C4366" s="196" t="s">
        <v>21363</v>
      </c>
      <c r="D4366" s="196" t="s">
        <v>21364</v>
      </c>
      <c r="E4366" s="196" t="s">
        <v>21364</v>
      </c>
      <c r="F4366" s="196" t="s">
        <v>11233</v>
      </c>
      <c r="G4366" s="196" t="s">
        <v>12378</v>
      </c>
      <c r="H4366" s="196" t="s">
        <v>11235</v>
      </c>
    </row>
    <row r="4367" spans="1:8" x14ac:dyDescent="0.15">
      <c r="A4367" s="196" t="s">
        <v>11229</v>
      </c>
      <c r="B4367" s="196" t="s">
        <v>11230</v>
      </c>
      <c r="C4367" s="196" t="s">
        <v>21365</v>
      </c>
      <c r="D4367" s="196" t="s">
        <v>21366</v>
      </c>
      <c r="E4367" s="196" t="s">
        <v>21366</v>
      </c>
      <c r="F4367" s="196" t="s">
        <v>11233</v>
      </c>
      <c r="G4367" s="196" t="s">
        <v>12378</v>
      </c>
      <c r="H4367" s="196" t="s">
        <v>11235</v>
      </c>
    </row>
    <row r="4368" spans="1:8" x14ac:dyDescent="0.15">
      <c r="A4368" s="196" t="s">
        <v>11229</v>
      </c>
      <c r="B4368" s="196" t="s">
        <v>11230</v>
      </c>
      <c r="C4368" s="196" t="s">
        <v>21367</v>
      </c>
      <c r="D4368" s="196" t="s">
        <v>21368</v>
      </c>
      <c r="E4368" s="196" t="s">
        <v>21368</v>
      </c>
      <c r="F4368" s="196" t="s">
        <v>11233</v>
      </c>
      <c r="G4368" s="196" t="s">
        <v>12378</v>
      </c>
      <c r="H4368" s="196" t="s">
        <v>11235</v>
      </c>
    </row>
    <row r="4369" spans="1:8" x14ac:dyDescent="0.15">
      <c r="A4369" s="196" t="s">
        <v>11229</v>
      </c>
      <c r="B4369" s="196" t="s">
        <v>11230</v>
      </c>
      <c r="C4369" s="196" t="s">
        <v>21369</v>
      </c>
      <c r="D4369" s="196" t="s">
        <v>21370</v>
      </c>
      <c r="E4369" s="196" t="s">
        <v>21370</v>
      </c>
      <c r="F4369" s="196" t="s">
        <v>11233</v>
      </c>
      <c r="G4369" s="196" t="s">
        <v>12378</v>
      </c>
      <c r="H4369" s="196" t="s">
        <v>11235</v>
      </c>
    </row>
    <row r="4370" spans="1:8" x14ac:dyDescent="0.15">
      <c r="A4370" s="196" t="s">
        <v>11229</v>
      </c>
      <c r="B4370" s="196" t="s">
        <v>11230</v>
      </c>
      <c r="C4370" s="196" t="s">
        <v>21371</v>
      </c>
      <c r="D4370" s="196" t="s">
        <v>21372</v>
      </c>
      <c r="E4370" s="196" t="s">
        <v>21372</v>
      </c>
      <c r="F4370" s="196" t="s">
        <v>11233</v>
      </c>
      <c r="G4370" s="196" t="s">
        <v>12378</v>
      </c>
      <c r="H4370" s="196" t="s">
        <v>11235</v>
      </c>
    </row>
    <row r="4371" spans="1:8" x14ac:dyDescent="0.15">
      <c r="A4371" s="196" t="s">
        <v>11229</v>
      </c>
      <c r="B4371" s="196" t="s">
        <v>11230</v>
      </c>
      <c r="C4371" s="196" t="s">
        <v>21373</v>
      </c>
      <c r="D4371" s="196" t="s">
        <v>21374</v>
      </c>
      <c r="E4371" s="196" t="s">
        <v>21374</v>
      </c>
      <c r="F4371" s="196" t="s">
        <v>11233</v>
      </c>
      <c r="G4371" s="196" t="s">
        <v>12378</v>
      </c>
      <c r="H4371" s="196" t="s">
        <v>11235</v>
      </c>
    </row>
    <row r="4372" spans="1:8" x14ac:dyDescent="0.15">
      <c r="A4372" s="196" t="s">
        <v>11229</v>
      </c>
      <c r="B4372" s="196" t="s">
        <v>11230</v>
      </c>
      <c r="C4372" s="196" t="s">
        <v>21375</v>
      </c>
      <c r="D4372" s="196" t="s">
        <v>21376</v>
      </c>
      <c r="E4372" s="196" t="s">
        <v>21376</v>
      </c>
      <c r="F4372" s="196" t="s">
        <v>11233</v>
      </c>
      <c r="G4372" s="196" t="s">
        <v>12378</v>
      </c>
      <c r="H4372" s="196" t="s">
        <v>11235</v>
      </c>
    </row>
    <row r="4373" spans="1:8" x14ac:dyDescent="0.15">
      <c r="A4373" s="196" t="s">
        <v>11229</v>
      </c>
      <c r="B4373" s="196" t="s">
        <v>11230</v>
      </c>
      <c r="C4373" s="196" t="s">
        <v>21377</v>
      </c>
      <c r="D4373" s="196" t="s">
        <v>21378</v>
      </c>
      <c r="E4373" s="196" t="s">
        <v>21378</v>
      </c>
      <c r="F4373" s="196" t="s">
        <v>11233</v>
      </c>
      <c r="G4373" s="196" t="s">
        <v>12378</v>
      </c>
      <c r="H4373" s="196" t="s">
        <v>11235</v>
      </c>
    </row>
    <row r="4374" spans="1:8" x14ac:dyDescent="0.15">
      <c r="A4374" s="196" t="s">
        <v>11229</v>
      </c>
      <c r="B4374" s="196" t="s">
        <v>11230</v>
      </c>
      <c r="C4374" s="196" t="s">
        <v>21379</v>
      </c>
      <c r="D4374" s="196" t="s">
        <v>21380</v>
      </c>
      <c r="E4374" s="196" t="s">
        <v>21381</v>
      </c>
      <c r="F4374" s="196" t="s">
        <v>13715</v>
      </c>
      <c r="G4374" s="196" t="s">
        <v>12378</v>
      </c>
      <c r="H4374" s="196" t="s">
        <v>11235</v>
      </c>
    </row>
    <row r="4375" spans="1:8" x14ac:dyDescent="0.15">
      <c r="A4375" s="196" t="s">
        <v>11229</v>
      </c>
      <c r="B4375" s="196" t="s">
        <v>11230</v>
      </c>
      <c r="C4375" s="196" t="s">
        <v>21382</v>
      </c>
      <c r="D4375" s="196" t="s">
        <v>21383</v>
      </c>
      <c r="E4375" s="196" t="s">
        <v>21383</v>
      </c>
      <c r="F4375" s="196" t="s">
        <v>11233</v>
      </c>
      <c r="G4375" s="196" t="s">
        <v>12378</v>
      </c>
      <c r="H4375" s="196" t="s">
        <v>11235</v>
      </c>
    </row>
    <row r="4376" spans="1:8" x14ac:dyDescent="0.15">
      <c r="A4376" s="196" t="s">
        <v>11229</v>
      </c>
      <c r="B4376" s="196" t="s">
        <v>11230</v>
      </c>
      <c r="C4376" s="196" t="s">
        <v>21384</v>
      </c>
      <c r="D4376" s="196" t="s">
        <v>21385</v>
      </c>
      <c r="E4376" s="196" t="s">
        <v>21385</v>
      </c>
      <c r="F4376" s="196" t="s">
        <v>11233</v>
      </c>
      <c r="G4376" s="196" t="s">
        <v>12378</v>
      </c>
      <c r="H4376" s="196" t="s">
        <v>11235</v>
      </c>
    </row>
    <row r="4377" spans="1:8" x14ac:dyDescent="0.15">
      <c r="A4377" s="196" t="s">
        <v>11229</v>
      </c>
      <c r="B4377" s="196" t="s">
        <v>11230</v>
      </c>
      <c r="C4377" s="196" t="s">
        <v>21386</v>
      </c>
      <c r="D4377" s="196" t="s">
        <v>21387</v>
      </c>
      <c r="E4377" s="196" t="s">
        <v>21388</v>
      </c>
      <c r="F4377" s="196" t="s">
        <v>11241</v>
      </c>
      <c r="G4377" s="196" t="s">
        <v>12378</v>
      </c>
      <c r="H4377" s="196" t="s">
        <v>11235</v>
      </c>
    </row>
    <row r="4378" spans="1:8" x14ac:dyDescent="0.15">
      <c r="A4378" s="196" t="s">
        <v>11229</v>
      </c>
      <c r="B4378" s="196" t="s">
        <v>11230</v>
      </c>
      <c r="C4378" s="196" t="s">
        <v>21389</v>
      </c>
      <c r="D4378" s="196" t="s">
        <v>21390</v>
      </c>
      <c r="E4378" s="196" t="s">
        <v>21390</v>
      </c>
      <c r="F4378" s="196" t="s">
        <v>11233</v>
      </c>
      <c r="G4378" s="196" t="s">
        <v>12378</v>
      </c>
      <c r="H4378" s="196" t="s">
        <v>11235</v>
      </c>
    </row>
    <row r="4379" spans="1:8" x14ac:dyDescent="0.15">
      <c r="A4379" s="196" t="s">
        <v>11229</v>
      </c>
      <c r="B4379" s="196" t="s">
        <v>11230</v>
      </c>
      <c r="C4379" s="196" t="s">
        <v>21391</v>
      </c>
      <c r="D4379" s="196" t="s">
        <v>21392</v>
      </c>
      <c r="E4379" s="196" t="s">
        <v>21392</v>
      </c>
      <c r="F4379" s="196" t="s">
        <v>11233</v>
      </c>
      <c r="G4379" s="196" t="s">
        <v>12378</v>
      </c>
      <c r="H4379" s="196" t="s">
        <v>11235</v>
      </c>
    </row>
    <row r="4380" spans="1:8" x14ac:dyDescent="0.15">
      <c r="A4380" s="196" t="s">
        <v>11229</v>
      </c>
      <c r="B4380" s="196" t="s">
        <v>11230</v>
      </c>
      <c r="C4380" s="196" t="s">
        <v>21393</v>
      </c>
      <c r="D4380" s="196" t="s">
        <v>21394</v>
      </c>
      <c r="E4380" s="196" t="s">
        <v>21394</v>
      </c>
      <c r="F4380" s="196" t="s">
        <v>11233</v>
      </c>
      <c r="G4380" s="196" t="s">
        <v>12378</v>
      </c>
      <c r="H4380" s="196" t="s">
        <v>11235</v>
      </c>
    </row>
    <row r="4381" spans="1:8" x14ac:dyDescent="0.15">
      <c r="A4381" s="196" t="s">
        <v>11229</v>
      </c>
      <c r="B4381" s="196" t="s">
        <v>11230</v>
      </c>
      <c r="C4381" s="196" t="s">
        <v>21395</v>
      </c>
      <c r="D4381" s="196" t="s">
        <v>21396</v>
      </c>
      <c r="E4381" s="196" t="s">
        <v>21396</v>
      </c>
      <c r="F4381" s="196" t="s">
        <v>11233</v>
      </c>
      <c r="G4381" s="196" t="s">
        <v>12378</v>
      </c>
      <c r="H4381" s="196" t="s">
        <v>11235</v>
      </c>
    </row>
    <row r="4382" spans="1:8" x14ac:dyDescent="0.15">
      <c r="A4382" s="196" t="s">
        <v>11229</v>
      </c>
      <c r="B4382" s="196" t="s">
        <v>11230</v>
      </c>
      <c r="C4382" s="196" t="s">
        <v>21397</v>
      </c>
      <c r="D4382" s="196" t="s">
        <v>21398</v>
      </c>
      <c r="E4382" s="196" t="s">
        <v>21398</v>
      </c>
      <c r="F4382" s="196" t="s">
        <v>11233</v>
      </c>
      <c r="G4382" s="196" t="s">
        <v>12378</v>
      </c>
      <c r="H4382" s="196" t="s">
        <v>11235</v>
      </c>
    </row>
    <row r="4383" spans="1:8" x14ac:dyDescent="0.15">
      <c r="A4383" s="196" t="s">
        <v>11229</v>
      </c>
      <c r="B4383" s="196" t="s">
        <v>11230</v>
      </c>
      <c r="C4383" s="196" t="s">
        <v>21399</v>
      </c>
      <c r="D4383" s="196" t="s">
        <v>21400</v>
      </c>
      <c r="E4383" s="196" t="s">
        <v>21400</v>
      </c>
      <c r="F4383" s="196" t="s">
        <v>11233</v>
      </c>
      <c r="G4383" s="196" t="s">
        <v>12378</v>
      </c>
      <c r="H4383" s="196" t="s">
        <v>11235</v>
      </c>
    </row>
    <row r="4384" spans="1:8" x14ac:dyDescent="0.15">
      <c r="A4384" s="196" t="s">
        <v>11229</v>
      </c>
      <c r="B4384" s="196" t="s">
        <v>11230</v>
      </c>
      <c r="C4384" s="196" t="s">
        <v>21401</v>
      </c>
      <c r="D4384" s="196" t="s">
        <v>21402</v>
      </c>
      <c r="E4384" s="196" t="s">
        <v>21402</v>
      </c>
      <c r="F4384" s="196" t="s">
        <v>11233</v>
      </c>
      <c r="G4384" s="196" t="s">
        <v>12378</v>
      </c>
      <c r="H4384" s="196" t="s">
        <v>11235</v>
      </c>
    </row>
    <row r="4385" spans="1:8" x14ac:dyDescent="0.15">
      <c r="A4385" s="196" t="s">
        <v>11229</v>
      </c>
      <c r="B4385" s="196" t="s">
        <v>11230</v>
      </c>
      <c r="C4385" s="196" t="s">
        <v>21403</v>
      </c>
      <c r="D4385" s="196" t="s">
        <v>21404</v>
      </c>
      <c r="E4385" s="196" t="s">
        <v>21404</v>
      </c>
      <c r="F4385" s="196" t="s">
        <v>11233</v>
      </c>
      <c r="G4385" s="196" t="s">
        <v>12378</v>
      </c>
      <c r="H4385" s="196" t="s">
        <v>11235</v>
      </c>
    </row>
    <row r="4386" spans="1:8" x14ac:dyDescent="0.15">
      <c r="A4386" s="196" t="s">
        <v>11229</v>
      </c>
      <c r="B4386" s="196" t="s">
        <v>11230</v>
      </c>
      <c r="C4386" s="196" t="s">
        <v>21405</v>
      </c>
      <c r="D4386" s="196" t="s">
        <v>21406</v>
      </c>
      <c r="E4386" s="196" t="s">
        <v>21406</v>
      </c>
      <c r="F4386" s="196" t="s">
        <v>11233</v>
      </c>
      <c r="G4386" s="196" t="s">
        <v>12378</v>
      </c>
      <c r="H4386" s="196" t="s">
        <v>11235</v>
      </c>
    </row>
    <row r="4387" spans="1:8" x14ac:dyDescent="0.15">
      <c r="A4387" s="196" t="s">
        <v>11229</v>
      </c>
      <c r="B4387" s="196" t="s">
        <v>11230</v>
      </c>
      <c r="C4387" s="196" t="s">
        <v>21407</v>
      </c>
      <c r="D4387" s="196" t="s">
        <v>21408</v>
      </c>
      <c r="E4387" s="196" t="s">
        <v>21408</v>
      </c>
      <c r="F4387" s="196" t="s">
        <v>11233</v>
      </c>
      <c r="G4387" s="196" t="s">
        <v>12378</v>
      </c>
      <c r="H4387" s="196" t="s">
        <v>11235</v>
      </c>
    </row>
    <row r="4388" spans="1:8" x14ac:dyDescent="0.15">
      <c r="A4388" s="196" t="s">
        <v>11229</v>
      </c>
      <c r="B4388" s="196" t="s">
        <v>11230</v>
      </c>
      <c r="C4388" s="196" t="s">
        <v>21409</v>
      </c>
      <c r="D4388" s="196" t="s">
        <v>21410</v>
      </c>
      <c r="E4388" s="196" t="s">
        <v>21410</v>
      </c>
      <c r="F4388" s="196" t="s">
        <v>11233</v>
      </c>
      <c r="G4388" s="196" t="s">
        <v>12378</v>
      </c>
      <c r="H4388" s="196" t="s">
        <v>11235</v>
      </c>
    </row>
    <row r="4389" spans="1:8" x14ac:dyDescent="0.15">
      <c r="A4389" s="196" t="s">
        <v>11229</v>
      </c>
      <c r="B4389" s="196" t="s">
        <v>11230</v>
      </c>
      <c r="C4389" s="196" t="s">
        <v>21411</v>
      </c>
      <c r="D4389" s="196" t="s">
        <v>21412</v>
      </c>
      <c r="E4389" s="196" t="s">
        <v>21412</v>
      </c>
      <c r="F4389" s="196" t="s">
        <v>11233</v>
      </c>
      <c r="G4389" s="196" t="s">
        <v>12378</v>
      </c>
      <c r="H4389" s="196" t="s">
        <v>11235</v>
      </c>
    </row>
    <row r="4390" spans="1:8" x14ac:dyDescent="0.15">
      <c r="A4390" s="196" t="s">
        <v>11229</v>
      </c>
      <c r="B4390" s="196" t="s">
        <v>11230</v>
      </c>
      <c r="C4390" s="196" t="s">
        <v>21413</v>
      </c>
      <c r="D4390" s="196" t="s">
        <v>21414</v>
      </c>
      <c r="E4390" s="196" t="s">
        <v>21414</v>
      </c>
      <c r="F4390" s="196" t="s">
        <v>11233</v>
      </c>
      <c r="G4390" s="196" t="s">
        <v>12378</v>
      </c>
      <c r="H4390" s="196" t="s">
        <v>11235</v>
      </c>
    </row>
    <row r="4391" spans="1:8" x14ac:dyDescent="0.15">
      <c r="A4391" s="196" t="s">
        <v>11229</v>
      </c>
      <c r="B4391" s="196" t="s">
        <v>11230</v>
      </c>
      <c r="C4391" s="196" t="s">
        <v>21415</v>
      </c>
      <c r="D4391" s="196" t="s">
        <v>21416</v>
      </c>
      <c r="E4391" s="196" t="s">
        <v>21416</v>
      </c>
      <c r="F4391" s="196" t="s">
        <v>11233</v>
      </c>
      <c r="G4391" s="196" t="s">
        <v>12378</v>
      </c>
      <c r="H4391" s="196" t="s">
        <v>11235</v>
      </c>
    </row>
    <row r="4392" spans="1:8" x14ac:dyDescent="0.15">
      <c r="A4392" s="196" t="s">
        <v>11229</v>
      </c>
      <c r="B4392" s="196" t="s">
        <v>11230</v>
      </c>
      <c r="C4392" s="196" t="s">
        <v>21417</v>
      </c>
      <c r="D4392" s="196" t="s">
        <v>21418</v>
      </c>
      <c r="E4392" s="196" t="s">
        <v>21418</v>
      </c>
      <c r="F4392" s="196" t="s">
        <v>11233</v>
      </c>
      <c r="G4392" s="196" t="s">
        <v>12378</v>
      </c>
      <c r="H4392" s="196" t="s">
        <v>11235</v>
      </c>
    </row>
    <row r="4393" spans="1:8" x14ac:dyDescent="0.15">
      <c r="A4393" s="196" t="s">
        <v>11229</v>
      </c>
      <c r="B4393" s="196" t="s">
        <v>11230</v>
      </c>
      <c r="C4393" s="196" t="s">
        <v>21419</v>
      </c>
      <c r="D4393" s="196" t="s">
        <v>21420</v>
      </c>
      <c r="E4393" s="196" t="s">
        <v>21420</v>
      </c>
      <c r="F4393" s="196" t="s">
        <v>11233</v>
      </c>
      <c r="G4393" s="196" t="s">
        <v>12378</v>
      </c>
      <c r="H4393" s="196" t="s">
        <v>11235</v>
      </c>
    </row>
    <row r="4394" spans="1:8" x14ac:dyDescent="0.15">
      <c r="A4394" s="196" t="s">
        <v>11229</v>
      </c>
      <c r="B4394" s="196" t="s">
        <v>11230</v>
      </c>
      <c r="C4394" s="196" t="s">
        <v>21421</v>
      </c>
      <c r="D4394" s="196" t="s">
        <v>21422</v>
      </c>
      <c r="E4394" s="196" t="s">
        <v>21422</v>
      </c>
      <c r="F4394" s="196" t="s">
        <v>11233</v>
      </c>
      <c r="G4394" s="196" t="s">
        <v>12378</v>
      </c>
      <c r="H4394" s="196" t="s">
        <v>11235</v>
      </c>
    </row>
    <row r="4395" spans="1:8" x14ac:dyDescent="0.15">
      <c r="A4395" s="196" t="s">
        <v>11229</v>
      </c>
      <c r="B4395" s="196" t="s">
        <v>11230</v>
      </c>
      <c r="C4395" s="196" t="s">
        <v>21423</v>
      </c>
      <c r="D4395" s="196" t="s">
        <v>21424</v>
      </c>
      <c r="E4395" s="196" t="s">
        <v>21424</v>
      </c>
      <c r="F4395" s="196" t="s">
        <v>11233</v>
      </c>
      <c r="G4395" s="196" t="s">
        <v>12378</v>
      </c>
      <c r="H4395" s="196" t="s">
        <v>11235</v>
      </c>
    </row>
    <row r="4396" spans="1:8" x14ac:dyDescent="0.15">
      <c r="A4396" s="196" t="s">
        <v>11229</v>
      </c>
      <c r="B4396" s="196" t="s">
        <v>11230</v>
      </c>
      <c r="C4396" s="196" t="s">
        <v>21425</v>
      </c>
      <c r="D4396" s="196" t="s">
        <v>21426</v>
      </c>
      <c r="E4396" s="196" t="s">
        <v>21426</v>
      </c>
      <c r="F4396" s="196" t="s">
        <v>11233</v>
      </c>
      <c r="G4396" s="196" t="s">
        <v>12378</v>
      </c>
      <c r="H4396" s="196" t="s">
        <v>11235</v>
      </c>
    </row>
    <row r="4397" spans="1:8" x14ac:dyDescent="0.15">
      <c r="A4397" s="196" t="s">
        <v>11229</v>
      </c>
      <c r="B4397" s="196" t="s">
        <v>11230</v>
      </c>
      <c r="C4397" s="196" t="s">
        <v>21427</v>
      </c>
      <c r="D4397" s="196" t="s">
        <v>21428</v>
      </c>
      <c r="E4397" s="196" t="s">
        <v>21428</v>
      </c>
      <c r="F4397" s="196" t="s">
        <v>11233</v>
      </c>
      <c r="G4397" s="196" t="s">
        <v>12378</v>
      </c>
      <c r="H4397" s="196" t="s">
        <v>11235</v>
      </c>
    </row>
    <row r="4398" spans="1:8" x14ac:dyDescent="0.15">
      <c r="A4398" s="196" t="s">
        <v>11229</v>
      </c>
      <c r="B4398" s="196" t="s">
        <v>11230</v>
      </c>
      <c r="C4398" s="196" t="s">
        <v>21429</v>
      </c>
      <c r="D4398" s="196" t="s">
        <v>21430</v>
      </c>
      <c r="E4398" s="196" t="s">
        <v>21430</v>
      </c>
      <c r="F4398" s="196" t="s">
        <v>11233</v>
      </c>
      <c r="G4398" s="196" t="s">
        <v>12378</v>
      </c>
      <c r="H4398" s="196" t="s">
        <v>11235</v>
      </c>
    </row>
    <row r="4399" spans="1:8" x14ac:dyDescent="0.15">
      <c r="A4399" s="196" t="s">
        <v>11229</v>
      </c>
      <c r="B4399" s="196" t="s">
        <v>11230</v>
      </c>
      <c r="C4399" s="196" t="s">
        <v>21431</v>
      </c>
      <c r="D4399" s="196" t="s">
        <v>21432</v>
      </c>
      <c r="E4399" s="196" t="s">
        <v>21432</v>
      </c>
      <c r="F4399" s="196" t="s">
        <v>11233</v>
      </c>
      <c r="G4399" s="196" t="s">
        <v>12378</v>
      </c>
      <c r="H4399" s="196" t="s">
        <v>11235</v>
      </c>
    </row>
    <row r="4400" spans="1:8" x14ac:dyDescent="0.15">
      <c r="A4400" s="196" t="s">
        <v>11229</v>
      </c>
      <c r="B4400" s="196" t="s">
        <v>11230</v>
      </c>
      <c r="C4400" s="196" t="s">
        <v>21433</v>
      </c>
      <c r="D4400" s="196" t="s">
        <v>21434</v>
      </c>
      <c r="E4400" s="196" t="s">
        <v>21434</v>
      </c>
      <c r="F4400" s="196" t="s">
        <v>11233</v>
      </c>
      <c r="G4400" s="196" t="s">
        <v>12378</v>
      </c>
      <c r="H4400" s="196" t="s">
        <v>11235</v>
      </c>
    </row>
    <row r="4401" spans="1:8" x14ac:dyDescent="0.15">
      <c r="A4401" s="196" t="s">
        <v>11229</v>
      </c>
      <c r="B4401" s="196" t="s">
        <v>11230</v>
      </c>
      <c r="C4401" s="196" t="s">
        <v>21435</v>
      </c>
      <c r="D4401" s="196" t="s">
        <v>21436</v>
      </c>
      <c r="E4401" s="196" t="s">
        <v>21436</v>
      </c>
      <c r="F4401" s="196" t="s">
        <v>11233</v>
      </c>
      <c r="G4401" s="196" t="s">
        <v>12378</v>
      </c>
      <c r="H4401" s="196" t="s">
        <v>11235</v>
      </c>
    </row>
    <row r="4402" spans="1:8" x14ac:dyDescent="0.15">
      <c r="A4402" s="196" t="s">
        <v>11229</v>
      </c>
      <c r="B4402" s="196" t="s">
        <v>11230</v>
      </c>
      <c r="C4402" s="196" t="s">
        <v>21437</v>
      </c>
      <c r="D4402" s="196" t="s">
        <v>21438</v>
      </c>
      <c r="E4402" s="196" t="s">
        <v>21438</v>
      </c>
      <c r="F4402" s="196" t="s">
        <v>11233</v>
      </c>
      <c r="G4402" s="196" t="s">
        <v>12378</v>
      </c>
      <c r="H4402" s="196" t="s">
        <v>11235</v>
      </c>
    </row>
    <row r="4403" spans="1:8" x14ac:dyDescent="0.15">
      <c r="A4403" s="196" t="s">
        <v>11229</v>
      </c>
      <c r="B4403" s="196" t="s">
        <v>11230</v>
      </c>
      <c r="C4403" s="196" t="s">
        <v>21439</v>
      </c>
      <c r="D4403" s="196" t="s">
        <v>21440</v>
      </c>
      <c r="E4403" s="196" t="s">
        <v>21440</v>
      </c>
      <c r="F4403" s="196" t="s">
        <v>11233</v>
      </c>
      <c r="G4403" s="196" t="s">
        <v>12378</v>
      </c>
      <c r="H4403" s="196" t="s">
        <v>11235</v>
      </c>
    </row>
    <row r="4404" spans="1:8" x14ac:dyDescent="0.15">
      <c r="A4404" s="196" t="s">
        <v>11229</v>
      </c>
      <c r="B4404" s="196" t="s">
        <v>11230</v>
      </c>
      <c r="C4404" s="196" t="s">
        <v>21441</v>
      </c>
      <c r="D4404" s="196" t="s">
        <v>21442</v>
      </c>
      <c r="E4404" s="196" t="s">
        <v>21443</v>
      </c>
      <c r="F4404" s="196" t="s">
        <v>11939</v>
      </c>
      <c r="G4404" s="196" t="s">
        <v>12378</v>
      </c>
      <c r="H4404" s="196" t="s">
        <v>11235</v>
      </c>
    </row>
    <row r="4405" spans="1:8" x14ac:dyDescent="0.15">
      <c r="A4405" s="196" t="s">
        <v>11229</v>
      </c>
      <c r="B4405" s="196" t="s">
        <v>11230</v>
      </c>
      <c r="C4405" s="196" t="s">
        <v>21444</v>
      </c>
      <c r="D4405" s="196" t="s">
        <v>21443</v>
      </c>
      <c r="E4405" s="196" t="s">
        <v>21445</v>
      </c>
      <c r="F4405" s="196" t="s">
        <v>11241</v>
      </c>
      <c r="G4405" s="196" t="s">
        <v>12378</v>
      </c>
      <c r="H4405" s="196" t="s">
        <v>11235</v>
      </c>
    </row>
    <row r="4406" spans="1:8" x14ac:dyDescent="0.15">
      <c r="A4406" s="196" t="s">
        <v>11229</v>
      </c>
      <c r="B4406" s="196" t="s">
        <v>11230</v>
      </c>
      <c r="C4406" s="196" t="s">
        <v>21446</v>
      </c>
      <c r="D4406" s="196" t="s">
        <v>21445</v>
      </c>
      <c r="E4406" s="196" t="s">
        <v>21447</v>
      </c>
      <c r="F4406" s="196" t="s">
        <v>11268</v>
      </c>
      <c r="G4406" s="196" t="s">
        <v>12378</v>
      </c>
      <c r="H4406" s="196" t="s">
        <v>11235</v>
      </c>
    </row>
    <row r="4407" spans="1:8" x14ac:dyDescent="0.15">
      <c r="A4407" s="196" t="s">
        <v>11229</v>
      </c>
      <c r="B4407" s="196" t="s">
        <v>11230</v>
      </c>
      <c r="C4407" s="196" t="s">
        <v>21448</v>
      </c>
      <c r="D4407" s="196" t="s">
        <v>21447</v>
      </c>
      <c r="E4407" s="196" t="s">
        <v>21447</v>
      </c>
      <c r="F4407" s="196" t="s">
        <v>11233</v>
      </c>
      <c r="G4407" s="196" t="s">
        <v>12378</v>
      </c>
      <c r="H4407" s="196" t="s">
        <v>11235</v>
      </c>
    </row>
    <row r="4408" spans="1:8" x14ac:dyDescent="0.15">
      <c r="A4408" s="196" t="s">
        <v>11229</v>
      </c>
      <c r="B4408" s="196" t="s">
        <v>11230</v>
      </c>
      <c r="C4408" s="196" t="s">
        <v>21449</v>
      </c>
      <c r="D4408" s="196" t="s">
        <v>21450</v>
      </c>
      <c r="E4408" s="196" t="s">
        <v>21450</v>
      </c>
      <c r="F4408" s="196" t="s">
        <v>11233</v>
      </c>
      <c r="G4408" s="196" t="s">
        <v>12378</v>
      </c>
      <c r="H4408" s="196" t="s">
        <v>11235</v>
      </c>
    </row>
    <row r="4409" spans="1:8" x14ac:dyDescent="0.15">
      <c r="A4409" s="196" t="s">
        <v>11229</v>
      </c>
      <c r="B4409" s="196" t="s">
        <v>11230</v>
      </c>
      <c r="C4409" s="196" t="s">
        <v>21451</v>
      </c>
      <c r="D4409" s="196" t="s">
        <v>21452</v>
      </c>
      <c r="E4409" s="196" t="s">
        <v>21452</v>
      </c>
      <c r="F4409" s="196" t="s">
        <v>11233</v>
      </c>
      <c r="G4409" s="196" t="s">
        <v>12378</v>
      </c>
      <c r="H4409" s="196" t="s">
        <v>11235</v>
      </c>
    </row>
    <row r="4410" spans="1:8" x14ac:dyDescent="0.15">
      <c r="A4410" s="196" t="s">
        <v>11229</v>
      </c>
      <c r="B4410" s="196" t="s">
        <v>11230</v>
      </c>
      <c r="C4410" s="196" t="s">
        <v>21453</v>
      </c>
      <c r="D4410" s="196" t="s">
        <v>21454</v>
      </c>
      <c r="E4410" s="196" t="s">
        <v>21454</v>
      </c>
      <c r="F4410" s="196" t="s">
        <v>11233</v>
      </c>
      <c r="G4410" s="196" t="s">
        <v>12378</v>
      </c>
      <c r="H4410" s="196" t="s">
        <v>11235</v>
      </c>
    </row>
    <row r="4411" spans="1:8" x14ac:dyDescent="0.15">
      <c r="A4411" s="196" t="s">
        <v>11229</v>
      </c>
      <c r="B4411" s="196" t="s">
        <v>11230</v>
      </c>
      <c r="C4411" s="196" t="s">
        <v>21455</v>
      </c>
      <c r="D4411" s="196" t="s">
        <v>21456</v>
      </c>
      <c r="E4411" s="196" t="s">
        <v>21456</v>
      </c>
      <c r="F4411" s="196" t="s">
        <v>11233</v>
      </c>
      <c r="G4411" s="196" t="s">
        <v>12378</v>
      </c>
      <c r="H4411" s="196" t="s">
        <v>11235</v>
      </c>
    </row>
    <row r="4412" spans="1:8" x14ac:dyDescent="0.15">
      <c r="A4412" s="196" t="s">
        <v>11229</v>
      </c>
      <c r="B4412" s="196" t="s">
        <v>11230</v>
      </c>
      <c r="C4412" s="196" t="s">
        <v>21457</v>
      </c>
      <c r="D4412" s="196" t="s">
        <v>21458</v>
      </c>
      <c r="E4412" s="196" t="s">
        <v>21458</v>
      </c>
      <c r="F4412" s="196" t="s">
        <v>11233</v>
      </c>
      <c r="G4412" s="196" t="s">
        <v>12378</v>
      </c>
      <c r="H4412" s="196" t="s">
        <v>11235</v>
      </c>
    </row>
    <row r="4413" spans="1:8" x14ac:dyDescent="0.15">
      <c r="A4413" s="196" t="s">
        <v>11229</v>
      </c>
      <c r="B4413" s="196" t="s">
        <v>11230</v>
      </c>
      <c r="C4413" s="196" t="s">
        <v>21459</v>
      </c>
      <c r="D4413" s="196" t="s">
        <v>21460</v>
      </c>
      <c r="E4413" s="196" t="s">
        <v>21460</v>
      </c>
      <c r="F4413" s="196" t="s">
        <v>11233</v>
      </c>
      <c r="G4413" s="196" t="s">
        <v>12378</v>
      </c>
      <c r="H4413" s="196" t="s">
        <v>11235</v>
      </c>
    </row>
    <row r="4414" spans="1:8" x14ac:dyDescent="0.15">
      <c r="A4414" s="196" t="s">
        <v>11229</v>
      </c>
      <c r="B4414" s="196" t="s">
        <v>11230</v>
      </c>
      <c r="C4414" s="196" t="s">
        <v>21461</v>
      </c>
      <c r="D4414" s="196" t="s">
        <v>21462</v>
      </c>
      <c r="E4414" s="196" t="s">
        <v>21462</v>
      </c>
      <c r="F4414" s="196" t="s">
        <v>11233</v>
      </c>
      <c r="G4414" s="196" t="s">
        <v>12378</v>
      </c>
      <c r="H4414" s="196" t="s">
        <v>11235</v>
      </c>
    </row>
    <row r="4415" spans="1:8" x14ac:dyDescent="0.15">
      <c r="A4415" s="196" t="s">
        <v>11229</v>
      </c>
      <c r="B4415" s="196" t="s">
        <v>11230</v>
      </c>
      <c r="C4415" s="196" t="s">
        <v>21463</v>
      </c>
      <c r="D4415" s="196" t="s">
        <v>21464</v>
      </c>
      <c r="E4415" s="196" t="s">
        <v>21465</v>
      </c>
      <c r="F4415" s="196" t="s">
        <v>11241</v>
      </c>
      <c r="G4415" s="196" t="s">
        <v>12378</v>
      </c>
      <c r="H4415" s="196" t="s">
        <v>11235</v>
      </c>
    </row>
    <row r="4416" spans="1:8" x14ac:dyDescent="0.15">
      <c r="A4416" s="196" t="s">
        <v>11229</v>
      </c>
      <c r="B4416" s="196" t="s">
        <v>11230</v>
      </c>
      <c r="C4416" s="196" t="s">
        <v>21466</v>
      </c>
      <c r="D4416" s="196" t="s">
        <v>21465</v>
      </c>
      <c r="E4416" s="196" t="s">
        <v>21467</v>
      </c>
      <c r="F4416" s="196" t="s">
        <v>11268</v>
      </c>
      <c r="G4416" s="196" t="s">
        <v>12378</v>
      </c>
      <c r="H4416" s="196" t="s">
        <v>11235</v>
      </c>
    </row>
    <row r="4417" spans="1:8" x14ac:dyDescent="0.15">
      <c r="A4417" s="196" t="s">
        <v>11229</v>
      </c>
      <c r="B4417" s="196" t="s">
        <v>11230</v>
      </c>
      <c r="C4417" s="196" t="s">
        <v>21468</v>
      </c>
      <c r="D4417" s="196" t="s">
        <v>21469</v>
      </c>
      <c r="E4417" s="196" t="s">
        <v>21469</v>
      </c>
      <c r="F4417" s="196" t="s">
        <v>11233</v>
      </c>
      <c r="G4417" s="196" t="s">
        <v>12378</v>
      </c>
      <c r="H4417" s="196" t="s">
        <v>11235</v>
      </c>
    </row>
    <row r="4418" spans="1:8" x14ac:dyDescent="0.15">
      <c r="A4418" s="196" t="s">
        <v>11229</v>
      </c>
      <c r="B4418" s="196" t="s">
        <v>11230</v>
      </c>
      <c r="C4418" s="196" t="s">
        <v>21470</v>
      </c>
      <c r="D4418" s="196" t="s">
        <v>21471</v>
      </c>
      <c r="E4418" s="196" t="s">
        <v>21472</v>
      </c>
      <c r="F4418" s="196" t="s">
        <v>11939</v>
      </c>
      <c r="G4418" s="196" t="s">
        <v>12378</v>
      </c>
      <c r="H4418" s="196" t="s">
        <v>11235</v>
      </c>
    </row>
    <row r="4419" spans="1:8" x14ac:dyDescent="0.15">
      <c r="A4419" s="196" t="s">
        <v>11229</v>
      </c>
      <c r="B4419" s="196" t="s">
        <v>11230</v>
      </c>
      <c r="C4419" s="196" t="s">
        <v>21473</v>
      </c>
      <c r="D4419" s="196" t="s">
        <v>21472</v>
      </c>
      <c r="E4419" s="196" t="s">
        <v>21474</v>
      </c>
      <c r="F4419" s="196" t="s">
        <v>11241</v>
      </c>
      <c r="G4419" s="196" t="s">
        <v>12378</v>
      </c>
      <c r="H4419" s="196" t="s">
        <v>11235</v>
      </c>
    </row>
    <row r="4420" spans="1:8" x14ac:dyDescent="0.15">
      <c r="A4420" s="196" t="s">
        <v>11229</v>
      </c>
      <c r="B4420" s="196" t="s">
        <v>11230</v>
      </c>
      <c r="C4420" s="196" t="s">
        <v>21475</v>
      </c>
      <c r="D4420" s="196" t="s">
        <v>21474</v>
      </c>
      <c r="E4420" s="196" t="s">
        <v>21476</v>
      </c>
      <c r="F4420" s="196" t="s">
        <v>11268</v>
      </c>
      <c r="G4420" s="196" t="s">
        <v>12378</v>
      </c>
      <c r="H4420" s="196" t="s">
        <v>11235</v>
      </c>
    </row>
    <row r="4421" spans="1:8" x14ac:dyDescent="0.15">
      <c r="A4421" s="196" t="s">
        <v>11229</v>
      </c>
      <c r="B4421" s="196" t="s">
        <v>11230</v>
      </c>
      <c r="C4421" s="196" t="s">
        <v>21477</v>
      </c>
      <c r="D4421" s="196" t="s">
        <v>21476</v>
      </c>
      <c r="E4421" s="196" t="s">
        <v>21478</v>
      </c>
      <c r="F4421" s="196" t="s">
        <v>11241</v>
      </c>
      <c r="G4421" s="196" t="s">
        <v>12378</v>
      </c>
      <c r="H4421" s="196" t="s">
        <v>11235</v>
      </c>
    </row>
    <row r="4422" spans="1:8" x14ac:dyDescent="0.15">
      <c r="A4422" s="196" t="s">
        <v>11229</v>
      </c>
      <c r="B4422" s="196" t="s">
        <v>11230</v>
      </c>
      <c r="C4422" s="196" t="s">
        <v>21479</v>
      </c>
      <c r="D4422" s="196" t="s">
        <v>21478</v>
      </c>
      <c r="E4422" s="196" t="s">
        <v>21478</v>
      </c>
      <c r="F4422" s="196" t="s">
        <v>11233</v>
      </c>
      <c r="G4422" s="196" t="s">
        <v>12378</v>
      </c>
      <c r="H4422" s="196" t="s">
        <v>11235</v>
      </c>
    </row>
    <row r="4423" spans="1:8" x14ac:dyDescent="0.15">
      <c r="A4423" s="196" t="s">
        <v>11229</v>
      </c>
      <c r="B4423" s="196" t="s">
        <v>11230</v>
      </c>
      <c r="C4423" s="196" t="s">
        <v>21480</v>
      </c>
      <c r="D4423" s="196" t="s">
        <v>21481</v>
      </c>
      <c r="E4423" s="196" t="s">
        <v>21481</v>
      </c>
      <c r="F4423" s="196" t="s">
        <v>11233</v>
      </c>
      <c r="G4423" s="196" t="s">
        <v>12378</v>
      </c>
      <c r="H4423" s="196" t="s">
        <v>11235</v>
      </c>
    </row>
    <row r="4424" spans="1:8" x14ac:dyDescent="0.15">
      <c r="A4424" s="196" t="s">
        <v>11229</v>
      </c>
      <c r="B4424" s="196" t="s">
        <v>11230</v>
      </c>
      <c r="C4424" s="196" t="s">
        <v>21482</v>
      </c>
      <c r="D4424" s="196" t="s">
        <v>21483</v>
      </c>
      <c r="E4424" s="196" t="s">
        <v>21483</v>
      </c>
      <c r="F4424" s="196" t="s">
        <v>11233</v>
      </c>
      <c r="G4424" s="196" t="s">
        <v>12378</v>
      </c>
      <c r="H4424" s="196" t="s">
        <v>11235</v>
      </c>
    </row>
    <row r="4425" spans="1:8" x14ac:dyDescent="0.15">
      <c r="A4425" s="196" t="s">
        <v>11229</v>
      </c>
      <c r="B4425" s="196" t="s">
        <v>11230</v>
      </c>
      <c r="C4425" s="196" t="s">
        <v>21484</v>
      </c>
      <c r="D4425" s="196" t="s">
        <v>21485</v>
      </c>
      <c r="E4425" s="196" t="s">
        <v>21485</v>
      </c>
      <c r="F4425" s="196" t="s">
        <v>11233</v>
      </c>
      <c r="G4425" s="196" t="s">
        <v>12378</v>
      </c>
      <c r="H4425" s="196" t="s">
        <v>11235</v>
      </c>
    </row>
    <row r="4426" spans="1:8" x14ac:dyDescent="0.15">
      <c r="A4426" s="196" t="s">
        <v>11229</v>
      </c>
      <c r="B4426" s="196" t="s">
        <v>11230</v>
      </c>
      <c r="C4426" s="196" t="s">
        <v>21486</v>
      </c>
      <c r="D4426" s="196" t="s">
        <v>21487</v>
      </c>
      <c r="E4426" s="196" t="s">
        <v>21487</v>
      </c>
      <c r="F4426" s="196" t="s">
        <v>11233</v>
      </c>
      <c r="G4426" s="196" t="s">
        <v>12378</v>
      </c>
      <c r="H4426" s="196" t="s">
        <v>11235</v>
      </c>
    </row>
    <row r="4427" spans="1:8" x14ac:dyDescent="0.15">
      <c r="A4427" s="196" t="s">
        <v>11229</v>
      </c>
      <c r="B4427" s="196" t="s">
        <v>11230</v>
      </c>
      <c r="C4427" s="196" t="s">
        <v>21488</v>
      </c>
      <c r="D4427" s="196" t="s">
        <v>21489</v>
      </c>
      <c r="E4427" s="196" t="s">
        <v>21489</v>
      </c>
      <c r="F4427" s="196" t="s">
        <v>11233</v>
      </c>
      <c r="G4427" s="196" t="s">
        <v>12378</v>
      </c>
      <c r="H4427" s="196" t="s">
        <v>11235</v>
      </c>
    </row>
    <row r="4428" spans="1:8" x14ac:dyDescent="0.15">
      <c r="A4428" s="196" t="s">
        <v>11229</v>
      </c>
      <c r="B4428" s="196" t="s">
        <v>11230</v>
      </c>
      <c r="C4428" s="196" t="s">
        <v>21490</v>
      </c>
      <c r="D4428" s="196" t="s">
        <v>21491</v>
      </c>
      <c r="E4428" s="196" t="s">
        <v>21491</v>
      </c>
      <c r="F4428" s="196" t="s">
        <v>11233</v>
      </c>
      <c r="G4428" s="196" t="s">
        <v>12378</v>
      </c>
      <c r="H4428" s="196" t="s">
        <v>11235</v>
      </c>
    </row>
    <row r="4429" spans="1:8" x14ac:dyDescent="0.15">
      <c r="A4429" s="196" t="s">
        <v>11229</v>
      </c>
      <c r="B4429" s="196" t="s">
        <v>11230</v>
      </c>
      <c r="C4429" s="196" t="s">
        <v>21492</v>
      </c>
      <c r="D4429" s="196" t="s">
        <v>21493</v>
      </c>
      <c r="E4429" s="196" t="s">
        <v>21493</v>
      </c>
      <c r="F4429" s="196" t="s">
        <v>11233</v>
      </c>
      <c r="G4429" s="196" t="s">
        <v>12378</v>
      </c>
      <c r="H4429" s="196" t="s">
        <v>11235</v>
      </c>
    </row>
    <row r="4430" spans="1:8" x14ac:dyDescent="0.15">
      <c r="A4430" s="196" t="s">
        <v>11229</v>
      </c>
      <c r="B4430" s="196" t="s">
        <v>11230</v>
      </c>
      <c r="C4430" s="196" t="s">
        <v>21494</v>
      </c>
      <c r="D4430" s="196" t="s">
        <v>21495</v>
      </c>
      <c r="E4430" s="196" t="s">
        <v>21495</v>
      </c>
      <c r="F4430" s="196" t="s">
        <v>11233</v>
      </c>
      <c r="G4430" s="196" t="s">
        <v>12378</v>
      </c>
      <c r="H4430" s="196" t="s">
        <v>11235</v>
      </c>
    </row>
    <row r="4431" spans="1:8" x14ac:dyDescent="0.15">
      <c r="A4431" s="196" t="s">
        <v>11229</v>
      </c>
      <c r="B4431" s="196" t="s">
        <v>11230</v>
      </c>
      <c r="C4431" s="196" t="s">
        <v>21496</v>
      </c>
      <c r="D4431" s="196" t="s">
        <v>21497</v>
      </c>
      <c r="E4431" s="196" t="s">
        <v>21497</v>
      </c>
      <c r="F4431" s="196" t="s">
        <v>11233</v>
      </c>
      <c r="G4431" s="196" t="s">
        <v>12378</v>
      </c>
      <c r="H4431" s="196" t="s">
        <v>11235</v>
      </c>
    </row>
    <row r="4432" spans="1:8" x14ac:dyDescent="0.15">
      <c r="A4432" s="196" t="s">
        <v>11229</v>
      </c>
      <c r="B4432" s="196" t="s">
        <v>11230</v>
      </c>
      <c r="C4432" s="196" t="s">
        <v>21498</v>
      </c>
      <c r="D4432" s="196" t="s">
        <v>21499</v>
      </c>
      <c r="E4432" s="196" t="s">
        <v>21499</v>
      </c>
      <c r="F4432" s="196" t="s">
        <v>11233</v>
      </c>
      <c r="G4432" s="196" t="s">
        <v>12378</v>
      </c>
      <c r="H4432" s="196" t="s">
        <v>11235</v>
      </c>
    </row>
    <row r="4433" spans="1:8" x14ac:dyDescent="0.15">
      <c r="A4433" s="196" t="s">
        <v>11229</v>
      </c>
      <c r="B4433" s="196" t="s">
        <v>11230</v>
      </c>
      <c r="C4433" s="196" t="s">
        <v>21500</v>
      </c>
      <c r="D4433" s="196" t="s">
        <v>21501</v>
      </c>
      <c r="E4433" s="196" t="s">
        <v>21501</v>
      </c>
      <c r="F4433" s="196" t="s">
        <v>11233</v>
      </c>
      <c r="G4433" s="196" t="s">
        <v>12378</v>
      </c>
      <c r="H4433" s="196" t="s">
        <v>11235</v>
      </c>
    </row>
    <row r="4434" spans="1:8" x14ac:dyDescent="0.15">
      <c r="A4434" s="196" t="s">
        <v>11229</v>
      </c>
      <c r="B4434" s="196" t="s">
        <v>11230</v>
      </c>
      <c r="C4434" s="196" t="s">
        <v>21502</v>
      </c>
      <c r="D4434" s="196" t="s">
        <v>21503</v>
      </c>
      <c r="E4434" s="196" t="s">
        <v>21503</v>
      </c>
      <c r="F4434" s="196" t="s">
        <v>11233</v>
      </c>
      <c r="G4434" s="196" t="s">
        <v>12378</v>
      </c>
      <c r="H4434" s="196" t="s">
        <v>11235</v>
      </c>
    </row>
    <row r="4435" spans="1:8" x14ac:dyDescent="0.15">
      <c r="A4435" s="196" t="s">
        <v>11229</v>
      </c>
      <c r="B4435" s="196" t="s">
        <v>11230</v>
      </c>
      <c r="C4435" s="196" t="s">
        <v>21504</v>
      </c>
      <c r="D4435" s="196" t="s">
        <v>21505</v>
      </c>
      <c r="E4435" s="196" t="s">
        <v>21505</v>
      </c>
      <c r="F4435" s="196" t="s">
        <v>11233</v>
      </c>
      <c r="G4435" s="196" t="s">
        <v>12378</v>
      </c>
      <c r="H4435" s="196" t="s">
        <v>11235</v>
      </c>
    </row>
    <row r="4436" spans="1:8" x14ac:dyDescent="0.15">
      <c r="A4436" s="196" t="s">
        <v>11229</v>
      </c>
      <c r="B4436" s="196" t="s">
        <v>11230</v>
      </c>
      <c r="C4436" s="196" t="s">
        <v>21506</v>
      </c>
      <c r="D4436" s="196" t="s">
        <v>21507</v>
      </c>
      <c r="E4436" s="196" t="s">
        <v>21507</v>
      </c>
      <c r="F4436" s="196" t="s">
        <v>11233</v>
      </c>
      <c r="G4436" s="196" t="s">
        <v>12378</v>
      </c>
      <c r="H4436" s="196" t="s">
        <v>11235</v>
      </c>
    </row>
    <row r="4437" spans="1:8" x14ac:dyDescent="0.15">
      <c r="A4437" s="196" t="s">
        <v>11229</v>
      </c>
      <c r="B4437" s="196" t="s">
        <v>11230</v>
      </c>
      <c r="C4437" s="196" t="s">
        <v>21508</v>
      </c>
      <c r="D4437" s="196" t="s">
        <v>21509</v>
      </c>
      <c r="E4437" s="196" t="s">
        <v>21509</v>
      </c>
      <c r="F4437" s="196" t="s">
        <v>11233</v>
      </c>
      <c r="G4437" s="196" t="s">
        <v>12378</v>
      </c>
      <c r="H4437" s="196" t="s">
        <v>11235</v>
      </c>
    </row>
    <row r="4438" spans="1:8" x14ac:dyDescent="0.15">
      <c r="A4438" s="196" t="s">
        <v>11229</v>
      </c>
      <c r="B4438" s="196" t="s">
        <v>11230</v>
      </c>
      <c r="C4438" s="196" t="s">
        <v>21510</v>
      </c>
      <c r="D4438" s="196" t="s">
        <v>21511</v>
      </c>
      <c r="E4438" s="196" t="s">
        <v>21511</v>
      </c>
      <c r="F4438" s="196" t="s">
        <v>11233</v>
      </c>
      <c r="G4438" s="196" t="s">
        <v>12378</v>
      </c>
      <c r="H4438" s="196" t="s">
        <v>11235</v>
      </c>
    </row>
    <row r="4439" spans="1:8" x14ac:dyDescent="0.15">
      <c r="A4439" s="196" t="s">
        <v>11229</v>
      </c>
      <c r="B4439" s="196" t="s">
        <v>11230</v>
      </c>
      <c r="C4439" s="196" t="s">
        <v>21512</v>
      </c>
      <c r="D4439" s="196" t="s">
        <v>21513</v>
      </c>
      <c r="E4439" s="196" t="s">
        <v>21513</v>
      </c>
      <c r="F4439" s="196" t="s">
        <v>11233</v>
      </c>
      <c r="G4439" s="196" t="s">
        <v>12378</v>
      </c>
      <c r="H4439" s="196" t="s">
        <v>11235</v>
      </c>
    </row>
    <row r="4440" spans="1:8" x14ac:dyDescent="0.15">
      <c r="A4440" s="196" t="s">
        <v>11229</v>
      </c>
      <c r="B4440" s="196" t="s">
        <v>11230</v>
      </c>
      <c r="C4440" s="196" t="s">
        <v>21514</v>
      </c>
      <c r="D4440" s="196" t="s">
        <v>21515</v>
      </c>
      <c r="E4440" s="196" t="s">
        <v>21515</v>
      </c>
      <c r="F4440" s="196" t="s">
        <v>11233</v>
      </c>
      <c r="G4440" s="196" t="s">
        <v>12378</v>
      </c>
      <c r="H4440" s="196" t="s">
        <v>11235</v>
      </c>
    </row>
    <row r="4441" spans="1:8" x14ac:dyDescent="0.15">
      <c r="A4441" s="196" t="s">
        <v>11229</v>
      </c>
      <c r="B4441" s="196" t="s">
        <v>11230</v>
      </c>
      <c r="C4441" s="196" t="s">
        <v>21516</v>
      </c>
      <c r="D4441" s="196" t="s">
        <v>21517</v>
      </c>
      <c r="E4441" s="196" t="s">
        <v>21517</v>
      </c>
      <c r="F4441" s="196" t="s">
        <v>11233</v>
      </c>
      <c r="G4441" s="196" t="s">
        <v>12378</v>
      </c>
      <c r="H4441" s="196" t="s">
        <v>11235</v>
      </c>
    </row>
    <row r="4442" spans="1:8" x14ac:dyDescent="0.15">
      <c r="A4442" s="196" t="s">
        <v>11229</v>
      </c>
      <c r="B4442" s="196" t="s">
        <v>11230</v>
      </c>
      <c r="C4442" s="196" t="s">
        <v>21518</v>
      </c>
      <c r="D4442" s="196" t="s">
        <v>21519</v>
      </c>
      <c r="E4442" s="196" t="s">
        <v>21519</v>
      </c>
      <c r="F4442" s="196" t="s">
        <v>11233</v>
      </c>
      <c r="G4442" s="196" t="s">
        <v>12378</v>
      </c>
      <c r="H4442" s="196" t="s">
        <v>11235</v>
      </c>
    </row>
    <row r="4443" spans="1:8" x14ac:dyDescent="0.15">
      <c r="A4443" s="196" t="s">
        <v>11229</v>
      </c>
      <c r="B4443" s="196" t="s">
        <v>11230</v>
      </c>
      <c r="C4443" s="196" t="s">
        <v>21520</v>
      </c>
      <c r="D4443" s="196" t="s">
        <v>21521</v>
      </c>
      <c r="E4443" s="196" t="s">
        <v>21521</v>
      </c>
      <c r="F4443" s="196" t="s">
        <v>11233</v>
      </c>
      <c r="G4443" s="196" t="s">
        <v>12378</v>
      </c>
      <c r="H4443" s="196" t="s">
        <v>11235</v>
      </c>
    </row>
    <row r="4444" spans="1:8" x14ac:dyDescent="0.15">
      <c r="A4444" s="196" t="s">
        <v>11229</v>
      </c>
      <c r="B4444" s="196" t="s">
        <v>11230</v>
      </c>
      <c r="C4444" s="196" t="s">
        <v>21522</v>
      </c>
      <c r="D4444" s="196" t="s">
        <v>21523</v>
      </c>
      <c r="E4444" s="196" t="s">
        <v>21523</v>
      </c>
      <c r="F4444" s="196" t="s">
        <v>11233</v>
      </c>
      <c r="G4444" s="196" t="s">
        <v>12378</v>
      </c>
      <c r="H4444" s="196" t="s">
        <v>11235</v>
      </c>
    </row>
    <row r="4445" spans="1:8" x14ac:dyDescent="0.15">
      <c r="A4445" s="196" t="s">
        <v>11229</v>
      </c>
      <c r="B4445" s="196" t="s">
        <v>11230</v>
      </c>
      <c r="C4445" s="196" t="s">
        <v>21524</v>
      </c>
      <c r="D4445" s="196" t="s">
        <v>21525</v>
      </c>
      <c r="E4445" s="196" t="s">
        <v>21525</v>
      </c>
      <c r="F4445" s="196" t="s">
        <v>11233</v>
      </c>
      <c r="G4445" s="196" t="s">
        <v>12378</v>
      </c>
      <c r="H4445" s="196" t="s">
        <v>11235</v>
      </c>
    </row>
    <row r="4446" spans="1:8" x14ac:dyDescent="0.15">
      <c r="A4446" s="196" t="s">
        <v>11229</v>
      </c>
      <c r="B4446" s="196" t="s">
        <v>11230</v>
      </c>
      <c r="C4446" s="196" t="s">
        <v>21526</v>
      </c>
      <c r="D4446" s="196" t="s">
        <v>21527</v>
      </c>
      <c r="E4446" s="196" t="s">
        <v>21527</v>
      </c>
      <c r="F4446" s="196" t="s">
        <v>11233</v>
      </c>
      <c r="G4446" s="196" t="s">
        <v>12378</v>
      </c>
      <c r="H4446" s="196" t="s">
        <v>11235</v>
      </c>
    </row>
    <row r="4447" spans="1:8" x14ac:dyDescent="0.15">
      <c r="A4447" s="196" t="s">
        <v>11229</v>
      </c>
      <c r="B4447" s="196" t="s">
        <v>11230</v>
      </c>
      <c r="C4447" s="196" t="s">
        <v>21528</v>
      </c>
      <c r="D4447" s="196" t="s">
        <v>21529</v>
      </c>
      <c r="E4447" s="196" t="s">
        <v>21530</v>
      </c>
      <c r="F4447" s="196" t="s">
        <v>11268</v>
      </c>
      <c r="G4447" s="196" t="s">
        <v>12378</v>
      </c>
      <c r="H4447" s="196" t="s">
        <v>11235</v>
      </c>
    </row>
    <row r="4448" spans="1:8" x14ac:dyDescent="0.15">
      <c r="A4448" s="196" t="s">
        <v>11229</v>
      </c>
      <c r="B4448" s="196" t="s">
        <v>11230</v>
      </c>
      <c r="C4448" s="196" t="s">
        <v>21531</v>
      </c>
      <c r="D4448" s="196" t="s">
        <v>21532</v>
      </c>
      <c r="E4448" s="196" t="s">
        <v>21532</v>
      </c>
      <c r="F4448" s="196" t="s">
        <v>11233</v>
      </c>
      <c r="G4448" s="196" t="s">
        <v>12378</v>
      </c>
      <c r="H4448" s="196" t="s">
        <v>11235</v>
      </c>
    </row>
    <row r="4449" spans="1:8" x14ac:dyDescent="0.15">
      <c r="A4449" s="196" t="s">
        <v>11229</v>
      </c>
      <c r="B4449" s="196" t="s">
        <v>11230</v>
      </c>
      <c r="C4449" s="196" t="s">
        <v>21533</v>
      </c>
      <c r="D4449" s="196" t="s">
        <v>21534</v>
      </c>
      <c r="E4449" s="196" t="s">
        <v>21534</v>
      </c>
      <c r="F4449" s="196" t="s">
        <v>11233</v>
      </c>
      <c r="G4449" s="196" t="s">
        <v>12378</v>
      </c>
      <c r="H4449" s="196" t="s">
        <v>11235</v>
      </c>
    </row>
    <row r="4450" spans="1:8" x14ac:dyDescent="0.15">
      <c r="A4450" s="196" t="s">
        <v>11229</v>
      </c>
      <c r="B4450" s="196" t="s">
        <v>11230</v>
      </c>
      <c r="C4450" s="196" t="s">
        <v>21535</v>
      </c>
      <c r="D4450" s="196" t="s">
        <v>21536</v>
      </c>
      <c r="E4450" s="196" t="s">
        <v>21536</v>
      </c>
      <c r="F4450" s="196" t="s">
        <v>11233</v>
      </c>
      <c r="G4450" s="196" t="s">
        <v>12378</v>
      </c>
      <c r="H4450" s="196" t="s">
        <v>11235</v>
      </c>
    </row>
    <row r="4451" spans="1:8" x14ac:dyDescent="0.15">
      <c r="A4451" s="196" t="s">
        <v>11229</v>
      </c>
      <c r="B4451" s="196" t="s">
        <v>11230</v>
      </c>
      <c r="C4451" s="196" t="s">
        <v>21537</v>
      </c>
      <c r="D4451" s="196" t="s">
        <v>21538</v>
      </c>
      <c r="E4451" s="196" t="s">
        <v>21538</v>
      </c>
      <c r="F4451" s="196" t="s">
        <v>11233</v>
      </c>
      <c r="G4451" s="196" t="s">
        <v>12378</v>
      </c>
      <c r="H4451" s="196" t="s">
        <v>11235</v>
      </c>
    </row>
    <row r="4452" spans="1:8" x14ac:dyDescent="0.15">
      <c r="A4452" s="196" t="s">
        <v>11229</v>
      </c>
      <c r="B4452" s="196" t="s">
        <v>11230</v>
      </c>
      <c r="C4452" s="196" t="s">
        <v>21539</v>
      </c>
      <c r="D4452" s="196" t="s">
        <v>21540</v>
      </c>
      <c r="E4452" s="196" t="s">
        <v>21540</v>
      </c>
      <c r="F4452" s="196" t="s">
        <v>11233</v>
      </c>
      <c r="G4452" s="196" t="s">
        <v>12378</v>
      </c>
      <c r="H4452" s="196" t="s">
        <v>11235</v>
      </c>
    </row>
    <row r="4453" spans="1:8" x14ac:dyDescent="0.15">
      <c r="A4453" s="196" t="s">
        <v>11229</v>
      </c>
      <c r="B4453" s="196" t="s">
        <v>11230</v>
      </c>
      <c r="C4453" s="196" t="s">
        <v>21541</v>
      </c>
      <c r="D4453" s="196" t="s">
        <v>21542</v>
      </c>
      <c r="E4453" s="196" t="s">
        <v>21542</v>
      </c>
      <c r="F4453" s="196" t="s">
        <v>11233</v>
      </c>
      <c r="G4453" s="196" t="s">
        <v>12378</v>
      </c>
      <c r="H4453" s="196" t="s">
        <v>11235</v>
      </c>
    </row>
    <row r="4454" spans="1:8" x14ac:dyDescent="0.15">
      <c r="A4454" s="196" t="s">
        <v>11229</v>
      </c>
      <c r="B4454" s="196" t="s">
        <v>11230</v>
      </c>
      <c r="C4454" s="196" t="s">
        <v>21543</v>
      </c>
      <c r="D4454" s="196" t="s">
        <v>21544</v>
      </c>
      <c r="E4454" s="196" t="s">
        <v>21544</v>
      </c>
      <c r="F4454" s="196" t="s">
        <v>11233</v>
      </c>
      <c r="G4454" s="196" t="s">
        <v>12378</v>
      </c>
      <c r="H4454" s="196" t="s">
        <v>11235</v>
      </c>
    </row>
    <row r="4455" spans="1:8" x14ac:dyDescent="0.15">
      <c r="A4455" s="196" t="s">
        <v>11229</v>
      </c>
      <c r="B4455" s="196" t="s">
        <v>11230</v>
      </c>
      <c r="C4455" s="196" t="s">
        <v>21545</v>
      </c>
      <c r="D4455" s="196" t="s">
        <v>21546</v>
      </c>
      <c r="E4455" s="196" t="s">
        <v>21546</v>
      </c>
      <c r="F4455" s="196" t="s">
        <v>11233</v>
      </c>
      <c r="G4455" s="196" t="s">
        <v>12378</v>
      </c>
      <c r="H4455" s="196" t="s">
        <v>11235</v>
      </c>
    </row>
    <row r="4456" spans="1:8" x14ac:dyDescent="0.15">
      <c r="A4456" s="196" t="s">
        <v>11229</v>
      </c>
      <c r="B4456" s="196" t="s">
        <v>11230</v>
      </c>
      <c r="C4456" s="196" t="s">
        <v>21547</v>
      </c>
      <c r="D4456" s="196" t="s">
        <v>21548</v>
      </c>
      <c r="E4456" s="196" t="s">
        <v>21549</v>
      </c>
      <c r="F4456" s="196" t="s">
        <v>11241</v>
      </c>
      <c r="G4456" s="196" t="s">
        <v>12378</v>
      </c>
      <c r="H4456" s="196" t="s">
        <v>11235</v>
      </c>
    </row>
    <row r="4457" spans="1:8" x14ac:dyDescent="0.15">
      <c r="A4457" s="196" t="s">
        <v>11229</v>
      </c>
      <c r="B4457" s="196" t="s">
        <v>11230</v>
      </c>
      <c r="C4457" s="196" t="s">
        <v>21550</v>
      </c>
      <c r="D4457" s="196" t="s">
        <v>21551</v>
      </c>
      <c r="E4457" s="196" t="s">
        <v>21551</v>
      </c>
      <c r="F4457" s="196" t="s">
        <v>11233</v>
      </c>
      <c r="G4457" s="196" t="s">
        <v>12378</v>
      </c>
      <c r="H4457" s="196" t="s">
        <v>11235</v>
      </c>
    </row>
    <row r="4458" spans="1:8" x14ac:dyDescent="0.15">
      <c r="A4458" s="196" t="s">
        <v>11229</v>
      </c>
      <c r="B4458" s="196" t="s">
        <v>11230</v>
      </c>
      <c r="C4458" s="196" t="s">
        <v>21552</v>
      </c>
      <c r="D4458" s="196" t="s">
        <v>21553</v>
      </c>
      <c r="E4458" s="196" t="s">
        <v>21553</v>
      </c>
      <c r="F4458" s="196" t="s">
        <v>11233</v>
      </c>
      <c r="G4458" s="196" t="s">
        <v>12378</v>
      </c>
      <c r="H4458" s="196" t="s">
        <v>11235</v>
      </c>
    </row>
    <row r="4459" spans="1:8" x14ac:dyDescent="0.15">
      <c r="A4459" s="196" t="s">
        <v>11229</v>
      </c>
      <c r="B4459" s="196" t="s">
        <v>11230</v>
      </c>
      <c r="C4459" s="196" t="s">
        <v>21554</v>
      </c>
      <c r="D4459" s="196" t="s">
        <v>21555</v>
      </c>
      <c r="E4459" s="196" t="s">
        <v>21555</v>
      </c>
      <c r="F4459" s="196" t="s">
        <v>11233</v>
      </c>
      <c r="G4459" s="196" t="s">
        <v>12378</v>
      </c>
      <c r="H4459" s="196" t="s">
        <v>11235</v>
      </c>
    </row>
    <row r="4460" spans="1:8" x14ac:dyDescent="0.15">
      <c r="A4460" s="196" t="s">
        <v>11229</v>
      </c>
      <c r="B4460" s="196" t="s">
        <v>11230</v>
      </c>
      <c r="C4460" s="196" t="s">
        <v>21556</v>
      </c>
      <c r="D4460" s="196" t="s">
        <v>21557</v>
      </c>
      <c r="E4460" s="196" t="s">
        <v>21557</v>
      </c>
      <c r="F4460" s="196" t="s">
        <v>11233</v>
      </c>
      <c r="G4460" s="196" t="s">
        <v>12378</v>
      </c>
      <c r="H4460" s="196" t="s">
        <v>11235</v>
      </c>
    </row>
    <row r="4461" spans="1:8" x14ac:dyDescent="0.15">
      <c r="A4461" s="196" t="s">
        <v>11229</v>
      </c>
      <c r="B4461" s="196" t="s">
        <v>11230</v>
      </c>
      <c r="C4461" s="196" t="s">
        <v>21558</v>
      </c>
      <c r="D4461" s="196" t="s">
        <v>21559</v>
      </c>
      <c r="E4461" s="196" t="s">
        <v>21559</v>
      </c>
      <c r="F4461" s="196" t="s">
        <v>11233</v>
      </c>
      <c r="G4461" s="196" t="s">
        <v>12378</v>
      </c>
      <c r="H4461" s="196" t="s">
        <v>11235</v>
      </c>
    </row>
    <row r="4462" spans="1:8" x14ac:dyDescent="0.15">
      <c r="A4462" s="196" t="s">
        <v>11229</v>
      </c>
      <c r="B4462" s="196" t="s">
        <v>11230</v>
      </c>
      <c r="C4462" s="196" t="s">
        <v>21560</v>
      </c>
      <c r="D4462" s="196" t="s">
        <v>21561</v>
      </c>
      <c r="E4462" s="196" t="s">
        <v>21561</v>
      </c>
      <c r="F4462" s="196" t="s">
        <v>11233</v>
      </c>
      <c r="G4462" s="196" t="s">
        <v>12378</v>
      </c>
      <c r="H4462" s="196" t="s">
        <v>11235</v>
      </c>
    </row>
    <row r="4463" spans="1:8" x14ac:dyDescent="0.15">
      <c r="A4463" s="196" t="s">
        <v>11229</v>
      </c>
      <c r="B4463" s="196" t="s">
        <v>11230</v>
      </c>
      <c r="C4463" s="196" t="s">
        <v>21562</v>
      </c>
      <c r="D4463" s="196" t="s">
        <v>21563</v>
      </c>
      <c r="E4463" s="196" t="s">
        <v>21563</v>
      </c>
      <c r="F4463" s="196" t="s">
        <v>11233</v>
      </c>
      <c r="G4463" s="196" t="s">
        <v>12378</v>
      </c>
      <c r="H4463" s="196" t="s">
        <v>11235</v>
      </c>
    </row>
    <row r="4464" spans="1:8" x14ac:dyDescent="0.15">
      <c r="A4464" s="196" t="s">
        <v>11229</v>
      </c>
      <c r="B4464" s="196" t="s">
        <v>11230</v>
      </c>
      <c r="C4464" s="196" t="s">
        <v>21564</v>
      </c>
      <c r="D4464" s="196" t="s">
        <v>21565</v>
      </c>
      <c r="E4464" s="196" t="s">
        <v>21565</v>
      </c>
      <c r="F4464" s="196" t="s">
        <v>11233</v>
      </c>
      <c r="G4464" s="196" t="s">
        <v>12378</v>
      </c>
      <c r="H4464" s="196" t="s">
        <v>11235</v>
      </c>
    </row>
    <row r="4465" spans="1:8" x14ac:dyDescent="0.15">
      <c r="A4465" s="196" t="s">
        <v>11229</v>
      </c>
      <c r="B4465" s="196" t="s">
        <v>11230</v>
      </c>
      <c r="C4465" s="196" t="s">
        <v>21566</v>
      </c>
      <c r="D4465" s="196" t="s">
        <v>21567</v>
      </c>
      <c r="E4465" s="196" t="s">
        <v>21567</v>
      </c>
      <c r="F4465" s="196" t="s">
        <v>11233</v>
      </c>
      <c r="G4465" s="196" t="s">
        <v>12378</v>
      </c>
      <c r="H4465" s="196" t="s">
        <v>11235</v>
      </c>
    </row>
    <row r="4466" spans="1:8" x14ac:dyDescent="0.15">
      <c r="A4466" s="196" t="s">
        <v>11229</v>
      </c>
      <c r="B4466" s="196" t="s">
        <v>11230</v>
      </c>
      <c r="C4466" s="196" t="s">
        <v>21568</v>
      </c>
      <c r="D4466" s="196" t="s">
        <v>21569</v>
      </c>
      <c r="E4466" s="196" t="s">
        <v>21569</v>
      </c>
      <c r="F4466" s="196" t="s">
        <v>11233</v>
      </c>
      <c r="G4466" s="196" t="s">
        <v>12378</v>
      </c>
      <c r="H4466" s="196" t="s">
        <v>11235</v>
      </c>
    </row>
    <row r="4467" spans="1:8" x14ac:dyDescent="0.15">
      <c r="A4467" s="196" t="s">
        <v>11229</v>
      </c>
      <c r="B4467" s="196" t="s">
        <v>11230</v>
      </c>
      <c r="C4467" s="196" t="s">
        <v>21570</v>
      </c>
      <c r="D4467" s="196" t="s">
        <v>21571</v>
      </c>
      <c r="E4467" s="196" t="s">
        <v>21571</v>
      </c>
      <c r="F4467" s="196" t="s">
        <v>11233</v>
      </c>
      <c r="G4467" s="196" t="s">
        <v>12378</v>
      </c>
      <c r="H4467" s="196" t="s">
        <v>11235</v>
      </c>
    </row>
    <row r="4468" spans="1:8" x14ac:dyDescent="0.15">
      <c r="A4468" s="196" t="s">
        <v>11229</v>
      </c>
      <c r="B4468" s="196" t="s">
        <v>11230</v>
      </c>
      <c r="C4468" s="196" t="s">
        <v>21572</v>
      </c>
      <c r="D4468" s="196" t="s">
        <v>21573</v>
      </c>
      <c r="E4468" s="196" t="s">
        <v>21573</v>
      </c>
      <c r="F4468" s="196" t="s">
        <v>11233</v>
      </c>
      <c r="G4468" s="196" t="s">
        <v>12378</v>
      </c>
      <c r="H4468" s="196" t="s">
        <v>11235</v>
      </c>
    </row>
    <row r="4469" spans="1:8" x14ac:dyDescent="0.15">
      <c r="A4469" s="196" t="s">
        <v>11229</v>
      </c>
      <c r="B4469" s="196" t="s">
        <v>11230</v>
      </c>
      <c r="C4469" s="196" t="s">
        <v>21574</v>
      </c>
      <c r="D4469" s="196" t="s">
        <v>21575</v>
      </c>
      <c r="E4469" s="196" t="s">
        <v>21575</v>
      </c>
      <c r="F4469" s="196" t="s">
        <v>11233</v>
      </c>
      <c r="G4469" s="196" t="s">
        <v>12378</v>
      </c>
      <c r="H4469" s="196" t="s">
        <v>11235</v>
      </c>
    </row>
    <row r="4470" spans="1:8" x14ac:dyDescent="0.15">
      <c r="A4470" s="196" t="s">
        <v>11229</v>
      </c>
      <c r="B4470" s="196" t="s">
        <v>11230</v>
      </c>
      <c r="C4470" s="196" t="s">
        <v>21576</v>
      </c>
      <c r="D4470" s="196" t="s">
        <v>21577</v>
      </c>
      <c r="E4470" s="196" t="s">
        <v>21577</v>
      </c>
      <c r="F4470" s="196" t="s">
        <v>11233</v>
      </c>
      <c r="G4470" s="196" t="s">
        <v>12378</v>
      </c>
      <c r="H4470" s="196" t="s">
        <v>11235</v>
      </c>
    </row>
    <row r="4471" spans="1:8" x14ac:dyDescent="0.15">
      <c r="A4471" s="196" t="s">
        <v>11229</v>
      </c>
      <c r="B4471" s="196" t="s">
        <v>11230</v>
      </c>
      <c r="C4471" s="196" t="s">
        <v>21578</v>
      </c>
      <c r="D4471" s="196" t="s">
        <v>21579</v>
      </c>
      <c r="E4471" s="196" t="s">
        <v>21579</v>
      </c>
      <c r="F4471" s="196" t="s">
        <v>11233</v>
      </c>
      <c r="G4471" s="196" t="s">
        <v>12378</v>
      </c>
      <c r="H4471" s="196" t="s">
        <v>11235</v>
      </c>
    </row>
    <row r="4472" spans="1:8" x14ac:dyDescent="0.15">
      <c r="A4472" s="196" t="s">
        <v>11229</v>
      </c>
      <c r="B4472" s="196" t="s">
        <v>11230</v>
      </c>
      <c r="C4472" s="196" t="s">
        <v>21580</v>
      </c>
      <c r="D4472" s="196" t="s">
        <v>21581</v>
      </c>
      <c r="E4472" s="196" t="s">
        <v>21581</v>
      </c>
      <c r="F4472" s="196" t="s">
        <v>11233</v>
      </c>
      <c r="G4472" s="196" t="s">
        <v>12378</v>
      </c>
      <c r="H4472" s="196" t="s">
        <v>11235</v>
      </c>
    </row>
    <row r="4473" spans="1:8" x14ac:dyDescent="0.15">
      <c r="A4473" s="196" t="s">
        <v>11229</v>
      </c>
      <c r="B4473" s="196" t="s">
        <v>11230</v>
      </c>
      <c r="C4473" s="196" t="s">
        <v>21582</v>
      </c>
      <c r="D4473" s="196" t="s">
        <v>21583</v>
      </c>
      <c r="E4473" s="196" t="s">
        <v>21583</v>
      </c>
      <c r="F4473" s="196" t="s">
        <v>11233</v>
      </c>
      <c r="G4473" s="196" t="s">
        <v>12378</v>
      </c>
      <c r="H4473" s="196" t="s">
        <v>11235</v>
      </c>
    </row>
    <row r="4474" spans="1:8" x14ac:dyDescent="0.15">
      <c r="A4474" s="196" t="s">
        <v>11229</v>
      </c>
      <c r="B4474" s="196" t="s">
        <v>11230</v>
      </c>
      <c r="C4474" s="196" t="s">
        <v>21584</v>
      </c>
      <c r="D4474" s="196" t="s">
        <v>21585</v>
      </c>
      <c r="E4474" s="196" t="s">
        <v>21585</v>
      </c>
      <c r="F4474" s="196" t="s">
        <v>11233</v>
      </c>
      <c r="G4474" s="196" t="s">
        <v>12378</v>
      </c>
      <c r="H4474" s="196" t="s">
        <v>11235</v>
      </c>
    </row>
    <row r="4475" spans="1:8" x14ac:dyDescent="0.15">
      <c r="A4475" s="196" t="s">
        <v>11229</v>
      </c>
      <c r="B4475" s="196" t="s">
        <v>11230</v>
      </c>
      <c r="C4475" s="196" t="s">
        <v>21586</v>
      </c>
      <c r="D4475" s="196" t="s">
        <v>21587</v>
      </c>
      <c r="E4475" s="196" t="s">
        <v>21587</v>
      </c>
      <c r="F4475" s="196" t="s">
        <v>11233</v>
      </c>
      <c r="G4475" s="196" t="s">
        <v>12378</v>
      </c>
      <c r="H4475" s="196" t="s">
        <v>11235</v>
      </c>
    </row>
    <row r="4476" spans="1:8" x14ac:dyDescent="0.15">
      <c r="A4476" s="196" t="s">
        <v>11229</v>
      </c>
      <c r="B4476" s="196" t="s">
        <v>11230</v>
      </c>
      <c r="C4476" s="196" t="s">
        <v>21588</v>
      </c>
      <c r="D4476" s="196" t="s">
        <v>21589</v>
      </c>
      <c r="E4476" s="196" t="s">
        <v>21589</v>
      </c>
      <c r="F4476" s="196" t="s">
        <v>11233</v>
      </c>
      <c r="G4476" s="196" t="s">
        <v>12378</v>
      </c>
      <c r="H4476" s="196" t="s">
        <v>11235</v>
      </c>
    </row>
    <row r="4477" spans="1:8" x14ac:dyDescent="0.15">
      <c r="A4477" s="196" t="s">
        <v>11229</v>
      </c>
      <c r="B4477" s="196" t="s">
        <v>11230</v>
      </c>
      <c r="C4477" s="196" t="s">
        <v>21590</v>
      </c>
      <c r="D4477" s="196" t="s">
        <v>21591</v>
      </c>
      <c r="E4477" s="196" t="s">
        <v>21591</v>
      </c>
      <c r="F4477" s="196" t="s">
        <v>11233</v>
      </c>
      <c r="G4477" s="196" t="s">
        <v>12378</v>
      </c>
      <c r="H4477" s="196" t="s">
        <v>11235</v>
      </c>
    </row>
    <row r="4478" spans="1:8" x14ac:dyDescent="0.15">
      <c r="A4478" s="196" t="s">
        <v>11229</v>
      </c>
      <c r="B4478" s="196" t="s">
        <v>11230</v>
      </c>
      <c r="C4478" s="196" t="s">
        <v>21592</v>
      </c>
      <c r="D4478" s="196" t="s">
        <v>21593</v>
      </c>
      <c r="E4478" s="196" t="s">
        <v>21593</v>
      </c>
      <c r="F4478" s="196" t="s">
        <v>11233</v>
      </c>
      <c r="G4478" s="196" t="s">
        <v>12378</v>
      </c>
      <c r="H4478" s="196" t="s">
        <v>11235</v>
      </c>
    </row>
    <row r="4479" spans="1:8" x14ac:dyDescent="0.15">
      <c r="A4479" s="196" t="s">
        <v>11229</v>
      </c>
      <c r="B4479" s="196" t="s">
        <v>11230</v>
      </c>
      <c r="C4479" s="196" t="s">
        <v>21594</v>
      </c>
      <c r="D4479" s="196" t="s">
        <v>21595</v>
      </c>
      <c r="E4479" s="196" t="s">
        <v>21595</v>
      </c>
      <c r="F4479" s="196" t="s">
        <v>11233</v>
      </c>
      <c r="G4479" s="196" t="s">
        <v>12378</v>
      </c>
      <c r="H4479" s="196" t="s">
        <v>11235</v>
      </c>
    </row>
    <row r="4480" spans="1:8" x14ac:dyDescent="0.15">
      <c r="A4480" s="196" t="s">
        <v>11229</v>
      </c>
      <c r="B4480" s="196" t="s">
        <v>11230</v>
      </c>
      <c r="C4480" s="196" t="s">
        <v>21596</v>
      </c>
      <c r="D4480" s="196" t="s">
        <v>21597</v>
      </c>
      <c r="E4480" s="196" t="s">
        <v>21597</v>
      </c>
      <c r="F4480" s="196" t="s">
        <v>11233</v>
      </c>
      <c r="G4480" s="196" t="s">
        <v>12378</v>
      </c>
      <c r="H4480" s="196" t="s">
        <v>11235</v>
      </c>
    </row>
    <row r="4481" spans="1:8" x14ac:dyDescent="0.15">
      <c r="A4481" s="196" t="s">
        <v>11229</v>
      </c>
      <c r="B4481" s="196" t="s">
        <v>11230</v>
      </c>
      <c r="C4481" s="196" t="s">
        <v>21598</v>
      </c>
      <c r="D4481" s="196" t="s">
        <v>21599</v>
      </c>
      <c r="E4481" s="196" t="s">
        <v>21599</v>
      </c>
      <c r="F4481" s="196" t="s">
        <v>11233</v>
      </c>
      <c r="G4481" s="196" t="s">
        <v>12378</v>
      </c>
      <c r="H4481" s="196" t="s">
        <v>11235</v>
      </c>
    </row>
    <row r="4482" spans="1:8" x14ac:dyDescent="0.15">
      <c r="A4482" s="196" t="s">
        <v>11229</v>
      </c>
      <c r="B4482" s="196" t="s">
        <v>11230</v>
      </c>
      <c r="C4482" s="196" t="s">
        <v>21600</v>
      </c>
      <c r="D4482" s="196" t="s">
        <v>21601</v>
      </c>
      <c r="E4482" s="196" t="s">
        <v>21601</v>
      </c>
      <c r="F4482" s="196" t="s">
        <v>11233</v>
      </c>
      <c r="G4482" s="196" t="s">
        <v>12378</v>
      </c>
      <c r="H4482" s="196" t="s">
        <v>11235</v>
      </c>
    </row>
    <row r="4483" spans="1:8" x14ac:dyDescent="0.15">
      <c r="A4483" s="196" t="s">
        <v>11229</v>
      </c>
      <c r="B4483" s="196" t="s">
        <v>11230</v>
      </c>
      <c r="C4483" s="196" t="s">
        <v>21602</v>
      </c>
      <c r="D4483" s="196" t="s">
        <v>21603</v>
      </c>
      <c r="E4483" s="196" t="s">
        <v>21603</v>
      </c>
      <c r="F4483" s="196" t="s">
        <v>11233</v>
      </c>
      <c r="G4483" s="196" t="s">
        <v>12378</v>
      </c>
      <c r="H4483" s="196" t="s">
        <v>11235</v>
      </c>
    </row>
    <row r="4484" spans="1:8" x14ac:dyDescent="0.15">
      <c r="A4484" s="196" t="s">
        <v>11229</v>
      </c>
      <c r="B4484" s="196" t="s">
        <v>11230</v>
      </c>
      <c r="C4484" s="196" t="s">
        <v>21604</v>
      </c>
      <c r="D4484" s="196" t="s">
        <v>21605</v>
      </c>
      <c r="E4484" s="196" t="s">
        <v>21605</v>
      </c>
      <c r="F4484" s="196" t="s">
        <v>11233</v>
      </c>
      <c r="G4484" s="196" t="s">
        <v>12378</v>
      </c>
      <c r="H4484" s="196" t="s">
        <v>11235</v>
      </c>
    </row>
    <row r="4485" spans="1:8" x14ac:dyDescent="0.15">
      <c r="A4485" s="196" t="s">
        <v>11229</v>
      </c>
      <c r="B4485" s="196" t="s">
        <v>11230</v>
      </c>
      <c r="C4485" s="196" t="s">
        <v>21606</v>
      </c>
      <c r="D4485" s="196" t="s">
        <v>21607</v>
      </c>
      <c r="E4485" s="196" t="s">
        <v>21607</v>
      </c>
      <c r="F4485" s="196" t="s">
        <v>11233</v>
      </c>
      <c r="G4485" s="196" t="s">
        <v>12378</v>
      </c>
      <c r="H4485" s="196" t="s">
        <v>11235</v>
      </c>
    </row>
    <row r="4486" spans="1:8" x14ac:dyDescent="0.15">
      <c r="A4486" s="196" t="s">
        <v>11229</v>
      </c>
      <c r="B4486" s="196" t="s">
        <v>11230</v>
      </c>
      <c r="C4486" s="196" t="s">
        <v>21608</v>
      </c>
      <c r="D4486" s="196" t="s">
        <v>21609</v>
      </c>
      <c r="E4486" s="196" t="s">
        <v>21609</v>
      </c>
      <c r="F4486" s="196" t="s">
        <v>11233</v>
      </c>
      <c r="G4486" s="196" t="s">
        <v>12378</v>
      </c>
      <c r="H4486" s="196" t="s">
        <v>11235</v>
      </c>
    </row>
    <row r="4487" spans="1:8" x14ac:dyDescent="0.15">
      <c r="A4487" s="196" t="s">
        <v>11229</v>
      </c>
      <c r="B4487" s="196" t="s">
        <v>11230</v>
      </c>
      <c r="C4487" s="196" t="s">
        <v>21610</v>
      </c>
      <c r="D4487" s="196" t="s">
        <v>21611</v>
      </c>
      <c r="E4487" s="196" t="s">
        <v>21611</v>
      </c>
      <c r="F4487" s="196" t="s">
        <v>11233</v>
      </c>
      <c r="G4487" s="196" t="s">
        <v>12378</v>
      </c>
      <c r="H4487" s="196" t="s">
        <v>11235</v>
      </c>
    </row>
    <row r="4488" spans="1:8" x14ac:dyDescent="0.15">
      <c r="A4488" s="196" t="s">
        <v>11229</v>
      </c>
      <c r="B4488" s="196" t="s">
        <v>11230</v>
      </c>
      <c r="C4488" s="196" t="s">
        <v>21612</v>
      </c>
      <c r="D4488" s="196" t="s">
        <v>21613</v>
      </c>
      <c r="E4488" s="196" t="s">
        <v>21614</v>
      </c>
      <c r="F4488" s="196" t="s">
        <v>14596</v>
      </c>
      <c r="G4488" s="196" t="s">
        <v>12378</v>
      </c>
      <c r="H4488" s="196" t="s">
        <v>11235</v>
      </c>
    </row>
    <row r="4489" spans="1:8" x14ac:dyDescent="0.15">
      <c r="A4489" s="196" t="s">
        <v>11229</v>
      </c>
      <c r="B4489" s="196" t="s">
        <v>11230</v>
      </c>
      <c r="C4489" s="196" t="s">
        <v>21615</v>
      </c>
      <c r="D4489" s="196" t="s">
        <v>21616</v>
      </c>
      <c r="E4489" s="196" t="s">
        <v>21617</v>
      </c>
      <c r="F4489" s="196" t="s">
        <v>13107</v>
      </c>
      <c r="G4489" s="196" t="s">
        <v>12378</v>
      </c>
      <c r="H4489" s="196" t="s">
        <v>11235</v>
      </c>
    </row>
    <row r="4490" spans="1:8" x14ac:dyDescent="0.15">
      <c r="A4490" s="196" t="s">
        <v>11229</v>
      </c>
      <c r="B4490" s="196" t="s">
        <v>11230</v>
      </c>
      <c r="C4490" s="196" t="s">
        <v>21618</v>
      </c>
      <c r="D4490" s="196" t="s">
        <v>21619</v>
      </c>
      <c r="E4490" s="196" t="s">
        <v>21620</v>
      </c>
      <c r="F4490" s="196" t="s">
        <v>21621</v>
      </c>
      <c r="G4490" s="196" t="s">
        <v>12378</v>
      </c>
      <c r="H4490" s="196" t="s">
        <v>11235</v>
      </c>
    </row>
    <row r="4491" spans="1:8" x14ac:dyDescent="0.15">
      <c r="A4491" s="196" t="s">
        <v>11229</v>
      </c>
      <c r="B4491" s="196" t="s">
        <v>11230</v>
      </c>
      <c r="C4491" s="196" t="s">
        <v>21622</v>
      </c>
      <c r="D4491" s="196" t="s">
        <v>21623</v>
      </c>
      <c r="E4491" s="196" t="s">
        <v>21624</v>
      </c>
      <c r="F4491" s="196" t="s">
        <v>15025</v>
      </c>
      <c r="G4491" s="196" t="s">
        <v>12378</v>
      </c>
      <c r="H4491" s="196" t="s">
        <v>11235</v>
      </c>
    </row>
    <row r="4492" spans="1:8" x14ac:dyDescent="0.15">
      <c r="A4492" s="196" t="s">
        <v>11229</v>
      </c>
      <c r="B4492" s="196" t="s">
        <v>11230</v>
      </c>
      <c r="C4492" s="196" t="s">
        <v>21625</v>
      </c>
      <c r="D4492" s="196" t="s">
        <v>21626</v>
      </c>
      <c r="E4492" s="196" t="s">
        <v>21627</v>
      </c>
      <c r="F4492" s="196" t="s">
        <v>20874</v>
      </c>
      <c r="G4492" s="196" t="s">
        <v>12378</v>
      </c>
      <c r="H4492" s="196" t="s">
        <v>11235</v>
      </c>
    </row>
    <row r="4493" spans="1:8" x14ac:dyDescent="0.15">
      <c r="A4493" s="196" t="s">
        <v>11229</v>
      </c>
      <c r="B4493" s="196" t="s">
        <v>11230</v>
      </c>
      <c r="C4493" s="196" t="s">
        <v>21628</v>
      </c>
      <c r="D4493" s="196" t="s">
        <v>21629</v>
      </c>
      <c r="E4493" s="196" t="s">
        <v>21630</v>
      </c>
      <c r="F4493" s="196" t="s">
        <v>12544</v>
      </c>
      <c r="G4493" s="196" t="s">
        <v>12378</v>
      </c>
      <c r="H4493" s="196" t="s">
        <v>11235</v>
      </c>
    </row>
    <row r="4494" spans="1:8" x14ac:dyDescent="0.15">
      <c r="A4494" s="196" t="s">
        <v>11229</v>
      </c>
      <c r="B4494" s="196" t="s">
        <v>11230</v>
      </c>
      <c r="C4494" s="196" t="s">
        <v>21631</v>
      </c>
      <c r="D4494" s="196" t="s">
        <v>21630</v>
      </c>
      <c r="E4494" s="196" t="s">
        <v>21632</v>
      </c>
      <c r="F4494" s="196" t="s">
        <v>19405</v>
      </c>
      <c r="G4494" s="196" t="s">
        <v>12378</v>
      </c>
      <c r="H4494" s="196" t="s">
        <v>11235</v>
      </c>
    </row>
    <row r="4495" spans="1:8" x14ac:dyDescent="0.15">
      <c r="A4495" s="196" t="s">
        <v>11229</v>
      </c>
      <c r="B4495" s="196" t="s">
        <v>11230</v>
      </c>
      <c r="C4495" s="196" t="s">
        <v>21633</v>
      </c>
      <c r="D4495" s="196" t="s">
        <v>21634</v>
      </c>
      <c r="E4495" s="196" t="s">
        <v>21634</v>
      </c>
      <c r="F4495" s="196" t="s">
        <v>11233</v>
      </c>
      <c r="G4495" s="196" t="s">
        <v>12378</v>
      </c>
      <c r="H4495" s="196" t="s">
        <v>11235</v>
      </c>
    </row>
    <row r="4496" spans="1:8" x14ac:dyDescent="0.15">
      <c r="A4496" s="196" t="s">
        <v>11229</v>
      </c>
      <c r="B4496" s="196" t="s">
        <v>11230</v>
      </c>
      <c r="C4496" s="196" t="s">
        <v>21635</v>
      </c>
      <c r="D4496" s="196" t="s">
        <v>21636</v>
      </c>
      <c r="E4496" s="196" t="s">
        <v>21636</v>
      </c>
      <c r="F4496" s="196" t="s">
        <v>11233</v>
      </c>
      <c r="G4496" s="196" t="s">
        <v>12378</v>
      </c>
      <c r="H4496" s="196" t="s">
        <v>11235</v>
      </c>
    </row>
    <row r="4497" spans="1:8" x14ac:dyDescent="0.15">
      <c r="A4497" s="196" t="s">
        <v>11229</v>
      </c>
      <c r="B4497" s="196" t="s">
        <v>11230</v>
      </c>
      <c r="C4497" s="196" t="s">
        <v>21637</v>
      </c>
      <c r="D4497" s="196" t="s">
        <v>21638</v>
      </c>
      <c r="E4497" s="196" t="s">
        <v>21638</v>
      </c>
      <c r="F4497" s="196" t="s">
        <v>11233</v>
      </c>
      <c r="G4497" s="196" t="s">
        <v>12378</v>
      </c>
      <c r="H4497" s="196" t="s">
        <v>11235</v>
      </c>
    </row>
    <row r="4498" spans="1:8" x14ac:dyDescent="0.15">
      <c r="A4498" s="196" t="s">
        <v>11229</v>
      </c>
      <c r="B4498" s="196" t="s">
        <v>11230</v>
      </c>
      <c r="C4498" s="196" t="s">
        <v>21639</v>
      </c>
      <c r="D4498" s="196" t="s">
        <v>21640</v>
      </c>
      <c r="E4498" s="196" t="s">
        <v>21640</v>
      </c>
      <c r="F4498" s="196" t="s">
        <v>11233</v>
      </c>
      <c r="G4498" s="196" t="s">
        <v>12378</v>
      </c>
      <c r="H4498" s="196" t="s">
        <v>11235</v>
      </c>
    </row>
    <row r="4499" spans="1:8" x14ac:dyDescent="0.15">
      <c r="A4499" s="196" t="s">
        <v>11229</v>
      </c>
      <c r="B4499" s="196" t="s">
        <v>11230</v>
      </c>
      <c r="C4499" s="196" t="s">
        <v>21641</v>
      </c>
      <c r="D4499" s="196" t="s">
        <v>21642</v>
      </c>
      <c r="E4499" s="196" t="s">
        <v>21642</v>
      </c>
      <c r="F4499" s="196" t="s">
        <v>11233</v>
      </c>
      <c r="G4499" s="196" t="s">
        <v>12378</v>
      </c>
      <c r="H4499" s="196" t="s">
        <v>11235</v>
      </c>
    </row>
    <row r="4500" spans="1:8" x14ac:dyDescent="0.15">
      <c r="A4500" s="196" t="s">
        <v>11229</v>
      </c>
      <c r="B4500" s="196" t="s">
        <v>11230</v>
      </c>
      <c r="C4500" s="196" t="s">
        <v>21643</v>
      </c>
      <c r="D4500" s="196" t="s">
        <v>21644</v>
      </c>
      <c r="E4500" s="196" t="s">
        <v>21644</v>
      </c>
      <c r="F4500" s="196" t="s">
        <v>11233</v>
      </c>
      <c r="G4500" s="196" t="s">
        <v>12378</v>
      </c>
      <c r="H4500" s="196" t="s">
        <v>11235</v>
      </c>
    </row>
    <row r="4501" spans="1:8" x14ac:dyDescent="0.15">
      <c r="A4501" s="196" t="s">
        <v>11229</v>
      </c>
      <c r="B4501" s="196" t="s">
        <v>11230</v>
      </c>
      <c r="C4501" s="196" t="s">
        <v>21645</v>
      </c>
      <c r="D4501" s="196" t="s">
        <v>21646</v>
      </c>
      <c r="E4501" s="196" t="s">
        <v>21646</v>
      </c>
      <c r="F4501" s="196" t="s">
        <v>11233</v>
      </c>
      <c r="G4501" s="196" t="s">
        <v>12378</v>
      </c>
      <c r="H4501" s="196" t="s">
        <v>11235</v>
      </c>
    </row>
    <row r="4502" spans="1:8" x14ac:dyDescent="0.15">
      <c r="A4502" s="196" t="s">
        <v>11229</v>
      </c>
      <c r="B4502" s="196" t="s">
        <v>11230</v>
      </c>
      <c r="C4502" s="196" t="s">
        <v>21647</v>
      </c>
      <c r="D4502" s="196" t="s">
        <v>21648</v>
      </c>
      <c r="E4502" s="196" t="s">
        <v>21648</v>
      </c>
      <c r="F4502" s="196" t="s">
        <v>11233</v>
      </c>
      <c r="G4502" s="196" t="s">
        <v>12378</v>
      </c>
      <c r="H4502" s="196" t="s">
        <v>11235</v>
      </c>
    </row>
    <row r="4503" spans="1:8" x14ac:dyDescent="0.15">
      <c r="A4503" s="196" t="s">
        <v>11229</v>
      </c>
      <c r="B4503" s="196" t="s">
        <v>11230</v>
      </c>
      <c r="C4503" s="196" t="s">
        <v>21649</v>
      </c>
      <c r="D4503" s="196" t="s">
        <v>21650</v>
      </c>
      <c r="E4503" s="196" t="s">
        <v>21650</v>
      </c>
      <c r="F4503" s="196" t="s">
        <v>11233</v>
      </c>
      <c r="G4503" s="196" t="s">
        <v>12378</v>
      </c>
      <c r="H4503" s="196" t="s">
        <v>11235</v>
      </c>
    </row>
    <row r="4504" spans="1:8" x14ac:dyDescent="0.15">
      <c r="A4504" s="196" t="s">
        <v>11229</v>
      </c>
      <c r="B4504" s="196" t="s">
        <v>11230</v>
      </c>
      <c r="C4504" s="196" t="s">
        <v>21651</v>
      </c>
      <c r="D4504" s="196" t="s">
        <v>21652</v>
      </c>
      <c r="E4504" s="196" t="s">
        <v>21653</v>
      </c>
      <c r="F4504" s="196" t="s">
        <v>14083</v>
      </c>
      <c r="G4504" s="196" t="s">
        <v>12378</v>
      </c>
      <c r="H4504" s="196" t="s">
        <v>11235</v>
      </c>
    </row>
    <row r="4505" spans="1:8" x14ac:dyDescent="0.15">
      <c r="A4505" s="196" t="s">
        <v>11229</v>
      </c>
      <c r="B4505" s="196" t="s">
        <v>11230</v>
      </c>
      <c r="C4505" s="196" t="s">
        <v>21654</v>
      </c>
      <c r="D4505" s="196" t="s">
        <v>21655</v>
      </c>
      <c r="E4505" s="196" t="s">
        <v>21655</v>
      </c>
      <c r="F4505" s="196" t="s">
        <v>11233</v>
      </c>
      <c r="G4505" s="196" t="s">
        <v>12378</v>
      </c>
      <c r="H4505" s="196" t="s">
        <v>11235</v>
      </c>
    </row>
    <row r="4506" spans="1:8" x14ac:dyDescent="0.15">
      <c r="A4506" s="196" t="s">
        <v>11229</v>
      </c>
      <c r="B4506" s="196" t="s">
        <v>11230</v>
      </c>
      <c r="C4506" s="196" t="s">
        <v>21656</v>
      </c>
      <c r="D4506" s="196" t="s">
        <v>21657</v>
      </c>
      <c r="E4506" s="196" t="s">
        <v>21657</v>
      </c>
      <c r="F4506" s="196" t="s">
        <v>11233</v>
      </c>
      <c r="G4506" s="196" t="s">
        <v>12378</v>
      </c>
      <c r="H4506" s="196" t="s">
        <v>11235</v>
      </c>
    </row>
    <row r="4507" spans="1:8" x14ac:dyDescent="0.15">
      <c r="A4507" s="196" t="s">
        <v>11229</v>
      </c>
      <c r="B4507" s="196" t="s">
        <v>11230</v>
      </c>
      <c r="C4507" s="196" t="s">
        <v>21658</v>
      </c>
      <c r="D4507" s="196" t="s">
        <v>21659</v>
      </c>
      <c r="E4507" s="196" t="s">
        <v>21659</v>
      </c>
      <c r="F4507" s="196" t="s">
        <v>11233</v>
      </c>
      <c r="G4507" s="196" t="s">
        <v>12378</v>
      </c>
      <c r="H4507" s="196" t="s">
        <v>11235</v>
      </c>
    </row>
    <row r="4508" spans="1:8" x14ac:dyDescent="0.15">
      <c r="A4508" s="196" t="s">
        <v>11229</v>
      </c>
      <c r="B4508" s="196" t="s">
        <v>11230</v>
      </c>
      <c r="C4508" s="196" t="s">
        <v>21660</v>
      </c>
      <c r="D4508" s="196" t="s">
        <v>21661</v>
      </c>
      <c r="E4508" s="196" t="s">
        <v>21661</v>
      </c>
      <c r="F4508" s="196" t="s">
        <v>11233</v>
      </c>
      <c r="G4508" s="196" t="s">
        <v>12378</v>
      </c>
      <c r="H4508" s="196" t="s">
        <v>11235</v>
      </c>
    </row>
    <row r="4509" spans="1:8" x14ac:dyDescent="0.15">
      <c r="A4509" s="196" t="s">
        <v>11229</v>
      </c>
      <c r="B4509" s="196" t="s">
        <v>11230</v>
      </c>
      <c r="C4509" s="196" t="s">
        <v>21662</v>
      </c>
      <c r="D4509" s="196" t="s">
        <v>21663</v>
      </c>
      <c r="E4509" s="196" t="s">
        <v>21663</v>
      </c>
      <c r="F4509" s="196" t="s">
        <v>11233</v>
      </c>
      <c r="G4509" s="196" t="s">
        <v>12378</v>
      </c>
      <c r="H4509" s="196" t="s">
        <v>11235</v>
      </c>
    </row>
    <row r="4510" spans="1:8" x14ac:dyDescent="0.15">
      <c r="A4510" s="196" t="s">
        <v>11229</v>
      </c>
      <c r="B4510" s="196" t="s">
        <v>11230</v>
      </c>
      <c r="C4510" s="196" t="s">
        <v>21664</v>
      </c>
      <c r="D4510" s="196" t="s">
        <v>21665</v>
      </c>
      <c r="E4510" s="196" t="s">
        <v>21665</v>
      </c>
      <c r="F4510" s="196" t="s">
        <v>11233</v>
      </c>
      <c r="G4510" s="196" t="s">
        <v>12378</v>
      </c>
      <c r="H4510" s="196" t="s">
        <v>11235</v>
      </c>
    </row>
    <row r="4511" spans="1:8" x14ac:dyDescent="0.15">
      <c r="A4511" s="196" t="s">
        <v>11229</v>
      </c>
      <c r="B4511" s="196" t="s">
        <v>11230</v>
      </c>
      <c r="C4511" s="196" t="s">
        <v>21666</v>
      </c>
      <c r="D4511" s="196" t="s">
        <v>21667</v>
      </c>
      <c r="E4511" s="196" t="s">
        <v>21667</v>
      </c>
      <c r="F4511" s="196" t="s">
        <v>11233</v>
      </c>
      <c r="G4511" s="196" t="s">
        <v>12378</v>
      </c>
      <c r="H4511" s="196" t="s">
        <v>11235</v>
      </c>
    </row>
    <row r="4512" spans="1:8" x14ac:dyDescent="0.15">
      <c r="A4512" s="196" t="s">
        <v>11229</v>
      </c>
      <c r="B4512" s="196" t="s">
        <v>11230</v>
      </c>
      <c r="C4512" s="196" t="s">
        <v>21668</v>
      </c>
      <c r="D4512" s="196" t="s">
        <v>21669</v>
      </c>
      <c r="E4512" s="196" t="s">
        <v>21669</v>
      </c>
      <c r="F4512" s="196" t="s">
        <v>11233</v>
      </c>
      <c r="G4512" s="196" t="s">
        <v>12378</v>
      </c>
      <c r="H4512" s="196" t="s">
        <v>11235</v>
      </c>
    </row>
    <row r="4513" spans="1:8" x14ac:dyDescent="0.15">
      <c r="A4513" s="196" t="s">
        <v>11229</v>
      </c>
      <c r="B4513" s="196" t="s">
        <v>11230</v>
      </c>
      <c r="C4513" s="196" t="s">
        <v>21670</v>
      </c>
      <c r="D4513" s="196" t="s">
        <v>21671</v>
      </c>
      <c r="E4513" s="196" t="s">
        <v>21671</v>
      </c>
      <c r="F4513" s="196" t="s">
        <v>11233</v>
      </c>
      <c r="G4513" s="196" t="s">
        <v>12378</v>
      </c>
      <c r="H4513" s="196" t="s">
        <v>11235</v>
      </c>
    </row>
    <row r="4514" spans="1:8" x14ac:dyDescent="0.15">
      <c r="A4514" s="196" t="s">
        <v>11229</v>
      </c>
      <c r="B4514" s="196" t="s">
        <v>11230</v>
      </c>
      <c r="C4514" s="196" t="s">
        <v>21672</v>
      </c>
      <c r="D4514" s="196" t="s">
        <v>21673</v>
      </c>
      <c r="E4514" s="196" t="s">
        <v>21673</v>
      </c>
      <c r="F4514" s="196" t="s">
        <v>11233</v>
      </c>
      <c r="G4514" s="196" t="s">
        <v>12378</v>
      </c>
      <c r="H4514" s="196" t="s">
        <v>11235</v>
      </c>
    </row>
    <row r="4515" spans="1:8" x14ac:dyDescent="0.15">
      <c r="A4515" s="196" t="s">
        <v>11229</v>
      </c>
      <c r="B4515" s="196" t="s">
        <v>11230</v>
      </c>
      <c r="C4515" s="196" t="s">
        <v>21674</v>
      </c>
      <c r="D4515" s="196" t="s">
        <v>21675</v>
      </c>
      <c r="E4515" s="196" t="s">
        <v>21675</v>
      </c>
      <c r="F4515" s="196" t="s">
        <v>11233</v>
      </c>
      <c r="G4515" s="196" t="s">
        <v>12378</v>
      </c>
      <c r="H4515" s="196" t="s">
        <v>11235</v>
      </c>
    </row>
    <row r="4516" spans="1:8" x14ac:dyDescent="0.15">
      <c r="A4516" s="196" t="s">
        <v>11229</v>
      </c>
      <c r="B4516" s="196" t="s">
        <v>11230</v>
      </c>
      <c r="C4516" s="196" t="s">
        <v>21676</v>
      </c>
      <c r="D4516" s="196" t="s">
        <v>21677</v>
      </c>
      <c r="E4516" s="196" t="s">
        <v>21677</v>
      </c>
      <c r="F4516" s="196" t="s">
        <v>11233</v>
      </c>
      <c r="G4516" s="196" t="s">
        <v>12378</v>
      </c>
      <c r="H4516" s="196" t="s">
        <v>11235</v>
      </c>
    </row>
    <row r="4517" spans="1:8" x14ac:dyDescent="0.15">
      <c r="A4517" s="196" t="s">
        <v>11229</v>
      </c>
      <c r="B4517" s="196" t="s">
        <v>11230</v>
      </c>
      <c r="C4517" s="196" t="s">
        <v>21678</v>
      </c>
      <c r="D4517" s="196" t="s">
        <v>21679</v>
      </c>
      <c r="E4517" s="196" t="s">
        <v>21680</v>
      </c>
      <c r="F4517" s="196" t="s">
        <v>11939</v>
      </c>
      <c r="G4517" s="196" t="s">
        <v>12378</v>
      </c>
      <c r="H4517" s="196" t="s">
        <v>11235</v>
      </c>
    </row>
    <row r="4518" spans="1:8" x14ac:dyDescent="0.15">
      <c r="A4518" s="196" t="s">
        <v>11229</v>
      </c>
      <c r="B4518" s="196" t="s">
        <v>11230</v>
      </c>
      <c r="C4518" s="196" t="s">
        <v>21681</v>
      </c>
      <c r="D4518" s="196" t="s">
        <v>21680</v>
      </c>
      <c r="E4518" s="196" t="s">
        <v>21680</v>
      </c>
      <c r="F4518" s="196" t="s">
        <v>11233</v>
      </c>
      <c r="G4518" s="196" t="s">
        <v>12378</v>
      </c>
      <c r="H4518" s="196" t="s">
        <v>11235</v>
      </c>
    </row>
    <row r="4519" spans="1:8" x14ac:dyDescent="0.15">
      <c r="A4519" s="196" t="s">
        <v>11229</v>
      </c>
      <c r="B4519" s="196" t="s">
        <v>11230</v>
      </c>
      <c r="C4519" s="196" t="s">
        <v>21682</v>
      </c>
      <c r="D4519" s="196" t="s">
        <v>21683</v>
      </c>
      <c r="E4519" s="196" t="s">
        <v>21683</v>
      </c>
      <c r="F4519" s="196" t="s">
        <v>11233</v>
      </c>
      <c r="G4519" s="196" t="s">
        <v>12378</v>
      </c>
      <c r="H4519" s="196" t="s">
        <v>11235</v>
      </c>
    </row>
    <row r="4520" spans="1:8" x14ac:dyDescent="0.15">
      <c r="A4520" s="196" t="s">
        <v>11229</v>
      </c>
      <c r="B4520" s="196" t="s">
        <v>11230</v>
      </c>
      <c r="C4520" s="196" t="s">
        <v>21684</v>
      </c>
      <c r="D4520" s="196" t="s">
        <v>21685</v>
      </c>
      <c r="E4520" s="196" t="s">
        <v>21685</v>
      </c>
      <c r="F4520" s="196" t="s">
        <v>11233</v>
      </c>
      <c r="G4520" s="196" t="s">
        <v>12378</v>
      </c>
      <c r="H4520" s="196" t="s">
        <v>11235</v>
      </c>
    </row>
    <row r="4521" spans="1:8" x14ac:dyDescent="0.15">
      <c r="A4521" s="196" t="s">
        <v>11229</v>
      </c>
      <c r="B4521" s="196" t="s">
        <v>11230</v>
      </c>
      <c r="C4521" s="196" t="s">
        <v>21686</v>
      </c>
      <c r="D4521" s="196" t="s">
        <v>21687</v>
      </c>
      <c r="E4521" s="196" t="s">
        <v>21687</v>
      </c>
      <c r="F4521" s="196" t="s">
        <v>11233</v>
      </c>
      <c r="G4521" s="196" t="s">
        <v>12378</v>
      </c>
      <c r="H4521" s="196" t="s">
        <v>11235</v>
      </c>
    </row>
    <row r="4522" spans="1:8" x14ac:dyDescent="0.15">
      <c r="A4522" s="196" t="s">
        <v>11229</v>
      </c>
      <c r="B4522" s="196" t="s">
        <v>11230</v>
      </c>
      <c r="C4522" s="196" t="s">
        <v>21688</v>
      </c>
      <c r="D4522" s="196" t="s">
        <v>21689</v>
      </c>
      <c r="E4522" s="196" t="s">
        <v>21689</v>
      </c>
      <c r="F4522" s="196" t="s">
        <v>11233</v>
      </c>
      <c r="G4522" s="196" t="s">
        <v>12378</v>
      </c>
      <c r="H4522" s="196" t="s">
        <v>11235</v>
      </c>
    </row>
    <row r="4523" spans="1:8" x14ac:dyDescent="0.15">
      <c r="A4523" s="196" t="s">
        <v>11229</v>
      </c>
      <c r="B4523" s="196" t="s">
        <v>11230</v>
      </c>
      <c r="C4523" s="196" t="s">
        <v>21690</v>
      </c>
      <c r="D4523" s="196" t="s">
        <v>21691</v>
      </c>
      <c r="E4523" s="196" t="s">
        <v>21691</v>
      </c>
      <c r="F4523" s="196" t="s">
        <v>11233</v>
      </c>
      <c r="G4523" s="196" t="s">
        <v>12378</v>
      </c>
      <c r="H4523" s="196" t="s">
        <v>11235</v>
      </c>
    </row>
    <row r="4524" spans="1:8" x14ac:dyDescent="0.15">
      <c r="A4524" s="196" t="s">
        <v>11229</v>
      </c>
      <c r="B4524" s="196" t="s">
        <v>11230</v>
      </c>
      <c r="C4524" s="196" t="s">
        <v>21692</v>
      </c>
      <c r="D4524" s="196" t="s">
        <v>21693</v>
      </c>
      <c r="E4524" s="196" t="s">
        <v>21693</v>
      </c>
      <c r="F4524" s="196" t="s">
        <v>11233</v>
      </c>
      <c r="G4524" s="196" t="s">
        <v>12378</v>
      </c>
      <c r="H4524" s="196" t="s">
        <v>11235</v>
      </c>
    </row>
    <row r="4525" spans="1:8" x14ac:dyDescent="0.15">
      <c r="A4525" s="196" t="s">
        <v>11229</v>
      </c>
      <c r="B4525" s="196" t="s">
        <v>11230</v>
      </c>
      <c r="C4525" s="196" t="s">
        <v>21694</v>
      </c>
      <c r="D4525" s="196" t="s">
        <v>21695</v>
      </c>
      <c r="E4525" s="196" t="s">
        <v>21695</v>
      </c>
      <c r="F4525" s="196" t="s">
        <v>11233</v>
      </c>
      <c r="G4525" s="196" t="s">
        <v>12378</v>
      </c>
      <c r="H4525" s="196" t="s">
        <v>11235</v>
      </c>
    </row>
    <row r="4526" spans="1:8" x14ac:dyDescent="0.15">
      <c r="A4526" s="196" t="s">
        <v>11229</v>
      </c>
      <c r="B4526" s="196" t="s">
        <v>11230</v>
      </c>
      <c r="C4526" s="196" t="s">
        <v>21696</v>
      </c>
      <c r="D4526" s="196" t="s">
        <v>21697</v>
      </c>
      <c r="E4526" s="196" t="s">
        <v>21697</v>
      </c>
      <c r="F4526" s="196" t="s">
        <v>11233</v>
      </c>
      <c r="G4526" s="196" t="s">
        <v>12378</v>
      </c>
      <c r="H4526" s="196" t="s">
        <v>11235</v>
      </c>
    </row>
    <row r="4527" spans="1:8" x14ac:dyDescent="0.15">
      <c r="A4527" s="196" t="s">
        <v>11229</v>
      </c>
      <c r="B4527" s="196" t="s">
        <v>11230</v>
      </c>
      <c r="C4527" s="196" t="s">
        <v>21698</v>
      </c>
      <c r="D4527" s="196" t="s">
        <v>21699</v>
      </c>
      <c r="E4527" s="196" t="s">
        <v>21699</v>
      </c>
      <c r="F4527" s="196" t="s">
        <v>11233</v>
      </c>
      <c r="G4527" s="196" t="s">
        <v>12378</v>
      </c>
      <c r="H4527" s="196" t="s">
        <v>11235</v>
      </c>
    </row>
    <row r="4528" spans="1:8" x14ac:dyDescent="0.15">
      <c r="A4528" s="196" t="s">
        <v>11229</v>
      </c>
      <c r="B4528" s="196" t="s">
        <v>11230</v>
      </c>
      <c r="C4528" s="196" t="s">
        <v>21700</v>
      </c>
      <c r="D4528" s="196" t="s">
        <v>21701</v>
      </c>
      <c r="E4528" s="196" t="s">
        <v>21701</v>
      </c>
      <c r="F4528" s="196" t="s">
        <v>11233</v>
      </c>
      <c r="G4528" s="196" t="s">
        <v>12378</v>
      </c>
      <c r="H4528" s="196" t="s">
        <v>11235</v>
      </c>
    </row>
    <row r="4529" spans="1:8" x14ac:dyDescent="0.15">
      <c r="A4529" s="196" t="s">
        <v>11229</v>
      </c>
      <c r="B4529" s="196" t="s">
        <v>11230</v>
      </c>
      <c r="C4529" s="196" t="s">
        <v>21702</v>
      </c>
      <c r="D4529" s="196" t="s">
        <v>21703</v>
      </c>
      <c r="E4529" s="196" t="s">
        <v>21703</v>
      </c>
      <c r="F4529" s="196" t="s">
        <v>11233</v>
      </c>
      <c r="G4529" s="196" t="s">
        <v>12378</v>
      </c>
      <c r="H4529" s="196" t="s">
        <v>11235</v>
      </c>
    </row>
    <row r="4530" spans="1:8" x14ac:dyDescent="0.15">
      <c r="A4530" s="196" t="s">
        <v>11229</v>
      </c>
      <c r="B4530" s="196" t="s">
        <v>11230</v>
      </c>
      <c r="C4530" s="196" t="s">
        <v>21704</v>
      </c>
      <c r="D4530" s="196" t="s">
        <v>21705</v>
      </c>
      <c r="E4530" s="196" t="s">
        <v>21705</v>
      </c>
      <c r="F4530" s="196" t="s">
        <v>11233</v>
      </c>
      <c r="G4530" s="196" t="s">
        <v>12378</v>
      </c>
      <c r="H4530" s="196" t="s">
        <v>11235</v>
      </c>
    </row>
    <row r="4531" spans="1:8" x14ac:dyDescent="0.15">
      <c r="A4531" s="196" t="s">
        <v>11229</v>
      </c>
      <c r="B4531" s="196" t="s">
        <v>11230</v>
      </c>
      <c r="C4531" s="196" t="s">
        <v>21706</v>
      </c>
      <c r="D4531" s="196" t="s">
        <v>21707</v>
      </c>
      <c r="E4531" s="196" t="s">
        <v>21707</v>
      </c>
      <c r="F4531" s="196" t="s">
        <v>11233</v>
      </c>
      <c r="G4531" s="196" t="s">
        <v>12378</v>
      </c>
      <c r="H4531" s="196" t="s">
        <v>11235</v>
      </c>
    </row>
    <row r="4532" spans="1:8" x14ac:dyDescent="0.15">
      <c r="A4532" s="196" t="s">
        <v>11229</v>
      </c>
      <c r="B4532" s="196" t="s">
        <v>11230</v>
      </c>
      <c r="C4532" s="196" t="s">
        <v>21708</v>
      </c>
      <c r="D4532" s="196" t="s">
        <v>21709</v>
      </c>
      <c r="E4532" s="196" t="s">
        <v>21709</v>
      </c>
      <c r="F4532" s="196" t="s">
        <v>11233</v>
      </c>
      <c r="G4532" s="196" t="s">
        <v>12378</v>
      </c>
      <c r="H4532" s="196" t="s">
        <v>11235</v>
      </c>
    </row>
    <row r="4533" spans="1:8" x14ac:dyDescent="0.15">
      <c r="A4533" s="196" t="s">
        <v>11229</v>
      </c>
      <c r="B4533" s="196" t="s">
        <v>11230</v>
      </c>
      <c r="C4533" s="196" t="s">
        <v>21710</v>
      </c>
      <c r="D4533" s="196" t="s">
        <v>21711</v>
      </c>
      <c r="E4533" s="196" t="s">
        <v>21711</v>
      </c>
      <c r="F4533" s="196" t="s">
        <v>11233</v>
      </c>
      <c r="G4533" s="196" t="s">
        <v>12378</v>
      </c>
      <c r="H4533" s="196" t="s">
        <v>11235</v>
      </c>
    </row>
    <row r="4534" spans="1:8" x14ac:dyDescent="0.15">
      <c r="A4534" s="196" t="s">
        <v>11229</v>
      </c>
      <c r="B4534" s="196" t="s">
        <v>11230</v>
      </c>
      <c r="C4534" s="196" t="s">
        <v>21712</v>
      </c>
      <c r="D4534" s="196" t="s">
        <v>21713</v>
      </c>
      <c r="E4534" s="196" t="s">
        <v>21713</v>
      </c>
      <c r="F4534" s="196" t="s">
        <v>11233</v>
      </c>
      <c r="G4534" s="196" t="s">
        <v>12378</v>
      </c>
      <c r="H4534" s="196" t="s">
        <v>11235</v>
      </c>
    </row>
    <row r="4535" spans="1:8" x14ac:dyDescent="0.15">
      <c r="A4535" s="196" t="s">
        <v>11229</v>
      </c>
      <c r="B4535" s="196" t="s">
        <v>11230</v>
      </c>
      <c r="C4535" s="196" t="s">
        <v>21714</v>
      </c>
      <c r="D4535" s="196" t="s">
        <v>21715</v>
      </c>
      <c r="E4535" s="196" t="s">
        <v>21715</v>
      </c>
      <c r="F4535" s="196" t="s">
        <v>11233</v>
      </c>
      <c r="G4535" s="196" t="s">
        <v>12378</v>
      </c>
      <c r="H4535" s="196" t="s">
        <v>11235</v>
      </c>
    </row>
    <row r="4536" spans="1:8" x14ac:dyDescent="0.15">
      <c r="A4536" s="196" t="s">
        <v>11229</v>
      </c>
      <c r="B4536" s="196" t="s">
        <v>11230</v>
      </c>
      <c r="C4536" s="196" t="s">
        <v>21716</v>
      </c>
      <c r="D4536" s="196" t="s">
        <v>21717</v>
      </c>
      <c r="E4536" s="196" t="s">
        <v>21717</v>
      </c>
      <c r="F4536" s="196" t="s">
        <v>11233</v>
      </c>
      <c r="G4536" s="196" t="s">
        <v>12378</v>
      </c>
      <c r="H4536" s="196" t="s">
        <v>11235</v>
      </c>
    </row>
    <row r="4537" spans="1:8" x14ac:dyDescent="0.15">
      <c r="A4537" s="196" t="s">
        <v>11229</v>
      </c>
      <c r="B4537" s="196" t="s">
        <v>11230</v>
      </c>
      <c r="C4537" s="196" t="s">
        <v>21718</v>
      </c>
      <c r="D4537" s="196" t="s">
        <v>21719</v>
      </c>
      <c r="E4537" s="196" t="s">
        <v>21719</v>
      </c>
      <c r="F4537" s="196" t="s">
        <v>11233</v>
      </c>
      <c r="G4537" s="196" t="s">
        <v>12378</v>
      </c>
      <c r="H4537" s="196" t="s">
        <v>11235</v>
      </c>
    </row>
    <row r="4538" spans="1:8" x14ac:dyDescent="0.15">
      <c r="A4538" s="196" t="s">
        <v>11229</v>
      </c>
      <c r="B4538" s="196" t="s">
        <v>11230</v>
      </c>
      <c r="C4538" s="196" t="s">
        <v>21720</v>
      </c>
      <c r="D4538" s="196" t="s">
        <v>21721</v>
      </c>
      <c r="E4538" s="196" t="s">
        <v>21721</v>
      </c>
      <c r="F4538" s="196" t="s">
        <v>11233</v>
      </c>
      <c r="G4538" s="196" t="s">
        <v>12378</v>
      </c>
      <c r="H4538" s="196" t="s">
        <v>11235</v>
      </c>
    </row>
    <row r="4539" spans="1:8" x14ac:dyDescent="0.15">
      <c r="A4539" s="196" t="s">
        <v>11229</v>
      </c>
      <c r="B4539" s="196" t="s">
        <v>11230</v>
      </c>
      <c r="C4539" s="196" t="s">
        <v>21722</v>
      </c>
      <c r="D4539" s="196" t="s">
        <v>21723</v>
      </c>
      <c r="E4539" s="196" t="s">
        <v>21723</v>
      </c>
      <c r="F4539" s="196" t="s">
        <v>11233</v>
      </c>
      <c r="G4539" s="196" t="s">
        <v>12378</v>
      </c>
      <c r="H4539" s="196" t="s">
        <v>11235</v>
      </c>
    </row>
    <row r="4540" spans="1:8" x14ac:dyDescent="0.15">
      <c r="A4540" s="196" t="s">
        <v>11229</v>
      </c>
      <c r="B4540" s="196" t="s">
        <v>11230</v>
      </c>
      <c r="C4540" s="196" t="s">
        <v>21724</v>
      </c>
      <c r="D4540" s="196" t="s">
        <v>21725</v>
      </c>
      <c r="E4540" s="196" t="s">
        <v>21726</v>
      </c>
      <c r="F4540" s="196" t="s">
        <v>21727</v>
      </c>
      <c r="G4540" s="196" t="s">
        <v>12378</v>
      </c>
      <c r="H4540" s="196" t="s">
        <v>11235</v>
      </c>
    </row>
    <row r="4541" spans="1:8" x14ac:dyDescent="0.15">
      <c r="A4541" s="196" t="s">
        <v>11229</v>
      </c>
      <c r="B4541" s="196" t="s">
        <v>11230</v>
      </c>
      <c r="C4541" s="196" t="s">
        <v>21728</v>
      </c>
      <c r="D4541" s="196" t="s">
        <v>21729</v>
      </c>
      <c r="E4541" s="196" t="s">
        <v>21730</v>
      </c>
      <c r="F4541" s="196" t="s">
        <v>21731</v>
      </c>
      <c r="G4541" s="196" t="s">
        <v>12378</v>
      </c>
      <c r="H4541" s="196" t="s">
        <v>11235</v>
      </c>
    </row>
    <row r="4542" spans="1:8" x14ac:dyDescent="0.15">
      <c r="A4542" s="196" t="s">
        <v>11229</v>
      </c>
      <c r="B4542" s="196" t="s">
        <v>11230</v>
      </c>
      <c r="C4542" s="196" t="s">
        <v>21732</v>
      </c>
      <c r="D4542" s="196" t="s">
        <v>21733</v>
      </c>
      <c r="E4542" s="196" t="s">
        <v>21734</v>
      </c>
      <c r="F4542" s="196" t="s">
        <v>21735</v>
      </c>
      <c r="G4542" s="196" t="s">
        <v>12378</v>
      </c>
      <c r="H4542" s="196" t="s">
        <v>11235</v>
      </c>
    </row>
    <row r="4543" spans="1:8" x14ac:dyDescent="0.15">
      <c r="A4543" s="196" t="s">
        <v>11229</v>
      </c>
      <c r="B4543" s="196" t="s">
        <v>11230</v>
      </c>
      <c r="C4543" s="196" t="s">
        <v>21736</v>
      </c>
      <c r="D4543" s="196" t="s">
        <v>21737</v>
      </c>
      <c r="E4543" s="196" t="s">
        <v>21737</v>
      </c>
      <c r="F4543" s="196" t="s">
        <v>11233</v>
      </c>
      <c r="G4543" s="196" t="s">
        <v>12378</v>
      </c>
      <c r="H4543" s="196" t="s">
        <v>11235</v>
      </c>
    </row>
    <row r="4544" spans="1:8" x14ac:dyDescent="0.15">
      <c r="A4544" s="196" t="s">
        <v>11229</v>
      </c>
      <c r="B4544" s="196" t="s">
        <v>11230</v>
      </c>
      <c r="C4544" s="196" t="s">
        <v>21738</v>
      </c>
      <c r="D4544" s="196" t="s">
        <v>21739</v>
      </c>
      <c r="E4544" s="196" t="s">
        <v>21739</v>
      </c>
      <c r="F4544" s="196" t="s">
        <v>11233</v>
      </c>
      <c r="G4544" s="196" t="s">
        <v>12378</v>
      </c>
      <c r="H4544" s="196" t="s">
        <v>11235</v>
      </c>
    </row>
    <row r="4545" spans="1:8" x14ac:dyDescent="0.15">
      <c r="A4545" s="196" t="s">
        <v>11229</v>
      </c>
      <c r="B4545" s="196" t="s">
        <v>11230</v>
      </c>
      <c r="C4545" s="196" t="s">
        <v>21740</v>
      </c>
      <c r="D4545" s="196" t="s">
        <v>21741</v>
      </c>
      <c r="E4545" s="196" t="s">
        <v>21741</v>
      </c>
      <c r="F4545" s="196" t="s">
        <v>11233</v>
      </c>
      <c r="G4545" s="196" t="s">
        <v>12378</v>
      </c>
      <c r="H4545" s="196" t="s">
        <v>11235</v>
      </c>
    </row>
    <row r="4546" spans="1:8" x14ac:dyDescent="0.15">
      <c r="A4546" s="196" t="s">
        <v>11229</v>
      </c>
      <c r="B4546" s="196" t="s">
        <v>11230</v>
      </c>
      <c r="C4546" s="196" t="s">
        <v>21742</v>
      </c>
      <c r="D4546" s="196" t="s">
        <v>21743</v>
      </c>
      <c r="E4546" s="196" t="s">
        <v>21743</v>
      </c>
      <c r="F4546" s="196" t="s">
        <v>11233</v>
      </c>
      <c r="G4546" s="196" t="s">
        <v>12378</v>
      </c>
      <c r="H4546" s="196" t="s">
        <v>11235</v>
      </c>
    </row>
    <row r="4547" spans="1:8" x14ac:dyDescent="0.15">
      <c r="A4547" s="196" t="s">
        <v>11229</v>
      </c>
      <c r="B4547" s="196" t="s">
        <v>11230</v>
      </c>
      <c r="C4547" s="196" t="s">
        <v>21744</v>
      </c>
      <c r="D4547" s="196" t="s">
        <v>21745</v>
      </c>
      <c r="E4547" s="196" t="s">
        <v>21745</v>
      </c>
      <c r="F4547" s="196" t="s">
        <v>11233</v>
      </c>
      <c r="G4547" s="196" t="s">
        <v>12378</v>
      </c>
      <c r="H4547" s="196" t="s">
        <v>11235</v>
      </c>
    </row>
    <row r="4548" spans="1:8" x14ac:dyDescent="0.15">
      <c r="A4548" s="196" t="s">
        <v>11229</v>
      </c>
      <c r="B4548" s="196" t="s">
        <v>11230</v>
      </c>
      <c r="C4548" s="196" t="s">
        <v>21746</v>
      </c>
      <c r="D4548" s="196" t="s">
        <v>21747</v>
      </c>
      <c r="E4548" s="196" t="s">
        <v>21747</v>
      </c>
      <c r="F4548" s="196" t="s">
        <v>11233</v>
      </c>
      <c r="G4548" s="196" t="s">
        <v>12378</v>
      </c>
      <c r="H4548" s="196" t="s">
        <v>11235</v>
      </c>
    </row>
    <row r="4549" spans="1:8" x14ac:dyDescent="0.15">
      <c r="A4549" s="196" t="s">
        <v>11229</v>
      </c>
      <c r="B4549" s="196" t="s">
        <v>11230</v>
      </c>
      <c r="C4549" s="196" t="s">
        <v>21748</v>
      </c>
      <c r="D4549" s="196" t="s">
        <v>21749</v>
      </c>
      <c r="E4549" s="196" t="s">
        <v>21749</v>
      </c>
      <c r="F4549" s="196" t="s">
        <v>11233</v>
      </c>
      <c r="G4549" s="196" t="s">
        <v>12378</v>
      </c>
      <c r="H4549" s="196" t="s">
        <v>11235</v>
      </c>
    </row>
    <row r="4550" spans="1:8" x14ac:dyDescent="0.15">
      <c r="A4550" s="196" t="s">
        <v>11229</v>
      </c>
      <c r="B4550" s="196" t="s">
        <v>11230</v>
      </c>
      <c r="C4550" s="196" t="s">
        <v>21750</v>
      </c>
      <c r="D4550" s="196" t="s">
        <v>21751</v>
      </c>
      <c r="E4550" s="196" t="s">
        <v>21751</v>
      </c>
      <c r="F4550" s="196" t="s">
        <v>11233</v>
      </c>
      <c r="G4550" s="196" t="s">
        <v>12378</v>
      </c>
      <c r="H4550" s="196" t="s">
        <v>11235</v>
      </c>
    </row>
    <row r="4551" spans="1:8" x14ac:dyDescent="0.15">
      <c r="A4551" s="196" t="s">
        <v>11229</v>
      </c>
      <c r="B4551" s="196" t="s">
        <v>11230</v>
      </c>
      <c r="C4551" s="196" t="s">
        <v>21752</v>
      </c>
      <c r="D4551" s="196" t="s">
        <v>21753</v>
      </c>
      <c r="E4551" s="196" t="s">
        <v>21753</v>
      </c>
      <c r="F4551" s="196" t="s">
        <v>11233</v>
      </c>
      <c r="G4551" s="196" t="s">
        <v>12378</v>
      </c>
      <c r="H4551" s="196" t="s">
        <v>11235</v>
      </c>
    </row>
    <row r="4552" spans="1:8" x14ac:dyDescent="0.15">
      <c r="A4552" s="196" t="s">
        <v>11229</v>
      </c>
      <c r="B4552" s="196" t="s">
        <v>11230</v>
      </c>
      <c r="C4552" s="196" t="s">
        <v>21754</v>
      </c>
      <c r="D4552" s="196" t="s">
        <v>21755</v>
      </c>
      <c r="E4552" s="196" t="s">
        <v>21755</v>
      </c>
      <c r="F4552" s="196" t="s">
        <v>11233</v>
      </c>
      <c r="G4552" s="196" t="s">
        <v>12378</v>
      </c>
      <c r="H4552" s="196" t="s">
        <v>11235</v>
      </c>
    </row>
    <row r="4553" spans="1:8" x14ac:dyDescent="0.15">
      <c r="A4553" s="196" t="s">
        <v>11229</v>
      </c>
      <c r="B4553" s="196" t="s">
        <v>11230</v>
      </c>
      <c r="C4553" s="196" t="s">
        <v>21756</v>
      </c>
      <c r="D4553" s="196" t="s">
        <v>21757</v>
      </c>
      <c r="E4553" s="196" t="s">
        <v>21757</v>
      </c>
      <c r="F4553" s="196" t="s">
        <v>11233</v>
      </c>
      <c r="G4553" s="196" t="s">
        <v>12378</v>
      </c>
      <c r="H4553" s="196" t="s">
        <v>11235</v>
      </c>
    </row>
    <row r="4554" spans="1:8" x14ac:dyDescent="0.15">
      <c r="A4554" s="196" t="s">
        <v>11229</v>
      </c>
      <c r="B4554" s="196" t="s">
        <v>11230</v>
      </c>
      <c r="C4554" s="196" t="s">
        <v>21758</v>
      </c>
      <c r="D4554" s="196" t="s">
        <v>21759</v>
      </c>
      <c r="E4554" s="196" t="s">
        <v>21759</v>
      </c>
      <c r="F4554" s="196" t="s">
        <v>11233</v>
      </c>
      <c r="G4554" s="196" t="s">
        <v>12378</v>
      </c>
      <c r="H4554" s="196" t="s">
        <v>11235</v>
      </c>
    </row>
    <row r="4555" spans="1:8" x14ac:dyDescent="0.15">
      <c r="A4555" s="196" t="s">
        <v>11229</v>
      </c>
      <c r="B4555" s="196" t="s">
        <v>11230</v>
      </c>
      <c r="C4555" s="196" t="s">
        <v>21760</v>
      </c>
      <c r="D4555" s="196" t="s">
        <v>21761</v>
      </c>
      <c r="E4555" s="196" t="s">
        <v>21762</v>
      </c>
      <c r="F4555" s="196" t="s">
        <v>21763</v>
      </c>
      <c r="G4555" s="196" t="s">
        <v>12378</v>
      </c>
      <c r="H4555" s="196" t="s">
        <v>11235</v>
      </c>
    </row>
    <row r="4556" spans="1:8" x14ac:dyDescent="0.15">
      <c r="A4556" s="196" t="s">
        <v>11229</v>
      </c>
      <c r="B4556" s="196" t="s">
        <v>11230</v>
      </c>
      <c r="C4556" s="196" t="s">
        <v>21764</v>
      </c>
      <c r="D4556" s="196" t="s">
        <v>21765</v>
      </c>
      <c r="E4556" s="196" t="s">
        <v>21766</v>
      </c>
      <c r="F4556" s="196" t="s">
        <v>21767</v>
      </c>
      <c r="G4556" s="196" t="s">
        <v>12378</v>
      </c>
      <c r="H4556" s="196" t="s">
        <v>11235</v>
      </c>
    </row>
    <row r="4557" spans="1:8" x14ac:dyDescent="0.15">
      <c r="A4557" s="196" t="s">
        <v>11229</v>
      </c>
      <c r="B4557" s="196" t="s">
        <v>11230</v>
      </c>
      <c r="C4557" s="196" t="s">
        <v>21768</v>
      </c>
      <c r="D4557" s="196" t="s">
        <v>21769</v>
      </c>
      <c r="E4557" s="196" t="s">
        <v>21770</v>
      </c>
      <c r="F4557" s="196" t="s">
        <v>21771</v>
      </c>
      <c r="G4557" s="196" t="s">
        <v>12378</v>
      </c>
      <c r="H4557" s="196" t="s">
        <v>11235</v>
      </c>
    </row>
    <row r="4558" spans="1:8" x14ac:dyDescent="0.15">
      <c r="A4558" s="196" t="s">
        <v>11229</v>
      </c>
      <c r="B4558" s="196" t="s">
        <v>11230</v>
      </c>
      <c r="C4558" s="196" t="s">
        <v>21772</v>
      </c>
      <c r="D4558" s="196" t="s">
        <v>21773</v>
      </c>
      <c r="E4558" s="196" t="s">
        <v>21774</v>
      </c>
      <c r="F4558" s="196" t="s">
        <v>21775</v>
      </c>
      <c r="G4558" s="196" t="s">
        <v>12378</v>
      </c>
      <c r="H4558" s="196" t="s">
        <v>11235</v>
      </c>
    </row>
    <row r="4559" spans="1:8" x14ac:dyDescent="0.15">
      <c r="A4559" s="196" t="s">
        <v>11229</v>
      </c>
      <c r="B4559" s="196" t="s">
        <v>11230</v>
      </c>
      <c r="C4559" s="196" t="s">
        <v>21776</v>
      </c>
      <c r="D4559" s="196" t="s">
        <v>21777</v>
      </c>
      <c r="E4559" s="196" t="s">
        <v>21778</v>
      </c>
      <c r="F4559" s="196" t="s">
        <v>21779</v>
      </c>
      <c r="G4559" s="196" t="s">
        <v>12378</v>
      </c>
      <c r="H4559" s="196" t="s">
        <v>11235</v>
      </c>
    </row>
    <row r="4560" spans="1:8" x14ac:dyDescent="0.15">
      <c r="A4560" s="196" t="s">
        <v>11229</v>
      </c>
      <c r="B4560" s="196" t="s">
        <v>11230</v>
      </c>
      <c r="C4560" s="196" t="s">
        <v>21780</v>
      </c>
      <c r="D4560" s="196" t="s">
        <v>21781</v>
      </c>
      <c r="E4560" s="196" t="s">
        <v>21782</v>
      </c>
      <c r="F4560" s="196" t="s">
        <v>13436</v>
      </c>
      <c r="G4560" s="196" t="s">
        <v>12378</v>
      </c>
      <c r="H4560" s="196" t="s">
        <v>11235</v>
      </c>
    </row>
    <row r="4561" spans="1:8" x14ac:dyDescent="0.15">
      <c r="A4561" s="196" t="s">
        <v>11229</v>
      </c>
      <c r="B4561" s="196" t="s">
        <v>11230</v>
      </c>
      <c r="C4561" s="196" t="s">
        <v>21783</v>
      </c>
      <c r="D4561" s="196" t="s">
        <v>21784</v>
      </c>
      <c r="E4561" s="196" t="s">
        <v>21785</v>
      </c>
      <c r="F4561" s="196" t="s">
        <v>21786</v>
      </c>
      <c r="G4561" s="196" t="s">
        <v>12378</v>
      </c>
      <c r="H4561" s="196" t="s">
        <v>11235</v>
      </c>
    </row>
    <row r="4562" spans="1:8" x14ac:dyDescent="0.15">
      <c r="A4562" s="196" t="s">
        <v>11229</v>
      </c>
      <c r="B4562" s="196" t="s">
        <v>11230</v>
      </c>
      <c r="C4562" s="196" t="s">
        <v>21787</v>
      </c>
      <c r="D4562" s="196" t="s">
        <v>21788</v>
      </c>
      <c r="E4562" s="196" t="s">
        <v>21789</v>
      </c>
      <c r="F4562" s="196" t="s">
        <v>15025</v>
      </c>
      <c r="G4562" s="196" t="s">
        <v>12378</v>
      </c>
      <c r="H4562" s="196" t="s">
        <v>11235</v>
      </c>
    </row>
    <row r="4563" spans="1:8" x14ac:dyDescent="0.15">
      <c r="A4563" s="196" t="s">
        <v>11229</v>
      </c>
      <c r="B4563" s="196" t="s">
        <v>11230</v>
      </c>
      <c r="C4563" s="196" t="s">
        <v>21790</v>
      </c>
      <c r="D4563" s="196" t="s">
        <v>21791</v>
      </c>
      <c r="E4563" s="196" t="s">
        <v>21791</v>
      </c>
      <c r="F4563" s="196" t="s">
        <v>11233</v>
      </c>
      <c r="G4563" s="196" t="s">
        <v>12378</v>
      </c>
      <c r="H4563" s="196" t="s">
        <v>11235</v>
      </c>
    </row>
    <row r="4564" spans="1:8" x14ac:dyDescent="0.15">
      <c r="A4564" s="196" t="s">
        <v>11229</v>
      </c>
      <c r="B4564" s="196" t="s">
        <v>11230</v>
      </c>
      <c r="C4564" s="196" t="s">
        <v>21792</v>
      </c>
      <c r="D4564" s="196" t="s">
        <v>21793</v>
      </c>
      <c r="E4564" s="196" t="s">
        <v>21793</v>
      </c>
      <c r="F4564" s="196" t="s">
        <v>11233</v>
      </c>
      <c r="G4564" s="196" t="s">
        <v>12378</v>
      </c>
      <c r="H4564" s="196" t="s">
        <v>11235</v>
      </c>
    </row>
    <row r="4565" spans="1:8" x14ac:dyDescent="0.15">
      <c r="A4565" s="196" t="s">
        <v>11229</v>
      </c>
      <c r="B4565" s="196" t="s">
        <v>11230</v>
      </c>
      <c r="C4565" s="196" t="s">
        <v>21794</v>
      </c>
      <c r="D4565" s="196" t="s">
        <v>21795</v>
      </c>
      <c r="E4565" s="196" t="s">
        <v>21795</v>
      </c>
      <c r="F4565" s="196" t="s">
        <v>11233</v>
      </c>
      <c r="G4565" s="196" t="s">
        <v>12378</v>
      </c>
      <c r="H4565" s="196" t="s">
        <v>11235</v>
      </c>
    </row>
    <row r="4566" spans="1:8" x14ac:dyDescent="0.15">
      <c r="A4566" s="196" t="s">
        <v>11229</v>
      </c>
      <c r="B4566" s="196" t="s">
        <v>11230</v>
      </c>
      <c r="C4566" s="196" t="s">
        <v>21796</v>
      </c>
      <c r="D4566" s="196" t="s">
        <v>21797</v>
      </c>
      <c r="E4566" s="196" t="s">
        <v>21797</v>
      </c>
      <c r="F4566" s="196" t="s">
        <v>11233</v>
      </c>
      <c r="G4566" s="196" t="s">
        <v>12378</v>
      </c>
      <c r="H4566" s="196" t="s">
        <v>11235</v>
      </c>
    </row>
    <row r="4567" spans="1:8" x14ac:dyDescent="0.15">
      <c r="A4567" s="196" t="s">
        <v>11229</v>
      </c>
      <c r="B4567" s="196" t="s">
        <v>11230</v>
      </c>
      <c r="C4567" s="196" t="s">
        <v>21798</v>
      </c>
      <c r="D4567" s="196" t="s">
        <v>21799</v>
      </c>
      <c r="E4567" s="196" t="s">
        <v>21800</v>
      </c>
      <c r="F4567" s="196" t="s">
        <v>21801</v>
      </c>
      <c r="G4567" s="196" t="s">
        <v>12378</v>
      </c>
      <c r="H4567" s="196" t="s">
        <v>11235</v>
      </c>
    </row>
    <row r="4568" spans="1:8" x14ac:dyDescent="0.15">
      <c r="A4568" s="196" t="s">
        <v>11229</v>
      </c>
      <c r="B4568" s="196" t="s">
        <v>11230</v>
      </c>
      <c r="C4568" s="196" t="s">
        <v>21802</v>
      </c>
      <c r="D4568" s="196" t="s">
        <v>21803</v>
      </c>
      <c r="E4568" s="196" t="s">
        <v>21804</v>
      </c>
      <c r="F4568" s="196" t="s">
        <v>21805</v>
      </c>
      <c r="G4568" s="196" t="s">
        <v>12378</v>
      </c>
      <c r="H4568" s="196" t="s">
        <v>11235</v>
      </c>
    </row>
    <row r="4569" spans="1:8" x14ac:dyDescent="0.15">
      <c r="A4569" s="196" t="s">
        <v>11229</v>
      </c>
      <c r="B4569" s="196" t="s">
        <v>11230</v>
      </c>
      <c r="C4569" s="196" t="s">
        <v>21806</v>
      </c>
      <c r="D4569" s="196" t="s">
        <v>21807</v>
      </c>
      <c r="E4569" s="196" t="s">
        <v>21808</v>
      </c>
      <c r="F4569" s="196" t="s">
        <v>21809</v>
      </c>
      <c r="G4569" s="196" t="s">
        <v>12378</v>
      </c>
      <c r="H4569" s="196" t="s">
        <v>11235</v>
      </c>
    </row>
    <row r="4570" spans="1:8" x14ac:dyDescent="0.15">
      <c r="A4570" s="196" t="s">
        <v>11229</v>
      </c>
      <c r="B4570" s="196" t="s">
        <v>11230</v>
      </c>
      <c r="C4570" s="196" t="s">
        <v>21810</v>
      </c>
      <c r="D4570" s="196" t="s">
        <v>21811</v>
      </c>
      <c r="E4570" s="196" t="s">
        <v>21812</v>
      </c>
      <c r="F4570" s="196" t="s">
        <v>21813</v>
      </c>
      <c r="G4570" s="196" t="s">
        <v>12378</v>
      </c>
      <c r="H4570" s="196" t="s">
        <v>11235</v>
      </c>
    </row>
    <row r="4571" spans="1:8" x14ac:dyDescent="0.15">
      <c r="A4571" s="196" t="s">
        <v>11229</v>
      </c>
      <c r="B4571" s="196" t="s">
        <v>11230</v>
      </c>
      <c r="C4571" s="196" t="s">
        <v>21814</v>
      </c>
      <c r="D4571" s="196" t="s">
        <v>21815</v>
      </c>
      <c r="E4571" s="196" t="s">
        <v>21816</v>
      </c>
      <c r="F4571" s="196" t="s">
        <v>21817</v>
      </c>
      <c r="G4571" s="196" t="s">
        <v>12378</v>
      </c>
      <c r="H4571" s="196" t="s">
        <v>11235</v>
      </c>
    </row>
    <row r="4572" spans="1:8" x14ac:dyDescent="0.15">
      <c r="A4572" s="196" t="s">
        <v>11229</v>
      </c>
      <c r="B4572" s="196" t="s">
        <v>11230</v>
      </c>
      <c r="C4572" s="196" t="s">
        <v>21818</v>
      </c>
      <c r="D4572" s="196" t="s">
        <v>21816</v>
      </c>
      <c r="E4572" s="196" t="s">
        <v>21819</v>
      </c>
      <c r="F4572" s="196" t="s">
        <v>21820</v>
      </c>
      <c r="G4572" s="196" t="s">
        <v>12378</v>
      </c>
      <c r="H4572" s="196" t="s">
        <v>11235</v>
      </c>
    </row>
    <row r="4573" spans="1:8" x14ac:dyDescent="0.15">
      <c r="A4573" s="196" t="s">
        <v>11229</v>
      </c>
      <c r="B4573" s="196" t="s">
        <v>11230</v>
      </c>
      <c r="C4573" s="196" t="s">
        <v>21821</v>
      </c>
      <c r="D4573" s="196" t="s">
        <v>21822</v>
      </c>
      <c r="E4573" s="196" t="s">
        <v>21823</v>
      </c>
      <c r="F4573" s="196" t="s">
        <v>21824</v>
      </c>
      <c r="G4573" s="196" t="s">
        <v>12378</v>
      </c>
      <c r="H4573" s="196" t="s">
        <v>11235</v>
      </c>
    </row>
    <row r="4574" spans="1:8" x14ac:dyDescent="0.15">
      <c r="A4574" s="196" t="s">
        <v>11229</v>
      </c>
      <c r="B4574" s="196" t="s">
        <v>11230</v>
      </c>
      <c r="C4574" s="196" t="s">
        <v>21825</v>
      </c>
      <c r="D4574" s="196" t="s">
        <v>21826</v>
      </c>
      <c r="E4574" s="196" t="s">
        <v>21827</v>
      </c>
      <c r="F4574" s="196" t="s">
        <v>21828</v>
      </c>
      <c r="G4574" s="196" t="s">
        <v>12378</v>
      </c>
      <c r="H4574" s="196" t="s">
        <v>11235</v>
      </c>
    </row>
    <row r="4575" spans="1:8" x14ac:dyDescent="0.15">
      <c r="A4575" s="196" t="s">
        <v>11229</v>
      </c>
      <c r="B4575" s="196" t="s">
        <v>11230</v>
      </c>
      <c r="C4575" s="196" t="s">
        <v>21829</v>
      </c>
      <c r="D4575" s="196" t="s">
        <v>21830</v>
      </c>
      <c r="E4575" s="196" t="s">
        <v>21831</v>
      </c>
      <c r="F4575" s="196" t="s">
        <v>21832</v>
      </c>
      <c r="G4575" s="196" t="s">
        <v>12378</v>
      </c>
      <c r="H4575" s="196" t="s">
        <v>11235</v>
      </c>
    </row>
    <row r="4576" spans="1:8" x14ac:dyDescent="0.15">
      <c r="A4576" s="196" t="s">
        <v>11229</v>
      </c>
      <c r="B4576" s="196" t="s">
        <v>11230</v>
      </c>
      <c r="C4576" s="196" t="s">
        <v>21833</v>
      </c>
      <c r="D4576" s="196" t="s">
        <v>21834</v>
      </c>
      <c r="E4576" s="196" t="s">
        <v>21835</v>
      </c>
      <c r="F4576" s="196" t="s">
        <v>21836</v>
      </c>
      <c r="G4576" s="196" t="s">
        <v>12378</v>
      </c>
      <c r="H4576" s="196" t="s">
        <v>11235</v>
      </c>
    </row>
    <row r="4577" spans="1:8" x14ac:dyDescent="0.15">
      <c r="A4577" s="196" t="s">
        <v>11229</v>
      </c>
      <c r="B4577" s="196" t="s">
        <v>11230</v>
      </c>
      <c r="C4577" s="196" t="s">
        <v>21837</v>
      </c>
      <c r="D4577" s="196" t="s">
        <v>21838</v>
      </c>
      <c r="E4577" s="196" t="s">
        <v>21839</v>
      </c>
      <c r="F4577" s="196" t="s">
        <v>21840</v>
      </c>
      <c r="G4577" s="196" t="s">
        <v>12378</v>
      </c>
      <c r="H4577" s="196" t="s">
        <v>11235</v>
      </c>
    </row>
    <row r="4578" spans="1:8" x14ac:dyDescent="0.15">
      <c r="A4578" s="196" t="s">
        <v>11229</v>
      </c>
      <c r="B4578" s="196" t="s">
        <v>11230</v>
      </c>
      <c r="C4578" s="196" t="s">
        <v>21841</v>
      </c>
      <c r="D4578" s="196" t="s">
        <v>21842</v>
      </c>
      <c r="E4578" s="196" t="s">
        <v>21843</v>
      </c>
      <c r="F4578" s="196" t="s">
        <v>21844</v>
      </c>
      <c r="G4578" s="196" t="s">
        <v>12378</v>
      </c>
      <c r="H4578" s="196" t="s">
        <v>11235</v>
      </c>
    </row>
    <row r="4579" spans="1:8" x14ac:dyDescent="0.15">
      <c r="A4579" s="196" t="s">
        <v>11229</v>
      </c>
      <c r="B4579" s="196" t="s">
        <v>11230</v>
      </c>
      <c r="C4579" s="196" t="s">
        <v>21845</v>
      </c>
      <c r="D4579" s="196" t="s">
        <v>21846</v>
      </c>
      <c r="E4579" s="196" t="s">
        <v>21847</v>
      </c>
      <c r="F4579" s="196" t="s">
        <v>21848</v>
      </c>
      <c r="G4579" s="196" t="s">
        <v>12378</v>
      </c>
      <c r="H4579" s="196" t="s">
        <v>11235</v>
      </c>
    </row>
    <row r="4580" spans="1:8" x14ac:dyDescent="0.15">
      <c r="A4580" s="196" t="s">
        <v>11229</v>
      </c>
      <c r="B4580" s="196" t="s">
        <v>11230</v>
      </c>
      <c r="C4580" s="196" t="s">
        <v>21849</v>
      </c>
      <c r="D4580" s="196" t="s">
        <v>21850</v>
      </c>
      <c r="E4580" s="196" t="s">
        <v>21851</v>
      </c>
      <c r="F4580" s="196" t="s">
        <v>21852</v>
      </c>
      <c r="G4580" s="196" t="s">
        <v>12378</v>
      </c>
      <c r="H4580" s="196" t="s">
        <v>11235</v>
      </c>
    </row>
    <row r="4581" spans="1:8" x14ac:dyDescent="0.15">
      <c r="A4581" s="196" t="s">
        <v>11229</v>
      </c>
      <c r="B4581" s="196" t="s">
        <v>11230</v>
      </c>
      <c r="C4581" s="196" t="s">
        <v>21853</v>
      </c>
      <c r="D4581" s="196" t="s">
        <v>21854</v>
      </c>
      <c r="E4581" s="196" t="s">
        <v>21855</v>
      </c>
      <c r="F4581" s="196" t="s">
        <v>21856</v>
      </c>
      <c r="G4581" s="196" t="s">
        <v>12378</v>
      </c>
      <c r="H4581" s="196" t="s">
        <v>11235</v>
      </c>
    </row>
    <row r="4582" spans="1:8" x14ac:dyDescent="0.15">
      <c r="A4582" s="196" t="s">
        <v>11229</v>
      </c>
      <c r="B4582" s="196" t="s">
        <v>11230</v>
      </c>
      <c r="C4582" s="196" t="s">
        <v>21857</v>
      </c>
      <c r="D4582" s="196" t="s">
        <v>21855</v>
      </c>
      <c r="E4582" s="196" t="s">
        <v>21858</v>
      </c>
      <c r="F4582" s="196" t="s">
        <v>21859</v>
      </c>
      <c r="G4582" s="196" t="s">
        <v>12378</v>
      </c>
      <c r="H4582" s="196" t="s">
        <v>11235</v>
      </c>
    </row>
    <row r="4583" spans="1:8" x14ac:dyDescent="0.15">
      <c r="A4583" s="196" t="s">
        <v>11229</v>
      </c>
      <c r="B4583" s="196" t="s">
        <v>11230</v>
      </c>
      <c r="C4583" s="196" t="s">
        <v>21860</v>
      </c>
      <c r="D4583" s="196" t="s">
        <v>21861</v>
      </c>
      <c r="E4583" s="196" t="s">
        <v>21862</v>
      </c>
      <c r="F4583" s="196" t="s">
        <v>21863</v>
      </c>
      <c r="G4583" s="196" t="s">
        <v>12378</v>
      </c>
      <c r="H4583" s="196" t="s">
        <v>11235</v>
      </c>
    </row>
    <row r="4584" spans="1:8" x14ac:dyDescent="0.15">
      <c r="A4584" s="196" t="s">
        <v>11229</v>
      </c>
      <c r="B4584" s="196" t="s">
        <v>11230</v>
      </c>
      <c r="C4584" s="196" t="s">
        <v>21864</v>
      </c>
      <c r="D4584" s="196" t="s">
        <v>21865</v>
      </c>
      <c r="E4584" s="196" t="s">
        <v>21866</v>
      </c>
      <c r="F4584" s="196" t="s">
        <v>21867</v>
      </c>
      <c r="G4584" s="196" t="s">
        <v>12378</v>
      </c>
      <c r="H4584" s="196" t="s">
        <v>11235</v>
      </c>
    </row>
    <row r="4585" spans="1:8" x14ac:dyDescent="0.15">
      <c r="A4585" s="196" t="s">
        <v>11229</v>
      </c>
      <c r="B4585" s="196" t="s">
        <v>11230</v>
      </c>
      <c r="C4585" s="196" t="s">
        <v>21868</v>
      </c>
      <c r="D4585" s="196" t="s">
        <v>21869</v>
      </c>
      <c r="E4585" s="196" t="s">
        <v>21870</v>
      </c>
      <c r="F4585" s="196" t="s">
        <v>21871</v>
      </c>
      <c r="G4585" s="196" t="s">
        <v>12378</v>
      </c>
      <c r="H4585" s="196" t="s">
        <v>11235</v>
      </c>
    </row>
    <row r="4586" spans="1:8" x14ac:dyDescent="0.15">
      <c r="A4586" s="196" t="s">
        <v>11229</v>
      </c>
      <c r="B4586" s="196" t="s">
        <v>11230</v>
      </c>
      <c r="C4586" s="196" t="s">
        <v>21872</v>
      </c>
      <c r="D4586" s="196" t="s">
        <v>21873</v>
      </c>
      <c r="E4586" s="196" t="s">
        <v>21874</v>
      </c>
      <c r="F4586" s="196" t="s">
        <v>21875</v>
      </c>
      <c r="G4586" s="196" t="s">
        <v>12378</v>
      </c>
      <c r="H4586" s="196" t="s">
        <v>11235</v>
      </c>
    </row>
    <row r="4587" spans="1:8" x14ac:dyDescent="0.15">
      <c r="A4587" s="196" t="s">
        <v>11229</v>
      </c>
      <c r="B4587" s="196" t="s">
        <v>11230</v>
      </c>
      <c r="C4587" s="196" t="s">
        <v>21876</v>
      </c>
      <c r="D4587" s="196" t="s">
        <v>21877</v>
      </c>
      <c r="E4587" s="196" t="s">
        <v>21878</v>
      </c>
      <c r="F4587" s="196" t="s">
        <v>21879</v>
      </c>
      <c r="G4587" s="196" t="s">
        <v>12378</v>
      </c>
      <c r="H4587" s="196" t="s">
        <v>11235</v>
      </c>
    </row>
    <row r="4588" spans="1:8" x14ac:dyDescent="0.15">
      <c r="A4588" s="196" t="s">
        <v>11229</v>
      </c>
      <c r="B4588" s="196" t="s">
        <v>11230</v>
      </c>
      <c r="C4588" s="196" t="s">
        <v>21880</v>
      </c>
      <c r="D4588" s="196" t="s">
        <v>21881</v>
      </c>
      <c r="E4588" s="196" t="s">
        <v>21882</v>
      </c>
      <c r="F4588" s="196" t="s">
        <v>21883</v>
      </c>
      <c r="G4588" s="196" t="s">
        <v>12378</v>
      </c>
      <c r="H4588" s="196" t="s">
        <v>11235</v>
      </c>
    </row>
    <row r="4589" spans="1:8" x14ac:dyDescent="0.15">
      <c r="A4589" s="196" t="s">
        <v>11229</v>
      </c>
      <c r="B4589" s="196" t="s">
        <v>11230</v>
      </c>
      <c r="C4589" s="196" t="s">
        <v>21884</v>
      </c>
      <c r="D4589" s="196" t="s">
        <v>21885</v>
      </c>
      <c r="E4589" s="196" t="s">
        <v>21886</v>
      </c>
      <c r="F4589" s="196" t="s">
        <v>21887</v>
      </c>
      <c r="G4589" s="196" t="s">
        <v>12378</v>
      </c>
      <c r="H4589" s="196" t="s">
        <v>11235</v>
      </c>
    </row>
    <row r="4590" spans="1:8" x14ac:dyDescent="0.15">
      <c r="A4590" s="196" t="s">
        <v>11229</v>
      </c>
      <c r="B4590" s="196" t="s">
        <v>11230</v>
      </c>
      <c r="C4590" s="196" t="s">
        <v>21888</v>
      </c>
      <c r="D4590" s="196" t="s">
        <v>21889</v>
      </c>
      <c r="E4590" s="196" t="s">
        <v>21890</v>
      </c>
      <c r="F4590" s="196" t="s">
        <v>16507</v>
      </c>
      <c r="G4590" s="196" t="s">
        <v>12378</v>
      </c>
      <c r="H4590" s="196" t="s">
        <v>11235</v>
      </c>
    </row>
    <row r="4591" spans="1:8" x14ac:dyDescent="0.15">
      <c r="A4591" s="196" t="s">
        <v>11229</v>
      </c>
      <c r="B4591" s="196" t="s">
        <v>11230</v>
      </c>
      <c r="C4591" s="196" t="s">
        <v>21891</v>
      </c>
      <c r="D4591" s="196" t="s">
        <v>21892</v>
      </c>
      <c r="E4591" s="196" t="s">
        <v>21893</v>
      </c>
      <c r="F4591" s="196" t="s">
        <v>21894</v>
      </c>
      <c r="G4591" s="196" t="s">
        <v>12378</v>
      </c>
      <c r="H4591" s="196" t="s">
        <v>11235</v>
      </c>
    </row>
    <row r="4592" spans="1:8" x14ac:dyDescent="0.15">
      <c r="A4592" s="196" t="s">
        <v>11229</v>
      </c>
      <c r="B4592" s="196" t="s">
        <v>11230</v>
      </c>
      <c r="C4592" s="196" t="s">
        <v>21895</v>
      </c>
      <c r="D4592" s="196" t="s">
        <v>21896</v>
      </c>
      <c r="E4592" s="196" t="s">
        <v>21897</v>
      </c>
      <c r="F4592" s="196" t="s">
        <v>21898</v>
      </c>
      <c r="G4592" s="196" t="s">
        <v>12378</v>
      </c>
      <c r="H4592" s="196" t="s">
        <v>11235</v>
      </c>
    </row>
    <row r="4593" spans="1:8" x14ac:dyDescent="0.15">
      <c r="A4593" s="196" t="s">
        <v>11229</v>
      </c>
      <c r="B4593" s="196" t="s">
        <v>11230</v>
      </c>
      <c r="C4593" s="196" t="s">
        <v>21899</v>
      </c>
      <c r="D4593" s="196" t="s">
        <v>21900</v>
      </c>
      <c r="E4593" s="196" t="s">
        <v>21901</v>
      </c>
      <c r="F4593" s="196" t="s">
        <v>21902</v>
      </c>
      <c r="G4593" s="196" t="s">
        <v>12378</v>
      </c>
      <c r="H4593" s="196" t="s">
        <v>11235</v>
      </c>
    </row>
    <row r="4594" spans="1:8" x14ac:dyDescent="0.15">
      <c r="A4594" s="196" t="s">
        <v>11229</v>
      </c>
      <c r="B4594" s="196" t="s">
        <v>11230</v>
      </c>
      <c r="C4594" s="196" t="s">
        <v>21903</v>
      </c>
      <c r="D4594" s="196" t="s">
        <v>21904</v>
      </c>
      <c r="E4594" s="196" t="s">
        <v>21905</v>
      </c>
      <c r="F4594" s="196" t="s">
        <v>21906</v>
      </c>
      <c r="G4594" s="196" t="s">
        <v>12378</v>
      </c>
      <c r="H4594" s="196" t="s">
        <v>11235</v>
      </c>
    </row>
    <row r="4595" spans="1:8" x14ac:dyDescent="0.15">
      <c r="A4595" s="196" t="s">
        <v>11229</v>
      </c>
      <c r="B4595" s="196" t="s">
        <v>11230</v>
      </c>
      <c r="C4595" s="196" t="s">
        <v>21907</v>
      </c>
      <c r="D4595" s="196" t="s">
        <v>21905</v>
      </c>
      <c r="E4595" s="196" t="s">
        <v>21908</v>
      </c>
      <c r="F4595" s="196" t="s">
        <v>21909</v>
      </c>
      <c r="G4595" s="196" t="s">
        <v>12378</v>
      </c>
      <c r="H4595" s="196" t="s">
        <v>11235</v>
      </c>
    </row>
    <row r="4596" spans="1:8" x14ac:dyDescent="0.15">
      <c r="A4596" s="196" t="s">
        <v>11229</v>
      </c>
      <c r="B4596" s="196" t="s">
        <v>11230</v>
      </c>
      <c r="C4596" s="196" t="s">
        <v>21910</v>
      </c>
      <c r="D4596" s="196" t="s">
        <v>21911</v>
      </c>
      <c r="E4596" s="196" t="s">
        <v>21912</v>
      </c>
      <c r="F4596" s="196" t="s">
        <v>21913</v>
      </c>
      <c r="G4596" s="196" t="s">
        <v>12378</v>
      </c>
      <c r="H4596" s="196" t="s">
        <v>11235</v>
      </c>
    </row>
    <row r="4597" spans="1:8" x14ac:dyDescent="0.15">
      <c r="A4597" s="196" t="s">
        <v>11229</v>
      </c>
      <c r="B4597" s="196" t="s">
        <v>11230</v>
      </c>
      <c r="C4597" s="196" t="s">
        <v>21914</v>
      </c>
      <c r="D4597" s="196" t="s">
        <v>21915</v>
      </c>
      <c r="E4597" s="196" t="s">
        <v>21916</v>
      </c>
      <c r="F4597" s="196" t="s">
        <v>17439</v>
      </c>
      <c r="G4597" s="196" t="s">
        <v>12378</v>
      </c>
      <c r="H4597" s="196" t="s">
        <v>11235</v>
      </c>
    </row>
    <row r="4598" spans="1:8" x14ac:dyDescent="0.15">
      <c r="A4598" s="196" t="s">
        <v>11229</v>
      </c>
      <c r="B4598" s="196" t="s">
        <v>11230</v>
      </c>
      <c r="C4598" s="196" t="s">
        <v>21917</v>
      </c>
      <c r="D4598" s="196" t="s">
        <v>21916</v>
      </c>
      <c r="E4598" s="196" t="s">
        <v>21918</v>
      </c>
      <c r="F4598" s="196" t="s">
        <v>16539</v>
      </c>
      <c r="G4598" s="196" t="s">
        <v>12378</v>
      </c>
      <c r="H4598" s="196" t="s">
        <v>11235</v>
      </c>
    </row>
    <row r="4599" spans="1:8" x14ac:dyDescent="0.15">
      <c r="A4599" s="196" t="s">
        <v>11229</v>
      </c>
      <c r="B4599" s="196" t="s">
        <v>11230</v>
      </c>
      <c r="C4599" s="196" t="s">
        <v>21919</v>
      </c>
      <c r="D4599" s="196" t="s">
        <v>21920</v>
      </c>
      <c r="E4599" s="196" t="s">
        <v>21921</v>
      </c>
      <c r="F4599" s="196" t="s">
        <v>21922</v>
      </c>
      <c r="G4599" s="196" t="s">
        <v>12378</v>
      </c>
      <c r="H4599" s="196" t="s">
        <v>11235</v>
      </c>
    </row>
    <row r="4600" spans="1:8" x14ac:dyDescent="0.15">
      <c r="A4600" s="196" t="s">
        <v>11229</v>
      </c>
      <c r="B4600" s="196" t="s">
        <v>11230</v>
      </c>
      <c r="C4600" s="196" t="s">
        <v>21923</v>
      </c>
      <c r="D4600" s="196" t="s">
        <v>21924</v>
      </c>
      <c r="E4600" s="196" t="s">
        <v>21925</v>
      </c>
      <c r="F4600" s="196" t="s">
        <v>21926</v>
      </c>
      <c r="G4600" s="196" t="s">
        <v>12378</v>
      </c>
      <c r="H4600" s="196" t="s">
        <v>11235</v>
      </c>
    </row>
    <row r="4601" spans="1:8" x14ac:dyDescent="0.15">
      <c r="A4601" s="196" t="s">
        <v>11229</v>
      </c>
      <c r="B4601" s="196" t="s">
        <v>11230</v>
      </c>
      <c r="C4601" s="196" t="s">
        <v>21927</v>
      </c>
      <c r="D4601" s="196" t="s">
        <v>21928</v>
      </c>
      <c r="E4601" s="196" t="s">
        <v>21929</v>
      </c>
      <c r="F4601" s="196" t="s">
        <v>21930</v>
      </c>
      <c r="G4601" s="196" t="s">
        <v>12378</v>
      </c>
      <c r="H4601" s="196" t="s">
        <v>11235</v>
      </c>
    </row>
    <row r="4602" spans="1:8" x14ac:dyDescent="0.15">
      <c r="A4602" s="196" t="s">
        <v>11229</v>
      </c>
      <c r="B4602" s="196" t="s">
        <v>11230</v>
      </c>
      <c r="C4602" s="196" t="s">
        <v>21931</v>
      </c>
      <c r="D4602" s="196" t="s">
        <v>21932</v>
      </c>
      <c r="E4602" s="196" t="s">
        <v>21933</v>
      </c>
      <c r="F4602" s="196" t="s">
        <v>21934</v>
      </c>
      <c r="G4602" s="196" t="s">
        <v>12378</v>
      </c>
      <c r="H4602" s="196" t="s">
        <v>11235</v>
      </c>
    </row>
    <row r="4603" spans="1:8" x14ac:dyDescent="0.15">
      <c r="A4603" s="196" t="s">
        <v>11229</v>
      </c>
      <c r="B4603" s="196" t="s">
        <v>11230</v>
      </c>
      <c r="C4603" s="196" t="s">
        <v>21935</v>
      </c>
      <c r="D4603" s="196" t="s">
        <v>21936</v>
      </c>
      <c r="E4603" s="196" t="s">
        <v>21937</v>
      </c>
      <c r="F4603" s="196" t="s">
        <v>21938</v>
      </c>
      <c r="G4603" s="196" t="s">
        <v>12378</v>
      </c>
      <c r="H4603" s="196" t="s">
        <v>11235</v>
      </c>
    </row>
    <row r="4604" spans="1:8" x14ac:dyDescent="0.15">
      <c r="A4604" s="196" t="s">
        <v>11229</v>
      </c>
      <c r="B4604" s="196" t="s">
        <v>11230</v>
      </c>
      <c r="C4604" s="196" t="s">
        <v>21939</v>
      </c>
      <c r="D4604" s="196" t="s">
        <v>21940</v>
      </c>
      <c r="E4604" s="196" t="s">
        <v>21941</v>
      </c>
      <c r="F4604" s="196" t="s">
        <v>21942</v>
      </c>
      <c r="G4604" s="196" t="s">
        <v>12378</v>
      </c>
      <c r="H4604" s="196" t="s">
        <v>11235</v>
      </c>
    </row>
    <row r="4605" spans="1:8" x14ac:dyDescent="0.15">
      <c r="A4605" s="196" t="s">
        <v>11229</v>
      </c>
      <c r="B4605" s="196" t="s">
        <v>11230</v>
      </c>
      <c r="C4605" s="196" t="s">
        <v>21943</v>
      </c>
      <c r="D4605" s="196" t="s">
        <v>21944</v>
      </c>
      <c r="E4605" s="196" t="s">
        <v>21945</v>
      </c>
      <c r="F4605" s="196" t="s">
        <v>21946</v>
      </c>
      <c r="G4605" s="196" t="s">
        <v>12378</v>
      </c>
      <c r="H4605" s="196" t="s">
        <v>11235</v>
      </c>
    </row>
    <row r="4606" spans="1:8" x14ac:dyDescent="0.15">
      <c r="A4606" s="196" t="s">
        <v>11229</v>
      </c>
      <c r="B4606" s="196" t="s">
        <v>11230</v>
      </c>
      <c r="C4606" s="196" t="s">
        <v>21947</v>
      </c>
      <c r="D4606" s="196" t="s">
        <v>21948</v>
      </c>
      <c r="E4606" s="196" t="s">
        <v>21949</v>
      </c>
      <c r="F4606" s="196" t="s">
        <v>11268</v>
      </c>
      <c r="G4606" s="196" t="s">
        <v>12378</v>
      </c>
      <c r="H4606" s="196" t="s">
        <v>11235</v>
      </c>
    </row>
    <row r="4607" spans="1:8" x14ac:dyDescent="0.15">
      <c r="A4607" s="196" t="s">
        <v>11229</v>
      </c>
      <c r="B4607" s="196" t="s">
        <v>11230</v>
      </c>
      <c r="C4607" s="196" t="s">
        <v>21950</v>
      </c>
      <c r="D4607" s="196" t="s">
        <v>21951</v>
      </c>
      <c r="E4607" s="196" t="s">
        <v>21951</v>
      </c>
      <c r="F4607" s="196" t="s">
        <v>11233</v>
      </c>
      <c r="G4607" s="196" t="s">
        <v>12378</v>
      </c>
      <c r="H4607" s="196" t="s">
        <v>11235</v>
      </c>
    </row>
    <row r="4608" spans="1:8" x14ac:dyDescent="0.15">
      <c r="A4608" s="196" t="s">
        <v>11229</v>
      </c>
      <c r="B4608" s="196" t="s">
        <v>11230</v>
      </c>
      <c r="C4608" s="196" t="s">
        <v>21952</v>
      </c>
      <c r="D4608" s="196" t="s">
        <v>21953</v>
      </c>
      <c r="E4608" s="196" t="s">
        <v>21953</v>
      </c>
      <c r="F4608" s="196" t="s">
        <v>11233</v>
      </c>
      <c r="G4608" s="196" t="s">
        <v>12378</v>
      </c>
      <c r="H4608" s="196" t="s">
        <v>11235</v>
      </c>
    </row>
    <row r="4609" spans="1:8" x14ac:dyDescent="0.15">
      <c r="A4609" s="196" t="s">
        <v>11229</v>
      </c>
      <c r="B4609" s="196" t="s">
        <v>11230</v>
      </c>
      <c r="C4609" s="196" t="s">
        <v>21954</v>
      </c>
      <c r="D4609" s="196" t="s">
        <v>21955</v>
      </c>
      <c r="E4609" s="196" t="s">
        <v>21955</v>
      </c>
      <c r="F4609" s="196" t="s">
        <v>11233</v>
      </c>
      <c r="G4609" s="196" t="s">
        <v>12378</v>
      </c>
      <c r="H4609" s="196" t="s">
        <v>11235</v>
      </c>
    </row>
    <row r="4610" spans="1:8" x14ac:dyDescent="0.15">
      <c r="A4610" s="196" t="s">
        <v>11229</v>
      </c>
      <c r="B4610" s="196" t="s">
        <v>11230</v>
      </c>
      <c r="C4610" s="196" t="s">
        <v>21956</v>
      </c>
      <c r="D4610" s="196" t="s">
        <v>21957</v>
      </c>
      <c r="E4610" s="196" t="s">
        <v>21957</v>
      </c>
      <c r="F4610" s="196" t="s">
        <v>11233</v>
      </c>
      <c r="G4610" s="196" t="s">
        <v>12378</v>
      </c>
      <c r="H4610" s="196" t="s">
        <v>11235</v>
      </c>
    </row>
    <row r="4611" spans="1:8" x14ac:dyDescent="0.15">
      <c r="A4611" s="196" t="s">
        <v>11229</v>
      </c>
      <c r="B4611" s="196" t="s">
        <v>11230</v>
      </c>
      <c r="C4611" s="196" t="s">
        <v>21958</v>
      </c>
      <c r="D4611" s="196" t="s">
        <v>21959</v>
      </c>
      <c r="E4611" s="196" t="s">
        <v>21959</v>
      </c>
      <c r="F4611" s="196" t="s">
        <v>11233</v>
      </c>
      <c r="G4611" s="196" t="s">
        <v>12378</v>
      </c>
      <c r="H4611" s="196" t="s">
        <v>11235</v>
      </c>
    </row>
    <row r="4612" spans="1:8" x14ac:dyDescent="0.15">
      <c r="A4612" s="196" t="s">
        <v>11229</v>
      </c>
      <c r="B4612" s="196" t="s">
        <v>11230</v>
      </c>
      <c r="C4612" s="196" t="s">
        <v>21960</v>
      </c>
      <c r="D4612" s="196" t="s">
        <v>21961</v>
      </c>
      <c r="E4612" s="196" t="s">
        <v>21961</v>
      </c>
      <c r="F4612" s="196" t="s">
        <v>11233</v>
      </c>
      <c r="G4612" s="196" t="s">
        <v>12378</v>
      </c>
      <c r="H4612" s="196" t="s">
        <v>11235</v>
      </c>
    </row>
    <row r="4613" spans="1:8" x14ac:dyDescent="0.15">
      <c r="A4613" s="196" t="s">
        <v>11229</v>
      </c>
      <c r="B4613" s="196" t="s">
        <v>11230</v>
      </c>
      <c r="C4613" s="196" t="s">
        <v>21962</v>
      </c>
      <c r="D4613" s="196" t="s">
        <v>21963</v>
      </c>
      <c r="E4613" s="196" t="s">
        <v>21963</v>
      </c>
      <c r="F4613" s="196" t="s">
        <v>11233</v>
      </c>
      <c r="G4613" s="196" t="s">
        <v>12378</v>
      </c>
      <c r="H4613" s="196" t="s">
        <v>11235</v>
      </c>
    </row>
    <row r="4614" spans="1:8" x14ac:dyDescent="0.15">
      <c r="A4614" s="196" t="s">
        <v>11229</v>
      </c>
      <c r="B4614" s="196" t="s">
        <v>11230</v>
      </c>
      <c r="C4614" s="196" t="s">
        <v>21964</v>
      </c>
      <c r="D4614" s="196" t="s">
        <v>21965</v>
      </c>
      <c r="E4614" s="196" t="s">
        <v>21965</v>
      </c>
      <c r="F4614" s="196" t="s">
        <v>11233</v>
      </c>
      <c r="G4614" s="196" t="s">
        <v>12378</v>
      </c>
      <c r="H4614" s="196" t="s">
        <v>11235</v>
      </c>
    </row>
    <row r="4615" spans="1:8" x14ac:dyDescent="0.15">
      <c r="A4615" s="196" t="s">
        <v>11229</v>
      </c>
      <c r="B4615" s="196" t="s">
        <v>11230</v>
      </c>
      <c r="C4615" s="196" t="s">
        <v>21966</v>
      </c>
      <c r="D4615" s="196" t="s">
        <v>21967</v>
      </c>
      <c r="E4615" s="196" t="s">
        <v>21967</v>
      </c>
      <c r="F4615" s="196" t="s">
        <v>11233</v>
      </c>
      <c r="G4615" s="196" t="s">
        <v>12378</v>
      </c>
      <c r="H4615" s="196" t="s">
        <v>11235</v>
      </c>
    </row>
    <row r="4616" spans="1:8" x14ac:dyDescent="0.15">
      <c r="A4616" s="196" t="s">
        <v>11229</v>
      </c>
      <c r="B4616" s="196" t="s">
        <v>11230</v>
      </c>
      <c r="C4616" s="196" t="s">
        <v>21968</v>
      </c>
      <c r="D4616" s="196" t="s">
        <v>21969</v>
      </c>
      <c r="E4616" s="196" t="s">
        <v>21969</v>
      </c>
      <c r="F4616" s="196" t="s">
        <v>11233</v>
      </c>
      <c r="G4616" s="196" t="s">
        <v>12378</v>
      </c>
      <c r="H4616" s="196" t="s">
        <v>11235</v>
      </c>
    </row>
    <row r="4617" spans="1:8" x14ac:dyDescent="0.15">
      <c r="A4617" s="196" t="s">
        <v>11229</v>
      </c>
      <c r="B4617" s="196" t="s">
        <v>11230</v>
      </c>
      <c r="C4617" s="196" t="s">
        <v>21970</v>
      </c>
      <c r="D4617" s="196" t="s">
        <v>21971</v>
      </c>
      <c r="E4617" s="196" t="s">
        <v>21972</v>
      </c>
      <c r="F4617" s="196" t="s">
        <v>13758</v>
      </c>
      <c r="G4617" s="196" t="s">
        <v>12378</v>
      </c>
      <c r="H4617" s="196" t="s">
        <v>11235</v>
      </c>
    </row>
    <row r="4618" spans="1:8" x14ac:dyDescent="0.15">
      <c r="A4618" s="196" t="s">
        <v>11229</v>
      </c>
      <c r="B4618" s="196" t="s">
        <v>11230</v>
      </c>
      <c r="C4618" s="196" t="s">
        <v>21973</v>
      </c>
      <c r="D4618" s="196" t="s">
        <v>21972</v>
      </c>
      <c r="E4618" s="196" t="s">
        <v>21974</v>
      </c>
      <c r="F4618" s="196" t="s">
        <v>11268</v>
      </c>
      <c r="G4618" s="196" t="s">
        <v>12378</v>
      </c>
      <c r="H4618" s="196" t="s">
        <v>11235</v>
      </c>
    </row>
    <row r="4619" spans="1:8" x14ac:dyDescent="0.15">
      <c r="A4619" s="196" t="s">
        <v>11229</v>
      </c>
      <c r="B4619" s="196" t="s">
        <v>11230</v>
      </c>
      <c r="C4619" s="196" t="s">
        <v>21975</v>
      </c>
      <c r="D4619" s="196" t="s">
        <v>21976</v>
      </c>
      <c r="E4619" s="196" t="s">
        <v>21977</v>
      </c>
      <c r="F4619" s="196" t="s">
        <v>13023</v>
      </c>
      <c r="G4619" s="196" t="s">
        <v>12378</v>
      </c>
      <c r="H4619" s="196" t="s">
        <v>11235</v>
      </c>
    </row>
    <row r="4620" spans="1:8" x14ac:dyDescent="0.15">
      <c r="A4620" s="196" t="s">
        <v>11229</v>
      </c>
      <c r="B4620" s="196" t="s">
        <v>11230</v>
      </c>
      <c r="C4620" s="196" t="s">
        <v>21978</v>
      </c>
      <c r="D4620" s="196" t="s">
        <v>21977</v>
      </c>
      <c r="E4620" s="196" t="s">
        <v>21979</v>
      </c>
      <c r="F4620" s="196" t="s">
        <v>11268</v>
      </c>
      <c r="G4620" s="196" t="s">
        <v>12378</v>
      </c>
      <c r="H4620" s="196" t="s">
        <v>11235</v>
      </c>
    </row>
    <row r="4621" spans="1:8" x14ac:dyDescent="0.15">
      <c r="A4621" s="196" t="s">
        <v>11229</v>
      </c>
      <c r="B4621" s="196" t="s">
        <v>11230</v>
      </c>
      <c r="C4621" s="196" t="s">
        <v>21980</v>
      </c>
      <c r="D4621" s="196" t="s">
        <v>21981</v>
      </c>
      <c r="E4621" s="196" t="s">
        <v>21981</v>
      </c>
      <c r="F4621" s="196" t="s">
        <v>11233</v>
      </c>
      <c r="G4621" s="196" t="s">
        <v>12378</v>
      </c>
      <c r="H4621" s="196" t="s">
        <v>11235</v>
      </c>
    </row>
    <row r="4622" spans="1:8" x14ac:dyDescent="0.15">
      <c r="A4622" s="196" t="s">
        <v>11229</v>
      </c>
      <c r="B4622" s="196" t="s">
        <v>11230</v>
      </c>
      <c r="C4622" s="196" t="s">
        <v>21982</v>
      </c>
      <c r="D4622" s="196" t="s">
        <v>21983</v>
      </c>
      <c r="E4622" s="196" t="s">
        <v>21983</v>
      </c>
      <c r="F4622" s="196" t="s">
        <v>11233</v>
      </c>
      <c r="G4622" s="196" t="s">
        <v>12378</v>
      </c>
      <c r="H4622" s="196" t="s">
        <v>11235</v>
      </c>
    </row>
    <row r="4623" spans="1:8" x14ac:dyDescent="0.15">
      <c r="A4623" s="196" t="s">
        <v>11229</v>
      </c>
      <c r="B4623" s="196" t="s">
        <v>11230</v>
      </c>
      <c r="C4623" s="196" t="s">
        <v>21984</v>
      </c>
      <c r="D4623" s="196" t="s">
        <v>21985</v>
      </c>
      <c r="E4623" s="196" t="s">
        <v>21986</v>
      </c>
      <c r="F4623" s="196" t="s">
        <v>13901</v>
      </c>
      <c r="G4623" s="196" t="s">
        <v>12378</v>
      </c>
      <c r="H4623" s="196" t="s">
        <v>11235</v>
      </c>
    </row>
    <row r="4624" spans="1:8" x14ac:dyDescent="0.15">
      <c r="A4624" s="196" t="s">
        <v>11229</v>
      </c>
      <c r="B4624" s="196" t="s">
        <v>11230</v>
      </c>
      <c r="C4624" s="196" t="s">
        <v>21987</v>
      </c>
      <c r="D4624" s="196" t="s">
        <v>21988</v>
      </c>
      <c r="E4624" s="196" t="s">
        <v>21988</v>
      </c>
      <c r="F4624" s="196" t="s">
        <v>11233</v>
      </c>
      <c r="G4624" s="196" t="s">
        <v>12378</v>
      </c>
      <c r="H4624" s="196" t="s">
        <v>11235</v>
      </c>
    </row>
    <row r="4625" spans="1:8" x14ac:dyDescent="0.15">
      <c r="A4625" s="196" t="s">
        <v>11229</v>
      </c>
      <c r="B4625" s="196" t="s">
        <v>11230</v>
      </c>
      <c r="C4625" s="196" t="s">
        <v>21989</v>
      </c>
      <c r="D4625" s="196" t="s">
        <v>21990</v>
      </c>
      <c r="E4625" s="196" t="s">
        <v>21990</v>
      </c>
      <c r="F4625" s="196" t="s">
        <v>11233</v>
      </c>
      <c r="G4625" s="196" t="s">
        <v>12378</v>
      </c>
      <c r="H4625" s="196" t="s">
        <v>11235</v>
      </c>
    </row>
    <row r="4626" spans="1:8" x14ac:dyDescent="0.15">
      <c r="A4626" s="196" t="s">
        <v>11229</v>
      </c>
      <c r="B4626" s="196" t="s">
        <v>11230</v>
      </c>
      <c r="C4626" s="196" t="s">
        <v>21991</v>
      </c>
      <c r="D4626" s="196" t="s">
        <v>21992</v>
      </c>
      <c r="E4626" s="196" t="s">
        <v>21992</v>
      </c>
      <c r="F4626" s="196" t="s">
        <v>11233</v>
      </c>
      <c r="G4626" s="196" t="s">
        <v>12378</v>
      </c>
      <c r="H4626" s="196" t="s">
        <v>11235</v>
      </c>
    </row>
    <row r="4627" spans="1:8" x14ac:dyDescent="0.15">
      <c r="A4627" s="196" t="s">
        <v>11229</v>
      </c>
      <c r="B4627" s="196" t="s">
        <v>11230</v>
      </c>
      <c r="C4627" s="196" t="s">
        <v>21993</v>
      </c>
      <c r="D4627" s="196" t="s">
        <v>21994</v>
      </c>
      <c r="E4627" s="196" t="s">
        <v>21994</v>
      </c>
      <c r="F4627" s="196" t="s">
        <v>11233</v>
      </c>
      <c r="G4627" s="196" t="s">
        <v>12378</v>
      </c>
      <c r="H4627" s="196" t="s">
        <v>11235</v>
      </c>
    </row>
    <row r="4628" spans="1:8" x14ac:dyDescent="0.15">
      <c r="A4628" s="196" t="s">
        <v>11229</v>
      </c>
      <c r="B4628" s="196" t="s">
        <v>11230</v>
      </c>
      <c r="C4628" s="196" t="s">
        <v>21995</v>
      </c>
      <c r="D4628" s="196" t="s">
        <v>21996</v>
      </c>
      <c r="E4628" s="196" t="s">
        <v>21996</v>
      </c>
      <c r="F4628" s="196" t="s">
        <v>11233</v>
      </c>
      <c r="G4628" s="196" t="s">
        <v>12378</v>
      </c>
      <c r="H4628" s="196" t="s">
        <v>11235</v>
      </c>
    </row>
    <row r="4629" spans="1:8" x14ac:dyDescent="0.15">
      <c r="A4629" s="196" t="s">
        <v>11229</v>
      </c>
      <c r="B4629" s="196" t="s">
        <v>11230</v>
      </c>
      <c r="C4629" s="196" t="s">
        <v>21997</v>
      </c>
      <c r="D4629" s="196" t="s">
        <v>21998</v>
      </c>
      <c r="E4629" s="196" t="s">
        <v>21998</v>
      </c>
      <c r="F4629" s="196" t="s">
        <v>11233</v>
      </c>
      <c r="G4629" s="196" t="s">
        <v>12378</v>
      </c>
      <c r="H4629" s="196" t="s">
        <v>11235</v>
      </c>
    </row>
    <row r="4630" spans="1:8" x14ac:dyDescent="0.15">
      <c r="A4630" s="196" t="s">
        <v>11229</v>
      </c>
      <c r="B4630" s="196" t="s">
        <v>11230</v>
      </c>
      <c r="C4630" s="196" t="s">
        <v>21999</v>
      </c>
      <c r="D4630" s="196" t="s">
        <v>22000</v>
      </c>
      <c r="E4630" s="196" t="s">
        <v>22000</v>
      </c>
      <c r="F4630" s="196" t="s">
        <v>11233</v>
      </c>
      <c r="G4630" s="196" t="s">
        <v>12378</v>
      </c>
      <c r="H4630" s="196" t="s">
        <v>11235</v>
      </c>
    </row>
    <row r="4631" spans="1:8" x14ac:dyDescent="0.15">
      <c r="A4631" s="196" t="s">
        <v>11229</v>
      </c>
      <c r="B4631" s="196" t="s">
        <v>11230</v>
      </c>
      <c r="C4631" s="196" t="s">
        <v>22001</v>
      </c>
      <c r="D4631" s="196" t="s">
        <v>22002</v>
      </c>
      <c r="E4631" s="196" t="s">
        <v>22002</v>
      </c>
      <c r="F4631" s="196" t="s">
        <v>11233</v>
      </c>
      <c r="G4631" s="196" t="s">
        <v>12378</v>
      </c>
      <c r="H4631" s="196" t="s">
        <v>11235</v>
      </c>
    </row>
    <row r="4632" spans="1:8" x14ac:dyDescent="0.15">
      <c r="A4632" s="196" t="s">
        <v>11229</v>
      </c>
      <c r="B4632" s="196" t="s">
        <v>11230</v>
      </c>
      <c r="C4632" s="196" t="s">
        <v>22003</v>
      </c>
      <c r="D4632" s="196" t="s">
        <v>22004</v>
      </c>
      <c r="E4632" s="196" t="s">
        <v>22004</v>
      </c>
      <c r="F4632" s="196" t="s">
        <v>11233</v>
      </c>
      <c r="G4632" s="196" t="s">
        <v>12378</v>
      </c>
      <c r="H4632" s="196" t="s">
        <v>11235</v>
      </c>
    </row>
    <row r="4633" spans="1:8" x14ac:dyDescent="0.15">
      <c r="A4633" s="196" t="s">
        <v>11229</v>
      </c>
      <c r="B4633" s="196" t="s">
        <v>11230</v>
      </c>
      <c r="C4633" s="196" t="s">
        <v>22005</v>
      </c>
      <c r="D4633" s="196" t="s">
        <v>22006</v>
      </c>
      <c r="E4633" s="196" t="s">
        <v>22006</v>
      </c>
      <c r="F4633" s="196" t="s">
        <v>11233</v>
      </c>
      <c r="G4633" s="196" t="s">
        <v>12378</v>
      </c>
      <c r="H4633" s="196" t="s">
        <v>11235</v>
      </c>
    </row>
    <row r="4634" spans="1:8" x14ac:dyDescent="0.15">
      <c r="A4634" s="196" t="s">
        <v>11229</v>
      </c>
      <c r="B4634" s="196" t="s">
        <v>11230</v>
      </c>
      <c r="C4634" s="196" t="s">
        <v>22007</v>
      </c>
      <c r="D4634" s="196" t="s">
        <v>22008</v>
      </c>
      <c r="E4634" s="196" t="s">
        <v>22008</v>
      </c>
      <c r="F4634" s="196" t="s">
        <v>11233</v>
      </c>
      <c r="G4634" s="196" t="s">
        <v>12378</v>
      </c>
      <c r="H4634" s="196" t="s">
        <v>11235</v>
      </c>
    </row>
    <row r="4635" spans="1:8" x14ac:dyDescent="0.15">
      <c r="A4635" s="196" t="s">
        <v>11229</v>
      </c>
      <c r="B4635" s="196" t="s">
        <v>11230</v>
      </c>
      <c r="C4635" s="196" t="s">
        <v>22009</v>
      </c>
      <c r="D4635" s="196" t="s">
        <v>22010</v>
      </c>
      <c r="E4635" s="196" t="s">
        <v>22010</v>
      </c>
      <c r="F4635" s="196" t="s">
        <v>11233</v>
      </c>
      <c r="G4635" s="196" t="s">
        <v>12378</v>
      </c>
      <c r="H4635" s="196" t="s">
        <v>11235</v>
      </c>
    </row>
    <row r="4636" spans="1:8" x14ac:dyDescent="0.15">
      <c r="A4636" s="196" t="s">
        <v>11229</v>
      </c>
      <c r="B4636" s="196" t="s">
        <v>11230</v>
      </c>
      <c r="C4636" s="196" t="s">
        <v>22011</v>
      </c>
      <c r="D4636" s="196" t="s">
        <v>22012</v>
      </c>
      <c r="E4636" s="196" t="s">
        <v>22012</v>
      </c>
      <c r="F4636" s="196" t="s">
        <v>11233</v>
      </c>
      <c r="G4636" s="196" t="s">
        <v>12378</v>
      </c>
      <c r="H4636" s="196" t="s">
        <v>11235</v>
      </c>
    </row>
    <row r="4637" spans="1:8" x14ac:dyDescent="0.15">
      <c r="A4637" s="196" t="s">
        <v>11229</v>
      </c>
      <c r="B4637" s="196" t="s">
        <v>11230</v>
      </c>
      <c r="C4637" s="196" t="s">
        <v>22013</v>
      </c>
      <c r="D4637" s="196" t="s">
        <v>22014</v>
      </c>
      <c r="E4637" s="196" t="s">
        <v>22014</v>
      </c>
      <c r="F4637" s="196" t="s">
        <v>11233</v>
      </c>
      <c r="G4637" s="196" t="s">
        <v>12378</v>
      </c>
      <c r="H4637" s="196" t="s">
        <v>11235</v>
      </c>
    </row>
    <row r="4638" spans="1:8" x14ac:dyDescent="0.15">
      <c r="A4638" s="196" t="s">
        <v>11229</v>
      </c>
      <c r="B4638" s="196" t="s">
        <v>11230</v>
      </c>
      <c r="C4638" s="196" t="s">
        <v>22015</v>
      </c>
      <c r="D4638" s="196" t="s">
        <v>22016</v>
      </c>
      <c r="E4638" s="196" t="s">
        <v>22016</v>
      </c>
      <c r="F4638" s="196" t="s">
        <v>11233</v>
      </c>
      <c r="G4638" s="196" t="s">
        <v>12378</v>
      </c>
      <c r="H4638" s="196" t="s">
        <v>11235</v>
      </c>
    </row>
    <row r="4639" spans="1:8" x14ac:dyDescent="0.15">
      <c r="A4639" s="196" t="s">
        <v>11229</v>
      </c>
      <c r="B4639" s="196" t="s">
        <v>11230</v>
      </c>
      <c r="C4639" s="196" t="s">
        <v>22017</v>
      </c>
      <c r="D4639" s="196" t="s">
        <v>22018</v>
      </c>
      <c r="E4639" s="196" t="s">
        <v>22018</v>
      </c>
      <c r="F4639" s="196" t="s">
        <v>11233</v>
      </c>
      <c r="G4639" s="196" t="s">
        <v>12378</v>
      </c>
      <c r="H4639" s="196" t="s">
        <v>11235</v>
      </c>
    </row>
    <row r="4640" spans="1:8" x14ac:dyDescent="0.15">
      <c r="A4640" s="196" t="s">
        <v>11229</v>
      </c>
      <c r="B4640" s="196" t="s">
        <v>11230</v>
      </c>
      <c r="C4640" s="196" t="s">
        <v>22019</v>
      </c>
      <c r="D4640" s="196" t="s">
        <v>22020</v>
      </c>
      <c r="E4640" s="196" t="s">
        <v>22020</v>
      </c>
      <c r="F4640" s="196" t="s">
        <v>11233</v>
      </c>
      <c r="G4640" s="196" t="s">
        <v>12378</v>
      </c>
      <c r="H4640" s="196" t="s">
        <v>11235</v>
      </c>
    </row>
    <row r="4641" spans="1:8" x14ac:dyDescent="0.15">
      <c r="A4641" s="196" t="s">
        <v>11229</v>
      </c>
      <c r="B4641" s="196" t="s">
        <v>11230</v>
      </c>
      <c r="C4641" s="196" t="s">
        <v>22021</v>
      </c>
      <c r="D4641" s="196" t="s">
        <v>22022</v>
      </c>
      <c r="E4641" s="196" t="s">
        <v>22023</v>
      </c>
      <c r="F4641" s="196" t="s">
        <v>11268</v>
      </c>
      <c r="G4641" s="196" t="s">
        <v>12378</v>
      </c>
      <c r="H4641" s="196" t="s">
        <v>11235</v>
      </c>
    </row>
    <row r="4642" spans="1:8" x14ac:dyDescent="0.15">
      <c r="A4642" s="196" t="s">
        <v>11229</v>
      </c>
      <c r="B4642" s="196" t="s">
        <v>11230</v>
      </c>
      <c r="C4642" s="196" t="s">
        <v>22024</v>
      </c>
      <c r="D4642" s="196" t="s">
        <v>22025</v>
      </c>
      <c r="E4642" s="196" t="s">
        <v>22025</v>
      </c>
      <c r="F4642" s="196" t="s">
        <v>11233</v>
      </c>
      <c r="G4642" s="196" t="s">
        <v>12378</v>
      </c>
      <c r="H4642" s="196" t="s">
        <v>11235</v>
      </c>
    </row>
    <row r="4643" spans="1:8" x14ac:dyDescent="0.15">
      <c r="A4643" s="196" t="s">
        <v>11229</v>
      </c>
      <c r="B4643" s="196" t="s">
        <v>11230</v>
      </c>
      <c r="C4643" s="196" t="s">
        <v>22026</v>
      </c>
      <c r="D4643" s="196" t="s">
        <v>22027</v>
      </c>
      <c r="E4643" s="196" t="s">
        <v>22027</v>
      </c>
      <c r="F4643" s="196" t="s">
        <v>11233</v>
      </c>
      <c r="G4643" s="196" t="s">
        <v>12378</v>
      </c>
      <c r="H4643" s="196" t="s">
        <v>11235</v>
      </c>
    </row>
    <row r="4644" spans="1:8" x14ac:dyDescent="0.15">
      <c r="A4644" s="196" t="s">
        <v>11229</v>
      </c>
      <c r="B4644" s="196" t="s">
        <v>11230</v>
      </c>
      <c r="C4644" s="196" t="s">
        <v>22028</v>
      </c>
      <c r="D4644" s="196" t="s">
        <v>22029</v>
      </c>
      <c r="E4644" s="196" t="s">
        <v>22029</v>
      </c>
      <c r="F4644" s="196" t="s">
        <v>11233</v>
      </c>
      <c r="G4644" s="196" t="s">
        <v>12378</v>
      </c>
      <c r="H4644" s="196" t="s">
        <v>11235</v>
      </c>
    </row>
    <row r="4645" spans="1:8" x14ac:dyDescent="0.15">
      <c r="A4645" s="196" t="s">
        <v>11229</v>
      </c>
      <c r="B4645" s="196" t="s">
        <v>11230</v>
      </c>
      <c r="C4645" s="196" t="s">
        <v>22030</v>
      </c>
      <c r="D4645" s="196" t="s">
        <v>22031</v>
      </c>
      <c r="E4645" s="196" t="s">
        <v>22031</v>
      </c>
      <c r="F4645" s="196" t="s">
        <v>11233</v>
      </c>
      <c r="G4645" s="196" t="s">
        <v>12378</v>
      </c>
      <c r="H4645" s="196" t="s">
        <v>11235</v>
      </c>
    </row>
    <row r="4646" spans="1:8" x14ac:dyDescent="0.15">
      <c r="A4646" s="196" t="s">
        <v>11229</v>
      </c>
      <c r="B4646" s="196" t="s">
        <v>11230</v>
      </c>
      <c r="C4646" s="196" t="s">
        <v>22032</v>
      </c>
      <c r="D4646" s="196" t="s">
        <v>22033</v>
      </c>
      <c r="E4646" s="196" t="s">
        <v>22033</v>
      </c>
      <c r="F4646" s="196" t="s">
        <v>11233</v>
      </c>
      <c r="G4646" s="196" t="s">
        <v>12378</v>
      </c>
      <c r="H4646" s="196" t="s">
        <v>11235</v>
      </c>
    </row>
    <row r="4647" spans="1:8" x14ac:dyDescent="0.15">
      <c r="A4647" s="196" t="s">
        <v>11229</v>
      </c>
      <c r="B4647" s="196" t="s">
        <v>11230</v>
      </c>
      <c r="C4647" s="196" t="s">
        <v>22034</v>
      </c>
      <c r="D4647" s="196" t="s">
        <v>22035</v>
      </c>
      <c r="E4647" s="196" t="s">
        <v>22035</v>
      </c>
      <c r="F4647" s="196" t="s">
        <v>11233</v>
      </c>
      <c r="G4647" s="196" t="s">
        <v>12378</v>
      </c>
      <c r="H4647" s="196" t="s">
        <v>11235</v>
      </c>
    </row>
    <row r="4648" spans="1:8" x14ac:dyDescent="0.15">
      <c r="A4648" s="196" t="s">
        <v>11229</v>
      </c>
      <c r="B4648" s="196" t="s">
        <v>11230</v>
      </c>
      <c r="C4648" s="196" t="s">
        <v>22036</v>
      </c>
      <c r="D4648" s="196" t="s">
        <v>22037</v>
      </c>
      <c r="E4648" s="196" t="s">
        <v>22037</v>
      </c>
      <c r="F4648" s="196" t="s">
        <v>11233</v>
      </c>
      <c r="G4648" s="196" t="s">
        <v>12378</v>
      </c>
      <c r="H4648" s="196" t="s">
        <v>11235</v>
      </c>
    </row>
    <row r="4649" spans="1:8" x14ac:dyDescent="0.15">
      <c r="A4649" s="196" t="s">
        <v>11229</v>
      </c>
      <c r="B4649" s="196" t="s">
        <v>11230</v>
      </c>
      <c r="C4649" s="196" t="s">
        <v>22038</v>
      </c>
      <c r="D4649" s="196" t="s">
        <v>22039</v>
      </c>
      <c r="E4649" s="196" t="s">
        <v>22039</v>
      </c>
      <c r="F4649" s="196" t="s">
        <v>11233</v>
      </c>
      <c r="G4649" s="196" t="s">
        <v>12378</v>
      </c>
      <c r="H4649" s="196" t="s">
        <v>11235</v>
      </c>
    </row>
    <row r="4650" spans="1:8" x14ac:dyDescent="0.15">
      <c r="A4650" s="196" t="s">
        <v>11229</v>
      </c>
      <c r="B4650" s="196" t="s">
        <v>11230</v>
      </c>
      <c r="C4650" s="196" t="s">
        <v>22040</v>
      </c>
      <c r="D4650" s="196" t="s">
        <v>22041</v>
      </c>
      <c r="E4650" s="196" t="s">
        <v>22041</v>
      </c>
      <c r="F4650" s="196" t="s">
        <v>11233</v>
      </c>
      <c r="G4650" s="196" t="s">
        <v>12378</v>
      </c>
      <c r="H4650" s="196" t="s">
        <v>11235</v>
      </c>
    </row>
    <row r="4651" spans="1:8" x14ac:dyDescent="0.15">
      <c r="A4651" s="196" t="s">
        <v>11229</v>
      </c>
      <c r="B4651" s="196" t="s">
        <v>11230</v>
      </c>
      <c r="C4651" s="196" t="s">
        <v>22042</v>
      </c>
      <c r="D4651" s="196" t="s">
        <v>22043</v>
      </c>
      <c r="E4651" s="196" t="s">
        <v>22043</v>
      </c>
      <c r="F4651" s="196" t="s">
        <v>11233</v>
      </c>
      <c r="G4651" s="196" t="s">
        <v>12378</v>
      </c>
      <c r="H4651" s="196" t="s">
        <v>11235</v>
      </c>
    </row>
    <row r="4652" spans="1:8" x14ac:dyDescent="0.15">
      <c r="A4652" s="196" t="s">
        <v>11229</v>
      </c>
      <c r="B4652" s="196" t="s">
        <v>11230</v>
      </c>
      <c r="C4652" s="196" t="s">
        <v>22044</v>
      </c>
      <c r="D4652" s="196" t="s">
        <v>22045</v>
      </c>
      <c r="E4652" s="196" t="s">
        <v>22045</v>
      </c>
      <c r="F4652" s="196" t="s">
        <v>11233</v>
      </c>
      <c r="G4652" s="196" t="s">
        <v>12378</v>
      </c>
      <c r="H4652" s="196" t="s">
        <v>11235</v>
      </c>
    </row>
    <row r="4653" spans="1:8" x14ac:dyDescent="0.15">
      <c r="A4653" s="196" t="s">
        <v>11229</v>
      </c>
      <c r="B4653" s="196" t="s">
        <v>11230</v>
      </c>
      <c r="C4653" s="196" t="s">
        <v>22046</v>
      </c>
      <c r="D4653" s="196" t="s">
        <v>22047</v>
      </c>
      <c r="E4653" s="196" t="s">
        <v>22047</v>
      </c>
      <c r="F4653" s="196" t="s">
        <v>11233</v>
      </c>
      <c r="G4653" s="196" t="s">
        <v>12378</v>
      </c>
      <c r="H4653" s="196" t="s">
        <v>11235</v>
      </c>
    </row>
    <row r="4654" spans="1:8" x14ac:dyDescent="0.15">
      <c r="A4654" s="196" t="s">
        <v>11229</v>
      </c>
      <c r="B4654" s="196" t="s">
        <v>11230</v>
      </c>
      <c r="C4654" s="196" t="s">
        <v>22048</v>
      </c>
      <c r="D4654" s="196" t="s">
        <v>22049</v>
      </c>
      <c r="E4654" s="196" t="s">
        <v>22049</v>
      </c>
      <c r="F4654" s="196" t="s">
        <v>11233</v>
      </c>
      <c r="G4654" s="196" t="s">
        <v>12378</v>
      </c>
      <c r="H4654" s="196" t="s">
        <v>11235</v>
      </c>
    </row>
    <row r="4655" spans="1:8" x14ac:dyDescent="0.15">
      <c r="A4655" s="196" t="s">
        <v>11229</v>
      </c>
      <c r="B4655" s="196" t="s">
        <v>11230</v>
      </c>
      <c r="C4655" s="196" t="s">
        <v>22050</v>
      </c>
      <c r="D4655" s="196" t="s">
        <v>22051</v>
      </c>
      <c r="E4655" s="196" t="s">
        <v>22051</v>
      </c>
      <c r="F4655" s="196" t="s">
        <v>11233</v>
      </c>
      <c r="G4655" s="196" t="s">
        <v>12378</v>
      </c>
      <c r="H4655" s="196" t="s">
        <v>11235</v>
      </c>
    </row>
    <row r="4656" spans="1:8" x14ac:dyDescent="0.15">
      <c r="A4656" s="196" t="s">
        <v>11229</v>
      </c>
      <c r="B4656" s="196" t="s">
        <v>11230</v>
      </c>
      <c r="C4656" s="196" t="s">
        <v>22052</v>
      </c>
      <c r="D4656" s="196" t="s">
        <v>22053</v>
      </c>
      <c r="E4656" s="196" t="s">
        <v>22053</v>
      </c>
      <c r="F4656" s="196" t="s">
        <v>11233</v>
      </c>
      <c r="G4656" s="196" t="s">
        <v>12378</v>
      </c>
      <c r="H4656" s="196" t="s">
        <v>11235</v>
      </c>
    </row>
    <row r="4657" spans="1:8" x14ac:dyDescent="0.15">
      <c r="A4657" s="196" t="s">
        <v>11229</v>
      </c>
      <c r="B4657" s="196" t="s">
        <v>11230</v>
      </c>
      <c r="C4657" s="196" t="s">
        <v>22054</v>
      </c>
      <c r="D4657" s="196" t="s">
        <v>22055</v>
      </c>
      <c r="E4657" s="196" t="s">
        <v>22055</v>
      </c>
      <c r="F4657" s="196" t="s">
        <v>11233</v>
      </c>
      <c r="G4657" s="196" t="s">
        <v>12378</v>
      </c>
      <c r="H4657" s="196" t="s">
        <v>11235</v>
      </c>
    </row>
    <row r="4658" spans="1:8" x14ac:dyDescent="0.15">
      <c r="A4658" s="196" t="s">
        <v>11229</v>
      </c>
      <c r="B4658" s="196" t="s">
        <v>11230</v>
      </c>
      <c r="C4658" s="196" t="s">
        <v>22056</v>
      </c>
      <c r="D4658" s="196" t="s">
        <v>22057</v>
      </c>
      <c r="E4658" s="196" t="s">
        <v>22057</v>
      </c>
      <c r="F4658" s="196" t="s">
        <v>11233</v>
      </c>
      <c r="G4658" s="196" t="s">
        <v>12378</v>
      </c>
      <c r="H4658" s="196" t="s">
        <v>11235</v>
      </c>
    </row>
    <row r="4659" spans="1:8" x14ac:dyDescent="0.15">
      <c r="A4659" s="196" t="s">
        <v>11229</v>
      </c>
      <c r="B4659" s="196" t="s">
        <v>11230</v>
      </c>
      <c r="C4659" s="196" t="s">
        <v>22058</v>
      </c>
      <c r="D4659" s="196" t="s">
        <v>22059</v>
      </c>
      <c r="E4659" s="196" t="s">
        <v>22059</v>
      </c>
      <c r="F4659" s="196" t="s">
        <v>11233</v>
      </c>
      <c r="G4659" s="196" t="s">
        <v>12378</v>
      </c>
      <c r="H4659" s="196" t="s">
        <v>11235</v>
      </c>
    </row>
    <row r="4660" spans="1:8" x14ac:dyDescent="0.15">
      <c r="A4660" s="196" t="s">
        <v>11229</v>
      </c>
      <c r="B4660" s="196" t="s">
        <v>11230</v>
      </c>
      <c r="C4660" s="196" t="s">
        <v>22060</v>
      </c>
      <c r="D4660" s="196" t="s">
        <v>22061</v>
      </c>
      <c r="E4660" s="196" t="s">
        <v>22061</v>
      </c>
      <c r="F4660" s="196" t="s">
        <v>11233</v>
      </c>
      <c r="G4660" s="196" t="s">
        <v>12378</v>
      </c>
      <c r="H4660" s="196" t="s">
        <v>11235</v>
      </c>
    </row>
    <row r="4661" spans="1:8" x14ac:dyDescent="0.15">
      <c r="A4661" s="196" t="s">
        <v>11229</v>
      </c>
      <c r="B4661" s="196" t="s">
        <v>11230</v>
      </c>
      <c r="C4661" s="196" t="s">
        <v>22062</v>
      </c>
      <c r="D4661" s="196" t="s">
        <v>22063</v>
      </c>
      <c r="E4661" s="196" t="s">
        <v>22063</v>
      </c>
      <c r="F4661" s="196" t="s">
        <v>11233</v>
      </c>
      <c r="G4661" s="196" t="s">
        <v>12378</v>
      </c>
      <c r="H4661" s="196" t="s">
        <v>11235</v>
      </c>
    </row>
    <row r="4662" spans="1:8" x14ac:dyDescent="0.15">
      <c r="A4662" s="196" t="s">
        <v>11229</v>
      </c>
      <c r="B4662" s="196" t="s">
        <v>11230</v>
      </c>
      <c r="C4662" s="196" t="s">
        <v>22064</v>
      </c>
      <c r="D4662" s="196" t="s">
        <v>22065</v>
      </c>
      <c r="E4662" s="196" t="s">
        <v>22065</v>
      </c>
      <c r="F4662" s="196" t="s">
        <v>11233</v>
      </c>
      <c r="G4662" s="196" t="s">
        <v>12378</v>
      </c>
      <c r="H4662" s="196" t="s">
        <v>11235</v>
      </c>
    </row>
    <row r="4663" spans="1:8" x14ac:dyDescent="0.15">
      <c r="A4663" s="196" t="s">
        <v>11229</v>
      </c>
      <c r="B4663" s="196" t="s">
        <v>11230</v>
      </c>
      <c r="C4663" s="196" t="s">
        <v>22066</v>
      </c>
      <c r="D4663" s="196" t="s">
        <v>22067</v>
      </c>
      <c r="E4663" s="196" t="s">
        <v>22067</v>
      </c>
      <c r="F4663" s="196" t="s">
        <v>11233</v>
      </c>
      <c r="G4663" s="196" t="s">
        <v>12378</v>
      </c>
      <c r="H4663" s="196" t="s">
        <v>11235</v>
      </c>
    </row>
    <row r="4664" spans="1:8" x14ac:dyDescent="0.15">
      <c r="A4664" s="196" t="s">
        <v>11229</v>
      </c>
      <c r="B4664" s="196" t="s">
        <v>11230</v>
      </c>
      <c r="C4664" s="196" t="s">
        <v>22068</v>
      </c>
      <c r="D4664" s="196" t="s">
        <v>22069</v>
      </c>
      <c r="E4664" s="196" t="s">
        <v>22069</v>
      </c>
      <c r="F4664" s="196" t="s">
        <v>11233</v>
      </c>
      <c r="G4664" s="196" t="s">
        <v>12378</v>
      </c>
      <c r="H4664" s="196" t="s">
        <v>11235</v>
      </c>
    </row>
    <row r="4665" spans="1:8" x14ac:dyDescent="0.15">
      <c r="A4665" s="196" t="s">
        <v>11229</v>
      </c>
      <c r="B4665" s="196" t="s">
        <v>11230</v>
      </c>
      <c r="C4665" s="196" t="s">
        <v>22070</v>
      </c>
      <c r="D4665" s="196" t="s">
        <v>22071</v>
      </c>
      <c r="E4665" s="196" t="s">
        <v>22071</v>
      </c>
      <c r="F4665" s="196" t="s">
        <v>11233</v>
      </c>
      <c r="G4665" s="196" t="s">
        <v>12378</v>
      </c>
      <c r="H4665" s="196" t="s">
        <v>11235</v>
      </c>
    </row>
    <row r="4666" spans="1:8" x14ac:dyDescent="0.15">
      <c r="A4666" s="196" t="s">
        <v>11229</v>
      </c>
      <c r="B4666" s="196" t="s">
        <v>11230</v>
      </c>
      <c r="C4666" s="196" t="s">
        <v>22072</v>
      </c>
      <c r="D4666" s="196" t="s">
        <v>22073</v>
      </c>
      <c r="E4666" s="196" t="s">
        <v>22073</v>
      </c>
      <c r="F4666" s="196" t="s">
        <v>11233</v>
      </c>
      <c r="G4666" s="196" t="s">
        <v>12378</v>
      </c>
      <c r="H4666" s="196" t="s">
        <v>11235</v>
      </c>
    </row>
    <row r="4667" spans="1:8" x14ac:dyDescent="0.15">
      <c r="A4667" s="196" t="s">
        <v>11229</v>
      </c>
      <c r="B4667" s="196" t="s">
        <v>11230</v>
      </c>
      <c r="C4667" s="196" t="s">
        <v>22074</v>
      </c>
      <c r="D4667" s="196" t="s">
        <v>22075</v>
      </c>
      <c r="E4667" s="196" t="s">
        <v>22075</v>
      </c>
      <c r="F4667" s="196" t="s">
        <v>11233</v>
      </c>
      <c r="G4667" s="196" t="s">
        <v>12378</v>
      </c>
      <c r="H4667" s="196" t="s">
        <v>11235</v>
      </c>
    </row>
    <row r="4668" spans="1:8" x14ac:dyDescent="0.15">
      <c r="A4668" s="196" t="s">
        <v>11229</v>
      </c>
      <c r="B4668" s="196" t="s">
        <v>11230</v>
      </c>
      <c r="C4668" s="196" t="s">
        <v>22076</v>
      </c>
      <c r="D4668" s="196" t="s">
        <v>22077</v>
      </c>
      <c r="E4668" s="196" t="s">
        <v>22077</v>
      </c>
      <c r="F4668" s="196" t="s">
        <v>11233</v>
      </c>
      <c r="G4668" s="196" t="s">
        <v>12378</v>
      </c>
      <c r="H4668" s="196" t="s">
        <v>11235</v>
      </c>
    </row>
    <row r="4669" spans="1:8" x14ac:dyDescent="0.15">
      <c r="A4669" s="196" t="s">
        <v>11229</v>
      </c>
      <c r="B4669" s="196" t="s">
        <v>11230</v>
      </c>
      <c r="C4669" s="196" t="s">
        <v>22078</v>
      </c>
      <c r="D4669" s="196" t="s">
        <v>22079</v>
      </c>
      <c r="E4669" s="196" t="s">
        <v>22079</v>
      </c>
      <c r="F4669" s="196" t="s">
        <v>11233</v>
      </c>
      <c r="G4669" s="196" t="s">
        <v>12378</v>
      </c>
      <c r="H4669" s="196" t="s">
        <v>11235</v>
      </c>
    </row>
    <row r="4670" spans="1:8" x14ac:dyDescent="0.15">
      <c r="A4670" s="196" t="s">
        <v>11229</v>
      </c>
      <c r="B4670" s="196" t="s">
        <v>11230</v>
      </c>
      <c r="C4670" s="196" t="s">
        <v>22080</v>
      </c>
      <c r="D4670" s="196" t="s">
        <v>22081</v>
      </c>
      <c r="E4670" s="196" t="s">
        <v>22081</v>
      </c>
      <c r="F4670" s="196" t="s">
        <v>11233</v>
      </c>
      <c r="G4670" s="196" t="s">
        <v>12378</v>
      </c>
      <c r="H4670" s="196" t="s">
        <v>11235</v>
      </c>
    </row>
    <row r="4671" spans="1:8" x14ac:dyDescent="0.15">
      <c r="A4671" s="196" t="s">
        <v>11229</v>
      </c>
      <c r="B4671" s="196" t="s">
        <v>11230</v>
      </c>
      <c r="C4671" s="196" t="s">
        <v>22082</v>
      </c>
      <c r="D4671" s="196" t="s">
        <v>22083</v>
      </c>
      <c r="E4671" s="196" t="s">
        <v>22084</v>
      </c>
      <c r="F4671" s="196" t="s">
        <v>11268</v>
      </c>
      <c r="G4671" s="196" t="s">
        <v>12378</v>
      </c>
      <c r="H4671" s="196" t="s">
        <v>11235</v>
      </c>
    </row>
    <row r="4672" spans="1:8" x14ac:dyDescent="0.15">
      <c r="A4672" s="196" t="s">
        <v>11229</v>
      </c>
      <c r="B4672" s="196" t="s">
        <v>11230</v>
      </c>
      <c r="C4672" s="196" t="s">
        <v>22085</v>
      </c>
      <c r="D4672" s="196" t="s">
        <v>22084</v>
      </c>
      <c r="E4672" s="196" t="s">
        <v>22086</v>
      </c>
      <c r="F4672" s="196" t="s">
        <v>13758</v>
      </c>
      <c r="G4672" s="196" t="s">
        <v>12378</v>
      </c>
      <c r="H4672" s="196" t="s">
        <v>11235</v>
      </c>
    </row>
    <row r="4673" spans="1:8" x14ac:dyDescent="0.15">
      <c r="A4673" s="196" t="s">
        <v>11229</v>
      </c>
      <c r="B4673" s="196" t="s">
        <v>11230</v>
      </c>
      <c r="C4673" s="196" t="s">
        <v>22087</v>
      </c>
      <c r="D4673" s="196" t="s">
        <v>22086</v>
      </c>
      <c r="E4673" s="196" t="s">
        <v>22088</v>
      </c>
      <c r="F4673" s="196" t="s">
        <v>11268</v>
      </c>
      <c r="G4673" s="196" t="s">
        <v>12378</v>
      </c>
      <c r="H4673" s="196" t="s">
        <v>11235</v>
      </c>
    </row>
    <row r="4674" spans="1:8" x14ac:dyDescent="0.15">
      <c r="A4674" s="196" t="s">
        <v>11229</v>
      </c>
      <c r="B4674" s="196" t="s">
        <v>11230</v>
      </c>
      <c r="C4674" s="196" t="s">
        <v>22089</v>
      </c>
      <c r="D4674" s="196" t="s">
        <v>22088</v>
      </c>
      <c r="E4674" s="196" t="s">
        <v>22090</v>
      </c>
      <c r="F4674" s="196" t="s">
        <v>11241</v>
      </c>
      <c r="G4674" s="196" t="s">
        <v>12378</v>
      </c>
      <c r="H4674" s="196" t="s">
        <v>11235</v>
      </c>
    </row>
    <row r="4675" spans="1:8" x14ac:dyDescent="0.15">
      <c r="A4675" s="196" t="s">
        <v>11229</v>
      </c>
      <c r="B4675" s="196" t="s">
        <v>11230</v>
      </c>
      <c r="C4675" s="196" t="s">
        <v>22091</v>
      </c>
      <c r="D4675" s="196" t="s">
        <v>22092</v>
      </c>
      <c r="E4675" s="196" t="s">
        <v>22092</v>
      </c>
      <c r="F4675" s="196" t="s">
        <v>11233</v>
      </c>
      <c r="G4675" s="196" t="s">
        <v>12378</v>
      </c>
      <c r="H4675" s="196" t="s">
        <v>11235</v>
      </c>
    </row>
    <row r="4676" spans="1:8" x14ac:dyDescent="0.15">
      <c r="A4676" s="196" t="s">
        <v>11229</v>
      </c>
      <c r="B4676" s="196" t="s">
        <v>11230</v>
      </c>
      <c r="C4676" s="196" t="s">
        <v>22093</v>
      </c>
      <c r="D4676" s="196" t="s">
        <v>22094</v>
      </c>
      <c r="E4676" s="196" t="s">
        <v>22094</v>
      </c>
      <c r="F4676" s="196" t="s">
        <v>11233</v>
      </c>
      <c r="G4676" s="196" t="s">
        <v>12378</v>
      </c>
      <c r="H4676" s="196" t="s">
        <v>11235</v>
      </c>
    </row>
    <row r="4677" spans="1:8" x14ac:dyDescent="0.15">
      <c r="A4677" s="196" t="s">
        <v>11229</v>
      </c>
      <c r="B4677" s="196" t="s">
        <v>11230</v>
      </c>
      <c r="C4677" s="196" t="s">
        <v>22095</v>
      </c>
      <c r="D4677" s="196" t="s">
        <v>22096</v>
      </c>
      <c r="E4677" s="196" t="s">
        <v>22097</v>
      </c>
      <c r="F4677" s="196" t="s">
        <v>13758</v>
      </c>
      <c r="G4677" s="196" t="s">
        <v>12378</v>
      </c>
      <c r="H4677" s="196" t="s">
        <v>11235</v>
      </c>
    </row>
    <row r="4678" spans="1:8" x14ac:dyDescent="0.15">
      <c r="A4678" s="196" t="s">
        <v>11229</v>
      </c>
      <c r="B4678" s="196" t="s">
        <v>11230</v>
      </c>
      <c r="C4678" s="196" t="s">
        <v>22098</v>
      </c>
      <c r="D4678" s="196" t="s">
        <v>22099</v>
      </c>
      <c r="E4678" s="196" t="s">
        <v>22099</v>
      </c>
      <c r="F4678" s="196" t="s">
        <v>11233</v>
      </c>
      <c r="G4678" s="196" t="s">
        <v>12378</v>
      </c>
      <c r="H4678" s="196" t="s">
        <v>11235</v>
      </c>
    </row>
    <row r="4679" spans="1:8" x14ac:dyDescent="0.15">
      <c r="A4679" s="196" t="s">
        <v>11229</v>
      </c>
      <c r="B4679" s="196" t="s">
        <v>11230</v>
      </c>
      <c r="C4679" s="196" t="s">
        <v>22100</v>
      </c>
      <c r="D4679" s="196" t="s">
        <v>22101</v>
      </c>
      <c r="E4679" s="196" t="s">
        <v>22101</v>
      </c>
      <c r="F4679" s="196" t="s">
        <v>11233</v>
      </c>
      <c r="G4679" s="196" t="s">
        <v>12378</v>
      </c>
      <c r="H4679" s="196" t="s">
        <v>11235</v>
      </c>
    </row>
    <row r="4680" spans="1:8" x14ac:dyDescent="0.15">
      <c r="A4680" s="196" t="s">
        <v>11229</v>
      </c>
      <c r="B4680" s="196" t="s">
        <v>11230</v>
      </c>
      <c r="C4680" s="196" t="s">
        <v>22102</v>
      </c>
      <c r="D4680" s="196" t="s">
        <v>22103</v>
      </c>
      <c r="E4680" s="196" t="s">
        <v>22103</v>
      </c>
      <c r="F4680" s="196" t="s">
        <v>11233</v>
      </c>
      <c r="G4680" s="196" t="s">
        <v>12378</v>
      </c>
      <c r="H4680" s="196" t="s">
        <v>11235</v>
      </c>
    </row>
    <row r="4681" spans="1:8" x14ac:dyDescent="0.15">
      <c r="A4681" s="196" t="s">
        <v>11229</v>
      </c>
      <c r="B4681" s="196" t="s">
        <v>11230</v>
      </c>
      <c r="C4681" s="196" t="s">
        <v>22104</v>
      </c>
      <c r="D4681" s="196" t="s">
        <v>22105</v>
      </c>
      <c r="E4681" s="196" t="s">
        <v>22105</v>
      </c>
      <c r="F4681" s="196" t="s">
        <v>11233</v>
      </c>
      <c r="G4681" s="196" t="s">
        <v>12378</v>
      </c>
      <c r="H4681" s="196" t="s">
        <v>11235</v>
      </c>
    </row>
    <row r="4682" spans="1:8" x14ac:dyDescent="0.15">
      <c r="A4682" s="196" t="s">
        <v>11229</v>
      </c>
      <c r="B4682" s="196" t="s">
        <v>11230</v>
      </c>
      <c r="C4682" s="196" t="s">
        <v>22106</v>
      </c>
      <c r="D4682" s="196" t="s">
        <v>22107</v>
      </c>
      <c r="E4682" s="196" t="s">
        <v>22108</v>
      </c>
      <c r="F4682" s="196" t="s">
        <v>11268</v>
      </c>
      <c r="G4682" s="196" t="s">
        <v>12378</v>
      </c>
      <c r="H4682" s="196" t="s">
        <v>11235</v>
      </c>
    </row>
    <row r="4683" spans="1:8" x14ac:dyDescent="0.15">
      <c r="A4683" s="196" t="s">
        <v>11229</v>
      </c>
      <c r="B4683" s="196" t="s">
        <v>11230</v>
      </c>
      <c r="C4683" s="196" t="s">
        <v>22109</v>
      </c>
      <c r="D4683" s="196" t="s">
        <v>22108</v>
      </c>
      <c r="E4683" s="196" t="s">
        <v>22110</v>
      </c>
      <c r="F4683" s="196" t="s">
        <v>11241</v>
      </c>
      <c r="G4683" s="196" t="s">
        <v>12378</v>
      </c>
      <c r="H4683" s="196" t="s">
        <v>11235</v>
      </c>
    </row>
    <row r="4684" spans="1:8" x14ac:dyDescent="0.15">
      <c r="A4684" s="196" t="s">
        <v>11229</v>
      </c>
      <c r="B4684" s="196" t="s">
        <v>11230</v>
      </c>
      <c r="C4684" s="196" t="s">
        <v>22111</v>
      </c>
      <c r="D4684" s="196" t="s">
        <v>22110</v>
      </c>
      <c r="E4684" s="196" t="s">
        <v>22112</v>
      </c>
      <c r="F4684" s="196" t="s">
        <v>11268</v>
      </c>
      <c r="G4684" s="196" t="s">
        <v>12378</v>
      </c>
      <c r="H4684" s="196" t="s">
        <v>11235</v>
      </c>
    </row>
    <row r="4685" spans="1:8" x14ac:dyDescent="0.15">
      <c r="A4685" s="196" t="s">
        <v>11229</v>
      </c>
      <c r="B4685" s="196" t="s">
        <v>11230</v>
      </c>
      <c r="C4685" s="196" t="s">
        <v>22113</v>
      </c>
      <c r="D4685" s="196" t="s">
        <v>22114</v>
      </c>
      <c r="E4685" s="196" t="s">
        <v>22114</v>
      </c>
      <c r="F4685" s="196" t="s">
        <v>11233</v>
      </c>
      <c r="G4685" s="196" t="s">
        <v>12378</v>
      </c>
      <c r="H4685" s="196" t="s">
        <v>11235</v>
      </c>
    </row>
    <row r="4686" spans="1:8" x14ac:dyDescent="0.15">
      <c r="A4686" s="196" t="s">
        <v>11229</v>
      </c>
      <c r="B4686" s="196" t="s">
        <v>11230</v>
      </c>
      <c r="C4686" s="196" t="s">
        <v>22115</v>
      </c>
      <c r="D4686" s="196" t="s">
        <v>22116</v>
      </c>
      <c r="E4686" s="196" t="s">
        <v>22116</v>
      </c>
      <c r="F4686" s="196" t="s">
        <v>11233</v>
      </c>
      <c r="G4686" s="196" t="s">
        <v>12378</v>
      </c>
      <c r="H4686" s="196" t="s">
        <v>11235</v>
      </c>
    </row>
    <row r="4687" spans="1:8" x14ac:dyDescent="0.15">
      <c r="A4687" s="196" t="s">
        <v>11229</v>
      </c>
      <c r="B4687" s="196" t="s">
        <v>11230</v>
      </c>
      <c r="C4687" s="196" t="s">
        <v>22117</v>
      </c>
      <c r="D4687" s="196" t="s">
        <v>22118</v>
      </c>
      <c r="E4687" s="196" t="s">
        <v>22118</v>
      </c>
      <c r="F4687" s="196" t="s">
        <v>11233</v>
      </c>
      <c r="G4687" s="196" t="s">
        <v>12378</v>
      </c>
      <c r="H4687" s="196" t="s">
        <v>11235</v>
      </c>
    </row>
    <row r="4688" spans="1:8" x14ac:dyDescent="0.15">
      <c r="A4688" s="196" t="s">
        <v>11229</v>
      </c>
      <c r="B4688" s="196" t="s">
        <v>11230</v>
      </c>
      <c r="C4688" s="196" t="s">
        <v>22119</v>
      </c>
      <c r="D4688" s="196" t="s">
        <v>22120</v>
      </c>
      <c r="E4688" s="196" t="s">
        <v>22120</v>
      </c>
      <c r="F4688" s="196" t="s">
        <v>11233</v>
      </c>
      <c r="G4688" s="196" t="s">
        <v>12378</v>
      </c>
      <c r="H4688" s="196" t="s">
        <v>11235</v>
      </c>
    </row>
    <row r="4689" spans="1:8" x14ac:dyDescent="0.15">
      <c r="A4689" s="196" t="s">
        <v>11229</v>
      </c>
      <c r="B4689" s="196" t="s">
        <v>11230</v>
      </c>
      <c r="C4689" s="196" t="s">
        <v>22121</v>
      </c>
      <c r="D4689" s="196" t="s">
        <v>22122</v>
      </c>
      <c r="E4689" s="196" t="s">
        <v>22123</v>
      </c>
      <c r="F4689" s="196" t="s">
        <v>11241</v>
      </c>
      <c r="G4689" s="196" t="s">
        <v>12378</v>
      </c>
      <c r="H4689" s="196" t="s">
        <v>11235</v>
      </c>
    </row>
    <row r="4690" spans="1:8" x14ac:dyDescent="0.15">
      <c r="A4690" s="196" t="s">
        <v>11229</v>
      </c>
      <c r="B4690" s="196" t="s">
        <v>11230</v>
      </c>
      <c r="C4690" s="196" t="s">
        <v>22124</v>
      </c>
      <c r="D4690" s="196" t="s">
        <v>22123</v>
      </c>
      <c r="E4690" s="196" t="s">
        <v>22125</v>
      </c>
      <c r="F4690" s="196" t="s">
        <v>11268</v>
      </c>
      <c r="G4690" s="196" t="s">
        <v>12378</v>
      </c>
      <c r="H4690" s="196" t="s">
        <v>11235</v>
      </c>
    </row>
    <row r="4691" spans="1:8" x14ac:dyDescent="0.15">
      <c r="A4691" s="196" t="s">
        <v>11229</v>
      </c>
      <c r="B4691" s="196" t="s">
        <v>11230</v>
      </c>
      <c r="C4691" s="196" t="s">
        <v>22126</v>
      </c>
      <c r="D4691" s="196" t="s">
        <v>22125</v>
      </c>
      <c r="E4691" s="196" t="s">
        <v>22127</v>
      </c>
      <c r="F4691" s="196" t="s">
        <v>11241</v>
      </c>
      <c r="G4691" s="196" t="s">
        <v>12378</v>
      </c>
      <c r="H4691" s="196" t="s">
        <v>11235</v>
      </c>
    </row>
    <row r="4692" spans="1:8" x14ac:dyDescent="0.15">
      <c r="A4692" s="196" t="s">
        <v>11229</v>
      </c>
      <c r="B4692" s="196" t="s">
        <v>11230</v>
      </c>
      <c r="C4692" s="196" t="s">
        <v>22128</v>
      </c>
      <c r="D4692" s="196" t="s">
        <v>22127</v>
      </c>
      <c r="E4692" s="196" t="s">
        <v>22129</v>
      </c>
      <c r="F4692" s="196" t="s">
        <v>11241</v>
      </c>
      <c r="G4692" s="196" t="s">
        <v>12378</v>
      </c>
      <c r="H4692" s="196" t="s">
        <v>11235</v>
      </c>
    </row>
    <row r="4693" spans="1:8" x14ac:dyDescent="0.15">
      <c r="A4693" s="196" t="s">
        <v>11229</v>
      </c>
      <c r="B4693" s="196" t="s">
        <v>11230</v>
      </c>
      <c r="C4693" s="196" t="s">
        <v>22130</v>
      </c>
      <c r="D4693" s="196" t="s">
        <v>22129</v>
      </c>
      <c r="E4693" s="196" t="s">
        <v>22131</v>
      </c>
      <c r="F4693" s="196" t="s">
        <v>11268</v>
      </c>
      <c r="G4693" s="196" t="s">
        <v>12378</v>
      </c>
      <c r="H4693" s="196" t="s">
        <v>11235</v>
      </c>
    </row>
    <row r="4694" spans="1:8" x14ac:dyDescent="0.15">
      <c r="A4694" s="196" t="s">
        <v>11229</v>
      </c>
      <c r="B4694" s="196" t="s">
        <v>11230</v>
      </c>
      <c r="C4694" s="196" t="s">
        <v>22132</v>
      </c>
      <c r="D4694" s="196" t="s">
        <v>22131</v>
      </c>
      <c r="E4694" s="196" t="s">
        <v>22133</v>
      </c>
      <c r="F4694" s="196" t="s">
        <v>11241</v>
      </c>
      <c r="G4694" s="196" t="s">
        <v>12378</v>
      </c>
      <c r="H4694" s="196" t="s">
        <v>11235</v>
      </c>
    </row>
    <row r="4695" spans="1:8" x14ac:dyDescent="0.15">
      <c r="A4695" s="196" t="s">
        <v>11229</v>
      </c>
      <c r="B4695" s="196" t="s">
        <v>11230</v>
      </c>
      <c r="C4695" s="196" t="s">
        <v>22134</v>
      </c>
      <c r="D4695" s="196" t="s">
        <v>22133</v>
      </c>
      <c r="E4695" s="196" t="s">
        <v>22135</v>
      </c>
      <c r="F4695" s="196" t="s">
        <v>11268</v>
      </c>
      <c r="G4695" s="196" t="s">
        <v>12378</v>
      </c>
      <c r="H4695" s="196" t="s">
        <v>11235</v>
      </c>
    </row>
    <row r="4696" spans="1:8" x14ac:dyDescent="0.15">
      <c r="A4696" s="196" t="s">
        <v>11229</v>
      </c>
      <c r="B4696" s="196" t="s">
        <v>11230</v>
      </c>
      <c r="C4696" s="196" t="s">
        <v>22136</v>
      </c>
      <c r="D4696" s="196" t="s">
        <v>22135</v>
      </c>
      <c r="E4696" s="196" t="s">
        <v>22137</v>
      </c>
      <c r="F4696" s="196" t="s">
        <v>11241</v>
      </c>
      <c r="G4696" s="196" t="s">
        <v>12378</v>
      </c>
      <c r="H4696" s="196" t="s">
        <v>11235</v>
      </c>
    </row>
    <row r="4697" spans="1:8" x14ac:dyDescent="0.15">
      <c r="A4697" s="196" t="s">
        <v>11229</v>
      </c>
      <c r="B4697" s="196" t="s">
        <v>11230</v>
      </c>
      <c r="C4697" s="196" t="s">
        <v>22138</v>
      </c>
      <c r="D4697" s="196" t="s">
        <v>22139</v>
      </c>
      <c r="E4697" s="196" t="s">
        <v>22140</v>
      </c>
      <c r="F4697" s="196" t="s">
        <v>12404</v>
      </c>
      <c r="G4697" s="196" t="s">
        <v>12378</v>
      </c>
      <c r="H4697" s="196" t="s">
        <v>11235</v>
      </c>
    </row>
    <row r="4698" spans="1:8" x14ac:dyDescent="0.15">
      <c r="A4698" s="196" t="s">
        <v>11229</v>
      </c>
      <c r="B4698" s="196" t="s">
        <v>11230</v>
      </c>
      <c r="C4698" s="196" t="s">
        <v>22141</v>
      </c>
      <c r="D4698" s="196" t="s">
        <v>22142</v>
      </c>
      <c r="E4698" s="196" t="s">
        <v>22143</v>
      </c>
      <c r="F4698" s="196" t="s">
        <v>11241</v>
      </c>
      <c r="G4698" s="196" t="s">
        <v>12378</v>
      </c>
      <c r="H4698" s="196" t="s">
        <v>11235</v>
      </c>
    </row>
    <row r="4699" spans="1:8" x14ac:dyDescent="0.15">
      <c r="A4699" s="196" t="s">
        <v>11229</v>
      </c>
      <c r="B4699" s="196" t="s">
        <v>11230</v>
      </c>
      <c r="C4699" s="196" t="s">
        <v>22144</v>
      </c>
      <c r="D4699" s="196" t="s">
        <v>22143</v>
      </c>
      <c r="E4699" s="196" t="s">
        <v>22145</v>
      </c>
      <c r="F4699" s="196" t="s">
        <v>11268</v>
      </c>
      <c r="G4699" s="196" t="s">
        <v>12378</v>
      </c>
      <c r="H4699" s="196" t="s">
        <v>11235</v>
      </c>
    </row>
    <row r="4700" spans="1:8" x14ac:dyDescent="0.15">
      <c r="A4700" s="196" t="s">
        <v>11229</v>
      </c>
      <c r="B4700" s="196" t="s">
        <v>11230</v>
      </c>
      <c r="C4700" s="196" t="s">
        <v>22146</v>
      </c>
      <c r="D4700" s="196" t="s">
        <v>22147</v>
      </c>
      <c r="E4700" s="196" t="s">
        <v>22148</v>
      </c>
      <c r="F4700" s="196" t="s">
        <v>11241</v>
      </c>
      <c r="G4700" s="196" t="s">
        <v>12378</v>
      </c>
      <c r="H4700" s="196" t="s">
        <v>11235</v>
      </c>
    </row>
    <row r="4701" spans="1:8" x14ac:dyDescent="0.15">
      <c r="A4701" s="196" t="s">
        <v>11229</v>
      </c>
      <c r="B4701" s="196" t="s">
        <v>11230</v>
      </c>
      <c r="C4701" s="196" t="s">
        <v>22149</v>
      </c>
      <c r="D4701" s="196" t="s">
        <v>22150</v>
      </c>
      <c r="E4701" s="196" t="s">
        <v>22151</v>
      </c>
      <c r="F4701" s="196" t="s">
        <v>11241</v>
      </c>
      <c r="G4701" s="196" t="s">
        <v>12378</v>
      </c>
      <c r="H4701" s="196" t="s">
        <v>11235</v>
      </c>
    </row>
    <row r="4702" spans="1:8" x14ac:dyDescent="0.15">
      <c r="A4702" s="196" t="s">
        <v>11229</v>
      </c>
      <c r="B4702" s="196" t="s">
        <v>11230</v>
      </c>
      <c r="C4702" s="196" t="s">
        <v>22152</v>
      </c>
      <c r="D4702" s="196" t="s">
        <v>22153</v>
      </c>
      <c r="E4702" s="196" t="s">
        <v>22154</v>
      </c>
      <c r="F4702" s="196" t="s">
        <v>11241</v>
      </c>
      <c r="G4702" s="196" t="s">
        <v>12378</v>
      </c>
      <c r="H4702" s="196" t="s">
        <v>11235</v>
      </c>
    </row>
    <row r="4703" spans="1:8" x14ac:dyDescent="0.15">
      <c r="A4703" s="196" t="s">
        <v>11229</v>
      </c>
      <c r="B4703" s="196" t="s">
        <v>11230</v>
      </c>
      <c r="C4703" s="196" t="s">
        <v>22155</v>
      </c>
      <c r="D4703" s="196" t="s">
        <v>22156</v>
      </c>
      <c r="E4703" s="196" t="s">
        <v>22157</v>
      </c>
      <c r="F4703" s="196" t="s">
        <v>11268</v>
      </c>
      <c r="G4703" s="196" t="s">
        <v>12378</v>
      </c>
      <c r="H4703" s="196" t="s">
        <v>11235</v>
      </c>
    </row>
    <row r="4704" spans="1:8" x14ac:dyDescent="0.15">
      <c r="A4704" s="196" t="s">
        <v>11229</v>
      </c>
      <c r="B4704" s="196" t="s">
        <v>11230</v>
      </c>
      <c r="C4704" s="196" t="s">
        <v>22158</v>
      </c>
      <c r="D4704" s="196" t="s">
        <v>22159</v>
      </c>
      <c r="E4704" s="196" t="s">
        <v>22160</v>
      </c>
      <c r="F4704" s="196" t="s">
        <v>11241</v>
      </c>
      <c r="G4704" s="196" t="s">
        <v>12378</v>
      </c>
      <c r="H4704" s="196" t="s">
        <v>11235</v>
      </c>
    </row>
    <row r="4705" spans="1:8" x14ac:dyDescent="0.15">
      <c r="A4705" s="196" t="s">
        <v>11229</v>
      </c>
      <c r="B4705" s="196" t="s">
        <v>11230</v>
      </c>
      <c r="C4705" s="196" t="s">
        <v>22161</v>
      </c>
      <c r="D4705" s="196" t="s">
        <v>22162</v>
      </c>
      <c r="E4705" s="196" t="s">
        <v>22163</v>
      </c>
      <c r="F4705" s="196" t="s">
        <v>11241</v>
      </c>
      <c r="G4705" s="196" t="s">
        <v>12378</v>
      </c>
      <c r="H4705" s="196" t="s">
        <v>11235</v>
      </c>
    </row>
    <row r="4706" spans="1:8" x14ac:dyDescent="0.15">
      <c r="A4706" s="196" t="s">
        <v>11229</v>
      </c>
      <c r="B4706" s="196" t="s">
        <v>11230</v>
      </c>
      <c r="C4706" s="196" t="s">
        <v>22164</v>
      </c>
      <c r="D4706" s="196" t="s">
        <v>22165</v>
      </c>
      <c r="E4706" s="196" t="s">
        <v>22166</v>
      </c>
      <c r="F4706" s="196" t="s">
        <v>11241</v>
      </c>
      <c r="G4706" s="196" t="s">
        <v>12378</v>
      </c>
      <c r="H4706" s="196" t="s">
        <v>11235</v>
      </c>
    </row>
    <row r="4707" spans="1:8" x14ac:dyDescent="0.15">
      <c r="A4707" s="196" t="s">
        <v>11229</v>
      </c>
      <c r="B4707" s="196" t="s">
        <v>11230</v>
      </c>
      <c r="C4707" s="196" t="s">
        <v>22167</v>
      </c>
      <c r="D4707" s="196" t="s">
        <v>22168</v>
      </c>
      <c r="E4707" s="196" t="s">
        <v>22169</v>
      </c>
      <c r="F4707" s="196" t="s">
        <v>22170</v>
      </c>
      <c r="G4707" s="196" t="s">
        <v>12378</v>
      </c>
      <c r="H4707" s="196" t="s">
        <v>11235</v>
      </c>
    </row>
    <row r="4708" spans="1:8" x14ac:dyDescent="0.15">
      <c r="A4708" s="196" t="s">
        <v>11229</v>
      </c>
      <c r="B4708" s="196" t="s">
        <v>11230</v>
      </c>
      <c r="C4708" s="196" t="s">
        <v>22171</v>
      </c>
      <c r="D4708" s="196" t="s">
        <v>22172</v>
      </c>
      <c r="E4708" s="196" t="s">
        <v>22173</v>
      </c>
      <c r="F4708" s="196" t="s">
        <v>11268</v>
      </c>
      <c r="G4708" s="196" t="s">
        <v>12378</v>
      </c>
      <c r="H4708" s="196" t="s">
        <v>11235</v>
      </c>
    </row>
    <row r="4709" spans="1:8" x14ac:dyDescent="0.15">
      <c r="A4709" s="196" t="s">
        <v>11229</v>
      </c>
      <c r="B4709" s="196" t="s">
        <v>11230</v>
      </c>
      <c r="C4709" s="196" t="s">
        <v>22174</v>
      </c>
      <c r="D4709" s="196" t="s">
        <v>22175</v>
      </c>
      <c r="E4709" s="196" t="s">
        <v>22176</v>
      </c>
      <c r="F4709" s="196" t="s">
        <v>11241</v>
      </c>
      <c r="G4709" s="196" t="s">
        <v>12378</v>
      </c>
      <c r="H4709" s="196" t="s">
        <v>11235</v>
      </c>
    </row>
    <row r="4710" spans="1:8" x14ac:dyDescent="0.15">
      <c r="A4710" s="196" t="s">
        <v>11229</v>
      </c>
      <c r="B4710" s="196" t="s">
        <v>11230</v>
      </c>
      <c r="C4710" s="196" t="s">
        <v>22177</v>
      </c>
      <c r="D4710" s="196" t="s">
        <v>22178</v>
      </c>
      <c r="E4710" s="196" t="s">
        <v>22179</v>
      </c>
      <c r="F4710" s="196" t="s">
        <v>11241</v>
      </c>
      <c r="G4710" s="196" t="s">
        <v>12378</v>
      </c>
      <c r="H4710" s="196" t="s">
        <v>11235</v>
      </c>
    </row>
    <row r="4711" spans="1:8" x14ac:dyDescent="0.15">
      <c r="A4711" s="196" t="s">
        <v>11229</v>
      </c>
      <c r="B4711" s="196" t="s">
        <v>11230</v>
      </c>
      <c r="C4711" s="196" t="s">
        <v>22180</v>
      </c>
      <c r="D4711" s="196" t="s">
        <v>22181</v>
      </c>
      <c r="E4711" s="196" t="s">
        <v>22182</v>
      </c>
      <c r="F4711" s="196" t="s">
        <v>11241</v>
      </c>
      <c r="G4711" s="196" t="s">
        <v>12378</v>
      </c>
      <c r="H4711" s="196" t="s">
        <v>11235</v>
      </c>
    </row>
    <row r="4712" spans="1:8" x14ac:dyDescent="0.15">
      <c r="A4712" s="196" t="s">
        <v>11229</v>
      </c>
      <c r="B4712" s="196" t="s">
        <v>11230</v>
      </c>
      <c r="C4712" s="196" t="s">
        <v>22183</v>
      </c>
      <c r="D4712" s="196" t="s">
        <v>22184</v>
      </c>
      <c r="E4712" s="196" t="s">
        <v>22185</v>
      </c>
      <c r="F4712" s="196" t="s">
        <v>11241</v>
      </c>
      <c r="G4712" s="196" t="s">
        <v>12378</v>
      </c>
      <c r="H4712" s="196" t="s">
        <v>11235</v>
      </c>
    </row>
    <row r="4713" spans="1:8" x14ac:dyDescent="0.15">
      <c r="A4713" s="196" t="s">
        <v>11229</v>
      </c>
      <c r="B4713" s="196" t="s">
        <v>11230</v>
      </c>
      <c r="C4713" s="196" t="s">
        <v>22186</v>
      </c>
      <c r="D4713" s="196" t="s">
        <v>22187</v>
      </c>
      <c r="E4713" s="196" t="s">
        <v>22188</v>
      </c>
      <c r="F4713" s="196" t="s">
        <v>11268</v>
      </c>
      <c r="G4713" s="196" t="s">
        <v>12378</v>
      </c>
      <c r="H4713" s="196" t="s">
        <v>11235</v>
      </c>
    </row>
    <row r="4714" spans="1:8" x14ac:dyDescent="0.15">
      <c r="A4714" s="196" t="s">
        <v>11229</v>
      </c>
      <c r="B4714" s="196" t="s">
        <v>11230</v>
      </c>
      <c r="C4714" s="196" t="s">
        <v>22189</v>
      </c>
      <c r="D4714" s="196" t="s">
        <v>22188</v>
      </c>
      <c r="E4714" s="196" t="s">
        <v>22190</v>
      </c>
      <c r="F4714" s="196" t="s">
        <v>22191</v>
      </c>
      <c r="G4714" s="196" t="s">
        <v>12378</v>
      </c>
      <c r="H4714" s="196" t="s">
        <v>11235</v>
      </c>
    </row>
    <row r="4715" spans="1:8" x14ac:dyDescent="0.15">
      <c r="A4715" s="196" t="s">
        <v>11229</v>
      </c>
      <c r="B4715" s="196" t="s">
        <v>11230</v>
      </c>
      <c r="C4715" s="196" t="s">
        <v>22192</v>
      </c>
      <c r="D4715" s="196" t="s">
        <v>22193</v>
      </c>
      <c r="E4715" s="196" t="s">
        <v>22193</v>
      </c>
      <c r="F4715" s="196" t="s">
        <v>11233</v>
      </c>
      <c r="G4715" s="196" t="s">
        <v>12378</v>
      </c>
      <c r="H4715" s="196" t="s">
        <v>11235</v>
      </c>
    </row>
    <row r="4716" spans="1:8" x14ac:dyDescent="0.15">
      <c r="A4716" s="196" t="s">
        <v>11229</v>
      </c>
      <c r="B4716" s="196" t="s">
        <v>11230</v>
      </c>
      <c r="C4716" s="196" t="s">
        <v>22194</v>
      </c>
      <c r="D4716" s="196" t="s">
        <v>22195</v>
      </c>
      <c r="E4716" s="196" t="s">
        <v>22196</v>
      </c>
      <c r="F4716" s="196" t="s">
        <v>11241</v>
      </c>
      <c r="G4716" s="196" t="s">
        <v>12378</v>
      </c>
      <c r="H4716" s="196" t="s">
        <v>11235</v>
      </c>
    </row>
    <row r="4717" spans="1:8" x14ac:dyDescent="0.15">
      <c r="A4717" s="196" t="s">
        <v>11229</v>
      </c>
      <c r="B4717" s="196" t="s">
        <v>11230</v>
      </c>
      <c r="C4717" s="196" t="s">
        <v>22197</v>
      </c>
      <c r="D4717" s="196" t="s">
        <v>22198</v>
      </c>
      <c r="E4717" s="196" t="s">
        <v>22199</v>
      </c>
      <c r="F4717" s="196" t="s">
        <v>11241</v>
      </c>
      <c r="G4717" s="196" t="s">
        <v>12378</v>
      </c>
      <c r="H4717" s="196" t="s">
        <v>11235</v>
      </c>
    </row>
    <row r="4718" spans="1:8" x14ac:dyDescent="0.15">
      <c r="A4718" s="196" t="s">
        <v>11229</v>
      </c>
      <c r="B4718" s="196" t="s">
        <v>11230</v>
      </c>
      <c r="C4718" s="196" t="s">
        <v>22200</v>
      </c>
      <c r="D4718" s="196" t="s">
        <v>22201</v>
      </c>
      <c r="E4718" s="196" t="s">
        <v>22202</v>
      </c>
      <c r="F4718" s="196" t="s">
        <v>11268</v>
      </c>
      <c r="G4718" s="196" t="s">
        <v>12378</v>
      </c>
      <c r="H4718" s="196" t="s">
        <v>11235</v>
      </c>
    </row>
    <row r="4719" spans="1:8" x14ac:dyDescent="0.15">
      <c r="A4719" s="196" t="s">
        <v>11229</v>
      </c>
      <c r="B4719" s="196" t="s">
        <v>11230</v>
      </c>
      <c r="C4719" s="196" t="s">
        <v>22203</v>
      </c>
      <c r="D4719" s="196" t="s">
        <v>22204</v>
      </c>
      <c r="E4719" s="196" t="s">
        <v>22204</v>
      </c>
      <c r="F4719" s="196" t="s">
        <v>11233</v>
      </c>
      <c r="G4719" s="196" t="s">
        <v>12378</v>
      </c>
      <c r="H4719" s="196" t="s">
        <v>11235</v>
      </c>
    </row>
    <row r="4720" spans="1:8" x14ac:dyDescent="0.15">
      <c r="A4720" s="196" t="s">
        <v>11229</v>
      </c>
      <c r="B4720" s="196" t="s">
        <v>11230</v>
      </c>
      <c r="C4720" s="196" t="s">
        <v>22205</v>
      </c>
      <c r="D4720" s="196" t="s">
        <v>22206</v>
      </c>
      <c r="E4720" s="196" t="s">
        <v>22207</v>
      </c>
      <c r="F4720" s="196" t="s">
        <v>11241</v>
      </c>
      <c r="G4720" s="196" t="s">
        <v>12378</v>
      </c>
      <c r="H4720" s="196" t="s">
        <v>11235</v>
      </c>
    </row>
    <row r="4721" spans="1:8" x14ac:dyDescent="0.15">
      <c r="A4721" s="196" t="s">
        <v>11229</v>
      </c>
      <c r="B4721" s="196" t="s">
        <v>11230</v>
      </c>
      <c r="C4721" s="196" t="s">
        <v>22208</v>
      </c>
      <c r="D4721" s="196" t="s">
        <v>22209</v>
      </c>
      <c r="E4721" s="196" t="s">
        <v>22210</v>
      </c>
      <c r="F4721" s="196" t="s">
        <v>11268</v>
      </c>
      <c r="G4721" s="196" t="s">
        <v>12378</v>
      </c>
      <c r="H4721" s="196" t="s">
        <v>11235</v>
      </c>
    </row>
    <row r="4722" spans="1:8" x14ac:dyDescent="0.15">
      <c r="A4722" s="196" t="s">
        <v>11229</v>
      </c>
      <c r="B4722" s="196" t="s">
        <v>11230</v>
      </c>
      <c r="C4722" s="196" t="s">
        <v>22211</v>
      </c>
      <c r="D4722" s="196" t="s">
        <v>22212</v>
      </c>
      <c r="E4722" s="196" t="s">
        <v>22212</v>
      </c>
      <c r="F4722" s="196" t="s">
        <v>11233</v>
      </c>
      <c r="G4722" s="196" t="s">
        <v>12378</v>
      </c>
      <c r="H4722" s="196" t="s">
        <v>11235</v>
      </c>
    </row>
    <row r="4723" spans="1:8" x14ac:dyDescent="0.15">
      <c r="A4723" s="196" t="s">
        <v>11229</v>
      </c>
      <c r="B4723" s="196" t="s">
        <v>11230</v>
      </c>
      <c r="C4723" s="196" t="s">
        <v>22213</v>
      </c>
      <c r="D4723" s="196" t="s">
        <v>22214</v>
      </c>
      <c r="E4723" s="196" t="s">
        <v>22215</v>
      </c>
      <c r="F4723" s="196" t="s">
        <v>13099</v>
      </c>
      <c r="G4723" s="196" t="s">
        <v>12378</v>
      </c>
      <c r="H4723" s="196" t="s">
        <v>11235</v>
      </c>
    </row>
    <row r="4724" spans="1:8" x14ac:dyDescent="0.15">
      <c r="A4724" s="196" t="s">
        <v>11229</v>
      </c>
      <c r="B4724" s="196" t="s">
        <v>11230</v>
      </c>
      <c r="C4724" s="196" t="s">
        <v>22216</v>
      </c>
      <c r="D4724" s="196" t="s">
        <v>22217</v>
      </c>
      <c r="E4724" s="196" t="s">
        <v>22217</v>
      </c>
      <c r="F4724" s="196" t="s">
        <v>11233</v>
      </c>
      <c r="G4724" s="196" t="s">
        <v>12378</v>
      </c>
      <c r="H4724" s="196" t="s">
        <v>11235</v>
      </c>
    </row>
    <row r="4725" spans="1:8" x14ac:dyDescent="0.15">
      <c r="A4725" s="196" t="s">
        <v>11229</v>
      </c>
      <c r="B4725" s="196" t="s">
        <v>11230</v>
      </c>
      <c r="C4725" s="196" t="s">
        <v>22218</v>
      </c>
      <c r="D4725" s="196" t="s">
        <v>22219</v>
      </c>
      <c r="E4725" s="196" t="s">
        <v>22219</v>
      </c>
      <c r="F4725" s="196" t="s">
        <v>11233</v>
      </c>
      <c r="G4725" s="196" t="s">
        <v>12378</v>
      </c>
      <c r="H4725" s="196" t="s">
        <v>11235</v>
      </c>
    </row>
    <row r="4726" spans="1:8" x14ac:dyDescent="0.15">
      <c r="A4726" s="196" t="s">
        <v>11229</v>
      </c>
      <c r="B4726" s="196" t="s">
        <v>11230</v>
      </c>
      <c r="C4726" s="196" t="s">
        <v>22220</v>
      </c>
      <c r="D4726" s="196" t="s">
        <v>22221</v>
      </c>
      <c r="E4726" s="196" t="s">
        <v>22221</v>
      </c>
      <c r="F4726" s="196" t="s">
        <v>11233</v>
      </c>
      <c r="G4726" s="196" t="s">
        <v>12378</v>
      </c>
      <c r="H4726" s="196" t="s">
        <v>11235</v>
      </c>
    </row>
    <row r="4727" spans="1:8" x14ac:dyDescent="0.15">
      <c r="A4727" s="196" t="s">
        <v>11229</v>
      </c>
      <c r="B4727" s="196" t="s">
        <v>11230</v>
      </c>
      <c r="C4727" s="196" t="s">
        <v>22222</v>
      </c>
      <c r="D4727" s="196" t="s">
        <v>22223</v>
      </c>
      <c r="E4727" s="196" t="s">
        <v>22223</v>
      </c>
      <c r="F4727" s="196" t="s">
        <v>11233</v>
      </c>
      <c r="G4727" s="196" t="s">
        <v>12378</v>
      </c>
      <c r="H4727" s="196" t="s">
        <v>11235</v>
      </c>
    </row>
    <row r="4728" spans="1:8" x14ac:dyDescent="0.15">
      <c r="A4728" s="196" t="s">
        <v>11229</v>
      </c>
      <c r="B4728" s="196" t="s">
        <v>11230</v>
      </c>
      <c r="C4728" s="196" t="s">
        <v>22224</v>
      </c>
      <c r="D4728" s="196" t="s">
        <v>22225</v>
      </c>
      <c r="E4728" s="196" t="s">
        <v>22225</v>
      </c>
      <c r="F4728" s="196" t="s">
        <v>11233</v>
      </c>
      <c r="G4728" s="196" t="s">
        <v>12378</v>
      </c>
      <c r="H4728" s="196" t="s">
        <v>11235</v>
      </c>
    </row>
    <row r="4729" spans="1:8" x14ac:dyDescent="0.15">
      <c r="A4729" s="196" t="s">
        <v>11229</v>
      </c>
      <c r="B4729" s="196" t="s">
        <v>11230</v>
      </c>
      <c r="C4729" s="196" t="s">
        <v>22226</v>
      </c>
      <c r="D4729" s="196" t="s">
        <v>22227</v>
      </c>
      <c r="E4729" s="196" t="s">
        <v>22227</v>
      </c>
      <c r="F4729" s="196" t="s">
        <v>11233</v>
      </c>
      <c r="G4729" s="196" t="s">
        <v>12378</v>
      </c>
      <c r="H4729" s="196" t="s">
        <v>11235</v>
      </c>
    </row>
    <row r="4730" spans="1:8" x14ac:dyDescent="0.15">
      <c r="A4730" s="196" t="s">
        <v>11229</v>
      </c>
      <c r="B4730" s="196" t="s">
        <v>11230</v>
      </c>
      <c r="C4730" s="196" t="s">
        <v>22228</v>
      </c>
      <c r="D4730" s="196" t="s">
        <v>22229</v>
      </c>
      <c r="E4730" s="196" t="s">
        <v>22229</v>
      </c>
      <c r="F4730" s="196" t="s">
        <v>11233</v>
      </c>
      <c r="G4730" s="196" t="s">
        <v>12378</v>
      </c>
      <c r="H4730" s="196" t="s">
        <v>11235</v>
      </c>
    </row>
    <row r="4731" spans="1:8" x14ac:dyDescent="0.15">
      <c r="A4731" s="196" t="s">
        <v>11229</v>
      </c>
      <c r="B4731" s="196" t="s">
        <v>11230</v>
      </c>
      <c r="C4731" s="196" t="s">
        <v>22230</v>
      </c>
      <c r="D4731" s="196" t="s">
        <v>22231</v>
      </c>
      <c r="E4731" s="196" t="s">
        <v>22231</v>
      </c>
      <c r="F4731" s="196" t="s">
        <v>11233</v>
      </c>
      <c r="G4731" s="196" t="s">
        <v>12378</v>
      </c>
      <c r="H4731" s="196" t="s">
        <v>11235</v>
      </c>
    </row>
    <row r="4732" spans="1:8" x14ac:dyDescent="0.15">
      <c r="A4732" s="196" t="s">
        <v>11229</v>
      </c>
      <c r="B4732" s="196" t="s">
        <v>11230</v>
      </c>
      <c r="C4732" s="196" t="s">
        <v>22232</v>
      </c>
      <c r="D4732" s="196" t="s">
        <v>22233</v>
      </c>
      <c r="E4732" s="196" t="s">
        <v>22233</v>
      </c>
      <c r="F4732" s="196" t="s">
        <v>11233</v>
      </c>
      <c r="G4732" s="196" t="s">
        <v>12378</v>
      </c>
      <c r="H4732" s="196" t="s">
        <v>11235</v>
      </c>
    </row>
    <row r="4733" spans="1:8" x14ac:dyDescent="0.15">
      <c r="A4733" s="196" t="s">
        <v>11229</v>
      </c>
      <c r="B4733" s="196" t="s">
        <v>11230</v>
      </c>
      <c r="C4733" s="196" t="s">
        <v>22234</v>
      </c>
      <c r="D4733" s="196" t="s">
        <v>22235</v>
      </c>
      <c r="E4733" s="196" t="s">
        <v>22235</v>
      </c>
      <c r="F4733" s="196" t="s">
        <v>11233</v>
      </c>
      <c r="G4733" s="196" t="s">
        <v>12378</v>
      </c>
      <c r="H4733" s="196" t="s">
        <v>11235</v>
      </c>
    </row>
    <row r="4734" spans="1:8" x14ac:dyDescent="0.15">
      <c r="A4734" s="196" t="s">
        <v>11229</v>
      </c>
      <c r="B4734" s="196" t="s">
        <v>11230</v>
      </c>
      <c r="C4734" s="196" t="s">
        <v>22236</v>
      </c>
      <c r="D4734" s="196" t="s">
        <v>22237</v>
      </c>
      <c r="E4734" s="196" t="s">
        <v>22237</v>
      </c>
      <c r="F4734" s="196" t="s">
        <v>11233</v>
      </c>
      <c r="G4734" s="196" t="s">
        <v>12378</v>
      </c>
      <c r="H4734" s="196" t="s">
        <v>11235</v>
      </c>
    </row>
    <row r="4735" spans="1:8" x14ac:dyDescent="0.15">
      <c r="A4735" s="196" t="s">
        <v>11229</v>
      </c>
      <c r="B4735" s="196" t="s">
        <v>11230</v>
      </c>
      <c r="C4735" s="196" t="s">
        <v>22238</v>
      </c>
      <c r="D4735" s="196" t="s">
        <v>22239</v>
      </c>
      <c r="E4735" s="196" t="s">
        <v>22239</v>
      </c>
      <c r="F4735" s="196" t="s">
        <v>11233</v>
      </c>
      <c r="G4735" s="196" t="s">
        <v>12378</v>
      </c>
      <c r="H4735" s="196" t="s">
        <v>11235</v>
      </c>
    </row>
    <row r="4736" spans="1:8" x14ac:dyDescent="0.15">
      <c r="A4736" s="196" t="s">
        <v>11229</v>
      </c>
      <c r="B4736" s="196" t="s">
        <v>11230</v>
      </c>
      <c r="C4736" s="196" t="s">
        <v>22240</v>
      </c>
      <c r="D4736" s="196" t="s">
        <v>22241</v>
      </c>
      <c r="E4736" s="196" t="s">
        <v>22241</v>
      </c>
      <c r="F4736" s="196" t="s">
        <v>11233</v>
      </c>
      <c r="G4736" s="196" t="s">
        <v>12378</v>
      </c>
      <c r="H4736" s="196" t="s">
        <v>11235</v>
      </c>
    </row>
    <row r="4737" spans="1:8" x14ac:dyDescent="0.15">
      <c r="A4737" s="196" t="s">
        <v>11229</v>
      </c>
      <c r="B4737" s="196" t="s">
        <v>11230</v>
      </c>
      <c r="C4737" s="196" t="s">
        <v>22242</v>
      </c>
      <c r="D4737" s="196" t="s">
        <v>22243</v>
      </c>
      <c r="E4737" s="196" t="s">
        <v>22243</v>
      </c>
      <c r="F4737" s="196" t="s">
        <v>11233</v>
      </c>
      <c r="G4737" s="196" t="s">
        <v>12378</v>
      </c>
      <c r="H4737" s="196" t="s">
        <v>11235</v>
      </c>
    </row>
    <row r="4738" spans="1:8" x14ac:dyDescent="0.15">
      <c r="A4738" s="196" t="s">
        <v>11229</v>
      </c>
      <c r="B4738" s="196" t="s">
        <v>11230</v>
      </c>
      <c r="C4738" s="196" t="s">
        <v>22244</v>
      </c>
      <c r="D4738" s="196" t="s">
        <v>22245</v>
      </c>
      <c r="E4738" s="196" t="s">
        <v>22245</v>
      </c>
      <c r="F4738" s="196" t="s">
        <v>11233</v>
      </c>
      <c r="G4738" s="196" t="s">
        <v>12378</v>
      </c>
      <c r="H4738" s="196" t="s">
        <v>11235</v>
      </c>
    </row>
    <row r="4739" spans="1:8" x14ac:dyDescent="0.15">
      <c r="A4739" s="196" t="s">
        <v>11229</v>
      </c>
      <c r="B4739" s="196" t="s">
        <v>11230</v>
      </c>
      <c r="C4739" s="196" t="s">
        <v>22246</v>
      </c>
      <c r="D4739" s="196" t="s">
        <v>22247</v>
      </c>
      <c r="E4739" s="196" t="s">
        <v>22247</v>
      </c>
      <c r="F4739" s="196" t="s">
        <v>11233</v>
      </c>
      <c r="G4739" s="196" t="s">
        <v>12378</v>
      </c>
      <c r="H4739" s="196" t="s">
        <v>11235</v>
      </c>
    </row>
    <row r="4740" spans="1:8" x14ac:dyDescent="0.15">
      <c r="A4740" s="196" t="s">
        <v>11229</v>
      </c>
      <c r="B4740" s="196" t="s">
        <v>11230</v>
      </c>
      <c r="C4740" s="196" t="s">
        <v>22248</v>
      </c>
      <c r="D4740" s="196" t="s">
        <v>22249</v>
      </c>
      <c r="E4740" s="196" t="s">
        <v>22249</v>
      </c>
      <c r="F4740" s="196" t="s">
        <v>11233</v>
      </c>
      <c r="G4740" s="196" t="s">
        <v>12378</v>
      </c>
      <c r="H4740" s="196" t="s">
        <v>11235</v>
      </c>
    </row>
    <row r="4741" spans="1:8" x14ac:dyDescent="0.15">
      <c r="A4741" s="196" t="s">
        <v>11229</v>
      </c>
      <c r="B4741" s="196" t="s">
        <v>11230</v>
      </c>
      <c r="C4741" s="196" t="s">
        <v>22250</v>
      </c>
      <c r="D4741" s="196" t="s">
        <v>22251</v>
      </c>
      <c r="E4741" s="196" t="s">
        <v>22251</v>
      </c>
      <c r="F4741" s="196" t="s">
        <v>11233</v>
      </c>
      <c r="G4741" s="196" t="s">
        <v>12378</v>
      </c>
      <c r="H4741" s="196" t="s">
        <v>11235</v>
      </c>
    </row>
    <row r="4742" spans="1:8" x14ac:dyDescent="0.15">
      <c r="A4742" s="196" t="s">
        <v>11229</v>
      </c>
      <c r="B4742" s="196" t="s">
        <v>11230</v>
      </c>
      <c r="C4742" s="196" t="s">
        <v>22252</v>
      </c>
      <c r="D4742" s="196" t="s">
        <v>22253</v>
      </c>
      <c r="E4742" s="196" t="s">
        <v>22253</v>
      </c>
      <c r="F4742" s="196" t="s">
        <v>11233</v>
      </c>
      <c r="G4742" s="196" t="s">
        <v>12378</v>
      </c>
      <c r="H4742" s="196" t="s">
        <v>11235</v>
      </c>
    </row>
    <row r="4743" spans="1:8" x14ac:dyDescent="0.15">
      <c r="A4743" s="196" t="s">
        <v>11229</v>
      </c>
      <c r="B4743" s="196" t="s">
        <v>11230</v>
      </c>
      <c r="C4743" s="196" t="s">
        <v>22254</v>
      </c>
      <c r="D4743" s="196" t="s">
        <v>22255</v>
      </c>
      <c r="E4743" s="196" t="s">
        <v>22255</v>
      </c>
      <c r="F4743" s="196" t="s">
        <v>11233</v>
      </c>
      <c r="G4743" s="196" t="s">
        <v>12378</v>
      </c>
      <c r="H4743" s="196" t="s">
        <v>11235</v>
      </c>
    </row>
    <row r="4744" spans="1:8" x14ac:dyDescent="0.15">
      <c r="A4744" s="196" t="s">
        <v>11229</v>
      </c>
      <c r="B4744" s="196" t="s">
        <v>11230</v>
      </c>
      <c r="C4744" s="196" t="s">
        <v>22256</v>
      </c>
      <c r="D4744" s="196" t="s">
        <v>22257</v>
      </c>
      <c r="E4744" s="196" t="s">
        <v>22257</v>
      </c>
      <c r="F4744" s="196" t="s">
        <v>11233</v>
      </c>
      <c r="G4744" s="196" t="s">
        <v>12378</v>
      </c>
      <c r="H4744" s="196" t="s">
        <v>11235</v>
      </c>
    </row>
    <row r="4745" spans="1:8" x14ac:dyDescent="0.15">
      <c r="A4745" s="196" t="s">
        <v>11229</v>
      </c>
      <c r="B4745" s="196" t="s">
        <v>11230</v>
      </c>
      <c r="C4745" s="196" t="s">
        <v>22258</v>
      </c>
      <c r="D4745" s="196" t="s">
        <v>22259</v>
      </c>
      <c r="E4745" s="196" t="s">
        <v>22259</v>
      </c>
      <c r="F4745" s="196" t="s">
        <v>11233</v>
      </c>
      <c r="G4745" s="196" t="s">
        <v>12378</v>
      </c>
      <c r="H4745" s="196" t="s">
        <v>11235</v>
      </c>
    </row>
    <row r="4746" spans="1:8" x14ac:dyDescent="0.15">
      <c r="A4746" s="196" t="s">
        <v>11229</v>
      </c>
      <c r="B4746" s="196" t="s">
        <v>11230</v>
      </c>
      <c r="C4746" s="196" t="s">
        <v>22260</v>
      </c>
      <c r="D4746" s="196" t="s">
        <v>22261</v>
      </c>
      <c r="E4746" s="196" t="s">
        <v>22261</v>
      </c>
      <c r="F4746" s="196" t="s">
        <v>11233</v>
      </c>
      <c r="G4746" s="196" t="s">
        <v>12378</v>
      </c>
      <c r="H4746" s="196" t="s">
        <v>11235</v>
      </c>
    </row>
    <row r="4747" spans="1:8" x14ac:dyDescent="0.15">
      <c r="A4747" s="196" t="s">
        <v>11229</v>
      </c>
      <c r="B4747" s="196" t="s">
        <v>11230</v>
      </c>
      <c r="C4747" s="196" t="s">
        <v>22262</v>
      </c>
      <c r="D4747" s="196" t="s">
        <v>22263</v>
      </c>
      <c r="E4747" s="196" t="s">
        <v>22263</v>
      </c>
      <c r="F4747" s="196" t="s">
        <v>11233</v>
      </c>
      <c r="G4747" s="196" t="s">
        <v>12378</v>
      </c>
      <c r="H4747" s="196" t="s">
        <v>11235</v>
      </c>
    </row>
    <row r="4748" spans="1:8" x14ac:dyDescent="0.15">
      <c r="A4748" s="196" t="s">
        <v>11229</v>
      </c>
      <c r="B4748" s="196" t="s">
        <v>11230</v>
      </c>
      <c r="C4748" s="196" t="s">
        <v>22264</v>
      </c>
      <c r="D4748" s="196" t="s">
        <v>22265</v>
      </c>
      <c r="E4748" s="196" t="s">
        <v>22265</v>
      </c>
      <c r="F4748" s="196" t="s">
        <v>11233</v>
      </c>
      <c r="G4748" s="196" t="s">
        <v>12378</v>
      </c>
      <c r="H4748" s="196" t="s">
        <v>11235</v>
      </c>
    </row>
    <row r="4749" spans="1:8" x14ac:dyDescent="0.15">
      <c r="A4749" s="196" t="s">
        <v>11229</v>
      </c>
      <c r="B4749" s="196" t="s">
        <v>11230</v>
      </c>
      <c r="C4749" s="196" t="s">
        <v>22266</v>
      </c>
      <c r="D4749" s="196" t="s">
        <v>22267</v>
      </c>
      <c r="E4749" s="196" t="s">
        <v>22267</v>
      </c>
      <c r="F4749" s="196" t="s">
        <v>11233</v>
      </c>
      <c r="G4749" s="196" t="s">
        <v>12378</v>
      </c>
      <c r="H4749" s="196" t="s">
        <v>11235</v>
      </c>
    </row>
    <row r="4750" spans="1:8" x14ac:dyDescent="0.15">
      <c r="A4750" s="196" t="s">
        <v>11229</v>
      </c>
      <c r="B4750" s="196" t="s">
        <v>11230</v>
      </c>
      <c r="C4750" s="196" t="s">
        <v>22268</v>
      </c>
      <c r="D4750" s="196" t="s">
        <v>22269</v>
      </c>
      <c r="E4750" s="196" t="s">
        <v>22269</v>
      </c>
      <c r="F4750" s="196" t="s">
        <v>11233</v>
      </c>
      <c r="G4750" s="196" t="s">
        <v>12378</v>
      </c>
      <c r="H4750" s="196" t="s">
        <v>11235</v>
      </c>
    </row>
    <row r="4751" spans="1:8" x14ac:dyDescent="0.15">
      <c r="A4751" s="196" t="s">
        <v>11229</v>
      </c>
      <c r="B4751" s="196" t="s">
        <v>11230</v>
      </c>
      <c r="C4751" s="196" t="s">
        <v>22270</v>
      </c>
      <c r="D4751" s="196" t="s">
        <v>22271</v>
      </c>
      <c r="E4751" s="196" t="s">
        <v>22271</v>
      </c>
      <c r="F4751" s="196" t="s">
        <v>11233</v>
      </c>
      <c r="G4751" s="196" t="s">
        <v>12378</v>
      </c>
      <c r="H4751" s="196" t="s">
        <v>11235</v>
      </c>
    </row>
    <row r="4752" spans="1:8" x14ac:dyDescent="0.15">
      <c r="A4752" s="196" t="s">
        <v>11229</v>
      </c>
      <c r="B4752" s="196" t="s">
        <v>11230</v>
      </c>
      <c r="C4752" s="196" t="s">
        <v>22272</v>
      </c>
      <c r="D4752" s="196" t="s">
        <v>22273</v>
      </c>
      <c r="E4752" s="196" t="s">
        <v>22274</v>
      </c>
      <c r="F4752" s="196" t="s">
        <v>11268</v>
      </c>
      <c r="G4752" s="196" t="s">
        <v>12378</v>
      </c>
      <c r="H4752" s="196" t="s">
        <v>11235</v>
      </c>
    </row>
    <row r="4753" spans="1:8" x14ac:dyDescent="0.15">
      <c r="A4753" s="196" t="s">
        <v>11229</v>
      </c>
      <c r="B4753" s="196" t="s">
        <v>11230</v>
      </c>
      <c r="C4753" s="196" t="s">
        <v>22275</v>
      </c>
      <c r="D4753" s="196" t="s">
        <v>22276</v>
      </c>
      <c r="E4753" s="196" t="s">
        <v>22276</v>
      </c>
      <c r="F4753" s="196" t="s">
        <v>11233</v>
      </c>
      <c r="G4753" s="196" t="s">
        <v>12378</v>
      </c>
      <c r="H4753" s="196" t="s">
        <v>11235</v>
      </c>
    </row>
    <row r="4754" spans="1:8" x14ac:dyDescent="0.15">
      <c r="A4754" s="196" t="s">
        <v>11229</v>
      </c>
      <c r="B4754" s="196" t="s">
        <v>11230</v>
      </c>
      <c r="C4754" s="196" t="s">
        <v>22277</v>
      </c>
      <c r="D4754" s="196" t="s">
        <v>22278</v>
      </c>
      <c r="E4754" s="196" t="s">
        <v>22278</v>
      </c>
      <c r="F4754" s="196" t="s">
        <v>11233</v>
      </c>
      <c r="G4754" s="196" t="s">
        <v>12378</v>
      </c>
      <c r="H4754" s="196" t="s">
        <v>11235</v>
      </c>
    </row>
    <row r="4755" spans="1:8" x14ac:dyDescent="0.15">
      <c r="A4755" s="196" t="s">
        <v>11229</v>
      </c>
      <c r="B4755" s="196" t="s">
        <v>11230</v>
      </c>
      <c r="C4755" s="196" t="s">
        <v>22279</v>
      </c>
      <c r="D4755" s="196" t="s">
        <v>22280</v>
      </c>
      <c r="E4755" s="196" t="s">
        <v>22280</v>
      </c>
      <c r="F4755" s="196" t="s">
        <v>11233</v>
      </c>
      <c r="G4755" s="196" t="s">
        <v>12378</v>
      </c>
      <c r="H4755" s="196" t="s">
        <v>11235</v>
      </c>
    </row>
    <row r="4756" spans="1:8" x14ac:dyDescent="0.15">
      <c r="A4756" s="196" t="s">
        <v>11229</v>
      </c>
      <c r="B4756" s="196" t="s">
        <v>11230</v>
      </c>
      <c r="C4756" s="196" t="s">
        <v>22281</v>
      </c>
      <c r="D4756" s="196" t="s">
        <v>22282</v>
      </c>
      <c r="E4756" s="196" t="s">
        <v>22282</v>
      </c>
      <c r="F4756" s="196" t="s">
        <v>11233</v>
      </c>
      <c r="G4756" s="196" t="s">
        <v>12378</v>
      </c>
      <c r="H4756" s="196" t="s">
        <v>11235</v>
      </c>
    </row>
    <row r="4757" spans="1:8" x14ac:dyDescent="0.15">
      <c r="A4757" s="196" t="s">
        <v>11229</v>
      </c>
      <c r="B4757" s="196" t="s">
        <v>11230</v>
      </c>
      <c r="C4757" s="196" t="s">
        <v>22283</v>
      </c>
      <c r="D4757" s="196" t="s">
        <v>22284</v>
      </c>
      <c r="E4757" s="196" t="s">
        <v>22284</v>
      </c>
      <c r="F4757" s="196" t="s">
        <v>11233</v>
      </c>
      <c r="G4757" s="196" t="s">
        <v>12378</v>
      </c>
      <c r="H4757" s="196" t="s">
        <v>11235</v>
      </c>
    </row>
    <row r="4758" spans="1:8" x14ac:dyDescent="0.15">
      <c r="A4758" s="196" t="s">
        <v>11229</v>
      </c>
      <c r="B4758" s="196" t="s">
        <v>11230</v>
      </c>
      <c r="C4758" s="196" t="s">
        <v>22285</v>
      </c>
      <c r="D4758" s="196" t="s">
        <v>22286</v>
      </c>
      <c r="E4758" s="196" t="s">
        <v>22286</v>
      </c>
      <c r="F4758" s="196" t="s">
        <v>11233</v>
      </c>
      <c r="G4758" s="196" t="s">
        <v>12378</v>
      </c>
      <c r="H4758" s="196" t="s">
        <v>11235</v>
      </c>
    </row>
    <row r="4759" spans="1:8" x14ac:dyDescent="0.15">
      <c r="A4759" s="196" t="s">
        <v>11229</v>
      </c>
      <c r="B4759" s="196" t="s">
        <v>11230</v>
      </c>
      <c r="C4759" s="196" t="s">
        <v>22287</v>
      </c>
      <c r="D4759" s="196" t="s">
        <v>22288</v>
      </c>
      <c r="E4759" s="196" t="s">
        <v>22288</v>
      </c>
      <c r="F4759" s="196" t="s">
        <v>11233</v>
      </c>
      <c r="G4759" s="196" t="s">
        <v>12378</v>
      </c>
      <c r="H4759" s="196" t="s">
        <v>11235</v>
      </c>
    </row>
    <row r="4760" spans="1:8" x14ac:dyDescent="0.15">
      <c r="A4760" s="196" t="s">
        <v>11229</v>
      </c>
      <c r="B4760" s="196" t="s">
        <v>11230</v>
      </c>
      <c r="C4760" s="196" t="s">
        <v>22289</v>
      </c>
      <c r="D4760" s="196" t="s">
        <v>22290</v>
      </c>
      <c r="E4760" s="196" t="s">
        <v>22290</v>
      </c>
      <c r="F4760" s="196" t="s">
        <v>11233</v>
      </c>
      <c r="G4760" s="196" t="s">
        <v>12378</v>
      </c>
      <c r="H4760" s="196" t="s">
        <v>11235</v>
      </c>
    </row>
    <row r="4761" spans="1:8" x14ac:dyDescent="0.15">
      <c r="A4761" s="196" t="s">
        <v>11229</v>
      </c>
      <c r="B4761" s="196" t="s">
        <v>11230</v>
      </c>
      <c r="C4761" s="196" t="s">
        <v>22291</v>
      </c>
      <c r="D4761" s="196" t="s">
        <v>22292</v>
      </c>
      <c r="E4761" s="196" t="s">
        <v>22292</v>
      </c>
      <c r="F4761" s="196" t="s">
        <v>11233</v>
      </c>
      <c r="G4761" s="196" t="s">
        <v>12378</v>
      </c>
      <c r="H4761" s="196" t="s">
        <v>11235</v>
      </c>
    </row>
    <row r="4762" spans="1:8" x14ac:dyDescent="0.15">
      <c r="A4762" s="196" t="s">
        <v>11229</v>
      </c>
      <c r="B4762" s="196" t="s">
        <v>11230</v>
      </c>
      <c r="C4762" s="196" t="s">
        <v>22293</v>
      </c>
      <c r="D4762" s="196" t="s">
        <v>22294</v>
      </c>
      <c r="E4762" s="196" t="s">
        <v>22294</v>
      </c>
      <c r="F4762" s="196" t="s">
        <v>11233</v>
      </c>
      <c r="G4762" s="196" t="s">
        <v>12378</v>
      </c>
      <c r="H4762" s="196" t="s">
        <v>11235</v>
      </c>
    </row>
    <row r="4763" spans="1:8" x14ac:dyDescent="0.15">
      <c r="A4763" s="196" t="s">
        <v>11229</v>
      </c>
      <c r="B4763" s="196" t="s">
        <v>11230</v>
      </c>
      <c r="C4763" s="196" t="s">
        <v>22295</v>
      </c>
      <c r="D4763" s="196" t="s">
        <v>22296</v>
      </c>
      <c r="E4763" s="196" t="s">
        <v>22296</v>
      </c>
      <c r="F4763" s="196" t="s">
        <v>11233</v>
      </c>
      <c r="G4763" s="196" t="s">
        <v>12378</v>
      </c>
      <c r="H4763" s="196" t="s">
        <v>11235</v>
      </c>
    </row>
    <row r="4764" spans="1:8" x14ac:dyDescent="0.15">
      <c r="A4764" s="196" t="s">
        <v>11229</v>
      </c>
      <c r="B4764" s="196" t="s">
        <v>11230</v>
      </c>
      <c r="C4764" s="196" t="s">
        <v>22297</v>
      </c>
      <c r="D4764" s="196" t="s">
        <v>22298</v>
      </c>
      <c r="E4764" s="196" t="s">
        <v>22298</v>
      </c>
      <c r="F4764" s="196" t="s">
        <v>11233</v>
      </c>
      <c r="G4764" s="196" t="s">
        <v>12378</v>
      </c>
      <c r="H4764" s="196" t="s">
        <v>11235</v>
      </c>
    </row>
    <row r="4765" spans="1:8" x14ac:dyDescent="0.15">
      <c r="A4765" s="196" t="s">
        <v>11229</v>
      </c>
      <c r="B4765" s="196" t="s">
        <v>11230</v>
      </c>
      <c r="C4765" s="196" t="s">
        <v>22299</v>
      </c>
      <c r="D4765" s="196" t="s">
        <v>22300</v>
      </c>
      <c r="E4765" s="196" t="s">
        <v>22300</v>
      </c>
      <c r="F4765" s="196" t="s">
        <v>11233</v>
      </c>
      <c r="G4765" s="196" t="s">
        <v>12378</v>
      </c>
      <c r="H4765" s="196" t="s">
        <v>11235</v>
      </c>
    </row>
    <row r="4766" spans="1:8" x14ac:dyDescent="0.15">
      <c r="A4766" s="196" t="s">
        <v>11229</v>
      </c>
      <c r="B4766" s="196" t="s">
        <v>11230</v>
      </c>
      <c r="C4766" s="196" t="s">
        <v>22301</v>
      </c>
      <c r="D4766" s="196" t="s">
        <v>22302</v>
      </c>
      <c r="E4766" s="196" t="s">
        <v>22302</v>
      </c>
      <c r="F4766" s="196" t="s">
        <v>11233</v>
      </c>
      <c r="G4766" s="196" t="s">
        <v>12378</v>
      </c>
      <c r="H4766" s="196" t="s">
        <v>11235</v>
      </c>
    </row>
    <row r="4767" spans="1:8" x14ac:dyDescent="0.15">
      <c r="A4767" s="196" t="s">
        <v>11229</v>
      </c>
      <c r="B4767" s="196" t="s">
        <v>11230</v>
      </c>
      <c r="C4767" s="196" t="s">
        <v>22303</v>
      </c>
      <c r="D4767" s="196" t="s">
        <v>22304</v>
      </c>
      <c r="E4767" s="196" t="s">
        <v>22304</v>
      </c>
      <c r="F4767" s="196" t="s">
        <v>11233</v>
      </c>
      <c r="G4767" s="196" t="s">
        <v>12378</v>
      </c>
      <c r="H4767" s="196" t="s">
        <v>11235</v>
      </c>
    </row>
    <row r="4768" spans="1:8" x14ac:dyDescent="0.15">
      <c r="A4768" s="196" t="s">
        <v>11229</v>
      </c>
      <c r="B4768" s="196" t="s">
        <v>11230</v>
      </c>
      <c r="C4768" s="196" t="s">
        <v>22305</v>
      </c>
      <c r="D4768" s="196" t="s">
        <v>22306</v>
      </c>
      <c r="E4768" s="196" t="s">
        <v>22306</v>
      </c>
      <c r="F4768" s="196" t="s">
        <v>11233</v>
      </c>
      <c r="G4768" s="196" t="s">
        <v>12378</v>
      </c>
      <c r="H4768" s="196" t="s">
        <v>11235</v>
      </c>
    </row>
    <row r="4769" spans="1:8" x14ac:dyDescent="0.15">
      <c r="A4769" s="196" t="s">
        <v>11229</v>
      </c>
      <c r="B4769" s="196" t="s">
        <v>11230</v>
      </c>
      <c r="C4769" s="196" t="s">
        <v>22307</v>
      </c>
      <c r="D4769" s="196" t="s">
        <v>22308</v>
      </c>
      <c r="E4769" s="196" t="s">
        <v>22308</v>
      </c>
      <c r="F4769" s="196" t="s">
        <v>11233</v>
      </c>
      <c r="G4769" s="196" t="s">
        <v>12378</v>
      </c>
      <c r="H4769" s="196" t="s">
        <v>11235</v>
      </c>
    </row>
    <row r="4770" spans="1:8" x14ac:dyDescent="0.15">
      <c r="A4770" s="196" t="s">
        <v>11229</v>
      </c>
      <c r="B4770" s="196" t="s">
        <v>11230</v>
      </c>
      <c r="C4770" s="196" t="s">
        <v>22309</v>
      </c>
      <c r="D4770" s="196" t="s">
        <v>22310</v>
      </c>
      <c r="E4770" s="196" t="s">
        <v>22310</v>
      </c>
      <c r="F4770" s="196" t="s">
        <v>11233</v>
      </c>
      <c r="G4770" s="196" t="s">
        <v>12378</v>
      </c>
      <c r="H4770" s="196" t="s">
        <v>11235</v>
      </c>
    </row>
    <row r="4771" spans="1:8" x14ac:dyDescent="0.15">
      <c r="A4771" s="196" t="s">
        <v>11229</v>
      </c>
      <c r="B4771" s="196" t="s">
        <v>11230</v>
      </c>
      <c r="C4771" s="196" t="s">
        <v>22311</v>
      </c>
      <c r="D4771" s="196" t="s">
        <v>22312</v>
      </c>
      <c r="E4771" s="196" t="s">
        <v>22312</v>
      </c>
      <c r="F4771" s="196" t="s">
        <v>11233</v>
      </c>
      <c r="G4771" s="196" t="s">
        <v>12378</v>
      </c>
      <c r="H4771" s="196" t="s">
        <v>11235</v>
      </c>
    </row>
    <row r="4772" spans="1:8" x14ac:dyDescent="0.15">
      <c r="A4772" s="196" t="s">
        <v>11229</v>
      </c>
      <c r="B4772" s="196" t="s">
        <v>11230</v>
      </c>
      <c r="C4772" s="196" t="s">
        <v>22313</v>
      </c>
      <c r="D4772" s="196" t="s">
        <v>22314</v>
      </c>
      <c r="E4772" s="196" t="s">
        <v>22314</v>
      </c>
      <c r="F4772" s="196" t="s">
        <v>11233</v>
      </c>
      <c r="G4772" s="196" t="s">
        <v>12378</v>
      </c>
      <c r="H4772" s="196" t="s">
        <v>11235</v>
      </c>
    </row>
    <row r="4773" spans="1:8" x14ac:dyDescent="0.15">
      <c r="A4773" s="196" t="s">
        <v>11229</v>
      </c>
      <c r="B4773" s="196" t="s">
        <v>11230</v>
      </c>
      <c r="C4773" s="196" t="s">
        <v>22315</v>
      </c>
      <c r="D4773" s="196" t="s">
        <v>22316</v>
      </c>
      <c r="E4773" s="196" t="s">
        <v>22316</v>
      </c>
      <c r="F4773" s="196" t="s">
        <v>11233</v>
      </c>
      <c r="G4773" s="196" t="s">
        <v>12378</v>
      </c>
      <c r="H4773" s="196" t="s">
        <v>11235</v>
      </c>
    </row>
    <row r="4774" spans="1:8" x14ac:dyDescent="0.15">
      <c r="A4774" s="196" t="s">
        <v>11229</v>
      </c>
      <c r="B4774" s="196" t="s">
        <v>11230</v>
      </c>
      <c r="C4774" s="196" t="s">
        <v>22317</v>
      </c>
      <c r="D4774" s="196" t="s">
        <v>22318</v>
      </c>
      <c r="E4774" s="196" t="s">
        <v>22318</v>
      </c>
      <c r="F4774" s="196" t="s">
        <v>11233</v>
      </c>
      <c r="G4774" s="196" t="s">
        <v>12378</v>
      </c>
      <c r="H4774" s="196" t="s">
        <v>11235</v>
      </c>
    </row>
    <row r="4775" spans="1:8" x14ac:dyDescent="0.15">
      <c r="A4775" s="196" t="s">
        <v>11229</v>
      </c>
      <c r="B4775" s="196" t="s">
        <v>11230</v>
      </c>
      <c r="C4775" s="196" t="s">
        <v>22319</v>
      </c>
      <c r="D4775" s="196" t="s">
        <v>22320</v>
      </c>
      <c r="E4775" s="196" t="s">
        <v>22320</v>
      </c>
      <c r="F4775" s="196" t="s">
        <v>11233</v>
      </c>
      <c r="G4775" s="196" t="s">
        <v>12378</v>
      </c>
      <c r="H4775" s="196" t="s">
        <v>11235</v>
      </c>
    </row>
    <row r="4776" spans="1:8" x14ac:dyDescent="0.15">
      <c r="A4776" s="196" t="s">
        <v>11229</v>
      </c>
      <c r="B4776" s="196" t="s">
        <v>11230</v>
      </c>
      <c r="C4776" s="196" t="s">
        <v>22321</v>
      </c>
      <c r="D4776" s="196" t="s">
        <v>22322</v>
      </c>
      <c r="E4776" s="196" t="s">
        <v>22322</v>
      </c>
      <c r="F4776" s="196" t="s">
        <v>11233</v>
      </c>
      <c r="G4776" s="196" t="s">
        <v>12378</v>
      </c>
      <c r="H4776" s="196" t="s">
        <v>11235</v>
      </c>
    </row>
    <row r="4777" spans="1:8" x14ac:dyDescent="0.15">
      <c r="A4777" s="196" t="s">
        <v>11229</v>
      </c>
      <c r="B4777" s="196" t="s">
        <v>11230</v>
      </c>
      <c r="C4777" s="196" t="s">
        <v>22323</v>
      </c>
      <c r="D4777" s="196" t="s">
        <v>22324</v>
      </c>
      <c r="E4777" s="196" t="s">
        <v>22325</v>
      </c>
      <c r="F4777" s="196" t="s">
        <v>20472</v>
      </c>
      <c r="G4777" s="196" t="s">
        <v>12378</v>
      </c>
      <c r="H4777" s="196" t="s">
        <v>11235</v>
      </c>
    </row>
    <row r="4778" spans="1:8" x14ac:dyDescent="0.15">
      <c r="A4778" s="196" t="s">
        <v>11229</v>
      </c>
      <c r="B4778" s="196" t="s">
        <v>11230</v>
      </c>
      <c r="C4778" s="196" t="s">
        <v>22326</v>
      </c>
      <c r="D4778" s="196" t="s">
        <v>22327</v>
      </c>
      <c r="E4778" s="196" t="s">
        <v>22327</v>
      </c>
      <c r="F4778" s="196" t="s">
        <v>11233</v>
      </c>
      <c r="G4778" s="196" t="s">
        <v>12378</v>
      </c>
      <c r="H4778" s="196" t="s">
        <v>11235</v>
      </c>
    </row>
    <row r="4779" spans="1:8" x14ac:dyDescent="0.15">
      <c r="A4779" s="196" t="s">
        <v>11229</v>
      </c>
      <c r="B4779" s="196" t="s">
        <v>11230</v>
      </c>
      <c r="C4779" s="196" t="s">
        <v>22328</v>
      </c>
      <c r="D4779" s="196" t="s">
        <v>22329</v>
      </c>
      <c r="E4779" s="196" t="s">
        <v>22329</v>
      </c>
      <c r="F4779" s="196" t="s">
        <v>11233</v>
      </c>
      <c r="G4779" s="196" t="s">
        <v>12378</v>
      </c>
      <c r="H4779" s="196" t="s">
        <v>11235</v>
      </c>
    </row>
    <row r="4780" spans="1:8" x14ac:dyDescent="0.15">
      <c r="A4780" s="196" t="s">
        <v>11229</v>
      </c>
      <c r="B4780" s="196" t="s">
        <v>11230</v>
      </c>
      <c r="C4780" s="196" t="s">
        <v>22330</v>
      </c>
      <c r="D4780" s="196" t="s">
        <v>22331</v>
      </c>
      <c r="E4780" s="196" t="s">
        <v>22331</v>
      </c>
      <c r="F4780" s="196" t="s">
        <v>11233</v>
      </c>
      <c r="G4780" s="196" t="s">
        <v>12378</v>
      </c>
      <c r="H4780" s="196" t="s">
        <v>11235</v>
      </c>
    </row>
    <row r="4781" spans="1:8" x14ac:dyDescent="0.15">
      <c r="A4781" s="196" t="s">
        <v>11229</v>
      </c>
      <c r="B4781" s="196" t="s">
        <v>11230</v>
      </c>
      <c r="C4781" s="196" t="s">
        <v>22332</v>
      </c>
      <c r="D4781" s="196" t="s">
        <v>22333</v>
      </c>
      <c r="E4781" s="196" t="s">
        <v>22333</v>
      </c>
      <c r="F4781" s="196" t="s">
        <v>11233</v>
      </c>
      <c r="G4781" s="196" t="s">
        <v>12378</v>
      </c>
      <c r="H4781" s="196" t="s">
        <v>11235</v>
      </c>
    </row>
    <row r="4782" spans="1:8" x14ac:dyDescent="0.15">
      <c r="A4782" s="196" t="s">
        <v>11229</v>
      </c>
      <c r="B4782" s="196" t="s">
        <v>11230</v>
      </c>
      <c r="C4782" s="196" t="s">
        <v>22334</v>
      </c>
      <c r="D4782" s="196" t="s">
        <v>22335</v>
      </c>
      <c r="E4782" s="196" t="s">
        <v>22335</v>
      </c>
      <c r="F4782" s="196" t="s">
        <v>11233</v>
      </c>
      <c r="G4782" s="196" t="s">
        <v>12378</v>
      </c>
      <c r="H4782" s="196" t="s">
        <v>11235</v>
      </c>
    </row>
    <row r="4783" spans="1:8" x14ac:dyDescent="0.15">
      <c r="A4783" s="196" t="s">
        <v>11229</v>
      </c>
      <c r="B4783" s="196" t="s">
        <v>11230</v>
      </c>
      <c r="C4783" s="196" t="s">
        <v>22336</v>
      </c>
      <c r="D4783" s="196" t="s">
        <v>22337</v>
      </c>
      <c r="E4783" s="196" t="s">
        <v>22338</v>
      </c>
      <c r="F4783" s="196" t="s">
        <v>11241</v>
      </c>
      <c r="G4783" s="196" t="s">
        <v>12378</v>
      </c>
      <c r="H4783" s="196" t="s">
        <v>11235</v>
      </c>
    </row>
    <row r="4784" spans="1:8" x14ac:dyDescent="0.15">
      <c r="A4784" s="196" t="s">
        <v>11229</v>
      </c>
      <c r="B4784" s="196" t="s">
        <v>11230</v>
      </c>
      <c r="C4784" s="196" t="s">
        <v>22339</v>
      </c>
      <c r="D4784" s="196" t="s">
        <v>22338</v>
      </c>
      <c r="E4784" s="196" t="s">
        <v>22340</v>
      </c>
      <c r="F4784" s="196" t="s">
        <v>11268</v>
      </c>
      <c r="G4784" s="196" t="s">
        <v>12378</v>
      </c>
      <c r="H4784" s="196" t="s">
        <v>11235</v>
      </c>
    </row>
    <row r="4785" spans="1:8" x14ac:dyDescent="0.15">
      <c r="A4785" s="196" t="s">
        <v>11229</v>
      </c>
      <c r="B4785" s="196" t="s">
        <v>11230</v>
      </c>
      <c r="C4785" s="196" t="s">
        <v>22341</v>
      </c>
      <c r="D4785" s="196" t="s">
        <v>22340</v>
      </c>
      <c r="E4785" s="196" t="s">
        <v>22342</v>
      </c>
      <c r="F4785" s="196" t="s">
        <v>11241</v>
      </c>
      <c r="G4785" s="196" t="s">
        <v>12378</v>
      </c>
      <c r="H4785" s="196" t="s">
        <v>11235</v>
      </c>
    </row>
    <row r="4786" spans="1:8" x14ac:dyDescent="0.15">
      <c r="A4786" s="196" t="s">
        <v>11229</v>
      </c>
      <c r="B4786" s="196" t="s">
        <v>11230</v>
      </c>
      <c r="C4786" s="196" t="s">
        <v>22343</v>
      </c>
      <c r="D4786" s="196" t="s">
        <v>22342</v>
      </c>
      <c r="E4786" s="196" t="s">
        <v>22344</v>
      </c>
      <c r="F4786" s="196" t="s">
        <v>11241</v>
      </c>
      <c r="G4786" s="196" t="s">
        <v>12378</v>
      </c>
      <c r="H4786" s="196" t="s">
        <v>11235</v>
      </c>
    </row>
    <row r="4787" spans="1:8" x14ac:dyDescent="0.15">
      <c r="A4787" s="196" t="s">
        <v>11229</v>
      </c>
      <c r="B4787" s="196" t="s">
        <v>11230</v>
      </c>
      <c r="C4787" s="196" t="s">
        <v>22345</v>
      </c>
      <c r="D4787" s="196" t="s">
        <v>22344</v>
      </c>
      <c r="E4787" s="196" t="s">
        <v>22346</v>
      </c>
      <c r="F4787" s="196" t="s">
        <v>11268</v>
      </c>
      <c r="G4787" s="196" t="s">
        <v>12378</v>
      </c>
      <c r="H4787" s="196" t="s">
        <v>11235</v>
      </c>
    </row>
    <row r="4788" spans="1:8" x14ac:dyDescent="0.15">
      <c r="A4788" s="196" t="s">
        <v>11229</v>
      </c>
      <c r="B4788" s="196" t="s">
        <v>11230</v>
      </c>
      <c r="C4788" s="196" t="s">
        <v>22347</v>
      </c>
      <c r="D4788" s="196" t="s">
        <v>22346</v>
      </c>
      <c r="E4788" s="196" t="s">
        <v>22348</v>
      </c>
      <c r="F4788" s="196" t="s">
        <v>11241</v>
      </c>
      <c r="G4788" s="196" t="s">
        <v>12378</v>
      </c>
      <c r="H4788" s="196" t="s">
        <v>11235</v>
      </c>
    </row>
    <row r="4789" spans="1:8" x14ac:dyDescent="0.15">
      <c r="A4789" s="196" t="s">
        <v>11229</v>
      </c>
      <c r="B4789" s="196" t="s">
        <v>11230</v>
      </c>
      <c r="C4789" s="196" t="s">
        <v>22349</v>
      </c>
      <c r="D4789" s="196" t="s">
        <v>22350</v>
      </c>
      <c r="E4789" s="196" t="s">
        <v>22350</v>
      </c>
      <c r="F4789" s="196" t="s">
        <v>11233</v>
      </c>
      <c r="G4789" s="196" t="s">
        <v>12378</v>
      </c>
      <c r="H4789" s="196" t="s">
        <v>11235</v>
      </c>
    </row>
    <row r="4790" spans="1:8" x14ac:dyDescent="0.15">
      <c r="A4790" s="196" t="s">
        <v>11229</v>
      </c>
      <c r="B4790" s="196" t="s">
        <v>11230</v>
      </c>
      <c r="C4790" s="196" t="s">
        <v>22351</v>
      </c>
      <c r="D4790" s="196" t="s">
        <v>22352</v>
      </c>
      <c r="E4790" s="196" t="s">
        <v>22352</v>
      </c>
      <c r="F4790" s="196" t="s">
        <v>11233</v>
      </c>
      <c r="G4790" s="196" t="s">
        <v>12378</v>
      </c>
      <c r="H4790" s="196" t="s">
        <v>11235</v>
      </c>
    </row>
    <row r="4791" spans="1:8" x14ac:dyDescent="0.15">
      <c r="A4791" s="196" t="s">
        <v>11229</v>
      </c>
      <c r="B4791" s="196" t="s">
        <v>11230</v>
      </c>
      <c r="C4791" s="196" t="s">
        <v>22353</v>
      </c>
      <c r="D4791" s="196" t="s">
        <v>22354</v>
      </c>
      <c r="E4791" s="196" t="s">
        <v>22354</v>
      </c>
      <c r="F4791" s="196" t="s">
        <v>11233</v>
      </c>
      <c r="G4791" s="196" t="s">
        <v>12378</v>
      </c>
      <c r="H4791" s="196" t="s">
        <v>11235</v>
      </c>
    </row>
    <row r="4792" spans="1:8" x14ac:dyDescent="0.15">
      <c r="A4792" s="196" t="s">
        <v>11229</v>
      </c>
      <c r="B4792" s="196" t="s">
        <v>11230</v>
      </c>
      <c r="C4792" s="196" t="s">
        <v>22355</v>
      </c>
      <c r="D4792" s="196" t="s">
        <v>22356</v>
      </c>
      <c r="E4792" s="196" t="s">
        <v>22356</v>
      </c>
      <c r="F4792" s="196" t="s">
        <v>11233</v>
      </c>
      <c r="G4792" s="196" t="s">
        <v>12378</v>
      </c>
      <c r="H4792" s="196" t="s">
        <v>11235</v>
      </c>
    </row>
    <row r="4793" spans="1:8" x14ac:dyDescent="0.15">
      <c r="A4793" s="196" t="s">
        <v>11229</v>
      </c>
      <c r="B4793" s="196" t="s">
        <v>11230</v>
      </c>
      <c r="C4793" s="196" t="s">
        <v>22357</v>
      </c>
      <c r="D4793" s="196" t="s">
        <v>22358</v>
      </c>
      <c r="E4793" s="196" t="s">
        <v>22358</v>
      </c>
      <c r="F4793" s="196" t="s">
        <v>11233</v>
      </c>
      <c r="G4793" s="196" t="s">
        <v>12378</v>
      </c>
      <c r="H4793" s="196" t="s">
        <v>11235</v>
      </c>
    </row>
    <row r="4794" spans="1:8" x14ac:dyDescent="0.15">
      <c r="A4794" s="196" t="s">
        <v>11229</v>
      </c>
      <c r="B4794" s="196" t="s">
        <v>11230</v>
      </c>
      <c r="C4794" s="196" t="s">
        <v>22359</v>
      </c>
      <c r="D4794" s="196" t="s">
        <v>22360</v>
      </c>
      <c r="E4794" s="196" t="s">
        <v>22360</v>
      </c>
      <c r="F4794" s="196" t="s">
        <v>11233</v>
      </c>
      <c r="G4794" s="196" t="s">
        <v>12378</v>
      </c>
      <c r="H4794" s="196" t="s">
        <v>11235</v>
      </c>
    </row>
    <row r="4795" spans="1:8" x14ac:dyDescent="0.15">
      <c r="A4795" s="196" t="s">
        <v>11229</v>
      </c>
      <c r="B4795" s="196" t="s">
        <v>11230</v>
      </c>
      <c r="C4795" s="196" t="s">
        <v>22361</v>
      </c>
      <c r="D4795" s="196" t="s">
        <v>22362</v>
      </c>
      <c r="E4795" s="196" t="s">
        <v>22362</v>
      </c>
      <c r="F4795" s="196" t="s">
        <v>11233</v>
      </c>
      <c r="G4795" s="196" t="s">
        <v>12378</v>
      </c>
      <c r="H4795" s="196" t="s">
        <v>11235</v>
      </c>
    </row>
    <row r="4796" spans="1:8" x14ac:dyDescent="0.15">
      <c r="A4796" s="196" t="s">
        <v>11229</v>
      </c>
      <c r="B4796" s="196" t="s">
        <v>11230</v>
      </c>
      <c r="C4796" s="196" t="s">
        <v>22363</v>
      </c>
      <c r="D4796" s="196" t="s">
        <v>22364</v>
      </c>
      <c r="E4796" s="196" t="s">
        <v>22364</v>
      </c>
      <c r="F4796" s="196" t="s">
        <v>11233</v>
      </c>
      <c r="G4796" s="196" t="s">
        <v>12378</v>
      </c>
      <c r="H4796" s="196" t="s">
        <v>11235</v>
      </c>
    </row>
    <row r="4797" spans="1:8" x14ac:dyDescent="0.15">
      <c r="A4797" s="196" t="s">
        <v>11229</v>
      </c>
      <c r="B4797" s="196" t="s">
        <v>11230</v>
      </c>
      <c r="C4797" s="196" t="s">
        <v>22365</v>
      </c>
      <c r="D4797" s="196" t="s">
        <v>22366</v>
      </c>
      <c r="E4797" s="196" t="s">
        <v>22366</v>
      </c>
      <c r="F4797" s="196" t="s">
        <v>11233</v>
      </c>
      <c r="G4797" s="196" t="s">
        <v>12378</v>
      </c>
      <c r="H4797" s="196" t="s">
        <v>11235</v>
      </c>
    </row>
    <row r="4798" spans="1:8" x14ac:dyDescent="0.15">
      <c r="A4798" s="196" t="s">
        <v>11229</v>
      </c>
      <c r="B4798" s="196" t="s">
        <v>11230</v>
      </c>
      <c r="C4798" s="196" t="s">
        <v>22367</v>
      </c>
      <c r="D4798" s="196" t="s">
        <v>22368</v>
      </c>
      <c r="E4798" s="196" t="s">
        <v>22368</v>
      </c>
      <c r="F4798" s="196" t="s">
        <v>11233</v>
      </c>
      <c r="G4798" s="196" t="s">
        <v>12378</v>
      </c>
      <c r="H4798" s="196" t="s">
        <v>11235</v>
      </c>
    </row>
    <row r="4799" spans="1:8" x14ac:dyDescent="0.15">
      <c r="A4799" s="196" t="s">
        <v>11229</v>
      </c>
      <c r="B4799" s="196" t="s">
        <v>11230</v>
      </c>
      <c r="C4799" s="196" t="s">
        <v>22369</v>
      </c>
      <c r="D4799" s="196" t="s">
        <v>22370</v>
      </c>
      <c r="E4799" s="196" t="s">
        <v>22370</v>
      </c>
      <c r="F4799" s="196" t="s">
        <v>11233</v>
      </c>
      <c r="G4799" s="196" t="s">
        <v>12378</v>
      </c>
      <c r="H4799" s="196" t="s">
        <v>11235</v>
      </c>
    </row>
    <row r="4800" spans="1:8" x14ac:dyDescent="0.15">
      <c r="A4800" s="196" t="s">
        <v>11229</v>
      </c>
      <c r="B4800" s="196" t="s">
        <v>11230</v>
      </c>
      <c r="C4800" s="196" t="s">
        <v>22371</v>
      </c>
      <c r="D4800" s="196" t="s">
        <v>22372</v>
      </c>
      <c r="E4800" s="196" t="s">
        <v>22372</v>
      </c>
      <c r="F4800" s="196" t="s">
        <v>11233</v>
      </c>
      <c r="G4800" s="196" t="s">
        <v>12378</v>
      </c>
      <c r="H4800" s="196" t="s">
        <v>11235</v>
      </c>
    </row>
    <row r="4801" spans="1:8" x14ac:dyDescent="0.15">
      <c r="A4801" s="196" t="s">
        <v>11229</v>
      </c>
      <c r="B4801" s="196" t="s">
        <v>11230</v>
      </c>
      <c r="C4801" s="196" t="s">
        <v>22373</v>
      </c>
      <c r="D4801" s="196" t="s">
        <v>22374</v>
      </c>
      <c r="E4801" s="196" t="s">
        <v>22374</v>
      </c>
      <c r="F4801" s="196" t="s">
        <v>11233</v>
      </c>
      <c r="G4801" s="196" t="s">
        <v>12378</v>
      </c>
      <c r="H4801" s="196" t="s">
        <v>11235</v>
      </c>
    </row>
    <row r="4802" spans="1:8" x14ac:dyDescent="0.15">
      <c r="A4802" s="196" t="s">
        <v>11229</v>
      </c>
      <c r="B4802" s="196" t="s">
        <v>11230</v>
      </c>
      <c r="C4802" s="196" t="s">
        <v>22375</v>
      </c>
      <c r="D4802" s="196" t="s">
        <v>22376</v>
      </c>
      <c r="E4802" s="196" t="s">
        <v>22376</v>
      </c>
      <c r="F4802" s="196" t="s">
        <v>11233</v>
      </c>
      <c r="G4802" s="196" t="s">
        <v>12378</v>
      </c>
      <c r="H4802" s="196" t="s">
        <v>11235</v>
      </c>
    </row>
    <row r="4803" spans="1:8" x14ac:dyDescent="0.15">
      <c r="A4803" s="196" t="s">
        <v>11229</v>
      </c>
      <c r="B4803" s="196" t="s">
        <v>11230</v>
      </c>
      <c r="C4803" s="196" t="s">
        <v>22377</v>
      </c>
      <c r="D4803" s="196" t="s">
        <v>22378</v>
      </c>
      <c r="E4803" s="196" t="s">
        <v>22378</v>
      </c>
      <c r="F4803" s="196" t="s">
        <v>11233</v>
      </c>
      <c r="G4803" s="196" t="s">
        <v>12378</v>
      </c>
      <c r="H4803" s="196" t="s">
        <v>11235</v>
      </c>
    </row>
    <row r="4804" spans="1:8" x14ac:dyDescent="0.15">
      <c r="A4804" s="196" t="s">
        <v>11229</v>
      </c>
      <c r="B4804" s="196" t="s">
        <v>11230</v>
      </c>
      <c r="C4804" s="196" t="s">
        <v>22379</v>
      </c>
      <c r="D4804" s="196" t="s">
        <v>22380</v>
      </c>
      <c r="E4804" s="196" t="s">
        <v>22380</v>
      </c>
      <c r="F4804" s="196" t="s">
        <v>11233</v>
      </c>
      <c r="G4804" s="196" t="s">
        <v>12378</v>
      </c>
      <c r="H4804" s="196" t="s">
        <v>11235</v>
      </c>
    </row>
    <row r="4805" spans="1:8" x14ac:dyDescent="0.15">
      <c r="A4805" s="196" t="s">
        <v>11229</v>
      </c>
      <c r="B4805" s="196" t="s">
        <v>11230</v>
      </c>
      <c r="C4805" s="196" t="s">
        <v>22381</v>
      </c>
      <c r="D4805" s="196" t="s">
        <v>22382</v>
      </c>
      <c r="E4805" s="196" t="s">
        <v>22382</v>
      </c>
      <c r="F4805" s="196" t="s">
        <v>11233</v>
      </c>
      <c r="G4805" s="196" t="s">
        <v>12378</v>
      </c>
      <c r="H4805" s="196" t="s">
        <v>11235</v>
      </c>
    </row>
    <row r="4806" spans="1:8" x14ac:dyDescent="0.15">
      <c r="A4806" s="196" t="s">
        <v>11229</v>
      </c>
      <c r="B4806" s="196" t="s">
        <v>11230</v>
      </c>
      <c r="C4806" s="196" t="s">
        <v>22383</v>
      </c>
      <c r="D4806" s="196" t="s">
        <v>22384</v>
      </c>
      <c r="E4806" s="196" t="s">
        <v>22384</v>
      </c>
      <c r="F4806" s="196" t="s">
        <v>11233</v>
      </c>
      <c r="G4806" s="196" t="s">
        <v>12378</v>
      </c>
      <c r="H4806" s="196" t="s">
        <v>11235</v>
      </c>
    </row>
    <row r="4807" spans="1:8" x14ac:dyDescent="0.15">
      <c r="A4807" s="196" t="s">
        <v>11229</v>
      </c>
      <c r="B4807" s="196" t="s">
        <v>11230</v>
      </c>
      <c r="C4807" s="196" t="s">
        <v>22385</v>
      </c>
      <c r="D4807" s="196" t="s">
        <v>22386</v>
      </c>
      <c r="E4807" s="196" t="s">
        <v>22386</v>
      </c>
      <c r="F4807" s="196" t="s">
        <v>11233</v>
      </c>
      <c r="G4807" s="196" t="s">
        <v>12378</v>
      </c>
      <c r="H4807" s="196" t="s">
        <v>11235</v>
      </c>
    </row>
    <row r="4808" spans="1:8" x14ac:dyDescent="0.15">
      <c r="A4808" s="196" t="s">
        <v>11229</v>
      </c>
      <c r="B4808" s="196" t="s">
        <v>11230</v>
      </c>
      <c r="C4808" s="196" t="s">
        <v>22387</v>
      </c>
      <c r="D4808" s="196" t="s">
        <v>22388</v>
      </c>
      <c r="E4808" s="196" t="s">
        <v>22388</v>
      </c>
      <c r="F4808" s="196" t="s">
        <v>11233</v>
      </c>
      <c r="G4808" s="196" t="s">
        <v>12378</v>
      </c>
      <c r="H4808" s="196" t="s">
        <v>11235</v>
      </c>
    </row>
    <row r="4809" spans="1:8" x14ac:dyDescent="0.15">
      <c r="A4809" s="196" t="s">
        <v>11229</v>
      </c>
      <c r="B4809" s="196" t="s">
        <v>11230</v>
      </c>
      <c r="C4809" s="196" t="s">
        <v>22389</v>
      </c>
      <c r="D4809" s="196" t="s">
        <v>22390</v>
      </c>
      <c r="E4809" s="196" t="s">
        <v>22390</v>
      </c>
      <c r="F4809" s="196" t="s">
        <v>11233</v>
      </c>
      <c r="G4809" s="196" t="s">
        <v>12378</v>
      </c>
      <c r="H4809" s="196" t="s">
        <v>11235</v>
      </c>
    </row>
    <row r="4810" spans="1:8" x14ac:dyDescent="0.15">
      <c r="A4810" s="196" t="s">
        <v>11229</v>
      </c>
      <c r="B4810" s="196" t="s">
        <v>11230</v>
      </c>
      <c r="C4810" s="196" t="s">
        <v>22391</v>
      </c>
      <c r="D4810" s="196" t="s">
        <v>22392</v>
      </c>
      <c r="E4810" s="196" t="s">
        <v>22392</v>
      </c>
      <c r="F4810" s="196" t="s">
        <v>11233</v>
      </c>
      <c r="G4810" s="196" t="s">
        <v>12378</v>
      </c>
      <c r="H4810" s="196" t="s">
        <v>11235</v>
      </c>
    </row>
    <row r="4811" spans="1:8" x14ac:dyDescent="0.15">
      <c r="A4811" s="196" t="s">
        <v>11229</v>
      </c>
      <c r="B4811" s="196" t="s">
        <v>11230</v>
      </c>
      <c r="C4811" s="196" t="s">
        <v>22393</v>
      </c>
      <c r="D4811" s="196" t="s">
        <v>22394</v>
      </c>
      <c r="E4811" s="196" t="s">
        <v>22394</v>
      </c>
      <c r="F4811" s="196" t="s">
        <v>11233</v>
      </c>
      <c r="G4811" s="196" t="s">
        <v>12378</v>
      </c>
      <c r="H4811" s="196" t="s">
        <v>11235</v>
      </c>
    </row>
    <row r="4812" spans="1:8" x14ac:dyDescent="0.15">
      <c r="A4812" s="196" t="s">
        <v>11229</v>
      </c>
      <c r="B4812" s="196" t="s">
        <v>11230</v>
      </c>
      <c r="C4812" s="196" t="s">
        <v>22395</v>
      </c>
      <c r="D4812" s="196" t="s">
        <v>22396</v>
      </c>
      <c r="E4812" s="196" t="s">
        <v>22396</v>
      </c>
      <c r="F4812" s="196" t="s">
        <v>11233</v>
      </c>
      <c r="G4812" s="196" t="s">
        <v>12378</v>
      </c>
      <c r="H4812" s="196" t="s">
        <v>11235</v>
      </c>
    </row>
    <row r="4813" spans="1:8" x14ac:dyDescent="0.15">
      <c r="A4813" s="196" t="s">
        <v>11229</v>
      </c>
      <c r="B4813" s="196" t="s">
        <v>11230</v>
      </c>
      <c r="C4813" s="196" t="s">
        <v>22397</v>
      </c>
      <c r="D4813" s="196" t="s">
        <v>22398</v>
      </c>
      <c r="E4813" s="196" t="s">
        <v>22398</v>
      </c>
      <c r="F4813" s="196" t="s">
        <v>11233</v>
      </c>
      <c r="G4813" s="196" t="s">
        <v>12378</v>
      </c>
      <c r="H4813" s="196" t="s">
        <v>11235</v>
      </c>
    </row>
    <row r="4814" spans="1:8" x14ac:dyDescent="0.15">
      <c r="A4814" s="196" t="s">
        <v>11229</v>
      </c>
      <c r="B4814" s="196" t="s">
        <v>11230</v>
      </c>
      <c r="C4814" s="196" t="s">
        <v>22399</v>
      </c>
      <c r="D4814" s="196" t="s">
        <v>22400</v>
      </c>
      <c r="E4814" s="196" t="s">
        <v>22400</v>
      </c>
      <c r="F4814" s="196" t="s">
        <v>11233</v>
      </c>
      <c r="G4814" s="196" t="s">
        <v>12378</v>
      </c>
      <c r="H4814" s="196" t="s">
        <v>11235</v>
      </c>
    </row>
    <row r="4815" spans="1:8" x14ac:dyDescent="0.15">
      <c r="A4815" s="196" t="s">
        <v>11229</v>
      </c>
      <c r="B4815" s="196" t="s">
        <v>11230</v>
      </c>
      <c r="C4815" s="196" t="s">
        <v>22401</v>
      </c>
      <c r="D4815" s="196" t="s">
        <v>22402</v>
      </c>
      <c r="E4815" s="196" t="s">
        <v>22402</v>
      </c>
      <c r="F4815" s="196" t="s">
        <v>11233</v>
      </c>
      <c r="G4815" s="196" t="s">
        <v>12378</v>
      </c>
      <c r="H4815" s="196" t="s">
        <v>11235</v>
      </c>
    </row>
    <row r="4816" spans="1:8" x14ac:dyDescent="0.15">
      <c r="A4816" s="196" t="s">
        <v>11229</v>
      </c>
      <c r="B4816" s="196" t="s">
        <v>11230</v>
      </c>
      <c r="C4816" s="196" t="s">
        <v>22403</v>
      </c>
      <c r="D4816" s="196" t="s">
        <v>22404</v>
      </c>
      <c r="E4816" s="196" t="s">
        <v>22404</v>
      </c>
      <c r="F4816" s="196" t="s">
        <v>11233</v>
      </c>
      <c r="G4816" s="196" t="s">
        <v>12378</v>
      </c>
      <c r="H4816" s="196" t="s">
        <v>11235</v>
      </c>
    </row>
    <row r="4817" spans="1:8" x14ac:dyDescent="0.15">
      <c r="A4817" s="196" t="s">
        <v>11229</v>
      </c>
      <c r="B4817" s="196" t="s">
        <v>11230</v>
      </c>
      <c r="C4817" s="196" t="s">
        <v>22405</v>
      </c>
      <c r="D4817" s="196" t="s">
        <v>22406</v>
      </c>
      <c r="E4817" s="196" t="s">
        <v>22407</v>
      </c>
      <c r="F4817" s="196" t="s">
        <v>11241</v>
      </c>
      <c r="G4817" s="196" t="s">
        <v>12378</v>
      </c>
      <c r="H4817" s="196" t="s">
        <v>11235</v>
      </c>
    </row>
    <row r="4818" spans="1:8" x14ac:dyDescent="0.15">
      <c r="A4818" s="196" t="s">
        <v>11229</v>
      </c>
      <c r="B4818" s="196" t="s">
        <v>11230</v>
      </c>
      <c r="C4818" s="196" t="s">
        <v>22408</v>
      </c>
      <c r="D4818" s="196" t="s">
        <v>22407</v>
      </c>
      <c r="E4818" s="196" t="s">
        <v>22409</v>
      </c>
      <c r="F4818" s="196" t="s">
        <v>11268</v>
      </c>
      <c r="G4818" s="196" t="s">
        <v>12378</v>
      </c>
      <c r="H4818" s="196" t="s">
        <v>11235</v>
      </c>
    </row>
    <row r="4819" spans="1:8" x14ac:dyDescent="0.15">
      <c r="A4819" s="196" t="s">
        <v>11229</v>
      </c>
      <c r="B4819" s="196" t="s">
        <v>11230</v>
      </c>
      <c r="C4819" s="196" t="s">
        <v>22410</v>
      </c>
      <c r="D4819" s="196" t="s">
        <v>22409</v>
      </c>
      <c r="E4819" s="196" t="s">
        <v>22411</v>
      </c>
      <c r="F4819" s="196" t="s">
        <v>11241</v>
      </c>
      <c r="G4819" s="196" t="s">
        <v>12378</v>
      </c>
      <c r="H4819" s="196" t="s">
        <v>11235</v>
      </c>
    </row>
    <row r="4820" spans="1:8" x14ac:dyDescent="0.15">
      <c r="A4820" s="196" t="s">
        <v>11229</v>
      </c>
      <c r="B4820" s="196" t="s">
        <v>11230</v>
      </c>
      <c r="C4820" s="196" t="s">
        <v>22412</v>
      </c>
      <c r="D4820" s="196" t="s">
        <v>22413</v>
      </c>
      <c r="E4820" s="196" t="s">
        <v>22413</v>
      </c>
      <c r="F4820" s="196" t="s">
        <v>11233</v>
      </c>
      <c r="G4820" s="196" t="s">
        <v>12378</v>
      </c>
      <c r="H4820" s="196" t="s">
        <v>11235</v>
      </c>
    </row>
    <row r="4821" spans="1:8" x14ac:dyDescent="0.15">
      <c r="A4821" s="196" t="s">
        <v>11229</v>
      </c>
      <c r="B4821" s="196" t="s">
        <v>11230</v>
      </c>
      <c r="C4821" s="196" t="s">
        <v>22414</v>
      </c>
      <c r="D4821" s="196" t="s">
        <v>22415</v>
      </c>
      <c r="E4821" s="196" t="s">
        <v>22415</v>
      </c>
      <c r="F4821" s="196" t="s">
        <v>11233</v>
      </c>
      <c r="G4821" s="196" t="s">
        <v>12378</v>
      </c>
      <c r="H4821" s="196" t="s">
        <v>11235</v>
      </c>
    </row>
    <row r="4822" spans="1:8" x14ac:dyDescent="0.15">
      <c r="A4822" s="196" t="s">
        <v>11229</v>
      </c>
      <c r="B4822" s="196" t="s">
        <v>11230</v>
      </c>
      <c r="C4822" s="196" t="s">
        <v>22416</v>
      </c>
      <c r="D4822" s="196" t="s">
        <v>22417</v>
      </c>
      <c r="E4822" s="196" t="s">
        <v>22417</v>
      </c>
      <c r="F4822" s="196" t="s">
        <v>11233</v>
      </c>
      <c r="G4822" s="196" t="s">
        <v>12378</v>
      </c>
      <c r="H4822" s="196" t="s">
        <v>11235</v>
      </c>
    </row>
    <row r="4823" spans="1:8" x14ac:dyDescent="0.15">
      <c r="A4823" s="196" t="s">
        <v>11229</v>
      </c>
      <c r="B4823" s="196" t="s">
        <v>11230</v>
      </c>
      <c r="C4823" s="196" t="s">
        <v>22418</v>
      </c>
      <c r="D4823" s="196" t="s">
        <v>22419</v>
      </c>
      <c r="E4823" s="196" t="s">
        <v>22419</v>
      </c>
      <c r="F4823" s="196" t="s">
        <v>11233</v>
      </c>
      <c r="G4823" s="196" t="s">
        <v>12378</v>
      </c>
      <c r="H4823" s="196" t="s">
        <v>11235</v>
      </c>
    </row>
    <row r="4824" spans="1:8" x14ac:dyDescent="0.15">
      <c r="A4824" s="196" t="s">
        <v>11229</v>
      </c>
      <c r="B4824" s="196" t="s">
        <v>11230</v>
      </c>
      <c r="C4824" s="196" t="s">
        <v>22420</v>
      </c>
      <c r="D4824" s="196" t="s">
        <v>22421</v>
      </c>
      <c r="E4824" s="196" t="s">
        <v>22421</v>
      </c>
      <c r="F4824" s="196" t="s">
        <v>11233</v>
      </c>
      <c r="G4824" s="196" t="s">
        <v>12378</v>
      </c>
      <c r="H4824" s="196" t="s">
        <v>11235</v>
      </c>
    </row>
    <row r="4825" spans="1:8" x14ac:dyDescent="0.15">
      <c r="A4825" s="196" t="s">
        <v>11229</v>
      </c>
      <c r="B4825" s="196" t="s">
        <v>11230</v>
      </c>
      <c r="C4825" s="196" t="s">
        <v>22422</v>
      </c>
      <c r="D4825" s="196" t="s">
        <v>22423</v>
      </c>
      <c r="E4825" s="196" t="s">
        <v>22423</v>
      </c>
      <c r="F4825" s="196" t="s">
        <v>11233</v>
      </c>
      <c r="G4825" s="196" t="s">
        <v>12378</v>
      </c>
      <c r="H4825" s="196" t="s">
        <v>11235</v>
      </c>
    </row>
    <row r="4826" spans="1:8" x14ac:dyDescent="0.15">
      <c r="A4826" s="196" t="s">
        <v>11229</v>
      </c>
      <c r="B4826" s="196" t="s">
        <v>11230</v>
      </c>
      <c r="C4826" s="196" t="s">
        <v>22424</v>
      </c>
      <c r="D4826" s="196" t="s">
        <v>22425</v>
      </c>
      <c r="E4826" s="196" t="s">
        <v>22425</v>
      </c>
      <c r="F4826" s="196" t="s">
        <v>11233</v>
      </c>
      <c r="G4826" s="196" t="s">
        <v>12378</v>
      </c>
      <c r="H4826" s="196" t="s">
        <v>11235</v>
      </c>
    </row>
    <row r="4827" spans="1:8" x14ac:dyDescent="0.15">
      <c r="A4827" s="196" t="s">
        <v>11229</v>
      </c>
      <c r="B4827" s="196" t="s">
        <v>11230</v>
      </c>
      <c r="C4827" s="196" t="s">
        <v>22426</v>
      </c>
      <c r="D4827" s="196" t="s">
        <v>22427</v>
      </c>
      <c r="E4827" s="196" t="s">
        <v>22427</v>
      </c>
      <c r="F4827" s="196" t="s">
        <v>11233</v>
      </c>
      <c r="G4827" s="196" t="s">
        <v>12378</v>
      </c>
      <c r="H4827" s="196" t="s">
        <v>11235</v>
      </c>
    </row>
    <row r="4828" spans="1:8" x14ac:dyDescent="0.15">
      <c r="A4828" s="196" t="s">
        <v>11229</v>
      </c>
      <c r="B4828" s="196" t="s">
        <v>11230</v>
      </c>
      <c r="C4828" s="196" t="s">
        <v>22428</v>
      </c>
      <c r="D4828" s="196" t="s">
        <v>22429</v>
      </c>
      <c r="E4828" s="196" t="s">
        <v>22429</v>
      </c>
      <c r="F4828" s="196" t="s">
        <v>11233</v>
      </c>
      <c r="G4828" s="196" t="s">
        <v>12378</v>
      </c>
      <c r="H4828" s="196" t="s">
        <v>11235</v>
      </c>
    </row>
    <row r="4829" spans="1:8" x14ac:dyDescent="0.15">
      <c r="A4829" s="196" t="s">
        <v>11229</v>
      </c>
      <c r="B4829" s="196" t="s">
        <v>11230</v>
      </c>
      <c r="C4829" s="196" t="s">
        <v>22430</v>
      </c>
      <c r="D4829" s="196" t="s">
        <v>22431</v>
      </c>
      <c r="E4829" s="196" t="s">
        <v>22431</v>
      </c>
      <c r="F4829" s="196" t="s">
        <v>11233</v>
      </c>
      <c r="G4829" s="196" t="s">
        <v>12378</v>
      </c>
      <c r="H4829" s="196" t="s">
        <v>11235</v>
      </c>
    </row>
    <row r="4830" spans="1:8" x14ac:dyDescent="0.15">
      <c r="A4830" s="196" t="s">
        <v>11229</v>
      </c>
      <c r="B4830" s="196" t="s">
        <v>11230</v>
      </c>
      <c r="C4830" s="196" t="s">
        <v>22432</v>
      </c>
      <c r="D4830" s="196" t="s">
        <v>22433</v>
      </c>
      <c r="E4830" s="196" t="s">
        <v>22433</v>
      </c>
      <c r="F4830" s="196" t="s">
        <v>11233</v>
      </c>
      <c r="G4830" s="196" t="s">
        <v>12378</v>
      </c>
      <c r="H4830" s="196" t="s">
        <v>11235</v>
      </c>
    </row>
    <row r="4831" spans="1:8" x14ac:dyDescent="0.15">
      <c r="A4831" s="196" t="s">
        <v>11229</v>
      </c>
      <c r="B4831" s="196" t="s">
        <v>11230</v>
      </c>
      <c r="C4831" s="196" t="s">
        <v>22434</v>
      </c>
      <c r="D4831" s="196" t="s">
        <v>22435</v>
      </c>
      <c r="E4831" s="196" t="s">
        <v>22435</v>
      </c>
      <c r="F4831" s="196" t="s">
        <v>11233</v>
      </c>
      <c r="G4831" s="196" t="s">
        <v>12378</v>
      </c>
      <c r="H4831" s="196" t="s">
        <v>11235</v>
      </c>
    </row>
    <row r="4832" spans="1:8" x14ac:dyDescent="0.15">
      <c r="A4832" s="196" t="s">
        <v>11229</v>
      </c>
      <c r="B4832" s="196" t="s">
        <v>11230</v>
      </c>
      <c r="C4832" s="196" t="s">
        <v>22436</v>
      </c>
      <c r="D4832" s="196" t="s">
        <v>22437</v>
      </c>
      <c r="E4832" s="196" t="s">
        <v>22437</v>
      </c>
      <c r="F4832" s="196" t="s">
        <v>11233</v>
      </c>
      <c r="G4832" s="196" t="s">
        <v>12378</v>
      </c>
      <c r="H4832" s="196" t="s">
        <v>11235</v>
      </c>
    </row>
    <row r="4833" spans="1:8" x14ac:dyDescent="0.15">
      <c r="A4833" s="196" t="s">
        <v>11229</v>
      </c>
      <c r="B4833" s="196" t="s">
        <v>11230</v>
      </c>
      <c r="C4833" s="196" t="s">
        <v>22438</v>
      </c>
      <c r="D4833" s="196" t="s">
        <v>22439</v>
      </c>
      <c r="E4833" s="196" t="s">
        <v>22440</v>
      </c>
      <c r="F4833" s="196" t="s">
        <v>11241</v>
      </c>
      <c r="G4833" s="196" t="s">
        <v>12378</v>
      </c>
      <c r="H4833" s="196" t="s">
        <v>11235</v>
      </c>
    </row>
    <row r="4834" spans="1:8" x14ac:dyDescent="0.15">
      <c r="A4834" s="196" t="s">
        <v>11229</v>
      </c>
      <c r="B4834" s="196" t="s">
        <v>11230</v>
      </c>
      <c r="C4834" s="196" t="s">
        <v>22441</v>
      </c>
      <c r="D4834" s="196" t="s">
        <v>22440</v>
      </c>
      <c r="E4834" s="196" t="s">
        <v>22442</v>
      </c>
      <c r="F4834" s="196" t="s">
        <v>11241</v>
      </c>
      <c r="G4834" s="196" t="s">
        <v>12378</v>
      </c>
      <c r="H4834" s="196" t="s">
        <v>11235</v>
      </c>
    </row>
    <row r="4835" spans="1:8" x14ac:dyDescent="0.15">
      <c r="A4835" s="196" t="s">
        <v>11229</v>
      </c>
      <c r="B4835" s="196" t="s">
        <v>11230</v>
      </c>
      <c r="C4835" s="196" t="s">
        <v>22443</v>
      </c>
      <c r="D4835" s="196" t="s">
        <v>22442</v>
      </c>
      <c r="E4835" s="196" t="s">
        <v>22442</v>
      </c>
      <c r="F4835" s="196" t="s">
        <v>11233</v>
      </c>
      <c r="G4835" s="196" t="s">
        <v>12378</v>
      </c>
      <c r="H4835" s="196" t="s">
        <v>11235</v>
      </c>
    </row>
    <row r="4836" spans="1:8" x14ac:dyDescent="0.15">
      <c r="A4836" s="196" t="s">
        <v>11229</v>
      </c>
      <c r="B4836" s="196" t="s">
        <v>11230</v>
      </c>
      <c r="C4836" s="196" t="s">
        <v>22444</v>
      </c>
      <c r="D4836" s="196" t="s">
        <v>22445</v>
      </c>
      <c r="E4836" s="196" t="s">
        <v>22446</v>
      </c>
      <c r="F4836" s="196" t="s">
        <v>11241</v>
      </c>
      <c r="G4836" s="196" t="s">
        <v>12378</v>
      </c>
      <c r="H4836" s="196" t="s">
        <v>11235</v>
      </c>
    </row>
    <row r="4837" spans="1:8" x14ac:dyDescent="0.15">
      <c r="A4837" s="196" t="s">
        <v>11229</v>
      </c>
      <c r="B4837" s="196" t="s">
        <v>11230</v>
      </c>
      <c r="C4837" s="196" t="s">
        <v>22447</v>
      </c>
      <c r="D4837" s="196" t="s">
        <v>22446</v>
      </c>
      <c r="E4837" s="196" t="s">
        <v>22448</v>
      </c>
      <c r="F4837" s="196" t="s">
        <v>11241</v>
      </c>
      <c r="G4837" s="196" t="s">
        <v>12378</v>
      </c>
      <c r="H4837" s="196" t="s">
        <v>11235</v>
      </c>
    </row>
    <row r="4838" spans="1:8" x14ac:dyDescent="0.15">
      <c r="A4838" s="196" t="s">
        <v>11229</v>
      </c>
      <c r="B4838" s="196" t="s">
        <v>11230</v>
      </c>
      <c r="C4838" s="196" t="s">
        <v>22449</v>
      </c>
      <c r="D4838" s="196" t="s">
        <v>22450</v>
      </c>
      <c r="E4838" s="196" t="s">
        <v>22450</v>
      </c>
      <c r="F4838" s="196" t="s">
        <v>11233</v>
      </c>
      <c r="G4838" s="196" t="s">
        <v>12378</v>
      </c>
      <c r="H4838" s="196" t="s">
        <v>11235</v>
      </c>
    </row>
    <row r="4839" spans="1:8" x14ac:dyDescent="0.15">
      <c r="A4839" s="196" t="s">
        <v>11229</v>
      </c>
      <c r="B4839" s="196" t="s">
        <v>11230</v>
      </c>
      <c r="C4839" s="196" t="s">
        <v>22451</v>
      </c>
      <c r="D4839" s="196" t="s">
        <v>22452</v>
      </c>
      <c r="E4839" s="196" t="s">
        <v>22453</v>
      </c>
      <c r="F4839" s="196" t="s">
        <v>11241</v>
      </c>
      <c r="G4839" s="196" t="s">
        <v>12378</v>
      </c>
      <c r="H4839" s="196" t="s">
        <v>11235</v>
      </c>
    </row>
    <row r="4840" spans="1:8" x14ac:dyDescent="0.15">
      <c r="A4840" s="196" t="s">
        <v>11229</v>
      </c>
      <c r="B4840" s="196" t="s">
        <v>11230</v>
      </c>
      <c r="C4840" s="196" t="s">
        <v>22454</v>
      </c>
      <c r="D4840" s="196" t="s">
        <v>22453</v>
      </c>
      <c r="E4840" s="196" t="s">
        <v>22455</v>
      </c>
      <c r="F4840" s="196" t="s">
        <v>11268</v>
      </c>
      <c r="G4840" s="196" t="s">
        <v>12378</v>
      </c>
      <c r="H4840" s="196" t="s">
        <v>11235</v>
      </c>
    </row>
    <row r="4841" spans="1:8" x14ac:dyDescent="0.15">
      <c r="A4841" s="196" t="s">
        <v>11229</v>
      </c>
      <c r="B4841" s="196" t="s">
        <v>11230</v>
      </c>
      <c r="C4841" s="196" t="s">
        <v>22456</v>
      </c>
      <c r="D4841" s="196" t="s">
        <v>22455</v>
      </c>
      <c r="E4841" s="196" t="s">
        <v>22457</v>
      </c>
      <c r="F4841" s="196" t="s">
        <v>11241</v>
      </c>
      <c r="G4841" s="196" t="s">
        <v>12378</v>
      </c>
      <c r="H4841" s="196" t="s">
        <v>11235</v>
      </c>
    </row>
    <row r="4842" spans="1:8" x14ac:dyDescent="0.15">
      <c r="A4842" s="196" t="s">
        <v>11229</v>
      </c>
      <c r="B4842" s="196" t="s">
        <v>11230</v>
      </c>
      <c r="C4842" s="196" t="s">
        <v>22458</v>
      </c>
      <c r="D4842" s="196" t="s">
        <v>22457</v>
      </c>
      <c r="E4842" s="196" t="s">
        <v>22459</v>
      </c>
      <c r="F4842" s="196" t="s">
        <v>11268</v>
      </c>
      <c r="G4842" s="196" t="s">
        <v>12378</v>
      </c>
      <c r="H4842" s="196" t="s">
        <v>11235</v>
      </c>
    </row>
    <row r="4843" spans="1:8" x14ac:dyDescent="0.15">
      <c r="A4843" s="196" t="s">
        <v>11229</v>
      </c>
      <c r="B4843" s="196" t="s">
        <v>11230</v>
      </c>
      <c r="C4843" s="196" t="s">
        <v>22460</v>
      </c>
      <c r="D4843" s="196" t="s">
        <v>22459</v>
      </c>
      <c r="E4843" s="196" t="s">
        <v>22461</v>
      </c>
      <c r="F4843" s="196" t="s">
        <v>11241</v>
      </c>
      <c r="G4843" s="196" t="s">
        <v>12378</v>
      </c>
      <c r="H4843" s="196" t="s">
        <v>11235</v>
      </c>
    </row>
    <row r="4844" spans="1:8" x14ac:dyDescent="0.15">
      <c r="A4844" s="196" t="s">
        <v>11229</v>
      </c>
      <c r="B4844" s="196" t="s">
        <v>11230</v>
      </c>
      <c r="C4844" s="196" t="s">
        <v>22462</v>
      </c>
      <c r="D4844" s="196" t="s">
        <v>22461</v>
      </c>
      <c r="E4844" s="196" t="s">
        <v>22463</v>
      </c>
      <c r="F4844" s="196" t="s">
        <v>11241</v>
      </c>
      <c r="G4844" s="196" t="s">
        <v>12378</v>
      </c>
      <c r="H4844" s="196" t="s">
        <v>11235</v>
      </c>
    </row>
    <row r="4845" spans="1:8" x14ac:dyDescent="0.15">
      <c r="A4845" s="196" t="s">
        <v>11229</v>
      </c>
      <c r="B4845" s="196" t="s">
        <v>11230</v>
      </c>
      <c r="C4845" s="196" t="s">
        <v>22464</v>
      </c>
      <c r="D4845" s="196" t="s">
        <v>22463</v>
      </c>
      <c r="E4845" s="196" t="s">
        <v>22465</v>
      </c>
      <c r="F4845" s="196" t="s">
        <v>11268</v>
      </c>
      <c r="G4845" s="196" t="s">
        <v>12378</v>
      </c>
      <c r="H4845" s="196" t="s">
        <v>11235</v>
      </c>
    </row>
    <row r="4846" spans="1:8" x14ac:dyDescent="0.15">
      <c r="A4846" s="196" t="s">
        <v>11229</v>
      </c>
      <c r="B4846" s="196" t="s">
        <v>11230</v>
      </c>
      <c r="C4846" s="196" t="s">
        <v>22466</v>
      </c>
      <c r="D4846" s="196" t="s">
        <v>22467</v>
      </c>
      <c r="E4846" s="196" t="s">
        <v>22468</v>
      </c>
      <c r="F4846" s="196" t="s">
        <v>11241</v>
      </c>
      <c r="G4846" s="196" t="s">
        <v>12378</v>
      </c>
      <c r="H4846" s="196" t="s">
        <v>11235</v>
      </c>
    </row>
    <row r="4847" spans="1:8" x14ac:dyDescent="0.15">
      <c r="A4847" s="196" t="s">
        <v>11229</v>
      </c>
      <c r="B4847" s="196" t="s">
        <v>11230</v>
      </c>
      <c r="C4847" s="196" t="s">
        <v>22469</v>
      </c>
      <c r="D4847" s="196" t="s">
        <v>22467</v>
      </c>
      <c r="E4847" s="196" t="s">
        <v>22467</v>
      </c>
      <c r="F4847" s="196" t="s">
        <v>11233</v>
      </c>
      <c r="G4847" s="196" t="s">
        <v>12378</v>
      </c>
      <c r="H4847" s="196" t="s">
        <v>11235</v>
      </c>
    </row>
    <row r="4848" spans="1:8" x14ac:dyDescent="0.15">
      <c r="A4848" s="196" t="s">
        <v>11229</v>
      </c>
      <c r="B4848" s="196" t="s">
        <v>11230</v>
      </c>
      <c r="C4848" s="196" t="s">
        <v>22470</v>
      </c>
      <c r="D4848" s="196" t="s">
        <v>22468</v>
      </c>
      <c r="E4848" s="196" t="s">
        <v>22471</v>
      </c>
      <c r="F4848" s="196" t="s">
        <v>11268</v>
      </c>
      <c r="G4848" s="196" t="s">
        <v>12378</v>
      </c>
      <c r="H4848" s="196" t="s">
        <v>11235</v>
      </c>
    </row>
    <row r="4849" spans="1:8" x14ac:dyDescent="0.15">
      <c r="A4849" s="196" t="s">
        <v>11229</v>
      </c>
      <c r="B4849" s="196" t="s">
        <v>11230</v>
      </c>
      <c r="C4849" s="196" t="s">
        <v>22472</v>
      </c>
      <c r="D4849" s="196" t="s">
        <v>22471</v>
      </c>
      <c r="E4849" s="196" t="s">
        <v>22473</v>
      </c>
      <c r="F4849" s="196" t="s">
        <v>11241</v>
      </c>
      <c r="G4849" s="196" t="s">
        <v>12378</v>
      </c>
      <c r="H4849" s="196" t="s">
        <v>11235</v>
      </c>
    </row>
    <row r="4850" spans="1:8" x14ac:dyDescent="0.15">
      <c r="A4850" s="196" t="s">
        <v>11229</v>
      </c>
      <c r="B4850" s="196" t="s">
        <v>11230</v>
      </c>
      <c r="C4850" s="196" t="s">
        <v>22474</v>
      </c>
      <c r="D4850" s="196" t="s">
        <v>22473</v>
      </c>
      <c r="E4850" s="196" t="s">
        <v>22475</v>
      </c>
      <c r="F4850" s="196" t="s">
        <v>11268</v>
      </c>
      <c r="G4850" s="196" t="s">
        <v>12378</v>
      </c>
      <c r="H4850" s="196" t="s">
        <v>11235</v>
      </c>
    </row>
    <row r="4851" spans="1:8" x14ac:dyDescent="0.15">
      <c r="A4851" s="196" t="s">
        <v>11229</v>
      </c>
      <c r="B4851" s="196" t="s">
        <v>11230</v>
      </c>
      <c r="C4851" s="196" t="s">
        <v>22476</v>
      </c>
      <c r="D4851" s="196" t="s">
        <v>22477</v>
      </c>
      <c r="E4851" s="196" t="s">
        <v>22478</v>
      </c>
      <c r="F4851" s="196" t="s">
        <v>22479</v>
      </c>
      <c r="G4851" s="196" t="s">
        <v>12378</v>
      </c>
      <c r="H4851" s="196" t="s">
        <v>11235</v>
      </c>
    </row>
    <row r="4852" spans="1:8" x14ac:dyDescent="0.15">
      <c r="A4852" s="196" t="s">
        <v>11229</v>
      </c>
      <c r="B4852" s="196" t="s">
        <v>11230</v>
      </c>
      <c r="C4852" s="196" t="s">
        <v>22480</v>
      </c>
      <c r="D4852" s="196" t="s">
        <v>22481</v>
      </c>
      <c r="E4852" s="196" t="s">
        <v>22482</v>
      </c>
      <c r="F4852" s="196" t="s">
        <v>15125</v>
      </c>
      <c r="G4852" s="196" t="s">
        <v>12378</v>
      </c>
      <c r="H4852" s="196" t="s">
        <v>11235</v>
      </c>
    </row>
    <row r="4853" spans="1:8" x14ac:dyDescent="0.15">
      <c r="A4853" s="196" t="s">
        <v>11229</v>
      </c>
      <c r="B4853" s="196" t="s">
        <v>11230</v>
      </c>
      <c r="C4853" s="196" t="s">
        <v>22483</v>
      </c>
      <c r="D4853" s="196" t="s">
        <v>22484</v>
      </c>
      <c r="E4853" s="196" t="s">
        <v>22485</v>
      </c>
      <c r="F4853" s="196" t="s">
        <v>22486</v>
      </c>
      <c r="G4853" s="196" t="s">
        <v>12378</v>
      </c>
      <c r="H4853" s="196" t="s">
        <v>11235</v>
      </c>
    </row>
    <row r="4854" spans="1:8" x14ac:dyDescent="0.15">
      <c r="A4854" s="196" t="s">
        <v>11229</v>
      </c>
      <c r="B4854" s="196" t="s">
        <v>11230</v>
      </c>
      <c r="C4854" s="196" t="s">
        <v>22487</v>
      </c>
      <c r="D4854" s="196" t="s">
        <v>22488</v>
      </c>
      <c r="E4854" s="196" t="s">
        <v>22489</v>
      </c>
      <c r="F4854" s="196" t="s">
        <v>22490</v>
      </c>
      <c r="G4854" s="196" t="s">
        <v>12378</v>
      </c>
      <c r="H4854" s="196" t="s">
        <v>11235</v>
      </c>
    </row>
    <row r="4855" spans="1:8" x14ac:dyDescent="0.15">
      <c r="A4855" s="196" t="s">
        <v>11229</v>
      </c>
      <c r="B4855" s="196" t="s">
        <v>11230</v>
      </c>
      <c r="C4855" s="196" t="s">
        <v>22491</v>
      </c>
      <c r="D4855" s="196" t="s">
        <v>22492</v>
      </c>
      <c r="E4855" s="196" t="s">
        <v>22493</v>
      </c>
      <c r="F4855" s="196" t="s">
        <v>22494</v>
      </c>
      <c r="G4855" s="196" t="s">
        <v>12378</v>
      </c>
      <c r="H4855" s="196" t="s">
        <v>11235</v>
      </c>
    </row>
    <row r="4856" spans="1:8" x14ac:dyDescent="0.15">
      <c r="A4856" s="196" t="s">
        <v>11229</v>
      </c>
      <c r="B4856" s="196" t="s">
        <v>11230</v>
      </c>
      <c r="C4856" s="196" t="s">
        <v>22495</v>
      </c>
      <c r="D4856" s="196" t="s">
        <v>22496</v>
      </c>
      <c r="E4856" s="196" t="s">
        <v>22497</v>
      </c>
      <c r="F4856" s="196" t="s">
        <v>22498</v>
      </c>
      <c r="G4856" s="196" t="s">
        <v>12378</v>
      </c>
      <c r="H4856" s="196" t="s">
        <v>11235</v>
      </c>
    </row>
    <row r="4857" spans="1:8" x14ac:dyDescent="0.15">
      <c r="A4857" s="196" t="s">
        <v>11229</v>
      </c>
      <c r="B4857" s="196" t="s">
        <v>11230</v>
      </c>
      <c r="C4857" s="196" t="s">
        <v>22499</v>
      </c>
      <c r="D4857" s="196" t="s">
        <v>22500</v>
      </c>
      <c r="E4857" s="196" t="s">
        <v>22501</v>
      </c>
      <c r="F4857" s="196" t="s">
        <v>22502</v>
      </c>
      <c r="G4857" s="196" t="s">
        <v>12378</v>
      </c>
      <c r="H4857" s="196" t="s">
        <v>11235</v>
      </c>
    </row>
    <row r="4858" spans="1:8" x14ac:dyDescent="0.15">
      <c r="A4858" s="196" t="s">
        <v>11229</v>
      </c>
      <c r="B4858" s="196" t="s">
        <v>11230</v>
      </c>
      <c r="C4858" s="196" t="s">
        <v>22503</v>
      </c>
      <c r="D4858" s="196" t="s">
        <v>22504</v>
      </c>
      <c r="E4858" s="196" t="s">
        <v>22505</v>
      </c>
      <c r="F4858" s="196" t="s">
        <v>22506</v>
      </c>
      <c r="G4858" s="196" t="s">
        <v>12378</v>
      </c>
      <c r="H4858" s="196" t="s">
        <v>11235</v>
      </c>
    </row>
    <row r="4859" spans="1:8" x14ac:dyDescent="0.15">
      <c r="A4859" s="196" t="s">
        <v>11229</v>
      </c>
      <c r="B4859" s="196" t="s">
        <v>11230</v>
      </c>
      <c r="C4859" s="196" t="s">
        <v>22507</v>
      </c>
      <c r="D4859" s="196" t="s">
        <v>22508</v>
      </c>
      <c r="E4859" s="196" t="s">
        <v>22509</v>
      </c>
      <c r="F4859" s="196" t="s">
        <v>22510</v>
      </c>
      <c r="G4859" s="196" t="s">
        <v>12378</v>
      </c>
      <c r="H4859" s="196" t="s">
        <v>11235</v>
      </c>
    </row>
    <row r="4860" spans="1:8" x14ac:dyDescent="0.15">
      <c r="A4860" s="196" t="s">
        <v>11229</v>
      </c>
      <c r="B4860" s="196" t="s">
        <v>11230</v>
      </c>
      <c r="C4860" s="196" t="s">
        <v>22511</v>
      </c>
      <c r="D4860" s="196" t="s">
        <v>22512</v>
      </c>
      <c r="E4860" s="196" t="s">
        <v>22513</v>
      </c>
      <c r="F4860" s="196" t="s">
        <v>22514</v>
      </c>
      <c r="G4860" s="196" t="s">
        <v>12378</v>
      </c>
      <c r="H4860" s="196" t="s">
        <v>11235</v>
      </c>
    </row>
    <row r="4861" spans="1:8" x14ac:dyDescent="0.15">
      <c r="A4861" s="196" t="s">
        <v>11229</v>
      </c>
      <c r="B4861" s="196" t="s">
        <v>11230</v>
      </c>
      <c r="C4861" s="196" t="s">
        <v>22515</v>
      </c>
      <c r="D4861" s="196" t="s">
        <v>22516</v>
      </c>
      <c r="E4861" s="196" t="s">
        <v>22517</v>
      </c>
      <c r="F4861" s="196" t="s">
        <v>22518</v>
      </c>
      <c r="G4861" s="196" t="s">
        <v>12378</v>
      </c>
      <c r="H4861" s="196" t="s">
        <v>11235</v>
      </c>
    </row>
    <row r="4862" spans="1:8" x14ac:dyDescent="0.15">
      <c r="A4862" s="196" t="s">
        <v>11229</v>
      </c>
      <c r="B4862" s="196" t="s">
        <v>11230</v>
      </c>
      <c r="C4862" s="196" t="s">
        <v>22519</v>
      </c>
      <c r="D4862" s="196" t="s">
        <v>22520</v>
      </c>
      <c r="E4862" s="196" t="s">
        <v>22521</v>
      </c>
      <c r="F4862" s="196" t="s">
        <v>22522</v>
      </c>
      <c r="G4862" s="196" t="s">
        <v>12378</v>
      </c>
      <c r="H4862" s="196" t="s">
        <v>11235</v>
      </c>
    </row>
    <row r="4863" spans="1:8" x14ac:dyDescent="0.15">
      <c r="A4863" s="196" t="s">
        <v>11229</v>
      </c>
      <c r="B4863" s="196" t="s">
        <v>11230</v>
      </c>
      <c r="C4863" s="196" t="s">
        <v>22523</v>
      </c>
      <c r="D4863" s="196" t="s">
        <v>22524</v>
      </c>
      <c r="E4863" s="196" t="s">
        <v>22525</v>
      </c>
      <c r="F4863" s="196" t="s">
        <v>22526</v>
      </c>
      <c r="G4863" s="196" t="s">
        <v>12378</v>
      </c>
      <c r="H4863" s="196" t="s">
        <v>11235</v>
      </c>
    </row>
    <row r="4864" spans="1:8" x14ac:dyDescent="0.15">
      <c r="A4864" s="196" t="s">
        <v>11229</v>
      </c>
      <c r="B4864" s="196" t="s">
        <v>11230</v>
      </c>
      <c r="C4864" s="196" t="s">
        <v>22527</v>
      </c>
      <c r="D4864" s="196" t="s">
        <v>22528</v>
      </c>
      <c r="E4864" s="196" t="s">
        <v>22529</v>
      </c>
      <c r="F4864" s="196" t="s">
        <v>22530</v>
      </c>
      <c r="G4864" s="196" t="s">
        <v>12378</v>
      </c>
      <c r="H4864" s="196" t="s">
        <v>11235</v>
      </c>
    </row>
    <row r="4865" spans="1:8" x14ac:dyDescent="0.15">
      <c r="A4865" s="196" t="s">
        <v>11229</v>
      </c>
      <c r="B4865" s="196" t="s">
        <v>11230</v>
      </c>
      <c r="C4865" s="196" t="s">
        <v>22531</v>
      </c>
      <c r="D4865" s="196" t="s">
        <v>22532</v>
      </c>
      <c r="E4865" s="196" t="s">
        <v>22533</v>
      </c>
      <c r="F4865" s="196" t="s">
        <v>22534</v>
      </c>
      <c r="G4865" s="196" t="s">
        <v>12378</v>
      </c>
      <c r="H4865" s="196" t="s">
        <v>11235</v>
      </c>
    </row>
    <row r="4866" spans="1:8" x14ac:dyDescent="0.15">
      <c r="A4866" s="196" t="s">
        <v>11229</v>
      </c>
      <c r="B4866" s="196" t="s">
        <v>11230</v>
      </c>
      <c r="C4866" s="196" t="s">
        <v>22535</v>
      </c>
      <c r="D4866" s="196" t="s">
        <v>22536</v>
      </c>
      <c r="E4866" s="196" t="s">
        <v>22537</v>
      </c>
      <c r="F4866" s="196" t="s">
        <v>22538</v>
      </c>
      <c r="G4866" s="196" t="s">
        <v>12378</v>
      </c>
      <c r="H4866" s="196" t="s">
        <v>11235</v>
      </c>
    </row>
    <row r="4867" spans="1:8" x14ac:dyDescent="0.15">
      <c r="A4867" s="196" t="s">
        <v>11229</v>
      </c>
      <c r="B4867" s="196" t="s">
        <v>11230</v>
      </c>
      <c r="C4867" s="196" t="s">
        <v>22539</v>
      </c>
      <c r="D4867" s="196" t="s">
        <v>22540</v>
      </c>
      <c r="E4867" s="196" t="s">
        <v>22541</v>
      </c>
      <c r="F4867" s="196" t="s">
        <v>22542</v>
      </c>
      <c r="G4867" s="196" t="s">
        <v>12378</v>
      </c>
      <c r="H4867" s="196" t="s">
        <v>11235</v>
      </c>
    </row>
    <row r="4868" spans="1:8" x14ac:dyDescent="0.15">
      <c r="A4868" s="196" t="s">
        <v>11229</v>
      </c>
      <c r="B4868" s="196" t="s">
        <v>11230</v>
      </c>
      <c r="C4868" s="196" t="s">
        <v>22543</v>
      </c>
      <c r="D4868" s="196" t="s">
        <v>22544</v>
      </c>
      <c r="E4868" s="196" t="s">
        <v>22545</v>
      </c>
      <c r="F4868" s="196" t="s">
        <v>15137</v>
      </c>
      <c r="G4868" s="196" t="s">
        <v>12378</v>
      </c>
      <c r="H4868" s="196" t="s">
        <v>11235</v>
      </c>
    </row>
    <row r="4869" spans="1:8" x14ac:dyDescent="0.15">
      <c r="A4869" s="196" t="s">
        <v>11229</v>
      </c>
      <c r="B4869" s="196" t="s">
        <v>11230</v>
      </c>
      <c r="C4869" s="196" t="s">
        <v>22546</v>
      </c>
      <c r="D4869" s="196" t="s">
        <v>22547</v>
      </c>
      <c r="E4869" s="196" t="s">
        <v>22548</v>
      </c>
      <c r="F4869" s="196" t="s">
        <v>22549</v>
      </c>
      <c r="G4869" s="196" t="s">
        <v>12378</v>
      </c>
      <c r="H4869" s="196" t="s">
        <v>11235</v>
      </c>
    </row>
    <row r="4870" spans="1:8" x14ac:dyDescent="0.15">
      <c r="A4870" s="196" t="s">
        <v>11229</v>
      </c>
      <c r="B4870" s="196" t="s">
        <v>11230</v>
      </c>
      <c r="C4870" s="196" t="s">
        <v>22550</v>
      </c>
      <c r="D4870" s="196" t="s">
        <v>22551</v>
      </c>
      <c r="E4870" s="196" t="s">
        <v>22552</v>
      </c>
      <c r="F4870" s="196" t="s">
        <v>22553</v>
      </c>
      <c r="G4870" s="196" t="s">
        <v>12378</v>
      </c>
      <c r="H4870" s="196" t="s">
        <v>11235</v>
      </c>
    </row>
    <row r="4871" spans="1:8" x14ac:dyDescent="0.15">
      <c r="A4871" s="196" t="s">
        <v>11229</v>
      </c>
      <c r="B4871" s="196" t="s">
        <v>11230</v>
      </c>
      <c r="C4871" s="196" t="s">
        <v>22554</v>
      </c>
      <c r="D4871" s="196" t="s">
        <v>22555</v>
      </c>
      <c r="E4871" s="196" t="s">
        <v>22556</v>
      </c>
      <c r="F4871" s="196" t="s">
        <v>21731</v>
      </c>
      <c r="G4871" s="196" t="s">
        <v>12378</v>
      </c>
      <c r="H4871" s="196" t="s">
        <v>11235</v>
      </c>
    </row>
    <row r="4872" spans="1:8" x14ac:dyDescent="0.15">
      <c r="A4872" s="196" t="s">
        <v>11229</v>
      </c>
      <c r="B4872" s="196" t="s">
        <v>11230</v>
      </c>
      <c r="C4872" s="196" t="s">
        <v>22557</v>
      </c>
      <c r="D4872" s="196" t="s">
        <v>22558</v>
      </c>
      <c r="E4872" s="196" t="s">
        <v>22559</v>
      </c>
      <c r="F4872" s="196" t="s">
        <v>22522</v>
      </c>
      <c r="G4872" s="196" t="s">
        <v>12378</v>
      </c>
      <c r="H4872" s="196" t="s">
        <v>11235</v>
      </c>
    </row>
    <row r="4873" spans="1:8" x14ac:dyDescent="0.15">
      <c r="A4873" s="196" t="s">
        <v>11229</v>
      </c>
      <c r="B4873" s="196" t="s">
        <v>11230</v>
      </c>
      <c r="C4873" s="196" t="s">
        <v>22560</v>
      </c>
      <c r="D4873" s="196" t="s">
        <v>22561</v>
      </c>
      <c r="E4873" s="196" t="s">
        <v>22562</v>
      </c>
      <c r="F4873" s="196" t="s">
        <v>22563</v>
      </c>
      <c r="G4873" s="196" t="s">
        <v>12378</v>
      </c>
      <c r="H4873" s="196" t="s">
        <v>11235</v>
      </c>
    </row>
    <row r="4874" spans="1:8" x14ac:dyDescent="0.15">
      <c r="A4874" s="196" t="s">
        <v>11229</v>
      </c>
      <c r="B4874" s="196" t="s">
        <v>11230</v>
      </c>
      <c r="C4874" s="196" t="s">
        <v>22564</v>
      </c>
      <c r="D4874" s="196" t="s">
        <v>22565</v>
      </c>
      <c r="E4874" s="196" t="s">
        <v>22566</v>
      </c>
      <c r="F4874" s="196" t="s">
        <v>22567</v>
      </c>
      <c r="G4874" s="196" t="s">
        <v>12378</v>
      </c>
      <c r="H4874" s="196" t="s">
        <v>11235</v>
      </c>
    </row>
    <row r="4875" spans="1:8" x14ac:dyDescent="0.15">
      <c r="A4875" s="196" t="s">
        <v>11229</v>
      </c>
      <c r="B4875" s="196" t="s">
        <v>11230</v>
      </c>
      <c r="C4875" s="196" t="s">
        <v>22568</v>
      </c>
      <c r="D4875" s="196" t="s">
        <v>22569</v>
      </c>
      <c r="E4875" s="196" t="s">
        <v>22570</v>
      </c>
      <c r="F4875" s="196" t="s">
        <v>15165</v>
      </c>
      <c r="G4875" s="196" t="s">
        <v>12378</v>
      </c>
      <c r="H4875" s="196" t="s">
        <v>11235</v>
      </c>
    </row>
    <row r="4876" spans="1:8" x14ac:dyDescent="0.15">
      <c r="A4876" s="196" t="s">
        <v>11229</v>
      </c>
      <c r="B4876" s="196" t="s">
        <v>11230</v>
      </c>
      <c r="C4876" s="196" t="s">
        <v>22571</v>
      </c>
      <c r="D4876" s="196" t="s">
        <v>22570</v>
      </c>
      <c r="E4876" s="196" t="s">
        <v>22572</v>
      </c>
      <c r="F4876" s="196" t="s">
        <v>22573</v>
      </c>
      <c r="G4876" s="196" t="s">
        <v>12378</v>
      </c>
      <c r="H4876" s="196" t="s">
        <v>11235</v>
      </c>
    </row>
    <row r="4877" spans="1:8" x14ac:dyDescent="0.15">
      <c r="A4877" s="196" t="s">
        <v>11229</v>
      </c>
      <c r="B4877" s="196" t="s">
        <v>11230</v>
      </c>
      <c r="C4877" s="196" t="s">
        <v>22574</v>
      </c>
      <c r="D4877" s="196" t="s">
        <v>22575</v>
      </c>
      <c r="E4877" s="196" t="s">
        <v>22576</v>
      </c>
      <c r="F4877" s="196" t="s">
        <v>22577</v>
      </c>
      <c r="G4877" s="196" t="s">
        <v>12378</v>
      </c>
      <c r="H4877" s="196" t="s">
        <v>11235</v>
      </c>
    </row>
    <row r="4878" spans="1:8" x14ac:dyDescent="0.15">
      <c r="A4878" s="196" t="s">
        <v>11229</v>
      </c>
      <c r="B4878" s="196" t="s">
        <v>11230</v>
      </c>
      <c r="C4878" s="196" t="s">
        <v>22578</v>
      </c>
      <c r="D4878" s="196" t="s">
        <v>22579</v>
      </c>
      <c r="E4878" s="196" t="s">
        <v>22580</v>
      </c>
      <c r="F4878" s="196" t="s">
        <v>22581</v>
      </c>
      <c r="G4878" s="196" t="s">
        <v>12378</v>
      </c>
      <c r="H4878" s="196" t="s">
        <v>11235</v>
      </c>
    </row>
    <row r="4879" spans="1:8" x14ac:dyDescent="0.15">
      <c r="A4879" s="196" t="s">
        <v>11229</v>
      </c>
      <c r="B4879" s="196" t="s">
        <v>11230</v>
      </c>
      <c r="C4879" s="196" t="s">
        <v>22582</v>
      </c>
      <c r="D4879" s="196" t="s">
        <v>22583</v>
      </c>
      <c r="E4879" s="196" t="s">
        <v>22584</v>
      </c>
      <c r="F4879" s="196" t="s">
        <v>22506</v>
      </c>
      <c r="G4879" s="196" t="s">
        <v>12378</v>
      </c>
      <c r="H4879" s="196" t="s">
        <v>11235</v>
      </c>
    </row>
    <row r="4880" spans="1:8" x14ac:dyDescent="0.15">
      <c r="A4880" s="196" t="s">
        <v>11229</v>
      </c>
      <c r="B4880" s="196" t="s">
        <v>11230</v>
      </c>
      <c r="C4880" s="196" t="s">
        <v>22585</v>
      </c>
      <c r="D4880" s="196" t="s">
        <v>22586</v>
      </c>
      <c r="E4880" s="196" t="s">
        <v>22587</v>
      </c>
      <c r="F4880" s="196" t="s">
        <v>11268</v>
      </c>
      <c r="G4880" s="196" t="s">
        <v>12378</v>
      </c>
      <c r="H4880" s="196" t="s">
        <v>11235</v>
      </c>
    </row>
    <row r="4881" spans="1:8" x14ac:dyDescent="0.15">
      <c r="A4881" s="196" t="s">
        <v>11229</v>
      </c>
      <c r="B4881" s="196" t="s">
        <v>11230</v>
      </c>
      <c r="C4881" s="196" t="s">
        <v>22588</v>
      </c>
      <c r="D4881" s="196" t="s">
        <v>22589</v>
      </c>
      <c r="E4881" s="196" t="s">
        <v>22589</v>
      </c>
      <c r="F4881" s="196" t="s">
        <v>11233</v>
      </c>
      <c r="G4881" s="196" t="s">
        <v>12378</v>
      </c>
      <c r="H4881" s="196" t="s">
        <v>11235</v>
      </c>
    </row>
    <row r="4882" spans="1:8" x14ac:dyDescent="0.15">
      <c r="A4882" s="196" t="s">
        <v>11229</v>
      </c>
      <c r="B4882" s="196" t="s">
        <v>11230</v>
      </c>
      <c r="C4882" s="196" t="s">
        <v>22590</v>
      </c>
      <c r="D4882" s="196" t="s">
        <v>22591</v>
      </c>
      <c r="E4882" s="196" t="s">
        <v>22592</v>
      </c>
      <c r="F4882" s="196" t="s">
        <v>11268</v>
      </c>
      <c r="G4882" s="196" t="s">
        <v>12378</v>
      </c>
      <c r="H4882" s="196" t="s">
        <v>11235</v>
      </c>
    </row>
    <row r="4883" spans="1:8" x14ac:dyDescent="0.15">
      <c r="A4883" s="196" t="s">
        <v>11229</v>
      </c>
      <c r="B4883" s="196" t="s">
        <v>11230</v>
      </c>
      <c r="C4883" s="196" t="s">
        <v>22593</v>
      </c>
      <c r="D4883" s="196" t="s">
        <v>22592</v>
      </c>
      <c r="E4883" s="196" t="s">
        <v>22594</v>
      </c>
      <c r="F4883" s="196" t="s">
        <v>11241</v>
      </c>
      <c r="G4883" s="196" t="s">
        <v>12378</v>
      </c>
      <c r="H4883" s="196" t="s">
        <v>11235</v>
      </c>
    </row>
    <row r="4884" spans="1:8" x14ac:dyDescent="0.15">
      <c r="A4884" s="196" t="s">
        <v>11229</v>
      </c>
      <c r="B4884" s="196" t="s">
        <v>11230</v>
      </c>
      <c r="C4884" s="196" t="s">
        <v>22595</v>
      </c>
      <c r="D4884" s="196" t="s">
        <v>22596</v>
      </c>
      <c r="E4884" s="196" t="s">
        <v>22597</v>
      </c>
      <c r="F4884" s="196" t="s">
        <v>11241</v>
      </c>
      <c r="G4884" s="196" t="s">
        <v>12378</v>
      </c>
      <c r="H4884" s="196" t="s">
        <v>11235</v>
      </c>
    </row>
    <row r="4885" spans="1:8" x14ac:dyDescent="0.15">
      <c r="A4885" s="196" t="s">
        <v>11229</v>
      </c>
      <c r="B4885" s="196" t="s">
        <v>11230</v>
      </c>
      <c r="C4885" s="196" t="s">
        <v>22598</v>
      </c>
      <c r="D4885" s="196" t="s">
        <v>22599</v>
      </c>
      <c r="E4885" s="196" t="s">
        <v>22600</v>
      </c>
      <c r="F4885" s="196" t="s">
        <v>11241</v>
      </c>
      <c r="G4885" s="196" t="s">
        <v>12378</v>
      </c>
      <c r="H4885" s="196" t="s">
        <v>11235</v>
      </c>
    </row>
    <row r="4886" spans="1:8" x14ac:dyDescent="0.15">
      <c r="A4886" s="196" t="s">
        <v>11229</v>
      </c>
      <c r="B4886" s="196" t="s">
        <v>11230</v>
      </c>
      <c r="C4886" s="196" t="s">
        <v>22601</v>
      </c>
      <c r="D4886" s="196" t="s">
        <v>22602</v>
      </c>
      <c r="E4886" s="196" t="s">
        <v>22602</v>
      </c>
      <c r="F4886" s="196" t="s">
        <v>11233</v>
      </c>
      <c r="G4886" s="196" t="s">
        <v>12378</v>
      </c>
      <c r="H4886" s="196" t="s">
        <v>11235</v>
      </c>
    </row>
    <row r="4887" spans="1:8" x14ac:dyDescent="0.15">
      <c r="A4887" s="196" t="s">
        <v>11229</v>
      </c>
      <c r="B4887" s="196" t="s">
        <v>11230</v>
      </c>
      <c r="C4887" s="196" t="s">
        <v>22603</v>
      </c>
      <c r="D4887" s="196" t="s">
        <v>22604</v>
      </c>
      <c r="E4887" s="196" t="s">
        <v>22604</v>
      </c>
      <c r="F4887" s="196" t="s">
        <v>11233</v>
      </c>
      <c r="G4887" s="196" t="s">
        <v>12378</v>
      </c>
      <c r="H4887" s="196" t="s">
        <v>11235</v>
      </c>
    </row>
    <row r="4888" spans="1:8" x14ac:dyDescent="0.15">
      <c r="A4888" s="196" t="s">
        <v>11229</v>
      </c>
      <c r="B4888" s="196" t="s">
        <v>11230</v>
      </c>
      <c r="C4888" s="196" t="s">
        <v>22605</v>
      </c>
      <c r="D4888" s="196" t="s">
        <v>22606</v>
      </c>
      <c r="E4888" s="196" t="s">
        <v>22607</v>
      </c>
      <c r="F4888" s="196" t="s">
        <v>11241</v>
      </c>
      <c r="G4888" s="196" t="s">
        <v>12378</v>
      </c>
      <c r="H4888" s="196" t="s">
        <v>11235</v>
      </c>
    </row>
    <row r="4889" spans="1:8" x14ac:dyDescent="0.15">
      <c r="A4889" s="196" t="s">
        <v>11229</v>
      </c>
      <c r="B4889" s="196" t="s">
        <v>11230</v>
      </c>
      <c r="C4889" s="196" t="s">
        <v>22608</v>
      </c>
      <c r="D4889" s="196" t="s">
        <v>22609</v>
      </c>
      <c r="E4889" s="196" t="s">
        <v>22609</v>
      </c>
      <c r="F4889" s="196" t="s">
        <v>11233</v>
      </c>
      <c r="G4889" s="196" t="s">
        <v>12378</v>
      </c>
      <c r="H4889" s="196" t="s">
        <v>11235</v>
      </c>
    </row>
    <row r="4890" spans="1:8" x14ac:dyDescent="0.15">
      <c r="A4890" s="196" t="s">
        <v>11229</v>
      </c>
      <c r="B4890" s="196" t="s">
        <v>11230</v>
      </c>
      <c r="C4890" s="196" t="s">
        <v>22610</v>
      </c>
      <c r="D4890" s="196" t="s">
        <v>22611</v>
      </c>
      <c r="E4890" s="196" t="s">
        <v>22611</v>
      </c>
      <c r="F4890" s="196" t="s">
        <v>11233</v>
      </c>
      <c r="G4890" s="196" t="s">
        <v>12378</v>
      </c>
      <c r="H4890" s="196" t="s">
        <v>11235</v>
      </c>
    </row>
    <row r="4891" spans="1:8" x14ac:dyDescent="0.15">
      <c r="A4891" s="196" t="s">
        <v>11229</v>
      </c>
      <c r="B4891" s="196" t="s">
        <v>11230</v>
      </c>
      <c r="C4891" s="196" t="s">
        <v>22612</v>
      </c>
      <c r="D4891" s="196" t="s">
        <v>22613</v>
      </c>
      <c r="E4891" s="196" t="s">
        <v>22614</v>
      </c>
      <c r="F4891" s="196" t="s">
        <v>11241</v>
      </c>
      <c r="G4891" s="196" t="s">
        <v>12378</v>
      </c>
      <c r="H4891" s="196" t="s">
        <v>11235</v>
      </c>
    </row>
    <row r="4892" spans="1:8" x14ac:dyDescent="0.15">
      <c r="A4892" s="196" t="s">
        <v>11229</v>
      </c>
      <c r="B4892" s="196" t="s">
        <v>11230</v>
      </c>
      <c r="C4892" s="196" t="s">
        <v>22615</v>
      </c>
      <c r="D4892" s="196" t="s">
        <v>22616</v>
      </c>
      <c r="E4892" s="196" t="s">
        <v>22616</v>
      </c>
      <c r="F4892" s="196" t="s">
        <v>11233</v>
      </c>
      <c r="G4892" s="196" t="s">
        <v>12378</v>
      </c>
      <c r="H4892" s="196" t="s">
        <v>11235</v>
      </c>
    </row>
    <row r="4893" spans="1:8" x14ac:dyDescent="0.15">
      <c r="A4893" s="196" t="s">
        <v>11229</v>
      </c>
      <c r="B4893" s="196" t="s">
        <v>11230</v>
      </c>
      <c r="C4893" s="196" t="s">
        <v>22617</v>
      </c>
      <c r="D4893" s="196" t="s">
        <v>22618</v>
      </c>
      <c r="E4893" s="196" t="s">
        <v>22618</v>
      </c>
      <c r="F4893" s="196" t="s">
        <v>11233</v>
      </c>
      <c r="G4893" s="196" t="s">
        <v>12378</v>
      </c>
      <c r="H4893" s="196" t="s">
        <v>11235</v>
      </c>
    </row>
    <row r="4894" spans="1:8" x14ac:dyDescent="0.15">
      <c r="A4894" s="196" t="s">
        <v>11229</v>
      </c>
      <c r="B4894" s="196" t="s">
        <v>11230</v>
      </c>
      <c r="C4894" s="196" t="s">
        <v>22619</v>
      </c>
      <c r="D4894" s="196" t="s">
        <v>22620</v>
      </c>
      <c r="E4894" s="196" t="s">
        <v>22621</v>
      </c>
      <c r="F4894" s="196" t="s">
        <v>11268</v>
      </c>
      <c r="G4894" s="196" t="s">
        <v>12378</v>
      </c>
      <c r="H4894" s="196" t="s">
        <v>11235</v>
      </c>
    </row>
    <row r="4895" spans="1:8" x14ac:dyDescent="0.15">
      <c r="A4895" s="196" t="s">
        <v>11229</v>
      </c>
      <c r="B4895" s="196" t="s">
        <v>11230</v>
      </c>
      <c r="C4895" s="196" t="s">
        <v>22622</v>
      </c>
      <c r="D4895" s="196" t="s">
        <v>22623</v>
      </c>
      <c r="E4895" s="196" t="s">
        <v>22624</v>
      </c>
      <c r="F4895" s="196" t="s">
        <v>11241</v>
      </c>
      <c r="G4895" s="196" t="s">
        <v>12378</v>
      </c>
      <c r="H4895" s="196" t="s">
        <v>11235</v>
      </c>
    </row>
    <row r="4896" spans="1:8" x14ac:dyDescent="0.15">
      <c r="A4896" s="196" t="s">
        <v>11229</v>
      </c>
      <c r="B4896" s="196" t="s">
        <v>11230</v>
      </c>
      <c r="C4896" s="196" t="s">
        <v>22625</v>
      </c>
      <c r="D4896" s="196" t="s">
        <v>22624</v>
      </c>
      <c r="E4896" s="196" t="s">
        <v>22626</v>
      </c>
      <c r="F4896" s="196" t="s">
        <v>11268</v>
      </c>
      <c r="G4896" s="196" t="s">
        <v>12378</v>
      </c>
      <c r="H4896" s="196" t="s">
        <v>11235</v>
      </c>
    </row>
    <row r="4897" spans="1:8" x14ac:dyDescent="0.15">
      <c r="A4897" s="196" t="s">
        <v>11229</v>
      </c>
      <c r="B4897" s="196" t="s">
        <v>11230</v>
      </c>
      <c r="C4897" s="196" t="s">
        <v>22627</v>
      </c>
      <c r="D4897" s="196" t="s">
        <v>22628</v>
      </c>
      <c r="E4897" s="196" t="s">
        <v>22629</v>
      </c>
      <c r="F4897" s="196" t="s">
        <v>11241</v>
      </c>
      <c r="G4897" s="196" t="s">
        <v>12378</v>
      </c>
      <c r="H4897" s="196" t="s">
        <v>11235</v>
      </c>
    </row>
    <row r="4898" spans="1:8" x14ac:dyDescent="0.15">
      <c r="A4898" s="196" t="s">
        <v>11229</v>
      </c>
      <c r="B4898" s="196" t="s">
        <v>11230</v>
      </c>
      <c r="C4898" s="196" t="s">
        <v>22630</v>
      </c>
      <c r="D4898" s="196" t="s">
        <v>22629</v>
      </c>
      <c r="E4898" s="196" t="s">
        <v>22631</v>
      </c>
      <c r="F4898" s="196" t="s">
        <v>11268</v>
      </c>
      <c r="G4898" s="196" t="s">
        <v>12378</v>
      </c>
      <c r="H4898" s="196" t="s">
        <v>11235</v>
      </c>
    </row>
    <row r="4899" spans="1:8" x14ac:dyDescent="0.15">
      <c r="A4899" s="196" t="s">
        <v>11229</v>
      </c>
      <c r="B4899" s="196" t="s">
        <v>11230</v>
      </c>
      <c r="C4899" s="196" t="s">
        <v>22632</v>
      </c>
      <c r="D4899" s="196" t="s">
        <v>22633</v>
      </c>
      <c r="E4899" s="196" t="s">
        <v>22634</v>
      </c>
      <c r="F4899" s="196" t="s">
        <v>11268</v>
      </c>
      <c r="G4899" s="196" t="s">
        <v>12378</v>
      </c>
      <c r="H4899" s="196" t="s">
        <v>11235</v>
      </c>
    </row>
    <row r="4900" spans="1:8" x14ac:dyDescent="0.15">
      <c r="A4900" s="196" t="s">
        <v>11229</v>
      </c>
      <c r="B4900" s="196" t="s">
        <v>11230</v>
      </c>
      <c r="C4900" s="196" t="s">
        <v>22635</v>
      </c>
      <c r="D4900" s="196" t="s">
        <v>22636</v>
      </c>
      <c r="E4900" s="196" t="s">
        <v>22636</v>
      </c>
      <c r="F4900" s="196" t="s">
        <v>11233</v>
      </c>
      <c r="G4900" s="196" t="s">
        <v>12378</v>
      </c>
      <c r="H4900" s="196" t="s">
        <v>11235</v>
      </c>
    </row>
    <row r="4901" spans="1:8" x14ac:dyDescent="0.15">
      <c r="A4901" s="196" t="s">
        <v>11229</v>
      </c>
      <c r="B4901" s="196" t="s">
        <v>11230</v>
      </c>
      <c r="C4901" s="196" t="s">
        <v>22637</v>
      </c>
      <c r="D4901" s="196" t="s">
        <v>22638</v>
      </c>
      <c r="E4901" s="196" t="s">
        <v>22639</v>
      </c>
      <c r="F4901" s="196" t="s">
        <v>13758</v>
      </c>
      <c r="G4901" s="196" t="s">
        <v>12378</v>
      </c>
      <c r="H4901" s="196" t="s">
        <v>11235</v>
      </c>
    </row>
    <row r="4902" spans="1:8" x14ac:dyDescent="0.15">
      <c r="A4902" s="196" t="s">
        <v>11229</v>
      </c>
      <c r="B4902" s="196" t="s">
        <v>11230</v>
      </c>
      <c r="C4902" s="196" t="s">
        <v>22640</v>
      </c>
      <c r="D4902" s="196" t="s">
        <v>22639</v>
      </c>
      <c r="E4902" s="196" t="s">
        <v>22641</v>
      </c>
      <c r="F4902" s="196" t="s">
        <v>11268</v>
      </c>
      <c r="G4902" s="196" t="s">
        <v>12378</v>
      </c>
      <c r="H4902" s="196" t="s">
        <v>11235</v>
      </c>
    </row>
    <row r="4903" spans="1:8" x14ac:dyDescent="0.15">
      <c r="A4903" s="196" t="s">
        <v>11229</v>
      </c>
      <c r="B4903" s="196" t="s">
        <v>11230</v>
      </c>
      <c r="C4903" s="196" t="s">
        <v>22642</v>
      </c>
      <c r="D4903" s="196" t="s">
        <v>22641</v>
      </c>
      <c r="E4903" s="196" t="s">
        <v>22643</v>
      </c>
      <c r="F4903" s="196" t="s">
        <v>11241</v>
      </c>
      <c r="G4903" s="196" t="s">
        <v>12378</v>
      </c>
      <c r="H4903" s="196" t="s">
        <v>11235</v>
      </c>
    </row>
    <row r="4904" spans="1:8" x14ac:dyDescent="0.15">
      <c r="A4904" s="196" t="s">
        <v>11229</v>
      </c>
      <c r="B4904" s="196" t="s">
        <v>11230</v>
      </c>
      <c r="C4904" s="196" t="s">
        <v>22644</v>
      </c>
      <c r="D4904" s="196" t="s">
        <v>22645</v>
      </c>
      <c r="E4904" s="196" t="s">
        <v>22646</v>
      </c>
      <c r="F4904" s="196" t="s">
        <v>13758</v>
      </c>
      <c r="G4904" s="196" t="s">
        <v>12378</v>
      </c>
      <c r="H4904" s="196" t="s">
        <v>11235</v>
      </c>
    </row>
    <row r="4905" spans="1:8" x14ac:dyDescent="0.15">
      <c r="A4905" s="196" t="s">
        <v>11229</v>
      </c>
      <c r="B4905" s="196" t="s">
        <v>11230</v>
      </c>
      <c r="C4905" s="196" t="s">
        <v>22647</v>
      </c>
      <c r="D4905" s="196" t="s">
        <v>22646</v>
      </c>
      <c r="E4905" s="196" t="s">
        <v>22648</v>
      </c>
      <c r="F4905" s="196" t="s">
        <v>11268</v>
      </c>
      <c r="G4905" s="196" t="s">
        <v>12378</v>
      </c>
      <c r="H4905" s="196" t="s">
        <v>11235</v>
      </c>
    </row>
    <row r="4906" spans="1:8" x14ac:dyDescent="0.15">
      <c r="A4906" s="196" t="s">
        <v>11229</v>
      </c>
      <c r="B4906" s="196" t="s">
        <v>11230</v>
      </c>
      <c r="C4906" s="196" t="s">
        <v>22649</v>
      </c>
      <c r="D4906" s="196" t="s">
        <v>22650</v>
      </c>
      <c r="E4906" s="196" t="s">
        <v>22650</v>
      </c>
      <c r="F4906" s="196" t="s">
        <v>11233</v>
      </c>
      <c r="G4906" s="196" t="s">
        <v>12378</v>
      </c>
      <c r="H4906" s="196" t="s">
        <v>11235</v>
      </c>
    </row>
    <row r="4907" spans="1:8" x14ac:dyDescent="0.15">
      <c r="A4907" s="196" t="s">
        <v>11229</v>
      </c>
      <c r="B4907" s="196" t="s">
        <v>11230</v>
      </c>
      <c r="C4907" s="196" t="s">
        <v>22651</v>
      </c>
      <c r="D4907" s="196" t="s">
        <v>22652</v>
      </c>
      <c r="E4907" s="196" t="s">
        <v>22653</v>
      </c>
      <c r="F4907" s="196" t="s">
        <v>11241</v>
      </c>
      <c r="G4907" s="196" t="s">
        <v>12378</v>
      </c>
      <c r="H4907" s="196" t="s">
        <v>11235</v>
      </c>
    </row>
    <row r="4908" spans="1:8" x14ac:dyDescent="0.15">
      <c r="A4908" s="196" t="s">
        <v>11229</v>
      </c>
      <c r="B4908" s="196" t="s">
        <v>11230</v>
      </c>
      <c r="C4908" s="196" t="s">
        <v>22654</v>
      </c>
      <c r="D4908" s="196" t="s">
        <v>22655</v>
      </c>
      <c r="E4908" s="196" t="s">
        <v>22655</v>
      </c>
      <c r="F4908" s="196" t="s">
        <v>11233</v>
      </c>
      <c r="G4908" s="196" t="s">
        <v>12378</v>
      </c>
      <c r="H4908" s="196" t="s">
        <v>11235</v>
      </c>
    </row>
    <row r="4909" spans="1:8" x14ac:dyDescent="0.15">
      <c r="A4909" s="196" t="s">
        <v>11229</v>
      </c>
      <c r="B4909" s="196" t="s">
        <v>11230</v>
      </c>
      <c r="C4909" s="196" t="s">
        <v>22656</v>
      </c>
      <c r="D4909" s="196" t="s">
        <v>22657</v>
      </c>
      <c r="E4909" s="196" t="s">
        <v>22658</v>
      </c>
      <c r="F4909" s="196" t="s">
        <v>11241</v>
      </c>
      <c r="G4909" s="196" t="s">
        <v>12378</v>
      </c>
      <c r="H4909" s="196" t="s">
        <v>11235</v>
      </c>
    </row>
    <row r="4910" spans="1:8" x14ac:dyDescent="0.15">
      <c r="A4910" s="196" t="s">
        <v>11229</v>
      </c>
      <c r="B4910" s="196" t="s">
        <v>11230</v>
      </c>
      <c r="C4910" s="196" t="s">
        <v>22659</v>
      </c>
      <c r="D4910" s="196" t="s">
        <v>22660</v>
      </c>
      <c r="E4910" s="196" t="s">
        <v>22661</v>
      </c>
      <c r="F4910" s="196" t="s">
        <v>11268</v>
      </c>
      <c r="G4910" s="196" t="s">
        <v>12378</v>
      </c>
      <c r="H4910" s="196" t="s">
        <v>11235</v>
      </c>
    </row>
    <row r="4911" spans="1:8" x14ac:dyDescent="0.15">
      <c r="A4911" s="196" t="s">
        <v>11229</v>
      </c>
      <c r="B4911" s="196" t="s">
        <v>11230</v>
      </c>
      <c r="C4911" s="196" t="s">
        <v>22662</v>
      </c>
      <c r="D4911" s="196" t="s">
        <v>22663</v>
      </c>
      <c r="E4911" s="196" t="s">
        <v>22663</v>
      </c>
      <c r="F4911" s="196" t="s">
        <v>11233</v>
      </c>
      <c r="G4911" s="196" t="s">
        <v>12378</v>
      </c>
      <c r="H4911" s="196" t="s">
        <v>11235</v>
      </c>
    </row>
    <row r="4912" spans="1:8" x14ac:dyDescent="0.15">
      <c r="A4912" s="196" t="s">
        <v>11229</v>
      </c>
      <c r="B4912" s="196" t="s">
        <v>11230</v>
      </c>
      <c r="C4912" s="196" t="s">
        <v>22664</v>
      </c>
      <c r="D4912" s="196" t="s">
        <v>22665</v>
      </c>
      <c r="E4912" s="196" t="s">
        <v>22665</v>
      </c>
      <c r="F4912" s="196" t="s">
        <v>11233</v>
      </c>
      <c r="G4912" s="196" t="s">
        <v>12378</v>
      </c>
      <c r="H4912" s="196" t="s">
        <v>11235</v>
      </c>
    </row>
    <row r="4913" spans="1:8" x14ac:dyDescent="0.15">
      <c r="A4913" s="196" t="s">
        <v>11229</v>
      </c>
      <c r="B4913" s="196" t="s">
        <v>11230</v>
      </c>
      <c r="C4913" s="196" t="s">
        <v>22666</v>
      </c>
      <c r="D4913" s="196" t="s">
        <v>22667</v>
      </c>
      <c r="E4913" s="196" t="s">
        <v>22667</v>
      </c>
      <c r="F4913" s="196" t="s">
        <v>11233</v>
      </c>
      <c r="G4913" s="196" t="s">
        <v>12378</v>
      </c>
      <c r="H4913" s="196" t="s">
        <v>11235</v>
      </c>
    </row>
    <row r="4914" spans="1:8" x14ac:dyDescent="0.15">
      <c r="A4914" s="196" t="s">
        <v>11229</v>
      </c>
      <c r="B4914" s="196" t="s">
        <v>11230</v>
      </c>
      <c r="C4914" s="196" t="s">
        <v>22668</v>
      </c>
      <c r="D4914" s="196" t="s">
        <v>22669</v>
      </c>
      <c r="E4914" s="196" t="s">
        <v>22670</v>
      </c>
      <c r="F4914" s="196" t="s">
        <v>11268</v>
      </c>
      <c r="G4914" s="196" t="s">
        <v>12378</v>
      </c>
      <c r="H4914" s="196" t="s">
        <v>11235</v>
      </c>
    </row>
    <row r="4915" spans="1:8" x14ac:dyDescent="0.15">
      <c r="A4915" s="196" t="s">
        <v>11229</v>
      </c>
      <c r="B4915" s="196" t="s">
        <v>11230</v>
      </c>
      <c r="C4915" s="196" t="s">
        <v>22671</v>
      </c>
      <c r="D4915" s="196" t="s">
        <v>22672</v>
      </c>
      <c r="E4915" s="196" t="s">
        <v>22673</v>
      </c>
      <c r="F4915" s="196" t="s">
        <v>11241</v>
      </c>
      <c r="G4915" s="196" t="s">
        <v>12378</v>
      </c>
      <c r="H4915" s="196" t="s">
        <v>11235</v>
      </c>
    </row>
    <row r="4916" spans="1:8" x14ac:dyDescent="0.15">
      <c r="A4916" s="196" t="s">
        <v>11229</v>
      </c>
      <c r="B4916" s="196" t="s">
        <v>11230</v>
      </c>
      <c r="C4916" s="196" t="s">
        <v>22674</v>
      </c>
      <c r="D4916" s="196" t="s">
        <v>22675</v>
      </c>
      <c r="E4916" s="196" t="s">
        <v>22675</v>
      </c>
      <c r="F4916" s="196" t="s">
        <v>11233</v>
      </c>
      <c r="G4916" s="196" t="s">
        <v>12378</v>
      </c>
      <c r="H4916" s="196" t="s">
        <v>11235</v>
      </c>
    </row>
    <row r="4917" spans="1:8" x14ac:dyDescent="0.15">
      <c r="A4917" s="196" t="s">
        <v>11229</v>
      </c>
      <c r="B4917" s="196" t="s">
        <v>11230</v>
      </c>
      <c r="C4917" s="196" t="s">
        <v>22676</v>
      </c>
      <c r="D4917" s="196" t="s">
        <v>22677</v>
      </c>
      <c r="E4917" s="196" t="s">
        <v>22678</v>
      </c>
      <c r="F4917" s="196" t="s">
        <v>13023</v>
      </c>
      <c r="G4917" s="196" t="s">
        <v>12378</v>
      </c>
      <c r="H4917" s="196" t="s">
        <v>11235</v>
      </c>
    </row>
    <row r="4918" spans="1:8" x14ac:dyDescent="0.15">
      <c r="A4918" s="196" t="s">
        <v>11229</v>
      </c>
      <c r="B4918" s="196" t="s">
        <v>11230</v>
      </c>
      <c r="C4918" s="196" t="s">
        <v>22679</v>
      </c>
      <c r="D4918" s="196" t="s">
        <v>22678</v>
      </c>
      <c r="E4918" s="196" t="s">
        <v>22680</v>
      </c>
      <c r="F4918" s="196" t="s">
        <v>11241</v>
      </c>
      <c r="G4918" s="196" t="s">
        <v>12378</v>
      </c>
      <c r="H4918" s="196" t="s">
        <v>11235</v>
      </c>
    </row>
    <row r="4919" spans="1:8" x14ac:dyDescent="0.15">
      <c r="A4919" s="196" t="s">
        <v>11229</v>
      </c>
      <c r="B4919" s="196" t="s">
        <v>11230</v>
      </c>
      <c r="C4919" s="196" t="s">
        <v>22681</v>
      </c>
      <c r="D4919" s="196" t="s">
        <v>22680</v>
      </c>
      <c r="E4919" s="196" t="s">
        <v>22682</v>
      </c>
      <c r="F4919" s="196" t="s">
        <v>11268</v>
      </c>
      <c r="G4919" s="196" t="s">
        <v>12378</v>
      </c>
      <c r="H4919" s="196" t="s">
        <v>11235</v>
      </c>
    </row>
    <row r="4920" spans="1:8" x14ac:dyDescent="0.15">
      <c r="A4920" s="196" t="s">
        <v>11229</v>
      </c>
      <c r="B4920" s="196" t="s">
        <v>11230</v>
      </c>
      <c r="C4920" s="196" t="s">
        <v>22683</v>
      </c>
      <c r="D4920" s="196" t="s">
        <v>22684</v>
      </c>
      <c r="E4920" s="196" t="s">
        <v>22685</v>
      </c>
      <c r="F4920" s="196" t="s">
        <v>11268</v>
      </c>
      <c r="G4920" s="196" t="s">
        <v>12378</v>
      </c>
      <c r="H4920" s="196" t="s">
        <v>11235</v>
      </c>
    </row>
    <row r="4921" spans="1:8" x14ac:dyDescent="0.15">
      <c r="A4921" s="196" t="s">
        <v>11229</v>
      </c>
      <c r="B4921" s="196" t="s">
        <v>11230</v>
      </c>
      <c r="C4921" s="196" t="s">
        <v>22686</v>
      </c>
      <c r="D4921" s="196" t="s">
        <v>22687</v>
      </c>
      <c r="E4921" s="196" t="s">
        <v>22687</v>
      </c>
      <c r="F4921" s="196" t="s">
        <v>11233</v>
      </c>
      <c r="G4921" s="196" t="s">
        <v>12378</v>
      </c>
      <c r="H4921" s="196" t="s">
        <v>11235</v>
      </c>
    </row>
    <row r="4922" spans="1:8" x14ac:dyDescent="0.15">
      <c r="A4922" s="196" t="s">
        <v>11229</v>
      </c>
      <c r="B4922" s="196" t="s">
        <v>11230</v>
      </c>
      <c r="C4922" s="196" t="s">
        <v>22688</v>
      </c>
      <c r="D4922" s="196" t="s">
        <v>22689</v>
      </c>
      <c r="E4922" s="196" t="s">
        <v>22690</v>
      </c>
      <c r="F4922" s="196" t="s">
        <v>11268</v>
      </c>
      <c r="G4922" s="196" t="s">
        <v>12378</v>
      </c>
      <c r="H4922" s="196" t="s">
        <v>11235</v>
      </c>
    </row>
    <row r="4923" spans="1:8" x14ac:dyDescent="0.15">
      <c r="A4923" s="196" t="s">
        <v>11229</v>
      </c>
      <c r="B4923" s="196" t="s">
        <v>11230</v>
      </c>
      <c r="C4923" s="196" t="s">
        <v>22691</v>
      </c>
      <c r="D4923" s="196" t="s">
        <v>22692</v>
      </c>
      <c r="E4923" s="196" t="s">
        <v>22692</v>
      </c>
      <c r="F4923" s="196" t="s">
        <v>11233</v>
      </c>
      <c r="G4923" s="196" t="s">
        <v>12378</v>
      </c>
      <c r="H4923" s="196" t="s">
        <v>11235</v>
      </c>
    </row>
    <row r="4924" spans="1:8" x14ac:dyDescent="0.15">
      <c r="A4924" s="196" t="s">
        <v>11229</v>
      </c>
      <c r="B4924" s="196" t="s">
        <v>11230</v>
      </c>
      <c r="C4924" s="196" t="s">
        <v>22693</v>
      </c>
      <c r="D4924" s="196" t="s">
        <v>22694</v>
      </c>
      <c r="E4924" s="196" t="s">
        <v>22694</v>
      </c>
      <c r="F4924" s="196" t="s">
        <v>11233</v>
      </c>
      <c r="G4924" s="196" t="s">
        <v>12378</v>
      </c>
      <c r="H4924" s="196" t="s">
        <v>11235</v>
      </c>
    </row>
    <row r="4925" spans="1:8" x14ac:dyDescent="0.15">
      <c r="A4925" s="196" t="s">
        <v>11229</v>
      </c>
      <c r="B4925" s="196" t="s">
        <v>11230</v>
      </c>
      <c r="C4925" s="196" t="s">
        <v>22695</v>
      </c>
      <c r="D4925" s="196" t="s">
        <v>22696</v>
      </c>
      <c r="E4925" s="196" t="s">
        <v>22697</v>
      </c>
      <c r="F4925" s="196" t="s">
        <v>11241</v>
      </c>
      <c r="G4925" s="196" t="s">
        <v>12378</v>
      </c>
      <c r="H4925" s="196" t="s">
        <v>11235</v>
      </c>
    </row>
    <row r="4926" spans="1:8" x14ac:dyDescent="0.15">
      <c r="A4926" s="196" t="s">
        <v>11229</v>
      </c>
      <c r="B4926" s="196" t="s">
        <v>11230</v>
      </c>
      <c r="C4926" s="196" t="s">
        <v>22698</v>
      </c>
      <c r="D4926" s="196" t="s">
        <v>22699</v>
      </c>
      <c r="E4926" s="196" t="s">
        <v>22699</v>
      </c>
      <c r="F4926" s="196" t="s">
        <v>11233</v>
      </c>
      <c r="G4926" s="196" t="s">
        <v>12378</v>
      </c>
      <c r="H4926" s="196" t="s">
        <v>11235</v>
      </c>
    </row>
    <row r="4927" spans="1:8" x14ac:dyDescent="0.15">
      <c r="A4927" s="196" t="s">
        <v>11229</v>
      </c>
      <c r="B4927" s="196" t="s">
        <v>11230</v>
      </c>
      <c r="C4927" s="196" t="s">
        <v>22700</v>
      </c>
      <c r="D4927" s="196" t="s">
        <v>22701</v>
      </c>
      <c r="E4927" s="196" t="s">
        <v>22701</v>
      </c>
      <c r="F4927" s="196" t="s">
        <v>11233</v>
      </c>
      <c r="G4927" s="196" t="s">
        <v>12378</v>
      </c>
      <c r="H4927" s="196" t="s">
        <v>11235</v>
      </c>
    </row>
    <row r="4928" spans="1:8" x14ac:dyDescent="0.15">
      <c r="A4928" s="196" t="s">
        <v>11229</v>
      </c>
      <c r="B4928" s="196" t="s">
        <v>11230</v>
      </c>
      <c r="C4928" s="196" t="s">
        <v>22702</v>
      </c>
      <c r="D4928" s="196" t="s">
        <v>22703</v>
      </c>
      <c r="E4928" s="196" t="s">
        <v>22703</v>
      </c>
      <c r="F4928" s="196" t="s">
        <v>11233</v>
      </c>
      <c r="G4928" s="196" t="s">
        <v>12378</v>
      </c>
      <c r="H4928" s="196" t="s">
        <v>11235</v>
      </c>
    </row>
    <row r="4929" spans="1:8" x14ac:dyDescent="0.15">
      <c r="A4929" s="196" t="s">
        <v>11229</v>
      </c>
      <c r="B4929" s="196" t="s">
        <v>11230</v>
      </c>
      <c r="C4929" s="196" t="s">
        <v>22704</v>
      </c>
      <c r="D4929" s="196" t="s">
        <v>22705</v>
      </c>
      <c r="E4929" s="196" t="s">
        <v>22706</v>
      </c>
      <c r="F4929" s="196" t="s">
        <v>13023</v>
      </c>
      <c r="G4929" s="196" t="s">
        <v>12378</v>
      </c>
      <c r="H4929" s="196" t="s">
        <v>11235</v>
      </c>
    </row>
    <row r="4930" spans="1:8" x14ac:dyDescent="0.15">
      <c r="A4930" s="196" t="s">
        <v>11229</v>
      </c>
      <c r="B4930" s="196" t="s">
        <v>11230</v>
      </c>
      <c r="C4930" s="196" t="s">
        <v>22707</v>
      </c>
      <c r="D4930" s="196" t="s">
        <v>22706</v>
      </c>
      <c r="E4930" s="196" t="s">
        <v>22708</v>
      </c>
      <c r="F4930" s="196" t="s">
        <v>13023</v>
      </c>
      <c r="G4930" s="196" t="s">
        <v>12378</v>
      </c>
      <c r="H4930" s="196" t="s">
        <v>11235</v>
      </c>
    </row>
    <row r="4931" spans="1:8" x14ac:dyDescent="0.15">
      <c r="A4931" s="196" t="s">
        <v>11229</v>
      </c>
      <c r="B4931" s="196" t="s">
        <v>11230</v>
      </c>
      <c r="C4931" s="196" t="s">
        <v>22709</v>
      </c>
      <c r="D4931" s="196" t="s">
        <v>22708</v>
      </c>
      <c r="E4931" s="196" t="s">
        <v>22710</v>
      </c>
      <c r="F4931" s="196" t="s">
        <v>11241</v>
      </c>
      <c r="G4931" s="196" t="s">
        <v>12378</v>
      </c>
      <c r="H4931" s="196" t="s">
        <v>11235</v>
      </c>
    </row>
    <row r="4932" spans="1:8" x14ac:dyDescent="0.15">
      <c r="A4932" s="196" t="s">
        <v>11229</v>
      </c>
      <c r="B4932" s="196" t="s">
        <v>11230</v>
      </c>
      <c r="C4932" s="196" t="s">
        <v>22711</v>
      </c>
      <c r="D4932" s="196" t="s">
        <v>22710</v>
      </c>
      <c r="E4932" s="196" t="s">
        <v>22712</v>
      </c>
      <c r="F4932" s="196" t="s">
        <v>11241</v>
      </c>
      <c r="G4932" s="196" t="s">
        <v>12378</v>
      </c>
      <c r="H4932" s="196" t="s">
        <v>11235</v>
      </c>
    </row>
    <row r="4933" spans="1:8" x14ac:dyDescent="0.15">
      <c r="A4933" s="196" t="s">
        <v>11229</v>
      </c>
      <c r="B4933" s="196" t="s">
        <v>11230</v>
      </c>
      <c r="C4933" s="196" t="s">
        <v>22713</v>
      </c>
      <c r="D4933" s="196" t="s">
        <v>22712</v>
      </c>
      <c r="E4933" s="196" t="s">
        <v>22714</v>
      </c>
      <c r="F4933" s="196" t="s">
        <v>11268</v>
      </c>
      <c r="G4933" s="196" t="s">
        <v>12378</v>
      </c>
      <c r="H4933" s="196" t="s">
        <v>11235</v>
      </c>
    </row>
    <row r="4934" spans="1:8" x14ac:dyDescent="0.15">
      <c r="A4934" s="196" t="s">
        <v>11229</v>
      </c>
      <c r="B4934" s="196" t="s">
        <v>11230</v>
      </c>
      <c r="C4934" s="196" t="s">
        <v>22715</v>
      </c>
      <c r="D4934" s="196" t="s">
        <v>22716</v>
      </c>
      <c r="E4934" s="196" t="s">
        <v>22717</v>
      </c>
      <c r="F4934" s="196" t="s">
        <v>11241</v>
      </c>
      <c r="G4934" s="196" t="s">
        <v>12378</v>
      </c>
      <c r="H4934" s="196" t="s">
        <v>11235</v>
      </c>
    </row>
    <row r="4935" spans="1:8" x14ac:dyDescent="0.15">
      <c r="A4935" s="196" t="s">
        <v>11229</v>
      </c>
      <c r="B4935" s="196" t="s">
        <v>11230</v>
      </c>
      <c r="C4935" s="196" t="s">
        <v>22718</v>
      </c>
      <c r="D4935" s="196" t="s">
        <v>22719</v>
      </c>
      <c r="E4935" s="196" t="s">
        <v>22720</v>
      </c>
      <c r="F4935" s="196" t="s">
        <v>11241</v>
      </c>
      <c r="G4935" s="196" t="s">
        <v>12378</v>
      </c>
      <c r="H4935" s="196" t="s">
        <v>11235</v>
      </c>
    </row>
    <row r="4936" spans="1:8" x14ac:dyDescent="0.15">
      <c r="A4936" s="196" t="s">
        <v>11229</v>
      </c>
      <c r="B4936" s="196" t="s">
        <v>11230</v>
      </c>
      <c r="C4936" s="196" t="s">
        <v>22721</v>
      </c>
      <c r="D4936" s="196" t="s">
        <v>22720</v>
      </c>
      <c r="E4936" s="196" t="s">
        <v>22722</v>
      </c>
      <c r="F4936" s="196" t="s">
        <v>11268</v>
      </c>
      <c r="G4936" s="196" t="s">
        <v>12378</v>
      </c>
      <c r="H4936" s="196" t="s">
        <v>11235</v>
      </c>
    </row>
    <row r="4937" spans="1:8" x14ac:dyDescent="0.15">
      <c r="A4937" s="196" t="s">
        <v>11229</v>
      </c>
      <c r="B4937" s="196" t="s">
        <v>11230</v>
      </c>
      <c r="C4937" s="196" t="s">
        <v>22723</v>
      </c>
      <c r="D4937" s="196" t="s">
        <v>22722</v>
      </c>
      <c r="E4937" s="196" t="s">
        <v>22724</v>
      </c>
      <c r="F4937" s="196" t="s">
        <v>11241</v>
      </c>
      <c r="G4937" s="196" t="s">
        <v>12378</v>
      </c>
      <c r="H4937" s="196" t="s">
        <v>11235</v>
      </c>
    </row>
    <row r="4938" spans="1:8" x14ac:dyDescent="0.15">
      <c r="A4938" s="196" t="s">
        <v>11229</v>
      </c>
      <c r="B4938" s="196" t="s">
        <v>11230</v>
      </c>
      <c r="C4938" s="196" t="s">
        <v>22725</v>
      </c>
      <c r="D4938" s="196" t="s">
        <v>22724</v>
      </c>
      <c r="E4938" s="196" t="s">
        <v>22726</v>
      </c>
      <c r="F4938" s="196" t="s">
        <v>13023</v>
      </c>
      <c r="G4938" s="196" t="s">
        <v>12378</v>
      </c>
      <c r="H4938" s="196" t="s">
        <v>11235</v>
      </c>
    </row>
    <row r="4939" spans="1:8" x14ac:dyDescent="0.15">
      <c r="A4939" s="196" t="s">
        <v>11229</v>
      </c>
      <c r="B4939" s="196" t="s">
        <v>11230</v>
      </c>
      <c r="C4939" s="196" t="s">
        <v>22727</v>
      </c>
      <c r="D4939" s="196" t="s">
        <v>22728</v>
      </c>
      <c r="E4939" s="196" t="s">
        <v>22728</v>
      </c>
      <c r="F4939" s="196" t="s">
        <v>11233</v>
      </c>
      <c r="G4939" s="196" t="s">
        <v>12378</v>
      </c>
      <c r="H4939" s="196" t="s">
        <v>11235</v>
      </c>
    </row>
    <row r="4940" spans="1:8" x14ac:dyDescent="0.15">
      <c r="A4940" s="196" t="s">
        <v>11229</v>
      </c>
      <c r="B4940" s="196" t="s">
        <v>11230</v>
      </c>
      <c r="C4940" s="196" t="s">
        <v>22729</v>
      </c>
      <c r="D4940" s="196" t="s">
        <v>22730</v>
      </c>
      <c r="E4940" s="196" t="s">
        <v>22730</v>
      </c>
      <c r="F4940" s="196" t="s">
        <v>11233</v>
      </c>
      <c r="G4940" s="196" t="s">
        <v>12378</v>
      </c>
      <c r="H4940" s="196" t="s">
        <v>11235</v>
      </c>
    </row>
    <row r="4941" spans="1:8" x14ac:dyDescent="0.15">
      <c r="A4941" s="196" t="s">
        <v>11229</v>
      </c>
      <c r="B4941" s="196" t="s">
        <v>11230</v>
      </c>
      <c r="C4941" s="196" t="s">
        <v>22731</v>
      </c>
      <c r="D4941" s="196" t="s">
        <v>22732</v>
      </c>
      <c r="E4941" s="196" t="s">
        <v>22732</v>
      </c>
      <c r="F4941" s="196" t="s">
        <v>11233</v>
      </c>
      <c r="G4941" s="196" t="s">
        <v>12378</v>
      </c>
      <c r="H4941" s="196" t="s">
        <v>11235</v>
      </c>
    </row>
    <row r="4942" spans="1:8" x14ac:dyDescent="0.15">
      <c r="A4942" s="196" t="s">
        <v>11229</v>
      </c>
      <c r="B4942" s="196" t="s">
        <v>11230</v>
      </c>
      <c r="C4942" s="196" t="s">
        <v>22733</v>
      </c>
      <c r="D4942" s="196" t="s">
        <v>22734</v>
      </c>
      <c r="E4942" s="196" t="s">
        <v>22734</v>
      </c>
      <c r="F4942" s="196" t="s">
        <v>11233</v>
      </c>
      <c r="G4942" s="196" t="s">
        <v>12378</v>
      </c>
      <c r="H4942" s="196" t="s">
        <v>11235</v>
      </c>
    </row>
    <row r="4943" spans="1:8" x14ac:dyDescent="0.15">
      <c r="A4943" s="196" t="s">
        <v>11229</v>
      </c>
      <c r="B4943" s="196" t="s">
        <v>11230</v>
      </c>
      <c r="C4943" s="196" t="s">
        <v>22735</v>
      </c>
      <c r="D4943" s="196" t="s">
        <v>22736</v>
      </c>
      <c r="E4943" s="196" t="s">
        <v>22737</v>
      </c>
      <c r="F4943" s="196" t="s">
        <v>11771</v>
      </c>
      <c r="G4943" s="196" t="s">
        <v>12378</v>
      </c>
      <c r="H4943" s="196" t="s">
        <v>11235</v>
      </c>
    </row>
    <row r="4944" spans="1:8" x14ac:dyDescent="0.15">
      <c r="A4944" s="196" t="s">
        <v>11229</v>
      </c>
      <c r="B4944" s="196" t="s">
        <v>11230</v>
      </c>
      <c r="C4944" s="196" t="s">
        <v>22738</v>
      </c>
      <c r="D4944" s="196" t="s">
        <v>22737</v>
      </c>
      <c r="E4944" s="196" t="s">
        <v>22739</v>
      </c>
      <c r="F4944" s="196" t="s">
        <v>11241</v>
      </c>
      <c r="G4944" s="196" t="s">
        <v>12378</v>
      </c>
      <c r="H4944" s="196" t="s">
        <v>11235</v>
      </c>
    </row>
    <row r="4945" spans="1:8" x14ac:dyDescent="0.15">
      <c r="A4945" s="196" t="s">
        <v>11229</v>
      </c>
      <c r="B4945" s="196" t="s">
        <v>11230</v>
      </c>
      <c r="C4945" s="196" t="s">
        <v>22740</v>
      </c>
      <c r="D4945" s="196" t="s">
        <v>22739</v>
      </c>
      <c r="E4945" s="196" t="s">
        <v>22741</v>
      </c>
      <c r="F4945" s="196" t="s">
        <v>11241</v>
      </c>
      <c r="G4945" s="196" t="s">
        <v>12378</v>
      </c>
      <c r="H4945" s="196" t="s">
        <v>11235</v>
      </c>
    </row>
    <row r="4946" spans="1:8" x14ac:dyDescent="0.15">
      <c r="A4946" s="196" t="s">
        <v>11229</v>
      </c>
      <c r="B4946" s="196" t="s">
        <v>11230</v>
      </c>
      <c r="C4946" s="196" t="s">
        <v>22742</v>
      </c>
      <c r="D4946" s="196" t="s">
        <v>22741</v>
      </c>
      <c r="E4946" s="196" t="s">
        <v>22743</v>
      </c>
      <c r="F4946" s="196" t="s">
        <v>11268</v>
      </c>
      <c r="G4946" s="196" t="s">
        <v>12378</v>
      </c>
      <c r="H4946" s="196" t="s">
        <v>11235</v>
      </c>
    </row>
    <row r="4947" spans="1:8" x14ac:dyDescent="0.15">
      <c r="A4947" s="196" t="s">
        <v>11229</v>
      </c>
      <c r="B4947" s="196" t="s">
        <v>11230</v>
      </c>
      <c r="C4947" s="196" t="s">
        <v>22744</v>
      </c>
      <c r="D4947" s="196" t="s">
        <v>22743</v>
      </c>
      <c r="E4947" s="196" t="s">
        <v>22745</v>
      </c>
      <c r="F4947" s="196" t="s">
        <v>11241</v>
      </c>
      <c r="G4947" s="196" t="s">
        <v>12378</v>
      </c>
      <c r="H4947" s="196" t="s">
        <v>11235</v>
      </c>
    </row>
    <row r="4948" spans="1:8" x14ac:dyDescent="0.15">
      <c r="A4948" s="196" t="s">
        <v>11229</v>
      </c>
      <c r="B4948" s="196" t="s">
        <v>11230</v>
      </c>
      <c r="C4948" s="196" t="s">
        <v>22746</v>
      </c>
      <c r="D4948" s="196" t="s">
        <v>22747</v>
      </c>
      <c r="E4948" s="196" t="s">
        <v>22747</v>
      </c>
      <c r="F4948" s="196" t="s">
        <v>11233</v>
      </c>
      <c r="G4948" s="196" t="s">
        <v>12378</v>
      </c>
      <c r="H4948" s="196" t="s">
        <v>11235</v>
      </c>
    </row>
    <row r="4949" spans="1:8" x14ac:dyDescent="0.15">
      <c r="A4949" s="196" t="s">
        <v>11229</v>
      </c>
      <c r="B4949" s="196" t="s">
        <v>11230</v>
      </c>
      <c r="C4949" s="196" t="s">
        <v>22748</v>
      </c>
      <c r="D4949" s="196" t="s">
        <v>22749</v>
      </c>
      <c r="E4949" s="196" t="s">
        <v>22749</v>
      </c>
      <c r="F4949" s="196" t="s">
        <v>11233</v>
      </c>
      <c r="G4949" s="196" t="s">
        <v>12378</v>
      </c>
      <c r="H4949" s="196" t="s">
        <v>11235</v>
      </c>
    </row>
    <row r="4950" spans="1:8" x14ac:dyDescent="0.15">
      <c r="A4950" s="196" t="s">
        <v>11229</v>
      </c>
      <c r="B4950" s="196" t="s">
        <v>11230</v>
      </c>
      <c r="C4950" s="196" t="s">
        <v>22750</v>
      </c>
      <c r="D4950" s="196" t="s">
        <v>22751</v>
      </c>
      <c r="E4950" s="196" t="s">
        <v>22752</v>
      </c>
      <c r="F4950" s="196" t="s">
        <v>11268</v>
      </c>
      <c r="G4950" s="196" t="s">
        <v>12378</v>
      </c>
      <c r="H4950" s="196" t="s">
        <v>11235</v>
      </c>
    </row>
    <row r="4951" spans="1:8" x14ac:dyDescent="0.15">
      <c r="A4951" s="196" t="s">
        <v>11229</v>
      </c>
      <c r="B4951" s="196" t="s">
        <v>11230</v>
      </c>
      <c r="C4951" s="196" t="s">
        <v>22753</v>
      </c>
      <c r="D4951" s="196" t="s">
        <v>22754</v>
      </c>
      <c r="E4951" s="196" t="s">
        <v>22754</v>
      </c>
      <c r="F4951" s="196" t="s">
        <v>11233</v>
      </c>
      <c r="G4951" s="196" t="s">
        <v>12378</v>
      </c>
      <c r="H4951" s="196" t="s">
        <v>11235</v>
      </c>
    </row>
    <row r="4952" spans="1:8" x14ac:dyDescent="0.15">
      <c r="A4952" s="196" t="s">
        <v>11229</v>
      </c>
      <c r="B4952" s="196" t="s">
        <v>11230</v>
      </c>
      <c r="C4952" s="196" t="s">
        <v>22755</v>
      </c>
      <c r="D4952" s="196" t="s">
        <v>22756</v>
      </c>
      <c r="E4952" s="196" t="s">
        <v>22756</v>
      </c>
      <c r="F4952" s="196" t="s">
        <v>11233</v>
      </c>
      <c r="G4952" s="196" t="s">
        <v>12378</v>
      </c>
      <c r="H4952" s="196" t="s">
        <v>11235</v>
      </c>
    </row>
    <row r="4953" spans="1:8" x14ac:dyDescent="0.15">
      <c r="A4953" s="196" t="s">
        <v>11229</v>
      </c>
      <c r="B4953" s="196" t="s">
        <v>11230</v>
      </c>
      <c r="C4953" s="196" t="s">
        <v>22757</v>
      </c>
      <c r="D4953" s="196" t="s">
        <v>22758</v>
      </c>
      <c r="E4953" s="196" t="s">
        <v>22758</v>
      </c>
      <c r="F4953" s="196" t="s">
        <v>11233</v>
      </c>
      <c r="G4953" s="196" t="s">
        <v>12378</v>
      </c>
      <c r="H4953" s="196" t="s">
        <v>11235</v>
      </c>
    </row>
    <row r="4954" spans="1:8" x14ac:dyDescent="0.15">
      <c r="A4954" s="196" t="s">
        <v>11229</v>
      </c>
      <c r="B4954" s="196" t="s">
        <v>11230</v>
      </c>
      <c r="C4954" s="196" t="s">
        <v>22759</v>
      </c>
      <c r="D4954" s="196" t="s">
        <v>22760</v>
      </c>
      <c r="E4954" s="196" t="s">
        <v>22760</v>
      </c>
      <c r="F4954" s="196" t="s">
        <v>11233</v>
      </c>
      <c r="G4954" s="196" t="s">
        <v>12378</v>
      </c>
      <c r="H4954" s="196" t="s">
        <v>11235</v>
      </c>
    </row>
    <row r="4955" spans="1:8" x14ac:dyDescent="0.15">
      <c r="A4955" s="196" t="s">
        <v>11229</v>
      </c>
      <c r="B4955" s="196" t="s">
        <v>11230</v>
      </c>
      <c r="C4955" s="196" t="s">
        <v>22761</v>
      </c>
      <c r="D4955" s="196" t="s">
        <v>22762</v>
      </c>
      <c r="E4955" s="196" t="s">
        <v>22763</v>
      </c>
      <c r="F4955" s="196" t="s">
        <v>11268</v>
      </c>
      <c r="G4955" s="196" t="s">
        <v>12378</v>
      </c>
      <c r="H4955" s="196" t="s">
        <v>11235</v>
      </c>
    </row>
    <row r="4956" spans="1:8" x14ac:dyDescent="0.15">
      <c r="A4956" s="196" t="s">
        <v>11229</v>
      </c>
      <c r="B4956" s="196" t="s">
        <v>11230</v>
      </c>
      <c r="C4956" s="196" t="s">
        <v>22764</v>
      </c>
      <c r="D4956" s="196" t="s">
        <v>22765</v>
      </c>
      <c r="E4956" s="196" t="s">
        <v>22765</v>
      </c>
      <c r="F4956" s="196" t="s">
        <v>11233</v>
      </c>
      <c r="G4956" s="196" t="s">
        <v>12378</v>
      </c>
      <c r="H4956" s="196" t="s">
        <v>11235</v>
      </c>
    </row>
    <row r="4957" spans="1:8" x14ac:dyDescent="0.15">
      <c r="A4957" s="196" t="s">
        <v>11229</v>
      </c>
      <c r="B4957" s="196" t="s">
        <v>11230</v>
      </c>
      <c r="C4957" s="196" t="s">
        <v>22766</v>
      </c>
      <c r="D4957" s="196" t="s">
        <v>22767</v>
      </c>
      <c r="E4957" s="196" t="s">
        <v>22767</v>
      </c>
      <c r="F4957" s="196" t="s">
        <v>11233</v>
      </c>
      <c r="G4957" s="196" t="s">
        <v>12378</v>
      </c>
      <c r="H4957" s="196" t="s">
        <v>11235</v>
      </c>
    </row>
    <row r="4958" spans="1:8" x14ac:dyDescent="0.15">
      <c r="A4958" s="196" t="s">
        <v>11229</v>
      </c>
      <c r="B4958" s="196" t="s">
        <v>11230</v>
      </c>
      <c r="C4958" s="196" t="s">
        <v>22768</v>
      </c>
      <c r="D4958" s="196" t="s">
        <v>22769</v>
      </c>
      <c r="E4958" s="196" t="s">
        <v>22769</v>
      </c>
      <c r="F4958" s="196" t="s">
        <v>11233</v>
      </c>
      <c r="G4958" s="196" t="s">
        <v>12378</v>
      </c>
      <c r="H4958" s="196" t="s">
        <v>11235</v>
      </c>
    </row>
    <row r="4959" spans="1:8" x14ac:dyDescent="0.15">
      <c r="A4959" s="196" t="s">
        <v>11229</v>
      </c>
      <c r="B4959" s="196" t="s">
        <v>11230</v>
      </c>
      <c r="C4959" s="196" t="s">
        <v>22770</v>
      </c>
      <c r="D4959" s="196" t="s">
        <v>22771</v>
      </c>
      <c r="E4959" s="196" t="s">
        <v>22771</v>
      </c>
      <c r="F4959" s="196" t="s">
        <v>11233</v>
      </c>
      <c r="G4959" s="196" t="s">
        <v>12378</v>
      </c>
      <c r="H4959" s="196" t="s">
        <v>11235</v>
      </c>
    </row>
    <row r="4960" spans="1:8" x14ac:dyDescent="0.15">
      <c r="A4960" s="196" t="s">
        <v>11229</v>
      </c>
      <c r="B4960" s="196" t="s">
        <v>11230</v>
      </c>
      <c r="C4960" s="196" t="s">
        <v>22772</v>
      </c>
      <c r="D4960" s="196" t="s">
        <v>22773</v>
      </c>
      <c r="E4960" s="196" t="s">
        <v>22773</v>
      </c>
      <c r="F4960" s="196" t="s">
        <v>11233</v>
      </c>
      <c r="G4960" s="196" t="s">
        <v>12378</v>
      </c>
      <c r="H4960" s="196" t="s">
        <v>11235</v>
      </c>
    </row>
    <row r="4961" spans="1:8" x14ac:dyDescent="0.15">
      <c r="A4961" s="196" t="s">
        <v>11229</v>
      </c>
      <c r="B4961" s="196" t="s">
        <v>11230</v>
      </c>
      <c r="C4961" s="196" t="s">
        <v>22774</v>
      </c>
      <c r="D4961" s="196" t="s">
        <v>22775</v>
      </c>
      <c r="E4961" s="196" t="s">
        <v>22775</v>
      </c>
      <c r="F4961" s="196" t="s">
        <v>11233</v>
      </c>
      <c r="G4961" s="196" t="s">
        <v>12378</v>
      </c>
      <c r="H4961" s="196" t="s">
        <v>11235</v>
      </c>
    </row>
    <row r="4962" spans="1:8" x14ac:dyDescent="0.15">
      <c r="A4962" s="196" t="s">
        <v>11229</v>
      </c>
      <c r="B4962" s="196" t="s">
        <v>11230</v>
      </c>
      <c r="C4962" s="196" t="s">
        <v>22776</v>
      </c>
      <c r="D4962" s="196" t="s">
        <v>22777</v>
      </c>
      <c r="E4962" s="196" t="s">
        <v>22777</v>
      </c>
      <c r="F4962" s="196" t="s">
        <v>11233</v>
      </c>
      <c r="G4962" s="196" t="s">
        <v>12378</v>
      </c>
      <c r="H4962" s="196" t="s">
        <v>11235</v>
      </c>
    </row>
    <row r="4963" spans="1:8" x14ac:dyDescent="0.15">
      <c r="A4963" s="196" t="s">
        <v>11229</v>
      </c>
      <c r="B4963" s="196" t="s">
        <v>11230</v>
      </c>
      <c r="C4963" s="196" t="s">
        <v>22778</v>
      </c>
      <c r="D4963" s="196" t="s">
        <v>22779</v>
      </c>
      <c r="E4963" s="196" t="s">
        <v>22779</v>
      </c>
      <c r="F4963" s="196" t="s">
        <v>11233</v>
      </c>
      <c r="G4963" s="196" t="s">
        <v>11720</v>
      </c>
      <c r="H4963" s="196" t="s">
        <v>11235</v>
      </c>
    </row>
    <row r="4964" spans="1:8" x14ac:dyDescent="0.15">
      <c r="A4964" s="196" t="s">
        <v>11229</v>
      </c>
      <c r="B4964" s="196" t="s">
        <v>11230</v>
      </c>
      <c r="C4964" s="196" t="s">
        <v>22780</v>
      </c>
      <c r="D4964" s="196" t="s">
        <v>22781</v>
      </c>
      <c r="E4964" s="196" t="s">
        <v>22781</v>
      </c>
      <c r="F4964" s="196" t="s">
        <v>11233</v>
      </c>
      <c r="G4964" s="196" t="s">
        <v>12378</v>
      </c>
      <c r="H4964" s="196" t="s">
        <v>11235</v>
      </c>
    </row>
    <row r="4965" spans="1:8" x14ac:dyDescent="0.15">
      <c r="A4965" s="196" t="s">
        <v>11229</v>
      </c>
      <c r="B4965" s="196" t="s">
        <v>11230</v>
      </c>
      <c r="C4965" s="196" t="s">
        <v>22782</v>
      </c>
      <c r="D4965" s="196" t="s">
        <v>22783</v>
      </c>
      <c r="E4965" s="196" t="s">
        <v>22783</v>
      </c>
      <c r="F4965" s="196" t="s">
        <v>11233</v>
      </c>
      <c r="G4965" s="196" t="s">
        <v>11720</v>
      </c>
      <c r="H4965" s="196" t="s">
        <v>11235</v>
      </c>
    </row>
    <row r="4966" spans="1:8" x14ac:dyDescent="0.15">
      <c r="A4966" s="196" t="s">
        <v>11229</v>
      </c>
      <c r="B4966" s="196" t="s">
        <v>11230</v>
      </c>
      <c r="C4966" s="196" t="s">
        <v>22784</v>
      </c>
      <c r="D4966" s="196" t="s">
        <v>22785</v>
      </c>
      <c r="E4966" s="196" t="s">
        <v>22785</v>
      </c>
      <c r="F4966" s="196" t="s">
        <v>11233</v>
      </c>
      <c r="G4966" s="196" t="s">
        <v>11720</v>
      </c>
      <c r="H4966" s="196" t="s">
        <v>11235</v>
      </c>
    </row>
    <row r="4967" spans="1:8" x14ac:dyDescent="0.15">
      <c r="A4967" s="196" t="s">
        <v>11229</v>
      </c>
      <c r="B4967" s="196" t="s">
        <v>11230</v>
      </c>
      <c r="C4967" s="196" t="s">
        <v>22786</v>
      </c>
      <c r="D4967" s="196" t="s">
        <v>22787</v>
      </c>
      <c r="E4967" s="196" t="s">
        <v>22787</v>
      </c>
      <c r="F4967" s="196" t="s">
        <v>11233</v>
      </c>
      <c r="G4967" s="196" t="s">
        <v>12378</v>
      </c>
      <c r="H4967" s="196" t="s">
        <v>11235</v>
      </c>
    </row>
    <row r="4968" spans="1:8" x14ac:dyDescent="0.15">
      <c r="A4968" s="196" t="s">
        <v>11229</v>
      </c>
      <c r="B4968" s="196" t="s">
        <v>11230</v>
      </c>
      <c r="C4968" s="196" t="s">
        <v>22788</v>
      </c>
      <c r="D4968" s="196" t="s">
        <v>22789</v>
      </c>
      <c r="E4968" s="196" t="s">
        <v>22789</v>
      </c>
      <c r="F4968" s="196" t="s">
        <v>11233</v>
      </c>
      <c r="G4968" s="196" t="s">
        <v>12378</v>
      </c>
      <c r="H4968" s="196" t="s">
        <v>11235</v>
      </c>
    </row>
    <row r="4969" spans="1:8" x14ac:dyDescent="0.15">
      <c r="A4969" s="196" t="s">
        <v>11229</v>
      </c>
      <c r="B4969" s="196" t="s">
        <v>11230</v>
      </c>
      <c r="C4969" s="196" t="s">
        <v>22790</v>
      </c>
      <c r="D4969" s="196" t="s">
        <v>22791</v>
      </c>
      <c r="E4969" s="196" t="s">
        <v>22791</v>
      </c>
      <c r="F4969" s="196" t="s">
        <v>11233</v>
      </c>
      <c r="G4969" s="196" t="s">
        <v>11720</v>
      </c>
      <c r="H4969" s="196" t="s">
        <v>11235</v>
      </c>
    </row>
    <row r="4970" spans="1:8" x14ac:dyDescent="0.15">
      <c r="A4970" s="196" t="s">
        <v>11229</v>
      </c>
      <c r="B4970" s="196" t="s">
        <v>11230</v>
      </c>
      <c r="C4970" s="196" t="s">
        <v>22792</v>
      </c>
      <c r="D4970" s="196" t="s">
        <v>22793</v>
      </c>
      <c r="E4970" s="196" t="s">
        <v>22793</v>
      </c>
      <c r="F4970" s="196" t="s">
        <v>11233</v>
      </c>
      <c r="G4970" s="196" t="s">
        <v>12378</v>
      </c>
      <c r="H4970" s="196" t="s">
        <v>11235</v>
      </c>
    </row>
    <row r="4971" spans="1:8" x14ac:dyDescent="0.15">
      <c r="A4971" s="196" t="s">
        <v>11229</v>
      </c>
      <c r="B4971" s="196" t="s">
        <v>11230</v>
      </c>
      <c r="C4971" s="196" t="s">
        <v>22794</v>
      </c>
      <c r="D4971" s="196" t="s">
        <v>22795</v>
      </c>
      <c r="E4971" s="196" t="s">
        <v>22795</v>
      </c>
      <c r="F4971" s="196" t="s">
        <v>11233</v>
      </c>
      <c r="G4971" s="196" t="s">
        <v>11720</v>
      </c>
      <c r="H4971" s="196" t="s">
        <v>11235</v>
      </c>
    </row>
    <row r="4972" spans="1:8" x14ac:dyDescent="0.15">
      <c r="A4972" s="196" t="s">
        <v>11229</v>
      </c>
      <c r="B4972" s="196" t="s">
        <v>11230</v>
      </c>
      <c r="C4972" s="196" t="s">
        <v>22796</v>
      </c>
      <c r="D4972" s="196" t="s">
        <v>22797</v>
      </c>
      <c r="E4972" s="196" t="s">
        <v>22797</v>
      </c>
      <c r="F4972" s="196" t="s">
        <v>11233</v>
      </c>
      <c r="G4972" s="196" t="s">
        <v>11720</v>
      </c>
      <c r="H4972" s="196" t="s">
        <v>11235</v>
      </c>
    </row>
    <row r="4973" spans="1:8" x14ac:dyDescent="0.15">
      <c r="A4973" s="196" t="s">
        <v>11229</v>
      </c>
      <c r="B4973" s="196" t="s">
        <v>11230</v>
      </c>
      <c r="C4973" s="196" t="s">
        <v>22798</v>
      </c>
      <c r="D4973" s="196" t="s">
        <v>22799</v>
      </c>
      <c r="E4973" s="196" t="s">
        <v>22799</v>
      </c>
      <c r="F4973" s="196" t="s">
        <v>11233</v>
      </c>
      <c r="G4973" s="196" t="s">
        <v>12378</v>
      </c>
      <c r="H4973" s="196" t="s">
        <v>11235</v>
      </c>
    </row>
    <row r="4974" spans="1:8" x14ac:dyDescent="0.15">
      <c r="A4974" s="196" t="s">
        <v>11229</v>
      </c>
      <c r="B4974" s="196" t="s">
        <v>11230</v>
      </c>
      <c r="C4974" s="196" t="s">
        <v>22800</v>
      </c>
      <c r="D4974" s="196" t="s">
        <v>22801</v>
      </c>
      <c r="E4974" s="196" t="s">
        <v>22801</v>
      </c>
      <c r="F4974" s="196" t="s">
        <v>11233</v>
      </c>
      <c r="G4974" s="196" t="s">
        <v>11720</v>
      </c>
      <c r="H4974" s="196" t="s">
        <v>11235</v>
      </c>
    </row>
    <row r="4975" spans="1:8" x14ac:dyDescent="0.15">
      <c r="A4975" s="196" t="s">
        <v>11229</v>
      </c>
      <c r="B4975" s="196" t="s">
        <v>11230</v>
      </c>
      <c r="C4975" s="196" t="s">
        <v>22802</v>
      </c>
      <c r="D4975" s="196" t="s">
        <v>22803</v>
      </c>
      <c r="E4975" s="196" t="s">
        <v>22803</v>
      </c>
      <c r="F4975" s="196" t="s">
        <v>11233</v>
      </c>
      <c r="G4975" s="196" t="s">
        <v>12378</v>
      </c>
      <c r="H4975" s="196" t="s">
        <v>11235</v>
      </c>
    </row>
    <row r="4976" spans="1:8" x14ac:dyDescent="0.15">
      <c r="A4976" s="196" t="s">
        <v>11229</v>
      </c>
      <c r="B4976" s="196" t="s">
        <v>11230</v>
      </c>
      <c r="C4976" s="196" t="s">
        <v>22804</v>
      </c>
      <c r="D4976" s="196" t="s">
        <v>22805</v>
      </c>
      <c r="E4976" s="196" t="s">
        <v>22806</v>
      </c>
      <c r="F4976" s="196" t="s">
        <v>13023</v>
      </c>
      <c r="G4976" s="196" t="s">
        <v>11720</v>
      </c>
      <c r="H4976" s="196" t="s">
        <v>11235</v>
      </c>
    </row>
    <row r="4977" spans="1:8" x14ac:dyDescent="0.15">
      <c r="A4977" s="196" t="s">
        <v>11229</v>
      </c>
      <c r="B4977" s="196" t="s">
        <v>11230</v>
      </c>
      <c r="C4977" s="196" t="s">
        <v>22807</v>
      </c>
      <c r="D4977" s="196" t="s">
        <v>22806</v>
      </c>
      <c r="E4977" s="196" t="s">
        <v>22808</v>
      </c>
      <c r="F4977" s="196" t="s">
        <v>11241</v>
      </c>
      <c r="G4977" s="196" t="s">
        <v>11720</v>
      </c>
      <c r="H4977" s="196" t="s">
        <v>11235</v>
      </c>
    </row>
    <row r="4978" spans="1:8" x14ac:dyDescent="0.15">
      <c r="A4978" s="196" t="s">
        <v>11229</v>
      </c>
      <c r="B4978" s="196" t="s">
        <v>11230</v>
      </c>
      <c r="C4978" s="196" t="s">
        <v>22809</v>
      </c>
      <c r="D4978" s="196" t="s">
        <v>22810</v>
      </c>
      <c r="E4978" s="196" t="s">
        <v>22811</v>
      </c>
      <c r="F4978" s="196" t="s">
        <v>11241</v>
      </c>
      <c r="G4978" s="196" t="s">
        <v>12378</v>
      </c>
      <c r="H4978" s="196" t="s">
        <v>11235</v>
      </c>
    </row>
    <row r="4979" spans="1:8" x14ac:dyDescent="0.15">
      <c r="A4979" s="196" t="s">
        <v>11229</v>
      </c>
      <c r="B4979" s="196" t="s">
        <v>11230</v>
      </c>
      <c r="C4979" s="196" t="s">
        <v>22812</v>
      </c>
      <c r="D4979" s="196" t="s">
        <v>22811</v>
      </c>
      <c r="E4979" s="196" t="s">
        <v>22813</v>
      </c>
      <c r="F4979" s="196" t="s">
        <v>13023</v>
      </c>
      <c r="G4979" s="196" t="s">
        <v>12378</v>
      </c>
      <c r="H4979" s="196" t="s">
        <v>11235</v>
      </c>
    </row>
    <row r="4980" spans="1:8" x14ac:dyDescent="0.15">
      <c r="A4980" s="196" t="s">
        <v>11229</v>
      </c>
      <c r="B4980" s="196" t="s">
        <v>11230</v>
      </c>
      <c r="C4980" s="196" t="s">
        <v>22814</v>
      </c>
      <c r="D4980" s="196" t="s">
        <v>22815</v>
      </c>
      <c r="E4980" s="196" t="s">
        <v>22816</v>
      </c>
      <c r="F4980" s="196" t="s">
        <v>11241</v>
      </c>
      <c r="G4980" s="196" t="s">
        <v>11720</v>
      </c>
      <c r="H4980" s="196" t="s">
        <v>11235</v>
      </c>
    </row>
    <row r="4981" spans="1:8" x14ac:dyDescent="0.15">
      <c r="A4981" s="196" t="s">
        <v>11229</v>
      </c>
      <c r="B4981" s="196" t="s">
        <v>11230</v>
      </c>
      <c r="C4981" s="196" t="s">
        <v>22817</v>
      </c>
      <c r="D4981" s="196" t="s">
        <v>22818</v>
      </c>
      <c r="E4981" s="196" t="s">
        <v>22818</v>
      </c>
      <c r="F4981" s="196" t="s">
        <v>11233</v>
      </c>
      <c r="G4981" s="196" t="s">
        <v>11720</v>
      </c>
      <c r="H4981" s="196" t="s">
        <v>11235</v>
      </c>
    </row>
    <row r="4982" spans="1:8" x14ac:dyDescent="0.15">
      <c r="A4982" s="196" t="s">
        <v>11229</v>
      </c>
      <c r="B4982" s="196" t="s">
        <v>11230</v>
      </c>
      <c r="C4982" s="196" t="s">
        <v>22819</v>
      </c>
      <c r="D4982" s="196" t="s">
        <v>22820</v>
      </c>
      <c r="E4982" s="196" t="s">
        <v>22821</v>
      </c>
      <c r="F4982" s="196" t="s">
        <v>22170</v>
      </c>
      <c r="G4982" s="196" t="s">
        <v>12378</v>
      </c>
      <c r="H4982" s="196" t="s">
        <v>11235</v>
      </c>
    </row>
    <row r="4983" spans="1:8" x14ac:dyDescent="0.15">
      <c r="A4983" s="196" t="s">
        <v>11229</v>
      </c>
      <c r="B4983" s="196" t="s">
        <v>11230</v>
      </c>
      <c r="C4983" s="196" t="s">
        <v>22822</v>
      </c>
      <c r="D4983" s="196" t="s">
        <v>22823</v>
      </c>
      <c r="E4983" s="196" t="s">
        <v>22824</v>
      </c>
      <c r="F4983" s="196" t="s">
        <v>13758</v>
      </c>
      <c r="G4983" s="196" t="s">
        <v>11720</v>
      </c>
      <c r="H4983" s="196" t="s">
        <v>11235</v>
      </c>
    </row>
    <row r="4984" spans="1:8" x14ac:dyDescent="0.15">
      <c r="A4984" s="196" t="s">
        <v>11229</v>
      </c>
      <c r="B4984" s="196" t="s">
        <v>11230</v>
      </c>
      <c r="C4984" s="196" t="s">
        <v>22825</v>
      </c>
      <c r="D4984" s="196" t="s">
        <v>22824</v>
      </c>
      <c r="E4984" s="196" t="s">
        <v>22826</v>
      </c>
      <c r="F4984" s="196" t="s">
        <v>11268</v>
      </c>
      <c r="G4984" s="196" t="s">
        <v>11720</v>
      </c>
      <c r="H4984" s="196" t="s">
        <v>11235</v>
      </c>
    </row>
    <row r="4985" spans="1:8" x14ac:dyDescent="0.15">
      <c r="A4985" s="196" t="s">
        <v>11229</v>
      </c>
      <c r="B4985" s="196" t="s">
        <v>11230</v>
      </c>
      <c r="C4985" s="196" t="s">
        <v>22827</v>
      </c>
      <c r="D4985" s="196" t="s">
        <v>22826</v>
      </c>
      <c r="E4985" s="196" t="s">
        <v>22828</v>
      </c>
      <c r="F4985" s="196" t="s">
        <v>13023</v>
      </c>
      <c r="G4985" s="196" t="s">
        <v>11720</v>
      </c>
      <c r="H4985" s="196" t="s">
        <v>11235</v>
      </c>
    </row>
    <row r="4986" spans="1:8" x14ac:dyDescent="0.15">
      <c r="A4986" s="196" t="s">
        <v>11229</v>
      </c>
      <c r="B4986" s="196" t="s">
        <v>11230</v>
      </c>
      <c r="C4986" s="196" t="s">
        <v>22829</v>
      </c>
      <c r="D4986" s="196" t="s">
        <v>22826</v>
      </c>
      <c r="E4986" s="196" t="s">
        <v>22830</v>
      </c>
      <c r="F4986" s="196" t="s">
        <v>11241</v>
      </c>
      <c r="G4986" s="196" t="s">
        <v>12378</v>
      </c>
      <c r="H4986" s="196" t="s">
        <v>11235</v>
      </c>
    </row>
    <row r="4987" spans="1:8" x14ac:dyDescent="0.15">
      <c r="A4987" s="196" t="s">
        <v>11229</v>
      </c>
      <c r="B4987" s="196" t="s">
        <v>11230</v>
      </c>
      <c r="C4987" s="196" t="s">
        <v>22831</v>
      </c>
      <c r="D4987" s="196" t="s">
        <v>22830</v>
      </c>
      <c r="E4987" s="196" t="s">
        <v>22832</v>
      </c>
      <c r="F4987" s="196" t="s">
        <v>13023</v>
      </c>
      <c r="G4987" s="196" t="s">
        <v>12378</v>
      </c>
      <c r="H4987" s="196" t="s">
        <v>11235</v>
      </c>
    </row>
    <row r="4988" spans="1:8" x14ac:dyDescent="0.15">
      <c r="A4988" s="196" t="s">
        <v>11229</v>
      </c>
      <c r="B4988" s="196" t="s">
        <v>11230</v>
      </c>
      <c r="C4988" s="196" t="s">
        <v>22833</v>
      </c>
      <c r="D4988" s="196" t="s">
        <v>22828</v>
      </c>
      <c r="E4988" s="196" t="s">
        <v>22834</v>
      </c>
      <c r="F4988" s="196" t="s">
        <v>13758</v>
      </c>
      <c r="G4988" s="196" t="s">
        <v>11720</v>
      </c>
      <c r="H4988" s="196" t="s">
        <v>11235</v>
      </c>
    </row>
    <row r="4989" spans="1:8" x14ac:dyDescent="0.15">
      <c r="A4989" s="196" t="s">
        <v>11229</v>
      </c>
      <c r="B4989" s="196" t="s">
        <v>11230</v>
      </c>
      <c r="C4989" s="196" t="s">
        <v>22835</v>
      </c>
      <c r="D4989" s="196" t="s">
        <v>22832</v>
      </c>
      <c r="E4989" s="196" t="s">
        <v>22834</v>
      </c>
      <c r="F4989" s="196" t="s">
        <v>11241</v>
      </c>
      <c r="G4989" s="196" t="s">
        <v>12378</v>
      </c>
      <c r="H4989" s="196" t="s">
        <v>11235</v>
      </c>
    </row>
    <row r="4990" spans="1:8" x14ac:dyDescent="0.15">
      <c r="A4990" s="196" t="s">
        <v>11229</v>
      </c>
      <c r="B4990" s="196" t="s">
        <v>11230</v>
      </c>
      <c r="C4990" s="196" t="s">
        <v>22836</v>
      </c>
      <c r="D4990" s="196" t="s">
        <v>22837</v>
      </c>
      <c r="E4990" s="196" t="s">
        <v>22837</v>
      </c>
      <c r="F4990" s="196" t="s">
        <v>11233</v>
      </c>
      <c r="G4990" s="196" t="s">
        <v>12378</v>
      </c>
      <c r="H4990" s="196" t="s">
        <v>11235</v>
      </c>
    </row>
    <row r="4991" spans="1:8" x14ac:dyDescent="0.15">
      <c r="A4991" s="196" t="s">
        <v>11229</v>
      </c>
      <c r="B4991" s="196" t="s">
        <v>11230</v>
      </c>
      <c r="C4991" s="196" t="s">
        <v>22838</v>
      </c>
      <c r="D4991" s="196" t="s">
        <v>22839</v>
      </c>
      <c r="E4991" s="196" t="s">
        <v>22839</v>
      </c>
      <c r="F4991" s="196" t="s">
        <v>11233</v>
      </c>
      <c r="G4991" s="196" t="s">
        <v>11720</v>
      </c>
      <c r="H4991" s="196" t="s">
        <v>11235</v>
      </c>
    </row>
    <row r="4992" spans="1:8" x14ac:dyDescent="0.15">
      <c r="A4992" s="196" t="s">
        <v>11229</v>
      </c>
      <c r="B4992" s="196" t="s">
        <v>11230</v>
      </c>
      <c r="C4992" s="196" t="s">
        <v>22840</v>
      </c>
      <c r="D4992" s="196" t="s">
        <v>22839</v>
      </c>
      <c r="E4992" s="196" t="s">
        <v>22841</v>
      </c>
      <c r="F4992" s="196" t="s">
        <v>13023</v>
      </c>
      <c r="G4992" s="196" t="s">
        <v>12378</v>
      </c>
      <c r="H4992" s="196" t="s">
        <v>11235</v>
      </c>
    </row>
    <row r="4993" spans="1:8" x14ac:dyDescent="0.15">
      <c r="A4993" s="196" t="s">
        <v>11229</v>
      </c>
      <c r="B4993" s="196" t="s">
        <v>11230</v>
      </c>
      <c r="C4993" s="196" t="s">
        <v>22842</v>
      </c>
      <c r="D4993" s="196" t="s">
        <v>22841</v>
      </c>
      <c r="E4993" s="196" t="s">
        <v>22843</v>
      </c>
      <c r="F4993" s="196" t="s">
        <v>11241</v>
      </c>
      <c r="G4993" s="196" t="s">
        <v>12378</v>
      </c>
      <c r="H4993" s="196" t="s">
        <v>11235</v>
      </c>
    </row>
    <row r="4994" spans="1:8" x14ac:dyDescent="0.15">
      <c r="A4994" s="196" t="s">
        <v>11229</v>
      </c>
      <c r="B4994" s="196" t="s">
        <v>11230</v>
      </c>
      <c r="C4994" s="196" t="s">
        <v>22844</v>
      </c>
      <c r="D4994" s="196" t="s">
        <v>22843</v>
      </c>
      <c r="E4994" s="196" t="s">
        <v>22845</v>
      </c>
      <c r="F4994" s="196" t="s">
        <v>11268</v>
      </c>
      <c r="G4994" s="196" t="s">
        <v>12378</v>
      </c>
      <c r="H4994" s="196" t="s">
        <v>11235</v>
      </c>
    </row>
    <row r="4995" spans="1:8" x14ac:dyDescent="0.15">
      <c r="A4995" s="196" t="s">
        <v>11229</v>
      </c>
      <c r="B4995" s="196" t="s">
        <v>11230</v>
      </c>
      <c r="C4995" s="196" t="s">
        <v>22846</v>
      </c>
      <c r="D4995" s="196" t="s">
        <v>22847</v>
      </c>
      <c r="E4995" s="196" t="s">
        <v>22848</v>
      </c>
      <c r="F4995" s="196" t="s">
        <v>13023</v>
      </c>
      <c r="G4995" s="196" t="s">
        <v>11720</v>
      </c>
      <c r="H4995" s="196" t="s">
        <v>11235</v>
      </c>
    </row>
    <row r="4996" spans="1:8" x14ac:dyDescent="0.15">
      <c r="A4996" s="196" t="s">
        <v>11229</v>
      </c>
      <c r="B4996" s="196" t="s">
        <v>11230</v>
      </c>
      <c r="C4996" s="196" t="s">
        <v>22849</v>
      </c>
      <c r="D4996" s="196" t="s">
        <v>22850</v>
      </c>
      <c r="E4996" s="196" t="s">
        <v>22851</v>
      </c>
      <c r="F4996" s="196" t="s">
        <v>11268</v>
      </c>
      <c r="G4996" s="196" t="s">
        <v>12378</v>
      </c>
      <c r="H4996" s="196" t="s">
        <v>11235</v>
      </c>
    </row>
    <row r="4997" spans="1:8" x14ac:dyDescent="0.15">
      <c r="A4997" s="196" t="s">
        <v>11229</v>
      </c>
      <c r="B4997" s="196" t="s">
        <v>11230</v>
      </c>
      <c r="C4997" s="196" t="s">
        <v>22852</v>
      </c>
      <c r="D4997" s="196" t="s">
        <v>22853</v>
      </c>
      <c r="E4997" s="196" t="s">
        <v>22854</v>
      </c>
      <c r="F4997" s="196" t="s">
        <v>11241</v>
      </c>
      <c r="G4997" s="196" t="s">
        <v>11720</v>
      </c>
      <c r="H4997" s="196" t="s">
        <v>11235</v>
      </c>
    </row>
    <row r="4998" spans="1:8" x14ac:dyDescent="0.15">
      <c r="A4998" s="196" t="s">
        <v>11229</v>
      </c>
      <c r="B4998" s="196" t="s">
        <v>11230</v>
      </c>
      <c r="C4998" s="196" t="s">
        <v>22855</v>
      </c>
      <c r="D4998" s="196" t="s">
        <v>22854</v>
      </c>
      <c r="E4998" s="196" t="s">
        <v>22854</v>
      </c>
      <c r="F4998" s="196" t="s">
        <v>11233</v>
      </c>
      <c r="G4998" s="196" t="s">
        <v>12378</v>
      </c>
      <c r="H4998" s="196" t="s">
        <v>11235</v>
      </c>
    </row>
    <row r="4999" spans="1:8" x14ac:dyDescent="0.15">
      <c r="A4999" s="196" t="s">
        <v>11229</v>
      </c>
      <c r="B4999" s="196" t="s">
        <v>11230</v>
      </c>
      <c r="C4999" s="196" t="s">
        <v>22856</v>
      </c>
      <c r="D4999" s="196" t="s">
        <v>22857</v>
      </c>
      <c r="E4999" s="196" t="s">
        <v>22858</v>
      </c>
      <c r="F4999" s="196" t="s">
        <v>13023</v>
      </c>
      <c r="G4999" s="196" t="s">
        <v>11720</v>
      </c>
      <c r="H4999" s="196" t="s">
        <v>11235</v>
      </c>
    </row>
    <row r="5000" spans="1:8" x14ac:dyDescent="0.15">
      <c r="A5000" s="196" t="s">
        <v>11229</v>
      </c>
      <c r="B5000" s="196" t="s">
        <v>11230</v>
      </c>
      <c r="C5000" s="196" t="s">
        <v>22859</v>
      </c>
      <c r="D5000" s="196" t="s">
        <v>22857</v>
      </c>
      <c r="E5000" s="196" t="s">
        <v>22857</v>
      </c>
      <c r="F5000" s="196" t="s">
        <v>11233</v>
      </c>
      <c r="G5000" s="196" t="s">
        <v>12378</v>
      </c>
      <c r="H5000" s="196" t="s">
        <v>11235</v>
      </c>
    </row>
    <row r="5001" spans="1:8" x14ac:dyDescent="0.15">
      <c r="A5001" s="196" t="s">
        <v>11229</v>
      </c>
      <c r="B5001" s="196" t="s">
        <v>11230</v>
      </c>
      <c r="C5001" s="196" t="s">
        <v>22860</v>
      </c>
      <c r="D5001" s="196" t="s">
        <v>22858</v>
      </c>
      <c r="E5001" s="196" t="s">
        <v>22861</v>
      </c>
      <c r="F5001" s="196" t="s">
        <v>11241</v>
      </c>
      <c r="G5001" s="196" t="s">
        <v>11720</v>
      </c>
      <c r="H5001" s="196" t="s">
        <v>11235</v>
      </c>
    </row>
    <row r="5002" spans="1:8" x14ac:dyDescent="0.15">
      <c r="A5002" s="196" t="s">
        <v>11229</v>
      </c>
      <c r="B5002" s="196" t="s">
        <v>11230</v>
      </c>
      <c r="C5002" s="196" t="s">
        <v>22862</v>
      </c>
      <c r="D5002" s="196" t="s">
        <v>22863</v>
      </c>
      <c r="E5002" s="196" t="s">
        <v>22863</v>
      </c>
      <c r="F5002" s="196" t="s">
        <v>11233</v>
      </c>
      <c r="G5002" s="196" t="s">
        <v>12378</v>
      </c>
      <c r="H5002" s="196" t="s">
        <v>11235</v>
      </c>
    </row>
    <row r="5003" spans="1:8" x14ac:dyDescent="0.15">
      <c r="A5003" s="196" t="s">
        <v>11229</v>
      </c>
      <c r="B5003" s="196" t="s">
        <v>11230</v>
      </c>
      <c r="C5003" s="196" t="s">
        <v>22864</v>
      </c>
      <c r="D5003" s="196" t="s">
        <v>22865</v>
      </c>
      <c r="E5003" s="196" t="s">
        <v>22865</v>
      </c>
      <c r="F5003" s="196" t="s">
        <v>11233</v>
      </c>
      <c r="G5003" s="196" t="s">
        <v>12378</v>
      </c>
      <c r="H5003" s="196" t="s">
        <v>11235</v>
      </c>
    </row>
    <row r="5004" spans="1:8" x14ac:dyDescent="0.15">
      <c r="A5004" s="196" t="s">
        <v>11229</v>
      </c>
      <c r="B5004" s="196" t="s">
        <v>11230</v>
      </c>
      <c r="C5004" s="196" t="s">
        <v>22866</v>
      </c>
      <c r="D5004" s="196" t="s">
        <v>22867</v>
      </c>
      <c r="E5004" s="196" t="s">
        <v>22867</v>
      </c>
      <c r="F5004" s="196" t="s">
        <v>11233</v>
      </c>
      <c r="G5004" s="196" t="s">
        <v>11720</v>
      </c>
      <c r="H5004" s="196" t="s">
        <v>11235</v>
      </c>
    </row>
    <row r="5005" spans="1:8" x14ac:dyDescent="0.15">
      <c r="A5005" s="196" t="s">
        <v>11229</v>
      </c>
      <c r="B5005" s="196" t="s">
        <v>11230</v>
      </c>
      <c r="C5005" s="196" t="s">
        <v>22868</v>
      </c>
      <c r="D5005" s="196" t="s">
        <v>22869</v>
      </c>
      <c r="E5005" s="196" t="s">
        <v>22870</v>
      </c>
      <c r="F5005" s="196" t="s">
        <v>11241</v>
      </c>
      <c r="G5005" s="196" t="s">
        <v>11720</v>
      </c>
      <c r="H5005" s="196" t="s">
        <v>11235</v>
      </c>
    </row>
    <row r="5006" spans="1:8" x14ac:dyDescent="0.15">
      <c r="A5006" s="196" t="s">
        <v>11229</v>
      </c>
      <c r="B5006" s="196" t="s">
        <v>11230</v>
      </c>
      <c r="C5006" s="196" t="s">
        <v>22871</v>
      </c>
      <c r="D5006" s="196" t="s">
        <v>22872</v>
      </c>
      <c r="E5006" s="196" t="s">
        <v>22873</v>
      </c>
      <c r="F5006" s="196" t="s">
        <v>11268</v>
      </c>
      <c r="G5006" s="196" t="s">
        <v>12378</v>
      </c>
      <c r="H5006" s="196" t="s">
        <v>11235</v>
      </c>
    </row>
    <row r="5007" spans="1:8" x14ac:dyDescent="0.15">
      <c r="A5007" s="196" t="s">
        <v>11229</v>
      </c>
      <c r="B5007" s="196" t="s">
        <v>11230</v>
      </c>
      <c r="C5007" s="196" t="s">
        <v>22874</v>
      </c>
      <c r="D5007" s="196" t="s">
        <v>22873</v>
      </c>
      <c r="E5007" s="196" t="s">
        <v>22875</v>
      </c>
      <c r="F5007" s="196" t="s">
        <v>11241</v>
      </c>
      <c r="G5007" s="196" t="s">
        <v>12378</v>
      </c>
      <c r="H5007" s="196" t="s">
        <v>11235</v>
      </c>
    </row>
    <row r="5008" spans="1:8" x14ac:dyDescent="0.15">
      <c r="A5008" s="196" t="s">
        <v>11229</v>
      </c>
      <c r="B5008" s="196" t="s">
        <v>11230</v>
      </c>
      <c r="C5008" s="196" t="s">
        <v>22876</v>
      </c>
      <c r="D5008" s="196" t="s">
        <v>22877</v>
      </c>
      <c r="E5008" s="196" t="s">
        <v>22877</v>
      </c>
      <c r="F5008" s="196" t="s">
        <v>11233</v>
      </c>
      <c r="G5008" s="196" t="s">
        <v>12378</v>
      </c>
      <c r="H5008" s="196" t="s">
        <v>11235</v>
      </c>
    </row>
    <row r="5009" spans="1:8" x14ac:dyDescent="0.15">
      <c r="A5009" s="196" t="s">
        <v>11229</v>
      </c>
      <c r="B5009" s="196" t="s">
        <v>11230</v>
      </c>
      <c r="C5009" s="196" t="s">
        <v>22878</v>
      </c>
      <c r="D5009" s="196" t="s">
        <v>22879</v>
      </c>
      <c r="E5009" s="196" t="s">
        <v>22879</v>
      </c>
      <c r="F5009" s="196" t="s">
        <v>11233</v>
      </c>
      <c r="G5009" s="196" t="s">
        <v>12378</v>
      </c>
      <c r="H5009" s="196" t="s">
        <v>11235</v>
      </c>
    </row>
    <row r="5010" spans="1:8" x14ac:dyDescent="0.15">
      <c r="A5010" s="196" t="s">
        <v>11229</v>
      </c>
      <c r="B5010" s="196" t="s">
        <v>11230</v>
      </c>
      <c r="C5010" s="196" t="s">
        <v>22880</v>
      </c>
      <c r="D5010" s="196" t="s">
        <v>22881</v>
      </c>
      <c r="E5010" s="196" t="s">
        <v>22882</v>
      </c>
      <c r="F5010" s="196" t="s">
        <v>13023</v>
      </c>
      <c r="G5010" s="196" t="s">
        <v>11720</v>
      </c>
      <c r="H5010" s="196" t="s">
        <v>11235</v>
      </c>
    </row>
    <row r="5011" spans="1:8" x14ac:dyDescent="0.15">
      <c r="A5011" s="196" t="s">
        <v>11229</v>
      </c>
      <c r="B5011" s="196" t="s">
        <v>11230</v>
      </c>
      <c r="C5011" s="196" t="s">
        <v>22883</v>
      </c>
      <c r="D5011" s="196" t="s">
        <v>22882</v>
      </c>
      <c r="E5011" s="196" t="s">
        <v>22884</v>
      </c>
      <c r="F5011" s="196" t="s">
        <v>13023</v>
      </c>
      <c r="G5011" s="196" t="s">
        <v>11720</v>
      </c>
      <c r="H5011" s="196" t="s">
        <v>11235</v>
      </c>
    </row>
    <row r="5012" spans="1:8" x14ac:dyDescent="0.15">
      <c r="A5012" s="196" t="s">
        <v>11229</v>
      </c>
      <c r="B5012" s="196" t="s">
        <v>11230</v>
      </c>
      <c r="C5012" s="196" t="s">
        <v>22885</v>
      </c>
      <c r="D5012" s="196" t="s">
        <v>22884</v>
      </c>
      <c r="E5012" s="196" t="s">
        <v>22886</v>
      </c>
      <c r="F5012" s="196" t="s">
        <v>11241</v>
      </c>
      <c r="G5012" s="196" t="s">
        <v>11720</v>
      </c>
      <c r="H5012" s="196" t="s">
        <v>11235</v>
      </c>
    </row>
    <row r="5013" spans="1:8" x14ac:dyDescent="0.15">
      <c r="A5013" s="196" t="s">
        <v>11229</v>
      </c>
      <c r="B5013" s="196" t="s">
        <v>11230</v>
      </c>
      <c r="C5013" s="196" t="s">
        <v>22887</v>
      </c>
      <c r="D5013" s="196" t="s">
        <v>22888</v>
      </c>
      <c r="E5013" s="196" t="s">
        <v>22889</v>
      </c>
      <c r="F5013" s="196" t="s">
        <v>13023</v>
      </c>
      <c r="G5013" s="196" t="s">
        <v>12378</v>
      </c>
      <c r="H5013" s="196" t="s">
        <v>11235</v>
      </c>
    </row>
    <row r="5014" spans="1:8" x14ac:dyDescent="0.15">
      <c r="A5014" s="196" t="s">
        <v>11229</v>
      </c>
      <c r="B5014" s="196" t="s">
        <v>11230</v>
      </c>
      <c r="C5014" s="196" t="s">
        <v>22890</v>
      </c>
      <c r="D5014" s="196" t="s">
        <v>22891</v>
      </c>
      <c r="E5014" s="196" t="s">
        <v>22892</v>
      </c>
      <c r="F5014" s="196" t="s">
        <v>13023</v>
      </c>
      <c r="G5014" s="196" t="s">
        <v>11720</v>
      </c>
      <c r="H5014" s="196" t="s">
        <v>11235</v>
      </c>
    </row>
    <row r="5015" spans="1:8" x14ac:dyDescent="0.15">
      <c r="A5015" s="196" t="s">
        <v>11229</v>
      </c>
      <c r="B5015" s="196" t="s">
        <v>11230</v>
      </c>
      <c r="C5015" s="196" t="s">
        <v>22893</v>
      </c>
      <c r="D5015" s="196" t="s">
        <v>22894</v>
      </c>
      <c r="E5015" s="196" t="s">
        <v>22895</v>
      </c>
      <c r="F5015" s="196" t="s">
        <v>13758</v>
      </c>
      <c r="G5015" s="196" t="s">
        <v>12378</v>
      </c>
      <c r="H5015" s="196" t="s">
        <v>11235</v>
      </c>
    </row>
    <row r="5016" spans="1:8" x14ac:dyDescent="0.15">
      <c r="A5016" s="196" t="s">
        <v>11229</v>
      </c>
      <c r="B5016" s="196" t="s">
        <v>11230</v>
      </c>
      <c r="C5016" s="196" t="s">
        <v>22896</v>
      </c>
      <c r="D5016" s="196" t="s">
        <v>22897</v>
      </c>
      <c r="E5016" s="196" t="s">
        <v>22898</v>
      </c>
      <c r="F5016" s="196" t="s">
        <v>13758</v>
      </c>
      <c r="G5016" s="196" t="s">
        <v>11720</v>
      </c>
      <c r="H5016" s="196" t="s">
        <v>11235</v>
      </c>
    </row>
    <row r="5017" spans="1:8" x14ac:dyDescent="0.15">
      <c r="A5017" s="196" t="s">
        <v>11229</v>
      </c>
      <c r="B5017" s="196" t="s">
        <v>11230</v>
      </c>
      <c r="C5017" s="196" t="s">
        <v>22899</v>
      </c>
      <c r="D5017" s="196" t="s">
        <v>22900</v>
      </c>
      <c r="E5017" s="196" t="s">
        <v>22900</v>
      </c>
      <c r="F5017" s="196" t="s">
        <v>11233</v>
      </c>
      <c r="G5017" s="196" t="s">
        <v>12378</v>
      </c>
      <c r="H5017" s="196" t="s">
        <v>11235</v>
      </c>
    </row>
    <row r="5018" spans="1:8" x14ac:dyDescent="0.15">
      <c r="A5018" s="196" t="s">
        <v>11229</v>
      </c>
      <c r="B5018" s="196" t="s">
        <v>11230</v>
      </c>
      <c r="C5018" s="196" t="s">
        <v>22901</v>
      </c>
      <c r="D5018" s="196" t="s">
        <v>22902</v>
      </c>
      <c r="E5018" s="196" t="s">
        <v>22902</v>
      </c>
      <c r="F5018" s="196" t="s">
        <v>11233</v>
      </c>
      <c r="G5018" s="196" t="s">
        <v>12378</v>
      </c>
      <c r="H5018" s="196" t="s">
        <v>11235</v>
      </c>
    </row>
    <row r="5019" spans="1:8" x14ac:dyDescent="0.15">
      <c r="A5019" s="196" t="s">
        <v>11229</v>
      </c>
      <c r="B5019" s="196" t="s">
        <v>11230</v>
      </c>
      <c r="C5019" s="196" t="s">
        <v>22903</v>
      </c>
      <c r="D5019" s="196" t="s">
        <v>22904</v>
      </c>
      <c r="E5019" s="196" t="s">
        <v>22905</v>
      </c>
      <c r="F5019" s="196" t="s">
        <v>13023</v>
      </c>
      <c r="G5019" s="196" t="s">
        <v>11720</v>
      </c>
      <c r="H5019" s="196" t="s">
        <v>11235</v>
      </c>
    </row>
    <row r="5020" spans="1:8" x14ac:dyDescent="0.15">
      <c r="A5020" s="196" t="s">
        <v>11229</v>
      </c>
      <c r="B5020" s="196" t="s">
        <v>11230</v>
      </c>
      <c r="C5020" s="196" t="s">
        <v>22906</v>
      </c>
      <c r="D5020" s="196" t="s">
        <v>22905</v>
      </c>
      <c r="E5020" s="196" t="s">
        <v>22907</v>
      </c>
      <c r="F5020" s="196" t="s">
        <v>11268</v>
      </c>
      <c r="G5020" s="196" t="s">
        <v>11720</v>
      </c>
      <c r="H5020" s="196" t="s">
        <v>11235</v>
      </c>
    </row>
    <row r="5021" spans="1:8" x14ac:dyDescent="0.15">
      <c r="A5021" s="196" t="s">
        <v>11229</v>
      </c>
      <c r="B5021" s="196" t="s">
        <v>11230</v>
      </c>
      <c r="C5021" s="196" t="s">
        <v>22908</v>
      </c>
      <c r="D5021" s="196" t="s">
        <v>22907</v>
      </c>
      <c r="E5021" s="196" t="s">
        <v>22909</v>
      </c>
      <c r="F5021" s="196" t="s">
        <v>11241</v>
      </c>
      <c r="G5021" s="196" t="s">
        <v>11720</v>
      </c>
      <c r="H5021" s="196" t="s">
        <v>11235</v>
      </c>
    </row>
    <row r="5022" spans="1:8" x14ac:dyDescent="0.15">
      <c r="A5022" s="196" t="s">
        <v>11229</v>
      </c>
      <c r="B5022" s="196" t="s">
        <v>11230</v>
      </c>
      <c r="C5022" s="196" t="s">
        <v>22910</v>
      </c>
      <c r="D5022" s="196" t="s">
        <v>22911</v>
      </c>
      <c r="E5022" s="196" t="s">
        <v>22911</v>
      </c>
      <c r="F5022" s="196" t="s">
        <v>11233</v>
      </c>
      <c r="G5022" s="196" t="s">
        <v>12378</v>
      </c>
      <c r="H5022" s="196" t="s">
        <v>11235</v>
      </c>
    </row>
    <row r="5023" spans="1:8" x14ac:dyDescent="0.15">
      <c r="A5023" s="196" t="s">
        <v>11229</v>
      </c>
      <c r="B5023" s="196" t="s">
        <v>11230</v>
      </c>
      <c r="C5023" s="196" t="s">
        <v>22912</v>
      </c>
      <c r="D5023" s="196" t="s">
        <v>22913</v>
      </c>
      <c r="E5023" s="196" t="s">
        <v>22913</v>
      </c>
      <c r="F5023" s="196" t="s">
        <v>11233</v>
      </c>
      <c r="G5023" s="196" t="s">
        <v>11720</v>
      </c>
      <c r="H5023" s="196" t="s">
        <v>11235</v>
      </c>
    </row>
    <row r="5024" spans="1:8" x14ac:dyDescent="0.15">
      <c r="A5024" s="196" t="s">
        <v>11229</v>
      </c>
      <c r="B5024" s="196" t="s">
        <v>11230</v>
      </c>
      <c r="C5024" s="196" t="s">
        <v>22914</v>
      </c>
      <c r="D5024" s="196" t="s">
        <v>22915</v>
      </c>
      <c r="E5024" s="196" t="s">
        <v>22915</v>
      </c>
      <c r="F5024" s="196" t="s">
        <v>11233</v>
      </c>
      <c r="G5024" s="196" t="s">
        <v>12378</v>
      </c>
      <c r="H5024" s="196" t="s">
        <v>11235</v>
      </c>
    </row>
    <row r="5025" spans="1:8" x14ac:dyDescent="0.15">
      <c r="A5025" s="196" t="s">
        <v>11229</v>
      </c>
      <c r="B5025" s="196" t="s">
        <v>11230</v>
      </c>
      <c r="C5025" s="196" t="s">
        <v>22916</v>
      </c>
      <c r="D5025" s="196" t="s">
        <v>22917</v>
      </c>
      <c r="E5025" s="196" t="s">
        <v>22917</v>
      </c>
      <c r="F5025" s="196" t="s">
        <v>11233</v>
      </c>
      <c r="G5025" s="196" t="s">
        <v>12378</v>
      </c>
      <c r="H5025" s="196" t="s">
        <v>11235</v>
      </c>
    </row>
    <row r="5026" spans="1:8" x14ac:dyDescent="0.15">
      <c r="A5026" s="196" t="s">
        <v>11229</v>
      </c>
      <c r="B5026" s="196" t="s">
        <v>11230</v>
      </c>
      <c r="C5026" s="196" t="s">
        <v>22918</v>
      </c>
      <c r="D5026" s="196" t="s">
        <v>22919</v>
      </c>
      <c r="E5026" s="196" t="s">
        <v>22919</v>
      </c>
      <c r="F5026" s="196" t="s">
        <v>11233</v>
      </c>
      <c r="G5026" s="196" t="s">
        <v>12378</v>
      </c>
      <c r="H5026" s="196" t="s">
        <v>11235</v>
      </c>
    </row>
    <row r="5027" spans="1:8" x14ac:dyDescent="0.15">
      <c r="A5027" s="196" t="s">
        <v>11229</v>
      </c>
      <c r="B5027" s="196" t="s">
        <v>11230</v>
      </c>
      <c r="C5027" s="196" t="s">
        <v>22920</v>
      </c>
      <c r="D5027" s="196" t="s">
        <v>22921</v>
      </c>
      <c r="E5027" s="196" t="s">
        <v>22921</v>
      </c>
      <c r="F5027" s="196" t="s">
        <v>11233</v>
      </c>
      <c r="G5027" s="196" t="s">
        <v>12378</v>
      </c>
      <c r="H5027" s="196" t="s">
        <v>11235</v>
      </c>
    </row>
    <row r="5028" spans="1:8" x14ac:dyDescent="0.15">
      <c r="A5028" s="196" t="s">
        <v>11229</v>
      </c>
      <c r="B5028" s="196" t="s">
        <v>11230</v>
      </c>
      <c r="C5028" s="196" t="s">
        <v>22922</v>
      </c>
      <c r="D5028" s="196" t="s">
        <v>22923</v>
      </c>
      <c r="E5028" s="196" t="s">
        <v>22924</v>
      </c>
      <c r="F5028" s="196" t="s">
        <v>22925</v>
      </c>
      <c r="G5028" s="196" t="s">
        <v>11720</v>
      </c>
      <c r="H5028" s="196" t="s">
        <v>11235</v>
      </c>
    </row>
    <row r="5029" spans="1:8" x14ac:dyDescent="0.15">
      <c r="A5029" s="196" t="s">
        <v>11229</v>
      </c>
      <c r="B5029" s="196" t="s">
        <v>11230</v>
      </c>
      <c r="C5029" s="196" t="s">
        <v>22926</v>
      </c>
      <c r="D5029" s="196" t="s">
        <v>22927</v>
      </c>
      <c r="E5029" s="196" t="s">
        <v>22928</v>
      </c>
      <c r="F5029" s="196" t="s">
        <v>13023</v>
      </c>
      <c r="G5029" s="196" t="s">
        <v>12378</v>
      </c>
      <c r="H5029" s="196" t="s">
        <v>11235</v>
      </c>
    </row>
    <row r="5030" spans="1:8" x14ac:dyDescent="0.15">
      <c r="A5030" s="196" t="s">
        <v>11229</v>
      </c>
      <c r="B5030" s="196" t="s">
        <v>11230</v>
      </c>
      <c r="C5030" s="196" t="s">
        <v>22929</v>
      </c>
      <c r="D5030" s="196" t="s">
        <v>22928</v>
      </c>
      <c r="E5030" s="196" t="s">
        <v>22930</v>
      </c>
      <c r="F5030" s="196" t="s">
        <v>11268</v>
      </c>
      <c r="G5030" s="196" t="s">
        <v>12378</v>
      </c>
      <c r="H5030" s="196" t="s">
        <v>11235</v>
      </c>
    </row>
    <row r="5031" spans="1:8" x14ac:dyDescent="0.15">
      <c r="A5031" s="196" t="s">
        <v>11229</v>
      </c>
      <c r="B5031" s="196" t="s">
        <v>11230</v>
      </c>
      <c r="C5031" s="196" t="s">
        <v>22931</v>
      </c>
      <c r="D5031" s="196" t="s">
        <v>22932</v>
      </c>
      <c r="E5031" s="196" t="s">
        <v>22932</v>
      </c>
      <c r="F5031" s="196" t="s">
        <v>11233</v>
      </c>
      <c r="G5031" s="196" t="s">
        <v>12378</v>
      </c>
      <c r="H5031" s="196" t="s">
        <v>11235</v>
      </c>
    </row>
    <row r="5032" spans="1:8" x14ac:dyDescent="0.15">
      <c r="A5032" s="196" t="s">
        <v>11229</v>
      </c>
      <c r="B5032" s="196" t="s">
        <v>11230</v>
      </c>
      <c r="C5032" s="196" t="s">
        <v>22933</v>
      </c>
      <c r="D5032" s="196" t="s">
        <v>22934</v>
      </c>
      <c r="E5032" s="196" t="s">
        <v>22934</v>
      </c>
      <c r="F5032" s="196" t="s">
        <v>11233</v>
      </c>
      <c r="G5032" s="196" t="s">
        <v>12378</v>
      </c>
      <c r="H5032" s="196" t="s">
        <v>11235</v>
      </c>
    </row>
    <row r="5033" spans="1:8" x14ac:dyDescent="0.15">
      <c r="A5033" s="196" t="s">
        <v>11229</v>
      </c>
      <c r="B5033" s="196" t="s">
        <v>11230</v>
      </c>
      <c r="C5033" s="196" t="s">
        <v>22935</v>
      </c>
      <c r="D5033" s="196" t="s">
        <v>22936</v>
      </c>
      <c r="E5033" s="196" t="s">
        <v>22937</v>
      </c>
      <c r="F5033" s="196" t="s">
        <v>22170</v>
      </c>
      <c r="G5033" s="196" t="s">
        <v>12378</v>
      </c>
      <c r="H5033" s="196" t="s">
        <v>11235</v>
      </c>
    </row>
    <row r="5034" spans="1:8" x14ac:dyDescent="0.15">
      <c r="A5034" s="196" t="s">
        <v>11229</v>
      </c>
      <c r="B5034" s="196" t="s">
        <v>11230</v>
      </c>
      <c r="C5034" s="196" t="s">
        <v>22938</v>
      </c>
      <c r="D5034" s="196" t="s">
        <v>22939</v>
      </c>
      <c r="E5034" s="196" t="s">
        <v>22940</v>
      </c>
      <c r="F5034" s="196" t="s">
        <v>11241</v>
      </c>
      <c r="G5034" s="196" t="s">
        <v>12378</v>
      </c>
      <c r="H5034" s="196" t="s">
        <v>11235</v>
      </c>
    </row>
    <row r="5035" spans="1:8" x14ac:dyDescent="0.15">
      <c r="A5035" s="196" t="s">
        <v>11229</v>
      </c>
      <c r="B5035" s="196" t="s">
        <v>11230</v>
      </c>
      <c r="C5035" s="196" t="s">
        <v>22941</v>
      </c>
      <c r="D5035" s="196" t="s">
        <v>22940</v>
      </c>
      <c r="E5035" s="196" t="s">
        <v>22942</v>
      </c>
      <c r="F5035" s="196" t="s">
        <v>11268</v>
      </c>
      <c r="G5035" s="196" t="s">
        <v>12378</v>
      </c>
      <c r="H5035" s="196" t="s">
        <v>11235</v>
      </c>
    </row>
    <row r="5036" spans="1:8" x14ac:dyDescent="0.15">
      <c r="A5036" s="196" t="s">
        <v>11229</v>
      </c>
      <c r="B5036" s="196" t="s">
        <v>11230</v>
      </c>
      <c r="C5036" s="196" t="s">
        <v>22943</v>
      </c>
      <c r="D5036" s="196" t="s">
        <v>22944</v>
      </c>
      <c r="E5036" s="196" t="s">
        <v>22945</v>
      </c>
      <c r="F5036" s="196" t="s">
        <v>13758</v>
      </c>
      <c r="G5036" s="196" t="s">
        <v>11720</v>
      </c>
      <c r="H5036" s="196" t="s">
        <v>11235</v>
      </c>
    </row>
    <row r="5037" spans="1:8" x14ac:dyDescent="0.15">
      <c r="A5037" s="196" t="s">
        <v>11229</v>
      </c>
      <c r="B5037" s="196" t="s">
        <v>11230</v>
      </c>
      <c r="C5037" s="196" t="s">
        <v>22946</v>
      </c>
      <c r="D5037" s="196" t="s">
        <v>22947</v>
      </c>
      <c r="E5037" s="196" t="s">
        <v>22947</v>
      </c>
      <c r="F5037" s="196" t="s">
        <v>11233</v>
      </c>
      <c r="G5037" s="196" t="s">
        <v>12378</v>
      </c>
      <c r="H5037" s="196" t="s">
        <v>11235</v>
      </c>
    </row>
    <row r="5038" spans="1:8" x14ac:dyDescent="0.15">
      <c r="A5038" s="196" t="s">
        <v>11229</v>
      </c>
      <c r="B5038" s="196" t="s">
        <v>11230</v>
      </c>
      <c r="C5038" s="196" t="s">
        <v>22948</v>
      </c>
      <c r="D5038" s="196" t="s">
        <v>22949</v>
      </c>
      <c r="E5038" s="196" t="s">
        <v>22950</v>
      </c>
      <c r="F5038" s="196" t="s">
        <v>13023</v>
      </c>
      <c r="G5038" s="196" t="s">
        <v>11720</v>
      </c>
      <c r="H5038" s="196" t="s">
        <v>11235</v>
      </c>
    </row>
    <row r="5039" spans="1:8" x14ac:dyDescent="0.15">
      <c r="A5039" s="196" t="s">
        <v>11229</v>
      </c>
      <c r="B5039" s="196" t="s">
        <v>11230</v>
      </c>
      <c r="C5039" s="196" t="s">
        <v>22951</v>
      </c>
      <c r="D5039" s="196" t="s">
        <v>22950</v>
      </c>
      <c r="E5039" s="196" t="s">
        <v>22952</v>
      </c>
      <c r="F5039" s="196" t="s">
        <v>11241</v>
      </c>
      <c r="G5039" s="196" t="s">
        <v>11720</v>
      </c>
      <c r="H5039" s="196" t="s">
        <v>11235</v>
      </c>
    </row>
    <row r="5040" spans="1:8" x14ac:dyDescent="0.15">
      <c r="A5040" s="196" t="s">
        <v>11229</v>
      </c>
      <c r="B5040" s="196" t="s">
        <v>11230</v>
      </c>
      <c r="C5040" s="196" t="s">
        <v>22953</v>
      </c>
      <c r="D5040" s="196" t="s">
        <v>22952</v>
      </c>
      <c r="E5040" s="196" t="s">
        <v>22954</v>
      </c>
      <c r="F5040" s="196" t="s">
        <v>11268</v>
      </c>
      <c r="G5040" s="196" t="s">
        <v>11720</v>
      </c>
      <c r="H5040" s="196" t="s">
        <v>11235</v>
      </c>
    </row>
    <row r="5041" spans="1:8" x14ac:dyDescent="0.15">
      <c r="A5041" s="196" t="s">
        <v>11229</v>
      </c>
      <c r="B5041" s="196" t="s">
        <v>11230</v>
      </c>
      <c r="C5041" s="196" t="s">
        <v>22955</v>
      </c>
      <c r="D5041" s="196" t="s">
        <v>22954</v>
      </c>
      <c r="E5041" s="196" t="s">
        <v>22956</v>
      </c>
      <c r="F5041" s="196" t="s">
        <v>13023</v>
      </c>
      <c r="G5041" s="196" t="s">
        <v>12378</v>
      </c>
      <c r="H5041" s="196" t="s">
        <v>11235</v>
      </c>
    </row>
    <row r="5042" spans="1:8" x14ac:dyDescent="0.15">
      <c r="A5042" s="196" t="s">
        <v>11229</v>
      </c>
      <c r="B5042" s="196" t="s">
        <v>11230</v>
      </c>
      <c r="C5042" s="196" t="s">
        <v>22957</v>
      </c>
      <c r="D5042" s="196" t="s">
        <v>22958</v>
      </c>
      <c r="E5042" s="196" t="s">
        <v>22958</v>
      </c>
      <c r="F5042" s="196" t="s">
        <v>11233</v>
      </c>
      <c r="G5042" s="196" t="s">
        <v>11720</v>
      </c>
      <c r="H5042" s="196" t="s">
        <v>11235</v>
      </c>
    </row>
    <row r="5043" spans="1:8" x14ac:dyDescent="0.15">
      <c r="A5043" s="196" t="s">
        <v>11229</v>
      </c>
      <c r="B5043" s="196" t="s">
        <v>11230</v>
      </c>
      <c r="C5043" s="196" t="s">
        <v>22959</v>
      </c>
      <c r="D5043" s="196" t="s">
        <v>22960</v>
      </c>
      <c r="E5043" s="196" t="s">
        <v>22961</v>
      </c>
      <c r="F5043" s="196" t="s">
        <v>11268</v>
      </c>
      <c r="G5043" s="196" t="s">
        <v>12378</v>
      </c>
      <c r="H5043" s="196" t="s">
        <v>11235</v>
      </c>
    </row>
    <row r="5044" spans="1:8" x14ac:dyDescent="0.15">
      <c r="A5044" s="196" t="s">
        <v>11229</v>
      </c>
      <c r="B5044" s="196" t="s">
        <v>11230</v>
      </c>
      <c r="C5044" s="196" t="s">
        <v>22962</v>
      </c>
      <c r="D5044" s="196" t="s">
        <v>22963</v>
      </c>
      <c r="E5044" s="196" t="s">
        <v>22963</v>
      </c>
      <c r="F5044" s="196" t="s">
        <v>11233</v>
      </c>
      <c r="G5044" s="196" t="s">
        <v>11720</v>
      </c>
      <c r="H5044" s="196" t="s">
        <v>11235</v>
      </c>
    </row>
    <row r="5045" spans="1:8" x14ac:dyDescent="0.15">
      <c r="A5045" s="196" t="s">
        <v>11229</v>
      </c>
      <c r="B5045" s="196" t="s">
        <v>11230</v>
      </c>
      <c r="C5045" s="196" t="s">
        <v>22964</v>
      </c>
      <c r="D5045" s="196" t="s">
        <v>22965</v>
      </c>
      <c r="E5045" s="196" t="s">
        <v>22965</v>
      </c>
      <c r="F5045" s="196" t="s">
        <v>11233</v>
      </c>
      <c r="G5045" s="196" t="s">
        <v>12378</v>
      </c>
      <c r="H5045" s="196" t="s">
        <v>11235</v>
      </c>
    </row>
    <row r="5046" spans="1:8" x14ac:dyDescent="0.15">
      <c r="A5046" s="196" t="s">
        <v>11229</v>
      </c>
      <c r="B5046" s="196" t="s">
        <v>11230</v>
      </c>
      <c r="C5046" s="196" t="s">
        <v>22966</v>
      </c>
      <c r="D5046" s="196" t="s">
        <v>22967</v>
      </c>
      <c r="E5046" s="196" t="s">
        <v>22967</v>
      </c>
      <c r="F5046" s="196" t="s">
        <v>11233</v>
      </c>
      <c r="G5046" s="196" t="s">
        <v>12378</v>
      </c>
      <c r="H5046" s="196" t="s">
        <v>11235</v>
      </c>
    </row>
    <row r="5047" spans="1:8" x14ac:dyDescent="0.15">
      <c r="A5047" s="196" t="s">
        <v>11229</v>
      </c>
      <c r="B5047" s="196" t="s">
        <v>11230</v>
      </c>
      <c r="C5047" s="196" t="s">
        <v>22968</v>
      </c>
      <c r="D5047" s="196" t="s">
        <v>22969</v>
      </c>
      <c r="E5047" s="196" t="s">
        <v>22970</v>
      </c>
      <c r="F5047" s="196" t="s">
        <v>15389</v>
      </c>
      <c r="G5047" s="196" t="s">
        <v>12378</v>
      </c>
      <c r="H5047" s="196" t="s">
        <v>11235</v>
      </c>
    </row>
    <row r="5048" spans="1:8" x14ac:dyDescent="0.15">
      <c r="A5048" s="196" t="s">
        <v>11229</v>
      </c>
      <c r="B5048" s="196" t="s">
        <v>11230</v>
      </c>
      <c r="C5048" s="196" t="s">
        <v>22971</v>
      </c>
      <c r="D5048" s="196" t="s">
        <v>22970</v>
      </c>
      <c r="E5048" s="196" t="s">
        <v>22972</v>
      </c>
      <c r="F5048" s="196" t="s">
        <v>11241</v>
      </c>
      <c r="G5048" s="196" t="s">
        <v>12378</v>
      </c>
      <c r="H5048" s="196" t="s">
        <v>11235</v>
      </c>
    </row>
    <row r="5049" spans="1:8" x14ac:dyDescent="0.15">
      <c r="A5049" s="196" t="s">
        <v>11229</v>
      </c>
      <c r="B5049" s="196" t="s">
        <v>11230</v>
      </c>
      <c r="C5049" s="196" t="s">
        <v>22973</v>
      </c>
      <c r="D5049" s="196" t="s">
        <v>22974</v>
      </c>
      <c r="E5049" s="196" t="s">
        <v>22975</v>
      </c>
      <c r="F5049" s="196" t="s">
        <v>13023</v>
      </c>
      <c r="G5049" s="196" t="s">
        <v>11720</v>
      </c>
      <c r="H5049" s="196" t="s">
        <v>11235</v>
      </c>
    </row>
    <row r="5050" spans="1:8" x14ac:dyDescent="0.15">
      <c r="A5050" s="196" t="s">
        <v>11229</v>
      </c>
      <c r="B5050" s="196" t="s">
        <v>11230</v>
      </c>
      <c r="C5050" s="196" t="s">
        <v>22976</v>
      </c>
      <c r="D5050" s="196" t="s">
        <v>22975</v>
      </c>
      <c r="E5050" s="196" t="s">
        <v>22977</v>
      </c>
      <c r="F5050" s="196" t="s">
        <v>11241</v>
      </c>
      <c r="G5050" s="196" t="s">
        <v>11720</v>
      </c>
      <c r="H5050" s="196" t="s">
        <v>11235</v>
      </c>
    </row>
    <row r="5051" spans="1:8" x14ac:dyDescent="0.15">
      <c r="A5051" s="196" t="s">
        <v>11229</v>
      </c>
      <c r="B5051" s="196" t="s">
        <v>11230</v>
      </c>
      <c r="C5051" s="196" t="s">
        <v>22978</v>
      </c>
      <c r="D5051" s="196" t="s">
        <v>22979</v>
      </c>
      <c r="E5051" s="196" t="s">
        <v>22979</v>
      </c>
      <c r="F5051" s="196" t="s">
        <v>11233</v>
      </c>
      <c r="G5051" s="196" t="s">
        <v>11720</v>
      </c>
      <c r="H5051" s="196" t="s">
        <v>11235</v>
      </c>
    </row>
    <row r="5052" spans="1:8" x14ac:dyDescent="0.15">
      <c r="A5052" s="196" t="s">
        <v>11229</v>
      </c>
      <c r="B5052" s="196" t="s">
        <v>11230</v>
      </c>
      <c r="C5052" s="196" t="s">
        <v>22980</v>
      </c>
      <c r="D5052" s="196" t="s">
        <v>22979</v>
      </c>
      <c r="E5052" s="196" t="s">
        <v>22981</v>
      </c>
      <c r="F5052" s="196" t="s">
        <v>13758</v>
      </c>
      <c r="G5052" s="196" t="s">
        <v>12378</v>
      </c>
      <c r="H5052" s="196" t="s">
        <v>11235</v>
      </c>
    </row>
    <row r="5053" spans="1:8" x14ac:dyDescent="0.15">
      <c r="A5053" s="196" t="s">
        <v>11229</v>
      </c>
      <c r="B5053" s="196" t="s">
        <v>11230</v>
      </c>
      <c r="C5053" s="196" t="s">
        <v>22982</v>
      </c>
      <c r="D5053" s="196" t="s">
        <v>22981</v>
      </c>
      <c r="E5053" s="196" t="s">
        <v>22983</v>
      </c>
      <c r="F5053" s="196" t="s">
        <v>11268</v>
      </c>
      <c r="G5053" s="196" t="s">
        <v>12378</v>
      </c>
      <c r="H5053" s="196" t="s">
        <v>11235</v>
      </c>
    </row>
    <row r="5054" spans="1:8" x14ac:dyDescent="0.15">
      <c r="A5054" s="196" t="s">
        <v>11229</v>
      </c>
      <c r="B5054" s="196" t="s">
        <v>11230</v>
      </c>
      <c r="C5054" s="196" t="s">
        <v>22984</v>
      </c>
      <c r="D5054" s="196" t="s">
        <v>22983</v>
      </c>
      <c r="E5054" s="196" t="s">
        <v>22985</v>
      </c>
      <c r="F5054" s="196" t="s">
        <v>11241</v>
      </c>
      <c r="G5054" s="196" t="s">
        <v>12378</v>
      </c>
      <c r="H5054" s="196" t="s">
        <v>11235</v>
      </c>
    </row>
    <row r="5055" spans="1:8" x14ac:dyDescent="0.15">
      <c r="A5055" s="196" t="s">
        <v>11229</v>
      </c>
      <c r="B5055" s="196" t="s">
        <v>11230</v>
      </c>
      <c r="C5055" s="196" t="s">
        <v>22986</v>
      </c>
      <c r="D5055" s="196" t="s">
        <v>22985</v>
      </c>
      <c r="E5055" s="196" t="s">
        <v>22987</v>
      </c>
      <c r="F5055" s="196" t="s">
        <v>11268</v>
      </c>
      <c r="G5055" s="196" t="s">
        <v>12378</v>
      </c>
      <c r="H5055" s="196" t="s">
        <v>11235</v>
      </c>
    </row>
    <row r="5056" spans="1:8" x14ac:dyDescent="0.15">
      <c r="A5056" s="196" t="s">
        <v>11229</v>
      </c>
      <c r="B5056" s="196" t="s">
        <v>11230</v>
      </c>
      <c r="C5056" s="196" t="s">
        <v>22988</v>
      </c>
      <c r="D5056" s="196" t="s">
        <v>22987</v>
      </c>
      <c r="E5056" s="196" t="s">
        <v>22989</v>
      </c>
      <c r="F5056" s="196" t="s">
        <v>11241</v>
      </c>
      <c r="G5056" s="196" t="s">
        <v>12378</v>
      </c>
      <c r="H5056" s="196" t="s">
        <v>11235</v>
      </c>
    </row>
    <row r="5057" spans="1:8" x14ac:dyDescent="0.15">
      <c r="A5057" s="196" t="s">
        <v>11229</v>
      </c>
      <c r="B5057" s="196" t="s">
        <v>11230</v>
      </c>
      <c r="C5057" s="196" t="s">
        <v>22990</v>
      </c>
      <c r="D5057" s="196" t="s">
        <v>22991</v>
      </c>
      <c r="E5057" s="196" t="s">
        <v>22992</v>
      </c>
      <c r="F5057" s="196" t="s">
        <v>11241</v>
      </c>
      <c r="G5057" s="196" t="s">
        <v>11720</v>
      </c>
      <c r="H5057" s="196" t="s">
        <v>11235</v>
      </c>
    </row>
    <row r="5058" spans="1:8" x14ac:dyDescent="0.15">
      <c r="A5058" s="196" t="s">
        <v>11229</v>
      </c>
      <c r="B5058" s="196" t="s">
        <v>11230</v>
      </c>
      <c r="C5058" s="196" t="s">
        <v>22993</v>
      </c>
      <c r="D5058" s="196" t="s">
        <v>22994</v>
      </c>
      <c r="E5058" s="196" t="s">
        <v>22995</v>
      </c>
      <c r="F5058" s="196" t="s">
        <v>11268</v>
      </c>
      <c r="G5058" s="196" t="s">
        <v>11720</v>
      </c>
      <c r="H5058" s="196" t="s">
        <v>11235</v>
      </c>
    </row>
    <row r="5059" spans="1:8" x14ac:dyDescent="0.15">
      <c r="A5059" s="196" t="s">
        <v>11229</v>
      </c>
      <c r="B5059" s="196" t="s">
        <v>11230</v>
      </c>
      <c r="C5059" s="196" t="s">
        <v>22996</v>
      </c>
      <c r="D5059" s="196" t="s">
        <v>22997</v>
      </c>
      <c r="E5059" s="196" t="s">
        <v>22998</v>
      </c>
      <c r="F5059" s="196" t="s">
        <v>13758</v>
      </c>
      <c r="G5059" s="196" t="s">
        <v>12378</v>
      </c>
      <c r="H5059" s="196" t="s">
        <v>11235</v>
      </c>
    </row>
    <row r="5060" spans="1:8" x14ac:dyDescent="0.15">
      <c r="A5060" s="196" t="s">
        <v>11229</v>
      </c>
      <c r="B5060" s="196" t="s">
        <v>11230</v>
      </c>
      <c r="C5060" s="196" t="s">
        <v>22999</v>
      </c>
      <c r="D5060" s="196" t="s">
        <v>22998</v>
      </c>
      <c r="E5060" s="196" t="s">
        <v>23000</v>
      </c>
      <c r="F5060" s="196" t="s">
        <v>11268</v>
      </c>
      <c r="G5060" s="196" t="s">
        <v>12378</v>
      </c>
      <c r="H5060" s="196" t="s">
        <v>11235</v>
      </c>
    </row>
    <row r="5061" spans="1:8" x14ac:dyDescent="0.15">
      <c r="A5061" s="196" t="s">
        <v>11229</v>
      </c>
      <c r="B5061" s="196" t="s">
        <v>11230</v>
      </c>
      <c r="C5061" s="196" t="s">
        <v>23001</v>
      </c>
      <c r="D5061" s="196" t="s">
        <v>23002</v>
      </c>
      <c r="E5061" s="196" t="s">
        <v>23003</v>
      </c>
      <c r="F5061" s="196" t="s">
        <v>13023</v>
      </c>
      <c r="G5061" s="196" t="s">
        <v>11720</v>
      </c>
      <c r="H5061" s="196" t="s">
        <v>11235</v>
      </c>
    </row>
    <row r="5062" spans="1:8" x14ac:dyDescent="0.15">
      <c r="A5062" s="196" t="s">
        <v>11229</v>
      </c>
      <c r="B5062" s="196" t="s">
        <v>11230</v>
      </c>
      <c r="C5062" s="196" t="s">
        <v>23004</v>
      </c>
      <c r="D5062" s="196" t="s">
        <v>23005</v>
      </c>
      <c r="E5062" s="196" t="s">
        <v>23005</v>
      </c>
      <c r="F5062" s="196" t="s">
        <v>11233</v>
      </c>
      <c r="G5062" s="196" t="s">
        <v>11720</v>
      </c>
      <c r="H5062" s="196" t="s">
        <v>11235</v>
      </c>
    </row>
    <row r="5063" spans="1:8" x14ac:dyDescent="0.15">
      <c r="A5063" s="196" t="s">
        <v>11229</v>
      </c>
      <c r="B5063" s="196" t="s">
        <v>11230</v>
      </c>
      <c r="C5063" s="196" t="s">
        <v>23006</v>
      </c>
      <c r="D5063" s="196" t="s">
        <v>23007</v>
      </c>
      <c r="E5063" s="196" t="s">
        <v>23007</v>
      </c>
      <c r="F5063" s="196" t="s">
        <v>11233</v>
      </c>
      <c r="G5063" s="196" t="s">
        <v>11720</v>
      </c>
      <c r="H5063" s="196" t="s">
        <v>11235</v>
      </c>
    </row>
    <row r="5064" spans="1:8" x14ac:dyDescent="0.15">
      <c r="A5064" s="196" t="s">
        <v>11229</v>
      </c>
      <c r="B5064" s="196" t="s">
        <v>11230</v>
      </c>
      <c r="C5064" s="196" t="s">
        <v>23008</v>
      </c>
      <c r="D5064" s="196" t="s">
        <v>23007</v>
      </c>
      <c r="E5064" s="196" t="s">
        <v>23007</v>
      </c>
      <c r="F5064" s="196" t="s">
        <v>11233</v>
      </c>
      <c r="G5064" s="196" t="s">
        <v>12378</v>
      </c>
      <c r="H5064" s="196" t="s">
        <v>11235</v>
      </c>
    </row>
    <row r="5065" spans="1:8" x14ac:dyDescent="0.15">
      <c r="A5065" s="196" t="s">
        <v>11229</v>
      </c>
      <c r="B5065" s="196" t="s">
        <v>11230</v>
      </c>
      <c r="C5065" s="196" t="s">
        <v>23009</v>
      </c>
      <c r="D5065" s="196" t="s">
        <v>23010</v>
      </c>
      <c r="E5065" s="196" t="s">
        <v>23010</v>
      </c>
      <c r="F5065" s="196" t="s">
        <v>11233</v>
      </c>
      <c r="G5065" s="196" t="s">
        <v>11720</v>
      </c>
      <c r="H5065" s="196" t="s">
        <v>11235</v>
      </c>
    </row>
    <row r="5066" spans="1:8" x14ac:dyDescent="0.15">
      <c r="A5066" s="196" t="s">
        <v>11229</v>
      </c>
      <c r="B5066" s="196" t="s">
        <v>11230</v>
      </c>
      <c r="C5066" s="196" t="s">
        <v>23011</v>
      </c>
      <c r="D5066" s="196" t="s">
        <v>23010</v>
      </c>
      <c r="E5066" s="196" t="s">
        <v>23012</v>
      </c>
      <c r="F5066" s="196" t="s">
        <v>11268</v>
      </c>
      <c r="G5066" s="196" t="s">
        <v>12378</v>
      </c>
      <c r="H5066" s="196" t="s">
        <v>11235</v>
      </c>
    </row>
    <row r="5067" spans="1:8" x14ac:dyDescent="0.15">
      <c r="A5067" s="196" t="s">
        <v>11229</v>
      </c>
      <c r="B5067" s="196" t="s">
        <v>11230</v>
      </c>
      <c r="C5067" s="196" t="s">
        <v>23013</v>
      </c>
      <c r="D5067" s="196" t="s">
        <v>23014</v>
      </c>
      <c r="E5067" s="196" t="s">
        <v>23014</v>
      </c>
      <c r="F5067" s="196" t="s">
        <v>11233</v>
      </c>
      <c r="G5067" s="196" t="s">
        <v>12378</v>
      </c>
      <c r="H5067" s="196" t="s">
        <v>11235</v>
      </c>
    </row>
    <row r="5068" spans="1:8" x14ac:dyDescent="0.15">
      <c r="A5068" s="196" t="s">
        <v>11229</v>
      </c>
      <c r="B5068" s="196" t="s">
        <v>11230</v>
      </c>
      <c r="C5068" s="196" t="s">
        <v>23015</v>
      </c>
      <c r="D5068" s="196" t="s">
        <v>23014</v>
      </c>
      <c r="E5068" s="196" t="s">
        <v>23016</v>
      </c>
      <c r="F5068" s="196" t="s">
        <v>11268</v>
      </c>
      <c r="G5068" s="196" t="s">
        <v>11720</v>
      </c>
      <c r="H5068" s="196" t="s">
        <v>11235</v>
      </c>
    </row>
    <row r="5069" spans="1:8" x14ac:dyDescent="0.15">
      <c r="A5069" s="196" t="s">
        <v>11229</v>
      </c>
      <c r="B5069" s="196" t="s">
        <v>11230</v>
      </c>
      <c r="C5069" s="196" t="s">
        <v>23017</v>
      </c>
      <c r="D5069" s="196" t="s">
        <v>23018</v>
      </c>
      <c r="E5069" s="196" t="s">
        <v>23018</v>
      </c>
      <c r="F5069" s="196" t="s">
        <v>11233</v>
      </c>
      <c r="G5069" s="196" t="s">
        <v>12378</v>
      </c>
      <c r="H5069" s="196" t="s">
        <v>11235</v>
      </c>
    </row>
    <row r="5070" spans="1:8" x14ac:dyDescent="0.15">
      <c r="A5070" s="196" t="s">
        <v>11229</v>
      </c>
      <c r="B5070" s="196" t="s">
        <v>11230</v>
      </c>
      <c r="C5070" s="196" t="s">
        <v>23019</v>
      </c>
      <c r="D5070" s="196" t="s">
        <v>23020</v>
      </c>
      <c r="E5070" s="196" t="s">
        <v>23020</v>
      </c>
      <c r="F5070" s="196" t="s">
        <v>11233</v>
      </c>
      <c r="G5070" s="196" t="s">
        <v>12378</v>
      </c>
      <c r="H5070" s="196" t="s">
        <v>11235</v>
      </c>
    </row>
    <row r="5071" spans="1:8" x14ac:dyDescent="0.15">
      <c r="A5071" s="196" t="s">
        <v>11229</v>
      </c>
      <c r="B5071" s="196" t="s">
        <v>11230</v>
      </c>
      <c r="C5071" s="196" t="s">
        <v>23021</v>
      </c>
      <c r="D5071" s="196" t="s">
        <v>23022</v>
      </c>
      <c r="E5071" s="196" t="s">
        <v>23023</v>
      </c>
      <c r="F5071" s="196" t="s">
        <v>11268</v>
      </c>
      <c r="G5071" s="196" t="s">
        <v>12378</v>
      </c>
      <c r="H5071" s="196" t="s">
        <v>11235</v>
      </c>
    </row>
    <row r="5072" spans="1:8" x14ac:dyDescent="0.15">
      <c r="A5072" s="196" t="s">
        <v>11229</v>
      </c>
      <c r="B5072" s="196" t="s">
        <v>11230</v>
      </c>
      <c r="C5072" s="196" t="s">
        <v>23024</v>
      </c>
      <c r="D5072" s="196" t="s">
        <v>23022</v>
      </c>
      <c r="E5072" s="196" t="s">
        <v>23022</v>
      </c>
      <c r="F5072" s="196" t="s">
        <v>11233</v>
      </c>
      <c r="G5072" s="196" t="s">
        <v>11720</v>
      </c>
      <c r="H5072" s="196" t="s">
        <v>11235</v>
      </c>
    </row>
    <row r="5073" spans="1:8" x14ac:dyDescent="0.15">
      <c r="A5073" s="196" t="s">
        <v>11229</v>
      </c>
      <c r="B5073" s="196" t="s">
        <v>11230</v>
      </c>
      <c r="C5073" s="196" t="s">
        <v>23025</v>
      </c>
      <c r="D5073" s="196" t="s">
        <v>23023</v>
      </c>
      <c r="E5073" s="196" t="s">
        <v>23023</v>
      </c>
      <c r="F5073" s="196" t="s">
        <v>11233</v>
      </c>
      <c r="G5073" s="196" t="s">
        <v>11720</v>
      </c>
      <c r="H5073" s="196" t="s">
        <v>11235</v>
      </c>
    </row>
    <row r="5074" spans="1:8" x14ac:dyDescent="0.15">
      <c r="A5074" s="196" t="s">
        <v>11229</v>
      </c>
      <c r="B5074" s="196" t="s">
        <v>11230</v>
      </c>
      <c r="C5074" s="196" t="s">
        <v>23026</v>
      </c>
      <c r="D5074" s="196" t="s">
        <v>23027</v>
      </c>
      <c r="E5074" s="196" t="s">
        <v>23027</v>
      </c>
      <c r="F5074" s="196" t="s">
        <v>11233</v>
      </c>
      <c r="G5074" s="196" t="s">
        <v>11720</v>
      </c>
      <c r="H5074" s="196" t="s">
        <v>11235</v>
      </c>
    </row>
    <row r="5075" spans="1:8" x14ac:dyDescent="0.15">
      <c r="A5075" s="196" t="s">
        <v>11229</v>
      </c>
      <c r="B5075" s="196" t="s">
        <v>11230</v>
      </c>
      <c r="C5075" s="196" t="s">
        <v>23028</v>
      </c>
      <c r="D5075" s="196" t="s">
        <v>23029</v>
      </c>
      <c r="E5075" s="196" t="s">
        <v>23029</v>
      </c>
      <c r="F5075" s="196" t="s">
        <v>11233</v>
      </c>
      <c r="G5075" s="196" t="s">
        <v>11720</v>
      </c>
      <c r="H5075" s="196" t="s">
        <v>11235</v>
      </c>
    </row>
    <row r="5076" spans="1:8" x14ac:dyDescent="0.15">
      <c r="A5076" s="196" t="s">
        <v>11229</v>
      </c>
      <c r="B5076" s="196" t="s">
        <v>11230</v>
      </c>
      <c r="C5076" s="196" t="s">
        <v>23030</v>
      </c>
      <c r="D5076" s="196" t="s">
        <v>23031</v>
      </c>
      <c r="E5076" s="196" t="s">
        <v>23031</v>
      </c>
      <c r="F5076" s="196" t="s">
        <v>11233</v>
      </c>
      <c r="G5076" s="196" t="s">
        <v>12378</v>
      </c>
      <c r="H5076" s="196" t="s">
        <v>11235</v>
      </c>
    </row>
    <row r="5077" spans="1:8" x14ac:dyDescent="0.15">
      <c r="A5077" s="196" t="s">
        <v>11229</v>
      </c>
      <c r="B5077" s="196" t="s">
        <v>11230</v>
      </c>
      <c r="C5077" s="196" t="s">
        <v>23032</v>
      </c>
      <c r="D5077" s="196" t="s">
        <v>23033</v>
      </c>
      <c r="E5077" s="196" t="s">
        <v>23033</v>
      </c>
      <c r="F5077" s="196" t="s">
        <v>11233</v>
      </c>
      <c r="G5077" s="196" t="s">
        <v>12378</v>
      </c>
      <c r="H5077" s="196" t="s">
        <v>11235</v>
      </c>
    </row>
    <row r="5078" spans="1:8" x14ac:dyDescent="0.15">
      <c r="A5078" s="196" t="s">
        <v>11229</v>
      </c>
      <c r="B5078" s="196" t="s">
        <v>11230</v>
      </c>
      <c r="C5078" s="196" t="s">
        <v>23034</v>
      </c>
      <c r="D5078" s="196" t="s">
        <v>23035</v>
      </c>
      <c r="E5078" s="196" t="s">
        <v>23035</v>
      </c>
      <c r="F5078" s="196" t="s">
        <v>11233</v>
      </c>
      <c r="G5078" s="196" t="s">
        <v>12378</v>
      </c>
      <c r="H5078" s="196" t="s">
        <v>11235</v>
      </c>
    </row>
    <row r="5079" spans="1:8" x14ac:dyDescent="0.15">
      <c r="A5079" s="196" t="s">
        <v>11229</v>
      </c>
      <c r="B5079" s="196" t="s">
        <v>11230</v>
      </c>
      <c r="C5079" s="196" t="s">
        <v>23036</v>
      </c>
      <c r="D5079" s="196" t="s">
        <v>23037</v>
      </c>
      <c r="E5079" s="196" t="s">
        <v>23037</v>
      </c>
      <c r="F5079" s="196" t="s">
        <v>11233</v>
      </c>
      <c r="G5079" s="196" t="s">
        <v>12378</v>
      </c>
      <c r="H5079" s="196" t="s">
        <v>11235</v>
      </c>
    </row>
    <row r="5080" spans="1:8" x14ac:dyDescent="0.15">
      <c r="A5080" s="196" t="s">
        <v>11229</v>
      </c>
      <c r="B5080" s="196" t="s">
        <v>11230</v>
      </c>
      <c r="C5080" s="196" t="s">
        <v>23038</v>
      </c>
      <c r="D5080" s="196" t="s">
        <v>23037</v>
      </c>
      <c r="E5080" s="196" t="s">
        <v>23037</v>
      </c>
      <c r="F5080" s="196" t="s">
        <v>11233</v>
      </c>
      <c r="G5080" s="196" t="s">
        <v>11720</v>
      </c>
      <c r="H5080" s="196" t="s">
        <v>11235</v>
      </c>
    </row>
    <row r="5081" spans="1:8" x14ac:dyDescent="0.15">
      <c r="A5081" s="196" t="s">
        <v>11229</v>
      </c>
      <c r="B5081" s="196" t="s">
        <v>11230</v>
      </c>
      <c r="C5081" s="196" t="s">
        <v>23039</v>
      </c>
      <c r="D5081" s="196" t="s">
        <v>23040</v>
      </c>
      <c r="E5081" s="196" t="s">
        <v>23040</v>
      </c>
      <c r="F5081" s="196" t="s">
        <v>11233</v>
      </c>
      <c r="G5081" s="196" t="s">
        <v>12378</v>
      </c>
      <c r="H5081" s="196" t="s">
        <v>11235</v>
      </c>
    </row>
    <row r="5082" spans="1:8" x14ac:dyDescent="0.15">
      <c r="A5082" s="196" t="s">
        <v>11229</v>
      </c>
      <c r="B5082" s="196" t="s">
        <v>11230</v>
      </c>
      <c r="C5082" s="196" t="s">
        <v>23041</v>
      </c>
      <c r="D5082" s="196" t="s">
        <v>23040</v>
      </c>
      <c r="E5082" s="196" t="s">
        <v>23040</v>
      </c>
      <c r="F5082" s="196" t="s">
        <v>11233</v>
      </c>
      <c r="G5082" s="196" t="s">
        <v>11720</v>
      </c>
      <c r="H5082" s="196" t="s">
        <v>11235</v>
      </c>
    </row>
    <row r="5083" spans="1:8" x14ac:dyDescent="0.15">
      <c r="A5083" s="196" t="s">
        <v>11229</v>
      </c>
      <c r="B5083" s="196" t="s">
        <v>11230</v>
      </c>
      <c r="C5083" s="196" t="s">
        <v>23042</v>
      </c>
      <c r="D5083" s="196" t="s">
        <v>23043</v>
      </c>
      <c r="E5083" s="196" t="s">
        <v>23043</v>
      </c>
      <c r="F5083" s="196" t="s">
        <v>11233</v>
      </c>
      <c r="G5083" s="196" t="s">
        <v>12378</v>
      </c>
      <c r="H5083" s="196" t="s">
        <v>11235</v>
      </c>
    </row>
    <row r="5084" spans="1:8" x14ac:dyDescent="0.15">
      <c r="A5084" s="196" t="s">
        <v>11229</v>
      </c>
      <c r="B5084" s="196" t="s">
        <v>11230</v>
      </c>
      <c r="C5084" s="196" t="s">
        <v>23044</v>
      </c>
      <c r="D5084" s="196" t="s">
        <v>23045</v>
      </c>
      <c r="E5084" s="196" t="s">
        <v>23045</v>
      </c>
      <c r="F5084" s="196" t="s">
        <v>11233</v>
      </c>
      <c r="G5084" s="196" t="s">
        <v>12378</v>
      </c>
      <c r="H5084" s="196" t="s">
        <v>11235</v>
      </c>
    </row>
    <row r="5085" spans="1:8" x14ac:dyDescent="0.15">
      <c r="A5085" s="196" t="s">
        <v>11229</v>
      </c>
      <c r="B5085" s="196" t="s">
        <v>11230</v>
      </c>
      <c r="C5085" s="196" t="s">
        <v>23046</v>
      </c>
      <c r="D5085" s="196" t="s">
        <v>23047</v>
      </c>
      <c r="E5085" s="196" t="s">
        <v>23048</v>
      </c>
      <c r="F5085" s="196" t="s">
        <v>11241</v>
      </c>
      <c r="G5085" s="196" t="s">
        <v>11720</v>
      </c>
      <c r="H5085" s="196" t="s">
        <v>11235</v>
      </c>
    </row>
    <row r="5086" spans="1:8" x14ac:dyDescent="0.15">
      <c r="A5086" s="196" t="s">
        <v>11229</v>
      </c>
      <c r="B5086" s="196" t="s">
        <v>11230</v>
      </c>
      <c r="C5086" s="196" t="s">
        <v>23049</v>
      </c>
      <c r="D5086" s="196" t="s">
        <v>23048</v>
      </c>
      <c r="E5086" s="196" t="s">
        <v>23048</v>
      </c>
      <c r="F5086" s="196" t="s">
        <v>11233</v>
      </c>
      <c r="G5086" s="196" t="s">
        <v>12378</v>
      </c>
      <c r="H5086" s="196" t="s">
        <v>11235</v>
      </c>
    </row>
    <row r="5087" spans="1:8" x14ac:dyDescent="0.15">
      <c r="A5087" s="196" t="s">
        <v>11229</v>
      </c>
      <c r="B5087" s="196" t="s">
        <v>11230</v>
      </c>
      <c r="C5087" s="196" t="s">
        <v>23050</v>
      </c>
      <c r="D5087" s="196" t="s">
        <v>23051</v>
      </c>
      <c r="E5087" s="196" t="s">
        <v>23052</v>
      </c>
      <c r="F5087" s="196" t="s">
        <v>11268</v>
      </c>
      <c r="G5087" s="196" t="s">
        <v>11720</v>
      </c>
      <c r="H5087" s="196" t="s">
        <v>11235</v>
      </c>
    </row>
    <row r="5088" spans="1:8" x14ac:dyDescent="0.15">
      <c r="A5088" s="196" t="s">
        <v>11229</v>
      </c>
      <c r="B5088" s="196" t="s">
        <v>11230</v>
      </c>
      <c r="C5088" s="196" t="s">
        <v>23053</v>
      </c>
      <c r="D5088" s="196" t="s">
        <v>23051</v>
      </c>
      <c r="E5088" s="196" t="s">
        <v>23051</v>
      </c>
      <c r="F5088" s="196" t="s">
        <v>11233</v>
      </c>
      <c r="G5088" s="196" t="s">
        <v>11720</v>
      </c>
      <c r="H5088" s="196" t="s">
        <v>11235</v>
      </c>
    </row>
    <row r="5089" spans="1:8" x14ac:dyDescent="0.15">
      <c r="A5089" s="196" t="s">
        <v>11229</v>
      </c>
      <c r="B5089" s="196" t="s">
        <v>11230</v>
      </c>
      <c r="C5089" s="196" t="s">
        <v>23054</v>
      </c>
      <c r="D5089" s="196" t="s">
        <v>23051</v>
      </c>
      <c r="E5089" s="196" t="s">
        <v>23051</v>
      </c>
      <c r="F5089" s="196" t="s">
        <v>11233</v>
      </c>
      <c r="G5089" s="196" t="s">
        <v>12378</v>
      </c>
      <c r="H5089" s="196" t="s">
        <v>11235</v>
      </c>
    </row>
    <row r="5090" spans="1:8" x14ac:dyDescent="0.15">
      <c r="A5090" s="196" t="s">
        <v>11229</v>
      </c>
      <c r="B5090" s="196" t="s">
        <v>11230</v>
      </c>
      <c r="C5090" s="196" t="s">
        <v>23055</v>
      </c>
      <c r="D5090" s="196" t="s">
        <v>23056</v>
      </c>
      <c r="E5090" s="196" t="s">
        <v>23056</v>
      </c>
      <c r="F5090" s="196" t="s">
        <v>11233</v>
      </c>
      <c r="G5090" s="196" t="s">
        <v>12378</v>
      </c>
      <c r="H5090" s="196" t="s">
        <v>11235</v>
      </c>
    </row>
    <row r="5091" spans="1:8" x14ac:dyDescent="0.15">
      <c r="A5091" s="196" t="s">
        <v>11229</v>
      </c>
      <c r="B5091" s="196" t="s">
        <v>11230</v>
      </c>
      <c r="C5091" s="196" t="s">
        <v>23057</v>
      </c>
      <c r="D5091" s="196" t="s">
        <v>23058</v>
      </c>
      <c r="E5091" s="196" t="s">
        <v>23058</v>
      </c>
      <c r="F5091" s="196" t="s">
        <v>11233</v>
      </c>
      <c r="G5091" s="196" t="s">
        <v>12378</v>
      </c>
      <c r="H5091" s="196" t="s">
        <v>11235</v>
      </c>
    </row>
    <row r="5092" spans="1:8" x14ac:dyDescent="0.15">
      <c r="A5092" s="196" t="s">
        <v>11229</v>
      </c>
      <c r="B5092" s="196" t="s">
        <v>11230</v>
      </c>
      <c r="C5092" s="196" t="s">
        <v>23059</v>
      </c>
      <c r="D5092" s="196" t="s">
        <v>23060</v>
      </c>
      <c r="E5092" s="196" t="s">
        <v>23060</v>
      </c>
      <c r="F5092" s="196" t="s">
        <v>11233</v>
      </c>
      <c r="G5092" s="196" t="s">
        <v>11720</v>
      </c>
      <c r="H5092" s="196" t="s">
        <v>11235</v>
      </c>
    </row>
    <row r="5093" spans="1:8" x14ac:dyDescent="0.15">
      <c r="A5093" s="196" t="s">
        <v>11229</v>
      </c>
      <c r="B5093" s="196" t="s">
        <v>11230</v>
      </c>
      <c r="C5093" s="196" t="s">
        <v>23061</v>
      </c>
      <c r="D5093" s="196" t="s">
        <v>23062</v>
      </c>
      <c r="E5093" s="196" t="s">
        <v>23062</v>
      </c>
      <c r="F5093" s="196" t="s">
        <v>11233</v>
      </c>
      <c r="G5093" s="196" t="s">
        <v>12378</v>
      </c>
      <c r="H5093" s="196" t="s">
        <v>11235</v>
      </c>
    </row>
    <row r="5094" spans="1:8" x14ac:dyDescent="0.15">
      <c r="A5094" s="196" t="s">
        <v>11229</v>
      </c>
      <c r="B5094" s="196" t="s">
        <v>11230</v>
      </c>
      <c r="C5094" s="196" t="s">
        <v>23063</v>
      </c>
      <c r="D5094" s="196" t="s">
        <v>23064</v>
      </c>
      <c r="E5094" s="196" t="s">
        <v>23064</v>
      </c>
      <c r="F5094" s="196" t="s">
        <v>11233</v>
      </c>
      <c r="G5094" s="196" t="s">
        <v>12378</v>
      </c>
      <c r="H5094" s="196" t="s">
        <v>11235</v>
      </c>
    </row>
    <row r="5095" spans="1:8" x14ac:dyDescent="0.15">
      <c r="A5095" s="196" t="s">
        <v>11229</v>
      </c>
      <c r="B5095" s="196" t="s">
        <v>11230</v>
      </c>
      <c r="C5095" s="196" t="s">
        <v>23065</v>
      </c>
      <c r="D5095" s="196" t="s">
        <v>23066</v>
      </c>
      <c r="E5095" s="196" t="s">
        <v>23066</v>
      </c>
      <c r="F5095" s="196" t="s">
        <v>11233</v>
      </c>
      <c r="G5095" s="196" t="s">
        <v>11720</v>
      </c>
      <c r="H5095" s="196" t="s">
        <v>11235</v>
      </c>
    </row>
    <row r="5096" spans="1:8" x14ac:dyDescent="0.15">
      <c r="A5096" s="196" t="s">
        <v>11229</v>
      </c>
      <c r="B5096" s="196" t="s">
        <v>11230</v>
      </c>
      <c r="C5096" s="196" t="s">
        <v>23067</v>
      </c>
      <c r="D5096" s="196" t="s">
        <v>23068</v>
      </c>
      <c r="E5096" s="196" t="s">
        <v>23068</v>
      </c>
      <c r="F5096" s="196" t="s">
        <v>11233</v>
      </c>
      <c r="G5096" s="196" t="s">
        <v>11720</v>
      </c>
      <c r="H5096" s="196" t="s">
        <v>11235</v>
      </c>
    </row>
    <row r="5097" spans="1:8" x14ac:dyDescent="0.15">
      <c r="A5097" s="196" t="s">
        <v>11229</v>
      </c>
      <c r="B5097" s="196" t="s">
        <v>11230</v>
      </c>
      <c r="C5097" s="196" t="s">
        <v>23069</v>
      </c>
      <c r="D5097" s="196" t="s">
        <v>23070</v>
      </c>
      <c r="E5097" s="196" t="s">
        <v>23070</v>
      </c>
      <c r="F5097" s="196" t="s">
        <v>11233</v>
      </c>
      <c r="G5097" s="196" t="s">
        <v>12378</v>
      </c>
      <c r="H5097" s="196" t="s">
        <v>11235</v>
      </c>
    </row>
    <row r="5098" spans="1:8" x14ac:dyDescent="0.15">
      <c r="A5098" s="196" t="s">
        <v>11229</v>
      </c>
      <c r="B5098" s="196" t="s">
        <v>11230</v>
      </c>
      <c r="C5098" s="196" t="s">
        <v>23071</v>
      </c>
      <c r="D5098" s="196" t="s">
        <v>23072</v>
      </c>
      <c r="E5098" s="196" t="s">
        <v>23072</v>
      </c>
      <c r="F5098" s="196" t="s">
        <v>11233</v>
      </c>
      <c r="G5098" s="196" t="s">
        <v>12378</v>
      </c>
      <c r="H5098" s="196" t="s">
        <v>11235</v>
      </c>
    </row>
    <row r="5099" spans="1:8" x14ac:dyDescent="0.15">
      <c r="A5099" s="196" t="s">
        <v>11229</v>
      </c>
      <c r="B5099" s="196" t="s">
        <v>11230</v>
      </c>
      <c r="C5099" s="196" t="s">
        <v>23073</v>
      </c>
      <c r="D5099" s="196" t="s">
        <v>23074</v>
      </c>
      <c r="E5099" s="196" t="s">
        <v>23075</v>
      </c>
      <c r="F5099" s="196" t="s">
        <v>23076</v>
      </c>
      <c r="G5099" s="196" t="s">
        <v>11720</v>
      </c>
      <c r="H5099" s="196" t="s">
        <v>11235</v>
      </c>
    </row>
    <row r="5100" spans="1:8" x14ac:dyDescent="0.15">
      <c r="A5100" s="196" t="s">
        <v>11229</v>
      </c>
      <c r="B5100" s="196" t="s">
        <v>11230</v>
      </c>
      <c r="C5100" s="196" t="s">
        <v>23077</v>
      </c>
      <c r="D5100" s="196" t="s">
        <v>23078</v>
      </c>
      <c r="E5100" s="196" t="s">
        <v>23079</v>
      </c>
      <c r="F5100" s="196" t="s">
        <v>23080</v>
      </c>
      <c r="G5100" s="196" t="s">
        <v>12378</v>
      </c>
      <c r="H5100" s="196" t="s">
        <v>11235</v>
      </c>
    </row>
    <row r="5101" spans="1:8" x14ac:dyDescent="0.15">
      <c r="A5101" s="196" t="s">
        <v>11229</v>
      </c>
      <c r="B5101" s="196" t="s">
        <v>11230</v>
      </c>
      <c r="C5101" s="196" t="s">
        <v>23081</v>
      </c>
      <c r="D5101" s="196" t="s">
        <v>23082</v>
      </c>
      <c r="E5101" s="196" t="s">
        <v>23082</v>
      </c>
      <c r="F5101" s="196" t="s">
        <v>11233</v>
      </c>
      <c r="G5101" s="196" t="s">
        <v>12378</v>
      </c>
      <c r="H5101" s="196" t="s">
        <v>11235</v>
      </c>
    </row>
    <row r="5102" spans="1:8" x14ac:dyDescent="0.15">
      <c r="A5102" s="196" t="s">
        <v>11229</v>
      </c>
      <c r="B5102" s="196" t="s">
        <v>11230</v>
      </c>
      <c r="C5102" s="196" t="s">
        <v>23083</v>
      </c>
      <c r="D5102" s="196" t="s">
        <v>23084</v>
      </c>
      <c r="E5102" s="196" t="s">
        <v>23084</v>
      </c>
      <c r="F5102" s="196" t="s">
        <v>11233</v>
      </c>
      <c r="G5102" s="196" t="s">
        <v>11720</v>
      </c>
      <c r="H5102" s="196" t="s">
        <v>11235</v>
      </c>
    </row>
    <row r="5103" spans="1:8" x14ac:dyDescent="0.15">
      <c r="A5103" s="196" t="s">
        <v>11229</v>
      </c>
      <c r="B5103" s="196" t="s">
        <v>11230</v>
      </c>
      <c r="C5103" s="196" t="s">
        <v>23085</v>
      </c>
      <c r="D5103" s="196" t="s">
        <v>23086</v>
      </c>
      <c r="E5103" s="196" t="s">
        <v>23086</v>
      </c>
      <c r="F5103" s="196" t="s">
        <v>11233</v>
      </c>
      <c r="G5103" s="196" t="s">
        <v>12378</v>
      </c>
      <c r="H5103" s="196" t="s">
        <v>11235</v>
      </c>
    </row>
    <row r="5104" spans="1:8" x14ac:dyDescent="0.15">
      <c r="A5104" s="196" t="s">
        <v>11229</v>
      </c>
      <c r="B5104" s="196" t="s">
        <v>11230</v>
      </c>
      <c r="C5104" s="196" t="s">
        <v>23087</v>
      </c>
      <c r="D5104" s="196" t="s">
        <v>23088</v>
      </c>
      <c r="E5104" s="196" t="s">
        <v>23088</v>
      </c>
      <c r="F5104" s="196" t="s">
        <v>11233</v>
      </c>
      <c r="G5104" s="196" t="s">
        <v>11720</v>
      </c>
      <c r="H5104" s="196" t="s">
        <v>11235</v>
      </c>
    </row>
    <row r="5105" spans="1:8" x14ac:dyDescent="0.15">
      <c r="A5105" s="196" t="s">
        <v>11229</v>
      </c>
      <c r="B5105" s="196" t="s">
        <v>11230</v>
      </c>
      <c r="C5105" s="196" t="s">
        <v>23089</v>
      </c>
      <c r="D5105" s="196" t="s">
        <v>23090</v>
      </c>
      <c r="E5105" s="196" t="s">
        <v>23090</v>
      </c>
      <c r="F5105" s="196" t="s">
        <v>11233</v>
      </c>
      <c r="G5105" s="196" t="s">
        <v>12378</v>
      </c>
      <c r="H5105" s="196" t="s">
        <v>11235</v>
      </c>
    </row>
    <row r="5106" spans="1:8" x14ac:dyDescent="0.15">
      <c r="A5106" s="196" t="s">
        <v>11229</v>
      </c>
      <c r="B5106" s="196" t="s">
        <v>11230</v>
      </c>
      <c r="C5106" s="196" t="s">
        <v>23091</v>
      </c>
      <c r="D5106" s="196" t="s">
        <v>23092</v>
      </c>
      <c r="E5106" s="196" t="s">
        <v>23092</v>
      </c>
      <c r="F5106" s="196" t="s">
        <v>11233</v>
      </c>
      <c r="G5106" s="196" t="s">
        <v>11720</v>
      </c>
      <c r="H5106" s="196" t="s">
        <v>11235</v>
      </c>
    </row>
    <row r="5107" spans="1:8" x14ac:dyDescent="0.15">
      <c r="A5107" s="196" t="s">
        <v>11229</v>
      </c>
      <c r="B5107" s="196" t="s">
        <v>11230</v>
      </c>
      <c r="C5107" s="196" t="s">
        <v>23093</v>
      </c>
      <c r="D5107" s="196" t="s">
        <v>23094</v>
      </c>
      <c r="E5107" s="196" t="s">
        <v>23094</v>
      </c>
      <c r="F5107" s="196" t="s">
        <v>11233</v>
      </c>
      <c r="G5107" s="196" t="s">
        <v>12378</v>
      </c>
      <c r="H5107" s="196" t="s">
        <v>11235</v>
      </c>
    </row>
    <row r="5108" spans="1:8" x14ac:dyDescent="0.15">
      <c r="A5108" s="196" t="s">
        <v>11229</v>
      </c>
      <c r="B5108" s="196" t="s">
        <v>11230</v>
      </c>
      <c r="C5108" s="196" t="s">
        <v>23095</v>
      </c>
      <c r="D5108" s="196" t="s">
        <v>23096</v>
      </c>
      <c r="E5108" s="196" t="s">
        <v>23097</v>
      </c>
      <c r="F5108" s="196" t="s">
        <v>11241</v>
      </c>
      <c r="G5108" s="196" t="s">
        <v>11720</v>
      </c>
      <c r="H5108" s="196" t="s">
        <v>11235</v>
      </c>
    </row>
    <row r="5109" spans="1:8" x14ac:dyDescent="0.15">
      <c r="A5109" s="196" t="s">
        <v>11229</v>
      </c>
      <c r="B5109" s="196" t="s">
        <v>11230</v>
      </c>
      <c r="C5109" s="196" t="s">
        <v>23098</v>
      </c>
      <c r="D5109" s="196" t="s">
        <v>23097</v>
      </c>
      <c r="E5109" s="196" t="s">
        <v>23097</v>
      </c>
      <c r="F5109" s="196" t="s">
        <v>11233</v>
      </c>
      <c r="G5109" s="196" t="s">
        <v>12378</v>
      </c>
      <c r="H5109" s="196" t="s">
        <v>11235</v>
      </c>
    </row>
    <row r="5110" spans="1:8" x14ac:dyDescent="0.15">
      <c r="A5110" s="196" t="s">
        <v>11229</v>
      </c>
      <c r="B5110" s="196" t="s">
        <v>11230</v>
      </c>
      <c r="C5110" s="196" t="s">
        <v>23099</v>
      </c>
      <c r="D5110" s="196" t="s">
        <v>23100</v>
      </c>
      <c r="E5110" s="196" t="s">
        <v>23100</v>
      </c>
      <c r="F5110" s="196" t="s">
        <v>11233</v>
      </c>
      <c r="G5110" s="196" t="s">
        <v>12378</v>
      </c>
      <c r="H5110" s="196" t="s">
        <v>11235</v>
      </c>
    </row>
    <row r="5111" spans="1:8" x14ac:dyDescent="0.15">
      <c r="A5111" s="196" t="s">
        <v>11229</v>
      </c>
      <c r="B5111" s="196" t="s">
        <v>11230</v>
      </c>
      <c r="C5111" s="196" t="s">
        <v>23101</v>
      </c>
      <c r="D5111" s="196" t="s">
        <v>23102</v>
      </c>
      <c r="E5111" s="196" t="s">
        <v>23103</v>
      </c>
      <c r="F5111" s="196" t="s">
        <v>11268</v>
      </c>
      <c r="G5111" s="196" t="s">
        <v>11720</v>
      </c>
      <c r="H5111" s="196" t="s">
        <v>11235</v>
      </c>
    </row>
    <row r="5112" spans="1:8" x14ac:dyDescent="0.15">
      <c r="A5112" s="196" t="s">
        <v>11229</v>
      </c>
      <c r="B5112" s="196" t="s">
        <v>11230</v>
      </c>
      <c r="C5112" s="196" t="s">
        <v>23104</v>
      </c>
      <c r="D5112" s="196" t="s">
        <v>23102</v>
      </c>
      <c r="E5112" s="196" t="s">
        <v>23102</v>
      </c>
      <c r="F5112" s="196" t="s">
        <v>11233</v>
      </c>
      <c r="G5112" s="196" t="s">
        <v>12378</v>
      </c>
      <c r="H5112" s="196" t="s">
        <v>11235</v>
      </c>
    </row>
    <row r="5113" spans="1:8" x14ac:dyDescent="0.15">
      <c r="A5113" s="196" t="s">
        <v>11229</v>
      </c>
      <c r="B5113" s="196" t="s">
        <v>11230</v>
      </c>
      <c r="C5113" s="196" t="s">
        <v>23105</v>
      </c>
      <c r="D5113" s="196" t="s">
        <v>23103</v>
      </c>
      <c r="E5113" s="196" t="s">
        <v>23106</v>
      </c>
      <c r="F5113" s="196" t="s">
        <v>11241</v>
      </c>
      <c r="G5113" s="196" t="s">
        <v>12378</v>
      </c>
      <c r="H5113" s="196" t="s">
        <v>11235</v>
      </c>
    </row>
    <row r="5114" spans="1:8" x14ac:dyDescent="0.15">
      <c r="A5114" s="196" t="s">
        <v>11229</v>
      </c>
      <c r="B5114" s="196" t="s">
        <v>11230</v>
      </c>
      <c r="C5114" s="196" t="s">
        <v>23107</v>
      </c>
      <c r="D5114" s="196" t="s">
        <v>23108</v>
      </c>
      <c r="E5114" s="196" t="s">
        <v>23108</v>
      </c>
      <c r="F5114" s="196" t="s">
        <v>11233</v>
      </c>
      <c r="G5114" s="196" t="s">
        <v>12378</v>
      </c>
      <c r="H5114" s="196" t="s">
        <v>11235</v>
      </c>
    </row>
    <row r="5115" spans="1:8" x14ac:dyDescent="0.15">
      <c r="A5115" s="196" t="s">
        <v>11229</v>
      </c>
      <c r="B5115" s="196" t="s">
        <v>11230</v>
      </c>
      <c r="C5115" s="196" t="s">
        <v>23109</v>
      </c>
      <c r="D5115" s="196" t="s">
        <v>23110</v>
      </c>
      <c r="E5115" s="196" t="s">
        <v>23110</v>
      </c>
      <c r="F5115" s="196" t="s">
        <v>11233</v>
      </c>
      <c r="G5115" s="196" t="s">
        <v>11720</v>
      </c>
      <c r="H5115" s="196" t="s">
        <v>11235</v>
      </c>
    </row>
    <row r="5116" spans="1:8" x14ac:dyDescent="0.15">
      <c r="A5116" s="196" t="s">
        <v>11229</v>
      </c>
      <c r="B5116" s="196" t="s">
        <v>11230</v>
      </c>
      <c r="C5116" s="196" t="s">
        <v>23111</v>
      </c>
      <c r="D5116" s="196" t="s">
        <v>23112</v>
      </c>
      <c r="E5116" s="196" t="s">
        <v>23112</v>
      </c>
      <c r="F5116" s="196" t="s">
        <v>11233</v>
      </c>
      <c r="G5116" s="196" t="s">
        <v>12378</v>
      </c>
      <c r="H5116" s="196" t="s">
        <v>11235</v>
      </c>
    </row>
    <row r="5117" spans="1:8" x14ac:dyDescent="0.15">
      <c r="A5117" s="196" t="s">
        <v>11229</v>
      </c>
      <c r="B5117" s="196" t="s">
        <v>11230</v>
      </c>
      <c r="C5117" s="196" t="s">
        <v>23113</v>
      </c>
      <c r="D5117" s="196" t="s">
        <v>23114</v>
      </c>
      <c r="E5117" s="196" t="s">
        <v>23115</v>
      </c>
      <c r="F5117" s="196" t="s">
        <v>11241</v>
      </c>
      <c r="G5117" s="196" t="s">
        <v>11720</v>
      </c>
      <c r="H5117" s="196" t="s">
        <v>11235</v>
      </c>
    </row>
    <row r="5118" spans="1:8" x14ac:dyDescent="0.15">
      <c r="A5118" s="196" t="s">
        <v>11229</v>
      </c>
      <c r="B5118" s="196" t="s">
        <v>11230</v>
      </c>
      <c r="C5118" s="196" t="s">
        <v>23116</v>
      </c>
      <c r="D5118" s="196" t="s">
        <v>23117</v>
      </c>
      <c r="E5118" s="196" t="s">
        <v>23118</v>
      </c>
      <c r="F5118" s="196" t="s">
        <v>13758</v>
      </c>
      <c r="G5118" s="196" t="s">
        <v>12378</v>
      </c>
      <c r="H5118" s="196" t="s">
        <v>11235</v>
      </c>
    </row>
    <row r="5119" spans="1:8" x14ac:dyDescent="0.15">
      <c r="A5119" s="196" t="s">
        <v>11229</v>
      </c>
      <c r="B5119" s="196" t="s">
        <v>11230</v>
      </c>
      <c r="C5119" s="196" t="s">
        <v>23119</v>
      </c>
      <c r="D5119" s="196" t="s">
        <v>23118</v>
      </c>
      <c r="E5119" s="196" t="s">
        <v>23120</v>
      </c>
      <c r="F5119" s="196" t="s">
        <v>11268</v>
      </c>
      <c r="G5119" s="196" t="s">
        <v>12378</v>
      </c>
      <c r="H5119" s="196" t="s">
        <v>11235</v>
      </c>
    </row>
    <row r="5120" spans="1:8" x14ac:dyDescent="0.15">
      <c r="A5120" s="196" t="s">
        <v>11229</v>
      </c>
      <c r="B5120" s="196" t="s">
        <v>11230</v>
      </c>
      <c r="C5120" s="196" t="s">
        <v>23121</v>
      </c>
      <c r="D5120" s="196" t="s">
        <v>23120</v>
      </c>
      <c r="E5120" s="196" t="s">
        <v>23122</v>
      </c>
      <c r="F5120" s="196" t="s">
        <v>11241</v>
      </c>
      <c r="G5120" s="196" t="s">
        <v>12378</v>
      </c>
      <c r="H5120" s="196" t="s">
        <v>11235</v>
      </c>
    </row>
    <row r="5121" spans="1:8" x14ac:dyDescent="0.15">
      <c r="A5121" s="196" t="s">
        <v>11229</v>
      </c>
      <c r="B5121" s="196" t="s">
        <v>11230</v>
      </c>
      <c r="C5121" s="196" t="s">
        <v>23123</v>
      </c>
      <c r="D5121" s="196" t="s">
        <v>23122</v>
      </c>
      <c r="E5121" s="196" t="s">
        <v>23124</v>
      </c>
      <c r="F5121" s="196" t="s">
        <v>11241</v>
      </c>
      <c r="G5121" s="196" t="s">
        <v>12378</v>
      </c>
      <c r="H5121" s="196" t="s">
        <v>11235</v>
      </c>
    </row>
    <row r="5122" spans="1:8" x14ac:dyDescent="0.15">
      <c r="A5122" s="196" t="s">
        <v>11229</v>
      </c>
      <c r="B5122" s="196" t="s">
        <v>11230</v>
      </c>
      <c r="C5122" s="196" t="s">
        <v>23125</v>
      </c>
      <c r="D5122" s="196" t="s">
        <v>23122</v>
      </c>
      <c r="E5122" s="196" t="s">
        <v>23122</v>
      </c>
      <c r="F5122" s="196" t="s">
        <v>11233</v>
      </c>
      <c r="G5122" s="196" t="s">
        <v>11720</v>
      </c>
      <c r="H5122" s="196" t="s">
        <v>11235</v>
      </c>
    </row>
    <row r="5123" spans="1:8" x14ac:dyDescent="0.15">
      <c r="A5123" s="196" t="s">
        <v>11229</v>
      </c>
      <c r="B5123" s="196" t="s">
        <v>11230</v>
      </c>
      <c r="C5123" s="196" t="s">
        <v>23126</v>
      </c>
      <c r="D5123" s="196" t="s">
        <v>23124</v>
      </c>
      <c r="E5123" s="196" t="s">
        <v>23127</v>
      </c>
      <c r="F5123" s="196" t="s">
        <v>11268</v>
      </c>
      <c r="G5123" s="196" t="s">
        <v>11720</v>
      </c>
      <c r="H5123" s="196" t="s">
        <v>11235</v>
      </c>
    </row>
    <row r="5124" spans="1:8" x14ac:dyDescent="0.15">
      <c r="A5124" s="196" t="s">
        <v>11229</v>
      </c>
      <c r="B5124" s="196" t="s">
        <v>11230</v>
      </c>
      <c r="C5124" s="196" t="s">
        <v>23128</v>
      </c>
      <c r="D5124" s="196" t="s">
        <v>23127</v>
      </c>
      <c r="E5124" s="196" t="s">
        <v>23129</v>
      </c>
      <c r="F5124" s="196" t="s">
        <v>11241</v>
      </c>
      <c r="G5124" s="196" t="s">
        <v>12378</v>
      </c>
      <c r="H5124" s="196" t="s">
        <v>11235</v>
      </c>
    </row>
    <row r="5125" spans="1:8" x14ac:dyDescent="0.15">
      <c r="A5125" s="196" t="s">
        <v>11229</v>
      </c>
      <c r="B5125" s="196" t="s">
        <v>11230</v>
      </c>
      <c r="C5125" s="196" t="s">
        <v>23130</v>
      </c>
      <c r="D5125" s="196" t="s">
        <v>23129</v>
      </c>
      <c r="E5125" s="196" t="s">
        <v>23129</v>
      </c>
      <c r="F5125" s="196" t="s">
        <v>11233</v>
      </c>
      <c r="G5125" s="196" t="s">
        <v>11720</v>
      </c>
      <c r="H5125" s="196" t="s">
        <v>11235</v>
      </c>
    </row>
    <row r="5126" spans="1:8" x14ac:dyDescent="0.15">
      <c r="A5126" s="196" t="s">
        <v>11229</v>
      </c>
      <c r="B5126" s="196" t="s">
        <v>11230</v>
      </c>
      <c r="C5126" s="196" t="s">
        <v>23131</v>
      </c>
      <c r="D5126" s="196" t="s">
        <v>23132</v>
      </c>
      <c r="E5126" s="196" t="s">
        <v>23133</v>
      </c>
      <c r="F5126" s="196" t="s">
        <v>13758</v>
      </c>
      <c r="G5126" s="196" t="s">
        <v>11720</v>
      </c>
      <c r="H5126" s="196" t="s">
        <v>11235</v>
      </c>
    </row>
    <row r="5127" spans="1:8" x14ac:dyDescent="0.15">
      <c r="A5127" s="196" t="s">
        <v>11229</v>
      </c>
      <c r="B5127" s="196" t="s">
        <v>11230</v>
      </c>
      <c r="C5127" s="196" t="s">
        <v>23134</v>
      </c>
      <c r="D5127" s="196" t="s">
        <v>23133</v>
      </c>
      <c r="E5127" s="196" t="s">
        <v>23135</v>
      </c>
      <c r="F5127" s="196" t="s">
        <v>11268</v>
      </c>
      <c r="G5127" s="196" t="s">
        <v>11720</v>
      </c>
      <c r="H5127" s="196" t="s">
        <v>11235</v>
      </c>
    </row>
    <row r="5128" spans="1:8" x14ac:dyDescent="0.15">
      <c r="A5128" s="196" t="s">
        <v>11229</v>
      </c>
      <c r="B5128" s="196" t="s">
        <v>11230</v>
      </c>
      <c r="C5128" s="196" t="s">
        <v>23136</v>
      </c>
      <c r="D5128" s="196" t="s">
        <v>23137</v>
      </c>
      <c r="E5128" s="196" t="s">
        <v>23137</v>
      </c>
      <c r="F5128" s="196" t="s">
        <v>11233</v>
      </c>
      <c r="G5128" s="196" t="s">
        <v>12378</v>
      </c>
      <c r="H5128" s="196" t="s">
        <v>11235</v>
      </c>
    </row>
    <row r="5129" spans="1:8" x14ac:dyDescent="0.15">
      <c r="A5129" s="196" t="s">
        <v>11229</v>
      </c>
      <c r="B5129" s="196" t="s">
        <v>11230</v>
      </c>
      <c r="C5129" s="196" t="s">
        <v>23138</v>
      </c>
      <c r="D5129" s="196" t="s">
        <v>23139</v>
      </c>
      <c r="E5129" s="196" t="s">
        <v>23140</v>
      </c>
      <c r="F5129" s="196" t="s">
        <v>11268</v>
      </c>
      <c r="G5129" s="196" t="s">
        <v>12378</v>
      </c>
      <c r="H5129" s="196" t="s">
        <v>11235</v>
      </c>
    </row>
    <row r="5130" spans="1:8" x14ac:dyDescent="0.15">
      <c r="A5130" s="196" t="s">
        <v>11229</v>
      </c>
      <c r="B5130" s="196" t="s">
        <v>11230</v>
      </c>
      <c r="C5130" s="196" t="s">
        <v>23141</v>
      </c>
      <c r="D5130" s="196" t="s">
        <v>23140</v>
      </c>
      <c r="E5130" s="196" t="s">
        <v>23142</v>
      </c>
      <c r="F5130" s="196" t="s">
        <v>11241</v>
      </c>
      <c r="G5130" s="196" t="s">
        <v>12378</v>
      </c>
      <c r="H5130" s="196" t="s">
        <v>11235</v>
      </c>
    </row>
    <row r="5131" spans="1:8" x14ac:dyDescent="0.15">
      <c r="A5131" s="196" t="s">
        <v>11229</v>
      </c>
      <c r="B5131" s="196" t="s">
        <v>11230</v>
      </c>
      <c r="C5131" s="196" t="s">
        <v>23143</v>
      </c>
      <c r="D5131" s="196" t="s">
        <v>23144</v>
      </c>
      <c r="E5131" s="196" t="s">
        <v>23145</v>
      </c>
      <c r="F5131" s="196" t="s">
        <v>11241</v>
      </c>
      <c r="G5131" s="196" t="s">
        <v>11720</v>
      </c>
      <c r="H5131" s="196" t="s">
        <v>11235</v>
      </c>
    </row>
    <row r="5132" spans="1:8" x14ac:dyDescent="0.15">
      <c r="A5132" s="196" t="s">
        <v>11229</v>
      </c>
      <c r="B5132" s="196" t="s">
        <v>11230</v>
      </c>
      <c r="C5132" s="196" t="s">
        <v>23146</v>
      </c>
      <c r="D5132" s="196" t="s">
        <v>23147</v>
      </c>
      <c r="E5132" s="196" t="s">
        <v>23148</v>
      </c>
      <c r="F5132" s="196" t="s">
        <v>11241</v>
      </c>
      <c r="G5132" s="196" t="s">
        <v>12378</v>
      </c>
      <c r="H5132" s="196" t="s">
        <v>11235</v>
      </c>
    </row>
    <row r="5133" spans="1:8" x14ac:dyDescent="0.15">
      <c r="A5133" s="196" t="s">
        <v>11229</v>
      </c>
      <c r="B5133" s="196" t="s">
        <v>11230</v>
      </c>
      <c r="C5133" s="196" t="s">
        <v>23149</v>
      </c>
      <c r="D5133" s="196" t="s">
        <v>23150</v>
      </c>
      <c r="E5133" s="196" t="s">
        <v>23150</v>
      </c>
      <c r="F5133" s="196" t="s">
        <v>11233</v>
      </c>
      <c r="G5133" s="196" t="s">
        <v>12378</v>
      </c>
      <c r="H5133" s="196" t="s">
        <v>11235</v>
      </c>
    </row>
    <row r="5134" spans="1:8" x14ac:dyDescent="0.15">
      <c r="A5134" s="196" t="s">
        <v>11229</v>
      </c>
      <c r="B5134" s="196" t="s">
        <v>11230</v>
      </c>
      <c r="C5134" s="196" t="s">
        <v>23151</v>
      </c>
      <c r="D5134" s="196" t="s">
        <v>23152</v>
      </c>
      <c r="E5134" s="196" t="s">
        <v>23152</v>
      </c>
      <c r="F5134" s="196" t="s">
        <v>11233</v>
      </c>
      <c r="G5134" s="196" t="s">
        <v>12378</v>
      </c>
      <c r="H5134" s="196" t="s">
        <v>11235</v>
      </c>
    </row>
    <row r="5135" spans="1:8" x14ac:dyDescent="0.15">
      <c r="A5135" s="196" t="s">
        <v>11229</v>
      </c>
      <c r="B5135" s="196" t="s">
        <v>11230</v>
      </c>
      <c r="C5135" s="196" t="s">
        <v>23153</v>
      </c>
      <c r="D5135" s="196" t="s">
        <v>23154</v>
      </c>
      <c r="E5135" s="196" t="s">
        <v>23155</v>
      </c>
      <c r="F5135" s="196" t="s">
        <v>13023</v>
      </c>
      <c r="G5135" s="196" t="s">
        <v>11720</v>
      </c>
      <c r="H5135" s="196" t="s">
        <v>11235</v>
      </c>
    </row>
    <row r="5136" spans="1:8" x14ac:dyDescent="0.15">
      <c r="A5136" s="196" t="s">
        <v>11229</v>
      </c>
      <c r="B5136" s="196" t="s">
        <v>11230</v>
      </c>
      <c r="C5136" s="196" t="s">
        <v>23156</v>
      </c>
      <c r="D5136" s="196" t="s">
        <v>23157</v>
      </c>
      <c r="E5136" s="196" t="s">
        <v>23157</v>
      </c>
      <c r="F5136" s="196" t="s">
        <v>11233</v>
      </c>
      <c r="G5136" s="196" t="s">
        <v>12378</v>
      </c>
      <c r="H5136" s="196" t="s">
        <v>11235</v>
      </c>
    </row>
    <row r="5137" spans="1:8" x14ac:dyDescent="0.15">
      <c r="A5137" s="196" t="s">
        <v>11229</v>
      </c>
      <c r="B5137" s="196" t="s">
        <v>11230</v>
      </c>
      <c r="C5137" s="196" t="s">
        <v>23158</v>
      </c>
      <c r="D5137" s="196" t="s">
        <v>23159</v>
      </c>
      <c r="E5137" s="196" t="s">
        <v>23159</v>
      </c>
      <c r="F5137" s="196" t="s">
        <v>11233</v>
      </c>
      <c r="G5137" s="196" t="s">
        <v>12378</v>
      </c>
      <c r="H5137" s="196" t="s">
        <v>11235</v>
      </c>
    </row>
    <row r="5138" spans="1:8" x14ac:dyDescent="0.15">
      <c r="A5138" s="196" t="s">
        <v>11229</v>
      </c>
      <c r="B5138" s="196" t="s">
        <v>11230</v>
      </c>
      <c r="C5138" s="196" t="s">
        <v>23160</v>
      </c>
      <c r="D5138" s="196" t="s">
        <v>23161</v>
      </c>
      <c r="E5138" s="196" t="s">
        <v>23161</v>
      </c>
      <c r="F5138" s="196" t="s">
        <v>11233</v>
      </c>
      <c r="G5138" s="196" t="s">
        <v>12378</v>
      </c>
      <c r="H5138" s="196" t="s">
        <v>11235</v>
      </c>
    </row>
    <row r="5139" spans="1:8" x14ac:dyDescent="0.15">
      <c r="A5139" s="196" t="s">
        <v>11229</v>
      </c>
      <c r="B5139" s="196" t="s">
        <v>11230</v>
      </c>
      <c r="C5139" s="196" t="s">
        <v>23162</v>
      </c>
      <c r="D5139" s="196" t="s">
        <v>23163</v>
      </c>
      <c r="E5139" s="196" t="s">
        <v>23163</v>
      </c>
      <c r="F5139" s="196" t="s">
        <v>11233</v>
      </c>
      <c r="G5139" s="196" t="s">
        <v>11720</v>
      </c>
      <c r="H5139" s="196" t="s">
        <v>11235</v>
      </c>
    </row>
    <row r="5140" spans="1:8" x14ac:dyDescent="0.15">
      <c r="A5140" s="196" t="s">
        <v>11229</v>
      </c>
      <c r="B5140" s="196" t="s">
        <v>11230</v>
      </c>
      <c r="C5140" s="196" t="s">
        <v>23164</v>
      </c>
      <c r="D5140" s="196" t="s">
        <v>23165</v>
      </c>
      <c r="E5140" s="196" t="s">
        <v>23165</v>
      </c>
      <c r="F5140" s="196" t="s">
        <v>11233</v>
      </c>
      <c r="G5140" s="196" t="s">
        <v>12378</v>
      </c>
      <c r="H5140" s="196" t="s">
        <v>11235</v>
      </c>
    </row>
    <row r="5141" spans="1:8" x14ac:dyDescent="0.15">
      <c r="A5141" s="196" t="s">
        <v>11229</v>
      </c>
      <c r="B5141" s="196" t="s">
        <v>11230</v>
      </c>
      <c r="C5141" s="196" t="s">
        <v>23166</v>
      </c>
      <c r="D5141" s="196" t="s">
        <v>23167</v>
      </c>
      <c r="E5141" s="196" t="s">
        <v>23167</v>
      </c>
      <c r="F5141" s="196" t="s">
        <v>11233</v>
      </c>
      <c r="G5141" s="196" t="s">
        <v>11720</v>
      </c>
      <c r="H5141" s="196" t="s">
        <v>11235</v>
      </c>
    </row>
    <row r="5142" spans="1:8" x14ac:dyDescent="0.15">
      <c r="A5142" s="196" t="s">
        <v>11229</v>
      </c>
      <c r="B5142" s="196" t="s">
        <v>11230</v>
      </c>
      <c r="C5142" s="196" t="s">
        <v>23168</v>
      </c>
      <c r="D5142" s="196" t="s">
        <v>23169</v>
      </c>
      <c r="E5142" s="196" t="s">
        <v>23169</v>
      </c>
      <c r="F5142" s="196" t="s">
        <v>11233</v>
      </c>
      <c r="G5142" s="196" t="s">
        <v>12378</v>
      </c>
      <c r="H5142" s="196" t="s">
        <v>11235</v>
      </c>
    </row>
    <row r="5143" spans="1:8" x14ac:dyDescent="0.15">
      <c r="A5143" s="196" t="s">
        <v>11229</v>
      </c>
      <c r="B5143" s="196" t="s">
        <v>11230</v>
      </c>
      <c r="C5143" s="196" t="s">
        <v>23170</v>
      </c>
      <c r="D5143" s="196" t="s">
        <v>23171</v>
      </c>
      <c r="E5143" s="196" t="s">
        <v>23171</v>
      </c>
      <c r="F5143" s="196" t="s">
        <v>11233</v>
      </c>
      <c r="G5143" s="196" t="s">
        <v>11720</v>
      </c>
      <c r="H5143" s="196" t="s">
        <v>11235</v>
      </c>
    </row>
    <row r="5144" spans="1:8" x14ac:dyDescent="0.15">
      <c r="A5144" s="196" t="s">
        <v>11229</v>
      </c>
      <c r="B5144" s="196" t="s">
        <v>11230</v>
      </c>
      <c r="C5144" s="196" t="s">
        <v>23172</v>
      </c>
      <c r="D5144" s="196" t="s">
        <v>23173</v>
      </c>
      <c r="E5144" s="196" t="s">
        <v>23173</v>
      </c>
      <c r="F5144" s="196" t="s">
        <v>11233</v>
      </c>
      <c r="G5144" s="196" t="s">
        <v>11720</v>
      </c>
      <c r="H5144" s="196" t="s">
        <v>11235</v>
      </c>
    </row>
    <row r="5145" spans="1:8" x14ac:dyDescent="0.15">
      <c r="A5145" s="196" t="s">
        <v>11229</v>
      </c>
      <c r="B5145" s="196" t="s">
        <v>11230</v>
      </c>
      <c r="C5145" s="196" t="s">
        <v>23174</v>
      </c>
      <c r="D5145" s="196" t="s">
        <v>23175</v>
      </c>
      <c r="E5145" s="196" t="s">
        <v>23175</v>
      </c>
      <c r="F5145" s="196" t="s">
        <v>11233</v>
      </c>
      <c r="G5145" s="196" t="s">
        <v>11720</v>
      </c>
      <c r="H5145" s="196" t="s">
        <v>11235</v>
      </c>
    </row>
    <row r="5146" spans="1:8" x14ac:dyDescent="0.15">
      <c r="A5146" s="196" t="s">
        <v>11229</v>
      </c>
      <c r="B5146" s="196" t="s">
        <v>11230</v>
      </c>
      <c r="C5146" s="196" t="s">
        <v>23176</v>
      </c>
      <c r="D5146" s="196" t="s">
        <v>23177</v>
      </c>
      <c r="E5146" s="196" t="s">
        <v>23177</v>
      </c>
      <c r="F5146" s="196" t="s">
        <v>11233</v>
      </c>
      <c r="G5146" s="196" t="s">
        <v>11720</v>
      </c>
      <c r="H5146" s="196" t="s">
        <v>11235</v>
      </c>
    </row>
    <row r="5147" spans="1:8" x14ac:dyDescent="0.15">
      <c r="A5147" s="196" t="s">
        <v>11229</v>
      </c>
      <c r="B5147" s="196" t="s">
        <v>11230</v>
      </c>
      <c r="C5147" s="196" t="s">
        <v>23178</v>
      </c>
      <c r="D5147" s="196" t="s">
        <v>23179</v>
      </c>
      <c r="E5147" s="196" t="s">
        <v>23179</v>
      </c>
      <c r="F5147" s="196" t="s">
        <v>11233</v>
      </c>
      <c r="G5147" s="196" t="s">
        <v>12378</v>
      </c>
      <c r="H5147" s="196" t="s">
        <v>11235</v>
      </c>
    </row>
    <row r="5148" spans="1:8" x14ac:dyDescent="0.15">
      <c r="A5148" s="196" t="s">
        <v>11229</v>
      </c>
      <c r="B5148" s="196" t="s">
        <v>11230</v>
      </c>
      <c r="C5148" s="196" t="s">
        <v>23180</v>
      </c>
      <c r="D5148" s="196" t="s">
        <v>23181</v>
      </c>
      <c r="E5148" s="196" t="s">
        <v>23181</v>
      </c>
      <c r="F5148" s="196" t="s">
        <v>11233</v>
      </c>
      <c r="G5148" s="196" t="s">
        <v>11720</v>
      </c>
      <c r="H5148" s="196" t="s">
        <v>11235</v>
      </c>
    </row>
    <row r="5149" spans="1:8" x14ac:dyDescent="0.15">
      <c r="A5149" s="196" t="s">
        <v>11229</v>
      </c>
      <c r="B5149" s="196" t="s">
        <v>11230</v>
      </c>
      <c r="C5149" s="196" t="s">
        <v>23182</v>
      </c>
      <c r="D5149" s="196" t="s">
        <v>23183</v>
      </c>
      <c r="E5149" s="196" t="s">
        <v>23183</v>
      </c>
      <c r="F5149" s="196" t="s">
        <v>11233</v>
      </c>
      <c r="G5149" s="196" t="s">
        <v>12378</v>
      </c>
      <c r="H5149" s="196" t="s">
        <v>11235</v>
      </c>
    </row>
    <row r="5150" spans="1:8" x14ac:dyDescent="0.15">
      <c r="A5150" s="196" t="s">
        <v>11229</v>
      </c>
      <c r="B5150" s="196" t="s">
        <v>11230</v>
      </c>
      <c r="C5150" s="196" t="s">
        <v>23184</v>
      </c>
      <c r="D5150" s="196" t="s">
        <v>23185</v>
      </c>
      <c r="E5150" s="196" t="s">
        <v>23185</v>
      </c>
      <c r="F5150" s="196" t="s">
        <v>11233</v>
      </c>
      <c r="G5150" s="196" t="s">
        <v>12378</v>
      </c>
      <c r="H5150" s="196" t="s">
        <v>11235</v>
      </c>
    </row>
    <row r="5151" spans="1:8" x14ac:dyDescent="0.15">
      <c r="A5151" s="196" t="s">
        <v>11229</v>
      </c>
      <c r="B5151" s="196" t="s">
        <v>11230</v>
      </c>
      <c r="C5151" s="196" t="s">
        <v>23186</v>
      </c>
      <c r="D5151" s="196" t="s">
        <v>23187</v>
      </c>
      <c r="E5151" s="196" t="s">
        <v>23187</v>
      </c>
      <c r="F5151" s="196" t="s">
        <v>11233</v>
      </c>
      <c r="G5151" s="196" t="s">
        <v>12378</v>
      </c>
      <c r="H5151" s="196" t="s">
        <v>11235</v>
      </c>
    </row>
    <row r="5152" spans="1:8" x14ac:dyDescent="0.15">
      <c r="A5152" s="196" t="s">
        <v>11229</v>
      </c>
      <c r="B5152" s="196" t="s">
        <v>11230</v>
      </c>
      <c r="C5152" s="196" t="s">
        <v>23188</v>
      </c>
      <c r="D5152" s="196" t="s">
        <v>23189</v>
      </c>
      <c r="E5152" s="196" t="s">
        <v>23189</v>
      </c>
      <c r="F5152" s="196" t="s">
        <v>11233</v>
      </c>
      <c r="G5152" s="196" t="s">
        <v>12378</v>
      </c>
      <c r="H5152" s="196" t="s">
        <v>11235</v>
      </c>
    </row>
    <row r="5153" spans="1:8" x14ac:dyDescent="0.15">
      <c r="A5153" s="196" t="s">
        <v>11229</v>
      </c>
      <c r="B5153" s="196" t="s">
        <v>11230</v>
      </c>
      <c r="C5153" s="196" t="s">
        <v>23190</v>
      </c>
      <c r="D5153" s="196" t="s">
        <v>23191</v>
      </c>
      <c r="E5153" s="196" t="s">
        <v>23192</v>
      </c>
      <c r="F5153" s="196" t="s">
        <v>13099</v>
      </c>
      <c r="G5153" s="196" t="s">
        <v>12378</v>
      </c>
      <c r="H5153" s="196" t="s">
        <v>11235</v>
      </c>
    </row>
    <row r="5154" spans="1:8" x14ac:dyDescent="0.15">
      <c r="A5154" s="196" t="s">
        <v>11229</v>
      </c>
      <c r="B5154" s="196" t="s">
        <v>11230</v>
      </c>
      <c r="C5154" s="196" t="s">
        <v>23193</v>
      </c>
      <c r="D5154" s="196" t="s">
        <v>23192</v>
      </c>
      <c r="E5154" s="196" t="s">
        <v>23192</v>
      </c>
      <c r="F5154" s="196" t="s">
        <v>11233</v>
      </c>
      <c r="G5154" s="196" t="s">
        <v>12378</v>
      </c>
      <c r="H5154" s="196" t="s">
        <v>11235</v>
      </c>
    </row>
    <row r="5155" spans="1:8" x14ac:dyDescent="0.15">
      <c r="A5155" s="196" t="s">
        <v>11229</v>
      </c>
      <c r="B5155" s="196" t="s">
        <v>11230</v>
      </c>
      <c r="C5155" s="196" t="s">
        <v>23194</v>
      </c>
      <c r="D5155" s="196" t="s">
        <v>23195</v>
      </c>
      <c r="E5155" s="196" t="s">
        <v>23195</v>
      </c>
      <c r="F5155" s="196" t="s">
        <v>11233</v>
      </c>
      <c r="G5155" s="196" t="s">
        <v>12378</v>
      </c>
      <c r="H5155" s="196" t="s">
        <v>11235</v>
      </c>
    </row>
    <row r="5156" spans="1:8" x14ac:dyDescent="0.15">
      <c r="A5156" s="196" t="s">
        <v>11229</v>
      </c>
      <c r="B5156" s="196" t="s">
        <v>11230</v>
      </c>
      <c r="C5156" s="196" t="s">
        <v>23196</v>
      </c>
      <c r="D5156" s="196" t="s">
        <v>23197</v>
      </c>
      <c r="E5156" s="196" t="s">
        <v>23197</v>
      </c>
      <c r="F5156" s="196" t="s">
        <v>11233</v>
      </c>
      <c r="G5156" s="196" t="s">
        <v>12378</v>
      </c>
      <c r="H5156" s="196" t="s">
        <v>11235</v>
      </c>
    </row>
    <row r="5157" spans="1:8" x14ac:dyDescent="0.15">
      <c r="A5157" s="196" t="s">
        <v>11229</v>
      </c>
      <c r="B5157" s="196" t="s">
        <v>11230</v>
      </c>
      <c r="C5157" s="196" t="s">
        <v>23198</v>
      </c>
      <c r="D5157" s="196" t="s">
        <v>23197</v>
      </c>
      <c r="E5157" s="196" t="s">
        <v>23197</v>
      </c>
      <c r="F5157" s="196" t="s">
        <v>11233</v>
      </c>
      <c r="G5157" s="196" t="s">
        <v>11720</v>
      </c>
      <c r="H5157" s="196" t="s">
        <v>11235</v>
      </c>
    </row>
    <row r="5158" spans="1:8" x14ac:dyDescent="0.15">
      <c r="A5158" s="196" t="s">
        <v>11229</v>
      </c>
      <c r="B5158" s="196" t="s">
        <v>11230</v>
      </c>
      <c r="C5158" s="196" t="s">
        <v>23199</v>
      </c>
      <c r="D5158" s="196" t="s">
        <v>23200</v>
      </c>
      <c r="E5158" s="196" t="s">
        <v>23200</v>
      </c>
      <c r="F5158" s="196" t="s">
        <v>11233</v>
      </c>
      <c r="G5158" s="196" t="s">
        <v>12378</v>
      </c>
      <c r="H5158" s="196" t="s">
        <v>11235</v>
      </c>
    </row>
    <row r="5159" spans="1:8" x14ac:dyDescent="0.15">
      <c r="A5159" s="196" t="s">
        <v>11229</v>
      </c>
      <c r="B5159" s="196" t="s">
        <v>11230</v>
      </c>
      <c r="C5159" s="196" t="s">
        <v>23201</v>
      </c>
      <c r="D5159" s="196" t="s">
        <v>23200</v>
      </c>
      <c r="E5159" s="196" t="s">
        <v>23200</v>
      </c>
      <c r="F5159" s="196" t="s">
        <v>11233</v>
      </c>
      <c r="G5159" s="196" t="s">
        <v>11720</v>
      </c>
      <c r="H5159" s="196" t="s">
        <v>11235</v>
      </c>
    </row>
    <row r="5160" spans="1:8" x14ac:dyDescent="0.15">
      <c r="A5160" s="196" t="s">
        <v>11229</v>
      </c>
      <c r="B5160" s="196" t="s">
        <v>11230</v>
      </c>
      <c r="C5160" s="196" t="s">
        <v>23202</v>
      </c>
      <c r="D5160" s="196" t="s">
        <v>23203</v>
      </c>
      <c r="E5160" s="196" t="s">
        <v>23203</v>
      </c>
      <c r="F5160" s="196" t="s">
        <v>11233</v>
      </c>
      <c r="G5160" s="196" t="s">
        <v>12378</v>
      </c>
      <c r="H5160" s="196" t="s">
        <v>11235</v>
      </c>
    </row>
    <row r="5161" spans="1:8" x14ac:dyDescent="0.15">
      <c r="A5161" s="196" t="s">
        <v>11229</v>
      </c>
      <c r="B5161" s="196" t="s">
        <v>11230</v>
      </c>
      <c r="C5161" s="196" t="s">
        <v>23204</v>
      </c>
      <c r="D5161" s="196" t="s">
        <v>23203</v>
      </c>
      <c r="E5161" s="196" t="s">
        <v>23203</v>
      </c>
      <c r="F5161" s="196" t="s">
        <v>11233</v>
      </c>
      <c r="G5161" s="196" t="s">
        <v>11720</v>
      </c>
      <c r="H5161" s="196" t="s">
        <v>11235</v>
      </c>
    </row>
    <row r="5162" spans="1:8" x14ac:dyDescent="0.15">
      <c r="A5162" s="196" t="s">
        <v>11229</v>
      </c>
      <c r="B5162" s="196" t="s">
        <v>11230</v>
      </c>
      <c r="C5162" s="196" t="s">
        <v>23205</v>
      </c>
      <c r="D5162" s="196" t="s">
        <v>23206</v>
      </c>
      <c r="E5162" s="196" t="s">
        <v>23206</v>
      </c>
      <c r="F5162" s="196" t="s">
        <v>11233</v>
      </c>
      <c r="G5162" s="196" t="s">
        <v>12378</v>
      </c>
      <c r="H5162" s="196" t="s">
        <v>11235</v>
      </c>
    </row>
    <row r="5163" spans="1:8" x14ac:dyDescent="0.15">
      <c r="A5163" s="196" t="s">
        <v>11229</v>
      </c>
      <c r="B5163" s="196" t="s">
        <v>11230</v>
      </c>
      <c r="C5163" s="196" t="s">
        <v>23207</v>
      </c>
      <c r="D5163" s="196" t="s">
        <v>23206</v>
      </c>
      <c r="E5163" s="196" t="s">
        <v>23206</v>
      </c>
      <c r="F5163" s="196" t="s">
        <v>11233</v>
      </c>
      <c r="G5163" s="196" t="s">
        <v>11720</v>
      </c>
      <c r="H5163" s="196" t="s">
        <v>11235</v>
      </c>
    </row>
    <row r="5164" spans="1:8" x14ac:dyDescent="0.15">
      <c r="A5164" s="196" t="s">
        <v>11229</v>
      </c>
      <c r="B5164" s="196" t="s">
        <v>11230</v>
      </c>
      <c r="C5164" s="196" t="s">
        <v>23208</v>
      </c>
      <c r="D5164" s="196" t="s">
        <v>23209</v>
      </c>
      <c r="E5164" s="196" t="s">
        <v>23209</v>
      </c>
      <c r="F5164" s="196" t="s">
        <v>11233</v>
      </c>
      <c r="G5164" s="196" t="s">
        <v>12378</v>
      </c>
      <c r="H5164" s="196" t="s">
        <v>11235</v>
      </c>
    </row>
    <row r="5165" spans="1:8" x14ac:dyDescent="0.15">
      <c r="A5165" s="196" t="s">
        <v>11229</v>
      </c>
      <c r="B5165" s="196" t="s">
        <v>11230</v>
      </c>
      <c r="C5165" s="196" t="s">
        <v>23210</v>
      </c>
      <c r="D5165" s="196" t="s">
        <v>23209</v>
      </c>
      <c r="E5165" s="196" t="s">
        <v>23211</v>
      </c>
      <c r="F5165" s="196" t="s">
        <v>11241</v>
      </c>
      <c r="G5165" s="196" t="s">
        <v>11720</v>
      </c>
      <c r="H5165" s="196" t="s">
        <v>11235</v>
      </c>
    </row>
    <row r="5166" spans="1:8" x14ac:dyDescent="0.15">
      <c r="A5166" s="196" t="s">
        <v>11229</v>
      </c>
      <c r="B5166" s="196" t="s">
        <v>11230</v>
      </c>
      <c r="C5166" s="196" t="s">
        <v>23212</v>
      </c>
      <c r="D5166" s="196" t="s">
        <v>23211</v>
      </c>
      <c r="E5166" s="196" t="s">
        <v>23211</v>
      </c>
      <c r="F5166" s="196" t="s">
        <v>11233</v>
      </c>
      <c r="G5166" s="196" t="s">
        <v>12378</v>
      </c>
      <c r="H5166" s="196" t="s">
        <v>11235</v>
      </c>
    </row>
    <row r="5167" spans="1:8" x14ac:dyDescent="0.15">
      <c r="A5167" s="196" t="s">
        <v>11229</v>
      </c>
      <c r="B5167" s="196" t="s">
        <v>11230</v>
      </c>
      <c r="C5167" s="196" t="s">
        <v>23213</v>
      </c>
      <c r="D5167" s="196" t="s">
        <v>23214</v>
      </c>
      <c r="E5167" s="196" t="s">
        <v>23214</v>
      </c>
      <c r="F5167" s="196" t="s">
        <v>11233</v>
      </c>
      <c r="G5167" s="196" t="s">
        <v>12378</v>
      </c>
      <c r="H5167" s="196" t="s">
        <v>11235</v>
      </c>
    </row>
    <row r="5168" spans="1:8" x14ac:dyDescent="0.15">
      <c r="A5168" s="196" t="s">
        <v>11229</v>
      </c>
      <c r="B5168" s="196" t="s">
        <v>11230</v>
      </c>
      <c r="C5168" s="196" t="s">
        <v>23215</v>
      </c>
      <c r="D5168" s="196" t="s">
        <v>23214</v>
      </c>
      <c r="E5168" s="196" t="s">
        <v>23214</v>
      </c>
      <c r="F5168" s="196" t="s">
        <v>11233</v>
      </c>
      <c r="G5168" s="196" t="s">
        <v>11720</v>
      </c>
      <c r="H5168" s="196" t="s">
        <v>11235</v>
      </c>
    </row>
    <row r="5169" spans="1:8" x14ac:dyDescent="0.15">
      <c r="A5169" s="196" t="s">
        <v>11229</v>
      </c>
      <c r="B5169" s="196" t="s">
        <v>11230</v>
      </c>
      <c r="C5169" s="196" t="s">
        <v>23216</v>
      </c>
      <c r="D5169" s="196" t="s">
        <v>23217</v>
      </c>
      <c r="E5169" s="196" t="s">
        <v>23217</v>
      </c>
      <c r="F5169" s="196" t="s">
        <v>11233</v>
      </c>
      <c r="G5169" s="196" t="s">
        <v>12378</v>
      </c>
      <c r="H5169" s="196" t="s">
        <v>11235</v>
      </c>
    </row>
    <row r="5170" spans="1:8" x14ac:dyDescent="0.15">
      <c r="A5170" s="196" t="s">
        <v>11229</v>
      </c>
      <c r="B5170" s="196" t="s">
        <v>11230</v>
      </c>
      <c r="C5170" s="196" t="s">
        <v>23218</v>
      </c>
      <c r="D5170" s="196" t="s">
        <v>23217</v>
      </c>
      <c r="E5170" s="196" t="s">
        <v>23219</v>
      </c>
      <c r="F5170" s="196" t="s">
        <v>11241</v>
      </c>
      <c r="G5170" s="196" t="s">
        <v>11720</v>
      </c>
      <c r="H5170" s="196" t="s">
        <v>11235</v>
      </c>
    </row>
    <row r="5171" spans="1:8" x14ac:dyDescent="0.15">
      <c r="A5171" s="196" t="s">
        <v>11229</v>
      </c>
      <c r="B5171" s="196" t="s">
        <v>11230</v>
      </c>
      <c r="C5171" s="196" t="s">
        <v>23220</v>
      </c>
      <c r="D5171" s="196" t="s">
        <v>23219</v>
      </c>
      <c r="E5171" s="196" t="s">
        <v>23219</v>
      </c>
      <c r="F5171" s="196" t="s">
        <v>11233</v>
      </c>
      <c r="G5171" s="196" t="s">
        <v>12378</v>
      </c>
      <c r="H5171" s="196" t="s">
        <v>11235</v>
      </c>
    </row>
    <row r="5172" spans="1:8" x14ac:dyDescent="0.15">
      <c r="A5172" s="196" t="s">
        <v>11229</v>
      </c>
      <c r="B5172" s="196" t="s">
        <v>11230</v>
      </c>
      <c r="C5172" s="196" t="s">
        <v>23221</v>
      </c>
      <c r="D5172" s="196" t="s">
        <v>23222</v>
      </c>
      <c r="E5172" s="196" t="s">
        <v>23222</v>
      </c>
      <c r="F5172" s="196" t="s">
        <v>11233</v>
      </c>
      <c r="G5172" s="196" t="s">
        <v>12378</v>
      </c>
      <c r="H5172" s="196" t="s">
        <v>11235</v>
      </c>
    </row>
    <row r="5173" spans="1:8" x14ac:dyDescent="0.15">
      <c r="A5173" s="196" t="s">
        <v>11229</v>
      </c>
      <c r="B5173" s="196" t="s">
        <v>11230</v>
      </c>
      <c r="C5173" s="196" t="s">
        <v>23223</v>
      </c>
      <c r="D5173" s="196" t="s">
        <v>23222</v>
      </c>
      <c r="E5173" s="196" t="s">
        <v>23224</v>
      </c>
      <c r="F5173" s="196" t="s">
        <v>11241</v>
      </c>
      <c r="G5173" s="196" t="s">
        <v>11720</v>
      </c>
      <c r="H5173" s="196" t="s">
        <v>11235</v>
      </c>
    </row>
    <row r="5174" spans="1:8" x14ac:dyDescent="0.15">
      <c r="A5174" s="196" t="s">
        <v>11229</v>
      </c>
      <c r="B5174" s="196" t="s">
        <v>11230</v>
      </c>
      <c r="C5174" s="196" t="s">
        <v>23225</v>
      </c>
      <c r="D5174" s="196" t="s">
        <v>23224</v>
      </c>
      <c r="E5174" s="196" t="s">
        <v>23224</v>
      </c>
      <c r="F5174" s="196" t="s">
        <v>11233</v>
      </c>
      <c r="G5174" s="196" t="s">
        <v>12378</v>
      </c>
      <c r="H5174" s="196" t="s">
        <v>11235</v>
      </c>
    </row>
    <row r="5175" spans="1:8" x14ac:dyDescent="0.15">
      <c r="A5175" s="196" t="s">
        <v>11229</v>
      </c>
      <c r="B5175" s="196" t="s">
        <v>11230</v>
      </c>
      <c r="C5175" s="196" t="s">
        <v>23226</v>
      </c>
      <c r="D5175" s="196" t="s">
        <v>23227</v>
      </c>
      <c r="E5175" s="196" t="s">
        <v>23228</v>
      </c>
      <c r="F5175" s="196" t="s">
        <v>11241</v>
      </c>
      <c r="G5175" s="196" t="s">
        <v>12378</v>
      </c>
      <c r="H5175" s="196" t="s">
        <v>11235</v>
      </c>
    </row>
    <row r="5176" spans="1:8" x14ac:dyDescent="0.15">
      <c r="A5176" s="196" t="s">
        <v>11229</v>
      </c>
      <c r="B5176" s="196" t="s">
        <v>11230</v>
      </c>
      <c r="C5176" s="196" t="s">
        <v>23229</v>
      </c>
      <c r="D5176" s="196" t="s">
        <v>23227</v>
      </c>
      <c r="E5176" s="196" t="s">
        <v>23227</v>
      </c>
      <c r="F5176" s="196" t="s">
        <v>11233</v>
      </c>
      <c r="G5176" s="196" t="s">
        <v>11720</v>
      </c>
      <c r="H5176" s="196" t="s">
        <v>11235</v>
      </c>
    </row>
    <row r="5177" spans="1:8" x14ac:dyDescent="0.15">
      <c r="A5177" s="196" t="s">
        <v>11229</v>
      </c>
      <c r="B5177" s="196" t="s">
        <v>11230</v>
      </c>
      <c r="C5177" s="196" t="s">
        <v>23230</v>
      </c>
      <c r="D5177" s="196" t="s">
        <v>23228</v>
      </c>
      <c r="E5177" s="196" t="s">
        <v>23228</v>
      </c>
      <c r="F5177" s="196" t="s">
        <v>11233</v>
      </c>
      <c r="G5177" s="196" t="s">
        <v>12378</v>
      </c>
      <c r="H5177" s="196" t="s">
        <v>11235</v>
      </c>
    </row>
    <row r="5178" spans="1:8" x14ac:dyDescent="0.15">
      <c r="A5178" s="196" t="s">
        <v>11229</v>
      </c>
      <c r="B5178" s="196" t="s">
        <v>11230</v>
      </c>
      <c r="C5178" s="196" t="s">
        <v>23231</v>
      </c>
      <c r="D5178" s="196" t="s">
        <v>23228</v>
      </c>
      <c r="E5178" s="196" t="s">
        <v>23228</v>
      </c>
      <c r="F5178" s="196" t="s">
        <v>11233</v>
      </c>
      <c r="G5178" s="196" t="s">
        <v>11720</v>
      </c>
      <c r="H5178" s="196" t="s">
        <v>11235</v>
      </c>
    </row>
    <row r="5179" spans="1:8" x14ac:dyDescent="0.15">
      <c r="A5179" s="196" t="s">
        <v>11229</v>
      </c>
      <c r="B5179" s="196" t="s">
        <v>11230</v>
      </c>
      <c r="C5179" s="196" t="s">
        <v>23232</v>
      </c>
      <c r="D5179" s="196" t="s">
        <v>23233</v>
      </c>
      <c r="E5179" s="196" t="s">
        <v>23234</v>
      </c>
      <c r="F5179" s="196" t="s">
        <v>11268</v>
      </c>
      <c r="G5179" s="196" t="s">
        <v>12378</v>
      </c>
      <c r="H5179" s="196" t="s">
        <v>11235</v>
      </c>
    </row>
    <row r="5180" spans="1:8" x14ac:dyDescent="0.15">
      <c r="A5180" s="196" t="s">
        <v>11229</v>
      </c>
      <c r="B5180" s="196" t="s">
        <v>11230</v>
      </c>
      <c r="C5180" s="196" t="s">
        <v>23235</v>
      </c>
      <c r="D5180" s="196" t="s">
        <v>23233</v>
      </c>
      <c r="E5180" s="196" t="s">
        <v>23234</v>
      </c>
      <c r="F5180" s="196" t="s">
        <v>11268</v>
      </c>
      <c r="G5180" s="196" t="s">
        <v>11720</v>
      </c>
      <c r="H5180" s="196" t="s">
        <v>11235</v>
      </c>
    </row>
    <row r="5181" spans="1:8" x14ac:dyDescent="0.15">
      <c r="A5181" s="196" t="s">
        <v>11229</v>
      </c>
      <c r="B5181" s="196" t="s">
        <v>11230</v>
      </c>
      <c r="C5181" s="196" t="s">
        <v>23236</v>
      </c>
      <c r="D5181" s="196" t="s">
        <v>23234</v>
      </c>
      <c r="E5181" s="196" t="s">
        <v>23237</v>
      </c>
      <c r="F5181" s="196" t="s">
        <v>11241</v>
      </c>
      <c r="G5181" s="196" t="s">
        <v>12378</v>
      </c>
      <c r="H5181" s="196" t="s">
        <v>11235</v>
      </c>
    </row>
    <row r="5182" spans="1:8" x14ac:dyDescent="0.15">
      <c r="A5182" s="196" t="s">
        <v>11229</v>
      </c>
      <c r="B5182" s="196" t="s">
        <v>11230</v>
      </c>
      <c r="C5182" s="196" t="s">
        <v>23238</v>
      </c>
      <c r="D5182" s="196" t="s">
        <v>23234</v>
      </c>
      <c r="E5182" s="196" t="s">
        <v>23237</v>
      </c>
      <c r="F5182" s="196" t="s">
        <v>11241</v>
      </c>
      <c r="G5182" s="196" t="s">
        <v>11720</v>
      </c>
      <c r="H5182" s="196" t="s">
        <v>11235</v>
      </c>
    </row>
    <row r="5183" spans="1:8" x14ac:dyDescent="0.15">
      <c r="A5183" s="196" t="s">
        <v>11229</v>
      </c>
      <c r="B5183" s="196" t="s">
        <v>11230</v>
      </c>
      <c r="C5183" s="196" t="s">
        <v>23239</v>
      </c>
      <c r="D5183" s="196" t="s">
        <v>23240</v>
      </c>
      <c r="E5183" s="196" t="s">
        <v>23241</v>
      </c>
      <c r="F5183" s="196" t="s">
        <v>11241</v>
      </c>
      <c r="G5183" s="196" t="s">
        <v>12378</v>
      </c>
      <c r="H5183" s="196" t="s">
        <v>11235</v>
      </c>
    </row>
    <row r="5184" spans="1:8" x14ac:dyDescent="0.15">
      <c r="A5184" s="196" t="s">
        <v>11229</v>
      </c>
      <c r="B5184" s="196" t="s">
        <v>11230</v>
      </c>
      <c r="C5184" s="196" t="s">
        <v>23242</v>
      </c>
      <c r="D5184" s="196" t="s">
        <v>23241</v>
      </c>
      <c r="E5184" s="196" t="s">
        <v>23243</v>
      </c>
      <c r="F5184" s="196" t="s">
        <v>13023</v>
      </c>
      <c r="G5184" s="196" t="s">
        <v>11720</v>
      </c>
      <c r="H5184" s="196" t="s">
        <v>11235</v>
      </c>
    </row>
    <row r="5185" spans="1:8" x14ac:dyDescent="0.15">
      <c r="A5185" s="196" t="s">
        <v>11229</v>
      </c>
      <c r="B5185" s="196" t="s">
        <v>11230</v>
      </c>
      <c r="C5185" s="196" t="s">
        <v>23244</v>
      </c>
      <c r="D5185" s="196" t="s">
        <v>23243</v>
      </c>
      <c r="E5185" s="196" t="s">
        <v>23245</v>
      </c>
      <c r="F5185" s="196" t="s">
        <v>11241</v>
      </c>
      <c r="G5185" s="196" t="s">
        <v>11720</v>
      </c>
      <c r="H5185" s="196" t="s">
        <v>11235</v>
      </c>
    </row>
    <row r="5186" spans="1:8" x14ac:dyDescent="0.15">
      <c r="A5186" s="196" t="s">
        <v>11229</v>
      </c>
      <c r="B5186" s="196" t="s">
        <v>11230</v>
      </c>
      <c r="C5186" s="196" t="s">
        <v>23246</v>
      </c>
      <c r="D5186" s="196" t="s">
        <v>23247</v>
      </c>
      <c r="E5186" s="196" t="s">
        <v>23247</v>
      </c>
      <c r="F5186" s="196" t="s">
        <v>11233</v>
      </c>
      <c r="G5186" s="196" t="s">
        <v>12378</v>
      </c>
      <c r="H5186" s="196" t="s">
        <v>11235</v>
      </c>
    </row>
    <row r="5187" spans="1:8" x14ac:dyDescent="0.15">
      <c r="A5187" s="196" t="s">
        <v>11229</v>
      </c>
      <c r="B5187" s="196" t="s">
        <v>11230</v>
      </c>
      <c r="C5187" s="196" t="s">
        <v>23248</v>
      </c>
      <c r="D5187" s="196" t="s">
        <v>23249</v>
      </c>
      <c r="E5187" s="196" t="s">
        <v>23249</v>
      </c>
      <c r="F5187" s="196" t="s">
        <v>11233</v>
      </c>
      <c r="G5187" s="196" t="s">
        <v>12378</v>
      </c>
      <c r="H5187" s="196" t="s">
        <v>11235</v>
      </c>
    </row>
    <row r="5188" spans="1:8" x14ac:dyDescent="0.15">
      <c r="A5188" s="196" t="s">
        <v>11229</v>
      </c>
      <c r="B5188" s="196" t="s">
        <v>11230</v>
      </c>
      <c r="C5188" s="196" t="s">
        <v>23250</v>
      </c>
      <c r="D5188" s="196" t="s">
        <v>23251</v>
      </c>
      <c r="E5188" s="196" t="s">
        <v>23251</v>
      </c>
      <c r="F5188" s="196" t="s">
        <v>11233</v>
      </c>
      <c r="G5188" s="196" t="s">
        <v>12378</v>
      </c>
      <c r="H5188" s="196" t="s">
        <v>11235</v>
      </c>
    </row>
    <row r="5189" spans="1:8" x14ac:dyDescent="0.15">
      <c r="A5189" s="196" t="s">
        <v>11229</v>
      </c>
      <c r="B5189" s="196" t="s">
        <v>11230</v>
      </c>
      <c r="C5189" s="196" t="s">
        <v>23252</v>
      </c>
      <c r="D5189" s="196" t="s">
        <v>23253</v>
      </c>
      <c r="E5189" s="196" t="s">
        <v>23253</v>
      </c>
      <c r="F5189" s="196" t="s">
        <v>11233</v>
      </c>
      <c r="G5189" s="196" t="s">
        <v>12378</v>
      </c>
      <c r="H5189" s="196" t="s">
        <v>11235</v>
      </c>
    </row>
    <row r="5190" spans="1:8" x14ac:dyDescent="0.15">
      <c r="A5190" s="196" t="s">
        <v>11229</v>
      </c>
      <c r="B5190" s="196" t="s">
        <v>11230</v>
      </c>
      <c r="C5190" s="196" t="s">
        <v>23254</v>
      </c>
      <c r="D5190" s="196" t="s">
        <v>23255</v>
      </c>
      <c r="E5190" s="196" t="s">
        <v>23255</v>
      </c>
      <c r="F5190" s="196" t="s">
        <v>11233</v>
      </c>
      <c r="G5190" s="196" t="s">
        <v>12378</v>
      </c>
      <c r="H5190" s="196" t="s">
        <v>11235</v>
      </c>
    </row>
    <row r="5191" spans="1:8" x14ac:dyDescent="0.15">
      <c r="A5191" s="196" t="s">
        <v>11229</v>
      </c>
      <c r="B5191" s="196" t="s">
        <v>11230</v>
      </c>
      <c r="C5191" s="196" t="s">
        <v>23256</v>
      </c>
      <c r="D5191" s="196" t="s">
        <v>23255</v>
      </c>
      <c r="E5191" s="196" t="s">
        <v>23255</v>
      </c>
      <c r="F5191" s="196" t="s">
        <v>11233</v>
      </c>
      <c r="G5191" s="196" t="s">
        <v>11720</v>
      </c>
      <c r="H5191" s="196" t="s">
        <v>11235</v>
      </c>
    </row>
    <row r="5192" spans="1:8" x14ac:dyDescent="0.15">
      <c r="A5192" s="196" t="s">
        <v>11229</v>
      </c>
      <c r="B5192" s="196" t="s">
        <v>11230</v>
      </c>
      <c r="C5192" s="196" t="s">
        <v>23257</v>
      </c>
      <c r="D5192" s="196" t="s">
        <v>23258</v>
      </c>
      <c r="E5192" s="196" t="s">
        <v>23258</v>
      </c>
      <c r="F5192" s="196" t="s">
        <v>11233</v>
      </c>
      <c r="G5192" s="196" t="s">
        <v>12378</v>
      </c>
      <c r="H5192" s="196" t="s">
        <v>11235</v>
      </c>
    </row>
    <row r="5193" spans="1:8" x14ac:dyDescent="0.15">
      <c r="A5193" s="196" t="s">
        <v>11229</v>
      </c>
      <c r="B5193" s="196" t="s">
        <v>11230</v>
      </c>
      <c r="C5193" s="196" t="s">
        <v>23259</v>
      </c>
      <c r="D5193" s="196" t="s">
        <v>23260</v>
      </c>
      <c r="E5193" s="196" t="s">
        <v>23260</v>
      </c>
      <c r="F5193" s="196" t="s">
        <v>11233</v>
      </c>
      <c r="G5193" s="196" t="s">
        <v>12378</v>
      </c>
      <c r="H5193" s="196" t="s">
        <v>11235</v>
      </c>
    </row>
    <row r="5194" spans="1:8" x14ac:dyDescent="0.15">
      <c r="A5194" s="196" t="s">
        <v>11229</v>
      </c>
      <c r="B5194" s="196" t="s">
        <v>11230</v>
      </c>
      <c r="C5194" s="196" t="s">
        <v>23261</v>
      </c>
      <c r="D5194" s="196" t="s">
        <v>23262</v>
      </c>
      <c r="E5194" s="196" t="s">
        <v>23262</v>
      </c>
      <c r="F5194" s="196" t="s">
        <v>11233</v>
      </c>
      <c r="G5194" s="196" t="s">
        <v>12378</v>
      </c>
      <c r="H5194" s="196" t="s">
        <v>11235</v>
      </c>
    </row>
    <row r="5195" spans="1:8" x14ac:dyDescent="0.15">
      <c r="A5195" s="196" t="s">
        <v>11229</v>
      </c>
      <c r="B5195" s="196" t="s">
        <v>11230</v>
      </c>
      <c r="C5195" s="196" t="s">
        <v>23263</v>
      </c>
      <c r="D5195" s="196" t="s">
        <v>23264</v>
      </c>
      <c r="E5195" s="196" t="s">
        <v>23264</v>
      </c>
      <c r="F5195" s="196" t="s">
        <v>11233</v>
      </c>
      <c r="G5195" s="196" t="s">
        <v>12378</v>
      </c>
      <c r="H5195" s="196" t="s">
        <v>11235</v>
      </c>
    </row>
    <row r="5196" spans="1:8" x14ac:dyDescent="0.15">
      <c r="A5196" s="196" t="s">
        <v>11229</v>
      </c>
      <c r="B5196" s="196" t="s">
        <v>11230</v>
      </c>
      <c r="C5196" s="196" t="s">
        <v>23265</v>
      </c>
      <c r="D5196" s="196" t="s">
        <v>23266</v>
      </c>
      <c r="E5196" s="196" t="s">
        <v>23266</v>
      </c>
      <c r="F5196" s="196" t="s">
        <v>11233</v>
      </c>
      <c r="G5196" s="196" t="s">
        <v>12378</v>
      </c>
      <c r="H5196" s="196" t="s">
        <v>11235</v>
      </c>
    </row>
    <row r="5197" spans="1:8" x14ac:dyDescent="0.15">
      <c r="A5197" s="196" t="s">
        <v>11229</v>
      </c>
      <c r="B5197" s="196" t="s">
        <v>11230</v>
      </c>
      <c r="C5197" s="196" t="s">
        <v>23267</v>
      </c>
      <c r="D5197" s="196" t="s">
        <v>23268</v>
      </c>
      <c r="E5197" s="196" t="s">
        <v>23268</v>
      </c>
      <c r="F5197" s="196" t="s">
        <v>11233</v>
      </c>
      <c r="G5197" s="196" t="s">
        <v>12378</v>
      </c>
      <c r="H5197" s="196" t="s">
        <v>11235</v>
      </c>
    </row>
    <row r="5198" spans="1:8" x14ac:dyDescent="0.15">
      <c r="A5198" s="196" t="s">
        <v>11229</v>
      </c>
      <c r="B5198" s="196" t="s">
        <v>11230</v>
      </c>
      <c r="C5198" s="196" t="s">
        <v>23269</v>
      </c>
      <c r="D5198" s="196" t="s">
        <v>23270</v>
      </c>
      <c r="E5198" s="196" t="s">
        <v>23270</v>
      </c>
      <c r="F5198" s="196" t="s">
        <v>11233</v>
      </c>
      <c r="G5198" s="196" t="s">
        <v>12378</v>
      </c>
      <c r="H5198" s="196" t="s">
        <v>11235</v>
      </c>
    </row>
    <row r="5199" spans="1:8" x14ac:dyDescent="0.15">
      <c r="A5199" s="196" t="s">
        <v>11229</v>
      </c>
      <c r="B5199" s="196" t="s">
        <v>11230</v>
      </c>
      <c r="C5199" s="196" t="s">
        <v>23271</v>
      </c>
      <c r="D5199" s="196" t="s">
        <v>23272</v>
      </c>
      <c r="E5199" s="196" t="s">
        <v>23272</v>
      </c>
      <c r="F5199" s="196" t="s">
        <v>11233</v>
      </c>
      <c r="G5199" s="196" t="s">
        <v>12378</v>
      </c>
      <c r="H5199" s="196" t="s">
        <v>11235</v>
      </c>
    </row>
    <row r="5200" spans="1:8" x14ac:dyDescent="0.15">
      <c r="A5200" s="196" t="s">
        <v>11229</v>
      </c>
      <c r="B5200" s="196" t="s">
        <v>11230</v>
      </c>
      <c r="C5200" s="196" t="s">
        <v>23273</v>
      </c>
      <c r="D5200" s="196" t="s">
        <v>23274</v>
      </c>
      <c r="E5200" s="196" t="s">
        <v>23274</v>
      </c>
      <c r="F5200" s="196" t="s">
        <v>11233</v>
      </c>
      <c r="G5200" s="196" t="s">
        <v>12378</v>
      </c>
      <c r="H5200" s="196" t="s">
        <v>11235</v>
      </c>
    </row>
    <row r="5201" spans="1:8" x14ac:dyDescent="0.15">
      <c r="A5201" s="196" t="s">
        <v>11229</v>
      </c>
      <c r="B5201" s="196" t="s">
        <v>11230</v>
      </c>
      <c r="C5201" s="196" t="s">
        <v>23275</v>
      </c>
      <c r="D5201" s="196" t="s">
        <v>23276</v>
      </c>
      <c r="E5201" s="196" t="s">
        <v>23276</v>
      </c>
      <c r="F5201" s="196" t="s">
        <v>11233</v>
      </c>
      <c r="G5201" s="196" t="s">
        <v>12378</v>
      </c>
      <c r="H5201" s="196" t="s">
        <v>11235</v>
      </c>
    </row>
    <row r="5202" spans="1:8" x14ac:dyDescent="0.15">
      <c r="A5202" s="196" t="s">
        <v>11229</v>
      </c>
      <c r="B5202" s="196" t="s">
        <v>11230</v>
      </c>
      <c r="C5202" s="196" t="s">
        <v>23277</v>
      </c>
      <c r="D5202" s="196" t="s">
        <v>23278</v>
      </c>
      <c r="E5202" s="196" t="s">
        <v>23278</v>
      </c>
      <c r="F5202" s="196" t="s">
        <v>11233</v>
      </c>
      <c r="G5202" s="196" t="s">
        <v>12378</v>
      </c>
      <c r="H5202" s="196" t="s">
        <v>11235</v>
      </c>
    </row>
    <row r="5203" spans="1:8" x14ac:dyDescent="0.15">
      <c r="A5203" s="196" t="s">
        <v>11229</v>
      </c>
      <c r="B5203" s="196" t="s">
        <v>11230</v>
      </c>
      <c r="C5203" s="196" t="s">
        <v>23279</v>
      </c>
      <c r="D5203" s="196" t="s">
        <v>23280</v>
      </c>
      <c r="E5203" s="196" t="s">
        <v>23280</v>
      </c>
      <c r="F5203" s="196" t="s">
        <v>11233</v>
      </c>
      <c r="G5203" s="196" t="s">
        <v>12378</v>
      </c>
      <c r="H5203" s="196" t="s">
        <v>11235</v>
      </c>
    </row>
    <row r="5204" spans="1:8" x14ac:dyDescent="0.15">
      <c r="A5204" s="196" t="s">
        <v>11229</v>
      </c>
      <c r="B5204" s="196" t="s">
        <v>11230</v>
      </c>
      <c r="C5204" s="196" t="s">
        <v>23281</v>
      </c>
      <c r="D5204" s="196" t="s">
        <v>23282</v>
      </c>
      <c r="E5204" s="196" t="s">
        <v>23282</v>
      </c>
      <c r="F5204" s="196" t="s">
        <v>11233</v>
      </c>
      <c r="G5204" s="196" t="s">
        <v>12378</v>
      </c>
      <c r="H5204" s="196" t="s">
        <v>11235</v>
      </c>
    </row>
    <row r="5205" spans="1:8" x14ac:dyDescent="0.15">
      <c r="A5205" s="196" t="s">
        <v>11229</v>
      </c>
      <c r="B5205" s="196" t="s">
        <v>11230</v>
      </c>
      <c r="C5205" s="196" t="s">
        <v>23283</v>
      </c>
      <c r="D5205" s="196" t="s">
        <v>23284</v>
      </c>
      <c r="E5205" s="196" t="s">
        <v>23284</v>
      </c>
      <c r="F5205" s="196" t="s">
        <v>11233</v>
      </c>
      <c r="G5205" s="196" t="s">
        <v>12378</v>
      </c>
      <c r="H5205" s="196" t="s">
        <v>11235</v>
      </c>
    </row>
    <row r="5206" spans="1:8" x14ac:dyDescent="0.15">
      <c r="A5206" s="196" t="s">
        <v>11229</v>
      </c>
      <c r="B5206" s="196" t="s">
        <v>11230</v>
      </c>
      <c r="C5206" s="196" t="s">
        <v>23285</v>
      </c>
      <c r="D5206" s="196" t="s">
        <v>23286</v>
      </c>
      <c r="E5206" s="196" t="s">
        <v>23287</v>
      </c>
      <c r="F5206" s="196" t="s">
        <v>13023</v>
      </c>
      <c r="G5206" s="196" t="s">
        <v>11720</v>
      </c>
      <c r="H5206" s="196" t="s">
        <v>11235</v>
      </c>
    </row>
    <row r="5207" spans="1:8" x14ac:dyDescent="0.15">
      <c r="A5207" s="196" t="s">
        <v>11229</v>
      </c>
      <c r="B5207" s="196" t="s">
        <v>11230</v>
      </c>
      <c r="C5207" s="196" t="s">
        <v>23288</v>
      </c>
      <c r="D5207" s="196" t="s">
        <v>23287</v>
      </c>
      <c r="E5207" s="196" t="s">
        <v>23289</v>
      </c>
      <c r="F5207" s="196" t="s">
        <v>11241</v>
      </c>
      <c r="G5207" s="196" t="s">
        <v>11720</v>
      </c>
      <c r="H5207" s="196" t="s">
        <v>11235</v>
      </c>
    </row>
    <row r="5208" spans="1:8" x14ac:dyDescent="0.15">
      <c r="A5208" s="196" t="s">
        <v>11229</v>
      </c>
      <c r="B5208" s="196" t="s">
        <v>11230</v>
      </c>
      <c r="C5208" s="196" t="s">
        <v>23290</v>
      </c>
      <c r="D5208" s="196" t="s">
        <v>23289</v>
      </c>
      <c r="E5208" s="196" t="s">
        <v>23291</v>
      </c>
      <c r="F5208" s="196" t="s">
        <v>11268</v>
      </c>
      <c r="G5208" s="196" t="s">
        <v>11720</v>
      </c>
      <c r="H5208" s="196" t="s">
        <v>11235</v>
      </c>
    </row>
    <row r="5209" spans="1:8" x14ac:dyDescent="0.15">
      <c r="A5209" s="196" t="s">
        <v>11229</v>
      </c>
      <c r="B5209" s="196" t="s">
        <v>11230</v>
      </c>
      <c r="C5209" s="196" t="s">
        <v>23292</v>
      </c>
      <c r="D5209" s="196" t="s">
        <v>23291</v>
      </c>
      <c r="E5209" s="196" t="s">
        <v>23293</v>
      </c>
      <c r="F5209" s="196" t="s">
        <v>13758</v>
      </c>
      <c r="G5209" s="196" t="s">
        <v>11720</v>
      </c>
      <c r="H5209" s="196" t="s">
        <v>11235</v>
      </c>
    </row>
    <row r="5210" spans="1:8" x14ac:dyDescent="0.15">
      <c r="A5210" s="196" t="s">
        <v>11229</v>
      </c>
      <c r="B5210" s="196" t="s">
        <v>11230</v>
      </c>
      <c r="C5210" s="196" t="s">
        <v>23294</v>
      </c>
      <c r="D5210" s="196" t="s">
        <v>23293</v>
      </c>
      <c r="E5210" s="196" t="s">
        <v>23295</v>
      </c>
      <c r="F5210" s="196" t="s">
        <v>13023</v>
      </c>
      <c r="G5210" s="196" t="s">
        <v>11720</v>
      </c>
      <c r="H5210" s="196" t="s">
        <v>11235</v>
      </c>
    </row>
    <row r="5211" spans="1:8" x14ac:dyDescent="0.15">
      <c r="A5211" s="196" t="s">
        <v>11229</v>
      </c>
      <c r="B5211" s="196" t="s">
        <v>11230</v>
      </c>
      <c r="C5211" s="196" t="s">
        <v>23296</v>
      </c>
      <c r="D5211" s="196" t="s">
        <v>23295</v>
      </c>
      <c r="E5211" s="196" t="s">
        <v>23297</v>
      </c>
      <c r="F5211" s="196" t="s">
        <v>11268</v>
      </c>
      <c r="G5211" s="196" t="s">
        <v>11720</v>
      </c>
      <c r="H5211" s="196" t="s">
        <v>11235</v>
      </c>
    </row>
    <row r="5212" spans="1:8" x14ac:dyDescent="0.15">
      <c r="A5212" s="196" t="s">
        <v>11229</v>
      </c>
      <c r="B5212" s="196" t="s">
        <v>11230</v>
      </c>
      <c r="C5212" s="196" t="s">
        <v>23298</v>
      </c>
      <c r="D5212" s="196" t="s">
        <v>23297</v>
      </c>
      <c r="E5212" s="196" t="s">
        <v>23299</v>
      </c>
      <c r="F5212" s="196" t="s">
        <v>11241</v>
      </c>
      <c r="G5212" s="196" t="s">
        <v>11720</v>
      </c>
      <c r="H5212" s="196" t="s">
        <v>11235</v>
      </c>
    </row>
    <row r="5213" spans="1:8" x14ac:dyDescent="0.15">
      <c r="A5213" s="196" t="s">
        <v>11229</v>
      </c>
      <c r="B5213" s="196" t="s">
        <v>11230</v>
      </c>
      <c r="C5213" s="196" t="s">
        <v>23300</v>
      </c>
      <c r="D5213" s="196" t="s">
        <v>23299</v>
      </c>
      <c r="E5213" s="196" t="s">
        <v>23301</v>
      </c>
      <c r="F5213" s="196" t="s">
        <v>11241</v>
      </c>
      <c r="G5213" s="196" t="s">
        <v>11720</v>
      </c>
      <c r="H5213" s="196" t="s">
        <v>11235</v>
      </c>
    </row>
    <row r="5214" spans="1:8" x14ac:dyDescent="0.15">
      <c r="A5214" s="196" t="s">
        <v>11229</v>
      </c>
      <c r="B5214" s="196" t="s">
        <v>11230</v>
      </c>
      <c r="C5214" s="196" t="s">
        <v>23302</v>
      </c>
      <c r="D5214" s="196" t="s">
        <v>23301</v>
      </c>
      <c r="E5214" s="196" t="s">
        <v>23303</v>
      </c>
      <c r="F5214" s="196" t="s">
        <v>11268</v>
      </c>
      <c r="G5214" s="196" t="s">
        <v>11720</v>
      </c>
      <c r="H5214" s="196" t="s">
        <v>11235</v>
      </c>
    </row>
    <row r="5215" spans="1:8" x14ac:dyDescent="0.15">
      <c r="A5215" s="196" t="s">
        <v>11229</v>
      </c>
      <c r="B5215" s="196" t="s">
        <v>11230</v>
      </c>
      <c r="C5215" s="196" t="s">
        <v>23304</v>
      </c>
      <c r="D5215" s="196" t="s">
        <v>23303</v>
      </c>
      <c r="E5215" s="196" t="s">
        <v>23305</v>
      </c>
      <c r="F5215" s="196" t="s">
        <v>11241</v>
      </c>
      <c r="G5215" s="196" t="s">
        <v>11720</v>
      </c>
      <c r="H5215" s="196" t="s">
        <v>11235</v>
      </c>
    </row>
    <row r="5216" spans="1:8" x14ac:dyDescent="0.15">
      <c r="A5216" s="196" t="s">
        <v>11229</v>
      </c>
      <c r="B5216" s="196" t="s">
        <v>11230</v>
      </c>
      <c r="C5216" s="196" t="s">
        <v>23306</v>
      </c>
      <c r="D5216" s="196" t="s">
        <v>23305</v>
      </c>
      <c r="E5216" s="196" t="s">
        <v>23307</v>
      </c>
      <c r="F5216" s="196" t="s">
        <v>11241</v>
      </c>
      <c r="G5216" s="196" t="s">
        <v>11720</v>
      </c>
      <c r="H5216" s="196" t="s">
        <v>11235</v>
      </c>
    </row>
    <row r="5217" spans="1:8" x14ac:dyDescent="0.15">
      <c r="A5217" s="196" t="s">
        <v>11229</v>
      </c>
      <c r="B5217" s="196" t="s">
        <v>11230</v>
      </c>
      <c r="C5217" s="196" t="s">
        <v>23308</v>
      </c>
      <c r="D5217" s="196" t="s">
        <v>23305</v>
      </c>
      <c r="E5217" s="196" t="s">
        <v>23307</v>
      </c>
      <c r="F5217" s="196" t="s">
        <v>11241</v>
      </c>
      <c r="G5217" s="196" t="s">
        <v>12378</v>
      </c>
      <c r="H5217" s="196" t="s">
        <v>11235</v>
      </c>
    </row>
    <row r="5218" spans="1:8" x14ac:dyDescent="0.15">
      <c r="A5218" s="196" t="s">
        <v>11229</v>
      </c>
      <c r="B5218" s="196" t="s">
        <v>11230</v>
      </c>
      <c r="C5218" s="196" t="s">
        <v>23309</v>
      </c>
      <c r="D5218" s="196" t="s">
        <v>23307</v>
      </c>
      <c r="E5218" s="196" t="s">
        <v>23310</v>
      </c>
      <c r="F5218" s="196" t="s">
        <v>13023</v>
      </c>
      <c r="G5218" s="196" t="s">
        <v>11720</v>
      </c>
      <c r="H5218" s="196" t="s">
        <v>11235</v>
      </c>
    </row>
    <row r="5219" spans="1:8" x14ac:dyDescent="0.15">
      <c r="A5219" s="196" t="s">
        <v>11229</v>
      </c>
      <c r="B5219" s="196" t="s">
        <v>11230</v>
      </c>
      <c r="C5219" s="196" t="s">
        <v>23311</v>
      </c>
      <c r="D5219" s="196" t="s">
        <v>23310</v>
      </c>
      <c r="E5219" s="196" t="s">
        <v>23312</v>
      </c>
      <c r="F5219" s="196" t="s">
        <v>11268</v>
      </c>
      <c r="G5219" s="196" t="s">
        <v>11720</v>
      </c>
      <c r="H5219" s="196" t="s">
        <v>11235</v>
      </c>
    </row>
    <row r="5220" spans="1:8" x14ac:dyDescent="0.15">
      <c r="A5220" s="196" t="s">
        <v>11229</v>
      </c>
      <c r="B5220" s="196" t="s">
        <v>11230</v>
      </c>
      <c r="C5220" s="196" t="s">
        <v>23313</v>
      </c>
      <c r="D5220" s="196" t="s">
        <v>23314</v>
      </c>
      <c r="E5220" s="196" t="s">
        <v>23314</v>
      </c>
      <c r="F5220" s="196" t="s">
        <v>11233</v>
      </c>
      <c r="G5220" s="196" t="s">
        <v>12378</v>
      </c>
      <c r="H5220" s="196" t="s">
        <v>11235</v>
      </c>
    </row>
    <row r="5221" spans="1:8" x14ac:dyDescent="0.15">
      <c r="A5221" s="196" t="s">
        <v>11229</v>
      </c>
      <c r="B5221" s="196" t="s">
        <v>11230</v>
      </c>
      <c r="C5221" s="196" t="s">
        <v>23315</v>
      </c>
      <c r="D5221" s="196" t="s">
        <v>23316</v>
      </c>
      <c r="E5221" s="196" t="s">
        <v>23316</v>
      </c>
      <c r="F5221" s="196" t="s">
        <v>11233</v>
      </c>
      <c r="G5221" s="196" t="s">
        <v>12378</v>
      </c>
      <c r="H5221" s="196" t="s">
        <v>11235</v>
      </c>
    </row>
    <row r="5222" spans="1:8" x14ac:dyDescent="0.15">
      <c r="A5222" s="196" t="s">
        <v>11229</v>
      </c>
      <c r="B5222" s="196" t="s">
        <v>11230</v>
      </c>
      <c r="C5222" s="196" t="s">
        <v>23317</v>
      </c>
      <c r="D5222" s="196" t="s">
        <v>23318</v>
      </c>
      <c r="E5222" s="196" t="s">
        <v>23318</v>
      </c>
      <c r="F5222" s="196" t="s">
        <v>11233</v>
      </c>
      <c r="G5222" s="196" t="s">
        <v>12378</v>
      </c>
      <c r="H5222" s="196" t="s">
        <v>11235</v>
      </c>
    </row>
    <row r="5223" spans="1:8" x14ac:dyDescent="0.15">
      <c r="A5223" s="196" t="s">
        <v>11229</v>
      </c>
      <c r="B5223" s="196" t="s">
        <v>11230</v>
      </c>
      <c r="C5223" s="196" t="s">
        <v>23319</v>
      </c>
      <c r="D5223" s="196" t="s">
        <v>23320</v>
      </c>
      <c r="E5223" s="196" t="s">
        <v>23320</v>
      </c>
      <c r="F5223" s="196" t="s">
        <v>11233</v>
      </c>
      <c r="G5223" s="196" t="s">
        <v>11720</v>
      </c>
      <c r="H5223" s="196" t="s">
        <v>11235</v>
      </c>
    </row>
    <row r="5224" spans="1:8" x14ac:dyDescent="0.15">
      <c r="A5224" s="196" t="s">
        <v>11229</v>
      </c>
      <c r="B5224" s="196" t="s">
        <v>11230</v>
      </c>
      <c r="C5224" s="196" t="s">
        <v>23321</v>
      </c>
      <c r="D5224" s="196" t="s">
        <v>23322</v>
      </c>
      <c r="E5224" s="196" t="s">
        <v>23323</v>
      </c>
      <c r="F5224" s="196" t="s">
        <v>11268</v>
      </c>
      <c r="G5224" s="196" t="s">
        <v>12378</v>
      </c>
      <c r="H5224" s="196" t="s">
        <v>11235</v>
      </c>
    </row>
    <row r="5225" spans="1:8" x14ac:dyDescent="0.15">
      <c r="A5225" s="196" t="s">
        <v>11229</v>
      </c>
      <c r="B5225" s="196" t="s">
        <v>11230</v>
      </c>
      <c r="C5225" s="196" t="s">
        <v>23324</v>
      </c>
      <c r="D5225" s="196" t="s">
        <v>23323</v>
      </c>
      <c r="E5225" s="196" t="s">
        <v>23325</v>
      </c>
      <c r="F5225" s="196" t="s">
        <v>11241</v>
      </c>
      <c r="G5225" s="196" t="s">
        <v>11720</v>
      </c>
      <c r="H5225" s="196" t="s">
        <v>11235</v>
      </c>
    </row>
    <row r="5226" spans="1:8" x14ac:dyDescent="0.15">
      <c r="A5226" s="196" t="s">
        <v>11229</v>
      </c>
      <c r="B5226" s="196" t="s">
        <v>11230</v>
      </c>
      <c r="C5226" s="196" t="s">
        <v>23326</v>
      </c>
      <c r="D5226" s="196" t="s">
        <v>23325</v>
      </c>
      <c r="E5226" s="196" t="s">
        <v>23325</v>
      </c>
      <c r="F5226" s="196" t="s">
        <v>11233</v>
      </c>
      <c r="G5226" s="196" t="s">
        <v>12378</v>
      </c>
      <c r="H5226" s="196" t="s">
        <v>11235</v>
      </c>
    </row>
    <row r="5227" spans="1:8" x14ac:dyDescent="0.15">
      <c r="A5227" s="196" t="s">
        <v>11229</v>
      </c>
      <c r="B5227" s="196" t="s">
        <v>11230</v>
      </c>
      <c r="C5227" s="196" t="s">
        <v>23327</v>
      </c>
      <c r="D5227" s="196" t="s">
        <v>23325</v>
      </c>
      <c r="E5227" s="196" t="s">
        <v>23328</v>
      </c>
      <c r="F5227" s="196" t="s">
        <v>11241</v>
      </c>
      <c r="G5227" s="196" t="s">
        <v>11720</v>
      </c>
      <c r="H5227" s="196" t="s">
        <v>11235</v>
      </c>
    </row>
    <row r="5228" spans="1:8" x14ac:dyDescent="0.15">
      <c r="A5228" s="196" t="s">
        <v>11229</v>
      </c>
      <c r="B5228" s="196" t="s">
        <v>11230</v>
      </c>
      <c r="C5228" s="196" t="s">
        <v>23329</v>
      </c>
      <c r="D5228" s="196" t="s">
        <v>23328</v>
      </c>
      <c r="E5228" s="196" t="s">
        <v>23330</v>
      </c>
      <c r="F5228" s="196" t="s">
        <v>11268</v>
      </c>
      <c r="G5228" s="196" t="s">
        <v>12378</v>
      </c>
      <c r="H5228" s="196" t="s">
        <v>11235</v>
      </c>
    </row>
    <row r="5229" spans="1:8" x14ac:dyDescent="0.15">
      <c r="A5229" s="196" t="s">
        <v>11229</v>
      </c>
      <c r="B5229" s="196" t="s">
        <v>11230</v>
      </c>
      <c r="C5229" s="196" t="s">
        <v>23331</v>
      </c>
      <c r="D5229" s="196" t="s">
        <v>23330</v>
      </c>
      <c r="E5229" s="196" t="s">
        <v>23330</v>
      </c>
      <c r="F5229" s="196" t="s">
        <v>11233</v>
      </c>
      <c r="G5229" s="196" t="s">
        <v>11720</v>
      </c>
      <c r="H5229" s="196" t="s">
        <v>11235</v>
      </c>
    </row>
    <row r="5230" spans="1:8" x14ac:dyDescent="0.15">
      <c r="A5230" s="196" t="s">
        <v>11229</v>
      </c>
      <c r="B5230" s="196" t="s">
        <v>11230</v>
      </c>
      <c r="C5230" s="196" t="s">
        <v>23332</v>
      </c>
      <c r="D5230" s="196" t="s">
        <v>23333</v>
      </c>
      <c r="E5230" s="196" t="s">
        <v>23333</v>
      </c>
      <c r="F5230" s="196" t="s">
        <v>11233</v>
      </c>
      <c r="G5230" s="196" t="s">
        <v>11720</v>
      </c>
      <c r="H5230" s="196" t="s">
        <v>11235</v>
      </c>
    </row>
    <row r="5231" spans="1:8" x14ac:dyDescent="0.15">
      <c r="A5231" s="196" t="s">
        <v>11229</v>
      </c>
      <c r="B5231" s="196" t="s">
        <v>11230</v>
      </c>
      <c r="C5231" s="196" t="s">
        <v>23334</v>
      </c>
      <c r="D5231" s="196" t="s">
        <v>23335</v>
      </c>
      <c r="E5231" s="196" t="s">
        <v>23335</v>
      </c>
      <c r="F5231" s="196" t="s">
        <v>11233</v>
      </c>
      <c r="G5231" s="196" t="s">
        <v>12378</v>
      </c>
      <c r="H5231" s="196" t="s">
        <v>11235</v>
      </c>
    </row>
    <row r="5232" spans="1:8" x14ac:dyDescent="0.15">
      <c r="A5232" s="196" t="s">
        <v>11229</v>
      </c>
      <c r="B5232" s="196" t="s">
        <v>11230</v>
      </c>
      <c r="C5232" s="196" t="s">
        <v>23336</v>
      </c>
      <c r="D5232" s="196" t="s">
        <v>23335</v>
      </c>
      <c r="E5232" s="196" t="s">
        <v>23337</v>
      </c>
      <c r="F5232" s="196" t="s">
        <v>11268</v>
      </c>
      <c r="G5232" s="196" t="s">
        <v>11720</v>
      </c>
      <c r="H5232" s="196" t="s">
        <v>11235</v>
      </c>
    </row>
    <row r="5233" spans="1:8" x14ac:dyDescent="0.15">
      <c r="A5233" s="196" t="s">
        <v>11229</v>
      </c>
      <c r="B5233" s="196" t="s">
        <v>11230</v>
      </c>
      <c r="C5233" s="196" t="s">
        <v>23338</v>
      </c>
      <c r="D5233" s="196" t="s">
        <v>23337</v>
      </c>
      <c r="E5233" s="196" t="s">
        <v>23339</v>
      </c>
      <c r="F5233" s="196" t="s">
        <v>11241</v>
      </c>
      <c r="G5233" s="196" t="s">
        <v>12378</v>
      </c>
      <c r="H5233" s="196" t="s">
        <v>11235</v>
      </c>
    </row>
    <row r="5234" spans="1:8" x14ac:dyDescent="0.15">
      <c r="A5234" s="196" t="s">
        <v>11229</v>
      </c>
      <c r="B5234" s="196" t="s">
        <v>11230</v>
      </c>
      <c r="C5234" s="196" t="s">
        <v>23340</v>
      </c>
      <c r="D5234" s="196" t="s">
        <v>23339</v>
      </c>
      <c r="E5234" s="196" t="s">
        <v>23341</v>
      </c>
      <c r="F5234" s="196" t="s">
        <v>11268</v>
      </c>
      <c r="G5234" s="196" t="s">
        <v>11720</v>
      </c>
      <c r="H5234" s="196" t="s">
        <v>11235</v>
      </c>
    </row>
    <row r="5235" spans="1:8" x14ac:dyDescent="0.15">
      <c r="A5235" s="196" t="s">
        <v>11229</v>
      </c>
      <c r="B5235" s="196" t="s">
        <v>11230</v>
      </c>
      <c r="C5235" s="196" t="s">
        <v>23342</v>
      </c>
      <c r="D5235" s="196" t="s">
        <v>23341</v>
      </c>
      <c r="E5235" s="196" t="s">
        <v>23341</v>
      </c>
      <c r="F5235" s="196" t="s">
        <v>11233</v>
      </c>
      <c r="G5235" s="196" t="s">
        <v>12378</v>
      </c>
      <c r="H5235" s="196" t="s">
        <v>11235</v>
      </c>
    </row>
    <row r="5236" spans="1:8" x14ac:dyDescent="0.15">
      <c r="A5236" s="196" t="s">
        <v>11229</v>
      </c>
      <c r="B5236" s="196" t="s">
        <v>11230</v>
      </c>
      <c r="C5236" s="196" t="s">
        <v>23343</v>
      </c>
      <c r="D5236" s="196" t="s">
        <v>23344</v>
      </c>
      <c r="E5236" s="196" t="s">
        <v>23345</v>
      </c>
      <c r="F5236" s="196" t="s">
        <v>11241</v>
      </c>
      <c r="G5236" s="196" t="s">
        <v>12378</v>
      </c>
      <c r="H5236" s="196" t="s">
        <v>11235</v>
      </c>
    </row>
    <row r="5237" spans="1:8" x14ac:dyDescent="0.15">
      <c r="A5237" s="196" t="s">
        <v>11229</v>
      </c>
      <c r="B5237" s="196" t="s">
        <v>11230</v>
      </c>
      <c r="C5237" s="196" t="s">
        <v>23346</v>
      </c>
      <c r="D5237" s="196" t="s">
        <v>23345</v>
      </c>
      <c r="E5237" s="196" t="s">
        <v>23347</v>
      </c>
      <c r="F5237" s="196" t="s">
        <v>11268</v>
      </c>
      <c r="G5237" s="196" t="s">
        <v>12378</v>
      </c>
      <c r="H5237" s="196" t="s">
        <v>11235</v>
      </c>
    </row>
    <row r="5238" spans="1:8" x14ac:dyDescent="0.15">
      <c r="A5238" s="196" t="s">
        <v>11229</v>
      </c>
      <c r="B5238" s="196" t="s">
        <v>11230</v>
      </c>
      <c r="C5238" s="196" t="s">
        <v>23348</v>
      </c>
      <c r="D5238" s="196" t="s">
        <v>23345</v>
      </c>
      <c r="E5238" s="196" t="s">
        <v>23347</v>
      </c>
      <c r="F5238" s="196" t="s">
        <v>11268</v>
      </c>
      <c r="G5238" s="196" t="s">
        <v>11720</v>
      </c>
      <c r="H5238" s="196" t="s">
        <v>11235</v>
      </c>
    </row>
    <row r="5239" spans="1:8" x14ac:dyDescent="0.15">
      <c r="A5239" s="196" t="s">
        <v>11229</v>
      </c>
      <c r="B5239" s="196" t="s">
        <v>11230</v>
      </c>
      <c r="C5239" s="196" t="s">
        <v>23349</v>
      </c>
      <c r="D5239" s="196" t="s">
        <v>23347</v>
      </c>
      <c r="E5239" s="196" t="s">
        <v>23350</v>
      </c>
      <c r="F5239" s="196" t="s">
        <v>11241</v>
      </c>
      <c r="G5239" s="196" t="s">
        <v>12378</v>
      </c>
      <c r="H5239" s="196" t="s">
        <v>11235</v>
      </c>
    </row>
    <row r="5240" spans="1:8" x14ac:dyDescent="0.15">
      <c r="A5240" s="196" t="s">
        <v>11229</v>
      </c>
      <c r="B5240" s="196" t="s">
        <v>11230</v>
      </c>
      <c r="C5240" s="196" t="s">
        <v>23351</v>
      </c>
      <c r="D5240" s="196" t="s">
        <v>23350</v>
      </c>
      <c r="E5240" s="196" t="s">
        <v>23352</v>
      </c>
      <c r="F5240" s="196" t="s">
        <v>11241</v>
      </c>
      <c r="G5240" s="196" t="s">
        <v>12378</v>
      </c>
      <c r="H5240" s="196" t="s">
        <v>11235</v>
      </c>
    </row>
    <row r="5241" spans="1:8" x14ac:dyDescent="0.15">
      <c r="A5241" s="196" t="s">
        <v>11229</v>
      </c>
      <c r="B5241" s="196" t="s">
        <v>11230</v>
      </c>
      <c r="C5241" s="196" t="s">
        <v>23353</v>
      </c>
      <c r="D5241" s="196" t="s">
        <v>23350</v>
      </c>
      <c r="E5241" s="196" t="s">
        <v>23352</v>
      </c>
      <c r="F5241" s="196" t="s">
        <v>11241</v>
      </c>
      <c r="G5241" s="196" t="s">
        <v>11720</v>
      </c>
      <c r="H5241" s="196" t="s">
        <v>11235</v>
      </c>
    </row>
    <row r="5242" spans="1:8" x14ac:dyDescent="0.15">
      <c r="A5242" s="196" t="s">
        <v>11229</v>
      </c>
      <c r="B5242" s="196" t="s">
        <v>11230</v>
      </c>
      <c r="C5242" s="196" t="s">
        <v>23354</v>
      </c>
      <c r="D5242" s="196" t="s">
        <v>23352</v>
      </c>
      <c r="E5242" s="196" t="s">
        <v>23355</v>
      </c>
      <c r="F5242" s="196" t="s">
        <v>11268</v>
      </c>
      <c r="G5242" s="196" t="s">
        <v>11720</v>
      </c>
      <c r="H5242" s="196" t="s">
        <v>11235</v>
      </c>
    </row>
    <row r="5243" spans="1:8" x14ac:dyDescent="0.15">
      <c r="A5243" s="196" t="s">
        <v>11229</v>
      </c>
      <c r="B5243" s="196" t="s">
        <v>11230</v>
      </c>
      <c r="C5243" s="196" t="s">
        <v>23356</v>
      </c>
      <c r="D5243" s="196" t="s">
        <v>23355</v>
      </c>
      <c r="E5243" s="196" t="s">
        <v>23355</v>
      </c>
      <c r="F5243" s="196" t="s">
        <v>11233</v>
      </c>
      <c r="G5243" s="196" t="s">
        <v>12378</v>
      </c>
      <c r="H5243" s="196" t="s">
        <v>11235</v>
      </c>
    </row>
    <row r="5244" spans="1:8" x14ac:dyDescent="0.15">
      <c r="A5244" s="196" t="s">
        <v>11229</v>
      </c>
      <c r="B5244" s="196" t="s">
        <v>11230</v>
      </c>
      <c r="C5244" s="196" t="s">
        <v>23357</v>
      </c>
      <c r="D5244" s="196" t="s">
        <v>23358</v>
      </c>
      <c r="E5244" s="196" t="s">
        <v>23358</v>
      </c>
      <c r="F5244" s="196" t="s">
        <v>11233</v>
      </c>
      <c r="G5244" s="196" t="s">
        <v>12378</v>
      </c>
      <c r="H5244" s="196" t="s">
        <v>11235</v>
      </c>
    </row>
    <row r="5245" spans="1:8" x14ac:dyDescent="0.15">
      <c r="A5245" s="196" t="s">
        <v>11229</v>
      </c>
      <c r="B5245" s="196" t="s">
        <v>11230</v>
      </c>
      <c r="C5245" s="196" t="s">
        <v>23359</v>
      </c>
      <c r="D5245" s="196" t="s">
        <v>23358</v>
      </c>
      <c r="E5245" s="196" t="s">
        <v>23358</v>
      </c>
      <c r="F5245" s="196" t="s">
        <v>11233</v>
      </c>
      <c r="G5245" s="196" t="s">
        <v>11720</v>
      </c>
      <c r="H5245" s="196" t="s">
        <v>11235</v>
      </c>
    </row>
    <row r="5246" spans="1:8" x14ac:dyDescent="0.15">
      <c r="A5246" s="196" t="s">
        <v>11229</v>
      </c>
      <c r="B5246" s="196" t="s">
        <v>11230</v>
      </c>
      <c r="C5246" s="196" t="s">
        <v>23360</v>
      </c>
      <c r="D5246" s="196" t="s">
        <v>23361</v>
      </c>
      <c r="E5246" s="196" t="s">
        <v>23361</v>
      </c>
      <c r="F5246" s="196" t="s">
        <v>11233</v>
      </c>
      <c r="G5246" s="196" t="s">
        <v>12378</v>
      </c>
      <c r="H5246" s="196" t="s">
        <v>11235</v>
      </c>
    </row>
    <row r="5247" spans="1:8" x14ac:dyDescent="0.15">
      <c r="A5247" s="196" t="s">
        <v>11229</v>
      </c>
      <c r="B5247" s="196" t="s">
        <v>11230</v>
      </c>
      <c r="C5247" s="196" t="s">
        <v>23362</v>
      </c>
      <c r="D5247" s="196" t="s">
        <v>23363</v>
      </c>
      <c r="E5247" s="196" t="s">
        <v>23363</v>
      </c>
      <c r="F5247" s="196" t="s">
        <v>11233</v>
      </c>
      <c r="G5247" s="196" t="s">
        <v>12378</v>
      </c>
      <c r="H5247" s="196" t="s">
        <v>11235</v>
      </c>
    </row>
    <row r="5248" spans="1:8" x14ac:dyDescent="0.15">
      <c r="A5248" s="196" t="s">
        <v>11229</v>
      </c>
      <c r="B5248" s="196" t="s">
        <v>11230</v>
      </c>
      <c r="C5248" s="196" t="s">
        <v>23364</v>
      </c>
      <c r="D5248" s="196" t="s">
        <v>23363</v>
      </c>
      <c r="E5248" s="196" t="s">
        <v>23363</v>
      </c>
      <c r="F5248" s="196" t="s">
        <v>11233</v>
      </c>
      <c r="G5248" s="196" t="s">
        <v>11720</v>
      </c>
      <c r="H5248" s="196" t="s">
        <v>11235</v>
      </c>
    </row>
    <row r="5249" spans="1:8" x14ac:dyDescent="0.15">
      <c r="A5249" s="196" t="s">
        <v>11229</v>
      </c>
      <c r="B5249" s="196" t="s">
        <v>11230</v>
      </c>
      <c r="C5249" s="196" t="s">
        <v>23365</v>
      </c>
      <c r="D5249" s="196" t="s">
        <v>23366</v>
      </c>
      <c r="E5249" s="196" t="s">
        <v>23366</v>
      </c>
      <c r="F5249" s="196" t="s">
        <v>11233</v>
      </c>
      <c r="G5249" s="196" t="s">
        <v>12378</v>
      </c>
      <c r="H5249" s="196" t="s">
        <v>11235</v>
      </c>
    </row>
    <row r="5250" spans="1:8" x14ac:dyDescent="0.15">
      <c r="A5250" s="196" t="s">
        <v>11229</v>
      </c>
      <c r="B5250" s="196" t="s">
        <v>11230</v>
      </c>
      <c r="C5250" s="196" t="s">
        <v>23367</v>
      </c>
      <c r="D5250" s="196" t="s">
        <v>23368</v>
      </c>
      <c r="E5250" s="196" t="s">
        <v>23368</v>
      </c>
      <c r="F5250" s="196" t="s">
        <v>11233</v>
      </c>
      <c r="G5250" s="196" t="s">
        <v>12378</v>
      </c>
      <c r="H5250" s="196" t="s">
        <v>11235</v>
      </c>
    </row>
    <row r="5251" spans="1:8" x14ac:dyDescent="0.15">
      <c r="A5251" s="196" t="s">
        <v>11229</v>
      </c>
      <c r="B5251" s="196" t="s">
        <v>11230</v>
      </c>
      <c r="C5251" s="196" t="s">
        <v>23369</v>
      </c>
      <c r="D5251" s="196" t="s">
        <v>23368</v>
      </c>
      <c r="E5251" s="196" t="s">
        <v>23368</v>
      </c>
      <c r="F5251" s="196" t="s">
        <v>11233</v>
      </c>
      <c r="G5251" s="196" t="s">
        <v>11720</v>
      </c>
      <c r="H5251" s="196" t="s">
        <v>11235</v>
      </c>
    </row>
    <row r="5252" spans="1:8" x14ac:dyDescent="0.15">
      <c r="A5252" s="196" t="s">
        <v>11229</v>
      </c>
      <c r="B5252" s="196" t="s">
        <v>11230</v>
      </c>
      <c r="C5252" s="196" t="s">
        <v>23370</v>
      </c>
      <c r="D5252" s="196" t="s">
        <v>23371</v>
      </c>
      <c r="E5252" s="196" t="s">
        <v>23371</v>
      </c>
      <c r="F5252" s="196" t="s">
        <v>11233</v>
      </c>
      <c r="G5252" s="196" t="s">
        <v>12378</v>
      </c>
      <c r="H5252" s="196" t="s">
        <v>11235</v>
      </c>
    </row>
    <row r="5253" spans="1:8" x14ac:dyDescent="0.15">
      <c r="A5253" s="196" t="s">
        <v>11229</v>
      </c>
      <c r="B5253" s="196" t="s">
        <v>11230</v>
      </c>
      <c r="C5253" s="196" t="s">
        <v>23372</v>
      </c>
      <c r="D5253" s="196" t="s">
        <v>23373</v>
      </c>
      <c r="E5253" s="196" t="s">
        <v>23373</v>
      </c>
      <c r="F5253" s="196" t="s">
        <v>11233</v>
      </c>
      <c r="G5253" s="196" t="s">
        <v>12378</v>
      </c>
      <c r="H5253" s="196" t="s">
        <v>11235</v>
      </c>
    </row>
    <row r="5254" spans="1:8" x14ac:dyDescent="0.15">
      <c r="A5254" s="196" t="s">
        <v>11229</v>
      </c>
      <c r="B5254" s="196" t="s">
        <v>11230</v>
      </c>
      <c r="C5254" s="196" t="s">
        <v>23374</v>
      </c>
      <c r="D5254" s="196" t="s">
        <v>23373</v>
      </c>
      <c r="E5254" s="196" t="s">
        <v>23373</v>
      </c>
      <c r="F5254" s="196" t="s">
        <v>11233</v>
      </c>
      <c r="G5254" s="196" t="s">
        <v>11720</v>
      </c>
      <c r="H5254" s="196" t="s">
        <v>11235</v>
      </c>
    </row>
    <row r="5255" spans="1:8" x14ac:dyDescent="0.15">
      <c r="A5255" s="196" t="s">
        <v>11229</v>
      </c>
      <c r="B5255" s="196" t="s">
        <v>11230</v>
      </c>
      <c r="C5255" s="196" t="s">
        <v>23375</v>
      </c>
      <c r="D5255" s="196" t="s">
        <v>23376</v>
      </c>
      <c r="E5255" s="196" t="s">
        <v>23376</v>
      </c>
      <c r="F5255" s="196" t="s">
        <v>11233</v>
      </c>
      <c r="G5255" s="196" t="s">
        <v>12378</v>
      </c>
      <c r="H5255" s="196" t="s">
        <v>11235</v>
      </c>
    </row>
    <row r="5256" spans="1:8" x14ac:dyDescent="0.15">
      <c r="A5256" s="196" t="s">
        <v>11229</v>
      </c>
      <c r="B5256" s="196" t="s">
        <v>11230</v>
      </c>
      <c r="C5256" s="196" t="s">
        <v>23377</v>
      </c>
      <c r="D5256" s="196" t="s">
        <v>23378</v>
      </c>
      <c r="E5256" s="196" t="s">
        <v>23378</v>
      </c>
      <c r="F5256" s="196" t="s">
        <v>11233</v>
      </c>
      <c r="G5256" s="196" t="s">
        <v>12378</v>
      </c>
      <c r="H5256" s="196" t="s">
        <v>11235</v>
      </c>
    </row>
    <row r="5257" spans="1:8" x14ac:dyDescent="0.15">
      <c r="A5257" s="196" t="s">
        <v>11229</v>
      </c>
      <c r="B5257" s="196" t="s">
        <v>11230</v>
      </c>
      <c r="C5257" s="196" t="s">
        <v>23379</v>
      </c>
      <c r="D5257" s="196" t="s">
        <v>23378</v>
      </c>
      <c r="E5257" s="196" t="s">
        <v>23378</v>
      </c>
      <c r="F5257" s="196" t="s">
        <v>11233</v>
      </c>
      <c r="G5257" s="196" t="s">
        <v>11720</v>
      </c>
      <c r="H5257" s="196" t="s">
        <v>11235</v>
      </c>
    </row>
    <row r="5258" spans="1:8" x14ac:dyDescent="0.15">
      <c r="A5258" s="196" t="s">
        <v>11229</v>
      </c>
      <c r="B5258" s="196" t="s">
        <v>11230</v>
      </c>
      <c r="C5258" s="196" t="s">
        <v>23380</v>
      </c>
      <c r="D5258" s="196" t="s">
        <v>23381</v>
      </c>
      <c r="E5258" s="196" t="s">
        <v>23381</v>
      </c>
      <c r="F5258" s="196" t="s">
        <v>11233</v>
      </c>
      <c r="G5258" s="196" t="s">
        <v>12378</v>
      </c>
      <c r="H5258" s="196" t="s">
        <v>11235</v>
      </c>
    </row>
    <row r="5259" spans="1:8" x14ac:dyDescent="0.15">
      <c r="A5259" s="196" t="s">
        <v>11229</v>
      </c>
      <c r="B5259" s="196" t="s">
        <v>11230</v>
      </c>
      <c r="C5259" s="196" t="s">
        <v>23382</v>
      </c>
      <c r="D5259" s="196" t="s">
        <v>23381</v>
      </c>
      <c r="E5259" s="196" t="s">
        <v>23381</v>
      </c>
      <c r="F5259" s="196" t="s">
        <v>11233</v>
      </c>
      <c r="G5259" s="196" t="s">
        <v>11720</v>
      </c>
      <c r="H5259" s="196" t="s">
        <v>11235</v>
      </c>
    </row>
    <row r="5260" spans="1:8" x14ac:dyDescent="0.15">
      <c r="A5260" s="196" t="s">
        <v>11229</v>
      </c>
      <c r="B5260" s="196" t="s">
        <v>11230</v>
      </c>
      <c r="C5260" s="196" t="s">
        <v>23383</v>
      </c>
      <c r="D5260" s="196" t="s">
        <v>23384</v>
      </c>
      <c r="E5260" s="196" t="s">
        <v>23384</v>
      </c>
      <c r="F5260" s="196" t="s">
        <v>11233</v>
      </c>
      <c r="G5260" s="196" t="s">
        <v>11720</v>
      </c>
      <c r="H5260" s="196" t="s">
        <v>11235</v>
      </c>
    </row>
    <row r="5261" spans="1:8" x14ac:dyDescent="0.15">
      <c r="A5261" s="196" t="s">
        <v>11229</v>
      </c>
      <c r="B5261" s="196" t="s">
        <v>11230</v>
      </c>
      <c r="C5261" s="196" t="s">
        <v>23385</v>
      </c>
      <c r="D5261" s="196" t="s">
        <v>23386</v>
      </c>
      <c r="E5261" s="196" t="s">
        <v>23386</v>
      </c>
      <c r="F5261" s="196" t="s">
        <v>11233</v>
      </c>
      <c r="G5261" s="196" t="s">
        <v>11720</v>
      </c>
      <c r="H5261" s="196" t="s">
        <v>11235</v>
      </c>
    </row>
    <row r="5262" spans="1:8" x14ac:dyDescent="0.15">
      <c r="A5262" s="196" t="s">
        <v>11229</v>
      </c>
      <c r="B5262" s="196" t="s">
        <v>11230</v>
      </c>
      <c r="C5262" s="196" t="s">
        <v>23387</v>
      </c>
      <c r="D5262" s="196" t="s">
        <v>23388</v>
      </c>
      <c r="E5262" s="196" t="s">
        <v>23388</v>
      </c>
      <c r="F5262" s="196" t="s">
        <v>11233</v>
      </c>
      <c r="G5262" s="196" t="s">
        <v>11720</v>
      </c>
      <c r="H5262" s="196" t="s">
        <v>11235</v>
      </c>
    </row>
    <row r="5263" spans="1:8" x14ac:dyDescent="0.15">
      <c r="A5263" s="196" t="s">
        <v>11229</v>
      </c>
      <c r="B5263" s="196" t="s">
        <v>11230</v>
      </c>
      <c r="C5263" s="196" t="s">
        <v>23389</v>
      </c>
      <c r="D5263" s="196" t="s">
        <v>23390</v>
      </c>
      <c r="E5263" s="196" t="s">
        <v>23390</v>
      </c>
      <c r="F5263" s="196" t="s">
        <v>11233</v>
      </c>
      <c r="G5263" s="196" t="s">
        <v>11720</v>
      </c>
      <c r="H5263" s="196" t="s">
        <v>11235</v>
      </c>
    </row>
    <row r="5264" spans="1:8" x14ac:dyDescent="0.15">
      <c r="A5264" s="196" t="s">
        <v>11229</v>
      </c>
      <c r="B5264" s="196" t="s">
        <v>11230</v>
      </c>
      <c r="C5264" s="196" t="s">
        <v>23391</v>
      </c>
      <c r="D5264" s="196" t="s">
        <v>23392</v>
      </c>
      <c r="E5264" s="196" t="s">
        <v>23392</v>
      </c>
      <c r="F5264" s="196" t="s">
        <v>11233</v>
      </c>
      <c r="G5264" s="196" t="s">
        <v>12378</v>
      </c>
      <c r="H5264" s="196" t="s">
        <v>11235</v>
      </c>
    </row>
    <row r="5265" spans="1:8" x14ac:dyDescent="0.15">
      <c r="A5265" s="196" t="s">
        <v>11229</v>
      </c>
      <c r="B5265" s="196" t="s">
        <v>11230</v>
      </c>
      <c r="C5265" s="196" t="s">
        <v>23393</v>
      </c>
      <c r="D5265" s="196" t="s">
        <v>23394</v>
      </c>
      <c r="E5265" s="196" t="s">
        <v>23394</v>
      </c>
      <c r="F5265" s="196" t="s">
        <v>11233</v>
      </c>
      <c r="G5265" s="196" t="s">
        <v>11720</v>
      </c>
      <c r="H5265" s="196" t="s">
        <v>11235</v>
      </c>
    </row>
    <row r="5266" spans="1:8" x14ac:dyDescent="0.15">
      <c r="A5266" s="196" t="s">
        <v>11229</v>
      </c>
      <c r="B5266" s="196" t="s">
        <v>11230</v>
      </c>
      <c r="C5266" s="196" t="s">
        <v>23395</v>
      </c>
      <c r="D5266" s="196" t="s">
        <v>23396</v>
      </c>
      <c r="E5266" s="196" t="s">
        <v>23397</v>
      </c>
      <c r="F5266" s="196" t="s">
        <v>11241</v>
      </c>
      <c r="G5266" s="196" t="s">
        <v>12378</v>
      </c>
      <c r="H5266" s="196" t="s">
        <v>11235</v>
      </c>
    </row>
    <row r="5267" spans="1:8" x14ac:dyDescent="0.15">
      <c r="A5267" s="196" t="s">
        <v>11229</v>
      </c>
      <c r="B5267" s="196" t="s">
        <v>11230</v>
      </c>
      <c r="C5267" s="196" t="s">
        <v>23398</v>
      </c>
      <c r="D5267" s="196" t="s">
        <v>23399</v>
      </c>
      <c r="E5267" s="196" t="s">
        <v>23399</v>
      </c>
      <c r="F5267" s="196" t="s">
        <v>11233</v>
      </c>
      <c r="G5267" s="196" t="s">
        <v>11720</v>
      </c>
      <c r="H5267" s="196" t="s">
        <v>11235</v>
      </c>
    </row>
    <row r="5268" spans="1:8" x14ac:dyDescent="0.15">
      <c r="A5268" s="196" t="s">
        <v>11229</v>
      </c>
      <c r="B5268" s="196" t="s">
        <v>11230</v>
      </c>
      <c r="C5268" s="196" t="s">
        <v>23400</v>
      </c>
      <c r="D5268" s="196" t="s">
        <v>23401</v>
      </c>
      <c r="E5268" s="196" t="s">
        <v>23401</v>
      </c>
      <c r="F5268" s="196" t="s">
        <v>11233</v>
      </c>
      <c r="G5268" s="196" t="s">
        <v>11720</v>
      </c>
      <c r="H5268" s="196" t="s">
        <v>11235</v>
      </c>
    </row>
    <row r="5269" spans="1:8" x14ac:dyDescent="0.15">
      <c r="A5269" s="196" t="s">
        <v>11229</v>
      </c>
      <c r="B5269" s="196" t="s">
        <v>11230</v>
      </c>
      <c r="C5269" s="196" t="s">
        <v>23402</v>
      </c>
      <c r="D5269" s="196" t="s">
        <v>23403</v>
      </c>
      <c r="E5269" s="196" t="s">
        <v>23403</v>
      </c>
      <c r="F5269" s="196" t="s">
        <v>11233</v>
      </c>
      <c r="G5269" s="196" t="s">
        <v>11720</v>
      </c>
      <c r="H5269" s="196" t="s">
        <v>11235</v>
      </c>
    </row>
    <row r="5270" spans="1:8" x14ac:dyDescent="0.15">
      <c r="A5270" s="196" t="s">
        <v>11229</v>
      </c>
      <c r="B5270" s="196" t="s">
        <v>11230</v>
      </c>
      <c r="C5270" s="196" t="s">
        <v>23404</v>
      </c>
      <c r="D5270" s="196" t="s">
        <v>23405</v>
      </c>
      <c r="E5270" s="196" t="s">
        <v>23405</v>
      </c>
      <c r="F5270" s="196" t="s">
        <v>11233</v>
      </c>
      <c r="G5270" s="196" t="s">
        <v>11720</v>
      </c>
      <c r="H5270" s="196" t="s">
        <v>11235</v>
      </c>
    </row>
    <row r="5271" spans="1:8" x14ac:dyDescent="0.15">
      <c r="A5271" s="196" t="s">
        <v>11229</v>
      </c>
      <c r="B5271" s="196" t="s">
        <v>11230</v>
      </c>
      <c r="C5271" s="196" t="s">
        <v>23406</v>
      </c>
      <c r="D5271" s="196" t="s">
        <v>23407</v>
      </c>
      <c r="E5271" s="196" t="s">
        <v>23407</v>
      </c>
      <c r="F5271" s="196" t="s">
        <v>11233</v>
      </c>
      <c r="G5271" s="196" t="s">
        <v>11720</v>
      </c>
      <c r="H5271" s="196" t="s">
        <v>11235</v>
      </c>
    </row>
    <row r="5272" spans="1:8" x14ac:dyDescent="0.15">
      <c r="A5272" s="196" t="s">
        <v>11229</v>
      </c>
      <c r="B5272" s="196" t="s">
        <v>11230</v>
      </c>
      <c r="C5272" s="196" t="s">
        <v>23408</v>
      </c>
      <c r="D5272" s="196" t="s">
        <v>23409</v>
      </c>
      <c r="E5272" s="196" t="s">
        <v>23409</v>
      </c>
      <c r="F5272" s="196" t="s">
        <v>11233</v>
      </c>
      <c r="G5272" s="196" t="s">
        <v>11720</v>
      </c>
      <c r="H5272" s="196" t="s">
        <v>11235</v>
      </c>
    </row>
    <row r="5273" spans="1:8" x14ac:dyDescent="0.15">
      <c r="A5273" s="196" t="s">
        <v>11229</v>
      </c>
      <c r="B5273" s="196" t="s">
        <v>11230</v>
      </c>
      <c r="C5273" s="196" t="s">
        <v>23410</v>
      </c>
      <c r="D5273" s="196" t="s">
        <v>23411</v>
      </c>
      <c r="E5273" s="196" t="s">
        <v>23411</v>
      </c>
      <c r="F5273" s="196" t="s">
        <v>11233</v>
      </c>
      <c r="G5273" s="196" t="s">
        <v>11720</v>
      </c>
      <c r="H5273" s="196" t="s">
        <v>11235</v>
      </c>
    </row>
    <row r="5274" spans="1:8" x14ac:dyDescent="0.15">
      <c r="A5274" s="196" t="s">
        <v>11229</v>
      </c>
      <c r="B5274" s="196" t="s">
        <v>11230</v>
      </c>
      <c r="C5274" s="196" t="s">
        <v>23412</v>
      </c>
      <c r="D5274" s="196" t="s">
        <v>23413</v>
      </c>
      <c r="E5274" s="196" t="s">
        <v>23413</v>
      </c>
      <c r="F5274" s="196" t="s">
        <v>11233</v>
      </c>
      <c r="G5274" s="196" t="s">
        <v>11720</v>
      </c>
      <c r="H5274" s="196" t="s">
        <v>11235</v>
      </c>
    </row>
    <row r="5275" spans="1:8" x14ac:dyDescent="0.15">
      <c r="A5275" s="196" t="s">
        <v>11229</v>
      </c>
      <c r="B5275" s="196" t="s">
        <v>11230</v>
      </c>
      <c r="C5275" s="196" t="s">
        <v>23414</v>
      </c>
      <c r="D5275" s="196" t="s">
        <v>23415</v>
      </c>
      <c r="E5275" s="196" t="s">
        <v>23415</v>
      </c>
      <c r="F5275" s="196" t="s">
        <v>11233</v>
      </c>
      <c r="G5275" s="196" t="s">
        <v>11720</v>
      </c>
      <c r="H5275" s="196" t="s">
        <v>11235</v>
      </c>
    </row>
    <row r="5276" spans="1:8" x14ac:dyDescent="0.15">
      <c r="A5276" s="196" t="s">
        <v>11229</v>
      </c>
      <c r="B5276" s="196" t="s">
        <v>11230</v>
      </c>
      <c r="C5276" s="196" t="s">
        <v>23416</v>
      </c>
      <c r="D5276" s="196" t="s">
        <v>23417</v>
      </c>
      <c r="E5276" s="196" t="s">
        <v>23417</v>
      </c>
      <c r="F5276" s="196" t="s">
        <v>11233</v>
      </c>
      <c r="G5276" s="196" t="s">
        <v>11720</v>
      </c>
      <c r="H5276" s="196" t="s">
        <v>11235</v>
      </c>
    </row>
    <row r="5277" spans="1:8" x14ac:dyDescent="0.15">
      <c r="A5277" s="196" t="s">
        <v>11229</v>
      </c>
      <c r="B5277" s="196" t="s">
        <v>11230</v>
      </c>
      <c r="C5277" s="196" t="s">
        <v>23418</v>
      </c>
      <c r="D5277" s="196" t="s">
        <v>23419</v>
      </c>
      <c r="E5277" s="196" t="s">
        <v>23419</v>
      </c>
      <c r="F5277" s="196" t="s">
        <v>11233</v>
      </c>
      <c r="G5277" s="196" t="s">
        <v>11720</v>
      </c>
      <c r="H5277" s="196" t="s">
        <v>11235</v>
      </c>
    </row>
    <row r="5278" spans="1:8" x14ac:dyDescent="0.15">
      <c r="A5278" s="196" t="s">
        <v>11229</v>
      </c>
      <c r="B5278" s="196" t="s">
        <v>11230</v>
      </c>
      <c r="C5278" s="196" t="s">
        <v>23420</v>
      </c>
      <c r="D5278" s="196" t="s">
        <v>23419</v>
      </c>
      <c r="E5278" s="196" t="s">
        <v>23419</v>
      </c>
      <c r="F5278" s="196" t="s">
        <v>11233</v>
      </c>
      <c r="G5278" s="196" t="s">
        <v>12378</v>
      </c>
      <c r="H5278" s="196" t="s">
        <v>11235</v>
      </c>
    </row>
    <row r="5279" spans="1:8" x14ac:dyDescent="0.15">
      <c r="A5279" s="196" t="s">
        <v>11229</v>
      </c>
      <c r="B5279" s="196" t="s">
        <v>11230</v>
      </c>
      <c r="C5279" s="196" t="s">
        <v>23421</v>
      </c>
      <c r="D5279" s="196" t="s">
        <v>23422</v>
      </c>
      <c r="E5279" s="196" t="s">
        <v>23422</v>
      </c>
      <c r="F5279" s="196" t="s">
        <v>11233</v>
      </c>
      <c r="G5279" s="196" t="s">
        <v>11720</v>
      </c>
      <c r="H5279" s="196" t="s">
        <v>11235</v>
      </c>
    </row>
    <row r="5280" spans="1:8" x14ac:dyDescent="0.15">
      <c r="A5280" s="196" t="s">
        <v>11229</v>
      </c>
      <c r="B5280" s="196" t="s">
        <v>11230</v>
      </c>
      <c r="C5280" s="196" t="s">
        <v>23423</v>
      </c>
      <c r="D5280" s="196" t="s">
        <v>23422</v>
      </c>
      <c r="E5280" s="196" t="s">
        <v>23422</v>
      </c>
      <c r="F5280" s="196" t="s">
        <v>11233</v>
      </c>
      <c r="G5280" s="196" t="s">
        <v>12378</v>
      </c>
      <c r="H5280" s="196" t="s">
        <v>11235</v>
      </c>
    </row>
    <row r="5281" spans="1:8" x14ac:dyDescent="0.15">
      <c r="A5281" s="196" t="s">
        <v>11229</v>
      </c>
      <c r="B5281" s="196" t="s">
        <v>11230</v>
      </c>
      <c r="C5281" s="196" t="s">
        <v>23424</v>
      </c>
      <c r="D5281" s="196" t="s">
        <v>23425</v>
      </c>
      <c r="E5281" s="196" t="s">
        <v>23425</v>
      </c>
      <c r="F5281" s="196" t="s">
        <v>11233</v>
      </c>
      <c r="G5281" s="196" t="s">
        <v>11720</v>
      </c>
      <c r="H5281" s="196" t="s">
        <v>11235</v>
      </c>
    </row>
    <row r="5282" spans="1:8" x14ac:dyDescent="0.15">
      <c r="A5282" s="196" t="s">
        <v>11229</v>
      </c>
      <c r="B5282" s="196" t="s">
        <v>11230</v>
      </c>
      <c r="C5282" s="196" t="s">
        <v>23426</v>
      </c>
      <c r="D5282" s="196" t="s">
        <v>23425</v>
      </c>
      <c r="E5282" s="196" t="s">
        <v>23425</v>
      </c>
      <c r="F5282" s="196" t="s">
        <v>11233</v>
      </c>
      <c r="G5282" s="196" t="s">
        <v>12378</v>
      </c>
      <c r="H5282" s="196" t="s">
        <v>11235</v>
      </c>
    </row>
    <row r="5283" spans="1:8" x14ac:dyDescent="0.15">
      <c r="A5283" s="196" t="s">
        <v>11229</v>
      </c>
      <c r="B5283" s="196" t="s">
        <v>11230</v>
      </c>
      <c r="C5283" s="196" t="s">
        <v>23427</v>
      </c>
      <c r="D5283" s="196" t="s">
        <v>23428</v>
      </c>
      <c r="E5283" s="196" t="s">
        <v>23428</v>
      </c>
      <c r="F5283" s="196" t="s">
        <v>11233</v>
      </c>
      <c r="G5283" s="196" t="s">
        <v>11720</v>
      </c>
      <c r="H5283" s="196" t="s">
        <v>11235</v>
      </c>
    </row>
    <row r="5284" spans="1:8" x14ac:dyDescent="0.15">
      <c r="A5284" s="196" t="s">
        <v>11229</v>
      </c>
      <c r="B5284" s="196" t="s">
        <v>11230</v>
      </c>
      <c r="C5284" s="196" t="s">
        <v>23429</v>
      </c>
      <c r="D5284" s="196" t="s">
        <v>23428</v>
      </c>
      <c r="E5284" s="196" t="s">
        <v>23428</v>
      </c>
      <c r="F5284" s="196" t="s">
        <v>11233</v>
      </c>
      <c r="G5284" s="196" t="s">
        <v>12378</v>
      </c>
      <c r="H5284" s="196" t="s">
        <v>11235</v>
      </c>
    </row>
    <row r="5285" spans="1:8" x14ac:dyDescent="0.15">
      <c r="A5285" s="196" t="s">
        <v>11229</v>
      </c>
      <c r="B5285" s="196" t="s">
        <v>11230</v>
      </c>
      <c r="C5285" s="196" t="s">
        <v>23430</v>
      </c>
      <c r="D5285" s="196" t="s">
        <v>23431</v>
      </c>
      <c r="E5285" s="196" t="s">
        <v>23431</v>
      </c>
      <c r="F5285" s="196" t="s">
        <v>11233</v>
      </c>
      <c r="G5285" s="196" t="s">
        <v>11720</v>
      </c>
      <c r="H5285" s="196" t="s">
        <v>11235</v>
      </c>
    </row>
    <row r="5286" spans="1:8" x14ac:dyDescent="0.15">
      <c r="A5286" s="196" t="s">
        <v>11229</v>
      </c>
      <c r="B5286" s="196" t="s">
        <v>11230</v>
      </c>
      <c r="C5286" s="196" t="s">
        <v>23432</v>
      </c>
      <c r="D5286" s="196" t="s">
        <v>23431</v>
      </c>
      <c r="E5286" s="196" t="s">
        <v>23431</v>
      </c>
      <c r="F5286" s="196" t="s">
        <v>11233</v>
      </c>
      <c r="G5286" s="196" t="s">
        <v>12378</v>
      </c>
      <c r="H5286" s="196" t="s">
        <v>11235</v>
      </c>
    </row>
    <row r="5287" spans="1:8" x14ac:dyDescent="0.15">
      <c r="A5287" s="196" t="s">
        <v>11229</v>
      </c>
      <c r="B5287" s="196" t="s">
        <v>11230</v>
      </c>
      <c r="C5287" s="196" t="s">
        <v>23433</v>
      </c>
      <c r="D5287" s="196" t="s">
        <v>23434</v>
      </c>
      <c r="E5287" s="196" t="s">
        <v>23434</v>
      </c>
      <c r="F5287" s="196" t="s">
        <v>11233</v>
      </c>
      <c r="G5287" s="196" t="s">
        <v>11720</v>
      </c>
      <c r="H5287" s="196" t="s">
        <v>11235</v>
      </c>
    </row>
    <row r="5288" spans="1:8" x14ac:dyDescent="0.15">
      <c r="A5288" s="196" t="s">
        <v>11229</v>
      </c>
      <c r="B5288" s="196" t="s">
        <v>11230</v>
      </c>
      <c r="C5288" s="196" t="s">
        <v>23435</v>
      </c>
      <c r="D5288" s="196" t="s">
        <v>23434</v>
      </c>
      <c r="E5288" s="196" t="s">
        <v>23434</v>
      </c>
      <c r="F5288" s="196" t="s">
        <v>11233</v>
      </c>
      <c r="G5288" s="196" t="s">
        <v>12378</v>
      </c>
      <c r="H5288" s="196" t="s">
        <v>11235</v>
      </c>
    </row>
    <row r="5289" spans="1:8" x14ac:dyDescent="0.15">
      <c r="A5289" s="196" t="s">
        <v>11229</v>
      </c>
      <c r="B5289" s="196" t="s">
        <v>11230</v>
      </c>
      <c r="C5289" s="196" t="s">
        <v>23436</v>
      </c>
      <c r="D5289" s="196" t="s">
        <v>23437</v>
      </c>
      <c r="E5289" s="196" t="s">
        <v>23437</v>
      </c>
      <c r="F5289" s="196" t="s">
        <v>11233</v>
      </c>
      <c r="G5289" s="196" t="s">
        <v>11720</v>
      </c>
      <c r="H5289" s="196" t="s">
        <v>11235</v>
      </c>
    </row>
    <row r="5290" spans="1:8" x14ac:dyDescent="0.15">
      <c r="A5290" s="196" t="s">
        <v>11229</v>
      </c>
      <c r="B5290" s="196" t="s">
        <v>11230</v>
      </c>
      <c r="C5290" s="196" t="s">
        <v>23438</v>
      </c>
      <c r="D5290" s="196" t="s">
        <v>23437</v>
      </c>
      <c r="E5290" s="196" t="s">
        <v>23437</v>
      </c>
      <c r="F5290" s="196" t="s">
        <v>11233</v>
      </c>
      <c r="G5290" s="196" t="s">
        <v>12378</v>
      </c>
      <c r="H5290" s="196" t="s">
        <v>11235</v>
      </c>
    </row>
    <row r="5291" spans="1:8" x14ac:dyDescent="0.15">
      <c r="A5291" s="196" t="s">
        <v>11229</v>
      </c>
      <c r="B5291" s="196" t="s">
        <v>11230</v>
      </c>
      <c r="C5291" s="196" t="s">
        <v>23439</v>
      </c>
      <c r="D5291" s="196" t="s">
        <v>23440</v>
      </c>
      <c r="E5291" s="196" t="s">
        <v>23440</v>
      </c>
      <c r="F5291" s="196" t="s">
        <v>11233</v>
      </c>
      <c r="G5291" s="196" t="s">
        <v>11720</v>
      </c>
      <c r="H5291" s="196" t="s">
        <v>11235</v>
      </c>
    </row>
    <row r="5292" spans="1:8" x14ac:dyDescent="0.15">
      <c r="A5292" s="196" t="s">
        <v>11229</v>
      </c>
      <c r="B5292" s="196" t="s">
        <v>11230</v>
      </c>
      <c r="C5292" s="196" t="s">
        <v>23441</v>
      </c>
      <c r="D5292" s="196" t="s">
        <v>23440</v>
      </c>
      <c r="E5292" s="196" t="s">
        <v>23440</v>
      </c>
      <c r="F5292" s="196" t="s">
        <v>11233</v>
      </c>
      <c r="G5292" s="196" t="s">
        <v>12378</v>
      </c>
      <c r="H5292" s="196" t="s">
        <v>11235</v>
      </c>
    </row>
    <row r="5293" spans="1:8" x14ac:dyDescent="0.15">
      <c r="A5293" s="196" t="s">
        <v>11229</v>
      </c>
      <c r="B5293" s="196" t="s">
        <v>11230</v>
      </c>
      <c r="C5293" s="196" t="s">
        <v>23442</v>
      </c>
      <c r="D5293" s="196" t="s">
        <v>23443</v>
      </c>
      <c r="E5293" s="196" t="s">
        <v>23443</v>
      </c>
      <c r="F5293" s="196" t="s">
        <v>11233</v>
      </c>
      <c r="G5293" s="196" t="s">
        <v>11720</v>
      </c>
      <c r="H5293" s="196" t="s">
        <v>11235</v>
      </c>
    </row>
    <row r="5294" spans="1:8" x14ac:dyDescent="0.15">
      <c r="A5294" s="196" t="s">
        <v>11229</v>
      </c>
      <c r="B5294" s="196" t="s">
        <v>11230</v>
      </c>
      <c r="C5294" s="196" t="s">
        <v>23444</v>
      </c>
      <c r="D5294" s="196" t="s">
        <v>23443</v>
      </c>
      <c r="E5294" s="196" t="s">
        <v>23443</v>
      </c>
      <c r="F5294" s="196" t="s">
        <v>11233</v>
      </c>
      <c r="G5294" s="196" t="s">
        <v>12378</v>
      </c>
      <c r="H5294" s="196" t="s">
        <v>11235</v>
      </c>
    </row>
    <row r="5295" spans="1:8" x14ac:dyDescent="0.15">
      <c r="A5295" s="196" t="s">
        <v>11229</v>
      </c>
      <c r="B5295" s="196" t="s">
        <v>11230</v>
      </c>
      <c r="C5295" s="196" t="s">
        <v>23445</v>
      </c>
      <c r="D5295" s="196" t="s">
        <v>23446</v>
      </c>
      <c r="E5295" s="196" t="s">
        <v>23446</v>
      </c>
      <c r="F5295" s="196" t="s">
        <v>11233</v>
      </c>
      <c r="G5295" s="196" t="s">
        <v>11720</v>
      </c>
      <c r="H5295" s="196" t="s">
        <v>11235</v>
      </c>
    </row>
    <row r="5296" spans="1:8" x14ac:dyDescent="0.15">
      <c r="A5296" s="196" t="s">
        <v>11229</v>
      </c>
      <c r="B5296" s="196" t="s">
        <v>11230</v>
      </c>
      <c r="C5296" s="196" t="s">
        <v>23447</v>
      </c>
      <c r="D5296" s="196" t="s">
        <v>23448</v>
      </c>
      <c r="E5296" s="196" t="s">
        <v>23448</v>
      </c>
      <c r="F5296" s="196" t="s">
        <v>11233</v>
      </c>
      <c r="G5296" s="196" t="s">
        <v>11720</v>
      </c>
      <c r="H5296" s="196" t="s">
        <v>11235</v>
      </c>
    </row>
    <row r="5297" spans="1:8" x14ac:dyDescent="0.15">
      <c r="A5297" s="196" t="s">
        <v>11229</v>
      </c>
      <c r="B5297" s="196" t="s">
        <v>11230</v>
      </c>
      <c r="C5297" s="196" t="s">
        <v>23449</v>
      </c>
      <c r="D5297" s="196" t="s">
        <v>23450</v>
      </c>
      <c r="E5297" s="196" t="s">
        <v>23450</v>
      </c>
      <c r="F5297" s="196" t="s">
        <v>11233</v>
      </c>
      <c r="G5297" s="196" t="s">
        <v>11720</v>
      </c>
      <c r="H5297" s="196" t="s">
        <v>11235</v>
      </c>
    </row>
    <row r="5298" spans="1:8" x14ac:dyDescent="0.15">
      <c r="A5298" s="196" t="s">
        <v>11229</v>
      </c>
      <c r="B5298" s="196" t="s">
        <v>11230</v>
      </c>
      <c r="C5298" s="196" t="s">
        <v>23451</v>
      </c>
      <c r="D5298" s="196" t="s">
        <v>23452</v>
      </c>
      <c r="E5298" s="196" t="s">
        <v>23452</v>
      </c>
      <c r="F5298" s="196" t="s">
        <v>11233</v>
      </c>
      <c r="G5298" s="196" t="s">
        <v>12378</v>
      </c>
      <c r="H5298" s="196" t="s">
        <v>11235</v>
      </c>
    </row>
    <row r="5299" spans="1:8" x14ac:dyDescent="0.15">
      <c r="A5299" s="196" t="s">
        <v>11229</v>
      </c>
      <c r="B5299" s="196" t="s">
        <v>11230</v>
      </c>
      <c r="C5299" s="196" t="s">
        <v>23453</v>
      </c>
      <c r="D5299" s="196" t="s">
        <v>23454</v>
      </c>
      <c r="E5299" s="196" t="s">
        <v>23454</v>
      </c>
      <c r="F5299" s="196" t="s">
        <v>11233</v>
      </c>
      <c r="G5299" s="196" t="s">
        <v>11720</v>
      </c>
      <c r="H5299" s="196" t="s">
        <v>11235</v>
      </c>
    </row>
    <row r="5300" spans="1:8" x14ac:dyDescent="0.15">
      <c r="A5300" s="196" t="s">
        <v>11229</v>
      </c>
      <c r="B5300" s="196" t="s">
        <v>11230</v>
      </c>
      <c r="C5300" s="196" t="s">
        <v>23455</v>
      </c>
      <c r="D5300" s="196" t="s">
        <v>23456</v>
      </c>
      <c r="E5300" s="196" t="s">
        <v>23456</v>
      </c>
      <c r="F5300" s="196" t="s">
        <v>11233</v>
      </c>
      <c r="G5300" s="196" t="s">
        <v>12378</v>
      </c>
      <c r="H5300" s="196" t="s">
        <v>11235</v>
      </c>
    </row>
    <row r="5301" spans="1:8" x14ac:dyDescent="0.15">
      <c r="A5301" s="196" t="s">
        <v>11229</v>
      </c>
      <c r="B5301" s="196" t="s">
        <v>11230</v>
      </c>
      <c r="C5301" s="196" t="s">
        <v>23457</v>
      </c>
      <c r="D5301" s="196" t="s">
        <v>23458</v>
      </c>
      <c r="E5301" s="196" t="s">
        <v>23458</v>
      </c>
      <c r="F5301" s="196" t="s">
        <v>11233</v>
      </c>
      <c r="G5301" s="196" t="s">
        <v>11720</v>
      </c>
      <c r="H5301" s="196" t="s">
        <v>11235</v>
      </c>
    </row>
    <row r="5302" spans="1:8" x14ac:dyDescent="0.15">
      <c r="A5302" s="196" t="s">
        <v>11229</v>
      </c>
      <c r="B5302" s="196" t="s">
        <v>11230</v>
      </c>
      <c r="C5302" s="196" t="s">
        <v>23459</v>
      </c>
      <c r="D5302" s="196" t="s">
        <v>23460</v>
      </c>
      <c r="E5302" s="196" t="s">
        <v>23460</v>
      </c>
      <c r="F5302" s="196" t="s">
        <v>11233</v>
      </c>
      <c r="G5302" s="196" t="s">
        <v>11720</v>
      </c>
      <c r="H5302" s="196" t="s">
        <v>11235</v>
      </c>
    </row>
    <row r="5303" spans="1:8" x14ac:dyDescent="0.15">
      <c r="A5303" s="196" t="s">
        <v>11229</v>
      </c>
      <c r="B5303" s="196" t="s">
        <v>11230</v>
      </c>
      <c r="C5303" s="196" t="s">
        <v>23461</v>
      </c>
      <c r="D5303" s="196" t="s">
        <v>23462</v>
      </c>
      <c r="E5303" s="196" t="s">
        <v>23462</v>
      </c>
      <c r="F5303" s="196" t="s">
        <v>11233</v>
      </c>
      <c r="G5303" s="196" t="s">
        <v>12378</v>
      </c>
      <c r="H5303" s="196" t="s">
        <v>11235</v>
      </c>
    </row>
    <row r="5304" spans="1:8" x14ac:dyDescent="0.15">
      <c r="A5304" s="196" t="s">
        <v>11229</v>
      </c>
      <c r="B5304" s="196" t="s">
        <v>11230</v>
      </c>
      <c r="C5304" s="196" t="s">
        <v>23463</v>
      </c>
      <c r="D5304" s="196" t="s">
        <v>23464</v>
      </c>
      <c r="E5304" s="196" t="s">
        <v>23464</v>
      </c>
      <c r="F5304" s="196" t="s">
        <v>11233</v>
      </c>
      <c r="G5304" s="196" t="s">
        <v>11720</v>
      </c>
      <c r="H5304" s="196" t="s">
        <v>11235</v>
      </c>
    </row>
    <row r="5305" spans="1:8" x14ac:dyDescent="0.15">
      <c r="A5305" s="196" t="s">
        <v>11229</v>
      </c>
      <c r="B5305" s="196" t="s">
        <v>11230</v>
      </c>
      <c r="C5305" s="196" t="s">
        <v>23465</v>
      </c>
      <c r="D5305" s="196" t="s">
        <v>23466</v>
      </c>
      <c r="E5305" s="196" t="s">
        <v>23466</v>
      </c>
      <c r="F5305" s="196" t="s">
        <v>11233</v>
      </c>
      <c r="G5305" s="196" t="s">
        <v>11720</v>
      </c>
      <c r="H5305" s="196" t="s">
        <v>11235</v>
      </c>
    </row>
    <row r="5306" spans="1:8" x14ac:dyDescent="0.15">
      <c r="A5306" s="196" t="s">
        <v>11229</v>
      </c>
      <c r="B5306" s="196" t="s">
        <v>11230</v>
      </c>
      <c r="C5306" s="196" t="s">
        <v>23467</v>
      </c>
      <c r="D5306" s="196" t="s">
        <v>23468</v>
      </c>
      <c r="E5306" s="196" t="s">
        <v>23468</v>
      </c>
      <c r="F5306" s="196" t="s">
        <v>11233</v>
      </c>
      <c r="G5306" s="196" t="s">
        <v>11720</v>
      </c>
      <c r="H5306" s="196" t="s">
        <v>11235</v>
      </c>
    </row>
    <row r="5307" spans="1:8" x14ac:dyDescent="0.15">
      <c r="A5307" s="196" t="s">
        <v>11229</v>
      </c>
      <c r="B5307" s="196" t="s">
        <v>11230</v>
      </c>
      <c r="C5307" s="196" t="s">
        <v>23469</v>
      </c>
      <c r="D5307" s="196" t="s">
        <v>23470</v>
      </c>
      <c r="E5307" s="196" t="s">
        <v>23470</v>
      </c>
      <c r="F5307" s="196" t="s">
        <v>11233</v>
      </c>
      <c r="G5307" s="196" t="s">
        <v>12378</v>
      </c>
      <c r="H5307" s="196" t="s">
        <v>11235</v>
      </c>
    </row>
    <row r="5308" spans="1:8" x14ac:dyDescent="0.15">
      <c r="A5308" s="196" t="s">
        <v>11229</v>
      </c>
      <c r="B5308" s="196" t="s">
        <v>11230</v>
      </c>
      <c r="C5308" s="196" t="s">
        <v>23471</v>
      </c>
      <c r="D5308" s="196" t="s">
        <v>23472</v>
      </c>
      <c r="E5308" s="196" t="s">
        <v>23472</v>
      </c>
      <c r="F5308" s="196" t="s">
        <v>11233</v>
      </c>
      <c r="G5308" s="196" t="s">
        <v>12378</v>
      </c>
      <c r="H5308" s="196" t="s">
        <v>11235</v>
      </c>
    </row>
    <row r="5309" spans="1:8" x14ac:dyDescent="0.15">
      <c r="A5309" s="196" t="s">
        <v>11229</v>
      </c>
      <c r="B5309" s="196" t="s">
        <v>11230</v>
      </c>
      <c r="C5309" s="196" t="s">
        <v>23473</v>
      </c>
      <c r="D5309" s="196" t="s">
        <v>23474</v>
      </c>
      <c r="E5309" s="196" t="s">
        <v>23475</v>
      </c>
      <c r="F5309" s="196" t="s">
        <v>13758</v>
      </c>
      <c r="G5309" s="196" t="s">
        <v>11720</v>
      </c>
      <c r="H5309" s="196" t="s">
        <v>11235</v>
      </c>
    </row>
    <row r="5310" spans="1:8" x14ac:dyDescent="0.15">
      <c r="A5310" s="196" t="s">
        <v>11229</v>
      </c>
      <c r="B5310" s="196" t="s">
        <v>11230</v>
      </c>
      <c r="C5310" s="196" t="s">
        <v>23476</v>
      </c>
      <c r="D5310" s="196" t="s">
        <v>23475</v>
      </c>
      <c r="E5310" s="196" t="s">
        <v>23477</v>
      </c>
      <c r="F5310" s="196" t="s">
        <v>11268</v>
      </c>
      <c r="G5310" s="196" t="s">
        <v>11720</v>
      </c>
      <c r="H5310" s="196" t="s">
        <v>11235</v>
      </c>
    </row>
    <row r="5311" spans="1:8" x14ac:dyDescent="0.15">
      <c r="A5311" s="196" t="s">
        <v>11229</v>
      </c>
      <c r="B5311" s="196" t="s">
        <v>11230</v>
      </c>
      <c r="C5311" s="196" t="s">
        <v>23478</v>
      </c>
      <c r="D5311" s="196" t="s">
        <v>23479</v>
      </c>
      <c r="E5311" s="196" t="s">
        <v>23479</v>
      </c>
      <c r="F5311" s="196" t="s">
        <v>11233</v>
      </c>
      <c r="G5311" s="196" t="s">
        <v>12378</v>
      </c>
      <c r="H5311" s="196" t="s">
        <v>11235</v>
      </c>
    </row>
    <row r="5312" spans="1:8" x14ac:dyDescent="0.15">
      <c r="A5312" s="196" t="s">
        <v>11229</v>
      </c>
      <c r="B5312" s="196" t="s">
        <v>11230</v>
      </c>
      <c r="C5312" s="196" t="s">
        <v>23480</v>
      </c>
      <c r="D5312" s="196" t="s">
        <v>23481</v>
      </c>
      <c r="E5312" s="196" t="s">
        <v>23482</v>
      </c>
      <c r="F5312" s="196" t="s">
        <v>11268</v>
      </c>
      <c r="G5312" s="196" t="s">
        <v>12378</v>
      </c>
      <c r="H5312" s="196" t="s">
        <v>11235</v>
      </c>
    </row>
    <row r="5313" spans="1:8" x14ac:dyDescent="0.15">
      <c r="A5313" s="196" t="s">
        <v>11229</v>
      </c>
      <c r="B5313" s="196" t="s">
        <v>11230</v>
      </c>
      <c r="C5313" s="196" t="s">
        <v>23483</v>
      </c>
      <c r="D5313" s="196" t="s">
        <v>23484</v>
      </c>
      <c r="E5313" s="196" t="s">
        <v>23485</v>
      </c>
      <c r="F5313" s="196" t="s">
        <v>11241</v>
      </c>
      <c r="G5313" s="196" t="s">
        <v>11720</v>
      </c>
      <c r="H5313" s="196" t="s">
        <v>11235</v>
      </c>
    </row>
    <row r="5314" spans="1:8" x14ac:dyDescent="0.15">
      <c r="A5314" s="196" t="s">
        <v>11229</v>
      </c>
      <c r="B5314" s="196" t="s">
        <v>11230</v>
      </c>
      <c r="C5314" s="196" t="s">
        <v>23486</v>
      </c>
      <c r="D5314" s="196" t="s">
        <v>23487</v>
      </c>
      <c r="E5314" s="196" t="s">
        <v>23487</v>
      </c>
      <c r="F5314" s="196" t="s">
        <v>11233</v>
      </c>
      <c r="G5314" s="196" t="s">
        <v>11720</v>
      </c>
      <c r="H5314" s="196" t="s">
        <v>11235</v>
      </c>
    </row>
    <row r="5315" spans="1:8" x14ac:dyDescent="0.15">
      <c r="A5315" s="196" t="s">
        <v>11229</v>
      </c>
      <c r="B5315" s="196" t="s">
        <v>11230</v>
      </c>
      <c r="C5315" s="196" t="s">
        <v>23488</v>
      </c>
      <c r="D5315" s="196" t="s">
        <v>23489</v>
      </c>
      <c r="E5315" s="196" t="s">
        <v>23489</v>
      </c>
      <c r="F5315" s="196" t="s">
        <v>11233</v>
      </c>
      <c r="G5315" s="196" t="s">
        <v>12378</v>
      </c>
      <c r="H5315" s="196" t="s">
        <v>11235</v>
      </c>
    </row>
    <row r="5316" spans="1:8" x14ac:dyDescent="0.15">
      <c r="A5316" s="196" t="s">
        <v>11229</v>
      </c>
      <c r="B5316" s="196" t="s">
        <v>11230</v>
      </c>
      <c r="C5316" s="196" t="s">
        <v>23490</v>
      </c>
      <c r="D5316" s="196" t="s">
        <v>23491</v>
      </c>
      <c r="E5316" s="196" t="s">
        <v>23491</v>
      </c>
      <c r="F5316" s="196" t="s">
        <v>11233</v>
      </c>
      <c r="G5316" s="196" t="s">
        <v>12378</v>
      </c>
      <c r="H5316" s="196" t="s">
        <v>11235</v>
      </c>
    </row>
    <row r="5317" spans="1:8" x14ac:dyDescent="0.15">
      <c r="A5317" s="196" t="s">
        <v>11229</v>
      </c>
      <c r="B5317" s="196" t="s">
        <v>11230</v>
      </c>
      <c r="C5317" s="196" t="s">
        <v>23492</v>
      </c>
      <c r="D5317" s="196" t="s">
        <v>23493</v>
      </c>
      <c r="E5317" s="196" t="s">
        <v>23493</v>
      </c>
      <c r="F5317" s="196" t="s">
        <v>11233</v>
      </c>
      <c r="G5317" s="196" t="s">
        <v>12378</v>
      </c>
      <c r="H5317" s="196" t="s">
        <v>11235</v>
      </c>
    </row>
    <row r="5318" spans="1:8" x14ac:dyDescent="0.15">
      <c r="A5318" s="196" t="s">
        <v>11229</v>
      </c>
      <c r="B5318" s="196" t="s">
        <v>11230</v>
      </c>
      <c r="C5318" s="196" t="s">
        <v>23494</v>
      </c>
      <c r="D5318" s="196" t="s">
        <v>23495</v>
      </c>
      <c r="E5318" s="196" t="s">
        <v>23495</v>
      </c>
      <c r="F5318" s="196" t="s">
        <v>11233</v>
      </c>
      <c r="G5318" s="196" t="s">
        <v>12378</v>
      </c>
      <c r="H5318" s="196" t="s">
        <v>11235</v>
      </c>
    </row>
    <row r="5319" spans="1:8" x14ac:dyDescent="0.15">
      <c r="A5319" s="196" t="s">
        <v>11229</v>
      </c>
      <c r="B5319" s="196" t="s">
        <v>11230</v>
      </c>
      <c r="C5319" s="196" t="s">
        <v>23496</v>
      </c>
      <c r="D5319" s="196" t="s">
        <v>23497</v>
      </c>
      <c r="E5319" s="196" t="s">
        <v>23498</v>
      </c>
      <c r="F5319" s="196" t="s">
        <v>13023</v>
      </c>
      <c r="G5319" s="196" t="s">
        <v>11720</v>
      </c>
      <c r="H5319" s="196" t="s">
        <v>11235</v>
      </c>
    </row>
    <row r="5320" spans="1:8" x14ac:dyDescent="0.15">
      <c r="A5320" s="196" t="s">
        <v>11229</v>
      </c>
      <c r="B5320" s="196" t="s">
        <v>11230</v>
      </c>
      <c r="C5320" s="196" t="s">
        <v>23499</v>
      </c>
      <c r="D5320" s="196" t="s">
        <v>23498</v>
      </c>
      <c r="E5320" s="196" t="s">
        <v>23500</v>
      </c>
      <c r="F5320" s="196" t="s">
        <v>11241</v>
      </c>
      <c r="G5320" s="196" t="s">
        <v>11720</v>
      </c>
      <c r="H5320" s="196" t="s">
        <v>11235</v>
      </c>
    </row>
    <row r="5321" spans="1:8" x14ac:dyDescent="0.15">
      <c r="A5321" s="196" t="s">
        <v>11229</v>
      </c>
      <c r="B5321" s="196" t="s">
        <v>11230</v>
      </c>
      <c r="C5321" s="196" t="s">
        <v>23501</v>
      </c>
      <c r="D5321" s="196" t="s">
        <v>23500</v>
      </c>
      <c r="E5321" s="196" t="s">
        <v>23502</v>
      </c>
      <c r="F5321" s="196" t="s">
        <v>11241</v>
      </c>
      <c r="G5321" s="196" t="s">
        <v>11720</v>
      </c>
      <c r="H5321" s="196" t="s">
        <v>11235</v>
      </c>
    </row>
    <row r="5322" spans="1:8" x14ac:dyDescent="0.15">
      <c r="A5322" s="196" t="s">
        <v>11229</v>
      </c>
      <c r="B5322" s="196" t="s">
        <v>11230</v>
      </c>
      <c r="C5322" s="196" t="s">
        <v>23503</v>
      </c>
      <c r="D5322" s="196" t="s">
        <v>23502</v>
      </c>
      <c r="E5322" s="196" t="s">
        <v>23504</v>
      </c>
      <c r="F5322" s="196" t="s">
        <v>13023</v>
      </c>
      <c r="G5322" s="196" t="s">
        <v>12378</v>
      </c>
      <c r="H5322" s="196" t="s">
        <v>11235</v>
      </c>
    </row>
    <row r="5323" spans="1:8" x14ac:dyDescent="0.15">
      <c r="A5323" s="196" t="s">
        <v>11229</v>
      </c>
      <c r="B5323" s="196" t="s">
        <v>11230</v>
      </c>
      <c r="C5323" s="196" t="s">
        <v>23505</v>
      </c>
      <c r="D5323" s="196" t="s">
        <v>23504</v>
      </c>
      <c r="E5323" s="196" t="s">
        <v>23506</v>
      </c>
      <c r="F5323" s="196" t="s">
        <v>11268</v>
      </c>
      <c r="G5323" s="196" t="s">
        <v>12378</v>
      </c>
      <c r="H5323" s="196" t="s">
        <v>11235</v>
      </c>
    </row>
    <row r="5324" spans="1:8" x14ac:dyDescent="0.15">
      <c r="A5324" s="196" t="s">
        <v>11229</v>
      </c>
      <c r="B5324" s="196" t="s">
        <v>11230</v>
      </c>
      <c r="C5324" s="196" t="s">
        <v>23507</v>
      </c>
      <c r="D5324" s="196" t="s">
        <v>23506</v>
      </c>
      <c r="E5324" s="196" t="s">
        <v>23508</v>
      </c>
      <c r="F5324" s="196" t="s">
        <v>11241</v>
      </c>
      <c r="G5324" s="196" t="s">
        <v>12378</v>
      </c>
      <c r="H5324" s="196" t="s">
        <v>11235</v>
      </c>
    </row>
    <row r="5325" spans="1:8" x14ac:dyDescent="0.15">
      <c r="A5325" s="196" t="s">
        <v>11229</v>
      </c>
      <c r="B5325" s="196" t="s">
        <v>11230</v>
      </c>
      <c r="C5325" s="196" t="s">
        <v>23509</v>
      </c>
      <c r="D5325" s="196" t="s">
        <v>23508</v>
      </c>
      <c r="E5325" s="196" t="s">
        <v>23510</v>
      </c>
      <c r="F5325" s="196" t="s">
        <v>11241</v>
      </c>
      <c r="G5325" s="196" t="s">
        <v>12378</v>
      </c>
      <c r="H5325" s="196" t="s">
        <v>11235</v>
      </c>
    </row>
    <row r="5326" spans="1:8" x14ac:dyDescent="0.15">
      <c r="A5326" s="196" t="s">
        <v>11229</v>
      </c>
      <c r="B5326" s="196" t="s">
        <v>11230</v>
      </c>
      <c r="C5326" s="196" t="s">
        <v>23511</v>
      </c>
      <c r="D5326" s="196" t="s">
        <v>23512</v>
      </c>
      <c r="E5326" s="196" t="s">
        <v>23512</v>
      </c>
      <c r="F5326" s="196" t="s">
        <v>11233</v>
      </c>
      <c r="G5326" s="196" t="s">
        <v>11720</v>
      </c>
      <c r="H5326" s="196" t="s">
        <v>11235</v>
      </c>
    </row>
    <row r="5327" spans="1:8" x14ac:dyDescent="0.15">
      <c r="A5327" s="196" t="s">
        <v>11229</v>
      </c>
      <c r="B5327" s="196" t="s">
        <v>11230</v>
      </c>
      <c r="C5327" s="196" t="s">
        <v>23513</v>
      </c>
      <c r="D5327" s="196" t="s">
        <v>23514</v>
      </c>
      <c r="E5327" s="196" t="s">
        <v>23514</v>
      </c>
      <c r="F5327" s="196" t="s">
        <v>11233</v>
      </c>
      <c r="G5327" s="196" t="s">
        <v>12378</v>
      </c>
      <c r="H5327" s="196" t="s">
        <v>11235</v>
      </c>
    </row>
    <row r="5328" spans="1:8" x14ac:dyDescent="0.15">
      <c r="A5328" s="196" t="s">
        <v>11229</v>
      </c>
      <c r="B5328" s="196" t="s">
        <v>11230</v>
      </c>
      <c r="C5328" s="196" t="s">
        <v>23515</v>
      </c>
      <c r="D5328" s="196" t="s">
        <v>23516</v>
      </c>
      <c r="E5328" s="196" t="s">
        <v>23516</v>
      </c>
      <c r="F5328" s="196" t="s">
        <v>11233</v>
      </c>
      <c r="G5328" s="196" t="s">
        <v>11720</v>
      </c>
      <c r="H5328" s="196" t="s">
        <v>11235</v>
      </c>
    </row>
    <row r="5329" spans="1:8" x14ac:dyDescent="0.15">
      <c r="A5329" s="196" t="s">
        <v>11229</v>
      </c>
      <c r="B5329" s="196" t="s">
        <v>11230</v>
      </c>
      <c r="C5329" s="196" t="s">
        <v>23517</v>
      </c>
      <c r="D5329" s="196" t="s">
        <v>23518</v>
      </c>
      <c r="E5329" s="196" t="s">
        <v>23518</v>
      </c>
      <c r="F5329" s="196" t="s">
        <v>11233</v>
      </c>
      <c r="G5329" s="196" t="s">
        <v>11720</v>
      </c>
      <c r="H5329" s="196" t="s">
        <v>11235</v>
      </c>
    </row>
    <row r="5330" spans="1:8" x14ac:dyDescent="0.15">
      <c r="A5330" s="196" t="s">
        <v>11229</v>
      </c>
      <c r="B5330" s="196" t="s">
        <v>11230</v>
      </c>
      <c r="C5330" s="196" t="s">
        <v>23519</v>
      </c>
      <c r="D5330" s="196" t="s">
        <v>23520</v>
      </c>
      <c r="E5330" s="196" t="s">
        <v>23520</v>
      </c>
      <c r="F5330" s="196" t="s">
        <v>11233</v>
      </c>
      <c r="G5330" s="196" t="s">
        <v>12378</v>
      </c>
      <c r="H5330" s="196" t="s">
        <v>11235</v>
      </c>
    </row>
    <row r="5331" spans="1:8" x14ac:dyDescent="0.15">
      <c r="A5331" s="196" t="s">
        <v>11229</v>
      </c>
      <c r="B5331" s="196" t="s">
        <v>11230</v>
      </c>
      <c r="C5331" s="196" t="s">
        <v>23521</v>
      </c>
      <c r="D5331" s="196" t="s">
        <v>23522</v>
      </c>
      <c r="E5331" s="196" t="s">
        <v>23523</v>
      </c>
      <c r="F5331" s="196" t="s">
        <v>11241</v>
      </c>
      <c r="G5331" s="196" t="s">
        <v>12378</v>
      </c>
      <c r="H5331" s="196" t="s">
        <v>11235</v>
      </c>
    </row>
    <row r="5332" spans="1:8" x14ac:dyDescent="0.15">
      <c r="A5332" s="196" t="s">
        <v>11229</v>
      </c>
      <c r="B5332" s="196" t="s">
        <v>11230</v>
      </c>
      <c r="C5332" s="196" t="s">
        <v>23524</v>
      </c>
      <c r="D5332" s="196" t="s">
        <v>23525</v>
      </c>
      <c r="E5332" s="196" t="s">
        <v>23525</v>
      </c>
      <c r="F5332" s="196" t="s">
        <v>11233</v>
      </c>
      <c r="G5332" s="196" t="s">
        <v>12378</v>
      </c>
      <c r="H5332" s="196" t="s">
        <v>11235</v>
      </c>
    </row>
    <row r="5333" spans="1:8" x14ac:dyDescent="0.15">
      <c r="A5333" s="196" t="s">
        <v>11229</v>
      </c>
      <c r="B5333" s="196" t="s">
        <v>11230</v>
      </c>
      <c r="C5333" s="196" t="s">
        <v>23526</v>
      </c>
      <c r="D5333" s="196" t="s">
        <v>23527</v>
      </c>
      <c r="E5333" s="196" t="s">
        <v>23527</v>
      </c>
      <c r="F5333" s="196" t="s">
        <v>11233</v>
      </c>
      <c r="G5333" s="196" t="s">
        <v>12378</v>
      </c>
      <c r="H5333" s="196" t="s">
        <v>11235</v>
      </c>
    </row>
    <row r="5334" spans="1:8" x14ac:dyDescent="0.15">
      <c r="A5334" s="196" t="s">
        <v>11229</v>
      </c>
      <c r="B5334" s="196" t="s">
        <v>11230</v>
      </c>
      <c r="C5334" s="196" t="s">
        <v>23528</v>
      </c>
      <c r="D5334" s="196" t="s">
        <v>23529</v>
      </c>
      <c r="E5334" s="196" t="s">
        <v>23530</v>
      </c>
      <c r="F5334" s="196" t="s">
        <v>11268</v>
      </c>
      <c r="G5334" s="196" t="s">
        <v>12378</v>
      </c>
      <c r="H5334" s="196" t="s">
        <v>11235</v>
      </c>
    </row>
    <row r="5335" spans="1:8" x14ac:dyDescent="0.15">
      <c r="A5335" s="196" t="s">
        <v>11229</v>
      </c>
      <c r="B5335" s="196" t="s">
        <v>11230</v>
      </c>
      <c r="C5335" s="196" t="s">
        <v>23531</v>
      </c>
      <c r="D5335" s="196" t="s">
        <v>23530</v>
      </c>
      <c r="E5335" s="196" t="s">
        <v>23532</v>
      </c>
      <c r="F5335" s="196" t="s">
        <v>11241</v>
      </c>
      <c r="G5335" s="196" t="s">
        <v>12378</v>
      </c>
      <c r="H5335" s="196" t="s">
        <v>11235</v>
      </c>
    </row>
    <row r="5336" spans="1:8" x14ac:dyDescent="0.15">
      <c r="A5336" s="196" t="s">
        <v>11229</v>
      </c>
      <c r="B5336" s="196" t="s">
        <v>11230</v>
      </c>
      <c r="C5336" s="196" t="s">
        <v>23533</v>
      </c>
      <c r="D5336" s="196" t="s">
        <v>23534</v>
      </c>
      <c r="E5336" s="196" t="s">
        <v>23535</v>
      </c>
      <c r="F5336" s="196" t="s">
        <v>13758</v>
      </c>
      <c r="G5336" s="196" t="s">
        <v>11720</v>
      </c>
      <c r="H5336" s="196" t="s">
        <v>11235</v>
      </c>
    </row>
    <row r="5337" spans="1:8" x14ac:dyDescent="0.15">
      <c r="A5337" s="196" t="s">
        <v>11229</v>
      </c>
      <c r="B5337" s="196" t="s">
        <v>11230</v>
      </c>
      <c r="C5337" s="196" t="s">
        <v>23536</v>
      </c>
      <c r="D5337" s="196" t="s">
        <v>23535</v>
      </c>
      <c r="E5337" s="196" t="s">
        <v>23537</v>
      </c>
      <c r="F5337" s="196" t="s">
        <v>11268</v>
      </c>
      <c r="G5337" s="196" t="s">
        <v>11720</v>
      </c>
      <c r="H5337" s="196" t="s">
        <v>11235</v>
      </c>
    </row>
    <row r="5338" spans="1:8" x14ac:dyDescent="0.15">
      <c r="A5338" s="196" t="s">
        <v>11229</v>
      </c>
      <c r="B5338" s="196" t="s">
        <v>11230</v>
      </c>
      <c r="C5338" s="196" t="s">
        <v>23538</v>
      </c>
      <c r="D5338" s="196" t="s">
        <v>23539</v>
      </c>
      <c r="E5338" s="196" t="s">
        <v>23540</v>
      </c>
      <c r="F5338" s="196" t="s">
        <v>11241</v>
      </c>
      <c r="G5338" s="196" t="s">
        <v>12378</v>
      </c>
      <c r="H5338" s="196" t="s">
        <v>11235</v>
      </c>
    </row>
    <row r="5339" spans="1:8" x14ac:dyDescent="0.15">
      <c r="A5339" s="196" t="s">
        <v>11229</v>
      </c>
      <c r="B5339" s="196" t="s">
        <v>11230</v>
      </c>
      <c r="C5339" s="196" t="s">
        <v>23541</v>
      </c>
      <c r="D5339" s="196" t="s">
        <v>23542</v>
      </c>
      <c r="E5339" s="196" t="s">
        <v>23543</v>
      </c>
      <c r="F5339" s="196" t="s">
        <v>11241</v>
      </c>
      <c r="G5339" s="196" t="s">
        <v>12378</v>
      </c>
      <c r="H5339" s="196" t="s">
        <v>11235</v>
      </c>
    </row>
    <row r="5340" spans="1:8" x14ac:dyDescent="0.15">
      <c r="A5340" s="196" t="s">
        <v>11229</v>
      </c>
      <c r="B5340" s="196" t="s">
        <v>11230</v>
      </c>
      <c r="C5340" s="196" t="s">
        <v>23544</v>
      </c>
      <c r="D5340" s="196" t="s">
        <v>23545</v>
      </c>
      <c r="E5340" s="196" t="s">
        <v>23545</v>
      </c>
      <c r="F5340" s="196" t="s">
        <v>11233</v>
      </c>
      <c r="G5340" s="196" t="s">
        <v>11720</v>
      </c>
      <c r="H5340" s="196" t="s">
        <v>11235</v>
      </c>
    </row>
    <row r="5341" spans="1:8" x14ac:dyDescent="0.15">
      <c r="A5341" s="196" t="s">
        <v>11229</v>
      </c>
      <c r="B5341" s="196" t="s">
        <v>11230</v>
      </c>
      <c r="C5341" s="196" t="s">
        <v>23546</v>
      </c>
      <c r="D5341" s="196" t="s">
        <v>23547</v>
      </c>
      <c r="E5341" s="196" t="s">
        <v>23547</v>
      </c>
      <c r="F5341" s="196" t="s">
        <v>11233</v>
      </c>
      <c r="G5341" s="196" t="s">
        <v>12378</v>
      </c>
      <c r="H5341" s="196" t="s">
        <v>11235</v>
      </c>
    </row>
    <row r="5342" spans="1:8" x14ac:dyDescent="0.15">
      <c r="A5342" s="196" t="s">
        <v>11229</v>
      </c>
      <c r="B5342" s="196" t="s">
        <v>11230</v>
      </c>
      <c r="C5342" s="196" t="s">
        <v>23548</v>
      </c>
      <c r="D5342" s="196" t="s">
        <v>23549</v>
      </c>
      <c r="E5342" s="196" t="s">
        <v>23549</v>
      </c>
      <c r="F5342" s="196" t="s">
        <v>11233</v>
      </c>
      <c r="G5342" s="196" t="s">
        <v>12378</v>
      </c>
      <c r="H5342" s="196" t="s">
        <v>11235</v>
      </c>
    </row>
    <row r="5343" spans="1:8" x14ac:dyDescent="0.15">
      <c r="A5343" s="196" t="s">
        <v>11229</v>
      </c>
      <c r="B5343" s="196" t="s">
        <v>11230</v>
      </c>
      <c r="C5343" s="196" t="s">
        <v>23550</v>
      </c>
      <c r="D5343" s="196" t="s">
        <v>23551</v>
      </c>
      <c r="E5343" s="196" t="s">
        <v>23551</v>
      </c>
      <c r="F5343" s="196" t="s">
        <v>11233</v>
      </c>
      <c r="G5343" s="196" t="s">
        <v>11720</v>
      </c>
      <c r="H5343" s="196" t="s">
        <v>11235</v>
      </c>
    </row>
    <row r="5344" spans="1:8" x14ac:dyDescent="0.15">
      <c r="A5344" s="196" t="s">
        <v>11229</v>
      </c>
      <c r="B5344" s="196" t="s">
        <v>11230</v>
      </c>
      <c r="C5344" s="196" t="s">
        <v>23552</v>
      </c>
      <c r="D5344" s="196" t="s">
        <v>23553</v>
      </c>
      <c r="E5344" s="196" t="s">
        <v>23553</v>
      </c>
      <c r="F5344" s="196" t="s">
        <v>11233</v>
      </c>
      <c r="G5344" s="196" t="s">
        <v>11720</v>
      </c>
      <c r="H5344" s="196" t="s">
        <v>11235</v>
      </c>
    </row>
    <row r="5345" spans="1:8" x14ac:dyDescent="0.15">
      <c r="A5345" s="196" t="s">
        <v>11229</v>
      </c>
      <c r="B5345" s="196" t="s">
        <v>11230</v>
      </c>
      <c r="C5345" s="196" t="s">
        <v>23554</v>
      </c>
      <c r="D5345" s="196" t="s">
        <v>23555</v>
      </c>
      <c r="E5345" s="196" t="s">
        <v>23555</v>
      </c>
      <c r="F5345" s="196" t="s">
        <v>11233</v>
      </c>
      <c r="G5345" s="196" t="s">
        <v>11720</v>
      </c>
      <c r="H5345" s="196" t="s">
        <v>11235</v>
      </c>
    </row>
    <row r="5346" spans="1:8" x14ac:dyDescent="0.15">
      <c r="A5346" s="196" t="s">
        <v>11229</v>
      </c>
      <c r="B5346" s="196" t="s">
        <v>11230</v>
      </c>
      <c r="C5346" s="196" t="s">
        <v>23556</v>
      </c>
      <c r="D5346" s="196" t="s">
        <v>23557</v>
      </c>
      <c r="E5346" s="196" t="s">
        <v>23557</v>
      </c>
      <c r="F5346" s="196" t="s">
        <v>11233</v>
      </c>
      <c r="G5346" s="196" t="s">
        <v>11720</v>
      </c>
      <c r="H5346" s="196" t="s">
        <v>11235</v>
      </c>
    </row>
    <row r="5347" spans="1:8" x14ac:dyDescent="0.15">
      <c r="A5347" s="196" t="s">
        <v>11229</v>
      </c>
      <c r="B5347" s="196" t="s">
        <v>11230</v>
      </c>
      <c r="C5347" s="196" t="s">
        <v>23558</v>
      </c>
      <c r="D5347" s="196" t="s">
        <v>23559</v>
      </c>
      <c r="E5347" s="196" t="s">
        <v>23559</v>
      </c>
      <c r="F5347" s="196" t="s">
        <v>11233</v>
      </c>
      <c r="G5347" s="196" t="s">
        <v>11720</v>
      </c>
      <c r="H5347" s="196" t="s">
        <v>11235</v>
      </c>
    </row>
    <row r="5348" spans="1:8" x14ac:dyDescent="0.15">
      <c r="A5348" s="196" t="s">
        <v>11229</v>
      </c>
      <c r="B5348" s="196" t="s">
        <v>11230</v>
      </c>
      <c r="C5348" s="196" t="s">
        <v>23560</v>
      </c>
      <c r="D5348" s="196" t="s">
        <v>23561</v>
      </c>
      <c r="E5348" s="196" t="s">
        <v>23561</v>
      </c>
      <c r="F5348" s="196" t="s">
        <v>11233</v>
      </c>
      <c r="G5348" s="196" t="s">
        <v>12378</v>
      </c>
      <c r="H5348" s="196" t="s">
        <v>11235</v>
      </c>
    </row>
    <row r="5349" spans="1:8" x14ac:dyDescent="0.15">
      <c r="A5349" s="196" t="s">
        <v>11229</v>
      </c>
      <c r="B5349" s="196" t="s">
        <v>11230</v>
      </c>
      <c r="C5349" s="196" t="s">
        <v>23562</v>
      </c>
      <c r="D5349" s="196" t="s">
        <v>23563</v>
      </c>
      <c r="E5349" s="196" t="s">
        <v>23563</v>
      </c>
      <c r="F5349" s="196" t="s">
        <v>11233</v>
      </c>
      <c r="G5349" s="196" t="s">
        <v>11720</v>
      </c>
      <c r="H5349" s="196" t="s">
        <v>11235</v>
      </c>
    </row>
    <row r="5350" spans="1:8" x14ac:dyDescent="0.15">
      <c r="A5350" s="196" t="s">
        <v>11229</v>
      </c>
      <c r="B5350" s="196" t="s">
        <v>11230</v>
      </c>
      <c r="C5350" s="196" t="s">
        <v>23564</v>
      </c>
      <c r="D5350" s="196" t="s">
        <v>23565</v>
      </c>
      <c r="E5350" s="196" t="s">
        <v>23565</v>
      </c>
      <c r="F5350" s="196" t="s">
        <v>11233</v>
      </c>
      <c r="G5350" s="196" t="s">
        <v>12378</v>
      </c>
      <c r="H5350" s="196" t="s">
        <v>11235</v>
      </c>
    </row>
    <row r="5351" spans="1:8" x14ac:dyDescent="0.15">
      <c r="A5351" s="196" t="s">
        <v>11229</v>
      </c>
      <c r="B5351" s="196" t="s">
        <v>11230</v>
      </c>
      <c r="C5351" s="196" t="s">
        <v>23566</v>
      </c>
      <c r="D5351" s="196" t="s">
        <v>23567</v>
      </c>
      <c r="E5351" s="196" t="s">
        <v>23567</v>
      </c>
      <c r="F5351" s="196" t="s">
        <v>11233</v>
      </c>
      <c r="G5351" s="196" t="s">
        <v>11720</v>
      </c>
      <c r="H5351" s="196" t="s">
        <v>11235</v>
      </c>
    </row>
    <row r="5352" spans="1:8" x14ac:dyDescent="0.15">
      <c r="A5352" s="196" t="s">
        <v>11229</v>
      </c>
      <c r="B5352" s="196" t="s">
        <v>11230</v>
      </c>
      <c r="C5352" s="196" t="s">
        <v>23568</v>
      </c>
      <c r="D5352" s="196" t="s">
        <v>23569</v>
      </c>
      <c r="E5352" s="196" t="s">
        <v>23569</v>
      </c>
      <c r="F5352" s="196" t="s">
        <v>11233</v>
      </c>
      <c r="G5352" s="196" t="s">
        <v>12378</v>
      </c>
      <c r="H5352" s="196" t="s">
        <v>11235</v>
      </c>
    </row>
    <row r="5353" spans="1:8" x14ac:dyDescent="0.15">
      <c r="A5353" s="196" t="s">
        <v>11229</v>
      </c>
      <c r="B5353" s="196" t="s">
        <v>11230</v>
      </c>
      <c r="C5353" s="196" t="s">
        <v>23570</v>
      </c>
      <c r="D5353" s="196" t="s">
        <v>23571</v>
      </c>
      <c r="E5353" s="196" t="s">
        <v>23571</v>
      </c>
      <c r="F5353" s="196" t="s">
        <v>11233</v>
      </c>
      <c r="G5353" s="196" t="s">
        <v>12378</v>
      </c>
      <c r="H5353" s="196" t="s">
        <v>11235</v>
      </c>
    </row>
    <row r="5354" spans="1:8" x14ac:dyDescent="0.15">
      <c r="A5354" s="196" t="s">
        <v>11229</v>
      </c>
      <c r="B5354" s="196" t="s">
        <v>11230</v>
      </c>
      <c r="C5354" s="196" t="s">
        <v>23572</v>
      </c>
      <c r="D5354" s="196" t="s">
        <v>23573</v>
      </c>
      <c r="E5354" s="196" t="s">
        <v>23573</v>
      </c>
      <c r="F5354" s="196" t="s">
        <v>11233</v>
      </c>
      <c r="G5354" s="196" t="s">
        <v>12378</v>
      </c>
      <c r="H5354" s="196" t="s">
        <v>11235</v>
      </c>
    </row>
    <row r="5355" spans="1:8" x14ac:dyDescent="0.15">
      <c r="A5355" s="196" t="s">
        <v>11229</v>
      </c>
      <c r="B5355" s="196" t="s">
        <v>11230</v>
      </c>
      <c r="C5355" s="196" t="s">
        <v>23574</v>
      </c>
      <c r="D5355" s="196" t="s">
        <v>23575</v>
      </c>
      <c r="E5355" s="196" t="s">
        <v>23575</v>
      </c>
      <c r="F5355" s="196" t="s">
        <v>11233</v>
      </c>
      <c r="G5355" s="196" t="s">
        <v>12378</v>
      </c>
      <c r="H5355" s="196" t="s">
        <v>11235</v>
      </c>
    </row>
    <row r="5356" spans="1:8" x14ac:dyDescent="0.15">
      <c r="A5356" s="196" t="s">
        <v>11229</v>
      </c>
      <c r="B5356" s="196" t="s">
        <v>11230</v>
      </c>
      <c r="C5356" s="196" t="s">
        <v>23576</v>
      </c>
      <c r="D5356" s="196" t="s">
        <v>23577</v>
      </c>
      <c r="E5356" s="196" t="s">
        <v>23577</v>
      </c>
      <c r="F5356" s="196" t="s">
        <v>11233</v>
      </c>
      <c r="G5356" s="196" t="s">
        <v>12378</v>
      </c>
      <c r="H5356" s="196" t="s">
        <v>11235</v>
      </c>
    </row>
    <row r="5357" spans="1:8" x14ac:dyDescent="0.15">
      <c r="A5357" s="196" t="s">
        <v>11229</v>
      </c>
      <c r="B5357" s="196" t="s">
        <v>11230</v>
      </c>
      <c r="C5357" s="196" t="s">
        <v>23578</v>
      </c>
      <c r="D5357" s="196" t="s">
        <v>23579</v>
      </c>
      <c r="E5357" s="196" t="s">
        <v>23579</v>
      </c>
      <c r="F5357" s="196" t="s">
        <v>11233</v>
      </c>
      <c r="G5357" s="196" t="s">
        <v>12378</v>
      </c>
      <c r="H5357" s="196" t="s">
        <v>11235</v>
      </c>
    </row>
    <row r="5358" spans="1:8" x14ac:dyDescent="0.15">
      <c r="A5358" s="196" t="s">
        <v>11229</v>
      </c>
      <c r="B5358" s="196" t="s">
        <v>11230</v>
      </c>
      <c r="C5358" s="196" t="s">
        <v>23580</v>
      </c>
      <c r="D5358" s="196" t="s">
        <v>23581</v>
      </c>
      <c r="E5358" s="196" t="s">
        <v>23581</v>
      </c>
      <c r="F5358" s="196" t="s">
        <v>11233</v>
      </c>
      <c r="G5358" s="196" t="s">
        <v>12378</v>
      </c>
      <c r="H5358" s="196" t="s">
        <v>11235</v>
      </c>
    </row>
    <row r="5359" spans="1:8" x14ac:dyDescent="0.15">
      <c r="A5359" s="196" t="s">
        <v>11229</v>
      </c>
      <c r="B5359" s="196" t="s">
        <v>11230</v>
      </c>
      <c r="C5359" s="196" t="s">
        <v>23582</v>
      </c>
      <c r="D5359" s="196" t="s">
        <v>23583</v>
      </c>
      <c r="E5359" s="196" t="s">
        <v>23583</v>
      </c>
      <c r="F5359" s="196" t="s">
        <v>11233</v>
      </c>
      <c r="G5359" s="196" t="s">
        <v>12378</v>
      </c>
      <c r="H5359" s="196" t="s">
        <v>11235</v>
      </c>
    </row>
    <row r="5360" spans="1:8" x14ac:dyDescent="0.15">
      <c r="A5360" s="196" t="s">
        <v>11229</v>
      </c>
      <c r="B5360" s="196" t="s">
        <v>11230</v>
      </c>
      <c r="C5360" s="196" t="s">
        <v>23584</v>
      </c>
      <c r="D5360" s="196" t="s">
        <v>23585</v>
      </c>
      <c r="E5360" s="196" t="s">
        <v>23585</v>
      </c>
      <c r="F5360" s="196" t="s">
        <v>11233</v>
      </c>
      <c r="G5360" s="196" t="s">
        <v>11720</v>
      </c>
      <c r="H5360" s="196" t="s">
        <v>11235</v>
      </c>
    </row>
    <row r="5361" spans="1:8" x14ac:dyDescent="0.15">
      <c r="A5361" s="196" t="s">
        <v>11229</v>
      </c>
      <c r="B5361" s="196" t="s">
        <v>11230</v>
      </c>
      <c r="C5361" s="196" t="s">
        <v>23586</v>
      </c>
      <c r="D5361" s="196" t="s">
        <v>23587</v>
      </c>
      <c r="E5361" s="196" t="s">
        <v>23587</v>
      </c>
      <c r="F5361" s="196" t="s">
        <v>11233</v>
      </c>
      <c r="G5361" s="196" t="s">
        <v>11720</v>
      </c>
      <c r="H5361" s="196" t="s">
        <v>11235</v>
      </c>
    </row>
    <row r="5362" spans="1:8" x14ac:dyDescent="0.15">
      <c r="A5362" s="196" t="s">
        <v>11229</v>
      </c>
      <c r="B5362" s="196" t="s">
        <v>11230</v>
      </c>
      <c r="C5362" s="196" t="s">
        <v>23588</v>
      </c>
      <c r="D5362" s="196" t="s">
        <v>23589</v>
      </c>
      <c r="E5362" s="196" t="s">
        <v>23589</v>
      </c>
      <c r="F5362" s="196" t="s">
        <v>11233</v>
      </c>
      <c r="G5362" s="196" t="s">
        <v>11720</v>
      </c>
      <c r="H5362" s="196" t="s">
        <v>11235</v>
      </c>
    </row>
    <row r="5363" spans="1:8" x14ac:dyDescent="0.15">
      <c r="A5363" s="196" t="s">
        <v>11229</v>
      </c>
      <c r="B5363" s="196" t="s">
        <v>11230</v>
      </c>
      <c r="C5363" s="196" t="s">
        <v>23590</v>
      </c>
      <c r="D5363" s="196" t="s">
        <v>23591</v>
      </c>
      <c r="E5363" s="196" t="s">
        <v>23591</v>
      </c>
      <c r="F5363" s="196" t="s">
        <v>11233</v>
      </c>
      <c r="G5363" s="196" t="s">
        <v>11720</v>
      </c>
      <c r="H5363" s="196" t="s">
        <v>11235</v>
      </c>
    </row>
    <row r="5364" spans="1:8" x14ac:dyDescent="0.15">
      <c r="A5364" s="196" t="s">
        <v>11229</v>
      </c>
      <c r="B5364" s="196" t="s">
        <v>11230</v>
      </c>
      <c r="C5364" s="196" t="s">
        <v>23592</v>
      </c>
      <c r="D5364" s="196" t="s">
        <v>23593</v>
      </c>
      <c r="E5364" s="196" t="s">
        <v>23593</v>
      </c>
      <c r="F5364" s="196" t="s">
        <v>11233</v>
      </c>
      <c r="G5364" s="196" t="s">
        <v>11720</v>
      </c>
      <c r="H5364" s="196" t="s">
        <v>11235</v>
      </c>
    </row>
    <row r="5365" spans="1:8" x14ac:dyDescent="0.15">
      <c r="A5365" s="196" t="s">
        <v>11229</v>
      </c>
      <c r="B5365" s="196" t="s">
        <v>11230</v>
      </c>
      <c r="C5365" s="196" t="s">
        <v>23594</v>
      </c>
      <c r="D5365" s="196" t="s">
        <v>23595</v>
      </c>
      <c r="E5365" s="196" t="s">
        <v>23595</v>
      </c>
      <c r="F5365" s="196" t="s">
        <v>11233</v>
      </c>
      <c r="G5365" s="196" t="s">
        <v>11720</v>
      </c>
      <c r="H5365" s="196" t="s">
        <v>11235</v>
      </c>
    </row>
    <row r="5366" spans="1:8" x14ac:dyDescent="0.15">
      <c r="A5366" s="196" t="s">
        <v>11229</v>
      </c>
      <c r="B5366" s="196" t="s">
        <v>11230</v>
      </c>
      <c r="C5366" s="196" t="s">
        <v>23596</v>
      </c>
      <c r="D5366" s="196" t="s">
        <v>23597</v>
      </c>
      <c r="E5366" s="196" t="s">
        <v>23597</v>
      </c>
      <c r="F5366" s="196" t="s">
        <v>11233</v>
      </c>
      <c r="G5366" s="196" t="s">
        <v>11720</v>
      </c>
      <c r="H5366" s="196" t="s">
        <v>11235</v>
      </c>
    </row>
    <row r="5367" spans="1:8" x14ac:dyDescent="0.15">
      <c r="A5367" s="196" t="s">
        <v>11229</v>
      </c>
      <c r="B5367" s="196" t="s">
        <v>11230</v>
      </c>
      <c r="C5367" s="196" t="s">
        <v>23598</v>
      </c>
      <c r="D5367" s="196" t="s">
        <v>23599</v>
      </c>
      <c r="E5367" s="196" t="s">
        <v>23599</v>
      </c>
      <c r="F5367" s="196" t="s">
        <v>11233</v>
      </c>
      <c r="G5367" s="196" t="s">
        <v>11720</v>
      </c>
      <c r="H5367" s="196" t="s">
        <v>11235</v>
      </c>
    </row>
    <row r="5368" spans="1:8" x14ac:dyDescent="0.15">
      <c r="A5368" s="196" t="s">
        <v>11229</v>
      </c>
      <c r="B5368" s="196" t="s">
        <v>11230</v>
      </c>
      <c r="C5368" s="196" t="s">
        <v>23600</v>
      </c>
      <c r="D5368" s="196" t="s">
        <v>23601</v>
      </c>
      <c r="E5368" s="196" t="s">
        <v>23601</v>
      </c>
      <c r="F5368" s="196" t="s">
        <v>11233</v>
      </c>
      <c r="G5368" s="196" t="s">
        <v>11720</v>
      </c>
      <c r="H5368" s="196" t="s">
        <v>11235</v>
      </c>
    </row>
    <row r="5369" spans="1:8" x14ac:dyDescent="0.15">
      <c r="A5369" s="196" t="s">
        <v>11229</v>
      </c>
      <c r="B5369" s="196" t="s">
        <v>11230</v>
      </c>
      <c r="C5369" s="196" t="s">
        <v>23602</v>
      </c>
      <c r="D5369" s="196" t="s">
        <v>23603</v>
      </c>
      <c r="E5369" s="196" t="s">
        <v>23603</v>
      </c>
      <c r="F5369" s="196" t="s">
        <v>11233</v>
      </c>
      <c r="G5369" s="196" t="s">
        <v>11720</v>
      </c>
      <c r="H5369" s="196" t="s">
        <v>11235</v>
      </c>
    </row>
    <row r="5370" spans="1:8" x14ac:dyDescent="0.15">
      <c r="A5370" s="196" t="s">
        <v>11229</v>
      </c>
      <c r="B5370" s="196" t="s">
        <v>11230</v>
      </c>
      <c r="C5370" s="196" t="s">
        <v>23604</v>
      </c>
      <c r="D5370" s="196" t="s">
        <v>23603</v>
      </c>
      <c r="E5370" s="196" t="s">
        <v>23603</v>
      </c>
      <c r="F5370" s="196" t="s">
        <v>11233</v>
      </c>
      <c r="G5370" s="196" t="s">
        <v>12378</v>
      </c>
      <c r="H5370" s="196" t="s">
        <v>11235</v>
      </c>
    </row>
    <row r="5371" spans="1:8" x14ac:dyDescent="0.15">
      <c r="A5371" s="196" t="s">
        <v>11229</v>
      </c>
      <c r="B5371" s="196" t="s">
        <v>11230</v>
      </c>
      <c r="C5371" s="196" t="s">
        <v>23605</v>
      </c>
      <c r="D5371" s="196" t="s">
        <v>23606</v>
      </c>
      <c r="E5371" s="196" t="s">
        <v>23607</v>
      </c>
      <c r="F5371" s="196" t="s">
        <v>11241</v>
      </c>
      <c r="G5371" s="196" t="s">
        <v>12378</v>
      </c>
      <c r="H5371" s="196" t="s">
        <v>11235</v>
      </c>
    </row>
    <row r="5372" spans="1:8" x14ac:dyDescent="0.15">
      <c r="A5372" s="196" t="s">
        <v>11229</v>
      </c>
      <c r="B5372" s="196" t="s">
        <v>11230</v>
      </c>
      <c r="C5372" s="196" t="s">
        <v>23608</v>
      </c>
      <c r="D5372" s="196" t="s">
        <v>23607</v>
      </c>
      <c r="E5372" s="196" t="s">
        <v>23607</v>
      </c>
      <c r="F5372" s="196" t="s">
        <v>11233</v>
      </c>
      <c r="G5372" s="196" t="s">
        <v>11720</v>
      </c>
      <c r="H5372" s="196" t="s">
        <v>11235</v>
      </c>
    </row>
    <row r="5373" spans="1:8" x14ac:dyDescent="0.15">
      <c r="A5373" s="196" t="s">
        <v>11229</v>
      </c>
      <c r="B5373" s="196" t="s">
        <v>11230</v>
      </c>
      <c r="C5373" s="196" t="s">
        <v>23609</v>
      </c>
      <c r="D5373" s="196" t="s">
        <v>23610</v>
      </c>
      <c r="E5373" s="196" t="s">
        <v>23610</v>
      </c>
      <c r="F5373" s="196" t="s">
        <v>11233</v>
      </c>
      <c r="G5373" s="196" t="s">
        <v>11720</v>
      </c>
      <c r="H5373" s="196" t="s">
        <v>11235</v>
      </c>
    </row>
    <row r="5374" spans="1:8" x14ac:dyDescent="0.15">
      <c r="A5374" s="196" t="s">
        <v>11229</v>
      </c>
      <c r="B5374" s="196" t="s">
        <v>11230</v>
      </c>
      <c r="C5374" s="196" t="s">
        <v>23611</v>
      </c>
      <c r="D5374" s="196" t="s">
        <v>23612</v>
      </c>
      <c r="E5374" s="196" t="s">
        <v>23613</v>
      </c>
      <c r="F5374" s="196" t="s">
        <v>11268</v>
      </c>
      <c r="G5374" s="196" t="s">
        <v>11720</v>
      </c>
      <c r="H5374" s="196" t="s">
        <v>11235</v>
      </c>
    </row>
    <row r="5375" spans="1:8" x14ac:dyDescent="0.15">
      <c r="A5375" s="196" t="s">
        <v>11229</v>
      </c>
      <c r="B5375" s="196" t="s">
        <v>11230</v>
      </c>
      <c r="C5375" s="196" t="s">
        <v>23614</v>
      </c>
      <c r="D5375" s="196" t="s">
        <v>23612</v>
      </c>
      <c r="E5375" s="196" t="s">
        <v>23612</v>
      </c>
      <c r="F5375" s="196" t="s">
        <v>11233</v>
      </c>
      <c r="G5375" s="196" t="s">
        <v>12378</v>
      </c>
      <c r="H5375" s="196" t="s">
        <v>11235</v>
      </c>
    </row>
    <row r="5376" spans="1:8" x14ac:dyDescent="0.15">
      <c r="A5376" s="196" t="s">
        <v>11229</v>
      </c>
      <c r="B5376" s="196" t="s">
        <v>11230</v>
      </c>
      <c r="C5376" s="196" t="s">
        <v>23615</v>
      </c>
      <c r="D5376" s="196" t="s">
        <v>23613</v>
      </c>
      <c r="E5376" s="196" t="s">
        <v>23613</v>
      </c>
      <c r="F5376" s="196" t="s">
        <v>11233</v>
      </c>
      <c r="G5376" s="196" t="s">
        <v>12378</v>
      </c>
      <c r="H5376" s="196" t="s">
        <v>11235</v>
      </c>
    </row>
    <row r="5377" spans="1:8" x14ac:dyDescent="0.15">
      <c r="A5377" s="196" t="s">
        <v>11229</v>
      </c>
      <c r="B5377" s="196" t="s">
        <v>11230</v>
      </c>
      <c r="C5377" s="196" t="s">
        <v>23616</v>
      </c>
      <c r="D5377" s="196" t="s">
        <v>23617</v>
      </c>
      <c r="E5377" s="196" t="s">
        <v>23618</v>
      </c>
      <c r="F5377" s="196" t="s">
        <v>11241</v>
      </c>
      <c r="G5377" s="196" t="s">
        <v>12378</v>
      </c>
      <c r="H5377" s="196" t="s">
        <v>11235</v>
      </c>
    </row>
    <row r="5378" spans="1:8" x14ac:dyDescent="0.15">
      <c r="A5378" s="196" t="s">
        <v>11229</v>
      </c>
      <c r="B5378" s="196" t="s">
        <v>11230</v>
      </c>
      <c r="C5378" s="196" t="s">
        <v>23619</v>
      </c>
      <c r="D5378" s="196" t="s">
        <v>23618</v>
      </c>
      <c r="E5378" s="196" t="s">
        <v>23620</v>
      </c>
      <c r="F5378" s="196" t="s">
        <v>13023</v>
      </c>
      <c r="G5378" s="196" t="s">
        <v>11720</v>
      </c>
      <c r="H5378" s="196" t="s">
        <v>11235</v>
      </c>
    </row>
    <row r="5379" spans="1:8" x14ac:dyDescent="0.15">
      <c r="A5379" s="196" t="s">
        <v>11229</v>
      </c>
      <c r="B5379" s="196" t="s">
        <v>11230</v>
      </c>
      <c r="C5379" s="196" t="s">
        <v>23621</v>
      </c>
      <c r="D5379" s="196" t="s">
        <v>23620</v>
      </c>
      <c r="E5379" s="196" t="s">
        <v>23622</v>
      </c>
      <c r="F5379" s="196" t="s">
        <v>11241</v>
      </c>
      <c r="G5379" s="196" t="s">
        <v>11720</v>
      </c>
      <c r="H5379" s="196" t="s">
        <v>11235</v>
      </c>
    </row>
    <row r="5380" spans="1:8" x14ac:dyDescent="0.15">
      <c r="A5380" s="196" t="s">
        <v>11229</v>
      </c>
      <c r="B5380" s="196" t="s">
        <v>11230</v>
      </c>
      <c r="C5380" s="196" t="s">
        <v>23623</v>
      </c>
      <c r="D5380" s="196" t="s">
        <v>23624</v>
      </c>
      <c r="E5380" s="196" t="s">
        <v>23625</v>
      </c>
      <c r="F5380" s="196" t="s">
        <v>11268</v>
      </c>
      <c r="G5380" s="196" t="s">
        <v>11720</v>
      </c>
      <c r="H5380" s="196" t="s">
        <v>11235</v>
      </c>
    </row>
    <row r="5381" spans="1:8" x14ac:dyDescent="0.15">
      <c r="A5381" s="196" t="s">
        <v>11229</v>
      </c>
      <c r="B5381" s="196" t="s">
        <v>11230</v>
      </c>
      <c r="C5381" s="196" t="s">
        <v>23626</v>
      </c>
      <c r="D5381" s="196" t="s">
        <v>23627</v>
      </c>
      <c r="E5381" s="196" t="s">
        <v>23627</v>
      </c>
      <c r="F5381" s="196" t="s">
        <v>11233</v>
      </c>
      <c r="G5381" s="196" t="s">
        <v>11720</v>
      </c>
      <c r="H5381" s="196" t="s">
        <v>11235</v>
      </c>
    </row>
    <row r="5382" spans="1:8" x14ac:dyDescent="0.15">
      <c r="A5382" s="196" t="s">
        <v>11229</v>
      </c>
      <c r="B5382" s="196" t="s">
        <v>11230</v>
      </c>
      <c r="C5382" s="196" t="s">
        <v>23628</v>
      </c>
      <c r="D5382" s="196" t="s">
        <v>23629</v>
      </c>
      <c r="E5382" s="196" t="s">
        <v>23630</v>
      </c>
      <c r="F5382" s="196" t="s">
        <v>11900</v>
      </c>
      <c r="G5382" s="196" t="s">
        <v>11720</v>
      </c>
      <c r="H5382" s="196" t="s">
        <v>11235</v>
      </c>
    </row>
    <row r="5383" spans="1:8" x14ac:dyDescent="0.15">
      <c r="A5383" s="196" t="s">
        <v>11229</v>
      </c>
      <c r="B5383" s="196" t="s">
        <v>11230</v>
      </c>
      <c r="C5383" s="196" t="s">
        <v>23631</v>
      </c>
      <c r="D5383" s="196" t="s">
        <v>23632</v>
      </c>
      <c r="E5383" s="196" t="s">
        <v>23632</v>
      </c>
      <c r="F5383" s="196" t="s">
        <v>11233</v>
      </c>
      <c r="G5383" s="196" t="s">
        <v>12378</v>
      </c>
      <c r="H5383" s="196" t="s">
        <v>11235</v>
      </c>
    </row>
    <row r="5384" spans="1:8" x14ac:dyDescent="0.15">
      <c r="A5384" s="196" t="s">
        <v>11229</v>
      </c>
      <c r="B5384" s="196" t="s">
        <v>11230</v>
      </c>
      <c r="C5384" s="196" t="s">
        <v>23633</v>
      </c>
      <c r="D5384" s="196" t="s">
        <v>23634</v>
      </c>
      <c r="E5384" s="196" t="s">
        <v>23634</v>
      </c>
      <c r="F5384" s="196" t="s">
        <v>11233</v>
      </c>
      <c r="G5384" s="196" t="s">
        <v>12378</v>
      </c>
      <c r="H5384" s="196" t="s">
        <v>11235</v>
      </c>
    </row>
    <row r="5385" spans="1:8" x14ac:dyDescent="0.15">
      <c r="A5385" s="196" t="s">
        <v>11229</v>
      </c>
      <c r="B5385" s="196" t="s">
        <v>11230</v>
      </c>
      <c r="C5385" s="196" t="s">
        <v>23635</v>
      </c>
      <c r="D5385" s="196" t="s">
        <v>23636</v>
      </c>
      <c r="E5385" s="196" t="s">
        <v>23636</v>
      </c>
      <c r="F5385" s="196" t="s">
        <v>11233</v>
      </c>
      <c r="G5385" s="196" t="s">
        <v>11720</v>
      </c>
      <c r="H5385" s="196" t="s">
        <v>11235</v>
      </c>
    </row>
    <row r="5386" spans="1:8" x14ac:dyDescent="0.15">
      <c r="A5386" s="196" t="s">
        <v>11229</v>
      </c>
      <c r="B5386" s="196" t="s">
        <v>11230</v>
      </c>
      <c r="C5386" s="196" t="s">
        <v>23637</v>
      </c>
      <c r="D5386" s="196" t="s">
        <v>23638</v>
      </c>
      <c r="E5386" s="196" t="s">
        <v>23638</v>
      </c>
      <c r="F5386" s="196" t="s">
        <v>11233</v>
      </c>
      <c r="G5386" s="196" t="s">
        <v>11720</v>
      </c>
      <c r="H5386" s="196" t="s">
        <v>11235</v>
      </c>
    </row>
    <row r="5387" spans="1:8" x14ac:dyDescent="0.15">
      <c r="A5387" s="196" t="s">
        <v>11229</v>
      </c>
      <c r="B5387" s="196" t="s">
        <v>11230</v>
      </c>
      <c r="C5387" s="196" t="s">
        <v>23639</v>
      </c>
      <c r="D5387" s="196" t="s">
        <v>23640</v>
      </c>
      <c r="E5387" s="196" t="s">
        <v>23640</v>
      </c>
      <c r="F5387" s="196" t="s">
        <v>11233</v>
      </c>
      <c r="G5387" s="196" t="s">
        <v>12378</v>
      </c>
      <c r="H5387" s="196" t="s">
        <v>11235</v>
      </c>
    </row>
    <row r="5388" spans="1:8" x14ac:dyDescent="0.15">
      <c r="A5388" s="196" t="s">
        <v>11229</v>
      </c>
      <c r="B5388" s="196" t="s">
        <v>11230</v>
      </c>
      <c r="C5388" s="196" t="s">
        <v>23641</v>
      </c>
      <c r="D5388" s="196" t="s">
        <v>23642</v>
      </c>
      <c r="E5388" s="196" t="s">
        <v>23642</v>
      </c>
      <c r="F5388" s="196" t="s">
        <v>11233</v>
      </c>
      <c r="G5388" s="196" t="s">
        <v>12378</v>
      </c>
      <c r="H5388" s="196" t="s">
        <v>11235</v>
      </c>
    </row>
    <row r="5389" spans="1:8" x14ac:dyDescent="0.15">
      <c r="A5389" s="196" t="s">
        <v>11229</v>
      </c>
      <c r="B5389" s="196" t="s">
        <v>11230</v>
      </c>
      <c r="C5389" s="196" t="s">
        <v>23643</v>
      </c>
      <c r="D5389" s="196" t="s">
        <v>23644</v>
      </c>
      <c r="E5389" s="196" t="s">
        <v>23644</v>
      </c>
      <c r="F5389" s="196" t="s">
        <v>11233</v>
      </c>
      <c r="G5389" s="196" t="s">
        <v>11720</v>
      </c>
      <c r="H5389" s="196" t="s">
        <v>11235</v>
      </c>
    </row>
    <row r="5390" spans="1:8" x14ac:dyDescent="0.15">
      <c r="A5390" s="196" t="s">
        <v>11229</v>
      </c>
      <c r="B5390" s="196" t="s">
        <v>11230</v>
      </c>
      <c r="C5390" s="196" t="s">
        <v>23645</v>
      </c>
      <c r="D5390" s="196" t="s">
        <v>23646</v>
      </c>
      <c r="E5390" s="196" t="s">
        <v>23646</v>
      </c>
      <c r="F5390" s="196" t="s">
        <v>11233</v>
      </c>
      <c r="G5390" s="196" t="s">
        <v>11720</v>
      </c>
      <c r="H5390" s="196" t="s">
        <v>11235</v>
      </c>
    </row>
    <row r="5391" spans="1:8" x14ac:dyDescent="0.15">
      <c r="A5391" s="196" t="s">
        <v>11229</v>
      </c>
      <c r="B5391" s="196" t="s">
        <v>11230</v>
      </c>
      <c r="C5391" s="196" t="s">
        <v>23647</v>
      </c>
      <c r="D5391" s="196" t="s">
        <v>23648</v>
      </c>
      <c r="E5391" s="196" t="s">
        <v>23648</v>
      </c>
      <c r="F5391" s="196" t="s">
        <v>11233</v>
      </c>
      <c r="G5391" s="196" t="s">
        <v>12378</v>
      </c>
      <c r="H5391" s="196" t="s">
        <v>11235</v>
      </c>
    </row>
    <row r="5392" spans="1:8" x14ac:dyDescent="0.15">
      <c r="A5392" s="196" t="s">
        <v>11229</v>
      </c>
      <c r="B5392" s="196" t="s">
        <v>11230</v>
      </c>
      <c r="C5392" s="196" t="s">
        <v>23649</v>
      </c>
      <c r="D5392" s="196" t="s">
        <v>23650</v>
      </c>
      <c r="E5392" s="196" t="s">
        <v>23650</v>
      </c>
      <c r="F5392" s="196" t="s">
        <v>11233</v>
      </c>
      <c r="G5392" s="196" t="s">
        <v>12378</v>
      </c>
      <c r="H5392" s="196" t="s">
        <v>11235</v>
      </c>
    </row>
    <row r="5393" spans="1:8" x14ac:dyDescent="0.15">
      <c r="A5393" s="196" t="s">
        <v>11229</v>
      </c>
      <c r="B5393" s="196" t="s">
        <v>11230</v>
      </c>
      <c r="C5393" s="196" t="s">
        <v>23651</v>
      </c>
      <c r="D5393" s="196" t="s">
        <v>23652</v>
      </c>
      <c r="E5393" s="196" t="s">
        <v>23652</v>
      </c>
      <c r="F5393" s="196" t="s">
        <v>11233</v>
      </c>
      <c r="G5393" s="196" t="s">
        <v>12378</v>
      </c>
      <c r="H5393" s="196" t="s">
        <v>11235</v>
      </c>
    </row>
    <row r="5394" spans="1:8" x14ac:dyDescent="0.15">
      <c r="A5394" s="196" t="s">
        <v>11229</v>
      </c>
      <c r="B5394" s="196" t="s">
        <v>11230</v>
      </c>
      <c r="C5394" s="196" t="s">
        <v>23653</v>
      </c>
      <c r="D5394" s="196" t="s">
        <v>23654</v>
      </c>
      <c r="E5394" s="196" t="s">
        <v>23654</v>
      </c>
      <c r="F5394" s="196" t="s">
        <v>11233</v>
      </c>
      <c r="G5394" s="196" t="s">
        <v>12378</v>
      </c>
      <c r="H5394" s="196" t="s">
        <v>11235</v>
      </c>
    </row>
    <row r="5395" spans="1:8" x14ac:dyDescent="0.15">
      <c r="A5395" s="196" t="s">
        <v>11229</v>
      </c>
      <c r="B5395" s="196" t="s">
        <v>11230</v>
      </c>
      <c r="C5395" s="196" t="s">
        <v>23655</v>
      </c>
      <c r="D5395" s="196" t="s">
        <v>23656</v>
      </c>
      <c r="E5395" s="196" t="s">
        <v>23656</v>
      </c>
      <c r="F5395" s="196" t="s">
        <v>11233</v>
      </c>
      <c r="G5395" s="196" t="s">
        <v>12378</v>
      </c>
      <c r="H5395" s="196" t="s">
        <v>11235</v>
      </c>
    </row>
    <row r="5396" spans="1:8" x14ac:dyDescent="0.15">
      <c r="A5396" s="196" t="s">
        <v>11229</v>
      </c>
      <c r="B5396" s="196" t="s">
        <v>11230</v>
      </c>
      <c r="C5396" s="196" t="s">
        <v>23657</v>
      </c>
      <c r="D5396" s="196" t="s">
        <v>23658</v>
      </c>
      <c r="E5396" s="196" t="s">
        <v>23658</v>
      </c>
      <c r="F5396" s="196" t="s">
        <v>11233</v>
      </c>
      <c r="G5396" s="196" t="s">
        <v>12378</v>
      </c>
      <c r="H5396" s="196" t="s">
        <v>11235</v>
      </c>
    </row>
    <row r="5397" spans="1:8" x14ac:dyDescent="0.15">
      <c r="A5397" s="196" t="s">
        <v>11229</v>
      </c>
      <c r="B5397" s="196" t="s">
        <v>11230</v>
      </c>
      <c r="C5397" s="196" t="s">
        <v>23659</v>
      </c>
      <c r="D5397" s="196" t="s">
        <v>23660</v>
      </c>
      <c r="E5397" s="196" t="s">
        <v>23660</v>
      </c>
      <c r="F5397" s="196" t="s">
        <v>11233</v>
      </c>
      <c r="G5397" s="196" t="s">
        <v>11720</v>
      </c>
      <c r="H5397" s="196" t="s">
        <v>11235</v>
      </c>
    </row>
    <row r="5398" spans="1:8" x14ac:dyDescent="0.15">
      <c r="A5398" s="196" t="s">
        <v>11229</v>
      </c>
      <c r="B5398" s="196" t="s">
        <v>11230</v>
      </c>
      <c r="C5398" s="196" t="s">
        <v>23661</v>
      </c>
      <c r="D5398" s="196" t="s">
        <v>23662</v>
      </c>
      <c r="E5398" s="196" t="s">
        <v>23662</v>
      </c>
      <c r="F5398" s="196" t="s">
        <v>11233</v>
      </c>
      <c r="G5398" s="196" t="s">
        <v>12378</v>
      </c>
      <c r="H5398" s="196" t="s">
        <v>11235</v>
      </c>
    </row>
    <row r="5399" spans="1:8" x14ac:dyDescent="0.15">
      <c r="A5399" s="196" t="s">
        <v>11229</v>
      </c>
      <c r="B5399" s="196" t="s">
        <v>11230</v>
      </c>
      <c r="C5399" s="196" t="s">
        <v>23663</v>
      </c>
      <c r="D5399" s="196" t="s">
        <v>23664</v>
      </c>
      <c r="E5399" s="196" t="s">
        <v>23664</v>
      </c>
      <c r="F5399" s="196" t="s">
        <v>11233</v>
      </c>
      <c r="G5399" s="196" t="s">
        <v>11720</v>
      </c>
      <c r="H5399" s="196" t="s">
        <v>11235</v>
      </c>
    </row>
    <row r="5400" spans="1:8" x14ac:dyDescent="0.15">
      <c r="A5400" s="196" t="s">
        <v>11229</v>
      </c>
      <c r="B5400" s="196" t="s">
        <v>11230</v>
      </c>
      <c r="C5400" s="196" t="s">
        <v>23665</v>
      </c>
      <c r="D5400" s="196" t="s">
        <v>23666</v>
      </c>
      <c r="E5400" s="196" t="s">
        <v>23666</v>
      </c>
      <c r="F5400" s="196" t="s">
        <v>11233</v>
      </c>
      <c r="G5400" s="196" t="s">
        <v>11720</v>
      </c>
      <c r="H5400" s="196" t="s">
        <v>11235</v>
      </c>
    </row>
    <row r="5401" spans="1:8" x14ac:dyDescent="0.15">
      <c r="A5401" s="196" t="s">
        <v>11229</v>
      </c>
      <c r="B5401" s="196" t="s">
        <v>11230</v>
      </c>
      <c r="C5401" s="196" t="s">
        <v>23667</v>
      </c>
      <c r="D5401" s="196" t="s">
        <v>23668</v>
      </c>
      <c r="E5401" s="196" t="s">
        <v>23668</v>
      </c>
      <c r="F5401" s="196" t="s">
        <v>11233</v>
      </c>
      <c r="G5401" s="196" t="s">
        <v>11720</v>
      </c>
      <c r="H5401" s="196" t="s">
        <v>11235</v>
      </c>
    </row>
    <row r="5402" spans="1:8" x14ac:dyDescent="0.15">
      <c r="A5402" s="196" t="s">
        <v>11229</v>
      </c>
      <c r="B5402" s="196" t="s">
        <v>11230</v>
      </c>
      <c r="C5402" s="196" t="s">
        <v>23669</v>
      </c>
      <c r="D5402" s="196" t="s">
        <v>23670</v>
      </c>
      <c r="E5402" s="196" t="s">
        <v>23670</v>
      </c>
      <c r="F5402" s="196" t="s">
        <v>11233</v>
      </c>
      <c r="G5402" s="196" t="s">
        <v>11720</v>
      </c>
      <c r="H5402" s="196" t="s">
        <v>11235</v>
      </c>
    </row>
    <row r="5403" spans="1:8" x14ac:dyDescent="0.15">
      <c r="A5403" s="196" t="s">
        <v>11229</v>
      </c>
      <c r="B5403" s="196" t="s">
        <v>11230</v>
      </c>
      <c r="C5403" s="196" t="s">
        <v>23671</v>
      </c>
      <c r="D5403" s="196" t="s">
        <v>23672</v>
      </c>
      <c r="E5403" s="196" t="s">
        <v>23672</v>
      </c>
      <c r="F5403" s="196" t="s">
        <v>11233</v>
      </c>
      <c r="G5403" s="196" t="s">
        <v>11720</v>
      </c>
      <c r="H5403" s="196" t="s">
        <v>11235</v>
      </c>
    </row>
    <row r="5404" spans="1:8" x14ac:dyDescent="0.15">
      <c r="A5404" s="196" t="s">
        <v>11229</v>
      </c>
      <c r="B5404" s="196" t="s">
        <v>11230</v>
      </c>
      <c r="C5404" s="196" t="s">
        <v>23673</v>
      </c>
      <c r="D5404" s="196" t="s">
        <v>23674</v>
      </c>
      <c r="E5404" s="196" t="s">
        <v>23674</v>
      </c>
      <c r="F5404" s="196" t="s">
        <v>11233</v>
      </c>
      <c r="G5404" s="196" t="s">
        <v>12378</v>
      </c>
      <c r="H5404" s="196" t="s">
        <v>11235</v>
      </c>
    </row>
    <row r="5405" spans="1:8" x14ac:dyDescent="0.15">
      <c r="A5405" s="196" t="s">
        <v>11229</v>
      </c>
      <c r="B5405" s="196" t="s">
        <v>11230</v>
      </c>
      <c r="C5405" s="196" t="s">
        <v>23675</v>
      </c>
      <c r="D5405" s="196" t="s">
        <v>23676</v>
      </c>
      <c r="E5405" s="196" t="s">
        <v>23676</v>
      </c>
      <c r="F5405" s="196" t="s">
        <v>11233</v>
      </c>
      <c r="G5405" s="196" t="s">
        <v>12378</v>
      </c>
      <c r="H5405" s="196" t="s">
        <v>11235</v>
      </c>
    </row>
    <row r="5406" spans="1:8" x14ac:dyDescent="0.15">
      <c r="A5406" s="196" t="s">
        <v>11229</v>
      </c>
      <c r="B5406" s="196" t="s">
        <v>11230</v>
      </c>
      <c r="C5406" s="196" t="s">
        <v>23677</v>
      </c>
      <c r="D5406" s="196" t="s">
        <v>23678</v>
      </c>
      <c r="E5406" s="196" t="s">
        <v>23678</v>
      </c>
      <c r="F5406" s="196" t="s">
        <v>11233</v>
      </c>
      <c r="G5406" s="196" t="s">
        <v>12378</v>
      </c>
      <c r="H5406" s="196" t="s">
        <v>11235</v>
      </c>
    </row>
    <row r="5407" spans="1:8" x14ac:dyDescent="0.15">
      <c r="A5407" s="196" t="s">
        <v>11229</v>
      </c>
      <c r="B5407" s="196" t="s">
        <v>11230</v>
      </c>
      <c r="C5407" s="196" t="s">
        <v>23679</v>
      </c>
      <c r="D5407" s="196" t="s">
        <v>23680</v>
      </c>
      <c r="E5407" s="196" t="s">
        <v>23680</v>
      </c>
      <c r="F5407" s="196" t="s">
        <v>11233</v>
      </c>
      <c r="G5407" s="196" t="s">
        <v>12378</v>
      </c>
      <c r="H5407" s="196" t="s">
        <v>11235</v>
      </c>
    </row>
    <row r="5408" spans="1:8" x14ac:dyDescent="0.15">
      <c r="A5408" s="196" t="s">
        <v>11229</v>
      </c>
      <c r="B5408" s="196" t="s">
        <v>11230</v>
      </c>
      <c r="C5408" s="196" t="s">
        <v>23681</v>
      </c>
      <c r="D5408" s="196" t="s">
        <v>23682</v>
      </c>
      <c r="E5408" s="196" t="s">
        <v>23682</v>
      </c>
      <c r="F5408" s="196" t="s">
        <v>11233</v>
      </c>
      <c r="G5408" s="196" t="s">
        <v>12378</v>
      </c>
      <c r="H5408" s="196" t="s">
        <v>11235</v>
      </c>
    </row>
    <row r="5409" spans="1:8" x14ac:dyDescent="0.15">
      <c r="A5409" s="196" t="s">
        <v>11229</v>
      </c>
      <c r="B5409" s="196" t="s">
        <v>11230</v>
      </c>
      <c r="C5409" s="196" t="s">
        <v>23683</v>
      </c>
      <c r="D5409" s="196" t="s">
        <v>23684</v>
      </c>
      <c r="E5409" s="196" t="s">
        <v>23684</v>
      </c>
      <c r="F5409" s="196" t="s">
        <v>11233</v>
      </c>
      <c r="G5409" s="196" t="s">
        <v>11720</v>
      </c>
      <c r="H5409" s="196" t="s">
        <v>11235</v>
      </c>
    </row>
    <row r="5410" spans="1:8" x14ac:dyDescent="0.15">
      <c r="A5410" s="196" t="s">
        <v>11229</v>
      </c>
      <c r="B5410" s="196" t="s">
        <v>11230</v>
      </c>
      <c r="C5410" s="196" t="s">
        <v>23685</v>
      </c>
      <c r="D5410" s="196" t="s">
        <v>23686</v>
      </c>
      <c r="E5410" s="196" t="s">
        <v>23686</v>
      </c>
      <c r="F5410" s="196" t="s">
        <v>11233</v>
      </c>
      <c r="G5410" s="196" t="s">
        <v>11720</v>
      </c>
      <c r="H5410" s="196" t="s">
        <v>11235</v>
      </c>
    </row>
    <row r="5411" spans="1:8" x14ac:dyDescent="0.15">
      <c r="A5411" s="196" t="s">
        <v>11229</v>
      </c>
      <c r="B5411" s="196" t="s">
        <v>11230</v>
      </c>
      <c r="C5411" s="196" t="s">
        <v>23687</v>
      </c>
      <c r="D5411" s="196" t="s">
        <v>23688</v>
      </c>
      <c r="E5411" s="196" t="s">
        <v>23688</v>
      </c>
      <c r="F5411" s="196" t="s">
        <v>11233</v>
      </c>
      <c r="G5411" s="196" t="s">
        <v>12378</v>
      </c>
      <c r="H5411" s="196" t="s">
        <v>11235</v>
      </c>
    </row>
    <row r="5412" spans="1:8" x14ac:dyDescent="0.15">
      <c r="A5412" s="196" t="s">
        <v>11229</v>
      </c>
      <c r="B5412" s="196" t="s">
        <v>11230</v>
      </c>
      <c r="C5412" s="196" t="s">
        <v>23689</v>
      </c>
      <c r="D5412" s="196" t="s">
        <v>23690</v>
      </c>
      <c r="E5412" s="196" t="s">
        <v>23690</v>
      </c>
      <c r="F5412" s="196" t="s">
        <v>11233</v>
      </c>
      <c r="G5412" s="196" t="s">
        <v>11720</v>
      </c>
      <c r="H5412" s="196" t="s">
        <v>11235</v>
      </c>
    </row>
    <row r="5413" spans="1:8" x14ac:dyDescent="0.15">
      <c r="A5413" s="196" t="s">
        <v>11229</v>
      </c>
      <c r="B5413" s="196" t="s">
        <v>11230</v>
      </c>
      <c r="C5413" s="196" t="s">
        <v>23691</v>
      </c>
      <c r="D5413" s="196" t="s">
        <v>23692</v>
      </c>
      <c r="E5413" s="196" t="s">
        <v>23692</v>
      </c>
      <c r="F5413" s="196" t="s">
        <v>11233</v>
      </c>
      <c r="G5413" s="196" t="s">
        <v>12378</v>
      </c>
      <c r="H5413" s="196" t="s">
        <v>11235</v>
      </c>
    </row>
    <row r="5414" spans="1:8" x14ac:dyDescent="0.15">
      <c r="A5414" s="196" t="s">
        <v>11229</v>
      </c>
      <c r="B5414" s="196" t="s">
        <v>11230</v>
      </c>
      <c r="C5414" s="196" t="s">
        <v>23693</v>
      </c>
      <c r="D5414" s="196" t="s">
        <v>23694</v>
      </c>
      <c r="E5414" s="196" t="s">
        <v>23694</v>
      </c>
      <c r="F5414" s="196" t="s">
        <v>11233</v>
      </c>
      <c r="G5414" s="196" t="s">
        <v>12378</v>
      </c>
      <c r="H5414" s="196" t="s">
        <v>11235</v>
      </c>
    </row>
    <row r="5415" spans="1:8" x14ac:dyDescent="0.15">
      <c r="A5415" s="196" t="s">
        <v>11229</v>
      </c>
      <c r="B5415" s="196" t="s">
        <v>11230</v>
      </c>
      <c r="C5415" s="196" t="s">
        <v>23695</v>
      </c>
      <c r="D5415" s="196" t="s">
        <v>23696</v>
      </c>
      <c r="E5415" s="196" t="s">
        <v>23696</v>
      </c>
      <c r="F5415" s="196" t="s">
        <v>11233</v>
      </c>
      <c r="G5415" s="196" t="s">
        <v>11720</v>
      </c>
      <c r="H5415" s="196" t="s">
        <v>11235</v>
      </c>
    </row>
    <row r="5416" spans="1:8" x14ac:dyDescent="0.15">
      <c r="A5416" s="196" t="s">
        <v>11229</v>
      </c>
      <c r="B5416" s="196" t="s">
        <v>11230</v>
      </c>
      <c r="C5416" s="196" t="s">
        <v>23697</v>
      </c>
      <c r="D5416" s="196" t="s">
        <v>23698</v>
      </c>
      <c r="E5416" s="196" t="s">
        <v>23698</v>
      </c>
      <c r="F5416" s="196" t="s">
        <v>11233</v>
      </c>
      <c r="G5416" s="196" t="s">
        <v>11720</v>
      </c>
      <c r="H5416" s="196" t="s">
        <v>11235</v>
      </c>
    </row>
    <row r="5417" spans="1:8" x14ac:dyDescent="0.15">
      <c r="A5417" s="196" t="s">
        <v>11229</v>
      </c>
      <c r="B5417" s="196" t="s">
        <v>11230</v>
      </c>
      <c r="C5417" s="196" t="s">
        <v>23699</v>
      </c>
      <c r="D5417" s="196" t="s">
        <v>23700</v>
      </c>
      <c r="E5417" s="196" t="s">
        <v>23700</v>
      </c>
      <c r="F5417" s="196" t="s">
        <v>11233</v>
      </c>
      <c r="G5417" s="196" t="s">
        <v>11720</v>
      </c>
      <c r="H5417" s="196" t="s">
        <v>11235</v>
      </c>
    </row>
    <row r="5418" spans="1:8" x14ac:dyDescent="0.15">
      <c r="A5418" s="196" t="s">
        <v>11229</v>
      </c>
      <c r="B5418" s="196" t="s">
        <v>11230</v>
      </c>
      <c r="C5418" s="196" t="s">
        <v>23701</v>
      </c>
      <c r="D5418" s="196" t="s">
        <v>23702</v>
      </c>
      <c r="E5418" s="196" t="s">
        <v>23702</v>
      </c>
      <c r="F5418" s="196" t="s">
        <v>11233</v>
      </c>
      <c r="G5418" s="196" t="s">
        <v>11720</v>
      </c>
      <c r="H5418" s="196" t="s">
        <v>11235</v>
      </c>
    </row>
    <row r="5419" spans="1:8" x14ac:dyDescent="0.15">
      <c r="A5419" s="196" t="s">
        <v>11229</v>
      </c>
      <c r="B5419" s="196" t="s">
        <v>11230</v>
      </c>
      <c r="C5419" s="196" t="s">
        <v>23703</v>
      </c>
      <c r="D5419" s="196" t="s">
        <v>23704</v>
      </c>
      <c r="E5419" s="196" t="s">
        <v>23704</v>
      </c>
      <c r="F5419" s="196" t="s">
        <v>11233</v>
      </c>
      <c r="G5419" s="196" t="s">
        <v>11720</v>
      </c>
      <c r="H5419" s="196" t="s">
        <v>11235</v>
      </c>
    </row>
    <row r="5420" spans="1:8" x14ac:dyDescent="0.15">
      <c r="A5420" s="196" t="s">
        <v>11229</v>
      </c>
      <c r="B5420" s="196" t="s">
        <v>11230</v>
      </c>
      <c r="C5420" s="196" t="s">
        <v>23705</v>
      </c>
      <c r="D5420" s="196" t="s">
        <v>23706</v>
      </c>
      <c r="E5420" s="196" t="s">
        <v>23706</v>
      </c>
      <c r="F5420" s="196" t="s">
        <v>11233</v>
      </c>
      <c r="G5420" s="196" t="s">
        <v>11720</v>
      </c>
      <c r="H5420" s="196" t="s">
        <v>11235</v>
      </c>
    </row>
    <row r="5421" spans="1:8" x14ac:dyDescent="0.15">
      <c r="A5421" s="196" t="s">
        <v>11229</v>
      </c>
      <c r="B5421" s="196" t="s">
        <v>11230</v>
      </c>
      <c r="C5421" s="196" t="s">
        <v>23707</v>
      </c>
      <c r="D5421" s="196" t="s">
        <v>23708</v>
      </c>
      <c r="E5421" s="196" t="s">
        <v>23708</v>
      </c>
      <c r="F5421" s="196" t="s">
        <v>11233</v>
      </c>
      <c r="G5421" s="196" t="s">
        <v>11720</v>
      </c>
      <c r="H5421" s="196" t="s">
        <v>11235</v>
      </c>
    </row>
    <row r="5422" spans="1:8" x14ac:dyDescent="0.15">
      <c r="A5422" s="196" t="s">
        <v>11229</v>
      </c>
      <c r="B5422" s="196" t="s">
        <v>11230</v>
      </c>
      <c r="C5422" s="196" t="s">
        <v>23709</v>
      </c>
      <c r="D5422" s="196" t="s">
        <v>23710</v>
      </c>
      <c r="E5422" s="196" t="s">
        <v>23710</v>
      </c>
      <c r="F5422" s="196" t="s">
        <v>11233</v>
      </c>
      <c r="G5422" s="196" t="s">
        <v>11720</v>
      </c>
      <c r="H5422" s="196" t="s">
        <v>11235</v>
      </c>
    </row>
    <row r="5423" spans="1:8" x14ac:dyDescent="0.15">
      <c r="A5423" s="196" t="s">
        <v>11229</v>
      </c>
      <c r="B5423" s="196" t="s">
        <v>11230</v>
      </c>
      <c r="C5423" s="196" t="s">
        <v>23711</v>
      </c>
      <c r="D5423" s="196" t="s">
        <v>23710</v>
      </c>
      <c r="E5423" s="196" t="s">
        <v>23710</v>
      </c>
      <c r="F5423" s="196" t="s">
        <v>11233</v>
      </c>
      <c r="G5423" s="196" t="s">
        <v>12378</v>
      </c>
      <c r="H5423" s="196" t="s">
        <v>11235</v>
      </c>
    </row>
    <row r="5424" spans="1:8" x14ac:dyDescent="0.15">
      <c r="A5424" s="196" t="s">
        <v>11229</v>
      </c>
      <c r="B5424" s="196" t="s">
        <v>11230</v>
      </c>
      <c r="C5424" s="196" t="s">
        <v>23712</v>
      </c>
      <c r="D5424" s="196" t="s">
        <v>23713</v>
      </c>
      <c r="E5424" s="196" t="s">
        <v>23714</v>
      </c>
      <c r="F5424" s="196" t="s">
        <v>11241</v>
      </c>
      <c r="G5424" s="196" t="s">
        <v>12378</v>
      </c>
      <c r="H5424" s="196" t="s">
        <v>11235</v>
      </c>
    </row>
    <row r="5425" spans="1:8" x14ac:dyDescent="0.15">
      <c r="A5425" s="196" t="s">
        <v>11229</v>
      </c>
      <c r="B5425" s="196" t="s">
        <v>11230</v>
      </c>
      <c r="C5425" s="196" t="s">
        <v>23715</v>
      </c>
      <c r="D5425" s="196" t="s">
        <v>23714</v>
      </c>
      <c r="E5425" s="196" t="s">
        <v>23714</v>
      </c>
      <c r="F5425" s="196" t="s">
        <v>11233</v>
      </c>
      <c r="G5425" s="196" t="s">
        <v>11720</v>
      </c>
      <c r="H5425" s="196" t="s">
        <v>11235</v>
      </c>
    </row>
    <row r="5426" spans="1:8" x14ac:dyDescent="0.15">
      <c r="A5426" s="196" t="s">
        <v>11229</v>
      </c>
      <c r="B5426" s="196" t="s">
        <v>11230</v>
      </c>
      <c r="C5426" s="196" t="s">
        <v>23716</v>
      </c>
      <c r="D5426" s="196" t="s">
        <v>23717</v>
      </c>
      <c r="E5426" s="196" t="s">
        <v>23718</v>
      </c>
      <c r="F5426" s="196" t="s">
        <v>11241</v>
      </c>
      <c r="G5426" s="196" t="s">
        <v>12378</v>
      </c>
      <c r="H5426" s="196" t="s">
        <v>11235</v>
      </c>
    </row>
    <row r="5427" spans="1:8" x14ac:dyDescent="0.15">
      <c r="A5427" s="196" t="s">
        <v>11229</v>
      </c>
      <c r="B5427" s="196" t="s">
        <v>11230</v>
      </c>
      <c r="C5427" s="196" t="s">
        <v>23719</v>
      </c>
      <c r="D5427" s="196" t="s">
        <v>23717</v>
      </c>
      <c r="E5427" s="196" t="s">
        <v>23717</v>
      </c>
      <c r="F5427" s="196" t="s">
        <v>11233</v>
      </c>
      <c r="G5427" s="196" t="s">
        <v>11720</v>
      </c>
      <c r="H5427" s="196" t="s">
        <v>11235</v>
      </c>
    </row>
    <row r="5428" spans="1:8" x14ac:dyDescent="0.15">
      <c r="A5428" s="196" t="s">
        <v>11229</v>
      </c>
      <c r="B5428" s="196" t="s">
        <v>11230</v>
      </c>
      <c r="C5428" s="196" t="s">
        <v>23720</v>
      </c>
      <c r="D5428" s="196" t="s">
        <v>23718</v>
      </c>
      <c r="E5428" s="196" t="s">
        <v>23721</v>
      </c>
      <c r="F5428" s="196" t="s">
        <v>11241</v>
      </c>
      <c r="G5428" s="196" t="s">
        <v>12378</v>
      </c>
      <c r="H5428" s="196" t="s">
        <v>11235</v>
      </c>
    </row>
    <row r="5429" spans="1:8" x14ac:dyDescent="0.15">
      <c r="A5429" s="196" t="s">
        <v>11229</v>
      </c>
      <c r="B5429" s="196" t="s">
        <v>11230</v>
      </c>
      <c r="C5429" s="196" t="s">
        <v>23722</v>
      </c>
      <c r="D5429" s="196" t="s">
        <v>23723</v>
      </c>
      <c r="E5429" s="196" t="s">
        <v>23724</v>
      </c>
      <c r="F5429" s="196" t="s">
        <v>11241</v>
      </c>
      <c r="G5429" s="196" t="s">
        <v>12378</v>
      </c>
      <c r="H5429" s="196" t="s">
        <v>11235</v>
      </c>
    </row>
    <row r="5430" spans="1:8" x14ac:dyDescent="0.15">
      <c r="A5430" s="196" t="s">
        <v>11229</v>
      </c>
      <c r="B5430" s="196" t="s">
        <v>11230</v>
      </c>
      <c r="C5430" s="196" t="s">
        <v>23725</v>
      </c>
      <c r="D5430" s="196" t="s">
        <v>23724</v>
      </c>
      <c r="E5430" s="196" t="s">
        <v>23726</v>
      </c>
      <c r="F5430" s="196" t="s">
        <v>11241</v>
      </c>
      <c r="G5430" s="196" t="s">
        <v>12378</v>
      </c>
      <c r="H5430" s="196" t="s">
        <v>11235</v>
      </c>
    </row>
    <row r="5431" spans="1:8" x14ac:dyDescent="0.15">
      <c r="A5431" s="196" t="s">
        <v>11229</v>
      </c>
      <c r="B5431" s="196" t="s">
        <v>11230</v>
      </c>
      <c r="C5431" s="196" t="s">
        <v>23727</v>
      </c>
      <c r="D5431" s="196" t="s">
        <v>23726</v>
      </c>
      <c r="E5431" s="196" t="s">
        <v>23728</v>
      </c>
      <c r="F5431" s="196" t="s">
        <v>11268</v>
      </c>
      <c r="G5431" s="196" t="s">
        <v>12378</v>
      </c>
      <c r="H5431" s="196" t="s">
        <v>11235</v>
      </c>
    </row>
    <row r="5432" spans="1:8" x14ac:dyDescent="0.15">
      <c r="A5432" s="196" t="s">
        <v>11229</v>
      </c>
      <c r="B5432" s="196" t="s">
        <v>11230</v>
      </c>
      <c r="C5432" s="196" t="s">
        <v>23729</v>
      </c>
      <c r="D5432" s="196" t="s">
        <v>23728</v>
      </c>
      <c r="E5432" s="196" t="s">
        <v>23730</v>
      </c>
      <c r="F5432" s="196" t="s">
        <v>11241</v>
      </c>
      <c r="G5432" s="196" t="s">
        <v>12378</v>
      </c>
      <c r="H5432" s="196" t="s">
        <v>11235</v>
      </c>
    </row>
    <row r="5433" spans="1:8" x14ac:dyDescent="0.15">
      <c r="A5433" s="196" t="s">
        <v>11229</v>
      </c>
      <c r="B5433" s="196" t="s">
        <v>11230</v>
      </c>
      <c r="C5433" s="196" t="s">
        <v>23731</v>
      </c>
      <c r="D5433" s="196" t="s">
        <v>23730</v>
      </c>
      <c r="E5433" s="196" t="s">
        <v>23732</v>
      </c>
      <c r="F5433" s="196" t="s">
        <v>13023</v>
      </c>
      <c r="G5433" s="196" t="s">
        <v>12378</v>
      </c>
      <c r="H5433" s="196" t="s">
        <v>11235</v>
      </c>
    </row>
    <row r="5434" spans="1:8" x14ac:dyDescent="0.15">
      <c r="A5434" s="196" t="s">
        <v>11229</v>
      </c>
      <c r="B5434" s="196" t="s">
        <v>11230</v>
      </c>
      <c r="C5434" s="196" t="s">
        <v>23733</v>
      </c>
      <c r="D5434" s="196" t="s">
        <v>23732</v>
      </c>
      <c r="E5434" s="196" t="s">
        <v>23734</v>
      </c>
      <c r="F5434" s="196" t="s">
        <v>11241</v>
      </c>
      <c r="G5434" s="196" t="s">
        <v>12378</v>
      </c>
      <c r="H5434" s="196" t="s">
        <v>11235</v>
      </c>
    </row>
    <row r="5435" spans="1:8" x14ac:dyDescent="0.15">
      <c r="A5435" s="196" t="s">
        <v>11229</v>
      </c>
      <c r="B5435" s="196" t="s">
        <v>11230</v>
      </c>
      <c r="C5435" s="196" t="s">
        <v>23735</v>
      </c>
      <c r="D5435" s="196" t="s">
        <v>23734</v>
      </c>
      <c r="E5435" s="196" t="s">
        <v>23736</v>
      </c>
      <c r="F5435" s="196" t="s">
        <v>11268</v>
      </c>
      <c r="G5435" s="196" t="s">
        <v>12378</v>
      </c>
      <c r="H5435" s="196" t="s">
        <v>11235</v>
      </c>
    </row>
    <row r="5436" spans="1:8" x14ac:dyDescent="0.15">
      <c r="A5436" s="196" t="s">
        <v>11229</v>
      </c>
      <c r="B5436" s="196" t="s">
        <v>11230</v>
      </c>
      <c r="C5436" s="196" t="s">
        <v>23737</v>
      </c>
      <c r="D5436" s="196" t="s">
        <v>23736</v>
      </c>
      <c r="E5436" s="196" t="s">
        <v>23738</v>
      </c>
      <c r="F5436" s="196" t="s">
        <v>11241</v>
      </c>
      <c r="G5436" s="196" t="s">
        <v>12378</v>
      </c>
      <c r="H5436" s="196" t="s">
        <v>11235</v>
      </c>
    </row>
    <row r="5437" spans="1:8" x14ac:dyDescent="0.15">
      <c r="A5437" s="196" t="s">
        <v>11229</v>
      </c>
      <c r="B5437" s="196" t="s">
        <v>11230</v>
      </c>
      <c r="C5437" s="196" t="s">
        <v>23739</v>
      </c>
      <c r="D5437" s="196" t="s">
        <v>23738</v>
      </c>
      <c r="E5437" s="196" t="s">
        <v>23740</v>
      </c>
      <c r="F5437" s="196" t="s">
        <v>11241</v>
      </c>
      <c r="G5437" s="196" t="s">
        <v>12378</v>
      </c>
      <c r="H5437" s="196" t="s">
        <v>11235</v>
      </c>
    </row>
    <row r="5438" spans="1:8" x14ac:dyDescent="0.15">
      <c r="A5438" s="196" t="s">
        <v>11229</v>
      </c>
      <c r="B5438" s="196" t="s">
        <v>11230</v>
      </c>
      <c r="C5438" s="196" t="s">
        <v>23741</v>
      </c>
      <c r="D5438" s="196" t="s">
        <v>23740</v>
      </c>
      <c r="E5438" s="196" t="s">
        <v>23742</v>
      </c>
      <c r="F5438" s="196" t="s">
        <v>11268</v>
      </c>
      <c r="G5438" s="196" t="s">
        <v>12378</v>
      </c>
      <c r="H5438" s="196" t="s">
        <v>11235</v>
      </c>
    </row>
    <row r="5439" spans="1:8" x14ac:dyDescent="0.15">
      <c r="A5439" s="196" t="s">
        <v>11229</v>
      </c>
      <c r="B5439" s="196" t="s">
        <v>11230</v>
      </c>
      <c r="C5439" s="196" t="s">
        <v>23743</v>
      </c>
      <c r="D5439" s="196" t="s">
        <v>23744</v>
      </c>
      <c r="E5439" s="196" t="s">
        <v>23744</v>
      </c>
      <c r="F5439" s="196" t="s">
        <v>11233</v>
      </c>
      <c r="G5439" s="196" t="s">
        <v>11720</v>
      </c>
      <c r="H5439" s="196" t="s">
        <v>11235</v>
      </c>
    </row>
    <row r="5440" spans="1:8" x14ac:dyDescent="0.15">
      <c r="A5440" s="196" t="s">
        <v>11229</v>
      </c>
      <c r="B5440" s="196" t="s">
        <v>11230</v>
      </c>
      <c r="C5440" s="196" t="s">
        <v>23745</v>
      </c>
      <c r="D5440" s="196" t="s">
        <v>23746</v>
      </c>
      <c r="E5440" s="196" t="s">
        <v>23746</v>
      </c>
      <c r="F5440" s="196" t="s">
        <v>11233</v>
      </c>
      <c r="G5440" s="196" t="s">
        <v>11720</v>
      </c>
      <c r="H5440" s="196" t="s">
        <v>11235</v>
      </c>
    </row>
    <row r="5441" spans="1:8" x14ac:dyDescent="0.15">
      <c r="A5441" s="196" t="s">
        <v>11229</v>
      </c>
      <c r="B5441" s="196" t="s">
        <v>11230</v>
      </c>
      <c r="C5441" s="196" t="s">
        <v>23747</v>
      </c>
      <c r="D5441" s="196" t="s">
        <v>23748</v>
      </c>
      <c r="E5441" s="196" t="s">
        <v>23748</v>
      </c>
      <c r="F5441" s="196" t="s">
        <v>11233</v>
      </c>
      <c r="G5441" s="196" t="s">
        <v>12378</v>
      </c>
      <c r="H5441" s="196" t="s">
        <v>11235</v>
      </c>
    </row>
    <row r="5442" spans="1:8" x14ac:dyDescent="0.15">
      <c r="A5442" s="196" t="s">
        <v>11229</v>
      </c>
      <c r="B5442" s="196" t="s">
        <v>11230</v>
      </c>
      <c r="C5442" s="196" t="s">
        <v>23749</v>
      </c>
      <c r="D5442" s="196" t="s">
        <v>23750</v>
      </c>
      <c r="E5442" s="196" t="s">
        <v>23750</v>
      </c>
      <c r="F5442" s="196" t="s">
        <v>11233</v>
      </c>
      <c r="G5442" s="196" t="s">
        <v>11720</v>
      </c>
      <c r="H5442" s="196" t="s">
        <v>11235</v>
      </c>
    </row>
    <row r="5443" spans="1:8" x14ac:dyDescent="0.15">
      <c r="A5443" s="196" t="s">
        <v>11229</v>
      </c>
      <c r="B5443" s="196" t="s">
        <v>11230</v>
      </c>
      <c r="C5443" s="196" t="s">
        <v>23751</v>
      </c>
      <c r="D5443" s="196" t="s">
        <v>23752</v>
      </c>
      <c r="E5443" s="196" t="s">
        <v>23752</v>
      </c>
      <c r="F5443" s="196" t="s">
        <v>11233</v>
      </c>
      <c r="G5443" s="196" t="s">
        <v>12378</v>
      </c>
      <c r="H5443" s="196" t="s">
        <v>11235</v>
      </c>
    </row>
    <row r="5444" spans="1:8" x14ac:dyDescent="0.15">
      <c r="A5444" s="196" t="s">
        <v>11229</v>
      </c>
      <c r="B5444" s="196" t="s">
        <v>11230</v>
      </c>
      <c r="C5444" s="196" t="s">
        <v>23753</v>
      </c>
      <c r="D5444" s="196" t="s">
        <v>23754</v>
      </c>
      <c r="E5444" s="196" t="s">
        <v>23754</v>
      </c>
      <c r="F5444" s="196" t="s">
        <v>11233</v>
      </c>
      <c r="G5444" s="196" t="s">
        <v>11720</v>
      </c>
      <c r="H5444" s="196" t="s">
        <v>11235</v>
      </c>
    </row>
    <row r="5445" spans="1:8" x14ac:dyDescent="0.15">
      <c r="A5445" s="196" t="s">
        <v>11229</v>
      </c>
      <c r="B5445" s="196" t="s">
        <v>11230</v>
      </c>
      <c r="C5445" s="196" t="s">
        <v>23755</v>
      </c>
      <c r="D5445" s="196" t="s">
        <v>23756</v>
      </c>
      <c r="E5445" s="196" t="s">
        <v>23756</v>
      </c>
      <c r="F5445" s="196" t="s">
        <v>11233</v>
      </c>
      <c r="G5445" s="196" t="s">
        <v>11720</v>
      </c>
      <c r="H5445" s="196" t="s">
        <v>11235</v>
      </c>
    </row>
    <row r="5446" spans="1:8" x14ac:dyDescent="0.15">
      <c r="A5446" s="196" t="s">
        <v>11229</v>
      </c>
      <c r="B5446" s="196" t="s">
        <v>11230</v>
      </c>
      <c r="C5446" s="196" t="s">
        <v>23757</v>
      </c>
      <c r="D5446" s="196" t="s">
        <v>23758</v>
      </c>
      <c r="E5446" s="196" t="s">
        <v>23758</v>
      </c>
      <c r="F5446" s="196" t="s">
        <v>11233</v>
      </c>
      <c r="G5446" s="196" t="s">
        <v>12378</v>
      </c>
      <c r="H5446" s="196" t="s">
        <v>11235</v>
      </c>
    </row>
    <row r="5447" spans="1:8" x14ac:dyDescent="0.15">
      <c r="A5447" s="196" t="s">
        <v>11229</v>
      </c>
      <c r="B5447" s="196" t="s">
        <v>11230</v>
      </c>
      <c r="C5447" s="196" t="s">
        <v>23759</v>
      </c>
      <c r="D5447" s="196" t="s">
        <v>23760</v>
      </c>
      <c r="E5447" s="196" t="s">
        <v>23760</v>
      </c>
      <c r="F5447" s="196" t="s">
        <v>11233</v>
      </c>
      <c r="G5447" s="196" t="s">
        <v>11720</v>
      </c>
      <c r="H5447" s="196" t="s">
        <v>11235</v>
      </c>
    </row>
    <row r="5448" spans="1:8" x14ac:dyDescent="0.15">
      <c r="A5448" s="196" t="s">
        <v>11229</v>
      </c>
      <c r="B5448" s="196" t="s">
        <v>11230</v>
      </c>
      <c r="C5448" s="196" t="s">
        <v>23761</v>
      </c>
      <c r="D5448" s="196" t="s">
        <v>23762</v>
      </c>
      <c r="E5448" s="196" t="s">
        <v>23762</v>
      </c>
      <c r="F5448" s="196" t="s">
        <v>11233</v>
      </c>
      <c r="G5448" s="196" t="s">
        <v>11720</v>
      </c>
      <c r="H5448" s="196" t="s">
        <v>11235</v>
      </c>
    </row>
    <row r="5449" spans="1:8" x14ac:dyDescent="0.15">
      <c r="A5449" s="196" t="s">
        <v>11229</v>
      </c>
      <c r="B5449" s="196" t="s">
        <v>11230</v>
      </c>
      <c r="C5449" s="196" t="s">
        <v>23763</v>
      </c>
      <c r="D5449" s="196" t="s">
        <v>23764</v>
      </c>
      <c r="E5449" s="196" t="s">
        <v>23764</v>
      </c>
      <c r="F5449" s="196" t="s">
        <v>11233</v>
      </c>
      <c r="G5449" s="196" t="s">
        <v>11720</v>
      </c>
      <c r="H5449" s="196" t="s">
        <v>11235</v>
      </c>
    </row>
    <row r="5450" spans="1:8" x14ac:dyDescent="0.15">
      <c r="A5450" s="196" t="s">
        <v>11229</v>
      </c>
      <c r="B5450" s="196" t="s">
        <v>11230</v>
      </c>
      <c r="C5450" s="196" t="s">
        <v>23765</v>
      </c>
      <c r="D5450" s="196" t="s">
        <v>23766</v>
      </c>
      <c r="E5450" s="196" t="s">
        <v>23766</v>
      </c>
      <c r="F5450" s="196" t="s">
        <v>11233</v>
      </c>
      <c r="G5450" s="196" t="s">
        <v>12378</v>
      </c>
      <c r="H5450" s="196" t="s">
        <v>11235</v>
      </c>
    </row>
    <row r="5451" spans="1:8" x14ac:dyDescent="0.15">
      <c r="A5451" s="196" t="s">
        <v>11229</v>
      </c>
      <c r="B5451" s="196" t="s">
        <v>11230</v>
      </c>
      <c r="C5451" s="196" t="s">
        <v>23767</v>
      </c>
      <c r="D5451" s="196" t="s">
        <v>23768</v>
      </c>
      <c r="E5451" s="196" t="s">
        <v>23768</v>
      </c>
      <c r="F5451" s="196" t="s">
        <v>11233</v>
      </c>
      <c r="G5451" s="196" t="s">
        <v>12378</v>
      </c>
      <c r="H5451" s="196" t="s">
        <v>11235</v>
      </c>
    </row>
    <row r="5452" spans="1:8" x14ac:dyDescent="0.15">
      <c r="A5452" s="196" t="s">
        <v>11229</v>
      </c>
      <c r="B5452" s="196" t="s">
        <v>11230</v>
      </c>
      <c r="C5452" s="196" t="s">
        <v>23769</v>
      </c>
      <c r="D5452" s="196" t="s">
        <v>23770</v>
      </c>
      <c r="E5452" s="196" t="s">
        <v>23770</v>
      </c>
      <c r="F5452" s="196" t="s">
        <v>11233</v>
      </c>
      <c r="G5452" s="196" t="s">
        <v>12378</v>
      </c>
      <c r="H5452" s="196" t="s">
        <v>11235</v>
      </c>
    </row>
    <row r="5453" spans="1:8" x14ac:dyDescent="0.15">
      <c r="A5453" s="196" t="s">
        <v>11229</v>
      </c>
      <c r="B5453" s="196" t="s">
        <v>11230</v>
      </c>
      <c r="C5453" s="196" t="s">
        <v>23771</v>
      </c>
      <c r="D5453" s="196" t="s">
        <v>23772</v>
      </c>
      <c r="E5453" s="196" t="s">
        <v>23772</v>
      </c>
      <c r="F5453" s="196" t="s">
        <v>11233</v>
      </c>
      <c r="G5453" s="196" t="s">
        <v>12378</v>
      </c>
      <c r="H5453" s="196" t="s">
        <v>11235</v>
      </c>
    </row>
    <row r="5454" spans="1:8" x14ac:dyDescent="0.15">
      <c r="A5454" s="196" t="s">
        <v>11229</v>
      </c>
      <c r="B5454" s="196" t="s">
        <v>11230</v>
      </c>
      <c r="C5454" s="196" t="s">
        <v>23773</v>
      </c>
      <c r="D5454" s="196" t="s">
        <v>23774</v>
      </c>
      <c r="E5454" s="196" t="s">
        <v>23774</v>
      </c>
      <c r="F5454" s="196" t="s">
        <v>11233</v>
      </c>
      <c r="G5454" s="196" t="s">
        <v>12378</v>
      </c>
      <c r="H5454" s="196" t="s">
        <v>11235</v>
      </c>
    </row>
    <row r="5455" spans="1:8" x14ac:dyDescent="0.15">
      <c r="A5455" s="196" t="s">
        <v>11229</v>
      </c>
      <c r="B5455" s="196" t="s">
        <v>11230</v>
      </c>
      <c r="C5455" s="196" t="s">
        <v>23775</v>
      </c>
      <c r="D5455" s="196" t="s">
        <v>23776</v>
      </c>
      <c r="E5455" s="196" t="s">
        <v>23776</v>
      </c>
      <c r="F5455" s="196" t="s">
        <v>11233</v>
      </c>
      <c r="G5455" s="196" t="s">
        <v>12378</v>
      </c>
      <c r="H5455" s="196" t="s">
        <v>11235</v>
      </c>
    </row>
    <row r="5456" spans="1:8" x14ac:dyDescent="0.15">
      <c r="A5456" s="196" t="s">
        <v>11229</v>
      </c>
      <c r="B5456" s="196" t="s">
        <v>11230</v>
      </c>
      <c r="C5456" s="196" t="s">
        <v>23777</v>
      </c>
      <c r="D5456" s="196" t="s">
        <v>23778</v>
      </c>
      <c r="E5456" s="196" t="s">
        <v>23779</v>
      </c>
      <c r="F5456" s="196" t="s">
        <v>11241</v>
      </c>
      <c r="G5456" s="196" t="s">
        <v>11720</v>
      </c>
      <c r="H5456" s="196" t="s">
        <v>11235</v>
      </c>
    </row>
    <row r="5457" spans="1:8" x14ac:dyDescent="0.15">
      <c r="A5457" s="196" t="s">
        <v>11229</v>
      </c>
      <c r="B5457" s="196" t="s">
        <v>11230</v>
      </c>
      <c r="C5457" s="196" t="s">
        <v>23780</v>
      </c>
      <c r="D5457" s="196" t="s">
        <v>23781</v>
      </c>
      <c r="E5457" s="196" t="s">
        <v>23781</v>
      </c>
      <c r="F5457" s="196" t="s">
        <v>11233</v>
      </c>
      <c r="G5457" s="196" t="s">
        <v>11720</v>
      </c>
      <c r="H5457" s="196" t="s">
        <v>11235</v>
      </c>
    </row>
    <row r="5458" spans="1:8" x14ac:dyDescent="0.15">
      <c r="A5458" s="196" t="s">
        <v>11229</v>
      </c>
      <c r="B5458" s="196" t="s">
        <v>11230</v>
      </c>
      <c r="C5458" s="196" t="s">
        <v>23782</v>
      </c>
      <c r="D5458" s="196" t="s">
        <v>23783</v>
      </c>
      <c r="E5458" s="196" t="s">
        <v>23783</v>
      </c>
      <c r="F5458" s="196" t="s">
        <v>11233</v>
      </c>
      <c r="G5458" s="196" t="s">
        <v>12378</v>
      </c>
      <c r="H5458" s="196" t="s">
        <v>11235</v>
      </c>
    </row>
    <row r="5459" spans="1:8" x14ac:dyDescent="0.15">
      <c r="A5459" s="196" t="s">
        <v>11229</v>
      </c>
      <c r="B5459" s="196" t="s">
        <v>11230</v>
      </c>
      <c r="C5459" s="196" t="s">
        <v>23784</v>
      </c>
      <c r="D5459" s="196" t="s">
        <v>23785</v>
      </c>
      <c r="E5459" s="196" t="s">
        <v>23786</v>
      </c>
      <c r="F5459" s="196" t="s">
        <v>11268</v>
      </c>
      <c r="G5459" s="196" t="s">
        <v>11720</v>
      </c>
      <c r="H5459" s="196" t="s">
        <v>11235</v>
      </c>
    </row>
    <row r="5460" spans="1:8" x14ac:dyDescent="0.15">
      <c r="A5460" s="196" t="s">
        <v>11229</v>
      </c>
      <c r="B5460" s="196" t="s">
        <v>11230</v>
      </c>
      <c r="C5460" s="196" t="s">
        <v>23787</v>
      </c>
      <c r="D5460" s="196" t="s">
        <v>23786</v>
      </c>
      <c r="E5460" s="196" t="s">
        <v>23788</v>
      </c>
      <c r="F5460" s="196" t="s">
        <v>11241</v>
      </c>
      <c r="G5460" s="196" t="s">
        <v>11720</v>
      </c>
      <c r="H5460" s="196" t="s">
        <v>11235</v>
      </c>
    </row>
    <row r="5461" spans="1:8" x14ac:dyDescent="0.15">
      <c r="A5461" s="196" t="s">
        <v>11229</v>
      </c>
      <c r="B5461" s="196" t="s">
        <v>11230</v>
      </c>
      <c r="C5461" s="196" t="s">
        <v>23789</v>
      </c>
      <c r="D5461" s="196" t="s">
        <v>23790</v>
      </c>
      <c r="E5461" s="196" t="s">
        <v>23790</v>
      </c>
      <c r="F5461" s="196" t="s">
        <v>11233</v>
      </c>
      <c r="G5461" s="196" t="s">
        <v>11720</v>
      </c>
      <c r="H5461" s="196" t="s">
        <v>11235</v>
      </c>
    </row>
    <row r="5462" spans="1:8" x14ac:dyDescent="0.15">
      <c r="A5462" s="196" t="s">
        <v>11229</v>
      </c>
      <c r="B5462" s="196" t="s">
        <v>11230</v>
      </c>
      <c r="C5462" s="196" t="s">
        <v>23791</v>
      </c>
      <c r="D5462" s="196" t="s">
        <v>23792</v>
      </c>
      <c r="E5462" s="196" t="s">
        <v>23792</v>
      </c>
      <c r="F5462" s="196" t="s">
        <v>11233</v>
      </c>
      <c r="G5462" s="196" t="s">
        <v>11720</v>
      </c>
      <c r="H5462" s="196" t="s">
        <v>11235</v>
      </c>
    </row>
    <row r="5463" spans="1:8" x14ac:dyDescent="0.15">
      <c r="A5463" s="196" t="s">
        <v>11229</v>
      </c>
      <c r="B5463" s="196" t="s">
        <v>11230</v>
      </c>
      <c r="C5463" s="196" t="s">
        <v>23793</v>
      </c>
      <c r="D5463" s="196" t="s">
        <v>23794</v>
      </c>
      <c r="E5463" s="196" t="s">
        <v>23795</v>
      </c>
      <c r="F5463" s="196" t="s">
        <v>11268</v>
      </c>
      <c r="G5463" s="196" t="s">
        <v>11720</v>
      </c>
      <c r="H5463" s="196" t="s">
        <v>11235</v>
      </c>
    </row>
    <row r="5464" spans="1:8" x14ac:dyDescent="0.15">
      <c r="A5464" s="196" t="s">
        <v>11229</v>
      </c>
      <c r="B5464" s="196" t="s">
        <v>11230</v>
      </c>
      <c r="C5464" s="196" t="s">
        <v>23796</v>
      </c>
      <c r="D5464" s="196" t="s">
        <v>23795</v>
      </c>
      <c r="E5464" s="196" t="s">
        <v>23797</v>
      </c>
      <c r="F5464" s="196" t="s">
        <v>11241</v>
      </c>
      <c r="G5464" s="196" t="s">
        <v>11720</v>
      </c>
      <c r="H5464" s="196" t="s">
        <v>11235</v>
      </c>
    </row>
    <row r="5465" spans="1:8" x14ac:dyDescent="0.15">
      <c r="A5465" s="196" t="s">
        <v>11229</v>
      </c>
      <c r="B5465" s="196" t="s">
        <v>11230</v>
      </c>
      <c r="C5465" s="196" t="s">
        <v>23798</v>
      </c>
      <c r="D5465" s="196" t="s">
        <v>23797</v>
      </c>
      <c r="E5465" s="196" t="s">
        <v>23799</v>
      </c>
      <c r="F5465" s="196" t="s">
        <v>11241</v>
      </c>
      <c r="G5465" s="196" t="s">
        <v>11720</v>
      </c>
      <c r="H5465" s="196" t="s">
        <v>11235</v>
      </c>
    </row>
    <row r="5466" spans="1:8" x14ac:dyDescent="0.15">
      <c r="A5466" s="196" t="s">
        <v>11229</v>
      </c>
      <c r="B5466" s="196" t="s">
        <v>11230</v>
      </c>
      <c r="C5466" s="196" t="s">
        <v>23800</v>
      </c>
      <c r="D5466" s="196" t="s">
        <v>23797</v>
      </c>
      <c r="E5466" s="196" t="s">
        <v>23799</v>
      </c>
      <c r="F5466" s="196" t="s">
        <v>11241</v>
      </c>
      <c r="G5466" s="196" t="s">
        <v>12378</v>
      </c>
      <c r="H5466" s="196" t="s">
        <v>11235</v>
      </c>
    </row>
    <row r="5467" spans="1:8" x14ac:dyDescent="0.15">
      <c r="A5467" s="196" t="s">
        <v>11229</v>
      </c>
      <c r="B5467" s="196" t="s">
        <v>11230</v>
      </c>
      <c r="C5467" s="196" t="s">
        <v>23801</v>
      </c>
      <c r="D5467" s="196" t="s">
        <v>23799</v>
      </c>
      <c r="E5467" s="196" t="s">
        <v>23802</v>
      </c>
      <c r="F5467" s="196" t="s">
        <v>11268</v>
      </c>
      <c r="G5467" s="196" t="s">
        <v>12378</v>
      </c>
      <c r="H5467" s="196" t="s">
        <v>11235</v>
      </c>
    </row>
    <row r="5468" spans="1:8" x14ac:dyDescent="0.15">
      <c r="A5468" s="196" t="s">
        <v>11229</v>
      </c>
      <c r="B5468" s="196" t="s">
        <v>11230</v>
      </c>
      <c r="C5468" s="196" t="s">
        <v>23803</v>
      </c>
      <c r="D5468" s="196" t="s">
        <v>23804</v>
      </c>
      <c r="E5468" s="196" t="s">
        <v>23804</v>
      </c>
      <c r="F5468" s="196" t="s">
        <v>11233</v>
      </c>
      <c r="G5468" s="196" t="s">
        <v>12378</v>
      </c>
      <c r="H5468" s="196" t="s">
        <v>11235</v>
      </c>
    </row>
    <row r="5469" spans="1:8" x14ac:dyDescent="0.15">
      <c r="A5469" s="196" t="s">
        <v>11229</v>
      </c>
      <c r="B5469" s="196" t="s">
        <v>11230</v>
      </c>
      <c r="C5469" s="196" t="s">
        <v>23805</v>
      </c>
      <c r="D5469" s="196" t="s">
        <v>23804</v>
      </c>
      <c r="E5469" s="196" t="s">
        <v>23806</v>
      </c>
      <c r="F5469" s="196" t="s">
        <v>11268</v>
      </c>
      <c r="G5469" s="196" t="s">
        <v>11720</v>
      </c>
      <c r="H5469" s="196" t="s">
        <v>11235</v>
      </c>
    </row>
    <row r="5470" spans="1:8" x14ac:dyDescent="0.15">
      <c r="A5470" s="196" t="s">
        <v>11229</v>
      </c>
      <c r="B5470" s="196" t="s">
        <v>11230</v>
      </c>
      <c r="C5470" s="196" t="s">
        <v>23807</v>
      </c>
      <c r="D5470" s="196" t="s">
        <v>23808</v>
      </c>
      <c r="E5470" s="196" t="s">
        <v>23808</v>
      </c>
      <c r="F5470" s="196" t="s">
        <v>11233</v>
      </c>
      <c r="G5470" s="196" t="s">
        <v>11720</v>
      </c>
      <c r="H5470" s="196" t="s">
        <v>11235</v>
      </c>
    </row>
    <row r="5471" spans="1:8" x14ac:dyDescent="0.15">
      <c r="A5471" s="196" t="s">
        <v>11229</v>
      </c>
      <c r="B5471" s="196" t="s">
        <v>11230</v>
      </c>
      <c r="C5471" s="196" t="s">
        <v>23809</v>
      </c>
      <c r="D5471" s="196" t="s">
        <v>23810</v>
      </c>
      <c r="E5471" s="196" t="s">
        <v>23810</v>
      </c>
      <c r="F5471" s="196" t="s">
        <v>11233</v>
      </c>
      <c r="G5471" s="196" t="s">
        <v>11720</v>
      </c>
      <c r="H5471" s="196" t="s">
        <v>11235</v>
      </c>
    </row>
    <row r="5472" spans="1:8" x14ac:dyDescent="0.15">
      <c r="A5472" s="196" t="s">
        <v>11229</v>
      </c>
      <c r="B5472" s="196" t="s">
        <v>11230</v>
      </c>
      <c r="C5472" s="196" t="s">
        <v>23811</v>
      </c>
      <c r="D5472" s="196" t="s">
        <v>23812</v>
      </c>
      <c r="E5472" s="196" t="s">
        <v>23812</v>
      </c>
      <c r="F5472" s="196" t="s">
        <v>11233</v>
      </c>
      <c r="G5472" s="196" t="s">
        <v>11720</v>
      </c>
      <c r="H5472" s="196" t="s">
        <v>11235</v>
      </c>
    </row>
    <row r="5473" spans="1:8" x14ac:dyDescent="0.15">
      <c r="A5473" s="196" t="s">
        <v>11229</v>
      </c>
      <c r="B5473" s="196" t="s">
        <v>11230</v>
      </c>
      <c r="C5473" s="196" t="s">
        <v>23813</v>
      </c>
      <c r="D5473" s="196" t="s">
        <v>23814</v>
      </c>
      <c r="E5473" s="196" t="s">
        <v>23814</v>
      </c>
      <c r="F5473" s="196" t="s">
        <v>11233</v>
      </c>
      <c r="G5473" s="196" t="s">
        <v>11720</v>
      </c>
      <c r="H5473" s="196" t="s">
        <v>11235</v>
      </c>
    </row>
    <row r="5474" spans="1:8" x14ac:dyDescent="0.15">
      <c r="A5474" s="196" t="s">
        <v>11229</v>
      </c>
      <c r="B5474" s="196" t="s">
        <v>11230</v>
      </c>
      <c r="C5474" s="196" t="s">
        <v>23815</v>
      </c>
      <c r="D5474" s="196" t="s">
        <v>23816</v>
      </c>
      <c r="E5474" s="196" t="s">
        <v>23817</v>
      </c>
      <c r="F5474" s="196" t="s">
        <v>13914</v>
      </c>
      <c r="G5474" s="196" t="s">
        <v>12378</v>
      </c>
      <c r="H5474" s="196" t="s">
        <v>11235</v>
      </c>
    </row>
    <row r="5475" spans="1:8" x14ac:dyDescent="0.15">
      <c r="A5475" s="196" t="s">
        <v>11229</v>
      </c>
      <c r="B5475" s="196" t="s">
        <v>11230</v>
      </c>
      <c r="C5475" s="196" t="s">
        <v>23818</v>
      </c>
      <c r="D5475" s="196" t="s">
        <v>23819</v>
      </c>
      <c r="E5475" s="196" t="s">
        <v>23820</v>
      </c>
      <c r="F5475" s="196" t="s">
        <v>13023</v>
      </c>
      <c r="G5475" s="196" t="s">
        <v>12378</v>
      </c>
      <c r="H5475" s="196" t="s">
        <v>11235</v>
      </c>
    </row>
    <row r="5476" spans="1:8" x14ac:dyDescent="0.15">
      <c r="A5476" s="196" t="s">
        <v>11229</v>
      </c>
      <c r="B5476" s="196" t="s">
        <v>11230</v>
      </c>
      <c r="C5476" s="196" t="s">
        <v>23821</v>
      </c>
      <c r="D5476" s="196" t="s">
        <v>23822</v>
      </c>
      <c r="E5476" s="196" t="s">
        <v>23823</v>
      </c>
      <c r="F5476" s="196" t="s">
        <v>13023</v>
      </c>
      <c r="G5476" s="196" t="s">
        <v>12378</v>
      </c>
      <c r="H5476" s="196" t="s">
        <v>11235</v>
      </c>
    </row>
    <row r="5477" spans="1:8" x14ac:dyDescent="0.15">
      <c r="A5477" s="196" t="s">
        <v>11229</v>
      </c>
      <c r="B5477" s="196" t="s">
        <v>11230</v>
      </c>
      <c r="C5477" s="196" t="s">
        <v>23824</v>
      </c>
      <c r="D5477" s="196" t="s">
        <v>23822</v>
      </c>
      <c r="E5477" s="196" t="s">
        <v>23822</v>
      </c>
      <c r="F5477" s="196" t="s">
        <v>11233</v>
      </c>
      <c r="G5477" s="196" t="s">
        <v>11720</v>
      </c>
      <c r="H5477" s="196" t="s">
        <v>11235</v>
      </c>
    </row>
    <row r="5478" spans="1:8" x14ac:dyDescent="0.15">
      <c r="A5478" s="196" t="s">
        <v>11229</v>
      </c>
      <c r="B5478" s="196" t="s">
        <v>11230</v>
      </c>
      <c r="C5478" s="196" t="s">
        <v>23825</v>
      </c>
      <c r="D5478" s="196" t="s">
        <v>23826</v>
      </c>
      <c r="E5478" s="196" t="s">
        <v>23827</v>
      </c>
      <c r="F5478" s="196" t="s">
        <v>12537</v>
      </c>
      <c r="G5478" s="196" t="s">
        <v>12378</v>
      </c>
      <c r="H5478" s="196" t="s">
        <v>11235</v>
      </c>
    </row>
    <row r="5479" spans="1:8" x14ac:dyDescent="0.15">
      <c r="A5479" s="196" t="s">
        <v>11229</v>
      </c>
      <c r="B5479" s="196" t="s">
        <v>11230</v>
      </c>
      <c r="C5479" s="196" t="s">
        <v>23828</v>
      </c>
      <c r="D5479" s="196" t="s">
        <v>23829</v>
      </c>
      <c r="E5479" s="196" t="s">
        <v>23830</v>
      </c>
      <c r="F5479" s="196" t="s">
        <v>12537</v>
      </c>
      <c r="G5479" s="196" t="s">
        <v>12378</v>
      </c>
      <c r="H5479" s="196" t="s">
        <v>11235</v>
      </c>
    </row>
    <row r="5480" spans="1:8" x14ac:dyDescent="0.15">
      <c r="A5480" s="196" t="s">
        <v>11229</v>
      </c>
      <c r="B5480" s="196" t="s">
        <v>11230</v>
      </c>
      <c r="C5480" s="196" t="s">
        <v>23831</v>
      </c>
      <c r="D5480" s="196" t="s">
        <v>23832</v>
      </c>
      <c r="E5480" s="196" t="s">
        <v>23833</v>
      </c>
      <c r="F5480" s="196" t="s">
        <v>12537</v>
      </c>
      <c r="G5480" s="196" t="s">
        <v>12378</v>
      </c>
      <c r="H5480" s="196" t="s">
        <v>11235</v>
      </c>
    </row>
    <row r="5481" spans="1:8" x14ac:dyDescent="0.15">
      <c r="A5481" s="196" t="s">
        <v>11229</v>
      </c>
      <c r="B5481" s="196" t="s">
        <v>11230</v>
      </c>
      <c r="C5481" s="196" t="s">
        <v>23834</v>
      </c>
      <c r="D5481" s="196" t="s">
        <v>23835</v>
      </c>
      <c r="E5481" s="196" t="s">
        <v>23836</v>
      </c>
      <c r="F5481" s="196" t="s">
        <v>13758</v>
      </c>
      <c r="G5481" s="196" t="s">
        <v>12378</v>
      </c>
      <c r="H5481" s="196" t="s">
        <v>11235</v>
      </c>
    </row>
    <row r="5482" spans="1:8" x14ac:dyDescent="0.15">
      <c r="A5482" s="196" t="s">
        <v>11229</v>
      </c>
      <c r="B5482" s="196" t="s">
        <v>11230</v>
      </c>
      <c r="C5482" s="196" t="s">
        <v>23837</v>
      </c>
      <c r="D5482" s="196" t="s">
        <v>23838</v>
      </c>
      <c r="E5482" s="196" t="s">
        <v>23838</v>
      </c>
      <c r="F5482" s="196" t="s">
        <v>11233</v>
      </c>
      <c r="G5482" s="196" t="s">
        <v>11720</v>
      </c>
      <c r="H5482" s="196" t="s">
        <v>11235</v>
      </c>
    </row>
    <row r="5483" spans="1:8" x14ac:dyDescent="0.15">
      <c r="A5483" s="196" t="s">
        <v>11229</v>
      </c>
      <c r="B5483" s="196" t="s">
        <v>11230</v>
      </c>
      <c r="C5483" s="196" t="s">
        <v>23839</v>
      </c>
      <c r="D5483" s="196" t="s">
        <v>23836</v>
      </c>
      <c r="E5483" s="196" t="s">
        <v>23836</v>
      </c>
      <c r="F5483" s="196" t="s">
        <v>11233</v>
      </c>
      <c r="G5483" s="196" t="s">
        <v>11720</v>
      </c>
      <c r="H5483" s="196" t="s">
        <v>11235</v>
      </c>
    </row>
    <row r="5484" spans="1:8" x14ac:dyDescent="0.15">
      <c r="A5484" s="196" t="s">
        <v>11229</v>
      </c>
      <c r="B5484" s="196" t="s">
        <v>11230</v>
      </c>
      <c r="C5484" s="196" t="s">
        <v>23840</v>
      </c>
      <c r="D5484" s="196" t="s">
        <v>23841</v>
      </c>
      <c r="E5484" s="196" t="s">
        <v>23842</v>
      </c>
      <c r="F5484" s="196" t="s">
        <v>13023</v>
      </c>
      <c r="G5484" s="196" t="s">
        <v>12378</v>
      </c>
      <c r="H5484" s="196" t="s">
        <v>11235</v>
      </c>
    </row>
    <row r="5485" spans="1:8" x14ac:dyDescent="0.15">
      <c r="A5485" s="196" t="s">
        <v>11229</v>
      </c>
      <c r="B5485" s="196" t="s">
        <v>11230</v>
      </c>
      <c r="C5485" s="196" t="s">
        <v>23843</v>
      </c>
      <c r="D5485" s="196" t="s">
        <v>23844</v>
      </c>
      <c r="E5485" s="196" t="s">
        <v>23845</v>
      </c>
      <c r="F5485" s="196" t="s">
        <v>13023</v>
      </c>
      <c r="G5485" s="196" t="s">
        <v>12378</v>
      </c>
      <c r="H5485" s="196" t="s">
        <v>11235</v>
      </c>
    </row>
    <row r="5486" spans="1:8" x14ac:dyDescent="0.15">
      <c r="A5486" s="196" t="s">
        <v>11229</v>
      </c>
      <c r="B5486" s="196" t="s">
        <v>11230</v>
      </c>
      <c r="C5486" s="196" t="s">
        <v>23846</v>
      </c>
      <c r="D5486" s="196" t="s">
        <v>23847</v>
      </c>
      <c r="E5486" s="196" t="s">
        <v>23847</v>
      </c>
      <c r="F5486" s="196" t="s">
        <v>11233</v>
      </c>
      <c r="G5486" s="196" t="s">
        <v>11720</v>
      </c>
      <c r="H5486" s="196" t="s">
        <v>11235</v>
      </c>
    </row>
    <row r="5487" spans="1:8" x14ac:dyDescent="0.15">
      <c r="A5487" s="196" t="s">
        <v>11229</v>
      </c>
      <c r="B5487" s="196" t="s">
        <v>11230</v>
      </c>
      <c r="C5487" s="196" t="s">
        <v>23848</v>
      </c>
      <c r="D5487" s="196" t="s">
        <v>23849</v>
      </c>
      <c r="E5487" s="196" t="s">
        <v>23849</v>
      </c>
      <c r="F5487" s="196" t="s">
        <v>11233</v>
      </c>
      <c r="G5487" s="196" t="s">
        <v>11720</v>
      </c>
      <c r="H5487" s="196" t="s">
        <v>11235</v>
      </c>
    </row>
    <row r="5488" spans="1:8" x14ac:dyDescent="0.15">
      <c r="A5488" s="196" t="s">
        <v>11229</v>
      </c>
      <c r="B5488" s="196" t="s">
        <v>11230</v>
      </c>
      <c r="C5488" s="196" t="s">
        <v>23850</v>
      </c>
      <c r="D5488" s="196" t="s">
        <v>23851</v>
      </c>
      <c r="E5488" s="196" t="s">
        <v>23851</v>
      </c>
      <c r="F5488" s="196" t="s">
        <v>11233</v>
      </c>
      <c r="G5488" s="196" t="s">
        <v>12378</v>
      </c>
      <c r="H5488" s="196" t="s">
        <v>11235</v>
      </c>
    </row>
    <row r="5489" spans="1:8" x14ac:dyDescent="0.15">
      <c r="A5489" s="196" t="s">
        <v>11229</v>
      </c>
      <c r="B5489" s="196" t="s">
        <v>11230</v>
      </c>
      <c r="C5489" s="196" t="s">
        <v>23852</v>
      </c>
      <c r="D5489" s="196" t="s">
        <v>23853</v>
      </c>
      <c r="E5489" s="196" t="s">
        <v>23853</v>
      </c>
      <c r="F5489" s="196" t="s">
        <v>11233</v>
      </c>
      <c r="G5489" s="196" t="s">
        <v>12378</v>
      </c>
      <c r="H5489" s="196" t="s">
        <v>11235</v>
      </c>
    </row>
    <row r="5490" spans="1:8" x14ac:dyDescent="0.15">
      <c r="A5490" s="196" t="s">
        <v>11229</v>
      </c>
      <c r="B5490" s="196" t="s">
        <v>11230</v>
      </c>
      <c r="C5490" s="196" t="s">
        <v>23854</v>
      </c>
      <c r="D5490" s="196" t="s">
        <v>23855</v>
      </c>
      <c r="E5490" s="196" t="s">
        <v>23855</v>
      </c>
      <c r="F5490" s="196" t="s">
        <v>11233</v>
      </c>
      <c r="G5490" s="196" t="s">
        <v>11720</v>
      </c>
      <c r="H5490" s="196" t="s">
        <v>11235</v>
      </c>
    </row>
    <row r="5491" spans="1:8" x14ac:dyDescent="0.15">
      <c r="A5491" s="196" t="s">
        <v>11229</v>
      </c>
      <c r="B5491" s="196" t="s">
        <v>11230</v>
      </c>
      <c r="C5491" s="196" t="s">
        <v>23856</v>
      </c>
      <c r="D5491" s="196" t="s">
        <v>23857</v>
      </c>
      <c r="E5491" s="196" t="s">
        <v>23857</v>
      </c>
      <c r="F5491" s="196" t="s">
        <v>11233</v>
      </c>
      <c r="G5491" s="196" t="s">
        <v>11720</v>
      </c>
      <c r="H5491" s="196" t="s">
        <v>11235</v>
      </c>
    </row>
    <row r="5492" spans="1:8" x14ac:dyDescent="0.15">
      <c r="A5492" s="196" t="s">
        <v>11229</v>
      </c>
      <c r="B5492" s="196" t="s">
        <v>11230</v>
      </c>
      <c r="C5492" s="196" t="s">
        <v>23858</v>
      </c>
      <c r="D5492" s="196" t="s">
        <v>23859</v>
      </c>
      <c r="E5492" s="196" t="s">
        <v>23859</v>
      </c>
      <c r="F5492" s="196" t="s">
        <v>11233</v>
      </c>
      <c r="G5492" s="196" t="s">
        <v>12378</v>
      </c>
      <c r="H5492" s="196" t="s">
        <v>11235</v>
      </c>
    </row>
    <row r="5493" spans="1:8" x14ac:dyDescent="0.15">
      <c r="A5493" s="196" t="s">
        <v>11229</v>
      </c>
      <c r="B5493" s="196" t="s">
        <v>11230</v>
      </c>
      <c r="C5493" s="196" t="s">
        <v>23860</v>
      </c>
      <c r="D5493" s="196" t="s">
        <v>23861</v>
      </c>
      <c r="E5493" s="196" t="s">
        <v>23861</v>
      </c>
      <c r="F5493" s="196" t="s">
        <v>11233</v>
      </c>
      <c r="G5493" s="196" t="s">
        <v>12378</v>
      </c>
      <c r="H5493" s="196" t="s">
        <v>11235</v>
      </c>
    </row>
    <row r="5494" spans="1:8" x14ac:dyDescent="0.15">
      <c r="A5494" s="196" t="s">
        <v>11229</v>
      </c>
      <c r="B5494" s="196" t="s">
        <v>11230</v>
      </c>
      <c r="C5494" s="196" t="s">
        <v>23862</v>
      </c>
      <c r="D5494" s="196" t="s">
        <v>23863</v>
      </c>
      <c r="E5494" s="196" t="s">
        <v>23863</v>
      </c>
      <c r="F5494" s="196" t="s">
        <v>11233</v>
      </c>
      <c r="G5494" s="196" t="s">
        <v>12378</v>
      </c>
      <c r="H5494" s="196" t="s">
        <v>11235</v>
      </c>
    </row>
    <row r="5495" spans="1:8" x14ac:dyDescent="0.15">
      <c r="A5495" s="196" t="s">
        <v>11229</v>
      </c>
      <c r="B5495" s="196" t="s">
        <v>11230</v>
      </c>
      <c r="C5495" s="196" t="s">
        <v>23864</v>
      </c>
      <c r="D5495" s="196" t="s">
        <v>23865</v>
      </c>
      <c r="E5495" s="196" t="s">
        <v>23866</v>
      </c>
      <c r="F5495" s="196" t="s">
        <v>14964</v>
      </c>
      <c r="G5495" s="196" t="s">
        <v>11720</v>
      </c>
      <c r="H5495" s="196" t="s">
        <v>11235</v>
      </c>
    </row>
    <row r="5496" spans="1:8" x14ac:dyDescent="0.15">
      <c r="A5496" s="196" t="s">
        <v>11229</v>
      </c>
      <c r="B5496" s="196" t="s">
        <v>11230</v>
      </c>
      <c r="C5496" s="196" t="s">
        <v>23867</v>
      </c>
      <c r="D5496" s="196" t="s">
        <v>23866</v>
      </c>
      <c r="E5496" s="196" t="s">
        <v>23866</v>
      </c>
      <c r="F5496" s="196" t="s">
        <v>11233</v>
      </c>
      <c r="G5496" s="196" t="s">
        <v>12378</v>
      </c>
      <c r="H5496" s="196" t="s">
        <v>11235</v>
      </c>
    </row>
    <row r="5497" spans="1:8" x14ac:dyDescent="0.15">
      <c r="A5497" s="196" t="s">
        <v>11229</v>
      </c>
      <c r="B5497" s="196" t="s">
        <v>11230</v>
      </c>
      <c r="C5497" s="196" t="s">
        <v>23868</v>
      </c>
      <c r="D5497" s="196" t="s">
        <v>23869</v>
      </c>
      <c r="E5497" s="196" t="s">
        <v>23870</v>
      </c>
      <c r="F5497" s="196" t="s">
        <v>13023</v>
      </c>
      <c r="G5497" s="196" t="s">
        <v>11720</v>
      </c>
      <c r="H5497" s="196" t="s">
        <v>11235</v>
      </c>
    </row>
    <row r="5498" spans="1:8" x14ac:dyDescent="0.15">
      <c r="A5498" s="196" t="s">
        <v>11229</v>
      </c>
      <c r="B5498" s="196" t="s">
        <v>11230</v>
      </c>
      <c r="C5498" s="196" t="s">
        <v>23871</v>
      </c>
      <c r="D5498" s="196" t="s">
        <v>23869</v>
      </c>
      <c r="E5498" s="196" t="s">
        <v>23869</v>
      </c>
      <c r="F5498" s="196" t="s">
        <v>11233</v>
      </c>
      <c r="G5498" s="196" t="s">
        <v>12378</v>
      </c>
      <c r="H5498" s="196" t="s">
        <v>11235</v>
      </c>
    </row>
    <row r="5499" spans="1:8" x14ac:dyDescent="0.15">
      <c r="A5499" s="196" t="s">
        <v>11229</v>
      </c>
      <c r="B5499" s="196" t="s">
        <v>11230</v>
      </c>
      <c r="C5499" s="196" t="s">
        <v>23872</v>
      </c>
      <c r="D5499" s="196" t="s">
        <v>23873</v>
      </c>
      <c r="E5499" s="196" t="s">
        <v>23870</v>
      </c>
      <c r="F5499" s="196" t="s">
        <v>11268</v>
      </c>
      <c r="G5499" s="196" t="s">
        <v>12378</v>
      </c>
      <c r="H5499" s="196" t="s">
        <v>11235</v>
      </c>
    </row>
    <row r="5500" spans="1:8" x14ac:dyDescent="0.15">
      <c r="A5500" s="196" t="s">
        <v>11229</v>
      </c>
      <c r="B5500" s="196" t="s">
        <v>11230</v>
      </c>
      <c r="C5500" s="196" t="s">
        <v>23874</v>
      </c>
      <c r="D5500" s="196" t="s">
        <v>23870</v>
      </c>
      <c r="E5500" s="196" t="s">
        <v>23875</v>
      </c>
      <c r="F5500" s="196" t="s">
        <v>12537</v>
      </c>
      <c r="G5500" s="196" t="s">
        <v>11720</v>
      </c>
      <c r="H5500" s="196" t="s">
        <v>11235</v>
      </c>
    </row>
    <row r="5501" spans="1:8" x14ac:dyDescent="0.15">
      <c r="A5501" s="196" t="s">
        <v>11229</v>
      </c>
      <c r="B5501" s="196" t="s">
        <v>11230</v>
      </c>
      <c r="C5501" s="196" t="s">
        <v>23876</v>
      </c>
      <c r="D5501" s="196" t="s">
        <v>23875</v>
      </c>
      <c r="E5501" s="196" t="s">
        <v>23877</v>
      </c>
      <c r="F5501" s="196" t="s">
        <v>13758</v>
      </c>
      <c r="G5501" s="196" t="s">
        <v>11720</v>
      </c>
      <c r="H5501" s="196" t="s">
        <v>11235</v>
      </c>
    </row>
    <row r="5502" spans="1:8" x14ac:dyDescent="0.15">
      <c r="A5502" s="196" t="s">
        <v>11229</v>
      </c>
      <c r="B5502" s="196" t="s">
        <v>11230</v>
      </c>
      <c r="C5502" s="196" t="s">
        <v>23878</v>
      </c>
      <c r="D5502" s="196" t="s">
        <v>23879</v>
      </c>
      <c r="E5502" s="196" t="s">
        <v>23880</v>
      </c>
      <c r="F5502" s="196" t="s">
        <v>13023</v>
      </c>
      <c r="G5502" s="196" t="s">
        <v>11720</v>
      </c>
      <c r="H5502" s="196" t="s">
        <v>11235</v>
      </c>
    </row>
    <row r="5503" spans="1:8" x14ac:dyDescent="0.15">
      <c r="A5503" s="196" t="s">
        <v>11229</v>
      </c>
      <c r="B5503" s="196" t="s">
        <v>11230</v>
      </c>
      <c r="C5503" s="196" t="s">
        <v>23881</v>
      </c>
      <c r="D5503" s="196" t="s">
        <v>23882</v>
      </c>
      <c r="E5503" s="196" t="s">
        <v>23883</v>
      </c>
      <c r="F5503" s="196" t="s">
        <v>12537</v>
      </c>
      <c r="G5503" s="196" t="s">
        <v>11720</v>
      </c>
      <c r="H5503" s="196" t="s">
        <v>11235</v>
      </c>
    </row>
    <row r="5504" spans="1:8" x14ac:dyDescent="0.15">
      <c r="A5504" s="196" t="s">
        <v>11229</v>
      </c>
      <c r="B5504" s="196" t="s">
        <v>11230</v>
      </c>
      <c r="C5504" s="196" t="s">
        <v>23884</v>
      </c>
      <c r="D5504" s="196" t="s">
        <v>23885</v>
      </c>
      <c r="E5504" s="196" t="s">
        <v>23886</v>
      </c>
      <c r="F5504" s="196" t="s">
        <v>13023</v>
      </c>
      <c r="G5504" s="196" t="s">
        <v>11720</v>
      </c>
      <c r="H5504" s="196" t="s">
        <v>11235</v>
      </c>
    </row>
    <row r="5505" spans="1:8" x14ac:dyDescent="0.15">
      <c r="A5505" s="196" t="s">
        <v>11229</v>
      </c>
      <c r="B5505" s="196" t="s">
        <v>11230</v>
      </c>
      <c r="C5505" s="196" t="s">
        <v>23887</v>
      </c>
      <c r="D5505" s="196" t="s">
        <v>23886</v>
      </c>
      <c r="E5505" s="196" t="s">
        <v>23886</v>
      </c>
      <c r="F5505" s="196" t="s">
        <v>11233</v>
      </c>
      <c r="G5505" s="196" t="s">
        <v>12378</v>
      </c>
      <c r="H5505" s="196" t="s">
        <v>11235</v>
      </c>
    </row>
    <row r="5506" spans="1:8" x14ac:dyDescent="0.15">
      <c r="A5506" s="196" t="s">
        <v>11229</v>
      </c>
      <c r="B5506" s="196" t="s">
        <v>11230</v>
      </c>
      <c r="C5506" s="196" t="s">
        <v>23888</v>
      </c>
      <c r="D5506" s="196" t="s">
        <v>23889</v>
      </c>
      <c r="E5506" s="196" t="s">
        <v>23890</v>
      </c>
      <c r="F5506" s="196" t="s">
        <v>13758</v>
      </c>
      <c r="G5506" s="196" t="s">
        <v>11720</v>
      </c>
      <c r="H5506" s="196" t="s">
        <v>11235</v>
      </c>
    </row>
    <row r="5507" spans="1:8" x14ac:dyDescent="0.15">
      <c r="A5507" s="196" t="s">
        <v>11229</v>
      </c>
      <c r="B5507" s="196" t="s">
        <v>11230</v>
      </c>
      <c r="C5507" s="196" t="s">
        <v>23891</v>
      </c>
      <c r="D5507" s="196" t="s">
        <v>23889</v>
      </c>
      <c r="E5507" s="196" t="s">
        <v>23889</v>
      </c>
      <c r="F5507" s="196" t="s">
        <v>11233</v>
      </c>
      <c r="G5507" s="196" t="s">
        <v>12378</v>
      </c>
      <c r="H5507" s="196" t="s">
        <v>11235</v>
      </c>
    </row>
    <row r="5508" spans="1:8" x14ac:dyDescent="0.15">
      <c r="A5508" s="196" t="s">
        <v>11229</v>
      </c>
      <c r="B5508" s="196" t="s">
        <v>11230</v>
      </c>
      <c r="C5508" s="196" t="s">
        <v>23892</v>
      </c>
      <c r="D5508" s="196" t="s">
        <v>23890</v>
      </c>
      <c r="E5508" s="196" t="s">
        <v>23893</v>
      </c>
      <c r="F5508" s="196" t="s">
        <v>13023</v>
      </c>
      <c r="G5508" s="196" t="s">
        <v>11720</v>
      </c>
      <c r="H5508" s="196" t="s">
        <v>11235</v>
      </c>
    </row>
    <row r="5509" spans="1:8" x14ac:dyDescent="0.15">
      <c r="A5509" s="196" t="s">
        <v>11229</v>
      </c>
      <c r="B5509" s="196" t="s">
        <v>11230</v>
      </c>
      <c r="C5509" s="196" t="s">
        <v>23894</v>
      </c>
      <c r="D5509" s="196" t="s">
        <v>23895</v>
      </c>
      <c r="E5509" s="196" t="s">
        <v>23896</v>
      </c>
      <c r="F5509" s="196" t="s">
        <v>13023</v>
      </c>
      <c r="G5509" s="196" t="s">
        <v>11720</v>
      </c>
      <c r="H5509" s="196" t="s">
        <v>11235</v>
      </c>
    </row>
    <row r="5510" spans="1:8" x14ac:dyDescent="0.15">
      <c r="A5510" s="196" t="s">
        <v>11229</v>
      </c>
      <c r="B5510" s="196" t="s">
        <v>11230</v>
      </c>
      <c r="C5510" s="196" t="s">
        <v>23897</v>
      </c>
      <c r="D5510" s="196" t="s">
        <v>23898</v>
      </c>
      <c r="E5510" s="196" t="s">
        <v>23899</v>
      </c>
      <c r="F5510" s="196" t="s">
        <v>11268</v>
      </c>
      <c r="G5510" s="196" t="s">
        <v>11720</v>
      </c>
      <c r="H5510" s="196" t="s">
        <v>11235</v>
      </c>
    </row>
    <row r="5511" spans="1:8" x14ac:dyDescent="0.15">
      <c r="A5511" s="196" t="s">
        <v>11229</v>
      </c>
      <c r="B5511" s="196" t="s">
        <v>11230</v>
      </c>
      <c r="C5511" s="196" t="s">
        <v>23900</v>
      </c>
      <c r="D5511" s="196" t="s">
        <v>23901</v>
      </c>
      <c r="E5511" s="196" t="s">
        <v>23902</v>
      </c>
      <c r="F5511" s="196" t="s">
        <v>13023</v>
      </c>
      <c r="G5511" s="196" t="s">
        <v>11720</v>
      </c>
      <c r="H5511" s="196" t="s">
        <v>11235</v>
      </c>
    </row>
    <row r="5512" spans="1:8" x14ac:dyDescent="0.15">
      <c r="A5512" s="196" t="s">
        <v>11229</v>
      </c>
      <c r="B5512" s="196" t="s">
        <v>11230</v>
      </c>
      <c r="C5512" s="196" t="s">
        <v>23903</v>
      </c>
      <c r="D5512" s="196" t="s">
        <v>23904</v>
      </c>
      <c r="E5512" s="196" t="s">
        <v>23905</v>
      </c>
      <c r="F5512" s="196" t="s">
        <v>13023</v>
      </c>
      <c r="G5512" s="196" t="s">
        <v>11720</v>
      </c>
      <c r="H5512" s="196" t="s">
        <v>11235</v>
      </c>
    </row>
    <row r="5513" spans="1:8" x14ac:dyDescent="0.15">
      <c r="A5513" s="196" t="s">
        <v>11229</v>
      </c>
      <c r="B5513" s="196" t="s">
        <v>11230</v>
      </c>
      <c r="C5513" s="196" t="s">
        <v>23906</v>
      </c>
      <c r="D5513" s="196" t="s">
        <v>23905</v>
      </c>
      <c r="E5513" s="196" t="s">
        <v>23905</v>
      </c>
      <c r="F5513" s="196" t="s">
        <v>11233</v>
      </c>
      <c r="G5513" s="196" t="s">
        <v>12378</v>
      </c>
      <c r="H5513" s="196" t="s">
        <v>11235</v>
      </c>
    </row>
    <row r="5514" spans="1:8" x14ac:dyDescent="0.15">
      <c r="A5514" s="196" t="s">
        <v>11229</v>
      </c>
      <c r="B5514" s="196" t="s">
        <v>11230</v>
      </c>
      <c r="C5514" s="196" t="s">
        <v>23907</v>
      </c>
      <c r="D5514" s="196" t="s">
        <v>23908</v>
      </c>
      <c r="E5514" s="196" t="s">
        <v>23909</v>
      </c>
      <c r="F5514" s="196" t="s">
        <v>13023</v>
      </c>
      <c r="G5514" s="196" t="s">
        <v>11720</v>
      </c>
      <c r="H5514" s="196" t="s">
        <v>11235</v>
      </c>
    </row>
    <row r="5515" spans="1:8" x14ac:dyDescent="0.15">
      <c r="A5515" s="196" t="s">
        <v>11229</v>
      </c>
      <c r="B5515" s="196" t="s">
        <v>11230</v>
      </c>
      <c r="C5515" s="196" t="s">
        <v>23910</v>
      </c>
      <c r="D5515" s="196" t="s">
        <v>23911</v>
      </c>
      <c r="E5515" s="196" t="s">
        <v>23912</v>
      </c>
      <c r="F5515" s="196" t="s">
        <v>13023</v>
      </c>
      <c r="G5515" s="196" t="s">
        <v>11720</v>
      </c>
      <c r="H5515" s="196" t="s">
        <v>11235</v>
      </c>
    </row>
    <row r="5516" spans="1:8" x14ac:dyDescent="0.15">
      <c r="A5516" s="196" t="s">
        <v>11229</v>
      </c>
      <c r="B5516" s="196" t="s">
        <v>11230</v>
      </c>
      <c r="C5516" s="196" t="s">
        <v>23913</v>
      </c>
      <c r="D5516" s="196" t="s">
        <v>23914</v>
      </c>
      <c r="E5516" s="196" t="s">
        <v>23915</v>
      </c>
      <c r="F5516" s="196" t="s">
        <v>11268</v>
      </c>
      <c r="G5516" s="196" t="s">
        <v>11720</v>
      </c>
      <c r="H5516" s="196" t="s">
        <v>11235</v>
      </c>
    </row>
    <row r="5517" spans="1:8" x14ac:dyDescent="0.15">
      <c r="A5517" s="196" t="s">
        <v>11229</v>
      </c>
      <c r="B5517" s="196" t="s">
        <v>11230</v>
      </c>
      <c r="C5517" s="196" t="s">
        <v>23916</v>
      </c>
      <c r="D5517" s="196" t="s">
        <v>23917</v>
      </c>
      <c r="E5517" s="196" t="s">
        <v>23918</v>
      </c>
      <c r="F5517" s="196" t="s">
        <v>13023</v>
      </c>
      <c r="G5517" s="196" t="s">
        <v>11720</v>
      </c>
      <c r="H5517" s="196" t="s">
        <v>11235</v>
      </c>
    </row>
    <row r="5518" spans="1:8" x14ac:dyDescent="0.15">
      <c r="A5518" s="196" t="s">
        <v>11229</v>
      </c>
      <c r="B5518" s="196" t="s">
        <v>11230</v>
      </c>
      <c r="C5518" s="196" t="s">
        <v>23919</v>
      </c>
      <c r="D5518" s="196" t="s">
        <v>23920</v>
      </c>
      <c r="E5518" s="196" t="s">
        <v>23920</v>
      </c>
      <c r="F5518" s="196" t="s">
        <v>11233</v>
      </c>
      <c r="G5518" s="196" t="s">
        <v>12378</v>
      </c>
      <c r="H5518" s="196" t="s">
        <v>11235</v>
      </c>
    </row>
    <row r="5519" spans="1:8" x14ac:dyDescent="0.15">
      <c r="A5519" s="196" t="s">
        <v>11229</v>
      </c>
      <c r="B5519" s="196" t="s">
        <v>11230</v>
      </c>
      <c r="C5519" s="196" t="s">
        <v>23921</v>
      </c>
      <c r="D5519" s="196" t="s">
        <v>23922</v>
      </c>
      <c r="E5519" s="196" t="s">
        <v>23922</v>
      </c>
      <c r="F5519" s="196" t="s">
        <v>11233</v>
      </c>
      <c r="G5519" s="196" t="s">
        <v>11720</v>
      </c>
      <c r="H5519" s="196" t="s">
        <v>11235</v>
      </c>
    </row>
    <row r="5520" spans="1:8" x14ac:dyDescent="0.15">
      <c r="A5520" s="196" t="s">
        <v>11229</v>
      </c>
      <c r="B5520" s="196" t="s">
        <v>11230</v>
      </c>
      <c r="C5520" s="196" t="s">
        <v>23923</v>
      </c>
      <c r="D5520" s="196" t="s">
        <v>23924</v>
      </c>
      <c r="E5520" s="196" t="s">
        <v>23924</v>
      </c>
      <c r="F5520" s="196" t="s">
        <v>11233</v>
      </c>
      <c r="G5520" s="196" t="s">
        <v>12378</v>
      </c>
      <c r="H5520" s="196" t="s">
        <v>11235</v>
      </c>
    </row>
    <row r="5521" spans="1:8" x14ac:dyDescent="0.15">
      <c r="A5521" s="196" t="s">
        <v>11229</v>
      </c>
      <c r="B5521" s="196" t="s">
        <v>11230</v>
      </c>
      <c r="C5521" s="196" t="s">
        <v>23925</v>
      </c>
      <c r="D5521" s="196" t="s">
        <v>23926</v>
      </c>
      <c r="E5521" s="196" t="s">
        <v>23926</v>
      </c>
      <c r="F5521" s="196" t="s">
        <v>11233</v>
      </c>
      <c r="G5521" s="196" t="s">
        <v>12378</v>
      </c>
      <c r="H5521" s="196" t="s">
        <v>11235</v>
      </c>
    </row>
    <row r="5522" spans="1:8" x14ac:dyDescent="0.15">
      <c r="A5522" s="196" t="s">
        <v>11229</v>
      </c>
      <c r="B5522" s="196" t="s">
        <v>11230</v>
      </c>
      <c r="C5522" s="196" t="s">
        <v>23927</v>
      </c>
      <c r="D5522" s="196" t="s">
        <v>23928</v>
      </c>
      <c r="E5522" s="196" t="s">
        <v>23929</v>
      </c>
      <c r="F5522" s="196" t="s">
        <v>23930</v>
      </c>
      <c r="G5522" s="196" t="s">
        <v>11720</v>
      </c>
      <c r="H5522" s="196" t="s">
        <v>11235</v>
      </c>
    </row>
    <row r="5523" spans="1:8" x14ac:dyDescent="0.15">
      <c r="A5523" s="196" t="s">
        <v>11229</v>
      </c>
      <c r="B5523" s="196" t="s">
        <v>11230</v>
      </c>
      <c r="C5523" s="196" t="s">
        <v>23931</v>
      </c>
      <c r="D5523" s="196" t="s">
        <v>23932</v>
      </c>
      <c r="E5523" s="196" t="s">
        <v>23933</v>
      </c>
      <c r="F5523" s="196" t="s">
        <v>23934</v>
      </c>
      <c r="G5523" s="196" t="s">
        <v>12378</v>
      </c>
      <c r="H5523" s="196" t="s">
        <v>11235</v>
      </c>
    </row>
    <row r="5524" spans="1:8" x14ac:dyDescent="0.15">
      <c r="A5524" s="196" t="s">
        <v>11229</v>
      </c>
      <c r="B5524" s="196" t="s">
        <v>11230</v>
      </c>
      <c r="C5524" s="196" t="s">
        <v>23935</v>
      </c>
      <c r="D5524" s="196" t="s">
        <v>23936</v>
      </c>
      <c r="E5524" s="196" t="s">
        <v>23937</v>
      </c>
      <c r="F5524" s="196" t="s">
        <v>23938</v>
      </c>
      <c r="G5524" s="196" t="s">
        <v>11720</v>
      </c>
      <c r="H5524" s="196" t="s">
        <v>11235</v>
      </c>
    </row>
    <row r="5525" spans="1:8" x14ac:dyDescent="0.15">
      <c r="A5525" s="196" t="s">
        <v>11229</v>
      </c>
      <c r="B5525" s="196" t="s">
        <v>11230</v>
      </c>
      <c r="C5525" s="196" t="s">
        <v>23939</v>
      </c>
      <c r="D5525" s="196" t="s">
        <v>23940</v>
      </c>
      <c r="E5525" s="196" t="s">
        <v>23941</v>
      </c>
      <c r="F5525" s="196" t="s">
        <v>23942</v>
      </c>
      <c r="G5525" s="196" t="s">
        <v>11720</v>
      </c>
      <c r="H5525" s="196" t="s">
        <v>11235</v>
      </c>
    </row>
    <row r="5526" spans="1:8" x14ac:dyDescent="0.15">
      <c r="A5526" s="196" t="s">
        <v>11229</v>
      </c>
      <c r="B5526" s="196" t="s">
        <v>11230</v>
      </c>
      <c r="C5526" s="196" t="s">
        <v>23943</v>
      </c>
      <c r="D5526" s="196" t="s">
        <v>23944</v>
      </c>
      <c r="E5526" s="196" t="s">
        <v>23945</v>
      </c>
      <c r="F5526" s="196" t="s">
        <v>14413</v>
      </c>
      <c r="G5526" s="196" t="s">
        <v>11720</v>
      </c>
      <c r="H5526" s="196" t="s">
        <v>11235</v>
      </c>
    </row>
    <row r="5527" spans="1:8" x14ac:dyDescent="0.15">
      <c r="A5527" s="196" t="s">
        <v>11229</v>
      </c>
      <c r="B5527" s="196" t="s">
        <v>11230</v>
      </c>
      <c r="C5527" s="196" t="s">
        <v>23946</v>
      </c>
      <c r="D5527" s="196" t="s">
        <v>23947</v>
      </c>
      <c r="E5527" s="196" t="s">
        <v>23948</v>
      </c>
      <c r="F5527" s="196" t="s">
        <v>16370</v>
      </c>
      <c r="G5527" s="196" t="s">
        <v>11720</v>
      </c>
      <c r="H5527" s="196" t="s">
        <v>11235</v>
      </c>
    </row>
    <row r="5528" spans="1:8" x14ac:dyDescent="0.15">
      <c r="A5528" s="196" t="s">
        <v>11229</v>
      </c>
      <c r="B5528" s="196" t="s">
        <v>11230</v>
      </c>
      <c r="C5528" s="196" t="s">
        <v>23949</v>
      </c>
      <c r="D5528" s="196" t="s">
        <v>23950</v>
      </c>
      <c r="E5528" s="196" t="s">
        <v>23951</v>
      </c>
      <c r="F5528" s="196" t="s">
        <v>23952</v>
      </c>
      <c r="G5528" s="196" t="s">
        <v>11720</v>
      </c>
      <c r="H5528" s="196" t="s">
        <v>11235</v>
      </c>
    </row>
    <row r="5529" spans="1:8" x14ac:dyDescent="0.15">
      <c r="A5529" s="196" t="s">
        <v>11229</v>
      </c>
      <c r="B5529" s="196" t="s">
        <v>11230</v>
      </c>
      <c r="C5529" s="196" t="s">
        <v>23953</v>
      </c>
      <c r="D5529" s="196" t="s">
        <v>23954</v>
      </c>
      <c r="E5529" s="196" t="s">
        <v>23955</v>
      </c>
      <c r="F5529" s="196" t="s">
        <v>23956</v>
      </c>
      <c r="G5529" s="196" t="s">
        <v>11720</v>
      </c>
      <c r="H5529" s="196" t="s">
        <v>11235</v>
      </c>
    </row>
    <row r="5530" spans="1:8" x14ac:dyDescent="0.15">
      <c r="A5530" s="196" t="s">
        <v>11229</v>
      </c>
      <c r="B5530" s="196" t="s">
        <v>11230</v>
      </c>
      <c r="C5530" s="196" t="s">
        <v>23957</v>
      </c>
      <c r="D5530" s="196" t="s">
        <v>23958</v>
      </c>
      <c r="E5530" s="196" t="s">
        <v>23959</v>
      </c>
      <c r="F5530" s="196" t="s">
        <v>23960</v>
      </c>
      <c r="G5530" s="196" t="s">
        <v>11720</v>
      </c>
      <c r="H5530" s="196" t="s">
        <v>11235</v>
      </c>
    </row>
    <row r="5531" spans="1:8" x14ac:dyDescent="0.15">
      <c r="A5531" s="196" t="s">
        <v>11229</v>
      </c>
      <c r="B5531" s="196" t="s">
        <v>11230</v>
      </c>
      <c r="C5531" s="196" t="s">
        <v>23961</v>
      </c>
      <c r="D5531" s="196" t="s">
        <v>23962</v>
      </c>
      <c r="E5531" s="196" t="s">
        <v>23963</v>
      </c>
      <c r="F5531" s="196" t="s">
        <v>23938</v>
      </c>
      <c r="G5531" s="196" t="s">
        <v>11720</v>
      </c>
      <c r="H5531" s="196" t="s">
        <v>11235</v>
      </c>
    </row>
    <row r="5532" spans="1:8" x14ac:dyDescent="0.15">
      <c r="A5532" s="196" t="s">
        <v>11229</v>
      </c>
      <c r="B5532" s="196" t="s">
        <v>11230</v>
      </c>
      <c r="C5532" s="196" t="s">
        <v>23964</v>
      </c>
      <c r="D5532" s="196" t="s">
        <v>23933</v>
      </c>
      <c r="E5532" s="196" t="s">
        <v>23965</v>
      </c>
      <c r="F5532" s="196" t="s">
        <v>23966</v>
      </c>
      <c r="G5532" s="196" t="s">
        <v>12378</v>
      </c>
      <c r="H5532" s="196" t="s">
        <v>11235</v>
      </c>
    </row>
    <row r="5533" spans="1:8" x14ac:dyDescent="0.15">
      <c r="A5533" s="196" t="s">
        <v>11229</v>
      </c>
      <c r="B5533" s="196" t="s">
        <v>11230</v>
      </c>
      <c r="C5533" s="196" t="s">
        <v>23967</v>
      </c>
      <c r="D5533" s="196" t="s">
        <v>23968</v>
      </c>
      <c r="E5533" s="196" t="s">
        <v>23969</v>
      </c>
      <c r="F5533" s="196" t="s">
        <v>14588</v>
      </c>
      <c r="G5533" s="196" t="s">
        <v>11720</v>
      </c>
      <c r="H5533" s="196" t="s">
        <v>11235</v>
      </c>
    </row>
    <row r="5534" spans="1:8" x14ac:dyDescent="0.15">
      <c r="A5534" s="196" t="s">
        <v>11229</v>
      </c>
      <c r="B5534" s="196" t="s">
        <v>11230</v>
      </c>
      <c r="C5534" s="196" t="s">
        <v>23970</v>
      </c>
      <c r="D5534" s="196" t="s">
        <v>23969</v>
      </c>
      <c r="E5534" s="196" t="s">
        <v>23971</v>
      </c>
      <c r="F5534" s="196" t="s">
        <v>23972</v>
      </c>
      <c r="G5534" s="196" t="s">
        <v>11720</v>
      </c>
      <c r="H5534" s="196" t="s">
        <v>11235</v>
      </c>
    </row>
    <row r="5535" spans="1:8" x14ac:dyDescent="0.15">
      <c r="A5535" s="196" t="s">
        <v>11229</v>
      </c>
      <c r="B5535" s="196" t="s">
        <v>11230</v>
      </c>
      <c r="C5535" s="196" t="s">
        <v>23973</v>
      </c>
      <c r="D5535" s="196" t="s">
        <v>23974</v>
      </c>
      <c r="E5535" s="196" t="s">
        <v>23975</v>
      </c>
      <c r="F5535" s="196" t="s">
        <v>14596</v>
      </c>
      <c r="G5535" s="196" t="s">
        <v>11720</v>
      </c>
      <c r="H5535" s="196" t="s">
        <v>11235</v>
      </c>
    </row>
    <row r="5536" spans="1:8" x14ac:dyDescent="0.15">
      <c r="A5536" s="196" t="s">
        <v>11229</v>
      </c>
      <c r="B5536" s="196" t="s">
        <v>11230</v>
      </c>
      <c r="C5536" s="196" t="s">
        <v>23976</v>
      </c>
      <c r="D5536" s="196" t="s">
        <v>23975</v>
      </c>
      <c r="E5536" s="196" t="s">
        <v>23977</v>
      </c>
      <c r="F5536" s="196" t="s">
        <v>12526</v>
      </c>
      <c r="G5536" s="196" t="s">
        <v>11720</v>
      </c>
      <c r="H5536" s="196" t="s">
        <v>11235</v>
      </c>
    </row>
    <row r="5537" spans="1:8" x14ac:dyDescent="0.15">
      <c r="A5537" s="196" t="s">
        <v>11229</v>
      </c>
      <c r="B5537" s="196" t="s">
        <v>11230</v>
      </c>
      <c r="C5537" s="196" t="s">
        <v>23978</v>
      </c>
      <c r="D5537" s="196" t="s">
        <v>23979</v>
      </c>
      <c r="E5537" s="196" t="s">
        <v>23980</v>
      </c>
      <c r="F5537" s="196" t="s">
        <v>13180</v>
      </c>
      <c r="G5537" s="196" t="s">
        <v>11720</v>
      </c>
      <c r="H5537" s="196" t="s">
        <v>11235</v>
      </c>
    </row>
    <row r="5538" spans="1:8" x14ac:dyDescent="0.15">
      <c r="A5538" s="196" t="s">
        <v>11229</v>
      </c>
      <c r="B5538" s="196" t="s">
        <v>11230</v>
      </c>
      <c r="C5538" s="196" t="s">
        <v>23981</v>
      </c>
      <c r="D5538" s="196" t="s">
        <v>23982</v>
      </c>
      <c r="E5538" s="196" t="s">
        <v>23983</v>
      </c>
      <c r="F5538" s="196" t="s">
        <v>15025</v>
      </c>
      <c r="G5538" s="196" t="s">
        <v>11720</v>
      </c>
      <c r="H5538" s="196" t="s">
        <v>11235</v>
      </c>
    </row>
    <row r="5539" spans="1:8" x14ac:dyDescent="0.15">
      <c r="A5539" s="196" t="s">
        <v>11229</v>
      </c>
      <c r="B5539" s="196" t="s">
        <v>11230</v>
      </c>
      <c r="C5539" s="196" t="s">
        <v>23984</v>
      </c>
      <c r="D5539" s="196" t="s">
        <v>23985</v>
      </c>
      <c r="E5539" s="196" t="s">
        <v>23986</v>
      </c>
      <c r="F5539" s="196" t="s">
        <v>23987</v>
      </c>
      <c r="G5539" s="196" t="s">
        <v>11720</v>
      </c>
      <c r="H5539" s="196" t="s">
        <v>11235</v>
      </c>
    </row>
    <row r="5540" spans="1:8" x14ac:dyDescent="0.15">
      <c r="A5540" s="196" t="s">
        <v>11229</v>
      </c>
      <c r="B5540" s="196" t="s">
        <v>11230</v>
      </c>
      <c r="C5540" s="196" t="s">
        <v>23988</v>
      </c>
      <c r="D5540" s="196" t="s">
        <v>23989</v>
      </c>
      <c r="E5540" s="196" t="s">
        <v>23990</v>
      </c>
      <c r="F5540" s="196" t="s">
        <v>23991</v>
      </c>
      <c r="G5540" s="196" t="s">
        <v>12378</v>
      </c>
      <c r="H5540" s="196" t="s">
        <v>11235</v>
      </c>
    </row>
    <row r="5541" spans="1:8" x14ac:dyDescent="0.15">
      <c r="A5541" s="196" t="s">
        <v>11229</v>
      </c>
      <c r="B5541" s="196" t="s">
        <v>11230</v>
      </c>
      <c r="C5541" s="196" t="s">
        <v>23992</v>
      </c>
      <c r="D5541" s="196" t="s">
        <v>23993</v>
      </c>
      <c r="E5541" s="196" t="s">
        <v>23994</v>
      </c>
      <c r="F5541" s="196" t="s">
        <v>23995</v>
      </c>
      <c r="G5541" s="196" t="s">
        <v>11720</v>
      </c>
      <c r="H5541" s="196" t="s">
        <v>11235</v>
      </c>
    </row>
    <row r="5542" spans="1:8" x14ac:dyDescent="0.15">
      <c r="A5542" s="196" t="s">
        <v>11229</v>
      </c>
      <c r="B5542" s="196" t="s">
        <v>11230</v>
      </c>
      <c r="C5542" s="196" t="s">
        <v>23996</v>
      </c>
      <c r="D5542" s="196" t="s">
        <v>23997</v>
      </c>
      <c r="E5542" s="196" t="s">
        <v>23998</v>
      </c>
      <c r="F5542" s="196" t="s">
        <v>13412</v>
      </c>
      <c r="G5542" s="196" t="s">
        <v>11720</v>
      </c>
      <c r="H5542" s="196" t="s">
        <v>11235</v>
      </c>
    </row>
    <row r="5543" spans="1:8" x14ac:dyDescent="0.15">
      <c r="A5543" s="196" t="s">
        <v>11229</v>
      </c>
      <c r="B5543" s="196" t="s">
        <v>11230</v>
      </c>
      <c r="C5543" s="196" t="s">
        <v>23999</v>
      </c>
      <c r="D5543" s="196" t="s">
        <v>24000</v>
      </c>
      <c r="E5543" s="196" t="s">
        <v>24001</v>
      </c>
      <c r="F5543" s="196" t="s">
        <v>13412</v>
      </c>
      <c r="G5543" s="196" t="s">
        <v>11720</v>
      </c>
      <c r="H5543" s="196" t="s">
        <v>11235</v>
      </c>
    </row>
    <row r="5544" spans="1:8" x14ac:dyDescent="0.15">
      <c r="A5544" s="196" t="s">
        <v>11229</v>
      </c>
      <c r="B5544" s="196" t="s">
        <v>11230</v>
      </c>
      <c r="C5544" s="196" t="s">
        <v>24002</v>
      </c>
      <c r="D5544" s="196" t="s">
        <v>24001</v>
      </c>
      <c r="E5544" s="196" t="s">
        <v>24003</v>
      </c>
      <c r="F5544" s="196" t="s">
        <v>24004</v>
      </c>
      <c r="G5544" s="196" t="s">
        <v>11720</v>
      </c>
      <c r="H5544" s="196" t="s">
        <v>11235</v>
      </c>
    </row>
    <row r="5545" spans="1:8" x14ac:dyDescent="0.15">
      <c r="A5545" s="196" t="s">
        <v>11229</v>
      </c>
      <c r="B5545" s="196" t="s">
        <v>11230</v>
      </c>
      <c r="C5545" s="196" t="s">
        <v>24005</v>
      </c>
      <c r="D5545" s="196" t="s">
        <v>24006</v>
      </c>
      <c r="E5545" s="196" t="s">
        <v>24007</v>
      </c>
      <c r="F5545" s="196" t="s">
        <v>24008</v>
      </c>
      <c r="G5545" s="196" t="s">
        <v>12378</v>
      </c>
      <c r="H5545" s="196" t="s">
        <v>11235</v>
      </c>
    </row>
    <row r="5546" spans="1:8" x14ac:dyDescent="0.15">
      <c r="A5546" s="196" t="s">
        <v>11229</v>
      </c>
      <c r="B5546" s="196" t="s">
        <v>11230</v>
      </c>
      <c r="C5546" s="196" t="s">
        <v>24009</v>
      </c>
      <c r="D5546" s="196" t="s">
        <v>24010</v>
      </c>
      <c r="E5546" s="196" t="s">
        <v>24011</v>
      </c>
      <c r="F5546" s="196" t="s">
        <v>24012</v>
      </c>
      <c r="G5546" s="196" t="s">
        <v>11720</v>
      </c>
      <c r="H5546" s="196" t="s">
        <v>11235</v>
      </c>
    </row>
    <row r="5547" spans="1:8" x14ac:dyDescent="0.15">
      <c r="A5547" s="196" t="s">
        <v>11229</v>
      </c>
      <c r="B5547" s="196" t="s">
        <v>11230</v>
      </c>
      <c r="C5547" s="196" t="s">
        <v>24013</v>
      </c>
      <c r="D5547" s="196" t="s">
        <v>24014</v>
      </c>
      <c r="E5547" s="196" t="s">
        <v>24015</v>
      </c>
      <c r="F5547" s="196" t="s">
        <v>13103</v>
      </c>
      <c r="G5547" s="196" t="s">
        <v>11720</v>
      </c>
      <c r="H5547" s="196" t="s">
        <v>11235</v>
      </c>
    </row>
    <row r="5548" spans="1:8" x14ac:dyDescent="0.15">
      <c r="A5548" s="196" t="s">
        <v>11229</v>
      </c>
      <c r="B5548" s="196" t="s">
        <v>11230</v>
      </c>
      <c r="C5548" s="196" t="s">
        <v>24016</v>
      </c>
      <c r="D5548" s="196" t="s">
        <v>24017</v>
      </c>
      <c r="E5548" s="196" t="s">
        <v>24018</v>
      </c>
      <c r="F5548" s="196" t="s">
        <v>24019</v>
      </c>
      <c r="G5548" s="196" t="s">
        <v>11720</v>
      </c>
      <c r="H5548" s="196" t="s">
        <v>11235</v>
      </c>
    </row>
    <row r="5549" spans="1:8" x14ac:dyDescent="0.15">
      <c r="A5549" s="196" t="s">
        <v>11229</v>
      </c>
      <c r="B5549" s="196" t="s">
        <v>11230</v>
      </c>
      <c r="C5549" s="196" t="s">
        <v>24020</v>
      </c>
      <c r="D5549" s="196" t="s">
        <v>24021</v>
      </c>
      <c r="E5549" s="196" t="s">
        <v>24022</v>
      </c>
      <c r="F5549" s="196" t="s">
        <v>24023</v>
      </c>
      <c r="G5549" s="196" t="s">
        <v>11720</v>
      </c>
      <c r="H5549" s="196" t="s">
        <v>11235</v>
      </c>
    </row>
    <row r="5550" spans="1:8" x14ac:dyDescent="0.15">
      <c r="A5550" s="196" t="s">
        <v>11229</v>
      </c>
      <c r="B5550" s="196" t="s">
        <v>11230</v>
      </c>
      <c r="C5550" s="196" t="s">
        <v>24024</v>
      </c>
      <c r="D5550" s="196" t="s">
        <v>24025</v>
      </c>
      <c r="E5550" s="196" t="s">
        <v>24026</v>
      </c>
      <c r="F5550" s="196" t="s">
        <v>15025</v>
      </c>
      <c r="G5550" s="196" t="s">
        <v>11720</v>
      </c>
      <c r="H5550" s="196" t="s">
        <v>11235</v>
      </c>
    </row>
    <row r="5551" spans="1:8" x14ac:dyDescent="0.15">
      <c r="A5551" s="196" t="s">
        <v>11229</v>
      </c>
      <c r="B5551" s="196" t="s">
        <v>11230</v>
      </c>
      <c r="C5551" s="196" t="s">
        <v>24027</v>
      </c>
      <c r="D5551" s="196" t="s">
        <v>24028</v>
      </c>
      <c r="E5551" s="196" t="s">
        <v>24029</v>
      </c>
      <c r="F5551" s="196" t="s">
        <v>12544</v>
      </c>
      <c r="G5551" s="196" t="s">
        <v>11720</v>
      </c>
      <c r="H5551" s="196" t="s">
        <v>11235</v>
      </c>
    </row>
    <row r="5552" spans="1:8" x14ac:dyDescent="0.15">
      <c r="A5552" s="196" t="s">
        <v>11229</v>
      </c>
      <c r="B5552" s="196" t="s">
        <v>11230</v>
      </c>
      <c r="C5552" s="196" t="s">
        <v>24030</v>
      </c>
      <c r="D5552" s="196" t="s">
        <v>24031</v>
      </c>
      <c r="E5552" s="196" t="s">
        <v>24032</v>
      </c>
      <c r="F5552" s="196" t="s">
        <v>24033</v>
      </c>
      <c r="G5552" s="196" t="s">
        <v>12378</v>
      </c>
      <c r="H5552" s="196" t="s">
        <v>11235</v>
      </c>
    </row>
    <row r="5553" spans="1:8" x14ac:dyDescent="0.15">
      <c r="A5553" s="196" t="s">
        <v>11229</v>
      </c>
      <c r="B5553" s="196" t="s">
        <v>11230</v>
      </c>
      <c r="C5553" s="196" t="s">
        <v>24034</v>
      </c>
      <c r="D5553" s="196" t="s">
        <v>24035</v>
      </c>
      <c r="E5553" s="196" t="s">
        <v>24036</v>
      </c>
      <c r="F5553" s="196" t="s">
        <v>14417</v>
      </c>
      <c r="G5553" s="196" t="s">
        <v>11720</v>
      </c>
      <c r="H5553" s="196" t="s">
        <v>11235</v>
      </c>
    </row>
    <row r="5554" spans="1:8" x14ac:dyDescent="0.15">
      <c r="A5554" s="196" t="s">
        <v>11229</v>
      </c>
      <c r="B5554" s="196" t="s">
        <v>11230</v>
      </c>
      <c r="C5554" s="196" t="s">
        <v>24037</v>
      </c>
      <c r="D5554" s="196" t="s">
        <v>24038</v>
      </c>
      <c r="E5554" s="196" t="s">
        <v>24039</v>
      </c>
      <c r="F5554" s="196" t="s">
        <v>24040</v>
      </c>
      <c r="G5554" s="196" t="s">
        <v>11720</v>
      </c>
      <c r="H5554" s="196" t="s">
        <v>11235</v>
      </c>
    </row>
    <row r="5555" spans="1:8" x14ac:dyDescent="0.15">
      <c r="A5555" s="196" t="s">
        <v>11229</v>
      </c>
      <c r="B5555" s="196" t="s">
        <v>11230</v>
      </c>
      <c r="C5555" s="196" t="s">
        <v>24041</v>
      </c>
      <c r="D5555" s="196" t="s">
        <v>24042</v>
      </c>
      <c r="E5555" s="196" t="s">
        <v>24042</v>
      </c>
      <c r="F5555" s="196" t="s">
        <v>11233</v>
      </c>
      <c r="G5555" s="196" t="s">
        <v>11720</v>
      </c>
      <c r="H5555" s="196" t="s">
        <v>11235</v>
      </c>
    </row>
    <row r="5556" spans="1:8" x14ac:dyDescent="0.15">
      <c r="A5556" s="196" t="s">
        <v>11229</v>
      </c>
      <c r="B5556" s="196" t="s">
        <v>11230</v>
      </c>
      <c r="C5556" s="196" t="s">
        <v>24043</v>
      </c>
      <c r="D5556" s="196" t="s">
        <v>24044</v>
      </c>
      <c r="E5556" s="196" t="s">
        <v>24045</v>
      </c>
      <c r="F5556" s="196" t="s">
        <v>13023</v>
      </c>
      <c r="G5556" s="196" t="s">
        <v>11720</v>
      </c>
      <c r="H5556" s="196" t="s">
        <v>11235</v>
      </c>
    </row>
    <row r="5557" spans="1:8" x14ac:dyDescent="0.15">
      <c r="A5557" s="196" t="s">
        <v>11229</v>
      </c>
      <c r="B5557" s="196" t="s">
        <v>11230</v>
      </c>
      <c r="C5557" s="196" t="s">
        <v>24046</v>
      </c>
      <c r="D5557" s="196" t="s">
        <v>24047</v>
      </c>
      <c r="E5557" s="196" t="s">
        <v>24048</v>
      </c>
      <c r="F5557" s="196" t="s">
        <v>11241</v>
      </c>
      <c r="G5557" s="196" t="s">
        <v>11720</v>
      </c>
      <c r="H5557" s="196" t="s">
        <v>11235</v>
      </c>
    </row>
    <row r="5558" spans="1:8" x14ac:dyDescent="0.15">
      <c r="A5558" s="196" t="s">
        <v>11229</v>
      </c>
      <c r="B5558" s="196" t="s">
        <v>11230</v>
      </c>
      <c r="C5558" s="196" t="s">
        <v>24049</v>
      </c>
      <c r="D5558" s="196" t="s">
        <v>24050</v>
      </c>
      <c r="E5558" s="196" t="s">
        <v>24051</v>
      </c>
      <c r="F5558" s="196" t="s">
        <v>24052</v>
      </c>
      <c r="G5558" s="196" t="s">
        <v>12378</v>
      </c>
      <c r="H5558" s="196" t="s">
        <v>11235</v>
      </c>
    </row>
    <row r="5559" spans="1:8" x14ac:dyDescent="0.15">
      <c r="A5559" s="196" t="s">
        <v>11229</v>
      </c>
      <c r="B5559" s="196" t="s">
        <v>11230</v>
      </c>
      <c r="C5559" s="196" t="s">
        <v>24053</v>
      </c>
      <c r="D5559" s="196" t="s">
        <v>24054</v>
      </c>
      <c r="E5559" s="196" t="s">
        <v>24055</v>
      </c>
      <c r="F5559" s="196" t="s">
        <v>13023</v>
      </c>
      <c r="G5559" s="196" t="s">
        <v>11720</v>
      </c>
      <c r="H5559" s="196" t="s">
        <v>11235</v>
      </c>
    </row>
    <row r="5560" spans="1:8" x14ac:dyDescent="0.15">
      <c r="A5560" s="196" t="s">
        <v>11229</v>
      </c>
      <c r="B5560" s="196" t="s">
        <v>11230</v>
      </c>
      <c r="C5560" s="196" t="s">
        <v>24056</v>
      </c>
      <c r="D5560" s="196" t="s">
        <v>24057</v>
      </c>
      <c r="E5560" s="196" t="s">
        <v>24057</v>
      </c>
      <c r="F5560" s="196" t="s">
        <v>11233</v>
      </c>
      <c r="G5560" s="196" t="s">
        <v>11720</v>
      </c>
      <c r="H5560" s="196" t="s">
        <v>11235</v>
      </c>
    </row>
    <row r="5561" spans="1:8" x14ac:dyDescent="0.15">
      <c r="A5561" s="196" t="s">
        <v>11229</v>
      </c>
      <c r="B5561" s="196" t="s">
        <v>11230</v>
      </c>
      <c r="C5561" s="196" t="s">
        <v>24058</v>
      </c>
      <c r="D5561" s="196" t="s">
        <v>24059</v>
      </c>
      <c r="E5561" s="196" t="s">
        <v>24059</v>
      </c>
      <c r="F5561" s="196" t="s">
        <v>11233</v>
      </c>
      <c r="G5561" s="196" t="s">
        <v>11720</v>
      </c>
      <c r="H5561" s="196" t="s">
        <v>11235</v>
      </c>
    </row>
    <row r="5562" spans="1:8" x14ac:dyDescent="0.15">
      <c r="A5562" s="196" t="s">
        <v>11229</v>
      </c>
      <c r="B5562" s="196" t="s">
        <v>11230</v>
      </c>
      <c r="C5562" s="196" t="s">
        <v>24060</v>
      </c>
      <c r="D5562" s="196" t="s">
        <v>24061</v>
      </c>
      <c r="E5562" s="196" t="s">
        <v>24061</v>
      </c>
      <c r="F5562" s="196" t="s">
        <v>11233</v>
      </c>
      <c r="G5562" s="196" t="s">
        <v>11720</v>
      </c>
      <c r="H5562" s="196" t="s">
        <v>11235</v>
      </c>
    </row>
    <row r="5563" spans="1:8" x14ac:dyDescent="0.15">
      <c r="A5563" s="196" t="s">
        <v>11229</v>
      </c>
      <c r="B5563" s="196" t="s">
        <v>11230</v>
      </c>
      <c r="C5563" s="196" t="s">
        <v>24062</v>
      </c>
      <c r="D5563" s="196" t="s">
        <v>24063</v>
      </c>
      <c r="E5563" s="196" t="s">
        <v>24064</v>
      </c>
      <c r="F5563" s="196" t="s">
        <v>15880</v>
      </c>
      <c r="G5563" s="196" t="s">
        <v>11720</v>
      </c>
      <c r="H5563" s="196" t="s">
        <v>11235</v>
      </c>
    </row>
    <row r="5564" spans="1:8" x14ac:dyDescent="0.15">
      <c r="A5564" s="196" t="s">
        <v>11229</v>
      </c>
      <c r="B5564" s="196" t="s">
        <v>11230</v>
      </c>
      <c r="C5564" s="196" t="s">
        <v>24065</v>
      </c>
      <c r="D5564" s="196" t="s">
        <v>24066</v>
      </c>
      <c r="E5564" s="196" t="s">
        <v>24066</v>
      </c>
      <c r="F5564" s="196" t="s">
        <v>11233</v>
      </c>
      <c r="G5564" s="196" t="s">
        <v>11720</v>
      </c>
      <c r="H5564" s="196" t="s">
        <v>11235</v>
      </c>
    </row>
    <row r="5565" spans="1:8" x14ac:dyDescent="0.15">
      <c r="A5565" s="196" t="s">
        <v>11229</v>
      </c>
      <c r="B5565" s="196" t="s">
        <v>11230</v>
      </c>
      <c r="C5565" s="196" t="s">
        <v>24067</v>
      </c>
      <c r="D5565" s="196" t="s">
        <v>24068</v>
      </c>
      <c r="E5565" s="196" t="s">
        <v>24068</v>
      </c>
      <c r="F5565" s="196" t="s">
        <v>11233</v>
      </c>
      <c r="G5565" s="196" t="s">
        <v>11720</v>
      </c>
      <c r="H5565" s="196" t="s">
        <v>11235</v>
      </c>
    </row>
    <row r="5566" spans="1:8" x14ac:dyDescent="0.15">
      <c r="A5566" s="196" t="s">
        <v>11229</v>
      </c>
      <c r="B5566" s="196" t="s">
        <v>11230</v>
      </c>
      <c r="C5566" s="196" t="s">
        <v>24069</v>
      </c>
      <c r="D5566" s="196" t="s">
        <v>24070</v>
      </c>
      <c r="E5566" s="196" t="s">
        <v>24070</v>
      </c>
      <c r="F5566" s="196" t="s">
        <v>11233</v>
      </c>
      <c r="G5566" s="196" t="s">
        <v>11720</v>
      </c>
      <c r="H5566" s="196" t="s">
        <v>11235</v>
      </c>
    </row>
    <row r="5567" spans="1:8" x14ac:dyDescent="0.15">
      <c r="A5567" s="196" t="s">
        <v>11229</v>
      </c>
      <c r="B5567" s="196" t="s">
        <v>11230</v>
      </c>
      <c r="C5567" s="196" t="s">
        <v>24071</v>
      </c>
      <c r="D5567" s="196" t="s">
        <v>24072</v>
      </c>
      <c r="E5567" s="196" t="s">
        <v>24072</v>
      </c>
      <c r="F5567" s="196" t="s">
        <v>11233</v>
      </c>
      <c r="G5567" s="196" t="s">
        <v>11720</v>
      </c>
      <c r="H5567" s="196" t="s">
        <v>11235</v>
      </c>
    </row>
    <row r="5568" spans="1:8" x14ac:dyDescent="0.15">
      <c r="A5568" s="196" t="s">
        <v>11229</v>
      </c>
      <c r="B5568" s="196" t="s">
        <v>11230</v>
      </c>
      <c r="C5568" s="196" t="s">
        <v>24073</v>
      </c>
      <c r="D5568" s="196" t="s">
        <v>24074</v>
      </c>
      <c r="E5568" s="196" t="s">
        <v>24074</v>
      </c>
      <c r="F5568" s="196" t="s">
        <v>11233</v>
      </c>
      <c r="G5568" s="196" t="s">
        <v>11720</v>
      </c>
      <c r="H5568" s="196" t="s">
        <v>11235</v>
      </c>
    </row>
    <row r="5569" spans="1:8" x14ac:dyDescent="0.15">
      <c r="A5569" s="196" t="s">
        <v>11229</v>
      </c>
      <c r="B5569" s="196" t="s">
        <v>11230</v>
      </c>
      <c r="C5569" s="196" t="s">
        <v>24075</v>
      </c>
      <c r="D5569" s="196" t="s">
        <v>24076</v>
      </c>
      <c r="E5569" s="196" t="s">
        <v>24077</v>
      </c>
      <c r="F5569" s="196" t="s">
        <v>11241</v>
      </c>
      <c r="G5569" s="196" t="s">
        <v>11720</v>
      </c>
      <c r="H5569" s="196" t="s">
        <v>11235</v>
      </c>
    </row>
    <row r="5570" spans="1:8" x14ac:dyDescent="0.15">
      <c r="A5570" s="196" t="s">
        <v>11229</v>
      </c>
      <c r="B5570" s="196" t="s">
        <v>11230</v>
      </c>
      <c r="C5570" s="196" t="s">
        <v>24078</v>
      </c>
      <c r="D5570" s="196" t="s">
        <v>24051</v>
      </c>
      <c r="E5570" s="196" t="s">
        <v>24079</v>
      </c>
      <c r="F5570" s="196" t="s">
        <v>11268</v>
      </c>
      <c r="G5570" s="196" t="s">
        <v>11720</v>
      </c>
      <c r="H5570" s="196" t="s">
        <v>11235</v>
      </c>
    </row>
    <row r="5571" spans="1:8" x14ac:dyDescent="0.15">
      <c r="A5571" s="196" t="s">
        <v>11229</v>
      </c>
      <c r="B5571" s="196" t="s">
        <v>11230</v>
      </c>
      <c r="C5571" s="196" t="s">
        <v>24080</v>
      </c>
      <c r="D5571" s="196" t="s">
        <v>24051</v>
      </c>
      <c r="E5571" s="196" t="s">
        <v>24051</v>
      </c>
      <c r="F5571" s="196" t="s">
        <v>11233</v>
      </c>
      <c r="G5571" s="196" t="s">
        <v>11720</v>
      </c>
      <c r="H5571" s="196" t="s">
        <v>11235</v>
      </c>
    </row>
    <row r="5572" spans="1:8" x14ac:dyDescent="0.15">
      <c r="A5572" s="196" t="s">
        <v>11229</v>
      </c>
      <c r="B5572" s="196" t="s">
        <v>11230</v>
      </c>
      <c r="C5572" s="196" t="s">
        <v>24081</v>
      </c>
      <c r="D5572" s="196" t="s">
        <v>24082</v>
      </c>
      <c r="E5572" s="196" t="s">
        <v>24083</v>
      </c>
      <c r="F5572" s="196" t="s">
        <v>13023</v>
      </c>
      <c r="G5572" s="196" t="s">
        <v>12378</v>
      </c>
      <c r="H5572" s="196" t="s">
        <v>11235</v>
      </c>
    </row>
    <row r="5573" spans="1:8" x14ac:dyDescent="0.15">
      <c r="A5573" s="196" t="s">
        <v>11229</v>
      </c>
      <c r="B5573" s="196" t="s">
        <v>11230</v>
      </c>
      <c r="C5573" s="196" t="s">
        <v>24084</v>
      </c>
      <c r="D5573" s="196" t="s">
        <v>24083</v>
      </c>
      <c r="E5573" s="196" t="s">
        <v>24085</v>
      </c>
      <c r="F5573" s="196" t="s">
        <v>11241</v>
      </c>
      <c r="G5573" s="196" t="s">
        <v>12378</v>
      </c>
      <c r="H5573" s="196" t="s">
        <v>11235</v>
      </c>
    </row>
    <row r="5574" spans="1:8" x14ac:dyDescent="0.15">
      <c r="A5574" s="196" t="s">
        <v>11229</v>
      </c>
      <c r="B5574" s="196" t="s">
        <v>11230</v>
      </c>
      <c r="C5574" s="196" t="s">
        <v>24086</v>
      </c>
      <c r="D5574" s="196" t="s">
        <v>24083</v>
      </c>
      <c r="E5574" s="196" t="s">
        <v>24085</v>
      </c>
      <c r="F5574" s="196" t="s">
        <v>11241</v>
      </c>
      <c r="G5574" s="196" t="s">
        <v>11720</v>
      </c>
      <c r="H5574" s="196" t="s">
        <v>11235</v>
      </c>
    </row>
    <row r="5575" spans="1:8" x14ac:dyDescent="0.15">
      <c r="A5575" s="196" t="s">
        <v>11229</v>
      </c>
      <c r="B5575" s="196" t="s">
        <v>11230</v>
      </c>
      <c r="C5575" s="196" t="s">
        <v>24087</v>
      </c>
      <c r="D5575" s="196" t="s">
        <v>24085</v>
      </c>
      <c r="E5575" s="196" t="s">
        <v>24088</v>
      </c>
      <c r="F5575" s="196" t="s">
        <v>11241</v>
      </c>
      <c r="G5575" s="196" t="s">
        <v>12378</v>
      </c>
      <c r="H5575" s="196" t="s">
        <v>11235</v>
      </c>
    </row>
    <row r="5576" spans="1:8" x14ac:dyDescent="0.15">
      <c r="A5576" s="196" t="s">
        <v>11229</v>
      </c>
      <c r="B5576" s="196" t="s">
        <v>11230</v>
      </c>
      <c r="C5576" s="196" t="s">
        <v>24089</v>
      </c>
      <c r="D5576" s="196" t="s">
        <v>24085</v>
      </c>
      <c r="E5576" s="196" t="s">
        <v>24090</v>
      </c>
      <c r="F5576" s="196" t="s">
        <v>13023</v>
      </c>
      <c r="G5576" s="196" t="s">
        <v>11720</v>
      </c>
      <c r="H5576" s="196" t="s">
        <v>11235</v>
      </c>
    </row>
    <row r="5577" spans="1:8" x14ac:dyDescent="0.15">
      <c r="A5577" s="196" t="s">
        <v>11229</v>
      </c>
      <c r="B5577" s="196" t="s">
        <v>11230</v>
      </c>
      <c r="C5577" s="196" t="s">
        <v>24091</v>
      </c>
      <c r="D5577" s="196" t="s">
        <v>24090</v>
      </c>
      <c r="E5577" s="196" t="s">
        <v>24092</v>
      </c>
      <c r="F5577" s="196" t="s">
        <v>11241</v>
      </c>
      <c r="G5577" s="196" t="s">
        <v>11720</v>
      </c>
      <c r="H5577" s="196" t="s">
        <v>11235</v>
      </c>
    </row>
    <row r="5578" spans="1:8" x14ac:dyDescent="0.15">
      <c r="A5578" s="196" t="s">
        <v>11229</v>
      </c>
      <c r="B5578" s="196" t="s">
        <v>11230</v>
      </c>
      <c r="C5578" s="196" t="s">
        <v>24093</v>
      </c>
      <c r="D5578" s="196" t="s">
        <v>24092</v>
      </c>
      <c r="E5578" s="196" t="s">
        <v>24094</v>
      </c>
      <c r="F5578" s="196" t="s">
        <v>11241</v>
      </c>
      <c r="G5578" s="196" t="s">
        <v>11720</v>
      </c>
      <c r="H5578" s="196" t="s">
        <v>11235</v>
      </c>
    </row>
    <row r="5579" spans="1:8" x14ac:dyDescent="0.15">
      <c r="A5579" s="196" t="s">
        <v>11229</v>
      </c>
      <c r="B5579" s="196" t="s">
        <v>11230</v>
      </c>
      <c r="C5579" s="196" t="s">
        <v>24095</v>
      </c>
      <c r="D5579" s="196" t="s">
        <v>24094</v>
      </c>
      <c r="E5579" s="196" t="s">
        <v>24096</v>
      </c>
      <c r="F5579" s="196" t="s">
        <v>11268</v>
      </c>
      <c r="G5579" s="196" t="s">
        <v>11720</v>
      </c>
      <c r="H5579" s="196" t="s">
        <v>11235</v>
      </c>
    </row>
    <row r="5580" spans="1:8" x14ac:dyDescent="0.15">
      <c r="A5580" s="196" t="s">
        <v>11229</v>
      </c>
      <c r="B5580" s="196" t="s">
        <v>11230</v>
      </c>
      <c r="C5580" s="196" t="s">
        <v>24097</v>
      </c>
      <c r="D5580" s="196" t="s">
        <v>24098</v>
      </c>
      <c r="E5580" s="196" t="s">
        <v>24099</v>
      </c>
      <c r="F5580" s="196" t="s">
        <v>13023</v>
      </c>
      <c r="G5580" s="196" t="s">
        <v>11720</v>
      </c>
      <c r="H5580" s="196" t="s">
        <v>11235</v>
      </c>
    </row>
    <row r="5581" spans="1:8" x14ac:dyDescent="0.15">
      <c r="A5581" s="196" t="s">
        <v>11229</v>
      </c>
      <c r="B5581" s="196" t="s">
        <v>11230</v>
      </c>
      <c r="C5581" s="196" t="s">
        <v>24100</v>
      </c>
      <c r="D5581" s="196" t="s">
        <v>24101</v>
      </c>
      <c r="E5581" s="196" t="s">
        <v>24101</v>
      </c>
      <c r="F5581" s="196" t="s">
        <v>11233</v>
      </c>
      <c r="G5581" s="196" t="s">
        <v>12378</v>
      </c>
      <c r="H5581" s="196" t="s">
        <v>11235</v>
      </c>
    </row>
    <row r="5582" spans="1:8" x14ac:dyDescent="0.15">
      <c r="A5582" s="196" t="s">
        <v>11229</v>
      </c>
      <c r="B5582" s="196" t="s">
        <v>11230</v>
      </c>
      <c r="C5582" s="196" t="s">
        <v>24102</v>
      </c>
      <c r="D5582" s="196" t="s">
        <v>24103</v>
      </c>
      <c r="E5582" s="196" t="s">
        <v>24104</v>
      </c>
      <c r="F5582" s="196" t="s">
        <v>13023</v>
      </c>
      <c r="G5582" s="196" t="s">
        <v>12378</v>
      </c>
      <c r="H5582" s="196" t="s">
        <v>11235</v>
      </c>
    </row>
    <row r="5583" spans="1:8" x14ac:dyDescent="0.15">
      <c r="A5583" s="196" t="s">
        <v>11229</v>
      </c>
      <c r="B5583" s="196" t="s">
        <v>11230</v>
      </c>
      <c r="C5583" s="196" t="s">
        <v>24105</v>
      </c>
      <c r="D5583" s="196" t="s">
        <v>24106</v>
      </c>
      <c r="E5583" s="196" t="s">
        <v>24107</v>
      </c>
      <c r="F5583" s="196" t="s">
        <v>24108</v>
      </c>
      <c r="G5583" s="196" t="s">
        <v>11720</v>
      </c>
      <c r="H5583" s="196" t="s">
        <v>11235</v>
      </c>
    </row>
    <row r="5584" spans="1:8" x14ac:dyDescent="0.15">
      <c r="A5584" s="196" t="s">
        <v>11229</v>
      </c>
      <c r="B5584" s="196" t="s">
        <v>11230</v>
      </c>
      <c r="C5584" s="196" t="s">
        <v>24109</v>
      </c>
      <c r="D5584" s="196" t="s">
        <v>24110</v>
      </c>
      <c r="E5584" s="196" t="s">
        <v>24110</v>
      </c>
      <c r="F5584" s="196" t="s">
        <v>11233</v>
      </c>
      <c r="G5584" s="196" t="s">
        <v>12378</v>
      </c>
      <c r="H5584" s="196" t="s">
        <v>11235</v>
      </c>
    </row>
    <row r="5585" spans="1:8" x14ac:dyDescent="0.15">
      <c r="A5585" s="196" t="s">
        <v>11229</v>
      </c>
      <c r="B5585" s="196" t="s">
        <v>11230</v>
      </c>
      <c r="C5585" s="196" t="s">
        <v>24111</v>
      </c>
      <c r="D5585" s="196" t="s">
        <v>24112</v>
      </c>
      <c r="E5585" s="196" t="s">
        <v>24112</v>
      </c>
      <c r="F5585" s="196" t="s">
        <v>11233</v>
      </c>
      <c r="G5585" s="196" t="s">
        <v>12378</v>
      </c>
      <c r="H5585" s="196" t="s">
        <v>11235</v>
      </c>
    </row>
    <row r="5586" spans="1:8" x14ac:dyDescent="0.15">
      <c r="A5586" s="196" t="s">
        <v>11229</v>
      </c>
      <c r="B5586" s="196" t="s">
        <v>11230</v>
      </c>
      <c r="C5586" s="196" t="s">
        <v>24113</v>
      </c>
      <c r="D5586" s="196" t="s">
        <v>24114</v>
      </c>
      <c r="E5586" s="196" t="s">
        <v>24114</v>
      </c>
      <c r="F5586" s="196" t="s">
        <v>11233</v>
      </c>
      <c r="G5586" s="196" t="s">
        <v>12378</v>
      </c>
      <c r="H5586" s="196" t="s">
        <v>11235</v>
      </c>
    </row>
    <row r="5587" spans="1:8" x14ac:dyDescent="0.15">
      <c r="A5587" s="196" t="s">
        <v>11229</v>
      </c>
      <c r="B5587" s="196" t="s">
        <v>11230</v>
      </c>
      <c r="C5587" s="196" t="s">
        <v>24115</v>
      </c>
      <c r="D5587" s="196" t="s">
        <v>24116</v>
      </c>
      <c r="E5587" s="196" t="s">
        <v>24117</v>
      </c>
      <c r="F5587" s="196" t="s">
        <v>11241</v>
      </c>
      <c r="G5587" s="196" t="s">
        <v>12378</v>
      </c>
      <c r="H5587" s="196" t="s">
        <v>11235</v>
      </c>
    </row>
    <row r="5588" spans="1:8" x14ac:dyDescent="0.15">
      <c r="A5588" s="196" t="s">
        <v>11229</v>
      </c>
      <c r="B5588" s="196" t="s">
        <v>11230</v>
      </c>
      <c r="C5588" s="196" t="s">
        <v>24118</v>
      </c>
      <c r="D5588" s="196" t="s">
        <v>24117</v>
      </c>
      <c r="E5588" s="196" t="s">
        <v>24119</v>
      </c>
      <c r="F5588" s="196" t="s">
        <v>11268</v>
      </c>
      <c r="G5588" s="196" t="s">
        <v>12378</v>
      </c>
      <c r="H5588" s="196" t="s">
        <v>11235</v>
      </c>
    </row>
    <row r="5589" spans="1:8" x14ac:dyDescent="0.15">
      <c r="A5589" s="196" t="s">
        <v>11229</v>
      </c>
      <c r="B5589" s="196" t="s">
        <v>11230</v>
      </c>
      <c r="C5589" s="196" t="s">
        <v>24120</v>
      </c>
      <c r="D5589" s="196" t="s">
        <v>24121</v>
      </c>
      <c r="E5589" s="196" t="s">
        <v>24121</v>
      </c>
      <c r="F5589" s="196" t="s">
        <v>11233</v>
      </c>
      <c r="G5589" s="196" t="s">
        <v>12378</v>
      </c>
      <c r="H5589" s="196" t="s">
        <v>11235</v>
      </c>
    </row>
    <row r="5590" spans="1:8" x14ac:dyDescent="0.15">
      <c r="A5590" s="196" t="s">
        <v>11229</v>
      </c>
      <c r="B5590" s="196" t="s">
        <v>11230</v>
      </c>
      <c r="C5590" s="196" t="s">
        <v>24122</v>
      </c>
      <c r="D5590" s="196" t="s">
        <v>24123</v>
      </c>
      <c r="E5590" s="196" t="s">
        <v>24124</v>
      </c>
      <c r="F5590" s="196" t="s">
        <v>13180</v>
      </c>
      <c r="G5590" s="196" t="s">
        <v>12378</v>
      </c>
      <c r="H5590" s="196" t="s">
        <v>11235</v>
      </c>
    </row>
    <row r="5591" spans="1:8" x14ac:dyDescent="0.15">
      <c r="A5591" s="196" t="s">
        <v>11229</v>
      </c>
      <c r="B5591" s="196" t="s">
        <v>11230</v>
      </c>
      <c r="C5591" s="196" t="s">
        <v>24125</v>
      </c>
      <c r="D5591" s="196" t="s">
        <v>24126</v>
      </c>
      <c r="E5591" s="196" t="s">
        <v>24127</v>
      </c>
      <c r="F5591" s="196" t="s">
        <v>24128</v>
      </c>
      <c r="G5591" s="196" t="s">
        <v>12378</v>
      </c>
      <c r="H5591" s="196" t="s">
        <v>11235</v>
      </c>
    </row>
    <row r="5592" spans="1:8" x14ac:dyDescent="0.15">
      <c r="A5592" s="196" t="s">
        <v>11229</v>
      </c>
      <c r="B5592" s="196" t="s">
        <v>11230</v>
      </c>
      <c r="C5592" s="196" t="s">
        <v>24129</v>
      </c>
      <c r="D5592" s="196" t="s">
        <v>24130</v>
      </c>
      <c r="E5592" s="196" t="s">
        <v>24131</v>
      </c>
      <c r="F5592" s="196" t="s">
        <v>14413</v>
      </c>
      <c r="G5592" s="196" t="s">
        <v>12378</v>
      </c>
      <c r="H5592" s="196" t="s">
        <v>11235</v>
      </c>
    </row>
    <row r="5593" spans="1:8" x14ac:dyDescent="0.15">
      <c r="A5593" s="196" t="s">
        <v>11229</v>
      </c>
      <c r="B5593" s="196" t="s">
        <v>11230</v>
      </c>
      <c r="C5593" s="196" t="s">
        <v>24132</v>
      </c>
      <c r="D5593" s="196" t="s">
        <v>24133</v>
      </c>
      <c r="E5593" s="196" t="s">
        <v>24134</v>
      </c>
      <c r="F5593" s="196" t="s">
        <v>14596</v>
      </c>
      <c r="G5593" s="196" t="s">
        <v>12378</v>
      </c>
      <c r="H5593" s="196" t="s">
        <v>11235</v>
      </c>
    </row>
    <row r="5594" spans="1:8" x14ac:dyDescent="0.15">
      <c r="A5594" s="196" t="s">
        <v>11229</v>
      </c>
      <c r="B5594" s="196" t="s">
        <v>11230</v>
      </c>
      <c r="C5594" s="196" t="s">
        <v>24135</v>
      </c>
      <c r="D5594" s="196" t="s">
        <v>24136</v>
      </c>
      <c r="E5594" s="196" t="s">
        <v>24137</v>
      </c>
      <c r="F5594" s="196" t="s">
        <v>24138</v>
      </c>
      <c r="G5594" s="196" t="s">
        <v>12378</v>
      </c>
      <c r="H5594" s="196" t="s">
        <v>11235</v>
      </c>
    </row>
    <row r="5595" spans="1:8" x14ac:dyDescent="0.15">
      <c r="A5595" s="196" t="s">
        <v>11229</v>
      </c>
      <c r="B5595" s="196" t="s">
        <v>11230</v>
      </c>
      <c r="C5595" s="196" t="s">
        <v>24139</v>
      </c>
      <c r="D5595" s="196" t="s">
        <v>24137</v>
      </c>
      <c r="E5595" s="196" t="s">
        <v>24140</v>
      </c>
      <c r="F5595" s="196" t="s">
        <v>14596</v>
      </c>
      <c r="G5595" s="196" t="s">
        <v>12378</v>
      </c>
      <c r="H5595" s="196" t="s">
        <v>11235</v>
      </c>
    </row>
    <row r="5596" spans="1:8" x14ac:dyDescent="0.15">
      <c r="A5596" s="196" t="s">
        <v>11229</v>
      </c>
      <c r="B5596" s="196" t="s">
        <v>11230</v>
      </c>
      <c r="C5596" s="196" t="s">
        <v>24141</v>
      </c>
      <c r="D5596" s="196" t="s">
        <v>24142</v>
      </c>
      <c r="E5596" s="196" t="s">
        <v>24143</v>
      </c>
      <c r="F5596" s="196" t="s">
        <v>12544</v>
      </c>
      <c r="G5596" s="196" t="s">
        <v>12378</v>
      </c>
      <c r="H5596" s="196" t="s">
        <v>11235</v>
      </c>
    </row>
    <row r="5597" spans="1:8" x14ac:dyDescent="0.15">
      <c r="A5597" s="196" t="s">
        <v>11229</v>
      </c>
      <c r="B5597" s="196" t="s">
        <v>11230</v>
      </c>
      <c r="C5597" s="196" t="s">
        <v>24144</v>
      </c>
      <c r="D5597" s="196" t="s">
        <v>24145</v>
      </c>
      <c r="E5597" s="196" t="s">
        <v>24146</v>
      </c>
      <c r="F5597" s="196" t="s">
        <v>24147</v>
      </c>
      <c r="G5597" s="196" t="s">
        <v>12378</v>
      </c>
      <c r="H5597" s="196" t="s">
        <v>11235</v>
      </c>
    </row>
    <row r="5598" spans="1:8" x14ac:dyDescent="0.15">
      <c r="A5598" s="196" t="s">
        <v>11229</v>
      </c>
      <c r="B5598" s="196" t="s">
        <v>11230</v>
      </c>
      <c r="C5598" s="196" t="s">
        <v>24148</v>
      </c>
      <c r="D5598" s="196" t="s">
        <v>24146</v>
      </c>
      <c r="E5598" s="196" t="s">
        <v>24149</v>
      </c>
      <c r="F5598" s="196" t="s">
        <v>16374</v>
      </c>
      <c r="G5598" s="196" t="s">
        <v>12378</v>
      </c>
      <c r="H5598" s="196" t="s">
        <v>11235</v>
      </c>
    </row>
    <row r="5599" spans="1:8" x14ac:dyDescent="0.15">
      <c r="A5599" s="196" t="s">
        <v>11229</v>
      </c>
      <c r="B5599" s="196" t="s">
        <v>11230</v>
      </c>
      <c r="C5599" s="196" t="s">
        <v>24150</v>
      </c>
      <c r="D5599" s="196" t="s">
        <v>24151</v>
      </c>
      <c r="E5599" s="196" t="s">
        <v>24152</v>
      </c>
      <c r="F5599" s="196" t="s">
        <v>15025</v>
      </c>
      <c r="G5599" s="196" t="s">
        <v>12378</v>
      </c>
      <c r="H5599" s="196" t="s">
        <v>11235</v>
      </c>
    </row>
    <row r="5600" spans="1:8" x14ac:dyDescent="0.15">
      <c r="A5600" s="196" t="s">
        <v>11229</v>
      </c>
      <c r="B5600" s="196" t="s">
        <v>11230</v>
      </c>
      <c r="C5600" s="196" t="s">
        <v>24153</v>
      </c>
      <c r="D5600" s="196" t="s">
        <v>24154</v>
      </c>
      <c r="E5600" s="196" t="s">
        <v>24155</v>
      </c>
      <c r="F5600" s="196" t="s">
        <v>24156</v>
      </c>
      <c r="G5600" s="196" t="s">
        <v>12378</v>
      </c>
      <c r="H5600" s="196" t="s">
        <v>11235</v>
      </c>
    </row>
    <row r="5601" spans="1:8" x14ac:dyDescent="0.15">
      <c r="A5601" s="196" t="s">
        <v>11229</v>
      </c>
      <c r="B5601" s="196" t="s">
        <v>11230</v>
      </c>
      <c r="C5601" s="196" t="s">
        <v>24157</v>
      </c>
      <c r="D5601" s="196" t="s">
        <v>24158</v>
      </c>
      <c r="E5601" s="196" t="s">
        <v>24159</v>
      </c>
      <c r="F5601" s="196" t="s">
        <v>13214</v>
      </c>
      <c r="G5601" s="196" t="s">
        <v>12378</v>
      </c>
      <c r="H5601" s="196" t="s">
        <v>11235</v>
      </c>
    </row>
    <row r="5602" spans="1:8" x14ac:dyDescent="0.15">
      <c r="A5602" s="196" t="s">
        <v>11229</v>
      </c>
      <c r="B5602" s="196" t="s">
        <v>11230</v>
      </c>
      <c r="C5602" s="196" t="s">
        <v>24160</v>
      </c>
      <c r="D5602" s="196" t="s">
        <v>24159</v>
      </c>
      <c r="E5602" s="196" t="s">
        <v>24161</v>
      </c>
      <c r="F5602" s="196" t="s">
        <v>19128</v>
      </c>
      <c r="G5602" s="196" t="s">
        <v>12378</v>
      </c>
      <c r="H5602" s="196" t="s">
        <v>11235</v>
      </c>
    </row>
    <row r="5603" spans="1:8" x14ac:dyDescent="0.15">
      <c r="A5603" s="196" t="s">
        <v>11229</v>
      </c>
      <c r="B5603" s="196" t="s">
        <v>11230</v>
      </c>
      <c r="C5603" s="196" t="s">
        <v>24162</v>
      </c>
      <c r="D5603" s="196" t="s">
        <v>24163</v>
      </c>
      <c r="E5603" s="196" t="s">
        <v>24164</v>
      </c>
      <c r="F5603" s="196" t="s">
        <v>15025</v>
      </c>
      <c r="G5603" s="196" t="s">
        <v>12378</v>
      </c>
      <c r="H5603" s="196" t="s">
        <v>11235</v>
      </c>
    </row>
    <row r="5604" spans="1:8" x14ac:dyDescent="0.15">
      <c r="A5604" s="196" t="s">
        <v>11229</v>
      </c>
      <c r="B5604" s="196" t="s">
        <v>11230</v>
      </c>
      <c r="C5604" s="196" t="s">
        <v>24165</v>
      </c>
      <c r="D5604" s="196" t="s">
        <v>24166</v>
      </c>
      <c r="E5604" s="196" t="s">
        <v>24167</v>
      </c>
      <c r="F5604" s="196" t="s">
        <v>14596</v>
      </c>
      <c r="G5604" s="196" t="s">
        <v>12378</v>
      </c>
      <c r="H5604" s="196" t="s">
        <v>11235</v>
      </c>
    </row>
    <row r="5605" spans="1:8" x14ac:dyDescent="0.15">
      <c r="A5605" s="196" t="s">
        <v>11229</v>
      </c>
      <c r="B5605" s="196" t="s">
        <v>11230</v>
      </c>
      <c r="C5605" s="196" t="s">
        <v>24168</v>
      </c>
      <c r="D5605" s="196" t="s">
        <v>24169</v>
      </c>
      <c r="E5605" s="196" t="s">
        <v>24170</v>
      </c>
      <c r="F5605" s="196" t="s">
        <v>13180</v>
      </c>
      <c r="G5605" s="196" t="s">
        <v>12378</v>
      </c>
      <c r="H5605" s="196" t="s">
        <v>11235</v>
      </c>
    </row>
    <row r="5606" spans="1:8" x14ac:dyDescent="0.15">
      <c r="A5606" s="196" t="s">
        <v>11229</v>
      </c>
      <c r="B5606" s="196" t="s">
        <v>11230</v>
      </c>
      <c r="C5606" s="196" t="s">
        <v>24171</v>
      </c>
      <c r="D5606" s="196" t="s">
        <v>24172</v>
      </c>
      <c r="E5606" s="196" t="s">
        <v>24173</v>
      </c>
      <c r="F5606" s="196" t="s">
        <v>15025</v>
      </c>
      <c r="G5606" s="196" t="s">
        <v>12378</v>
      </c>
      <c r="H5606" s="196" t="s">
        <v>11235</v>
      </c>
    </row>
    <row r="5607" spans="1:8" x14ac:dyDescent="0.15">
      <c r="A5607" s="196" t="s">
        <v>11229</v>
      </c>
      <c r="B5607" s="196" t="s">
        <v>11230</v>
      </c>
      <c r="C5607" s="196" t="s">
        <v>24174</v>
      </c>
      <c r="D5607" s="196" t="s">
        <v>24175</v>
      </c>
      <c r="E5607" s="196" t="s">
        <v>24176</v>
      </c>
      <c r="F5607" s="196" t="s">
        <v>17665</v>
      </c>
      <c r="G5607" s="196" t="s">
        <v>12378</v>
      </c>
      <c r="H5607" s="196" t="s">
        <v>11235</v>
      </c>
    </row>
    <row r="5608" spans="1:8" x14ac:dyDescent="0.15">
      <c r="A5608" s="196" t="s">
        <v>11229</v>
      </c>
      <c r="B5608" s="196" t="s">
        <v>11230</v>
      </c>
      <c r="C5608" s="196" t="s">
        <v>24177</v>
      </c>
      <c r="D5608" s="196" t="s">
        <v>24178</v>
      </c>
      <c r="E5608" s="196" t="s">
        <v>24179</v>
      </c>
      <c r="F5608" s="196" t="s">
        <v>17665</v>
      </c>
      <c r="G5608" s="196" t="s">
        <v>12378</v>
      </c>
      <c r="H5608" s="196" t="s">
        <v>11235</v>
      </c>
    </row>
    <row r="5609" spans="1:8" x14ac:dyDescent="0.15">
      <c r="A5609" s="196" t="s">
        <v>11229</v>
      </c>
      <c r="B5609" s="196" t="s">
        <v>11230</v>
      </c>
      <c r="C5609" s="196" t="s">
        <v>24180</v>
      </c>
      <c r="D5609" s="196" t="s">
        <v>24181</v>
      </c>
      <c r="E5609" s="196" t="s">
        <v>24182</v>
      </c>
      <c r="F5609" s="196" t="s">
        <v>12544</v>
      </c>
      <c r="G5609" s="196" t="s">
        <v>12378</v>
      </c>
      <c r="H5609" s="196" t="s">
        <v>11235</v>
      </c>
    </row>
    <row r="5610" spans="1:8" x14ac:dyDescent="0.15">
      <c r="A5610" s="196" t="s">
        <v>11229</v>
      </c>
      <c r="B5610" s="196" t="s">
        <v>11230</v>
      </c>
      <c r="C5610" s="196" t="s">
        <v>24183</v>
      </c>
      <c r="D5610" s="196" t="s">
        <v>24182</v>
      </c>
      <c r="E5610" s="196" t="s">
        <v>24184</v>
      </c>
      <c r="F5610" s="196" t="s">
        <v>23942</v>
      </c>
      <c r="G5610" s="196" t="s">
        <v>12378</v>
      </c>
      <c r="H5610" s="196" t="s">
        <v>11235</v>
      </c>
    </row>
    <row r="5611" spans="1:8" x14ac:dyDescent="0.15">
      <c r="A5611" s="196" t="s">
        <v>11229</v>
      </c>
      <c r="B5611" s="196" t="s">
        <v>11230</v>
      </c>
      <c r="C5611" s="196" t="s">
        <v>24185</v>
      </c>
      <c r="D5611" s="196" t="s">
        <v>24186</v>
      </c>
      <c r="E5611" s="196" t="s">
        <v>24187</v>
      </c>
      <c r="F5611" s="196" t="s">
        <v>24188</v>
      </c>
      <c r="G5611" s="196" t="s">
        <v>12378</v>
      </c>
      <c r="H5611" s="196" t="s">
        <v>11235</v>
      </c>
    </row>
    <row r="5612" spans="1:8" x14ac:dyDescent="0.15">
      <c r="A5612" s="196" t="s">
        <v>11229</v>
      </c>
      <c r="B5612" s="196" t="s">
        <v>11230</v>
      </c>
      <c r="C5612" s="196" t="s">
        <v>24189</v>
      </c>
      <c r="D5612" s="196" t="s">
        <v>24190</v>
      </c>
      <c r="E5612" s="196" t="s">
        <v>24191</v>
      </c>
      <c r="F5612" s="196" t="s">
        <v>24192</v>
      </c>
      <c r="G5612" s="196" t="s">
        <v>12378</v>
      </c>
      <c r="H5612" s="196" t="s">
        <v>11235</v>
      </c>
    </row>
    <row r="5613" spans="1:8" x14ac:dyDescent="0.15">
      <c r="A5613" s="196" t="s">
        <v>11229</v>
      </c>
      <c r="B5613" s="196" t="s">
        <v>11230</v>
      </c>
      <c r="C5613" s="196" t="s">
        <v>24193</v>
      </c>
      <c r="D5613" s="196" t="s">
        <v>24194</v>
      </c>
      <c r="E5613" s="196" t="s">
        <v>24195</v>
      </c>
      <c r="F5613" s="196" t="s">
        <v>12558</v>
      </c>
      <c r="G5613" s="196" t="s">
        <v>12378</v>
      </c>
      <c r="H5613" s="196" t="s">
        <v>11235</v>
      </c>
    </row>
    <row r="5614" spans="1:8" x14ac:dyDescent="0.15">
      <c r="A5614" s="196" t="s">
        <v>11229</v>
      </c>
      <c r="B5614" s="196" t="s">
        <v>11230</v>
      </c>
      <c r="C5614" s="196" t="s">
        <v>24196</v>
      </c>
      <c r="D5614" s="196" t="s">
        <v>24197</v>
      </c>
      <c r="E5614" s="196" t="s">
        <v>24198</v>
      </c>
      <c r="F5614" s="196" t="s">
        <v>19128</v>
      </c>
      <c r="G5614" s="196" t="s">
        <v>12378</v>
      </c>
      <c r="H5614" s="196" t="s">
        <v>11235</v>
      </c>
    </row>
    <row r="5615" spans="1:8" x14ac:dyDescent="0.15">
      <c r="A5615" s="196" t="s">
        <v>11229</v>
      </c>
      <c r="B5615" s="196" t="s">
        <v>11230</v>
      </c>
      <c r="C5615" s="196" t="s">
        <v>24199</v>
      </c>
      <c r="D5615" s="196" t="s">
        <v>24200</v>
      </c>
      <c r="E5615" s="196" t="s">
        <v>24201</v>
      </c>
      <c r="F5615" s="196" t="s">
        <v>15025</v>
      </c>
      <c r="G5615" s="196" t="s">
        <v>12378</v>
      </c>
      <c r="H5615" s="196" t="s">
        <v>11235</v>
      </c>
    </row>
    <row r="5616" spans="1:8" x14ac:dyDescent="0.15">
      <c r="A5616" s="196" t="s">
        <v>11229</v>
      </c>
      <c r="B5616" s="196" t="s">
        <v>11230</v>
      </c>
      <c r="C5616" s="196" t="s">
        <v>24202</v>
      </c>
      <c r="D5616" s="196" t="s">
        <v>24203</v>
      </c>
      <c r="E5616" s="196" t="s">
        <v>24204</v>
      </c>
      <c r="F5616" s="196" t="s">
        <v>24205</v>
      </c>
      <c r="G5616" s="196" t="s">
        <v>12378</v>
      </c>
      <c r="H5616" s="196" t="s">
        <v>11235</v>
      </c>
    </row>
    <row r="5617" spans="1:8" x14ac:dyDescent="0.15">
      <c r="A5617" s="196" t="s">
        <v>11229</v>
      </c>
      <c r="B5617" s="196" t="s">
        <v>11230</v>
      </c>
      <c r="C5617" s="196" t="s">
        <v>24206</v>
      </c>
      <c r="D5617" s="196" t="s">
        <v>24207</v>
      </c>
      <c r="E5617" s="196" t="s">
        <v>24208</v>
      </c>
      <c r="F5617" s="196" t="s">
        <v>24209</v>
      </c>
      <c r="G5617" s="196" t="s">
        <v>11720</v>
      </c>
      <c r="H5617" s="196" t="s">
        <v>11235</v>
      </c>
    </row>
    <row r="5618" spans="1:8" x14ac:dyDescent="0.15">
      <c r="A5618" s="196" t="s">
        <v>11229</v>
      </c>
      <c r="B5618" s="196" t="s">
        <v>11230</v>
      </c>
      <c r="C5618" s="196" t="s">
        <v>24210</v>
      </c>
      <c r="D5618" s="196" t="s">
        <v>24204</v>
      </c>
      <c r="E5618" s="196" t="s">
        <v>24211</v>
      </c>
      <c r="F5618" s="196" t="s">
        <v>24212</v>
      </c>
      <c r="G5618" s="196" t="s">
        <v>12378</v>
      </c>
      <c r="H5618" s="196" t="s">
        <v>11235</v>
      </c>
    </row>
    <row r="5619" spans="1:8" x14ac:dyDescent="0.15">
      <c r="A5619" s="196" t="s">
        <v>11229</v>
      </c>
      <c r="B5619" s="196" t="s">
        <v>11230</v>
      </c>
      <c r="C5619" s="196" t="s">
        <v>24213</v>
      </c>
      <c r="D5619" s="196" t="s">
        <v>24214</v>
      </c>
      <c r="E5619" s="196" t="s">
        <v>24215</v>
      </c>
      <c r="F5619" s="196" t="s">
        <v>24216</v>
      </c>
      <c r="G5619" s="196" t="s">
        <v>12378</v>
      </c>
      <c r="H5619" s="196" t="s">
        <v>11235</v>
      </c>
    </row>
    <row r="5620" spans="1:8" x14ac:dyDescent="0.15">
      <c r="A5620" s="196" t="s">
        <v>11229</v>
      </c>
      <c r="B5620" s="196" t="s">
        <v>11230</v>
      </c>
      <c r="C5620" s="196" t="s">
        <v>24217</v>
      </c>
      <c r="D5620" s="196" t="s">
        <v>24218</v>
      </c>
      <c r="E5620" s="196" t="s">
        <v>24219</v>
      </c>
      <c r="F5620" s="196" t="s">
        <v>24220</v>
      </c>
      <c r="G5620" s="196" t="s">
        <v>11720</v>
      </c>
      <c r="H5620" s="196" t="s">
        <v>11235</v>
      </c>
    </row>
    <row r="5621" spans="1:8" x14ac:dyDescent="0.15">
      <c r="A5621" s="196" t="s">
        <v>11229</v>
      </c>
      <c r="B5621" s="196" t="s">
        <v>11230</v>
      </c>
      <c r="C5621" s="196" t="s">
        <v>24221</v>
      </c>
      <c r="D5621" s="196" t="s">
        <v>24215</v>
      </c>
      <c r="E5621" s="196" t="s">
        <v>24222</v>
      </c>
      <c r="F5621" s="196" t="s">
        <v>24223</v>
      </c>
      <c r="G5621" s="196" t="s">
        <v>12378</v>
      </c>
      <c r="H5621" s="196" t="s">
        <v>11235</v>
      </c>
    </row>
    <row r="5622" spans="1:8" x14ac:dyDescent="0.15">
      <c r="A5622" s="196" t="s">
        <v>11229</v>
      </c>
      <c r="B5622" s="196" t="s">
        <v>11230</v>
      </c>
      <c r="C5622" s="196" t="s">
        <v>24224</v>
      </c>
      <c r="D5622" s="196" t="s">
        <v>24225</v>
      </c>
      <c r="E5622" s="196" t="s">
        <v>24226</v>
      </c>
      <c r="F5622" s="196" t="s">
        <v>24227</v>
      </c>
      <c r="G5622" s="196" t="s">
        <v>12378</v>
      </c>
      <c r="H5622" s="196" t="s">
        <v>11235</v>
      </c>
    </row>
    <row r="5623" spans="1:8" x14ac:dyDescent="0.15">
      <c r="A5623" s="196" t="s">
        <v>11229</v>
      </c>
      <c r="B5623" s="196" t="s">
        <v>11230</v>
      </c>
      <c r="C5623" s="196" t="s">
        <v>24228</v>
      </c>
      <c r="D5623" s="196" t="s">
        <v>24229</v>
      </c>
      <c r="E5623" s="196" t="s">
        <v>24230</v>
      </c>
      <c r="F5623" s="196" t="s">
        <v>24231</v>
      </c>
      <c r="G5623" s="196" t="s">
        <v>11720</v>
      </c>
      <c r="H5623" s="196" t="s">
        <v>11235</v>
      </c>
    </row>
    <row r="5624" spans="1:8" x14ac:dyDescent="0.15">
      <c r="A5624" s="196" t="s">
        <v>11229</v>
      </c>
      <c r="B5624" s="196" t="s">
        <v>11230</v>
      </c>
      <c r="C5624" s="196" t="s">
        <v>24232</v>
      </c>
      <c r="D5624" s="196" t="s">
        <v>24233</v>
      </c>
      <c r="E5624" s="196" t="s">
        <v>24234</v>
      </c>
      <c r="F5624" s="196" t="s">
        <v>24235</v>
      </c>
      <c r="G5624" s="196" t="s">
        <v>12378</v>
      </c>
      <c r="H5624" s="196" t="s">
        <v>11235</v>
      </c>
    </row>
    <row r="5625" spans="1:8" x14ac:dyDescent="0.15">
      <c r="A5625" s="196" t="s">
        <v>11229</v>
      </c>
      <c r="B5625" s="196" t="s">
        <v>11230</v>
      </c>
      <c r="C5625" s="196" t="s">
        <v>24236</v>
      </c>
      <c r="D5625" s="196" t="s">
        <v>24237</v>
      </c>
      <c r="E5625" s="196" t="s">
        <v>24238</v>
      </c>
      <c r="F5625" s="196" t="s">
        <v>24239</v>
      </c>
      <c r="G5625" s="196" t="s">
        <v>11720</v>
      </c>
      <c r="H5625" s="196" t="s">
        <v>11235</v>
      </c>
    </row>
    <row r="5626" spans="1:8" x14ac:dyDescent="0.15">
      <c r="A5626" s="196" t="s">
        <v>11229</v>
      </c>
      <c r="B5626" s="196" t="s">
        <v>11230</v>
      </c>
      <c r="C5626" s="196" t="s">
        <v>24240</v>
      </c>
      <c r="D5626" s="196" t="s">
        <v>24241</v>
      </c>
      <c r="E5626" s="196" t="s">
        <v>24241</v>
      </c>
      <c r="F5626" s="196" t="s">
        <v>11233</v>
      </c>
      <c r="G5626" s="196" t="s">
        <v>12378</v>
      </c>
      <c r="H5626" s="196" t="s">
        <v>11235</v>
      </c>
    </row>
    <row r="5627" spans="1:8" x14ac:dyDescent="0.15">
      <c r="A5627" s="196" t="s">
        <v>11229</v>
      </c>
      <c r="B5627" s="196" t="s">
        <v>11230</v>
      </c>
      <c r="C5627" s="196" t="s">
        <v>24242</v>
      </c>
      <c r="D5627" s="196" t="s">
        <v>24243</v>
      </c>
      <c r="E5627" s="196" t="s">
        <v>24243</v>
      </c>
      <c r="F5627" s="196" t="s">
        <v>11233</v>
      </c>
      <c r="G5627" s="196" t="s">
        <v>12378</v>
      </c>
      <c r="H5627" s="196" t="s">
        <v>11235</v>
      </c>
    </row>
    <row r="5628" spans="1:8" x14ac:dyDescent="0.15">
      <c r="A5628" s="196" t="s">
        <v>11229</v>
      </c>
      <c r="B5628" s="196" t="s">
        <v>11230</v>
      </c>
      <c r="C5628" s="196" t="s">
        <v>24244</v>
      </c>
      <c r="D5628" s="196" t="s">
        <v>24245</v>
      </c>
      <c r="E5628" s="196" t="s">
        <v>24245</v>
      </c>
      <c r="F5628" s="196" t="s">
        <v>11233</v>
      </c>
      <c r="G5628" s="196" t="s">
        <v>12378</v>
      </c>
      <c r="H5628" s="196" t="s">
        <v>11235</v>
      </c>
    </row>
    <row r="5629" spans="1:8" x14ac:dyDescent="0.15">
      <c r="A5629" s="196" t="s">
        <v>11229</v>
      </c>
      <c r="B5629" s="196" t="s">
        <v>11230</v>
      </c>
      <c r="C5629" s="196" t="s">
        <v>24246</v>
      </c>
      <c r="D5629" s="196" t="s">
        <v>24247</v>
      </c>
      <c r="E5629" s="196" t="s">
        <v>24247</v>
      </c>
      <c r="F5629" s="196" t="s">
        <v>11233</v>
      </c>
      <c r="G5629" s="196" t="s">
        <v>12378</v>
      </c>
      <c r="H5629" s="196" t="s">
        <v>11235</v>
      </c>
    </row>
    <row r="5630" spans="1:8" x14ac:dyDescent="0.15">
      <c r="A5630" s="196" t="s">
        <v>11229</v>
      </c>
      <c r="B5630" s="196" t="s">
        <v>11230</v>
      </c>
      <c r="C5630" s="196" t="s">
        <v>24248</v>
      </c>
      <c r="D5630" s="196" t="s">
        <v>24249</v>
      </c>
      <c r="E5630" s="196" t="s">
        <v>24249</v>
      </c>
      <c r="F5630" s="196" t="s">
        <v>11233</v>
      </c>
      <c r="G5630" s="196" t="s">
        <v>12378</v>
      </c>
      <c r="H5630" s="196" t="s">
        <v>11235</v>
      </c>
    </row>
    <row r="5631" spans="1:8" x14ac:dyDescent="0.15">
      <c r="A5631" s="196" t="s">
        <v>11229</v>
      </c>
      <c r="B5631" s="196" t="s">
        <v>11230</v>
      </c>
      <c r="C5631" s="196" t="s">
        <v>24250</v>
      </c>
      <c r="D5631" s="196" t="s">
        <v>24251</v>
      </c>
      <c r="E5631" s="196" t="s">
        <v>24251</v>
      </c>
      <c r="F5631" s="196" t="s">
        <v>11233</v>
      </c>
      <c r="G5631" s="196" t="s">
        <v>12378</v>
      </c>
      <c r="H5631" s="196" t="s">
        <v>11235</v>
      </c>
    </row>
    <row r="5632" spans="1:8" x14ac:dyDescent="0.15">
      <c r="A5632" s="196" t="s">
        <v>11229</v>
      </c>
      <c r="B5632" s="196" t="s">
        <v>11230</v>
      </c>
      <c r="C5632" s="196" t="s">
        <v>24252</v>
      </c>
      <c r="D5632" s="196" t="s">
        <v>24253</v>
      </c>
      <c r="E5632" s="196" t="s">
        <v>24253</v>
      </c>
      <c r="F5632" s="196" t="s">
        <v>11233</v>
      </c>
      <c r="G5632" s="196" t="s">
        <v>12378</v>
      </c>
      <c r="H5632" s="196" t="s">
        <v>11235</v>
      </c>
    </row>
    <row r="5633" spans="1:8" x14ac:dyDescent="0.15">
      <c r="A5633" s="196" t="s">
        <v>11229</v>
      </c>
      <c r="B5633" s="196" t="s">
        <v>11230</v>
      </c>
      <c r="C5633" s="196" t="s">
        <v>24254</v>
      </c>
      <c r="D5633" s="196" t="s">
        <v>24255</v>
      </c>
      <c r="E5633" s="196" t="s">
        <v>24256</v>
      </c>
      <c r="F5633" s="196" t="s">
        <v>11241</v>
      </c>
      <c r="G5633" s="196" t="s">
        <v>12378</v>
      </c>
      <c r="H5633" s="196" t="s">
        <v>11235</v>
      </c>
    </row>
    <row r="5634" spans="1:8" x14ac:dyDescent="0.15">
      <c r="A5634" s="196" t="s">
        <v>11229</v>
      </c>
      <c r="B5634" s="196" t="s">
        <v>11230</v>
      </c>
      <c r="C5634" s="196" t="s">
        <v>24257</v>
      </c>
      <c r="D5634" s="196" t="s">
        <v>24258</v>
      </c>
      <c r="E5634" s="196" t="s">
        <v>24259</v>
      </c>
      <c r="F5634" s="196" t="s">
        <v>11241</v>
      </c>
      <c r="G5634" s="196" t="s">
        <v>12378</v>
      </c>
      <c r="H5634" s="196" t="s">
        <v>11235</v>
      </c>
    </row>
    <row r="5635" spans="1:8" x14ac:dyDescent="0.15">
      <c r="A5635" s="196" t="s">
        <v>11229</v>
      </c>
      <c r="B5635" s="196" t="s">
        <v>11230</v>
      </c>
      <c r="C5635" s="196" t="s">
        <v>24260</v>
      </c>
      <c r="D5635" s="196" t="s">
        <v>24261</v>
      </c>
      <c r="E5635" s="196" t="s">
        <v>24261</v>
      </c>
      <c r="F5635" s="196" t="s">
        <v>11233</v>
      </c>
      <c r="G5635" s="196" t="s">
        <v>12378</v>
      </c>
      <c r="H5635" s="196" t="s">
        <v>11235</v>
      </c>
    </row>
    <row r="5636" spans="1:8" x14ac:dyDescent="0.15">
      <c r="A5636" s="196" t="s">
        <v>11229</v>
      </c>
      <c r="B5636" s="196" t="s">
        <v>11230</v>
      </c>
      <c r="C5636" s="196" t="s">
        <v>24262</v>
      </c>
      <c r="D5636" s="196" t="s">
        <v>24263</v>
      </c>
      <c r="E5636" s="196" t="s">
        <v>24263</v>
      </c>
      <c r="F5636" s="196" t="s">
        <v>11233</v>
      </c>
      <c r="G5636" s="196" t="s">
        <v>12378</v>
      </c>
      <c r="H5636" s="196" t="s">
        <v>11235</v>
      </c>
    </row>
    <row r="5637" spans="1:8" x14ac:dyDescent="0.15">
      <c r="A5637" s="196" t="s">
        <v>11229</v>
      </c>
      <c r="B5637" s="196" t="s">
        <v>11230</v>
      </c>
      <c r="C5637" s="196" t="s">
        <v>24264</v>
      </c>
      <c r="D5637" s="196" t="s">
        <v>24265</v>
      </c>
      <c r="E5637" s="196" t="s">
        <v>24265</v>
      </c>
      <c r="F5637" s="196" t="s">
        <v>11233</v>
      </c>
      <c r="G5637" s="196" t="s">
        <v>12378</v>
      </c>
      <c r="H5637" s="196" t="s">
        <v>11235</v>
      </c>
    </row>
    <row r="5638" spans="1:8" x14ac:dyDescent="0.15">
      <c r="A5638" s="196" t="s">
        <v>11229</v>
      </c>
      <c r="B5638" s="196" t="s">
        <v>11230</v>
      </c>
      <c r="C5638" s="196" t="s">
        <v>24266</v>
      </c>
      <c r="D5638" s="196" t="s">
        <v>24267</v>
      </c>
      <c r="E5638" s="196" t="s">
        <v>24267</v>
      </c>
      <c r="F5638" s="196" t="s">
        <v>11233</v>
      </c>
      <c r="G5638" s="196" t="s">
        <v>12378</v>
      </c>
      <c r="H5638" s="196" t="s">
        <v>11235</v>
      </c>
    </row>
    <row r="5639" spans="1:8" x14ac:dyDescent="0.15">
      <c r="A5639" s="196" t="s">
        <v>11229</v>
      </c>
      <c r="B5639" s="196" t="s">
        <v>11230</v>
      </c>
      <c r="C5639" s="196" t="s">
        <v>24268</v>
      </c>
      <c r="D5639" s="196" t="s">
        <v>24269</v>
      </c>
      <c r="E5639" s="196" t="s">
        <v>24269</v>
      </c>
      <c r="F5639" s="196" t="s">
        <v>11233</v>
      </c>
      <c r="G5639" s="196" t="s">
        <v>12378</v>
      </c>
      <c r="H5639" s="196" t="s">
        <v>11235</v>
      </c>
    </row>
    <row r="5640" spans="1:8" x14ac:dyDescent="0.15">
      <c r="A5640" s="196" t="s">
        <v>11229</v>
      </c>
      <c r="B5640" s="196" t="s">
        <v>11230</v>
      </c>
      <c r="C5640" s="196" t="s">
        <v>24270</v>
      </c>
      <c r="D5640" s="196" t="s">
        <v>24271</v>
      </c>
      <c r="E5640" s="196" t="s">
        <v>24271</v>
      </c>
      <c r="F5640" s="196" t="s">
        <v>11233</v>
      </c>
      <c r="G5640" s="196" t="s">
        <v>12378</v>
      </c>
      <c r="H5640" s="196" t="s">
        <v>11235</v>
      </c>
    </row>
    <row r="5641" spans="1:8" x14ac:dyDescent="0.15">
      <c r="A5641" s="196" t="s">
        <v>11229</v>
      </c>
      <c r="B5641" s="196" t="s">
        <v>11230</v>
      </c>
      <c r="C5641" s="196" t="s">
        <v>24272</v>
      </c>
      <c r="D5641" s="196" t="s">
        <v>24273</v>
      </c>
      <c r="E5641" s="196" t="s">
        <v>24274</v>
      </c>
      <c r="F5641" s="196" t="s">
        <v>11268</v>
      </c>
      <c r="G5641" s="196" t="s">
        <v>12378</v>
      </c>
      <c r="H5641" s="196" t="s">
        <v>11235</v>
      </c>
    </row>
    <row r="5642" spans="1:8" x14ac:dyDescent="0.15">
      <c r="A5642" s="196" t="s">
        <v>11229</v>
      </c>
      <c r="B5642" s="196" t="s">
        <v>11230</v>
      </c>
      <c r="C5642" s="196" t="s">
        <v>24275</v>
      </c>
      <c r="D5642" s="196" t="s">
        <v>24276</v>
      </c>
      <c r="E5642" s="196" t="s">
        <v>24277</v>
      </c>
      <c r="F5642" s="196" t="s">
        <v>14263</v>
      </c>
      <c r="G5642" s="196" t="s">
        <v>12378</v>
      </c>
      <c r="H5642" s="196" t="s">
        <v>11235</v>
      </c>
    </row>
    <row r="5643" spans="1:8" x14ac:dyDescent="0.15">
      <c r="A5643" s="196" t="s">
        <v>11229</v>
      </c>
      <c r="B5643" s="196" t="s">
        <v>11230</v>
      </c>
      <c r="C5643" s="196" t="s">
        <v>24278</v>
      </c>
      <c r="D5643" s="196" t="s">
        <v>24279</v>
      </c>
      <c r="E5643" s="196" t="s">
        <v>24279</v>
      </c>
      <c r="F5643" s="196" t="s">
        <v>11233</v>
      </c>
      <c r="G5643" s="196" t="s">
        <v>12378</v>
      </c>
      <c r="H5643" s="196" t="s">
        <v>11235</v>
      </c>
    </row>
    <row r="5644" spans="1:8" x14ac:dyDescent="0.15">
      <c r="A5644" s="196" t="s">
        <v>11229</v>
      </c>
      <c r="B5644" s="196" t="s">
        <v>11230</v>
      </c>
      <c r="C5644" s="196" t="s">
        <v>24280</v>
      </c>
      <c r="D5644" s="196" t="s">
        <v>24281</v>
      </c>
      <c r="E5644" s="196" t="s">
        <v>24282</v>
      </c>
      <c r="F5644" s="196" t="s">
        <v>13023</v>
      </c>
      <c r="G5644" s="196" t="s">
        <v>12378</v>
      </c>
      <c r="H5644" s="196" t="s">
        <v>11235</v>
      </c>
    </row>
    <row r="5645" spans="1:8" x14ac:dyDescent="0.15">
      <c r="A5645" s="196" t="s">
        <v>11229</v>
      </c>
      <c r="B5645" s="196" t="s">
        <v>11230</v>
      </c>
      <c r="C5645" s="196" t="s">
        <v>24283</v>
      </c>
      <c r="D5645" s="196" t="s">
        <v>24284</v>
      </c>
      <c r="E5645" s="196" t="s">
        <v>24284</v>
      </c>
      <c r="F5645" s="196" t="s">
        <v>11233</v>
      </c>
      <c r="G5645" s="196" t="s">
        <v>12378</v>
      </c>
      <c r="H5645" s="196" t="s">
        <v>11235</v>
      </c>
    </row>
    <row r="5646" spans="1:8" x14ac:dyDescent="0.15">
      <c r="A5646" s="196" t="s">
        <v>11229</v>
      </c>
      <c r="B5646" s="196" t="s">
        <v>11230</v>
      </c>
      <c r="C5646" s="196" t="s">
        <v>24285</v>
      </c>
      <c r="D5646" s="196" t="s">
        <v>24286</v>
      </c>
      <c r="E5646" s="196" t="s">
        <v>24286</v>
      </c>
      <c r="F5646" s="196" t="s">
        <v>11233</v>
      </c>
      <c r="G5646" s="196" t="s">
        <v>12378</v>
      </c>
      <c r="H5646" s="196" t="s">
        <v>11235</v>
      </c>
    </row>
    <row r="5647" spans="1:8" x14ac:dyDescent="0.15">
      <c r="A5647" s="196" t="s">
        <v>11229</v>
      </c>
      <c r="B5647" s="196" t="s">
        <v>11230</v>
      </c>
      <c r="C5647" s="196" t="s">
        <v>24287</v>
      </c>
      <c r="D5647" s="196" t="s">
        <v>24288</v>
      </c>
      <c r="E5647" s="196" t="s">
        <v>24288</v>
      </c>
      <c r="F5647" s="196" t="s">
        <v>11233</v>
      </c>
      <c r="G5647" s="196" t="s">
        <v>12378</v>
      </c>
      <c r="H5647" s="196" t="s">
        <v>11235</v>
      </c>
    </row>
    <row r="5648" spans="1:8" x14ac:dyDescent="0.15">
      <c r="A5648" s="196" t="s">
        <v>11229</v>
      </c>
      <c r="B5648" s="196" t="s">
        <v>11230</v>
      </c>
      <c r="C5648" s="196" t="s">
        <v>24289</v>
      </c>
      <c r="D5648" s="196" t="s">
        <v>24290</v>
      </c>
      <c r="E5648" s="196" t="s">
        <v>24290</v>
      </c>
      <c r="F5648" s="196" t="s">
        <v>11233</v>
      </c>
      <c r="G5648" s="196" t="s">
        <v>12378</v>
      </c>
      <c r="H5648" s="196" t="s">
        <v>11235</v>
      </c>
    </row>
    <row r="5649" spans="1:8" x14ac:dyDescent="0.15">
      <c r="A5649" s="196" t="s">
        <v>11229</v>
      </c>
      <c r="B5649" s="196" t="s">
        <v>11230</v>
      </c>
      <c r="C5649" s="196" t="s">
        <v>24291</v>
      </c>
      <c r="D5649" s="196" t="s">
        <v>24292</v>
      </c>
      <c r="E5649" s="196" t="s">
        <v>24292</v>
      </c>
      <c r="F5649" s="196" t="s">
        <v>11233</v>
      </c>
      <c r="G5649" s="196" t="s">
        <v>12378</v>
      </c>
      <c r="H5649" s="196" t="s">
        <v>11235</v>
      </c>
    </row>
    <row r="5650" spans="1:8" x14ac:dyDescent="0.15">
      <c r="A5650" s="196" t="s">
        <v>11229</v>
      </c>
      <c r="B5650" s="196" t="s">
        <v>11230</v>
      </c>
      <c r="C5650" s="196" t="s">
        <v>24293</v>
      </c>
      <c r="D5650" s="196" t="s">
        <v>24294</v>
      </c>
      <c r="E5650" s="196" t="s">
        <v>24295</v>
      </c>
      <c r="F5650" s="196" t="s">
        <v>24296</v>
      </c>
      <c r="G5650" s="196" t="s">
        <v>12378</v>
      </c>
      <c r="H5650" s="196" t="s">
        <v>11235</v>
      </c>
    </row>
    <row r="5651" spans="1:8" x14ac:dyDescent="0.15">
      <c r="A5651" s="196" t="s">
        <v>11229</v>
      </c>
      <c r="B5651" s="196" t="s">
        <v>11230</v>
      </c>
      <c r="C5651" s="196" t="s">
        <v>24297</v>
      </c>
      <c r="D5651" s="196" t="s">
        <v>24298</v>
      </c>
      <c r="E5651" s="196" t="s">
        <v>24299</v>
      </c>
      <c r="F5651" s="196" t="s">
        <v>24300</v>
      </c>
      <c r="G5651" s="196" t="s">
        <v>12378</v>
      </c>
      <c r="H5651" s="196" t="s">
        <v>11235</v>
      </c>
    </row>
    <row r="5652" spans="1:8" x14ac:dyDescent="0.15">
      <c r="A5652" s="196" t="s">
        <v>11229</v>
      </c>
      <c r="B5652" s="196" t="s">
        <v>11230</v>
      </c>
      <c r="C5652" s="196" t="s">
        <v>24301</v>
      </c>
      <c r="D5652" s="196" t="s">
        <v>24299</v>
      </c>
      <c r="E5652" s="196" t="s">
        <v>24302</v>
      </c>
      <c r="F5652" s="196" t="s">
        <v>12544</v>
      </c>
      <c r="G5652" s="196" t="s">
        <v>12378</v>
      </c>
      <c r="H5652" s="196" t="s">
        <v>11235</v>
      </c>
    </row>
    <row r="5653" spans="1:8" x14ac:dyDescent="0.15">
      <c r="A5653" s="196" t="s">
        <v>11229</v>
      </c>
      <c r="B5653" s="196" t="s">
        <v>11230</v>
      </c>
      <c r="C5653" s="196" t="s">
        <v>24303</v>
      </c>
      <c r="D5653" s="196" t="s">
        <v>24304</v>
      </c>
      <c r="E5653" s="196" t="s">
        <v>24305</v>
      </c>
      <c r="F5653" s="196" t="s">
        <v>12526</v>
      </c>
      <c r="G5653" s="196" t="s">
        <v>12378</v>
      </c>
      <c r="H5653" s="196" t="s">
        <v>11235</v>
      </c>
    </row>
    <row r="5654" spans="1:8" x14ac:dyDescent="0.15">
      <c r="A5654" s="196" t="s">
        <v>11229</v>
      </c>
      <c r="B5654" s="196" t="s">
        <v>11230</v>
      </c>
      <c r="C5654" s="196" t="s">
        <v>24306</v>
      </c>
      <c r="D5654" s="196" t="s">
        <v>24305</v>
      </c>
      <c r="E5654" s="196" t="s">
        <v>24307</v>
      </c>
      <c r="F5654" s="196" t="s">
        <v>16374</v>
      </c>
      <c r="G5654" s="196" t="s">
        <v>12378</v>
      </c>
      <c r="H5654" s="196" t="s">
        <v>11235</v>
      </c>
    </row>
    <row r="5655" spans="1:8" x14ac:dyDescent="0.15">
      <c r="A5655" s="196" t="s">
        <v>11229</v>
      </c>
      <c r="B5655" s="196" t="s">
        <v>11230</v>
      </c>
      <c r="C5655" s="196" t="s">
        <v>24308</v>
      </c>
      <c r="D5655" s="196" t="s">
        <v>24309</v>
      </c>
      <c r="E5655" s="196" t="s">
        <v>24310</v>
      </c>
      <c r="F5655" s="196" t="s">
        <v>16374</v>
      </c>
      <c r="G5655" s="196" t="s">
        <v>12378</v>
      </c>
      <c r="H5655" s="196" t="s">
        <v>11235</v>
      </c>
    </row>
    <row r="5656" spans="1:8" x14ac:dyDescent="0.15">
      <c r="A5656" s="196" t="s">
        <v>11229</v>
      </c>
      <c r="B5656" s="196" t="s">
        <v>11230</v>
      </c>
      <c r="C5656" s="196" t="s">
        <v>24311</v>
      </c>
      <c r="D5656" s="196" t="s">
        <v>24312</v>
      </c>
      <c r="E5656" s="196" t="s">
        <v>24313</v>
      </c>
      <c r="F5656" s="196" t="s">
        <v>24314</v>
      </c>
      <c r="G5656" s="196" t="s">
        <v>11720</v>
      </c>
      <c r="H5656" s="196" t="s">
        <v>11235</v>
      </c>
    </row>
    <row r="5657" spans="1:8" x14ac:dyDescent="0.15">
      <c r="A5657" s="196" t="s">
        <v>11229</v>
      </c>
      <c r="B5657" s="196" t="s">
        <v>11230</v>
      </c>
      <c r="C5657" s="196" t="s">
        <v>24315</v>
      </c>
      <c r="D5657" s="196" t="s">
        <v>24310</v>
      </c>
      <c r="E5657" s="196" t="s">
        <v>24316</v>
      </c>
      <c r="F5657" s="196" t="s">
        <v>24317</v>
      </c>
      <c r="G5657" s="196" t="s">
        <v>12378</v>
      </c>
      <c r="H5657" s="196" t="s">
        <v>11235</v>
      </c>
    </row>
    <row r="5658" spans="1:8" x14ac:dyDescent="0.15">
      <c r="A5658" s="196" t="s">
        <v>11229</v>
      </c>
      <c r="B5658" s="196" t="s">
        <v>11230</v>
      </c>
      <c r="C5658" s="196" t="s">
        <v>24318</v>
      </c>
      <c r="D5658" s="196" t="s">
        <v>24319</v>
      </c>
      <c r="E5658" s="196" t="s">
        <v>24320</v>
      </c>
      <c r="F5658" s="196" t="s">
        <v>13180</v>
      </c>
      <c r="G5658" s="196" t="s">
        <v>12378</v>
      </c>
      <c r="H5658" s="196" t="s">
        <v>11235</v>
      </c>
    </row>
    <row r="5659" spans="1:8" x14ac:dyDescent="0.15">
      <c r="A5659" s="196" t="s">
        <v>11229</v>
      </c>
      <c r="B5659" s="196" t="s">
        <v>11230</v>
      </c>
      <c r="C5659" s="196" t="s">
        <v>24321</v>
      </c>
      <c r="D5659" s="196" t="s">
        <v>24322</v>
      </c>
      <c r="E5659" s="196" t="s">
        <v>24323</v>
      </c>
      <c r="F5659" s="196" t="s">
        <v>15965</v>
      </c>
      <c r="G5659" s="196" t="s">
        <v>12378</v>
      </c>
      <c r="H5659" s="196" t="s">
        <v>11235</v>
      </c>
    </row>
    <row r="5660" spans="1:8" x14ac:dyDescent="0.15">
      <c r="A5660" s="196" t="s">
        <v>11229</v>
      </c>
      <c r="B5660" s="196" t="s">
        <v>11230</v>
      </c>
      <c r="C5660" s="196" t="s">
        <v>24324</v>
      </c>
      <c r="D5660" s="196" t="s">
        <v>24325</v>
      </c>
      <c r="E5660" s="196" t="s">
        <v>24326</v>
      </c>
      <c r="F5660" s="196" t="s">
        <v>17665</v>
      </c>
      <c r="G5660" s="196" t="s">
        <v>12378</v>
      </c>
      <c r="H5660" s="196" t="s">
        <v>11235</v>
      </c>
    </row>
    <row r="5661" spans="1:8" x14ac:dyDescent="0.15">
      <c r="A5661" s="196" t="s">
        <v>11229</v>
      </c>
      <c r="B5661" s="196" t="s">
        <v>11230</v>
      </c>
      <c r="C5661" s="196" t="s">
        <v>24327</v>
      </c>
      <c r="D5661" s="196" t="s">
        <v>24328</v>
      </c>
      <c r="E5661" s="196" t="s">
        <v>24328</v>
      </c>
      <c r="F5661" s="196" t="s">
        <v>11233</v>
      </c>
      <c r="G5661" s="196" t="s">
        <v>12378</v>
      </c>
      <c r="H5661" s="196" t="s">
        <v>11235</v>
      </c>
    </row>
    <row r="5662" spans="1:8" x14ac:dyDescent="0.15">
      <c r="A5662" s="196" t="s">
        <v>11229</v>
      </c>
      <c r="B5662" s="196" t="s">
        <v>11230</v>
      </c>
      <c r="C5662" s="196" t="s">
        <v>24329</v>
      </c>
      <c r="D5662" s="196" t="s">
        <v>24330</v>
      </c>
      <c r="E5662" s="196" t="s">
        <v>24331</v>
      </c>
      <c r="F5662" s="196" t="s">
        <v>11241</v>
      </c>
      <c r="G5662" s="196" t="s">
        <v>12378</v>
      </c>
      <c r="H5662" s="196" t="s">
        <v>11235</v>
      </c>
    </row>
    <row r="5663" spans="1:8" x14ac:dyDescent="0.15">
      <c r="A5663" s="196" t="s">
        <v>11229</v>
      </c>
      <c r="B5663" s="196" t="s">
        <v>11230</v>
      </c>
      <c r="C5663" s="196" t="s">
        <v>24332</v>
      </c>
      <c r="D5663" s="196" t="s">
        <v>24333</v>
      </c>
      <c r="E5663" s="196" t="s">
        <v>24333</v>
      </c>
      <c r="F5663" s="196" t="s">
        <v>11233</v>
      </c>
      <c r="G5663" s="196" t="s">
        <v>12378</v>
      </c>
      <c r="H5663" s="196" t="s">
        <v>11235</v>
      </c>
    </row>
    <row r="5664" spans="1:8" x14ac:dyDescent="0.15">
      <c r="A5664" s="196" t="s">
        <v>11229</v>
      </c>
      <c r="B5664" s="196" t="s">
        <v>11230</v>
      </c>
      <c r="C5664" s="196" t="s">
        <v>24334</v>
      </c>
      <c r="D5664" s="196" t="s">
        <v>24335</v>
      </c>
      <c r="E5664" s="196" t="s">
        <v>24335</v>
      </c>
      <c r="F5664" s="196" t="s">
        <v>11233</v>
      </c>
      <c r="G5664" s="196" t="s">
        <v>12378</v>
      </c>
      <c r="H5664" s="196" t="s">
        <v>11235</v>
      </c>
    </row>
    <row r="5665" spans="1:8" x14ac:dyDescent="0.15">
      <c r="A5665" s="196" t="s">
        <v>11229</v>
      </c>
      <c r="B5665" s="196" t="s">
        <v>11230</v>
      </c>
      <c r="C5665" s="196" t="s">
        <v>24336</v>
      </c>
      <c r="D5665" s="196" t="s">
        <v>24337</v>
      </c>
      <c r="E5665" s="196" t="s">
        <v>24337</v>
      </c>
      <c r="F5665" s="196" t="s">
        <v>11233</v>
      </c>
      <c r="G5665" s="196" t="s">
        <v>12378</v>
      </c>
      <c r="H5665" s="196" t="s">
        <v>11235</v>
      </c>
    </row>
    <row r="5666" spans="1:8" x14ac:dyDescent="0.15">
      <c r="A5666" s="196" t="s">
        <v>11229</v>
      </c>
      <c r="B5666" s="196" t="s">
        <v>11230</v>
      </c>
      <c r="C5666" s="196" t="s">
        <v>24338</v>
      </c>
      <c r="D5666" s="196" t="s">
        <v>24339</v>
      </c>
      <c r="E5666" s="196" t="s">
        <v>24339</v>
      </c>
      <c r="F5666" s="196" t="s">
        <v>11233</v>
      </c>
      <c r="G5666" s="196" t="s">
        <v>12378</v>
      </c>
      <c r="H5666" s="196" t="s">
        <v>11235</v>
      </c>
    </row>
    <row r="5667" spans="1:8" x14ac:dyDescent="0.15">
      <c r="A5667" s="196" t="s">
        <v>11229</v>
      </c>
      <c r="B5667" s="196" t="s">
        <v>11230</v>
      </c>
      <c r="C5667" s="196" t="s">
        <v>24340</v>
      </c>
      <c r="D5667" s="196" t="s">
        <v>24341</v>
      </c>
      <c r="E5667" s="196" t="s">
        <v>24342</v>
      </c>
      <c r="F5667" s="196" t="s">
        <v>13023</v>
      </c>
      <c r="G5667" s="196" t="s">
        <v>12378</v>
      </c>
      <c r="H5667" s="196" t="s">
        <v>11235</v>
      </c>
    </row>
    <row r="5668" spans="1:8" x14ac:dyDescent="0.15">
      <c r="A5668" s="196" t="s">
        <v>11229</v>
      </c>
      <c r="B5668" s="196" t="s">
        <v>11230</v>
      </c>
      <c r="C5668" s="196" t="s">
        <v>24343</v>
      </c>
      <c r="D5668" s="196" t="s">
        <v>24344</v>
      </c>
      <c r="E5668" s="196" t="s">
        <v>24345</v>
      </c>
      <c r="F5668" s="196" t="s">
        <v>11268</v>
      </c>
      <c r="G5668" s="196" t="s">
        <v>12378</v>
      </c>
      <c r="H5668" s="196" t="s">
        <v>11235</v>
      </c>
    </row>
    <row r="5669" spans="1:8" x14ac:dyDescent="0.15">
      <c r="A5669" s="196" t="s">
        <v>11229</v>
      </c>
      <c r="B5669" s="196" t="s">
        <v>11230</v>
      </c>
      <c r="C5669" s="196" t="s">
        <v>24346</v>
      </c>
      <c r="D5669" s="196" t="s">
        <v>24347</v>
      </c>
      <c r="E5669" s="196" t="s">
        <v>24348</v>
      </c>
      <c r="F5669" s="196" t="s">
        <v>11268</v>
      </c>
      <c r="G5669" s="196" t="s">
        <v>12378</v>
      </c>
      <c r="H5669" s="196" t="s">
        <v>11235</v>
      </c>
    </row>
    <row r="5670" spans="1:8" x14ac:dyDescent="0.15">
      <c r="A5670" s="196" t="s">
        <v>11229</v>
      </c>
      <c r="B5670" s="196" t="s">
        <v>11230</v>
      </c>
      <c r="C5670" s="196" t="s">
        <v>24349</v>
      </c>
      <c r="D5670" s="196" t="s">
        <v>24350</v>
      </c>
      <c r="E5670" s="196" t="s">
        <v>24350</v>
      </c>
      <c r="F5670" s="196" t="s">
        <v>11233</v>
      </c>
      <c r="G5670" s="196" t="s">
        <v>12378</v>
      </c>
      <c r="H5670" s="196" t="s">
        <v>11235</v>
      </c>
    </row>
    <row r="5671" spans="1:8" x14ac:dyDescent="0.15">
      <c r="A5671" s="196" t="s">
        <v>11229</v>
      </c>
      <c r="B5671" s="196" t="s">
        <v>11230</v>
      </c>
      <c r="C5671" s="196" t="s">
        <v>24351</v>
      </c>
      <c r="D5671" s="196" t="s">
        <v>24352</v>
      </c>
      <c r="E5671" s="196" t="s">
        <v>24352</v>
      </c>
      <c r="F5671" s="196" t="s">
        <v>11233</v>
      </c>
      <c r="G5671" s="196" t="s">
        <v>12378</v>
      </c>
      <c r="H5671" s="196" t="s">
        <v>11235</v>
      </c>
    </row>
    <row r="5672" spans="1:8" x14ac:dyDescent="0.15">
      <c r="A5672" s="196" t="s">
        <v>11229</v>
      </c>
      <c r="B5672" s="196" t="s">
        <v>11230</v>
      </c>
      <c r="C5672" s="196" t="s">
        <v>24353</v>
      </c>
      <c r="D5672" s="196" t="s">
        <v>24354</v>
      </c>
      <c r="E5672" s="196" t="s">
        <v>24354</v>
      </c>
      <c r="F5672" s="196" t="s">
        <v>11233</v>
      </c>
      <c r="G5672" s="196" t="s">
        <v>12378</v>
      </c>
      <c r="H5672" s="196" t="s">
        <v>11235</v>
      </c>
    </row>
    <row r="5673" spans="1:8" x14ac:dyDescent="0.15">
      <c r="A5673" s="196" t="s">
        <v>11229</v>
      </c>
      <c r="B5673" s="196" t="s">
        <v>11230</v>
      </c>
      <c r="C5673" s="196" t="s">
        <v>24355</v>
      </c>
      <c r="D5673" s="196" t="s">
        <v>24356</v>
      </c>
      <c r="E5673" s="196" t="s">
        <v>24356</v>
      </c>
      <c r="F5673" s="196" t="s">
        <v>11233</v>
      </c>
      <c r="G5673" s="196" t="s">
        <v>12378</v>
      </c>
      <c r="H5673" s="196" t="s">
        <v>11235</v>
      </c>
    </row>
    <row r="5674" spans="1:8" x14ac:dyDescent="0.15">
      <c r="A5674" s="196" t="s">
        <v>11229</v>
      </c>
      <c r="B5674" s="196" t="s">
        <v>11230</v>
      </c>
      <c r="C5674" s="196" t="s">
        <v>24357</v>
      </c>
      <c r="D5674" s="196" t="s">
        <v>24358</v>
      </c>
      <c r="E5674" s="196" t="s">
        <v>24359</v>
      </c>
      <c r="F5674" s="196" t="s">
        <v>11268</v>
      </c>
      <c r="G5674" s="196" t="s">
        <v>12378</v>
      </c>
      <c r="H5674" s="196" t="s">
        <v>11235</v>
      </c>
    </row>
    <row r="5675" spans="1:8" x14ac:dyDescent="0.15">
      <c r="A5675" s="196" t="s">
        <v>11229</v>
      </c>
      <c r="B5675" s="196" t="s">
        <v>11230</v>
      </c>
      <c r="C5675" s="196" t="s">
        <v>24360</v>
      </c>
      <c r="D5675" s="196" t="s">
        <v>24359</v>
      </c>
      <c r="E5675" s="196" t="s">
        <v>24361</v>
      </c>
      <c r="F5675" s="196" t="s">
        <v>11241</v>
      </c>
      <c r="G5675" s="196" t="s">
        <v>12378</v>
      </c>
      <c r="H5675" s="196" t="s">
        <v>11235</v>
      </c>
    </row>
    <row r="5676" spans="1:8" x14ac:dyDescent="0.15">
      <c r="A5676" s="196" t="s">
        <v>11229</v>
      </c>
      <c r="B5676" s="196" t="s">
        <v>11230</v>
      </c>
      <c r="C5676" s="196" t="s">
        <v>24362</v>
      </c>
      <c r="D5676" s="196" t="s">
        <v>24361</v>
      </c>
      <c r="E5676" s="196" t="s">
        <v>24363</v>
      </c>
      <c r="F5676" s="196" t="s">
        <v>11268</v>
      </c>
      <c r="G5676" s="196" t="s">
        <v>12378</v>
      </c>
      <c r="H5676" s="196" t="s">
        <v>11235</v>
      </c>
    </row>
    <row r="5677" spans="1:8" x14ac:dyDescent="0.15">
      <c r="A5677" s="196" t="s">
        <v>11229</v>
      </c>
      <c r="B5677" s="196" t="s">
        <v>11230</v>
      </c>
      <c r="C5677" s="196" t="s">
        <v>24364</v>
      </c>
      <c r="D5677" s="196" t="s">
        <v>24365</v>
      </c>
      <c r="E5677" s="196" t="s">
        <v>24366</v>
      </c>
      <c r="F5677" s="196" t="s">
        <v>13758</v>
      </c>
      <c r="G5677" s="196" t="s">
        <v>12378</v>
      </c>
      <c r="H5677" s="196" t="s">
        <v>11235</v>
      </c>
    </row>
    <row r="5678" spans="1:8" x14ac:dyDescent="0.15">
      <c r="A5678" s="196" t="s">
        <v>11229</v>
      </c>
      <c r="B5678" s="196" t="s">
        <v>11230</v>
      </c>
      <c r="C5678" s="196" t="s">
        <v>24367</v>
      </c>
      <c r="D5678" s="196" t="s">
        <v>24366</v>
      </c>
      <c r="E5678" s="196" t="s">
        <v>24368</v>
      </c>
      <c r="F5678" s="196" t="s">
        <v>11268</v>
      </c>
      <c r="G5678" s="196" t="s">
        <v>12378</v>
      </c>
      <c r="H5678" s="196" t="s">
        <v>11235</v>
      </c>
    </row>
    <row r="5679" spans="1:8" x14ac:dyDescent="0.15">
      <c r="A5679" s="196" t="s">
        <v>11229</v>
      </c>
      <c r="B5679" s="196" t="s">
        <v>11230</v>
      </c>
      <c r="C5679" s="196" t="s">
        <v>24369</v>
      </c>
      <c r="D5679" s="196" t="s">
        <v>24368</v>
      </c>
      <c r="E5679" s="196" t="s">
        <v>24370</v>
      </c>
      <c r="F5679" s="196" t="s">
        <v>11241</v>
      </c>
      <c r="G5679" s="196" t="s">
        <v>12378</v>
      </c>
      <c r="H5679" s="196" t="s">
        <v>11235</v>
      </c>
    </row>
    <row r="5680" spans="1:8" x14ac:dyDescent="0.15">
      <c r="A5680" s="196" t="s">
        <v>11229</v>
      </c>
      <c r="B5680" s="196" t="s">
        <v>11230</v>
      </c>
      <c r="C5680" s="196" t="s">
        <v>24371</v>
      </c>
      <c r="D5680" s="196" t="s">
        <v>24370</v>
      </c>
      <c r="E5680" s="196" t="s">
        <v>24372</v>
      </c>
      <c r="F5680" s="196" t="s">
        <v>11241</v>
      </c>
      <c r="G5680" s="196" t="s">
        <v>12378</v>
      </c>
      <c r="H5680" s="196" t="s">
        <v>11235</v>
      </c>
    </row>
    <row r="5681" spans="1:8" x14ac:dyDescent="0.15">
      <c r="A5681" s="196" t="s">
        <v>11229</v>
      </c>
      <c r="B5681" s="196" t="s">
        <v>11230</v>
      </c>
      <c r="C5681" s="196" t="s">
        <v>24373</v>
      </c>
      <c r="D5681" s="196" t="s">
        <v>24372</v>
      </c>
      <c r="E5681" s="196" t="s">
        <v>24374</v>
      </c>
      <c r="F5681" s="196" t="s">
        <v>11268</v>
      </c>
      <c r="G5681" s="196" t="s">
        <v>12378</v>
      </c>
      <c r="H5681" s="196" t="s">
        <v>11235</v>
      </c>
    </row>
    <row r="5682" spans="1:8" x14ac:dyDescent="0.15">
      <c r="A5682" s="196" t="s">
        <v>11229</v>
      </c>
      <c r="B5682" s="196" t="s">
        <v>11230</v>
      </c>
      <c r="C5682" s="196" t="s">
        <v>24375</v>
      </c>
      <c r="D5682" s="196" t="s">
        <v>24374</v>
      </c>
      <c r="E5682" s="196" t="s">
        <v>24376</v>
      </c>
      <c r="F5682" s="196" t="s">
        <v>11241</v>
      </c>
      <c r="G5682" s="196" t="s">
        <v>12378</v>
      </c>
      <c r="H5682" s="196" t="s">
        <v>11235</v>
      </c>
    </row>
    <row r="5683" spans="1:8" x14ac:dyDescent="0.15">
      <c r="A5683" s="196" t="s">
        <v>11229</v>
      </c>
      <c r="B5683" s="196" t="s">
        <v>11230</v>
      </c>
      <c r="C5683" s="196" t="s">
        <v>24377</v>
      </c>
      <c r="D5683" s="196" t="s">
        <v>24376</v>
      </c>
      <c r="E5683" s="196" t="s">
        <v>24378</v>
      </c>
      <c r="F5683" s="196" t="s">
        <v>11268</v>
      </c>
      <c r="G5683" s="196" t="s">
        <v>12378</v>
      </c>
      <c r="H5683" s="196" t="s">
        <v>11235</v>
      </c>
    </row>
    <row r="5684" spans="1:8" x14ac:dyDescent="0.15">
      <c r="A5684" s="196" t="s">
        <v>11229</v>
      </c>
      <c r="B5684" s="196" t="s">
        <v>11230</v>
      </c>
      <c r="C5684" s="196" t="s">
        <v>24379</v>
      </c>
      <c r="D5684" s="196" t="s">
        <v>24378</v>
      </c>
      <c r="E5684" s="196" t="s">
        <v>24380</v>
      </c>
      <c r="F5684" s="196" t="s">
        <v>11241</v>
      </c>
      <c r="G5684" s="196" t="s">
        <v>12378</v>
      </c>
      <c r="H5684" s="196" t="s">
        <v>11235</v>
      </c>
    </row>
    <row r="5685" spans="1:8" x14ac:dyDescent="0.15">
      <c r="A5685" s="196" t="s">
        <v>11229</v>
      </c>
      <c r="B5685" s="196" t="s">
        <v>11230</v>
      </c>
      <c r="C5685" s="196" t="s">
        <v>24381</v>
      </c>
      <c r="D5685" s="196" t="s">
        <v>24380</v>
      </c>
      <c r="E5685" s="196" t="s">
        <v>24382</v>
      </c>
      <c r="F5685" s="196" t="s">
        <v>11241</v>
      </c>
      <c r="G5685" s="196" t="s">
        <v>12378</v>
      </c>
      <c r="H5685" s="196" t="s">
        <v>11235</v>
      </c>
    </row>
    <row r="5686" spans="1:8" x14ac:dyDescent="0.15">
      <c r="A5686" s="196" t="s">
        <v>11229</v>
      </c>
      <c r="B5686" s="196" t="s">
        <v>11230</v>
      </c>
      <c r="C5686" s="196" t="s">
        <v>24383</v>
      </c>
      <c r="D5686" s="196" t="s">
        <v>24382</v>
      </c>
      <c r="E5686" s="196" t="s">
        <v>24384</v>
      </c>
      <c r="F5686" s="196" t="s">
        <v>11268</v>
      </c>
      <c r="G5686" s="196" t="s">
        <v>12378</v>
      </c>
      <c r="H5686" s="196" t="s">
        <v>11235</v>
      </c>
    </row>
    <row r="5687" spans="1:8" x14ac:dyDescent="0.15">
      <c r="A5687" s="196" t="s">
        <v>11229</v>
      </c>
      <c r="B5687" s="196" t="s">
        <v>11230</v>
      </c>
      <c r="C5687" s="196" t="s">
        <v>24385</v>
      </c>
      <c r="D5687" s="196" t="s">
        <v>24386</v>
      </c>
      <c r="E5687" s="196" t="s">
        <v>24386</v>
      </c>
      <c r="F5687" s="196" t="s">
        <v>11233</v>
      </c>
      <c r="G5687" s="196" t="s">
        <v>12378</v>
      </c>
      <c r="H5687" s="196" t="s">
        <v>11235</v>
      </c>
    </row>
    <row r="5688" spans="1:8" x14ac:dyDescent="0.15">
      <c r="A5688" s="196" t="s">
        <v>11229</v>
      </c>
      <c r="B5688" s="196" t="s">
        <v>11230</v>
      </c>
      <c r="C5688" s="196" t="s">
        <v>24387</v>
      </c>
      <c r="D5688" s="196" t="s">
        <v>24388</v>
      </c>
      <c r="E5688" s="196" t="s">
        <v>24389</v>
      </c>
      <c r="F5688" s="196" t="s">
        <v>11241</v>
      </c>
      <c r="G5688" s="196" t="s">
        <v>12378</v>
      </c>
      <c r="H5688" s="196" t="s">
        <v>11235</v>
      </c>
    </row>
    <row r="5689" spans="1:8" x14ac:dyDescent="0.15">
      <c r="A5689" s="196" t="s">
        <v>11229</v>
      </c>
      <c r="B5689" s="196" t="s">
        <v>11230</v>
      </c>
      <c r="C5689" s="196" t="s">
        <v>24390</v>
      </c>
      <c r="D5689" s="196" t="s">
        <v>24389</v>
      </c>
      <c r="E5689" s="196" t="s">
        <v>24391</v>
      </c>
      <c r="F5689" s="196" t="s">
        <v>13023</v>
      </c>
      <c r="G5689" s="196" t="s">
        <v>12378</v>
      </c>
      <c r="H5689" s="196" t="s">
        <v>11235</v>
      </c>
    </row>
    <row r="5690" spans="1:8" x14ac:dyDescent="0.15">
      <c r="A5690" s="196" t="s">
        <v>11229</v>
      </c>
      <c r="B5690" s="196" t="s">
        <v>11230</v>
      </c>
      <c r="C5690" s="196" t="s">
        <v>24392</v>
      </c>
      <c r="D5690" s="196" t="s">
        <v>24391</v>
      </c>
      <c r="E5690" s="196" t="s">
        <v>24393</v>
      </c>
      <c r="F5690" s="196" t="s">
        <v>11241</v>
      </c>
      <c r="G5690" s="196" t="s">
        <v>12378</v>
      </c>
      <c r="H5690" s="196" t="s">
        <v>11235</v>
      </c>
    </row>
    <row r="5691" spans="1:8" x14ac:dyDescent="0.15">
      <c r="A5691" s="196" t="s">
        <v>11229</v>
      </c>
      <c r="B5691" s="196" t="s">
        <v>11230</v>
      </c>
      <c r="C5691" s="196" t="s">
        <v>24394</v>
      </c>
      <c r="D5691" s="196" t="s">
        <v>24395</v>
      </c>
      <c r="E5691" s="196" t="s">
        <v>24395</v>
      </c>
      <c r="F5691" s="196" t="s">
        <v>11233</v>
      </c>
      <c r="G5691" s="196" t="s">
        <v>12378</v>
      </c>
      <c r="H5691" s="196" t="s">
        <v>11235</v>
      </c>
    </row>
    <row r="5692" spans="1:8" x14ac:dyDescent="0.15">
      <c r="A5692" s="196" t="s">
        <v>11229</v>
      </c>
      <c r="B5692" s="196" t="s">
        <v>11230</v>
      </c>
      <c r="C5692" s="196" t="s">
        <v>24396</v>
      </c>
      <c r="D5692" s="196" t="s">
        <v>24397</v>
      </c>
      <c r="E5692" s="196" t="s">
        <v>24397</v>
      </c>
      <c r="F5692" s="196" t="s">
        <v>11233</v>
      </c>
      <c r="G5692" s="196" t="s">
        <v>12378</v>
      </c>
      <c r="H5692" s="196" t="s">
        <v>11235</v>
      </c>
    </row>
    <row r="5693" spans="1:8" x14ac:dyDescent="0.15">
      <c r="A5693" s="196" t="s">
        <v>11229</v>
      </c>
      <c r="B5693" s="196" t="s">
        <v>11230</v>
      </c>
      <c r="C5693" s="196" t="s">
        <v>24398</v>
      </c>
      <c r="D5693" s="196" t="s">
        <v>24399</v>
      </c>
      <c r="E5693" s="196" t="s">
        <v>24399</v>
      </c>
      <c r="F5693" s="196" t="s">
        <v>11233</v>
      </c>
      <c r="G5693" s="196" t="s">
        <v>12378</v>
      </c>
      <c r="H5693" s="196" t="s">
        <v>11235</v>
      </c>
    </row>
    <row r="5694" spans="1:8" x14ac:dyDescent="0.15">
      <c r="A5694" s="196" t="s">
        <v>11229</v>
      </c>
      <c r="B5694" s="196" t="s">
        <v>11230</v>
      </c>
      <c r="C5694" s="196" t="s">
        <v>24400</v>
      </c>
      <c r="D5694" s="196" t="s">
        <v>24401</v>
      </c>
      <c r="E5694" s="196" t="s">
        <v>24401</v>
      </c>
      <c r="F5694" s="196" t="s">
        <v>11233</v>
      </c>
      <c r="G5694" s="196" t="s">
        <v>12378</v>
      </c>
      <c r="H5694" s="196" t="s">
        <v>11235</v>
      </c>
    </row>
    <row r="5695" spans="1:8" x14ac:dyDescent="0.15">
      <c r="A5695" s="196" t="s">
        <v>11229</v>
      </c>
      <c r="B5695" s="196" t="s">
        <v>11230</v>
      </c>
      <c r="C5695" s="196" t="s">
        <v>24402</v>
      </c>
      <c r="D5695" s="196" t="s">
        <v>24403</v>
      </c>
      <c r="E5695" s="196" t="s">
        <v>24403</v>
      </c>
      <c r="F5695" s="196" t="s">
        <v>11233</v>
      </c>
      <c r="G5695" s="196" t="s">
        <v>12378</v>
      </c>
      <c r="H5695" s="196" t="s">
        <v>11235</v>
      </c>
    </row>
    <row r="5696" spans="1:8" x14ac:dyDescent="0.15">
      <c r="A5696" s="196" t="s">
        <v>11229</v>
      </c>
      <c r="B5696" s="196" t="s">
        <v>11230</v>
      </c>
      <c r="C5696" s="196" t="s">
        <v>24404</v>
      </c>
      <c r="D5696" s="196" t="s">
        <v>24405</v>
      </c>
      <c r="E5696" s="196" t="s">
        <v>24405</v>
      </c>
      <c r="F5696" s="196" t="s">
        <v>11233</v>
      </c>
      <c r="G5696" s="196" t="s">
        <v>12378</v>
      </c>
      <c r="H5696" s="196" t="s">
        <v>11235</v>
      </c>
    </row>
    <row r="5697" spans="1:8" x14ac:dyDescent="0.15">
      <c r="A5697" s="196" t="s">
        <v>11229</v>
      </c>
      <c r="B5697" s="196" t="s">
        <v>11230</v>
      </c>
      <c r="C5697" s="196" t="s">
        <v>24406</v>
      </c>
      <c r="D5697" s="196" t="s">
        <v>24407</v>
      </c>
      <c r="E5697" s="196" t="s">
        <v>24408</v>
      </c>
      <c r="F5697" s="196" t="s">
        <v>13758</v>
      </c>
      <c r="G5697" s="196" t="s">
        <v>12378</v>
      </c>
      <c r="H5697" s="196" t="s">
        <v>11235</v>
      </c>
    </row>
    <row r="5698" spans="1:8" x14ac:dyDescent="0.15">
      <c r="A5698" s="196" t="s">
        <v>11229</v>
      </c>
      <c r="B5698" s="196" t="s">
        <v>11230</v>
      </c>
      <c r="C5698" s="196" t="s">
        <v>24409</v>
      </c>
      <c r="D5698" s="196" t="s">
        <v>24410</v>
      </c>
      <c r="E5698" s="196" t="s">
        <v>24410</v>
      </c>
      <c r="F5698" s="196" t="s">
        <v>11233</v>
      </c>
      <c r="G5698" s="196" t="s">
        <v>12378</v>
      </c>
      <c r="H5698" s="196" t="s">
        <v>11235</v>
      </c>
    </row>
    <row r="5699" spans="1:8" x14ac:dyDescent="0.15">
      <c r="A5699" s="196" t="s">
        <v>11229</v>
      </c>
      <c r="B5699" s="196" t="s">
        <v>11230</v>
      </c>
      <c r="C5699" s="196" t="s">
        <v>24411</v>
      </c>
      <c r="D5699" s="196" t="s">
        <v>24412</v>
      </c>
      <c r="E5699" s="196" t="s">
        <v>24412</v>
      </c>
      <c r="F5699" s="196" t="s">
        <v>11233</v>
      </c>
      <c r="G5699" s="196" t="s">
        <v>12378</v>
      </c>
      <c r="H5699" s="196" t="s">
        <v>11235</v>
      </c>
    </row>
    <row r="5700" spans="1:8" x14ac:dyDescent="0.15">
      <c r="A5700" s="196" t="s">
        <v>11229</v>
      </c>
      <c r="B5700" s="196" t="s">
        <v>11230</v>
      </c>
      <c r="C5700" s="196" t="s">
        <v>24413</v>
      </c>
      <c r="D5700" s="196" t="s">
        <v>24414</v>
      </c>
      <c r="E5700" s="196" t="s">
        <v>24414</v>
      </c>
      <c r="F5700" s="196" t="s">
        <v>11233</v>
      </c>
      <c r="G5700" s="196" t="s">
        <v>12378</v>
      </c>
      <c r="H5700" s="196" t="s">
        <v>11235</v>
      </c>
    </row>
    <row r="5701" spans="1:8" x14ac:dyDescent="0.15">
      <c r="A5701" s="196" t="s">
        <v>11229</v>
      </c>
      <c r="B5701" s="196" t="s">
        <v>11230</v>
      </c>
      <c r="C5701" s="196" t="s">
        <v>24415</v>
      </c>
      <c r="D5701" s="196" t="s">
        <v>24416</v>
      </c>
      <c r="E5701" s="196" t="s">
        <v>24416</v>
      </c>
      <c r="F5701" s="196" t="s">
        <v>11233</v>
      </c>
      <c r="G5701" s="196" t="s">
        <v>12378</v>
      </c>
      <c r="H5701" s="196" t="s">
        <v>11235</v>
      </c>
    </row>
    <row r="5702" spans="1:8" x14ac:dyDescent="0.15">
      <c r="A5702" s="196" t="s">
        <v>11229</v>
      </c>
      <c r="B5702" s="196" t="s">
        <v>11230</v>
      </c>
      <c r="C5702" s="196" t="s">
        <v>24417</v>
      </c>
      <c r="D5702" s="196" t="s">
        <v>24418</v>
      </c>
      <c r="E5702" s="196" t="s">
        <v>24418</v>
      </c>
      <c r="F5702" s="196" t="s">
        <v>11233</v>
      </c>
      <c r="G5702" s="196" t="s">
        <v>12378</v>
      </c>
      <c r="H5702" s="196" t="s">
        <v>11235</v>
      </c>
    </row>
    <row r="5703" spans="1:8" x14ac:dyDescent="0.15">
      <c r="A5703" s="196" t="s">
        <v>11229</v>
      </c>
      <c r="B5703" s="196" t="s">
        <v>11230</v>
      </c>
      <c r="C5703" s="196" t="s">
        <v>24419</v>
      </c>
      <c r="D5703" s="196" t="s">
        <v>24420</v>
      </c>
      <c r="E5703" s="196" t="s">
        <v>24420</v>
      </c>
      <c r="F5703" s="196" t="s">
        <v>11233</v>
      </c>
      <c r="G5703" s="196" t="s">
        <v>12378</v>
      </c>
      <c r="H5703" s="196" t="s">
        <v>11235</v>
      </c>
    </row>
    <row r="5704" spans="1:8" x14ac:dyDescent="0.15">
      <c r="A5704" s="196" t="s">
        <v>11229</v>
      </c>
      <c r="B5704" s="196" t="s">
        <v>11230</v>
      </c>
      <c r="C5704" s="196" t="s">
        <v>24421</v>
      </c>
      <c r="D5704" s="196" t="s">
        <v>24422</v>
      </c>
      <c r="E5704" s="196" t="s">
        <v>24422</v>
      </c>
      <c r="F5704" s="196" t="s">
        <v>11233</v>
      </c>
      <c r="G5704" s="196" t="s">
        <v>12378</v>
      </c>
      <c r="H5704" s="196" t="s">
        <v>11235</v>
      </c>
    </row>
    <row r="5705" spans="1:8" x14ac:dyDescent="0.15">
      <c r="A5705" s="196" t="s">
        <v>11229</v>
      </c>
      <c r="B5705" s="196" t="s">
        <v>11230</v>
      </c>
      <c r="C5705" s="196" t="s">
        <v>24423</v>
      </c>
      <c r="D5705" s="196" t="s">
        <v>24424</v>
      </c>
      <c r="E5705" s="196" t="s">
        <v>24424</v>
      </c>
      <c r="F5705" s="196" t="s">
        <v>11233</v>
      </c>
      <c r="G5705" s="196" t="s">
        <v>12378</v>
      </c>
      <c r="H5705" s="196" t="s">
        <v>11235</v>
      </c>
    </row>
    <row r="5706" spans="1:8" x14ac:dyDescent="0.15">
      <c r="A5706" s="196" t="s">
        <v>11229</v>
      </c>
      <c r="B5706" s="196" t="s">
        <v>11230</v>
      </c>
      <c r="C5706" s="196" t="s">
        <v>24425</v>
      </c>
      <c r="D5706" s="196" t="s">
        <v>24426</v>
      </c>
      <c r="E5706" s="196" t="s">
        <v>24426</v>
      </c>
      <c r="F5706" s="196" t="s">
        <v>11233</v>
      </c>
      <c r="G5706" s="196" t="s">
        <v>12378</v>
      </c>
      <c r="H5706" s="196" t="s">
        <v>11235</v>
      </c>
    </row>
    <row r="5707" spans="1:8" x14ac:dyDescent="0.15">
      <c r="A5707" s="196" t="s">
        <v>11229</v>
      </c>
      <c r="B5707" s="196" t="s">
        <v>11230</v>
      </c>
      <c r="C5707" s="196" t="s">
        <v>24427</v>
      </c>
      <c r="D5707" s="196" t="s">
        <v>24428</v>
      </c>
      <c r="E5707" s="196" t="s">
        <v>24428</v>
      </c>
      <c r="F5707" s="196" t="s">
        <v>11233</v>
      </c>
      <c r="G5707" s="196" t="s">
        <v>12378</v>
      </c>
      <c r="H5707" s="196" t="s">
        <v>11235</v>
      </c>
    </row>
    <row r="5708" spans="1:8" x14ac:dyDescent="0.15">
      <c r="A5708" s="196" t="s">
        <v>11229</v>
      </c>
      <c r="B5708" s="196" t="s">
        <v>11230</v>
      </c>
      <c r="C5708" s="196" t="s">
        <v>24429</v>
      </c>
      <c r="D5708" s="196" t="s">
        <v>24430</v>
      </c>
      <c r="E5708" s="196" t="s">
        <v>24430</v>
      </c>
      <c r="F5708" s="196" t="s">
        <v>11233</v>
      </c>
      <c r="G5708" s="196" t="s">
        <v>12378</v>
      </c>
      <c r="H5708" s="196" t="s">
        <v>11235</v>
      </c>
    </row>
    <row r="5709" spans="1:8" x14ac:dyDescent="0.15">
      <c r="A5709" s="196" t="s">
        <v>11229</v>
      </c>
      <c r="B5709" s="196" t="s">
        <v>11230</v>
      </c>
      <c r="C5709" s="196" t="s">
        <v>24431</v>
      </c>
      <c r="D5709" s="196" t="s">
        <v>24432</v>
      </c>
      <c r="E5709" s="196" t="s">
        <v>24432</v>
      </c>
      <c r="F5709" s="196" t="s">
        <v>11233</v>
      </c>
      <c r="G5709" s="196" t="s">
        <v>12378</v>
      </c>
      <c r="H5709" s="196" t="s">
        <v>11235</v>
      </c>
    </row>
    <row r="5710" spans="1:8" x14ac:dyDescent="0.15">
      <c r="A5710" s="196" t="s">
        <v>11229</v>
      </c>
      <c r="B5710" s="196" t="s">
        <v>11230</v>
      </c>
      <c r="C5710" s="196" t="s">
        <v>24433</v>
      </c>
      <c r="D5710" s="196" t="s">
        <v>24434</v>
      </c>
      <c r="E5710" s="196" t="s">
        <v>24435</v>
      </c>
      <c r="F5710" s="196" t="s">
        <v>11268</v>
      </c>
      <c r="G5710" s="196" t="s">
        <v>12378</v>
      </c>
      <c r="H5710" s="196" t="s">
        <v>11235</v>
      </c>
    </row>
    <row r="5711" spans="1:8" x14ac:dyDescent="0.15">
      <c r="A5711" s="196" t="s">
        <v>11229</v>
      </c>
      <c r="B5711" s="196" t="s">
        <v>11230</v>
      </c>
      <c r="C5711" s="196" t="s">
        <v>24436</v>
      </c>
      <c r="D5711" s="196" t="s">
        <v>24437</v>
      </c>
      <c r="E5711" s="196" t="s">
        <v>24437</v>
      </c>
      <c r="F5711" s="196" t="s">
        <v>11233</v>
      </c>
      <c r="G5711" s="196" t="s">
        <v>12378</v>
      </c>
      <c r="H5711" s="196" t="s">
        <v>11235</v>
      </c>
    </row>
    <row r="5712" spans="1:8" x14ac:dyDescent="0.15">
      <c r="A5712" s="196" t="s">
        <v>11229</v>
      </c>
      <c r="B5712" s="196" t="s">
        <v>11230</v>
      </c>
      <c r="C5712" s="196" t="s">
        <v>24438</v>
      </c>
      <c r="D5712" s="196" t="s">
        <v>24439</v>
      </c>
      <c r="E5712" s="196" t="s">
        <v>24440</v>
      </c>
      <c r="F5712" s="196" t="s">
        <v>13250</v>
      </c>
      <c r="G5712" s="196" t="s">
        <v>12378</v>
      </c>
      <c r="H5712" s="196" t="s">
        <v>11235</v>
      </c>
    </row>
    <row r="5713" spans="1:8" x14ac:dyDescent="0.15">
      <c r="A5713" s="196" t="s">
        <v>11229</v>
      </c>
      <c r="B5713" s="196" t="s">
        <v>11230</v>
      </c>
      <c r="C5713" s="196" t="s">
        <v>24441</v>
      </c>
      <c r="D5713" s="196" t="s">
        <v>24442</v>
      </c>
      <c r="E5713" s="196" t="s">
        <v>24443</v>
      </c>
      <c r="F5713" s="196" t="s">
        <v>24444</v>
      </c>
      <c r="G5713" s="196" t="s">
        <v>12378</v>
      </c>
      <c r="H5713" s="196" t="s">
        <v>11235</v>
      </c>
    </row>
    <row r="5714" spans="1:8" x14ac:dyDescent="0.15">
      <c r="A5714" s="196" t="s">
        <v>11229</v>
      </c>
      <c r="B5714" s="196" t="s">
        <v>11230</v>
      </c>
      <c r="C5714" s="196" t="s">
        <v>24445</v>
      </c>
      <c r="D5714" s="196" t="s">
        <v>24446</v>
      </c>
      <c r="E5714" s="196" t="s">
        <v>24447</v>
      </c>
      <c r="F5714" s="196" t="s">
        <v>24448</v>
      </c>
      <c r="G5714" s="196" t="s">
        <v>11720</v>
      </c>
      <c r="H5714" s="196" t="s">
        <v>11235</v>
      </c>
    </row>
    <row r="5715" spans="1:8" x14ac:dyDescent="0.15">
      <c r="A5715" s="196" t="s">
        <v>11229</v>
      </c>
      <c r="B5715" s="196" t="s">
        <v>11230</v>
      </c>
      <c r="C5715" s="196" t="s">
        <v>24449</v>
      </c>
      <c r="D5715" s="196" t="s">
        <v>24450</v>
      </c>
      <c r="E5715" s="196" t="s">
        <v>24451</v>
      </c>
      <c r="F5715" s="196" t="s">
        <v>24452</v>
      </c>
      <c r="G5715" s="196" t="s">
        <v>12378</v>
      </c>
      <c r="H5715" s="196" t="s">
        <v>11235</v>
      </c>
    </row>
    <row r="5716" spans="1:8" x14ac:dyDescent="0.15">
      <c r="A5716" s="196" t="s">
        <v>11229</v>
      </c>
      <c r="B5716" s="196" t="s">
        <v>11230</v>
      </c>
      <c r="C5716" s="196" t="s">
        <v>24453</v>
      </c>
      <c r="D5716" s="196" t="s">
        <v>24454</v>
      </c>
      <c r="E5716" s="196" t="s">
        <v>24455</v>
      </c>
      <c r="F5716" s="196" t="s">
        <v>24456</v>
      </c>
      <c r="G5716" s="196" t="s">
        <v>12378</v>
      </c>
      <c r="H5716" s="196" t="s">
        <v>11235</v>
      </c>
    </row>
    <row r="5717" spans="1:8" x14ac:dyDescent="0.15">
      <c r="A5717" s="196" t="s">
        <v>11229</v>
      </c>
      <c r="B5717" s="196" t="s">
        <v>11230</v>
      </c>
      <c r="C5717" s="196" t="s">
        <v>24457</v>
      </c>
      <c r="D5717" s="196" t="s">
        <v>24458</v>
      </c>
      <c r="E5717" s="196" t="s">
        <v>24459</v>
      </c>
      <c r="F5717" s="196" t="s">
        <v>24460</v>
      </c>
      <c r="G5717" s="196" t="s">
        <v>12378</v>
      </c>
      <c r="H5717" s="196" t="s">
        <v>11235</v>
      </c>
    </row>
    <row r="5718" spans="1:8" x14ac:dyDescent="0.15">
      <c r="A5718" s="196" t="s">
        <v>11229</v>
      </c>
      <c r="B5718" s="196" t="s">
        <v>11230</v>
      </c>
      <c r="C5718" s="196" t="s">
        <v>24461</v>
      </c>
      <c r="D5718" s="196" t="s">
        <v>24462</v>
      </c>
      <c r="E5718" s="196" t="s">
        <v>24463</v>
      </c>
      <c r="F5718" s="196" t="s">
        <v>24464</v>
      </c>
      <c r="G5718" s="196" t="s">
        <v>11720</v>
      </c>
      <c r="H5718" s="196" t="s">
        <v>11235</v>
      </c>
    </row>
    <row r="5719" spans="1:8" x14ac:dyDescent="0.15">
      <c r="A5719" s="196" t="s">
        <v>11229</v>
      </c>
      <c r="B5719" s="196" t="s">
        <v>11230</v>
      </c>
      <c r="C5719" s="196" t="s">
        <v>24465</v>
      </c>
      <c r="D5719" s="196" t="s">
        <v>24466</v>
      </c>
      <c r="E5719" s="196" t="s">
        <v>24467</v>
      </c>
      <c r="F5719" s="196" t="s">
        <v>24468</v>
      </c>
      <c r="G5719" s="196" t="s">
        <v>12378</v>
      </c>
      <c r="H5719" s="196" t="s">
        <v>11235</v>
      </c>
    </row>
    <row r="5720" spans="1:8" x14ac:dyDescent="0.15">
      <c r="A5720" s="196" t="s">
        <v>11229</v>
      </c>
      <c r="B5720" s="196" t="s">
        <v>11230</v>
      </c>
      <c r="C5720" s="196" t="s">
        <v>24469</v>
      </c>
      <c r="D5720" s="196" t="s">
        <v>24470</v>
      </c>
      <c r="E5720" s="196" t="s">
        <v>24471</v>
      </c>
      <c r="F5720" s="196" t="s">
        <v>24472</v>
      </c>
      <c r="G5720" s="196" t="s">
        <v>12378</v>
      </c>
      <c r="H5720" s="196" t="s">
        <v>11235</v>
      </c>
    </row>
    <row r="5721" spans="1:8" x14ac:dyDescent="0.15">
      <c r="A5721" s="196" t="s">
        <v>11229</v>
      </c>
      <c r="B5721" s="196" t="s">
        <v>11230</v>
      </c>
      <c r="C5721" s="196" t="s">
        <v>24473</v>
      </c>
      <c r="D5721" s="196" t="s">
        <v>24474</v>
      </c>
      <c r="E5721" s="196" t="s">
        <v>24475</v>
      </c>
      <c r="F5721" s="196" t="s">
        <v>24476</v>
      </c>
      <c r="G5721" s="196" t="s">
        <v>12378</v>
      </c>
      <c r="H5721" s="196" t="s">
        <v>11235</v>
      </c>
    </row>
    <row r="5722" spans="1:8" x14ac:dyDescent="0.15">
      <c r="A5722" s="196" t="s">
        <v>11229</v>
      </c>
      <c r="B5722" s="196" t="s">
        <v>11230</v>
      </c>
      <c r="C5722" s="196" t="s">
        <v>24477</v>
      </c>
      <c r="D5722" s="196" t="s">
        <v>24478</v>
      </c>
      <c r="E5722" s="196" t="s">
        <v>24479</v>
      </c>
      <c r="F5722" s="196" t="s">
        <v>24480</v>
      </c>
      <c r="G5722" s="196" t="s">
        <v>12378</v>
      </c>
      <c r="H5722" s="196" t="s">
        <v>11235</v>
      </c>
    </row>
    <row r="5723" spans="1:8" x14ac:dyDescent="0.15">
      <c r="A5723" s="196" t="s">
        <v>11229</v>
      </c>
      <c r="B5723" s="196" t="s">
        <v>11230</v>
      </c>
      <c r="C5723" s="196" t="s">
        <v>24481</v>
      </c>
      <c r="D5723" s="196" t="s">
        <v>24482</v>
      </c>
      <c r="E5723" s="196" t="s">
        <v>24482</v>
      </c>
      <c r="F5723" s="196" t="s">
        <v>11233</v>
      </c>
      <c r="G5723" s="196" t="s">
        <v>11720</v>
      </c>
      <c r="H5723" s="196" t="s">
        <v>11235</v>
      </c>
    </row>
    <row r="5724" spans="1:8" x14ac:dyDescent="0.15">
      <c r="A5724" s="196" t="s">
        <v>11229</v>
      </c>
      <c r="B5724" s="196" t="s">
        <v>11230</v>
      </c>
      <c r="C5724" s="196" t="s">
        <v>24483</v>
      </c>
      <c r="D5724" s="196" t="s">
        <v>24484</v>
      </c>
      <c r="E5724" s="196" t="s">
        <v>24484</v>
      </c>
      <c r="F5724" s="196" t="s">
        <v>11233</v>
      </c>
      <c r="G5724" s="196" t="s">
        <v>11720</v>
      </c>
      <c r="H5724" s="196" t="s">
        <v>11235</v>
      </c>
    </row>
    <row r="5725" spans="1:8" x14ac:dyDescent="0.15">
      <c r="A5725" s="196" t="s">
        <v>11229</v>
      </c>
      <c r="B5725" s="196" t="s">
        <v>11230</v>
      </c>
      <c r="C5725" s="196" t="s">
        <v>24485</v>
      </c>
      <c r="D5725" s="196" t="s">
        <v>24486</v>
      </c>
      <c r="E5725" s="196" t="s">
        <v>24487</v>
      </c>
      <c r="F5725" s="196" t="s">
        <v>24488</v>
      </c>
      <c r="G5725" s="196" t="s">
        <v>12378</v>
      </c>
      <c r="H5725" s="196" t="s">
        <v>11235</v>
      </c>
    </row>
    <row r="5726" spans="1:8" x14ac:dyDescent="0.15">
      <c r="A5726" s="196" t="s">
        <v>11229</v>
      </c>
      <c r="B5726" s="196" t="s">
        <v>11230</v>
      </c>
      <c r="C5726" s="196" t="s">
        <v>24489</v>
      </c>
      <c r="D5726" s="196" t="s">
        <v>24486</v>
      </c>
      <c r="E5726" s="196" t="s">
        <v>24490</v>
      </c>
      <c r="F5726" s="196" t="s">
        <v>11241</v>
      </c>
      <c r="G5726" s="196" t="s">
        <v>11720</v>
      </c>
      <c r="H5726" s="196" t="s">
        <v>11235</v>
      </c>
    </row>
    <row r="5727" spans="1:8" x14ac:dyDescent="0.15">
      <c r="A5727" s="196" t="s">
        <v>11229</v>
      </c>
      <c r="B5727" s="196" t="s">
        <v>11230</v>
      </c>
      <c r="C5727" s="196" t="s">
        <v>24491</v>
      </c>
      <c r="D5727" s="196" t="s">
        <v>24490</v>
      </c>
      <c r="E5727" s="196" t="s">
        <v>24492</v>
      </c>
      <c r="F5727" s="196" t="s">
        <v>11268</v>
      </c>
      <c r="G5727" s="196" t="s">
        <v>11720</v>
      </c>
      <c r="H5727" s="196" t="s">
        <v>11235</v>
      </c>
    </row>
    <row r="5728" spans="1:8" x14ac:dyDescent="0.15">
      <c r="A5728" s="196" t="s">
        <v>11229</v>
      </c>
      <c r="B5728" s="196" t="s">
        <v>11230</v>
      </c>
      <c r="C5728" s="196" t="s">
        <v>24493</v>
      </c>
      <c r="D5728" s="196" t="s">
        <v>24494</v>
      </c>
      <c r="E5728" s="196" t="s">
        <v>24495</v>
      </c>
      <c r="F5728" s="196" t="s">
        <v>11241</v>
      </c>
      <c r="G5728" s="196" t="s">
        <v>11720</v>
      </c>
      <c r="H5728" s="196" t="s">
        <v>11235</v>
      </c>
    </row>
    <row r="5729" spans="1:8" x14ac:dyDescent="0.15">
      <c r="A5729" s="196" t="s">
        <v>11229</v>
      </c>
      <c r="B5729" s="196" t="s">
        <v>11230</v>
      </c>
      <c r="C5729" s="196" t="s">
        <v>24496</v>
      </c>
      <c r="D5729" s="196" t="s">
        <v>24497</v>
      </c>
      <c r="E5729" s="196" t="s">
        <v>24497</v>
      </c>
      <c r="F5729" s="196" t="s">
        <v>11233</v>
      </c>
      <c r="G5729" s="196" t="s">
        <v>11720</v>
      </c>
      <c r="H5729" s="196" t="s">
        <v>11235</v>
      </c>
    </row>
    <row r="5730" spans="1:8" x14ac:dyDescent="0.15">
      <c r="A5730" s="196" t="s">
        <v>11229</v>
      </c>
      <c r="B5730" s="196" t="s">
        <v>11230</v>
      </c>
      <c r="C5730" s="196" t="s">
        <v>24498</v>
      </c>
      <c r="D5730" s="196" t="s">
        <v>24499</v>
      </c>
      <c r="E5730" s="196" t="s">
        <v>24499</v>
      </c>
      <c r="F5730" s="196" t="s">
        <v>11233</v>
      </c>
      <c r="G5730" s="196" t="s">
        <v>11720</v>
      </c>
      <c r="H5730" s="196" t="s">
        <v>11235</v>
      </c>
    </row>
    <row r="5731" spans="1:8" x14ac:dyDescent="0.15">
      <c r="A5731" s="196" t="s">
        <v>11229</v>
      </c>
      <c r="B5731" s="196" t="s">
        <v>11230</v>
      </c>
      <c r="C5731" s="196" t="s">
        <v>24500</v>
      </c>
      <c r="D5731" s="196" t="s">
        <v>24501</v>
      </c>
      <c r="E5731" s="196" t="s">
        <v>24501</v>
      </c>
      <c r="F5731" s="196" t="s">
        <v>11233</v>
      </c>
      <c r="G5731" s="196" t="s">
        <v>11720</v>
      </c>
      <c r="H5731" s="196" t="s">
        <v>11235</v>
      </c>
    </row>
    <row r="5732" spans="1:8" x14ac:dyDescent="0.15">
      <c r="A5732" s="196" t="s">
        <v>11229</v>
      </c>
      <c r="B5732" s="196" t="s">
        <v>11230</v>
      </c>
      <c r="C5732" s="196" t="s">
        <v>24502</v>
      </c>
      <c r="D5732" s="196" t="s">
        <v>24503</v>
      </c>
      <c r="E5732" s="196" t="s">
        <v>24503</v>
      </c>
      <c r="F5732" s="196" t="s">
        <v>11233</v>
      </c>
      <c r="G5732" s="196" t="s">
        <v>11720</v>
      </c>
      <c r="H5732" s="196" t="s">
        <v>11235</v>
      </c>
    </row>
    <row r="5733" spans="1:8" x14ac:dyDescent="0.15">
      <c r="A5733" s="196" t="s">
        <v>11229</v>
      </c>
      <c r="B5733" s="196" t="s">
        <v>11230</v>
      </c>
      <c r="C5733" s="196" t="s">
        <v>24504</v>
      </c>
      <c r="D5733" s="196" t="s">
        <v>24505</v>
      </c>
      <c r="E5733" s="196" t="s">
        <v>24505</v>
      </c>
      <c r="F5733" s="196" t="s">
        <v>11233</v>
      </c>
      <c r="G5733" s="196" t="s">
        <v>11720</v>
      </c>
      <c r="H5733" s="196" t="s">
        <v>11235</v>
      </c>
    </row>
    <row r="5734" spans="1:8" x14ac:dyDescent="0.15">
      <c r="A5734" s="196" t="s">
        <v>11229</v>
      </c>
      <c r="B5734" s="196" t="s">
        <v>11230</v>
      </c>
      <c r="C5734" s="196" t="s">
        <v>24506</v>
      </c>
      <c r="D5734" s="196" t="s">
        <v>24507</v>
      </c>
      <c r="E5734" s="196" t="s">
        <v>24507</v>
      </c>
      <c r="F5734" s="196" t="s">
        <v>11233</v>
      </c>
      <c r="G5734" s="196" t="s">
        <v>11720</v>
      </c>
      <c r="H5734" s="196" t="s">
        <v>11235</v>
      </c>
    </row>
    <row r="5735" spans="1:8" x14ac:dyDescent="0.15">
      <c r="A5735" s="196" t="s">
        <v>11229</v>
      </c>
      <c r="B5735" s="196" t="s">
        <v>11230</v>
      </c>
      <c r="C5735" s="196" t="s">
        <v>24508</v>
      </c>
      <c r="D5735" s="196" t="s">
        <v>24509</v>
      </c>
      <c r="E5735" s="196" t="s">
        <v>24509</v>
      </c>
      <c r="F5735" s="196" t="s">
        <v>11233</v>
      </c>
      <c r="G5735" s="196" t="s">
        <v>11720</v>
      </c>
      <c r="H5735" s="196" t="s">
        <v>11235</v>
      </c>
    </row>
    <row r="5736" spans="1:8" x14ac:dyDescent="0.15">
      <c r="A5736" s="196" t="s">
        <v>11229</v>
      </c>
      <c r="B5736" s="196" t="s">
        <v>11230</v>
      </c>
      <c r="C5736" s="196" t="s">
        <v>24510</v>
      </c>
      <c r="D5736" s="196" t="s">
        <v>24511</v>
      </c>
      <c r="E5736" s="196" t="s">
        <v>24511</v>
      </c>
      <c r="F5736" s="196" t="s">
        <v>11233</v>
      </c>
      <c r="G5736" s="196" t="s">
        <v>11720</v>
      </c>
      <c r="H5736" s="196" t="s">
        <v>11235</v>
      </c>
    </row>
    <row r="5737" spans="1:8" x14ac:dyDescent="0.15">
      <c r="A5737" s="196" t="s">
        <v>11229</v>
      </c>
      <c r="B5737" s="196" t="s">
        <v>11230</v>
      </c>
      <c r="C5737" s="196" t="s">
        <v>24512</v>
      </c>
      <c r="D5737" s="196" t="s">
        <v>24513</v>
      </c>
      <c r="E5737" s="196" t="s">
        <v>24514</v>
      </c>
      <c r="F5737" s="196" t="s">
        <v>11241</v>
      </c>
      <c r="G5737" s="196" t="s">
        <v>11720</v>
      </c>
      <c r="H5737" s="196" t="s">
        <v>11235</v>
      </c>
    </row>
    <row r="5738" spans="1:8" x14ac:dyDescent="0.15">
      <c r="A5738" s="196" t="s">
        <v>11229</v>
      </c>
      <c r="B5738" s="196" t="s">
        <v>11230</v>
      </c>
      <c r="C5738" s="196" t="s">
        <v>24515</v>
      </c>
      <c r="D5738" s="196" t="s">
        <v>24516</v>
      </c>
      <c r="E5738" s="196" t="s">
        <v>24517</v>
      </c>
      <c r="F5738" s="196" t="s">
        <v>11241</v>
      </c>
      <c r="G5738" s="196" t="s">
        <v>11720</v>
      </c>
      <c r="H5738" s="196" t="s">
        <v>11235</v>
      </c>
    </row>
    <row r="5739" spans="1:8" x14ac:dyDescent="0.15">
      <c r="A5739" s="196" t="s">
        <v>11229</v>
      </c>
      <c r="B5739" s="196" t="s">
        <v>11230</v>
      </c>
      <c r="C5739" s="196" t="s">
        <v>24518</v>
      </c>
      <c r="D5739" s="196" t="s">
        <v>24517</v>
      </c>
      <c r="E5739" s="196" t="s">
        <v>24519</v>
      </c>
      <c r="F5739" s="196" t="s">
        <v>11268</v>
      </c>
      <c r="G5739" s="196" t="s">
        <v>11720</v>
      </c>
      <c r="H5739" s="196" t="s">
        <v>11235</v>
      </c>
    </row>
    <row r="5740" spans="1:8" x14ac:dyDescent="0.15">
      <c r="A5740" s="196" t="s">
        <v>11229</v>
      </c>
      <c r="B5740" s="196" t="s">
        <v>11230</v>
      </c>
      <c r="C5740" s="196" t="s">
        <v>24520</v>
      </c>
      <c r="D5740" s="196" t="s">
        <v>24521</v>
      </c>
      <c r="E5740" s="196" t="s">
        <v>24522</v>
      </c>
      <c r="F5740" s="196" t="s">
        <v>13758</v>
      </c>
      <c r="G5740" s="196" t="s">
        <v>11720</v>
      </c>
      <c r="H5740" s="196" t="s">
        <v>11235</v>
      </c>
    </row>
    <row r="5741" spans="1:8" x14ac:dyDescent="0.15">
      <c r="A5741" s="196" t="s">
        <v>11229</v>
      </c>
      <c r="B5741" s="196" t="s">
        <v>11230</v>
      </c>
      <c r="C5741" s="196" t="s">
        <v>24523</v>
      </c>
      <c r="D5741" s="196" t="s">
        <v>24522</v>
      </c>
      <c r="E5741" s="196" t="s">
        <v>24524</v>
      </c>
      <c r="F5741" s="196" t="s">
        <v>11268</v>
      </c>
      <c r="G5741" s="196" t="s">
        <v>11720</v>
      </c>
      <c r="H5741" s="196" t="s">
        <v>11235</v>
      </c>
    </row>
    <row r="5742" spans="1:8" x14ac:dyDescent="0.15">
      <c r="A5742" s="196" t="s">
        <v>11229</v>
      </c>
      <c r="B5742" s="196" t="s">
        <v>11230</v>
      </c>
      <c r="C5742" s="196" t="s">
        <v>24525</v>
      </c>
      <c r="D5742" s="196" t="s">
        <v>24524</v>
      </c>
      <c r="E5742" s="196" t="s">
        <v>24487</v>
      </c>
      <c r="F5742" s="196" t="s">
        <v>11241</v>
      </c>
      <c r="G5742" s="196" t="s">
        <v>11720</v>
      </c>
      <c r="H5742" s="196" t="s">
        <v>11235</v>
      </c>
    </row>
    <row r="5743" spans="1:8" x14ac:dyDescent="0.15">
      <c r="A5743" s="196" t="s">
        <v>11229</v>
      </c>
      <c r="B5743" s="196" t="s">
        <v>11230</v>
      </c>
      <c r="C5743" s="196" t="s">
        <v>24526</v>
      </c>
      <c r="D5743" s="196" t="s">
        <v>24487</v>
      </c>
      <c r="E5743" s="196" t="s">
        <v>24527</v>
      </c>
      <c r="F5743" s="196" t="s">
        <v>24528</v>
      </c>
      <c r="G5743" s="196" t="s">
        <v>12378</v>
      </c>
      <c r="H5743" s="196" t="s">
        <v>11235</v>
      </c>
    </row>
    <row r="5744" spans="1:8" x14ac:dyDescent="0.15">
      <c r="A5744" s="196" t="s">
        <v>11229</v>
      </c>
      <c r="B5744" s="196" t="s">
        <v>11230</v>
      </c>
      <c r="C5744" s="196" t="s">
        <v>24529</v>
      </c>
      <c r="D5744" s="196" t="s">
        <v>24487</v>
      </c>
      <c r="E5744" s="196" t="s">
        <v>24530</v>
      </c>
      <c r="F5744" s="196" t="s">
        <v>11241</v>
      </c>
      <c r="G5744" s="196" t="s">
        <v>11720</v>
      </c>
      <c r="H5744" s="196" t="s">
        <v>11235</v>
      </c>
    </row>
    <row r="5745" spans="1:8" x14ac:dyDescent="0.15">
      <c r="A5745" s="196" t="s">
        <v>11229</v>
      </c>
      <c r="B5745" s="196" t="s">
        <v>11230</v>
      </c>
      <c r="C5745" s="196" t="s">
        <v>24531</v>
      </c>
      <c r="D5745" s="196" t="s">
        <v>24530</v>
      </c>
      <c r="E5745" s="196" t="s">
        <v>24532</v>
      </c>
      <c r="F5745" s="196" t="s">
        <v>11268</v>
      </c>
      <c r="G5745" s="196" t="s">
        <v>11720</v>
      </c>
      <c r="H5745" s="196" t="s">
        <v>11235</v>
      </c>
    </row>
    <row r="5746" spans="1:8" x14ac:dyDescent="0.15">
      <c r="A5746" s="196" t="s">
        <v>11229</v>
      </c>
      <c r="B5746" s="196" t="s">
        <v>11230</v>
      </c>
      <c r="C5746" s="196" t="s">
        <v>24533</v>
      </c>
      <c r="D5746" s="196" t="s">
        <v>24532</v>
      </c>
      <c r="E5746" s="196" t="s">
        <v>24534</v>
      </c>
      <c r="F5746" s="196" t="s">
        <v>11241</v>
      </c>
      <c r="G5746" s="196" t="s">
        <v>11720</v>
      </c>
      <c r="H5746" s="196" t="s">
        <v>11235</v>
      </c>
    </row>
    <row r="5747" spans="1:8" x14ac:dyDescent="0.15">
      <c r="A5747" s="196" t="s">
        <v>11229</v>
      </c>
      <c r="B5747" s="196" t="s">
        <v>11230</v>
      </c>
      <c r="C5747" s="196" t="s">
        <v>24535</v>
      </c>
      <c r="D5747" s="196" t="s">
        <v>24534</v>
      </c>
      <c r="E5747" s="196" t="s">
        <v>24536</v>
      </c>
      <c r="F5747" s="196" t="s">
        <v>11268</v>
      </c>
      <c r="G5747" s="196" t="s">
        <v>11720</v>
      </c>
      <c r="H5747" s="196" t="s">
        <v>11235</v>
      </c>
    </row>
    <row r="5748" spans="1:8" x14ac:dyDescent="0.15">
      <c r="A5748" s="196" t="s">
        <v>11229</v>
      </c>
      <c r="B5748" s="196" t="s">
        <v>11230</v>
      </c>
      <c r="C5748" s="196" t="s">
        <v>24537</v>
      </c>
      <c r="D5748" s="196" t="s">
        <v>24536</v>
      </c>
      <c r="E5748" s="196" t="s">
        <v>24536</v>
      </c>
      <c r="F5748" s="196" t="s">
        <v>11233</v>
      </c>
      <c r="G5748" s="196" t="s">
        <v>11720</v>
      </c>
      <c r="H5748" s="196" t="s">
        <v>11235</v>
      </c>
    </row>
    <row r="5749" spans="1:8" x14ac:dyDescent="0.15">
      <c r="A5749" s="196" t="s">
        <v>11229</v>
      </c>
      <c r="B5749" s="196" t="s">
        <v>11230</v>
      </c>
      <c r="C5749" s="196" t="s">
        <v>24538</v>
      </c>
      <c r="D5749" s="196" t="s">
        <v>24539</v>
      </c>
      <c r="E5749" s="196" t="s">
        <v>24539</v>
      </c>
      <c r="F5749" s="196" t="s">
        <v>11233</v>
      </c>
      <c r="G5749" s="196" t="s">
        <v>11720</v>
      </c>
      <c r="H5749" s="196" t="s">
        <v>11235</v>
      </c>
    </row>
    <row r="5750" spans="1:8" x14ac:dyDescent="0.15">
      <c r="A5750" s="196" t="s">
        <v>11229</v>
      </c>
      <c r="B5750" s="196" t="s">
        <v>11230</v>
      </c>
      <c r="C5750" s="196" t="s">
        <v>24540</v>
      </c>
      <c r="D5750" s="196" t="s">
        <v>24541</v>
      </c>
      <c r="E5750" s="196" t="s">
        <v>24541</v>
      </c>
      <c r="F5750" s="196" t="s">
        <v>11233</v>
      </c>
      <c r="G5750" s="196" t="s">
        <v>11720</v>
      </c>
      <c r="H5750" s="196" t="s">
        <v>11235</v>
      </c>
    </row>
    <row r="5751" spans="1:8" x14ac:dyDescent="0.15">
      <c r="A5751" s="196" t="s">
        <v>11229</v>
      </c>
      <c r="B5751" s="196" t="s">
        <v>11230</v>
      </c>
      <c r="C5751" s="196" t="s">
        <v>24542</v>
      </c>
      <c r="D5751" s="196" t="s">
        <v>24543</v>
      </c>
      <c r="E5751" s="196" t="s">
        <v>24543</v>
      </c>
      <c r="F5751" s="196" t="s">
        <v>11233</v>
      </c>
      <c r="G5751" s="196" t="s">
        <v>11720</v>
      </c>
      <c r="H5751" s="196" t="s">
        <v>11235</v>
      </c>
    </row>
    <row r="5752" spans="1:8" x14ac:dyDescent="0.15">
      <c r="A5752" s="196" t="s">
        <v>11229</v>
      </c>
      <c r="B5752" s="196" t="s">
        <v>11230</v>
      </c>
      <c r="C5752" s="196" t="s">
        <v>24544</v>
      </c>
      <c r="D5752" s="196" t="s">
        <v>24545</v>
      </c>
      <c r="E5752" s="196" t="s">
        <v>24545</v>
      </c>
      <c r="F5752" s="196" t="s">
        <v>11233</v>
      </c>
      <c r="G5752" s="196" t="s">
        <v>11720</v>
      </c>
      <c r="H5752" s="196" t="s">
        <v>11235</v>
      </c>
    </row>
    <row r="5753" spans="1:8" x14ac:dyDescent="0.15">
      <c r="A5753" s="196" t="s">
        <v>11229</v>
      </c>
      <c r="B5753" s="196" t="s">
        <v>11230</v>
      </c>
      <c r="C5753" s="196" t="s">
        <v>24546</v>
      </c>
      <c r="D5753" s="196" t="s">
        <v>24547</v>
      </c>
      <c r="E5753" s="196" t="s">
        <v>24547</v>
      </c>
      <c r="F5753" s="196" t="s">
        <v>11233</v>
      </c>
      <c r="G5753" s="196" t="s">
        <v>11720</v>
      </c>
      <c r="H5753" s="196" t="s">
        <v>11235</v>
      </c>
    </row>
    <row r="5754" spans="1:8" x14ac:dyDescent="0.15">
      <c r="A5754" s="196" t="s">
        <v>11229</v>
      </c>
      <c r="B5754" s="196" t="s">
        <v>11230</v>
      </c>
      <c r="C5754" s="196" t="s">
        <v>24548</v>
      </c>
      <c r="D5754" s="196" t="s">
        <v>24549</v>
      </c>
      <c r="E5754" s="196" t="s">
        <v>24549</v>
      </c>
      <c r="F5754" s="196" t="s">
        <v>11233</v>
      </c>
      <c r="G5754" s="196" t="s">
        <v>11720</v>
      </c>
      <c r="H5754" s="196" t="s">
        <v>11235</v>
      </c>
    </row>
    <row r="5755" spans="1:8" x14ac:dyDescent="0.15">
      <c r="A5755" s="196" t="s">
        <v>11229</v>
      </c>
      <c r="B5755" s="196" t="s">
        <v>11230</v>
      </c>
      <c r="C5755" s="196" t="s">
        <v>24550</v>
      </c>
      <c r="D5755" s="196" t="s">
        <v>24551</v>
      </c>
      <c r="E5755" s="196" t="s">
        <v>24551</v>
      </c>
      <c r="F5755" s="196" t="s">
        <v>11233</v>
      </c>
      <c r="G5755" s="196" t="s">
        <v>11720</v>
      </c>
      <c r="H5755" s="196" t="s">
        <v>11235</v>
      </c>
    </row>
    <row r="5756" spans="1:8" x14ac:dyDescent="0.15">
      <c r="A5756" s="196" t="s">
        <v>11229</v>
      </c>
      <c r="B5756" s="196" t="s">
        <v>11230</v>
      </c>
      <c r="C5756" s="196" t="s">
        <v>24552</v>
      </c>
      <c r="D5756" s="196" t="s">
        <v>24553</v>
      </c>
      <c r="E5756" s="196" t="s">
        <v>24553</v>
      </c>
      <c r="F5756" s="196" t="s">
        <v>11233</v>
      </c>
      <c r="G5756" s="196" t="s">
        <v>11720</v>
      </c>
      <c r="H5756" s="196" t="s">
        <v>11235</v>
      </c>
    </row>
    <row r="5757" spans="1:8" x14ac:dyDescent="0.15">
      <c r="A5757" s="196" t="s">
        <v>11229</v>
      </c>
      <c r="B5757" s="196" t="s">
        <v>11230</v>
      </c>
      <c r="C5757" s="196" t="s">
        <v>24554</v>
      </c>
      <c r="D5757" s="196" t="s">
        <v>24555</v>
      </c>
      <c r="E5757" s="196" t="s">
        <v>24555</v>
      </c>
      <c r="F5757" s="196" t="s">
        <v>11233</v>
      </c>
      <c r="G5757" s="196" t="s">
        <v>11720</v>
      </c>
      <c r="H5757" s="196" t="s">
        <v>11235</v>
      </c>
    </row>
    <row r="5758" spans="1:8" x14ac:dyDescent="0.15">
      <c r="A5758" s="196" t="s">
        <v>11229</v>
      </c>
      <c r="B5758" s="196" t="s">
        <v>11230</v>
      </c>
      <c r="C5758" s="196" t="s">
        <v>24556</v>
      </c>
      <c r="D5758" s="196" t="s">
        <v>24557</v>
      </c>
      <c r="E5758" s="196" t="s">
        <v>24557</v>
      </c>
      <c r="F5758" s="196" t="s">
        <v>11233</v>
      </c>
      <c r="G5758" s="196" t="s">
        <v>11720</v>
      </c>
      <c r="H5758" s="196" t="s">
        <v>11235</v>
      </c>
    </row>
    <row r="5759" spans="1:8" x14ac:dyDescent="0.15">
      <c r="A5759" s="196" t="s">
        <v>11229</v>
      </c>
      <c r="B5759" s="196" t="s">
        <v>11230</v>
      </c>
      <c r="C5759" s="196" t="s">
        <v>24558</v>
      </c>
      <c r="D5759" s="196" t="s">
        <v>24559</v>
      </c>
      <c r="E5759" s="196" t="s">
        <v>24559</v>
      </c>
      <c r="F5759" s="196" t="s">
        <v>11233</v>
      </c>
      <c r="G5759" s="196" t="s">
        <v>11720</v>
      </c>
      <c r="H5759" s="196" t="s">
        <v>11235</v>
      </c>
    </row>
    <row r="5760" spans="1:8" x14ac:dyDescent="0.15">
      <c r="A5760" s="196" t="s">
        <v>11229</v>
      </c>
      <c r="B5760" s="196" t="s">
        <v>11230</v>
      </c>
      <c r="C5760" s="196" t="s">
        <v>24560</v>
      </c>
      <c r="D5760" s="196" t="s">
        <v>24561</v>
      </c>
      <c r="E5760" s="196" t="s">
        <v>24561</v>
      </c>
      <c r="F5760" s="196" t="s">
        <v>11233</v>
      </c>
      <c r="G5760" s="196" t="s">
        <v>11720</v>
      </c>
      <c r="H5760" s="196" t="s">
        <v>11235</v>
      </c>
    </row>
    <row r="5761" spans="1:8" x14ac:dyDescent="0.15">
      <c r="A5761" s="196" t="s">
        <v>11229</v>
      </c>
      <c r="B5761" s="196" t="s">
        <v>11230</v>
      </c>
      <c r="C5761" s="196" t="s">
        <v>24562</v>
      </c>
      <c r="D5761" s="196" t="s">
        <v>24563</v>
      </c>
      <c r="E5761" s="196" t="s">
        <v>24563</v>
      </c>
      <c r="F5761" s="196" t="s">
        <v>11233</v>
      </c>
      <c r="G5761" s="196" t="s">
        <v>11720</v>
      </c>
      <c r="H5761" s="196" t="s">
        <v>11235</v>
      </c>
    </row>
    <row r="5762" spans="1:8" x14ac:dyDescent="0.15">
      <c r="A5762" s="196" t="s">
        <v>11229</v>
      </c>
      <c r="B5762" s="196" t="s">
        <v>11230</v>
      </c>
      <c r="C5762" s="196" t="s">
        <v>24564</v>
      </c>
      <c r="D5762" s="196" t="s">
        <v>24565</v>
      </c>
      <c r="E5762" s="196" t="s">
        <v>24565</v>
      </c>
      <c r="F5762" s="196" t="s">
        <v>11233</v>
      </c>
      <c r="G5762" s="196" t="s">
        <v>11720</v>
      </c>
      <c r="H5762" s="196" t="s">
        <v>11235</v>
      </c>
    </row>
    <row r="5763" spans="1:8" x14ac:dyDescent="0.15">
      <c r="A5763" s="196" t="s">
        <v>11229</v>
      </c>
      <c r="B5763" s="196" t="s">
        <v>11230</v>
      </c>
      <c r="C5763" s="196" t="s">
        <v>24566</v>
      </c>
      <c r="D5763" s="196" t="s">
        <v>24567</v>
      </c>
      <c r="E5763" s="196" t="s">
        <v>24567</v>
      </c>
      <c r="F5763" s="196" t="s">
        <v>11233</v>
      </c>
      <c r="G5763" s="196" t="s">
        <v>11720</v>
      </c>
      <c r="H5763" s="196" t="s">
        <v>11235</v>
      </c>
    </row>
    <row r="5764" spans="1:8" x14ac:dyDescent="0.15">
      <c r="A5764" s="196" t="s">
        <v>11229</v>
      </c>
      <c r="B5764" s="196" t="s">
        <v>11230</v>
      </c>
      <c r="C5764" s="196" t="s">
        <v>24568</v>
      </c>
      <c r="D5764" s="196" t="s">
        <v>24569</v>
      </c>
      <c r="E5764" s="196" t="s">
        <v>24569</v>
      </c>
      <c r="F5764" s="196" t="s">
        <v>11233</v>
      </c>
      <c r="G5764" s="196" t="s">
        <v>11720</v>
      </c>
      <c r="H5764" s="196" t="s">
        <v>11235</v>
      </c>
    </row>
    <row r="5765" spans="1:8" x14ac:dyDescent="0.15">
      <c r="A5765" s="196" t="s">
        <v>11229</v>
      </c>
      <c r="B5765" s="196" t="s">
        <v>11230</v>
      </c>
      <c r="C5765" s="196" t="s">
        <v>24570</v>
      </c>
      <c r="D5765" s="196" t="s">
        <v>24571</v>
      </c>
      <c r="E5765" s="196" t="s">
        <v>24571</v>
      </c>
      <c r="F5765" s="196" t="s">
        <v>11233</v>
      </c>
      <c r="G5765" s="196" t="s">
        <v>11720</v>
      </c>
      <c r="H5765" s="196" t="s">
        <v>11235</v>
      </c>
    </row>
    <row r="5766" spans="1:8" x14ac:dyDescent="0.15">
      <c r="A5766" s="196" t="s">
        <v>11229</v>
      </c>
      <c r="B5766" s="196" t="s">
        <v>11230</v>
      </c>
      <c r="C5766" s="196" t="s">
        <v>24572</v>
      </c>
      <c r="D5766" s="196" t="s">
        <v>24573</v>
      </c>
      <c r="E5766" s="196" t="s">
        <v>24573</v>
      </c>
      <c r="F5766" s="196" t="s">
        <v>11233</v>
      </c>
      <c r="G5766" s="196" t="s">
        <v>11720</v>
      </c>
      <c r="H5766" s="196" t="s">
        <v>11235</v>
      </c>
    </row>
    <row r="5767" spans="1:8" x14ac:dyDescent="0.15">
      <c r="A5767" s="196" t="s">
        <v>11229</v>
      </c>
      <c r="B5767" s="196" t="s">
        <v>11230</v>
      </c>
      <c r="C5767" s="196" t="s">
        <v>24574</v>
      </c>
      <c r="D5767" s="196" t="s">
        <v>24573</v>
      </c>
      <c r="E5767" s="196" t="s">
        <v>24575</v>
      </c>
      <c r="F5767" s="196" t="s">
        <v>11241</v>
      </c>
      <c r="G5767" s="196" t="s">
        <v>11720</v>
      </c>
      <c r="H5767" s="196" t="s">
        <v>11235</v>
      </c>
    </row>
    <row r="5768" spans="1:8" x14ac:dyDescent="0.15">
      <c r="A5768" s="196" t="s">
        <v>11229</v>
      </c>
      <c r="B5768" s="196" t="s">
        <v>11230</v>
      </c>
      <c r="C5768" s="196" t="s">
        <v>24576</v>
      </c>
      <c r="D5768" s="196" t="s">
        <v>24575</v>
      </c>
      <c r="E5768" s="196" t="s">
        <v>24577</v>
      </c>
      <c r="F5768" s="196" t="s">
        <v>11241</v>
      </c>
      <c r="G5768" s="196" t="s">
        <v>11720</v>
      </c>
      <c r="H5768" s="196" t="s">
        <v>11235</v>
      </c>
    </row>
    <row r="5769" spans="1:8" x14ac:dyDescent="0.15">
      <c r="A5769" s="196" t="s">
        <v>11229</v>
      </c>
      <c r="B5769" s="196" t="s">
        <v>11230</v>
      </c>
      <c r="C5769" s="196" t="s">
        <v>24578</v>
      </c>
      <c r="D5769" s="196" t="s">
        <v>24579</v>
      </c>
      <c r="E5769" s="196" t="s">
        <v>24579</v>
      </c>
      <c r="F5769" s="196" t="s">
        <v>11233</v>
      </c>
      <c r="G5769" s="196" t="s">
        <v>11720</v>
      </c>
      <c r="H5769" s="196" t="s">
        <v>11235</v>
      </c>
    </row>
    <row r="5770" spans="1:8" x14ac:dyDescent="0.15">
      <c r="A5770" s="196" t="s">
        <v>11229</v>
      </c>
      <c r="B5770" s="196" t="s">
        <v>11230</v>
      </c>
      <c r="C5770" s="196" t="s">
        <v>24580</v>
      </c>
      <c r="D5770" s="196" t="s">
        <v>24581</v>
      </c>
      <c r="E5770" s="196" t="s">
        <v>24582</v>
      </c>
      <c r="F5770" s="196" t="s">
        <v>13023</v>
      </c>
      <c r="G5770" s="196" t="s">
        <v>11720</v>
      </c>
      <c r="H5770" s="196" t="s">
        <v>11235</v>
      </c>
    </row>
    <row r="5771" spans="1:8" x14ac:dyDescent="0.15">
      <c r="A5771" s="196" t="s">
        <v>11229</v>
      </c>
      <c r="B5771" s="196" t="s">
        <v>11230</v>
      </c>
      <c r="C5771" s="196" t="s">
        <v>24583</v>
      </c>
      <c r="D5771" s="196" t="s">
        <v>24584</v>
      </c>
      <c r="E5771" s="196" t="s">
        <v>24584</v>
      </c>
      <c r="F5771" s="196" t="s">
        <v>11233</v>
      </c>
      <c r="G5771" s="196" t="s">
        <v>11720</v>
      </c>
      <c r="H5771" s="196" t="s">
        <v>11235</v>
      </c>
    </row>
    <row r="5772" spans="1:8" x14ac:dyDescent="0.15">
      <c r="A5772" s="196" t="s">
        <v>11229</v>
      </c>
      <c r="B5772" s="196" t="s">
        <v>11230</v>
      </c>
      <c r="C5772" s="196" t="s">
        <v>24585</v>
      </c>
      <c r="D5772" s="196" t="s">
        <v>24586</v>
      </c>
      <c r="E5772" s="196" t="s">
        <v>24586</v>
      </c>
      <c r="F5772" s="196" t="s">
        <v>11233</v>
      </c>
      <c r="G5772" s="196" t="s">
        <v>11720</v>
      </c>
      <c r="H5772" s="196" t="s">
        <v>11235</v>
      </c>
    </row>
    <row r="5773" spans="1:8" x14ac:dyDescent="0.15">
      <c r="A5773" s="196" t="s">
        <v>11229</v>
      </c>
      <c r="B5773" s="196" t="s">
        <v>11230</v>
      </c>
      <c r="C5773" s="196" t="s">
        <v>24587</v>
      </c>
      <c r="D5773" s="196" t="s">
        <v>24588</v>
      </c>
      <c r="E5773" s="196" t="s">
        <v>24588</v>
      </c>
      <c r="F5773" s="196" t="s">
        <v>11233</v>
      </c>
      <c r="G5773" s="196" t="s">
        <v>11720</v>
      </c>
      <c r="H5773" s="196" t="s">
        <v>11235</v>
      </c>
    </row>
    <row r="5774" spans="1:8" x14ac:dyDescent="0.15">
      <c r="A5774" s="196" t="s">
        <v>11229</v>
      </c>
      <c r="B5774" s="196" t="s">
        <v>11230</v>
      </c>
      <c r="C5774" s="196" t="s">
        <v>24589</v>
      </c>
      <c r="D5774" s="196" t="s">
        <v>24590</v>
      </c>
      <c r="E5774" s="196" t="s">
        <v>24591</v>
      </c>
      <c r="F5774" s="196" t="s">
        <v>24592</v>
      </c>
      <c r="G5774" s="196" t="s">
        <v>12378</v>
      </c>
      <c r="H5774" s="196" t="s">
        <v>11235</v>
      </c>
    </row>
    <row r="5775" spans="1:8" x14ac:dyDescent="0.15">
      <c r="A5775" s="196" t="s">
        <v>11229</v>
      </c>
      <c r="B5775" s="196" t="s">
        <v>11230</v>
      </c>
      <c r="C5775" s="196" t="s">
        <v>24593</v>
      </c>
      <c r="D5775" s="196" t="s">
        <v>24594</v>
      </c>
      <c r="E5775" s="196" t="s">
        <v>24594</v>
      </c>
      <c r="F5775" s="196" t="s">
        <v>11233</v>
      </c>
      <c r="G5775" s="196" t="s">
        <v>11720</v>
      </c>
      <c r="H5775" s="196" t="s">
        <v>11235</v>
      </c>
    </row>
    <row r="5776" spans="1:8" x14ac:dyDescent="0.15">
      <c r="A5776" s="196" t="s">
        <v>11229</v>
      </c>
      <c r="B5776" s="196" t="s">
        <v>11230</v>
      </c>
      <c r="C5776" s="196" t="s">
        <v>24595</v>
      </c>
      <c r="D5776" s="196" t="s">
        <v>24596</v>
      </c>
      <c r="E5776" s="196" t="s">
        <v>24596</v>
      </c>
      <c r="F5776" s="196" t="s">
        <v>11233</v>
      </c>
      <c r="G5776" s="196" t="s">
        <v>11720</v>
      </c>
      <c r="H5776" s="196" t="s">
        <v>11235</v>
      </c>
    </row>
    <row r="5777" spans="1:8" x14ac:dyDescent="0.15">
      <c r="A5777" s="196" t="s">
        <v>11229</v>
      </c>
      <c r="B5777" s="196" t="s">
        <v>11230</v>
      </c>
      <c r="C5777" s="196" t="s">
        <v>24597</v>
      </c>
      <c r="D5777" s="196" t="s">
        <v>24598</v>
      </c>
      <c r="E5777" s="196" t="s">
        <v>24598</v>
      </c>
      <c r="F5777" s="196" t="s">
        <v>11233</v>
      </c>
      <c r="G5777" s="196" t="s">
        <v>11720</v>
      </c>
      <c r="H5777" s="196" t="s">
        <v>11235</v>
      </c>
    </row>
    <row r="5778" spans="1:8" x14ac:dyDescent="0.15">
      <c r="A5778" s="196" t="s">
        <v>11229</v>
      </c>
      <c r="B5778" s="196" t="s">
        <v>11230</v>
      </c>
      <c r="C5778" s="196" t="s">
        <v>24599</v>
      </c>
      <c r="D5778" s="196" t="s">
        <v>24600</v>
      </c>
      <c r="E5778" s="196" t="s">
        <v>24601</v>
      </c>
      <c r="F5778" s="196" t="s">
        <v>11241</v>
      </c>
      <c r="G5778" s="196" t="s">
        <v>11720</v>
      </c>
      <c r="H5778" s="196" t="s">
        <v>11235</v>
      </c>
    </row>
    <row r="5779" spans="1:8" x14ac:dyDescent="0.15">
      <c r="A5779" s="196" t="s">
        <v>11229</v>
      </c>
      <c r="B5779" s="196" t="s">
        <v>11230</v>
      </c>
      <c r="C5779" s="196" t="s">
        <v>24602</v>
      </c>
      <c r="D5779" s="196" t="s">
        <v>24603</v>
      </c>
      <c r="E5779" s="196" t="s">
        <v>24604</v>
      </c>
      <c r="F5779" s="196" t="s">
        <v>13023</v>
      </c>
      <c r="G5779" s="196" t="s">
        <v>11720</v>
      </c>
      <c r="H5779" s="196" t="s">
        <v>11235</v>
      </c>
    </row>
    <row r="5780" spans="1:8" x14ac:dyDescent="0.15">
      <c r="A5780" s="196" t="s">
        <v>11229</v>
      </c>
      <c r="B5780" s="196" t="s">
        <v>11230</v>
      </c>
      <c r="C5780" s="196" t="s">
        <v>24605</v>
      </c>
      <c r="D5780" s="196" t="s">
        <v>24604</v>
      </c>
      <c r="E5780" s="196" t="s">
        <v>24606</v>
      </c>
      <c r="F5780" s="196" t="s">
        <v>11241</v>
      </c>
      <c r="G5780" s="196" t="s">
        <v>11720</v>
      </c>
      <c r="H5780" s="196" t="s">
        <v>11235</v>
      </c>
    </row>
    <row r="5781" spans="1:8" x14ac:dyDescent="0.15">
      <c r="A5781" s="196" t="s">
        <v>11229</v>
      </c>
      <c r="B5781" s="196" t="s">
        <v>11230</v>
      </c>
      <c r="C5781" s="196" t="s">
        <v>24607</v>
      </c>
      <c r="D5781" s="196" t="s">
        <v>24608</v>
      </c>
      <c r="E5781" s="196" t="s">
        <v>24608</v>
      </c>
      <c r="F5781" s="196" t="s">
        <v>11233</v>
      </c>
      <c r="G5781" s="196" t="s">
        <v>11720</v>
      </c>
      <c r="H5781" s="196" t="s">
        <v>11235</v>
      </c>
    </row>
    <row r="5782" spans="1:8" x14ac:dyDescent="0.15">
      <c r="A5782" s="196" t="s">
        <v>11229</v>
      </c>
      <c r="B5782" s="196" t="s">
        <v>11230</v>
      </c>
      <c r="C5782" s="196" t="s">
        <v>24609</v>
      </c>
      <c r="D5782" s="196" t="s">
        <v>24610</v>
      </c>
      <c r="E5782" s="196" t="s">
        <v>24611</v>
      </c>
      <c r="F5782" s="196" t="s">
        <v>11268</v>
      </c>
      <c r="G5782" s="196" t="s">
        <v>11720</v>
      </c>
      <c r="H5782" s="196" t="s">
        <v>11235</v>
      </c>
    </row>
    <row r="5783" spans="1:8" x14ac:dyDescent="0.15">
      <c r="A5783" s="196" t="s">
        <v>11229</v>
      </c>
      <c r="B5783" s="196" t="s">
        <v>11230</v>
      </c>
      <c r="C5783" s="196" t="s">
        <v>24612</v>
      </c>
      <c r="D5783" s="196" t="s">
        <v>24613</v>
      </c>
      <c r="E5783" s="196" t="s">
        <v>24614</v>
      </c>
      <c r="F5783" s="196" t="s">
        <v>13758</v>
      </c>
      <c r="G5783" s="196" t="s">
        <v>11720</v>
      </c>
      <c r="H5783" s="196" t="s">
        <v>11235</v>
      </c>
    </row>
    <row r="5784" spans="1:8" x14ac:dyDescent="0.15">
      <c r="A5784" s="196" t="s">
        <v>11229</v>
      </c>
      <c r="B5784" s="196" t="s">
        <v>11230</v>
      </c>
      <c r="C5784" s="196" t="s">
        <v>24615</v>
      </c>
      <c r="D5784" s="196" t="s">
        <v>24616</v>
      </c>
      <c r="E5784" s="196" t="s">
        <v>24617</v>
      </c>
      <c r="F5784" s="196" t="s">
        <v>13023</v>
      </c>
      <c r="G5784" s="196" t="s">
        <v>11720</v>
      </c>
      <c r="H5784" s="196" t="s">
        <v>11235</v>
      </c>
    </row>
    <row r="5785" spans="1:8" x14ac:dyDescent="0.15">
      <c r="A5785" s="196" t="s">
        <v>11229</v>
      </c>
      <c r="B5785" s="196" t="s">
        <v>11230</v>
      </c>
      <c r="C5785" s="196" t="s">
        <v>24618</v>
      </c>
      <c r="D5785" s="196" t="s">
        <v>24619</v>
      </c>
      <c r="E5785" s="196" t="s">
        <v>24620</v>
      </c>
      <c r="F5785" s="196" t="s">
        <v>24621</v>
      </c>
      <c r="G5785" s="196" t="s">
        <v>12378</v>
      </c>
      <c r="H5785" s="196" t="s">
        <v>11235</v>
      </c>
    </row>
    <row r="5786" spans="1:8" x14ac:dyDescent="0.15">
      <c r="A5786" s="196" t="s">
        <v>11229</v>
      </c>
      <c r="B5786" s="196" t="s">
        <v>11230</v>
      </c>
      <c r="C5786" s="196" t="s">
        <v>24622</v>
      </c>
      <c r="D5786" s="196" t="s">
        <v>24623</v>
      </c>
      <c r="E5786" s="196" t="s">
        <v>24623</v>
      </c>
      <c r="F5786" s="196" t="s">
        <v>11233</v>
      </c>
      <c r="G5786" s="196" t="s">
        <v>11720</v>
      </c>
      <c r="H5786" s="196" t="s">
        <v>11235</v>
      </c>
    </row>
    <row r="5787" spans="1:8" x14ac:dyDescent="0.15">
      <c r="A5787" s="196" t="s">
        <v>11229</v>
      </c>
      <c r="B5787" s="196" t="s">
        <v>11230</v>
      </c>
      <c r="C5787" s="196" t="s">
        <v>24624</v>
      </c>
      <c r="D5787" s="196" t="s">
        <v>24625</v>
      </c>
      <c r="E5787" s="196" t="s">
        <v>24625</v>
      </c>
      <c r="F5787" s="196" t="s">
        <v>11233</v>
      </c>
      <c r="G5787" s="196" t="s">
        <v>11720</v>
      </c>
      <c r="H5787" s="196" t="s">
        <v>11235</v>
      </c>
    </row>
    <row r="5788" spans="1:8" x14ac:dyDescent="0.15">
      <c r="A5788" s="196" t="s">
        <v>11229</v>
      </c>
      <c r="B5788" s="196" t="s">
        <v>11230</v>
      </c>
      <c r="C5788" s="196" t="s">
        <v>24626</v>
      </c>
      <c r="D5788" s="196" t="s">
        <v>24627</v>
      </c>
      <c r="E5788" s="196" t="s">
        <v>24627</v>
      </c>
      <c r="F5788" s="196" t="s">
        <v>11233</v>
      </c>
      <c r="G5788" s="196" t="s">
        <v>11720</v>
      </c>
      <c r="H5788" s="196" t="s">
        <v>11235</v>
      </c>
    </row>
    <row r="5789" spans="1:8" x14ac:dyDescent="0.15">
      <c r="A5789" s="196" t="s">
        <v>11229</v>
      </c>
      <c r="B5789" s="196" t="s">
        <v>11230</v>
      </c>
      <c r="C5789" s="196" t="s">
        <v>24628</v>
      </c>
      <c r="D5789" s="196" t="s">
        <v>24629</v>
      </c>
      <c r="E5789" s="196" t="s">
        <v>24629</v>
      </c>
      <c r="F5789" s="196" t="s">
        <v>11233</v>
      </c>
      <c r="G5789" s="196" t="s">
        <v>11720</v>
      </c>
      <c r="H5789" s="196" t="s">
        <v>11235</v>
      </c>
    </row>
    <row r="5790" spans="1:8" x14ac:dyDescent="0.15">
      <c r="A5790" s="196" t="s">
        <v>11229</v>
      </c>
      <c r="B5790" s="196" t="s">
        <v>11230</v>
      </c>
      <c r="C5790" s="196" t="s">
        <v>24630</v>
      </c>
      <c r="D5790" s="196" t="s">
        <v>24631</v>
      </c>
      <c r="E5790" s="196" t="s">
        <v>24631</v>
      </c>
      <c r="F5790" s="196" t="s">
        <v>11233</v>
      </c>
      <c r="G5790" s="196" t="s">
        <v>11720</v>
      </c>
      <c r="H5790" s="196" t="s">
        <v>11235</v>
      </c>
    </row>
    <row r="5791" spans="1:8" x14ac:dyDescent="0.15">
      <c r="A5791" s="196" t="s">
        <v>11229</v>
      </c>
      <c r="B5791" s="196" t="s">
        <v>11230</v>
      </c>
      <c r="C5791" s="196" t="s">
        <v>24632</v>
      </c>
      <c r="D5791" s="196" t="s">
        <v>24633</v>
      </c>
      <c r="E5791" s="196" t="s">
        <v>24633</v>
      </c>
      <c r="F5791" s="196" t="s">
        <v>11233</v>
      </c>
      <c r="G5791" s="196" t="s">
        <v>11720</v>
      </c>
      <c r="H5791" s="196" t="s">
        <v>11235</v>
      </c>
    </row>
    <row r="5792" spans="1:8" x14ac:dyDescent="0.15">
      <c r="A5792" s="196" t="s">
        <v>11229</v>
      </c>
      <c r="B5792" s="196" t="s">
        <v>11230</v>
      </c>
      <c r="C5792" s="196" t="s">
        <v>24634</v>
      </c>
      <c r="D5792" s="196" t="s">
        <v>24635</v>
      </c>
      <c r="E5792" s="196" t="s">
        <v>24635</v>
      </c>
      <c r="F5792" s="196" t="s">
        <v>11233</v>
      </c>
      <c r="G5792" s="196" t="s">
        <v>11720</v>
      </c>
      <c r="H5792" s="196" t="s">
        <v>11235</v>
      </c>
    </row>
    <row r="5793" spans="1:8" x14ac:dyDescent="0.15">
      <c r="A5793" s="196" t="s">
        <v>11229</v>
      </c>
      <c r="B5793" s="196" t="s">
        <v>11230</v>
      </c>
      <c r="C5793" s="196" t="s">
        <v>24636</v>
      </c>
      <c r="D5793" s="196" t="s">
        <v>24637</v>
      </c>
      <c r="E5793" s="196" t="s">
        <v>24637</v>
      </c>
      <c r="F5793" s="196" t="s">
        <v>11233</v>
      </c>
      <c r="G5793" s="196" t="s">
        <v>11720</v>
      </c>
      <c r="H5793" s="196" t="s">
        <v>11235</v>
      </c>
    </row>
    <row r="5794" spans="1:8" x14ac:dyDescent="0.15">
      <c r="A5794" s="196" t="s">
        <v>11229</v>
      </c>
      <c r="B5794" s="196" t="s">
        <v>11230</v>
      </c>
      <c r="C5794" s="196" t="s">
        <v>24638</v>
      </c>
      <c r="D5794" s="196" t="s">
        <v>24639</v>
      </c>
      <c r="E5794" s="196" t="s">
        <v>24639</v>
      </c>
      <c r="F5794" s="196" t="s">
        <v>11233</v>
      </c>
      <c r="G5794" s="196" t="s">
        <v>11720</v>
      </c>
      <c r="H5794" s="196" t="s">
        <v>11235</v>
      </c>
    </row>
    <row r="5795" spans="1:8" x14ac:dyDescent="0.15">
      <c r="A5795" s="196" t="s">
        <v>11229</v>
      </c>
      <c r="B5795" s="196" t="s">
        <v>11230</v>
      </c>
      <c r="C5795" s="196" t="s">
        <v>24640</v>
      </c>
      <c r="D5795" s="196" t="s">
        <v>24641</v>
      </c>
      <c r="E5795" s="196" t="s">
        <v>24641</v>
      </c>
      <c r="F5795" s="196" t="s">
        <v>11233</v>
      </c>
      <c r="G5795" s="196" t="s">
        <v>11720</v>
      </c>
      <c r="H5795" s="196" t="s">
        <v>11235</v>
      </c>
    </row>
    <row r="5796" spans="1:8" x14ac:dyDescent="0.15">
      <c r="A5796" s="196" t="s">
        <v>11229</v>
      </c>
      <c r="B5796" s="196" t="s">
        <v>11230</v>
      </c>
      <c r="C5796" s="196" t="s">
        <v>24642</v>
      </c>
      <c r="D5796" s="196" t="s">
        <v>24643</v>
      </c>
      <c r="E5796" s="196" t="s">
        <v>24643</v>
      </c>
      <c r="F5796" s="196" t="s">
        <v>11233</v>
      </c>
      <c r="G5796" s="196" t="s">
        <v>11720</v>
      </c>
      <c r="H5796" s="196" t="s">
        <v>11235</v>
      </c>
    </row>
    <row r="5797" spans="1:8" x14ac:dyDescent="0.15">
      <c r="A5797" s="196" t="s">
        <v>11229</v>
      </c>
      <c r="B5797" s="196" t="s">
        <v>11230</v>
      </c>
      <c r="C5797" s="196" t="s">
        <v>24644</v>
      </c>
      <c r="D5797" s="196" t="s">
        <v>24645</v>
      </c>
      <c r="E5797" s="196" t="s">
        <v>24645</v>
      </c>
      <c r="F5797" s="196" t="s">
        <v>11233</v>
      </c>
      <c r="G5797" s="196" t="s">
        <v>11720</v>
      </c>
      <c r="H5797" s="196" t="s">
        <v>11235</v>
      </c>
    </row>
    <row r="5798" spans="1:8" x14ac:dyDescent="0.15">
      <c r="A5798" s="196" t="s">
        <v>11229</v>
      </c>
      <c r="B5798" s="196" t="s">
        <v>11230</v>
      </c>
      <c r="C5798" s="196" t="s">
        <v>24646</v>
      </c>
      <c r="D5798" s="196" t="s">
        <v>24647</v>
      </c>
      <c r="E5798" s="196" t="s">
        <v>24647</v>
      </c>
      <c r="F5798" s="196" t="s">
        <v>11233</v>
      </c>
      <c r="G5798" s="196" t="s">
        <v>11720</v>
      </c>
      <c r="H5798" s="196" t="s">
        <v>11235</v>
      </c>
    </row>
    <row r="5799" spans="1:8" x14ac:dyDescent="0.15">
      <c r="A5799" s="196" t="s">
        <v>11229</v>
      </c>
      <c r="B5799" s="196" t="s">
        <v>11230</v>
      </c>
      <c r="C5799" s="196" t="s">
        <v>24648</v>
      </c>
      <c r="D5799" s="196" t="s">
        <v>24649</v>
      </c>
      <c r="E5799" s="196" t="s">
        <v>24649</v>
      </c>
      <c r="F5799" s="196" t="s">
        <v>11233</v>
      </c>
      <c r="G5799" s="196" t="s">
        <v>11720</v>
      </c>
      <c r="H5799" s="196" t="s">
        <v>11235</v>
      </c>
    </row>
    <row r="5800" spans="1:8" x14ac:dyDescent="0.15">
      <c r="A5800" s="196" t="s">
        <v>11229</v>
      </c>
      <c r="B5800" s="196" t="s">
        <v>11230</v>
      </c>
      <c r="C5800" s="196" t="s">
        <v>24650</v>
      </c>
      <c r="D5800" s="196" t="s">
        <v>24651</v>
      </c>
      <c r="E5800" s="196" t="s">
        <v>24651</v>
      </c>
      <c r="F5800" s="196" t="s">
        <v>11233</v>
      </c>
      <c r="G5800" s="196" t="s">
        <v>11720</v>
      </c>
      <c r="H5800" s="196" t="s">
        <v>11235</v>
      </c>
    </row>
    <row r="5801" spans="1:8" x14ac:dyDescent="0.15">
      <c r="A5801" s="196" t="s">
        <v>11229</v>
      </c>
      <c r="B5801" s="196" t="s">
        <v>11230</v>
      </c>
      <c r="C5801" s="196" t="s">
        <v>24652</v>
      </c>
      <c r="D5801" s="196" t="s">
        <v>24653</v>
      </c>
      <c r="E5801" s="196" t="s">
        <v>24653</v>
      </c>
      <c r="F5801" s="196" t="s">
        <v>11233</v>
      </c>
      <c r="G5801" s="196" t="s">
        <v>11720</v>
      </c>
      <c r="H5801" s="196" t="s">
        <v>11235</v>
      </c>
    </row>
    <row r="5802" spans="1:8" x14ac:dyDescent="0.15">
      <c r="A5802" s="196" t="s">
        <v>11229</v>
      </c>
      <c r="B5802" s="196" t="s">
        <v>11230</v>
      </c>
      <c r="C5802" s="196" t="s">
        <v>24654</v>
      </c>
      <c r="D5802" s="196" t="s">
        <v>24655</v>
      </c>
      <c r="E5802" s="196" t="s">
        <v>24655</v>
      </c>
      <c r="F5802" s="196" t="s">
        <v>11233</v>
      </c>
      <c r="G5802" s="196" t="s">
        <v>11720</v>
      </c>
      <c r="H5802" s="196" t="s">
        <v>11235</v>
      </c>
    </row>
    <row r="5803" spans="1:8" x14ac:dyDescent="0.15">
      <c r="A5803" s="196" t="s">
        <v>11229</v>
      </c>
      <c r="B5803" s="196" t="s">
        <v>11230</v>
      </c>
      <c r="C5803" s="196" t="s">
        <v>24656</v>
      </c>
      <c r="D5803" s="196" t="s">
        <v>24657</v>
      </c>
      <c r="E5803" s="196" t="s">
        <v>24657</v>
      </c>
      <c r="F5803" s="196" t="s">
        <v>11233</v>
      </c>
      <c r="G5803" s="196" t="s">
        <v>11720</v>
      </c>
      <c r="H5803" s="196" t="s">
        <v>11235</v>
      </c>
    </row>
    <row r="5804" spans="1:8" x14ac:dyDescent="0.15">
      <c r="A5804" s="196" t="s">
        <v>11229</v>
      </c>
      <c r="B5804" s="196" t="s">
        <v>11230</v>
      </c>
      <c r="C5804" s="196" t="s">
        <v>24658</v>
      </c>
      <c r="D5804" s="196" t="s">
        <v>24659</v>
      </c>
      <c r="E5804" s="196" t="s">
        <v>24659</v>
      </c>
      <c r="F5804" s="196" t="s">
        <v>11233</v>
      </c>
      <c r="G5804" s="196" t="s">
        <v>11720</v>
      </c>
      <c r="H5804" s="196" t="s">
        <v>11235</v>
      </c>
    </row>
    <row r="5805" spans="1:8" x14ac:dyDescent="0.15">
      <c r="A5805" s="196" t="s">
        <v>11229</v>
      </c>
      <c r="B5805" s="196" t="s">
        <v>11230</v>
      </c>
      <c r="C5805" s="196" t="s">
        <v>24660</v>
      </c>
      <c r="D5805" s="196" t="s">
        <v>24661</v>
      </c>
      <c r="E5805" s="196" t="s">
        <v>24661</v>
      </c>
      <c r="F5805" s="196" t="s">
        <v>11233</v>
      </c>
      <c r="G5805" s="196" t="s">
        <v>11720</v>
      </c>
      <c r="H5805" s="196" t="s">
        <v>11235</v>
      </c>
    </row>
    <row r="5806" spans="1:8" x14ac:dyDescent="0.15">
      <c r="A5806" s="196" t="s">
        <v>11229</v>
      </c>
      <c r="B5806" s="196" t="s">
        <v>11230</v>
      </c>
      <c r="C5806" s="196" t="s">
        <v>24662</v>
      </c>
      <c r="D5806" s="196" t="s">
        <v>24663</v>
      </c>
      <c r="E5806" s="196" t="s">
        <v>24663</v>
      </c>
      <c r="F5806" s="196" t="s">
        <v>11233</v>
      </c>
      <c r="G5806" s="196" t="s">
        <v>11720</v>
      </c>
      <c r="H5806" s="196" t="s">
        <v>11235</v>
      </c>
    </row>
    <row r="5807" spans="1:8" x14ac:dyDescent="0.15">
      <c r="A5807" s="196" t="s">
        <v>11229</v>
      </c>
      <c r="B5807" s="196" t="s">
        <v>11230</v>
      </c>
      <c r="C5807" s="196" t="s">
        <v>24664</v>
      </c>
      <c r="D5807" s="196" t="s">
        <v>24665</v>
      </c>
      <c r="E5807" s="196" t="s">
        <v>24665</v>
      </c>
      <c r="F5807" s="196" t="s">
        <v>11233</v>
      </c>
      <c r="G5807" s="196" t="s">
        <v>11720</v>
      </c>
      <c r="H5807" s="196" t="s">
        <v>11235</v>
      </c>
    </row>
    <row r="5808" spans="1:8" x14ac:dyDescent="0.15">
      <c r="A5808" s="196" t="s">
        <v>11229</v>
      </c>
      <c r="B5808" s="196" t="s">
        <v>11230</v>
      </c>
      <c r="C5808" s="196" t="s">
        <v>24666</v>
      </c>
      <c r="D5808" s="196" t="s">
        <v>24667</v>
      </c>
      <c r="E5808" s="196" t="s">
        <v>24667</v>
      </c>
      <c r="F5808" s="196" t="s">
        <v>11233</v>
      </c>
      <c r="G5808" s="196" t="s">
        <v>11720</v>
      </c>
      <c r="H5808" s="196" t="s">
        <v>11235</v>
      </c>
    </row>
    <row r="5809" spans="1:8" x14ac:dyDescent="0.15">
      <c r="A5809" s="196" t="s">
        <v>11229</v>
      </c>
      <c r="B5809" s="196" t="s">
        <v>11230</v>
      </c>
      <c r="C5809" s="196" t="s">
        <v>24668</v>
      </c>
      <c r="D5809" s="196" t="s">
        <v>24669</v>
      </c>
      <c r="E5809" s="196" t="s">
        <v>24670</v>
      </c>
      <c r="F5809" s="196" t="s">
        <v>24671</v>
      </c>
      <c r="G5809" s="196" t="s">
        <v>12378</v>
      </c>
      <c r="H5809" s="196" t="s">
        <v>11235</v>
      </c>
    </row>
    <row r="5810" spans="1:8" x14ac:dyDescent="0.15">
      <c r="A5810" s="196" t="s">
        <v>11229</v>
      </c>
      <c r="B5810" s="196" t="s">
        <v>11230</v>
      </c>
      <c r="C5810" s="196" t="s">
        <v>24672</v>
      </c>
      <c r="D5810" s="196" t="s">
        <v>24673</v>
      </c>
      <c r="E5810" s="196" t="s">
        <v>24673</v>
      </c>
      <c r="F5810" s="196" t="s">
        <v>11233</v>
      </c>
      <c r="G5810" s="196" t="s">
        <v>11720</v>
      </c>
      <c r="H5810" s="196" t="s">
        <v>11235</v>
      </c>
    </row>
    <row r="5811" spans="1:8" x14ac:dyDescent="0.15">
      <c r="A5811" s="196" t="s">
        <v>11229</v>
      </c>
      <c r="B5811" s="196" t="s">
        <v>11230</v>
      </c>
      <c r="C5811" s="196" t="s">
        <v>24674</v>
      </c>
      <c r="D5811" s="196" t="s">
        <v>24675</v>
      </c>
      <c r="E5811" s="196" t="s">
        <v>24675</v>
      </c>
      <c r="F5811" s="196" t="s">
        <v>11233</v>
      </c>
      <c r="G5811" s="196" t="s">
        <v>11720</v>
      </c>
      <c r="H5811" s="196" t="s">
        <v>11235</v>
      </c>
    </row>
    <row r="5812" spans="1:8" x14ac:dyDescent="0.15">
      <c r="A5812" s="196" t="s">
        <v>11229</v>
      </c>
      <c r="B5812" s="196" t="s">
        <v>11230</v>
      </c>
      <c r="C5812" s="196" t="s">
        <v>24676</v>
      </c>
      <c r="D5812" s="196" t="s">
        <v>24677</v>
      </c>
      <c r="E5812" s="196" t="s">
        <v>24677</v>
      </c>
      <c r="F5812" s="196" t="s">
        <v>11233</v>
      </c>
      <c r="G5812" s="196" t="s">
        <v>11720</v>
      </c>
      <c r="H5812" s="196" t="s">
        <v>11235</v>
      </c>
    </row>
    <row r="5813" spans="1:8" x14ac:dyDescent="0.15">
      <c r="A5813" s="196" t="s">
        <v>11229</v>
      </c>
      <c r="B5813" s="196" t="s">
        <v>11230</v>
      </c>
      <c r="C5813" s="196" t="s">
        <v>24678</v>
      </c>
      <c r="D5813" s="196" t="s">
        <v>24679</v>
      </c>
      <c r="E5813" s="196" t="s">
        <v>24679</v>
      </c>
      <c r="F5813" s="196" t="s">
        <v>11233</v>
      </c>
      <c r="G5813" s="196" t="s">
        <v>11720</v>
      </c>
      <c r="H5813" s="196" t="s">
        <v>11235</v>
      </c>
    </row>
    <row r="5814" spans="1:8" x14ac:dyDescent="0.15">
      <c r="A5814" s="196" t="s">
        <v>11229</v>
      </c>
      <c r="B5814" s="196" t="s">
        <v>11230</v>
      </c>
      <c r="C5814" s="196" t="s">
        <v>24680</v>
      </c>
      <c r="D5814" s="196" t="s">
        <v>24681</v>
      </c>
      <c r="E5814" s="196" t="s">
        <v>24681</v>
      </c>
      <c r="F5814" s="196" t="s">
        <v>11233</v>
      </c>
      <c r="G5814" s="196" t="s">
        <v>11720</v>
      </c>
      <c r="H5814" s="196" t="s">
        <v>11235</v>
      </c>
    </row>
    <row r="5815" spans="1:8" x14ac:dyDescent="0.15">
      <c r="A5815" s="196" t="s">
        <v>11229</v>
      </c>
      <c r="B5815" s="196" t="s">
        <v>11230</v>
      </c>
      <c r="C5815" s="196" t="s">
        <v>24682</v>
      </c>
      <c r="D5815" s="196" t="s">
        <v>24683</v>
      </c>
      <c r="E5815" s="196" t="s">
        <v>24683</v>
      </c>
      <c r="F5815" s="196" t="s">
        <v>11233</v>
      </c>
      <c r="G5815" s="196" t="s">
        <v>11720</v>
      </c>
      <c r="H5815" s="196" t="s">
        <v>11235</v>
      </c>
    </row>
    <row r="5816" spans="1:8" x14ac:dyDescent="0.15">
      <c r="A5816" s="196" t="s">
        <v>11229</v>
      </c>
      <c r="B5816" s="196" t="s">
        <v>11230</v>
      </c>
      <c r="C5816" s="196" t="s">
        <v>24684</v>
      </c>
      <c r="D5816" s="196" t="s">
        <v>24685</v>
      </c>
      <c r="E5816" s="196" t="s">
        <v>24685</v>
      </c>
      <c r="F5816" s="196" t="s">
        <v>11233</v>
      </c>
      <c r="G5816" s="196" t="s">
        <v>11720</v>
      </c>
      <c r="H5816" s="196" t="s">
        <v>11235</v>
      </c>
    </row>
    <row r="5817" spans="1:8" x14ac:dyDescent="0.15">
      <c r="A5817" s="196" t="s">
        <v>11229</v>
      </c>
      <c r="B5817" s="196" t="s">
        <v>11230</v>
      </c>
      <c r="C5817" s="196" t="s">
        <v>24686</v>
      </c>
      <c r="D5817" s="196" t="s">
        <v>24687</v>
      </c>
      <c r="E5817" s="196" t="s">
        <v>24688</v>
      </c>
      <c r="F5817" s="196" t="s">
        <v>11241</v>
      </c>
      <c r="G5817" s="196" t="s">
        <v>11720</v>
      </c>
      <c r="H5817" s="196" t="s">
        <v>11235</v>
      </c>
    </row>
    <row r="5818" spans="1:8" x14ac:dyDescent="0.15">
      <c r="A5818" s="196" t="s">
        <v>11229</v>
      </c>
      <c r="B5818" s="196" t="s">
        <v>11230</v>
      </c>
      <c r="C5818" s="196" t="s">
        <v>24689</v>
      </c>
      <c r="D5818" s="196" t="s">
        <v>24688</v>
      </c>
      <c r="E5818" s="196" t="s">
        <v>24690</v>
      </c>
      <c r="F5818" s="196" t="s">
        <v>11241</v>
      </c>
      <c r="G5818" s="196" t="s">
        <v>11720</v>
      </c>
      <c r="H5818" s="196" t="s">
        <v>11235</v>
      </c>
    </row>
    <row r="5819" spans="1:8" x14ac:dyDescent="0.15">
      <c r="A5819" s="196" t="s">
        <v>11229</v>
      </c>
      <c r="B5819" s="196" t="s">
        <v>11230</v>
      </c>
      <c r="C5819" s="196" t="s">
        <v>24691</v>
      </c>
      <c r="D5819" s="196" t="s">
        <v>24692</v>
      </c>
      <c r="E5819" s="196" t="s">
        <v>24692</v>
      </c>
      <c r="F5819" s="196" t="s">
        <v>11233</v>
      </c>
      <c r="G5819" s="196" t="s">
        <v>11720</v>
      </c>
      <c r="H5819" s="196" t="s">
        <v>11235</v>
      </c>
    </row>
    <row r="5820" spans="1:8" x14ac:dyDescent="0.15">
      <c r="A5820" s="196" t="s">
        <v>11229</v>
      </c>
      <c r="B5820" s="196" t="s">
        <v>11230</v>
      </c>
      <c r="C5820" s="196" t="s">
        <v>24693</v>
      </c>
      <c r="D5820" s="196" t="s">
        <v>24694</v>
      </c>
      <c r="E5820" s="196" t="s">
        <v>24695</v>
      </c>
      <c r="F5820" s="196" t="s">
        <v>24696</v>
      </c>
      <c r="G5820" s="196" t="s">
        <v>12378</v>
      </c>
      <c r="H5820" s="196" t="s">
        <v>11235</v>
      </c>
    </row>
    <row r="5821" spans="1:8" x14ac:dyDescent="0.15">
      <c r="A5821" s="196" t="s">
        <v>11229</v>
      </c>
      <c r="B5821" s="196" t="s">
        <v>11230</v>
      </c>
      <c r="C5821" s="196" t="s">
        <v>24697</v>
      </c>
      <c r="D5821" s="196" t="s">
        <v>24698</v>
      </c>
      <c r="E5821" s="196" t="s">
        <v>24698</v>
      </c>
      <c r="F5821" s="196" t="s">
        <v>11233</v>
      </c>
      <c r="G5821" s="196" t="s">
        <v>11720</v>
      </c>
      <c r="H5821" s="196" t="s">
        <v>11235</v>
      </c>
    </row>
    <row r="5822" spans="1:8" x14ac:dyDescent="0.15">
      <c r="A5822" s="196" t="s">
        <v>11229</v>
      </c>
      <c r="B5822" s="196" t="s">
        <v>11230</v>
      </c>
      <c r="C5822" s="196" t="s">
        <v>24699</v>
      </c>
      <c r="D5822" s="196" t="s">
        <v>24700</v>
      </c>
      <c r="E5822" s="196" t="s">
        <v>24701</v>
      </c>
      <c r="F5822" s="196" t="s">
        <v>11241</v>
      </c>
      <c r="G5822" s="196" t="s">
        <v>11720</v>
      </c>
      <c r="H5822" s="196" t="s">
        <v>11235</v>
      </c>
    </row>
    <row r="5823" spans="1:8" x14ac:dyDescent="0.15">
      <c r="A5823" s="196" t="s">
        <v>11229</v>
      </c>
      <c r="B5823" s="196" t="s">
        <v>11230</v>
      </c>
      <c r="C5823" s="196" t="s">
        <v>24702</v>
      </c>
      <c r="D5823" s="196" t="s">
        <v>24703</v>
      </c>
      <c r="E5823" s="196" t="s">
        <v>24703</v>
      </c>
      <c r="F5823" s="196" t="s">
        <v>11233</v>
      </c>
      <c r="G5823" s="196" t="s">
        <v>11720</v>
      </c>
      <c r="H5823" s="196" t="s">
        <v>11235</v>
      </c>
    </row>
    <row r="5824" spans="1:8" x14ac:dyDescent="0.15">
      <c r="A5824" s="196" t="s">
        <v>11229</v>
      </c>
      <c r="B5824" s="196" t="s">
        <v>11230</v>
      </c>
      <c r="C5824" s="196" t="s">
        <v>24704</v>
      </c>
      <c r="D5824" s="196" t="s">
        <v>24705</v>
      </c>
      <c r="E5824" s="196" t="s">
        <v>24705</v>
      </c>
      <c r="F5824" s="196" t="s">
        <v>11233</v>
      </c>
      <c r="G5824" s="196" t="s">
        <v>11720</v>
      </c>
      <c r="H5824" s="196" t="s">
        <v>11235</v>
      </c>
    </row>
    <row r="5825" spans="1:8" x14ac:dyDescent="0.15">
      <c r="A5825" s="196" t="s">
        <v>11229</v>
      </c>
      <c r="B5825" s="196" t="s">
        <v>11230</v>
      </c>
      <c r="C5825" s="196" t="s">
        <v>24706</v>
      </c>
      <c r="D5825" s="196" t="s">
        <v>24707</v>
      </c>
      <c r="E5825" s="196" t="s">
        <v>24707</v>
      </c>
      <c r="F5825" s="196" t="s">
        <v>11233</v>
      </c>
      <c r="G5825" s="196" t="s">
        <v>11720</v>
      </c>
      <c r="H5825" s="196" t="s">
        <v>11235</v>
      </c>
    </row>
    <row r="5826" spans="1:8" x14ac:dyDescent="0.15">
      <c r="A5826" s="196" t="s">
        <v>11229</v>
      </c>
      <c r="B5826" s="196" t="s">
        <v>11230</v>
      </c>
      <c r="C5826" s="196" t="s">
        <v>24708</v>
      </c>
      <c r="D5826" s="196" t="s">
        <v>24709</v>
      </c>
      <c r="E5826" s="196" t="s">
        <v>24709</v>
      </c>
      <c r="F5826" s="196" t="s">
        <v>11233</v>
      </c>
      <c r="G5826" s="196" t="s">
        <v>11720</v>
      </c>
      <c r="H5826" s="196" t="s">
        <v>11235</v>
      </c>
    </row>
    <row r="5827" spans="1:8" x14ac:dyDescent="0.15">
      <c r="A5827" s="196" t="s">
        <v>11229</v>
      </c>
      <c r="B5827" s="196" t="s">
        <v>11230</v>
      </c>
      <c r="C5827" s="196" t="s">
        <v>24710</v>
      </c>
      <c r="D5827" s="196" t="s">
        <v>24711</v>
      </c>
      <c r="E5827" s="196" t="s">
        <v>24711</v>
      </c>
      <c r="F5827" s="196" t="s">
        <v>11233</v>
      </c>
      <c r="G5827" s="196" t="s">
        <v>11720</v>
      </c>
      <c r="H5827" s="196" t="s">
        <v>11235</v>
      </c>
    </row>
    <row r="5828" spans="1:8" x14ac:dyDescent="0.15">
      <c r="A5828" s="196" t="s">
        <v>11229</v>
      </c>
      <c r="B5828" s="196" t="s">
        <v>11230</v>
      </c>
      <c r="C5828" s="196" t="s">
        <v>24712</v>
      </c>
      <c r="D5828" s="196" t="s">
        <v>24713</v>
      </c>
      <c r="E5828" s="196" t="s">
        <v>24713</v>
      </c>
      <c r="F5828" s="196" t="s">
        <v>11233</v>
      </c>
      <c r="G5828" s="196" t="s">
        <v>11720</v>
      </c>
      <c r="H5828" s="196" t="s">
        <v>11235</v>
      </c>
    </row>
    <row r="5829" spans="1:8" x14ac:dyDescent="0.15">
      <c r="A5829" s="196" t="s">
        <v>11229</v>
      </c>
      <c r="B5829" s="196" t="s">
        <v>11230</v>
      </c>
      <c r="C5829" s="196" t="s">
        <v>24714</v>
      </c>
      <c r="D5829" s="196" t="s">
        <v>24715</v>
      </c>
      <c r="E5829" s="196" t="s">
        <v>24715</v>
      </c>
      <c r="F5829" s="196" t="s">
        <v>11233</v>
      </c>
      <c r="G5829" s="196" t="s">
        <v>11720</v>
      </c>
      <c r="H5829" s="196" t="s">
        <v>11235</v>
      </c>
    </row>
    <row r="5830" spans="1:8" x14ac:dyDescent="0.15">
      <c r="A5830" s="196" t="s">
        <v>11229</v>
      </c>
      <c r="B5830" s="196" t="s">
        <v>11230</v>
      </c>
      <c r="C5830" s="196" t="s">
        <v>24716</v>
      </c>
      <c r="D5830" s="196" t="s">
        <v>24717</v>
      </c>
      <c r="E5830" s="196" t="s">
        <v>24718</v>
      </c>
      <c r="F5830" s="196" t="s">
        <v>24719</v>
      </c>
      <c r="G5830" s="196" t="s">
        <v>12378</v>
      </c>
      <c r="H5830" s="196" t="s">
        <v>11235</v>
      </c>
    </row>
    <row r="5831" spans="1:8" x14ac:dyDescent="0.15">
      <c r="A5831" s="196" t="s">
        <v>11229</v>
      </c>
      <c r="B5831" s="196" t="s">
        <v>11230</v>
      </c>
      <c r="C5831" s="196" t="s">
        <v>24720</v>
      </c>
      <c r="D5831" s="196" t="s">
        <v>24721</v>
      </c>
      <c r="E5831" s="196" t="s">
        <v>24721</v>
      </c>
      <c r="F5831" s="196" t="s">
        <v>11233</v>
      </c>
      <c r="G5831" s="196" t="s">
        <v>11720</v>
      </c>
      <c r="H5831" s="196" t="s">
        <v>11235</v>
      </c>
    </row>
    <row r="5832" spans="1:8" x14ac:dyDescent="0.15">
      <c r="A5832" s="196" t="s">
        <v>11229</v>
      </c>
      <c r="B5832" s="196" t="s">
        <v>11230</v>
      </c>
      <c r="C5832" s="196" t="s">
        <v>24722</v>
      </c>
      <c r="D5832" s="196" t="s">
        <v>24723</v>
      </c>
      <c r="E5832" s="196" t="s">
        <v>24723</v>
      </c>
      <c r="F5832" s="196" t="s">
        <v>11233</v>
      </c>
      <c r="G5832" s="196" t="s">
        <v>11720</v>
      </c>
      <c r="H5832" s="196" t="s">
        <v>11235</v>
      </c>
    </row>
    <row r="5833" spans="1:8" x14ac:dyDescent="0.15">
      <c r="A5833" s="196" t="s">
        <v>11229</v>
      </c>
      <c r="B5833" s="196" t="s">
        <v>11230</v>
      </c>
      <c r="C5833" s="196" t="s">
        <v>24724</v>
      </c>
      <c r="D5833" s="196" t="s">
        <v>24725</v>
      </c>
      <c r="E5833" s="196" t="s">
        <v>24725</v>
      </c>
      <c r="F5833" s="196" t="s">
        <v>11233</v>
      </c>
      <c r="G5833" s="196" t="s">
        <v>11720</v>
      </c>
      <c r="H5833" s="196" t="s">
        <v>11235</v>
      </c>
    </row>
    <row r="5834" spans="1:8" x14ac:dyDescent="0.15">
      <c r="A5834" s="196" t="s">
        <v>11229</v>
      </c>
      <c r="B5834" s="196" t="s">
        <v>11230</v>
      </c>
      <c r="C5834" s="196" t="s">
        <v>24726</v>
      </c>
      <c r="D5834" s="196" t="s">
        <v>24727</v>
      </c>
      <c r="E5834" s="196" t="s">
        <v>24727</v>
      </c>
      <c r="F5834" s="196" t="s">
        <v>11233</v>
      </c>
      <c r="G5834" s="196" t="s">
        <v>11720</v>
      </c>
      <c r="H5834" s="196" t="s">
        <v>11235</v>
      </c>
    </row>
    <row r="5835" spans="1:8" x14ac:dyDescent="0.15">
      <c r="A5835" s="196" t="s">
        <v>11229</v>
      </c>
      <c r="B5835" s="196" t="s">
        <v>11230</v>
      </c>
      <c r="C5835" s="196" t="s">
        <v>24728</v>
      </c>
      <c r="D5835" s="196" t="s">
        <v>24729</v>
      </c>
      <c r="E5835" s="196" t="s">
        <v>24729</v>
      </c>
      <c r="F5835" s="196" t="s">
        <v>11233</v>
      </c>
      <c r="G5835" s="196" t="s">
        <v>11720</v>
      </c>
      <c r="H5835" s="196" t="s">
        <v>11235</v>
      </c>
    </row>
    <row r="5836" spans="1:8" x14ac:dyDescent="0.15">
      <c r="A5836" s="196" t="s">
        <v>11229</v>
      </c>
      <c r="B5836" s="196" t="s">
        <v>11230</v>
      </c>
      <c r="C5836" s="196" t="s">
        <v>24730</v>
      </c>
      <c r="D5836" s="196" t="s">
        <v>24731</v>
      </c>
      <c r="E5836" s="196" t="s">
        <v>24731</v>
      </c>
      <c r="F5836" s="196" t="s">
        <v>11233</v>
      </c>
      <c r="G5836" s="196" t="s">
        <v>11720</v>
      </c>
      <c r="H5836" s="196" t="s">
        <v>11235</v>
      </c>
    </row>
    <row r="5837" spans="1:8" x14ac:dyDescent="0.15">
      <c r="A5837" s="196" t="s">
        <v>11229</v>
      </c>
      <c r="B5837" s="196" t="s">
        <v>11230</v>
      </c>
      <c r="C5837" s="196" t="s">
        <v>24732</v>
      </c>
      <c r="D5837" s="196" t="s">
        <v>24733</v>
      </c>
      <c r="E5837" s="196" t="s">
        <v>24733</v>
      </c>
      <c r="F5837" s="196" t="s">
        <v>11233</v>
      </c>
      <c r="G5837" s="196" t="s">
        <v>11720</v>
      </c>
      <c r="H5837" s="196" t="s">
        <v>11235</v>
      </c>
    </row>
    <row r="5838" spans="1:8" x14ac:dyDescent="0.15">
      <c r="A5838" s="196" t="s">
        <v>11229</v>
      </c>
      <c r="B5838" s="196" t="s">
        <v>11230</v>
      </c>
      <c r="C5838" s="196" t="s">
        <v>24734</v>
      </c>
      <c r="D5838" s="196" t="s">
        <v>24735</v>
      </c>
      <c r="E5838" s="196" t="s">
        <v>24735</v>
      </c>
      <c r="F5838" s="196" t="s">
        <v>11233</v>
      </c>
      <c r="G5838" s="196" t="s">
        <v>11720</v>
      </c>
      <c r="H5838" s="196" t="s">
        <v>11235</v>
      </c>
    </row>
    <row r="5839" spans="1:8" x14ac:dyDescent="0.15">
      <c r="A5839" s="196" t="s">
        <v>11229</v>
      </c>
      <c r="B5839" s="196" t="s">
        <v>11230</v>
      </c>
      <c r="C5839" s="196" t="s">
        <v>24736</v>
      </c>
      <c r="D5839" s="196" t="s">
        <v>24737</v>
      </c>
      <c r="E5839" s="196" t="s">
        <v>24737</v>
      </c>
      <c r="F5839" s="196" t="s">
        <v>11233</v>
      </c>
      <c r="G5839" s="196" t="s">
        <v>11720</v>
      </c>
      <c r="H5839" s="196" t="s">
        <v>11235</v>
      </c>
    </row>
    <row r="5840" spans="1:8" x14ac:dyDescent="0.15">
      <c r="A5840" s="196" t="s">
        <v>11229</v>
      </c>
      <c r="B5840" s="196" t="s">
        <v>11230</v>
      </c>
      <c r="C5840" s="196" t="s">
        <v>24738</v>
      </c>
      <c r="D5840" s="196" t="s">
        <v>24739</v>
      </c>
      <c r="E5840" s="196" t="s">
        <v>24739</v>
      </c>
      <c r="F5840" s="196" t="s">
        <v>11233</v>
      </c>
      <c r="G5840" s="196" t="s">
        <v>11720</v>
      </c>
      <c r="H5840" s="196" t="s">
        <v>11235</v>
      </c>
    </row>
    <row r="5841" spans="1:8" x14ac:dyDescent="0.15">
      <c r="A5841" s="196" t="s">
        <v>11229</v>
      </c>
      <c r="B5841" s="196" t="s">
        <v>11230</v>
      </c>
      <c r="C5841" s="196" t="s">
        <v>24740</v>
      </c>
      <c r="D5841" s="196" t="s">
        <v>24741</v>
      </c>
      <c r="E5841" s="196" t="s">
        <v>24742</v>
      </c>
      <c r="F5841" s="196" t="s">
        <v>24743</v>
      </c>
      <c r="G5841" s="196" t="s">
        <v>12378</v>
      </c>
      <c r="H5841" s="196" t="s">
        <v>11235</v>
      </c>
    </row>
    <row r="5842" spans="1:8" x14ac:dyDescent="0.15">
      <c r="A5842" s="196" t="s">
        <v>11229</v>
      </c>
      <c r="B5842" s="196" t="s">
        <v>11230</v>
      </c>
      <c r="C5842" s="196" t="s">
        <v>24744</v>
      </c>
      <c r="D5842" s="196" t="s">
        <v>24745</v>
      </c>
      <c r="E5842" s="196" t="s">
        <v>24746</v>
      </c>
      <c r="F5842" s="196" t="s">
        <v>13023</v>
      </c>
      <c r="G5842" s="196" t="s">
        <v>11720</v>
      </c>
      <c r="H5842" s="196" t="s">
        <v>11235</v>
      </c>
    </row>
    <row r="5843" spans="1:8" x14ac:dyDescent="0.15">
      <c r="A5843" s="196" t="s">
        <v>11229</v>
      </c>
      <c r="B5843" s="196" t="s">
        <v>11230</v>
      </c>
      <c r="C5843" s="196" t="s">
        <v>24747</v>
      </c>
      <c r="D5843" s="196" t="s">
        <v>24748</v>
      </c>
      <c r="E5843" s="196" t="s">
        <v>24749</v>
      </c>
      <c r="F5843" s="196" t="s">
        <v>11241</v>
      </c>
      <c r="G5843" s="196" t="s">
        <v>11720</v>
      </c>
      <c r="H5843" s="196" t="s">
        <v>11235</v>
      </c>
    </row>
    <row r="5844" spans="1:8" x14ac:dyDescent="0.15">
      <c r="A5844" s="196" t="s">
        <v>11229</v>
      </c>
      <c r="B5844" s="196" t="s">
        <v>11230</v>
      </c>
      <c r="C5844" s="196" t="s">
        <v>24750</v>
      </c>
      <c r="D5844" s="196" t="s">
        <v>24749</v>
      </c>
      <c r="E5844" s="196" t="s">
        <v>24751</v>
      </c>
      <c r="F5844" s="196" t="s">
        <v>11241</v>
      </c>
      <c r="G5844" s="196" t="s">
        <v>11720</v>
      </c>
      <c r="H5844" s="196" t="s">
        <v>11235</v>
      </c>
    </row>
    <row r="5845" spans="1:8" x14ac:dyDescent="0.15">
      <c r="A5845" s="196" t="s">
        <v>11229</v>
      </c>
      <c r="B5845" s="196" t="s">
        <v>11230</v>
      </c>
      <c r="C5845" s="196" t="s">
        <v>24752</v>
      </c>
      <c r="D5845" s="196" t="s">
        <v>24751</v>
      </c>
      <c r="E5845" s="196" t="s">
        <v>24753</v>
      </c>
      <c r="F5845" s="196" t="s">
        <v>11268</v>
      </c>
      <c r="G5845" s="196" t="s">
        <v>11720</v>
      </c>
      <c r="H5845" s="196" t="s">
        <v>11235</v>
      </c>
    </row>
    <row r="5846" spans="1:8" x14ac:dyDescent="0.15">
      <c r="A5846" s="196" t="s">
        <v>11229</v>
      </c>
      <c r="B5846" s="196" t="s">
        <v>11230</v>
      </c>
      <c r="C5846" s="196" t="s">
        <v>24754</v>
      </c>
      <c r="D5846" s="196" t="s">
        <v>24753</v>
      </c>
      <c r="E5846" s="196" t="s">
        <v>24755</v>
      </c>
      <c r="F5846" s="196" t="s">
        <v>11241</v>
      </c>
      <c r="G5846" s="196" t="s">
        <v>11720</v>
      </c>
      <c r="H5846" s="196" t="s">
        <v>11235</v>
      </c>
    </row>
    <row r="5847" spans="1:8" x14ac:dyDescent="0.15">
      <c r="A5847" s="196" t="s">
        <v>11229</v>
      </c>
      <c r="B5847" s="196" t="s">
        <v>11230</v>
      </c>
      <c r="C5847" s="196" t="s">
        <v>24756</v>
      </c>
      <c r="D5847" s="196" t="s">
        <v>24755</v>
      </c>
      <c r="E5847" s="196" t="s">
        <v>24755</v>
      </c>
      <c r="F5847" s="196" t="s">
        <v>11233</v>
      </c>
      <c r="G5847" s="196" t="s">
        <v>11720</v>
      </c>
      <c r="H5847" s="196" t="s">
        <v>11235</v>
      </c>
    </row>
    <row r="5848" spans="1:8" x14ac:dyDescent="0.15">
      <c r="A5848" s="196" t="s">
        <v>11229</v>
      </c>
      <c r="B5848" s="196" t="s">
        <v>11230</v>
      </c>
      <c r="C5848" s="196" t="s">
        <v>24757</v>
      </c>
      <c r="D5848" s="196" t="s">
        <v>24758</v>
      </c>
      <c r="E5848" s="196" t="s">
        <v>24759</v>
      </c>
      <c r="F5848" s="196" t="s">
        <v>11241</v>
      </c>
      <c r="G5848" s="196" t="s">
        <v>11720</v>
      </c>
      <c r="H5848" s="196" t="s">
        <v>11235</v>
      </c>
    </row>
    <row r="5849" spans="1:8" x14ac:dyDescent="0.15">
      <c r="A5849" s="196" t="s">
        <v>11229</v>
      </c>
      <c r="B5849" s="196" t="s">
        <v>11230</v>
      </c>
      <c r="C5849" s="196" t="s">
        <v>24760</v>
      </c>
      <c r="D5849" s="196" t="s">
        <v>24759</v>
      </c>
      <c r="E5849" s="196" t="s">
        <v>24761</v>
      </c>
      <c r="F5849" s="196" t="s">
        <v>11241</v>
      </c>
      <c r="G5849" s="196" t="s">
        <v>11720</v>
      </c>
      <c r="H5849" s="196" t="s">
        <v>11235</v>
      </c>
    </row>
    <row r="5850" spans="1:8" x14ac:dyDescent="0.15">
      <c r="A5850" s="196" t="s">
        <v>11229</v>
      </c>
      <c r="B5850" s="196" t="s">
        <v>11230</v>
      </c>
      <c r="C5850" s="196" t="s">
        <v>24762</v>
      </c>
      <c r="D5850" s="196" t="s">
        <v>24763</v>
      </c>
      <c r="E5850" s="196" t="s">
        <v>24763</v>
      </c>
      <c r="F5850" s="196" t="s">
        <v>11233</v>
      </c>
      <c r="G5850" s="196" t="s">
        <v>11720</v>
      </c>
      <c r="H5850" s="196" t="s">
        <v>11235</v>
      </c>
    </row>
    <row r="5851" spans="1:8" x14ac:dyDescent="0.15">
      <c r="A5851" s="196" t="s">
        <v>11229</v>
      </c>
      <c r="B5851" s="196" t="s">
        <v>11230</v>
      </c>
      <c r="C5851" s="196" t="s">
        <v>24764</v>
      </c>
      <c r="D5851" s="196" t="s">
        <v>24765</v>
      </c>
      <c r="E5851" s="196" t="s">
        <v>24765</v>
      </c>
      <c r="F5851" s="196" t="s">
        <v>11233</v>
      </c>
      <c r="G5851" s="196" t="s">
        <v>11720</v>
      </c>
      <c r="H5851" s="196" t="s">
        <v>11235</v>
      </c>
    </row>
    <row r="5852" spans="1:8" x14ac:dyDescent="0.15">
      <c r="A5852" s="196" t="s">
        <v>11229</v>
      </c>
      <c r="B5852" s="196" t="s">
        <v>11230</v>
      </c>
      <c r="C5852" s="196" t="s">
        <v>24766</v>
      </c>
      <c r="D5852" s="196" t="s">
        <v>24767</v>
      </c>
      <c r="E5852" s="196" t="s">
        <v>24767</v>
      </c>
      <c r="F5852" s="196" t="s">
        <v>11233</v>
      </c>
      <c r="G5852" s="196" t="s">
        <v>11720</v>
      </c>
      <c r="H5852" s="196" t="s">
        <v>11235</v>
      </c>
    </row>
    <row r="5853" spans="1:8" x14ac:dyDescent="0.15">
      <c r="A5853" s="196" t="s">
        <v>11229</v>
      </c>
      <c r="B5853" s="196" t="s">
        <v>11230</v>
      </c>
      <c r="C5853" s="196" t="s">
        <v>24768</v>
      </c>
      <c r="D5853" s="196" t="s">
        <v>24769</v>
      </c>
      <c r="E5853" s="196" t="s">
        <v>24769</v>
      </c>
      <c r="F5853" s="196" t="s">
        <v>11233</v>
      </c>
      <c r="G5853" s="196" t="s">
        <v>11720</v>
      </c>
      <c r="H5853" s="196" t="s">
        <v>11235</v>
      </c>
    </row>
    <row r="5854" spans="1:8" x14ac:dyDescent="0.15">
      <c r="A5854" s="196" t="s">
        <v>11229</v>
      </c>
      <c r="B5854" s="196" t="s">
        <v>11230</v>
      </c>
      <c r="C5854" s="196" t="s">
        <v>24770</v>
      </c>
      <c r="D5854" s="196" t="s">
        <v>24771</v>
      </c>
      <c r="E5854" s="196" t="s">
        <v>24772</v>
      </c>
      <c r="F5854" s="196" t="s">
        <v>11241</v>
      </c>
      <c r="G5854" s="196" t="s">
        <v>11720</v>
      </c>
      <c r="H5854" s="196" t="s">
        <v>11235</v>
      </c>
    </row>
    <row r="5855" spans="1:8" x14ac:dyDescent="0.15">
      <c r="A5855" s="196" t="s">
        <v>11229</v>
      </c>
      <c r="B5855" s="196" t="s">
        <v>11230</v>
      </c>
      <c r="C5855" s="196" t="s">
        <v>24773</v>
      </c>
      <c r="D5855" s="196" t="s">
        <v>24774</v>
      </c>
      <c r="E5855" s="196" t="s">
        <v>24774</v>
      </c>
      <c r="F5855" s="196" t="s">
        <v>11233</v>
      </c>
      <c r="G5855" s="196" t="s">
        <v>11720</v>
      </c>
      <c r="H5855" s="196" t="s">
        <v>11235</v>
      </c>
    </row>
    <row r="5856" spans="1:8" x14ac:dyDescent="0.15">
      <c r="A5856" s="196" t="s">
        <v>11229</v>
      </c>
      <c r="B5856" s="196" t="s">
        <v>11230</v>
      </c>
      <c r="C5856" s="196" t="s">
        <v>24775</v>
      </c>
      <c r="D5856" s="196" t="s">
        <v>24776</v>
      </c>
      <c r="E5856" s="196" t="s">
        <v>24777</v>
      </c>
      <c r="F5856" s="196" t="s">
        <v>12012</v>
      </c>
      <c r="G5856" s="196" t="s">
        <v>12378</v>
      </c>
      <c r="H5856" s="196" t="s">
        <v>11235</v>
      </c>
    </row>
    <row r="5857" spans="1:8" x14ac:dyDescent="0.15">
      <c r="A5857" s="196" t="s">
        <v>11229</v>
      </c>
      <c r="B5857" s="196" t="s">
        <v>11230</v>
      </c>
      <c r="C5857" s="196" t="s">
        <v>24778</v>
      </c>
      <c r="D5857" s="196" t="s">
        <v>24779</v>
      </c>
      <c r="E5857" s="196" t="s">
        <v>24779</v>
      </c>
      <c r="F5857" s="196" t="s">
        <v>11233</v>
      </c>
      <c r="G5857" s="196" t="s">
        <v>11720</v>
      </c>
      <c r="H5857" s="196" t="s">
        <v>11235</v>
      </c>
    </row>
    <row r="5858" spans="1:8" x14ac:dyDescent="0.15">
      <c r="A5858" s="196" t="s">
        <v>11229</v>
      </c>
      <c r="B5858" s="196" t="s">
        <v>11230</v>
      </c>
      <c r="C5858" s="196" t="s">
        <v>24780</v>
      </c>
      <c r="D5858" s="196" t="s">
        <v>24781</v>
      </c>
      <c r="E5858" s="196" t="s">
        <v>24782</v>
      </c>
      <c r="F5858" s="196" t="s">
        <v>11268</v>
      </c>
      <c r="G5858" s="196" t="s">
        <v>11720</v>
      </c>
      <c r="H5858" s="196" t="s">
        <v>11235</v>
      </c>
    </row>
    <row r="5859" spans="1:8" x14ac:dyDescent="0.15">
      <c r="A5859" s="196" t="s">
        <v>11229</v>
      </c>
      <c r="B5859" s="196" t="s">
        <v>11230</v>
      </c>
      <c r="C5859" s="196" t="s">
        <v>24783</v>
      </c>
      <c r="D5859" s="196" t="s">
        <v>24784</v>
      </c>
      <c r="E5859" s="196" t="s">
        <v>24785</v>
      </c>
      <c r="F5859" s="196" t="s">
        <v>13023</v>
      </c>
      <c r="G5859" s="196" t="s">
        <v>11720</v>
      </c>
      <c r="H5859" s="196" t="s">
        <v>11235</v>
      </c>
    </row>
    <row r="5860" spans="1:8" x14ac:dyDescent="0.15">
      <c r="A5860" s="196" t="s">
        <v>11229</v>
      </c>
      <c r="B5860" s="196" t="s">
        <v>11230</v>
      </c>
      <c r="C5860" s="196" t="s">
        <v>24786</v>
      </c>
      <c r="D5860" s="196" t="s">
        <v>24785</v>
      </c>
      <c r="E5860" s="196" t="s">
        <v>24787</v>
      </c>
      <c r="F5860" s="196" t="s">
        <v>11241</v>
      </c>
      <c r="G5860" s="196" t="s">
        <v>11720</v>
      </c>
      <c r="H5860" s="196" t="s">
        <v>11235</v>
      </c>
    </row>
    <row r="5861" spans="1:8" x14ac:dyDescent="0.15">
      <c r="A5861" s="196" t="s">
        <v>11229</v>
      </c>
      <c r="B5861" s="196" t="s">
        <v>11230</v>
      </c>
      <c r="C5861" s="196" t="s">
        <v>24788</v>
      </c>
      <c r="D5861" s="196" t="s">
        <v>24787</v>
      </c>
      <c r="E5861" s="196" t="s">
        <v>24789</v>
      </c>
      <c r="F5861" s="196" t="s">
        <v>11268</v>
      </c>
      <c r="G5861" s="196" t="s">
        <v>11720</v>
      </c>
      <c r="H5861" s="196" t="s">
        <v>11235</v>
      </c>
    </row>
    <row r="5862" spans="1:8" x14ac:dyDescent="0.15">
      <c r="A5862" s="196" t="s">
        <v>11229</v>
      </c>
      <c r="B5862" s="196" t="s">
        <v>11230</v>
      </c>
      <c r="C5862" s="196" t="s">
        <v>24790</v>
      </c>
      <c r="D5862" s="196" t="s">
        <v>24791</v>
      </c>
      <c r="E5862" s="196" t="s">
        <v>24791</v>
      </c>
      <c r="F5862" s="196" t="s">
        <v>11233</v>
      </c>
      <c r="G5862" s="196" t="s">
        <v>11720</v>
      </c>
      <c r="H5862" s="196" t="s">
        <v>11235</v>
      </c>
    </row>
    <row r="5863" spans="1:8" x14ac:dyDescent="0.15">
      <c r="A5863" s="196" t="s">
        <v>11229</v>
      </c>
      <c r="B5863" s="196" t="s">
        <v>11230</v>
      </c>
      <c r="C5863" s="196" t="s">
        <v>24792</v>
      </c>
      <c r="D5863" s="196" t="s">
        <v>24793</v>
      </c>
      <c r="E5863" s="196" t="s">
        <v>24793</v>
      </c>
      <c r="F5863" s="196" t="s">
        <v>11233</v>
      </c>
      <c r="G5863" s="196" t="s">
        <v>11720</v>
      </c>
      <c r="H5863" s="196" t="s">
        <v>11235</v>
      </c>
    </row>
    <row r="5864" spans="1:8" x14ac:dyDescent="0.15">
      <c r="A5864" s="196" t="s">
        <v>11229</v>
      </c>
      <c r="B5864" s="196" t="s">
        <v>11230</v>
      </c>
      <c r="C5864" s="196" t="s">
        <v>24794</v>
      </c>
      <c r="D5864" s="196" t="s">
        <v>24795</v>
      </c>
      <c r="E5864" s="196" t="s">
        <v>24795</v>
      </c>
      <c r="F5864" s="196" t="s">
        <v>11233</v>
      </c>
      <c r="G5864" s="196" t="s">
        <v>11720</v>
      </c>
      <c r="H5864" s="196" t="s">
        <v>11235</v>
      </c>
    </row>
    <row r="5865" spans="1:8" x14ac:dyDescent="0.15">
      <c r="A5865" s="196" t="s">
        <v>11229</v>
      </c>
      <c r="B5865" s="196" t="s">
        <v>11230</v>
      </c>
      <c r="C5865" s="196" t="s">
        <v>24796</v>
      </c>
      <c r="D5865" s="196" t="s">
        <v>24797</v>
      </c>
      <c r="E5865" s="196" t="s">
        <v>24797</v>
      </c>
      <c r="F5865" s="196" t="s">
        <v>11233</v>
      </c>
      <c r="G5865" s="196" t="s">
        <v>11720</v>
      </c>
      <c r="H5865" s="196" t="s">
        <v>11235</v>
      </c>
    </row>
    <row r="5866" spans="1:8" x14ac:dyDescent="0.15">
      <c r="A5866" s="196" t="s">
        <v>11229</v>
      </c>
      <c r="B5866" s="196" t="s">
        <v>11230</v>
      </c>
      <c r="C5866" s="196" t="s">
        <v>24798</v>
      </c>
      <c r="D5866" s="196" t="s">
        <v>24799</v>
      </c>
      <c r="E5866" s="196" t="s">
        <v>24799</v>
      </c>
      <c r="F5866" s="196" t="s">
        <v>11233</v>
      </c>
      <c r="G5866" s="196" t="s">
        <v>11720</v>
      </c>
      <c r="H5866" s="196" t="s">
        <v>11235</v>
      </c>
    </row>
    <row r="5867" spans="1:8" x14ac:dyDescent="0.15">
      <c r="A5867" s="196" t="s">
        <v>11229</v>
      </c>
      <c r="B5867" s="196" t="s">
        <v>11230</v>
      </c>
      <c r="C5867" s="196" t="s">
        <v>24800</v>
      </c>
      <c r="D5867" s="196" t="s">
        <v>24801</v>
      </c>
      <c r="E5867" s="196" t="s">
        <v>24802</v>
      </c>
      <c r="F5867" s="196" t="s">
        <v>24803</v>
      </c>
      <c r="G5867" s="196" t="s">
        <v>12378</v>
      </c>
      <c r="H5867" s="196" t="s">
        <v>11235</v>
      </c>
    </row>
    <row r="5868" spans="1:8" x14ac:dyDescent="0.15">
      <c r="A5868" s="196" t="s">
        <v>11229</v>
      </c>
      <c r="B5868" s="196" t="s">
        <v>11230</v>
      </c>
      <c r="C5868" s="196" t="s">
        <v>24804</v>
      </c>
      <c r="D5868" s="196" t="s">
        <v>24805</v>
      </c>
      <c r="E5868" s="196" t="s">
        <v>24805</v>
      </c>
      <c r="F5868" s="196" t="s">
        <v>11233</v>
      </c>
      <c r="G5868" s="196" t="s">
        <v>11720</v>
      </c>
      <c r="H5868" s="196" t="s">
        <v>11235</v>
      </c>
    </row>
    <row r="5869" spans="1:8" x14ac:dyDescent="0.15">
      <c r="A5869" s="196" t="s">
        <v>11229</v>
      </c>
      <c r="B5869" s="196" t="s">
        <v>11230</v>
      </c>
      <c r="C5869" s="196" t="s">
        <v>24806</v>
      </c>
      <c r="D5869" s="196" t="s">
        <v>24807</v>
      </c>
      <c r="E5869" s="196" t="s">
        <v>24807</v>
      </c>
      <c r="F5869" s="196" t="s">
        <v>11233</v>
      </c>
      <c r="G5869" s="196" t="s">
        <v>11720</v>
      </c>
      <c r="H5869" s="196" t="s">
        <v>11235</v>
      </c>
    </row>
    <row r="5870" spans="1:8" x14ac:dyDescent="0.15">
      <c r="A5870" s="196" t="s">
        <v>11229</v>
      </c>
      <c r="B5870" s="196" t="s">
        <v>11230</v>
      </c>
      <c r="C5870" s="196" t="s">
        <v>24808</v>
      </c>
      <c r="D5870" s="196" t="s">
        <v>24809</v>
      </c>
      <c r="E5870" s="196" t="s">
        <v>24809</v>
      </c>
      <c r="F5870" s="196" t="s">
        <v>11233</v>
      </c>
      <c r="G5870" s="196" t="s">
        <v>11720</v>
      </c>
      <c r="H5870" s="196" t="s">
        <v>11235</v>
      </c>
    </row>
    <row r="5871" spans="1:8" x14ac:dyDescent="0.15">
      <c r="A5871" s="196" t="s">
        <v>11229</v>
      </c>
      <c r="B5871" s="196" t="s">
        <v>11230</v>
      </c>
      <c r="C5871" s="196" t="s">
        <v>24810</v>
      </c>
      <c r="D5871" s="196" t="s">
        <v>24811</v>
      </c>
      <c r="E5871" s="196" t="s">
        <v>24811</v>
      </c>
      <c r="F5871" s="196" t="s">
        <v>11233</v>
      </c>
      <c r="G5871" s="196" t="s">
        <v>11720</v>
      </c>
      <c r="H5871" s="196" t="s">
        <v>11235</v>
      </c>
    </row>
    <row r="5872" spans="1:8" x14ac:dyDescent="0.15">
      <c r="A5872" s="196" t="s">
        <v>11229</v>
      </c>
      <c r="B5872" s="196" t="s">
        <v>11230</v>
      </c>
      <c r="C5872" s="196" t="s">
        <v>24812</v>
      </c>
      <c r="D5872" s="196" t="s">
        <v>24813</v>
      </c>
      <c r="E5872" s="196" t="s">
        <v>24813</v>
      </c>
      <c r="F5872" s="196" t="s">
        <v>11233</v>
      </c>
      <c r="G5872" s="196" t="s">
        <v>11720</v>
      </c>
      <c r="H5872" s="196" t="s">
        <v>11235</v>
      </c>
    </row>
    <row r="5873" spans="1:8" x14ac:dyDescent="0.15">
      <c r="A5873" s="196" t="s">
        <v>11229</v>
      </c>
      <c r="B5873" s="196" t="s">
        <v>11230</v>
      </c>
      <c r="C5873" s="196" t="s">
        <v>24814</v>
      </c>
      <c r="D5873" s="196" t="s">
        <v>24815</v>
      </c>
      <c r="E5873" s="196" t="s">
        <v>24815</v>
      </c>
      <c r="F5873" s="196" t="s">
        <v>11233</v>
      </c>
      <c r="G5873" s="196" t="s">
        <v>11720</v>
      </c>
      <c r="H5873" s="196" t="s">
        <v>11235</v>
      </c>
    </row>
    <row r="5874" spans="1:8" x14ac:dyDescent="0.15">
      <c r="A5874" s="196" t="s">
        <v>11229</v>
      </c>
      <c r="B5874" s="196" t="s">
        <v>11230</v>
      </c>
      <c r="C5874" s="196" t="s">
        <v>24816</v>
      </c>
      <c r="D5874" s="196" t="s">
        <v>24817</v>
      </c>
      <c r="E5874" s="196" t="s">
        <v>24817</v>
      </c>
      <c r="F5874" s="196" t="s">
        <v>11233</v>
      </c>
      <c r="G5874" s="196" t="s">
        <v>11720</v>
      </c>
      <c r="H5874" s="196" t="s">
        <v>11235</v>
      </c>
    </row>
    <row r="5875" spans="1:8" x14ac:dyDescent="0.15">
      <c r="A5875" s="196" t="s">
        <v>11229</v>
      </c>
      <c r="B5875" s="196" t="s">
        <v>11230</v>
      </c>
      <c r="C5875" s="196" t="s">
        <v>24818</v>
      </c>
      <c r="D5875" s="196" t="s">
        <v>24819</v>
      </c>
      <c r="E5875" s="196" t="s">
        <v>24819</v>
      </c>
      <c r="F5875" s="196" t="s">
        <v>11233</v>
      </c>
      <c r="G5875" s="196" t="s">
        <v>11720</v>
      </c>
      <c r="H5875" s="196" t="s">
        <v>11235</v>
      </c>
    </row>
    <row r="5876" spans="1:8" x14ac:dyDescent="0.15">
      <c r="A5876" s="196" t="s">
        <v>11229</v>
      </c>
      <c r="B5876" s="196" t="s">
        <v>11230</v>
      </c>
      <c r="C5876" s="196" t="s">
        <v>24820</v>
      </c>
      <c r="D5876" s="196" t="s">
        <v>24821</v>
      </c>
      <c r="E5876" s="196" t="s">
        <v>24821</v>
      </c>
      <c r="F5876" s="196" t="s">
        <v>11233</v>
      </c>
      <c r="G5876" s="196" t="s">
        <v>11720</v>
      </c>
      <c r="H5876" s="196" t="s">
        <v>11235</v>
      </c>
    </row>
    <row r="5877" spans="1:8" x14ac:dyDescent="0.15">
      <c r="A5877" s="196" t="s">
        <v>11229</v>
      </c>
      <c r="B5877" s="196" t="s">
        <v>11230</v>
      </c>
      <c r="C5877" s="196" t="s">
        <v>24822</v>
      </c>
      <c r="D5877" s="196" t="s">
        <v>24823</v>
      </c>
      <c r="E5877" s="196" t="s">
        <v>24823</v>
      </c>
      <c r="F5877" s="196" t="s">
        <v>11233</v>
      </c>
      <c r="G5877" s="196" t="s">
        <v>11720</v>
      </c>
      <c r="H5877" s="196" t="s">
        <v>11235</v>
      </c>
    </row>
    <row r="5878" spans="1:8" x14ac:dyDescent="0.15">
      <c r="A5878" s="196" t="s">
        <v>11229</v>
      </c>
      <c r="B5878" s="196" t="s">
        <v>11230</v>
      </c>
      <c r="C5878" s="196" t="s">
        <v>24824</v>
      </c>
      <c r="D5878" s="196" t="s">
        <v>24825</v>
      </c>
      <c r="E5878" s="196" t="s">
        <v>24825</v>
      </c>
      <c r="F5878" s="196" t="s">
        <v>11233</v>
      </c>
      <c r="G5878" s="196" t="s">
        <v>11720</v>
      </c>
      <c r="H5878" s="196" t="s">
        <v>11235</v>
      </c>
    </row>
    <row r="5879" spans="1:8" x14ac:dyDescent="0.15">
      <c r="A5879" s="196" t="s">
        <v>11229</v>
      </c>
      <c r="B5879" s="196" t="s">
        <v>11230</v>
      </c>
      <c r="C5879" s="196" t="s">
        <v>24826</v>
      </c>
      <c r="D5879" s="196" t="s">
        <v>24827</v>
      </c>
      <c r="E5879" s="196" t="s">
        <v>24827</v>
      </c>
      <c r="F5879" s="196" t="s">
        <v>11233</v>
      </c>
      <c r="G5879" s="196" t="s">
        <v>11720</v>
      </c>
      <c r="H5879" s="196" t="s">
        <v>11235</v>
      </c>
    </row>
    <row r="5880" spans="1:8" x14ac:dyDescent="0.15">
      <c r="A5880" s="196" t="s">
        <v>11229</v>
      </c>
      <c r="B5880" s="196" t="s">
        <v>11230</v>
      </c>
      <c r="C5880" s="196" t="s">
        <v>24828</v>
      </c>
      <c r="D5880" s="196" t="s">
        <v>24829</v>
      </c>
      <c r="E5880" s="196" t="s">
        <v>24829</v>
      </c>
      <c r="F5880" s="196" t="s">
        <v>11233</v>
      </c>
      <c r="G5880" s="196" t="s">
        <v>11720</v>
      </c>
      <c r="H5880" s="196" t="s">
        <v>11235</v>
      </c>
    </row>
    <row r="5881" spans="1:8" x14ac:dyDescent="0.15">
      <c r="A5881" s="196" t="s">
        <v>11229</v>
      </c>
      <c r="B5881" s="196" t="s">
        <v>11230</v>
      </c>
      <c r="C5881" s="196" t="s">
        <v>24830</v>
      </c>
      <c r="D5881" s="196" t="s">
        <v>24831</v>
      </c>
      <c r="E5881" s="196" t="s">
        <v>24831</v>
      </c>
      <c r="F5881" s="196" t="s">
        <v>11233</v>
      </c>
      <c r="G5881" s="196" t="s">
        <v>11720</v>
      </c>
      <c r="H5881" s="196" t="s">
        <v>11235</v>
      </c>
    </row>
    <row r="5882" spans="1:8" x14ac:dyDescent="0.15">
      <c r="A5882" s="196" t="s">
        <v>11229</v>
      </c>
      <c r="B5882" s="196" t="s">
        <v>11230</v>
      </c>
      <c r="C5882" s="196" t="s">
        <v>24832</v>
      </c>
      <c r="D5882" s="196" t="s">
        <v>24833</v>
      </c>
      <c r="E5882" s="196" t="s">
        <v>24833</v>
      </c>
      <c r="F5882" s="196" t="s">
        <v>11233</v>
      </c>
      <c r="G5882" s="196" t="s">
        <v>11720</v>
      </c>
      <c r="H5882" s="196" t="s">
        <v>11235</v>
      </c>
    </row>
    <row r="5883" spans="1:8" x14ac:dyDescent="0.15">
      <c r="A5883" s="196" t="s">
        <v>11229</v>
      </c>
      <c r="B5883" s="196" t="s">
        <v>11230</v>
      </c>
      <c r="C5883" s="196" t="s">
        <v>24834</v>
      </c>
      <c r="D5883" s="196" t="s">
        <v>24835</v>
      </c>
      <c r="E5883" s="196" t="s">
        <v>24835</v>
      </c>
      <c r="F5883" s="196" t="s">
        <v>11233</v>
      </c>
      <c r="G5883" s="196" t="s">
        <v>11720</v>
      </c>
      <c r="H5883" s="196" t="s">
        <v>11235</v>
      </c>
    </row>
    <row r="5884" spans="1:8" x14ac:dyDescent="0.15">
      <c r="A5884" s="196" t="s">
        <v>11229</v>
      </c>
      <c r="B5884" s="196" t="s">
        <v>11230</v>
      </c>
      <c r="C5884" s="196" t="s">
        <v>24836</v>
      </c>
      <c r="D5884" s="196" t="s">
        <v>24837</v>
      </c>
      <c r="E5884" s="196" t="s">
        <v>24837</v>
      </c>
      <c r="F5884" s="196" t="s">
        <v>11233</v>
      </c>
      <c r="G5884" s="196" t="s">
        <v>11720</v>
      </c>
      <c r="H5884" s="196" t="s">
        <v>11235</v>
      </c>
    </row>
    <row r="5885" spans="1:8" x14ac:dyDescent="0.15">
      <c r="A5885" s="196" t="s">
        <v>11229</v>
      </c>
      <c r="B5885" s="196" t="s">
        <v>11230</v>
      </c>
      <c r="C5885" s="196" t="s">
        <v>24838</v>
      </c>
      <c r="D5885" s="196" t="s">
        <v>24839</v>
      </c>
      <c r="E5885" s="196" t="s">
        <v>24839</v>
      </c>
      <c r="F5885" s="196" t="s">
        <v>11233</v>
      </c>
      <c r="G5885" s="196" t="s">
        <v>11720</v>
      </c>
      <c r="H5885" s="196" t="s">
        <v>11235</v>
      </c>
    </row>
    <row r="5886" spans="1:8" x14ac:dyDescent="0.15">
      <c r="A5886" s="196" t="s">
        <v>11229</v>
      </c>
      <c r="B5886" s="196" t="s">
        <v>11230</v>
      </c>
      <c r="C5886" s="196" t="s">
        <v>24840</v>
      </c>
      <c r="D5886" s="196" t="s">
        <v>24841</v>
      </c>
      <c r="E5886" s="196" t="s">
        <v>24842</v>
      </c>
      <c r="F5886" s="196" t="s">
        <v>11268</v>
      </c>
      <c r="G5886" s="196" t="s">
        <v>11720</v>
      </c>
      <c r="H5886" s="196" t="s">
        <v>11235</v>
      </c>
    </row>
    <row r="5887" spans="1:8" x14ac:dyDescent="0.15">
      <c r="A5887" s="196" t="s">
        <v>11229</v>
      </c>
      <c r="B5887" s="196" t="s">
        <v>11230</v>
      </c>
      <c r="C5887" s="196" t="s">
        <v>24843</v>
      </c>
      <c r="D5887" s="196" t="s">
        <v>24842</v>
      </c>
      <c r="E5887" s="196" t="s">
        <v>24844</v>
      </c>
      <c r="F5887" s="196" t="s">
        <v>11241</v>
      </c>
      <c r="G5887" s="196" t="s">
        <v>11720</v>
      </c>
      <c r="H5887" s="196" t="s">
        <v>11235</v>
      </c>
    </row>
    <row r="5888" spans="1:8" x14ac:dyDescent="0.15">
      <c r="A5888" s="196" t="s">
        <v>11229</v>
      </c>
      <c r="B5888" s="196" t="s">
        <v>11230</v>
      </c>
      <c r="C5888" s="196" t="s">
        <v>24845</v>
      </c>
      <c r="D5888" s="196" t="s">
        <v>24844</v>
      </c>
      <c r="E5888" s="196" t="s">
        <v>24846</v>
      </c>
      <c r="F5888" s="196" t="s">
        <v>11241</v>
      </c>
      <c r="G5888" s="196" t="s">
        <v>11720</v>
      </c>
      <c r="H5888" s="196" t="s">
        <v>11235</v>
      </c>
    </row>
    <row r="5889" spans="1:8" x14ac:dyDescent="0.15">
      <c r="A5889" s="196" t="s">
        <v>11229</v>
      </c>
      <c r="B5889" s="196" t="s">
        <v>11230</v>
      </c>
      <c r="C5889" s="196" t="s">
        <v>24847</v>
      </c>
      <c r="D5889" s="196" t="s">
        <v>24848</v>
      </c>
      <c r="E5889" s="196" t="s">
        <v>24849</v>
      </c>
      <c r="F5889" s="196" t="s">
        <v>11268</v>
      </c>
      <c r="G5889" s="196" t="s">
        <v>11720</v>
      </c>
      <c r="H5889" s="196" t="s">
        <v>11235</v>
      </c>
    </row>
    <row r="5890" spans="1:8" x14ac:dyDescent="0.15">
      <c r="A5890" s="196" t="s">
        <v>11229</v>
      </c>
      <c r="B5890" s="196" t="s">
        <v>11230</v>
      </c>
      <c r="C5890" s="196" t="s">
        <v>24850</v>
      </c>
      <c r="D5890" s="196" t="s">
        <v>24851</v>
      </c>
      <c r="E5890" s="196" t="s">
        <v>24851</v>
      </c>
      <c r="F5890" s="196" t="s">
        <v>11233</v>
      </c>
      <c r="G5890" s="196" t="s">
        <v>11720</v>
      </c>
      <c r="H5890" s="196" t="s">
        <v>11235</v>
      </c>
    </row>
    <row r="5891" spans="1:8" x14ac:dyDescent="0.15">
      <c r="A5891" s="196" t="s">
        <v>11229</v>
      </c>
      <c r="B5891" s="196" t="s">
        <v>11230</v>
      </c>
      <c r="C5891" s="196" t="s">
        <v>24852</v>
      </c>
      <c r="D5891" s="196" t="s">
        <v>24853</v>
      </c>
      <c r="E5891" s="196" t="s">
        <v>24854</v>
      </c>
      <c r="F5891" s="196" t="s">
        <v>13023</v>
      </c>
      <c r="G5891" s="196" t="s">
        <v>12378</v>
      </c>
      <c r="H5891" s="196" t="s">
        <v>11235</v>
      </c>
    </row>
    <row r="5892" spans="1:8" x14ac:dyDescent="0.15">
      <c r="A5892" s="196" t="s">
        <v>11229</v>
      </c>
      <c r="B5892" s="196" t="s">
        <v>11230</v>
      </c>
      <c r="C5892" s="196" t="s">
        <v>24855</v>
      </c>
      <c r="D5892" s="196" t="s">
        <v>24856</v>
      </c>
      <c r="E5892" s="196" t="s">
        <v>24856</v>
      </c>
      <c r="F5892" s="196" t="s">
        <v>11233</v>
      </c>
      <c r="G5892" s="196" t="s">
        <v>11720</v>
      </c>
      <c r="H5892" s="196" t="s">
        <v>11235</v>
      </c>
    </row>
    <row r="5893" spans="1:8" x14ac:dyDescent="0.15">
      <c r="A5893" s="196" t="s">
        <v>11229</v>
      </c>
      <c r="B5893" s="196" t="s">
        <v>11230</v>
      </c>
      <c r="C5893" s="196" t="s">
        <v>24857</v>
      </c>
      <c r="D5893" s="196" t="s">
        <v>24858</v>
      </c>
      <c r="E5893" s="196" t="s">
        <v>24858</v>
      </c>
      <c r="F5893" s="196" t="s">
        <v>11233</v>
      </c>
      <c r="G5893" s="196" t="s">
        <v>12378</v>
      </c>
      <c r="H5893" s="196" t="s">
        <v>11235</v>
      </c>
    </row>
    <row r="5894" spans="1:8" x14ac:dyDescent="0.15">
      <c r="A5894" s="196" t="s">
        <v>11229</v>
      </c>
      <c r="B5894" s="196" t="s">
        <v>11230</v>
      </c>
      <c r="C5894" s="196" t="s">
        <v>24859</v>
      </c>
      <c r="D5894" s="196" t="s">
        <v>24860</v>
      </c>
      <c r="E5894" s="196" t="s">
        <v>24860</v>
      </c>
      <c r="F5894" s="196" t="s">
        <v>11233</v>
      </c>
      <c r="G5894" s="196" t="s">
        <v>12378</v>
      </c>
      <c r="H5894" s="196" t="s">
        <v>11235</v>
      </c>
    </row>
    <row r="5895" spans="1:8" x14ac:dyDescent="0.15">
      <c r="A5895" s="196" t="s">
        <v>11229</v>
      </c>
      <c r="B5895" s="196" t="s">
        <v>11230</v>
      </c>
      <c r="C5895" s="196" t="s">
        <v>24861</v>
      </c>
      <c r="D5895" s="196" t="s">
        <v>24862</v>
      </c>
      <c r="E5895" s="196" t="s">
        <v>24862</v>
      </c>
      <c r="F5895" s="196" t="s">
        <v>11233</v>
      </c>
      <c r="G5895" s="196" t="s">
        <v>11720</v>
      </c>
      <c r="H5895" s="196" t="s">
        <v>11235</v>
      </c>
    </row>
    <row r="5896" spans="1:8" x14ac:dyDescent="0.15">
      <c r="A5896" s="196" t="s">
        <v>11229</v>
      </c>
      <c r="B5896" s="196" t="s">
        <v>11230</v>
      </c>
      <c r="C5896" s="196" t="s">
        <v>24863</v>
      </c>
      <c r="D5896" s="196" t="s">
        <v>24864</v>
      </c>
      <c r="E5896" s="196" t="s">
        <v>24865</v>
      </c>
      <c r="F5896" s="196" t="s">
        <v>13023</v>
      </c>
      <c r="G5896" s="196" t="s">
        <v>12378</v>
      </c>
      <c r="H5896" s="196" t="s">
        <v>11235</v>
      </c>
    </row>
    <row r="5897" spans="1:8" x14ac:dyDescent="0.15">
      <c r="A5897" s="196" t="s">
        <v>11229</v>
      </c>
      <c r="B5897" s="196" t="s">
        <v>11230</v>
      </c>
      <c r="C5897" s="196" t="s">
        <v>24866</v>
      </c>
      <c r="D5897" s="196" t="s">
        <v>24865</v>
      </c>
      <c r="E5897" s="196" t="s">
        <v>24867</v>
      </c>
      <c r="F5897" s="196" t="s">
        <v>11241</v>
      </c>
      <c r="G5897" s="196" t="s">
        <v>12378</v>
      </c>
      <c r="H5897" s="196" t="s">
        <v>11235</v>
      </c>
    </row>
    <row r="5898" spans="1:8" x14ac:dyDescent="0.15">
      <c r="A5898" s="196" t="s">
        <v>11229</v>
      </c>
      <c r="B5898" s="196" t="s">
        <v>11230</v>
      </c>
      <c r="C5898" s="196" t="s">
        <v>24868</v>
      </c>
      <c r="D5898" s="196" t="s">
        <v>24865</v>
      </c>
      <c r="E5898" s="196" t="s">
        <v>24867</v>
      </c>
      <c r="F5898" s="196" t="s">
        <v>11241</v>
      </c>
      <c r="G5898" s="196" t="s">
        <v>11720</v>
      </c>
      <c r="H5898" s="196" t="s">
        <v>11235</v>
      </c>
    </row>
    <row r="5899" spans="1:8" x14ac:dyDescent="0.15">
      <c r="A5899" s="196" t="s">
        <v>11229</v>
      </c>
      <c r="B5899" s="196" t="s">
        <v>11230</v>
      </c>
      <c r="C5899" s="196" t="s">
        <v>24869</v>
      </c>
      <c r="D5899" s="196" t="s">
        <v>24870</v>
      </c>
      <c r="E5899" s="196" t="s">
        <v>24870</v>
      </c>
      <c r="F5899" s="196" t="s">
        <v>11233</v>
      </c>
      <c r="G5899" s="196" t="s">
        <v>12378</v>
      </c>
      <c r="H5899" s="196" t="s">
        <v>11235</v>
      </c>
    </row>
    <row r="5900" spans="1:8" x14ac:dyDescent="0.15">
      <c r="A5900" s="196" t="s">
        <v>11229</v>
      </c>
      <c r="B5900" s="196" t="s">
        <v>11230</v>
      </c>
      <c r="C5900" s="196" t="s">
        <v>24871</v>
      </c>
      <c r="D5900" s="196" t="s">
        <v>24872</v>
      </c>
      <c r="E5900" s="196" t="s">
        <v>24872</v>
      </c>
      <c r="F5900" s="196" t="s">
        <v>11233</v>
      </c>
      <c r="G5900" s="196" t="s">
        <v>11720</v>
      </c>
      <c r="H5900" s="196" t="s">
        <v>11235</v>
      </c>
    </row>
    <row r="5901" spans="1:8" x14ac:dyDescent="0.15">
      <c r="A5901" s="196" t="s">
        <v>11229</v>
      </c>
      <c r="B5901" s="196" t="s">
        <v>11230</v>
      </c>
      <c r="C5901" s="196" t="s">
        <v>24873</v>
      </c>
      <c r="D5901" s="196" t="s">
        <v>24874</v>
      </c>
      <c r="E5901" s="196" t="s">
        <v>24874</v>
      </c>
      <c r="F5901" s="196" t="s">
        <v>11233</v>
      </c>
      <c r="G5901" s="196" t="s">
        <v>11720</v>
      </c>
      <c r="H5901" s="196" t="s">
        <v>11235</v>
      </c>
    </row>
    <row r="5902" spans="1:8" x14ac:dyDescent="0.15">
      <c r="A5902" s="196" t="s">
        <v>11229</v>
      </c>
      <c r="B5902" s="196" t="s">
        <v>11230</v>
      </c>
      <c r="C5902" s="196" t="s">
        <v>24875</v>
      </c>
      <c r="D5902" s="196" t="s">
        <v>24876</v>
      </c>
      <c r="E5902" s="196" t="s">
        <v>24877</v>
      </c>
      <c r="F5902" s="196" t="s">
        <v>13023</v>
      </c>
      <c r="G5902" s="196" t="s">
        <v>12378</v>
      </c>
      <c r="H5902" s="196" t="s">
        <v>11235</v>
      </c>
    </row>
    <row r="5903" spans="1:8" x14ac:dyDescent="0.15">
      <c r="A5903" s="196" t="s">
        <v>11229</v>
      </c>
      <c r="B5903" s="196" t="s">
        <v>11230</v>
      </c>
      <c r="C5903" s="196" t="s">
        <v>24878</v>
      </c>
      <c r="D5903" s="196" t="s">
        <v>24879</v>
      </c>
      <c r="E5903" s="196" t="s">
        <v>24879</v>
      </c>
      <c r="F5903" s="196" t="s">
        <v>11233</v>
      </c>
      <c r="G5903" s="196" t="s">
        <v>11720</v>
      </c>
      <c r="H5903" s="196" t="s">
        <v>11235</v>
      </c>
    </row>
    <row r="5904" spans="1:8" x14ac:dyDescent="0.15">
      <c r="A5904" s="196" t="s">
        <v>11229</v>
      </c>
      <c r="B5904" s="196" t="s">
        <v>11230</v>
      </c>
      <c r="C5904" s="196" t="s">
        <v>24880</v>
      </c>
      <c r="D5904" s="196" t="s">
        <v>24881</v>
      </c>
      <c r="E5904" s="196" t="s">
        <v>24882</v>
      </c>
      <c r="F5904" s="196" t="s">
        <v>13758</v>
      </c>
      <c r="G5904" s="196" t="s">
        <v>12378</v>
      </c>
      <c r="H5904" s="196" t="s">
        <v>11235</v>
      </c>
    </row>
    <row r="5905" spans="1:8" x14ac:dyDescent="0.15">
      <c r="A5905" s="196" t="s">
        <v>11229</v>
      </c>
      <c r="B5905" s="196" t="s">
        <v>11230</v>
      </c>
      <c r="C5905" s="196" t="s">
        <v>24883</v>
      </c>
      <c r="D5905" s="196" t="s">
        <v>24882</v>
      </c>
      <c r="E5905" s="196" t="s">
        <v>24884</v>
      </c>
      <c r="F5905" s="196" t="s">
        <v>11268</v>
      </c>
      <c r="G5905" s="196" t="s">
        <v>12378</v>
      </c>
      <c r="H5905" s="196" t="s">
        <v>11235</v>
      </c>
    </row>
    <row r="5906" spans="1:8" x14ac:dyDescent="0.15">
      <c r="A5906" s="196" t="s">
        <v>11229</v>
      </c>
      <c r="B5906" s="196" t="s">
        <v>11230</v>
      </c>
      <c r="C5906" s="196" t="s">
        <v>24885</v>
      </c>
      <c r="D5906" s="196" t="s">
        <v>24882</v>
      </c>
      <c r="E5906" s="196" t="s">
        <v>24884</v>
      </c>
      <c r="F5906" s="196" t="s">
        <v>11268</v>
      </c>
      <c r="G5906" s="196" t="s">
        <v>11720</v>
      </c>
      <c r="H5906" s="196" t="s">
        <v>11235</v>
      </c>
    </row>
    <row r="5907" spans="1:8" x14ac:dyDescent="0.15">
      <c r="A5907" s="196" t="s">
        <v>11229</v>
      </c>
      <c r="B5907" s="196" t="s">
        <v>11230</v>
      </c>
      <c r="C5907" s="196" t="s">
        <v>24886</v>
      </c>
      <c r="D5907" s="196" t="s">
        <v>24884</v>
      </c>
      <c r="E5907" s="196" t="s">
        <v>24887</v>
      </c>
      <c r="F5907" s="196" t="s">
        <v>11241</v>
      </c>
      <c r="G5907" s="196" t="s">
        <v>11720</v>
      </c>
      <c r="H5907" s="196" t="s">
        <v>11235</v>
      </c>
    </row>
    <row r="5908" spans="1:8" x14ac:dyDescent="0.15">
      <c r="A5908" s="196" t="s">
        <v>11229</v>
      </c>
      <c r="B5908" s="196" t="s">
        <v>11230</v>
      </c>
      <c r="C5908" s="196" t="s">
        <v>24888</v>
      </c>
      <c r="D5908" s="196" t="s">
        <v>24887</v>
      </c>
      <c r="E5908" s="196" t="s">
        <v>24889</v>
      </c>
      <c r="F5908" s="196" t="s">
        <v>11241</v>
      </c>
      <c r="G5908" s="196" t="s">
        <v>11720</v>
      </c>
      <c r="H5908" s="196" t="s">
        <v>11235</v>
      </c>
    </row>
    <row r="5909" spans="1:8" x14ac:dyDescent="0.15">
      <c r="A5909" s="196" t="s">
        <v>11229</v>
      </c>
      <c r="B5909" s="196" t="s">
        <v>11230</v>
      </c>
      <c r="C5909" s="196" t="s">
        <v>24890</v>
      </c>
      <c r="D5909" s="196" t="s">
        <v>24891</v>
      </c>
      <c r="E5909" s="196" t="s">
        <v>24892</v>
      </c>
      <c r="F5909" s="196" t="s">
        <v>11268</v>
      </c>
      <c r="G5909" s="196" t="s">
        <v>12378</v>
      </c>
      <c r="H5909" s="196" t="s">
        <v>11235</v>
      </c>
    </row>
    <row r="5910" spans="1:8" x14ac:dyDescent="0.15">
      <c r="A5910" s="196" t="s">
        <v>11229</v>
      </c>
      <c r="B5910" s="196" t="s">
        <v>11230</v>
      </c>
      <c r="C5910" s="196" t="s">
        <v>24893</v>
      </c>
      <c r="D5910" s="196" t="s">
        <v>24894</v>
      </c>
      <c r="E5910" s="196" t="s">
        <v>24894</v>
      </c>
      <c r="F5910" s="196" t="s">
        <v>11233</v>
      </c>
      <c r="G5910" s="196" t="s">
        <v>12378</v>
      </c>
      <c r="H5910" s="196" t="s">
        <v>11235</v>
      </c>
    </row>
    <row r="5911" spans="1:8" x14ac:dyDescent="0.15">
      <c r="A5911" s="196" t="s">
        <v>11229</v>
      </c>
      <c r="B5911" s="196" t="s">
        <v>11230</v>
      </c>
      <c r="C5911" s="196" t="s">
        <v>24895</v>
      </c>
      <c r="D5911" s="196" t="s">
        <v>24896</v>
      </c>
      <c r="E5911" s="196" t="s">
        <v>24897</v>
      </c>
      <c r="F5911" s="196" t="s">
        <v>11268</v>
      </c>
      <c r="G5911" s="196" t="s">
        <v>12378</v>
      </c>
      <c r="H5911" s="196" t="s">
        <v>11235</v>
      </c>
    </row>
    <row r="5912" spans="1:8" x14ac:dyDescent="0.15">
      <c r="A5912" s="196" t="s">
        <v>11229</v>
      </c>
      <c r="B5912" s="196" t="s">
        <v>11230</v>
      </c>
      <c r="C5912" s="196" t="s">
        <v>24898</v>
      </c>
      <c r="D5912" s="196" t="s">
        <v>24896</v>
      </c>
      <c r="E5912" s="196" t="s">
        <v>24896</v>
      </c>
      <c r="F5912" s="196" t="s">
        <v>11233</v>
      </c>
      <c r="G5912" s="196" t="s">
        <v>11720</v>
      </c>
      <c r="H5912" s="196" t="s">
        <v>11235</v>
      </c>
    </row>
    <row r="5913" spans="1:8" x14ac:dyDescent="0.15">
      <c r="A5913" s="196" t="s">
        <v>11229</v>
      </c>
      <c r="B5913" s="196" t="s">
        <v>11230</v>
      </c>
      <c r="C5913" s="196" t="s">
        <v>24899</v>
      </c>
      <c r="D5913" s="196" t="s">
        <v>24897</v>
      </c>
      <c r="E5913" s="196" t="s">
        <v>24897</v>
      </c>
      <c r="F5913" s="196" t="s">
        <v>11233</v>
      </c>
      <c r="G5913" s="196" t="s">
        <v>11720</v>
      </c>
      <c r="H5913" s="196" t="s">
        <v>11235</v>
      </c>
    </row>
    <row r="5914" spans="1:8" x14ac:dyDescent="0.15">
      <c r="A5914" s="196" t="s">
        <v>11229</v>
      </c>
      <c r="B5914" s="196" t="s">
        <v>11230</v>
      </c>
      <c r="C5914" s="196" t="s">
        <v>24900</v>
      </c>
      <c r="D5914" s="196" t="s">
        <v>24901</v>
      </c>
      <c r="E5914" s="196" t="s">
        <v>24902</v>
      </c>
      <c r="F5914" s="196" t="s">
        <v>13023</v>
      </c>
      <c r="G5914" s="196" t="s">
        <v>12378</v>
      </c>
      <c r="H5914" s="196" t="s">
        <v>11235</v>
      </c>
    </row>
    <row r="5915" spans="1:8" x14ac:dyDescent="0.15">
      <c r="A5915" s="196" t="s">
        <v>11229</v>
      </c>
      <c r="B5915" s="196" t="s">
        <v>11230</v>
      </c>
      <c r="C5915" s="196" t="s">
        <v>24903</v>
      </c>
      <c r="D5915" s="196" t="s">
        <v>24901</v>
      </c>
      <c r="E5915" s="196" t="s">
        <v>24901</v>
      </c>
      <c r="F5915" s="196" t="s">
        <v>11233</v>
      </c>
      <c r="G5915" s="196" t="s">
        <v>11720</v>
      </c>
      <c r="H5915" s="196" t="s">
        <v>11235</v>
      </c>
    </row>
    <row r="5916" spans="1:8" x14ac:dyDescent="0.15">
      <c r="A5916" s="196" t="s">
        <v>11229</v>
      </c>
      <c r="B5916" s="196" t="s">
        <v>11230</v>
      </c>
      <c r="C5916" s="196" t="s">
        <v>24904</v>
      </c>
      <c r="D5916" s="196" t="s">
        <v>24902</v>
      </c>
      <c r="E5916" s="196" t="s">
        <v>24905</v>
      </c>
      <c r="F5916" s="196" t="s">
        <v>11241</v>
      </c>
      <c r="G5916" s="196" t="s">
        <v>12378</v>
      </c>
      <c r="H5916" s="196" t="s">
        <v>11235</v>
      </c>
    </row>
    <row r="5917" spans="1:8" x14ac:dyDescent="0.15">
      <c r="A5917" s="196" t="s">
        <v>11229</v>
      </c>
      <c r="B5917" s="196" t="s">
        <v>11230</v>
      </c>
      <c r="C5917" s="196" t="s">
        <v>24906</v>
      </c>
      <c r="D5917" s="196" t="s">
        <v>24907</v>
      </c>
      <c r="E5917" s="196" t="s">
        <v>24908</v>
      </c>
      <c r="F5917" s="196" t="s">
        <v>11241</v>
      </c>
      <c r="G5917" s="196" t="s">
        <v>11720</v>
      </c>
      <c r="H5917" s="196" t="s">
        <v>11235</v>
      </c>
    </row>
    <row r="5918" spans="1:8" x14ac:dyDescent="0.15">
      <c r="A5918" s="196" t="s">
        <v>11229</v>
      </c>
      <c r="B5918" s="196" t="s">
        <v>11230</v>
      </c>
      <c r="C5918" s="196" t="s">
        <v>24909</v>
      </c>
      <c r="D5918" s="196" t="s">
        <v>24910</v>
      </c>
      <c r="E5918" s="196" t="s">
        <v>24910</v>
      </c>
      <c r="F5918" s="196" t="s">
        <v>11233</v>
      </c>
      <c r="G5918" s="196" t="s">
        <v>12378</v>
      </c>
      <c r="H5918" s="196" t="s">
        <v>11235</v>
      </c>
    </row>
    <row r="5919" spans="1:8" x14ac:dyDescent="0.15">
      <c r="A5919" s="196" t="s">
        <v>11229</v>
      </c>
      <c r="B5919" s="196" t="s">
        <v>11230</v>
      </c>
      <c r="C5919" s="196" t="s">
        <v>24911</v>
      </c>
      <c r="D5919" s="196" t="s">
        <v>24912</v>
      </c>
      <c r="E5919" s="196" t="s">
        <v>24912</v>
      </c>
      <c r="F5919" s="196" t="s">
        <v>11233</v>
      </c>
      <c r="G5919" s="196" t="s">
        <v>12378</v>
      </c>
      <c r="H5919" s="196" t="s">
        <v>11235</v>
      </c>
    </row>
    <row r="5920" spans="1:8" x14ac:dyDescent="0.15">
      <c r="A5920" s="196" t="s">
        <v>11229</v>
      </c>
      <c r="B5920" s="196" t="s">
        <v>11230</v>
      </c>
      <c r="C5920" s="196" t="s">
        <v>24913</v>
      </c>
      <c r="D5920" s="196" t="s">
        <v>24914</v>
      </c>
      <c r="E5920" s="196" t="s">
        <v>24915</v>
      </c>
      <c r="F5920" s="196" t="s">
        <v>11268</v>
      </c>
      <c r="G5920" s="196" t="s">
        <v>11720</v>
      </c>
      <c r="H5920" s="196" t="s">
        <v>11235</v>
      </c>
    </row>
    <row r="5921" spans="1:8" x14ac:dyDescent="0.15">
      <c r="A5921" s="196" t="s">
        <v>11229</v>
      </c>
      <c r="B5921" s="196" t="s">
        <v>11230</v>
      </c>
      <c r="C5921" s="196" t="s">
        <v>24916</v>
      </c>
      <c r="D5921" s="196" t="s">
        <v>24915</v>
      </c>
      <c r="E5921" s="196" t="s">
        <v>24915</v>
      </c>
      <c r="F5921" s="196" t="s">
        <v>11233</v>
      </c>
      <c r="G5921" s="196" t="s">
        <v>12378</v>
      </c>
      <c r="H5921" s="196" t="s">
        <v>11235</v>
      </c>
    </row>
    <row r="5922" spans="1:8" x14ac:dyDescent="0.15">
      <c r="A5922" s="196" t="s">
        <v>11229</v>
      </c>
      <c r="B5922" s="196" t="s">
        <v>11230</v>
      </c>
      <c r="C5922" s="196" t="s">
        <v>24917</v>
      </c>
      <c r="D5922" s="196" t="s">
        <v>24918</v>
      </c>
      <c r="E5922" s="196" t="s">
        <v>24918</v>
      </c>
      <c r="F5922" s="196" t="s">
        <v>11233</v>
      </c>
      <c r="G5922" s="196" t="s">
        <v>12378</v>
      </c>
      <c r="H5922" s="196" t="s">
        <v>11235</v>
      </c>
    </row>
    <row r="5923" spans="1:8" x14ac:dyDescent="0.15">
      <c r="A5923" s="196" t="s">
        <v>11229</v>
      </c>
      <c r="B5923" s="196" t="s">
        <v>11230</v>
      </c>
      <c r="C5923" s="196" t="s">
        <v>24919</v>
      </c>
      <c r="D5923" s="196" t="s">
        <v>24920</v>
      </c>
      <c r="E5923" s="196" t="s">
        <v>24920</v>
      </c>
      <c r="F5923" s="196" t="s">
        <v>11233</v>
      </c>
      <c r="G5923" s="196" t="s">
        <v>11720</v>
      </c>
      <c r="H5923" s="196" t="s">
        <v>11235</v>
      </c>
    </row>
    <row r="5924" spans="1:8" x14ac:dyDescent="0.15">
      <c r="A5924" s="196" t="s">
        <v>11229</v>
      </c>
      <c r="B5924" s="196" t="s">
        <v>11230</v>
      </c>
      <c r="C5924" s="196" t="s">
        <v>24921</v>
      </c>
      <c r="D5924" s="196" t="s">
        <v>24922</v>
      </c>
      <c r="E5924" s="196" t="s">
        <v>24922</v>
      </c>
      <c r="F5924" s="196" t="s">
        <v>11233</v>
      </c>
      <c r="G5924" s="196" t="s">
        <v>11720</v>
      </c>
      <c r="H5924" s="196" t="s">
        <v>11235</v>
      </c>
    </row>
    <row r="5925" spans="1:8" x14ac:dyDescent="0.15">
      <c r="A5925" s="196" t="s">
        <v>11229</v>
      </c>
      <c r="B5925" s="196" t="s">
        <v>11230</v>
      </c>
      <c r="C5925" s="196" t="s">
        <v>24923</v>
      </c>
      <c r="D5925" s="196" t="s">
        <v>24924</v>
      </c>
      <c r="E5925" s="196" t="s">
        <v>24924</v>
      </c>
      <c r="F5925" s="196" t="s">
        <v>11233</v>
      </c>
      <c r="G5925" s="196" t="s">
        <v>12378</v>
      </c>
      <c r="H5925" s="196" t="s">
        <v>11235</v>
      </c>
    </row>
    <row r="5926" spans="1:8" x14ac:dyDescent="0.15">
      <c r="A5926" s="196" t="s">
        <v>11229</v>
      </c>
      <c r="B5926" s="196" t="s">
        <v>11230</v>
      </c>
      <c r="C5926" s="196" t="s">
        <v>24925</v>
      </c>
      <c r="D5926" s="196" t="s">
        <v>24926</v>
      </c>
      <c r="E5926" s="196" t="s">
        <v>24926</v>
      </c>
      <c r="F5926" s="196" t="s">
        <v>11233</v>
      </c>
      <c r="G5926" s="196" t="s">
        <v>11720</v>
      </c>
      <c r="H5926" s="196" t="s">
        <v>11235</v>
      </c>
    </row>
    <row r="5927" spans="1:8" x14ac:dyDescent="0.15">
      <c r="A5927" s="196" t="s">
        <v>11229</v>
      </c>
      <c r="B5927" s="196" t="s">
        <v>11230</v>
      </c>
      <c r="C5927" s="196" t="s">
        <v>24927</v>
      </c>
      <c r="D5927" s="196" t="s">
        <v>24928</v>
      </c>
      <c r="E5927" s="196" t="s">
        <v>24928</v>
      </c>
      <c r="F5927" s="196" t="s">
        <v>11233</v>
      </c>
      <c r="G5927" s="196" t="s">
        <v>11720</v>
      </c>
      <c r="H5927" s="196" t="s">
        <v>11235</v>
      </c>
    </row>
    <row r="5928" spans="1:8" x14ac:dyDescent="0.15">
      <c r="A5928" s="196" t="s">
        <v>11229</v>
      </c>
      <c r="B5928" s="196" t="s">
        <v>11230</v>
      </c>
      <c r="C5928" s="196" t="s">
        <v>24929</v>
      </c>
      <c r="D5928" s="196" t="s">
        <v>24930</v>
      </c>
      <c r="E5928" s="196" t="s">
        <v>24930</v>
      </c>
      <c r="F5928" s="196" t="s">
        <v>11233</v>
      </c>
      <c r="G5928" s="196" t="s">
        <v>12378</v>
      </c>
      <c r="H5928" s="196" t="s">
        <v>11235</v>
      </c>
    </row>
    <row r="5929" spans="1:8" x14ac:dyDescent="0.15">
      <c r="A5929" s="196" t="s">
        <v>11229</v>
      </c>
      <c r="B5929" s="196" t="s">
        <v>11230</v>
      </c>
      <c r="C5929" s="196" t="s">
        <v>24931</v>
      </c>
      <c r="D5929" s="196" t="s">
        <v>24932</v>
      </c>
      <c r="E5929" s="196" t="s">
        <v>24932</v>
      </c>
      <c r="F5929" s="196" t="s">
        <v>11233</v>
      </c>
      <c r="G5929" s="196" t="s">
        <v>12378</v>
      </c>
      <c r="H5929" s="196" t="s">
        <v>11235</v>
      </c>
    </row>
    <row r="5930" spans="1:8" x14ac:dyDescent="0.15">
      <c r="A5930" s="196" t="s">
        <v>11229</v>
      </c>
      <c r="B5930" s="196" t="s">
        <v>11230</v>
      </c>
      <c r="C5930" s="196" t="s">
        <v>24933</v>
      </c>
      <c r="D5930" s="196" t="s">
        <v>24934</v>
      </c>
      <c r="E5930" s="196" t="s">
        <v>24934</v>
      </c>
      <c r="F5930" s="196" t="s">
        <v>11233</v>
      </c>
      <c r="G5930" s="196" t="s">
        <v>11720</v>
      </c>
      <c r="H5930" s="196" t="s">
        <v>11235</v>
      </c>
    </row>
    <row r="5931" spans="1:8" x14ac:dyDescent="0.15">
      <c r="A5931" s="196" t="s">
        <v>11229</v>
      </c>
      <c r="B5931" s="196" t="s">
        <v>11230</v>
      </c>
      <c r="C5931" s="196" t="s">
        <v>24935</v>
      </c>
      <c r="D5931" s="196" t="s">
        <v>24936</v>
      </c>
      <c r="E5931" s="196" t="s">
        <v>24936</v>
      </c>
      <c r="F5931" s="196" t="s">
        <v>11233</v>
      </c>
      <c r="G5931" s="196" t="s">
        <v>12378</v>
      </c>
      <c r="H5931" s="196" t="s">
        <v>11235</v>
      </c>
    </row>
    <row r="5932" spans="1:8" x14ac:dyDescent="0.15">
      <c r="A5932" s="196" t="s">
        <v>11229</v>
      </c>
      <c r="B5932" s="196" t="s">
        <v>11230</v>
      </c>
      <c r="C5932" s="196" t="s">
        <v>24937</v>
      </c>
      <c r="D5932" s="196" t="s">
        <v>24938</v>
      </c>
      <c r="E5932" s="196" t="s">
        <v>24938</v>
      </c>
      <c r="F5932" s="196" t="s">
        <v>11233</v>
      </c>
      <c r="G5932" s="196" t="s">
        <v>12378</v>
      </c>
      <c r="H5932" s="196" t="s">
        <v>11235</v>
      </c>
    </row>
    <row r="5933" spans="1:8" x14ac:dyDescent="0.15">
      <c r="A5933" s="196" t="s">
        <v>11229</v>
      </c>
      <c r="B5933" s="196" t="s">
        <v>11230</v>
      </c>
      <c r="C5933" s="196" t="s">
        <v>24939</v>
      </c>
      <c r="D5933" s="196" t="s">
        <v>24940</v>
      </c>
      <c r="E5933" s="196" t="s">
        <v>24940</v>
      </c>
      <c r="F5933" s="196" t="s">
        <v>11233</v>
      </c>
      <c r="G5933" s="196" t="s">
        <v>12378</v>
      </c>
      <c r="H5933" s="196" t="s">
        <v>11235</v>
      </c>
    </row>
    <row r="5934" spans="1:8" x14ac:dyDescent="0.15">
      <c r="A5934" s="196" t="s">
        <v>11229</v>
      </c>
      <c r="B5934" s="196" t="s">
        <v>11230</v>
      </c>
      <c r="C5934" s="196" t="s">
        <v>24941</v>
      </c>
      <c r="D5934" s="196" t="s">
        <v>24942</v>
      </c>
      <c r="E5934" s="196" t="s">
        <v>24942</v>
      </c>
      <c r="F5934" s="196" t="s">
        <v>11233</v>
      </c>
      <c r="G5934" s="196" t="s">
        <v>12378</v>
      </c>
      <c r="H5934" s="196" t="s">
        <v>11235</v>
      </c>
    </row>
    <row r="5935" spans="1:8" x14ac:dyDescent="0.15">
      <c r="A5935" s="196" t="s">
        <v>11229</v>
      </c>
      <c r="B5935" s="196" t="s">
        <v>11230</v>
      </c>
      <c r="C5935" s="196" t="s">
        <v>24943</v>
      </c>
      <c r="D5935" s="196" t="s">
        <v>24944</v>
      </c>
      <c r="E5935" s="196" t="s">
        <v>24944</v>
      </c>
      <c r="F5935" s="196" t="s">
        <v>11233</v>
      </c>
      <c r="G5935" s="196" t="s">
        <v>12378</v>
      </c>
      <c r="H5935" s="196" t="s">
        <v>11235</v>
      </c>
    </row>
    <row r="5936" spans="1:8" x14ac:dyDescent="0.15">
      <c r="A5936" s="196" t="s">
        <v>11229</v>
      </c>
      <c r="B5936" s="196" t="s">
        <v>11230</v>
      </c>
      <c r="C5936" s="196" t="s">
        <v>24945</v>
      </c>
      <c r="D5936" s="196" t="s">
        <v>24944</v>
      </c>
      <c r="E5936" s="196" t="s">
        <v>24944</v>
      </c>
      <c r="F5936" s="196" t="s">
        <v>11233</v>
      </c>
      <c r="G5936" s="196" t="s">
        <v>11720</v>
      </c>
      <c r="H5936" s="196" t="s">
        <v>11235</v>
      </c>
    </row>
    <row r="5937" spans="1:8" x14ac:dyDescent="0.15">
      <c r="A5937" s="196" t="s">
        <v>11229</v>
      </c>
      <c r="B5937" s="196" t="s">
        <v>11230</v>
      </c>
      <c r="C5937" s="196" t="s">
        <v>24946</v>
      </c>
      <c r="D5937" s="196" t="s">
        <v>24947</v>
      </c>
      <c r="E5937" s="196" t="s">
        <v>24947</v>
      </c>
      <c r="F5937" s="196" t="s">
        <v>11233</v>
      </c>
      <c r="G5937" s="196" t="s">
        <v>12378</v>
      </c>
      <c r="H5937" s="196" t="s">
        <v>11235</v>
      </c>
    </row>
    <row r="5938" spans="1:8" x14ac:dyDescent="0.15">
      <c r="A5938" s="196" t="s">
        <v>11229</v>
      </c>
      <c r="B5938" s="196" t="s">
        <v>11230</v>
      </c>
      <c r="C5938" s="196" t="s">
        <v>24948</v>
      </c>
      <c r="D5938" s="196" t="s">
        <v>24947</v>
      </c>
      <c r="E5938" s="196" t="s">
        <v>24947</v>
      </c>
      <c r="F5938" s="196" t="s">
        <v>11233</v>
      </c>
      <c r="G5938" s="196" t="s">
        <v>11720</v>
      </c>
      <c r="H5938" s="196" t="s">
        <v>11235</v>
      </c>
    </row>
    <row r="5939" spans="1:8" x14ac:dyDescent="0.15">
      <c r="A5939" s="196" t="s">
        <v>11229</v>
      </c>
      <c r="B5939" s="196" t="s">
        <v>11230</v>
      </c>
      <c r="C5939" s="196" t="s">
        <v>24949</v>
      </c>
      <c r="D5939" s="196" t="s">
        <v>24950</v>
      </c>
      <c r="E5939" s="196" t="s">
        <v>24950</v>
      </c>
      <c r="F5939" s="196" t="s">
        <v>11233</v>
      </c>
      <c r="G5939" s="196" t="s">
        <v>12378</v>
      </c>
      <c r="H5939" s="196" t="s">
        <v>11235</v>
      </c>
    </row>
    <row r="5940" spans="1:8" x14ac:dyDescent="0.15">
      <c r="A5940" s="196" t="s">
        <v>11229</v>
      </c>
      <c r="B5940" s="196" t="s">
        <v>11230</v>
      </c>
      <c r="C5940" s="196" t="s">
        <v>24951</v>
      </c>
      <c r="D5940" s="196" t="s">
        <v>24950</v>
      </c>
      <c r="E5940" s="196" t="s">
        <v>24950</v>
      </c>
      <c r="F5940" s="196" t="s">
        <v>11233</v>
      </c>
      <c r="G5940" s="196" t="s">
        <v>11720</v>
      </c>
      <c r="H5940" s="196" t="s">
        <v>11235</v>
      </c>
    </row>
    <row r="5941" spans="1:8" x14ac:dyDescent="0.15">
      <c r="A5941" s="196" t="s">
        <v>11229</v>
      </c>
      <c r="B5941" s="196" t="s">
        <v>11230</v>
      </c>
      <c r="C5941" s="196" t="s">
        <v>24952</v>
      </c>
      <c r="D5941" s="196" t="s">
        <v>24953</v>
      </c>
      <c r="E5941" s="196" t="s">
        <v>24953</v>
      </c>
      <c r="F5941" s="196" t="s">
        <v>11233</v>
      </c>
      <c r="G5941" s="196" t="s">
        <v>12378</v>
      </c>
      <c r="H5941" s="196" t="s">
        <v>11235</v>
      </c>
    </row>
    <row r="5942" spans="1:8" x14ac:dyDescent="0.15">
      <c r="A5942" s="196" t="s">
        <v>11229</v>
      </c>
      <c r="B5942" s="196" t="s">
        <v>11230</v>
      </c>
      <c r="C5942" s="196" t="s">
        <v>24954</v>
      </c>
      <c r="D5942" s="196" t="s">
        <v>24953</v>
      </c>
      <c r="E5942" s="196" t="s">
        <v>24953</v>
      </c>
      <c r="F5942" s="196" t="s">
        <v>11233</v>
      </c>
      <c r="G5942" s="196" t="s">
        <v>11720</v>
      </c>
      <c r="H5942" s="196" t="s">
        <v>11235</v>
      </c>
    </row>
    <row r="5943" spans="1:8" x14ac:dyDescent="0.15">
      <c r="A5943" s="196" t="s">
        <v>11229</v>
      </c>
      <c r="B5943" s="196" t="s">
        <v>11230</v>
      </c>
      <c r="C5943" s="196" t="s">
        <v>24955</v>
      </c>
      <c r="D5943" s="196" t="s">
        <v>24956</v>
      </c>
      <c r="E5943" s="196" t="s">
        <v>24956</v>
      </c>
      <c r="F5943" s="196" t="s">
        <v>11233</v>
      </c>
      <c r="G5943" s="196" t="s">
        <v>12378</v>
      </c>
      <c r="H5943" s="196" t="s">
        <v>11235</v>
      </c>
    </row>
    <row r="5944" spans="1:8" x14ac:dyDescent="0.15">
      <c r="A5944" s="196" t="s">
        <v>11229</v>
      </c>
      <c r="B5944" s="196" t="s">
        <v>11230</v>
      </c>
      <c r="C5944" s="196" t="s">
        <v>24957</v>
      </c>
      <c r="D5944" s="196" t="s">
        <v>24956</v>
      </c>
      <c r="E5944" s="196" t="s">
        <v>24956</v>
      </c>
      <c r="F5944" s="196" t="s">
        <v>11233</v>
      </c>
      <c r="G5944" s="196" t="s">
        <v>11720</v>
      </c>
      <c r="H5944" s="196" t="s">
        <v>11235</v>
      </c>
    </row>
    <row r="5945" spans="1:8" x14ac:dyDescent="0.15">
      <c r="A5945" s="196" t="s">
        <v>11229</v>
      </c>
      <c r="B5945" s="196" t="s">
        <v>11230</v>
      </c>
      <c r="C5945" s="196" t="s">
        <v>24958</v>
      </c>
      <c r="D5945" s="196" t="s">
        <v>24959</v>
      </c>
      <c r="E5945" s="196" t="s">
        <v>24959</v>
      </c>
      <c r="F5945" s="196" t="s">
        <v>11233</v>
      </c>
      <c r="G5945" s="196" t="s">
        <v>12378</v>
      </c>
      <c r="H5945" s="196" t="s">
        <v>11235</v>
      </c>
    </row>
    <row r="5946" spans="1:8" x14ac:dyDescent="0.15">
      <c r="A5946" s="196" t="s">
        <v>11229</v>
      </c>
      <c r="B5946" s="196" t="s">
        <v>11230</v>
      </c>
      <c r="C5946" s="196" t="s">
        <v>24960</v>
      </c>
      <c r="D5946" s="196" t="s">
        <v>24959</v>
      </c>
      <c r="E5946" s="196" t="s">
        <v>24959</v>
      </c>
      <c r="F5946" s="196" t="s">
        <v>11233</v>
      </c>
      <c r="G5946" s="196" t="s">
        <v>11720</v>
      </c>
      <c r="H5946" s="196" t="s">
        <v>11235</v>
      </c>
    </row>
    <row r="5947" spans="1:8" x14ac:dyDescent="0.15">
      <c r="A5947" s="196" t="s">
        <v>11229</v>
      </c>
      <c r="B5947" s="196" t="s">
        <v>11230</v>
      </c>
      <c r="C5947" s="196" t="s">
        <v>24961</v>
      </c>
      <c r="D5947" s="196" t="s">
        <v>24962</v>
      </c>
      <c r="E5947" s="196" t="s">
        <v>24962</v>
      </c>
      <c r="F5947" s="196" t="s">
        <v>11233</v>
      </c>
      <c r="G5947" s="196" t="s">
        <v>11720</v>
      </c>
      <c r="H5947" s="196" t="s">
        <v>11235</v>
      </c>
    </row>
    <row r="5948" spans="1:8" x14ac:dyDescent="0.15">
      <c r="A5948" s="196" t="s">
        <v>11229</v>
      </c>
      <c r="B5948" s="196" t="s">
        <v>11230</v>
      </c>
      <c r="C5948" s="196" t="s">
        <v>24963</v>
      </c>
      <c r="D5948" s="196" t="s">
        <v>24964</v>
      </c>
      <c r="E5948" s="196" t="s">
        <v>24964</v>
      </c>
      <c r="F5948" s="196" t="s">
        <v>11233</v>
      </c>
      <c r="G5948" s="196" t="s">
        <v>11720</v>
      </c>
      <c r="H5948" s="196" t="s">
        <v>11235</v>
      </c>
    </row>
    <row r="5949" spans="1:8" x14ac:dyDescent="0.15">
      <c r="A5949" s="196" t="s">
        <v>11229</v>
      </c>
      <c r="B5949" s="196" t="s">
        <v>11230</v>
      </c>
      <c r="C5949" s="196" t="s">
        <v>24965</v>
      </c>
      <c r="D5949" s="196" t="s">
        <v>24966</v>
      </c>
      <c r="E5949" s="196" t="s">
        <v>24966</v>
      </c>
      <c r="F5949" s="196" t="s">
        <v>11233</v>
      </c>
      <c r="G5949" s="196" t="s">
        <v>12378</v>
      </c>
      <c r="H5949" s="196" t="s">
        <v>11235</v>
      </c>
    </row>
    <row r="5950" spans="1:8" x14ac:dyDescent="0.15">
      <c r="A5950" s="196" t="s">
        <v>11229</v>
      </c>
      <c r="B5950" s="196" t="s">
        <v>11230</v>
      </c>
      <c r="C5950" s="196" t="s">
        <v>24967</v>
      </c>
      <c r="D5950" s="196" t="s">
        <v>24968</v>
      </c>
      <c r="E5950" s="196" t="s">
        <v>24968</v>
      </c>
      <c r="F5950" s="196" t="s">
        <v>11233</v>
      </c>
      <c r="G5950" s="196" t="s">
        <v>12378</v>
      </c>
      <c r="H5950" s="196" t="s">
        <v>11235</v>
      </c>
    </row>
    <row r="5951" spans="1:8" x14ac:dyDescent="0.15">
      <c r="A5951" s="196" t="s">
        <v>11229</v>
      </c>
      <c r="B5951" s="196" t="s">
        <v>11230</v>
      </c>
      <c r="C5951" s="196" t="s">
        <v>24969</v>
      </c>
      <c r="D5951" s="196" t="s">
        <v>24970</v>
      </c>
      <c r="E5951" s="196" t="s">
        <v>24970</v>
      </c>
      <c r="F5951" s="196" t="s">
        <v>11233</v>
      </c>
      <c r="G5951" s="196" t="s">
        <v>12378</v>
      </c>
      <c r="H5951" s="196" t="s">
        <v>11235</v>
      </c>
    </row>
    <row r="5952" spans="1:8" x14ac:dyDescent="0.15">
      <c r="A5952" s="196" t="s">
        <v>11229</v>
      </c>
      <c r="B5952" s="196" t="s">
        <v>11230</v>
      </c>
      <c r="C5952" s="196" t="s">
        <v>24971</v>
      </c>
      <c r="D5952" s="196" t="s">
        <v>24972</v>
      </c>
      <c r="E5952" s="196" t="s">
        <v>24972</v>
      </c>
      <c r="F5952" s="196" t="s">
        <v>11233</v>
      </c>
      <c r="G5952" s="196" t="s">
        <v>12378</v>
      </c>
      <c r="H5952" s="196" t="s">
        <v>11235</v>
      </c>
    </row>
    <row r="5953" spans="1:8" x14ac:dyDescent="0.15">
      <c r="A5953" s="196" t="s">
        <v>11229</v>
      </c>
      <c r="B5953" s="196" t="s">
        <v>11230</v>
      </c>
      <c r="C5953" s="196" t="s">
        <v>24973</v>
      </c>
      <c r="D5953" s="196" t="s">
        <v>24972</v>
      </c>
      <c r="E5953" s="196" t="s">
        <v>24972</v>
      </c>
      <c r="F5953" s="196" t="s">
        <v>11233</v>
      </c>
      <c r="G5953" s="196" t="s">
        <v>11720</v>
      </c>
      <c r="H5953" s="196" t="s">
        <v>11235</v>
      </c>
    </row>
    <row r="5954" spans="1:8" x14ac:dyDescent="0.15">
      <c r="A5954" s="196" t="s">
        <v>11229</v>
      </c>
      <c r="B5954" s="196" t="s">
        <v>11230</v>
      </c>
      <c r="C5954" s="196" t="s">
        <v>24974</v>
      </c>
      <c r="D5954" s="196" t="s">
        <v>24975</v>
      </c>
      <c r="E5954" s="196" t="s">
        <v>24975</v>
      </c>
      <c r="F5954" s="196" t="s">
        <v>11233</v>
      </c>
      <c r="G5954" s="196" t="s">
        <v>12378</v>
      </c>
      <c r="H5954" s="196" t="s">
        <v>11235</v>
      </c>
    </row>
    <row r="5955" spans="1:8" x14ac:dyDescent="0.15">
      <c r="A5955" s="196" t="s">
        <v>11229</v>
      </c>
      <c r="B5955" s="196" t="s">
        <v>11230</v>
      </c>
      <c r="C5955" s="196" t="s">
        <v>24976</v>
      </c>
      <c r="D5955" s="196" t="s">
        <v>24975</v>
      </c>
      <c r="E5955" s="196" t="s">
        <v>24975</v>
      </c>
      <c r="F5955" s="196" t="s">
        <v>11233</v>
      </c>
      <c r="G5955" s="196" t="s">
        <v>11720</v>
      </c>
      <c r="H5955" s="196" t="s">
        <v>11235</v>
      </c>
    </row>
    <row r="5956" spans="1:8" x14ac:dyDescent="0.15">
      <c r="A5956" s="196" t="s">
        <v>11229</v>
      </c>
      <c r="B5956" s="196" t="s">
        <v>11230</v>
      </c>
      <c r="C5956" s="196" t="s">
        <v>24977</v>
      </c>
      <c r="D5956" s="196" t="s">
        <v>24978</v>
      </c>
      <c r="E5956" s="196" t="s">
        <v>24978</v>
      </c>
      <c r="F5956" s="196" t="s">
        <v>11233</v>
      </c>
      <c r="G5956" s="196" t="s">
        <v>12378</v>
      </c>
      <c r="H5956" s="196" t="s">
        <v>11235</v>
      </c>
    </row>
    <row r="5957" spans="1:8" x14ac:dyDescent="0.15">
      <c r="A5957" s="196" t="s">
        <v>11229</v>
      </c>
      <c r="B5957" s="196" t="s">
        <v>11230</v>
      </c>
      <c r="C5957" s="196" t="s">
        <v>24979</v>
      </c>
      <c r="D5957" s="196" t="s">
        <v>24978</v>
      </c>
      <c r="E5957" s="196" t="s">
        <v>24978</v>
      </c>
      <c r="F5957" s="196" t="s">
        <v>11233</v>
      </c>
      <c r="G5957" s="196" t="s">
        <v>11720</v>
      </c>
      <c r="H5957" s="196" t="s">
        <v>11235</v>
      </c>
    </row>
    <row r="5958" spans="1:8" x14ac:dyDescent="0.15">
      <c r="A5958" s="196" t="s">
        <v>11229</v>
      </c>
      <c r="B5958" s="196" t="s">
        <v>11230</v>
      </c>
      <c r="C5958" s="196" t="s">
        <v>24980</v>
      </c>
      <c r="D5958" s="196" t="s">
        <v>24981</v>
      </c>
      <c r="E5958" s="196" t="s">
        <v>24981</v>
      </c>
      <c r="F5958" s="196" t="s">
        <v>11233</v>
      </c>
      <c r="G5958" s="196" t="s">
        <v>12378</v>
      </c>
      <c r="H5958" s="196" t="s">
        <v>11235</v>
      </c>
    </row>
    <row r="5959" spans="1:8" x14ac:dyDescent="0.15">
      <c r="A5959" s="196" t="s">
        <v>11229</v>
      </c>
      <c r="B5959" s="196" t="s">
        <v>11230</v>
      </c>
      <c r="C5959" s="196" t="s">
        <v>24982</v>
      </c>
      <c r="D5959" s="196" t="s">
        <v>24981</v>
      </c>
      <c r="E5959" s="196" t="s">
        <v>24981</v>
      </c>
      <c r="F5959" s="196" t="s">
        <v>11233</v>
      </c>
      <c r="G5959" s="196" t="s">
        <v>11720</v>
      </c>
      <c r="H5959" s="196" t="s">
        <v>11235</v>
      </c>
    </row>
    <row r="5960" spans="1:8" x14ac:dyDescent="0.15">
      <c r="A5960" s="196" t="s">
        <v>11229</v>
      </c>
      <c r="B5960" s="196" t="s">
        <v>11230</v>
      </c>
      <c r="C5960" s="196" t="s">
        <v>24983</v>
      </c>
      <c r="D5960" s="196" t="s">
        <v>24984</v>
      </c>
      <c r="E5960" s="196" t="s">
        <v>24984</v>
      </c>
      <c r="F5960" s="196" t="s">
        <v>11233</v>
      </c>
      <c r="G5960" s="196" t="s">
        <v>12378</v>
      </c>
      <c r="H5960" s="196" t="s">
        <v>11235</v>
      </c>
    </row>
    <row r="5961" spans="1:8" x14ac:dyDescent="0.15">
      <c r="A5961" s="196" t="s">
        <v>11229</v>
      </c>
      <c r="B5961" s="196" t="s">
        <v>11230</v>
      </c>
      <c r="C5961" s="196" t="s">
        <v>24985</v>
      </c>
      <c r="D5961" s="196" t="s">
        <v>24984</v>
      </c>
      <c r="E5961" s="196" t="s">
        <v>24984</v>
      </c>
      <c r="F5961" s="196" t="s">
        <v>11233</v>
      </c>
      <c r="G5961" s="196" t="s">
        <v>11720</v>
      </c>
      <c r="H5961" s="196" t="s">
        <v>11235</v>
      </c>
    </row>
    <row r="5962" spans="1:8" x14ac:dyDescent="0.15">
      <c r="A5962" s="196" t="s">
        <v>11229</v>
      </c>
      <c r="B5962" s="196" t="s">
        <v>11230</v>
      </c>
      <c r="C5962" s="196" t="s">
        <v>24986</v>
      </c>
      <c r="D5962" s="196" t="s">
        <v>24987</v>
      </c>
      <c r="E5962" s="196" t="s">
        <v>24987</v>
      </c>
      <c r="F5962" s="196" t="s">
        <v>11233</v>
      </c>
      <c r="G5962" s="196" t="s">
        <v>12378</v>
      </c>
      <c r="H5962" s="196" t="s">
        <v>11235</v>
      </c>
    </row>
    <row r="5963" spans="1:8" x14ac:dyDescent="0.15">
      <c r="A5963" s="196" t="s">
        <v>11229</v>
      </c>
      <c r="B5963" s="196" t="s">
        <v>11230</v>
      </c>
      <c r="C5963" s="196" t="s">
        <v>24988</v>
      </c>
      <c r="D5963" s="196" t="s">
        <v>24989</v>
      </c>
      <c r="E5963" s="196" t="s">
        <v>24989</v>
      </c>
      <c r="F5963" s="196" t="s">
        <v>11233</v>
      </c>
      <c r="G5963" s="196" t="s">
        <v>12378</v>
      </c>
      <c r="H5963" s="196" t="s">
        <v>11235</v>
      </c>
    </row>
    <row r="5964" spans="1:8" x14ac:dyDescent="0.15">
      <c r="A5964" s="196" t="s">
        <v>11229</v>
      </c>
      <c r="B5964" s="196" t="s">
        <v>11230</v>
      </c>
      <c r="C5964" s="196" t="s">
        <v>24990</v>
      </c>
      <c r="D5964" s="196" t="s">
        <v>24991</v>
      </c>
      <c r="E5964" s="196" t="s">
        <v>24991</v>
      </c>
      <c r="F5964" s="196" t="s">
        <v>11233</v>
      </c>
      <c r="G5964" s="196" t="s">
        <v>12378</v>
      </c>
      <c r="H5964" s="196" t="s">
        <v>11235</v>
      </c>
    </row>
    <row r="5965" spans="1:8" x14ac:dyDescent="0.15">
      <c r="A5965" s="196" t="s">
        <v>11229</v>
      </c>
      <c r="B5965" s="196" t="s">
        <v>11230</v>
      </c>
      <c r="C5965" s="196" t="s">
        <v>24992</v>
      </c>
      <c r="D5965" s="196" t="s">
        <v>24993</v>
      </c>
      <c r="E5965" s="196" t="s">
        <v>24993</v>
      </c>
      <c r="F5965" s="196" t="s">
        <v>11233</v>
      </c>
      <c r="G5965" s="196" t="s">
        <v>11720</v>
      </c>
      <c r="H5965" s="196" t="s">
        <v>11235</v>
      </c>
    </row>
    <row r="5966" spans="1:8" x14ac:dyDescent="0.15">
      <c r="A5966" s="196" t="s">
        <v>11229</v>
      </c>
      <c r="B5966" s="196" t="s">
        <v>11230</v>
      </c>
      <c r="C5966" s="196" t="s">
        <v>24994</v>
      </c>
      <c r="D5966" s="196" t="s">
        <v>24995</v>
      </c>
      <c r="E5966" s="196" t="s">
        <v>24995</v>
      </c>
      <c r="F5966" s="196" t="s">
        <v>11233</v>
      </c>
      <c r="G5966" s="196" t="s">
        <v>11720</v>
      </c>
      <c r="H5966" s="196" t="s">
        <v>11235</v>
      </c>
    </row>
    <row r="5967" spans="1:8" x14ac:dyDescent="0.15">
      <c r="A5967" s="196" t="s">
        <v>11229</v>
      </c>
      <c r="B5967" s="196" t="s">
        <v>11230</v>
      </c>
      <c r="C5967" s="196" t="s">
        <v>24996</v>
      </c>
      <c r="D5967" s="196" t="s">
        <v>24997</v>
      </c>
      <c r="E5967" s="196" t="s">
        <v>24997</v>
      </c>
      <c r="F5967" s="196" t="s">
        <v>11233</v>
      </c>
      <c r="G5967" s="196" t="s">
        <v>11720</v>
      </c>
      <c r="H5967" s="196" t="s">
        <v>11235</v>
      </c>
    </row>
    <row r="5968" spans="1:8" x14ac:dyDescent="0.15">
      <c r="A5968" s="196" t="s">
        <v>11229</v>
      </c>
      <c r="B5968" s="196" t="s">
        <v>11230</v>
      </c>
      <c r="C5968" s="196" t="s">
        <v>24998</v>
      </c>
      <c r="D5968" s="196" t="s">
        <v>24997</v>
      </c>
      <c r="E5968" s="196" t="s">
        <v>24997</v>
      </c>
      <c r="F5968" s="196" t="s">
        <v>11233</v>
      </c>
      <c r="G5968" s="196" t="s">
        <v>12378</v>
      </c>
      <c r="H5968" s="196" t="s">
        <v>11235</v>
      </c>
    </row>
    <row r="5969" spans="1:8" x14ac:dyDescent="0.15">
      <c r="A5969" s="196" t="s">
        <v>11229</v>
      </c>
      <c r="B5969" s="196" t="s">
        <v>11230</v>
      </c>
      <c r="C5969" s="196" t="s">
        <v>24999</v>
      </c>
      <c r="D5969" s="196" t="s">
        <v>25000</v>
      </c>
      <c r="E5969" s="196" t="s">
        <v>25000</v>
      </c>
      <c r="F5969" s="196" t="s">
        <v>11233</v>
      </c>
      <c r="G5969" s="196" t="s">
        <v>11720</v>
      </c>
      <c r="H5969" s="196" t="s">
        <v>11235</v>
      </c>
    </row>
    <row r="5970" spans="1:8" x14ac:dyDescent="0.15">
      <c r="A5970" s="196" t="s">
        <v>11229</v>
      </c>
      <c r="B5970" s="196" t="s">
        <v>11230</v>
      </c>
      <c r="C5970" s="196" t="s">
        <v>25001</v>
      </c>
      <c r="D5970" s="196" t="s">
        <v>25002</v>
      </c>
      <c r="E5970" s="196" t="s">
        <v>25002</v>
      </c>
      <c r="F5970" s="196" t="s">
        <v>11233</v>
      </c>
      <c r="G5970" s="196" t="s">
        <v>11720</v>
      </c>
      <c r="H5970" s="196" t="s">
        <v>11235</v>
      </c>
    </row>
    <row r="5971" spans="1:8" x14ac:dyDescent="0.15">
      <c r="A5971" s="196" t="s">
        <v>11229</v>
      </c>
      <c r="B5971" s="196" t="s">
        <v>11230</v>
      </c>
      <c r="C5971" s="196" t="s">
        <v>25003</v>
      </c>
      <c r="D5971" s="196" t="s">
        <v>25004</v>
      </c>
      <c r="E5971" s="196" t="s">
        <v>25004</v>
      </c>
      <c r="F5971" s="196" t="s">
        <v>11233</v>
      </c>
      <c r="G5971" s="196" t="s">
        <v>11720</v>
      </c>
      <c r="H5971" s="196" t="s">
        <v>11235</v>
      </c>
    </row>
    <row r="5972" spans="1:8" x14ac:dyDescent="0.15">
      <c r="A5972" s="196" t="s">
        <v>11229</v>
      </c>
      <c r="B5972" s="196" t="s">
        <v>11230</v>
      </c>
      <c r="C5972" s="196" t="s">
        <v>25005</v>
      </c>
      <c r="D5972" s="196" t="s">
        <v>25006</v>
      </c>
      <c r="E5972" s="196" t="s">
        <v>25006</v>
      </c>
      <c r="F5972" s="196" t="s">
        <v>11233</v>
      </c>
      <c r="G5972" s="196" t="s">
        <v>12378</v>
      </c>
      <c r="H5972" s="196" t="s">
        <v>11235</v>
      </c>
    </row>
    <row r="5973" spans="1:8" x14ac:dyDescent="0.15">
      <c r="A5973" s="196" t="s">
        <v>11229</v>
      </c>
      <c r="B5973" s="196" t="s">
        <v>11230</v>
      </c>
      <c r="C5973" s="196" t="s">
        <v>25007</v>
      </c>
      <c r="D5973" s="196" t="s">
        <v>25008</v>
      </c>
      <c r="E5973" s="196" t="s">
        <v>25008</v>
      </c>
      <c r="F5973" s="196" t="s">
        <v>11233</v>
      </c>
      <c r="G5973" s="196" t="s">
        <v>12378</v>
      </c>
      <c r="H5973" s="196" t="s">
        <v>11235</v>
      </c>
    </row>
    <row r="5974" spans="1:8" x14ac:dyDescent="0.15">
      <c r="A5974" s="196" t="s">
        <v>11229</v>
      </c>
      <c r="B5974" s="196" t="s">
        <v>11230</v>
      </c>
      <c r="C5974" s="196" t="s">
        <v>25009</v>
      </c>
      <c r="D5974" s="196" t="s">
        <v>25010</v>
      </c>
      <c r="E5974" s="196" t="s">
        <v>25010</v>
      </c>
      <c r="F5974" s="196" t="s">
        <v>11233</v>
      </c>
      <c r="G5974" s="196" t="s">
        <v>12378</v>
      </c>
      <c r="H5974" s="196" t="s">
        <v>11235</v>
      </c>
    </row>
    <row r="5975" spans="1:8" x14ac:dyDescent="0.15">
      <c r="A5975" s="196" t="s">
        <v>11229</v>
      </c>
      <c r="B5975" s="196" t="s">
        <v>11230</v>
      </c>
      <c r="C5975" s="196" t="s">
        <v>25011</v>
      </c>
      <c r="D5975" s="196" t="s">
        <v>25012</v>
      </c>
      <c r="E5975" s="196" t="s">
        <v>25012</v>
      </c>
      <c r="F5975" s="196" t="s">
        <v>11233</v>
      </c>
      <c r="G5975" s="196" t="s">
        <v>11720</v>
      </c>
      <c r="H5975" s="196" t="s">
        <v>11235</v>
      </c>
    </row>
    <row r="5976" spans="1:8" x14ac:dyDescent="0.15">
      <c r="A5976" s="196" t="s">
        <v>11229</v>
      </c>
      <c r="B5976" s="196" t="s">
        <v>11230</v>
      </c>
      <c r="C5976" s="196" t="s">
        <v>25013</v>
      </c>
      <c r="D5976" s="196" t="s">
        <v>25014</v>
      </c>
      <c r="E5976" s="196" t="s">
        <v>25014</v>
      </c>
      <c r="F5976" s="196" t="s">
        <v>11233</v>
      </c>
      <c r="G5976" s="196" t="s">
        <v>11720</v>
      </c>
      <c r="H5976" s="196" t="s">
        <v>11235</v>
      </c>
    </row>
    <row r="5977" spans="1:8" x14ac:dyDescent="0.15">
      <c r="A5977" s="196" t="s">
        <v>11229</v>
      </c>
      <c r="B5977" s="196" t="s">
        <v>11230</v>
      </c>
      <c r="C5977" s="196" t="s">
        <v>25015</v>
      </c>
      <c r="D5977" s="196" t="s">
        <v>25016</v>
      </c>
      <c r="E5977" s="196" t="s">
        <v>25017</v>
      </c>
      <c r="F5977" s="196" t="s">
        <v>11241</v>
      </c>
      <c r="G5977" s="196" t="s">
        <v>11720</v>
      </c>
      <c r="H5977" s="196" t="s">
        <v>11235</v>
      </c>
    </row>
    <row r="5978" spans="1:8" x14ac:dyDescent="0.15">
      <c r="A5978" s="196" t="s">
        <v>11229</v>
      </c>
      <c r="B5978" s="196" t="s">
        <v>11230</v>
      </c>
      <c r="C5978" s="196" t="s">
        <v>25018</v>
      </c>
      <c r="D5978" s="196" t="s">
        <v>25017</v>
      </c>
      <c r="E5978" s="196" t="s">
        <v>25019</v>
      </c>
      <c r="F5978" s="196" t="s">
        <v>11268</v>
      </c>
      <c r="G5978" s="196" t="s">
        <v>11720</v>
      </c>
      <c r="H5978" s="196" t="s">
        <v>11235</v>
      </c>
    </row>
    <row r="5979" spans="1:8" x14ac:dyDescent="0.15">
      <c r="A5979" s="196" t="s">
        <v>11229</v>
      </c>
      <c r="B5979" s="196" t="s">
        <v>11230</v>
      </c>
      <c r="C5979" s="196" t="s">
        <v>25020</v>
      </c>
      <c r="D5979" s="196" t="s">
        <v>25019</v>
      </c>
      <c r="E5979" s="196" t="s">
        <v>25021</v>
      </c>
      <c r="F5979" s="196" t="s">
        <v>11241</v>
      </c>
      <c r="G5979" s="196" t="s">
        <v>11720</v>
      </c>
      <c r="H5979" s="196" t="s">
        <v>11235</v>
      </c>
    </row>
    <row r="5980" spans="1:8" x14ac:dyDescent="0.15">
      <c r="A5980" s="196" t="s">
        <v>11229</v>
      </c>
      <c r="B5980" s="196" t="s">
        <v>11230</v>
      </c>
      <c r="C5980" s="196" t="s">
        <v>25022</v>
      </c>
      <c r="D5980" s="196" t="s">
        <v>25021</v>
      </c>
      <c r="E5980" s="196" t="s">
        <v>25023</v>
      </c>
      <c r="F5980" s="196" t="s">
        <v>11241</v>
      </c>
      <c r="G5980" s="196" t="s">
        <v>11720</v>
      </c>
      <c r="H5980" s="196" t="s">
        <v>11235</v>
      </c>
    </row>
    <row r="5981" spans="1:8" x14ac:dyDescent="0.15">
      <c r="A5981" s="196" t="s">
        <v>11229</v>
      </c>
      <c r="B5981" s="196" t="s">
        <v>11230</v>
      </c>
      <c r="C5981" s="196" t="s">
        <v>25024</v>
      </c>
      <c r="D5981" s="196" t="s">
        <v>25023</v>
      </c>
      <c r="E5981" s="196" t="s">
        <v>25025</v>
      </c>
      <c r="F5981" s="196" t="s">
        <v>11268</v>
      </c>
      <c r="G5981" s="196" t="s">
        <v>11720</v>
      </c>
      <c r="H5981" s="196" t="s">
        <v>11235</v>
      </c>
    </row>
    <row r="5982" spans="1:8" x14ac:dyDescent="0.15">
      <c r="A5982" s="196" t="s">
        <v>11229</v>
      </c>
      <c r="B5982" s="196" t="s">
        <v>11230</v>
      </c>
      <c r="C5982" s="196" t="s">
        <v>25026</v>
      </c>
      <c r="D5982" s="196" t="s">
        <v>25025</v>
      </c>
      <c r="E5982" s="196" t="s">
        <v>25027</v>
      </c>
      <c r="F5982" s="196" t="s">
        <v>11241</v>
      </c>
      <c r="G5982" s="196" t="s">
        <v>11720</v>
      </c>
      <c r="H5982" s="196" t="s">
        <v>11235</v>
      </c>
    </row>
    <row r="5983" spans="1:8" x14ac:dyDescent="0.15">
      <c r="A5983" s="196" t="s">
        <v>11229</v>
      </c>
      <c r="B5983" s="196" t="s">
        <v>11230</v>
      </c>
      <c r="C5983" s="196" t="s">
        <v>25028</v>
      </c>
      <c r="D5983" s="196" t="s">
        <v>25029</v>
      </c>
      <c r="E5983" s="196" t="s">
        <v>25029</v>
      </c>
      <c r="F5983" s="196" t="s">
        <v>11233</v>
      </c>
      <c r="G5983" s="196" t="s">
        <v>11720</v>
      </c>
      <c r="H5983" s="196" t="s">
        <v>11235</v>
      </c>
    </row>
    <row r="5984" spans="1:8" x14ac:dyDescent="0.15">
      <c r="A5984" s="196" t="s">
        <v>11229</v>
      </c>
      <c r="B5984" s="196" t="s">
        <v>11230</v>
      </c>
      <c r="C5984" s="196" t="s">
        <v>25030</v>
      </c>
      <c r="D5984" s="196" t="s">
        <v>25031</v>
      </c>
      <c r="E5984" s="196" t="s">
        <v>25032</v>
      </c>
      <c r="F5984" s="196" t="s">
        <v>13715</v>
      </c>
      <c r="G5984" s="196" t="s">
        <v>11720</v>
      </c>
      <c r="H5984" s="196" t="s">
        <v>11235</v>
      </c>
    </row>
    <row r="5985" spans="1:8" x14ac:dyDescent="0.15">
      <c r="A5985" s="196" t="s">
        <v>11229</v>
      </c>
      <c r="B5985" s="196" t="s">
        <v>11230</v>
      </c>
      <c r="C5985" s="196" t="s">
        <v>25033</v>
      </c>
      <c r="D5985" s="196" t="s">
        <v>25032</v>
      </c>
      <c r="E5985" s="196" t="s">
        <v>25034</v>
      </c>
      <c r="F5985" s="196" t="s">
        <v>11268</v>
      </c>
      <c r="G5985" s="196" t="s">
        <v>11720</v>
      </c>
      <c r="H5985" s="196" t="s">
        <v>11235</v>
      </c>
    </row>
    <row r="5986" spans="1:8" x14ac:dyDescent="0.15">
      <c r="A5986" s="196" t="s">
        <v>11229</v>
      </c>
      <c r="B5986" s="196" t="s">
        <v>11230</v>
      </c>
      <c r="C5986" s="196" t="s">
        <v>25035</v>
      </c>
      <c r="D5986" s="196" t="s">
        <v>25034</v>
      </c>
      <c r="E5986" s="196" t="s">
        <v>25036</v>
      </c>
      <c r="F5986" s="196" t="s">
        <v>11241</v>
      </c>
      <c r="G5986" s="196" t="s">
        <v>11720</v>
      </c>
      <c r="H5986" s="196" t="s">
        <v>11235</v>
      </c>
    </row>
    <row r="5987" spans="1:8" x14ac:dyDescent="0.15">
      <c r="A5987" s="196" t="s">
        <v>11229</v>
      </c>
      <c r="B5987" s="196" t="s">
        <v>11230</v>
      </c>
      <c r="C5987" s="196" t="s">
        <v>25037</v>
      </c>
      <c r="D5987" s="196" t="s">
        <v>25038</v>
      </c>
      <c r="E5987" s="196" t="s">
        <v>25038</v>
      </c>
      <c r="F5987" s="196" t="s">
        <v>11233</v>
      </c>
      <c r="G5987" s="196" t="s">
        <v>12378</v>
      </c>
      <c r="H5987" s="196" t="s">
        <v>11235</v>
      </c>
    </row>
    <row r="5988" spans="1:8" x14ac:dyDescent="0.15">
      <c r="A5988" s="196" t="s">
        <v>11229</v>
      </c>
      <c r="B5988" s="196" t="s">
        <v>11230</v>
      </c>
      <c r="C5988" s="196" t="s">
        <v>25039</v>
      </c>
      <c r="D5988" s="196" t="s">
        <v>25040</v>
      </c>
      <c r="E5988" s="196" t="s">
        <v>25040</v>
      </c>
      <c r="F5988" s="196" t="s">
        <v>11233</v>
      </c>
      <c r="G5988" s="196" t="s">
        <v>12378</v>
      </c>
      <c r="H5988" s="196" t="s">
        <v>11235</v>
      </c>
    </row>
    <row r="5989" spans="1:8" x14ac:dyDescent="0.15">
      <c r="A5989" s="196" t="s">
        <v>11229</v>
      </c>
      <c r="B5989" s="196" t="s">
        <v>11230</v>
      </c>
      <c r="C5989" s="196" t="s">
        <v>25041</v>
      </c>
      <c r="D5989" s="196" t="s">
        <v>25042</v>
      </c>
      <c r="E5989" s="196" t="s">
        <v>25042</v>
      </c>
      <c r="F5989" s="196" t="s">
        <v>11233</v>
      </c>
      <c r="G5989" s="196" t="s">
        <v>11720</v>
      </c>
      <c r="H5989" s="196" t="s">
        <v>11235</v>
      </c>
    </row>
    <row r="5990" spans="1:8" x14ac:dyDescent="0.15">
      <c r="A5990" s="196" t="s">
        <v>11229</v>
      </c>
      <c r="B5990" s="196" t="s">
        <v>11230</v>
      </c>
      <c r="C5990" s="196" t="s">
        <v>25043</v>
      </c>
      <c r="D5990" s="196" t="s">
        <v>25044</v>
      </c>
      <c r="E5990" s="196" t="s">
        <v>25044</v>
      </c>
      <c r="F5990" s="196" t="s">
        <v>11233</v>
      </c>
      <c r="G5990" s="196" t="s">
        <v>11720</v>
      </c>
      <c r="H5990" s="196" t="s">
        <v>11235</v>
      </c>
    </row>
    <row r="5991" spans="1:8" x14ac:dyDescent="0.15">
      <c r="A5991" s="196" t="s">
        <v>11229</v>
      </c>
      <c r="B5991" s="196" t="s">
        <v>11230</v>
      </c>
      <c r="C5991" s="196" t="s">
        <v>25045</v>
      </c>
      <c r="D5991" s="196" t="s">
        <v>25044</v>
      </c>
      <c r="E5991" s="196" t="s">
        <v>25044</v>
      </c>
      <c r="F5991" s="196" t="s">
        <v>11233</v>
      </c>
      <c r="G5991" s="196" t="s">
        <v>12378</v>
      </c>
      <c r="H5991" s="196" t="s">
        <v>11235</v>
      </c>
    </row>
    <row r="5992" spans="1:8" x14ac:dyDescent="0.15">
      <c r="A5992" s="196" t="s">
        <v>11229</v>
      </c>
      <c r="B5992" s="196" t="s">
        <v>11230</v>
      </c>
      <c r="C5992" s="196" t="s">
        <v>25046</v>
      </c>
      <c r="D5992" s="196" t="s">
        <v>25047</v>
      </c>
      <c r="E5992" s="196" t="s">
        <v>25047</v>
      </c>
      <c r="F5992" s="196" t="s">
        <v>11233</v>
      </c>
      <c r="G5992" s="196" t="s">
        <v>12378</v>
      </c>
      <c r="H5992" s="196" t="s">
        <v>11235</v>
      </c>
    </row>
    <row r="5993" spans="1:8" x14ac:dyDescent="0.15">
      <c r="A5993" s="196" t="s">
        <v>11229</v>
      </c>
      <c r="B5993" s="196" t="s">
        <v>11230</v>
      </c>
      <c r="C5993" s="196" t="s">
        <v>25048</v>
      </c>
      <c r="D5993" s="196" t="s">
        <v>25049</v>
      </c>
      <c r="E5993" s="196" t="s">
        <v>25049</v>
      </c>
      <c r="F5993" s="196" t="s">
        <v>11233</v>
      </c>
      <c r="G5993" s="196" t="s">
        <v>11720</v>
      </c>
      <c r="H5993" s="196" t="s">
        <v>11235</v>
      </c>
    </row>
    <row r="5994" spans="1:8" x14ac:dyDescent="0.15">
      <c r="A5994" s="196" t="s">
        <v>11229</v>
      </c>
      <c r="B5994" s="196" t="s">
        <v>11230</v>
      </c>
      <c r="C5994" s="196" t="s">
        <v>25050</v>
      </c>
      <c r="D5994" s="196" t="s">
        <v>25051</v>
      </c>
      <c r="E5994" s="196" t="s">
        <v>25051</v>
      </c>
      <c r="F5994" s="196" t="s">
        <v>11233</v>
      </c>
      <c r="G5994" s="196" t="s">
        <v>11720</v>
      </c>
      <c r="H5994" s="196" t="s">
        <v>11235</v>
      </c>
    </row>
    <row r="5995" spans="1:8" x14ac:dyDescent="0.15">
      <c r="A5995" s="196" t="s">
        <v>11229</v>
      </c>
      <c r="B5995" s="196" t="s">
        <v>11230</v>
      </c>
      <c r="C5995" s="196" t="s">
        <v>25052</v>
      </c>
      <c r="D5995" s="196" t="s">
        <v>25053</v>
      </c>
      <c r="E5995" s="196" t="s">
        <v>25053</v>
      </c>
      <c r="F5995" s="196" t="s">
        <v>11233</v>
      </c>
      <c r="G5995" s="196" t="s">
        <v>12378</v>
      </c>
      <c r="H5995" s="196" t="s">
        <v>11235</v>
      </c>
    </row>
    <row r="5996" spans="1:8" x14ac:dyDescent="0.15">
      <c r="A5996" s="196" t="s">
        <v>11229</v>
      </c>
      <c r="B5996" s="196" t="s">
        <v>11230</v>
      </c>
      <c r="C5996" s="196" t="s">
        <v>25054</v>
      </c>
      <c r="D5996" s="196" t="s">
        <v>25055</v>
      </c>
      <c r="E5996" s="196" t="s">
        <v>25056</v>
      </c>
      <c r="F5996" s="196" t="s">
        <v>25057</v>
      </c>
      <c r="G5996" s="196" t="s">
        <v>11720</v>
      </c>
      <c r="H5996" s="196" t="s">
        <v>11235</v>
      </c>
    </row>
    <row r="5997" spans="1:8" x14ac:dyDescent="0.15">
      <c r="A5997" s="196" t="s">
        <v>11229</v>
      </c>
      <c r="B5997" s="196" t="s">
        <v>11230</v>
      </c>
      <c r="C5997" s="196" t="s">
        <v>25058</v>
      </c>
      <c r="D5997" s="196" t="s">
        <v>25059</v>
      </c>
      <c r="E5997" s="196" t="s">
        <v>25059</v>
      </c>
      <c r="F5997" s="196" t="s">
        <v>11233</v>
      </c>
      <c r="G5997" s="196" t="s">
        <v>12378</v>
      </c>
      <c r="H5997" s="196" t="s">
        <v>11235</v>
      </c>
    </row>
    <row r="5998" spans="1:8" x14ac:dyDescent="0.15">
      <c r="A5998" s="196" t="s">
        <v>11229</v>
      </c>
      <c r="B5998" s="196" t="s">
        <v>11230</v>
      </c>
      <c r="C5998" s="196" t="s">
        <v>25060</v>
      </c>
      <c r="D5998" s="196" t="s">
        <v>25061</v>
      </c>
      <c r="E5998" s="196" t="s">
        <v>25061</v>
      </c>
      <c r="F5998" s="196" t="s">
        <v>11233</v>
      </c>
      <c r="G5998" s="196" t="s">
        <v>12378</v>
      </c>
      <c r="H5998" s="196" t="s">
        <v>11235</v>
      </c>
    </row>
    <row r="5999" spans="1:8" x14ac:dyDescent="0.15">
      <c r="A5999" s="196" t="s">
        <v>11229</v>
      </c>
      <c r="B5999" s="196" t="s">
        <v>11230</v>
      </c>
      <c r="C5999" s="196" t="s">
        <v>25062</v>
      </c>
      <c r="D5999" s="196" t="s">
        <v>25063</v>
      </c>
      <c r="E5999" s="196" t="s">
        <v>25063</v>
      </c>
      <c r="F5999" s="196" t="s">
        <v>11233</v>
      </c>
      <c r="G5999" s="196" t="s">
        <v>12378</v>
      </c>
      <c r="H5999" s="196" t="s">
        <v>11235</v>
      </c>
    </row>
    <row r="6000" spans="1:8" x14ac:dyDescent="0.15">
      <c r="A6000" s="196" t="s">
        <v>11229</v>
      </c>
      <c r="B6000" s="196" t="s">
        <v>11230</v>
      </c>
      <c r="C6000" s="196" t="s">
        <v>25064</v>
      </c>
      <c r="D6000" s="196" t="s">
        <v>25065</v>
      </c>
      <c r="E6000" s="196" t="s">
        <v>25065</v>
      </c>
      <c r="F6000" s="196" t="s">
        <v>11233</v>
      </c>
      <c r="G6000" s="196" t="s">
        <v>12378</v>
      </c>
      <c r="H6000" s="196" t="s">
        <v>11235</v>
      </c>
    </row>
    <row r="6001" spans="1:8" x14ac:dyDescent="0.15">
      <c r="A6001" s="196" t="s">
        <v>11229</v>
      </c>
      <c r="B6001" s="196" t="s">
        <v>11230</v>
      </c>
      <c r="C6001" s="196" t="s">
        <v>25066</v>
      </c>
      <c r="D6001" s="196" t="s">
        <v>25067</v>
      </c>
      <c r="E6001" s="196" t="s">
        <v>25067</v>
      </c>
      <c r="F6001" s="196" t="s">
        <v>11233</v>
      </c>
      <c r="G6001" s="196" t="s">
        <v>12378</v>
      </c>
      <c r="H6001" s="196" t="s">
        <v>11235</v>
      </c>
    </row>
    <row r="6002" spans="1:8" x14ac:dyDescent="0.15">
      <c r="A6002" s="196" t="s">
        <v>11229</v>
      </c>
      <c r="B6002" s="196" t="s">
        <v>11230</v>
      </c>
      <c r="C6002" s="196" t="s">
        <v>25068</v>
      </c>
      <c r="D6002" s="196" t="s">
        <v>25069</v>
      </c>
      <c r="E6002" s="196" t="s">
        <v>25069</v>
      </c>
      <c r="F6002" s="196" t="s">
        <v>11233</v>
      </c>
      <c r="G6002" s="196" t="s">
        <v>12378</v>
      </c>
      <c r="H6002" s="196" t="s">
        <v>11235</v>
      </c>
    </row>
    <row r="6003" spans="1:8" x14ac:dyDescent="0.15">
      <c r="A6003" s="196" t="s">
        <v>11229</v>
      </c>
      <c r="B6003" s="196" t="s">
        <v>11230</v>
      </c>
      <c r="C6003" s="196" t="s">
        <v>25070</v>
      </c>
      <c r="D6003" s="196" t="s">
        <v>25071</v>
      </c>
      <c r="E6003" s="196" t="s">
        <v>25072</v>
      </c>
      <c r="F6003" s="196" t="s">
        <v>11241</v>
      </c>
      <c r="G6003" s="196" t="s">
        <v>12378</v>
      </c>
      <c r="H6003" s="196" t="s">
        <v>11235</v>
      </c>
    </row>
    <row r="6004" spans="1:8" x14ac:dyDescent="0.15">
      <c r="A6004" s="196" t="s">
        <v>11229</v>
      </c>
      <c r="B6004" s="196" t="s">
        <v>11230</v>
      </c>
      <c r="C6004" s="196" t="s">
        <v>25073</v>
      </c>
      <c r="D6004" s="196" t="s">
        <v>25074</v>
      </c>
      <c r="E6004" s="196" t="s">
        <v>25075</v>
      </c>
      <c r="F6004" s="196" t="s">
        <v>11268</v>
      </c>
      <c r="G6004" s="196" t="s">
        <v>12378</v>
      </c>
      <c r="H6004" s="196" t="s">
        <v>11235</v>
      </c>
    </row>
    <row r="6005" spans="1:8" x14ac:dyDescent="0.15">
      <c r="A6005" s="196" t="s">
        <v>11229</v>
      </c>
      <c r="B6005" s="196" t="s">
        <v>11230</v>
      </c>
      <c r="C6005" s="196" t="s">
        <v>25076</v>
      </c>
      <c r="D6005" s="196" t="s">
        <v>25075</v>
      </c>
      <c r="E6005" s="196" t="s">
        <v>25077</v>
      </c>
      <c r="F6005" s="196" t="s">
        <v>11241</v>
      </c>
      <c r="G6005" s="196" t="s">
        <v>12378</v>
      </c>
      <c r="H6005" s="196" t="s">
        <v>11235</v>
      </c>
    </row>
    <row r="6006" spans="1:8" x14ac:dyDescent="0.15">
      <c r="A6006" s="196" t="s">
        <v>11229</v>
      </c>
      <c r="B6006" s="196" t="s">
        <v>11230</v>
      </c>
      <c r="C6006" s="196" t="s">
        <v>25078</v>
      </c>
      <c r="D6006" s="196" t="s">
        <v>25077</v>
      </c>
      <c r="E6006" s="196" t="s">
        <v>25079</v>
      </c>
      <c r="F6006" s="196" t="s">
        <v>11268</v>
      </c>
      <c r="G6006" s="196" t="s">
        <v>12378</v>
      </c>
      <c r="H6006" s="196" t="s">
        <v>11235</v>
      </c>
    </row>
    <row r="6007" spans="1:8" x14ac:dyDescent="0.15">
      <c r="A6007" s="196" t="s">
        <v>11229</v>
      </c>
      <c r="B6007" s="196" t="s">
        <v>11230</v>
      </c>
      <c r="C6007" s="196" t="s">
        <v>25080</v>
      </c>
      <c r="D6007" s="196" t="s">
        <v>25081</v>
      </c>
      <c r="E6007" s="196" t="s">
        <v>25081</v>
      </c>
      <c r="F6007" s="196" t="s">
        <v>11233</v>
      </c>
      <c r="G6007" s="196" t="s">
        <v>12378</v>
      </c>
      <c r="H6007" s="196" t="s">
        <v>11235</v>
      </c>
    </row>
    <row r="6008" spans="1:8" x14ac:dyDescent="0.15">
      <c r="A6008" s="196" t="s">
        <v>11229</v>
      </c>
      <c r="B6008" s="196" t="s">
        <v>11230</v>
      </c>
      <c r="C6008" s="196" t="s">
        <v>25082</v>
      </c>
      <c r="D6008" s="196" t="s">
        <v>25083</v>
      </c>
      <c r="E6008" s="196" t="s">
        <v>25083</v>
      </c>
      <c r="F6008" s="196" t="s">
        <v>11233</v>
      </c>
      <c r="G6008" s="196" t="s">
        <v>12378</v>
      </c>
      <c r="H6008" s="196" t="s">
        <v>11235</v>
      </c>
    </row>
    <row r="6009" spans="1:8" x14ac:dyDescent="0.15">
      <c r="A6009" s="196" t="s">
        <v>11229</v>
      </c>
      <c r="B6009" s="196" t="s">
        <v>11230</v>
      </c>
      <c r="C6009" s="196" t="s">
        <v>25084</v>
      </c>
      <c r="D6009" s="196" t="s">
        <v>25085</v>
      </c>
      <c r="E6009" s="196" t="s">
        <v>25086</v>
      </c>
      <c r="F6009" s="196" t="s">
        <v>13023</v>
      </c>
      <c r="G6009" s="196" t="s">
        <v>12378</v>
      </c>
      <c r="H6009" s="196" t="s">
        <v>11235</v>
      </c>
    </row>
    <row r="6010" spans="1:8" x14ac:dyDescent="0.15">
      <c r="A6010" s="196" t="s">
        <v>11229</v>
      </c>
      <c r="B6010" s="196" t="s">
        <v>11230</v>
      </c>
      <c r="C6010" s="196" t="s">
        <v>25087</v>
      </c>
      <c r="D6010" s="196" t="s">
        <v>25088</v>
      </c>
      <c r="E6010" s="196" t="s">
        <v>25088</v>
      </c>
      <c r="F6010" s="196" t="s">
        <v>11233</v>
      </c>
      <c r="G6010" s="196" t="s">
        <v>12378</v>
      </c>
      <c r="H6010" s="196" t="s">
        <v>11235</v>
      </c>
    </row>
    <row r="6011" spans="1:8" x14ac:dyDescent="0.15">
      <c r="A6011" s="196" t="s">
        <v>11229</v>
      </c>
      <c r="B6011" s="196" t="s">
        <v>11230</v>
      </c>
      <c r="C6011" s="196" t="s">
        <v>25089</v>
      </c>
      <c r="D6011" s="196" t="s">
        <v>25090</v>
      </c>
      <c r="E6011" s="196" t="s">
        <v>25091</v>
      </c>
      <c r="F6011" s="196" t="s">
        <v>13023</v>
      </c>
      <c r="G6011" s="196" t="s">
        <v>12378</v>
      </c>
      <c r="H6011" s="196" t="s">
        <v>11235</v>
      </c>
    </row>
    <row r="6012" spans="1:8" x14ac:dyDescent="0.15">
      <c r="A6012" s="196" t="s">
        <v>11229</v>
      </c>
      <c r="B6012" s="196" t="s">
        <v>11230</v>
      </c>
      <c r="C6012" s="196" t="s">
        <v>25092</v>
      </c>
      <c r="D6012" s="196" t="s">
        <v>25091</v>
      </c>
      <c r="E6012" s="196" t="s">
        <v>25093</v>
      </c>
      <c r="F6012" s="196" t="s">
        <v>11241</v>
      </c>
      <c r="G6012" s="196" t="s">
        <v>12378</v>
      </c>
      <c r="H6012" s="196" t="s">
        <v>11235</v>
      </c>
    </row>
    <row r="6013" spans="1:8" x14ac:dyDescent="0.15">
      <c r="A6013" s="196" t="s">
        <v>11229</v>
      </c>
      <c r="B6013" s="196" t="s">
        <v>11230</v>
      </c>
      <c r="C6013" s="196" t="s">
        <v>25094</v>
      </c>
      <c r="D6013" s="196" t="s">
        <v>25095</v>
      </c>
      <c r="E6013" s="196" t="s">
        <v>25095</v>
      </c>
      <c r="F6013" s="196" t="s">
        <v>11233</v>
      </c>
      <c r="G6013" s="196" t="s">
        <v>12378</v>
      </c>
      <c r="H6013" s="196" t="s">
        <v>11235</v>
      </c>
    </row>
    <row r="6014" spans="1:8" x14ac:dyDescent="0.15">
      <c r="A6014" s="196" t="s">
        <v>11229</v>
      </c>
      <c r="B6014" s="196" t="s">
        <v>11230</v>
      </c>
      <c r="C6014" s="196" t="s">
        <v>25096</v>
      </c>
      <c r="D6014" s="196" t="s">
        <v>25097</v>
      </c>
      <c r="E6014" s="196" t="s">
        <v>25098</v>
      </c>
      <c r="F6014" s="196" t="s">
        <v>25099</v>
      </c>
      <c r="G6014" s="196" t="s">
        <v>11720</v>
      </c>
      <c r="H6014" s="196" t="s">
        <v>11235</v>
      </c>
    </row>
    <row r="6015" spans="1:8" x14ac:dyDescent="0.15">
      <c r="A6015" s="196" t="s">
        <v>11229</v>
      </c>
      <c r="B6015" s="196" t="s">
        <v>11230</v>
      </c>
      <c r="C6015" s="196" t="s">
        <v>25100</v>
      </c>
      <c r="D6015" s="196" t="s">
        <v>25101</v>
      </c>
      <c r="E6015" s="196" t="s">
        <v>25102</v>
      </c>
      <c r="F6015" s="196" t="s">
        <v>25103</v>
      </c>
      <c r="G6015" s="196" t="s">
        <v>12378</v>
      </c>
      <c r="H6015" s="196" t="s">
        <v>11235</v>
      </c>
    </row>
    <row r="6016" spans="1:8" x14ac:dyDescent="0.15">
      <c r="A6016" s="196" t="s">
        <v>11229</v>
      </c>
      <c r="B6016" s="196" t="s">
        <v>11230</v>
      </c>
      <c r="C6016" s="196" t="s">
        <v>25104</v>
      </c>
      <c r="D6016" s="196" t="s">
        <v>25105</v>
      </c>
      <c r="E6016" s="196" t="s">
        <v>25105</v>
      </c>
      <c r="F6016" s="196" t="s">
        <v>11233</v>
      </c>
      <c r="G6016" s="196" t="s">
        <v>12378</v>
      </c>
      <c r="H6016" s="196" t="s">
        <v>11235</v>
      </c>
    </row>
    <row r="6017" spans="1:8" x14ac:dyDescent="0.15">
      <c r="A6017" s="196" t="s">
        <v>11229</v>
      </c>
      <c r="B6017" s="196" t="s">
        <v>11230</v>
      </c>
      <c r="C6017" s="196" t="s">
        <v>25106</v>
      </c>
      <c r="D6017" s="196" t="s">
        <v>25107</v>
      </c>
      <c r="E6017" s="196" t="s">
        <v>25107</v>
      </c>
      <c r="F6017" s="196" t="s">
        <v>11233</v>
      </c>
      <c r="G6017" s="196" t="s">
        <v>12378</v>
      </c>
      <c r="H6017" s="196" t="s">
        <v>11235</v>
      </c>
    </row>
    <row r="6018" spans="1:8" x14ac:dyDescent="0.15">
      <c r="A6018" s="196" t="s">
        <v>11229</v>
      </c>
      <c r="B6018" s="196" t="s">
        <v>11230</v>
      </c>
      <c r="C6018" s="196" t="s">
        <v>25108</v>
      </c>
      <c r="D6018" s="196" t="s">
        <v>25109</v>
      </c>
      <c r="E6018" s="196" t="s">
        <v>25109</v>
      </c>
      <c r="F6018" s="196" t="s">
        <v>11233</v>
      </c>
      <c r="G6018" s="196" t="s">
        <v>12378</v>
      </c>
      <c r="H6018" s="196" t="s">
        <v>11235</v>
      </c>
    </row>
    <row r="6019" spans="1:8" x14ac:dyDescent="0.15">
      <c r="A6019" s="196" t="s">
        <v>11229</v>
      </c>
      <c r="B6019" s="196" t="s">
        <v>11230</v>
      </c>
      <c r="C6019" s="196" t="s">
        <v>25110</v>
      </c>
      <c r="D6019" s="196" t="s">
        <v>25111</v>
      </c>
      <c r="E6019" s="196" t="s">
        <v>25111</v>
      </c>
      <c r="F6019" s="196" t="s">
        <v>11233</v>
      </c>
      <c r="G6019" s="196" t="s">
        <v>12378</v>
      </c>
      <c r="H6019" s="196" t="s">
        <v>11235</v>
      </c>
    </row>
    <row r="6020" spans="1:8" x14ac:dyDescent="0.15">
      <c r="A6020" s="196" t="s">
        <v>11229</v>
      </c>
      <c r="B6020" s="196" t="s">
        <v>11230</v>
      </c>
      <c r="C6020" s="196" t="s">
        <v>25112</v>
      </c>
      <c r="D6020" s="196" t="s">
        <v>25113</v>
      </c>
      <c r="E6020" s="196" t="s">
        <v>25113</v>
      </c>
      <c r="F6020" s="196" t="s">
        <v>11233</v>
      </c>
      <c r="G6020" s="196" t="s">
        <v>12378</v>
      </c>
      <c r="H6020" s="196" t="s">
        <v>11235</v>
      </c>
    </row>
    <row r="6021" spans="1:8" x14ac:dyDescent="0.15">
      <c r="A6021" s="196" t="s">
        <v>11229</v>
      </c>
      <c r="B6021" s="196" t="s">
        <v>11230</v>
      </c>
      <c r="C6021" s="196" t="s">
        <v>25114</v>
      </c>
      <c r="D6021" s="196" t="s">
        <v>25115</v>
      </c>
      <c r="E6021" s="196" t="s">
        <v>25115</v>
      </c>
      <c r="F6021" s="196" t="s">
        <v>11233</v>
      </c>
      <c r="G6021" s="196" t="s">
        <v>12378</v>
      </c>
      <c r="H6021" s="196" t="s">
        <v>11235</v>
      </c>
    </row>
    <row r="6022" spans="1:8" x14ac:dyDescent="0.15">
      <c r="A6022" s="196" t="s">
        <v>11229</v>
      </c>
      <c r="B6022" s="196" t="s">
        <v>11230</v>
      </c>
      <c r="C6022" s="196" t="s">
        <v>25116</v>
      </c>
      <c r="D6022" s="196" t="s">
        <v>25117</v>
      </c>
      <c r="E6022" s="196" t="s">
        <v>25117</v>
      </c>
      <c r="F6022" s="196" t="s">
        <v>11233</v>
      </c>
      <c r="G6022" s="196" t="s">
        <v>12378</v>
      </c>
      <c r="H6022" s="196" t="s">
        <v>11235</v>
      </c>
    </row>
    <row r="6023" spans="1:8" x14ac:dyDescent="0.15">
      <c r="A6023" s="196" t="s">
        <v>11229</v>
      </c>
      <c r="B6023" s="196" t="s">
        <v>11230</v>
      </c>
      <c r="C6023" s="196" t="s">
        <v>25118</v>
      </c>
      <c r="D6023" s="196" t="s">
        <v>25119</v>
      </c>
      <c r="E6023" s="196" t="s">
        <v>25119</v>
      </c>
      <c r="F6023" s="196" t="s">
        <v>11233</v>
      </c>
      <c r="G6023" s="196" t="s">
        <v>12378</v>
      </c>
      <c r="H6023" s="196" t="s">
        <v>11235</v>
      </c>
    </row>
    <row r="6024" spans="1:8" x14ac:dyDescent="0.15">
      <c r="A6024" s="196" t="s">
        <v>11229</v>
      </c>
      <c r="B6024" s="196" t="s">
        <v>11230</v>
      </c>
      <c r="C6024" s="196" t="s">
        <v>25120</v>
      </c>
      <c r="D6024" s="196" t="s">
        <v>25121</v>
      </c>
      <c r="E6024" s="196" t="s">
        <v>25121</v>
      </c>
      <c r="F6024" s="196" t="s">
        <v>11233</v>
      </c>
      <c r="G6024" s="196" t="s">
        <v>12378</v>
      </c>
      <c r="H6024" s="196" t="s">
        <v>11235</v>
      </c>
    </row>
    <row r="6025" spans="1:8" x14ac:dyDescent="0.15">
      <c r="A6025" s="196" t="s">
        <v>11229</v>
      </c>
      <c r="B6025" s="196" t="s">
        <v>11230</v>
      </c>
      <c r="C6025" s="196" t="s">
        <v>25122</v>
      </c>
      <c r="D6025" s="196" t="s">
        <v>25123</v>
      </c>
      <c r="E6025" s="196" t="s">
        <v>25123</v>
      </c>
      <c r="F6025" s="196" t="s">
        <v>11233</v>
      </c>
      <c r="G6025" s="196" t="s">
        <v>12378</v>
      </c>
      <c r="H6025" s="196" t="s">
        <v>11235</v>
      </c>
    </row>
    <row r="6026" spans="1:8" x14ac:dyDescent="0.15">
      <c r="A6026" s="196" t="s">
        <v>11229</v>
      </c>
      <c r="B6026" s="196" t="s">
        <v>11230</v>
      </c>
      <c r="C6026" s="196" t="s">
        <v>25124</v>
      </c>
      <c r="D6026" s="196" t="s">
        <v>25125</v>
      </c>
      <c r="E6026" s="196" t="s">
        <v>25126</v>
      </c>
      <c r="F6026" s="196" t="s">
        <v>11241</v>
      </c>
      <c r="G6026" s="196" t="s">
        <v>12378</v>
      </c>
      <c r="H6026" s="196" t="s">
        <v>11235</v>
      </c>
    </row>
    <row r="6027" spans="1:8" x14ac:dyDescent="0.15">
      <c r="A6027" s="196" t="s">
        <v>11229</v>
      </c>
      <c r="B6027" s="196" t="s">
        <v>11230</v>
      </c>
      <c r="C6027" s="196" t="s">
        <v>25127</v>
      </c>
      <c r="D6027" s="196" t="s">
        <v>25125</v>
      </c>
      <c r="E6027" s="196" t="s">
        <v>25125</v>
      </c>
      <c r="F6027" s="196" t="s">
        <v>11233</v>
      </c>
      <c r="G6027" s="196" t="s">
        <v>12378</v>
      </c>
      <c r="H6027" s="196" t="s">
        <v>11235</v>
      </c>
    </row>
    <row r="6028" spans="1:8" x14ac:dyDescent="0.15">
      <c r="A6028" s="196" t="s">
        <v>11229</v>
      </c>
      <c r="B6028" s="196" t="s">
        <v>11230</v>
      </c>
      <c r="C6028" s="196" t="s">
        <v>25128</v>
      </c>
      <c r="D6028" s="196" t="s">
        <v>25126</v>
      </c>
      <c r="E6028" s="196" t="s">
        <v>25129</v>
      </c>
      <c r="F6028" s="196" t="s">
        <v>11268</v>
      </c>
      <c r="G6028" s="196" t="s">
        <v>12378</v>
      </c>
      <c r="H6028" s="196" t="s">
        <v>11235</v>
      </c>
    </row>
    <row r="6029" spans="1:8" x14ac:dyDescent="0.15">
      <c r="A6029" s="196" t="s">
        <v>11229</v>
      </c>
      <c r="B6029" s="196" t="s">
        <v>11230</v>
      </c>
      <c r="C6029" s="196" t="s">
        <v>25130</v>
      </c>
      <c r="D6029" s="196" t="s">
        <v>25129</v>
      </c>
      <c r="E6029" s="196" t="s">
        <v>25131</v>
      </c>
      <c r="F6029" s="196" t="s">
        <v>11241</v>
      </c>
      <c r="G6029" s="196" t="s">
        <v>12378</v>
      </c>
      <c r="H6029" s="196" t="s">
        <v>11235</v>
      </c>
    </row>
    <row r="6030" spans="1:8" x14ac:dyDescent="0.15">
      <c r="A6030" s="196" t="s">
        <v>11229</v>
      </c>
      <c r="B6030" s="196" t="s">
        <v>11230</v>
      </c>
      <c r="C6030" s="196" t="s">
        <v>25132</v>
      </c>
      <c r="D6030" s="196" t="s">
        <v>25131</v>
      </c>
      <c r="E6030" s="196" t="s">
        <v>25133</v>
      </c>
      <c r="F6030" s="196" t="s">
        <v>11241</v>
      </c>
      <c r="G6030" s="196" t="s">
        <v>12378</v>
      </c>
      <c r="H6030" s="196" t="s">
        <v>11235</v>
      </c>
    </row>
    <row r="6031" spans="1:8" x14ac:dyDescent="0.15">
      <c r="A6031" s="196" t="s">
        <v>11229</v>
      </c>
      <c r="B6031" s="196" t="s">
        <v>11230</v>
      </c>
      <c r="C6031" s="196" t="s">
        <v>25134</v>
      </c>
      <c r="D6031" s="196" t="s">
        <v>25135</v>
      </c>
      <c r="E6031" s="196" t="s">
        <v>25136</v>
      </c>
      <c r="F6031" s="196" t="s">
        <v>15961</v>
      </c>
      <c r="G6031" s="196" t="s">
        <v>12378</v>
      </c>
      <c r="H6031" s="196" t="s">
        <v>11235</v>
      </c>
    </row>
    <row r="6032" spans="1:8" x14ac:dyDescent="0.15">
      <c r="A6032" s="196" t="s">
        <v>11229</v>
      </c>
      <c r="B6032" s="196" t="s">
        <v>11230</v>
      </c>
      <c r="C6032" s="196" t="s">
        <v>25137</v>
      </c>
      <c r="D6032" s="196" t="s">
        <v>25138</v>
      </c>
      <c r="E6032" s="196" t="s">
        <v>25139</v>
      </c>
      <c r="F6032" s="196" t="s">
        <v>25140</v>
      </c>
      <c r="G6032" s="196" t="s">
        <v>11720</v>
      </c>
      <c r="H6032" s="196" t="s">
        <v>11235</v>
      </c>
    </row>
    <row r="6033" spans="1:8" x14ac:dyDescent="0.15">
      <c r="A6033" s="196" t="s">
        <v>11229</v>
      </c>
      <c r="B6033" s="196" t="s">
        <v>11230</v>
      </c>
      <c r="C6033" s="196" t="s">
        <v>25141</v>
      </c>
      <c r="D6033" s="196" t="s">
        <v>25138</v>
      </c>
      <c r="E6033" s="196" t="s">
        <v>25138</v>
      </c>
      <c r="F6033" s="196" t="s">
        <v>11233</v>
      </c>
      <c r="G6033" s="196" t="s">
        <v>12378</v>
      </c>
      <c r="H6033" s="196" t="s">
        <v>11235</v>
      </c>
    </row>
    <row r="6034" spans="1:8" x14ac:dyDescent="0.15">
      <c r="A6034" s="196" t="s">
        <v>11229</v>
      </c>
      <c r="B6034" s="196" t="s">
        <v>11230</v>
      </c>
      <c r="C6034" s="196" t="s">
        <v>25142</v>
      </c>
      <c r="D6034" s="196" t="s">
        <v>25143</v>
      </c>
      <c r="E6034" s="196" t="s">
        <v>25143</v>
      </c>
      <c r="F6034" s="196" t="s">
        <v>11233</v>
      </c>
      <c r="G6034" s="196" t="s">
        <v>12378</v>
      </c>
      <c r="H6034" s="196" t="s">
        <v>11235</v>
      </c>
    </row>
    <row r="6035" spans="1:8" x14ac:dyDescent="0.15">
      <c r="A6035" s="196" t="s">
        <v>11229</v>
      </c>
      <c r="B6035" s="196" t="s">
        <v>11230</v>
      </c>
      <c r="C6035" s="196" t="s">
        <v>25144</v>
      </c>
      <c r="D6035" s="196" t="s">
        <v>25145</v>
      </c>
      <c r="E6035" s="196" t="s">
        <v>25145</v>
      </c>
      <c r="F6035" s="196" t="s">
        <v>11233</v>
      </c>
      <c r="G6035" s="196" t="s">
        <v>12378</v>
      </c>
      <c r="H6035" s="196" t="s">
        <v>11235</v>
      </c>
    </row>
    <row r="6036" spans="1:8" x14ac:dyDescent="0.15">
      <c r="A6036" s="196" t="s">
        <v>11229</v>
      </c>
      <c r="B6036" s="196" t="s">
        <v>11230</v>
      </c>
      <c r="C6036" s="196" t="s">
        <v>25146</v>
      </c>
      <c r="D6036" s="196" t="s">
        <v>25147</v>
      </c>
      <c r="E6036" s="196" t="s">
        <v>25147</v>
      </c>
      <c r="F6036" s="196" t="s">
        <v>11233</v>
      </c>
      <c r="G6036" s="196" t="s">
        <v>12378</v>
      </c>
      <c r="H6036" s="196" t="s">
        <v>11235</v>
      </c>
    </row>
    <row r="6037" spans="1:8" x14ac:dyDescent="0.15">
      <c r="A6037" s="196" t="s">
        <v>11229</v>
      </c>
      <c r="B6037" s="196" t="s">
        <v>11230</v>
      </c>
      <c r="C6037" s="196" t="s">
        <v>25148</v>
      </c>
      <c r="D6037" s="196" t="s">
        <v>25149</v>
      </c>
      <c r="E6037" s="196" t="s">
        <v>25149</v>
      </c>
      <c r="F6037" s="196" t="s">
        <v>11233</v>
      </c>
      <c r="G6037" s="196" t="s">
        <v>12378</v>
      </c>
      <c r="H6037" s="196" t="s">
        <v>11235</v>
      </c>
    </row>
    <row r="6038" spans="1:8" x14ac:dyDescent="0.15">
      <c r="A6038" s="196" t="s">
        <v>11229</v>
      </c>
      <c r="B6038" s="196" t="s">
        <v>11230</v>
      </c>
      <c r="C6038" s="196" t="s">
        <v>25150</v>
      </c>
      <c r="D6038" s="196" t="s">
        <v>25151</v>
      </c>
      <c r="E6038" s="196" t="s">
        <v>25151</v>
      </c>
      <c r="F6038" s="196" t="s">
        <v>11233</v>
      </c>
      <c r="G6038" s="196" t="s">
        <v>12378</v>
      </c>
      <c r="H6038" s="196" t="s">
        <v>11235</v>
      </c>
    </row>
    <row r="6039" spans="1:8" x14ac:dyDescent="0.15">
      <c r="A6039" s="196" t="s">
        <v>11229</v>
      </c>
      <c r="B6039" s="196" t="s">
        <v>11230</v>
      </c>
      <c r="C6039" s="196" t="s">
        <v>25152</v>
      </c>
      <c r="D6039" s="196" t="s">
        <v>25153</v>
      </c>
      <c r="E6039" s="196" t="s">
        <v>25153</v>
      </c>
      <c r="F6039" s="196" t="s">
        <v>11233</v>
      </c>
      <c r="G6039" s="196" t="s">
        <v>12378</v>
      </c>
      <c r="H6039" s="196" t="s">
        <v>11235</v>
      </c>
    </row>
    <row r="6040" spans="1:8" x14ac:dyDescent="0.15">
      <c r="A6040" s="196" t="s">
        <v>11229</v>
      </c>
      <c r="B6040" s="196" t="s">
        <v>11230</v>
      </c>
      <c r="C6040" s="196" t="s">
        <v>25154</v>
      </c>
      <c r="D6040" s="196" t="s">
        <v>25155</v>
      </c>
      <c r="E6040" s="196" t="s">
        <v>25156</v>
      </c>
      <c r="F6040" s="196" t="s">
        <v>19128</v>
      </c>
      <c r="G6040" s="196" t="s">
        <v>12378</v>
      </c>
      <c r="H6040" s="196" t="s">
        <v>11235</v>
      </c>
    </row>
    <row r="6041" spans="1:8" x14ac:dyDescent="0.15">
      <c r="A6041" s="196" t="s">
        <v>11229</v>
      </c>
      <c r="B6041" s="196" t="s">
        <v>11230</v>
      </c>
      <c r="C6041" s="196" t="s">
        <v>25157</v>
      </c>
      <c r="D6041" s="196" t="s">
        <v>25158</v>
      </c>
      <c r="E6041" s="196" t="s">
        <v>25158</v>
      </c>
      <c r="F6041" s="196" t="s">
        <v>11233</v>
      </c>
      <c r="G6041" s="196" t="s">
        <v>12378</v>
      </c>
      <c r="H6041" s="196" t="s">
        <v>11235</v>
      </c>
    </row>
    <row r="6042" spans="1:8" x14ac:dyDescent="0.15">
      <c r="A6042" s="196" t="s">
        <v>11229</v>
      </c>
      <c r="B6042" s="196" t="s">
        <v>11230</v>
      </c>
      <c r="C6042" s="196" t="s">
        <v>25159</v>
      </c>
      <c r="D6042" s="196" t="s">
        <v>25160</v>
      </c>
      <c r="E6042" s="196" t="s">
        <v>25161</v>
      </c>
      <c r="F6042" s="196" t="s">
        <v>13023</v>
      </c>
      <c r="G6042" s="196" t="s">
        <v>12378</v>
      </c>
      <c r="H6042" s="196" t="s">
        <v>11235</v>
      </c>
    </row>
    <row r="6043" spans="1:8" x14ac:dyDescent="0.15">
      <c r="A6043" s="196" t="s">
        <v>11229</v>
      </c>
      <c r="B6043" s="196" t="s">
        <v>11230</v>
      </c>
      <c r="C6043" s="196" t="s">
        <v>25162</v>
      </c>
      <c r="D6043" s="196" t="s">
        <v>25163</v>
      </c>
      <c r="E6043" s="196" t="s">
        <v>25163</v>
      </c>
      <c r="F6043" s="196" t="s">
        <v>11233</v>
      </c>
      <c r="G6043" s="196" t="s">
        <v>12378</v>
      </c>
      <c r="H6043" s="196" t="s">
        <v>11235</v>
      </c>
    </row>
    <row r="6044" spans="1:8" x14ac:dyDescent="0.15">
      <c r="A6044" s="196" t="s">
        <v>11229</v>
      </c>
      <c r="B6044" s="196" t="s">
        <v>11230</v>
      </c>
      <c r="C6044" s="196" t="s">
        <v>25164</v>
      </c>
      <c r="D6044" s="196" t="s">
        <v>25165</v>
      </c>
      <c r="E6044" s="196" t="s">
        <v>25165</v>
      </c>
      <c r="F6044" s="196" t="s">
        <v>11233</v>
      </c>
      <c r="G6044" s="196" t="s">
        <v>12378</v>
      </c>
      <c r="H6044" s="196" t="s">
        <v>11235</v>
      </c>
    </row>
    <row r="6045" spans="1:8" x14ac:dyDescent="0.15">
      <c r="A6045" s="196" t="s">
        <v>11229</v>
      </c>
      <c r="B6045" s="196" t="s">
        <v>11230</v>
      </c>
      <c r="C6045" s="196" t="s">
        <v>25166</v>
      </c>
      <c r="D6045" s="196" t="s">
        <v>25167</v>
      </c>
      <c r="E6045" s="196" t="s">
        <v>25167</v>
      </c>
      <c r="F6045" s="196" t="s">
        <v>11233</v>
      </c>
      <c r="G6045" s="196" t="s">
        <v>12378</v>
      </c>
      <c r="H6045" s="196" t="s">
        <v>11235</v>
      </c>
    </row>
    <row r="6046" spans="1:8" x14ac:dyDescent="0.15">
      <c r="A6046" s="196" t="s">
        <v>11229</v>
      </c>
      <c r="B6046" s="196" t="s">
        <v>11230</v>
      </c>
      <c r="C6046" s="196" t="s">
        <v>25168</v>
      </c>
      <c r="D6046" s="196" t="s">
        <v>25169</v>
      </c>
      <c r="E6046" s="196" t="s">
        <v>25169</v>
      </c>
      <c r="F6046" s="196" t="s">
        <v>11233</v>
      </c>
      <c r="G6046" s="196" t="s">
        <v>12378</v>
      </c>
      <c r="H6046" s="196" t="s">
        <v>11235</v>
      </c>
    </row>
    <row r="6047" spans="1:8" x14ac:dyDescent="0.15">
      <c r="A6047" s="196" t="s">
        <v>11229</v>
      </c>
      <c r="B6047" s="196" t="s">
        <v>11230</v>
      </c>
      <c r="C6047" s="196" t="s">
        <v>25170</v>
      </c>
      <c r="D6047" s="196" t="s">
        <v>25171</v>
      </c>
      <c r="E6047" s="196" t="s">
        <v>25171</v>
      </c>
      <c r="F6047" s="196" t="s">
        <v>11233</v>
      </c>
      <c r="G6047" s="196" t="s">
        <v>12378</v>
      </c>
      <c r="H6047" s="196" t="s">
        <v>11235</v>
      </c>
    </row>
    <row r="6048" spans="1:8" x14ac:dyDescent="0.15">
      <c r="A6048" s="196" t="s">
        <v>11229</v>
      </c>
      <c r="B6048" s="196" t="s">
        <v>11230</v>
      </c>
      <c r="C6048" s="196" t="s">
        <v>25172</v>
      </c>
      <c r="D6048" s="196" t="s">
        <v>25173</v>
      </c>
      <c r="E6048" s="196" t="s">
        <v>25174</v>
      </c>
      <c r="F6048" s="196" t="s">
        <v>25175</v>
      </c>
      <c r="G6048" s="196" t="s">
        <v>11720</v>
      </c>
      <c r="H6048" s="196" t="s">
        <v>11235</v>
      </c>
    </row>
    <row r="6049" spans="1:8" x14ac:dyDescent="0.15">
      <c r="A6049" s="196" t="s">
        <v>11229</v>
      </c>
      <c r="B6049" s="196" t="s">
        <v>11230</v>
      </c>
      <c r="C6049" s="196" t="s">
        <v>25176</v>
      </c>
      <c r="D6049" s="196" t="s">
        <v>25177</v>
      </c>
      <c r="E6049" s="196" t="s">
        <v>25177</v>
      </c>
      <c r="F6049" s="196" t="s">
        <v>11233</v>
      </c>
      <c r="G6049" s="196" t="s">
        <v>12378</v>
      </c>
      <c r="H6049" s="196" t="s">
        <v>11235</v>
      </c>
    </row>
    <row r="6050" spans="1:8" x14ac:dyDescent="0.15">
      <c r="A6050" s="196" t="s">
        <v>11229</v>
      </c>
      <c r="B6050" s="196" t="s">
        <v>11230</v>
      </c>
      <c r="C6050" s="196" t="s">
        <v>25178</v>
      </c>
      <c r="D6050" s="196" t="s">
        <v>25179</v>
      </c>
      <c r="E6050" s="196" t="s">
        <v>25179</v>
      </c>
      <c r="F6050" s="196" t="s">
        <v>11233</v>
      </c>
      <c r="G6050" s="196" t="s">
        <v>12378</v>
      </c>
      <c r="H6050" s="196" t="s">
        <v>11235</v>
      </c>
    </row>
    <row r="6051" spans="1:8" x14ac:dyDescent="0.15">
      <c r="A6051" s="196" t="s">
        <v>11229</v>
      </c>
      <c r="B6051" s="196" t="s">
        <v>11230</v>
      </c>
      <c r="C6051" s="196" t="s">
        <v>25180</v>
      </c>
      <c r="D6051" s="196" t="s">
        <v>25181</v>
      </c>
      <c r="E6051" s="196" t="s">
        <v>25181</v>
      </c>
      <c r="F6051" s="196" t="s">
        <v>11233</v>
      </c>
      <c r="G6051" s="196" t="s">
        <v>12378</v>
      </c>
      <c r="H6051" s="196" t="s">
        <v>11235</v>
      </c>
    </row>
    <row r="6052" spans="1:8" x14ac:dyDescent="0.15">
      <c r="A6052" s="196" t="s">
        <v>11229</v>
      </c>
      <c r="B6052" s="196" t="s">
        <v>11230</v>
      </c>
      <c r="C6052" s="196" t="s">
        <v>25182</v>
      </c>
      <c r="D6052" s="196" t="s">
        <v>25183</v>
      </c>
      <c r="E6052" s="196" t="s">
        <v>25183</v>
      </c>
      <c r="F6052" s="196" t="s">
        <v>11233</v>
      </c>
      <c r="G6052" s="196" t="s">
        <v>12378</v>
      </c>
      <c r="H6052" s="196" t="s">
        <v>11235</v>
      </c>
    </row>
    <row r="6053" spans="1:8" x14ac:dyDescent="0.15">
      <c r="A6053" s="196" t="s">
        <v>11229</v>
      </c>
      <c r="B6053" s="196" t="s">
        <v>11230</v>
      </c>
      <c r="C6053" s="196" t="s">
        <v>25184</v>
      </c>
      <c r="D6053" s="196" t="s">
        <v>25185</v>
      </c>
      <c r="E6053" s="196" t="s">
        <v>25185</v>
      </c>
      <c r="F6053" s="196" t="s">
        <v>11233</v>
      </c>
      <c r="G6053" s="196" t="s">
        <v>12378</v>
      </c>
      <c r="H6053" s="196" t="s">
        <v>11235</v>
      </c>
    </row>
    <row r="6054" spans="1:8" x14ac:dyDescent="0.15">
      <c r="A6054" s="196" t="s">
        <v>11229</v>
      </c>
      <c r="B6054" s="196" t="s">
        <v>11230</v>
      </c>
      <c r="C6054" s="196" t="s">
        <v>25186</v>
      </c>
      <c r="D6054" s="196" t="s">
        <v>25187</v>
      </c>
      <c r="E6054" s="196" t="s">
        <v>25187</v>
      </c>
      <c r="F6054" s="196" t="s">
        <v>11233</v>
      </c>
      <c r="G6054" s="196" t="s">
        <v>12378</v>
      </c>
      <c r="H6054" s="196" t="s">
        <v>11235</v>
      </c>
    </row>
    <row r="6055" spans="1:8" x14ac:dyDescent="0.15">
      <c r="A6055" s="196" t="s">
        <v>11229</v>
      </c>
      <c r="B6055" s="196" t="s">
        <v>11230</v>
      </c>
      <c r="C6055" s="196" t="s">
        <v>25188</v>
      </c>
      <c r="D6055" s="196" t="s">
        <v>25189</v>
      </c>
      <c r="E6055" s="196" t="s">
        <v>25189</v>
      </c>
      <c r="F6055" s="196" t="s">
        <v>11233</v>
      </c>
      <c r="G6055" s="196" t="s">
        <v>12378</v>
      </c>
      <c r="H6055" s="196" t="s">
        <v>11235</v>
      </c>
    </row>
    <row r="6056" spans="1:8" x14ac:dyDescent="0.15">
      <c r="A6056" s="196" t="s">
        <v>11229</v>
      </c>
      <c r="B6056" s="196" t="s">
        <v>11230</v>
      </c>
      <c r="C6056" s="196" t="s">
        <v>25190</v>
      </c>
      <c r="D6056" s="196" t="s">
        <v>25191</v>
      </c>
      <c r="E6056" s="196" t="s">
        <v>25192</v>
      </c>
      <c r="F6056" s="196" t="s">
        <v>11268</v>
      </c>
      <c r="G6056" s="196" t="s">
        <v>12378</v>
      </c>
      <c r="H6056" s="196" t="s">
        <v>11235</v>
      </c>
    </row>
    <row r="6057" spans="1:8" x14ac:dyDescent="0.15">
      <c r="A6057" s="196" t="s">
        <v>11229</v>
      </c>
      <c r="B6057" s="196" t="s">
        <v>11230</v>
      </c>
      <c r="C6057" s="196" t="s">
        <v>25193</v>
      </c>
      <c r="D6057" s="196" t="s">
        <v>25194</v>
      </c>
      <c r="E6057" s="196" t="s">
        <v>25194</v>
      </c>
      <c r="F6057" s="196" t="s">
        <v>11233</v>
      </c>
      <c r="G6057" s="196" t="s">
        <v>12378</v>
      </c>
      <c r="H6057" s="196" t="s">
        <v>11235</v>
      </c>
    </row>
    <row r="6058" spans="1:8" x14ac:dyDescent="0.15">
      <c r="A6058" s="196" t="s">
        <v>11229</v>
      </c>
      <c r="B6058" s="196" t="s">
        <v>11230</v>
      </c>
      <c r="C6058" s="196" t="s">
        <v>25195</v>
      </c>
      <c r="D6058" s="196" t="s">
        <v>25196</v>
      </c>
      <c r="E6058" s="196" t="s">
        <v>25197</v>
      </c>
      <c r="F6058" s="196" t="s">
        <v>11241</v>
      </c>
      <c r="G6058" s="196" t="s">
        <v>12378</v>
      </c>
      <c r="H6058" s="196" t="s">
        <v>11235</v>
      </c>
    </row>
    <row r="6059" spans="1:8" x14ac:dyDescent="0.15">
      <c r="A6059" s="196" t="s">
        <v>11229</v>
      </c>
      <c r="B6059" s="196" t="s">
        <v>11230</v>
      </c>
      <c r="C6059" s="196" t="s">
        <v>25198</v>
      </c>
      <c r="D6059" s="196" t="s">
        <v>25197</v>
      </c>
      <c r="E6059" s="196" t="s">
        <v>25199</v>
      </c>
      <c r="F6059" s="196" t="s">
        <v>11241</v>
      </c>
      <c r="G6059" s="196" t="s">
        <v>12378</v>
      </c>
      <c r="H6059" s="196" t="s">
        <v>11235</v>
      </c>
    </row>
    <row r="6060" spans="1:8" x14ac:dyDescent="0.15">
      <c r="A6060" s="196" t="s">
        <v>11229</v>
      </c>
      <c r="B6060" s="196" t="s">
        <v>11230</v>
      </c>
      <c r="C6060" s="196" t="s">
        <v>25200</v>
      </c>
      <c r="D6060" s="196" t="s">
        <v>25201</v>
      </c>
      <c r="E6060" s="196" t="s">
        <v>25202</v>
      </c>
      <c r="F6060" s="196" t="s">
        <v>11268</v>
      </c>
      <c r="G6060" s="196" t="s">
        <v>12378</v>
      </c>
      <c r="H6060" s="196" t="s">
        <v>11235</v>
      </c>
    </row>
    <row r="6061" spans="1:8" x14ac:dyDescent="0.15">
      <c r="A6061" s="196" t="s">
        <v>11229</v>
      </c>
      <c r="B6061" s="196" t="s">
        <v>11230</v>
      </c>
      <c r="C6061" s="196" t="s">
        <v>25203</v>
      </c>
      <c r="D6061" s="196" t="s">
        <v>25174</v>
      </c>
      <c r="E6061" s="196" t="s">
        <v>25174</v>
      </c>
      <c r="F6061" s="196" t="s">
        <v>11233</v>
      </c>
      <c r="G6061" s="196" t="s">
        <v>12378</v>
      </c>
      <c r="H6061" s="196" t="s">
        <v>11235</v>
      </c>
    </row>
    <row r="6062" spans="1:8" x14ac:dyDescent="0.15">
      <c r="A6062" s="196" t="s">
        <v>11229</v>
      </c>
      <c r="B6062" s="196" t="s">
        <v>11230</v>
      </c>
      <c r="C6062" s="196" t="s">
        <v>25204</v>
      </c>
      <c r="D6062" s="196" t="s">
        <v>25205</v>
      </c>
      <c r="E6062" s="196" t="s">
        <v>25205</v>
      </c>
      <c r="F6062" s="196" t="s">
        <v>11233</v>
      </c>
      <c r="G6062" s="196" t="s">
        <v>12378</v>
      </c>
      <c r="H6062" s="196" t="s">
        <v>11235</v>
      </c>
    </row>
    <row r="6063" spans="1:8" x14ac:dyDescent="0.15">
      <c r="A6063" s="196" t="s">
        <v>11229</v>
      </c>
      <c r="B6063" s="196" t="s">
        <v>11230</v>
      </c>
      <c r="C6063" s="196" t="s">
        <v>25206</v>
      </c>
      <c r="D6063" s="196" t="s">
        <v>25207</v>
      </c>
      <c r="E6063" s="196" t="s">
        <v>25207</v>
      </c>
      <c r="F6063" s="196" t="s">
        <v>11233</v>
      </c>
      <c r="G6063" s="196" t="s">
        <v>12378</v>
      </c>
      <c r="H6063" s="196" t="s">
        <v>11235</v>
      </c>
    </row>
    <row r="6064" spans="1:8" x14ac:dyDescent="0.15">
      <c r="A6064" s="196" t="s">
        <v>11229</v>
      </c>
      <c r="B6064" s="196" t="s">
        <v>11230</v>
      </c>
      <c r="C6064" s="196" t="s">
        <v>25208</v>
      </c>
      <c r="D6064" s="196" t="s">
        <v>25209</v>
      </c>
      <c r="E6064" s="196" t="s">
        <v>25210</v>
      </c>
      <c r="F6064" s="196" t="s">
        <v>11268</v>
      </c>
      <c r="G6064" s="196" t="s">
        <v>11720</v>
      </c>
      <c r="H6064" s="196" t="s">
        <v>11235</v>
      </c>
    </row>
    <row r="6065" spans="1:8" x14ac:dyDescent="0.15">
      <c r="A6065" s="196" t="s">
        <v>11229</v>
      </c>
      <c r="B6065" s="196" t="s">
        <v>11230</v>
      </c>
      <c r="C6065" s="196" t="s">
        <v>25211</v>
      </c>
      <c r="D6065" s="196" t="s">
        <v>25212</v>
      </c>
      <c r="E6065" s="196" t="s">
        <v>25212</v>
      </c>
      <c r="F6065" s="196" t="s">
        <v>11233</v>
      </c>
      <c r="G6065" s="196" t="s">
        <v>11720</v>
      </c>
      <c r="H6065" s="196" t="s">
        <v>11235</v>
      </c>
    </row>
    <row r="6066" spans="1:8" x14ac:dyDescent="0.15">
      <c r="A6066" s="196" t="s">
        <v>11229</v>
      </c>
      <c r="B6066" s="196" t="s">
        <v>11230</v>
      </c>
      <c r="C6066" s="196" t="s">
        <v>25213</v>
      </c>
      <c r="D6066" s="196" t="s">
        <v>25214</v>
      </c>
      <c r="E6066" s="196" t="s">
        <v>25214</v>
      </c>
      <c r="F6066" s="196" t="s">
        <v>11233</v>
      </c>
      <c r="G6066" s="196" t="s">
        <v>11720</v>
      </c>
      <c r="H6066" s="196" t="s">
        <v>11235</v>
      </c>
    </row>
    <row r="6067" spans="1:8" x14ac:dyDescent="0.15">
      <c r="A6067" s="196" t="s">
        <v>11229</v>
      </c>
      <c r="B6067" s="196" t="s">
        <v>11230</v>
      </c>
      <c r="C6067" s="196" t="s">
        <v>25215</v>
      </c>
      <c r="D6067" s="196" t="s">
        <v>25216</v>
      </c>
      <c r="E6067" s="196" t="s">
        <v>25216</v>
      </c>
      <c r="F6067" s="196" t="s">
        <v>11233</v>
      </c>
      <c r="G6067" s="196" t="s">
        <v>11720</v>
      </c>
      <c r="H6067" s="196" t="s">
        <v>11235</v>
      </c>
    </row>
    <row r="6068" spans="1:8" x14ac:dyDescent="0.15">
      <c r="A6068" s="196" t="s">
        <v>11229</v>
      </c>
      <c r="B6068" s="196" t="s">
        <v>11230</v>
      </c>
      <c r="C6068" s="196" t="s">
        <v>25217</v>
      </c>
      <c r="D6068" s="196" t="s">
        <v>25218</v>
      </c>
      <c r="E6068" s="196" t="s">
        <v>25219</v>
      </c>
      <c r="F6068" s="196" t="s">
        <v>11268</v>
      </c>
      <c r="G6068" s="196" t="s">
        <v>11720</v>
      </c>
      <c r="H6068" s="196" t="s">
        <v>11235</v>
      </c>
    </row>
    <row r="6069" spans="1:8" x14ac:dyDescent="0.15">
      <c r="A6069" s="196" t="s">
        <v>11229</v>
      </c>
      <c r="B6069" s="196" t="s">
        <v>11230</v>
      </c>
      <c r="C6069" s="196" t="s">
        <v>25220</v>
      </c>
      <c r="D6069" s="196" t="s">
        <v>25221</v>
      </c>
      <c r="E6069" s="196" t="s">
        <v>25221</v>
      </c>
      <c r="F6069" s="196" t="s">
        <v>11233</v>
      </c>
      <c r="G6069" s="196" t="s">
        <v>12378</v>
      </c>
      <c r="H6069" s="196" t="s">
        <v>11235</v>
      </c>
    </row>
    <row r="6070" spans="1:8" x14ac:dyDescent="0.15">
      <c r="A6070" s="196" t="s">
        <v>11229</v>
      </c>
      <c r="B6070" s="196" t="s">
        <v>11230</v>
      </c>
      <c r="C6070" s="196" t="s">
        <v>25222</v>
      </c>
      <c r="D6070" s="196" t="s">
        <v>25223</v>
      </c>
      <c r="E6070" s="196" t="s">
        <v>25223</v>
      </c>
      <c r="F6070" s="196" t="s">
        <v>11233</v>
      </c>
      <c r="G6070" s="196" t="s">
        <v>12378</v>
      </c>
      <c r="H6070" s="196" t="s">
        <v>11235</v>
      </c>
    </row>
    <row r="6071" spans="1:8" x14ac:dyDescent="0.15">
      <c r="A6071" s="196" t="s">
        <v>11229</v>
      </c>
      <c r="B6071" s="196" t="s">
        <v>11230</v>
      </c>
      <c r="C6071" s="196" t="s">
        <v>25224</v>
      </c>
      <c r="D6071" s="196" t="s">
        <v>25225</v>
      </c>
      <c r="E6071" s="196" t="s">
        <v>25225</v>
      </c>
      <c r="F6071" s="196" t="s">
        <v>11233</v>
      </c>
      <c r="G6071" s="196" t="s">
        <v>12378</v>
      </c>
      <c r="H6071" s="196" t="s">
        <v>11235</v>
      </c>
    </row>
    <row r="6072" spans="1:8" x14ac:dyDescent="0.15">
      <c r="A6072" s="196" t="s">
        <v>11229</v>
      </c>
      <c r="B6072" s="196" t="s">
        <v>11230</v>
      </c>
      <c r="C6072" s="196" t="s">
        <v>25226</v>
      </c>
      <c r="D6072" s="196" t="s">
        <v>25227</v>
      </c>
      <c r="E6072" s="196" t="s">
        <v>25227</v>
      </c>
      <c r="F6072" s="196" t="s">
        <v>11233</v>
      </c>
      <c r="G6072" s="196" t="s">
        <v>12378</v>
      </c>
      <c r="H6072" s="196" t="s">
        <v>11235</v>
      </c>
    </row>
    <row r="6073" spans="1:8" x14ac:dyDescent="0.15">
      <c r="A6073" s="196" t="s">
        <v>11229</v>
      </c>
      <c r="B6073" s="196" t="s">
        <v>11230</v>
      </c>
      <c r="C6073" s="196" t="s">
        <v>25228</v>
      </c>
      <c r="D6073" s="196" t="s">
        <v>25229</v>
      </c>
      <c r="E6073" s="196" t="s">
        <v>25229</v>
      </c>
      <c r="F6073" s="196" t="s">
        <v>11233</v>
      </c>
      <c r="G6073" s="196" t="s">
        <v>12378</v>
      </c>
      <c r="H6073" s="196" t="s">
        <v>11235</v>
      </c>
    </row>
    <row r="6074" spans="1:8" x14ac:dyDescent="0.15">
      <c r="A6074" s="196" t="s">
        <v>11229</v>
      </c>
      <c r="B6074" s="196" t="s">
        <v>11230</v>
      </c>
      <c r="C6074" s="196" t="s">
        <v>25230</v>
      </c>
      <c r="D6074" s="196" t="s">
        <v>25231</v>
      </c>
      <c r="E6074" s="196" t="s">
        <v>25231</v>
      </c>
      <c r="F6074" s="196" t="s">
        <v>11233</v>
      </c>
      <c r="G6074" s="196" t="s">
        <v>12378</v>
      </c>
      <c r="H6074" s="196" t="s">
        <v>11235</v>
      </c>
    </row>
    <row r="6075" spans="1:8" x14ac:dyDescent="0.15">
      <c r="A6075" s="196" t="s">
        <v>11229</v>
      </c>
      <c r="B6075" s="196" t="s">
        <v>11230</v>
      </c>
      <c r="C6075" s="196" t="s">
        <v>25232</v>
      </c>
      <c r="D6075" s="196" t="s">
        <v>25233</v>
      </c>
      <c r="E6075" s="196" t="s">
        <v>25233</v>
      </c>
      <c r="F6075" s="196" t="s">
        <v>11233</v>
      </c>
      <c r="G6075" s="196" t="s">
        <v>12378</v>
      </c>
      <c r="H6075" s="196" t="s">
        <v>11235</v>
      </c>
    </row>
    <row r="6076" spans="1:8" x14ac:dyDescent="0.15">
      <c r="A6076" s="196" t="s">
        <v>11229</v>
      </c>
      <c r="B6076" s="196" t="s">
        <v>11230</v>
      </c>
      <c r="C6076" s="196" t="s">
        <v>25234</v>
      </c>
      <c r="D6076" s="196" t="s">
        <v>25235</v>
      </c>
      <c r="E6076" s="196" t="s">
        <v>25235</v>
      </c>
      <c r="F6076" s="196" t="s">
        <v>11233</v>
      </c>
      <c r="G6076" s="196" t="s">
        <v>12378</v>
      </c>
      <c r="H6076" s="196" t="s">
        <v>11235</v>
      </c>
    </row>
    <row r="6077" spans="1:8" x14ac:dyDescent="0.15">
      <c r="A6077" s="196" t="s">
        <v>11229</v>
      </c>
      <c r="B6077" s="196" t="s">
        <v>11230</v>
      </c>
      <c r="C6077" s="196" t="s">
        <v>25236</v>
      </c>
      <c r="D6077" s="196" t="s">
        <v>25237</v>
      </c>
      <c r="E6077" s="196" t="s">
        <v>25237</v>
      </c>
      <c r="F6077" s="196" t="s">
        <v>11233</v>
      </c>
      <c r="G6077" s="196" t="s">
        <v>12378</v>
      </c>
      <c r="H6077" s="196" t="s">
        <v>11235</v>
      </c>
    </row>
    <row r="6078" spans="1:8" x14ac:dyDescent="0.15">
      <c r="A6078" s="196" t="s">
        <v>11229</v>
      </c>
      <c r="B6078" s="196" t="s">
        <v>11230</v>
      </c>
      <c r="C6078" s="196" t="s">
        <v>25238</v>
      </c>
      <c r="D6078" s="196" t="s">
        <v>25237</v>
      </c>
      <c r="E6078" s="196" t="s">
        <v>25237</v>
      </c>
      <c r="F6078" s="196" t="s">
        <v>11233</v>
      </c>
      <c r="G6078" s="196" t="s">
        <v>11720</v>
      </c>
      <c r="H6078" s="196" t="s">
        <v>11235</v>
      </c>
    </row>
    <row r="6079" spans="1:8" x14ac:dyDescent="0.15">
      <c r="A6079" s="196" t="s">
        <v>11229</v>
      </c>
      <c r="B6079" s="196" t="s">
        <v>11230</v>
      </c>
      <c r="C6079" s="196" t="s">
        <v>25239</v>
      </c>
      <c r="D6079" s="196" t="s">
        <v>25240</v>
      </c>
      <c r="E6079" s="196" t="s">
        <v>25240</v>
      </c>
      <c r="F6079" s="196" t="s">
        <v>11233</v>
      </c>
      <c r="G6079" s="196" t="s">
        <v>12378</v>
      </c>
      <c r="H6079" s="196" t="s">
        <v>11235</v>
      </c>
    </row>
    <row r="6080" spans="1:8" x14ac:dyDescent="0.15">
      <c r="A6080" s="196" t="s">
        <v>11229</v>
      </c>
      <c r="B6080" s="196" t="s">
        <v>11230</v>
      </c>
      <c r="C6080" s="196" t="s">
        <v>25241</v>
      </c>
      <c r="D6080" s="196" t="s">
        <v>25242</v>
      </c>
      <c r="E6080" s="196" t="s">
        <v>25242</v>
      </c>
      <c r="F6080" s="196" t="s">
        <v>11233</v>
      </c>
      <c r="G6080" s="196" t="s">
        <v>12378</v>
      </c>
      <c r="H6080" s="196" t="s">
        <v>11235</v>
      </c>
    </row>
    <row r="6081" spans="1:8" x14ac:dyDescent="0.15">
      <c r="A6081" s="196" t="s">
        <v>11229</v>
      </c>
      <c r="B6081" s="196" t="s">
        <v>11230</v>
      </c>
      <c r="C6081" s="196" t="s">
        <v>25243</v>
      </c>
      <c r="D6081" s="196" t="s">
        <v>25244</v>
      </c>
      <c r="E6081" s="196" t="s">
        <v>25244</v>
      </c>
      <c r="F6081" s="196" t="s">
        <v>11233</v>
      </c>
      <c r="G6081" s="196" t="s">
        <v>12378</v>
      </c>
      <c r="H6081" s="196" t="s">
        <v>11235</v>
      </c>
    </row>
    <row r="6082" spans="1:8" x14ac:dyDescent="0.15">
      <c r="A6082" s="196" t="s">
        <v>11229</v>
      </c>
      <c r="B6082" s="196" t="s">
        <v>11230</v>
      </c>
      <c r="C6082" s="196" t="s">
        <v>25245</v>
      </c>
      <c r="D6082" s="196" t="s">
        <v>25246</v>
      </c>
      <c r="E6082" s="196" t="s">
        <v>25246</v>
      </c>
      <c r="F6082" s="196" t="s">
        <v>11233</v>
      </c>
      <c r="G6082" s="196" t="s">
        <v>12378</v>
      </c>
      <c r="H6082" s="196" t="s">
        <v>11235</v>
      </c>
    </row>
    <row r="6083" spans="1:8" x14ac:dyDescent="0.15">
      <c r="A6083" s="196" t="s">
        <v>11229</v>
      </c>
      <c r="B6083" s="196" t="s">
        <v>11230</v>
      </c>
      <c r="C6083" s="196" t="s">
        <v>25247</v>
      </c>
      <c r="D6083" s="196" t="s">
        <v>25248</v>
      </c>
      <c r="E6083" s="196" t="s">
        <v>25248</v>
      </c>
      <c r="F6083" s="196" t="s">
        <v>11233</v>
      </c>
      <c r="G6083" s="196" t="s">
        <v>11720</v>
      </c>
      <c r="H6083" s="196" t="s">
        <v>11235</v>
      </c>
    </row>
    <row r="6084" spans="1:8" x14ac:dyDescent="0.15">
      <c r="A6084" s="196" t="s">
        <v>11229</v>
      </c>
      <c r="B6084" s="196" t="s">
        <v>11230</v>
      </c>
      <c r="C6084" s="196" t="s">
        <v>25249</v>
      </c>
      <c r="D6084" s="196" t="s">
        <v>25250</v>
      </c>
      <c r="E6084" s="196" t="s">
        <v>25250</v>
      </c>
      <c r="F6084" s="196" t="s">
        <v>11233</v>
      </c>
      <c r="G6084" s="196" t="s">
        <v>12378</v>
      </c>
      <c r="H6084" s="196" t="s">
        <v>11235</v>
      </c>
    </row>
    <row r="6085" spans="1:8" x14ac:dyDescent="0.15">
      <c r="A6085" s="196" t="s">
        <v>11229</v>
      </c>
      <c r="B6085" s="196" t="s">
        <v>11230</v>
      </c>
      <c r="C6085" s="196" t="s">
        <v>25251</v>
      </c>
      <c r="D6085" s="196" t="s">
        <v>25252</v>
      </c>
      <c r="E6085" s="196" t="s">
        <v>25253</v>
      </c>
      <c r="F6085" s="196" t="s">
        <v>20472</v>
      </c>
      <c r="G6085" s="196" t="s">
        <v>11720</v>
      </c>
      <c r="H6085" s="196" t="s">
        <v>11235</v>
      </c>
    </row>
    <row r="6086" spans="1:8" x14ac:dyDescent="0.15">
      <c r="A6086" s="196" t="s">
        <v>11229</v>
      </c>
      <c r="B6086" s="196" t="s">
        <v>11230</v>
      </c>
      <c r="C6086" s="196" t="s">
        <v>25254</v>
      </c>
      <c r="D6086" s="196" t="s">
        <v>25255</v>
      </c>
      <c r="E6086" s="196" t="s">
        <v>25256</v>
      </c>
      <c r="F6086" s="196" t="s">
        <v>11241</v>
      </c>
      <c r="G6086" s="196" t="s">
        <v>12378</v>
      </c>
      <c r="H6086" s="196" t="s">
        <v>11235</v>
      </c>
    </row>
    <row r="6087" spans="1:8" x14ac:dyDescent="0.15">
      <c r="A6087" s="196" t="s">
        <v>11229</v>
      </c>
      <c r="B6087" s="196" t="s">
        <v>11230</v>
      </c>
      <c r="C6087" s="196" t="s">
        <v>25257</v>
      </c>
      <c r="D6087" s="196" t="s">
        <v>25258</v>
      </c>
      <c r="E6087" s="196" t="s">
        <v>25258</v>
      </c>
      <c r="F6087" s="196" t="s">
        <v>11233</v>
      </c>
      <c r="G6087" s="196" t="s">
        <v>12378</v>
      </c>
      <c r="H6087" s="196" t="s">
        <v>11235</v>
      </c>
    </row>
    <row r="6088" spans="1:8" x14ac:dyDescent="0.15">
      <c r="A6088" s="196" t="s">
        <v>11229</v>
      </c>
      <c r="B6088" s="196" t="s">
        <v>11230</v>
      </c>
      <c r="C6088" s="196" t="s">
        <v>25259</v>
      </c>
      <c r="D6088" s="196" t="s">
        <v>25260</v>
      </c>
      <c r="E6088" s="196" t="s">
        <v>25260</v>
      </c>
      <c r="F6088" s="196" t="s">
        <v>11233</v>
      </c>
      <c r="G6088" s="196" t="s">
        <v>12378</v>
      </c>
      <c r="H6088" s="196" t="s">
        <v>11235</v>
      </c>
    </row>
    <row r="6089" spans="1:8" x14ac:dyDescent="0.15">
      <c r="A6089" s="196" t="s">
        <v>11229</v>
      </c>
      <c r="B6089" s="196" t="s">
        <v>11230</v>
      </c>
      <c r="C6089" s="196" t="s">
        <v>25261</v>
      </c>
      <c r="D6089" s="196" t="s">
        <v>25262</v>
      </c>
      <c r="E6089" s="196" t="s">
        <v>25262</v>
      </c>
      <c r="F6089" s="196" t="s">
        <v>11233</v>
      </c>
      <c r="G6089" s="196" t="s">
        <v>12378</v>
      </c>
      <c r="H6089" s="196" t="s">
        <v>11235</v>
      </c>
    </row>
    <row r="6090" spans="1:8" x14ac:dyDescent="0.15">
      <c r="A6090" s="196" t="s">
        <v>11229</v>
      </c>
      <c r="B6090" s="196" t="s">
        <v>11230</v>
      </c>
      <c r="C6090" s="196" t="s">
        <v>25263</v>
      </c>
      <c r="D6090" s="196" t="s">
        <v>25264</v>
      </c>
      <c r="E6090" s="196" t="s">
        <v>25265</v>
      </c>
      <c r="F6090" s="196" t="s">
        <v>11241</v>
      </c>
      <c r="G6090" s="196" t="s">
        <v>12378</v>
      </c>
      <c r="H6090" s="196" t="s">
        <v>11235</v>
      </c>
    </row>
    <row r="6091" spans="1:8" x14ac:dyDescent="0.15">
      <c r="A6091" s="196" t="s">
        <v>11229</v>
      </c>
      <c r="B6091" s="196" t="s">
        <v>11230</v>
      </c>
      <c r="C6091" s="196" t="s">
        <v>25266</v>
      </c>
      <c r="D6091" s="196" t="s">
        <v>25265</v>
      </c>
      <c r="E6091" s="196" t="s">
        <v>25267</v>
      </c>
      <c r="F6091" s="196" t="s">
        <v>11268</v>
      </c>
      <c r="G6091" s="196" t="s">
        <v>12378</v>
      </c>
      <c r="H6091" s="196" t="s">
        <v>11235</v>
      </c>
    </row>
    <row r="6092" spans="1:8" x14ac:dyDescent="0.15">
      <c r="A6092" s="196" t="s">
        <v>11229</v>
      </c>
      <c r="B6092" s="196" t="s">
        <v>11230</v>
      </c>
      <c r="C6092" s="196" t="s">
        <v>25268</v>
      </c>
      <c r="D6092" s="196" t="s">
        <v>25267</v>
      </c>
      <c r="E6092" s="196" t="s">
        <v>25269</v>
      </c>
      <c r="F6092" s="196" t="s">
        <v>11241</v>
      </c>
      <c r="G6092" s="196" t="s">
        <v>12378</v>
      </c>
      <c r="H6092" s="196" t="s">
        <v>11235</v>
      </c>
    </row>
    <row r="6093" spans="1:8" x14ac:dyDescent="0.15">
      <c r="A6093" s="196" t="s">
        <v>11229</v>
      </c>
      <c r="B6093" s="196" t="s">
        <v>11230</v>
      </c>
      <c r="C6093" s="196" t="s">
        <v>25270</v>
      </c>
      <c r="D6093" s="196" t="s">
        <v>25271</v>
      </c>
      <c r="E6093" s="196" t="s">
        <v>25271</v>
      </c>
      <c r="F6093" s="196" t="s">
        <v>11233</v>
      </c>
      <c r="G6093" s="196" t="s">
        <v>11720</v>
      </c>
      <c r="H6093" s="196" t="s">
        <v>11235</v>
      </c>
    </row>
    <row r="6094" spans="1:8" x14ac:dyDescent="0.15">
      <c r="A6094" s="196" t="s">
        <v>11229</v>
      </c>
      <c r="B6094" s="196" t="s">
        <v>11230</v>
      </c>
      <c r="C6094" s="196" t="s">
        <v>25272</v>
      </c>
      <c r="D6094" s="196" t="s">
        <v>25273</v>
      </c>
      <c r="E6094" s="196" t="s">
        <v>25273</v>
      </c>
      <c r="F6094" s="196" t="s">
        <v>11233</v>
      </c>
      <c r="G6094" s="196" t="s">
        <v>12378</v>
      </c>
      <c r="H6094" s="196" t="s">
        <v>11235</v>
      </c>
    </row>
    <row r="6095" spans="1:8" x14ac:dyDescent="0.15">
      <c r="A6095" s="196" t="s">
        <v>11229</v>
      </c>
      <c r="B6095" s="196" t="s">
        <v>11230</v>
      </c>
      <c r="C6095" s="196" t="s">
        <v>25274</v>
      </c>
      <c r="D6095" s="196" t="s">
        <v>25275</v>
      </c>
      <c r="E6095" s="196" t="s">
        <v>25275</v>
      </c>
      <c r="F6095" s="196" t="s">
        <v>11233</v>
      </c>
      <c r="G6095" s="196" t="s">
        <v>12378</v>
      </c>
      <c r="H6095" s="196" t="s">
        <v>11235</v>
      </c>
    </row>
    <row r="6096" spans="1:8" x14ac:dyDescent="0.15">
      <c r="A6096" s="196" t="s">
        <v>11229</v>
      </c>
      <c r="B6096" s="196" t="s">
        <v>11230</v>
      </c>
      <c r="C6096" s="196" t="s">
        <v>25276</v>
      </c>
      <c r="D6096" s="196" t="s">
        <v>25277</v>
      </c>
      <c r="E6096" s="196" t="s">
        <v>25277</v>
      </c>
      <c r="F6096" s="196" t="s">
        <v>11233</v>
      </c>
      <c r="G6096" s="196" t="s">
        <v>12378</v>
      </c>
      <c r="H6096" s="196" t="s">
        <v>11235</v>
      </c>
    </row>
    <row r="6097" spans="1:8" x14ac:dyDescent="0.15">
      <c r="A6097" s="196" t="s">
        <v>11229</v>
      </c>
      <c r="B6097" s="196" t="s">
        <v>11230</v>
      </c>
      <c r="C6097" s="196" t="s">
        <v>25278</v>
      </c>
      <c r="D6097" s="196" t="s">
        <v>25279</v>
      </c>
      <c r="E6097" s="196" t="s">
        <v>25279</v>
      </c>
      <c r="F6097" s="196" t="s">
        <v>11233</v>
      </c>
      <c r="G6097" s="196" t="s">
        <v>11720</v>
      </c>
      <c r="H6097" s="196" t="s">
        <v>11235</v>
      </c>
    </row>
    <row r="6098" spans="1:8" x14ac:dyDescent="0.15">
      <c r="A6098" s="196" t="s">
        <v>11229</v>
      </c>
      <c r="B6098" s="196" t="s">
        <v>11230</v>
      </c>
      <c r="C6098" s="196" t="s">
        <v>25280</v>
      </c>
      <c r="D6098" s="196" t="s">
        <v>25281</v>
      </c>
      <c r="E6098" s="196" t="s">
        <v>25281</v>
      </c>
      <c r="F6098" s="196" t="s">
        <v>11233</v>
      </c>
      <c r="G6098" s="196" t="s">
        <v>11720</v>
      </c>
      <c r="H6098" s="196" t="s">
        <v>11235</v>
      </c>
    </row>
    <row r="6099" spans="1:8" x14ac:dyDescent="0.15">
      <c r="A6099" s="196" t="s">
        <v>11229</v>
      </c>
      <c r="B6099" s="196" t="s">
        <v>11230</v>
      </c>
      <c r="C6099" s="196" t="s">
        <v>25282</v>
      </c>
      <c r="D6099" s="196" t="s">
        <v>25283</v>
      </c>
      <c r="E6099" s="196" t="s">
        <v>25283</v>
      </c>
      <c r="F6099" s="196" t="s">
        <v>11233</v>
      </c>
      <c r="G6099" s="196" t="s">
        <v>12378</v>
      </c>
      <c r="H6099" s="196" t="s">
        <v>11235</v>
      </c>
    </row>
    <row r="6100" spans="1:8" x14ac:dyDescent="0.15">
      <c r="A6100" s="196" t="s">
        <v>11229</v>
      </c>
      <c r="B6100" s="196" t="s">
        <v>11230</v>
      </c>
      <c r="C6100" s="196" t="s">
        <v>25284</v>
      </c>
      <c r="D6100" s="196" t="s">
        <v>25285</v>
      </c>
      <c r="E6100" s="196" t="s">
        <v>25286</v>
      </c>
      <c r="F6100" s="196" t="s">
        <v>13023</v>
      </c>
      <c r="G6100" s="196" t="s">
        <v>11720</v>
      </c>
      <c r="H6100" s="196" t="s">
        <v>11235</v>
      </c>
    </row>
    <row r="6101" spans="1:8" x14ac:dyDescent="0.15">
      <c r="A6101" s="196" t="s">
        <v>11229</v>
      </c>
      <c r="B6101" s="196" t="s">
        <v>11230</v>
      </c>
      <c r="C6101" s="196" t="s">
        <v>25287</v>
      </c>
      <c r="D6101" s="196" t="s">
        <v>25288</v>
      </c>
      <c r="E6101" s="196" t="s">
        <v>25289</v>
      </c>
      <c r="F6101" s="196" t="s">
        <v>11268</v>
      </c>
      <c r="G6101" s="196" t="s">
        <v>11720</v>
      </c>
      <c r="H6101" s="196" t="s">
        <v>11235</v>
      </c>
    </row>
    <row r="6102" spans="1:8" x14ac:dyDescent="0.15">
      <c r="A6102" s="196" t="s">
        <v>11229</v>
      </c>
      <c r="B6102" s="196" t="s">
        <v>11230</v>
      </c>
      <c r="C6102" s="196" t="s">
        <v>25290</v>
      </c>
      <c r="D6102" s="196" t="s">
        <v>25291</v>
      </c>
      <c r="E6102" s="196" t="s">
        <v>25292</v>
      </c>
      <c r="F6102" s="196" t="s">
        <v>11268</v>
      </c>
      <c r="G6102" s="196" t="s">
        <v>11720</v>
      </c>
      <c r="H6102" s="196" t="s">
        <v>11235</v>
      </c>
    </row>
    <row r="6103" spans="1:8" x14ac:dyDescent="0.15">
      <c r="A6103" s="196" t="s">
        <v>11229</v>
      </c>
      <c r="B6103" s="196" t="s">
        <v>11230</v>
      </c>
      <c r="C6103" s="196" t="s">
        <v>25293</v>
      </c>
      <c r="D6103" s="196" t="s">
        <v>25292</v>
      </c>
      <c r="E6103" s="196" t="s">
        <v>25292</v>
      </c>
      <c r="F6103" s="196" t="s">
        <v>11233</v>
      </c>
      <c r="G6103" s="196" t="s">
        <v>12378</v>
      </c>
      <c r="H6103" s="196" t="s">
        <v>11235</v>
      </c>
    </row>
    <row r="6104" spans="1:8" x14ac:dyDescent="0.15">
      <c r="A6104" s="196" t="s">
        <v>11229</v>
      </c>
      <c r="B6104" s="196" t="s">
        <v>11230</v>
      </c>
      <c r="C6104" s="196" t="s">
        <v>25294</v>
      </c>
      <c r="D6104" s="196" t="s">
        <v>25295</v>
      </c>
      <c r="E6104" s="196" t="s">
        <v>25296</v>
      </c>
      <c r="F6104" s="196" t="s">
        <v>11241</v>
      </c>
      <c r="G6104" s="196" t="s">
        <v>11720</v>
      </c>
      <c r="H6104" s="196" t="s">
        <v>11235</v>
      </c>
    </row>
    <row r="6105" spans="1:8" x14ac:dyDescent="0.15">
      <c r="A6105" s="196" t="s">
        <v>11229</v>
      </c>
      <c r="B6105" s="196" t="s">
        <v>11230</v>
      </c>
      <c r="C6105" s="196" t="s">
        <v>25297</v>
      </c>
      <c r="D6105" s="196" t="s">
        <v>25295</v>
      </c>
      <c r="E6105" s="196" t="s">
        <v>25295</v>
      </c>
      <c r="F6105" s="196" t="s">
        <v>11233</v>
      </c>
      <c r="G6105" s="196" t="s">
        <v>12378</v>
      </c>
      <c r="H6105" s="196" t="s">
        <v>11235</v>
      </c>
    </row>
    <row r="6106" spans="1:8" x14ac:dyDescent="0.15">
      <c r="A6106" s="196" t="s">
        <v>11229</v>
      </c>
      <c r="B6106" s="196" t="s">
        <v>11230</v>
      </c>
      <c r="C6106" s="196" t="s">
        <v>25298</v>
      </c>
      <c r="D6106" s="196" t="s">
        <v>25296</v>
      </c>
      <c r="E6106" s="196" t="s">
        <v>25296</v>
      </c>
      <c r="F6106" s="196" t="s">
        <v>11233</v>
      </c>
      <c r="G6106" s="196" t="s">
        <v>12378</v>
      </c>
      <c r="H6106" s="196" t="s">
        <v>11235</v>
      </c>
    </row>
    <row r="6107" spans="1:8" x14ac:dyDescent="0.15">
      <c r="A6107" s="196" t="s">
        <v>11229</v>
      </c>
      <c r="B6107" s="196" t="s">
        <v>11230</v>
      </c>
      <c r="C6107" s="196" t="s">
        <v>25299</v>
      </c>
      <c r="D6107" s="196" t="s">
        <v>25300</v>
      </c>
      <c r="E6107" s="196" t="s">
        <v>25301</v>
      </c>
      <c r="F6107" s="196" t="s">
        <v>11241</v>
      </c>
      <c r="G6107" s="196" t="s">
        <v>11720</v>
      </c>
      <c r="H6107" s="196" t="s">
        <v>11235</v>
      </c>
    </row>
    <row r="6108" spans="1:8" x14ac:dyDescent="0.15">
      <c r="A6108" s="196" t="s">
        <v>11229</v>
      </c>
      <c r="B6108" s="196" t="s">
        <v>11230</v>
      </c>
      <c r="C6108" s="196" t="s">
        <v>25302</v>
      </c>
      <c r="D6108" s="196" t="s">
        <v>25300</v>
      </c>
      <c r="E6108" s="196" t="s">
        <v>25300</v>
      </c>
      <c r="F6108" s="196" t="s">
        <v>11233</v>
      </c>
      <c r="G6108" s="196" t="s">
        <v>12378</v>
      </c>
      <c r="H6108" s="196" t="s">
        <v>11235</v>
      </c>
    </row>
    <row r="6109" spans="1:8" x14ac:dyDescent="0.15">
      <c r="A6109" s="196" t="s">
        <v>11229</v>
      </c>
      <c r="B6109" s="196" t="s">
        <v>11230</v>
      </c>
      <c r="C6109" s="196" t="s">
        <v>25303</v>
      </c>
      <c r="D6109" s="196" t="s">
        <v>25301</v>
      </c>
      <c r="E6109" s="196" t="s">
        <v>25301</v>
      </c>
      <c r="F6109" s="196" t="s">
        <v>11233</v>
      </c>
      <c r="G6109" s="196" t="s">
        <v>12378</v>
      </c>
      <c r="H6109" s="196" t="s">
        <v>11235</v>
      </c>
    </row>
    <row r="6110" spans="1:8" x14ac:dyDescent="0.15">
      <c r="A6110" s="196" t="s">
        <v>11229</v>
      </c>
      <c r="B6110" s="196" t="s">
        <v>11230</v>
      </c>
      <c r="C6110" s="196" t="s">
        <v>25304</v>
      </c>
      <c r="D6110" s="196" t="s">
        <v>25305</v>
      </c>
      <c r="E6110" s="196" t="s">
        <v>25305</v>
      </c>
      <c r="F6110" s="196" t="s">
        <v>11233</v>
      </c>
      <c r="G6110" s="196" t="s">
        <v>12378</v>
      </c>
      <c r="H6110" s="196" t="s">
        <v>11235</v>
      </c>
    </row>
    <row r="6111" spans="1:8" x14ac:dyDescent="0.15">
      <c r="A6111" s="196" t="s">
        <v>11229</v>
      </c>
      <c r="B6111" s="196" t="s">
        <v>11230</v>
      </c>
      <c r="C6111" s="196" t="s">
        <v>25306</v>
      </c>
      <c r="D6111" s="196" t="s">
        <v>25307</v>
      </c>
      <c r="E6111" s="196" t="s">
        <v>25307</v>
      </c>
      <c r="F6111" s="196" t="s">
        <v>11233</v>
      </c>
      <c r="G6111" s="196" t="s">
        <v>11720</v>
      </c>
      <c r="H6111" s="196" t="s">
        <v>11235</v>
      </c>
    </row>
    <row r="6112" spans="1:8" x14ac:dyDescent="0.15">
      <c r="A6112" s="196" t="s">
        <v>11229</v>
      </c>
      <c r="B6112" s="196" t="s">
        <v>11230</v>
      </c>
      <c r="C6112" s="196" t="s">
        <v>25308</v>
      </c>
      <c r="D6112" s="196" t="s">
        <v>25309</v>
      </c>
      <c r="E6112" s="196" t="s">
        <v>25309</v>
      </c>
      <c r="F6112" s="196" t="s">
        <v>11233</v>
      </c>
      <c r="G6112" s="196" t="s">
        <v>11720</v>
      </c>
      <c r="H6112" s="196" t="s">
        <v>11235</v>
      </c>
    </row>
    <row r="6113" spans="1:8" x14ac:dyDescent="0.15">
      <c r="A6113" s="196" t="s">
        <v>11229</v>
      </c>
      <c r="B6113" s="196" t="s">
        <v>11230</v>
      </c>
      <c r="C6113" s="196" t="s">
        <v>25310</v>
      </c>
      <c r="D6113" s="196" t="s">
        <v>25311</v>
      </c>
      <c r="E6113" s="196" t="s">
        <v>25311</v>
      </c>
      <c r="F6113" s="196" t="s">
        <v>11233</v>
      </c>
      <c r="G6113" s="196" t="s">
        <v>12378</v>
      </c>
      <c r="H6113" s="196" t="s">
        <v>11235</v>
      </c>
    </row>
    <row r="6114" spans="1:8" x14ac:dyDescent="0.15">
      <c r="A6114" s="196" t="s">
        <v>11229</v>
      </c>
      <c r="B6114" s="196" t="s">
        <v>11230</v>
      </c>
      <c r="C6114" s="196" t="s">
        <v>25312</v>
      </c>
      <c r="D6114" s="196" t="s">
        <v>25313</v>
      </c>
      <c r="E6114" s="196" t="s">
        <v>25313</v>
      </c>
      <c r="F6114" s="196" t="s">
        <v>11233</v>
      </c>
      <c r="G6114" s="196" t="s">
        <v>11720</v>
      </c>
      <c r="H6114" s="196" t="s">
        <v>11235</v>
      </c>
    </row>
    <row r="6115" spans="1:8" x14ac:dyDescent="0.15">
      <c r="A6115" s="196" t="s">
        <v>11229</v>
      </c>
      <c r="B6115" s="196" t="s">
        <v>11230</v>
      </c>
      <c r="C6115" s="196" t="s">
        <v>25314</v>
      </c>
      <c r="D6115" s="196" t="s">
        <v>25315</v>
      </c>
      <c r="E6115" s="196" t="s">
        <v>25315</v>
      </c>
      <c r="F6115" s="196" t="s">
        <v>11233</v>
      </c>
      <c r="G6115" s="196" t="s">
        <v>11720</v>
      </c>
      <c r="H6115" s="196" t="s">
        <v>11235</v>
      </c>
    </row>
    <row r="6116" spans="1:8" x14ac:dyDescent="0.15">
      <c r="A6116" s="196" t="s">
        <v>11229</v>
      </c>
      <c r="B6116" s="196" t="s">
        <v>11230</v>
      </c>
      <c r="C6116" s="196" t="s">
        <v>25316</v>
      </c>
      <c r="D6116" s="196" t="s">
        <v>25317</v>
      </c>
      <c r="E6116" s="196" t="s">
        <v>25317</v>
      </c>
      <c r="F6116" s="196" t="s">
        <v>11233</v>
      </c>
      <c r="G6116" s="196" t="s">
        <v>11720</v>
      </c>
      <c r="H6116" s="196" t="s">
        <v>11235</v>
      </c>
    </row>
    <row r="6117" spans="1:8" x14ac:dyDescent="0.15">
      <c r="A6117" s="196" t="s">
        <v>11229</v>
      </c>
      <c r="B6117" s="196" t="s">
        <v>11230</v>
      </c>
      <c r="C6117" s="196" t="s">
        <v>25318</v>
      </c>
      <c r="D6117" s="196" t="s">
        <v>25319</v>
      </c>
      <c r="E6117" s="196" t="s">
        <v>25319</v>
      </c>
      <c r="F6117" s="196" t="s">
        <v>11233</v>
      </c>
      <c r="G6117" s="196" t="s">
        <v>11720</v>
      </c>
      <c r="H6117" s="196" t="s">
        <v>11235</v>
      </c>
    </row>
    <row r="6118" spans="1:8" x14ac:dyDescent="0.15">
      <c r="A6118" s="196" t="s">
        <v>11229</v>
      </c>
      <c r="B6118" s="196" t="s">
        <v>11230</v>
      </c>
      <c r="C6118" s="196" t="s">
        <v>25320</v>
      </c>
      <c r="D6118" s="196" t="s">
        <v>25321</v>
      </c>
      <c r="E6118" s="196" t="s">
        <v>25321</v>
      </c>
      <c r="F6118" s="196" t="s">
        <v>11233</v>
      </c>
      <c r="G6118" s="196" t="s">
        <v>11720</v>
      </c>
      <c r="H6118" s="196" t="s">
        <v>11235</v>
      </c>
    </row>
    <row r="6119" spans="1:8" x14ac:dyDescent="0.15">
      <c r="A6119" s="196" t="s">
        <v>11229</v>
      </c>
      <c r="B6119" s="196" t="s">
        <v>11230</v>
      </c>
      <c r="C6119" s="196" t="s">
        <v>25322</v>
      </c>
      <c r="D6119" s="196" t="s">
        <v>25323</v>
      </c>
      <c r="E6119" s="196" t="s">
        <v>25323</v>
      </c>
      <c r="F6119" s="196" t="s">
        <v>11233</v>
      </c>
      <c r="G6119" s="196" t="s">
        <v>12378</v>
      </c>
      <c r="H6119" s="196" t="s">
        <v>11235</v>
      </c>
    </row>
    <row r="6120" spans="1:8" x14ac:dyDescent="0.15">
      <c r="A6120" s="196" t="s">
        <v>11229</v>
      </c>
      <c r="B6120" s="196" t="s">
        <v>11230</v>
      </c>
      <c r="C6120" s="196" t="s">
        <v>25324</v>
      </c>
      <c r="D6120" s="196" t="s">
        <v>25325</v>
      </c>
      <c r="E6120" s="196" t="s">
        <v>25325</v>
      </c>
      <c r="F6120" s="196" t="s">
        <v>11233</v>
      </c>
      <c r="G6120" s="196" t="s">
        <v>12378</v>
      </c>
      <c r="H6120" s="196" t="s">
        <v>11235</v>
      </c>
    </row>
    <row r="6121" spans="1:8" x14ac:dyDescent="0.15">
      <c r="A6121" s="196" t="s">
        <v>11229</v>
      </c>
      <c r="B6121" s="196" t="s">
        <v>11230</v>
      </c>
      <c r="C6121" s="196" t="s">
        <v>25326</v>
      </c>
      <c r="D6121" s="196" t="s">
        <v>25327</v>
      </c>
      <c r="E6121" s="196" t="s">
        <v>25327</v>
      </c>
      <c r="F6121" s="196" t="s">
        <v>11233</v>
      </c>
      <c r="G6121" s="196" t="s">
        <v>12378</v>
      </c>
      <c r="H6121" s="196" t="s">
        <v>11235</v>
      </c>
    </row>
    <row r="6122" spans="1:8" x14ac:dyDescent="0.15">
      <c r="A6122" s="196" t="s">
        <v>11229</v>
      </c>
      <c r="B6122" s="196" t="s">
        <v>11230</v>
      </c>
      <c r="C6122" s="196" t="s">
        <v>25328</v>
      </c>
      <c r="D6122" s="196" t="s">
        <v>25329</v>
      </c>
      <c r="E6122" s="196" t="s">
        <v>25329</v>
      </c>
      <c r="F6122" s="196" t="s">
        <v>11233</v>
      </c>
      <c r="G6122" s="196" t="s">
        <v>12378</v>
      </c>
      <c r="H6122" s="196" t="s">
        <v>11235</v>
      </c>
    </row>
    <row r="6123" spans="1:8" x14ac:dyDescent="0.15">
      <c r="A6123" s="196" t="s">
        <v>11229</v>
      </c>
      <c r="B6123" s="196" t="s">
        <v>11230</v>
      </c>
      <c r="C6123" s="196" t="s">
        <v>25330</v>
      </c>
      <c r="D6123" s="196" t="s">
        <v>25331</v>
      </c>
      <c r="E6123" s="196" t="s">
        <v>25331</v>
      </c>
      <c r="F6123" s="196" t="s">
        <v>11233</v>
      </c>
      <c r="G6123" s="196" t="s">
        <v>12378</v>
      </c>
      <c r="H6123" s="196" t="s">
        <v>11235</v>
      </c>
    </row>
    <row r="6124" spans="1:8" x14ac:dyDescent="0.15">
      <c r="A6124" s="196" t="s">
        <v>11229</v>
      </c>
      <c r="B6124" s="196" t="s">
        <v>11230</v>
      </c>
      <c r="C6124" s="196" t="s">
        <v>25332</v>
      </c>
      <c r="D6124" s="196" t="s">
        <v>25333</v>
      </c>
      <c r="E6124" s="196" t="s">
        <v>25333</v>
      </c>
      <c r="F6124" s="196" t="s">
        <v>11233</v>
      </c>
      <c r="G6124" s="196" t="s">
        <v>12378</v>
      </c>
      <c r="H6124" s="196" t="s">
        <v>11235</v>
      </c>
    </row>
    <row r="6125" spans="1:8" x14ac:dyDescent="0.15">
      <c r="A6125" s="196" t="s">
        <v>11229</v>
      </c>
      <c r="B6125" s="196" t="s">
        <v>11230</v>
      </c>
      <c r="C6125" s="196" t="s">
        <v>25334</v>
      </c>
      <c r="D6125" s="196" t="s">
        <v>25335</v>
      </c>
      <c r="E6125" s="196" t="s">
        <v>25335</v>
      </c>
      <c r="F6125" s="196" t="s">
        <v>11233</v>
      </c>
      <c r="G6125" s="196" t="s">
        <v>11720</v>
      </c>
      <c r="H6125" s="196" t="s">
        <v>11235</v>
      </c>
    </row>
    <row r="6126" spans="1:8" x14ac:dyDescent="0.15">
      <c r="A6126" s="196" t="s">
        <v>11229</v>
      </c>
      <c r="B6126" s="196" t="s">
        <v>11230</v>
      </c>
      <c r="C6126" s="196" t="s">
        <v>25336</v>
      </c>
      <c r="D6126" s="196" t="s">
        <v>25337</v>
      </c>
      <c r="E6126" s="196" t="s">
        <v>25337</v>
      </c>
      <c r="F6126" s="196" t="s">
        <v>11233</v>
      </c>
      <c r="G6126" s="196" t="s">
        <v>11720</v>
      </c>
      <c r="H6126" s="196" t="s">
        <v>11235</v>
      </c>
    </row>
    <row r="6127" spans="1:8" x14ac:dyDescent="0.15">
      <c r="A6127" s="196" t="s">
        <v>11229</v>
      </c>
      <c r="B6127" s="196" t="s">
        <v>11230</v>
      </c>
      <c r="C6127" s="196" t="s">
        <v>25338</v>
      </c>
      <c r="D6127" s="196" t="s">
        <v>25339</v>
      </c>
      <c r="E6127" s="196" t="s">
        <v>25339</v>
      </c>
      <c r="F6127" s="196" t="s">
        <v>11233</v>
      </c>
      <c r="G6127" s="196" t="s">
        <v>12378</v>
      </c>
      <c r="H6127" s="196" t="s">
        <v>11235</v>
      </c>
    </row>
    <row r="6128" spans="1:8" x14ac:dyDescent="0.15">
      <c r="A6128" s="196" t="s">
        <v>11229</v>
      </c>
      <c r="B6128" s="196" t="s">
        <v>11230</v>
      </c>
      <c r="C6128" s="196" t="s">
        <v>25340</v>
      </c>
      <c r="D6128" s="196" t="s">
        <v>25341</v>
      </c>
      <c r="E6128" s="196" t="s">
        <v>25341</v>
      </c>
      <c r="F6128" s="196" t="s">
        <v>11233</v>
      </c>
      <c r="G6128" s="196" t="s">
        <v>11720</v>
      </c>
      <c r="H6128" s="196" t="s">
        <v>11235</v>
      </c>
    </row>
    <row r="6129" spans="1:8" x14ac:dyDescent="0.15">
      <c r="A6129" s="196" t="s">
        <v>11229</v>
      </c>
      <c r="B6129" s="196" t="s">
        <v>11230</v>
      </c>
      <c r="C6129" s="196" t="s">
        <v>25342</v>
      </c>
      <c r="D6129" s="196" t="s">
        <v>25343</v>
      </c>
      <c r="E6129" s="196" t="s">
        <v>25343</v>
      </c>
      <c r="F6129" s="196" t="s">
        <v>11233</v>
      </c>
      <c r="G6129" s="196" t="s">
        <v>12378</v>
      </c>
      <c r="H6129" s="196" t="s">
        <v>11235</v>
      </c>
    </row>
    <row r="6130" spans="1:8" x14ac:dyDescent="0.15">
      <c r="A6130" s="196" t="s">
        <v>11229</v>
      </c>
      <c r="B6130" s="196" t="s">
        <v>11230</v>
      </c>
      <c r="C6130" s="196" t="s">
        <v>25344</v>
      </c>
      <c r="D6130" s="196" t="s">
        <v>25345</v>
      </c>
      <c r="E6130" s="196" t="s">
        <v>25345</v>
      </c>
      <c r="F6130" s="196" t="s">
        <v>11233</v>
      </c>
      <c r="G6130" s="196" t="s">
        <v>12378</v>
      </c>
      <c r="H6130" s="196" t="s">
        <v>11235</v>
      </c>
    </row>
    <row r="6131" spans="1:8" x14ac:dyDescent="0.15">
      <c r="A6131" s="196" t="s">
        <v>11229</v>
      </c>
      <c r="B6131" s="196" t="s">
        <v>11230</v>
      </c>
      <c r="C6131" s="196" t="s">
        <v>25346</v>
      </c>
      <c r="D6131" s="196" t="s">
        <v>25347</v>
      </c>
      <c r="E6131" s="196" t="s">
        <v>25347</v>
      </c>
      <c r="F6131" s="196" t="s">
        <v>11233</v>
      </c>
      <c r="G6131" s="196" t="s">
        <v>12378</v>
      </c>
      <c r="H6131" s="196" t="s">
        <v>11235</v>
      </c>
    </row>
    <row r="6132" spans="1:8" x14ac:dyDescent="0.15">
      <c r="A6132" s="196" t="s">
        <v>11229</v>
      </c>
      <c r="B6132" s="196" t="s">
        <v>11230</v>
      </c>
      <c r="C6132" s="196" t="s">
        <v>25348</v>
      </c>
      <c r="D6132" s="196" t="s">
        <v>25349</v>
      </c>
      <c r="E6132" s="196" t="s">
        <v>25349</v>
      </c>
      <c r="F6132" s="196" t="s">
        <v>11233</v>
      </c>
      <c r="G6132" s="196" t="s">
        <v>12378</v>
      </c>
      <c r="H6132" s="196" t="s">
        <v>11235</v>
      </c>
    </row>
    <row r="6133" spans="1:8" x14ac:dyDescent="0.15">
      <c r="A6133" s="196" t="s">
        <v>11229</v>
      </c>
      <c r="B6133" s="196" t="s">
        <v>11230</v>
      </c>
      <c r="C6133" s="196" t="s">
        <v>25350</v>
      </c>
      <c r="D6133" s="196" t="s">
        <v>25351</v>
      </c>
      <c r="E6133" s="196" t="s">
        <v>25351</v>
      </c>
      <c r="F6133" s="196" t="s">
        <v>11233</v>
      </c>
      <c r="G6133" s="196" t="s">
        <v>12378</v>
      </c>
      <c r="H6133" s="196" t="s">
        <v>11235</v>
      </c>
    </row>
    <row r="6134" spans="1:8" x14ac:dyDescent="0.15">
      <c r="A6134" s="196" t="s">
        <v>11229</v>
      </c>
      <c r="B6134" s="196" t="s">
        <v>11230</v>
      </c>
      <c r="C6134" s="196" t="s">
        <v>25352</v>
      </c>
      <c r="D6134" s="196" t="s">
        <v>25353</v>
      </c>
      <c r="E6134" s="196" t="s">
        <v>25353</v>
      </c>
      <c r="F6134" s="196" t="s">
        <v>11233</v>
      </c>
      <c r="G6134" s="196" t="s">
        <v>12378</v>
      </c>
      <c r="H6134" s="196" t="s">
        <v>11235</v>
      </c>
    </row>
    <row r="6135" spans="1:8" x14ac:dyDescent="0.15">
      <c r="A6135" s="196" t="s">
        <v>11229</v>
      </c>
      <c r="B6135" s="196" t="s">
        <v>11230</v>
      </c>
      <c r="C6135" s="196" t="s">
        <v>25354</v>
      </c>
      <c r="D6135" s="196" t="s">
        <v>25355</v>
      </c>
      <c r="E6135" s="196" t="s">
        <v>25355</v>
      </c>
      <c r="F6135" s="196" t="s">
        <v>11233</v>
      </c>
      <c r="G6135" s="196" t="s">
        <v>11720</v>
      </c>
      <c r="H6135" s="196" t="s">
        <v>11235</v>
      </c>
    </row>
    <row r="6136" spans="1:8" x14ac:dyDescent="0.15">
      <c r="A6136" s="196" t="s">
        <v>11229</v>
      </c>
      <c r="B6136" s="196" t="s">
        <v>11230</v>
      </c>
      <c r="C6136" s="196" t="s">
        <v>25356</v>
      </c>
      <c r="D6136" s="196" t="s">
        <v>25357</v>
      </c>
      <c r="E6136" s="196" t="s">
        <v>25357</v>
      </c>
      <c r="F6136" s="196" t="s">
        <v>11233</v>
      </c>
      <c r="G6136" s="196" t="s">
        <v>12378</v>
      </c>
      <c r="H6136" s="196" t="s">
        <v>11235</v>
      </c>
    </row>
    <row r="6137" spans="1:8" x14ac:dyDescent="0.15">
      <c r="A6137" s="196" t="s">
        <v>11229</v>
      </c>
      <c r="B6137" s="196" t="s">
        <v>11230</v>
      </c>
      <c r="C6137" s="196" t="s">
        <v>25358</v>
      </c>
      <c r="D6137" s="196" t="s">
        <v>25359</v>
      </c>
      <c r="E6137" s="196" t="s">
        <v>25359</v>
      </c>
      <c r="F6137" s="196" t="s">
        <v>11233</v>
      </c>
      <c r="G6137" s="196" t="s">
        <v>11720</v>
      </c>
      <c r="H6137" s="196" t="s">
        <v>11235</v>
      </c>
    </row>
    <row r="6138" spans="1:8" x14ac:dyDescent="0.15">
      <c r="A6138" s="196" t="s">
        <v>11229</v>
      </c>
      <c r="B6138" s="196" t="s">
        <v>11230</v>
      </c>
      <c r="C6138" s="196" t="s">
        <v>25360</v>
      </c>
      <c r="D6138" s="196" t="s">
        <v>25361</v>
      </c>
      <c r="E6138" s="196" t="s">
        <v>25361</v>
      </c>
      <c r="F6138" s="196" t="s">
        <v>11233</v>
      </c>
      <c r="G6138" s="196" t="s">
        <v>11720</v>
      </c>
      <c r="H6138" s="196" t="s">
        <v>11235</v>
      </c>
    </row>
    <row r="6139" spans="1:8" x14ac:dyDescent="0.15">
      <c r="A6139" s="196" t="s">
        <v>11229</v>
      </c>
      <c r="B6139" s="196" t="s">
        <v>11230</v>
      </c>
      <c r="C6139" s="196" t="s">
        <v>25362</v>
      </c>
      <c r="D6139" s="196" t="s">
        <v>25363</v>
      </c>
      <c r="E6139" s="196" t="s">
        <v>25364</v>
      </c>
      <c r="F6139" s="196" t="s">
        <v>11268</v>
      </c>
      <c r="G6139" s="196" t="s">
        <v>12378</v>
      </c>
      <c r="H6139" s="196" t="s">
        <v>11235</v>
      </c>
    </row>
    <row r="6140" spans="1:8" x14ac:dyDescent="0.15">
      <c r="A6140" s="196" t="s">
        <v>11229</v>
      </c>
      <c r="B6140" s="196" t="s">
        <v>11230</v>
      </c>
      <c r="C6140" s="196" t="s">
        <v>25365</v>
      </c>
      <c r="D6140" s="196" t="s">
        <v>25366</v>
      </c>
      <c r="E6140" s="196" t="s">
        <v>25366</v>
      </c>
      <c r="F6140" s="196" t="s">
        <v>11233</v>
      </c>
      <c r="G6140" s="196" t="s">
        <v>11720</v>
      </c>
      <c r="H6140" s="196" t="s">
        <v>11235</v>
      </c>
    </row>
    <row r="6141" spans="1:8" x14ac:dyDescent="0.15">
      <c r="A6141" s="196" t="s">
        <v>11229</v>
      </c>
      <c r="B6141" s="196" t="s">
        <v>11230</v>
      </c>
      <c r="C6141" s="196" t="s">
        <v>25367</v>
      </c>
      <c r="D6141" s="196" t="s">
        <v>25368</v>
      </c>
      <c r="E6141" s="196" t="s">
        <v>25368</v>
      </c>
      <c r="F6141" s="196" t="s">
        <v>11233</v>
      </c>
      <c r="G6141" s="196" t="s">
        <v>12378</v>
      </c>
      <c r="H6141" s="196" t="s">
        <v>11235</v>
      </c>
    </row>
    <row r="6142" spans="1:8" x14ac:dyDescent="0.15">
      <c r="A6142" s="196" t="s">
        <v>11229</v>
      </c>
      <c r="B6142" s="196" t="s">
        <v>11230</v>
      </c>
      <c r="C6142" s="196" t="s">
        <v>25369</v>
      </c>
      <c r="D6142" s="196" t="s">
        <v>25370</v>
      </c>
      <c r="E6142" s="196" t="s">
        <v>25370</v>
      </c>
      <c r="F6142" s="196" t="s">
        <v>11233</v>
      </c>
      <c r="G6142" s="196" t="s">
        <v>12378</v>
      </c>
      <c r="H6142" s="196" t="s">
        <v>11235</v>
      </c>
    </row>
    <row r="6143" spans="1:8" x14ac:dyDescent="0.15">
      <c r="A6143" s="196" t="s">
        <v>11229</v>
      </c>
      <c r="B6143" s="196" t="s">
        <v>11230</v>
      </c>
      <c r="C6143" s="196" t="s">
        <v>25371</v>
      </c>
      <c r="D6143" s="196" t="s">
        <v>25372</v>
      </c>
      <c r="E6143" s="196" t="s">
        <v>25372</v>
      </c>
      <c r="F6143" s="196" t="s">
        <v>11233</v>
      </c>
      <c r="G6143" s="196" t="s">
        <v>11720</v>
      </c>
      <c r="H6143" s="196" t="s">
        <v>11235</v>
      </c>
    </row>
    <row r="6144" spans="1:8" x14ac:dyDescent="0.15">
      <c r="A6144" s="196" t="s">
        <v>11229</v>
      </c>
      <c r="B6144" s="196" t="s">
        <v>11230</v>
      </c>
      <c r="C6144" s="196" t="s">
        <v>25373</v>
      </c>
      <c r="D6144" s="196" t="s">
        <v>25374</v>
      </c>
      <c r="E6144" s="196" t="s">
        <v>25374</v>
      </c>
      <c r="F6144" s="196" t="s">
        <v>11233</v>
      </c>
      <c r="G6144" s="196" t="s">
        <v>11720</v>
      </c>
      <c r="H6144" s="196" t="s">
        <v>11235</v>
      </c>
    </row>
    <row r="6145" spans="1:8" x14ac:dyDescent="0.15">
      <c r="A6145" s="196" t="s">
        <v>11229</v>
      </c>
      <c r="B6145" s="196" t="s">
        <v>11230</v>
      </c>
      <c r="C6145" s="196" t="s">
        <v>25375</v>
      </c>
      <c r="D6145" s="196" t="s">
        <v>25376</v>
      </c>
      <c r="E6145" s="196" t="s">
        <v>25376</v>
      </c>
      <c r="F6145" s="196" t="s">
        <v>11233</v>
      </c>
      <c r="G6145" s="196" t="s">
        <v>11720</v>
      </c>
      <c r="H6145" s="196" t="s">
        <v>11235</v>
      </c>
    </row>
    <row r="6146" spans="1:8" x14ac:dyDescent="0.15">
      <c r="A6146" s="196" t="s">
        <v>11229</v>
      </c>
      <c r="B6146" s="196" t="s">
        <v>11230</v>
      </c>
      <c r="C6146" s="196" t="s">
        <v>25377</v>
      </c>
      <c r="D6146" s="196" t="s">
        <v>25378</v>
      </c>
      <c r="E6146" s="196" t="s">
        <v>25378</v>
      </c>
      <c r="F6146" s="196" t="s">
        <v>11233</v>
      </c>
      <c r="G6146" s="196" t="s">
        <v>11720</v>
      </c>
      <c r="H6146" s="196" t="s">
        <v>11235</v>
      </c>
    </row>
    <row r="6147" spans="1:8" x14ac:dyDescent="0.15">
      <c r="A6147" s="196" t="s">
        <v>11229</v>
      </c>
      <c r="B6147" s="196" t="s">
        <v>11230</v>
      </c>
      <c r="C6147" s="196" t="s">
        <v>25379</v>
      </c>
      <c r="D6147" s="196" t="s">
        <v>25380</v>
      </c>
      <c r="E6147" s="196" t="s">
        <v>25380</v>
      </c>
      <c r="F6147" s="196" t="s">
        <v>11233</v>
      </c>
      <c r="G6147" s="196" t="s">
        <v>11720</v>
      </c>
      <c r="H6147" s="196" t="s">
        <v>11235</v>
      </c>
    </row>
    <row r="6148" spans="1:8" x14ac:dyDescent="0.15">
      <c r="A6148" s="196" t="s">
        <v>11229</v>
      </c>
      <c r="B6148" s="196" t="s">
        <v>11230</v>
      </c>
      <c r="C6148" s="196" t="s">
        <v>25381</v>
      </c>
      <c r="D6148" s="196" t="s">
        <v>25382</v>
      </c>
      <c r="E6148" s="196" t="s">
        <v>25383</v>
      </c>
      <c r="F6148" s="196" t="s">
        <v>13023</v>
      </c>
      <c r="G6148" s="196" t="s">
        <v>12378</v>
      </c>
      <c r="H6148" s="196" t="s">
        <v>11235</v>
      </c>
    </row>
    <row r="6149" spans="1:8" x14ac:dyDescent="0.15">
      <c r="A6149" s="196" t="s">
        <v>11229</v>
      </c>
      <c r="B6149" s="196" t="s">
        <v>11230</v>
      </c>
      <c r="C6149" s="196" t="s">
        <v>25384</v>
      </c>
      <c r="D6149" s="196" t="s">
        <v>25383</v>
      </c>
      <c r="E6149" s="196" t="s">
        <v>25385</v>
      </c>
      <c r="F6149" s="196" t="s">
        <v>11241</v>
      </c>
      <c r="G6149" s="196" t="s">
        <v>12378</v>
      </c>
      <c r="H6149" s="196" t="s">
        <v>11235</v>
      </c>
    </row>
    <row r="6150" spans="1:8" x14ac:dyDescent="0.15">
      <c r="A6150" s="196" t="s">
        <v>11229</v>
      </c>
      <c r="B6150" s="196" t="s">
        <v>11230</v>
      </c>
      <c r="C6150" s="196" t="s">
        <v>25386</v>
      </c>
      <c r="D6150" s="196" t="s">
        <v>25385</v>
      </c>
      <c r="E6150" s="196" t="s">
        <v>25387</v>
      </c>
      <c r="F6150" s="196" t="s">
        <v>11241</v>
      </c>
      <c r="G6150" s="196" t="s">
        <v>12378</v>
      </c>
      <c r="H6150" s="196" t="s">
        <v>11235</v>
      </c>
    </row>
    <row r="6151" spans="1:8" x14ac:dyDescent="0.15">
      <c r="A6151" s="196" t="s">
        <v>11229</v>
      </c>
      <c r="B6151" s="196" t="s">
        <v>11230</v>
      </c>
      <c r="C6151" s="196" t="s">
        <v>25388</v>
      </c>
      <c r="D6151" s="196" t="s">
        <v>25389</v>
      </c>
      <c r="E6151" s="196" t="s">
        <v>25389</v>
      </c>
      <c r="F6151" s="196" t="s">
        <v>11233</v>
      </c>
      <c r="G6151" s="196" t="s">
        <v>11720</v>
      </c>
      <c r="H6151" s="196" t="s">
        <v>11235</v>
      </c>
    </row>
    <row r="6152" spans="1:8" x14ac:dyDescent="0.15">
      <c r="A6152" s="196" t="s">
        <v>11229</v>
      </c>
      <c r="B6152" s="196" t="s">
        <v>11230</v>
      </c>
      <c r="C6152" s="196" t="s">
        <v>25390</v>
      </c>
      <c r="D6152" s="196" t="s">
        <v>25391</v>
      </c>
      <c r="E6152" s="196" t="s">
        <v>25391</v>
      </c>
      <c r="F6152" s="196" t="s">
        <v>11233</v>
      </c>
      <c r="G6152" s="196" t="s">
        <v>11720</v>
      </c>
      <c r="H6152" s="196" t="s">
        <v>11235</v>
      </c>
    </row>
    <row r="6153" spans="1:8" x14ac:dyDescent="0.15">
      <c r="A6153" s="196" t="s">
        <v>11229</v>
      </c>
      <c r="B6153" s="196" t="s">
        <v>11230</v>
      </c>
      <c r="C6153" s="196" t="s">
        <v>25392</v>
      </c>
      <c r="D6153" s="196" t="s">
        <v>25393</v>
      </c>
      <c r="E6153" s="196" t="s">
        <v>25393</v>
      </c>
      <c r="F6153" s="196" t="s">
        <v>11233</v>
      </c>
      <c r="G6153" s="196" t="s">
        <v>11720</v>
      </c>
      <c r="H6153" s="196" t="s">
        <v>11235</v>
      </c>
    </row>
    <row r="6154" spans="1:8" x14ac:dyDescent="0.15">
      <c r="A6154" s="196" t="s">
        <v>11229</v>
      </c>
      <c r="B6154" s="196" t="s">
        <v>11230</v>
      </c>
      <c r="C6154" s="196" t="s">
        <v>25394</v>
      </c>
      <c r="D6154" s="196" t="s">
        <v>25395</v>
      </c>
      <c r="E6154" s="196" t="s">
        <v>25396</v>
      </c>
      <c r="F6154" s="196" t="s">
        <v>13023</v>
      </c>
      <c r="G6154" s="196" t="s">
        <v>12378</v>
      </c>
      <c r="H6154" s="196" t="s">
        <v>11235</v>
      </c>
    </row>
    <row r="6155" spans="1:8" x14ac:dyDescent="0.15">
      <c r="A6155" s="196" t="s">
        <v>11229</v>
      </c>
      <c r="B6155" s="196" t="s">
        <v>11230</v>
      </c>
      <c r="C6155" s="196" t="s">
        <v>25397</v>
      </c>
      <c r="D6155" s="196" t="s">
        <v>25396</v>
      </c>
      <c r="E6155" s="196" t="s">
        <v>25398</v>
      </c>
      <c r="F6155" s="196" t="s">
        <v>11241</v>
      </c>
      <c r="G6155" s="196" t="s">
        <v>12378</v>
      </c>
      <c r="H6155" s="196" t="s">
        <v>11235</v>
      </c>
    </row>
    <row r="6156" spans="1:8" x14ac:dyDescent="0.15">
      <c r="A6156" s="196" t="s">
        <v>11229</v>
      </c>
      <c r="B6156" s="196" t="s">
        <v>11230</v>
      </c>
      <c r="C6156" s="196" t="s">
        <v>25399</v>
      </c>
      <c r="D6156" s="196" t="s">
        <v>25398</v>
      </c>
      <c r="E6156" s="196" t="s">
        <v>25400</v>
      </c>
      <c r="F6156" s="196" t="s">
        <v>11241</v>
      </c>
      <c r="G6156" s="196" t="s">
        <v>12378</v>
      </c>
      <c r="H6156" s="196" t="s">
        <v>11235</v>
      </c>
    </row>
    <row r="6157" spans="1:8" x14ac:dyDescent="0.15">
      <c r="A6157" s="196" t="s">
        <v>11229</v>
      </c>
      <c r="B6157" s="196" t="s">
        <v>11230</v>
      </c>
      <c r="C6157" s="196" t="s">
        <v>25401</v>
      </c>
      <c r="D6157" s="196" t="s">
        <v>25400</v>
      </c>
      <c r="E6157" s="196" t="s">
        <v>25402</v>
      </c>
      <c r="F6157" s="196" t="s">
        <v>11268</v>
      </c>
      <c r="G6157" s="196" t="s">
        <v>12378</v>
      </c>
      <c r="H6157" s="196" t="s">
        <v>11235</v>
      </c>
    </row>
    <row r="6158" spans="1:8" x14ac:dyDescent="0.15">
      <c r="A6158" s="196" t="s">
        <v>11229</v>
      </c>
      <c r="B6158" s="196" t="s">
        <v>11230</v>
      </c>
      <c r="C6158" s="196" t="s">
        <v>25403</v>
      </c>
      <c r="D6158" s="196" t="s">
        <v>25404</v>
      </c>
      <c r="E6158" s="196" t="s">
        <v>25404</v>
      </c>
      <c r="F6158" s="196" t="s">
        <v>11233</v>
      </c>
      <c r="G6158" s="196" t="s">
        <v>12378</v>
      </c>
      <c r="H6158" s="196" t="s">
        <v>11235</v>
      </c>
    </row>
    <row r="6159" spans="1:8" x14ac:dyDescent="0.15">
      <c r="A6159" s="196" t="s">
        <v>11229</v>
      </c>
      <c r="B6159" s="196" t="s">
        <v>11230</v>
      </c>
      <c r="C6159" s="196" t="s">
        <v>25405</v>
      </c>
      <c r="D6159" s="196" t="s">
        <v>25406</v>
      </c>
      <c r="E6159" s="196" t="s">
        <v>25406</v>
      </c>
      <c r="F6159" s="196" t="s">
        <v>11233</v>
      </c>
      <c r="G6159" s="196" t="s">
        <v>11720</v>
      </c>
      <c r="H6159" s="196" t="s">
        <v>11235</v>
      </c>
    </row>
    <row r="6160" spans="1:8" x14ac:dyDescent="0.15">
      <c r="A6160" s="196" t="s">
        <v>11229</v>
      </c>
      <c r="B6160" s="196" t="s">
        <v>11230</v>
      </c>
      <c r="C6160" s="196" t="s">
        <v>25407</v>
      </c>
      <c r="D6160" s="196" t="s">
        <v>25408</v>
      </c>
      <c r="E6160" s="196" t="s">
        <v>25409</v>
      </c>
      <c r="F6160" s="196" t="s">
        <v>11241</v>
      </c>
      <c r="G6160" s="196" t="s">
        <v>12378</v>
      </c>
      <c r="H6160" s="196" t="s">
        <v>11235</v>
      </c>
    </row>
    <row r="6161" spans="1:8" x14ac:dyDescent="0.15">
      <c r="A6161" s="196" t="s">
        <v>11229</v>
      </c>
      <c r="B6161" s="196" t="s">
        <v>11230</v>
      </c>
      <c r="C6161" s="196" t="s">
        <v>25410</v>
      </c>
      <c r="D6161" s="196" t="s">
        <v>25409</v>
      </c>
      <c r="E6161" s="196" t="s">
        <v>25411</v>
      </c>
      <c r="F6161" s="196" t="s">
        <v>11268</v>
      </c>
      <c r="G6161" s="196" t="s">
        <v>11720</v>
      </c>
      <c r="H6161" s="196" t="s">
        <v>11235</v>
      </c>
    </row>
    <row r="6162" spans="1:8" x14ac:dyDescent="0.15">
      <c r="A6162" s="196" t="s">
        <v>11229</v>
      </c>
      <c r="B6162" s="196" t="s">
        <v>11230</v>
      </c>
      <c r="C6162" s="196" t="s">
        <v>25412</v>
      </c>
      <c r="D6162" s="196" t="s">
        <v>25411</v>
      </c>
      <c r="E6162" s="196" t="s">
        <v>25413</v>
      </c>
      <c r="F6162" s="196" t="s">
        <v>11241</v>
      </c>
      <c r="G6162" s="196" t="s">
        <v>11720</v>
      </c>
      <c r="H6162" s="196" t="s">
        <v>11235</v>
      </c>
    </row>
    <row r="6163" spans="1:8" x14ac:dyDescent="0.15">
      <c r="A6163" s="196" t="s">
        <v>11229</v>
      </c>
      <c r="B6163" s="196" t="s">
        <v>11230</v>
      </c>
      <c r="C6163" s="196" t="s">
        <v>25414</v>
      </c>
      <c r="D6163" s="196" t="s">
        <v>25413</v>
      </c>
      <c r="E6163" s="196" t="s">
        <v>25415</v>
      </c>
      <c r="F6163" s="196" t="s">
        <v>11241</v>
      </c>
      <c r="G6163" s="196" t="s">
        <v>11720</v>
      </c>
      <c r="H6163" s="196" t="s">
        <v>11235</v>
      </c>
    </row>
    <row r="6164" spans="1:8" x14ac:dyDescent="0.15">
      <c r="A6164" s="196" t="s">
        <v>11229</v>
      </c>
      <c r="B6164" s="196" t="s">
        <v>11230</v>
      </c>
      <c r="C6164" s="196" t="s">
        <v>25416</v>
      </c>
      <c r="D6164" s="196" t="s">
        <v>25417</v>
      </c>
      <c r="E6164" s="196" t="s">
        <v>25417</v>
      </c>
      <c r="F6164" s="196" t="s">
        <v>11233</v>
      </c>
      <c r="G6164" s="196" t="s">
        <v>12378</v>
      </c>
      <c r="H6164" s="196" t="s">
        <v>11235</v>
      </c>
    </row>
    <row r="6165" spans="1:8" x14ac:dyDescent="0.15">
      <c r="A6165" s="196" t="s">
        <v>11229</v>
      </c>
      <c r="B6165" s="196" t="s">
        <v>11230</v>
      </c>
      <c r="C6165" s="196" t="s">
        <v>25418</v>
      </c>
      <c r="D6165" s="196" t="s">
        <v>25419</v>
      </c>
      <c r="E6165" s="196" t="s">
        <v>25419</v>
      </c>
      <c r="F6165" s="196" t="s">
        <v>11233</v>
      </c>
      <c r="G6165" s="196" t="s">
        <v>12378</v>
      </c>
      <c r="H6165" s="196" t="s">
        <v>11235</v>
      </c>
    </row>
    <row r="6166" spans="1:8" x14ac:dyDescent="0.15">
      <c r="A6166" s="196" t="s">
        <v>11229</v>
      </c>
      <c r="B6166" s="196" t="s">
        <v>11230</v>
      </c>
      <c r="C6166" s="196" t="s">
        <v>25420</v>
      </c>
      <c r="D6166" s="196" t="s">
        <v>25421</v>
      </c>
      <c r="E6166" s="196" t="s">
        <v>25421</v>
      </c>
      <c r="F6166" s="196" t="s">
        <v>11233</v>
      </c>
      <c r="G6166" s="196" t="s">
        <v>12378</v>
      </c>
      <c r="H6166" s="196" t="s">
        <v>11235</v>
      </c>
    </row>
    <row r="6167" spans="1:8" x14ac:dyDescent="0.15">
      <c r="A6167" s="196" t="s">
        <v>11229</v>
      </c>
      <c r="B6167" s="196" t="s">
        <v>11230</v>
      </c>
      <c r="C6167" s="196" t="s">
        <v>25422</v>
      </c>
      <c r="D6167" s="196" t="s">
        <v>25423</v>
      </c>
      <c r="E6167" s="196" t="s">
        <v>25423</v>
      </c>
      <c r="F6167" s="196" t="s">
        <v>11233</v>
      </c>
      <c r="G6167" s="196" t="s">
        <v>11720</v>
      </c>
      <c r="H6167" s="196" t="s">
        <v>11235</v>
      </c>
    </row>
    <row r="6168" spans="1:8" x14ac:dyDescent="0.15">
      <c r="A6168" s="196" t="s">
        <v>11229</v>
      </c>
      <c r="B6168" s="196" t="s">
        <v>11230</v>
      </c>
      <c r="C6168" s="196" t="s">
        <v>25424</v>
      </c>
      <c r="D6168" s="196" t="s">
        <v>25425</v>
      </c>
      <c r="E6168" s="196" t="s">
        <v>25425</v>
      </c>
      <c r="F6168" s="196" t="s">
        <v>11233</v>
      </c>
      <c r="G6168" s="196" t="s">
        <v>11720</v>
      </c>
      <c r="H6168" s="196" t="s">
        <v>11235</v>
      </c>
    </row>
    <row r="6169" spans="1:8" x14ac:dyDescent="0.15">
      <c r="A6169" s="196" t="s">
        <v>11229</v>
      </c>
      <c r="B6169" s="196" t="s">
        <v>11230</v>
      </c>
      <c r="C6169" s="196" t="s">
        <v>25426</v>
      </c>
      <c r="D6169" s="196" t="s">
        <v>25427</v>
      </c>
      <c r="E6169" s="196" t="s">
        <v>25427</v>
      </c>
      <c r="F6169" s="196" t="s">
        <v>11233</v>
      </c>
      <c r="G6169" s="196" t="s">
        <v>11720</v>
      </c>
      <c r="H6169" s="196" t="s">
        <v>11235</v>
      </c>
    </row>
    <row r="6170" spans="1:8" x14ac:dyDescent="0.15">
      <c r="A6170" s="196" t="s">
        <v>11229</v>
      </c>
      <c r="B6170" s="196" t="s">
        <v>11230</v>
      </c>
      <c r="C6170" s="196" t="s">
        <v>25428</v>
      </c>
      <c r="D6170" s="196" t="s">
        <v>25429</v>
      </c>
      <c r="E6170" s="196" t="s">
        <v>25430</v>
      </c>
      <c r="F6170" s="196" t="s">
        <v>11268</v>
      </c>
      <c r="G6170" s="196" t="s">
        <v>12378</v>
      </c>
      <c r="H6170" s="196" t="s">
        <v>11235</v>
      </c>
    </row>
    <row r="6171" spans="1:8" x14ac:dyDescent="0.15">
      <c r="A6171" s="196" t="s">
        <v>11229</v>
      </c>
      <c r="B6171" s="196" t="s">
        <v>11230</v>
      </c>
      <c r="C6171" s="196" t="s">
        <v>25431</v>
      </c>
      <c r="D6171" s="196" t="s">
        <v>25432</v>
      </c>
      <c r="E6171" s="196" t="s">
        <v>25433</v>
      </c>
      <c r="F6171" s="196" t="s">
        <v>13023</v>
      </c>
      <c r="G6171" s="196" t="s">
        <v>12378</v>
      </c>
      <c r="H6171" s="196" t="s">
        <v>11235</v>
      </c>
    </row>
    <row r="6172" spans="1:8" x14ac:dyDescent="0.15">
      <c r="A6172" s="196" t="s">
        <v>11229</v>
      </c>
      <c r="B6172" s="196" t="s">
        <v>11230</v>
      </c>
      <c r="C6172" s="196" t="s">
        <v>25434</v>
      </c>
      <c r="D6172" s="196" t="s">
        <v>25435</v>
      </c>
      <c r="E6172" s="196" t="s">
        <v>25435</v>
      </c>
      <c r="F6172" s="196" t="s">
        <v>11233</v>
      </c>
      <c r="G6172" s="196" t="s">
        <v>11720</v>
      </c>
      <c r="H6172" s="196" t="s">
        <v>11235</v>
      </c>
    </row>
    <row r="6173" spans="1:8" x14ac:dyDescent="0.15">
      <c r="A6173" s="196" t="s">
        <v>11229</v>
      </c>
      <c r="B6173" s="196" t="s">
        <v>11230</v>
      </c>
      <c r="C6173" s="196" t="s">
        <v>25436</v>
      </c>
      <c r="D6173" s="196" t="s">
        <v>25437</v>
      </c>
      <c r="E6173" s="196" t="s">
        <v>25437</v>
      </c>
      <c r="F6173" s="196" t="s">
        <v>11233</v>
      </c>
      <c r="G6173" s="196" t="s">
        <v>12378</v>
      </c>
      <c r="H6173" s="196" t="s">
        <v>11235</v>
      </c>
    </row>
    <row r="6174" spans="1:8" x14ac:dyDescent="0.15">
      <c r="A6174" s="196" t="s">
        <v>11229</v>
      </c>
      <c r="B6174" s="196" t="s">
        <v>11230</v>
      </c>
      <c r="C6174" s="196" t="s">
        <v>25438</v>
      </c>
      <c r="D6174" s="196" t="s">
        <v>25439</v>
      </c>
      <c r="E6174" s="196" t="s">
        <v>25439</v>
      </c>
      <c r="F6174" s="196" t="s">
        <v>11233</v>
      </c>
      <c r="G6174" s="196" t="s">
        <v>11720</v>
      </c>
      <c r="H6174" s="196" t="s">
        <v>11235</v>
      </c>
    </row>
    <row r="6175" spans="1:8" x14ac:dyDescent="0.15">
      <c r="A6175" s="196" t="s">
        <v>11229</v>
      </c>
      <c r="B6175" s="196" t="s">
        <v>11230</v>
      </c>
      <c r="C6175" s="196" t="s">
        <v>25440</v>
      </c>
      <c r="D6175" s="196" t="s">
        <v>25441</v>
      </c>
      <c r="E6175" s="196" t="s">
        <v>25441</v>
      </c>
      <c r="F6175" s="196" t="s">
        <v>11233</v>
      </c>
      <c r="G6175" s="196" t="s">
        <v>11720</v>
      </c>
      <c r="H6175" s="196" t="s">
        <v>11235</v>
      </c>
    </row>
    <row r="6176" spans="1:8" x14ac:dyDescent="0.15">
      <c r="A6176" s="196" t="s">
        <v>11229</v>
      </c>
      <c r="B6176" s="196" t="s">
        <v>11230</v>
      </c>
      <c r="C6176" s="196" t="s">
        <v>25442</v>
      </c>
      <c r="D6176" s="196" t="s">
        <v>25443</v>
      </c>
      <c r="E6176" s="196" t="s">
        <v>25443</v>
      </c>
      <c r="F6176" s="196" t="s">
        <v>11233</v>
      </c>
      <c r="G6176" s="196" t="s">
        <v>12378</v>
      </c>
      <c r="H6176" s="196" t="s">
        <v>11235</v>
      </c>
    </row>
    <row r="6177" spans="1:8" x14ac:dyDescent="0.15">
      <c r="A6177" s="196" t="s">
        <v>11229</v>
      </c>
      <c r="B6177" s="196" t="s">
        <v>11230</v>
      </c>
      <c r="C6177" s="196" t="s">
        <v>25444</v>
      </c>
      <c r="D6177" s="196" t="s">
        <v>25445</v>
      </c>
      <c r="E6177" s="196" t="s">
        <v>25445</v>
      </c>
      <c r="F6177" s="196" t="s">
        <v>11233</v>
      </c>
      <c r="G6177" s="196" t="s">
        <v>12378</v>
      </c>
      <c r="H6177" s="196" t="s">
        <v>11235</v>
      </c>
    </row>
    <row r="6178" spans="1:8" x14ac:dyDescent="0.15">
      <c r="A6178" s="196" t="s">
        <v>11229</v>
      </c>
      <c r="B6178" s="196" t="s">
        <v>11230</v>
      </c>
      <c r="C6178" s="196" t="s">
        <v>25446</v>
      </c>
      <c r="D6178" s="196" t="s">
        <v>25447</v>
      </c>
      <c r="E6178" s="196" t="s">
        <v>25447</v>
      </c>
      <c r="F6178" s="196" t="s">
        <v>11233</v>
      </c>
      <c r="G6178" s="196" t="s">
        <v>12378</v>
      </c>
      <c r="H6178" s="196" t="s">
        <v>11235</v>
      </c>
    </row>
    <row r="6179" spans="1:8" x14ac:dyDescent="0.15">
      <c r="A6179" s="196" t="s">
        <v>11229</v>
      </c>
      <c r="B6179" s="196" t="s">
        <v>11230</v>
      </c>
      <c r="C6179" s="196" t="s">
        <v>25448</v>
      </c>
      <c r="D6179" s="196" t="s">
        <v>25449</v>
      </c>
      <c r="E6179" s="196" t="s">
        <v>25449</v>
      </c>
      <c r="F6179" s="196" t="s">
        <v>11233</v>
      </c>
      <c r="G6179" s="196" t="s">
        <v>12378</v>
      </c>
      <c r="H6179" s="196" t="s">
        <v>11235</v>
      </c>
    </row>
    <row r="6180" spans="1:8" x14ac:dyDescent="0.15">
      <c r="A6180" s="196" t="s">
        <v>11229</v>
      </c>
      <c r="B6180" s="196" t="s">
        <v>11230</v>
      </c>
      <c r="C6180" s="196" t="s">
        <v>25450</v>
      </c>
      <c r="D6180" s="196" t="s">
        <v>25449</v>
      </c>
      <c r="E6180" s="196" t="s">
        <v>25449</v>
      </c>
      <c r="F6180" s="196" t="s">
        <v>11233</v>
      </c>
      <c r="G6180" s="196" t="s">
        <v>11720</v>
      </c>
      <c r="H6180" s="196" t="s">
        <v>11235</v>
      </c>
    </row>
    <row r="6181" spans="1:8" x14ac:dyDescent="0.15">
      <c r="A6181" s="196" t="s">
        <v>11229</v>
      </c>
      <c r="B6181" s="196" t="s">
        <v>11230</v>
      </c>
      <c r="C6181" s="196" t="s">
        <v>25451</v>
      </c>
      <c r="D6181" s="196" t="s">
        <v>25452</v>
      </c>
      <c r="E6181" s="196" t="s">
        <v>25452</v>
      </c>
      <c r="F6181" s="196" t="s">
        <v>11233</v>
      </c>
      <c r="G6181" s="196" t="s">
        <v>12378</v>
      </c>
      <c r="H6181" s="196" t="s">
        <v>11235</v>
      </c>
    </row>
    <row r="6182" spans="1:8" x14ac:dyDescent="0.15">
      <c r="A6182" s="196" t="s">
        <v>11229</v>
      </c>
      <c r="B6182" s="196" t="s">
        <v>11230</v>
      </c>
      <c r="C6182" s="196" t="s">
        <v>25453</v>
      </c>
      <c r="D6182" s="196" t="s">
        <v>25452</v>
      </c>
      <c r="E6182" s="196" t="s">
        <v>25452</v>
      </c>
      <c r="F6182" s="196" t="s">
        <v>11233</v>
      </c>
      <c r="G6182" s="196" t="s">
        <v>11720</v>
      </c>
      <c r="H6182" s="196" t="s">
        <v>11235</v>
      </c>
    </row>
    <row r="6183" spans="1:8" x14ac:dyDescent="0.15">
      <c r="A6183" s="196" t="s">
        <v>11229</v>
      </c>
      <c r="B6183" s="196" t="s">
        <v>11230</v>
      </c>
      <c r="C6183" s="196" t="s">
        <v>25454</v>
      </c>
      <c r="D6183" s="196" t="s">
        <v>25455</v>
      </c>
      <c r="E6183" s="196" t="s">
        <v>25455</v>
      </c>
      <c r="F6183" s="196" t="s">
        <v>11233</v>
      </c>
      <c r="G6183" s="196" t="s">
        <v>12378</v>
      </c>
      <c r="H6183" s="196" t="s">
        <v>11235</v>
      </c>
    </row>
    <row r="6184" spans="1:8" x14ac:dyDescent="0.15">
      <c r="A6184" s="196" t="s">
        <v>11229</v>
      </c>
      <c r="B6184" s="196" t="s">
        <v>11230</v>
      </c>
      <c r="C6184" s="196" t="s">
        <v>25456</v>
      </c>
      <c r="D6184" s="196" t="s">
        <v>25455</v>
      </c>
      <c r="E6184" s="196" t="s">
        <v>25455</v>
      </c>
      <c r="F6184" s="196" t="s">
        <v>11233</v>
      </c>
      <c r="G6184" s="196" t="s">
        <v>11720</v>
      </c>
      <c r="H6184" s="196" t="s">
        <v>11235</v>
      </c>
    </row>
    <row r="6185" spans="1:8" x14ac:dyDescent="0.15">
      <c r="A6185" s="196" t="s">
        <v>11229</v>
      </c>
      <c r="B6185" s="196" t="s">
        <v>11230</v>
      </c>
      <c r="C6185" s="196" t="s">
        <v>25457</v>
      </c>
      <c r="D6185" s="196" t="s">
        <v>25458</v>
      </c>
      <c r="E6185" s="196" t="s">
        <v>25458</v>
      </c>
      <c r="F6185" s="196" t="s">
        <v>11233</v>
      </c>
      <c r="G6185" s="196" t="s">
        <v>12378</v>
      </c>
      <c r="H6185" s="196" t="s">
        <v>11235</v>
      </c>
    </row>
    <row r="6186" spans="1:8" x14ac:dyDescent="0.15">
      <c r="A6186" s="196" t="s">
        <v>11229</v>
      </c>
      <c r="B6186" s="196" t="s">
        <v>11230</v>
      </c>
      <c r="C6186" s="196" t="s">
        <v>25459</v>
      </c>
      <c r="D6186" s="196" t="s">
        <v>25460</v>
      </c>
      <c r="E6186" s="196" t="s">
        <v>25460</v>
      </c>
      <c r="F6186" s="196" t="s">
        <v>11233</v>
      </c>
      <c r="G6186" s="196" t="s">
        <v>12378</v>
      </c>
      <c r="H6186" s="196" t="s">
        <v>11235</v>
      </c>
    </row>
    <row r="6187" spans="1:8" x14ac:dyDescent="0.15">
      <c r="A6187" s="196" t="s">
        <v>11229</v>
      </c>
      <c r="B6187" s="196" t="s">
        <v>11230</v>
      </c>
      <c r="C6187" s="196" t="s">
        <v>25461</v>
      </c>
      <c r="D6187" s="196" t="s">
        <v>25462</v>
      </c>
      <c r="E6187" s="196" t="s">
        <v>25462</v>
      </c>
      <c r="F6187" s="196" t="s">
        <v>11233</v>
      </c>
      <c r="G6187" s="196" t="s">
        <v>12378</v>
      </c>
      <c r="H6187" s="196" t="s">
        <v>11235</v>
      </c>
    </row>
    <row r="6188" spans="1:8" x14ac:dyDescent="0.15">
      <c r="A6188" s="196" t="s">
        <v>11229</v>
      </c>
      <c r="B6188" s="196" t="s">
        <v>11230</v>
      </c>
      <c r="C6188" s="196" t="s">
        <v>25463</v>
      </c>
      <c r="D6188" s="196" t="s">
        <v>25464</v>
      </c>
      <c r="E6188" s="196" t="s">
        <v>25464</v>
      </c>
      <c r="F6188" s="196" t="s">
        <v>11233</v>
      </c>
      <c r="G6188" s="196" t="s">
        <v>12378</v>
      </c>
      <c r="H6188" s="196" t="s">
        <v>11235</v>
      </c>
    </row>
    <row r="6189" spans="1:8" x14ac:dyDescent="0.15">
      <c r="A6189" s="196" t="s">
        <v>11229</v>
      </c>
      <c r="B6189" s="196" t="s">
        <v>11230</v>
      </c>
      <c r="C6189" s="196" t="s">
        <v>25465</v>
      </c>
      <c r="D6189" s="196" t="s">
        <v>25466</v>
      </c>
      <c r="E6189" s="196" t="s">
        <v>25466</v>
      </c>
      <c r="F6189" s="196" t="s">
        <v>11233</v>
      </c>
      <c r="G6189" s="196" t="s">
        <v>12378</v>
      </c>
      <c r="H6189" s="196" t="s">
        <v>11235</v>
      </c>
    </row>
    <row r="6190" spans="1:8" x14ac:dyDescent="0.15">
      <c r="A6190" s="196" t="s">
        <v>11229</v>
      </c>
      <c r="B6190" s="196" t="s">
        <v>11230</v>
      </c>
      <c r="C6190" s="196" t="s">
        <v>25467</v>
      </c>
      <c r="D6190" s="196" t="s">
        <v>25468</v>
      </c>
      <c r="E6190" s="196" t="s">
        <v>25468</v>
      </c>
      <c r="F6190" s="196" t="s">
        <v>11233</v>
      </c>
      <c r="G6190" s="196" t="s">
        <v>12378</v>
      </c>
      <c r="H6190" s="196" t="s">
        <v>11235</v>
      </c>
    </row>
    <row r="6191" spans="1:8" x14ac:dyDescent="0.15">
      <c r="A6191" s="196" t="s">
        <v>11229</v>
      </c>
      <c r="B6191" s="196" t="s">
        <v>11230</v>
      </c>
      <c r="C6191" s="196" t="s">
        <v>25469</v>
      </c>
      <c r="D6191" s="196" t="s">
        <v>25470</v>
      </c>
      <c r="E6191" s="196" t="s">
        <v>25470</v>
      </c>
      <c r="F6191" s="196" t="s">
        <v>11233</v>
      </c>
      <c r="G6191" s="196" t="s">
        <v>11720</v>
      </c>
      <c r="H6191" s="196" t="s">
        <v>11235</v>
      </c>
    </row>
    <row r="6192" spans="1:8" x14ac:dyDescent="0.15">
      <c r="A6192" s="196" t="s">
        <v>11229</v>
      </c>
      <c r="B6192" s="196" t="s">
        <v>11230</v>
      </c>
      <c r="C6192" s="196" t="s">
        <v>25471</v>
      </c>
      <c r="D6192" s="196" t="s">
        <v>25472</v>
      </c>
      <c r="E6192" s="196" t="s">
        <v>25472</v>
      </c>
      <c r="F6192" s="196" t="s">
        <v>11233</v>
      </c>
      <c r="G6192" s="196" t="s">
        <v>11720</v>
      </c>
      <c r="H6192" s="196" t="s">
        <v>11235</v>
      </c>
    </row>
    <row r="6193" spans="1:8" x14ac:dyDescent="0.15">
      <c r="A6193" s="196" t="s">
        <v>11229</v>
      </c>
      <c r="B6193" s="196" t="s">
        <v>11230</v>
      </c>
      <c r="C6193" s="196" t="s">
        <v>25473</v>
      </c>
      <c r="D6193" s="196" t="s">
        <v>25474</v>
      </c>
      <c r="E6193" s="196" t="s">
        <v>25474</v>
      </c>
      <c r="F6193" s="196" t="s">
        <v>11233</v>
      </c>
      <c r="G6193" s="196" t="s">
        <v>11720</v>
      </c>
      <c r="H6193" s="196" t="s">
        <v>11235</v>
      </c>
    </row>
    <row r="6194" spans="1:8" x14ac:dyDescent="0.15">
      <c r="A6194" s="196" t="s">
        <v>11229</v>
      </c>
      <c r="B6194" s="196" t="s">
        <v>11230</v>
      </c>
      <c r="C6194" s="196" t="s">
        <v>25475</v>
      </c>
      <c r="D6194" s="196" t="s">
        <v>25476</v>
      </c>
      <c r="E6194" s="196" t="s">
        <v>25476</v>
      </c>
      <c r="F6194" s="196" t="s">
        <v>11233</v>
      </c>
      <c r="G6194" s="196" t="s">
        <v>11720</v>
      </c>
      <c r="H6194" s="196" t="s">
        <v>11235</v>
      </c>
    </row>
    <row r="6195" spans="1:8" x14ac:dyDescent="0.15">
      <c r="A6195" s="196" t="s">
        <v>11229</v>
      </c>
      <c r="B6195" s="196" t="s">
        <v>11230</v>
      </c>
      <c r="C6195" s="196" t="s">
        <v>25477</v>
      </c>
      <c r="D6195" s="196" t="s">
        <v>25478</v>
      </c>
      <c r="E6195" s="196" t="s">
        <v>25478</v>
      </c>
      <c r="F6195" s="196" t="s">
        <v>11233</v>
      </c>
      <c r="G6195" s="196" t="s">
        <v>12378</v>
      </c>
      <c r="H6195" s="196" t="s">
        <v>11235</v>
      </c>
    </row>
    <row r="6196" spans="1:8" x14ac:dyDescent="0.15">
      <c r="A6196" s="196" t="s">
        <v>11229</v>
      </c>
      <c r="B6196" s="196" t="s">
        <v>11230</v>
      </c>
      <c r="C6196" s="196" t="s">
        <v>25479</v>
      </c>
      <c r="D6196" s="196" t="s">
        <v>25480</v>
      </c>
      <c r="E6196" s="196" t="s">
        <v>25480</v>
      </c>
      <c r="F6196" s="196" t="s">
        <v>11233</v>
      </c>
      <c r="G6196" s="196" t="s">
        <v>11720</v>
      </c>
      <c r="H6196" s="196" t="s">
        <v>11235</v>
      </c>
    </row>
    <row r="6197" spans="1:8" x14ac:dyDescent="0.15">
      <c r="A6197" s="196" t="s">
        <v>11229</v>
      </c>
      <c r="B6197" s="196" t="s">
        <v>11230</v>
      </c>
      <c r="C6197" s="196" t="s">
        <v>25481</v>
      </c>
      <c r="D6197" s="196" t="s">
        <v>25482</v>
      </c>
      <c r="E6197" s="196" t="s">
        <v>25482</v>
      </c>
      <c r="F6197" s="196" t="s">
        <v>11233</v>
      </c>
      <c r="G6197" s="196" t="s">
        <v>12378</v>
      </c>
      <c r="H6197" s="196" t="s">
        <v>11235</v>
      </c>
    </row>
    <row r="6198" spans="1:8" x14ac:dyDescent="0.15">
      <c r="A6198" s="196" t="s">
        <v>11229</v>
      </c>
      <c r="B6198" s="196" t="s">
        <v>11230</v>
      </c>
      <c r="C6198" s="196" t="s">
        <v>25483</v>
      </c>
      <c r="D6198" s="196" t="s">
        <v>25484</v>
      </c>
      <c r="E6198" s="196" t="s">
        <v>25484</v>
      </c>
      <c r="F6198" s="196" t="s">
        <v>11233</v>
      </c>
      <c r="G6198" s="196" t="s">
        <v>12378</v>
      </c>
      <c r="H6198" s="196" t="s">
        <v>11235</v>
      </c>
    </row>
    <row r="6199" spans="1:8" x14ac:dyDescent="0.15">
      <c r="A6199" s="196" t="s">
        <v>11229</v>
      </c>
      <c r="B6199" s="196" t="s">
        <v>11230</v>
      </c>
      <c r="C6199" s="196" t="s">
        <v>25485</v>
      </c>
      <c r="D6199" s="196" t="s">
        <v>25486</v>
      </c>
      <c r="E6199" s="196" t="s">
        <v>25486</v>
      </c>
      <c r="F6199" s="196" t="s">
        <v>11233</v>
      </c>
      <c r="G6199" s="196" t="s">
        <v>12378</v>
      </c>
      <c r="H6199" s="196" t="s">
        <v>11235</v>
      </c>
    </row>
    <row r="6200" spans="1:8" x14ac:dyDescent="0.15">
      <c r="A6200" s="196" t="s">
        <v>11229</v>
      </c>
      <c r="B6200" s="196" t="s">
        <v>11230</v>
      </c>
      <c r="C6200" s="196" t="s">
        <v>25487</v>
      </c>
      <c r="D6200" s="196" t="s">
        <v>25488</v>
      </c>
      <c r="E6200" s="196" t="s">
        <v>25488</v>
      </c>
      <c r="F6200" s="196" t="s">
        <v>11233</v>
      </c>
      <c r="G6200" s="196" t="s">
        <v>12378</v>
      </c>
      <c r="H6200" s="196" t="s">
        <v>11235</v>
      </c>
    </row>
    <row r="6201" spans="1:8" x14ac:dyDescent="0.15">
      <c r="A6201" s="196" t="s">
        <v>11229</v>
      </c>
      <c r="B6201" s="196" t="s">
        <v>11230</v>
      </c>
      <c r="C6201" s="196" t="s">
        <v>25489</v>
      </c>
      <c r="D6201" s="196" t="s">
        <v>25490</v>
      </c>
      <c r="E6201" s="196" t="s">
        <v>25490</v>
      </c>
      <c r="F6201" s="196" t="s">
        <v>11233</v>
      </c>
      <c r="G6201" s="196" t="s">
        <v>12378</v>
      </c>
      <c r="H6201" s="196" t="s">
        <v>11235</v>
      </c>
    </row>
    <row r="6202" spans="1:8" x14ac:dyDescent="0.15">
      <c r="A6202" s="196" t="s">
        <v>11229</v>
      </c>
      <c r="B6202" s="196" t="s">
        <v>11230</v>
      </c>
      <c r="C6202" s="196" t="s">
        <v>25491</v>
      </c>
      <c r="D6202" s="196" t="s">
        <v>25492</v>
      </c>
      <c r="E6202" s="196" t="s">
        <v>25492</v>
      </c>
      <c r="F6202" s="196" t="s">
        <v>11233</v>
      </c>
      <c r="G6202" s="196" t="s">
        <v>11720</v>
      </c>
      <c r="H6202" s="196" t="s">
        <v>11235</v>
      </c>
    </row>
    <row r="6203" spans="1:8" x14ac:dyDescent="0.15">
      <c r="A6203" s="196" t="s">
        <v>11229</v>
      </c>
      <c r="B6203" s="196" t="s">
        <v>11230</v>
      </c>
      <c r="C6203" s="196" t="s">
        <v>25493</v>
      </c>
      <c r="D6203" s="196" t="s">
        <v>25494</v>
      </c>
      <c r="E6203" s="196" t="s">
        <v>25494</v>
      </c>
      <c r="F6203" s="196" t="s">
        <v>11233</v>
      </c>
      <c r="G6203" s="196" t="s">
        <v>11720</v>
      </c>
      <c r="H6203" s="196" t="s">
        <v>11235</v>
      </c>
    </row>
    <row r="6204" spans="1:8" x14ac:dyDescent="0.15">
      <c r="A6204" s="196" t="s">
        <v>11229</v>
      </c>
      <c r="B6204" s="196" t="s">
        <v>11230</v>
      </c>
      <c r="C6204" s="196" t="s">
        <v>25495</v>
      </c>
      <c r="D6204" s="196" t="s">
        <v>25496</v>
      </c>
      <c r="E6204" s="196" t="s">
        <v>25496</v>
      </c>
      <c r="F6204" s="196" t="s">
        <v>11233</v>
      </c>
      <c r="G6204" s="196" t="s">
        <v>11720</v>
      </c>
      <c r="H6204" s="196" t="s">
        <v>11235</v>
      </c>
    </row>
    <row r="6205" spans="1:8" x14ac:dyDescent="0.15">
      <c r="A6205" s="196" t="s">
        <v>11229</v>
      </c>
      <c r="B6205" s="196" t="s">
        <v>11230</v>
      </c>
      <c r="C6205" s="196" t="s">
        <v>25497</v>
      </c>
      <c r="D6205" s="196" t="s">
        <v>25498</v>
      </c>
      <c r="E6205" s="196" t="s">
        <v>25498</v>
      </c>
      <c r="F6205" s="196" t="s">
        <v>11233</v>
      </c>
      <c r="G6205" s="196" t="s">
        <v>11720</v>
      </c>
      <c r="H6205" s="196" t="s">
        <v>11235</v>
      </c>
    </row>
    <row r="6206" spans="1:8" x14ac:dyDescent="0.15">
      <c r="A6206" s="196" t="s">
        <v>11229</v>
      </c>
      <c r="B6206" s="196" t="s">
        <v>11230</v>
      </c>
      <c r="C6206" s="196" t="s">
        <v>25499</v>
      </c>
      <c r="D6206" s="196" t="s">
        <v>25498</v>
      </c>
      <c r="E6206" s="196" t="s">
        <v>25498</v>
      </c>
      <c r="F6206" s="196" t="s">
        <v>11233</v>
      </c>
      <c r="G6206" s="196" t="s">
        <v>12378</v>
      </c>
      <c r="H6206" s="196" t="s">
        <v>11235</v>
      </c>
    </row>
    <row r="6207" spans="1:8" x14ac:dyDescent="0.15">
      <c r="A6207" s="196" t="s">
        <v>11229</v>
      </c>
      <c r="B6207" s="196" t="s">
        <v>11230</v>
      </c>
      <c r="C6207" s="196" t="s">
        <v>25500</v>
      </c>
      <c r="D6207" s="196" t="s">
        <v>25501</v>
      </c>
      <c r="E6207" s="196" t="s">
        <v>25501</v>
      </c>
      <c r="F6207" s="196" t="s">
        <v>11233</v>
      </c>
      <c r="G6207" s="196" t="s">
        <v>11720</v>
      </c>
      <c r="H6207" s="196" t="s">
        <v>11235</v>
      </c>
    </row>
    <row r="6208" spans="1:8" x14ac:dyDescent="0.15">
      <c r="A6208" s="196" t="s">
        <v>11229</v>
      </c>
      <c r="B6208" s="196" t="s">
        <v>11230</v>
      </c>
      <c r="C6208" s="196" t="s">
        <v>25502</v>
      </c>
      <c r="D6208" s="196" t="s">
        <v>25503</v>
      </c>
      <c r="E6208" s="196" t="s">
        <v>25503</v>
      </c>
      <c r="F6208" s="196" t="s">
        <v>11233</v>
      </c>
      <c r="G6208" s="196" t="s">
        <v>11720</v>
      </c>
      <c r="H6208" s="196" t="s">
        <v>11235</v>
      </c>
    </row>
    <row r="6209" spans="1:8" x14ac:dyDescent="0.15">
      <c r="A6209" s="196" t="s">
        <v>11229</v>
      </c>
      <c r="B6209" s="196" t="s">
        <v>11230</v>
      </c>
      <c r="C6209" s="196" t="s">
        <v>25504</v>
      </c>
      <c r="D6209" s="196" t="s">
        <v>25505</v>
      </c>
      <c r="E6209" s="196" t="s">
        <v>25505</v>
      </c>
      <c r="F6209" s="196" t="s">
        <v>11233</v>
      </c>
      <c r="G6209" s="196" t="s">
        <v>11720</v>
      </c>
      <c r="H6209" s="196" t="s">
        <v>11235</v>
      </c>
    </row>
    <row r="6210" spans="1:8" x14ac:dyDescent="0.15">
      <c r="A6210" s="196" t="s">
        <v>11229</v>
      </c>
      <c r="B6210" s="196" t="s">
        <v>11230</v>
      </c>
      <c r="C6210" s="196" t="s">
        <v>25506</v>
      </c>
      <c r="D6210" s="196" t="s">
        <v>25507</v>
      </c>
      <c r="E6210" s="196" t="s">
        <v>25507</v>
      </c>
      <c r="F6210" s="196" t="s">
        <v>11233</v>
      </c>
      <c r="G6210" s="196" t="s">
        <v>11720</v>
      </c>
      <c r="H6210" s="196" t="s">
        <v>11235</v>
      </c>
    </row>
    <row r="6211" spans="1:8" x14ac:dyDescent="0.15">
      <c r="A6211" s="196" t="s">
        <v>11229</v>
      </c>
      <c r="B6211" s="196" t="s">
        <v>11230</v>
      </c>
      <c r="C6211" s="196" t="s">
        <v>25508</v>
      </c>
      <c r="D6211" s="196" t="s">
        <v>25509</v>
      </c>
      <c r="E6211" s="196" t="s">
        <v>25509</v>
      </c>
      <c r="F6211" s="196" t="s">
        <v>11233</v>
      </c>
      <c r="G6211" s="196" t="s">
        <v>11720</v>
      </c>
      <c r="H6211" s="196" t="s">
        <v>11235</v>
      </c>
    </row>
    <row r="6212" spans="1:8" x14ac:dyDescent="0.15">
      <c r="A6212" s="196" t="s">
        <v>11229</v>
      </c>
      <c r="B6212" s="196" t="s">
        <v>11230</v>
      </c>
      <c r="C6212" s="196" t="s">
        <v>25510</v>
      </c>
      <c r="D6212" s="196" t="s">
        <v>25511</v>
      </c>
      <c r="E6212" s="196" t="s">
        <v>25512</v>
      </c>
      <c r="F6212" s="196" t="s">
        <v>11241</v>
      </c>
      <c r="G6212" s="196" t="s">
        <v>12378</v>
      </c>
      <c r="H6212" s="196" t="s">
        <v>11235</v>
      </c>
    </row>
    <row r="6213" spans="1:8" x14ac:dyDescent="0.15">
      <c r="A6213" s="196" t="s">
        <v>11229</v>
      </c>
      <c r="B6213" s="196" t="s">
        <v>11230</v>
      </c>
      <c r="C6213" s="196" t="s">
        <v>25513</v>
      </c>
      <c r="D6213" s="196" t="s">
        <v>25512</v>
      </c>
      <c r="E6213" s="196" t="s">
        <v>25514</v>
      </c>
      <c r="F6213" s="196" t="s">
        <v>11241</v>
      </c>
      <c r="G6213" s="196" t="s">
        <v>12378</v>
      </c>
      <c r="H6213" s="196" t="s">
        <v>11235</v>
      </c>
    </row>
    <row r="6214" spans="1:8" x14ac:dyDescent="0.15">
      <c r="A6214" s="196" t="s">
        <v>11229</v>
      </c>
      <c r="B6214" s="196" t="s">
        <v>11230</v>
      </c>
      <c r="C6214" s="196" t="s">
        <v>25515</v>
      </c>
      <c r="D6214" s="196" t="s">
        <v>25514</v>
      </c>
      <c r="E6214" s="196" t="s">
        <v>25516</v>
      </c>
      <c r="F6214" s="196" t="s">
        <v>11268</v>
      </c>
      <c r="G6214" s="196" t="s">
        <v>12378</v>
      </c>
      <c r="H6214" s="196" t="s">
        <v>11235</v>
      </c>
    </row>
    <row r="6215" spans="1:8" x14ac:dyDescent="0.15">
      <c r="A6215" s="196" t="s">
        <v>11229</v>
      </c>
      <c r="B6215" s="196" t="s">
        <v>11230</v>
      </c>
      <c r="C6215" s="196" t="s">
        <v>25517</v>
      </c>
      <c r="D6215" s="196" t="s">
        <v>25516</v>
      </c>
      <c r="E6215" s="196" t="s">
        <v>25518</v>
      </c>
      <c r="F6215" s="196" t="s">
        <v>11241</v>
      </c>
      <c r="G6215" s="196" t="s">
        <v>12378</v>
      </c>
      <c r="H6215" s="196" t="s">
        <v>11235</v>
      </c>
    </row>
    <row r="6216" spans="1:8" x14ac:dyDescent="0.15">
      <c r="A6216" s="196" t="s">
        <v>11229</v>
      </c>
      <c r="B6216" s="196" t="s">
        <v>11230</v>
      </c>
      <c r="C6216" s="196" t="s">
        <v>25519</v>
      </c>
      <c r="D6216" s="196" t="s">
        <v>25518</v>
      </c>
      <c r="E6216" s="196" t="s">
        <v>25520</v>
      </c>
      <c r="F6216" s="196" t="s">
        <v>11268</v>
      </c>
      <c r="G6216" s="196" t="s">
        <v>12378</v>
      </c>
      <c r="H6216" s="196" t="s">
        <v>11235</v>
      </c>
    </row>
    <row r="6217" spans="1:8" x14ac:dyDescent="0.15">
      <c r="A6217" s="196" t="s">
        <v>11229</v>
      </c>
      <c r="B6217" s="196" t="s">
        <v>11230</v>
      </c>
      <c r="C6217" s="196" t="s">
        <v>25521</v>
      </c>
      <c r="D6217" s="196" t="s">
        <v>25520</v>
      </c>
      <c r="E6217" s="196" t="s">
        <v>25522</v>
      </c>
      <c r="F6217" s="196" t="s">
        <v>11241</v>
      </c>
      <c r="G6217" s="196" t="s">
        <v>12378</v>
      </c>
      <c r="H6217" s="196" t="s">
        <v>11235</v>
      </c>
    </row>
    <row r="6218" spans="1:8" x14ac:dyDescent="0.15">
      <c r="A6218" s="196" t="s">
        <v>11229</v>
      </c>
      <c r="B6218" s="196" t="s">
        <v>11230</v>
      </c>
      <c r="C6218" s="196" t="s">
        <v>25523</v>
      </c>
      <c r="D6218" s="196" t="s">
        <v>25522</v>
      </c>
      <c r="E6218" s="196" t="s">
        <v>25524</v>
      </c>
      <c r="F6218" s="196" t="s">
        <v>11241</v>
      </c>
      <c r="G6218" s="196" t="s">
        <v>12378</v>
      </c>
      <c r="H6218" s="196" t="s">
        <v>11235</v>
      </c>
    </row>
    <row r="6219" spans="1:8" x14ac:dyDescent="0.15">
      <c r="A6219" s="196" t="s">
        <v>11229</v>
      </c>
      <c r="B6219" s="196" t="s">
        <v>11230</v>
      </c>
      <c r="C6219" s="196" t="s">
        <v>25525</v>
      </c>
      <c r="D6219" s="196" t="s">
        <v>25522</v>
      </c>
      <c r="E6219" s="196" t="s">
        <v>25522</v>
      </c>
      <c r="F6219" s="196" t="s">
        <v>11233</v>
      </c>
      <c r="G6219" s="196" t="s">
        <v>11720</v>
      </c>
      <c r="H6219" s="196" t="s">
        <v>11235</v>
      </c>
    </row>
    <row r="6220" spans="1:8" x14ac:dyDescent="0.15">
      <c r="A6220" s="196" t="s">
        <v>11229</v>
      </c>
      <c r="B6220" s="196" t="s">
        <v>11230</v>
      </c>
      <c r="C6220" s="196" t="s">
        <v>25526</v>
      </c>
      <c r="D6220" s="196" t="s">
        <v>25524</v>
      </c>
      <c r="E6220" s="196" t="s">
        <v>25527</v>
      </c>
      <c r="F6220" s="196" t="s">
        <v>11268</v>
      </c>
      <c r="G6220" s="196" t="s">
        <v>12378</v>
      </c>
      <c r="H6220" s="196" t="s">
        <v>11235</v>
      </c>
    </row>
    <row r="6221" spans="1:8" x14ac:dyDescent="0.15">
      <c r="A6221" s="196" t="s">
        <v>11229</v>
      </c>
      <c r="B6221" s="196" t="s">
        <v>11230</v>
      </c>
      <c r="C6221" s="196" t="s">
        <v>25528</v>
      </c>
      <c r="D6221" s="196" t="s">
        <v>25524</v>
      </c>
      <c r="E6221" s="196" t="s">
        <v>25524</v>
      </c>
      <c r="F6221" s="196" t="s">
        <v>11233</v>
      </c>
      <c r="G6221" s="196" t="s">
        <v>11720</v>
      </c>
      <c r="H6221" s="196" t="s">
        <v>11235</v>
      </c>
    </row>
    <row r="6222" spans="1:8" x14ac:dyDescent="0.15">
      <c r="A6222" s="196" t="s">
        <v>11229</v>
      </c>
      <c r="B6222" s="196" t="s">
        <v>11230</v>
      </c>
      <c r="C6222" s="196" t="s">
        <v>25529</v>
      </c>
      <c r="D6222" s="196" t="s">
        <v>25527</v>
      </c>
      <c r="E6222" s="196" t="s">
        <v>25527</v>
      </c>
      <c r="F6222" s="196" t="s">
        <v>11233</v>
      </c>
      <c r="G6222" s="196" t="s">
        <v>11720</v>
      </c>
      <c r="H6222" s="196" t="s">
        <v>11235</v>
      </c>
    </row>
    <row r="6223" spans="1:8" x14ac:dyDescent="0.15">
      <c r="A6223" s="196" t="s">
        <v>11229</v>
      </c>
      <c r="B6223" s="196" t="s">
        <v>11230</v>
      </c>
      <c r="C6223" s="196" t="s">
        <v>25530</v>
      </c>
      <c r="D6223" s="196" t="s">
        <v>25531</v>
      </c>
      <c r="E6223" s="196" t="s">
        <v>25531</v>
      </c>
      <c r="F6223" s="196" t="s">
        <v>11233</v>
      </c>
      <c r="G6223" s="196" t="s">
        <v>12378</v>
      </c>
      <c r="H6223" s="196" t="s">
        <v>11235</v>
      </c>
    </row>
    <row r="6224" spans="1:8" x14ac:dyDescent="0.15">
      <c r="A6224" s="196" t="s">
        <v>11229</v>
      </c>
      <c r="B6224" s="196" t="s">
        <v>11230</v>
      </c>
      <c r="C6224" s="196" t="s">
        <v>25532</v>
      </c>
      <c r="D6224" s="196" t="s">
        <v>25533</v>
      </c>
      <c r="E6224" s="196" t="s">
        <v>25533</v>
      </c>
      <c r="F6224" s="196" t="s">
        <v>11233</v>
      </c>
      <c r="G6224" s="196" t="s">
        <v>11720</v>
      </c>
      <c r="H6224" s="196" t="s">
        <v>11235</v>
      </c>
    </row>
    <row r="6225" spans="1:8" x14ac:dyDescent="0.15">
      <c r="A6225" s="196" t="s">
        <v>11229</v>
      </c>
      <c r="B6225" s="196" t="s">
        <v>11230</v>
      </c>
      <c r="C6225" s="196" t="s">
        <v>25534</v>
      </c>
      <c r="D6225" s="196" t="s">
        <v>25535</v>
      </c>
      <c r="E6225" s="196" t="s">
        <v>25535</v>
      </c>
      <c r="F6225" s="196" t="s">
        <v>11233</v>
      </c>
      <c r="G6225" s="196" t="s">
        <v>12378</v>
      </c>
      <c r="H6225" s="196" t="s">
        <v>11235</v>
      </c>
    </row>
    <row r="6226" spans="1:8" x14ac:dyDescent="0.15">
      <c r="A6226" s="196" t="s">
        <v>11229</v>
      </c>
      <c r="B6226" s="196" t="s">
        <v>11230</v>
      </c>
      <c r="C6226" s="196" t="s">
        <v>25536</v>
      </c>
      <c r="D6226" s="196" t="s">
        <v>25537</v>
      </c>
      <c r="E6226" s="196" t="s">
        <v>25537</v>
      </c>
      <c r="F6226" s="196" t="s">
        <v>11233</v>
      </c>
      <c r="G6226" s="196" t="s">
        <v>11720</v>
      </c>
      <c r="H6226" s="196" t="s">
        <v>11235</v>
      </c>
    </row>
    <row r="6227" spans="1:8" x14ac:dyDescent="0.15">
      <c r="A6227" s="196" t="s">
        <v>11229</v>
      </c>
      <c r="B6227" s="196" t="s">
        <v>11230</v>
      </c>
      <c r="C6227" s="196" t="s">
        <v>25538</v>
      </c>
      <c r="D6227" s="196" t="s">
        <v>25539</v>
      </c>
      <c r="E6227" s="196" t="s">
        <v>25539</v>
      </c>
      <c r="F6227" s="196" t="s">
        <v>11233</v>
      </c>
      <c r="G6227" s="196" t="s">
        <v>12378</v>
      </c>
      <c r="H6227" s="196" t="s">
        <v>11235</v>
      </c>
    </row>
    <row r="6228" spans="1:8" x14ac:dyDescent="0.15">
      <c r="A6228" s="196" t="s">
        <v>11229</v>
      </c>
      <c r="B6228" s="196" t="s">
        <v>11230</v>
      </c>
      <c r="C6228" s="196" t="s">
        <v>25540</v>
      </c>
      <c r="D6228" s="196" t="s">
        <v>25541</v>
      </c>
      <c r="E6228" s="196" t="s">
        <v>25541</v>
      </c>
      <c r="F6228" s="196" t="s">
        <v>11233</v>
      </c>
      <c r="G6228" s="196" t="s">
        <v>11720</v>
      </c>
      <c r="H6228" s="196" t="s">
        <v>11235</v>
      </c>
    </row>
    <row r="6229" spans="1:8" x14ac:dyDescent="0.15">
      <c r="A6229" s="196" t="s">
        <v>11229</v>
      </c>
      <c r="B6229" s="196" t="s">
        <v>11230</v>
      </c>
      <c r="C6229" s="196" t="s">
        <v>25542</v>
      </c>
      <c r="D6229" s="196" t="s">
        <v>25543</v>
      </c>
      <c r="E6229" s="196" t="s">
        <v>25543</v>
      </c>
      <c r="F6229" s="196" t="s">
        <v>11233</v>
      </c>
      <c r="G6229" s="196" t="s">
        <v>12378</v>
      </c>
      <c r="H6229" s="196" t="s">
        <v>11235</v>
      </c>
    </row>
    <row r="6230" spans="1:8" x14ac:dyDescent="0.15">
      <c r="A6230" s="196" t="s">
        <v>11229</v>
      </c>
      <c r="B6230" s="196" t="s">
        <v>11230</v>
      </c>
      <c r="C6230" s="196" t="s">
        <v>25544</v>
      </c>
      <c r="D6230" s="196" t="s">
        <v>25545</v>
      </c>
      <c r="E6230" s="196" t="s">
        <v>25545</v>
      </c>
      <c r="F6230" s="196" t="s">
        <v>11233</v>
      </c>
      <c r="G6230" s="196" t="s">
        <v>11720</v>
      </c>
      <c r="H6230" s="196" t="s">
        <v>11235</v>
      </c>
    </row>
    <row r="6231" spans="1:8" x14ac:dyDescent="0.15">
      <c r="A6231" s="196" t="s">
        <v>11229</v>
      </c>
      <c r="B6231" s="196" t="s">
        <v>11230</v>
      </c>
      <c r="C6231" s="196" t="s">
        <v>25546</v>
      </c>
      <c r="D6231" s="196" t="s">
        <v>25547</v>
      </c>
      <c r="E6231" s="196" t="s">
        <v>25547</v>
      </c>
      <c r="F6231" s="196" t="s">
        <v>11233</v>
      </c>
      <c r="G6231" s="196" t="s">
        <v>12378</v>
      </c>
      <c r="H6231" s="196" t="s">
        <v>11235</v>
      </c>
    </row>
    <row r="6232" spans="1:8" x14ac:dyDescent="0.15">
      <c r="A6232" s="196" t="s">
        <v>11229</v>
      </c>
      <c r="B6232" s="196" t="s">
        <v>11230</v>
      </c>
      <c r="C6232" s="196" t="s">
        <v>25548</v>
      </c>
      <c r="D6232" s="196" t="s">
        <v>25549</v>
      </c>
      <c r="E6232" s="196" t="s">
        <v>25549</v>
      </c>
      <c r="F6232" s="196" t="s">
        <v>11233</v>
      </c>
      <c r="G6232" s="196" t="s">
        <v>12378</v>
      </c>
      <c r="H6232" s="196" t="s">
        <v>11235</v>
      </c>
    </row>
    <row r="6233" spans="1:8" x14ac:dyDescent="0.15">
      <c r="A6233" s="196" t="s">
        <v>11229</v>
      </c>
      <c r="B6233" s="196" t="s">
        <v>11230</v>
      </c>
      <c r="C6233" s="196" t="s">
        <v>25550</v>
      </c>
      <c r="D6233" s="196" t="s">
        <v>25551</v>
      </c>
      <c r="E6233" s="196" t="s">
        <v>25551</v>
      </c>
      <c r="F6233" s="196" t="s">
        <v>11233</v>
      </c>
      <c r="G6233" s="196" t="s">
        <v>11720</v>
      </c>
      <c r="H6233" s="196" t="s">
        <v>11235</v>
      </c>
    </row>
    <row r="6234" spans="1:8" x14ac:dyDescent="0.15">
      <c r="A6234" s="196" t="s">
        <v>11229</v>
      </c>
      <c r="B6234" s="196" t="s">
        <v>11230</v>
      </c>
      <c r="C6234" s="196" t="s">
        <v>25552</v>
      </c>
      <c r="D6234" s="196" t="s">
        <v>25553</v>
      </c>
      <c r="E6234" s="196" t="s">
        <v>25553</v>
      </c>
      <c r="F6234" s="196" t="s">
        <v>11233</v>
      </c>
      <c r="G6234" s="196" t="s">
        <v>11720</v>
      </c>
      <c r="H6234" s="196" t="s">
        <v>11235</v>
      </c>
    </row>
    <row r="6235" spans="1:8" x14ac:dyDescent="0.15">
      <c r="A6235" s="196" t="s">
        <v>11229</v>
      </c>
      <c r="B6235" s="196" t="s">
        <v>11230</v>
      </c>
      <c r="C6235" s="196" t="s">
        <v>25554</v>
      </c>
      <c r="D6235" s="196" t="s">
        <v>25555</v>
      </c>
      <c r="E6235" s="196" t="s">
        <v>25556</v>
      </c>
      <c r="F6235" s="196" t="s">
        <v>13023</v>
      </c>
      <c r="G6235" s="196" t="s">
        <v>12378</v>
      </c>
      <c r="H6235" s="196" t="s">
        <v>11235</v>
      </c>
    </row>
    <row r="6236" spans="1:8" x14ac:dyDescent="0.15">
      <c r="A6236" s="196" t="s">
        <v>11229</v>
      </c>
      <c r="B6236" s="196" t="s">
        <v>11230</v>
      </c>
      <c r="C6236" s="196" t="s">
        <v>25557</v>
      </c>
      <c r="D6236" s="196" t="s">
        <v>25556</v>
      </c>
      <c r="E6236" s="196" t="s">
        <v>25558</v>
      </c>
      <c r="F6236" s="196" t="s">
        <v>11241</v>
      </c>
      <c r="G6236" s="196" t="s">
        <v>12378</v>
      </c>
      <c r="H6236" s="196" t="s">
        <v>11235</v>
      </c>
    </row>
    <row r="6237" spans="1:8" x14ac:dyDescent="0.15">
      <c r="A6237" s="196" t="s">
        <v>11229</v>
      </c>
      <c r="B6237" s="196" t="s">
        <v>11230</v>
      </c>
      <c r="C6237" s="196" t="s">
        <v>25559</v>
      </c>
      <c r="D6237" s="196" t="s">
        <v>25558</v>
      </c>
      <c r="E6237" s="196" t="s">
        <v>25560</v>
      </c>
      <c r="F6237" s="196" t="s">
        <v>11268</v>
      </c>
      <c r="G6237" s="196" t="s">
        <v>12378</v>
      </c>
      <c r="H6237" s="196" t="s">
        <v>11235</v>
      </c>
    </row>
    <row r="6238" spans="1:8" x14ac:dyDescent="0.15">
      <c r="A6238" s="196" t="s">
        <v>11229</v>
      </c>
      <c r="B6238" s="196" t="s">
        <v>11230</v>
      </c>
      <c r="C6238" s="196" t="s">
        <v>25561</v>
      </c>
      <c r="D6238" s="196" t="s">
        <v>25562</v>
      </c>
      <c r="E6238" s="196" t="s">
        <v>25562</v>
      </c>
      <c r="F6238" s="196" t="s">
        <v>11233</v>
      </c>
      <c r="G6238" s="196" t="s">
        <v>11720</v>
      </c>
      <c r="H6238" s="196" t="s">
        <v>11235</v>
      </c>
    </row>
    <row r="6239" spans="1:8" x14ac:dyDescent="0.15">
      <c r="A6239" s="196" t="s">
        <v>11229</v>
      </c>
      <c r="B6239" s="196" t="s">
        <v>11230</v>
      </c>
      <c r="C6239" s="196" t="s">
        <v>25563</v>
      </c>
      <c r="D6239" s="196" t="s">
        <v>25564</v>
      </c>
      <c r="E6239" s="196" t="s">
        <v>25564</v>
      </c>
      <c r="F6239" s="196" t="s">
        <v>11233</v>
      </c>
      <c r="G6239" s="196" t="s">
        <v>11720</v>
      </c>
      <c r="H6239" s="196" t="s">
        <v>11235</v>
      </c>
    </row>
    <row r="6240" spans="1:8" x14ac:dyDescent="0.15">
      <c r="A6240" s="196" t="s">
        <v>11229</v>
      </c>
      <c r="B6240" s="196" t="s">
        <v>11230</v>
      </c>
      <c r="C6240" s="196" t="s">
        <v>25565</v>
      </c>
      <c r="D6240" s="196" t="s">
        <v>25566</v>
      </c>
      <c r="E6240" s="196" t="s">
        <v>25566</v>
      </c>
      <c r="F6240" s="196" t="s">
        <v>11233</v>
      </c>
      <c r="G6240" s="196" t="s">
        <v>12378</v>
      </c>
      <c r="H6240" s="196" t="s">
        <v>11235</v>
      </c>
    </row>
    <row r="6241" spans="1:8" x14ac:dyDescent="0.15">
      <c r="A6241" s="196" t="s">
        <v>11229</v>
      </c>
      <c r="B6241" s="196" t="s">
        <v>11230</v>
      </c>
      <c r="C6241" s="196" t="s">
        <v>25567</v>
      </c>
      <c r="D6241" s="196" t="s">
        <v>25568</v>
      </c>
      <c r="E6241" s="196" t="s">
        <v>25569</v>
      </c>
      <c r="F6241" s="196" t="s">
        <v>11241</v>
      </c>
      <c r="G6241" s="196" t="s">
        <v>12378</v>
      </c>
      <c r="H6241" s="196" t="s">
        <v>11235</v>
      </c>
    </row>
    <row r="6242" spans="1:8" x14ac:dyDescent="0.15">
      <c r="A6242" s="196" t="s">
        <v>11229</v>
      </c>
      <c r="B6242" s="196" t="s">
        <v>11230</v>
      </c>
      <c r="C6242" s="196" t="s">
        <v>25570</v>
      </c>
      <c r="D6242" s="196" t="s">
        <v>25571</v>
      </c>
      <c r="E6242" s="196" t="s">
        <v>25571</v>
      </c>
      <c r="F6242" s="196" t="s">
        <v>11233</v>
      </c>
      <c r="G6242" s="196" t="s">
        <v>11720</v>
      </c>
      <c r="H6242" s="196" t="s">
        <v>11235</v>
      </c>
    </row>
    <row r="6243" spans="1:8" x14ac:dyDescent="0.15">
      <c r="A6243" s="196" t="s">
        <v>11229</v>
      </c>
      <c r="B6243" s="196" t="s">
        <v>11230</v>
      </c>
      <c r="C6243" s="196" t="s">
        <v>25572</v>
      </c>
      <c r="D6243" s="196" t="s">
        <v>25573</v>
      </c>
      <c r="E6243" s="196" t="s">
        <v>25574</v>
      </c>
      <c r="F6243" s="196" t="s">
        <v>11241</v>
      </c>
      <c r="G6243" s="196" t="s">
        <v>12378</v>
      </c>
      <c r="H6243" s="196" t="s">
        <v>11235</v>
      </c>
    </row>
    <row r="6244" spans="1:8" x14ac:dyDescent="0.15">
      <c r="A6244" s="196" t="s">
        <v>11229</v>
      </c>
      <c r="B6244" s="196" t="s">
        <v>11230</v>
      </c>
      <c r="C6244" s="196" t="s">
        <v>25575</v>
      </c>
      <c r="D6244" s="196" t="s">
        <v>25574</v>
      </c>
      <c r="E6244" s="196" t="s">
        <v>25574</v>
      </c>
      <c r="F6244" s="196" t="s">
        <v>11233</v>
      </c>
      <c r="G6244" s="196" t="s">
        <v>11720</v>
      </c>
      <c r="H6244" s="196" t="s">
        <v>11235</v>
      </c>
    </row>
    <row r="6245" spans="1:8" x14ac:dyDescent="0.15">
      <c r="A6245" s="196" t="s">
        <v>11229</v>
      </c>
      <c r="B6245" s="196" t="s">
        <v>11230</v>
      </c>
      <c r="C6245" s="196" t="s">
        <v>25576</v>
      </c>
      <c r="D6245" s="196" t="s">
        <v>25577</v>
      </c>
      <c r="E6245" s="196" t="s">
        <v>25577</v>
      </c>
      <c r="F6245" s="196" t="s">
        <v>11233</v>
      </c>
      <c r="G6245" s="196" t="s">
        <v>11720</v>
      </c>
      <c r="H6245" s="196" t="s">
        <v>11235</v>
      </c>
    </row>
    <row r="6246" spans="1:8" x14ac:dyDescent="0.15">
      <c r="A6246" s="196" t="s">
        <v>11229</v>
      </c>
      <c r="B6246" s="196" t="s">
        <v>11230</v>
      </c>
      <c r="C6246" s="196" t="s">
        <v>25578</v>
      </c>
      <c r="D6246" s="196" t="s">
        <v>25579</v>
      </c>
      <c r="E6246" s="196" t="s">
        <v>25579</v>
      </c>
      <c r="F6246" s="196" t="s">
        <v>11233</v>
      </c>
      <c r="G6246" s="196" t="s">
        <v>11720</v>
      </c>
      <c r="H6246" s="196" t="s">
        <v>11235</v>
      </c>
    </row>
    <row r="6247" spans="1:8" x14ac:dyDescent="0.15">
      <c r="A6247" s="196" t="s">
        <v>11229</v>
      </c>
      <c r="B6247" s="196" t="s">
        <v>11230</v>
      </c>
      <c r="C6247" s="196" t="s">
        <v>25580</v>
      </c>
      <c r="D6247" s="196" t="s">
        <v>25581</v>
      </c>
      <c r="E6247" s="196" t="s">
        <v>25582</v>
      </c>
      <c r="F6247" s="196" t="s">
        <v>11268</v>
      </c>
      <c r="G6247" s="196" t="s">
        <v>11720</v>
      </c>
      <c r="H6247" s="196" t="s">
        <v>11235</v>
      </c>
    </row>
    <row r="6248" spans="1:8" x14ac:dyDescent="0.15">
      <c r="A6248" s="196" t="s">
        <v>11229</v>
      </c>
      <c r="B6248" s="196" t="s">
        <v>11230</v>
      </c>
      <c r="C6248" s="196" t="s">
        <v>25583</v>
      </c>
      <c r="D6248" s="196" t="s">
        <v>25584</v>
      </c>
      <c r="E6248" s="196" t="s">
        <v>25584</v>
      </c>
      <c r="F6248" s="196" t="s">
        <v>11233</v>
      </c>
      <c r="G6248" s="196" t="s">
        <v>11720</v>
      </c>
      <c r="H6248" s="196" t="s">
        <v>11235</v>
      </c>
    </row>
    <row r="6249" spans="1:8" x14ac:dyDescent="0.15">
      <c r="A6249" s="196" t="s">
        <v>11229</v>
      </c>
      <c r="B6249" s="196" t="s">
        <v>11230</v>
      </c>
      <c r="C6249" s="196" t="s">
        <v>25585</v>
      </c>
      <c r="D6249" s="196" t="s">
        <v>25586</v>
      </c>
      <c r="E6249" s="196" t="s">
        <v>25586</v>
      </c>
      <c r="F6249" s="196" t="s">
        <v>11233</v>
      </c>
      <c r="G6249" s="196" t="s">
        <v>11720</v>
      </c>
      <c r="H6249" s="196" t="s">
        <v>11235</v>
      </c>
    </row>
    <row r="6250" spans="1:8" x14ac:dyDescent="0.15">
      <c r="A6250" s="196" t="s">
        <v>11229</v>
      </c>
      <c r="B6250" s="196" t="s">
        <v>11230</v>
      </c>
      <c r="C6250" s="196" t="s">
        <v>25587</v>
      </c>
      <c r="D6250" s="196" t="s">
        <v>25588</v>
      </c>
      <c r="E6250" s="196" t="s">
        <v>25588</v>
      </c>
      <c r="F6250" s="196" t="s">
        <v>11233</v>
      </c>
      <c r="G6250" s="196" t="s">
        <v>11720</v>
      </c>
      <c r="H6250" s="196" t="s">
        <v>11235</v>
      </c>
    </row>
    <row r="6251" spans="1:8" x14ac:dyDescent="0.15">
      <c r="A6251" s="196" t="s">
        <v>11229</v>
      </c>
      <c r="B6251" s="196" t="s">
        <v>11230</v>
      </c>
      <c r="C6251" s="196" t="s">
        <v>25589</v>
      </c>
      <c r="D6251" s="196" t="s">
        <v>25590</v>
      </c>
      <c r="E6251" s="196" t="s">
        <v>25590</v>
      </c>
      <c r="F6251" s="196" t="s">
        <v>11233</v>
      </c>
      <c r="G6251" s="196" t="s">
        <v>11720</v>
      </c>
      <c r="H6251" s="196" t="s">
        <v>11235</v>
      </c>
    </row>
    <row r="6252" spans="1:8" x14ac:dyDescent="0.15">
      <c r="A6252" s="196" t="s">
        <v>11229</v>
      </c>
      <c r="B6252" s="196" t="s">
        <v>11230</v>
      </c>
      <c r="C6252" s="196" t="s">
        <v>25591</v>
      </c>
      <c r="D6252" s="196" t="s">
        <v>25592</v>
      </c>
      <c r="E6252" s="196" t="s">
        <v>25592</v>
      </c>
      <c r="F6252" s="196" t="s">
        <v>11233</v>
      </c>
      <c r="G6252" s="196" t="s">
        <v>11720</v>
      </c>
      <c r="H6252" s="196" t="s">
        <v>11235</v>
      </c>
    </row>
    <row r="6253" spans="1:8" x14ac:dyDescent="0.15">
      <c r="A6253" s="196" t="s">
        <v>11229</v>
      </c>
      <c r="B6253" s="196" t="s">
        <v>11230</v>
      </c>
      <c r="C6253" s="196" t="s">
        <v>25593</v>
      </c>
      <c r="D6253" s="196" t="s">
        <v>25594</v>
      </c>
      <c r="E6253" s="196" t="s">
        <v>25594</v>
      </c>
      <c r="F6253" s="196" t="s">
        <v>11233</v>
      </c>
      <c r="G6253" s="196" t="s">
        <v>12378</v>
      </c>
      <c r="H6253" s="196" t="s">
        <v>11235</v>
      </c>
    </row>
    <row r="6254" spans="1:8" x14ac:dyDescent="0.15">
      <c r="A6254" s="196" t="s">
        <v>11229</v>
      </c>
      <c r="B6254" s="196" t="s">
        <v>11230</v>
      </c>
      <c r="C6254" s="196" t="s">
        <v>25595</v>
      </c>
      <c r="D6254" s="196" t="s">
        <v>25596</v>
      </c>
      <c r="E6254" s="196" t="s">
        <v>25596</v>
      </c>
      <c r="F6254" s="196" t="s">
        <v>11233</v>
      </c>
      <c r="G6254" s="196" t="s">
        <v>12378</v>
      </c>
      <c r="H6254" s="196" t="s">
        <v>11235</v>
      </c>
    </row>
    <row r="6255" spans="1:8" x14ac:dyDescent="0.15">
      <c r="A6255" s="196" t="s">
        <v>11229</v>
      </c>
      <c r="B6255" s="196" t="s">
        <v>11230</v>
      </c>
      <c r="C6255" s="196" t="s">
        <v>25597</v>
      </c>
      <c r="D6255" s="196" t="s">
        <v>25598</v>
      </c>
      <c r="E6255" s="196" t="s">
        <v>25598</v>
      </c>
      <c r="F6255" s="196" t="s">
        <v>11233</v>
      </c>
      <c r="G6255" s="196" t="s">
        <v>12378</v>
      </c>
      <c r="H6255" s="196" t="s">
        <v>11235</v>
      </c>
    </row>
    <row r="6256" spans="1:8" x14ac:dyDescent="0.15">
      <c r="A6256" s="196" t="s">
        <v>11229</v>
      </c>
      <c r="B6256" s="196" t="s">
        <v>11230</v>
      </c>
      <c r="C6256" s="196" t="s">
        <v>25599</v>
      </c>
      <c r="D6256" s="196" t="s">
        <v>25600</v>
      </c>
      <c r="E6256" s="196" t="s">
        <v>25600</v>
      </c>
      <c r="F6256" s="196" t="s">
        <v>11233</v>
      </c>
      <c r="G6256" s="196" t="s">
        <v>12378</v>
      </c>
      <c r="H6256" s="196" t="s">
        <v>11235</v>
      </c>
    </row>
    <row r="6257" spans="1:8" x14ac:dyDescent="0.15">
      <c r="A6257" s="196" t="s">
        <v>11229</v>
      </c>
      <c r="B6257" s="196" t="s">
        <v>11230</v>
      </c>
      <c r="C6257" s="196" t="s">
        <v>25601</v>
      </c>
      <c r="D6257" s="196" t="s">
        <v>25602</v>
      </c>
      <c r="E6257" s="196" t="s">
        <v>25602</v>
      </c>
      <c r="F6257" s="196" t="s">
        <v>11233</v>
      </c>
      <c r="G6257" s="196" t="s">
        <v>12378</v>
      </c>
      <c r="H6257" s="196" t="s">
        <v>11235</v>
      </c>
    </row>
    <row r="6258" spans="1:8" x14ac:dyDescent="0.15">
      <c r="A6258" s="196" t="s">
        <v>11229</v>
      </c>
      <c r="B6258" s="196" t="s">
        <v>11230</v>
      </c>
      <c r="C6258" s="196" t="s">
        <v>25603</v>
      </c>
      <c r="D6258" s="196" t="s">
        <v>25604</v>
      </c>
      <c r="E6258" s="196" t="s">
        <v>25604</v>
      </c>
      <c r="F6258" s="196" t="s">
        <v>11233</v>
      </c>
      <c r="G6258" s="196" t="s">
        <v>12378</v>
      </c>
      <c r="H6258" s="196" t="s">
        <v>11235</v>
      </c>
    </row>
    <row r="6259" spans="1:8" x14ac:dyDescent="0.15">
      <c r="A6259" s="196" t="s">
        <v>11229</v>
      </c>
      <c r="B6259" s="196" t="s">
        <v>11230</v>
      </c>
      <c r="C6259" s="196" t="s">
        <v>25605</v>
      </c>
      <c r="D6259" s="196" t="s">
        <v>25606</v>
      </c>
      <c r="E6259" s="196" t="s">
        <v>25606</v>
      </c>
      <c r="F6259" s="196" t="s">
        <v>11233</v>
      </c>
      <c r="G6259" s="196" t="s">
        <v>12378</v>
      </c>
      <c r="H6259" s="196" t="s">
        <v>11235</v>
      </c>
    </row>
    <row r="6260" spans="1:8" x14ac:dyDescent="0.15">
      <c r="A6260" s="196" t="s">
        <v>11229</v>
      </c>
      <c r="B6260" s="196" t="s">
        <v>11230</v>
      </c>
      <c r="C6260" s="196" t="s">
        <v>25607</v>
      </c>
      <c r="D6260" s="196" t="s">
        <v>25608</v>
      </c>
      <c r="E6260" s="196" t="s">
        <v>25608</v>
      </c>
      <c r="F6260" s="196" t="s">
        <v>11233</v>
      </c>
      <c r="G6260" s="196" t="s">
        <v>11720</v>
      </c>
      <c r="H6260" s="196" t="s">
        <v>11235</v>
      </c>
    </row>
    <row r="6261" spans="1:8" x14ac:dyDescent="0.15">
      <c r="A6261" s="196" t="s">
        <v>11229</v>
      </c>
      <c r="B6261" s="196" t="s">
        <v>11230</v>
      </c>
      <c r="C6261" s="196" t="s">
        <v>25609</v>
      </c>
      <c r="D6261" s="196" t="s">
        <v>25610</v>
      </c>
      <c r="E6261" s="196" t="s">
        <v>25610</v>
      </c>
      <c r="F6261" s="196" t="s">
        <v>11233</v>
      </c>
      <c r="G6261" s="196" t="s">
        <v>12378</v>
      </c>
      <c r="H6261" s="196" t="s">
        <v>11235</v>
      </c>
    </row>
    <row r="6262" spans="1:8" x14ac:dyDescent="0.15">
      <c r="A6262" s="196" t="s">
        <v>11229</v>
      </c>
      <c r="B6262" s="196" t="s">
        <v>11230</v>
      </c>
      <c r="C6262" s="196" t="s">
        <v>25611</v>
      </c>
      <c r="D6262" s="196" t="s">
        <v>25612</v>
      </c>
      <c r="E6262" s="196" t="s">
        <v>25612</v>
      </c>
      <c r="F6262" s="196" t="s">
        <v>11233</v>
      </c>
      <c r="G6262" s="196" t="s">
        <v>11720</v>
      </c>
      <c r="H6262" s="196" t="s">
        <v>11235</v>
      </c>
    </row>
    <row r="6263" spans="1:8" x14ac:dyDescent="0.15">
      <c r="A6263" s="196" t="s">
        <v>11229</v>
      </c>
      <c r="B6263" s="196" t="s">
        <v>11230</v>
      </c>
      <c r="C6263" s="196" t="s">
        <v>25613</v>
      </c>
      <c r="D6263" s="196" t="s">
        <v>25614</v>
      </c>
      <c r="E6263" s="196" t="s">
        <v>25614</v>
      </c>
      <c r="F6263" s="196" t="s">
        <v>11233</v>
      </c>
      <c r="G6263" s="196" t="s">
        <v>11720</v>
      </c>
      <c r="H6263" s="196" t="s">
        <v>11235</v>
      </c>
    </row>
    <row r="6264" spans="1:8" x14ac:dyDescent="0.15">
      <c r="A6264" s="196" t="s">
        <v>11229</v>
      </c>
      <c r="B6264" s="196" t="s">
        <v>11230</v>
      </c>
      <c r="C6264" s="196" t="s">
        <v>25615</v>
      </c>
      <c r="D6264" s="196" t="s">
        <v>25616</v>
      </c>
      <c r="E6264" s="196" t="s">
        <v>25616</v>
      </c>
      <c r="F6264" s="196" t="s">
        <v>11233</v>
      </c>
      <c r="G6264" s="196" t="s">
        <v>11720</v>
      </c>
      <c r="H6264" s="196" t="s">
        <v>11235</v>
      </c>
    </row>
    <row r="6265" spans="1:8" x14ac:dyDescent="0.15">
      <c r="A6265" s="196" t="s">
        <v>11229</v>
      </c>
      <c r="B6265" s="196" t="s">
        <v>11230</v>
      </c>
      <c r="C6265" s="196" t="s">
        <v>25617</v>
      </c>
      <c r="D6265" s="196" t="s">
        <v>25618</v>
      </c>
      <c r="E6265" s="196" t="s">
        <v>25618</v>
      </c>
      <c r="F6265" s="196" t="s">
        <v>11233</v>
      </c>
      <c r="G6265" s="196" t="s">
        <v>11720</v>
      </c>
      <c r="H6265" s="196" t="s">
        <v>11235</v>
      </c>
    </row>
    <row r="6266" spans="1:8" x14ac:dyDescent="0.15">
      <c r="A6266" s="196" t="s">
        <v>11229</v>
      </c>
      <c r="B6266" s="196" t="s">
        <v>11230</v>
      </c>
      <c r="C6266" s="196" t="s">
        <v>25619</v>
      </c>
      <c r="D6266" s="196" t="s">
        <v>25620</v>
      </c>
      <c r="E6266" s="196" t="s">
        <v>25620</v>
      </c>
      <c r="F6266" s="196" t="s">
        <v>11233</v>
      </c>
      <c r="G6266" s="196" t="s">
        <v>11720</v>
      </c>
      <c r="H6266" s="196" t="s">
        <v>11235</v>
      </c>
    </row>
    <row r="6267" spans="1:8" x14ac:dyDescent="0.15">
      <c r="A6267" s="196" t="s">
        <v>11229</v>
      </c>
      <c r="B6267" s="196" t="s">
        <v>11230</v>
      </c>
      <c r="C6267" s="196" t="s">
        <v>25621</v>
      </c>
      <c r="D6267" s="196" t="s">
        <v>25622</v>
      </c>
      <c r="E6267" s="196" t="s">
        <v>25622</v>
      </c>
      <c r="F6267" s="196" t="s">
        <v>11233</v>
      </c>
      <c r="G6267" s="196" t="s">
        <v>12378</v>
      </c>
      <c r="H6267" s="196" t="s">
        <v>11235</v>
      </c>
    </row>
    <row r="6268" spans="1:8" x14ac:dyDescent="0.15">
      <c r="A6268" s="196" t="s">
        <v>11229</v>
      </c>
      <c r="B6268" s="196" t="s">
        <v>11230</v>
      </c>
      <c r="C6268" s="196" t="s">
        <v>25623</v>
      </c>
      <c r="D6268" s="196" t="s">
        <v>25624</v>
      </c>
      <c r="E6268" s="196" t="s">
        <v>25624</v>
      </c>
      <c r="F6268" s="196" t="s">
        <v>11233</v>
      </c>
      <c r="G6268" s="196" t="s">
        <v>11720</v>
      </c>
      <c r="H6268" s="196" t="s">
        <v>11235</v>
      </c>
    </row>
    <row r="6269" spans="1:8" x14ac:dyDescent="0.15">
      <c r="A6269" s="196" t="s">
        <v>11229</v>
      </c>
      <c r="B6269" s="196" t="s">
        <v>11230</v>
      </c>
      <c r="C6269" s="196" t="s">
        <v>25625</v>
      </c>
      <c r="D6269" s="196" t="s">
        <v>25626</v>
      </c>
      <c r="E6269" s="196" t="s">
        <v>25626</v>
      </c>
      <c r="F6269" s="196" t="s">
        <v>11233</v>
      </c>
      <c r="G6269" s="196" t="s">
        <v>12378</v>
      </c>
      <c r="H6269" s="196" t="s">
        <v>11235</v>
      </c>
    </row>
    <row r="6270" spans="1:8" x14ac:dyDescent="0.15">
      <c r="A6270" s="196" t="s">
        <v>11229</v>
      </c>
      <c r="B6270" s="196" t="s">
        <v>11230</v>
      </c>
      <c r="C6270" s="196" t="s">
        <v>25627</v>
      </c>
      <c r="D6270" s="196" t="s">
        <v>25628</v>
      </c>
      <c r="E6270" s="196" t="s">
        <v>25628</v>
      </c>
      <c r="F6270" s="196" t="s">
        <v>11233</v>
      </c>
      <c r="G6270" s="196" t="s">
        <v>11720</v>
      </c>
      <c r="H6270" s="196" t="s">
        <v>11235</v>
      </c>
    </row>
    <row r="6271" spans="1:8" x14ac:dyDescent="0.15">
      <c r="A6271" s="196" t="s">
        <v>11229</v>
      </c>
      <c r="B6271" s="196" t="s">
        <v>11230</v>
      </c>
      <c r="C6271" s="196" t="s">
        <v>25629</v>
      </c>
      <c r="D6271" s="196" t="s">
        <v>25630</v>
      </c>
      <c r="E6271" s="196" t="s">
        <v>25631</v>
      </c>
      <c r="F6271" s="196" t="s">
        <v>11241</v>
      </c>
      <c r="G6271" s="196" t="s">
        <v>12378</v>
      </c>
      <c r="H6271" s="196" t="s">
        <v>11235</v>
      </c>
    </row>
    <row r="6272" spans="1:8" x14ac:dyDescent="0.15">
      <c r="A6272" s="196" t="s">
        <v>11229</v>
      </c>
      <c r="B6272" s="196" t="s">
        <v>11230</v>
      </c>
      <c r="C6272" s="196" t="s">
        <v>25632</v>
      </c>
      <c r="D6272" s="196" t="s">
        <v>25633</v>
      </c>
      <c r="E6272" s="196" t="s">
        <v>25634</v>
      </c>
      <c r="F6272" s="196" t="s">
        <v>11268</v>
      </c>
      <c r="G6272" s="196" t="s">
        <v>11720</v>
      </c>
      <c r="H6272" s="196" t="s">
        <v>11235</v>
      </c>
    </row>
    <row r="6273" spans="1:8" x14ac:dyDescent="0.15">
      <c r="A6273" s="196" t="s">
        <v>11229</v>
      </c>
      <c r="B6273" s="196" t="s">
        <v>11230</v>
      </c>
      <c r="C6273" s="196" t="s">
        <v>25635</v>
      </c>
      <c r="D6273" s="196" t="s">
        <v>25634</v>
      </c>
      <c r="E6273" s="196" t="s">
        <v>25636</v>
      </c>
      <c r="F6273" s="196" t="s">
        <v>11241</v>
      </c>
      <c r="G6273" s="196" t="s">
        <v>11720</v>
      </c>
      <c r="H6273" s="196" t="s">
        <v>11235</v>
      </c>
    </row>
    <row r="6274" spans="1:8" x14ac:dyDescent="0.15">
      <c r="A6274" s="196" t="s">
        <v>11229</v>
      </c>
      <c r="B6274" s="196" t="s">
        <v>11230</v>
      </c>
      <c r="C6274" s="196" t="s">
        <v>25637</v>
      </c>
      <c r="D6274" s="196" t="s">
        <v>25638</v>
      </c>
      <c r="E6274" s="196" t="s">
        <v>25638</v>
      </c>
      <c r="F6274" s="196" t="s">
        <v>11233</v>
      </c>
      <c r="G6274" s="196" t="s">
        <v>12378</v>
      </c>
      <c r="H6274" s="196" t="s">
        <v>11235</v>
      </c>
    </row>
    <row r="6275" spans="1:8" x14ac:dyDescent="0.15">
      <c r="A6275" s="196" t="s">
        <v>11229</v>
      </c>
      <c r="B6275" s="196" t="s">
        <v>11230</v>
      </c>
      <c r="C6275" s="196" t="s">
        <v>25639</v>
      </c>
      <c r="D6275" s="196" t="s">
        <v>25640</v>
      </c>
      <c r="E6275" s="196" t="s">
        <v>25640</v>
      </c>
      <c r="F6275" s="196" t="s">
        <v>11233</v>
      </c>
      <c r="G6275" s="196" t="s">
        <v>12378</v>
      </c>
      <c r="H6275" s="196" t="s">
        <v>11235</v>
      </c>
    </row>
    <row r="6276" spans="1:8" x14ac:dyDescent="0.15">
      <c r="A6276" s="196" t="s">
        <v>11229</v>
      </c>
      <c r="B6276" s="196" t="s">
        <v>11230</v>
      </c>
      <c r="C6276" s="196" t="s">
        <v>25641</v>
      </c>
      <c r="D6276" s="196" t="s">
        <v>25642</v>
      </c>
      <c r="E6276" s="196" t="s">
        <v>25642</v>
      </c>
      <c r="F6276" s="196" t="s">
        <v>11233</v>
      </c>
      <c r="G6276" s="196" t="s">
        <v>12378</v>
      </c>
      <c r="H6276" s="196" t="s">
        <v>11235</v>
      </c>
    </row>
    <row r="6277" spans="1:8" x14ac:dyDescent="0.15">
      <c r="A6277" s="196" t="s">
        <v>11229</v>
      </c>
      <c r="B6277" s="196" t="s">
        <v>11230</v>
      </c>
      <c r="C6277" s="196" t="s">
        <v>25643</v>
      </c>
      <c r="D6277" s="196" t="s">
        <v>25644</v>
      </c>
      <c r="E6277" s="196" t="s">
        <v>25645</v>
      </c>
      <c r="F6277" s="196" t="s">
        <v>11241</v>
      </c>
      <c r="G6277" s="196" t="s">
        <v>11720</v>
      </c>
      <c r="H6277" s="196" t="s">
        <v>11235</v>
      </c>
    </row>
    <row r="6278" spans="1:8" x14ac:dyDescent="0.15">
      <c r="A6278" s="196" t="s">
        <v>11229</v>
      </c>
      <c r="B6278" s="196" t="s">
        <v>11230</v>
      </c>
      <c r="C6278" s="196" t="s">
        <v>25646</v>
      </c>
      <c r="D6278" s="196" t="s">
        <v>25645</v>
      </c>
      <c r="E6278" s="196" t="s">
        <v>25647</v>
      </c>
      <c r="F6278" s="196" t="s">
        <v>11241</v>
      </c>
      <c r="G6278" s="196" t="s">
        <v>11720</v>
      </c>
      <c r="H6278" s="196" t="s">
        <v>11235</v>
      </c>
    </row>
    <row r="6279" spans="1:8" x14ac:dyDescent="0.15">
      <c r="A6279" s="196" t="s">
        <v>11229</v>
      </c>
      <c r="B6279" s="196" t="s">
        <v>11230</v>
      </c>
      <c r="C6279" s="196" t="s">
        <v>25648</v>
      </c>
      <c r="D6279" s="196" t="s">
        <v>25647</v>
      </c>
      <c r="E6279" s="196" t="s">
        <v>25649</v>
      </c>
      <c r="F6279" s="196" t="s">
        <v>11268</v>
      </c>
      <c r="G6279" s="196" t="s">
        <v>11720</v>
      </c>
      <c r="H6279" s="196" t="s">
        <v>11235</v>
      </c>
    </row>
    <row r="6280" spans="1:8" x14ac:dyDescent="0.15">
      <c r="A6280" s="196" t="s">
        <v>11229</v>
      </c>
      <c r="B6280" s="196" t="s">
        <v>11230</v>
      </c>
      <c r="C6280" s="196" t="s">
        <v>25650</v>
      </c>
      <c r="D6280" s="196" t="s">
        <v>25649</v>
      </c>
      <c r="E6280" s="196" t="s">
        <v>25651</v>
      </c>
      <c r="F6280" s="196" t="s">
        <v>11241</v>
      </c>
      <c r="G6280" s="196" t="s">
        <v>11720</v>
      </c>
      <c r="H6280" s="196" t="s">
        <v>11235</v>
      </c>
    </row>
    <row r="6281" spans="1:8" x14ac:dyDescent="0.15">
      <c r="A6281" s="196" t="s">
        <v>11229</v>
      </c>
      <c r="B6281" s="196" t="s">
        <v>11230</v>
      </c>
      <c r="C6281" s="196" t="s">
        <v>25652</v>
      </c>
      <c r="D6281" s="196" t="s">
        <v>25651</v>
      </c>
      <c r="E6281" s="196" t="s">
        <v>25651</v>
      </c>
      <c r="F6281" s="196" t="s">
        <v>11233</v>
      </c>
      <c r="G6281" s="196" t="s">
        <v>12378</v>
      </c>
      <c r="H6281" s="196" t="s">
        <v>11235</v>
      </c>
    </row>
    <row r="6282" spans="1:8" x14ac:dyDescent="0.15">
      <c r="A6282" s="196" t="s">
        <v>11229</v>
      </c>
      <c r="B6282" s="196" t="s">
        <v>11230</v>
      </c>
      <c r="C6282" s="196" t="s">
        <v>25653</v>
      </c>
      <c r="D6282" s="196" t="s">
        <v>25654</v>
      </c>
      <c r="E6282" s="196" t="s">
        <v>25654</v>
      </c>
      <c r="F6282" s="196" t="s">
        <v>11233</v>
      </c>
      <c r="G6282" s="196" t="s">
        <v>12378</v>
      </c>
      <c r="H6282" s="196" t="s">
        <v>11235</v>
      </c>
    </row>
    <row r="6283" spans="1:8" x14ac:dyDescent="0.15">
      <c r="A6283" s="196" t="s">
        <v>11229</v>
      </c>
      <c r="B6283" s="196" t="s">
        <v>11230</v>
      </c>
      <c r="C6283" s="196" t="s">
        <v>25655</v>
      </c>
      <c r="D6283" s="196" t="s">
        <v>25656</v>
      </c>
      <c r="E6283" s="196" t="s">
        <v>25656</v>
      </c>
      <c r="F6283" s="196" t="s">
        <v>11233</v>
      </c>
      <c r="G6283" s="196" t="s">
        <v>12378</v>
      </c>
      <c r="H6283" s="196" t="s">
        <v>11235</v>
      </c>
    </row>
    <row r="6284" spans="1:8" x14ac:dyDescent="0.15">
      <c r="A6284" s="196" t="s">
        <v>11229</v>
      </c>
      <c r="B6284" s="196" t="s">
        <v>11230</v>
      </c>
      <c r="C6284" s="196" t="s">
        <v>25657</v>
      </c>
      <c r="D6284" s="196" t="s">
        <v>25656</v>
      </c>
      <c r="E6284" s="196" t="s">
        <v>25656</v>
      </c>
      <c r="F6284" s="196" t="s">
        <v>11233</v>
      </c>
      <c r="G6284" s="196" t="s">
        <v>11720</v>
      </c>
      <c r="H6284" s="196" t="s">
        <v>11235</v>
      </c>
    </row>
    <row r="6285" spans="1:8" x14ac:dyDescent="0.15">
      <c r="A6285" s="196" t="s">
        <v>11229</v>
      </c>
      <c r="B6285" s="196" t="s">
        <v>11230</v>
      </c>
      <c r="C6285" s="196" t="s">
        <v>25658</v>
      </c>
      <c r="D6285" s="196" t="s">
        <v>25659</v>
      </c>
      <c r="E6285" s="196" t="s">
        <v>25659</v>
      </c>
      <c r="F6285" s="196" t="s">
        <v>11233</v>
      </c>
      <c r="G6285" s="196" t="s">
        <v>11720</v>
      </c>
      <c r="H6285" s="196" t="s">
        <v>11235</v>
      </c>
    </row>
    <row r="6286" spans="1:8" x14ac:dyDescent="0.15">
      <c r="A6286" s="196" t="s">
        <v>11229</v>
      </c>
      <c r="B6286" s="196" t="s">
        <v>11230</v>
      </c>
      <c r="C6286" s="196" t="s">
        <v>25660</v>
      </c>
      <c r="D6286" s="196" t="s">
        <v>25661</v>
      </c>
      <c r="E6286" s="196" t="s">
        <v>25661</v>
      </c>
      <c r="F6286" s="196" t="s">
        <v>11233</v>
      </c>
      <c r="G6286" s="196" t="s">
        <v>11720</v>
      </c>
      <c r="H6286" s="196" t="s">
        <v>11235</v>
      </c>
    </row>
    <row r="6287" spans="1:8" x14ac:dyDescent="0.15">
      <c r="A6287" s="196" t="s">
        <v>11229</v>
      </c>
      <c r="B6287" s="196" t="s">
        <v>11230</v>
      </c>
      <c r="C6287" s="196" t="s">
        <v>25662</v>
      </c>
      <c r="D6287" s="196" t="s">
        <v>25663</v>
      </c>
      <c r="E6287" s="196" t="s">
        <v>25663</v>
      </c>
      <c r="F6287" s="196" t="s">
        <v>11233</v>
      </c>
      <c r="G6287" s="196" t="s">
        <v>11720</v>
      </c>
      <c r="H6287" s="196" t="s">
        <v>11235</v>
      </c>
    </row>
    <row r="6288" spans="1:8" x14ac:dyDescent="0.15">
      <c r="A6288" s="196" t="s">
        <v>11229</v>
      </c>
      <c r="B6288" s="196" t="s">
        <v>11230</v>
      </c>
      <c r="C6288" s="196" t="s">
        <v>25664</v>
      </c>
      <c r="D6288" s="196" t="s">
        <v>25665</v>
      </c>
      <c r="E6288" s="196" t="s">
        <v>25665</v>
      </c>
      <c r="F6288" s="196" t="s">
        <v>11233</v>
      </c>
      <c r="G6288" s="196" t="s">
        <v>11720</v>
      </c>
      <c r="H6288" s="196" t="s">
        <v>11235</v>
      </c>
    </row>
    <row r="6289" spans="1:8" x14ac:dyDescent="0.15">
      <c r="A6289" s="196" t="s">
        <v>11229</v>
      </c>
      <c r="B6289" s="196" t="s">
        <v>11230</v>
      </c>
      <c r="C6289" s="196" t="s">
        <v>25666</v>
      </c>
      <c r="D6289" s="196" t="s">
        <v>25667</v>
      </c>
      <c r="E6289" s="196" t="s">
        <v>25667</v>
      </c>
      <c r="F6289" s="196" t="s">
        <v>11233</v>
      </c>
      <c r="G6289" s="196" t="s">
        <v>11720</v>
      </c>
      <c r="H6289" s="196" t="s">
        <v>11235</v>
      </c>
    </row>
    <row r="6290" spans="1:8" x14ac:dyDescent="0.15">
      <c r="A6290" s="196" t="s">
        <v>11229</v>
      </c>
      <c r="B6290" s="196" t="s">
        <v>11230</v>
      </c>
      <c r="C6290" s="196" t="s">
        <v>25668</v>
      </c>
      <c r="D6290" s="196" t="s">
        <v>25669</v>
      </c>
      <c r="E6290" s="196" t="s">
        <v>25669</v>
      </c>
      <c r="F6290" s="196" t="s">
        <v>11233</v>
      </c>
      <c r="G6290" s="196" t="s">
        <v>11720</v>
      </c>
      <c r="H6290" s="196" t="s">
        <v>11235</v>
      </c>
    </row>
    <row r="6291" spans="1:8" x14ac:dyDescent="0.15">
      <c r="A6291" s="196" t="s">
        <v>11229</v>
      </c>
      <c r="B6291" s="196" t="s">
        <v>11230</v>
      </c>
      <c r="C6291" s="196" t="s">
        <v>25670</v>
      </c>
      <c r="D6291" s="196" t="s">
        <v>25671</v>
      </c>
      <c r="E6291" s="196" t="s">
        <v>25672</v>
      </c>
      <c r="F6291" s="196" t="s">
        <v>11241</v>
      </c>
      <c r="G6291" s="196" t="s">
        <v>12378</v>
      </c>
      <c r="H6291" s="196" t="s">
        <v>11235</v>
      </c>
    </row>
    <row r="6292" spans="1:8" x14ac:dyDescent="0.15">
      <c r="A6292" s="196" t="s">
        <v>11229</v>
      </c>
      <c r="B6292" s="196" t="s">
        <v>11230</v>
      </c>
      <c r="C6292" s="196" t="s">
        <v>25673</v>
      </c>
      <c r="D6292" s="196" t="s">
        <v>25672</v>
      </c>
      <c r="E6292" s="196" t="s">
        <v>25674</v>
      </c>
      <c r="F6292" s="196" t="s">
        <v>11241</v>
      </c>
      <c r="G6292" s="196" t="s">
        <v>12378</v>
      </c>
      <c r="H6292" s="196" t="s">
        <v>11235</v>
      </c>
    </row>
    <row r="6293" spans="1:8" x14ac:dyDescent="0.15">
      <c r="A6293" s="196" t="s">
        <v>11229</v>
      </c>
      <c r="B6293" s="196" t="s">
        <v>11230</v>
      </c>
      <c r="C6293" s="196" t="s">
        <v>25675</v>
      </c>
      <c r="D6293" s="196" t="s">
        <v>25674</v>
      </c>
      <c r="E6293" s="196" t="s">
        <v>25676</v>
      </c>
      <c r="F6293" s="196" t="s">
        <v>11268</v>
      </c>
      <c r="G6293" s="196" t="s">
        <v>12378</v>
      </c>
      <c r="H6293" s="196" t="s">
        <v>11235</v>
      </c>
    </row>
    <row r="6294" spans="1:8" x14ac:dyDescent="0.15">
      <c r="A6294" s="196" t="s">
        <v>11229</v>
      </c>
      <c r="B6294" s="196" t="s">
        <v>11230</v>
      </c>
      <c r="C6294" s="196" t="s">
        <v>25677</v>
      </c>
      <c r="D6294" s="196" t="s">
        <v>25676</v>
      </c>
      <c r="E6294" s="196" t="s">
        <v>25676</v>
      </c>
      <c r="F6294" s="196" t="s">
        <v>11233</v>
      </c>
      <c r="G6294" s="196" t="s">
        <v>12378</v>
      </c>
      <c r="H6294" s="196" t="s">
        <v>11235</v>
      </c>
    </row>
    <row r="6295" spans="1:8" x14ac:dyDescent="0.15">
      <c r="A6295" s="196" t="s">
        <v>11229</v>
      </c>
      <c r="B6295" s="196" t="s">
        <v>11230</v>
      </c>
      <c r="C6295" s="196" t="s">
        <v>25678</v>
      </c>
      <c r="D6295" s="196" t="s">
        <v>25679</v>
      </c>
      <c r="E6295" s="196" t="s">
        <v>25679</v>
      </c>
      <c r="F6295" s="196" t="s">
        <v>11233</v>
      </c>
      <c r="G6295" s="196" t="s">
        <v>12378</v>
      </c>
      <c r="H6295" s="196" t="s">
        <v>11235</v>
      </c>
    </row>
    <row r="6296" spans="1:8" x14ac:dyDescent="0.15">
      <c r="A6296" s="196" t="s">
        <v>11229</v>
      </c>
      <c r="B6296" s="196" t="s">
        <v>11230</v>
      </c>
      <c r="C6296" s="196" t="s">
        <v>25680</v>
      </c>
      <c r="D6296" s="196" t="s">
        <v>25681</v>
      </c>
      <c r="E6296" s="196" t="s">
        <v>25681</v>
      </c>
      <c r="F6296" s="196" t="s">
        <v>11233</v>
      </c>
      <c r="G6296" s="196" t="s">
        <v>11720</v>
      </c>
      <c r="H6296" s="196" t="s">
        <v>11235</v>
      </c>
    </row>
    <row r="6297" spans="1:8" x14ac:dyDescent="0.15">
      <c r="A6297" s="196" t="s">
        <v>11229</v>
      </c>
      <c r="B6297" s="196" t="s">
        <v>11230</v>
      </c>
      <c r="C6297" s="196" t="s">
        <v>25682</v>
      </c>
      <c r="D6297" s="196" t="s">
        <v>25683</v>
      </c>
      <c r="E6297" s="196" t="s">
        <v>25683</v>
      </c>
      <c r="F6297" s="196" t="s">
        <v>11233</v>
      </c>
      <c r="G6297" s="196" t="s">
        <v>11720</v>
      </c>
      <c r="H6297" s="196" t="s">
        <v>11235</v>
      </c>
    </row>
    <row r="6298" spans="1:8" x14ac:dyDescent="0.15">
      <c r="A6298" s="196" t="s">
        <v>11229</v>
      </c>
      <c r="B6298" s="196" t="s">
        <v>11230</v>
      </c>
      <c r="C6298" s="196" t="s">
        <v>25684</v>
      </c>
      <c r="D6298" s="196" t="s">
        <v>25685</v>
      </c>
      <c r="E6298" s="196" t="s">
        <v>25685</v>
      </c>
      <c r="F6298" s="196" t="s">
        <v>11233</v>
      </c>
      <c r="G6298" s="196" t="s">
        <v>11720</v>
      </c>
      <c r="H6298" s="196" t="s">
        <v>11235</v>
      </c>
    </row>
    <row r="6299" spans="1:8" x14ac:dyDescent="0.15">
      <c r="A6299" s="196" t="s">
        <v>11229</v>
      </c>
      <c r="B6299" s="196" t="s">
        <v>11230</v>
      </c>
      <c r="C6299" s="196" t="s">
        <v>25686</v>
      </c>
      <c r="D6299" s="196" t="s">
        <v>25687</v>
      </c>
      <c r="E6299" s="196" t="s">
        <v>25687</v>
      </c>
      <c r="F6299" s="196" t="s">
        <v>11233</v>
      </c>
      <c r="G6299" s="196" t="s">
        <v>12378</v>
      </c>
      <c r="H6299" s="196" t="s">
        <v>11235</v>
      </c>
    </row>
    <row r="6300" spans="1:8" x14ac:dyDescent="0.15">
      <c r="A6300" s="196" t="s">
        <v>11229</v>
      </c>
      <c r="B6300" s="196" t="s">
        <v>11230</v>
      </c>
      <c r="C6300" s="196" t="s">
        <v>25688</v>
      </c>
      <c r="D6300" s="196" t="s">
        <v>25689</v>
      </c>
      <c r="E6300" s="196" t="s">
        <v>25689</v>
      </c>
      <c r="F6300" s="196" t="s">
        <v>11233</v>
      </c>
      <c r="G6300" s="196" t="s">
        <v>11720</v>
      </c>
      <c r="H6300" s="196" t="s">
        <v>11235</v>
      </c>
    </row>
    <row r="6301" spans="1:8" x14ac:dyDescent="0.15">
      <c r="A6301" s="196" t="s">
        <v>11229</v>
      </c>
      <c r="B6301" s="196" t="s">
        <v>11230</v>
      </c>
      <c r="C6301" s="196" t="s">
        <v>25690</v>
      </c>
      <c r="D6301" s="196" t="s">
        <v>25691</v>
      </c>
      <c r="E6301" s="196" t="s">
        <v>25691</v>
      </c>
      <c r="F6301" s="196" t="s">
        <v>11233</v>
      </c>
      <c r="G6301" s="196" t="s">
        <v>12378</v>
      </c>
      <c r="H6301" s="196" t="s">
        <v>11235</v>
      </c>
    </row>
    <row r="6302" spans="1:8" x14ac:dyDescent="0.15">
      <c r="A6302" s="196" t="s">
        <v>11229</v>
      </c>
      <c r="B6302" s="196" t="s">
        <v>11230</v>
      </c>
      <c r="C6302" s="196" t="s">
        <v>25692</v>
      </c>
      <c r="D6302" s="196" t="s">
        <v>25693</v>
      </c>
      <c r="E6302" s="196" t="s">
        <v>25693</v>
      </c>
      <c r="F6302" s="196" t="s">
        <v>11233</v>
      </c>
      <c r="G6302" s="196" t="s">
        <v>12378</v>
      </c>
      <c r="H6302" s="196" t="s">
        <v>11235</v>
      </c>
    </row>
    <row r="6303" spans="1:8" x14ac:dyDescent="0.15">
      <c r="A6303" s="196" t="s">
        <v>11229</v>
      </c>
      <c r="B6303" s="196" t="s">
        <v>11230</v>
      </c>
      <c r="C6303" s="196" t="s">
        <v>25694</v>
      </c>
      <c r="D6303" s="196" t="s">
        <v>25695</v>
      </c>
      <c r="E6303" s="196" t="s">
        <v>25695</v>
      </c>
      <c r="F6303" s="196" t="s">
        <v>11233</v>
      </c>
      <c r="G6303" s="196" t="s">
        <v>11720</v>
      </c>
      <c r="H6303" s="196" t="s">
        <v>11235</v>
      </c>
    </row>
    <row r="6304" spans="1:8" x14ac:dyDescent="0.15">
      <c r="A6304" s="196" t="s">
        <v>11229</v>
      </c>
      <c r="B6304" s="196" t="s">
        <v>11230</v>
      </c>
      <c r="C6304" s="196" t="s">
        <v>25696</v>
      </c>
      <c r="D6304" s="196" t="s">
        <v>25697</v>
      </c>
      <c r="E6304" s="196" t="s">
        <v>25697</v>
      </c>
      <c r="F6304" s="196" t="s">
        <v>11233</v>
      </c>
      <c r="G6304" s="196" t="s">
        <v>11720</v>
      </c>
      <c r="H6304" s="196" t="s">
        <v>11235</v>
      </c>
    </row>
    <row r="6305" spans="1:8" x14ac:dyDescent="0.15">
      <c r="A6305" s="196" t="s">
        <v>11229</v>
      </c>
      <c r="B6305" s="196" t="s">
        <v>11230</v>
      </c>
      <c r="C6305" s="196" t="s">
        <v>25698</v>
      </c>
      <c r="D6305" s="196" t="s">
        <v>25699</v>
      </c>
      <c r="E6305" s="196" t="s">
        <v>25700</v>
      </c>
      <c r="F6305" s="196" t="s">
        <v>15847</v>
      </c>
      <c r="G6305" s="196" t="s">
        <v>11720</v>
      </c>
      <c r="H6305" s="196" t="s">
        <v>11235</v>
      </c>
    </row>
    <row r="6306" spans="1:8" x14ac:dyDescent="0.15">
      <c r="A6306" s="196" t="s">
        <v>11229</v>
      </c>
      <c r="B6306" s="196" t="s">
        <v>11230</v>
      </c>
      <c r="C6306" s="196" t="s">
        <v>25701</v>
      </c>
      <c r="D6306" s="196" t="s">
        <v>25700</v>
      </c>
      <c r="E6306" s="196" t="s">
        <v>25700</v>
      </c>
      <c r="F6306" s="196" t="s">
        <v>11233</v>
      </c>
      <c r="G6306" s="196" t="s">
        <v>11720</v>
      </c>
      <c r="H6306" s="196" t="s">
        <v>11235</v>
      </c>
    </row>
    <row r="6307" spans="1:8" x14ac:dyDescent="0.15">
      <c r="A6307" s="196" t="s">
        <v>11229</v>
      </c>
      <c r="B6307" s="196" t="s">
        <v>11230</v>
      </c>
      <c r="C6307" s="196" t="s">
        <v>25702</v>
      </c>
      <c r="D6307" s="196" t="s">
        <v>25703</v>
      </c>
      <c r="E6307" s="196" t="s">
        <v>25703</v>
      </c>
      <c r="F6307" s="196" t="s">
        <v>11233</v>
      </c>
      <c r="G6307" s="196" t="s">
        <v>11720</v>
      </c>
      <c r="H6307" s="196" t="s">
        <v>11235</v>
      </c>
    </row>
    <row r="6308" spans="1:8" x14ac:dyDescent="0.15">
      <c r="A6308" s="196" t="s">
        <v>11229</v>
      </c>
      <c r="B6308" s="196" t="s">
        <v>11230</v>
      </c>
      <c r="C6308" s="196" t="s">
        <v>25704</v>
      </c>
      <c r="D6308" s="196" t="s">
        <v>25705</v>
      </c>
      <c r="E6308" s="196" t="s">
        <v>25705</v>
      </c>
      <c r="F6308" s="196" t="s">
        <v>11233</v>
      </c>
      <c r="G6308" s="196" t="s">
        <v>11720</v>
      </c>
      <c r="H6308" s="196" t="s">
        <v>11235</v>
      </c>
    </row>
    <row r="6309" spans="1:8" x14ac:dyDescent="0.15">
      <c r="A6309" s="196" t="s">
        <v>11229</v>
      </c>
      <c r="B6309" s="196" t="s">
        <v>11230</v>
      </c>
      <c r="C6309" s="196" t="s">
        <v>25706</v>
      </c>
      <c r="D6309" s="196" t="s">
        <v>25707</v>
      </c>
      <c r="E6309" s="196" t="s">
        <v>25708</v>
      </c>
      <c r="F6309" s="196" t="s">
        <v>11241</v>
      </c>
      <c r="G6309" s="196" t="s">
        <v>12378</v>
      </c>
      <c r="H6309" s="196" t="s">
        <v>11235</v>
      </c>
    </row>
    <row r="6310" spans="1:8" x14ac:dyDescent="0.15">
      <c r="A6310" s="196" t="s">
        <v>11229</v>
      </c>
      <c r="B6310" s="196" t="s">
        <v>11230</v>
      </c>
      <c r="C6310" s="196" t="s">
        <v>25709</v>
      </c>
      <c r="D6310" s="196" t="s">
        <v>25710</v>
      </c>
      <c r="E6310" s="196" t="s">
        <v>25710</v>
      </c>
      <c r="F6310" s="196" t="s">
        <v>11233</v>
      </c>
      <c r="G6310" s="196" t="s">
        <v>11720</v>
      </c>
      <c r="H6310" s="196" t="s">
        <v>11235</v>
      </c>
    </row>
    <row r="6311" spans="1:8" x14ac:dyDescent="0.15">
      <c r="A6311" s="196" t="s">
        <v>11229</v>
      </c>
      <c r="B6311" s="196" t="s">
        <v>11230</v>
      </c>
      <c r="C6311" s="196" t="s">
        <v>25711</v>
      </c>
      <c r="D6311" s="196" t="s">
        <v>25712</v>
      </c>
      <c r="E6311" s="196" t="s">
        <v>25713</v>
      </c>
      <c r="F6311" s="196" t="s">
        <v>11268</v>
      </c>
      <c r="G6311" s="196" t="s">
        <v>12378</v>
      </c>
      <c r="H6311" s="196" t="s">
        <v>11235</v>
      </c>
    </row>
    <row r="6312" spans="1:8" x14ac:dyDescent="0.15">
      <c r="A6312" s="196" t="s">
        <v>11229</v>
      </c>
      <c r="B6312" s="196" t="s">
        <v>11230</v>
      </c>
      <c r="C6312" s="196" t="s">
        <v>25714</v>
      </c>
      <c r="D6312" s="196" t="s">
        <v>25713</v>
      </c>
      <c r="E6312" s="196" t="s">
        <v>25715</v>
      </c>
      <c r="F6312" s="196" t="s">
        <v>11241</v>
      </c>
      <c r="G6312" s="196" t="s">
        <v>12378</v>
      </c>
      <c r="H6312" s="196" t="s">
        <v>11235</v>
      </c>
    </row>
    <row r="6313" spans="1:8" x14ac:dyDescent="0.15">
      <c r="A6313" s="196" t="s">
        <v>11229</v>
      </c>
      <c r="B6313" s="196" t="s">
        <v>11230</v>
      </c>
      <c r="C6313" s="196" t="s">
        <v>25716</v>
      </c>
      <c r="D6313" s="196" t="s">
        <v>25717</v>
      </c>
      <c r="E6313" s="196" t="s">
        <v>25717</v>
      </c>
      <c r="F6313" s="196" t="s">
        <v>11233</v>
      </c>
      <c r="G6313" s="196" t="s">
        <v>11720</v>
      </c>
      <c r="H6313" s="196" t="s">
        <v>11235</v>
      </c>
    </row>
    <row r="6314" spans="1:8" x14ac:dyDescent="0.15">
      <c r="A6314" s="196" t="s">
        <v>11229</v>
      </c>
      <c r="B6314" s="196" t="s">
        <v>11230</v>
      </c>
      <c r="C6314" s="196" t="s">
        <v>25718</v>
      </c>
      <c r="D6314" s="196" t="s">
        <v>25719</v>
      </c>
      <c r="E6314" s="196" t="s">
        <v>25719</v>
      </c>
      <c r="F6314" s="196" t="s">
        <v>11233</v>
      </c>
      <c r="G6314" s="196" t="s">
        <v>11720</v>
      </c>
      <c r="H6314" s="196" t="s">
        <v>11235</v>
      </c>
    </row>
    <row r="6315" spans="1:8" x14ac:dyDescent="0.15">
      <c r="A6315" s="196" t="s">
        <v>11229</v>
      </c>
      <c r="B6315" s="196" t="s">
        <v>11230</v>
      </c>
      <c r="C6315" s="196" t="s">
        <v>25720</v>
      </c>
      <c r="D6315" s="196" t="s">
        <v>25721</v>
      </c>
      <c r="E6315" s="196" t="s">
        <v>25722</v>
      </c>
      <c r="F6315" s="196" t="s">
        <v>11268</v>
      </c>
      <c r="G6315" s="196" t="s">
        <v>12378</v>
      </c>
      <c r="H6315" s="196" t="s">
        <v>11235</v>
      </c>
    </row>
    <row r="6316" spans="1:8" x14ac:dyDescent="0.15">
      <c r="A6316" s="196" t="s">
        <v>11229</v>
      </c>
      <c r="B6316" s="196" t="s">
        <v>11230</v>
      </c>
      <c r="C6316" s="196" t="s">
        <v>25723</v>
      </c>
      <c r="D6316" s="196" t="s">
        <v>25724</v>
      </c>
      <c r="E6316" s="196" t="s">
        <v>25724</v>
      </c>
      <c r="F6316" s="196" t="s">
        <v>11233</v>
      </c>
      <c r="G6316" s="196" t="s">
        <v>11720</v>
      </c>
      <c r="H6316" s="196" t="s">
        <v>11235</v>
      </c>
    </row>
    <row r="6317" spans="1:8" x14ac:dyDescent="0.15">
      <c r="A6317" s="196" t="s">
        <v>11229</v>
      </c>
      <c r="B6317" s="196" t="s">
        <v>11230</v>
      </c>
      <c r="C6317" s="196" t="s">
        <v>25725</v>
      </c>
      <c r="D6317" s="196" t="s">
        <v>25726</v>
      </c>
      <c r="E6317" s="196" t="s">
        <v>25726</v>
      </c>
      <c r="F6317" s="196" t="s">
        <v>11233</v>
      </c>
      <c r="G6317" s="196" t="s">
        <v>11720</v>
      </c>
      <c r="H6317" s="196" t="s">
        <v>11235</v>
      </c>
    </row>
    <row r="6318" spans="1:8" x14ac:dyDescent="0.15">
      <c r="A6318" s="196" t="s">
        <v>11229</v>
      </c>
      <c r="B6318" s="196" t="s">
        <v>11230</v>
      </c>
      <c r="C6318" s="196" t="s">
        <v>25727</v>
      </c>
      <c r="D6318" s="196" t="s">
        <v>25728</v>
      </c>
      <c r="E6318" s="196" t="s">
        <v>25728</v>
      </c>
      <c r="F6318" s="196" t="s">
        <v>11233</v>
      </c>
      <c r="G6318" s="196" t="s">
        <v>12378</v>
      </c>
      <c r="H6318" s="196" t="s">
        <v>11235</v>
      </c>
    </row>
    <row r="6319" spans="1:8" x14ac:dyDescent="0.15">
      <c r="A6319" s="196" t="s">
        <v>11229</v>
      </c>
      <c r="B6319" s="196" t="s">
        <v>11230</v>
      </c>
      <c r="C6319" s="196" t="s">
        <v>25729</v>
      </c>
      <c r="D6319" s="196" t="s">
        <v>25730</v>
      </c>
      <c r="E6319" s="196" t="s">
        <v>25730</v>
      </c>
      <c r="F6319" s="196" t="s">
        <v>11233</v>
      </c>
      <c r="G6319" s="196" t="s">
        <v>12378</v>
      </c>
      <c r="H6319" s="196" t="s">
        <v>11235</v>
      </c>
    </row>
    <row r="6320" spans="1:8" x14ac:dyDescent="0.15">
      <c r="A6320" s="196" t="s">
        <v>11229</v>
      </c>
      <c r="B6320" s="196" t="s">
        <v>11230</v>
      </c>
      <c r="C6320" s="196" t="s">
        <v>25731</v>
      </c>
      <c r="D6320" s="196" t="s">
        <v>25732</v>
      </c>
      <c r="E6320" s="196" t="s">
        <v>25733</v>
      </c>
      <c r="F6320" s="196" t="s">
        <v>11268</v>
      </c>
      <c r="G6320" s="196" t="s">
        <v>11720</v>
      </c>
      <c r="H6320" s="196" t="s">
        <v>11235</v>
      </c>
    </row>
    <row r="6321" spans="1:8" x14ac:dyDescent="0.15">
      <c r="A6321" s="196" t="s">
        <v>11229</v>
      </c>
      <c r="B6321" s="196" t="s">
        <v>11230</v>
      </c>
      <c r="C6321" s="196" t="s">
        <v>25734</v>
      </c>
      <c r="D6321" s="196" t="s">
        <v>25735</v>
      </c>
      <c r="E6321" s="196" t="s">
        <v>25735</v>
      </c>
      <c r="F6321" s="196" t="s">
        <v>11233</v>
      </c>
      <c r="G6321" s="196" t="s">
        <v>12378</v>
      </c>
      <c r="H6321" s="196" t="s">
        <v>11235</v>
      </c>
    </row>
    <row r="6322" spans="1:8" x14ac:dyDescent="0.15">
      <c r="A6322" s="196" t="s">
        <v>11229</v>
      </c>
      <c r="B6322" s="196" t="s">
        <v>11230</v>
      </c>
      <c r="C6322" s="196" t="s">
        <v>25736</v>
      </c>
      <c r="D6322" s="196" t="s">
        <v>25737</v>
      </c>
      <c r="E6322" s="196" t="s">
        <v>25738</v>
      </c>
      <c r="F6322" s="196" t="s">
        <v>11268</v>
      </c>
      <c r="G6322" s="196" t="s">
        <v>11720</v>
      </c>
      <c r="H6322" s="196" t="s">
        <v>11235</v>
      </c>
    </row>
    <row r="6323" spans="1:8" x14ac:dyDescent="0.15">
      <c r="A6323" s="196" t="s">
        <v>11229</v>
      </c>
      <c r="B6323" s="196" t="s">
        <v>11230</v>
      </c>
      <c r="C6323" s="196" t="s">
        <v>25739</v>
      </c>
      <c r="D6323" s="196" t="s">
        <v>25738</v>
      </c>
      <c r="E6323" s="196" t="s">
        <v>25738</v>
      </c>
      <c r="F6323" s="196" t="s">
        <v>11233</v>
      </c>
      <c r="G6323" s="196" t="s">
        <v>12378</v>
      </c>
      <c r="H6323" s="196" t="s">
        <v>11235</v>
      </c>
    </row>
    <row r="6324" spans="1:8" x14ac:dyDescent="0.15">
      <c r="A6324" s="196" t="s">
        <v>11229</v>
      </c>
      <c r="B6324" s="196" t="s">
        <v>11230</v>
      </c>
      <c r="C6324" s="196" t="s">
        <v>25740</v>
      </c>
      <c r="D6324" s="196" t="s">
        <v>25741</v>
      </c>
      <c r="E6324" s="196" t="s">
        <v>25742</v>
      </c>
      <c r="F6324" s="196" t="s">
        <v>11268</v>
      </c>
      <c r="G6324" s="196" t="s">
        <v>11720</v>
      </c>
      <c r="H6324" s="196" t="s">
        <v>11235</v>
      </c>
    </row>
    <row r="6325" spans="1:8" x14ac:dyDescent="0.15">
      <c r="A6325" s="196" t="s">
        <v>11229</v>
      </c>
      <c r="B6325" s="196" t="s">
        <v>11230</v>
      </c>
      <c r="C6325" s="196" t="s">
        <v>25743</v>
      </c>
      <c r="D6325" s="196" t="s">
        <v>25741</v>
      </c>
      <c r="E6325" s="196" t="s">
        <v>25741</v>
      </c>
      <c r="F6325" s="196" t="s">
        <v>11233</v>
      </c>
      <c r="G6325" s="196" t="s">
        <v>12378</v>
      </c>
      <c r="H6325" s="196" t="s">
        <v>11235</v>
      </c>
    </row>
    <row r="6326" spans="1:8" x14ac:dyDescent="0.15">
      <c r="A6326" s="196" t="s">
        <v>11229</v>
      </c>
      <c r="B6326" s="196" t="s">
        <v>11230</v>
      </c>
      <c r="C6326" s="196" t="s">
        <v>25744</v>
      </c>
      <c r="D6326" s="196" t="s">
        <v>25742</v>
      </c>
      <c r="E6326" s="196" t="s">
        <v>25745</v>
      </c>
      <c r="F6326" s="196" t="s">
        <v>13758</v>
      </c>
      <c r="G6326" s="196" t="s">
        <v>11720</v>
      </c>
      <c r="H6326" s="196" t="s">
        <v>11235</v>
      </c>
    </row>
    <row r="6327" spans="1:8" x14ac:dyDescent="0.15">
      <c r="A6327" s="196" t="s">
        <v>11229</v>
      </c>
      <c r="B6327" s="196" t="s">
        <v>11230</v>
      </c>
      <c r="C6327" s="196" t="s">
        <v>25746</v>
      </c>
      <c r="D6327" s="196" t="s">
        <v>25745</v>
      </c>
      <c r="E6327" s="196" t="s">
        <v>25747</v>
      </c>
      <c r="F6327" s="196" t="s">
        <v>11268</v>
      </c>
      <c r="G6327" s="196" t="s">
        <v>11720</v>
      </c>
      <c r="H6327" s="196" t="s">
        <v>11235</v>
      </c>
    </row>
    <row r="6328" spans="1:8" x14ac:dyDescent="0.15">
      <c r="A6328" s="196" t="s">
        <v>11229</v>
      </c>
      <c r="B6328" s="196" t="s">
        <v>11230</v>
      </c>
      <c r="C6328" s="196" t="s">
        <v>25748</v>
      </c>
      <c r="D6328" s="196" t="s">
        <v>25749</v>
      </c>
      <c r="E6328" s="196" t="s">
        <v>25750</v>
      </c>
      <c r="F6328" s="196" t="s">
        <v>13023</v>
      </c>
      <c r="G6328" s="196" t="s">
        <v>12378</v>
      </c>
      <c r="H6328" s="196" t="s">
        <v>11235</v>
      </c>
    </row>
    <row r="6329" spans="1:8" x14ac:dyDescent="0.15">
      <c r="A6329" s="196" t="s">
        <v>11229</v>
      </c>
      <c r="B6329" s="196" t="s">
        <v>11230</v>
      </c>
      <c r="C6329" s="196" t="s">
        <v>25751</v>
      </c>
      <c r="D6329" s="196" t="s">
        <v>25752</v>
      </c>
      <c r="E6329" s="196" t="s">
        <v>25752</v>
      </c>
      <c r="F6329" s="196" t="s">
        <v>11233</v>
      </c>
      <c r="G6329" s="196" t="s">
        <v>11720</v>
      </c>
      <c r="H6329" s="196" t="s">
        <v>11235</v>
      </c>
    </row>
    <row r="6330" spans="1:8" x14ac:dyDescent="0.15">
      <c r="A6330" s="196" t="s">
        <v>11229</v>
      </c>
      <c r="B6330" s="196" t="s">
        <v>11230</v>
      </c>
      <c r="C6330" s="196" t="s">
        <v>25753</v>
      </c>
      <c r="D6330" s="196" t="s">
        <v>25754</v>
      </c>
      <c r="E6330" s="196" t="s">
        <v>25754</v>
      </c>
      <c r="F6330" s="196" t="s">
        <v>11233</v>
      </c>
      <c r="G6330" s="196" t="s">
        <v>12378</v>
      </c>
      <c r="H6330" s="196" t="s">
        <v>11235</v>
      </c>
    </row>
    <row r="6331" spans="1:8" x14ac:dyDescent="0.15">
      <c r="A6331" s="196" t="s">
        <v>11229</v>
      </c>
      <c r="B6331" s="196" t="s">
        <v>11230</v>
      </c>
      <c r="C6331" s="196" t="s">
        <v>25755</v>
      </c>
      <c r="D6331" s="196" t="s">
        <v>25756</v>
      </c>
      <c r="E6331" s="196" t="s">
        <v>25756</v>
      </c>
      <c r="F6331" s="196" t="s">
        <v>11233</v>
      </c>
      <c r="G6331" s="196" t="s">
        <v>12378</v>
      </c>
      <c r="H6331" s="196" t="s">
        <v>11235</v>
      </c>
    </row>
    <row r="6332" spans="1:8" x14ac:dyDescent="0.15">
      <c r="A6332" s="196" t="s">
        <v>11229</v>
      </c>
      <c r="B6332" s="196" t="s">
        <v>11230</v>
      </c>
      <c r="C6332" s="196" t="s">
        <v>25757</v>
      </c>
      <c r="D6332" s="196" t="s">
        <v>25758</v>
      </c>
      <c r="E6332" s="196" t="s">
        <v>25758</v>
      </c>
      <c r="F6332" s="196" t="s">
        <v>11233</v>
      </c>
      <c r="G6332" s="196" t="s">
        <v>12378</v>
      </c>
      <c r="H6332" s="196" t="s">
        <v>11235</v>
      </c>
    </row>
    <row r="6333" spans="1:8" x14ac:dyDescent="0.15">
      <c r="A6333" s="196" t="s">
        <v>11229</v>
      </c>
      <c r="B6333" s="196" t="s">
        <v>11230</v>
      </c>
      <c r="C6333" s="196" t="s">
        <v>25759</v>
      </c>
      <c r="D6333" s="196" t="s">
        <v>25760</v>
      </c>
      <c r="E6333" s="196" t="s">
        <v>25760</v>
      </c>
      <c r="F6333" s="196" t="s">
        <v>11233</v>
      </c>
      <c r="G6333" s="196" t="s">
        <v>12378</v>
      </c>
      <c r="H6333" s="196" t="s">
        <v>11235</v>
      </c>
    </row>
    <row r="6334" spans="1:8" x14ac:dyDescent="0.15">
      <c r="A6334" s="196" t="s">
        <v>11229</v>
      </c>
      <c r="B6334" s="196" t="s">
        <v>11230</v>
      </c>
      <c r="C6334" s="196" t="s">
        <v>25761</v>
      </c>
      <c r="D6334" s="196" t="s">
        <v>25762</v>
      </c>
      <c r="E6334" s="196" t="s">
        <v>25762</v>
      </c>
      <c r="F6334" s="196" t="s">
        <v>11233</v>
      </c>
      <c r="G6334" s="196" t="s">
        <v>11720</v>
      </c>
      <c r="H6334" s="196" t="s">
        <v>11235</v>
      </c>
    </row>
    <row r="6335" spans="1:8" x14ac:dyDescent="0.15">
      <c r="A6335" s="196" t="s">
        <v>11229</v>
      </c>
      <c r="B6335" s="196" t="s">
        <v>11230</v>
      </c>
      <c r="C6335" s="196" t="s">
        <v>25763</v>
      </c>
      <c r="D6335" s="196" t="s">
        <v>25764</v>
      </c>
      <c r="E6335" s="196" t="s">
        <v>25765</v>
      </c>
      <c r="F6335" s="196" t="s">
        <v>11241</v>
      </c>
      <c r="G6335" s="196" t="s">
        <v>12378</v>
      </c>
      <c r="H6335" s="196" t="s">
        <v>11235</v>
      </c>
    </row>
    <row r="6336" spans="1:8" x14ac:dyDescent="0.15">
      <c r="A6336" s="196" t="s">
        <v>11229</v>
      </c>
      <c r="B6336" s="196" t="s">
        <v>11230</v>
      </c>
      <c r="C6336" s="196" t="s">
        <v>25766</v>
      </c>
      <c r="D6336" s="196" t="s">
        <v>25767</v>
      </c>
      <c r="E6336" s="196" t="s">
        <v>25767</v>
      </c>
      <c r="F6336" s="196" t="s">
        <v>11233</v>
      </c>
      <c r="G6336" s="196" t="s">
        <v>12378</v>
      </c>
      <c r="H6336" s="196" t="s">
        <v>11235</v>
      </c>
    </row>
    <row r="6337" spans="1:8" x14ac:dyDescent="0.15">
      <c r="A6337" s="196" t="s">
        <v>11229</v>
      </c>
      <c r="B6337" s="196" t="s">
        <v>11230</v>
      </c>
      <c r="C6337" s="196" t="s">
        <v>25768</v>
      </c>
      <c r="D6337" s="196" t="s">
        <v>25767</v>
      </c>
      <c r="E6337" s="196" t="s">
        <v>25769</v>
      </c>
      <c r="F6337" s="196" t="s">
        <v>11241</v>
      </c>
      <c r="G6337" s="196" t="s">
        <v>11720</v>
      </c>
      <c r="H6337" s="196" t="s">
        <v>11235</v>
      </c>
    </row>
    <row r="6338" spans="1:8" x14ac:dyDescent="0.15">
      <c r="A6338" s="196" t="s">
        <v>11229</v>
      </c>
      <c r="B6338" s="196" t="s">
        <v>11230</v>
      </c>
      <c r="C6338" s="196" t="s">
        <v>25770</v>
      </c>
      <c r="D6338" s="196" t="s">
        <v>25769</v>
      </c>
      <c r="E6338" s="196" t="s">
        <v>25769</v>
      </c>
      <c r="F6338" s="196" t="s">
        <v>11233</v>
      </c>
      <c r="G6338" s="196" t="s">
        <v>12378</v>
      </c>
      <c r="H6338" s="196" t="s">
        <v>11235</v>
      </c>
    </row>
    <row r="6339" spans="1:8" x14ac:dyDescent="0.15">
      <c r="A6339" s="196" t="s">
        <v>11229</v>
      </c>
      <c r="B6339" s="196" t="s">
        <v>11230</v>
      </c>
      <c r="C6339" s="196" t="s">
        <v>25771</v>
      </c>
      <c r="D6339" s="196" t="s">
        <v>25772</v>
      </c>
      <c r="E6339" s="196" t="s">
        <v>25772</v>
      </c>
      <c r="F6339" s="196" t="s">
        <v>11233</v>
      </c>
      <c r="G6339" s="196" t="s">
        <v>12378</v>
      </c>
      <c r="H6339" s="196" t="s">
        <v>11235</v>
      </c>
    </row>
    <row r="6340" spans="1:8" x14ac:dyDescent="0.15">
      <c r="A6340" s="196" t="s">
        <v>11229</v>
      </c>
      <c r="B6340" s="196" t="s">
        <v>11230</v>
      </c>
      <c r="C6340" s="196" t="s">
        <v>25773</v>
      </c>
      <c r="D6340" s="196" t="s">
        <v>25772</v>
      </c>
      <c r="E6340" s="196" t="s">
        <v>25772</v>
      </c>
      <c r="F6340" s="196" t="s">
        <v>11233</v>
      </c>
      <c r="G6340" s="196" t="s">
        <v>11720</v>
      </c>
      <c r="H6340" s="196" t="s">
        <v>11235</v>
      </c>
    </row>
    <row r="6341" spans="1:8" x14ac:dyDescent="0.15">
      <c r="A6341" s="196" t="s">
        <v>11229</v>
      </c>
      <c r="B6341" s="196" t="s">
        <v>11230</v>
      </c>
      <c r="C6341" s="196" t="s">
        <v>25774</v>
      </c>
      <c r="D6341" s="196" t="s">
        <v>25775</v>
      </c>
      <c r="E6341" s="196" t="s">
        <v>25775</v>
      </c>
      <c r="F6341" s="196" t="s">
        <v>11233</v>
      </c>
      <c r="G6341" s="196" t="s">
        <v>12378</v>
      </c>
      <c r="H6341" s="196" t="s">
        <v>11235</v>
      </c>
    </row>
    <row r="6342" spans="1:8" x14ac:dyDescent="0.15">
      <c r="A6342" s="196" t="s">
        <v>11229</v>
      </c>
      <c r="B6342" s="196" t="s">
        <v>11230</v>
      </c>
      <c r="C6342" s="196" t="s">
        <v>25776</v>
      </c>
      <c r="D6342" s="196" t="s">
        <v>25775</v>
      </c>
      <c r="E6342" s="196" t="s">
        <v>25775</v>
      </c>
      <c r="F6342" s="196" t="s">
        <v>11233</v>
      </c>
      <c r="G6342" s="196" t="s">
        <v>11720</v>
      </c>
      <c r="H6342" s="196" t="s">
        <v>11235</v>
      </c>
    </row>
    <row r="6343" spans="1:8" x14ac:dyDescent="0.15">
      <c r="A6343" s="196" t="s">
        <v>11229</v>
      </c>
      <c r="B6343" s="196" t="s">
        <v>11230</v>
      </c>
      <c r="C6343" s="196" t="s">
        <v>25777</v>
      </c>
      <c r="D6343" s="196" t="s">
        <v>25778</v>
      </c>
      <c r="E6343" s="196" t="s">
        <v>25778</v>
      </c>
      <c r="F6343" s="196" t="s">
        <v>11233</v>
      </c>
      <c r="G6343" s="196" t="s">
        <v>11720</v>
      </c>
      <c r="H6343" s="196" t="s">
        <v>11235</v>
      </c>
    </row>
    <row r="6344" spans="1:8" x14ac:dyDescent="0.15">
      <c r="A6344" s="196" t="s">
        <v>11229</v>
      </c>
      <c r="B6344" s="196" t="s">
        <v>11230</v>
      </c>
      <c r="C6344" s="196" t="s">
        <v>25779</v>
      </c>
      <c r="D6344" s="196" t="s">
        <v>25780</v>
      </c>
      <c r="E6344" s="196" t="s">
        <v>25780</v>
      </c>
      <c r="F6344" s="196" t="s">
        <v>11233</v>
      </c>
      <c r="G6344" s="196" t="s">
        <v>11720</v>
      </c>
      <c r="H6344" s="196" t="s">
        <v>11235</v>
      </c>
    </row>
    <row r="6345" spans="1:8" x14ac:dyDescent="0.15">
      <c r="A6345" s="196" t="s">
        <v>11229</v>
      </c>
      <c r="B6345" s="196" t="s">
        <v>11230</v>
      </c>
      <c r="C6345" s="196" t="s">
        <v>25781</v>
      </c>
      <c r="D6345" s="196" t="s">
        <v>25782</v>
      </c>
      <c r="E6345" s="196" t="s">
        <v>25782</v>
      </c>
      <c r="F6345" s="196" t="s">
        <v>11233</v>
      </c>
      <c r="G6345" s="196" t="s">
        <v>12378</v>
      </c>
      <c r="H6345" s="196" t="s">
        <v>11235</v>
      </c>
    </row>
    <row r="6346" spans="1:8" x14ac:dyDescent="0.15">
      <c r="A6346" s="196" t="s">
        <v>11229</v>
      </c>
      <c r="B6346" s="196" t="s">
        <v>11230</v>
      </c>
      <c r="C6346" s="196" t="s">
        <v>25783</v>
      </c>
      <c r="D6346" s="196" t="s">
        <v>25784</v>
      </c>
      <c r="E6346" s="196" t="s">
        <v>25784</v>
      </c>
      <c r="F6346" s="196" t="s">
        <v>11233</v>
      </c>
      <c r="G6346" s="196" t="s">
        <v>11720</v>
      </c>
      <c r="H6346" s="196" t="s">
        <v>11235</v>
      </c>
    </row>
    <row r="6347" spans="1:8" x14ac:dyDescent="0.15">
      <c r="A6347" s="196" t="s">
        <v>11229</v>
      </c>
      <c r="B6347" s="196" t="s">
        <v>11230</v>
      </c>
      <c r="C6347" s="196" t="s">
        <v>25785</v>
      </c>
      <c r="D6347" s="196" t="s">
        <v>25786</v>
      </c>
      <c r="E6347" s="196" t="s">
        <v>25786</v>
      </c>
      <c r="F6347" s="196" t="s">
        <v>11233</v>
      </c>
      <c r="G6347" s="196" t="s">
        <v>12378</v>
      </c>
      <c r="H6347" s="196" t="s">
        <v>11235</v>
      </c>
    </row>
    <row r="6348" spans="1:8" x14ac:dyDescent="0.15">
      <c r="A6348" s="196" t="s">
        <v>11229</v>
      </c>
      <c r="B6348" s="196" t="s">
        <v>11230</v>
      </c>
      <c r="C6348" s="196" t="s">
        <v>25787</v>
      </c>
      <c r="D6348" s="196" t="s">
        <v>25788</v>
      </c>
      <c r="E6348" s="196" t="s">
        <v>25788</v>
      </c>
      <c r="F6348" s="196" t="s">
        <v>11233</v>
      </c>
      <c r="G6348" s="196" t="s">
        <v>12378</v>
      </c>
      <c r="H6348" s="196" t="s">
        <v>11235</v>
      </c>
    </row>
    <row r="6349" spans="1:8" x14ac:dyDescent="0.15">
      <c r="A6349" s="196" t="s">
        <v>11229</v>
      </c>
      <c r="B6349" s="196" t="s">
        <v>11230</v>
      </c>
      <c r="C6349" s="196" t="s">
        <v>25789</v>
      </c>
      <c r="D6349" s="196" t="s">
        <v>25790</v>
      </c>
      <c r="E6349" s="196" t="s">
        <v>25790</v>
      </c>
      <c r="F6349" s="196" t="s">
        <v>11233</v>
      </c>
      <c r="G6349" s="196" t="s">
        <v>12378</v>
      </c>
      <c r="H6349" s="196" t="s">
        <v>11235</v>
      </c>
    </row>
    <row r="6350" spans="1:8" x14ac:dyDescent="0.15">
      <c r="A6350" s="196" t="s">
        <v>11229</v>
      </c>
      <c r="B6350" s="196" t="s">
        <v>11230</v>
      </c>
      <c r="C6350" s="196" t="s">
        <v>25791</v>
      </c>
      <c r="D6350" s="196" t="s">
        <v>25792</v>
      </c>
      <c r="E6350" s="196" t="s">
        <v>25792</v>
      </c>
      <c r="F6350" s="196" t="s">
        <v>11233</v>
      </c>
      <c r="G6350" s="196" t="s">
        <v>12378</v>
      </c>
      <c r="H6350" s="196" t="s">
        <v>11235</v>
      </c>
    </row>
    <row r="6351" spans="1:8" x14ac:dyDescent="0.15">
      <c r="A6351" s="196" t="s">
        <v>11229</v>
      </c>
      <c r="B6351" s="196" t="s">
        <v>11230</v>
      </c>
      <c r="C6351" s="196" t="s">
        <v>25793</v>
      </c>
      <c r="D6351" s="196" t="s">
        <v>25794</v>
      </c>
      <c r="E6351" s="196" t="s">
        <v>25794</v>
      </c>
      <c r="F6351" s="196" t="s">
        <v>11233</v>
      </c>
      <c r="G6351" s="196" t="s">
        <v>12378</v>
      </c>
      <c r="H6351" s="196" t="s">
        <v>11235</v>
      </c>
    </row>
    <row r="6352" spans="1:8" x14ac:dyDescent="0.15">
      <c r="A6352" s="196" t="s">
        <v>11229</v>
      </c>
      <c r="B6352" s="196" t="s">
        <v>11230</v>
      </c>
      <c r="C6352" s="196" t="s">
        <v>25795</v>
      </c>
      <c r="D6352" s="196" t="s">
        <v>25794</v>
      </c>
      <c r="E6352" s="196" t="s">
        <v>25794</v>
      </c>
      <c r="F6352" s="196" t="s">
        <v>11233</v>
      </c>
      <c r="G6352" s="196" t="s">
        <v>11720</v>
      </c>
      <c r="H6352" s="196" t="s">
        <v>11235</v>
      </c>
    </row>
    <row r="6353" spans="1:8" x14ac:dyDescent="0.15">
      <c r="A6353" s="196" t="s">
        <v>11229</v>
      </c>
      <c r="B6353" s="196" t="s">
        <v>11230</v>
      </c>
      <c r="C6353" s="196" t="s">
        <v>25796</v>
      </c>
      <c r="D6353" s="196" t="s">
        <v>25797</v>
      </c>
      <c r="E6353" s="196" t="s">
        <v>25797</v>
      </c>
      <c r="F6353" s="196" t="s">
        <v>11233</v>
      </c>
      <c r="G6353" s="196" t="s">
        <v>11720</v>
      </c>
      <c r="H6353" s="196" t="s">
        <v>11235</v>
      </c>
    </row>
    <row r="6354" spans="1:8" x14ac:dyDescent="0.15">
      <c r="A6354" s="196" t="s">
        <v>11229</v>
      </c>
      <c r="B6354" s="196" t="s">
        <v>11230</v>
      </c>
      <c r="C6354" s="196" t="s">
        <v>25798</v>
      </c>
      <c r="D6354" s="196" t="s">
        <v>25799</v>
      </c>
      <c r="E6354" s="196" t="s">
        <v>25799</v>
      </c>
      <c r="F6354" s="196" t="s">
        <v>11233</v>
      </c>
      <c r="G6354" s="196" t="s">
        <v>12378</v>
      </c>
      <c r="H6354" s="196" t="s">
        <v>11235</v>
      </c>
    </row>
    <row r="6355" spans="1:8" x14ac:dyDescent="0.15">
      <c r="A6355" s="196" t="s">
        <v>11229</v>
      </c>
      <c r="B6355" s="196" t="s">
        <v>11230</v>
      </c>
      <c r="C6355" s="196" t="s">
        <v>25800</v>
      </c>
      <c r="D6355" s="196" t="s">
        <v>25801</v>
      </c>
      <c r="E6355" s="196" t="s">
        <v>25801</v>
      </c>
      <c r="F6355" s="196" t="s">
        <v>11233</v>
      </c>
      <c r="G6355" s="196" t="s">
        <v>12378</v>
      </c>
      <c r="H6355" s="196" t="s">
        <v>11235</v>
      </c>
    </row>
    <row r="6356" spans="1:8" x14ac:dyDescent="0.15">
      <c r="A6356" s="196" t="s">
        <v>11229</v>
      </c>
      <c r="B6356" s="196" t="s">
        <v>11230</v>
      </c>
      <c r="C6356" s="196" t="s">
        <v>25802</v>
      </c>
      <c r="D6356" s="196" t="s">
        <v>25803</v>
      </c>
      <c r="E6356" s="196" t="s">
        <v>25803</v>
      </c>
      <c r="F6356" s="196" t="s">
        <v>11233</v>
      </c>
      <c r="G6356" s="196" t="s">
        <v>11720</v>
      </c>
      <c r="H6356" s="196" t="s">
        <v>11235</v>
      </c>
    </row>
    <row r="6357" spans="1:8" x14ac:dyDescent="0.15">
      <c r="A6357" s="196" t="s">
        <v>11229</v>
      </c>
      <c r="B6357" s="196" t="s">
        <v>11230</v>
      </c>
      <c r="C6357" s="196" t="s">
        <v>25804</v>
      </c>
      <c r="D6357" s="196" t="s">
        <v>25805</v>
      </c>
      <c r="E6357" s="196" t="s">
        <v>25805</v>
      </c>
      <c r="F6357" s="196" t="s">
        <v>11233</v>
      </c>
      <c r="G6357" s="196" t="s">
        <v>12378</v>
      </c>
      <c r="H6357" s="196" t="s">
        <v>11235</v>
      </c>
    </row>
    <row r="6358" spans="1:8" x14ac:dyDescent="0.15">
      <c r="A6358" s="196" t="s">
        <v>11229</v>
      </c>
      <c r="B6358" s="196" t="s">
        <v>11230</v>
      </c>
      <c r="C6358" s="196" t="s">
        <v>25806</v>
      </c>
      <c r="D6358" s="196" t="s">
        <v>25807</v>
      </c>
      <c r="E6358" s="196" t="s">
        <v>25807</v>
      </c>
      <c r="F6358" s="196" t="s">
        <v>11233</v>
      </c>
      <c r="G6358" s="196" t="s">
        <v>11720</v>
      </c>
      <c r="H6358" s="196" t="s">
        <v>11235</v>
      </c>
    </row>
    <row r="6359" spans="1:8" x14ac:dyDescent="0.15">
      <c r="A6359" s="196" t="s">
        <v>11229</v>
      </c>
      <c r="B6359" s="196" t="s">
        <v>11230</v>
      </c>
      <c r="C6359" s="196" t="s">
        <v>25808</v>
      </c>
      <c r="D6359" s="196" t="s">
        <v>25809</v>
      </c>
      <c r="E6359" s="196" t="s">
        <v>25809</v>
      </c>
      <c r="F6359" s="196" t="s">
        <v>11233</v>
      </c>
      <c r="G6359" s="196" t="s">
        <v>12378</v>
      </c>
      <c r="H6359" s="196" t="s">
        <v>11235</v>
      </c>
    </row>
    <row r="6360" spans="1:8" x14ac:dyDescent="0.15">
      <c r="A6360" s="196" t="s">
        <v>11229</v>
      </c>
      <c r="B6360" s="196" t="s">
        <v>11230</v>
      </c>
      <c r="C6360" s="196" t="s">
        <v>25810</v>
      </c>
      <c r="D6360" s="196" t="s">
        <v>25811</v>
      </c>
      <c r="E6360" s="196" t="s">
        <v>25811</v>
      </c>
      <c r="F6360" s="196" t="s">
        <v>11233</v>
      </c>
      <c r="G6360" s="196" t="s">
        <v>12378</v>
      </c>
      <c r="H6360" s="196" t="s">
        <v>11235</v>
      </c>
    </row>
    <row r="6361" spans="1:8" x14ac:dyDescent="0.15">
      <c r="A6361" s="196" t="s">
        <v>11229</v>
      </c>
      <c r="B6361" s="196" t="s">
        <v>11230</v>
      </c>
      <c r="C6361" s="196" t="s">
        <v>25812</v>
      </c>
      <c r="D6361" s="196" t="s">
        <v>25813</v>
      </c>
      <c r="E6361" s="196" t="s">
        <v>25813</v>
      </c>
      <c r="F6361" s="196" t="s">
        <v>11233</v>
      </c>
      <c r="G6361" s="196" t="s">
        <v>12378</v>
      </c>
      <c r="H6361" s="196" t="s">
        <v>11235</v>
      </c>
    </row>
    <row r="6362" spans="1:8" x14ac:dyDescent="0.15">
      <c r="A6362" s="196" t="s">
        <v>11229</v>
      </c>
      <c r="B6362" s="196" t="s">
        <v>11230</v>
      </c>
      <c r="C6362" s="196" t="s">
        <v>25814</v>
      </c>
      <c r="D6362" s="196" t="s">
        <v>25815</v>
      </c>
      <c r="E6362" s="196" t="s">
        <v>25815</v>
      </c>
      <c r="F6362" s="196" t="s">
        <v>11233</v>
      </c>
      <c r="G6362" s="196" t="s">
        <v>12378</v>
      </c>
      <c r="H6362" s="196" t="s">
        <v>11235</v>
      </c>
    </row>
    <row r="6363" spans="1:8" x14ac:dyDescent="0.15">
      <c r="A6363" s="196" t="s">
        <v>11229</v>
      </c>
      <c r="B6363" s="196" t="s">
        <v>11230</v>
      </c>
      <c r="C6363" s="196" t="s">
        <v>25816</v>
      </c>
      <c r="D6363" s="196" t="s">
        <v>25815</v>
      </c>
      <c r="E6363" s="196" t="s">
        <v>25815</v>
      </c>
      <c r="F6363" s="196" t="s">
        <v>11233</v>
      </c>
      <c r="G6363" s="196" t="s">
        <v>11720</v>
      </c>
      <c r="H6363" s="196" t="s">
        <v>11235</v>
      </c>
    </row>
    <row r="6364" spans="1:8" x14ac:dyDescent="0.15">
      <c r="A6364" s="196" t="s">
        <v>11229</v>
      </c>
      <c r="B6364" s="196" t="s">
        <v>11230</v>
      </c>
      <c r="C6364" s="196" t="s">
        <v>25817</v>
      </c>
      <c r="D6364" s="196" t="s">
        <v>25818</v>
      </c>
      <c r="E6364" s="196" t="s">
        <v>25818</v>
      </c>
      <c r="F6364" s="196" t="s">
        <v>11233</v>
      </c>
      <c r="G6364" s="196" t="s">
        <v>11720</v>
      </c>
      <c r="H6364" s="196" t="s">
        <v>11235</v>
      </c>
    </row>
    <row r="6365" spans="1:8" x14ac:dyDescent="0.15">
      <c r="A6365" s="196" t="s">
        <v>11229</v>
      </c>
      <c r="B6365" s="196" t="s">
        <v>11230</v>
      </c>
      <c r="C6365" s="196" t="s">
        <v>25819</v>
      </c>
      <c r="D6365" s="196" t="s">
        <v>25820</v>
      </c>
      <c r="E6365" s="196" t="s">
        <v>25820</v>
      </c>
      <c r="F6365" s="196" t="s">
        <v>11233</v>
      </c>
      <c r="G6365" s="196" t="s">
        <v>11720</v>
      </c>
      <c r="H6365" s="196" t="s">
        <v>11235</v>
      </c>
    </row>
    <row r="6366" spans="1:8" x14ac:dyDescent="0.15">
      <c r="A6366" s="196" t="s">
        <v>11229</v>
      </c>
      <c r="B6366" s="196" t="s">
        <v>11230</v>
      </c>
      <c r="C6366" s="196" t="s">
        <v>25821</v>
      </c>
      <c r="D6366" s="196" t="s">
        <v>25822</v>
      </c>
      <c r="E6366" s="196" t="s">
        <v>25822</v>
      </c>
      <c r="F6366" s="196" t="s">
        <v>11233</v>
      </c>
      <c r="G6366" s="196" t="s">
        <v>11720</v>
      </c>
      <c r="H6366" s="196" t="s">
        <v>11235</v>
      </c>
    </row>
    <row r="6367" spans="1:8" x14ac:dyDescent="0.15">
      <c r="A6367" s="196" t="s">
        <v>11229</v>
      </c>
      <c r="B6367" s="196" t="s">
        <v>11230</v>
      </c>
      <c r="C6367" s="196" t="s">
        <v>25823</v>
      </c>
      <c r="D6367" s="196" t="s">
        <v>25824</v>
      </c>
      <c r="E6367" s="196" t="s">
        <v>25824</v>
      </c>
      <c r="F6367" s="196" t="s">
        <v>11233</v>
      </c>
      <c r="G6367" s="196" t="s">
        <v>11720</v>
      </c>
      <c r="H6367" s="196" t="s">
        <v>11235</v>
      </c>
    </row>
    <row r="6368" spans="1:8" x14ac:dyDescent="0.15">
      <c r="A6368" s="196" t="s">
        <v>11229</v>
      </c>
      <c r="B6368" s="196" t="s">
        <v>11230</v>
      </c>
      <c r="C6368" s="196" t="s">
        <v>25825</v>
      </c>
      <c r="D6368" s="196" t="s">
        <v>25826</v>
      </c>
      <c r="E6368" s="196" t="s">
        <v>25826</v>
      </c>
      <c r="F6368" s="196" t="s">
        <v>11233</v>
      </c>
      <c r="G6368" s="196" t="s">
        <v>12378</v>
      </c>
      <c r="H6368" s="196" t="s">
        <v>11235</v>
      </c>
    </row>
    <row r="6369" spans="1:8" x14ac:dyDescent="0.15">
      <c r="A6369" s="196" t="s">
        <v>11229</v>
      </c>
      <c r="B6369" s="196" t="s">
        <v>11230</v>
      </c>
      <c r="C6369" s="196" t="s">
        <v>25827</v>
      </c>
      <c r="D6369" s="196" t="s">
        <v>25828</v>
      </c>
      <c r="E6369" s="196" t="s">
        <v>25828</v>
      </c>
      <c r="F6369" s="196" t="s">
        <v>11233</v>
      </c>
      <c r="G6369" s="196" t="s">
        <v>11720</v>
      </c>
      <c r="H6369" s="196" t="s">
        <v>11235</v>
      </c>
    </row>
    <row r="6370" spans="1:8" x14ac:dyDescent="0.15">
      <c r="A6370" s="196" t="s">
        <v>11229</v>
      </c>
      <c r="B6370" s="196" t="s">
        <v>11230</v>
      </c>
      <c r="C6370" s="196" t="s">
        <v>25829</v>
      </c>
      <c r="D6370" s="196" t="s">
        <v>25830</v>
      </c>
      <c r="E6370" s="196" t="s">
        <v>25830</v>
      </c>
      <c r="F6370" s="196" t="s">
        <v>11233</v>
      </c>
      <c r="G6370" s="196" t="s">
        <v>11720</v>
      </c>
      <c r="H6370" s="196" t="s">
        <v>11235</v>
      </c>
    </row>
    <row r="6371" spans="1:8" x14ac:dyDescent="0.15">
      <c r="A6371" s="196" t="s">
        <v>11229</v>
      </c>
      <c r="B6371" s="196" t="s">
        <v>11230</v>
      </c>
      <c r="C6371" s="196" t="s">
        <v>25831</v>
      </c>
      <c r="D6371" s="196" t="s">
        <v>25832</v>
      </c>
      <c r="E6371" s="196" t="s">
        <v>25832</v>
      </c>
      <c r="F6371" s="196" t="s">
        <v>11233</v>
      </c>
      <c r="G6371" s="196" t="s">
        <v>11720</v>
      </c>
      <c r="H6371" s="196" t="s">
        <v>11235</v>
      </c>
    </row>
    <row r="6372" spans="1:8" x14ac:dyDescent="0.15">
      <c r="A6372" s="196" t="s">
        <v>11229</v>
      </c>
      <c r="B6372" s="196" t="s">
        <v>11230</v>
      </c>
      <c r="C6372" s="196" t="s">
        <v>25833</v>
      </c>
      <c r="D6372" s="196" t="s">
        <v>25834</v>
      </c>
      <c r="E6372" s="196" t="s">
        <v>25834</v>
      </c>
      <c r="F6372" s="196" t="s">
        <v>11233</v>
      </c>
      <c r="G6372" s="196" t="s">
        <v>11720</v>
      </c>
      <c r="H6372" s="196" t="s">
        <v>11235</v>
      </c>
    </row>
    <row r="6373" spans="1:8" x14ac:dyDescent="0.15">
      <c r="A6373" s="196" t="s">
        <v>11229</v>
      </c>
      <c r="B6373" s="196" t="s">
        <v>11230</v>
      </c>
      <c r="C6373" s="196" t="s">
        <v>25835</v>
      </c>
      <c r="D6373" s="196" t="s">
        <v>25836</v>
      </c>
      <c r="E6373" s="196" t="s">
        <v>25836</v>
      </c>
      <c r="F6373" s="196" t="s">
        <v>11233</v>
      </c>
      <c r="G6373" s="196" t="s">
        <v>11720</v>
      </c>
      <c r="H6373" s="196" t="s">
        <v>11235</v>
      </c>
    </row>
    <row r="6374" spans="1:8" x14ac:dyDescent="0.15">
      <c r="A6374" s="196" t="s">
        <v>11229</v>
      </c>
      <c r="B6374" s="196" t="s">
        <v>11230</v>
      </c>
      <c r="C6374" s="196" t="s">
        <v>25837</v>
      </c>
      <c r="D6374" s="196" t="s">
        <v>25838</v>
      </c>
      <c r="E6374" s="196" t="s">
        <v>25838</v>
      </c>
      <c r="F6374" s="196" t="s">
        <v>11233</v>
      </c>
      <c r="G6374" s="196" t="s">
        <v>11720</v>
      </c>
      <c r="H6374" s="196" t="s">
        <v>11235</v>
      </c>
    </row>
    <row r="6375" spans="1:8" x14ac:dyDescent="0.15">
      <c r="A6375" s="196" t="s">
        <v>11229</v>
      </c>
      <c r="B6375" s="196" t="s">
        <v>11230</v>
      </c>
      <c r="C6375" s="196" t="s">
        <v>25839</v>
      </c>
      <c r="D6375" s="196" t="s">
        <v>25840</v>
      </c>
      <c r="E6375" s="196" t="s">
        <v>25840</v>
      </c>
      <c r="F6375" s="196" t="s">
        <v>11233</v>
      </c>
      <c r="G6375" s="196" t="s">
        <v>12378</v>
      </c>
      <c r="H6375" s="196" t="s">
        <v>11235</v>
      </c>
    </row>
    <row r="6376" spans="1:8" x14ac:dyDescent="0.15">
      <c r="A6376" s="196" t="s">
        <v>11229</v>
      </c>
      <c r="B6376" s="196" t="s">
        <v>11230</v>
      </c>
      <c r="C6376" s="196" t="s">
        <v>25841</v>
      </c>
      <c r="D6376" s="196" t="s">
        <v>25842</v>
      </c>
      <c r="E6376" s="196" t="s">
        <v>25842</v>
      </c>
      <c r="F6376" s="196" t="s">
        <v>11233</v>
      </c>
      <c r="G6376" s="196" t="s">
        <v>11720</v>
      </c>
      <c r="H6376" s="196" t="s">
        <v>11235</v>
      </c>
    </row>
    <row r="6377" spans="1:8" x14ac:dyDescent="0.15">
      <c r="A6377" s="196" t="s">
        <v>11229</v>
      </c>
      <c r="B6377" s="196" t="s">
        <v>11230</v>
      </c>
      <c r="C6377" s="196" t="s">
        <v>25843</v>
      </c>
      <c r="D6377" s="196" t="s">
        <v>25844</v>
      </c>
      <c r="E6377" s="196" t="s">
        <v>25844</v>
      </c>
      <c r="F6377" s="196" t="s">
        <v>11233</v>
      </c>
      <c r="G6377" s="196" t="s">
        <v>11720</v>
      </c>
      <c r="H6377" s="196" t="s">
        <v>11235</v>
      </c>
    </row>
    <row r="6378" spans="1:8" x14ac:dyDescent="0.15">
      <c r="A6378" s="196" t="s">
        <v>11229</v>
      </c>
      <c r="B6378" s="196" t="s">
        <v>11230</v>
      </c>
      <c r="C6378" s="196" t="s">
        <v>25845</v>
      </c>
      <c r="D6378" s="196" t="s">
        <v>25846</v>
      </c>
      <c r="E6378" s="196" t="s">
        <v>25846</v>
      </c>
      <c r="F6378" s="196" t="s">
        <v>11233</v>
      </c>
      <c r="G6378" s="196" t="s">
        <v>11720</v>
      </c>
      <c r="H6378" s="196" t="s">
        <v>11235</v>
      </c>
    </row>
    <row r="6379" spans="1:8" x14ac:dyDescent="0.15">
      <c r="A6379" s="196" t="s">
        <v>11229</v>
      </c>
      <c r="B6379" s="196" t="s">
        <v>11230</v>
      </c>
      <c r="C6379" s="196" t="s">
        <v>25847</v>
      </c>
      <c r="D6379" s="196" t="s">
        <v>25848</v>
      </c>
      <c r="E6379" s="196" t="s">
        <v>25848</v>
      </c>
      <c r="F6379" s="196" t="s">
        <v>11233</v>
      </c>
      <c r="G6379" s="196" t="s">
        <v>11720</v>
      </c>
      <c r="H6379" s="196" t="s">
        <v>11235</v>
      </c>
    </row>
    <row r="6380" spans="1:8" x14ac:dyDescent="0.15">
      <c r="A6380" s="196" t="s">
        <v>11229</v>
      </c>
      <c r="B6380" s="196" t="s">
        <v>11230</v>
      </c>
      <c r="C6380" s="196" t="s">
        <v>25849</v>
      </c>
      <c r="D6380" s="196" t="s">
        <v>25850</v>
      </c>
      <c r="E6380" s="196" t="s">
        <v>25850</v>
      </c>
      <c r="F6380" s="196" t="s">
        <v>11233</v>
      </c>
      <c r="G6380" s="196" t="s">
        <v>11720</v>
      </c>
      <c r="H6380" s="196" t="s">
        <v>11235</v>
      </c>
    </row>
    <row r="6381" spans="1:8" x14ac:dyDescent="0.15">
      <c r="A6381" s="196" t="s">
        <v>11229</v>
      </c>
      <c r="B6381" s="196" t="s">
        <v>11230</v>
      </c>
      <c r="C6381" s="196" t="s">
        <v>25851</v>
      </c>
      <c r="D6381" s="196" t="s">
        <v>25850</v>
      </c>
      <c r="E6381" s="196" t="s">
        <v>25850</v>
      </c>
      <c r="F6381" s="196" t="s">
        <v>11233</v>
      </c>
      <c r="G6381" s="196" t="s">
        <v>12378</v>
      </c>
      <c r="H6381" s="196" t="s">
        <v>11235</v>
      </c>
    </row>
    <row r="6382" spans="1:8" x14ac:dyDescent="0.15">
      <c r="A6382" s="196" t="s">
        <v>11229</v>
      </c>
      <c r="B6382" s="196" t="s">
        <v>11230</v>
      </c>
      <c r="C6382" s="196" t="s">
        <v>25852</v>
      </c>
      <c r="D6382" s="196" t="s">
        <v>25853</v>
      </c>
      <c r="E6382" s="196" t="s">
        <v>25853</v>
      </c>
      <c r="F6382" s="196" t="s">
        <v>11233</v>
      </c>
      <c r="G6382" s="196" t="s">
        <v>11720</v>
      </c>
      <c r="H6382" s="196" t="s">
        <v>11235</v>
      </c>
    </row>
    <row r="6383" spans="1:8" x14ac:dyDescent="0.15">
      <c r="A6383" s="196" t="s">
        <v>11229</v>
      </c>
      <c r="B6383" s="196" t="s">
        <v>11230</v>
      </c>
      <c r="C6383" s="196" t="s">
        <v>25854</v>
      </c>
      <c r="D6383" s="196" t="s">
        <v>25855</v>
      </c>
      <c r="E6383" s="196" t="s">
        <v>25855</v>
      </c>
      <c r="F6383" s="196" t="s">
        <v>11233</v>
      </c>
      <c r="G6383" s="196" t="s">
        <v>11720</v>
      </c>
      <c r="H6383" s="196" t="s">
        <v>11235</v>
      </c>
    </row>
    <row r="6384" spans="1:8" x14ac:dyDescent="0.15">
      <c r="A6384" s="196" t="s">
        <v>11229</v>
      </c>
      <c r="B6384" s="196" t="s">
        <v>11230</v>
      </c>
      <c r="C6384" s="196" t="s">
        <v>25856</v>
      </c>
      <c r="D6384" s="196" t="s">
        <v>25857</v>
      </c>
      <c r="E6384" s="196" t="s">
        <v>25857</v>
      </c>
      <c r="F6384" s="196" t="s">
        <v>11233</v>
      </c>
      <c r="G6384" s="196" t="s">
        <v>11720</v>
      </c>
      <c r="H6384" s="196" t="s">
        <v>11235</v>
      </c>
    </row>
    <row r="6385" spans="1:8" x14ac:dyDescent="0.15">
      <c r="A6385" s="196" t="s">
        <v>11229</v>
      </c>
      <c r="B6385" s="196" t="s">
        <v>11230</v>
      </c>
      <c r="C6385" s="196" t="s">
        <v>25858</v>
      </c>
      <c r="D6385" s="196" t="s">
        <v>25859</v>
      </c>
      <c r="E6385" s="196" t="s">
        <v>25859</v>
      </c>
      <c r="F6385" s="196" t="s">
        <v>11233</v>
      </c>
      <c r="G6385" s="196" t="s">
        <v>11720</v>
      </c>
      <c r="H6385" s="196" t="s">
        <v>11235</v>
      </c>
    </row>
    <row r="6386" spans="1:8" x14ac:dyDescent="0.15">
      <c r="A6386" s="196" t="s">
        <v>11229</v>
      </c>
      <c r="B6386" s="196" t="s">
        <v>11230</v>
      </c>
      <c r="C6386" s="196" t="s">
        <v>25860</v>
      </c>
      <c r="D6386" s="196" t="s">
        <v>25861</v>
      </c>
      <c r="E6386" s="196" t="s">
        <v>25861</v>
      </c>
      <c r="F6386" s="196" t="s">
        <v>11233</v>
      </c>
      <c r="G6386" s="196" t="s">
        <v>11720</v>
      </c>
      <c r="H6386" s="196" t="s">
        <v>11235</v>
      </c>
    </row>
    <row r="6387" spans="1:8" x14ac:dyDescent="0.15">
      <c r="A6387" s="196" t="s">
        <v>11229</v>
      </c>
      <c r="B6387" s="196" t="s">
        <v>11230</v>
      </c>
      <c r="C6387" s="196" t="s">
        <v>25862</v>
      </c>
      <c r="D6387" s="196" t="s">
        <v>25863</v>
      </c>
      <c r="E6387" s="196" t="s">
        <v>25863</v>
      </c>
      <c r="F6387" s="196" t="s">
        <v>11233</v>
      </c>
      <c r="G6387" s="196" t="s">
        <v>11720</v>
      </c>
      <c r="H6387" s="196" t="s">
        <v>11235</v>
      </c>
    </row>
    <row r="6388" spans="1:8" x14ac:dyDescent="0.15">
      <c r="A6388" s="196" t="s">
        <v>11229</v>
      </c>
      <c r="B6388" s="196" t="s">
        <v>11230</v>
      </c>
      <c r="C6388" s="196" t="s">
        <v>25864</v>
      </c>
      <c r="D6388" s="196" t="s">
        <v>25865</v>
      </c>
      <c r="E6388" s="196" t="s">
        <v>25865</v>
      </c>
      <c r="F6388" s="196" t="s">
        <v>11233</v>
      </c>
      <c r="G6388" s="196" t="s">
        <v>11720</v>
      </c>
      <c r="H6388" s="196" t="s">
        <v>11235</v>
      </c>
    </row>
    <row r="6389" spans="1:8" x14ac:dyDescent="0.15">
      <c r="A6389" s="196" t="s">
        <v>11229</v>
      </c>
      <c r="B6389" s="196" t="s">
        <v>11230</v>
      </c>
      <c r="C6389" s="196" t="s">
        <v>25866</v>
      </c>
      <c r="D6389" s="196" t="s">
        <v>25867</v>
      </c>
      <c r="E6389" s="196" t="s">
        <v>25867</v>
      </c>
      <c r="F6389" s="196" t="s">
        <v>11233</v>
      </c>
      <c r="G6389" s="196" t="s">
        <v>11720</v>
      </c>
      <c r="H6389" s="196" t="s">
        <v>11235</v>
      </c>
    </row>
    <row r="6390" spans="1:8" x14ac:dyDescent="0.15">
      <c r="A6390" s="196" t="s">
        <v>11229</v>
      </c>
      <c r="B6390" s="196" t="s">
        <v>11230</v>
      </c>
      <c r="C6390" s="196" t="s">
        <v>25868</v>
      </c>
      <c r="D6390" s="196" t="s">
        <v>25867</v>
      </c>
      <c r="E6390" s="196" t="s">
        <v>25869</v>
      </c>
      <c r="F6390" s="196" t="s">
        <v>11268</v>
      </c>
      <c r="G6390" s="196" t="s">
        <v>11720</v>
      </c>
      <c r="H6390" s="196" t="s">
        <v>11235</v>
      </c>
    </row>
    <row r="6391" spans="1:8" x14ac:dyDescent="0.15">
      <c r="A6391" s="196" t="s">
        <v>11229</v>
      </c>
      <c r="B6391" s="196" t="s">
        <v>11230</v>
      </c>
      <c r="C6391" s="196" t="s">
        <v>25870</v>
      </c>
      <c r="D6391" s="196" t="s">
        <v>25869</v>
      </c>
      <c r="E6391" s="196" t="s">
        <v>25871</v>
      </c>
      <c r="F6391" s="196" t="s">
        <v>11241</v>
      </c>
      <c r="G6391" s="196" t="s">
        <v>11720</v>
      </c>
      <c r="H6391" s="196" t="s">
        <v>11235</v>
      </c>
    </row>
    <row r="6392" spans="1:8" x14ac:dyDescent="0.15">
      <c r="A6392" s="196" t="s">
        <v>11229</v>
      </c>
      <c r="B6392" s="196" t="s">
        <v>11230</v>
      </c>
      <c r="C6392" s="196" t="s">
        <v>25872</v>
      </c>
      <c r="D6392" s="196" t="s">
        <v>25871</v>
      </c>
      <c r="E6392" s="196" t="s">
        <v>25873</v>
      </c>
      <c r="F6392" s="196" t="s">
        <v>11241</v>
      </c>
      <c r="G6392" s="196" t="s">
        <v>11720</v>
      </c>
      <c r="H6392" s="196" t="s">
        <v>11235</v>
      </c>
    </row>
    <row r="6393" spans="1:8" x14ac:dyDescent="0.15">
      <c r="A6393" s="196" t="s">
        <v>11229</v>
      </c>
      <c r="B6393" s="196" t="s">
        <v>11230</v>
      </c>
      <c r="C6393" s="196" t="s">
        <v>25874</v>
      </c>
      <c r="D6393" s="196" t="s">
        <v>25873</v>
      </c>
      <c r="E6393" s="196" t="s">
        <v>25875</v>
      </c>
      <c r="F6393" s="196" t="s">
        <v>11268</v>
      </c>
      <c r="G6393" s="196" t="s">
        <v>11720</v>
      </c>
      <c r="H6393" s="196" t="s">
        <v>11235</v>
      </c>
    </row>
    <row r="6394" spans="1:8" x14ac:dyDescent="0.15">
      <c r="A6394" s="196" t="s">
        <v>11229</v>
      </c>
      <c r="B6394" s="196" t="s">
        <v>11230</v>
      </c>
      <c r="C6394" s="196" t="s">
        <v>25876</v>
      </c>
      <c r="D6394" s="196" t="s">
        <v>25875</v>
      </c>
      <c r="E6394" s="196" t="s">
        <v>25877</v>
      </c>
      <c r="F6394" s="196" t="s">
        <v>11241</v>
      </c>
      <c r="G6394" s="196" t="s">
        <v>11720</v>
      </c>
      <c r="H6394" s="196" t="s">
        <v>11235</v>
      </c>
    </row>
    <row r="6395" spans="1:8" x14ac:dyDescent="0.15">
      <c r="A6395" s="196" t="s">
        <v>11229</v>
      </c>
      <c r="B6395" s="196" t="s">
        <v>11230</v>
      </c>
      <c r="C6395" s="196" t="s">
        <v>25878</v>
      </c>
      <c r="D6395" s="196" t="s">
        <v>25877</v>
      </c>
      <c r="E6395" s="196" t="s">
        <v>25879</v>
      </c>
      <c r="F6395" s="196" t="s">
        <v>11241</v>
      </c>
      <c r="G6395" s="196" t="s">
        <v>11720</v>
      </c>
      <c r="H6395" s="196" t="s">
        <v>11235</v>
      </c>
    </row>
    <row r="6396" spans="1:8" x14ac:dyDescent="0.15">
      <c r="A6396" s="196" t="s">
        <v>11229</v>
      </c>
      <c r="B6396" s="196" t="s">
        <v>11230</v>
      </c>
      <c r="C6396" s="196" t="s">
        <v>25880</v>
      </c>
      <c r="D6396" s="196" t="s">
        <v>25879</v>
      </c>
      <c r="E6396" s="196" t="s">
        <v>25881</v>
      </c>
      <c r="F6396" s="196" t="s">
        <v>11268</v>
      </c>
      <c r="G6396" s="196" t="s">
        <v>11720</v>
      </c>
      <c r="H6396" s="196" t="s">
        <v>11235</v>
      </c>
    </row>
    <row r="6397" spans="1:8" x14ac:dyDescent="0.15">
      <c r="A6397" s="196" t="s">
        <v>11229</v>
      </c>
      <c r="B6397" s="196" t="s">
        <v>11230</v>
      </c>
      <c r="C6397" s="196" t="s">
        <v>25882</v>
      </c>
      <c r="D6397" s="196" t="s">
        <v>25881</v>
      </c>
      <c r="E6397" s="196" t="s">
        <v>25883</v>
      </c>
      <c r="F6397" s="196" t="s">
        <v>11241</v>
      </c>
      <c r="G6397" s="196" t="s">
        <v>11720</v>
      </c>
      <c r="H6397" s="196" t="s">
        <v>11235</v>
      </c>
    </row>
    <row r="6398" spans="1:8" x14ac:dyDescent="0.15">
      <c r="A6398" s="196" t="s">
        <v>11229</v>
      </c>
      <c r="B6398" s="196" t="s">
        <v>11230</v>
      </c>
      <c r="C6398" s="196" t="s">
        <v>25884</v>
      </c>
      <c r="D6398" s="196" t="s">
        <v>25881</v>
      </c>
      <c r="E6398" s="196" t="s">
        <v>25881</v>
      </c>
      <c r="F6398" s="196" t="s">
        <v>11233</v>
      </c>
      <c r="G6398" s="196" t="s">
        <v>12378</v>
      </c>
      <c r="H6398" s="196" t="s">
        <v>11235</v>
      </c>
    </row>
    <row r="6399" spans="1:8" x14ac:dyDescent="0.15">
      <c r="A6399" s="196" t="s">
        <v>11229</v>
      </c>
      <c r="B6399" s="196" t="s">
        <v>11230</v>
      </c>
      <c r="C6399" s="196" t="s">
        <v>25885</v>
      </c>
      <c r="D6399" s="196" t="s">
        <v>25883</v>
      </c>
      <c r="E6399" s="196" t="s">
        <v>25883</v>
      </c>
      <c r="F6399" s="196" t="s">
        <v>11233</v>
      </c>
      <c r="G6399" s="196" t="s">
        <v>11720</v>
      </c>
      <c r="H6399" s="196" t="s">
        <v>11235</v>
      </c>
    </row>
    <row r="6400" spans="1:8" x14ac:dyDescent="0.15">
      <c r="A6400" s="196" t="s">
        <v>11229</v>
      </c>
      <c r="B6400" s="196" t="s">
        <v>11230</v>
      </c>
      <c r="C6400" s="196" t="s">
        <v>25886</v>
      </c>
      <c r="D6400" s="196" t="s">
        <v>25887</v>
      </c>
      <c r="E6400" s="196" t="s">
        <v>25887</v>
      </c>
      <c r="F6400" s="196" t="s">
        <v>11233</v>
      </c>
      <c r="G6400" s="196" t="s">
        <v>11720</v>
      </c>
      <c r="H6400" s="196" t="s">
        <v>11235</v>
      </c>
    </row>
    <row r="6401" spans="1:8" x14ac:dyDescent="0.15">
      <c r="A6401" s="196" t="s">
        <v>11229</v>
      </c>
      <c r="B6401" s="196" t="s">
        <v>11230</v>
      </c>
      <c r="C6401" s="196" t="s">
        <v>25888</v>
      </c>
      <c r="D6401" s="196" t="s">
        <v>25889</v>
      </c>
      <c r="E6401" s="196" t="s">
        <v>25889</v>
      </c>
      <c r="F6401" s="196" t="s">
        <v>11233</v>
      </c>
      <c r="G6401" s="196" t="s">
        <v>11720</v>
      </c>
      <c r="H6401" s="196" t="s">
        <v>11235</v>
      </c>
    </row>
    <row r="6402" spans="1:8" x14ac:dyDescent="0.15">
      <c r="A6402" s="196" t="s">
        <v>11229</v>
      </c>
      <c r="B6402" s="196" t="s">
        <v>11230</v>
      </c>
      <c r="C6402" s="196" t="s">
        <v>25890</v>
      </c>
      <c r="D6402" s="196" t="s">
        <v>25891</v>
      </c>
      <c r="E6402" s="196" t="s">
        <v>25891</v>
      </c>
      <c r="F6402" s="196" t="s">
        <v>11233</v>
      </c>
      <c r="G6402" s="196" t="s">
        <v>11720</v>
      </c>
      <c r="H6402" s="196" t="s">
        <v>11235</v>
      </c>
    </row>
    <row r="6403" spans="1:8" x14ac:dyDescent="0.15">
      <c r="A6403" s="196" t="s">
        <v>11229</v>
      </c>
      <c r="B6403" s="196" t="s">
        <v>11230</v>
      </c>
      <c r="C6403" s="196" t="s">
        <v>25892</v>
      </c>
      <c r="D6403" s="196" t="s">
        <v>25893</v>
      </c>
      <c r="E6403" s="196" t="s">
        <v>25894</v>
      </c>
      <c r="F6403" s="196" t="s">
        <v>11241</v>
      </c>
      <c r="G6403" s="196" t="s">
        <v>11720</v>
      </c>
      <c r="H6403" s="196" t="s">
        <v>11235</v>
      </c>
    </row>
    <row r="6404" spans="1:8" x14ac:dyDescent="0.15">
      <c r="A6404" s="196" t="s">
        <v>11229</v>
      </c>
      <c r="B6404" s="196" t="s">
        <v>11230</v>
      </c>
      <c r="C6404" s="196" t="s">
        <v>25895</v>
      </c>
      <c r="D6404" s="196" t="s">
        <v>25894</v>
      </c>
      <c r="E6404" s="196" t="s">
        <v>25896</v>
      </c>
      <c r="F6404" s="196" t="s">
        <v>11268</v>
      </c>
      <c r="G6404" s="196" t="s">
        <v>11720</v>
      </c>
      <c r="H6404" s="196" t="s">
        <v>11235</v>
      </c>
    </row>
    <row r="6405" spans="1:8" x14ac:dyDescent="0.15">
      <c r="A6405" s="196" t="s">
        <v>11229</v>
      </c>
      <c r="B6405" s="196" t="s">
        <v>11230</v>
      </c>
      <c r="C6405" s="196" t="s">
        <v>25897</v>
      </c>
      <c r="D6405" s="196" t="s">
        <v>25896</v>
      </c>
      <c r="E6405" s="196" t="s">
        <v>25898</v>
      </c>
      <c r="F6405" s="196" t="s">
        <v>11241</v>
      </c>
      <c r="G6405" s="196" t="s">
        <v>11720</v>
      </c>
      <c r="H6405" s="196" t="s">
        <v>11235</v>
      </c>
    </row>
    <row r="6406" spans="1:8" x14ac:dyDescent="0.15">
      <c r="A6406" s="196" t="s">
        <v>11229</v>
      </c>
      <c r="B6406" s="196" t="s">
        <v>11230</v>
      </c>
      <c r="C6406" s="196" t="s">
        <v>25899</v>
      </c>
      <c r="D6406" s="196" t="s">
        <v>25898</v>
      </c>
      <c r="E6406" s="196" t="s">
        <v>25900</v>
      </c>
      <c r="F6406" s="196" t="s">
        <v>25901</v>
      </c>
      <c r="G6406" s="196" t="s">
        <v>11720</v>
      </c>
      <c r="H6406" s="196" t="s">
        <v>11235</v>
      </c>
    </row>
    <row r="6407" spans="1:8" x14ac:dyDescent="0.15">
      <c r="A6407" s="196" t="s">
        <v>11229</v>
      </c>
      <c r="B6407" s="196" t="s">
        <v>11230</v>
      </c>
      <c r="C6407" s="196" t="s">
        <v>25902</v>
      </c>
      <c r="D6407" s="196" t="s">
        <v>25903</v>
      </c>
      <c r="E6407" s="196" t="s">
        <v>25903</v>
      </c>
      <c r="F6407" s="196" t="s">
        <v>11233</v>
      </c>
      <c r="G6407" s="196" t="s">
        <v>12378</v>
      </c>
      <c r="H6407" s="196" t="s">
        <v>11235</v>
      </c>
    </row>
    <row r="6408" spans="1:8" x14ac:dyDescent="0.15">
      <c r="A6408" s="196" t="s">
        <v>11229</v>
      </c>
      <c r="B6408" s="196" t="s">
        <v>11230</v>
      </c>
      <c r="C6408" s="196" t="s">
        <v>25904</v>
      </c>
      <c r="D6408" s="196" t="s">
        <v>25905</v>
      </c>
      <c r="E6408" s="196" t="s">
        <v>25905</v>
      </c>
      <c r="F6408" s="196" t="s">
        <v>11233</v>
      </c>
      <c r="G6408" s="196" t="s">
        <v>12378</v>
      </c>
      <c r="H6408" s="196" t="s">
        <v>11235</v>
      </c>
    </row>
    <row r="6409" spans="1:8" x14ac:dyDescent="0.15">
      <c r="A6409" s="196" t="s">
        <v>11229</v>
      </c>
      <c r="B6409" s="196" t="s">
        <v>11230</v>
      </c>
      <c r="C6409" s="196" t="s">
        <v>25906</v>
      </c>
      <c r="D6409" s="196" t="s">
        <v>25907</v>
      </c>
      <c r="E6409" s="196" t="s">
        <v>25907</v>
      </c>
      <c r="F6409" s="196" t="s">
        <v>11233</v>
      </c>
      <c r="G6409" s="196" t="s">
        <v>12378</v>
      </c>
      <c r="H6409" s="196" t="s">
        <v>11235</v>
      </c>
    </row>
    <row r="6410" spans="1:8" x14ac:dyDescent="0.15">
      <c r="A6410" s="196" t="s">
        <v>11229</v>
      </c>
      <c r="B6410" s="196" t="s">
        <v>11230</v>
      </c>
      <c r="C6410" s="196" t="s">
        <v>25908</v>
      </c>
      <c r="D6410" s="196" t="s">
        <v>25909</v>
      </c>
      <c r="E6410" s="196" t="s">
        <v>25909</v>
      </c>
      <c r="F6410" s="196" t="s">
        <v>11233</v>
      </c>
      <c r="G6410" s="196" t="s">
        <v>12378</v>
      </c>
      <c r="H6410" s="196" t="s">
        <v>11235</v>
      </c>
    </row>
    <row r="6411" spans="1:8" x14ac:dyDescent="0.15">
      <c r="A6411" s="196" t="s">
        <v>11229</v>
      </c>
      <c r="B6411" s="196" t="s">
        <v>11230</v>
      </c>
      <c r="C6411" s="196" t="s">
        <v>25910</v>
      </c>
      <c r="D6411" s="196" t="s">
        <v>25911</v>
      </c>
      <c r="E6411" s="196" t="s">
        <v>25911</v>
      </c>
      <c r="F6411" s="196" t="s">
        <v>11233</v>
      </c>
      <c r="G6411" s="196" t="s">
        <v>12378</v>
      </c>
      <c r="H6411" s="196" t="s">
        <v>11235</v>
      </c>
    </row>
    <row r="6412" spans="1:8" x14ac:dyDescent="0.15">
      <c r="A6412" s="196" t="s">
        <v>11229</v>
      </c>
      <c r="B6412" s="196" t="s">
        <v>11230</v>
      </c>
      <c r="C6412" s="196" t="s">
        <v>25912</v>
      </c>
      <c r="D6412" s="196" t="s">
        <v>25913</v>
      </c>
      <c r="E6412" s="196" t="s">
        <v>25913</v>
      </c>
      <c r="F6412" s="196" t="s">
        <v>11233</v>
      </c>
      <c r="G6412" s="196" t="s">
        <v>11720</v>
      </c>
      <c r="H6412" s="196" t="s">
        <v>11235</v>
      </c>
    </row>
    <row r="6413" spans="1:8" x14ac:dyDescent="0.15">
      <c r="A6413" s="196" t="s">
        <v>11229</v>
      </c>
      <c r="B6413" s="196" t="s">
        <v>11230</v>
      </c>
      <c r="C6413" s="196" t="s">
        <v>25914</v>
      </c>
      <c r="D6413" s="196" t="s">
        <v>25915</v>
      </c>
      <c r="E6413" s="196" t="s">
        <v>25915</v>
      </c>
      <c r="F6413" s="196" t="s">
        <v>11233</v>
      </c>
      <c r="G6413" s="196" t="s">
        <v>12378</v>
      </c>
      <c r="H6413" s="196" t="s">
        <v>11235</v>
      </c>
    </row>
    <row r="6414" spans="1:8" x14ac:dyDescent="0.15">
      <c r="A6414" s="196" t="s">
        <v>11229</v>
      </c>
      <c r="B6414" s="196" t="s">
        <v>11230</v>
      </c>
      <c r="C6414" s="196" t="s">
        <v>25916</v>
      </c>
      <c r="D6414" s="196" t="s">
        <v>25917</v>
      </c>
      <c r="E6414" s="196" t="s">
        <v>25917</v>
      </c>
      <c r="F6414" s="196" t="s">
        <v>11233</v>
      </c>
      <c r="G6414" s="196" t="s">
        <v>12378</v>
      </c>
      <c r="H6414" s="196" t="s">
        <v>11235</v>
      </c>
    </row>
    <row r="6415" spans="1:8" x14ac:dyDescent="0.15">
      <c r="A6415" s="196" t="s">
        <v>11229</v>
      </c>
      <c r="B6415" s="196" t="s">
        <v>11230</v>
      </c>
      <c r="C6415" s="196" t="s">
        <v>25918</v>
      </c>
      <c r="D6415" s="196" t="s">
        <v>25919</v>
      </c>
      <c r="E6415" s="196" t="s">
        <v>25919</v>
      </c>
      <c r="F6415" s="196" t="s">
        <v>11233</v>
      </c>
      <c r="G6415" s="196" t="s">
        <v>12378</v>
      </c>
      <c r="H6415" s="196" t="s">
        <v>11235</v>
      </c>
    </row>
    <row r="6416" spans="1:8" x14ac:dyDescent="0.15">
      <c r="A6416" s="196" t="s">
        <v>11229</v>
      </c>
      <c r="B6416" s="196" t="s">
        <v>11230</v>
      </c>
      <c r="C6416" s="196" t="s">
        <v>25920</v>
      </c>
      <c r="D6416" s="196" t="s">
        <v>25921</v>
      </c>
      <c r="E6416" s="196" t="s">
        <v>25921</v>
      </c>
      <c r="F6416" s="196" t="s">
        <v>11233</v>
      </c>
      <c r="G6416" s="196" t="s">
        <v>12378</v>
      </c>
      <c r="H6416" s="196" t="s">
        <v>11235</v>
      </c>
    </row>
    <row r="6417" spans="1:8" x14ac:dyDescent="0.15">
      <c r="A6417" s="196" t="s">
        <v>11229</v>
      </c>
      <c r="B6417" s="196" t="s">
        <v>11230</v>
      </c>
      <c r="C6417" s="196" t="s">
        <v>25922</v>
      </c>
      <c r="D6417" s="196" t="s">
        <v>25923</v>
      </c>
      <c r="E6417" s="196" t="s">
        <v>25923</v>
      </c>
      <c r="F6417" s="196" t="s">
        <v>11233</v>
      </c>
      <c r="G6417" s="196" t="s">
        <v>12378</v>
      </c>
      <c r="H6417" s="196" t="s">
        <v>11235</v>
      </c>
    </row>
    <row r="6418" spans="1:8" x14ac:dyDescent="0.15">
      <c r="A6418" s="196" t="s">
        <v>11229</v>
      </c>
      <c r="B6418" s="196" t="s">
        <v>11230</v>
      </c>
      <c r="C6418" s="196" t="s">
        <v>25924</v>
      </c>
      <c r="D6418" s="196" t="s">
        <v>25925</v>
      </c>
      <c r="E6418" s="196" t="s">
        <v>25925</v>
      </c>
      <c r="F6418" s="196" t="s">
        <v>11233</v>
      </c>
      <c r="G6418" s="196" t="s">
        <v>12378</v>
      </c>
      <c r="H6418" s="196" t="s">
        <v>11235</v>
      </c>
    </row>
    <row r="6419" spans="1:8" x14ac:dyDescent="0.15">
      <c r="A6419" s="196" t="s">
        <v>11229</v>
      </c>
      <c r="B6419" s="196" t="s">
        <v>11230</v>
      </c>
      <c r="C6419" s="196" t="s">
        <v>25926</v>
      </c>
      <c r="D6419" s="196" t="s">
        <v>25927</v>
      </c>
      <c r="E6419" s="196" t="s">
        <v>25927</v>
      </c>
      <c r="F6419" s="196" t="s">
        <v>11233</v>
      </c>
      <c r="G6419" s="196" t="s">
        <v>12378</v>
      </c>
      <c r="H6419" s="196" t="s">
        <v>11235</v>
      </c>
    </row>
    <row r="6420" spans="1:8" x14ac:dyDescent="0.15">
      <c r="A6420" s="196" t="s">
        <v>11229</v>
      </c>
      <c r="B6420" s="196" t="s">
        <v>11230</v>
      </c>
      <c r="C6420" s="196" t="s">
        <v>25928</v>
      </c>
      <c r="D6420" s="196" t="s">
        <v>25929</v>
      </c>
      <c r="E6420" s="196" t="s">
        <v>25929</v>
      </c>
      <c r="F6420" s="196" t="s">
        <v>11233</v>
      </c>
      <c r="G6420" s="196" t="s">
        <v>12378</v>
      </c>
      <c r="H6420" s="196" t="s">
        <v>11235</v>
      </c>
    </row>
    <row r="6421" spans="1:8" x14ac:dyDescent="0.15">
      <c r="A6421" s="196" t="s">
        <v>11229</v>
      </c>
      <c r="B6421" s="196" t="s">
        <v>11230</v>
      </c>
      <c r="C6421" s="196" t="s">
        <v>25930</v>
      </c>
      <c r="D6421" s="196" t="s">
        <v>25931</v>
      </c>
      <c r="E6421" s="196" t="s">
        <v>25931</v>
      </c>
      <c r="F6421" s="196" t="s">
        <v>11233</v>
      </c>
      <c r="G6421" s="196" t="s">
        <v>12378</v>
      </c>
      <c r="H6421" s="196" t="s">
        <v>11235</v>
      </c>
    </row>
    <row r="6422" spans="1:8" x14ac:dyDescent="0.15">
      <c r="A6422" s="196" t="s">
        <v>11229</v>
      </c>
      <c r="B6422" s="196" t="s">
        <v>11230</v>
      </c>
      <c r="C6422" s="196" t="s">
        <v>25932</v>
      </c>
      <c r="D6422" s="196" t="s">
        <v>25931</v>
      </c>
      <c r="E6422" s="196" t="s">
        <v>25931</v>
      </c>
      <c r="F6422" s="196" t="s">
        <v>11233</v>
      </c>
      <c r="G6422" s="196" t="s">
        <v>11720</v>
      </c>
      <c r="H6422" s="196" t="s">
        <v>11235</v>
      </c>
    </row>
    <row r="6423" spans="1:8" x14ac:dyDescent="0.15">
      <c r="A6423" s="196" t="s">
        <v>11229</v>
      </c>
      <c r="B6423" s="196" t="s">
        <v>11230</v>
      </c>
      <c r="C6423" s="196" t="s">
        <v>25933</v>
      </c>
      <c r="D6423" s="196" t="s">
        <v>25934</v>
      </c>
      <c r="E6423" s="196" t="s">
        <v>25934</v>
      </c>
      <c r="F6423" s="196" t="s">
        <v>11233</v>
      </c>
      <c r="G6423" s="196" t="s">
        <v>12378</v>
      </c>
      <c r="H6423" s="196" t="s">
        <v>11235</v>
      </c>
    </row>
    <row r="6424" spans="1:8" x14ac:dyDescent="0.15">
      <c r="A6424" s="196" t="s">
        <v>11229</v>
      </c>
      <c r="B6424" s="196" t="s">
        <v>11230</v>
      </c>
      <c r="C6424" s="196" t="s">
        <v>25935</v>
      </c>
      <c r="D6424" s="196" t="s">
        <v>25934</v>
      </c>
      <c r="E6424" s="196" t="s">
        <v>25934</v>
      </c>
      <c r="F6424" s="196" t="s">
        <v>11233</v>
      </c>
      <c r="G6424" s="196" t="s">
        <v>11720</v>
      </c>
      <c r="H6424" s="196" t="s">
        <v>11235</v>
      </c>
    </row>
    <row r="6425" spans="1:8" x14ac:dyDescent="0.15">
      <c r="A6425" s="196" t="s">
        <v>11229</v>
      </c>
      <c r="B6425" s="196" t="s">
        <v>11230</v>
      </c>
      <c r="C6425" s="196" t="s">
        <v>25936</v>
      </c>
      <c r="D6425" s="196" t="s">
        <v>25937</v>
      </c>
      <c r="E6425" s="196" t="s">
        <v>25937</v>
      </c>
      <c r="F6425" s="196" t="s">
        <v>11233</v>
      </c>
      <c r="G6425" s="196" t="s">
        <v>12378</v>
      </c>
      <c r="H6425" s="196" t="s">
        <v>11235</v>
      </c>
    </row>
    <row r="6426" spans="1:8" x14ac:dyDescent="0.15">
      <c r="A6426" s="196" t="s">
        <v>11229</v>
      </c>
      <c r="B6426" s="196" t="s">
        <v>11230</v>
      </c>
      <c r="C6426" s="196" t="s">
        <v>25938</v>
      </c>
      <c r="D6426" s="196" t="s">
        <v>25939</v>
      </c>
      <c r="E6426" s="196" t="s">
        <v>25939</v>
      </c>
      <c r="F6426" s="196" t="s">
        <v>11233</v>
      </c>
      <c r="G6426" s="196" t="s">
        <v>12378</v>
      </c>
      <c r="H6426" s="196" t="s">
        <v>11235</v>
      </c>
    </row>
    <row r="6427" spans="1:8" x14ac:dyDescent="0.15">
      <c r="A6427" s="196" t="s">
        <v>11229</v>
      </c>
      <c r="B6427" s="196" t="s">
        <v>11230</v>
      </c>
      <c r="C6427" s="196" t="s">
        <v>25940</v>
      </c>
      <c r="D6427" s="196" t="s">
        <v>25939</v>
      </c>
      <c r="E6427" s="196" t="s">
        <v>25939</v>
      </c>
      <c r="F6427" s="196" t="s">
        <v>11233</v>
      </c>
      <c r="G6427" s="196" t="s">
        <v>11720</v>
      </c>
      <c r="H6427" s="196" t="s">
        <v>11235</v>
      </c>
    </row>
    <row r="6428" spans="1:8" x14ac:dyDescent="0.15">
      <c r="A6428" s="196" t="s">
        <v>11229</v>
      </c>
      <c r="B6428" s="196" t="s">
        <v>11230</v>
      </c>
      <c r="C6428" s="196" t="s">
        <v>25941</v>
      </c>
      <c r="D6428" s="196" t="s">
        <v>25942</v>
      </c>
      <c r="E6428" s="196" t="s">
        <v>25942</v>
      </c>
      <c r="F6428" s="196" t="s">
        <v>11233</v>
      </c>
      <c r="G6428" s="196" t="s">
        <v>11720</v>
      </c>
      <c r="H6428" s="196" t="s">
        <v>11235</v>
      </c>
    </row>
    <row r="6429" spans="1:8" x14ac:dyDescent="0.15">
      <c r="A6429" s="196" t="s">
        <v>11229</v>
      </c>
      <c r="B6429" s="196" t="s">
        <v>11230</v>
      </c>
      <c r="C6429" s="196" t="s">
        <v>25943</v>
      </c>
      <c r="D6429" s="196" t="s">
        <v>25944</v>
      </c>
      <c r="E6429" s="196" t="s">
        <v>25944</v>
      </c>
      <c r="F6429" s="196" t="s">
        <v>11233</v>
      </c>
      <c r="G6429" s="196" t="s">
        <v>12378</v>
      </c>
      <c r="H6429" s="196" t="s">
        <v>11235</v>
      </c>
    </row>
    <row r="6430" spans="1:8" x14ac:dyDescent="0.15">
      <c r="A6430" s="196" t="s">
        <v>11229</v>
      </c>
      <c r="B6430" s="196" t="s">
        <v>11230</v>
      </c>
      <c r="C6430" s="196" t="s">
        <v>25945</v>
      </c>
      <c r="D6430" s="196" t="s">
        <v>25946</v>
      </c>
      <c r="E6430" s="196" t="s">
        <v>25946</v>
      </c>
      <c r="F6430" s="196" t="s">
        <v>11233</v>
      </c>
      <c r="G6430" s="196" t="s">
        <v>11720</v>
      </c>
      <c r="H6430" s="196" t="s">
        <v>11235</v>
      </c>
    </row>
    <row r="6431" spans="1:8" x14ac:dyDescent="0.15">
      <c r="A6431" s="196" t="s">
        <v>11229</v>
      </c>
      <c r="B6431" s="196" t="s">
        <v>11230</v>
      </c>
      <c r="C6431" s="196" t="s">
        <v>25947</v>
      </c>
      <c r="D6431" s="196" t="s">
        <v>25948</v>
      </c>
      <c r="E6431" s="196" t="s">
        <v>25948</v>
      </c>
      <c r="F6431" s="196" t="s">
        <v>11233</v>
      </c>
      <c r="G6431" s="196" t="s">
        <v>12378</v>
      </c>
      <c r="H6431" s="196" t="s">
        <v>11235</v>
      </c>
    </row>
    <row r="6432" spans="1:8" x14ac:dyDescent="0.15">
      <c r="A6432" s="196" t="s">
        <v>11229</v>
      </c>
      <c r="B6432" s="196" t="s">
        <v>11230</v>
      </c>
      <c r="C6432" s="196" t="s">
        <v>25949</v>
      </c>
      <c r="D6432" s="196" t="s">
        <v>25950</v>
      </c>
      <c r="E6432" s="196" t="s">
        <v>25950</v>
      </c>
      <c r="F6432" s="196" t="s">
        <v>11233</v>
      </c>
      <c r="G6432" s="196" t="s">
        <v>11720</v>
      </c>
      <c r="H6432" s="196" t="s">
        <v>11235</v>
      </c>
    </row>
    <row r="6433" spans="1:8" x14ac:dyDescent="0.15">
      <c r="A6433" s="196" t="s">
        <v>11229</v>
      </c>
      <c r="B6433" s="196" t="s">
        <v>11230</v>
      </c>
      <c r="C6433" s="196" t="s">
        <v>25951</v>
      </c>
      <c r="D6433" s="196" t="s">
        <v>25952</v>
      </c>
      <c r="E6433" s="196" t="s">
        <v>25953</v>
      </c>
      <c r="F6433" s="196" t="s">
        <v>11241</v>
      </c>
      <c r="G6433" s="196" t="s">
        <v>12378</v>
      </c>
      <c r="H6433" s="196" t="s">
        <v>11235</v>
      </c>
    </row>
    <row r="6434" spans="1:8" x14ac:dyDescent="0.15">
      <c r="A6434" s="196" t="s">
        <v>11229</v>
      </c>
      <c r="B6434" s="196" t="s">
        <v>11230</v>
      </c>
      <c r="C6434" s="196" t="s">
        <v>25954</v>
      </c>
      <c r="D6434" s="196" t="s">
        <v>25955</v>
      </c>
      <c r="E6434" s="196" t="s">
        <v>25955</v>
      </c>
      <c r="F6434" s="196" t="s">
        <v>11233</v>
      </c>
      <c r="G6434" s="196" t="s">
        <v>11720</v>
      </c>
      <c r="H6434" s="196" t="s">
        <v>11235</v>
      </c>
    </row>
    <row r="6435" spans="1:8" x14ac:dyDescent="0.15">
      <c r="A6435" s="196" t="s">
        <v>11229</v>
      </c>
      <c r="B6435" s="196" t="s">
        <v>11230</v>
      </c>
      <c r="C6435" s="196" t="s">
        <v>25956</v>
      </c>
      <c r="D6435" s="196" t="s">
        <v>25957</v>
      </c>
      <c r="E6435" s="196" t="s">
        <v>25957</v>
      </c>
      <c r="F6435" s="196" t="s">
        <v>11233</v>
      </c>
      <c r="G6435" s="196" t="s">
        <v>11720</v>
      </c>
      <c r="H6435" s="196" t="s">
        <v>11235</v>
      </c>
    </row>
    <row r="6436" spans="1:8" x14ac:dyDescent="0.15">
      <c r="A6436" s="196" t="s">
        <v>11229</v>
      </c>
      <c r="B6436" s="196" t="s">
        <v>11230</v>
      </c>
      <c r="C6436" s="196" t="s">
        <v>25958</v>
      </c>
      <c r="D6436" s="196" t="s">
        <v>25959</v>
      </c>
      <c r="E6436" s="196" t="s">
        <v>25959</v>
      </c>
      <c r="F6436" s="196" t="s">
        <v>11233</v>
      </c>
      <c r="G6436" s="196" t="s">
        <v>12378</v>
      </c>
      <c r="H6436" s="196" t="s">
        <v>11235</v>
      </c>
    </row>
    <row r="6437" spans="1:8" x14ac:dyDescent="0.15">
      <c r="A6437" s="196" t="s">
        <v>11229</v>
      </c>
      <c r="B6437" s="196" t="s">
        <v>11230</v>
      </c>
      <c r="C6437" s="196" t="s">
        <v>25960</v>
      </c>
      <c r="D6437" s="196" t="s">
        <v>25961</v>
      </c>
      <c r="E6437" s="196" t="s">
        <v>25961</v>
      </c>
      <c r="F6437" s="196" t="s">
        <v>11233</v>
      </c>
      <c r="G6437" s="196" t="s">
        <v>11720</v>
      </c>
      <c r="H6437" s="196" t="s">
        <v>11235</v>
      </c>
    </row>
    <row r="6438" spans="1:8" x14ac:dyDescent="0.15">
      <c r="A6438" s="196" t="s">
        <v>11229</v>
      </c>
      <c r="B6438" s="196" t="s">
        <v>11230</v>
      </c>
      <c r="C6438" s="196" t="s">
        <v>25962</v>
      </c>
      <c r="D6438" s="196" t="s">
        <v>25963</v>
      </c>
      <c r="E6438" s="196" t="s">
        <v>25963</v>
      </c>
      <c r="F6438" s="196" t="s">
        <v>11233</v>
      </c>
      <c r="G6438" s="196" t="s">
        <v>11720</v>
      </c>
      <c r="H6438" s="196" t="s">
        <v>11235</v>
      </c>
    </row>
    <row r="6439" spans="1:8" x14ac:dyDescent="0.15">
      <c r="A6439" s="196" t="s">
        <v>11229</v>
      </c>
      <c r="B6439" s="196" t="s">
        <v>11230</v>
      </c>
      <c r="C6439" s="196" t="s">
        <v>25964</v>
      </c>
      <c r="D6439" s="196" t="s">
        <v>25965</v>
      </c>
      <c r="E6439" s="196" t="s">
        <v>25966</v>
      </c>
      <c r="F6439" s="196" t="s">
        <v>13023</v>
      </c>
      <c r="G6439" s="196" t="s">
        <v>12378</v>
      </c>
      <c r="H6439" s="196" t="s">
        <v>11235</v>
      </c>
    </row>
    <row r="6440" spans="1:8" x14ac:dyDescent="0.15">
      <c r="A6440" s="196" t="s">
        <v>11229</v>
      </c>
      <c r="B6440" s="196" t="s">
        <v>11230</v>
      </c>
      <c r="C6440" s="196" t="s">
        <v>25967</v>
      </c>
      <c r="D6440" s="196" t="s">
        <v>25968</v>
      </c>
      <c r="E6440" s="196" t="s">
        <v>25969</v>
      </c>
      <c r="F6440" s="196" t="s">
        <v>11241</v>
      </c>
      <c r="G6440" s="196" t="s">
        <v>11720</v>
      </c>
      <c r="H6440" s="196" t="s">
        <v>11235</v>
      </c>
    </row>
    <row r="6441" spans="1:8" x14ac:dyDescent="0.15">
      <c r="A6441" s="196" t="s">
        <v>11229</v>
      </c>
      <c r="B6441" s="196" t="s">
        <v>11230</v>
      </c>
      <c r="C6441" s="196" t="s">
        <v>25970</v>
      </c>
      <c r="D6441" s="196" t="s">
        <v>25971</v>
      </c>
      <c r="E6441" s="196" t="s">
        <v>25971</v>
      </c>
      <c r="F6441" s="196" t="s">
        <v>11233</v>
      </c>
      <c r="G6441" s="196" t="s">
        <v>11720</v>
      </c>
      <c r="H6441" s="196" t="s">
        <v>11235</v>
      </c>
    </row>
    <row r="6442" spans="1:8" x14ac:dyDescent="0.15">
      <c r="A6442" s="196" t="s">
        <v>11229</v>
      </c>
      <c r="B6442" s="196" t="s">
        <v>11230</v>
      </c>
      <c r="C6442" s="196" t="s">
        <v>25972</v>
      </c>
      <c r="D6442" s="196" t="s">
        <v>25973</v>
      </c>
      <c r="E6442" s="196" t="s">
        <v>25974</v>
      </c>
      <c r="F6442" s="196" t="s">
        <v>11241</v>
      </c>
      <c r="G6442" s="196" t="s">
        <v>11720</v>
      </c>
      <c r="H6442" s="196" t="s">
        <v>11235</v>
      </c>
    </row>
    <row r="6443" spans="1:8" x14ac:dyDescent="0.15">
      <c r="A6443" s="196" t="s">
        <v>11229</v>
      </c>
      <c r="B6443" s="196" t="s">
        <v>11230</v>
      </c>
      <c r="C6443" s="196" t="s">
        <v>25975</v>
      </c>
      <c r="D6443" s="196" t="s">
        <v>25976</v>
      </c>
      <c r="E6443" s="196" t="s">
        <v>25976</v>
      </c>
      <c r="F6443" s="196" t="s">
        <v>11233</v>
      </c>
      <c r="G6443" s="196" t="s">
        <v>11720</v>
      </c>
      <c r="H6443" s="196" t="s">
        <v>11235</v>
      </c>
    </row>
    <row r="6444" spans="1:8" x14ac:dyDescent="0.15">
      <c r="A6444" s="196" t="s">
        <v>11229</v>
      </c>
      <c r="B6444" s="196" t="s">
        <v>11230</v>
      </c>
      <c r="C6444" s="196" t="s">
        <v>25977</v>
      </c>
      <c r="D6444" s="196" t="s">
        <v>25978</v>
      </c>
      <c r="E6444" s="196" t="s">
        <v>25978</v>
      </c>
      <c r="F6444" s="196" t="s">
        <v>11233</v>
      </c>
      <c r="G6444" s="196" t="s">
        <v>11720</v>
      </c>
      <c r="H6444" s="196" t="s">
        <v>11235</v>
      </c>
    </row>
    <row r="6445" spans="1:8" x14ac:dyDescent="0.15">
      <c r="A6445" s="196" t="s">
        <v>11229</v>
      </c>
      <c r="B6445" s="196" t="s">
        <v>11230</v>
      </c>
      <c r="C6445" s="196" t="s">
        <v>25979</v>
      </c>
      <c r="D6445" s="196" t="s">
        <v>25980</v>
      </c>
      <c r="E6445" s="196" t="s">
        <v>25980</v>
      </c>
      <c r="F6445" s="196" t="s">
        <v>11233</v>
      </c>
      <c r="G6445" s="196" t="s">
        <v>12378</v>
      </c>
      <c r="H6445" s="196" t="s">
        <v>11235</v>
      </c>
    </row>
    <row r="6446" spans="1:8" x14ac:dyDescent="0.15">
      <c r="A6446" s="196" t="s">
        <v>11229</v>
      </c>
      <c r="B6446" s="196" t="s">
        <v>11230</v>
      </c>
      <c r="C6446" s="196" t="s">
        <v>25981</v>
      </c>
      <c r="D6446" s="196" t="s">
        <v>25982</v>
      </c>
      <c r="E6446" s="196" t="s">
        <v>25982</v>
      </c>
      <c r="F6446" s="196" t="s">
        <v>11233</v>
      </c>
      <c r="G6446" s="196" t="s">
        <v>12378</v>
      </c>
      <c r="H6446" s="196" t="s">
        <v>11235</v>
      </c>
    </row>
    <row r="6447" spans="1:8" x14ac:dyDescent="0.15">
      <c r="A6447" s="196" t="s">
        <v>11229</v>
      </c>
      <c r="B6447" s="196" t="s">
        <v>11230</v>
      </c>
      <c r="C6447" s="196" t="s">
        <v>25983</v>
      </c>
      <c r="D6447" s="196" t="s">
        <v>25984</v>
      </c>
      <c r="E6447" s="196" t="s">
        <v>25984</v>
      </c>
      <c r="F6447" s="196" t="s">
        <v>11233</v>
      </c>
      <c r="G6447" s="196" t="s">
        <v>12378</v>
      </c>
      <c r="H6447" s="196" t="s">
        <v>11235</v>
      </c>
    </row>
    <row r="6448" spans="1:8" x14ac:dyDescent="0.15">
      <c r="A6448" s="196" t="s">
        <v>11229</v>
      </c>
      <c r="B6448" s="196" t="s">
        <v>11230</v>
      </c>
      <c r="C6448" s="196" t="s">
        <v>25985</v>
      </c>
      <c r="D6448" s="196" t="s">
        <v>25986</v>
      </c>
      <c r="E6448" s="196" t="s">
        <v>25986</v>
      </c>
      <c r="F6448" s="196" t="s">
        <v>11233</v>
      </c>
      <c r="G6448" s="196" t="s">
        <v>12378</v>
      </c>
      <c r="H6448" s="196" t="s">
        <v>11235</v>
      </c>
    </row>
    <row r="6449" spans="1:8" x14ac:dyDescent="0.15">
      <c r="A6449" s="196" t="s">
        <v>11229</v>
      </c>
      <c r="B6449" s="196" t="s">
        <v>11230</v>
      </c>
      <c r="C6449" s="196" t="s">
        <v>25987</v>
      </c>
      <c r="D6449" s="196" t="s">
        <v>25988</v>
      </c>
      <c r="E6449" s="196" t="s">
        <v>25988</v>
      </c>
      <c r="F6449" s="196" t="s">
        <v>11233</v>
      </c>
      <c r="G6449" s="196" t="s">
        <v>12378</v>
      </c>
      <c r="H6449" s="196" t="s">
        <v>11235</v>
      </c>
    </row>
    <row r="6450" spans="1:8" x14ac:dyDescent="0.15">
      <c r="A6450" s="196" t="s">
        <v>11229</v>
      </c>
      <c r="B6450" s="196" t="s">
        <v>11230</v>
      </c>
      <c r="C6450" s="196" t="s">
        <v>25989</v>
      </c>
      <c r="D6450" s="196" t="s">
        <v>25990</v>
      </c>
      <c r="E6450" s="196" t="s">
        <v>25990</v>
      </c>
      <c r="F6450" s="196" t="s">
        <v>11233</v>
      </c>
      <c r="G6450" s="196" t="s">
        <v>11720</v>
      </c>
      <c r="H6450" s="196" t="s">
        <v>11235</v>
      </c>
    </row>
    <row r="6451" spans="1:8" x14ac:dyDescent="0.15">
      <c r="A6451" s="196" t="s">
        <v>11229</v>
      </c>
      <c r="B6451" s="196" t="s">
        <v>11230</v>
      </c>
      <c r="C6451" s="196" t="s">
        <v>25991</v>
      </c>
      <c r="D6451" s="196" t="s">
        <v>25992</v>
      </c>
      <c r="E6451" s="196" t="s">
        <v>25992</v>
      </c>
      <c r="F6451" s="196" t="s">
        <v>11233</v>
      </c>
      <c r="G6451" s="196" t="s">
        <v>11720</v>
      </c>
      <c r="H6451" s="196" t="s">
        <v>11235</v>
      </c>
    </row>
    <row r="6452" spans="1:8" x14ac:dyDescent="0.15">
      <c r="A6452" s="196" t="s">
        <v>11229</v>
      </c>
      <c r="B6452" s="196" t="s">
        <v>11230</v>
      </c>
      <c r="C6452" s="196" t="s">
        <v>25993</v>
      </c>
      <c r="D6452" s="196" t="s">
        <v>25994</v>
      </c>
      <c r="E6452" s="196" t="s">
        <v>25994</v>
      </c>
      <c r="F6452" s="196" t="s">
        <v>11233</v>
      </c>
      <c r="G6452" s="196" t="s">
        <v>12378</v>
      </c>
      <c r="H6452" s="196" t="s">
        <v>11235</v>
      </c>
    </row>
    <row r="6453" spans="1:8" x14ac:dyDescent="0.15">
      <c r="A6453" s="196" t="s">
        <v>11229</v>
      </c>
      <c r="B6453" s="196" t="s">
        <v>11230</v>
      </c>
      <c r="C6453" s="196" t="s">
        <v>25995</v>
      </c>
      <c r="D6453" s="196" t="s">
        <v>25996</v>
      </c>
      <c r="E6453" s="196" t="s">
        <v>25996</v>
      </c>
      <c r="F6453" s="196" t="s">
        <v>11233</v>
      </c>
      <c r="G6453" s="196" t="s">
        <v>12378</v>
      </c>
      <c r="H6453" s="196" t="s">
        <v>11235</v>
      </c>
    </row>
    <row r="6454" spans="1:8" x14ac:dyDescent="0.15">
      <c r="A6454" s="196" t="s">
        <v>11229</v>
      </c>
      <c r="B6454" s="196" t="s">
        <v>11230</v>
      </c>
      <c r="C6454" s="196" t="s">
        <v>25997</v>
      </c>
      <c r="D6454" s="196" t="s">
        <v>25998</v>
      </c>
      <c r="E6454" s="196" t="s">
        <v>25998</v>
      </c>
      <c r="F6454" s="196" t="s">
        <v>11233</v>
      </c>
      <c r="G6454" s="196" t="s">
        <v>12378</v>
      </c>
      <c r="H6454" s="196" t="s">
        <v>11235</v>
      </c>
    </row>
    <row r="6455" spans="1:8" x14ac:dyDescent="0.15">
      <c r="A6455" s="196" t="s">
        <v>11229</v>
      </c>
      <c r="B6455" s="196" t="s">
        <v>11230</v>
      </c>
      <c r="C6455" s="196" t="s">
        <v>25999</v>
      </c>
      <c r="D6455" s="196" t="s">
        <v>26000</v>
      </c>
      <c r="E6455" s="196" t="s">
        <v>26000</v>
      </c>
      <c r="F6455" s="196" t="s">
        <v>11233</v>
      </c>
      <c r="G6455" s="196" t="s">
        <v>12378</v>
      </c>
      <c r="H6455" s="196" t="s">
        <v>11235</v>
      </c>
    </row>
    <row r="6456" spans="1:8" x14ac:dyDescent="0.15">
      <c r="A6456" s="196" t="s">
        <v>11229</v>
      </c>
      <c r="B6456" s="196" t="s">
        <v>11230</v>
      </c>
      <c r="C6456" s="196" t="s">
        <v>26001</v>
      </c>
      <c r="D6456" s="196" t="s">
        <v>26002</v>
      </c>
      <c r="E6456" s="196" t="s">
        <v>26002</v>
      </c>
      <c r="F6456" s="196" t="s">
        <v>11233</v>
      </c>
      <c r="G6456" s="196" t="s">
        <v>12378</v>
      </c>
      <c r="H6456" s="196" t="s">
        <v>11235</v>
      </c>
    </row>
    <row r="6457" spans="1:8" x14ac:dyDescent="0.15">
      <c r="A6457" s="196" t="s">
        <v>11229</v>
      </c>
      <c r="B6457" s="196" t="s">
        <v>11230</v>
      </c>
      <c r="C6457" s="196" t="s">
        <v>26003</v>
      </c>
      <c r="D6457" s="196" t="s">
        <v>26004</v>
      </c>
      <c r="E6457" s="196" t="s">
        <v>26004</v>
      </c>
      <c r="F6457" s="196" t="s">
        <v>11233</v>
      </c>
      <c r="G6457" s="196" t="s">
        <v>12378</v>
      </c>
      <c r="H6457" s="196" t="s">
        <v>11235</v>
      </c>
    </row>
    <row r="6458" spans="1:8" x14ac:dyDescent="0.15">
      <c r="A6458" s="196" t="s">
        <v>11229</v>
      </c>
      <c r="B6458" s="196" t="s">
        <v>11230</v>
      </c>
      <c r="C6458" s="196" t="s">
        <v>26005</v>
      </c>
      <c r="D6458" s="196" t="s">
        <v>26006</v>
      </c>
      <c r="E6458" s="196" t="s">
        <v>26006</v>
      </c>
      <c r="F6458" s="196" t="s">
        <v>11233</v>
      </c>
      <c r="G6458" s="196" t="s">
        <v>11720</v>
      </c>
      <c r="H6458" s="196" t="s">
        <v>11235</v>
      </c>
    </row>
    <row r="6459" spans="1:8" x14ac:dyDescent="0.15">
      <c r="A6459" s="196" t="s">
        <v>11229</v>
      </c>
      <c r="B6459" s="196" t="s">
        <v>11230</v>
      </c>
      <c r="C6459" s="196" t="s">
        <v>26007</v>
      </c>
      <c r="D6459" s="196" t="s">
        <v>26008</v>
      </c>
      <c r="E6459" s="196" t="s">
        <v>26008</v>
      </c>
      <c r="F6459" s="196" t="s">
        <v>11233</v>
      </c>
      <c r="G6459" s="196" t="s">
        <v>12378</v>
      </c>
      <c r="H6459" s="196" t="s">
        <v>11235</v>
      </c>
    </row>
    <row r="6460" spans="1:8" x14ac:dyDescent="0.15">
      <c r="A6460" s="196" t="s">
        <v>11229</v>
      </c>
      <c r="B6460" s="196" t="s">
        <v>11230</v>
      </c>
      <c r="C6460" s="196" t="s">
        <v>26009</v>
      </c>
      <c r="D6460" s="196" t="s">
        <v>26010</v>
      </c>
      <c r="E6460" s="196" t="s">
        <v>26010</v>
      </c>
      <c r="F6460" s="196" t="s">
        <v>11233</v>
      </c>
      <c r="G6460" s="196" t="s">
        <v>11720</v>
      </c>
      <c r="H6460" s="196" t="s">
        <v>11235</v>
      </c>
    </row>
    <row r="6461" spans="1:8" x14ac:dyDescent="0.15">
      <c r="A6461" s="196" t="s">
        <v>11229</v>
      </c>
      <c r="B6461" s="196" t="s">
        <v>11230</v>
      </c>
      <c r="C6461" s="196" t="s">
        <v>26011</v>
      </c>
      <c r="D6461" s="196" t="s">
        <v>26012</v>
      </c>
      <c r="E6461" s="196" t="s">
        <v>26012</v>
      </c>
      <c r="F6461" s="196" t="s">
        <v>11233</v>
      </c>
      <c r="G6461" s="196" t="s">
        <v>11720</v>
      </c>
      <c r="H6461" s="196" t="s">
        <v>11235</v>
      </c>
    </row>
    <row r="6462" spans="1:8" x14ac:dyDescent="0.15">
      <c r="A6462" s="196" t="s">
        <v>11229</v>
      </c>
      <c r="B6462" s="196" t="s">
        <v>11230</v>
      </c>
      <c r="C6462" s="196" t="s">
        <v>26013</v>
      </c>
      <c r="D6462" s="196" t="s">
        <v>26014</v>
      </c>
      <c r="E6462" s="196" t="s">
        <v>26014</v>
      </c>
      <c r="F6462" s="196" t="s">
        <v>11233</v>
      </c>
      <c r="G6462" s="196" t="s">
        <v>11720</v>
      </c>
      <c r="H6462" s="196" t="s">
        <v>11235</v>
      </c>
    </row>
    <row r="6463" spans="1:8" x14ac:dyDescent="0.15">
      <c r="A6463" s="196" t="s">
        <v>11229</v>
      </c>
      <c r="B6463" s="196" t="s">
        <v>11230</v>
      </c>
      <c r="C6463" s="196" t="s">
        <v>26015</v>
      </c>
      <c r="D6463" s="196" t="s">
        <v>26016</v>
      </c>
      <c r="E6463" s="196" t="s">
        <v>26016</v>
      </c>
      <c r="F6463" s="196" t="s">
        <v>11233</v>
      </c>
      <c r="G6463" s="196" t="s">
        <v>12378</v>
      </c>
      <c r="H6463" s="196" t="s">
        <v>11235</v>
      </c>
    </row>
    <row r="6464" spans="1:8" x14ac:dyDescent="0.15">
      <c r="A6464" s="196" t="s">
        <v>11229</v>
      </c>
      <c r="B6464" s="196" t="s">
        <v>11230</v>
      </c>
      <c r="C6464" s="196" t="s">
        <v>26017</v>
      </c>
      <c r="D6464" s="196" t="s">
        <v>26018</v>
      </c>
      <c r="E6464" s="196" t="s">
        <v>26018</v>
      </c>
      <c r="F6464" s="196" t="s">
        <v>11233</v>
      </c>
      <c r="G6464" s="196" t="s">
        <v>12378</v>
      </c>
      <c r="H6464" s="196" t="s">
        <v>11235</v>
      </c>
    </row>
    <row r="6465" spans="1:8" x14ac:dyDescent="0.15">
      <c r="A6465" s="196" t="s">
        <v>11229</v>
      </c>
      <c r="B6465" s="196" t="s">
        <v>11230</v>
      </c>
      <c r="C6465" s="196" t="s">
        <v>26019</v>
      </c>
      <c r="D6465" s="196" t="s">
        <v>26020</v>
      </c>
      <c r="E6465" s="196" t="s">
        <v>26020</v>
      </c>
      <c r="F6465" s="196" t="s">
        <v>11233</v>
      </c>
      <c r="G6465" s="196" t="s">
        <v>11720</v>
      </c>
      <c r="H6465" s="196" t="s">
        <v>11235</v>
      </c>
    </row>
    <row r="6466" spans="1:8" x14ac:dyDescent="0.15">
      <c r="A6466" s="196" t="s">
        <v>11229</v>
      </c>
      <c r="B6466" s="196" t="s">
        <v>11230</v>
      </c>
      <c r="C6466" s="196" t="s">
        <v>26021</v>
      </c>
      <c r="D6466" s="196" t="s">
        <v>26022</v>
      </c>
      <c r="E6466" s="196" t="s">
        <v>26022</v>
      </c>
      <c r="F6466" s="196" t="s">
        <v>11233</v>
      </c>
      <c r="G6466" s="196" t="s">
        <v>11720</v>
      </c>
      <c r="H6466" s="196" t="s">
        <v>11235</v>
      </c>
    </row>
    <row r="6467" spans="1:8" x14ac:dyDescent="0.15">
      <c r="A6467" s="196" t="s">
        <v>11229</v>
      </c>
      <c r="B6467" s="196" t="s">
        <v>11230</v>
      </c>
      <c r="C6467" s="196" t="s">
        <v>26023</v>
      </c>
      <c r="D6467" s="196" t="s">
        <v>26024</v>
      </c>
      <c r="E6467" s="196" t="s">
        <v>26024</v>
      </c>
      <c r="F6467" s="196" t="s">
        <v>11233</v>
      </c>
      <c r="G6467" s="196" t="s">
        <v>12378</v>
      </c>
      <c r="H6467" s="196" t="s">
        <v>11235</v>
      </c>
    </row>
    <row r="6468" spans="1:8" x14ac:dyDescent="0.15">
      <c r="A6468" s="196" t="s">
        <v>11229</v>
      </c>
      <c r="B6468" s="196" t="s">
        <v>11230</v>
      </c>
      <c r="C6468" s="196" t="s">
        <v>26025</v>
      </c>
      <c r="D6468" s="196" t="s">
        <v>26026</v>
      </c>
      <c r="E6468" s="196" t="s">
        <v>26026</v>
      </c>
      <c r="F6468" s="196" t="s">
        <v>11233</v>
      </c>
      <c r="G6468" s="196" t="s">
        <v>11720</v>
      </c>
      <c r="H6468" s="196" t="s">
        <v>11235</v>
      </c>
    </row>
    <row r="6469" spans="1:8" x14ac:dyDescent="0.15">
      <c r="A6469" s="196" t="s">
        <v>11229</v>
      </c>
      <c r="B6469" s="196" t="s">
        <v>11230</v>
      </c>
      <c r="C6469" s="196" t="s">
        <v>26027</v>
      </c>
      <c r="D6469" s="196" t="s">
        <v>26028</v>
      </c>
      <c r="E6469" s="196" t="s">
        <v>26028</v>
      </c>
      <c r="F6469" s="196" t="s">
        <v>11233</v>
      </c>
      <c r="G6469" s="196" t="s">
        <v>11720</v>
      </c>
      <c r="H6469" s="196" t="s">
        <v>11235</v>
      </c>
    </row>
    <row r="6470" spans="1:8" x14ac:dyDescent="0.15">
      <c r="A6470" s="196" t="s">
        <v>11229</v>
      </c>
      <c r="B6470" s="196" t="s">
        <v>11230</v>
      </c>
      <c r="C6470" s="196" t="s">
        <v>26029</v>
      </c>
      <c r="D6470" s="196" t="s">
        <v>26030</v>
      </c>
      <c r="E6470" s="196" t="s">
        <v>26030</v>
      </c>
      <c r="F6470" s="196" t="s">
        <v>11233</v>
      </c>
      <c r="G6470" s="196" t="s">
        <v>12378</v>
      </c>
      <c r="H6470" s="196" t="s">
        <v>11235</v>
      </c>
    </row>
    <row r="6471" spans="1:8" x14ac:dyDescent="0.15">
      <c r="A6471" s="196" t="s">
        <v>11229</v>
      </c>
      <c r="B6471" s="196" t="s">
        <v>11230</v>
      </c>
      <c r="C6471" s="196" t="s">
        <v>26031</v>
      </c>
      <c r="D6471" s="196" t="s">
        <v>26032</v>
      </c>
      <c r="E6471" s="196" t="s">
        <v>26032</v>
      </c>
      <c r="F6471" s="196" t="s">
        <v>11233</v>
      </c>
      <c r="G6471" s="196" t="s">
        <v>12378</v>
      </c>
      <c r="H6471" s="196" t="s">
        <v>11235</v>
      </c>
    </row>
    <row r="6472" spans="1:8" x14ac:dyDescent="0.15">
      <c r="A6472" s="196" t="s">
        <v>11229</v>
      </c>
      <c r="B6472" s="196" t="s">
        <v>11230</v>
      </c>
      <c r="C6472" s="196" t="s">
        <v>26033</v>
      </c>
      <c r="D6472" s="196" t="s">
        <v>26034</v>
      </c>
      <c r="E6472" s="196" t="s">
        <v>26034</v>
      </c>
      <c r="F6472" s="196" t="s">
        <v>11233</v>
      </c>
      <c r="G6472" s="196" t="s">
        <v>12378</v>
      </c>
      <c r="H6472" s="196" t="s">
        <v>11235</v>
      </c>
    </row>
    <row r="6473" spans="1:8" x14ac:dyDescent="0.15">
      <c r="A6473" s="196" t="s">
        <v>11229</v>
      </c>
      <c r="B6473" s="196" t="s">
        <v>11230</v>
      </c>
      <c r="C6473" s="196" t="s">
        <v>26035</v>
      </c>
      <c r="D6473" s="196" t="s">
        <v>26036</v>
      </c>
      <c r="E6473" s="196" t="s">
        <v>26036</v>
      </c>
      <c r="F6473" s="196" t="s">
        <v>11233</v>
      </c>
      <c r="G6473" s="196" t="s">
        <v>11720</v>
      </c>
      <c r="H6473" s="196" t="s">
        <v>11235</v>
      </c>
    </row>
    <row r="6474" spans="1:8" x14ac:dyDescent="0.15">
      <c r="A6474" s="196" t="s">
        <v>11229</v>
      </c>
      <c r="B6474" s="196" t="s">
        <v>11230</v>
      </c>
      <c r="C6474" s="196" t="s">
        <v>26037</v>
      </c>
      <c r="D6474" s="196" t="s">
        <v>26038</v>
      </c>
      <c r="E6474" s="196" t="s">
        <v>26038</v>
      </c>
      <c r="F6474" s="196" t="s">
        <v>11233</v>
      </c>
      <c r="G6474" s="196" t="s">
        <v>11720</v>
      </c>
      <c r="H6474" s="196" t="s">
        <v>11235</v>
      </c>
    </row>
    <row r="6475" spans="1:8" x14ac:dyDescent="0.15">
      <c r="A6475" s="196" t="s">
        <v>11229</v>
      </c>
      <c r="B6475" s="196" t="s">
        <v>11230</v>
      </c>
      <c r="C6475" s="196" t="s">
        <v>26039</v>
      </c>
      <c r="D6475" s="196" t="s">
        <v>26040</v>
      </c>
      <c r="E6475" s="196" t="s">
        <v>26040</v>
      </c>
      <c r="F6475" s="196" t="s">
        <v>11233</v>
      </c>
      <c r="G6475" s="196" t="s">
        <v>12378</v>
      </c>
      <c r="H6475" s="196" t="s">
        <v>11235</v>
      </c>
    </row>
    <row r="6476" spans="1:8" x14ac:dyDescent="0.15">
      <c r="A6476" s="196" t="s">
        <v>11229</v>
      </c>
      <c r="B6476" s="196" t="s">
        <v>11230</v>
      </c>
      <c r="C6476" s="196" t="s">
        <v>26041</v>
      </c>
      <c r="D6476" s="196" t="s">
        <v>26042</v>
      </c>
      <c r="E6476" s="196" t="s">
        <v>26042</v>
      </c>
      <c r="F6476" s="196" t="s">
        <v>11233</v>
      </c>
      <c r="G6476" s="196" t="s">
        <v>11720</v>
      </c>
      <c r="H6476" s="196" t="s">
        <v>11235</v>
      </c>
    </row>
    <row r="6477" spans="1:8" x14ac:dyDescent="0.15">
      <c r="A6477" s="196" t="s">
        <v>11229</v>
      </c>
      <c r="B6477" s="196" t="s">
        <v>11230</v>
      </c>
      <c r="C6477" s="196" t="s">
        <v>26043</v>
      </c>
      <c r="D6477" s="196" t="s">
        <v>26044</v>
      </c>
      <c r="E6477" s="196" t="s">
        <v>26044</v>
      </c>
      <c r="F6477" s="196" t="s">
        <v>11233</v>
      </c>
      <c r="G6477" s="196" t="s">
        <v>11720</v>
      </c>
      <c r="H6477" s="196" t="s">
        <v>11235</v>
      </c>
    </row>
    <row r="6478" spans="1:8" x14ac:dyDescent="0.15">
      <c r="A6478" s="196" t="s">
        <v>11229</v>
      </c>
      <c r="B6478" s="196" t="s">
        <v>11230</v>
      </c>
      <c r="C6478" s="196" t="s">
        <v>26045</v>
      </c>
      <c r="D6478" s="196" t="s">
        <v>26046</v>
      </c>
      <c r="E6478" s="196" t="s">
        <v>26046</v>
      </c>
      <c r="F6478" s="196" t="s">
        <v>11233</v>
      </c>
      <c r="G6478" s="196" t="s">
        <v>11720</v>
      </c>
      <c r="H6478" s="196" t="s">
        <v>11235</v>
      </c>
    </row>
    <row r="6479" spans="1:8" x14ac:dyDescent="0.15">
      <c r="A6479" s="196" t="s">
        <v>11229</v>
      </c>
      <c r="B6479" s="196" t="s">
        <v>11230</v>
      </c>
      <c r="C6479" s="196" t="s">
        <v>26047</v>
      </c>
      <c r="D6479" s="196" t="s">
        <v>26048</v>
      </c>
      <c r="E6479" s="196" t="s">
        <v>26048</v>
      </c>
      <c r="F6479" s="196" t="s">
        <v>11233</v>
      </c>
      <c r="G6479" s="196" t="s">
        <v>11720</v>
      </c>
      <c r="H6479" s="196" t="s">
        <v>11235</v>
      </c>
    </row>
    <row r="6480" spans="1:8" x14ac:dyDescent="0.15">
      <c r="A6480" s="196" t="s">
        <v>11229</v>
      </c>
      <c r="B6480" s="196" t="s">
        <v>11230</v>
      </c>
      <c r="C6480" s="196" t="s">
        <v>26049</v>
      </c>
      <c r="D6480" s="196" t="s">
        <v>26050</v>
      </c>
      <c r="E6480" s="196" t="s">
        <v>26050</v>
      </c>
      <c r="F6480" s="196" t="s">
        <v>11233</v>
      </c>
      <c r="G6480" s="196" t="s">
        <v>11720</v>
      </c>
      <c r="H6480" s="196" t="s">
        <v>11235</v>
      </c>
    </row>
    <row r="6481" spans="1:8" x14ac:dyDescent="0.15">
      <c r="A6481" s="196" t="s">
        <v>11229</v>
      </c>
      <c r="B6481" s="196" t="s">
        <v>11230</v>
      </c>
      <c r="C6481" s="196" t="s">
        <v>26051</v>
      </c>
      <c r="D6481" s="196" t="s">
        <v>26050</v>
      </c>
      <c r="E6481" s="196" t="s">
        <v>26050</v>
      </c>
      <c r="F6481" s="196" t="s">
        <v>11233</v>
      </c>
      <c r="G6481" s="196" t="s">
        <v>12378</v>
      </c>
      <c r="H6481" s="196" t="s">
        <v>11235</v>
      </c>
    </row>
    <row r="6482" spans="1:8" x14ac:dyDescent="0.15">
      <c r="A6482" s="196" t="s">
        <v>11229</v>
      </c>
      <c r="B6482" s="196" t="s">
        <v>11230</v>
      </c>
      <c r="C6482" s="196" t="s">
        <v>26052</v>
      </c>
      <c r="D6482" s="196" t="s">
        <v>26053</v>
      </c>
      <c r="E6482" s="196" t="s">
        <v>26053</v>
      </c>
      <c r="F6482" s="196" t="s">
        <v>11233</v>
      </c>
      <c r="G6482" s="196" t="s">
        <v>11720</v>
      </c>
      <c r="H6482" s="196" t="s">
        <v>11235</v>
      </c>
    </row>
    <row r="6483" spans="1:8" x14ac:dyDescent="0.15">
      <c r="A6483" s="196" t="s">
        <v>11229</v>
      </c>
      <c r="B6483" s="196" t="s">
        <v>11230</v>
      </c>
      <c r="C6483" s="196" t="s">
        <v>26054</v>
      </c>
      <c r="D6483" s="196" t="s">
        <v>26055</v>
      </c>
      <c r="E6483" s="196" t="s">
        <v>26055</v>
      </c>
      <c r="F6483" s="196" t="s">
        <v>11233</v>
      </c>
      <c r="G6483" s="196" t="s">
        <v>11720</v>
      </c>
      <c r="H6483" s="196" t="s">
        <v>11235</v>
      </c>
    </row>
    <row r="6484" spans="1:8" x14ac:dyDescent="0.15">
      <c r="A6484" s="196" t="s">
        <v>11229</v>
      </c>
      <c r="B6484" s="196" t="s">
        <v>11230</v>
      </c>
      <c r="C6484" s="196" t="s">
        <v>26056</v>
      </c>
      <c r="D6484" s="196" t="s">
        <v>26057</v>
      </c>
      <c r="E6484" s="196" t="s">
        <v>26057</v>
      </c>
      <c r="F6484" s="196" t="s">
        <v>11233</v>
      </c>
      <c r="G6484" s="196" t="s">
        <v>12378</v>
      </c>
      <c r="H6484" s="196" t="s">
        <v>11235</v>
      </c>
    </row>
    <row r="6485" spans="1:8" x14ac:dyDescent="0.15">
      <c r="A6485" s="196" t="s">
        <v>11229</v>
      </c>
      <c r="B6485" s="196" t="s">
        <v>11230</v>
      </c>
      <c r="C6485" s="196" t="s">
        <v>26058</v>
      </c>
      <c r="D6485" s="196" t="s">
        <v>26059</v>
      </c>
      <c r="E6485" s="196" t="s">
        <v>26059</v>
      </c>
      <c r="F6485" s="196" t="s">
        <v>11233</v>
      </c>
      <c r="G6485" s="196" t="s">
        <v>11720</v>
      </c>
      <c r="H6485" s="196" t="s">
        <v>11235</v>
      </c>
    </row>
    <row r="6486" spans="1:8" x14ac:dyDescent="0.15">
      <c r="A6486" s="196" t="s">
        <v>11229</v>
      </c>
      <c r="B6486" s="196" t="s">
        <v>11230</v>
      </c>
      <c r="C6486" s="196" t="s">
        <v>26060</v>
      </c>
      <c r="D6486" s="196" t="s">
        <v>26061</v>
      </c>
      <c r="E6486" s="196" t="s">
        <v>26061</v>
      </c>
      <c r="F6486" s="196" t="s">
        <v>11233</v>
      </c>
      <c r="G6486" s="196" t="s">
        <v>12378</v>
      </c>
      <c r="H6486" s="196" t="s">
        <v>11235</v>
      </c>
    </row>
    <row r="6487" spans="1:8" x14ac:dyDescent="0.15">
      <c r="A6487" s="196" t="s">
        <v>11229</v>
      </c>
      <c r="B6487" s="196" t="s">
        <v>11230</v>
      </c>
      <c r="C6487" s="196" t="s">
        <v>26062</v>
      </c>
      <c r="D6487" s="196" t="s">
        <v>26063</v>
      </c>
      <c r="E6487" s="196" t="s">
        <v>26063</v>
      </c>
      <c r="F6487" s="196" t="s">
        <v>11233</v>
      </c>
      <c r="G6487" s="196" t="s">
        <v>11720</v>
      </c>
      <c r="H6487" s="196" t="s">
        <v>11235</v>
      </c>
    </row>
    <row r="6488" spans="1:8" x14ac:dyDescent="0.15">
      <c r="A6488" s="196" t="s">
        <v>11229</v>
      </c>
      <c r="B6488" s="196" t="s">
        <v>11230</v>
      </c>
      <c r="C6488" s="196" t="s">
        <v>26064</v>
      </c>
      <c r="D6488" s="196" t="s">
        <v>26065</v>
      </c>
      <c r="E6488" s="196" t="s">
        <v>26065</v>
      </c>
      <c r="F6488" s="196" t="s">
        <v>11233</v>
      </c>
      <c r="G6488" s="196" t="s">
        <v>12378</v>
      </c>
      <c r="H6488" s="196" t="s">
        <v>11235</v>
      </c>
    </row>
    <row r="6489" spans="1:8" x14ac:dyDescent="0.15">
      <c r="A6489" s="196" t="s">
        <v>11229</v>
      </c>
      <c r="B6489" s="196" t="s">
        <v>11230</v>
      </c>
      <c r="C6489" s="196" t="s">
        <v>26066</v>
      </c>
      <c r="D6489" s="196" t="s">
        <v>26067</v>
      </c>
      <c r="E6489" s="196" t="s">
        <v>26067</v>
      </c>
      <c r="F6489" s="196" t="s">
        <v>11233</v>
      </c>
      <c r="G6489" s="196" t="s">
        <v>12378</v>
      </c>
      <c r="H6489" s="196" t="s">
        <v>11235</v>
      </c>
    </row>
    <row r="6490" spans="1:8" x14ac:dyDescent="0.15">
      <c r="A6490" s="196" t="s">
        <v>11229</v>
      </c>
      <c r="B6490" s="196" t="s">
        <v>11230</v>
      </c>
      <c r="C6490" s="196" t="s">
        <v>26068</v>
      </c>
      <c r="D6490" s="196" t="s">
        <v>26069</v>
      </c>
      <c r="E6490" s="196" t="s">
        <v>26069</v>
      </c>
      <c r="F6490" s="196" t="s">
        <v>11233</v>
      </c>
      <c r="G6490" s="196" t="s">
        <v>12378</v>
      </c>
      <c r="H6490" s="196" t="s">
        <v>11235</v>
      </c>
    </row>
    <row r="6491" spans="1:8" x14ac:dyDescent="0.15">
      <c r="A6491" s="196" t="s">
        <v>11229</v>
      </c>
      <c r="B6491" s="196" t="s">
        <v>11230</v>
      </c>
      <c r="C6491" s="196" t="s">
        <v>26070</v>
      </c>
      <c r="D6491" s="196" t="s">
        <v>26071</v>
      </c>
      <c r="E6491" s="196" t="s">
        <v>26071</v>
      </c>
      <c r="F6491" s="196" t="s">
        <v>11233</v>
      </c>
      <c r="G6491" s="196" t="s">
        <v>11720</v>
      </c>
      <c r="H6491" s="196" t="s">
        <v>11235</v>
      </c>
    </row>
    <row r="6492" spans="1:8" x14ac:dyDescent="0.15">
      <c r="A6492" s="196" t="s">
        <v>11229</v>
      </c>
      <c r="B6492" s="196" t="s">
        <v>11230</v>
      </c>
      <c r="C6492" s="196" t="s">
        <v>26072</v>
      </c>
      <c r="D6492" s="196" t="s">
        <v>26073</v>
      </c>
      <c r="E6492" s="196" t="s">
        <v>26073</v>
      </c>
      <c r="F6492" s="196" t="s">
        <v>11233</v>
      </c>
      <c r="G6492" s="196" t="s">
        <v>11720</v>
      </c>
      <c r="H6492" s="196" t="s">
        <v>11235</v>
      </c>
    </row>
    <row r="6493" spans="1:8" x14ac:dyDescent="0.15">
      <c r="A6493" s="196" t="s">
        <v>11229</v>
      </c>
      <c r="B6493" s="196" t="s">
        <v>11230</v>
      </c>
      <c r="C6493" s="196" t="s">
        <v>26074</v>
      </c>
      <c r="D6493" s="196" t="s">
        <v>26075</v>
      </c>
      <c r="E6493" s="196" t="s">
        <v>26075</v>
      </c>
      <c r="F6493" s="196" t="s">
        <v>11233</v>
      </c>
      <c r="G6493" s="196" t="s">
        <v>11720</v>
      </c>
      <c r="H6493" s="196" t="s">
        <v>11235</v>
      </c>
    </row>
    <row r="6494" spans="1:8" x14ac:dyDescent="0.15">
      <c r="A6494" s="196" t="s">
        <v>11229</v>
      </c>
      <c r="B6494" s="196" t="s">
        <v>11230</v>
      </c>
      <c r="C6494" s="196" t="s">
        <v>26076</v>
      </c>
      <c r="D6494" s="196" t="s">
        <v>26077</v>
      </c>
      <c r="E6494" s="196" t="s">
        <v>26077</v>
      </c>
      <c r="F6494" s="196" t="s">
        <v>11233</v>
      </c>
      <c r="G6494" s="196" t="s">
        <v>11720</v>
      </c>
      <c r="H6494" s="196" t="s">
        <v>11235</v>
      </c>
    </row>
    <row r="6495" spans="1:8" x14ac:dyDescent="0.15">
      <c r="A6495" s="196" t="s">
        <v>11229</v>
      </c>
      <c r="B6495" s="196" t="s">
        <v>11230</v>
      </c>
      <c r="C6495" s="196" t="s">
        <v>26078</v>
      </c>
      <c r="D6495" s="196" t="s">
        <v>26079</v>
      </c>
      <c r="E6495" s="196" t="s">
        <v>26079</v>
      </c>
      <c r="F6495" s="196" t="s">
        <v>11233</v>
      </c>
      <c r="G6495" s="196" t="s">
        <v>11720</v>
      </c>
      <c r="H6495" s="196" t="s">
        <v>11235</v>
      </c>
    </row>
    <row r="6496" spans="1:8" x14ac:dyDescent="0.15">
      <c r="A6496" s="196" t="s">
        <v>11229</v>
      </c>
      <c r="B6496" s="196" t="s">
        <v>11230</v>
      </c>
      <c r="C6496" s="196" t="s">
        <v>26080</v>
      </c>
      <c r="D6496" s="196" t="s">
        <v>26081</v>
      </c>
      <c r="E6496" s="196" t="s">
        <v>26081</v>
      </c>
      <c r="F6496" s="196" t="s">
        <v>11233</v>
      </c>
      <c r="G6496" s="196" t="s">
        <v>11720</v>
      </c>
      <c r="H6496" s="196" t="s">
        <v>11235</v>
      </c>
    </row>
    <row r="6497" spans="1:8" x14ac:dyDescent="0.15">
      <c r="A6497" s="196" t="s">
        <v>11229</v>
      </c>
      <c r="B6497" s="196" t="s">
        <v>11230</v>
      </c>
      <c r="C6497" s="196" t="s">
        <v>26082</v>
      </c>
      <c r="D6497" s="196" t="s">
        <v>26083</v>
      </c>
      <c r="E6497" s="196" t="s">
        <v>26083</v>
      </c>
      <c r="F6497" s="196" t="s">
        <v>11233</v>
      </c>
      <c r="G6497" s="196" t="s">
        <v>11720</v>
      </c>
      <c r="H6497" s="196" t="s">
        <v>11235</v>
      </c>
    </row>
    <row r="6498" spans="1:8" x14ac:dyDescent="0.15">
      <c r="A6498" s="196" t="s">
        <v>11229</v>
      </c>
      <c r="B6498" s="196" t="s">
        <v>11230</v>
      </c>
      <c r="C6498" s="196" t="s">
        <v>26084</v>
      </c>
      <c r="D6498" s="196" t="s">
        <v>26085</v>
      </c>
      <c r="E6498" s="196" t="s">
        <v>26085</v>
      </c>
      <c r="F6498" s="196" t="s">
        <v>11233</v>
      </c>
      <c r="G6498" s="196" t="s">
        <v>11720</v>
      </c>
      <c r="H6498" s="196" t="s">
        <v>11235</v>
      </c>
    </row>
    <row r="6499" spans="1:8" x14ac:dyDescent="0.15">
      <c r="A6499" s="196" t="s">
        <v>11229</v>
      </c>
      <c r="B6499" s="196" t="s">
        <v>11230</v>
      </c>
      <c r="C6499" s="196" t="s">
        <v>26086</v>
      </c>
      <c r="D6499" s="196" t="s">
        <v>26087</v>
      </c>
      <c r="E6499" s="196" t="s">
        <v>26087</v>
      </c>
      <c r="F6499" s="196" t="s">
        <v>11233</v>
      </c>
      <c r="G6499" s="196" t="s">
        <v>11720</v>
      </c>
      <c r="H6499" s="196" t="s">
        <v>11235</v>
      </c>
    </row>
    <row r="6500" spans="1:8" x14ac:dyDescent="0.15">
      <c r="A6500" s="196" t="s">
        <v>11229</v>
      </c>
      <c r="B6500" s="196" t="s">
        <v>11230</v>
      </c>
      <c r="C6500" s="196" t="s">
        <v>26088</v>
      </c>
      <c r="D6500" s="196" t="s">
        <v>26089</v>
      </c>
      <c r="E6500" s="196" t="s">
        <v>26089</v>
      </c>
      <c r="F6500" s="196" t="s">
        <v>11233</v>
      </c>
      <c r="G6500" s="196" t="s">
        <v>11720</v>
      </c>
      <c r="H6500" s="196" t="s">
        <v>11235</v>
      </c>
    </row>
    <row r="6501" spans="1:8" x14ac:dyDescent="0.15">
      <c r="A6501" s="196" t="s">
        <v>11229</v>
      </c>
      <c r="B6501" s="196" t="s">
        <v>11230</v>
      </c>
      <c r="C6501" s="196" t="s">
        <v>26090</v>
      </c>
      <c r="D6501" s="196" t="s">
        <v>26091</v>
      </c>
      <c r="E6501" s="196" t="s">
        <v>26091</v>
      </c>
      <c r="F6501" s="196" t="s">
        <v>11233</v>
      </c>
      <c r="G6501" s="196" t="s">
        <v>11720</v>
      </c>
      <c r="H6501" s="196" t="s">
        <v>11235</v>
      </c>
    </row>
    <row r="6502" spans="1:8" x14ac:dyDescent="0.15">
      <c r="A6502" s="196" t="s">
        <v>11229</v>
      </c>
      <c r="B6502" s="196" t="s">
        <v>11230</v>
      </c>
      <c r="C6502" s="196" t="s">
        <v>26092</v>
      </c>
      <c r="D6502" s="196" t="s">
        <v>26093</v>
      </c>
      <c r="E6502" s="196" t="s">
        <v>26093</v>
      </c>
      <c r="F6502" s="196" t="s">
        <v>11233</v>
      </c>
      <c r="G6502" s="196" t="s">
        <v>11720</v>
      </c>
      <c r="H6502" s="196" t="s">
        <v>11235</v>
      </c>
    </row>
    <row r="6503" spans="1:8" x14ac:dyDescent="0.15">
      <c r="A6503" s="196" t="s">
        <v>11229</v>
      </c>
      <c r="B6503" s="196" t="s">
        <v>11230</v>
      </c>
      <c r="C6503" s="196" t="s">
        <v>26094</v>
      </c>
      <c r="D6503" s="196" t="s">
        <v>26095</v>
      </c>
      <c r="E6503" s="196" t="s">
        <v>26095</v>
      </c>
      <c r="F6503" s="196" t="s">
        <v>11233</v>
      </c>
      <c r="G6503" s="196" t="s">
        <v>11720</v>
      </c>
      <c r="H6503" s="196" t="s">
        <v>11235</v>
      </c>
    </row>
    <row r="6504" spans="1:8" x14ac:dyDescent="0.15">
      <c r="A6504" s="196" t="s">
        <v>11229</v>
      </c>
      <c r="B6504" s="196" t="s">
        <v>11230</v>
      </c>
      <c r="C6504" s="196" t="s">
        <v>26096</v>
      </c>
      <c r="D6504" s="196" t="s">
        <v>26097</v>
      </c>
      <c r="E6504" s="196" t="s">
        <v>26097</v>
      </c>
      <c r="F6504" s="196" t="s">
        <v>11233</v>
      </c>
      <c r="G6504" s="196" t="s">
        <v>11720</v>
      </c>
      <c r="H6504" s="196" t="s">
        <v>11235</v>
      </c>
    </row>
    <row r="6505" spans="1:8" x14ac:dyDescent="0.15">
      <c r="A6505" s="196" t="s">
        <v>11229</v>
      </c>
      <c r="B6505" s="196" t="s">
        <v>11230</v>
      </c>
      <c r="C6505" s="196" t="s">
        <v>26098</v>
      </c>
      <c r="D6505" s="196" t="s">
        <v>26099</v>
      </c>
      <c r="E6505" s="196" t="s">
        <v>26099</v>
      </c>
      <c r="F6505" s="196" t="s">
        <v>11233</v>
      </c>
      <c r="G6505" s="196" t="s">
        <v>11720</v>
      </c>
      <c r="H6505" s="196" t="s">
        <v>11235</v>
      </c>
    </row>
    <row r="6506" spans="1:8" x14ac:dyDescent="0.15">
      <c r="A6506" s="196" t="s">
        <v>11229</v>
      </c>
      <c r="B6506" s="196" t="s">
        <v>11230</v>
      </c>
      <c r="C6506" s="196" t="s">
        <v>26100</v>
      </c>
      <c r="D6506" s="196" t="s">
        <v>26099</v>
      </c>
      <c r="E6506" s="196" t="s">
        <v>26099</v>
      </c>
      <c r="F6506" s="196" t="s">
        <v>11233</v>
      </c>
      <c r="G6506" s="196" t="s">
        <v>12378</v>
      </c>
      <c r="H6506" s="196" t="s">
        <v>11235</v>
      </c>
    </row>
    <row r="6507" spans="1:8" x14ac:dyDescent="0.15">
      <c r="A6507" s="196" t="s">
        <v>11229</v>
      </c>
      <c r="B6507" s="196" t="s">
        <v>11230</v>
      </c>
      <c r="C6507" s="196" t="s">
        <v>26101</v>
      </c>
      <c r="D6507" s="196" t="s">
        <v>26102</v>
      </c>
      <c r="E6507" s="196" t="s">
        <v>26102</v>
      </c>
      <c r="F6507" s="196" t="s">
        <v>11233</v>
      </c>
      <c r="G6507" s="196" t="s">
        <v>11720</v>
      </c>
      <c r="H6507" s="196" t="s">
        <v>11235</v>
      </c>
    </row>
    <row r="6508" spans="1:8" x14ac:dyDescent="0.15">
      <c r="A6508" s="196" t="s">
        <v>11229</v>
      </c>
      <c r="B6508" s="196" t="s">
        <v>11230</v>
      </c>
      <c r="C6508" s="196" t="s">
        <v>26103</v>
      </c>
      <c r="D6508" s="196" t="s">
        <v>26104</v>
      </c>
      <c r="E6508" s="196" t="s">
        <v>26104</v>
      </c>
      <c r="F6508" s="196" t="s">
        <v>11233</v>
      </c>
      <c r="G6508" s="196" t="s">
        <v>11720</v>
      </c>
      <c r="H6508" s="196" t="s">
        <v>11235</v>
      </c>
    </row>
    <row r="6509" spans="1:8" x14ac:dyDescent="0.15">
      <c r="A6509" s="196" t="s">
        <v>11229</v>
      </c>
      <c r="B6509" s="196" t="s">
        <v>11230</v>
      </c>
      <c r="C6509" s="196" t="s">
        <v>26105</v>
      </c>
      <c r="D6509" s="196" t="s">
        <v>26106</v>
      </c>
      <c r="E6509" s="196" t="s">
        <v>26106</v>
      </c>
      <c r="F6509" s="196" t="s">
        <v>11233</v>
      </c>
      <c r="G6509" s="196" t="s">
        <v>11720</v>
      </c>
      <c r="H6509" s="196" t="s">
        <v>11235</v>
      </c>
    </row>
    <row r="6510" spans="1:8" x14ac:dyDescent="0.15">
      <c r="A6510" s="196" t="s">
        <v>11229</v>
      </c>
      <c r="B6510" s="196" t="s">
        <v>11230</v>
      </c>
      <c r="C6510" s="196" t="s">
        <v>26107</v>
      </c>
      <c r="D6510" s="196" t="s">
        <v>26108</v>
      </c>
      <c r="E6510" s="196" t="s">
        <v>26108</v>
      </c>
      <c r="F6510" s="196" t="s">
        <v>11233</v>
      </c>
      <c r="G6510" s="196" t="s">
        <v>11720</v>
      </c>
      <c r="H6510" s="196" t="s">
        <v>11235</v>
      </c>
    </row>
    <row r="6511" spans="1:8" x14ac:dyDescent="0.15">
      <c r="A6511" s="196" t="s">
        <v>11229</v>
      </c>
      <c r="B6511" s="196" t="s">
        <v>11230</v>
      </c>
      <c r="C6511" s="196" t="s">
        <v>26109</v>
      </c>
      <c r="D6511" s="196" t="s">
        <v>26110</v>
      </c>
      <c r="E6511" s="196" t="s">
        <v>26110</v>
      </c>
      <c r="F6511" s="196" t="s">
        <v>11233</v>
      </c>
      <c r="G6511" s="196" t="s">
        <v>11720</v>
      </c>
      <c r="H6511" s="196" t="s">
        <v>11235</v>
      </c>
    </row>
    <row r="6512" spans="1:8" x14ac:dyDescent="0.15">
      <c r="A6512" s="196" t="s">
        <v>11229</v>
      </c>
      <c r="B6512" s="196" t="s">
        <v>11230</v>
      </c>
      <c r="C6512" s="196" t="s">
        <v>26111</v>
      </c>
      <c r="D6512" s="196" t="s">
        <v>26112</v>
      </c>
      <c r="E6512" s="196" t="s">
        <v>26112</v>
      </c>
      <c r="F6512" s="196" t="s">
        <v>11233</v>
      </c>
      <c r="G6512" s="196" t="s">
        <v>11720</v>
      </c>
      <c r="H6512" s="196" t="s">
        <v>11235</v>
      </c>
    </row>
    <row r="6513" spans="1:8" x14ac:dyDescent="0.15">
      <c r="A6513" s="196" t="s">
        <v>11229</v>
      </c>
      <c r="B6513" s="196" t="s">
        <v>11230</v>
      </c>
      <c r="C6513" s="196" t="s">
        <v>26113</v>
      </c>
      <c r="D6513" s="196" t="s">
        <v>26114</v>
      </c>
      <c r="E6513" s="196" t="s">
        <v>26114</v>
      </c>
      <c r="F6513" s="196" t="s">
        <v>11233</v>
      </c>
      <c r="G6513" s="196" t="s">
        <v>11720</v>
      </c>
      <c r="H6513" s="196" t="s">
        <v>11235</v>
      </c>
    </row>
    <row r="6514" spans="1:8" x14ac:dyDescent="0.15">
      <c r="A6514" s="196" t="s">
        <v>11229</v>
      </c>
      <c r="B6514" s="196" t="s">
        <v>11230</v>
      </c>
      <c r="C6514" s="196" t="s">
        <v>26115</v>
      </c>
      <c r="D6514" s="196" t="s">
        <v>26116</v>
      </c>
      <c r="E6514" s="196" t="s">
        <v>26116</v>
      </c>
      <c r="F6514" s="196" t="s">
        <v>11233</v>
      </c>
      <c r="G6514" s="196" t="s">
        <v>11720</v>
      </c>
      <c r="H6514" s="196" t="s">
        <v>11235</v>
      </c>
    </row>
    <row r="6515" spans="1:8" x14ac:dyDescent="0.15">
      <c r="A6515" s="196" t="s">
        <v>11229</v>
      </c>
      <c r="B6515" s="196" t="s">
        <v>11230</v>
      </c>
      <c r="C6515" s="196" t="s">
        <v>26117</v>
      </c>
      <c r="D6515" s="196" t="s">
        <v>26118</v>
      </c>
      <c r="E6515" s="196" t="s">
        <v>26118</v>
      </c>
      <c r="F6515" s="196" t="s">
        <v>11233</v>
      </c>
      <c r="G6515" s="196" t="s">
        <v>11720</v>
      </c>
      <c r="H6515" s="196" t="s">
        <v>11235</v>
      </c>
    </row>
    <row r="6516" spans="1:8" x14ac:dyDescent="0.15">
      <c r="A6516" s="196" t="s">
        <v>11229</v>
      </c>
      <c r="B6516" s="196" t="s">
        <v>11230</v>
      </c>
      <c r="C6516" s="196" t="s">
        <v>26119</v>
      </c>
      <c r="D6516" s="196" t="s">
        <v>26120</v>
      </c>
      <c r="E6516" s="196" t="s">
        <v>26120</v>
      </c>
      <c r="F6516" s="196" t="s">
        <v>11233</v>
      </c>
      <c r="G6516" s="196" t="s">
        <v>12378</v>
      </c>
      <c r="H6516" s="196" t="s">
        <v>11235</v>
      </c>
    </row>
    <row r="6517" spans="1:8" x14ac:dyDescent="0.15">
      <c r="A6517" s="196" t="s">
        <v>11229</v>
      </c>
      <c r="B6517" s="196" t="s">
        <v>11230</v>
      </c>
      <c r="C6517" s="196" t="s">
        <v>26121</v>
      </c>
      <c r="D6517" s="196" t="s">
        <v>26122</v>
      </c>
      <c r="E6517" s="196" t="s">
        <v>26122</v>
      </c>
      <c r="F6517" s="196" t="s">
        <v>11233</v>
      </c>
      <c r="G6517" s="196" t="s">
        <v>11720</v>
      </c>
      <c r="H6517" s="196" t="s">
        <v>11235</v>
      </c>
    </row>
    <row r="6518" spans="1:8" x14ac:dyDescent="0.15">
      <c r="A6518" s="196" t="s">
        <v>11229</v>
      </c>
      <c r="B6518" s="196" t="s">
        <v>11230</v>
      </c>
      <c r="C6518" s="196" t="s">
        <v>26123</v>
      </c>
      <c r="D6518" s="196" t="s">
        <v>26124</v>
      </c>
      <c r="E6518" s="196" t="s">
        <v>26125</v>
      </c>
      <c r="F6518" s="196" t="s">
        <v>11268</v>
      </c>
      <c r="G6518" s="196" t="s">
        <v>12378</v>
      </c>
      <c r="H6518" s="196" t="s">
        <v>11235</v>
      </c>
    </row>
    <row r="6519" spans="1:8" x14ac:dyDescent="0.15">
      <c r="A6519" s="196" t="s">
        <v>11229</v>
      </c>
      <c r="B6519" s="196" t="s">
        <v>11230</v>
      </c>
      <c r="C6519" s="196" t="s">
        <v>26126</v>
      </c>
      <c r="D6519" s="196" t="s">
        <v>26127</v>
      </c>
      <c r="E6519" s="196" t="s">
        <v>26127</v>
      </c>
      <c r="F6519" s="196" t="s">
        <v>11233</v>
      </c>
      <c r="G6519" s="196" t="s">
        <v>12378</v>
      </c>
      <c r="H6519" s="196" t="s">
        <v>11235</v>
      </c>
    </row>
    <row r="6520" spans="1:8" x14ac:dyDescent="0.15">
      <c r="A6520" s="196" t="s">
        <v>11229</v>
      </c>
      <c r="B6520" s="196" t="s">
        <v>11230</v>
      </c>
      <c r="C6520" s="196" t="s">
        <v>26128</v>
      </c>
      <c r="D6520" s="196" t="s">
        <v>26129</v>
      </c>
      <c r="E6520" s="196" t="s">
        <v>26129</v>
      </c>
      <c r="F6520" s="196" t="s">
        <v>11233</v>
      </c>
      <c r="G6520" s="196" t="s">
        <v>12378</v>
      </c>
      <c r="H6520" s="196" t="s">
        <v>11235</v>
      </c>
    </row>
    <row r="6521" spans="1:8" x14ac:dyDescent="0.15">
      <c r="A6521" s="196" t="s">
        <v>11229</v>
      </c>
      <c r="B6521" s="196" t="s">
        <v>11230</v>
      </c>
      <c r="C6521" s="196" t="s">
        <v>26130</v>
      </c>
      <c r="D6521" s="196" t="s">
        <v>26131</v>
      </c>
      <c r="E6521" s="196" t="s">
        <v>26131</v>
      </c>
      <c r="F6521" s="196" t="s">
        <v>11233</v>
      </c>
      <c r="G6521" s="196" t="s">
        <v>12378</v>
      </c>
      <c r="H6521" s="196" t="s">
        <v>11235</v>
      </c>
    </row>
    <row r="6522" spans="1:8" x14ac:dyDescent="0.15">
      <c r="A6522" s="196" t="s">
        <v>11229</v>
      </c>
      <c r="B6522" s="196" t="s">
        <v>11230</v>
      </c>
      <c r="C6522" s="196" t="s">
        <v>26132</v>
      </c>
      <c r="D6522" s="196" t="s">
        <v>26133</v>
      </c>
      <c r="E6522" s="196" t="s">
        <v>26133</v>
      </c>
      <c r="F6522" s="196" t="s">
        <v>11233</v>
      </c>
      <c r="G6522" s="196" t="s">
        <v>12378</v>
      </c>
      <c r="H6522" s="196" t="s">
        <v>11235</v>
      </c>
    </row>
    <row r="6523" spans="1:8" x14ac:dyDescent="0.15">
      <c r="A6523" s="196" t="s">
        <v>11229</v>
      </c>
      <c r="B6523" s="196" t="s">
        <v>11230</v>
      </c>
      <c r="C6523" s="196" t="s">
        <v>26134</v>
      </c>
      <c r="D6523" s="196" t="s">
        <v>26135</v>
      </c>
      <c r="E6523" s="196" t="s">
        <v>26136</v>
      </c>
      <c r="F6523" s="196" t="s">
        <v>11241</v>
      </c>
      <c r="G6523" s="196" t="s">
        <v>12378</v>
      </c>
      <c r="H6523" s="196" t="s">
        <v>11235</v>
      </c>
    </row>
    <row r="6524" spans="1:8" x14ac:dyDescent="0.15">
      <c r="A6524" s="196" t="s">
        <v>11229</v>
      </c>
      <c r="B6524" s="196" t="s">
        <v>11230</v>
      </c>
      <c r="C6524" s="196" t="s">
        <v>26137</v>
      </c>
      <c r="D6524" s="196" t="s">
        <v>26138</v>
      </c>
      <c r="E6524" s="196" t="s">
        <v>26138</v>
      </c>
      <c r="F6524" s="196" t="s">
        <v>11233</v>
      </c>
      <c r="G6524" s="196" t="s">
        <v>12378</v>
      </c>
      <c r="H6524" s="196" t="s">
        <v>11235</v>
      </c>
    </row>
    <row r="6525" spans="1:8" x14ac:dyDescent="0.15">
      <c r="A6525" s="196" t="s">
        <v>11229</v>
      </c>
      <c r="B6525" s="196" t="s">
        <v>11230</v>
      </c>
      <c r="C6525" s="196" t="s">
        <v>26139</v>
      </c>
      <c r="D6525" s="196" t="s">
        <v>26140</v>
      </c>
      <c r="E6525" s="196" t="s">
        <v>26140</v>
      </c>
      <c r="F6525" s="196" t="s">
        <v>11233</v>
      </c>
      <c r="G6525" s="196" t="s">
        <v>12378</v>
      </c>
      <c r="H6525" s="196" t="s">
        <v>11235</v>
      </c>
    </row>
    <row r="6526" spans="1:8" x14ac:dyDescent="0.15">
      <c r="A6526" s="196" t="s">
        <v>11229</v>
      </c>
      <c r="B6526" s="196" t="s">
        <v>11230</v>
      </c>
      <c r="C6526" s="196" t="s">
        <v>26141</v>
      </c>
      <c r="D6526" s="196" t="s">
        <v>26142</v>
      </c>
      <c r="E6526" s="196" t="s">
        <v>26142</v>
      </c>
      <c r="F6526" s="196" t="s">
        <v>11233</v>
      </c>
      <c r="G6526" s="196" t="s">
        <v>12378</v>
      </c>
      <c r="H6526" s="196" t="s">
        <v>11235</v>
      </c>
    </row>
    <row r="6527" spans="1:8" x14ac:dyDescent="0.15">
      <c r="A6527" s="196" t="s">
        <v>11229</v>
      </c>
      <c r="B6527" s="196" t="s">
        <v>11230</v>
      </c>
      <c r="C6527" s="196" t="s">
        <v>26143</v>
      </c>
      <c r="D6527" s="196" t="s">
        <v>26144</v>
      </c>
      <c r="E6527" s="196" t="s">
        <v>26144</v>
      </c>
      <c r="F6527" s="196" t="s">
        <v>11233</v>
      </c>
      <c r="G6527" s="196" t="s">
        <v>12378</v>
      </c>
      <c r="H6527" s="196" t="s">
        <v>11235</v>
      </c>
    </row>
    <row r="6528" spans="1:8" x14ac:dyDescent="0.15">
      <c r="A6528" s="196" t="s">
        <v>11229</v>
      </c>
      <c r="B6528" s="196" t="s">
        <v>11230</v>
      </c>
      <c r="C6528" s="196" t="s">
        <v>26145</v>
      </c>
      <c r="D6528" s="196" t="s">
        <v>26144</v>
      </c>
      <c r="E6528" s="196" t="s">
        <v>26146</v>
      </c>
      <c r="F6528" s="196" t="s">
        <v>11241</v>
      </c>
      <c r="G6528" s="196" t="s">
        <v>11720</v>
      </c>
      <c r="H6528" s="196" t="s">
        <v>11235</v>
      </c>
    </row>
    <row r="6529" spans="1:8" x14ac:dyDescent="0.15">
      <c r="A6529" s="196" t="s">
        <v>11229</v>
      </c>
      <c r="B6529" s="196" t="s">
        <v>11230</v>
      </c>
      <c r="C6529" s="196" t="s">
        <v>26147</v>
      </c>
      <c r="D6529" s="196" t="s">
        <v>26146</v>
      </c>
      <c r="E6529" s="196" t="s">
        <v>26148</v>
      </c>
      <c r="F6529" s="196" t="s">
        <v>13023</v>
      </c>
      <c r="G6529" s="196" t="s">
        <v>12378</v>
      </c>
      <c r="H6529" s="196" t="s">
        <v>11235</v>
      </c>
    </row>
    <row r="6530" spans="1:8" x14ac:dyDescent="0.15">
      <c r="A6530" s="196" t="s">
        <v>11229</v>
      </c>
      <c r="B6530" s="196" t="s">
        <v>11230</v>
      </c>
      <c r="C6530" s="196" t="s">
        <v>26149</v>
      </c>
      <c r="D6530" s="196" t="s">
        <v>26148</v>
      </c>
      <c r="E6530" s="196" t="s">
        <v>26150</v>
      </c>
      <c r="F6530" s="196" t="s">
        <v>13023</v>
      </c>
      <c r="G6530" s="196" t="s">
        <v>12378</v>
      </c>
      <c r="H6530" s="196" t="s">
        <v>11235</v>
      </c>
    </row>
    <row r="6531" spans="1:8" x14ac:dyDescent="0.15">
      <c r="A6531" s="196" t="s">
        <v>11229</v>
      </c>
      <c r="B6531" s="196" t="s">
        <v>11230</v>
      </c>
      <c r="C6531" s="196" t="s">
        <v>26151</v>
      </c>
      <c r="D6531" s="196" t="s">
        <v>26152</v>
      </c>
      <c r="E6531" s="196" t="s">
        <v>26152</v>
      </c>
      <c r="F6531" s="196" t="s">
        <v>11233</v>
      </c>
      <c r="G6531" s="196" t="s">
        <v>12378</v>
      </c>
      <c r="H6531" s="196" t="s">
        <v>11235</v>
      </c>
    </row>
    <row r="6532" spans="1:8" x14ac:dyDescent="0.15">
      <c r="A6532" s="196" t="s">
        <v>11229</v>
      </c>
      <c r="B6532" s="196" t="s">
        <v>11230</v>
      </c>
      <c r="C6532" s="196" t="s">
        <v>26153</v>
      </c>
      <c r="D6532" s="196" t="s">
        <v>26154</v>
      </c>
      <c r="E6532" s="196" t="s">
        <v>26155</v>
      </c>
      <c r="F6532" s="196" t="s">
        <v>13023</v>
      </c>
      <c r="G6532" s="196" t="s">
        <v>12378</v>
      </c>
      <c r="H6532" s="196" t="s">
        <v>11235</v>
      </c>
    </row>
    <row r="6533" spans="1:8" x14ac:dyDescent="0.15">
      <c r="A6533" s="196" t="s">
        <v>11229</v>
      </c>
      <c r="B6533" s="196" t="s">
        <v>11230</v>
      </c>
      <c r="C6533" s="196" t="s">
        <v>26156</v>
      </c>
      <c r="D6533" s="196" t="s">
        <v>26155</v>
      </c>
      <c r="E6533" s="196" t="s">
        <v>26157</v>
      </c>
      <c r="F6533" s="196" t="s">
        <v>11268</v>
      </c>
      <c r="G6533" s="196" t="s">
        <v>12378</v>
      </c>
      <c r="H6533" s="196" t="s">
        <v>11235</v>
      </c>
    </row>
    <row r="6534" spans="1:8" x14ac:dyDescent="0.15">
      <c r="A6534" s="196" t="s">
        <v>11229</v>
      </c>
      <c r="B6534" s="196" t="s">
        <v>11230</v>
      </c>
      <c r="C6534" s="196" t="s">
        <v>26158</v>
      </c>
      <c r="D6534" s="196" t="s">
        <v>26157</v>
      </c>
      <c r="E6534" s="196" t="s">
        <v>26159</v>
      </c>
      <c r="F6534" s="196" t="s">
        <v>11241</v>
      </c>
      <c r="G6534" s="196" t="s">
        <v>12378</v>
      </c>
      <c r="H6534" s="196" t="s">
        <v>11235</v>
      </c>
    </row>
    <row r="6535" spans="1:8" x14ac:dyDescent="0.15">
      <c r="A6535" s="196" t="s">
        <v>11229</v>
      </c>
      <c r="B6535" s="196" t="s">
        <v>11230</v>
      </c>
      <c r="C6535" s="196" t="s">
        <v>26160</v>
      </c>
      <c r="D6535" s="196" t="s">
        <v>26159</v>
      </c>
      <c r="E6535" s="196" t="s">
        <v>26161</v>
      </c>
      <c r="F6535" s="196" t="s">
        <v>11241</v>
      </c>
      <c r="G6535" s="196" t="s">
        <v>12378</v>
      </c>
      <c r="H6535" s="196" t="s">
        <v>11235</v>
      </c>
    </row>
    <row r="6536" spans="1:8" x14ac:dyDescent="0.15">
      <c r="A6536" s="196" t="s">
        <v>11229</v>
      </c>
      <c r="B6536" s="196" t="s">
        <v>11230</v>
      </c>
      <c r="C6536" s="196" t="s">
        <v>26162</v>
      </c>
      <c r="D6536" s="196" t="s">
        <v>26161</v>
      </c>
      <c r="E6536" s="196" t="s">
        <v>26163</v>
      </c>
      <c r="F6536" s="196" t="s">
        <v>11268</v>
      </c>
      <c r="G6536" s="196" t="s">
        <v>12378</v>
      </c>
      <c r="H6536" s="196" t="s">
        <v>11235</v>
      </c>
    </row>
    <row r="6537" spans="1:8" x14ac:dyDescent="0.15">
      <c r="A6537" s="196" t="s">
        <v>11229</v>
      </c>
      <c r="B6537" s="196" t="s">
        <v>11230</v>
      </c>
      <c r="C6537" s="196" t="s">
        <v>26164</v>
      </c>
      <c r="D6537" s="196" t="s">
        <v>26163</v>
      </c>
      <c r="E6537" s="196" t="s">
        <v>26165</v>
      </c>
      <c r="F6537" s="196" t="s">
        <v>11241</v>
      </c>
      <c r="G6537" s="196" t="s">
        <v>12378</v>
      </c>
      <c r="H6537" s="196" t="s">
        <v>11235</v>
      </c>
    </row>
    <row r="6538" spans="1:8" x14ac:dyDescent="0.15">
      <c r="A6538" s="196" t="s">
        <v>11229</v>
      </c>
      <c r="B6538" s="196" t="s">
        <v>11230</v>
      </c>
      <c r="C6538" s="196" t="s">
        <v>26166</v>
      </c>
      <c r="D6538" s="196" t="s">
        <v>26165</v>
      </c>
      <c r="E6538" s="196" t="s">
        <v>26167</v>
      </c>
      <c r="F6538" s="196" t="s">
        <v>11241</v>
      </c>
      <c r="G6538" s="196" t="s">
        <v>12378</v>
      </c>
      <c r="H6538" s="196" t="s">
        <v>11235</v>
      </c>
    </row>
    <row r="6539" spans="1:8" x14ac:dyDescent="0.15">
      <c r="A6539" s="196" t="s">
        <v>11229</v>
      </c>
      <c r="B6539" s="196" t="s">
        <v>11230</v>
      </c>
      <c r="C6539" s="196" t="s">
        <v>26168</v>
      </c>
      <c r="D6539" s="196" t="s">
        <v>26169</v>
      </c>
      <c r="E6539" s="196" t="s">
        <v>26169</v>
      </c>
      <c r="F6539" s="196" t="s">
        <v>11233</v>
      </c>
      <c r="G6539" s="196" t="s">
        <v>12378</v>
      </c>
      <c r="H6539" s="196" t="s">
        <v>11235</v>
      </c>
    </row>
    <row r="6540" spans="1:8" x14ac:dyDescent="0.15">
      <c r="A6540" s="196" t="s">
        <v>11229</v>
      </c>
      <c r="B6540" s="196" t="s">
        <v>11230</v>
      </c>
      <c r="C6540" s="196" t="s">
        <v>26170</v>
      </c>
      <c r="D6540" s="196" t="s">
        <v>26171</v>
      </c>
      <c r="E6540" s="196" t="s">
        <v>26172</v>
      </c>
      <c r="F6540" s="196" t="s">
        <v>11268</v>
      </c>
      <c r="G6540" s="196" t="s">
        <v>12378</v>
      </c>
      <c r="H6540" s="196" t="s">
        <v>11235</v>
      </c>
    </row>
    <row r="6541" spans="1:8" x14ac:dyDescent="0.15">
      <c r="A6541" s="196" t="s">
        <v>11229</v>
      </c>
      <c r="B6541" s="196" t="s">
        <v>11230</v>
      </c>
      <c r="C6541" s="196" t="s">
        <v>26173</v>
      </c>
      <c r="D6541" s="196" t="s">
        <v>26171</v>
      </c>
      <c r="E6541" s="196" t="s">
        <v>26171</v>
      </c>
      <c r="F6541" s="196" t="s">
        <v>11233</v>
      </c>
      <c r="G6541" s="196" t="s">
        <v>12378</v>
      </c>
      <c r="H6541" s="196" t="s">
        <v>11235</v>
      </c>
    </row>
    <row r="6542" spans="1:8" x14ac:dyDescent="0.15">
      <c r="A6542" s="196" t="s">
        <v>11229</v>
      </c>
      <c r="B6542" s="196" t="s">
        <v>11230</v>
      </c>
      <c r="C6542" s="196" t="s">
        <v>26174</v>
      </c>
      <c r="D6542" s="196" t="s">
        <v>26171</v>
      </c>
      <c r="E6542" s="196" t="s">
        <v>26172</v>
      </c>
      <c r="F6542" s="196" t="s">
        <v>11268</v>
      </c>
      <c r="G6542" s="196" t="s">
        <v>11720</v>
      </c>
      <c r="H6542" s="196" t="s">
        <v>11235</v>
      </c>
    </row>
    <row r="6543" spans="1:8" x14ac:dyDescent="0.15">
      <c r="A6543" s="196" t="s">
        <v>11229</v>
      </c>
      <c r="B6543" s="196" t="s">
        <v>11230</v>
      </c>
      <c r="C6543" s="196" t="s">
        <v>26175</v>
      </c>
      <c r="D6543" s="196" t="s">
        <v>26172</v>
      </c>
      <c r="E6543" s="196" t="s">
        <v>26176</v>
      </c>
      <c r="F6543" s="196" t="s">
        <v>13758</v>
      </c>
      <c r="G6543" s="196" t="s">
        <v>12378</v>
      </c>
      <c r="H6543" s="196" t="s">
        <v>11235</v>
      </c>
    </row>
    <row r="6544" spans="1:8" x14ac:dyDescent="0.15">
      <c r="A6544" s="196" t="s">
        <v>11229</v>
      </c>
      <c r="B6544" s="196" t="s">
        <v>11230</v>
      </c>
      <c r="C6544" s="196" t="s">
        <v>26177</v>
      </c>
      <c r="D6544" s="196" t="s">
        <v>26172</v>
      </c>
      <c r="E6544" s="196" t="s">
        <v>26178</v>
      </c>
      <c r="F6544" s="196" t="s">
        <v>11241</v>
      </c>
      <c r="G6544" s="196" t="s">
        <v>11720</v>
      </c>
      <c r="H6544" s="196" t="s">
        <v>11235</v>
      </c>
    </row>
    <row r="6545" spans="1:8" x14ac:dyDescent="0.15">
      <c r="A6545" s="196" t="s">
        <v>11229</v>
      </c>
      <c r="B6545" s="196" t="s">
        <v>11230</v>
      </c>
      <c r="C6545" s="196" t="s">
        <v>26179</v>
      </c>
      <c r="D6545" s="196" t="s">
        <v>26178</v>
      </c>
      <c r="E6545" s="196" t="s">
        <v>26180</v>
      </c>
      <c r="F6545" s="196" t="s">
        <v>13023</v>
      </c>
      <c r="G6545" s="196" t="s">
        <v>11720</v>
      </c>
      <c r="H6545" s="196" t="s">
        <v>11235</v>
      </c>
    </row>
    <row r="6546" spans="1:8" x14ac:dyDescent="0.15">
      <c r="A6546" s="196" t="s">
        <v>11229</v>
      </c>
      <c r="B6546" s="196" t="s">
        <v>11230</v>
      </c>
      <c r="C6546" s="196" t="s">
        <v>26181</v>
      </c>
      <c r="D6546" s="196" t="s">
        <v>26176</v>
      </c>
      <c r="E6546" s="196" t="s">
        <v>26180</v>
      </c>
      <c r="F6546" s="196" t="s">
        <v>11268</v>
      </c>
      <c r="G6546" s="196" t="s">
        <v>12378</v>
      </c>
      <c r="H6546" s="196" t="s">
        <v>11235</v>
      </c>
    </row>
    <row r="6547" spans="1:8" x14ac:dyDescent="0.15">
      <c r="A6547" s="196" t="s">
        <v>11229</v>
      </c>
      <c r="B6547" s="196" t="s">
        <v>11230</v>
      </c>
      <c r="C6547" s="196" t="s">
        <v>26182</v>
      </c>
      <c r="D6547" s="196" t="s">
        <v>26180</v>
      </c>
      <c r="E6547" s="196" t="s">
        <v>26183</v>
      </c>
      <c r="F6547" s="196" t="s">
        <v>13758</v>
      </c>
      <c r="G6547" s="196" t="s">
        <v>12378</v>
      </c>
      <c r="H6547" s="196" t="s">
        <v>11235</v>
      </c>
    </row>
    <row r="6548" spans="1:8" x14ac:dyDescent="0.15">
      <c r="A6548" s="196" t="s">
        <v>11229</v>
      </c>
      <c r="B6548" s="196" t="s">
        <v>11230</v>
      </c>
      <c r="C6548" s="196" t="s">
        <v>26184</v>
      </c>
      <c r="D6548" s="196" t="s">
        <v>26180</v>
      </c>
      <c r="E6548" s="196" t="s">
        <v>26185</v>
      </c>
      <c r="F6548" s="196" t="s">
        <v>11241</v>
      </c>
      <c r="G6548" s="196" t="s">
        <v>11720</v>
      </c>
      <c r="H6548" s="196" t="s">
        <v>11235</v>
      </c>
    </row>
    <row r="6549" spans="1:8" x14ac:dyDescent="0.15">
      <c r="A6549" s="196" t="s">
        <v>11229</v>
      </c>
      <c r="B6549" s="196" t="s">
        <v>11230</v>
      </c>
      <c r="C6549" s="196" t="s">
        <v>26186</v>
      </c>
      <c r="D6549" s="196" t="s">
        <v>26185</v>
      </c>
      <c r="E6549" s="196" t="s">
        <v>26187</v>
      </c>
      <c r="F6549" s="196" t="s">
        <v>13023</v>
      </c>
      <c r="G6549" s="196" t="s">
        <v>11720</v>
      </c>
      <c r="H6549" s="196" t="s">
        <v>11235</v>
      </c>
    </row>
    <row r="6550" spans="1:8" x14ac:dyDescent="0.15">
      <c r="A6550" s="196" t="s">
        <v>11229</v>
      </c>
      <c r="B6550" s="196" t="s">
        <v>11230</v>
      </c>
      <c r="C6550" s="196" t="s">
        <v>26188</v>
      </c>
      <c r="D6550" s="196" t="s">
        <v>26183</v>
      </c>
      <c r="E6550" s="196" t="s">
        <v>26187</v>
      </c>
      <c r="F6550" s="196" t="s">
        <v>11268</v>
      </c>
      <c r="G6550" s="196" t="s">
        <v>12378</v>
      </c>
      <c r="H6550" s="196" t="s">
        <v>11235</v>
      </c>
    </row>
    <row r="6551" spans="1:8" x14ac:dyDescent="0.15">
      <c r="A6551" s="196" t="s">
        <v>11229</v>
      </c>
      <c r="B6551" s="196" t="s">
        <v>11230</v>
      </c>
      <c r="C6551" s="196" t="s">
        <v>26189</v>
      </c>
      <c r="D6551" s="196" t="s">
        <v>26187</v>
      </c>
      <c r="E6551" s="196" t="s">
        <v>26190</v>
      </c>
      <c r="F6551" s="196" t="s">
        <v>13023</v>
      </c>
      <c r="G6551" s="196" t="s">
        <v>12378</v>
      </c>
      <c r="H6551" s="196" t="s">
        <v>11235</v>
      </c>
    </row>
    <row r="6552" spans="1:8" x14ac:dyDescent="0.15">
      <c r="A6552" s="196" t="s">
        <v>11229</v>
      </c>
      <c r="B6552" s="196" t="s">
        <v>11230</v>
      </c>
      <c r="C6552" s="196" t="s">
        <v>26191</v>
      </c>
      <c r="D6552" s="196" t="s">
        <v>26187</v>
      </c>
      <c r="E6552" s="196" t="s">
        <v>26192</v>
      </c>
      <c r="F6552" s="196" t="s">
        <v>11241</v>
      </c>
      <c r="G6552" s="196" t="s">
        <v>11720</v>
      </c>
      <c r="H6552" s="196" t="s">
        <v>11235</v>
      </c>
    </row>
    <row r="6553" spans="1:8" x14ac:dyDescent="0.15">
      <c r="A6553" s="196" t="s">
        <v>11229</v>
      </c>
      <c r="B6553" s="196" t="s">
        <v>11230</v>
      </c>
      <c r="C6553" s="196" t="s">
        <v>26193</v>
      </c>
      <c r="D6553" s="196" t="s">
        <v>26192</v>
      </c>
      <c r="E6553" s="196" t="s">
        <v>26190</v>
      </c>
      <c r="F6553" s="196" t="s">
        <v>11268</v>
      </c>
      <c r="G6553" s="196" t="s">
        <v>11720</v>
      </c>
      <c r="H6553" s="196" t="s">
        <v>11235</v>
      </c>
    </row>
    <row r="6554" spans="1:8" x14ac:dyDescent="0.15">
      <c r="A6554" s="196" t="s">
        <v>11229</v>
      </c>
      <c r="B6554" s="196" t="s">
        <v>11230</v>
      </c>
      <c r="C6554" s="196" t="s">
        <v>26194</v>
      </c>
      <c r="D6554" s="196" t="s">
        <v>26190</v>
      </c>
      <c r="E6554" s="196" t="s">
        <v>26195</v>
      </c>
      <c r="F6554" s="196" t="s">
        <v>13758</v>
      </c>
      <c r="G6554" s="196" t="s">
        <v>12378</v>
      </c>
      <c r="H6554" s="196" t="s">
        <v>11235</v>
      </c>
    </row>
    <row r="6555" spans="1:8" x14ac:dyDescent="0.15">
      <c r="A6555" s="196" t="s">
        <v>11229</v>
      </c>
      <c r="B6555" s="196" t="s">
        <v>11230</v>
      </c>
      <c r="C6555" s="196" t="s">
        <v>26196</v>
      </c>
      <c r="D6555" s="196" t="s">
        <v>26190</v>
      </c>
      <c r="E6555" s="196" t="s">
        <v>26197</v>
      </c>
      <c r="F6555" s="196" t="s">
        <v>11241</v>
      </c>
      <c r="G6555" s="196" t="s">
        <v>11720</v>
      </c>
      <c r="H6555" s="196" t="s">
        <v>11235</v>
      </c>
    </row>
    <row r="6556" spans="1:8" x14ac:dyDescent="0.15">
      <c r="A6556" s="196" t="s">
        <v>11229</v>
      </c>
      <c r="B6556" s="196" t="s">
        <v>11230</v>
      </c>
      <c r="C6556" s="196" t="s">
        <v>26198</v>
      </c>
      <c r="D6556" s="196" t="s">
        <v>26197</v>
      </c>
      <c r="E6556" s="196" t="s">
        <v>26195</v>
      </c>
      <c r="F6556" s="196" t="s">
        <v>11241</v>
      </c>
      <c r="G6556" s="196" t="s">
        <v>11720</v>
      </c>
      <c r="H6556" s="196" t="s">
        <v>11235</v>
      </c>
    </row>
    <row r="6557" spans="1:8" x14ac:dyDescent="0.15">
      <c r="A6557" s="196" t="s">
        <v>11229</v>
      </c>
      <c r="B6557" s="196" t="s">
        <v>11230</v>
      </c>
      <c r="C6557" s="196" t="s">
        <v>26199</v>
      </c>
      <c r="D6557" s="196" t="s">
        <v>26195</v>
      </c>
      <c r="E6557" s="196" t="s">
        <v>26200</v>
      </c>
      <c r="F6557" s="196" t="s">
        <v>11268</v>
      </c>
      <c r="G6557" s="196" t="s">
        <v>12378</v>
      </c>
      <c r="H6557" s="196" t="s">
        <v>11235</v>
      </c>
    </row>
    <row r="6558" spans="1:8" x14ac:dyDescent="0.15">
      <c r="A6558" s="196" t="s">
        <v>11229</v>
      </c>
      <c r="B6558" s="196" t="s">
        <v>11230</v>
      </c>
      <c r="C6558" s="196" t="s">
        <v>26201</v>
      </c>
      <c r="D6558" s="196" t="s">
        <v>26195</v>
      </c>
      <c r="E6558" s="196" t="s">
        <v>26200</v>
      </c>
      <c r="F6558" s="196" t="s">
        <v>11268</v>
      </c>
      <c r="G6558" s="196" t="s">
        <v>11720</v>
      </c>
      <c r="H6558" s="196" t="s">
        <v>11235</v>
      </c>
    </row>
    <row r="6559" spans="1:8" x14ac:dyDescent="0.15">
      <c r="A6559" s="196" t="s">
        <v>11229</v>
      </c>
      <c r="B6559" s="196" t="s">
        <v>11230</v>
      </c>
      <c r="C6559" s="196" t="s">
        <v>26202</v>
      </c>
      <c r="D6559" s="196" t="s">
        <v>26200</v>
      </c>
      <c r="E6559" s="196" t="s">
        <v>26200</v>
      </c>
      <c r="F6559" s="196" t="s">
        <v>11233</v>
      </c>
      <c r="G6559" s="196" t="s">
        <v>11720</v>
      </c>
      <c r="H6559" s="196" t="s">
        <v>11235</v>
      </c>
    </row>
    <row r="6560" spans="1:8" x14ac:dyDescent="0.15">
      <c r="A6560" s="196" t="s">
        <v>11229</v>
      </c>
      <c r="B6560" s="196" t="s">
        <v>11230</v>
      </c>
      <c r="C6560" s="196" t="s">
        <v>26203</v>
      </c>
      <c r="D6560" s="196" t="s">
        <v>26204</v>
      </c>
      <c r="E6560" s="196" t="s">
        <v>26204</v>
      </c>
      <c r="F6560" s="196" t="s">
        <v>11233</v>
      </c>
      <c r="G6560" s="196" t="s">
        <v>12378</v>
      </c>
      <c r="H6560" s="196" t="s">
        <v>11235</v>
      </c>
    </row>
    <row r="6561" spans="1:8" x14ac:dyDescent="0.15">
      <c r="A6561" s="196" t="s">
        <v>11229</v>
      </c>
      <c r="B6561" s="196" t="s">
        <v>11230</v>
      </c>
      <c r="C6561" s="196" t="s">
        <v>26205</v>
      </c>
      <c r="D6561" s="196" t="s">
        <v>26206</v>
      </c>
      <c r="E6561" s="196" t="s">
        <v>26206</v>
      </c>
      <c r="F6561" s="196" t="s">
        <v>11233</v>
      </c>
      <c r="G6561" s="196" t="s">
        <v>12378</v>
      </c>
      <c r="H6561" s="196" t="s">
        <v>11235</v>
      </c>
    </row>
    <row r="6562" spans="1:8" x14ac:dyDescent="0.15">
      <c r="A6562" s="196" t="s">
        <v>11229</v>
      </c>
      <c r="B6562" s="196" t="s">
        <v>11230</v>
      </c>
      <c r="C6562" s="196" t="s">
        <v>26207</v>
      </c>
      <c r="D6562" s="196" t="s">
        <v>26208</v>
      </c>
      <c r="E6562" s="196" t="s">
        <v>26208</v>
      </c>
      <c r="F6562" s="196" t="s">
        <v>11233</v>
      </c>
      <c r="G6562" s="196" t="s">
        <v>12378</v>
      </c>
      <c r="H6562" s="196" t="s">
        <v>11235</v>
      </c>
    </row>
    <row r="6563" spans="1:8" x14ac:dyDescent="0.15">
      <c r="A6563" s="196" t="s">
        <v>11229</v>
      </c>
      <c r="B6563" s="196" t="s">
        <v>11230</v>
      </c>
      <c r="C6563" s="196" t="s">
        <v>26209</v>
      </c>
      <c r="D6563" s="196" t="s">
        <v>26210</v>
      </c>
      <c r="E6563" s="196" t="s">
        <v>26210</v>
      </c>
      <c r="F6563" s="196" t="s">
        <v>11233</v>
      </c>
      <c r="G6563" s="196" t="s">
        <v>12378</v>
      </c>
      <c r="H6563" s="196" t="s">
        <v>11235</v>
      </c>
    </row>
    <row r="6564" spans="1:8" x14ac:dyDescent="0.15">
      <c r="A6564" s="196" t="s">
        <v>11229</v>
      </c>
      <c r="B6564" s="196" t="s">
        <v>11230</v>
      </c>
      <c r="C6564" s="196" t="s">
        <v>26211</v>
      </c>
      <c r="D6564" s="196" t="s">
        <v>26212</v>
      </c>
      <c r="E6564" s="196" t="s">
        <v>26213</v>
      </c>
      <c r="F6564" s="196" t="s">
        <v>13758</v>
      </c>
      <c r="G6564" s="196" t="s">
        <v>12378</v>
      </c>
      <c r="H6564" s="196" t="s">
        <v>11235</v>
      </c>
    </row>
    <row r="6565" spans="1:8" x14ac:dyDescent="0.15">
      <c r="A6565" s="196" t="s">
        <v>11229</v>
      </c>
      <c r="B6565" s="196" t="s">
        <v>11230</v>
      </c>
      <c r="C6565" s="196" t="s">
        <v>26214</v>
      </c>
      <c r="D6565" s="196" t="s">
        <v>26213</v>
      </c>
      <c r="E6565" s="196" t="s">
        <v>26215</v>
      </c>
      <c r="F6565" s="196" t="s">
        <v>11268</v>
      </c>
      <c r="G6565" s="196" t="s">
        <v>12378</v>
      </c>
      <c r="H6565" s="196" t="s">
        <v>11235</v>
      </c>
    </row>
    <row r="6566" spans="1:8" x14ac:dyDescent="0.15">
      <c r="A6566" s="196" t="s">
        <v>11229</v>
      </c>
      <c r="B6566" s="196" t="s">
        <v>11230</v>
      </c>
      <c r="C6566" s="196" t="s">
        <v>26216</v>
      </c>
      <c r="D6566" s="196" t="s">
        <v>26217</v>
      </c>
      <c r="E6566" s="196" t="s">
        <v>26217</v>
      </c>
      <c r="F6566" s="196" t="s">
        <v>11233</v>
      </c>
      <c r="G6566" s="196" t="s">
        <v>11720</v>
      </c>
      <c r="H6566" s="196" t="s">
        <v>11235</v>
      </c>
    </row>
    <row r="6567" spans="1:8" x14ac:dyDescent="0.15">
      <c r="A6567" s="196" t="s">
        <v>11229</v>
      </c>
      <c r="B6567" s="196" t="s">
        <v>11230</v>
      </c>
      <c r="C6567" s="196" t="s">
        <v>26218</v>
      </c>
      <c r="D6567" s="196" t="s">
        <v>26219</v>
      </c>
      <c r="E6567" s="196" t="s">
        <v>26219</v>
      </c>
      <c r="F6567" s="196" t="s">
        <v>11233</v>
      </c>
      <c r="G6567" s="196" t="s">
        <v>12378</v>
      </c>
      <c r="H6567" s="196" t="s">
        <v>11235</v>
      </c>
    </row>
    <row r="6568" spans="1:8" x14ac:dyDescent="0.15">
      <c r="A6568" s="196" t="s">
        <v>11229</v>
      </c>
      <c r="B6568" s="196" t="s">
        <v>11230</v>
      </c>
      <c r="C6568" s="196" t="s">
        <v>26220</v>
      </c>
      <c r="D6568" s="196" t="s">
        <v>26221</v>
      </c>
      <c r="E6568" s="196" t="s">
        <v>26221</v>
      </c>
      <c r="F6568" s="196" t="s">
        <v>11233</v>
      </c>
      <c r="G6568" s="196" t="s">
        <v>12378</v>
      </c>
      <c r="H6568" s="196" t="s">
        <v>11235</v>
      </c>
    </row>
    <row r="6569" spans="1:8" x14ac:dyDescent="0.15">
      <c r="A6569" s="196" t="s">
        <v>11229</v>
      </c>
      <c r="B6569" s="196" t="s">
        <v>11230</v>
      </c>
      <c r="C6569" s="196" t="s">
        <v>26222</v>
      </c>
      <c r="D6569" s="196" t="s">
        <v>26223</v>
      </c>
      <c r="E6569" s="196" t="s">
        <v>26223</v>
      </c>
      <c r="F6569" s="196" t="s">
        <v>11233</v>
      </c>
      <c r="G6569" s="196" t="s">
        <v>12378</v>
      </c>
      <c r="H6569" s="196" t="s">
        <v>11235</v>
      </c>
    </row>
    <row r="6570" spans="1:8" x14ac:dyDescent="0.15">
      <c r="A6570" s="196" t="s">
        <v>11229</v>
      </c>
      <c r="B6570" s="196" t="s">
        <v>11230</v>
      </c>
      <c r="C6570" s="196" t="s">
        <v>26224</v>
      </c>
      <c r="D6570" s="196" t="s">
        <v>26225</v>
      </c>
      <c r="E6570" s="196" t="s">
        <v>26226</v>
      </c>
      <c r="F6570" s="196" t="s">
        <v>13023</v>
      </c>
      <c r="G6570" s="196" t="s">
        <v>11720</v>
      </c>
      <c r="H6570" s="196" t="s">
        <v>11235</v>
      </c>
    </row>
    <row r="6571" spans="1:8" x14ac:dyDescent="0.15">
      <c r="A6571" s="196" t="s">
        <v>11229</v>
      </c>
      <c r="B6571" s="196" t="s">
        <v>11230</v>
      </c>
      <c r="C6571" s="196" t="s">
        <v>26227</v>
      </c>
      <c r="D6571" s="196" t="s">
        <v>26228</v>
      </c>
      <c r="E6571" s="196" t="s">
        <v>26228</v>
      </c>
      <c r="F6571" s="196" t="s">
        <v>11233</v>
      </c>
      <c r="G6571" s="196" t="s">
        <v>12378</v>
      </c>
      <c r="H6571" s="196" t="s">
        <v>11235</v>
      </c>
    </row>
    <row r="6572" spans="1:8" x14ac:dyDescent="0.15">
      <c r="A6572" s="196" t="s">
        <v>11229</v>
      </c>
      <c r="B6572" s="196" t="s">
        <v>11230</v>
      </c>
      <c r="C6572" s="196" t="s">
        <v>26229</v>
      </c>
      <c r="D6572" s="196" t="s">
        <v>26230</v>
      </c>
      <c r="E6572" s="196" t="s">
        <v>26230</v>
      </c>
      <c r="F6572" s="196" t="s">
        <v>11233</v>
      </c>
      <c r="G6572" s="196" t="s">
        <v>12378</v>
      </c>
      <c r="H6572" s="196" t="s">
        <v>11235</v>
      </c>
    </row>
    <row r="6573" spans="1:8" x14ac:dyDescent="0.15">
      <c r="A6573" s="196" t="s">
        <v>11229</v>
      </c>
      <c r="B6573" s="196" t="s">
        <v>11230</v>
      </c>
      <c r="C6573" s="196" t="s">
        <v>26231</v>
      </c>
      <c r="D6573" s="196" t="s">
        <v>26232</v>
      </c>
      <c r="E6573" s="196" t="s">
        <v>26232</v>
      </c>
      <c r="F6573" s="196" t="s">
        <v>11233</v>
      </c>
      <c r="G6573" s="196" t="s">
        <v>12378</v>
      </c>
      <c r="H6573" s="196" t="s">
        <v>11235</v>
      </c>
    </row>
    <row r="6574" spans="1:8" x14ac:dyDescent="0.15">
      <c r="A6574" s="196" t="s">
        <v>11229</v>
      </c>
      <c r="B6574" s="196" t="s">
        <v>11230</v>
      </c>
      <c r="C6574" s="196" t="s">
        <v>26233</v>
      </c>
      <c r="D6574" s="196" t="s">
        <v>26234</v>
      </c>
      <c r="E6574" s="196" t="s">
        <v>26234</v>
      </c>
      <c r="F6574" s="196" t="s">
        <v>11233</v>
      </c>
      <c r="G6574" s="196" t="s">
        <v>11720</v>
      </c>
      <c r="H6574" s="196" t="s">
        <v>11235</v>
      </c>
    </row>
    <row r="6575" spans="1:8" x14ac:dyDescent="0.15">
      <c r="A6575" s="196" t="s">
        <v>11229</v>
      </c>
      <c r="B6575" s="196" t="s">
        <v>11230</v>
      </c>
      <c r="C6575" s="196" t="s">
        <v>26235</v>
      </c>
      <c r="D6575" s="196" t="s">
        <v>26236</v>
      </c>
      <c r="E6575" s="196" t="s">
        <v>26237</v>
      </c>
      <c r="F6575" s="196" t="s">
        <v>11268</v>
      </c>
      <c r="G6575" s="196" t="s">
        <v>12378</v>
      </c>
      <c r="H6575" s="196" t="s">
        <v>11235</v>
      </c>
    </row>
    <row r="6576" spans="1:8" x14ac:dyDescent="0.15">
      <c r="A6576" s="196" t="s">
        <v>11229</v>
      </c>
      <c r="B6576" s="196" t="s">
        <v>11230</v>
      </c>
      <c r="C6576" s="196" t="s">
        <v>26238</v>
      </c>
      <c r="D6576" s="196" t="s">
        <v>26239</v>
      </c>
      <c r="E6576" s="196" t="s">
        <v>26240</v>
      </c>
      <c r="F6576" s="196" t="s">
        <v>13023</v>
      </c>
      <c r="G6576" s="196" t="s">
        <v>11720</v>
      </c>
      <c r="H6576" s="196" t="s">
        <v>11235</v>
      </c>
    </row>
    <row r="6577" spans="1:8" x14ac:dyDescent="0.15">
      <c r="A6577" s="196" t="s">
        <v>11229</v>
      </c>
      <c r="B6577" s="196" t="s">
        <v>11230</v>
      </c>
      <c r="C6577" s="196" t="s">
        <v>26241</v>
      </c>
      <c r="D6577" s="196" t="s">
        <v>26242</v>
      </c>
      <c r="E6577" s="196" t="s">
        <v>26242</v>
      </c>
      <c r="F6577" s="196" t="s">
        <v>11233</v>
      </c>
      <c r="G6577" s="196" t="s">
        <v>12378</v>
      </c>
      <c r="H6577" s="196" t="s">
        <v>11235</v>
      </c>
    </row>
    <row r="6578" spans="1:8" x14ac:dyDescent="0.15">
      <c r="A6578" s="196" t="s">
        <v>11229</v>
      </c>
      <c r="B6578" s="196" t="s">
        <v>11230</v>
      </c>
      <c r="C6578" s="196" t="s">
        <v>26243</v>
      </c>
      <c r="D6578" s="196" t="s">
        <v>26244</v>
      </c>
      <c r="E6578" s="196" t="s">
        <v>26244</v>
      </c>
      <c r="F6578" s="196" t="s">
        <v>11233</v>
      </c>
      <c r="G6578" s="196" t="s">
        <v>12378</v>
      </c>
      <c r="H6578" s="196" t="s">
        <v>11235</v>
      </c>
    </row>
    <row r="6579" spans="1:8" x14ac:dyDescent="0.15">
      <c r="A6579" s="196" t="s">
        <v>11229</v>
      </c>
      <c r="B6579" s="196" t="s">
        <v>11230</v>
      </c>
      <c r="C6579" s="196" t="s">
        <v>26245</v>
      </c>
      <c r="D6579" s="196" t="s">
        <v>26246</v>
      </c>
      <c r="E6579" s="196" t="s">
        <v>26246</v>
      </c>
      <c r="F6579" s="196" t="s">
        <v>11233</v>
      </c>
      <c r="G6579" s="196" t="s">
        <v>11720</v>
      </c>
      <c r="H6579" s="196" t="s">
        <v>11235</v>
      </c>
    </row>
    <row r="6580" spans="1:8" x14ac:dyDescent="0.15">
      <c r="A6580" s="196" t="s">
        <v>11229</v>
      </c>
      <c r="B6580" s="196" t="s">
        <v>11230</v>
      </c>
      <c r="C6580" s="196" t="s">
        <v>26247</v>
      </c>
      <c r="D6580" s="196" t="s">
        <v>26248</v>
      </c>
      <c r="E6580" s="196" t="s">
        <v>26248</v>
      </c>
      <c r="F6580" s="196" t="s">
        <v>11233</v>
      </c>
      <c r="G6580" s="196" t="s">
        <v>11720</v>
      </c>
      <c r="H6580" s="196" t="s">
        <v>11235</v>
      </c>
    </row>
    <row r="6581" spans="1:8" x14ac:dyDescent="0.15">
      <c r="A6581" s="196" t="s">
        <v>11229</v>
      </c>
      <c r="B6581" s="196" t="s">
        <v>11230</v>
      </c>
      <c r="C6581" s="196" t="s">
        <v>26249</v>
      </c>
      <c r="D6581" s="196" t="s">
        <v>26250</v>
      </c>
      <c r="E6581" s="196" t="s">
        <v>26250</v>
      </c>
      <c r="F6581" s="196" t="s">
        <v>11233</v>
      </c>
      <c r="G6581" s="196" t="s">
        <v>11720</v>
      </c>
      <c r="H6581" s="196" t="s">
        <v>11235</v>
      </c>
    </row>
    <row r="6582" spans="1:8" x14ac:dyDescent="0.15">
      <c r="A6582" s="196" t="s">
        <v>11229</v>
      </c>
      <c r="B6582" s="196" t="s">
        <v>11230</v>
      </c>
      <c r="C6582" s="196" t="s">
        <v>26251</v>
      </c>
      <c r="D6582" s="196" t="s">
        <v>26252</v>
      </c>
      <c r="E6582" s="196" t="s">
        <v>26253</v>
      </c>
      <c r="F6582" s="196" t="s">
        <v>11241</v>
      </c>
      <c r="G6582" s="196" t="s">
        <v>11720</v>
      </c>
      <c r="H6582" s="196" t="s">
        <v>11235</v>
      </c>
    </row>
    <row r="6583" spans="1:8" x14ac:dyDescent="0.15">
      <c r="A6583" s="196" t="s">
        <v>11229</v>
      </c>
      <c r="B6583" s="196" t="s">
        <v>11230</v>
      </c>
      <c r="C6583" s="196" t="s">
        <v>26254</v>
      </c>
      <c r="D6583" s="196" t="s">
        <v>26253</v>
      </c>
      <c r="E6583" s="196" t="s">
        <v>26255</v>
      </c>
      <c r="F6583" s="196" t="s">
        <v>13023</v>
      </c>
      <c r="G6583" s="196" t="s">
        <v>11720</v>
      </c>
      <c r="H6583" s="196" t="s">
        <v>11235</v>
      </c>
    </row>
    <row r="6584" spans="1:8" x14ac:dyDescent="0.15">
      <c r="A6584" s="196" t="s">
        <v>11229</v>
      </c>
      <c r="B6584" s="196" t="s">
        <v>11230</v>
      </c>
      <c r="C6584" s="196" t="s">
        <v>26256</v>
      </c>
      <c r="D6584" s="196" t="s">
        <v>26253</v>
      </c>
      <c r="E6584" s="196" t="s">
        <v>26253</v>
      </c>
      <c r="F6584" s="196" t="s">
        <v>11233</v>
      </c>
      <c r="G6584" s="196" t="s">
        <v>12378</v>
      </c>
      <c r="H6584" s="196" t="s">
        <v>11235</v>
      </c>
    </row>
    <row r="6585" spans="1:8" x14ac:dyDescent="0.15">
      <c r="A6585" s="196" t="s">
        <v>11229</v>
      </c>
      <c r="B6585" s="196" t="s">
        <v>11230</v>
      </c>
      <c r="C6585" s="196" t="s">
        <v>26257</v>
      </c>
      <c r="D6585" s="196" t="s">
        <v>26258</v>
      </c>
      <c r="E6585" s="196" t="s">
        <v>26258</v>
      </c>
      <c r="F6585" s="196" t="s">
        <v>11233</v>
      </c>
      <c r="G6585" s="196" t="s">
        <v>12378</v>
      </c>
      <c r="H6585" s="196" t="s">
        <v>11235</v>
      </c>
    </row>
    <row r="6586" spans="1:8" x14ac:dyDescent="0.15">
      <c r="A6586" s="196" t="s">
        <v>11229</v>
      </c>
      <c r="B6586" s="196" t="s">
        <v>11230</v>
      </c>
      <c r="C6586" s="196" t="s">
        <v>26259</v>
      </c>
      <c r="D6586" s="196" t="s">
        <v>26260</v>
      </c>
      <c r="E6586" s="196" t="s">
        <v>26261</v>
      </c>
      <c r="F6586" s="196" t="s">
        <v>13023</v>
      </c>
      <c r="G6586" s="196" t="s">
        <v>11720</v>
      </c>
      <c r="H6586" s="196" t="s">
        <v>11235</v>
      </c>
    </row>
    <row r="6587" spans="1:8" x14ac:dyDescent="0.15">
      <c r="A6587" s="196" t="s">
        <v>11229</v>
      </c>
      <c r="B6587" s="196" t="s">
        <v>11230</v>
      </c>
      <c r="C6587" s="196" t="s">
        <v>26262</v>
      </c>
      <c r="D6587" s="196" t="s">
        <v>26261</v>
      </c>
      <c r="E6587" s="196" t="s">
        <v>26263</v>
      </c>
      <c r="F6587" s="196" t="s">
        <v>11241</v>
      </c>
      <c r="G6587" s="196" t="s">
        <v>11720</v>
      </c>
      <c r="H6587" s="196" t="s">
        <v>11235</v>
      </c>
    </row>
    <row r="6588" spans="1:8" x14ac:dyDescent="0.15">
      <c r="A6588" s="196" t="s">
        <v>11229</v>
      </c>
      <c r="B6588" s="196" t="s">
        <v>11230</v>
      </c>
      <c r="C6588" s="196" t="s">
        <v>26264</v>
      </c>
      <c r="D6588" s="196" t="s">
        <v>26265</v>
      </c>
      <c r="E6588" s="196" t="s">
        <v>26265</v>
      </c>
      <c r="F6588" s="196" t="s">
        <v>11233</v>
      </c>
      <c r="G6588" s="196" t="s">
        <v>12378</v>
      </c>
      <c r="H6588" s="196" t="s">
        <v>11235</v>
      </c>
    </row>
    <row r="6589" spans="1:8" x14ac:dyDescent="0.15">
      <c r="A6589" s="196" t="s">
        <v>11229</v>
      </c>
      <c r="B6589" s="196" t="s">
        <v>11230</v>
      </c>
      <c r="C6589" s="196" t="s">
        <v>26266</v>
      </c>
      <c r="D6589" s="196" t="s">
        <v>26267</v>
      </c>
      <c r="E6589" s="196" t="s">
        <v>26268</v>
      </c>
      <c r="F6589" s="196" t="s">
        <v>13023</v>
      </c>
      <c r="G6589" s="196" t="s">
        <v>11720</v>
      </c>
      <c r="H6589" s="196" t="s">
        <v>11235</v>
      </c>
    </row>
    <row r="6590" spans="1:8" x14ac:dyDescent="0.15">
      <c r="A6590" s="196" t="s">
        <v>11229</v>
      </c>
      <c r="B6590" s="196" t="s">
        <v>11230</v>
      </c>
      <c r="C6590" s="196" t="s">
        <v>26269</v>
      </c>
      <c r="D6590" s="196" t="s">
        <v>26270</v>
      </c>
      <c r="E6590" s="196" t="s">
        <v>26270</v>
      </c>
      <c r="F6590" s="196" t="s">
        <v>11233</v>
      </c>
      <c r="G6590" s="196" t="s">
        <v>12378</v>
      </c>
      <c r="H6590" s="196" t="s">
        <v>11235</v>
      </c>
    </row>
    <row r="6591" spans="1:8" x14ac:dyDescent="0.15">
      <c r="A6591" s="196" t="s">
        <v>11229</v>
      </c>
      <c r="B6591" s="196" t="s">
        <v>11230</v>
      </c>
      <c r="C6591" s="196" t="s">
        <v>26271</v>
      </c>
      <c r="D6591" s="196" t="s">
        <v>26272</v>
      </c>
      <c r="E6591" s="196" t="s">
        <v>26272</v>
      </c>
      <c r="F6591" s="196" t="s">
        <v>11233</v>
      </c>
      <c r="G6591" s="196" t="s">
        <v>12378</v>
      </c>
      <c r="H6591" s="196" t="s">
        <v>11235</v>
      </c>
    </row>
    <row r="6592" spans="1:8" x14ac:dyDescent="0.15">
      <c r="A6592" s="196" t="s">
        <v>11229</v>
      </c>
      <c r="B6592" s="196" t="s">
        <v>11230</v>
      </c>
      <c r="C6592" s="196" t="s">
        <v>26273</v>
      </c>
      <c r="D6592" s="196" t="s">
        <v>26274</v>
      </c>
      <c r="E6592" s="196" t="s">
        <v>26274</v>
      </c>
      <c r="F6592" s="196" t="s">
        <v>11233</v>
      </c>
      <c r="G6592" s="196" t="s">
        <v>11720</v>
      </c>
      <c r="H6592" s="196" t="s">
        <v>11235</v>
      </c>
    </row>
    <row r="6593" spans="1:8" x14ac:dyDescent="0.15">
      <c r="A6593" s="196" t="s">
        <v>11229</v>
      </c>
      <c r="B6593" s="196" t="s">
        <v>11230</v>
      </c>
      <c r="C6593" s="196" t="s">
        <v>26275</v>
      </c>
      <c r="D6593" s="196" t="s">
        <v>26276</v>
      </c>
      <c r="E6593" s="196" t="s">
        <v>26277</v>
      </c>
      <c r="F6593" s="196" t="s">
        <v>13023</v>
      </c>
      <c r="G6593" s="196" t="s">
        <v>12378</v>
      </c>
      <c r="H6593" s="196" t="s">
        <v>11235</v>
      </c>
    </row>
    <row r="6594" spans="1:8" x14ac:dyDescent="0.15">
      <c r="A6594" s="196" t="s">
        <v>11229</v>
      </c>
      <c r="B6594" s="196" t="s">
        <v>11230</v>
      </c>
      <c r="C6594" s="196" t="s">
        <v>26278</v>
      </c>
      <c r="D6594" s="196" t="s">
        <v>26279</v>
      </c>
      <c r="E6594" s="196" t="s">
        <v>26279</v>
      </c>
      <c r="F6594" s="196" t="s">
        <v>11233</v>
      </c>
      <c r="G6594" s="196" t="s">
        <v>11720</v>
      </c>
      <c r="H6594" s="196" t="s">
        <v>11235</v>
      </c>
    </row>
    <row r="6595" spans="1:8" x14ac:dyDescent="0.15">
      <c r="A6595" s="196" t="s">
        <v>11229</v>
      </c>
      <c r="B6595" s="196" t="s">
        <v>11230</v>
      </c>
      <c r="C6595" s="196" t="s">
        <v>26280</v>
      </c>
      <c r="D6595" s="196" t="s">
        <v>26281</v>
      </c>
      <c r="E6595" s="196" t="s">
        <v>26281</v>
      </c>
      <c r="F6595" s="196" t="s">
        <v>11233</v>
      </c>
      <c r="G6595" s="196" t="s">
        <v>12378</v>
      </c>
      <c r="H6595" s="196" t="s">
        <v>11235</v>
      </c>
    </row>
    <row r="6596" spans="1:8" x14ac:dyDescent="0.15">
      <c r="A6596" s="196" t="s">
        <v>11229</v>
      </c>
      <c r="B6596" s="196" t="s">
        <v>11230</v>
      </c>
      <c r="C6596" s="196" t="s">
        <v>26282</v>
      </c>
      <c r="D6596" s="196" t="s">
        <v>26283</v>
      </c>
      <c r="E6596" s="196" t="s">
        <v>26284</v>
      </c>
      <c r="F6596" s="196" t="s">
        <v>11241</v>
      </c>
      <c r="G6596" s="196" t="s">
        <v>11720</v>
      </c>
      <c r="H6596" s="196" t="s">
        <v>11235</v>
      </c>
    </row>
    <row r="6597" spans="1:8" x14ac:dyDescent="0.15">
      <c r="A6597" s="196" t="s">
        <v>11229</v>
      </c>
      <c r="B6597" s="196" t="s">
        <v>11230</v>
      </c>
      <c r="C6597" s="196" t="s">
        <v>26285</v>
      </c>
      <c r="D6597" s="196" t="s">
        <v>26284</v>
      </c>
      <c r="E6597" s="196" t="s">
        <v>26286</v>
      </c>
      <c r="F6597" s="196" t="s">
        <v>11241</v>
      </c>
      <c r="G6597" s="196" t="s">
        <v>11720</v>
      </c>
      <c r="H6597" s="196" t="s">
        <v>11235</v>
      </c>
    </row>
    <row r="6598" spans="1:8" x14ac:dyDescent="0.15">
      <c r="A6598" s="196" t="s">
        <v>11229</v>
      </c>
      <c r="B6598" s="196" t="s">
        <v>11230</v>
      </c>
      <c r="C6598" s="196" t="s">
        <v>26287</v>
      </c>
      <c r="D6598" s="196" t="s">
        <v>26288</v>
      </c>
      <c r="E6598" s="196" t="s">
        <v>26288</v>
      </c>
      <c r="F6598" s="196" t="s">
        <v>11233</v>
      </c>
      <c r="G6598" s="196" t="s">
        <v>12378</v>
      </c>
      <c r="H6598" s="196" t="s">
        <v>11235</v>
      </c>
    </row>
    <row r="6599" spans="1:8" x14ac:dyDescent="0.15">
      <c r="A6599" s="196" t="s">
        <v>11229</v>
      </c>
      <c r="B6599" s="196" t="s">
        <v>11230</v>
      </c>
      <c r="C6599" s="196" t="s">
        <v>26289</v>
      </c>
      <c r="D6599" s="196" t="s">
        <v>26290</v>
      </c>
      <c r="E6599" s="196" t="s">
        <v>26290</v>
      </c>
      <c r="F6599" s="196" t="s">
        <v>11233</v>
      </c>
      <c r="G6599" s="196" t="s">
        <v>11720</v>
      </c>
      <c r="H6599" s="196" t="s">
        <v>11235</v>
      </c>
    </row>
    <row r="6600" spans="1:8" x14ac:dyDescent="0.15">
      <c r="A6600" s="196" t="s">
        <v>11229</v>
      </c>
      <c r="B6600" s="196" t="s">
        <v>11230</v>
      </c>
      <c r="C6600" s="196" t="s">
        <v>26291</v>
      </c>
      <c r="D6600" s="196" t="s">
        <v>26292</v>
      </c>
      <c r="E6600" s="196" t="s">
        <v>26292</v>
      </c>
      <c r="F6600" s="196" t="s">
        <v>11233</v>
      </c>
      <c r="G6600" s="196" t="s">
        <v>11720</v>
      </c>
      <c r="H6600" s="196" t="s">
        <v>11235</v>
      </c>
    </row>
    <row r="6601" spans="1:8" x14ac:dyDescent="0.15">
      <c r="A6601" s="196" t="s">
        <v>11229</v>
      </c>
      <c r="B6601" s="196" t="s">
        <v>11230</v>
      </c>
      <c r="C6601" s="196" t="s">
        <v>26293</v>
      </c>
      <c r="D6601" s="196" t="s">
        <v>26294</v>
      </c>
      <c r="E6601" s="196" t="s">
        <v>26294</v>
      </c>
      <c r="F6601" s="196" t="s">
        <v>11233</v>
      </c>
      <c r="G6601" s="196" t="s">
        <v>12378</v>
      </c>
      <c r="H6601" s="196" t="s">
        <v>11235</v>
      </c>
    </row>
    <row r="6602" spans="1:8" x14ac:dyDescent="0.15">
      <c r="A6602" s="196" t="s">
        <v>11229</v>
      </c>
      <c r="B6602" s="196" t="s">
        <v>11230</v>
      </c>
      <c r="C6602" s="196" t="s">
        <v>26295</v>
      </c>
      <c r="D6602" s="196" t="s">
        <v>26296</v>
      </c>
      <c r="E6602" s="196" t="s">
        <v>26296</v>
      </c>
      <c r="F6602" s="196" t="s">
        <v>11233</v>
      </c>
      <c r="G6602" s="196" t="s">
        <v>12378</v>
      </c>
      <c r="H6602" s="196" t="s">
        <v>11235</v>
      </c>
    </row>
    <row r="6603" spans="1:8" x14ac:dyDescent="0.15">
      <c r="A6603" s="196" t="s">
        <v>11229</v>
      </c>
      <c r="B6603" s="196" t="s">
        <v>11230</v>
      </c>
      <c r="C6603" s="196" t="s">
        <v>26297</v>
      </c>
      <c r="D6603" s="196" t="s">
        <v>26298</v>
      </c>
      <c r="E6603" s="196" t="s">
        <v>26298</v>
      </c>
      <c r="F6603" s="196" t="s">
        <v>11233</v>
      </c>
      <c r="G6603" s="196" t="s">
        <v>12378</v>
      </c>
      <c r="H6603" s="196" t="s">
        <v>11235</v>
      </c>
    </row>
    <row r="6604" spans="1:8" x14ac:dyDescent="0.15">
      <c r="A6604" s="196" t="s">
        <v>11229</v>
      </c>
      <c r="B6604" s="196" t="s">
        <v>11230</v>
      </c>
      <c r="C6604" s="196" t="s">
        <v>26299</v>
      </c>
      <c r="D6604" s="196" t="s">
        <v>26300</v>
      </c>
      <c r="E6604" s="196" t="s">
        <v>26300</v>
      </c>
      <c r="F6604" s="196" t="s">
        <v>11233</v>
      </c>
      <c r="G6604" s="196" t="s">
        <v>12378</v>
      </c>
      <c r="H6604" s="196" t="s">
        <v>11235</v>
      </c>
    </row>
    <row r="6605" spans="1:8" x14ac:dyDescent="0.15">
      <c r="A6605" s="196" t="s">
        <v>11229</v>
      </c>
      <c r="B6605" s="196" t="s">
        <v>11230</v>
      </c>
      <c r="C6605" s="196" t="s">
        <v>26301</v>
      </c>
      <c r="D6605" s="196" t="s">
        <v>26302</v>
      </c>
      <c r="E6605" s="196" t="s">
        <v>26302</v>
      </c>
      <c r="F6605" s="196" t="s">
        <v>11233</v>
      </c>
      <c r="G6605" s="196" t="s">
        <v>12378</v>
      </c>
      <c r="H6605" s="196" t="s">
        <v>11235</v>
      </c>
    </row>
    <row r="6606" spans="1:8" x14ac:dyDescent="0.15">
      <c r="A6606" s="196" t="s">
        <v>11229</v>
      </c>
      <c r="B6606" s="196" t="s">
        <v>11230</v>
      </c>
      <c r="C6606" s="196" t="s">
        <v>26303</v>
      </c>
      <c r="D6606" s="196" t="s">
        <v>26304</v>
      </c>
      <c r="E6606" s="196" t="s">
        <v>26304</v>
      </c>
      <c r="F6606" s="196" t="s">
        <v>11233</v>
      </c>
      <c r="G6606" s="196" t="s">
        <v>12378</v>
      </c>
      <c r="H6606" s="196" t="s">
        <v>11235</v>
      </c>
    </row>
    <row r="6607" spans="1:8" x14ac:dyDescent="0.15">
      <c r="A6607" s="196" t="s">
        <v>11229</v>
      </c>
      <c r="B6607" s="196" t="s">
        <v>11230</v>
      </c>
      <c r="C6607" s="196" t="s">
        <v>26305</v>
      </c>
      <c r="D6607" s="196" t="s">
        <v>26306</v>
      </c>
      <c r="E6607" s="196" t="s">
        <v>26306</v>
      </c>
      <c r="F6607" s="196" t="s">
        <v>11233</v>
      </c>
      <c r="G6607" s="196" t="s">
        <v>12378</v>
      </c>
      <c r="H6607" s="196" t="s">
        <v>11235</v>
      </c>
    </row>
    <row r="6608" spans="1:8" x14ac:dyDescent="0.15">
      <c r="A6608" s="196" t="s">
        <v>11229</v>
      </c>
      <c r="B6608" s="196" t="s">
        <v>11230</v>
      </c>
      <c r="C6608" s="196" t="s">
        <v>26307</v>
      </c>
      <c r="D6608" s="196" t="s">
        <v>26308</v>
      </c>
      <c r="E6608" s="196" t="s">
        <v>26308</v>
      </c>
      <c r="F6608" s="196" t="s">
        <v>11233</v>
      </c>
      <c r="G6608" s="196" t="s">
        <v>12378</v>
      </c>
      <c r="H6608" s="196" t="s">
        <v>11235</v>
      </c>
    </row>
    <row r="6609" spans="1:8" x14ac:dyDescent="0.15">
      <c r="A6609" s="196" t="s">
        <v>11229</v>
      </c>
      <c r="B6609" s="196" t="s">
        <v>11230</v>
      </c>
      <c r="C6609" s="196" t="s">
        <v>26309</v>
      </c>
      <c r="D6609" s="196" t="s">
        <v>26310</v>
      </c>
      <c r="E6609" s="196" t="s">
        <v>26310</v>
      </c>
      <c r="F6609" s="196" t="s">
        <v>11233</v>
      </c>
      <c r="G6609" s="196" t="s">
        <v>12378</v>
      </c>
      <c r="H6609" s="196" t="s">
        <v>11235</v>
      </c>
    </row>
    <row r="6610" spans="1:8" x14ac:dyDescent="0.15">
      <c r="A6610" s="196" t="s">
        <v>11229</v>
      </c>
      <c r="B6610" s="196" t="s">
        <v>11230</v>
      </c>
      <c r="C6610" s="196" t="s">
        <v>26311</v>
      </c>
      <c r="D6610" s="196" t="s">
        <v>26312</v>
      </c>
      <c r="E6610" s="196" t="s">
        <v>26312</v>
      </c>
      <c r="F6610" s="196" t="s">
        <v>11233</v>
      </c>
      <c r="G6610" s="196" t="s">
        <v>11720</v>
      </c>
      <c r="H6610" s="196" t="s">
        <v>11235</v>
      </c>
    </row>
    <row r="6611" spans="1:8" x14ac:dyDescent="0.15">
      <c r="A6611" s="196" t="s">
        <v>11229</v>
      </c>
      <c r="B6611" s="196" t="s">
        <v>11230</v>
      </c>
      <c r="C6611" s="196" t="s">
        <v>26313</v>
      </c>
      <c r="D6611" s="196" t="s">
        <v>26314</v>
      </c>
      <c r="E6611" s="196" t="s">
        <v>26314</v>
      </c>
      <c r="F6611" s="196" t="s">
        <v>11233</v>
      </c>
      <c r="G6611" s="196" t="s">
        <v>11720</v>
      </c>
      <c r="H6611" s="196" t="s">
        <v>11235</v>
      </c>
    </row>
    <row r="6612" spans="1:8" x14ac:dyDescent="0.15">
      <c r="A6612" s="196" t="s">
        <v>11229</v>
      </c>
      <c r="B6612" s="196" t="s">
        <v>11230</v>
      </c>
      <c r="C6612" s="196" t="s">
        <v>26315</v>
      </c>
      <c r="D6612" s="196" t="s">
        <v>26316</v>
      </c>
      <c r="E6612" s="196" t="s">
        <v>26316</v>
      </c>
      <c r="F6612" s="196" t="s">
        <v>11233</v>
      </c>
      <c r="G6612" s="196" t="s">
        <v>11720</v>
      </c>
      <c r="H6612" s="196" t="s">
        <v>11235</v>
      </c>
    </row>
    <row r="6613" spans="1:8" x14ac:dyDescent="0.15">
      <c r="A6613" s="196" t="s">
        <v>11229</v>
      </c>
      <c r="B6613" s="196" t="s">
        <v>11230</v>
      </c>
      <c r="C6613" s="196" t="s">
        <v>26317</v>
      </c>
      <c r="D6613" s="196" t="s">
        <v>26318</v>
      </c>
      <c r="E6613" s="196" t="s">
        <v>26318</v>
      </c>
      <c r="F6613" s="196" t="s">
        <v>11233</v>
      </c>
      <c r="G6613" s="196" t="s">
        <v>11720</v>
      </c>
      <c r="H6613" s="196" t="s">
        <v>11235</v>
      </c>
    </row>
    <row r="6614" spans="1:8" x14ac:dyDescent="0.15">
      <c r="A6614" s="196" t="s">
        <v>11229</v>
      </c>
      <c r="B6614" s="196" t="s">
        <v>11230</v>
      </c>
      <c r="C6614" s="196" t="s">
        <v>26319</v>
      </c>
      <c r="D6614" s="196" t="s">
        <v>26320</v>
      </c>
      <c r="E6614" s="196" t="s">
        <v>26320</v>
      </c>
      <c r="F6614" s="196" t="s">
        <v>11233</v>
      </c>
      <c r="G6614" s="196" t="s">
        <v>11720</v>
      </c>
      <c r="H6614" s="196" t="s">
        <v>11235</v>
      </c>
    </row>
    <row r="6615" spans="1:8" x14ac:dyDescent="0.15">
      <c r="A6615" s="196" t="s">
        <v>11229</v>
      </c>
      <c r="B6615" s="196" t="s">
        <v>11230</v>
      </c>
      <c r="C6615" s="196" t="s">
        <v>26321</v>
      </c>
      <c r="D6615" s="196" t="s">
        <v>26322</v>
      </c>
      <c r="E6615" s="196" t="s">
        <v>26322</v>
      </c>
      <c r="F6615" s="196" t="s">
        <v>11233</v>
      </c>
      <c r="G6615" s="196" t="s">
        <v>11720</v>
      </c>
      <c r="H6615" s="196" t="s">
        <v>11235</v>
      </c>
    </row>
    <row r="6616" spans="1:8" x14ac:dyDescent="0.15">
      <c r="A6616" s="196" t="s">
        <v>11229</v>
      </c>
      <c r="B6616" s="196" t="s">
        <v>11230</v>
      </c>
      <c r="C6616" s="196" t="s">
        <v>26323</v>
      </c>
      <c r="D6616" s="196" t="s">
        <v>26324</v>
      </c>
      <c r="E6616" s="196" t="s">
        <v>26325</v>
      </c>
      <c r="F6616" s="196" t="s">
        <v>11241</v>
      </c>
      <c r="G6616" s="196" t="s">
        <v>11720</v>
      </c>
      <c r="H6616" s="196" t="s">
        <v>11235</v>
      </c>
    </row>
    <row r="6617" spans="1:8" x14ac:dyDescent="0.15">
      <c r="A6617" s="196" t="s">
        <v>11229</v>
      </c>
      <c r="B6617" s="196" t="s">
        <v>11230</v>
      </c>
      <c r="C6617" s="196" t="s">
        <v>26326</v>
      </c>
      <c r="D6617" s="196" t="s">
        <v>26325</v>
      </c>
      <c r="E6617" s="196" t="s">
        <v>26327</v>
      </c>
      <c r="F6617" s="196" t="s">
        <v>11268</v>
      </c>
      <c r="G6617" s="196" t="s">
        <v>11720</v>
      </c>
      <c r="H6617" s="196" t="s">
        <v>11235</v>
      </c>
    </row>
    <row r="6618" spans="1:8" x14ac:dyDescent="0.15">
      <c r="A6618" s="196" t="s">
        <v>11229</v>
      </c>
      <c r="B6618" s="196" t="s">
        <v>11230</v>
      </c>
      <c r="C6618" s="196" t="s">
        <v>26328</v>
      </c>
      <c r="D6618" s="196" t="s">
        <v>26327</v>
      </c>
      <c r="E6618" s="196" t="s">
        <v>26329</v>
      </c>
      <c r="F6618" s="196" t="s">
        <v>11241</v>
      </c>
      <c r="G6618" s="196" t="s">
        <v>11720</v>
      </c>
      <c r="H6618" s="196" t="s">
        <v>11235</v>
      </c>
    </row>
    <row r="6619" spans="1:8" x14ac:dyDescent="0.15">
      <c r="A6619" s="196" t="s">
        <v>11229</v>
      </c>
      <c r="B6619" s="196" t="s">
        <v>11230</v>
      </c>
      <c r="C6619" s="196" t="s">
        <v>26330</v>
      </c>
      <c r="D6619" s="196" t="s">
        <v>26329</v>
      </c>
      <c r="E6619" s="196" t="s">
        <v>26331</v>
      </c>
      <c r="F6619" s="196" t="s">
        <v>11268</v>
      </c>
      <c r="G6619" s="196" t="s">
        <v>11720</v>
      </c>
      <c r="H6619" s="196" t="s">
        <v>11235</v>
      </c>
    </row>
    <row r="6620" spans="1:8" x14ac:dyDescent="0.15">
      <c r="A6620" s="196" t="s">
        <v>11229</v>
      </c>
      <c r="B6620" s="196" t="s">
        <v>11230</v>
      </c>
      <c r="C6620" s="196" t="s">
        <v>26332</v>
      </c>
      <c r="D6620" s="196" t="s">
        <v>26329</v>
      </c>
      <c r="E6620" s="196" t="s">
        <v>26331</v>
      </c>
      <c r="F6620" s="196" t="s">
        <v>11268</v>
      </c>
      <c r="G6620" s="196" t="s">
        <v>12378</v>
      </c>
      <c r="H6620" s="196" t="s">
        <v>11235</v>
      </c>
    </row>
    <row r="6621" spans="1:8" x14ac:dyDescent="0.15">
      <c r="A6621" s="196" t="s">
        <v>11229</v>
      </c>
      <c r="B6621" s="196" t="s">
        <v>11230</v>
      </c>
      <c r="C6621" s="196" t="s">
        <v>26333</v>
      </c>
      <c r="D6621" s="196" t="s">
        <v>26331</v>
      </c>
      <c r="E6621" s="196" t="s">
        <v>26334</v>
      </c>
      <c r="F6621" s="196" t="s">
        <v>11241</v>
      </c>
      <c r="G6621" s="196" t="s">
        <v>12378</v>
      </c>
      <c r="H6621" s="196" t="s">
        <v>11235</v>
      </c>
    </row>
    <row r="6622" spans="1:8" x14ac:dyDescent="0.15">
      <c r="A6622" s="196" t="s">
        <v>11229</v>
      </c>
      <c r="B6622" s="196" t="s">
        <v>11230</v>
      </c>
      <c r="C6622" s="196" t="s">
        <v>26335</v>
      </c>
      <c r="D6622" s="196" t="s">
        <v>26334</v>
      </c>
      <c r="E6622" s="196" t="s">
        <v>26334</v>
      </c>
      <c r="F6622" s="196" t="s">
        <v>11233</v>
      </c>
      <c r="G6622" s="196" t="s">
        <v>12378</v>
      </c>
      <c r="H6622" s="196" t="s">
        <v>11235</v>
      </c>
    </row>
    <row r="6623" spans="1:8" x14ac:dyDescent="0.15">
      <c r="A6623" s="196" t="s">
        <v>11229</v>
      </c>
      <c r="B6623" s="196" t="s">
        <v>11230</v>
      </c>
      <c r="C6623" s="196" t="s">
        <v>26336</v>
      </c>
      <c r="D6623" s="196" t="s">
        <v>26337</v>
      </c>
      <c r="E6623" s="196" t="s">
        <v>26337</v>
      </c>
      <c r="F6623" s="196" t="s">
        <v>11233</v>
      </c>
      <c r="G6623" s="196" t="s">
        <v>12378</v>
      </c>
      <c r="H6623" s="196" t="s">
        <v>11235</v>
      </c>
    </row>
    <row r="6624" spans="1:8" x14ac:dyDescent="0.15">
      <c r="A6624" s="196" t="s">
        <v>11229</v>
      </c>
      <c r="B6624" s="196" t="s">
        <v>11230</v>
      </c>
      <c r="C6624" s="196" t="s">
        <v>26338</v>
      </c>
      <c r="D6624" s="196" t="s">
        <v>26339</v>
      </c>
      <c r="E6624" s="196" t="s">
        <v>26339</v>
      </c>
      <c r="F6624" s="196" t="s">
        <v>11233</v>
      </c>
      <c r="G6624" s="196" t="s">
        <v>12378</v>
      </c>
      <c r="H6624" s="196" t="s">
        <v>11235</v>
      </c>
    </row>
    <row r="6625" spans="1:8" x14ac:dyDescent="0.15">
      <c r="A6625" s="196" t="s">
        <v>11229</v>
      </c>
      <c r="B6625" s="196" t="s">
        <v>11230</v>
      </c>
      <c r="C6625" s="196" t="s">
        <v>26340</v>
      </c>
      <c r="D6625" s="196" t="s">
        <v>26341</v>
      </c>
      <c r="E6625" s="196" t="s">
        <v>26342</v>
      </c>
      <c r="F6625" s="196" t="s">
        <v>13023</v>
      </c>
      <c r="G6625" s="196" t="s">
        <v>12378</v>
      </c>
      <c r="H6625" s="196" t="s">
        <v>11235</v>
      </c>
    </row>
    <row r="6626" spans="1:8" x14ac:dyDescent="0.15">
      <c r="A6626" s="196" t="s">
        <v>11229</v>
      </c>
      <c r="B6626" s="196" t="s">
        <v>11230</v>
      </c>
      <c r="C6626" s="196" t="s">
        <v>26343</v>
      </c>
      <c r="D6626" s="196" t="s">
        <v>26342</v>
      </c>
      <c r="E6626" s="196" t="s">
        <v>26344</v>
      </c>
      <c r="F6626" s="196" t="s">
        <v>11241</v>
      </c>
      <c r="G6626" s="196" t="s">
        <v>12378</v>
      </c>
      <c r="H6626" s="196" t="s">
        <v>11235</v>
      </c>
    </row>
    <row r="6627" spans="1:8" x14ac:dyDescent="0.15">
      <c r="A6627" s="196" t="s">
        <v>11229</v>
      </c>
      <c r="B6627" s="196" t="s">
        <v>11230</v>
      </c>
      <c r="C6627" s="196" t="s">
        <v>26345</v>
      </c>
      <c r="D6627" s="196" t="s">
        <v>26344</v>
      </c>
      <c r="E6627" s="196" t="s">
        <v>26346</v>
      </c>
      <c r="F6627" s="196" t="s">
        <v>11268</v>
      </c>
      <c r="G6627" s="196" t="s">
        <v>12378</v>
      </c>
      <c r="H6627" s="196" t="s">
        <v>11235</v>
      </c>
    </row>
    <row r="6628" spans="1:8" x14ac:dyDescent="0.15">
      <c r="A6628" s="196" t="s">
        <v>11229</v>
      </c>
      <c r="B6628" s="196" t="s">
        <v>11230</v>
      </c>
      <c r="C6628" s="196" t="s">
        <v>26347</v>
      </c>
      <c r="D6628" s="196" t="s">
        <v>26346</v>
      </c>
      <c r="E6628" s="196" t="s">
        <v>26348</v>
      </c>
      <c r="F6628" s="196" t="s">
        <v>13758</v>
      </c>
      <c r="G6628" s="196" t="s">
        <v>12378</v>
      </c>
      <c r="H6628" s="196" t="s">
        <v>11235</v>
      </c>
    </row>
    <row r="6629" spans="1:8" x14ac:dyDescent="0.15">
      <c r="A6629" s="196" t="s">
        <v>11229</v>
      </c>
      <c r="B6629" s="196" t="s">
        <v>11230</v>
      </c>
      <c r="C6629" s="196" t="s">
        <v>26349</v>
      </c>
      <c r="D6629" s="196" t="s">
        <v>26350</v>
      </c>
      <c r="E6629" s="196" t="s">
        <v>26350</v>
      </c>
      <c r="F6629" s="196" t="s">
        <v>11233</v>
      </c>
      <c r="G6629" s="196" t="s">
        <v>11720</v>
      </c>
      <c r="H6629" s="196" t="s">
        <v>11235</v>
      </c>
    </row>
    <row r="6630" spans="1:8" x14ac:dyDescent="0.15">
      <c r="A6630" s="196" t="s">
        <v>11229</v>
      </c>
      <c r="B6630" s="196" t="s">
        <v>11230</v>
      </c>
      <c r="C6630" s="196" t="s">
        <v>26351</v>
      </c>
      <c r="D6630" s="196" t="s">
        <v>26352</v>
      </c>
      <c r="E6630" s="196" t="s">
        <v>26352</v>
      </c>
      <c r="F6630" s="196" t="s">
        <v>11233</v>
      </c>
      <c r="G6630" s="196" t="s">
        <v>11720</v>
      </c>
      <c r="H6630" s="196" t="s">
        <v>11235</v>
      </c>
    </row>
    <row r="6631" spans="1:8" x14ac:dyDescent="0.15">
      <c r="A6631" s="196" t="s">
        <v>11229</v>
      </c>
      <c r="B6631" s="196" t="s">
        <v>11230</v>
      </c>
      <c r="C6631" s="196" t="s">
        <v>26353</v>
      </c>
      <c r="D6631" s="196" t="s">
        <v>26354</v>
      </c>
      <c r="E6631" s="196" t="s">
        <v>26354</v>
      </c>
      <c r="F6631" s="196" t="s">
        <v>11233</v>
      </c>
      <c r="G6631" s="196" t="s">
        <v>11720</v>
      </c>
      <c r="H6631" s="196" t="s">
        <v>11235</v>
      </c>
    </row>
    <row r="6632" spans="1:8" x14ac:dyDescent="0.15">
      <c r="A6632" s="196" t="s">
        <v>11229</v>
      </c>
      <c r="B6632" s="196" t="s">
        <v>11230</v>
      </c>
      <c r="C6632" s="196" t="s">
        <v>26355</v>
      </c>
      <c r="D6632" s="196" t="s">
        <v>26356</v>
      </c>
      <c r="E6632" s="196" t="s">
        <v>26356</v>
      </c>
      <c r="F6632" s="196" t="s">
        <v>11233</v>
      </c>
      <c r="G6632" s="196" t="s">
        <v>11720</v>
      </c>
      <c r="H6632" s="196" t="s">
        <v>11235</v>
      </c>
    </row>
    <row r="6633" spans="1:8" x14ac:dyDescent="0.15">
      <c r="A6633" s="196" t="s">
        <v>11229</v>
      </c>
      <c r="B6633" s="196" t="s">
        <v>11230</v>
      </c>
      <c r="C6633" s="196" t="s">
        <v>26357</v>
      </c>
      <c r="D6633" s="196" t="s">
        <v>26358</v>
      </c>
      <c r="E6633" s="196" t="s">
        <v>26358</v>
      </c>
      <c r="F6633" s="196" t="s">
        <v>11233</v>
      </c>
      <c r="G6633" s="196" t="s">
        <v>11720</v>
      </c>
      <c r="H6633" s="196" t="s">
        <v>11235</v>
      </c>
    </row>
    <row r="6634" spans="1:8" x14ac:dyDescent="0.15">
      <c r="A6634" s="196" t="s">
        <v>11229</v>
      </c>
      <c r="B6634" s="196" t="s">
        <v>11230</v>
      </c>
      <c r="C6634" s="196" t="s">
        <v>26359</v>
      </c>
      <c r="D6634" s="196" t="s">
        <v>26360</v>
      </c>
      <c r="E6634" s="196" t="s">
        <v>26360</v>
      </c>
      <c r="F6634" s="196" t="s">
        <v>11233</v>
      </c>
      <c r="G6634" s="196" t="s">
        <v>11720</v>
      </c>
      <c r="H6634" s="196" t="s">
        <v>11235</v>
      </c>
    </row>
    <row r="6635" spans="1:8" x14ac:dyDescent="0.15">
      <c r="A6635" s="196" t="s">
        <v>11229</v>
      </c>
      <c r="B6635" s="196" t="s">
        <v>11230</v>
      </c>
      <c r="C6635" s="196" t="s">
        <v>26361</v>
      </c>
      <c r="D6635" s="196" t="s">
        <v>26362</v>
      </c>
      <c r="E6635" s="196" t="s">
        <v>26362</v>
      </c>
      <c r="F6635" s="196" t="s">
        <v>11233</v>
      </c>
      <c r="G6635" s="196" t="s">
        <v>11720</v>
      </c>
      <c r="H6635" s="196" t="s">
        <v>11235</v>
      </c>
    </row>
    <row r="6636" spans="1:8" x14ac:dyDescent="0.15">
      <c r="A6636" s="196" t="s">
        <v>11229</v>
      </c>
      <c r="B6636" s="196" t="s">
        <v>11230</v>
      </c>
      <c r="C6636" s="196" t="s">
        <v>26363</v>
      </c>
      <c r="D6636" s="196" t="s">
        <v>26364</v>
      </c>
      <c r="E6636" s="196" t="s">
        <v>26364</v>
      </c>
      <c r="F6636" s="196" t="s">
        <v>11233</v>
      </c>
      <c r="G6636" s="196" t="s">
        <v>12378</v>
      </c>
      <c r="H6636" s="196" t="s">
        <v>11235</v>
      </c>
    </row>
    <row r="6637" spans="1:8" x14ac:dyDescent="0.15">
      <c r="A6637" s="196" t="s">
        <v>11229</v>
      </c>
      <c r="B6637" s="196" t="s">
        <v>11230</v>
      </c>
      <c r="C6637" s="196" t="s">
        <v>26365</v>
      </c>
      <c r="D6637" s="196" t="s">
        <v>26366</v>
      </c>
      <c r="E6637" s="196" t="s">
        <v>26366</v>
      </c>
      <c r="F6637" s="196" t="s">
        <v>11233</v>
      </c>
      <c r="G6637" s="196" t="s">
        <v>12378</v>
      </c>
      <c r="H6637" s="196" t="s">
        <v>11235</v>
      </c>
    </row>
    <row r="6638" spans="1:8" x14ac:dyDescent="0.15">
      <c r="A6638" s="196" t="s">
        <v>11229</v>
      </c>
      <c r="B6638" s="196" t="s">
        <v>11230</v>
      </c>
      <c r="C6638" s="196" t="s">
        <v>26367</v>
      </c>
      <c r="D6638" s="196" t="s">
        <v>26368</v>
      </c>
      <c r="E6638" s="196" t="s">
        <v>26368</v>
      </c>
      <c r="F6638" s="196" t="s">
        <v>11233</v>
      </c>
      <c r="G6638" s="196" t="s">
        <v>12378</v>
      </c>
      <c r="H6638" s="196" t="s">
        <v>11235</v>
      </c>
    </row>
    <row r="6639" spans="1:8" x14ac:dyDescent="0.15">
      <c r="A6639" s="196" t="s">
        <v>11229</v>
      </c>
      <c r="B6639" s="196" t="s">
        <v>11230</v>
      </c>
      <c r="C6639" s="196" t="s">
        <v>26369</v>
      </c>
      <c r="D6639" s="196" t="s">
        <v>26370</v>
      </c>
      <c r="E6639" s="196" t="s">
        <v>26371</v>
      </c>
      <c r="F6639" s="196" t="s">
        <v>11241</v>
      </c>
      <c r="G6639" s="196" t="s">
        <v>12378</v>
      </c>
      <c r="H6639" s="196" t="s">
        <v>11235</v>
      </c>
    </row>
    <row r="6640" spans="1:8" x14ac:dyDescent="0.15">
      <c r="A6640" s="196" t="s">
        <v>11229</v>
      </c>
      <c r="B6640" s="196" t="s">
        <v>11230</v>
      </c>
      <c r="C6640" s="196" t="s">
        <v>26372</v>
      </c>
      <c r="D6640" s="196" t="s">
        <v>26373</v>
      </c>
      <c r="E6640" s="196" t="s">
        <v>26373</v>
      </c>
      <c r="F6640" s="196" t="s">
        <v>11233</v>
      </c>
      <c r="G6640" s="196" t="s">
        <v>12378</v>
      </c>
      <c r="H6640" s="196" t="s">
        <v>11235</v>
      </c>
    </row>
    <row r="6641" spans="1:8" x14ac:dyDescent="0.15">
      <c r="A6641" s="196" t="s">
        <v>11229</v>
      </c>
      <c r="B6641" s="196" t="s">
        <v>11230</v>
      </c>
      <c r="C6641" s="196" t="s">
        <v>26374</v>
      </c>
      <c r="D6641" s="196" t="s">
        <v>26375</v>
      </c>
      <c r="E6641" s="196" t="s">
        <v>26375</v>
      </c>
      <c r="F6641" s="196" t="s">
        <v>11233</v>
      </c>
      <c r="G6641" s="196" t="s">
        <v>12378</v>
      </c>
      <c r="H6641" s="196" t="s">
        <v>11235</v>
      </c>
    </row>
    <row r="6642" spans="1:8" x14ac:dyDescent="0.15">
      <c r="A6642" s="196" t="s">
        <v>11229</v>
      </c>
      <c r="B6642" s="196" t="s">
        <v>11230</v>
      </c>
      <c r="C6642" s="196" t="s">
        <v>26376</v>
      </c>
      <c r="D6642" s="196" t="s">
        <v>26377</v>
      </c>
      <c r="E6642" s="196" t="s">
        <v>26377</v>
      </c>
      <c r="F6642" s="196" t="s">
        <v>11233</v>
      </c>
      <c r="G6642" s="196" t="s">
        <v>12378</v>
      </c>
      <c r="H6642" s="196" t="s">
        <v>11235</v>
      </c>
    </row>
    <row r="6643" spans="1:8" x14ac:dyDescent="0.15">
      <c r="A6643" s="196" t="s">
        <v>11229</v>
      </c>
      <c r="B6643" s="196" t="s">
        <v>11230</v>
      </c>
      <c r="C6643" s="196" t="s">
        <v>26378</v>
      </c>
      <c r="D6643" s="196" t="s">
        <v>26379</v>
      </c>
      <c r="E6643" s="196" t="s">
        <v>26379</v>
      </c>
      <c r="F6643" s="196" t="s">
        <v>11233</v>
      </c>
      <c r="G6643" s="196" t="s">
        <v>12378</v>
      </c>
      <c r="H6643" s="196" t="s">
        <v>11235</v>
      </c>
    </row>
    <row r="6644" spans="1:8" x14ac:dyDescent="0.15">
      <c r="A6644" s="196" t="s">
        <v>11229</v>
      </c>
      <c r="B6644" s="196" t="s">
        <v>11230</v>
      </c>
      <c r="C6644" s="196" t="s">
        <v>26380</v>
      </c>
      <c r="D6644" s="196" t="s">
        <v>26381</v>
      </c>
      <c r="E6644" s="196" t="s">
        <v>26381</v>
      </c>
      <c r="F6644" s="196" t="s">
        <v>11233</v>
      </c>
      <c r="G6644" s="196" t="s">
        <v>12378</v>
      </c>
      <c r="H6644" s="196" t="s">
        <v>11235</v>
      </c>
    </row>
    <row r="6645" spans="1:8" x14ac:dyDescent="0.15">
      <c r="A6645" s="196" t="s">
        <v>11229</v>
      </c>
      <c r="B6645" s="196" t="s">
        <v>11230</v>
      </c>
      <c r="C6645" s="196" t="s">
        <v>26382</v>
      </c>
      <c r="D6645" s="196" t="s">
        <v>26383</v>
      </c>
      <c r="E6645" s="196" t="s">
        <v>26383</v>
      </c>
      <c r="F6645" s="196" t="s">
        <v>11233</v>
      </c>
      <c r="G6645" s="196" t="s">
        <v>12378</v>
      </c>
      <c r="H6645" s="196" t="s">
        <v>11235</v>
      </c>
    </row>
    <row r="6646" spans="1:8" x14ac:dyDescent="0.15">
      <c r="A6646" s="196" t="s">
        <v>11229</v>
      </c>
      <c r="B6646" s="196" t="s">
        <v>11230</v>
      </c>
      <c r="C6646" s="196" t="s">
        <v>26384</v>
      </c>
      <c r="D6646" s="196" t="s">
        <v>26385</v>
      </c>
      <c r="E6646" s="196" t="s">
        <v>26385</v>
      </c>
      <c r="F6646" s="196" t="s">
        <v>11233</v>
      </c>
      <c r="G6646" s="196" t="s">
        <v>12378</v>
      </c>
      <c r="H6646" s="196" t="s">
        <v>11235</v>
      </c>
    </row>
    <row r="6647" spans="1:8" x14ac:dyDescent="0.15">
      <c r="A6647" s="196" t="s">
        <v>11229</v>
      </c>
      <c r="B6647" s="196" t="s">
        <v>11230</v>
      </c>
      <c r="C6647" s="196" t="s">
        <v>26386</v>
      </c>
      <c r="D6647" s="196" t="s">
        <v>26387</v>
      </c>
      <c r="E6647" s="196" t="s">
        <v>26387</v>
      </c>
      <c r="F6647" s="196" t="s">
        <v>11233</v>
      </c>
      <c r="G6647" s="196" t="s">
        <v>12378</v>
      </c>
      <c r="H6647" s="196" t="s">
        <v>11235</v>
      </c>
    </row>
    <row r="6648" spans="1:8" x14ac:dyDescent="0.15">
      <c r="A6648" s="196" t="s">
        <v>11229</v>
      </c>
      <c r="B6648" s="196" t="s">
        <v>11230</v>
      </c>
      <c r="C6648" s="196" t="s">
        <v>26388</v>
      </c>
      <c r="D6648" s="196" t="s">
        <v>26389</v>
      </c>
      <c r="E6648" s="196" t="s">
        <v>26390</v>
      </c>
      <c r="F6648" s="196" t="s">
        <v>11268</v>
      </c>
      <c r="G6648" s="196" t="s">
        <v>12378</v>
      </c>
      <c r="H6648" s="196" t="s">
        <v>11235</v>
      </c>
    </row>
    <row r="6649" spans="1:8" x14ac:dyDescent="0.15">
      <c r="A6649" s="196" t="s">
        <v>11229</v>
      </c>
      <c r="B6649" s="196" t="s">
        <v>11230</v>
      </c>
      <c r="C6649" s="196" t="s">
        <v>26391</v>
      </c>
      <c r="D6649" s="196" t="s">
        <v>26389</v>
      </c>
      <c r="E6649" s="196" t="s">
        <v>26389</v>
      </c>
      <c r="F6649" s="196" t="s">
        <v>11233</v>
      </c>
      <c r="G6649" s="196" t="s">
        <v>11720</v>
      </c>
      <c r="H6649" s="196" t="s">
        <v>11235</v>
      </c>
    </row>
    <row r="6650" spans="1:8" x14ac:dyDescent="0.15">
      <c r="A6650" s="196" t="s">
        <v>11229</v>
      </c>
      <c r="B6650" s="196" t="s">
        <v>11230</v>
      </c>
      <c r="C6650" s="196" t="s">
        <v>26392</v>
      </c>
      <c r="D6650" s="196" t="s">
        <v>26390</v>
      </c>
      <c r="E6650" s="196" t="s">
        <v>26393</v>
      </c>
      <c r="F6650" s="196" t="s">
        <v>13023</v>
      </c>
      <c r="G6650" s="196" t="s">
        <v>12378</v>
      </c>
      <c r="H6650" s="196" t="s">
        <v>11235</v>
      </c>
    </row>
    <row r="6651" spans="1:8" x14ac:dyDescent="0.15">
      <c r="A6651" s="196" t="s">
        <v>11229</v>
      </c>
      <c r="B6651" s="196" t="s">
        <v>11230</v>
      </c>
      <c r="C6651" s="196" t="s">
        <v>26394</v>
      </c>
      <c r="D6651" s="196" t="s">
        <v>26390</v>
      </c>
      <c r="E6651" s="196" t="s">
        <v>26390</v>
      </c>
      <c r="F6651" s="196" t="s">
        <v>11233</v>
      </c>
      <c r="G6651" s="196" t="s">
        <v>11720</v>
      </c>
      <c r="H6651" s="196" t="s">
        <v>11235</v>
      </c>
    </row>
    <row r="6652" spans="1:8" x14ac:dyDescent="0.15">
      <c r="A6652" s="196" t="s">
        <v>11229</v>
      </c>
      <c r="B6652" s="196" t="s">
        <v>11230</v>
      </c>
      <c r="C6652" s="196" t="s">
        <v>26395</v>
      </c>
      <c r="D6652" s="196" t="s">
        <v>26393</v>
      </c>
      <c r="E6652" s="196" t="s">
        <v>26396</v>
      </c>
      <c r="F6652" s="196" t="s">
        <v>11241</v>
      </c>
      <c r="G6652" s="196" t="s">
        <v>12378</v>
      </c>
      <c r="H6652" s="196" t="s">
        <v>11235</v>
      </c>
    </row>
    <row r="6653" spans="1:8" x14ac:dyDescent="0.15">
      <c r="A6653" s="196" t="s">
        <v>11229</v>
      </c>
      <c r="B6653" s="196" t="s">
        <v>11230</v>
      </c>
      <c r="C6653" s="196" t="s">
        <v>26397</v>
      </c>
      <c r="D6653" s="196" t="s">
        <v>26396</v>
      </c>
      <c r="E6653" s="196" t="s">
        <v>26398</v>
      </c>
      <c r="F6653" s="196" t="s">
        <v>11241</v>
      </c>
      <c r="G6653" s="196" t="s">
        <v>12378</v>
      </c>
      <c r="H6653" s="196" t="s">
        <v>11235</v>
      </c>
    </row>
    <row r="6654" spans="1:8" x14ac:dyDescent="0.15">
      <c r="A6654" s="196" t="s">
        <v>11229</v>
      </c>
      <c r="B6654" s="196" t="s">
        <v>11230</v>
      </c>
      <c r="C6654" s="196" t="s">
        <v>26399</v>
      </c>
      <c r="D6654" s="196" t="s">
        <v>26400</v>
      </c>
      <c r="E6654" s="196" t="s">
        <v>26400</v>
      </c>
      <c r="F6654" s="196" t="s">
        <v>11233</v>
      </c>
      <c r="G6654" s="196" t="s">
        <v>12378</v>
      </c>
      <c r="H6654" s="196" t="s">
        <v>11235</v>
      </c>
    </row>
    <row r="6655" spans="1:8" x14ac:dyDescent="0.15">
      <c r="A6655" s="196" t="s">
        <v>11229</v>
      </c>
      <c r="B6655" s="196" t="s">
        <v>11230</v>
      </c>
      <c r="C6655" s="196" t="s">
        <v>26401</v>
      </c>
      <c r="D6655" s="196" t="s">
        <v>26402</v>
      </c>
      <c r="E6655" s="196" t="s">
        <v>26402</v>
      </c>
      <c r="F6655" s="196" t="s">
        <v>11233</v>
      </c>
      <c r="G6655" s="196" t="s">
        <v>12378</v>
      </c>
      <c r="H6655" s="196" t="s">
        <v>11235</v>
      </c>
    </row>
    <row r="6656" spans="1:8" x14ac:dyDescent="0.15">
      <c r="A6656" s="196" t="s">
        <v>11229</v>
      </c>
      <c r="B6656" s="196" t="s">
        <v>11230</v>
      </c>
      <c r="C6656" s="196" t="s">
        <v>26403</v>
      </c>
      <c r="D6656" s="196" t="s">
        <v>26404</v>
      </c>
      <c r="E6656" s="196" t="s">
        <v>26404</v>
      </c>
      <c r="F6656" s="196" t="s">
        <v>11233</v>
      </c>
      <c r="G6656" s="196" t="s">
        <v>12378</v>
      </c>
      <c r="H6656" s="196" t="s">
        <v>11235</v>
      </c>
    </row>
    <row r="6657" spans="1:8" x14ac:dyDescent="0.15">
      <c r="A6657" s="196" t="s">
        <v>11229</v>
      </c>
      <c r="B6657" s="196" t="s">
        <v>11230</v>
      </c>
      <c r="C6657" s="196" t="s">
        <v>26405</v>
      </c>
      <c r="D6657" s="196" t="s">
        <v>26406</v>
      </c>
      <c r="E6657" s="196" t="s">
        <v>26406</v>
      </c>
      <c r="F6657" s="196" t="s">
        <v>11233</v>
      </c>
      <c r="G6657" s="196" t="s">
        <v>12378</v>
      </c>
      <c r="H6657" s="196" t="s">
        <v>11235</v>
      </c>
    </row>
    <row r="6658" spans="1:8" x14ac:dyDescent="0.15">
      <c r="A6658" s="196" t="s">
        <v>11229</v>
      </c>
      <c r="B6658" s="196" t="s">
        <v>11230</v>
      </c>
      <c r="C6658" s="196" t="s">
        <v>26407</v>
      </c>
      <c r="D6658" s="196" t="s">
        <v>26408</v>
      </c>
      <c r="E6658" s="196" t="s">
        <v>26408</v>
      </c>
      <c r="F6658" s="196" t="s">
        <v>11233</v>
      </c>
      <c r="G6658" s="196" t="s">
        <v>12378</v>
      </c>
      <c r="H6658" s="196" t="s">
        <v>11235</v>
      </c>
    </row>
    <row r="6659" spans="1:8" x14ac:dyDescent="0.15">
      <c r="A6659" s="196" t="s">
        <v>11229</v>
      </c>
      <c r="B6659" s="196" t="s">
        <v>11230</v>
      </c>
      <c r="C6659" s="196" t="s">
        <v>26409</v>
      </c>
      <c r="D6659" s="196" t="s">
        <v>26410</v>
      </c>
      <c r="E6659" s="196" t="s">
        <v>26410</v>
      </c>
      <c r="F6659" s="196" t="s">
        <v>11233</v>
      </c>
      <c r="G6659" s="196" t="s">
        <v>12378</v>
      </c>
      <c r="H6659" s="196" t="s">
        <v>11235</v>
      </c>
    </row>
    <row r="6660" spans="1:8" x14ac:dyDescent="0.15">
      <c r="A6660" s="196" t="s">
        <v>11229</v>
      </c>
      <c r="B6660" s="196" t="s">
        <v>11230</v>
      </c>
      <c r="C6660" s="196" t="s">
        <v>26411</v>
      </c>
      <c r="D6660" s="196" t="s">
        <v>26412</v>
      </c>
      <c r="E6660" s="196" t="s">
        <v>26412</v>
      </c>
      <c r="F6660" s="196" t="s">
        <v>11233</v>
      </c>
      <c r="G6660" s="196" t="s">
        <v>12378</v>
      </c>
      <c r="H6660" s="196" t="s">
        <v>11235</v>
      </c>
    </row>
    <row r="6661" spans="1:8" x14ac:dyDescent="0.15">
      <c r="A6661" s="196" t="s">
        <v>11229</v>
      </c>
      <c r="B6661" s="196" t="s">
        <v>11230</v>
      </c>
      <c r="C6661" s="196" t="s">
        <v>26413</v>
      </c>
      <c r="D6661" s="196" t="s">
        <v>26414</v>
      </c>
      <c r="E6661" s="196" t="s">
        <v>26415</v>
      </c>
      <c r="F6661" s="196" t="s">
        <v>13023</v>
      </c>
      <c r="G6661" s="196" t="s">
        <v>11720</v>
      </c>
      <c r="H6661" s="196" t="s">
        <v>11235</v>
      </c>
    </row>
    <row r="6662" spans="1:8" x14ac:dyDescent="0.15">
      <c r="A6662" s="196" t="s">
        <v>11229</v>
      </c>
      <c r="B6662" s="196" t="s">
        <v>11230</v>
      </c>
      <c r="C6662" s="196" t="s">
        <v>26416</v>
      </c>
      <c r="D6662" s="196" t="s">
        <v>26415</v>
      </c>
      <c r="E6662" s="196" t="s">
        <v>26417</v>
      </c>
      <c r="F6662" s="196" t="s">
        <v>11268</v>
      </c>
      <c r="G6662" s="196" t="s">
        <v>11720</v>
      </c>
      <c r="H6662" s="196" t="s">
        <v>11235</v>
      </c>
    </row>
    <row r="6663" spans="1:8" x14ac:dyDescent="0.15">
      <c r="A6663" s="196" t="s">
        <v>11229</v>
      </c>
      <c r="B6663" s="196" t="s">
        <v>11230</v>
      </c>
      <c r="C6663" s="196" t="s">
        <v>26418</v>
      </c>
      <c r="D6663" s="196" t="s">
        <v>26419</v>
      </c>
      <c r="E6663" s="196" t="s">
        <v>26419</v>
      </c>
      <c r="F6663" s="196" t="s">
        <v>11233</v>
      </c>
      <c r="G6663" s="196" t="s">
        <v>12378</v>
      </c>
      <c r="H6663" s="196" t="s">
        <v>11235</v>
      </c>
    </row>
    <row r="6664" spans="1:8" x14ac:dyDescent="0.15">
      <c r="A6664" s="196" t="s">
        <v>11229</v>
      </c>
      <c r="B6664" s="196" t="s">
        <v>11230</v>
      </c>
      <c r="C6664" s="196" t="s">
        <v>26420</v>
      </c>
      <c r="D6664" s="196" t="s">
        <v>26421</v>
      </c>
      <c r="E6664" s="196" t="s">
        <v>26421</v>
      </c>
      <c r="F6664" s="196" t="s">
        <v>11233</v>
      </c>
      <c r="G6664" s="196" t="s">
        <v>12378</v>
      </c>
      <c r="H6664" s="196" t="s">
        <v>11235</v>
      </c>
    </row>
    <row r="6665" spans="1:8" x14ac:dyDescent="0.15">
      <c r="A6665" s="196" t="s">
        <v>11229</v>
      </c>
      <c r="B6665" s="196" t="s">
        <v>11230</v>
      </c>
      <c r="C6665" s="196" t="s">
        <v>26422</v>
      </c>
      <c r="D6665" s="196" t="s">
        <v>26423</v>
      </c>
      <c r="E6665" s="196" t="s">
        <v>26423</v>
      </c>
      <c r="F6665" s="196" t="s">
        <v>11233</v>
      </c>
      <c r="G6665" s="196" t="s">
        <v>11720</v>
      </c>
      <c r="H6665" s="196" t="s">
        <v>11235</v>
      </c>
    </row>
    <row r="6666" spans="1:8" x14ac:dyDescent="0.15">
      <c r="A6666" s="196" t="s">
        <v>11229</v>
      </c>
      <c r="B6666" s="196" t="s">
        <v>11230</v>
      </c>
      <c r="C6666" s="196" t="s">
        <v>26424</v>
      </c>
      <c r="D6666" s="196" t="s">
        <v>26425</v>
      </c>
      <c r="E6666" s="196" t="s">
        <v>26425</v>
      </c>
      <c r="F6666" s="196" t="s">
        <v>11233</v>
      </c>
      <c r="G6666" s="196" t="s">
        <v>12378</v>
      </c>
      <c r="H6666" s="196" t="s">
        <v>11235</v>
      </c>
    </row>
    <row r="6667" spans="1:8" x14ac:dyDescent="0.15">
      <c r="A6667" s="196" t="s">
        <v>11229</v>
      </c>
      <c r="B6667" s="196" t="s">
        <v>11230</v>
      </c>
      <c r="C6667" s="196" t="s">
        <v>26426</v>
      </c>
      <c r="D6667" s="196" t="s">
        <v>26427</v>
      </c>
      <c r="E6667" s="196" t="s">
        <v>26427</v>
      </c>
      <c r="F6667" s="196" t="s">
        <v>11233</v>
      </c>
      <c r="G6667" s="196" t="s">
        <v>11720</v>
      </c>
      <c r="H6667" s="196" t="s">
        <v>11235</v>
      </c>
    </row>
    <row r="6668" spans="1:8" x14ac:dyDescent="0.15">
      <c r="A6668" s="196" t="s">
        <v>11229</v>
      </c>
      <c r="B6668" s="196" t="s">
        <v>11230</v>
      </c>
      <c r="C6668" s="196" t="s">
        <v>26428</v>
      </c>
      <c r="D6668" s="196" t="s">
        <v>26429</v>
      </c>
      <c r="E6668" s="196" t="s">
        <v>26429</v>
      </c>
      <c r="F6668" s="196" t="s">
        <v>11233</v>
      </c>
      <c r="G6668" s="196" t="s">
        <v>11720</v>
      </c>
      <c r="H6668" s="196" t="s">
        <v>11235</v>
      </c>
    </row>
    <row r="6669" spans="1:8" x14ac:dyDescent="0.15">
      <c r="A6669" s="196" t="s">
        <v>11229</v>
      </c>
      <c r="B6669" s="196" t="s">
        <v>11230</v>
      </c>
      <c r="C6669" s="196" t="s">
        <v>26430</v>
      </c>
      <c r="D6669" s="196" t="s">
        <v>26431</v>
      </c>
      <c r="E6669" s="196" t="s">
        <v>26431</v>
      </c>
      <c r="F6669" s="196" t="s">
        <v>11233</v>
      </c>
      <c r="G6669" s="196" t="s">
        <v>11720</v>
      </c>
      <c r="H6669" s="196" t="s">
        <v>11235</v>
      </c>
    </row>
    <row r="6670" spans="1:8" x14ac:dyDescent="0.15">
      <c r="A6670" s="196" t="s">
        <v>11229</v>
      </c>
      <c r="B6670" s="196" t="s">
        <v>11230</v>
      </c>
      <c r="C6670" s="196" t="s">
        <v>26432</v>
      </c>
      <c r="D6670" s="196" t="s">
        <v>26433</v>
      </c>
      <c r="E6670" s="196" t="s">
        <v>26433</v>
      </c>
      <c r="F6670" s="196" t="s">
        <v>11233</v>
      </c>
      <c r="G6670" s="196" t="s">
        <v>11720</v>
      </c>
      <c r="H6670" s="196" t="s">
        <v>11235</v>
      </c>
    </row>
    <row r="6671" spans="1:8" x14ac:dyDescent="0.15">
      <c r="A6671" s="196" t="s">
        <v>11229</v>
      </c>
      <c r="B6671" s="196" t="s">
        <v>11230</v>
      </c>
      <c r="C6671" s="196" t="s">
        <v>26434</v>
      </c>
      <c r="D6671" s="196" t="s">
        <v>26435</v>
      </c>
      <c r="E6671" s="196" t="s">
        <v>26435</v>
      </c>
      <c r="F6671" s="196" t="s">
        <v>11233</v>
      </c>
      <c r="G6671" s="196" t="s">
        <v>11720</v>
      </c>
      <c r="H6671" s="196" t="s">
        <v>11235</v>
      </c>
    </row>
    <row r="6672" spans="1:8" x14ac:dyDescent="0.15">
      <c r="A6672" s="196" t="s">
        <v>11229</v>
      </c>
      <c r="B6672" s="196" t="s">
        <v>11230</v>
      </c>
      <c r="C6672" s="196" t="s">
        <v>26436</v>
      </c>
      <c r="D6672" s="196" t="s">
        <v>26437</v>
      </c>
      <c r="E6672" s="196" t="s">
        <v>26437</v>
      </c>
      <c r="F6672" s="196" t="s">
        <v>11233</v>
      </c>
      <c r="G6672" s="196" t="s">
        <v>11720</v>
      </c>
      <c r="H6672" s="196" t="s">
        <v>11235</v>
      </c>
    </row>
    <row r="6673" spans="1:8" x14ac:dyDescent="0.15">
      <c r="A6673" s="196" t="s">
        <v>11229</v>
      </c>
      <c r="B6673" s="196" t="s">
        <v>11230</v>
      </c>
      <c r="C6673" s="196" t="s">
        <v>26438</v>
      </c>
      <c r="D6673" s="196" t="s">
        <v>26439</v>
      </c>
      <c r="E6673" s="196" t="s">
        <v>26439</v>
      </c>
      <c r="F6673" s="196" t="s">
        <v>11233</v>
      </c>
      <c r="G6673" s="196" t="s">
        <v>11720</v>
      </c>
      <c r="H6673" s="196" t="s">
        <v>11235</v>
      </c>
    </row>
    <row r="6674" spans="1:8" x14ac:dyDescent="0.15">
      <c r="A6674" s="196" t="s">
        <v>11229</v>
      </c>
      <c r="B6674" s="196" t="s">
        <v>11230</v>
      </c>
      <c r="C6674" s="196" t="s">
        <v>26440</v>
      </c>
      <c r="D6674" s="196" t="s">
        <v>26441</v>
      </c>
      <c r="E6674" s="196" t="s">
        <v>26441</v>
      </c>
      <c r="F6674" s="196" t="s">
        <v>11233</v>
      </c>
      <c r="G6674" s="196" t="s">
        <v>12378</v>
      </c>
      <c r="H6674" s="196" t="s">
        <v>11235</v>
      </c>
    </row>
    <row r="6675" spans="1:8" x14ac:dyDescent="0.15">
      <c r="A6675" s="196" t="s">
        <v>11229</v>
      </c>
      <c r="B6675" s="196" t="s">
        <v>11230</v>
      </c>
      <c r="C6675" s="196" t="s">
        <v>26442</v>
      </c>
      <c r="D6675" s="196" t="s">
        <v>26443</v>
      </c>
      <c r="E6675" s="196" t="s">
        <v>26443</v>
      </c>
      <c r="F6675" s="196" t="s">
        <v>11233</v>
      </c>
      <c r="G6675" s="196" t="s">
        <v>12378</v>
      </c>
      <c r="H6675" s="196" t="s">
        <v>11235</v>
      </c>
    </row>
    <row r="6676" spans="1:8" x14ac:dyDescent="0.15">
      <c r="A6676" s="196" t="s">
        <v>11229</v>
      </c>
      <c r="B6676" s="196" t="s">
        <v>11230</v>
      </c>
      <c r="C6676" s="196" t="s">
        <v>26444</v>
      </c>
      <c r="D6676" s="196" t="s">
        <v>26445</v>
      </c>
      <c r="E6676" s="196" t="s">
        <v>26445</v>
      </c>
      <c r="F6676" s="196" t="s">
        <v>11233</v>
      </c>
      <c r="G6676" s="196" t="s">
        <v>12378</v>
      </c>
      <c r="H6676" s="196" t="s">
        <v>11235</v>
      </c>
    </row>
    <row r="6677" spans="1:8" x14ac:dyDescent="0.15">
      <c r="A6677" s="196" t="s">
        <v>11229</v>
      </c>
      <c r="B6677" s="196" t="s">
        <v>11230</v>
      </c>
      <c r="C6677" s="196" t="s">
        <v>26446</v>
      </c>
      <c r="D6677" s="196" t="s">
        <v>26447</v>
      </c>
      <c r="E6677" s="196" t="s">
        <v>26447</v>
      </c>
      <c r="F6677" s="196" t="s">
        <v>11233</v>
      </c>
      <c r="G6677" s="196" t="s">
        <v>12378</v>
      </c>
      <c r="H6677" s="196" t="s">
        <v>11235</v>
      </c>
    </row>
    <row r="6678" spans="1:8" x14ac:dyDescent="0.15">
      <c r="A6678" s="196" t="s">
        <v>11229</v>
      </c>
      <c r="B6678" s="196" t="s">
        <v>11230</v>
      </c>
      <c r="C6678" s="196" t="s">
        <v>26448</v>
      </c>
      <c r="D6678" s="196" t="s">
        <v>26449</v>
      </c>
      <c r="E6678" s="196" t="s">
        <v>26449</v>
      </c>
      <c r="F6678" s="196" t="s">
        <v>11233</v>
      </c>
      <c r="G6678" s="196" t="s">
        <v>12378</v>
      </c>
      <c r="H6678" s="196" t="s">
        <v>11235</v>
      </c>
    </row>
    <row r="6679" spans="1:8" x14ac:dyDescent="0.15">
      <c r="A6679" s="196" t="s">
        <v>11229</v>
      </c>
      <c r="B6679" s="196" t="s">
        <v>11230</v>
      </c>
      <c r="C6679" s="196" t="s">
        <v>26450</v>
      </c>
      <c r="D6679" s="196" t="s">
        <v>26451</v>
      </c>
      <c r="E6679" s="196" t="s">
        <v>26451</v>
      </c>
      <c r="F6679" s="196" t="s">
        <v>11233</v>
      </c>
      <c r="G6679" s="196" t="s">
        <v>12378</v>
      </c>
      <c r="H6679" s="196" t="s">
        <v>11235</v>
      </c>
    </row>
    <row r="6680" spans="1:8" x14ac:dyDescent="0.15">
      <c r="A6680" s="196" t="s">
        <v>11229</v>
      </c>
      <c r="B6680" s="196" t="s">
        <v>11230</v>
      </c>
      <c r="C6680" s="196" t="s">
        <v>26452</v>
      </c>
      <c r="D6680" s="196" t="s">
        <v>26453</v>
      </c>
      <c r="E6680" s="196" t="s">
        <v>26453</v>
      </c>
      <c r="F6680" s="196" t="s">
        <v>11233</v>
      </c>
      <c r="G6680" s="196" t="s">
        <v>12378</v>
      </c>
      <c r="H6680" s="196" t="s">
        <v>11235</v>
      </c>
    </row>
    <row r="6681" spans="1:8" x14ac:dyDescent="0.15">
      <c r="A6681" s="196" t="s">
        <v>11229</v>
      </c>
      <c r="B6681" s="196" t="s">
        <v>11230</v>
      </c>
      <c r="C6681" s="196" t="s">
        <v>26454</v>
      </c>
      <c r="D6681" s="196" t="s">
        <v>26455</v>
      </c>
      <c r="E6681" s="196" t="s">
        <v>26455</v>
      </c>
      <c r="F6681" s="196" t="s">
        <v>11233</v>
      </c>
      <c r="G6681" s="196" t="s">
        <v>11720</v>
      </c>
      <c r="H6681" s="196" t="s">
        <v>11235</v>
      </c>
    </row>
    <row r="6682" spans="1:8" x14ac:dyDescent="0.15">
      <c r="A6682" s="196" t="s">
        <v>11229</v>
      </c>
      <c r="B6682" s="196" t="s">
        <v>11230</v>
      </c>
      <c r="C6682" s="196" t="s">
        <v>26456</v>
      </c>
      <c r="D6682" s="196" t="s">
        <v>26457</v>
      </c>
      <c r="E6682" s="196" t="s">
        <v>26457</v>
      </c>
      <c r="F6682" s="196" t="s">
        <v>11233</v>
      </c>
      <c r="G6682" s="196" t="s">
        <v>11720</v>
      </c>
      <c r="H6682" s="196" t="s">
        <v>11235</v>
      </c>
    </row>
    <row r="6683" spans="1:8" x14ac:dyDescent="0.15">
      <c r="A6683" s="196" t="s">
        <v>11229</v>
      </c>
      <c r="B6683" s="196" t="s">
        <v>11230</v>
      </c>
      <c r="C6683" s="196" t="s">
        <v>26458</v>
      </c>
      <c r="D6683" s="196" t="s">
        <v>26459</v>
      </c>
      <c r="E6683" s="196" t="s">
        <v>26459</v>
      </c>
      <c r="F6683" s="196" t="s">
        <v>11233</v>
      </c>
      <c r="G6683" s="196" t="s">
        <v>12378</v>
      </c>
      <c r="H6683" s="196" t="s">
        <v>11235</v>
      </c>
    </row>
    <row r="6684" spans="1:8" x14ac:dyDescent="0.15">
      <c r="A6684" s="196" t="s">
        <v>11229</v>
      </c>
      <c r="B6684" s="196" t="s">
        <v>11230</v>
      </c>
      <c r="C6684" s="196" t="s">
        <v>26460</v>
      </c>
      <c r="D6684" s="196" t="s">
        <v>26461</v>
      </c>
      <c r="E6684" s="196" t="s">
        <v>26461</v>
      </c>
      <c r="F6684" s="196" t="s">
        <v>11233</v>
      </c>
      <c r="G6684" s="196" t="s">
        <v>12378</v>
      </c>
      <c r="H6684" s="196" t="s">
        <v>11235</v>
      </c>
    </row>
    <row r="6685" spans="1:8" x14ac:dyDescent="0.15">
      <c r="A6685" s="196" t="s">
        <v>11229</v>
      </c>
      <c r="B6685" s="196" t="s">
        <v>11230</v>
      </c>
      <c r="C6685" s="196" t="s">
        <v>26462</v>
      </c>
      <c r="D6685" s="196" t="s">
        <v>26463</v>
      </c>
      <c r="E6685" s="196" t="s">
        <v>26463</v>
      </c>
      <c r="F6685" s="196" t="s">
        <v>11233</v>
      </c>
      <c r="G6685" s="196" t="s">
        <v>12378</v>
      </c>
      <c r="H6685" s="196" t="s">
        <v>11235</v>
      </c>
    </row>
    <row r="6686" spans="1:8" x14ac:dyDescent="0.15">
      <c r="A6686" s="196" t="s">
        <v>11229</v>
      </c>
      <c r="B6686" s="196" t="s">
        <v>11230</v>
      </c>
      <c r="C6686" s="196" t="s">
        <v>26464</v>
      </c>
      <c r="D6686" s="196" t="s">
        <v>26465</v>
      </c>
      <c r="E6686" s="196" t="s">
        <v>26465</v>
      </c>
      <c r="F6686" s="196" t="s">
        <v>11233</v>
      </c>
      <c r="G6686" s="196" t="s">
        <v>11720</v>
      </c>
      <c r="H6686" s="196" t="s">
        <v>11235</v>
      </c>
    </row>
    <row r="6687" spans="1:8" x14ac:dyDescent="0.15">
      <c r="A6687" s="196" t="s">
        <v>11229</v>
      </c>
      <c r="B6687" s="196" t="s">
        <v>11230</v>
      </c>
      <c r="C6687" s="196" t="s">
        <v>26466</v>
      </c>
      <c r="D6687" s="196" t="s">
        <v>26467</v>
      </c>
      <c r="E6687" s="196" t="s">
        <v>26467</v>
      </c>
      <c r="F6687" s="196" t="s">
        <v>11233</v>
      </c>
      <c r="G6687" s="196" t="s">
        <v>11720</v>
      </c>
      <c r="H6687" s="196" t="s">
        <v>11235</v>
      </c>
    </row>
    <row r="6688" spans="1:8" x14ac:dyDescent="0.15">
      <c r="A6688" s="196" t="s">
        <v>11229</v>
      </c>
      <c r="B6688" s="196" t="s">
        <v>11230</v>
      </c>
      <c r="C6688" s="196" t="s">
        <v>26468</v>
      </c>
      <c r="D6688" s="196" t="s">
        <v>26469</v>
      </c>
      <c r="E6688" s="196" t="s">
        <v>26470</v>
      </c>
      <c r="F6688" s="196" t="s">
        <v>13758</v>
      </c>
      <c r="G6688" s="196" t="s">
        <v>12378</v>
      </c>
      <c r="H6688" s="196" t="s">
        <v>11235</v>
      </c>
    </row>
    <row r="6689" spans="1:8" x14ac:dyDescent="0.15">
      <c r="A6689" s="196" t="s">
        <v>11229</v>
      </c>
      <c r="B6689" s="196" t="s">
        <v>11230</v>
      </c>
      <c r="C6689" s="196" t="s">
        <v>26471</v>
      </c>
      <c r="D6689" s="196" t="s">
        <v>26472</v>
      </c>
      <c r="E6689" s="196" t="s">
        <v>26473</v>
      </c>
      <c r="F6689" s="196" t="s">
        <v>11241</v>
      </c>
      <c r="G6689" s="196" t="s">
        <v>11720</v>
      </c>
      <c r="H6689" s="196" t="s">
        <v>11235</v>
      </c>
    </row>
    <row r="6690" spans="1:8" x14ac:dyDescent="0.15">
      <c r="A6690" s="196" t="s">
        <v>11229</v>
      </c>
      <c r="B6690" s="196" t="s">
        <v>11230</v>
      </c>
      <c r="C6690" s="196" t="s">
        <v>26474</v>
      </c>
      <c r="D6690" s="196" t="s">
        <v>26473</v>
      </c>
      <c r="E6690" s="196" t="s">
        <v>26475</v>
      </c>
      <c r="F6690" s="196" t="s">
        <v>11268</v>
      </c>
      <c r="G6690" s="196" t="s">
        <v>11720</v>
      </c>
      <c r="H6690" s="196" t="s">
        <v>11235</v>
      </c>
    </row>
    <row r="6691" spans="1:8" x14ac:dyDescent="0.15">
      <c r="A6691" s="196" t="s">
        <v>11229</v>
      </c>
      <c r="B6691" s="196" t="s">
        <v>11230</v>
      </c>
      <c r="C6691" s="196" t="s">
        <v>26476</v>
      </c>
      <c r="D6691" s="196" t="s">
        <v>26477</v>
      </c>
      <c r="E6691" s="196" t="s">
        <v>26478</v>
      </c>
      <c r="F6691" s="196" t="s">
        <v>11241</v>
      </c>
      <c r="G6691" s="196" t="s">
        <v>12378</v>
      </c>
      <c r="H6691" s="196" t="s">
        <v>11235</v>
      </c>
    </row>
    <row r="6692" spans="1:8" x14ac:dyDescent="0.15">
      <c r="A6692" s="196" t="s">
        <v>11229</v>
      </c>
      <c r="B6692" s="196" t="s">
        <v>11230</v>
      </c>
      <c r="C6692" s="196" t="s">
        <v>26479</v>
      </c>
      <c r="D6692" s="196" t="s">
        <v>26478</v>
      </c>
      <c r="E6692" s="196" t="s">
        <v>26480</v>
      </c>
      <c r="F6692" s="196" t="s">
        <v>11268</v>
      </c>
      <c r="G6692" s="196" t="s">
        <v>12378</v>
      </c>
      <c r="H6692" s="196" t="s">
        <v>11235</v>
      </c>
    </row>
    <row r="6693" spans="1:8" x14ac:dyDescent="0.15">
      <c r="A6693" s="196" t="s">
        <v>11229</v>
      </c>
      <c r="B6693" s="196" t="s">
        <v>11230</v>
      </c>
      <c r="C6693" s="196" t="s">
        <v>26481</v>
      </c>
      <c r="D6693" s="196" t="s">
        <v>26482</v>
      </c>
      <c r="E6693" s="196" t="s">
        <v>26483</v>
      </c>
      <c r="F6693" s="196" t="s">
        <v>11771</v>
      </c>
      <c r="G6693" s="196" t="s">
        <v>12378</v>
      </c>
      <c r="H6693" s="196" t="s">
        <v>11235</v>
      </c>
    </row>
    <row r="6694" spans="1:8" x14ac:dyDescent="0.15">
      <c r="A6694" s="196" t="s">
        <v>11229</v>
      </c>
      <c r="B6694" s="196" t="s">
        <v>11230</v>
      </c>
      <c r="C6694" s="196" t="s">
        <v>26484</v>
      </c>
      <c r="D6694" s="196" t="s">
        <v>26485</v>
      </c>
      <c r="E6694" s="196" t="s">
        <v>26485</v>
      </c>
      <c r="F6694" s="196" t="s">
        <v>11233</v>
      </c>
      <c r="G6694" s="196" t="s">
        <v>12378</v>
      </c>
      <c r="H6694" s="196" t="s">
        <v>11235</v>
      </c>
    </row>
    <row r="6695" spans="1:8" x14ac:dyDescent="0.15">
      <c r="A6695" s="196" t="s">
        <v>11229</v>
      </c>
      <c r="B6695" s="196" t="s">
        <v>11230</v>
      </c>
      <c r="C6695" s="196" t="s">
        <v>26486</v>
      </c>
      <c r="D6695" s="196" t="s">
        <v>26487</v>
      </c>
      <c r="E6695" s="196" t="s">
        <v>26487</v>
      </c>
      <c r="F6695" s="196" t="s">
        <v>11233</v>
      </c>
      <c r="G6695" s="196" t="s">
        <v>12378</v>
      </c>
      <c r="H6695" s="196" t="s">
        <v>11235</v>
      </c>
    </row>
    <row r="6696" spans="1:8" x14ac:dyDescent="0.15">
      <c r="A6696" s="196" t="s">
        <v>11229</v>
      </c>
      <c r="B6696" s="196" t="s">
        <v>11230</v>
      </c>
      <c r="C6696" s="196" t="s">
        <v>26488</v>
      </c>
      <c r="D6696" s="196" t="s">
        <v>26489</v>
      </c>
      <c r="E6696" s="196" t="s">
        <v>26489</v>
      </c>
      <c r="F6696" s="196" t="s">
        <v>11233</v>
      </c>
      <c r="G6696" s="196" t="s">
        <v>12378</v>
      </c>
      <c r="H6696" s="196" t="s">
        <v>11235</v>
      </c>
    </row>
    <row r="6697" spans="1:8" x14ac:dyDescent="0.15">
      <c r="A6697" s="196" t="s">
        <v>11229</v>
      </c>
      <c r="B6697" s="196" t="s">
        <v>11230</v>
      </c>
      <c r="C6697" s="196" t="s">
        <v>26490</v>
      </c>
      <c r="D6697" s="196" t="s">
        <v>26491</v>
      </c>
      <c r="E6697" s="196" t="s">
        <v>26492</v>
      </c>
      <c r="F6697" s="196" t="s">
        <v>11241</v>
      </c>
      <c r="G6697" s="196" t="s">
        <v>12378</v>
      </c>
      <c r="H6697" s="196" t="s">
        <v>11235</v>
      </c>
    </row>
    <row r="6698" spans="1:8" x14ac:dyDescent="0.15">
      <c r="A6698" s="196" t="s">
        <v>11229</v>
      </c>
      <c r="B6698" s="196" t="s">
        <v>11230</v>
      </c>
      <c r="C6698" s="196" t="s">
        <v>26493</v>
      </c>
      <c r="D6698" s="196" t="s">
        <v>26494</v>
      </c>
      <c r="E6698" s="196" t="s">
        <v>26494</v>
      </c>
      <c r="F6698" s="196" t="s">
        <v>11233</v>
      </c>
      <c r="G6698" s="196" t="s">
        <v>12378</v>
      </c>
      <c r="H6698" s="196" t="s">
        <v>11235</v>
      </c>
    </row>
    <row r="6699" spans="1:8" x14ac:dyDescent="0.15">
      <c r="A6699" s="196" t="s">
        <v>11229</v>
      </c>
      <c r="B6699" s="196" t="s">
        <v>11230</v>
      </c>
      <c r="C6699" s="196" t="s">
        <v>26495</v>
      </c>
      <c r="D6699" s="196" t="s">
        <v>26496</v>
      </c>
      <c r="E6699" s="196" t="s">
        <v>26497</v>
      </c>
      <c r="F6699" s="196" t="s">
        <v>11241</v>
      </c>
      <c r="G6699" s="196" t="s">
        <v>11720</v>
      </c>
      <c r="H6699" s="196" t="s">
        <v>11235</v>
      </c>
    </row>
    <row r="6700" spans="1:8" x14ac:dyDescent="0.15">
      <c r="A6700" s="196" t="s">
        <v>11229</v>
      </c>
      <c r="B6700" s="196" t="s">
        <v>11230</v>
      </c>
      <c r="C6700" s="196" t="s">
        <v>26498</v>
      </c>
      <c r="D6700" s="196" t="s">
        <v>26497</v>
      </c>
      <c r="E6700" s="196" t="s">
        <v>26499</v>
      </c>
      <c r="F6700" s="196" t="s">
        <v>11241</v>
      </c>
      <c r="G6700" s="196" t="s">
        <v>11720</v>
      </c>
      <c r="H6700" s="196" t="s">
        <v>11235</v>
      </c>
    </row>
    <row r="6701" spans="1:8" x14ac:dyDescent="0.15">
      <c r="A6701" s="196" t="s">
        <v>11229</v>
      </c>
      <c r="B6701" s="196" t="s">
        <v>11230</v>
      </c>
      <c r="C6701" s="196" t="s">
        <v>26500</v>
      </c>
      <c r="D6701" s="196" t="s">
        <v>26501</v>
      </c>
      <c r="E6701" s="196" t="s">
        <v>26501</v>
      </c>
      <c r="F6701" s="196" t="s">
        <v>11233</v>
      </c>
      <c r="G6701" s="196" t="s">
        <v>11720</v>
      </c>
      <c r="H6701" s="196" t="s">
        <v>11235</v>
      </c>
    </row>
    <row r="6702" spans="1:8" x14ac:dyDescent="0.15">
      <c r="A6702" s="196" t="s">
        <v>11229</v>
      </c>
      <c r="B6702" s="196" t="s">
        <v>11230</v>
      </c>
      <c r="C6702" s="196" t="s">
        <v>26502</v>
      </c>
      <c r="D6702" s="196" t="s">
        <v>26503</v>
      </c>
      <c r="E6702" s="196" t="s">
        <v>26503</v>
      </c>
      <c r="F6702" s="196" t="s">
        <v>11233</v>
      </c>
      <c r="G6702" s="196" t="s">
        <v>11720</v>
      </c>
      <c r="H6702" s="196" t="s">
        <v>11235</v>
      </c>
    </row>
    <row r="6703" spans="1:8" x14ac:dyDescent="0.15">
      <c r="A6703" s="196" t="s">
        <v>11229</v>
      </c>
      <c r="B6703" s="196" t="s">
        <v>11230</v>
      </c>
      <c r="C6703" s="196" t="s">
        <v>26504</v>
      </c>
      <c r="D6703" s="196" t="s">
        <v>26505</v>
      </c>
      <c r="E6703" s="196" t="s">
        <v>26506</v>
      </c>
      <c r="F6703" s="196" t="s">
        <v>13758</v>
      </c>
      <c r="G6703" s="196" t="s">
        <v>12378</v>
      </c>
      <c r="H6703" s="196" t="s">
        <v>11235</v>
      </c>
    </row>
    <row r="6704" spans="1:8" x14ac:dyDescent="0.15">
      <c r="A6704" s="196" t="s">
        <v>11229</v>
      </c>
      <c r="B6704" s="196" t="s">
        <v>11230</v>
      </c>
      <c r="C6704" s="196" t="s">
        <v>26507</v>
      </c>
      <c r="D6704" s="196" t="s">
        <v>26508</v>
      </c>
      <c r="E6704" s="196" t="s">
        <v>26508</v>
      </c>
      <c r="F6704" s="196" t="s">
        <v>11233</v>
      </c>
      <c r="G6704" s="196" t="s">
        <v>11720</v>
      </c>
      <c r="H6704" s="196" t="s">
        <v>11235</v>
      </c>
    </row>
    <row r="6705" spans="1:8" x14ac:dyDescent="0.15">
      <c r="A6705" s="196" t="s">
        <v>11229</v>
      </c>
      <c r="B6705" s="196" t="s">
        <v>11230</v>
      </c>
      <c r="C6705" s="196" t="s">
        <v>26509</v>
      </c>
      <c r="D6705" s="196" t="s">
        <v>26510</v>
      </c>
      <c r="E6705" s="196" t="s">
        <v>26510</v>
      </c>
      <c r="F6705" s="196" t="s">
        <v>11233</v>
      </c>
      <c r="G6705" s="196" t="s">
        <v>11720</v>
      </c>
      <c r="H6705" s="196" t="s">
        <v>11235</v>
      </c>
    </row>
    <row r="6706" spans="1:8" x14ac:dyDescent="0.15">
      <c r="A6706" s="196" t="s">
        <v>11229</v>
      </c>
      <c r="B6706" s="196" t="s">
        <v>11230</v>
      </c>
      <c r="C6706" s="196" t="s">
        <v>26511</v>
      </c>
      <c r="D6706" s="196" t="s">
        <v>26512</v>
      </c>
      <c r="E6706" s="196" t="s">
        <v>26512</v>
      </c>
      <c r="F6706" s="196" t="s">
        <v>11233</v>
      </c>
      <c r="G6706" s="196" t="s">
        <v>12378</v>
      </c>
      <c r="H6706" s="196" t="s">
        <v>11235</v>
      </c>
    </row>
    <row r="6707" spans="1:8" x14ac:dyDescent="0.15">
      <c r="A6707" s="196" t="s">
        <v>11229</v>
      </c>
      <c r="B6707" s="196" t="s">
        <v>11230</v>
      </c>
      <c r="C6707" s="196" t="s">
        <v>26513</v>
      </c>
      <c r="D6707" s="196" t="s">
        <v>26514</v>
      </c>
      <c r="E6707" s="196" t="s">
        <v>26515</v>
      </c>
      <c r="F6707" s="196" t="s">
        <v>13023</v>
      </c>
      <c r="G6707" s="196" t="s">
        <v>11720</v>
      </c>
      <c r="H6707" s="196" t="s">
        <v>11235</v>
      </c>
    </row>
    <row r="6708" spans="1:8" x14ac:dyDescent="0.15">
      <c r="A6708" s="196" t="s">
        <v>11229</v>
      </c>
      <c r="B6708" s="196" t="s">
        <v>11230</v>
      </c>
      <c r="C6708" s="196" t="s">
        <v>26516</v>
      </c>
      <c r="D6708" s="196" t="s">
        <v>26517</v>
      </c>
      <c r="E6708" s="196" t="s">
        <v>26518</v>
      </c>
      <c r="F6708" s="196" t="s">
        <v>13758</v>
      </c>
      <c r="G6708" s="196" t="s">
        <v>12378</v>
      </c>
      <c r="H6708" s="196" t="s">
        <v>11235</v>
      </c>
    </row>
    <row r="6709" spans="1:8" x14ac:dyDescent="0.15">
      <c r="A6709" s="196" t="s">
        <v>11229</v>
      </c>
      <c r="B6709" s="196" t="s">
        <v>11230</v>
      </c>
      <c r="C6709" s="196" t="s">
        <v>26519</v>
      </c>
      <c r="D6709" s="196" t="s">
        <v>26520</v>
      </c>
      <c r="E6709" s="196" t="s">
        <v>26520</v>
      </c>
      <c r="F6709" s="196" t="s">
        <v>11233</v>
      </c>
      <c r="G6709" s="196" t="s">
        <v>11720</v>
      </c>
      <c r="H6709" s="196" t="s">
        <v>11235</v>
      </c>
    </row>
    <row r="6710" spans="1:8" x14ac:dyDescent="0.15">
      <c r="A6710" s="196" t="s">
        <v>11229</v>
      </c>
      <c r="B6710" s="196" t="s">
        <v>11230</v>
      </c>
      <c r="C6710" s="196" t="s">
        <v>26521</v>
      </c>
      <c r="D6710" s="196" t="s">
        <v>26522</v>
      </c>
      <c r="E6710" s="196" t="s">
        <v>26522</v>
      </c>
      <c r="F6710" s="196" t="s">
        <v>11233</v>
      </c>
      <c r="G6710" s="196" t="s">
        <v>11720</v>
      </c>
      <c r="H6710" s="196" t="s">
        <v>11235</v>
      </c>
    </row>
    <row r="6711" spans="1:8" x14ac:dyDescent="0.15">
      <c r="A6711" s="196" t="s">
        <v>11229</v>
      </c>
      <c r="B6711" s="196" t="s">
        <v>11230</v>
      </c>
      <c r="C6711" s="196" t="s">
        <v>26523</v>
      </c>
      <c r="D6711" s="196" t="s">
        <v>26524</v>
      </c>
      <c r="E6711" s="196" t="s">
        <v>26524</v>
      </c>
      <c r="F6711" s="196" t="s">
        <v>11233</v>
      </c>
      <c r="G6711" s="196" t="s">
        <v>12378</v>
      </c>
      <c r="H6711" s="196" t="s">
        <v>11235</v>
      </c>
    </row>
    <row r="6712" spans="1:8" x14ac:dyDescent="0.15">
      <c r="A6712" s="196" t="s">
        <v>11229</v>
      </c>
      <c r="B6712" s="196" t="s">
        <v>11230</v>
      </c>
      <c r="C6712" s="196" t="s">
        <v>26525</v>
      </c>
      <c r="D6712" s="196" t="s">
        <v>26526</v>
      </c>
      <c r="E6712" s="196" t="s">
        <v>26527</v>
      </c>
      <c r="F6712" s="196" t="s">
        <v>13023</v>
      </c>
      <c r="G6712" s="196" t="s">
        <v>11720</v>
      </c>
      <c r="H6712" s="196" t="s">
        <v>11235</v>
      </c>
    </row>
    <row r="6713" spans="1:8" x14ac:dyDescent="0.15">
      <c r="A6713" s="196" t="s">
        <v>11229</v>
      </c>
      <c r="B6713" s="196" t="s">
        <v>11230</v>
      </c>
      <c r="C6713" s="196" t="s">
        <v>26528</v>
      </c>
      <c r="D6713" s="196" t="s">
        <v>26527</v>
      </c>
      <c r="E6713" s="196" t="s">
        <v>26527</v>
      </c>
      <c r="F6713" s="196" t="s">
        <v>11233</v>
      </c>
      <c r="G6713" s="196" t="s">
        <v>12378</v>
      </c>
      <c r="H6713" s="196" t="s">
        <v>11235</v>
      </c>
    </row>
    <row r="6714" spans="1:8" x14ac:dyDescent="0.15">
      <c r="A6714" s="196" t="s">
        <v>11229</v>
      </c>
      <c r="B6714" s="196" t="s">
        <v>11230</v>
      </c>
      <c r="C6714" s="196" t="s">
        <v>26529</v>
      </c>
      <c r="D6714" s="196" t="s">
        <v>26530</v>
      </c>
      <c r="E6714" s="196" t="s">
        <v>26530</v>
      </c>
      <c r="F6714" s="196" t="s">
        <v>11233</v>
      </c>
      <c r="G6714" s="196" t="s">
        <v>12378</v>
      </c>
      <c r="H6714" s="196" t="s">
        <v>11235</v>
      </c>
    </row>
    <row r="6715" spans="1:8" x14ac:dyDescent="0.15">
      <c r="A6715" s="196" t="s">
        <v>11229</v>
      </c>
      <c r="B6715" s="196" t="s">
        <v>11230</v>
      </c>
      <c r="C6715" s="196" t="s">
        <v>26531</v>
      </c>
      <c r="D6715" s="196" t="s">
        <v>26532</v>
      </c>
      <c r="E6715" s="196" t="s">
        <v>26532</v>
      </c>
      <c r="F6715" s="196" t="s">
        <v>11233</v>
      </c>
      <c r="G6715" s="196" t="s">
        <v>12378</v>
      </c>
      <c r="H6715" s="196" t="s">
        <v>11235</v>
      </c>
    </row>
    <row r="6716" spans="1:8" x14ac:dyDescent="0.15">
      <c r="A6716" s="196" t="s">
        <v>11229</v>
      </c>
      <c r="B6716" s="196" t="s">
        <v>11230</v>
      </c>
      <c r="C6716" s="196" t="s">
        <v>26533</v>
      </c>
      <c r="D6716" s="196" t="s">
        <v>26534</v>
      </c>
      <c r="E6716" s="196" t="s">
        <v>26534</v>
      </c>
      <c r="F6716" s="196" t="s">
        <v>11233</v>
      </c>
      <c r="G6716" s="196" t="s">
        <v>12378</v>
      </c>
      <c r="H6716" s="196" t="s">
        <v>11235</v>
      </c>
    </row>
    <row r="6717" spans="1:8" x14ac:dyDescent="0.15">
      <c r="A6717" s="196" t="s">
        <v>11229</v>
      </c>
      <c r="B6717" s="196" t="s">
        <v>11230</v>
      </c>
      <c r="C6717" s="196" t="s">
        <v>26535</v>
      </c>
      <c r="D6717" s="196" t="s">
        <v>26536</v>
      </c>
      <c r="E6717" s="196" t="s">
        <v>26536</v>
      </c>
      <c r="F6717" s="196" t="s">
        <v>11233</v>
      </c>
      <c r="G6717" s="196" t="s">
        <v>11720</v>
      </c>
      <c r="H6717" s="196" t="s">
        <v>11235</v>
      </c>
    </row>
    <row r="6718" spans="1:8" x14ac:dyDescent="0.15">
      <c r="A6718" s="196" t="s">
        <v>11229</v>
      </c>
      <c r="B6718" s="196" t="s">
        <v>11230</v>
      </c>
      <c r="C6718" s="196" t="s">
        <v>26537</v>
      </c>
      <c r="D6718" s="196" t="s">
        <v>26538</v>
      </c>
      <c r="E6718" s="196" t="s">
        <v>26538</v>
      </c>
      <c r="F6718" s="196" t="s">
        <v>11233</v>
      </c>
      <c r="G6718" s="196" t="s">
        <v>11720</v>
      </c>
      <c r="H6718" s="196" t="s">
        <v>11235</v>
      </c>
    </row>
    <row r="6719" spans="1:8" x14ac:dyDescent="0.15">
      <c r="A6719" s="196" t="s">
        <v>11229</v>
      </c>
      <c r="B6719" s="196" t="s">
        <v>11230</v>
      </c>
      <c r="C6719" s="196" t="s">
        <v>26539</v>
      </c>
      <c r="D6719" s="196" t="s">
        <v>26540</v>
      </c>
      <c r="E6719" s="196" t="s">
        <v>26540</v>
      </c>
      <c r="F6719" s="196" t="s">
        <v>11233</v>
      </c>
      <c r="G6719" s="196" t="s">
        <v>11720</v>
      </c>
      <c r="H6719" s="196" t="s">
        <v>11235</v>
      </c>
    </row>
    <row r="6720" spans="1:8" x14ac:dyDescent="0.15">
      <c r="A6720" s="196" t="s">
        <v>11229</v>
      </c>
      <c r="B6720" s="196" t="s">
        <v>11230</v>
      </c>
      <c r="C6720" s="196" t="s">
        <v>26541</v>
      </c>
      <c r="D6720" s="196" t="s">
        <v>26540</v>
      </c>
      <c r="E6720" s="196" t="s">
        <v>26542</v>
      </c>
      <c r="F6720" s="196" t="s">
        <v>11241</v>
      </c>
      <c r="G6720" s="196" t="s">
        <v>12378</v>
      </c>
      <c r="H6720" s="196" t="s">
        <v>11235</v>
      </c>
    </row>
    <row r="6721" spans="1:8" x14ac:dyDescent="0.15">
      <c r="A6721" s="196" t="s">
        <v>11229</v>
      </c>
      <c r="B6721" s="196" t="s">
        <v>11230</v>
      </c>
      <c r="C6721" s="196" t="s">
        <v>26543</v>
      </c>
      <c r="D6721" s="196" t="s">
        <v>26542</v>
      </c>
      <c r="E6721" s="196" t="s">
        <v>26542</v>
      </c>
      <c r="F6721" s="196" t="s">
        <v>11233</v>
      </c>
      <c r="G6721" s="196" t="s">
        <v>11720</v>
      </c>
      <c r="H6721" s="196" t="s">
        <v>11235</v>
      </c>
    </row>
    <row r="6722" spans="1:8" x14ac:dyDescent="0.15">
      <c r="A6722" s="196" t="s">
        <v>11229</v>
      </c>
      <c r="B6722" s="196" t="s">
        <v>11230</v>
      </c>
      <c r="C6722" s="196" t="s">
        <v>26544</v>
      </c>
      <c r="D6722" s="196" t="s">
        <v>26545</v>
      </c>
      <c r="E6722" s="196" t="s">
        <v>26545</v>
      </c>
      <c r="F6722" s="196" t="s">
        <v>11233</v>
      </c>
      <c r="G6722" s="196" t="s">
        <v>11720</v>
      </c>
      <c r="H6722" s="196" t="s">
        <v>11235</v>
      </c>
    </row>
    <row r="6723" spans="1:8" x14ac:dyDescent="0.15">
      <c r="A6723" s="196" t="s">
        <v>11229</v>
      </c>
      <c r="B6723" s="196" t="s">
        <v>11230</v>
      </c>
      <c r="C6723" s="196" t="s">
        <v>26546</v>
      </c>
      <c r="D6723" s="196" t="s">
        <v>26545</v>
      </c>
      <c r="E6723" s="196" t="s">
        <v>26547</v>
      </c>
      <c r="F6723" s="196" t="s">
        <v>11268</v>
      </c>
      <c r="G6723" s="196" t="s">
        <v>12378</v>
      </c>
      <c r="H6723" s="196" t="s">
        <v>11235</v>
      </c>
    </row>
    <row r="6724" spans="1:8" x14ac:dyDescent="0.15">
      <c r="A6724" s="196" t="s">
        <v>11229</v>
      </c>
      <c r="B6724" s="196" t="s">
        <v>11230</v>
      </c>
      <c r="C6724" s="196" t="s">
        <v>26548</v>
      </c>
      <c r="D6724" s="196" t="s">
        <v>26547</v>
      </c>
      <c r="E6724" s="196" t="s">
        <v>26547</v>
      </c>
      <c r="F6724" s="196" t="s">
        <v>11233</v>
      </c>
      <c r="G6724" s="196" t="s">
        <v>11720</v>
      </c>
      <c r="H6724" s="196" t="s">
        <v>11235</v>
      </c>
    </row>
    <row r="6725" spans="1:8" x14ac:dyDescent="0.15">
      <c r="A6725" s="196" t="s">
        <v>11229</v>
      </c>
      <c r="B6725" s="196" t="s">
        <v>11230</v>
      </c>
      <c r="C6725" s="196" t="s">
        <v>26549</v>
      </c>
      <c r="D6725" s="196" t="s">
        <v>26550</v>
      </c>
      <c r="E6725" s="196" t="s">
        <v>26550</v>
      </c>
      <c r="F6725" s="196" t="s">
        <v>11233</v>
      </c>
      <c r="G6725" s="196" t="s">
        <v>11720</v>
      </c>
      <c r="H6725" s="196" t="s">
        <v>11235</v>
      </c>
    </row>
    <row r="6726" spans="1:8" x14ac:dyDescent="0.15">
      <c r="A6726" s="196" t="s">
        <v>11229</v>
      </c>
      <c r="B6726" s="196" t="s">
        <v>11230</v>
      </c>
      <c r="C6726" s="196" t="s">
        <v>26551</v>
      </c>
      <c r="D6726" s="196" t="s">
        <v>26552</v>
      </c>
      <c r="E6726" s="196" t="s">
        <v>26552</v>
      </c>
      <c r="F6726" s="196" t="s">
        <v>11233</v>
      </c>
      <c r="G6726" s="196" t="s">
        <v>12378</v>
      </c>
      <c r="H6726" s="196" t="s">
        <v>11235</v>
      </c>
    </row>
    <row r="6727" spans="1:8" x14ac:dyDescent="0.15">
      <c r="A6727" s="196" t="s">
        <v>11229</v>
      </c>
      <c r="B6727" s="196" t="s">
        <v>11230</v>
      </c>
      <c r="C6727" s="196" t="s">
        <v>26553</v>
      </c>
      <c r="D6727" s="196" t="s">
        <v>26554</v>
      </c>
      <c r="E6727" s="196" t="s">
        <v>26555</v>
      </c>
      <c r="F6727" s="196" t="s">
        <v>11241</v>
      </c>
      <c r="G6727" s="196" t="s">
        <v>12378</v>
      </c>
      <c r="H6727" s="196" t="s">
        <v>11235</v>
      </c>
    </row>
    <row r="6728" spans="1:8" x14ac:dyDescent="0.15">
      <c r="A6728" s="196" t="s">
        <v>11229</v>
      </c>
      <c r="B6728" s="196" t="s">
        <v>11230</v>
      </c>
      <c r="C6728" s="196" t="s">
        <v>26556</v>
      </c>
      <c r="D6728" s="196" t="s">
        <v>26555</v>
      </c>
      <c r="E6728" s="196" t="s">
        <v>26557</v>
      </c>
      <c r="F6728" s="196" t="s">
        <v>11268</v>
      </c>
      <c r="G6728" s="196" t="s">
        <v>11720</v>
      </c>
      <c r="H6728" s="196" t="s">
        <v>11235</v>
      </c>
    </row>
    <row r="6729" spans="1:8" x14ac:dyDescent="0.15">
      <c r="A6729" s="196" t="s">
        <v>11229</v>
      </c>
      <c r="B6729" s="196" t="s">
        <v>11230</v>
      </c>
      <c r="C6729" s="196" t="s">
        <v>26558</v>
      </c>
      <c r="D6729" s="196" t="s">
        <v>26559</v>
      </c>
      <c r="E6729" s="196" t="s">
        <v>26560</v>
      </c>
      <c r="F6729" s="196" t="s">
        <v>13023</v>
      </c>
      <c r="G6729" s="196" t="s">
        <v>12378</v>
      </c>
      <c r="H6729" s="196" t="s">
        <v>11235</v>
      </c>
    </row>
    <row r="6730" spans="1:8" x14ac:dyDescent="0.15">
      <c r="A6730" s="196" t="s">
        <v>11229</v>
      </c>
      <c r="B6730" s="196" t="s">
        <v>11230</v>
      </c>
      <c r="C6730" s="196" t="s">
        <v>26561</v>
      </c>
      <c r="D6730" s="196" t="s">
        <v>26560</v>
      </c>
      <c r="E6730" s="196" t="s">
        <v>26562</v>
      </c>
      <c r="F6730" s="196" t="s">
        <v>11241</v>
      </c>
      <c r="G6730" s="196" t="s">
        <v>12378</v>
      </c>
      <c r="H6730" s="196" t="s">
        <v>11235</v>
      </c>
    </row>
    <row r="6731" spans="1:8" x14ac:dyDescent="0.15">
      <c r="A6731" s="196" t="s">
        <v>11229</v>
      </c>
      <c r="B6731" s="196" t="s">
        <v>11230</v>
      </c>
      <c r="C6731" s="196" t="s">
        <v>26563</v>
      </c>
      <c r="D6731" s="196" t="s">
        <v>26560</v>
      </c>
      <c r="E6731" s="196" t="s">
        <v>26560</v>
      </c>
      <c r="F6731" s="196" t="s">
        <v>11233</v>
      </c>
      <c r="G6731" s="196" t="s">
        <v>11720</v>
      </c>
      <c r="H6731" s="196" t="s">
        <v>11235</v>
      </c>
    </row>
    <row r="6732" spans="1:8" x14ac:dyDescent="0.15">
      <c r="A6732" s="196" t="s">
        <v>11229</v>
      </c>
      <c r="B6732" s="196" t="s">
        <v>11230</v>
      </c>
      <c r="C6732" s="196" t="s">
        <v>26564</v>
      </c>
      <c r="D6732" s="196" t="s">
        <v>26562</v>
      </c>
      <c r="E6732" s="196" t="s">
        <v>26565</v>
      </c>
      <c r="F6732" s="196" t="s">
        <v>13023</v>
      </c>
      <c r="G6732" s="196" t="s">
        <v>11720</v>
      </c>
      <c r="H6732" s="196" t="s">
        <v>11235</v>
      </c>
    </row>
    <row r="6733" spans="1:8" x14ac:dyDescent="0.15">
      <c r="A6733" s="196" t="s">
        <v>11229</v>
      </c>
      <c r="B6733" s="196" t="s">
        <v>11230</v>
      </c>
      <c r="C6733" s="196" t="s">
        <v>26566</v>
      </c>
      <c r="D6733" s="196" t="s">
        <v>26565</v>
      </c>
      <c r="E6733" s="196" t="s">
        <v>26567</v>
      </c>
      <c r="F6733" s="196" t="s">
        <v>11241</v>
      </c>
      <c r="G6733" s="196" t="s">
        <v>11720</v>
      </c>
      <c r="H6733" s="196" t="s">
        <v>11235</v>
      </c>
    </row>
    <row r="6734" spans="1:8" x14ac:dyDescent="0.15">
      <c r="A6734" s="196" t="s">
        <v>11229</v>
      </c>
      <c r="B6734" s="196" t="s">
        <v>11230</v>
      </c>
      <c r="C6734" s="196" t="s">
        <v>26568</v>
      </c>
      <c r="D6734" s="196" t="s">
        <v>26567</v>
      </c>
      <c r="E6734" s="196" t="s">
        <v>26569</v>
      </c>
      <c r="F6734" s="196" t="s">
        <v>11241</v>
      </c>
      <c r="G6734" s="196" t="s">
        <v>11720</v>
      </c>
      <c r="H6734" s="196" t="s">
        <v>11235</v>
      </c>
    </row>
    <row r="6735" spans="1:8" x14ac:dyDescent="0.15">
      <c r="A6735" s="196" t="s">
        <v>11229</v>
      </c>
      <c r="B6735" s="196" t="s">
        <v>11230</v>
      </c>
      <c r="C6735" s="196" t="s">
        <v>26570</v>
      </c>
      <c r="D6735" s="196" t="s">
        <v>26571</v>
      </c>
      <c r="E6735" s="196" t="s">
        <v>26572</v>
      </c>
      <c r="F6735" s="196" t="s">
        <v>13758</v>
      </c>
      <c r="G6735" s="196" t="s">
        <v>12378</v>
      </c>
      <c r="H6735" s="196" t="s">
        <v>11235</v>
      </c>
    </row>
    <row r="6736" spans="1:8" x14ac:dyDescent="0.15">
      <c r="A6736" s="196" t="s">
        <v>11229</v>
      </c>
      <c r="B6736" s="196" t="s">
        <v>11230</v>
      </c>
      <c r="C6736" s="196" t="s">
        <v>26573</v>
      </c>
      <c r="D6736" s="196" t="s">
        <v>26572</v>
      </c>
      <c r="E6736" s="196" t="s">
        <v>26574</v>
      </c>
      <c r="F6736" s="196" t="s">
        <v>11268</v>
      </c>
      <c r="G6736" s="196" t="s">
        <v>12378</v>
      </c>
      <c r="H6736" s="196" t="s">
        <v>11235</v>
      </c>
    </row>
    <row r="6737" spans="1:8" x14ac:dyDescent="0.15">
      <c r="A6737" s="196" t="s">
        <v>11229</v>
      </c>
      <c r="B6737" s="196" t="s">
        <v>11230</v>
      </c>
      <c r="C6737" s="196" t="s">
        <v>26575</v>
      </c>
      <c r="D6737" s="196" t="s">
        <v>26574</v>
      </c>
      <c r="E6737" s="196" t="s">
        <v>26576</v>
      </c>
      <c r="F6737" s="196" t="s">
        <v>11241</v>
      </c>
      <c r="G6737" s="196" t="s">
        <v>12378</v>
      </c>
      <c r="H6737" s="196" t="s">
        <v>11235</v>
      </c>
    </row>
    <row r="6738" spans="1:8" x14ac:dyDescent="0.15">
      <c r="A6738" s="196" t="s">
        <v>11229</v>
      </c>
      <c r="B6738" s="196" t="s">
        <v>11230</v>
      </c>
      <c r="C6738" s="196" t="s">
        <v>26577</v>
      </c>
      <c r="D6738" s="196" t="s">
        <v>26578</v>
      </c>
      <c r="E6738" s="196" t="s">
        <v>26578</v>
      </c>
      <c r="F6738" s="196" t="s">
        <v>11233</v>
      </c>
      <c r="G6738" s="196" t="s">
        <v>11720</v>
      </c>
      <c r="H6738" s="196" t="s">
        <v>11235</v>
      </c>
    </row>
    <row r="6739" spans="1:8" x14ac:dyDescent="0.15">
      <c r="A6739" s="196" t="s">
        <v>11229</v>
      </c>
      <c r="B6739" s="196" t="s">
        <v>11230</v>
      </c>
      <c r="C6739" s="196" t="s">
        <v>26579</v>
      </c>
      <c r="D6739" s="196" t="s">
        <v>26580</v>
      </c>
      <c r="E6739" s="196" t="s">
        <v>26580</v>
      </c>
      <c r="F6739" s="196" t="s">
        <v>11233</v>
      </c>
      <c r="G6739" s="196" t="s">
        <v>12378</v>
      </c>
      <c r="H6739" s="196" t="s">
        <v>11235</v>
      </c>
    </row>
    <row r="6740" spans="1:8" x14ac:dyDescent="0.15">
      <c r="A6740" s="196" t="s">
        <v>11229</v>
      </c>
      <c r="B6740" s="196" t="s">
        <v>11230</v>
      </c>
      <c r="C6740" s="196" t="s">
        <v>26581</v>
      </c>
      <c r="D6740" s="196" t="s">
        <v>26582</v>
      </c>
      <c r="E6740" s="196" t="s">
        <v>26582</v>
      </c>
      <c r="F6740" s="196" t="s">
        <v>11233</v>
      </c>
      <c r="G6740" s="196" t="s">
        <v>12378</v>
      </c>
      <c r="H6740" s="196" t="s">
        <v>11235</v>
      </c>
    </row>
    <row r="6741" spans="1:8" x14ac:dyDescent="0.15">
      <c r="A6741" s="196" t="s">
        <v>11229</v>
      </c>
      <c r="B6741" s="196" t="s">
        <v>11230</v>
      </c>
      <c r="C6741" s="196" t="s">
        <v>26583</v>
      </c>
      <c r="D6741" s="196" t="s">
        <v>26584</v>
      </c>
      <c r="E6741" s="196" t="s">
        <v>26584</v>
      </c>
      <c r="F6741" s="196" t="s">
        <v>11233</v>
      </c>
      <c r="G6741" s="196" t="s">
        <v>11720</v>
      </c>
      <c r="H6741" s="196" t="s">
        <v>11235</v>
      </c>
    </row>
    <row r="6742" spans="1:8" x14ac:dyDescent="0.15">
      <c r="A6742" s="196" t="s">
        <v>11229</v>
      </c>
      <c r="B6742" s="196" t="s">
        <v>11230</v>
      </c>
      <c r="C6742" s="196" t="s">
        <v>26585</v>
      </c>
      <c r="D6742" s="196" t="s">
        <v>26586</v>
      </c>
      <c r="E6742" s="196" t="s">
        <v>26586</v>
      </c>
      <c r="F6742" s="196" t="s">
        <v>11233</v>
      </c>
      <c r="G6742" s="196" t="s">
        <v>11720</v>
      </c>
      <c r="H6742" s="196" t="s">
        <v>11235</v>
      </c>
    </row>
    <row r="6743" spans="1:8" x14ac:dyDescent="0.15">
      <c r="A6743" s="196" t="s">
        <v>11229</v>
      </c>
      <c r="B6743" s="196" t="s">
        <v>11230</v>
      </c>
      <c r="C6743" s="196" t="s">
        <v>26587</v>
      </c>
      <c r="D6743" s="196" t="s">
        <v>26588</v>
      </c>
      <c r="E6743" s="196" t="s">
        <v>26588</v>
      </c>
      <c r="F6743" s="196" t="s">
        <v>11233</v>
      </c>
      <c r="G6743" s="196" t="s">
        <v>12378</v>
      </c>
      <c r="H6743" s="196" t="s">
        <v>11235</v>
      </c>
    </row>
    <row r="6744" spans="1:8" x14ac:dyDescent="0.15">
      <c r="A6744" s="196" t="s">
        <v>11229</v>
      </c>
      <c r="B6744" s="196" t="s">
        <v>11230</v>
      </c>
      <c r="C6744" s="196" t="s">
        <v>26589</v>
      </c>
      <c r="D6744" s="196" t="s">
        <v>26590</v>
      </c>
      <c r="E6744" s="196" t="s">
        <v>26590</v>
      </c>
      <c r="F6744" s="196" t="s">
        <v>11233</v>
      </c>
      <c r="G6744" s="196" t="s">
        <v>11720</v>
      </c>
      <c r="H6744" s="196" t="s">
        <v>11235</v>
      </c>
    </row>
    <row r="6745" spans="1:8" x14ac:dyDescent="0.15">
      <c r="A6745" s="196" t="s">
        <v>11229</v>
      </c>
      <c r="B6745" s="196" t="s">
        <v>11230</v>
      </c>
      <c r="C6745" s="196" t="s">
        <v>26591</v>
      </c>
      <c r="D6745" s="196" t="s">
        <v>26592</v>
      </c>
      <c r="E6745" s="196" t="s">
        <v>26592</v>
      </c>
      <c r="F6745" s="196" t="s">
        <v>11233</v>
      </c>
      <c r="G6745" s="196" t="s">
        <v>11720</v>
      </c>
      <c r="H6745" s="196" t="s">
        <v>11235</v>
      </c>
    </row>
    <row r="6746" spans="1:8" x14ac:dyDescent="0.15">
      <c r="A6746" s="196" t="s">
        <v>11229</v>
      </c>
      <c r="B6746" s="196" t="s">
        <v>11230</v>
      </c>
      <c r="C6746" s="196" t="s">
        <v>26593</v>
      </c>
      <c r="D6746" s="196" t="s">
        <v>26594</v>
      </c>
      <c r="E6746" s="196" t="s">
        <v>26594</v>
      </c>
      <c r="F6746" s="196" t="s">
        <v>11233</v>
      </c>
      <c r="G6746" s="196" t="s">
        <v>11720</v>
      </c>
      <c r="H6746" s="196" t="s">
        <v>11235</v>
      </c>
    </row>
    <row r="6747" spans="1:8" x14ac:dyDescent="0.15">
      <c r="A6747" s="196" t="s">
        <v>11229</v>
      </c>
      <c r="B6747" s="196" t="s">
        <v>11230</v>
      </c>
      <c r="C6747" s="196" t="s">
        <v>26595</v>
      </c>
      <c r="D6747" s="196" t="s">
        <v>26596</v>
      </c>
      <c r="E6747" s="196" t="s">
        <v>26596</v>
      </c>
      <c r="F6747" s="196" t="s">
        <v>11233</v>
      </c>
      <c r="G6747" s="196" t="s">
        <v>11720</v>
      </c>
      <c r="H6747" s="196" t="s">
        <v>11235</v>
      </c>
    </row>
    <row r="6748" spans="1:8" x14ac:dyDescent="0.15">
      <c r="A6748" s="196" t="s">
        <v>11229</v>
      </c>
      <c r="B6748" s="196" t="s">
        <v>11230</v>
      </c>
      <c r="C6748" s="196" t="s">
        <v>26597</v>
      </c>
      <c r="D6748" s="196" t="s">
        <v>26598</v>
      </c>
      <c r="E6748" s="196" t="s">
        <v>26598</v>
      </c>
      <c r="F6748" s="196" t="s">
        <v>11233</v>
      </c>
      <c r="G6748" s="196" t="s">
        <v>12378</v>
      </c>
      <c r="H6748" s="196" t="s">
        <v>11235</v>
      </c>
    </row>
    <row r="6749" spans="1:8" x14ac:dyDescent="0.15">
      <c r="A6749" s="196" t="s">
        <v>11229</v>
      </c>
      <c r="B6749" s="196" t="s">
        <v>11230</v>
      </c>
      <c r="C6749" s="196" t="s">
        <v>26599</v>
      </c>
      <c r="D6749" s="196" t="s">
        <v>26600</v>
      </c>
      <c r="E6749" s="196" t="s">
        <v>26600</v>
      </c>
      <c r="F6749" s="196" t="s">
        <v>11233</v>
      </c>
      <c r="G6749" s="196" t="s">
        <v>12378</v>
      </c>
      <c r="H6749" s="196" t="s">
        <v>11235</v>
      </c>
    </row>
    <row r="6750" spans="1:8" x14ac:dyDescent="0.15">
      <c r="A6750" s="196" t="s">
        <v>11229</v>
      </c>
      <c r="B6750" s="196" t="s">
        <v>11230</v>
      </c>
      <c r="C6750" s="196" t="s">
        <v>26601</v>
      </c>
      <c r="D6750" s="196" t="s">
        <v>26602</v>
      </c>
      <c r="E6750" s="196" t="s">
        <v>26602</v>
      </c>
      <c r="F6750" s="196" t="s">
        <v>11233</v>
      </c>
      <c r="G6750" s="196" t="s">
        <v>12378</v>
      </c>
      <c r="H6750" s="196" t="s">
        <v>11235</v>
      </c>
    </row>
    <row r="6751" spans="1:8" x14ac:dyDescent="0.15">
      <c r="A6751" s="196" t="s">
        <v>11229</v>
      </c>
      <c r="B6751" s="196" t="s">
        <v>11230</v>
      </c>
      <c r="C6751" s="196" t="s">
        <v>26603</v>
      </c>
      <c r="D6751" s="196" t="s">
        <v>26604</v>
      </c>
      <c r="E6751" s="196" t="s">
        <v>26604</v>
      </c>
      <c r="F6751" s="196" t="s">
        <v>11233</v>
      </c>
      <c r="G6751" s="196" t="s">
        <v>12378</v>
      </c>
      <c r="H6751" s="196" t="s">
        <v>11235</v>
      </c>
    </row>
    <row r="6752" spans="1:8" x14ac:dyDescent="0.15">
      <c r="A6752" s="196" t="s">
        <v>11229</v>
      </c>
      <c r="B6752" s="196" t="s">
        <v>11230</v>
      </c>
      <c r="C6752" s="196" t="s">
        <v>26605</v>
      </c>
      <c r="D6752" s="196" t="s">
        <v>26606</v>
      </c>
      <c r="E6752" s="196" t="s">
        <v>26606</v>
      </c>
      <c r="F6752" s="196" t="s">
        <v>11233</v>
      </c>
      <c r="G6752" s="196" t="s">
        <v>12378</v>
      </c>
      <c r="H6752" s="196" t="s">
        <v>11235</v>
      </c>
    </row>
    <row r="6753" spans="1:8" x14ac:dyDescent="0.15">
      <c r="A6753" s="196" t="s">
        <v>11229</v>
      </c>
      <c r="B6753" s="196" t="s">
        <v>11230</v>
      </c>
      <c r="C6753" s="196" t="s">
        <v>26607</v>
      </c>
      <c r="D6753" s="196" t="s">
        <v>26608</v>
      </c>
      <c r="E6753" s="196" t="s">
        <v>26608</v>
      </c>
      <c r="F6753" s="196" t="s">
        <v>11233</v>
      </c>
      <c r="G6753" s="196" t="s">
        <v>12378</v>
      </c>
      <c r="H6753" s="196" t="s">
        <v>11235</v>
      </c>
    </row>
    <row r="6754" spans="1:8" x14ac:dyDescent="0.15">
      <c r="A6754" s="196" t="s">
        <v>11229</v>
      </c>
      <c r="B6754" s="196" t="s">
        <v>11230</v>
      </c>
      <c r="C6754" s="196" t="s">
        <v>26609</v>
      </c>
      <c r="D6754" s="196" t="s">
        <v>26610</v>
      </c>
      <c r="E6754" s="196" t="s">
        <v>26610</v>
      </c>
      <c r="F6754" s="196" t="s">
        <v>11233</v>
      </c>
      <c r="G6754" s="196" t="s">
        <v>12378</v>
      </c>
      <c r="H6754" s="196" t="s">
        <v>11235</v>
      </c>
    </row>
    <row r="6755" spans="1:8" x14ac:dyDescent="0.15">
      <c r="A6755" s="196" t="s">
        <v>11229</v>
      </c>
      <c r="B6755" s="196" t="s">
        <v>11230</v>
      </c>
      <c r="C6755" s="196" t="s">
        <v>26611</v>
      </c>
      <c r="D6755" s="196" t="s">
        <v>26612</v>
      </c>
      <c r="E6755" s="196" t="s">
        <v>26612</v>
      </c>
      <c r="F6755" s="196" t="s">
        <v>11233</v>
      </c>
      <c r="G6755" s="196" t="s">
        <v>11720</v>
      </c>
      <c r="H6755" s="196" t="s">
        <v>11235</v>
      </c>
    </row>
    <row r="6756" spans="1:8" x14ac:dyDescent="0.15">
      <c r="A6756" s="196" t="s">
        <v>11229</v>
      </c>
      <c r="B6756" s="196" t="s">
        <v>11230</v>
      </c>
      <c r="C6756" s="196" t="s">
        <v>26613</v>
      </c>
      <c r="D6756" s="196" t="s">
        <v>26614</v>
      </c>
      <c r="E6756" s="196" t="s">
        <v>26614</v>
      </c>
      <c r="F6756" s="196" t="s">
        <v>11233</v>
      </c>
      <c r="G6756" s="196" t="s">
        <v>12378</v>
      </c>
      <c r="H6756" s="196" t="s">
        <v>11235</v>
      </c>
    </row>
    <row r="6757" spans="1:8" x14ac:dyDescent="0.15">
      <c r="A6757" s="196" t="s">
        <v>11229</v>
      </c>
      <c r="B6757" s="196" t="s">
        <v>11230</v>
      </c>
      <c r="C6757" s="196" t="s">
        <v>26615</v>
      </c>
      <c r="D6757" s="196" t="s">
        <v>26616</v>
      </c>
      <c r="E6757" s="196" t="s">
        <v>26616</v>
      </c>
      <c r="F6757" s="196" t="s">
        <v>11233</v>
      </c>
      <c r="G6757" s="196" t="s">
        <v>12378</v>
      </c>
      <c r="H6757" s="196" t="s">
        <v>11235</v>
      </c>
    </row>
    <row r="6758" spans="1:8" x14ac:dyDescent="0.15">
      <c r="A6758" s="196" t="s">
        <v>11229</v>
      </c>
      <c r="B6758" s="196" t="s">
        <v>11230</v>
      </c>
      <c r="C6758" s="196" t="s">
        <v>26617</v>
      </c>
      <c r="D6758" s="196" t="s">
        <v>26616</v>
      </c>
      <c r="E6758" s="196" t="s">
        <v>26616</v>
      </c>
      <c r="F6758" s="196" t="s">
        <v>11233</v>
      </c>
      <c r="G6758" s="196" t="s">
        <v>11720</v>
      </c>
      <c r="H6758" s="196" t="s">
        <v>11235</v>
      </c>
    </row>
    <row r="6759" spans="1:8" x14ac:dyDescent="0.15">
      <c r="A6759" s="196" t="s">
        <v>11229</v>
      </c>
      <c r="B6759" s="196" t="s">
        <v>11230</v>
      </c>
      <c r="C6759" s="196" t="s">
        <v>26618</v>
      </c>
      <c r="D6759" s="196" t="s">
        <v>26619</v>
      </c>
      <c r="E6759" s="196" t="s">
        <v>26619</v>
      </c>
      <c r="F6759" s="196" t="s">
        <v>11233</v>
      </c>
      <c r="G6759" s="196" t="s">
        <v>12378</v>
      </c>
      <c r="H6759" s="196" t="s">
        <v>11235</v>
      </c>
    </row>
    <row r="6760" spans="1:8" x14ac:dyDescent="0.15">
      <c r="A6760" s="196" t="s">
        <v>11229</v>
      </c>
      <c r="B6760" s="196" t="s">
        <v>11230</v>
      </c>
      <c r="C6760" s="196" t="s">
        <v>26620</v>
      </c>
      <c r="D6760" s="196" t="s">
        <v>26621</v>
      </c>
      <c r="E6760" s="196" t="s">
        <v>26621</v>
      </c>
      <c r="F6760" s="196" t="s">
        <v>11233</v>
      </c>
      <c r="G6760" s="196" t="s">
        <v>12378</v>
      </c>
      <c r="H6760" s="196" t="s">
        <v>11235</v>
      </c>
    </row>
    <row r="6761" spans="1:8" x14ac:dyDescent="0.15">
      <c r="A6761" s="196" t="s">
        <v>11229</v>
      </c>
      <c r="B6761" s="196" t="s">
        <v>11230</v>
      </c>
      <c r="C6761" s="196" t="s">
        <v>26622</v>
      </c>
      <c r="D6761" s="196" t="s">
        <v>26621</v>
      </c>
      <c r="E6761" s="196" t="s">
        <v>26621</v>
      </c>
      <c r="F6761" s="196" t="s">
        <v>11233</v>
      </c>
      <c r="G6761" s="196" t="s">
        <v>11720</v>
      </c>
      <c r="H6761" s="196" t="s">
        <v>11235</v>
      </c>
    </row>
    <row r="6762" spans="1:8" x14ac:dyDescent="0.15">
      <c r="A6762" s="196" t="s">
        <v>11229</v>
      </c>
      <c r="B6762" s="196" t="s">
        <v>11230</v>
      </c>
      <c r="C6762" s="196" t="s">
        <v>26623</v>
      </c>
      <c r="D6762" s="196" t="s">
        <v>26624</v>
      </c>
      <c r="E6762" s="196" t="s">
        <v>26624</v>
      </c>
      <c r="F6762" s="196" t="s">
        <v>11233</v>
      </c>
      <c r="G6762" s="196" t="s">
        <v>11720</v>
      </c>
      <c r="H6762" s="196" t="s">
        <v>11235</v>
      </c>
    </row>
    <row r="6763" spans="1:8" x14ac:dyDescent="0.15">
      <c r="A6763" s="196" t="s">
        <v>11229</v>
      </c>
      <c r="B6763" s="196" t="s">
        <v>11230</v>
      </c>
      <c r="C6763" s="196" t="s">
        <v>26625</v>
      </c>
      <c r="D6763" s="196" t="s">
        <v>26626</v>
      </c>
      <c r="E6763" s="196" t="s">
        <v>26626</v>
      </c>
      <c r="F6763" s="196" t="s">
        <v>11233</v>
      </c>
      <c r="G6763" s="196" t="s">
        <v>12378</v>
      </c>
      <c r="H6763" s="196" t="s">
        <v>11235</v>
      </c>
    </row>
    <row r="6764" spans="1:8" x14ac:dyDescent="0.15">
      <c r="A6764" s="196" t="s">
        <v>11229</v>
      </c>
      <c r="B6764" s="196" t="s">
        <v>11230</v>
      </c>
      <c r="C6764" s="196" t="s">
        <v>26627</v>
      </c>
      <c r="D6764" s="196" t="s">
        <v>26628</v>
      </c>
      <c r="E6764" s="196" t="s">
        <v>26628</v>
      </c>
      <c r="F6764" s="196" t="s">
        <v>11233</v>
      </c>
      <c r="G6764" s="196" t="s">
        <v>12378</v>
      </c>
      <c r="H6764" s="196" t="s">
        <v>11235</v>
      </c>
    </row>
    <row r="6765" spans="1:8" x14ac:dyDescent="0.15">
      <c r="A6765" s="196" t="s">
        <v>11229</v>
      </c>
      <c r="B6765" s="196" t="s">
        <v>11230</v>
      </c>
      <c r="C6765" s="196" t="s">
        <v>26629</v>
      </c>
      <c r="D6765" s="196" t="s">
        <v>26630</v>
      </c>
      <c r="E6765" s="196" t="s">
        <v>26630</v>
      </c>
      <c r="F6765" s="196" t="s">
        <v>11233</v>
      </c>
      <c r="G6765" s="196" t="s">
        <v>12378</v>
      </c>
      <c r="H6765" s="196" t="s">
        <v>11235</v>
      </c>
    </row>
    <row r="6766" spans="1:8" x14ac:dyDescent="0.15">
      <c r="A6766" s="196" t="s">
        <v>11229</v>
      </c>
      <c r="B6766" s="196" t="s">
        <v>11230</v>
      </c>
      <c r="C6766" s="196" t="s">
        <v>26631</v>
      </c>
      <c r="D6766" s="196" t="s">
        <v>26630</v>
      </c>
      <c r="E6766" s="196" t="s">
        <v>26630</v>
      </c>
      <c r="F6766" s="196" t="s">
        <v>11233</v>
      </c>
      <c r="G6766" s="196" t="s">
        <v>11720</v>
      </c>
      <c r="H6766" s="196" t="s">
        <v>11235</v>
      </c>
    </row>
    <row r="6767" spans="1:8" x14ac:dyDescent="0.15">
      <c r="A6767" s="196" t="s">
        <v>11229</v>
      </c>
      <c r="B6767" s="196" t="s">
        <v>11230</v>
      </c>
      <c r="C6767" s="196" t="s">
        <v>26632</v>
      </c>
      <c r="D6767" s="196" t="s">
        <v>26633</v>
      </c>
      <c r="E6767" s="196" t="s">
        <v>26633</v>
      </c>
      <c r="F6767" s="196" t="s">
        <v>11233</v>
      </c>
      <c r="G6767" s="196" t="s">
        <v>12378</v>
      </c>
      <c r="H6767" s="196" t="s">
        <v>11235</v>
      </c>
    </row>
    <row r="6768" spans="1:8" x14ac:dyDescent="0.15">
      <c r="A6768" s="196" t="s">
        <v>11229</v>
      </c>
      <c r="B6768" s="196" t="s">
        <v>11230</v>
      </c>
      <c r="C6768" s="196" t="s">
        <v>26634</v>
      </c>
      <c r="D6768" s="196" t="s">
        <v>26633</v>
      </c>
      <c r="E6768" s="196" t="s">
        <v>26633</v>
      </c>
      <c r="F6768" s="196" t="s">
        <v>11233</v>
      </c>
      <c r="G6768" s="196" t="s">
        <v>11720</v>
      </c>
      <c r="H6768" s="196" t="s">
        <v>11235</v>
      </c>
    </row>
    <row r="6769" spans="1:8" x14ac:dyDescent="0.15">
      <c r="A6769" s="196" t="s">
        <v>11229</v>
      </c>
      <c r="B6769" s="196" t="s">
        <v>11230</v>
      </c>
      <c r="C6769" s="196" t="s">
        <v>26635</v>
      </c>
      <c r="D6769" s="196" t="s">
        <v>26636</v>
      </c>
      <c r="E6769" s="196" t="s">
        <v>26636</v>
      </c>
      <c r="F6769" s="196" t="s">
        <v>11233</v>
      </c>
      <c r="G6769" s="196" t="s">
        <v>12378</v>
      </c>
      <c r="H6769" s="196" t="s">
        <v>11235</v>
      </c>
    </row>
    <row r="6770" spans="1:8" x14ac:dyDescent="0.15">
      <c r="A6770" s="196" t="s">
        <v>11229</v>
      </c>
      <c r="B6770" s="196" t="s">
        <v>11230</v>
      </c>
      <c r="C6770" s="196" t="s">
        <v>26637</v>
      </c>
      <c r="D6770" s="196" t="s">
        <v>26636</v>
      </c>
      <c r="E6770" s="196" t="s">
        <v>26636</v>
      </c>
      <c r="F6770" s="196" t="s">
        <v>11233</v>
      </c>
      <c r="G6770" s="196" t="s">
        <v>11720</v>
      </c>
      <c r="H6770" s="196" t="s">
        <v>11235</v>
      </c>
    </row>
    <row r="6771" spans="1:8" x14ac:dyDescent="0.15">
      <c r="A6771" s="196" t="s">
        <v>11229</v>
      </c>
      <c r="B6771" s="196" t="s">
        <v>11230</v>
      </c>
      <c r="C6771" s="196" t="s">
        <v>26638</v>
      </c>
      <c r="D6771" s="196" t="s">
        <v>26639</v>
      </c>
      <c r="E6771" s="196" t="s">
        <v>26639</v>
      </c>
      <c r="F6771" s="196" t="s">
        <v>11233</v>
      </c>
      <c r="G6771" s="196" t="s">
        <v>12378</v>
      </c>
      <c r="H6771" s="196" t="s">
        <v>11235</v>
      </c>
    </row>
    <row r="6772" spans="1:8" x14ac:dyDescent="0.15">
      <c r="A6772" s="196" t="s">
        <v>11229</v>
      </c>
      <c r="B6772" s="196" t="s">
        <v>11230</v>
      </c>
      <c r="C6772" s="196" t="s">
        <v>26640</v>
      </c>
      <c r="D6772" s="196" t="s">
        <v>26641</v>
      </c>
      <c r="E6772" s="196" t="s">
        <v>26641</v>
      </c>
      <c r="F6772" s="196" t="s">
        <v>11233</v>
      </c>
      <c r="G6772" s="196" t="s">
        <v>12378</v>
      </c>
      <c r="H6772" s="196" t="s">
        <v>11235</v>
      </c>
    </row>
    <row r="6773" spans="1:8" x14ac:dyDescent="0.15">
      <c r="A6773" s="196" t="s">
        <v>11229</v>
      </c>
      <c r="B6773" s="196" t="s">
        <v>11230</v>
      </c>
      <c r="C6773" s="196" t="s">
        <v>26642</v>
      </c>
      <c r="D6773" s="196" t="s">
        <v>26641</v>
      </c>
      <c r="E6773" s="196" t="s">
        <v>26641</v>
      </c>
      <c r="F6773" s="196" t="s">
        <v>11233</v>
      </c>
      <c r="G6773" s="196" t="s">
        <v>11720</v>
      </c>
      <c r="H6773" s="196" t="s">
        <v>11235</v>
      </c>
    </row>
    <row r="6774" spans="1:8" x14ac:dyDescent="0.15">
      <c r="A6774" s="196" t="s">
        <v>11229</v>
      </c>
      <c r="B6774" s="196" t="s">
        <v>11230</v>
      </c>
      <c r="C6774" s="196" t="s">
        <v>26643</v>
      </c>
      <c r="D6774" s="196" t="s">
        <v>26644</v>
      </c>
      <c r="E6774" s="196" t="s">
        <v>26644</v>
      </c>
      <c r="F6774" s="196" t="s">
        <v>11233</v>
      </c>
      <c r="G6774" s="196" t="s">
        <v>12378</v>
      </c>
      <c r="H6774" s="196" t="s">
        <v>11235</v>
      </c>
    </row>
    <row r="6775" spans="1:8" x14ac:dyDescent="0.15">
      <c r="A6775" s="196" t="s">
        <v>11229</v>
      </c>
      <c r="B6775" s="196" t="s">
        <v>11230</v>
      </c>
      <c r="C6775" s="196" t="s">
        <v>26645</v>
      </c>
      <c r="D6775" s="196" t="s">
        <v>26646</v>
      </c>
      <c r="E6775" s="196" t="s">
        <v>26646</v>
      </c>
      <c r="F6775" s="196" t="s">
        <v>11233</v>
      </c>
      <c r="G6775" s="196" t="s">
        <v>12378</v>
      </c>
      <c r="H6775" s="196" t="s">
        <v>11235</v>
      </c>
    </row>
    <row r="6776" spans="1:8" x14ac:dyDescent="0.15">
      <c r="A6776" s="196" t="s">
        <v>11229</v>
      </c>
      <c r="B6776" s="196" t="s">
        <v>11230</v>
      </c>
      <c r="C6776" s="196" t="s">
        <v>26647</v>
      </c>
      <c r="D6776" s="196" t="s">
        <v>26648</v>
      </c>
      <c r="E6776" s="196" t="s">
        <v>26648</v>
      </c>
      <c r="F6776" s="196" t="s">
        <v>11233</v>
      </c>
      <c r="G6776" s="196" t="s">
        <v>12378</v>
      </c>
      <c r="H6776" s="196" t="s">
        <v>11235</v>
      </c>
    </row>
    <row r="6777" spans="1:8" x14ac:dyDescent="0.15">
      <c r="A6777" s="196" t="s">
        <v>11229</v>
      </c>
      <c r="B6777" s="196" t="s">
        <v>11230</v>
      </c>
      <c r="C6777" s="196" t="s">
        <v>26649</v>
      </c>
      <c r="D6777" s="196" t="s">
        <v>26650</v>
      </c>
      <c r="E6777" s="196" t="s">
        <v>26650</v>
      </c>
      <c r="F6777" s="196" t="s">
        <v>11233</v>
      </c>
      <c r="G6777" s="196" t="s">
        <v>12378</v>
      </c>
      <c r="H6777" s="196" t="s">
        <v>11235</v>
      </c>
    </row>
    <row r="6778" spans="1:8" x14ac:dyDescent="0.15">
      <c r="A6778" s="196" t="s">
        <v>11229</v>
      </c>
      <c r="B6778" s="196" t="s">
        <v>11230</v>
      </c>
      <c r="C6778" s="196" t="s">
        <v>26651</v>
      </c>
      <c r="D6778" s="196" t="s">
        <v>26652</v>
      </c>
      <c r="E6778" s="196" t="s">
        <v>26652</v>
      </c>
      <c r="F6778" s="196" t="s">
        <v>11233</v>
      </c>
      <c r="G6778" s="196" t="s">
        <v>12378</v>
      </c>
      <c r="H6778" s="196" t="s">
        <v>11235</v>
      </c>
    </row>
    <row r="6779" spans="1:8" x14ac:dyDescent="0.15">
      <c r="A6779" s="196" t="s">
        <v>11229</v>
      </c>
      <c r="B6779" s="196" t="s">
        <v>11230</v>
      </c>
      <c r="C6779" s="196" t="s">
        <v>26653</v>
      </c>
      <c r="D6779" s="196" t="s">
        <v>26654</v>
      </c>
      <c r="E6779" s="196" t="s">
        <v>26654</v>
      </c>
      <c r="F6779" s="196" t="s">
        <v>11233</v>
      </c>
      <c r="G6779" s="196" t="s">
        <v>11720</v>
      </c>
      <c r="H6779" s="196" t="s">
        <v>11235</v>
      </c>
    </row>
    <row r="6780" spans="1:8" x14ac:dyDescent="0.15">
      <c r="A6780" s="196" t="s">
        <v>11229</v>
      </c>
      <c r="B6780" s="196" t="s">
        <v>11230</v>
      </c>
      <c r="C6780" s="196" t="s">
        <v>26655</v>
      </c>
      <c r="D6780" s="196" t="s">
        <v>26656</v>
      </c>
      <c r="E6780" s="196" t="s">
        <v>26656</v>
      </c>
      <c r="F6780" s="196" t="s">
        <v>11233</v>
      </c>
      <c r="G6780" s="196" t="s">
        <v>12378</v>
      </c>
      <c r="H6780" s="196" t="s">
        <v>11235</v>
      </c>
    </row>
    <row r="6781" spans="1:8" x14ac:dyDescent="0.15">
      <c r="A6781" s="196" t="s">
        <v>11229</v>
      </c>
      <c r="B6781" s="196" t="s">
        <v>11230</v>
      </c>
      <c r="C6781" s="196" t="s">
        <v>26657</v>
      </c>
      <c r="D6781" s="196" t="s">
        <v>26658</v>
      </c>
      <c r="E6781" s="196" t="s">
        <v>26658</v>
      </c>
      <c r="F6781" s="196" t="s">
        <v>11233</v>
      </c>
      <c r="G6781" s="196" t="s">
        <v>12378</v>
      </c>
      <c r="H6781" s="196" t="s">
        <v>11235</v>
      </c>
    </row>
    <row r="6782" spans="1:8" x14ac:dyDescent="0.15">
      <c r="A6782" s="196" t="s">
        <v>11229</v>
      </c>
      <c r="B6782" s="196" t="s">
        <v>11230</v>
      </c>
      <c r="C6782" s="196" t="s">
        <v>26659</v>
      </c>
      <c r="D6782" s="196" t="s">
        <v>26660</v>
      </c>
      <c r="E6782" s="196" t="s">
        <v>26660</v>
      </c>
      <c r="F6782" s="196" t="s">
        <v>11233</v>
      </c>
      <c r="G6782" s="196" t="s">
        <v>12378</v>
      </c>
      <c r="H6782" s="196" t="s">
        <v>11235</v>
      </c>
    </row>
    <row r="6783" spans="1:8" x14ac:dyDescent="0.15">
      <c r="A6783" s="196" t="s">
        <v>11229</v>
      </c>
      <c r="B6783" s="196" t="s">
        <v>11230</v>
      </c>
      <c r="C6783" s="196" t="s">
        <v>26661</v>
      </c>
      <c r="D6783" s="196" t="s">
        <v>26662</v>
      </c>
      <c r="E6783" s="196" t="s">
        <v>26662</v>
      </c>
      <c r="F6783" s="196" t="s">
        <v>11233</v>
      </c>
      <c r="G6783" s="196" t="s">
        <v>12378</v>
      </c>
      <c r="H6783" s="196" t="s">
        <v>11235</v>
      </c>
    </row>
    <row r="6784" spans="1:8" x14ac:dyDescent="0.15">
      <c r="A6784" s="196" t="s">
        <v>11229</v>
      </c>
      <c r="B6784" s="196" t="s">
        <v>11230</v>
      </c>
      <c r="C6784" s="196" t="s">
        <v>26663</v>
      </c>
      <c r="D6784" s="196" t="s">
        <v>26664</v>
      </c>
      <c r="E6784" s="196" t="s">
        <v>26665</v>
      </c>
      <c r="F6784" s="196" t="s">
        <v>11268</v>
      </c>
      <c r="G6784" s="196" t="s">
        <v>11720</v>
      </c>
      <c r="H6784" s="196" t="s">
        <v>11235</v>
      </c>
    </row>
    <row r="6785" spans="1:8" x14ac:dyDescent="0.15">
      <c r="A6785" s="196" t="s">
        <v>11229</v>
      </c>
      <c r="B6785" s="196" t="s">
        <v>11230</v>
      </c>
      <c r="C6785" s="196" t="s">
        <v>26666</v>
      </c>
      <c r="D6785" s="196" t="s">
        <v>26667</v>
      </c>
      <c r="E6785" s="196" t="s">
        <v>26667</v>
      </c>
      <c r="F6785" s="196" t="s">
        <v>11233</v>
      </c>
      <c r="G6785" s="196" t="s">
        <v>12378</v>
      </c>
      <c r="H6785" s="196" t="s">
        <v>11235</v>
      </c>
    </row>
    <row r="6786" spans="1:8" x14ac:dyDescent="0.15">
      <c r="A6786" s="196" t="s">
        <v>11229</v>
      </c>
      <c r="B6786" s="196" t="s">
        <v>11230</v>
      </c>
      <c r="C6786" s="196" t="s">
        <v>26668</v>
      </c>
      <c r="D6786" s="196" t="s">
        <v>26669</v>
      </c>
      <c r="E6786" s="196" t="s">
        <v>26669</v>
      </c>
      <c r="F6786" s="196" t="s">
        <v>11233</v>
      </c>
      <c r="G6786" s="196" t="s">
        <v>11720</v>
      </c>
      <c r="H6786" s="196" t="s">
        <v>11235</v>
      </c>
    </row>
    <row r="6787" spans="1:8" x14ac:dyDescent="0.15">
      <c r="A6787" s="196" t="s">
        <v>11229</v>
      </c>
      <c r="B6787" s="196" t="s">
        <v>11230</v>
      </c>
      <c r="C6787" s="196" t="s">
        <v>26670</v>
      </c>
      <c r="D6787" s="196" t="s">
        <v>26671</v>
      </c>
      <c r="E6787" s="196" t="s">
        <v>26672</v>
      </c>
      <c r="F6787" s="196" t="s">
        <v>11268</v>
      </c>
      <c r="G6787" s="196" t="s">
        <v>12378</v>
      </c>
      <c r="H6787" s="196" t="s">
        <v>11235</v>
      </c>
    </row>
    <row r="6788" spans="1:8" x14ac:dyDescent="0.15">
      <c r="A6788" s="196" t="s">
        <v>11229</v>
      </c>
      <c r="B6788" s="196" t="s">
        <v>11230</v>
      </c>
      <c r="C6788" s="196" t="s">
        <v>26673</v>
      </c>
      <c r="D6788" s="196" t="s">
        <v>26674</v>
      </c>
      <c r="E6788" s="196" t="s">
        <v>26674</v>
      </c>
      <c r="F6788" s="196" t="s">
        <v>11233</v>
      </c>
      <c r="G6788" s="196" t="s">
        <v>12378</v>
      </c>
      <c r="H6788" s="196" t="s">
        <v>11235</v>
      </c>
    </row>
    <row r="6789" spans="1:8" x14ac:dyDescent="0.15">
      <c r="A6789" s="196" t="s">
        <v>11229</v>
      </c>
      <c r="B6789" s="196" t="s">
        <v>11230</v>
      </c>
      <c r="C6789" s="196" t="s">
        <v>26675</v>
      </c>
      <c r="D6789" s="196" t="s">
        <v>26676</v>
      </c>
      <c r="E6789" s="196" t="s">
        <v>26676</v>
      </c>
      <c r="F6789" s="196" t="s">
        <v>11233</v>
      </c>
      <c r="G6789" s="196" t="s">
        <v>11720</v>
      </c>
      <c r="H6789" s="196" t="s">
        <v>11235</v>
      </c>
    </row>
    <row r="6790" spans="1:8" x14ac:dyDescent="0.15">
      <c r="A6790" s="196" t="s">
        <v>11229</v>
      </c>
      <c r="B6790" s="196" t="s">
        <v>11230</v>
      </c>
      <c r="C6790" s="196" t="s">
        <v>26677</v>
      </c>
      <c r="D6790" s="196" t="s">
        <v>26678</v>
      </c>
      <c r="E6790" s="196" t="s">
        <v>26679</v>
      </c>
      <c r="F6790" s="196" t="s">
        <v>13023</v>
      </c>
      <c r="G6790" s="196" t="s">
        <v>12378</v>
      </c>
      <c r="H6790" s="196" t="s">
        <v>11235</v>
      </c>
    </row>
    <row r="6791" spans="1:8" x14ac:dyDescent="0.15">
      <c r="A6791" s="196" t="s">
        <v>11229</v>
      </c>
      <c r="B6791" s="196" t="s">
        <v>11230</v>
      </c>
      <c r="C6791" s="196" t="s">
        <v>26680</v>
      </c>
      <c r="D6791" s="196" t="s">
        <v>26681</v>
      </c>
      <c r="E6791" s="196" t="s">
        <v>26681</v>
      </c>
      <c r="F6791" s="196" t="s">
        <v>11233</v>
      </c>
      <c r="G6791" s="196" t="s">
        <v>11720</v>
      </c>
      <c r="H6791" s="196" t="s">
        <v>11235</v>
      </c>
    </row>
    <row r="6792" spans="1:8" x14ac:dyDescent="0.15">
      <c r="A6792" s="196" t="s">
        <v>11229</v>
      </c>
      <c r="B6792" s="196" t="s">
        <v>11230</v>
      </c>
      <c r="C6792" s="196" t="s">
        <v>26682</v>
      </c>
      <c r="D6792" s="196" t="s">
        <v>26683</v>
      </c>
      <c r="E6792" s="196" t="s">
        <v>26683</v>
      </c>
      <c r="F6792" s="196" t="s">
        <v>11233</v>
      </c>
      <c r="G6792" s="196" t="s">
        <v>12378</v>
      </c>
      <c r="H6792" s="196" t="s">
        <v>11235</v>
      </c>
    </row>
    <row r="6793" spans="1:8" x14ac:dyDescent="0.15">
      <c r="A6793" s="196" t="s">
        <v>11229</v>
      </c>
      <c r="B6793" s="196" t="s">
        <v>11230</v>
      </c>
      <c r="C6793" s="196" t="s">
        <v>26684</v>
      </c>
      <c r="D6793" s="196" t="s">
        <v>26685</v>
      </c>
      <c r="E6793" s="196" t="s">
        <v>26685</v>
      </c>
      <c r="F6793" s="196" t="s">
        <v>11233</v>
      </c>
      <c r="G6793" s="196" t="s">
        <v>12378</v>
      </c>
      <c r="H6793" s="196" t="s">
        <v>11235</v>
      </c>
    </row>
    <row r="6794" spans="1:8" x14ac:dyDescent="0.15">
      <c r="A6794" s="196" t="s">
        <v>11229</v>
      </c>
      <c r="B6794" s="196" t="s">
        <v>11230</v>
      </c>
      <c r="C6794" s="196" t="s">
        <v>26686</v>
      </c>
      <c r="D6794" s="196" t="s">
        <v>26687</v>
      </c>
      <c r="E6794" s="196" t="s">
        <v>26687</v>
      </c>
      <c r="F6794" s="196" t="s">
        <v>11233</v>
      </c>
      <c r="G6794" s="196" t="s">
        <v>11720</v>
      </c>
      <c r="H6794" s="196" t="s">
        <v>11235</v>
      </c>
    </row>
    <row r="6795" spans="1:8" x14ac:dyDescent="0.15">
      <c r="A6795" s="196" t="s">
        <v>11229</v>
      </c>
      <c r="B6795" s="196" t="s">
        <v>11230</v>
      </c>
      <c r="C6795" s="196" t="s">
        <v>26688</v>
      </c>
      <c r="D6795" s="196" t="s">
        <v>26689</v>
      </c>
      <c r="E6795" s="196" t="s">
        <v>26689</v>
      </c>
      <c r="F6795" s="196" t="s">
        <v>11233</v>
      </c>
      <c r="G6795" s="196" t="s">
        <v>12378</v>
      </c>
      <c r="H6795" s="196" t="s">
        <v>11235</v>
      </c>
    </row>
    <row r="6796" spans="1:8" x14ac:dyDescent="0.15">
      <c r="A6796" s="196" t="s">
        <v>11229</v>
      </c>
      <c r="B6796" s="196" t="s">
        <v>11230</v>
      </c>
      <c r="C6796" s="196" t="s">
        <v>26690</v>
      </c>
      <c r="D6796" s="196" t="s">
        <v>26691</v>
      </c>
      <c r="E6796" s="196" t="s">
        <v>26691</v>
      </c>
      <c r="F6796" s="196" t="s">
        <v>11233</v>
      </c>
      <c r="G6796" s="196" t="s">
        <v>11720</v>
      </c>
      <c r="H6796" s="196" t="s">
        <v>11235</v>
      </c>
    </row>
    <row r="6797" spans="1:8" x14ac:dyDescent="0.15">
      <c r="A6797" s="196" t="s">
        <v>11229</v>
      </c>
      <c r="B6797" s="196" t="s">
        <v>11230</v>
      </c>
      <c r="C6797" s="196" t="s">
        <v>26692</v>
      </c>
      <c r="D6797" s="196" t="s">
        <v>26693</v>
      </c>
      <c r="E6797" s="196" t="s">
        <v>26693</v>
      </c>
      <c r="F6797" s="196" t="s">
        <v>11233</v>
      </c>
      <c r="G6797" s="196" t="s">
        <v>11720</v>
      </c>
      <c r="H6797" s="196" t="s">
        <v>11235</v>
      </c>
    </row>
    <row r="6798" spans="1:8" x14ac:dyDescent="0.15">
      <c r="A6798" s="196" t="s">
        <v>11229</v>
      </c>
      <c r="B6798" s="196" t="s">
        <v>11230</v>
      </c>
      <c r="C6798" s="196" t="s">
        <v>26694</v>
      </c>
      <c r="D6798" s="196" t="s">
        <v>26695</v>
      </c>
      <c r="E6798" s="196" t="s">
        <v>26695</v>
      </c>
      <c r="F6798" s="196" t="s">
        <v>11233</v>
      </c>
      <c r="G6798" s="196" t="s">
        <v>12378</v>
      </c>
      <c r="H6798" s="196" t="s">
        <v>11235</v>
      </c>
    </row>
    <row r="6799" spans="1:8" x14ac:dyDescent="0.15">
      <c r="A6799" s="196" t="s">
        <v>11229</v>
      </c>
      <c r="B6799" s="196" t="s">
        <v>11230</v>
      </c>
      <c r="C6799" s="196" t="s">
        <v>26696</v>
      </c>
      <c r="D6799" s="196" t="s">
        <v>26697</v>
      </c>
      <c r="E6799" s="196" t="s">
        <v>26697</v>
      </c>
      <c r="F6799" s="196" t="s">
        <v>11233</v>
      </c>
      <c r="G6799" s="196" t="s">
        <v>11720</v>
      </c>
      <c r="H6799" s="196" t="s">
        <v>11235</v>
      </c>
    </row>
    <row r="6800" spans="1:8" x14ac:dyDescent="0.15">
      <c r="A6800" s="196" t="s">
        <v>11229</v>
      </c>
      <c r="B6800" s="196" t="s">
        <v>11230</v>
      </c>
      <c r="C6800" s="196" t="s">
        <v>26698</v>
      </c>
      <c r="D6800" s="196" t="s">
        <v>26699</v>
      </c>
      <c r="E6800" s="196" t="s">
        <v>26699</v>
      </c>
      <c r="F6800" s="196" t="s">
        <v>11233</v>
      </c>
      <c r="G6800" s="196" t="s">
        <v>11720</v>
      </c>
      <c r="H6800" s="196" t="s">
        <v>11235</v>
      </c>
    </row>
    <row r="6801" spans="1:8" x14ac:dyDescent="0.15">
      <c r="A6801" s="196" t="s">
        <v>11229</v>
      </c>
      <c r="B6801" s="196" t="s">
        <v>11230</v>
      </c>
      <c r="C6801" s="196" t="s">
        <v>26700</v>
      </c>
      <c r="D6801" s="196" t="s">
        <v>26701</v>
      </c>
      <c r="E6801" s="196" t="s">
        <v>26701</v>
      </c>
      <c r="F6801" s="196" t="s">
        <v>11233</v>
      </c>
      <c r="G6801" s="196" t="s">
        <v>11720</v>
      </c>
      <c r="H6801" s="196" t="s">
        <v>11235</v>
      </c>
    </row>
    <row r="6802" spans="1:8" x14ac:dyDescent="0.15">
      <c r="A6802" s="196" t="s">
        <v>11229</v>
      </c>
      <c r="B6802" s="196" t="s">
        <v>11230</v>
      </c>
      <c r="C6802" s="196" t="s">
        <v>26702</v>
      </c>
      <c r="D6802" s="196" t="s">
        <v>26703</v>
      </c>
      <c r="E6802" s="196" t="s">
        <v>26703</v>
      </c>
      <c r="F6802" s="196" t="s">
        <v>11233</v>
      </c>
      <c r="G6802" s="196" t="s">
        <v>12378</v>
      </c>
      <c r="H6802" s="196" t="s">
        <v>11235</v>
      </c>
    </row>
    <row r="6803" spans="1:8" x14ac:dyDescent="0.15">
      <c r="A6803" s="196" t="s">
        <v>11229</v>
      </c>
      <c r="B6803" s="196" t="s">
        <v>11230</v>
      </c>
      <c r="C6803" s="196" t="s">
        <v>26704</v>
      </c>
      <c r="D6803" s="196" t="s">
        <v>26705</v>
      </c>
      <c r="E6803" s="196" t="s">
        <v>26706</v>
      </c>
      <c r="F6803" s="196" t="s">
        <v>11268</v>
      </c>
      <c r="G6803" s="196" t="s">
        <v>12378</v>
      </c>
      <c r="H6803" s="196" t="s">
        <v>11235</v>
      </c>
    </row>
    <row r="6804" spans="1:8" x14ac:dyDescent="0.15">
      <c r="A6804" s="196" t="s">
        <v>11229</v>
      </c>
      <c r="B6804" s="196" t="s">
        <v>11230</v>
      </c>
      <c r="C6804" s="196" t="s">
        <v>26707</v>
      </c>
      <c r="D6804" s="196" t="s">
        <v>26706</v>
      </c>
      <c r="E6804" s="196" t="s">
        <v>26708</v>
      </c>
      <c r="F6804" s="196" t="s">
        <v>11241</v>
      </c>
      <c r="G6804" s="196" t="s">
        <v>12378</v>
      </c>
      <c r="H6804" s="196" t="s">
        <v>11235</v>
      </c>
    </row>
    <row r="6805" spans="1:8" x14ac:dyDescent="0.15">
      <c r="A6805" s="196" t="s">
        <v>11229</v>
      </c>
      <c r="B6805" s="196" t="s">
        <v>11230</v>
      </c>
      <c r="C6805" s="196" t="s">
        <v>26709</v>
      </c>
      <c r="D6805" s="196" t="s">
        <v>26706</v>
      </c>
      <c r="E6805" s="196" t="s">
        <v>26706</v>
      </c>
      <c r="F6805" s="196" t="s">
        <v>11233</v>
      </c>
      <c r="G6805" s="196" t="s">
        <v>11720</v>
      </c>
      <c r="H6805" s="196" t="s">
        <v>11235</v>
      </c>
    </row>
    <row r="6806" spans="1:8" x14ac:dyDescent="0.15">
      <c r="A6806" s="196" t="s">
        <v>11229</v>
      </c>
      <c r="B6806" s="196" t="s">
        <v>11230</v>
      </c>
      <c r="C6806" s="196" t="s">
        <v>26710</v>
      </c>
      <c r="D6806" s="196" t="s">
        <v>26708</v>
      </c>
      <c r="E6806" s="196" t="s">
        <v>26711</v>
      </c>
      <c r="F6806" s="196" t="s">
        <v>11241</v>
      </c>
      <c r="G6806" s="196" t="s">
        <v>12378</v>
      </c>
      <c r="H6806" s="196" t="s">
        <v>11235</v>
      </c>
    </row>
    <row r="6807" spans="1:8" x14ac:dyDescent="0.15">
      <c r="A6807" s="196" t="s">
        <v>11229</v>
      </c>
      <c r="B6807" s="196" t="s">
        <v>11230</v>
      </c>
      <c r="C6807" s="196" t="s">
        <v>26712</v>
      </c>
      <c r="D6807" s="196" t="s">
        <v>26711</v>
      </c>
      <c r="E6807" s="196" t="s">
        <v>26713</v>
      </c>
      <c r="F6807" s="196" t="s">
        <v>11268</v>
      </c>
      <c r="G6807" s="196" t="s">
        <v>12378</v>
      </c>
      <c r="H6807" s="196" t="s">
        <v>11235</v>
      </c>
    </row>
    <row r="6808" spans="1:8" x14ac:dyDescent="0.15">
      <c r="A6808" s="196" t="s">
        <v>11229</v>
      </c>
      <c r="B6808" s="196" t="s">
        <v>11230</v>
      </c>
      <c r="C6808" s="196" t="s">
        <v>26714</v>
      </c>
      <c r="D6808" s="196" t="s">
        <v>26713</v>
      </c>
      <c r="E6808" s="196" t="s">
        <v>26715</v>
      </c>
      <c r="F6808" s="196" t="s">
        <v>11241</v>
      </c>
      <c r="G6808" s="196" t="s">
        <v>12378</v>
      </c>
      <c r="H6808" s="196" t="s">
        <v>11235</v>
      </c>
    </row>
    <row r="6809" spans="1:8" x14ac:dyDescent="0.15">
      <c r="A6809" s="196" t="s">
        <v>11229</v>
      </c>
      <c r="B6809" s="196" t="s">
        <v>11230</v>
      </c>
      <c r="C6809" s="196" t="s">
        <v>26716</v>
      </c>
      <c r="D6809" s="196" t="s">
        <v>26715</v>
      </c>
      <c r="E6809" s="196" t="s">
        <v>26717</v>
      </c>
      <c r="F6809" s="196" t="s">
        <v>11268</v>
      </c>
      <c r="G6809" s="196" t="s">
        <v>12378</v>
      </c>
      <c r="H6809" s="196" t="s">
        <v>11235</v>
      </c>
    </row>
    <row r="6810" spans="1:8" x14ac:dyDescent="0.15">
      <c r="A6810" s="196" t="s">
        <v>11229</v>
      </c>
      <c r="B6810" s="196" t="s">
        <v>11230</v>
      </c>
      <c r="C6810" s="196" t="s">
        <v>26718</v>
      </c>
      <c r="D6810" s="196" t="s">
        <v>26719</v>
      </c>
      <c r="E6810" s="196" t="s">
        <v>26719</v>
      </c>
      <c r="F6810" s="196" t="s">
        <v>11233</v>
      </c>
      <c r="G6810" s="196" t="s">
        <v>11720</v>
      </c>
      <c r="H6810" s="196" t="s">
        <v>11235</v>
      </c>
    </row>
    <row r="6811" spans="1:8" x14ac:dyDescent="0.15">
      <c r="A6811" s="196" t="s">
        <v>11229</v>
      </c>
      <c r="B6811" s="196" t="s">
        <v>11230</v>
      </c>
      <c r="C6811" s="196" t="s">
        <v>26720</v>
      </c>
      <c r="D6811" s="196" t="s">
        <v>26721</v>
      </c>
      <c r="E6811" s="196" t="s">
        <v>26721</v>
      </c>
      <c r="F6811" s="196" t="s">
        <v>11233</v>
      </c>
      <c r="G6811" s="196" t="s">
        <v>11720</v>
      </c>
      <c r="H6811" s="196" t="s">
        <v>11235</v>
      </c>
    </row>
    <row r="6812" spans="1:8" x14ac:dyDescent="0.15">
      <c r="A6812" s="196" t="s">
        <v>11229</v>
      </c>
      <c r="B6812" s="196" t="s">
        <v>11230</v>
      </c>
      <c r="C6812" s="196" t="s">
        <v>26722</v>
      </c>
      <c r="D6812" s="196" t="s">
        <v>26723</v>
      </c>
      <c r="E6812" s="196" t="s">
        <v>26724</v>
      </c>
      <c r="F6812" s="196" t="s">
        <v>26725</v>
      </c>
      <c r="G6812" s="196" t="s">
        <v>11449</v>
      </c>
      <c r="H6812" s="196" t="s">
        <v>12712</v>
      </c>
    </row>
    <row r="6813" spans="1:8" x14ac:dyDescent="0.15">
      <c r="A6813" s="196" t="s">
        <v>11229</v>
      </c>
      <c r="B6813" s="196" t="s">
        <v>11230</v>
      </c>
      <c r="C6813" s="196" t="s">
        <v>26726</v>
      </c>
      <c r="D6813" s="196" t="s">
        <v>26723</v>
      </c>
      <c r="E6813" s="196" t="s">
        <v>26724</v>
      </c>
      <c r="F6813" s="196" t="s">
        <v>26725</v>
      </c>
      <c r="G6813" s="196" t="s">
        <v>11449</v>
      </c>
      <c r="H6813" s="196" t="s">
        <v>12712</v>
      </c>
    </row>
    <row r="6814" spans="1:8" x14ac:dyDescent="0.15">
      <c r="A6814" s="196" t="s">
        <v>11229</v>
      </c>
      <c r="B6814" s="196" t="s">
        <v>11230</v>
      </c>
      <c r="C6814" s="196" t="s">
        <v>26727</v>
      </c>
      <c r="D6814" s="196" t="s">
        <v>26723</v>
      </c>
      <c r="E6814" s="196" t="s">
        <v>26724</v>
      </c>
      <c r="F6814" s="196" t="s">
        <v>26725</v>
      </c>
      <c r="G6814" s="196" t="s">
        <v>11449</v>
      </c>
      <c r="H6814" s="196" t="s">
        <v>12712</v>
      </c>
    </row>
    <row r="6815" spans="1:8" x14ac:dyDescent="0.15">
      <c r="A6815" s="196" t="s">
        <v>11229</v>
      </c>
      <c r="B6815" s="196" t="s">
        <v>11230</v>
      </c>
      <c r="C6815" s="196" t="s">
        <v>26728</v>
      </c>
      <c r="D6815" s="196" t="s">
        <v>26723</v>
      </c>
      <c r="E6815" s="196" t="s">
        <v>26724</v>
      </c>
      <c r="F6815" s="196" t="s">
        <v>26725</v>
      </c>
      <c r="G6815" s="196" t="s">
        <v>11449</v>
      </c>
      <c r="H6815" s="196" t="s">
        <v>12712</v>
      </c>
    </row>
    <row r="6816" spans="1:8" x14ac:dyDescent="0.15">
      <c r="A6816" s="196" t="s">
        <v>11229</v>
      </c>
      <c r="B6816" s="196" t="s">
        <v>11230</v>
      </c>
      <c r="C6816" s="196" t="s">
        <v>26729</v>
      </c>
      <c r="D6816" s="196" t="s">
        <v>26730</v>
      </c>
      <c r="E6816" s="196" t="s">
        <v>26731</v>
      </c>
      <c r="F6816" s="196" t="s">
        <v>26732</v>
      </c>
      <c r="G6816" s="196" t="s">
        <v>11449</v>
      </c>
      <c r="H6816" s="196" t="s">
        <v>12712</v>
      </c>
    </row>
    <row r="6817" spans="1:8" x14ac:dyDescent="0.15">
      <c r="A6817" s="196" t="s">
        <v>11229</v>
      </c>
      <c r="B6817" s="196" t="s">
        <v>11230</v>
      </c>
      <c r="C6817" s="196" t="s">
        <v>26733</v>
      </c>
      <c r="D6817" s="196" t="s">
        <v>26730</v>
      </c>
      <c r="E6817" s="196" t="s">
        <v>26731</v>
      </c>
      <c r="F6817" s="196" t="s">
        <v>26732</v>
      </c>
      <c r="G6817" s="196" t="s">
        <v>11449</v>
      </c>
      <c r="H6817" s="196" t="s">
        <v>12712</v>
      </c>
    </row>
    <row r="6818" spans="1:8" x14ac:dyDescent="0.15">
      <c r="A6818" s="196" t="s">
        <v>11229</v>
      </c>
      <c r="B6818" s="196" t="s">
        <v>11230</v>
      </c>
      <c r="C6818" s="196" t="s">
        <v>26734</v>
      </c>
      <c r="D6818" s="196" t="s">
        <v>26730</v>
      </c>
      <c r="E6818" s="196" t="s">
        <v>26735</v>
      </c>
      <c r="F6818" s="196" t="s">
        <v>26736</v>
      </c>
      <c r="G6818" s="196" t="s">
        <v>11449</v>
      </c>
      <c r="H6818" s="196" t="s">
        <v>12712</v>
      </c>
    </row>
    <row r="6819" spans="1:8" x14ac:dyDescent="0.15">
      <c r="A6819" s="196" t="s">
        <v>11229</v>
      </c>
      <c r="B6819" s="196" t="s">
        <v>11230</v>
      </c>
      <c r="C6819" s="196" t="s">
        <v>26737</v>
      </c>
      <c r="D6819" s="196" t="s">
        <v>26730</v>
      </c>
      <c r="E6819" s="196" t="s">
        <v>26735</v>
      </c>
      <c r="F6819" s="196" t="s">
        <v>26736</v>
      </c>
      <c r="G6819" s="196" t="s">
        <v>11449</v>
      </c>
      <c r="H6819" s="196" t="s">
        <v>12712</v>
      </c>
    </row>
    <row r="6820" spans="1:8" x14ac:dyDescent="0.15">
      <c r="A6820" s="196" t="s">
        <v>11229</v>
      </c>
      <c r="B6820" s="196" t="s">
        <v>11230</v>
      </c>
      <c r="C6820" s="196" t="s">
        <v>26738</v>
      </c>
      <c r="D6820" s="196" t="s">
        <v>26739</v>
      </c>
      <c r="E6820" s="196" t="s">
        <v>26740</v>
      </c>
      <c r="F6820" s="196" t="s">
        <v>26741</v>
      </c>
      <c r="G6820" s="196" t="s">
        <v>11449</v>
      </c>
      <c r="H6820" s="196" t="s">
        <v>12712</v>
      </c>
    </row>
    <row r="6821" spans="1:8" x14ac:dyDescent="0.15">
      <c r="A6821" s="196" t="s">
        <v>11229</v>
      </c>
      <c r="B6821" s="196" t="s">
        <v>11230</v>
      </c>
      <c r="C6821" s="196" t="s">
        <v>26742</v>
      </c>
      <c r="D6821" s="196" t="s">
        <v>26739</v>
      </c>
      <c r="E6821" s="196" t="s">
        <v>26743</v>
      </c>
      <c r="F6821" s="196" t="s">
        <v>26744</v>
      </c>
      <c r="G6821" s="196" t="s">
        <v>11449</v>
      </c>
      <c r="H6821" s="196" t="s">
        <v>12712</v>
      </c>
    </row>
    <row r="6822" spans="1:8" x14ac:dyDescent="0.15">
      <c r="E6822" s="19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676"/>
  <sheetViews>
    <sheetView topLeftCell="A1647" workbookViewId="0">
      <selection activeCell="B450" sqref="B392:B450"/>
    </sheetView>
  </sheetViews>
  <sheetFormatPr baseColWidth="10" defaultColWidth="8.83203125" defaultRowHeight="13" x14ac:dyDescent="0.15"/>
  <cols>
    <col min="2" max="2" width="7.33203125" bestFit="1" customWidth="1"/>
    <col min="3" max="3" width="40.1640625" bestFit="1" customWidth="1"/>
  </cols>
  <sheetData>
    <row r="1" spans="1:3" x14ac:dyDescent="0.15">
      <c r="A1" s="93" t="s">
        <v>26745</v>
      </c>
    </row>
    <row r="2" spans="1:3" x14ac:dyDescent="0.15">
      <c r="A2" t="s">
        <v>26746</v>
      </c>
      <c r="B2" t="s">
        <v>26747</v>
      </c>
      <c r="C2" t="s">
        <v>26748</v>
      </c>
    </row>
    <row r="3" spans="1:3" x14ac:dyDescent="0.15">
      <c r="A3">
        <v>0</v>
      </c>
      <c r="B3" t="s">
        <v>26749</v>
      </c>
      <c r="C3" t="s">
        <v>26750</v>
      </c>
    </row>
    <row r="4" spans="1:3" x14ac:dyDescent="0.15">
      <c r="A4">
        <v>1</v>
      </c>
      <c r="B4" t="s">
        <v>26749</v>
      </c>
      <c r="C4" t="s">
        <v>26751</v>
      </c>
    </row>
    <row r="5" spans="1:3" x14ac:dyDescent="0.15">
      <c r="A5">
        <v>1</v>
      </c>
      <c r="B5">
        <v>99</v>
      </c>
      <c r="C5" t="s">
        <v>26752</v>
      </c>
    </row>
    <row r="6" spans="1:3" x14ac:dyDescent="0.15">
      <c r="A6">
        <v>1</v>
      </c>
      <c r="B6">
        <v>100</v>
      </c>
      <c r="C6" t="s">
        <v>26753</v>
      </c>
    </row>
    <row r="7" spans="1:3" x14ac:dyDescent="0.15">
      <c r="A7">
        <v>1</v>
      </c>
      <c r="B7">
        <v>101</v>
      </c>
      <c r="C7" t="s">
        <v>26754</v>
      </c>
    </row>
    <row r="8" spans="1:3" x14ac:dyDescent="0.15">
      <c r="A8">
        <v>1</v>
      </c>
      <c r="B8">
        <v>102</v>
      </c>
      <c r="C8" t="s">
        <v>26755</v>
      </c>
    </row>
    <row r="9" spans="1:3" x14ac:dyDescent="0.15">
      <c r="A9" s="93">
        <v>1</v>
      </c>
      <c r="B9">
        <v>103</v>
      </c>
      <c r="C9" t="s">
        <v>26756</v>
      </c>
    </row>
    <row r="10" spans="1:3" x14ac:dyDescent="0.15">
      <c r="A10">
        <v>1</v>
      </c>
      <c r="B10">
        <v>104</v>
      </c>
      <c r="C10" t="s">
        <v>26757</v>
      </c>
    </row>
    <row r="11" spans="1:3" x14ac:dyDescent="0.15">
      <c r="A11">
        <v>1</v>
      </c>
      <c r="B11">
        <v>105</v>
      </c>
      <c r="C11" t="s">
        <v>26758</v>
      </c>
    </row>
    <row r="12" spans="1:3" x14ac:dyDescent="0.15">
      <c r="A12">
        <v>1</v>
      </c>
      <c r="B12">
        <v>106</v>
      </c>
      <c r="C12" t="s">
        <v>26759</v>
      </c>
    </row>
    <row r="13" spans="1:3" x14ac:dyDescent="0.15">
      <c r="A13">
        <v>1</v>
      </c>
      <c r="B13">
        <v>107</v>
      </c>
      <c r="C13" t="s">
        <v>26760</v>
      </c>
    </row>
    <row r="14" spans="1:3" x14ac:dyDescent="0.15">
      <c r="A14">
        <v>1</v>
      </c>
      <c r="B14">
        <v>108</v>
      </c>
      <c r="C14" t="s">
        <v>26761</v>
      </c>
    </row>
    <row r="15" spans="1:3" x14ac:dyDescent="0.15">
      <c r="A15">
        <v>1</v>
      </c>
      <c r="B15">
        <v>109</v>
      </c>
      <c r="C15" t="s">
        <v>26762</v>
      </c>
    </row>
    <row r="16" spans="1:3" x14ac:dyDescent="0.15">
      <c r="A16">
        <v>1</v>
      </c>
      <c r="B16">
        <v>111</v>
      </c>
      <c r="C16" t="s">
        <v>26763</v>
      </c>
    </row>
    <row r="17" spans="1:3" x14ac:dyDescent="0.15">
      <c r="A17">
        <v>1</v>
      </c>
      <c r="B17">
        <v>112</v>
      </c>
      <c r="C17" t="s">
        <v>26764</v>
      </c>
    </row>
    <row r="18" spans="1:3" x14ac:dyDescent="0.15">
      <c r="A18">
        <v>1</v>
      </c>
      <c r="B18">
        <v>113</v>
      </c>
      <c r="C18" t="s">
        <v>26765</v>
      </c>
    </row>
    <row r="19" spans="1:3" x14ac:dyDescent="0.15">
      <c r="A19">
        <v>1</v>
      </c>
      <c r="B19">
        <v>114</v>
      </c>
      <c r="C19" t="s">
        <v>26766</v>
      </c>
    </row>
    <row r="20" spans="1:3" x14ac:dyDescent="0.15">
      <c r="A20">
        <v>1</v>
      </c>
      <c r="B20">
        <v>115</v>
      </c>
      <c r="C20" t="s">
        <v>26767</v>
      </c>
    </row>
    <row r="21" spans="1:3" x14ac:dyDescent="0.15">
      <c r="A21">
        <v>1</v>
      </c>
      <c r="B21">
        <v>116</v>
      </c>
      <c r="C21" t="s">
        <v>26768</v>
      </c>
    </row>
    <row r="22" spans="1:3" x14ac:dyDescent="0.15">
      <c r="A22">
        <v>1</v>
      </c>
      <c r="B22">
        <v>117</v>
      </c>
      <c r="C22" t="s">
        <v>26769</v>
      </c>
    </row>
    <row r="23" spans="1:3" x14ac:dyDescent="0.15">
      <c r="A23">
        <v>1</v>
      </c>
      <c r="B23">
        <v>118</v>
      </c>
      <c r="C23" t="s">
        <v>26770</v>
      </c>
    </row>
    <row r="24" spans="1:3" x14ac:dyDescent="0.15">
      <c r="A24">
        <v>1</v>
      </c>
      <c r="B24">
        <v>119</v>
      </c>
      <c r="C24" t="s">
        <v>26771</v>
      </c>
    </row>
    <row r="25" spans="1:3" x14ac:dyDescent="0.15">
      <c r="A25">
        <v>1</v>
      </c>
      <c r="B25">
        <v>120</v>
      </c>
      <c r="C25" t="s">
        <v>26772</v>
      </c>
    </row>
    <row r="26" spans="1:3" x14ac:dyDescent="0.15">
      <c r="A26">
        <v>1</v>
      </c>
      <c r="B26">
        <v>122</v>
      </c>
      <c r="C26" t="s">
        <v>26773</v>
      </c>
    </row>
    <row r="27" spans="1:3" x14ac:dyDescent="0.15">
      <c r="A27">
        <v>1</v>
      </c>
      <c r="B27">
        <v>124</v>
      </c>
      <c r="C27" t="s">
        <v>26774</v>
      </c>
    </row>
    <row r="28" spans="1:3" x14ac:dyDescent="0.15">
      <c r="A28">
        <v>1</v>
      </c>
      <c r="B28">
        <v>125</v>
      </c>
      <c r="C28" t="s">
        <v>26775</v>
      </c>
    </row>
    <row r="29" spans="1:3" x14ac:dyDescent="0.15">
      <c r="A29">
        <v>1</v>
      </c>
      <c r="B29">
        <v>126</v>
      </c>
      <c r="C29" t="s">
        <v>26776</v>
      </c>
    </row>
    <row r="30" spans="1:3" x14ac:dyDescent="0.15">
      <c r="A30">
        <v>1</v>
      </c>
      <c r="B30">
        <v>127</v>
      </c>
      <c r="C30" t="s">
        <v>26777</v>
      </c>
    </row>
    <row r="31" spans="1:3" x14ac:dyDescent="0.15">
      <c r="A31">
        <v>1</v>
      </c>
      <c r="B31">
        <v>128</v>
      </c>
      <c r="C31" t="s">
        <v>26778</v>
      </c>
    </row>
    <row r="32" spans="1:3" x14ac:dyDescent="0.15">
      <c r="A32">
        <v>1</v>
      </c>
      <c r="B32">
        <v>129</v>
      </c>
      <c r="C32" t="s">
        <v>26779</v>
      </c>
    </row>
    <row r="33" spans="1:3" x14ac:dyDescent="0.15">
      <c r="A33">
        <v>1</v>
      </c>
      <c r="B33">
        <v>130</v>
      </c>
      <c r="C33" t="s">
        <v>26780</v>
      </c>
    </row>
    <row r="34" spans="1:3" x14ac:dyDescent="0.15">
      <c r="A34">
        <v>1</v>
      </c>
      <c r="B34">
        <v>131</v>
      </c>
      <c r="C34" t="s">
        <v>26781</v>
      </c>
    </row>
    <row r="35" spans="1:3" x14ac:dyDescent="0.15">
      <c r="A35">
        <v>1</v>
      </c>
      <c r="B35">
        <v>132</v>
      </c>
      <c r="C35" t="s">
        <v>26782</v>
      </c>
    </row>
    <row r="36" spans="1:3" x14ac:dyDescent="0.15">
      <c r="A36">
        <v>1</v>
      </c>
      <c r="B36">
        <v>133</v>
      </c>
      <c r="C36" t="s">
        <v>26783</v>
      </c>
    </row>
    <row r="37" spans="1:3" x14ac:dyDescent="0.15">
      <c r="A37">
        <v>1</v>
      </c>
      <c r="B37">
        <v>134</v>
      </c>
      <c r="C37" t="s">
        <v>26784</v>
      </c>
    </row>
    <row r="38" spans="1:3" x14ac:dyDescent="0.15">
      <c r="A38">
        <v>1</v>
      </c>
      <c r="B38">
        <v>135</v>
      </c>
      <c r="C38" t="s">
        <v>26785</v>
      </c>
    </row>
    <row r="39" spans="1:3" x14ac:dyDescent="0.15">
      <c r="A39">
        <v>1</v>
      </c>
      <c r="B39">
        <v>136</v>
      </c>
      <c r="C39" t="s">
        <v>26786</v>
      </c>
    </row>
    <row r="40" spans="1:3" x14ac:dyDescent="0.15">
      <c r="A40">
        <v>1</v>
      </c>
      <c r="B40">
        <v>137</v>
      </c>
      <c r="C40" t="s">
        <v>26787</v>
      </c>
    </row>
    <row r="41" spans="1:3" x14ac:dyDescent="0.15">
      <c r="A41">
        <v>1</v>
      </c>
      <c r="B41">
        <v>138</v>
      </c>
      <c r="C41" t="s">
        <v>26788</v>
      </c>
    </row>
    <row r="42" spans="1:3" x14ac:dyDescent="0.15">
      <c r="A42">
        <v>1</v>
      </c>
      <c r="B42">
        <v>139</v>
      </c>
      <c r="C42" t="s">
        <v>26789</v>
      </c>
    </row>
    <row r="43" spans="1:3" x14ac:dyDescent="0.15">
      <c r="A43">
        <v>1</v>
      </c>
      <c r="B43">
        <v>140</v>
      </c>
      <c r="C43" t="s">
        <v>26790</v>
      </c>
    </row>
    <row r="44" spans="1:3" x14ac:dyDescent="0.15">
      <c r="A44">
        <v>1</v>
      </c>
      <c r="B44">
        <v>141</v>
      </c>
      <c r="C44" t="s">
        <v>26791</v>
      </c>
    </row>
    <row r="45" spans="1:3" x14ac:dyDescent="0.15">
      <c r="A45">
        <v>1</v>
      </c>
      <c r="B45">
        <v>142</v>
      </c>
      <c r="C45" t="s">
        <v>26792</v>
      </c>
    </row>
    <row r="46" spans="1:3" x14ac:dyDescent="0.15">
      <c r="A46">
        <v>1</v>
      </c>
      <c r="B46">
        <v>143</v>
      </c>
      <c r="C46" t="s">
        <v>26793</v>
      </c>
    </row>
    <row r="47" spans="1:3" x14ac:dyDescent="0.15">
      <c r="A47">
        <v>1</v>
      </c>
      <c r="B47">
        <v>144</v>
      </c>
      <c r="C47" t="s">
        <v>26794</v>
      </c>
    </row>
    <row r="48" spans="1:3" x14ac:dyDescent="0.15">
      <c r="A48">
        <v>1</v>
      </c>
      <c r="B48">
        <v>145</v>
      </c>
      <c r="C48" t="s">
        <v>26795</v>
      </c>
    </row>
    <row r="49" spans="1:3" x14ac:dyDescent="0.15">
      <c r="A49">
        <v>1</v>
      </c>
      <c r="B49">
        <v>146</v>
      </c>
      <c r="C49" t="s">
        <v>26796</v>
      </c>
    </row>
    <row r="50" spans="1:3" x14ac:dyDescent="0.15">
      <c r="A50">
        <v>1</v>
      </c>
      <c r="B50">
        <v>147</v>
      </c>
      <c r="C50" t="s">
        <v>26797</v>
      </c>
    </row>
    <row r="51" spans="1:3" x14ac:dyDescent="0.15">
      <c r="A51">
        <v>1</v>
      </c>
      <c r="B51">
        <v>149</v>
      </c>
      <c r="C51" t="s">
        <v>26798</v>
      </c>
    </row>
    <row r="52" spans="1:3" x14ac:dyDescent="0.15">
      <c r="A52">
        <v>1</v>
      </c>
      <c r="B52">
        <v>150</v>
      </c>
      <c r="C52" t="s">
        <v>26799</v>
      </c>
    </row>
    <row r="53" spans="1:3" x14ac:dyDescent="0.15">
      <c r="A53">
        <v>1</v>
      </c>
      <c r="B53">
        <v>151</v>
      </c>
      <c r="C53" t="s">
        <v>26800</v>
      </c>
    </row>
    <row r="54" spans="1:3" x14ac:dyDescent="0.15">
      <c r="A54">
        <v>1</v>
      </c>
      <c r="B54">
        <v>152</v>
      </c>
      <c r="C54" t="s">
        <v>26801</v>
      </c>
    </row>
    <row r="55" spans="1:3" x14ac:dyDescent="0.15">
      <c r="A55">
        <v>1</v>
      </c>
      <c r="B55">
        <v>153</v>
      </c>
      <c r="C55" t="s">
        <v>26802</v>
      </c>
    </row>
    <row r="56" spans="1:3" x14ac:dyDescent="0.15">
      <c r="A56">
        <v>1</v>
      </c>
      <c r="B56">
        <v>154</v>
      </c>
      <c r="C56" t="s">
        <v>26803</v>
      </c>
    </row>
    <row r="57" spans="1:3" x14ac:dyDescent="0.15">
      <c r="A57">
        <v>1</v>
      </c>
      <c r="B57">
        <v>155</v>
      </c>
      <c r="C57" t="s">
        <v>26804</v>
      </c>
    </row>
    <row r="58" spans="1:3" x14ac:dyDescent="0.15">
      <c r="A58">
        <v>1</v>
      </c>
      <c r="B58">
        <v>160</v>
      </c>
      <c r="C58" t="s">
        <v>26805</v>
      </c>
    </row>
    <row r="59" spans="1:3" x14ac:dyDescent="0.15">
      <c r="A59">
        <v>1</v>
      </c>
      <c r="B59">
        <v>161</v>
      </c>
      <c r="C59" t="s">
        <v>26806</v>
      </c>
    </row>
    <row r="60" spans="1:3" x14ac:dyDescent="0.15">
      <c r="A60">
        <v>1</v>
      </c>
      <c r="B60">
        <v>162</v>
      </c>
      <c r="C60" t="s">
        <v>26807</v>
      </c>
    </row>
    <row r="61" spans="1:3" x14ac:dyDescent="0.15">
      <c r="A61">
        <v>1</v>
      </c>
      <c r="B61">
        <v>163</v>
      </c>
      <c r="C61" t="s">
        <v>26808</v>
      </c>
    </row>
    <row r="62" spans="1:3" x14ac:dyDescent="0.15">
      <c r="A62">
        <v>1</v>
      </c>
      <c r="B62">
        <v>164</v>
      </c>
      <c r="C62" t="s">
        <v>26809</v>
      </c>
    </row>
    <row r="63" spans="1:3" x14ac:dyDescent="0.15">
      <c r="A63">
        <v>1</v>
      </c>
      <c r="B63">
        <v>167</v>
      </c>
      <c r="C63" t="s">
        <v>26810</v>
      </c>
    </row>
    <row r="64" spans="1:3" x14ac:dyDescent="0.15">
      <c r="A64">
        <v>1</v>
      </c>
      <c r="B64">
        <v>168</v>
      </c>
      <c r="C64" t="s">
        <v>26811</v>
      </c>
    </row>
    <row r="65" spans="1:3" x14ac:dyDescent="0.15">
      <c r="A65">
        <v>1</v>
      </c>
      <c r="B65">
        <v>169</v>
      </c>
      <c r="C65" t="s">
        <v>26812</v>
      </c>
    </row>
    <row r="66" spans="1:3" x14ac:dyDescent="0.15">
      <c r="A66">
        <v>1</v>
      </c>
      <c r="B66">
        <v>170</v>
      </c>
      <c r="C66" t="s">
        <v>26813</v>
      </c>
    </row>
    <row r="67" spans="1:3" x14ac:dyDescent="0.15">
      <c r="A67">
        <v>1</v>
      </c>
      <c r="B67">
        <v>171</v>
      </c>
      <c r="C67" t="s">
        <v>26814</v>
      </c>
    </row>
    <row r="68" spans="1:3" x14ac:dyDescent="0.15">
      <c r="A68">
        <v>1</v>
      </c>
      <c r="B68">
        <v>172</v>
      </c>
      <c r="C68" t="s">
        <v>26815</v>
      </c>
    </row>
    <row r="69" spans="1:3" x14ac:dyDescent="0.15">
      <c r="A69">
        <v>1</v>
      </c>
      <c r="B69">
        <v>179</v>
      </c>
      <c r="C69" t="s">
        <v>26816</v>
      </c>
    </row>
    <row r="70" spans="1:3" x14ac:dyDescent="0.15">
      <c r="A70">
        <v>1</v>
      </c>
      <c r="B70">
        <v>180</v>
      </c>
      <c r="C70" t="s">
        <v>26817</v>
      </c>
    </row>
    <row r="71" spans="1:3" x14ac:dyDescent="0.15">
      <c r="A71">
        <v>1</v>
      </c>
      <c r="B71">
        <v>181</v>
      </c>
      <c r="C71" t="s">
        <v>26818</v>
      </c>
    </row>
    <row r="72" spans="1:3" x14ac:dyDescent="0.15">
      <c r="A72">
        <v>1</v>
      </c>
      <c r="B72">
        <v>182</v>
      </c>
      <c r="C72" t="s">
        <v>26819</v>
      </c>
    </row>
    <row r="73" spans="1:3" x14ac:dyDescent="0.15">
      <c r="A73">
        <v>1</v>
      </c>
      <c r="B73">
        <v>183</v>
      </c>
      <c r="C73" t="s">
        <v>26820</v>
      </c>
    </row>
    <row r="74" spans="1:3" x14ac:dyDescent="0.15">
      <c r="A74">
        <v>1</v>
      </c>
      <c r="B74">
        <v>184</v>
      </c>
      <c r="C74" t="s">
        <v>26821</v>
      </c>
    </row>
    <row r="75" spans="1:3" x14ac:dyDescent="0.15">
      <c r="A75">
        <v>1</v>
      </c>
      <c r="B75">
        <v>200</v>
      </c>
      <c r="C75" t="s">
        <v>26822</v>
      </c>
    </row>
    <row r="76" spans="1:3" x14ac:dyDescent="0.15">
      <c r="A76">
        <v>1</v>
      </c>
      <c r="B76">
        <v>201</v>
      </c>
      <c r="C76" t="s">
        <v>26823</v>
      </c>
    </row>
    <row r="77" spans="1:3" x14ac:dyDescent="0.15">
      <c r="A77">
        <v>1</v>
      </c>
      <c r="B77">
        <v>202</v>
      </c>
      <c r="C77" t="s">
        <v>26824</v>
      </c>
    </row>
    <row r="78" spans="1:3" x14ac:dyDescent="0.15">
      <c r="A78">
        <v>1</v>
      </c>
      <c r="B78">
        <v>203</v>
      </c>
      <c r="C78" t="s">
        <v>26825</v>
      </c>
    </row>
    <row r="79" spans="1:3" x14ac:dyDescent="0.15">
      <c r="A79">
        <v>1</v>
      </c>
      <c r="B79">
        <v>204</v>
      </c>
      <c r="C79" t="s">
        <v>26826</v>
      </c>
    </row>
    <row r="80" spans="1:3" x14ac:dyDescent="0.15">
      <c r="A80">
        <v>1</v>
      </c>
      <c r="B80">
        <v>205</v>
      </c>
      <c r="C80" t="s">
        <v>26827</v>
      </c>
    </row>
    <row r="81" spans="1:3" x14ac:dyDescent="0.15">
      <c r="A81">
        <v>1</v>
      </c>
      <c r="B81">
        <v>206</v>
      </c>
      <c r="C81" t="s">
        <v>26828</v>
      </c>
    </row>
    <row r="82" spans="1:3" x14ac:dyDescent="0.15">
      <c r="A82">
        <v>1</v>
      </c>
      <c r="B82">
        <v>207</v>
      </c>
      <c r="C82" t="s">
        <v>26829</v>
      </c>
    </row>
    <row r="83" spans="1:3" x14ac:dyDescent="0.15">
      <c r="A83">
        <v>1</v>
      </c>
      <c r="B83">
        <v>208</v>
      </c>
      <c r="C83" t="s">
        <v>26830</v>
      </c>
    </row>
    <row r="84" spans="1:3" x14ac:dyDescent="0.15">
      <c r="A84">
        <v>1</v>
      </c>
      <c r="B84">
        <v>209</v>
      </c>
      <c r="C84" t="s">
        <v>26831</v>
      </c>
    </row>
    <row r="85" spans="1:3" x14ac:dyDescent="0.15">
      <c r="A85">
        <v>1</v>
      </c>
      <c r="B85">
        <v>210</v>
      </c>
      <c r="C85" t="s">
        <v>26832</v>
      </c>
    </row>
    <row r="86" spans="1:3" x14ac:dyDescent="0.15">
      <c r="A86">
        <v>1</v>
      </c>
      <c r="B86">
        <v>211</v>
      </c>
      <c r="C86" t="s">
        <v>26833</v>
      </c>
    </row>
    <row r="87" spans="1:3" x14ac:dyDescent="0.15">
      <c r="A87">
        <v>1</v>
      </c>
      <c r="B87">
        <v>212</v>
      </c>
      <c r="C87" t="s">
        <v>26834</v>
      </c>
    </row>
    <row r="88" spans="1:3" x14ac:dyDescent="0.15">
      <c r="A88">
        <v>1</v>
      </c>
      <c r="B88">
        <v>214</v>
      </c>
      <c r="C88" t="s">
        <v>26835</v>
      </c>
    </row>
    <row r="89" spans="1:3" x14ac:dyDescent="0.15">
      <c r="A89">
        <v>1</v>
      </c>
      <c r="B89">
        <v>215</v>
      </c>
      <c r="C89" t="s">
        <v>26836</v>
      </c>
    </row>
    <row r="90" spans="1:3" x14ac:dyDescent="0.15">
      <c r="A90">
        <v>1</v>
      </c>
      <c r="B90">
        <v>216</v>
      </c>
      <c r="C90" t="s">
        <v>26837</v>
      </c>
    </row>
    <row r="91" spans="1:3" x14ac:dyDescent="0.15">
      <c r="A91">
        <v>1</v>
      </c>
      <c r="B91">
        <v>217</v>
      </c>
      <c r="C91" t="s">
        <v>26838</v>
      </c>
    </row>
    <row r="92" spans="1:3" x14ac:dyDescent="0.15">
      <c r="A92">
        <v>1</v>
      </c>
      <c r="B92">
        <v>218</v>
      </c>
      <c r="C92" t="s">
        <v>26839</v>
      </c>
    </row>
    <row r="93" spans="1:3" x14ac:dyDescent="0.15">
      <c r="A93">
        <v>1</v>
      </c>
      <c r="B93">
        <v>219</v>
      </c>
      <c r="C93" t="s">
        <v>26840</v>
      </c>
    </row>
    <row r="94" spans="1:3" x14ac:dyDescent="0.15">
      <c r="A94">
        <v>1</v>
      </c>
      <c r="B94">
        <v>220</v>
      </c>
      <c r="C94" t="s">
        <v>26841</v>
      </c>
    </row>
    <row r="95" spans="1:3" x14ac:dyDescent="0.15">
      <c r="A95">
        <v>1</v>
      </c>
      <c r="B95">
        <v>221</v>
      </c>
      <c r="C95" t="s">
        <v>26842</v>
      </c>
    </row>
    <row r="96" spans="1:3" x14ac:dyDescent="0.15">
      <c r="A96">
        <v>1</v>
      </c>
      <c r="B96">
        <v>222</v>
      </c>
      <c r="C96" t="s">
        <v>26843</v>
      </c>
    </row>
    <row r="97" spans="1:3" x14ac:dyDescent="0.15">
      <c r="A97">
        <v>1</v>
      </c>
      <c r="B97">
        <v>223</v>
      </c>
      <c r="C97" t="s">
        <v>26844</v>
      </c>
    </row>
    <row r="98" spans="1:3" x14ac:dyDescent="0.15">
      <c r="A98">
        <v>1</v>
      </c>
      <c r="B98">
        <v>224</v>
      </c>
      <c r="C98" t="s">
        <v>26845</v>
      </c>
    </row>
    <row r="99" spans="1:3" x14ac:dyDescent="0.15">
      <c r="A99">
        <v>1</v>
      </c>
      <c r="B99">
        <v>225</v>
      </c>
      <c r="C99" t="s">
        <v>26846</v>
      </c>
    </row>
    <row r="100" spans="1:3" x14ac:dyDescent="0.15">
      <c r="A100">
        <v>1</v>
      </c>
      <c r="B100">
        <v>226</v>
      </c>
      <c r="C100" t="s">
        <v>26847</v>
      </c>
    </row>
    <row r="101" spans="1:3" x14ac:dyDescent="0.15">
      <c r="A101">
        <v>1</v>
      </c>
      <c r="B101">
        <v>227</v>
      </c>
      <c r="C101" t="s">
        <v>26848</v>
      </c>
    </row>
    <row r="102" spans="1:3" x14ac:dyDescent="0.15">
      <c r="A102">
        <v>1</v>
      </c>
      <c r="B102">
        <v>228</v>
      </c>
      <c r="C102" t="s">
        <v>26849</v>
      </c>
    </row>
    <row r="103" spans="1:3" x14ac:dyDescent="0.15">
      <c r="A103">
        <v>1</v>
      </c>
      <c r="B103">
        <v>229</v>
      </c>
      <c r="C103" t="s">
        <v>26850</v>
      </c>
    </row>
    <row r="104" spans="1:3" x14ac:dyDescent="0.15">
      <c r="A104">
        <v>1</v>
      </c>
      <c r="B104">
        <v>230</v>
      </c>
      <c r="C104" t="s">
        <v>26851</v>
      </c>
    </row>
    <row r="105" spans="1:3" x14ac:dyDescent="0.15">
      <c r="A105">
        <v>1</v>
      </c>
      <c r="B105">
        <v>231</v>
      </c>
      <c r="C105" t="s">
        <v>26852</v>
      </c>
    </row>
    <row r="106" spans="1:3" x14ac:dyDescent="0.15">
      <c r="A106">
        <v>1</v>
      </c>
      <c r="B106">
        <v>232</v>
      </c>
      <c r="C106" t="s">
        <v>26853</v>
      </c>
    </row>
    <row r="107" spans="1:3" x14ac:dyDescent="0.15">
      <c r="A107">
        <v>1</v>
      </c>
      <c r="B107">
        <v>233</v>
      </c>
      <c r="C107" t="s">
        <v>26854</v>
      </c>
    </row>
    <row r="108" spans="1:3" x14ac:dyDescent="0.15">
      <c r="A108">
        <v>1</v>
      </c>
      <c r="B108">
        <v>234</v>
      </c>
      <c r="C108" t="s">
        <v>26855</v>
      </c>
    </row>
    <row r="109" spans="1:3" x14ac:dyDescent="0.15">
      <c r="A109">
        <v>1</v>
      </c>
      <c r="B109">
        <v>235</v>
      </c>
      <c r="C109" t="s">
        <v>26856</v>
      </c>
    </row>
    <row r="110" spans="1:3" x14ac:dyDescent="0.15">
      <c r="A110">
        <v>1</v>
      </c>
      <c r="B110">
        <v>239</v>
      </c>
      <c r="C110" t="s">
        <v>26857</v>
      </c>
    </row>
    <row r="111" spans="1:3" x14ac:dyDescent="0.15">
      <c r="A111">
        <v>1</v>
      </c>
      <c r="B111">
        <v>240</v>
      </c>
      <c r="C111" t="s">
        <v>26858</v>
      </c>
    </row>
    <row r="112" spans="1:3" x14ac:dyDescent="0.15">
      <c r="A112">
        <v>1</v>
      </c>
      <c r="B112">
        <v>242</v>
      </c>
      <c r="C112" t="s">
        <v>26859</v>
      </c>
    </row>
    <row r="113" spans="1:3" x14ac:dyDescent="0.15">
      <c r="A113">
        <v>1</v>
      </c>
      <c r="B113">
        <v>243</v>
      </c>
      <c r="C113" t="s">
        <v>26860</v>
      </c>
    </row>
    <row r="114" spans="1:3" x14ac:dyDescent="0.15">
      <c r="A114">
        <v>1</v>
      </c>
      <c r="B114">
        <v>244</v>
      </c>
      <c r="C114" t="s">
        <v>26861</v>
      </c>
    </row>
    <row r="115" spans="1:3" x14ac:dyDescent="0.15">
      <c r="A115">
        <v>1</v>
      </c>
      <c r="B115">
        <v>245</v>
      </c>
      <c r="C115" t="s">
        <v>26862</v>
      </c>
    </row>
    <row r="116" spans="1:3" x14ac:dyDescent="0.15">
      <c r="A116">
        <v>1</v>
      </c>
      <c r="B116">
        <v>249</v>
      </c>
      <c r="C116" t="s">
        <v>26863</v>
      </c>
    </row>
    <row r="117" spans="1:3" x14ac:dyDescent="0.15">
      <c r="A117">
        <v>1</v>
      </c>
      <c r="B117">
        <v>250</v>
      </c>
      <c r="C117" t="s">
        <v>26864</v>
      </c>
    </row>
    <row r="118" spans="1:3" x14ac:dyDescent="0.15">
      <c r="A118">
        <v>1</v>
      </c>
      <c r="B118">
        <v>251</v>
      </c>
      <c r="C118" t="s">
        <v>26865</v>
      </c>
    </row>
    <row r="119" spans="1:3" x14ac:dyDescent="0.15">
      <c r="A119">
        <v>1</v>
      </c>
      <c r="B119">
        <v>252</v>
      </c>
      <c r="C119" t="s">
        <v>26866</v>
      </c>
    </row>
    <row r="120" spans="1:3" x14ac:dyDescent="0.15">
      <c r="A120">
        <v>1</v>
      </c>
      <c r="B120">
        <v>259</v>
      </c>
      <c r="C120" t="s">
        <v>26867</v>
      </c>
    </row>
    <row r="121" spans="1:3" x14ac:dyDescent="0.15">
      <c r="A121">
        <v>1</v>
      </c>
      <c r="B121">
        <v>260</v>
      </c>
      <c r="C121" t="s">
        <v>26868</v>
      </c>
    </row>
    <row r="122" spans="1:3" x14ac:dyDescent="0.15">
      <c r="A122">
        <v>1</v>
      </c>
      <c r="B122">
        <v>261</v>
      </c>
      <c r="C122" t="s">
        <v>26869</v>
      </c>
    </row>
    <row r="123" spans="1:3" x14ac:dyDescent="0.15">
      <c r="A123">
        <v>1</v>
      </c>
      <c r="B123">
        <v>269</v>
      </c>
      <c r="C123" t="s">
        <v>26870</v>
      </c>
    </row>
    <row r="124" spans="1:3" x14ac:dyDescent="0.15">
      <c r="A124">
        <v>1</v>
      </c>
      <c r="B124">
        <v>270</v>
      </c>
      <c r="C124" t="s">
        <v>26871</v>
      </c>
    </row>
    <row r="125" spans="1:3" x14ac:dyDescent="0.15">
      <c r="A125">
        <v>1</v>
      </c>
      <c r="B125">
        <v>271</v>
      </c>
      <c r="C125" t="s">
        <v>26872</v>
      </c>
    </row>
    <row r="126" spans="1:3" x14ac:dyDescent="0.15">
      <c r="A126">
        <v>1</v>
      </c>
      <c r="B126">
        <v>275</v>
      </c>
      <c r="C126" t="s">
        <v>26873</v>
      </c>
    </row>
    <row r="127" spans="1:3" x14ac:dyDescent="0.15">
      <c r="A127">
        <v>1</v>
      </c>
      <c r="B127">
        <v>280</v>
      </c>
      <c r="C127" t="s">
        <v>26874</v>
      </c>
    </row>
    <row r="128" spans="1:3" x14ac:dyDescent="0.15">
      <c r="A128">
        <v>1</v>
      </c>
      <c r="B128">
        <v>290</v>
      </c>
      <c r="C128" t="s">
        <v>26875</v>
      </c>
    </row>
    <row r="129" spans="1:3" x14ac:dyDescent="0.15">
      <c r="A129">
        <v>1</v>
      </c>
      <c r="B129">
        <v>298</v>
      </c>
      <c r="C129" t="s">
        <v>26876</v>
      </c>
    </row>
    <row r="130" spans="1:3" x14ac:dyDescent="0.15">
      <c r="A130">
        <v>1</v>
      </c>
      <c r="B130">
        <v>299</v>
      </c>
      <c r="C130" t="s">
        <v>26877</v>
      </c>
    </row>
    <row r="131" spans="1:3" x14ac:dyDescent="0.15">
      <c r="A131">
        <v>1</v>
      </c>
      <c r="B131">
        <v>300</v>
      </c>
      <c r="C131" t="s">
        <v>26878</v>
      </c>
    </row>
    <row r="132" spans="1:3" x14ac:dyDescent="0.15">
      <c r="A132">
        <v>1</v>
      </c>
      <c r="B132">
        <v>301</v>
      </c>
      <c r="C132" t="s">
        <v>26879</v>
      </c>
    </row>
    <row r="133" spans="1:3" x14ac:dyDescent="0.15">
      <c r="A133">
        <v>1</v>
      </c>
      <c r="B133">
        <v>302</v>
      </c>
      <c r="C133" t="s">
        <v>26880</v>
      </c>
    </row>
    <row r="134" spans="1:3" x14ac:dyDescent="0.15">
      <c r="A134">
        <v>1</v>
      </c>
      <c r="B134">
        <v>303</v>
      </c>
      <c r="C134" t="s">
        <v>26881</v>
      </c>
    </row>
    <row r="135" spans="1:3" x14ac:dyDescent="0.15">
      <c r="A135">
        <v>1</v>
      </c>
      <c r="B135">
        <v>304</v>
      </c>
      <c r="C135" t="s">
        <v>26882</v>
      </c>
    </row>
    <row r="136" spans="1:3" x14ac:dyDescent="0.15">
      <c r="A136">
        <v>1</v>
      </c>
      <c r="B136">
        <v>305</v>
      </c>
      <c r="C136" t="s">
        <v>26883</v>
      </c>
    </row>
    <row r="137" spans="1:3" x14ac:dyDescent="0.15">
      <c r="A137">
        <v>1</v>
      </c>
      <c r="B137">
        <v>306</v>
      </c>
      <c r="C137" t="s">
        <v>26884</v>
      </c>
    </row>
    <row r="138" spans="1:3" x14ac:dyDescent="0.15">
      <c r="A138">
        <v>1</v>
      </c>
      <c r="B138">
        <v>307</v>
      </c>
      <c r="C138" t="s">
        <v>26885</v>
      </c>
    </row>
    <row r="139" spans="1:3" x14ac:dyDescent="0.15">
      <c r="A139">
        <v>1</v>
      </c>
      <c r="B139">
        <v>308</v>
      </c>
      <c r="C139" t="s">
        <v>26886</v>
      </c>
    </row>
    <row r="140" spans="1:3" x14ac:dyDescent="0.15">
      <c r="A140">
        <v>1</v>
      </c>
      <c r="B140">
        <v>309</v>
      </c>
      <c r="C140" t="s">
        <v>26887</v>
      </c>
    </row>
    <row r="141" spans="1:3" x14ac:dyDescent="0.15">
      <c r="A141">
        <v>1</v>
      </c>
      <c r="B141">
        <v>310</v>
      </c>
      <c r="C141" t="s">
        <v>26888</v>
      </c>
    </row>
    <row r="142" spans="1:3" x14ac:dyDescent="0.15">
      <c r="A142">
        <v>1</v>
      </c>
      <c r="B142">
        <v>312</v>
      </c>
      <c r="C142" t="s">
        <v>26889</v>
      </c>
    </row>
    <row r="143" spans="1:3" x14ac:dyDescent="0.15">
      <c r="A143">
        <v>1</v>
      </c>
      <c r="B143">
        <v>313</v>
      </c>
      <c r="C143" t="s">
        <v>26890</v>
      </c>
    </row>
    <row r="144" spans="1:3" x14ac:dyDescent="0.15">
      <c r="A144">
        <v>1</v>
      </c>
      <c r="B144">
        <v>314</v>
      </c>
      <c r="C144" t="s">
        <v>26891</v>
      </c>
    </row>
    <row r="145" spans="1:3" x14ac:dyDescent="0.15">
      <c r="A145">
        <v>1</v>
      </c>
      <c r="B145">
        <v>315</v>
      </c>
      <c r="C145" t="s">
        <v>26892</v>
      </c>
    </row>
    <row r="146" spans="1:3" x14ac:dyDescent="0.15">
      <c r="A146">
        <v>1</v>
      </c>
      <c r="B146">
        <v>316</v>
      </c>
      <c r="C146" t="s">
        <v>26893</v>
      </c>
    </row>
    <row r="147" spans="1:3" x14ac:dyDescent="0.15">
      <c r="A147">
        <v>1</v>
      </c>
      <c r="B147">
        <v>317</v>
      </c>
      <c r="C147" t="s">
        <v>26894</v>
      </c>
    </row>
    <row r="148" spans="1:3" x14ac:dyDescent="0.15">
      <c r="A148">
        <v>1</v>
      </c>
      <c r="B148">
        <v>318</v>
      </c>
      <c r="C148" t="s">
        <v>26895</v>
      </c>
    </row>
    <row r="149" spans="1:3" x14ac:dyDescent="0.15">
      <c r="A149">
        <v>1</v>
      </c>
      <c r="B149">
        <v>320</v>
      </c>
      <c r="C149" t="s">
        <v>26896</v>
      </c>
    </row>
    <row r="150" spans="1:3" x14ac:dyDescent="0.15">
      <c r="A150">
        <v>1</v>
      </c>
      <c r="B150">
        <v>321</v>
      </c>
      <c r="C150" t="s">
        <v>26897</v>
      </c>
    </row>
    <row r="151" spans="1:3" x14ac:dyDescent="0.15">
      <c r="A151">
        <v>1</v>
      </c>
      <c r="B151">
        <v>349</v>
      </c>
      <c r="C151" t="s">
        <v>26898</v>
      </c>
    </row>
    <row r="152" spans="1:3" x14ac:dyDescent="0.15">
      <c r="A152">
        <v>1</v>
      </c>
      <c r="B152">
        <v>399</v>
      </c>
      <c r="C152" t="s">
        <v>26899</v>
      </c>
    </row>
    <row r="153" spans="1:3" x14ac:dyDescent="0.15">
      <c r="A153">
        <v>1</v>
      </c>
      <c r="B153">
        <v>416</v>
      </c>
      <c r="C153" t="s">
        <v>26900</v>
      </c>
    </row>
    <row r="154" spans="1:3" x14ac:dyDescent="0.15">
      <c r="A154">
        <v>1</v>
      </c>
      <c r="B154">
        <v>417</v>
      </c>
      <c r="C154" t="s">
        <v>26901</v>
      </c>
    </row>
    <row r="155" spans="1:3" x14ac:dyDescent="0.15">
      <c r="A155">
        <v>1</v>
      </c>
      <c r="B155">
        <v>418</v>
      </c>
      <c r="C155" t="s">
        <v>26902</v>
      </c>
    </row>
    <row r="156" spans="1:3" x14ac:dyDescent="0.15">
      <c r="A156">
        <v>1</v>
      </c>
      <c r="B156">
        <v>420</v>
      </c>
      <c r="C156" t="s">
        <v>26903</v>
      </c>
    </row>
    <row r="157" spans="1:3" x14ac:dyDescent="0.15">
      <c r="A157">
        <v>1</v>
      </c>
      <c r="B157">
        <v>422</v>
      </c>
      <c r="C157" t="s">
        <v>26904</v>
      </c>
    </row>
    <row r="158" spans="1:3" x14ac:dyDescent="0.15">
      <c r="A158">
        <v>1</v>
      </c>
      <c r="B158">
        <v>423</v>
      </c>
      <c r="C158" t="s">
        <v>26905</v>
      </c>
    </row>
    <row r="159" spans="1:3" x14ac:dyDescent="0.15">
      <c r="A159">
        <v>1</v>
      </c>
      <c r="B159">
        <v>450</v>
      </c>
      <c r="C159" t="s">
        <v>26906</v>
      </c>
    </row>
    <row r="160" spans="1:3" x14ac:dyDescent="0.15">
      <c r="A160">
        <v>1</v>
      </c>
      <c r="B160">
        <v>451</v>
      </c>
      <c r="C160" t="s">
        <v>26907</v>
      </c>
    </row>
    <row r="161" spans="1:3" x14ac:dyDescent="0.15">
      <c r="A161">
        <v>1</v>
      </c>
      <c r="B161">
        <v>452</v>
      </c>
      <c r="C161" t="s">
        <v>26908</v>
      </c>
    </row>
    <row r="162" spans="1:3" x14ac:dyDescent="0.15">
      <c r="A162">
        <v>1</v>
      </c>
      <c r="B162">
        <v>453</v>
      </c>
      <c r="C162" t="s">
        <v>26909</v>
      </c>
    </row>
    <row r="163" spans="1:3" x14ac:dyDescent="0.15">
      <c r="A163">
        <v>1</v>
      </c>
      <c r="B163">
        <v>460</v>
      </c>
      <c r="C163" t="s">
        <v>26910</v>
      </c>
    </row>
    <row r="164" spans="1:3" x14ac:dyDescent="0.15">
      <c r="A164">
        <v>1</v>
      </c>
      <c r="B164">
        <v>461</v>
      </c>
      <c r="C164" t="s">
        <v>26911</v>
      </c>
    </row>
    <row r="165" spans="1:3" x14ac:dyDescent="0.15">
      <c r="A165">
        <v>1</v>
      </c>
      <c r="B165">
        <v>462</v>
      </c>
      <c r="C165" t="s">
        <v>26912</v>
      </c>
    </row>
    <row r="166" spans="1:3" x14ac:dyDescent="0.15">
      <c r="A166">
        <v>1</v>
      </c>
      <c r="B166">
        <v>464</v>
      </c>
      <c r="C166" t="s">
        <v>26913</v>
      </c>
    </row>
    <row r="167" spans="1:3" x14ac:dyDescent="0.15">
      <c r="A167">
        <v>1</v>
      </c>
      <c r="B167">
        <v>465</v>
      </c>
      <c r="C167" t="s">
        <v>26914</v>
      </c>
    </row>
    <row r="168" spans="1:3" x14ac:dyDescent="0.15">
      <c r="A168">
        <v>1</v>
      </c>
      <c r="B168">
        <v>500</v>
      </c>
      <c r="C168" t="s">
        <v>26915</v>
      </c>
    </row>
    <row r="169" spans="1:3" x14ac:dyDescent="0.15">
      <c r="A169">
        <v>1</v>
      </c>
      <c r="B169">
        <v>504</v>
      </c>
      <c r="C169" t="s">
        <v>26916</v>
      </c>
    </row>
    <row r="170" spans="1:3" x14ac:dyDescent="0.15">
      <c r="A170">
        <v>1</v>
      </c>
      <c r="B170">
        <v>505</v>
      </c>
      <c r="C170" t="s">
        <v>26917</v>
      </c>
    </row>
    <row r="171" spans="1:3" x14ac:dyDescent="0.15">
      <c r="A171">
        <v>1</v>
      </c>
      <c r="B171">
        <v>506</v>
      </c>
      <c r="C171" t="s">
        <v>26918</v>
      </c>
    </row>
    <row r="172" spans="1:3" x14ac:dyDescent="0.15">
      <c r="A172">
        <v>1</v>
      </c>
      <c r="B172">
        <v>507</v>
      </c>
      <c r="C172" t="s">
        <v>26919</v>
      </c>
    </row>
    <row r="173" spans="1:3" x14ac:dyDescent="0.15">
      <c r="A173">
        <v>1</v>
      </c>
      <c r="B173">
        <v>508</v>
      </c>
      <c r="C173" t="s">
        <v>26920</v>
      </c>
    </row>
    <row r="174" spans="1:3" x14ac:dyDescent="0.15">
      <c r="A174">
        <v>1</v>
      </c>
      <c r="B174">
        <v>509</v>
      </c>
      <c r="C174" t="s">
        <v>26921</v>
      </c>
    </row>
    <row r="175" spans="1:3" x14ac:dyDescent="0.15">
      <c r="A175">
        <v>1</v>
      </c>
      <c r="B175">
        <v>510</v>
      </c>
      <c r="C175" t="s">
        <v>26922</v>
      </c>
    </row>
    <row r="176" spans="1:3" x14ac:dyDescent="0.15">
      <c r="A176">
        <v>1</v>
      </c>
      <c r="B176">
        <v>511</v>
      </c>
      <c r="C176" t="s">
        <v>26923</v>
      </c>
    </row>
    <row r="177" spans="1:3" x14ac:dyDescent="0.15">
      <c r="A177">
        <v>1</v>
      </c>
      <c r="B177">
        <v>512</v>
      </c>
      <c r="C177" t="s">
        <v>26924</v>
      </c>
    </row>
    <row r="178" spans="1:3" x14ac:dyDescent="0.15">
      <c r="A178">
        <v>1</v>
      </c>
      <c r="B178">
        <v>513</v>
      </c>
      <c r="C178" t="s">
        <v>26925</v>
      </c>
    </row>
    <row r="179" spans="1:3" x14ac:dyDescent="0.15">
      <c r="A179">
        <v>1</v>
      </c>
      <c r="B179">
        <v>514</v>
      </c>
      <c r="C179" t="s">
        <v>26926</v>
      </c>
    </row>
    <row r="180" spans="1:3" x14ac:dyDescent="0.15">
      <c r="A180">
        <v>1</v>
      </c>
      <c r="B180">
        <v>515</v>
      </c>
      <c r="C180" t="s">
        <v>26927</v>
      </c>
    </row>
    <row r="181" spans="1:3" x14ac:dyDescent="0.15">
      <c r="A181">
        <v>1</v>
      </c>
      <c r="B181">
        <v>516</v>
      </c>
      <c r="C181" t="s">
        <v>26928</v>
      </c>
    </row>
    <row r="182" spans="1:3" x14ac:dyDescent="0.15">
      <c r="A182">
        <v>1</v>
      </c>
      <c r="B182">
        <v>518</v>
      </c>
      <c r="C182" t="s">
        <v>26929</v>
      </c>
    </row>
    <row r="183" spans="1:3" x14ac:dyDescent="0.15">
      <c r="A183">
        <v>1</v>
      </c>
      <c r="B183">
        <v>519</v>
      </c>
      <c r="C183" t="s">
        <v>26930</v>
      </c>
    </row>
    <row r="184" spans="1:3" x14ac:dyDescent="0.15">
      <c r="A184">
        <v>1</v>
      </c>
      <c r="B184">
        <v>520</v>
      </c>
      <c r="C184" t="s">
        <v>26931</v>
      </c>
    </row>
    <row r="185" spans="1:3" x14ac:dyDescent="0.15">
      <c r="A185">
        <v>1</v>
      </c>
      <c r="B185">
        <v>521</v>
      </c>
      <c r="C185" t="s">
        <v>26932</v>
      </c>
    </row>
    <row r="186" spans="1:3" x14ac:dyDescent="0.15">
      <c r="A186">
        <v>1</v>
      </c>
      <c r="B186">
        <v>522</v>
      </c>
      <c r="C186" t="s">
        <v>26933</v>
      </c>
    </row>
    <row r="187" spans="1:3" x14ac:dyDescent="0.15">
      <c r="A187">
        <v>1</v>
      </c>
      <c r="B187">
        <v>523</v>
      </c>
      <c r="C187" t="s">
        <v>26934</v>
      </c>
    </row>
    <row r="188" spans="1:3" x14ac:dyDescent="0.15">
      <c r="A188">
        <v>1</v>
      </c>
      <c r="B188">
        <v>525</v>
      </c>
      <c r="C188" t="s">
        <v>26935</v>
      </c>
    </row>
    <row r="189" spans="1:3" x14ac:dyDescent="0.15">
      <c r="A189">
        <v>1</v>
      </c>
      <c r="B189">
        <v>526</v>
      </c>
      <c r="C189" t="s">
        <v>26936</v>
      </c>
    </row>
    <row r="190" spans="1:3" x14ac:dyDescent="0.15">
      <c r="A190">
        <v>1</v>
      </c>
      <c r="B190">
        <v>527</v>
      </c>
      <c r="C190" t="s">
        <v>26937</v>
      </c>
    </row>
    <row r="191" spans="1:3" x14ac:dyDescent="0.15">
      <c r="A191">
        <v>1</v>
      </c>
      <c r="B191">
        <v>528</v>
      </c>
      <c r="C191" t="s">
        <v>26938</v>
      </c>
    </row>
    <row r="192" spans="1:3" x14ac:dyDescent="0.15">
      <c r="A192">
        <v>1</v>
      </c>
      <c r="B192">
        <v>530</v>
      </c>
      <c r="C192" t="s">
        <v>26939</v>
      </c>
    </row>
    <row r="193" spans="1:3" x14ac:dyDescent="0.15">
      <c r="A193">
        <v>1</v>
      </c>
      <c r="B193">
        <v>531</v>
      </c>
      <c r="C193" t="s">
        <v>26940</v>
      </c>
    </row>
    <row r="194" spans="1:3" x14ac:dyDescent="0.15">
      <c r="A194">
        <v>1</v>
      </c>
      <c r="B194">
        <v>532</v>
      </c>
      <c r="C194" t="s">
        <v>26941</v>
      </c>
    </row>
    <row r="195" spans="1:3" x14ac:dyDescent="0.15">
      <c r="A195">
        <v>1</v>
      </c>
      <c r="B195">
        <v>534</v>
      </c>
      <c r="C195" t="s">
        <v>26942</v>
      </c>
    </row>
    <row r="196" spans="1:3" x14ac:dyDescent="0.15">
      <c r="A196">
        <v>1</v>
      </c>
      <c r="B196">
        <v>536</v>
      </c>
      <c r="C196" t="s">
        <v>26943</v>
      </c>
    </row>
    <row r="197" spans="1:3" x14ac:dyDescent="0.15">
      <c r="A197">
        <v>1</v>
      </c>
      <c r="B197">
        <v>537</v>
      </c>
      <c r="C197" t="s">
        <v>26944</v>
      </c>
    </row>
    <row r="198" spans="1:3" x14ac:dyDescent="0.15">
      <c r="A198">
        <v>1</v>
      </c>
      <c r="B198">
        <v>538</v>
      </c>
      <c r="C198" t="s">
        <v>26945</v>
      </c>
    </row>
    <row r="199" spans="1:3" x14ac:dyDescent="0.15">
      <c r="A199">
        <v>1</v>
      </c>
      <c r="B199">
        <v>539</v>
      </c>
      <c r="C199" t="s">
        <v>26946</v>
      </c>
    </row>
    <row r="200" spans="1:3" x14ac:dyDescent="0.15">
      <c r="A200">
        <v>1</v>
      </c>
      <c r="B200">
        <v>540</v>
      </c>
      <c r="C200" t="s">
        <v>26947</v>
      </c>
    </row>
    <row r="201" spans="1:3" x14ac:dyDescent="0.15">
      <c r="A201">
        <v>1</v>
      </c>
      <c r="B201">
        <v>542</v>
      </c>
      <c r="C201" t="s">
        <v>26948</v>
      </c>
    </row>
    <row r="202" spans="1:3" x14ac:dyDescent="0.15">
      <c r="A202">
        <v>1</v>
      </c>
      <c r="B202">
        <v>543</v>
      </c>
      <c r="C202" t="s">
        <v>26949</v>
      </c>
    </row>
    <row r="203" spans="1:3" x14ac:dyDescent="0.15">
      <c r="A203">
        <v>1</v>
      </c>
      <c r="B203">
        <v>544</v>
      </c>
      <c r="C203" t="s">
        <v>26950</v>
      </c>
    </row>
    <row r="204" spans="1:3" x14ac:dyDescent="0.15">
      <c r="A204">
        <v>1</v>
      </c>
      <c r="B204">
        <v>545</v>
      </c>
      <c r="C204" t="s">
        <v>26951</v>
      </c>
    </row>
    <row r="205" spans="1:3" x14ac:dyDescent="0.15">
      <c r="A205">
        <v>1</v>
      </c>
      <c r="B205">
        <v>546</v>
      </c>
      <c r="C205" t="s">
        <v>26952</v>
      </c>
    </row>
    <row r="206" spans="1:3" x14ac:dyDescent="0.15">
      <c r="A206">
        <v>1</v>
      </c>
      <c r="B206">
        <v>547</v>
      </c>
      <c r="C206" t="s">
        <v>26953</v>
      </c>
    </row>
    <row r="207" spans="1:3" x14ac:dyDescent="0.15">
      <c r="A207">
        <v>1</v>
      </c>
      <c r="B207">
        <v>549</v>
      </c>
      <c r="C207" t="s">
        <v>26954</v>
      </c>
    </row>
    <row r="208" spans="1:3" x14ac:dyDescent="0.15">
      <c r="A208">
        <v>1</v>
      </c>
      <c r="B208">
        <v>550</v>
      </c>
      <c r="C208" t="s">
        <v>26955</v>
      </c>
    </row>
    <row r="209" spans="1:3" x14ac:dyDescent="0.15">
      <c r="A209">
        <v>1</v>
      </c>
      <c r="B209">
        <v>551</v>
      </c>
      <c r="C209" t="s">
        <v>26956</v>
      </c>
    </row>
    <row r="210" spans="1:3" x14ac:dyDescent="0.15">
      <c r="A210">
        <v>1</v>
      </c>
      <c r="B210">
        <v>552</v>
      </c>
      <c r="C210" t="s">
        <v>26957</v>
      </c>
    </row>
    <row r="211" spans="1:3" x14ac:dyDescent="0.15">
      <c r="A211">
        <v>1</v>
      </c>
      <c r="B211">
        <v>553</v>
      </c>
      <c r="C211" t="s">
        <v>26958</v>
      </c>
    </row>
    <row r="212" spans="1:3" x14ac:dyDescent="0.15">
      <c r="A212">
        <v>1</v>
      </c>
      <c r="B212">
        <v>554</v>
      </c>
      <c r="C212" t="s">
        <v>26959</v>
      </c>
    </row>
    <row r="213" spans="1:3" x14ac:dyDescent="0.15">
      <c r="A213">
        <v>1</v>
      </c>
      <c r="B213">
        <v>555</v>
      </c>
      <c r="C213" t="s">
        <v>26960</v>
      </c>
    </row>
    <row r="214" spans="1:3" x14ac:dyDescent="0.15">
      <c r="A214">
        <v>1</v>
      </c>
      <c r="B214">
        <v>556</v>
      </c>
      <c r="C214" t="s">
        <v>26961</v>
      </c>
    </row>
    <row r="215" spans="1:3" x14ac:dyDescent="0.15">
      <c r="A215">
        <v>1</v>
      </c>
      <c r="B215">
        <v>557</v>
      </c>
      <c r="C215" t="s">
        <v>26962</v>
      </c>
    </row>
    <row r="216" spans="1:3" x14ac:dyDescent="0.15">
      <c r="A216">
        <v>1</v>
      </c>
      <c r="B216">
        <v>558</v>
      </c>
      <c r="C216" t="s">
        <v>26963</v>
      </c>
    </row>
    <row r="217" spans="1:3" x14ac:dyDescent="0.15">
      <c r="A217">
        <v>1</v>
      </c>
      <c r="B217">
        <v>561</v>
      </c>
      <c r="C217" t="s">
        <v>26964</v>
      </c>
    </row>
    <row r="218" spans="1:3" x14ac:dyDescent="0.15">
      <c r="A218">
        <v>1</v>
      </c>
      <c r="B218">
        <v>562</v>
      </c>
      <c r="C218" t="s">
        <v>26965</v>
      </c>
    </row>
    <row r="219" spans="1:3" x14ac:dyDescent="0.15">
      <c r="A219">
        <v>1</v>
      </c>
      <c r="B219">
        <v>563</v>
      </c>
      <c r="C219" t="s">
        <v>26966</v>
      </c>
    </row>
    <row r="220" spans="1:3" x14ac:dyDescent="0.15">
      <c r="A220">
        <v>1</v>
      </c>
      <c r="B220">
        <v>564</v>
      </c>
      <c r="C220" t="s">
        <v>26967</v>
      </c>
    </row>
    <row r="221" spans="1:3" x14ac:dyDescent="0.15">
      <c r="A221">
        <v>1</v>
      </c>
      <c r="B221">
        <v>565</v>
      </c>
      <c r="C221" t="s">
        <v>26968</v>
      </c>
    </row>
    <row r="222" spans="1:3" x14ac:dyDescent="0.15">
      <c r="A222">
        <v>1</v>
      </c>
      <c r="B222">
        <v>566</v>
      </c>
      <c r="C222" t="s">
        <v>26969</v>
      </c>
    </row>
    <row r="223" spans="1:3" x14ac:dyDescent="0.15">
      <c r="A223">
        <v>1</v>
      </c>
      <c r="B223">
        <v>567</v>
      </c>
      <c r="C223" t="s">
        <v>26970</v>
      </c>
    </row>
    <row r="224" spans="1:3" x14ac:dyDescent="0.15">
      <c r="A224">
        <v>1</v>
      </c>
      <c r="B224">
        <v>568</v>
      </c>
      <c r="C224" t="s">
        <v>26971</v>
      </c>
    </row>
    <row r="225" spans="1:3" x14ac:dyDescent="0.15">
      <c r="A225">
        <v>1</v>
      </c>
      <c r="B225">
        <v>569</v>
      </c>
      <c r="C225" t="s">
        <v>26972</v>
      </c>
    </row>
    <row r="226" spans="1:3" x14ac:dyDescent="0.15">
      <c r="A226">
        <v>1</v>
      </c>
      <c r="B226">
        <v>570</v>
      </c>
      <c r="C226" t="s">
        <v>26973</v>
      </c>
    </row>
    <row r="227" spans="1:3" x14ac:dyDescent="0.15">
      <c r="A227">
        <v>1</v>
      </c>
      <c r="B227">
        <v>571</v>
      </c>
      <c r="C227" t="s">
        <v>26974</v>
      </c>
    </row>
    <row r="228" spans="1:3" x14ac:dyDescent="0.15">
      <c r="A228">
        <v>1</v>
      </c>
      <c r="B228">
        <v>572</v>
      </c>
      <c r="C228" t="s">
        <v>26975</v>
      </c>
    </row>
    <row r="229" spans="1:3" x14ac:dyDescent="0.15">
      <c r="A229">
        <v>1</v>
      </c>
      <c r="B229">
        <v>573</v>
      </c>
      <c r="C229" t="s">
        <v>26976</v>
      </c>
    </row>
    <row r="230" spans="1:3" x14ac:dyDescent="0.15">
      <c r="A230">
        <v>1</v>
      </c>
      <c r="B230">
        <v>576</v>
      </c>
      <c r="C230" t="s">
        <v>26977</v>
      </c>
    </row>
    <row r="231" spans="1:3" x14ac:dyDescent="0.15">
      <c r="A231">
        <v>1</v>
      </c>
      <c r="B231">
        <v>577</v>
      </c>
      <c r="C231" t="s">
        <v>26978</v>
      </c>
    </row>
    <row r="232" spans="1:3" x14ac:dyDescent="0.15">
      <c r="A232">
        <v>1</v>
      </c>
      <c r="B232">
        <v>578</v>
      </c>
      <c r="C232" t="s">
        <v>26979</v>
      </c>
    </row>
    <row r="233" spans="1:3" x14ac:dyDescent="0.15">
      <c r="A233">
        <v>1</v>
      </c>
      <c r="B233">
        <v>581</v>
      </c>
      <c r="C233" t="s">
        <v>26980</v>
      </c>
    </row>
    <row r="234" spans="1:3" x14ac:dyDescent="0.15">
      <c r="A234">
        <v>1</v>
      </c>
      <c r="B234">
        <v>582</v>
      </c>
      <c r="C234" t="s">
        <v>26981</v>
      </c>
    </row>
    <row r="235" spans="1:3" x14ac:dyDescent="0.15">
      <c r="A235">
        <v>1</v>
      </c>
      <c r="B235">
        <v>583</v>
      </c>
      <c r="C235" t="s">
        <v>26982</v>
      </c>
    </row>
    <row r="236" spans="1:3" x14ac:dyDescent="0.15">
      <c r="A236">
        <v>1</v>
      </c>
      <c r="B236">
        <v>584</v>
      </c>
      <c r="C236" t="s">
        <v>26983</v>
      </c>
    </row>
    <row r="237" spans="1:3" x14ac:dyDescent="0.15">
      <c r="A237">
        <v>1</v>
      </c>
      <c r="B237">
        <v>585</v>
      </c>
      <c r="C237" t="s">
        <v>26984</v>
      </c>
    </row>
    <row r="238" spans="1:3" x14ac:dyDescent="0.15">
      <c r="A238">
        <v>1</v>
      </c>
      <c r="B238">
        <v>586</v>
      </c>
      <c r="C238" t="s">
        <v>26985</v>
      </c>
    </row>
    <row r="239" spans="1:3" x14ac:dyDescent="0.15">
      <c r="A239">
        <v>1</v>
      </c>
      <c r="B239">
        <v>587</v>
      </c>
      <c r="C239" t="s">
        <v>26986</v>
      </c>
    </row>
    <row r="240" spans="1:3" x14ac:dyDescent="0.15">
      <c r="A240">
        <v>1</v>
      </c>
      <c r="B240">
        <v>590</v>
      </c>
      <c r="C240" t="s">
        <v>26987</v>
      </c>
    </row>
    <row r="241" spans="1:3" x14ac:dyDescent="0.15">
      <c r="A241">
        <v>1</v>
      </c>
      <c r="B241">
        <v>591</v>
      </c>
      <c r="C241" t="s">
        <v>26988</v>
      </c>
    </row>
    <row r="242" spans="1:3" x14ac:dyDescent="0.15">
      <c r="A242">
        <v>1</v>
      </c>
      <c r="B242">
        <v>592</v>
      </c>
      <c r="C242" t="s">
        <v>26989</v>
      </c>
    </row>
    <row r="243" spans="1:3" x14ac:dyDescent="0.15">
      <c r="A243">
        <v>1</v>
      </c>
      <c r="B243">
        <v>593</v>
      </c>
      <c r="C243" t="s">
        <v>26990</v>
      </c>
    </row>
    <row r="244" spans="1:3" x14ac:dyDescent="0.15">
      <c r="A244">
        <v>1</v>
      </c>
      <c r="B244">
        <v>595</v>
      </c>
      <c r="C244" t="s">
        <v>26991</v>
      </c>
    </row>
    <row r="245" spans="1:3" x14ac:dyDescent="0.15">
      <c r="A245">
        <v>1</v>
      </c>
      <c r="B245">
        <v>596</v>
      </c>
      <c r="C245" t="s">
        <v>26992</v>
      </c>
    </row>
    <row r="246" spans="1:3" x14ac:dyDescent="0.15">
      <c r="A246">
        <v>1</v>
      </c>
      <c r="B246">
        <v>597</v>
      </c>
      <c r="C246" t="s">
        <v>26993</v>
      </c>
    </row>
    <row r="247" spans="1:3" x14ac:dyDescent="0.15">
      <c r="A247">
        <v>1</v>
      </c>
      <c r="B247">
        <v>598</v>
      </c>
      <c r="C247" t="s">
        <v>26994</v>
      </c>
    </row>
    <row r="248" spans="1:3" x14ac:dyDescent="0.15">
      <c r="A248">
        <v>1</v>
      </c>
      <c r="B248">
        <v>599</v>
      </c>
      <c r="C248" t="s">
        <v>26995</v>
      </c>
    </row>
    <row r="249" spans="1:3" x14ac:dyDescent="0.15">
      <c r="A249">
        <v>1</v>
      </c>
      <c r="B249">
        <v>600</v>
      </c>
      <c r="C249" t="s">
        <v>26996</v>
      </c>
    </row>
    <row r="250" spans="1:3" x14ac:dyDescent="0.15">
      <c r="A250">
        <v>1</v>
      </c>
      <c r="B250">
        <v>601</v>
      </c>
      <c r="C250" t="s">
        <v>26997</v>
      </c>
    </row>
    <row r="251" spans="1:3" x14ac:dyDescent="0.15">
      <c r="A251">
        <v>1</v>
      </c>
      <c r="B251">
        <v>602</v>
      </c>
      <c r="C251" t="s">
        <v>26998</v>
      </c>
    </row>
    <row r="252" spans="1:3" x14ac:dyDescent="0.15">
      <c r="A252">
        <v>1</v>
      </c>
      <c r="B252">
        <v>603</v>
      </c>
      <c r="C252" t="s">
        <v>26999</v>
      </c>
    </row>
    <row r="253" spans="1:3" x14ac:dyDescent="0.15">
      <c r="A253">
        <v>1</v>
      </c>
      <c r="B253">
        <v>604</v>
      </c>
      <c r="C253" t="s">
        <v>27000</v>
      </c>
    </row>
    <row r="254" spans="1:3" x14ac:dyDescent="0.15">
      <c r="A254">
        <v>1</v>
      </c>
      <c r="B254">
        <v>605</v>
      </c>
      <c r="C254" t="s">
        <v>27001</v>
      </c>
    </row>
    <row r="255" spans="1:3" x14ac:dyDescent="0.15">
      <c r="A255">
        <v>1</v>
      </c>
      <c r="B255">
        <v>610</v>
      </c>
      <c r="C255" t="s">
        <v>27002</v>
      </c>
    </row>
    <row r="256" spans="1:3" x14ac:dyDescent="0.15">
      <c r="A256">
        <v>1</v>
      </c>
      <c r="B256">
        <v>611</v>
      </c>
      <c r="C256" t="s">
        <v>27003</v>
      </c>
    </row>
    <row r="257" spans="1:3" x14ac:dyDescent="0.15">
      <c r="A257">
        <v>1</v>
      </c>
      <c r="B257">
        <v>612</v>
      </c>
      <c r="C257" t="s">
        <v>27004</v>
      </c>
    </row>
    <row r="258" spans="1:3" x14ac:dyDescent="0.15">
      <c r="A258">
        <v>1</v>
      </c>
      <c r="B258">
        <v>613</v>
      </c>
      <c r="C258" t="s">
        <v>27005</v>
      </c>
    </row>
    <row r="259" spans="1:3" x14ac:dyDescent="0.15">
      <c r="A259">
        <v>1</v>
      </c>
      <c r="B259">
        <v>614</v>
      </c>
      <c r="C259" t="s">
        <v>27006</v>
      </c>
    </row>
    <row r="260" spans="1:3" x14ac:dyDescent="0.15">
      <c r="A260">
        <v>1</v>
      </c>
      <c r="B260">
        <v>615</v>
      </c>
      <c r="C260" t="s">
        <v>27007</v>
      </c>
    </row>
    <row r="261" spans="1:3" x14ac:dyDescent="0.15">
      <c r="A261">
        <v>1</v>
      </c>
      <c r="B261">
        <v>616</v>
      </c>
      <c r="C261" t="s">
        <v>27008</v>
      </c>
    </row>
    <row r="262" spans="1:3" x14ac:dyDescent="0.15">
      <c r="A262">
        <v>1</v>
      </c>
      <c r="B262">
        <v>617</v>
      </c>
      <c r="C262" t="s">
        <v>27009</v>
      </c>
    </row>
    <row r="263" spans="1:3" x14ac:dyDescent="0.15">
      <c r="A263">
        <v>1</v>
      </c>
      <c r="B263">
        <v>618</v>
      </c>
      <c r="C263" t="s">
        <v>27010</v>
      </c>
    </row>
    <row r="264" spans="1:3" x14ac:dyDescent="0.15">
      <c r="A264">
        <v>1</v>
      </c>
      <c r="B264">
        <v>619</v>
      </c>
      <c r="C264" t="s">
        <v>27011</v>
      </c>
    </row>
    <row r="265" spans="1:3" x14ac:dyDescent="0.15">
      <c r="A265">
        <v>1</v>
      </c>
      <c r="B265">
        <v>670</v>
      </c>
      <c r="C265" t="s">
        <v>27012</v>
      </c>
    </row>
    <row r="266" spans="1:3" x14ac:dyDescent="0.15">
      <c r="A266">
        <v>1</v>
      </c>
      <c r="B266">
        <v>672</v>
      </c>
      <c r="C266" t="s">
        <v>27013</v>
      </c>
    </row>
    <row r="267" spans="1:3" x14ac:dyDescent="0.15">
      <c r="A267">
        <v>1</v>
      </c>
      <c r="B267">
        <v>674</v>
      </c>
      <c r="C267" t="s">
        <v>27014</v>
      </c>
    </row>
    <row r="268" spans="1:3" x14ac:dyDescent="0.15">
      <c r="A268">
        <v>1</v>
      </c>
      <c r="B268">
        <v>675</v>
      </c>
      <c r="C268" t="s">
        <v>27015</v>
      </c>
    </row>
    <row r="269" spans="1:3" x14ac:dyDescent="0.15">
      <c r="A269">
        <v>1</v>
      </c>
      <c r="B269">
        <v>676</v>
      </c>
      <c r="C269" t="s">
        <v>27016</v>
      </c>
    </row>
    <row r="270" spans="1:3" x14ac:dyDescent="0.15">
      <c r="A270">
        <v>1</v>
      </c>
      <c r="B270">
        <v>677</v>
      </c>
      <c r="C270" t="s">
        <v>27017</v>
      </c>
    </row>
    <row r="271" spans="1:3" x14ac:dyDescent="0.15">
      <c r="A271">
        <v>1</v>
      </c>
      <c r="B271">
        <v>678</v>
      </c>
      <c r="C271" t="s">
        <v>27018</v>
      </c>
    </row>
    <row r="272" spans="1:3" x14ac:dyDescent="0.15">
      <c r="A272">
        <v>1</v>
      </c>
      <c r="B272">
        <v>683</v>
      </c>
      <c r="C272" t="s">
        <v>27019</v>
      </c>
    </row>
    <row r="273" spans="1:3" x14ac:dyDescent="0.15">
      <c r="A273">
        <v>1</v>
      </c>
      <c r="B273">
        <v>684</v>
      </c>
      <c r="C273" t="s">
        <v>27020</v>
      </c>
    </row>
    <row r="274" spans="1:3" x14ac:dyDescent="0.15">
      <c r="A274">
        <v>1</v>
      </c>
      <c r="B274">
        <v>686</v>
      </c>
      <c r="C274" t="s">
        <v>27021</v>
      </c>
    </row>
    <row r="275" spans="1:3" x14ac:dyDescent="0.15">
      <c r="A275">
        <v>1</v>
      </c>
      <c r="B275">
        <v>699</v>
      </c>
      <c r="C275" t="s">
        <v>27022</v>
      </c>
    </row>
    <row r="276" spans="1:3" x14ac:dyDescent="0.15">
      <c r="A276">
        <v>1</v>
      </c>
      <c r="B276">
        <v>700</v>
      </c>
      <c r="C276" t="s">
        <v>27023</v>
      </c>
    </row>
    <row r="277" spans="1:3" x14ac:dyDescent="0.15">
      <c r="A277">
        <v>1</v>
      </c>
      <c r="B277">
        <v>702</v>
      </c>
      <c r="C277" t="s">
        <v>27024</v>
      </c>
    </row>
    <row r="278" spans="1:3" x14ac:dyDescent="0.15">
      <c r="A278">
        <v>1</v>
      </c>
      <c r="B278">
        <v>703</v>
      </c>
      <c r="C278" t="s">
        <v>27025</v>
      </c>
    </row>
    <row r="279" spans="1:3" x14ac:dyDescent="0.15">
      <c r="A279">
        <v>1</v>
      </c>
      <c r="B279">
        <v>704</v>
      </c>
      <c r="C279" t="s">
        <v>27026</v>
      </c>
    </row>
    <row r="280" spans="1:3" x14ac:dyDescent="0.15">
      <c r="A280">
        <v>1</v>
      </c>
      <c r="B280">
        <v>705</v>
      </c>
      <c r="C280" t="s">
        <v>27027</v>
      </c>
    </row>
    <row r="281" spans="1:3" x14ac:dyDescent="0.15">
      <c r="A281">
        <v>1</v>
      </c>
      <c r="B281">
        <v>706</v>
      </c>
      <c r="C281" t="s">
        <v>27028</v>
      </c>
    </row>
    <row r="282" spans="1:3" x14ac:dyDescent="0.15">
      <c r="A282">
        <v>1</v>
      </c>
      <c r="B282">
        <v>708</v>
      </c>
      <c r="C282" t="s">
        <v>27029</v>
      </c>
    </row>
    <row r="283" spans="1:3" x14ac:dyDescent="0.15">
      <c r="A283">
        <v>1</v>
      </c>
      <c r="B283">
        <v>709</v>
      </c>
      <c r="C283" t="s">
        <v>27030</v>
      </c>
    </row>
    <row r="284" spans="1:3" x14ac:dyDescent="0.15">
      <c r="A284">
        <v>1</v>
      </c>
      <c r="B284">
        <v>710</v>
      </c>
      <c r="C284" t="s">
        <v>27031</v>
      </c>
    </row>
    <row r="285" spans="1:3" x14ac:dyDescent="0.15">
      <c r="A285">
        <v>1</v>
      </c>
      <c r="B285">
        <v>711</v>
      </c>
      <c r="C285" t="s">
        <v>27032</v>
      </c>
    </row>
    <row r="286" spans="1:3" x14ac:dyDescent="0.15">
      <c r="A286">
        <v>1</v>
      </c>
      <c r="B286">
        <v>712</v>
      </c>
      <c r="C286" t="s">
        <v>27033</v>
      </c>
    </row>
    <row r="287" spans="1:3" x14ac:dyDescent="0.15">
      <c r="A287">
        <v>1</v>
      </c>
      <c r="B287">
        <v>715</v>
      </c>
      <c r="C287" t="s">
        <v>27034</v>
      </c>
    </row>
    <row r="288" spans="1:3" x14ac:dyDescent="0.15">
      <c r="A288">
        <v>1</v>
      </c>
      <c r="B288">
        <v>716</v>
      </c>
      <c r="C288" t="s">
        <v>27035</v>
      </c>
    </row>
    <row r="289" spans="1:3" x14ac:dyDescent="0.15">
      <c r="A289">
        <v>1</v>
      </c>
      <c r="B289">
        <v>717</v>
      </c>
      <c r="C289" t="s">
        <v>27036</v>
      </c>
    </row>
    <row r="290" spans="1:3" x14ac:dyDescent="0.15">
      <c r="A290">
        <v>1</v>
      </c>
      <c r="B290">
        <v>718</v>
      </c>
      <c r="C290" t="s">
        <v>27037</v>
      </c>
    </row>
    <row r="291" spans="1:3" x14ac:dyDescent="0.15">
      <c r="A291">
        <v>1</v>
      </c>
      <c r="B291">
        <v>719</v>
      </c>
      <c r="C291" t="s">
        <v>27038</v>
      </c>
    </row>
    <row r="292" spans="1:3" x14ac:dyDescent="0.15">
      <c r="A292">
        <v>1</v>
      </c>
      <c r="B292">
        <v>720</v>
      </c>
      <c r="C292" t="s">
        <v>27039</v>
      </c>
    </row>
    <row r="293" spans="1:3" x14ac:dyDescent="0.15">
      <c r="A293">
        <v>1</v>
      </c>
      <c r="B293">
        <v>721</v>
      </c>
      <c r="C293" t="s">
        <v>27040</v>
      </c>
    </row>
    <row r="294" spans="1:3" x14ac:dyDescent="0.15">
      <c r="A294">
        <v>1</v>
      </c>
      <c r="B294">
        <v>722</v>
      </c>
      <c r="C294" t="s">
        <v>27041</v>
      </c>
    </row>
    <row r="295" spans="1:3" x14ac:dyDescent="0.15">
      <c r="A295">
        <v>1</v>
      </c>
      <c r="B295">
        <v>723</v>
      </c>
      <c r="C295" t="s">
        <v>27042</v>
      </c>
    </row>
    <row r="296" spans="1:3" x14ac:dyDescent="0.15">
      <c r="A296">
        <v>1</v>
      </c>
      <c r="B296">
        <v>724</v>
      </c>
      <c r="C296" t="s">
        <v>27043</v>
      </c>
    </row>
    <row r="297" spans="1:3" x14ac:dyDescent="0.15">
      <c r="A297">
        <v>1</v>
      </c>
      <c r="B297">
        <v>725</v>
      </c>
      <c r="C297" t="s">
        <v>27044</v>
      </c>
    </row>
    <row r="298" spans="1:3" x14ac:dyDescent="0.15">
      <c r="A298">
        <v>1</v>
      </c>
      <c r="B298">
        <v>726</v>
      </c>
      <c r="C298" t="s">
        <v>27045</v>
      </c>
    </row>
    <row r="299" spans="1:3" x14ac:dyDescent="0.15">
      <c r="A299">
        <v>1</v>
      </c>
      <c r="B299">
        <v>727</v>
      </c>
      <c r="C299" t="s">
        <v>27046</v>
      </c>
    </row>
    <row r="300" spans="1:3" x14ac:dyDescent="0.15">
      <c r="A300">
        <v>1</v>
      </c>
      <c r="B300">
        <v>728</v>
      </c>
      <c r="C300" t="s">
        <v>27047</v>
      </c>
    </row>
    <row r="301" spans="1:3" x14ac:dyDescent="0.15">
      <c r="A301">
        <v>1</v>
      </c>
      <c r="B301">
        <v>729</v>
      </c>
      <c r="C301" t="s">
        <v>27048</v>
      </c>
    </row>
    <row r="302" spans="1:3" x14ac:dyDescent="0.15">
      <c r="A302">
        <v>1</v>
      </c>
      <c r="B302">
        <v>730</v>
      </c>
      <c r="C302" t="s">
        <v>27049</v>
      </c>
    </row>
    <row r="303" spans="1:3" x14ac:dyDescent="0.15">
      <c r="A303">
        <v>1</v>
      </c>
      <c r="B303">
        <v>731</v>
      </c>
      <c r="C303" t="s">
        <v>27050</v>
      </c>
    </row>
    <row r="304" spans="1:3" x14ac:dyDescent="0.15">
      <c r="A304">
        <v>1</v>
      </c>
      <c r="B304">
        <v>732</v>
      </c>
      <c r="C304" t="s">
        <v>27051</v>
      </c>
    </row>
    <row r="305" spans="1:3" x14ac:dyDescent="0.15">
      <c r="A305">
        <v>1</v>
      </c>
      <c r="B305">
        <v>733</v>
      </c>
      <c r="C305" t="s">
        <v>27052</v>
      </c>
    </row>
    <row r="306" spans="1:3" x14ac:dyDescent="0.15">
      <c r="A306">
        <v>1</v>
      </c>
      <c r="B306">
        <v>734</v>
      </c>
      <c r="C306" t="s">
        <v>27053</v>
      </c>
    </row>
    <row r="307" spans="1:3" x14ac:dyDescent="0.15">
      <c r="A307">
        <v>1</v>
      </c>
      <c r="B307">
        <v>735</v>
      </c>
      <c r="C307" t="s">
        <v>27054</v>
      </c>
    </row>
    <row r="308" spans="1:3" x14ac:dyDescent="0.15">
      <c r="A308">
        <v>1</v>
      </c>
      <c r="B308">
        <v>736</v>
      </c>
      <c r="C308" t="s">
        <v>27055</v>
      </c>
    </row>
    <row r="309" spans="1:3" x14ac:dyDescent="0.15">
      <c r="A309">
        <v>1</v>
      </c>
      <c r="B309">
        <v>737</v>
      </c>
      <c r="C309" t="s">
        <v>27056</v>
      </c>
    </row>
    <row r="310" spans="1:3" x14ac:dyDescent="0.15">
      <c r="A310">
        <v>1</v>
      </c>
      <c r="B310">
        <v>738</v>
      </c>
      <c r="C310" t="s">
        <v>27057</v>
      </c>
    </row>
    <row r="311" spans="1:3" x14ac:dyDescent="0.15">
      <c r="A311">
        <v>1</v>
      </c>
      <c r="B311">
        <v>739</v>
      </c>
      <c r="C311" t="s">
        <v>27058</v>
      </c>
    </row>
    <row r="312" spans="1:3" x14ac:dyDescent="0.15">
      <c r="A312">
        <v>1</v>
      </c>
      <c r="B312">
        <v>740</v>
      </c>
      <c r="C312" t="s">
        <v>27059</v>
      </c>
    </row>
    <row r="313" spans="1:3" x14ac:dyDescent="0.15">
      <c r="A313">
        <v>1</v>
      </c>
      <c r="B313">
        <v>741</v>
      </c>
      <c r="C313" t="s">
        <v>27060</v>
      </c>
    </row>
    <row r="314" spans="1:3" x14ac:dyDescent="0.15">
      <c r="A314">
        <v>1</v>
      </c>
      <c r="B314">
        <v>742</v>
      </c>
      <c r="C314" t="s">
        <v>27061</v>
      </c>
    </row>
    <row r="315" spans="1:3" x14ac:dyDescent="0.15">
      <c r="A315">
        <v>1</v>
      </c>
      <c r="B315">
        <v>744</v>
      </c>
      <c r="C315" t="s">
        <v>27062</v>
      </c>
    </row>
    <row r="316" spans="1:3" x14ac:dyDescent="0.15">
      <c r="A316">
        <v>1</v>
      </c>
      <c r="B316">
        <v>745</v>
      </c>
      <c r="C316" t="s">
        <v>27063</v>
      </c>
    </row>
    <row r="317" spans="1:3" x14ac:dyDescent="0.15">
      <c r="A317">
        <v>1</v>
      </c>
      <c r="B317">
        <v>746</v>
      </c>
      <c r="C317" t="s">
        <v>27064</v>
      </c>
    </row>
    <row r="318" spans="1:3" x14ac:dyDescent="0.15">
      <c r="A318">
        <v>1</v>
      </c>
      <c r="B318">
        <v>747</v>
      </c>
      <c r="C318" t="s">
        <v>27065</v>
      </c>
    </row>
    <row r="319" spans="1:3" x14ac:dyDescent="0.15">
      <c r="A319">
        <v>1</v>
      </c>
      <c r="B319">
        <v>748</v>
      </c>
      <c r="C319" t="s">
        <v>27066</v>
      </c>
    </row>
    <row r="320" spans="1:3" x14ac:dyDescent="0.15">
      <c r="A320">
        <v>1</v>
      </c>
      <c r="B320">
        <v>749</v>
      </c>
      <c r="C320" t="s">
        <v>27067</v>
      </c>
    </row>
    <row r="321" spans="1:3" x14ac:dyDescent="0.15">
      <c r="A321">
        <v>1</v>
      </c>
      <c r="B321">
        <v>750</v>
      </c>
      <c r="C321" t="s">
        <v>27068</v>
      </c>
    </row>
    <row r="322" spans="1:3" x14ac:dyDescent="0.15">
      <c r="A322">
        <v>1</v>
      </c>
      <c r="B322">
        <v>751</v>
      </c>
      <c r="C322" t="s">
        <v>27069</v>
      </c>
    </row>
    <row r="323" spans="1:3" x14ac:dyDescent="0.15">
      <c r="A323">
        <v>1</v>
      </c>
      <c r="B323">
        <v>752</v>
      </c>
      <c r="C323" t="s">
        <v>27070</v>
      </c>
    </row>
    <row r="324" spans="1:3" x14ac:dyDescent="0.15">
      <c r="A324">
        <v>1</v>
      </c>
      <c r="B324">
        <v>753</v>
      </c>
      <c r="C324" t="s">
        <v>27071</v>
      </c>
    </row>
    <row r="325" spans="1:3" x14ac:dyDescent="0.15">
      <c r="A325">
        <v>1</v>
      </c>
      <c r="B325">
        <v>754</v>
      </c>
      <c r="C325" t="s">
        <v>27072</v>
      </c>
    </row>
    <row r="326" spans="1:3" x14ac:dyDescent="0.15">
      <c r="A326">
        <v>1</v>
      </c>
      <c r="B326">
        <v>755</v>
      </c>
      <c r="C326" t="s">
        <v>27073</v>
      </c>
    </row>
    <row r="327" spans="1:3" x14ac:dyDescent="0.15">
      <c r="A327">
        <v>1</v>
      </c>
      <c r="B327">
        <v>756</v>
      </c>
      <c r="C327" t="s">
        <v>27074</v>
      </c>
    </row>
    <row r="328" spans="1:3" x14ac:dyDescent="0.15">
      <c r="A328">
        <v>1</v>
      </c>
      <c r="B328">
        <v>757</v>
      </c>
      <c r="C328" t="s">
        <v>27075</v>
      </c>
    </row>
    <row r="329" spans="1:3" x14ac:dyDescent="0.15">
      <c r="A329">
        <v>1</v>
      </c>
      <c r="B329">
        <v>758</v>
      </c>
      <c r="C329" t="s">
        <v>27076</v>
      </c>
    </row>
    <row r="330" spans="1:3" x14ac:dyDescent="0.15">
      <c r="A330">
        <v>1</v>
      </c>
      <c r="B330">
        <v>759</v>
      </c>
      <c r="C330" t="s">
        <v>27077</v>
      </c>
    </row>
    <row r="331" spans="1:3" x14ac:dyDescent="0.15">
      <c r="A331">
        <v>1</v>
      </c>
      <c r="B331">
        <v>760</v>
      </c>
      <c r="C331" t="s">
        <v>27078</v>
      </c>
    </row>
    <row r="332" spans="1:3" x14ac:dyDescent="0.15">
      <c r="A332">
        <v>1</v>
      </c>
      <c r="B332">
        <v>761</v>
      </c>
      <c r="C332" t="s">
        <v>27079</v>
      </c>
    </row>
    <row r="333" spans="1:3" x14ac:dyDescent="0.15">
      <c r="A333">
        <v>1</v>
      </c>
      <c r="B333">
        <v>762</v>
      </c>
      <c r="C333" t="s">
        <v>27080</v>
      </c>
    </row>
    <row r="334" spans="1:3" x14ac:dyDescent="0.15">
      <c r="A334">
        <v>1</v>
      </c>
      <c r="B334">
        <v>763</v>
      </c>
      <c r="C334" t="s">
        <v>27081</v>
      </c>
    </row>
    <row r="335" spans="1:3" x14ac:dyDescent="0.15">
      <c r="A335">
        <v>1</v>
      </c>
      <c r="B335">
        <v>764</v>
      </c>
      <c r="C335" t="s">
        <v>27082</v>
      </c>
    </row>
    <row r="336" spans="1:3" x14ac:dyDescent="0.15">
      <c r="A336">
        <v>1</v>
      </c>
      <c r="B336">
        <v>765</v>
      </c>
      <c r="C336" t="s">
        <v>27083</v>
      </c>
    </row>
    <row r="337" spans="1:3" x14ac:dyDescent="0.15">
      <c r="A337">
        <v>1</v>
      </c>
      <c r="B337">
        <v>766</v>
      </c>
      <c r="C337" t="s">
        <v>27084</v>
      </c>
    </row>
    <row r="338" spans="1:3" x14ac:dyDescent="0.15">
      <c r="A338">
        <v>1</v>
      </c>
      <c r="B338">
        <v>767</v>
      </c>
      <c r="C338" t="s">
        <v>27085</v>
      </c>
    </row>
    <row r="339" spans="1:3" x14ac:dyDescent="0.15">
      <c r="A339">
        <v>1</v>
      </c>
      <c r="B339">
        <v>768</v>
      </c>
      <c r="C339" t="s">
        <v>27086</v>
      </c>
    </row>
    <row r="340" spans="1:3" x14ac:dyDescent="0.15">
      <c r="A340">
        <v>1</v>
      </c>
      <c r="B340">
        <v>770</v>
      </c>
      <c r="C340" t="s">
        <v>27087</v>
      </c>
    </row>
    <row r="341" spans="1:3" x14ac:dyDescent="0.15">
      <c r="A341">
        <v>1</v>
      </c>
      <c r="B341">
        <v>772</v>
      </c>
      <c r="C341" t="s">
        <v>27088</v>
      </c>
    </row>
    <row r="342" spans="1:3" x14ac:dyDescent="0.15">
      <c r="A342">
        <v>1</v>
      </c>
      <c r="B342">
        <v>775</v>
      </c>
      <c r="C342" t="s">
        <v>27089</v>
      </c>
    </row>
    <row r="343" spans="1:3" x14ac:dyDescent="0.15">
      <c r="A343">
        <v>1</v>
      </c>
      <c r="B343">
        <v>776</v>
      </c>
      <c r="C343" t="s">
        <v>27090</v>
      </c>
    </row>
    <row r="344" spans="1:3" x14ac:dyDescent="0.15">
      <c r="A344">
        <v>1</v>
      </c>
      <c r="B344">
        <v>777</v>
      </c>
      <c r="C344" t="s">
        <v>27091</v>
      </c>
    </row>
    <row r="345" spans="1:3" x14ac:dyDescent="0.15">
      <c r="A345">
        <v>1</v>
      </c>
      <c r="B345">
        <v>780</v>
      </c>
      <c r="C345" t="s">
        <v>27092</v>
      </c>
    </row>
    <row r="346" spans="1:3" x14ac:dyDescent="0.15">
      <c r="A346">
        <v>1</v>
      </c>
      <c r="B346">
        <v>781</v>
      </c>
      <c r="C346" t="s">
        <v>27093</v>
      </c>
    </row>
    <row r="347" spans="1:3" x14ac:dyDescent="0.15">
      <c r="A347">
        <v>1</v>
      </c>
      <c r="B347">
        <v>782</v>
      </c>
      <c r="C347" t="s">
        <v>27094</v>
      </c>
    </row>
    <row r="348" spans="1:3" x14ac:dyDescent="0.15">
      <c r="A348">
        <v>1</v>
      </c>
      <c r="B348">
        <v>783</v>
      </c>
      <c r="C348" t="s">
        <v>27095</v>
      </c>
    </row>
    <row r="349" spans="1:3" x14ac:dyDescent="0.15">
      <c r="A349">
        <v>1</v>
      </c>
      <c r="B349">
        <v>784</v>
      </c>
      <c r="C349" t="s">
        <v>27096</v>
      </c>
    </row>
    <row r="350" spans="1:3" x14ac:dyDescent="0.15">
      <c r="A350">
        <v>1</v>
      </c>
      <c r="B350">
        <v>785</v>
      </c>
      <c r="C350" t="s">
        <v>27097</v>
      </c>
    </row>
    <row r="351" spans="1:3" x14ac:dyDescent="0.15">
      <c r="A351">
        <v>1</v>
      </c>
      <c r="B351">
        <v>786</v>
      </c>
      <c r="C351" t="s">
        <v>27098</v>
      </c>
    </row>
    <row r="352" spans="1:3" x14ac:dyDescent="0.15">
      <c r="A352">
        <v>1</v>
      </c>
      <c r="B352">
        <v>787</v>
      </c>
      <c r="C352" t="s">
        <v>27099</v>
      </c>
    </row>
    <row r="353" spans="1:3" x14ac:dyDescent="0.15">
      <c r="A353">
        <v>1</v>
      </c>
      <c r="B353">
        <v>788</v>
      </c>
      <c r="C353" t="s">
        <v>27100</v>
      </c>
    </row>
    <row r="354" spans="1:3" x14ac:dyDescent="0.15">
      <c r="A354">
        <v>1</v>
      </c>
      <c r="B354">
        <v>789</v>
      </c>
      <c r="C354" t="s">
        <v>27101</v>
      </c>
    </row>
    <row r="355" spans="1:3" x14ac:dyDescent="0.15">
      <c r="A355">
        <v>1</v>
      </c>
      <c r="B355">
        <v>790</v>
      </c>
      <c r="C355" t="s">
        <v>27102</v>
      </c>
    </row>
    <row r="356" spans="1:3" x14ac:dyDescent="0.15">
      <c r="A356">
        <v>1</v>
      </c>
      <c r="B356">
        <v>791</v>
      </c>
      <c r="C356" t="s">
        <v>27103</v>
      </c>
    </row>
    <row r="357" spans="1:3" x14ac:dyDescent="0.15">
      <c r="A357">
        <v>1</v>
      </c>
      <c r="B357">
        <v>792</v>
      </c>
      <c r="C357" t="s">
        <v>27104</v>
      </c>
    </row>
    <row r="358" spans="1:3" x14ac:dyDescent="0.15">
      <c r="A358">
        <v>1</v>
      </c>
      <c r="B358">
        <v>793</v>
      </c>
      <c r="C358" t="s">
        <v>27105</v>
      </c>
    </row>
    <row r="359" spans="1:3" x14ac:dyDescent="0.15">
      <c r="A359">
        <v>1</v>
      </c>
      <c r="B359">
        <v>794</v>
      </c>
      <c r="C359" t="s">
        <v>27106</v>
      </c>
    </row>
    <row r="360" spans="1:3" x14ac:dyDescent="0.15">
      <c r="A360">
        <v>1</v>
      </c>
      <c r="B360">
        <v>795</v>
      </c>
      <c r="C360" t="s">
        <v>27107</v>
      </c>
    </row>
    <row r="361" spans="1:3" x14ac:dyDescent="0.15">
      <c r="A361">
        <v>1</v>
      </c>
      <c r="B361">
        <v>796</v>
      </c>
      <c r="C361" t="s">
        <v>27108</v>
      </c>
    </row>
    <row r="362" spans="1:3" x14ac:dyDescent="0.15">
      <c r="A362">
        <v>1</v>
      </c>
      <c r="B362">
        <v>797</v>
      </c>
      <c r="C362" t="s">
        <v>27109</v>
      </c>
    </row>
    <row r="363" spans="1:3" x14ac:dyDescent="0.15">
      <c r="A363">
        <v>1</v>
      </c>
      <c r="B363">
        <v>800</v>
      </c>
      <c r="C363" t="s">
        <v>27110</v>
      </c>
    </row>
    <row r="364" spans="1:3" x14ac:dyDescent="0.15">
      <c r="A364">
        <v>1</v>
      </c>
      <c r="B364">
        <v>801</v>
      </c>
      <c r="C364" t="s">
        <v>27111</v>
      </c>
    </row>
    <row r="365" spans="1:3" x14ac:dyDescent="0.15">
      <c r="A365">
        <v>1</v>
      </c>
      <c r="B365">
        <v>802</v>
      </c>
      <c r="C365" t="s">
        <v>27112</v>
      </c>
    </row>
    <row r="366" spans="1:3" x14ac:dyDescent="0.15">
      <c r="A366">
        <v>1</v>
      </c>
      <c r="B366">
        <v>803</v>
      </c>
      <c r="C366" t="s">
        <v>27113</v>
      </c>
    </row>
    <row r="367" spans="1:3" x14ac:dyDescent="0.15">
      <c r="A367">
        <v>1</v>
      </c>
      <c r="B367">
        <v>804</v>
      </c>
      <c r="C367" t="s">
        <v>27114</v>
      </c>
    </row>
    <row r="368" spans="1:3" x14ac:dyDescent="0.15">
      <c r="A368">
        <v>1</v>
      </c>
      <c r="B368">
        <v>805</v>
      </c>
      <c r="C368" t="s">
        <v>27115</v>
      </c>
    </row>
    <row r="369" spans="1:3" x14ac:dyDescent="0.15">
      <c r="A369">
        <v>1</v>
      </c>
      <c r="B369">
        <v>806</v>
      </c>
      <c r="C369" t="s">
        <v>27116</v>
      </c>
    </row>
    <row r="370" spans="1:3" x14ac:dyDescent="0.15">
      <c r="A370">
        <v>1</v>
      </c>
      <c r="B370">
        <v>807</v>
      </c>
      <c r="C370" t="s">
        <v>27117</v>
      </c>
    </row>
    <row r="371" spans="1:3" x14ac:dyDescent="0.15">
      <c r="A371">
        <v>1</v>
      </c>
      <c r="B371">
        <v>808</v>
      </c>
      <c r="C371" t="s">
        <v>27118</v>
      </c>
    </row>
    <row r="372" spans="1:3" x14ac:dyDescent="0.15">
      <c r="A372">
        <v>1</v>
      </c>
      <c r="B372">
        <v>809</v>
      </c>
      <c r="C372" t="s">
        <v>27119</v>
      </c>
    </row>
    <row r="373" spans="1:3" x14ac:dyDescent="0.15">
      <c r="A373">
        <v>1</v>
      </c>
      <c r="B373">
        <v>810</v>
      </c>
      <c r="C373" t="s">
        <v>27120</v>
      </c>
    </row>
    <row r="374" spans="1:3" x14ac:dyDescent="0.15">
      <c r="A374">
        <v>1</v>
      </c>
      <c r="B374">
        <v>880</v>
      </c>
      <c r="C374" t="s">
        <v>27121</v>
      </c>
    </row>
    <row r="375" spans="1:3" x14ac:dyDescent="0.15">
      <c r="A375">
        <v>1</v>
      </c>
      <c r="B375">
        <v>885</v>
      </c>
      <c r="C375" t="s">
        <v>27122</v>
      </c>
    </row>
    <row r="376" spans="1:3" x14ac:dyDescent="0.15">
      <c r="A376">
        <v>1</v>
      </c>
      <c r="B376">
        <v>900</v>
      </c>
      <c r="C376" t="s">
        <v>27123</v>
      </c>
    </row>
    <row r="377" spans="1:3" x14ac:dyDescent="0.15">
      <c r="A377">
        <v>1</v>
      </c>
      <c r="B377">
        <v>901</v>
      </c>
      <c r="C377" t="s">
        <v>27124</v>
      </c>
    </row>
    <row r="378" spans="1:3" x14ac:dyDescent="0.15">
      <c r="A378">
        <v>1</v>
      </c>
      <c r="B378">
        <v>902</v>
      </c>
      <c r="C378" t="s">
        <v>27125</v>
      </c>
    </row>
    <row r="379" spans="1:3" x14ac:dyDescent="0.15">
      <c r="A379">
        <v>1</v>
      </c>
      <c r="B379">
        <v>903</v>
      </c>
      <c r="C379" t="s">
        <v>27126</v>
      </c>
    </row>
    <row r="380" spans="1:3" x14ac:dyDescent="0.15">
      <c r="A380">
        <v>1</v>
      </c>
      <c r="B380">
        <v>904</v>
      </c>
      <c r="C380" t="s">
        <v>27127</v>
      </c>
    </row>
    <row r="381" spans="1:3" x14ac:dyDescent="0.15">
      <c r="A381">
        <v>1</v>
      </c>
      <c r="B381">
        <v>905</v>
      </c>
      <c r="C381" t="s">
        <v>27128</v>
      </c>
    </row>
    <row r="382" spans="1:3" x14ac:dyDescent="0.15">
      <c r="A382">
        <v>1</v>
      </c>
      <c r="B382">
        <v>990</v>
      </c>
      <c r="C382" t="s">
        <v>27129</v>
      </c>
    </row>
    <row r="383" spans="1:3" x14ac:dyDescent="0.15">
      <c r="A383">
        <v>1</v>
      </c>
      <c r="B383">
        <v>991</v>
      </c>
      <c r="C383" t="s">
        <v>27130</v>
      </c>
    </row>
    <row r="384" spans="1:3" x14ac:dyDescent="0.15">
      <c r="A384">
        <v>1</v>
      </c>
      <c r="B384">
        <v>992</v>
      </c>
      <c r="C384" t="s">
        <v>27131</v>
      </c>
    </row>
    <row r="385" spans="1:3" x14ac:dyDescent="0.15">
      <c r="A385">
        <v>1</v>
      </c>
      <c r="B385">
        <v>993</v>
      </c>
      <c r="C385" t="s">
        <v>27132</v>
      </c>
    </row>
    <row r="386" spans="1:3" x14ac:dyDescent="0.15">
      <c r="A386">
        <v>1</v>
      </c>
      <c r="B386">
        <v>994</v>
      </c>
      <c r="C386" t="s">
        <v>27133</v>
      </c>
    </row>
    <row r="387" spans="1:3" x14ac:dyDescent="0.15">
      <c r="A387">
        <v>1</v>
      </c>
      <c r="B387">
        <v>995</v>
      </c>
      <c r="C387" t="s">
        <v>27134</v>
      </c>
    </row>
    <row r="388" spans="1:3" x14ac:dyDescent="0.15">
      <c r="A388">
        <v>1</v>
      </c>
      <c r="B388">
        <v>996</v>
      </c>
      <c r="C388" t="s">
        <v>27135</v>
      </c>
    </row>
    <row r="389" spans="1:3" x14ac:dyDescent="0.15">
      <c r="A389">
        <v>1</v>
      </c>
      <c r="B389">
        <v>997</v>
      </c>
      <c r="C389" t="s">
        <v>27136</v>
      </c>
    </row>
    <row r="390" spans="1:3" x14ac:dyDescent="0.15">
      <c r="A390">
        <v>1</v>
      </c>
      <c r="B390">
        <v>998</v>
      </c>
      <c r="C390" t="s">
        <v>27137</v>
      </c>
    </row>
    <row r="391" spans="1:3" x14ac:dyDescent="0.15">
      <c r="A391">
        <v>1</v>
      </c>
      <c r="B391">
        <v>999</v>
      </c>
      <c r="C391" t="s">
        <v>27138</v>
      </c>
    </row>
    <row r="392" spans="1:3" x14ac:dyDescent="0.15">
      <c r="A392">
        <v>1</v>
      </c>
      <c r="B392" t="s">
        <v>27139</v>
      </c>
      <c r="C392" t="s">
        <v>27140</v>
      </c>
    </row>
    <row r="393" spans="1:3" x14ac:dyDescent="0.15">
      <c r="A393">
        <v>1</v>
      </c>
      <c r="B393" t="s">
        <v>27141</v>
      </c>
      <c r="C393" t="s">
        <v>27142</v>
      </c>
    </row>
    <row r="394" spans="1:3" x14ac:dyDescent="0.15">
      <c r="A394">
        <v>1</v>
      </c>
      <c r="B394" t="s">
        <v>27143</v>
      </c>
      <c r="C394" t="s">
        <v>27144</v>
      </c>
    </row>
    <row r="395" spans="1:3" x14ac:dyDescent="0.15">
      <c r="A395">
        <v>1</v>
      </c>
      <c r="B395" t="s">
        <v>27145</v>
      </c>
      <c r="C395" t="s">
        <v>27146</v>
      </c>
    </row>
    <row r="396" spans="1:3" x14ac:dyDescent="0.15">
      <c r="A396">
        <v>1</v>
      </c>
      <c r="B396" t="s">
        <v>27147</v>
      </c>
      <c r="C396" t="s">
        <v>27148</v>
      </c>
    </row>
    <row r="397" spans="1:3" x14ac:dyDescent="0.15">
      <c r="A397">
        <v>1</v>
      </c>
      <c r="B397" t="s">
        <v>27149</v>
      </c>
      <c r="C397" t="s">
        <v>27150</v>
      </c>
    </row>
    <row r="398" spans="1:3" x14ac:dyDescent="0.15">
      <c r="A398">
        <v>1</v>
      </c>
      <c r="B398" t="s">
        <v>27151</v>
      </c>
      <c r="C398" t="s">
        <v>27152</v>
      </c>
    </row>
    <row r="399" spans="1:3" x14ac:dyDescent="0.15">
      <c r="A399">
        <v>1</v>
      </c>
      <c r="B399" t="s">
        <v>27153</v>
      </c>
      <c r="C399" t="s">
        <v>27154</v>
      </c>
    </row>
    <row r="400" spans="1:3" x14ac:dyDescent="0.15">
      <c r="A400">
        <v>1</v>
      </c>
      <c r="B400" t="s">
        <v>27155</v>
      </c>
      <c r="C400" t="s">
        <v>27156</v>
      </c>
    </row>
    <row r="401" spans="1:3" x14ac:dyDescent="0.15">
      <c r="A401">
        <v>1</v>
      </c>
      <c r="B401" t="s">
        <v>27157</v>
      </c>
      <c r="C401" t="s">
        <v>27158</v>
      </c>
    </row>
    <row r="402" spans="1:3" x14ac:dyDescent="0.15">
      <c r="A402">
        <v>1</v>
      </c>
      <c r="B402" t="s">
        <v>27159</v>
      </c>
      <c r="C402" t="s">
        <v>27160</v>
      </c>
    </row>
    <row r="403" spans="1:3" x14ac:dyDescent="0.15">
      <c r="A403">
        <v>1</v>
      </c>
      <c r="B403" t="s">
        <v>27161</v>
      </c>
      <c r="C403" t="s">
        <v>27162</v>
      </c>
    </row>
    <row r="404" spans="1:3" x14ac:dyDescent="0.15">
      <c r="A404">
        <v>1</v>
      </c>
      <c r="B404" t="s">
        <v>27163</v>
      </c>
      <c r="C404" t="s">
        <v>27164</v>
      </c>
    </row>
    <row r="405" spans="1:3" x14ac:dyDescent="0.15">
      <c r="A405">
        <v>1</v>
      </c>
      <c r="B405" t="s">
        <v>27165</v>
      </c>
      <c r="C405" t="s">
        <v>27166</v>
      </c>
    </row>
    <row r="406" spans="1:3" x14ac:dyDescent="0.15">
      <c r="A406">
        <v>1</v>
      </c>
      <c r="B406" t="s">
        <v>27167</v>
      </c>
      <c r="C406" t="s">
        <v>27168</v>
      </c>
    </row>
    <row r="407" spans="1:3" x14ac:dyDescent="0.15">
      <c r="A407">
        <v>1</v>
      </c>
      <c r="B407" t="s">
        <v>27169</v>
      </c>
      <c r="C407" t="s">
        <v>27170</v>
      </c>
    </row>
    <row r="408" spans="1:3" x14ac:dyDescent="0.15">
      <c r="A408">
        <v>1</v>
      </c>
      <c r="B408" t="s">
        <v>27171</v>
      </c>
      <c r="C408" t="s">
        <v>27172</v>
      </c>
    </row>
    <row r="409" spans="1:3" x14ac:dyDescent="0.15">
      <c r="A409">
        <v>1</v>
      </c>
      <c r="B409" t="s">
        <v>27173</v>
      </c>
      <c r="C409" t="s">
        <v>27174</v>
      </c>
    </row>
    <row r="410" spans="1:3" x14ac:dyDescent="0.15">
      <c r="A410">
        <v>1</v>
      </c>
      <c r="B410" t="s">
        <v>27175</v>
      </c>
      <c r="C410" t="s">
        <v>27176</v>
      </c>
    </row>
    <row r="411" spans="1:3" x14ac:dyDescent="0.15">
      <c r="A411">
        <v>1</v>
      </c>
      <c r="B411" t="s">
        <v>27177</v>
      </c>
      <c r="C411" t="s">
        <v>27178</v>
      </c>
    </row>
    <row r="412" spans="1:3" x14ac:dyDescent="0.15">
      <c r="A412">
        <v>1</v>
      </c>
      <c r="B412" t="s">
        <v>27179</v>
      </c>
      <c r="C412" t="s">
        <v>27180</v>
      </c>
    </row>
    <row r="413" spans="1:3" x14ac:dyDescent="0.15">
      <c r="A413">
        <v>1</v>
      </c>
      <c r="B413" t="s">
        <v>27181</v>
      </c>
      <c r="C413" t="s">
        <v>27182</v>
      </c>
    </row>
    <row r="414" spans="1:3" x14ac:dyDescent="0.15">
      <c r="A414">
        <v>1</v>
      </c>
      <c r="B414" t="s">
        <v>27183</v>
      </c>
      <c r="C414" t="s">
        <v>27184</v>
      </c>
    </row>
    <row r="415" spans="1:3" x14ac:dyDescent="0.15">
      <c r="A415">
        <v>1</v>
      </c>
      <c r="B415" t="s">
        <v>27185</v>
      </c>
      <c r="C415" t="s">
        <v>27186</v>
      </c>
    </row>
    <row r="416" spans="1:3" x14ac:dyDescent="0.15">
      <c r="A416">
        <v>1</v>
      </c>
      <c r="B416" t="s">
        <v>27187</v>
      </c>
      <c r="C416" t="s">
        <v>27188</v>
      </c>
    </row>
    <row r="417" spans="1:3" x14ac:dyDescent="0.15">
      <c r="A417">
        <v>1</v>
      </c>
      <c r="B417" t="s">
        <v>27189</v>
      </c>
      <c r="C417" t="s">
        <v>27190</v>
      </c>
    </row>
    <row r="418" spans="1:3" x14ac:dyDescent="0.15">
      <c r="A418">
        <v>1</v>
      </c>
      <c r="B418" t="s">
        <v>27191</v>
      </c>
      <c r="C418" t="s">
        <v>27192</v>
      </c>
    </row>
    <row r="419" spans="1:3" x14ac:dyDescent="0.15">
      <c r="A419">
        <v>1</v>
      </c>
      <c r="B419" t="s">
        <v>27193</v>
      </c>
      <c r="C419" t="s">
        <v>27194</v>
      </c>
    </row>
    <row r="420" spans="1:3" x14ac:dyDescent="0.15">
      <c r="A420">
        <v>1</v>
      </c>
      <c r="B420" t="s">
        <v>27195</v>
      </c>
      <c r="C420" t="s">
        <v>27196</v>
      </c>
    </row>
    <row r="421" spans="1:3" x14ac:dyDescent="0.15">
      <c r="A421">
        <v>1</v>
      </c>
      <c r="B421" t="s">
        <v>27197</v>
      </c>
      <c r="C421" t="s">
        <v>27198</v>
      </c>
    </row>
    <row r="422" spans="1:3" x14ac:dyDescent="0.15">
      <c r="A422">
        <v>1</v>
      </c>
      <c r="B422" t="s">
        <v>27199</v>
      </c>
      <c r="C422" t="s">
        <v>27200</v>
      </c>
    </row>
    <row r="423" spans="1:3" x14ac:dyDescent="0.15">
      <c r="A423">
        <v>1</v>
      </c>
      <c r="B423" t="s">
        <v>27201</v>
      </c>
      <c r="C423" t="s">
        <v>27202</v>
      </c>
    </row>
    <row r="424" spans="1:3" x14ac:dyDescent="0.15">
      <c r="A424">
        <v>1</v>
      </c>
      <c r="B424" t="s">
        <v>27203</v>
      </c>
      <c r="C424" t="s">
        <v>27204</v>
      </c>
    </row>
    <row r="425" spans="1:3" x14ac:dyDescent="0.15">
      <c r="A425">
        <v>1</v>
      </c>
      <c r="B425" t="s">
        <v>27205</v>
      </c>
      <c r="C425" t="s">
        <v>27206</v>
      </c>
    </row>
    <row r="426" spans="1:3" x14ac:dyDescent="0.15">
      <c r="A426">
        <v>1</v>
      </c>
      <c r="B426" t="s">
        <v>27207</v>
      </c>
      <c r="C426" t="s">
        <v>27208</v>
      </c>
    </row>
    <row r="427" spans="1:3" x14ac:dyDescent="0.15">
      <c r="A427">
        <v>1</v>
      </c>
      <c r="B427" t="s">
        <v>27209</v>
      </c>
      <c r="C427" t="s">
        <v>27210</v>
      </c>
    </row>
    <row r="428" spans="1:3" x14ac:dyDescent="0.15">
      <c r="A428">
        <v>1</v>
      </c>
      <c r="B428" t="s">
        <v>27211</v>
      </c>
      <c r="C428" t="s">
        <v>27212</v>
      </c>
    </row>
    <row r="429" spans="1:3" x14ac:dyDescent="0.15">
      <c r="A429">
        <v>1</v>
      </c>
      <c r="B429" t="s">
        <v>27213</v>
      </c>
      <c r="C429" t="s">
        <v>27214</v>
      </c>
    </row>
    <row r="430" spans="1:3" x14ac:dyDescent="0.15">
      <c r="A430">
        <v>1</v>
      </c>
      <c r="B430" t="s">
        <v>27215</v>
      </c>
      <c r="C430" t="s">
        <v>27216</v>
      </c>
    </row>
    <row r="431" spans="1:3" x14ac:dyDescent="0.15">
      <c r="A431">
        <v>1</v>
      </c>
      <c r="B431" t="s">
        <v>27217</v>
      </c>
      <c r="C431" t="s">
        <v>27218</v>
      </c>
    </row>
    <row r="432" spans="1:3" x14ac:dyDescent="0.15">
      <c r="A432">
        <v>1</v>
      </c>
      <c r="B432" t="s">
        <v>27219</v>
      </c>
      <c r="C432" t="s">
        <v>27220</v>
      </c>
    </row>
    <row r="433" spans="1:3" x14ac:dyDescent="0.15">
      <c r="A433">
        <v>1</v>
      </c>
      <c r="B433" t="s">
        <v>27221</v>
      </c>
      <c r="C433" t="s">
        <v>27222</v>
      </c>
    </row>
    <row r="434" spans="1:3" x14ac:dyDescent="0.15">
      <c r="A434">
        <v>1</v>
      </c>
      <c r="B434" t="s">
        <v>27223</v>
      </c>
      <c r="C434" t="s">
        <v>27224</v>
      </c>
    </row>
    <row r="435" spans="1:3" x14ac:dyDescent="0.15">
      <c r="A435">
        <v>1</v>
      </c>
      <c r="B435" t="s">
        <v>27225</v>
      </c>
      <c r="C435" t="s">
        <v>27226</v>
      </c>
    </row>
    <row r="436" spans="1:3" x14ac:dyDescent="0.15">
      <c r="A436">
        <v>1</v>
      </c>
      <c r="B436" t="s">
        <v>27227</v>
      </c>
      <c r="C436" t="s">
        <v>27228</v>
      </c>
    </row>
    <row r="437" spans="1:3" x14ac:dyDescent="0.15">
      <c r="A437">
        <v>1</v>
      </c>
      <c r="B437" t="s">
        <v>27229</v>
      </c>
      <c r="C437" t="s">
        <v>27230</v>
      </c>
    </row>
    <row r="438" spans="1:3" x14ac:dyDescent="0.15">
      <c r="A438">
        <v>1</v>
      </c>
      <c r="B438" t="s">
        <v>27231</v>
      </c>
      <c r="C438" t="s">
        <v>27232</v>
      </c>
    </row>
    <row r="439" spans="1:3" x14ac:dyDescent="0.15">
      <c r="A439">
        <v>1</v>
      </c>
      <c r="B439" t="s">
        <v>27233</v>
      </c>
      <c r="C439" t="s">
        <v>27234</v>
      </c>
    </row>
    <row r="440" spans="1:3" x14ac:dyDescent="0.15">
      <c r="A440">
        <v>1</v>
      </c>
      <c r="B440" t="s">
        <v>27235</v>
      </c>
      <c r="C440" t="s">
        <v>27236</v>
      </c>
    </row>
    <row r="441" spans="1:3" x14ac:dyDescent="0.15">
      <c r="A441">
        <v>1</v>
      </c>
      <c r="B441" t="s">
        <v>27237</v>
      </c>
      <c r="C441" t="s">
        <v>27238</v>
      </c>
    </row>
    <row r="442" spans="1:3" x14ac:dyDescent="0.15">
      <c r="A442">
        <v>1</v>
      </c>
      <c r="B442" t="s">
        <v>27239</v>
      </c>
      <c r="C442" t="s">
        <v>27240</v>
      </c>
    </row>
    <row r="443" spans="1:3" x14ac:dyDescent="0.15">
      <c r="A443">
        <v>1</v>
      </c>
      <c r="B443" t="s">
        <v>27241</v>
      </c>
      <c r="C443" t="s">
        <v>27242</v>
      </c>
    </row>
    <row r="444" spans="1:3" x14ac:dyDescent="0.15">
      <c r="A444">
        <v>1</v>
      </c>
      <c r="B444" t="s">
        <v>27243</v>
      </c>
      <c r="C444" t="s">
        <v>27244</v>
      </c>
    </row>
    <row r="445" spans="1:3" x14ac:dyDescent="0.15">
      <c r="A445">
        <v>1</v>
      </c>
      <c r="B445" t="s">
        <v>27245</v>
      </c>
      <c r="C445" t="s">
        <v>27246</v>
      </c>
    </row>
    <row r="446" spans="1:3" x14ac:dyDescent="0.15">
      <c r="A446">
        <v>1</v>
      </c>
      <c r="B446" t="s">
        <v>27247</v>
      </c>
      <c r="C446" t="s">
        <v>27248</v>
      </c>
    </row>
    <row r="447" spans="1:3" x14ac:dyDescent="0.15">
      <c r="A447">
        <v>1</v>
      </c>
      <c r="B447" t="s">
        <v>27249</v>
      </c>
      <c r="C447" t="s">
        <v>27250</v>
      </c>
    </row>
    <row r="448" spans="1:3" x14ac:dyDescent="0.15">
      <c r="A448">
        <v>1</v>
      </c>
      <c r="B448" t="s">
        <v>27251</v>
      </c>
      <c r="C448" t="s">
        <v>27252</v>
      </c>
    </row>
    <row r="449" spans="1:3" x14ac:dyDescent="0.15">
      <c r="A449">
        <v>1</v>
      </c>
      <c r="B449" t="s">
        <v>27253</v>
      </c>
      <c r="C449" t="s">
        <v>27254</v>
      </c>
    </row>
    <row r="450" spans="1:3" x14ac:dyDescent="0.15">
      <c r="A450">
        <v>1</v>
      </c>
      <c r="B450" t="s">
        <v>27255</v>
      </c>
      <c r="C450" t="s">
        <v>27256</v>
      </c>
    </row>
    <row r="451" spans="1:3" x14ac:dyDescent="0.15">
      <c r="A451">
        <v>2</v>
      </c>
      <c r="B451" t="s">
        <v>26749</v>
      </c>
      <c r="C451" t="s">
        <v>27257</v>
      </c>
    </row>
    <row r="452" spans="1:3" x14ac:dyDescent="0.15">
      <c r="A452">
        <v>2</v>
      </c>
      <c r="B452">
        <v>100</v>
      </c>
      <c r="C452" t="s">
        <v>27258</v>
      </c>
    </row>
    <row r="453" spans="1:3" x14ac:dyDescent="0.15">
      <c r="A453">
        <v>2</v>
      </c>
      <c r="B453">
        <v>200</v>
      </c>
      <c r="C453" t="s">
        <v>27259</v>
      </c>
    </row>
    <row r="454" spans="1:3" x14ac:dyDescent="0.15">
      <c r="A454">
        <v>2</v>
      </c>
      <c r="B454">
        <v>300</v>
      </c>
      <c r="C454" t="s">
        <v>27260</v>
      </c>
    </row>
    <row r="455" spans="1:3" x14ac:dyDescent="0.15">
      <c r="A455">
        <v>2</v>
      </c>
      <c r="B455">
        <v>350</v>
      </c>
      <c r="C455" t="s">
        <v>27261</v>
      </c>
    </row>
    <row r="456" spans="1:3" x14ac:dyDescent="0.15">
      <c r="A456">
        <v>2</v>
      </c>
      <c r="B456">
        <v>400</v>
      </c>
      <c r="C456" t="s">
        <v>27262</v>
      </c>
    </row>
    <row r="457" spans="1:3" x14ac:dyDescent="0.15">
      <c r="A457">
        <v>2</v>
      </c>
      <c r="B457">
        <v>500</v>
      </c>
      <c r="C457" t="s">
        <v>27263</v>
      </c>
    </row>
    <row r="458" spans="1:3" x14ac:dyDescent="0.15">
      <c r="A458">
        <v>2</v>
      </c>
      <c r="B458">
        <v>504</v>
      </c>
      <c r="C458" t="s">
        <v>27264</v>
      </c>
    </row>
    <row r="459" spans="1:3" x14ac:dyDescent="0.15">
      <c r="A459">
        <v>2</v>
      </c>
      <c r="B459">
        <v>508</v>
      </c>
      <c r="C459" t="s">
        <v>27265</v>
      </c>
    </row>
    <row r="460" spans="1:3" x14ac:dyDescent="0.15">
      <c r="A460">
        <v>2</v>
      </c>
      <c r="B460">
        <v>509</v>
      </c>
      <c r="C460" t="s">
        <v>27266</v>
      </c>
    </row>
    <row r="461" spans="1:3" x14ac:dyDescent="0.15">
      <c r="A461">
        <v>2</v>
      </c>
      <c r="B461">
        <v>510</v>
      </c>
      <c r="C461" t="s">
        <v>27267</v>
      </c>
    </row>
    <row r="462" spans="1:3" x14ac:dyDescent="0.15">
      <c r="A462">
        <v>2</v>
      </c>
      <c r="B462">
        <v>511</v>
      </c>
      <c r="C462" t="s">
        <v>27268</v>
      </c>
    </row>
    <row r="463" spans="1:3" x14ac:dyDescent="0.15">
      <c r="A463">
        <v>2</v>
      </c>
      <c r="B463">
        <v>513</v>
      </c>
      <c r="C463" t="s">
        <v>27269</v>
      </c>
    </row>
    <row r="464" spans="1:3" x14ac:dyDescent="0.15">
      <c r="A464">
        <v>2</v>
      </c>
      <c r="B464">
        <v>514</v>
      </c>
      <c r="C464" t="s">
        <v>27270</v>
      </c>
    </row>
    <row r="465" spans="1:3" x14ac:dyDescent="0.15">
      <c r="A465">
        <v>2</v>
      </c>
      <c r="B465">
        <v>515</v>
      </c>
      <c r="C465" t="s">
        <v>27271</v>
      </c>
    </row>
    <row r="466" spans="1:3" x14ac:dyDescent="0.15">
      <c r="A466">
        <v>2</v>
      </c>
      <c r="B466">
        <v>520</v>
      </c>
      <c r="C466" t="s">
        <v>27272</v>
      </c>
    </row>
    <row r="467" spans="1:3" x14ac:dyDescent="0.15">
      <c r="A467">
        <v>2</v>
      </c>
      <c r="B467">
        <v>530</v>
      </c>
      <c r="C467" t="s">
        <v>27273</v>
      </c>
    </row>
    <row r="468" spans="1:3" x14ac:dyDescent="0.15">
      <c r="A468">
        <v>2</v>
      </c>
      <c r="B468">
        <v>535</v>
      </c>
      <c r="C468" t="s">
        <v>27274</v>
      </c>
    </row>
    <row r="469" spans="1:3" x14ac:dyDescent="0.15">
      <c r="A469">
        <v>2</v>
      </c>
      <c r="B469">
        <v>561</v>
      </c>
      <c r="C469" t="s">
        <v>27275</v>
      </c>
    </row>
    <row r="470" spans="1:3" x14ac:dyDescent="0.15">
      <c r="A470">
        <v>2</v>
      </c>
      <c r="B470">
        <v>562</v>
      </c>
      <c r="C470" t="s">
        <v>27276</v>
      </c>
    </row>
    <row r="471" spans="1:3" x14ac:dyDescent="0.15">
      <c r="A471">
        <v>2</v>
      </c>
      <c r="B471">
        <v>563</v>
      </c>
      <c r="C471" t="s">
        <v>27277</v>
      </c>
    </row>
    <row r="472" spans="1:3" x14ac:dyDescent="0.15">
      <c r="A472">
        <v>2</v>
      </c>
      <c r="B472">
        <v>564</v>
      </c>
      <c r="C472" t="s">
        <v>27278</v>
      </c>
    </row>
    <row r="473" spans="1:3" x14ac:dyDescent="0.15">
      <c r="A473">
        <v>2</v>
      </c>
      <c r="B473">
        <v>565</v>
      </c>
      <c r="C473" t="s">
        <v>27279</v>
      </c>
    </row>
    <row r="474" spans="1:3" x14ac:dyDescent="0.15">
      <c r="A474">
        <v>300</v>
      </c>
      <c r="B474" t="s">
        <v>26749</v>
      </c>
      <c r="C474" t="s">
        <v>27280</v>
      </c>
    </row>
    <row r="475" spans="1:3" x14ac:dyDescent="0.15">
      <c r="A475">
        <v>300</v>
      </c>
      <c r="B475">
        <v>300</v>
      </c>
      <c r="C475" t="s">
        <v>27281</v>
      </c>
    </row>
    <row r="476" spans="1:3" x14ac:dyDescent="0.15">
      <c r="A476">
        <v>801</v>
      </c>
      <c r="B476" t="s">
        <v>26749</v>
      </c>
      <c r="C476" t="s">
        <v>27282</v>
      </c>
    </row>
    <row r="477" spans="1:3" x14ac:dyDescent="0.15">
      <c r="A477">
        <v>801</v>
      </c>
      <c r="B477">
        <v>99</v>
      </c>
      <c r="C477" t="s">
        <v>27283</v>
      </c>
    </row>
    <row r="478" spans="1:3" x14ac:dyDescent="0.15">
      <c r="A478">
        <v>801</v>
      </c>
      <c r="B478">
        <v>100</v>
      </c>
      <c r="C478" t="s">
        <v>27284</v>
      </c>
    </row>
    <row r="479" spans="1:3" x14ac:dyDescent="0.15">
      <c r="A479">
        <v>801</v>
      </c>
      <c r="B479">
        <v>101</v>
      </c>
      <c r="C479" t="s">
        <v>27285</v>
      </c>
    </row>
    <row r="480" spans="1:3" x14ac:dyDescent="0.15">
      <c r="A480">
        <v>801</v>
      </c>
      <c r="B480">
        <v>102</v>
      </c>
      <c r="C480" t="s">
        <v>27286</v>
      </c>
    </row>
    <row r="481" spans="1:3" x14ac:dyDescent="0.15">
      <c r="A481">
        <v>801</v>
      </c>
      <c r="B481">
        <v>103</v>
      </c>
      <c r="C481" t="s">
        <v>27287</v>
      </c>
    </row>
    <row r="482" spans="1:3" x14ac:dyDescent="0.15">
      <c r="A482">
        <v>801</v>
      </c>
      <c r="B482">
        <v>104</v>
      </c>
      <c r="C482" t="s">
        <v>27288</v>
      </c>
    </row>
    <row r="483" spans="1:3" x14ac:dyDescent="0.15">
      <c r="A483">
        <v>801</v>
      </c>
      <c r="B483">
        <v>105</v>
      </c>
      <c r="C483" t="s">
        <v>27289</v>
      </c>
    </row>
    <row r="484" spans="1:3" x14ac:dyDescent="0.15">
      <c r="A484">
        <v>801</v>
      </c>
      <c r="B484">
        <v>106</v>
      </c>
      <c r="C484" t="s">
        <v>27290</v>
      </c>
    </row>
    <row r="485" spans="1:3" x14ac:dyDescent="0.15">
      <c r="A485">
        <v>801</v>
      </c>
      <c r="B485">
        <v>107</v>
      </c>
      <c r="C485" t="s">
        <v>27291</v>
      </c>
    </row>
    <row r="486" spans="1:3" x14ac:dyDescent="0.15">
      <c r="A486">
        <v>801</v>
      </c>
      <c r="B486">
        <v>108</v>
      </c>
      <c r="C486" t="s">
        <v>27292</v>
      </c>
    </row>
    <row r="487" spans="1:3" x14ac:dyDescent="0.15">
      <c r="A487">
        <v>801</v>
      </c>
      <c r="B487">
        <v>109</v>
      </c>
      <c r="C487" t="s">
        <v>27293</v>
      </c>
    </row>
    <row r="488" spans="1:3" x14ac:dyDescent="0.15">
      <c r="A488">
        <v>801</v>
      </c>
      <c r="B488">
        <v>110</v>
      </c>
      <c r="C488" t="s">
        <v>27294</v>
      </c>
    </row>
    <row r="489" spans="1:3" x14ac:dyDescent="0.15">
      <c r="A489">
        <v>801</v>
      </c>
      <c r="B489">
        <v>111</v>
      </c>
      <c r="C489" t="s">
        <v>27295</v>
      </c>
    </row>
    <row r="490" spans="1:3" x14ac:dyDescent="0.15">
      <c r="A490">
        <v>801</v>
      </c>
      <c r="B490">
        <v>112</v>
      </c>
      <c r="C490" t="s">
        <v>27296</v>
      </c>
    </row>
    <row r="491" spans="1:3" x14ac:dyDescent="0.15">
      <c r="A491">
        <v>801</v>
      </c>
      <c r="B491">
        <v>113</v>
      </c>
      <c r="C491" t="s">
        <v>27297</v>
      </c>
    </row>
    <row r="492" spans="1:3" x14ac:dyDescent="0.15">
      <c r="A492">
        <v>801</v>
      </c>
      <c r="B492">
        <v>114</v>
      </c>
      <c r="C492" t="s">
        <v>27298</v>
      </c>
    </row>
    <row r="493" spans="1:3" x14ac:dyDescent="0.15">
      <c r="A493">
        <v>801</v>
      </c>
      <c r="B493">
        <v>115</v>
      </c>
      <c r="C493" t="s">
        <v>27299</v>
      </c>
    </row>
    <row r="494" spans="1:3" x14ac:dyDescent="0.15">
      <c r="A494">
        <v>801</v>
      </c>
      <c r="B494">
        <v>116</v>
      </c>
      <c r="C494" t="s">
        <v>27300</v>
      </c>
    </row>
    <row r="495" spans="1:3" x14ac:dyDescent="0.15">
      <c r="A495">
        <v>801</v>
      </c>
      <c r="B495">
        <v>117</v>
      </c>
      <c r="C495" t="s">
        <v>27301</v>
      </c>
    </row>
    <row r="496" spans="1:3" x14ac:dyDescent="0.15">
      <c r="A496">
        <v>801</v>
      </c>
      <c r="B496">
        <v>118</v>
      </c>
      <c r="C496" t="s">
        <v>27302</v>
      </c>
    </row>
    <row r="497" spans="1:3" x14ac:dyDescent="0.15">
      <c r="A497">
        <v>801</v>
      </c>
      <c r="B497">
        <v>119</v>
      </c>
      <c r="C497" t="s">
        <v>27303</v>
      </c>
    </row>
    <row r="498" spans="1:3" x14ac:dyDescent="0.15">
      <c r="A498">
        <v>801</v>
      </c>
      <c r="B498">
        <v>120</v>
      </c>
      <c r="C498" t="s">
        <v>27304</v>
      </c>
    </row>
    <row r="499" spans="1:3" x14ac:dyDescent="0.15">
      <c r="A499">
        <v>801</v>
      </c>
      <c r="B499">
        <v>121</v>
      </c>
      <c r="C499" t="s">
        <v>27305</v>
      </c>
    </row>
    <row r="500" spans="1:3" x14ac:dyDescent="0.15">
      <c r="A500">
        <v>801</v>
      </c>
      <c r="B500">
        <v>122</v>
      </c>
      <c r="C500" t="s">
        <v>27306</v>
      </c>
    </row>
    <row r="501" spans="1:3" x14ac:dyDescent="0.15">
      <c r="A501">
        <v>801</v>
      </c>
      <c r="B501">
        <v>123</v>
      </c>
      <c r="C501" t="s">
        <v>27307</v>
      </c>
    </row>
    <row r="502" spans="1:3" x14ac:dyDescent="0.15">
      <c r="A502">
        <v>801</v>
      </c>
      <c r="B502">
        <v>124</v>
      </c>
      <c r="C502" t="s">
        <v>27308</v>
      </c>
    </row>
    <row r="503" spans="1:3" x14ac:dyDescent="0.15">
      <c r="A503">
        <v>801</v>
      </c>
      <c r="B503">
        <v>125</v>
      </c>
      <c r="C503" t="s">
        <v>27309</v>
      </c>
    </row>
    <row r="504" spans="1:3" x14ac:dyDescent="0.15">
      <c r="A504">
        <v>801</v>
      </c>
      <c r="B504">
        <v>126</v>
      </c>
      <c r="C504" t="s">
        <v>27310</v>
      </c>
    </row>
    <row r="505" spans="1:3" x14ac:dyDescent="0.15">
      <c r="A505">
        <v>801</v>
      </c>
      <c r="B505">
        <v>127</v>
      </c>
      <c r="C505" t="s">
        <v>27311</v>
      </c>
    </row>
    <row r="506" spans="1:3" x14ac:dyDescent="0.15">
      <c r="A506">
        <v>801</v>
      </c>
      <c r="B506">
        <v>128</v>
      </c>
      <c r="C506" t="s">
        <v>27312</v>
      </c>
    </row>
    <row r="507" spans="1:3" x14ac:dyDescent="0.15">
      <c r="A507">
        <v>801</v>
      </c>
      <c r="B507">
        <v>129</v>
      </c>
      <c r="C507" t="s">
        <v>27313</v>
      </c>
    </row>
    <row r="508" spans="1:3" x14ac:dyDescent="0.15">
      <c r="A508">
        <v>801</v>
      </c>
      <c r="B508">
        <v>130</v>
      </c>
      <c r="C508" t="s">
        <v>27314</v>
      </c>
    </row>
    <row r="509" spans="1:3" x14ac:dyDescent="0.15">
      <c r="A509">
        <v>801</v>
      </c>
      <c r="B509">
        <v>131</v>
      </c>
      <c r="C509" t="s">
        <v>27315</v>
      </c>
    </row>
    <row r="510" spans="1:3" x14ac:dyDescent="0.15">
      <c r="A510">
        <v>801</v>
      </c>
      <c r="B510">
        <v>132</v>
      </c>
      <c r="C510" t="s">
        <v>27316</v>
      </c>
    </row>
    <row r="511" spans="1:3" x14ac:dyDescent="0.15">
      <c r="A511">
        <v>801</v>
      </c>
      <c r="B511">
        <v>133</v>
      </c>
      <c r="C511" t="s">
        <v>27317</v>
      </c>
    </row>
    <row r="512" spans="1:3" x14ac:dyDescent="0.15">
      <c r="A512">
        <v>801</v>
      </c>
      <c r="B512">
        <v>134</v>
      </c>
      <c r="C512" t="s">
        <v>27318</v>
      </c>
    </row>
    <row r="513" spans="1:3" x14ac:dyDescent="0.15">
      <c r="A513">
        <v>801</v>
      </c>
      <c r="B513">
        <v>135</v>
      </c>
      <c r="C513" t="s">
        <v>27319</v>
      </c>
    </row>
    <row r="514" spans="1:3" x14ac:dyDescent="0.15">
      <c r="A514">
        <v>801</v>
      </c>
      <c r="B514">
        <v>136</v>
      </c>
      <c r="C514" t="s">
        <v>27320</v>
      </c>
    </row>
    <row r="515" spans="1:3" x14ac:dyDescent="0.15">
      <c r="A515">
        <v>801</v>
      </c>
      <c r="B515">
        <v>137</v>
      </c>
      <c r="C515" t="s">
        <v>27321</v>
      </c>
    </row>
    <row r="516" spans="1:3" x14ac:dyDescent="0.15">
      <c r="A516">
        <v>801</v>
      </c>
      <c r="B516">
        <v>138</v>
      </c>
      <c r="C516" t="s">
        <v>27322</v>
      </c>
    </row>
    <row r="517" spans="1:3" x14ac:dyDescent="0.15">
      <c r="A517">
        <v>801</v>
      </c>
      <c r="B517">
        <v>139</v>
      </c>
      <c r="C517" t="s">
        <v>27323</v>
      </c>
    </row>
    <row r="518" spans="1:3" x14ac:dyDescent="0.15">
      <c r="A518">
        <v>801</v>
      </c>
      <c r="B518">
        <v>140</v>
      </c>
      <c r="C518" t="s">
        <v>27324</v>
      </c>
    </row>
    <row r="519" spans="1:3" x14ac:dyDescent="0.15">
      <c r="A519">
        <v>801</v>
      </c>
      <c r="B519">
        <v>141</v>
      </c>
      <c r="C519" t="s">
        <v>27325</v>
      </c>
    </row>
    <row r="520" spans="1:3" x14ac:dyDescent="0.15">
      <c r="A520">
        <v>801</v>
      </c>
      <c r="B520">
        <v>142</v>
      </c>
      <c r="C520" t="s">
        <v>27326</v>
      </c>
    </row>
    <row r="521" spans="1:3" x14ac:dyDescent="0.15">
      <c r="A521">
        <v>801</v>
      </c>
      <c r="B521">
        <v>143</v>
      </c>
      <c r="C521" t="s">
        <v>27327</v>
      </c>
    </row>
    <row r="522" spans="1:3" x14ac:dyDescent="0.15">
      <c r="A522">
        <v>801</v>
      </c>
      <c r="B522">
        <v>144</v>
      </c>
      <c r="C522" t="s">
        <v>27328</v>
      </c>
    </row>
    <row r="523" spans="1:3" x14ac:dyDescent="0.15">
      <c r="A523">
        <v>801</v>
      </c>
      <c r="B523">
        <v>145</v>
      </c>
      <c r="C523" t="s">
        <v>27329</v>
      </c>
    </row>
    <row r="524" spans="1:3" x14ac:dyDescent="0.15">
      <c r="A524">
        <v>801</v>
      </c>
      <c r="B524">
        <v>146</v>
      </c>
      <c r="C524" t="s">
        <v>27330</v>
      </c>
    </row>
    <row r="525" spans="1:3" x14ac:dyDescent="0.15">
      <c r="A525">
        <v>801</v>
      </c>
      <c r="B525">
        <v>147</v>
      </c>
      <c r="C525" t="s">
        <v>27331</v>
      </c>
    </row>
    <row r="526" spans="1:3" x14ac:dyDescent="0.15">
      <c r="A526">
        <v>801</v>
      </c>
      <c r="B526">
        <v>148</v>
      </c>
      <c r="C526" t="s">
        <v>27332</v>
      </c>
    </row>
    <row r="527" spans="1:3" x14ac:dyDescent="0.15">
      <c r="A527">
        <v>801</v>
      </c>
      <c r="B527">
        <v>149</v>
      </c>
      <c r="C527" t="s">
        <v>27333</v>
      </c>
    </row>
    <row r="528" spans="1:3" x14ac:dyDescent="0.15">
      <c r="A528">
        <v>801</v>
      </c>
      <c r="B528">
        <v>150</v>
      </c>
      <c r="C528" t="s">
        <v>27334</v>
      </c>
    </row>
    <row r="529" spans="1:3" x14ac:dyDescent="0.15">
      <c r="A529">
        <v>801</v>
      </c>
      <c r="B529">
        <v>151</v>
      </c>
      <c r="C529" t="s">
        <v>27335</v>
      </c>
    </row>
    <row r="530" spans="1:3" x14ac:dyDescent="0.15">
      <c r="A530">
        <v>801</v>
      </c>
      <c r="B530">
        <v>160</v>
      </c>
      <c r="C530" t="s">
        <v>27336</v>
      </c>
    </row>
    <row r="531" spans="1:3" x14ac:dyDescent="0.15">
      <c r="A531">
        <v>801</v>
      </c>
      <c r="B531">
        <v>161</v>
      </c>
      <c r="C531" t="s">
        <v>27337</v>
      </c>
    </row>
    <row r="532" spans="1:3" x14ac:dyDescent="0.15">
      <c r="A532">
        <v>801</v>
      </c>
      <c r="B532">
        <v>167</v>
      </c>
      <c r="C532" t="s">
        <v>27338</v>
      </c>
    </row>
    <row r="533" spans="1:3" x14ac:dyDescent="0.15">
      <c r="A533">
        <v>801</v>
      </c>
      <c r="B533">
        <v>168</v>
      </c>
      <c r="C533" t="s">
        <v>27339</v>
      </c>
    </row>
    <row r="534" spans="1:3" x14ac:dyDescent="0.15">
      <c r="A534">
        <v>801</v>
      </c>
      <c r="B534">
        <v>169</v>
      </c>
      <c r="C534" t="s">
        <v>27340</v>
      </c>
    </row>
    <row r="535" spans="1:3" x14ac:dyDescent="0.15">
      <c r="A535">
        <v>801</v>
      </c>
      <c r="B535">
        <v>170</v>
      </c>
      <c r="C535" t="s">
        <v>27341</v>
      </c>
    </row>
    <row r="536" spans="1:3" x14ac:dyDescent="0.15">
      <c r="A536">
        <v>801</v>
      </c>
      <c r="B536">
        <v>171</v>
      </c>
      <c r="C536" t="s">
        <v>27342</v>
      </c>
    </row>
    <row r="537" spans="1:3" x14ac:dyDescent="0.15">
      <c r="A537">
        <v>801</v>
      </c>
      <c r="B537">
        <v>172</v>
      </c>
      <c r="C537" t="s">
        <v>27343</v>
      </c>
    </row>
    <row r="538" spans="1:3" x14ac:dyDescent="0.15">
      <c r="A538">
        <v>801</v>
      </c>
      <c r="B538">
        <v>179</v>
      </c>
      <c r="C538" t="s">
        <v>27344</v>
      </c>
    </row>
    <row r="539" spans="1:3" x14ac:dyDescent="0.15">
      <c r="A539">
        <v>801</v>
      </c>
      <c r="B539">
        <v>180</v>
      </c>
      <c r="C539" t="s">
        <v>27345</v>
      </c>
    </row>
    <row r="540" spans="1:3" x14ac:dyDescent="0.15">
      <c r="A540">
        <v>801</v>
      </c>
      <c r="B540">
        <v>181</v>
      </c>
      <c r="C540" t="s">
        <v>27346</v>
      </c>
    </row>
    <row r="541" spans="1:3" x14ac:dyDescent="0.15">
      <c r="A541">
        <v>801</v>
      </c>
      <c r="B541">
        <v>182</v>
      </c>
      <c r="C541" t="s">
        <v>27347</v>
      </c>
    </row>
    <row r="542" spans="1:3" x14ac:dyDescent="0.15">
      <c r="A542">
        <v>801</v>
      </c>
      <c r="B542">
        <v>183</v>
      </c>
      <c r="C542" t="s">
        <v>27348</v>
      </c>
    </row>
    <row r="543" spans="1:3" x14ac:dyDescent="0.15">
      <c r="A543">
        <v>801</v>
      </c>
      <c r="B543">
        <v>184</v>
      </c>
      <c r="C543" t="s">
        <v>27349</v>
      </c>
    </row>
    <row r="544" spans="1:3" x14ac:dyDescent="0.15">
      <c r="A544">
        <v>801</v>
      </c>
      <c r="B544">
        <v>199</v>
      </c>
      <c r="C544" t="s">
        <v>27350</v>
      </c>
    </row>
    <row r="545" spans="1:3" x14ac:dyDescent="0.15">
      <c r="A545">
        <v>801</v>
      </c>
      <c r="B545">
        <v>200</v>
      </c>
      <c r="C545" t="s">
        <v>27351</v>
      </c>
    </row>
    <row r="546" spans="1:3" x14ac:dyDescent="0.15">
      <c r="A546">
        <v>801</v>
      </c>
      <c r="B546">
        <v>201</v>
      </c>
      <c r="C546" t="s">
        <v>27352</v>
      </c>
    </row>
    <row r="547" spans="1:3" x14ac:dyDescent="0.15">
      <c r="A547">
        <v>801</v>
      </c>
      <c r="B547">
        <v>202</v>
      </c>
      <c r="C547" t="s">
        <v>27353</v>
      </c>
    </row>
    <row r="548" spans="1:3" x14ac:dyDescent="0.15">
      <c r="A548">
        <v>801</v>
      </c>
      <c r="B548">
        <v>203</v>
      </c>
      <c r="C548" t="s">
        <v>27354</v>
      </c>
    </row>
    <row r="549" spans="1:3" x14ac:dyDescent="0.15">
      <c r="A549">
        <v>801</v>
      </c>
      <c r="B549">
        <v>204</v>
      </c>
      <c r="C549" t="s">
        <v>27355</v>
      </c>
    </row>
    <row r="550" spans="1:3" x14ac:dyDescent="0.15">
      <c r="A550">
        <v>801</v>
      </c>
      <c r="B550">
        <v>205</v>
      </c>
      <c r="C550" t="s">
        <v>27356</v>
      </c>
    </row>
    <row r="551" spans="1:3" x14ac:dyDescent="0.15">
      <c r="A551">
        <v>801</v>
      </c>
      <c r="B551">
        <v>206</v>
      </c>
      <c r="C551" t="s">
        <v>27357</v>
      </c>
    </row>
    <row r="552" spans="1:3" x14ac:dyDescent="0.15">
      <c r="A552">
        <v>801</v>
      </c>
      <c r="B552">
        <v>207</v>
      </c>
      <c r="C552" t="s">
        <v>27358</v>
      </c>
    </row>
    <row r="553" spans="1:3" x14ac:dyDescent="0.15">
      <c r="A553">
        <v>801</v>
      </c>
      <c r="B553">
        <v>208</v>
      </c>
      <c r="C553" t="s">
        <v>27359</v>
      </c>
    </row>
    <row r="554" spans="1:3" x14ac:dyDescent="0.15">
      <c r="A554">
        <v>801</v>
      </c>
      <c r="B554">
        <v>209</v>
      </c>
      <c r="C554" t="s">
        <v>27360</v>
      </c>
    </row>
    <row r="555" spans="1:3" x14ac:dyDescent="0.15">
      <c r="A555">
        <v>801</v>
      </c>
      <c r="B555">
        <v>210</v>
      </c>
      <c r="C555" t="s">
        <v>27361</v>
      </c>
    </row>
    <row r="556" spans="1:3" x14ac:dyDescent="0.15">
      <c r="A556">
        <v>801</v>
      </c>
      <c r="B556">
        <v>211</v>
      </c>
      <c r="C556" t="s">
        <v>27362</v>
      </c>
    </row>
    <row r="557" spans="1:3" x14ac:dyDescent="0.15">
      <c r="A557">
        <v>801</v>
      </c>
      <c r="B557">
        <v>212</v>
      </c>
      <c r="C557" t="s">
        <v>27363</v>
      </c>
    </row>
    <row r="558" spans="1:3" x14ac:dyDescent="0.15">
      <c r="A558">
        <v>801</v>
      </c>
      <c r="B558">
        <v>213</v>
      </c>
      <c r="C558" t="s">
        <v>27364</v>
      </c>
    </row>
    <row r="559" spans="1:3" x14ac:dyDescent="0.15">
      <c r="A559">
        <v>801</v>
      </c>
      <c r="B559">
        <v>214</v>
      </c>
      <c r="C559" t="s">
        <v>27365</v>
      </c>
    </row>
    <row r="560" spans="1:3" x14ac:dyDescent="0.15">
      <c r="A560">
        <v>801</v>
      </c>
      <c r="B560">
        <v>215</v>
      </c>
      <c r="C560" t="s">
        <v>27366</v>
      </c>
    </row>
    <row r="561" spans="1:3" x14ac:dyDescent="0.15">
      <c r="A561">
        <v>801</v>
      </c>
      <c r="B561">
        <v>216</v>
      </c>
      <c r="C561" t="s">
        <v>27367</v>
      </c>
    </row>
    <row r="562" spans="1:3" x14ac:dyDescent="0.15">
      <c r="A562">
        <v>801</v>
      </c>
      <c r="B562">
        <v>217</v>
      </c>
      <c r="C562" t="s">
        <v>27368</v>
      </c>
    </row>
    <row r="563" spans="1:3" x14ac:dyDescent="0.15">
      <c r="A563">
        <v>801</v>
      </c>
      <c r="B563">
        <v>218</v>
      </c>
      <c r="C563" t="s">
        <v>27369</v>
      </c>
    </row>
    <row r="564" spans="1:3" x14ac:dyDescent="0.15">
      <c r="A564">
        <v>801</v>
      </c>
      <c r="B564">
        <v>219</v>
      </c>
      <c r="C564" t="s">
        <v>27370</v>
      </c>
    </row>
    <row r="565" spans="1:3" x14ac:dyDescent="0.15">
      <c r="A565">
        <v>801</v>
      </c>
      <c r="B565">
        <v>220</v>
      </c>
      <c r="C565" t="s">
        <v>27371</v>
      </c>
    </row>
    <row r="566" spans="1:3" x14ac:dyDescent="0.15">
      <c r="A566">
        <v>801</v>
      </c>
      <c r="B566">
        <v>221</v>
      </c>
      <c r="C566" t="s">
        <v>27372</v>
      </c>
    </row>
    <row r="567" spans="1:3" x14ac:dyDescent="0.15">
      <c r="A567">
        <v>801</v>
      </c>
      <c r="B567">
        <v>222</v>
      </c>
      <c r="C567" t="s">
        <v>27373</v>
      </c>
    </row>
    <row r="568" spans="1:3" x14ac:dyDescent="0.15">
      <c r="A568">
        <v>801</v>
      </c>
      <c r="B568">
        <v>223</v>
      </c>
      <c r="C568" t="s">
        <v>27374</v>
      </c>
    </row>
    <row r="569" spans="1:3" x14ac:dyDescent="0.15">
      <c r="A569">
        <v>801</v>
      </c>
      <c r="B569">
        <v>224</v>
      </c>
      <c r="C569" t="s">
        <v>27375</v>
      </c>
    </row>
    <row r="570" spans="1:3" x14ac:dyDescent="0.15">
      <c r="A570">
        <v>801</v>
      </c>
      <c r="B570">
        <v>225</v>
      </c>
      <c r="C570" t="s">
        <v>27376</v>
      </c>
    </row>
    <row r="571" spans="1:3" x14ac:dyDescent="0.15">
      <c r="A571">
        <v>801</v>
      </c>
      <c r="B571">
        <v>226</v>
      </c>
      <c r="C571" t="s">
        <v>27377</v>
      </c>
    </row>
    <row r="572" spans="1:3" x14ac:dyDescent="0.15">
      <c r="A572">
        <v>801</v>
      </c>
      <c r="B572">
        <v>227</v>
      </c>
      <c r="C572" t="s">
        <v>27378</v>
      </c>
    </row>
    <row r="573" spans="1:3" x14ac:dyDescent="0.15">
      <c r="A573">
        <v>801</v>
      </c>
      <c r="B573">
        <v>228</v>
      </c>
      <c r="C573" t="s">
        <v>27379</v>
      </c>
    </row>
    <row r="574" spans="1:3" x14ac:dyDescent="0.15">
      <c r="A574">
        <v>801</v>
      </c>
      <c r="B574">
        <v>229</v>
      </c>
      <c r="C574" t="s">
        <v>27380</v>
      </c>
    </row>
    <row r="575" spans="1:3" x14ac:dyDescent="0.15">
      <c r="A575">
        <v>801</v>
      </c>
      <c r="B575">
        <v>230</v>
      </c>
      <c r="C575" t="s">
        <v>27381</v>
      </c>
    </row>
    <row r="576" spans="1:3" x14ac:dyDescent="0.15">
      <c r="A576">
        <v>801</v>
      </c>
      <c r="B576">
        <v>231</v>
      </c>
      <c r="C576" t="s">
        <v>27382</v>
      </c>
    </row>
    <row r="577" spans="1:3" x14ac:dyDescent="0.15">
      <c r="A577">
        <v>801</v>
      </c>
      <c r="B577">
        <v>232</v>
      </c>
      <c r="C577" t="s">
        <v>27383</v>
      </c>
    </row>
    <row r="578" spans="1:3" x14ac:dyDescent="0.15">
      <c r="A578">
        <v>801</v>
      </c>
      <c r="B578">
        <v>233</v>
      </c>
      <c r="C578" t="s">
        <v>27384</v>
      </c>
    </row>
    <row r="579" spans="1:3" x14ac:dyDescent="0.15">
      <c r="A579">
        <v>801</v>
      </c>
      <c r="B579">
        <v>248</v>
      </c>
      <c r="C579" t="s">
        <v>27385</v>
      </c>
    </row>
    <row r="580" spans="1:3" x14ac:dyDescent="0.15">
      <c r="A580">
        <v>801</v>
      </c>
      <c r="B580">
        <v>249</v>
      </c>
      <c r="C580" t="s">
        <v>27386</v>
      </c>
    </row>
    <row r="581" spans="1:3" x14ac:dyDescent="0.15">
      <c r="A581">
        <v>801</v>
      </c>
      <c r="B581">
        <v>250</v>
      </c>
      <c r="C581" t="s">
        <v>27387</v>
      </c>
    </row>
    <row r="582" spans="1:3" x14ac:dyDescent="0.15">
      <c r="A582">
        <v>801</v>
      </c>
      <c r="B582">
        <v>251</v>
      </c>
      <c r="C582" t="s">
        <v>27388</v>
      </c>
    </row>
    <row r="583" spans="1:3" x14ac:dyDescent="0.15">
      <c r="A583">
        <v>801</v>
      </c>
      <c r="B583">
        <v>252</v>
      </c>
      <c r="C583" t="s">
        <v>27389</v>
      </c>
    </row>
    <row r="584" spans="1:3" x14ac:dyDescent="0.15">
      <c r="A584">
        <v>801</v>
      </c>
      <c r="B584">
        <v>253</v>
      </c>
      <c r="C584" t="s">
        <v>27390</v>
      </c>
    </row>
    <row r="585" spans="1:3" x14ac:dyDescent="0.15">
      <c r="A585">
        <v>801</v>
      </c>
      <c r="B585">
        <v>259</v>
      </c>
      <c r="C585" t="s">
        <v>27391</v>
      </c>
    </row>
    <row r="586" spans="1:3" x14ac:dyDescent="0.15">
      <c r="A586">
        <v>801</v>
      </c>
      <c r="B586">
        <v>260</v>
      </c>
      <c r="C586" t="s">
        <v>27392</v>
      </c>
    </row>
    <row r="587" spans="1:3" x14ac:dyDescent="0.15">
      <c r="A587">
        <v>801</v>
      </c>
      <c r="B587">
        <v>261</v>
      </c>
      <c r="C587" t="s">
        <v>27393</v>
      </c>
    </row>
    <row r="588" spans="1:3" x14ac:dyDescent="0.15">
      <c r="A588">
        <v>801</v>
      </c>
      <c r="B588">
        <v>269</v>
      </c>
      <c r="C588" t="s">
        <v>27394</v>
      </c>
    </row>
    <row r="589" spans="1:3" x14ac:dyDescent="0.15">
      <c r="A589">
        <v>801</v>
      </c>
      <c r="B589">
        <v>270</v>
      </c>
      <c r="C589" t="s">
        <v>27395</v>
      </c>
    </row>
    <row r="590" spans="1:3" x14ac:dyDescent="0.15">
      <c r="A590">
        <v>801</v>
      </c>
      <c r="B590">
        <v>271</v>
      </c>
      <c r="C590" t="s">
        <v>27396</v>
      </c>
    </row>
    <row r="591" spans="1:3" x14ac:dyDescent="0.15">
      <c r="A591">
        <v>801</v>
      </c>
      <c r="B591">
        <v>275</v>
      </c>
      <c r="C591" t="s">
        <v>27397</v>
      </c>
    </row>
    <row r="592" spans="1:3" x14ac:dyDescent="0.15">
      <c r="A592">
        <v>801</v>
      </c>
      <c r="B592">
        <v>280</v>
      </c>
      <c r="C592" t="s">
        <v>27398</v>
      </c>
    </row>
    <row r="593" spans="1:3" x14ac:dyDescent="0.15">
      <c r="A593">
        <v>801</v>
      </c>
      <c r="B593">
        <v>290</v>
      </c>
      <c r="C593" t="s">
        <v>27399</v>
      </c>
    </row>
    <row r="594" spans="1:3" x14ac:dyDescent="0.15">
      <c r="A594">
        <v>801</v>
      </c>
      <c r="B594">
        <v>298</v>
      </c>
      <c r="C594" t="s">
        <v>27400</v>
      </c>
    </row>
    <row r="595" spans="1:3" x14ac:dyDescent="0.15">
      <c r="A595">
        <v>801</v>
      </c>
      <c r="B595">
        <v>299</v>
      </c>
      <c r="C595" t="s">
        <v>27401</v>
      </c>
    </row>
    <row r="596" spans="1:3" x14ac:dyDescent="0.15">
      <c r="A596">
        <v>801</v>
      </c>
      <c r="B596">
        <v>300</v>
      </c>
      <c r="C596" t="s">
        <v>27402</v>
      </c>
    </row>
    <row r="597" spans="1:3" x14ac:dyDescent="0.15">
      <c r="A597">
        <v>801</v>
      </c>
      <c r="B597">
        <v>301</v>
      </c>
      <c r="C597" t="s">
        <v>27403</v>
      </c>
    </row>
    <row r="598" spans="1:3" x14ac:dyDescent="0.15">
      <c r="A598">
        <v>801</v>
      </c>
      <c r="B598">
        <v>302</v>
      </c>
      <c r="C598" t="s">
        <v>27404</v>
      </c>
    </row>
    <row r="599" spans="1:3" x14ac:dyDescent="0.15">
      <c r="A599">
        <v>801</v>
      </c>
      <c r="B599">
        <v>303</v>
      </c>
      <c r="C599" t="s">
        <v>27405</v>
      </c>
    </row>
    <row r="600" spans="1:3" x14ac:dyDescent="0.15">
      <c r="A600">
        <v>801</v>
      </c>
      <c r="B600">
        <v>304</v>
      </c>
      <c r="C600" t="s">
        <v>27406</v>
      </c>
    </row>
    <row r="601" spans="1:3" x14ac:dyDescent="0.15">
      <c r="A601">
        <v>801</v>
      </c>
      <c r="B601">
        <v>305</v>
      </c>
      <c r="C601" t="s">
        <v>27407</v>
      </c>
    </row>
    <row r="602" spans="1:3" x14ac:dyDescent="0.15">
      <c r="A602">
        <v>801</v>
      </c>
      <c r="B602">
        <v>306</v>
      </c>
      <c r="C602" t="s">
        <v>27408</v>
      </c>
    </row>
    <row r="603" spans="1:3" x14ac:dyDescent="0.15">
      <c r="A603">
        <v>801</v>
      </c>
      <c r="B603">
        <v>307</v>
      </c>
      <c r="C603" t="s">
        <v>27409</v>
      </c>
    </row>
    <row r="604" spans="1:3" x14ac:dyDescent="0.15">
      <c r="A604">
        <v>801</v>
      </c>
      <c r="B604">
        <v>308</v>
      </c>
      <c r="C604" t="s">
        <v>27410</v>
      </c>
    </row>
    <row r="605" spans="1:3" x14ac:dyDescent="0.15">
      <c r="A605">
        <v>801</v>
      </c>
      <c r="B605">
        <v>309</v>
      </c>
      <c r="C605" t="s">
        <v>27411</v>
      </c>
    </row>
    <row r="606" spans="1:3" x14ac:dyDescent="0.15">
      <c r="A606">
        <v>801</v>
      </c>
      <c r="B606">
        <v>310</v>
      </c>
      <c r="C606" t="s">
        <v>27412</v>
      </c>
    </row>
    <row r="607" spans="1:3" x14ac:dyDescent="0.15">
      <c r="A607">
        <v>801</v>
      </c>
      <c r="B607">
        <v>312</v>
      </c>
      <c r="C607" t="s">
        <v>27413</v>
      </c>
    </row>
    <row r="608" spans="1:3" x14ac:dyDescent="0.15">
      <c r="A608">
        <v>801</v>
      </c>
      <c r="B608">
        <v>349</v>
      </c>
      <c r="C608" t="s">
        <v>27414</v>
      </c>
    </row>
    <row r="609" spans="1:3" x14ac:dyDescent="0.15">
      <c r="A609">
        <v>801</v>
      </c>
      <c r="B609">
        <v>416</v>
      </c>
      <c r="C609" t="s">
        <v>27415</v>
      </c>
    </row>
    <row r="610" spans="1:3" x14ac:dyDescent="0.15">
      <c r="A610">
        <v>801</v>
      </c>
      <c r="B610">
        <v>417</v>
      </c>
      <c r="C610" t="s">
        <v>27416</v>
      </c>
    </row>
    <row r="611" spans="1:3" x14ac:dyDescent="0.15">
      <c r="A611">
        <v>801</v>
      </c>
      <c r="B611">
        <v>418</v>
      </c>
      <c r="C611" t="s">
        <v>27417</v>
      </c>
    </row>
    <row r="612" spans="1:3" x14ac:dyDescent="0.15">
      <c r="A612">
        <v>801</v>
      </c>
      <c r="B612">
        <v>420</v>
      </c>
      <c r="C612" t="s">
        <v>27418</v>
      </c>
    </row>
    <row r="613" spans="1:3" x14ac:dyDescent="0.15">
      <c r="A613">
        <v>801</v>
      </c>
      <c r="B613">
        <v>422</v>
      </c>
      <c r="C613" t="s">
        <v>27419</v>
      </c>
    </row>
    <row r="614" spans="1:3" x14ac:dyDescent="0.15">
      <c r="A614">
        <v>801</v>
      </c>
      <c r="B614">
        <v>423</v>
      </c>
      <c r="C614" t="s">
        <v>27420</v>
      </c>
    </row>
    <row r="615" spans="1:3" x14ac:dyDescent="0.15">
      <c r="A615">
        <v>801</v>
      </c>
      <c r="B615">
        <v>449</v>
      </c>
      <c r="C615" t="s">
        <v>27421</v>
      </c>
    </row>
    <row r="616" spans="1:3" x14ac:dyDescent="0.15">
      <c r="A616">
        <v>801</v>
      </c>
      <c r="B616">
        <v>450</v>
      </c>
      <c r="C616" t="s">
        <v>27422</v>
      </c>
    </row>
    <row r="617" spans="1:3" x14ac:dyDescent="0.15">
      <c r="A617">
        <v>801</v>
      </c>
      <c r="B617">
        <v>451</v>
      </c>
      <c r="C617" t="s">
        <v>27423</v>
      </c>
    </row>
    <row r="618" spans="1:3" x14ac:dyDescent="0.15">
      <c r="A618">
        <v>801</v>
      </c>
      <c r="B618">
        <v>452</v>
      </c>
      <c r="C618" t="s">
        <v>27424</v>
      </c>
    </row>
    <row r="619" spans="1:3" x14ac:dyDescent="0.15">
      <c r="A619">
        <v>801</v>
      </c>
      <c r="B619">
        <v>453</v>
      </c>
      <c r="C619" t="s">
        <v>27425</v>
      </c>
    </row>
    <row r="620" spans="1:3" x14ac:dyDescent="0.15">
      <c r="A620">
        <v>801</v>
      </c>
      <c r="B620">
        <v>460</v>
      </c>
      <c r="C620" t="s">
        <v>27426</v>
      </c>
    </row>
    <row r="621" spans="1:3" x14ac:dyDescent="0.15">
      <c r="A621">
        <v>801</v>
      </c>
      <c r="B621">
        <v>464</v>
      </c>
      <c r="C621" t="s">
        <v>27427</v>
      </c>
    </row>
    <row r="622" spans="1:3" x14ac:dyDescent="0.15">
      <c r="A622">
        <v>801</v>
      </c>
      <c r="B622">
        <v>465</v>
      </c>
      <c r="C622" t="s">
        <v>27428</v>
      </c>
    </row>
    <row r="623" spans="1:3" x14ac:dyDescent="0.15">
      <c r="A623">
        <v>801</v>
      </c>
      <c r="B623">
        <v>500</v>
      </c>
      <c r="C623" t="s">
        <v>27429</v>
      </c>
    </row>
    <row r="624" spans="1:3" x14ac:dyDescent="0.15">
      <c r="A624">
        <v>801</v>
      </c>
      <c r="B624">
        <v>501</v>
      </c>
      <c r="C624" t="s">
        <v>27430</v>
      </c>
    </row>
    <row r="625" spans="1:3" x14ac:dyDescent="0.15">
      <c r="A625">
        <v>801</v>
      </c>
      <c r="B625">
        <v>502</v>
      </c>
      <c r="C625" t="s">
        <v>27431</v>
      </c>
    </row>
    <row r="626" spans="1:3" x14ac:dyDescent="0.15">
      <c r="A626">
        <v>801</v>
      </c>
      <c r="B626">
        <v>504</v>
      </c>
      <c r="C626" t="s">
        <v>27432</v>
      </c>
    </row>
    <row r="627" spans="1:3" x14ac:dyDescent="0.15">
      <c r="A627">
        <v>801</v>
      </c>
      <c r="B627">
        <v>505</v>
      </c>
      <c r="C627" t="s">
        <v>27433</v>
      </c>
    </row>
    <row r="628" spans="1:3" x14ac:dyDescent="0.15">
      <c r="A628">
        <v>801</v>
      </c>
      <c r="B628">
        <v>506</v>
      </c>
      <c r="C628" t="s">
        <v>27434</v>
      </c>
    </row>
    <row r="629" spans="1:3" x14ac:dyDescent="0.15">
      <c r="A629">
        <v>801</v>
      </c>
      <c r="B629">
        <v>508</v>
      </c>
      <c r="C629" t="s">
        <v>27435</v>
      </c>
    </row>
    <row r="630" spans="1:3" x14ac:dyDescent="0.15">
      <c r="A630">
        <v>801</v>
      </c>
      <c r="B630">
        <v>509</v>
      </c>
      <c r="C630" t="s">
        <v>27436</v>
      </c>
    </row>
    <row r="631" spans="1:3" x14ac:dyDescent="0.15">
      <c r="A631">
        <v>801</v>
      </c>
      <c r="B631">
        <v>510</v>
      </c>
      <c r="C631" t="s">
        <v>27437</v>
      </c>
    </row>
    <row r="632" spans="1:3" x14ac:dyDescent="0.15">
      <c r="A632">
        <v>801</v>
      </c>
      <c r="B632">
        <v>511</v>
      </c>
      <c r="C632" t="s">
        <v>27438</v>
      </c>
    </row>
    <row r="633" spans="1:3" x14ac:dyDescent="0.15">
      <c r="A633">
        <v>801</v>
      </c>
      <c r="B633">
        <v>512</v>
      </c>
      <c r="C633" t="s">
        <v>27439</v>
      </c>
    </row>
    <row r="634" spans="1:3" x14ac:dyDescent="0.15">
      <c r="A634">
        <v>801</v>
      </c>
      <c r="B634">
        <v>514</v>
      </c>
      <c r="C634" t="s">
        <v>27440</v>
      </c>
    </row>
    <row r="635" spans="1:3" x14ac:dyDescent="0.15">
      <c r="A635">
        <v>801</v>
      </c>
      <c r="B635">
        <v>516</v>
      </c>
      <c r="C635" t="s">
        <v>27441</v>
      </c>
    </row>
    <row r="636" spans="1:3" x14ac:dyDescent="0.15">
      <c r="A636">
        <v>801</v>
      </c>
      <c r="B636">
        <v>520</v>
      </c>
      <c r="C636" t="s">
        <v>27442</v>
      </c>
    </row>
    <row r="637" spans="1:3" x14ac:dyDescent="0.15">
      <c r="A637">
        <v>801</v>
      </c>
      <c r="B637">
        <v>521</v>
      </c>
      <c r="C637" t="s">
        <v>27443</v>
      </c>
    </row>
    <row r="638" spans="1:3" x14ac:dyDescent="0.15">
      <c r="A638">
        <v>801</v>
      </c>
      <c r="B638">
        <v>522</v>
      </c>
      <c r="C638" t="s">
        <v>27444</v>
      </c>
    </row>
    <row r="639" spans="1:3" x14ac:dyDescent="0.15">
      <c r="A639">
        <v>801</v>
      </c>
      <c r="B639">
        <v>523</v>
      </c>
      <c r="C639" t="s">
        <v>27445</v>
      </c>
    </row>
    <row r="640" spans="1:3" x14ac:dyDescent="0.15">
      <c r="A640">
        <v>801</v>
      </c>
      <c r="B640">
        <v>524</v>
      </c>
      <c r="C640" t="s">
        <v>27446</v>
      </c>
    </row>
    <row r="641" spans="1:3" x14ac:dyDescent="0.15">
      <c r="A641">
        <v>801</v>
      </c>
      <c r="B641">
        <v>525</v>
      </c>
      <c r="C641" t="s">
        <v>27447</v>
      </c>
    </row>
    <row r="642" spans="1:3" x14ac:dyDescent="0.15">
      <c r="A642">
        <v>801</v>
      </c>
      <c r="B642">
        <v>526</v>
      </c>
      <c r="C642" t="s">
        <v>27448</v>
      </c>
    </row>
    <row r="643" spans="1:3" x14ac:dyDescent="0.15">
      <c r="A643">
        <v>801</v>
      </c>
      <c r="B643">
        <v>529</v>
      </c>
      <c r="C643" t="s">
        <v>27449</v>
      </c>
    </row>
    <row r="644" spans="1:3" x14ac:dyDescent="0.15">
      <c r="A644">
        <v>801</v>
      </c>
      <c r="B644">
        <v>530</v>
      </c>
      <c r="C644" t="s">
        <v>27450</v>
      </c>
    </row>
    <row r="645" spans="1:3" x14ac:dyDescent="0.15">
      <c r="A645">
        <v>801</v>
      </c>
      <c r="B645">
        <v>531</v>
      </c>
      <c r="C645" t="s">
        <v>27451</v>
      </c>
    </row>
    <row r="646" spans="1:3" x14ac:dyDescent="0.15">
      <c r="A646">
        <v>801</v>
      </c>
      <c r="B646">
        <v>532</v>
      </c>
      <c r="C646" t="s">
        <v>27452</v>
      </c>
    </row>
    <row r="647" spans="1:3" x14ac:dyDescent="0.15">
      <c r="A647">
        <v>801</v>
      </c>
      <c r="B647">
        <v>534</v>
      </c>
      <c r="C647" t="s">
        <v>27453</v>
      </c>
    </row>
    <row r="648" spans="1:3" x14ac:dyDescent="0.15">
      <c r="A648">
        <v>801</v>
      </c>
      <c r="B648">
        <v>536</v>
      </c>
      <c r="C648" t="s">
        <v>27454</v>
      </c>
    </row>
    <row r="649" spans="1:3" x14ac:dyDescent="0.15">
      <c r="A649">
        <v>801</v>
      </c>
      <c r="B649">
        <v>537</v>
      </c>
      <c r="C649" t="s">
        <v>27455</v>
      </c>
    </row>
    <row r="650" spans="1:3" x14ac:dyDescent="0.15">
      <c r="A650">
        <v>801</v>
      </c>
      <c r="B650">
        <v>540</v>
      </c>
      <c r="C650" t="s">
        <v>27456</v>
      </c>
    </row>
    <row r="651" spans="1:3" x14ac:dyDescent="0.15">
      <c r="A651">
        <v>801</v>
      </c>
      <c r="B651">
        <v>541</v>
      </c>
      <c r="C651" t="s">
        <v>27457</v>
      </c>
    </row>
    <row r="652" spans="1:3" x14ac:dyDescent="0.15">
      <c r="A652">
        <v>801</v>
      </c>
      <c r="B652">
        <v>542</v>
      </c>
      <c r="C652" t="s">
        <v>27458</v>
      </c>
    </row>
    <row r="653" spans="1:3" x14ac:dyDescent="0.15">
      <c r="A653">
        <v>801</v>
      </c>
      <c r="B653">
        <v>545</v>
      </c>
      <c r="C653" t="s">
        <v>27459</v>
      </c>
    </row>
    <row r="654" spans="1:3" x14ac:dyDescent="0.15">
      <c r="A654">
        <v>801</v>
      </c>
      <c r="B654">
        <v>548</v>
      </c>
      <c r="C654" t="s">
        <v>27460</v>
      </c>
    </row>
    <row r="655" spans="1:3" x14ac:dyDescent="0.15">
      <c r="A655">
        <v>801</v>
      </c>
      <c r="B655">
        <v>549</v>
      </c>
      <c r="C655" t="s">
        <v>27461</v>
      </c>
    </row>
    <row r="656" spans="1:3" x14ac:dyDescent="0.15">
      <c r="A656">
        <v>801</v>
      </c>
      <c r="B656">
        <v>550</v>
      </c>
      <c r="C656" t="s">
        <v>27462</v>
      </c>
    </row>
    <row r="657" spans="1:3" x14ac:dyDescent="0.15">
      <c r="A657">
        <v>801</v>
      </c>
      <c r="B657">
        <v>551</v>
      </c>
      <c r="C657" t="s">
        <v>27463</v>
      </c>
    </row>
    <row r="658" spans="1:3" x14ac:dyDescent="0.15">
      <c r="A658">
        <v>801</v>
      </c>
      <c r="B658">
        <v>552</v>
      </c>
      <c r="C658" t="s">
        <v>27464</v>
      </c>
    </row>
    <row r="659" spans="1:3" x14ac:dyDescent="0.15">
      <c r="A659">
        <v>801</v>
      </c>
      <c r="B659">
        <v>553</v>
      </c>
      <c r="C659" t="s">
        <v>27465</v>
      </c>
    </row>
    <row r="660" spans="1:3" x14ac:dyDescent="0.15">
      <c r="A660">
        <v>801</v>
      </c>
      <c r="B660">
        <v>554</v>
      </c>
      <c r="C660" t="s">
        <v>27466</v>
      </c>
    </row>
    <row r="661" spans="1:3" x14ac:dyDescent="0.15">
      <c r="A661">
        <v>801</v>
      </c>
      <c r="B661">
        <v>557</v>
      </c>
      <c r="C661" t="s">
        <v>27467</v>
      </c>
    </row>
    <row r="662" spans="1:3" x14ac:dyDescent="0.15">
      <c r="A662">
        <v>801</v>
      </c>
      <c r="B662">
        <v>558</v>
      </c>
      <c r="C662" t="s">
        <v>27468</v>
      </c>
    </row>
    <row r="663" spans="1:3" x14ac:dyDescent="0.15">
      <c r="A663">
        <v>801</v>
      </c>
      <c r="B663">
        <v>560</v>
      </c>
      <c r="C663" t="s">
        <v>27469</v>
      </c>
    </row>
    <row r="664" spans="1:3" x14ac:dyDescent="0.15">
      <c r="A664">
        <v>801</v>
      </c>
      <c r="B664">
        <v>570</v>
      </c>
      <c r="C664" t="s">
        <v>27470</v>
      </c>
    </row>
    <row r="665" spans="1:3" x14ac:dyDescent="0.15">
      <c r="A665">
        <v>801</v>
      </c>
      <c r="B665">
        <v>571</v>
      </c>
      <c r="C665" t="s">
        <v>27471</v>
      </c>
    </row>
    <row r="666" spans="1:3" x14ac:dyDescent="0.15">
      <c r="A666">
        <v>801</v>
      </c>
      <c r="B666">
        <v>587</v>
      </c>
      <c r="C666" t="s">
        <v>27472</v>
      </c>
    </row>
    <row r="667" spans="1:3" x14ac:dyDescent="0.15">
      <c r="A667">
        <v>801</v>
      </c>
      <c r="B667">
        <v>590</v>
      </c>
      <c r="C667" t="s">
        <v>27473</v>
      </c>
    </row>
    <row r="668" spans="1:3" x14ac:dyDescent="0.15">
      <c r="A668">
        <v>801</v>
      </c>
      <c r="B668">
        <v>591</v>
      </c>
      <c r="C668" t="s">
        <v>27474</v>
      </c>
    </row>
    <row r="669" spans="1:3" x14ac:dyDescent="0.15">
      <c r="A669">
        <v>801</v>
      </c>
      <c r="B669">
        <v>593</v>
      </c>
      <c r="C669" t="s">
        <v>27475</v>
      </c>
    </row>
    <row r="670" spans="1:3" x14ac:dyDescent="0.15">
      <c r="A670">
        <v>801</v>
      </c>
      <c r="B670">
        <v>594</v>
      </c>
      <c r="C670" t="s">
        <v>27476</v>
      </c>
    </row>
    <row r="671" spans="1:3" x14ac:dyDescent="0.15">
      <c r="A671">
        <v>801</v>
      </c>
      <c r="B671">
        <v>595</v>
      </c>
      <c r="C671" t="s">
        <v>27477</v>
      </c>
    </row>
    <row r="672" spans="1:3" x14ac:dyDescent="0.15">
      <c r="A672">
        <v>801</v>
      </c>
      <c r="B672">
        <v>596</v>
      </c>
      <c r="C672" t="s">
        <v>27478</v>
      </c>
    </row>
    <row r="673" spans="1:3" x14ac:dyDescent="0.15">
      <c r="A673">
        <v>801</v>
      </c>
      <c r="B673">
        <v>597</v>
      </c>
      <c r="C673" t="s">
        <v>27479</v>
      </c>
    </row>
    <row r="674" spans="1:3" x14ac:dyDescent="0.15">
      <c r="A674">
        <v>801</v>
      </c>
      <c r="B674">
        <v>598</v>
      </c>
      <c r="C674" t="s">
        <v>27480</v>
      </c>
    </row>
    <row r="675" spans="1:3" x14ac:dyDescent="0.15">
      <c r="A675">
        <v>801</v>
      </c>
      <c r="B675">
        <v>599</v>
      </c>
      <c r="C675" t="s">
        <v>27481</v>
      </c>
    </row>
    <row r="676" spans="1:3" x14ac:dyDescent="0.15">
      <c r="A676">
        <v>801</v>
      </c>
      <c r="B676">
        <v>600</v>
      </c>
      <c r="C676" t="s">
        <v>27482</v>
      </c>
    </row>
    <row r="677" spans="1:3" x14ac:dyDescent="0.15">
      <c r="A677">
        <v>801</v>
      </c>
      <c r="B677">
        <v>601</v>
      </c>
      <c r="C677" t="s">
        <v>27483</v>
      </c>
    </row>
    <row r="678" spans="1:3" x14ac:dyDescent="0.15">
      <c r="A678">
        <v>801</v>
      </c>
      <c r="B678">
        <v>602</v>
      </c>
      <c r="C678" t="s">
        <v>27484</v>
      </c>
    </row>
    <row r="679" spans="1:3" x14ac:dyDescent="0.15">
      <c r="A679">
        <v>801</v>
      </c>
      <c r="B679">
        <v>603</v>
      </c>
      <c r="C679" t="s">
        <v>27485</v>
      </c>
    </row>
    <row r="680" spans="1:3" x14ac:dyDescent="0.15">
      <c r="A680">
        <v>801</v>
      </c>
      <c r="B680">
        <v>604</v>
      </c>
      <c r="C680" t="s">
        <v>27486</v>
      </c>
    </row>
    <row r="681" spans="1:3" x14ac:dyDescent="0.15">
      <c r="A681">
        <v>801</v>
      </c>
      <c r="B681">
        <v>605</v>
      </c>
      <c r="C681" t="s">
        <v>27487</v>
      </c>
    </row>
    <row r="682" spans="1:3" x14ac:dyDescent="0.15">
      <c r="A682">
        <v>801</v>
      </c>
      <c r="B682">
        <v>610</v>
      </c>
      <c r="C682" t="s">
        <v>27488</v>
      </c>
    </row>
    <row r="683" spans="1:3" x14ac:dyDescent="0.15">
      <c r="A683">
        <v>801</v>
      </c>
      <c r="B683">
        <v>611</v>
      </c>
      <c r="C683" t="s">
        <v>27489</v>
      </c>
    </row>
    <row r="684" spans="1:3" x14ac:dyDescent="0.15">
      <c r="A684">
        <v>801</v>
      </c>
      <c r="B684">
        <v>612</v>
      </c>
      <c r="C684" t="s">
        <v>27490</v>
      </c>
    </row>
    <row r="685" spans="1:3" x14ac:dyDescent="0.15">
      <c r="A685">
        <v>801</v>
      </c>
      <c r="B685">
        <v>613</v>
      </c>
      <c r="C685" t="s">
        <v>27491</v>
      </c>
    </row>
    <row r="686" spans="1:3" x14ac:dyDescent="0.15">
      <c r="A686">
        <v>801</v>
      </c>
      <c r="B686">
        <v>614</v>
      </c>
      <c r="C686" t="s">
        <v>27492</v>
      </c>
    </row>
    <row r="687" spans="1:3" x14ac:dyDescent="0.15">
      <c r="A687">
        <v>801</v>
      </c>
      <c r="B687">
        <v>615</v>
      </c>
      <c r="C687" t="s">
        <v>27493</v>
      </c>
    </row>
    <row r="688" spans="1:3" x14ac:dyDescent="0.15">
      <c r="A688">
        <v>801</v>
      </c>
      <c r="B688">
        <v>616</v>
      </c>
      <c r="C688" t="s">
        <v>27494</v>
      </c>
    </row>
    <row r="689" spans="1:3" x14ac:dyDescent="0.15">
      <c r="A689">
        <v>801</v>
      </c>
      <c r="B689">
        <v>617</v>
      </c>
      <c r="C689" t="s">
        <v>27495</v>
      </c>
    </row>
    <row r="690" spans="1:3" x14ac:dyDescent="0.15">
      <c r="A690">
        <v>801</v>
      </c>
      <c r="B690">
        <v>618</v>
      </c>
      <c r="C690" t="s">
        <v>27496</v>
      </c>
    </row>
    <row r="691" spans="1:3" x14ac:dyDescent="0.15">
      <c r="A691">
        <v>801</v>
      </c>
      <c r="B691">
        <v>619</v>
      </c>
      <c r="C691" t="s">
        <v>27497</v>
      </c>
    </row>
    <row r="692" spans="1:3" x14ac:dyDescent="0.15">
      <c r="A692">
        <v>801</v>
      </c>
      <c r="B692">
        <v>621</v>
      </c>
      <c r="C692" t="s">
        <v>27498</v>
      </c>
    </row>
    <row r="693" spans="1:3" x14ac:dyDescent="0.15">
      <c r="A693">
        <v>801</v>
      </c>
      <c r="B693">
        <v>624</v>
      </c>
      <c r="C693" t="s">
        <v>27499</v>
      </c>
    </row>
    <row r="694" spans="1:3" x14ac:dyDescent="0.15">
      <c r="A694">
        <v>801</v>
      </c>
      <c r="B694">
        <v>625</v>
      </c>
      <c r="C694" t="s">
        <v>27500</v>
      </c>
    </row>
    <row r="695" spans="1:3" x14ac:dyDescent="0.15">
      <c r="A695">
        <v>801</v>
      </c>
      <c r="B695">
        <v>627</v>
      </c>
      <c r="C695" t="s">
        <v>27501</v>
      </c>
    </row>
    <row r="696" spans="1:3" x14ac:dyDescent="0.15">
      <c r="A696">
        <v>801</v>
      </c>
      <c r="B696">
        <v>629</v>
      </c>
      <c r="C696" t="s">
        <v>27502</v>
      </c>
    </row>
    <row r="697" spans="1:3" x14ac:dyDescent="0.15">
      <c r="A697">
        <v>801</v>
      </c>
      <c r="B697">
        <v>631</v>
      </c>
      <c r="C697" t="s">
        <v>27503</v>
      </c>
    </row>
    <row r="698" spans="1:3" x14ac:dyDescent="0.15">
      <c r="A698">
        <v>801</v>
      </c>
      <c r="B698">
        <v>634</v>
      </c>
      <c r="C698" t="s">
        <v>27504</v>
      </c>
    </row>
    <row r="699" spans="1:3" x14ac:dyDescent="0.15">
      <c r="A699">
        <v>801</v>
      </c>
      <c r="B699">
        <v>670</v>
      </c>
      <c r="C699" t="s">
        <v>27505</v>
      </c>
    </row>
    <row r="700" spans="1:3" x14ac:dyDescent="0.15">
      <c r="A700">
        <v>801</v>
      </c>
      <c r="B700">
        <v>672</v>
      </c>
      <c r="C700" t="s">
        <v>27506</v>
      </c>
    </row>
    <row r="701" spans="1:3" x14ac:dyDescent="0.15">
      <c r="A701">
        <v>801</v>
      </c>
      <c r="B701">
        <v>674</v>
      </c>
      <c r="C701" t="s">
        <v>27507</v>
      </c>
    </row>
    <row r="702" spans="1:3" x14ac:dyDescent="0.15">
      <c r="A702">
        <v>801</v>
      </c>
      <c r="B702">
        <v>676</v>
      </c>
      <c r="C702" t="s">
        <v>27508</v>
      </c>
    </row>
    <row r="703" spans="1:3" x14ac:dyDescent="0.15">
      <c r="A703">
        <v>801</v>
      </c>
      <c r="B703">
        <v>677</v>
      </c>
      <c r="C703" t="s">
        <v>27509</v>
      </c>
    </row>
    <row r="704" spans="1:3" x14ac:dyDescent="0.15">
      <c r="A704">
        <v>801</v>
      </c>
      <c r="B704">
        <v>678</v>
      </c>
      <c r="C704" t="s">
        <v>27510</v>
      </c>
    </row>
    <row r="705" spans="1:3" x14ac:dyDescent="0.15">
      <c r="A705">
        <v>801</v>
      </c>
      <c r="B705">
        <v>680</v>
      </c>
      <c r="C705" t="s">
        <v>27511</v>
      </c>
    </row>
    <row r="706" spans="1:3" x14ac:dyDescent="0.15">
      <c r="A706">
        <v>801</v>
      </c>
      <c r="B706">
        <v>681</v>
      </c>
      <c r="C706" t="s">
        <v>27512</v>
      </c>
    </row>
    <row r="707" spans="1:3" x14ac:dyDescent="0.15">
      <c r="A707">
        <v>801</v>
      </c>
      <c r="B707">
        <v>682</v>
      </c>
      <c r="C707" t="s">
        <v>27513</v>
      </c>
    </row>
    <row r="708" spans="1:3" x14ac:dyDescent="0.15">
      <c r="A708">
        <v>801</v>
      </c>
      <c r="B708">
        <v>683</v>
      </c>
      <c r="C708" t="s">
        <v>27514</v>
      </c>
    </row>
    <row r="709" spans="1:3" x14ac:dyDescent="0.15">
      <c r="A709">
        <v>801</v>
      </c>
      <c r="B709">
        <v>684</v>
      </c>
      <c r="C709" t="s">
        <v>27515</v>
      </c>
    </row>
    <row r="710" spans="1:3" x14ac:dyDescent="0.15">
      <c r="A710">
        <v>801</v>
      </c>
      <c r="B710">
        <v>685</v>
      </c>
      <c r="C710" t="s">
        <v>27516</v>
      </c>
    </row>
    <row r="711" spans="1:3" x14ac:dyDescent="0.15">
      <c r="A711">
        <v>801</v>
      </c>
      <c r="B711">
        <v>686</v>
      </c>
      <c r="C711" t="s">
        <v>27517</v>
      </c>
    </row>
    <row r="712" spans="1:3" x14ac:dyDescent="0.15">
      <c r="A712">
        <v>801</v>
      </c>
      <c r="B712">
        <v>699</v>
      </c>
      <c r="C712" t="s">
        <v>27518</v>
      </c>
    </row>
    <row r="713" spans="1:3" x14ac:dyDescent="0.15">
      <c r="A713">
        <v>801</v>
      </c>
      <c r="B713">
        <v>700</v>
      </c>
      <c r="C713" t="s">
        <v>27519</v>
      </c>
    </row>
    <row r="714" spans="1:3" x14ac:dyDescent="0.15">
      <c r="A714">
        <v>801</v>
      </c>
      <c r="B714">
        <v>701</v>
      </c>
      <c r="C714" t="s">
        <v>27520</v>
      </c>
    </row>
    <row r="715" spans="1:3" x14ac:dyDescent="0.15">
      <c r="A715">
        <v>801</v>
      </c>
      <c r="B715">
        <v>702</v>
      </c>
      <c r="C715" t="s">
        <v>27521</v>
      </c>
    </row>
    <row r="716" spans="1:3" x14ac:dyDescent="0.15">
      <c r="A716">
        <v>801</v>
      </c>
      <c r="B716">
        <v>703</v>
      </c>
      <c r="C716" t="s">
        <v>27522</v>
      </c>
    </row>
    <row r="717" spans="1:3" x14ac:dyDescent="0.15">
      <c r="A717">
        <v>801</v>
      </c>
      <c r="B717">
        <v>704</v>
      </c>
      <c r="C717" t="s">
        <v>27523</v>
      </c>
    </row>
    <row r="718" spans="1:3" x14ac:dyDescent="0.15">
      <c r="A718">
        <v>801</v>
      </c>
      <c r="B718">
        <v>705</v>
      </c>
      <c r="C718" t="s">
        <v>27524</v>
      </c>
    </row>
    <row r="719" spans="1:3" x14ac:dyDescent="0.15">
      <c r="A719">
        <v>801</v>
      </c>
      <c r="B719">
        <v>706</v>
      </c>
      <c r="C719" t="s">
        <v>27525</v>
      </c>
    </row>
    <row r="720" spans="1:3" x14ac:dyDescent="0.15">
      <c r="A720">
        <v>801</v>
      </c>
      <c r="B720">
        <v>708</v>
      </c>
      <c r="C720" t="s">
        <v>27526</v>
      </c>
    </row>
    <row r="721" spans="1:3" x14ac:dyDescent="0.15">
      <c r="A721">
        <v>801</v>
      </c>
      <c r="B721">
        <v>709</v>
      </c>
      <c r="C721" t="s">
        <v>27527</v>
      </c>
    </row>
    <row r="722" spans="1:3" x14ac:dyDescent="0.15">
      <c r="A722">
        <v>801</v>
      </c>
      <c r="B722">
        <v>710</v>
      </c>
      <c r="C722" t="s">
        <v>27528</v>
      </c>
    </row>
    <row r="723" spans="1:3" x14ac:dyDescent="0.15">
      <c r="A723">
        <v>801</v>
      </c>
      <c r="B723">
        <v>711</v>
      </c>
      <c r="C723" t="s">
        <v>27529</v>
      </c>
    </row>
    <row r="724" spans="1:3" x14ac:dyDescent="0.15">
      <c r="A724">
        <v>801</v>
      </c>
      <c r="B724">
        <v>712</v>
      </c>
      <c r="C724" t="s">
        <v>27530</v>
      </c>
    </row>
    <row r="725" spans="1:3" x14ac:dyDescent="0.15">
      <c r="A725">
        <v>801</v>
      </c>
      <c r="B725">
        <v>713</v>
      </c>
      <c r="C725" t="s">
        <v>27531</v>
      </c>
    </row>
    <row r="726" spans="1:3" x14ac:dyDescent="0.15">
      <c r="A726">
        <v>801</v>
      </c>
      <c r="B726">
        <v>714</v>
      </c>
      <c r="C726" t="s">
        <v>27532</v>
      </c>
    </row>
    <row r="727" spans="1:3" x14ac:dyDescent="0.15">
      <c r="A727">
        <v>801</v>
      </c>
      <c r="B727">
        <v>715</v>
      </c>
      <c r="C727" t="s">
        <v>27533</v>
      </c>
    </row>
    <row r="728" spans="1:3" x14ac:dyDescent="0.15">
      <c r="A728">
        <v>801</v>
      </c>
      <c r="B728">
        <v>718</v>
      </c>
      <c r="C728" t="s">
        <v>27534</v>
      </c>
    </row>
    <row r="729" spans="1:3" x14ac:dyDescent="0.15">
      <c r="A729">
        <v>801</v>
      </c>
      <c r="B729">
        <v>719</v>
      </c>
      <c r="C729" t="s">
        <v>27535</v>
      </c>
    </row>
    <row r="730" spans="1:3" x14ac:dyDescent="0.15">
      <c r="A730">
        <v>801</v>
      </c>
      <c r="B730">
        <v>720</v>
      </c>
      <c r="C730" t="s">
        <v>27536</v>
      </c>
    </row>
    <row r="731" spans="1:3" x14ac:dyDescent="0.15">
      <c r="A731">
        <v>801</v>
      </c>
      <c r="B731">
        <v>721</v>
      </c>
      <c r="C731" t="s">
        <v>27537</v>
      </c>
    </row>
    <row r="732" spans="1:3" x14ac:dyDescent="0.15">
      <c r="A732">
        <v>801</v>
      </c>
      <c r="B732">
        <v>722</v>
      </c>
      <c r="C732" t="s">
        <v>27538</v>
      </c>
    </row>
    <row r="733" spans="1:3" x14ac:dyDescent="0.15">
      <c r="A733">
        <v>801</v>
      </c>
      <c r="B733">
        <v>723</v>
      </c>
      <c r="C733" t="s">
        <v>27539</v>
      </c>
    </row>
    <row r="734" spans="1:3" x14ac:dyDescent="0.15">
      <c r="A734">
        <v>801</v>
      </c>
      <c r="B734">
        <v>724</v>
      </c>
      <c r="C734" t="s">
        <v>27540</v>
      </c>
    </row>
    <row r="735" spans="1:3" x14ac:dyDescent="0.15">
      <c r="A735">
        <v>801</v>
      </c>
      <c r="B735">
        <v>725</v>
      </c>
      <c r="C735" t="s">
        <v>27541</v>
      </c>
    </row>
    <row r="736" spans="1:3" x14ac:dyDescent="0.15">
      <c r="A736">
        <v>801</v>
      </c>
      <c r="B736">
        <v>726</v>
      </c>
      <c r="C736" t="s">
        <v>27542</v>
      </c>
    </row>
    <row r="737" spans="1:3" x14ac:dyDescent="0.15">
      <c r="A737">
        <v>801</v>
      </c>
      <c r="B737">
        <v>727</v>
      </c>
      <c r="C737" t="s">
        <v>27543</v>
      </c>
    </row>
    <row r="738" spans="1:3" x14ac:dyDescent="0.15">
      <c r="A738">
        <v>801</v>
      </c>
      <c r="B738">
        <v>728</v>
      </c>
      <c r="C738" t="s">
        <v>27544</v>
      </c>
    </row>
    <row r="739" spans="1:3" x14ac:dyDescent="0.15">
      <c r="A739">
        <v>801</v>
      </c>
      <c r="B739">
        <v>729</v>
      </c>
      <c r="C739" t="s">
        <v>27545</v>
      </c>
    </row>
    <row r="740" spans="1:3" x14ac:dyDescent="0.15">
      <c r="A740">
        <v>801</v>
      </c>
      <c r="B740">
        <v>730</v>
      </c>
      <c r="C740" t="s">
        <v>27546</v>
      </c>
    </row>
    <row r="741" spans="1:3" x14ac:dyDescent="0.15">
      <c r="A741">
        <v>801</v>
      </c>
      <c r="B741">
        <v>731</v>
      </c>
      <c r="C741" t="s">
        <v>27547</v>
      </c>
    </row>
    <row r="742" spans="1:3" x14ac:dyDescent="0.15">
      <c r="A742">
        <v>801</v>
      </c>
      <c r="B742">
        <v>732</v>
      </c>
      <c r="C742" t="s">
        <v>27548</v>
      </c>
    </row>
    <row r="743" spans="1:3" x14ac:dyDescent="0.15">
      <c r="A743">
        <v>801</v>
      </c>
      <c r="B743">
        <v>733</v>
      </c>
      <c r="C743" t="s">
        <v>27549</v>
      </c>
    </row>
    <row r="744" spans="1:3" x14ac:dyDescent="0.15">
      <c r="A744">
        <v>801</v>
      </c>
      <c r="B744">
        <v>734</v>
      </c>
      <c r="C744" t="s">
        <v>27550</v>
      </c>
    </row>
    <row r="745" spans="1:3" x14ac:dyDescent="0.15">
      <c r="A745">
        <v>801</v>
      </c>
      <c r="B745">
        <v>735</v>
      </c>
      <c r="C745" t="s">
        <v>27551</v>
      </c>
    </row>
    <row r="746" spans="1:3" x14ac:dyDescent="0.15">
      <c r="A746">
        <v>801</v>
      </c>
      <c r="B746">
        <v>739</v>
      </c>
      <c r="C746" t="s">
        <v>27552</v>
      </c>
    </row>
    <row r="747" spans="1:3" x14ac:dyDescent="0.15">
      <c r="A747">
        <v>801</v>
      </c>
      <c r="B747">
        <v>740</v>
      </c>
      <c r="C747" t="s">
        <v>27553</v>
      </c>
    </row>
    <row r="748" spans="1:3" x14ac:dyDescent="0.15">
      <c r="A748">
        <v>801</v>
      </c>
      <c r="B748">
        <v>741</v>
      </c>
      <c r="C748" t="s">
        <v>27554</v>
      </c>
    </row>
    <row r="749" spans="1:3" x14ac:dyDescent="0.15">
      <c r="A749">
        <v>801</v>
      </c>
      <c r="B749">
        <v>745</v>
      </c>
      <c r="C749" t="s">
        <v>27555</v>
      </c>
    </row>
    <row r="750" spans="1:3" x14ac:dyDescent="0.15">
      <c r="A750">
        <v>801</v>
      </c>
      <c r="B750">
        <v>746</v>
      </c>
      <c r="C750" t="s">
        <v>27556</v>
      </c>
    </row>
    <row r="751" spans="1:3" x14ac:dyDescent="0.15">
      <c r="A751">
        <v>801</v>
      </c>
      <c r="B751">
        <v>747</v>
      </c>
      <c r="C751" t="s">
        <v>27557</v>
      </c>
    </row>
    <row r="752" spans="1:3" x14ac:dyDescent="0.15">
      <c r="A752">
        <v>801</v>
      </c>
      <c r="B752">
        <v>748</v>
      </c>
      <c r="C752" t="s">
        <v>27558</v>
      </c>
    </row>
    <row r="753" spans="1:3" x14ac:dyDescent="0.15">
      <c r="A753">
        <v>801</v>
      </c>
      <c r="B753">
        <v>749</v>
      </c>
      <c r="C753" t="s">
        <v>27559</v>
      </c>
    </row>
    <row r="754" spans="1:3" x14ac:dyDescent="0.15">
      <c r="A754">
        <v>801</v>
      </c>
      <c r="B754">
        <v>750</v>
      </c>
      <c r="C754" t="s">
        <v>27560</v>
      </c>
    </row>
    <row r="755" spans="1:3" x14ac:dyDescent="0.15">
      <c r="A755">
        <v>801</v>
      </c>
      <c r="B755">
        <v>751</v>
      </c>
      <c r="C755" t="s">
        <v>27561</v>
      </c>
    </row>
    <row r="756" spans="1:3" x14ac:dyDescent="0.15">
      <c r="A756">
        <v>801</v>
      </c>
      <c r="B756">
        <v>752</v>
      </c>
      <c r="C756" t="s">
        <v>27562</v>
      </c>
    </row>
    <row r="757" spans="1:3" x14ac:dyDescent="0.15">
      <c r="A757">
        <v>801</v>
      </c>
      <c r="B757">
        <v>753</v>
      </c>
      <c r="C757" t="s">
        <v>27563</v>
      </c>
    </row>
    <row r="758" spans="1:3" x14ac:dyDescent="0.15">
      <c r="A758">
        <v>801</v>
      </c>
      <c r="B758">
        <v>758</v>
      </c>
      <c r="C758" t="s">
        <v>27564</v>
      </c>
    </row>
    <row r="759" spans="1:3" x14ac:dyDescent="0.15">
      <c r="A759">
        <v>801</v>
      </c>
      <c r="B759">
        <v>760</v>
      </c>
      <c r="C759" t="s">
        <v>27565</v>
      </c>
    </row>
    <row r="760" spans="1:3" x14ac:dyDescent="0.15">
      <c r="A760">
        <v>801</v>
      </c>
      <c r="B760">
        <v>761</v>
      </c>
      <c r="C760" t="s">
        <v>27566</v>
      </c>
    </row>
    <row r="761" spans="1:3" x14ac:dyDescent="0.15">
      <c r="A761">
        <v>801</v>
      </c>
      <c r="B761">
        <v>762</v>
      </c>
      <c r="C761" t="s">
        <v>27567</v>
      </c>
    </row>
    <row r="762" spans="1:3" x14ac:dyDescent="0.15">
      <c r="A762">
        <v>801</v>
      </c>
      <c r="B762">
        <v>764</v>
      </c>
      <c r="C762" t="s">
        <v>27568</v>
      </c>
    </row>
    <row r="763" spans="1:3" x14ac:dyDescent="0.15">
      <c r="A763">
        <v>801</v>
      </c>
      <c r="B763">
        <v>765</v>
      </c>
      <c r="C763" t="s">
        <v>27569</v>
      </c>
    </row>
    <row r="764" spans="1:3" x14ac:dyDescent="0.15">
      <c r="A764">
        <v>801</v>
      </c>
      <c r="B764">
        <v>766</v>
      </c>
      <c r="C764" t="s">
        <v>27570</v>
      </c>
    </row>
    <row r="765" spans="1:3" x14ac:dyDescent="0.15">
      <c r="A765">
        <v>801</v>
      </c>
      <c r="B765">
        <v>768</v>
      </c>
      <c r="C765" t="s">
        <v>27571</v>
      </c>
    </row>
    <row r="766" spans="1:3" x14ac:dyDescent="0.15">
      <c r="A766">
        <v>801</v>
      </c>
      <c r="B766">
        <v>770</v>
      </c>
      <c r="C766" t="s">
        <v>27572</v>
      </c>
    </row>
    <row r="767" spans="1:3" x14ac:dyDescent="0.15">
      <c r="A767">
        <v>801</v>
      </c>
      <c r="B767">
        <v>780</v>
      </c>
      <c r="C767" t="s">
        <v>27573</v>
      </c>
    </row>
    <row r="768" spans="1:3" x14ac:dyDescent="0.15">
      <c r="A768">
        <v>801</v>
      </c>
      <c r="B768">
        <v>781</v>
      </c>
      <c r="C768" t="s">
        <v>27574</v>
      </c>
    </row>
    <row r="769" spans="1:3" x14ac:dyDescent="0.15">
      <c r="A769">
        <v>801</v>
      </c>
      <c r="B769">
        <v>782</v>
      </c>
      <c r="C769" t="s">
        <v>27575</v>
      </c>
    </row>
    <row r="770" spans="1:3" x14ac:dyDescent="0.15">
      <c r="A770">
        <v>801</v>
      </c>
      <c r="B770">
        <v>783</v>
      </c>
      <c r="C770" t="s">
        <v>27576</v>
      </c>
    </row>
    <row r="771" spans="1:3" x14ac:dyDescent="0.15">
      <c r="A771">
        <v>801</v>
      </c>
      <c r="B771">
        <v>990</v>
      </c>
      <c r="C771" t="s">
        <v>27577</v>
      </c>
    </row>
    <row r="772" spans="1:3" x14ac:dyDescent="0.15">
      <c r="A772">
        <v>801</v>
      </c>
      <c r="B772">
        <v>991</v>
      </c>
      <c r="C772" t="s">
        <v>27578</v>
      </c>
    </row>
    <row r="773" spans="1:3" x14ac:dyDescent="0.15">
      <c r="A773">
        <v>801</v>
      </c>
      <c r="B773">
        <v>992</v>
      </c>
      <c r="C773" t="s">
        <v>27579</v>
      </c>
    </row>
    <row r="774" spans="1:3" x14ac:dyDescent="0.15">
      <c r="A774">
        <v>801</v>
      </c>
      <c r="B774">
        <v>993</v>
      </c>
      <c r="C774" t="s">
        <v>27580</v>
      </c>
    </row>
    <row r="775" spans="1:3" x14ac:dyDescent="0.15">
      <c r="A775">
        <v>801</v>
      </c>
      <c r="B775">
        <v>994</v>
      </c>
      <c r="C775" t="s">
        <v>27581</v>
      </c>
    </row>
    <row r="776" spans="1:3" x14ac:dyDescent="0.15">
      <c r="A776">
        <v>801</v>
      </c>
      <c r="B776">
        <v>995</v>
      </c>
      <c r="C776" t="s">
        <v>27582</v>
      </c>
    </row>
    <row r="777" spans="1:3" x14ac:dyDescent="0.15">
      <c r="A777">
        <v>801</v>
      </c>
      <c r="B777">
        <v>996</v>
      </c>
      <c r="C777" t="s">
        <v>27583</v>
      </c>
    </row>
    <row r="778" spans="1:3" x14ac:dyDescent="0.15">
      <c r="A778">
        <v>801</v>
      </c>
      <c r="B778">
        <v>997</v>
      </c>
      <c r="C778" t="s">
        <v>27584</v>
      </c>
    </row>
    <row r="779" spans="1:3" x14ac:dyDescent="0.15">
      <c r="A779">
        <v>801</v>
      </c>
      <c r="B779">
        <v>998</v>
      </c>
      <c r="C779" t="s">
        <v>27585</v>
      </c>
    </row>
    <row r="780" spans="1:3" x14ac:dyDescent="0.15">
      <c r="A780">
        <v>801</v>
      </c>
      <c r="B780">
        <v>999</v>
      </c>
      <c r="C780" t="s">
        <v>27586</v>
      </c>
    </row>
    <row r="781" spans="1:3" x14ac:dyDescent="0.15">
      <c r="A781">
        <v>801</v>
      </c>
      <c r="B781" t="s">
        <v>27587</v>
      </c>
      <c r="C781" t="s">
        <v>27588</v>
      </c>
    </row>
    <row r="782" spans="1:3" x14ac:dyDescent="0.15">
      <c r="A782">
        <v>801</v>
      </c>
      <c r="B782" t="s">
        <v>27589</v>
      </c>
      <c r="C782" t="s">
        <v>27590</v>
      </c>
    </row>
    <row r="783" spans="1:3" x14ac:dyDescent="0.15">
      <c r="A783">
        <v>801</v>
      </c>
      <c r="B783" t="s">
        <v>27591</v>
      </c>
      <c r="C783" t="s">
        <v>27592</v>
      </c>
    </row>
    <row r="784" spans="1:3" x14ac:dyDescent="0.15">
      <c r="A784">
        <v>801</v>
      </c>
      <c r="B784" t="s">
        <v>27593</v>
      </c>
      <c r="C784" t="s">
        <v>27594</v>
      </c>
    </row>
    <row r="785" spans="1:3" x14ac:dyDescent="0.15">
      <c r="A785">
        <v>801</v>
      </c>
      <c r="B785" t="s">
        <v>27595</v>
      </c>
      <c r="C785" t="s">
        <v>27596</v>
      </c>
    </row>
    <row r="786" spans="1:3" x14ac:dyDescent="0.15">
      <c r="A786">
        <v>801</v>
      </c>
      <c r="B786" t="s">
        <v>27597</v>
      </c>
      <c r="C786" t="s">
        <v>27598</v>
      </c>
    </row>
    <row r="787" spans="1:3" x14ac:dyDescent="0.15">
      <c r="A787">
        <v>801</v>
      </c>
      <c r="B787" t="s">
        <v>27599</v>
      </c>
      <c r="C787" t="s">
        <v>27600</v>
      </c>
    </row>
    <row r="788" spans="1:3" x14ac:dyDescent="0.15">
      <c r="A788">
        <v>801</v>
      </c>
      <c r="B788" t="s">
        <v>27601</v>
      </c>
      <c r="C788" t="s">
        <v>27602</v>
      </c>
    </row>
    <row r="789" spans="1:3" x14ac:dyDescent="0.15">
      <c r="A789">
        <v>801</v>
      </c>
      <c r="B789" t="s">
        <v>27603</v>
      </c>
      <c r="C789" t="s">
        <v>27604</v>
      </c>
    </row>
    <row r="790" spans="1:3" x14ac:dyDescent="0.15">
      <c r="A790">
        <v>801</v>
      </c>
      <c r="B790" t="s">
        <v>27605</v>
      </c>
      <c r="C790" t="s">
        <v>27606</v>
      </c>
    </row>
    <row r="791" spans="1:3" x14ac:dyDescent="0.15">
      <c r="A791">
        <v>801</v>
      </c>
      <c r="B791" t="s">
        <v>27607</v>
      </c>
      <c r="C791" t="s">
        <v>27608</v>
      </c>
    </row>
    <row r="792" spans="1:3" x14ac:dyDescent="0.15">
      <c r="A792">
        <v>801</v>
      </c>
      <c r="B792" t="s">
        <v>27609</v>
      </c>
      <c r="C792" t="s">
        <v>27610</v>
      </c>
    </row>
    <row r="793" spans="1:3" x14ac:dyDescent="0.15">
      <c r="A793">
        <v>801</v>
      </c>
      <c r="B793" t="s">
        <v>27611</v>
      </c>
      <c r="C793" t="s">
        <v>27612</v>
      </c>
    </row>
    <row r="794" spans="1:3" x14ac:dyDescent="0.15">
      <c r="A794">
        <v>801</v>
      </c>
      <c r="B794" t="s">
        <v>27613</v>
      </c>
      <c r="C794" t="s">
        <v>27614</v>
      </c>
    </row>
    <row r="795" spans="1:3" x14ac:dyDescent="0.15">
      <c r="A795">
        <v>801</v>
      </c>
      <c r="B795" t="s">
        <v>27615</v>
      </c>
      <c r="C795" t="s">
        <v>27616</v>
      </c>
    </row>
    <row r="796" spans="1:3" x14ac:dyDescent="0.15">
      <c r="A796">
        <v>801</v>
      </c>
      <c r="B796" t="s">
        <v>27617</v>
      </c>
      <c r="C796" t="s">
        <v>27618</v>
      </c>
    </row>
    <row r="797" spans="1:3" x14ac:dyDescent="0.15">
      <c r="A797">
        <v>801</v>
      </c>
      <c r="B797" t="s">
        <v>27619</v>
      </c>
      <c r="C797" t="s">
        <v>27620</v>
      </c>
    </row>
    <row r="798" spans="1:3" x14ac:dyDescent="0.15">
      <c r="A798">
        <v>801</v>
      </c>
      <c r="B798" t="s">
        <v>27621</v>
      </c>
      <c r="C798" t="s">
        <v>27622</v>
      </c>
    </row>
    <row r="799" spans="1:3" x14ac:dyDescent="0.15">
      <c r="A799">
        <v>801</v>
      </c>
      <c r="B799" t="s">
        <v>27623</v>
      </c>
      <c r="C799" t="s">
        <v>27624</v>
      </c>
    </row>
    <row r="800" spans="1:3" x14ac:dyDescent="0.15">
      <c r="A800">
        <v>801</v>
      </c>
      <c r="B800" t="s">
        <v>27625</v>
      </c>
      <c r="C800" t="s">
        <v>27626</v>
      </c>
    </row>
    <row r="801" spans="1:3" x14ac:dyDescent="0.15">
      <c r="A801">
        <v>801</v>
      </c>
      <c r="B801" t="s">
        <v>27627</v>
      </c>
      <c r="C801" t="s">
        <v>27628</v>
      </c>
    </row>
    <row r="802" spans="1:3" x14ac:dyDescent="0.15">
      <c r="A802">
        <v>801</v>
      </c>
      <c r="B802" t="s">
        <v>27629</v>
      </c>
      <c r="C802" t="s">
        <v>27630</v>
      </c>
    </row>
    <row r="803" spans="1:3" x14ac:dyDescent="0.15">
      <c r="A803">
        <v>801</v>
      </c>
      <c r="B803" t="s">
        <v>27631</v>
      </c>
      <c r="C803" t="s">
        <v>27632</v>
      </c>
    </row>
    <row r="804" spans="1:3" x14ac:dyDescent="0.15">
      <c r="A804">
        <v>801</v>
      </c>
      <c r="B804" t="s">
        <v>27139</v>
      </c>
      <c r="C804" t="s">
        <v>27633</v>
      </c>
    </row>
    <row r="805" spans="1:3" x14ac:dyDescent="0.15">
      <c r="A805">
        <v>801</v>
      </c>
      <c r="B805" t="s">
        <v>27634</v>
      </c>
      <c r="C805" t="s">
        <v>27635</v>
      </c>
    </row>
    <row r="806" spans="1:3" x14ac:dyDescent="0.15">
      <c r="A806">
        <v>801</v>
      </c>
      <c r="B806" t="s">
        <v>27636</v>
      </c>
      <c r="C806" t="s">
        <v>27637</v>
      </c>
    </row>
    <row r="807" spans="1:3" x14ac:dyDescent="0.15">
      <c r="A807">
        <v>801</v>
      </c>
      <c r="B807" t="s">
        <v>27638</v>
      </c>
      <c r="C807" t="s">
        <v>27639</v>
      </c>
    </row>
    <row r="808" spans="1:3" x14ac:dyDescent="0.15">
      <c r="A808">
        <v>801</v>
      </c>
      <c r="B808" t="s">
        <v>27640</v>
      </c>
      <c r="C808" t="s">
        <v>27641</v>
      </c>
    </row>
    <row r="809" spans="1:3" x14ac:dyDescent="0.15">
      <c r="A809">
        <v>801</v>
      </c>
      <c r="B809" t="s">
        <v>27642</v>
      </c>
      <c r="C809" t="s">
        <v>27643</v>
      </c>
    </row>
    <row r="810" spans="1:3" x14ac:dyDescent="0.15">
      <c r="A810">
        <v>801</v>
      </c>
      <c r="B810" t="s">
        <v>27644</v>
      </c>
      <c r="C810" t="s">
        <v>27645</v>
      </c>
    </row>
    <row r="811" spans="1:3" x14ac:dyDescent="0.15">
      <c r="A811">
        <v>801</v>
      </c>
      <c r="B811" t="s">
        <v>27646</v>
      </c>
      <c r="C811" t="s">
        <v>27647</v>
      </c>
    </row>
    <row r="812" spans="1:3" x14ac:dyDescent="0.15">
      <c r="A812">
        <v>801</v>
      </c>
      <c r="B812" t="s">
        <v>27648</v>
      </c>
      <c r="C812" t="s">
        <v>27649</v>
      </c>
    </row>
    <row r="813" spans="1:3" x14ac:dyDescent="0.15">
      <c r="A813">
        <v>801</v>
      </c>
      <c r="B813" t="s">
        <v>27650</v>
      </c>
      <c r="C813" t="s">
        <v>27651</v>
      </c>
    </row>
    <row r="814" spans="1:3" x14ac:dyDescent="0.15">
      <c r="A814">
        <v>801</v>
      </c>
      <c r="B814" t="s">
        <v>27652</v>
      </c>
      <c r="C814" t="s">
        <v>27653</v>
      </c>
    </row>
    <row r="815" spans="1:3" x14ac:dyDescent="0.15">
      <c r="A815">
        <v>801</v>
      </c>
      <c r="B815" t="s">
        <v>27654</v>
      </c>
      <c r="C815" t="s">
        <v>27655</v>
      </c>
    </row>
    <row r="816" spans="1:3" x14ac:dyDescent="0.15">
      <c r="A816">
        <v>801</v>
      </c>
      <c r="B816" t="s">
        <v>27656</v>
      </c>
      <c r="C816" t="s">
        <v>27352</v>
      </c>
    </row>
    <row r="817" spans="1:3" x14ac:dyDescent="0.15">
      <c r="A817">
        <v>801</v>
      </c>
      <c r="B817" t="s">
        <v>27657</v>
      </c>
      <c r="C817" t="s">
        <v>27658</v>
      </c>
    </row>
    <row r="818" spans="1:3" x14ac:dyDescent="0.15">
      <c r="A818">
        <v>801</v>
      </c>
      <c r="B818" t="s">
        <v>27659</v>
      </c>
      <c r="C818" t="s">
        <v>27660</v>
      </c>
    </row>
    <row r="819" spans="1:3" x14ac:dyDescent="0.15">
      <c r="A819">
        <v>801</v>
      </c>
      <c r="B819" t="s">
        <v>27661</v>
      </c>
      <c r="C819" t="s">
        <v>27662</v>
      </c>
    </row>
    <row r="820" spans="1:3" x14ac:dyDescent="0.15">
      <c r="A820">
        <v>801</v>
      </c>
      <c r="B820" t="s">
        <v>27663</v>
      </c>
      <c r="C820" t="s">
        <v>27664</v>
      </c>
    </row>
    <row r="821" spans="1:3" x14ac:dyDescent="0.15">
      <c r="A821">
        <v>801</v>
      </c>
      <c r="B821" t="s">
        <v>27665</v>
      </c>
      <c r="C821" t="s">
        <v>27666</v>
      </c>
    </row>
    <row r="822" spans="1:3" x14ac:dyDescent="0.15">
      <c r="A822">
        <v>801</v>
      </c>
      <c r="B822" t="s">
        <v>27667</v>
      </c>
      <c r="C822" t="s">
        <v>27668</v>
      </c>
    </row>
    <row r="823" spans="1:3" x14ac:dyDescent="0.15">
      <c r="A823">
        <v>801</v>
      </c>
      <c r="B823" t="s">
        <v>27669</v>
      </c>
      <c r="C823" t="s">
        <v>27670</v>
      </c>
    </row>
    <row r="824" spans="1:3" x14ac:dyDescent="0.15">
      <c r="A824">
        <v>801</v>
      </c>
      <c r="B824" t="s">
        <v>27671</v>
      </c>
      <c r="C824" t="s">
        <v>27672</v>
      </c>
    </row>
    <row r="825" spans="1:3" x14ac:dyDescent="0.15">
      <c r="A825">
        <v>801</v>
      </c>
      <c r="B825" t="s">
        <v>27673</v>
      </c>
      <c r="C825" t="s">
        <v>27674</v>
      </c>
    </row>
    <row r="826" spans="1:3" x14ac:dyDescent="0.15">
      <c r="A826">
        <v>801</v>
      </c>
      <c r="B826" t="s">
        <v>27675</v>
      </c>
      <c r="C826" t="s">
        <v>27676</v>
      </c>
    </row>
    <row r="827" spans="1:3" x14ac:dyDescent="0.15">
      <c r="A827">
        <v>801</v>
      </c>
      <c r="B827" t="s">
        <v>27677</v>
      </c>
      <c r="C827" t="s">
        <v>27678</v>
      </c>
    </row>
    <row r="828" spans="1:3" x14ac:dyDescent="0.15">
      <c r="A828">
        <v>801</v>
      </c>
      <c r="B828" t="s">
        <v>27679</v>
      </c>
      <c r="C828" t="s">
        <v>27680</v>
      </c>
    </row>
    <row r="829" spans="1:3" x14ac:dyDescent="0.15">
      <c r="A829">
        <v>801</v>
      </c>
      <c r="B829" t="s">
        <v>27681</v>
      </c>
      <c r="C829" t="s">
        <v>27682</v>
      </c>
    </row>
    <row r="830" spans="1:3" x14ac:dyDescent="0.15">
      <c r="A830">
        <v>801</v>
      </c>
      <c r="B830" t="s">
        <v>27683</v>
      </c>
      <c r="C830" t="s">
        <v>27684</v>
      </c>
    </row>
    <row r="831" spans="1:3" x14ac:dyDescent="0.15">
      <c r="A831">
        <v>801</v>
      </c>
      <c r="B831" t="s">
        <v>27685</v>
      </c>
      <c r="C831" t="s">
        <v>27686</v>
      </c>
    </row>
    <row r="832" spans="1:3" x14ac:dyDescent="0.15">
      <c r="A832">
        <v>801</v>
      </c>
      <c r="B832" t="s">
        <v>27687</v>
      </c>
      <c r="C832" t="s">
        <v>27688</v>
      </c>
    </row>
    <row r="833" spans="1:3" x14ac:dyDescent="0.15">
      <c r="A833">
        <v>801</v>
      </c>
      <c r="B833" t="s">
        <v>27689</v>
      </c>
      <c r="C833" t="s">
        <v>27690</v>
      </c>
    </row>
    <row r="834" spans="1:3" x14ac:dyDescent="0.15">
      <c r="A834">
        <v>801</v>
      </c>
      <c r="B834" t="s">
        <v>27691</v>
      </c>
      <c r="C834" t="s">
        <v>27692</v>
      </c>
    </row>
    <row r="835" spans="1:3" x14ac:dyDescent="0.15">
      <c r="A835">
        <v>801</v>
      </c>
      <c r="B835" t="s">
        <v>27693</v>
      </c>
      <c r="C835" t="s">
        <v>27694</v>
      </c>
    </row>
    <row r="836" spans="1:3" x14ac:dyDescent="0.15">
      <c r="A836">
        <v>801</v>
      </c>
      <c r="B836" t="s">
        <v>27695</v>
      </c>
      <c r="C836" t="s">
        <v>27696</v>
      </c>
    </row>
    <row r="837" spans="1:3" x14ac:dyDescent="0.15">
      <c r="A837">
        <v>801</v>
      </c>
      <c r="B837" t="s">
        <v>27697</v>
      </c>
      <c r="C837" t="s">
        <v>27698</v>
      </c>
    </row>
    <row r="838" spans="1:3" x14ac:dyDescent="0.15">
      <c r="A838">
        <v>801</v>
      </c>
      <c r="B838" t="s">
        <v>27699</v>
      </c>
      <c r="C838" t="s">
        <v>27700</v>
      </c>
    </row>
    <row r="839" spans="1:3" x14ac:dyDescent="0.15">
      <c r="A839">
        <v>801</v>
      </c>
      <c r="B839" t="s">
        <v>27701</v>
      </c>
      <c r="C839" t="s">
        <v>27702</v>
      </c>
    </row>
    <row r="840" spans="1:3" x14ac:dyDescent="0.15">
      <c r="A840">
        <v>801</v>
      </c>
      <c r="B840" t="s">
        <v>27703</v>
      </c>
      <c r="C840" t="s">
        <v>27704</v>
      </c>
    </row>
    <row r="841" spans="1:3" x14ac:dyDescent="0.15">
      <c r="A841">
        <v>801</v>
      </c>
      <c r="B841" t="s">
        <v>27705</v>
      </c>
      <c r="C841" t="s">
        <v>27706</v>
      </c>
    </row>
    <row r="842" spans="1:3" x14ac:dyDescent="0.15">
      <c r="A842">
        <v>801</v>
      </c>
      <c r="B842" t="s">
        <v>27707</v>
      </c>
      <c r="C842" t="s">
        <v>27708</v>
      </c>
    </row>
    <row r="843" spans="1:3" x14ac:dyDescent="0.15">
      <c r="A843">
        <v>801</v>
      </c>
      <c r="B843" t="s">
        <v>27709</v>
      </c>
      <c r="C843" t="s">
        <v>27710</v>
      </c>
    </row>
    <row r="844" spans="1:3" x14ac:dyDescent="0.15">
      <c r="A844">
        <v>801</v>
      </c>
      <c r="B844" t="s">
        <v>27711</v>
      </c>
      <c r="C844" t="s">
        <v>27712</v>
      </c>
    </row>
    <row r="845" spans="1:3" x14ac:dyDescent="0.15">
      <c r="A845">
        <v>801</v>
      </c>
      <c r="B845" t="s">
        <v>27713</v>
      </c>
      <c r="C845" t="s">
        <v>27714</v>
      </c>
    </row>
    <row r="846" spans="1:3" x14ac:dyDescent="0.15">
      <c r="A846">
        <v>801</v>
      </c>
      <c r="B846" t="s">
        <v>27715</v>
      </c>
      <c r="C846" t="s">
        <v>27716</v>
      </c>
    </row>
    <row r="847" spans="1:3" x14ac:dyDescent="0.15">
      <c r="A847">
        <v>801</v>
      </c>
      <c r="B847" t="s">
        <v>27717</v>
      </c>
      <c r="C847" t="s">
        <v>27718</v>
      </c>
    </row>
    <row r="848" spans="1:3" x14ac:dyDescent="0.15">
      <c r="A848">
        <v>801</v>
      </c>
      <c r="B848" t="s">
        <v>27719</v>
      </c>
      <c r="C848" t="s">
        <v>27720</v>
      </c>
    </row>
    <row r="849" spans="1:3" x14ac:dyDescent="0.15">
      <c r="A849">
        <v>801</v>
      </c>
      <c r="B849" t="s">
        <v>27721</v>
      </c>
      <c r="C849" t="s">
        <v>27722</v>
      </c>
    </row>
    <row r="850" spans="1:3" x14ac:dyDescent="0.15">
      <c r="A850">
        <v>801</v>
      </c>
      <c r="B850" t="s">
        <v>27723</v>
      </c>
      <c r="C850" t="s">
        <v>27724</v>
      </c>
    </row>
    <row r="851" spans="1:3" x14ac:dyDescent="0.15">
      <c r="A851">
        <v>801</v>
      </c>
      <c r="B851" t="s">
        <v>27725</v>
      </c>
      <c r="C851" t="s">
        <v>27726</v>
      </c>
    </row>
    <row r="852" spans="1:3" x14ac:dyDescent="0.15">
      <c r="A852">
        <v>801</v>
      </c>
      <c r="B852" t="s">
        <v>27727</v>
      </c>
      <c r="C852" t="s">
        <v>27728</v>
      </c>
    </row>
    <row r="853" spans="1:3" x14ac:dyDescent="0.15">
      <c r="A853">
        <v>801</v>
      </c>
      <c r="B853" t="s">
        <v>27729</v>
      </c>
      <c r="C853" t="s">
        <v>27730</v>
      </c>
    </row>
    <row r="854" spans="1:3" x14ac:dyDescent="0.15">
      <c r="A854">
        <v>801</v>
      </c>
      <c r="B854" t="s">
        <v>27731</v>
      </c>
      <c r="C854" t="s">
        <v>27732</v>
      </c>
    </row>
    <row r="855" spans="1:3" x14ac:dyDescent="0.15">
      <c r="A855">
        <v>801</v>
      </c>
      <c r="B855" t="s">
        <v>27733</v>
      </c>
      <c r="C855" t="s">
        <v>27734</v>
      </c>
    </row>
    <row r="856" spans="1:3" x14ac:dyDescent="0.15">
      <c r="A856">
        <v>801</v>
      </c>
      <c r="B856" t="s">
        <v>27735</v>
      </c>
      <c r="C856" t="s">
        <v>27736</v>
      </c>
    </row>
    <row r="857" spans="1:3" x14ac:dyDescent="0.15">
      <c r="A857">
        <v>801</v>
      </c>
      <c r="B857" t="s">
        <v>27737</v>
      </c>
      <c r="C857" t="s">
        <v>27738</v>
      </c>
    </row>
    <row r="858" spans="1:3" x14ac:dyDescent="0.15">
      <c r="A858">
        <v>801</v>
      </c>
      <c r="B858" t="s">
        <v>27739</v>
      </c>
      <c r="C858" t="s">
        <v>27740</v>
      </c>
    </row>
    <row r="859" spans="1:3" x14ac:dyDescent="0.15">
      <c r="A859">
        <v>801</v>
      </c>
      <c r="B859" t="s">
        <v>27741</v>
      </c>
      <c r="C859" t="s">
        <v>27742</v>
      </c>
    </row>
    <row r="860" spans="1:3" x14ac:dyDescent="0.15">
      <c r="A860">
        <v>801</v>
      </c>
      <c r="B860" t="s">
        <v>27743</v>
      </c>
      <c r="C860" t="s">
        <v>27744</v>
      </c>
    </row>
    <row r="861" spans="1:3" x14ac:dyDescent="0.15">
      <c r="A861">
        <v>801</v>
      </c>
      <c r="B861" t="s">
        <v>27745</v>
      </c>
      <c r="C861" t="s">
        <v>27746</v>
      </c>
    </row>
    <row r="862" spans="1:3" x14ac:dyDescent="0.15">
      <c r="A862">
        <v>801</v>
      </c>
      <c r="B862" t="s">
        <v>27747</v>
      </c>
      <c r="C862" t="s">
        <v>27748</v>
      </c>
    </row>
    <row r="863" spans="1:3" x14ac:dyDescent="0.15">
      <c r="A863">
        <v>801</v>
      </c>
      <c r="B863" t="s">
        <v>27749</v>
      </c>
      <c r="C863" t="s">
        <v>27750</v>
      </c>
    </row>
    <row r="864" spans="1:3" x14ac:dyDescent="0.15">
      <c r="A864">
        <v>801</v>
      </c>
      <c r="B864" t="s">
        <v>27751</v>
      </c>
      <c r="C864" t="s">
        <v>27752</v>
      </c>
    </row>
    <row r="865" spans="1:3" x14ac:dyDescent="0.15">
      <c r="A865">
        <v>801</v>
      </c>
      <c r="B865" t="s">
        <v>27753</v>
      </c>
      <c r="C865" t="s">
        <v>27754</v>
      </c>
    </row>
    <row r="866" spans="1:3" x14ac:dyDescent="0.15">
      <c r="A866">
        <v>801</v>
      </c>
      <c r="B866" t="s">
        <v>27755</v>
      </c>
      <c r="C866" t="s">
        <v>27756</v>
      </c>
    </row>
    <row r="867" spans="1:3" x14ac:dyDescent="0.15">
      <c r="A867">
        <v>801</v>
      </c>
      <c r="B867" t="s">
        <v>27757</v>
      </c>
      <c r="C867" t="s">
        <v>27758</v>
      </c>
    </row>
    <row r="868" spans="1:3" x14ac:dyDescent="0.15">
      <c r="A868">
        <v>801</v>
      </c>
      <c r="B868" t="s">
        <v>27759</v>
      </c>
      <c r="C868" t="s">
        <v>27760</v>
      </c>
    </row>
    <row r="869" spans="1:3" x14ac:dyDescent="0.15">
      <c r="A869">
        <v>801</v>
      </c>
      <c r="B869" t="s">
        <v>27761</v>
      </c>
      <c r="C869" t="s">
        <v>27762</v>
      </c>
    </row>
    <row r="870" spans="1:3" x14ac:dyDescent="0.15">
      <c r="A870">
        <v>801</v>
      </c>
      <c r="B870" t="s">
        <v>27763</v>
      </c>
      <c r="C870" t="s">
        <v>27764</v>
      </c>
    </row>
    <row r="871" spans="1:3" x14ac:dyDescent="0.15">
      <c r="A871">
        <v>801</v>
      </c>
      <c r="B871" t="s">
        <v>27765</v>
      </c>
      <c r="C871" t="s">
        <v>27766</v>
      </c>
    </row>
    <row r="872" spans="1:3" x14ac:dyDescent="0.15">
      <c r="A872">
        <v>801</v>
      </c>
      <c r="B872" t="s">
        <v>27767</v>
      </c>
      <c r="C872" t="s">
        <v>27768</v>
      </c>
    </row>
    <row r="873" spans="1:3" x14ac:dyDescent="0.15">
      <c r="A873">
        <v>801</v>
      </c>
      <c r="B873" t="s">
        <v>27769</v>
      </c>
      <c r="C873" t="s">
        <v>27770</v>
      </c>
    </row>
    <row r="874" spans="1:3" x14ac:dyDescent="0.15">
      <c r="A874">
        <v>801</v>
      </c>
      <c r="B874" t="s">
        <v>27771</v>
      </c>
      <c r="C874" t="s">
        <v>27772</v>
      </c>
    </row>
    <row r="875" spans="1:3" x14ac:dyDescent="0.15">
      <c r="A875">
        <v>801</v>
      </c>
      <c r="B875" t="s">
        <v>27773</v>
      </c>
      <c r="C875" t="s">
        <v>27774</v>
      </c>
    </row>
    <row r="876" spans="1:3" x14ac:dyDescent="0.15">
      <c r="A876">
        <v>801</v>
      </c>
      <c r="B876" t="s">
        <v>27775</v>
      </c>
      <c r="C876" t="s">
        <v>27776</v>
      </c>
    </row>
    <row r="877" spans="1:3" x14ac:dyDescent="0.15">
      <c r="A877">
        <v>801</v>
      </c>
      <c r="B877" t="s">
        <v>27777</v>
      </c>
      <c r="C877" t="s">
        <v>27778</v>
      </c>
    </row>
    <row r="878" spans="1:3" x14ac:dyDescent="0.15">
      <c r="A878">
        <v>801</v>
      </c>
      <c r="B878" t="s">
        <v>27779</v>
      </c>
      <c r="C878" t="s">
        <v>27780</v>
      </c>
    </row>
    <row r="879" spans="1:3" x14ac:dyDescent="0.15">
      <c r="A879">
        <v>801</v>
      </c>
      <c r="B879" t="s">
        <v>27781</v>
      </c>
      <c r="C879" t="s">
        <v>27782</v>
      </c>
    </row>
    <row r="880" spans="1:3" x14ac:dyDescent="0.15">
      <c r="A880">
        <v>801</v>
      </c>
      <c r="B880" t="s">
        <v>27783</v>
      </c>
      <c r="C880" t="s">
        <v>27784</v>
      </c>
    </row>
    <row r="881" spans="1:3" x14ac:dyDescent="0.15">
      <c r="A881">
        <v>801</v>
      </c>
      <c r="B881" t="s">
        <v>27785</v>
      </c>
      <c r="C881" t="s">
        <v>27786</v>
      </c>
    </row>
    <row r="882" spans="1:3" x14ac:dyDescent="0.15">
      <c r="A882">
        <v>801</v>
      </c>
      <c r="B882" t="s">
        <v>27787</v>
      </c>
      <c r="C882" t="s">
        <v>27788</v>
      </c>
    </row>
    <row r="883" spans="1:3" x14ac:dyDescent="0.15">
      <c r="A883">
        <v>801</v>
      </c>
      <c r="B883" t="s">
        <v>27789</v>
      </c>
      <c r="C883" t="s">
        <v>27790</v>
      </c>
    </row>
    <row r="884" spans="1:3" x14ac:dyDescent="0.15">
      <c r="A884">
        <v>801</v>
      </c>
      <c r="B884" t="s">
        <v>27791</v>
      </c>
      <c r="C884" t="s">
        <v>27792</v>
      </c>
    </row>
    <row r="885" spans="1:3" x14ac:dyDescent="0.15">
      <c r="A885">
        <v>801</v>
      </c>
      <c r="B885" t="s">
        <v>27793</v>
      </c>
      <c r="C885" t="s">
        <v>27794</v>
      </c>
    </row>
    <row r="886" spans="1:3" x14ac:dyDescent="0.15">
      <c r="A886">
        <v>801</v>
      </c>
      <c r="B886" t="s">
        <v>27795</v>
      </c>
      <c r="C886" t="s">
        <v>27796</v>
      </c>
    </row>
    <row r="887" spans="1:3" x14ac:dyDescent="0.15">
      <c r="A887">
        <v>801</v>
      </c>
      <c r="B887" t="s">
        <v>27797</v>
      </c>
      <c r="C887" t="s">
        <v>27798</v>
      </c>
    </row>
    <row r="888" spans="1:3" x14ac:dyDescent="0.15">
      <c r="A888">
        <v>801</v>
      </c>
      <c r="B888" t="s">
        <v>27799</v>
      </c>
      <c r="C888" t="s">
        <v>27800</v>
      </c>
    </row>
    <row r="889" spans="1:3" x14ac:dyDescent="0.15">
      <c r="A889">
        <v>801</v>
      </c>
      <c r="B889" t="s">
        <v>27801</v>
      </c>
      <c r="C889" t="s">
        <v>27802</v>
      </c>
    </row>
    <row r="890" spans="1:3" x14ac:dyDescent="0.15">
      <c r="A890">
        <v>801</v>
      </c>
      <c r="B890" t="s">
        <v>27803</v>
      </c>
      <c r="C890" t="s">
        <v>27804</v>
      </c>
    </row>
    <row r="891" spans="1:3" x14ac:dyDescent="0.15">
      <c r="A891">
        <v>801</v>
      </c>
      <c r="B891" t="s">
        <v>27805</v>
      </c>
      <c r="C891" t="s">
        <v>27806</v>
      </c>
    </row>
    <row r="892" spans="1:3" x14ac:dyDescent="0.15">
      <c r="A892">
        <v>801</v>
      </c>
      <c r="B892" t="s">
        <v>27807</v>
      </c>
      <c r="C892" t="s">
        <v>27808</v>
      </c>
    </row>
    <row r="893" spans="1:3" x14ac:dyDescent="0.15">
      <c r="A893">
        <v>801</v>
      </c>
      <c r="B893" t="s">
        <v>27809</v>
      </c>
      <c r="C893" t="s">
        <v>27810</v>
      </c>
    </row>
    <row r="894" spans="1:3" x14ac:dyDescent="0.15">
      <c r="A894">
        <v>801</v>
      </c>
      <c r="B894" t="s">
        <v>27811</v>
      </c>
      <c r="C894" t="s">
        <v>27812</v>
      </c>
    </row>
    <row r="895" spans="1:3" x14ac:dyDescent="0.15">
      <c r="A895">
        <v>801</v>
      </c>
      <c r="B895" t="s">
        <v>27813</v>
      </c>
      <c r="C895" t="s">
        <v>27814</v>
      </c>
    </row>
    <row r="896" spans="1:3" x14ac:dyDescent="0.15">
      <c r="A896">
        <v>801</v>
      </c>
      <c r="B896" t="s">
        <v>27815</v>
      </c>
      <c r="C896" t="s">
        <v>27816</v>
      </c>
    </row>
    <row r="897" spans="1:3" x14ac:dyDescent="0.15">
      <c r="A897">
        <v>801</v>
      </c>
      <c r="B897" t="s">
        <v>27817</v>
      </c>
      <c r="C897" t="s">
        <v>27818</v>
      </c>
    </row>
    <row r="898" spans="1:3" x14ac:dyDescent="0.15">
      <c r="A898">
        <v>801</v>
      </c>
      <c r="B898" t="s">
        <v>27819</v>
      </c>
      <c r="C898" t="s">
        <v>27820</v>
      </c>
    </row>
    <row r="899" spans="1:3" x14ac:dyDescent="0.15">
      <c r="A899">
        <v>801</v>
      </c>
      <c r="B899" t="s">
        <v>27821</v>
      </c>
      <c r="C899" t="s">
        <v>27822</v>
      </c>
    </row>
    <row r="900" spans="1:3" x14ac:dyDescent="0.15">
      <c r="A900">
        <v>801</v>
      </c>
      <c r="B900" t="s">
        <v>27141</v>
      </c>
      <c r="C900" t="s">
        <v>27823</v>
      </c>
    </row>
    <row r="901" spans="1:3" x14ac:dyDescent="0.15">
      <c r="A901">
        <v>801</v>
      </c>
      <c r="B901" t="s">
        <v>27824</v>
      </c>
      <c r="C901" t="s">
        <v>27825</v>
      </c>
    </row>
    <row r="902" spans="1:3" x14ac:dyDescent="0.15">
      <c r="A902">
        <v>801</v>
      </c>
      <c r="B902" t="s">
        <v>27169</v>
      </c>
      <c r="C902" t="s">
        <v>27170</v>
      </c>
    </row>
    <row r="903" spans="1:3" x14ac:dyDescent="0.15">
      <c r="A903">
        <v>901</v>
      </c>
      <c r="B903" t="s">
        <v>26749</v>
      </c>
      <c r="C903" t="s">
        <v>27826</v>
      </c>
    </row>
    <row r="904" spans="1:3" x14ac:dyDescent="0.15">
      <c r="A904">
        <v>901</v>
      </c>
      <c r="B904">
        <v>100</v>
      </c>
      <c r="C904" t="s">
        <v>27827</v>
      </c>
    </row>
    <row r="905" spans="1:3" x14ac:dyDescent="0.15">
      <c r="A905">
        <v>901</v>
      </c>
      <c r="B905">
        <v>101</v>
      </c>
      <c r="C905" t="s">
        <v>27828</v>
      </c>
    </row>
    <row r="906" spans="1:3" x14ac:dyDescent="0.15">
      <c r="A906">
        <v>901</v>
      </c>
      <c r="B906">
        <v>102</v>
      </c>
      <c r="C906" t="s">
        <v>27829</v>
      </c>
    </row>
    <row r="907" spans="1:3" x14ac:dyDescent="0.15">
      <c r="A907">
        <v>901</v>
      </c>
      <c r="B907">
        <v>103</v>
      </c>
      <c r="C907" t="s">
        <v>26756</v>
      </c>
    </row>
    <row r="908" spans="1:3" x14ac:dyDescent="0.15">
      <c r="A908">
        <v>901</v>
      </c>
      <c r="B908">
        <v>104</v>
      </c>
      <c r="C908" t="s">
        <v>26757</v>
      </c>
    </row>
    <row r="909" spans="1:3" x14ac:dyDescent="0.15">
      <c r="A909">
        <v>901</v>
      </c>
      <c r="B909">
        <v>105</v>
      </c>
      <c r="C909" t="s">
        <v>27830</v>
      </c>
    </row>
    <row r="910" spans="1:3" x14ac:dyDescent="0.15">
      <c r="A910">
        <v>901</v>
      </c>
      <c r="B910">
        <v>106</v>
      </c>
      <c r="C910" t="s">
        <v>27831</v>
      </c>
    </row>
    <row r="911" spans="1:3" x14ac:dyDescent="0.15">
      <c r="A911">
        <v>901</v>
      </c>
      <c r="B911">
        <v>107</v>
      </c>
      <c r="C911" t="s">
        <v>26760</v>
      </c>
    </row>
    <row r="912" spans="1:3" x14ac:dyDescent="0.15">
      <c r="A912">
        <v>901</v>
      </c>
      <c r="B912">
        <v>108</v>
      </c>
      <c r="C912" t="s">
        <v>26761</v>
      </c>
    </row>
    <row r="913" spans="1:3" x14ac:dyDescent="0.15">
      <c r="A913">
        <v>901</v>
      </c>
      <c r="B913">
        <v>109</v>
      </c>
      <c r="C913" t="s">
        <v>27832</v>
      </c>
    </row>
    <row r="914" spans="1:3" x14ac:dyDescent="0.15">
      <c r="A914">
        <v>901</v>
      </c>
      <c r="B914">
        <v>110</v>
      </c>
      <c r="C914" t="s">
        <v>27833</v>
      </c>
    </row>
    <row r="915" spans="1:3" x14ac:dyDescent="0.15">
      <c r="A915">
        <v>901</v>
      </c>
      <c r="B915">
        <v>112</v>
      </c>
      <c r="C915" t="s">
        <v>27834</v>
      </c>
    </row>
    <row r="916" spans="1:3" x14ac:dyDescent="0.15">
      <c r="A916">
        <v>901</v>
      </c>
      <c r="B916">
        <v>117</v>
      </c>
      <c r="C916" t="s">
        <v>27835</v>
      </c>
    </row>
    <row r="917" spans="1:3" x14ac:dyDescent="0.15">
      <c r="A917">
        <v>901</v>
      </c>
      <c r="B917">
        <v>120</v>
      </c>
      <c r="C917" t="s">
        <v>27836</v>
      </c>
    </row>
    <row r="918" spans="1:3" x14ac:dyDescent="0.15">
      <c r="A918">
        <v>901</v>
      </c>
      <c r="B918">
        <v>121</v>
      </c>
      <c r="C918" t="s">
        <v>27837</v>
      </c>
    </row>
    <row r="919" spans="1:3" x14ac:dyDescent="0.15">
      <c r="A919">
        <v>901</v>
      </c>
      <c r="B919">
        <v>122</v>
      </c>
      <c r="C919" t="s">
        <v>27838</v>
      </c>
    </row>
    <row r="920" spans="1:3" x14ac:dyDescent="0.15">
      <c r="A920">
        <v>901</v>
      </c>
      <c r="B920">
        <v>123</v>
      </c>
      <c r="C920" t="s">
        <v>27839</v>
      </c>
    </row>
    <row r="921" spans="1:3" x14ac:dyDescent="0.15">
      <c r="A921">
        <v>901</v>
      </c>
      <c r="B921">
        <v>124</v>
      </c>
      <c r="C921" t="s">
        <v>27840</v>
      </c>
    </row>
    <row r="922" spans="1:3" x14ac:dyDescent="0.15">
      <c r="A922">
        <v>901</v>
      </c>
      <c r="B922">
        <v>125</v>
      </c>
      <c r="C922" t="s">
        <v>27841</v>
      </c>
    </row>
    <row r="923" spans="1:3" x14ac:dyDescent="0.15">
      <c r="A923">
        <v>901</v>
      </c>
      <c r="B923">
        <v>126</v>
      </c>
      <c r="C923" t="s">
        <v>27842</v>
      </c>
    </row>
    <row r="924" spans="1:3" x14ac:dyDescent="0.15">
      <c r="A924">
        <v>901</v>
      </c>
      <c r="B924">
        <v>127</v>
      </c>
      <c r="C924" t="s">
        <v>27843</v>
      </c>
    </row>
    <row r="925" spans="1:3" x14ac:dyDescent="0.15">
      <c r="A925">
        <v>901</v>
      </c>
      <c r="B925">
        <v>128</v>
      </c>
      <c r="C925" t="s">
        <v>27844</v>
      </c>
    </row>
    <row r="926" spans="1:3" x14ac:dyDescent="0.15">
      <c r="A926">
        <v>901</v>
      </c>
      <c r="B926">
        <v>129</v>
      </c>
      <c r="C926" t="s">
        <v>27845</v>
      </c>
    </row>
    <row r="927" spans="1:3" x14ac:dyDescent="0.15">
      <c r="A927">
        <v>901</v>
      </c>
      <c r="B927">
        <v>130</v>
      </c>
      <c r="C927" t="s">
        <v>27846</v>
      </c>
    </row>
    <row r="928" spans="1:3" x14ac:dyDescent="0.15">
      <c r="A928">
        <v>901</v>
      </c>
      <c r="B928">
        <v>131</v>
      </c>
      <c r="C928" t="s">
        <v>27847</v>
      </c>
    </row>
    <row r="929" spans="1:3" x14ac:dyDescent="0.15">
      <c r="A929">
        <v>901</v>
      </c>
      <c r="B929">
        <v>132</v>
      </c>
      <c r="C929" t="s">
        <v>27848</v>
      </c>
    </row>
    <row r="930" spans="1:3" x14ac:dyDescent="0.15">
      <c r="A930">
        <v>901</v>
      </c>
      <c r="B930">
        <v>133</v>
      </c>
      <c r="C930" t="s">
        <v>27849</v>
      </c>
    </row>
    <row r="931" spans="1:3" x14ac:dyDescent="0.15">
      <c r="A931">
        <v>901</v>
      </c>
      <c r="B931">
        <v>150</v>
      </c>
      <c r="C931" t="s">
        <v>27850</v>
      </c>
    </row>
    <row r="932" spans="1:3" x14ac:dyDescent="0.15">
      <c r="A932">
        <v>901</v>
      </c>
      <c r="B932">
        <v>151</v>
      </c>
      <c r="C932" t="s">
        <v>27851</v>
      </c>
    </row>
    <row r="933" spans="1:3" x14ac:dyDescent="0.15">
      <c r="A933">
        <v>901</v>
      </c>
      <c r="B933">
        <v>170</v>
      </c>
      <c r="C933" t="s">
        <v>27852</v>
      </c>
    </row>
    <row r="934" spans="1:3" x14ac:dyDescent="0.15">
      <c r="A934">
        <v>901</v>
      </c>
      <c r="B934">
        <v>171</v>
      </c>
      <c r="C934" t="s">
        <v>27853</v>
      </c>
    </row>
    <row r="935" spans="1:3" x14ac:dyDescent="0.15">
      <c r="A935">
        <v>901</v>
      </c>
      <c r="B935">
        <v>180</v>
      </c>
      <c r="C935" t="s">
        <v>27854</v>
      </c>
    </row>
    <row r="936" spans="1:3" x14ac:dyDescent="0.15">
      <c r="A936">
        <v>901</v>
      </c>
      <c r="B936">
        <v>181</v>
      </c>
      <c r="C936" t="s">
        <v>27855</v>
      </c>
    </row>
    <row r="937" spans="1:3" x14ac:dyDescent="0.15">
      <c r="A937">
        <v>901</v>
      </c>
      <c r="B937">
        <v>199</v>
      </c>
      <c r="C937" t="s">
        <v>27856</v>
      </c>
    </row>
    <row r="938" spans="1:3" x14ac:dyDescent="0.15">
      <c r="A938">
        <v>901</v>
      </c>
      <c r="B938">
        <v>200</v>
      </c>
      <c r="C938" t="s">
        <v>27857</v>
      </c>
    </row>
    <row r="939" spans="1:3" x14ac:dyDescent="0.15">
      <c r="A939">
        <v>901</v>
      </c>
      <c r="B939">
        <v>201</v>
      </c>
      <c r="C939" t="s">
        <v>27858</v>
      </c>
    </row>
    <row r="940" spans="1:3" x14ac:dyDescent="0.15">
      <c r="A940">
        <v>901</v>
      </c>
      <c r="B940">
        <v>202</v>
      </c>
      <c r="C940" t="s">
        <v>27859</v>
      </c>
    </row>
    <row r="941" spans="1:3" x14ac:dyDescent="0.15">
      <c r="A941">
        <v>901</v>
      </c>
      <c r="B941">
        <v>203</v>
      </c>
      <c r="C941" t="s">
        <v>27860</v>
      </c>
    </row>
    <row r="942" spans="1:3" x14ac:dyDescent="0.15">
      <c r="A942">
        <v>901</v>
      </c>
      <c r="B942">
        <v>204</v>
      </c>
      <c r="C942" t="s">
        <v>27861</v>
      </c>
    </row>
    <row r="943" spans="1:3" x14ac:dyDescent="0.15">
      <c r="A943">
        <v>901</v>
      </c>
      <c r="B943">
        <v>205</v>
      </c>
      <c r="C943" t="s">
        <v>27862</v>
      </c>
    </row>
    <row r="944" spans="1:3" x14ac:dyDescent="0.15">
      <c r="A944">
        <v>901</v>
      </c>
      <c r="B944">
        <v>206</v>
      </c>
      <c r="C944" t="s">
        <v>27863</v>
      </c>
    </row>
    <row r="945" spans="1:3" x14ac:dyDescent="0.15">
      <c r="A945">
        <v>901</v>
      </c>
      <c r="B945">
        <v>207</v>
      </c>
      <c r="C945" t="s">
        <v>27864</v>
      </c>
    </row>
    <row r="946" spans="1:3" x14ac:dyDescent="0.15">
      <c r="A946">
        <v>901</v>
      </c>
      <c r="B946">
        <v>208</v>
      </c>
      <c r="C946" t="s">
        <v>27865</v>
      </c>
    </row>
    <row r="947" spans="1:3" x14ac:dyDescent="0.15">
      <c r="A947">
        <v>901</v>
      </c>
      <c r="B947">
        <v>209</v>
      </c>
      <c r="C947" t="s">
        <v>27866</v>
      </c>
    </row>
    <row r="948" spans="1:3" x14ac:dyDescent="0.15">
      <c r="A948">
        <v>901</v>
      </c>
      <c r="B948">
        <v>210</v>
      </c>
      <c r="C948" t="s">
        <v>27867</v>
      </c>
    </row>
    <row r="949" spans="1:3" x14ac:dyDescent="0.15">
      <c r="A949">
        <v>901</v>
      </c>
      <c r="B949">
        <v>211</v>
      </c>
      <c r="C949" t="s">
        <v>27868</v>
      </c>
    </row>
    <row r="950" spans="1:3" x14ac:dyDescent="0.15">
      <c r="A950">
        <v>901</v>
      </c>
      <c r="B950">
        <v>212</v>
      </c>
      <c r="C950" t="s">
        <v>27869</v>
      </c>
    </row>
    <row r="951" spans="1:3" x14ac:dyDescent="0.15">
      <c r="A951">
        <v>901</v>
      </c>
      <c r="B951">
        <v>213</v>
      </c>
      <c r="C951" t="s">
        <v>27870</v>
      </c>
    </row>
    <row r="952" spans="1:3" x14ac:dyDescent="0.15">
      <c r="A952">
        <v>901</v>
      </c>
      <c r="B952">
        <v>214</v>
      </c>
      <c r="C952" t="s">
        <v>27871</v>
      </c>
    </row>
    <row r="953" spans="1:3" x14ac:dyDescent="0.15">
      <c r="A953">
        <v>901</v>
      </c>
      <c r="B953">
        <v>215</v>
      </c>
      <c r="C953" t="s">
        <v>27872</v>
      </c>
    </row>
    <row r="954" spans="1:3" x14ac:dyDescent="0.15">
      <c r="A954">
        <v>901</v>
      </c>
      <c r="B954">
        <v>216</v>
      </c>
      <c r="C954" t="s">
        <v>27873</v>
      </c>
    </row>
    <row r="955" spans="1:3" x14ac:dyDescent="0.15">
      <c r="A955">
        <v>901</v>
      </c>
      <c r="B955">
        <v>217</v>
      </c>
      <c r="C955" t="s">
        <v>27874</v>
      </c>
    </row>
    <row r="956" spans="1:3" x14ac:dyDescent="0.15">
      <c r="A956">
        <v>901</v>
      </c>
      <c r="B956">
        <v>218</v>
      </c>
      <c r="C956" t="s">
        <v>27875</v>
      </c>
    </row>
    <row r="957" spans="1:3" x14ac:dyDescent="0.15">
      <c r="A957">
        <v>901</v>
      </c>
      <c r="B957">
        <v>219</v>
      </c>
      <c r="C957" t="s">
        <v>27876</v>
      </c>
    </row>
    <row r="958" spans="1:3" x14ac:dyDescent="0.15">
      <c r="A958">
        <v>901</v>
      </c>
      <c r="B958">
        <v>220</v>
      </c>
      <c r="C958" t="s">
        <v>27877</v>
      </c>
    </row>
    <row r="959" spans="1:3" x14ac:dyDescent="0.15">
      <c r="A959">
        <v>901</v>
      </c>
      <c r="B959">
        <v>221</v>
      </c>
      <c r="C959" t="s">
        <v>27878</v>
      </c>
    </row>
    <row r="960" spans="1:3" x14ac:dyDescent="0.15">
      <c r="A960">
        <v>901</v>
      </c>
      <c r="B960">
        <v>222</v>
      </c>
      <c r="C960" t="s">
        <v>27879</v>
      </c>
    </row>
    <row r="961" spans="1:3" x14ac:dyDescent="0.15">
      <c r="A961">
        <v>901</v>
      </c>
      <c r="B961">
        <v>223</v>
      </c>
      <c r="C961" t="s">
        <v>27880</v>
      </c>
    </row>
    <row r="962" spans="1:3" x14ac:dyDescent="0.15">
      <c r="A962">
        <v>901</v>
      </c>
      <c r="B962">
        <v>225</v>
      </c>
      <c r="C962" t="s">
        <v>27881</v>
      </c>
    </row>
    <row r="963" spans="1:3" x14ac:dyDescent="0.15">
      <c r="A963">
        <v>901</v>
      </c>
      <c r="B963">
        <v>226</v>
      </c>
      <c r="C963" t="s">
        <v>27882</v>
      </c>
    </row>
    <row r="964" spans="1:3" x14ac:dyDescent="0.15">
      <c r="A964">
        <v>901</v>
      </c>
      <c r="B964">
        <v>248</v>
      </c>
      <c r="C964" t="s">
        <v>27883</v>
      </c>
    </row>
    <row r="965" spans="1:3" x14ac:dyDescent="0.15">
      <c r="A965">
        <v>901</v>
      </c>
      <c r="B965">
        <v>249</v>
      </c>
      <c r="C965" t="s">
        <v>27884</v>
      </c>
    </row>
    <row r="966" spans="1:3" x14ac:dyDescent="0.15">
      <c r="A966">
        <v>901</v>
      </c>
      <c r="B966">
        <v>250</v>
      </c>
      <c r="C966" t="s">
        <v>27885</v>
      </c>
    </row>
    <row r="967" spans="1:3" x14ac:dyDescent="0.15">
      <c r="A967">
        <v>901</v>
      </c>
      <c r="B967">
        <v>251</v>
      </c>
      <c r="C967" t="s">
        <v>27886</v>
      </c>
    </row>
    <row r="968" spans="1:3" x14ac:dyDescent="0.15">
      <c r="A968">
        <v>901</v>
      </c>
      <c r="B968">
        <v>252</v>
      </c>
      <c r="C968" t="s">
        <v>27887</v>
      </c>
    </row>
    <row r="969" spans="1:3" x14ac:dyDescent="0.15">
      <c r="A969">
        <v>901</v>
      </c>
      <c r="B969">
        <v>253</v>
      </c>
      <c r="C969" t="s">
        <v>27888</v>
      </c>
    </row>
    <row r="970" spans="1:3" x14ac:dyDescent="0.15">
      <c r="A970">
        <v>901</v>
      </c>
      <c r="B970">
        <v>260</v>
      </c>
      <c r="C970" t="s">
        <v>27889</v>
      </c>
    </row>
    <row r="971" spans="1:3" x14ac:dyDescent="0.15">
      <c r="A971">
        <v>901</v>
      </c>
      <c r="B971">
        <v>261</v>
      </c>
      <c r="C971" t="s">
        <v>27890</v>
      </c>
    </row>
    <row r="972" spans="1:3" x14ac:dyDescent="0.15">
      <c r="A972">
        <v>901</v>
      </c>
      <c r="B972">
        <v>270</v>
      </c>
      <c r="C972" t="s">
        <v>27891</v>
      </c>
    </row>
    <row r="973" spans="1:3" x14ac:dyDescent="0.15">
      <c r="A973">
        <v>901</v>
      </c>
      <c r="B973">
        <v>271</v>
      </c>
      <c r="C973" t="s">
        <v>27892</v>
      </c>
    </row>
    <row r="974" spans="1:3" x14ac:dyDescent="0.15">
      <c r="A974">
        <v>901</v>
      </c>
      <c r="B974">
        <v>290</v>
      </c>
      <c r="C974" t="s">
        <v>27893</v>
      </c>
    </row>
    <row r="975" spans="1:3" x14ac:dyDescent="0.15">
      <c r="A975">
        <v>901</v>
      </c>
      <c r="B975">
        <v>299</v>
      </c>
      <c r="C975" t="s">
        <v>27894</v>
      </c>
    </row>
    <row r="976" spans="1:3" x14ac:dyDescent="0.15">
      <c r="A976">
        <v>901</v>
      </c>
      <c r="B976">
        <v>300</v>
      </c>
      <c r="C976" t="s">
        <v>27895</v>
      </c>
    </row>
    <row r="977" spans="1:3" x14ac:dyDescent="0.15">
      <c r="A977">
        <v>901</v>
      </c>
      <c r="B977">
        <v>301</v>
      </c>
      <c r="C977" t="s">
        <v>27896</v>
      </c>
    </row>
    <row r="978" spans="1:3" x14ac:dyDescent="0.15">
      <c r="A978">
        <v>901</v>
      </c>
      <c r="B978">
        <v>308</v>
      </c>
      <c r="C978" t="s">
        <v>27897</v>
      </c>
    </row>
    <row r="979" spans="1:3" x14ac:dyDescent="0.15">
      <c r="A979">
        <v>901</v>
      </c>
      <c r="B979">
        <v>309</v>
      </c>
      <c r="C979" t="s">
        <v>27898</v>
      </c>
    </row>
    <row r="980" spans="1:3" x14ac:dyDescent="0.15">
      <c r="A980">
        <v>901</v>
      </c>
      <c r="B980">
        <v>349</v>
      </c>
      <c r="C980" t="s">
        <v>27899</v>
      </c>
    </row>
    <row r="981" spans="1:3" x14ac:dyDescent="0.15">
      <c r="A981">
        <v>901</v>
      </c>
      <c r="B981">
        <v>416</v>
      </c>
      <c r="C981" t="s">
        <v>27900</v>
      </c>
    </row>
    <row r="982" spans="1:3" x14ac:dyDescent="0.15">
      <c r="A982">
        <v>901</v>
      </c>
      <c r="B982">
        <v>417</v>
      </c>
      <c r="C982" t="s">
        <v>27901</v>
      </c>
    </row>
    <row r="983" spans="1:3" x14ac:dyDescent="0.15">
      <c r="A983">
        <v>901</v>
      </c>
      <c r="B983">
        <v>449</v>
      </c>
      <c r="C983" t="s">
        <v>27902</v>
      </c>
    </row>
    <row r="984" spans="1:3" x14ac:dyDescent="0.15">
      <c r="A984">
        <v>901</v>
      </c>
      <c r="B984">
        <v>500</v>
      </c>
      <c r="C984" t="s">
        <v>27903</v>
      </c>
    </row>
    <row r="985" spans="1:3" x14ac:dyDescent="0.15">
      <c r="A985">
        <v>901</v>
      </c>
      <c r="B985">
        <v>501</v>
      </c>
      <c r="C985" t="s">
        <v>27904</v>
      </c>
    </row>
    <row r="986" spans="1:3" x14ac:dyDescent="0.15">
      <c r="A986">
        <v>901</v>
      </c>
      <c r="B986">
        <v>502</v>
      </c>
      <c r="C986" t="s">
        <v>27905</v>
      </c>
    </row>
    <row r="987" spans="1:3" x14ac:dyDescent="0.15">
      <c r="A987">
        <v>901</v>
      </c>
      <c r="B987">
        <v>520</v>
      </c>
      <c r="C987" t="s">
        <v>27906</v>
      </c>
    </row>
    <row r="988" spans="1:3" x14ac:dyDescent="0.15">
      <c r="A988">
        <v>901</v>
      </c>
      <c r="B988">
        <v>521</v>
      </c>
      <c r="C988" t="s">
        <v>27907</v>
      </c>
    </row>
    <row r="989" spans="1:3" x14ac:dyDescent="0.15">
      <c r="A989">
        <v>901</v>
      </c>
      <c r="B989">
        <v>522</v>
      </c>
      <c r="C989" t="s">
        <v>27908</v>
      </c>
    </row>
    <row r="990" spans="1:3" x14ac:dyDescent="0.15">
      <c r="A990">
        <v>901</v>
      </c>
      <c r="B990">
        <v>523</v>
      </c>
      <c r="C990" t="s">
        <v>27909</v>
      </c>
    </row>
    <row r="991" spans="1:3" x14ac:dyDescent="0.15">
      <c r="A991">
        <v>901</v>
      </c>
      <c r="B991">
        <v>524</v>
      </c>
      <c r="C991" t="s">
        <v>27910</v>
      </c>
    </row>
    <row r="992" spans="1:3" x14ac:dyDescent="0.15">
      <c r="A992">
        <v>901</v>
      </c>
      <c r="B992">
        <v>525</v>
      </c>
      <c r="C992" t="s">
        <v>27911</v>
      </c>
    </row>
    <row r="993" spans="1:3" x14ac:dyDescent="0.15">
      <c r="A993">
        <v>901</v>
      </c>
      <c r="B993">
        <v>526</v>
      </c>
      <c r="C993" t="s">
        <v>27912</v>
      </c>
    </row>
    <row r="994" spans="1:3" x14ac:dyDescent="0.15">
      <c r="A994">
        <v>901</v>
      </c>
      <c r="B994">
        <v>529</v>
      </c>
      <c r="C994" t="s">
        <v>27913</v>
      </c>
    </row>
    <row r="995" spans="1:3" x14ac:dyDescent="0.15">
      <c r="A995">
        <v>901</v>
      </c>
      <c r="B995">
        <v>530</v>
      </c>
      <c r="C995" t="s">
        <v>27914</v>
      </c>
    </row>
    <row r="996" spans="1:3" x14ac:dyDescent="0.15">
      <c r="A996">
        <v>901</v>
      </c>
      <c r="B996">
        <v>540</v>
      </c>
      <c r="C996" t="s">
        <v>26947</v>
      </c>
    </row>
    <row r="997" spans="1:3" x14ac:dyDescent="0.15">
      <c r="A997">
        <v>901</v>
      </c>
      <c r="B997">
        <v>541</v>
      </c>
      <c r="C997" t="s">
        <v>27915</v>
      </c>
    </row>
    <row r="998" spans="1:3" x14ac:dyDescent="0.15">
      <c r="A998">
        <v>901</v>
      </c>
      <c r="B998">
        <v>548</v>
      </c>
      <c r="C998" t="s">
        <v>27916</v>
      </c>
    </row>
    <row r="999" spans="1:3" x14ac:dyDescent="0.15">
      <c r="A999">
        <v>901</v>
      </c>
      <c r="B999">
        <v>549</v>
      </c>
      <c r="C999" t="s">
        <v>27917</v>
      </c>
    </row>
    <row r="1000" spans="1:3" x14ac:dyDescent="0.15">
      <c r="A1000">
        <v>901</v>
      </c>
      <c r="B1000">
        <v>550</v>
      </c>
      <c r="C1000" t="s">
        <v>27918</v>
      </c>
    </row>
    <row r="1001" spans="1:3" x14ac:dyDescent="0.15">
      <c r="A1001">
        <v>901</v>
      </c>
      <c r="B1001">
        <v>551</v>
      </c>
      <c r="C1001" t="s">
        <v>27919</v>
      </c>
    </row>
    <row r="1002" spans="1:3" x14ac:dyDescent="0.15">
      <c r="A1002">
        <v>901</v>
      </c>
      <c r="B1002">
        <v>570</v>
      </c>
      <c r="C1002" t="s">
        <v>27920</v>
      </c>
    </row>
    <row r="1003" spans="1:3" x14ac:dyDescent="0.15">
      <c r="A1003">
        <v>901</v>
      </c>
      <c r="B1003">
        <v>579</v>
      </c>
      <c r="C1003" t="s">
        <v>27921</v>
      </c>
    </row>
    <row r="1004" spans="1:3" x14ac:dyDescent="0.15">
      <c r="A1004">
        <v>901</v>
      </c>
      <c r="B1004">
        <v>600</v>
      </c>
      <c r="C1004" t="s">
        <v>26996</v>
      </c>
    </row>
    <row r="1005" spans="1:3" x14ac:dyDescent="0.15">
      <c r="A1005">
        <v>901</v>
      </c>
      <c r="B1005">
        <v>602</v>
      </c>
      <c r="C1005" t="s">
        <v>26998</v>
      </c>
    </row>
    <row r="1006" spans="1:3" x14ac:dyDescent="0.15">
      <c r="A1006">
        <v>901</v>
      </c>
      <c r="B1006">
        <v>604</v>
      </c>
      <c r="C1006" t="s">
        <v>27922</v>
      </c>
    </row>
    <row r="1007" spans="1:3" x14ac:dyDescent="0.15">
      <c r="A1007">
        <v>901</v>
      </c>
      <c r="B1007">
        <v>605</v>
      </c>
      <c r="C1007" t="s">
        <v>27923</v>
      </c>
    </row>
    <row r="1008" spans="1:3" x14ac:dyDescent="0.15">
      <c r="A1008">
        <v>901</v>
      </c>
      <c r="B1008">
        <v>610</v>
      </c>
      <c r="C1008" t="s">
        <v>27002</v>
      </c>
    </row>
    <row r="1009" spans="1:3" x14ac:dyDescent="0.15">
      <c r="A1009">
        <v>901</v>
      </c>
      <c r="B1009">
        <v>611</v>
      </c>
      <c r="C1009" t="s">
        <v>27924</v>
      </c>
    </row>
    <row r="1010" spans="1:3" x14ac:dyDescent="0.15">
      <c r="A1010">
        <v>901</v>
      </c>
      <c r="B1010">
        <v>615</v>
      </c>
      <c r="C1010" t="s">
        <v>27925</v>
      </c>
    </row>
    <row r="1011" spans="1:3" x14ac:dyDescent="0.15">
      <c r="A1011">
        <v>901</v>
      </c>
      <c r="B1011">
        <v>616</v>
      </c>
      <c r="C1011" t="s">
        <v>27926</v>
      </c>
    </row>
    <row r="1012" spans="1:3" x14ac:dyDescent="0.15">
      <c r="A1012">
        <v>901</v>
      </c>
      <c r="B1012">
        <v>617</v>
      </c>
      <c r="C1012" t="s">
        <v>27927</v>
      </c>
    </row>
    <row r="1013" spans="1:3" x14ac:dyDescent="0.15">
      <c r="A1013">
        <v>901</v>
      </c>
      <c r="B1013">
        <v>618</v>
      </c>
      <c r="C1013" t="s">
        <v>27928</v>
      </c>
    </row>
    <row r="1014" spans="1:3" x14ac:dyDescent="0.15">
      <c r="A1014">
        <v>901</v>
      </c>
      <c r="B1014">
        <v>619</v>
      </c>
      <c r="C1014" t="s">
        <v>27929</v>
      </c>
    </row>
    <row r="1015" spans="1:3" x14ac:dyDescent="0.15">
      <c r="A1015">
        <v>901</v>
      </c>
      <c r="B1015">
        <v>620</v>
      </c>
      <c r="C1015" t="s">
        <v>27930</v>
      </c>
    </row>
    <row r="1016" spans="1:3" x14ac:dyDescent="0.15">
      <c r="A1016">
        <v>901</v>
      </c>
      <c r="B1016">
        <v>621</v>
      </c>
      <c r="C1016" t="s">
        <v>27931</v>
      </c>
    </row>
    <row r="1017" spans="1:3" x14ac:dyDescent="0.15">
      <c r="A1017">
        <v>901</v>
      </c>
      <c r="B1017">
        <v>622</v>
      </c>
      <c r="C1017" t="s">
        <v>27932</v>
      </c>
    </row>
    <row r="1018" spans="1:3" x14ac:dyDescent="0.15">
      <c r="A1018">
        <v>901</v>
      </c>
      <c r="B1018">
        <v>623</v>
      </c>
      <c r="C1018" t="s">
        <v>27933</v>
      </c>
    </row>
    <row r="1019" spans="1:3" x14ac:dyDescent="0.15">
      <c r="A1019">
        <v>901</v>
      </c>
      <c r="B1019">
        <v>624</v>
      </c>
      <c r="C1019" t="s">
        <v>27934</v>
      </c>
    </row>
    <row r="1020" spans="1:3" x14ac:dyDescent="0.15">
      <c r="A1020">
        <v>901</v>
      </c>
      <c r="B1020">
        <v>625</v>
      </c>
      <c r="C1020" t="s">
        <v>27935</v>
      </c>
    </row>
    <row r="1021" spans="1:3" x14ac:dyDescent="0.15">
      <c r="A1021">
        <v>901</v>
      </c>
      <c r="B1021">
        <v>626</v>
      </c>
      <c r="C1021" t="s">
        <v>27936</v>
      </c>
    </row>
    <row r="1022" spans="1:3" x14ac:dyDescent="0.15">
      <c r="A1022">
        <v>901</v>
      </c>
      <c r="B1022">
        <v>627</v>
      </c>
      <c r="C1022" t="s">
        <v>27937</v>
      </c>
    </row>
    <row r="1023" spans="1:3" x14ac:dyDescent="0.15">
      <c r="A1023">
        <v>901</v>
      </c>
      <c r="B1023">
        <v>628</v>
      </c>
      <c r="C1023" t="s">
        <v>27938</v>
      </c>
    </row>
    <row r="1024" spans="1:3" x14ac:dyDescent="0.15">
      <c r="A1024">
        <v>901</v>
      </c>
      <c r="B1024">
        <v>629</v>
      </c>
      <c r="C1024" t="s">
        <v>27939</v>
      </c>
    </row>
    <row r="1025" spans="1:3" x14ac:dyDescent="0.15">
      <c r="A1025">
        <v>901</v>
      </c>
      <c r="B1025">
        <v>630</v>
      </c>
      <c r="C1025" t="s">
        <v>27940</v>
      </c>
    </row>
    <row r="1026" spans="1:3" x14ac:dyDescent="0.15">
      <c r="A1026">
        <v>901</v>
      </c>
      <c r="B1026">
        <v>631</v>
      </c>
      <c r="C1026" t="s">
        <v>27941</v>
      </c>
    </row>
    <row r="1027" spans="1:3" x14ac:dyDescent="0.15">
      <c r="A1027">
        <v>901</v>
      </c>
      <c r="B1027">
        <v>632</v>
      </c>
      <c r="C1027" t="s">
        <v>27942</v>
      </c>
    </row>
    <row r="1028" spans="1:3" x14ac:dyDescent="0.15">
      <c r="A1028">
        <v>901</v>
      </c>
      <c r="B1028">
        <v>633</v>
      </c>
      <c r="C1028" t="s">
        <v>27943</v>
      </c>
    </row>
    <row r="1029" spans="1:3" x14ac:dyDescent="0.15">
      <c r="A1029">
        <v>901</v>
      </c>
      <c r="B1029">
        <v>634</v>
      </c>
      <c r="C1029" t="s">
        <v>27944</v>
      </c>
    </row>
    <row r="1030" spans="1:3" x14ac:dyDescent="0.15">
      <c r="A1030">
        <v>901</v>
      </c>
      <c r="B1030">
        <v>670</v>
      </c>
      <c r="C1030" t="s">
        <v>27012</v>
      </c>
    </row>
    <row r="1031" spans="1:3" x14ac:dyDescent="0.15">
      <c r="A1031">
        <v>901</v>
      </c>
      <c r="B1031">
        <v>671</v>
      </c>
      <c r="C1031" t="s">
        <v>27945</v>
      </c>
    </row>
    <row r="1032" spans="1:3" x14ac:dyDescent="0.15">
      <c r="A1032">
        <v>901</v>
      </c>
      <c r="B1032">
        <v>672</v>
      </c>
      <c r="C1032" t="s">
        <v>27013</v>
      </c>
    </row>
    <row r="1033" spans="1:3" x14ac:dyDescent="0.15">
      <c r="A1033">
        <v>901</v>
      </c>
      <c r="B1033">
        <v>673</v>
      </c>
      <c r="C1033" t="s">
        <v>27946</v>
      </c>
    </row>
    <row r="1034" spans="1:3" x14ac:dyDescent="0.15">
      <c r="A1034">
        <v>901</v>
      </c>
      <c r="B1034">
        <v>674</v>
      </c>
      <c r="C1034" t="s">
        <v>27014</v>
      </c>
    </row>
    <row r="1035" spans="1:3" x14ac:dyDescent="0.15">
      <c r="A1035">
        <v>901</v>
      </c>
      <c r="B1035">
        <v>675</v>
      </c>
      <c r="C1035" t="s">
        <v>27947</v>
      </c>
    </row>
    <row r="1036" spans="1:3" x14ac:dyDescent="0.15">
      <c r="A1036">
        <v>901</v>
      </c>
      <c r="B1036">
        <v>676</v>
      </c>
      <c r="C1036" t="s">
        <v>27016</v>
      </c>
    </row>
    <row r="1037" spans="1:3" x14ac:dyDescent="0.15">
      <c r="A1037">
        <v>901</v>
      </c>
      <c r="B1037">
        <v>677</v>
      </c>
      <c r="C1037" t="s">
        <v>27948</v>
      </c>
    </row>
    <row r="1038" spans="1:3" x14ac:dyDescent="0.15">
      <c r="A1038">
        <v>901</v>
      </c>
      <c r="B1038">
        <v>679</v>
      </c>
      <c r="C1038" t="s">
        <v>27949</v>
      </c>
    </row>
    <row r="1039" spans="1:3" x14ac:dyDescent="0.15">
      <c r="A1039">
        <v>901</v>
      </c>
      <c r="B1039">
        <v>680</v>
      </c>
      <c r="C1039" t="s">
        <v>27950</v>
      </c>
    </row>
    <row r="1040" spans="1:3" x14ac:dyDescent="0.15">
      <c r="A1040">
        <v>901</v>
      </c>
      <c r="B1040">
        <v>681</v>
      </c>
      <c r="C1040" t="s">
        <v>27951</v>
      </c>
    </row>
    <row r="1041" spans="1:3" x14ac:dyDescent="0.15">
      <c r="A1041">
        <v>901</v>
      </c>
      <c r="B1041">
        <v>682</v>
      </c>
      <c r="C1041" t="s">
        <v>27952</v>
      </c>
    </row>
    <row r="1042" spans="1:3" x14ac:dyDescent="0.15">
      <c r="A1042">
        <v>901</v>
      </c>
      <c r="B1042">
        <v>683</v>
      </c>
      <c r="C1042" t="s">
        <v>27019</v>
      </c>
    </row>
    <row r="1043" spans="1:3" x14ac:dyDescent="0.15">
      <c r="A1043">
        <v>901</v>
      </c>
      <c r="B1043">
        <v>684</v>
      </c>
      <c r="C1043" t="s">
        <v>27953</v>
      </c>
    </row>
    <row r="1044" spans="1:3" x14ac:dyDescent="0.15">
      <c r="A1044">
        <v>901</v>
      </c>
      <c r="B1044">
        <v>685</v>
      </c>
      <c r="C1044" t="s">
        <v>27954</v>
      </c>
    </row>
    <row r="1045" spans="1:3" x14ac:dyDescent="0.15">
      <c r="A1045">
        <v>901</v>
      </c>
      <c r="B1045">
        <v>686</v>
      </c>
      <c r="C1045" t="s">
        <v>27955</v>
      </c>
    </row>
    <row r="1046" spans="1:3" x14ac:dyDescent="0.15">
      <c r="A1046">
        <v>901</v>
      </c>
      <c r="B1046">
        <v>697</v>
      </c>
      <c r="C1046" t="s">
        <v>27956</v>
      </c>
    </row>
    <row r="1047" spans="1:3" x14ac:dyDescent="0.15">
      <c r="A1047">
        <v>901</v>
      </c>
      <c r="B1047">
        <v>698</v>
      </c>
      <c r="C1047" t="s">
        <v>27957</v>
      </c>
    </row>
    <row r="1048" spans="1:3" x14ac:dyDescent="0.15">
      <c r="A1048">
        <v>901</v>
      </c>
      <c r="B1048">
        <v>699</v>
      </c>
      <c r="C1048" t="s">
        <v>27958</v>
      </c>
    </row>
    <row r="1049" spans="1:3" x14ac:dyDescent="0.15">
      <c r="A1049">
        <v>901</v>
      </c>
      <c r="B1049">
        <v>700</v>
      </c>
      <c r="C1049" t="s">
        <v>27023</v>
      </c>
    </row>
    <row r="1050" spans="1:3" x14ac:dyDescent="0.15">
      <c r="A1050">
        <v>901</v>
      </c>
      <c r="B1050">
        <v>701</v>
      </c>
      <c r="C1050" t="s">
        <v>27959</v>
      </c>
    </row>
    <row r="1051" spans="1:3" x14ac:dyDescent="0.15">
      <c r="A1051">
        <v>901</v>
      </c>
      <c r="B1051">
        <v>702</v>
      </c>
      <c r="C1051" t="s">
        <v>27024</v>
      </c>
    </row>
    <row r="1052" spans="1:3" x14ac:dyDescent="0.15">
      <c r="A1052">
        <v>901</v>
      </c>
      <c r="B1052">
        <v>710</v>
      </c>
      <c r="C1052" t="s">
        <v>27960</v>
      </c>
    </row>
    <row r="1053" spans="1:3" x14ac:dyDescent="0.15">
      <c r="A1053">
        <v>901</v>
      </c>
      <c r="B1053">
        <v>711</v>
      </c>
      <c r="C1053" t="s">
        <v>27032</v>
      </c>
    </row>
    <row r="1054" spans="1:3" x14ac:dyDescent="0.15">
      <c r="A1054">
        <v>901</v>
      </c>
      <c r="B1054">
        <v>715</v>
      </c>
      <c r="C1054" t="s">
        <v>27034</v>
      </c>
    </row>
    <row r="1055" spans="1:3" x14ac:dyDescent="0.15">
      <c r="A1055">
        <v>901</v>
      </c>
      <c r="B1055">
        <v>999</v>
      </c>
      <c r="C1055" t="s">
        <v>27961</v>
      </c>
    </row>
    <row r="1056" spans="1:3" x14ac:dyDescent="0.15">
      <c r="A1056">
        <v>901</v>
      </c>
      <c r="B1056" t="s">
        <v>27962</v>
      </c>
      <c r="C1056" t="s">
        <v>27963</v>
      </c>
    </row>
    <row r="1057" spans="1:3" x14ac:dyDescent="0.15">
      <c r="A1057">
        <v>901</v>
      </c>
      <c r="B1057" t="s">
        <v>27169</v>
      </c>
      <c r="C1057" t="s">
        <v>27170</v>
      </c>
    </row>
    <row r="1058" spans="1:3" x14ac:dyDescent="0.15">
      <c r="A1058">
        <v>992</v>
      </c>
      <c r="B1058">
        <v>110</v>
      </c>
      <c r="C1058" t="s">
        <v>27964</v>
      </c>
    </row>
    <row r="1059" spans="1:3" x14ac:dyDescent="0.15">
      <c r="A1059">
        <v>992</v>
      </c>
      <c r="B1059">
        <v>121</v>
      </c>
      <c r="C1059" t="s">
        <v>27965</v>
      </c>
    </row>
    <row r="1060" spans="1:3" x14ac:dyDescent="0.15">
      <c r="A1060">
        <v>992</v>
      </c>
      <c r="B1060">
        <v>123</v>
      </c>
      <c r="C1060" t="s">
        <v>27966</v>
      </c>
    </row>
    <row r="1061" spans="1:3" x14ac:dyDescent="0.15">
      <c r="A1061">
        <v>992</v>
      </c>
      <c r="B1061">
        <v>148</v>
      </c>
      <c r="C1061" t="s">
        <v>27967</v>
      </c>
    </row>
    <row r="1062" spans="1:3" x14ac:dyDescent="0.15">
      <c r="A1062">
        <v>992</v>
      </c>
      <c r="B1062">
        <v>199</v>
      </c>
      <c r="C1062" t="s">
        <v>27968</v>
      </c>
    </row>
    <row r="1063" spans="1:3" x14ac:dyDescent="0.15">
      <c r="A1063">
        <v>992</v>
      </c>
      <c r="B1063">
        <v>213</v>
      </c>
      <c r="C1063" t="s">
        <v>27969</v>
      </c>
    </row>
    <row r="1064" spans="1:3" x14ac:dyDescent="0.15">
      <c r="A1064">
        <v>992</v>
      </c>
      <c r="B1064">
        <v>248</v>
      </c>
      <c r="C1064" t="s">
        <v>27970</v>
      </c>
    </row>
    <row r="1065" spans="1:3" x14ac:dyDescent="0.15">
      <c r="A1065">
        <v>992</v>
      </c>
      <c r="B1065">
        <v>253</v>
      </c>
      <c r="C1065" t="s">
        <v>27971</v>
      </c>
    </row>
    <row r="1066" spans="1:3" x14ac:dyDescent="0.15">
      <c r="A1066">
        <v>992</v>
      </c>
      <c r="B1066">
        <v>449</v>
      </c>
      <c r="C1066" t="s">
        <v>27972</v>
      </c>
    </row>
    <row r="1067" spans="1:3" x14ac:dyDescent="0.15">
      <c r="A1067">
        <v>992</v>
      </c>
      <c r="B1067">
        <v>501</v>
      </c>
      <c r="C1067" t="s">
        <v>27973</v>
      </c>
    </row>
    <row r="1068" spans="1:3" x14ac:dyDescent="0.15">
      <c r="A1068">
        <v>992</v>
      </c>
      <c r="B1068">
        <v>502</v>
      </c>
      <c r="C1068" t="s">
        <v>27905</v>
      </c>
    </row>
    <row r="1069" spans="1:3" x14ac:dyDescent="0.15">
      <c r="A1069">
        <v>992</v>
      </c>
      <c r="B1069">
        <v>524</v>
      </c>
      <c r="C1069" t="s">
        <v>27974</v>
      </c>
    </row>
    <row r="1070" spans="1:3" x14ac:dyDescent="0.15">
      <c r="A1070">
        <v>992</v>
      </c>
      <c r="B1070">
        <v>525</v>
      </c>
      <c r="C1070" t="s">
        <v>27975</v>
      </c>
    </row>
    <row r="1071" spans="1:3" x14ac:dyDescent="0.15">
      <c r="A1071">
        <v>992</v>
      </c>
      <c r="B1071">
        <v>529</v>
      </c>
      <c r="C1071" t="s">
        <v>27976</v>
      </c>
    </row>
    <row r="1072" spans="1:3" x14ac:dyDescent="0.15">
      <c r="A1072">
        <v>992</v>
      </c>
      <c r="B1072">
        <v>541</v>
      </c>
      <c r="C1072" t="s">
        <v>27977</v>
      </c>
    </row>
    <row r="1073" spans="1:3" x14ac:dyDescent="0.15">
      <c r="A1073">
        <v>992</v>
      </c>
      <c r="B1073">
        <v>548</v>
      </c>
      <c r="C1073" t="s">
        <v>27978</v>
      </c>
    </row>
    <row r="1074" spans="1:3" x14ac:dyDescent="0.15">
      <c r="A1074">
        <v>992</v>
      </c>
      <c r="B1074">
        <v>560</v>
      </c>
      <c r="C1074" t="s">
        <v>27979</v>
      </c>
    </row>
    <row r="1075" spans="1:3" x14ac:dyDescent="0.15">
      <c r="A1075">
        <v>992</v>
      </c>
      <c r="B1075">
        <v>590</v>
      </c>
      <c r="C1075" t="s">
        <v>26987</v>
      </c>
    </row>
    <row r="1076" spans="1:3" x14ac:dyDescent="0.15">
      <c r="A1076">
        <v>992</v>
      </c>
      <c r="B1076">
        <v>594</v>
      </c>
      <c r="C1076" t="s">
        <v>27980</v>
      </c>
    </row>
    <row r="1077" spans="1:3" x14ac:dyDescent="0.15">
      <c r="A1077">
        <v>992</v>
      </c>
      <c r="B1077">
        <v>621</v>
      </c>
      <c r="C1077" t="s">
        <v>27981</v>
      </c>
    </row>
    <row r="1078" spans="1:3" x14ac:dyDescent="0.15">
      <c r="A1078">
        <v>992</v>
      </c>
      <c r="B1078">
        <v>624</v>
      </c>
      <c r="C1078" t="s">
        <v>27982</v>
      </c>
    </row>
    <row r="1079" spans="1:3" x14ac:dyDescent="0.15">
      <c r="A1079">
        <v>992</v>
      </c>
      <c r="B1079">
        <v>625</v>
      </c>
      <c r="C1079" t="s">
        <v>27983</v>
      </c>
    </row>
    <row r="1080" spans="1:3" x14ac:dyDescent="0.15">
      <c r="A1080">
        <v>992</v>
      </c>
      <c r="B1080">
        <v>627</v>
      </c>
      <c r="C1080" t="s">
        <v>27984</v>
      </c>
    </row>
    <row r="1081" spans="1:3" x14ac:dyDescent="0.15">
      <c r="A1081">
        <v>992</v>
      </c>
      <c r="B1081">
        <v>629</v>
      </c>
      <c r="C1081" t="s">
        <v>27985</v>
      </c>
    </row>
    <row r="1082" spans="1:3" x14ac:dyDescent="0.15">
      <c r="A1082">
        <v>992</v>
      </c>
      <c r="B1082">
        <v>631</v>
      </c>
      <c r="C1082" t="s">
        <v>27941</v>
      </c>
    </row>
    <row r="1083" spans="1:3" x14ac:dyDescent="0.15">
      <c r="A1083">
        <v>992</v>
      </c>
      <c r="B1083">
        <v>634</v>
      </c>
      <c r="C1083" t="s">
        <v>27986</v>
      </c>
    </row>
    <row r="1084" spans="1:3" x14ac:dyDescent="0.15">
      <c r="A1084">
        <v>992</v>
      </c>
      <c r="B1084">
        <v>680</v>
      </c>
      <c r="C1084" t="s">
        <v>27950</v>
      </c>
    </row>
    <row r="1085" spans="1:3" x14ac:dyDescent="0.15">
      <c r="A1085">
        <v>992</v>
      </c>
      <c r="B1085">
        <v>681</v>
      </c>
      <c r="C1085" t="s">
        <v>27951</v>
      </c>
    </row>
    <row r="1086" spans="1:3" x14ac:dyDescent="0.15">
      <c r="A1086">
        <v>992</v>
      </c>
      <c r="B1086">
        <v>682</v>
      </c>
      <c r="C1086" t="s">
        <v>27952</v>
      </c>
    </row>
    <row r="1087" spans="1:3" x14ac:dyDescent="0.15">
      <c r="A1087">
        <v>992</v>
      </c>
      <c r="B1087">
        <v>685</v>
      </c>
      <c r="C1087" t="s">
        <v>27954</v>
      </c>
    </row>
    <row r="1088" spans="1:3" x14ac:dyDescent="0.15">
      <c r="A1088">
        <v>992</v>
      </c>
      <c r="B1088">
        <v>701</v>
      </c>
      <c r="C1088" t="s">
        <v>27959</v>
      </c>
    </row>
    <row r="1089" spans="1:3" x14ac:dyDescent="0.15">
      <c r="A1089">
        <v>992</v>
      </c>
      <c r="B1089">
        <v>713</v>
      </c>
      <c r="C1089" t="s">
        <v>27987</v>
      </c>
    </row>
    <row r="1090" spans="1:3" x14ac:dyDescent="0.15">
      <c r="A1090">
        <v>992</v>
      </c>
      <c r="B1090">
        <v>714</v>
      </c>
      <c r="C1090" t="s">
        <v>27988</v>
      </c>
    </row>
    <row r="1091" spans="1:3" x14ac:dyDescent="0.15">
      <c r="A1091">
        <v>992</v>
      </c>
      <c r="B1091" t="s">
        <v>27587</v>
      </c>
      <c r="C1091" t="s">
        <v>27989</v>
      </c>
    </row>
    <row r="1092" spans="1:3" x14ac:dyDescent="0.15">
      <c r="A1092">
        <v>992</v>
      </c>
      <c r="B1092" t="s">
        <v>27589</v>
      </c>
      <c r="C1092" t="s">
        <v>27990</v>
      </c>
    </row>
    <row r="1093" spans="1:3" x14ac:dyDescent="0.15">
      <c r="A1093">
        <v>992</v>
      </c>
      <c r="B1093" t="s">
        <v>27591</v>
      </c>
      <c r="C1093" t="s">
        <v>27991</v>
      </c>
    </row>
    <row r="1094" spans="1:3" x14ac:dyDescent="0.15">
      <c r="A1094">
        <v>992</v>
      </c>
      <c r="B1094" t="s">
        <v>27593</v>
      </c>
      <c r="C1094" t="s">
        <v>27992</v>
      </c>
    </row>
    <row r="1095" spans="1:3" x14ac:dyDescent="0.15">
      <c r="A1095">
        <v>992</v>
      </c>
      <c r="B1095" t="s">
        <v>27595</v>
      </c>
      <c r="C1095" t="s">
        <v>27993</v>
      </c>
    </row>
    <row r="1096" spans="1:3" x14ac:dyDescent="0.15">
      <c r="A1096">
        <v>992</v>
      </c>
      <c r="B1096" t="s">
        <v>27597</v>
      </c>
      <c r="C1096" t="s">
        <v>27994</v>
      </c>
    </row>
    <row r="1097" spans="1:3" x14ac:dyDescent="0.15">
      <c r="A1097">
        <v>992</v>
      </c>
      <c r="B1097" t="s">
        <v>27599</v>
      </c>
      <c r="C1097" t="s">
        <v>27995</v>
      </c>
    </row>
    <row r="1098" spans="1:3" x14ac:dyDescent="0.15">
      <c r="A1098">
        <v>992</v>
      </c>
      <c r="B1098" t="s">
        <v>27601</v>
      </c>
      <c r="C1098" t="s">
        <v>27996</v>
      </c>
    </row>
    <row r="1099" spans="1:3" x14ac:dyDescent="0.15">
      <c r="A1099">
        <v>992</v>
      </c>
      <c r="B1099" t="s">
        <v>27603</v>
      </c>
      <c r="C1099" t="s">
        <v>27997</v>
      </c>
    </row>
    <row r="1100" spans="1:3" x14ac:dyDescent="0.15">
      <c r="A1100">
        <v>992</v>
      </c>
      <c r="B1100" t="s">
        <v>27605</v>
      </c>
      <c r="C1100" t="s">
        <v>27998</v>
      </c>
    </row>
    <row r="1101" spans="1:3" x14ac:dyDescent="0.15">
      <c r="A1101">
        <v>992</v>
      </c>
      <c r="B1101" t="s">
        <v>27607</v>
      </c>
      <c r="C1101" t="s">
        <v>27999</v>
      </c>
    </row>
    <row r="1102" spans="1:3" x14ac:dyDescent="0.15">
      <c r="A1102">
        <v>992</v>
      </c>
      <c r="B1102" t="s">
        <v>27609</v>
      </c>
      <c r="C1102" t="s">
        <v>28000</v>
      </c>
    </row>
    <row r="1103" spans="1:3" x14ac:dyDescent="0.15">
      <c r="A1103">
        <v>992</v>
      </c>
      <c r="B1103" t="s">
        <v>27611</v>
      </c>
      <c r="C1103" t="s">
        <v>28001</v>
      </c>
    </row>
    <row r="1104" spans="1:3" x14ac:dyDescent="0.15">
      <c r="A1104">
        <v>992</v>
      </c>
      <c r="B1104" t="s">
        <v>27613</v>
      </c>
      <c r="C1104" t="s">
        <v>28002</v>
      </c>
    </row>
    <row r="1105" spans="1:3" x14ac:dyDescent="0.15">
      <c r="A1105">
        <v>992</v>
      </c>
      <c r="B1105" t="s">
        <v>27615</v>
      </c>
      <c r="C1105" t="s">
        <v>28003</v>
      </c>
    </row>
    <row r="1106" spans="1:3" x14ac:dyDescent="0.15">
      <c r="A1106">
        <v>992</v>
      </c>
      <c r="B1106" t="s">
        <v>27617</v>
      </c>
      <c r="C1106" t="s">
        <v>28004</v>
      </c>
    </row>
    <row r="1107" spans="1:3" x14ac:dyDescent="0.15">
      <c r="A1107">
        <v>992</v>
      </c>
      <c r="B1107" t="s">
        <v>27619</v>
      </c>
      <c r="C1107" t="s">
        <v>28005</v>
      </c>
    </row>
    <row r="1108" spans="1:3" x14ac:dyDescent="0.15">
      <c r="A1108">
        <v>992</v>
      </c>
      <c r="B1108" t="s">
        <v>27621</v>
      </c>
      <c r="C1108" t="s">
        <v>28006</v>
      </c>
    </row>
    <row r="1109" spans="1:3" x14ac:dyDescent="0.15">
      <c r="A1109">
        <v>992</v>
      </c>
      <c r="B1109" t="s">
        <v>27623</v>
      </c>
      <c r="C1109" t="s">
        <v>28007</v>
      </c>
    </row>
    <row r="1110" spans="1:3" x14ac:dyDescent="0.15">
      <c r="A1110">
        <v>992</v>
      </c>
      <c r="B1110" t="s">
        <v>27625</v>
      </c>
      <c r="C1110" t="s">
        <v>28008</v>
      </c>
    </row>
    <row r="1111" spans="1:3" x14ac:dyDescent="0.15">
      <c r="A1111">
        <v>992</v>
      </c>
      <c r="B1111" t="s">
        <v>27627</v>
      </c>
      <c r="C1111" t="s">
        <v>28009</v>
      </c>
    </row>
    <row r="1112" spans="1:3" x14ac:dyDescent="0.15">
      <c r="A1112">
        <v>992</v>
      </c>
      <c r="B1112" t="s">
        <v>27629</v>
      </c>
      <c r="C1112" t="s">
        <v>28010</v>
      </c>
    </row>
    <row r="1113" spans="1:3" x14ac:dyDescent="0.15">
      <c r="A1113">
        <v>992</v>
      </c>
      <c r="B1113" t="s">
        <v>27631</v>
      </c>
      <c r="C1113" t="s">
        <v>28011</v>
      </c>
    </row>
    <row r="1114" spans="1:3" x14ac:dyDescent="0.15">
      <c r="A1114">
        <v>992</v>
      </c>
      <c r="B1114" t="s">
        <v>27634</v>
      </c>
      <c r="C1114" t="s">
        <v>28012</v>
      </c>
    </row>
    <row r="1115" spans="1:3" x14ac:dyDescent="0.15">
      <c r="A1115">
        <v>992</v>
      </c>
      <c r="B1115" t="s">
        <v>27636</v>
      </c>
      <c r="C1115" t="s">
        <v>28013</v>
      </c>
    </row>
    <row r="1116" spans="1:3" x14ac:dyDescent="0.15">
      <c r="A1116">
        <v>992</v>
      </c>
      <c r="B1116" t="s">
        <v>27638</v>
      </c>
      <c r="C1116" t="s">
        <v>28014</v>
      </c>
    </row>
    <row r="1117" spans="1:3" x14ac:dyDescent="0.15">
      <c r="A1117">
        <v>992</v>
      </c>
      <c r="B1117" t="s">
        <v>27640</v>
      </c>
      <c r="C1117" t="s">
        <v>28015</v>
      </c>
    </row>
    <row r="1118" spans="1:3" x14ac:dyDescent="0.15">
      <c r="A1118">
        <v>992</v>
      </c>
      <c r="B1118" t="s">
        <v>27642</v>
      </c>
      <c r="C1118" t="s">
        <v>28016</v>
      </c>
    </row>
    <row r="1119" spans="1:3" x14ac:dyDescent="0.15">
      <c r="A1119">
        <v>992</v>
      </c>
      <c r="B1119" t="s">
        <v>27644</v>
      </c>
      <c r="C1119" t="s">
        <v>28017</v>
      </c>
    </row>
    <row r="1120" spans="1:3" x14ac:dyDescent="0.15">
      <c r="A1120">
        <v>992</v>
      </c>
      <c r="B1120" t="s">
        <v>27646</v>
      </c>
      <c r="C1120" t="s">
        <v>28018</v>
      </c>
    </row>
    <row r="1121" spans="1:3" x14ac:dyDescent="0.15">
      <c r="A1121">
        <v>992</v>
      </c>
      <c r="B1121" t="s">
        <v>27648</v>
      </c>
      <c r="C1121" t="s">
        <v>28019</v>
      </c>
    </row>
    <row r="1122" spans="1:3" x14ac:dyDescent="0.15">
      <c r="A1122">
        <v>992</v>
      </c>
      <c r="B1122" t="s">
        <v>27650</v>
      </c>
      <c r="C1122" t="s">
        <v>28020</v>
      </c>
    </row>
    <row r="1123" spans="1:3" x14ac:dyDescent="0.15">
      <c r="A1123">
        <v>992</v>
      </c>
      <c r="B1123" t="s">
        <v>27652</v>
      </c>
      <c r="C1123" t="s">
        <v>28021</v>
      </c>
    </row>
    <row r="1124" spans="1:3" x14ac:dyDescent="0.15">
      <c r="A1124">
        <v>992</v>
      </c>
      <c r="B1124" t="s">
        <v>27654</v>
      </c>
      <c r="C1124" t="s">
        <v>28022</v>
      </c>
    </row>
    <row r="1125" spans="1:3" x14ac:dyDescent="0.15">
      <c r="A1125">
        <v>992</v>
      </c>
      <c r="B1125" t="s">
        <v>27656</v>
      </c>
      <c r="C1125" t="s">
        <v>26823</v>
      </c>
    </row>
    <row r="1126" spans="1:3" x14ac:dyDescent="0.15">
      <c r="A1126">
        <v>992</v>
      </c>
      <c r="B1126" t="s">
        <v>27657</v>
      </c>
      <c r="C1126" t="s">
        <v>28023</v>
      </c>
    </row>
    <row r="1127" spans="1:3" x14ac:dyDescent="0.15">
      <c r="A1127">
        <v>992</v>
      </c>
      <c r="B1127" t="s">
        <v>27659</v>
      </c>
      <c r="C1127" t="s">
        <v>28024</v>
      </c>
    </row>
    <row r="1128" spans="1:3" x14ac:dyDescent="0.15">
      <c r="A1128">
        <v>992</v>
      </c>
      <c r="B1128" t="s">
        <v>27661</v>
      </c>
      <c r="C1128" t="s">
        <v>28025</v>
      </c>
    </row>
    <row r="1129" spans="1:3" x14ac:dyDescent="0.15">
      <c r="A1129">
        <v>992</v>
      </c>
      <c r="B1129" t="s">
        <v>27663</v>
      </c>
      <c r="C1129" t="s">
        <v>28026</v>
      </c>
    </row>
    <row r="1130" spans="1:3" x14ac:dyDescent="0.15">
      <c r="A1130">
        <v>992</v>
      </c>
      <c r="B1130" t="s">
        <v>27665</v>
      </c>
      <c r="C1130" t="s">
        <v>28027</v>
      </c>
    </row>
    <row r="1131" spans="1:3" x14ac:dyDescent="0.15">
      <c r="A1131">
        <v>992</v>
      </c>
      <c r="B1131" t="s">
        <v>27667</v>
      </c>
      <c r="C1131" t="s">
        <v>28028</v>
      </c>
    </row>
    <row r="1132" spans="1:3" x14ac:dyDescent="0.15">
      <c r="A1132">
        <v>992</v>
      </c>
      <c r="B1132" t="s">
        <v>27669</v>
      </c>
      <c r="C1132" t="s">
        <v>28029</v>
      </c>
    </row>
    <row r="1133" spans="1:3" x14ac:dyDescent="0.15">
      <c r="A1133">
        <v>992</v>
      </c>
      <c r="B1133" t="s">
        <v>27671</v>
      </c>
      <c r="C1133" t="s">
        <v>28030</v>
      </c>
    </row>
    <row r="1134" spans="1:3" x14ac:dyDescent="0.15">
      <c r="A1134">
        <v>992</v>
      </c>
      <c r="B1134" t="s">
        <v>27673</v>
      </c>
      <c r="C1134" t="s">
        <v>28031</v>
      </c>
    </row>
    <row r="1135" spans="1:3" x14ac:dyDescent="0.15">
      <c r="A1135">
        <v>992</v>
      </c>
      <c r="B1135" t="s">
        <v>27675</v>
      </c>
      <c r="C1135" t="s">
        <v>28032</v>
      </c>
    </row>
    <row r="1136" spans="1:3" x14ac:dyDescent="0.15">
      <c r="A1136">
        <v>992</v>
      </c>
      <c r="B1136" t="s">
        <v>27677</v>
      </c>
      <c r="C1136" t="s">
        <v>28033</v>
      </c>
    </row>
    <row r="1137" spans="1:3" x14ac:dyDescent="0.15">
      <c r="A1137">
        <v>992</v>
      </c>
      <c r="B1137" t="s">
        <v>27679</v>
      </c>
      <c r="C1137" t="s">
        <v>28034</v>
      </c>
    </row>
    <row r="1138" spans="1:3" x14ac:dyDescent="0.15">
      <c r="A1138">
        <v>992</v>
      </c>
      <c r="B1138" t="s">
        <v>27681</v>
      </c>
      <c r="C1138" t="s">
        <v>28035</v>
      </c>
    </row>
    <row r="1139" spans="1:3" x14ac:dyDescent="0.15">
      <c r="A1139">
        <v>992</v>
      </c>
      <c r="B1139" t="s">
        <v>27683</v>
      </c>
      <c r="C1139" t="s">
        <v>28036</v>
      </c>
    </row>
    <row r="1140" spans="1:3" x14ac:dyDescent="0.15">
      <c r="A1140">
        <v>992</v>
      </c>
      <c r="B1140" t="s">
        <v>27685</v>
      </c>
      <c r="C1140" t="s">
        <v>28037</v>
      </c>
    </row>
    <row r="1141" spans="1:3" x14ac:dyDescent="0.15">
      <c r="A1141">
        <v>992</v>
      </c>
      <c r="B1141" t="s">
        <v>27687</v>
      </c>
      <c r="C1141" t="s">
        <v>28038</v>
      </c>
    </row>
    <row r="1142" spans="1:3" x14ac:dyDescent="0.15">
      <c r="A1142">
        <v>992</v>
      </c>
      <c r="B1142" t="s">
        <v>27689</v>
      </c>
      <c r="C1142" t="s">
        <v>28039</v>
      </c>
    </row>
    <row r="1143" spans="1:3" x14ac:dyDescent="0.15">
      <c r="A1143">
        <v>992</v>
      </c>
      <c r="B1143" t="s">
        <v>27691</v>
      </c>
      <c r="C1143" t="s">
        <v>28040</v>
      </c>
    </row>
    <row r="1144" spans="1:3" x14ac:dyDescent="0.15">
      <c r="A1144">
        <v>992</v>
      </c>
      <c r="B1144" t="s">
        <v>27693</v>
      </c>
      <c r="C1144" t="s">
        <v>28041</v>
      </c>
    </row>
    <row r="1145" spans="1:3" x14ac:dyDescent="0.15">
      <c r="A1145">
        <v>992</v>
      </c>
      <c r="B1145" t="s">
        <v>27695</v>
      </c>
      <c r="C1145" t="s">
        <v>28042</v>
      </c>
    </row>
    <row r="1146" spans="1:3" x14ac:dyDescent="0.15">
      <c r="A1146">
        <v>992</v>
      </c>
      <c r="B1146" t="s">
        <v>27697</v>
      </c>
      <c r="C1146" t="s">
        <v>28043</v>
      </c>
    </row>
    <row r="1147" spans="1:3" x14ac:dyDescent="0.15">
      <c r="A1147">
        <v>992</v>
      </c>
      <c r="B1147" t="s">
        <v>27699</v>
      </c>
      <c r="C1147" t="s">
        <v>28044</v>
      </c>
    </row>
    <row r="1148" spans="1:3" x14ac:dyDescent="0.15">
      <c r="A1148">
        <v>992</v>
      </c>
      <c r="B1148" t="s">
        <v>27701</v>
      </c>
      <c r="C1148" t="s">
        <v>28045</v>
      </c>
    </row>
    <row r="1149" spans="1:3" x14ac:dyDescent="0.15">
      <c r="A1149">
        <v>992</v>
      </c>
      <c r="B1149" t="s">
        <v>27703</v>
      </c>
      <c r="C1149" t="s">
        <v>28046</v>
      </c>
    </row>
    <row r="1150" spans="1:3" x14ac:dyDescent="0.15">
      <c r="A1150">
        <v>992</v>
      </c>
      <c r="B1150" t="s">
        <v>27705</v>
      </c>
      <c r="C1150" t="s">
        <v>28047</v>
      </c>
    </row>
    <row r="1151" spans="1:3" x14ac:dyDescent="0.15">
      <c r="A1151">
        <v>992</v>
      </c>
      <c r="B1151" t="s">
        <v>27707</v>
      </c>
      <c r="C1151" t="s">
        <v>28048</v>
      </c>
    </row>
    <row r="1152" spans="1:3" x14ac:dyDescent="0.15">
      <c r="A1152">
        <v>992</v>
      </c>
      <c r="B1152" t="s">
        <v>27709</v>
      </c>
      <c r="C1152" t="s">
        <v>28049</v>
      </c>
    </row>
    <row r="1153" spans="1:3" x14ac:dyDescent="0.15">
      <c r="A1153">
        <v>992</v>
      </c>
      <c r="B1153" t="s">
        <v>27711</v>
      </c>
      <c r="C1153" t="s">
        <v>28050</v>
      </c>
    </row>
    <row r="1154" spans="1:3" x14ac:dyDescent="0.15">
      <c r="A1154">
        <v>992</v>
      </c>
      <c r="B1154" t="s">
        <v>27713</v>
      </c>
      <c r="C1154" t="s">
        <v>28051</v>
      </c>
    </row>
    <row r="1155" spans="1:3" x14ac:dyDescent="0.15">
      <c r="A1155">
        <v>992</v>
      </c>
      <c r="B1155" t="s">
        <v>27715</v>
      </c>
      <c r="C1155" t="s">
        <v>28052</v>
      </c>
    </row>
    <row r="1156" spans="1:3" x14ac:dyDescent="0.15">
      <c r="A1156">
        <v>992</v>
      </c>
      <c r="B1156" t="s">
        <v>27717</v>
      </c>
      <c r="C1156" t="s">
        <v>28053</v>
      </c>
    </row>
    <row r="1157" spans="1:3" x14ac:dyDescent="0.15">
      <c r="A1157">
        <v>992</v>
      </c>
      <c r="B1157" t="s">
        <v>27719</v>
      </c>
      <c r="C1157" t="s">
        <v>28054</v>
      </c>
    </row>
    <row r="1158" spans="1:3" x14ac:dyDescent="0.15">
      <c r="A1158">
        <v>992</v>
      </c>
      <c r="B1158" t="s">
        <v>27721</v>
      </c>
      <c r="C1158" t="s">
        <v>28055</v>
      </c>
    </row>
    <row r="1159" spans="1:3" x14ac:dyDescent="0.15">
      <c r="A1159">
        <v>992</v>
      </c>
      <c r="B1159" t="s">
        <v>27723</v>
      </c>
      <c r="C1159" t="s">
        <v>28056</v>
      </c>
    </row>
    <row r="1160" spans="1:3" x14ac:dyDescent="0.15">
      <c r="A1160">
        <v>992</v>
      </c>
      <c r="B1160" t="s">
        <v>27725</v>
      </c>
      <c r="C1160" t="s">
        <v>28057</v>
      </c>
    </row>
    <row r="1161" spans="1:3" x14ac:dyDescent="0.15">
      <c r="A1161">
        <v>992</v>
      </c>
      <c r="B1161" t="s">
        <v>27727</v>
      </c>
      <c r="C1161" t="s">
        <v>28058</v>
      </c>
    </row>
    <row r="1162" spans="1:3" x14ac:dyDescent="0.15">
      <c r="A1162">
        <v>992</v>
      </c>
      <c r="B1162" t="s">
        <v>27729</v>
      </c>
      <c r="C1162" t="s">
        <v>28059</v>
      </c>
    </row>
    <row r="1163" spans="1:3" x14ac:dyDescent="0.15">
      <c r="A1163">
        <v>992</v>
      </c>
      <c r="B1163" t="s">
        <v>27731</v>
      </c>
      <c r="C1163" t="s">
        <v>28060</v>
      </c>
    </row>
    <row r="1164" spans="1:3" x14ac:dyDescent="0.15">
      <c r="A1164">
        <v>992</v>
      </c>
      <c r="B1164" t="s">
        <v>27733</v>
      </c>
      <c r="C1164" t="s">
        <v>28061</v>
      </c>
    </row>
    <row r="1165" spans="1:3" x14ac:dyDescent="0.15">
      <c r="A1165">
        <v>992</v>
      </c>
      <c r="B1165" t="s">
        <v>27735</v>
      </c>
      <c r="C1165" t="s">
        <v>28062</v>
      </c>
    </row>
    <row r="1166" spans="1:3" x14ac:dyDescent="0.15">
      <c r="A1166">
        <v>992</v>
      </c>
      <c r="B1166" t="s">
        <v>27737</v>
      </c>
      <c r="C1166" t="s">
        <v>28063</v>
      </c>
    </row>
    <row r="1167" spans="1:3" x14ac:dyDescent="0.15">
      <c r="A1167">
        <v>992</v>
      </c>
      <c r="B1167" t="s">
        <v>27739</v>
      </c>
      <c r="C1167" t="s">
        <v>28064</v>
      </c>
    </row>
    <row r="1168" spans="1:3" x14ac:dyDescent="0.15">
      <c r="A1168">
        <v>992</v>
      </c>
      <c r="B1168" t="s">
        <v>27741</v>
      </c>
      <c r="C1168" t="s">
        <v>28065</v>
      </c>
    </row>
    <row r="1169" spans="1:3" x14ac:dyDescent="0.15">
      <c r="A1169">
        <v>992</v>
      </c>
      <c r="B1169" t="s">
        <v>27743</v>
      </c>
      <c r="C1169" t="s">
        <v>28066</v>
      </c>
    </row>
    <row r="1170" spans="1:3" x14ac:dyDescent="0.15">
      <c r="A1170">
        <v>992</v>
      </c>
      <c r="B1170" t="s">
        <v>27745</v>
      </c>
      <c r="C1170" t="s">
        <v>28067</v>
      </c>
    </row>
    <row r="1171" spans="1:3" x14ac:dyDescent="0.15">
      <c r="A1171">
        <v>992</v>
      </c>
      <c r="B1171" t="s">
        <v>27747</v>
      </c>
      <c r="C1171" t="s">
        <v>28068</v>
      </c>
    </row>
    <row r="1172" spans="1:3" x14ac:dyDescent="0.15">
      <c r="A1172">
        <v>992</v>
      </c>
      <c r="B1172" t="s">
        <v>27749</v>
      </c>
      <c r="C1172" t="s">
        <v>28069</v>
      </c>
    </row>
    <row r="1173" spans="1:3" x14ac:dyDescent="0.15">
      <c r="A1173">
        <v>992</v>
      </c>
      <c r="B1173" t="s">
        <v>27751</v>
      </c>
      <c r="C1173" t="s">
        <v>28070</v>
      </c>
    </row>
    <row r="1174" spans="1:3" x14ac:dyDescent="0.15">
      <c r="A1174">
        <v>992</v>
      </c>
      <c r="B1174" t="s">
        <v>27753</v>
      </c>
      <c r="C1174" t="s">
        <v>28071</v>
      </c>
    </row>
    <row r="1175" spans="1:3" x14ac:dyDescent="0.15">
      <c r="A1175">
        <v>992</v>
      </c>
      <c r="B1175" t="s">
        <v>27755</v>
      </c>
      <c r="C1175" t="s">
        <v>28072</v>
      </c>
    </row>
    <row r="1176" spans="1:3" x14ac:dyDescent="0.15">
      <c r="A1176">
        <v>992</v>
      </c>
      <c r="B1176" t="s">
        <v>27757</v>
      </c>
      <c r="C1176" t="s">
        <v>28073</v>
      </c>
    </row>
    <row r="1177" spans="1:3" x14ac:dyDescent="0.15">
      <c r="A1177">
        <v>992</v>
      </c>
      <c r="B1177" t="s">
        <v>27759</v>
      </c>
      <c r="C1177" t="s">
        <v>28074</v>
      </c>
    </row>
    <row r="1178" spans="1:3" x14ac:dyDescent="0.15">
      <c r="A1178">
        <v>992</v>
      </c>
      <c r="B1178" t="s">
        <v>27761</v>
      </c>
      <c r="C1178" t="s">
        <v>28075</v>
      </c>
    </row>
    <row r="1179" spans="1:3" x14ac:dyDescent="0.15">
      <c r="A1179">
        <v>992</v>
      </c>
      <c r="B1179" t="s">
        <v>27763</v>
      </c>
      <c r="C1179" t="s">
        <v>28076</v>
      </c>
    </row>
    <row r="1180" spans="1:3" x14ac:dyDescent="0.15">
      <c r="A1180">
        <v>992</v>
      </c>
      <c r="B1180" t="s">
        <v>27765</v>
      </c>
      <c r="C1180" t="s">
        <v>28077</v>
      </c>
    </row>
    <row r="1181" spans="1:3" x14ac:dyDescent="0.15">
      <c r="A1181">
        <v>992</v>
      </c>
      <c r="B1181" t="s">
        <v>27767</v>
      </c>
      <c r="C1181" t="s">
        <v>28078</v>
      </c>
    </row>
    <row r="1182" spans="1:3" x14ac:dyDescent="0.15">
      <c r="A1182">
        <v>992</v>
      </c>
      <c r="B1182" t="s">
        <v>27769</v>
      </c>
      <c r="C1182" t="s">
        <v>28079</v>
      </c>
    </row>
    <row r="1183" spans="1:3" x14ac:dyDescent="0.15">
      <c r="A1183">
        <v>992</v>
      </c>
      <c r="B1183" t="s">
        <v>27771</v>
      </c>
      <c r="C1183" t="s">
        <v>28080</v>
      </c>
    </row>
    <row r="1184" spans="1:3" x14ac:dyDescent="0.15">
      <c r="A1184">
        <v>992</v>
      </c>
      <c r="B1184" t="s">
        <v>27773</v>
      </c>
      <c r="C1184" t="s">
        <v>28081</v>
      </c>
    </row>
    <row r="1185" spans="1:3" x14ac:dyDescent="0.15">
      <c r="A1185">
        <v>992</v>
      </c>
      <c r="B1185" t="s">
        <v>27775</v>
      </c>
      <c r="C1185" t="s">
        <v>28082</v>
      </c>
    </row>
    <row r="1186" spans="1:3" x14ac:dyDescent="0.15">
      <c r="A1186">
        <v>992</v>
      </c>
      <c r="B1186" t="s">
        <v>27777</v>
      </c>
      <c r="C1186" t="s">
        <v>28083</v>
      </c>
    </row>
    <row r="1187" spans="1:3" x14ac:dyDescent="0.15">
      <c r="A1187">
        <v>992</v>
      </c>
      <c r="B1187" t="s">
        <v>27779</v>
      </c>
      <c r="C1187" t="s">
        <v>28084</v>
      </c>
    </row>
    <row r="1188" spans="1:3" x14ac:dyDescent="0.15">
      <c r="A1188">
        <v>992</v>
      </c>
      <c r="B1188" t="s">
        <v>27781</v>
      </c>
      <c r="C1188" t="s">
        <v>28085</v>
      </c>
    </row>
    <row r="1189" spans="1:3" x14ac:dyDescent="0.15">
      <c r="A1189">
        <v>992</v>
      </c>
      <c r="B1189" t="s">
        <v>27783</v>
      </c>
      <c r="C1189" t="s">
        <v>28086</v>
      </c>
    </row>
    <row r="1190" spans="1:3" x14ac:dyDescent="0.15">
      <c r="A1190">
        <v>992</v>
      </c>
      <c r="B1190" t="s">
        <v>27785</v>
      </c>
      <c r="C1190" t="s">
        <v>28087</v>
      </c>
    </row>
    <row r="1191" spans="1:3" x14ac:dyDescent="0.15">
      <c r="A1191">
        <v>992</v>
      </c>
      <c r="B1191" t="s">
        <v>27787</v>
      </c>
      <c r="C1191" t="s">
        <v>28088</v>
      </c>
    </row>
    <row r="1192" spans="1:3" x14ac:dyDescent="0.15">
      <c r="A1192">
        <v>992</v>
      </c>
      <c r="B1192" t="s">
        <v>27789</v>
      </c>
      <c r="C1192" t="s">
        <v>28089</v>
      </c>
    </row>
    <row r="1193" spans="1:3" x14ac:dyDescent="0.15">
      <c r="A1193">
        <v>992</v>
      </c>
      <c r="B1193" t="s">
        <v>27791</v>
      </c>
      <c r="C1193" t="s">
        <v>28090</v>
      </c>
    </row>
    <row r="1194" spans="1:3" x14ac:dyDescent="0.15">
      <c r="A1194">
        <v>992</v>
      </c>
      <c r="B1194" t="s">
        <v>27793</v>
      </c>
      <c r="C1194" t="s">
        <v>28091</v>
      </c>
    </row>
    <row r="1195" spans="1:3" x14ac:dyDescent="0.15">
      <c r="A1195">
        <v>992</v>
      </c>
      <c r="B1195" t="s">
        <v>27795</v>
      </c>
      <c r="C1195" t="s">
        <v>28092</v>
      </c>
    </row>
    <row r="1196" spans="1:3" x14ac:dyDescent="0.15">
      <c r="A1196">
        <v>992</v>
      </c>
      <c r="B1196" t="s">
        <v>27797</v>
      </c>
      <c r="C1196" t="s">
        <v>28093</v>
      </c>
    </row>
    <row r="1197" spans="1:3" x14ac:dyDescent="0.15">
      <c r="A1197">
        <v>992</v>
      </c>
      <c r="B1197" t="s">
        <v>27799</v>
      </c>
      <c r="C1197" t="s">
        <v>28094</v>
      </c>
    </row>
    <row r="1198" spans="1:3" x14ac:dyDescent="0.15">
      <c r="A1198">
        <v>992</v>
      </c>
      <c r="B1198" t="s">
        <v>27801</v>
      </c>
      <c r="C1198" t="s">
        <v>28095</v>
      </c>
    </row>
    <row r="1199" spans="1:3" x14ac:dyDescent="0.15">
      <c r="A1199">
        <v>992</v>
      </c>
      <c r="B1199" t="s">
        <v>27803</v>
      </c>
      <c r="C1199" t="s">
        <v>28096</v>
      </c>
    </row>
    <row r="1200" spans="1:3" x14ac:dyDescent="0.15">
      <c r="A1200">
        <v>992</v>
      </c>
      <c r="B1200" t="s">
        <v>27805</v>
      </c>
      <c r="C1200" t="s">
        <v>28097</v>
      </c>
    </row>
    <row r="1201" spans="1:3" x14ac:dyDescent="0.15">
      <c r="A1201">
        <v>992</v>
      </c>
      <c r="B1201" t="s">
        <v>27807</v>
      </c>
      <c r="C1201" t="s">
        <v>28098</v>
      </c>
    </row>
    <row r="1202" spans="1:3" x14ac:dyDescent="0.15">
      <c r="A1202">
        <v>992</v>
      </c>
      <c r="B1202" t="s">
        <v>27809</v>
      </c>
      <c r="C1202" t="s">
        <v>28099</v>
      </c>
    </row>
    <row r="1203" spans="1:3" x14ac:dyDescent="0.15">
      <c r="A1203">
        <v>992</v>
      </c>
      <c r="B1203" t="s">
        <v>27811</v>
      </c>
      <c r="C1203" t="s">
        <v>28100</v>
      </c>
    </row>
    <row r="1204" spans="1:3" x14ac:dyDescent="0.15">
      <c r="A1204">
        <v>992</v>
      </c>
      <c r="B1204" t="s">
        <v>27813</v>
      </c>
      <c r="C1204" t="s">
        <v>28101</v>
      </c>
    </row>
    <row r="1205" spans="1:3" x14ac:dyDescent="0.15">
      <c r="A1205">
        <v>992</v>
      </c>
      <c r="B1205" t="s">
        <v>27815</v>
      </c>
      <c r="C1205" t="s">
        <v>28102</v>
      </c>
    </row>
    <row r="1206" spans="1:3" x14ac:dyDescent="0.15">
      <c r="A1206">
        <v>992</v>
      </c>
      <c r="B1206" t="s">
        <v>27817</v>
      </c>
      <c r="C1206" t="s">
        <v>28103</v>
      </c>
    </row>
    <row r="1207" spans="1:3" x14ac:dyDescent="0.15">
      <c r="A1207">
        <v>992</v>
      </c>
      <c r="B1207" t="s">
        <v>27819</v>
      </c>
      <c r="C1207" t="s">
        <v>28104</v>
      </c>
    </row>
    <row r="1208" spans="1:3" x14ac:dyDescent="0.15">
      <c r="A1208">
        <v>992</v>
      </c>
      <c r="B1208" t="s">
        <v>27821</v>
      </c>
      <c r="C1208" t="s">
        <v>28105</v>
      </c>
    </row>
    <row r="1209" spans="1:3" x14ac:dyDescent="0.15">
      <c r="A1209">
        <v>992</v>
      </c>
      <c r="B1209" t="s">
        <v>27824</v>
      </c>
      <c r="C1209" t="s">
        <v>28106</v>
      </c>
    </row>
    <row r="1210" spans="1:3" x14ac:dyDescent="0.15">
      <c r="A1210">
        <v>992</v>
      </c>
      <c r="B1210" t="s">
        <v>28107</v>
      </c>
      <c r="C1210" t="s">
        <v>28108</v>
      </c>
    </row>
    <row r="1211" spans="1:3" x14ac:dyDescent="0.15">
      <c r="A1211">
        <v>992</v>
      </c>
      <c r="B1211" t="s">
        <v>28109</v>
      </c>
      <c r="C1211" t="s">
        <v>28110</v>
      </c>
    </row>
    <row r="1212" spans="1:3" x14ac:dyDescent="0.15">
      <c r="A1212">
        <v>992</v>
      </c>
      <c r="B1212" t="s">
        <v>28111</v>
      </c>
      <c r="C1212" t="s">
        <v>28112</v>
      </c>
    </row>
    <row r="1213" spans="1:3" x14ac:dyDescent="0.15">
      <c r="A1213">
        <v>992</v>
      </c>
      <c r="B1213" t="s">
        <v>28113</v>
      </c>
      <c r="C1213" t="s">
        <v>28114</v>
      </c>
    </row>
    <row r="1214" spans="1:3" x14ac:dyDescent="0.15">
      <c r="A1214">
        <v>992</v>
      </c>
      <c r="B1214" t="s">
        <v>28115</v>
      </c>
      <c r="C1214" t="s">
        <v>28116</v>
      </c>
    </row>
    <row r="1215" spans="1:3" x14ac:dyDescent="0.15">
      <c r="A1215">
        <v>992</v>
      </c>
      <c r="B1215" t="s">
        <v>28117</v>
      </c>
      <c r="C1215" t="s">
        <v>28118</v>
      </c>
    </row>
    <row r="1216" spans="1:3" x14ac:dyDescent="0.15">
      <c r="A1216">
        <v>992</v>
      </c>
      <c r="B1216" t="s">
        <v>28119</v>
      </c>
      <c r="C1216" t="s">
        <v>28120</v>
      </c>
    </row>
    <row r="1217" spans="1:3" x14ac:dyDescent="0.15">
      <c r="A1217">
        <v>992</v>
      </c>
      <c r="B1217" t="s">
        <v>28121</v>
      </c>
      <c r="C1217" t="s">
        <v>28122</v>
      </c>
    </row>
    <row r="1218" spans="1:3" x14ac:dyDescent="0.15">
      <c r="A1218">
        <v>992</v>
      </c>
      <c r="B1218" t="s">
        <v>28123</v>
      </c>
      <c r="C1218" t="s">
        <v>28124</v>
      </c>
    </row>
    <row r="1219" spans="1:3" x14ac:dyDescent="0.15">
      <c r="A1219">
        <v>992</v>
      </c>
      <c r="B1219" t="s">
        <v>28125</v>
      </c>
      <c r="C1219" t="s">
        <v>28126</v>
      </c>
    </row>
    <row r="1220" spans="1:3" x14ac:dyDescent="0.15">
      <c r="A1220">
        <v>992</v>
      </c>
      <c r="B1220" t="s">
        <v>28127</v>
      </c>
      <c r="C1220" t="s">
        <v>28128</v>
      </c>
    </row>
    <row r="1221" spans="1:3" x14ac:dyDescent="0.15">
      <c r="A1221">
        <v>992</v>
      </c>
      <c r="B1221" t="s">
        <v>28129</v>
      </c>
      <c r="C1221" t="s">
        <v>28130</v>
      </c>
    </row>
    <row r="1222" spans="1:3" x14ac:dyDescent="0.15">
      <c r="A1222">
        <v>992</v>
      </c>
      <c r="B1222" t="s">
        <v>28131</v>
      </c>
      <c r="C1222" t="s">
        <v>28132</v>
      </c>
    </row>
    <row r="1223" spans="1:3" x14ac:dyDescent="0.15">
      <c r="A1223">
        <v>992</v>
      </c>
      <c r="B1223" t="s">
        <v>28133</v>
      </c>
      <c r="C1223" t="s">
        <v>28134</v>
      </c>
    </row>
    <row r="1224" spans="1:3" x14ac:dyDescent="0.15">
      <c r="A1224">
        <v>992</v>
      </c>
      <c r="B1224" t="s">
        <v>28135</v>
      </c>
      <c r="C1224" t="s">
        <v>28136</v>
      </c>
    </row>
    <row r="1225" spans="1:3" x14ac:dyDescent="0.15">
      <c r="A1225">
        <v>992</v>
      </c>
      <c r="B1225" t="s">
        <v>28137</v>
      </c>
      <c r="C1225" t="s">
        <v>28138</v>
      </c>
    </row>
    <row r="1226" spans="1:3" x14ac:dyDescent="0.15">
      <c r="A1226">
        <v>999</v>
      </c>
      <c r="B1226">
        <v>525</v>
      </c>
      <c r="C1226" t="s">
        <v>28139</v>
      </c>
    </row>
    <row r="1228" spans="1:3" x14ac:dyDescent="0.15">
      <c r="A1228" s="93" t="s">
        <v>28140</v>
      </c>
    </row>
    <row r="1229" spans="1:3" x14ac:dyDescent="0.15">
      <c r="A1229">
        <v>0</v>
      </c>
      <c r="B1229" t="s">
        <v>26749</v>
      </c>
      <c r="C1229" t="s">
        <v>26750</v>
      </c>
    </row>
    <row r="1230" spans="1:3" x14ac:dyDescent="0.15">
      <c r="A1230">
        <v>1</v>
      </c>
      <c r="B1230" t="s">
        <v>26749</v>
      </c>
      <c r="C1230" t="s">
        <v>28141</v>
      </c>
    </row>
    <row r="1231" spans="1:3" x14ac:dyDescent="0.15">
      <c r="A1231">
        <v>1</v>
      </c>
      <c r="B1231">
        <v>99</v>
      </c>
      <c r="C1231" t="s">
        <v>26752</v>
      </c>
    </row>
    <row r="1232" spans="1:3" x14ac:dyDescent="0.15">
      <c r="A1232">
        <v>1</v>
      </c>
      <c r="B1232">
        <v>100</v>
      </c>
      <c r="C1232" t="s">
        <v>26753</v>
      </c>
    </row>
    <row r="1233" spans="1:3" x14ac:dyDescent="0.15">
      <c r="A1233">
        <v>1</v>
      </c>
      <c r="B1233">
        <v>101</v>
      </c>
      <c r="C1233" t="s">
        <v>26754</v>
      </c>
    </row>
    <row r="1234" spans="1:3" x14ac:dyDescent="0.15">
      <c r="A1234">
        <v>1</v>
      </c>
      <c r="B1234">
        <v>102</v>
      </c>
      <c r="C1234" t="s">
        <v>26755</v>
      </c>
    </row>
    <row r="1235" spans="1:3" x14ac:dyDescent="0.15">
      <c r="A1235">
        <v>1</v>
      </c>
      <c r="B1235">
        <v>103</v>
      </c>
      <c r="C1235" t="s">
        <v>26756</v>
      </c>
    </row>
    <row r="1236" spans="1:3" x14ac:dyDescent="0.15">
      <c r="A1236">
        <v>1</v>
      </c>
      <c r="B1236">
        <v>104</v>
      </c>
      <c r="C1236" t="s">
        <v>26757</v>
      </c>
    </row>
    <row r="1237" spans="1:3" x14ac:dyDescent="0.15">
      <c r="A1237">
        <v>1</v>
      </c>
      <c r="B1237">
        <v>105</v>
      </c>
      <c r="C1237" t="s">
        <v>26758</v>
      </c>
    </row>
    <row r="1238" spans="1:3" x14ac:dyDescent="0.15">
      <c r="A1238">
        <v>1</v>
      </c>
      <c r="B1238">
        <v>106</v>
      </c>
      <c r="C1238" t="s">
        <v>26759</v>
      </c>
    </row>
    <row r="1239" spans="1:3" x14ac:dyDescent="0.15">
      <c r="A1239">
        <v>1</v>
      </c>
      <c r="B1239">
        <v>107</v>
      </c>
      <c r="C1239" t="s">
        <v>26760</v>
      </c>
    </row>
    <row r="1240" spans="1:3" x14ac:dyDescent="0.15">
      <c r="A1240">
        <v>1</v>
      </c>
      <c r="B1240">
        <v>108</v>
      </c>
      <c r="C1240" t="s">
        <v>26761</v>
      </c>
    </row>
    <row r="1241" spans="1:3" x14ac:dyDescent="0.15">
      <c r="A1241">
        <v>1</v>
      </c>
      <c r="B1241">
        <v>109</v>
      </c>
      <c r="C1241" t="s">
        <v>26762</v>
      </c>
    </row>
    <row r="1242" spans="1:3" x14ac:dyDescent="0.15">
      <c r="A1242">
        <v>1</v>
      </c>
      <c r="B1242">
        <v>111</v>
      </c>
      <c r="C1242" t="s">
        <v>26763</v>
      </c>
    </row>
    <row r="1243" spans="1:3" x14ac:dyDescent="0.15">
      <c r="A1243">
        <v>1</v>
      </c>
      <c r="B1243">
        <v>112</v>
      </c>
      <c r="C1243" t="s">
        <v>26764</v>
      </c>
    </row>
    <row r="1244" spans="1:3" x14ac:dyDescent="0.15">
      <c r="A1244">
        <v>1</v>
      </c>
      <c r="B1244">
        <v>113</v>
      </c>
      <c r="C1244" t="s">
        <v>26765</v>
      </c>
    </row>
    <row r="1245" spans="1:3" x14ac:dyDescent="0.15">
      <c r="A1245">
        <v>1</v>
      </c>
      <c r="B1245">
        <v>114</v>
      </c>
      <c r="C1245" t="s">
        <v>26766</v>
      </c>
    </row>
    <row r="1246" spans="1:3" x14ac:dyDescent="0.15">
      <c r="A1246">
        <v>1</v>
      </c>
      <c r="B1246">
        <v>115</v>
      </c>
      <c r="C1246" t="s">
        <v>26767</v>
      </c>
    </row>
    <row r="1247" spans="1:3" x14ac:dyDescent="0.15">
      <c r="A1247">
        <v>1</v>
      </c>
      <c r="B1247">
        <v>116</v>
      </c>
      <c r="C1247" t="s">
        <v>26768</v>
      </c>
    </row>
    <row r="1248" spans="1:3" x14ac:dyDescent="0.15">
      <c r="A1248">
        <v>1</v>
      </c>
      <c r="B1248">
        <v>117</v>
      </c>
      <c r="C1248" t="s">
        <v>26769</v>
      </c>
    </row>
    <row r="1249" spans="1:3" x14ac:dyDescent="0.15">
      <c r="A1249">
        <v>1</v>
      </c>
      <c r="B1249">
        <v>118</v>
      </c>
      <c r="C1249" t="s">
        <v>26770</v>
      </c>
    </row>
    <row r="1250" spans="1:3" x14ac:dyDescent="0.15">
      <c r="A1250">
        <v>1</v>
      </c>
      <c r="B1250">
        <v>119</v>
      </c>
      <c r="C1250" t="s">
        <v>26771</v>
      </c>
    </row>
    <row r="1251" spans="1:3" x14ac:dyDescent="0.15">
      <c r="A1251">
        <v>1</v>
      </c>
      <c r="B1251">
        <v>120</v>
      </c>
      <c r="C1251" t="s">
        <v>26772</v>
      </c>
    </row>
    <row r="1252" spans="1:3" x14ac:dyDescent="0.15">
      <c r="A1252">
        <v>1</v>
      </c>
      <c r="B1252">
        <v>122</v>
      </c>
      <c r="C1252" t="s">
        <v>26773</v>
      </c>
    </row>
    <row r="1253" spans="1:3" x14ac:dyDescent="0.15">
      <c r="A1253">
        <v>1</v>
      </c>
      <c r="B1253">
        <v>124</v>
      </c>
      <c r="C1253" t="s">
        <v>26774</v>
      </c>
    </row>
    <row r="1254" spans="1:3" x14ac:dyDescent="0.15">
      <c r="A1254">
        <v>1</v>
      </c>
      <c r="B1254">
        <v>125</v>
      </c>
      <c r="C1254" t="s">
        <v>26775</v>
      </c>
    </row>
    <row r="1255" spans="1:3" x14ac:dyDescent="0.15">
      <c r="A1255">
        <v>1</v>
      </c>
      <c r="B1255">
        <v>126</v>
      </c>
      <c r="C1255" t="s">
        <v>26776</v>
      </c>
    </row>
    <row r="1256" spans="1:3" x14ac:dyDescent="0.15">
      <c r="A1256">
        <v>1</v>
      </c>
      <c r="B1256">
        <v>127</v>
      </c>
      <c r="C1256" t="s">
        <v>26777</v>
      </c>
    </row>
    <row r="1257" spans="1:3" x14ac:dyDescent="0.15">
      <c r="A1257">
        <v>1</v>
      </c>
      <c r="B1257">
        <v>128</v>
      </c>
      <c r="C1257" t="s">
        <v>26778</v>
      </c>
    </row>
    <row r="1258" spans="1:3" x14ac:dyDescent="0.15">
      <c r="A1258">
        <v>1</v>
      </c>
      <c r="B1258">
        <v>129</v>
      </c>
      <c r="C1258" t="s">
        <v>26779</v>
      </c>
    </row>
    <row r="1259" spans="1:3" x14ac:dyDescent="0.15">
      <c r="A1259">
        <v>1</v>
      </c>
      <c r="B1259">
        <v>130</v>
      </c>
      <c r="C1259" t="s">
        <v>26780</v>
      </c>
    </row>
    <row r="1260" spans="1:3" x14ac:dyDescent="0.15">
      <c r="A1260">
        <v>1</v>
      </c>
      <c r="B1260">
        <v>131</v>
      </c>
      <c r="C1260" t="s">
        <v>26781</v>
      </c>
    </row>
    <row r="1261" spans="1:3" x14ac:dyDescent="0.15">
      <c r="A1261">
        <v>1</v>
      </c>
      <c r="B1261">
        <v>132</v>
      </c>
      <c r="C1261" t="s">
        <v>26782</v>
      </c>
    </row>
    <row r="1262" spans="1:3" x14ac:dyDescent="0.15">
      <c r="A1262">
        <v>1</v>
      </c>
      <c r="B1262">
        <v>133</v>
      </c>
      <c r="C1262" t="s">
        <v>26783</v>
      </c>
    </row>
    <row r="1263" spans="1:3" x14ac:dyDescent="0.15">
      <c r="A1263">
        <v>1</v>
      </c>
      <c r="B1263">
        <v>134</v>
      </c>
      <c r="C1263" t="s">
        <v>26784</v>
      </c>
    </row>
    <row r="1264" spans="1:3" x14ac:dyDescent="0.15">
      <c r="A1264">
        <v>1</v>
      </c>
      <c r="B1264">
        <v>135</v>
      </c>
      <c r="C1264" t="s">
        <v>26785</v>
      </c>
    </row>
    <row r="1265" spans="1:3" x14ac:dyDescent="0.15">
      <c r="A1265">
        <v>1</v>
      </c>
      <c r="B1265">
        <v>136</v>
      </c>
      <c r="C1265" t="s">
        <v>26786</v>
      </c>
    </row>
    <row r="1266" spans="1:3" x14ac:dyDescent="0.15">
      <c r="A1266">
        <v>1</v>
      </c>
      <c r="B1266">
        <v>137</v>
      </c>
      <c r="C1266" t="s">
        <v>26787</v>
      </c>
    </row>
    <row r="1267" spans="1:3" x14ac:dyDescent="0.15">
      <c r="A1267">
        <v>1</v>
      </c>
      <c r="B1267">
        <v>138</v>
      </c>
      <c r="C1267" t="s">
        <v>26788</v>
      </c>
    </row>
    <row r="1268" spans="1:3" x14ac:dyDescent="0.15">
      <c r="A1268">
        <v>1</v>
      </c>
      <c r="B1268">
        <v>139</v>
      </c>
      <c r="C1268" t="s">
        <v>26789</v>
      </c>
    </row>
    <row r="1269" spans="1:3" x14ac:dyDescent="0.15">
      <c r="A1269">
        <v>1</v>
      </c>
      <c r="B1269">
        <v>140</v>
      </c>
      <c r="C1269" t="s">
        <v>26790</v>
      </c>
    </row>
    <row r="1270" spans="1:3" x14ac:dyDescent="0.15">
      <c r="A1270">
        <v>1</v>
      </c>
      <c r="B1270">
        <v>141</v>
      </c>
      <c r="C1270" t="s">
        <v>26791</v>
      </c>
    </row>
    <row r="1271" spans="1:3" x14ac:dyDescent="0.15">
      <c r="A1271">
        <v>1</v>
      </c>
      <c r="B1271">
        <v>142</v>
      </c>
      <c r="C1271" t="s">
        <v>26792</v>
      </c>
    </row>
    <row r="1272" spans="1:3" x14ac:dyDescent="0.15">
      <c r="A1272">
        <v>1</v>
      </c>
      <c r="B1272">
        <v>143</v>
      </c>
      <c r="C1272" t="s">
        <v>26793</v>
      </c>
    </row>
    <row r="1273" spans="1:3" x14ac:dyDescent="0.15">
      <c r="A1273">
        <v>1</v>
      </c>
      <c r="B1273">
        <v>144</v>
      </c>
      <c r="C1273" t="s">
        <v>26794</v>
      </c>
    </row>
    <row r="1274" spans="1:3" x14ac:dyDescent="0.15">
      <c r="A1274">
        <v>1</v>
      </c>
      <c r="B1274">
        <v>145</v>
      </c>
      <c r="C1274" t="s">
        <v>26795</v>
      </c>
    </row>
    <row r="1275" spans="1:3" x14ac:dyDescent="0.15">
      <c r="A1275">
        <v>1</v>
      </c>
      <c r="B1275">
        <v>146</v>
      </c>
      <c r="C1275" t="s">
        <v>26796</v>
      </c>
    </row>
    <row r="1276" spans="1:3" x14ac:dyDescent="0.15">
      <c r="A1276">
        <v>1</v>
      </c>
      <c r="B1276">
        <v>147</v>
      </c>
      <c r="C1276" t="s">
        <v>26797</v>
      </c>
    </row>
    <row r="1277" spans="1:3" x14ac:dyDescent="0.15">
      <c r="A1277">
        <v>1</v>
      </c>
      <c r="B1277">
        <v>149</v>
      </c>
      <c r="C1277" t="s">
        <v>26798</v>
      </c>
    </row>
    <row r="1278" spans="1:3" x14ac:dyDescent="0.15">
      <c r="A1278">
        <v>1</v>
      </c>
      <c r="B1278">
        <v>150</v>
      </c>
      <c r="C1278" t="s">
        <v>26799</v>
      </c>
    </row>
    <row r="1279" spans="1:3" x14ac:dyDescent="0.15">
      <c r="A1279">
        <v>1</v>
      </c>
      <c r="B1279">
        <v>151</v>
      </c>
      <c r="C1279" t="s">
        <v>26800</v>
      </c>
    </row>
    <row r="1280" spans="1:3" x14ac:dyDescent="0.15">
      <c r="A1280">
        <v>1</v>
      </c>
      <c r="B1280">
        <v>152</v>
      </c>
      <c r="C1280" t="s">
        <v>26801</v>
      </c>
    </row>
    <row r="1281" spans="1:4" x14ac:dyDescent="0.15">
      <c r="A1281">
        <v>1</v>
      </c>
      <c r="B1281">
        <v>153</v>
      </c>
      <c r="C1281" t="s">
        <v>26802</v>
      </c>
    </row>
    <row r="1282" spans="1:4" x14ac:dyDescent="0.15">
      <c r="A1282">
        <v>1</v>
      </c>
      <c r="B1282">
        <v>154</v>
      </c>
      <c r="C1282" t="s">
        <v>26803</v>
      </c>
    </row>
    <row r="1283" spans="1:4" x14ac:dyDescent="0.15">
      <c r="A1283">
        <v>1</v>
      </c>
      <c r="B1283">
        <v>155</v>
      </c>
      <c r="C1283" t="s">
        <v>26804</v>
      </c>
    </row>
    <row r="1284" spans="1:4" x14ac:dyDescent="0.15">
      <c r="A1284">
        <v>1</v>
      </c>
      <c r="B1284">
        <v>160</v>
      </c>
      <c r="C1284" t="s">
        <v>26805</v>
      </c>
      <c r="D1284" t="s">
        <v>28142</v>
      </c>
    </row>
    <row r="1285" spans="1:4" x14ac:dyDescent="0.15">
      <c r="A1285">
        <v>1</v>
      </c>
      <c r="B1285">
        <v>161</v>
      </c>
      <c r="C1285" t="s">
        <v>26806</v>
      </c>
      <c r="D1285" t="s">
        <v>28143</v>
      </c>
    </row>
    <row r="1286" spans="1:4" x14ac:dyDescent="0.15">
      <c r="A1286">
        <v>1</v>
      </c>
      <c r="B1286">
        <v>162</v>
      </c>
      <c r="C1286" t="s">
        <v>26807</v>
      </c>
    </row>
    <row r="1287" spans="1:4" x14ac:dyDescent="0.15">
      <c r="A1287">
        <v>1</v>
      </c>
      <c r="B1287">
        <v>163</v>
      </c>
      <c r="C1287" t="s">
        <v>26808</v>
      </c>
    </row>
    <row r="1288" spans="1:4" x14ac:dyDescent="0.15">
      <c r="A1288">
        <v>1</v>
      </c>
      <c r="B1288">
        <v>164</v>
      </c>
      <c r="C1288" t="s">
        <v>26809</v>
      </c>
    </row>
    <row r="1289" spans="1:4" x14ac:dyDescent="0.15">
      <c r="A1289">
        <v>1</v>
      </c>
      <c r="B1289">
        <v>167</v>
      </c>
      <c r="C1289" t="s">
        <v>26810</v>
      </c>
    </row>
    <row r="1290" spans="1:4" x14ac:dyDescent="0.15">
      <c r="A1290">
        <v>1</v>
      </c>
      <c r="B1290">
        <v>168</v>
      </c>
      <c r="C1290" t="s">
        <v>26811</v>
      </c>
    </row>
    <row r="1291" spans="1:4" x14ac:dyDescent="0.15">
      <c r="A1291">
        <v>1</v>
      </c>
      <c r="B1291">
        <v>169</v>
      </c>
      <c r="C1291" t="s">
        <v>26812</v>
      </c>
    </row>
    <row r="1292" spans="1:4" x14ac:dyDescent="0.15">
      <c r="A1292">
        <v>1</v>
      </c>
      <c r="B1292">
        <v>170</v>
      </c>
      <c r="C1292" t="s">
        <v>26813</v>
      </c>
    </row>
    <row r="1293" spans="1:4" x14ac:dyDescent="0.15">
      <c r="A1293">
        <v>1</v>
      </c>
      <c r="B1293">
        <v>171</v>
      </c>
      <c r="C1293" t="s">
        <v>26814</v>
      </c>
    </row>
    <row r="1294" spans="1:4" x14ac:dyDescent="0.15">
      <c r="A1294">
        <v>1</v>
      </c>
      <c r="B1294">
        <v>172</v>
      </c>
      <c r="C1294" t="s">
        <v>26815</v>
      </c>
    </row>
    <row r="1295" spans="1:4" x14ac:dyDescent="0.15">
      <c r="A1295">
        <v>1</v>
      </c>
      <c r="B1295">
        <v>179</v>
      </c>
      <c r="C1295" t="s">
        <v>26816</v>
      </c>
    </row>
    <row r="1296" spans="1:4" x14ac:dyDescent="0.15">
      <c r="A1296">
        <v>1</v>
      </c>
      <c r="B1296">
        <v>180</v>
      </c>
      <c r="C1296" t="s">
        <v>26817</v>
      </c>
    </row>
    <row r="1297" spans="1:3" x14ac:dyDescent="0.15">
      <c r="A1297">
        <v>1</v>
      </c>
      <c r="B1297">
        <v>181</v>
      </c>
      <c r="C1297" t="s">
        <v>26818</v>
      </c>
    </row>
    <row r="1298" spans="1:3" x14ac:dyDescent="0.15">
      <c r="A1298">
        <v>1</v>
      </c>
      <c r="B1298">
        <v>182</v>
      </c>
      <c r="C1298" t="s">
        <v>26819</v>
      </c>
    </row>
    <row r="1299" spans="1:3" x14ac:dyDescent="0.15">
      <c r="A1299">
        <v>1</v>
      </c>
      <c r="B1299">
        <v>183</v>
      </c>
      <c r="C1299" t="s">
        <v>26820</v>
      </c>
    </row>
    <row r="1300" spans="1:3" x14ac:dyDescent="0.15">
      <c r="A1300">
        <v>1</v>
      </c>
      <c r="B1300">
        <v>184</v>
      </c>
      <c r="C1300" t="s">
        <v>26821</v>
      </c>
    </row>
    <row r="1301" spans="1:3" x14ac:dyDescent="0.15">
      <c r="A1301">
        <v>1</v>
      </c>
      <c r="B1301">
        <v>200</v>
      </c>
      <c r="C1301" t="s">
        <v>26822</v>
      </c>
    </row>
    <row r="1302" spans="1:3" x14ac:dyDescent="0.15">
      <c r="A1302">
        <v>1</v>
      </c>
      <c r="B1302">
        <v>201</v>
      </c>
      <c r="C1302" t="s">
        <v>26823</v>
      </c>
    </row>
    <row r="1303" spans="1:3" x14ac:dyDescent="0.15">
      <c r="A1303">
        <v>1</v>
      </c>
      <c r="B1303">
        <v>202</v>
      </c>
      <c r="C1303" t="s">
        <v>26824</v>
      </c>
    </row>
    <row r="1304" spans="1:3" x14ac:dyDescent="0.15">
      <c r="A1304">
        <v>1</v>
      </c>
      <c r="B1304">
        <v>203</v>
      </c>
      <c r="C1304" t="s">
        <v>26825</v>
      </c>
    </row>
    <row r="1305" spans="1:3" x14ac:dyDescent="0.15">
      <c r="A1305">
        <v>1</v>
      </c>
      <c r="B1305">
        <v>204</v>
      </c>
      <c r="C1305" t="s">
        <v>26826</v>
      </c>
    </row>
    <row r="1306" spans="1:3" x14ac:dyDescent="0.15">
      <c r="A1306">
        <v>1</v>
      </c>
      <c r="B1306">
        <v>205</v>
      </c>
      <c r="C1306" t="s">
        <v>26827</v>
      </c>
    </row>
    <row r="1307" spans="1:3" x14ac:dyDescent="0.15">
      <c r="A1307">
        <v>1</v>
      </c>
      <c r="B1307">
        <v>206</v>
      </c>
      <c r="C1307" t="s">
        <v>26828</v>
      </c>
    </row>
    <row r="1308" spans="1:3" x14ac:dyDescent="0.15">
      <c r="A1308">
        <v>1</v>
      </c>
      <c r="B1308">
        <v>207</v>
      </c>
      <c r="C1308" t="s">
        <v>26829</v>
      </c>
    </row>
    <row r="1309" spans="1:3" x14ac:dyDescent="0.15">
      <c r="A1309">
        <v>1</v>
      </c>
      <c r="B1309">
        <v>208</v>
      </c>
      <c r="C1309" t="s">
        <v>26830</v>
      </c>
    </row>
    <row r="1310" spans="1:3" x14ac:dyDescent="0.15">
      <c r="A1310">
        <v>1</v>
      </c>
      <c r="B1310">
        <v>209</v>
      </c>
      <c r="C1310" t="s">
        <v>26831</v>
      </c>
    </row>
    <row r="1311" spans="1:3" x14ac:dyDescent="0.15">
      <c r="A1311">
        <v>1</v>
      </c>
      <c r="B1311">
        <v>210</v>
      </c>
      <c r="C1311" t="s">
        <v>26832</v>
      </c>
    </row>
    <row r="1312" spans="1:3" x14ac:dyDescent="0.15">
      <c r="A1312">
        <v>1</v>
      </c>
      <c r="B1312">
        <v>211</v>
      </c>
      <c r="C1312" t="s">
        <v>26833</v>
      </c>
    </row>
    <row r="1313" spans="1:3" x14ac:dyDescent="0.15">
      <c r="A1313">
        <v>1</v>
      </c>
      <c r="B1313">
        <v>212</v>
      </c>
      <c r="C1313" t="s">
        <v>26834</v>
      </c>
    </row>
    <row r="1314" spans="1:3" x14ac:dyDescent="0.15">
      <c r="A1314">
        <v>1</v>
      </c>
      <c r="B1314">
        <v>214</v>
      </c>
      <c r="C1314" t="s">
        <v>26835</v>
      </c>
    </row>
    <row r="1315" spans="1:3" x14ac:dyDescent="0.15">
      <c r="A1315">
        <v>1</v>
      </c>
      <c r="B1315">
        <v>215</v>
      </c>
      <c r="C1315" t="s">
        <v>26836</v>
      </c>
    </row>
    <row r="1316" spans="1:3" x14ac:dyDescent="0.15">
      <c r="A1316">
        <v>1</v>
      </c>
      <c r="B1316">
        <v>216</v>
      </c>
      <c r="C1316" t="s">
        <v>26837</v>
      </c>
    </row>
    <row r="1317" spans="1:3" x14ac:dyDescent="0.15">
      <c r="A1317">
        <v>1</v>
      </c>
      <c r="B1317">
        <v>217</v>
      </c>
      <c r="C1317" t="s">
        <v>26838</v>
      </c>
    </row>
    <row r="1318" spans="1:3" x14ac:dyDescent="0.15">
      <c r="A1318">
        <v>1</v>
      </c>
      <c r="B1318">
        <v>218</v>
      </c>
      <c r="C1318" t="s">
        <v>26839</v>
      </c>
    </row>
    <row r="1319" spans="1:3" x14ac:dyDescent="0.15">
      <c r="A1319">
        <v>1</v>
      </c>
      <c r="B1319">
        <v>219</v>
      </c>
      <c r="C1319" t="s">
        <v>26840</v>
      </c>
    </row>
    <row r="1320" spans="1:3" x14ac:dyDescent="0.15">
      <c r="A1320">
        <v>1</v>
      </c>
      <c r="B1320">
        <v>220</v>
      </c>
      <c r="C1320" t="s">
        <v>26841</v>
      </c>
    </row>
    <row r="1321" spans="1:3" x14ac:dyDescent="0.15">
      <c r="A1321">
        <v>1</v>
      </c>
      <c r="B1321">
        <v>221</v>
      </c>
      <c r="C1321" t="s">
        <v>26842</v>
      </c>
    </row>
    <row r="1322" spans="1:3" x14ac:dyDescent="0.15">
      <c r="A1322">
        <v>1</v>
      </c>
      <c r="B1322">
        <v>222</v>
      </c>
      <c r="C1322" t="s">
        <v>26843</v>
      </c>
    </row>
    <row r="1323" spans="1:3" x14ac:dyDescent="0.15">
      <c r="A1323">
        <v>1</v>
      </c>
      <c r="B1323">
        <v>223</v>
      </c>
      <c r="C1323" t="s">
        <v>26844</v>
      </c>
    </row>
    <row r="1324" spans="1:3" x14ac:dyDescent="0.15">
      <c r="A1324">
        <v>1</v>
      </c>
      <c r="B1324">
        <v>224</v>
      </c>
      <c r="C1324" t="s">
        <v>26845</v>
      </c>
    </row>
    <row r="1325" spans="1:3" x14ac:dyDescent="0.15">
      <c r="A1325">
        <v>1</v>
      </c>
      <c r="B1325">
        <v>225</v>
      </c>
      <c r="C1325" t="s">
        <v>26846</v>
      </c>
    </row>
    <row r="1326" spans="1:3" x14ac:dyDescent="0.15">
      <c r="A1326">
        <v>1</v>
      </c>
      <c r="B1326">
        <v>226</v>
      </c>
      <c r="C1326" t="s">
        <v>26847</v>
      </c>
    </row>
    <row r="1327" spans="1:3" x14ac:dyDescent="0.15">
      <c r="A1327">
        <v>1</v>
      </c>
      <c r="B1327">
        <v>227</v>
      </c>
      <c r="C1327" t="s">
        <v>26848</v>
      </c>
    </row>
    <row r="1328" spans="1:3" x14ac:dyDescent="0.15">
      <c r="A1328">
        <v>1</v>
      </c>
      <c r="B1328">
        <v>228</v>
      </c>
      <c r="C1328" t="s">
        <v>26849</v>
      </c>
    </row>
    <row r="1329" spans="1:3" x14ac:dyDescent="0.15">
      <c r="A1329">
        <v>1</v>
      </c>
      <c r="B1329">
        <v>229</v>
      </c>
      <c r="C1329" t="s">
        <v>26850</v>
      </c>
    </row>
    <row r="1330" spans="1:3" x14ac:dyDescent="0.15">
      <c r="A1330">
        <v>1</v>
      </c>
      <c r="B1330">
        <v>230</v>
      </c>
      <c r="C1330" t="s">
        <v>26851</v>
      </c>
    </row>
    <row r="1331" spans="1:3" x14ac:dyDescent="0.15">
      <c r="A1331">
        <v>1</v>
      </c>
      <c r="B1331">
        <v>231</v>
      </c>
      <c r="C1331" t="s">
        <v>26852</v>
      </c>
    </row>
    <row r="1332" spans="1:3" x14ac:dyDescent="0.15">
      <c r="A1332">
        <v>1</v>
      </c>
      <c r="B1332">
        <v>232</v>
      </c>
      <c r="C1332" t="s">
        <v>26853</v>
      </c>
    </row>
    <row r="1333" spans="1:3" x14ac:dyDescent="0.15">
      <c r="A1333">
        <v>1</v>
      </c>
      <c r="B1333">
        <v>233</v>
      </c>
      <c r="C1333" t="s">
        <v>26854</v>
      </c>
    </row>
    <row r="1334" spans="1:3" x14ac:dyDescent="0.15">
      <c r="A1334">
        <v>1</v>
      </c>
      <c r="B1334">
        <v>234</v>
      </c>
      <c r="C1334" t="s">
        <v>26855</v>
      </c>
    </row>
    <row r="1335" spans="1:3" x14ac:dyDescent="0.15">
      <c r="A1335">
        <v>1</v>
      </c>
      <c r="B1335">
        <v>235</v>
      </c>
      <c r="C1335" t="s">
        <v>26856</v>
      </c>
    </row>
    <row r="1336" spans="1:3" x14ac:dyDescent="0.15">
      <c r="A1336">
        <v>1</v>
      </c>
      <c r="B1336">
        <v>239</v>
      </c>
      <c r="C1336" t="s">
        <v>26857</v>
      </c>
    </row>
    <row r="1337" spans="1:3" x14ac:dyDescent="0.15">
      <c r="A1337">
        <v>1</v>
      </c>
      <c r="B1337">
        <v>240</v>
      </c>
      <c r="C1337" t="s">
        <v>26858</v>
      </c>
    </row>
    <row r="1338" spans="1:3" x14ac:dyDescent="0.15">
      <c r="A1338">
        <v>1</v>
      </c>
      <c r="B1338">
        <v>242</v>
      </c>
      <c r="C1338" t="s">
        <v>26859</v>
      </c>
    </row>
    <row r="1339" spans="1:3" x14ac:dyDescent="0.15">
      <c r="A1339">
        <v>1</v>
      </c>
      <c r="B1339">
        <v>243</v>
      </c>
      <c r="C1339" t="s">
        <v>26860</v>
      </c>
    </row>
    <row r="1340" spans="1:3" x14ac:dyDescent="0.15">
      <c r="A1340">
        <v>1</v>
      </c>
      <c r="B1340">
        <v>244</v>
      </c>
      <c r="C1340" t="s">
        <v>26861</v>
      </c>
    </row>
    <row r="1341" spans="1:3" x14ac:dyDescent="0.15">
      <c r="A1341">
        <v>1</v>
      </c>
      <c r="B1341">
        <v>245</v>
      </c>
      <c r="C1341" t="s">
        <v>26862</v>
      </c>
    </row>
    <row r="1342" spans="1:3" x14ac:dyDescent="0.15">
      <c r="A1342">
        <v>1</v>
      </c>
      <c r="B1342">
        <v>249</v>
      </c>
      <c r="C1342" t="s">
        <v>26863</v>
      </c>
    </row>
    <row r="1343" spans="1:3" x14ac:dyDescent="0.15">
      <c r="A1343">
        <v>1</v>
      </c>
      <c r="B1343">
        <v>250</v>
      </c>
      <c r="C1343" t="s">
        <v>26864</v>
      </c>
    </row>
    <row r="1344" spans="1:3" x14ac:dyDescent="0.15">
      <c r="A1344">
        <v>1</v>
      </c>
      <c r="B1344">
        <v>251</v>
      </c>
      <c r="C1344" t="s">
        <v>26865</v>
      </c>
    </row>
    <row r="1345" spans="1:3" x14ac:dyDescent="0.15">
      <c r="A1345">
        <v>1</v>
      </c>
      <c r="B1345">
        <v>252</v>
      </c>
      <c r="C1345" t="s">
        <v>26866</v>
      </c>
    </row>
    <row r="1346" spans="1:3" x14ac:dyDescent="0.15">
      <c r="A1346">
        <v>1</v>
      </c>
      <c r="B1346">
        <v>259</v>
      </c>
      <c r="C1346" t="s">
        <v>26867</v>
      </c>
    </row>
    <row r="1347" spans="1:3" x14ac:dyDescent="0.15">
      <c r="A1347">
        <v>1</v>
      </c>
      <c r="B1347">
        <v>260</v>
      </c>
      <c r="C1347" t="s">
        <v>26868</v>
      </c>
    </row>
    <row r="1348" spans="1:3" x14ac:dyDescent="0.15">
      <c r="A1348">
        <v>1</v>
      </c>
      <c r="B1348">
        <v>261</v>
      </c>
      <c r="C1348" t="s">
        <v>26869</v>
      </c>
    </row>
    <row r="1349" spans="1:3" x14ac:dyDescent="0.15">
      <c r="A1349">
        <v>1</v>
      </c>
      <c r="B1349">
        <v>269</v>
      </c>
      <c r="C1349" t="s">
        <v>26870</v>
      </c>
    </row>
    <row r="1350" spans="1:3" x14ac:dyDescent="0.15">
      <c r="A1350">
        <v>1</v>
      </c>
      <c r="B1350">
        <v>270</v>
      </c>
      <c r="C1350" t="s">
        <v>26871</v>
      </c>
    </row>
    <row r="1351" spans="1:3" x14ac:dyDescent="0.15">
      <c r="A1351">
        <v>1</v>
      </c>
      <c r="B1351">
        <v>271</v>
      </c>
      <c r="C1351" t="s">
        <v>26872</v>
      </c>
    </row>
    <row r="1352" spans="1:3" x14ac:dyDescent="0.15">
      <c r="A1352">
        <v>1</v>
      </c>
      <c r="B1352">
        <v>275</v>
      </c>
      <c r="C1352" t="s">
        <v>26873</v>
      </c>
    </row>
    <row r="1353" spans="1:3" x14ac:dyDescent="0.15">
      <c r="A1353">
        <v>1</v>
      </c>
      <c r="B1353">
        <v>280</v>
      </c>
      <c r="C1353" t="s">
        <v>26874</v>
      </c>
    </row>
    <row r="1354" spans="1:3" x14ac:dyDescent="0.15">
      <c r="A1354">
        <v>1</v>
      </c>
      <c r="B1354">
        <v>290</v>
      </c>
      <c r="C1354" t="s">
        <v>26875</v>
      </c>
    </row>
    <row r="1355" spans="1:3" x14ac:dyDescent="0.15">
      <c r="A1355">
        <v>1</v>
      </c>
      <c r="B1355">
        <v>298</v>
      </c>
      <c r="C1355" t="s">
        <v>26876</v>
      </c>
    </row>
    <row r="1356" spans="1:3" x14ac:dyDescent="0.15">
      <c r="A1356">
        <v>1</v>
      </c>
      <c r="B1356">
        <v>299</v>
      </c>
      <c r="C1356" t="s">
        <v>26877</v>
      </c>
    </row>
    <row r="1357" spans="1:3" x14ac:dyDescent="0.15">
      <c r="A1357">
        <v>1</v>
      </c>
      <c r="B1357">
        <v>300</v>
      </c>
      <c r="C1357" t="s">
        <v>26878</v>
      </c>
    </row>
    <row r="1358" spans="1:3" x14ac:dyDescent="0.15">
      <c r="A1358">
        <v>1</v>
      </c>
      <c r="B1358">
        <v>301</v>
      </c>
      <c r="C1358" t="s">
        <v>26879</v>
      </c>
    </row>
    <row r="1359" spans="1:3" x14ac:dyDescent="0.15">
      <c r="A1359">
        <v>1</v>
      </c>
      <c r="B1359">
        <v>302</v>
      </c>
      <c r="C1359" t="s">
        <v>26880</v>
      </c>
    </row>
    <row r="1360" spans="1:3" x14ac:dyDescent="0.15">
      <c r="A1360">
        <v>1</v>
      </c>
      <c r="B1360">
        <v>303</v>
      </c>
      <c r="C1360" t="s">
        <v>26881</v>
      </c>
    </row>
    <row r="1361" spans="1:3" x14ac:dyDescent="0.15">
      <c r="A1361">
        <v>1</v>
      </c>
      <c r="B1361">
        <v>304</v>
      </c>
      <c r="C1361" t="s">
        <v>26882</v>
      </c>
    </row>
    <row r="1362" spans="1:3" x14ac:dyDescent="0.15">
      <c r="A1362">
        <v>1</v>
      </c>
      <c r="B1362">
        <v>305</v>
      </c>
      <c r="C1362" t="s">
        <v>26883</v>
      </c>
    </row>
    <row r="1363" spans="1:3" x14ac:dyDescent="0.15">
      <c r="A1363">
        <v>1</v>
      </c>
      <c r="B1363">
        <v>306</v>
      </c>
      <c r="C1363" t="s">
        <v>26884</v>
      </c>
    </row>
    <row r="1364" spans="1:3" x14ac:dyDescent="0.15">
      <c r="A1364">
        <v>1</v>
      </c>
      <c r="B1364">
        <v>307</v>
      </c>
      <c r="C1364" t="s">
        <v>26885</v>
      </c>
    </row>
    <row r="1365" spans="1:3" x14ac:dyDescent="0.15">
      <c r="A1365">
        <v>1</v>
      </c>
      <c r="B1365">
        <v>308</v>
      </c>
      <c r="C1365" t="s">
        <v>26886</v>
      </c>
    </row>
    <row r="1366" spans="1:3" x14ac:dyDescent="0.15">
      <c r="A1366">
        <v>1</v>
      </c>
      <c r="B1366">
        <v>309</v>
      </c>
      <c r="C1366" t="s">
        <v>26887</v>
      </c>
    </row>
    <row r="1367" spans="1:3" x14ac:dyDescent="0.15">
      <c r="A1367">
        <v>1</v>
      </c>
      <c r="B1367">
        <v>310</v>
      </c>
      <c r="C1367" t="s">
        <v>26888</v>
      </c>
    </row>
    <row r="1368" spans="1:3" x14ac:dyDescent="0.15">
      <c r="A1368">
        <v>1</v>
      </c>
      <c r="B1368">
        <v>312</v>
      </c>
      <c r="C1368" t="s">
        <v>26889</v>
      </c>
    </row>
    <row r="1369" spans="1:3" x14ac:dyDescent="0.15">
      <c r="A1369">
        <v>1</v>
      </c>
      <c r="B1369">
        <v>313</v>
      </c>
      <c r="C1369" t="s">
        <v>26890</v>
      </c>
    </row>
    <row r="1370" spans="1:3" x14ac:dyDescent="0.15">
      <c r="A1370">
        <v>1</v>
      </c>
      <c r="B1370">
        <v>314</v>
      </c>
      <c r="C1370" t="s">
        <v>26891</v>
      </c>
    </row>
    <row r="1371" spans="1:3" x14ac:dyDescent="0.15">
      <c r="A1371">
        <v>1</v>
      </c>
      <c r="B1371">
        <v>315</v>
      </c>
      <c r="C1371" t="s">
        <v>26892</v>
      </c>
    </row>
    <row r="1372" spans="1:3" x14ac:dyDescent="0.15">
      <c r="A1372">
        <v>1</v>
      </c>
      <c r="B1372">
        <v>316</v>
      </c>
      <c r="C1372" t="s">
        <v>26893</v>
      </c>
    </row>
    <row r="1373" spans="1:3" x14ac:dyDescent="0.15">
      <c r="A1373">
        <v>1</v>
      </c>
      <c r="B1373">
        <v>317</v>
      </c>
      <c r="C1373" t="s">
        <v>26894</v>
      </c>
    </row>
    <row r="1374" spans="1:3" x14ac:dyDescent="0.15">
      <c r="A1374">
        <v>1</v>
      </c>
      <c r="B1374">
        <v>318</v>
      </c>
      <c r="C1374" t="s">
        <v>26895</v>
      </c>
    </row>
    <row r="1375" spans="1:3" x14ac:dyDescent="0.15">
      <c r="A1375">
        <v>1</v>
      </c>
      <c r="B1375">
        <v>320</v>
      </c>
      <c r="C1375" t="s">
        <v>26896</v>
      </c>
    </row>
    <row r="1376" spans="1:3" x14ac:dyDescent="0.15">
      <c r="A1376">
        <v>1</v>
      </c>
      <c r="B1376">
        <v>321</v>
      </c>
      <c r="C1376" t="s">
        <v>26897</v>
      </c>
    </row>
    <row r="1377" spans="1:3" x14ac:dyDescent="0.15">
      <c r="A1377">
        <v>1</v>
      </c>
      <c r="B1377">
        <v>349</v>
      </c>
      <c r="C1377" t="s">
        <v>26898</v>
      </c>
    </row>
    <row r="1378" spans="1:3" x14ac:dyDescent="0.15">
      <c r="A1378">
        <v>1</v>
      </c>
      <c r="B1378">
        <v>399</v>
      </c>
      <c r="C1378" t="s">
        <v>26899</v>
      </c>
    </row>
    <row r="1379" spans="1:3" x14ac:dyDescent="0.15">
      <c r="A1379">
        <v>1</v>
      </c>
      <c r="B1379">
        <v>416</v>
      </c>
      <c r="C1379" t="s">
        <v>26900</v>
      </c>
    </row>
    <row r="1380" spans="1:3" x14ac:dyDescent="0.15">
      <c r="A1380">
        <v>1</v>
      </c>
      <c r="B1380">
        <v>417</v>
      </c>
      <c r="C1380" t="s">
        <v>26901</v>
      </c>
    </row>
    <row r="1381" spans="1:3" x14ac:dyDescent="0.15">
      <c r="A1381">
        <v>1</v>
      </c>
      <c r="B1381">
        <v>418</v>
      </c>
      <c r="C1381" t="s">
        <v>26902</v>
      </c>
    </row>
    <row r="1382" spans="1:3" x14ac:dyDescent="0.15">
      <c r="A1382">
        <v>1</v>
      </c>
      <c r="B1382">
        <v>420</v>
      </c>
      <c r="C1382" t="s">
        <v>26903</v>
      </c>
    </row>
    <row r="1383" spans="1:3" x14ac:dyDescent="0.15">
      <c r="A1383">
        <v>1</v>
      </c>
      <c r="B1383">
        <v>422</v>
      </c>
      <c r="C1383" t="s">
        <v>26904</v>
      </c>
    </row>
    <row r="1384" spans="1:3" x14ac:dyDescent="0.15">
      <c r="A1384">
        <v>1</v>
      </c>
      <c r="B1384">
        <v>423</v>
      </c>
      <c r="C1384" t="s">
        <v>26905</v>
      </c>
    </row>
    <row r="1385" spans="1:3" x14ac:dyDescent="0.15">
      <c r="A1385">
        <v>1</v>
      </c>
      <c r="B1385">
        <v>450</v>
      </c>
      <c r="C1385" t="s">
        <v>26906</v>
      </c>
    </row>
    <row r="1386" spans="1:3" x14ac:dyDescent="0.15">
      <c r="A1386">
        <v>1</v>
      </c>
      <c r="B1386">
        <v>451</v>
      </c>
      <c r="C1386" t="s">
        <v>26907</v>
      </c>
    </row>
    <row r="1387" spans="1:3" x14ac:dyDescent="0.15">
      <c r="A1387">
        <v>1</v>
      </c>
      <c r="B1387">
        <v>452</v>
      </c>
      <c r="C1387" t="s">
        <v>26908</v>
      </c>
    </row>
    <row r="1388" spans="1:3" x14ac:dyDescent="0.15">
      <c r="A1388">
        <v>1</v>
      </c>
      <c r="B1388">
        <v>453</v>
      </c>
      <c r="C1388" t="s">
        <v>26909</v>
      </c>
    </row>
    <row r="1389" spans="1:3" x14ac:dyDescent="0.15">
      <c r="A1389">
        <v>1</v>
      </c>
      <c r="B1389">
        <v>460</v>
      </c>
      <c r="C1389" t="s">
        <v>26910</v>
      </c>
    </row>
    <row r="1390" spans="1:3" x14ac:dyDescent="0.15">
      <c r="A1390">
        <v>1</v>
      </c>
      <c r="B1390">
        <v>461</v>
      </c>
      <c r="C1390" t="s">
        <v>26911</v>
      </c>
    </row>
    <row r="1391" spans="1:3" x14ac:dyDescent="0.15">
      <c r="A1391">
        <v>1</v>
      </c>
      <c r="B1391">
        <v>462</v>
      </c>
      <c r="C1391" t="s">
        <v>26912</v>
      </c>
    </row>
    <row r="1392" spans="1:3" x14ac:dyDescent="0.15">
      <c r="A1392">
        <v>1</v>
      </c>
      <c r="B1392">
        <v>464</v>
      </c>
      <c r="C1392" t="s">
        <v>26913</v>
      </c>
    </row>
    <row r="1393" spans="1:3" x14ac:dyDescent="0.15">
      <c r="A1393">
        <v>1</v>
      </c>
      <c r="B1393">
        <v>465</v>
      </c>
      <c r="C1393" t="s">
        <v>26914</v>
      </c>
    </row>
    <row r="1394" spans="1:3" x14ac:dyDescent="0.15">
      <c r="A1394">
        <v>1</v>
      </c>
      <c r="B1394">
        <v>500</v>
      </c>
      <c r="C1394" t="s">
        <v>26915</v>
      </c>
    </row>
    <row r="1395" spans="1:3" x14ac:dyDescent="0.15">
      <c r="A1395">
        <v>1</v>
      </c>
      <c r="B1395">
        <v>504</v>
      </c>
      <c r="C1395" t="s">
        <v>26916</v>
      </c>
    </row>
    <row r="1396" spans="1:3" x14ac:dyDescent="0.15">
      <c r="A1396">
        <v>1</v>
      </c>
      <c r="B1396">
        <v>505</v>
      </c>
      <c r="C1396" t="s">
        <v>26917</v>
      </c>
    </row>
    <row r="1397" spans="1:3" x14ac:dyDescent="0.15">
      <c r="A1397">
        <v>1</v>
      </c>
      <c r="B1397">
        <v>506</v>
      </c>
      <c r="C1397" t="s">
        <v>26918</v>
      </c>
    </row>
    <row r="1398" spans="1:3" x14ac:dyDescent="0.15">
      <c r="A1398">
        <v>1</v>
      </c>
      <c r="B1398">
        <v>507</v>
      </c>
      <c r="C1398" t="s">
        <v>26919</v>
      </c>
    </row>
    <row r="1399" spans="1:3" x14ac:dyDescent="0.15">
      <c r="A1399">
        <v>1</v>
      </c>
      <c r="B1399">
        <v>508</v>
      </c>
      <c r="C1399" t="s">
        <v>26920</v>
      </c>
    </row>
    <row r="1400" spans="1:3" x14ac:dyDescent="0.15">
      <c r="A1400">
        <v>1</v>
      </c>
      <c r="B1400">
        <v>509</v>
      </c>
      <c r="C1400" t="s">
        <v>26921</v>
      </c>
    </row>
    <row r="1401" spans="1:3" x14ac:dyDescent="0.15">
      <c r="A1401">
        <v>1</v>
      </c>
      <c r="B1401">
        <v>510</v>
      </c>
      <c r="C1401" t="s">
        <v>26922</v>
      </c>
    </row>
    <row r="1402" spans="1:3" x14ac:dyDescent="0.15">
      <c r="A1402">
        <v>1</v>
      </c>
      <c r="B1402">
        <v>511</v>
      </c>
      <c r="C1402" t="s">
        <v>26923</v>
      </c>
    </row>
    <row r="1403" spans="1:3" x14ac:dyDescent="0.15">
      <c r="A1403">
        <v>1</v>
      </c>
      <c r="B1403">
        <v>512</v>
      </c>
      <c r="C1403" t="s">
        <v>26924</v>
      </c>
    </row>
    <row r="1404" spans="1:3" x14ac:dyDescent="0.15">
      <c r="A1404">
        <v>1</v>
      </c>
      <c r="B1404">
        <v>513</v>
      </c>
      <c r="C1404" t="s">
        <v>26925</v>
      </c>
    </row>
    <row r="1405" spans="1:3" x14ac:dyDescent="0.15">
      <c r="A1405">
        <v>1</v>
      </c>
      <c r="B1405">
        <v>514</v>
      </c>
      <c r="C1405" t="s">
        <v>26926</v>
      </c>
    </row>
    <row r="1406" spans="1:3" x14ac:dyDescent="0.15">
      <c r="A1406">
        <v>1</v>
      </c>
      <c r="B1406">
        <v>515</v>
      </c>
      <c r="C1406" t="s">
        <v>26927</v>
      </c>
    </row>
    <row r="1407" spans="1:3" x14ac:dyDescent="0.15">
      <c r="A1407">
        <v>1</v>
      </c>
      <c r="B1407">
        <v>516</v>
      </c>
      <c r="C1407" t="s">
        <v>26928</v>
      </c>
    </row>
    <row r="1408" spans="1:3" x14ac:dyDescent="0.15">
      <c r="A1408">
        <v>1</v>
      </c>
      <c r="B1408">
        <v>518</v>
      </c>
      <c r="C1408" t="s">
        <v>26929</v>
      </c>
    </row>
    <row r="1409" spans="1:3" x14ac:dyDescent="0.15">
      <c r="A1409">
        <v>1</v>
      </c>
      <c r="B1409">
        <v>519</v>
      </c>
      <c r="C1409" t="s">
        <v>26930</v>
      </c>
    </row>
    <row r="1410" spans="1:3" x14ac:dyDescent="0.15">
      <c r="A1410">
        <v>1</v>
      </c>
      <c r="B1410">
        <v>520</v>
      </c>
      <c r="C1410" t="s">
        <v>26931</v>
      </c>
    </row>
    <row r="1411" spans="1:3" x14ac:dyDescent="0.15">
      <c r="A1411">
        <v>1</v>
      </c>
      <c r="B1411">
        <v>521</v>
      </c>
      <c r="C1411" t="s">
        <v>26932</v>
      </c>
    </row>
    <row r="1412" spans="1:3" x14ac:dyDescent="0.15">
      <c r="A1412">
        <v>1</v>
      </c>
      <c r="B1412">
        <v>522</v>
      </c>
      <c r="C1412" t="s">
        <v>26933</v>
      </c>
    </row>
    <row r="1413" spans="1:3" x14ac:dyDescent="0.15">
      <c r="A1413">
        <v>1</v>
      </c>
      <c r="B1413">
        <v>523</v>
      </c>
      <c r="C1413" t="s">
        <v>26934</v>
      </c>
    </row>
    <row r="1414" spans="1:3" x14ac:dyDescent="0.15">
      <c r="A1414">
        <v>1</v>
      </c>
      <c r="B1414">
        <v>525</v>
      </c>
      <c r="C1414" t="s">
        <v>26935</v>
      </c>
    </row>
    <row r="1415" spans="1:3" x14ac:dyDescent="0.15">
      <c r="A1415">
        <v>1</v>
      </c>
      <c r="B1415">
        <v>526</v>
      </c>
      <c r="C1415" t="s">
        <v>26936</v>
      </c>
    </row>
    <row r="1416" spans="1:3" x14ac:dyDescent="0.15">
      <c r="A1416">
        <v>1</v>
      </c>
      <c r="B1416">
        <v>527</v>
      </c>
      <c r="C1416" t="s">
        <v>26937</v>
      </c>
    </row>
    <row r="1417" spans="1:3" x14ac:dyDescent="0.15">
      <c r="A1417">
        <v>1</v>
      </c>
      <c r="B1417">
        <v>528</v>
      </c>
      <c r="C1417" t="s">
        <v>26938</v>
      </c>
    </row>
    <row r="1418" spans="1:3" x14ac:dyDescent="0.15">
      <c r="A1418">
        <v>1</v>
      </c>
      <c r="B1418">
        <v>530</v>
      </c>
      <c r="C1418" t="s">
        <v>26939</v>
      </c>
    </row>
    <row r="1419" spans="1:3" x14ac:dyDescent="0.15">
      <c r="A1419">
        <v>1</v>
      </c>
      <c r="B1419">
        <v>531</v>
      </c>
      <c r="C1419" t="s">
        <v>26940</v>
      </c>
    </row>
    <row r="1420" spans="1:3" x14ac:dyDescent="0.15">
      <c r="A1420">
        <v>1</v>
      </c>
      <c r="B1420">
        <v>532</v>
      </c>
      <c r="C1420" t="s">
        <v>26941</v>
      </c>
    </row>
    <row r="1421" spans="1:3" x14ac:dyDescent="0.15">
      <c r="A1421">
        <v>1</v>
      </c>
      <c r="B1421">
        <v>534</v>
      </c>
      <c r="C1421" t="s">
        <v>26942</v>
      </c>
    </row>
    <row r="1422" spans="1:3" x14ac:dyDescent="0.15">
      <c r="A1422">
        <v>1</v>
      </c>
      <c r="B1422">
        <v>536</v>
      </c>
      <c r="C1422" t="s">
        <v>26943</v>
      </c>
    </row>
    <row r="1423" spans="1:3" x14ac:dyDescent="0.15">
      <c r="A1423">
        <v>1</v>
      </c>
      <c r="B1423">
        <v>537</v>
      </c>
      <c r="C1423" t="s">
        <v>26944</v>
      </c>
    </row>
    <row r="1424" spans="1:3" x14ac:dyDescent="0.15">
      <c r="A1424">
        <v>1</v>
      </c>
      <c r="B1424">
        <v>538</v>
      </c>
      <c r="C1424" t="s">
        <v>26945</v>
      </c>
    </row>
    <row r="1425" spans="1:3" x14ac:dyDescent="0.15">
      <c r="A1425">
        <v>1</v>
      </c>
      <c r="B1425">
        <v>539</v>
      </c>
      <c r="C1425" t="s">
        <v>26946</v>
      </c>
    </row>
    <row r="1426" spans="1:3" x14ac:dyDescent="0.15">
      <c r="A1426">
        <v>1</v>
      </c>
      <c r="B1426">
        <v>540</v>
      </c>
      <c r="C1426" t="s">
        <v>26947</v>
      </c>
    </row>
    <row r="1427" spans="1:3" x14ac:dyDescent="0.15">
      <c r="A1427">
        <v>1</v>
      </c>
      <c r="B1427">
        <v>542</v>
      </c>
      <c r="C1427" t="s">
        <v>26948</v>
      </c>
    </row>
    <row r="1428" spans="1:3" x14ac:dyDescent="0.15">
      <c r="A1428">
        <v>1</v>
      </c>
      <c r="B1428">
        <v>543</v>
      </c>
      <c r="C1428" t="s">
        <v>26949</v>
      </c>
    </row>
    <row r="1429" spans="1:3" x14ac:dyDescent="0.15">
      <c r="A1429">
        <v>1</v>
      </c>
      <c r="B1429">
        <v>544</v>
      </c>
      <c r="C1429" t="s">
        <v>26950</v>
      </c>
    </row>
    <row r="1430" spans="1:3" x14ac:dyDescent="0.15">
      <c r="A1430">
        <v>1</v>
      </c>
      <c r="B1430">
        <v>545</v>
      </c>
      <c r="C1430" t="s">
        <v>26951</v>
      </c>
    </row>
    <row r="1431" spans="1:3" x14ac:dyDescent="0.15">
      <c r="A1431">
        <v>1</v>
      </c>
      <c r="B1431">
        <v>546</v>
      </c>
      <c r="C1431" t="s">
        <v>26952</v>
      </c>
    </row>
    <row r="1432" spans="1:3" x14ac:dyDescent="0.15">
      <c r="A1432">
        <v>1</v>
      </c>
      <c r="B1432">
        <v>547</v>
      </c>
      <c r="C1432" t="s">
        <v>26953</v>
      </c>
    </row>
    <row r="1433" spans="1:3" x14ac:dyDescent="0.15">
      <c r="A1433">
        <v>1</v>
      </c>
      <c r="B1433">
        <v>549</v>
      </c>
      <c r="C1433" t="s">
        <v>26954</v>
      </c>
    </row>
    <row r="1434" spans="1:3" x14ac:dyDescent="0.15">
      <c r="A1434">
        <v>1</v>
      </c>
      <c r="B1434">
        <v>550</v>
      </c>
      <c r="C1434" t="s">
        <v>26955</v>
      </c>
    </row>
    <row r="1435" spans="1:3" x14ac:dyDescent="0.15">
      <c r="A1435">
        <v>1</v>
      </c>
      <c r="B1435">
        <v>551</v>
      </c>
      <c r="C1435" t="s">
        <v>26956</v>
      </c>
    </row>
    <row r="1436" spans="1:3" x14ac:dyDescent="0.15">
      <c r="A1436">
        <v>1</v>
      </c>
      <c r="B1436">
        <v>552</v>
      </c>
      <c r="C1436" t="s">
        <v>26957</v>
      </c>
    </row>
    <row r="1437" spans="1:3" x14ac:dyDescent="0.15">
      <c r="A1437">
        <v>1</v>
      </c>
      <c r="B1437">
        <v>553</v>
      </c>
      <c r="C1437" t="s">
        <v>26958</v>
      </c>
    </row>
    <row r="1438" spans="1:3" x14ac:dyDescent="0.15">
      <c r="A1438">
        <v>1</v>
      </c>
      <c r="B1438">
        <v>554</v>
      </c>
      <c r="C1438" t="s">
        <v>26959</v>
      </c>
    </row>
    <row r="1439" spans="1:3" x14ac:dyDescent="0.15">
      <c r="A1439">
        <v>1</v>
      </c>
      <c r="B1439">
        <v>555</v>
      </c>
      <c r="C1439" t="s">
        <v>26960</v>
      </c>
    </row>
    <row r="1440" spans="1:3" x14ac:dyDescent="0.15">
      <c r="A1440">
        <v>1</v>
      </c>
      <c r="B1440">
        <v>556</v>
      </c>
      <c r="C1440" t="s">
        <v>26961</v>
      </c>
    </row>
    <row r="1441" spans="1:3" x14ac:dyDescent="0.15">
      <c r="A1441">
        <v>1</v>
      </c>
      <c r="B1441">
        <v>557</v>
      </c>
      <c r="C1441" t="s">
        <v>26962</v>
      </c>
    </row>
    <row r="1442" spans="1:3" x14ac:dyDescent="0.15">
      <c r="A1442">
        <v>1</v>
      </c>
      <c r="B1442">
        <v>558</v>
      </c>
      <c r="C1442" t="s">
        <v>26963</v>
      </c>
    </row>
    <row r="1443" spans="1:3" x14ac:dyDescent="0.15">
      <c r="A1443">
        <v>1</v>
      </c>
      <c r="B1443">
        <v>561</v>
      </c>
      <c r="C1443" t="s">
        <v>26964</v>
      </c>
    </row>
    <row r="1444" spans="1:3" x14ac:dyDescent="0.15">
      <c r="A1444">
        <v>1</v>
      </c>
      <c r="B1444">
        <v>562</v>
      </c>
      <c r="C1444" t="s">
        <v>26965</v>
      </c>
    </row>
    <row r="1445" spans="1:3" x14ac:dyDescent="0.15">
      <c r="A1445">
        <v>1</v>
      </c>
      <c r="B1445">
        <v>563</v>
      </c>
      <c r="C1445" t="s">
        <v>26966</v>
      </c>
    </row>
    <row r="1446" spans="1:3" x14ac:dyDescent="0.15">
      <c r="A1446">
        <v>1</v>
      </c>
      <c r="B1446">
        <v>564</v>
      </c>
      <c r="C1446" t="s">
        <v>26967</v>
      </c>
    </row>
    <row r="1447" spans="1:3" x14ac:dyDescent="0.15">
      <c r="A1447">
        <v>1</v>
      </c>
      <c r="B1447">
        <v>565</v>
      </c>
      <c r="C1447" t="s">
        <v>26968</v>
      </c>
    </row>
    <row r="1448" spans="1:3" x14ac:dyDescent="0.15">
      <c r="A1448">
        <v>1</v>
      </c>
      <c r="B1448">
        <v>566</v>
      </c>
      <c r="C1448" t="s">
        <v>26969</v>
      </c>
    </row>
    <row r="1449" spans="1:3" x14ac:dyDescent="0.15">
      <c r="A1449">
        <v>1</v>
      </c>
      <c r="B1449">
        <v>567</v>
      </c>
      <c r="C1449" t="s">
        <v>26970</v>
      </c>
    </row>
    <row r="1450" spans="1:3" x14ac:dyDescent="0.15">
      <c r="A1450">
        <v>1</v>
      </c>
      <c r="B1450">
        <v>568</v>
      </c>
      <c r="C1450" t="s">
        <v>26971</v>
      </c>
    </row>
    <row r="1451" spans="1:3" x14ac:dyDescent="0.15">
      <c r="A1451">
        <v>1</v>
      </c>
      <c r="B1451">
        <v>569</v>
      </c>
      <c r="C1451" t="s">
        <v>26972</v>
      </c>
    </row>
    <row r="1452" spans="1:3" x14ac:dyDescent="0.15">
      <c r="A1452">
        <v>1</v>
      </c>
      <c r="B1452">
        <v>570</v>
      </c>
      <c r="C1452" t="s">
        <v>26973</v>
      </c>
    </row>
    <row r="1453" spans="1:3" x14ac:dyDescent="0.15">
      <c r="A1453">
        <v>1</v>
      </c>
      <c r="B1453">
        <v>571</v>
      </c>
      <c r="C1453" t="s">
        <v>26974</v>
      </c>
    </row>
    <row r="1454" spans="1:3" x14ac:dyDescent="0.15">
      <c r="A1454">
        <v>1</v>
      </c>
      <c r="B1454">
        <v>572</v>
      </c>
      <c r="C1454" t="s">
        <v>26975</v>
      </c>
    </row>
    <row r="1455" spans="1:3" x14ac:dyDescent="0.15">
      <c r="A1455">
        <v>1</v>
      </c>
      <c r="B1455">
        <v>573</v>
      </c>
      <c r="C1455" t="s">
        <v>26976</v>
      </c>
    </row>
    <row r="1456" spans="1:3" x14ac:dyDescent="0.15">
      <c r="A1456">
        <v>1</v>
      </c>
      <c r="B1456">
        <v>576</v>
      </c>
      <c r="C1456" t="s">
        <v>26977</v>
      </c>
    </row>
    <row r="1457" spans="1:3" x14ac:dyDescent="0.15">
      <c r="A1457">
        <v>1</v>
      </c>
      <c r="B1457">
        <v>577</v>
      </c>
      <c r="C1457" t="s">
        <v>26978</v>
      </c>
    </row>
    <row r="1458" spans="1:3" x14ac:dyDescent="0.15">
      <c r="A1458">
        <v>1</v>
      </c>
      <c r="B1458">
        <v>578</v>
      </c>
      <c r="C1458" t="s">
        <v>26979</v>
      </c>
    </row>
    <row r="1459" spans="1:3" x14ac:dyDescent="0.15">
      <c r="A1459">
        <v>1</v>
      </c>
      <c r="B1459">
        <v>581</v>
      </c>
      <c r="C1459" t="s">
        <v>26980</v>
      </c>
    </row>
    <row r="1460" spans="1:3" x14ac:dyDescent="0.15">
      <c r="A1460">
        <v>1</v>
      </c>
      <c r="B1460">
        <v>582</v>
      </c>
      <c r="C1460" t="s">
        <v>26981</v>
      </c>
    </row>
    <row r="1461" spans="1:3" x14ac:dyDescent="0.15">
      <c r="A1461">
        <v>1</v>
      </c>
      <c r="B1461">
        <v>583</v>
      </c>
      <c r="C1461" t="s">
        <v>26982</v>
      </c>
    </row>
    <row r="1462" spans="1:3" x14ac:dyDescent="0.15">
      <c r="A1462">
        <v>1</v>
      </c>
      <c r="B1462">
        <v>584</v>
      </c>
      <c r="C1462" t="s">
        <v>26983</v>
      </c>
    </row>
    <row r="1463" spans="1:3" x14ac:dyDescent="0.15">
      <c r="A1463">
        <v>1</v>
      </c>
      <c r="B1463">
        <v>585</v>
      </c>
      <c r="C1463" t="s">
        <v>26984</v>
      </c>
    </row>
    <row r="1464" spans="1:3" x14ac:dyDescent="0.15">
      <c r="A1464">
        <v>1</v>
      </c>
      <c r="B1464">
        <v>586</v>
      </c>
      <c r="C1464" t="s">
        <v>26985</v>
      </c>
    </row>
    <row r="1465" spans="1:3" x14ac:dyDescent="0.15">
      <c r="A1465">
        <v>1</v>
      </c>
      <c r="B1465">
        <v>587</v>
      </c>
      <c r="C1465" t="s">
        <v>26986</v>
      </c>
    </row>
    <row r="1466" spans="1:3" x14ac:dyDescent="0.15">
      <c r="A1466">
        <v>1</v>
      </c>
      <c r="B1466">
        <v>590</v>
      </c>
      <c r="C1466" t="s">
        <v>26987</v>
      </c>
    </row>
    <row r="1467" spans="1:3" x14ac:dyDescent="0.15">
      <c r="A1467">
        <v>1</v>
      </c>
      <c r="B1467">
        <v>591</v>
      </c>
      <c r="C1467" t="s">
        <v>26988</v>
      </c>
    </row>
    <row r="1468" spans="1:3" x14ac:dyDescent="0.15">
      <c r="A1468">
        <v>1</v>
      </c>
      <c r="B1468">
        <v>592</v>
      </c>
      <c r="C1468" t="s">
        <v>26989</v>
      </c>
    </row>
    <row r="1469" spans="1:3" x14ac:dyDescent="0.15">
      <c r="A1469">
        <v>1</v>
      </c>
      <c r="B1469">
        <v>593</v>
      </c>
      <c r="C1469" t="s">
        <v>26990</v>
      </c>
    </row>
    <row r="1470" spans="1:3" x14ac:dyDescent="0.15">
      <c r="A1470">
        <v>1</v>
      </c>
      <c r="B1470">
        <v>595</v>
      </c>
      <c r="C1470" t="s">
        <v>26991</v>
      </c>
    </row>
    <row r="1471" spans="1:3" x14ac:dyDescent="0.15">
      <c r="A1471">
        <v>1</v>
      </c>
      <c r="B1471">
        <v>596</v>
      </c>
      <c r="C1471" t="s">
        <v>26992</v>
      </c>
    </row>
    <row r="1472" spans="1:3" x14ac:dyDescent="0.15">
      <c r="A1472">
        <v>1</v>
      </c>
      <c r="B1472">
        <v>597</v>
      </c>
      <c r="C1472" t="s">
        <v>26993</v>
      </c>
    </row>
    <row r="1473" spans="1:3" x14ac:dyDescent="0.15">
      <c r="A1473">
        <v>1</v>
      </c>
      <c r="B1473">
        <v>598</v>
      </c>
      <c r="C1473" t="s">
        <v>26994</v>
      </c>
    </row>
    <row r="1474" spans="1:3" x14ac:dyDescent="0.15">
      <c r="A1474">
        <v>1</v>
      </c>
      <c r="B1474">
        <v>599</v>
      </c>
      <c r="C1474" t="s">
        <v>26995</v>
      </c>
    </row>
    <row r="1475" spans="1:3" x14ac:dyDescent="0.15">
      <c r="A1475">
        <v>1</v>
      </c>
      <c r="B1475">
        <v>600</v>
      </c>
      <c r="C1475" t="s">
        <v>26996</v>
      </c>
    </row>
    <row r="1476" spans="1:3" x14ac:dyDescent="0.15">
      <c r="A1476">
        <v>1</v>
      </c>
      <c r="B1476">
        <v>601</v>
      </c>
      <c r="C1476" t="s">
        <v>26997</v>
      </c>
    </row>
    <row r="1477" spans="1:3" x14ac:dyDescent="0.15">
      <c r="A1477">
        <v>1</v>
      </c>
      <c r="B1477">
        <v>602</v>
      </c>
      <c r="C1477" t="s">
        <v>26998</v>
      </c>
    </row>
    <row r="1478" spans="1:3" x14ac:dyDescent="0.15">
      <c r="A1478">
        <v>1</v>
      </c>
      <c r="B1478">
        <v>603</v>
      </c>
      <c r="C1478" t="s">
        <v>26999</v>
      </c>
    </row>
    <row r="1479" spans="1:3" x14ac:dyDescent="0.15">
      <c r="A1479">
        <v>1</v>
      </c>
      <c r="B1479">
        <v>604</v>
      </c>
      <c r="C1479" t="s">
        <v>27000</v>
      </c>
    </row>
    <row r="1480" spans="1:3" x14ac:dyDescent="0.15">
      <c r="A1480">
        <v>1</v>
      </c>
      <c r="B1480">
        <v>605</v>
      </c>
      <c r="C1480" t="s">
        <v>27001</v>
      </c>
    </row>
    <row r="1481" spans="1:3" x14ac:dyDescent="0.15">
      <c r="A1481">
        <v>1</v>
      </c>
      <c r="B1481">
        <v>610</v>
      </c>
      <c r="C1481" t="s">
        <v>27002</v>
      </c>
    </row>
    <row r="1482" spans="1:3" x14ac:dyDescent="0.15">
      <c r="A1482">
        <v>1</v>
      </c>
      <c r="B1482">
        <v>611</v>
      </c>
      <c r="C1482" t="s">
        <v>27003</v>
      </c>
    </row>
    <row r="1483" spans="1:3" x14ac:dyDescent="0.15">
      <c r="A1483">
        <v>1</v>
      </c>
      <c r="B1483">
        <v>612</v>
      </c>
      <c r="C1483" t="s">
        <v>27004</v>
      </c>
    </row>
    <row r="1484" spans="1:3" x14ac:dyDescent="0.15">
      <c r="A1484">
        <v>1</v>
      </c>
      <c r="B1484">
        <v>613</v>
      </c>
      <c r="C1484" t="s">
        <v>27005</v>
      </c>
    </row>
    <row r="1485" spans="1:3" x14ac:dyDescent="0.15">
      <c r="A1485">
        <v>1</v>
      </c>
      <c r="B1485">
        <v>614</v>
      </c>
      <c r="C1485" t="s">
        <v>27006</v>
      </c>
    </row>
    <row r="1486" spans="1:3" x14ac:dyDescent="0.15">
      <c r="A1486">
        <v>1</v>
      </c>
      <c r="B1486">
        <v>615</v>
      </c>
      <c r="C1486" t="s">
        <v>27007</v>
      </c>
    </row>
    <row r="1487" spans="1:3" x14ac:dyDescent="0.15">
      <c r="A1487">
        <v>1</v>
      </c>
      <c r="B1487">
        <v>616</v>
      </c>
      <c r="C1487" t="s">
        <v>27008</v>
      </c>
    </row>
    <row r="1488" spans="1:3" x14ac:dyDescent="0.15">
      <c r="A1488">
        <v>1</v>
      </c>
      <c r="B1488">
        <v>617</v>
      </c>
      <c r="C1488" t="s">
        <v>27009</v>
      </c>
    </row>
    <row r="1489" spans="1:3" x14ac:dyDescent="0.15">
      <c r="A1489">
        <v>1</v>
      </c>
      <c r="B1489">
        <v>618</v>
      </c>
      <c r="C1489" t="s">
        <v>27010</v>
      </c>
    </row>
    <row r="1490" spans="1:3" x14ac:dyDescent="0.15">
      <c r="A1490">
        <v>1</v>
      </c>
      <c r="B1490">
        <v>619</v>
      </c>
      <c r="C1490" t="s">
        <v>27011</v>
      </c>
    </row>
    <row r="1491" spans="1:3" x14ac:dyDescent="0.15">
      <c r="A1491">
        <v>1</v>
      </c>
      <c r="B1491">
        <v>670</v>
      </c>
      <c r="C1491" t="s">
        <v>27012</v>
      </c>
    </row>
    <row r="1492" spans="1:3" x14ac:dyDescent="0.15">
      <c r="A1492">
        <v>1</v>
      </c>
      <c r="B1492">
        <v>672</v>
      </c>
      <c r="C1492" t="s">
        <v>27013</v>
      </c>
    </row>
    <row r="1493" spans="1:3" x14ac:dyDescent="0.15">
      <c r="A1493">
        <v>1</v>
      </c>
      <c r="B1493">
        <v>674</v>
      </c>
      <c r="C1493" t="s">
        <v>27014</v>
      </c>
    </row>
    <row r="1494" spans="1:3" x14ac:dyDescent="0.15">
      <c r="A1494">
        <v>1</v>
      </c>
      <c r="B1494">
        <v>675</v>
      </c>
      <c r="C1494" t="s">
        <v>27015</v>
      </c>
    </row>
    <row r="1495" spans="1:3" x14ac:dyDescent="0.15">
      <c r="A1495">
        <v>1</v>
      </c>
      <c r="B1495">
        <v>676</v>
      </c>
      <c r="C1495" t="s">
        <v>27016</v>
      </c>
    </row>
    <row r="1496" spans="1:3" x14ac:dyDescent="0.15">
      <c r="A1496">
        <v>1</v>
      </c>
      <c r="B1496">
        <v>677</v>
      </c>
      <c r="C1496" t="s">
        <v>27017</v>
      </c>
    </row>
    <row r="1497" spans="1:3" x14ac:dyDescent="0.15">
      <c r="A1497">
        <v>1</v>
      </c>
      <c r="B1497">
        <v>678</v>
      </c>
      <c r="C1497" t="s">
        <v>27018</v>
      </c>
    </row>
    <row r="1498" spans="1:3" x14ac:dyDescent="0.15">
      <c r="A1498">
        <v>1</v>
      </c>
      <c r="B1498">
        <v>683</v>
      </c>
      <c r="C1498" t="s">
        <v>27019</v>
      </c>
    </row>
    <row r="1499" spans="1:3" x14ac:dyDescent="0.15">
      <c r="A1499">
        <v>1</v>
      </c>
      <c r="B1499">
        <v>684</v>
      </c>
      <c r="C1499" t="s">
        <v>27020</v>
      </c>
    </row>
    <row r="1500" spans="1:3" x14ac:dyDescent="0.15">
      <c r="A1500">
        <v>1</v>
      </c>
      <c r="B1500">
        <v>686</v>
      </c>
      <c r="C1500" t="s">
        <v>27021</v>
      </c>
    </row>
    <row r="1501" spans="1:3" x14ac:dyDescent="0.15">
      <c r="A1501">
        <v>1</v>
      </c>
      <c r="B1501">
        <v>699</v>
      </c>
      <c r="C1501" t="s">
        <v>27022</v>
      </c>
    </row>
    <row r="1502" spans="1:3" x14ac:dyDescent="0.15">
      <c r="A1502">
        <v>1</v>
      </c>
      <c r="B1502">
        <v>700</v>
      </c>
      <c r="C1502" t="s">
        <v>27023</v>
      </c>
    </row>
    <row r="1503" spans="1:3" x14ac:dyDescent="0.15">
      <c r="A1503">
        <v>1</v>
      </c>
      <c r="B1503">
        <v>702</v>
      </c>
      <c r="C1503" t="s">
        <v>27024</v>
      </c>
    </row>
    <row r="1504" spans="1:3" x14ac:dyDescent="0.15">
      <c r="A1504">
        <v>1</v>
      </c>
      <c r="B1504">
        <v>703</v>
      </c>
      <c r="C1504" t="s">
        <v>27025</v>
      </c>
    </row>
    <row r="1505" spans="1:3" x14ac:dyDescent="0.15">
      <c r="A1505">
        <v>1</v>
      </c>
      <c r="B1505">
        <v>704</v>
      </c>
      <c r="C1505" t="s">
        <v>27026</v>
      </c>
    </row>
    <row r="1506" spans="1:3" x14ac:dyDescent="0.15">
      <c r="A1506">
        <v>1</v>
      </c>
      <c r="B1506">
        <v>705</v>
      </c>
      <c r="C1506" t="s">
        <v>27027</v>
      </c>
    </row>
    <row r="1507" spans="1:3" x14ac:dyDescent="0.15">
      <c r="A1507">
        <v>1</v>
      </c>
      <c r="B1507">
        <v>706</v>
      </c>
      <c r="C1507" t="s">
        <v>27028</v>
      </c>
    </row>
    <row r="1508" spans="1:3" x14ac:dyDescent="0.15">
      <c r="A1508">
        <v>1</v>
      </c>
      <c r="B1508">
        <v>708</v>
      </c>
      <c r="C1508" t="s">
        <v>27029</v>
      </c>
    </row>
    <row r="1509" spans="1:3" x14ac:dyDescent="0.15">
      <c r="A1509">
        <v>1</v>
      </c>
      <c r="B1509">
        <v>709</v>
      </c>
      <c r="C1509" t="s">
        <v>27030</v>
      </c>
    </row>
    <row r="1510" spans="1:3" x14ac:dyDescent="0.15">
      <c r="A1510">
        <v>1</v>
      </c>
      <c r="B1510">
        <v>710</v>
      </c>
      <c r="C1510" t="s">
        <v>27031</v>
      </c>
    </row>
    <row r="1511" spans="1:3" x14ac:dyDescent="0.15">
      <c r="A1511">
        <v>1</v>
      </c>
      <c r="B1511">
        <v>711</v>
      </c>
      <c r="C1511" t="s">
        <v>27032</v>
      </c>
    </row>
    <row r="1512" spans="1:3" x14ac:dyDescent="0.15">
      <c r="A1512">
        <v>1</v>
      </c>
      <c r="B1512">
        <v>712</v>
      </c>
      <c r="C1512" t="s">
        <v>27033</v>
      </c>
    </row>
    <row r="1513" spans="1:3" x14ac:dyDescent="0.15">
      <c r="A1513">
        <v>1</v>
      </c>
      <c r="B1513">
        <v>715</v>
      </c>
      <c r="C1513" t="s">
        <v>27034</v>
      </c>
    </row>
    <row r="1514" spans="1:3" x14ac:dyDescent="0.15">
      <c r="A1514">
        <v>1</v>
      </c>
      <c r="B1514">
        <v>716</v>
      </c>
      <c r="C1514" t="s">
        <v>27035</v>
      </c>
    </row>
    <row r="1515" spans="1:3" x14ac:dyDescent="0.15">
      <c r="A1515">
        <v>1</v>
      </c>
      <c r="B1515">
        <v>717</v>
      </c>
      <c r="C1515" t="s">
        <v>27036</v>
      </c>
    </row>
    <row r="1516" spans="1:3" x14ac:dyDescent="0.15">
      <c r="A1516">
        <v>1</v>
      </c>
      <c r="B1516">
        <v>718</v>
      </c>
      <c r="C1516" t="s">
        <v>27037</v>
      </c>
    </row>
    <row r="1517" spans="1:3" x14ac:dyDescent="0.15">
      <c r="A1517">
        <v>1</v>
      </c>
      <c r="B1517">
        <v>719</v>
      </c>
      <c r="C1517" t="s">
        <v>27038</v>
      </c>
    </row>
    <row r="1518" spans="1:3" x14ac:dyDescent="0.15">
      <c r="A1518">
        <v>1</v>
      </c>
      <c r="B1518">
        <v>720</v>
      </c>
      <c r="C1518" t="s">
        <v>27039</v>
      </c>
    </row>
    <row r="1519" spans="1:3" x14ac:dyDescent="0.15">
      <c r="A1519">
        <v>1</v>
      </c>
      <c r="B1519">
        <v>721</v>
      </c>
      <c r="C1519" t="s">
        <v>27040</v>
      </c>
    </row>
    <row r="1520" spans="1:3" x14ac:dyDescent="0.15">
      <c r="A1520">
        <v>1</v>
      </c>
      <c r="B1520">
        <v>722</v>
      </c>
      <c r="C1520" t="s">
        <v>27041</v>
      </c>
    </row>
    <row r="1521" spans="1:3" x14ac:dyDescent="0.15">
      <c r="A1521">
        <v>1</v>
      </c>
      <c r="B1521">
        <v>723</v>
      </c>
      <c r="C1521" t="s">
        <v>27042</v>
      </c>
    </row>
    <row r="1522" spans="1:3" x14ac:dyDescent="0.15">
      <c r="A1522">
        <v>1</v>
      </c>
      <c r="B1522">
        <v>724</v>
      </c>
      <c r="C1522" t="s">
        <v>27043</v>
      </c>
    </row>
    <row r="1523" spans="1:3" x14ac:dyDescent="0.15">
      <c r="A1523">
        <v>1</v>
      </c>
      <c r="B1523">
        <v>725</v>
      </c>
      <c r="C1523" t="s">
        <v>27044</v>
      </c>
    </row>
    <row r="1524" spans="1:3" x14ac:dyDescent="0.15">
      <c r="A1524">
        <v>1</v>
      </c>
      <c r="B1524">
        <v>726</v>
      </c>
      <c r="C1524" t="s">
        <v>27045</v>
      </c>
    </row>
    <row r="1525" spans="1:3" x14ac:dyDescent="0.15">
      <c r="A1525">
        <v>1</v>
      </c>
      <c r="B1525">
        <v>727</v>
      </c>
      <c r="C1525" t="s">
        <v>27046</v>
      </c>
    </row>
    <row r="1526" spans="1:3" x14ac:dyDescent="0.15">
      <c r="A1526">
        <v>1</v>
      </c>
      <c r="B1526">
        <v>728</v>
      </c>
      <c r="C1526" t="s">
        <v>27047</v>
      </c>
    </row>
    <row r="1527" spans="1:3" x14ac:dyDescent="0.15">
      <c r="A1527">
        <v>1</v>
      </c>
      <c r="B1527">
        <v>729</v>
      </c>
      <c r="C1527" t="s">
        <v>27048</v>
      </c>
    </row>
    <row r="1528" spans="1:3" x14ac:dyDescent="0.15">
      <c r="A1528">
        <v>1</v>
      </c>
      <c r="B1528">
        <v>730</v>
      </c>
      <c r="C1528" t="s">
        <v>27049</v>
      </c>
    </row>
    <row r="1529" spans="1:3" x14ac:dyDescent="0.15">
      <c r="A1529">
        <v>1</v>
      </c>
      <c r="B1529">
        <v>731</v>
      </c>
      <c r="C1529" t="s">
        <v>27050</v>
      </c>
    </row>
    <row r="1530" spans="1:3" x14ac:dyDescent="0.15">
      <c r="A1530">
        <v>1</v>
      </c>
      <c r="B1530">
        <v>732</v>
      </c>
      <c r="C1530" t="s">
        <v>27051</v>
      </c>
    </row>
    <row r="1531" spans="1:3" x14ac:dyDescent="0.15">
      <c r="A1531">
        <v>1</v>
      </c>
      <c r="B1531">
        <v>733</v>
      </c>
      <c r="C1531" t="s">
        <v>27052</v>
      </c>
    </row>
    <row r="1532" spans="1:3" x14ac:dyDescent="0.15">
      <c r="A1532">
        <v>1</v>
      </c>
      <c r="B1532">
        <v>734</v>
      </c>
      <c r="C1532" t="s">
        <v>27053</v>
      </c>
    </row>
    <row r="1533" spans="1:3" x14ac:dyDescent="0.15">
      <c r="A1533">
        <v>1</v>
      </c>
      <c r="B1533">
        <v>735</v>
      </c>
      <c r="C1533" t="s">
        <v>27054</v>
      </c>
    </row>
    <row r="1534" spans="1:3" x14ac:dyDescent="0.15">
      <c r="A1534">
        <v>1</v>
      </c>
      <c r="B1534">
        <v>736</v>
      </c>
      <c r="C1534" t="s">
        <v>27055</v>
      </c>
    </row>
    <row r="1535" spans="1:3" x14ac:dyDescent="0.15">
      <c r="A1535">
        <v>1</v>
      </c>
      <c r="B1535">
        <v>737</v>
      </c>
      <c r="C1535" t="s">
        <v>27056</v>
      </c>
    </row>
    <row r="1536" spans="1:3" x14ac:dyDescent="0.15">
      <c r="A1536">
        <v>1</v>
      </c>
      <c r="B1536">
        <v>738</v>
      </c>
      <c r="C1536" t="s">
        <v>27057</v>
      </c>
    </row>
    <row r="1537" spans="1:3" x14ac:dyDescent="0.15">
      <c r="A1537">
        <v>1</v>
      </c>
      <c r="B1537">
        <v>739</v>
      </c>
      <c r="C1537" t="s">
        <v>27058</v>
      </c>
    </row>
    <row r="1538" spans="1:3" x14ac:dyDescent="0.15">
      <c r="A1538">
        <v>1</v>
      </c>
      <c r="B1538">
        <v>740</v>
      </c>
      <c r="C1538" t="s">
        <v>27059</v>
      </c>
    </row>
    <row r="1539" spans="1:3" x14ac:dyDescent="0.15">
      <c r="A1539">
        <v>1</v>
      </c>
      <c r="B1539">
        <v>741</v>
      </c>
      <c r="C1539" t="s">
        <v>27060</v>
      </c>
    </row>
    <row r="1540" spans="1:3" x14ac:dyDescent="0.15">
      <c r="A1540">
        <v>1</v>
      </c>
      <c r="B1540">
        <v>742</v>
      </c>
      <c r="C1540" t="s">
        <v>27061</v>
      </c>
    </row>
    <row r="1541" spans="1:3" x14ac:dyDescent="0.15">
      <c r="A1541">
        <v>1</v>
      </c>
      <c r="B1541">
        <v>744</v>
      </c>
      <c r="C1541" t="s">
        <v>27062</v>
      </c>
    </row>
    <row r="1542" spans="1:3" x14ac:dyDescent="0.15">
      <c r="A1542">
        <v>1</v>
      </c>
      <c r="B1542">
        <v>745</v>
      </c>
      <c r="C1542" t="s">
        <v>27063</v>
      </c>
    </row>
    <row r="1543" spans="1:3" x14ac:dyDescent="0.15">
      <c r="A1543">
        <v>1</v>
      </c>
      <c r="B1543">
        <v>746</v>
      </c>
      <c r="C1543" t="s">
        <v>27064</v>
      </c>
    </row>
    <row r="1544" spans="1:3" x14ac:dyDescent="0.15">
      <c r="A1544">
        <v>1</v>
      </c>
      <c r="B1544">
        <v>747</v>
      </c>
      <c r="C1544" t="s">
        <v>27065</v>
      </c>
    </row>
    <row r="1545" spans="1:3" x14ac:dyDescent="0.15">
      <c r="A1545">
        <v>1</v>
      </c>
      <c r="B1545">
        <v>748</v>
      </c>
      <c r="C1545" t="s">
        <v>27066</v>
      </c>
    </row>
    <row r="1546" spans="1:3" x14ac:dyDescent="0.15">
      <c r="A1546">
        <v>1</v>
      </c>
      <c r="B1546">
        <v>749</v>
      </c>
      <c r="C1546" t="s">
        <v>27067</v>
      </c>
    </row>
    <row r="1547" spans="1:3" x14ac:dyDescent="0.15">
      <c r="A1547">
        <v>1</v>
      </c>
      <c r="B1547">
        <v>750</v>
      </c>
      <c r="C1547" t="s">
        <v>27068</v>
      </c>
    </row>
    <row r="1548" spans="1:3" x14ac:dyDescent="0.15">
      <c r="A1548">
        <v>1</v>
      </c>
      <c r="B1548">
        <v>751</v>
      </c>
      <c r="C1548" t="s">
        <v>27069</v>
      </c>
    </row>
    <row r="1549" spans="1:3" x14ac:dyDescent="0.15">
      <c r="A1549">
        <v>1</v>
      </c>
      <c r="B1549">
        <v>752</v>
      </c>
      <c r="C1549" t="s">
        <v>27070</v>
      </c>
    </row>
    <row r="1550" spans="1:3" x14ac:dyDescent="0.15">
      <c r="A1550">
        <v>1</v>
      </c>
      <c r="B1550">
        <v>753</v>
      </c>
      <c r="C1550" t="s">
        <v>27071</v>
      </c>
    </row>
    <row r="1551" spans="1:3" x14ac:dyDescent="0.15">
      <c r="A1551">
        <v>1</v>
      </c>
      <c r="B1551">
        <v>754</v>
      </c>
      <c r="C1551" t="s">
        <v>27072</v>
      </c>
    </row>
    <row r="1552" spans="1:3" x14ac:dyDescent="0.15">
      <c r="A1552">
        <v>1</v>
      </c>
      <c r="B1552">
        <v>755</v>
      </c>
      <c r="C1552" t="s">
        <v>27073</v>
      </c>
    </row>
    <row r="1553" spans="1:3" x14ac:dyDescent="0.15">
      <c r="A1553">
        <v>1</v>
      </c>
      <c r="B1553">
        <v>756</v>
      </c>
      <c r="C1553" t="s">
        <v>27074</v>
      </c>
    </row>
    <row r="1554" spans="1:3" x14ac:dyDescent="0.15">
      <c r="A1554">
        <v>1</v>
      </c>
      <c r="B1554">
        <v>757</v>
      </c>
      <c r="C1554" t="s">
        <v>27075</v>
      </c>
    </row>
    <row r="1555" spans="1:3" x14ac:dyDescent="0.15">
      <c r="A1555">
        <v>1</v>
      </c>
      <c r="B1555">
        <v>758</v>
      </c>
      <c r="C1555" t="s">
        <v>27076</v>
      </c>
    </row>
    <row r="1556" spans="1:3" x14ac:dyDescent="0.15">
      <c r="A1556">
        <v>1</v>
      </c>
      <c r="B1556">
        <v>759</v>
      </c>
      <c r="C1556" t="s">
        <v>27077</v>
      </c>
    </row>
    <row r="1557" spans="1:3" x14ac:dyDescent="0.15">
      <c r="A1557">
        <v>1</v>
      </c>
      <c r="B1557">
        <v>760</v>
      </c>
      <c r="C1557" t="s">
        <v>27078</v>
      </c>
    </row>
    <row r="1558" spans="1:3" x14ac:dyDescent="0.15">
      <c r="A1558">
        <v>1</v>
      </c>
      <c r="B1558">
        <v>761</v>
      </c>
      <c r="C1558" t="s">
        <v>27079</v>
      </c>
    </row>
    <row r="1559" spans="1:3" x14ac:dyDescent="0.15">
      <c r="A1559">
        <v>1</v>
      </c>
      <c r="B1559">
        <v>762</v>
      </c>
      <c r="C1559" t="s">
        <v>27080</v>
      </c>
    </row>
    <row r="1560" spans="1:3" x14ac:dyDescent="0.15">
      <c r="A1560">
        <v>1</v>
      </c>
      <c r="B1560">
        <v>763</v>
      </c>
      <c r="C1560" t="s">
        <v>27081</v>
      </c>
    </row>
    <row r="1561" spans="1:3" x14ac:dyDescent="0.15">
      <c r="A1561">
        <v>1</v>
      </c>
      <c r="B1561">
        <v>764</v>
      </c>
      <c r="C1561" t="s">
        <v>27082</v>
      </c>
    </row>
    <row r="1562" spans="1:3" x14ac:dyDescent="0.15">
      <c r="A1562">
        <v>1</v>
      </c>
      <c r="B1562">
        <v>765</v>
      </c>
      <c r="C1562" t="s">
        <v>27083</v>
      </c>
    </row>
    <row r="1563" spans="1:3" x14ac:dyDescent="0.15">
      <c r="A1563">
        <v>1</v>
      </c>
      <c r="B1563">
        <v>766</v>
      </c>
      <c r="C1563" t="s">
        <v>27084</v>
      </c>
    </row>
    <row r="1564" spans="1:3" x14ac:dyDescent="0.15">
      <c r="A1564">
        <v>1</v>
      </c>
      <c r="B1564">
        <v>767</v>
      </c>
      <c r="C1564" t="s">
        <v>27085</v>
      </c>
    </row>
    <row r="1565" spans="1:3" x14ac:dyDescent="0.15">
      <c r="A1565">
        <v>1</v>
      </c>
      <c r="B1565">
        <v>768</v>
      </c>
      <c r="C1565" t="s">
        <v>27086</v>
      </c>
    </row>
    <row r="1566" spans="1:3" x14ac:dyDescent="0.15">
      <c r="A1566">
        <v>1</v>
      </c>
      <c r="B1566">
        <v>770</v>
      </c>
      <c r="C1566" t="s">
        <v>27087</v>
      </c>
    </row>
    <row r="1567" spans="1:3" x14ac:dyDescent="0.15">
      <c r="A1567">
        <v>1</v>
      </c>
      <c r="B1567">
        <v>772</v>
      </c>
      <c r="C1567" t="s">
        <v>27088</v>
      </c>
    </row>
    <row r="1568" spans="1:3" x14ac:dyDescent="0.15">
      <c r="A1568">
        <v>1</v>
      </c>
      <c r="B1568">
        <v>775</v>
      </c>
      <c r="C1568" t="s">
        <v>27089</v>
      </c>
    </row>
    <row r="1569" spans="1:3" x14ac:dyDescent="0.15">
      <c r="A1569">
        <v>1</v>
      </c>
      <c r="B1569">
        <v>776</v>
      </c>
      <c r="C1569" t="s">
        <v>27090</v>
      </c>
    </row>
    <row r="1570" spans="1:3" x14ac:dyDescent="0.15">
      <c r="A1570">
        <v>1</v>
      </c>
      <c r="B1570">
        <v>777</v>
      </c>
      <c r="C1570" t="s">
        <v>27091</v>
      </c>
    </row>
    <row r="1571" spans="1:3" x14ac:dyDescent="0.15">
      <c r="A1571">
        <v>1</v>
      </c>
      <c r="B1571">
        <v>780</v>
      </c>
      <c r="C1571" t="s">
        <v>27092</v>
      </c>
    </row>
    <row r="1572" spans="1:3" x14ac:dyDescent="0.15">
      <c r="A1572">
        <v>1</v>
      </c>
      <c r="B1572">
        <v>781</v>
      </c>
      <c r="C1572" t="s">
        <v>27093</v>
      </c>
    </row>
    <row r="1573" spans="1:3" x14ac:dyDescent="0.15">
      <c r="A1573">
        <v>1</v>
      </c>
      <c r="B1573">
        <v>782</v>
      </c>
      <c r="C1573" t="s">
        <v>27094</v>
      </c>
    </row>
    <row r="1574" spans="1:3" x14ac:dyDescent="0.15">
      <c r="A1574">
        <v>1</v>
      </c>
      <c r="B1574">
        <v>783</v>
      </c>
      <c r="C1574" t="s">
        <v>27095</v>
      </c>
    </row>
    <row r="1575" spans="1:3" x14ac:dyDescent="0.15">
      <c r="A1575">
        <v>1</v>
      </c>
      <c r="B1575">
        <v>784</v>
      </c>
      <c r="C1575" t="s">
        <v>27096</v>
      </c>
    </row>
    <row r="1576" spans="1:3" x14ac:dyDescent="0.15">
      <c r="A1576">
        <v>1</v>
      </c>
      <c r="B1576">
        <v>785</v>
      </c>
      <c r="C1576" t="s">
        <v>27097</v>
      </c>
    </row>
    <row r="1577" spans="1:3" x14ac:dyDescent="0.15">
      <c r="A1577">
        <v>1</v>
      </c>
      <c r="B1577">
        <v>786</v>
      </c>
      <c r="C1577" t="s">
        <v>27098</v>
      </c>
    </row>
    <row r="1578" spans="1:3" x14ac:dyDescent="0.15">
      <c r="A1578">
        <v>1</v>
      </c>
      <c r="B1578">
        <v>787</v>
      </c>
      <c r="C1578" t="s">
        <v>27099</v>
      </c>
    </row>
    <row r="1579" spans="1:3" x14ac:dyDescent="0.15">
      <c r="A1579">
        <v>1</v>
      </c>
      <c r="B1579">
        <v>788</v>
      </c>
      <c r="C1579" t="s">
        <v>27100</v>
      </c>
    </row>
    <row r="1580" spans="1:3" x14ac:dyDescent="0.15">
      <c r="A1580">
        <v>1</v>
      </c>
      <c r="B1580">
        <v>789</v>
      </c>
      <c r="C1580" t="s">
        <v>27101</v>
      </c>
    </row>
    <row r="1581" spans="1:3" x14ac:dyDescent="0.15">
      <c r="A1581">
        <v>1</v>
      </c>
      <c r="B1581">
        <v>790</v>
      </c>
      <c r="C1581" t="s">
        <v>27102</v>
      </c>
    </row>
    <row r="1582" spans="1:3" x14ac:dyDescent="0.15">
      <c r="A1582">
        <v>1</v>
      </c>
      <c r="B1582">
        <v>791</v>
      </c>
      <c r="C1582" t="s">
        <v>27103</v>
      </c>
    </row>
    <row r="1583" spans="1:3" x14ac:dyDescent="0.15">
      <c r="A1583">
        <v>1</v>
      </c>
      <c r="B1583">
        <v>792</v>
      </c>
      <c r="C1583" t="s">
        <v>27104</v>
      </c>
    </row>
    <row r="1584" spans="1:3" x14ac:dyDescent="0.15">
      <c r="A1584">
        <v>1</v>
      </c>
      <c r="B1584">
        <v>793</v>
      </c>
      <c r="C1584" t="s">
        <v>27105</v>
      </c>
    </row>
    <row r="1585" spans="1:3" x14ac:dyDescent="0.15">
      <c r="A1585">
        <v>1</v>
      </c>
      <c r="B1585">
        <v>794</v>
      </c>
      <c r="C1585" t="s">
        <v>27106</v>
      </c>
    </row>
    <row r="1586" spans="1:3" x14ac:dyDescent="0.15">
      <c r="A1586">
        <v>1</v>
      </c>
      <c r="B1586">
        <v>795</v>
      </c>
      <c r="C1586" t="s">
        <v>27107</v>
      </c>
    </row>
    <row r="1587" spans="1:3" x14ac:dyDescent="0.15">
      <c r="A1587">
        <v>1</v>
      </c>
      <c r="B1587">
        <v>796</v>
      </c>
      <c r="C1587" t="s">
        <v>27108</v>
      </c>
    </row>
    <row r="1588" spans="1:3" x14ac:dyDescent="0.15">
      <c r="A1588">
        <v>1</v>
      </c>
      <c r="B1588">
        <v>797</v>
      </c>
      <c r="C1588" t="s">
        <v>27109</v>
      </c>
    </row>
    <row r="1589" spans="1:3" x14ac:dyDescent="0.15">
      <c r="A1589">
        <v>1</v>
      </c>
      <c r="B1589">
        <v>800</v>
      </c>
      <c r="C1589" t="s">
        <v>27110</v>
      </c>
    </row>
    <row r="1590" spans="1:3" x14ac:dyDescent="0.15">
      <c r="A1590">
        <v>1</v>
      </c>
      <c r="B1590">
        <v>801</v>
      </c>
      <c r="C1590" t="s">
        <v>27111</v>
      </c>
    </row>
    <row r="1591" spans="1:3" x14ac:dyDescent="0.15">
      <c r="A1591">
        <v>1</v>
      </c>
      <c r="B1591">
        <v>802</v>
      </c>
      <c r="C1591" t="s">
        <v>27112</v>
      </c>
    </row>
    <row r="1592" spans="1:3" x14ac:dyDescent="0.15">
      <c r="A1592">
        <v>1</v>
      </c>
      <c r="B1592">
        <v>803</v>
      </c>
      <c r="C1592" t="s">
        <v>27113</v>
      </c>
    </row>
    <row r="1593" spans="1:3" x14ac:dyDescent="0.15">
      <c r="A1593">
        <v>1</v>
      </c>
      <c r="B1593">
        <v>804</v>
      </c>
      <c r="C1593" t="s">
        <v>27114</v>
      </c>
    </row>
    <row r="1594" spans="1:3" x14ac:dyDescent="0.15">
      <c r="A1594">
        <v>1</v>
      </c>
      <c r="B1594">
        <v>805</v>
      </c>
      <c r="C1594" t="s">
        <v>27115</v>
      </c>
    </row>
    <row r="1595" spans="1:3" x14ac:dyDescent="0.15">
      <c r="A1595">
        <v>1</v>
      </c>
      <c r="B1595">
        <v>806</v>
      </c>
      <c r="C1595" t="s">
        <v>27116</v>
      </c>
    </row>
    <row r="1596" spans="1:3" x14ac:dyDescent="0.15">
      <c r="A1596">
        <v>1</v>
      </c>
      <c r="B1596">
        <v>807</v>
      </c>
      <c r="C1596" t="s">
        <v>27117</v>
      </c>
    </row>
    <row r="1597" spans="1:3" x14ac:dyDescent="0.15">
      <c r="A1597">
        <v>1</v>
      </c>
      <c r="B1597">
        <v>808</v>
      </c>
      <c r="C1597" t="s">
        <v>27118</v>
      </c>
    </row>
    <row r="1598" spans="1:3" x14ac:dyDescent="0.15">
      <c r="A1598">
        <v>1</v>
      </c>
      <c r="B1598">
        <v>809</v>
      </c>
      <c r="C1598" t="s">
        <v>27119</v>
      </c>
    </row>
    <row r="1599" spans="1:3" x14ac:dyDescent="0.15">
      <c r="A1599">
        <v>1</v>
      </c>
      <c r="B1599">
        <v>810</v>
      </c>
      <c r="C1599" t="s">
        <v>27120</v>
      </c>
    </row>
    <row r="1600" spans="1:3" x14ac:dyDescent="0.15">
      <c r="A1600">
        <v>1</v>
      </c>
      <c r="B1600">
        <v>880</v>
      </c>
      <c r="C1600" t="s">
        <v>27121</v>
      </c>
    </row>
    <row r="1601" spans="1:3" x14ac:dyDescent="0.15">
      <c r="A1601">
        <v>1</v>
      </c>
      <c r="B1601">
        <v>885</v>
      </c>
      <c r="C1601" t="s">
        <v>27122</v>
      </c>
    </row>
    <row r="1602" spans="1:3" x14ac:dyDescent="0.15">
      <c r="A1602">
        <v>1</v>
      </c>
      <c r="B1602">
        <v>900</v>
      </c>
      <c r="C1602" t="s">
        <v>27123</v>
      </c>
    </row>
    <row r="1603" spans="1:3" x14ac:dyDescent="0.15">
      <c r="A1603">
        <v>1</v>
      </c>
      <c r="B1603">
        <v>901</v>
      </c>
      <c r="C1603" t="s">
        <v>27124</v>
      </c>
    </row>
    <row r="1604" spans="1:3" x14ac:dyDescent="0.15">
      <c r="A1604">
        <v>1</v>
      </c>
      <c r="B1604">
        <v>902</v>
      </c>
      <c r="C1604" t="s">
        <v>27125</v>
      </c>
    </row>
    <row r="1605" spans="1:3" x14ac:dyDescent="0.15">
      <c r="A1605">
        <v>1</v>
      </c>
      <c r="B1605">
        <v>903</v>
      </c>
      <c r="C1605" t="s">
        <v>27126</v>
      </c>
    </row>
    <row r="1606" spans="1:3" x14ac:dyDescent="0.15">
      <c r="A1606">
        <v>1</v>
      </c>
      <c r="B1606">
        <v>904</v>
      </c>
      <c r="C1606" t="s">
        <v>27127</v>
      </c>
    </row>
    <row r="1607" spans="1:3" x14ac:dyDescent="0.15">
      <c r="A1607">
        <v>1</v>
      </c>
      <c r="B1607">
        <v>905</v>
      </c>
      <c r="C1607" t="s">
        <v>27128</v>
      </c>
    </row>
    <row r="1608" spans="1:3" x14ac:dyDescent="0.15">
      <c r="A1608">
        <v>1</v>
      </c>
      <c r="B1608">
        <v>990</v>
      </c>
      <c r="C1608" t="s">
        <v>27129</v>
      </c>
    </row>
    <row r="1609" spans="1:3" x14ac:dyDescent="0.15">
      <c r="A1609">
        <v>1</v>
      </c>
      <c r="B1609">
        <v>991</v>
      </c>
      <c r="C1609" t="s">
        <v>27130</v>
      </c>
    </row>
    <row r="1610" spans="1:3" x14ac:dyDescent="0.15">
      <c r="A1610">
        <v>1</v>
      </c>
      <c r="B1610">
        <v>992</v>
      </c>
      <c r="C1610" t="s">
        <v>27131</v>
      </c>
    </row>
    <row r="1611" spans="1:3" x14ac:dyDescent="0.15">
      <c r="A1611">
        <v>1</v>
      </c>
      <c r="B1611">
        <v>993</v>
      </c>
      <c r="C1611" t="s">
        <v>27132</v>
      </c>
    </row>
    <row r="1612" spans="1:3" x14ac:dyDescent="0.15">
      <c r="A1612">
        <v>1</v>
      </c>
      <c r="B1612">
        <v>994</v>
      </c>
      <c r="C1612" t="s">
        <v>27133</v>
      </c>
    </row>
    <row r="1613" spans="1:3" x14ac:dyDescent="0.15">
      <c r="A1613">
        <v>1</v>
      </c>
      <c r="B1613">
        <v>995</v>
      </c>
      <c r="C1613" t="s">
        <v>27134</v>
      </c>
    </row>
    <row r="1614" spans="1:3" x14ac:dyDescent="0.15">
      <c r="A1614">
        <v>1</v>
      </c>
      <c r="B1614">
        <v>996</v>
      </c>
      <c r="C1614" t="s">
        <v>27135</v>
      </c>
    </row>
    <row r="1615" spans="1:3" x14ac:dyDescent="0.15">
      <c r="A1615">
        <v>1</v>
      </c>
      <c r="B1615">
        <v>997</v>
      </c>
      <c r="C1615" t="s">
        <v>27136</v>
      </c>
    </row>
    <row r="1616" spans="1:3" x14ac:dyDescent="0.15">
      <c r="A1616">
        <v>1</v>
      </c>
      <c r="B1616">
        <v>998</v>
      </c>
      <c r="C1616" t="s">
        <v>27137</v>
      </c>
    </row>
    <row r="1617" spans="1:3" x14ac:dyDescent="0.15">
      <c r="A1617">
        <v>1</v>
      </c>
      <c r="B1617">
        <v>999</v>
      </c>
      <c r="C1617" t="s">
        <v>27138</v>
      </c>
    </row>
    <row r="1618" spans="1:3" x14ac:dyDescent="0.15">
      <c r="A1618">
        <v>1</v>
      </c>
      <c r="B1618" t="s">
        <v>27139</v>
      </c>
      <c r="C1618" t="s">
        <v>27140</v>
      </c>
    </row>
    <row r="1619" spans="1:3" x14ac:dyDescent="0.15">
      <c r="A1619">
        <v>1</v>
      </c>
      <c r="B1619" t="s">
        <v>27141</v>
      </c>
      <c r="C1619" t="s">
        <v>27142</v>
      </c>
    </row>
    <row r="1620" spans="1:3" x14ac:dyDescent="0.15">
      <c r="A1620">
        <v>1</v>
      </c>
      <c r="B1620" t="s">
        <v>27143</v>
      </c>
      <c r="C1620" t="s">
        <v>27144</v>
      </c>
    </row>
    <row r="1621" spans="1:3" x14ac:dyDescent="0.15">
      <c r="A1621">
        <v>1</v>
      </c>
      <c r="B1621" t="s">
        <v>27145</v>
      </c>
      <c r="C1621" t="s">
        <v>27146</v>
      </c>
    </row>
    <row r="1622" spans="1:3" x14ac:dyDescent="0.15">
      <c r="A1622">
        <v>1</v>
      </c>
      <c r="B1622" t="s">
        <v>27147</v>
      </c>
      <c r="C1622" t="s">
        <v>27148</v>
      </c>
    </row>
    <row r="1623" spans="1:3" x14ac:dyDescent="0.15">
      <c r="A1623">
        <v>1</v>
      </c>
      <c r="B1623" t="s">
        <v>27149</v>
      </c>
      <c r="C1623" t="s">
        <v>27150</v>
      </c>
    </row>
    <row r="1624" spans="1:3" x14ac:dyDescent="0.15">
      <c r="A1624">
        <v>1</v>
      </c>
      <c r="B1624" t="s">
        <v>27151</v>
      </c>
      <c r="C1624" t="s">
        <v>27152</v>
      </c>
    </row>
    <row r="1625" spans="1:3" x14ac:dyDescent="0.15">
      <c r="A1625">
        <v>1</v>
      </c>
      <c r="B1625" t="s">
        <v>27153</v>
      </c>
      <c r="C1625" t="s">
        <v>27154</v>
      </c>
    </row>
    <row r="1626" spans="1:3" x14ac:dyDescent="0.15">
      <c r="A1626">
        <v>1</v>
      </c>
      <c r="B1626" t="s">
        <v>27155</v>
      </c>
      <c r="C1626" t="s">
        <v>27156</v>
      </c>
    </row>
    <row r="1627" spans="1:3" x14ac:dyDescent="0.15">
      <c r="A1627">
        <v>1</v>
      </c>
      <c r="B1627" t="s">
        <v>27157</v>
      </c>
      <c r="C1627" t="s">
        <v>27158</v>
      </c>
    </row>
    <row r="1628" spans="1:3" x14ac:dyDescent="0.15">
      <c r="A1628">
        <v>1</v>
      </c>
      <c r="B1628" t="s">
        <v>27159</v>
      </c>
      <c r="C1628" t="s">
        <v>27160</v>
      </c>
    </row>
    <row r="1629" spans="1:3" x14ac:dyDescent="0.15">
      <c r="A1629">
        <v>1</v>
      </c>
      <c r="B1629" t="s">
        <v>27161</v>
      </c>
      <c r="C1629" t="s">
        <v>27162</v>
      </c>
    </row>
    <row r="1630" spans="1:3" x14ac:dyDescent="0.15">
      <c r="A1630">
        <v>1</v>
      </c>
      <c r="B1630" t="s">
        <v>27163</v>
      </c>
      <c r="C1630" t="s">
        <v>27164</v>
      </c>
    </row>
    <row r="1631" spans="1:3" x14ac:dyDescent="0.15">
      <c r="A1631">
        <v>1</v>
      </c>
      <c r="B1631" t="s">
        <v>27165</v>
      </c>
      <c r="C1631" t="s">
        <v>27166</v>
      </c>
    </row>
    <row r="1632" spans="1:3" x14ac:dyDescent="0.15">
      <c r="A1632">
        <v>1</v>
      </c>
      <c r="B1632" t="s">
        <v>27167</v>
      </c>
      <c r="C1632" t="s">
        <v>27168</v>
      </c>
    </row>
    <row r="1633" spans="1:4" x14ac:dyDescent="0.15">
      <c r="A1633">
        <v>1</v>
      </c>
      <c r="B1633" t="s">
        <v>27169</v>
      </c>
      <c r="C1633" t="s">
        <v>27170</v>
      </c>
    </row>
    <row r="1634" spans="1:4" x14ac:dyDescent="0.15">
      <c r="A1634">
        <v>1</v>
      </c>
      <c r="B1634" t="s">
        <v>27171</v>
      </c>
      <c r="C1634" t="s">
        <v>27172</v>
      </c>
    </row>
    <row r="1635" spans="1:4" x14ac:dyDescent="0.15">
      <c r="A1635">
        <v>1</v>
      </c>
      <c r="B1635" t="s">
        <v>27173</v>
      </c>
      <c r="C1635" t="s">
        <v>27174</v>
      </c>
    </row>
    <row r="1636" spans="1:4" x14ac:dyDescent="0.15">
      <c r="A1636">
        <v>1</v>
      </c>
      <c r="B1636" t="s">
        <v>27175</v>
      </c>
      <c r="C1636" t="s">
        <v>27176</v>
      </c>
      <c r="D1636" t="s">
        <v>28142</v>
      </c>
    </row>
    <row r="1637" spans="1:4" x14ac:dyDescent="0.15">
      <c r="A1637">
        <v>1</v>
      </c>
      <c r="B1637" t="s">
        <v>27177</v>
      </c>
      <c r="C1637" t="s">
        <v>27178</v>
      </c>
    </row>
    <row r="1638" spans="1:4" x14ac:dyDescent="0.15">
      <c r="A1638">
        <v>1</v>
      </c>
      <c r="B1638" t="s">
        <v>27179</v>
      </c>
      <c r="C1638" t="s">
        <v>27180</v>
      </c>
    </row>
    <row r="1639" spans="1:4" x14ac:dyDescent="0.15">
      <c r="A1639">
        <v>1</v>
      </c>
      <c r="B1639" t="s">
        <v>27181</v>
      </c>
      <c r="C1639" t="s">
        <v>27182</v>
      </c>
    </row>
    <row r="1640" spans="1:4" x14ac:dyDescent="0.15">
      <c r="A1640">
        <v>1</v>
      </c>
      <c r="B1640" t="s">
        <v>27183</v>
      </c>
      <c r="C1640" t="s">
        <v>27184</v>
      </c>
    </row>
    <row r="1641" spans="1:4" x14ac:dyDescent="0.15">
      <c r="A1641">
        <v>1</v>
      </c>
      <c r="B1641" t="s">
        <v>27185</v>
      </c>
      <c r="C1641" t="s">
        <v>27186</v>
      </c>
    </row>
    <row r="1642" spans="1:4" x14ac:dyDescent="0.15">
      <c r="A1642">
        <v>1</v>
      </c>
      <c r="B1642" t="s">
        <v>27187</v>
      </c>
      <c r="C1642" t="s">
        <v>27188</v>
      </c>
    </row>
    <row r="1643" spans="1:4" x14ac:dyDescent="0.15">
      <c r="A1643">
        <v>1</v>
      </c>
      <c r="B1643" t="s">
        <v>27189</v>
      </c>
      <c r="C1643" t="s">
        <v>27190</v>
      </c>
    </row>
    <row r="1644" spans="1:4" x14ac:dyDescent="0.15">
      <c r="A1644">
        <v>1</v>
      </c>
      <c r="B1644" t="s">
        <v>27191</v>
      </c>
      <c r="C1644" t="s">
        <v>27192</v>
      </c>
    </row>
    <row r="1645" spans="1:4" x14ac:dyDescent="0.15">
      <c r="A1645">
        <v>1</v>
      </c>
      <c r="B1645" t="s">
        <v>27193</v>
      </c>
      <c r="C1645" t="s">
        <v>27194</v>
      </c>
    </row>
    <row r="1646" spans="1:4" x14ac:dyDescent="0.15">
      <c r="A1646">
        <v>1</v>
      </c>
      <c r="B1646" t="s">
        <v>27195</v>
      </c>
      <c r="C1646" t="s">
        <v>27196</v>
      </c>
    </row>
    <row r="1647" spans="1:4" x14ac:dyDescent="0.15">
      <c r="A1647">
        <v>1</v>
      </c>
      <c r="B1647" t="s">
        <v>27197</v>
      </c>
      <c r="C1647" t="s">
        <v>27198</v>
      </c>
    </row>
    <row r="1648" spans="1:4" x14ac:dyDescent="0.15">
      <c r="A1648">
        <v>1</v>
      </c>
      <c r="B1648" t="s">
        <v>27199</v>
      </c>
      <c r="C1648" t="s">
        <v>27200</v>
      </c>
    </row>
    <row r="1649" spans="1:3" x14ac:dyDescent="0.15">
      <c r="A1649">
        <v>1</v>
      </c>
      <c r="B1649" t="s">
        <v>27201</v>
      </c>
      <c r="C1649" t="s">
        <v>27202</v>
      </c>
    </row>
    <row r="1650" spans="1:3" x14ac:dyDescent="0.15">
      <c r="A1650">
        <v>1</v>
      </c>
      <c r="B1650" t="s">
        <v>27203</v>
      </c>
      <c r="C1650" t="s">
        <v>27204</v>
      </c>
    </row>
    <row r="1651" spans="1:3" x14ac:dyDescent="0.15">
      <c r="A1651">
        <v>1</v>
      </c>
      <c r="B1651" t="s">
        <v>27205</v>
      </c>
      <c r="C1651" t="s">
        <v>27206</v>
      </c>
    </row>
    <row r="1652" spans="1:3" x14ac:dyDescent="0.15">
      <c r="A1652">
        <v>1</v>
      </c>
      <c r="B1652" t="s">
        <v>27207</v>
      </c>
      <c r="C1652" t="s">
        <v>27208</v>
      </c>
    </row>
    <row r="1653" spans="1:3" x14ac:dyDescent="0.15">
      <c r="A1653">
        <v>1</v>
      </c>
      <c r="B1653" t="s">
        <v>27209</v>
      </c>
      <c r="C1653" t="s">
        <v>27210</v>
      </c>
    </row>
    <row r="1654" spans="1:3" x14ac:dyDescent="0.15">
      <c r="A1654">
        <v>1</v>
      </c>
      <c r="B1654" t="s">
        <v>27211</v>
      </c>
      <c r="C1654" t="s">
        <v>27212</v>
      </c>
    </row>
    <row r="1655" spans="1:3" x14ac:dyDescent="0.15">
      <c r="A1655">
        <v>1</v>
      </c>
      <c r="B1655" t="s">
        <v>27213</v>
      </c>
      <c r="C1655" t="s">
        <v>27214</v>
      </c>
    </row>
    <row r="1656" spans="1:3" x14ac:dyDescent="0.15">
      <c r="A1656">
        <v>1</v>
      </c>
      <c r="B1656" t="s">
        <v>27215</v>
      </c>
      <c r="C1656" t="s">
        <v>27216</v>
      </c>
    </row>
    <row r="1657" spans="1:3" x14ac:dyDescent="0.15">
      <c r="A1657">
        <v>1</v>
      </c>
      <c r="B1657" t="s">
        <v>27217</v>
      </c>
      <c r="C1657" t="s">
        <v>27218</v>
      </c>
    </row>
    <row r="1658" spans="1:3" x14ac:dyDescent="0.15">
      <c r="A1658">
        <v>1</v>
      </c>
      <c r="B1658" t="s">
        <v>27219</v>
      </c>
      <c r="C1658" t="s">
        <v>27220</v>
      </c>
    </row>
    <row r="1659" spans="1:3" x14ac:dyDescent="0.15">
      <c r="A1659">
        <v>1</v>
      </c>
      <c r="B1659" t="s">
        <v>27221</v>
      </c>
      <c r="C1659" t="s">
        <v>27222</v>
      </c>
    </row>
    <row r="1660" spans="1:3" x14ac:dyDescent="0.15">
      <c r="A1660">
        <v>1</v>
      </c>
      <c r="B1660" t="s">
        <v>27223</v>
      </c>
      <c r="C1660" t="s">
        <v>27224</v>
      </c>
    </row>
    <row r="1661" spans="1:3" x14ac:dyDescent="0.15">
      <c r="A1661">
        <v>1</v>
      </c>
      <c r="B1661" t="s">
        <v>27225</v>
      </c>
      <c r="C1661" t="s">
        <v>27226</v>
      </c>
    </row>
    <row r="1662" spans="1:3" x14ac:dyDescent="0.15">
      <c r="A1662">
        <v>1</v>
      </c>
      <c r="B1662" t="s">
        <v>27227</v>
      </c>
      <c r="C1662" t="s">
        <v>27228</v>
      </c>
    </row>
    <row r="1663" spans="1:3" x14ac:dyDescent="0.15">
      <c r="A1663">
        <v>1</v>
      </c>
      <c r="B1663" t="s">
        <v>27229</v>
      </c>
      <c r="C1663" t="s">
        <v>27230</v>
      </c>
    </row>
    <row r="1664" spans="1:3" x14ac:dyDescent="0.15">
      <c r="A1664">
        <v>1</v>
      </c>
      <c r="B1664" t="s">
        <v>27231</v>
      </c>
      <c r="C1664" t="s">
        <v>27232</v>
      </c>
    </row>
    <row r="1665" spans="1:3" x14ac:dyDescent="0.15">
      <c r="A1665">
        <v>1</v>
      </c>
      <c r="B1665" t="s">
        <v>27233</v>
      </c>
      <c r="C1665" t="s">
        <v>27234</v>
      </c>
    </row>
    <row r="1666" spans="1:3" x14ac:dyDescent="0.15">
      <c r="A1666">
        <v>1</v>
      </c>
      <c r="B1666" t="s">
        <v>27235</v>
      </c>
      <c r="C1666" t="s">
        <v>27236</v>
      </c>
    </row>
    <row r="1667" spans="1:3" x14ac:dyDescent="0.15">
      <c r="A1667">
        <v>1</v>
      </c>
      <c r="B1667" t="s">
        <v>27237</v>
      </c>
      <c r="C1667" t="s">
        <v>27238</v>
      </c>
    </row>
    <row r="1668" spans="1:3" x14ac:dyDescent="0.15">
      <c r="A1668">
        <v>1</v>
      </c>
      <c r="B1668" t="s">
        <v>27239</v>
      </c>
      <c r="C1668" t="s">
        <v>27240</v>
      </c>
    </row>
    <row r="1669" spans="1:3" x14ac:dyDescent="0.15">
      <c r="A1669">
        <v>1</v>
      </c>
      <c r="B1669" t="s">
        <v>27241</v>
      </c>
      <c r="C1669" t="s">
        <v>27242</v>
      </c>
    </row>
    <row r="1670" spans="1:3" x14ac:dyDescent="0.15">
      <c r="A1670">
        <v>1</v>
      </c>
      <c r="B1670" t="s">
        <v>27243</v>
      </c>
      <c r="C1670" t="s">
        <v>27244</v>
      </c>
    </row>
    <row r="1671" spans="1:3" x14ac:dyDescent="0.15">
      <c r="A1671">
        <v>1</v>
      </c>
      <c r="B1671" t="s">
        <v>27245</v>
      </c>
      <c r="C1671" t="s">
        <v>27246</v>
      </c>
    </row>
    <row r="1672" spans="1:3" x14ac:dyDescent="0.15">
      <c r="A1672">
        <v>1</v>
      </c>
      <c r="B1672" t="s">
        <v>27247</v>
      </c>
      <c r="C1672" t="s">
        <v>27248</v>
      </c>
    </row>
    <row r="1673" spans="1:3" x14ac:dyDescent="0.15">
      <c r="A1673">
        <v>1</v>
      </c>
      <c r="B1673" t="s">
        <v>27249</v>
      </c>
      <c r="C1673" t="s">
        <v>27250</v>
      </c>
    </row>
    <row r="1674" spans="1:3" x14ac:dyDescent="0.15">
      <c r="A1674">
        <v>1</v>
      </c>
      <c r="B1674" t="s">
        <v>27251</v>
      </c>
      <c r="C1674" t="s">
        <v>27252</v>
      </c>
    </row>
    <row r="1675" spans="1:3" x14ac:dyDescent="0.15">
      <c r="A1675">
        <v>1</v>
      </c>
      <c r="B1675" t="s">
        <v>27253</v>
      </c>
      <c r="C1675" t="s">
        <v>27254</v>
      </c>
    </row>
    <row r="1676" spans="1:3" x14ac:dyDescent="0.15">
      <c r="A1676">
        <v>1</v>
      </c>
      <c r="B1676" t="s">
        <v>27255</v>
      </c>
      <c r="C1676" t="s">
        <v>27256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MIG</vt:lpstr>
      <vt:lpstr>Read_Me__How to use this Report</vt:lpstr>
      <vt:lpstr>Timings</vt:lpstr>
      <vt:lpstr>Time_Sum</vt:lpstr>
      <vt:lpstr>DTA_WIP_MVX</vt:lpstr>
      <vt:lpstr>DTA_FIN_MVX</vt:lpstr>
      <vt:lpstr>DTA_Staging_VS_M3CE</vt:lpstr>
      <vt:lpstr>RUNFIXPGM_FIRE</vt:lpstr>
      <vt:lpstr>DISABLE_INDEX</vt:lpstr>
      <vt:lpstr>ENABLE_INDEX</vt:lpstr>
      <vt:lpstr>CMNDIV Details</vt:lpstr>
      <vt:lpstr>ACode</vt:lpstr>
      <vt:lpstr>ADHours</vt:lpstr>
      <vt:lpstr>ANHours</vt:lpstr>
      <vt:lpstr>BCode</vt:lpstr>
      <vt:lpstr>BDHours</vt:lpstr>
      <vt:lpstr>BSortSeq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Full Name</dc:creator>
  <cp:lastModifiedBy>Eric Pronovost</cp:lastModifiedBy>
  <dcterms:created xsi:type="dcterms:W3CDTF">2006-11-14T12:20:47Z</dcterms:created>
  <dcterms:modified xsi:type="dcterms:W3CDTF">2026-03-18T18:38:27Z</dcterms:modified>
</cp:coreProperties>
</file>